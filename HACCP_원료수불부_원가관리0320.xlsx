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📋 사용 안내" sheetId="1" state="visible" r:id="rId3"/>
    <sheet name="🏭 원료 마스터" sheetId="2" state="visible" r:id="rId4"/>
    <sheet name="🔖 배합비 참조" sheetId="3" state="hidden" r:id="rId5"/>
    <sheet name="📦 일일 생산 입력" sheetId="4" state="visible" r:id="rId6"/>
    <sheet name="📊 월별 원료수불부" sheetId="5" state="visible" r:id="rId7"/>
    <sheet name="💰 원가 분석" sheetId="6" state="visible" r:id="rId8"/>
    <sheet name="🏢 거래처 관리" sheetId="7" state="visible" r:id="rId9"/>
    <sheet name="📥 원재료 입고" sheetId="8" state="visible" r:id="rId10"/>
    <sheet name="📦 재고 현황" sheetId="9" state="visible" r:id="rId11"/>
    <sheet name="📋 드롭다운 목록" sheetId="10" state="hidden" r:id="rId12"/>
    <sheet name="📤 납품 출고" sheetId="11" state="visible" r:id="rId13"/>
    <sheet name="📋 납품 집계" sheetId="12" state="visible" r:id="rId14"/>
    <sheet name="📅 주간 리포트" sheetId="13" state="visible" r:id="rId15"/>
    <sheet name="📋 육안검사일지" sheetId="14" state="visible" r:id="rId16"/>
    <sheet name="📅 주간 원재료 사용" sheetId="15" state="visible" r:id="rId17"/>
  </sheets>
  <definedNames>
    <definedName function="false" hidden="false" localSheetId="13" name="_xlnm.Print_Area" vbProcedure="false">'📋 육안검사일지'!$A$1:$M$200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<sst xmlns="http://schemas.openxmlformats.org/spreadsheetml/2006/main" count="11734" uniqueCount="1219">
  <si>
    <r>
      <rPr>
        <b val="true"/>
        <sz val="18"/>
        <color rgb="FFFFFFFF"/>
        <rFont val="맑은 고딕"/>
        <family val="3"/>
        <charset val="129"/>
      </rPr>
      <t xml:space="preserve">HACCP </t>
    </r>
    <r>
      <rPr>
        <b val="true"/>
        <sz val="18"/>
        <color rgb="FFFFFFFF"/>
        <rFont val="Noto Sans CJK SC"/>
        <family val="2"/>
      </rPr>
      <t xml:space="preserve">원료수불부 </t>
    </r>
    <r>
      <rPr>
        <b val="true"/>
        <sz val="18"/>
        <color rgb="FFFFFFFF"/>
        <rFont val="맑은 고딕"/>
        <family val="3"/>
        <charset val="129"/>
      </rPr>
      <t xml:space="preserve">&amp; </t>
    </r>
    <r>
      <rPr>
        <b val="true"/>
        <sz val="18"/>
        <color rgb="FFFFFFFF"/>
        <rFont val="Noto Sans CJK SC"/>
        <family val="2"/>
      </rPr>
      <t xml:space="preserve">원가관리 통합 시스템</t>
    </r>
  </si>
  <si>
    <r>
      <rPr>
        <sz val="10"/>
        <color rgb="FFFFFFFF"/>
        <rFont val="맑은 고딕"/>
        <family val="3"/>
        <charset val="129"/>
      </rPr>
      <t xml:space="preserve">(</t>
    </r>
    <r>
      <rPr>
        <sz val="10"/>
        <color rgb="FFFFFFFF"/>
        <rFont val="Noto Sans CJK SC"/>
        <family val="2"/>
      </rPr>
      <t xml:space="preserve">주</t>
    </r>
    <r>
      <rPr>
        <sz val="10"/>
        <color rgb="FFFFFFFF"/>
        <rFont val="맑은 고딕"/>
        <family val="3"/>
        <charset val="129"/>
      </rPr>
      <t xml:space="preserve">)</t>
    </r>
    <r>
      <rPr>
        <sz val="10"/>
        <color rgb="FFFFFFFF"/>
        <rFont val="Noto Sans CJK SC"/>
        <family val="2"/>
      </rPr>
      <t xml:space="preserve">단지  </t>
    </r>
    <r>
      <rPr>
        <sz val="10"/>
        <color rgb="FFFFFFFF"/>
        <rFont val="맑은 고딕"/>
        <family val="3"/>
        <charset val="129"/>
      </rPr>
      <t xml:space="preserve">|  </t>
    </r>
    <r>
      <rPr>
        <sz val="10"/>
        <color rgb="FFFFFFFF"/>
        <rFont val="Noto Sans CJK SC"/>
        <family val="2"/>
      </rPr>
      <t xml:space="preserve">품목제조보고 기반 </t>
    </r>
    <r>
      <rPr>
        <sz val="10"/>
        <color rgb="FFFFFFFF"/>
        <rFont val="맑은 고딕"/>
        <family val="3"/>
        <charset val="129"/>
      </rPr>
      <t xml:space="preserve">80</t>
    </r>
    <r>
      <rPr>
        <sz val="10"/>
        <color rgb="FFFFFFFF"/>
        <rFont val="Noto Sans CJK SC"/>
        <family val="2"/>
      </rPr>
      <t xml:space="preserve">개 제품 </t>
    </r>
    <r>
      <rPr>
        <sz val="10"/>
        <color rgb="FFFFFFFF"/>
        <rFont val="맑은 고딕"/>
        <family val="3"/>
        <charset val="129"/>
      </rPr>
      <t xml:space="preserve">· 167</t>
    </r>
    <r>
      <rPr>
        <sz val="10"/>
        <color rgb="FFFFFFFF"/>
        <rFont val="Noto Sans CJK SC"/>
        <family val="2"/>
      </rPr>
      <t xml:space="preserve">개 원재료 자동화 관리</t>
    </r>
  </si>
  <si>
    <t xml:space="preserve">📌 시트 구성</t>
  </si>
  <si>
    <t xml:space="preserve">시트명</t>
  </si>
  <si>
    <t xml:space="preserve">용도</t>
  </si>
  <si>
    <t xml:space="preserve">설명</t>
  </si>
  <si>
    <t xml:space="preserve">🏭 원료 마스터</t>
  </si>
  <si>
    <t xml:space="preserve">단가 관리</t>
  </si>
  <si>
    <t xml:space="preserve">원료별 단가(원/kg) 입력 → 전 시트 자동 반영</t>
  </si>
  <si>
    <t xml:space="preserve">📦 일일 생산 입력</t>
  </si>
  <si>
    <t xml:space="preserve">생산 실적 입력</t>
  </si>
  <si>
    <t xml:space="preserve">날짜·제품·생산량 입력 → 원료 사용량·원가 자동 계산</t>
  </si>
  <si>
    <t xml:space="preserve">📊 월별 원료수불부</t>
  </si>
  <si>
    <t xml:space="preserve">재고 관리</t>
  </si>
  <si>
    <t xml:space="preserve">원료별 전재고/입고/사용/잔고 자동 집계</t>
  </si>
  <si>
    <t xml:space="preserve">💰 원가 분석</t>
  </si>
  <si>
    <t xml:space="preserve">원가율 산출</t>
  </si>
  <si>
    <t xml:space="preserve">제품별 kg당 원재료비 &amp; 원가율 자동 계산</t>
  </si>
  <si>
    <t xml:space="preserve">🔖 배합비 참조</t>
  </si>
  <si>
    <t xml:space="preserve">숨김 시트</t>
  </si>
  <si>
    <t xml:space="preserve">수식 연산용 배합비 테이블 (수정 불필요)</t>
  </si>
  <si>
    <t xml:space="preserve">📝 사용 순서</t>
  </si>
  <si>
    <t xml:space="preserve">STEP 1</t>
  </si>
  <si>
    <t xml:space="preserve">단가 입력</t>
  </si>
  <si>
    <t xml:space="preserve">🏭 원료 마스터 → 노란칸에 원료별 단가(원/kg) 입력</t>
  </si>
  <si>
    <t xml:space="preserve">STEP 2</t>
  </si>
  <si>
    <t xml:space="preserve">초기 재고</t>
  </si>
  <si>
    <t xml:space="preserve">📊 월별 원료수불부 → 전월재고(노란칸) 입력</t>
  </si>
  <si>
    <t xml:space="preserve">STEP 3</t>
  </si>
  <si>
    <t xml:space="preserve">입고 기록</t>
  </si>
  <si>
    <t xml:space="preserve">📊 월별 원료수불부 → 날짜별 입고 열에 입고량 입력</t>
  </si>
  <si>
    <t xml:space="preserve">STEP 4</t>
  </si>
  <si>
    <t xml:space="preserve">생산 입력</t>
  </si>
  <si>
    <t xml:space="preserve">📦 일일 생산 입력 → 날짜·제품명·생산량(kg) 입력</t>
  </si>
  <si>
    <t xml:space="preserve">STEP 5</t>
  </si>
  <si>
    <t xml:space="preserve">결과 확인</t>
  </si>
  <si>
    <t xml:space="preserve">원료 사용량·잔고·원가율이 자동 계산됨</t>
  </si>
  <si>
    <t xml:space="preserve">⚠️ 주의 사항</t>
  </si>
  <si>
    <t xml:space="preserve">단위</t>
  </si>
  <si>
    <t xml:space="preserve">생산량 및 재고는 모두 kg 기준</t>
  </si>
  <si>
    <t xml:space="preserve">제품명 입력</t>
  </si>
  <si>
    <t xml:space="preserve">📦 일일 생산 입력의 제품명은 🔖 배합비 참조 시트 B1행 이름과 정확히 일치해야 함</t>
  </si>
  <si>
    <t xml:space="preserve">배합비없음</t>
  </si>
  <si>
    <t xml:space="preserve">호박영양찰떡(1개)은 배합비 미등록으로 원료 계산 제외</t>
  </si>
  <si>
    <t xml:space="preserve">원료 마스터 (단가 관리)</t>
  </si>
  <si>
    <t xml:space="preserve">⚡ 노란색 칸(단가/규격)을 입력하면 원가 분석 시트에 자동 반영됩니다.</t>
  </si>
  <si>
    <t xml:space="preserve">No</t>
  </si>
  <si>
    <t xml:space="preserve">원  료  명</t>
  </si>
  <si>
    <t xml:space="preserve">단가(원/kg)</t>
  </si>
  <si>
    <t xml:space="preserve">규격/단위</t>
  </si>
  <si>
    <t xml:space="preserve">주요 거래처</t>
  </si>
  <si>
    <t xml:space="preserve">비고</t>
  </si>
  <si>
    <t xml:space="preserve">사용 제품 수</t>
  </si>
  <si>
    <t xml:space="preserve">간장</t>
  </si>
  <si>
    <t xml:space="preserve">kg</t>
  </si>
  <si>
    <t xml:space="preserve">강낭콩((울타리콩))</t>
  </si>
  <si>
    <t xml:space="preserve">건조딸기다이스(외국산)</t>
  </si>
  <si>
    <t xml:space="preserve">건포도</t>
  </si>
  <si>
    <t xml:space="preserve">건호박채(중국산)</t>
  </si>
  <si>
    <t xml:space="preserve">검정깨(흑임자)</t>
  </si>
  <si>
    <t xml:space="preserve">검정콩</t>
  </si>
  <si>
    <t xml:space="preserve">계피가루</t>
  </si>
  <si>
    <t xml:space="preserve">고구마가루</t>
  </si>
  <si>
    <t xml:space="preserve">고구마무스</t>
  </si>
  <si>
    <t xml:space="preserve">고려엉겅퀴((곤드레)국내산)</t>
  </si>
  <si>
    <t xml:space="preserve">기타가공품(복분자가루)</t>
  </si>
  <si>
    <t xml:space="preserve">기타가공품(슈퍼소프트엠)</t>
  </si>
  <si>
    <t xml:space="preserve">기타가공품(파인소프트 E-티)</t>
  </si>
  <si>
    <t xml:space="preserve">기타가공품(프리미엄카스테라가루)</t>
  </si>
  <si>
    <t xml:space="preserve">기타가공품(흑임자가루)</t>
  </si>
  <si>
    <t xml:space="preserve">기타설탕(흑설탕)</t>
  </si>
  <si>
    <t xml:space="preserve">냉동쑥(국내산)</t>
  </si>
  <si>
    <t xml:space="preserve">냉동증숙고구마(중국산)</t>
  </si>
  <si>
    <t xml:space="preserve">녹차가루</t>
  </si>
  <si>
    <t xml:space="preserve">다크초콜릿 컴파운드칩</t>
  </si>
  <si>
    <t xml:space="preserve">단호박분말(중국산)</t>
  </si>
  <si>
    <t xml:space="preserve">당류가공품(단호박농축액)</t>
  </si>
  <si>
    <t xml:space="preserve">당류가공품(알룰로스,에리스리톨,스테비올배당체혼합)</t>
  </si>
  <si>
    <t xml:space="preserve">당류가공품(알룰로스제로파우더)</t>
  </si>
  <si>
    <t xml:space="preserve">당절임(완두배기)</t>
  </si>
  <si>
    <t xml:space="preserve">대추농축액</t>
  </si>
  <si>
    <t xml:space="preserve">대추채(국내산)</t>
  </si>
  <si>
    <t xml:space="preserve">동부(미얀마산)</t>
  </si>
  <si>
    <t xml:space="preserve">두류가공품(백옥앙금)</t>
  </si>
  <si>
    <t xml:space="preserve">두류가공품(콩고물)</t>
  </si>
  <si>
    <t xml:space="preserve">두류가공품(통팥고물)</t>
  </si>
  <si>
    <t xml:space="preserve">딸기레진</t>
  </si>
  <si>
    <t xml:space="preserve">딸기분말(스트로우베리에이드(분말))</t>
  </si>
  <si>
    <t xml:space="preserve">마스카포네치즈</t>
  </si>
  <si>
    <t xml:space="preserve">마카다미아분태(호주산)</t>
  </si>
  <si>
    <t xml:space="preserve">멥쌀(국내산)</t>
  </si>
  <si>
    <t xml:space="preserve">모시잎(국내산)</t>
  </si>
  <si>
    <t xml:space="preserve">물엿(저당물엿)</t>
  </si>
  <si>
    <t xml:space="preserve">밤다이스</t>
  </si>
  <si>
    <t xml:space="preserve">변성전분(타피오카전분)</t>
  </si>
  <si>
    <t xml:space="preserve">복음땅콩분태</t>
  </si>
  <si>
    <t xml:space="preserve">사양벌꿀(국내산)</t>
  </si>
  <si>
    <t xml:space="preserve">생크림</t>
  </si>
  <si>
    <t xml:space="preserve">서양호박(국내산,뉴질랜드산)</t>
  </si>
  <si>
    <t xml:space="preserve">설탕</t>
  </si>
  <si>
    <t xml:space="preserve">스트로우베리 에이드 후레쉬</t>
  </si>
  <si>
    <t xml:space="preserve">식물성기름혼합제제(분홍)</t>
  </si>
  <si>
    <t xml:space="preserve">식물성기름혼합제제(초록)</t>
  </si>
  <si>
    <t xml:space="preserve">식물성기름혼합제제(황색)</t>
  </si>
  <si>
    <t xml:space="preserve">쑥가루(국내산)</t>
  </si>
  <si>
    <t xml:space="preserve">아몬드슬라이스</t>
  </si>
  <si>
    <t xml:space="preserve">알룰로오스(국내산)</t>
  </si>
  <si>
    <t xml:space="preserve">연유</t>
  </si>
  <si>
    <t xml:space="preserve">옥수수전분</t>
  </si>
  <si>
    <t xml:space="preserve">완두배기</t>
  </si>
  <si>
    <t xml:space="preserve">우유(국내산)</t>
  </si>
  <si>
    <t xml:space="preserve">자색고구마가루(중국산)</t>
  </si>
  <si>
    <t xml:space="preserve">자연치즈(체다치즈)</t>
  </si>
  <si>
    <t xml:space="preserve">정제수</t>
  </si>
  <si>
    <t xml:space="preserve">젤라틴</t>
  </si>
  <si>
    <t xml:space="preserve">조림류(백옥앙금)</t>
  </si>
  <si>
    <t xml:space="preserve">조림류(통팥앙금)</t>
  </si>
  <si>
    <t xml:space="preserve">준초콜릿(외국산)</t>
  </si>
  <si>
    <t xml:space="preserve">중력분</t>
  </si>
  <si>
    <t xml:space="preserve">참깨(인도산,나이지리아산,탄자니아산,미얀마산)</t>
  </si>
  <si>
    <t xml:space="preserve">찹쌀(국내산)</t>
  </si>
  <si>
    <t xml:space="preserve">천일염</t>
  </si>
  <si>
    <t xml:space="preserve">치즈 [크림치즈]</t>
  </si>
  <si>
    <t xml:space="preserve">코코아가공품류(코코아분말)</t>
  </si>
  <si>
    <t xml:space="preserve">콩기름(대두유)</t>
  </si>
  <si>
    <t xml:space="preserve">해바라기씨앗</t>
  </si>
  <si>
    <t xml:space="preserve">현미(국내산)</t>
  </si>
  <si>
    <t xml:space="preserve">현미멥쌀(국내산)</t>
  </si>
  <si>
    <t xml:space="preserve">호두분태(미국산)</t>
  </si>
  <si>
    <t xml:space="preserve">호박씨앗(외국산)</t>
  </si>
  <si>
    <t xml:space="preserve">혼합제제(떡용에스텔)</t>
  </si>
  <si>
    <t xml:space="preserve">혼합제제(스테비아)</t>
  </si>
  <si>
    <t xml:space="preserve">화이트초콜릿</t>
  </si>
  <si>
    <t xml:space="preserve">흑미찹쌀(국내산)</t>
  </si>
  <si>
    <t xml:space="preserve">찰옥수수전분(미국산)</t>
  </si>
  <si>
    <t xml:space="preserve">삶은팥</t>
  </si>
  <si>
    <t xml:space="preserve">차조</t>
  </si>
  <si>
    <t xml:space="preserve">초코시럽</t>
  </si>
  <si>
    <t xml:space="preserve">흑멥쌀</t>
  </si>
  <si>
    <t xml:space="preserve">총 원료 종류: 86개  |  총 제품 수: 83개</t>
  </si>
  <si>
    <t xml:space="preserve">원재료명</t>
  </si>
  <si>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종호두찹쌀떡</t>
    </r>
  </si>
  <si>
    <t xml:space="preserve">곤드레약식</t>
  </si>
  <si>
    <t xml:space="preserve">꿀설기</t>
  </si>
  <si>
    <t xml:space="preserve">다이스인절미</t>
  </si>
  <si>
    <t xml:space="preserve">단호박설기</t>
  </si>
  <si>
    <t xml:space="preserve">단호박약식</t>
  </si>
  <si>
    <t xml:space="preserve">대추고약식</t>
  </si>
  <si>
    <t xml:space="preserve">딸기설기</t>
  </si>
  <si>
    <t xml:space="preserve">롤크림떡(고구마)</t>
  </si>
  <si>
    <t xml:space="preserve">롤크림떡(딸기)</t>
  </si>
  <si>
    <t xml:space="preserve">롤크림떡(말차)</t>
  </si>
  <si>
    <t xml:space="preserve">롤크림떡(초코)</t>
  </si>
  <si>
    <t xml:space="preserve">롤크림떡(치즈)</t>
  </si>
  <si>
    <t xml:space="preserve">롤크림떡(흑임자)</t>
  </si>
  <si>
    <t xml:space="preserve">마카다미아 왕찹쌀떡</t>
  </si>
  <si>
    <t xml:space="preserve">마카다미아단호박왕찹쌀떡</t>
  </si>
  <si>
    <t xml:space="preserve">마카다미아복분자왕찹쌀떡</t>
  </si>
  <si>
    <t xml:space="preserve">마카다미아쑥왕찹쌀떡</t>
  </si>
  <si>
    <t xml:space="preserve">모듬설기</t>
  </si>
  <si>
    <t xml:space="preserve">모듬찰떡</t>
  </si>
  <si>
    <t xml:space="preserve">모시개떡</t>
  </si>
  <si>
    <t xml:space="preserve">모시인절미</t>
  </si>
  <si>
    <t xml:space="preserve">못난이인절미</t>
  </si>
  <si>
    <t xml:space="preserve">무지개설기</t>
  </si>
  <si>
    <t xml:space="preserve">밥알쑥인절미</t>
  </si>
  <si>
    <t xml:space="preserve">손모시송편</t>
  </si>
  <si>
    <t xml:space="preserve">송편(백)</t>
  </si>
  <si>
    <t xml:space="preserve">쇠머리떡</t>
  </si>
  <si>
    <t xml:space="preserve">습식 멥쌀가루</t>
  </si>
  <si>
    <t xml:space="preserve">습식 멥쌀가루(무염)</t>
  </si>
  <si>
    <t xml:space="preserve">습식 멥쌀가루(쑥)</t>
  </si>
  <si>
    <t xml:space="preserve">습식 멥쌀가루(호박)</t>
  </si>
  <si>
    <t xml:space="preserve">쑥 꿀설기</t>
  </si>
  <si>
    <t xml:space="preserve">쑥개떡</t>
  </si>
  <si>
    <t xml:space="preserve">쑥버무리</t>
  </si>
  <si>
    <t xml:space="preserve">쑥송편</t>
  </si>
  <si>
    <t xml:space="preserve">쑥영양찰떡</t>
  </si>
  <si>
    <t xml:space="preserve">쑥인절미</t>
  </si>
  <si>
    <t xml:space="preserve">쑥판인절미</t>
  </si>
  <si>
    <t xml:space="preserve">영양찰떡</t>
  </si>
  <si>
    <t xml:space="preserve">오색송편</t>
  </si>
  <si>
    <t xml:space="preserve">완두배기팥시루찰떡</t>
  </si>
  <si>
    <t xml:space="preserve">왕찹쌀떡</t>
  </si>
  <si>
    <t xml:space="preserve">우유설기</t>
  </si>
  <si>
    <t xml:space="preserve">인절미</t>
  </si>
  <si>
    <t xml:space="preserve">자색고구마설기</t>
  </si>
  <si>
    <t xml:space="preserve">자색고구마송편</t>
  </si>
  <si>
    <t xml:space="preserve">제로슈가 우유설기</t>
  </si>
  <si>
    <t xml:space="preserve">제로슈가 현미설기</t>
  </si>
  <si>
    <t xml:space="preserve">제로슈거 영양찰떡</t>
  </si>
  <si>
    <t xml:space="preserve">찹쌀떡</t>
  </si>
  <si>
    <t xml:space="preserve">초코설기</t>
  </si>
  <si>
    <t xml:space="preserve">치즈설기</t>
  </si>
  <si>
    <t xml:space="preserve">카스테라 호박인절미</t>
  </si>
  <si>
    <t xml:space="preserve">카스테라설기</t>
  </si>
  <si>
    <t xml:space="preserve">카스테라쑥인절미</t>
  </si>
  <si>
    <t xml:space="preserve">카스테라왕찹쌀떡(백)</t>
  </si>
  <si>
    <t xml:space="preserve">카스테라왕찹쌀떡(쑥)</t>
  </si>
  <si>
    <t xml:space="preserve">카스테라왕찹쌀떡(호박)</t>
  </si>
  <si>
    <t xml:space="preserve">카스테라인절미</t>
  </si>
  <si>
    <t xml:space="preserve">카스테라호박앙금인절미</t>
  </si>
  <si>
    <t xml:space="preserve">콩가루 쑥앙금인절미</t>
  </si>
  <si>
    <t xml:space="preserve">콩가루 앙금인절미</t>
  </si>
  <si>
    <t xml:space="preserve">콩고물쑥떡</t>
  </si>
  <si>
    <t xml:space="preserve">콩고물쑥떡(동부)</t>
  </si>
  <si>
    <t xml:space="preserve">판인절미</t>
  </si>
  <si>
    <t xml:space="preserve">한입빙수 인절미</t>
  </si>
  <si>
    <t xml:space="preserve">현미설기</t>
  </si>
  <si>
    <t xml:space="preserve">호두찹쌀떡</t>
  </si>
  <si>
    <t xml:space="preserve">호두찹쌀떡(쑥)</t>
  </si>
  <si>
    <t xml:space="preserve">호두찹쌀떡(호박)</t>
  </si>
  <si>
    <t xml:space="preserve">호박 꿀설기</t>
  </si>
  <si>
    <t xml:space="preserve">호박 팥시루찰떡(냉동)</t>
  </si>
  <si>
    <t xml:space="preserve">호박고지 찰시루</t>
  </si>
  <si>
    <t xml:space="preserve">호박설기</t>
  </si>
  <si>
    <t xml:space="preserve">호박송편</t>
  </si>
  <si>
    <t xml:space="preserve">호박인절미</t>
  </si>
  <si>
    <t xml:space="preserve">흑미송편</t>
  </si>
  <si>
    <t xml:space="preserve">흑임자설기</t>
  </si>
  <si>
    <t xml:space="preserve">흑임자약식</t>
  </si>
  <si>
    <t xml:space="preserve">카스테라앙금인절미</t>
  </si>
  <si>
    <t xml:space="preserve">카스테라쑥앙금인절미</t>
  </si>
  <si>
    <t xml:space="preserve">흑설탕</t>
  </si>
  <si>
    <t xml:space="preserve">📦  일일 생산 실적 입력 — 원료 사용량 자동 계산 (500행 확장판)</t>
  </si>
  <si>
    <t xml:space="preserve">⚡ 노란색 칸(날짜·제품명·생산량)을 입력하면 80개 원재료 사용량이 자동 계산됩니다. 최대 500건 입력 가능.</t>
  </si>
  <si>
    <t xml:space="preserve">생산일자</t>
  </si>
  <si>
    <t xml:space="preserve">제  품  명</t>
  </si>
  <si>
    <t xml:space="preserve">생산량
(kg)</t>
  </si>
  <si>
    <r>
      <rPr>
        <b val="true"/>
        <sz val="10"/>
        <rFont val="맑은 고딕"/>
        <family val="0"/>
        <charset val="1"/>
      </rPr>
      <t xml:space="preserve">LOT</t>
    </r>
    <r>
      <rPr>
        <b val="true"/>
        <sz val="10"/>
        <rFont val="Noto Sans CJK SC"/>
        <family val="2"/>
      </rPr>
      <t xml:space="preserve">번호</t>
    </r>
  </si>
  <si>
    <t xml:space="preserve">작업자</t>
  </si>
  <si>
    <t xml:space="preserve">원료별 사용량 (kg) — 자동 계산  [80개 원재료]</t>
  </si>
  <si>
    <t xml:space="preserve">원재료
원가(원)</t>
  </si>
  <si>
    <t xml:space="preserve">YYYYMM</t>
  </si>
  <si>
    <r>
      <rPr>
        <b val="true"/>
        <sz val="8"/>
        <rFont val="맑은 고딕"/>
        <family val="0"/>
        <charset val="1"/>
      </rPr>
      <t xml:space="preserve">(</t>
    </r>
    <r>
      <rPr>
        <b val="true"/>
        <sz val="8"/>
        <rFont val="Noto Sans CJK SC"/>
        <family val="2"/>
      </rPr>
      <t xml:space="preserve">보조</t>
    </r>
    <r>
      <rPr>
        <b val="true"/>
        <sz val="8"/>
        <rFont val="맑은 고딕"/>
        <family val="0"/>
        <charset val="1"/>
      </rPr>
      <t xml:space="preserve">)</t>
    </r>
  </si>
  <si>
    <t xml:space="preserve">2025-10</t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</si>
  <si>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</si>
  <si>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호두찹쌀떡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호박</t>
    </r>
    <r>
      <rPr>
        <sz val="9"/>
        <rFont val="맑은 고딕"/>
        <family val="0"/>
        <charset val="1"/>
      </rPr>
      <t xml:space="preserve">)</t>
    </r>
  </si>
  <si>
    <t xml:space="preserve">2025-11</t>
  </si>
  <si>
    <t xml:space="preserve">2025-12</t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</si>
  <si>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딸기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</si>
  <si>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말차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</si>
  <si>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고구마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</si>
  <si>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치즈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</si>
  <si>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흑임자</t>
    </r>
    <r>
      <rPr>
        <sz val="9"/>
        <rFont val="맑은 고딕"/>
        <family val="0"/>
        <charset val="1"/>
      </rPr>
      <t xml:space="preserve">)</t>
    </r>
  </si>
  <si>
    <t xml:space="preserve">2026-01</t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</si>
  <si>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초코</t>
    </r>
    <r>
      <rPr>
        <sz val="9"/>
        <rFont val="맑은 고딕"/>
        <family val="0"/>
        <charset val="1"/>
      </rPr>
      <t xml:space="preserve">)</t>
    </r>
  </si>
  <si>
    <t xml:space="preserve">2026-02</t>
  </si>
  <si>
    <t xml:space="preserve">2026-03</t>
  </si>
  <si>
    <t xml:space="preserve">합   계</t>
  </si>
  <si>
    <t xml:space="preserve">📊  월별 원료 수불부 — 자동 집계</t>
  </si>
  <si>
    <t xml:space="preserve">관리 월:</t>
  </si>
  <si>
    <t xml:space="preserve">← 조회월 입력 (예: 2025-10, 2025-11 ...)</t>
  </si>
  <si>
    <r>
      <rPr>
        <sz val="9"/>
        <color rgb="FF1F4E79"/>
        <rFont val="맑은 고딕"/>
        <family val="0"/>
        <charset val="1"/>
      </rPr>
      <t xml:space="preserve">⚡ B2</t>
    </r>
    <r>
      <rPr>
        <sz val="9"/>
        <color rgb="FF1F4E79"/>
        <rFont val="Noto Sans CJK SC"/>
        <family val="2"/>
      </rPr>
      <t xml:space="preserve">에 조회할 연월 입력 → 전월재고</t>
    </r>
    <r>
      <rPr>
        <sz val="9"/>
        <color rgb="FF1F4E79"/>
        <rFont val="맑은 고딕"/>
        <family val="0"/>
        <charset val="1"/>
      </rPr>
      <t xml:space="preserve">·</t>
    </r>
    <r>
      <rPr>
        <sz val="9"/>
        <color rgb="FF1F4E79"/>
        <rFont val="Noto Sans CJK SC"/>
        <family val="2"/>
      </rPr>
      <t xml:space="preserve">입고</t>
    </r>
    <r>
      <rPr>
        <sz val="9"/>
        <color rgb="FF1F4E79"/>
        <rFont val="맑은 고딕"/>
        <family val="0"/>
        <charset val="1"/>
      </rPr>
      <t xml:space="preserve">·</t>
    </r>
    <r>
      <rPr>
        <sz val="9"/>
        <color rgb="FF1F4E79"/>
        <rFont val="Noto Sans CJK SC"/>
        <family val="2"/>
      </rPr>
      <t xml:space="preserve">생산소모</t>
    </r>
    <r>
      <rPr>
        <sz val="9"/>
        <color rgb="FF1F4E79"/>
        <rFont val="맑은 고딕"/>
        <family val="0"/>
        <charset val="1"/>
      </rPr>
      <t xml:space="preserve">·</t>
    </r>
    <r>
      <rPr>
        <sz val="9"/>
        <color rgb="FF1F4E79"/>
        <rFont val="Noto Sans CJK SC"/>
        <family val="2"/>
      </rPr>
      <t xml:space="preserve">월말재고 자동 집계</t>
    </r>
    <r>
      <rPr>
        <sz val="9"/>
        <color rgb="FF1F4E79"/>
        <rFont val="맑은 고딕"/>
        <family val="0"/>
        <charset val="1"/>
      </rPr>
      <t xml:space="preserve">. </t>
    </r>
    <r>
      <rPr>
        <sz val="9"/>
        <color rgb="FF1F4E79"/>
        <rFont val="Noto Sans CJK SC"/>
        <family val="2"/>
      </rPr>
      <t xml:space="preserve">입고 데이터는 </t>
    </r>
    <r>
      <rPr>
        <sz val="9"/>
        <color rgb="FF1F4E79"/>
        <rFont val="맑은 고딕"/>
        <family val="0"/>
        <charset val="1"/>
      </rPr>
      <t xml:space="preserve">[📥 </t>
    </r>
    <r>
      <rPr>
        <sz val="9"/>
        <color rgb="FF1F4E79"/>
        <rFont val="Noto Sans CJK SC"/>
        <family val="2"/>
      </rPr>
      <t xml:space="preserve">원재료 입고</t>
    </r>
    <r>
      <rPr>
        <sz val="9"/>
        <color rgb="FF1F4E79"/>
        <rFont val="맑은 고딕"/>
        <family val="0"/>
        <charset val="1"/>
      </rPr>
      <t xml:space="preserve">] </t>
    </r>
    <r>
      <rPr>
        <sz val="9"/>
        <color rgb="FF1F4E79"/>
        <rFont val="Noto Sans CJK SC"/>
        <family val="2"/>
      </rPr>
      <t xml:space="preserve">시트 참조</t>
    </r>
    <r>
      <rPr>
        <sz val="9"/>
        <color rgb="FF1F4E79"/>
        <rFont val="맑은 고딕"/>
        <family val="0"/>
        <charset val="1"/>
      </rPr>
      <t xml:space="preserve">.</t>
    </r>
  </si>
  <si>
    <t xml:space="preserve">전월재고
(kg)</t>
  </si>
  <si>
    <t xml:space="preserve">입고합계
(kg)</t>
  </si>
  <si>
    <t xml:space="preserve">자체구매
입고(kg)</t>
  </si>
  <si>
    <t xml:space="preserve">위탁공급
입고(kg)</t>
  </si>
  <si>
    <t xml:space="preserve">생산소모
(kg)</t>
  </si>
  <si>
    <t xml:space="preserve">월말재고
(kg)</t>
  </si>
  <si>
    <t xml:space="preserve">단가
(원/kg)</t>
  </si>
  <si>
    <t xml:space="preserve">사용금액
(원)</t>
  </si>
  <si>
    <t xml:space="preserve">제품별 원재료 원가 분석</t>
  </si>
  <si>
    <t xml:space="preserve">⚡ 원료 마스터 단가 입력 시 kg당 원재료비 자동 계산. 입고 가중평균 단가 기준.</t>
  </si>
  <si>
    <t xml:space="preserve">품목제조
보고번호</t>
  </si>
  <si>
    <t xml:space="preserve">배합비
합계(%)</t>
  </si>
  <si>
    <r>
      <rPr>
        <b val="true"/>
        <sz val="10"/>
        <rFont val="맑은 고딕"/>
        <family val="0"/>
        <charset val="1"/>
      </rPr>
      <t xml:space="preserve">kg</t>
    </r>
    <r>
      <rPr>
        <b val="true"/>
        <sz val="10"/>
        <rFont val="Noto Sans CJK SC"/>
        <family val="2"/>
      </rPr>
      <t xml:space="preserve">당
재료원가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</si>
  <si>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종호두찹쌀떡</t>
    </r>
  </si>
  <si>
    <t xml:space="preserve">2021021205535</t>
  </si>
  <si>
    <t xml:space="preserve">2021021205560</t>
  </si>
  <si>
    <t xml:space="preserve">202102120556</t>
  </si>
  <si>
    <t xml:space="preserve">2021021205531</t>
  </si>
  <si>
    <t xml:space="preserve">2021021205510</t>
  </si>
  <si>
    <t xml:space="preserve">2021021205562</t>
  </si>
  <si>
    <t xml:space="preserve">202102120552</t>
  </si>
  <si>
    <t xml:space="preserve">202102120559</t>
  </si>
  <si>
    <t xml:space="preserve">20210212055305</t>
  </si>
  <si>
    <t xml:space="preserve">2021021205512</t>
  </si>
  <si>
    <t xml:space="preserve">20210212055215</t>
  </si>
  <si>
    <t xml:space="preserve">20210212055217</t>
  </si>
  <si>
    <t xml:space="preserve">20210212055216</t>
  </si>
  <si>
    <t xml:space="preserve">202102120558</t>
  </si>
  <si>
    <t xml:space="preserve">20210212055152</t>
  </si>
  <si>
    <t xml:space="preserve">2021021205513</t>
  </si>
  <si>
    <t xml:space="preserve">2021021205530</t>
  </si>
  <si>
    <t xml:space="preserve">2021021205540</t>
  </si>
  <si>
    <t xml:space="preserve">2021021205570</t>
  </si>
  <si>
    <t xml:space="preserve">20210212055214</t>
  </si>
  <si>
    <t xml:space="preserve">20210212055209</t>
  </si>
  <si>
    <t xml:space="preserve">2021021205544</t>
  </si>
  <si>
    <t xml:space="preserve">20210212055151</t>
  </si>
  <si>
    <t xml:space="preserve">20210212055304</t>
  </si>
  <si>
    <t xml:space="preserve">20210212055301</t>
  </si>
  <si>
    <t xml:space="preserve">20210212055302</t>
  </si>
  <si>
    <t xml:space="preserve">20210212055303</t>
  </si>
  <si>
    <t xml:space="preserve">20210212055222</t>
  </si>
  <si>
    <t xml:space="preserve">202102120551</t>
  </si>
  <si>
    <t xml:space="preserve">20210212055150</t>
  </si>
  <si>
    <t xml:space="preserve">2021021205546</t>
  </si>
  <si>
    <t xml:space="preserve">20210212055201</t>
  </si>
  <si>
    <t xml:space="preserve">2021021205529</t>
  </si>
  <si>
    <t xml:space="preserve">2021021205524</t>
  </si>
  <si>
    <t xml:space="preserve">20210212055208</t>
  </si>
  <si>
    <t xml:space="preserve">20210212055205</t>
  </si>
  <si>
    <t xml:space="preserve">20210212055226</t>
  </si>
  <si>
    <t xml:space="preserve">2021021205543</t>
  </si>
  <si>
    <t xml:space="preserve">202102120555</t>
  </si>
  <si>
    <t xml:space="preserve">2021021205528</t>
  </si>
  <si>
    <t xml:space="preserve">2021021205514</t>
  </si>
  <si>
    <t xml:space="preserve">2021021205548</t>
  </si>
  <si>
    <t xml:space="preserve">2021021205551</t>
  </si>
  <si>
    <t xml:space="preserve">20210212055218</t>
  </si>
  <si>
    <t xml:space="preserve">20210212055232</t>
  </si>
  <si>
    <t xml:space="preserve">201400808472</t>
  </si>
  <si>
    <t xml:space="preserve">202102120557</t>
  </si>
  <si>
    <t xml:space="preserve">2021021205516</t>
  </si>
  <si>
    <t xml:space="preserve">2021021205542</t>
  </si>
  <si>
    <t xml:space="preserve">2021021205511</t>
  </si>
  <si>
    <t xml:space="preserve">2021021205559</t>
  </si>
  <si>
    <t xml:space="preserve">2021021205564</t>
  </si>
  <si>
    <t xml:space="preserve">2021021205565</t>
  </si>
  <si>
    <t xml:space="preserve">2021021205566</t>
  </si>
  <si>
    <t xml:space="preserve">2021021205558</t>
  </si>
  <si>
    <t xml:space="preserve">20210212055153</t>
  </si>
  <si>
    <t xml:space="preserve">2021021205520</t>
  </si>
  <si>
    <t xml:space="preserve">2021021205519</t>
  </si>
  <si>
    <t xml:space="preserve">2021021205533</t>
  </si>
  <si>
    <t xml:space="preserve">2021021205555</t>
  </si>
  <si>
    <t xml:space="preserve">2021021205523</t>
  </si>
  <si>
    <t xml:space="preserve">2021021205532</t>
  </si>
  <si>
    <t xml:space="preserve">20210212055212</t>
  </si>
  <si>
    <t xml:space="preserve">2021021205536</t>
  </si>
  <si>
    <t xml:space="preserve">20210212055220</t>
  </si>
  <si>
    <t xml:space="preserve">20210212055219</t>
  </si>
  <si>
    <t xml:space="preserve">20210212055221</t>
  </si>
  <si>
    <t xml:space="preserve">20210212055223</t>
  </si>
  <si>
    <t xml:space="preserve">20210212055224</t>
  </si>
  <si>
    <t xml:space="preserve">20210212055227</t>
  </si>
  <si>
    <t xml:space="preserve">2021021205545</t>
  </si>
  <si>
    <t xml:space="preserve">2021021205534</t>
  </si>
  <si>
    <t xml:space="preserve">2021021205547</t>
  </si>
  <si>
    <t xml:space="preserve">2021021205515</t>
  </si>
  <si>
    <t xml:space="preserve">2021021205517</t>
  </si>
  <si>
    <t xml:space="preserve">2021021205518</t>
  </si>
  <si>
    <t xml:space="preserve">2021021205561</t>
  </si>
  <si>
    <t xml:space="preserve">평  균  /  합  계  (83개 제품)</t>
  </si>
  <si>
    <t xml:space="preserve">🔗  위탁생산 원재료 ↔ 우리 원료마스터 매칭표</t>
  </si>
  <si>
    <t xml:space="preserve">위탁업체 원재료명</t>
  </si>
  <si>
    <t xml:space="preserve">배합비율</t>
  </si>
  <si>
    <t xml:space="preserve">→ 우리 원료마스터명</t>
  </si>
  <si>
    <t xml:space="preserve">매칭결과</t>
  </si>
  <si>
    <t xml:space="preserve">1</t>
  </si>
  <si>
    <t xml:space="preserve">찹쌀 [국내산]</t>
  </si>
  <si>
    <t xml:space="preserve">43%</t>
  </si>
  <si>
    <t xml:space="preserve">✅ 매칭</t>
  </si>
  <si>
    <t xml:space="preserve">2</t>
  </si>
  <si>
    <t xml:space="preserve">19%</t>
  </si>
  <si>
    <t xml:space="preserve">3</t>
  </si>
  <si>
    <t xml:space="preserve">농산물조림</t>
  </si>
  <si>
    <t xml:space="preserve">18%</t>
  </si>
  <si>
    <t xml:space="preserve">↳4</t>
  </si>
  <si>
    <t xml:space="preserve">└ 팥 [중국산]</t>
  </si>
  <si>
    <t xml:space="preserve">—</t>
  </si>
  <si>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농산물조림 하위성분</t>
    </r>
    <r>
      <rPr>
        <sz val="11"/>
        <color theme="1"/>
        <rFont val="맑은 고딕"/>
        <family val="2"/>
        <charset val="1"/>
      </rPr>
      <t xml:space="preserve">)</t>
    </r>
  </si>
  <si>
    <t xml:space="preserve">⬛ 하위성분</t>
  </si>
  <si>
    <t xml:space="preserve">↳5</t>
  </si>
  <si>
    <t xml:space="preserve">└ 설탕</t>
  </si>
  <si>
    <t xml:space="preserve">↳6</t>
  </si>
  <si>
    <t xml:space="preserve">└ 물엿</t>
  </si>
  <si>
    <t xml:space="preserve">↳7</t>
  </si>
  <si>
    <t xml:space="preserve">└ 변성전분</t>
  </si>
  <si>
    <t xml:space="preserve">↳8</t>
  </si>
  <si>
    <t xml:space="preserve">└ 정제소금 [국내산]</t>
  </si>
  <si>
    <t xml:space="preserve">9</t>
  </si>
  <si>
    <t xml:space="preserve">전분 [찰:미국산]</t>
  </si>
  <si>
    <t xml:space="preserve">9%</t>
  </si>
  <si>
    <t xml:space="preserve">🆕 신규추가</t>
  </si>
  <si>
    <t xml:space="preserve">10</t>
  </si>
  <si>
    <t xml:space="preserve">3%</t>
  </si>
  <si>
    <t xml:space="preserve">11</t>
  </si>
  <si>
    <t xml:space="preserve">멥쌀 [국내산]</t>
  </si>
  <si>
    <t xml:space="preserve">2%</t>
  </si>
  <si>
    <t xml:space="preserve">12</t>
  </si>
  <si>
    <t xml:space="preserve">정제소금</t>
  </si>
  <si>
    <t xml:space="preserve">13</t>
  </si>
  <si>
    <t xml:space="preserve">식품첨가물혼합제제 [에스엘]</t>
  </si>
  <si>
    <t xml:space="preserve">14</t>
  </si>
  <si>
    <t xml:space="preserve">밀가루</t>
  </si>
  <si>
    <t xml:space="preserve">▶ 요약: ✅ 매칭 9개 | 🆕 신규추가 1개 — 찰옥수수전분(미국산) | ⬛ 하위성분 제외 5개 (농산물조림에 포함)</t>
  </si>
  <si>
    <t xml:space="preserve">🏢  거래처 관리 — 위탁·B2B 납품처 등록</t>
  </si>
  <si>
    <t xml:space="preserve">⚡ 거래처를 등록하세요. 거래유형: [위탁생산] 원재료 공급+납품처 / [B2B납품] 납품 전용</t>
  </si>
  <si>
    <t xml:space="preserve">거래처명</t>
  </si>
  <si>
    <t xml:space="preserve">거래유형</t>
  </si>
  <si>
    <t xml:space="preserve">담당자</t>
  </si>
  <si>
    <t xml:space="preserve">연락처</t>
  </si>
  <si>
    <t xml:space="preserve">원재료공급</t>
  </si>
  <si>
    <t xml:space="preserve">등록일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</si>
  <si>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엔에스쇼핑</t>
    </r>
  </si>
  <si>
    <t xml:space="preserve">도상철</t>
  </si>
  <si>
    <t xml:space="preserve">gybang@nsmall.com</t>
  </si>
  <si>
    <t xml:space="preserve">사업자:117-81-33642 | 경기도 성남시 분당구 판교로228번길 15 | 소매,소비스/tv홈쇼핑,위수탁판매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</si>
  <si>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이베이코리아</t>
    </r>
  </si>
  <si>
    <t xml:space="preserve">변광윤,박주만</t>
  </si>
  <si>
    <t xml:space="preserve">wjeong@ebay.com</t>
  </si>
  <si>
    <t xml:space="preserve">사업자:220-81-83676 | 서울특별시 강남구 테헤란로 152(역삼동,강남파이낸스센터34~37층) | 서비스,서비스/부가통신사업,소프트웨어자문개발공급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</si>
  <si>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코퍼스</t>
    </r>
  </si>
  <si>
    <t xml:space="preserve">최찬우</t>
  </si>
  <si>
    <t xml:space="preserve">cofurs@naver.com</t>
  </si>
  <si>
    <t xml:space="preserve">사업자:124-86-48662 | 인천광역시 서구 도담5로 77(오류동) | 도매,제조업,건설,도소매/유제품,집단급식소식품,목재가구,인테리어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</si>
  <si>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클락워크</t>
    </r>
  </si>
  <si>
    <t xml:space="preserve">안현재</t>
  </si>
  <si>
    <t xml:space="preserve">anhj29@naver.com</t>
  </si>
  <si>
    <t xml:space="preserve">사업자:220-88-15105 | 서울특별시 용산구 한강대로 95(한강로2가, 래미안용산 더 센트럴) A동 1911호 | 서비스/광고및마케팅대행</t>
  </si>
  <si>
    <t xml:space="preserve">그때그때과일</t>
  </si>
  <si>
    <t xml:space="preserve">김정훈</t>
  </si>
  <si>
    <t xml:space="preserve">juyaalo@naver.com</t>
  </si>
  <si>
    <t xml:space="preserve">사업자:227-57-00860 | 인천광역시 서구 푸른로14번길 6, 1층 | 도매 및 소매업/슈퍼마켓</t>
  </si>
  <si>
    <t xml:space="preserve">내리사랑</t>
  </si>
  <si>
    <t xml:space="preserve">김승주</t>
  </si>
  <si>
    <t xml:space="preserve">naeri-love@naver.com</t>
  </si>
  <si>
    <t xml:space="preserve">사업자:121-20-84756 | 인천광역시 남동구 장자로6번길 82-5(장수동) | 소매업/전자상거래업</t>
  </si>
  <si>
    <t xml:space="preserve">내장사명인관</t>
  </si>
  <si>
    <t xml:space="preserve">김정희</t>
  </si>
  <si>
    <t xml:space="preserve">mjsb6643@nate.com</t>
  </si>
  <si>
    <t xml:space="preserve">사업자:404-02-89856 | 음식/한식</t>
  </si>
  <si>
    <t xml:space="preserve">냥스</t>
  </si>
  <si>
    <t xml:space="preserve">조나은</t>
  </si>
  <si>
    <t xml:space="preserve">bd1771@naver.com</t>
  </si>
  <si>
    <t xml:space="preserve">사업자:101-17-62739 | 경기도 의정부시 오목로 225번길 141, 402호 | 소매업/카페,애견용품,전자상거래업</t>
  </si>
  <si>
    <t xml:space="preserve">다사랑재가노인지원서비스센터</t>
  </si>
  <si>
    <t xml:space="preserve">박찬상</t>
  </si>
  <si>
    <t xml:space="preserve">dasarang1955@naver.com</t>
  </si>
  <si>
    <t xml:space="preserve">사업자:122-82-08031 | 인천광역시 계양구 계산로 148 | 비영리법인/</t>
  </si>
  <si>
    <t xml:space="preserve">더블유앤엠</t>
  </si>
  <si>
    <t xml:space="preserve">이원교</t>
  </si>
  <si>
    <t xml:space="preserve">wnm2017@naver.com</t>
  </si>
  <si>
    <t xml:space="preserve">사업자:390-24-00665 | 경기도 수원시 팔달구 정자천로32번길 27, 151동 14층 1405호(화서동, 꽃뫼버들마을금강아파트) | 도소매/전자상거래업</t>
  </si>
  <si>
    <t xml:space="preserve">동림에프엔지</t>
  </si>
  <si>
    <t xml:space="preserve">길주현</t>
  </si>
  <si>
    <t xml:space="preserve">rabiqueen@naver.com</t>
  </si>
  <si>
    <t xml:space="preserve">사업자:233-01-44342 | 서울특별시 서초구 서초대로 398,4층 423호 (서초동, 플래티넘타워) | 소매업/전자상거래업</t>
  </si>
  <si>
    <t xml:space="preserve">동짓날(좋은아침)</t>
  </si>
  <si>
    <t xml:space="preserve">안희경</t>
  </si>
  <si>
    <t xml:space="preserve">ahk0610@naver.com</t>
  </si>
  <si>
    <t xml:space="preserve">사업자:452-15-00694 | 충북 청주시 서원구 1순환로 1109,109호(분평동,호인리더스빌딩) | 음식점업/제과점업</t>
  </si>
  <si>
    <t xml:space="preserve">떡담</t>
  </si>
  <si>
    <t xml:space="preserve">민지혜</t>
  </si>
  <si>
    <t xml:space="preserve">mjwhite2713@naver.com</t>
  </si>
  <si>
    <t xml:space="preserve">사업자:163-04-00352 | 대전광역시 서구 문정로 112, 1층(탄방동) | 제조업/빵류제조업,떡류제조업</t>
  </si>
  <si>
    <t xml:space="preserve">룸테크</t>
  </si>
  <si>
    <t xml:space="preserve">김동오</t>
  </si>
  <si>
    <t xml:space="preserve">kai3635@naver.com</t>
  </si>
  <si>
    <t xml:space="preserve">사업자:461-70-00270 | 대구광역시 동구 효목로1길 88(효목동, 효목화이트빌) 201호 | 소매업/전자상거래업</t>
  </si>
  <si>
    <t xml:space="preserve">매일유업 주식회사</t>
  </si>
  <si>
    <t xml:space="preserve">김선희, 김환석</t>
  </si>
  <si>
    <t xml:space="preserve">yj.choi@maeil.com</t>
  </si>
  <si>
    <t xml:space="preserve">사업자:844-81-00466 | 제조업,도매업/</t>
  </si>
  <si>
    <t xml:space="preserve">메이유러피안다이닝</t>
  </si>
  <si>
    <t xml:space="preserve">한승윤외 1명</t>
  </si>
  <si>
    <t xml:space="preserve">d12732@naver.com</t>
  </si>
  <si>
    <t xml:space="preserve">사업자:128-19-34886 | 서울특별시 도봉구 도봉로169길 202 | 음식점업/서양음식</t>
  </si>
  <si>
    <t xml:space="preserve">명신여자고등학교</t>
  </si>
  <si>
    <t xml:space="preserve">윤인리</t>
  </si>
  <si>
    <t xml:space="preserve">msrose@hanmail.net</t>
  </si>
  <si>
    <t xml:space="preserve">사업자:137-82-00609 | 인천광역시 부평구 원적로 260(산곡동, 명신여자고등학교) | 부동산업/임대</t>
  </si>
  <si>
    <t xml:space="preserve">미홍 본점</t>
  </si>
  <si>
    <t xml:space="preserve">황영주외 1명</t>
  </si>
  <si>
    <t xml:space="preserve">sjha0214@naver.com</t>
  </si>
  <si>
    <t xml:space="preserve">사업자:105-20-54885 | 서울특별시 마포구 양화로3길 21-1(합정동) | 즉석판매제조.가공업/떡류,혼합음료</t>
  </si>
  <si>
    <t xml:space="preserve">방하착커피앤베이커리</t>
  </si>
  <si>
    <t xml:space="preserve">박소현</t>
  </si>
  <si>
    <t xml:space="preserve">mydanny2971@naver.com</t>
  </si>
  <si>
    <t xml:space="preserve">사업자:708-39-00195 | 강원도 속초시 설악산로 1042 방하착커피앤베이커리 | 휴게음식점/일반음식점</t>
  </si>
  <si>
    <t xml:space="preserve">베네치아 k's 커피</t>
  </si>
  <si>
    <t xml:space="preserve">강미라</t>
  </si>
  <si>
    <t xml:space="preserve">m3r4k@naver.com</t>
  </si>
  <si>
    <t xml:space="preserve">사업자:233-01-22085 | 경기도 광주시 곤지암읍 경충대로 738(1,2층) | 음식/커피점</t>
  </si>
  <si>
    <t xml:space="preserve">벨라포스트</t>
  </si>
  <si>
    <t xml:space="preserve">김태은</t>
  </si>
  <si>
    <t xml:space="preserve">sweeteeleng@naver.com</t>
  </si>
  <si>
    <t xml:space="preserve">사업자:138-10-93517 | 경기도 의왕시 솔고개길 7(왕곡동) | 건설업/금속창호공사</t>
  </si>
  <si>
    <t xml:space="preserve">보나베띠 명동점</t>
  </si>
  <si>
    <t xml:space="preserve">이정은</t>
  </si>
  <si>
    <t xml:space="preserve">vivideness@naver.com</t>
  </si>
  <si>
    <t xml:space="preserve">사업자:418-20-60885 | 서울 중구 명동10길 51 3층 | 음식점/양식</t>
  </si>
  <si>
    <t xml:space="preserve">비전모터스</t>
  </si>
  <si>
    <t xml:space="preserve">최원규</t>
  </si>
  <si>
    <t xml:space="preserve">choi012345@nate.com</t>
  </si>
  <si>
    <t xml:space="preserve">사업자:553-12-01239 | 경기도 수원시 권선구 평동로79번길 45, 207호 323호 | 도매 및 소매업/중고 자동차 판매업</t>
  </si>
  <si>
    <t xml:space="preserve">빙동댕 김포장기점</t>
  </si>
  <si>
    <t xml:space="preserve">손향기</t>
  </si>
  <si>
    <t xml:space="preserve">사업자:538-30-01836 | 경기도 김포시 김포한강2로24번길 116-22, 1층(장기동) | 음식점업/빙수전문점</t>
  </si>
  <si>
    <t xml:space="preserve">스위트라라</t>
  </si>
  <si>
    <t xml:space="preserve">김윤서</t>
  </si>
  <si>
    <t xml:space="preserve">sweetlala2018@naver.com</t>
  </si>
  <si>
    <t xml:space="preserve">사업자:346-13-01337 | 전라북도 전주시 완산구 화산천변3길 8-3(중화산동2가) 1층. 스위트라라 | 음식점업/카페</t>
  </si>
  <si>
    <t xml:space="preserve">신탄진(상)휴게소</t>
  </si>
  <si>
    <t xml:space="preserve">신상태</t>
  </si>
  <si>
    <t xml:space="preserve">stj2442@naver.com</t>
  </si>
  <si>
    <t xml:space="preserve">사업자:314-82-07233 | 대전광역시 대덕구 산업단지로 27(상서동, 신탄진 화물휴게소) | 음숙 소매업/고속도로휴게소</t>
  </si>
  <si>
    <t xml:space="preserve">씨엠시엔지니어링</t>
  </si>
  <si>
    <t xml:space="preserve">차명춘</t>
  </si>
  <si>
    <t xml:space="preserve">cmcid@daum.net</t>
  </si>
  <si>
    <t xml:space="preserve">사업자:408-58-00393 | 서울특별시 동작구 시흥대로 606, 오피스동565호(신대방동, 동작 협성휴포레 시그니처) | 서비스/안전점검, 하자조사등</t>
  </si>
  <si>
    <t xml:space="preserve">씨와이유통</t>
  </si>
  <si>
    <t xml:space="preserve">권창용</t>
  </si>
  <si>
    <t xml:space="preserve">yong97893@naver.com</t>
  </si>
  <si>
    <t xml:space="preserve">사업자:227-04-85261 | 강원도 속초시 도리원1길 6(노학동) | 소매업,도매업/식자재,식자재</t>
  </si>
  <si>
    <t xml:space="preserve">아이스플라워</t>
  </si>
  <si>
    <t xml:space="preserve">손창민</t>
  </si>
  <si>
    <t xml:space="preserve">thsckd49@naver.com</t>
  </si>
  <si>
    <t xml:space="preserve">사업자:651-18-01175 | 강원도 춘천시 공지로 121-1, 1층 | 음식업점/휴게음식</t>
  </si>
  <si>
    <t xml:space="preserve">아진당 떡상점</t>
  </si>
  <si>
    <t xml:space="preserve">조미순</t>
  </si>
  <si>
    <t xml:space="preserve">dooloozo@naver.com</t>
  </si>
  <si>
    <t xml:space="preserve">사업자:294-09-01816 | 서울특별시 종로구 돈화문로11길 34-6(낙원동) | 음식점업/떡</t>
  </si>
  <si>
    <t xml:space="preserve">양주다사랑재가노인지원서비스센터</t>
  </si>
  <si>
    <t xml:space="preserve">1004cbpark@daum.net</t>
  </si>
  <si>
    <t xml:space="preserve">사업자:127-82-16462 | 경기도 양주시 화합로 1402번길 16, 1층 | 비영리법인/비영리법인</t>
  </si>
  <si>
    <t xml:space="preserve">에쏠로지 능주점</t>
  </si>
  <si>
    <t xml:space="preserve">이은철</t>
  </si>
  <si>
    <t xml:space="preserve">neungju0405@naver.com</t>
  </si>
  <si>
    <t xml:space="preserve">사업자:654-05-01005 | 전라남도 화순군 능주면 죽수길 99 1층 | 음식/커피</t>
  </si>
  <si>
    <t xml:space="preserve">에이치비코퍼레이션주식회사</t>
  </si>
  <si>
    <t xml:space="preserve">이시호</t>
  </si>
  <si>
    <t xml:space="preserve">hbwhkim@naver.com</t>
  </si>
  <si>
    <t xml:space="preserve">사업자:602-81-48930 | 부산광역시 부산진구 가야대로 599(가야동) | 도소매,음식,서비스/수출영업,집단급식식품판매업,택배운송서비스</t>
  </si>
  <si>
    <t xml:space="preserve">에코유니온컴퍼니 주식회사</t>
  </si>
  <si>
    <t xml:space="preserve">윤덕창</t>
  </si>
  <si>
    <t xml:space="preserve">koryo5740@naver.com</t>
  </si>
  <si>
    <t xml:space="preserve">사업자:480-87-01512 | 서울시 강동구 성안로 180 동명빌딩 502호 | 도매 및 소매업/무역 및 수출입업</t>
  </si>
  <si>
    <t xml:space="preserve">엘리스</t>
  </si>
  <si>
    <t xml:space="preserve">김용주외 1명</t>
  </si>
  <si>
    <t xml:space="preserve">1031limsabu@gmail.com</t>
  </si>
  <si>
    <t xml:space="preserve">사업자:638-04-00083 | 서울특별시 강남구 도산대로55길 47, 지하1층(청담동) | 음식점업/기타 서양식 주류</t>
  </si>
  <si>
    <t xml:space="preserve">제주향</t>
  </si>
  <si>
    <t xml:space="preserve">박출용</t>
  </si>
  <si>
    <t xml:space="preserve">gumppark@hanmail.net</t>
  </si>
  <si>
    <t xml:space="preserve">사업자:498-47-00615 | 서울특별시 서초구 청계산로 237, 1층 | 음식점업/주스,커피</t>
  </si>
  <si>
    <t xml:space="preserve">주식회사 골든터틀컴퍼니</t>
  </si>
  <si>
    <t xml:space="preserve">이정언</t>
  </si>
  <si>
    <t xml:space="preserve">sokoorymall@naver.com</t>
  </si>
  <si>
    <t xml:space="preserve">사업자:603-81-93743 | 인천광역시 서구 원창로89번길 14-7, 3층 301호(원창동) | 서비스업외/프랜차이즈가맹본부사업외</t>
  </si>
  <si>
    <t xml:space="preserve">주식회사 구문</t>
  </si>
  <si>
    <t xml:space="preserve">강사현</t>
  </si>
  <si>
    <t xml:space="preserve">gumun999@gumun.co.kr</t>
  </si>
  <si>
    <t xml:space="preserve">사업자:103-87-00289 | 경기도 부천시 조마루로385번길 92(원미동, 부천테크노밸리 U1 center) 1011호 | 도매 및 소매업/전자상거래업</t>
  </si>
  <si>
    <t xml:space="preserve">주식회사 물류하랑</t>
  </si>
  <si>
    <t xml:space="preserve">한지혜</t>
  </si>
  <si>
    <t xml:space="preserve">Accounting@harangdc.com</t>
  </si>
  <si>
    <t xml:space="preserve">사업자:534-87-02744 | 경상남도 양산시 하북면 월평1길 25-1 | 도매/물류유통업</t>
  </si>
  <si>
    <t xml:space="preserve">주식회사 미미스</t>
  </si>
  <si>
    <t xml:space="preserve">정관용</t>
  </si>
  <si>
    <t xml:space="preserve">mimis2601@naver.com</t>
  </si>
  <si>
    <t xml:space="preserve">사업자:740-81-04200 | 인천광역시 서구 완정로 19, 4층 401호(마전동, 검단무광프라자) | 제조및 도소매업/떡,빵,과자류 제조외</t>
  </si>
  <si>
    <t xml:space="preserve">주식회사 에드밸류</t>
  </si>
  <si>
    <t xml:space="preserve">손민규</t>
  </si>
  <si>
    <t xml:space="preserve">addvalue2021@naver.com</t>
  </si>
  <si>
    <t xml:space="preserve">사업자:137-86-28022 | 경기도 김포시 금파로 171-44 | 도매 및 소매업/전자상거래업,식자재,커피</t>
  </si>
  <si>
    <t xml:space="preserve">주식회사 우아한형제들</t>
  </si>
  <si>
    <t xml:space="preserve">김봉진,김범준</t>
  </si>
  <si>
    <t xml:space="preserve">bmart_fi_support@woowahan.com</t>
  </si>
  <si>
    <t xml:space="preserve">사업자:120-87-65763 | 서울특별시 송파구 위례성대로 2(방이동, 장은빌딩) | 출판,영상,방송통신 및 정보서비스업/데이터베이스 및 온라인정보 제공업, 그외 기타 정보서비스업</t>
  </si>
  <si>
    <t xml:space="preserve">주식회사 장봐주는</t>
  </si>
  <si>
    <t xml:space="preserve">사업자:766-88-02071 | 인천 서구 푸른로14번길 6, 1층 2호 | 도매 및 소매업/농수산물 가공식품, 전자상거래</t>
  </si>
  <si>
    <t xml:space="preserve">주식회사 카카오</t>
  </si>
  <si>
    <t xml:space="preserve">임지훈</t>
  </si>
  <si>
    <t xml:space="preserve">siena.s@kakaocorp.com</t>
  </si>
  <si>
    <t xml:space="preserve">사업자:120-81-47521 | 제주특별자치도 제주도 첨단로 242, 1층 | 서비스업,도소매업,서비스/인터넷정보매개,캐릭터상품관련,프로그램개발</t>
  </si>
  <si>
    <t xml:space="preserve">주식회사 페코텍</t>
  </si>
  <si>
    <t xml:space="preserve">이향이</t>
  </si>
  <si>
    <t xml:space="preserve">swanky@peco.co.kr</t>
  </si>
  <si>
    <t xml:space="preserve">사업자:129-81-29869 | 서울특별시 성동구 동일로 169(성수동2가) | 제조/반도체조립공구</t>
  </si>
  <si>
    <t xml:space="preserve">주식회사 헨티</t>
  </si>
  <si>
    <t xml:space="preserve">조인상</t>
  </si>
  <si>
    <t xml:space="preserve">marcop30@hanmail.net</t>
  </si>
  <si>
    <t xml:space="preserve">사업자:105-87-38684 | 서울시 강서구 초원로 34 2층 | 도매, 제조/무역</t>
  </si>
  <si>
    <t xml:space="preserve">주식회사 화이트쇼콜라코리아</t>
  </si>
  <si>
    <t xml:space="preserve">고남일</t>
  </si>
  <si>
    <t xml:space="preserve">royal@whitechocola.com</t>
  </si>
  <si>
    <t xml:space="preserve">사업자:261-81-04099 | 서울특별시 서초구 마밤로2길 29, 2층(양재동) | 서비스,건설업/커피전문프랜차이즈,인테리어외</t>
  </si>
  <si>
    <t xml:space="preserve">지티컴퍼니</t>
  </si>
  <si>
    <t xml:space="preserve">이정애</t>
  </si>
  <si>
    <t xml:space="preserve">사업자:654-40-01248 | 인천광역시 서구 청라에메랄드로 30(청라동, 청라자이) 119동 1102호 | 소매업/전자상거래 소매업</t>
  </si>
  <si>
    <t xml:space="preserve">추억을 나누며</t>
  </si>
  <si>
    <t xml:space="preserve">박경하</t>
  </si>
  <si>
    <t xml:space="preserve">dlqtnfrhrl7@naver.com</t>
  </si>
  <si>
    <t xml:space="preserve">사업자:405-01-53392 | 전라북도 부안군 진서면 운호리 349-2 | 음식/차,주류</t>
  </si>
  <si>
    <t xml:space="preserve">카리스커피</t>
  </si>
  <si>
    <t xml:space="preserve">김경옥</t>
  </si>
  <si>
    <t xml:space="preserve">kokim02@naver.com</t>
  </si>
  <si>
    <t xml:space="preserve">사업자:165-11-00114 | 경기도 안양시 동안구 엘에스로 76 가동 240호 | 음식/카페</t>
  </si>
  <si>
    <t xml:space="preserve">카페 오마르</t>
  </si>
  <si>
    <t xml:space="preserve">이재두</t>
  </si>
  <si>
    <t xml:space="preserve">withdoo@naver.com</t>
  </si>
  <si>
    <t xml:space="preserve">사업자:126-13-84641 | 경기도 하남시 하남대로198번길 10(상산곡동) | 음식/커피</t>
  </si>
  <si>
    <t xml:space="preserve">카페엘크</t>
  </si>
  <si>
    <t xml:space="preserve">유민영</t>
  </si>
  <si>
    <t xml:space="preserve">gotit1004@naver.com</t>
  </si>
  <si>
    <t xml:space="preserve">사업자:658-17-01179 | 강원도 횡성군 갑천면 태기로 975 | 음식업점/카페</t>
  </si>
  <si>
    <t xml:space="preserve">카페테라스</t>
  </si>
  <si>
    <t xml:space="preserve">손영애</t>
  </si>
  <si>
    <t xml:space="preserve">gs36985@naver.com</t>
  </si>
  <si>
    <t xml:space="preserve">사업자:663-16-00592 | 강원도 강릉시 창해로 419(강문동) | 음식업점/간이음식</t>
  </si>
  <si>
    <t xml:space="preserve">코나아이(주)</t>
  </si>
  <si>
    <t xml:space="preserve">조정일</t>
  </si>
  <si>
    <t xml:space="preserve">gbpark@konai.com</t>
  </si>
  <si>
    <t xml:space="preserve">사업자:109-81-53365 | 서울 영등포구 은행로 3(여의도동,익스콘벤처타워8F) | 제조,소매,서비스/휴대전화,전자상거래,소프트웨어개발</t>
  </si>
  <si>
    <t xml:space="preserve">티엘이노베이션</t>
  </si>
  <si>
    <t xml:space="preserve">김은진</t>
  </si>
  <si>
    <t xml:space="preserve">monnmi09@naver.com</t>
  </si>
  <si>
    <t xml:space="preserve">사업자:318-26-00425 | 경기도 성남시 중원구 둔춘대로 291-1,2층 | 서비스/행사공연기획</t>
  </si>
  <si>
    <t xml:space="preserve">팔칠구사(8794)</t>
  </si>
  <si>
    <t xml:space="preserve">신명호</t>
  </si>
  <si>
    <t xml:space="preserve">mk40516@naver.com</t>
  </si>
  <si>
    <t xml:space="preserve">사업자:263-17-00929 | 경기도 파주시 문산읍 통일로2010번길 36 | 음식점업/브랜치 카페,패스트푸드</t>
  </si>
  <si>
    <t xml:space="preserve">허준본가한방카페</t>
  </si>
  <si>
    <t xml:space="preserve">홍은주</t>
  </si>
  <si>
    <t xml:space="preserve">Cgs2766@hanmail.net</t>
  </si>
  <si>
    <t xml:space="preserve">사업자:303-11-72582 | 충청북도 충주시 칠금12길 29(칠금동) | 음식업/카페</t>
  </si>
  <si>
    <t xml:space="preserve">휴휴암</t>
  </si>
  <si>
    <t xml:space="preserve">신승섭</t>
  </si>
  <si>
    <t xml:space="preserve">사업자:516-06-00211 | 강원도 양양군 광진2길 3-16(현남면) 휴휴암 | 소매업/수산물건재품,농산물,잡화</t>
  </si>
  <si>
    <t xml:space="preserve">📥  원재료 입고 관리 — 자체구매 + 위탁공급 통합</t>
  </si>
  <si>
    <t xml:space="preserve">⚡ 입고유형: [자체구매] 우리가 구매 / [위탁공급] 거래처가 공급. 노란색 칸 입력 → 재고 자동 반영</t>
  </si>
  <si>
    <t xml:space="preserve">입고일자</t>
  </si>
  <si>
    <t xml:space="preserve">거래처/공급처</t>
  </si>
  <si>
    <t xml:space="preserve">입고유형</t>
  </si>
  <si>
    <t xml:space="preserve">입고수량
(kg)</t>
  </si>
  <si>
    <t xml:space="preserve">입고금액
(원)</t>
  </si>
  <si>
    <t xml:space="preserve">유통기한</t>
  </si>
  <si>
    <t xml:space="preserve">비  고</t>
  </si>
  <si>
    <t xml:space="preserve">합 계</t>
  </si>
  <si>
    <t xml:space="preserve">농업회사법인㈜이수농산</t>
  </si>
  <si>
    <t xml:space="preserve">자체구매</t>
  </si>
  <si>
    <t xml:space="preserve">도정</t>
  </si>
  <si>
    <t xml:space="preserve">자체구매 금액 합계 / 위탁공급 수량 합계</t>
  </si>
  <si>
    <t xml:space="preserve">네이버파이낸셜</t>
  </si>
  <si>
    <t xml:space="preserve">주식회사동아식품</t>
  </si>
  <si>
    <t xml:space="preserve">위탁공급</t>
  </si>
  <si>
    <t xml:space="preserve">현대농산</t>
  </si>
  <si>
    <t xml:space="preserve">㈜한강에프디에스</t>
  </si>
  <si>
    <t xml:space="preserve">제조</t>
  </si>
  <si>
    <t xml:space="preserve">㈜에스디컴퍼니</t>
  </si>
  <si>
    <t xml:space="preserve">대진유통</t>
  </si>
  <si>
    <t xml:space="preserve">인투푸드</t>
  </si>
  <si>
    <r>
      <rPr>
        <sz val="9"/>
        <rFont val="맑은 고딕"/>
        <family val="0"/>
        <charset val="1"/>
      </rPr>
      <t xml:space="preserve">2025</t>
    </r>
    <r>
      <rPr>
        <sz val="9"/>
        <rFont val="Noto Sans CJK SC"/>
        <family val="2"/>
      </rPr>
      <t xml:space="preserve">년산</t>
    </r>
  </si>
  <si>
    <t xml:space="preserve">포장일</t>
  </si>
  <si>
    <t xml:space="preserve">신동케미칼㈜</t>
  </si>
  <si>
    <t xml:space="preserve">와마트</t>
  </si>
  <si>
    <t xml:space="preserve">포장</t>
  </si>
  <si>
    <t xml:space="preserve">쑥분말</t>
  </si>
  <si>
    <t xml:space="preserve">📦  원재료 재고 현황 — 입고·소모·잔량 자동 집계</t>
  </si>
  <si>
    <t xml:space="preserve">⚡ 입고(자체+위탁) - 생산소모(월별수불부) = 현재 재고. 기준일: 조회월 기준 자동 계산</t>
  </si>
  <si>
    <t xml:space="preserve">기준월:</t>
  </si>
  <si>
    <t xml:space="preserve">전체 누적</t>
  </si>
  <si>
    <t xml:space="preserve">← 2026.1.1 이월재고 + 총입고 - 총소모(1월~) = 현재재고</t>
  </si>
  <si>
    <t xml:space="preserve">총입고
(자체+위탁)(kg)</t>
  </si>
  <si>
    <t xml:space="preserve">현재재고
(kg)</t>
  </si>
  <si>
    <t xml:space="preserve">재고상태</t>
  </si>
  <si>
    <t xml:space="preserve">제품명</t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</si>
  <si>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종호두찹쌀떡</t>
    </r>
  </si>
  <si>
    <t xml:space="preserve">📤  납품 출고 관리 — 위탁납품 + B2B 납품 통합</t>
  </si>
  <si>
    <t xml:space="preserve">⚡ 원가분석 등록 제품 기준 관리. 세트/혼합 제품은 개별 제품으로 분해</t>
  </si>
  <si>
    <t xml:space="preserve">납품일자</t>
  </si>
  <si>
    <t xml:space="preserve">납품유형</t>
  </si>
  <si>
    <t xml:space="preserve">납품수량
(개)</t>
  </si>
  <si>
    <t xml:space="preserve">단위중량
(g)</t>
  </si>
  <si>
    <t xml:space="preserve">납품중량
(kg)</t>
  </si>
  <si>
    <t xml:space="preserve">소이담소</t>
  </si>
  <si>
    <t xml:space="preserve">B2B</t>
  </si>
  <si>
    <t xml:space="preserve">제로슈거 마카다미아왕찹쌀떡</t>
  </si>
  <si>
    <r>
      <rPr>
        <sz val="9"/>
        <rFont val="Noto Sans CJK SC"/>
        <family val="2"/>
      </rPr>
      <t xml:space="preserve">못난이인절미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大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</si>
  <si>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판인절미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쑥</t>
    </r>
    <r>
      <rPr>
        <sz val="9"/>
        <rFont val="맑은 고딕"/>
        <family val="0"/>
        <charset val="1"/>
      </rPr>
      <t xml:space="preserve">)</t>
    </r>
  </si>
  <si>
    <t xml:space="preserve">제로슈거 왕찹쌀떡</t>
  </si>
  <si>
    <r>
      <rPr>
        <sz val="9"/>
        <rFont val="Noto Sans CJK SC"/>
        <family val="2"/>
      </rPr>
      <t xml:space="preserve">제로슈거 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</si>
  <si>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판인절미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백</t>
    </r>
    <r>
      <rPr>
        <sz val="9"/>
        <rFont val="맑은 고딕"/>
        <family val="0"/>
        <charset val="1"/>
      </rPr>
      <t xml:space="preserve">)</t>
    </r>
  </si>
  <si>
    <t xml:space="preserve">못난이</t>
  </si>
  <si>
    <t xml:space="preserve">제로슈거 콩고물쑥떡</t>
  </si>
  <si>
    <t xml:space="preserve">B2C</t>
  </si>
  <si>
    <r>
      <rPr>
        <sz val="9"/>
        <rFont val="Noto Sans CJK SC"/>
        <family val="2"/>
      </rPr>
      <t xml:space="preserve">곤드레약밥 </t>
    </r>
    <r>
      <rPr>
        <sz val="9"/>
        <rFont val="맑은 고딕"/>
        <family val="0"/>
        <charset val="1"/>
      </rPr>
      <t xml:space="preserve">(50gX20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</si>
  <si>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혼합약밥 </t>
    </r>
    <r>
      <rPr>
        <sz val="9"/>
        <rFont val="맑은 고딕"/>
        <family val="0"/>
        <charset val="1"/>
      </rPr>
      <t xml:space="preserve">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x2</t>
    </r>
  </si>
  <si>
    <r>
      <rPr>
        <sz val="9"/>
        <rFont val="Noto Sans CJK SC"/>
        <family val="2"/>
      </rPr>
      <t xml:space="preserve">꿀설기 </t>
    </r>
    <r>
      <rPr>
        <sz val="9"/>
        <rFont val="맑은 고딕"/>
        <family val="0"/>
        <charset val="1"/>
      </rPr>
      <t xml:space="preserve">(50gX20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</si>
  <si>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꿀설기 </t>
    </r>
    <r>
      <rPr>
        <sz val="9"/>
        <rFont val="맑은 고딕"/>
        <family val="0"/>
        <charset val="1"/>
      </rPr>
      <t xml:space="preserve">(50gX40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</si>
  <si>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종설기 </t>
    </r>
    <r>
      <rPr>
        <sz val="9"/>
        <rFont val="맑은 고딕"/>
        <family val="0"/>
        <charset val="1"/>
      </rPr>
      <t xml:space="preserve">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x1</t>
    </r>
  </si>
  <si>
    <r>
      <rPr>
        <sz val="9"/>
        <rFont val="Noto Sans CJK SC"/>
        <family val="2"/>
      </rPr>
      <t xml:space="preserve">다이스인절미 </t>
    </r>
    <r>
      <rPr>
        <sz val="9"/>
        <rFont val="맑은 고딕"/>
        <family val="0"/>
        <charset val="1"/>
      </rPr>
      <t xml:space="preserve">(2kg)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</si>
  <si>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마카다미아왕찹쌀떡 </t>
    </r>
    <r>
      <rPr>
        <sz val="9"/>
        <rFont val="맑은 고딕"/>
        <family val="0"/>
        <charset val="1"/>
      </rPr>
      <t xml:space="preserve">(80gX20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</si>
  <si>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쑥개떡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</si>
  <si>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콩고물 쑥앙금인절미 </t>
    </r>
    <r>
      <rPr>
        <sz val="9"/>
        <rFont val="맑은 고딕"/>
        <family val="0"/>
        <charset val="1"/>
      </rPr>
      <t xml:space="preserve">(40gX20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</si>
  <si>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왕찹쌀떡 </t>
    </r>
    <r>
      <rPr>
        <sz val="9"/>
        <rFont val="맑은 고딕"/>
        <family val="0"/>
        <charset val="1"/>
      </rPr>
      <t xml:space="preserve">(60gX30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</si>
  <si>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우유설기 </t>
    </r>
    <r>
      <rPr>
        <sz val="9"/>
        <rFont val="맑은 고딕"/>
        <family val="0"/>
        <charset val="1"/>
      </rPr>
      <t xml:space="preserve">(50gX20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</si>
  <si>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우유설기 </t>
    </r>
    <r>
      <rPr>
        <sz val="9"/>
        <rFont val="맑은 고딕"/>
        <family val="0"/>
        <charset val="1"/>
      </rPr>
      <t xml:space="preserve">(50gX40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</si>
  <si>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카스테라 쑥앙금인절미 </t>
    </r>
    <r>
      <rPr>
        <sz val="9"/>
        <rFont val="맑은 고딕"/>
        <family val="0"/>
        <charset val="1"/>
      </rPr>
      <t xml:space="preserve">(40gX20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</si>
  <si>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카스테라 앙금인절미 </t>
    </r>
    <r>
      <rPr>
        <sz val="9"/>
        <rFont val="맑은 고딕"/>
        <family val="0"/>
        <charset val="1"/>
      </rPr>
      <t xml:space="preserve">(40gX20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</si>
  <si>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팥앙금</t>
    </r>
    <r>
      <rPr>
        <sz val="9"/>
        <rFont val="맑은 고딕"/>
        <family val="0"/>
        <charset val="1"/>
      </rPr>
      <t xml:space="preserve">) (60gX30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</si>
  <si>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동부앙금</t>
    </r>
    <r>
      <rPr>
        <sz val="9"/>
        <rFont val="맑은 고딕"/>
        <family val="0"/>
        <charset val="1"/>
      </rPr>
      <t xml:space="preserve">) (60gX30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</si>
  <si>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못난이인절미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대</t>
    </r>
    <r>
      <rPr>
        <sz val="9"/>
        <rFont val="맑은 고딕"/>
        <family val="0"/>
        <charset val="1"/>
      </rPr>
      <t xml:space="preserve">) (30gX60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</si>
  <si>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백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호두찹쌀떡 </t>
    </r>
    <r>
      <rPr>
        <sz val="9"/>
        <rFont val="맑은 고딕"/>
        <family val="0"/>
        <charset val="1"/>
      </rPr>
      <t xml:space="preserve">(60gX20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</si>
  <si>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혼합약밥 </t>
    </r>
    <r>
      <rPr>
        <sz val="9"/>
        <rFont val="맑은 고딕"/>
        <family val="0"/>
        <charset val="1"/>
      </rPr>
      <t xml:space="preserve">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x7</t>
    </r>
  </si>
  <si>
    <r>
      <rPr>
        <sz val="9"/>
        <rFont val="Noto Sans CJK SC"/>
        <family val="2"/>
      </rPr>
      <t xml:space="preserve">다이스인절미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</si>
  <si>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대추고약밥 </t>
    </r>
    <r>
      <rPr>
        <sz val="9"/>
        <rFont val="맑은 고딕"/>
        <family val="0"/>
        <charset val="1"/>
      </rPr>
      <t xml:space="preserve">(50gX20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</si>
  <si>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우유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백설기 </t>
    </r>
    <r>
      <rPr>
        <sz val="9"/>
        <rFont val="맑은 고딕"/>
        <family val="0"/>
        <charset val="1"/>
      </rPr>
      <t xml:space="preserve">(50gX20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</si>
  <si>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카스테라설기 </t>
    </r>
    <r>
      <rPr>
        <sz val="9"/>
        <rFont val="맑은 고딕"/>
        <family val="0"/>
        <charset val="1"/>
      </rPr>
      <t xml:space="preserve">(50gX10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</si>
  <si>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콩고물쑥떡 </t>
    </r>
    <r>
      <rPr>
        <sz val="9"/>
        <rFont val="맑은 고딕"/>
        <family val="0"/>
        <charset val="1"/>
      </rPr>
      <t xml:space="preserve">(1.8kg)</t>
    </r>
  </si>
  <si>
    <r>
      <rPr>
        <sz val="9"/>
        <rFont val="Noto Sans CJK SC"/>
        <family val="2"/>
      </rPr>
      <t xml:space="preserve">한입빙수인절미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</si>
  <si>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호두찹쌀떡 </t>
    </r>
    <r>
      <rPr>
        <sz val="9"/>
        <rFont val="맑은 고딕"/>
        <family val="0"/>
        <charset val="1"/>
      </rPr>
      <t xml:space="preserve">(60gX20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</si>
  <si>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혼합약밥 </t>
    </r>
    <r>
      <rPr>
        <sz val="9"/>
        <rFont val="맑은 고딕"/>
        <family val="0"/>
        <charset val="1"/>
      </rPr>
      <t xml:space="preserve">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x1</t>
    </r>
  </si>
  <si>
    <r>
      <rPr>
        <sz val="9"/>
        <rFont val="Noto Sans CJK SC"/>
        <family val="2"/>
      </rPr>
      <t xml:space="preserve">모시개떡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</si>
  <si>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팥앙금</t>
    </r>
    <r>
      <rPr>
        <sz val="9"/>
        <rFont val="맑은 고딕"/>
        <family val="0"/>
        <charset val="1"/>
      </rPr>
      <t xml:space="preserve">) (60gX15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</si>
  <si>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동부앙금</t>
    </r>
    <r>
      <rPr>
        <sz val="9"/>
        <rFont val="맑은 고딕"/>
        <family val="0"/>
        <charset val="1"/>
      </rPr>
      <t xml:space="preserve">) (60gX15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</si>
  <si>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한입빙수인절미 </t>
    </r>
    <r>
      <rPr>
        <sz val="9"/>
        <rFont val="맑은 고딕"/>
        <family val="0"/>
        <charset val="1"/>
      </rPr>
      <t xml:space="preserve">(2kg)</t>
    </r>
  </si>
  <si>
    <r>
      <rPr>
        <sz val="9"/>
        <rFont val="Noto Sans CJK SC"/>
        <family val="2"/>
      </rPr>
      <t xml:space="preserve">호박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꿀설기 </t>
    </r>
    <r>
      <rPr>
        <sz val="9"/>
        <rFont val="맑은 고딕"/>
        <family val="0"/>
        <charset val="1"/>
      </rPr>
      <t xml:space="preserve">(50gX10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</si>
  <si>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흑임자약밥 </t>
    </r>
    <r>
      <rPr>
        <sz val="9"/>
        <rFont val="맑은 고딕"/>
        <family val="0"/>
        <charset val="1"/>
      </rPr>
      <t xml:space="preserve">(50gX20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</si>
  <si>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종설기 </t>
    </r>
    <r>
      <rPr>
        <sz val="9"/>
        <rFont val="맑은 고딕"/>
        <family val="0"/>
        <charset val="1"/>
      </rPr>
      <t xml:space="preserve">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x1</t>
    </r>
  </si>
  <si>
    <r>
      <rPr>
        <sz val="9"/>
        <rFont val="Noto Sans CJK SC"/>
        <family val="2"/>
      </rPr>
      <t xml:space="preserve">쑥개떡</t>
    </r>
    <r>
      <rPr>
        <sz val="9"/>
        <rFont val="맑은 고딕"/>
        <family val="0"/>
        <charset val="1"/>
      </rPr>
      <t xml:space="preserve">(1kg)+</t>
    </r>
    <r>
      <rPr>
        <sz val="9"/>
        <rFont val="Noto Sans CJK SC"/>
        <family val="2"/>
      </rPr>
      <t xml:space="preserve">모시개떡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</si>
  <si>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쑥인절미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</si>
  <si>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혼합약밥 </t>
    </r>
    <r>
      <rPr>
        <sz val="9"/>
        <rFont val="맑은 고딕"/>
        <family val="0"/>
        <charset val="1"/>
      </rPr>
      <t xml:space="preserve">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x8</t>
    </r>
  </si>
  <si>
    <r>
      <rPr>
        <sz val="9"/>
        <rFont val="Noto Sans CJK SC"/>
        <family val="2"/>
      </rPr>
      <t xml:space="preserve">단호박약밥 </t>
    </r>
    <r>
      <rPr>
        <sz val="9"/>
        <rFont val="맑은 고딕"/>
        <family val="0"/>
        <charset val="1"/>
      </rPr>
      <t xml:space="preserve">(50gX20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</si>
  <si>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색송편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</si>
  <si>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멥쌀가루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</si>
  <si>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우유설기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꿀설기 </t>
    </r>
    <r>
      <rPr>
        <sz val="9"/>
        <rFont val="맑은 고딕"/>
        <family val="0"/>
        <charset val="1"/>
      </rPr>
      <t xml:space="preserve">(50gX40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</si>
  <si>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종설기 </t>
    </r>
    <r>
      <rPr>
        <sz val="9"/>
        <rFont val="맑은 고딕"/>
        <family val="0"/>
        <charset val="1"/>
      </rPr>
      <t xml:space="preserve">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x2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</si>
  <si>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종 떡선물세트 </t>
    </r>
    <r>
      <rPr>
        <sz val="9"/>
        <rFont val="맑은 고딕"/>
        <family val="0"/>
        <charset val="1"/>
      </rPr>
      <t xml:space="preserve">(30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</si>
  <si>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 앙금인절미 </t>
    </r>
    <r>
      <rPr>
        <sz val="9"/>
        <rFont val="맑은 고딕"/>
        <family val="0"/>
        <charset val="1"/>
      </rPr>
      <t xml:space="preserve">(40gX20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</si>
  <si>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t xml:space="preserve">한입빙수</t>
  </si>
  <si>
    <r>
      <rPr>
        <sz val="9"/>
        <rFont val="Noto Sans CJK SC"/>
        <family val="2"/>
      </rPr>
      <t xml:space="preserve">우유꿀설기 </t>
    </r>
    <r>
      <rPr>
        <sz val="9"/>
        <rFont val="맑은 고딕"/>
        <family val="0"/>
        <charset val="1"/>
      </rPr>
      <t xml:space="preserve">(50gX40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</si>
  <si>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종마카다미아</t>
    </r>
  </si>
  <si>
    <t xml:space="preserve">카스텔라쑥앙금인절미</t>
  </si>
  <si>
    <r>
      <rPr>
        <sz val="9"/>
        <rFont val="Noto Sans CJK SC"/>
        <family val="2"/>
      </rPr>
      <t xml:space="preserve">쑥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꿀설기 </t>
    </r>
    <r>
      <rPr>
        <sz val="9"/>
        <rFont val="맑은 고딕"/>
        <family val="0"/>
        <charset val="1"/>
      </rPr>
      <t xml:space="preserve">(50gX10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</si>
  <si>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t xml:space="preserve">송편</t>
  </si>
  <si>
    <r>
      <rPr>
        <sz val="9"/>
        <rFont val="Noto Sans CJK SC"/>
        <family val="2"/>
      </rPr>
      <t xml:space="preserve">쑥개떡</t>
    </r>
    <r>
      <rPr>
        <sz val="9"/>
        <rFont val="맑은 고딕"/>
        <family val="0"/>
        <charset val="1"/>
      </rPr>
      <t xml:space="preserve">(1kg)+</t>
    </r>
    <r>
      <rPr>
        <sz val="9"/>
        <rFont val="Noto Sans CJK SC"/>
        <family val="2"/>
      </rPr>
      <t xml:space="preserve">쑥개떡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</si>
  <si>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못난이인절미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소</t>
    </r>
    <r>
      <rPr>
        <sz val="9"/>
        <rFont val="맑은 고딕"/>
        <family val="0"/>
        <charset val="1"/>
      </rPr>
      <t xml:space="preserve">) (30gX30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</si>
  <si>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t xml:space="preserve">사계</t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</si>
  <si>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고구마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</si>
  <si>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딸기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</si>
  <si>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말차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</si>
  <si>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초코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</si>
  <si>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치즈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</si>
  <si>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흑임자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</si>
  <si>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종마카다미아</t>
    </r>
    <r>
      <rPr>
        <sz val="9"/>
        <rFont val="맑은 고딕"/>
        <family val="0"/>
        <charset val="1"/>
      </rPr>
      <t xml:space="preserve">(80g*20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</si>
  <si>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종마카다미아 </t>
    </r>
    <r>
      <rPr>
        <sz val="9"/>
        <rFont val="맑은 고딕"/>
        <family val="0"/>
        <charset val="1"/>
      </rPr>
      <t xml:space="preserve">(80g*20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</si>
  <si>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종설기 </t>
    </r>
    <r>
      <rPr>
        <sz val="9"/>
        <rFont val="맑은 고딕"/>
        <family val="0"/>
        <charset val="1"/>
      </rPr>
      <t xml:space="preserve">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x2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</si>
  <si>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팥앙금</t>
    </r>
    <r>
      <rPr>
        <sz val="9"/>
        <rFont val="맑은 고딕"/>
        <family val="0"/>
        <charset val="1"/>
      </rPr>
      <t xml:space="preserve">)+</t>
    </r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팥앙금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</si>
  <si>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미미스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떡마루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</si>
  <si>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168</t>
    </r>
    <r>
      <rPr>
        <sz val="9"/>
        <rFont val="Noto Sans CJK SC"/>
        <family val="2"/>
      </rPr>
      <t xml:space="preserve">카톤 </t>
    </r>
    <r>
      <rPr>
        <sz val="9"/>
        <rFont val="맑은 고딕"/>
        <family val="0"/>
        <charset val="1"/>
      </rPr>
      <t xml:space="preserve">(12</t>
    </r>
    <r>
      <rPr>
        <sz val="9"/>
        <rFont val="Noto Sans CJK SC"/>
        <family val="2"/>
      </rPr>
      <t xml:space="preserve">봉</t>
    </r>
    <r>
      <rPr>
        <sz val="9"/>
        <rFont val="맑은 고딕"/>
        <family val="0"/>
        <charset val="1"/>
      </rPr>
      <t xml:space="preserve">x16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x50g)</t>
    </r>
  </si>
  <si>
    <r>
      <rPr>
        <sz val="9"/>
        <rFont val="Noto Sans CJK SC"/>
        <family val="2"/>
      </rPr>
      <t xml:space="preserve">쑥떡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종세트 </t>
    </r>
    <r>
      <rPr>
        <sz val="9"/>
        <rFont val="맑은 고딕"/>
        <family val="0"/>
        <charset val="1"/>
      </rPr>
      <t xml:space="preserve">(2.8kg)</t>
    </r>
  </si>
  <si>
    <t xml:space="preserve">푸드샵</t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</si>
  <si>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고구마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  <r>
      <rPr>
        <sz val="9"/>
        <rFont val="맑은 고딕"/>
        <family val="0"/>
        <charset val="1"/>
      </rPr>
      <t xml:space="preserve">x1</t>
    </r>
    <r>
      <rPr>
        <sz val="9"/>
        <rFont val="Noto Sans CJK SC"/>
        <family val="2"/>
      </rPr>
      <t xml:space="preserve">박스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</si>
  <si>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딸기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  <r>
      <rPr>
        <sz val="9"/>
        <rFont val="맑은 고딕"/>
        <family val="0"/>
        <charset val="1"/>
      </rPr>
      <t xml:space="preserve">x1</t>
    </r>
    <r>
      <rPr>
        <sz val="9"/>
        <rFont val="Noto Sans CJK SC"/>
        <family val="2"/>
      </rPr>
      <t xml:space="preserve">박스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</si>
  <si>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말차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  <r>
      <rPr>
        <sz val="9"/>
        <rFont val="맑은 고딕"/>
        <family val="0"/>
        <charset val="1"/>
      </rPr>
      <t xml:space="preserve">x1</t>
    </r>
    <r>
      <rPr>
        <sz val="9"/>
        <rFont val="Noto Sans CJK SC"/>
        <family val="2"/>
      </rPr>
      <t xml:space="preserve">박스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</si>
  <si>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초코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  <r>
      <rPr>
        <sz val="9"/>
        <rFont val="맑은 고딕"/>
        <family val="0"/>
        <charset val="1"/>
      </rPr>
      <t xml:space="preserve">x1</t>
    </r>
    <r>
      <rPr>
        <sz val="9"/>
        <rFont val="Noto Sans CJK SC"/>
        <family val="2"/>
      </rPr>
      <t xml:space="preserve">박스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</si>
  <si>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치즈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  <r>
      <rPr>
        <sz val="9"/>
        <rFont val="맑은 고딕"/>
        <family val="0"/>
        <charset val="1"/>
      </rPr>
      <t xml:space="preserve">x1</t>
    </r>
    <r>
      <rPr>
        <sz val="9"/>
        <rFont val="Noto Sans CJK SC"/>
        <family val="2"/>
      </rPr>
      <t xml:space="preserve">박스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</si>
  <si>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흑임자</t>
    </r>
    <r>
      <rPr>
        <sz val="9"/>
        <rFont val="맑은 고딕"/>
        <family val="0"/>
        <charset val="1"/>
      </rPr>
      <t xml:space="preserve">) 6</t>
    </r>
    <r>
      <rPr>
        <sz val="9"/>
        <rFont val="Noto Sans CJK SC"/>
        <family val="2"/>
      </rPr>
      <t xml:space="preserve">개입</t>
    </r>
    <r>
      <rPr>
        <sz val="9"/>
        <rFont val="맑은 고딕"/>
        <family val="0"/>
        <charset val="1"/>
      </rPr>
      <t xml:space="preserve">x1</t>
    </r>
    <r>
      <rPr>
        <sz val="9"/>
        <rFont val="Noto Sans CJK SC"/>
        <family val="2"/>
      </rPr>
      <t xml:space="preserve">박스</t>
    </r>
  </si>
  <si>
    <t xml:space="preserve">이지다인</t>
  </si>
  <si>
    <r>
      <rPr>
        <sz val="9"/>
        <rFont val="Noto Sans CJK SC"/>
        <family val="2"/>
      </rPr>
      <t xml:space="preserve">쑥인절미 </t>
    </r>
    <r>
      <rPr>
        <sz val="9"/>
        <rFont val="맑은 고딕"/>
        <family val="0"/>
        <charset val="1"/>
      </rPr>
      <t xml:space="preserve">1kg</t>
    </r>
  </si>
  <si>
    <r>
      <rPr>
        <sz val="9"/>
        <rFont val="Noto Sans CJK SC"/>
        <family val="2"/>
      </rPr>
      <t xml:space="preserve">백인절미 </t>
    </r>
    <r>
      <rPr>
        <sz val="9"/>
        <rFont val="맑은 고딕"/>
        <family val="0"/>
        <charset val="1"/>
      </rPr>
      <t xml:space="preserve">1kg</t>
    </r>
  </si>
  <si>
    <r>
      <rPr>
        <sz val="9"/>
        <rFont val="맑은 고딕"/>
        <family val="0"/>
        <charset val="1"/>
      </rPr>
      <t xml:space="preserve">285</t>
    </r>
    <r>
      <rPr>
        <sz val="9"/>
        <rFont val="Noto Sans CJK SC"/>
        <family val="2"/>
      </rPr>
      <t xml:space="preserve">카톤 </t>
    </r>
    <r>
      <rPr>
        <sz val="9"/>
        <rFont val="맑은 고딕"/>
        <family val="0"/>
        <charset val="1"/>
      </rPr>
      <t xml:space="preserve">(12</t>
    </r>
    <r>
      <rPr>
        <sz val="9"/>
        <rFont val="Noto Sans CJK SC"/>
        <family val="2"/>
      </rPr>
      <t xml:space="preserve">봉</t>
    </r>
    <r>
      <rPr>
        <sz val="9"/>
        <rFont val="맑은 고딕"/>
        <family val="0"/>
        <charset val="1"/>
      </rPr>
      <t xml:space="preserve">x16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x50g)</t>
    </r>
  </si>
  <si>
    <r>
      <rPr>
        <sz val="9"/>
        <rFont val="Noto Sans CJK SC"/>
        <family val="2"/>
      </rPr>
      <t xml:space="preserve">초코롤크림떡 </t>
    </r>
    <r>
      <rPr>
        <sz val="9"/>
        <rFont val="맑은 고딕"/>
        <family val="0"/>
        <charset val="1"/>
      </rPr>
      <t xml:space="preserve">60g</t>
    </r>
  </si>
  <si>
    <r>
      <rPr>
        <sz val="9"/>
        <rFont val="Noto Sans CJK SC"/>
        <family val="2"/>
      </rPr>
      <t xml:space="preserve">혼합마카다미아</t>
    </r>
    <r>
      <rPr>
        <sz val="9"/>
        <rFont val="맑은 고딕"/>
        <family val="0"/>
        <charset val="1"/>
      </rPr>
      <t xml:space="preserve">(4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 60g</t>
    </r>
  </si>
  <si>
    <t xml:space="preserve">초코롤크림떡</t>
  </si>
  <si>
    <r>
      <rPr>
        <sz val="9"/>
        <rFont val="Noto Sans CJK SC"/>
        <family val="2"/>
      </rPr>
      <t xml:space="preserve">혼합마카다미아</t>
    </r>
    <r>
      <rPr>
        <sz val="9"/>
        <rFont val="맑은 고딕"/>
        <family val="0"/>
        <charset val="1"/>
      </rPr>
      <t xml:space="preserve">(4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</si>
  <si>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종혼합마카다미아왕찹쌀떡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</si>
  <si>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종마카다미아왕찹쌀떡</t>
    </r>
  </si>
  <si>
    <r>
      <rPr>
        <sz val="9"/>
        <rFont val="Noto Sans CJK SC"/>
        <family val="2"/>
      </rPr>
      <t xml:space="preserve">선물세트</t>
    </r>
    <r>
      <rPr>
        <sz val="9"/>
        <rFont val="맑은 고딕"/>
        <family val="0"/>
        <charset val="1"/>
      </rPr>
      <t xml:space="preserve">(196SET*20EA)</t>
    </r>
  </si>
  <si>
    <r>
      <rPr>
        <sz val="9"/>
        <rFont val="Noto Sans CJK SC"/>
        <family val="2"/>
      </rPr>
      <t xml:space="preserve">혼합약밥 </t>
    </r>
    <r>
      <rPr>
        <sz val="9"/>
        <rFont val="맑은 고딕"/>
        <family val="0"/>
        <charset val="1"/>
      </rPr>
      <t xml:space="preserve">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x14</t>
    </r>
  </si>
  <si>
    <r>
      <rPr>
        <sz val="9"/>
        <rFont val="Noto Sans CJK SC"/>
        <family val="2"/>
      </rPr>
      <t xml:space="preserve">꿀설기</t>
    </r>
    <r>
      <rPr>
        <sz val="9"/>
        <rFont val="맑은 고딕"/>
        <family val="0"/>
        <charset val="1"/>
      </rPr>
      <t xml:space="preserve">*3</t>
    </r>
    <r>
      <rPr>
        <sz val="9"/>
        <rFont val="Noto Sans CJK SC"/>
        <family val="2"/>
      </rPr>
      <t xml:space="preserve">종 </t>
    </r>
    <r>
      <rPr>
        <sz val="9"/>
        <rFont val="맑은 고딕"/>
        <family val="0"/>
        <charset val="1"/>
      </rPr>
      <t xml:space="preserve">(50gX15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</si>
  <si>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건강약밥 </t>
    </r>
    <r>
      <rPr>
        <sz val="9"/>
        <rFont val="맑은 고딕"/>
        <family val="0"/>
        <charset val="1"/>
      </rPr>
      <t xml:space="preserve">(50gX40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</si>
  <si>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마카다미아왕찹쌀떡 </t>
    </r>
    <r>
      <rPr>
        <sz val="9"/>
        <rFont val="맑은 고딕"/>
        <family val="0"/>
        <charset val="1"/>
      </rPr>
      <t xml:space="preserve">(80gX15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</si>
  <si>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백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마카다미아왕찹쌀떡 </t>
    </r>
    <r>
      <rPr>
        <sz val="9"/>
        <rFont val="맑은 고딕"/>
        <family val="0"/>
        <charset val="1"/>
      </rPr>
      <t xml:space="preserve">(80gX15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</si>
  <si>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백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마카다미아왕찹쌀떡 </t>
    </r>
    <r>
      <rPr>
        <sz val="9"/>
        <rFont val="맑은 고딕"/>
        <family val="0"/>
        <charset val="1"/>
      </rPr>
      <t xml:space="preserve">(80gX20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</si>
  <si>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반반앙금</t>
    </r>
    <r>
      <rPr>
        <sz val="9"/>
        <rFont val="맑은 고딕"/>
        <family val="0"/>
        <charset val="1"/>
      </rPr>
      <t xml:space="preserve">) (60gX30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</si>
  <si>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팥앙금</t>
    </r>
    <r>
      <rPr>
        <sz val="9"/>
        <rFont val="맑은 고딕"/>
        <family val="0"/>
        <charset val="1"/>
      </rPr>
      <t xml:space="preserve">)+</t>
    </r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동부앙금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</si>
  <si>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동부앙금</t>
    </r>
    <r>
      <rPr>
        <sz val="9"/>
        <rFont val="맑은 고딕"/>
        <family val="0"/>
        <charset val="1"/>
      </rPr>
      <t xml:space="preserve">)+</t>
    </r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동부앙금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</si>
  <si>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색송편</t>
    </r>
    <r>
      <rPr>
        <sz val="9"/>
        <rFont val="맑은 고딕"/>
        <family val="0"/>
        <charset val="1"/>
      </rPr>
      <t xml:space="preserve">(1kg)+5</t>
    </r>
    <r>
      <rPr>
        <sz val="9"/>
        <rFont val="Noto Sans CJK SC"/>
        <family val="2"/>
      </rPr>
      <t xml:space="preserve">색송편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</si>
  <si>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맑은 고딕"/>
        <family val="0"/>
        <charset val="1"/>
      </rPr>
      <t xml:space="preserve">268</t>
    </r>
    <r>
      <rPr>
        <sz val="9"/>
        <rFont val="Noto Sans CJK SC"/>
        <family val="2"/>
      </rPr>
      <t xml:space="preserve">카톤 </t>
    </r>
    <r>
      <rPr>
        <sz val="9"/>
        <rFont val="맑은 고딕"/>
        <family val="0"/>
        <charset val="1"/>
      </rPr>
      <t xml:space="preserve">(12</t>
    </r>
    <r>
      <rPr>
        <sz val="9"/>
        <rFont val="Noto Sans CJK SC"/>
        <family val="2"/>
      </rPr>
      <t xml:space="preserve">봉</t>
    </r>
    <r>
      <rPr>
        <sz val="9"/>
        <rFont val="맑은 고딕"/>
        <family val="0"/>
        <charset val="1"/>
      </rPr>
      <t xml:space="preserve">x16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x50g)</t>
    </r>
  </si>
  <si>
    <r>
      <rPr>
        <sz val="9"/>
        <rFont val="Noto Sans CJK SC"/>
        <family val="2"/>
      </rPr>
      <t xml:space="preserve">멥쌀가루 </t>
    </r>
    <r>
      <rPr>
        <sz val="9"/>
        <rFont val="맑은 고딕"/>
        <family val="0"/>
        <charset val="1"/>
      </rPr>
      <t xml:space="preserve">(2kg)</t>
    </r>
  </si>
  <si>
    <r>
      <rPr>
        <sz val="9"/>
        <rFont val="Noto Sans CJK SC"/>
        <family val="2"/>
      </rPr>
      <t xml:space="preserve">카스테라앙금인절미 </t>
    </r>
    <r>
      <rPr>
        <sz val="9"/>
        <rFont val="맑은 고딕"/>
        <family val="0"/>
        <charset val="1"/>
      </rPr>
      <t xml:space="preserve">(40gX20ea)</t>
    </r>
  </si>
  <si>
    <r>
      <rPr>
        <sz val="9"/>
        <rFont val="Noto Sans CJK SC"/>
        <family val="2"/>
      </rPr>
      <t xml:space="preserve">카스테라 앙금인절미 </t>
    </r>
    <r>
      <rPr>
        <sz val="9"/>
        <rFont val="맑은 고딕"/>
        <family val="0"/>
        <charset val="1"/>
      </rPr>
      <t xml:space="preserve">(40gX40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</si>
  <si>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백인절미 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</si>
  <si>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Noto Sans CJK SC"/>
        <family val="2"/>
      </rPr>
      <t xml:space="preserve">혼합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종설기 </t>
    </r>
    <r>
      <rPr>
        <sz val="9"/>
        <rFont val="맑은 고딕"/>
        <family val="0"/>
        <charset val="1"/>
      </rPr>
      <t xml:space="preserve">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x3</t>
    </r>
  </si>
  <si>
    <r>
      <rPr>
        <sz val="9"/>
        <rFont val="Noto Sans CJK SC"/>
        <family val="2"/>
      </rPr>
      <t xml:space="preserve">대추고약밥 </t>
    </r>
    <r>
      <rPr>
        <sz val="9"/>
        <rFont val="맑은 고딕"/>
        <family val="0"/>
        <charset val="1"/>
      </rPr>
      <t xml:space="preserve">(50gX40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</si>
  <si>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t xml:space="preserve">미미스</t>
  </si>
  <si>
    <r>
      <rPr>
        <sz val="9"/>
        <rFont val="맑은 고딕"/>
        <family val="0"/>
        <charset val="1"/>
      </rPr>
      <t xml:space="preserve">321</t>
    </r>
    <r>
      <rPr>
        <sz val="9"/>
        <rFont val="Noto Sans CJK SC"/>
        <family val="2"/>
      </rPr>
      <t xml:space="preserve">카톤 </t>
    </r>
    <r>
      <rPr>
        <sz val="9"/>
        <rFont val="맑은 고딕"/>
        <family val="0"/>
        <charset val="1"/>
      </rPr>
      <t xml:space="preserve">(12</t>
    </r>
    <r>
      <rPr>
        <sz val="9"/>
        <rFont val="Noto Sans CJK SC"/>
        <family val="2"/>
      </rPr>
      <t xml:space="preserve">봉</t>
    </r>
    <r>
      <rPr>
        <sz val="9"/>
        <rFont val="맑은 고딕"/>
        <family val="0"/>
        <charset val="1"/>
      </rPr>
      <t xml:space="preserve">x16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x50g)</t>
    </r>
  </si>
  <si>
    <r>
      <rPr>
        <sz val="9"/>
        <rFont val="Noto Sans CJK SC"/>
        <family val="2"/>
      </rPr>
      <t xml:space="preserve">마카다미아왕찹쌀떡 </t>
    </r>
    <r>
      <rPr>
        <sz val="9"/>
        <rFont val="맑은 고딕"/>
        <family val="0"/>
        <charset val="1"/>
      </rPr>
      <t xml:space="preserve">80g</t>
    </r>
  </si>
  <si>
    <r>
      <rPr>
        <sz val="9"/>
        <rFont val="Noto Sans CJK SC"/>
        <family val="2"/>
      </rPr>
      <t xml:space="preserve">판인절미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쑥</t>
    </r>
    <r>
      <rPr>
        <sz val="9"/>
        <rFont val="맑은 고딕"/>
        <family val="0"/>
        <charset val="1"/>
      </rPr>
      <t xml:space="preserve">) 1kg</t>
    </r>
  </si>
  <si>
    <r>
      <rPr>
        <sz val="9"/>
        <rFont val="Noto Sans CJK SC"/>
        <family val="2"/>
      </rPr>
      <t xml:space="preserve">판인절미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백</t>
    </r>
    <r>
      <rPr>
        <sz val="9"/>
        <rFont val="맑은 고딕"/>
        <family val="0"/>
        <charset val="1"/>
      </rPr>
      <t xml:space="preserve">) 1kg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</si>
  <si>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고구마</t>
    </r>
    <r>
      <rPr>
        <sz val="9"/>
        <rFont val="맑은 고딕"/>
        <family val="0"/>
        <charset val="1"/>
      </rPr>
      <t xml:space="preserve">) 60g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</si>
  <si>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딸기</t>
    </r>
    <r>
      <rPr>
        <sz val="9"/>
        <rFont val="맑은 고딕"/>
        <family val="0"/>
        <charset val="1"/>
      </rPr>
      <t xml:space="preserve">) 60g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</si>
  <si>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말차</t>
    </r>
    <r>
      <rPr>
        <sz val="9"/>
        <rFont val="맑은 고딕"/>
        <family val="0"/>
        <charset val="1"/>
      </rPr>
      <t xml:space="preserve">) 60g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</si>
  <si>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초코</t>
    </r>
    <r>
      <rPr>
        <sz val="9"/>
        <rFont val="맑은 고딕"/>
        <family val="0"/>
        <charset val="1"/>
      </rPr>
      <t xml:space="preserve">) 60g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</si>
  <si>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치즈</t>
    </r>
    <r>
      <rPr>
        <sz val="9"/>
        <rFont val="맑은 고딕"/>
        <family val="0"/>
        <charset val="1"/>
      </rPr>
      <t xml:space="preserve">) 60g</t>
    </r>
  </si>
  <si>
    <r>
      <rPr>
        <sz val="9"/>
        <rFont val="Noto Sans CJK SC"/>
        <family val="2"/>
      </rPr>
      <t xml:space="preserve">롤크림떡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흑임자</t>
    </r>
    <r>
      <rPr>
        <sz val="9"/>
        <rFont val="맑은 고딕"/>
        <family val="0"/>
        <charset val="1"/>
      </rPr>
      <t xml:space="preserve">) 60g</t>
    </r>
  </si>
  <si>
    <r>
      <rPr>
        <sz val="9"/>
        <rFont val="Noto Sans CJK SC"/>
        <family val="2"/>
      </rPr>
      <t xml:space="preserve">카스테라앙금인절미 </t>
    </r>
    <r>
      <rPr>
        <sz val="9"/>
        <rFont val="맑은 고딕"/>
        <family val="0"/>
        <charset val="1"/>
      </rPr>
      <t xml:space="preserve">40g</t>
    </r>
  </si>
  <si>
    <r>
      <rPr>
        <sz val="9"/>
        <rFont val="Noto Sans CJK SC"/>
        <family val="2"/>
      </rPr>
      <t xml:space="preserve">혼합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종설기 </t>
    </r>
    <r>
      <rPr>
        <sz val="9"/>
        <rFont val="맑은 고딕"/>
        <family val="0"/>
        <charset val="1"/>
      </rPr>
      <t xml:space="preserve">40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x4</t>
    </r>
  </si>
  <si>
    <r>
      <rPr>
        <sz val="9"/>
        <rFont val="Noto Sans CJK SC"/>
        <family val="2"/>
      </rPr>
      <t xml:space="preserve">설맞이</t>
    </r>
    <r>
      <rPr>
        <sz val="9"/>
        <rFont val="맑은 고딕"/>
        <family val="0"/>
        <charset val="1"/>
      </rPr>
      <t xml:space="preserve">6</t>
    </r>
    <r>
      <rPr>
        <sz val="9"/>
        <rFont val="Noto Sans CJK SC"/>
        <family val="2"/>
      </rPr>
      <t xml:space="preserve">종 </t>
    </r>
    <r>
      <rPr>
        <sz val="9"/>
        <rFont val="맑은 고딕"/>
        <family val="0"/>
        <charset val="1"/>
      </rPr>
      <t xml:space="preserve">949</t>
    </r>
    <r>
      <rPr>
        <sz val="9"/>
        <rFont val="Noto Sans CJK SC"/>
        <family val="2"/>
      </rPr>
      <t xml:space="preserve">세트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</si>
  <si>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종마카다미아왕찹쌀떡 </t>
    </r>
    <r>
      <rPr>
        <sz val="9"/>
        <rFont val="맑은 고딕"/>
        <family val="0"/>
        <charset val="1"/>
      </rPr>
      <t xml:space="preserve">80g</t>
    </r>
  </si>
  <si>
    <r>
      <rPr>
        <sz val="9"/>
        <rFont val="맑은 고딕"/>
        <family val="0"/>
        <charset val="1"/>
      </rPr>
      <t xml:space="preserve">240</t>
    </r>
    <r>
      <rPr>
        <sz val="9"/>
        <rFont val="Noto Sans CJK SC"/>
        <family val="2"/>
      </rPr>
      <t xml:space="preserve">카톤 </t>
    </r>
    <r>
      <rPr>
        <sz val="9"/>
        <rFont val="맑은 고딕"/>
        <family val="0"/>
        <charset val="1"/>
      </rPr>
      <t xml:space="preserve">(12</t>
    </r>
    <r>
      <rPr>
        <sz val="9"/>
        <rFont val="Noto Sans CJK SC"/>
        <family val="2"/>
      </rPr>
      <t xml:space="preserve">봉</t>
    </r>
    <r>
      <rPr>
        <sz val="9"/>
        <rFont val="맑은 고딕"/>
        <family val="0"/>
        <charset val="1"/>
      </rPr>
      <t xml:space="preserve">x16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x50g)</t>
    </r>
  </si>
  <si>
    <r>
      <rPr>
        <sz val="9"/>
        <rFont val="Noto Sans CJK SC"/>
        <family val="2"/>
      </rPr>
      <t xml:space="preserve">마카다미아왕찹쌀떡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호박</t>
    </r>
    <r>
      <rPr>
        <sz val="9"/>
        <rFont val="맑은 고딕"/>
        <family val="0"/>
        <charset val="1"/>
      </rPr>
      <t xml:space="preserve">) 80g</t>
    </r>
  </si>
  <si>
    <r>
      <rPr>
        <sz val="9"/>
        <rFont val="Noto Sans CJK SC"/>
        <family val="2"/>
      </rPr>
      <t xml:space="preserve">마카다미아왕찹쌀떡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복분자</t>
    </r>
    <r>
      <rPr>
        <sz val="9"/>
        <rFont val="맑은 고딕"/>
        <family val="0"/>
        <charset val="1"/>
      </rPr>
      <t xml:space="preserve">) 80g</t>
    </r>
  </si>
  <si>
    <r>
      <rPr>
        <sz val="9"/>
        <rFont val="Noto Sans CJK SC"/>
        <family val="2"/>
      </rPr>
      <t xml:space="preserve">마카다미아왕찹쌀떡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쑥</t>
    </r>
    <r>
      <rPr>
        <sz val="9"/>
        <rFont val="맑은 고딕"/>
        <family val="0"/>
        <charset val="1"/>
      </rPr>
      <t xml:space="preserve">) 80g</t>
    </r>
  </si>
  <si>
    <r>
      <rPr>
        <sz val="9"/>
        <rFont val="Noto Sans CJK SC"/>
        <family val="2"/>
      </rPr>
      <t xml:space="preserve">마카다미아왕찹쌀떡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복분자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</si>
  <si>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마카다미아왕찹쌀떡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</si>
  <si>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마카다미아왕찹쌀떡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호박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</si>
  <si>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판인절마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쑥</t>
    </r>
    <r>
      <rPr>
        <sz val="9"/>
        <rFont val="맑은 고딕"/>
        <family val="0"/>
        <charset val="1"/>
      </rPr>
      <t xml:space="preserve">) 1kg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</si>
  <si>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벌크</t>
    </r>
    <r>
      <rPr>
        <sz val="9"/>
        <rFont val="맑은 고딕"/>
        <family val="0"/>
        <charset val="1"/>
      </rPr>
      <t xml:space="preserve">) 60g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</si>
  <si>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벌크</t>
    </r>
    <r>
      <rPr>
        <sz val="9"/>
        <rFont val="맑은 고딕"/>
        <family val="0"/>
        <charset val="1"/>
      </rPr>
      <t xml:space="preserve">)</t>
    </r>
  </si>
  <si>
    <t xml:space="preserve">백마카다미아왕찹쌀떡</t>
  </si>
  <si>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종혼합마카미아왕찹쌀떡</t>
    </r>
  </si>
  <si>
    <r>
      <rPr>
        <sz val="9"/>
        <rFont val="Noto Sans CJK SC"/>
        <family val="2"/>
      </rPr>
      <t xml:space="preserve">선물세트 </t>
    </r>
    <r>
      <rPr>
        <sz val="9"/>
        <rFont val="맑은 고딕"/>
        <family val="0"/>
        <charset val="1"/>
      </rPr>
      <t xml:space="preserve">196SET (6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세트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</si>
  <si>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선물세트 </t>
    </r>
    <r>
      <rPr>
        <sz val="9"/>
        <rFont val="맑은 고딕"/>
        <family val="0"/>
        <charset val="1"/>
      </rPr>
      <t xml:space="preserve">196SET (1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세트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</si>
  <si>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모시개떡</t>
    </r>
    <r>
      <rPr>
        <sz val="9"/>
        <rFont val="맑은 고딕"/>
        <family val="0"/>
        <charset val="1"/>
      </rPr>
      <t xml:space="preserve">(1kg)+</t>
    </r>
    <r>
      <rPr>
        <sz val="9"/>
        <rFont val="Noto Sans CJK SC"/>
        <family val="2"/>
      </rPr>
      <t xml:space="preserve">모시개떡</t>
    </r>
    <r>
      <rPr>
        <sz val="9"/>
        <rFont val="맑은 고딕"/>
        <family val="0"/>
        <charset val="1"/>
      </rPr>
      <t xml:space="preserve">(1kg)</t>
    </r>
  </si>
  <si>
    <r>
      <rPr>
        <sz val="9"/>
        <rFont val="맑은 고딕"/>
        <family val="0"/>
        <charset val="1"/>
      </rPr>
      <t xml:space="preserve">274</t>
    </r>
    <r>
      <rPr>
        <sz val="9"/>
        <rFont val="Noto Sans CJK SC"/>
        <family val="2"/>
      </rPr>
      <t xml:space="preserve">카톤 </t>
    </r>
    <r>
      <rPr>
        <sz val="9"/>
        <rFont val="맑은 고딕"/>
        <family val="0"/>
        <charset val="1"/>
      </rPr>
      <t xml:space="preserve">(12</t>
    </r>
    <r>
      <rPr>
        <sz val="9"/>
        <rFont val="Noto Sans CJK SC"/>
        <family val="2"/>
      </rPr>
      <t xml:space="preserve">봉</t>
    </r>
    <r>
      <rPr>
        <sz val="9"/>
        <rFont val="맑은 고딕"/>
        <family val="0"/>
        <charset val="1"/>
      </rPr>
      <t xml:space="preserve">x16</t>
    </r>
    <r>
      <rPr>
        <sz val="9"/>
        <rFont val="Noto Sans CJK SC"/>
        <family val="2"/>
      </rPr>
      <t xml:space="preserve">알</t>
    </r>
    <r>
      <rPr>
        <sz val="9"/>
        <rFont val="맑은 고딕"/>
        <family val="0"/>
        <charset val="1"/>
      </rPr>
      <t xml:space="preserve">x50g)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</si>
  <si>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종 떡선물세트</t>
    </r>
  </si>
  <si>
    <r>
      <rPr>
        <sz val="9"/>
        <rFont val="Noto Sans CJK SC"/>
        <family val="2"/>
      </rPr>
      <t xml:space="preserve">모듬찰떡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개별포장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</si>
  <si>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(3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호두찹쌀떡</t>
    </r>
  </si>
  <si>
    <r>
      <rPr>
        <sz val="9"/>
        <rFont val="Noto Sans CJK SC"/>
        <family val="2"/>
      </rPr>
      <t xml:space="preserve">콩고물쑥떡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동부앙금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</si>
  <si>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꿀설기</t>
    </r>
    <r>
      <rPr>
        <sz val="9"/>
        <rFont val="맑은 고딕"/>
        <family val="0"/>
        <charset val="1"/>
      </rPr>
      <t xml:space="preserve">*3</t>
    </r>
    <r>
      <rPr>
        <sz val="9"/>
        <rFont val="Noto Sans CJK SC"/>
        <family val="2"/>
      </rPr>
      <t xml:space="preserve">종</t>
    </r>
  </si>
  <si>
    <r>
      <rPr>
        <sz val="9"/>
        <rFont val="맑은 고딕"/>
        <family val="0"/>
        <charset val="1"/>
      </rPr>
      <t xml:space="preserve">(4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마카다미아왕찹쌀떡</t>
    </r>
  </si>
  <si>
    <t xml:space="preserve">콩고물쑥떡 동부앙금</t>
  </si>
  <si>
    <r>
      <rPr>
        <sz val="9"/>
        <rFont val="Noto Sans CJK SC"/>
        <family val="2"/>
      </rPr>
      <t xml:space="preserve">백</t>
    </r>
    <r>
      <rPr>
        <sz val="9"/>
        <rFont val="맑은 고딕"/>
        <family val="0"/>
        <charset val="1"/>
      </rPr>
      <t xml:space="preserve">*</t>
    </r>
    <r>
      <rPr>
        <sz val="9"/>
        <rFont val="Noto Sans CJK SC"/>
        <family val="2"/>
      </rPr>
      <t xml:space="preserve">마카다이마왕찹쌀떡</t>
    </r>
  </si>
  <si>
    <t xml:space="preserve">📋  납품 집계 — 제품별 납품량</t>
  </si>
  <si>
    <t xml:space="preserve">▶ 제품별 납품량 집계</t>
  </si>
  <si>
    <t xml:space="preserve">납품건수</t>
  </si>
  <si>
    <t xml:space="preserve">납품중량(kg)</t>
  </si>
  <si>
    <t xml:space="preserve">3종호두찹쌀떡</t>
  </si>
  <si>
    <t xml:space="preserve">5종 떡선물세트</t>
  </si>
  <si>
    <t xml:space="preserve">합  계</t>
  </si>
  <si>
    <r>
      <rPr>
        <b val="true"/>
        <sz val="16"/>
        <color rgb="FFFFFFFF"/>
        <rFont val="맑은 고딕"/>
        <family val="0"/>
        <charset val="1"/>
      </rPr>
      <t xml:space="preserve">📅 W2  |  2025.10.06(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2025.10.12(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</si>
  <si>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t xml:space="preserve">📊 주간 요약</t>
  </si>
  <si>
    <t xml:space="preserve">📦 생산량</t>
  </si>
  <si>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종</t>
    </r>
  </si>
  <si>
    <t xml:space="preserve">📤 판매출고</t>
  </si>
  <si>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종</t>
    </r>
  </si>
  <si>
    <t xml:space="preserve">📥 재료입고</t>
  </si>
  <si>
    <t xml:space="preserve">📦 생산 실적</t>
  </si>
  <si>
    <t xml:space="preserve">날짜</t>
  </si>
  <si>
    <t xml:space="preserve">생산량(kg)</t>
  </si>
  <si>
    <t xml:space="preserve">소  계</t>
  </si>
  <si>
    <r>
      <rPr>
        <b val="true"/>
        <sz val="16"/>
        <color rgb="FFFFFFFF"/>
        <rFont val="맑은 고딕"/>
        <family val="0"/>
        <charset val="1"/>
      </rPr>
      <t xml:space="preserve">📅 W3  |  2025.10.13(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2025.10.19(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</si>
  <si>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</si>
  <si>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W4  |  2025.10.20(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2025.10.26(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</si>
  <si>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9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</si>
  <si>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W5  |  2025.10.27(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2025.11.02(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</si>
  <si>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</si>
  <si>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W6  |  2025.11.03(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2025.11.09(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</si>
  <si>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b val="true"/>
        <sz val="16"/>
        <color rgb="FFFFFFFF"/>
        <rFont val="맑은 고딕"/>
        <family val="0"/>
        <charset val="1"/>
      </rPr>
      <t xml:space="preserve">📅 W7  |  2025.11.10(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2025.11.16(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</si>
  <si>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b val="true"/>
        <sz val="16"/>
        <color rgb="FFFFFFFF"/>
        <rFont val="맑은 고딕"/>
        <family val="0"/>
        <charset val="1"/>
      </rPr>
      <t xml:space="preserve">📅 W8  |  2025.11.17(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2025.11.23(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</si>
  <si>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6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</si>
  <si>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W9  |  2025.11.24(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2025.11.30(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</si>
  <si>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</si>
  <si>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W10  |  2025.12.01(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2025.12.07(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</si>
  <si>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7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</si>
  <si>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W11  |  2025.12.08(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2025.12.14(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</si>
  <si>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12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</si>
  <si>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W12  |  2025.12.15(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2025.12.21(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</si>
  <si>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t xml:space="preserve">📤 판매 출고</t>
  </si>
  <si>
    <t xml:space="preserve">출고량(kg)</t>
  </si>
  <si>
    <t xml:space="preserve">판인절미(백)</t>
  </si>
  <si>
    <t xml:space="preserve">판인절미(쑥)</t>
  </si>
  <si>
    <t xml:space="preserve">못난이인절미(大)</t>
  </si>
  <si>
    <r>
      <rPr>
        <b val="true"/>
        <sz val="16"/>
        <color rgb="FFFFFFFF"/>
        <rFont val="맑은 고딕"/>
        <family val="0"/>
        <charset val="1"/>
      </rPr>
      <t xml:space="preserve">📅 W13  |  2025.12.22(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2025.12.28(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</si>
  <si>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b val="true"/>
        <sz val="16"/>
        <color rgb="FFFFFFFF"/>
        <rFont val="맑은 고딕"/>
        <family val="0"/>
        <charset val="1"/>
      </rPr>
      <t xml:space="preserve">📅 W14  |  2025.12.29(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2026.01.04(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</si>
  <si>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23</t>
    </r>
    <r>
      <rPr>
        <sz val="9"/>
        <rFont val="Noto Sans CJK SC"/>
        <family val="2"/>
      </rPr>
      <t xml:space="preserve">종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</si>
  <si>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</si>
  <si>
    <t xml:space="preserve">📥 원재료 입고</t>
  </si>
  <si>
    <t xml:space="preserve">입고량(kg)</t>
  </si>
  <si>
    <r>
      <rPr>
        <b val="true"/>
        <sz val="16"/>
        <color rgb="FFFFFFFF"/>
        <rFont val="맑은 고딕"/>
        <family val="0"/>
        <charset val="1"/>
      </rPr>
      <t xml:space="preserve">📅 W15  |  2026.01.05(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2026.01.11(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</si>
  <si>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29</t>
    </r>
    <r>
      <rPr>
        <sz val="9"/>
        <rFont val="Noto Sans CJK SC"/>
        <family val="2"/>
      </rPr>
      <t xml:space="preserve">종</t>
    </r>
  </si>
  <si>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</si>
  <si>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W16  |  2026.01.12(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2026.01.18(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</si>
  <si>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32</t>
    </r>
    <r>
      <rPr>
        <sz val="9"/>
        <rFont val="Noto Sans CJK SC"/>
        <family val="2"/>
      </rPr>
      <t xml:space="preserve">종</t>
    </r>
  </si>
  <si>
    <r>
      <rPr>
        <sz val="9"/>
        <rFont val="맑은 고딕"/>
        <family val="0"/>
        <charset val="1"/>
      </rPr>
      <t xml:space="preserve">13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</si>
  <si>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W17  |  2026.01.19(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2026.01.25(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</si>
  <si>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37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</si>
  <si>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W18  |  2026.01.26(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2026.02.01(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</si>
  <si>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43</t>
    </r>
    <r>
      <rPr>
        <sz val="9"/>
        <rFont val="Noto Sans CJK SC"/>
        <family val="2"/>
      </rPr>
      <t xml:space="preserve">종</t>
    </r>
  </si>
  <si>
    <t xml:space="preserve">선물세트(196SET*20EA)</t>
  </si>
  <si>
    <t xml:space="preserve">혼합마카다미아(4종)</t>
  </si>
  <si>
    <r>
      <rPr>
        <b val="true"/>
        <sz val="16"/>
        <color rgb="FFFFFFFF"/>
        <rFont val="맑은 고딕"/>
        <family val="0"/>
        <charset val="1"/>
      </rPr>
      <t xml:space="preserve">📅 W19  |  2026.02.02(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2026.02.08(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</si>
  <si>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14</t>
    </r>
    <r>
      <rPr>
        <sz val="9"/>
        <rFont val="Noto Sans CJK SC"/>
        <family val="2"/>
      </rPr>
      <t xml:space="preserve">종</t>
    </r>
  </si>
  <si>
    <r>
      <rPr>
        <sz val="9"/>
        <rFont val="맑은 고딕"/>
        <family val="0"/>
        <charset val="1"/>
      </rPr>
      <t xml:space="preserve">38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</si>
  <si>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W20  |  2026.02.09(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2026.02.15(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</si>
  <si>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45</t>
    </r>
    <r>
      <rPr>
        <sz val="9"/>
        <rFont val="Noto Sans CJK SC"/>
        <family val="2"/>
      </rPr>
      <t xml:space="preserve">종</t>
    </r>
  </si>
  <si>
    <t xml:space="preserve">마카다미아왕찹쌀떡(복분자)</t>
  </si>
  <si>
    <t xml:space="preserve">마카다미아왕찹쌀떡(쑥)</t>
  </si>
  <si>
    <t xml:space="preserve">마카다미아왕찹쌀떡(호박)</t>
  </si>
  <si>
    <t xml:space="preserve">콩고물쑥떡(벌크)</t>
  </si>
  <si>
    <r>
      <rPr>
        <b val="true"/>
        <sz val="16"/>
        <color rgb="FFFFFFFF"/>
        <rFont val="맑은 고딕"/>
        <family val="0"/>
        <charset val="1"/>
      </rPr>
      <t xml:space="preserve">📅 W21  |  2026.02.16(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2026.02.22(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</si>
  <si>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27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</si>
  <si>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W22  |  2026.02.23(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2026.03.01(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</si>
  <si>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26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</si>
  <si>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W23  |  2026.03.02(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2026.03.08(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</si>
  <si>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종</t>
    </r>
  </si>
  <si>
    <r>
      <rPr>
        <b val="true"/>
        <sz val="16"/>
        <color rgb="FFFFFFFF"/>
        <rFont val="맑은 고딕"/>
        <family val="0"/>
        <charset val="1"/>
      </rPr>
      <t xml:space="preserve">📅 W24  |  2026.03.09(</t>
    </r>
    <r>
      <rPr>
        <b val="true"/>
        <sz val="16"/>
        <color rgb="FFFFFFFF"/>
        <rFont val="Noto Sans CJK SC"/>
        <family val="2"/>
      </rPr>
      <t xml:space="preserve">월</t>
    </r>
    <r>
      <rPr>
        <b val="true"/>
        <sz val="16"/>
        <color rgb="FFFFFFFF"/>
        <rFont val="맑은 고딕"/>
        <family val="0"/>
        <charset val="1"/>
      </rPr>
      <t xml:space="preserve">) ~ 2026.03.15(</t>
    </r>
    <r>
      <rPr>
        <b val="true"/>
        <sz val="16"/>
        <color rgb="FFFFFFFF"/>
        <rFont val="Noto Sans CJK SC"/>
        <family val="2"/>
      </rPr>
      <t xml:space="preserve">일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</si>
  <si>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t xml:space="preserve">모듬찰떡(개별포장)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</si>
  <si>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(1/3)</t>
    </r>
  </si>
  <si>
    <t xml:space="preserve">결
재</t>
  </si>
  <si>
    <t xml:space="preserve">작성자</t>
  </si>
  <si>
    <t xml:space="preserve">승인자</t>
  </si>
  <si>
    <t xml:space="preserve">입고일시</t>
  </si>
  <si>
    <t xml:space="preserve">품  명</t>
  </si>
  <si>
    <t xml:space="preserve">수입필증
원산지</t>
  </si>
  <si>
    <t xml:space="preserve">성적서
구비여부</t>
  </si>
  <si>
    <t xml:space="preserve">유통기한
제조년월일
품질유지기한</t>
  </si>
  <si>
    <t xml:space="preserve">차량
온도</t>
  </si>
  <si>
    <t xml:space="preserve">차량
상태</t>
  </si>
  <si>
    <t xml:space="preserve">파레트
상태</t>
  </si>
  <si>
    <t xml:space="preserve">정상</t>
  </si>
  <si>
    <t xml:space="preserve">이물
혼입</t>
  </si>
  <si>
    <t xml:space="preserve">표시기준
(관리자유무
문질 포함여부)</t>
  </si>
  <si>
    <t xml:space="preserve">적합
여부</t>
  </si>
  <si>
    <t xml:space="preserve">부적합시
조치내용</t>
  </si>
  <si>
    <t xml:space="preserve">국내산</t>
  </si>
  <si>
    <t xml:space="preserve">○</t>
  </si>
  <si>
    <t xml:space="preserve">상온</t>
  </si>
  <si>
    <t xml:space="preserve">-</t>
  </si>
  <si>
    <t xml:space="preserve">중국산</t>
  </si>
  <si>
    <t xml:space="preserve">적합 : ○    부적합 : ×    해당없음 : —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</si>
  <si>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(2/3)</t>
    </r>
  </si>
  <si>
    <t xml:space="preserve">미국산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</si>
  <si>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(3/3)</t>
    </r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</si>
  <si>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2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(1/3)</t>
    </r>
  </si>
  <si>
    <t xml:space="preserve">호주산</t>
  </si>
  <si>
    <t xml:space="preserve">미얀마산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</si>
  <si>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2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(2/3)</t>
    </r>
  </si>
  <si>
    <t xml:space="preserve">외국산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</si>
  <si>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2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(3/3)</t>
    </r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</si>
  <si>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3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(1/2)</t>
    </r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</si>
  <si>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3</t>
    </r>
    <r>
      <rPr>
        <b val="true"/>
        <sz val="14"/>
        <rFont val="Noto Sans CJK SC"/>
        <family val="2"/>
      </rPr>
      <t xml:space="preserve">월 육안검사일지 </t>
    </r>
    <r>
      <rPr>
        <b val="true"/>
        <sz val="14"/>
        <rFont val="맑은 고딕"/>
        <family val="0"/>
        <charset val="1"/>
      </rPr>
      <t xml:space="preserve">(2/2)</t>
    </r>
  </si>
  <si>
    <r>
      <rPr>
        <b val="true"/>
        <sz val="14"/>
        <color rgb="FFFFFFFF"/>
        <rFont val="맑은 고딕"/>
        <family val="0"/>
        <charset val="1"/>
      </rPr>
      <t xml:space="preserve">📅 W2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2025.10.06(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2025.10.12(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</si>
  <si>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13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349kg</t>
    </r>
  </si>
  <si>
    <r>
      <rPr>
        <b val="true"/>
        <sz val="9"/>
        <rFont val="맑은 고딕"/>
        <family val="0"/>
        <charset val="1"/>
      </rPr>
      <t xml:space="preserve">📆 10/10(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</si>
  <si>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t xml:space="preserve">원 재 료 명</t>
  </si>
  <si>
    <r>
      <rPr>
        <b val="true"/>
        <sz val="9"/>
        <rFont val="Noto Sans CJK SC"/>
        <family val="2"/>
      </rPr>
      <t xml:space="preserve">사용량</t>
    </r>
    <r>
      <rPr>
        <b val="true"/>
        <sz val="9"/>
        <rFont val="맑은 고딕"/>
        <family val="0"/>
        <charset val="1"/>
      </rPr>
      <t xml:space="preserve">(kg)</t>
    </r>
  </si>
  <si>
    <r>
      <rPr>
        <sz val="9"/>
        <rFont val="Noto Sans CJK SC"/>
        <family val="2"/>
      </rPr>
      <t xml:space="preserve">찹쌀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</si>
  <si>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조림류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통팥앙금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</si>
  <si>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조림류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백옥앙금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</si>
  <si>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미얀마산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</si>
  <si>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냉동쑥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</si>
  <si>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두류가공품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콩고물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</si>
  <si>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물엿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저당물엿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</si>
  <si>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쑥가루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</si>
  <si>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혼합제제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떡용에스텔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</si>
  <si>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10/10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</si>
  <si>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10"/>
        <color rgb="FFFFFFFF"/>
        <rFont val="Noto Sans CJK SC"/>
        <family val="2"/>
      </rPr>
      <t xml:space="preserve">📦 주간 합계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품목별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</si>
  <si>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주간합계</t>
    </r>
    <r>
      <rPr>
        <b val="true"/>
        <sz val="9"/>
        <rFont val="맑은 고딕"/>
        <family val="0"/>
        <charset val="1"/>
      </rPr>
      <t xml:space="preserve">(kg)</t>
    </r>
  </si>
  <si>
    <r>
      <rPr>
        <b val="true"/>
        <sz val="9"/>
        <color rgb="FFFFFFFF"/>
        <rFont val="맑은 고딕"/>
        <family val="0"/>
        <charset val="1"/>
      </rPr>
      <t xml:space="preserve">W2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</si>
  <si>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W3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2025.10.13(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2025.10.19(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</si>
  <si>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30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1,212kg</t>
    </r>
  </si>
  <si>
    <r>
      <rPr>
        <b val="true"/>
        <sz val="9"/>
        <rFont val="맑은 고딕"/>
        <family val="0"/>
        <charset val="1"/>
      </rPr>
      <t xml:space="preserve">📆 10/13(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</si>
  <si>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10/13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</si>
  <si>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10/14(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</si>
  <si>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멥쌀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</si>
  <si>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기타설탕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흑설탕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</si>
  <si>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사양벌꿀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</si>
  <si>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10/14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</si>
  <si>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10/15(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</si>
  <si>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우유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</si>
  <si>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10/15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</si>
  <si>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10/16(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</si>
  <si>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강낭콩</t>
    </r>
    <r>
      <rPr>
        <sz val="9"/>
        <rFont val="맑은 고딕"/>
        <family val="0"/>
        <charset val="1"/>
      </rPr>
      <t xml:space="preserve">((</t>
    </r>
    <r>
      <rPr>
        <sz val="9"/>
        <rFont val="Noto Sans CJK SC"/>
        <family val="2"/>
      </rPr>
      <t xml:space="preserve">울타리콩</t>
    </r>
    <r>
      <rPr>
        <sz val="9"/>
        <rFont val="맑은 고딕"/>
        <family val="0"/>
        <charset val="1"/>
      </rPr>
      <t xml:space="preserve">))</t>
    </r>
  </si>
  <si>
    <r>
      <rPr>
        <sz val="9"/>
        <rFont val="Noto Sans CJK SC"/>
        <family val="2"/>
      </rPr>
      <t xml:space="preserve">고려엉겅퀴</t>
    </r>
    <r>
      <rPr>
        <sz val="9"/>
        <rFont val="맑은 고딕"/>
        <family val="0"/>
        <charset val="1"/>
      </rPr>
      <t xml:space="preserve">((</t>
    </r>
    <r>
      <rPr>
        <sz val="9"/>
        <rFont val="Noto Sans CJK SC"/>
        <family val="2"/>
      </rPr>
      <t xml:space="preserve">곤드레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</si>
  <si>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기타가공품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흑임자가루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</si>
  <si>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10/16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</si>
  <si>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10/17(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</si>
  <si>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마카다미아분태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호주산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</si>
  <si>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호두분태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미국산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</si>
  <si>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건호박채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중국산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</si>
  <si>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10/17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</si>
  <si>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W3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</si>
  <si>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W4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2025.10.20(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2025.10.26(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</si>
  <si>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28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1,316kg</t>
    </r>
  </si>
  <si>
    <r>
      <rPr>
        <b val="true"/>
        <sz val="9"/>
        <rFont val="맑은 고딕"/>
        <family val="0"/>
        <charset val="1"/>
      </rPr>
      <t xml:space="preserve">📆 10/20(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</si>
  <si>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단호박분말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중국산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</si>
  <si>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기타가공품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복분자가루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</si>
  <si>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10/20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</si>
  <si>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10/21(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</si>
  <si>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모시잎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</si>
  <si>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변성전분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타피오카전분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</si>
  <si>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콩기름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대두유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</si>
  <si>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10/21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</si>
  <si>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10/22(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</si>
  <si>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흑미찹쌀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</si>
  <si>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호박씨앗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외국산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</si>
  <si>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10/22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</si>
  <si>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10/23(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</si>
  <si>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10/23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</si>
  <si>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W4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</si>
  <si>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W5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2025.10.27(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2025.11.02(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</si>
  <si>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21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2,285kg</t>
    </r>
  </si>
  <si>
    <r>
      <rPr>
        <b val="true"/>
        <sz val="9"/>
        <rFont val="맑은 고딕"/>
        <family val="0"/>
        <charset val="1"/>
      </rPr>
      <t xml:space="preserve">📆 10/27(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</si>
  <si>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10/27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</si>
  <si>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10/28(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</si>
  <si>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10/28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</si>
  <si>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10/29(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</si>
  <si>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10/29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</si>
  <si>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10/30(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</si>
  <si>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10/30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</si>
  <si>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10/31(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</si>
  <si>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서양호박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뉴질랜드산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</si>
  <si>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10/31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</si>
  <si>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W5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</si>
  <si>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W6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2025.11.03(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2025.11.09(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</si>
  <si>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29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2,523kg</t>
    </r>
  </si>
  <si>
    <r>
      <rPr>
        <b val="true"/>
        <sz val="9"/>
        <rFont val="맑은 고딕"/>
        <family val="0"/>
        <charset val="1"/>
      </rPr>
      <t xml:space="preserve">📆 11/03(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</si>
  <si>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11/03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</si>
  <si>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11/04(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</si>
  <si>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11/04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</si>
  <si>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11/05(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</si>
  <si>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대추채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</si>
  <si>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11/05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</si>
  <si>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11/06(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</si>
  <si>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11/06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</si>
  <si>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11/07(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</si>
  <si>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11/07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</si>
  <si>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W6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</si>
  <si>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W7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2025.11.10(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2025.11.16(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</si>
  <si>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25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1,709kg</t>
    </r>
  </si>
  <si>
    <r>
      <rPr>
        <b val="true"/>
        <sz val="9"/>
        <rFont val="맑은 고딕"/>
        <family val="0"/>
        <charset val="1"/>
      </rPr>
      <t xml:space="preserve">📆 11/10(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</si>
  <si>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</si>
  <si>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11/11(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</si>
  <si>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11/11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</si>
  <si>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11/12(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</si>
  <si>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</si>
  <si>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11/13(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</si>
  <si>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</si>
  <si>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11/14(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</si>
  <si>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</si>
  <si>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W7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</si>
  <si>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W8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2025.11.17(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2025.11.23(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</si>
  <si>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19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776kg</t>
    </r>
  </si>
  <si>
    <r>
      <rPr>
        <b val="true"/>
        <sz val="9"/>
        <rFont val="맑은 고딕"/>
        <family val="0"/>
        <charset val="1"/>
      </rPr>
      <t xml:space="preserve">📆 11/17(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</si>
  <si>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</si>
  <si>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11/18(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</si>
  <si>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11/18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</si>
  <si>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11/19(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</si>
  <si>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11/19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</si>
  <si>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W8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</si>
  <si>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W9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2025.11.24(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2025.11.30(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</si>
  <si>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16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1,453kg</t>
    </r>
  </si>
  <si>
    <r>
      <rPr>
        <b val="true"/>
        <sz val="9"/>
        <rFont val="맑은 고딕"/>
        <family val="0"/>
        <charset val="1"/>
      </rPr>
      <t xml:space="preserve">📆 11/24(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</si>
  <si>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11/24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</si>
  <si>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11/25(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</si>
  <si>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11/25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</si>
  <si>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11/26(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</si>
  <si>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11/26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</si>
  <si>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11/27(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</si>
  <si>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11/27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</si>
  <si>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11/28(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</si>
  <si>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11/28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</si>
  <si>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W9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</si>
  <si>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W10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2025.12.01(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2025.12.07(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</si>
  <si>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19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1,180kg</t>
    </r>
  </si>
  <si>
    <r>
      <rPr>
        <b val="true"/>
        <sz val="9"/>
        <rFont val="맑은 고딕"/>
        <family val="0"/>
        <charset val="1"/>
      </rPr>
      <t xml:space="preserve">📆 12/01(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</si>
  <si>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기타가공품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프리미엄카스테라가루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</si>
  <si>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12/01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</si>
  <si>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12/02(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</si>
  <si>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12/02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</si>
  <si>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12/03(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</si>
  <si>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12/03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</si>
  <si>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12/04(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</si>
  <si>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두류가공품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백옥앙금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</si>
  <si>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12/04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</si>
  <si>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12/05(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</si>
  <si>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12/05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</si>
  <si>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W10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</si>
  <si>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W11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2025.12.08(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2025.12.14(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</si>
  <si>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29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843kg</t>
    </r>
  </si>
  <si>
    <r>
      <rPr>
        <b val="true"/>
        <sz val="9"/>
        <rFont val="맑은 고딕"/>
        <family val="0"/>
        <charset val="1"/>
      </rPr>
      <t xml:space="preserve">📆 12/08(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</si>
  <si>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12/08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</si>
  <si>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12/09(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</si>
  <si>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12/09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</si>
  <si>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12/11(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</si>
  <si>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당류가공품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단호박농축액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</si>
  <si>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알룰로오스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국내산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</si>
  <si>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혼합제제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스테비아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</si>
  <si>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12/11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</si>
  <si>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W11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</si>
  <si>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W12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2025.12.15(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2025.12.21(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</si>
  <si>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24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1,312kg</t>
    </r>
  </si>
  <si>
    <r>
      <rPr>
        <b val="true"/>
        <sz val="9"/>
        <rFont val="맑은 고딕"/>
        <family val="0"/>
        <charset val="1"/>
      </rPr>
      <t xml:space="preserve">📆 12/15(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</si>
  <si>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12/15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</si>
  <si>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12/16(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</si>
  <si>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12/16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</si>
  <si>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12/17(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</si>
  <si>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12/17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</si>
  <si>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12/18(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</si>
  <si>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12/18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</si>
  <si>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12/19(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</si>
  <si>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12/19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</si>
  <si>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W12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</si>
  <si>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W13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2025.12.22(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2025.12.28(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</si>
  <si>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22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630kg</t>
    </r>
  </si>
  <si>
    <r>
      <rPr>
        <b val="true"/>
        <sz val="9"/>
        <rFont val="맑은 고딕"/>
        <family val="0"/>
        <charset val="1"/>
      </rPr>
      <t xml:space="preserve">📆 12/22(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</si>
  <si>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12/22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</si>
  <si>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12/23(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</si>
  <si>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치즈 </t>
    </r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크림치즈</t>
    </r>
    <r>
      <rPr>
        <sz val="9"/>
        <rFont val="맑은 고딕"/>
        <family val="0"/>
        <charset val="1"/>
      </rPr>
      <t xml:space="preserve">]</t>
    </r>
  </si>
  <si>
    <r>
      <rPr>
        <b val="true"/>
        <sz val="9"/>
        <rFont val="맑은 고딕"/>
        <family val="0"/>
        <charset val="1"/>
      </rPr>
      <t xml:space="preserve">12/23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</si>
  <si>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12/24(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</si>
  <si>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12/24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</si>
  <si>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W13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</si>
  <si>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W14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2025.12.29(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2026.01.04(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</si>
  <si>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25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824kg</t>
    </r>
  </si>
  <si>
    <r>
      <rPr>
        <b val="true"/>
        <sz val="9"/>
        <rFont val="맑은 고딕"/>
        <family val="0"/>
        <charset val="1"/>
      </rPr>
      <t xml:space="preserve">📆 12/29(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</si>
  <si>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12/29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</si>
  <si>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12/30(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</si>
  <si>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자연치즈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체다치즈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</si>
  <si>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12/30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</si>
  <si>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01/02(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</si>
  <si>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01/02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</si>
  <si>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W14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</si>
  <si>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W15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2026.01.05(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2026.01.11(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</si>
  <si>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27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743kg</t>
    </r>
  </si>
  <si>
    <r>
      <rPr>
        <b val="true"/>
        <sz val="9"/>
        <rFont val="맑은 고딕"/>
        <family val="0"/>
        <charset val="1"/>
      </rPr>
      <t xml:space="preserve">📆 01/05(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</si>
  <si>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01/05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</si>
  <si>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01/06(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</si>
  <si>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01/06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</si>
  <si>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01/07(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</si>
  <si>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준초콜릿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외국산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</si>
  <si>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검정깨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흑임자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</si>
  <si>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01/07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</si>
  <si>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01/09(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</si>
  <si>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01/09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</si>
  <si>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W15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</si>
  <si>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W16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2026.01.12(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2026.01.18(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</si>
  <si>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22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1,055kg</t>
    </r>
  </si>
  <si>
    <r>
      <rPr>
        <b val="true"/>
        <sz val="9"/>
        <rFont val="맑은 고딕"/>
        <family val="0"/>
        <charset val="1"/>
      </rPr>
      <t xml:space="preserve">📆 01/12(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</si>
  <si>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01/12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</si>
  <si>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01/13(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</si>
  <si>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냉동증숙고구마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중국산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</si>
  <si>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01/13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</si>
  <si>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01/14(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</si>
  <si>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01/14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</si>
  <si>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01/15(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</si>
  <si>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01/15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</si>
  <si>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01/16(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</si>
  <si>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01/16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</si>
  <si>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W16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</si>
  <si>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W17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2026.01.19(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2026.01.25(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</si>
  <si>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27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2,577kg</t>
    </r>
  </si>
  <si>
    <r>
      <rPr>
        <b val="true"/>
        <sz val="9"/>
        <rFont val="맑은 고딕"/>
        <family val="0"/>
        <charset val="1"/>
      </rPr>
      <t xml:space="preserve">📆 01/19(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</si>
  <si>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코코아가공품류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코코아분말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</si>
  <si>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01/19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</si>
  <si>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01/20(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</si>
  <si>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01/20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</si>
  <si>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01/22(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</si>
  <si>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찰옥수수전분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미국산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</si>
  <si>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01/22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</si>
  <si>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01/23(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</si>
  <si>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01/23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</si>
  <si>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W17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</si>
  <si>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W18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2026.01.26(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2026.02.01(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</si>
  <si>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19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5,500kg</t>
    </r>
  </si>
  <si>
    <r>
      <rPr>
        <b val="true"/>
        <sz val="9"/>
        <rFont val="맑은 고딕"/>
        <family val="0"/>
        <charset val="1"/>
      </rPr>
      <t xml:space="preserve">📆 01/26(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</si>
  <si>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01/26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</si>
  <si>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01/27(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</si>
  <si>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01/27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</si>
  <si>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01/28(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</si>
  <si>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01/28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</si>
  <si>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01/29(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</si>
  <si>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01/29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</si>
  <si>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01/30(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</si>
  <si>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01/30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</si>
  <si>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W18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</si>
  <si>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W19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2026.02.02(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2026.02.08(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</si>
  <si>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37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8,482kg</t>
    </r>
  </si>
  <si>
    <r>
      <rPr>
        <b val="true"/>
        <sz val="9"/>
        <rFont val="맑은 고딕"/>
        <family val="0"/>
        <charset val="1"/>
      </rPr>
      <t xml:space="preserve">📆 02/02(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</si>
  <si>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02/02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</si>
  <si>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02/03(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</si>
  <si>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02/03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</si>
  <si>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02/04(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</si>
  <si>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02/04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</si>
  <si>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02/05(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</si>
  <si>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02/05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</si>
  <si>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02/06(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</si>
  <si>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02/06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</si>
  <si>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02/08(</t>
    </r>
    <r>
      <rPr>
        <b val="true"/>
        <sz val="9"/>
        <rFont val="Noto Sans CJK SC"/>
        <family val="2"/>
      </rPr>
      <t xml:space="preserve">일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</si>
  <si>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02/08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</si>
  <si>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W19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</si>
  <si>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W20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2026.02.09(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2026.02.15(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</si>
  <si>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16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3,989kg</t>
    </r>
  </si>
  <si>
    <r>
      <rPr>
        <b val="true"/>
        <sz val="9"/>
        <rFont val="맑은 고딕"/>
        <family val="0"/>
        <charset val="1"/>
      </rPr>
      <t xml:space="preserve">📆 02/09(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</si>
  <si>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02/09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</si>
  <si>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02/10(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</si>
  <si>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02/10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</si>
  <si>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02/11(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</si>
  <si>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02/11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</si>
  <si>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W20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</si>
  <si>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W21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2026.02.16(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2026.02.22(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</si>
  <si>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13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2,700kg</t>
    </r>
  </si>
  <si>
    <r>
      <rPr>
        <b val="true"/>
        <sz val="9"/>
        <rFont val="맑은 고딕"/>
        <family val="0"/>
        <charset val="1"/>
      </rPr>
      <t xml:space="preserve">📆 02/19(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</si>
  <si>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02/19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</si>
  <si>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02/20(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</si>
  <si>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02/20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</si>
  <si>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W21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</si>
  <si>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W22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2026.02.23(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2026.03.01(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</si>
  <si>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32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6,469kg</t>
    </r>
  </si>
  <si>
    <r>
      <rPr>
        <b val="true"/>
        <sz val="9"/>
        <rFont val="맑은 고딕"/>
        <family val="0"/>
        <charset val="1"/>
      </rPr>
      <t xml:space="preserve">📆 02/23(</t>
    </r>
    <r>
      <rPr>
        <b val="true"/>
        <sz val="9"/>
        <rFont val="Noto Sans CJK SC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</si>
  <si>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02/23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</si>
  <si>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02/24(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</si>
  <si>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02/24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</si>
  <si>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02/25(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</si>
  <si>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02/25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</si>
  <si>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02/26(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</si>
  <si>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02/26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</si>
  <si>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02/27(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</si>
  <si>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02/27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</si>
  <si>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W22 </t>
    </r>
    <r>
      <rPr>
        <b val="true"/>
        <sz val="9"/>
        <color rgb="FFFFFFFF"/>
        <rFont val="Noto Sans CJK SC"/>
        <family val="2"/>
      </rPr>
      <t xml:space="preserve">합계</t>
    </r>
  </si>
  <si>
    <r>
      <rPr>
        <b val="true"/>
        <sz val="14"/>
        <color rgb="FFFFFFFF"/>
        <rFont val="맑은 고딕"/>
        <family val="0"/>
        <charset val="1"/>
      </rPr>
      <t xml:space="preserve">📅 W23  </t>
    </r>
    <r>
      <rPr>
        <b val="true"/>
        <sz val="14"/>
        <color rgb="FFFFFFFF"/>
        <rFont val="Noto Sans CJK SC"/>
        <family val="2"/>
      </rPr>
      <t xml:space="preserve">주간 원재료 사용  </t>
    </r>
    <r>
      <rPr>
        <b val="true"/>
        <sz val="14"/>
        <color rgb="FFFFFFFF"/>
        <rFont val="맑은 고딕"/>
        <family val="0"/>
        <charset val="1"/>
      </rPr>
      <t xml:space="preserve">|  2026.03.02(</t>
    </r>
    <r>
      <rPr>
        <b val="true"/>
        <sz val="14"/>
        <color rgb="FFFFFFFF"/>
        <rFont val="Noto Sans CJK SC"/>
        <family val="2"/>
      </rPr>
      <t xml:space="preserve">월</t>
    </r>
    <r>
      <rPr>
        <b val="true"/>
        <sz val="14"/>
        <color rgb="FFFFFFFF"/>
        <rFont val="맑은 고딕"/>
        <family val="0"/>
        <charset val="1"/>
      </rPr>
      <t xml:space="preserve">) ~ 2026.03.08(</t>
    </r>
    <r>
      <rPr>
        <b val="true"/>
        <sz val="14"/>
        <color rgb="FFFFFFFF"/>
        <rFont val="Noto Sans CJK SC"/>
        <family val="2"/>
      </rPr>
      <t xml:space="preserve">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</si>
  <si>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📊 21</t>
    </r>
    <r>
      <rPr>
        <b val="true"/>
        <sz val="10"/>
        <color rgb="FFFFFFFF"/>
        <rFont val="Noto Sans CJK SC"/>
        <family val="2"/>
      </rPr>
      <t xml:space="preserve">종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맑은 고딕"/>
        <family val="0"/>
        <charset val="1"/>
      </rPr>
      <t xml:space="preserve">5,648kg</t>
    </r>
  </si>
  <si>
    <r>
      <rPr>
        <b val="true"/>
        <sz val="9"/>
        <rFont val="맑은 고딕"/>
        <family val="0"/>
        <charset val="1"/>
      </rPr>
      <t xml:space="preserve">📆 03/03(</t>
    </r>
    <r>
      <rPr>
        <b val="true"/>
        <sz val="9"/>
        <rFont val="Noto Sans CJK SC"/>
        <family val="2"/>
      </rPr>
      <t xml:space="preserve">화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</si>
  <si>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03/03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</si>
  <si>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03/04(</t>
    </r>
    <r>
      <rPr>
        <b val="true"/>
        <sz val="9"/>
        <rFont val="Noto Sans CJK SC"/>
        <family val="2"/>
      </rPr>
      <t xml:space="preserve">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</si>
  <si>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03/04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</si>
  <si>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03/05(</t>
    </r>
    <r>
      <rPr>
        <b val="true"/>
        <sz val="9"/>
        <rFont val="Noto Sans CJK SC"/>
        <family val="2"/>
      </rPr>
      <t xml:space="preserve">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</si>
  <si>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03/05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</si>
  <si>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rFont val="맑은 고딕"/>
        <family val="0"/>
        <charset val="1"/>
      </rPr>
      <t xml:space="preserve">📆 03/06(</t>
    </r>
    <r>
      <rPr>
        <b val="true"/>
        <sz val="9"/>
        <rFont val="Noto Sans CJK SC"/>
        <family val="2"/>
      </rPr>
      <t xml:space="preserve">금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</si>
  <si>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03/06 </t>
    </r>
    <r>
      <rPr>
        <b val="true"/>
        <sz val="9"/>
        <rFont val="Noto Sans CJK SC"/>
        <family val="2"/>
      </rPr>
      <t xml:space="preserve">소계</t>
    </r>
  </si>
  <si>
    <r>
      <rPr>
        <b val="true"/>
        <sz val="9"/>
        <color rgb="FFFFFFFF"/>
        <rFont val="맑은 고딕"/>
        <family val="0"/>
        <charset val="1"/>
      </rPr>
      <t xml:space="preserve">W23 </t>
    </r>
    <r>
      <rPr>
        <b val="true"/>
        <sz val="9"/>
        <color rgb="FFFFFFFF"/>
        <rFont val="Noto Sans CJK SC"/>
        <family val="2"/>
      </rPr>
      <t xml:space="preserve">합계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</si>
</sst>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0.0"/>
    <numFmt numFmtId="167" formatCode="yyyy\-mm\-dd"/>
    <numFmt numFmtId="168" formatCode="#,##0.0"/>
    <numFmt numFmtId="169" formatCode="#,##0.00"/>
    <numFmt numFmtId="170" formatCode="@"/>
    <numFmt numFmtId="171" formatCode="#,##0.00\%"/>
    <numFmt numFmtId="172" formatCode="0.0\%"/>
    <numFmt numFmtId="173" formatCode="0.00\%"/>
    <numFmt numFmtId="174" formatCode="0.00%"/>
    <numFmt numFmtId="175" formatCode="yyyy\-mm"/>
    <numFmt numFmtId="176" formatCode="#,##0.0&quot; kg&quot;"/>
    <numFmt numFmtId="177" formatCode="mm/dd"/>
    <numFmt numFmtId="178" formatCode="mm\-dd"/>
    <numFmt numFmtId="179" formatCode="yyyy\.mm\.dd"/>
  </numFmts>
  <fonts count="70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맑은 고딕"/>
      <family val="3"/>
      <charset val="129"/>
    </font>
    <font>
      <b val="true"/>
      <sz val="18"/>
      <color rgb="FFFFFFFF"/>
      <name val="Noto Sans CJK SC"/>
      <family val="2"/>
    </font>
    <font>
      <sz val="10"/>
      <color rgb="FFFFFFFF"/>
      <name val="맑은 고딕"/>
      <family val="3"/>
      <charset val="129"/>
    </font>
    <font>
      <sz val="10"/>
      <color rgb="FFFFFFFF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맑은 고딕"/>
      <family val="3"/>
      <charset val="129"/>
    </font>
    <font>
      <sz val="10"/>
      <color rgb="FF000000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sz val="9"/>
      <color rgb="FF333333"/>
      <name val="Noto Sans CJK SC"/>
      <family val="2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  <charset val="1"/>
    </font>
    <font>
      <sz val="9"/>
      <name val="맑은 고딕"/>
      <family val="0"/>
      <charset val="1"/>
    </font>
    <font>
      <sz val="9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1F4E79"/>
      <name val="Noto Sans CJK SC"/>
      <family val="2"/>
      <charset val="1"/>
    </font>
    <font>
      <b val="true"/>
      <sz val="10"/>
      <name val="Noto Sans CJK SC"/>
      <family val="2"/>
    </font>
    <font>
      <b val="true"/>
      <sz val="8"/>
      <name val="Noto Sans CJK SC"/>
      <family val="2"/>
      <charset val="1"/>
    </font>
    <font>
      <b val="true"/>
      <sz val="8"/>
      <name val="맑은 고딕"/>
      <family val="0"/>
      <charset val="1"/>
    </font>
    <font>
      <b val="true"/>
      <sz val="8"/>
      <name val="Noto Sans CJK SC"/>
      <family val="2"/>
    </font>
    <font>
      <sz val="9"/>
      <name val="Noto Sans CJK SC"/>
      <family val="2"/>
    </font>
    <font>
      <b val="true"/>
      <sz val="10"/>
      <color rgb="FF375623"/>
      <name val="맑은 고딕"/>
      <family val="0"/>
      <charset val="1"/>
    </font>
    <font>
      <sz val="9"/>
      <color rgb="FF888888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1"/>
      <color rgb="FF1F4E79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1F4E79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1"/>
      <color rgb="FF1F4E79"/>
      <name val="Noto Sans CJK SC"/>
      <family val="2"/>
      <charset val="1"/>
    </font>
    <font>
      <b val="true"/>
      <sz val="12"/>
      <color rgb="FF7F6000"/>
      <name val="맑은 고딕"/>
      <family val="0"/>
      <charset val="1"/>
    </font>
    <font>
      <sz val="9"/>
      <color rgb="FF888888"/>
      <name val="Noto Sans CJK SC"/>
      <family val="2"/>
      <charset val="1"/>
    </font>
    <font>
      <sz val="9"/>
      <color rgb="FF1F4E79"/>
      <name val="Noto Sans CJK SC"/>
      <family val="2"/>
    </font>
    <font>
      <sz val="10"/>
      <color rgb="FF1F6B75"/>
      <name val="맑은 고딕"/>
      <family val="0"/>
      <charset val="1"/>
    </font>
    <font>
      <sz val="9"/>
      <color rgb="FFC55A11"/>
      <name val="맑은 고딕"/>
      <family val="0"/>
      <charset val="1"/>
    </font>
    <font>
      <b val="true"/>
      <sz val="10"/>
      <color rgb="FFC55A11"/>
      <name val="맑은 고딕"/>
      <family val="0"/>
      <charset val="1"/>
    </font>
    <font>
      <sz val="8"/>
      <name val="맑은 고딕"/>
      <family val="0"/>
      <charset val="1"/>
    </font>
    <font>
      <b val="true"/>
      <sz val="9"/>
      <color rgb="FF006600"/>
      <name val="맑은 고딕"/>
      <family val="0"/>
      <charset val="1"/>
    </font>
    <font>
      <b val="true"/>
      <sz val="10"/>
      <name val="맑은 고딕"/>
      <family val="3"/>
      <charset val="129"/>
    </font>
    <font>
      <b val="true"/>
      <sz val="12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i val="true"/>
      <sz val="11"/>
      <name val="Noto Sans CJK SC"/>
      <family val="2"/>
      <charset val="1"/>
    </font>
    <font>
      <sz val="9"/>
      <color rgb="FFFFFFFF"/>
      <name val="맑은 고딕"/>
      <family val="0"/>
      <charset val="1"/>
    </font>
    <font>
      <sz val="9"/>
      <color rgb="FF1F4E79"/>
      <name val="Noto Sans CJK SC"/>
      <family val="2"/>
      <charset val="1"/>
    </font>
    <font>
      <b val="true"/>
      <sz val="10"/>
      <color rgb="FF1F6B75"/>
      <name val="맑은 고딕"/>
      <family val="0"/>
      <charset val="1"/>
    </font>
    <font>
      <b val="true"/>
      <sz val="11"/>
      <color rgb="FF7F6000"/>
      <name val="Noto Sans CJK SC"/>
      <family val="2"/>
      <charset val="1"/>
    </font>
    <font>
      <sz val="10"/>
      <color rgb="FF000000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맑은 고딕"/>
      <family val="0"/>
      <charset val="1"/>
    </font>
    <font>
      <b val="true"/>
      <sz val="16"/>
      <color rgb="FFFFFFFF"/>
      <name val="맑은 고딕"/>
      <family val="0"/>
      <charset val="1"/>
    </font>
    <font>
      <b val="true"/>
      <sz val="16"/>
      <color rgb="FFFFFFFF"/>
      <name val="Noto Sans CJK SC"/>
      <family val="2"/>
    </font>
    <font>
      <b val="true"/>
      <sz val="9"/>
      <name val="Noto Sans CJK SC"/>
      <family val="2"/>
      <charset val="1"/>
    </font>
    <font>
      <b val="true"/>
      <sz val="9"/>
      <name val="맑은 고딕"/>
      <family val="0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맑은 고딕"/>
      <family val="0"/>
      <charset val="1"/>
    </font>
    <font>
      <b val="true"/>
      <sz val="14"/>
      <name val="맑은 고딕"/>
      <family val="0"/>
      <charset val="1"/>
    </font>
    <font>
      <b val="true"/>
      <sz val="14"/>
      <name val="Noto Sans CJK SC"/>
      <family val="2"/>
    </font>
    <font>
      <sz val="8"/>
      <name val="Noto Sans CJK SC"/>
      <family val="2"/>
      <charset val="1"/>
    </font>
    <font>
      <sz val="7"/>
      <name val="Noto Sans CJK SC"/>
      <family val="2"/>
      <charset val="1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9"/>
      <name val="Noto Sans CJK SC"/>
      <family val="2"/>
    </font>
    <font>
      <b val="true"/>
      <sz val="9"/>
      <color rgb="FFFFFFFF"/>
      <name val="Noto Sans CJK SC"/>
      <family val="2"/>
    </font>
  </fonts>
  <fills count="30">
    <fill>
      <patternFill patternType="none"/>
    </fill>
    <fill>
      <patternFill patternType="gray125"/>
    </fill>
    <fill>
      <patternFill patternType="solid">
        <fgColor rgb="FF1F4E79"/>
        <bgColor rgb="FF37474F"/>
      </patternFill>
    </fill>
    <fill>
      <patternFill patternType="solid">
        <fgColor rgb="FF2E75B6"/>
        <bgColor rgb="FF1565C0"/>
      </patternFill>
    </fill>
    <fill>
      <patternFill patternType="solid">
        <fgColor rgb="FFF2F2F2"/>
        <bgColor rgb="FFF5F5F5"/>
      </patternFill>
    </fill>
    <fill>
      <patternFill patternType="solid">
        <fgColor rgb="FF1E5631"/>
        <bgColor rgb="FF2F5233"/>
      </patternFill>
    </fill>
    <fill>
      <patternFill patternType="solid">
        <fgColor rgb="FFE2EFDA"/>
        <bgColor rgb="FFE8F5E9"/>
      </patternFill>
    </fill>
    <fill>
      <patternFill patternType="solid">
        <fgColor rgb="FF2F5233"/>
        <bgColor rgb="FF375623"/>
      </patternFill>
    </fill>
    <fill>
      <patternFill patternType="solid">
        <fgColor rgb="FFF0F8F0"/>
        <bgColor rgb="FFF5F5F5"/>
      </patternFill>
    </fill>
    <fill>
      <patternFill patternType="solid">
        <fgColor rgb="FFFFD700"/>
        <bgColor rgb="FFFF9900"/>
      </patternFill>
    </fill>
    <fill>
      <patternFill patternType="solid">
        <fgColor rgb="FFEBF3FB"/>
        <bgColor rgb="FFF0F5FF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8D8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0F8F0"/>
      </patternFill>
    </fill>
    <fill>
      <patternFill patternType="solid">
        <fgColor rgb="FFF0F5FF"/>
        <bgColor rgb="FFEBF3FB"/>
      </patternFill>
    </fill>
    <fill>
      <patternFill patternType="solid">
        <fgColor rgb="FFD9F0F3"/>
        <bgColor rgb="FFDCE6F1"/>
      </patternFill>
    </fill>
    <fill>
      <patternFill patternType="solid">
        <fgColor rgb="FFFCE4D6"/>
        <bgColor rgb="FFFDE8D8"/>
      </patternFill>
    </fill>
    <fill>
      <patternFill patternType="solid">
        <fgColor rgb="FFFDE8D8"/>
        <bgColor rgb="FFFCE4D6"/>
      </patternFill>
    </fill>
    <fill>
      <patternFill patternType="solid">
        <fgColor rgb="FFD4EDDA"/>
        <bgColor rgb="FFE2EFDA"/>
      </patternFill>
    </fill>
    <fill>
      <patternFill patternType="solid">
        <fgColor rgb="FFC55A11"/>
        <bgColor rgb="FFE65100"/>
      </patternFill>
    </fill>
    <fill>
      <patternFill patternType="solid">
        <fgColor rgb="FFDCE6F1"/>
        <bgColor rgb="FFD6E4F0"/>
      </patternFill>
    </fill>
    <fill>
      <patternFill patternType="solid">
        <fgColor rgb="FFFFFF99"/>
        <bgColor rgb="FFFFF2CC"/>
      </patternFill>
    </fill>
    <fill>
      <patternFill patternType="solid">
        <fgColor rgb="FFE65100"/>
        <bgColor rgb="FFC55A11"/>
      </patternFill>
    </fill>
    <fill>
      <patternFill patternType="solid">
        <fgColor rgb="FFF5F5F5"/>
        <bgColor rgb="FFF2F2F2"/>
      </patternFill>
    </fill>
    <fill>
      <patternFill patternType="solid">
        <fgColor rgb="FF1565C0"/>
        <bgColor rgb="FF2E75B6"/>
      </patternFill>
    </fill>
    <fill>
      <patternFill patternType="solid">
        <fgColor rgb="FF37474F"/>
        <bgColor rgb="FF2F5233"/>
      </patternFill>
    </fill>
    <fill>
      <patternFill patternType="solid">
        <fgColor rgb="FF2E7D32"/>
        <bgColor rgb="FF1F6B75"/>
      </patternFill>
    </fill>
    <fill>
      <patternFill patternType="solid">
        <fgColor rgb="FF6A1B9A"/>
        <bgColor rgb="FF800080"/>
      </patternFill>
    </fill>
    <fill>
      <patternFill patternType="solid">
        <fgColor rgb="FFE8EAF6"/>
        <bgColor rgb="FFEBF3F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>
        <color rgb="FFCCCCCC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2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4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2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5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58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0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8" fillId="2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0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800000"/>
      <rgbColor rgb="FF006600"/>
      <rgbColor rgb="FF000080"/>
      <rgbColor rgb="FF7F6000"/>
      <rgbColor rgb="FF6A1B9A"/>
      <rgbColor rgb="FF1F6B75"/>
      <rgbColor rgb="FFCCCCCC"/>
      <rgbColor rgb="FF888888"/>
      <rgbColor rgb="FFEBF3FB"/>
      <rgbColor rgb="FF993366"/>
      <rgbColor rgb="FFFFF2CC"/>
      <rgbColor rgb="FFD9F0F3"/>
      <rgbColor rgb="FF660066"/>
      <rgbColor rgb="FFF5F5F5"/>
      <rgbColor rgb="FF1565C0"/>
      <rgbColor rgb="FFD6E4F0"/>
      <rgbColor rgb="FF000080"/>
      <rgbColor rgb="FFFF00FF"/>
      <rgbColor rgb="FFF0F8F0"/>
      <rgbColor rgb="FF00FFFF"/>
      <rgbColor rgb="FF800080"/>
      <rgbColor rgb="FF800000"/>
      <rgbColor rgb="FF008080"/>
      <rgbColor rgb="FF0000FF"/>
      <rgbColor rgb="FF00CCFF"/>
      <rgbColor rgb="FFE8F5E9"/>
      <rgbColor rgb="FFD4EDDA"/>
      <rgbColor rgb="FFFFFF99"/>
      <rgbColor rgb="FFDCE6F1"/>
      <rgbColor rgb="FFFDE8D8"/>
      <rgbColor rgb="FFE8EAF6"/>
      <rgbColor rgb="FFFCE4D6"/>
      <rgbColor rgb="FF2E75B6"/>
      <rgbColor rgb="FF33CCCC"/>
      <rgbColor rgb="FFF0F5FF"/>
      <rgbColor rgb="FFFFD700"/>
      <rgbColor rgb="FFFF9900"/>
      <rgbColor rgb="FFE65100"/>
      <rgbColor rgb="FF375623"/>
      <rgbColor rgb="FFF2F2F2"/>
      <rgbColor rgb="FF37474F"/>
      <rgbColor rgb="FF2E7D32"/>
      <rgbColor rgb="FF1E5631"/>
      <rgbColor rgb="FF2F5233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52"/>
    <col collapsed="false" customWidth="true" hidden="false" outlineLevel="0" max="4" min="4" style="1" width="18"/>
  </cols>
  <sheetData>
    <row r="1" customFormat="false" ht="48" hidden="false" customHeight="true" outlineLevel="0" collapsed="false">
      <c r="A1" s="2" t="s">
        <v>0</v>
      </c>
      <c r="B1" s="2"/>
      <c r="C1" s="2"/>
      <c r="D1" s="2"/>
    </row>
    <row r="2" customFormat="false" ht="21.75" hidden="false" customHeight="true" outlineLevel="0" collapsed="false">
      <c r="A2" s="3" t="s">
        <v>1</v>
      </c>
      <c r="B2" s="3"/>
      <c r="C2" s="3"/>
      <c r="D2" s="3"/>
    </row>
    <row r="4" customFormat="false" ht="25.5" hidden="false" customHeight="true" outlineLevel="0" collapsed="false">
      <c r="B4" s="4" t="s">
        <v>2</v>
      </c>
      <c r="C4" s="4"/>
      <c r="D4" s="4"/>
    </row>
    <row r="5" customFormat="false" ht="21" hidden="false" customHeight="true" outlineLevel="0" collapsed="false">
      <c r="B5" s="5" t="s">
        <v>3</v>
      </c>
      <c r="C5" s="5" t="s">
        <v>4</v>
      </c>
      <c r="D5" s="5" t="s">
        <v>5</v>
      </c>
    </row>
    <row r="6" customFormat="false" ht="21" hidden="false" customHeight="true" outlineLevel="0" collapsed="false">
      <c r="B6" s="6" t="s">
        <v>6</v>
      </c>
      <c r="C6" s="6" t="s">
        <v>7</v>
      </c>
      <c r="D6" s="6" t="s">
        <v>8</v>
      </c>
    </row>
    <row r="7" customFormat="false" ht="21" hidden="false" customHeight="true" outlineLevel="0" collapsed="false">
      <c r="B7" s="6" t="s">
        <v>9</v>
      </c>
      <c r="C7" s="6" t="s">
        <v>10</v>
      </c>
      <c r="D7" s="6" t="s">
        <v>11</v>
      </c>
    </row>
    <row r="8" customFormat="false" ht="21" hidden="false" customHeight="true" outlineLevel="0" collapsed="false">
      <c r="B8" s="6" t="s">
        <v>12</v>
      </c>
      <c r="C8" s="6" t="s">
        <v>13</v>
      </c>
      <c r="D8" s="6" t="s">
        <v>14</v>
      </c>
    </row>
    <row r="9" customFormat="false" ht="21" hidden="false" customHeight="true" outlineLevel="0" collapsed="false">
      <c r="B9" s="6" t="s">
        <v>15</v>
      </c>
      <c r="C9" s="6" t="s">
        <v>16</v>
      </c>
      <c r="D9" s="6" t="s">
        <v>17</v>
      </c>
    </row>
    <row r="10" customFormat="false" ht="21" hidden="false" customHeight="true" outlineLevel="0" collapsed="false">
      <c r="B10" s="6" t="s">
        <v>18</v>
      </c>
      <c r="C10" s="6" t="s">
        <v>19</v>
      </c>
      <c r="D10" s="6" t="s">
        <v>20</v>
      </c>
    </row>
    <row r="11" customFormat="false" ht="21" hidden="false" customHeight="true" outlineLevel="0" collapsed="false"/>
    <row r="12" customFormat="false" ht="25.5" hidden="false" customHeight="true" outlineLevel="0" collapsed="false">
      <c r="B12" s="4" t="s">
        <v>21</v>
      </c>
      <c r="C12" s="4"/>
      <c r="D12" s="4"/>
    </row>
    <row r="13" customFormat="false" ht="21" hidden="false" customHeight="true" outlineLevel="0" collapsed="false">
      <c r="B13" s="7" t="s">
        <v>22</v>
      </c>
      <c r="C13" s="8" t="s">
        <v>23</v>
      </c>
      <c r="D13" s="8" t="s">
        <v>24</v>
      </c>
    </row>
    <row r="14" customFormat="false" ht="21" hidden="false" customHeight="true" outlineLevel="0" collapsed="false">
      <c r="B14" s="7" t="s">
        <v>25</v>
      </c>
      <c r="C14" s="8" t="s">
        <v>26</v>
      </c>
      <c r="D14" s="8" t="s">
        <v>27</v>
      </c>
    </row>
    <row r="15" customFormat="false" ht="21" hidden="false" customHeight="true" outlineLevel="0" collapsed="false">
      <c r="B15" s="7" t="s">
        <v>28</v>
      </c>
      <c r="C15" s="8" t="s">
        <v>29</v>
      </c>
      <c r="D15" s="8" t="s">
        <v>30</v>
      </c>
    </row>
    <row r="16" customFormat="false" ht="21" hidden="false" customHeight="true" outlineLevel="0" collapsed="false">
      <c r="B16" s="7" t="s">
        <v>31</v>
      </c>
      <c r="C16" s="8" t="s">
        <v>32</v>
      </c>
      <c r="D16" s="8" t="s">
        <v>33</v>
      </c>
    </row>
    <row r="17" customFormat="false" ht="21" hidden="false" customHeight="true" outlineLevel="0" collapsed="false">
      <c r="B17" s="7" t="s">
        <v>34</v>
      </c>
      <c r="C17" s="8" t="s">
        <v>35</v>
      </c>
      <c r="D17" s="8" t="s">
        <v>36</v>
      </c>
    </row>
    <row r="18" customFormat="false" ht="21" hidden="false" customHeight="true" outlineLevel="0" collapsed="false"/>
    <row r="19" customFormat="false" ht="25.5" hidden="false" customHeight="true" outlineLevel="0" collapsed="false">
      <c r="B19" s="4" t="s">
        <v>37</v>
      </c>
      <c r="C19" s="4"/>
      <c r="D19" s="4"/>
    </row>
    <row r="20" customFormat="false" ht="21" hidden="false" customHeight="true" outlineLevel="0" collapsed="false">
      <c r="B20" s="6" t="s">
        <v>38</v>
      </c>
      <c r="C20" s="6"/>
      <c r="D20" s="6" t="s">
        <v>39</v>
      </c>
    </row>
    <row r="21" customFormat="false" ht="21" hidden="false" customHeight="true" outlineLevel="0" collapsed="false">
      <c r="B21" s="6" t="s">
        <v>40</v>
      </c>
      <c r="C21" s="6"/>
      <c r="D21" s="6" t="s">
        <v>41</v>
      </c>
    </row>
    <row r="22" customFormat="false" ht="21" hidden="false" customHeight="true" outlineLevel="0" collapsed="false">
      <c r="B22" s="6" t="s">
        <v>42</v>
      </c>
      <c r="C22" s="6"/>
      <c r="D22" s="6" t="s">
        <v>43</v>
      </c>
    </row>
  </sheetData>
  <mergeCells count="5">
    <mergeCell ref="A1:D1"/>
    <mergeCell ref="A2:D2"/>
    <mergeCell ref="B4:D4"/>
    <mergeCell ref="B12:D12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12"/>
  </cols>
  <sheetData>
    <row r="1" customFormat="false" ht="34.5" hidden="false" customHeight="true" outlineLevel="0" collapsed="false">
      <c r="A1" s="9" t="s">
        <v>44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10" t="s">
        <v>45</v>
      </c>
      <c r="B2" s="10"/>
      <c r="C2" s="10"/>
      <c r="D2" s="10"/>
      <c r="E2" s="10"/>
      <c r="F2" s="10"/>
      <c r="G2" s="10"/>
    </row>
    <row r="3" customFormat="false" ht="30" hidden="false" customHeight="true" outlineLevel="0" collapsed="false">
      <c r="A3" s="11" t="s">
        <v>46</v>
      </c>
      <c r="B3" s="12" t="s">
        <v>47</v>
      </c>
      <c r="C3" s="12" t="s">
        <v>48</v>
      </c>
      <c r="D3" s="12" t="s">
        <v>49</v>
      </c>
      <c r="E3" s="12" t="s">
        <v>50</v>
      </c>
      <c r="F3" s="12" t="s">
        <v>51</v>
      </c>
      <c r="G3" s="12" t="s">
        <v>52</v>
      </c>
    </row>
    <row r="4" customFormat="false" ht="19.5" hidden="false" customHeight="true" outlineLevel="0" collapsed="false">
      <c r="A4" s="13" t="n">
        <v>1</v>
      </c>
      <c r="B4" s="14" t="s">
        <v>53</v>
      </c>
      <c r="C4" s="15" t="n">
        <f aca="false">IFERROR(SUMPRODUCT(('📥 원재료 입고'!$B$4:$B$500="간장")*'📥 원재료 입고'!$E$4:$E$500*'📥 원재료 입고'!$F$4:$F$500)/SUMPRODUCT(('📥 원재료 입고'!$B$4:$B$500="간장")*'📥 원재료 입고'!$E$4:$E$500),0)</f>
        <v>0</v>
      </c>
      <c r="D4" s="13" t="s">
        <v>54</v>
      </c>
      <c r="E4" s="16"/>
      <c r="F4" s="16"/>
      <c r="G4" s="13" t="n">
        <v>1</v>
      </c>
    </row>
    <row r="5" customFormat="false" ht="19.5" hidden="false" customHeight="true" outlineLevel="0" collapsed="false">
      <c r="A5" s="17" t="n">
        <v>2</v>
      </c>
      <c r="B5" s="18" t="s">
        <v>55</v>
      </c>
      <c r="C5" s="15" t="n">
        <f aca="false">IFERROR(SUMPRODUCT(('📥 원재료 입고'!$B$4:$B$500="강낭콩((울타리콩))")*'📥 원재료 입고'!$E$4:$E$500*'📥 원재료 입고'!$F$4:$F$500)/SUMPRODUCT(('📥 원재료 입고'!$B$4:$B$500="강낭콩((울타리콩))")*'📥 원재료 입고'!$E$4:$E$500),0)</f>
        <v>0</v>
      </c>
      <c r="D5" s="17" t="s">
        <v>54</v>
      </c>
      <c r="E5" s="19"/>
      <c r="F5" s="19"/>
      <c r="G5" s="17" t="n">
        <v>5</v>
      </c>
    </row>
    <row r="6" customFormat="false" ht="19.5" hidden="false" customHeight="true" outlineLevel="0" collapsed="false">
      <c r="A6" s="13" t="n">
        <v>3</v>
      </c>
      <c r="B6" s="14" t="s">
        <v>56</v>
      </c>
      <c r="C6" s="15" t="n">
        <f aca="false">IFERROR(SUMPRODUCT(('📥 원재료 입고'!$B$4:$B$500="건조딸기다이스(외국산)")*'📥 원재료 입고'!$E$4:$E$500*'📥 원재료 입고'!$F$4:$F$500)/SUMPRODUCT(('📥 원재료 입고'!$B$4:$B$500="건조딸기다이스(외국산)")*'📥 원재료 입고'!$E$4:$E$500),0)</f>
        <v>0</v>
      </c>
      <c r="D6" s="13" t="s">
        <v>54</v>
      </c>
      <c r="E6" s="16"/>
      <c r="F6" s="16"/>
      <c r="G6" s="13" t="n">
        <v>1</v>
      </c>
    </row>
    <row r="7" customFormat="false" ht="19.5" hidden="false" customHeight="true" outlineLevel="0" collapsed="false">
      <c r="A7" s="17" t="n">
        <v>4</v>
      </c>
      <c r="B7" s="18" t="s">
        <v>57</v>
      </c>
      <c r="C7" s="15" t="n">
        <f aca="false">IFERROR(SUMPRODUCT(('📥 원재료 입고'!$B$4:$B$500="건포도")*'📥 원재료 입고'!$E$4:$E$500*'📥 원재료 입고'!$F$4:$F$500)/SUMPRODUCT(('📥 원재료 입고'!$B$4:$B$500="건포도")*'📥 원재료 입고'!$E$4:$E$500),0)</f>
        <v>0</v>
      </c>
      <c r="D7" s="17" t="s">
        <v>54</v>
      </c>
      <c r="E7" s="19"/>
      <c r="F7" s="19"/>
      <c r="G7" s="17" t="n">
        <v>2</v>
      </c>
    </row>
    <row r="8" customFormat="false" ht="19.5" hidden="false" customHeight="true" outlineLevel="0" collapsed="false">
      <c r="A8" s="13" t="n">
        <v>5</v>
      </c>
      <c r="B8" s="14" t="s">
        <v>58</v>
      </c>
      <c r="C8" s="15" t="n">
        <f aca="false">IFERROR(SUMPRODUCT(('📥 원재료 입고'!$B$4:$B$500="건호박채(중국산)")*'📥 원재료 입고'!$E$4:$E$500*'📥 원재료 입고'!$F$4:$F$500)/SUMPRODUCT(('📥 원재료 입고'!$B$4:$B$500="건호박채(중국산)")*'📥 원재료 입고'!$E$4:$E$500),0)</f>
        <v>0</v>
      </c>
      <c r="D8" s="13" t="s">
        <v>54</v>
      </c>
      <c r="E8" s="16"/>
      <c r="F8" s="16"/>
      <c r="G8" s="13" t="n">
        <v>11</v>
      </c>
    </row>
    <row r="9" customFormat="false" ht="19.5" hidden="false" customHeight="true" outlineLevel="0" collapsed="false">
      <c r="A9" s="17" t="n">
        <v>6</v>
      </c>
      <c r="B9" s="18" t="s">
        <v>59</v>
      </c>
      <c r="C9" s="15" t="n">
        <f aca="false">IFERROR(SUMPRODUCT(('📥 원재료 입고'!$B$4:$B$500="검정깨(흑임자)")*'📥 원재료 입고'!$E$4:$E$500*'📥 원재료 입고'!$F$4:$F$500)/SUMPRODUCT(('📥 원재료 입고'!$B$4:$B$500="검정깨(흑임자)")*'📥 원재료 입고'!$E$4:$E$500),0)</f>
        <v>0</v>
      </c>
      <c r="D9" s="17" t="s">
        <v>54</v>
      </c>
      <c r="E9" s="19"/>
      <c r="F9" s="19"/>
      <c r="G9" s="17" t="n">
        <v>5</v>
      </c>
    </row>
    <row r="10" customFormat="false" ht="19.5" hidden="false" customHeight="true" outlineLevel="0" collapsed="false">
      <c r="A10" s="13" t="n">
        <v>7</v>
      </c>
      <c r="B10" s="14" t="s">
        <v>60</v>
      </c>
      <c r="C10" s="15" t="n">
        <f aca="false">IFERROR(SUMPRODUCT(('📥 원재료 입고'!$B$4:$B$500="검정콩")*'📥 원재료 입고'!$E$4:$E$500*'📥 원재료 입고'!$F$4:$F$500)/SUMPRODUCT(('📥 원재료 입고'!$B$4:$B$500="검정콩")*'📥 원재료 입고'!$E$4:$E$500),0)</f>
        <v>0</v>
      </c>
      <c r="D10" s="13" t="s">
        <v>54</v>
      </c>
      <c r="E10" s="16"/>
      <c r="F10" s="16"/>
      <c r="G10" s="13" t="n">
        <v>6</v>
      </c>
    </row>
    <row r="11" customFormat="false" ht="19.5" hidden="false" customHeight="true" outlineLevel="0" collapsed="false">
      <c r="A11" s="17" t="n">
        <v>8</v>
      </c>
      <c r="B11" s="18" t="s">
        <v>61</v>
      </c>
      <c r="C11" s="15" t="n">
        <f aca="false">IFERROR(SUMPRODUCT(('📥 원재료 입고'!$B$4:$B$500="계피가루")*'📥 원재료 입고'!$E$4:$E$500*'📥 원재료 입고'!$F$4:$F$500)/SUMPRODUCT(('📥 원재료 입고'!$B$4:$B$500="계피가루")*'📥 원재료 입고'!$E$4:$E$500),0)</f>
        <v>0</v>
      </c>
      <c r="D11" s="17" t="s">
        <v>54</v>
      </c>
      <c r="E11" s="19"/>
      <c r="F11" s="19"/>
      <c r="G11" s="17" t="n">
        <v>1</v>
      </c>
    </row>
    <row r="12" customFormat="false" ht="19.5" hidden="false" customHeight="true" outlineLevel="0" collapsed="false">
      <c r="A12" s="17" t="n">
        <v>9</v>
      </c>
      <c r="B12" s="18" t="s">
        <v>62</v>
      </c>
      <c r="C12" s="15" t="n">
        <f aca="false">IFERROR(SUMPRODUCT(('📥 원재료 입고'!$B$4:$B$500="고구마가루")*'📥 원재료 입고'!$E$4:$E$500*'📥 원재료 입고'!$F$4:$F$500)/SUMPRODUCT(('📥 원재료 입고'!$B$4:$B$500="고구마가루")*'📥 원재료 입고'!$E$4:$E$500),0)</f>
        <v>0</v>
      </c>
      <c r="D12" s="17" t="s">
        <v>54</v>
      </c>
      <c r="E12" s="19"/>
      <c r="F12" s="19"/>
      <c r="G12" s="20"/>
    </row>
    <row r="13" customFormat="false" ht="19.5" hidden="false" customHeight="true" outlineLevel="0" collapsed="false">
      <c r="A13" s="13" t="n">
        <v>10</v>
      </c>
      <c r="B13" s="14" t="s">
        <v>63</v>
      </c>
      <c r="C13" s="15" t="n">
        <f aca="false">IFERROR(SUMPRODUCT(('📥 원재료 입고'!$B$4:$B$500="고구마무스")*'📥 원재료 입고'!$E$4:$E$500*'📥 원재료 입고'!$F$4:$F$500)/SUMPRODUCT(('📥 원재료 입고'!$B$4:$B$500="고구마무스")*'📥 원재료 입고'!$E$4:$E$500),0)</f>
        <v>0</v>
      </c>
      <c r="D13" s="13" t="s">
        <v>54</v>
      </c>
      <c r="E13" s="16"/>
      <c r="F13" s="16"/>
      <c r="G13" s="13" t="n">
        <v>1</v>
      </c>
    </row>
    <row r="14" customFormat="false" ht="19.5" hidden="false" customHeight="true" outlineLevel="0" collapsed="false">
      <c r="A14" s="17" t="n">
        <v>11</v>
      </c>
      <c r="B14" s="18" t="s">
        <v>64</v>
      </c>
      <c r="C14" s="15" t="n">
        <f aca="false">IFERROR(SUMPRODUCT(('📥 원재료 입고'!$B$4:$B$500="고려엉겅퀴((곤드레)국내산)")*'📥 원재료 입고'!$E$4:$E$500*'📥 원재료 입고'!$F$4:$F$500)/SUMPRODUCT(('📥 원재료 입고'!$B$4:$B$500="고려엉겅퀴((곤드레)국내산)")*'📥 원재료 입고'!$E$4:$E$500),0)</f>
        <v>0</v>
      </c>
      <c r="D14" s="17" t="s">
        <v>54</v>
      </c>
      <c r="E14" s="19"/>
      <c r="F14" s="19"/>
      <c r="G14" s="17" t="n">
        <v>1</v>
      </c>
    </row>
    <row r="15" customFormat="false" ht="19.5" hidden="false" customHeight="true" outlineLevel="0" collapsed="false">
      <c r="A15" s="13" t="n">
        <v>12</v>
      </c>
      <c r="B15" s="14" t="s">
        <v>65</v>
      </c>
      <c r="C15" s="15" t="n">
        <f aca="false">IFERROR(SUMPRODUCT(('📥 원재료 입고'!$B$4:$B$500="기타가공품(복분자가루)")*'📥 원재료 입고'!$E$4:$E$500*'📥 원재료 입고'!$F$4:$F$500)/SUMPRODUCT(('📥 원재료 입고'!$B$4:$B$500="기타가공품(복분자가루)")*'📥 원재료 입고'!$E$4:$E$500),0)</f>
        <v>0</v>
      </c>
      <c r="D15" s="13" t="s">
        <v>54</v>
      </c>
      <c r="E15" s="16"/>
      <c r="F15" s="16"/>
      <c r="G15" s="13" t="n">
        <v>1</v>
      </c>
    </row>
    <row r="16" customFormat="false" ht="19.5" hidden="false" customHeight="true" outlineLevel="0" collapsed="false">
      <c r="A16" s="17" t="n">
        <v>13</v>
      </c>
      <c r="B16" s="18" t="s">
        <v>66</v>
      </c>
      <c r="C16" s="15" t="n">
        <f aca="false">IFERROR(SUMPRODUCT(('📥 원재료 입고'!$B$4:$B$500="기타가공품(슈퍼소프트엠)")*'📥 원재료 입고'!$E$4:$E$500*'📥 원재료 입고'!$F$4:$F$500)/SUMPRODUCT(('📥 원재료 입고'!$B$4:$B$500="기타가공품(슈퍼소프트엠)")*'📥 원재료 입고'!$E$4:$E$500),0)</f>
        <v>0</v>
      </c>
      <c r="D16" s="17" t="s">
        <v>54</v>
      </c>
      <c r="E16" s="19"/>
      <c r="F16" s="19"/>
      <c r="G16" s="17" t="n">
        <v>1</v>
      </c>
    </row>
    <row r="17" customFormat="false" ht="19.5" hidden="false" customHeight="true" outlineLevel="0" collapsed="false">
      <c r="A17" s="13" t="n">
        <v>14</v>
      </c>
      <c r="B17" s="14" t="s">
        <v>67</v>
      </c>
      <c r="C17" s="15" t="n">
        <f aca="false">IFERROR(SUMPRODUCT(('📥 원재료 입고'!$B$4:$B$500="기타가공품(파인소프트 E-티)")*'📥 원재료 입고'!$E$4:$E$500*'📥 원재료 입고'!$F$4:$F$500)/SUMPRODUCT(('📥 원재료 입고'!$B$4:$B$500="기타가공품(파인소프트 E-티)")*'📥 원재료 입고'!$E$4:$E$500),0)</f>
        <v>0</v>
      </c>
      <c r="D17" s="13" t="s">
        <v>54</v>
      </c>
      <c r="E17" s="16"/>
      <c r="F17" s="16"/>
      <c r="G17" s="13" t="n">
        <v>2</v>
      </c>
    </row>
    <row r="18" customFormat="false" ht="19.5" hidden="false" customHeight="true" outlineLevel="0" collapsed="false">
      <c r="A18" s="17" t="n">
        <v>15</v>
      </c>
      <c r="B18" s="18" t="s">
        <v>68</v>
      </c>
      <c r="C18" s="15" t="n">
        <f aca="false">IFERROR(SUMPRODUCT(('📥 원재료 입고'!$B$4:$B$500="기타가공품(프리미엄카스테라가루)")*'📥 원재료 입고'!$E$4:$E$500*'📥 원재료 입고'!$F$4:$F$500)/SUMPRODUCT(('📥 원재료 입고'!$B$4:$B$500="기타가공품(프리미엄카스테라가루)")*'📥 원재료 입고'!$E$4:$E$500),0)</f>
        <v>0</v>
      </c>
      <c r="D18" s="17" t="s">
        <v>54</v>
      </c>
      <c r="E18" s="19"/>
      <c r="F18" s="19"/>
      <c r="G18" s="17" t="n">
        <v>14</v>
      </c>
    </row>
    <row r="19" customFormat="false" ht="19.5" hidden="false" customHeight="true" outlineLevel="0" collapsed="false">
      <c r="A19" s="13" t="n">
        <v>16</v>
      </c>
      <c r="B19" s="14" t="s">
        <v>69</v>
      </c>
      <c r="C19" s="15" t="n">
        <f aca="false">IFERROR(SUMPRODUCT(('📥 원재료 입고'!$B$4:$B$500="기타가공품(흑임자가루)")*'📥 원재료 입고'!$E$4:$E$500*'📥 원재료 입고'!$F$4:$F$500)/SUMPRODUCT(('📥 원재료 입고'!$B$4:$B$500="기타가공품(흑임자가루)")*'📥 원재료 입고'!$E$4:$E$500),0)</f>
        <v>0</v>
      </c>
      <c r="D19" s="13" t="s">
        <v>54</v>
      </c>
      <c r="E19" s="16"/>
      <c r="F19" s="16"/>
      <c r="G19" s="13" t="n">
        <v>4</v>
      </c>
    </row>
    <row r="20" customFormat="false" ht="19.5" hidden="false" customHeight="true" outlineLevel="0" collapsed="false">
      <c r="A20" s="17" t="n">
        <v>17</v>
      </c>
      <c r="B20" s="18" t="s">
        <v>70</v>
      </c>
      <c r="C20" s="15" t="n">
        <f aca="false">IFERROR(SUMPRODUCT(('📥 원재료 입고'!$B$4:$B$500="기타설탕(흑설탕)")*'📥 원재료 입고'!$E$4:$E$500*'📥 원재료 입고'!$F$4:$F$500)/SUMPRODUCT(('📥 원재료 입고'!$B$4:$B$500="기타설탕(흑설탕)")*'📥 원재료 입고'!$E$4:$E$500),0)</f>
        <v>0</v>
      </c>
      <c r="D20" s="17" t="s">
        <v>54</v>
      </c>
      <c r="E20" s="19"/>
      <c r="F20" s="19"/>
      <c r="G20" s="17" t="n">
        <v>5</v>
      </c>
    </row>
    <row r="21" customFormat="false" ht="19.5" hidden="false" customHeight="true" outlineLevel="0" collapsed="false">
      <c r="A21" s="13" t="n">
        <v>18</v>
      </c>
      <c r="B21" s="14" t="s">
        <v>71</v>
      </c>
      <c r="C21" s="15" t="n">
        <f aca="false">IFERROR(SUMPRODUCT(('📥 원재료 입고'!$B$4:$B$500="냉동쑥(국내산)")*'📥 원재료 입고'!$E$4:$E$500*'📥 원재료 입고'!$F$4:$F$500)/SUMPRODUCT(('📥 원재료 입고'!$B$4:$B$500="냉동쑥(국내산)")*'📥 원재료 입고'!$E$4:$E$500),0)</f>
        <v>0</v>
      </c>
      <c r="D21" s="13" t="s">
        <v>54</v>
      </c>
      <c r="E21" s="16"/>
      <c r="F21" s="16"/>
      <c r="G21" s="13" t="n">
        <v>18</v>
      </c>
    </row>
    <row r="22" customFormat="false" ht="19.5" hidden="false" customHeight="true" outlineLevel="0" collapsed="false">
      <c r="A22" s="17" t="n">
        <v>19</v>
      </c>
      <c r="B22" s="18" t="s">
        <v>72</v>
      </c>
      <c r="C22" s="15" t="n">
        <f aca="false">IFERROR(SUMPRODUCT(('📥 원재료 입고'!$B$4:$B$500="냉동증숙고구마(중국산)")*'📥 원재료 입고'!$E$4:$E$500*'📥 원재료 입고'!$F$4:$F$500)/SUMPRODUCT(('📥 원재료 입고'!$B$4:$B$500="냉동증숙고구마(중국산)")*'📥 원재료 입고'!$E$4:$E$500),0)</f>
        <v>0</v>
      </c>
      <c r="D22" s="17" t="s">
        <v>54</v>
      </c>
      <c r="E22" s="19"/>
      <c r="F22" s="19"/>
      <c r="G22" s="17" t="n">
        <v>1</v>
      </c>
    </row>
    <row r="23" customFormat="false" ht="19.5" hidden="false" customHeight="true" outlineLevel="0" collapsed="false">
      <c r="A23" s="13" t="n">
        <v>20</v>
      </c>
      <c r="B23" s="14" t="s">
        <v>73</v>
      </c>
      <c r="C23" s="15" t="n">
        <f aca="false">IFERROR(SUMPRODUCT(('📥 원재료 입고'!$B$4:$B$500="녹차가루")*'📥 원재료 입고'!$E$4:$E$500*'📥 원재료 입고'!$F$4:$F$500)/SUMPRODUCT(('📥 원재료 입고'!$B$4:$B$500="녹차가루")*'📥 원재료 입고'!$E$4:$E$500),0)</f>
        <v>0</v>
      </c>
      <c r="D23" s="13" t="s">
        <v>54</v>
      </c>
      <c r="E23" s="16"/>
      <c r="F23" s="16"/>
      <c r="G23" s="13" t="n">
        <v>1</v>
      </c>
    </row>
    <row r="24" customFormat="false" ht="19.5" hidden="false" customHeight="true" outlineLevel="0" collapsed="false">
      <c r="A24" s="17" t="n">
        <v>21</v>
      </c>
      <c r="B24" s="18" t="s">
        <v>74</v>
      </c>
      <c r="C24" s="15" t="n">
        <f aca="false">IFERROR(SUMPRODUCT(('📥 원재료 입고'!$B$4:$B$500="다크초콜릿 컴파운드칩")*'📥 원재료 입고'!$E$4:$E$500*'📥 원재료 입고'!$F$4:$F$500)/SUMPRODUCT(('📥 원재료 입고'!$B$4:$B$500="다크초콜릿 컴파운드칩")*'📥 원재료 입고'!$E$4:$E$500),0)</f>
        <v>0</v>
      </c>
      <c r="D24" s="17" t="s">
        <v>54</v>
      </c>
      <c r="E24" s="19"/>
      <c r="F24" s="19"/>
      <c r="G24" s="17" t="n">
        <v>1</v>
      </c>
    </row>
    <row r="25" customFormat="false" ht="19.5" hidden="false" customHeight="true" outlineLevel="0" collapsed="false">
      <c r="A25" s="13" t="n">
        <v>22</v>
      </c>
      <c r="B25" s="14" t="s">
        <v>75</v>
      </c>
      <c r="C25" s="15" t="n">
        <f aca="false">IFERROR(SUMPRODUCT(('📥 원재료 입고'!$B$4:$B$500="단호박분말(중국산)")*'📥 원재료 입고'!$E$4:$E$500*'📥 원재료 입고'!$F$4:$F$500)/SUMPRODUCT(('📥 원재료 입고'!$B$4:$B$500="단호박분말(중국산)")*'📥 원재료 입고'!$E$4:$E$500),0)</f>
        <v>0</v>
      </c>
      <c r="D25" s="13" t="s">
        <v>54</v>
      </c>
      <c r="E25" s="16"/>
      <c r="F25" s="16"/>
      <c r="G25" s="13" t="n">
        <v>19</v>
      </c>
    </row>
    <row r="26" customFormat="false" ht="19.5" hidden="false" customHeight="true" outlineLevel="0" collapsed="false">
      <c r="A26" s="17" t="n">
        <v>23</v>
      </c>
      <c r="B26" s="18" t="s">
        <v>76</v>
      </c>
      <c r="C26" s="15" t="n">
        <f aca="false">IFERROR(SUMPRODUCT(('📥 원재료 입고'!$B$4:$B$500="당류가공품(단호박농축액)")*'📥 원재료 입고'!$E$4:$E$500*'📥 원재료 입고'!$F$4:$F$500)/SUMPRODUCT(('📥 원재료 입고'!$B$4:$B$500="당류가공품(단호박농축액)")*'📥 원재료 입고'!$E$4:$E$500),0)</f>
        <v>0</v>
      </c>
      <c r="D26" s="17" t="s">
        <v>54</v>
      </c>
      <c r="E26" s="19"/>
      <c r="F26" s="19"/>
      <c r="G26" s="17" t="n">
        <v>9</v>
      </c>
    </row>
    <row r="27" customFormat="false" ht="19.5" hidden="false" customHeight="true" outlineLevel="0" collapsed="false">
      <c r="A27" s="13" t="n">
        <v>24</v>
      </c>
      <c r="B27" s="14" t="s">
        <v>77</v>
      </c>
      <c r="C27" s="15" t="n">
        <f aca="false">IFERROR(SUMPRODUCT(('📥 원재료 입고'!$B$4:$B$500="당류가공품(알룰로스,에리스리톨,스테비올배당체혼합)")*'📥 원재료 입고'!$E$4:$E$500*'📥 원재료 입고'!$F$4:$F$500)/SUMPRODUCT(('📥 원재료 입고'!$B$4:$B$500="당류가공품(알룰로스,에리스리톨,스테비올배당체혼합)")*'📥 원재료 입고'!$E$4:$E$500),0)</f>
        <v>0</v>
      </c>
      <c r="D27" s="13" t="s">
        <v>54</v>
      </c>
      <c r="E27" s="16"/>
      <c r="F27" s="16"/>
      <c r="G27" s="13" t="n">
        <v>1</v>
      </c>
    </row>
    <row r="28" customFormat="false" ht="19.5" hidden="false" customHeight="true" outlineLevel="0" collapsed="false">
      <c r="A28" s="17" t="n">
        <v>25</v>
      </c>
      <c r="B28" s="18" t="s">
        <v>78</v>
      </c>
      <c r="C28" s="15" t="n">
        <f aca="false">IFERROR(SUMPRODUCT(('📥 원재료 입고'!$B$4:$B$500="당류가공품(알룰로스제로파우더)")*'📥 원재료 입고'!$E$4:$E$500*'📥 원재료 입고'!$F$4:$F$500)/SUMPRODUCT(('📥 원재료 입고'!$B$4:$B$500="당류가공품(알룰로스제로파우더)")*'📥 원재료 입고'!$E$4:$E$500),0)</f>
        <v>0</v>
      </c>
      <c r="D28" s="17" t="s">
        <v>54</v>
      </c>
      <c r="E28" s="19"/>
      <c r="F28" s="19"/>
      <c r="G28" s="17" t="n">
        <v>1</v>
      </c>
    </row>
    <row r="29" customFormat="false" ht="19.5" hidden="false" customHeight="true" outlineLevel="0" collapsed="false">
      <c r="A29" s="13" t="n">
        <v>26</v>
      </c>
      <c r="B29" s="14" t="s">
        <v>79</v>
      </c>
      <c r="C29" s="15" t="n">
        <f aca="false">IFERROR(SUMPRODUCT(('📥 원재료 입고'!$B$4:$B$500="당절임(완두배기)")*'📥 원재료 입고'!$E$4:$E$500*'📥 원재료 입고'!$F$4:$F$500)/SUMPRODUCT(('📥 원재료 입고'!$B$4:$B$500="당절임(완두배기)")*'📥 원재료 입고'!$E$4:$E$500),0)</f>
        <v>0</v>
      </c>
      <c r="D29" s="13" t="s">
        <v>54</v>
      </c>
      <c r="E29" s="16"/>
      <c r="F29" s="16"/>
      <c r="G29" s="13" t="n">
        <v>1</v>
      </c>
    </row>
    <row r="30" customFormat="false" ht="19.5" hidden="false" customHeight="true" outlineLevel="0" collapsed="false">
      <c r="A30" s="17" t="n">
        <v>27</v>
      </c>
      <c r="B30" s="18" t="s">
        <v>80</v>
      </c>
      <c r="C30" s="15" t="n">
        <f aca="false">IFERROR(SUMPRODUCT(('📥 원재료 입고'!$B$4:$B$500="대추농축액")*'📥 원재료 입고'!$E$4:$E$500*'📥 원재료 입고'!$F$4:$F$500)/SUMPRODUCT(('📥 원재료 입고'!$B$4:$B$500="대추농축액")*'📥 원재료 입고'!$E$4:$E$500),0)</f>
        <v>0</v>
      </c>
      <c r="D30" s="17" t="s">
        <v>54</v>
      </c>
      <c r="E30" s="19"/>
      <c r="F30" s="19"/>
      <c r="G30" s="17" t="n">
        <v>1</v>
      </c>
    </row>
    <row r="31" customFormat="false" ht="19.5" hidden="false" customHeight="true" outlineLevel="0" collapsed="false">
      <c r="A31" s="13" t="n">
        <v>28</v>
      </c>
      <c r="B31" s="14" t="s">
        <v>81</v>
      </c>
      <c r="C31" s="15" t="n">
        <f aca="false">IFERROR(SUMPRODUCT(('📥 원재료 입고'!$B$4:$B$500="대추채(국내산)")*'📥 원재료 입고'!$E$4:$E$500*'📥 원재료 입고'!$F$4:$F$500)/SUMPRODUCT(('📥 원재료 입고'!$B$4:$B$500="대추채(국내산)")*'📥 원재료 입고'!$E$4:$E$500),0)</f>
        <v>0</v>
      </c>
      <c r="D31" s="13" t="s">
        <v>54</v>
      </c>
      <c r="E31" s="16"/>
      <c r="F31" s="16"/>
      <c r="G31" s="13" t="n">
        <v>3</v>
      </c>
    </row>
    <row r="32" customFormat="false" ht="19.5" hidden="false" customHeight="true" outlineLevel="0" collapsed="false">
      <c r="A32" s="17" t="n">
        <v>29</v>
      </c>
      <c r="B32" s="18" t="s">
        <v>82</v>
      </c>
      <c r="C32" s="15" t="n">
        <f aca="false">IFERROR(SUMPRODUCT(('📥 원재료 입고'!$B$4:$B$500="동부(미얀마산)")*'📥 원재료 입고'!$E$4:$E$500*'📥 원재료 입고'!$F$4:$F$500)/SUMPRODUCT(('📥 원재료 입고'!$B$4:$B$500="동부(미얀마산)")*'📥 원재료 입고'!$E$4:$E$500),0)</f>
        <v>0</v>
      </c>
      <c r="D32" s="17" t="s">
        <v>54</v>
      </c>
      <c r="E32" s="19"/>
      <c r="F32" s="19"/>
      <c r="G32" s="17" t="n">
        <v>5</v>
      </c>
    </row>
    <row r="33" customFormat="false" ht="19.5" hidden="false" customHeight="true" outlineLevel="0" collapsed="false">
      <c r="A33" s="13" t="n">
        <v>30</v>
      </c>
      <c r="B33" s="14" t="s">
        <v>83</v>
      </c>
      <c r="C33" s="15" t="n">
        <f aca="false">IFERROR(SUMPRODUCT(('📥 원재료 입고'!$B$4:$B$500="두류가공품(백옥앙금)")*'📥 원재료 입고'!$E$4:$E$500*'📥 원재료 입고'!$F$4:$F$500)/SUMPRODUCT(('📥 원재료 입고'!$B$4:$B$500="두류가공품(백옥앙금)")*'📥 원재료 입고'!$E$4:$E$500),0)</f>
        <v>0</v>
      </c>
      <c r="D33" s="13" t="s">
        <v>54</v>
      </c>
      <c r="E33" s="16"/>
      <c r="F33" s="16"/>
      <c r="G33" s="13" t="n">
        <v>3</v>
      </c>
    </row>
    <row r="34" customFormat="false" ht="19.5" hidden="false" customHeight="true" outlineLevel="0" collapsed="false">
      <c r="A34" s="17" t="n">
        <v>31</v>
      </c>
      <c r="B34" s="18" t="s">
        <v>84</v>
      </c>
      <c r="C34" s="15" t="n">
        <f aca="false">IFERROR(SUMPRODUCT(('📥 원재료 입고'!$B$4:$B$500="두류가공품(콩고물)")*'📥 원재료 입고'!$E$4:$E$500*'📥 원재료 입고'!$F$4:$F$500)/SUMPRODUCT(('📥 원재료 입고'!$B$4:$B$500="두류가공품(콩고물)")*'📥 원재료 입고'!$E$4:$E$500),0)</f>
        <v>0</v>
      </c>
      <c r="D34" s="17" t="s">
        <v>54</v>
      </c>
      <c r="E34" s="19"/>
      <c r="F34" s="19"/>
      <c r="G34" s="17" t="n">
        <v>16</v>
      </c>
    </row>
    <row r="35" customFormat="false" ht="19.5" hidden="false" customHeight="true" outlineLevel="0" collapsed="false">
      <c r="A35" s="13" t="n">
        <v>32</v>
      </c>
      <c r="B35" s="14" t="s">
        <v>85</v>
      </c>
      <c r="C35" s="15" t="n">
        <f aca="false">IFERROR(SUMPRODUCT(('📥 원재료 입고'!$B$4:$B$500="두류가공품(통팥고물)")*'📥 원재료 입고'!$E$4:$E$500*'📥 원재료 입고'!$F$4:$F$500)/SUMPRODUCT(('📥 원재료 입고'!$B$4:$B$500="두류가공품(통팥고물)")*'📥 원재료 입고'!$E$4:$E$500),0)</f>
        <v>0</v>
      </c>
      <c r="D35" s="13" t="s">
        <v>54</v>
      </c>
      <c r="E35" s="16"/>
      <c r="F35" s="16"/>
      <c r="G35" s="13" t="n">
        <v>3</v>
      </c>
    </row>
    <row r="36" customFormat="false" ht="19.5" hidden="false" customHeight="true" outlineLevel="0" collapsed="false">
      <c r="A36" s="17" t="n">
        <v>33</v>
      </c>
      <c r="B36" s="18" t="s">
        <v>86</v>
      </c>
      <c r="C36" s="15" t="n">
        <f aca="false">IFERROR(SUMPRODUCT(('📥 원재료 입고'!$B$4:$B$500="딸기레진")*'📥 원재료 입고'!$E$4:$E$500*'📥 원재료 입고'!$F$4:$F$500)/SUMPRODUCT(('📥 원재료 입고'!$B$4:$B$500="딸기레진")*'📥 원재료 입고'!$E$4:$E$500),0)</f>
        <v>0</v>
      </c>
      <c r="D36" s="17" t="s">
        <v>54</v>
      </c>
      <c r="E36" s="19"/>
      <c r="F36" s="19"/>
      <c r="G36" s="17" t="n">
        <v>2</v>
      </c>
    </row>
    <row r="37" customFormat="false" ht="19.5" hidden="false" customHeight="true" outlineLevel="0" collapsed="false">
      <c r="A37" s="13" t="n">
        <v>34</v>
      </c>
      <c r="B37" s="14" t="s">
        <v>87</v>
      </c>
      <c r="C37" s="15" t="n">
        <f aca="false">IFERROR(SUMPRODUCT(('📥 원재료 입고'!$B$4:$B$500="딸기분말(스트로우베리에이드(분말))")*'📥 원재료 입고'!$E$4:$E$500*'📥 원재료 입고'!$F$4:$F$500)/SUMPRODUCT(('📥 원재료 입고'!$B$4:$B$500="딸기분말(스트로우베리에이드(분말))")*'📥 원재료 입고'!$E$4:$E$500),0)</f>
        <v>0</v>
      </c>
      <c r="D37" s="13" t="s">
        <v>54</v>
      </c>
      <c r="E37" s="16"/>
      <c r="F37" s="16"/>
      <c r="G37" s="13" t="n">
        <v>1</v>
      </c>
    </row>
    <row r="38" customFormat="false" ht="19.5" hidden="false" customHeight="true" outlineLevel="0" collapsed="false">
      <c r="A38" s="17" t="n">
        <v>35</v>
      </c>
      <c r="B38" s="18" t="s">
        <v>88</v>
      </c>
      <c r="C38" s="15" t="n">
        <f aca="false">IFERROR(SUMPRODUCT(('📥 원재료 입고'!$B$4:$B$500="마스카포네치즈")*'📥 원재료 입고'!$E$4:$E$500*'📥 원재료 입고'!$F$4:$F$500)/SUMPRODUCT(('📥 원재료 입고'!$B$4:$B$500="마스카포네치즈")*'📥 원재료 입고'!$E$4:$E$500),0)</f>
        <v>0</v>
      </c>
      <c r="D38" s="17" t="s">
        <v>54</v>
      </c>
      <c r="E38" s="19"/>
      <c r="F38" s="19"/>
      <c r="G38" s="17" t="n">
        <v>1</v>
      </c>
    </row>
    <row r="39" customFormat="false" ht="19.5" hidden="false" customHeight="true" outlineLevel="0" collapsed="false">
      <c r="A39" s="13" t="n">
        <v>36</v>
      </c>
      <c r="B39" s="14" t="s">
        <v>89</v>
      </c>
      <c r="C39" s="15" t="n">
        <f aca="false">IFERROR(SUMPRODUCT(('📥 원재료 입고'!$B$4:$B$500="마카다미아분태(호주산)")*'📥 원재료 입고'!$E$4:$E$500*'📥 원재료 입고'!$F$4:$F$500)/SUMPRODUCT(('📥 원재료 입고'!$B$4:$B$500="마카다미아분태(호주산)")*'📥 원재료 입고'!$E$4:$E$500),0)</f>
        <v>0</v>
      </c>
      <c r="D39" s="13" t="s">
        <v>54</v>
      </c>
      <c r="E39" s="16"/>
      <c r="F39" s="16"/>
      <c r="G39" s="13" t="n">
        <v>4</v>
      </c>
    </row>
    <row r="40" customFormat="false" ht="19.5" hidden="false" customHeight="true" outlineLevel="0" collapsed="false">
      <c r="A40" s="17" t="n">
        <v>37</v>
      </c>
      <c r="B40" s="18" t="s">
        <v>90</v>
      </c>
      <c r="C40" s="15" t="n">
        <v>1050</v>
      </c>
      <c r="D40" s="17" t="s">
        <v>54</v>
      </c>
      <c r="E40" s="19"/>
      <c r="F40" s="19"/>
      <c r="G40" s="17" t="n">
        <v>29</v>
      </c>
    </row>
    <row r="41" customFormat="false" ht="19.5" hidden="false" customHeight="true" outlineLevel="0" collapsed="false">
      <c r="A41" s="13" t="n">
        <v>38</v>
      </c>
      <c r="B41" s="14" t="s">
        <v>91</v>
      </c>
      <c r="C41" s="15" t="n">
        <f aca="false">IFERROR(SUMPRODUCT(('📥 원재료 입고'!$B$4:$B$500="모시잎(국내산)")*'📥 원재료 입고'!$E$4:$E$500*'📥 원재료 입고'!$F$4:$F$500)/SUMPRODUCT(('📥 원재료 입고'!$B$4:$B$500="모시잎(국내산)")*'📥 원재료 입고'!$E$4:$E$500),0)</f>
        <v>0</v>
      </c>
      <c r="D41" s="13" t="s">
        <v>54</v>
      </c>
      <c r="E41" s="16"/>
      <c r="F41" s="16"/>
      <c r="G41" s="13" t="n">
        <v>3</v>
      </c>
    </row>
    <row r="42" customFormat="false" ht="19.5" hidden="false" customHeight="true" outlineLevel="0" collapsed="false">
      <c r="A42" s="17" t="n">
        <v>39</v>
      </c>
      <c r="B42" s="18" t="s">
        <v>92</v>
      </c>
      <c r="C42" s="15" t="n">
        <f aca="false">IFERROR(SUMPRODUCT(('📥 원재료 입고'!$B$4:$B$500="물엿(저당물엿)")*'📥 원재료 입고'!$E$4:$E$500*'📥 원재료 입고'!$F$4:$F$500)/SUMPRODUCT(('📥 원재료 입고'!$B$4:$B$500="물엿(저당물엿)")*'📥 원재료 입고'!$E$4:$E$500),0)</f>
        <v>0</v>
      </c>
      <c r="D42" s="17" t="s">
        <v>54</v>
      </c>
      <c r="E42" s="19"/>
      <c r="F42" s="19"/>
      <c r="G42" s="17" t="n">
        <v>34</v>
      </c>
    </row>
    <row r="43" customFormat="false" ht="19.5" hidden="false" customHeight="true" outlineLevel="0" collapsed="false">
      <c r="A43" s="13" t="n">
        <v>40</v>
      </c>
      <c r="B43" s="14" t="s">
        <v>93</v>
      </c>
      <c r="C43" s="15" t="n">
        <f aca="false">IFERROR(SUMPRODUCT(('📥 원재료 입고'!$B$4:$B$500="밤다이스")*'📥 원재료 입고'!$E$4:$E$500*'📥 원재료 입고'!$F$4:$F$500)/SUMPRODUCT(('📥 원재료 입고'!$B$4:$B$500="밤다이스")*'📥 원재료 입고'!$E$4:$E$500),0)</f>
        <v>0</v>
      </c>
      <c r="D43" s="13" t="s">
        <v>54</v>
      </c>
      <c r="E43" s="16"/>
      <c r="F43" s="16"/>
      <c r="G43" s="13" t="n">
        <v>13</v>
      </c>
    </row>
    <row r="44" customFormat="false" ht="19.5" hidden="false" customHeight="true" outlineLevel="0" collapsed="false">
      <c r="A44" s="17" t="n">
        <v>41</v>
      </c>
      <c r="B44" s="18" t="s">
        <v>94</v>
      </c>
      <c r="C44" s="15" t="n">
        <f aca="false">IFERROR(SUMPRODUCT(('📥 원재료 입고'!$B$4:$B$500="변성전분(타피오카전분)")*'📥 원재료 입고'!$E$4:$E$500*'📥 원재료 입고'!$F$4:$F$500)/SUMPRODUCT(('📥 원재료 입고'!$B$4:$B$500="변성전분(타피오카전분)")*'📥 원재료 입고'!$E$4:$E$500),0)</f>
        <v>0</v>
      </c>
      <c r="D44" s="17" t="s">
        <v>54</v>
      </c>
      <c r="E44" s="19"/>
      <c r="F44" s="19"/>
      <c r="G44" s="17" t="n">
        <v>6</v>
      </c>
    </row>
    <row r="45" customFormat="false" ht="19.5" hidden="false" customHeight="true" outlineLevel="0" collapsed="false">
      <c r="A45" s="13" t="n">
        <v>42</v>
      </c>
      <c r="B45" s="14" t="s">
        <v>95</v>
      </c>
      <c r="C45" s="15" t="n">
        <f aca="false">IFERROR(SUMPRODUCT(('📥 원재료 입고'!$B$4:$B$500="복음땅콩분태")*'📥 원재료 입고'!$E$4:$E$500*'📥 원재료 입고'!$F$4:$F$500)/SUMPRODUCT(('📥 원재료 입고'!$B$4:$B$500="복음땅콩분태")*'📥 원재료 입고'!$E$4:$E$500),0)</f>
        <v>0</v>
      </c>
      <c r="D45" s="13" t="s">
        <v>54</v>
      </c>
      <c r="E45" s="16"/>
      <c r="F45" s="16"/>
      <c r="G45" s="13" t="n">
        <v>1</v>
      </c>
    </row>
    <row r="46" customFormat="false" ht="19.5" hidden="false" customHeight="true" outlineLevel="0" collapsed="false">
      <c r="A46" s="17" t="n">
        <v>43</v>
      </c>
      <c r="B46" s="18" t="s">
        <v>96</v>
      </c>
      <c r="C46" s="15" t="n">
        <f aca="false">IFERROR(SUMPRODUCT(('📥 원재료 입고'!$B$4:$B$500="사양벌꿀(국내산)")*'📥 원재료 입고'!$E$4:$E$500*'📥 원재료 입고'!$F$4:$F$500)/SUMPRODUCT(('📥 원재료 입고'!$B$4:$B$500="사양벌꿀(국내산)")*'📥 원재료 입고'!$E$4:$E$500),0)</f>
        <v>0</v>
      </c>
      <c r="D46" s="17" t="s">
        <v>54</v>
      </c>
      <c r="E46" s="19"/>
      <c r="F46" s="19"/>
      <c r="G46" s="17" t="n">
        <v>3</v>
      </c>
    </row>
    <row r="47" customFormat="false" ht="19.5" hidden="false" customHeight="true" outlineLevel="0" collapsed="false">
      <c r="A47" s="13" t="n">
        <v>44</v>
      </c>
      <c r="B47" s="14" t="s">
        <v>97</v>
      </c>
      <c r="C47" s="15" t="n">
        <f aca="false">IFERROR(SUMPRODUCT(('📥 원재료 입고'!$B$4:$B$500="생크림")*'📥 원재료 입고'!$E$4:$E$500*'📥 원재료 입고'!$F$4:$F$500)/SUMPRODUCT(('📥 원재료 입고'!$B$4:$B$500="생크림")*'📥 원재료 입고'!$E$4:$E$500),0)</f>
        <v>0</v>
      </c>
      <c r="D47" s="13" t="s">
        <v>54</v>
      </c>
      <c r="E47" s="16"/>
      <c r="F47" s="16"/>
      <c r="G47" s="13" t="n">
        <v>6</v>
      </c>
    </row>
    <row r="48" customFormat="false" ht="19.5" hidden="false" customHeight="true" outlineLevel="0" collapsed="false">
      <c r="A48" s="17" t="n">
        <v>45</v>
      </c>
      <c r="B48" s="18" t="s">
        <v>98</v>
      </c>
      <c r="C48" s="15" t="n">
        <f aca="false">IFERROR(SUMPRODUCT(('📥 원재료 입고'!$B$4:$B$500="서양호박(국내산,뉴질랜드산)")*'📥 원재료 입고'!$E$4:$E$500*'📥 원재료 입고'!$F$4:$F$500)/SUMPRODUCT(('📥 원재료 입고'!$B$4:$B$500="서양호박(국내산,뉴질랜드산)")*'📥 원재료 입고'!$E$4:$E$500),0)</f>
        <v>0</v>
      </c>
      <c r="D48" s="17" t="s">
        <v>54</v>
      </c>
      <c r="E48" s="19"/>
      <c r="F48" s="19"/>
      <c r="G48" s="17" t="n">
        <v>3</v>
      </c>
    </row>
    <row r="49" customFormat="false" ht="19.5" hidden="false" customHeight="true" outlineLevel="0" collapsed="false">
      <c r="A49" s="13" t="n">
        <v>46</v>
      </c>
      <c r="B49" s="14" t="s">
        <v>99</v>
      </c>
      <c r="C49" s="15" t="n">
        <f aca="false">IFERROR(SUMPRODUCT(('📥 원재료 입고'!$B$4:$B$500="설탕")*'📥 원재료 입고'!$E$4:$E$500*'📥 원재료 입고'!$F$4:$F$500)/SUMPRODUCT(('📥 원재료 입고'!$B$4:$B$500="설탕")*'📥 원재료 입고'!$E$4:$E$500),0)</f>
        <v>0</v>
      </c>
      <c r="D49" s="13" t="s">
        <v>54</v>
      </c>
      <c r="E49" s="16"/>
      <c r="F49" s="16"/>
      <c r="G49" s="13" t="n">
        <v>69</v>
      </c>
    </row>
    <row r="50" customFormat="false" ht="19.5" hidden="false" customHeight="true" outlineLevel="0" collapsed="false">
      <c r="A50" s="17" t="n">
        <v>47</v>
      </c>
      <c r="B50" s="18" t="s">
        <v>100</v>
      </c>
      <c r="C50" s="15" t="n">
        <f aca="false">IFERROR(SUMPRODUCT(('📥 원재료 입고'!$B$4:$B$500="스트로우베리 에이드 후레쉬")*'📥 원재료 입고'!$E$4:$E$500*'📥 원재료 입고'!$F$4:$F$500)/SUMPRODUCT(('📥 원재료 입고'!$B$4:$B$500="스트로우베리 에이드 후레쉬")*'📥 원재료 입고'!$E$4:$E$500),0)</f>
        <v>0</v>
      </c>
      <c r="D50" s="17" t="s">
        <v>54</v>
      </c>
      <c r="E50" s="19"/>
      <c r="F50" s="19"/>
      <c r="G50" s="17" t="n">
        <v>1</v>
      </c>
    </row>
    <row r="51" customFormat="false" ht="19.5" hidden="false" customHeight="true" outlineLevel="0" collapsed="false">
      <c r="A51" s="13" t="n">
        <v>48</v>
      </c>
      <c r="B51" s="14" t="s">
        <v>101</v>
      </c>
      <c r="C51" s="15" t="n">
        <f aca="false">IFERROR(SUMPRODUCT(('📥 원재료 입고'!$B$4:$B$500="식물성기름혼합제제(분홍)")*'📥 원재료 입고'!$E$4:$E$500*'📥 원재료 입고'!$F$4:$F$500)/SUMPRODUCT(('📥 원재료 입고'!$B$4:$B$500="식물성기름혼합제제(분홍)")*'📥 원재료 입고'!$E$4:$E$500),0)</f>
        <v>0</v>
      </c>
      <c r="D51" s="13" t="s">
        <v>54</v>
      </c>
      <c r="E51" s="16"/>
      <c r="F51" s="16"/>
      <c r="G51" s="13" t="n">
        <v>0</v>
      </c>
    </row>
    <row r="52" customFormat="false" ht="19.5" hidden="false" customHeight="true" outlineLevel="0" collapsed="false">
      <c r="A52" s="17" t="n">
        <v>49</v>
      </c>
      <c r="B52" s="18" t="s">
        <v>102</v>
      </c>
      <c r="C52" s="15" t="n">
        <f aca="false">IFERROR(SUMPRODUCT(('📥 원재료 입고'!$B$4:$B$500="식물성기름혼합제제(초록)")*'📥 원재료 입고'!$E$4:$E$500*'📥 원재료 입고'!$F$4:$F$500)/SUMPRODUCT(('📥 원재료 입고'!$B$4:$B$500="식물성기름혼합제제(초록)")*'📥 원재료 입고'!$E$4:$E$500),0)</f>
        <v>0</v>
      </c>
      <c r="D52" s="17" t="s">
        <v>54</v>
      </c>
      <c r="E52" s="19"/>
      <c r="F52" s="19"/>
      <c r="G52" s="17" t="n">
        <v>0</v>
      </c>
    </row>
    <row r="53" customFormat="false" ht="19.5" hidden="false" customHeight="true" outlineLevel="0" collapsed="false">
      <c r="A53" s="13" t="n">
        <v>50</v>
      </c>
      <c r="B53" s="14" t="s">
        <v>103</v>
      </c>
      <c r="C53" s="15" t="n">
        <f aca="false">IFERROR(SUMPRODUCT(('📥 원재료 입고'!$B$4:$B$500="식물성기름혼합제제(황색)")*'📥 원재료 입고'!$E$4:$E$500*'📥 원재료 입고'!$F$4:$F$500)/SUMPRODUCT(('📥 원재료 입고'!$B$4:$B$500="식물성기름혼합제제(황색)")*'📥 원재료 입고'!$E$4:$E$500),0)</f>
        <v>0</v>
      </c>
      <c r="D53" s="13" t="s">
        <v>54</v>
      </c>
      <c r="E53" s="16"/>
      <c r="F53" s="16"/>
      <c r="G53" s="13" t="n">
        <v>0</v>
      </c>
    </row>
    <row r="54" customFormat="false" ht="19.5" hidden="false" customHeight="true" outlineLevel="0" collapsed="false">
      <c r="A54" s="17" t="n">
        <v>51</v>
      </c>
      <c r="B54" s="18" t="s">
        <v>104</v>
      </c>
      <c r="C54" s="15" t="n">
        <f aca="false">IFERROR(SUMPRODUCT(('📥 원재료 입고'!$B$4:$B$500="쑥가루(국내산)")*'📥 원재료 입고'!$E$4:$E$500*'📥 원재료 입고'!$F$4:$F$500)/SUMPRODUCT(('📥 원재료 입고'!$B$4:$B$500="쑥가루(국내산)")*'📥 원재료 입고'!$E$4:$E$500),0)</f>
        <v>0</v>
      </c>
      <c r="D54" s="17" t="s">
        <v>54</v>
      </c>
      <c r="E54" s="19"/>
      <c r="F54" s="19"/>
      <c r="G54" s="17" t="n">
        <v>22</v>
      </c>
    </row>
    <row r="55" customFormat="false" ht="19.5" hidden="false" customHeight="true" outlineLevel="0" collapsed="false">
      <c r="A55" s="13" t="n">
        <v>52</v>
      </c>
      <c r="B55" s="14" t="s">
        <v>105</v>
      </c>
      <c r="C55" s="15" t="n">
        <f aca="false">IFERROR(SUMPRODUCT(('📥 원재료 입고'!$B$4:$B$500="아몬드슬라이스")*'📥 원재료 입고'!$E$4:$E$500*'📥 원재료 입고'!$F$4:$F$500)/SUMPRODUCT(('📥 원재료 입고'!$B$4:$B$500="아몬드슬라이스")*'📥 원재료 입고'!$E$4:$E$500),0)</f>
        <v>0</v>
      </c>
      <c r="D55" s="13" t="s">
        <v>54</v>
      </c>
      <c r="E55" s="16"/>
      <c r="F55" s="16"/>
      <c r="G55" s="13" t="n">
        <v>2</v>
      </c>
    </row>
    <row r="56" customFormat="false" ht="19.5" hidden="false" customHeight="true" outlineLevel="0" collapsed="false">
      <c r="A56" s="17" t="n">
        <v>53</v>
      </c>
      <c r="B56" s="18" t="s">
        <v>106</v>
      </c>
      <c r="C56" s="15" t="n">
        <f aca="false">IFERROR(SUMPRODUCT(('📥 원재료 입고'!$B$4:$B$500="알룰로오스(국내산)")*'📥 원재료 입고'!$E$4:$E$500*'📥 원재료 입고'!$F$4:$F$500)/SUMPRODUCT(('📥 원재료 입고'!$B$4:$B$500="알룰로오스(국내산)")*'📥 원재료 입고'!$E$4:$E$500),0)</f>
        <v>0</v>
      </c>
      <c r="D56" s="17" t="s">
        <v>54</v>
      </c>
      <c r="E56" s="19"/>
      <c r="F56" s="19"/>
      <c r="G56" s="17" t="n">
        <v>1</v>
      </c>
    </row>
    <row r="57" customFormat="false" ht="19.5" hidden="false" customHeight="true" outlineLevel="0" collapsed="false">
      <c r="A57" s="13" t="n">
        <v>54</v>
      </c>
      <c r="B57" s="14" t="s">
        <v>107</v>
      </c>
      <c r="C57" s="15" t="n">
        <f aca="false">IFERROR(SUMPRODUCT(('📥 원재료 입고'!$B$4:$B$500="연유")*'📥 원재료 입고'!$E$4:$E$500*'📥 원재료 입고'!$F$4:$F$500)/SUMPRODUCT(('📥 원재료 입고'!$B$4:$B$500="연유")*'📥 원재료 입고'!$E$4:$E$500),0)</f>
        <v>0</v>
      </c>
      <c r="D57" s="13" t="s">
        <v>54</v>
      </c>
      <c r="E57" s="16"/>
      <c r="F57" s="16"/>
      <c r="G57" s="13" t="n">
        <v>6</v>
      </c>
    </row>
    <row r="58" customFormat="false" ht="19.5" hidden="false" customHeight="true" outlineLevel="0" collapsed="false">
      <c r="A58" s="17" t="n">
        <v>55</v>
      </c>
      <c r="B58" s="18" t="s">
        <v>108</v>
      </c>
      <c r="C58" s="15" t="n">
        <f aca="false">IFERROR(SUMPRODUCT(('📥 원재료 입고'!$B$4:$B$500="옥수수전분")*'📥 원재료 입고'!$E$4:$E$500*'📥 원재료 입고'!$F$4:$F$500)/SUMPRODUCT(('📥 원재료 입고'!$B$4:$B$500="옥수수전분")*'📥 원재료 입고'!$E$4:$E$500),0)</f>
        <v>0</v>
      </c>
      <c r="D58" s="17" t="s">
        <v>54</v>
      </c>
      <c r="E58" s="19"/>
      <c r="F58" s="19"/>
      <c r="G58" s="17" t="n">
        <v>5</v>
      </c>
    </row>
    <row r="59" customFormat="false" ht="19.5" hidden="false" customHeight="true" outlineLevel="0" collapsed="false">
      <c r="A59" s="13" t="n">
        <v>56</v>
      </c>
      <c r="B59" s="14" t="s">
        <v>109</v>
      </c>
      <c r="C59" s="15" t="n">
        <f aca="false">IFERROR(SUMPRODUCT(('📥 원재료 입고'!$B$4:$B$500="완두배기")*'📥 원재료 입고'!$E$4:$E$500*'📥 원재료 입고'!$F$4:$F$500)/SUMPRODUCT(('📥 원재료 입고'!$B$4:$B$500="완두배기")*'📥 원재료 입고'!$E$4:$E$500),0)</f>
        <v>0</v>
      </c>
      <c r="D59" s="13" t="s">
        <v>54</v>
      </c>
      <c r="E59" s="16"/>
      <c r="F59" s="16"/>
      <c r="G59" s="13" t="n">
        <v>2</v>
      </c>
    </row>
    <row r="60" customFormat="false" ht="19.5" hidden="false" customHeight="true" outlineLevel="0" collapsed="false">
      <c r="A60" s="17" t="n">
        <v>57</v>
      </c>
      <c r="B60" s="18" t="s">
        <v>110</v>
      </c>
      <c r="C60" s="15" t="n">
        <f aca="false">IFERROR(SUMPRODUCT(('📥 원재료 입고'!$B$4:$B$500="우유(국내산)")*'📥 원재료 입고'!$E$4:$E$500*'📥 원재료 입고'!$F$4:$F$500)/SUMPRODUCT(('📥 원재료 입고'!$B$4:$B$500="우유(국내산)")*'📥 원재료 입고'!$E$4:$E$500),0)</f>
        <v>0</v>
      </c>
      <c r="D60" s="17" t="s">
        <v>54</v>
      </c>
      <c r="E60" s="19"/>
      <c r="F60" s="19"/>
      <c r="G60" s="17" t="n">
        <v>2</v>
      </c>
    </row>
    <row r="61" customFormat="false" ht="19.5" hidden="false" customHeight="true" outlineLevel="0" collapsed="false">
      <c r="A61" s="13" t="n">
        <v>58</v>
      </c>
      <c r="B61" s="14" t="s">
        <v>111</v>
      </c>
      <c r="C61" s="15" t="n">
        <f aca="false">IFERROR(SUMPRODUCT(('📥 원재료 입고'!$B$4:$B$500="자색고구마가루(중국산)")*'📥 원재료 입고'!$E$4:$E$500*'📥 원재료 입고'!$F$4:$F$500)/SUMPRODUCT(('📥 원재료 입고'!$B$4:$B$500="자색고구마가루(중국산)")*'📥 원재료 입고'!$E$4:$E$500),0)</f>
        <v>0</v>
      </c>
      <c r="D61" s="13" t="s">
        <v>54</v>
      </c>
      <c r="E61" s="16"/>
      <c r="F61" s="16"/>
      <c r="G61" s="13" t="n">
        <v>3</v>
      </c>
    </row>
    <row r="62" customFormat="false" ht="19.5" hidden="false" customHeight="true" outlineLevel="0" collapsed="false">
      <c r="A62" s="17" t="n">
        <v>59</v>
      </c>
      <c r="B62" s="18" t="s">
        <v>112</v>
      </c>
      <c r="C62" s="15" t="n">
        <f aca="false">IFERROR(SUMPRODUCT(('📥 원재료 입고'!$B$4:$B$500="자연치즈(체다치즈)")*'📥 원재료 입고'!$E$4:$E$500*'📥 원재료 입고'!$F$4:$F$500)/SUMPRODUCT(('📥 원재료 입고'!$B$4:$B$500="자연치즈(체다치즈)")*'📥 원재료 입고'!$E$4:$E$500),0)</f>
        <v>0</v>
      </c>
      <c r="D62" s="17" t="s">
        <v>54</v>
      </c>
      <c r="E62" s="19"/>
      <c r="F62" s="19"/>
      <c r="G62" s="17" t="n">
        <v>1</v>
      </c>
    </row>
    <row r="63" customFormat="false" ht="19.5" hidden="false" customHeight="true" outlineLevel="0" collapsed="false">
      <c r="A63" s="13" t="n">
        <v>60</v>
      </c>
      <c r="B63" s="14" t="s">
        <v>113</v>
      </c>
      <c r="C63" s="15" t="n">
        <f aca="false">IFERROR(SUMPRODUCT(('📥 원재료 입고'!$B$4:$B$500="정제수")*'📥 원재료 입고'!$E$4:$E$500*'📥 원재료 입고'!$F$4:$F$500)/SUMPRODUCT(('📥 원재료 입고'!$B$4:$B$500="정제수")*'📥 원재료 입고'!$E$4:$E$500),0)</f>
        <v>0</v>
      </c>
      <c r="D63" s="13" t="s">
        <v>54</v>
      </c>
      <c r="E63" s="16"/>
      <c r="F63" s="16"/>
      <c r="G63" s="13" t="n">
        <v>61</v>
      </c>
    </row>
    <row r="64" customFormat="false" ht="19.5" hidden="false" customHeight="true" outlineLevel="0" collapsed="false">
      <c r="A64" s="17" t="n">
        <v>61</v>
      </c>
      <c r="B64" s="18" t="s">
        <v>114</v>
      </c>
      <c r="C64" s="15" t="n">
        <f aca="false">IFERROR(SUMPRODUCT(('📥 원재료 입고'!$B$4:$B$500="젤라틴")*'📥 원재료 입고'!$E$4:$E$500*'📥 원재료 입고'!$F$4:$F$500)/SUMPRODUCT(('📥 원재료 입고'!$B$4:$B$500="젤라틴")*'📥 원재료 입고'!$E$4:$E$500),0)</f>
        <v>0</v>
      </c>
      <c r="D64" s="17" t="s">
        <v>54</v>
      </c>
      <c r="E64" s="19"/>
      <c r="F64" s="19"/>
      <c r="G64" s="17" t="n">
        <v>6</v>
      </c>
    </row>
    <row r="65" customFormat="false" ht="19.5" hidden="false" customHeight="true" outlineLevel="0" collapsed="false">
      <c r="A65" s="13" t="n">
        <v>62</v>
      </c>
      <c r="B65" s="14" t="s">
        <v>115</v>
      </c>
      <c r="C65" s="15" t="n">
        <f aca="false">IFERROR(SUMPRODUCT(('📥 원재료 입고'!$B$4:$B$500="조림류(백옥앙금)")*'📥 원재료 입고'!$E$4:$E$500*'📥 원재료 입고'!$F$4:$F$500)/SUMPRODUCT(('📥 원재료 입고'!$B$4:$B$500="조림류(백옥앙금)")*'📥 원재료 입고'!$E$4:$E$500),0)</f>
        <v>0</v>
      </c>
      <c r="D65" s="13" t="s">
        <v>54</v>
      </c>
      <c r="E65" s="16"/>
      <c r="F65" s="16"/>
      <c r="G65" s="13" t="n">
        <v>8</v>
      </c>
    </row>
    <row r="66" customFormat="false" ht="19.5" hidden="false" customHeight="true" outlineLevel="0" collapsed="false">
      <c r="A66" s="17" t="n">
        <v>63</v>
      </c>
      <c r="B66" s="18" t="s">
        <v>116</v>
      </c>
      <c r="C66" s="15" t="n">
        <f aca="false">IFERROR(SUMPRODUCT(('📥 원재료 입고'!$B$4:$B$500="조림류(통팥앙금)")*'📥 원재료 입고'!$E$4:$E$500*'📥 원재료 입고'!$F$4:$F$500)/SUMPRODUCT(('📥 원재료 입고'!$B$4:$B$500="조림류(통팥앙금)")*'📥 원재료 입고'!$E$4:$E$500),0)</f>
        <v>0</v>
      </c>
      <c r="D66" s="17" t="s">
        <v>54</v>
      </c>
      <c r="E66" s="19"/>
      <c r="F66" s="19"/>
      <c r="G66" s="17" t="n">
        <v>13</v>
      </c>
    </row>
    <row r="67" customFormat="false" ht="19.5" hidden="false" customHeight="true" outlineLevel="0" collapsed="false">
      <c r="A67" s="13" t="n">
        <v>64</v>
      </c>
      <c r="B67" s="14" t="s">
        <v>117</v>
      </c>
      <c r="C67" s="15" t="n">
        <f aca="false">IFERROR(SUMPRODUCT(('📥 원재료 입고'!$B$4:$B$500="준초콜릿(외국산)")*'📥 원재료 입고'!$E$4:$E$500*'📥 원재료 입고'!$F$4:$F$500)/SUMPRODUCT(('📥 원재료 입고'!$B$4:$B$500="준초콜릿(외국산)")*'📥 원재료 입고'!$E$4:$E$500),0)</f>
        <v>0</v>
      </c>
      <c r="D67" s="13" t="s">
        <v>54</v>
      </c>
      <c r="E67" s="16"/>
      <c r="F67" s="16"/>
      <c r="G67" s="13" t="n">
        <v>1</v>
      </c>
    </row>
    <row r="68" customFormat="false" ht="19.5" hidden="false" customHeight="true" outlineLevel="0" collapsed="false">
      <c r="A68" s="17" t="n">
        <v>65</v>
      </c>
      <c r="B68" s="18" t="s">
        <v>118</v>
      </c>
      <c r="C68" s="15" t="n">
        <f aca="false">IFERROR(SUMPRODUCT(('📥 원재료 입고'!$B$4:$B$500="중력분")*'📥 원재료 입고'!$E$4:$E$500*'📥 원재료 입고'!$F$4:$F$500)/SUMPRODUCT(('📥 원재료 입고'!$B$4:$B$500="중력분")*'📥 원재료 입고'!$E$4:$E$500),0)</f>
        <v>0</v>
      </c>
      <c r="D68" s="17" t="s">
        <v>54</v>
      </c>
      <c r="E68" s="19"/>
      <c r="F68" s="19"/>
      <c r="G68" s="17" t="n">
        <v>32</v>
      </c>
    </row>
    <row r="69" customFormat="false" ht="19.5" hidden="false" customHeight="true" outlineLevel="0" collapsed="false">
      <c r="A69" s="13" t="n">
        <v>66</v>
      </c>
      <c r="B69" s="14" t="s">
        <v>119</v>
      </c>
      <c r="C69" s="15" t="n">
        <f aca="false">IFERROR(SUMPRODUCT(('📥 원재료 입고'!$B$4:$B$500="참깨(인도산,나이지리아산,탄자니아산,미얀마산)")*'📥 원재료 입고'!$E$4:$E$500*'📥 원재료 입고'!$F$4:$F$500)/SUMPRODUCT(('📥 원재료 입고'!$B$4:$B$500="참깨(인도산,나이지리아산,탄자니아산,미얀마산)")*'📥 원재료 입고'!$E$4:$E$500),0)</f>
        <v>0</v>
      </c>
      <c r="D69" s="13" t="s">
        <v>54</v>
      </c>
      <c r="E69" s="16"/>
      <c r="F69" s="16"/>
      <c r="G69" s="13" t="n">
        <v>7</v>
      </c>
    </row>
    <row r="70" customFormat="false" ht="19.5" hidden="false" customHeight="true" outlineLevel="0" collapsed="false">
      <c r="A70" s="17" t="n">
        <v>67</v>
      </c>
      <c r="B70" s="18" t="s">
        <v>120</v>
      </c>
      <c r="C70" s="15" t="n">
        <f aca="false">IFERROR(SUMPRODUCT(('📥 원재료 입고'!$B$4:$B$500="찹쌀(국내산)")*'📥 원재료 입고'!$E$4:$E$500*'📥 원재료 입고'!$F$4:$F$500)/SUMPRODUCT(('📥 원재료 입고'!$B$4:$B$500="찹쌀(국내산)")*'📥 원재료 입고'!$E$4:$E$500),0)</f>
        <v>0</v>
      </c>
      <c r="D70" s="17" t="s">
        <v>54</v>
      </c>
      <c r="E70" s="19"/>
      <c r="F70" s="19"/>
      <c r="G70" s="17" t="n">
        <v>48</v>
      </c>
    </row>
    <row r="71" customFormat="false" ht="19.5" hidden="false" customHeight="true" outlineLevel="0" collapsed="false">
      <c r="A71" s="13" t="n">
        <v>68</v>
      </c>
      <c r="B71" s="14" t="s">
        <v>121</v>
      </c>
      <c r="C71" s="15" t="n">
        <f aca="false">IFERROR(SUMPRODUCT(('📥 원재료 입고'!$B$4:$B$500="천일염")*'📥 원재료 입고'!$E$4:$E$500*'📥 원재료 입고'!$F$4:$F$500)/SUMPRODUCT(('📥 원재료 입고'!$B$4:$B$500="천일염")*'📥 원재료 입고'!$E$4:$E$500),0)</f>
        <v>0</v>
      </c>
      <c r="D71" s="13" t="s">
        <v>54</v>
      </c>
      <c r="E71" s="16"/>
      <c r="F71" s="16"/>
      <c r="G71" s="13" t="n">
        <v>70</v>
      </c>
    </row>
    <row r="72" customFormat="false" ht="19.5" hidden="false" customHeight="true" outlineLevel="0" collapsed="false">
      <c r="A72" s="17" t="n">
        <v>69</v>
      </c>
      <c r="B72" s="18" t="s">
        <v>122</v>
      </c>
      <c r="C72" s="15" t="n">
        <f aca="false">IFERROR(SUMPRODUCT(('📥 원재료 입고'!$B$4:$B$500="치즈 [크림치즈]")*'📥 원재료 입고'!$E$4:$E$500*'📥 원재료 입고'!$F$4:$F$500)/SUMPRODUCT(('📥 원재료 입고'!$B$4:$B$500="치즈 [크림치즈]")*'📥 원재료 입고'!$E$4:$E$500),0)</f>
        <v>0</v>
      </c>
      <c r="D72" s="17" t="s">
        <v>54</v>
      </c>
      <c r="E72" s="19"/>
      <c r="F72" s="19"/>
      <c r="G72" s="17" t="n">
        <v>6</v>
      </c>
    </row>
    <row r="73" customFormat="false" ht="19.5" hidden="false" customHeight="true" outlineLevel="0" collapsed="false">
      <c r="A73" s="13" t="n">
        <v>70</v>
      </c>
      <c r="B73" s="14" t="s">
        <v>123</v>
      </c>
      <c r="C73" s="15" t="n">
        <f aca="false">IFERROR(SUMPRODUCT(('📥 원재료 입고'!$B$4:$B$500="코코아가공품류(코코아분말)")*'📥 원재료 입고'!$E$4:$E$500*'📥 원재료 입고'!$F$4:$F$500)/SUMPRODUCT(('📥 원재료 입고'!$B$4:$B$500="코코아가공품류(코코아분말)")*'📥 원재료 입고'!$E$4:$E$500),0)</f>
        <v>0</v>
      </c>
      <c r="D73" s="13" t="s">
        <v>54</v>
      </c>
      <c r="E73" s="16"/>
      <c r="F73" s="16"/>
      <c r="G73" s="13" t="n">
        <v>2</v>
      </c>
    </row>
    <row r="74" customFormat="false" ht="19.5" hidden="false" customHeight="true" outlineLevel="0" collapsed="false">
      <c r="A74" s="17" t="n">
        <v>71</v>
      </c>
      <c r="B74" s="18" t="s">
        <v>124</v>
      </c>
      <c r="C74" s="15" t="n">
        <f aca="false">IFERROR(SUMPRODUCT(('📥 원재료 입고'!$B$4:$B$500="콩기름(대두유)")*'📥 원재료 입고'!$E$4:$E$500*'📥 원재료 입고'!$F$4:$F$500)/SUMPRODUCT(('📥 원재료 입고'!$B$4:$B$500="콩기름(대두유)")*'📥 원재료 입고'!$E$4:$E$500),0)</f>
        <v>0</v>
      </c>
      <c r="D74" s="17" t="s">
        <v>54</v>
      </c>
      <c r="E74" s="19"/>
      <c r="F74" s="19"/>
      <c r="G74" s="17" t="n">
        <v>10</v>
      </c>
    </row>
    <row r="75" customFormat="false" ht="19.5" hidden="false" customHeight="true" outlineLevel="0" collapsed="false">
      <c r="A75" s="13" t="n">
        <v>72</v>
      </c>
      <c r="B75" s="14" t="s">
        <v>125</v>
      </c>
      <c r="C75" s="15" t="n">
        <f aca="false">IFERROR(SUMPRODUCT(('📥 원재료 입고'!$B$4:$B$500="해바라기씨앗")*'📥 원재료 입고'!$E$4:$E$500*'📥 원재료 입고'!$F$4:$F$500)/SUMPRODUCT(('📥 원재료 입고'!$B$4:$B$500="해바라기씨앗")*'📥 원재료 입고'!$E$4:$E$500),0)</f>
        <v>0</v>
      </c>
      <c r="D75" s="13" t="s">
        <v>54</v>
      </c>
      <c r="E75" s="16"/>
      <c r="F75" s="16"/>
      <c r="G75" s="13" t="n">
        <v>6</v>
      </c>
    </row>
    <row r="76" customFormat="false" ht="19.5" hidden="false" customHeight="true" outlineLevel="0" collapsed="false">
      <c r="A76" s="17" t="n">
        <v>73</v>
      </c>
      <c r="B76" s="18" t="s">
        <v>126</v>
      </c>
      <c r="C76" s="15" t="n">
        <f aca="false">IFERROR(SUMPRODUCT(('📥 원재료 입고'!$B$4:$B$500="현미(국내산)")*'📥 원재료 입고'!$E$4:$E$500*'📥 원재료 입고'!$F$4:$F$500)/SUMPRODUCT(('📥 원재료 입고'!$B$4:$B$500="현미(국내산)")*'📥 원재료 입고'!$E$4:$E$500),0)</f>
        <v>0</v>
      </c>
      <c r="D76" s="17" t="s">
        <v>54</v>
      </c>
      <c r="E76" s="19"/>
      <c r="F76" s="19"/>
      <c r="G76" s="17" t="n">
        <v>1</v>
      </c>
    </row>
    <row r="77" customFormat="false" ht="19.5" hidden="false" customHeight="true" outlineLevel="0" collapsed="false">
      <c r="A77" s="13" t="n">
        <v>74</v>
      </c>
      <c r="B77" s="14" t="s">
        <v>127</v>
      </c>
      <c r="C77" s="15" t="n">
        <f aca="false">IFERROR(SUMPRODUCT(('📥 원재료 입고'!$B$4:$B$500="현미멥쌀(국내산)")*'📥 원재료 입고'!$E$4:$E$500*'📥 원재료 입고'!$F$4:$F$500)/SUMPRODUCT(('📥 원재료 입고'!$B$4:$B$500="현미멥쌀(국내산)")*'📥 원재료 입고'!$E$4:$E$500),0)</f>
        <v>0</v>
      </c>
      <c r="D77" s="13" t="s">
        <v>54</v>
      </c>
      <c r="E77" s="16"/>
      <c r="F77" s="16"/>
      <c r="G77" s="13" t="n">
        <v>1</v>
      </c>
    </row>
    <row r="78" customFormat="false" ht="19.5" hidden="false" customHeight="true" outlineLevel="0" collapsed="false">
      <c r="A78" s="17" t="n">
        <v>75</v>
      </c>
      <c r="B78" s="18" t="s">
        <v>128</v>
      </c>
      <c r="C78" s="15" t="n">
        <f aca="false">IFERROR(SUMPRODUCT(('📥 원재료 입고'!$B$4:$B$500="호두분태(미국산)")*'📥 원재료 입고'!$E$4:$E$500*'📥 원재료 입고'!$F$4:$F$500)/SUMPRODUCT(('📥 원재료 입고'!$B$4:$B$500="호두분태(미국산)")*'📥 원재료 입고'!$E$4:$E$500),0)</f>
        <v>0</v>
      </c>
      <c r="D78" s="17" t="s">
        <v>54</v>
      </c>
      <c r="E78" s="19"/>
      <c r="F78" s="19"/>
      <c r="G78" s="17" t="n">
        <v>11</v>
      </c>
    </row>
    <row r="79" customFormat="false" ht="19.5" hidden="false" customHeight="true" outlineLevel="0" collapsed="false">
      <c r="A79" s="13" t="n">
        <v>76</v>
      </c>
      <c r="B79" s="14" t="s">
        <v>129</v>
      </c>
      <c r="C79" s="15" t="n">
        <f aca="false">IFERROR(SUMPRODUCT(('📥 원재료 입고'!$B$4:$B$500="호박씨앗(외국산)")*'📥 원재료 입고'!$E$4:$E$500*'📥 원재료 입고'!$F$4:$F$500)/SUMPRODUCT(('📥 원재료 입고'!$B$4:$B$500="호박씨앗(외국산)")*'📥 원재료 입고'!$E$4:$E$500),0)</f>
        <v>0</v>
      </c>
      <c r="D79" s="13" t="s">
        <v>54</v>
      </c>
      <c r="E79" s="16"/>
      <c r="F79" s="16"/>
      <c r="G79" s="13" t="n">
        <v>6</v>
      </c>
    </row>
    <row r="80" customFormat="false" ht="19.5" hidden="false" customHeight="true" outlineLevel="0" collapsed="false">
      <c r="A80" s="17" t="n">
        <v>77</v>
      </c>
      <c r="B80" s="18" t="s">
        <v>130</v>
      </c>
      <c r="C80" s="15" t="n">
        <f aca="false">IFERROR(SUMPRODUCT(('📥 원재료 입고'!$B$4:$B$500="혼합제제(떡용에스텔)")*'📥 원재료 입고'!$E$4:$E$500*'📥 원재료 입고'!$F$4:$F$500)/SUMPRODUCT(('📥 원재료 입고'!$B$4:$B$500="혼합제제(떡용에스텔)")*'📥 원재료 입고'!$E$4:$E$500),0)</f>
        <v>0</v>
      </c>
      <c r="D80" s="17" t="s">
        <v>54</v>
      </c>
      <c r="E80" s="19"/>
      <c r="F80" s="19"/>
      <c r="G80" s="17" t="n">
        <v>30</v>
      </c>
    </row>
    <row r="81" customFormat="false" ht="19.5" hidden="false" customHeight="true" outlineLevel="0" collapsed="false">
      <c r="A81" s="13" t="n">
        <v>78</v>
      </c>
      <c r="B81" s="14" t="s">
        <v>131</v>
      </c>
      <c r="C81" s="15" t="n">
        <f aca="false">IFERROR(SUMPRODUCT(('📥 원재료 입고'!$B$4:$B$500="혼합제제(스테비아)")*'📥 원재료 입고'!$E$4:$E$500*'📥 원재료 입고'!$F$4:$F$500)/SUMPRODUCT(('📥 원재료 입고'!$B$4:$B$500="혼합제제(스테비아)")*'📥 원재료 입고'!$E$4:$E$500),0)</f>
        <v>0</v>
      </c>
      <c r="D81" s="13" t="s">
        <v>54</v>
      </c>
      <c r="E81" s="16"/>
      <c r="F81" s="16"/>
      <c r="G81" s="13" t="n">
        <v>1</v>
      </c>
    </row>
    <row r="82" customFormat="false" ht="19.5" hidden="false" customHeight="true" outlineLevel="0" collapsed="false">
      <c r="A82" s="17" t="n">
        <v>79</v>
      </c>
      <c r="B82" s="18" t="s">
        <v>132</v>
      </c>
      <c r="C82" s="15" t="n">
        <f aca="false">IFERROR(SUMPRODUCT(('📥 원재료 입고'!$B$4:$B$500="화이트초콜릿")*'📥 원재료 입고'!$E$4:$E$500*'📥 원재료 입고'!$F$4:$F$500)/SUMPRODUCT(('📥 원재료 입고'!$B$4:$B$500="화이트초콜릿")*'📥 원재료 입고'!$E$4:$E$500),0)</f>
        <v>0</v>
      </c>
      <c r="D82" s="17" t="s">
        <v>54</v>
      </c>
      <c r="E82" s="19"/>
      <c r="F82" s="19"/>
      <c r="G82" s="17" t="n">
        <v>6</v>
      </c>
    </row>
    <row r="83" customFormat="false" ht="19.5" hidden="false" customHeight="true" outlineLevel="0" collapsed="false">
      <c r="A83" s="13" t="n">
        <v>80</v>
      </c>
      <c r="B83" s="14" t="s">
        <v>133</v>
      </c>
      <c r="C83" s="15" t="n">
        <f aca="false">IFERROR(SUMPRODUCT(('📥 원재료 입고'!$B$4:$B$500="흑미찹쌀(국내산)")*'📥 원재료 입고'!$E$4:$E$500*'📥 원재료 입고'!$F$4:$F$500)/SUMPRODUCT(('📥 원재료 입고'!$B$4:$B$500="흑미찹쌀(국내산)")*'📥 원재료 입고'!$E$4:$E$500),0)</f>
        <v>0</v>
      </c>
      <c r="D83" s="13" t="s">
        <v>54</v>
      </c>
      <c r="E83" s="16"/>
      <c r="F83" s="16"/>
      <c r="G83" s="13" t="n">
        <v>2</v>
      </c>
    </row>
    <row r="84" customFormat="false" ht="18" hidden="false" customHeight="true" outlineLevel="0" collapsed="false">
      <c r="A84" s="13" t="n">
        <v>81</v>
      </c>
      <c r="B84" s="14" t="s">
        <v>134</v>
      </c>
      <c r="C84" s="15" t="n">
        <f aca="false">IFERROR(SUMPRODUCT(('📥 원재료 입고'!$B$4:$B$500="찰옥수수전분(미국산)")*'📥 원재료 입고'!$E$4:$E$500*'📥 원재료 입고'!$F$4:$F$500)/SUMPRODUCT(('📥 원재료 입고'!$B$4:$B$500="찰옥수수전분(미국산)")*'📥 원재료 입고'!$E$4:$E$500),0)</f>
        <v>0</v>
      </c>
      <c r="D84" s="13" t="s">
        <v>54</v>
      </c>
      <c r="E84" s="16"/>
      <c r="F84" s="16"/>
      <c r="G84" s="13" t="n">
        <v>16</v>
      </c>
    </row>
    <row r="85" customFormat="false" ht="16.5" hidden="false" customHeight="true" outlineLevel="0" collapsed="false">
      <c r="A85" s="13" t="n">
        <v>83</v>
      </c>
      <c r="B85" s="14" t="s">
        <v>135</v>
      </c>
      <c r="C85" s="15" t="n">
        <f aca="false">IFERROR(SUMPRODUCT(('📥 원재료 입고'!$B$4:$B$500="삶은팥")*'📥 원재료 입고'!$E$4:$E$500*'📥 원재료 입고'!$F$4:$F$500)/SUMPRODUCT(('📥 원재료 입고'!$B$4:$B$500="삶은팥")*'📥 원재료 입고'!$E$4:$E$500),0)</f>
        <v>0</v>
      </c>
      <c r="D85" s="13" t="s">
        <v>54</v>
      </c>
      <c r="E85" s="16"/>
      <c r="F85" s="16"/>
      <c r="G85" s="13"/>
    </row>
    <row r="86" customFormat="false" ht="16.5" hidden="false" customHeight="true" outlineLevel="0" collapsed="false">
      <c r="A86" s="17" t="n">
        <v>84</v>
      </c>
      <c r="B86" s="21" t="s">
        <v>136</v>
      </c>
      <c r="C86" s="15" t="n">
        <f aca="false">IFERROR(SUMPRODUCT(('📥 원재료 입고'!$B$4:$B$500="차조")*'📥 원재료 입고'!$E$4:$E$500*'📥 원재료 입고'!$F$4:$F$500)/SUMPRODUCT(('📥 원재료 입고'!$B$4:$B$500="차조")*'📥 원재료 입고'!$E$4:$E$500),0)</f>
        <v>0</v>
      </c>
      <c r="D86" s="17" t="s">
        <v>54</v>
      </c>
      <c r="E86" s="19"/>
      <c r="F86" s="19"/>
      <c r="G86" s="17"/>
    </row>
    <row r="87" customFormat="false" ht="16.5" hidden="false" customHeight="true" outlineLevel="0" collapsed="false">
      <c r="A87" s="22" t="n">
        <v>85</v>
      </c>
      <c r="B87" s="21" t="s">
        <v>137</v>
      </c>
      <c r="C87" s="23" t="n">
        <f aca="false">IFERROR(SUMPRODUCT(('📥 원재료 입고'!$B$4:$B$500="초코시럽")*'📥 원재료 입고'!$E$4:$E$500*'📥 원재료 입고'!$F$4:$F$500)/SUMPRODUCT(('📥 원재료 입고'!$B$4:$B$500="초코시럽")*'📥 원재료 입고'!$E$4:$E$500),0)</f>
        <v>0</v>
      </c>
      <c r="D87" s="20" t="s">
        <v>54</v>
      </c>
      <c r="E87" s="21"/>
      <c r="F87" s="21"/>
      <c r="G87" s="20"/>
    </row>
    <row r="88" customFormat="false" ht="16.5" hidden="false" customHeight="true" outlineLevel="0" collapsed="false">
      <c r="A88" s="20" t="n">
        <v>86</v>
      </c>
      <c r="B88" s="21" t="s">
        <v>138</v>
      </c>
      <c r="C88" s="23" t="n">
        <f aca="false">IFERROR(SUMPRODUCT(('📥 원재료 입고'!$B$4:$B$500="흑멥쌀")*'📥 원재료 입고'!$E$4:$E$500*'📥 원재료 입고'!$F$4:$F$500)/SUMPRODUCT(('📥 원재료 입고'!$B$4:$B$500="흑멥쌀")*'📥 원재료 입고'!$E$4:$E$500),0)</f>
        <v>0</v>
      </c>
      <c r="D88" s="20" t="s">
        <v>54</v>
      </c>
      <c r="E88" s="21"/>
      <c r="F88" s="21"/>
      <c r="G88" s="20"/>
    </row>
    <row r="89" customFormat="false" ht="16.5" hidden="false" customHeight="true" outlineLevel="0" collapsed="false">
      <c r="A89" s="24" t="s">
        <v>139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6.5" zeroHeight="false" outlineLevelRow="0" outlineLevelCol="0"/>
  <cols>
    <col collapsed="false" customWidth="true" hidden="false" outlineLevel="0" max="52" min="52" style="1" width="14"/>
  </cols>
  <sheetData>
    <row r="1" customFormat="false" ht="16.5" hidden="false" customHeight="true" outlineLevel="0" collapsed="false">
      <c r="A1" s="24" t="s">
        <v>140</v>
      </c>
      <c r="B1" s="1" t="s">
        <v>141</v>
      </c>
      <c r="C1" s="24" t="s">
        <v>142</v>
      </c>
      <c r="D1" s="24" t="s">
        <v>143</v>
      </c>
      <c r="E1" s="24" t="s">
        <v>144</v>
      </c>
      <c r="F1" s="24" t="s">
        <v>145</v>
      </c>
      <c r="G1" s="24" t="s">
        <v>146</v>
      </c>
      <c r="H1" s="24" t="s">
        <v>147</v>
      </c>
      <c r="I1" s="24" t="s">
        <v>148</v>
      </c>
      <c r="J1" s="24" t="s">
        <v>149</v>
      </c>
      <c r="K1" s="24" t="s">
        <v>150</v>
      </c>
      <c r="L1" s="24" t="s">
        <v>151</v>
      </c>
      <c r="M1" s="24" t="s">
        <v>152</v>
      </c>
      <c r="N1" s="24" t="s">
        <v>153</v>
      </c>
      <c r="O1" s="24" t="s">
        <v>154</v>
      </c>
      <c r="P1" s="24" t="s">
        <v>155</v>
      </c>
      <c r="Q1" s="24" t="s">
        <v>156</v>
      </c>
      <c r="R1" s="24" t="s">
        <v>157</v>
      </c>
      <c r="S1" s="24" t="s">
        <v>158</v>
      </c>
      <c r="T1" s="24" t="s">
        <v>159</v>
      </c>
      <c r="U1" s="24" t="s">
        <v>160</v>
      </c>
      <c r="V1" s="24" t="s">
        <v>161</v>
      </c>
      <c r="W1" s="24" t="s">
        <v>162</v>
      </c>
      <c r="X1" s="24" t="s">
        <v>163</v>
      </c>
      <c r="Y1" s="24" t="s">
        <v>164</v>
      </c>
      <c r="Z1" s="24" t="s">
        <v>165</v>
      </c>
      <c r="AA1" s="24" t="s">
        <v>166</v>
      </c>
      <c r="AB1" s="24" t="s">
        <v>167</v>
      </c>
      <c r="AC1" s="24" t="s">
        <v>168</v>
      </c>
      <c r="AD1" s="24" t="s">
        <v>169</v>
      </c>
      <c r="AE1" s="24" t="s">
        <v>170</v>
      </c>
      <c r="AF1" s="24" t="s">
        <v>171</v>
      </c>
      <c r="AG1" s="24" t="s">
        <v>172</v>
      </c>
      <c r="AH1" s="24" t="s">
        <v>173</v>
      </c>
      <c r="AI1" s="24" t="s">
        <v>174</v>
      </c>
      <c r="AJ1" s="24" t="s">
        <v>175</v>
      </c>
      <c r="AK1" s="24" t="s">
        <v>176</v>
      </c>
      <c r="AL1" s="24" t="s">
        <v>177</v>
      </c>
      <c r="AM1" s="24" t="s">
        <v>178</v>
      </c>
      <c r="AN1" s="24" t="s">
        <v>179</v>
      </c>
      <c r="AO1" s="24" t="s">
        <v>180</v>
      </c>
      <c r="AP1" s="24" t="s">
        <v>181</v>
      </c>
      <c r="AQ1" s="24" t="s">
        <v>182</v>
      </c>
      <c r="AR1" s="24" t="s">
        <v>183</v>
      </c>
      <c r="AS1" s="24" t="s">
        <v>184</v>
      </c>
      <c r="AT1" s="24" t="s">
        <v>185</v>
      </c>
      <c r="AU1" s="24" t="s">
        <v>186</v>
      </c>
      <c r="AV1" s="24" t="s">
        <v>187</v>
      </c>
      <c r="AW1" s="24" t="s">
        <v>188</v>
      </c>
      <c r="AX1" s="24" t="s">
        <v>189</v>
      </c>
      <c r="AY1" s="24" t="s">
        <v>190</v>
      </c>
      <c r="AZ1" s="25" t="s">
        <v>191</v>
      </c>
      <c r="BA1" s="24" t="s">
        <v>192</v>
      </c>
      <c r="BB1" s="24" t="s">
        <v>193</v>
      </c>
      <c r="BC1" s="24" t="s">
        <v>194</v>
      </c>
      <c r="BD1" s="24" t="s">
        <v>195</v>
      </c>
      <c r="BE1" s="24" t="s">
        <v>196</v>
      </c>
      <c r="BF1" s="24" t="s">
        <v>197</v>
      </c>
      <c r="BG1" s="24" t="s">
        <v>198</v>
      </c>
      <c r="BH1" s="24" t="s">
        <v>199</v>
      </c>
      <c r="BI1" s="24" t="s">
        <v>200</v>
      </c>
      <c r="BJ1" s="24" t="s">
        <v>201</v>
      </c>
      <c r="BK1" s="24" t="s">
        <v>202</v>
      </c>
      <c r="BL1" s="24" t="s">
        <v>203</v>
      </c>
      <c r="BM1" s="24" t="s">
        <v>204</v>
      </c>
      <c r="BN1" s="24" t="s">
        <v>205</v>
      </c>
      <c r="BO1" s="24" t="s">
        <v>206</v>
      </c>
      <c r="BP1" s="24" t="s">
        <v>207</v>
      </c>
      <c r="BQ1" s="24" t="s">
        <v>208</v>
      </c>
      <c r="BR1" s="24" t="s">
        <v>209</v>
      </c>
      <c r="BS1" s="24" t="s">
        <v>210</v>
      </c>
      <c r="BT1" s="24" t="s">
        <v>211</v>
      </c>
      <c r="BU1" s="24" t="s">
        <v>212</v>
      </c>
      <c r="BV1" s="24" t="s">
        <v>213</v>
      </c>
      <c r="BW1" s="24" t="s">
        <v>214</v>
      </c>
      <c r="BX1" s="24" t="s">
        <v>215</v>
      </c>
      <c r="BY1" s="24" t="s">
        <v>216</v>
      </c>
      <c r="BZ1" s="24" t="s">
        <v>217</v>
      </c>
      <c r="CA1" s="24" t="s">
        <v>218</v>
      </c>
      <c r="CB1" s="24" t="s">
        <v>219</v>
      </c>
      <c r="CC1" s="24" t="s">
        <v>220</v>
      </c>
      <c r="CD1" s="24" t="s">
        <v>221</v>
      </c>
      <c r="CE1" s="24" t="s">
        <v>222</v>
      </c>
    </row>
    <row r="2" customFormat="false" ht="16.5" hidden="false" customHeight="true" outlineLevel="0" collapsed="false">
      <c r="A2" s="24" t="s">
        <v>53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1.6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</row>
    <row r="3" customFormat="false" ht="16.5" hidden="false" customHeight="true" outlineLevel="0" collapsed="false">
      <c r="A3" s="24" t="s">
        <v>55</v>
      </c>
      <c r="B3" s="1" t="n">
        <v>0</v>
      </c>
      <c r="C3" s="1" t="n">
        <v>3.5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2.5</v>
      </c>
      <c r="U3" s="1" t="n">
        <v>8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3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1.8</v>
      </c>
    </row>
    <row r="4" customFormat="false" ht="16.5" hidden="false" customHeight="true" outlineLevel="0" collapsed="false">
      <c r="A4" s="24" t="s">
        <v>56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0.9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</row>
    <row r="5" customFormat="false" ht="16.5" hidden="false" customHeight="true" outlineLevel="0" collapsed="false">
      <c r="A5" s="24" t="s">
        <v>57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1.2</v>
      </c>
      <c r="H5" s="1" t="n">
        <v>1.7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</row>
    <row r="6" customFormat="false" ht="16.5" hidden="false" customHeight="true" outlineLevel="0" collapsed="false">
      <c r="A6" s="24" t="s">
        <v>58</v>
      </c>
      <c r="B6" s="1" t="n">
        <v>0.4</v>
      </c>
      <c r="C6" s="1" t="n">
        <v>0</v>
      </c>
      <c r="D6" s="1" t="n">
        <v>0</v>
      </c>
      <c r="E6" s="1" t="n">
        <v>0</v>
      </c>
      <c r="F6" s="1" t="n">
        <v>2</v>
      </c>
      <c r="G6" s="1" t="n">
        <v>2.3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1.6</v>
      </c>
      <c r="U6" s="1" t="n">
        <v>5</v>
      </c>
      <c r="V6" s="1" t="n">
        <v>0</v>
      </c>
      <c r="W6" s="1" t="n">
        <v>0</v>
      </c>
      <c r="X6" s="1" t="n">
        <v>0.4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1.2</v>
      </c>
      <c r="AV6" s="1" t="n">
        <v>0</v>
      </c>
      <c r="AW6" s="1" t="n">
        <v>0</v>
      </c>
      <c r="AX6" s="1" t="n">
        <v>0</v>
      </c>
      <c r="AY6" s="1" t="n">
        <v>0</v>
      </c>
      <c r="BA6" s="1" t="n">
        <v>0</v>
      </c>
      <c r="BB6" s="1" t="n">
        <v>0</v>
      </c>
      <c r="BC6" s="1" t="n">
        <v>2.7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3.3</v>
      </c>
      <c r="BW6" s="1" t="n">
        <v>3.3</v>
      </c>
      <c r="BX6" s="1" t="n">
        <v>0</v>
      </c>
      <c r="BY6" s="1" t="n">
        <v>0</v>
      </c>
      <c r="BZ6" s="1" t="n">
        <v>2.6</v>
      </c>
      <c r="CA6" s="1" t="n">
        <v>0</v>
      </c>
      <c r="CB6" s="1" t="n">
        <v>0</v>
      </c>
      <c r="CC6" s="1" t="n">
        <v>0</v>
      </c>
    </row>
    <row r="7" customFormat="false" ht="16.5" hidden="false" customHeight="true" outlineLevel="0" collapsed="false">
      <c r="A7" s="24" t="s">
        <v>59</v>
      </c>
      <c r="B7" s="1" t="n">
        <v>0</v>
      </c>
      <c r="C7" s="1" t="n">
        <v>0.4</v>
      </c>
      <c r="D7" s="1" t="n">
        <v>0</v>
      </c>
      <c r="E7" s="1" t="n">
        <v>0</v>
      </c>
      <c r="F7" s="1" t="n">
        <v>0</v>
      </c>
      <c r="G7" s="1" t="n">
        <v>0.3</v>
      </c>
      <c r="H7" s="1" t="n">
        <v>0.3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2.4</v>
      </c>
      <c r="CC7" s="1" t="n">
        <v>0.4</v>
      </c>
    </row>
    <row r="8" customFormat="false" ht="16.5" hidden="false" customHeight="true" outlineLevel="0" collapsed="false">
      <c r="A8" s="24" t="s">
        <v>60</v>
      </c>
      <c r="B8" s="1" t="n">
        <v>0</v>
      </c>
      <c r="C8" s="1" t="n">
        <v>3.5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2.5</v>
      </c>
      <c r="U8" s="1" t="n">
        <v>6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13.4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13.4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1.8</v>
      </c>
    </row>
    <row r="9" customFormat="false" ht="16.5" hidden="false" customHeight="true" outlineLevel="0" collapsed="false">
      <c r="A9" s="24" t="s">
        <v>61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0.4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</row>
    <row r="10" customFormat="false" ht="16.5" hidden="false" customHeight="true" outlineLevel="0" collapsed="false">
      <c r="A10" s="24" t="s">
        <v>62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2.5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</row>
    <row r="11" customFormat="false" ht="16.5" hidden="false" customHeight="true" outlineLevel="0" collapsed="false">
      <c r="A11" s="24" t="s">
        <v>63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4.64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</row>
    <row r="12" customFormat="false" ht="16.5" hidden="false" customHeight="true" outlineLevel="0" collapsed="false">
      <c r="A12" s="24" t="s">
        <v>64</v>
      </c>
      <c r="B12" s="1" t="n">
        <v>0</v>
      </c>
      <c r="C12" s="1" t="n">
        <v>4.7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</row>
    <row r="13" customFormat="false" ht="16.5" hidden="false" customHeight="true" outlineLevel="0" collapsed="false">
      <c r="A13" s="24" t="s">
        <v>65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1.1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</row>
    <row r="14" customFormat="false" ht="16.5" hidden="false" customHeight="true" outlineLevel="0" collapsed="false">
      <c r="A14" s="24" t="s">
        <v>66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0.7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</row>
    <row r="15" customFormat="false" ht="16.5" hidden="false" customHeight="true" outlineLevel="0" collapsed="false">
      <c r="A15" s="24" t="s">
        <v>67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0.7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1.1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</row>
    <row r="16" customFormat="false" ht="16.5" hidden="false" customHeight="true" outlineLevel="0" collapsed="false">
      <c r="A16" s="24" t="s">
        <v>68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2.96</v>
      </c>
      <c r="K16" s="1" t="n">
        <v>2.96</v>
      </c>
      <c r="L16" s="1" t="n">
        <v>2.96</v>
      </c>
      <c r="M16" s="1" t="n">
        <v>2.96</v>
      </c>
      <c r="N16" s="1" t="n">
        <v>2.96</v>
      </c>
      <c r="O16" s="1" t="n">
        <v>2.96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BA16" s="1" t="n">
        <v>0</v>
      </c>
      <c r="BB16" s="1" t="n">
        <v>0</v>
      </c>
      <c r="BC16" s="1" t="n">
        <v>5.8</v>
      </c>
      <c r="BD16" s="1" t="n">
        <v>15.1</v>
      </c>
      <c r="BE16" s="1" t="n">
        <v>3</v>
      </c>
      <c r="BF16" s="1" t="n">
        <v>3</v>
      </c>
      <c r="BG16" s="1" t="n">
        <v>2.9</v>
      </c>
      <c r="BH16" s="1" t="n">
        <v>2.9</v>
      </c>
      <c r="BI16" s="1" t="n">
        <v>3</v>
      </c>
      <c r="BJ16" s="1" t="n">
        <v>11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7</v>
      </c>
      <c r="CE16" s="1" t="n">
        <v>7</v>
      </c>
    </row>
    <row r="17" customFormat="false" ht="16.5" hidden="false" customHeight="true" outlineLevel="0" collapsed="false">
      <c r="A17" s="24" t="s">
        <v>69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7.14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1.6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2.4</v>
      </c>
      <c r="CC17" s="1" t="n">
        <v>3</v>
      </c>
    </row>
    <row r="18" customFormat="false" ht="16.5" hidden="false" customHeight="true" outlineLevel="0" collapsed="false">
      <c r="A18" s="24" t="s">
        <v>70</v>
      </c>
      <c r="B18" s="1" t="n">
        <v>0</v>
      </c>
      <c r="C18" s="1" t="n">
        <v>0</v>
      </c>
      <c r="D18" s="1" t="n">
        <v>8.4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10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10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7.6</v>
      </c>
      <c r="BV18" s="1" t="n">
        <v>2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</row>
    <row r="19" customFormat="false" ht="16.5" hidden="false" customHeight="true" outlineLevel="0" collapsed="false">
      <c r="A19" s="24" t="s">
        <v>71</v>
      </c>
      <c r="B19" s="1" t="n">
        <v>0.9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1.3</v>
      </c>
      <c r="Y19" s="1" t="n">
        <v>0</v>
      </c>
      <c r="Z19" s="1" t="n">
        <v>8.8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2</v>
      </c>
      <c r="AG19" s="1" t="n">
        <v>0</v>
      </c>
      <c r="AH19" s="1" t="n">
        <v>4</v>
      </c>
      <c r="AI19" s="1" t="n">
        <v>12.1</v>
      </c>
      <c r="AJ19" s="1" t="n">
        <v>67</v>
      </c>
      <c r="AK19" s="1" t="n">
        <v>1.9</v>
      </c>
      <c r="AL19" s="1" t="n">
        <v>7.6</v>
      </c>
      <c r="AM19" s="1" t="n">
        <v>13.6</v>
      </c>
      <c r="AN19" s="1" t="n">
        <v>8.8</v>
      </c>
      <c r="AO19" s="1" t="n">
        <v>0</v>
      </c>
      <c r="AP19" s="1" t="n">
        <v>1.99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9</v>
      </c>
      <c r="BF19" s="1" t="n">
        <v>0</v>
      </c>
      <c r="BG19" s="1" t="n">
        <v>2.9</v>
      </c>
      <c r="BH19" s="1" t="n">
        <v>0</v>
      </c>
      <c r="BI19" s="1" t="n">
        <v>0</v>
      </c>
      <c r="BJ19" s="1" t="n">
        <v>0</v>
      </c>
      <c r="BK19" s="1" t="n">
        <v>2.3</v>
      </c>
      <c r="BL19" s="1" t="n">
        <v>0</v>
      </c>
      <c r="BM19" s="1" t="n">
        <v>3.3</v>
      </c>
      <c r="BN19" s="1" t="n">
        <v>2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2.9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E19" s="1" t="n">
        <v>5.6</v>
      </c>
    </row>
    <row r="20" customFormat="false" ht="16.5" hidden="false" customHeight="true" outlineLevel="0" collapsed="false">
      <c r="A20" s="24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6</v>
      </c>
      <c r="AV20" s="1" t="n">
        <v>0</v>
      </c>
      <c r="AW20" s="1" t="n">
        <v>0</v>
      </c>
      <c r="AX20" s="1" t="n">
        <v>0</v>
      </c>
      <c r="AY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</row>
    <row r="21" customFormat="false" ht="16.5" hidden="false" customHeight="true" outlineLevel="0" collapsed="false">
      <c r="A21" s="24" t="s">
        <v>73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7.14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</row>
    <row r="22" customFormat="false" ht="16.5" hidden="false" customHeight="true" outlineLevel="0" collapsed="false">
      <c r="A22" s="24" t="s">
        <v>74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3.57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</row>
    <row r="23" customFormat="false" ht="16.5" hidden="false" customHeight="true" outlineLevel="0" collapsed="false">
      <c r="A23" s="24" t="s">
        <v>75</v>
      </c>
      <c r="B23" s="1" t="n">
        <v>0.8</v>
      </c>
      <c r="C23" s="1" t="n">
        <v>0</v>
      </c>
      <c r="D23" s="1" t="n">
        <v>0</v>
      </c>
      <c r="E23" s="1" t="n">
        <v>0</v>
      </c>
      <c r="F23" s="1" t="n">
        <v>0.8</v>
      </c>
      <c r="G23" s="1" t="n">
        <v>1.2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1.1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0.7</v>
      </c>
      <c r="Y23" s="1" t="n">
        <v>1.6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3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0.2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2.4</v>
      </c>
      <c r="BA23" s="1" t="n">
        <v>0</v>
      </c>
      <c r="BB23" s="1" t="n">
        <v>0</v>
      </c>
      <c r="BC23" s="1" t="n">
        <v>3.3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1.7</v>
      </c>
      <c r="BI23" s="1" t="n">
        <v>0</v>
      </c>
      <c r="BJ23" s="1" t="n">
        <v>2.2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1.7</v>
      </c>
      <c r="BU23" s="1" t="n">
        <v>1.5</v>
      </c>
      <c r="BV23" s="1" t="n">
        <v>2</v>
      </c>
      <c r="BW23" s="1" t="n">
        <v>2</v>
      </c>
      <c r="BX23" s="1" t="n">
        <v>1.7</v>
      </c>
      <c r="BY23" s="1" t="n">
        <v>1.3</v>
      </c>
      <c r="BZ23" s="1" t="n">
        <v>3.1</v>
      </c>
      <c r="CA23" s="1" t="n">
        <v>0</v>
      </c>
      <c r="CB23" s="1" t="n">
        <v>0</v>
      </c>
      <c r="CC23" s="1" t="n">
        <v>0</v>
      </c>
    </row>
    <row r="24" customFormat="false" ht="16.5" hidden="false" customHeight="true" outlineLevel="0" collapsed="false">
      <c r="A24" s="24" t="s">
        <v>76</v>
      </c>
      <c r="B24" s="1" t="n">
        <v>0.04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0.6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0.04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1.6</v>
      </c>
      <c r="BA24" s="1" t="n">
        <v>0</v>
      </c>
      <c r="BB24" s="1" t="n">
        <v>0</v>
      </c>
      <c r="BC24" s="1" t="n">
        <v>0.2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0.1</v>
      </c>
      <c r="BI24" s="1" t="n">
        <v>0</v>
      </c>
      <c r="BJ24" s="1" t="n">
        <v>0.1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0.1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0.2</v>
      </c>
      <c r="CA24" s="1" t="n">
        <v>0</v>
      </c>
      <c r="CB24" s="1" t="n">
        <v>0</v>
      </c>
      <c r="CC24" s="1" t="n">
        <v>0</v>
      </c>
    </row>
    <row r="25" customFormat="false" ht="16.5" hidden="false" customHeight="true" outlineLevel="0" collapsed="false">
      <c r="A25" s="24" t="s">
        <v>77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1.7</v>
      </c>
      <c r="AX25" s="1" t="n">
        <v>0</v>
      </c>
      <c r="AY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</row>
    <row r="26" customFormat="false" ht="16.5" hidden="false" customHeight="true" outlineLevel="0" collapsed="false">
      <c r="A26" s="24" t="s">
        <v>78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1.7</v>
      </c>
      <c r="AY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</row>
    <row r="27" customFormat="false" ht="16.5" hidden="false" customHeight="true" outlineLevel="0" collapsed="false">
      <c r="A27" s="24" t="s">
        <v>79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24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</row>
    <row r="28" customFormat="false" ht="16.5" hidden="false" customHeight="true" outlineLevel="0" collapsed="false">
      <c r="A28" s="24" t="s">
        <v>80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2.9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</row>
    <row r="29" customFormat="false" ht="16.5" hidden="false" customHeight="true" outlineLevel="0" collapsed="false">
      <c r="A29" s="24" t="s">
        <v>81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1.2</v>
      </c>
      <c r="H29" s="1" t="n">
        <v>1.2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1.5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</row>
    <row r="30" customFormat="false" ht="16.5" hidden="false" customHeight="true" outlineLevel="0" collapsed="false">
      <c r="A30" s="24" t="s">
        <v>82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20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15.4</v>
      </c>
      <c r="BK30" s="1" t="n">
        <v>14</v>
      </c>
      <c r="BL30" s="1" t="n">
        <v>8</v>
      </c>
      <c r="BM30" s="1" t="n">
        <v>0</v>
      </c>
      <c r="BN30" s="1" t="n">
        <v>12.4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8</v>
      </c>
      <c r="CE30" s="1" t="n">
        <v>7.5</v>
      </c>
    </row>
    <row r="31" customFormat="false" ht="16.5" hidden="false" customHeight="true" outlineLevel="0" collapsed="false">
      <c r="A31" s="24" t="s">
        <v>83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25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28</v>
      </c>
      <c r="BL31" s="1" t="n">
        <v>33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</row>
    <row r="32" customFormat="false" ht="16.5" hidden="false" customHeight="true" outlineLevel="0" collapsed="false">
      <c r="A32" s="24" t="s">
        <v>84</v>
      </c>
      <c r="B32" s="1" t="n">
        <v>0</v>
      </c>
      <c r="C32" s="1" t="n">
        <v>0</v>
      </c>
      <c r="D32" s="1" t="n">
        <v>0</v>
      </c>
      <c r="E32" s="1" t="n">
        <v>3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3.6</v>
      </c>
      <c r="X32" s="1" t="n">
        <v>5.1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0.2</v>
      </c>
      <c r="AL32" s="1" t="n">
        <v>0</v>
      </c>
      <c r="AM32" s="1" t="n">
        <v>3.4</v>
      </c>
      <c r="AN32" s="1" t="n">
        <v>0</v>
      </c>
      <c r="AO32" s="1" t="n">
        <v>0</v>
      </c>
      <c r="AP32" s="1" t="n">
        <v>0.35</v>
      </c>
      <c r="AQ32" s="1" t="n">
        <v>0</v>
      </c>
      <c r="AR32" s="1" t="n">
        <v>0</v>
      </c>
      <c r="AS32" s="1" t="n">
        <v>0</v>
      </c>
      <c r="AT32" s="1" t="n">
        <v>4.2</v>
      </c>
      <c r="AU32" s="1" t="n">
        <v>0</v>
      </c>
      <c r="AV32" s="1" t="n">
        <v>0.2</v>
      </c>
      <c r="AW32" s="1" t="n">
        <v>0</v>
      </c>
      <c r="AX32" s="1" t="n">
        <v>0</v>
      </c>
      <c r="AY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3</v>
      </c>
      <c r="BL32" s="1" t="n">
        <v>7</v>
      </c>
      <c r="BM32" s="1" t="n">
        <v>3</v>
      </c>
      <c r="BN32" s="1" t="n">
        <v>2.7</v>
      </c>
      <c r="BO32" s="1" t="n">
        <v>0</v>
      </c>
      <c r="BP32" s="1" t="n">
        <v>3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0.2</v>
      </c>
      <c r="BZ32" s="1" t="n">
        <v>3.7</v>
      </c>
      <c r="CA32" s="1" t="n">
        <v>0.2</v>
      </c>
      <c r="CB32" s="1" t="n">
        <v>0</v>
      </c>
      <c r="CC32" s="1" t="n">
        <v>0</v>
      </c>
    </row>
    <row r="33" customFormat="false" ht="16.5" hidden="false" customHeight="true" outlineLevel="0" collapsed="false">
      <c r="A33" s="24" t="s">
        <v>85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20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30</v>
      </c>
      <c r="BW33" s="1" t="n">
        <v>30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</row>
    <row r="34" customFormat="false" ht="16.5" hidden="false" customHeight="true" outlineLevel="0" collapsed="false">
      <c r="A34" s="24" t="s">
        <v>86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0.1</v>
      </c>
      <c r="J34" s="1" t="n">
        <v>0</v>
      </c>
      <c r="K34" s="1" t="n">
        <v>3.57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</row>
    <row r="35" customFormat="false" ht="16.5" hidden="false" customHeight="true" outlineLevel="0" collapsed="false">
      <c r="A35" s="24" t="s">
        <v>87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1.4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</row>
    <row r="36" customFormat="false" ht="16.5" hidden="false" customHeight="true" outlineLevel="0" collapsed="false">
      <c r="A36" s="24" t="s">
        <v>88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7.14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</row>
    <row r="37" customFormat="false" ht="16.5" hidden="false" customHeight="true" outlineLevel="0" collapsed="false">
      <c r="A37" s="24" t="s">
        <v>89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4.3</v>
      </c>
      <c r="Q37" s="1" t="n">
        <v>4.9</v>
      </c>
      <c r="R37" s="1" t="n">
        <v>4.9</v>
      </c>
      <c r="S37" s="1" t="n">
        <v>4.9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</row>
    <row r="38" customFormat="false" ht="16.5" hidden="false" customHeight="true" outlineLevel="0" collapsed="false">
      <c r="A38" s="24" t="s">
        <v>90</v>
      </c>
      <c r="B38" s="1" t="n">
        <v>0</v>
      </c>
      <c r="C38" s="1" t="n">
        <v>0</v>
      </c>
      <c r="D38" s="1" t="n">
        <v>67.3</v>
      </c>
      <c r="E38" s="1" t="n">
        <v>0</v>
      </c>
      <c r="F38" s="1" t="n">
        <v>61.7</v>
      </c>
      <c r="G38" s="1" t="n">
        <v>0</v>
      </c>
      <c r="H38" s="1" t="n">
        <v>0</v>
      </c>
      <c r="I38" s="1" t="n">
        <v>68.1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63.2</v>
      </c>
      <c r="U38" s="1" t="n">
        <v>0</v>
      </c>
      <c r="V38" s="1" t="n">
        <v>48.4</v>
      </c>
      <c r="W38" s="1" t="n">
        <v>0</v>
      </c>
      <c r="X38" s="1" t="n">
        <v>0</v>
      </c>
      <c r="Y38" s="1" t="n">
        <v>63.5</v>
      </c>
      <c r="Z38" s="1" t="n">
        <v>0</v>
      </c>
      <c r="AA38" s="1" t="n">
        <v>26.67</v>
      </c>
      <c r="AB38" s="1" t="n">
        <v>65.2</v>
      </c>
      <c r="AC38" s="1" t="n">
        <v>0</v>
      </c>
      <c r="AD38" s="1" t="n">
        <v>99</v>
      </c>
      <c r="AE38" s="1" t="n">
        <v>100</v>
      </c>
      <c r="AF38" s="1" t="n">
        <v>95</v>
      </c>
      <c r="AG38" s="1" t="n">
        <v>96</v>
      </c>
      <c r="AH38" s="1" t="n">
        <v>63.6</v>
      </c>
      <c r="AI38" s="1" t="n">
        <v>48.4</v>
      </c>
      <c r="AJ38" s="1" t="n">
        <v>17.7</v>
      </c>
      <c r="AK38" s="1" t="n">
        <v>63.9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47.73</v>
      </c>
      <c r="AQ38" s="1" t="n">
        <v>0</v>
      </c>
      <c r="AR38" s="1" t="n">
        <v>0</v>
      </c>
      <c r="AS38" s="1" t="n">
        <v>69.5</v>
      </c>
      <c r="AT38" s="1" t="n">
        <v>0</v>
      </c>
      <c r="AU38" s="1" t="n">
        <v>61.7</v>
      </c>
      <c r="AV38" s="1" t="n">
        <v>63.7</v>
      </c>
      <c r="AW38" s="1" t="n">
        <v>83.4</v>
      </c>
      <c r="AX38" s="1" t="n">
        <v>0</v>
      </c>
      <c r="AY38" s="1" t="n">
        <v>0</v>
      </c>
      <c r="AZ38" s="26" t="n">
        <v>2</v>
      </c>
      <c r="BA38" s="1" t="n">
        <v>66.2</v>
      </c>
      <c r="BB38" s="1" t="n">
        <v>61.5</v>
      </c>
      <c r="BC38" s="1" t="n">
        <v>0</v>
      </c>
      <c r="BD38" s="1" t="n">
        <v>58.2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60.7</v>
      </c>
      <c r="BV38" s="1" t="n">
        <v>0</v>
      </c>
      <c r="BW38" s="1" t="n">
        <v>0</v>
      </c>
      <c r="BX38" s="1" t="n">
        <v>67.1</v>
      </c>
      <c r="BY38" s="1" t="n">
        <v>63.4</v>
      </c>
      <c r="BZ38" s="1" t="n">
        <v>0</v>
      </c>
      <c r="CA38" s="1" t="n">
        <v>53.1</v>
      </c>
      <c r="CB38" s="1" t="n">
        <v>62.7</v>
      </c>
      <c r="CC38" s="1" t="n">
        <v>0</v>
      </c>
    </row>
    <row r="39" customFormat="false" ht="16.5" hidden="false" customHeight="true" outlineLevel="0" collapsed="false">
      <c r="A39" s="24" t="s">
        <v>91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12.1</v>
      </c>
      <c r="W39" s="1" t="n">
        <v>14.3</v>
      </c>
      <c r="X39" s="1" t="n">
        <v>0</v>
      </c>
      <c r="Y39" s="1" t="n">
        <v>0</v>
      </c>
      <c r="Z39" s="1" t="n">
        <v>0</v>
      </c>
      <c r="AA39" s="1" t="n">
        <v>6.68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</row>
    <row r="40" customFormat="false" ht="16.5" hidden="false" customHeight="true" outlineLevel="0" collapsed="false">
      <c r="A40" s="24" t="s">
        <v>92</v>
      </c>
      <c r="B40" s="1" t="n">
        <v>2.7</v>
      </c>
      <c r="C40" s="1" t="n">
        <v>0</v>
      </c>
      <c r="D40" s="1" t="n">
        <v>0</v>
      </c>
      <c r="E40" s="1" t="n">
        <v>4.7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5.43</v>
      </c>
      <c r="K40" s="1" t="n">
        <v>5.43</v>
      </c>
      <c r="L40" s="1" t="n">
        <v>5.43</v>
      </c>
      <c r="M40" s="1" t="n">
        <v>5.43</v>
      </c>
      <c r="N40" s="1" t="n">
        <v>5.43</v>
      </c>
      <c r="O40" s="1" t="n">
        <v>5.43</v>
      </c>
      <c r="P40" s="1" t="n">
        <v>2.1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2</v>
      </c>
      <c r="W40" s="1" t="n">
        <v>3.6</v>
      </c>
      <c r="X40" s="1" t="n">
        <v>5.1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2</v>
      </c>
      <c r="AJ40" s="1" t="n">
        <v>0</v>
      </c>
      <c r="AK40" s="1" t="n">
        <v>0</v>
      </c>
      <c r="AL40" s="1" t="n">
        <v>0</v>
      </c>
      <c r="AM40" s="1" t="n">
        <v>6.8</v>
      </c>
      <c r="AN40" s="1" t="n">
        <v>4.4</v>
      </c>
      <c r="AO40" s="1" t="n">
        <v>0</v>
      </c>
      <c r="AP40" s="1" t="n">
        <v>0</v>
      </c>
      <c r="AQ40" s="1" t="n">
        <v>0</v>
      </c>
      <c r="AR40" s="1" t="n">
        <v>2.4</v>
      </c>
      <c r="AS40" s="1" t="n">
        <v>0</v>
      </c>
      <c r="AT40" s="1" t="n">
        <v>4.2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BA40" s="1" t="n">
        <v>0</v>
      </c>
      <c r="BB40" s="1" t="n">
        <v>0</v>
      </c>
      <c r="BC40" s="1" t="n">
        <v>3.9</v>
      </c>
      <c r="BD40" s="1" t="n">
        <v>0</v>
      </c>
      <c r="BE40" s="1" t="n">
        <v>4.4</v>
      </c>
      <c r="BF40" s="1" t="n">
        <v>2</v>
      </c>
      <c r="BG40" s="1" t="n">
        <v>1.9</v>
      </c>
      <c r="BH40" s="1" t="n">
        <v>2</v>
      </c>
      <c r="BI40" s="1" t="n">
        <v>4.7</v>
      </c>
      <c r="BJ40" s="1" t="n">
        <v>1.5</v>
      </c>
      <c r="BK40" s="1" t="n">
        <v>2.2</v>
      </c>
      <c r="BL40" s="1" t="n">
        <v>3</v>
      </c>
      <c r="BM40" s="1" t="n">
        <v>2.2</v>
      </c>
      <c r="BN40" s="1" t="n">
        <v>2</v>
      </c>
      <c r="BO40" s="1" t="n">
        <v>4.77</v>
      </c>
      <c r="BP40" s="1" t="n">
        <v>4.7</v>
      </c>
      <c r="BQ40" s="1" t="n">
        <v>0</v>
      </c>
      <c r="BR40" s="1" t="n">
        <v>2.7</v>
      </c>
      <c r="BS40" s="1" t="n">
        <v>1.9</v>
      </c>
      <c r="BT40" s="1" t="n">
        <v>2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7.4</v>
      </c>
      <c r="CA40" s="1" t="n">
        <v>0</v>
      </c>
      <c r="CB40" s="1" t="n">
        <v>0</v>
      </c>
      <c r="CC40" s="1" t="n">
        <v>0</v>
      </c>
      <c r="CD40" s="1" t="n">
        <v>3</v>
      </c>
      <c r="CE40" s="1" t="n">
        <v>2.8</v>
      </c>
    </row>
    <row r="41" customFormat="false" ht="16.5" hidden="false" customHeight="true" outlineLevel="0" collapsed="false">
      <c r="A41" s="24" t="s">
        <v>93</v>
      </c>
      <c r="B41" s="1" t="n">
        <v>0</v>
      </c>
      <c r="C41" s="1" t="n">
        <v>4.2</v>
      </c>
      <c r="D41" s="1" t="n">
        <v>0</v>
      </c>
      <c r="E41" s="1" t="n">
        <v>0</v>
      </c>
      <c r="F41" s="1" t="n">
        <v>2.4</v>
      </c>
      <c r="G41" s="1" t="n">
        <v>4.1</v>
      </c>
      <c r="H41" s="1" t="n">
        <v>4.1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0.8</v>
      </c>
      <c r="Q41" s="1" t="n">
        <v>1.1</v>
      </c>
      <c r="R41" s="1" t="n">
        <v>1.1</v>
      </c>
      <c r="S41" s="1" t="n">
        <v>1.1</v>
      </c>
      <c r="T41" s="1" t="n">
        <v>2.5</v>
      </c>
      <c r="U41" s="1" t="n">
        <v>3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1.6</v>
      </c>
      <c r="AV41" s="1" t="n">
        <v>0</v>
      </c>
      <c r="AW41" s="1" t="n">
        <v>0</v>
      </c>
      <c r="AX41" s="1" t="n">
        <v>0</v>
      </c>
      <c r="AY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1.6</v>
      </c>
      <c r="CC41" s="1" t="n">
        <v>4.2</v>
      </c>
    </row>
    <row r="42" customFormat="false" ht="16.5" hidden="false" customHeight="true" outlineLevel="0" collapsed="false">
      <c r="A42" s="24" t="s">
        <v>94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1.21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0.67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1.21</v>
      </c>
      <c r="AJ42" s="1" t="n">
        <v>0</v>
      </c>
      <c r="AK42" s="1" t="n">
        <v>0</v>
      </c>
      <c r="AL42" s="1" t="n">
        <v>0.6</v>
      </c>
      <c r="AM42" s="1" t="n">
        <v>0</v>
      </c>
      <c r="AN42" s="1" t="n">
        <v>0</v>
      </c>
      <c r="AO42" s="1" t="n">
        <v>0</v>
      </c>
      <c r="AP42" s="1" t="n">
        <v>0.74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0.7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</row>
    <row r="43" customFormat="false" ht="16.5" hidden="false" customHeight="true" outlineLevel="0" collapsed="false">
      <c r="A43" s="24" t="s">
        <v>95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2.5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</row>
    <row r="44" customFormat="false" ht="16.5" hidden="false" customHeight="true" outlineLevel="0" collapsed="false">
      <c r="A44" s="24" t="s">
        <v>96</v>
      </c>
      <c r="B44" s="1" t="n">
        <v>0</v>
      </c>
      <c r="C44" s="1" t="n">
        <v>0</v>
      </c>
      <c r="D44" s="1" t="n">
        <v>2.2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2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1.9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</row>
    <row r="45" customFormat="false" ht="16.5" hidden="false" customHeight="true" outlineLevel="0" collapsed="false">
      <c r="A45" s="24" t="s">
        <v>97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6.62</v>
      </c>
      <c r="K45" s="1" t="n">
        <v>6.62</v>
      </c>
      <c r="L45" s="1" t="n">
        <v>6.62</v>
      </c>
      <c r="M45" s="1" t="n">
        <v>6.62</v>
      </c>
      <c r="N45" s="1" t="n">
        <v>6.62</v>
      </c>
      <c r="O45" s="1" t="n">
        <v>6.62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</row>
    <row r="46" customFormat="false" ht="16.5" hidden="false" customHeight="true" outlineLevel="0" collapsed="false">
      <c r="A46" s="24" t="s">
        <v>98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4.8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7.6</v>
      </c>
      <c r="BV46" s="1" t="n">
        <v>0</v>
      </c>
      <c r="BW46" s="1" t="n">
        <v>0</v>
      </c>
      <c r="BX46" s="1" t="n">
        <v>8.4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</row>
    <row r="47" customFormat="false" ht="16.5" hidden="false" customHeight="true" outlineLevel="0" collapsed="false">
      <c r="A47" s="24" t="s">
        <v>99</v>
      </c>
      <c r="B47" s="1" t="n">
        <v>2.7</v>
      </c>
      <c r="C47" s="1" t="n">
        <v>6.5</v>
      </c>
      <c r="D47" s="1" t="n">
        <v>8.4</v>
      </c>
      <c r="E47" s="1" t="n">
        <v>4.7</v>
      </c>
      <c r="F47" s="1" t="n">
        <v>10</v>
      </c>
      <c r="G47" s="1" t="n">
        <v>8.7</v>
      </c>
      <c r="H47" s="1" t="n">
        <v>8.6</v>
      </c>
      <c r="I47" s="1" t="n">
        <v>10.6</v>
      </c>
      <c r="J47" s="1" t="n">
        <v>1.42</v>
      </c>
      <c r="K47" s="1" t="n">
        <v>1.42</v>
      </c>
      <c r="L47" s="1" t="n">
        <v>1.42</v>
      </c>
      <c r="M47" s="1" t="n">
        <v>1.42</v>
      </c>
      <c r="N47" s="1" t="n">
        <v>1.42</v>
      </c>
      <c r="O47" s="1" t="n">
        <v>1.42</v>
      </c>
      <c r="P47" s="1" t="n">
        <v>2.1</v>
      </c>
      <c r="Q47" s="1" t="n">
        <v>1.4</v>
      </c>
      <c r="R47" s="1" t="n">
        <v>1.4</v>
      </c>
      <c r="S47" s="1" t="n">
        <v>1.4</v>
      </c>
      <c r="T47" s="1" t="n">
        <v>10.2</v>
      </c>
      <c r="U47" s="1" t="n">
        <v>10</v>
      </c>
      <c r="V47" s="1" t="n">
        <v>0</v>
      </c>
      <c r="W47" s="1" t="n">
        <v>3.6</v>
      </c>
      <c r="X47" s="1" t="n">
        <v>2.5</v>
      </c>
      <c r="Y47" s="1" t="n">
        <v>14.8</v>
      </c>
      <c r="Z47" s="1" t="n">
        <v>2.9</v>
      </c>
      <c r="AA47" s="1" t="n">
        <v>0</v>
      </c>
      <c r="AB47" s="1" t="n">
        <v>4.9</v>
      </c>
      <c r="AC47" s="1" t="n">
        <v>6.4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7.9</v>
      </c>
      <c r="AI47" s="1" t="n">
        <v>0</v>
      </c>
      <c r="AJ47" s="1" t="n">
        <v>2.1</v>
      </c>
      <c r="AK47" s="1" t="n">
        <v>4.8</v>
      </c>
      <c r="AL47" s="1" t="n">
        <v>6.1</v>
      </c>
      <c r="AM47" s="1" t="n">
        <v>3.4</v>
      </c>
      <c r="AN47" s="1" t="n">
        <v>4.4</v>
      </c>
      <c r="AO47" s="1" t="n">
        <v>6.4</v>
      </c>
      <c r="AP47" s="1" t="n">
        <v>9.7</v>
      </c>
      <c r="AQ47" s="1" t="n">
        <v>5.6</v>
      </c>
      <c r="AR47" s="1" t="n">
        <v>2.4</v>
      </c>
      <c r="AS47" s="1" t="n">
        <v>11.3</v>
      </c>
      <c r="AT47" s="1" t="n">
        <v>4.2</v>
      </c>
      <c r="AU47" s="1" t="n">
        <v>10</v>
      </c>
      <c r="AV47" s="1" t="n">
        <v>4.8</v>
      </c>
      <c r="AW47" s="1" t="n">
        <v>0</v>
      </c>
      <c r="AX47" s="1" t="n">
        <v>0</v>
      </c>
      <c r="AY47" s="1" t="n">
        <v>0</v>
      </c>
      <c r="AZ47" s="26" t="n">
        <v>19</v>
      </c>
      <c r="BA47" s="1" t="n">
        <v>10.8</v>
      </c>
      <c r="BB47" s="1" t="n">
        <v>10</v>
      </c>
      <c r="BC47" s="1" t="n">
        <v>3.9</v>
      </c>
      <c r="BD47" s="1" t="n">
        <v>9.5</v>
      </c>
      <c r="BE47" s="1" t="n">
        <v>4.4</v>
      </c>
      <c r="BF47" s="1" t="n">
        <v>2</v>
      </c>
      <c r="BG47" s="1" t="n">
        <v>1.9</v>
      </c>
      <c r="BH47" s="1" t="n">
        <v>2</v>
      </c>
      <c r="BI47" s="1" t="n">
        <v>4.7</v>
      </c>
      <c r="BJ47" s="1" t="n">
        <v>1.5</v>
      </c>
      <c r="BK47" s="1" t="n">
        <v>2.2</v>
      </c>
      <c r="BL47" s="1" t="n">
        <v>3</v>
      </c>
      <c r="BM47" s="1" t="n">
        <v>2.2</v>
      </c>
      <c r="BN47" s="1" t="n">
        <v>2</v>
      </c>
      <c r="BO47" s="1" t="n">
        <v>4.77</v>
      </c>
      <c r="BP47" s="1" t="n">
        <v>4.7</v>
      </c>
      <c r="BQ47" s="1" t="n">
        <v>8.4</v>
      </c>
      <c r="BR47" s="1" t="n">
        <v>2.7</v>
      </c>
      <c r="BS47" s="1" t="n">
        <v>1.9</v>
      </c>
      <c r="BT47" s="1" t="n">
        <v>2</v>
      </c>
      <c r="BU47" s="1" t="n">
        <v>7.6</v>
      </c>
      <c r="BV47" s="1" t="n">
        <v>4.7</v>
      </c>
      <c r="BW47" s="1" t="n">
        <v>4.7</v>
      </c>
      <c r="BX47" s="1" t="n">
        <v>8.4</v>
      </c>
      <c r="BY47" s="1" t="n">
        <v>4.8</v>
      </c>
      <c r="BZ47" s="1" t="n">
        <v>3.7</v>
      </c>
      <c r="CA47" s="1" t="n">
        <v>5</v>
      </c>
      <c r="CB47" s="1" t="n">
        <v>10.2</v>
      </c>
      <c r="CC47" s="1" t="n">
        <v>8.9</v>
      </c>
      <c r="CD47" s="1" t="n">
        <v>3</v>
      </c>
      <c r="CE47" s="1" t="n">
        <v>2.8</v>
      </c>
    </row>
    <row r="48" customFormat="false" ht="16.5" hidden="false" customHeight="true" outlineLevel="0" collapsed="false">
      <c r="A48" s="24" t="s">
        <v>100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3.57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</row>
    <row r="49" customFormat="false" ht="16.5" hidden="false" customHeight="true" outlineLevel="0" collapsed="false">
      <c r="A49" s="24" t="s">
        <v>101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</row>
    <row r="50" customFormat="false" ht="16.5" hidden="false" customHeight="true" outlineLevel="0" collapsed="false">
      <c r="A50" s="24" t="s">
        <v>102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</row>
    <row r="51" customFormat="false" ht="16.5" hidden="false" customHeight="true" outlineLevel="0" collapsed="false">
      <c r="A51" s="24" t="s">
        <v>103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</row>
    <row r="52" customFormat="false" ht="16.5" hidden="false" customHeight="true" outlineLevel="0" collapsed="false">
      <c r="A52" s="24" t="s">
        <v>104</v>
      </c>
      <c r="B52" s="1" t="n">
        <v>0.4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1.1</v>
      </c>
      <c r="T52" s="1" t="n">
        <v>0</v>
      </c>
      <c r="U52" s="1" t="n">
        <v>0</v>
      </c>
      <c r="V52" s="1" t="n">
        <v>0.91</v>
      </c>
      <c r="W52" s="1" t="n">
        <v>0.2</v>
      </c>
      <c r="X52" s="1" t="n">
        <v>0.4</v>
      </c>
      <c r="Y52" s="1" t="n">
        <v>1.6</v>
      </c>
      <c r="Z52" s="1" t="n">
        <v>1.5</v>
      </c>
      <c r="AA52" s="1" t="n">
        <v>0.5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2</v>
      </c>
      <c r="AG52" s="1" t="n">
        <v>0</v>
      </c>
      <c r="AH52" s="1" t="n">
        <v>1.6</v>
      </c>
      <c r="AI52" s="1" t="n">
        <v>0.91</v>
      </c>
      <c r="AJ52" s="1" t="n">
        <v>0</v>
      </c>
      <c r="AK52" s="1" t="n">
        <v>1.3</v>
      </c>
      <c r="AL52" s="1" t="n">
        <v>1.5</v>
      </c>
      <c r="AM52" s="1" t="n">
        <v>1.7</v>
      </c>
      <c r="AN52" s="1" t="n">
        <v>0.47</v>
      </c>
      <c r="AO52" s="1" t="n">
        <v>0</v>
      </c>
      <c r="AP52" s="1" t="n">
        <v>0.2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1</v>
      </c>
      <c r="BF52" s="1" t="n">
        <v>0</v>
      </c>
      <c r="BG52" s="1" t="n">
        <v>1</v>
      </c>
      <c r="BH52" s="1" t="n">
        <v>0</v>
      </c>
      <c r="BI52" s="1" t="n">
        <v>0</v>
      </c>
      <c r="BJ52" s="1" t="n">
        <v>0</v>
      </c>
      <c r="BK52" s="1" t="n">
        <v>1.1</v>
      </c>
      <c r="BL52" s="1" t="n">
        <v>0</v>
      </c>
      <c r="BM52" s="1" t="n">
        <v>1.1</v>
      </c>
      <c r="BN52" s="1" t="n">
        <v>1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1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E52" s="1" t="n">
        <v>3.1</v>
      </c>
    </row>
    <row r="53" customFormat="false" ht="16.5" hidden="false" customHeight="true" outlineLevel="0" collapsed="false">
      <c r="A53" s="24" t="s">
        <v>105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1.2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BA53" s="1" t="n">
        <v>0</v>
      </c>
      <c r="BB53" s="1" t="n">
        <v>0</v>
      </c>
      <c r="BC53" s="1" t="n">
        <v>0</v>
      </c>
      <c r="BD53" s="1" t="n">
        <v>1.1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</row>
    <row r="54" customFormat="false" ht="16.5" hidden="false" customHeight="true" outlineLevel="0" collapsed="false">
      <c r="A54" s="24" t="s">
        <v>106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3.3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</row>
    <row r="55" customFormat="false" ht="16.5" hidden="false" customHeight="true" outlineLevel="0" collapsed="false">
      <c r="A55" s="24" t="s">
        <v>107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0.49</v>
      </c>
      <c r="K55" s="1" t="n">
        <v>0.49</v>
      </c>
      <c r="L55" s="1" t="n">
        <v>0.49</v>
      </c>
      <c r="M55" s="1" t="n">
        <v>0.49</v>
      </c>
      <c r="N55" s="1" t="n">
        <v>0.49</v>
      </c>
      <c r="O55" s="1" t="n">
        <v>0.49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</row>
    <row r="56" customFormat="false" ht="16.5" hidden="false" customHeight="true" outlineLevel="0" collapsed="false">
      <c r="A56" s="24" t="s">
        <v>108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3.2</v>
      </c>
      <c r="Q56" s="1" t="n">
        <v>1.3</v>
      </c>
      <c r="R56" s="1" t="n">
        <v>1.3</v>
      </c>
      <c r="S56" s="1" t="n">
        <v>1.3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1.2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</row>
    <row r="57" customFormat="false" ht="16.5" hidden="false" customHeight="true" outlineLevel="0" collapsed="false">
      <c r="A57" s="24" t="s">
        <v>109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3.3</v>
      </c>
      <c r="CC57" s="1" t="n">
        <v>1.8</v>
      </c>
    </row>
    <row r="58" customFormat="false" ht="16.5" hidden="false" customHeight="true" outlineLevel="0" collapsed="false">
      <c r="A58" s="24" t="s">
        <v>110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9</v>
      </c>
      <c r="AT58" s="1" t="n">
        <v>0</v>
      </c>
      <c r="AU58" s="1" t="n">
        <v>0</v>
      </c>
      <c r="AV58" s="1" t="n">
        <v>0</v>
      </c>
      <c r="AW58" s="1" t="n">
        <v>7.5</v>
      </c>
      <c r="AX58" s="1" t="n">
        <v>0</v>
      </c>
      <c r="AY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</row>
    <row r="59" customFormat="false" ht="16.5" hidden="false" customHeight="true" outlineLevel="0" collapsed="false">
      <c r="A59" s="24" t="s">
        <v>111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0.2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1.2</v>
      </c>
      <c r="AV59" s="1" t="n">
        <v>1</v>
      </c>
      <c r="AW59" s="1" t="n">
        <v>0</v>
      </c>
      <c r="AX59" s="1" t="n">
        <v>0</v>
      </c>
      <c r="AY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</row>
    <row r="60" customFormat="false" ht="16.5" hidden="false" customHeight="true" outlineLevel="0" collapsed="false">
      <c r="A60" s="24" t="s">
        <v>112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BA60" s="1" t="n">
        <v>0</v>
      </c>
      <c r="BB60" s="1" t="n">
        <v>11.5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</row>
    <row r="61" customFormat="false" ht="16.5" hidden="false" customHeight="true" outlineLevel="0" collapsed="false">
      <c r="A61" s="24" t="s">
        <v>113</v>
      </c>
      <c r="B61" s="1" t="n">
        <v>0</v>
      </c>
      <c r="C61" s="1" t="n">
        <v>17.7</v>
      </c>
      <c r="D61" s="1" t="n">
        <v>12.6</v>
      </c>
      <c r="E61" s="1" t="n">
        <v>37.9</v>
      </c>
      <c r="F61" s="1" t="n">
        <v>16.1</v>
      </c>
      <c r="G61" s="1" t="n">
        <v>17.4</v>
      </c>
      <c r="H61" s="1" t="n">
        <v>17.3</v>
      </c>
      <c r="I61" s="1" t="n">
        <v>17.7</v>
      </c>
      <c r="J61" s="1" t="n">
        <v>3.1</v>
      </c>
      <c r="K61" s="1" t="n">
        <v>3.1</v>
      </c>
      <c r="L61" s="1" t="n">
        <v>3.1</v>
      </c>
      <c r="M61" s="1" t="n">
        <v>3.1</v>
      </c>
      <c r="N61" s="1" t="n">
        <v>3.1</v>
      </c>
      <c r="O61" s="1" t="n">
        <v>3.1</v>
      </c>
      <c r="P61" s="1" t="n">
        <v>0</v>
      </c>
      <c r="Q61" s="1" t="n">
        <v>17.6</v>
      </c>
      <c r="R61" s="1" t="n">
        <v>17.6</v>
      </c>
      <c r="S61" s="1" t="n">
        <v>17.6</v>
      </c>
      <c r="T61" s="1" t="n">
        <v>16.4</v>
      </c>
      <c r="U61" s="1" t="n">
        <v>13</v>
      </c>
      <c r="V61" s="1" t="n">
        <v>33.32</v>
      </c>
      <c r="W61" s="1" t="n">
        <v>0</v>
      </c>
      <c r="X61" s="1" t="n">
        <v>0</v>
      </c>
      <c r="Y61" s="1" t="n">
        <v>15.4</v>
      </c>
      <c r="Z61" s="1" t="n">
        <v>25.4</v>
      </c>
      <c r="AA61" s="1" t="n">
        <v>19.4</v>
      </c>
      <c r="AB61" s="1" t="n">
        <v>21.1</v>
      </c>
      <c r="AC61" s="1" t="n">
        <v>26.4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11.9</v>
      </c>
      <c r="AI61" s="1" t="n">
        <v>33.32</v>
      </c>
      <c r="AJ61" s="1" t="n">
        <v>10</v>
      </c>
      <c r="AK61" s="1" t="n">
        <v>19.3</v>
      </c>
      <c r="AL61" s="1" t="n">
        <v>0</v>
      </c>
      <c r="AM61" s="1" t="n">
        <v>0</v>
      </c>
      <c r="AN61" s="1" t="n">
        <v>35.89</v>
      </c>
      <c r="AO61" s="1" t="n">
        <v>23.4</v>
      </c>
      <c r="AP61" s="1" t="n">
        <v>22.87</v>
      </c>
      <c r="AQ61" s="1" t="n">
        <v>4.6</v>
      </c>
      <c r="AR61" s="1" t="n">
        <v>0</v>
      </c>
      <c r="AS61" s="1" t="n">
        <v>9</v>
      </c>
      <c r="AT61" s="1" t="n">
        <v>0</v>
      </c>
      <c r="AU61" s="1" t="n">
        <v>16.1</v>
      </c>
      <c r="AV61" s="1" t="n">
        <v>21.7</v>
      </c>
      <c r="AW61" s="1" t="n">
        <v>6.3</v>
      </c>
      <c r="AX61" s="1" t="n">
        <v>12.5</v>
      </c>
      <c r="AY61" s="1" t="n">
        <v>0</v>
      </c>
      <c r="AZ61" s="26" t="n">
        <v>3</v>
      </c>
      <c r="BA61" s="1" t="n">
        <v>17.2</v>
      </c>
      <c r="BB61" s="1" t="n">
        <v>16</v>
      </c>
      <c r="BC61" s="1" t="n">
        <v>0</v>
      </c>
      <c r="BD61" s="1" t="n">
        <v>15.1</v>
      </c>
      <c r="BE61" s="1" t="n">
        <v>32.6</v>
      </c>
      <c r="BF61" s="1" t="n">
        <v>14.9</v>
      </c>
      <c r="BG61" s="1" t="n">
        <v>14.2</v>
      </c>
      <c r="BH61" s="1" t="n">
        <v>14.5</v>
      </c>
      <c r="BI61" s="1" t="n">
        <v>37.3</v>
      </c>
      <c r="BJ61" s="1" t="n">
        <v>14.7</v>
      </c>
      <c r="BK61" s="1" t="n">
        <v>0</v>
      </c>
      <c r="BL61" s="1" t="n">
        <v>15.36</v>
      </c>
      <c r="BM61" s="1" t="n">
        <v>0</v>
      </c>
      <c r="BN61" s="1" t="n">
        <v>11.6</v>
      </c>
      <c r="BO61" s="1" t="n">
        <v>40.61</v>
      </c>
      <c r="BP61" s="1" t="n">
        <v>37.9</v>
      </c>
      <c r="BQ61" s="1" t="n">
        <v>13.7</v>
      </c>
      <c r="BR61" s="1" t="n">
        <v>0</v>
      </c>
      <c r="BS61" s="1" t="n">
        <v>12</v>
      </c>
      <c r="BT61" s="1" t="n">
        <v>12.8</v>
      </c>
      <c r="BU61" s="1" t="n">
        <v>12.1</v>
      </c>
      <c r="BV61" s="1" t="n">
        <v>1.2</v>
      </c>
      <c r="BW61" s="1" t="n">
        <v>1.2</v>
      </c>
      <c r="BX61" s="1" t="n">
        <v>13.4</v>
      </c>
      <c r="BY61" s="1" t="n">
        <v>21.8</v>
      </c>
      <c r="BZ61" s="1" t="n">
        <v>0</v>
      </c>
      <c r="CA61" s="1" t="n">
        <v>19.6</v>
      </c>
      <c r="CB61" s="1" t="n">
        <v>16.3</v>
      </c>
      <c r="CC61" s="1" t="n">
        <v>17.9</v>
      </c>
      <c r="CD61" s="1" t="n">
        <v>15.36</v>
      </c>
      <c r="CE61" s="1" t="n">
        <v>11.37</v>
      </c>
    </row>
    <row r="62" customFormat="false" ht="16.5" hidden="false" customHeight="true" outlineLevel="0" collapsed="false">
      <c r="A62" s="24" t="s">
        <v>114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0.24</v>
      </c>
      <c r="K62" s="1" t="n">
        <v>0.24</v>
      </c>
      <c r="L62" s="1" t="n">
        <v>0.24</v>
      </c>
      <c r="M62" s="1" t="n">
        <v>0.24</v>
      </c>
      <c r="N62" s="1" t="n">
        <v>0.24</v>
      </c>
      <c r="O62" s="1" t="n">
        <v>0.24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</row>
    <row r="63" customFormat="false" ht="16.5" hidden="false" customHeight="true" outlineLevel="0" collapsed="false">
      <c r="A63" s="24" t="s">
        <v>115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10.16</v>
      </c>
      <c r="K63" s="1" t="n">
        <v>10.16</v>
      </c>
      <c r="L63" s="1" t="n">
        <v>10.16</v>
      </c>
      <c r="M63" s="1" t="n">
        <v>10.16</v>
      </c>
      <c r="N63" s="1" t="n">
        <v>10.16</v>
      </c>
      <c r="O63" s="1" t="n">
        <v>10.16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23.5</v>
      </c>
      <c r="BK63" s="1" t="n">
        <v>0</v>
      </c>
      <c r="BL63" s="1" t="n">
        <v>0</v>
      </c>
      <c r="BM63" s="1" t="n">
        <v>0</v>
      </c>
      <c r="BN63" s="1" t="n">
        <v>24.8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33</v>
      </c>
      <c r="CE63" s="1" t="n">
        <v>30.7</v>
      </c>
    </row>
    <row r="64" customFormat="false" ht="16.5" hidden="false" customHeight="true" outlineLevel="0" collapsed="false">
      <c r="A64" s="24" t="s">
        <v>116</v>
      </c>
      <c r="B64" s="1" t="n">
        <v>36.5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40.1</v>
      </c>
      <c r="Q64" s="1" t="n">
        <v>33.3</v>
      </c>
      <c r="R64" s="1" t="n">
        <v>33.3</v>
      </c>
      <c r="S64" s="1" t="n">
        <v>33.3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44.8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26" t="n">
        <v>18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37.2</v>
      </c>
      <c r="BG64" s="1" t="n">
        <v>35.8</v>
      </c>
      <c r="BH64" s="1" t="n">
        <v>36.6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41.6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33.66</v>
      </c>
      <c r="BS64" s="1" t="n">
        <v>36.3</v>
      </c>
      <c r="BT64" s="1" t="n">
        <v>36.8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</row>
    <row r="65" customFormat="false" ht="16.5" hidden="false" customHeight="true" outlineLevel="0" collapsed="false">
      <c r="A65" s="24" t="s">
        <v>117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BA65" s="1" t="n">
        <v>3.4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</row>
    <row r="66" customFormat="false" ht="16.5" hidden="false" customHeight="true" outlineLevel="0" collapsed="false">
      <c r="A66" s="24" t="s">
        <v>118</v>
      </c>
      <c r="B66" s="1" t="n">
        <v>1.2</v>
      </c>
      <c r="C66" s="1" t="n">
        <v>0</v>
      </c>
      <c r="D66" s="1" t="n">
        <v>0</v>
      </c>
      <c r="E66" s="1" t="n">
        <v>0.9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0.39</v>
      </c>
      <c r="K66" s="1" t="n">
        <v>0.39</v>
      </c>
      <c r="L66" s="1" t="n">
        <v>0.39</v>
      </c>
      <c r="M66" s="1" t="n">
        <v>0.39</v>
      </c>
      <c r="N66" s="1" t="n">
        <v>0.39</v>
      </c>
      <c r="O66" s="1" t="n">
        <v>0.39</v>
      </c>
      <c r="P66" s="1" t="n">
        <v>0.2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1.6</v>
      </c>
      <c r="X66" s="1" t="n">
        <v>1.1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1.5</v>
      </c>
      <c r="AN66" s="1" t="n">
        <v>0.9</v>
      </c>
      <c r="AO66" s="1" t="n">
        <v>0</v>
      </c>
      <c r="AP66" s="1" t="n">
        <v>0</v>
      </c>
      <c r="AQ66" s="1" t="n">
        <v>0</v>
      </c>
      <c r="AR66" s="1" t="n">
        <v>0.2</v>
      </c>
      <c r="AS66" s="1" t="n">
        <v>0</v>
      </c>
      <c r="AT66" s="1" t="n">
        <v>1.9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26" t="n">
        <v>2</v>
      </c>
      <c r="BA66" s="1" t="n">
        <v>0</v>
      </c>
      <c r="BB66" s="1" t="n">
        <v>0</v>
      </c>
      <c r="BC66" s="1" t="n">
        <v>0.4</v>
      </c>
      <c r="BD66" s="1" t="n">
        <v>0</v>
      </c>
      <c r="BE66" s="1" t="n">
        <v>0.9</v>
      </c>
      <c r="BF66" s="1" t="n">
        <v>0.2</v>
      </c>
      <c r="BG66" s="1" t="n">
        <v>0.2</v>
      </c>
      <c r="BH66" s="1" t="n">
        <v>0.2</v>
      </c>
      <c r="BI66" s="1" t="n">
        <v>0.9</v>
      </c>
      <c r="BJ66" s="1" t="n">
        <v>0.1</v>
      </c>
      <c r="BK66" s="1" t="n">
        <v>1</v>
      </c>
      <c r="BL66" s="1" t="n">
        <v>0.37</v>
      </c>
      <c r="BM66" s="1" t="n">
        <v>1</v>
      </c>
      <c r="BN66" s="1" t="n">
        <v>0.9</v>
      </c>
      <c r="BO66" s="1" t="n">
        <v>0.97</v>
      </c>
      <c r="BP66" s="1" t="n">
        <v>0.9</v>
      </c>
      <c r="BQ66" s="1" t="n">
        <v>0</v>
      </c>
      <c r="BR66" s="1" t="n">
        <v>1.2</v>
      </c>
      <c r="BS66" s="1" t="n">
        <v>0.7</v>
      </c>
      <c r="BT66" s="1" t="n">
        <v>0.7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1.7</v>
      </c>
      <c r="CA66" s="1" t="n">
        <v>0</v>
      </c>
      <c r="CB66" s="1" t="n">
        <v>0</v>
      </c>
      <c r="CC66" s="1" t="n">
        <v>0</v>
      </c>
      <c r="CD66" s="1" t="n">
        <v>0.37</v>
      </c>
      <c r="CE66" s="1" t="n">
        <v>0.6</v>
      </c>
    </row>
    <row r="67" customFormat="false" ht="18" hidden="false" customHeight="true" outlineLevel="0" collapsed="false">
      <c r="A67" s="24" t="s">
        <v>119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1</v>
      </c>
      <c r="AB67" s="1" t="n">
        <v>6.5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6.4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13.92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6.4</v>
      </c>
      <c r="AW67" s="1" t="n">
        <v>0</v>
      </c>
      <c r="AX67" s="1" t="n">
        <v>0</v>
      </c>
      <c r="AY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6.3</v>
      </c>
      <c r="BZ67" s="1" t="n">
        <v>0</v>
      </c>
      <c r="CA67" s="1" t="n">
        <v>6.6</v>
      </c>
      <c r="CB67" s="1" t="n">
        <v>0</v>
      </c>
      <c r="CC67" s="1" t="n">
        <v>0</v>
      </c>
    </row>
    <row r="68" customFormat="false" ht="16.5" hidden="false" customHeight="true" outlineLevel="0" collapsed="false">
      <c r="A68" s="27" t="s">
        <v>134</v>
      </c>
      <c r="AZ68" s="26" t="n">
        <v>9</v>
      </c>
    </row>
    <row r="69" customFormat="false" ht="16.5" hidden="false" customHeight="true" outlineLevel="0" collapsed="false">
      <c r="A69" s="24" t="s">
        <v>120</v>
      </c>
      <c r="B69" s="1" t="n">
        <v>53.1</v>
      </c>
      <c r="C69" s="1" t="n">
        <v>58.9</v>
      </c>
      <c r="D69" s="1" t="n">
        <v>0</v>
      </c>
      <c r="E69" s="1" t="n">
        <v>47.5</v>
      </c>
      <c r="F69" s="1" t="n">
        <v>0</v>
      </c>
      <c r="G69" s="1" t="n">
        <v>58</v>
      </c>
      <c r="H69" s="1" t="n">
        <v>57.6</v>
      </c>
      <c r="I69" s="1" t="n">
        <v>0</v>
      </c>
      <c r="J69" s="1" t="n">
        <v>53.2</v>
      </c>
      <c r="K69" s="1" t="n">
        <v>53.2</v>
      </c>
      <c r="L69" s="1" t="n">
        <v>53.2</v>
      </c>
      <c r="M69" s="1" t="n">
        <v>53.2</v>
      </c>
      <c r="N69" s="1" t="n">
        <v>53.2</v>
      </c>
      <c r="O69" s="1" t="n">
        <v>53.2</v>
      </c>
      <c r="P69" s="1" t="n">
        <v>43</v>
      </c>
      <c r="Q69" s="1" t="n">
        <v>35.5</v>
      </c>
      <c r="R69" s="1" t="n">
        <v>35.5</v>
      </c>
      <c r="S69" s="1" t="n">
        <v>35.5</v>
      </c>
      <c r="T69" s="1" t="n">
        <v>0</v>
      </c>
      <c r="U69" s="1" t="n">
        <v>54</v>
      </c>
      <c r="V69" s="1" t="n">
        <v>0</v>
      </c>
      <c r="W69" s="1" t="n">
        <v>71.4</v>
      </c>
      <c r="X69" s="1" t="n">
        <v>70.9</v>
      </c>
      <c r="Y69" s="1" t="n">
        <v>0</v>
      </c>
      <c r="Z69" s="1" t="n">
        <v>58.8</v>
      </c>
      <c r="AA69" s="1" t="n">
        <v>0</v>
      </c>
      <c r="AB69" s="1" t="n">
        <v>0</v>
      </c>
      <c r="AC69" s="1" t="n">
        <v>43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75.9</v>
      </c>
      <c r="AM69" s="1" t="n">
        <v>67.9</v>
      </c>
      <c r="AN69" s="1" t="n">
        <v>43.96</v>
      </c>
      <c r="AO69" s="1" t="n">
        <v>46</v>
      </c>
      <c r="AP69" s="1" t="n">
        <v>0</v>
      </c>
      <c r="AQ69" s="1" t="n">
        <v>45.1</v>
      </c>
      <c r="AR69" s="1" t="n">
        <v>47.8</v>
      </c>
      <c r="AS69" s="1" t="n">
        <v>0</v>
      </c>
      <c r="AT69" s="1" t="n">
        <v>83.4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81.4</v>
      </c>
      <c r="AZ69" s="26" t="n">
        <v>43</v>
      </c>
      <c r="BA69" s="1" t="n">
        <v>0</v>
      </c>
      <c r="BB69" s="1" t="n">
        <v>0</v>
      </c>
      <c r="BC69" s="1" t="n">
        <v>77.8</v>
      </c>
      <c r="BD69" s="1" t="n">
        <v>0</v>
      </c>
      <c r="BE69" s="1" t="n">
        <v>43.5</v>
      </c>
      <c r="BF69" s="1" t="n">
        <v>39.7</v>
      </c>
      <c r="BG69" s="1" t="n">
        <v>38.2</v>
      </c>
      <c r="BH69" s="1" t="n">
        <v>39</v>
      </c>
      <c r="BI69" s="1" t="n">
        <v>48</v>
      </c>
      <c r="BJ69" s="1" t="n">
        <v>29.3</v>
      </c>
      <c r="BK69" s="1" t="n">
        <v>45</v>
      </c>
      <c r="BL69" s="1" t="n">
        <v>29.5</v>
      </c>
      <c r="BM69" s="1" t="n">
        <v>44.4</v>
      </c>
      <c r="BN69" s="1" t="n">
        <v>39.6</v>
      </c>
      <c r="BO69" s="1" t="n">
        <v>47.62</v>
      </c>
      <c r="BP69" s="1" t="n">
        <v>47.5</v>
      </c>
      <c r="BQ69" s="1" t="n">
        <v>0</v>
      </c>
      <c r="BR69" s="1" t="n">
        <v>54.5</v>
      </c>
      <c r="BS69" s="1" t="n">
        <v>38.7</v>
      </c>
      <c r="BT69" s="1" t="n">
        <v>39.2</v>
      </c>
      <c r="BU69" s="1" t="n">
        <v>0</v>
      </c>
      <c r="BV69" s="1" t="n">
        <v>56</v>
      </c>
      <c r="BW69" s="1" t="n">
        <v>56</v>
      </c>
      <c r="BX69" s="1" t="n">
        <v>0</v>
      </c>
      <c r="BY69" s="1" t="n">
        <v>0</v>
      </c>
      <c r="BZ69" s="1" t="n">
        <v>73.9</v>
      </c>
      <c r="CA69" s="1" t="n">
        <v>0</v>
      </c>
      <c r="CB69" s="1" t="n">
        <v>0</v>
      </c>
      <c r="CC69" s="1" t="n">
        <v>59.6</v>
      </c>
      <c r="CD69" s="1" t="n">
        <v>29.5</v>
      </c>
      <c r="CE69" s="1" t="n">
        <v>27.8</v>
      </c>
    </row>
    <row r="70" customFormat="false" ht="16.5" hidden="false" customHeight="true" outlineLevel="0" collapsed="false">
      <c r="A70" s="24" t="s">
        <v>121</v>
      </c>
      <c r="B70" s="1" t="n">
        <v>0.86</v>
      </c>
      <c r="C70" s="1" t="n">
        <v>0.6</v>
      </c>
      <c r="D70" s="1" t="n">
        <v>1.1</v>
      </c>
      <c r="E70" s="1" t="n">
        <v>0.9</v>
      </c>
      <c r="F70" s="1" t="n">
        <v>1</v>
      </c>
      <c r="G70" s="1" t="n">
        <v>0.6</v>
      </c>
      <c r="H70" s="1" t="n">
        <v>0.5</v>
      </c>
      <c r="I70" s="1" t="n">
        <v>1.2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0.7</v>
      </c>
      <c r="Q70" s="1" t="n">
        <v>0.9</v>
      </c>
      <c r="R70" s="1" t="n">
        <v>0.9</v>
      </c>
      <c r="S70" s="1" t="n">
        <v>0.9</v>
      </c>
      <c r="T70" s="1" t="n">
        <v>1.1</v>
      </c>
      <c r="U70" s="1" t="n">
        <v>1</v>
      </c>
      <c r="V70" s="1" t="n">
        <v>0.85</v>
      </c>
      <c r="W70" s="1" t="n">
        <v>1.2</v>
      </c>
      <c r="X70" s="1" t="n">
        <v>0.9</v>
      </c>
      <c r="Y70" s="1" t="n">
        <v>1.1</v>
      </c>
      <c r="Z70" s="1" t="n">
        <v>0.9</v>
      </c>
      <c r="AA70" s="1" t="n">
        <v>0.08</v>
      </c>
      <c r="AB70" s="1" t="n">
        <v>1</v>
      </c>
      <c r="AC70" s="1" t="n">
        <v>0.8</v>
      </c>
      <c r="AD70" s="1" t="n">
        <v>1</v>
      </c>
      <c r="AE70" s="1" t="n">
        <v>0</v>
      </c>
      <c r="AF70" s="1" t="n">
        <v>1</v>
      </c>
      <c r="AG70" s="1" t="n">
        <v>1</v>
      </c>
      <c r="AH70" s="1" t="n">
        <v>1.1</v>
      </c>
      <c r="AI70" s="1" t="n">
        <v>0.85</v>
      </c>
      <c r="AJ70" s="1" t="n">
        <v>0.2</v>
      </c>
      <c r="AK70" s="1" t="n">
        <v>0.9</v>
      </c>
      <c r="AL70" s="1" t="n">
        <v>0</v>
      </c>
      <c r="AM70" s="1" t="n">
        <v>1.2</v>
      </c>
      <c r="AN70" s="1" t="n">
        <v>0.8</v>
      </c>
      <c r="AO70" s="1" t="n">
        <v>0.8</v>
      </c>
      <c r="AP70" s="1" t="n">
        <v>1.1</v>
      </c>
      <c r="AQ70" s="1" t="n">
        <v>0.7</v>
      </c>
      <c r="AR70" s="1" t="n">
        <v>0.8</v>
      </c>
      <c r="AS70" s="1" t="n">
        <v>1.2</v>
      </c>
      <c r="AT70" s="1" t="n">
        <v>1.5</v>
      </c>
      <c r="AU70" s="1" t="n">
        <v>1</v>
      </c>
      <c r="AV70" s="1" t="n">
        <v>0.9</v>
      </c>
      <c r="AW70" s="1" t="n">
        <v>1.1</v>
      </c>
      <c r="AX70" s="1" t="n">
        <v>2.5</v>
      </c>
      <c r="AY70" s="1" t="n">
        <v>0</v>
      </c>
      <c r="AZ70" s="26" t="n">
        <v>2</v>
      </c>
      <c r="BA70" s="1" t="n">
        <v>1.1</v>
      </c>
      <c r="BB70" s="1" t="n">
        <v>1</v>
      </c>
      <c r="BC70" s="1" t="n">
        <v>1.4</v>
      </c>
      <c r="BD70" s="1" t="n">
        <v>1</v>
      </c>
      <c r="BE70" s="1" t="n">
        <v>0.8</v>
      </c>
      <c r="BF70" s="1" t="n">
        <v>0.7</v>
      </c>
      <c r="BG70" s="1" t="n">
        <v>0.7</v>
      </c>
      <c r="BH70" s="1" t="n">
        <v>0.7</v>
      </c>
      <c r="BI70" s="1" t="n">
        <v>0.9</v>
      </c>
      <c r="BJ70" s="1" t="n">
        <v>0.5</v>
      </c>
      <c r="BK70" s="1" t="n">
        <v>0.8</v>
      </c>
      <c r="BL70" s="1" t="n">
        <v>0.53</v>
      </c>
      <c r="BM70" s="1" t="n">
        <v>0.8</v>
      </c>
      <c r="BN70" s="1" t="n">
        <v>0.7</v>
      </c>
      <c r="BO70" s="1" t="n">
        <v>0.86</v>
      </c>
      <c r="BP70" s="1" t="n">
        <v>0.9</v>
      </c>
      <c r="BQ70" s="1" t="n">
        <v>0.8</v>
      </c>
      <c r="BR70" s="1" t="n">
        <v>1</v>
      </c>
      <c r="BS70" s="1" t="n">
        <v>0.7</v>
      </c>
      <c r="BT70" s="1" t="n">
        <v>0.7</v>
      </c>
      <c r="BU70" s="1" t="n">
        <v>1</v>
      </c>
      <c r="BV70" s="1" t="n">
        <v>0.8</v>
      </c>
      <c r="BW70" s="1" t="n">
        <v>0.8</v>
      </c>
      <c r="BX70" s="1" t="n">
        <v>1</v>
      </c>
      <c r="BY70" s="1" t="n">
        <v>0.9</v>
      </c>
      <c r="BZ70" s="1" t="n">
        <v>1.3</v>
      </c>
      <c r="CA70" s="1" t="n">
        <v>0.9</v>
      </c>
      <c r="CB70" s="1" t="n">
        <v>1.1</v>
      </c>
      <c r="CC70" s="1" t="n">
        <v>0.6</v>
      </c>
      <c r="CD70" s="1" t="n">
        <v>0.53</v>
      </c>
      <c r="CE70" s="1" t="n">
        <v>0.5</v>
      </c>
    </row>
    <row r="71" customFormat="false" ht="16.5" hidden="false" customHeight="true" outlineLevel="0" collapsed="false">
      <c r="A71" s="24" t="s">
        <v>122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6.65</v>
      </c>
      <c r="K71" s="1" t="n">
        <v>6.65</v>
      </c>
      <c r="L71" s="1" t="n">
        <v>6.65</v>
      </c>
      <c r="M71" s="1" t="n">
        <v>6.65</v>
      </c>
      <c r="N71" s="1" t="n">
        <v>6.65</v>
      </c>
      <c r="O71" s="1" t="n">
        <v>6.65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</row>
    <row r="72" customFormat="false" ht="16.5" hidden="false" customHeight="true" outlineLevel="0" collapsed="false">
      <c r="A72" s="24" t="s">
        <v>123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3.57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BA72" s="1" t="n">
        <v>1.3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</row>
    <row r="73" customFormat="false" ht="16.5" hidden="false" customHeight="true" outlineLevel="0" collapsed="false">
      <c r="A73" s="24" t="s">
        <v>124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0.8</v>
      </c>
      <c r="H73" s="1" t="n">
        <v>0.6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1.21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1.3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1.21</v>
      </c>
      <c r="AJ73" s="1" t="n">
        <v>0</v>
      </c>
      <c r="AK73" s="1" t="n">
        <v>1.3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0.99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1.3</v>
      </c>
      <c r="AW73" s="1" t="n">
        <v>0</v>
      </c>
      <c r="AX73" s="1" t="n">
        <v>0</v>
      </c>
      <c r="AY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1.3</v>
      </c>
      <c r="BZ73" s="1" t="n">
        <v>0</v>
      </c>
      <c r="CA73" s="1" t="n">
        <v>1.3</v>
      </c>
      <c r="CB73" s="1" t="n">
        <v>0</v>
      </c>
      <c r="CC73" s="1" t="n">
        <v>0</v>
      </c>
    </row>
    <row r="74" customFormat="false" ht="16.5" hidden="false" customHeight="true" outlineLevel="0" collapsed="false">
      <c r="A74" s="24" t="s">
        <v>125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1.2</v>
      </c>
      <c r="H74" s="1" t="n">
        <v>1.2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1.9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1.9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1.2</v>
      </c>
      <c r="AV74" s="1" t="n">
        <v>0</v>
      </c>
      <c r="AW74" s="1" t="n">
        <v>0</v>
      </c>
      <c r="AX74" s="1" t="n">
        <v>0</v>
      </c>
      <c r="AY74" s="1" t="n">
        <v>2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</row>
    <row r="75" customFormat="false" ht="16.5" hidden="false" customHeight="true" outlineLevel="0" collapsed="false">
      <c r="A75" s="24" t="s">
        <v>126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76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</row>
    <row r="76" customFormat="false" ht="16.5" hidden="false" customHeight="true" outlineLevel="0" collapsed="false">
      <c r="A76" s="24" t="s">
        <v>127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83.3</v>
      </c>
      <c r="AY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</row>
    <row r="77" customFormat="false" ht="16.5" hidden="false" customHeight="true" outlineLevel="0" collapsed="false">
      <c r="A77" s="24" t="s">
        <v>128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1.2</v>
      </c>
      <c r="H77" s="1" t="n">
        <v>1.2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3.2</v>
      </c>
      <c r="Q77" s="1" t="n">
        <v>2.7</v>
      </c>
      <c r="R77" s="1" t="n">
        <v>2.7</v>
      </c>
      <c r="S77" s="1" t="n">
        <v>2.7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0.6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3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3.4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3.74</v>
      </c>
      <c r="BS77" s="1" t="n">
        <v>3.6</v>
      </c>
      <c r="BT77" s="1" t="n">
        <v>3.7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</row>
    <row r="78" customFormat="false" ht="16.5" hidden="false" customHeight="true" outlineLevel="0" collapsed="false">
      <c r="A78" s="24" t="s">
        <v>129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1.2</v>
      </c>
      <c r="H78" s="1" t="n">
        <v>1.2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1.9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1.9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2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1.8</v>
      </c>
      <c r="CA78" s="1" t="n">
        <v>0</v>
      </c>
      <c r="CB78" s="1" t="n">
        <v>0</v>
      </c>
      <c r="CC78" s="1" t="n">
        <v>0</v>
      </c>
    </row>
    <row r="79" customFormat="false" ht="16.5" hidden="false" customHeight="true" outlineLevel="0" collapsed="false">
      <c r="A79" s="24" t="s">
        <v>130</v>
      </c>
      <c r="B79" s="1" t="n">
        <v>0.4</v>
      </c>
      <c r="C79" s="1" t="n">
        <v>0</v>
      </c>
      <c r="D79" s="1" t="n">
        <v>0</v>
      </c>
      <c r="E79" s="1" t="n">
        <v>0.4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0.3</v>
      </c>
      <c r="Q79" s="1" t="n">
        <v>0.2</v>
      </c>
      <c r="R79" s="1" t="n">
        <v>0.2</v>
      </c>
      <c r="S79" s="1" t="n">
        <v>0.2</v>
      </c>
      <c r="T79" s="1" t="n">
        <v>0</v>
      </c>
      <c r="U79" s="1" t="n">
        <v>0</v>
      </c>
      <c r="V79" s="1" t="n">
        <v>0</v>
      </c>
      <c r="W79" s="1" t="n">
        <v>0.5</v>
      </c>
      <c r="X79" s="1" t="n">
        <v>0.4</v>
      </c>
      <c r="Y79" s="1" t="n">
        <v>0</v>
      </c>
      <c r="Z79" s="1" t="n">
        <v>0.3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0.5</v>
      </c>
      <c r="AN79" s="1" t="n">
        <v>0.38</v>
      </c>
      <c r="AO79" s="1" t="n">
        <v>0</v>
      </c>
      <c r="AP79" s="1" t="n">
        <v>0</v>
      </c>
      <c r="AQ79" s="1" t="n">
        <v>0</v>
      </c>
      <c r="AR79" s="1" t="n">
        <v>0.4</v>
      </c>
      <c r="AS79" s="1" t="n">
        <v>0</v>
      </c>
      <c r="AT79" s="1" t="n">
        <v>0.6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26" t="n">
        <v>2</v>
      </c>
      <c r="BA79" s="1" t="n">
        <v>0</v>
      </c>
      <c r="BB79" s="1" t="n">
        <v>0</v>
      </c>
      <c r="BC79" s="1" t="n">
        <v>0.6</v>
      </c>
      <c r="BD79" s="1" t="n">
        <v>0</v>
      </c>
      <c r="BE79" s="1" t="n">
        <v>0.4</v>
      </c>
      <c r="BF79" s="1" t="n">
        <v>0.3</v>
      </c>
      <c r="BG79" s="1" t="n">
        <v>0.3</v>
      </c>
      <c r="BH79" s="1" t="n">
        <v>0.3</v>
      </c>
      <c r="BI79" s="1" t="n">
        <v>0.5</v>
      </c>
      <c r="BJ79" s="1" t="n">
        <v>0.2</v>
      </c>
      <c r="BK79" s="1" t="n">
        <v>0.4</v>
      </c>
      <c r="BL79" s="1" t="n">
        <v>0.24</v>
      </c>
      <c r="BM79" s="1" t="n">
        <v>0.4</v>
      </c>
      <c r="BN79" s="1" t="n">
        <v>0.3</v>
      </c>
      <c r="BO79" s="1" t="n">
        <v>0.4</v>
      </c>
      <c r="BP79" s="1" t="n">
        <v>0.4</v>
      </c>
      <c r="BQ79" s="1" t="n">
        <v>0</v>
      </c>
      <c r="BR79" s="1" t="n">
        <v>0.5</v>
      </c>
      <c r="BS79" s="1" t="n">
        <v>0.3</v>
      </c>
      <c r="BT79" s="1" t="n">
        <v>0.3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0.6</v>
      </c>
      <c r="CA79" s="1" t="n">
        <v>0</v>
      </c>
      <c r="CB79" s="1" t="n">
        <v>0</v>
      </c>
      <c r="CC79" s="1" t="n">
        <v>0</v>
      </c>
      <c r="CD79" s="1" t="n">
        <v>0.24</v>
      </c>
      <c r="CE79" s="1" t="n">
        <v>0.23</v>
      </c>
    </row>
    <row r="80" customFormat="false" ht="16.5" hidden="false" customHeight="true" outlineLevel="0" collapsed="false">
      <c r="A80" s="24" t="s">
        <v>131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3.2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</row>
    <row r="81" customFormat="false" ht="16.5" hidden="false" customHeight="true" outlineLevel="0" collapsed="false">
      <c r="A81" s="24" t="s">
        <v>132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2.2</v>
      </c>
      <c r="K81" s="1" t="n">
        <v>2.2</v>
      </c>
      <c r="L81" s="1" t="n">
        <v>2.2</v>
      </c>
      <c r="M81" s="1" t="n">
        <v>2.2</v>
      </c>
      <c r="N81" s="1" t="n">
        <v>2.2</v>
      </c>
      <c r="O81" s="1" t="n">
        <v>2.2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</row>
    <row r="82" customFormat="false" ht="16.5" hidden="false" customHeight="true" outlineLevel="0" collapsed="false">
      <c r="A82" s="24" t="s">
        <v>133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4.26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13.3</v>
      </c>
      <c r="CB82" s="1" t="n">
        <v>0</v>
      </c>
      <c r="CC82" s="1" t="n">
        <v>0</v>
      </c>
    </row>
    <row r="83" customFormat="false" ht="16.5" hidden="false" customHeight="true" outlineLevel="0" collapsed="false">
      <c r="A83" s="24" t="s">
        <v>223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7.9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2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86" min="7" style="1" width="11"/>
    <col collapsed="false" customWidth="true" hidden="false" outlineLevel="0" max="87" min="87" style="1" width="14"/>
  </cols>
  <sheetData>
    <row r="1" customFormat="false" ht="34.5" hidden="false" customHeight="true" outlineLevel="0" collapsed="false">
      <c r="A1" s="9" t="s">
        <v>224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</row>
    <row r="2" customFormat="false" ht="18" hidden="false" customHeight="true" outlineLevel="0" collapsed="false">
      <c r="A2" s="28" t="s">
        <v>225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</row>
    <row r="3" customFormat="false" ht="30" hidden="false" customHeight="true" outlineLevel="0" collapsed="false">
      <c r="A3" s="29" t="s">
        <v>46</v>
      </c>
      <c r="B3" s="30" t="s">
        <v>226</v>
      </c>
      <c r="C3" s="30" t="s">
        <v>227</v>
      </c>
      <c r="D3" s="30" t="s">
        <v>228</v>
      </c>
      <c r="E3" s="29" t="s">
        <v>229</v>
      </c>
      <c r="F3" s="30" t="s">
        <v>230</v>
      </c>
      <c r="G3" s="31" t="s">
        <v>231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2" t="s">
        <v>232</v>
      </c>
      <c r="CL3" s="1" t="s">
        <v>233</v>
      </c>
    </row>
    <row r="4" customFormat="false" ht="30" hidden="false" customHeight="true" outlineLevel="0" collapsed="false">
      <c r="A4" s="29"/>
      <c r="B4" s="29"/>
      <c r="C4" s="29"/>
      <c r="D4" s="29"/>
      <c r="E4" s="29"/>
      <c r="F4" s="29"/>
      <c r="G4" s="33" t="s">
        <v>53</v>
      </c>
      <c r="H4" s="33" t="s">
        <v>55</v>
      </c>
      <c r="I4" s="33" t="s">
        <v>56</v>
      </c>
      <c r="J4" s="33" t="s">
        <v>57</v>
      </c>
      <c r="K4" s="33" t="s">
        <v>58</v>
      </c>
      <c r="L4" s="33" t="s">
        <v>59</v>
      </c>
      <c r="M4" s="33" t="s">
        <v>60</v>
      </c>
      <c r="N4" s="33" t="s">
        <v>61</v>
      </c>
      <c r="O4" s="33" t="s">
        <v>62</v>
      </c>
      <c r="P4" s="33" t="s">
        <v>63</v>
      </c>
      <c r="Q4" s="33" t="s">
        <v>64</v>
      </c>
      <c r="R4" s="33" t="s">
        <v>65</v>
      </c>
      <c r="S4" s="33" t="s">
        <v>66</v>
      </c>
      <c r="T4" s="33" t="s">
        <v>67</v>
      </c>
      <c r="U4" s="33" t="s">
        <v>68</v>
      </c>
      <c r="V4" s="33" t="s">
        <v>69</v>
      </c>
      <c r="W4" s="33" t="s">
        <v>70</v>
      </c>
      <c r="X4" s="33" t="s">
        <v>71</v>
      </c>
      <c r="Y4" s="33" t="s">
        <v>72</v>
      </c>
      <c r="Z4" s="33" t="s">
        <v>73</v>
      </c>
      <c r="AA4" s="33" t="s">
        <v>74</v>
      </c>
      <c r="AB4" s="33" t="s">
        <v>75</v>
      </c>
      <c r="AC4" s="33" t="s">
        <v>76</v>
      </c>
      <c r="AD4" s="33" t="s">
        <v>77</v>
      </c>
      <c r="AE4" s="33" t="s">
        <v>78</v>
      </c>
      <c r="AF4" s="33" t="s">
        <v>79</v>
      </c>
      <c r="AG4" s="33" t="s">
        <v>80</v>
      </c>
      <c r="AH4" s="33" t="s">
        <v>81</v>
      </c>
      <c r="AI4" s="33" t="s">
        <v>82</v>
      </c>
      <c r="AJ4" s="33" t="s">
        <v>83</v>
      </c>
      <c r="AK4" s="33" t="s">
        <v>84</v>
      </c>
      <c r="AL4" s="33" t="s">
        <v>85</v>
      </c>
      <c r="AM4" s="33" t="s">
        <v>86</v>
      </c>
      <c r="AN4" s="33" t="s">
        <v>87</v>
      </c>
      <c r="AO4" s="33" t="s">
        <v>88</v>
      </c>
      <c r="AP4" s="33" t="s">
        <v>89</v>
      </c>
      <c r="AQ4" s="33" t="s">
        <v>90</v>
      </c>
      <c r="AR4" s="33" t="s">
        <v>91</v>
      </c>
      <c r="AS4" s="33" t="s">
        <v>92</v>
      </c>
      <c r="AT4" s="33" t="s">
        <v>93</v>
      </c>
      <c r="AU4" s="33" t="s">
        <v>94</v>
      </c>
      <c r="AV4" s="33" t="s">
        <v>95</v>
      </c>
      <c r="AW4" s="33" t="s">
        <v>96</v>
      </c>
      <c r="AX4" s="33" t="s">
        <v>97</v>
      </c>
      <c r="AY4" s="33" t="s">
        <v>98</v>
      </c>
      <c r="AZ4" s="33" t="s">
        <v>99</v>
      </c>
      <c r="BA4" s="33" t="s">
        <v>100</v>
      </c>
      <c r="BB4" s="33" t="s">
        <v>101</v>
      </c>
      <c r="BC4" s="33" t="s">
        <v>102</v>
      </c>
      <c r="BD4" s="33" t="s">
        <v>103</v>
      </c>
      <c r="BE4" s="33" t="s">
        <v>104</v>
      </c>
      <c r="BF4" s="33" t="s">
        <v>105</v>
      </c>
      <c r="BG4" s="33" t="s">
        <v>106</v>
      </c>
      <c r="BH4" s="33" t="s">
        <v>107</v>
      </c>
      <c r="BI4" s="33" t="s">
        <v>108</v>
      </c>
      <c r="BJ4" s="33" t="s">
        <v>109</v>
      </c>
      <c r="BK4" s="33" t="s">
        <v>110</v>
      </c>
      <c r="BL4" s="33" t="s">
        <v>111</v>
      </c>
      <c r="BM4" s="33" t="s">
        <v>112</v>
      </c>
      <c r="BN4" s="33" t="s">
        <v>113</v>
      </c>
      <c r="BO4" s="33" t="s">
        <v>114</v>
      </c>
      <c r="BP4" s="33" t="s">
        <v>115</v>
      </c>
      <c r="BQ4" s="33" t="s">
        <v>116</v>
      </c>
      <c r="BR4" s="33" t="s">
        <v>117</v>
      </c>
      <c r="BS4" s="33" t="s">
        <v>118</v>
      </c>
      <c r="BT4" s="33" t="s">
        <v>119</v>
      </c>
      <c r="BU4" s="33" t="s">
        <v>120</v>
      </c>
      <c r="BV4" s="33" t="s">
        <v>121</v>
      </c>
      <c r="BW4" s="33" t="s">
        <v>122</v>
      </c>
      <c r="BX4" s="33" t="s">
        <v>123</v>
      </c>
      <c r="BY4" s="33" t="s">
        <v>124</v>
      </c>
      <c r="BZ4" s="33" t="s">
        <v>125</v>
      </c>
      <c r="CA4" s="33" t="s">
        <v>126</v>
      </c>
      <c r="CB4" s="33" t="s">
        <v>127</v>
      </c>
      <c r="CC4" s="33" t="s">
        <v>128</v>
      </c>
      <c r="CD4" s="33" t="s">
        <v>129</v>
      </c>
      <c r="CE4" s="33" t="s">
        <v>130</v>
      </c>
      <c r="CF4" s="33" t="s">
        <v>131</v>
      </c>
      <c r="CG4" s="33" t="s">
        <v>132</v>
      </c>
      <c r="CH4" s="33" t="s">
        <v>133</v>
      </c>
      <c r="CI4" s="33" t="s">
        <v>134</v>
      </c>
      <c r="CJ4" s="33"/>
      <c r="CK4" s="33"/>
      <c r="CL4" s="34" t="s">
        <v>234</v>
      </c>
    </row>
    <row r="5" customFormat="false" ht="18" hidden="false" customHeight="true" outlineLevel="0" collapsed="false">
      <c r="A5" s="35" t="n">
        <v>1</v>
      </c>
      <c r="B5" s="36" t="n">
        <v>45940</v>
      </c>
      <c r="C5" s="37" t="s">
        <v>204</v>
      </c>
      <c r="D5" s="38" t="n">
        <v>210</v>
      </c>
      <c r="E5" s="13"/>
      <c r="F5" s="13"/>
      <c r="G5" s="39" t="n">
        <f aca="false">IFERROR(IF($C5="","",IF($D5="","",IFERROR(ROUND($D5*INDEX('🔖 배합비 참조'!$B$2:$CE$83,MATCH("간장",'🔖 배합비 참조'!$A$2:$A$83,0),MATCH($C5,'🔖 배합비 참조'!$B$1:$CE$1,0))/100,0),""))),"")</f>
        <v>0</v>
      </c>
      <c r="H5" s="39" t="n">
        <f aca="false">IFERROR(IF($C5="","",IF($D5="","",IFERROR(ROUND($D5*INDEX('🔖 배합비 참조'!$B$2:$CE$83,MATCH("강낭콩((울타리콩))",'🔖 배합비 참조'!$A$2:$A$83,0),MATCH($C5,'🔖 배합비 참조'!$B$1:$CE$1,0))/100,0),""))),"")</f>
        <v>0</v>
      </c>
      <c r="I5" s="39" t="n">
        <f aca="false">IFERROR(IF($C5="","",IF($D5="","",IFERROR(ROUND($D5*INDEX('🔖 배합비 참조'!$B$2:$CE$83,MATCH("건조딸기다이스(외국산)",'🔖 배합비 참조'!$A$2:$A$83,0),MATCH($C5,'🔖 배합비 참조'!$B$1:$CE$1,0))/100,0),""))),"")</f>
        <v>0</v>
      </c>
      <c r="J5" s="39" t="n">
        <f aca="false">IFERROR(IF($C5="","",IF($D5="","",IFERROR(ROUND($D5*INDEX('🔖 배합비 참조'!$B$2:$CE$83,MATCH("건포도",'🔖 배합비 참조'!$A$2:$A$83,0),MATCH($C5,'🔖 배합비 참조'!$B$1:$CE$1,0))/100,0),""))),"")</f>
        <v>0</v>
      </c>
      <c r="K5" s="39" t="n">
        <f aca="false">IFERROR(IF($C5="","",IF($D5="","",IFERROR(ROUND($D5*INDEX('🔖 배합비 참조'!$B$2:$CE$83,MATCH("건호박채(중국산)",'🔖 배합비 참조'!$A$2:$A$83,0),MATCH($C5,'🔖 배합비 참조'!$B$1:$CE$1,0))/100,0),""))),"")</f>
        <v>0</v>
      </c>
      <c r="L5" s="39" t="n">
        <f aca="false">IFERROR(IF($C5="","",IF($D5="","",IFERROR(ROUND($D5*INDEX('🔖 배합비 참조'!$B$2:$CE$83,MATCH("검정깨(흑임자)",'🔖 배합비 참조'!$A$2:$A$83,0),MATCH($C5,'🔖 배합비 참조'!$B$1:$CE$1,0))/100,0),""))),"")</f>
        <v>0</v>
      </c>
      <c r="M5" s="39" t="n">
        <f aca="false">IFERROR(IF($C5="","",IF($D5="","",IFERROR(ROUND($D5*INDEX('🔖 배합비 참조'!$B$2:$CE$83,MATCH("검정콩",'🔖 배합비 참조'!$A$2:$A$83,0),MATCH($C5,'🔖 배합비 참조'!$B$1:$CE$1,0))/100,0),""))),"")</f>
        <v>0</v>
      </c>
      <c r="N5" s="39" t="n">
        <f aca="false">IFERROR(IF($C5="","",IF($D5="","",IFERROR(ROUND($D5*INDEX('🔖 배합비 참조'!$B$2:$CE$83,MATCH("계피가루",'🔖 배합비 참조'!$A$2:$A$83,0),MATCH($C5,'🔖 배합비 참조'!$B$1:$CE$1,0))/100,0),""))),"")</f>
        <v>0</v>
      </c>
      <c r="O5" s="39" t="n">
        <f aca="false">IFERROR(IF($C5="","",IF($D5="","",IFERROR(ROUND($D5*INDEX('🔖 배합비 참조'!$B$2:$CE$83,MATCH("고구마가루",'🔖 배합비 참조'!$A$2:$A$83,0),MATCH($C5,'🔖 배합비 참조'!$B$1:$CE$1,0))/100,0),""))),"")</f>
        <v>0</v>
      </c>
      <c r="P5" s="39" t="n">
        <f aca="false">IFERROR(IF($C5="","",IF($D5="","",IFERROR(ROUND($D5*INDEX('🔖 배합비 참조'!$B$2:$CE$83,MATCH("고구마무스",'🔖 배합비 참조'!$A$2:$A$83,0),MATCH($C5,'🔖 배합비 참조'!$B$1:$CE$1,0))/100,0),""))),"")</f>
        <v>0</v>
      </c>
      <c r="Q5" s="39" t="n">
        <f aca="false">IFERROR(IF($C5="","",IF($D5="","",IFERROR(ROUND($D5*INDEX('🔖 배합비 참조'!$B$2:$CE$83,MATCH("고려엉겅퀴((곤드레)국내산)",'🔖 배합비 참조'!$A$2:$A$83,0),MATCH($C5,'🔖 배합비 참조'!$B$1:$CE$1,0))/100,0),""))),"")</f>
        <v>0</v>
      </c>
      <c r="R5" s="39" t="n">
        <f aca="false">IFERROR(IF($C5="","",IF($D5="","",IFERROR(ROUND($D5*INDEX('🔖 배합비 참조'!$B$2:$CE$83,MATCH("기타가공품(복분자가루)",'🔖 배합비 참조'!$A$2:$A$83,0),MATCH($C5,'🔖 배합비 참조'!$B$1:$CE$1,0))/100,0),""))),"")</f>
        <v>0</v>
      </c>
      <c r="S5" s="39" t="n">
        <f aca="false">IFERROR(IF($C5="","",IF($D5="","",IFERROR(ROUND($D5*INDEX('🔖 배합비 참조'!$B$2:$CE$83,MATCH("기타가공품(슈퍼소프트엠)",'🔖 배합비 참조'!$A$2:$A$83,0),MATCH($C5,'🔖 배합비 참조'!$B$1:$CE$1,0))/100,0),""))),"")</f>
        <v>0</v>
      </c>
      <c r="T5" s="39" t="n">
        <f aca="false">IFERROR(IF($C5="","",IF($D5="","",IFERROR(ROUND($D5*INDEX('🔖 배합비 참조'!$B$2:$CE$83,MATCH("기타가공품(파인소프트 E-티)",'🔖 배합비 참조'!$A$2:$A$83,0),MATCH($C5,'🔖 배합비 참조'!$B$1:$CE$1,0))/100,0),""))),"")</f>
        <v>0</v>
      </c>
      <c r="U5" s="39" t="n">
        <f aca="false">IFERROR(IF($C5="","",IF($D5="","",IFERROR(ROUND($D5*INDEX('🔖 배합비 참조'!$B$2:$CE$83,MATCH("기타가공품(프리미엄카스테라가루)",'🔖 배합비 참조'!$A$2:$A$83,0),MATCH($C5,'🔖 배합비 참조'!$B$1:$CE$1,0))/100,0),""))),"")</f>
        <v>0</v>
      </c>
      <c r="V5" s="39" t="n">
        <f aca="false">IFERROR(IF($C5="","",IF($D5="","",IFERROR(ROUND($D5*INDEX('🔖 배합비 참조'!$B$2:$CE$83,MATCH("기타가공품(흑임자가루)",'🔖 배합비 참조'!$A$2:$A$83,0),MATCH($C5,'🔖 배합비 참조'!$B$1:$CE$1,0))/100,0),""))),"")</f>
        <v>0</v>
      </c>
      <c r="W5" s="39" t="n">
        <f aca="false">IFERROR(IF($C5="","",IF($D5="","",IFERROR(ROUND($D5*INDEX('🔖 배합비 참조'!$B$2:$CE$83,MATCH("기타설탕(흑설탕)",'🔖 배합비 참조'!$A$2:$A$83,0),MATCH($C5,'🔖 배합비 참조'!$B$1:$CE$1,0))/100,0),""))),"")</f>
        <v>0</v>
      </c>
      <c r="X5" s="39" t="n">
        <f aca="false">IFERROR(IF($C5="","",IF($D5="","",IFERROR(ROUND($D5*INDEX('🔖 배합비 참조'!$B$2:$CE$83,MATCH("냉동쑥(국내산)",'🔖 배합비 참조'!$A$2:$A$83,0),MATCH($C5,'🔖 배합비 참조'!$B$1:$CE$1,0))/100,0),""))),"")</f>
        <v>7</v>
      </c>
      <c r="Y5" s="39" t="n">
        <f aca="false">IFERROR(IF($C5="","",IF($D5="","",IFERROR(ROUND($D5*INDEX('🔖 배합비 참조'!$B$2:$CE$83,MATCH("냉동증숙고구마(중국산)",'🔖 배합비 참조'!$A$2:$A$83,0),MATCH($C5,'🔖 배합비 참조'!$B$1:$CE$1,0))/100,0),""))),"")</f>
        <v>0</v>
      </c>
      <c r="Z5" s="39" t="n">
        <f aca="false">IFERROR(IF($C5="","",IF($D5="","",IFERROR(ROUND($D5*INDEX('🔖 배합비 참조'!$B$2:$CE$83,MATCH("녹차가루",'🔖 배합비 참조'!$A$2:$A$83,0),MATCH($C5,'🔖 배합비 참조'!$B$1:$CE$1,0))/100,0),""))),"")</f>
        <v>0</v>
      </c>
      <c r="AA5" s="39" t="n">
        <f aca="false">IFERROR(IF($C5="","",IF($D5="","",IFERROR(ROUND($D5*INDEX('🔖 배합비 참조'!$B$2:$CE$83,MATCH("다크초콜릿 컴파운드칩",'🔖 배합비 참조'!$A$2:$A$83,0),MATCH($C5,'🔖 배합비 참조'!$B$1:$CE$1,0))/100,0),""))),"")</f>
        <v>0</v>
      </c>
      <c r="AB5" s="39" t="n">
        <f aca="false">IFERROR(IF($C5="","",IF($D5="","",IFERROR(ROUND($D5*INDEX('🔖 배합비 참조'!$B$2:$CE$83,MATCH("단호박분말(중국산)",'🔖 배합비 참조'!$A$2:$A$83,0),MATCH($C5,'🔖 배합비 참조'!$B$1:$CE$1,0))/100,0),""))),"")</f>
        <v>0</v>
      </c>
      <c r="AC5" s="39" t="n">
        <f aca="false">IFERROR(IF($C5="","",IF($D5="","",IFERROR(ROUND($D5*INDEX('🔖 배합비 참조'!$B$2:$CE$83,MATCH("당류가공품(단호박농축액)",'🔖 배합비 참조'!$A$2:$A$83,0),MATCH($C5,'🔖 배합비 참조'!$B$1:$CE$1,0))/100,0),""))),"")</f>
        <v>0</v>
      </c>
      <c r="AD5" s="39" t="n">
        <f aca="false">IFERROR(IF($C5="","",IF($D5="","",IFERROR(ROUND($D5*INDEX('🔖 배합비 참조'!$B$2:$CE$83,MATCH("당류가공품(알룰로스,에리스리톨,스테비올배당체혼합)",'🔖 배합비 참조'!$A$2:$A$83,0),MATCH($C5,'🔖 배합비 참조'!$B$1:$CE$1,0))/100,0),""))),"")</f>
        <v>0</v>
      </c>
      <c r="AE5" s="39" t="n">
        <f aca="false">IFERROR(IF($C5="","",IF($D5="","",IFERROR(ROUND($D5*INDEX('🔖 배합비 참조'!$B$2:$CE$83,MATCH("당류가공품(알룰로스제로파우더)",'🔖 배합비 참조'!$A$2:$A$83,0),MATCH($C5,'🔖 배합비 참조'!$B$1:$CE$1,0))/100,0),""))),"")</f>
        <v>0</v>
      </c>
      <c r="AF5" s="39" t="n">
        <f aca="false">IFERROR(IF($C5="","",IF($D5="","",IFERROR(ROUND($D5*INDEX('🔖 배합비 참조'!$B$2:$CE$83,MATCH("당절임(완두배기)",'🔖 배합비 참조'!$A$2:$A$83,0),MATCH($C5,'🔖 배합비 참조'!$B$1:$CE$1,0))/100,0),""))),"")</f>
        <v>0</v>
      </c>
      <c r="AG5" s="39" t="n">
        <f aca="false">IFERROR(IF($C5="","",IF($D5="","",IFERROR(ROUND($D5*INDEX('🔖 배합비 참조'!$B$2:$CE$83,MATCH("대추농축액",'🔖 배합비 참조'!$A$2:$A$83,0),MATCH($C5,'🔖 배합비 참조'!$B$1:$CE$1,0))/100,0),""))),"")</f>
        <v>0</v>
      </c>
      <c r="AH5" s="39" t="n">
        <f aca="false">IFERROR(IF($C5="","",IF($D5="","",IFERROR(ROUND($D5*INDEX('🔖 배합비 참조'!$B$2:$CE$83,MATCH("대추채(국내산)",'🔖 배합비 참조'!$A$2:$A$83,0),MATCH($C5,'🔖 배합비 참조'!$B$1:$CE$1,0))/100,0),""))),"")</f>
        <v>0</v>
      </c>
      <c r="AI5" s="39" t="n">
        <f aca="false">IFERROR(IF($C5="","",IF($D5="","",IFERROR(ROUND($D5*INDEX('🔖 배합비 참조'!$B$2:$CE$83,MATCH("동부(미얀마산)",'🔖 배합비 참조'!$A$2:$A$83,0),MATCH($C5,'🔖 배합비 참조'!$B$1:$CE$1,0))/100,0),""))),"")</f>
        <v>0</v>
      </c>
      <c r="AJ5" s="39" t="n">
        <f aca="false">IFERROR(IF($C5="","",IF($D5="","",IFERROR(ROUND($D5*INDEX('🔖 배합비 참조'!$B$2:$CE$83,MATCH("두류가공품(백옥앙금)",'🔖 배합비 참조'!$A$2:$A$83,0),MATCH($C5,'🔖 배합비 참조'!$B$1:$CE$1,0))/100,0),""))),"")</f>
        <v>0</v>
      </c>
      <c r="AK5" s="39" t="n">
        <f aca="false">IFERROR(IF($C5="","",IF($D5="","",IFERROR(ROUND($D5*INDEX('🔖 배합비 참조'!$B$2:$CE$83,MATCH("두류가공품(콩고물)",'🔖 배합비 참조'!$A$2:$A$83,0),MATCH($C5,'🔖 배합비 참조'!$B$1:$CE$1,0))/100,0),""))),"")</f>
        <v>6</v>
      </c>
      <c r="AL5" s="39" t="n">
        <f aca="false">IFERROR(IF($C5="","",IF($D5="","",IFERROR(ROUND($D5*INDEX('🔖 배합비 참조'!$B$2:$CE$83,MATCH("두류가공품(통팥고물)",'🔖 배합비 참조'!$A$2:$A$83,0),MATCH($C5,'🔖 배합비 참조'!$B$1:$CE$1,0))/100,0),""))),"")</f>
        <v>0</v>
      </c>
      <c r="AM5" s="39" t="n">
        <f aca="false">IFERROR(IF($C5="","",IF($D5="","",IFERROR(ROUND($D5*INDEX('🔖 배합비 참조'!$B$2:$CE$83,MATCH("딸기레진",'🔖 배합비 참조'!$A$2:$A$83,0),MATCH($C5,'🔖 배합비 참조'!$B$1:$CE$1,0))/100,0),""))),"")</f>
        <v>0</v>
      </c>
      <c r="AN5" s="39" t="n">
        <f aca="false">IFERROR(IF($C5="","",IF($D5="","",IFERROR(ROUND($D5*INDEX('🔖 배합비 참조'!$B$2:$CE$83,MATCH("딸기분말(스트로우베리에이드(분말))",'🔖 배합비 참조'!$A$2:$A$83,0),MATCH($C5,'🔖 배합비 참조'!$B$1:$CE$1,0))/100,0),""))),"")</f>
        <v>0</v>
      </c>
      <c r="AO5" s="39" t="n">
        <f aca="false">IFERROR(IF($C5="","",IF($D5="","",IFERROR(ROUND($D5*INDEX('🔖 배합비 참조'!$B$2:$CE$83,MATCH("마스카포네치즈",'🔖 배합비 참조'!$A$2:$A$83,0),MATCH($C5,'🔖 배합비 참조'!$B$1:$CE$1,0))/100,0),""))),"")</f>
        <v>0</v>
      </c>
      <c r="AP5" s="39" t="n">
        <f aca="false">IFERROR(IF($C5="","",IF($D5="","",IFERROR(ROUND($D5*INDEX('🔖 배합비 참조'!$B$2:$CE$83,MATCH("마카다미아분태(호주산)",'🔖 배합비 참조'!$A$2:$A$83,0),MATCH($C5,'🔖 배합비 참조'!$B$1:$CE$1,0))/100,0),""))),"")</f>
        <v>0</v>
      </c>
      <c r="AQ5" s="39" t="n">
        <f aca="false">IFERROR(IF($C5="","",IF($D5="","",IFERROR(ROUND($D5*INDEX('🔖 배합비 참조'!$B$2:$CE$83,MATCH("멥쌀(국내산)",'🔖 배합비 참조'!$A$2:$A$83,0),MATCH($C5,'🔖 배합비 참조'!$B$1:$CE$1,0))/100,0),""))),"")</f>
        <v>0</v>
      </c>
      <c r="AR5" s="39" t="n">
        <f aca="false">IFERROR(IF($C5="","",IF($D5="","",IFERROR(ROUND($D5*INDEX('🔖 배합비 참조'!$B$2:$CE$83,MATCH("모시잎(국내산)",'🔖 배합비 참조'!$A$2:$A$83,0),MATCH($C5,'🔖 배합비 참조'!$B$1:$CE$1,0))/100,0),""))),"")</f>
        <v>0</v>
      </c>
      <c r="AS5" s="39" t="n">
        <f aca="false">IFERROR(IF($C5="","",IF($D5="","",IFERROR(ROUND($D5*INDEX('🔖 배합비 참조'!$B$2:$CE$83,MATCH("물엿(저당물엿)",'🔖 배합비 참조'!$A$2:$A$83,0),MATCH($C5,'🔖 배합비 참조'!$B$1:$CE$1,0))/100,0),""))),"")</f>
        <v>5</v>
      </c>
      <c r="AT5" s="39" t="n">
        <f aca="false">IFERROR(IF($C5="","",IF($D5="","",IFERROR(ROUND($D5*INDEX('🔖 배합비 참조'!$B$2:$CE$83,MATCH("밤다이스",'🔖 배합비 참조'!$A$2:$A$83,0),MATCH($C5,'🔖 배합비 참조'!$B$1:$CE$1,0))/100,0),""))),"")</f>
        <v>0</v>
      </c>
      <c r="AU5" s="39" t="n">
        <f aca="false">IFERROR(IF($C5="","",IF($D5="","",IFERROR(ROUND($D5*INDEX('🔖 배합비 참조'!$B$2:$CE$83,MATCH("변성전분(타피오카전분)",'🔖 배합비 참조'!$A$2:$A$83,0),MATCH($C5,'🔖 배합비 참조'!$B$1:$CE$1,0))/100,0),""))),"")</f>
        <v>0</v>
      </c>
      <c r="AV5" s="39" t="n">
        <f aca="false">IFERROR(IF($C5="","",IF($D5="","",IFERROR(ROUND($D5*INDEX('🔖 배합비 참조'!$B$2:$CE$83,MATCH("복음땅콩분태",'🔖 배합비 참조'!$A$2:$A$83,0),MATCH($C5,'🔖 배합비 참조'!$B$1:$CE$1,0))/100,0),""))),"")</f>
        <v>0</v>
      </c>
      <c r="AW5" s="39" t="n">
        <f aca="false">IFERROR(IF($C5="","",IF($D5="","",IFERROR(ROUND($D5*INDEX('🔖 배합비 참조'!$B$2:$CE$83,MATCH("사양벌꿀(국내산)",'🔖 배합비 참조'!$A$2:$A$83,0),MATCH($C5,'🔖 배합비 참조'!$B$1:$CE$1,0))/100,0),""))),"")</f>
        <v>0</v>
      </c>
      <c r="AX5" s="39" t="n">
        <f aca="false">IFERROR(IF($C5="","",IF($D5="","",IFERROR(ROUND($D5*INDEX('🔖 배합비 참조'!$B$2:$CE$83,MATCH("생크림",'🔖 배합비 참조'!$A$2:$A$83,0),MATCH($C5,'🔖 배합비 참조'!$B$1:$CE$1,0))/100,0),""))),"")</f>
        <v>0</v>
      </c>
      <c r="AY5" s="39" t="n">
        <f aca="false">IFERROR(IF($C5="","",IF($D5="","",IFERROR(ROUND($D5*INDEX('🔖 배합비 참조'!$B$2:$CE$83,MATCH("서양호박(국내산,뉴질랜드산)",'🔖 배합비 참조'!$A$2:$A$83,0),MATCH($C5,'🔖 배합비 참조'!$B$1:$CE$1,0))/100,0),""))),"")</f>
        <v>0</v>
      </c>
      <c r="AZ5" s="39" t="n">
        <f aca="false">IFERROR(IF($C5="","",IF($D5="","",IFERROR(ROUND($D5*INDEX('🔖 배합비 참조'!$B$2:$CE$83,MATCH("설탕",'🔖 배합비 참조'!$A$2:$A$83,0),MATCH($C5,'🔖 배합비 참조'!$B$1:$CE$1,0))/100,0),""))),"")</f>
        <v>5</v>
      </c>
      <c r="BA5" s="39" t="n">
        <f aca="false">IFERROR(IF($C5="","",IF($D5="","",IFERROR(ROUND($D5*INDEX('🔖 배합비 참조'!$B$2:$CE$83,MATCH("스트로우베리 에이드 후레쉬",'🔖 배합비 참조'!$A$2:$A$83,0),MATCH($C5,'🔖 배합비 참조'!$B$1:$CE$1,0))/100,0),""))),"")</f>
        <v>0</v>
      </c>
      <c r="BB5" s="39" t="n">
        <f aca="false">IFERROR(IF($C5="","",IF($D5="","",IFERROR(ROUND($D5*INDEX('🔖 배합비 참조'!$B$2:$CE$83,MATCH("식물성기름혼합제제(분홍)",'🔖 배합비 참조'!$A$2:$A$83,0),MATCH($C5,'🔖 배합비 참조'!$B$1:$CE$1,0))/100,0),""))),"")</f>
        <v>0</v>
      </c>
      <c r="BC5" s="39" t="n">
        <f aca="false">IFERROR(IF($C5="","",IF($D5="","",IFERROR(ROUND($D5*INDEX('🔖 배합비 참조'!$B$2:$CE$83,MATCH("식물성기름혼합제제(초록)",'🔖 배합비 참조'!$A$2:$A$83,0),MATCH($C5,'🔖 배합비 참조'!$B$1:$CE$1,0))/100,0),""))),"")</f>
        <v>0</v>
      </c>
      <c r="BD5" s="39" t="n">
        <f aca="false">IFERROR(IF($C5="","",IF($D5="","",IFERROR(ROUND($D5*INDEX('🔖 배합비 참조'!$B$2:$CE$83,MATCH("식물성기름혼합제제(황색)",'🔖 배합비 참조'!$A$2:$A$83,0),MATCH($C5,'🔖 배합비 참조'!$B$1:$CE$1,0))/100,0),""))),"")</f>
        <v>0</v>
      </c>
      <c r="BE5" s="39" t="n">
        <f aca="false">IFERROR(IF($C5="","",IF($D5="","",IFERROR(ROUND($D5*INDEX('🔖 배합비 참조'!$B$2:$CE$83,MATCH("쑥가루(국내산)",'🔖 배합비 참조'!$A$2:$A$83,0),MATCH($C5,'🔖 배합비 참조'!$B$1:$CE$1,0))/100,0),""))),"")</f>
        <v>2</v>
      </c>
      <c r="BF5" s="39" t="n">
        <f aca="false">IFERROR(IF($C5="","",IF($D5="","",IFERROR(ROUND($D5*INDEX('🔖 배합비 참조'!$B$2:$CE$83,MATCH("아몬드슬라이스",'🔖 배합비 참조'!$A$2:$A$83,0),MATCH($C5,'🔖 배합비 참조'!$B$1:$CE$1,0))/100,0),""))),"")</f>
        <v>0</v>
      </c>
      <c r="BG5" s="39" t="n">
        <f aca="false">IFERROR(IF($C5="","",IF($D5="","",IFERROR(ROUND($D5*INDEX('🔖 배합비 참조'!$B$2:$CE$83,MATCH("알룰로오스(국내산)",'🔖 배합비 참조'!$A$2:$A$83,0),MATCH($C5,'🔖 배합비 참조'!$B$1:$CE$1,0))/100,0),""))),"")</f>
        <v>0</v>
      </c>
      <c r="BH5" s="39" t="n">
        <f aca="false">IFERROR(IF($C5="","",IF($D5="","",IFERROR(ROUND($D5*INDEX('🔖 배합비 참조'!$B$2:$CE$83,MATCH("연유",'🔖 배합비 참조'!$A$2:$A$83,0),MATCH($C5,'🔖 배합비 참조'!$B$1:$CE$1,0))/100,0),""))),"")</f>
        <v>0</v>
      </c>
      <c r="BI5" s="39" t="n">
        <f aca="false">IFERROR(IF($C5="","",IF($D5="","",IFERROR(ROUND($D5*INDEX('🔖 배합비 참조'!$B$2:$CE$83,MATCH("옥수수전분",'🔖 배합비 참조'!$A$2:$A$83,0),MATCH($C5,'🔖 배합비 참조'!$B$1:$CE$1,0))/100,0),""))),"")</f>
        <v>0</v>
      </c>
      <c r="BJ5" s="39" t="n">
        <f aca="false">IFERROR(IF($C5="","",IF($D5="","",IFERROR(ROUND($D5*INDEX('🔖 배합비 참조'!$B$2:$CE$83,MATCH("완두배기",'🔖 배합비 참조'!$A$2:$A$83,0),MATCH($C5,'🔖 배합비 참조'!$B$1:$CE$1,0))/100,0),""))),"")</f>
        <v>0</v>
      </c>
      <c r="BK5" s="39" t="n">
        <f aca="false">IFERROR(IF($C5="","",IF($D5="","",IFERROR(ROUND($D5*INDEX('🔖 배합비 참조'!$B$2:$CE$83,MATCH("우유(국내산)",'🔖 배합비 참조'!$A$2:$A$83,0),MATCH($C5,'🔖 배합비 참조'!$B$1:$CE$1,0))/100,0),""))),"")</f>
        <v>0</v>
      </c>
      <c r="BL5" s="39" t="n">
        <f aca="false">IFERROR(IF($C5="","",IF($D5="","",IFERROR(ROUND($D5*INDEX('🔖 배합비 참조'!$B$2:$CE$83,MATCH("자색고구마가루(중국산)",'🔖 배합비 참조'!$A$2:$A$83,0),MATCH($C5,'🔖 배합비 참조'!$B$1:$CE$1,0))/100,0),""))),"")</f>
        <v>0</v>
      </c>
      <c r="BM5" s="39" t="n">
        <f aca="false">IFERROR(IF($C5="","",IF($D5="","",IFERROR(ROUND($D5*INDEX('🔖 배합비 참조'!$B$2:$CE$83,MATCH("자연치즈(체다치즈)",'🔖 배합비 참조'!$A$2:$A$83,0),MATCH($C5,'🔖 배합비 참조'!$B$1:$CE$1,0))/100,0),""))),"")</f>
        <v>0</v>
      </c>
      <c r="BN5" s="39" t="n">
        <f aca="false">IFERROR(IF($C5="","",IF($D5="","",IFERROR(ROUND($D5*INDEX('🔖 배합비 참조'!$B$2:$CE$83,MATCH("정제수",'🔖 배합비 참조'!$A$2:$A$83,0),MATCH($C5,'🔖 배합비 참조'!$B$1:$CE$1,0))/100,0),""))),"")</f>
        <v>0</v>
      </c>
      <c r="BO5" s="39" t="n">
        <f aca="false">IFERROR(IF($C5="","",IF($D5="","",IFERROR(ROUND($D5*INDEX('🔖 배합비 참조'!$B$2:$CE$83,MATCH("젤라틴",'🔖 배합비 참조'!$A$2:$A$83,0),MATCH($C5,'🔖 배합비 참조'!$B$1:$CE$1,0))/100,0),""))),"")</f>
        <v>0</v>
      </c>
      <c r="BP5" s="39" t="n">
        <f aca="false">IFERROR(IF($C5="","",IF($D5="","",IFERROR(ROUND($D5*INDEX('🔖 배합비 참조'!$B$2:$CE$83,MATCH("조림류(백옥앙금)",'🔖 배합비 참조'!$A$2:$A$83,0),MATCH($C5,'🔖 배합비 참조'!$B$1:$CE$1,0))/100,0),""))),"")</f>
        <v>0</v>
      </c>
      <c r="BQ5" s="39" t="n">
        <f aca="false">IFERROR(IF($C5="","",IF($D5="","",IFERROR(ROUND($D5*INDEX('🔖 배합비 참조'!$B$2:$CE$83,MATCH("조림류(통팥앙금)",'🔖 배합비 참조'!$A$2:$A$83,0),MATCH($C5,'🔖 배합비 참조'!$B$1:$CE$1,0))/100,0),""))),"")</f>
        <v>87</v>
      </c>
      <c r="BR5" s="39" t="n">
        <f aca="false">IFERROR(IF($C5="","",IF($D5="","",IFERROR(ROUND($D5*INDEX('🔖 배합비 참조'!$B$2:$CE$83,MATCH("준초콜릿(외국산)",'🔖 배합비 참조'!$A$2:$A$83,0),MATCH($C5,'🔖 배합비 참조'!$B$1:$CE$1,0))/100,0),""))),"")</f>
        <v>0</v>
      </c>
      <c r="BS5" s="39" t="n">
        <f aca="false">IFERROR(IF($C5="","",IF($D5="","",IFERROR(ROUND($D5*INDEX('🔖 배합비 참조'!$B$2:$CE$83,MATCH("중력분",'🔖 배합비 참조'!$A$2:$A$83,0),MATCH($C5,'🔖 배합비 참조'!$B$1:$CE$1,0))/100,0),""))),"")</f>
        <v>2</v>
      </c>
      <c r="BT5" s="39" t="n">
        <f aca="false">IFERROR(IF($C5="","",IF($D5="","",IFERROR(ROUND($D5*INDEX('🔖 배합비 참조'!$B$2:$CE$83,MATCH("참깨(인도산,나이지리아산,탄자니아산,미얀마산)",'🔖 배합비 참조'!$A$2:$A$83,0),MATCH($C5,'🔖 배합비 참조'!$B$1:$CE$1,0))/100,0),""))),"")</f>
        <v>0</v>
      </c>
      <c r="BU5" s="39" t="n">
        <f aca="false">IFERROR(IF($C5="","",IF($D5="","",IFERROR(ROUND($D5*INDEX('🔖 배합비 참조'!$B$2:$CE$83,MATCH("찹쌀(국내산)",'🔖 배합비 참조'!$A$2:$A$83,0),MATCH($C5,'🔖 배합비 참조'!$B$1:$CE$1,0))/100,0),""))),"")</f>
        <v>93</v>
      </c>
      <c r="BV5" s="39" t="n">
        <f aca="false">IFERROR(IF($C5="","",IF($D5="","",IFERROR(ROUND($D5*INDEX('🔖 배합비 참조'!$B$2:$CE$83,MATCH("천일염",'🔖 배합비 참조'!$A$2:$A$83,0),MATCH($C5,'🔖 배합비 참조'!$B$1:$CE$1,0))/100,0),""))),"")</f>
        <v>2</v>
      </c>
      <c r="BW5" s="39" t="n">
        <f aca="false">IFERROR(IF($C5="","",IF($D5="","",IFERROR(ROUND($D5*INDEX('🔖 배합비 참조'!$B$2:$CE$83,MATCH("치즈 [크림치즈]",'🔖 배합비 참조'!$A$2:$A$83,0),MATCH($C5,'🔖 배합비 참조'!$B$1:$CE$1,0))/100,0),""))),"")</f>
        <v>0</v>
      </c>
      <c r="BX5" s="39" t="n">
        <f aca="false">IFERROR(IF($C5="","",IF($D5="","",IFERROR(ROUND($D5*INDEX('🔖 배합비 참조'!$B$2:$CE$83,MATCH("코코아가공품류(코코아분말)",'🔖 배합비 참조'!$A$2:$A$83,0),MATCH($C5,'🔖 배합비 참조'!$B$1:$CE$1,0))/100,0),""))),"")</f>
        <v>0</v>
      </c>
      <c r="BY5" s="39" t="n">
        <f aca="false">IFERROR(IF($C5="","",IF($D5="","",IFERROR(ROUND($D5*INDEX('🔖 배합비 참조'!$B$2:$CE$83,MATCH("콩기름(대두유)",'🔖 배합비 참조'!$A$2:$A$83,0),MATCH($C5,'🔖 배합비 참조'!$B$1:$CE$1,0))/100,0),""))),"")</f>
        <v>0</v>
      </c>
      <c r="BZ5" s="39" t="n">
        <f aca="false">IFERROR(IF($C5="","",IF($D5="","",IFERROR(ROUND($D5*INDEX('🔖 배합비 참조'!$B$2:$CE$83,MATCH("해바라기씨앗",'🔖 배합비 참조'!$A$2:$A$83,0),MATCH($C5,'🔖 배합비 참조'!$B$1:$CE$1,0))/100,0),""))),"")</f>
        <v>0</v>
      </c>
      <c r="CA5" s="39" t="n">
        <f aca="false">IFERROR(IF($C5="","",IF($D5="","",IFERROR(ROUND($D5*INDEX('🔖 배합비 참조'!$B$2:$CE$83,MATCH("현미(국내산)",'🔖 배합비 참조'!$A$2:$A$83,0),MATCH($C5,'🔖 배합비 참조'!$B$1:$CE$1,0))/100,0),""))),"")</f>
        <v>0</v>
      </c>
      <c r="CB5" s="39" t="n">
        <f aca="false">IFERROR(IF($C5="","",IF($D5="","",IFERROR(ROUND($D5*INDEX('🔖 배합비 참조'!$B$2:$CE$83,MATCH("현미멥쌀(국내산)",'🔖 배합비 참조'!$A$2:$A$83,0),MATCH($C5,'🔖 배합비 참조'!$B$1:$CE$1,0))/100,0),""))),"")</f>
        <v>0</v>
      </c>
      <c r="CC5" s="39" t="n">
        <f aca="false">IFERROR(IF($C5="","",IF($D5="","",IFERROR(ROUND($D5*INDEX('🔖 배합비 참조'!$B$2:$CE$83,MATCH("호두분태(미국산)",'🔖 배합비 참조'!$A$2:$A$83,0),MATCH($C5,'🔖 배합비 참조'!$B$1:$CE$1,0))/100,0),""))),"")</f>
        <v>0</v>
      </c>
      <c r="CD5" s="39" t="n">
        <f aca="false">IFERROR(IF($C5="","",IF($D5="","",IFERROR(ROUND($D5*INDEX('🔖 배합비 참조'!$B$2:$CE$83,MATCH("호박씨앗(외국산)",'🔖 배합비 참조'!$A$2:$A$83,0),MATCH($C5,'🔖 배합비 참조'!$B$1:$CE$1,0))/100,0),""))),"")</f>
        <v>0</v>
      </c>
      <c r="CE5" s="39" t="n">
        <f aca="false">IFERROR(IF($C5="","",IF($D5="","",IFERROR(ROUND($D5*INDEX('🔖 배합비 참조'!$B$2:$CE$83,MATCH("혼합제제(떡용에스텔)",'🔖 배합비 참조'!$A$2:$A$83,0),MATCH($C5,'🔖 배합비 참조'!$B$1:$CE$1,0))/100,0),""))),"")</f>
        <v>1</v>
      </c>
      <c r="CF5" s="39" t="n">
        <f aca="false">IFERROR(IF($C5="","",IF($D5="","",IFERROR(ROUND($D5*INDEX('🔖 배합비 참조'!$B$2:$CE$83,MATCH("혼합제제(스테비아)",'🔖 배합비 참조'!$A$2:$A$83,0),MATCH($C5,'🔖 배합비 참조'!$B$1:$CE$1,0))/100,0),""))),"")</f>
        <v>0</v>
      </c>
      <c r="CG5" s="39" t="n">
        <f aca="false">IFERROR(IF($C5="","",IF($D5="","",IFERROR(ROUND($D5*INDEX('🔖 배합비 참조'!$B$2:$CE$83,MATCH("화이트초콜릿",'🔖 배합비 참조'!$A$2:$A$83,0),MATCH($C5,'🔖 배합비 참조'!$B$1:$CE$1,0))/100,0),""))),"")</f>
        <v>0</v>
      </c>
      <c r="CH5" s="39" t="n">
        <f aca="false">IFERROR(IF($C5="","",IF($D5="","",IFERROR(ROUND($D5*INDEX('🔖 배합비 참조'!$B$2:$CE$83,MATCH("흑미찹쌀(국내산)",'🔖 배합비 참조'!$A$2:$A$83,0),MATCH($C5,'🔖 배합비 참조'!$B$1:$CE$1,0))/100,0),""))),"")</f>
        <v>0</v>
      </c>
      <c r="CI5" s="39" t="n">
        <f aca="false">IFERROR(IF($C5="","",IF($D5="","",IFERROR(ROUND($D5*INDEX('🔖 배합비 참조'!$B$2:$CE$83,MATCH("찰옥수수전분(미국산)",'🔖 배합비 참조'!$A$2:$A$83,0),MATCH($C5,'🔖 배합비 참조'!$B$1:$CE$1,0))/100,0),""))),"")</f>
        <v>0</v>
      </c>
      <c r="CJ5" s="40"/>
      <c r="CL5" s="1" t="s">
        <v>235</v>
      </c>
    </row>
    <row r="6" customFormat="false" ht="18" hidden="false" customHeight="true" outlineLevel="0" collapsed="false">
      <c r="A6" s="41" t="n">
        <v>2</v>
      </c>
      <c r="B6" s="36" t="n">
        <v>45940</v>
      </c>
      <c r="C6" s="37" t="s">
        <v>236</v>
      </c>
      <c r="D6" s="38" t="n">
        <v>140</v>
      </c>
      <c r="E6" s="17"/>
      <c r="F6" s="17"/>
      <c r="G6" s="42" t="n">
        <f aca="false">IFERROR(IF($C6="","",IF($D6="","",IFERROR(ROUND($D6*INDEX('🔖 배합비 참조'!$B$2:$CE$83,MATCH("간장",'🔖 배합비 참조'!$A$2:$A$83,0),MATCH($C6,'🔖 배합비 참조'!$B$1:$CE$1,0))/100,0),""))),"")</f>
        <v>0</v>
      </c>
      <c r="H6" s="42" t="n">
        <f aca="false">IFERROR(IF($C6="","",IF($D6="","",IFERROR(ROUND($D6*INDEX('🔖 배합비 참조'!$B$2:$CE$83,MATCH("강낭콩((울타리콩))",'🔖 배합비 참조'!$A$2:$A$83,0),MATCH($C6,'🔖 배합비 참조'!$B$1:$CE$1,0))/100,0),""))),"")</f>
        <v>0</v>
      </c>
      <c r="I6" s="42" t="n">
        <f aca="false">IFERROR(IF($C6="","",IF($D6="","",IFERROR(ROUND($D6*INDEX('🔖 배합비 참조'!$B$2:$CE$83,MATCH("건조딸기다이스(외국산)",'🔖 배합비 참조'!$A$2:$A$83,0),MATCH($C6,'🔖 배합비 참조'!$B$1:$CE$1,0))/100,0),""))),"")</f>
        <v>0</v>
      </c>
      <c r="J6" s="42" t="n">
        <f aca="false">IFERROR(IF($C6="","",IF($D6="","",IFERROR(ROUND($D6*INDEX('🔖 배합비 참조'!$B$2:$CE$83,MATCH("건포도",'🔖 배합비 참조'!$A$2:$A$83,0),MATCH($C6,'🔖 배합비 참조'!$B$1:$CE$1,0))/100,0),""))),"")</f>
        <v>0</v>
      </c>
      <c r="K6" s="42" t="n">
        <f aca="false">IFERROR(IF($C6="","",IF($D6="","",IFERROR(ROUND($D6*INDEX('🔖 배합비 참조'!$B$2:$CE$83,MATCH("건호박채(중국산)",'🔖 배합비 참조'!$A$2:$A$83,0),MATCH($C6,'🔖 배합비 참조'!$B$1:$CE$1,0))/100,0),""))),"")</f>
        <v>0</v>
      </c>
      <c r="L6" s="42" t="n">
        <f aca="false">IFERROR(IF($C6="","",IF($D6="","",IFERROR(ROUND($D6*INDEX('🔖 배합비 참조'!$B$2:$CE$83,MATCH("검정깨(흑임자)",'🔖 배합비 참조'!$A$2:$A$83,0),MATCH($C6,'🔖 배합비 참조'!$B$1:$CE$1,0))/100,0),""))),"")</f>
        <v>0</v>
      </c>
      <c r="M6" s="42" t="n">
        <f aca="false">IFERROR(IF($C6="","",IF($D6="","",IFERROR(ROUND($D6*INDEX('🔖 배합비 참조'!$B$2:$CE$83,MATCH("검정콩",'🔖 배합비 참조'!$A$2:$A$83,0),MATCH($C6,'🔖 배합비 참조'!$B$1:$CE$1,0))/100,0),""))),"")</f>
        <v>0</v>
      </c>
      <c r="N6" s="42" t="n">
        <f aca="false">IFERROR(IF($C6="","",IF($D6="","",IFERROR(ROUND($D6*INDEX('🔖 배합비 참조'!$B$2:$CE$83,MATCH("계피가루",'🔖 배합비 참조'!$A$2:$A$83,0),MATCH($C6,'🔖 배합비 참조'!$B$1:$CE$1,0))/100,0),""))),"")</f>
        <v>0</v>
      </c>
      <c r="O6" s="42" t="n">
        <f aca="false">IFERROR(IF($C6="","",IF($D6="","",IFERROR(ROUND($D6*INDEX('🔖 배합비 참조'!$B$2:$CE$83,MATCH("고구마가루",'🔖 배합비 참조'!$A$2:$A$83,0),MATCH($C6,'🔖 배합비 참조'!$B$1:$CE$1,0))/100,0),""))),"")</f>
        <v>0</v>
      </c>
      <c r="P6" s="42" t="n">
        <f aca="false">IFERROR(IF($C6="","",IF($D6="","",IFERROR(ROUND($D6*INDEX('🔖 배합비 참조'!$B$2:$CE$83,MATCH("고구마무스",'🔖 배합비 참조'!$A$2:$A$83,0),MATCH($C6,'🔖 배합비 참조'!$B$1:$CE$1,0))/100,0),""))),"")</f>
        <v>0</v>
      </c>
      <c r="Q6" s="42" t="n">
        <f aca="false">IFERROR(IF($C6="","",IF($D6="","",IFERROR(ROUND($D6*INDEX('🔖 배합비 참조'!$B$2:$CE$83,MATCH("고려엉겅퀴((곤드레)국내산)",'🔖 배합비 참조'!$A$2:$A$83,0),MATCH($C6,'🔖 배합비 참조'!$B$1:$CE$1,0))/100,0),""))),"")</f>
        <v>0</v>
      </c>
      <c r="R6" s="42" t="n">
        <f aca="false">IFERROR(IF($C6="","",IF($D6="","",IFERROR(ROUND($D6*INDEX('🔖 배합비 참조'!$B$2:$CE$83,MATCH("기타가공품(복분자가루)",'🔖 배합비 참조'!$A$2:$A$83,0),MATCH($C6,'🔖 배합비 참조'!$B$1:$CE$1,0))/100,0),""))),"")</f>
        <v>0</v>
      </c>
      <c r="S6" s="42" t="n">
        <f aca="false">IFERROR(IF($C6="","",IF($D6="","",IFERROR(ROUND($D6*INDEX('🔖 배합비 참조'!$B$2:$CE$83,MATCH("기타가공품(슈퍼소프트엠)",'🔖 배합비 참조'!$A$2:$A$83,0),MATCH($C6,'🔖 배합비 참조'!$B$1:$CE$1,0))/100,0),""))),"")</f>
        <v>0</v>
      </c>
      <c r="T6" s="42" t="n">
        <f aca="false">IFERROR(IF($C6="","",IF($D6="","",IFERROR(ROUND($D6*INDEX('🔖 배합비 참조'!$B$2:$CE$83,MATCH("기타가공품(파인소프트 E-티)",'🔖 배합비 참조'!$A$2:$A$83,0),MATCH($C6,'🔖 배합비 참조'!$B$1:$CE$1,0))/100,0),""))),"")</f>
        <v>0</v>
      </c>
      <c r="U6" s="42" t="n">
        <f aca="false">IFERROR(IF($C6="","",IF($D6="","",IFERROR(ROUND($D6*INDEX('🔖 배합비 참조'!$B$2:$CE$83,MATCH("기타가공품(프리미엄카스테라가루)",'🔖 배합비 참조'!$A$2:$A$83,0),MATCH($C6,'🔖 배합비 참조'!$B$1:$CE$1,0))/100,0),""))),"")</f>
        <v>0</v>
      </c>
      <c r="V6" s="42" t="n">
        <f aca="false">IFERROR(IF($C6="","",IF($D6="","",IFERROR(ROUND($D6*INDEX('🔖 배합비 참조'!$B$2:$CE$83,MATCH("기타가공품(흑임자가루)",'🔖 배합비 참조'!$A$2:$A$83,0),MATCH($C6,'🔖 배합비 참조'!$B$1:$CE$1,0))/100,0),""))),"")</f>
        <v>0</v>
      </c>
      <c r="W6" s="42" t="n">
        <f aca="false">IFERROR(IF($C6="","",IF($D6="","",IFERROR(ROUND($D6*INDEX('🔖 배합비 참조'!$B$2:$CE$83,MATCH("기타설탕(흑설탕)",'🔖 배합비 참조'!$A$2:$A$83,0),MATCH($C6,'🔖 배합비 참조'!$B$1:$CE$1,0))/100,0),""))),"")</f>
        <v>0</v>
      </c>
      <c r="X6" s="42" t="n">
        <f aca="false">IFERROR(IF($C6="","",IF($D6="","",IFERROR(ROUND($D6*INDEX('🔖 배합비 참조'!$B$2:$CE$83,MATCH("냉동쑥(국내산)",'🔖 배합비 참조'!$A$2:$A$83,0),MATCH($C6,'🔖 배합비 참조'!$B$1:$CE$1,0))/100,0),""))),"")</f>
        <v>3</v>
      </c>
      <c r="Y6" s="42" t="n">
        <f aca="false">IFERROR(IF($C6="","",IF($D6="","",IFERROR(ROUND($D6*INDEX('🔖 배합비 참조'!$B$2:$CE$83,MATCH("냉동증숙고구마(중국산)",'🔖 배합비 참조'!$A$2:$A$83,0),MATCH($C6,'🔖 배합비 참조'!$B$1:$CE$1,0))/100,0),""))),"")</f>
        <v>0</v>
      </c>
      <c r="Z6" s="42" t="n">
        <f aca="false">IFERROR(IF($C6="","",IF($D6="","",IFERROR(ROUND($D6*INDEX('🔖 배합비 참조'!$B$2:$CE$83,MATCH("녹차가루",'🔖 배합비 참조'!$A$2:$A$83,0),MATCH($C6,'🔖 배합비 참조'!$B$1:$CE$1,0))/100,0),""))),"")</f>
        <v>0</v>
      </c>
      <c r="AA6" s="42" t="n">
        <f aca="false">IFERROR(IF($C6="","",IF($D6="","",IFERROR(ROUND($D6*INDEX('🔖 배합비 참조'!$B$2:$CE$83,MATCH("다크초콜릿 컴파운드칩",'🔖 배합비 참조'!$A$2:$A$83,0),MATCH($C6,'🔖 배합비 참조'!$B$1:$CE$1,0))/100,0),""))),"")</f>
        <v>0</v>
      </c>
      <c r="AB6" s="42" t="n">
        <f aca="false">IFERROR(IF($C6="","",IF($D6="","",IFERROR(ROUND($D6*INDEX('🔖 배합비 참조'!$B$2:$CE$83,MATCH("단호박분말(중국산)",'🔖 배합비 참조'!$A$2:$A$83,0),MATCH($C6,'🔖 배합비 참조'!$B$1:$CE$1,0))/100,0),""))),"")</f>
        <v>0</v>
      </c>
      <c r="AC6" s="42" t="n">
        <f aca="false">IFERROR(IF($C6="","",IF($D6="","",IFERROR(ROUND($D6*INDEX('🔖 배합비 참조'!$B$2:$CE$83,MATCH("당류가공품(단호박농축액)",'🔖 배합비 참조'!$A$2:$A$83,0),MATCH($C6,'🔖 배합비 참조'!$B$1:$CE$1,0))/100,0),""))),"")</f>
        <v>0</v>
      </c>
      <c r="AD6" s="42" t="n">
        <f aca="false">IFERROR(IF($C6="","",IF($D6="","",IFERROR(ROUND($D6*INDEX('🔖 배합비 참조'!$B$2:$CE$83,MATCH("당류가공품(알룰로스,에리스리톨,스테비올배당체혼합)",'🔖 배합비 참조'!$A$2:$A$83,0),MATCH($C6,'🔖 배합비 참조'!$B$1:$CE$1,0))/100,0),""))),"")</f>
        <v>0</v>
      </c>
      <c r="AE6" s="42" t="n">
        <f aca="false">IFERROR(IF($C6="","",IF($D6="","",IFERROR(ROUND($D6*INDEX('🔖 배합비 참조'!$B$2:$CE$83,MATCH("당류가공품(알룰로스제로파우더)",'🔖 배합비 참조'!$A$2:$A$83,0),MATCH($C6,'🔖 배합비 참조'!$B$1:$CE$1,0))/100,0),""))),"")</f>
        <v>0</v>
      </c>
      <c r="AF6" s="42" t="n">
        <f aca="false">IFERROR(IF($C6="","",IF($D6="","",IFERROR(ROUND($D6*INDEX('🔖 배합비 참조'!$B$2:$CE$83,MATCH("당절임(완두배기)",'🔖 배합비 참조'!$A$2:$A$83,0),MATCH($C6,'🔖 배합비 참조'!$B$1:$CE$1,0))/100,0),""))),"")</f>
        <v>0</v>
      </c>
      <c r="AG6" s="42" t="n">
        <f aca="false">IFERROR(IF($C6="","",IF($D6="","",IFERROR(ROUND($D6*INDEX('🔖 배합비 참조'!$B$2:$CE$83,MATCH("대추농축액",'🔖 배합비 참조'!$A$2:$A$83,0),MATCH($C6,'🔖 배합비 참조'!$B$1:$CE$1,0))/100,0),""))),"")</f>
        <v>0</v>
      </c>
      <c r="AH6" s="42" t="n">
        <f aca="false">IFERROR(IF($C6="","",IF($D6="","",IFERROR(ROUND($D6*INDEX('🔖 배합비 참조'!$B$2:$CE$83,MATCH("대추채(국내산)",'🔖 배합비 참조'!$A$2:$A$83,0),MATCH($C6,'🔖 배합비 참조'!$B$1:$CE$1,0))/100,0),""))),"")</f>
        <v>0</v>
      </c>
      <c r="AI6" s="42" t="n">
        <f aca="false">IFERROR(IF($C6="","",IF($D6="","",IFERROR(ROUND($D6*INDEX('🔖 배합비 참조'!$B$2:$CE$83,MATCH("동부(미얀마산)",'🔖 배합비 참조'!$A$2:$A$83,0),MATCH($C6,'🔖 배합비 참조'!$B$1:$CE$1,0))/100,0),""))),"")</f>
        <v>17</v>
      </c>
      <c r="AJ6" s="42" t="n">
        <f aca="false">IFERROR(IF($C6="","",IF($D6="","",IFERROR(ROUND($D6*INDEX('🔖 배합비 참조'!$B$2:$CE$83,MATCH("두류가공품(백옥앙금)",'🔖 배합비 참조'!$A$2:$A$83,0),MATCH($C6,'🔖 배합비 참조'!$B$1:$CE$1,0))/100,0),""))),"")</f>
        <v>0</v>
      </c>
      <c r="AK6" s="42" t="n">
        <f aca="false">IFERROR(IF($C6="","",IF($D6="","",IFERROR(ROUND($D6*INDEX('🔖 배합비 참조'!$B$2:$CE$83,MATCH("두류가공품(콩고물)",'🔖 배합비 참조'!$A$2:$A$83,0),MATCH($C6,'🔖 배합비 참조'!$B$1:$CE$1,0))/100,0),""))),"")</f>
        <v>4</v>
      </c>
      <c r="AL6" s="42" t="n">
        <f aca="false">IFERROR(IF($C6="","",IF($D6="","",IFERROR(ROUND($D6*INDEX('🔖 배합비 참조'!$B$2:$CE$83,MATCH("두류가공품(통팥고물)",'🔖 배합비 참조'!$A$2:$A$83,0),MATCH($C6,'🔖 배합비 참조'!$B$1:$CE$1,0))/100,0),""))),"")</f>
        <v>0</v>
      </c>
      <c r="AM6" s="42" t="n">
        <f aca="false">IFERROR(IF($C6="","",IF($D6="","",IFERROR(ROUND($D6*INDEX('🔖 배합비 참조'!$B$2:$CE$83,MATCH("딸기레진",'🔖 배합비 참조'!$A$2:$A$83,0),MATCH($C6,'🔖 배합비 참조'!$B$1:$CE$1,0))/100,0),""))),"")</f>
        <v>0</v>
      </c>
      <c r="AN6" s="42" t="n">
        <f aca="false">IFERROR(IF($C6="","",IF($D6="","",IFERROR(ROUND($D6*INDEX('🔖 배합비 참조'!$B$2:$CE$83,MATCH("딸기분말(스트로우베리에이드(분말))",'🔖 배합비 참조'!$A$2:$A$83,0),MATCH($C6,'🔖 배합비 참조'!$B$1:$CE$1,0))/100,0),""))),"")</f>
        <v>0</v>
      </c>
      <c r="AO6" s="42" t="n">
        <f aca="false">IFERROR(IF($C6="","",IF($D6="","",IFERROR(ROUND($D6*INDEX('🔖 배합비 참조'!$B$2:$CE$83,MATCH("마스카포네치즈",'🔖 배합비 참조'!$A$2:$A$83,0),MATCH($C6,'🔖 배합비 참조'!$B$1:$CE$1,0))/100,0),""))),"")</f>
        <v>0</v>
      </c>
      <c r="AP6" s="42" t="n">
        <f aca="false">IFERROR(IF($C6="","",IF($D6="","",IFERROR(ROUND($D6*INDEX('🔖 배합비 참조'!$B$2:$CE$83,MATCH("마카다미아분태(호주산)",'🔖 배합비 참조'!$A$2:$A$83,0),MATCH($C6,'🔖 배합비 참조'!$B$1:$CE$1,0))/100,0),""))),"")</f>
        <v>0</v>
      </c>
      <c r="AQ6" s="42" t="n">
        <f aca="false">IFERROR(IF($C6="","",IF($D6="","",IFERROR(ROUND($D6*INDEX('🔖 배합비 참조'!$B$2:$CE$83,MATCH("멥쌀(국내산)",'🔖 배합비 참조'!$A$2:$A$83,0),MATCH($C6,'🔖 배합비 참조'!$B$1:$CE$1,0))/100,0),""))),"")</f>
        <v>0</v>
      </c>
      <c r="AR6" s="42" t="n">
        <f aca="false">IFERROR(IF($C6="","",IF($D6="","",IFERROR(ROUND($D6*INDEX('🔖 배합비 참조'!$B$2:$CE$83,MATCH("모시잎(국내산)",'🔖 배합비 참조'!$A$2:$A$83,0),MATCH($C6,'🔖 배합비 참조'!$B$1:$CE$1,0))/100,0),""))),"")</f>
        <v>0</v>
      </c>
      <c r="AS6" s="42" t="n">
        <f aca="false">IFERROR(IF($C6="","",IF($D6="","",IFERROR(ROUND($D6*INDEX('🔖 배합비 참조'!$B$2:$CE$83,MATCH("물엿(저당물엿)",'🔖 배합비 참조'!$A$2:$A$83,0),MATCH($C6,'🔖 배합비 참조'!$B$1:$CE$1,0))/100,0),""))),"")</f>
        <v>3</v>
      </c>
      <c r="AT6" s="42" t="n">
        <f aca="false">IFERROR(IF($C6="","",IF($D6="","",IFERROR(ROUND($D6*INDEX('🔖 배합비 참조'!$B$2:$CE$83,MATCH("밤다이스",'🔖 배합비 참조'!$A$2:$A$83,0),MATCH($C6,'🔖 배합비 참조'!$B$1:$CE$1,0))/100,0),""))),"")</f>
        <v>0</v>
      </c>
      <c r="AU6" s="42" t="n">
        <f aca="false">IFERROR(IF($C6="","",IF($D6="","",IFERROR(ROUND($D6*INDEX('🔖 배합비 참조'!$B$2:$CE$83,MATCH("변성전분(타피오카전분)",'🔖 배합비 참조'!$A$2:$A$83,0),MATCH($C6,'🔖 배합비 참조'!$B$1:$CE$1,0))/100,0),""))),"")</f>
        <v>0</v>
      </c>
      <c r="AV6" s="42" t="n">
        <f aca="false">IFERROR(IF($C6="","",IF($D6="","",IFERROR(ROUND($D6*INDEX('🔖 배합비 참조'!$B$2:$CE$83,MATCH("복음땅콩분태",'🔖 배합비 참조'!$A$2:$A$83,0),MATCH($C6,'🔖 배합비 참조'!$B$1:$CE$1,0))/100,0),""))),"")</f>
        <v>0</v>
      </c>
      <c r="AW6" s="42" t="n">
        <f aca="false">IFERROR(IF($C6="","",IF($D6="","",IFERROR(ROUND($D6*INDEX('🔖 배합비 참조'!$B$2:$CE$83,MATCH("사양벌꿀(국내산)",'🔖 배합비 참조'!$A$2:$A$83,0),MATCH($C6,'🔖 배합비 참조'!$B$1:$CE$1,0))/100,0),""))),"")</f>
        <v>0</v>
      </c>
      <c r="AX6" s="42" t="n">
        <f aca="false">IFERROR(IF($C6="","",IF($D6="","",IFERROR(ROUND($D6*INDEX('🔖 배합비 참조'!$B$2:$CE$83,MATCH("생크림",'🔖 배합비 참조'!$A$2:$A$83,0),MATCH($C6,'🔖 배합비 참조'!$B$1:$CE$1,0))/100,0),""))),"")</f>
        <v>0</v>
      </c>
      <c r="AY6" s="42" t="n">
        <f aca="false">IFERROR(IF($C6="","",IF($D6="","",IFERROR(ROUND($D6*INDEX('🔖 배합비 참조'!$B$2:$CE$83,MATCH("서양호박(국내산,뉴질랜드산)",'🔖 배합비 참조'!$A$2:$A$83,0),MATCH($C6,'🔖 배합비 참조'!$B$1:$CE$1,0))/100,0),""))),"")</f>
        <v>0</v>
      </c>
      <c r="AZ6" s="42" t="n">
        <f aca="false">IFERROR(IF($C6="","",IF($D6="","",IFERROR(ROUND($D6*INDEX('🔖 배합비 참조'!$B$2:$CE$83,MATCH("설탕",'🔖 배합비 참조'!$A$2:$A$83,0),MATCH($C6,'🔖 배합비 참조'!$B$1:$CE$1,0))/100,0),""))),"")</f>
        <v>3</v>
      </c>
      <c r="BA6" s="42" t="n">
        <f aca="false">IFERROR(IF($C6="","",IF($D6="","",IFERROR(ROUND($D6*INDEX('🔖 배합비 참조'!$B$2:$CE$83,MATCH("스트로우베리 에이드 후레쉬",'🔖 배합비 참조'!$A$2:$A$83,0),MATCH($C6,'🔖 배합비 참조'!$B$1:$CE$1,0))/100,0),""))),"")</f>
        <v>0</v>
      </c>
      <c r="BB6" s="42" t="n">
        <f aca="false">IFERROR(IF($C6="","",IF($D6="","",IFERROR(ROUND($D6*INDEX('🔖 배합비 참조'!$B$2:$CE$83,MATCH("식물성기름혼합제제(분홍)",'🔖 배합비 참조'!$A$2:$A$83,0),MATCH($C6,'🔖 배합비 참조'!$B$1:$CE$1,0))/100,0),""))),"")</f>
        <v>0</v>
      </c>
      <c r="BC6" s="42" t="n">
        <f aca="false">IFERROR(IF($C6="","",IF($D6="","",IFERROR(ROUND($D6*INDEX('🔖 배합비 참조'!$B$2:$CE$83,MATCH("식물성기름혼합제제(초록)",'🔖 배합비 참조'!$A$2:$A$83,0),MATCH($C6,'🔖 배합비 참조'!$B$1:$CE$1,0))/100,0),""))),"")</f>
        <v>0</v>
      </c>
      <c r="BD6" s="42" t="n">
        <f aca="false">IFERROR(IF($C6="","",IF($D6="","",IFERROR(ROUND($D6*INDEX('🔖 배합비 참조'!$B$2:$CE$83,MATCH("식물성기름혼합제제(황색)",'🔖 배합비 참조'!$A$2:$A$83,0),MATCH($C6,'🔖 배합비 참조'!$B$1:$CE$1,0))/100,0),""))),"")</f>
        <v>0</v>
      </c>
      <c r="BE6" s="42" t="n">
        <f aca="false">IFERROR(IF($C6="","",IF($D6="","",IFERROR(ROUND($D6*INDEX('🔖 배합비 참조'!$B$2:$CE$83,MATCH("쑥가루(국내산)",'🔖 배합비 참조'!$A$2:$A$83,0),MATCH($C6,'🔖 배합비 참조'!$B$1:$CE$1,0))/100,0),""))),"")</f>
        <v>1</v>
      </c>
      <c r="BF6" s="42" t="n">
        <f aca="false">IFERROR(IF($C6="","",IF($D6="","",IFERROR(ROUND($D6*INDEX('🔖 배합비 참조'!$B$2:$CE$83,MATCH("아몬드슬라이스",'🔖 배합비 참조'!$A$2:$A$83,0),MATCH($C6,'🔖 배합비 참조'!$B$1:$CE$1,0))/100,0),""))),"")</f>
        <v>0</v>
      </c>
      <c r="BG6" s="42" t="n">
        <f aca="false">IFERROR(IF($C6="","",IF($D6="","",IFERROR(ROUND($D6*INDEX('🔖 배합비 참조'!$B$2:$CE$83,MATCH("알룰로오스(국내산)",'🔖 배합비 참조'!$A$2:$A$83,0),MATCH($C6,'🔖 배합비 참조'!$B$1:$CE$1,0))/100,0),""))),"")</f>
        <v>0</v>
      </c>
      <c r="BH6" s="42" t="n">
        <f aca="false">IFERROR(IF($C6="","",IF($D6="","",IFERROR(ROUND($D6*INDEX('🔖 배합비 참조'!$B$2:$CE$83,MATCH("연유",'🔖 배합비 참조'!$A$2:$A$83,0),MATCH($C6,'🔖 배합비 참조'!$B$1:$CE$1,0))/100,0),""))),"")</f>
        <v>0</v>
      </c>
      <c r="BI6" s="42" t="n">
        <f aca="false">IFERROR(IF($C6="","",IF($D6="","",IFERROR(ROUND($D6*INDEX('🔖 배합비 참조'!$B$2:$CE$83,MATCH("옥수수전분",'🔖 배합비 참조'!$A$2:$A$83,0),MATCH($C6,'🔖 배합비 참조'!$B$1:$CE$1,0))/100,0),""))),"")</f>
        <v>0</v>
      </c>
      <c r="BJ6" s="42" t="n">
        <f aca="false">IFERROR(IF($C6="","",IF($D6="","",IFERROR(ROUND($D6*INDEX('🔖 배합비 참조'!$B$2:$CE$83,MATCH("완두배기",'🔖 배합비 참조'!$A$2:$A$83,0),MATCH($C6,'🔖 배합비 참조'!$B$1:$CE$1,0))/100,0),""))),"")</f>
        <v>0</v>
      </c>
      <c r="BK6" s="42" t="n">
        <f aca="false">IFERROR(IF($C6="","",IF($D6="","",IFERROR(ROUND($D6*INDEX('🔖 배합비 참조'!$B$2:$CE$83,MATCH("우유(국내산)",'🔖 배합비 참조'!$A$2:$A$83,0),MATCH($C6,'🔖 배합비 참조'!$B$1:$CE$1,0))/100,0),""))),"")</f>
        <v>0</v>
      </c>
      <c r="BL6" s="42" t="n">
        <f aca="false">IFERROR(IF($C6="","",IF($D6="","",IFERROR(ROUND($D6*INDEX('🔖 배합비 참조'!$B$2:$CE$83,MATCH("자색고구마가루(중국산)",'🔖 배합비 참조'!$A$2:$A$83,0),MATCH($C6,'🔖 배합비 참조'!$B$1:$CE$1,0))/100,0),""))),"")</f>
        <v>0</v>
      </c>
      <c r="BM6" s="42" t="n">
        <f aca="false">IFERROR(IF($C6="","",IF($D6="","",IFERROR(ROUND($D6*INDEX('🔖 배합비 참조'!$B$2:$CE$83,MATCH("자연치즈(체다치즈)",'🔖 배합비 참조'!$A$2:$A$83,0),MATCH($C6,'🔖 배합비 참조'!$B$1:$CE$1,0))/100,0),""))),"")</f>
        <v>0</v>
      </c>
      <c r="BN6" s="42" t="n">
        <f aca="false">IFERROR(IF($C6="","",IF($D6="","",IFERROR(ROUND($D6*INDEX('🔖 배합비 참조'!$B$2:$CE$83,MATCH("정제수",'🔖 배합비 참조'!$A$2:$A$83,0),MATCH($C6,'🔖 배합비 참조'!$B$1:$CE$1,0))/100,0),""))),"")</f>
        <v>16</v>
      </c>
      <c r="BO6" s="42" t="n">
        <f aca="false">IFERROR(IF($C6="","",IF($D6="","",IFERROR(ROUND($D6*INDEX('🔖 배합비 참조'!$B$2:$CE$83,MATCH("젤라틴",'🔖 배합비 참조'!$A$2:$A$83,0),MATCH($C6,'🔖 배합비 참조'!$B$1:$CE$1,0))/100,0),""))),"")</f>
        <v>0</v>
      </c>
      <c r="BP6" s="42" t="n">
        <f aca="false">IFERROR(IF($C6="","",IF($D6="","",IFERROR(ROUND($D6*INDEX('🔖 배합비 참조'!$B$2:$CE$83,MATCH("조림류(백옥앙금)",'🔖 배합비 참조'!$A$2:$A$83,0),MATCH($C6,'🔖 배합비 참조'!$B$1:$CE$1,0))/100,0),""))),"")</f>
        <v>35</v>
      </c>
      <c r="BQ6" s="42" t="n">
        <f aca="false">IFERROR(IF($C6="","",IF($D6="","",IFERROR(ROUND($D6*INDEX('🔖 배합비 참조'!$B$2:$CE$83,MATCH("조림류(통팥앙금)",'🔖 배합비 참조'!$A$2:$A$83,0),MATCH($C6,'🔖 배합비 참조'!$B$1:$CE$1,0))/100,0),""))),"")</f>
        <v>0</v>
      </c>
      <c r="BR6" s="42" t="n">
        <f aca="false">IFERROR(IF($C6="","",IF($D6="","",IFERROR(ROUND($D6*INDEX('🔖 배합비 참조'!$B$2:$CE$83,MATCH("준초콜릿(외국산)",'🔖 배합비 참조'!$A$2:$A$83,0),MATCH($C6,'🔖 배합비 참조'!$B$1:$CE$1,0))/100,0),""))),"")</f>
        <v>0</v>
      </c>
      <c r="BS6" s="42" t="n">
        <f aca="false">IFERROR(IF($C6="","",IF($D6="","",IFERROR(ROUND($D6*INDEX('🔖 배합비 참조'!$B$2:$CE$83,MATCH("중력분",'🔖 배합비 참조'!$A$2:$A$83,0),MATCH($C6,'🔖 배합비 참조'!$B$1:$CE$1,0))/100,0),""))),"")</f>
        <v>1</v>
      </c>
      <c r="BT6" s="42" t="n">
        <f aca="false">IFERROR(IF($C6="","",IF($D6="","",IFERROR(ROUND($D6*INDEX('🔖 배합비 참조'!$B$2:$CE$83,MATCH("참깨(인도산,나이지리아산,탄자니아산,미얀마산)",'🔖 배합비 참조'!$A$2:$A$83,0),MATCH($C6,'🔖 배합비 참조'!$B$1:$CE$1,0))/100,0),""))),"")</f>
        <v>0</v>
      </c>
      <c r="BU6" s="42" t="n">
        <f aca="false">IFERROR(IF($C6="","",IF($D6="","",IFERROR(ROUND($D6*INDEX('🔖 배합비 참조'!$B$2:$CE$83,MATCH("찹쌀(국내산)",'🔖 배합비 참조'!$A$2:$A$83,0),MATCH($C6,'🔖 배합비 참조'!$B$1:$CE$1,0))/100,0),""))),"")</f>
        <v>55</v>
      </c>
      <c r="BV6" s="42" t="n">
        <f aca="false">IFERROR(IF($C6="","",IF($D6="","",IFERROR(ROUND($D6*INDEX('🔖 배합비 참조'!$B$2:$CE$83,MATCH("천일염",'🔖 배합비 참조'!$A$2:$A$83,0),MATCH($C6,'🔖 배합비 참조'!$B$1:$CE$1,0))/100,0),""))),"")</f>
        <v>1</v>
      </c>
      <c r="BW6" s="42" t="n">
        <f aca="false">IFERROR(IF($C6="","",IF($D6="","",IFERROR(ROUND($D6*INDEX('🔖 배합비 참조'!$B$2:$CE$83,MATCH("치즈 [크림치즈]",'🔖 배합비 참조'!$A$2:$A$83,0),MATCH($C6,'🔖 배합비 참조'!$B$1:$CE$1,0))/100,0),""))),"")</f>
        <v>0</v>
      </c>
      <c r="BX6" s="42" t="n">
        <f aca="false">IFERROR(IF($C6="","",IF($D6="","",IFERROR(ROUND($D6*INDEX('🔖 배합비 참조'!$B$2:$CE$83,MATCH("코코아가공품류(코코아분말)",'🔖 배합비 참조'!$A$2:$A$83,0),MATCH($C6,'🔖 배합비 참조'!$B$1:$CE$1,0))/100,0),""))),"")</f>
        <v>0</v>
      </c>
      <c r="BY6" s="42" t="n">
        <f aca="false">IFERROR(IF($C6="","",IF($D6="","",IFERROR(ROUND($D6*INDEX('🔖 배합비 참조'!$B$2:$CE$83,MATCH("콩기름(대두유)",'🔖 배합비 참조'!$A$2:$A$83,0),MATCH($C6,'🔖 배합비 참조'!$B$1:$CE$1,0))/100,0),""))),"")</f>
        <v>0</v>
      </c>
      <c r="BZ6" s="42" t="n">
        <f aca="false">IFERROR(IF($C6="","",IF($D6="","",IFERROR(ROUND($D6*INDEX('🔖 배합비 참조'!$B$2:$CE$83,MATCH("해바라기씨앗",'🔖 배합비 참조'!$A$2:$A$83,0),MATCH($C6,'🔖 배합비 참조'!$B$1:$CE$1,0))/100,0),""))),"")</f>
        <v>0</v>
      </c>
      <c r="CA6" s="42" t="n">
        <f aca="false">IFERROR(IF($C6="","",IF($D6="","",IFERROR(ROUND($D6*INDEX('🔖 배합비 참조'!$B$2:$CE$83,MATCH("현미(국내산)",'🔖 배합비 참조'!$A$2:$A$83,0),MATCH($C6,'🔖 배합비 참조'!$B$1:$CE$1,0))/100,0),""))),"")</f>
        <v>0</v>
      </c>
      <c r="CB6" s="42" t="n">
        <f aca="false">IFERROR(IF($C6="","",IF($D6="","",IFERROR(ROUND($D6*INDEX('🔖 배합비 참조'!$B$2:$CE$83,MATCH("현미멥쌀(국내산)",'🔖 배합비 참조'!$A$2:$A$83,0),MATCH($C6,'🔖 배합비 참조'!$B$1:$CE$1,0))/100,0),""))),"")</f>
        <v>0</v>
      </c>
      <c r="CC6" s="42" t="n">
        <f aca="false">IFERROR(IF($C6="","",IF($D6="","",IFERROR(ROUND($D6*INDEX('🔖 배합비 참조'!$B$2:$CE$83,MATCH("호두분태(미국산)",'🔖 배합비 참조'!$A$2:$A$83,0),MATCH($C6,'🔖 배합비 참조'!$B$1:$CE$1,0))/100,0),""))),"")</f>
        <v>0</v>
      </c>
      <c r="CD6" s="42" t="n">
        <f aca="false">IFERROR(IF($C6="","",IF($D6="","",IFERROR(ROUND($D6*INDEX('🔖 배합비 참조'!$B$2:$CE$83,MATCH("호박씨앗(외국산)",'🔖 배합비 참조'!$A$2:$A$83,0),MATCH($C6,'🔖 배합비 참조'!$B$1:$CE$1,0))/100,0),""))),"")</f>
        <v>0</v>
      </c>
      <c r="CE6" s="42" t="n">
        <f aca="false">IFERROR(IF($C6="","",IF($D6="","",IFERROR(ROUND($D6*INDEX('🔖 배합비 참조'!$B$2:$CE$83,MATCH("혼합제제(떡용에스텔)",'🔖 배합비 참조'!$A$2:$A$83,0),MATCH($C6,'🔖 배합비 참조'!$B$1:$CE$1,0))/100,0),""))),"")</f>
        <v>0</v>
      </c>
      <c r="CF6" s="42" t="n">
        <f aca="false">IFERROR(IF($C6="","",IF($D6="","",IFERROR(ROUND($D6*INDEX('🔖 배합비 참조'!$B$2:$CE$83,MATCH("혼합제제(스테비아)",'🔖 배합비 참조'!$A$2:$A$83,0),MATCH($C6,'🔖 배합비 참조'!$B$1:$CE$1,0))/100,0),""))),"")</f>
        <v>0</v>
      </c>
      <c r="CG6" s="42" t="n">
        <f aca="false">IFERROR(IF($C6="","",IF($D6="","",IFERROR(ROUND($D6*INDEX('🔖 배합비 참조'!$B$2:$CE$83,MATCH("화이트초콜릿",'🔖 배합비 참조'!$A$2:$A$83,0),MATCH($C6,'🔖 배합비 참조'!$B$1:$CE$1,0))/100,0),""))),"")</f>
        <v>0</v>
      </c>
      <c r="CH6" s="42" t="n">
        <f aca="false">IFERROR(IF($C6="","",IF($D6="","",IFERROR(ROUND($D6*INDEX('🔖 배합비 참조'!$B$2:$CE$83,MATCH("흑미찹쌀(국내산)",'🔖 배합비 참조'!$A$2:$A$83,0),MATCH($C6,'🔖 배합비 참조'!$B$1:$CE$1,0))/100,0),""))),"")</f>
        <v>0</v>
      </c>
      <c r="CI6" s="42" t="n">
        <f aca="false">IFERROR(IF($C6="","",IF($D6="","",IFERROR(ROUND($D6*INDEX('🔖 배합비 참조'!$B$2:$CE$83,MATCH("찰옥수수전분(미국산)",'🔖 배합비 참조'!$A$2:$A$83,0),MATCH($C6,'🔖 배합비 참조'!$B$1:$CE$1,0))/100,0),""))),"")</f>
        <v>0</v>
      </c>
      <c r="CJ6" s="40"/>
      <c r="CL6" s="1" t="s">
        <v>235</v>
      </c>
    </row>
    <row r="7" customFormat="false" ht="18" hidden="false" customHeight="true" outlineLevel="0" collapsed="false">
      <c r="A7" s="35" t="n">
        <v>3</v>
      </c>
      <c r="B7" s="36" t="n">
        <v>45943</v>
      </c>
      <c r="C7" s="37" t="s">
        <v>204</v>
      </c>
      <c r="D7" s="38" t="n">
        <v>140</v>
      </c>
      <c r="E7" s="13"/>
      <c r="F7" s="13"/>
      <c r="G7" s="39" t="n">
        <f aca="false">IFERROR(IF($C7="","",IF($D7="","",IFERROR(ROUND($D7*INDEX('🔖 배합비 참조'!$B$2:$CE$83,MATCH("간장",'🔖 배합비 참조'!$A$2:$A$83,0),MATCH($C7,'🔖 배합비 참조'!$B$1:$CE$1,0))/100,0),""))),"")</f>
        <v>0</v>
      </c>
      <c r="H7" s="39" t="n">
        <f aca="false">IFERROR(IF($C7="","",IF($D7="","",IFERROR(ROUND($D7*INDEX('🔖 배합비 참조'!$B$2:$CE$83,MATCH("강낭콩((울타리콩))",'🔖 배합비 참조'!$A$2:$A$83,0),MATCH($C7,'🔖 배합비 참조'!$B$1:$CE$1,0))/100,0),""))),"")</f>
        <v>0</v>
      </c>
      <c r="I7" s="39" t="n">
        <f aca="false">IFERROR(IF($C7="","",IF($D7="","",IFERROR(ROUND($D7*INDEX('🔖 배합비 참조'!$B$2:$CE$83,MATCH("건조딸기다이스(외국산)",'🔖 배합비 참조'!$A$2:$A$83,0),MATCH($C7,'🔖 배합비 참조'!$B$1:$CE$1,0))/100,0),""))),"")</f>
        <v>0</v>
      </c>
      <c r="J7" s="39" t="n">
        <f aca="false">IFERROR(IF($C7="","",IF($D7="","",IFERROR(ROUND($D7*INDEX('🔖 배합비 참조'!$B$2:$CE$83,MATCH("건포도",'🔖 배합비 참조'!$A$2:$A$83,0),MATCH($C7,'🔖 배합비 참조'!$B$1:$CE$1,0))/100,0),""))),"")</f>
        <v>0</v>
      </c>
      <c r="K7" s="39" t="n">
        <f aca="false">IFERROR(IF($C7="","",IF($D7="","",IFERROR(ROUND($D7*INDEX('🔖 배합비 참조'!$B$2:$CE$83,MATCH("건호박채(중국산)",'🔖 배합비 참조'!$A$2:$A$83,0),MATCH($C7,'🔖 배합비 참조'!$B$1:$CE$1,0))/100,0),""))),"")</f>
        <v>0</v>
      </c>
      <c r="L7" s="39" t="n">
        <f aca="false">IFERROR(IF($C7="","",IF($D7="","",IFERROR(ROUND($D7*INDEX('🔖 배합비 참조'!$B$2:$CE$83,MATCH("검정깨(흑임자)",'🔖 배합비 참조'!$A$2:$A$83,0),MATCH($C7,'🔖 배합비 참조'!$B$1:$CE$1,0))/100,0),""))),"")</f>
        <v>0</v>
      </c>
      <c r="M7" s="39" t="n">
        <f aca="false">IFERROR(IF($C7="","",IF($D7="","",IFERROR(ROUND($D7*INDEX('🔖 배합비 참조'!$B$2:$CE$83,MATCH("검정콩",'🔖 배합비 참조'!$A$2:$A$83,0),MATCH($C7,'🔖 배합비 참조'!$B$1:$CE$1,0))/100,0),""))),"")</f>
        <v>0</v>
      </c>
      <c r="N7" s="39" t="n">
        <f aca="false">IFERROR(IF($C7="","",IF($D7="","",IFERROR(ROUND($D7*INDEX('🔖 배합비 참조'!$B$2:$CE$83,MATCH("계피가루",'🔖 배합비 참조'!$A$2:$A$83,0),MATCH($C7,'🔖 배합비 참조'!$B$1:$CE$1,0))/100,0),""))),"")</f>
        <v>0</v>
      </c>
      <c r="O7" s="39" t="n">
        <f aca="false">IFERROR(IF($C7="","",IF($D7="","",IFERROR(ROUND($D7*INDEX('🔖 배합비 참조'!$B$2:$CE$83,MATCH("고구마가루",'🔖 배합비 참조'!$A$2:$A$83,0),MATCH($C7,'🔖 배합비 참조'!$B$1:$CE$1,0))/100,0),""))),"")</f>
        <v>0</v>
      </c>
      <c r="P7" s="39" t="n">
        <f aca="false">IFERROR(IF($C7="","",IF($D7="","",IFERROR(ROUND($D7*INDEX('🔖 배합비 참조'!$B$2:$CE$83,MATCH("고구마무스",'🔖 배합비 참조'!$A$2:$A$83,0),MATCH($C7,'🔖 배합비 참조'!$B$1:$CE$1,0))/100,0),""))),"")</f>
        <v>0</v>
      </c>
      <c r="Q7" s="39" t="n">
        <f aca="false">IFERROR(IF($C7="","",IF($D7="","",IFERROR(ROUND($D7*INDEX('🔖 배합비 참조'!$B$2:$CE$83,MATCH("고려엉겅퀴((곤드레)국내산)",'🔖 배합비 참조'!$A$2:$A$83,0),MATCH($C7,'🔖 배합비 참조'!$B$1:$CE$1,0))/100,0),""))),"")</f>
        <v>0</v>
      </c>
      <c r="R7" s="39" t="n">
        <f aca="false">IFERROR(IF($C7="","",IF($D7="","",IFERROR(ROUND($D7*INDEX('🔖 배합비 참조'!$B$2:$CE$83,MATCH("기타가공품(복분자가루)",'🔖 배합비 참조'!$A$2:$A$83,0),MATCH($C7,'🔖 배합비 참조'!$B$1:$CE$1,0))/100,0),""))),"")</f>
        <v>0</v>
      </c>
      <c r="S7" s="39" t="n">
        <f aca="false">IFERROR(IF($C7="","",IF($D7="","",IFERROR(ROUND($D7*INDEX('🔖 배합비 참조'!$B$2:$CE$83,MATCH("기타가공품(슈퍼소프트엠)",'🔖 배합비 참조'!$A$2:$A$83,0),MATCH($C7,'🔖 배합비 참조'!$B$1:$CE$1,0))/100,0),""))),"")</f>
        <v>0</v>
      </c>
      <c r="T7" s="39" t="n">
        <f aca="false">IFERROR(IF($C7="","",IF($D7="","",IFERROR(ROUND($D7*INDEX('🔖 배합비 참조'!$B$2:$CE$83,MATCH("기타가공품(파인소프트 E-티)",'🔖 배합비 참조'!$A$2:$A$83,0),MATCH($C7,'🔖 배합비 참조'!$B$1:$CE$1,0))/100,0),""))),"")</f>
        <v>0</v>
      </c>
      <c r="U7" s="39" t="n">
        <f aca="false">IFERROR(IF($C7="","",IF($D7="","",IFERROR(ROUND($D7*INDEX('🔖 배합비 참조'!$B$2:$CE$83,MATCH("기타가공품(프리미엄카스테라가루)",'🔖 배합비 참조'!$A$2:$A$83,0),MATCH($C7,'🔖 배합비 참조'!$B$1:$CE$1,0))/100,0),""))),"")</f>
        <v>0</v>
      </c>
      <c r="V7" s="39" t="n">
        <f aca="false">IFERROR(IF($C7="","",IF($D7="","",IFERROR(ROUND($D7*INDEX('🔖 배합비 참조'!$B$2:$CE$83,MATCH("기타가공품(흑임자가루)",'🔖 배합비 참조'!$A$2:$A$83,0),MATCH($C7,'🔖 배합비 참조'!$B$1:$CE$1,0))/100,0),""))),"")</f>
        <v>0</v>
      </c>
      <c r="W7" s="39" t="n">
        <f aca="false">IFERROR(IF($C7="","",IF($D7="","",IFERROR(ROUND($D7*INDEX('🔖 배합비 참조'!$B$2:$CE$83,MATCH("기타설탕(흑설탕)",'🔖 배합비 참조'!$A$2:$A$83,0),MATCH($C7,'🔖 배합비 참조'!$B$1:$CE$1,0))/100,0),""))),"")</f>
        <v>0</v>
      </c>
      <c r="X7" s="39" t="n">
        <f aca="false">IFERROR(IF($C7="","",IF($D7="","",IFERROR(ROUND($D7*INDEX('🔖 배합비 참조'!$B$2:$CE$83,MATCH("냉동쑥(국내산)",'🔖 배합비 참조'!$A$2:$A$83,0),MATCH($C7,'🔖 배합비 참조'!$B$1:$CE$1,0))/100,0),""))),"")</f>
        <v>5</v>
      </c>
      <c r="Y7" s="39" t="n">
        <f aca="false">IFERROR(IF($C7="","",IF($D7="","",IFERROR(ROUND($D7*INDEX('🔖 배합비 참조'!$B$2:$CE$83,MATCH("냉동증숙고구마(중국산)",'🔖 배합비 참조'!$A$2:$A$83,0),MATCH($C7,'🔖 배합비 참조'!$B$1:$CE$1,0))/100,0),""))),"")</f>
        <v>0</v>
      </c>
      <c r="Z7" s="39" t="n">
        <f aca="false">IFERROR(IF($C7="","",IF($D7="","",IFERROR(ROUND($D7*INDEX('🔖 배합비 참조'!$B$2:$CE$83,MATCH("녹차가루",'🔖 배합비 참조'!$A$2:$A$83,0),MATCH($C7,'🔖 배합비 참조'!$B$1:$CE$1,0))/100,0),""))),"")</f>
        <v>0</v>
      </c>
      <c r="AA7" s="39" t="n">
        <f aca="false">IFERROR(IF($C7="","",IF($D7="","",IFERROR(ROUND($D7*INDEX('🔖 배합비 참조'!$B$2:$CE$83,MATCH("다크초콜릿 컴파운드칩",'🔖 배합비 참조'!$A$2:$A$83,0),MATCH($C7,'🔖 배합비 참조'!$B$1:$CE$1,0))/100,0),""))),"")</f>
        <v>0</v>
      </c>
      <c r="AB7" s="39" t="n">
        <f aca="false">IFERROR(IF($C7="","",IF($D7="","",IFERROR(ROUND($D7*INDEX('🔖 배합비 참조'!$B$2:$CE$83,MATCH("단호박분말(중국산)",'🔖 배합비 참조'!$A$2:$A$83,0),MATCH($C7,'🔖 배합비 참조'!$B$1:$CE$1,0))/100,0),""))),"")</f>
        <v>0</v>
      </c>
      <c r="AC7" s="39" t="n">
        <f aca="false">IFERROR(IF($C7="","",IF($D7="","",IFERROR(ROUND($D7*INDEX('🔖 배합비 참조'!$B$2:$CE$83,MATCH("당류가공품(단호박농축액)",'🔖 배합비 참조'!$A$2:$A$83,0),MATCH($C7,'🔖 배합비 참조'!$B$1:$CE$1,0))/100,0),""))),"")</f>
        <v>0</v>
      </c>
      <c r="AD7" s="39" t="n">
        <f aca="false">IFERROR(IF($C7="","",IF($D7="","",IFERROR(ROUND($D7*INDEX('🔖 배합비 참조'!$B$2:$CE$83,MATCH("당류가공품(알룰로스,에리스리톨,스테비올배당체혼합)",'🔖 배합비 참조'!$A$2:$A$83,0),MATCH($C7,'🔖 배합비 참조'!$B$1:$CE$1,0))/100,0),""))),"")</f>
        <v>0</v>
      </c>
      <c r="AE7" s="39" t="n">
        <f aca="false">IFERROR(IF($C7="","",IF($D7="","",IFERROR(ROUND($D7*INDEX('🔖 배합비 참조'!$B$2:$CE$83,MATCH("당류가공품(알룰로스제로파우더)",'🔖 배합비 참조'!$A$2:$A$83,0),MATCH($C7,'🔖 배합비 참조'!$B$1:$CE$1,0))/100,0),""))),"")</f>
        <v>0</v>
      </c>
      <c r="AF7" s="39" t="n">
        <f aca="false">IFERROR(IF($C7="","",IF($D7="","",IFERROR(ROUND($D7*INDEX('🔖 배합비 참조'!$B$2:$CE$83,MATCH("당절임(완두배기)",'🔖 배합비 참조'!$A$2:$A$83,0),MATCH($C7,'🔖 배합비 참조'!$B$1:$CE$1,0))/100,0),""))),"")</f>
        <v>0</v>
      </c>
      <c r="AG7" s="39" t="n">
        <f aca="false">IFERROR(IF($C7="","",IF($D7="","",IFERROR(ROUND($D7*INDEX('🔖 배합비 참조'!$B$2:$CE$83,MATCH("대추농축액",'🔖 배합비 참조'!$A$2:$A$83,0),MATCH($C7,'🔖 배합비 참조'!$B$1:$CE$1,0))/100,0),""))),"")</f>
        <v>0</v>
      </c>
      <c r="AH7" s="39" t="n">
        <f aca="false">IFERROR(IF($C7="","",IF($D7="","",IFERROR(ROUND($D7*INDEX('🔖 배합비 참조'!$B$2:$CE$83,MATCH("대추채(국내산)",'🔖 배합비 참조'!$A$2:$A$83,0),MATCH($C7,'🔖 배합비 참조'!$B$1:$CE$1,0))/100,0),""))),"")</f>
        <v>0</v>
      </c>
      <c r="AI7" s="39" t="n">
        <f aca="false">IFERROR(IF($C7="","",IF($D7="","",IFERROR(ROUND($D7*INDEX('🔖 배합비 참조'!$B$2:$CE$83,MATCH("동부(미얀마산)",'🔖 배합비 참조'!$A$2:$A$83,0),MATCH($C7,'🔖 배합비 참조'!$B$1:$CE$1,0))/100,0),""))),"")</f>
        <v>0</v>
      </c>
      <c r="AJ7" s="39" t="n">
        <f aca="false">IFERROR(IF($C7="","",IF($D7="","",IFERROR(ROUND($D7*INDEX('🔖 배합비 참조'!$B$2:$CE$83,MATCH("두류가공품(백옥앙금)",'🔖 배합비 참조'!$A$2:$A$83,0),MATCH($C7,'🔖 배합비 참조'!$B$1:$CE$1,0))/100,0),""))),"")</f>
        <v>0</v>
      </c>
      <c r="AK7" s="39" t="n">
        <f aca="false">IFERROR(IF($C7="","",IF($D7="","",IFERROR(ROUND($D7*INDEX('🔖 배합비 참조'!$B$2:$CE$83,MATCH("두류가공품(콩고물)",'🔖 배합비 참조'!$A$2:$A$83,0),MATCH($C7,'🔖 배합비 참조'!$B$1:$CE$1,0))/100,0),""))),"")</f>
        <v>4</v>
      </c>
      <c r="AL7" s="39" t="n">
        <f aca="false">IFERROR(IF($C7="","",IF($D7="","",IFERROR(ROUND($D7*INDEX('🔖 배합비 참조'!$B$2:$CE$83,MATCH("두류가공품(통팥고물)",'🔖 배합비 참조'!$A$2:$A$83,0),MATCH($C7,'🔖 배합비 참조'!$B$1:$CE$1,0))/100,0),""))),"")</f>
        <v>0</v>
      </c>
      <c r="AM7" s="39" t="n">
        <f aca="false">IFERROR(IF($C7="","",IF($D7="","",IFERROR(ROUND($D7*INDEX('🔖 배합비 참조'!$B$2:$CE$83,MATCH("딸기레진",'🔖 배합비 참조'!$A$2:$A$83,0),MATCH($C7,'🔖 배합비 참조'!$B$1:$CE$1,0))/100,0),""))),"")</f>
        <v>0</v>
      </c>
      <c r="AN7" s="39" t="n">
        <f aca="false">IFERROR(IF($C7="","",IF($D7="","",IFERROR(ROUND($D7*INDEX('🔖 배합비 참조'!$B$2:$CE$83,MATCH("딸기분말(스트로우베리에이드(분말))",'🔖 배합비 참조'!$A$2:$A$83,0),MATCH($C7,'🔖 배합비 참조'!$B$1:$CE$1,0))/100,0),""))),"")</f>
        <v>0</v>
      </c>
      <c r="AO7" s="39" t="n">
        <f aca="false">IFERROR(IF($C7="","",IF($D7="","",IFERROR(ROUND($D7*INDEX('🔖 배합비 참조'!$B$2:$CE$83,MATCH("마스카포네치즈",'🔖 배합비 참조'!$A$2:$A$83,0),MATCH($C7,'🔖 배합비 참조'!$B$1:$CE$1,0))/100,0),""))),"")</f>
        <v>0</v>
      </c>
      <c r="AP7" s="39" t="n">
        <f aca="false">IFERROR(IF($C7="","",IF($D7="","",IFERROR(ROUND($D7*INDEX('🔖 배합비 참조'!$B$2:$CE$83,MATCH("마카다미아분태(호주산)",'🔖 배합비 참조'!$A$2:$A$83,0),MATCH($C7,'🔖 배합비 참조'!$B$1:$CE$1,0))/100,0),""))),"")</f>
        <v>0</v>
      </c>
      <c r="AQ7" s="39" t="n">
        <f aca="false">IFERROR(IF($C7="","",IF($D7="","",IFERROR(ROUND($D7*INDEX('🔖 배합비 참조'!$B$2:$CE$83,MATCH("멥쌀(국내산)",'🔖 배합비 참조'!$A$2:$A$83,0),MATCH($C7,'🔖 배합비 참조'!$B$1:$CE$1,0))/100,0),""))),"")</f>
        <v>0</v>
      </c>
      <c r="AR7" s="39" t="n">
        <f aca="false">IFERROR(IF($C7="","",IF($D7="","",IFERROR(ROUND($D7*INDEX('🔖 배합비 참조'!$B$2:$CE$83,MATCH("모시잎(국내산)",'🔖 배합비 참조'!$A$2:$A$83,0),MATCH($C7,'🔖 배합비 참조'!$B$1:$CE$1,0))/100,0),""))),"")</f>
        <v>0</v>
      </c>
      <c r="AS7" s="39" t="n">
        <f aca="false">IFERROR(IF($C7="","",IF($D7="","",IFERROR(ROUND($D7*INDEX('🔖 배합비 참조'!$B$2:$CE$83,MATCH("물엿(저당물엿)",'🔖 배합비 참조'!$A$2:$A$83,0),MATCH($C7,'🔖 배합비 참조'!$B$1:$CE$1,0))/100,0),""))),"")</f>
        <v>3</v>
      </c>
      <c r="AT7" s="39" t="n">
        <f aca="false">IFERROR(IF($C7="","",IF($D7="","",IFERROR(ROUND($D7*INDEX('🔖 배합비 참조'!$B$2:$CE$83,MATCH("밤다이스",'🔖 배합비 참조'!$A$2:$A$83,0),MATCH($C7,'🔖 배합비 참조'!$B$1:$CE$1,0))/100,0),""))),"")</f>
        <v>0</v>
      </c>
      <c r="AU7" s="39" t="n">
        <f aca="false">IFERROR(IF($C7="","",IF($D7="","",IFERROR(ROUND($D7*INDEX('🔖 배합비 참조'!$B$2:$CE$83,MATCH("변성전분(타피오카전분)",'🔖 배합비 참조'!$A$2:$A$83,0),MATCH($C7,'🔖 배합비 참조'!$B$1:$CE$1,0))/100,0),""))),"")</f>
        <v>0</v>
      </c>
      <c r="AV7" s="39" t="n">
        <f aca="false">IFERROR(IF($C7="","",IF($D7="","",IFERROR(ROUND($D7*INDEX('🔖 배합비 참조'!$B$2:$CE$83,MATCH("복음땅콩분태",'🔖 배합비 참조'!$A$2:$A$83,0),MATCH($C7,'🔖 배합비 참조'!$B$1:$CE$1,0))/100,0),""))),"")</f>
        <v>0</v>
      </c>
      <c r="AW7" s="39" t="n">
        <f aca="false">IFERROR(IF($C7="","",IF($D7="","",IFERROR(ROUND($D7*INDEX('🔖 배합비 참조'!$B$2:$CE$83,MATCH("사양벌꿀(국내산)",'🔖 배합비 참조'!$A$2:$A$83,0),MATCH($C7,'🔖 배합비 참조'!$B$1:$CE$1,0))/100,0),""))),"")</f>
        <v>0</v>
      </c>
      <c r="AX7" s="39" t="n">
        <f aca="false">IFERROR(IF($C7="","",IF($D7="","",IFERROR(ROUND($D7*INDEX('🔖 배합비 참조'!$B$2:$CE$83,MATCH("생크림",'🔖 배합비 참조'!$A$2:$A$83,0),MATCH($C7,'🔖 배합비 참조'!$B$1:$CE$1,0))/100,0),""))),"")</f>
        <v>0</v>
      </c>
      <c r="AY7" s="39" t="n">
        <f aca="false">IFERROR(IF($C7="","",IF($D7="","",IFERROR(ROUND($D7*INDEX('🔖 배합비 참조'!$B$2:$CE$83,MATCH("서양호박(국내산,뉴질랜드산)",'🔖 배합비 참조'!$A$2:$A$83,0),MATCH($C7,'🔖 배합비 참조'!$B$1:$CE$1,0))/100,0),""))),"")</f>
        <v>0</v>
      </c>
      <c r="AZ7" s="39" t="n">
        <f aca="false">IFERROR(IF($C7="","",IF($D7="","",IFERROR(ROUND($D7*INDEX('🔖 배합비 참조'!$B$2:$CE$83,MATCH("설탕",'🔖 배합비 참조'!$A$2:$A$83,0),MATCH($C7,'🔖 배합비 참조'!$B$1:$CE$1,0))/100,0),""))),"")</f>
        <v>3</v>
      </c>
      <c r="BA7" s="39" t="n">
        <f aca="false">IFERROR(IF($C7="","",IF($D7="","",IFERROR(ROUND($D7*INDEX('🔖 배합비 참조'!$B$2:$CE$83,MATCH("스트로우베리 에이드 후레쉬",'🔖 배합비 참조'!$A$2:$A$83,0),MATCH($C7,'🔖 배합비 참조'!$B$1:$CE$1,0))/100,0),""))),"")</f>
        <v>0</v>
      </c>
      <c r="BB7" s="39" t="n">
        <f aca="false">IFERROR(IF($C7="","",IF($D7="","",IFERROR(ROUND($D7*INDEX('🔖 배합비 참조'!$B$2:$CE$83,MATCH("식물성기름혼합제제(분홍)",'🔖 배합비 참조'!$A$2:$A$83,0),MATCH($C7,'🔖 배합비 참조'!$B$1:$CE$1,0))/100,0),""))),"")</f>
        <v>0</v>
      </c>
      <c r="BC7" s="39" t="n">
        <f aca="false">IFERROR(IF($C7="","",IF($D7="","",IFERROR(ROUND($D7*INDEX('🔖 배합비 참조'!$B$2:$CE$83,MATCH("식물성기름혼합제제(초록)",'🔖 배합비 참조'!$A$2:$A$83,0),MATCH($C7,'🔖 배합비 참조'!$B$1:$CE$1,0))/100,0),""))),"")</f>
        <v>0</v>
      </c>
      <c r="BD7" s="39" t="n">
        <f aca="false">IFERROR(IF($C7="","",IF($D7="","",IFERROR(ROUND($D7*INDEX('🔖 배합비 참조'!$B$2:$CE$83,MATCH("식물성기름혼합제제(황색)",'🔖 배합비 참조'!$A$2:$A$83,0),MATCH($C7,'🔖 배합비 참조'!$B$1:$CE$1,0))/100,0),""))),"")</f>
        <v>0</v>
      </c>
      <c r="BE7" s="39" t="n">
        <f aca="false">IFERROR(IF($C7="","",IF($D7="","",IFERROR(ROUND($D7*INDEX('🔖 배합비 참조'!$B$2:$CE$83,MATCH("쑥가루(국내산)",'🔖 배합비 참조'!$A$2:$A$83,0),MATCH($C7,'🔖 배합비 참조'!$B$1:$CE$1,0))/100,0),""))),"")</f>
        <v>2</v>
      </c>
      <c r="BF7" s="39" t="n">
        <f aca="false">IFERROR(IF($C7="","",IF($D7="","",IFERROR(ROUND($D7*INDEX('🔖 배합비 참조'!$B$2:$CE$83,MATCH("아몬드슬라이스",'🔖 배합비 참조'!$A$2:$A$83,0),MATCH($C7,'🔖 배합비 참조'!$B$1:$CE$1,0))/100,0),""))),"")</f>
        <v>0</v>
      </c>
      <c r="BG7" s="39" t="n">
        <f aca="false">IFERROR(IF($C7="","",IF($D7="","",IFERROR(ROUND($D7*INDEX('🔖 배합비 참조'!$B$2:$CE$83,MATCH("알룰로오스(국내산)",'🔖 배합비 참조'!$A$2:$A$83,0),MATCH($C7,'🔖 배합비 참조'!$B$1:$CE$1,0))/100,0),""))),"")</f>
        <v>0</v>
      </c>
      <c r="BH7" s="39" t="n">
        <f aca="false">IFERROR(IF($C7="","",IF($D7="","",IFERROR(ROUND($D7*INDEX('🔖 배합비 참조'!$B$2:$CE$83,MATCH("연유",'🔖 배합비 참조'!$A$2:$A$83,0),MATCH($C7,'🔖 배합비 참조'!$B$1:$CE$1,0))/100,0),""))),"")</f>
        <v>0</v>
      </c>
      <c r="BI7" s="39" t="n">
        <f aca="false">IFERROR(IF($C7="","",IF($D7="","",IFERROR(ROUND($D7*INDEX('🔖 배합비 참조'!$B$2:$CE$83,MATCH("옥수수전분",'🔖 배합비 참조'!$A$2:$A$83,0),MATCH($C7,'🔖 배합비 참조'!$B$1:$CE$1,0))/100,0),""))),"")</f>
        <v>0</v>
      </c>
      <c r="BJ7" s="39" t="n">
        <f aca="false">IFERROR(IF($C7="","",IF($D7="","",IFERROR(ROUND($D7*INDEX('🔖 배합비 참조'!$B$2:$CE$83,MATCH("완두배기",'🔖 배합비 참조'!$A$2:$A$83,0),MATCH($C7,'🔖 배합비 참조'!$B$1:$CE$1,0))/100,0),""))),"")</f>
        <v>0</v>
      </c>
      <c r="BK7" s="39" t="n">
        <f aca="false">IFERROR(IF($C7="","",IF($D7="","",IFERROR(ROUND($D7*INDEX('🔖 배합비 참조'!$B$2:$CE$83,MATCH("우유(국내산)",'🔖 배합비 참조'!$A$2:$A$83,0),MATCH($C7,'🔖 배합비 참조'!$B$1:$CE$1,0))/100,0),""))),"")</f>
        <v>0</v>
      </c>
      <c r="BL7" s="39" t="n">
        <f aca="false">IFERROR(IF($C7="","",IF($D7="","",IFERROR(ROUND($D7*INDEX('🔖 배합비 참조'!$B$2:$CE$83,MATCH("자색고구마가루(중국산)",'🔖 배합비 참조'!$A$2:$A$83,0),MATCH($C7,'🔖 배합비 참조'!$B$1:$CE$1,0))/100,0),""))),"")</f>
        <v>0</v>
      </c>
      <c r="BM7" s="39" t="n">
        <f aca="false">IFERROR(IF($C7="","",IF($D7="","",IFERROR(ROUND($D7*INDEX('🔖 배합비 참조'!$B$2:$CE$83,MATCH("자연치즈(체다치즈)",'🔖 배합비 참조'!$A$2:$A$83,0),MATCH($C7,'🔖 배합비 참조'!$B$1:$CE$1,0))/100,0),""))),"")</f>
        <v>0</v>
      </c>
      <c r="BN7" s="39" t="n">
        <f aca="false">IFERROR(IF($C7="","",IF($D7="","",IFERROR(ROUND($D7*INDEX('🔖 배합비 참조'!$B$2:$CE$83,MATCH("정제수",'🔖 배합비 참조'!$A$2:$A$83,0),MATCH($C7,'🔖 배합비 참조'!$B$1:$CE$1,0))/100,0),""))),"")</f>
        <v>0</v>
      </c>
      <c r="BO7" s="39" t="n">
        <f aca="false">IFERROR(IF($C7="","",IF($D7="","",IFERROR(ROUND($D7*INDEX('🔖 배합비 참조'!$B$2:$CE$83,MATCH("젤라틴",'🔖 배합비 참조'!$A$2:$A$83,0),MATCH($C7,'🔖 배합비 참조'!$B$1:$CE$1,0))/100,0),""))),"")</f>
        <v>0</v>
      </c>
      <c r="BP7" s="39" t="n">
        <f aca="false">IFERROR(IF($C7="","",IF($D7="","",IFERROR(ROUND($D7*INDEX('🔖 배합비 참조'!$B$2:$CE$83,MATCH("조림류(백옥앙금)",'🔖 배합비 참조'!$A$2:$A$83,0),MATCH($C7,'🔖 배합비 참조'!$B$1:$CE$1,0))/100,0),""))),"")</f>
        <v>0</v>
      </c>
      <c r="BQ7" s="39" t="n">
        <f aca="false">IFERROR(IF($C7="","",IF($D7="","",IFERROR(ROUND($D7*INDEX('🔖 배합비 참조'!$B$2:$CE$83,MATCH("조림류(통팥앙금)",'🔖 배합비 참조'!$A$2:$A$83,0),MATCH($C7,'🔖 배합비 참조'!$B$1:$CE$1,0))/100,0),""))),"")</f>
        <v>58</v>
      </c>
      <c r="BR7" s="39" t="n">
        <f aca="false">IFERROR(IF($C7="","",IF($D7="","",IFERROR(ROUND($D7*INDEX('🔖 배합비 참조'!$B$2:$CE$83,MATCH("준초콜릿(외국산)",'🔖 배합비 참조'!$A$2:$A$83,0),MATCH($C7,'🔖 배합비 참조'!$B$1:$CE$1,0))/100,0),""))),"")</f>
        <v>0</v>
      </c>
      <c r="BS7" s="39" t="n">
        <f aca="false">IFERROR(IF($C7="","",IF($D7="","",IFERROR(ROUND($D7*INDEX('🔖 배합비 참조'!$B$2:$CE$83,MATCH("중력분",'🔖 배합비 참조'!$A$2:$A$83,0),MATCH($C7,'🔖 배합비 참조'!$B$1:$CE$1,0))/100,0),""))),"")</f>
        <v>1</v>
      </c>
      <c r="BT7" s="39" t="n">
        <f aca="false">IFERROR(IF($C7="","",IF($D7="","",IFERROR(ROUND($D7*INDEX('🔖 배합비 참조'!$B$2:$CE$83,MATCH("참깨(인도산,나이지리아산,탄자니아산,미얀마산)",'🔖 배합비 참조'!$A$2:$A$83,0),MATCH($C7,'🔖 배합비 참조'!$B$1:$CE$1,0))/100,0),""))),"")</f>
        <v>0</v>
      </c>
      <c r="BU7" s="39" t="n">
        <f aca="false">IFERROR(IF($C7="","",IF($D7="","",IFERROR(ROUND($D7*INDEX('🔖 배합비 참조'!$B$2:$CE$83,MATCH("찹쌀(국내산)",'🔖 배합비 참조'!$A$2:$A$83,0),MATCH($C7,'🔖 배합비 참조'!$B$1:$CE$1,0))/100,0),""))),"")</f>
        <v>62</v>
      </c>
      <c r="BV7" s="39" t="n">
        <f aca="false">IFERROR(IF($C7="","",IF($D7="","",IFERROR(ROUND($D7*INDEX('🔖 배합비 참조'!$B$2:$CE$83,MATCH("천일염",'🔖 배합비 참조'!$A$2:$A$83,0),MATCH($C7,'🔖 배합비 참조'!$B$1:$CE$1,0))/100,0),""))),"")</f>
        <v>1</v>
      </c>
      <c r="BW7" s="39" t="n">
        <f aca="false">IFERROR(IF($C7="","",IF($D7="","",IFERROR(ROUND($D7*INDEX('🔖 배합비 참조'!$B$2:$CE$83,MATCH("치즈 [크림치즈]",'🔖 배합비 참조'!$A$2:$A$83,0),MATCH($C7,'🔖 배합비 참조'!$B$1:$CE$1,0))/100,0),""))),"")</f>
        <v>0</v>
      </c>
      <c r="BX7" s="39" t="n">
        <f aca="false">IFERROR(IF($C7="","",IF($D7="","",IFERROR(ROUND($D7*INDEX('🔖 배합비 참조'!$B$2:$CE$83,MATCH("코코아가공품류(코코아분말)",'🔖 배합비 참조'!$A$2:$A$83,0),MATCH($C7,'🔖 배합비 참조'!$B$1:$CE$1,0))/100,0),""))),"")</f>
        <v>0</v>
      </c>
      <c r="BY7" s="39" t="n">
        <f aca="false">IFERROR(IF($C7="","",IF($D7="","",IFERROR(ROUND($D7*INDEX('🔖 배합비 참조'!$B$2:$CE$83,MATCH("콩기름(대두유)",'🔖 배합비 참조'!$A$2:$A$83,0),MATCH($C7,'🔖 배합비 참조'!$B$1:$CE$1,0))/100,0),""))),"")</f>
        <v>0</v>
      </c>
      <c r="BZ7" s="39" t="n">
        <f aca="false">IFERROR(IF($C7="","",IF($D7="","",IFERROR(ROUND($D7*INDEX('🔖 배합비 참조'!$B$2:$CE$83,MATCH("해바라기씨앗",'🔖 배합비 참조'!$A$2:$A$83,0),MATCH($C7,'🔖 배합비 참조'!$B$1:$CE$1,0))/100,0),""))),"")</f>
        <v>0</v>
      </c>
      <c r="CA7" s="39" t="n">
        <f aca="false">IFERROR(IF($C7="","",IF($D7="","",IFERROR(ROUND($D7*INDEX('🔖 배합비 참조'!$B$2:$CE$83,MATCH("현미(국내산)",'🔖 배합비 참조'!$A$2:$A$83,0),MATCH($C7,'🔖 배합비 참조'!$B$1:$CE$1,0))/100,0),""))),"")</f>
        <v>0</v>
      </c>
      <c r="CB7" s="39" t="n">
        <f aca="false">IFERROR(IF($C7="","",IF($D7="","",IFERROR(ROUND($D7*INDEX('🔖 배합비 참조'!$B$2:$CE$83,MATCH("현미멥쌀(국내산)",'🔖 배합비 참조'!$A$2:$A$83,0),MATCH($C7,'🔖 배합비 참조'!$B$1:$CE$1,0))/100,0),""))),"")</f>
        <v>0</v>
      </c>
      <c r="CC7" s="39" t="n">
        <f aca="false">IFERROR(IF($C7="","",IF($D7="","",IFERROR(ROUND($D7*INDEX('🔖 배합비 참조'!$B$2:$CE$83,MATCH("호두분태(미국산)",'🔖 배합비 참조'!$A$2:$A$83,0),MATCH($C7,'🔖 배합비 참조'!$B$1:$CE$1,0))/100,0),""))),"")</f>
        <v>0</v>
      </c>
      <c r="CD7" s="39" t="n">
        <f aca="false">IFERROR(IF($C7="","",IF($D7="","",IFERROR(ROUND($D7*INDEX('🔖 배합비 참조'!$B$2:$CE$83,MATCH("호박씨앗(외국산)",'🔖 배합비 참조'!$A$2:$A$83,0),MATCH($C7,'🔖 배합비 참조'!$B$1:$CE$1,0))/100,0),""))),"")</f>
        <v>0</v>
      </c>
      <c r="CE7" s="39" t="n">
        <f aca="false">IFERROR(IF($C7="","",IF($D7="","",IFERROR(ROUND($D7*INDEX('🔖 배합비 참조'!$B$2:$CE$83,MATCH("혼합제제(떡용에스텔)",'🔖 배합비 참조'!$A$2:$A$83,0),MATCH($C7,'🔖 배합비 참조'!$B$1:$CE$1,0))/100,0),""))),"")</f>
        <v>1</v>
      </c>
      <c r="CF7" s="39" t="n">
        <f aca="false">IFERROR(IF($C7="","",IF($D7="","",IFERROR(ROUND($D7*INDEX('🔖 배합비 참조'!$B$2:$CE$83,MATCH("혼합제제(스테비아)",'🔖 배합비 참조'!$A$2:$A$83,0),MATCH($C7,'🔖 배합비 참조'!$B$1:$CE$1,0))/100,0),""))),"")</f>
        <v>0</v>
      </c>
      <c r="CG7" s="39" t="n">
        <f aca="false">IFERROR(IF($C7="","",IF($D7="","",IFERROR(ROUND($D7*INDEX('🔖 배합비 참조'!$B$2:$CE$83,MATCH("화이트초콜릿",'🔖 배합비 참조'!$A$2:$A$83,0),MATCH($C7,'🔖 배합비 참조'!$B$1:$CE$1,0))/100,0),""))),"")</f>
        <v>0</v>
      </c>
      <c r="CH7" s="39" t="n">
        <f aca="false">IFERROR(IF($C7="","",IF($D7="","",IFERROR(ROUND($D7*INDEX('🔖 배합비 참조'!$B$2:$CE$83,MATCH("흑미찹쌀(국내산)",'🔖 배합비 참조'!$A$2:$A$83,0),MATCH($C7,'🔖 배합비 참조'!$B$1:$CE$1,0))/100,0),""))),"")</f>
        <v>0</v>
      </c>
      <c r="CI7" s="39" t="n">
        <f aca="false">IFERROR(IF($C7="","",IF($D7="","",IFERROR(ROUND($D7*INDEX('🔖 배합비 참조'!$B$2:$CE$83,MATCH("찰옥수수전분(미국산)",'🔖 배합비 참조'!$A$2:$A$83,0),MATCH($C7,'🔖 배합비 참조'!$B$1:$CE$1,0))/100,0),""))),"")</f>
        <v>0</v>
      </c>
      <c r="CJ7" s="40"/>
      <c r="CL7" s="1" t="s">
        <v>235</v>
      </c>
    </row>
    <row r="8" customFormat="false" ht="18" hidden="false" customHeight="true" outlineLevel="0" collapsed="false">
      <c r="A8" s="41" t="n">
        <v>4</v>
      </c>
      <c r="B8" s="36" t="n">
        <v>45943</v>
      </c>
      <c r="C8" s="37" t="s">
        <v>236</v>
      </c>
      <c r="D8" s="38" t="n">
        <v>210</v>
      </c>
      <c r="E8" s="17"/>
      <c r="F8" s="17"/>
      <c r="G8" s="42" t="n">
        <f aca="false">IFERROR(IF($C8="","",IF($D8="","",IFERROR(ROUND($D8*INDEX('🔖 배합비 참조'!$B$2:$CE$83,MATCH("간장",'🔖 배합비 참조'!$A$2:$A$83,0),MATCH($C8,'🔖 배합비 참조'!$B$1:$CE$1,0))/100,0),""))),"")</f>
        <v>0</v>
      </c>
      <c r="H8" s="42" t="n">
        <f aca="false">IFERROR(IF($C8="","",IF($D8="","",IFERROR(ROUND($D8*INDEX('🔖 배합비 참조'!$B$2:$CE$83,MATCH("강낭콩((울타리콩))",'🔖 배합비 참조'!$A$2:$A$83,0),MATCH($C8,'🔖 배합비 참조'!$B$1:$CE$1,0))/100,0),""))),"")</f>
        <v>0</v>
      </c>
      <c r="I8" s="42" t="n">
        <f aca="false">IFERROR(IF($C8="","",IF($D8="","",IFERROR(ROUND($D8*INDEX('🔖 배합비 참조'!$B$2:$CE$83,MATCH("건조딸기다이스(외국산)",'🔖 배합비 참조'!$A$2:$A$83,0),MATCH($C8,'🔖 배합비 참조'!$B$1:$CE$1,0))/100,0),""))),"")</f>
        <v>0</v>
      </c>
      <c r="J8" s="42" t="n">
        <f aca="false">IFERROR(IF($C8="","",IF($D8="","",IFERROR(ROUND($D8*INDEX('🔖 배합비 참조'!$B$2:$CE$83,MATCH("건포도",'🔖 배합비 참조'!$A$2:$A$83,0),MATCH($C8,'🔖 배합비 참조'!$B$1:$CE$1,0))/100,0),""))),"")</f>
        <v>0</v>
      </c>
      <c r="K8" s="42" t="n">
        <f aca="false">IFERROR(IF($C8="","",IF($D8="","",IFERROR(ROUND($D8*INDEX('🔖 배합비 참조'!$B$2:$CE$83,MATCH("건호박채(중국산)",'🔖 배합비 참조'!$A$2:$A$83,0),MATCH($C8,'🔖 배합비 참조'!$B$1:$CE$1,0))/100,0),""))),"")</f>
        <v>0</v>
      </c>
      <c r="L8" s="42" t="n">
        <f aca="false">IFERROR(IF($C8="","",IF($D8="","",IFERROR(ROUND($D8*INDEX('🔖 배합비 참조'!$B$2:$CE$83,MATCH("검정깨(흑임자)",'🔖 배합비 참조'!$A$2:$A$83,0),MATCH($C8,'🔖 배합비 참조'!$B$1:$CE$1,0))/100,0),""))),"")</f>
        <v>0</v>
      </c>
      <c r="M8" s="42" t="n">
        <f aca="false">IFERROR(IF($C8="","",IF($D8="","",IFERROR(ROUND($D8*INDEX('🔖 배합비 참조'!$B$2:$CE$83,MATCH("검정콩",'🔖 배합비 참조'!$A$2:$A$83,0),MATCH($C8,'🔖 배합비 참조'!$B$1:$CE$1,0))/100,0),""))),"")</f>
        <v>0</v>
      </c>
      <c r="N8" s="42" t="n">
        <f aca="false">IFERROR(IF($C8="","",IF($D8="","",IFERROR(ROUND($D8*INDEX('🔖 배합비 참조'!$B$2:$CE$83,MATCH("계피가루",'🔖 배합비 참조'!$A$2:$A$83,0),MATCH($C8,'🔖 배합비 참조'!$B$1:$CE$1,0))/100,0),""))),"")</f>
        <v>0</v>
      </c>
      <c r="O8" s="42" t="n">
        <f aca="false">IFERROR(IF($C8="","",IF($D8="","",IFERROR(ROUND($D8*INDEX('🔖 배합비 참조'!$B$2:$CE$83,MATCH("고구마가루",'🔖 배합비 참조'!$A$2:$A$83,0),MATCH($C8,'🔖 배합비 참조'!$B$1:$CE$1,0))/100,0),""))),"")</f>
        <v>0</v>
      </c>
      <c r="P8" s="42" t="n">
        <f aca="false">IFERROR(IF($C8="","",IF($D8="","",IFERROR(ROUND($D8*INDEX('🔖 배합비 참조'!$B$2:$CE$83,MATCH("고구마무스",'🔖 배합비 참조'!$A$2:$A$83,0),MATCH($C8,'🔖 배합비 참조'!$B$1:$CE$1,0))/100,0),""))),"")</f>
        <v>0</v>
      </c>
      <c r="Q8" s="42" t="n">
        <f aca="false">IFERROR(IF($C8="","",IF($D8="","",IFERROR(ROUND($D8*INDEX('🔖 배합비 참조'!$B$2:$CE$83,MATCH("고려엉겅퀴((곤드레)국내산)",'🔖 배합비 참조'!$A$2:$A$83,0),MATCH($C8,'🔖 배합비 참조'!$B$1:$CE$1,0))/100,0),""))),"")</f>
        <v>0</v>
      </c>
      <c r="R8" s="42" t="n">
        <f aca="false">IFERROR(IF($C8="","",IF($D8="","",IFERROR(ROUND($D8*INDEX('🔖 배합비 참조'!$B$2:$CE$83,MATCH("기타가공품(복분자가루)",'🔖 배합비 참조'!$A$2:$A$83,0),MATCH($C8,'🔖 배합비 참조'!$B$1:$CE$1,0))/100,0),""))),"")</f>
        <v>0</v>
      </c>
      <c r="S8" s="42" t="n">
        <f aca="false">IFERROR(IF($C8="","",IF($D8="","",IFERROR(ROUND($D8*INDEX('🔖 배합비 참조'!$B$2:$CE$83,MATCH("기타가공품(슈퍼소프트엠)",'🔖 배합비 참조'!$A$2:$A$83,0),MATCH($C8,'🔖 배합비 참조'!$B$1:$CE$1,0))/100,0),""))),"")</f>
        <v>0</v>
      </c>
      <c r="T8" s="42" t="n">
        <f aca="false">IFERROR(IF($C8="","",IF($D8="","",IFERROR(ROUND($D8*INDEX('🔖 배합비 참조'!$B$2:$CE$83,MATCH("기타가공품(파인소프트 E-티)",'🔖 배합비 참조'!$A$2:$A$83,0),MATCH($C8,'🔖 배합비 참조'!$B$1:$CE$1,0))/100,0),""))),"")</f>
        <v>0</v>
      </c>
      <c r="U8" s="42" t="n">
        <f aca="false">IFERROR(IF($C8="","",IF($D8="","",IFERROR(ROUND($D8*INDEX('🔖 배합비 참조'!$B$2:$CE$83,MATCH("기타가공품(프리미엄카스테라가루)",'🔖 배합비 참조'!$A$2:$A$83,0),MATCH($C8,'🔖 배합비 참조'!$B$1:$CE$1,0))/100,0),""))),"")</f>
        <v>0</v>
      </c>
      <c r="V8" s="42" t="n">
        <f aca="false">IFERROR(IF($C8="","",IF($D8="","",IFERROR(ROUND($D8*INDEX('🔖 배합비 참조'!$B$2:$CE$83,MATCH("기타가공품(흑임자가루)",'🔖 배합비 참조'!$A$2:$A$83,0),MATCH($C8,'🔖 배합비 참조'!$B$1:$CE$1,0))/100,0),""))),"")</f>
        <v>0</v>
      </c>
      <c r="W8" s="42" t="n">
        <f aca="false">IFERROR(IF($C8="","",IF($D8="","",IFERROR(ROUND($D8*INDEX('🔖 배합비 참조'!$B$2:$CE$83,MATCH("기타설탕(흑설탕)",'🔖 배합비 참조'!$A$2:$A$83,0),MATCH($C8,'🔖 배합비 참조'!$B$1:$CE$1,0))/100,0),""))),"")</f>
        <v>0</v>
      </c>
      <c r="X8" s="42" t="n">
        <f aca="false">IFERROR(IF($C8="","",IF($D8="","",IFERROR(ROUND($D8*INDEX('🔖 배합비 참조'!$B$2:$CE$83,MATCH("냉동쑥(국내산)",'🔖 배합비 참조'!$A$2:$A$83,0),MATCH($C8,'🔖 배합비 참조'!$B$1:$CE$1,0))/100,0),""))),"")</f>
        <v>4</v>
      </c>
      <c r="Y8" s="42" t="n">
        <f aca="false">IFERROR(IF($C8="","",IF($D8="","",IFERROR(ROUND($D8*INDEX('🔖 배합비 참조'!$B$2:$CE$83,MATCH("냉동증숙고구마(중국산)",'🔖 배합비 참조'!$A$2:$A$83,0),MATCH($C8,'🔖 배합비 참조'!$B$1:$CE$1,0))/100,0),""))),"")</f>
        <v>0</v>
      </c>
      <c r="Z8" s="42" t="n">
        <f aca="false">IFERROR(IF($C8="","",IF($D8="","",IFERROR(ROUND($D8*INDEX('🔖 배합비 참조'!$B$2:$CE$83,MATCH("녹차가루",'🔖 배합비 참조'!$A$2:$A$83,0),MATCH($C8,'🔖 배합비 참조'!$B$1:$CE$1,0))/100,0),""))),"")</f>
        <v>0</v>
      </c>
      <c r="AA8" s="42" t="n">
        <f aca="false">IFERROR(IF($C8="","",IF($D8="","",IFERROR(ROUND($D8*INDEX('🔖 배합비 참조'!$B$2:$CE$83,MATCH("다크초콜릿 컴파운드칩",'🔖 배합비 참조'!$A$2:$A$83,0),MATCH($C8,'🔖 배합비 참조'!$B$1:$CE$1,0))/100,0),""))),"")</f>
        <v>0</v>
      </c>
      <c r="AB8" s="42" t="n">
        <f aca="false">IFERROR(IF($C8="","",IF($D8="","",IFERROR(ROUND($D8*INDEX('🔖 배합비 참조'!$B$2:$CE$83,MATCH("단호박분말(중국산)",'🔖 배합비 참조'!$A$2:$A$83,0),MATCH($C8,'🔖 배합비 참조'!$B$1:$CE$1,0))/100,0),""))),"")</f>
        <v>0</v>
      </c>
      <c r="AC8" s="42" t="n">
        <f aca="false">IFERROR(IF($C8="","",IF($D8="","",IFERROR(ROUND($D8*INDEX('🔖 배합비 참조'!$B$2:$CE$83,MATCH("당류가공품(단호박농축액)",'🔖 배합비 참조'!$A$2:$A$83,0),MATCH($C8,'🔖 배합비 참조'!$B$1:$CE$1,0))/100,0),""))),"")</f>
        <v>0</v>
      </c>
      <c r="AD8" s="42" t="n">
        <f aca="false">IFERROR(IF($C8="","",IF($D8="","",IFERROR(ROUND($D8*INDEX('🔖 배합비 참조'!$B$2:$CE$83,MATCH("당류가공품(알룰로스,에리스리톨,스테비올배당체혼합)",'🔖 배합비 참조'!$A$2:$A$83,0),MATCH($C8,'🔖 배합비 참조'!$B$1:$CE$1,0))/100,0),""))),"")</f>
        <v>0</v>
      </c>
      <c r="AE8" s="42" t="n">
        <f aca="false">IFERROR(IF($C8="","",IF($D8="","",IFERROR(ROUND($D8*INDEX('🔖 배합비 참조'!$B$2:$CE$83,MATCH("당류가공품(알룰로스제로파우더)",'🔖 배합비 참조'!$A$2:$A$83,0),MATCH($C8,'🔖 배합비 참조'!$B$1:$CE$1,0))/100,0),""))),"")</f>
        <v>0</v>
      </c>
      <c r="AF8" s="42" t="n">
        <f aca="false">IFERROR(IF($C8="","",IF($D8="","",IFERROR(ROUND($D8*INDEX('🔖 배합비 참조'!$B$2:$CE$83,MATCH("당절임(완두배기)",'🔖 배합비 참조'!$A$2:$A$83,0),MATCH($C8,'🔖 배합비 참조'!$B$1:$CE$1,0))/100,0),""))),"")</f>
        <v>0</v>
      </c>
      <c r="AG8" s="42" t="n">
        <f aca="false">IFERROR(IF($C8="","",IF($D8="","",IFERROR(ROUND($D8*INDEX('🔖 배합비 참조'!$B$2:$CE$83,MATCH("대추농축액",'🔖 배합비 참조'!$A$2:$A$83,0),MATCH($C8,'🔖 배합비 참조'!$B$1:$CE$1,0))/100,0),""))),"")</f>
        <v>0</v>
      </c>
      <c r="AH8" s="42" t="n">
        <f aca="false">IFERROR(IF($C8="","",IF($D8="","",IFERROR(ROUND($D8*INDEX('🔖 배합비 참조'!$B$2:$CE$83,MATCH("대추채(국내산)",'🔖 배합비 참조'!$A$2:$A$83,0),MATCH($C8,'🔖 배합비 참조'!$B$1:$CE$1,0))/100,0),""))),"")</f>
        <v>0</v>
      </c>
      <c r="AI8" s="42" t="n">
        <f aca="false">IFERROR(IF($C8="","",IF($D8="","",IFERROR(ROUND($D8*INDEX('🔖 배합비 참조'!$B$2:$CE$83,MATCH("동부(미얀마산)",'🔖 배합비 참조'!$A$2:$A$83,0),MATCH($C8,'🔖 배합비 참조'!$B$1:$CE$1,0))/100,0),""))),"")</f>
        <v>26</v>
      </c>
      <c r="AJ8" s="42" t="n">
        <f aca="false">IFERROR(IF($C8="","",IF($D8="","",IFERROR(ROUND($D8*INDEX('🔖 배합비 참조'!$B$2:$CE$83,MATCH("두류가공품(백옥앙금)",'🔖 배합비 참조'!$A$2:$A$83,0),MATCH($C8,'🔖 배합비 참조'!$B$1:$CE$1,0))/100,0),""))),"")</f>
        <v>0</v>
      </c>
      <c r="AK8" s="42" t="n">
        <f aca="false">IFERROR(IF($C8="","",IF($D8="","",IFERROR(ROUND($D8*INDEX('🔖 배합비 참조'!$B$2:$CE$83,MATCH("두류가공품(콩고물)",'🔖 배합비 참조'!$A$2:$A$83,0),MATCH($C8,'🔖 배합비 참조'!$B$1:$CE$1,0))/100,0),""))),"")</f>
        <v>6</v>
      </c>
      <c r="AL8" s="42" t="n">
        <f aca="false">IFERROR(IF($C8="","",IF($D8="","",IFERROR(ROUND($D8*INDEX('🔖 배합비 참조'!$B$2:$CE$83,MATCH("두류가공품(통팥고물)",'🔖 배합비 참조'!$A$2:$A$83,0),MATCH($C8,'🔖 배합비 참조'!$B$1:$CE$1,0))/100,0),""))),"")</f>
        <v>0</v>
      </c>
      <c r="AM8" s="42" t="n">
        <f aca="false">IFERROR(IF($C8="","",IF($D8="","",IFERROR(ROUND($D8*INDEX('🔖 배합비 참조'!$B$2:$CE$83,MATCH("딸기레진",'🔖 배합비 참조'!$A$2:$A$83,0),MATCH($C8,'🔖 배합비 참조'!$B$1:$CE$1,0))/100,0),""))),"")</f>
        <v>0</v>
      </c>
      <c r="AN8" s="42" t="n">
        <f aca="false">IFERROR(IF($C8="","",IF($D8="","",IFERROR(ROUND($D8*INDEX('🔖 배합비 참조'!$B$2:$CE$83,MATCH("딸기분말(스트로우베리에이드(분말))",'🔖 배합비 참조'!$A$2:$A$83,0),MATCH($C8,'🔖 배합비 참조'!$B$1:$CE$1,0))/100,0),""))),"")</f>
        <v>0</v>
      </c>
      <c r="AO8" s="42" t="n">
        <f aca="false">IFERROR(IF($C8="","",IF($D8="","",IFERROR(ROUND($D8*INDEX('🔖 배합비 참조'!$B$2:$CE$83,MATCH("마스카포네치즈",'🔖 배합비 참조'!$A$2:$A$83,0),MATCH($C8,'🔖 배합비 참조'!$B$1:$CE$1,0))/100,0),""))),"")</f>
        <v>0</v>
      </c>
      <c r="AP8" s="42" t="n">
        <f aca="false">IFERROR(IF($C8="","",IF($D8="","",IFERROR(ROUND($D8*INDEX('🔖 배합비 참조'!$B$2:$CE$83,MATCH("마카다미아분태(호주산)",'🔖 배합비 참조'!$A$2:$A$83,0),MATCH($C8,'🔖 배합비 참조'!$B$1:$CE$1,0))/100,0),""))),"")</f>
        <v>0</v>
      </c>
      <c r="AQ8" s="42" t="n">
        <f aca="false">IFERROR(IF($C8="","",IF($D8="","",IFERROR(ROUND($D8*INDEX('🔖 배합비 참조'!$B$2:$CE$83,MATCH("멥쌀(국내산)",'🔖 배합비 참조'!$A$2:$A$83,0),MATCH($C8,'🔖 배합비 참조'!$B$1:$CE$1,0))/100,0),""))),"")</f>
        <v>0</v>
      </c>
      <c r="AR8" s="42" t="n">
        <f aca="false">IFERROR(IF($C8="","",IF($D8="","",IFERROR(ROUND($D8*INDEX('🔖 배합비 참조'!$B$2:$CE$83,MATCH("모시잎(국내산)",'🔖 배합비 참조'!$A$2:$A$83,0),MATCH($C8,'🔖 배합비 참조'!$B$1:$CE$1,0))/100,0),""))),"")</f>
        <v>0</v>
      </c>
      <c r="AS8" s="42" t="n">
        <f aca="false">IFERROR(IF($C8="","",IF($D8="","",IFERROR(ROUND($D8*INDEX('🔖 배합비 참조'!$B$2:$CE$83,MATCH("물엿(저당물엿)",'🔖 배합비 참조'!$A$2:$A$83,0),MATCH($C8,'🔖 배합비 참조'!$B$1:$CE$1,0))/100,0),""))),"")</f>
        <v>4</v>
      </c>
      <c r="AT8" s="42" t="n">
        <f aca="false">IFERROR(IF($C8="","",IF($D8="","",IFERROR(ROUND($D8*INDEX('🔖 배합비 참조'!$B$2:$CE$83,MATCH("밤다이스",'🔖 배합비 참조'!$A$2:$A$83,0),MATCH($C8,'🔖 배합비 참조'!$B$1:$CE$1,0))/100,0),""))),"")</f>
        <v>0</v>
      </c>
      <c r="AU8" s="42" t="n">
        <f aca="false">IFERROR(IF($C8="","",IF($D8="","",IFERROR(ROUND($D8*INDEX('🔖 배합비 참조'!$B$2:$CE$83,MATCH("변성전분(타피오카전분)",'🔖 배합비 참조'!$A$2:$A$83,0),MATCH($C8,'🔖 배합비 참조'!$B$1:$CE$1,0))/100,0),""))),"")</f>
        <v>0</v>
      </c>
      <c r="AV8" s="42" t="n">
        <f aca="false">IFERROR(IF($C8="","",IF($D8="","",IFERROR(ROUND($D8*INDEX('🔖 배합비 참조'!$B$2:$CE$83,MATCH("복음땅콩분태",'🔖 배합비 참조'!$A$2:$A$83,0),MATCH($C8,'🔖 배합비 참조'!$B$1:$CE$1,0))/100,0),""))),"")</f>
        <v>0</v>
      </c>
      <c r="AW8" s="42" t="n">
        <f aca="false">IFERROR(IF($C8="","",IF($D8="","",IFERROR(ROUND($D8*INDEX('🔖 배합비 참조'!$B$2:$CE$83,MATCH("사양벌꿀(국내산)",'🔖 배합비 참조'!$A$2:$A$83,0),MATCH($C8,'🔖 배합비 참조'!$B$1:$CE$1,0))/100,0),""))),"")</f>
        <v>0</v>
      </c>
      <c r="AX8" s="42" t="n">
        <f aca="false">IFERROR(IF($C8="","",IF($D8="","",IFERROR(ROUND($D8*INDEX('🔖 배합비 참조'!$B$2:$CE$83,MATCH("생크림",'🔖 배합비 참조'!$A$2:$A$83,0),MATCH($C8,'🔖 배합비 참조'!$B$1:$CE$1,0))/100,0),""))),"")</f>
        <v>0</v>
      </c>
      <c r="AY8" s="42" t="n">
        <f aca="false">IFERROR(IF($C8="","",IF($D8="","",IFERROR(ROUND($D8*INDEX('🔖 배합비 참조'!$B$2:$CE$83,MATCH("서양호박(국내산,뉴질랜드산)",'🔖 배합비 참조'!$A$2:$A$83,0),MATCH($C8,'🔖 배합비 참조'!$B$1:$CE$1,0))/100,0),""))),"")</f>
        <v>0</v>
      </c>
      <c r="AZ8" s="42" t="n">
        <f aca="false">IFERROR(IF($C8="","",IF($D8="","",IFERROR(ROUND($D8*INDEX('🔖 배합비 참조'!$B$2:$CE$83,MATCH("설탕",'🔖 배합비 참조'!$A$2:$A$83,0),MATCH($C8,'🔖 배합비 참조'!$B$1:$CE$1,0))/100,0),""))),"")</f>
        <v>4</v>
      </c>
      <c r="BA8" s="42" t="n">
        <f aca="false">IFERROR(IF($C8="","",IF($D8="","",IFERROR(ROUND($D8*INDEX('🔖 배합비 참조'!$B$2:$CE$83,MATCH("스트로우베리 에이드 후레쉬",'🔖 배합비 참조'!$A$2:$A$83,0),MATCH($C8,'🔖 배합비 참조'!$B$1:$CE$1,0))/100,0),""))),"")</f>
        <v>0</v>
      </c>
      <c r="BB8" s="42" t="n">
        <f aca="false">IFERROR(IF($C8="","",IF($D8="","",IFERROR(ROUND($D8*INDEX('🔖 배합비 참조'!$B$2:$CE$83,MATCH("식물성기름혼합제제(분홍)",'🔖 배합비 참조'!$A$2:$A$83,0),MATCH($C8,'🔖 배합비 참조'!$B$1:$CE$1,0))/100,0),""))),"")</f>
        <v>0</v>
      </c>
      <c r="BC8" s="42" t="n">
        <f aca="false">IFERROR(IF($C8="","",IF($D8="","",IFERROR(ROUND($D8*INDEX('🔖 배합비 참조'!$B$2:$CE$83,MATCH("식물성기름혼합제제(초록)",'🔖 배합비 참조'!$A$2:$A$83,0),MATCH($C8,'🔖 배합비 참조'!$B$1:$CE$1,0))/100,0),""))),"")</f>
        <v>0</v>
      </c>
      <c r="BD8" s="42" t="n">
        <f aca="false">IFERROR(IF($C8="","",IF($D8="","",IFERROR(ROUND($D8*INDEX('🔖 배합비 참조'!$B$2:$CE$83,MATCH("식물성기름혼합제제(황색)",'🔖 배합비 참조'!$A$2:$A$83,0),MATCH($C8,'🔖 배합비 참조'!$B$1:$CE$1,0))/100,0),""))),"")</f>
        <v>0</v>
      </c>
      <c r="BE8" s="42" t="n">
        <f aca="false">IFERROR(IF($C8="","",IF($D8="","",IFERROR(ROUND($D8*INDEX('🔖 배합비 참조'!$B$2:$CE$83,MATCH("쑥가루(국내산)",'🔖 배합비 참조'!$A$2:$A$83,0),MATCH($C8,'🔖 배합비 참조'!$B$1:$CE$1,0))/100,0),""))),"")</f>
        <v>2</v>
      </c>
      <c r="BF8" s="42" t="n">
        <f aca="false">IFERROR(IF($C8="","",IF($D8="","",IFERROR(ROUND($D8*INDEX('🔖 배합비 참조'!$B$2:$CE$83,MATCH("아몬드슬라이스",'🔖 배합비 참조'!$A$2:$A$83,0),MATCH($C8,'🔖 배합비 참조'!$B$1:$CE$1,0))/100,0),""))),"")</f>
        <v>0</v>
      </c>
      <c r="BG8" s="42" t="n">
        <f aca="false">IFERROR(IF($C8="","",IF($D8="","",IFERROR(ROUND($D8*INDEX('🔖 배합비 참조'!$B$2:$CE$83,MATCH("알룰로오스(국내산)",'🔖 배합비 참조'!$A$2:$A$83,0),MATCH($C8,'🔖 배합비 참조'!$B$1:$CE$1,0))/100,0),""))),"")</f>
        <v>0</v>
      </c>
      <c r="BH8" s="42" t="n">
        <f aca="false">IFERROR(IF($C8="","",IF($D8="","",IFERROR(ROUND($D8*INDEX('🔖 배합비 참조'!$B$2:$CE$83,MATCH("연유",'🔖 배합비 참조'!$A$2:$A$83,0),MATCH($C8,'🔖 배합비 참조'!$B$1:$CE$1,0))/100,0),""))),"")</f>
        <v>0</v>
      </c>
      <c r="BI8" s="42" t="n">
        <f aca="false">IFERROR(IF($C8="","",IF($D8="","",IFERROR(ROUND($D8*INDEX('🔖 배합비 참조'!$B$2:$CE$83,MATCH("옥수수전분",'🔖 배합비 참조'!$A$2:$A$83,0),MATCH($C8,'🔖 배합비 참조'!$B$1:$CE$1,0))/100,0),""))),"")</f>
        <v>0</v>
      </c>
      <c r="BJ8" s="42" t="n">
        <f aca="false">IFERROR(IF($C8="","",IF($D8="","",IFERROR(ROUND($D8*INDEX('🔖 배합비 참조'!$B$2:$CE$83,MATCH("완두배기",'🔖 배합비 참조'!$A$2:$A$83,0),MATCH($C8,'🔖 배합비 참조'!$B$1:$CE$1,0))/100,0),""))),"")</f>
        <v>0</v>
      </c>
      <c r="BK8" s="42" t="n">
        <f aca="false">IFERROR(IF($C8="","",IF($D8="","",IFERROR(ROUND($D8*INDEX('🔖 배합비 참조'!$B$2:$CE$83,MATCH("우유(국내산)",'🔖 배합비 참조'!$A$2:$A$83,0),MATCH($C8,'🔖 배합비 참조'!$B$1:$CE$1,0))/100,0),""))),"")</f>
        <v>0</v>
      </c>
      <c r="BL8" s="42" t="n">
        <f aca="false">IFERROR(IF($C8="","",IF($D8="","",IFERROR(ROUND($D8*INDEX('🔖 배합비 참조'!$B$2:$CE$83,MATCH("자색고구마가루(중국산)",'🔖 배합비 참조'!$A$2:$A$83,0),MATCH($C8,'🔖 배합비 참조'!$B$1:$CE$1,0))/100,0),""))),"")</f>
        <v>0</v>
      </c>
      <c r="BM8" s="42" t="n">
        <f aca="false">IFERROR(IF($C8="","",IF($D8="","",IFERROR(ROUND($D8*INDEX('🔖 배합비 참조'!$B$2:$CE$83,MATCH("자연치즈(체다치즈)",'🔖 배합비 참조'!$A$2:$A$83,0),MATCH($C8,'🔖 배합비 참조'!$B$1:$CE$1,0))/100,0),""))),"")</f>
        <v>0</v>
      </c>
      <c r="BN8" s="42" t="n">
        <f aca="false">IFERROR(IF($C8="","",IF($D8="","",IFERROR(ROUND($D8*INDEX('🔖 배합비 참조'!$B$2:$CE$83,MATCH("정제수",'🔖 배합비 참조'!$A$2:$A$83,0),MATCH($C8,'🔖 배합비 참조'!$B$1:$CE$1,0))/100,0),""))),"")</f>
        <v>24</v>
      </c>
      <c r="BO8" s="42" t="n">
        <f aca="false">IFERROR(IF($C8="","",IF($D8="","",IFERROR(ROUND($D8*INDEX('🔖 배합비 참조'!$B$2:$CE$83,MATCH("젤라틴",'🔖 배합비 참조'!$A$2:$A$83,0),MATCH($C8,'🔖 배합비 참조'!$B$1:$CE$1,0))/100,0),""))),"")</f>
        <v>0</v>
      </c>
      <c r="BP8" s="42" t="n">
        <f aca="false">IFERROR(IF($C8="","",IF($D8="","",IFERROR(ROUND($D8*INDEX('🔖 배합비 참조'!$B$2:$CE$83,MATCH("조림류(백옥앙금)",'🔖 배합비 참조'!$A$2:$A$83,0),MATCH($C8,'🔖 배합비 참조'!$B$1:$CE$1,0))/100,0),""))),"")</f>
        <v>52</v>
      </c>
      <c r="BQ8" s="42" t="n">
        <f aca="false">IFERROR(IF($C8="","",IF($D8="","",IFERROR(ROUND($D8*INDEX('🔖 배합비 참조'!$B$2:$CE$83,MATCH("조림류(통팥앙금)",'🔖 배합비 참조'!$A$2:$A$83,0),MATCH($C8,'🔖 배합비 참조'!$B$1:$CE$1,0))/100,0),""))),"")</f>
        <v>0</v>
      </c>
      <c r="BR8" s="42" t="n">
        <f aca="false">IFERROR(IF($C8="","",IF($D8="","",IFERROR(ROUND($D8*INDEX('🔖 배합비 참조'!$B$2:$CE$83,MATCH("준초콜릿(외국산)",'🔖 배합비 참조'!$A$2:$A$83,0),MATCH($C8,'🔖 배합비 참조'!$B$1:$CE$1,0))/100,0),""))),"")</f>
        <v>0</v>
      </c>
      <c r="BS8" s="42" t="n">
        <f aca="false">IFERROR(IF($C8="","",IF($D8="","",IFERROR(ROUND($D8*INDEX('🔖 배합비 참조'!$B$2:$CE$83,MATCH("중력분",'🔖 배합비 참조'!$A$2:$A$83,0),MATCH($C8,'🔖 배합비 참조'!$B$1:$CE$1,0))/100,0),""))),"")</f>
        <v>2</v>
      </c>
      <c r="BT8" s="42" t="n">
        <f aca="false">IFERROR(IF($C8="","",IF($D8="","",IFERROR(ROUND($D8*INDEX('🔖 배합비 참조'!$B$2:$CE$83,MATCH("참깨(인도산,나이지리아산,탄자니아산,미얀마산)",'🔖 배합비 참조'!$A$2:$A$83,0),MATCH($C8,'🔖 배합비 참조'!$B$1:$CE$1,0))/100,0),""))),"")</f>
        <v>0</v>
      </c>
      <c r="BU8" s="42" t="n">
        <f aca="false">IFERROR(IF($C8="","",IF($D8="","",IFERROR(ROUND($D8*INDEX('🔖 배합비 참조'!$B$2:$CE$83,MATCH("찹쌀(국내산)",'🔖 배합비 참조'!$A$2:$A$83,0),MATCH($C8,'🔖 배합비 참조'!$B$1:$CE$1,0))/100,0),""))),"")</f>
        <v>83</v>
      </c>
      <c r="BV8" s="42" t="n">
        <f aca="false">IFERROR(IF($C8="","",IF($D8="","",IFERROR(ROUND($D8*INDEX('🔖 배합비 참조'!$B$2:$CE$83,MATCH("천일염",'🔖 배합비 참조'!$A$2:$A$83,0),MATCH($C8,'🔖 배합비 참조'!$B$1:$CE$1,0))/100,0),""))),"")</f>
        <v>1</v>
      </c>
      <c r="BW8" s="42" t="n">
        <f aca="false">IFERROR(IF($C8="","",IF($D8="","",IFERROR(ROUND($D8*INDEX('🔖 배합비 참조'!$B$2:$CE$83,MATCH("치즈 [크림치즈]",'🔖 배합비 참조'!$A$2:$A$83,0),MATCH($C8,'🔖 배합비 참조'!$B$1:$CE$1,0))/100,0),""))),"")</f>
        <v>0</v>
      </c>
      <c r="BX8" s="42" t="n">
        <f aca="false">IFERROR(IF($C8="","",IF($D8="","",IFERROR(ROUND($D8*INDEX('🔖 배합비 참조'!$B$2:$CE$83,MATCH("코코아가공품류(코코아분말)",'🔖 배합비 참조'!$A$2:$A$83,0),MATCH($C8,'🔖 배합비 참조'!$B$1:$CE$1,0))/100,0),""))),"")</f>
        <v>0</v>
      </c>
      <c r="BY8" s="42" t="n">
        <f aca="false">IFERROR(IF($C8="","",IF($D8="","",IFERROR(ROUND($D8*INDEX('🔖 배합비 참조'!$B$2:$CE$83,MATCH("콩기름(대두유)",'🔖 배합비 참조'!$A$2:$A$83,0),MATCH($C8,'🔖 배합비 참조'!$B$1:$CE$1,0))/100,0),""))),"")</f>
        <v>0</v>
      </c>
      <c r="BZ8" s="42" t="n">
        <f aca="false">IFERROR(IF($C8="","",IF($D8="","",IFERROR(ROUND($D8*INDEX('🔖 배합비 참조'!$B$2:$CE$83,MATCH("해바라기씨앗",'🔖 배합비 참조'!$A$2:$A$83,0),MATCH($C8,'🔖 배합비 참조'!$B$1:$CE$1,0))/100,0),""))),"")</f>
        <v>0</v>
      </c>
      <c r="CA8" s="42" t="n">
        <f aca="false">IFERROR(IF($C8="","",IF($D8="","",IFERROR(ROUND($D8*INDEX('🔖 배합비 참조'!$B$2:$CE$83,MATCH("현미(국내산)",'🔖 배합비 참조'!$A$2:$A$83,0),MATCH($C8,'🔖 배합비 참조'!$B$1:$CE$1,0))/100,0),""))),"")</f>
        <v>0</v>
      </c>
      <c r="CB8" s="42" t="n">
        <f aca="false">IFERROR(IF($C8="","",IF($D8="","",IFERROR(ROUND($D8*INDEX('🔖 배합비 참조'!$B$2:$CE$83,MATCH("현미멥쌀(국내산)",'🔖 배합비 참조'!$A$2:$A$83,0),MATCH($C8,'🔖 배합비 참조'!$B$1:$CE$1,0))/100,0),""))),"")</f>
        <v>0</v>
      </c>
      <c r="CC8" s="42" t="n">
        <f aca="false">IFERROR(IF($C8="","",IF($D8="","",IFERROR(ROUND($D8*INDEX('🔖 배합비 참조'!$B$2:$CE$83,MATCH("호두분태(미국산)",'🔖 배합비 참조'!$A$2:$A$83,0),MATCH($C8,'🔖 배합비 참조'!$B$1:$CE$1,0))/100,0),""))),"")</f>
        <v>0</v>
      </c>
      <c r="CD8" s="42" t="n">
        <f aca="false">IFERROR(IF($C8="","",IF($D8="","",IFERROR(ROUND($D8*INDEX('🔖 배합비 참조'!$B$2:$CE$83,MATCH("호박씨앗(외국산)",'🔖 배합비 참조'!$A$2:$A$83,0),MATCH($C8,'🔖 배합비 참조'!$B$1:$CE$1,0))/100,0),""))),"")</f>
        <v>0</v>
      </c>
      <c r="CE8" s="42" t="n">
        <f aca="false">IFERROR(IF($C8="","",IF($D8="","",IFERROR(ROUND($D8*INDEX('🔖 배합비 참조'!$B$2:$CE$83,MATCH("혼합제제(떡용에스텔)",'🔖 배합비 참조'!$A$2:$A$83,0),MATCH($C8,'🔖 배합비 참조'!$B$1:$CE$1,0))/100,0),""))),"")</f>
        <v>1</v>
      </c>
      <c r="CF8" s="42" t="n">
        <f aca="false">IFERROR(IF($C8="","",IF($D8="","",IFERROR(ROUND($D8*INDEX('🔖 배합비 참조'!$B$2:$CE$83,MATCH("혼합제제(스테비아)",'🔖 배합비 참조'!$A$2:$A$83,0),MATCH($C8,'🔖 배합비 참조'!$B$1:$CE$1,0))/100,0),""))),"")</f>
        <v>0</v>
      </c>
      <c r="CG8" s="42" t="n">
        <f aca="false">IFERROR(IF($C8="","",IF($D8="","",IFERROR(ROUND($D8*INDEX('🔖 배합비 참조'!$B$2:$CE$83,MATCH("화이트초콜릿",'🔖 배합비 참조'!$A$2:$A$83,0),MATCH($C8,'🔖 배합비 참조'!$B$1:$CE$1,0))/100,0),""))),"")</f>
        <v>0</v>
      </c>
      <c r="CH8" s="42" t="n">
        <f aca="false">IFERROR(IF($C8="","",IF($D8="","",IFERROR(ROUND($D8*INDEX('🔖 배합비 참조'!$B$2:$CE$83,MATCH("흑미찹쌀(국내산)",'🔖 배합비 참조'!$A$2:$A$83,0),MATCH($C8,'🔖 배합비 참조'!$B$1:$CE$1,0))/100,0),""))),"")</f>
        <v>0</v>
      </c>
      <c r="CI8" s="42" t="n">
        <f aca="false">IFERROR(IF($C8="","",IF($D8="","",IFERROR(ROUND($D8*INDEX('🔖 배합비 참조'!$B$2:$CE$83,MATCH("찰옥수수전분(미국산)",'🔖 배합비 참조'!$A$2:$A$83,0),MATCH($C8,'🔖 배합비 참조'!$B$1:$CE$1,0))/100,0),""))),"")</f>
        <v>0</v>
      </c>
      <c r="CJ8" s="40"/>
      <c r="CL8" s="1" t="s">
        <v>235</v>
      </c>
    </row>
    <row r="9" customFormat="false" ht="18" hidden="false" customHeight="true" outlineLevel="0" collapsed="false">
      <c r="A9" s="35" t="n">
        <v>5</v>
      </c>
      <c r="B9" s="36" t="n">
        <v>45944</v>
      </c>
      <c r="C9" s="37" t="s">
        <v>143</v>
      </c>
      <c r="D9" s="38" t="n">
        <v>180</v>
      </c>
      <c r="E9" s="13"/>
      <c r="F9" s="13"/>
      <c r="G9" s="39" t="n">
        <f aca="false">IFERROR(IF($C9="","",IF($D9="","",IFERROR(ROUND($D9*INDEX('🔖 배합비 참조'!$B$2:$CE$83,MATCH("간장",'🔖 배합비 참조'!$A$2:$A$83,0),MATCH($C9,'🔖 배합비 참조'!$B$1:$CE$1,0))/100,0),""))),"")</f>
        <v>0</v>
      </c>
      <c r="H9" s="39" t="n">
        <f aca="false">IFERROR(IF($C9="","",IF($D9="","",IFERROR(ROUND($D9*INDEX('🔖 배합비 참조'!$B$2:$CE$83,MATCH("강낭콩((울타리콩))",'🔖 배합비 참조'!$A$2:$A$83,0),MATCH($C9,'🔖 배합비 참조'!$B$1:$CE$1,0))/100,0),""))),"")</f>
        <v>0</v>
      </c>
      <c r="I9" s="39" t="n">
        <f aca="false">IFERROR(IF($C9="","",IF($D9="","",IFERROR(ROUND($D9*INDEX('🔖 배합비 참조'!$B$2:$CE$83,MATCH("건조딸기다이스(외국산)",'🔖 배합비 참조'!$A$2:$A$83,0),MATCH($C9,'🔖 배합비 참조'!$B$1:$CE$1,0))/100,0),""))),"")</f>
        <v>0</v>
      </c>
      <c r="J9" s="39" t="n">
        <f aca="false">IFERROR(IF($C9="","",IF($D9="","",IFERROR(ROUND($D9*INDEX('🔖 배합비 참조'!$B$2:$CE$83,MATCH("건포도",'🔖 배합비 참조'!$A$2:$A$83,0),MATCH($C9,'🔖 배합비 참조'!$B$1:$CE$1,0))/100,0),""))),"")</f>
        <v>0</v>
      </c>
      <c r="K9" s="39" t="n">
        <f aca="false">IFERROR(IF($C9="","",IF($D9="","",IFERROR(ROUND($D9*INDEX('🔖 배합비 참조'!$B$2:$CE$83,MATCH("건호박채(중국산)",'🔖 배합비 참조'!$A$2:$A$83,0),MATCH($C9,'🔖 배합비 참조'!$B$1:$CE$1,0))/100,0),""))),"")</f>
        <v>0</v>
      </c>
      <c r="L9" s="39" t="n">
        <f aca="false">IFERROR(IF($C9="","",IF($D9="","",IFERROR(ROUND($D9*INDEX('🔖 배합비 참조'!$B$2:$CE$83,MATCH("검정깨(흑임자)",'🔖 배합비 참조'!$A$2:$A$83,0),MATCH($C9,'🔖 배합비 참조'!$B$1:$CE$1,0))/100,0),""))),"")</f>
        <v>0</v>
      </c>
      <c r="M9" s="39" t="n">
        <f aca="false">IFERROR(IF($C9="","",IF($D9="","",IFERROR(ROUND($D9*INDEX('🔖 배합비 참조'!$B$2:$CE$83,MATCH("검정콩",'🔖 배합비 참조'!$A$2:$A$83,0),MATCH($C9,'🔖 배합비 참조'!$B$1:$CE$1,0))/100,0),""))),"")</f>
        <v>0</v>
      </c>
      <c r="N9" s="39" t="n">
        <f aca="false">IFERROR(IF($C9="","",IF($D9="","",IFERROR(ROUND($D9*INDEX('🔖 배합비 참조'!$B$2:$CE$83,MATCH("계피가루",'🔖 배합비 참조'!$A$2:$A$83,0),MATCH($C9,'🔖 배합비 참조'!$B$1:$CE$1,0))/100,0),""))),"")</f>
        <v>0</v>
      </c>
      <c r="O9" s="39" t="n">
        <f aca="false">IFERROR(IF($C9="","",IF($D9="","",IFERROR(ROUND($D9*INDEX('🔖 배합비 참조'!$B$2:$CE$83,MATCH("고구마가루",'🔖 배합비 참조'!$A$2:$A$83,0),MATCH($C9,'🔖 배합비 참조'!$B$1:$CE$1,0))/100,0),""))),"")</f>
        <v>0</v>
      </c>
      <c r="P9" s="39" t="n">
        <f aca="false">IFERROR(IF($C9="","",IF($D9="","",IFERROR(ROUND($D9*INDEX('🔖 배합비 참조'!$B$2:$CE$83,MATCH("고구마무스",'🔖 배합비 참조'!$A$2:$A$83,0),MATCH($C9,'🔖 배합비 참조'!$B$1:$CE$1,0))/100,0),""))),"")</f>
        <v>0</v>
      </c>
      <c r="Q9" s="39" t="n">
        <f aca="false">IFERROR(IF($C9="","",IF($D9="","",IFERROR(ROUND($D9*INDEX('🔖 배합비 참조'!$B$2:$CE$83,MATCH("고려엉겅퀴((곤드레)국내산)",'🔖 배합비 참조'!$A$2:$A$83,0),MATCH($C9,'🔖 배합비 참조'!$B$1:$CE$1,0))/100,0),""))),"")</f>
        <v>0</v>
      </c>
      <c r="R9" s="39" t="n">
        <f aca="false">IFERROR(IF($C9="","",IF($D9="","",IFERROR(ROUND($D9*INDEX('🔖 배합비 참조'!$B$2:$CE$83,MATCH("기타가공품(복분자가루)",'🔖 배합비 참조'!$A$2:$A$83,0),MATCH($C9,'🔖 배합비 참조'!$B$1:$CE$1,0))/100,0),""))),"")</f>
        <v>0</v>
      </c>
      <c r="S9" s="39" t="n">
        <f aca="false">IFERROR(IF($C9="","",IF($D9="","",IFERROR(ROUND($D9*INDEX('🔖 배합비 참조'!$B$2:$CE$83,MATCH("기타가공품(슈퍼소프트엠)",'🔖 배합비 참조'!$A$2:$A$83,0),MATCH($C9,'🔖 배합비 참조'!$B$1:$CE$1,0))/100,0),""))),"")</f>
        <v>0</v>
      </c>
      <c r="T9" s="39" t="n">
        <f aca="false">IFERROR(IF($C9="","",IF($D9="","",IFERROR(ROUND($D9*INDEX('🔖 배합비 참조'!$B$2:$CE$83,MATCH("기타가공품(파인소프트 E-티)",'🔖 배합비 참조'!$A$2:$A$83,0),MATCH($C9,'🔖 배합비 참조'!$B$1:$CE$1,0))/100,0),""))),"")</f>
        <v>0</v>
      </c>
      <c r="U9" s="39" t="n">
        <f aca="false">IFERROR(IF($C9="","",IF($D9="","",IFERROR(ROUND($D9*INDEX('🔖 배합비 참조'!$B$2:$CE$83,MATCH("기타가공품(프리미엄카스테라가루)",'🔖 배합비 참조'!$A$2:$A$83,0),MATCH($C9,'🔖 배합비 참조'!$B$1:$CE$1,0))/100,0),""))),"")</f>
        <v>0</v>
      </c>
      <c r="V9" s="39" t="n">
        <f aca="false">IFERROR(IF($C9="","",IF($D9="","",IFERROR(ROUND($D9*INDEX('🔖 배합비 참조'!$B$2:$CE$83,MATCH("기타가공품(흑임자가루)",'🔖 배합비 참조'!$A$2:$A$83,0),MATCH($C9,'🔖 배합비 참조'!$B$1:$CE$1,0))/100,0),""))),"")</f>
        <v>0</v>
      </c>
      <c r="W9" s="39" t="n">
        <f aca="false">IFERROR(IF($C9="","",IF($D9="","",IFERROR(ROUND($D9*INDEX('🔖 배합비 참조'!$B$2:$CE$83,MATCH("기타설탕(흑설탕)",'🔖 배합비 참조'!$A$2:$A$83,0),MATCH($C9,'🔖 배합비 참조'!$B$1:$CE$1,0))/100,0),""))),"")</f>
        <v>15</v>
      </c>
      <c r="X9" s="39" t="n">
        <f aca="false">IFERROR(IF($C9="","",IF($D9="","",IFERROR(ROUND($D9*INDEX('🔖 배합비 참조'!$B$2:$CE$83,MATCH("냉동쑥(국내산)",'🔖 배합비 참조'!$A$2:$A$83,0),MATCH($C9,'🔖 배합비 참조'!$B$1:$CE$1,0))/100,0),""))),"")</f>
        <v>0</v>
      </c>
      <c r="Y9" s="39" t="n">
        <f aca="false">IFERROR(IF($C9="","",IF($D9="","",IFERROR(ROUND($D9*INDEX('🔖 배합비 참조'!$B$2:$CE$83,MATCH("냉동증숙고구마(중국산)",'🔖 배합비 참조'!$A$2:$A$83,0),MATCH($C9,'🔖 배합비 참조'!$B$1:$CE$1,0))/100,0),""))),"")</f>
        <v>0</v>
      </c>
      <c r="Z9" s="39" t="n">
        <f aca="false">IFERROR(IF($C9="","",IF($D9="","",IFERROR(ROUND($D9*INDEX('🔖 배합비 참조'!$B$2:$CE$83,MATCH("녹차가루",'🔖 배합비 참조'!$A$2:$A$83,0),MATCH($C9,'🔖 배합비 참조'!$B$1:$CE$1,0))/100,0),""))),"")</f>
        <v>0</v>
      </c>
      <c r="AA9" s="39" t="n">
        <f aca="false">IFERROR(IF($C9="","",IF($D9="","",IFERROR(ROUND($D9*INDEX('🔖 배합비 참조'!$B$2:$CE$83,MATCH("다크초콜릿 컴파운드칩",'🔖 배합비 참조'!$A$2:$A$83,0),MATCH($C9,'🔖 배합비 참조'!$B$1:$CE$1,0))/100,0),""))),"")</f>
        <v>0</v>
      </c>
      <c r="AB9" s="39" t="n">
        <f aca="false">IFERROR(IF($C9="","",IF($D9="","",IFERROR(ROUND($D9*INDEX('🔖 배합비 참조'!$B$2:$CE$83,MATCH("단호박분말(중국산)",'🔖 배합비 참조'!$A$2:$A$83,0),MATCH($C9,'🔖 배합비 참조'!$B$1:$CE$1,0))/100,0),""))),"")</f>
        <v>0</v>
      </c>
      <c r="AC9" s="39" t="n">
        <f aca="false">IFERROR(IF($C9="","",IF($D9="","",IFERROR(ROUND($D9*INDEX('🔖 배합비 참조'!$B$2:$CE$83,MATCH("당류가공품(단호박농축액)",'🔖 배합비 참조'!$A$2:$A$83,0),MATCH($C9,'🔖 배합비 참조'!$B$1:$CE$1,0))/100,0),""))),"")</f>
        <v>0</v>
      </c>
      <c r="AD9" s="39" t="n">
        <f aca="false">IFERROR(IF($C9="","",IF($D9="","",IFERROR(ROUND($D9*INDEX('🔖 배합비 참조'!$B$2:$CE$83,MATCH("당류가공품(알룰로스,에리스리톨,스테비올배당체혼합)",'🔖 배합비 참조'!$A$2:$A$83,0),MATCH($C9,'🔖 배합비 참조'!$B$1:$CE$1,0))/100,0),""))),"")</f>
        <v>0</v>
      </c>
      <c r="AE9" s="39" t="n">
        <f aca="false">IFERROR(IF($C9="","",IF($D9="","",IFERROR(ROUND($D9*INDEX('🔖 배합비 참조'!$B$2:$CE$83,MATCH("당류가공품(알룰로스제로파우더)",'🔖 배합비 참조'!$A$2:$A$83,0),MATCH($C9,'🔖 배합비 참조'!$B$1:$CE$1,0))/100,0),""))),"")</f>
        <v>0</v>
      </c>
      <c r="AF9" s="39" t="n">
        <f aca="false">IFERROR(IF($C9="","",IF($D9="","",IFERROR(ROUND($D9*INDEX('🔖 배합비 참조'!$B$2:$CE$83,MATCH("당절임(완두배기)",'🔖 배합비 참조'!$A$2:$A$83,0),MATCH($C9,'🔖 배합비 참조'!$B$1:$CE$1,0))/100,0),""))),"")</f>
        <v>0</v>
      </c>
      <c r="AG9" s="39" t="n">
        <f aca="false">IFERROR(IF($C9="","",IF($D9="","",IFERROR(ROUND($D9*INDEX('🔖 배합비 참조'!$B$2:$CE$83,MATCH("대추농축액",'🔖 배합비 참조'!$A$2:$A$83,0),MATCH($C9,'🔖 배합비 참조'!$B$1:$CE$1,0))/100,0),""))),"")</f>
        <v>0</v>
      </c>
      <c r="AH9" s="39" t="n">
        <f aca="false">IFERROR(IF($C9="","",IF($D9="","",IFERROR(ROUND($D9*INDEX('🔖 배합비 참조'!$B$2:$CE$83,MATCH("대추채(국내산)",'🔖 배합비 참조'!$A$2:$A$83,0),MATCH($C9,'🔖 배합비 참조'!$B$1:$CE$1,0))/100,0),""))),"")</f>
        <v>0</v>
      </c>
      <c r="AI9" s="39" t="n">
        <f aca="false">IFERROR(IF($C9="","",IF($D9="","",IFERROR(ROUND($D9*INDEX('🔖 배합비 참조'!$B$2:$CE$83,MATCH("동부(미얀마산)",'🔖 배합비 참조'!$A$2:$A$83,0),MATCH($C9,'🔖 배합비 참조'!$B$1:$CE$1,0))/100,0),""))),"")</f>
        <v>0</v>
      </c>
      <c r="AJ9" s="39" t="n">
        <f aca="false">IFERROR(IF($C9="","",IF($D9="","",IFERROR(ROUND($D9*INDEX('🔖 배합비 참조'!$B$2:$CE$83,MATCH("두류가공품(백옥앙금)",'🔖 배합비 참조'!$A$2:$A$83,0),MATCH($C9,'🔖 배합비 참조'!$B$1:$CE$1,0))/100,0),""))),"")</f>
        <v>0</v>
      </c>
      <c r="AK9" s="39" t="n">
        <f aca="false">IFERROR(IF($C9="","",IF($D9="","",IFERROR(ROUND($D9*INDEX('🔖 배합비 참조'!$B$2:$CE$83,MATCH("두류가공품(콩고물)",'🔖 배합비 참조'!$A$2:$A$83,0),MATCH($C9,'🔖 배합비 참조'!$B$1:$CE$1,0))/100,0),""))),"")</f>
        <v>0</v>
      </c>
      <c r="AL9" s="39" t="n">
        <f aca="false">IFERROR(IF($C9="","",IF($D9="","",IFERROR(ROUND($D9*INDEX('🔖 배합비 참조'!$B$2:$CE$83,MATCH("두류가공품(통팥고물)",'🔖 배합비 참조'!$A$2:$A$83,0),MATCH($C9,'🔖 배합비 참조'!$B$1:$CE$1,0))/100,0),""))),"")</f>
        <v>0</v>
      </c>
      <c r="AM9" s="39" t="n">
        <f aca="false">IFERROR(IF($C9="","",IF($D9="","",IFERROR(ROUND($D9*INDEX('🔖 배합비 참조'!$B$2:$CE$83,MATCH("딸기레진",'🔖 배합비 참조'!$A$2:$A$83,0),MATCH($C9,'🔖 배합비 참조'!$B$1:$CE$1,0))/100,0),""))),"")</f>
        <v>0</v>
      </c>
      <c r="AN9" s="39" t="n">
        <f aca="false">IFERROR(IF($C9="","",IF($D9="","",IFERROR(ROUND($D9*INDEX('🔖 배합비 참조'!$B$2:$CE$83,MATCH("딸기분말(스트로우베리에이드(분말))",'🔖 배합비 참조'!$A$2:$A$83,0),MATCH($C9,'🔖 배합비 참조'!$B$1:$CE$1,0))/100,0),""))),"")</f>
        <v>0</v>
      </c>
      <c r="AO9" s="39" t="n">
        <f aca="false">IFERROR(IF($C9="","",IF($D9="","",IFERROR(ROUND($D9*INDEX('🔖 배합비 참조'!$B$2:$CE$83,MATCH("마스카포네치즈",'🔖 배합비 참조'!$A$2:$A$83,0),MATCH($C9,'🔖 배합비 참조'!$B$1:$CE$1,0))/100,0),""))),"")</f>
        <v>0</v>
      </c>
      <c r="AP9" s="39" t="n">
        <f aca="false">IFERROR(IF($C9="","",IF($D9="","",IFERROR(ROUND($D9*INDEX('🔖 배합비 참조'!$B$2:$CE$83,MATCH("마카다미아분태(호주산)",'🔖 배합비 참조'!$A$2:$A$83,0),MATCH($C9,'🔖 배합비 참조'!$B$1:$CE$1,0))/100,0),""))),"")</f>
        <v>0</v>
      </c>
      <c r="AQ9" s="39" t="n">
        <f aca="false">IFERROR(IF($C9="","",IF($D9="","",IFERROR(ROUND($D9*INDEX('🔖 배합비 참조'!$B$2:$CE$83,MATCH("멥쌀(국내산)",'🔖 배합비 참조'!$A$2:$A$83,0),MATCH($C9,'🔖 배합비 참조'!$B$1:$CE$1,0))/100,0),""))),"")</f>
        <v>121</v>
      </c>
      <c r="AR9" s="39" t="n">
        <f aca="false">IFERROR(IF($C9="","",IF($D9="","",IFERROR(ROUND($D9*INDEX('🔖 배합비 참조'!$B$2:$CE$83,MATCH("모시잎(국내산)",'🔖 배합비 참조'!$A$2:$A$83,0),MATCH($C9,'🔖 배합비 참조'!$B$1:$CE$1,0))/100,0),""))),"")</f>
        <v>0</v>
      </c>
      <c r="AS9" s="39" t="n">
        <f aca="false">IFERROR(IF($C9="","",IF($D9="","",IFERROR(ROUND($D9*INDEX('🔖 배합비 참조'!$B$2:$CE$83,MATCH("물엿(저당물엿)",'🔖 배합비 참조'!$A$2:$A$83,0),MATCH($C9,'🔖 배합비 참조'!$B$1:$CE$1,0))/100,0),""))),"")</f>
        <v>0</v>
      </c>
      <c r="AT9" s="39" t="n">
        <f aca="false">IFERROR(IF($C9="","",IF($D9="","",IFERROR(ROUND($D9*INDEX('🔖 배합비 참조'!$B$2:$CE$83,MATCH("밤다이스",'🔖 배합비 참조'!$A$2:$A$83,0),MATCH($C9,'🔖 배합비 참조'!$B$1:$CE$1,0))/100,0),""))),"")</f>
        <v>0</v>
      </c>
      <c r="AU9" s="39" t="n">
        <f aca="false">IFERROR(IF($C9="","",IF($D9="","",IFERROR(ROUND($D9*INDEX('🔖 배합비 참조'!$B$2:$CE$83,MATCH("변성전분(타피오카전분)",'🔖 배합비 참조'!$A$2:$A$83,0),MATCH($C9,'🔖 배합비 참조'!$B$1:$CE$1,0))/100,0),""))),"")</f>
        <v>0</v>
      </c>
      <c r="AV9" s="39" t="n">
        <f aca="false">IFERROR(IF($C9="","",IF($D9="","",IFERROR(ROUND($D9*INDEX('🔖 배합비 참조'!$B$2:$CE$83,MATCH("복음땅콩분태",'🔖 배합비 참조'!$A$2:$A$83,0),MATCH($C9,'🔖 배합비 참조'!$B$1:$CE$1,0))/100,0),""))),"")</f>
        <v>0</v>
      </c>
      <c r="AW9" s="39" t="n">
        <f aca="false">IFERROR(IF($C9="","",IF($D9="","",IFERROR(ROUND($D9*INDEX('🔖 배합비 참조'!$B$2:$CE$83,MATCH("사양벌꿀(국내산)",'🔖 배합비 참조'!$A$2:$A$83,0),MATCH($C9,'🔖 배합비 참조'!$B$1:$CE$1,0))/100,0),""))),"")</f>
        <v>4</v>
      </c>
      <c r="AX9" s="39" t="n">
        <f aca="false">IFERROR(IF($C9="","",IF($D9="","",IFERROR(ROUND($D9*INDEX('🔖 배합비 참조'!$B$2:$CE$83,MATCH("생크림",'🔖 배합비 참조'!$A$2:$A$83,0),MATCH($C9,'🔖 배합비 참조'!$B$1:$CE$1,0))/100,0),""))),"")</f>
        <v>0</v>
      </c>
      <c r="AY9" s="39" t="n">
        <f aca="false">IFERROR(IF($C9="","",IF($D9="","",IFERROR(ROUND($D9*INDEX('🔖 배합비 참조'!$B$2:$CE$83,MATCH("서양호박(국내산,뉴질랜드산)",'🔖 배합비 참조'!$A$2:$A$83,0),MATCH($C9,'🔖 배합비 참조'!$B$1:$CE$1,0))/100,0),""))),"")</f>
        <v>0</v>
      </c>
      <c r="AZ9" s="39" t="n">
        <f aca="false">IFERROR(IF($C9="","",IF($D9="","",IFERROR(ROUND($D9*INDEX('🔖 배합비 참조'!$B$2:$CE$83,MATCH("설탕",'🔖 배합비 참조'!$A$2:$A$83,0),MATCH($C9,'🔖 배합비 참조'!$B$1:$CE$1,0))/100,0),""))),"")</f>
        <v>15</v>
      </c>
      <c r="BA9" s="39" t="n">
        <f aca="false">IFERROR(IF($C9="","",IF($D9="","",IFERROR(ROUND($D9*INDEX('🔖 배합비 참조'!$B$2:$CE$83,MATCH("스트로우베리 에이드 후레쉬",'🔖 배합비 참조'!$A$2:$A$83,0),MATCH($C9,'🔖 배합비 참조'!$B$1:$CE$1,0))/100,0),""))),"")</f>
        <v>0</v>
      </c>
      <c r="BB9" s="39" t="n">
        <f aca="false">IFERROR(IF($C9="","",IF($D9="","",IFERROR(ROUND($D9*INDEX('🔖 배합비 참조'!$B$2:$CE$83,MATCH("식물성기름혼합제제(분홍)",'🔖 배합비 참조'!$A$2:$A$83,0),MATCH($C9,'🔖 배합비 참조'!$B$1:$CE$1,0))/100,0),""))),"")</f>
        <v>0</v>
      </c>
      <c r="BC9" s="39" t="n">
        <f aca="false">IFERROR(IF($C9="","",IF($D9="","",IFERROR(ROUND($D9*INDEX('🔖 배합비 참조'!$B$2:$CE$83,MATCH("식물성기름혼합제제(초록)",'🔖 배합비 참조'!$A$2:$A$83,0),MATCH($C9,'🔖 배합비 참조'!$B$1:$CE$1,0))/100,0),""))),"")</f>
        <v>0</v>
      </c>
      <c r="BD9" s="39" t="n">
        <f aca="false">IFERROR(IF($C9="","",IF($D9="","",IFERROR(ROUND($D9*INDEX('🔖 배합비 참조'!$B$2:$CE$83,MATCH("식물성기름혼합제제(황색)",'🔖 배합비 참조'!$A$2:$A$83,0),MATCH($C9,'🔖 배합비 참조'!$B$1:$CE$1,0))/100,0),""))),"")</f>
        <v>0</v>
      </c>
      <c r="BE9" s="39" t="n">
        <f aca="false">IFERROR(IF($C9="","",IF($D9="","",IFERROR(ROUND($D9*INDEX('🔖 배합비 참조'!$B$2:$CE$83,MATCH("쑥가루(국내산)",'🔖 배합비 참조'!$A$2:$A$83,0),MATCH($C9,'🔖 배합비 참조'!$B$1:$CE$1,0))/100,0),""))),"")</f>
        <v>0</v>
      </c>
      <c r="BF9" s="39" t="n">
        <f aca="false">IFERROR(IF($C9="","",IF($D9="","",IFERROR(ROUND($D9*INDEX('🔖 배합비 참조'!$B$2:$CE$83,MATCH("아몬드슬라이스",'🔖 배합비 참조'!$A$2:$A$83,0),MATCH($C9,'🔖 배합비 참조'!$B$1:$CE$1,0))/100,0),""))),"")</f>
        <v>0</v>
      </c>
      <c r="BG9" s="39" t="n">
        <f aca="false">IFERROR(IF($C9="","",IF($D9="","",IFERROR(ROUND($D9*INDEX('🔖 배합비 참조'!$B$2:$CE$83,MATCH("알룰로오스(국내산)",'🔖 배합비 참조'!$A$2:$A$83,0),MATCH($C9,'🔖 배합비 참조'!$B$1:$CE$1,0))/100,0),""))),"")</f>
        <v>0</v>
      </c>
      <c r="BH9" s="39" t="n">
        <f aca="false">IFERROR(IF($C9="","",IF($D9="","",IFERROR(ROUND($D9*INDEX('🔖 배합비 참조'!$B$2:$CE$83,MATCH("연유",'🔖 배합비 참조'!$A$2:$A$83,0),MATCH($C9,'🔖 배합비 참조'!$B$1:$CE$1,0))/100,0),""))),"")</f>
        <v>0</v>
      </c>
      <c r="BI9" s="39" t="n">
        <f aca="false">IFERROR(IF($C9="","",IF($D9="","",IFERROR(ROUND($D9*INDEX('🔖 배합비 참조'!$B$2:$CE$83,MATCH("옥수수전분",'🔖 배합비 참조'!$A$2:$A$83,0),MATCH($C9,'🔖 배합비 참조'!$B$1:$CE$1,0))/100,0),""))),"")</f>
        <v>0</v>
      </c>
      <c r="BJ9" s="39" t="n">
        <f aca="false">IFERROR(IF($C9="","",IF($D9="","",IFERROR(ROUND($D9*INDEX('🔖 배합비 참조'!$B$2:$CE$83,MATCH("완두배기",'🔖 배합비 참조'!$A$2:$A$83,0),MATCH($C9,'🔖 배합비 참조'!$B$1:$CE$1,0))/100,0),""))),"")</f>
        <v>0</v>
      </c>
      <c r="BK9" s="39" t="n">
        <f aca="false">IFERROR(IF($C9="","",IF($D9="","",IFERROR(ROUND($D9*INDEX('🔖 배합비 참조'!$B$2:$CE$83,MATCH("우유(국내산)",'🔖 배합비 참조'!$A$2:$A$83,0),MATCH($C9,'🔖 배합비 참조'!$B$1:$CE$1,0))/100,0),""))),"")</f>
        <v>0</v>
      </c>
      <c r="BL9" s="39" t="n">
        <f aca="false">IFERROR(IF($C9="","",IF($D9="","",IFERROR(ROUND($D9*INDEX('🔖 배합비 참조'!$B$2:$CE$83,MATCH("자색고구마가루(중국산)",'🔖 배합비 참조'!$A$2:$A$83,0),MATCH($C9,'🔖 배합비 참조'!$B$1:$CE$1,0))/100,0),""))),"")</f>
        <v>0</v>
      </c>
      <c r="BM9" s="39" t="n">
        <f aca="false">IFERROR(IF($C9="","",IF($D9="","",IFERROR(ROUND($D9*INDEX('🔖 배합비 참조'!$B$2:$CE$83,MATCH("자연치즈(체다치즈)",'🔖 배합비 참조'!$A$2:$A$83,0),MATCH($C9,'🔖 배합비 참조'!$B$1:$CE$1,0))/100,0),""))),"")</f>
        <v>0</v>
      </c>
      <c r="BN9" s="39" t="n">
        <f aca="false">IFERROR(IF($C9="","",IF($D9="","",IFERROR(ROUND($D9*INDEX('🔖 배합비 참조'!$B$2:$CE$83,MATCH("정제수",'🔖 배합비 참조'!$A$2:$A$83,0),MATCH($C9,'🔖 배합비 참조'!$B$1:$CE$1,0))/100,0),""))),"")</f>
        <v>23</v>
      </c>
      <c r="BO9" s="39" t="n">
        <f aca="false">IFERROR(IF($C9="","",IF($D9="","",IFERROR(ROUND($D9*INDEX('🔖 배합비 참조'!$B$2:$CE$83,MATCH("젤라틴",'🔖 배합비 참조'!$A$2:$A$83,0),MATCH($C9,'🔖 배합비 참조'!$B$1:$CE$1,0))/100,0),""))),"")</f>
        <v>0</v>
      </c>
      <c r="BP9" s="39" t="n">
        <f aca="false">IFERROR(IF($C9="","",IF($D9="","",IFERROR(ROUND($D9*INDEX('🔖 배합비 참조'!$B$2:$CE$83,MATCH("조림류(백옥앙금)",'🔖 배합비 참조'!$A$2:$A$83,0),MATCH($C9,'🔖 배합비 참조'!$B$1:$CE$1,0))/100,0),""))),"")</f>
        <v>0</v>
      </c>
      <c r="BQ9" s="39" t="n">
        <f aca="false">IFERROR(IF($C9="","",IF($D9="","",IFERROR(ROUND($D9*INDEX('🔖 배합비 참조'!$B$2:$CE$83,MATCH("조림류(통팥앙금)",'🔖 배합비 참조'!$A$2:$A$83,0),MATCH($C9,'🔖 배합비 참조'!$B$1:$CE$1,0))/100,0),""))),"")</f>
        <v>0</v>
      </c>
      <c r="BR9" s="39" t="n">
        <f aca="false">IFERROR(IF($C9="","",IF($D9="","",IFERROR(ROUND($D9*INDEX('🔖 배합비 참조'!$B$2:$CE$83,MATCH("준초콜릿(외국산)",'🔖 배합비 참조'!$A$2:$A$83,0),MATCH($C9,'🔖 배합비 참조'!$B$1:$CE$1,0))/100,0),""))),"")</f>
        <v>0</v>
      </c>
      <c r="BS9" s="39" t="n">
        <f aca="false">IFERROR(IF($C9="","",IF($D9="","",IFERROR(ROUND($D9*INDEX('🔖 배합비 참조'!$B$2:$CE$83,MATCH("중력분",'🔖 배합비 참조'!$A$2:$A$83,0),MATCH($C9,'🔖 배합비 참조'!$B$1:$CE$1,0))/100,0),""))),"")</f>
        <v>0</v>
      </c>
      <c r="BT9" s="39" t="n">
        <f aca="false">IFERROR(IF($C9="","",IF($D9="","",IFERROR(ROUND($D9*INDEX('🔖 배합비 참조'!$B$2:$CE$83,MATCH("참깨(인도산,나이지리아산,탄자니아산,미얀마산)",'🔖 배합비 참조'!$A$2:$A$83,0),MATCH($C9,'🔖 배합비 참조'!$B$1:$CE$1,0))/100,0),""))),"")</f>
        <v>0</v>
      </c>
      <c r="BU9" s="39" t="n">
        <f aca="false">IFERROR(IF($C9="","",IF($D9="","",IFERROR(ROUND($D9*INDEX('🔖 배합비 참조'!$B$2:$CE$83,MATCH("찹쌀(국내산)",'🔖 배합비 참조'!$A$2:$A$83,0),MATCH($C9,'🔖 배합비 참조'!$B$1:$CE$1,0))/100,0),""))),"")</f>
        <v>0</v>
      </c>
      <c r="BV9" s="39" t="n">
        <f aca="false">IFERROR(IF($C9="","",IF($D9="","",IFERROR(ROUND($D9*INDEX('🔖 배합비 참조'!$B$2:$CE$83,MATCH("천일염",'🔖 배합비 참조'!$A$2:$A$83,0),MATCH($C9,'🔖 배합비 참조'!$B$1:$CE$1,0))/100,0),""))),"")</f>
        <v>2</v>
      </c>
      <c r="BW9" s="39" t="n">
        <f aca="false">IFERROR(IF($C9="","",IF($D9="","",IFERROR(ROUND($D9*INDEX('🔖 배합비 참조'!$B$2:$CE$83,MATCH("치즈 [크림치즈]",'🔖 배합비 참조'!$A$2:$A$83,0),MATCH($C9,'🔖 배합비 참조'!$B$1:$CE$1,0))/100,0),""))),"")</f>
        <v>0</v>
      </c>
      <c r="BX9" s="39" t="n">
        <f aca="false">IFERROR(IF($C9="","",IF($D9="","",IFERROR(ROUND($D9*INDEX('🔖 배합비 참조'!$B$2:$CE$83,MATCH("코코아가공품류(코코아분말)",'🔖 배합비 참조'!$A$2:$A$83,0),MATCH($C9,'🔖 배합비 참조'!$B$1:$CE$1,0))/100,0),""))),"")</f>
        <v>0</v>
      </c>
      <c r="BY9" s="39" t="n">
        <f aca="false">IFERROR(IF($C9="","",IF($D9="","",IFERROR(ROUND($D9*INDEX('🔖 배합비 참조'!$B$2:$CE$83,MATCH("콩기름(대두유)",'🔖 배합비 참조'!$A$2:$A$83,0),MATCH($C9,'🔖 배합비 참조'!$B$1:$CE$1,0))/100,0),""))),"")</f>
        <v>0</v>
      </c>
      <c r="BZ9" s="39" t="n">
        <f aca="false">IFERROR(IF($C9="","",IF($D9="","",IFERROR(ROUND($D9*INDEX('🔖 배합비 참조'!$B$2:$CE$83,MATCH("해바라기씨앗",'🔖 배합비 참조'!$A$2:$A$83,0),MATCH($C9,'🔖 배합비 참조'!$B$1:$CE$1,0))/100,0),""))),"")</f>
        <v>0</v>
      </c>
      <c r="CA9" s="39" t="n">
        <f aca="false">IFERROR(IF($C9="","",IF($D9="","",IFERROR(ROUND($D9*INDEX('🔖 배합비 참조'!$B$2:$CE$83,MATCH("현미(국내산)",'🔖 배합비 참조'!$A$2:$A$83,0),MATCH($C9,'🔖 배합비 참조'!$B$1:$CE$1,0))/100,0),""))),"")</f>
        <v>0</v>
      </c>
      <c r="CB9" s="39" t="n">
        <f aca="false">IFERROR(IF($C9="","",IF($D9="","",IFERROR(ROUND($D9*INDEX('🔖 배합비 참조'!$B$2:$CE$83,MATCH("현미멥쌀(국내산)",'🔖 배합비 참조'!$A$2:$A$83,0),MATCH($C9,'🔖 배합비 참조'!$B$1:$CE$1,0))/100,0),""))),"")</f>
        <v>0</v>
      </c>
      <c r="CC9" s="39" t="n">
        <f aca="false">IFERROR(IF($C9="","",IF($D9="","",IFERROR(ROUND($D9*INDEX('🔖 배합비 참조'!$B$2:$CE$83,MATCH("호두분태(미국산)",'🔖 배합비 참조'!$A$2:$A$83,0),MATCH($C9,'🔖 배합비 참조'!$B$1:$CE$1,0))/100,0),""))),"")</f>
        <v>0</v>
      </c>
      <c r="CD9" s="39" t="n">
        <f aca="false">IFERROR(IF($C9="","",IF($D9="","",IFERROR(ROUND($D9*INDEX('🔖 배합비 참조'!$B$2:$CE$83,MATCH("호박씨앗(외국산)",'🔖 배합비 참조'!$A$2:$A$83,0),MATCH($C9,'🔖 배합비 참조'!$B$1:$CE$1,0))/100,0),""))),"")</f>
        <v>0</v>
      </c>
      <c r="CE9" s="39" t="n">
        <f aca="false">IFERROR(IF($C9="","",IF($D9="","",IFERROR(ROUND($D9*INDEX('🔖 배합비 참조'!$B$2:$CE$83,MATCH("혼합제제(떡용에스텔)",'🔖 배합비 참조'!$A$2:$A$83,0),MATCH($C9,'🔖 배합비 참조'!$B$1:$CE$1,0))/100,0),""))),"")</f>
        <v>0</v>
      </c>
      <c r="CF9" s="39" t="n">
        <f aca="false">IFERROR(IF($C9="","",IF($D9="","",IFERROR(ROUND($D9*INDEX('🔖 배합비 참조'!$B$2:$CE$83,MATCH("혼합제제(스테비아)",'🔖 배합비 참조'!$A$2:$A$83,0),MATCH($C9,'🔖 배합비 참조'!$B$1:$CE$1,0))/100,0),""))),"")</f>
        <v>0</v>
      </c>
      <c r="CG9" s="39" t="n">
        <f aca="false">IFERROR(IF($C9="","",IF($D9="","",IFERROR(ROUND($D9*INDEX('🔖 배합비 참조'!$B$2:$CE$83,MATCH("화이트초콜릿",'🔖 배합비 참조'!$A$2:$A$83,0),MATCH($C9,'🔖 배합비 참조'!$B$1:$CE$1,0))/100,0),""))),"")</f>
        <v>0</v>
      </c>
      <c r="CH9" s="39" t="n">
        <f aca="false">IFERROR(IF($C9="","",IF($D9="","",IFERROR(ROUND($D9*INDEX('🔖 배합비 참조'!$B$2:$CE$83,MATCH("흑미찹쌀(국내산)",'🔖 배합비 참조'!$A$2:$A$83,0),MATCH($C9,'🔖 배합비 참조'!$B$1:$CE$1,0))/100,0),""))),"")</f>
        <v>0</v>
      </c>
      <c r="CI9" s="39" t="n">
        <f aca="false">IFERROR(IF($C9="","",IF($D9="","",IFERROR(ROUND($D9*INDEX('🔖 배합비 참조'!$B$2:$CE$83,MATCH("찰옥수수전분(미국산)",'🔖 배합비 참조'!$A$2:$A$83,0),MATCH($C9,'🔖 배합비 참조'!$B$1:$CE$1,0))/100,0),""))),"")</f>
        <v>0</v>
      </c>
      <c r="CJ9" s="40"/>
      <c r="CL9" s="1" t="s">
        <v>235</v>
      </c>
    </row>
    <row r="10" customFormat="false" ht="18" hidden="false" customHeight="true" outlineLevel="0" collapsed="false">
      <c r="A10" s="41" t="n">
        <v>6</v>
      </c>
      <c r="B10" s="36" t="n">
        <v>45945</v>
      </c>
      <c r="C10" s="37" t="s">
        <v>143</v>
      </c>
      <c r="D10" s="38" t="n">
        <v>60</v>
      </c>
      <c r="E10" s="17"/>
      <c r="F10" s="17"/>
      <c r="G10" s="42" t="n">
        <f aca="false">IFERROR(IF($C10="","",IF($D10="","",IFERROR(ROUND($D10*INDEX('🔖 배합비 참조'!$B$2:$CE$83,MATCH("간장",'🔖 배합비 참조'!$A$2:$A$83,0),MATCH($C10,'🔖 배합비 참조'!$B$1:$CE$1,0))/100,0),""))),"")</f>
        <v>0</v>
      </c>
      <c r="H10" s="42" t="n">
        <f aca="false">IFERROR(IF($C10="","",IF($D10="","",IFERROR(ROUND($D10*INDEX('🔖 배합비 참조'!$B$2:$CE$83,MATCH("강낭콩((울타리콩))",'🔖 배합비 참조'!$A$2:$A$83,0),MATCH($C10,'🔖 배합비 참조'!$B$1:$CE$1,0))/100,0),""))),"")</f>
        <v>0</v>
      </c>
      <c r="I10" s="42" t="n">
        <f aca="false">IFERROR(IF($C10="","",IF($D10="","",IFERROR(ROUND($D10*INDEX('🔖 배합비 참조'!$B$2:$CE$83,MATCH("건조딸기다이스(외국산)",'🔖 배합비 참조'!$A$2:$A$83,0),MATCH($C10,'🔖 배합비 참조'!$B$1:$CE$1,0))/100,0),""))),"")</f>
        <v>0</v>
      </c>
      <c r="J10" s="42" t="n">
        <f aca="false">IFERROR(IF($C10="","",IF($D10="","",IFERROR(ROUND($D10*INDEX('🔖 배합비 참조'!$B$2:$CE$83,MATCH("건포도",'🔖 배합비 참조'!$A$2:$A$83,0),MATCH($C10,'🔖 배합비 참조'!$B$1:$CE$1,0))/100,0),""))),"")</f>
        <v>0</v>
      </c>
      <c r="K10" s="42" t="n">
        <f aca="false">IFERROR(IF($C10="","",IF($D10="","",IFERROR(ROUND($D10*INDEX('🔖 배합비 참조'!$B$2:$CE$83,MATCH("건호박채(중국산)",'🔖 배합비 참조'!$A$2:$A$83,0),MATCH($C10,'🔖 배합비 참조'!$B$1:$CE$1,0))/100,0),""))),"")</f>
        <v>0</v>
      </c>
      <c r="L10" s="42" t="n">
        <f aca="false">IFERROR(IF($C10="","",IF($D10="","",IFERROR(ROUND($D10*INDEX('🔖 배합비 참조'!$B$2:$CE$83,MATCH("검정깨(흑임자)",'🔖 배합비 참조'!$A$2:$A$83,0),MATCH($C10,'🔖 배합비 참조'!$B$1:$CE$1,0))/100,0),""))),"")</f>
        <v>0</v>
      </c>
      <c r="M10" s="42" t="n">
        <f aca="false">IFERROR(IF($C10="","",IF($D10="","",IFERROR(ROUND($D10*INDEX('🔖 배합비 참조'!$B$2:$CE$83,MATCH("검정콩",'🔖 배합비 참조'!$A$2:$A$83,0),MATCH($C10,'🔖 배합비 참조'!$B$1:$CE$1,0))/100,0),""))),"")</f>
        <v>0</v>
      </c>
      <c r="N10" s="42" t="n">
        <f aca="false">IFERROR(IF($C10="","",IF($D10="","",IFERROR(ROUND($D10*INDEX('🔖 배합비 참조'!$B$2:$CE$83,MATCH("계피가루",'🔖 배합비 참조'!$A$2:$A$83,0),MATCH($C10,'🔖 배합비 참조'!$B$1:$CE$1,0))/100,0),""))),"")</f>
        <v>0</v>
      </c>
      <c r="O10" s="42" t="n">
        <f aca="false">IFERROR(IF($C10="","",IF($D10="","",IFERROR(ROUND($D10*INDEX('🔖 배합비 참조'!$B$2:$CE$83,MATCH("고구마가루",'🔖 배합비 참조'!$A$2:$A$83,0),MATCH($C10,'🔖 배합비 참조'!$B$1:$CE$1,0))/100,0),""))),"")</f>
        <v>0</v>
      </c>
      <c r="P10" s="42" t="n">
        <f aca="false">IFERROR(IF($C10="","",IF($D10="","",IFERROR(ROUND($D10*INDEX('🔖 배합비 참조'!$B$2:$CE$83,MATCH("고구마무스",'🔖 배합비 참조'!$A$2:$A$83,0),MATCH($C10,'🔖 배합비 참조'!$B$1:$CE$1,0))/100,0),""))),"")</f>
        <v>0</v>
      </c>
      <c r="Q10" s="42" t="n">
        <f aca="false">IFERROR(IF($C10="","",IF($D10="","",IFERROR(ROUND($D10*INDEX('🔖 배합비 참조'!$B$2:$CE$83,MATCH("고려엉겅퀴((곤드레)국내산)",'🔖 배합비 참조'!$A$2:$A$83,0),MATCH($C10,'🔖 배합비 참조'!$B$1:$CE$1,0))/100,0),""))),"")</f>
        <v>0</v>
      </c>
      <c r="R10" s="42" t="n">
        <f aca="false">IFERROR(IF($C10="","",IF($D10="","",IFERROR(ROUND($D10*INDEX('🔖 배합비 참조'!$B$2:$CE$83,MATCH("기타가공품(복분자가루)",'🔖 배합비 참조'!$A$2:$A$83,0),MATCH($C10,'🔖 배합비 참조'!$B$1:$CE$1,0))/100,0),""))),"")</f>
        <v>0</v>
      </c>
      <c r="S10" s="42" t="n">
        <f aca="false">IFERROR(IF($C10="","",IF($D10="","",IFERROR(ROUND($D10*INDEX('🔖 배합비 참조'!$B$2:$CE$83,MATCH("기타가공품(슈퍼소프트엠)",'🔖 배합비 참조'!$A$2:$A$83,0),MATCH($C10,'🔖 배합비 참조'!$B$1:$CE$1,0))/100,0),""))),"")</f>
        <v>0</v>
      </c>
      <c r="T10" s="42" t="n">
        <f aca="false">IFERROR(IF($C10="","",IF($D10="","",IFERROR(ROUND($D10*INDEX('🔖 배합비 참조'!$B$2:$CE$83,MATCH("기타가공품(파인소프트 E-티)",'🔖 배합비 참조'!$A$2:$A$83,0),MATCH($C10,'🔖 배합비 참조'!$B$1:$CE$1,0))/100,0),""))),"")</f>
        <v>0</v>
      </c>
      <c r="U10" s="42" t="n">
        <f aca="false">IFERROR(IF($C10="","",IF($D10="","",IFERROR(ROUND($D10*INDEX('🔖 배합비 참조'!$B$2:$CE$83,MATCH("기타가공품(프리미엄카스테라가루)",'🔖 배합비 참조'!$A$2:$A$83,0),MATCH($C10,'🔖 배합비 참조'!$B$1:$CE$1,0))/100,0),""))),"")</f>
        <v>0</v>
      </c>
      <c r="V10" s="42" t="n">
        <f aca="false">IFERROR(IF($C10="","",IF($D10="","",IFERROR(ROUND($D10*INDEX('🔖 배합비 참조'!$B$2:$CE$83,MATCH("기타가공품(흑임자가루)",'🔖 배합비 참조'!$A$2:$A$83,0),MATCH($C10,'🔖 배합비 참조'!$B$1:$CE$1,0))/100,0),""))),"")</f>
        <v>0</v>
      </c>
      <c r="W10" s="42" t="n">
        <f aca="false">IFERROR(IF($C10="","",IF($D10="","",IFERROR(ROUND($D10*INDEX('🔖 배합비 참조'!$B$2:$CE$83,MATCH("기타설탕(흑설탕)",'🔖 배합비 참조'!$A$2:$A$83,0),MATCH($C10,'🔖 배합비 참조'!$B$1:$CE$1,0))/100,0),""))),"")</f>
        <v>5</v>
      </c>
      <c r="X10" s="42" t="n">
        <f aca="false">IFERROR(IF($C10="","",IF($D10="","",IFERROR(ROUND($D10*INDEX('🔖 배합비 참조'!$B$2:$CE$83,MATCH("냉동쑥(국내산)",'🔖 배합비 참조'!$A$2:$A$83,0),MATCH($C10,'🔖 배합비 참조'!$B$1:$CE$1,0))/100,0),""))),"")</f>
        <v>0</v>
      </c>
      <c r="Y10" s="42" t="n">
        <f aca="false">IFERROR(IF($C10="","",IF($D10="","",IFERROR(ROUND($D10*INDEX('🔖 배합비 참조'!$B$2:$CE$83,MATCH("냉동증숙고구마(중국산)",'🔖 배합비 참조'!$A$2:$A$83,0),MATCH($C10,'🔖 배합비 참조'!$B$1:$CE$1,0))/100,0),""))),"")</f>
        <v>0</v>
      </c>
      <c r="Z10" s="42" t="n">
        <f aca="false">IFERROR(IF($C10="","",IF($D10="","",IFERROR(ROUND($D10*INDEX('🔖 배합비 참조'!$B$2:$CE$83,MATCH("녹차가루",'🔖 배합비 참조'!$A$2:$A$83,0),MATCH($C10,'🔖 배합비 참조'!$B$1:$CE$1,0))/100,0),""))),"")</f>
        <v>0</v>
      </c>
      <c r="AA10" s="42" t="n">
        <f aca="false">IFERROR(IF($C10="","",IF($D10="","",IFERROR(ROUND($D10*INDEX('🔖 배합비 참조'!$B$2:$CE$83,MATCH("다크초콜릿 컴파운드칩",'🔖 배합비 참조'!$A$2:$A$83,0),MATCH($C10,'🔖 배합비 참조'!$B$1:$CE$1,0))/100,0),""))),"")</f>
        <v>0</v>
      </c>
      <c r="AB10" s="42" t="n">
        <f aca="false">IFERROR(IF($C10="","",IF($D10="","",IFERROR(ROUND($D10*INDEX('🔖 배합비 참조'!$B$2:$CE$83,MATCH("단호박분말(중국산)",'🔖 배합비 참조'!$A$2:$A$83,0),MATCH($C10,'🔖 배합비 참조'!$B$1:$CE$1,0))/100,0),""))),"")</f>
        <v>0</v>
      </c>
      <c r="AC10" s="42" t="n">
        <f aca="false">IFERROR(IF($C10="","",IF($D10="","",IFERROR(ROUND($D10*INDEX('🔖 배합비 참조'!$B$2:$CE$83,MATCH("당류가공품(단호박농축액)",'🔖 배합비 참조'!$A$2:$A$83,0),MATCH($C10,'🔖 배합비 참조'!$B$1:$CE$1,0))/100,0),""))),"")</f>
        <v>0</v>
      </c>
      <c r="AD10" s="42" t="n">
        <f aca="false">IFERROR(IF($C10="","",IF($D10="","",IFERROR(ROUND($D10*INDEX('🔖 배합비 참조'!$B$2:$CE$83,MATCH("당류가공품(알룰로스,에리스리톨,스테비올배당체혼합)",'🔖 배합비 참조'!$A$2:$A$83,0),MATCH($C10,'🔖 배합비 참조'!$B$1:$CE$1,0))/100,0),""))),"")</f>
        <v>0</v>
      </c>
      <c r="AE10" s="42" t="n">
        <f aca="false">IFERROR(IF($C10="","",IF($D10="","",IFERROR(ROUND($D10*INDEX('🔖 배합비 참조'!$B$2:$CE$83,MATCH("당류가공품(알룰로스제로파우더)",'🔖 배합비 참조'!$A$2:$A$83,0),MATCH($C10,'🔖 배합비 참조'!$B$1:$CE$1,0))/100,0),""))),"")</f>
        <v>0</v>
      </c>
      <c r="AF10" s="42" t="n">
        <f aca="false">IFERROR(IF($C10="","",IF($D10="","",IFERROR(ROUND($D10*INDEX('🔖 배합비 참조'!$B$2:$CE$83,MATCH("당절임(완두배기)",'🔖 배합비 참조'!$A$2:$A$83,0),MATCH($C10,'🔖 배합비 참조'!$B$1:$CE$1,0))/100,0),""))),"")</f>
        <v>0</v>
      </c>
      <c r="AG10" s="42" t="n">
        <f aca="false">IFERROR(IF($C10="","",IF($D10="","",IFERROR(ROUND($D10*INDEX('🔖 배합비 참조'!$B$2:$CE$83,MATCH("대추농축액",'🔖 배합비 참조'!$A$2:$A$83,0),MATCH($C10,'🔖 배합비 참조'!$B$1:$CE$1,0))/100,0),""))),"")</f>
        <v>0</v>
      </c>
      <c r="AH10" s="42" t="n">
        <f aca="false">IFERROR(IF($C10="","",IF($D10="","",IFERROR(ROUND($D10*INDEX('🔖 배합비 참조'!$B$2:$CE$83,MATCH("대추채(국내산)",'🔖 배합비 참조'!$A$2:$A$83,0),MATCH($C10,'🔖 배합비 참조'!$B$1:$CE$1,0))/100,0),""))),"")</f>
        <v>0</v>
      </c>
      <c r="AI10" s="42" t="n">
        <f aca="false">IFERROR(IF($C10="","",IF($D10="","",IFERROR(ROUND($D10*INDEX('🔖 배합비 참조'!$B$2:$CE$83,MATCH("동부(미얀마산)",'🔖 배합비 참조'!$A$2:$A$83,0),MATCH($C10,'🔖 배합비 참조'!$B$1:$CE$1,0))/100,0),""))),"")</f>
        <v>0</v>
      </c>
      <c r="AJ10" s="42" t="n">
        <f aca="false">IFERROR(IF($C10="","",IF($D10="","",IFERROR(ROUND($D10*INDEX('🔖 배합비 참조'!$B$2:$CE$83,MATCH("두류가공품(백옥앙금)",'🔖 배합비 참조'!$A$2:$A$83,0),MATCH($C10,'🔖 배합비 참조'!$B$1:$CE$1,0))/100,0),""))),"")</f>
        <v>0</v>
      </c>
      <c r="AK10" s="42" t="n">
        <f aca="false">IFERROR(IF($C10="","",IF($D10="","",IFERROR(ROUND($D10*INDEX('🔖 배합비 참조'!$B$2:$CE$83,MATCH("두류가공품(콩고물)",'🔖 배합비 참조'!$A$2:$A$83,0),MATCH($C10,'🔖 배합비 참조'!$B$1:$CE$1,0))/100,0),""))),"")</f>
        <v>0</v>
      </c>
      <c r="AL10" s="42" t="n">
        <f aca="false">IFERROR(IF($C10="","",IF($D10="","",IFERROR(ROUND($D10*INDEX('🔖 배합비 참조'!$B$2:$CE$83,MATCH("두류가공품(통팥고물)",'🔖 배합비 참조'!$A$2:$A$83,0),MATCH($C10,'🔖 배합비 참조'!$B$1:$CE$1,0))/100,0),""))),"")</f>
        <v>0</v>
      </c>
      <c r="AM10" s="42" t="n">
        <f aca="false">IFERROR(IF($C10="","",IF($D10="","",IFERROR(ROUND($D10*INDEX('🔖 배합비 참조'!$B$2:$CE$83,MATCH("딸기레진",'🔖 배합비 참조'!$A$2:$A$83,0),MATCH($C10,'🔖 배합비 참조'!$B$1:$CE$1,0))/100,0),""))),"")</f>
        <v>0</v>
      </c>
      <c r="AN10" s="42" t="n">
        <f aca="false">IFERROR(IF($C10="","",IF($D10="","",IFERROR(ROUND($D10*INDEX('🔖 배합비 참조'!$B$2:$CE$83,MATCH("딸기분말(스트로우베리에이드(분말))",'🔖 배합비 참조'!$A$2:$A$83,0),MATCH($C10,'🔖 배합비 참조'!$B$1:$CE$1,0))/100,0),""))),"")</f>
        <v>0</v>
      </c>
      <c r="AO10" s="42" t="n">
        <f aca="false">IFERROR(IF($C10="","",IF($D10="","",IFERROR(ROUND($D10*INDEX('🔖 배합비 참조'!$B$2:$CE$83,MATCH("마스카포네치즈",'🔖 배합비 참조'!$A$2:$A$83,0),MATCH($C10,'🔖 배합비 참조'!$B$1:$CE$1,0))/100,0),""))),"")</f>
        <v>0</v>
      </c>
      <c r="AP10" s="42" t="n">
        <f aca="false">IFERROR(IF($C10="","",IF($D10="","",IFERROR(ROUND($D10*INDEX('🔖 배합비 참조'!$B$2:$CE$83,MATCH("마카다미아분태(호주산)",'🔖 배합비 참조'!$A$2:$A$83,0),MATCH($C10,'🔖 배합비 참조'!$B$1:$CE$1,0))/100,0),""))),"")</f>
        <v>0</v>
      </c>
      <c r="AQ10" s="42" t="n">
        <f aca="false">IFERROR(IF($C10="","",IF($D10="","",IFERROR(ROUND($D10*INDEX('🔖 배합비 참조'!$B$2:$CE$83,MATCH("멥쌀(국내산)",'🔖 배합비 참조'!$A$2:$A$83,0),MATCH($C10,'🔖 배합비 참조'!$B$1:$CE$1,0))/100,0),""))),"")</f>
        <v>40</v>
      </c>
      <c r="AR10" s="42" t="n">
        <f aca="false">IFERROR(IF($C10="","",IF($D10="","",IFERROR(ROUND($D10*INDEX('🔖 배합비 참조'!$B$2:$CE$83,MATCH("모시잎(국내산)",'🔖 배합비 참조'!$A$2:$A$83,0),MATCH($C10,'🔖 배합비 참조'!$B$1:$CE$1,0))/100,0),""))),"")</f>
        <v>0</v>
      </c>
      <c r="AS10" s="42" t="n">
        <f aca="false">IFERROR(IF($C10="","",IF($D10="","",IFERROR(ROUND($D10*INDEX('🔖 배합비 참조'!$B$2:$CE$83,MATCH("물엿(저당물엿)",'🔖 배합비 참조'!$A$2:$A$83,0),MATCH($C10,'🔖 배합비 참조'!$B$1:$CE$1,0))/100,0),""))),"")</f>
        <v>0</v>
      </c>
      <c r="AT10" s="42" t="n">
        <f aca="false">IFERROR(IF($C10="","",IF($D10="","",IFERROR(ROUND($D10*INDEX('🔖 배합비 참조'!$B$2:$CE$83,MATCH("밤다이스",'🔖 배합비 참조'!$A$2:$A$83,0),MATCH($C10,'🔖 배합비 참조'!$B$1:$CE$1,0))/100,0),""))),"")</f>
        <v>0</v>
      </c>
      <c r="AU10" s="42" t="n">
        <f aca="false">IFERROR(IF($C10="","",IF($D10="","",IFERROR(ROUND($D10*INDEX('🔖 배합비 참조'!$B$2:$CE$83,MATCH("변성전분(타피오카전분)",'🔖 배합비 참조'!$A$2:$A$83,0),MATCH($C10,'🔖 배합비 참조'!$B$1:$CE$1,0))/100,0),""))),"")</f>
        <v>0</v>
      </c>
      <c r="AV10" s="42" t="n">
        <f aca="false">IFERROR(IF($C10="","",IF($D10="","",IFERROR(ROUND($D10*INDEX('🔖 배합비 참조'!$B$2:$CE$83,MATCH("복음땅콩분태",'🔖 배합비 참조'!$A$2:$A$83,0),MATCH($C10,'🔖 배합비 참조'!$B$1:$CE$1,0))/100,0),""))),"")</f>
        <v>0</v>
      </c>
      <c r="AW10" s="42" t="n">
        <f aca="false">IFERROR(IF($C10="","",IF($D10="","",IFERROR(ROUND($D10*INDEX('🔖 배합비 참조'!$B$2:$CE$83,MATCH("사양벌꿀(국내산)",'🔖 배합비 참조'!$A$2:$A$83,0),MATCH($C10,'🔖 배합비 참조'!$B$1:$CE$1,0))/100,0),""))),"")</f>
        <v>1</v>
      </c>
      <c r="AX10" s="42" t="n">
        <f aca="false">IFERROR(IF($C10="","",IF($D10="","",IFERROR(ROUND($D10*INDEX('🔖 배합비 참조'!$B$2:$CE$83,MATCH("생크림",'🔖 배합비 참조'!$A$2:$A$83,0),MATCH($C10,'🔖 배합비 참조'!$B$1:$CE$1,0))/100,0),""))),"")</f>
        <v>0</v>
      </c>
      <c r="AY10" s="42" t="n">
        <f aca="false">IFERROR(IF($C10="","",IF($D10="","",IFERROR(ROUND($D10*INDEX('🔖 배합비 참조'!$B$2:$CE$83,MATCH("서양호박(국내산,뉴질랜드산)",'🔖 배합비 참조'!$A$2:$A$83,0),MATCH($C10,'🔖 배합비 참조'!$B$1:$CE$1,0))/100,0),""))),"")</f>
        <v>0</v>
      </c>
      <c r="AZ10" s="42" t="n">
        <f aca="false">IFERROR(IF($C10="","",IF($D10="","",IFERROR(ROUND($D10*INDEX('🔖 배합비 참조'!$B$2:$CE$83,MATCH("설탕",'🔖 배합비 참조'!$A$2:$A$83,0),MATCH($C10,'🔖 배합비 참조'!$B$1:$CE$1,0))/100,0),""))),"")</f>
        <v>5</v>
      </c>
      <c r="BA10" s="42" t="n">
        <f aca="false">IFERROR(IF($C10="","",IF($D10="","",IFERROR(ROUND($D10*INDEX('🔖 배합비 참조'!$B$2:$CE$83,MATCH("스트로우베리 에이드 후레쉬",'🔖 배합비 참조'!$A$2:$A$83,0),MATCH($C10,'🔖 배합비 참조'!$B$1:$CE$1,0))/100,0),""))),"")</f>
        <v>0</v>
      </c>
      <c r="BB10" s="42" t="n">
        <f aca="false">IFERROR(IF($C10="","",IF($D10="","",IFERROR(ROUND($D10*INDEX('🔖 배합비 참조'!$B$2:$CE$83,MATCH("식물성기름혼합제제(분홍)",'🔖 배합비 참조'!$A$2:$A$83,0),MATCH($C10,'🔖 배합비 참조'!$B$1:$CE$1,0))/100,0),""))),"")</f>
        <v>0</v>
      </c>
      <c r="BC10" s="42" t="n">
        <f aca="false">IFERROR(IF($C10="","",IF($D10="","",IFERROR(ROUND($D10*INDEX('🔖 배합비 참조'!$B$2:$CE$83,MATCH("식물성기름혼합제제(초록)",'🔖 배합비 참조'!$A$2:$A$83,0),MATCH($C10,'🔖 배합비 참조'!$B$1:$CE$1,0))/100,0),""))),"")</f>
        <v>0</v>
      </c>
      <c r="BD10" s="42" t="n">
        <f aca="false">IFERROR(IF($C10="","",IF($D10="","",IFERROR(ROUND($D10*INDEX('🔖 배합비 참조'!$B$2:$CE$83,MATCH("식물성기름혼합제제(황색)",'🔖 배합비 참조'!$A$2:$A$83,0),MATCH($C10,'🔖 배합비 참조'!$B$1:$CE$1,0))/100,0),""))),"")</f>
        <v>0</v>
      </c>
      <c r="BE10" s="42" t="n">
        <f aca="false">IFERROR(IF($C10="","",IF($D10="","",IFERROR(ROUND($D10*INDEX('🔖 배합비 참조'!$B$2:$CE$83,MATCH("쑥가루(국내산)",'🔖 배합비 참조'!$A$2:$A$83,0),MATCH($C10,'🔖 배합비 참조'!$B$1:$CE$1,0))/100,0),""))),"")</f>
        <v>0</v>
      </c>
      <c r="BF10" s="42" t="n">
        <f aca="false">IFERROR(IF($C10="","",IF($D10="","",IFERROR(ROUND($D10*INDEX('🔖 배합비 참조'!$B$2:$CE$83,MATCH("아몬드슬라이스",'🔖 배합비 참조'!$A$2:$A$83,0),MATCH($C10,'🔖 배합비 참조'!$B$1:$CE$1,0))/100,0),""))),"")</f>
        <v>0</v>
      </c>
      <c r="BG10" s="42" t="n">
        <f aca="false">IFERROR(IF($C10="","",IF($D10="","",IFERROR(ROUND($D10*INDEX('🔖 배합비 참조'!$B$2:$CE$83,MATCH("알룰로오스(국내산)",'🔖 배합비 참조'!$A$2:$A$83,0),MATCH($C10,'🔖 배합비 참조'!$B$1:$CE$1,0))/100,0),""))),"")</f>
        <v>0</v>
      </c>
      <c r="BH10" s="42" t="n">
        <f aca="false">IFERROR(IF($C10="","",IF($D10="","",IFERROR(ROUND($D10*INDEX('🔖 배합비 참조'!$B$2:$CE$83,MATCH("연유",'🔖 배합비 참조'!$A$2:$A$83,0),MATCH($C10,'🔖 배합비 참조'!$B$1:$CE$1,0))/100,0),""))),"")</f>
        <v>0</v>
      </c>
      <c r="BI10" s="42" t="n">
        <f aca="false">IFERROR(IF($C10="","",IF($D10="","",IFERROR(ROUND($D10*INDEX('🔖 배합비 참조'!$B$2:$CE$83,MATCH("옥수수전분",'🔖 배합비 참조'!$A$2:$A$83,0),MATCH($C10,'🔖 배합비 참조'!$B$1:$CE$1,0))/100,0),""))),"")</f>
        <v>0</v>
      </c>
      <c r="BJ10" s="42" t="n">
        <f aca="false">IFERROR(IF($C10="","",IF($D10="","",IFERROR(ROUND($D10*INDEX('🔖 배합비 참조'!$B$2:$CE$83,MATCH("완두배기",'🔖 배합비 참조'!$A$2:$A$83,0),MATCH($C10,'🔖 배합비 참조'!$B$1:$CE$1,0))/100,0),""))),"")</f>
        <v>0</v>
      </c>
      <c r="BK10" s="42" t="n">
        <f aca="false">IFERROR(IF($C10="","",IF($D10="","",IFERROR(ROUND($D10*INDEX('🔖 배합비 참조'!$B$2:$CE$83,MATCH("우유(국내산)",'🔖 배합비 참조'!$A$2:$A$83,0),MATCH($C10,'🔖 배합비 참조'!$B$1:$CE$1,0))/100,0),""))),"")</f>
        <v>0</v>
      </c>
      <c r="BL10" s="42" t="n">
        <f aca="false">IFERROR(IF($C10="","",IF($D10="","",IFERROR(ROUND($D10*INDEX('🔖 배합비 참조'!$B$2:$CE$83,MATCH("자색고구마가루(중국산)",'🔖 배합비 참조'!$A$2:$A$83,0),MATCH($C10,'🔖 배합비 참조'!$B$1:$CE$1,0))/100,0),""))),"")</f>
        <v>0</v>
      </c>
      <c r="BM10" s="42" t="n">
        <f aca="false">IFERROR(IF($C10="","",IF($D10="","",IFERROR(ROUND($D10*INDEX('🔖 배합비 참조'!$B$2:$CE$83,MATCH("자연치즈(체다치즈)",'🔖 배합비 참조'!$A$2:$A$83,0),MATCH($C10,'🔖 배합비 참조'!$B$1:$CE$1,0))/100,0),""))),"")</f>
        <v>0</v>
      </c>
      <c r="BN10" s="42" t="n">
        <f aca="false">IFERROR(IF($C10="","",IF($D10="","",IFERROR(ROUND($D10*INDEX('🔖 배합비 참조'!$B$2:$CE$83,MATCH("정제수",'🔖 배합비 참조'!$A$2:$A$83,0),MATCH($C10,'🔖 배합비 참조'!$B$1:$CE$1,0))/100,0),""))),"")</f>
        <v>8</v>
      </c>
      <c r="BO10" s="42" t="n">
        <f aca="false">IFERROR(IF($C10="","",IF($D10="","",IFERROR(ROUND($D10*INDEX('🔖 배합비 참조'!$B$2:$CE$83,MATCH("젤라틴",'🔖 배합비 참조'!$A$2:$A$83,0),MATCH($C10,'🔖 배합비 참조'!$B$1:$CE$1,0))/100,0),""))),"")</f>
        <v>0</v>
      </c>
      <c r="BP10" s="42" t="n">
        <f aca="false">IFERROR(IF($C10="","",IF($D10="","",IFERROR(ROUND($D10*INDEX('🔖 배합비 참조'!$B$2:$CE$83,MATCH("조림류(백옥앙금)",'🔖 배합비 참조'!$A$2:$A$83,0),MATCH($C10,'🔖 배합비 참조'!$B$1:$CE$1,0))/100,0),""))),"")</f>
        <v>0</v>
      </c>
      <c r="BQ10" s="42" t="n">
        <f aca="false">IFERROR(IF($C10="","",IF($D10="","",IFERROR(ROUND($D10*INDEX('🔖 배합비 참조'!$B$2:$CE$83,MATCH("조림류(통팥앙금)",'🔖 배합비 참조'!$A$2:$A$83,0),MATCH($C10,'🔖 배합비 참조'!$B$1:$CE$1,0))/100,0),""))),"")</f>
        <v>0</v>
      </c>
      <c r="BR10" s="42" t="n">
        <f aca="false">IFERROR(IF($C10="","",IF($D10="","",IFERROR(ROUND($D10*INDEX('🔖 배합비 참조'!$B$2:$CE$83,MATCH("준초콜릿(외국산)",'🔖 배합비 참조'!$A$2:$A$83,0),MATCH($C10,'🔖 배합비 참조'!$B$1:$CE$1,0))/100,0),""))),"")</f>
        <v>0</v>
      </c>
      <c r="BS10" s="42" t="n">
        <f aca="false">IFERROR(IF($C10="","",IF($D10="","",IFERROR(ROUND($D10*INDEX('🔖 배합비 참조'!$B$2:$CE$83,MATCH("중력분",'🔖 배합비 참조'!$A$2:$A$83,0),MATCH($C10,'🔖 배합비 참조'!$B$1:$CE$1,0))/100,0),""))),"")</f>
        <v>0</v>
      </c>
      <c r="BT10" s="42" t="n">
        <f aca="false">IFERROR(IF($C10="","",IF($D10="","",IFERROR(ROUND($D10*INDEX('🔖 배합비 참조'!$B$2:$CE$83,MATCH("참깨(인도산,나이지리아산,탄자니아산,미얀마산)",'🔖 배합비 참조'!$A$2:$A$83,0),MATCH($C10,'🔖 배합비 참조'!$B$1:$CE$1,0))/100,0),""))),"")</f>
        <v>0</v>
      </c>
      <c r="BU10" s="42" t="n">
        <f aca="false">IFERROR(IF($C10="","",IF($D10="","",IFERROR(ROUND($D10*INDEX('🔖 배합비 참조'!$B$2:$CE$83,MATCH("찹쌀(국내산)",'🔖 배합비 참조'!$A$2:$A$83,0),MATCH($C10,'🔖 배합비 참조'!$B$1:$CE$1,0))/100,0),""))),"")</f>
        <v>0</v>
      </c>
      <c r="BV10" s="42" t="n">
        <f aca="false">IFERROR(IF($C10="","",IF($D10="","",IFERROR(ROUND($D10*INDEX('🔖 배합비 참조'!$B$2:$CE$83,MATCH("천일염",'🔖 배합비 참조'!$A$2:$A$83,0),MATCH($C10,'🔖 배합비 참조'!$B$1:$CE$1,0))/100,0),""))),"")</f>
        <v>1</v>
      </c>
      <c r="BW10" s="42" t="n">
        <f aca="false">IFERROR(IF($C10="","",IF($D10="","",IFERROR(ROUND($D10*INDEX('🔖 배합비 참조'!$B$2:$CE$83,MATCH("치즈 [크림치즈]",'🔖 배합비 참조'!$A$2:$A$83,0),MATCH($C10,'🔖 배합비 참조'!$B$1:$CE$1,0))/100,0),""))),"")</f>
        <v>0</v>
      </c>
      <c r="BX10" s="42" t="n">
        <f aca="false">IFERROR(IF($C10="","",IF($D10="","",IFERROR(ROUND($D10*INDEX('🔖 배합비 참조'!$B$2:$CE$83,MATCH("코코아가공품류(코코아분말)",'🔖 배합비 참조'!$A$2:$A$83,0),MATCH($C10,'🔖 배합비 참조'!$B$1:$CE$1,0))/100,0),""))),"")</f>
        <v>0</v>
      </c>
      <c r="BY10" s="42" t="n">
        <f aca="false">IFERROR(IF($C10="","",IF($D10="","",IFERROR(ROUND($D10*INDEX('🔖 배합비 참조'!$B$2:$CE$83,MATCH("콩기름(대두유)",'🔖 배합비 참조'!$A$2:$A$83,0),MATCH($C10,'🔖 배합비 참조'!$B$1:$CE$1,0))/100,0),""))),"")</f>
        <v>0</v>
      </c>
      <c r="BZ10" s="42" t="n">
        <f aca="false">IFERROR(IF($C10="","",IF($D10="","",IFERROR(ROUND($D10*INDEX('🔖 배합비 참조'!$B$2:$CE$83,MATCH("해바라기씨앗",'🔖 배합비 참조'!$A$2:$A$83,0),MATCH($C10,'🔖 배합비 참조'!$B$1:$CE$1,0))/100,0),""))),"")</f>
        <v>0</v>
      </c>
      <c r="CA10" s="42" t="n">
        <f aca="false">IFERROR(IF($C10="","",IF($D10="","",IFERROR(ROUND($D10*INDEX('🔖 배합비 참조'!$B$2:$CE$83,MATCH("현미(국내산)",'🔖 배합비 참조'!$A$2:$A$83,0),MATCH($C10,'🔖 배합비 참조'!$B$1:$CE$1,0))/100,0),""))),"")</f>
        <v>0</v>
      </c>
      <c r="CB10" s="42" t="n">
        <f aca="false">IFERROR(IF($C10="","",IF($D10="","",IFERROR(ROUND($D10*INDEX('🔖 배합비 참조'!$B$2:$CE$83,MATCH("현미멥쌀(국내산)",'🔖 배합비 참조'!$A$2:$A$83,0),MATCH($C10,'🔖 배합비 참조'!$B$1:$CE$1,0))/100,0),""))),"")</f>
        <v>0</v>
      </c>
      <c r="CC10" s="42" t="n">
        <f aca="false">IFERROR(IF($C10="","",IF($D10="","",IFERROR(ROUND($D10*INDEX('🔖 배합비 참조'!$B$2:$CE$83,MATCH("호두분태(미국산)",'🔖 배합비 참조'!$A$2:$A$83,0),MATCH($C10,'🔖 배합비 참조'!$B$1:$CE$1,0))/100,0),""))),"")</f>
        <v>0</v>
      </c>
      <c r="CD10" s="42" t="n">
        <f aca="false">IFERROR(IF($C10="","",IF($D10="","",IFERROR(ROUND($D10*INDEX('🔖 배합비 참조'!$B$2:$CE$83,MATCH("호박씨앗(외국산)",'🔖 배합비 참조'!$A$2:$A$83,0),MATCH($C10,'🔖 배합비 참조'!$B$1:$CE$1,0))/100,0),""))),"")</f>
        <v>0</v>
      </c>
      <c r="CE10" s="42" t="n">
        <f aca="false">IFERROR(IF($C10="","",IF($D10="","",IFERROR(ROUND($D10*INDEX('🔖 배합비 참조'!$B$2:$CE$83,MATCH("혼합제제(떡용에스텔)",'🔖 배합비 참조'!$A$2:$A$83,0),MATCH($C10,'🔖 배합비 참조'!$B$1:$CE$1,0))/100,0),""))),"")</f>
        <v>0</v>
      </c>
      <c r="CF10" s="42" t="n">
        <f aca="false">IFERROR(IF($C10="","",IF($D10="","",IFERROR(ROUND($D10*INDEX('🔖 배합비 참조'!$B$2:$CE$83,MATCH("혼합제제(스테비아)",'🔖 배합비 참조'!$A$2:$A$83,0),MATCH($C10,'🔖 배합비 참조'!$B$1:$CE$1,0))/100,0),""))),"")</f>
        <v>0</v>
      </c>
      <c r="CG10" s="42" t="n">
        <f aca="false">IFERROR(IF($C10="","",IF($D10="","",IFERROR(ROUND($D10*INDEX('🔖 배합비 참조'!$B$2:$CE$83,MATCH("화이트초콜릿",'🔖 배합비 참조'!$A$2:$A$83,0),MATCH($C10,'🔖 배합비 참조'!$B$1:$CE$1,0))/100,0),""))),"")</f>
        <v>0</v>
      </c>
      <c r="CH10" s="42" t="n">
        <f aca="false">IFERROR(IF($C10="","",IF($D10="","",IFERROR(ROUND($D10*INDEX('🔖 배합비 참조'!$B$2:$CE$83,MATCH("흑미찹쌀(국내산)",'🔖 배합비 참조'!$A$2:$A$83,0),MATCH($C10,'🔖 배합비 참조'!$B$1:$CE$1,0))/100,0),""))),"")</f>
        <v>0</v>
      </c>
      <c r="CI10" s="42" t="n">
        <f aca="false">IFERROR(IF($C10="","",IF($D10="","",IFERROR(ROUND($D10*INDEX('🔖 배합비 참조'!$B$2:$CE$83,MATCH("찰옥수수전분(미국산)",'🔖 배합비 참조'!$A$2:$A$83,0),MATCH($C10,'🔖 배합비 참조'!$B$1:$CE$1,0))/100,0),""))),"")</f>
        <v>0</v>
      </c>
      <c r="CJ10" s="40"/>
      <c r="CL10" s="1" t="s">
        <v>235</v>
      </c>
    </row>
    <row r="11" customFormat="false" ht="18" hidden="false" customHeight="true" outlineLevel="0" collapsed="false">
      <c r="A11" s="35" t="n">
        <v>7</v>
      </c>
      <c r="B11" s="36" t="n">
        <v>45945</v>
      </c>
      <c r="C11" s="37" t="s">
        <v>184</v>
      </c>
      <c r="D11" s="38" t="n">
        <v>120</v>
      </c>
      <c r="E11" s="13"/>
      <c r="F11" s="13"/>
      <c r="G11" s="39" t="n">
        <f aca="false">IFERROR(IF($C11="","",IF($D11="","",IFERROR(ROUND($D11*INDEX('🔖 배합비 참조'!$B$2:$CE$83,MATCH("간장",'🔖 배합비 참조'!$A$2:$A$83,0),MATCH($C11,'🔖 배합비 참조'!$B$1:$CE$1,0))/100,0),""))),"")</f>
        <v>0</v>
      </c>
      <c r="H11" s="39" t="n">
        <f aca="false">IFERROR(IF($C11="","",IF($D11="","",IFERROR(ROUND($D11*INDEX('🔖 배합비 참조'!$B$2:$CE$83,MATCH("강낭콩((울타리콩))",'🔖 배합비 참조'!$A$2:$A$83,0),MATCH($C11,'🔖 배합비 참조'!$B$1:$CE$1,0))/100,0),""))),"")</f>
        <v>0</v>
      </c>
      <c r="I11" s="39" t="n">
        <f aca="false">IFERROR(IF($C11="","",IF($D11="","",IFERROR(ROUND($D11*INDEX('🔖 배합비 참조'!$B$2:$CE$83,MATCH("건조딸기다이스(외국산)",'🔖 배합비 참조'!$A$2:$A$83,0),MATCH($C11,'🔖 배합비 참조'!$B$1:$CE$1,0))/100,0),""))),"")</f>
        <v>0</v>
      </c>
      <c r="J11" s="39" t="n">
        <f aca="false">IFERROR(IF($C11="","",IF($D11="","",IFERROR(ROUND($D11*INDEX('🔖 배합비 참조'!$B$2:$CE$83,MATCH("건포도",'🔖 배합비 참조'!$A$2:$A$83,0),MATCH($C11,'🔖 배합비 참조'!$B$1:$CE$1,0))/100,0),""))),"")</f>
        <v>0</v>
      </c>
      <c r="K11" s="39" t="n">
        <f aca="false">IFERROR(IF($C11="","",IF($D11="","",IFERROR(ROUND($D11*INDEX('🔖 배합비 참조'!$B$2:$CE$83,MATCH("건호박채(중국산)",'🔖 배합비 참조'!$A$2:$A$83,0),MATCH($C11,'🔖 배합비 참조'!$B$1:$CE$1,0))/100,0),""))),"")</f>
        <v>0</v>
      </c>
      <c r="L11" s="39" t="n">
        <f aca="false">IFERROR(IF($C11="","",IF($D11="","",IFERROR(ROUND($D11*INDEX('🔖 배합비 참조'!$B$2:$CE$83,MATCH("검정깨(흑임자)",'🔖 배합비 참조'!$A$2:$A$83,0),MATCH($C11,'🔖 배합비 참조'!$B$1:$CE$1,0))/100,0),""))),"")</f>
        <v>0</v>
      </c>
      <c r="M11" s="39" t="n">
        <f aca="false">IFERROR(IF($C11="","",IF($D11="","",IFERROR(ROUND($D11*INDEX('🔖 배합비 참조'!$B$2:$CE$83,MATCH("검정콩",'🔖 배합비 참조'!$A$2:$A$83,0),MATCH($C11,'🔖 배합비 참조'!$B$1:$CE$1,0))/100,0),""))),"")</f>
        <v>0</v>
      </c>
      <c r="N11" s="39" t="n">
        <f aca="false">IFERROR(IF($C11="","",IF($D11="","",IFERROR(ROUND($D11*INDEX('🔖 배합비 참조'!$B$2:$CE$83,MATCH("계피가루",'🔖 배합비 참조'!$A$2:$A$83,0),MATCH($C11,'🔖 배합비 참조'!$B$1:$CE$1,0))/100,0),""))),"")</f>
        <v>0</v>
      </c>
      <c r="O11" s="39" t="n">
        <f aca="false">IFERROR(IF($C11="","",IF($D11="","",IFERROR(ROUND($D11*INDEX('🔖 배합비 참조'!$B$2:$CE$83,MATCH("고구마가루",'🔖 배합비 참조'!$A$2:$A$83,0),MATCH($C11,'🔖 배합비 참조'!$B$1:$CE$1,0))/100,0),""))),"")</f>
        <v>0</v>
      </c>
      <c r="P11" s="39" t="n">
        <f aca="false">IFERROR(IF($C11="","",IF($D11="","",IFERROR(ROUND($D11*INDEX('🔖 배합비 참조'!$B$2:$CE$83,MATCH("고구마무스",'🔖 배합비 참조'!$A$2:$A$83,0),MATCH($C11,'🔖 배합비 참조'!$B$1:$CE$1,0))/100,0),""))),"")</f>
        <v>0</v>
      </c>
      <c r="Q11" s="39" t="n">
        <f aca="false">IFERROR(IF($C11="","",IF($D11="","",IFERROR(ROUND($D11*INDEX('🔖 배합비 참조'!$B$2:$CE$83,MATCH("고려엉겅퀴((곤드레)국내산)",'🔖 배합비 참조'!$A$2:$A$83,0),MATCH($C11,'🔖 배합비 참조'!$B$1:$CE$1,0))/100,0),""))),"")</f>
        <v>0</v>
      </c>
      <c r="R11" s="39" t="n">
        <f aca="false">IFERROR(IF($C11="","",IF($D11="","",IFERROR(ROUND($D11*INDEX('🔖 배합비 참조'!$B$2:$CE$83,MATCH("기타가공품(복분자가루)",'🔖 배합비 참조'!$A$2:$A$83,0),MATCH($C11,'🔖 배합비 참조'!$B$1:$CE$1,0))/100,0),""))),"")</f>
        <v>0</v>
      </c>
      <c r="S11" s="39" t="n">
        <f aca="false">IFERROR(IF($C11="","",IF($D11="","",IFERROR(ROUND($D11*INDEX('🔖 배합비 참조'!$B$2:$CE$83,MATCH("기타가공품(슈퍼소프트엠)",'🔖 배합비 참조'!$A$2:$A$83,0),MATCH($C11,'🔖 배합비 참조'!$B$1:$CE$1,0))/100,0),""))),"")</f>
        <v>0</v>
      </c>
      <c r="T11" s="39" t="n">
        <f aca="false">IFERROR(IF($C11="","",IF($D11="","",IFERROR(ROUND($D11*INDEX('🔖 배합비 참조'!$B$2:$CE$83,MATCH("기타가공품(파인소프트 E-티)",'🔖 배합비 참조'!$A$2:$A$83,0),MATCH($C11,'🔖 배합비 참조'!$B$1:$CE$1,0))/100,0),""))),"")</f>
        <v>0</v>
      </c>
      <c r="U11" s="39" t="n">
        <f aca="false">IFERROR(IF($C11="","",IF($D11="","",IFERROR(ROUND($D11*INDEX('🔖 배합비 참조'!$B$2:$CE$83,MATCH("기타가공품(프리미엄카스테라가루)",'🔖 배합비 참조'!$A$2:$A$83,0),MATCH($C11,'🔖 배합비 참조'!$B$1:$CE$1,0))/100,0),""))),"")</f>
        <v>0</v>
      </c>
      <c r="V11" s="39" t="n">
        <f aca="false">IFERROR(IF($C11="","",IF($D11="","",IFERROR(ROUND($D11*INDEX('🔖 배합비 참조'!$B$2:$CE$83,MATCH("기타가공품(흑임자가루)",'🔖 배합비 참조'!$A$2:$A$83,0),MATCH($C11,'🔖 배합비 참조'!$B$1:$CE$1,0))/100,0),""))),"")</f>
        <v>0</v>
      </c>
      <c r="W11" s="39" t="n">
        <f aca="false">IFERROR(IF($C11="","",IF($D11="","",IFERROR(ROUND($D11*INDEX('🔖 배합비 참조'!$B$2:$CE$83,MATCH("기타설탕(흑설탕)",'🔖 배합비 참조'!$A$2:$A$83,0),MATCH($C11,'🔖 배합비 참조'!$B$1:$CE$1,0))/100,0),""))),"")</f>
        <v>0</v>
      </c>
      <c r="X11" s="39" t="n">
        <f aca="false">IFERROR(IF($C11="","",IF($D11="","",IFERROR(ROUND($D11*INDEX('🔖 배합비 참조'!$B$2:$CE$83,MATCH("냉동쑥(국내산)",'🔖 배합비 참조'!$A$2:$A$83,0),MATCH($C11,'🔖 배합비 참조'!$B$1:$CE$1,0))/100,0),""))),"")</f>
        <v>0</v>
      </c>
      <c r="Y11" s="39" t="n">
        <f aca="false">IFERROR(IF($C11="","",IF($D11="","",IFERROR(ROUND($D11*INDEX('🔖 배합비 참조'!$B$2:$CE$83,MATCH("냉동증숙고구마(중국산)",'🔖 배합비 참조'!$A$2:$A$83,0),MATCH($C11,'🔖 배합비 참조'!$B$1:$CE$1,0))/100,0),""))),"")</f>
        <v>0</v>
      </c>
      <c r="Z11" s="39" t="n">
        <f aca="false">IFERROR(IF($C11="","",IF($D11="","",IFERROR(ROUND($D11*INDEX('🔖 배합비 참조'!$B$2:$CE$83,MATCH("녹차가루",'🔖 배합비 참조'!$A$2:$A$83,0),MATCH($C11,'🔖 배합비 참조'!$B$1:$CE$1,0))/100,0),""))),"")</f>
        <v>0</v>
      </c>
      <c r="AA11" s="39" t="n">
        <f aca="false">IFERROR(IF($C11="","",IF($D11="","",IFERROR(ROUND($D11*INDEX('🔖 배합비 참조'!$B$2:$CE$83,MATCH("다크초콜릿 컴파운드칩",'🔖 배합비 참조'!$A$2:$A$83,0),MATCH($C11,'🔖 배합비 참조'!$B$1:$CE$1,0))/100,0),""))),"")</f>
        <v>0</v>
      </c>
      <c r="AB11" s="39" t="n">
        <f aca="false">IFERROR(IF($C11="","",IF($D11="","",IFERROR(ROUND($D11*INDEX('🔖 배합비 참조'!$B$2:$CE$83,MATCH("단호박분말(중국산)",'🔖 배합비 참조'!$A$2:$A$83,0),MATCH($C11,'🔖 배합비 참조'!$B$1:$CE$1,0))/100,0),""))),"")</f>
        <v>0</v>
      </c>
      <c r="AC11" s="39" t="n">
        <f aca="false">IFERROR(IF($C11="","",IF($D11="","",IFERROR(ROUND($D11*INDEX('🔖 배합비 참조'!$B$2:$CE$83,MATCH("당류가공품(단호박농축액)",'🔖 배합비 참조'!$A$2:$A$83,0),MATCH($C11,'🔖 배합비 참조'!$B$1:$CE$1,0))/100,0),""))),"")</f>
        <v>0</v>
      </c>
      <c r="AD11" s="39" t="n">
        <f aca="false">IFERROR(IF($C11="","",IF($D11="","",IFERROR(ROUND($D11*INDEX('🔖 배합비 참조'!$B$2:$CE$83,MATCH("당류가공품(알룰로스,에리스리톨,스테비올배당체혼합)",'🔖 배합비 참조'!$A$2:$A$83,0),MATCH($C11,'🔖 배합비 참조'!$B$1:$CE$1,0))/100,0),""))),"")</f>
        <v>0</v>
      </c>
      <c r="AE11" s="39" t="n">
        <f aca="false">IFERROR(IF($C11="","",IF($D11="","",IFERROR(ROUND($D11*INDEX('🔖 배합비 참조'!$B$2:$CE$83,MATCH("당류가공품(알룰로스제로파우더)",'🔖 배합비 참조'!$A$2:$A$83,0),MATCH($C11,'🔖 배합비 참조'!$B$1:$CE$1,0))/100,0),""))),"")</f>
        <v>0</v>
      </c>
      <c r="AF11" s="39" t="n">
        <f aca="false">IFERROR(IF($C11="","",IF($D11="","",IFERROR(ROUND($D11*INDEX('🔖 배합비 참조'!$B$2:$CE$83,MATCH("당절임(완두배기)",'🔖 배합비 참조'!$A$2:$A$83,0),MATCH($C11,'🔖 배합비 참조'!$B$1:$CE$1,0))/100,0),""))),"")</f>
        <v>0</v>
      </c>
      <c r="AG11" s="39" t="n">
        <f aca="false">IFERROR(IF($C11="","",IF($D11="","",IFERROR(ROUND($D11*INDEX('🔖 배합비 참조'!$B$2:$CE$83,MATCH("대추농축액",'🔖 배합비 참조'!$A$2:$A$83,0),MATCH($C11,'🔖 배합비 참조'!$B$1:$CE$1,0))/100,0),""))),"")</f>
        <v>0</v>
      </c>
      <c r="AH11" s="39" t="n">
        <f aca="false">IFERROR(IF($C11="","",IF($D11="","",IFERROR(ROUND($D11*INDEX('🔖 배합비 참조'!$B$2:$CE$83,MATCH("대추채(국내산)",'🔖 배합비 참조'!$A$2:$A$83,0),MATCH($C11,'🔖 배합비 참조'!$B$1:$CE$1,0))/100,0),""))),"")</f>
        <v>0</v>
      </c>
      <c r="AI11" s="39" t="n">
        <f aca="false">IFERROR(IF($C11="","",IF($D11="","",IFERROR(ROUND($D11*INDEX('🔖 배합비 참조'!$B$2:$CE$83,MATCH("동부(미얀마산)",'🔖 배합비 참조'!$A$2:$A$83,0),MATCH($C11,'🔖 배합비 참조'!$B$1:$CE$1,0))/100,0),""))),"")</f>
        <v>0</v>
      </c>
      <c r="AJ11" s="39" t="n">
        <f aca="false">IFERROR(IF($C11="","",IF($D11="","",IFERROR(ROUND($D11*INDEX('🔖 배합비 참조'!$B$2:$CE$83,MATCH("두류가공품(백옥앙금)",'🔖 배합비 참조'!$A$2:$A$83,0),MATCH($C11,'🔖 배합비 참조'!$B$1:$CE$1,0))/100,0),""))),"")</f>
        <v>0</v>
      </c>
      <c r="AK11" s="39" t="n">
        <f aca="false">IFERROR(IF($C11="","",IF($D11="","",IFERROR(ROUND($D11*INDEX('🔖 배합비 참조'!$B$2:$CE$83,MATCH("두류가공품(콩고물)",'🔖 배합비 참조'!$A$2:$A$83,0),MATCH($C11,'🔖 배합비 참조'!$B$1:$CE$1,0))/100,0),""))),"")</f>
        <v>0</v>
      </c>
      <c r="AL11" s="39" t="n">
        <f aca="false">IFERROR(IF($C11="","",IF($D11="","",IFERROR(ROUND($D11*INDEX('🔖 배합비 참조'!$B$2:$CE$83,MATCH("두류가공품(통팥고물)",'🔖 배합비 참조'!$A$2:$A$83,0),MATCH($C11,'🔖 배합비 참조'!$B$1:$CE$1,0))/100,0),""))),"")</f>
        <v>0</v>
      </c>
      <c r="AM11" s="39" t="n">
        <f aca="false">IFERROR(IF($C11="","",IF($D11="","",IFERROR(ROUND($D11*INDEX('🔖 배합비 참조'!$B$2:$CE$83,MATCH("딸기레진",'🔖 배합비 참조'!$A$2:$A$83,0),MATCH($C11,'🔖 배합비 참조'!$B$1:$CE$1,0))/100,0),""))),"")</f>
        <v>0</v>
      </c>
      <c r="AN11" s="39" t="n">
        <f aca="false">IFERROR(IF($C11="","",IF($D11="","",IFERROR(ROUND($D11*INDEX('🔖 배합비 참조'!$B$2:$CE$83,MATCH("딸기분말(스트로우베리에이드(분말))",'🔖 배합비 참조'!$A$2:$A$83,0),MATCH($C11,'🔖 배합비 참조'!$B$1:$CE$1,0))/100,0),""))),"")</f>
        <v>0</v>
      </c>
      <c r="AO11" s="39" t="n">
        <f aca="false">IFERROR(IF($C11="","",IF($D11="","",IFERROR(ROUND($D11*INDEX('🔖 배합비 참조'!$B$2:$CE$83,MATCH("마스카포네치즈",'🔖 배합비 참조'!$A$2:$A$83,0),MATCH($C11,'🔖 배합비 참조'!$B$1:$CE$1,0))/100,0),""))),"")</f>
        <v>0</v>
      </c>
      <c r="AP11" s="39" t="n">
        <f aca="false">IFERROR(IF($C11="","",IF($D11="","",IFERROR(ROUND($D11*INDEX('🔖 배합비 참조'!$B$2:$CE$83,MATCH("마카다미아분태(호주산)",'🔖 배합비 참조'!$A$2:$A$83,0),MATCH($C11,'🔖 배합비 참조'!$B$1:$CE$1,0))/100,0),""))),"")</f>
        <v>0</v>
      </c>
      <c r="AQ11" s="39" t="n">
        <f aca="false">IFERROR(IF($C11="","",IF($D11="","",IFERROR(ROUND($D11*INDEX('🔖 배합비 참조'!$B$2:$CE$83,MATCH("멥쌀(국내산)",'🔖 배합비 참조'!$A$2:$A$83,0),MATCH($C11,'🔖 배합비 참조'!$B$1:$CE$1,0))/100,0),""))),"")</f>
        <v>83</v>
      </c>
      <c r="AR11" s="39" t="n">
        <f aca="false">IFERROR(IF($C11="","",IF($D11="","",IFERROR(ROUND($D11*INDEX('🔖 배합비 참조'!$B$2:$CE$83,MATCH("모시잎(국내산)",'🔖 배합비 참조'!$A$2:$A$83,0),MATCH($C11,'🔖 배합비 참조'!$B$1:$CE$1,0))/100,0),""))),"")</f>
        <v>0</v>
      </c>
      <c r="AS11" s="39" t="n">
        <f aca="false">IFERROR(IF($C11="","",IF($D11="","",IFERROR(ROUND($D11*INDEX('🔖 배합비 참조'!$B$2:$CE$83,MATCH("물엿(저당물엿)",'🔖 배합비 참조'!$A$2:$A$83,0),MATCH($C11,'🔖 배합비 참조'!$B$1:$CE$1,0))/100,0),""))),"")</f>
        <v>0</v>
      </c>
      <c r="AT11" s="39" t="n">
        <f aca="false">IFERROR(IF($C11="","",IF($D11="","",IFERROR(ROUND($D11*INDEX('🔖 배합비 참조'!$B$2:$CE$83,MATCH("밤다이스",'🔖 배합비 참조'!$A$2:$A$83,0),MATCH($C11,'🔖 배합비 참조'!$B$1:$CE$1,0))/100,0),""))),"")</f>
        <v>0</v>
      </c>
      <c r="AU11" s="39" t="n">
        <f aca="false">IFERROR(IF($C11="","",IF($D11="","",IFERROR(ROUND($D11*INDEX('🔖 배합비 참조'!$B$2:$CE$83,MATCH("변성전분(타피오카전분)",'🔖 배합비 참조'!$A$2:$A$83,0),MATCH($C11,'🔖 배합비 참조'!$B$1:$CE$1,0))/100,0),""))),"")</f>
        <v>0</v>
      </c>
      <c r="AV11" s="39" t="n">
        <f aca="false">IFERROR(IF($C11="","",IF($D11="","",IFERROR(ROUND($D11*INDEX('🔖 배합비 참조'!$B$2:$CE$83,MATCH("복음땅콩분태",'🔖 배합비 참조'!$A$2:$A$83,0),MATCH($C11,'🔖 배합비 참조'!$B$1:$CE$1,0))/100,0),""))),"")</f>
        <v>0</v>
      </c>
      <c r="AW11" s="39" t="n">
        <f aca="false">IFERROR(IF($C11="","",IF($D11="","",IFERROR(ROUND($D11*INDEX('🔖 배합비 참조'!$B$2:$CE$83,MATCH("사양벌꿀(국내산)",'🔖 배합비 참조'!$A$2:$A$83,0),MATCH($C11,'🔖 배합비 참조'!$B$1:$CE$1,0))/100,0),""))),"")</f>
        <v>0</v>
      </c>
      <c r="AX11" s="39" t="n">
        <f aca="false">IFERROR(IF($C11="","",IF($D11="","",IFERROR(ROUND($D11*INDEX('🔖 배합비 참조'!$B$2:$CE$83,MATCH("생크림",'🔖 배합비 참조'!$A$2:$A$83,0),MATCH($C11,'🔖 배합비 참조'!$B$1:$CE$1,0))/100,0),""))),"")</f>
        <v>0</v>
      </c>
      <c r="AY11" s="39" t="n">
        <f aca="false">IFERROR(IF($C11="","",IF($D11="","",IFERROR(ROUND($D11*INDEX('🔖 배합비 참조'!$B$2:$CE$83,MATCH("서양호박(국내산,뉴질랜드산)",'🔖 배합비 참조'!$A$2:$A$83,0),MATCH($C11,'🔖 배합비 참조'!$B$1:$CE$1,0))/100,0),""))),"")</f>
        <v>0</v>
      </c>
      <c r="AZ11" s="39" t="n">
        <f aca="false">IFERROR(IF($C11="","",IF($D11="","",IFERROR(ROUND($D11*INDEX('🔖 배합비 참조'!$B$2:$CE$83,MATCH("설탕",'🔖 배합비 참조'!$A$2:$A$83,0),MATCH($C11,'🔖 배합비 참조'!$B$1:$CE$1,0))/100,0),""))),"")</f>
        <v>14</v>
      </c>
      <c r="BA11" s="39" t="n">
        <f aca="false">IFERROR(IF($C11="","",IF($D11="","",IFERROR(ROUND($D11*INDEX('🔖 배합비 참조'!$B$2:$CE$83,MATCH("스트로우베리 에이드 후레쉬",'🔖 배합비 참조'!$A$2:$A$83,0),MATCH($C11,'🔖 배합비 참조'!$B$1:$CE$1,0))/100,0),""))),"")</f>
        <v>0</v>
      </c>
      <c r="BB11" s="39" t="n">
        <f aca="false">IFERROR(IF($C11="","",IF($D11="","",IFERROR(ROUND($D11*INDEX('🔖 배합비 참조'!$B$2:$CE$83,MATCH("식물성기름혼합제제(분홍)",'🔖 배합비 참조'!$A$2:$A$83,0),MATCH($C11,'🔖 배합비 참조'!$B$1:$CE$1,0))/100,0),""))),"")</f>
        <v>0</v>
      </c>
      <c r="BC11" s="39" t="n">
        <f aca="false">IFERROR(IF($C11="","",IF($D11="","",IFERROR(ROUND($D11*INDEX('🔖 배합비 참조'!$B$2:$CE$83,MATCH("식물성기름혼합제제(초록)",'🔖 배합비 참조'!$A$2:$A$83,0),MATCH($C11,'🔖 배합비 참조'!$B$1:$CE$1,0))/100,0),""))),"")</f>
        <v>0</v>
      </c>
      <c r="BD11" s="39" t="n">
        <f aca="false">IFERROR(IF($C11="","",IF($D11="","",IFERROR(ROUND($D11*INDEX('🔖 배합비 참조'!$B$2:$CE$83,MATCH("식물성기름혼합제제(황색)",'🔖 배합비 참조'!$A$2:$A$83,0),MATCH($C11,'🔖 배합비 참조'!$B$1:$CE$1,0))/100,0),""))),"")</f>
        <v>0</v>
      </c>
      <c r="BE11" s="39" t="n">
        <f aca="false">IFERROR(IF($C11="","",IF($D11="","",IFERROR(ROUND($D11*INDEX('🔖 배합비 참조'!$B$2:$CE$83,MATCH("쑥가루(국내산)",'🔖 배합비 참조'!$A$2:$A$83,0),MATCH($C11,'🔖 배합비 참조'!$B$1:$CE$1,0))/100,0),""))),"")</f>
        <v>0</v>
      </c>
      <c r="BF11" s="39" t="n">
        <f aca="false">IFERROR(IF($C11="","",IF($D11="","",IFERROR(ROUND($D11*INDEX('🔖 배합비 참조'!$B$2:$CE$83,MATCH("아몬드슬라이스",'🔖 배합비 참조'!$A$2:$A$83,0),MATCH($C11,'🔖 배합비 참조'!$B$1:$CE$1,0))/100,0),""))),"")</f>
        <v>0</v>
      </c>
      <c r="BG11" s="39" t="n">
        <f aca="false">IFERROR(IF($C11="","",IF($D11="","",IFERROR(ROUND($D11*INDEX('🔖 배합비 참조'!$B$2:$CE$83,MATCH("알룰로오스(국내산)",'🔖 배합비 참조'!$A$2:$A$83,0),MATCH($C11,'🔖 배합비 참조'!$B$1:$CE$1,0))/100,0),""))),"")</f>
        <v>0</v>
      </c>
      <c r="BH11" s="39" t="n">
        <f aca="false">IFERROR(IF($C11="","",IF($D11="","",IFERROR(ROUND($D11*INDEX('🔖 배합비 참조'!$B$2:$CE$83,MATCH("연유",'🔖 배합비 참조'!$A$2:$A$83,0),MATCH($C11,'🔖 배합비 참조'!$B$1:$CE$1,0))/100,0),""))),"")</f>
        <v>0</v>
      </c>
      <c r="BI11" s="39" t="n">
        <f aca="false">IFERROR(IF($C11="","",IF($D11="","",IFERROR(ROUND($D11*INDEX('🔖 배합비 참조'!$B$2:$CE$83,MATCH("옥수수전분",'🔖 배합비 참조'!$A$2:$A$83,0),MATCH($C11,'🔖 배합비 참조'!$B$1:$CE$1,0))/100,0),""))),"")</f>
        <v>0</v>
      </c>
      <c r="BJ11" s="39" t="n">
        <f aca="false">IFERROR(IF($C11="","",IF($D11="","",IFERROR(ROUND($D11*INDEX('🔖 배합비 참조'!$B$2:$CE$83,MATCH("완두배기",'🔖 배합비 참조'!$A$2:$A$83,0),MATCH($C11,'🔖 배합비 참조'!$B$1:$CE$1,0))/100,0),""))),"")</f>
        <v>0</v>
      </c>
      <c r="BK11" s="39" t="n">
        <f aca="false">IFERROR(IF($C11="","",IF($D11="","",IFERROR(ROUND($D11*INDEX('🔖 배합비 참조'!$B$2:$CE$83,MATCH("우유(국내산)",'🔖 배합비 참조'!$A$2:$A$83,0),MATCH($C11,'🔖 배합비 참조'!$B$1:$CE$1,0))/100,0),""))),"")</f>
        <v>11</v>
      </c>
      <c r="BL11" s="39" t="n">
        <f aca="false">IFERROR(IF($C11="","",IF($D11="","",IFERROR(ROUND($D11*INDEX('🔖 배합비 참조'!$B$2:$CE$83,MATCH("자색고구마가루(중국산)",'🔖 배합비 참조'!$A$2:$A$83,0),MATCH($C11,'🔖 배합비 참조'!$B$1:$CE$1,0))/100,0),""))),"")</f>
        <v>0</v>
      </c>
      <c r="BM11" s="39" t="n">
        <f aca="false">IFERROR(IF($C11="","",IF($D11="","",IFERROR(ROUND($D11*INDEX('🔖 배합비 참조'!$B$2:$CE$83,MATCH("자연치즈(체다치즈)",'🔖 배합비 참조'!$A$2:$A$83,0),MATCH($C11,'🔖 배합비 참조'!$B$1:$CE$1,0))/100,0),""))),"")</f>
        <v>0</v>
      </c>
      <c r="BN11" s="39" t="n">
        <f aca="false">IFERROR(IF($C11="","",IF($D11="","",IFERROR(ROUND($D11*INDEX('🔖 배합비 참조'!$B$2:$CE$83,MATCH("정제수",'🔖 배합비 참조'!$A$2:$A$83,0),MATCH($C11,'🔖 배합비 참조'!$B$1:$CE$1,0))/100,0),""))),"")</f>
        <v>11</v>
      </c>
      <c r="BO11" s="39" t="n">
        <f aca="false">IFERROR(IF($C11="","",IF($D11="","",IFERROR(ROUND($D11*INDEX('🔖 배합비 참조'!$B$2:$CE$83,MATCH("젤라틴",'🔖 배합비 참조'!$A$2:$A$83,0),MATCH($C11,'🔖 배합비 참조'!$B$1:$CE$1,0))/100,0),""))),"")</f>
        <v>0</v>
      </c>
      <c r="BP11" s="39" t="n">
        <f aca="false">IFERROR(IF($C11="","",IF($D11="","",IFERROR(ROUND($D11*INDEX('🔖 배합비 참조'!$B$2:$CE$83,MATCH("조림류(백옥앙금)",'🔖 배합비 참조'!$A$2:$A$83,0),MATCH($C11,'🔖 배합비 참조'!$B$1:$CE$1,0))/100,0),""))),"")</f>
        <v>0</v>
      </c>
      <c r="BQ11" s="39" t="n">
        <f aca="false">IFERROR(IF($C11="","",IF($D11="","",IFERROR(ROUND($D11*INDEX('🔖 배합비 참조'!$B$2:$CE$83,MATCH("조림류(통팥앙금)",'🔖 배합비 참조'!$A$2:$A$83,0),MATCH($C11,'🔖 배합비 참조'!$B$1:$CE$1,0))/100,0),""))),"")</f>
        <v>0</v>
      </c>
      <c r="BR11" s="39" t="n">
        <f aca="false">IFERROR(IF($C11="","",IF($D11="","",IFERROR(ROUND($D11*INDEX('🔖 배합비 참조'!$B$2:$CE$83,MATCH("준초콜릿(외국산)",'🔖 배합비 참조'!$A$2:$A$83,0),MATCH($C11,'🔖 배합비 참조'!$B$1:$CE$1,0))/100,0),""))),"")</f>
        <v>0</v>
      </c>
      <c r="BS11" s="39" t="n">
        <f aca="false">IFERROR(IF($C11="","",IF($D11="","",IFERROR(ROUND($D11*INDEX('🔖 배합비 참조'!$B$2:$CE$83,MATCH("중력분",'🔖 배합비 참조'!$A$2:$A$83,0),MATCH($C11,'🔖 배합비 참조'!$B$1:$CE$1,0))/100,0),""))),"")</f>
        <v>0</v>
      </c>
      <c r="BT11" s="39" t="n">
        <f aca="false">IFERROR(IF($C11="","",IF($D11="","",IFERROR(ROUND($D11*INDEX('🔖 배합비 참조'!$B$2:$CE$83,MATCH("참깨(인도산,나이지리아산,탄자니아산,미얀마산)",'🔖 배합비 참조'!$A$2:$A$83,0),MATCH($C11,'🔖 배합비 참조'!$B$1:$CE$1,0))/100,0),""))),"")</f>
        <v>0</v>
      </c>
      <c r="BU11" s="39" t="n">
        <f aca="false">IFERROR(IF($C11="","",IF($D11="","",IFERROR(ROUND($D11*INDEX('🔖 배합비 참조'!$B$2:$CE$83,MATCH("찹쌀(국내산)",'🔖 배합비 참조'!$A$2:$A$83,0),MATCH($C11,'🔖 배합비 참조'!$B$1:$CE$1,0))/100,0),""))),"")</f>
        <v>0</v>
      </c>
      <c r="BV11" s="39" t="n">
        <f aca="false">IFERROR(IF($C11="","",IF($D11="","",IFERROR(ROUND($D11*INDEX('🔖 배합비 참조'!$B$2:$CE$83,MATCH("천일염",'🔖 배합비 참조'!$A$2:$A$83,0),MATCH($C11,'🔖 배합비 참조'!$B$1:$CE$1,0))/100,0),""))),"")</f>
        <v>1</v>
      </c>
      <c r="BW11" s="39" t="n">
        <f aca="false">IFERROR(IF($C11="","",IF($D11="","",IFERROR(ROUND($D11*INDEX('🔖 배합비 참조'!$B$2:$CE$83,MATCH("치즈 [크림치즈]",'🔖 배합비 참조'!$A$2:$A$83,0),MATCH($C11,'🔖 배합비 참조'!$B$1:$CE$1,0))/100,0),""))),"")</f>
        <v>0</v>
      </c>
      <c r="BX11" s="39" t="n">
        <f aca="false">IFERROR(IF($C11="","",IF($D11="","",IFERROR(ROUND($D11*INDEX('🔖 배합비 참조'!$B$2:$CE$83,MATCH("코코아가공품류(코코아분말)",'🔖 배합비 참조'!$A$2:$A$83,0),MATCH($C11,'🔖 배합비 참조'!$B$1:$CE$1,0))/100,0),""))),"")</f>
        <v>0</v>
      </c>
      <c r="BY11" s="39" t="n">
        <f aca="false">IFERROR(IF($C11="","",IF($D11="","",IFERROR(ROUND($D11*INDEX('🔖 배합비 참조'!$B$2:$CE$83,MATCH("콩기름(대두유)",'🔖 배합비 참조'!$A$2:$A$83,0),MATCH($C11,'🔖 배합비 참조'!$B$1:$CE$1,0))/100,0),""))),"")</f>
        <v>0</v>
      </c>
      <c r="BZ11" s="39" t="n">
        <f aca="false">IFERROR(IF($C11="","",IF($D11="","",IFERROR(ROUND($D11*INDEX('🔖 배합비 참조'!$B$2:$CE$83,MATCH("해바라기씨앗",'🔖 배합비 참조'!$A$2:$A$83,0),MATCH($C11,'🔖 배합비 참조'!$B$1:$CE$1,0))/100,0),""))),"")</f>
        <v>0</v>
      </c>
      <c r="CA11" s="39" t="n">
        <f aca="false">IFERROR(IF($C11="","",IF($D11="","",IFERROR(ROUND($D11*INDEX('🔖 배합비 참조'!$B$2:$CE$83,MATCH("현미(국내산)",'🔖 배합비 참조'!$A$2:$A$83,0),MATCH($C11,'🔖 배합비 참조'!$B$1:$CE$1,0))/100,0),""))),"")</f>
        <v>0</v>
      </c>
      <c r="CB11" s="39" t="n">
        <f aca="false">IFERROR(IF($C11="","",IF($D11="","",IFERROR(ROUND($D11*INDEX('🔖 배합비 참조'!$B$2:$CE$83,MATCH("현미멥쌀(국내산)",'🔖 배합비 참조'!$A$2:$A$83,0),MATCH($C11,'🔖 배합비 참조'!$B$1:$CE$1,0))/100,0),""))),"")</f>
        <v>0</v>
      </c>
      <c r="CC11" s="39" t="n">
        <f aca="false">IFERROR(IF($C11="","",IF($D11="","",IFERROR(ROUND($D11*INDEX('🔖 배합비 참조'!$B$2:$CE$83,MATCH("호두분태(미국산)",'🔖 배합비 참조'!$A$2:$A$83,0),MATCH($C11,'🔖 배합비 참조'!$B$1:$CE$1,0))/100,0),""))),"")</f>
        <v>0</v>
      </c>
      <c r="CD11" s="39" t="n">
        <f aca="false">IFERROR(IF($C11="","",IF($D11="","",IFERROR(ROUND($D11*INDEX('🔖 배합비 참조'!$B$2:$CE$83,MATCH("호박씨앗(외국산)",'🔖 배합비 참조'!$A$2:$A$83,0),MATCH($C11,'🔖 배합비 참조'!$B$1:$CE$1,0))/100,0),""))),"")</f>
        <v>0</v>
      </c>
      <c r="CE11" s="39" t="n">
        <f aca="false">IFERROR(IF($C11="","",IF($D11="","",IFERROR(ROUND($D11*INDEX('🔖 배합비 참조'!$B$2:$CE$83,MATCH("혼합제제(떡용에스텔)",'🔖 배합비 참조'!$A$2:$A$83,0),MATCH($C11,'🔖 배합비 참조'!$B$1:$CE$1,0))/100,0),""))),"")</f>
        <v>0</v>
      </c>
      <c r="CF11" s="39" t="n">
        <f aca="false">IFERROR(IF($C11="","",IF($D11="","",IFERROR(ROUND($D11*INDEX('🔖 배합비 참조'!$B$2:$CE$83,MATCH("혼합제제(스테비아)",'🔖 배합비 참조'!$A$2:$A$83,0),MATCH($C11,'🔖 배합비 참조'!$B$1:$CE$1,0))/100,0),""))),"")</f>
        <v>0</v>
      </c>
      <c r="CG11" s="39" t="n">
        <f aca="false">IFERROR(IF($C11="","",IF($D11="","",IFERROR(ROUND($D11*INDEX('🔖 배합비 참조'!$B$2:$CE$83,MATCH("화이트초콜릿",'🔖 배합비 참조'!$A$2:$A$83,0),MATCH($C11,'🔖 배합비 참조'!$B$1:$CE$1,0))/100,0),""))),"")</f>
        <v>0</v>
      </c>
      <c r="CH11" s="39" t="n">
        <f aca="false">IFERROR(IF($C11="","",IF($D11="","",IFERROR(ROUND($D11*INDEX('🔖 배합비 참조'!$B$2:$CE$83,MATCH("흑미찹쌀(국내산)",'🔖 배합비 참조'!$A$2:$A$83,0),MATCH($C11,'🔖 배합비 참조'!$B$1:$CE$1,0))/100,0),""))),"")</f>
        <v>0</v>
      </c>
      <c r="CI11" s="39" t="n">
        <f aca="false">IFERROR(IF($C11="","",IF($D11="","",IFERROR(ROUND($D11*INDEX('🔖 배합비 참조'!$B$2:$CE$83,MATCH("찰옥수수전분(미국산)",'🔖 배합비 참조'!$A$2:$A$83,0),MATCH($C11,'🔖 배합비 참조'!$B$1:$CE$1,0))/100,0),""))),"")</f>
        <v>0</v>
      </c>
      <c r="CJ11" s="40"/>
      <c r="CL11" s="1" t="s">
        <v>235</v>
      </c>
    </row>
    <row r="12" customFormat="false" ht="18" hidden="false" customHeight="true" outlineLevel="0" collapsed="false">
      <c r="A12" s="41" t="n">
        <v>8</v>
      </c>
      <c r="B12" s="36" t="n">
        <v>45946</v>
      </c>
      <c r="C12" s="37" t="s">
        <v>142</v>
      </c>
      <c r="D12" s="38" t="n">
        <v>40</v>
      </c>
      <c r="E12" s="17"/>
      <c r="F12" s="17"/>
      <c r="G12" s="42" t="n">
        <f aca="false">IFERROR(IF($C12="","",IF($D12="","",IFERROR(ROUND($D12*INDEX('🔖 배합비 참조'!$B$2:$CE$83,MATCH("간장",'🔖 배합비 참조'!$A$2:$A$83,0),MATCH($C12,'🔖 배합비 참조'!$B$1:$CE$1,0))/100,0),""))),"")</f>
        <v>0</v>
      </c>
      <c r="H12" s="42" t="n">
        <f aca="false">IFERROR(IF($C12="","",IF($D12="","",IFERROR(ROUND($D12*INDEX('🔖 배합비 참조'!$B$2:$CE$83,MATCH("강낭콩((울타리콩))",'🔖 배합비 참조'!$A$2:$A$83,0),MATCH($C12,'🔖 배합비 참조'!$B$1:$CE$1,0))/100,0),""))),"")</f>
        <v>1</v>
      </c>
      <c r="I12" s="42" t="n">
        <f aca="false">IFERROR(IF($C12="","",IF($D12="","",IFERROR(ROUND($D12*INDEX('🔖 배합비 참조'!$B$2:$CE$83,MATCH("건조딸기다이스(외국산)",'🔖 배합비 참조'!$A$2:$A$83,0),MATCH($C12,'🔖 배합비 참조'!$B$1:$CE$1,0))/100,0),""))),"")</f>
        <v>0</v>
      </c>
      <c r="J12" s="42" t="n">
        <f aca="false">IFERROR(IF($C12="","",IF($D12="","",IFERROR(ROUND($D12*INDEX('🔖 배합비 참조'!$B$2:$CE$83,MATCH("건포도",'🔖 배합비 참조'!$A$2:$A$83,0),MATCH($C12,'🔖 배합비 참조'!$B$1:$CE$1,0))/100,0),""))),"")</f>
        <v>0</v>
      </c>
      <c r="K12" s="42" t="n">
        <f aca="false">IFERROR(IF($C12="","",IF($D12="","",IFERROR(ROUND($D12*INDEX('🔖 배합비 참조'!$B$2:$CE$83,MATCH("건호박채(중국산)",'🔖 배합비 참조'!$A$2:$A$83,0),MATCH($C12,'🔖 배합비 참조'!$B$1:$CE$1,0))/100,0),""))),"")</f>
        <v>0</v>
      </c>
      <c r="L12" s="42" t="n">
        <f aca="false">IFERROR(IF($C12="","",IF($D12="","",IFERROR(ROUND($D12*INDEX('🔖 배합비 참조'!$B$2:$CE$83,MATCH("검정깨(흑임자)",'🔖 배합비 참조'!$A$2:$A$83,0),MATCH($C12,'🔖 배합비 참조'!$B$1:$CE$1,0))/100,0),""))),"")</f>
        <v>0</v>
      </c>
      <c r="M12" s="42" t="n">
        <f aca="false">IFERROR(IF($C12="","",IF($D12="","",IFERROR(ROUND($D12*INDEX('🔖 배합비 참조'!$B$2:$CE$83,MATCH("검정콩",'🔖 배합비 참조'!$A$2:$A$83,0),MATCH($C12,'🔖 배합비 참조'!$B$1:$CE$1,0))/100,0),""))),"")</f>
        <v>1</v>
      </c>
      <c r="N12" s="42" t="n">
        <f aca="false">IFERROR(IF($C12="","",IF($D12="","",IFERROR(ROUND($D12*INDEX('🔖 배합비 참조'!$B$2:$CE$83,MATCH("계피가루",'🔖 배합비 참조'!$A$2:$A$83,0),MATCH($C12,'🔖 배합비 참조'!$B$1:$CE$1,0))/100,0),""))),"")</f>
        <v>0</v>
      </c>
      <c r="O12" s="42" t="n">
        <f aca="false">IFERROR(IF($C12="","",IF($D12="","",IFERROR(ROUND($D12*INDEX('🔖 배합비 참조'!$B$2:$CE$83,MATCH("고구마가루",'🔖 배합비 참조'!$A$2:$A$83,0),MATCH($C12,'🔖 배합비 참조'!$B$1:$CE$1,0))/100,0),""))),"")</f>
        <v>0</v>
      </c>
      <c r="P12" s="42" t="n">
        <f aca="false">IFERROR(IF($C12="","",IF($D12="","",IFERROR(ROUND($D12*INDEX('🔖 배합비 참조'!$B$2:$CE$83,MATCH("고구마무스",'🔖 배합비 참조'!$A$2:$A$83,0),MATCH($C12,'🔖 배합비 참조'!$B$1:$CE$1,0))/100,0),""))),"")</f>
        <v>0</v>
      </c>
      <c r="Q12" s="42" t="n">
        <f aca="false">IFERROR(IF($C12="","",IF($D12="","",IFERROR(ROUND($D12*INDEX('🔖 배합비 참조'!$B$2:$CE$83,MATCH("고려엉겅퀴((곤드레)국내산)",'🔖 배합비 참조'!$A$2:$A$83,0),MATCH($C12,'🔖 배합비 참조'!$B$1:$CE$1,0))/100,0),""))),"")</f>
        <v>2</v>
      </c>
      <c r="R12" s="42" t="n">
        <f aca="false">IFERROR(IF($C12="","",IF($D12="","",IFERROR(ROUND($D12*INDEX('🔖 배합비 참조'!$B$2:$CE$83,MATCH("기타가공품(복분자가루)",'🔖 배합비 참조'!$A$2:$A$83,0),MATCH($C12,'🔖 배합비 참조'!$B$1:$CE$1,0))/100,0),""))),"")</f>
        <v>0</v>
      </c>
      <c r="S12" s="42" t="n">
        <f aca="false">IFERROR(IF($C12="","",IF($D12="","",IFERROR(ROUND($D12*INDEX('🔖 배합비 참조'!$B$2:$CE$83,MATCH("기타가공품(슈퍼소프트엠)",'🔖 배합비 참조'!$A$2:$A$83,0),MATCH($C12,'🔖 배합비 참조'!$B$1:$CE$1,0))/100,0),""))),"")</f>
        <v>0</v>
      </c>
      <c r="T12" s="42" t="n">
        <f aca="false">IFERROR(IF($C12="","",IF($D12="","",IFERROR(ROUND($D12*INDEX('🔖 배합비 참조'!$B$2:$CE$83,MATCH("기타가공품(파인소프트 E-티)",'🔖 배합비 참조'!$A$2:$A$83,0),MATCH($C12,'🔖 배합비 참조'!$B$1:$CE$1,0))/100,0),""))),"")</f>
        <v>0</v>
      </c>
      <c r="U12" s="42" t="n">
        <f aca="false">IFERROR(IF($C12="","",IF($D12="","",IFERROR(ROUND($D12*INDEX('🔖 배합비 참조'!$B$2:$CE$83,MATCH("기타가공품(프리미엄카스테라가루)",'🔖 배합비 참조'!$A$2:$A$83,0),MATCH($C12,'🔖 배합비 참조'!$B$1:$CE$1,0))/100,0),""))),"")</f>
        <v>0</v>
      </c>
      <c r="V12" s="42" t="n">
        <f aca="false">IFERROR(IF($C12="","",IF($D12="","",IFERROR(ROUND($D12*INDEX('🔖 배합비 참조'!$B$2:$CE$83,MATCH("기타가공품(흑임자가루)",'🔖 배합비 참조'!$A$2:$A$83,0),MATCH($C12,'🔖 배합비 참조'!$B$1:$CE$1,0))/100,0),""))),"")</f>
        <v>0</v>
      </c>
      <c r="W12" s="42" t="n">
        <f aca="false">IFERROR(IF($C12="","",IF($D12="","",IFERROR(ROUND($D12*INDEX('🔖 배합비 참조'!$B$2:$CE$83,MATCH("기타설탕(흑설탕)",'🔖 배합비 참조'!$A$2:$A$83,0),MATCH($C12,'🔖 배합비 참조'!$B$1:$CE$1,0))/100,0),""))),"")</f>
        <v>0</v>
      </c>
      <c r="X12" s="42" t="n">
        <f aca="false">IFERROR(IF($C12="","",IF($D12="","",IFERROR(ROUND($D12*INDEX('🔖 배합비 참조'!$B$2:$CE$83,MATCH("냉동쑥(국내산)",'🔖 배합비 참조'!$A$2:$A$83,0),MATCH($C12,'🔖 배합비 참조'!$B$1:$CE$1,0))/100,0),""))),"")</f>
        <v>0</v>
      </c>
      <c r="Y12" s="42" t="n">
        <f aca="false">IFERROR(IF($C12="","",IF($D12="","",IFERROR(ROUND($D12*INDEX('🔖 배합비 참조'!$B$2:$CE$83,MATCH("냉동증숙고구마(중국산)",'🔖 배합비 참조'!$A$2:$A$83,0),MATCH($C12,'🔖 배합비 참조'!$B$1:$CE$1,0))/100,0),""))),"")</f>
        <v>0</v>
      </c>
      <c r="Z12" s="42" t="n">
        <f aca="false">IFERROR(IF($C12="","",IF($D12="","",IFERROR(ROUND($D12*INDEX('🔖 배합비 참조'!$B$2:$CE$83,MATCH("녹차가루",'🔖 배합비 참조'!$A$2:$A$83,0),MATCH($C12,'🔖 배합비 참조'!$B$1:$CE$1,0))/100,0),""))),"")</f>
        <v>0</v>
      </c>
      <c r="AA12" s="42" t="n">
        <f aca="false">IFERROR(IF($C12="","",IF($D12="","",IFERROR(ROUND($D12*INDEX('🔖 배합비 참조'!$B$2:$CE$83,MATCH("다크초콜릿 컴파운드칩",'🔖 배합비 참조'!$A$2:$A$83,0),MATCH($C12,'🔖 배합비 참조'!$B$1:$CE$1,0))/100,0),""))),"")</f>
        <v>0</v>
      </c>
      <c r="AB12" s="42" t="n">
        <f aca="false">IFERROR(IF($C12="","",IF($D12="","",IFERROR(ROUND($D12*INDEX('🔖 배합비 참조'!$B$2:$CE$83,MATCH("단호박분말(중국산)",'🔖 배합비 참조'!$A$2:$A$83,0),MATCH($C12,'🔖 배합비 참조'!$B$1:$CE$1,0))/100,0),""))),"")</f>
        <v>0</v>
      </c>
      <c r="AC12" s="42" t="n">
        <f aca="false">IFERROR(IF($C12="","",IF($D12="","",IFERROR(ROUND($D12*INDEX('🔖 배합비 참조'!$B$2:$CE$83,MATCH("당류가공품(단호박농축액)",'🔖 배합비 참조'!$A$2:$A$83,0),MATCH($C12,'🔖 배합비 참조'!$B$1:$CE$1,0))/100,0),""))),"")</f>
        <v>0</v>
      </c>
      <c r="AD12" s="42" t="n">
        <f aca="false">IFERROR(IF($C12="","",IF($D12="","",IFERROR(ROUND($D12*INDEX('🔖 배합비 참조'!$B$2:$CE$83,MATCH("당류가공품(알룰로스,에리스리톨,스테비올배당체혼합)",'🔖 배합비 참조'!$A$2:$A$83,0),MATCH($C12,'🔖 배합비 참조'!$B$1:$CE$1,0))/100,0),""))),"")</f>
        <v>0</v>
      </c>
      <c r="AE12" s="42" t="n">
        <f aca="false">IFERROR(IF($C12="","",IF($D12="","",IFERROR(ROUND($D12*INDEX('🔖 배합비 참조'!$B$2:$CE$83,MATCH("당류가공품(알룰로스제로파우더)",'🔖 배합비 참조'!$A$2:$A$83,0),MATCH($C12,'🔖 배합비 참조'!$B$1:$CE$1,0))/100,0),""))),"")</f>
        <v>0</v>
      </c>
      <c r="AF12" s="42" t="n">
        <f aca="false">IFERROR(IF($C12="","",IF($D12="","",IFERROR(ROUND($D12*INDEX('🔖 배합비 참조'!$B$2:$CE$83,MATCH("당절임(완두배기)",'🔖 배합비 참조'!$A$2:$A$83,0),MATCH($C12,'🔖 배합비 참조'!$B$1:$CE$1,0))/100,0),""))),"")</f>
        <v>0</v>
      </c>
      <c r="AG12" s="42" t="n">
        <f aca="false">IFERROR(IF($C12="","",IF($D12="","",IFERROR(ROUND($D12*INDEX('🔖 배합비 참조'!$B$2:$CE$83,MATCH("대추농축액",'🔖 배합비 참조'!$A$2:$A$83,0),MATCH($C12,'🔖 배합비 참조'!$B$1:$CE$1,0))/100,0),""))),"")</f>
        <v>0</v>
      </c>
      <c r="AH12" s="42" t="n">
        <f aca="false">IFERROR(IF($C12="","",IF($D12="","",IFERROR(ROUND($D12*INDEX('🔖 배합비 참조'!$B$2:$CE$83,MATCH("대추채(국내산)",'🔖 배합비 참조'!$A$2:$A$83,0),MATCH($C12,'🔖 배합비 참조'!$B$1:$CE$1,0))/100,0),""))),"")</f>
        <v>0</v>
      </c>
      <c r="AI12" s="42" t="n">
        <f aca="false">IFERROR(IF($C12="","",IF($D12="","",IFERROR(ROUND($D12*INDEX('🔖 배합비 참조'!$B$2:$CE$83,MATCH("동부(미얀마산)",'🔖 배합비 참조'!$A$2:$A$83,0),MATCH($C12,'🔖 배합비 참조'!$B$1:$CE$1,0))/100,0),""))),"")</f>
        <v>0</v>
      </c>
      <c r="AJ12" s="42" t="n">
        <f aca="false">IFERROR(IF($C12="","",IF($D12="","",IFERROR(ROUND($D12*INDEX('🔖 배합비 참조'!$B$2:$CE$83,MATCH("두류가공품(백옥앙금)",'🔖 배합비 참조'!$A$2:$A$83,0),MATCH($C12,'🔖 배합비 참조'!$B$1:$CE$1,0))/100,0),""))),"")</f>
        <v>0</v>
      </c>
      <c r="AK12" s="42" t="n">
        <f aca="false">IFERROR(IF($C12="","",IF($D12="","",IFERROR(ROUND($D12*INDEX('🔖 배합비 참조'!$B$2:$CE$83,MATCH("두류가공품(콩고물)",'🔖 배합비 참조'!$A$2:$A$83,0),MATCH($C12,'🔖 배합비 참조'!$B$1:$CE$1,0))/100,0),""))),"")</f>
        <v>0</v>
      </c>
      <c r="AL12" s="42" t="n">
        <f aca="false">IFERROR(IF($C12="","",IF($D12="","",IFERROR(ROUND($D12*INDEX('🔖 배합비 참조'!$B$2:$CE$83,MATCH("두류가공품(통팥고물)",'🔖 배합비 참조'!$A$2:$A$83,0),MATCH($C12,'🔖 배합비 참조'!$B$1:$CE$1,0))/100,0),""))),"")</f>
        <v>0</v>
      </c>
      <c r="AM12" s="42" t="n">
        <f aca="false">IFERROR(IF($C12="","",IF($D12="","",IFERROR(ROUND($D12*INDEX('🔖 배합비 참조'!$B$2:$CE$83,MATCH("딸기레진",'🔖 배합비 참조'!$A$2:$A$83,0),MATCH($C12,'🔖 배합비 참조'!$B$1:$CE$1,0))/100,0),""))),"")</f>
        <v>0</v>
      </c>
      <c r="AN12" s="42" t="n">
        <f aca="false">IFERROR(IF($C12="","",IF($D12="","",IFERROR(ROUND($D12*INDEX('🔖 배합비 참조'!$B$2:$CE$83,MATCH("딸기분말(스트로우베리에이드(분말))",'🔖 배합비 참조'!$A$2:$A$83,0),MATCH($C12,'🔖 배합비 참조'!$B$1:$CE$1,0))/100,0),""))),"")</f>
        <v>0</v>
      </c>
      <c r="AO12" s="42" t="n">
        <f aca="false">IFERROR(IF($C12="","",IF($D12="","",IFERROR(ROUND($D12*INDEX('🔖 배합비 참조'!$B$2:$CE$83,MATCH("마스카포네치즈",'🔖 배합비 참조'!$A$2:$A$83,0),MATCH($C12,'🔖 배합비 참조'!$B$1:$CE$1,0))/100,0),""))),"")</f>
        <v>0</v>
      </c>
      <c r="AP12" s="42" t="n">
        <f aca="false">IFERROR(IF($C12="","",IF($D12="","",IFERROR(ROUND($D12*INDEX('🔖 배합비 참조'!$B$2:$CE$83,MATCH("마카다미아분태(호주산)",'🔖 배합비 참조'!$A$2:$A$83,0),MATCH($C12,'🔖 배합비 참조'!$B$1:$CE$1,0))/100,0),""))),"")</f>
        <v>0</v>
      </c>
      <c r="AQ12" s="42" t="n">
        <f aca="false">IFERROR(IF($C12="","",IF($D12="","",IFERROR(ROUND($D12*INDEX('🔖 배합비 참조'!$B$2:$CE$83,MATCH("멥쌀(국내산)",'🔖 배합비 참조'!$A$2:$A$83,0),MATCH($C12,'🔖 배합비 참조'!$B$1:$CE$1,0))/100,0),""))),"")</f>
        <v>0</v>
      </c>
      <c r="AR12" s="42" t="n">
        <f aca="false">IFERROR(IF($C12="","",IF($D12="","",IFERROR(ROUND($D12*INDEX('🔖 배합비 참조'!$B$2:$CE$83,MATCH("모시잎(국내산)",'🔖 배합비 참조'!$A$2:$A$83,0),MATCH($C12,'🔖 배합비 참조'!$B$1:$CE$1,0))/100,0),""))),"")</f>
        <v>0</v>
      </c>
      <c r="AS12" s="42" t="n">
        <f aca="false">IFERROR(IF($C12="","",IF($D12="","",IFERROR(ROUND($D12*INDEX('🔖 배합비 참조'!$B$2:$CE$83,MATCH("물엿(저당물엿)",'🔖 배합비 참조'!$A$2:$A$83,0),MATCH($C12,'🔖 배합비 참조'!$B$1:$CE$1,0))/100,0),""))),"")</f>
        <v>0</v>
      </c>
      <c r="AT12" s="42" t="n">
        <f aca="false">IFERROR(IF($C12="","",IF($D12="","",IFERROR(ROUND($D12*INDEX('🔖 배합비 참조'!$B$2:$CE$83,MATCH("밤다이스",'🔖 배합비 참조'!$A$2:$A$83,0),MATCH($C12,'🔖 배합비 참조'!$B$1:$CE$1,0))/100,0),""))),"")</f>
        <v>2</v>
      </c>
      <c r="AU12" s="42" t="n">
        <f aca="false">IFERROR(IF($C12="","",IF($D12="","",IFERROR(ROUND($D12*INDEX('🔖 배합비 참조'!$B$2:$CE$83,MATCH("변성전분(타피오카전분)",'🔖 배합비 참조'!$A$2:$A$83,0),MATCH($C12,'🔖 배합비 참조'!$B$1:$CE$1,0))/100,0),""))),"")</f>
        <v>0</v>
      </c>
      <c r="AV12" s="42" t="n">
        <f aca="false">IFERROR(IF($C12="","",IF($D12="","",IFERROR(ROUND($D12*INDEX('🔖 배합비 참조'!$B$2:$CE$83,MATCH("복음땅콩분태",'🔖 배합비 참조'!$A$2:$A$83,0),MATCH($C12,'🔖 배합비 참조'!$B$1:$CE$1,0))/100,0),""))),"")</f>
        <v>0</v>
      </c>
      <c r="AW12" s="42" t="n">
        <f aca="false">IFERROR(IF($C12="","",IF($D12="","",IFERROR(ROUND($D12*INDEX('🔖 배합비 참조'!$B$2:$CE$83,MATCH("사양벌꿀(국내산)",'🔖 배합비 참조'!$A$2:$A$83,0),MATCH($C12,'🔖 배합비 참조'!$B$1:$CE$1,0))/100,0),""))),"")</f>
        <v>0</v>
      </c>
      <c r="AX12" s="42" t="n">
        <f aca="false">IFERROR(IF($C12="","",IF($D12="","",IFERROR(ROUND($D12*INDEX('🔖 배합비 참조'!$B$2:$CE$83,MATCH("생크림",'🔖 배합비 참조'!$A$2:$A$83,0),MATCH($C12,'🔖 배합비 참조'!$B$1:$CE$1,0))/100,0),""))),"")</f>
        <v>0</v>
      </c>
      <c r="AY12" s="42" t="n">
        <f aca="false">IFERROR(IF($C12="","",IF($D12="","",IFERROR(ROUND($D12*INDEX('🔖 배합비 참조'!$B$2:$CE$83,MATCH("서양호박(국내산,뉴질랜드산)",'🔖 배합비 참조'!$A$2:$A$83,0),MATCH($C12,'🔖 배합비 참조'!$B$1:$CE$1,0))/100,0),""))),"")</f>
        <v>0</v>
      </c>
      <c r="AZ12" s="42" t="n">
        <f aca="false">IFERROR(IF($C12="","",IF($D12="","",IFERROR(ROUND($D12*INDEX('🔖 배합비 참조'!$B$2:$CE$83,MATCH("설탕",'🔖 배합비 참조'!$A$2:$A$83,0),MATCH($C12,'🔖 배합비 참조'!$B$1:$CE$1,0))/100,0),""))),"")</f>
        <v>3</v>
      </c>
      <c r="BA12" s="42" t="n">
        <f aca="false">IFERROR(IF($C12="","",IF($D12="","",IFERROR(ROUND($D12*INDEX('🔖 배합비 참조'!$B$2:$CE$83,MATCH("스트로우베리 에이드 후레쉬",'🔖 배합비 참조'!$A$2:$A$83,0),MATCH($C12,'🔖 배합비 참조'!$B$1:$CE$1,0))/100,0),""))),"")</f>
        <v>0</v>
      </c>
      <c r="BB12" s="42" t="n">
        <f aca="false">IFERROR(IF($C12="","",IF($D12="","",IFERROR(ROUND($D12*INDEX('🔖 배합비 참조'!$B$2:$CE$83,MATCH("식물성기름혼합제제(분홍)",'🔖 배합비 참조'!$A$2:$A$83,0),MATCH($C12,'🔖 배합비 참조'!$B$1:$CE$1,0))/100,0),""))),"")</f>
        <v>0</v>
      </c>
      <c r="BC12" s="42" t="n">
        <f aca="false">IFERROR(IF($C12="","",IF($D12="","",IFERROR(ROUND($D12*INDEX('🔖 배합비 참조'!$B$2:$CE$83,MATCH("식물성기름혼합제제(초록)",'🔖 배합비 참조'!$A$2:$A$83,0),MATCH($C12,'🔖 배합비 참조'!$B$1:$CE$1,0))/100,0),""))),"")</f>
        <v>0</v>
      </c>
      <c r="BD12" s="42" t="n">
        <f aca="false">IFERROR(IF($C12="","",IF($D12="","",IFERROR(ROUND($D12*INDEX('🔖 배합비 참조'!$B$2:$CE$83,MATCH("식물성기름혼합제제(황색)",'🔖 배합비 참조'!$A$2:$A$83,0),MATCH($C12,'🔖 배합비 참조'!$B$1:$CE$1,0))/100,0),""))),"")</f>
        <v>0</v>
      </c>
      <c r="BE12" s="42" t="n">
        <f aca="false">IFERROR(IF($C12="","",IF($D12="","",IFERROR(ROUND($D12*INDEX('🔖 배합비 참조'!$B$2:$CE$83,MATCH("쑥가루(국내산)",'🔖 배합비 참조'!$A$2:$A$83,0),MATCH($C12,'🔖 배합비 참조'!$B$1:$CE$1,0))/100,0),""))),"")</f>
        <v>0</v>
      </c>
      <c r="BF12" s="42" t="n">
        <f aca="false">IFERROR(IF($C12="","",IF($D12="","",IFERROR(ROUND($D12*INDEX('🔖 배합비 참조'!$B$2:$CE$83,MATCH("아몬드슬라이스",'🔖 배합비 참조'!$A$2:$A$83,0),MATCH($C12,'🔖 배합비 참조'!$B$1:$CE$1,0))/100,0),""))),"")</f>
        <v>0</v>
      </c>
      <c r="BG12" s="42" t="n">
        <f aca="false">IFERROR(IF($C12="","",IF($D12="","",IFERROR(ROUND($D12*INDEX('🔖 배합비 참조'!$B$2:$CE$83,MATCH("알룰로오스(국내산)",'🔖 배합비 참조'!$A$2:$A$83,0),MATCH($C12,'🔖 배합비 참조'!$B$1:$CE$1,0))/100,0),""))),"")</f>
        <v>0</v>
      </c>
      <c r="BH12" s="42" t="n">
        <f aca="false">IFERROR(IF($C12="","",IF($D12="","",IFERROR(ROUND($D12*INDEX('🔖 배합비 참조'!$B$2:$CE$83,MATCH("연유",'🔖 배합비 참조'!$A$2:$A$83,0),MATCH($C12,'🔖 배합비 참조'!$B$1:$CE$1,0))/100,0),""))),"")</f>
        <v>0</v>
      </c>
      <c r="BI12" s="42" t="n">
        <f aca="false">IFERROR(IF($C12="","",IF($D12="","",IFERROR(ROUND($D12*INDEX('🔖 배합비 참조'!$B$2:$CE$83,MATCH("옥수수전분",'🔖 배합비 참조'!$A$2:$A$83,0),MATCH($C12,'🔖 배합비 참조'!$B$1:$CE$1,0))/100,0),""))),"")</f>
        <v>0</v>
      </c>
      <c r="BJ12" s="42" t="n">
        <f aca="false">IFERROR(IF($C12="","",IF($D12="","",IFERROR(ROUND($D12*INDEX('🔖 배합비 참조'!$B$2:$CE$83,MATCH("완두배기",'🔖 배합비 참조'!$A$2:$A$83,0),MATCH($C12,'🔖 배합비 참조'!$B$1:$CE$1,0))/100,0),""))),"")</f>
        <v>0</v>
      </c>
      <c r="BK12" s="42" t="n">
        <f aca="false">IFERROR(IF($C12="","",IF($D12="","",IFERROR(ROUND($D12*INDEX('🔖 배합비 참조'!$B$2:$CE$83,MATCH("우유(국내산)",'🔖 배합비 참조'!$A$2:$A$83,0),MATCH($C12,'🔖 배합비 참조'!$B$1:$CE$1,0))/100,0),""))),"")</f>
        <v>0</v>
      </c>
      <c r="BL12" s="42" t="n">
        <f aca="false">IFERROR(IF($C12="","",IF($D12="","",IFERROR(ROUND($D12*INDEX('🔖 배합비 참조'!$B$2:$CE$83,MATCH("자색고구마가루(중국산)",'🔖 배합비 참조'!$A$2:$A$83,0),MATCH($C12,'🔖 배합비 참조'!$B$1:$CE$1,0))/100,0),""))),"")</f>
        <v>0</v>
      </c>
      <c r="BM12" s="42" t="n">
        <f aca="false">IFERROR(IF($C12="","",IF($D12="","",IFERROR(ROUND($D12*INDEX('🔖 배합비 참조'!$B$2:$CE$83,MATCH("자연치즈(체다치즈)",'🔖 배합비 참조'!$A$2:$A$83,0),MATCH($C12,'🔖 배합비 참조'!$B$1:$CE$1,0))/100,0),""))),"")</f>
        <v>0</v>
      </c>
      <c r="BN12" s="42" t="n">
        <f aca="false">IFERROR(IF($C12="","",IF($D12="","",IFERROR(ROUND($D12*INDEX('🔖 배합비 참조'!$B$2:$CE$83,MATCH("정제수",'🔖 배합비 참조'!$A$2:$A$83,0),MATCH($C12,'🔖 배합비 참조'!$B$1:$CE$1,0))/100,0),""))),"")</f>
        <v>7</v>
      </c>
      <c r="BO12" s="42" t="n">
        <f aca="false">IFERROR(IF($C12="","",IF($D12="","",IFERROR(ROUND($D12*INDEX('🔖 배합비 참조'!$B$2:$CE$83,MATCH("젤라틴",'🔖 배합비 참조'!$A$2:$A$83,0),MATCH($C12,'🔖 배합비 참조'!$B$1:$CE$1,0))/100,0),""))),"")</f>
        <v>0</v>
      </c>
      <c r="BP12" s="42" t="n">
        <f aca="false">IFERROR(IF($C12="","",IF($D12="","",IFERROR(ROUND($D12*INDEX('🔖 배합비 참조'!$B$2:$CE$83,MATCH("조림류(백옥앙금)",'🔖 배합비 참조'!$A$2:$A$83,0),MATCH($C12,'🔖 배합비 참조'!$B$1:$CE$1,0))/100,0),""))),"")</f>
        <v>0</v>
      </c>
      <c r="BQ12" s="42" t="n">
        <f aca="false">IFERROR(IF($C12="","",IF($D12="","",IFERROR(ROUND($D12*INDEX('🔖 배합비 참조'!$B$2:$CE$83,MATCH("조림류(통팥앙금)",'🔖 배합비 참조'!$A$2:$A$83,0),MATCH($C12,'🔖 배합비 참조'!$B$1:$CE$1,0))/100,0),""))),"")</f>
        <v>0</v>
      </c>
      <c r="BR12" s="42" t="n">
        <f aca="false">IFERROR(IF($C12="","",IF($D12="","",IFERROR(ROUND($D12*INDEX('🔖 배합비 참조'!$B$2:$CE$83,MATCH("준초콜릿(외국산)",'🔖 배합비 참조'!$A$2:$A$83,0),MATCH($C12,'🔖 배합비 참조'!$B$1:$CE$1,0))/100,0),""))),"")</f>
        <v>0</v>
      </c>
      <c r="BS12" s="42" t="n">
        <f aca="false">IFERROR(IF($C12="","",IF($D12="","",IFERROR(ROUND($D12*INDEX('🔖 배합비 참조'!$B$2:$CE$83,MATCH("중력분",'🔖 배합비 참조'!$A$2:$A$83,0),MATCH($C12,'🔖 배합비 참조'!$B$1:$CE$1,0))/100,0),""))),"")</f>
        <v>0</v>
      </c>
      <c r="BT12" s="42" t="n">
        <f aca="false">IFERROR(IF($C12="","",IF($D12="","",IFERROR(ROUND($D12*INDEX('🔖 배합비 참조'!$B$2:$CE$83,MATCH("참깨(인도산,나이지리아산,탄자니아산,미얀마산)",'🔖 배합비 참조'!$A$2:$A$83,0),MATCH($C12,'🔖 배합비 참조'!$B$1:$CE$1,0))/100,0),""))),"")</f>
        <v>0</v>
      </c>
      <c r="BU12" s="42" t="n">
        <f aca="false">IFERROR(IF($C12="","",IF($D12="","",IFERROR(ROUND($D12*INDEX('🔖 배합비 참조'!$B$2:$CE$83,MATCH("찹쌀(국내산)",'🔖 배합비 참조'!$A$2:$A$83,0),MATCH($C12,'🔖 배합비 참조'!$B$1:$CE$1,0))/100,0),""))),"")</f>
        <v>24</v>
      </c>
      <c r="BV12" s="42" t="n">
        <f aca="false">IFERROR(IF($C12="","",IF($D12="","",IFERROR(ROUND($D12*INDEX('🔖 배합비 참조'!$B$2:$CE$83,MATCH("천일염",'🔖 배합비 참조'!$A$2:$A$83,0),MATCH($C12,'🔖 배합비 참조'!$B$1:$CE$1,0))/100,0),""))),"")</f>
        <v>0</v>
      </c>
      <c r="BW12" s="42" t="n">
        <f aca="false">IFERROR(IF($C12="","",IF($D12="","",IFERROR(ROUND($D12*INDEX('🔖 배합비 참조'!$B$2:$CE$83,MATCH("치즈 [크림치즈]",'🔖 배합비 참조'!$A$2:$A$83,0),MATCH($C12,'🔖 배합비 참조'!$B$1:$CE$1,0))/100,0),""))),"")</f>
        <v>0</v>
      </c>
      <c r="BX12" s="42" t="n">
        <f aca="false">IFERROR(IF($C12="","",IF($D12="","",IFERROR(ROUND($D12*INDEX('🔖 배합비 참조'!$B$2:$CE$83,MATCH("코코아가공품류(코코아분말)",'🔖 배합비 참조'!$A$2:$A$83,0),MATCH($C12,'🔖 배합비 참조'!$B$1:$CE$1,0))/100,0),""))),"")</f>
        <v>0</v>
      </c>
      <c r="BY12" s="42" t="n">
        <f aca="false">IFERROR(IF($C12="","",IF($D12="","",IFERROR(ROUND($D12*INDEX('🔖 배합비 참조'!$B$2:$CE$83,MATCH("콩기름(대두유)",'🔖 배합비 참조'!$A$2:$A$83,0),MATCH($C12,'🔖 배합비 참조'!$B$1:$CE$1,0))/100,0),""))),"")</f>
        <v>0</v>
      </c>
      <c r="BZ12" s="42" t="n">
        <f aca="false">IFERROR(IF($C12="","",IF($D12="","",IFERROR(ROUND($D12*INDEX('🔖 배합비 참조'!$B$2:$CE$83,MATCH("해바라기씨앗",'🔖 배합비 참조'!$A$2:$A$83,0),MATCH($C12,'🔖 배합비 참조'!$B$1:$CE$1,0))/100,0),""))),"")</f>
        <v>0</v>
      </c>
      <c r="CA12" s="42" t="n">
        <f aca="false">IFERROR(IF($C12="","",IF($D12="","",IFERROR(ROUND($D12*INDEX('🔖 배합비 참조'!$B$2:$CE$83,MATCH("현미(국내산)",'🔖 배합비 참조'!$A$2:$A$83,0),MATCH($C12,'🔖 배합비 참조'!$B$1:$CE$1,0))/100,0),""))),"")</f>
        <v>0</v>
      </c>
      <c r="CB12" s="42" t="n">
        <f aca="false">IFERROR(IF($C12="","",IF($D12="","",IFERROR(ROUND($D12*INDEX('🔖 배합비 참조'!$B$2:$CE$83,MATCH("현미멥쌀(국내산)",'🔖 배합비 참조'!$A$2:$A$83,0),MATCH($C12,'🔖 배합비 참조'!$B$1:$CE$1,0))/100,0),""))),"")</f>
        <v>0</v>
      </c>
      <c r="CC12" s="42" t="n">
        <f aca="false">IFERROR(IF($C12="","",IF($D12="","",IFERROR(ROUND($D12*INDEX('🔖 배합비 참조'!$B$2:$CE$83,MATCH("호두분태(미국산)",'🔖 배합비 참조'!$A$2:$A$83,0),MATCH($C12,'🔖 배합비 참조'!$B$1:$CE$1,0))/100,0),""))),"")</f>
        <v>0</v>
      </c>
      <c r="CD12" s="42" t="n">
        <f aca="false">IFERROR(IF($C12="","",IF($D12="","",IFERROR(ROUND($D12*INDEX('🔖 배합비 참조'!$B$2:$CE$83,MATCH("호박씨앗(외국산)",'🔖 배합비 참조'!$A$2:$A$83,0),MATCH($C12,'🔖 배합비 참조'!$B$1:$CE$1,0))/100,0),""))),"")</f>
        <v>0</v>
      </c>
      <c r="CE12" s="42" t="n">
        <f aca="false">IFERROR(IF($C12="","",IF($D12="","",IFERROR(ROUND($D12*INDEX('🔖 배합비 참조'!$B$2:$CE$83,MATCH("혼합제제(떡용에스텔)",'🔖 배합비 참조'!$A$2:$A$83,0),MATCH($C12,'🔖 배합비 참조'!$B$1:$CE$1,0))/100,0),""))),"")</f>
        <v>0</v>
      </c>
      <c r="CF12" s="42" t="n">
        <f aca="false">IFERROR(IF($C12="","",IF($D12="","",IFERROR(ROUND($D12*INDEX('🔖 배합비 참조'!$B$2:$CE$83,MATCH("혼합제제(스테비아)",'🔖 배합비 참조'!$A$2:$A$83,0),MATCH($C12,'🔖 배합비 참조'!$B$1:$CE$1,0))/100,0),""))),"")</f>
        <v>0</v>
      </c>
      <c r="CG12" s="42" t="n">
        <f aca="false">IFERROR(IF($C12="","",IF($D12="","",IFERROR(ROUND($D12*INDEX('🔖 배합비 참조'!$B$2:$CE$83,MATCH("화이트초콜릿",'🔖 배합비 참조'!$A$2:$A$83,0),MATCH($C12,'🔖 배합비 참조'!$B$1:$CE$1,0))/100,0),""))),"")</f>
        <v>0</v>
      </c>
      <c r="CH12" s="42" t="n">
        <f aca="false">IFERROR(IF($C12="","",IF($D12="","",IFERROR(ROUND($D12*INDEX('🔖 배합비 참조'!$B$2:$CE$83,MATCH("흑미찹쌀(국내산)",'🔖 배합비 참조'!$A$2:$A$83,0),MATCH($C12,'🔖 배합비 참조'!$B$1:$CE$1,0))/100,0),""))),"")</f>
        <v>0</v>
      </c>
      <c r="CI12" s="42" t="n">
        <f aca="false">IFERROR(IF($C12="","",IF($D12="","",IFERROR(ROUND($D12*INDEX('🔖 배합비 참조'!$B$2:$CE$83,MATCH("찰옥수수전분(미국산)",'🔖 배합비 참조'!$A$2:$A$83,0),MATCH($C12,'🔖 배합비 참조'!$B$1:$CE$1,0))/100,0),""))),"")</f>
        <v>0</v>
      </c>
      <c r="CJ12" s="40"/>
      <c r="CL12" s="1" t="s">
        <v>235</v>
      </c>
    </row>
    <row r="13" customFormat="false" ht="18" hidden="false" customHeight="true" outlineLevel="0" collapsed="false">
      <c r="A13" s="35" t="n">
        <v>9</v>
      </c>
      <c r="B13" s="36" t="n">
        <v>45946</v>
      </c>
      <c r="C13" s="37" t="s">
        <v>183</v>
      </c>
      <c r="D13" s="38" t="n">
        <v>280</v>
      </c>
      <c r="E13" s="13"/>
      <c r="F13" s="13"/>
      <c r="G13" s="39" t="n">
        <f aca="false">IFERROR(IF($C13="","",IF($D13="","",IFERROR(ROUND($D13*INDEX('🔖 배합비 참조'!$B$2:$CE$83,MATCH("간장",'🔖 배합비 참조'!$A$2:$A$83,0),MATCH($C13,'🔖 배합비 참조'!$B$1:$CE$1,0))/100,0),""))),"")</f>
        <v>0</v>
      </c>
      <c r="H13" s="39" t="n">
        <f aca="false">IFERROR(IF($C13="","",IF($D13="","",IFERROR(ROUND($D13*INDEX('🔖 배합비 참조'!$B$2:$CE$83,MATCH("강낭콩((울타리콩))",'🔖 배합비 참조'!$A$2:$A$83,0),MATCH($C13,'🔖 배합비 참조'!$B$1:$CE$1,0))/100,0),""))),"")</f>
        <v>0</v>
      </c>
      <c r="I13" s="39" t="n">
        <f aca="false">IFERROR(IF($C13="","",IF($D13="","",IFERROR(ROUND($D13*INDEX('🔖 배합비 참조'!$B$2:$CE$83,MATCH("건조딸기다이스(외국산)",'🔖 배합비 참조'!$A$2:$A$83,0),MATCH($C13,'🔖 배합비 참조'!$B$1:$CE$1,0))/100,0),""))),"")</f>
        <v>0</v>
      </c>
      <c r="J13" s="39" t="n">
        <f aca="false">IFERROR(IF($C13="","",IF($D13="","",IFERROR(ROUND($D13*INDEX('🔖 배합비 참조'!$B$2:$CE$83,MATCH("건포도",'🔖 배합비 참조'!$A$2:$A$83,0),MATCH($C13,'🔖 배합비 참조'!$B$1:$CE$1,0))/100,0),""))),"")</f>
        <v>0</v>
      </c>
      <c r="K13" s="39" t="n">
        <f aca="false">IFERROR(IF($C13="","",IF($D13="","",IFERROR(ROUND($D13*INDEX('🔖 배합비 참조'!$B$2:$CE$83,MATCH("건호박채(중국산)",'🔖 배합비 참조'!$A$2:$A$83,0),MATCH($C13,'🔖 배합비 참조'!$B$1:$CE$1,0))/100,0),""))),"")</f>
        <v>0</v>
      </c>
      <c r="L13" s="39" t="n">
        <f aca="false">IFERROR(IF($C13="","",IF($D13="","",IFERROR(ROUND($D13*INDEX('🔖 배합비 참조'!$B$2:$CE$83,MATCH("검정깨(흑임자)",'🔖 배합비 참조'!$A$2:$A$83,0),MATCH($C13,'🔖 배합비 참조'!$B$1:$CE$1,0))/100,0),""))),"")</f>
        <v>0</v>
      </c>
      <c r="M13" s="39" t="n">
        <f aca="false">IFERROR(IF($C13="","",IF($D13="","",IFERROR(ROUND($D13*INDEX('🔖 배합비 참조'!$B$2:$CE$83,MATCH("검정콩",'🔖 배합비 참조'!$A$2:$A$83,0),MATCH($C13,'🔖 배합비 참조'!$B$1:$CE$1,0))/100,0),""))),"")</f>
        <v>0</v>
      </c>
      <c r="N13" s="39" t="n">
        <f aca="false">IFERROR(IF($C13="","",IF($D13="","",IFERROR(ROUND($D13*INDEX('🔖 배합비 참조'!$B$2:$CE$83,MATCH("계피가루",'🔖 배합비 참조'!$A$2:$A$83,0),MATCH($C13,'🔖 배합비 참조'!$B$1:$CE$1,0))/100,0),""))),"")</f>
        <v>0</v>
      </c>
      <c r="O13" s="39" t="n">
        <f aca="false">IFERROR(IF($C13="","",IF($D13="","",IFERROR(ROUND($D13*INDEX('🔖 배합비 참조'!$B$2:$CE$83,MATCH("고구마가루",'🔖 배합비 참조'!$A$2:$A$83,0),MATCH($C13,'🔖 배합비 참조'!$B$1:$CE$1,0))/100,0),""))),"")</f>
        <v>0</v>
      </c>
      <c r="P13" s="39" t="n">
        <f aca="false">IFERROR(IF($C13="","",IF($D13="","",IFERROR(ROUND($D13*INDEX('🔖 배합비 참조'!$B$2:$CE$83,MATCH("고구마무스",'🔖 배합비 참조'!$A$2:$A$83,0),MATCH($C13,'🔖 배합비 참조'!$B$1:$CE$1,0))/100,0),""))),"")</f>
        <v>0</v>
      </c>
      <c r="Q13" s="39" t="n">
        <f aca="false">IFERROR(IF($C13="","",IF($D13="","",IFERROR(ROUND($D13*INDEX('🔖 배합비 참조'!$B$2:$CE$83,MATCH("고려엉겅퀴((곤드레)국내산)",'🔖 배합비 참조'!$A$2:$A$83,0),MATCH($C13,'🔖 배합비 참조'!$B$1:$CE$1,0))/100,0),""))),"")</f>
        <v>0</v>
      </c>
      <c r="R13" s="39" t="n">
        <f aca="false">IFERROR(IF($C13="","",IF($D13="","",IFERROR(ROUND($D13*INDEX('🔖 배합비 참조'!$B$2:$CE$83,MATCH("기타가공품(복분자가루)",'🔖 배합비 참조'!$A$2:$A$83,0),MATCH($C13,'🔖 배합비 참조'!$B$1:$CE$1,0))/100,0),""))),"")</f>
        <v>0</v>
      </c>
      <c r="S13" s="39" t="n">
        <f aca="false">IFERROR(IF($C13="","",IF($D13="","",IFERROR(ROUND($D13*INDEX('🔖 배합비 참조'!$B$2:$CE$83,MATCH("기타가공품(슈퍼소프트엠)",'🔖 배합비 참조'!$A$2:$A$83,0),MATCH($C13,'🔖 배합비 참조'!$B$1:$CE$1,0))/100,0),""))),"")</f>
        <v>0</v>
      </c>
      <c r="T13" s="39" t="n">
        <f aca="false">IFERROR(IF($C13="","",IF($D13="","",IFERROR(ROUND($D13*INDEX('🔖 배합비 참조'!$B$2:$CE$83,MATCH("기타가공품(파인소프트 E-티)",'🔖 배합비 참조'!$A$2:$A$83,0),MATCH($C13,'🔖 배합비 참조'!$B$1:$CE$1,0))/100,0),""))),"")</f>
        <v>0</v>
      </c>
      <c r="U13" s="39" t="n">
        <f aca="false">IFERROR(IF($C13="","",IF($D13="","",IFERROR(ROUND($D13*INDEX('🔖 배합비 참조'!$B$2:$CE$83,MATCH("기타가공품(프리미엄카스테라가루)",'🔖 배합비 참조'!$A$2:$A$83,0),MATCH($C13,'🔖 배합비 참조'!$B$1:$CE$1,0))/100,0),""))),"")</f>
        <v>0</v>
      </c>
      <c r="V13" s="39" t="n">
        <f aca="false">IFERROR(IF($C13="","",IF($D13="","",IFERROR(ROUND($D13*INDEX('🔖 배합비 참조'!$B$2:$CE$83,MATCH("기타가공품(흑임자가루)",'🔖 배합비 참조'!$A$2:$A$83,0),MATCH($C13,'🔖 배합비 참조'!$B$1:$CE$1,0))/100,0),""))),"")</f>
        <v>0</v>
      </c>
      <c r="W13" s="39" t="n">
        <f aca="false">IFERROR(IF($C13="","",IF($D13="","",IFERROR(ROUND($D13*INDEX('🔖 배합비 참조'!$B$2:$CE$83,MATCH("기타설탕(흑설탕)",'🔖 배합비 참조'!$A$2:$A$83,0),MATCH($C13,'🔖 배합비 참조'!$B$1:$CE$1,0))/100,0),""))),"")</f>
        <v>0</v>
      </c>
      <c r="X13" s="39" t="n">
        <f aca="false">IFERROR(IF($C13="","",IF($D13="","",IFERROR(ROUND($D13*INDEX('🔖 배합비 참조'!$B$2:$CE$83,MATCH("냉동쑥(국내산)",'🔖 배합비 참조'!$A$2:$A$83,0),MATCH($C13,'🔖 배합비 참조'!$B$1:$CE$1,0))/100,0),""))),"")</f>
        <v>0</v>
      </c>
      <c r="Y13" s="39" t="n">
        <f aca="false">IFERROR(IF($C13="","",IF($D13="","",IFERROR(ROUND($D13*INDEX('🔖 배합비 참조'!$B$2:$CE$83,MATCH("냉동증숙고구마(중국산)",'🔖 배합비 참조'!$A$2:$A$83,0),MATCH($C13,'🔖 배합비 참조'!$B$1:$CE$1,0))/100,0),""))),"")</f>
        <v>0</v>
      </c>
      <c r="Z13" s="39" t="n">
        <f aca="false">IFERROR(IF($C13="","",IF($D13="","",IFERROR(ROUND($D13*INDEX('🔖 배합비 참조'!$B$2:$CE$83,MATCH("녹차가루",'🔖 배합비 참조'!$A$2:$A$83,0),MATCH($C13,'🔖 배합비 참조'!$B$1:$CE$1,0))/100,0),""))),"")</f>
        <v>0</v>
      </c>
      <c r="AA13" s="39" t="n">
        <f aca="false">IFERROR(IF($C13="","",IF($D13="","",IFERROR(ROUND($D13*INDEX('🔖 배합비 참조'!$B$2:$CE$83,MATCH("다크초콜릿 컴파운드칩",'🔖 배합비 참조'!$A$2:$A$83,0),MATCH($C13,'🔖 배합비 참조'!$B$1:$CE$1,0))/100,0),""))),"")</f>
        <v>0</v>
      </c>
      <c r="AB13" s="39" t="n">
        <f aca="false">IFERROR(IF($C13="","",IF($D13="","",IFERROR(ROUND($D13*INDEX('🔖 배합비 참조'!$B$2:$CE$83,MATCH("단호박분말(중국산)",'🔖 배합비 참조'!$A$2:$A$83,0),MATCH($C13,'🔖 배합비 참조'!$B$1:$CE$1,0))/100,0),""))),"")</f>
        <v>0</v>
      </c>
      <c r="AC13" s="39" t="n">
        <f aca="false">IFERROR(IF($C13="","",IF($D13="","",IFERROR(ROUND($D13*INDEX('🔖 배합비 참조'!$B$2:$CE$83,MATCH("당류가공품(단호박농축액)",'🔖 배합비 참조'!$A$2:$A$83,0),MATCH($C13,'🔖 배합비 참조'!$B$1:$CE$1,0))/100,0),""))),"")</f>
        <v>0</v>
      </c>
      <c r="AD13" s="39" t="n">
        <f aca="false">IFERROR(IF($C13="","",IF($D13="","",IFERROR(ROUND($D13*INDEX('🔖 배합비 참조'!$B$2:$CE$83,MATCH("당류가공품(알룰로스,에리스리톨,스테비올배당체혼합)",'🔖 배합비 참조'!$A$2:$A$83,0),MATCH($C13,'🔖 배합비 참조'!$B$1:$CE$1,0))/100,0),""))),"")</f>
        <v>0</v>
      </c>
      <c r="AE13" s="39" t="n">
        <f aca="false">IFERROR(IF($C13="","",IF($D13="","",IFERROR(ROUND($D13*INDEX('🔖 배합비 참조'!$B$2:$CE$83,MATCH("당류가공품(알룰로스제로파우더)",'🔖 배합비 참조'!$A$2:$A$83,0),MATCH($C13,'🔖 배합비 참조'!$B$1:$CE$1,0))/100,0),""))),"")</f>
        <v>0</v>
      </c>
      <c r="AF13" s="39" t="n">
        <f aca="false">IFERROR(IF($C13="","",IF($D13="","",IFERROR(ROUND($D13*INDEX('🔖 배합비 참조'!$B$2:$CE$83,MATCH("당절임(완두배기)",'🔖 배합비 참조'!$A$2:$A$83,0),MATCH($C13,'🔖 배합비 참조'!$B$1:$CE$1,0))/100,0),""))),"")</f>
        <v>0</v>
      </c>
      <c r="AG13" s="39" t="n">
        <f aca="false">IFERROR(IF($C13="","",IF($D13="","",IFERROR(ROUND($D13*INDEX('🔖 배합비 참조'!$B$2:$CE$83,MATCH("대추농축액",'🔖 배합비 참조'!$A$2:$A$83,0),MATCH($C13,'🔖 배합비 참조'!$B$1:$CE$1,0))/100,0),""))),"")</f>
        <v>0</v>
      </c>
      <c r="AH13" s="39" t="n">
        <f aca="false">IFERROR(IF($C13="","",IF($D13="","",IFERROR(ROUND($D13*INDEX('🔖 배합비 참조'!$B$2:$CE$83,MATCH("대추채(국내산)",'🔖 배합비 참조'!$A$2:$A$83,0),MATCH($C13,'🔖 배합비 참조'!$B$1:$CE$1,0))/100,0),""))),"")</f>
        <v>0</v>
      </c>
      <c r="AI13" s="39" t="n">
        <f aca="false">IFERROR(IF($C13="","",IF($D13="","",IFERROR(ROUND($D13*INDEX('🔖 배합비 참조'!$B$2:$CE$83,MATCH("동부(미얀마산)",'🔖 배합비 참조'!$A$2:$A$83,0),MATCH($C13,'🔖 배합비 참조'!$B$1:$CE$1,0))/100,0),""))),"")</f>
        <v>0</v>
      </c>
      <c r="AJ13" s="39" t="n">
        <f aca="false">IFERROR(IF($C13="","",IF($D13="","",IFERROR(ROUND($D13*INDEX('🔖 배합비 참조'!$B$2:$CE$83,MATCH("두류가공품(백옥앙금)",'🔖 배합비 참조'!$A$2:$A$83,0),MATCH($C13,'🔖 배합비 참조'!$B$1:$CE$1,0))/100,0),""))),"")</f>
        <v>0</v>
      </c>
      <c r="AK13" s="39" t="n">
        <f aca="false">IFERROR(IF($C13="","",IF($D13="","",IFERROR(ROUND($D13*INDEX('🔖 배합비 참조'!$B$2:$CE$83,MATCH("두류가공품(콩고물)",'🔖 배합비 참조'!$A$2:$A$83,0),MATCH($C13,'🔖 배합비 참조'!$B$1:$CE$1,0))/100,0),""))),"")</f>
        <v>0</v>
      </c>
      <c r="AL13" s="39" t="n">
        <f aca="false">IFERROR(IF($C13="","",IF($D13="","",IFERROR(ROUND($D13*INDEX('🔖 배합비 참조'!$B$2:$CE$83,MATCH("두류가공품(통팥고물)",'🔖 배합비 참조'!$A$2:$A$83,0),MATCH($C13,'🔖 배합비 참조'!$B$1:$CE$1,0))/100,0),""))),"")</f>
        <v>0</v>
      </c>
      <c r="AM13" s="39" t="n">
        <f aca="false">IFERROR(IF($C13="","",IF($D13="","",IFERROR(ROUND($D13*INDEX('🔖 배합비 참조'!$B$2:$CE$83,MATCH("딸기레진",'🔖 배합비 참조'!$A$2:$A$83,0),MATCH($C13,'🔖 배합비 참조'!$B$1:$CE$1,0))/100,0),""))),"")</f>
        <v>0</v>
      </c>
      <c r="AN13" s="39" t="n">
        <f aca="false">IFERROR(IF($C13="","",IF($D13="","",IFERROR(ROUND($D13*INDEX('🔖 배합비 참조'!$B$2:$CE$83,MATCH("딸기분말(스트로우베리에이드(분말))",'🔖 배합비 참조'!$A$2:$A$83,0),MATCH($C13,'🔖 배합비 참조'!$B$1:$CE$1,0))/100,0),""))),"")</f>
        <v>0</v>
      </c>
      <c r="AO13" s="39" t="n">
        <f aca="false">IFERROR(IF($C13="","",IF($D13="","",IFERROR(ROUND($D13*INDEX('🔖 배합비 참조'!$B$2:$CE$83,MATCH("마스카포네치즈",'🔖 배합비 참조'!$A$2:$A$83,0),MATCH($C13,'🔖 배합비 참조'!$B$1:$CE$1,0))/100,0),""))),"")</f>
        <v>0</v>
      </c>
      <c r="AP13" s="39" t="n">
        <f aca="false">IFERROR(IF($C13="","",IF($D13="","",IFERROR(ROUND($D13*INDEX('🔖 배합비 참조'!$B$2:$CE$83,MATCH("마카다미아분태(호주산)",'🔖 배합비 참조'!$A$2:$A$83,0),MATCH($C13,'🔖 배합비 참조'!$B$1:$CE$1,0))/100,0),""))),"")</f>
        <v>0</v>
      </c>
      <c r="AQ13" s="39" t="n">
        <f aca="false">IFERROR(IF($C13="","",IF($D13="","",IFERROR(ROUND($D13*INDEX('🔖 배합비 참조'!$B$2:$CE$83,MATCH("멥쌀(국내산)",'🔖 배합비 참조'!$A$2:$A$83,0),MATCH($C13,'🔖 배합비 참조'!$B$1:$CE$1,0))/100,0),""))),"")</f>
        <v>0</v>
      </c>
      <c r="AR13" s="39" t="n">
        <f aca="false">IFERROR(IF($C13="","",IF($D13="","",IFERROR(ROUND($D13*INDEX('🔖 배합비 참조'!$B$2:$CE$83,MATCH("모시잎(국내산)",'🔖 배합비 참조'!$A$2:$A$83,0),MATCH($C13,'🔖 배합비 참조'!$B$1:$CE$1,0))/100,0),""))),"")</f>
        <v>0</v>
      </c>
      <c r="AS13" s="39" t="n">
        <f aca="false">IFERROR(IF($C13="","",IF($D13="","",IFERROR(ROUND($D13*INDEX('🔖 배합비 참조'!$B$2:$CE$83,MATCH("물엿(저당물엿)",'🔖 배합비 참조'!$A$2:$A$83,0),MATCH($C13,'🔖 배합비 참조'!$B$1:$CE$1,0))/100,0),""))),"")</f>
        <v>7</v>
      </c>
      <c r="AT13" s="39" t="n">
        <f aca="false">IFERROR(IF($C13="","",IF($D13="","",IFERROR(ROUND($D13*INDEX('🔖 배합비 참조'!$B$2:$CE$83,MATCH("밤다이스",'🔖 배합비 참조'!$A$2:$A$83,0),MATCH($C13,'🔖 배합비 참조'!$B$1:$CE$1,0))/100,0),""))),"")</f>
        <v>0</v>
      </c>
      <c r="AU13" s="39" t="n">
        <f aca="false">IFERROR(IF($C13="","",IF($D13="","",IFERROR(ROUND($D13*INDEX('🔖 배합비 참조'!$B$2:$CE$83,MATCH("변성전분(타피오카전분)",'🔖 배합비 참조'!$A$2:$A$83,0),MATCH($C13,'🔖 배합비 참조'!$B$1:$CE$1,0))/100,0),""))),"")</f>
        <v>0</v>
      </c>
      <c r="AV13" s="39" t="n">
        <f aca="false">IFERROR(IF($C13="","",IF($D13="","",IFERROR(ROUND($D13*INDEX('🔖 배합비 참조'!$B$2:$CE$83,MATCH("복음땅콩분태",'🔖 배합비 참조'!$A$2:$A$83,0),MATCH($C13,'🔖 배합비 참조'!$B$1:$CE$1,0))/100,0),""))),"")</f>
        <v>0</v>
      </c>
      <c r="AW13" s="39" t="n">
        <f aca="false">IFERROR(IF($C13="","",IF($D13="","",IFERROR(ROUND($D13*INDEX('🔖 배합비 참조'!$B$2:$CE$83,MATCH("사양벌꿀(국내산)",'🔖 배합비 참조'!$A$2:$A$83,0),MATCH($C13,'🔖 배합비 참조'!$B$1:$CE$1,0))/100,0),""))),"")</f>
        <v>0</v>
      </c>
      <c r="AX13" s="39" t="n">
        <f aca="false">IFERROR(IF($C13="","",IF($D13="","",IFERROR(ROUND($D13*INDEX('🔖 배합비 참조'!$B$2:$CE$83,MATCH("생크림",'🔖 배합비 참조'!$A$2:$A$83,0),MATCH($C13,'🔖 배합비 참조'!$B$1:$CE$1,0))/100,0),""))),"")</f>
        <v>0</v>
      </c>
      <c r="AY13" s="39" t="n">
        <f aca="false">IFERROR(IF($C13="","",IF($D13="","",IFERROR(ROUND($D13*INDEX('🔖 배합비 참조'!$B$2:$CE$83,MATCH("서양호박(국내산,뉴질랜드산)",'🔖 배합비 참조'!$A$2:$A$83,0),MATCH($C13,'🔖 배합비 참조'!$B$1:$CE$1,0))/100,0),""))),"")</f>
        <v>0</v>
      </c>
      <c r="AZ13" s="39" t="n">
        <f aca="false">IFERROR(IF($C13="","",IF($D13="","",IFERROR(ROUND($D13*INDEX('🔖 배합비 참조'!$B$2:$CE$83,MATCH("설탕",'🔖 배합비 참조'!$A$2:$A$83,0),MATCH($C13,'🔖 배합비 참조'!$B$1:$CE$1,0))/100,0),""))),"")</f>
        <v>7</v>
      </c>
      <c r="BA13" s="39" t="n">
        <f aca="false">IFERROR(IF($C13="","",IF($D13="","",IFERROR(ROUND($D13*INDEX('🔖 배합비 참조'!$B$2:$CE$83,MATCH("스트로우베리 에이드 후레쉬",'🔖 배합비 참조'!$A$2:$A$83,0),MATCH($C13,'🔖 배합비 참조'!$B$1:$CE$1,0))/100,0),""))),"")</f>
        <v>0</v>
      </c>
      <c r="BB13" s="39" t="n">
        <f aca="false">IFERROR(IF($C13="","",IF($D13="","",IFERROR(ROUND($D13*INDEX('🔖 배합비 참조'!$B$2:$CE$83,MATCH("식물성기름혼합제제(분홍)",'🔖 배합비 참조'!$A$2:$A$83,0),MATCH($C13,'🔖 배합비 참조'!$B$1:$CE$1,0))/100,0),""))),"")</f>
        <v>0</v>
      </c>
      <c r="BC13" s="39" t="n">
        <f aca="false">IFERROR(IF($C13="","",IF($D13="","",IFERROR(ROUND($D13*INDEX('🔖 배합비 참조'!$B$2:$CE$83,MATCH("식물성기름혼합제제(초록)",'🔖 배합비 참조'!$A$2:$A$83,0),MATCH($C13,'🔖 배합비 참조'!$B$1:$CE$1,0))/100,0),""))),"")</f>
        <v>0</v>
      </c>
      <c r="BD13" s="39" t="n">
        <f aca="false">IFERROR(IF($C13="","",IF($D13="","",IFERROR(ROUND($D13*INDEX('🔖 배합비 참조'!$B$2:$CE$83,MATCH("식물성기름혼합제제(황색)",'🔖 배합비 참조'!$A$2:$A$83,0),MATCH($C13,'🔖 배합비 참조'!$B$1:$CE$1,0))/100,0),""))),"")</f>
        <v>0</v>
      </c>
      <c r="BE13" s="39" t="n">
        <f aca="false">IFERROR(IF($C13="","",IF($D13="","",IFERROR(ROUND($D13*INDEX('🔖 배합비 참조'!$B$2:$CE$83,MATCH("쑥가루(국내산)",'🔖 배합비 참조'!$A$2:$A$83,0),MATCH($C13,'🔖 배합비 참조'!$B$1:$CE$1,0))/100,0),""))),"")</f>
        <v>0</v>
      </c>
      <c r="BF13" s="39" t="n">
        <f aca="false">IFERROR(IF($C13="","",IF($D13="","",IFERROR(ROUND($D13*INDEX('🔖 배합비 참조'!$B$2:$CE$83,MATCH("아몬드슬라이스",'🔖 배합비 참조'!$A$2:$A$83,0),MATCH($C13,'🔖 배합비 참조'!$B$1:$CE$1,0))/100,0),""))),"")</f>
        <v>0</v>
      </c>
      <c r="BG13" s="39" t="n">
        <f aca="false">IFERROR(IF($C13="","",IF($D13="","",IFERROR(ROUND($D13*INDEX('🔖 배합비 참조'!$B$2:$CE$83,MATCH("알룰로오스(국내산)",'🔖 배합비 참조'!$A$2:$A$83,0),MATCH($C13,'🔖 배합비 참조'!$B$1:$CE$1,0))/100,0),""))),"")</f>
        <v>0</v>
      </c>
      <c r="BH13" s="39" t="n">
        <f aca="false">IFERROR(IF($C13="","",IF($D13="","",IFERROR(ROUND($D13*INDEX('🔖 배합비 참조'!$B$2:$CE$83,MATCH("연유",'🔖 배합비 참조'!$A$2:$A$83,0),MATCH($C13,'🔖 배합비 참조'!$B$1:$CE$1,0))/100,0),""))),"")</f>
        <v>0</v>
      </c>
      <c r="BI13" s="39" t="n">
        <f aca="false">IFERROR(IF($C13="","",IF($D13="","",IFERROR(ROUND($D13*INDEX('🔖 배합비 참조'!$B$2:$CE$83,MATCH("옥수수전분",'🔖 배합비 참조'!$A$2:$A$83,0),MATCH($C13,'🔖 배합비 참조'!$B$1:$CE$1,0))/100,0),""))),"")</f>
        <v>3</v>
      </c>
      <c r="BJ13" s="39" t="n">
        <f aca="false">IFERROR(IF($C13="","",IF($D13="","",IFERROR(ROUND($D13*INDEX('🔖 배합비 참조'!$B$2:$CE$83,MATCH("완두배기",'🔖 배합비 참조'!$A$2:$A$83,0),MATCH($C13,'🔖 배합비 참조'!$B$1:$CE$1,0))/100,0),""))),"")</f>
        <v>0</v>
      </c>
      <c r="BK13" s="39" t="n">
        <f aca="false">IFERROR(IF($C13="","",IF($D13="","",IFERROR(ROUND($D13*INDEX('🔖 배합비 참조'!$B$2:$CE$83,MATCH("우유(국내산)",'🔖 배합비 참조'!$A$2:$A$83,0),MATCH($C13,'🔖 배합비 참조'!$B$1:$CE$1,0))/100,0),""))),"")</f>
        <v>0</v>
      </c>
      <c r="BL13" s="39" t="n">
        <f aca="false">IFERROR(IF($C13="","",IF($D13="","",IFERROR(ROUND($D13*INDEX('🔖 배합비 참조'!$B$2:$CE$83,MATCH("자색고구마가루(중국산)",'🔖 배합비 참조'!$A$2:$A$83,0),MATCH($C13,'🔖 배합비 참조'!$B$1:$CE$1,0))/100,0),""))),"")</f>
        <v>0</v>
      </c>
      <c r="BM13" s="39" t="n">
        <f aca="false">IFERROR(IF($C13="","",IF($D13="","",IFERROR(ROUND($D13*INDEX('🔖 배합비 참조'!$B$2:$CE$83,MATCH("자연치즈(체다치즈)",'🔖 배합비 참조'!$A$2:$A$83,0),MATCH($C13,'🔖 배합비 참조'!$B$1:$CE$1,0))/100,0),""))),"")</f>
        <v>0</v>
      </c>
      <c r="BN13" s="39" t="n">
        <f aca="false">IFERROR(IF($C13="","",IF($D13="","",IFERROR(ROUND($D13*INDEX('🔖 배합비 참조'!$B$2:$CE$83,MATCH("정제수",'🔖 배합비 참조'!$A$2:$A$83,0),MATCH($C13,'🔖 배합비 참조'!$B$1:$CE$1,0))/100,0),""))),"")</f>
        <v>0</v>
      </c>
      <c r="BO13" s="39" t="n">
        <f aca="false">IFERROR(IF($C13="","",IF($D13="","",IFERROR(ROUND($D13*INDEX('🔖 배합비 참조'!$B$2:$CE$83,MATCH("젤라틴",'🔖 배합비 참조'!$A$2:$A$83,0),MATCH($C13,'🔖 배합비 참조'!$B$1:$CE$1,0))/100,0),""))),"")</f>
        <v>0</v>
      </c>
      <c r="BP13" s="39" t="n">
        <f aca="false">IFERROR(IF($C13="","",IF($D13="","",IFERROR(ROUND($D13*INDEX('🔖 배합비 참조'!$B$2:$CE$83,MATCH("조림류(백옥앙금)",'🔖 배합비 참조'!$A$2:$A$83,0),MATCH($C13,'🔖 배합비 참조'!$B$1:$CE$1,0))/100,0),""))),"")</f>
        <v>0</v>
      </c>
      <c r="BQ13" s="39" t="n">
        <f aca="false">IFERROR(IF($C13="","",IF($D13="","",IFERROR(ROUND($D13*INDEX('🔖 배합비 참조'!$B$2:$CE$83,MATCH("조림류(통팥앙금)",'🔖 배합비 참조'!$A$2:$A$83,0),MATCH($C13,'🔖 배합비 참조'!$B$1:$CE$1,0))/100,0),""))),"")</f>
        <v>125</v>
      </c>
      <c r="BR13" s="39" t="n">
        <f aca="false">IFERROR(IF($C13="","",IF($D13="","",IFERROR(ROUND($D13*INDEX('🔖 배합비 참조'!$B$2:$CE$83,MATCH("준초콜릿(외국산)",'🔖 배합비 참조'!$A$2:$A$83,0),MATCH($C13,'🔖 배합비 참조'!$B$1:$CE$1,0))/100,0),""))),"")</f>
        <v>0</v>
      </c>
      <c r="BS13" s="39" t="n">
        <f aca="false">IFERROR(IF($C13="","",IF($D13="","",IFERROR(ROUND($D13*INDEX('🔖 배합비 참조'!$B$2:$CE$83,MATCH("중력분",'🔖 배합비 참조'!$A$2:$A$83,0),MATCH($C13,'🔖 배합비 참조'!$B$1:$CE$1,0))/100,0),""))),"")</f>
        <v>1</v>
      </c>
      <c r="BT13" s="39" t="n">
        <f aca="false">IFERROR(IF($C13="","",IF($D13="","",IFERROR(ROUND($D13*INDEX('🔖 배합비 참조'!$B$2:$CE$83,MATCH("참깨(인도산,나이지리아산,탄자니아산,미얀마산)",'🔖 배합비 참조'!$A$2:$A$83,0),MATCH($C13,'🔖 배합비 참조'!$B$1:$CE$1,0))/100,0),""))),"")</f>
        <v>0</v>
      </c>
      <c r="BU13" s="39" t="n">
        <f aca="false">IFERROR(IF($C13="","",IF($D13="","",IFERROR(ROUND($D13*INDEX('🔖 배합비 참조'!$B$2:$CE$83,MATCH("찹쌀(국내산)",'🔖 배합비 참조'!$A$2:$A$83,0),MATCH($C13,'🔖 배합비 참조'!$B$1:$CE$1,0))/100,0),""))),"")</f>
        <v>134</v>
      </c>
      <c r="BV13" s="39" t="n">
        <f aca="false">IFERROR(IF($C13="","",IF($D13="","",IFERROR(ROUND($D13*INDEX('🔖 배합비 참조'!$B$2:$CE$83,MATCH("천일염",'🔖 배합비 참조'!$A$2:$A$83,0),MATCH($C13,'🔖 배합비 참조'!$B$1:$CE$1,0))/100,0),""))),"")</f>
        <v>2</v>
      </c>
      <c r="BW13" s="39" t="n">
        <f aca="false">IFERROR(IF($C13="","",IF($D13="","",IFERROR(ROUND($D13*INDEX('🔖 배합비 참조'!$B$2:$CE$83,MATCH("치즈 [크림치즈]",'🔖 배합비 참조'!$A$2:$A$83,0),MATCH($C13,'🔖 배합비 참조'!$B$1:$CE$1,0))/100,0),""))),"")</f>
        <v>0</v>
      </c>
      <c r="BX13" s="39" t="n">
        <f aca="false">IFERROR(IF($C13="","",IF($D13="","",IFERROR(ROUND($D13*INDEX('🔖 배합비 참조'!$B$2:$CE$83,MATCH("코코아가공품류(코코아분말)",'🔖 배합비 참조'!$A$2:$A$83,0),MATCH($C13,'🔖 배합비 참조'!$B$1:$CE$1,0))/100,0),""))),"")</f>
        <v>0</v>
      </c>
      <c r="BY13" s="39" t="n">
        <f aca="false">IFERROR(IF($C13="","",IF($D13="","",IFERROR(ROUND($D13*INDEX('🔖 배합비 참조'!$B$2:$CE$83,MATCH("콩기름(대두유)",'🔖 배합비 참조'!$A$2:$A$83,0),MATCH($C13,'🔖 배합비 참조'!$B$1:$CE$1,0))/100,0),""))),"")</f>
        <v>0</v>
      </c>
      <c r="BZ13" s="39" t="n">
        <f aca="false">IFERROR(IF($C13="","",IF($D13="","",IFERROR(ROUND($D13*INDEX('🔖 배합비 참조'!$B$2:$CE$83,MATCH("해바라기씨앗",'🔖 배합비 참조'!$A$2:$A$83,0),MATCH($C13,'🔖 배합비 참조'!$B$1:$CE$1,0))/100,0),""))),"")</f>
        <v>0</v>
      </c>
      <c r="CA13" s="39" t="n">
        <f aca="false">IFERROR(IF($C13="","",IF($D13="","",IFERROR(ROUND($D13*INDEX('🔖 배합비 참조'!$B$2:$CE$83,MATCH("현미(국내산)",'🔖 배합비 참조'!$A$2:$A$83,0),MATCH($C13,'🔖 배합비 참조'!$B$1:$CE$1,0))/100,0),""))),"")</f>
        <v>0</v>
      </c>
      <c r="CB13" s="39" t="n">
        <f aca="false">IFERROR(IF($C13="","",IF($D13="","",IFERROR(ROUND($D13*INDEX('🔖 배합비 참조'!$B$2:$CE$83,MATCH("현미멥쌀(국내산)",'🔖 배합비 참조'!$A$2:$A$83,0),MATCH($C13,'🔖 배합비 참조'!$B$1:$CE$1,0))/100,0),""))),"")</f>
        <v>0</v>
      </c>
      <c r="CC13" s="39" t="n">
        <f aca="false">IFERROR(IF($C13="","",IF($D13="","",IFERROR(ROUND($D13*INDEX('🔖 배합비 참조'!$B$2:$CE$83,MATCH("호두분태(미국산)",'🔖 배합비 참조'!$A$2:$A$83,0),MATCH($C13,'🔖 배합비 참조'!$B$1:$CE$1,0))/100,0),""))),"")</f>
        <v>0</v>
      </c>
      <c r="CD13" s="39" t="n">
        <f aca="false">IFERROR(IF($C13="","",IF($D13="","",IFERROR(ROUND($D13*INDEX('🔖 배합비 참조'!$B$2:$CE$83,MATCH("호박씨앗(외국산)",'🔖 배합비 참조'!$A$2:$A$83,0),MATCH($C13,'🔖 배합비 참조'!$B$1:$CE$1,0))/100,0),""))),"")</f>
        <v>0</v>
      </c>
      <c r="CE13" s="39" t="n">
        <f aca="false">IFERROR(IF($C13="","",IF($D13="","",IFERROR(ROUND($D13*INDEX('🔖 배합비 참조'!$B$2:$CE$83,MATCH("혼합제제(떡용에스텔)",'🔖 배합비 참조'!$A$2:$A$83,0),MATCH($C13,'🔖 배합비 참조'!$B$1:$CE$1,0))/100,0),""))),"")</f>
        <v>1</v>
      </c>
      <c r="CF13" s="39" t="n">
        <f aca="false">IFERROR(IF($C13="","",IF($D13="","",IFERROR(ROUND($D13*INDEX('🔖 배합비 참조'!$B$2:$CE$83,MATCH("혼합제제(스테비아)",'🔖 배합비 참조'!$A$2:$A$83,0),MATCH($C13,'🔖 배합비 참조'!$B$1:$CE$1,0))/100,0),""))),"")</f>
        <v>0</v>
      </c>
      <c r="CG13" s="39" t="n">
        <f aca="false">IFERROR(IF($C13="","",IF($D13="","",IFERROR(ROUND($D13*INDEX('🔖 배합비 참조'!$B$2:$CE$83,MATCH("화이트초콜릿",'🔖 배합비 참조'!$A$2:$A$83,0),MATCH($C13,'🔖 배합비 참조'!$B$1:$CE$1,0))/100,0),""))),"")</f>
        <v>0</v>
      </c>
      <c r="CH13" s="39" t="n">
        <f aca="false">IFERROR(IF($C13="","",IF($D13="","",IFERROR(ROUND($D13*INDEX('🔖 배합비 참조'!$B$2:$CE$83,MATCH("흑미찹쌀(국내산)",'🔖 배합비 참조'!$A$2:$A$83,0),MATCH($C13,'🔖 배합비 참조'!$B$1:$CE$1,0))/100,0),""))),"")</f>
        <v>0</v>
      </c>
      <c r="CI13" s="39" t="n">
        <f aca="false">IFERROR(IF($C13="","",IF($D13="","",IFERROR(ROUND($D13*INDEX('🔖 배합비 참조'!$B$2:$CE$83,MATCH("찰옥수수전분(미국산)",'🔖 배합비 참조'!$A$2:$A$83,0),MATCH($C13,'🔖 배합비 참조'!$B$1:$CE$1,0))/100,0),""))),"")</f>
        <v>0</v>
      </c>
      <c r="CJ13" s="40"/>
      <c r="CL13" s="1" t="s">
        <v>235</v>
      </c>
    </row>
    <row r="14" customFormat="false" ht="18" hidden="false" customHeight="true" outlineLevel="0" collapsed="false">
      <c r="A14" s="41" t="n">
        <v>10</v>
      </c>
      <c r="B14" s="36" t="n">
        <v>45946</v>
      </c>
      <c r="C14" s="37" t="s">
        <v>220</v>
      </c>
      <c r="D14" s="38" t="n">
        <v>40</v>
      </c>
      <c r="E14" s="17"/>
      <c r="F14" s="17"/>
      <c r="G14" s="42" t="n">
        <f aca="false">IFERROR(IF($C14="","",IF($D14="","",IFERROR(ROUND($D14*INDEX('🔖 배합비 참조'!$B$2:$CE$83,MATCH("간장",'🔖 배합비 참조'!$A$2:$A$83,0),MATCH($C14,'🔖 배합비 참조'!$B$1:$CE$1,0))/100,0),""))),"")</f>
        <v>0</v>
      </c>
      <c r="H14" s="42" t="n">
        <f aca="false">IFERROR(IF($C14="","",IF($D14="","",IFERROR(ROUND($D14*INDEX('🔖 배합비 참조'!$B$2:$CE$83,MATCH("강낭콩((울타리콩))",'🔖 배합비 참조'!$A$2:$A$83,0),MATCH($C14,'🔖 배합비 참조'!$B$1:$CE$1,0))/100,0),""))),"")</f>
        <v>1</v>
      </c>
      <c r="I14" s="42" t="n">
        <f aca="false">IFERROR(IF($C14="","",IF($D14="","",IFERROR(ROUND($D14*INDEX('🔖 배합비 참조'!$B$2:$CE$83,MATCH("건조딸기다이스(외국산)",'🔖 배합비 참조'!$A$2:$A$83,0),MATCH($C14,'🔖 배합비 참조'!$B$1:$CE$1,0))/100,0),""))),"")</f>
        <v>0</v>
      </c>
      <c r="J14" s="42" t="n">
        <f aca="false">IFERROR(IF($C14="","",IF($D14="","",IFERROR(ROUND($D14*INDEX('🔖 배합비 참조'!$B$2:$CE$83,MATCH("건포도",'🔖 배합비 참조'!$A$2:$A$83,0),MATCH($C14,'🔖 배합비 참조'!$B$1:$CE$1,0))/100,0),""))),"")</f>
        <v>0</v>
      </c>
      <c r="K14" s="42" t="n">
        <f aca="false">IFERROR(IF($C14="","",IF($D14="","",IFERROR(ROUND($D14*INDEX('🔖 배합비 참조'!$B$2:$CE$83,MATCH("건호박채(중국산)",'🔖 배합비 참조'!$A$2:$A$83,0),MATCH($C14,'🔖 배합비 참조'!$B$1:$CE$1,0))/100,0),""))),"")</f>
        <v>0</v>
      </c>
      <c r="L14" s="42" t="n">
        <f aca="false">IFERROR(IF($C14="","",IF($D14="","",IFERROR(ROUND($D14*INDEX('🔖 배합비 참조'!$B$2:$CE$83,MATCH("검정깨(흑임자)",'🔖 배합비 참조'!$A$2:$A$83,0),MATCH($C14,'🔖 배합비 참조'!$B$1:$CE$1,0))/100,0),""))),"")</f>
        <v>0</v>
      </c>
      <c r="M14" s="42" t="n">
        <f aca="false">IFERROR(IF($C14="","",IF($D14="","",IFERROR(ROUND($D14*INDEX('🔖 배합비 참조'!$B$2:$CE$83,MATCH("검정콩",'🔖 배합비 참조'!$A$2:$A$83,0),MATCH($C14,'🔖 배합비 참조'!$B$1:$CE$1,0))/100,0),""))),"")</f>
        <v>1</v>
      </c>
      <c r="N14" s="42" t="n">
        <f aca="false">IFERROR(IF($C14="","",IF($D14="","",IFERROR(ROUND($D14*INDEX('🔖 배합비 참조'!$B$2:$CE$83,MATCH("계피가루",'🔖 배합비 참조'!$A$2:$A$83,0),MATCH($C14,'🔖 배합비 참조'!$B$1:$CE$1,0))/100,0),""))),"")</f>
        <v>0</v>
      </c>
      <c r="O14" s="42" t="n">
        <f aca="false">IFERROR(IF($C14="","",IF($D14="","",IFERROR(ROUND($D14*INDEX('🔖 배합비 참조'!$B$2:$CE$83,MATCH("고구마가루",'🔖 배합비 참조'!$A$2:$A$83,0),MATCH($C14,'🔖 배합비 참조'!$B$1:$CE$1,0))/100,0),""))),"")</f>
        <v>0</v>
      </c>
      <c r="P14" s="42" t="n">
        <f aca="false">IFERROR(IF($C14="","",IF($D14="","",IFERROR(ROUND($D14*INDEX('🔖 배합비 참조'!$B$2:$CE$83,MATCH("고구마무스",'🔖 배합비 참조'!$A$2:$A$83,0),MATCH($C14,'🔖 배합비 참조'!$B$1:$CE$1,0))/100,0),""))),"")</f>
        <v>0</v>
      </c>
      <c r="Q14" s="42" t="n">
        <f aca="false">IFERROR(IF($C14="","",IF($D14="","",IFERROR(ROUND($D14*INDEX('🔖 배합비 참조'!$B$2:$CE$83,MATCH("고려엉겅퀴((곤드레)국내산)",'🔖 배합비 참조'!$A$2:$A$83,0),MATCH($C14,'🔖 배합비 참조'!$B$1:$CE$1,0))/100,0),""))),"")</f>
        <v>0</v>
      </c>
      <c r="R14" s="42" t="n">
        <f aca="false">IFERROR(IF($C14="","",IF($D14="","",IFERROR(ROUND($D14*INDEX('🔖 배합비 참조'!$B$2:$CE$83,MATCH("기타가공품(복분자가루)",'🔖 배합비 참조'!$A$2:$A$83,0),MATCH($C14,'🔖 배합비 참조'!$B$1:$CE$1,0))/100,0),""))),"")</f>
        <v>0</v>
      </c>
      <c r="S14" s="42" t="n">
        <f aca="false">IFERROR(IF($C14="","",IF($D14="","",IFERROR(ROUND($D14*INDEX('🔖 배합비 참조'!$B$2:$CE$83,MATCH("기타가공품(슈퍼소프트엠)",'🔖 배합비 참조'!$A$2:$A$83,0),MATCH($C14,'🔖 배합비 참조'!$B$1:$CE$1,0))/100,0),""))),"")</f>
        <v>0</v>
      </c>
      <c r="T14" s="42" t="n">
        <f aca="false">IFERROR(IF($C14="","",IF($D14="","",IFERROR(ROUND($D14*INDEX('🔖 배합비 참조'!$B$2:$CE$83,MATCH("기타가공품(파인소프트 E-티)",'🔖 배합비 참조'!$A$2:$A$83,0),MATCH($C14,'🔖 배합비 참조'!$B$1:$CE$1,0))/100,0),""))),"")</f>
        <v>0</v>
      </c>
      <c r="U14" s="42" t="n">
        <f aca="false">IFERROR(IF($C14="","",IF($D14="","",IFERROR(ROUND($D14*INDEX('🔖 배합비 참조'!$B$2:$CE$83,MATCH("기타가공품(프리미엄카스테라가루)",'🔖 배합비 참조'!$A$2:$A$83,0),MATCH($C14,'🔖 배합비 참조'!$B$1:$CE$1,0))/100,0),""))),"")</f>
        <v>0</v>
      </c>
      <c r="V14" s="42" t="n">
        <f aca="false">IFERROR(IF($C14="","",IF($D14="","",IFERROR(ROUND($D14*INDEX('🔖 배합비 참조'!$B$2:$CE$83,MATCH("기타가공품(흑임자가루)",'🔖 배합비 참조'!$A$2:$A$83,0),MATCH($C14,'🔖 배합비 참조'!$B$1:$CE$1,0))/100,0),""))),"")</f>
        <v>1</v>
      </c>
      <c r="W14" s="42" t="n">
        <f aca="false">IFERROR(IF($C14="","",IF($D14="","",IFERROR(ROUND($D14*INDEX('🔖 배합비 참조'!$B$2:$CE$83,MATCH("기타설탕(흑설탕)",'🔖 배합비 참조'!$A$2:$A$83,0),MATCH($C14,'🔖 배합비 참조'!$B$1:$CE$1,0))/100,0),""))),"")</f>
        <v>0</v>
      </c>
      <c r="X14" s="42" t="n">
        <f aca="false">IFERROR(IF($C14="","",IF($D14="","",IFERROR(ROUND($D14*INDEX('🔖 배합비 참조'!$B$2:$CE$83,MATCH("냉동쑥(국내산)",'🔖 배합비 참조'!$A$2:$A$83,0),MATCH($C14,'🔖 배합비 참조'!$B$1:$CE$1,0))/100,0),""))),"")</f>
        <v>0</v>
      </c>
      <c r="Y14" s="42" t="n">
        <f aca="false">IFERROR(IF($C14="","",IF($D14="","",IFERROR(ROUND($D14*INDEX('🔖 배합비 참조'!$B$2:$CE$83,MATCH("냉동증숙고구마(중국산)",'🔖 배합비 참조'!$A$2:$A$83,0),MATCH($C14,'🔖 배합비 참조'!$B$1:$CE$1,0))/100,0),""))),"")</f>
        <v>0</v>
      </c>
      <c r="Z14" s="42" t="n">
        <f aca="false">IFERROR(IF($C14="","",IF($D14="","",IFERROR(ROUND($D14*INDEX('🔖 배합비 참조'!$B$2:$CE$83,MATCH("녹차가루",'🔖 배합비 참조'!$A$2:$A$83,0),MATCH($C14,'🔖 배합비 참조'!$B$1:$CE$1,0))/100,0),""))),"")</f>
        <v>0</v>
      </c>
      <c r="AA14" s="42" t="n">
        <f aca="false">IFERROR(IF($C14="","",IF($D14="","",IFERROR(ROUND($D14*INDEX('🔖 배합비 참조'!$B$2:$CE$83,MATCH("다크초콜릿 컴파운드칩",'🔖 배합비 참조'!$A$2:$A$83,0),MATCH($C14,'🔖 배합비 참조'!$B$1:$CE$1,0))/100,0),""))),"")</f>
        <v>0</v>
      </c>
      <c r="AB14" s="42" t="n">
        <f aca="false">IFERROR(IF($C14="","",IF($D14="","",IFERROR(ROUND($D14*INDEX('🔖 배합비 참조'!$B$2:$CE$83,MATCH("단호박분말(중국산)",'🔖 배합비 참조'!$A$2:$A$83,0),MATCH($C14,'🔖 배합비 참조'!$B$1:$CE$1,0))/100,0),""))),"")</f>
        <v>0</v>
      </c>
      <c r="AC14" s="42" t="n">
        <f aca="false">IFERROR(IF($C14="","",IF($D14="","",IFERROR(ROUND($D14*INDEX('🔖 배합비 참조'!$B$2:$CE$83,MATCH("당류가공품(단호박농축액)",'🔖 배합비 참조'!$A$2:$A$83,0),MATCH($C14,'🔖 배합비 참조'!$B$1:$CE$1,0))/100,0),""))),"")</f>
        <v>0</v>
      </c>
      <c r="AD14" s="42" t="n">
        <f aca="false">IFERROR(IF($C14="","",IF($D14="","",IFERROR(ROUND($D14*INDEX('🔖 배합비 참조'!$B$2:$CE$83,MATCH("당류가공품(알룰로스,에리스리톨,스테비올배당체혼합)",'🔖 배합비 참조'!$A$2:$A$83,0),MATCH($C14,'🔖 배합비 참조'!$B$1:$CE$1,0))/100,0),""))),"")</f>
        <v>0</v>
      </c>
      <c r="AE14" s="42" t="n">
        <f aca="false">IFERROR(IF($C14="","",IF($D14="","",IFERROR(ROUND($D14*INDEX('🔖 배합비 참조'!$B$2:$CE$83,MATCH("당류가공품(알룰로스제로파우더)",'🔖 배합비 참조'!$A$2:$A$83,0),MATCH($C14,'🔖 배합비 참조'!$B$1:$CE$1,0))/100,0),""))),"")</f>
        <v>0</v>
      </c>
      <c r="AF14" s="42" t="n">
        <f aca="false">IFERROR(IF($C14="","",IF($D14="","",IFERROR(ROUND($D14*INDEX('🔖 배합비 참조'!$B$2:$CE$83,MATCH("당절임(완두배기)",'🔖 배합비 참조'!$A$2:$A$83,0),MATCH($C14,'🔖 배합비 참조'!$B$1:$CE$1,0))/100,0),""))),"")</f>
        <v>0</v>
      </c>
      <c r="AG14" s="42" t="n">
        <f aca="false">IFERROR(IF($C14="","",IF($D14="","",IFERROR(ROUND($D14*INDEX('🔖 배합비 참조'!$B$2:$CE$83,MATCH("대추농축액",'🔖 배합비 참조'!$A$2:$A$83,0),MATCH($C14,'🔖 배합비 참조'!$B$1:$CE$1,0))/100,0),""))),"")</f>
        <v>0</v>
      </c>
      <c r="AH14" s="42" t="n">
        <f aca="false">IFERROR(IF($C14="","",IF($D14="","",IFERROR(ROUND($D14*INDEX('🔖 배합비 참조'!$B$2:$CE$83,MATCH("대추채(국내산)",'🔖 배합비 참조'!$A$2:$A$83,0),MATCH($C14,'🔖 배합비 참조'!$B$1:$CE$1,0))/100,0),""))),"")</f>
        <v>0</v>
      </c>
      <c r="AI14" s="42" t="n">
        <f aca="false">IFERROR(IF($C14="","",IF($D14="","",IFERROR(ROUND($D14*INDEX('🔖 배합비 참조'!$B$2:$CE$83,MATCH("동부(미얀마산)",'🔖 배합비 참조'!$A$2:$A$83,0),MATCH($C14,'🔖 배합비 참조'!$B$1:$CE$1,0))/100,0),""))),"")</f>
        <v>0</v>
      </c>
      <c r="AJ14" s="42" t="n">
        <f aca="false">IFERROR(IF($C14="","",IF($D14="","",IFERROR(ROUND($D14*INDEX('🔖 배합비 참조'!$B$2:$CE$83,MATCH("두류가공품(백옥앙금)",'🔖 배합비 참조'!$A$2:$A$83,0),MATCH($C14,'🔖 배합비 참조'!$B$1:$CE$1,0))/100,0),""))),"")</f>
        <v>0</v>
      </c>
      <c r="AK14" s="42" t="n">
        <f aca="false">IFERROR(IF($C14="","",IF($D14="","",IFERROR(ROUND($D14*INDEX('🔖 배합비 참조'!$B$2:$CE$83,MATCH("두류가공품(콩고물)",'🔖 배합비 참조'!$A$2:$A$83,0),MATCH($C14,'🔖 배합비 참조'!$B$1:$CE$1,0))/100,0),""))),"")</f>
        <v>0</v>
      </c>
      <c r="AL14" s="42" t="n">
        <f aca="false">IFERROR(IF($C14="","",IF($D14="","",IFERROR(ROUND($D14*INDEX('🔖 배합비 참조'!$B$2:$CE$83,MATCH("두류가공품(통팥고물)",'🔖 배합비 참조'!$A$2:$A$83,0),MATCH($C14,'🔖 배합비 참조'!$B$1:$CE$1,0))/100,0),""))),"")</f>
        <v>0</v>
      </c>
      <c r="AM14" s="42" t="n">
        <f aca="false">IFERROR(IF($C14="","",IF($D14="","",IFERROR(ROUND($D14*INDEX('🔖 배합비 참조'!$B$2:$CE$83,MATCH("딸기레진",'🔖 배합비 참조'!$A$2:$A$83,0),MATCH($C14,'🔖 배합비 참조'!$B$1:$CE$1,0))/100,0),""))),"")</f>
        <v>0</v>
      </c>
      <c r="AN14" s="42" t="n">
        <f aca="false">IFERROR(IF($C14="","",IF($D14="","",IFERROR(ROUND($D14*INDEX('🔖 배합비 참조'!$B$2:$CE$83,MATCH("딸기분말(스트로우베리에이드(분말))",'🔖 배합비 참조'!$A$2:$A$83,0),MATCH($C14,'🔖 배합비 참조'!$B$1:$CE$1,0))/100,0),""))),"")</f>
        <v>0</v>
      </c>
      <c r="AO14" s="42" t="n">
        <f aca="false">IFERROR(IF($C14="","",IF($D14="","",IFERROR(ROUND($D14*INDEX('🔖 배합비 참조'!$B$2:$CE$83,MATCH("마스카포네치즈",'🔖 배합비 참조'!$A$2:$A$83,0),MATCH($C14,'🔖 배합비 참조'!$B$1:$CE$1,0))/100,0),""))),"")</f>
        <v>0</v>
      </c>
      <c r="AP14" s="42" t="n">
        <f aca="false">IFERROR(IF($C14="","",IF($D14="","",IFERROR(ROUND($D14*INDEX('🔖 배합비 참조'!$B$2:$CE$83,MATCH("마카다미아분태(호주산)",'🔖 배합비 참조'!$A$2:$A$83,0),MATCH($C14,'🔖 배합비 참조'!$B$1:$CE$1,0))/100,0),""))),"")</f>
        <v>0</v>
      </c>
      <c r="AQ14" s="42" t="n">
        <f aca="false">IFERROR(IF($C14="","",IF($D14="","",IFERROR(ROUND($D14*INDEX('🔖 배합비 참조'!$B$2:$CE$83,MATCH("멥쌀(국내산)",'🔖 배합비 참조'!$A$2:$A$83,0),MATCH($C14,'🔖 배합비 참조'!$B$1:$CE$1,0))/100,0),""))),"")</f>
        <v>0</v>
      </c>
      <c r="AR14" s="42" t="n">
        <f aca="false">IFERROR(IF($C14="","",IF($D14="","",IFERROR(ROUND($D14*INDEX('🔖 배합비 참조'!$B$2:$CE$83,MATCH("모시잎(국내산)",'🔖 배합비 참조'!$A$2:$A$83,0),MATCH($C14,'🔖 배합비 참조'!$B$1:$CE$1,0))/100,0),""))),"")</f>
        <v>0</v>
      </c>
      <c r="AS14" s="42" t="n">
        <f aca="false">IFERROR(IF($C14="","",IF($D14="","",IFERROR(ROUND($D14*INDEX('🔖 배합비 참조'!$B$2:$CE$83,MATCH("물엿(저당물엿)",'🔖 배합비 참조'!$A$2:$A$83,0),MATCH($C14,'🔖 배합비 참조'!$B$1:$CE$1,0))/100,0),""))),"")</f>
        <v>0</v>
      </c>
      <c r="AT14" s="42" t="n">
        <f aca="false">IFERROR(IF($C14="","",IF($D14="","",IFERROR(ROUND($D14*INDEX('🔖 배합비 참조'!$B$2:$CE$83,MATCH("밤다이스",'🔖 배합비 참조'!$A$2:$A$83,0),MATCH($C14,'🔖 배합비 참조'!$B$1:$CE$1,0))/100,0),""))),"")</f>
        <v>2</v>
      </c>
      <c r="AU14" s="42" t="n">
        <f aca="false">IFERROR(IF($C14="","",IF($D14="","",IFERROR(ROUND($D14*INDEX('🔖 배합비 참조'!$B$2:$CE$83,MATCH("변성전분(타피오카전분)",'🔖 배합비 참조'!$A$2:$A$83,0),MATCH($C14,'🔖 배합비 참조'!$B$1:$CE$1,0))/100,0),""))),"")</f>
        <v>0</v>
      </c>
      <c r="AV14" s="42" t="n">
        <f aca="false">IFERROR(IF($C14="","",IF($D14="","",IFERROR(ROUND($D14*INDEX('🔖 배합비 참조'!$B$2:$CE$83,MATCH("복음땅콩분태",'🔖 배합비 참조'!$A$2:$A$83,0),MATCH($C14,'🔖 배합비 참조'!$B$1:$CE$1,0))/100,0),""))),"")</f>
        <v>0</v>
      </c>
      <c r="AW14" s="42" t="n">
        <f aca="false">IFERROR(IF($C14="","",IF($D14="","",IFERROR(ROUND($D14*INDEX('🔖 배합비 참조'!$B$2:$CE$83,MATCH("사양벌꿀(국내산)",'🔖 배합비 참조'!$A$2:$A$83,0),MATCH($C14,'🔖 배합비 참조'!$B$1:$CE$1,0))/100,0),""))),"")</f>
        <v>0</v>
      </c>
      <c r="AX14" s="42" t="n">
        <f aca="false">IFERROR(IF($C14="","",IF($D14="","",IFERROR(ROUND($D14*INDEX('🔖 배합비 참조'!$B$2:$CE$83,MATCH("생크림",'🔖 배합비 참조'!$A$2:$A$83,0),MATCH($C14,'🔖 배합비 참조'!$B$1:$CE$1,0))/100,0),""))),"")</f>
        <v>0</v>
      </c>
      <c r="AY14" s="42" t="n">
        <f aca="false">IFERROR(IF($C14="","",IF($D14="","",IFERROR(ROUND($D14*INDEX('🔖 배합비 참조'!$B$2:$CE$83,MATCH("서양호박(국내산,뉴질랜드산)",'🔖 배합비 참조'!$A$2:$A$83,0),MATCH($C14,'🔖 배합비 참조'!$B$1:$CE$1,0))/100,0),""))),"")</f>
        <v>0</v>
      </c>
      <c r="AZ14" s="42" t="n">
        <f aca="false">IFERROR(IF($C14="","",IF($D14="","",IFERROR(ROUND($D14*INDEX('🔖 배합비 참조'!$B$2:$CE$83,MATCH("설탕",'🔖 배합비 참조'!$A$2:$A$83,0),MATCH($C14,'🔖 배합비 참조'!$B$1:$CE$1,0))/100,0),""))),"")</f>
        <v>4</v>
      </c>
      <c r="BA14" s="42" t="n">
        <f aca="false">IFERROR(IF($C14="","",IF($D14="","",IFERROR(ROUND($D14*INDEX('🔖 배합비 참조'!$B$2:$CE$83,MATCH("스트로우베리 에이드 후레쉬",'🔖 배합비 참조'!$A$2:$A$83,0),MATCH($C14,'🔖 배합비 참조'!$B$1:$CE$1,0))/100,0),""))),"")</f>
        <v>0</v>
      </c>
      <c r="BB14" s="42" t="n">
        <f aca="false">IFERROR(IF($C14="","",IF($D14="","",IFERROR(ROUND($D14*INDEX('🔖 배합비 참조'!$B$2:$CE$83,MATCH("식물성기름혼합제제(분홍)",'🔖 배합비 참조'!$A$2:$A$83,0),MATCH($C14,'🔖 배합비 참조'!$B$1:$CE$1,0))/100,0),""))),"")</f>
        <v>0</v>
      </c>
      <c r="BC14" s="42" t="n">
        <f aca="false">IFERROR(IF($C14="","",IF($D14="","",IFERROR(ROUND($D14*INDEX('🔖 배합비 참조'!$B$2:$CE$83,MATCH("식물성기름혼합제제(초록)",'🔖 배합비 참조'!$A$2:$A$83,0),MATCH($C14,'🔖 배합비 참조'!$B$1:$CE$1,0))/100,0),""))),"")</f>
        <v>0</v>
      </c>
      <c r="BD14" s="42" t="n">
        <f aca="false">IFERROR(IF($C14="","",IF($D14="","",IFERROR(ROUND($D14*INDEX('🔖 배합비 참조'!$B$2:$CE$83,MATCH("식물성기름혼합제제(황색)",'🔖 배합비 참조'!$A$2:$A$83,0),MATCH($C14,'🔖 배합비 참조'!$B$1:$CE$1,0))/100,0),""))),"")</f>
        <v>0</v>
      </c>
      <c r="BE14" s="42" t="n">
        <f aca="false">IFERROR(IF($C14="","",IF($D14="","",IFERROR(ROUND($D14*INDEX('🔖 배합비 참조'!$B$2:$CE$83,MATCH("쑥가루(국내산)",'🔖 배합비 참조'!$A$2:$A$83,0),MATCH($C14,'🔖 배합비 참조'!$B$1:$CE$1,0))/100,0),""))),"")</f>
        <v>0</v>
      </c>
      <c r="BF14" s="42" t="n">
        <f aca="false">IFERROR(IF($C14="","",IF($D14="","",IFERROR(ROUND($D14*INDEX('🔖 배합비 참조'!$B$2:$CE$83,MATCH("아몬드슬라이스",'🔖 배합비 참조'!$A$2:$A$83,0),MATCH($C14,'🔖 배합비 참조'!$B$1:$CE$1,0))/100,0),""))),"")</f>
        <v>0</v>
      </c>
      <c r="BG14" s="42" t="n">
        <f aca="false">IFERROR(IF($C14="","",IF($D14="","",IFERROR(ROUND($D14*INDEX('🔖 배합비 참조'!$B$2:$CE$83,MATCH("알룰로오스(국내산)",'🔖 배합비 참조'!$A$2:$A$83,0),MATCH($C14,'🔖 배합비 참조'!$B$1:$CE$1,0))/100,0),""))),"")</f>
        <v>0</v>
      </c>
      <c r="BH14" s="42" t="n">
        <f aca="false">IFERROR(IF($C14="","",IF($D14="","",IFERROR(ROUND($D14*INDEX('🔖 배합비 참조'!$B$2:$CE$83,MATCH("연유",'🔖 배합비 참조'!$A$2:$A$83,0),MATCH($C14,'🔖 배합비 참조'!$B$1:$CE$1,0))/100,0),""))),"")</f>
        <v>0</v>
      </c>
      <c r="BI14" s="42" t="n">
        <f aca="false">IFERROR(IF($C14="","",IF($D14="","",IFERROR(ROUND($D14*INDEX('🔖 배합비 참조'!$B$2:$CE$83,MATCH("옥수수전분",'🔖 배합비 참조'!$A$2:$A$83,0),MATCH($C14,'🔖 배합비 참조'!$B$1:$CE$1,0))/100,0),""))),"")</f>
        <v>0</v>
      </c>
      <c r="BJ14" s="42" t="n">
        <f aca="false">IFERROR(IF($C14="","",IF($D14="","",IFERROR(ROUND($D14*INDEX('🔖 배합비 참조'!$B$2:$CE$83,MATCH("완두배기",'🔖 배합비 참조'!$A$2:$A$83,0),MATCH($C14,'🔖 배합비 참조'!$B$1:$CE$1,0))/100,0),""))),"")</f>
        <v>1</v>
      </c>
      <c r="BK14" s="42" t="n">
        <f aca="false">IFERROR(IF($C14="","",IF($D14="","",IFERROR(ROUND($D14*INDEX('🔖 배합비 참조'!$B$2:$CE$83,MATCH("우유(국내산)",'🔖 배합비 참조'!$A$2:$A$83,0),MATCH($C14,'🔖 배합비 참조'!$B$1:$CE$1,0))/100,0),""))),"")</f>
        <v>0</v>
      </c>
      <c r="BL14" s="42" t="n">
        <f aca="false">IFERROR(IF($C14="","",IF($D14="","",IFERROR(ROUND($D14*INDEX('🔖 배합비 참조'!$B$2:$CE$83,MATCH("자색고구마가루(중국산)",'🔖 배합비 참조'!$A$2:$A$83,0),MATCH($C14,'🔖 배합비 참조'!$B$1:$CE$1,0))/100,0),""))),"")</f>
        <v>0</v>
      </c>
      <c r="BM14" s="42" t="n">
        <f aca="false">IFERROR(IF($C14="","",IF($D14="","",IFERROR(ROUND($D14*INDEX('🔖 배합비 참조'!$B$2:$CE$83,MATCH("자연치즈(체다치즈)",'🔖 배합비 참조'!$A$2:$A$83,0),MATCH($C14,'🔖 배합비 참조'!$B$1:$CE$1,0))/100,0),""))),"")</f>
        <v>0</v>
      </c>
      <c r="BN14" s="42" t="n">
        <f aca="false">IFERROR(IF($C14="","",IF($D14="","",IFERROR(ROUND($D14*INDEX('🔖 배합비 참조'!$B$2:$CE$83,MATCH("정제수",'🔖 배합비 참조'!$A$2:$A$83,0),MATCH($C14,'🔖 배합비 참조'!$B$1:$CE$1,0))/100,0),""))),"")</f>
        <v>7</v>
      </c>
      <c r="BO14" s="42" t="n">
        <f aca="false">IFERROR(IF($C14="","",IF($D14="","",IFERROR(ROUND($D14*INDEX('🔖 배합비 참조'!$B$2:$CE$83,MATCH("젤라틴",'🔖 배합비 참조'!$A$2:$A$83,0),MATCH($C14,'🔖 배합비 참조'!$B$1:$CE$1,0))/100,0),""))),"")</f>
        <v>0</v>
      </c>
      <c r="BP14" s="42" t="n">
        <f aca="false">IFERROR(IF($C14="","",IF($D14="","",IFERROR(ROUND($D14*INDEX('🔖 배합비 참조'!$B$2:$CE$83,MATCH("조림류(백옥앙금)",'🔖 배합비 참조'!$A$2:$A$83,0),MATCH($C14,'🔖 배합비 참조'!$B$1:$CE$1,0))/100,0),""))),"")</f>
        <v>0</v>
      </c>
      <c r="BQ14" s="42" t="n">
        <f aca="false">IFERROR(IF($C14="","",IF($D14="","",IFERROR(ROUND($D14*INDEX('🔖 배합비 참조'!$B$2:$CE$83,MATCH("조림류(통팥앙금)",'🔖 배합비 참조'!$A$2:$A$83,0),MATCH($C14,'🔖 배합비 참조'!$B$1:$CE$1,0))/100,0),""))),"")</f>
        <v>0</v>
      </c>
      <c r="BR14" s="42" t="n">
        <f aca="false">IFERROR(IF($C14="","",IF($D14="","",IFERROR(ROUND($D14*INDEX('🔖 배합비 참조'!$B$2:$CE$83,MATCH("준초콜릿(외국산)",'🔖 배합비 참조'!$A$2:$A$83,0),MATCH($C14,'🔖 배합비 참조'!$B$1:$CE$1,0))/100,0),""))),"")</f>
        <v>0</v>
      </c>
      <c r="BS14" s="42" t="n">
        <f aca="false">IFERROR(IF($C14="","",IF($D14="","",IFERROR(ROUND($D14*INDEX('🔖 배합비 참조'!$B$2:$CE$83,MATCH("중력분",'🔖 배합비 참조'!$A$2:$A$83,0),MATCH($C14,'🔖 배합비 참조'!$B$1:$CE$1,0))/100,0),""))),"")</f>
        <v>0</v>
      </c>
      <c r="BT14" s="42" t="n">
        <f aca="false">IFERROR(IF($C14="","",IF($D14="","",IFERROR(ROUND($D14*INDEX('🔖 배합비 참조'!$B$2:$CE$83,MATCH("참깨(인도산,나이지리아산,탄자니아산,미얀마산)",'🔖 배합비 참조'!$A$2:$A$83,0),MATCH($C14,'🔖 배합비 참조'!$B$1:$CE$1,0))/100,0),""))),"")</f>
        <v>0</v>
      </c>
      <c r="BU14" s="42" t="n">
        <f aca="false">IFERROR(IF($C14="","",IF($D14="","",IFERROR(ROUND($D14*INDEX('🔖 배합비 참조'!$B$2:$CE$83,MATCH("찹쌀(국내산)",'🔖 배합비 참조'!$A$2:$A$83,0),MATCH($C14,'🔖 배합비 참조'!$B$1:$CE$1,0))/100,0),""))),"")</f>
        <v>24</v>
      </c>
      <c r="BV14" s="42" t="n">
        <f aca="false">IFERROR(IF($C14="","",IF($D14="","",IFERROR(ROUND($D14*INDEX('🔖 배합비 참조'!$B$2:$CE$83,MATCH("천일염",'🔖 배합비 참조'!$A$2:$A$83,0),MATCH($C14,'🔖 배합비 참조'!$B$1:$CE$1,0))/100,0),""))),"")</f>
        <v>0</v>
      </c>
      <c r="BW14" s="42" t="n">
        <f aca="false">IFERROR(IF($C14="","",IF($D14="","",IFERROR(ROUND($D14*INDEX('🔖 배합비 참조'!$B$2:$CE$83,MATCH("치즈 [크림치즈]",'🔖 배합비 참조'!$A$2:$A$83,0),MATCH($C14,'🔖 배합비 참조'!$B$1:$CE$1,0))/100,0),""))),"")</f>
        <v>0</v>
      </c>
      <c r="BX14" s="42" t="n">
        <f aca="false">IFERROR(IF($C14="","",IF($D14="","",IFERROR(ROUND($D14*INDEX('🔖 배합비 참조'!$B$2:$CE$83,MATCH("코코아가공품류(코코아분말)",'🔖 배합비 참조'!$A$2:$A$83,0),MATCH($C14,'🔖 배합비 참조'!$B$1:$CE$1,0))/100,0),""))),"")</f>
        <v>0</v>
      </c>
      <c r="BY14" s="42" t="n">
        <f aca="false">IFERROR(IF($C14="","",IF($D14="","",IFERROR(ROUND($D14*INDEX('🔖 배합비 참조'!$B$2:$CE$83,MATCH("콩기름(대두유)",'🔖 배합비 참조'!$A$2:$A$83,0),MATCH($C14,'🔖 배합비 참조'!$B$1:$CE$1,0))/100,0),""))),"")</f>
        <v>0</v>
      </c>
      <c r="BZ14" s="42" t="n">
        <f aca="false">IFERROR(IF($C14="","",IF($D14="","",IFERROR(ROUND($D14*INDEX('🔖 배합비 참조'!$B$2:$CE$83,MATCH("해바라기씨앗",'🔖 배합비 참조'!$A$2:$A$83,0),MATCH($C14,'🔖 배합비 참조'!$B$1:$CE$1,0))/100,0),""))),"")</f>
        <v>0</v>
      </c>
      <c r="CA14" s="42" t="n">
        <f aca="false">IFERROR(IF($C14="","",IF($D14="","",IFERROR(ROUND($D14*INDEX('🔖 배합비 참조'!$B$2:$CE$83,MATCH("현미(국내산)",'🔖 배합비 참조'!$A$2:$A$83,0),MATCH($C14,'🔖 배합비 참조'!$B$1:$CE$1,0))/100,0),""))),"")</f>
        <v>0</v>
      </c>
      <c r="CB14" s="42" t="n">
        <f aca="false">IFERROR(IF($C14="","",IF($D14="","",IFERROR(ROUND($D14*INDEX('🔖 배합비 참조'!$B$2:$CE$83,MATCH("현미멥쌀(국내산)",'🔖 배합비 참조'!$A$2:$A$83,0),MATCH($C14,'🔖 배합비 참조'!$B$1:$CE$1,0))/100,0),""))),"")</f>
        <v>0</v>
      </c>
      <c r="CC14" s="42" t="n">
        <f aca="false">IFERROR(IF($C14="","",IF($D14="","",IFERROR(ROUND($D14*INDEX('🔖 배합비 참조'!$B$2:$CE$83,MATCH("호두분태(미국산)",'🔖 배합비 참조'!$A$2:$A$83,0),MATCH($C14,'🔖 배합비 참조'!$B$1:$CE$1,0))/100,0),""))),"")</f>
        <v>0</v>
      </c>
      <c r="CD14" s="42" t="n">
        <f aca="false">IFERROR(IF($C14="","",IF($D14="","",IFERROR(ROUND($D14*INDEX('🔖 배합비 참조'!$B$2:$CE$83,MATCH("호박씨앗(외국산)",'🔖 배합비 참조'!$A$2:$A$83,0),MATCH($C14,'🔖 배합비 참조'!$B$1:$CE$1,0))/100,0),""))),"")</f>
        <v>0</v>
      </c>
      <c r="CE14" s="42" t="n">
        <f aca="false">IFERROR(IF($C14="","",IF($D14="","",IFERROR(ROUND($D14*INDEX('🔖 배합비 참조'!$B$2:$CE$83,MATCH("혼합제제(떡용에스텔)",'🔖 배합비 참조'!$A$2:$A$83,0),MATCH($C14,'🔖 배합비 참조'!$B$1:$CE$1,0))/100,0),""))),"")</f>
        <v>0</v>
      </c>
      <c r="CF14" s="42" t="n">
        <f aca="false">IFERROR(IF($C14="","",IF($D14="","",IFERROR(ROUND($D14*INDEX('🔖 배합비 참조'!$B$2:$CE$83,MATCH("혼합제제(스테비아)",'🔖 배합비 참조'!$A$2:$A$83,0),MATCH($C14,'🔖 배합비 참조'!$B$1:$CE$1,0))/100,0),""))),"")</f>
        <v>0</v>
      </c>
      <c r="CG14" s="42" t="n">
        <f aca="false">IFERROR(IF($C14="","",IF($D14="","",IFERROR(ROUND($D14*INDEX('🔖 배합비 참조'!$B$2:$CE$83,MATCH("화이트초콜릿",'🔖 배합비 참조'!$A$2:$A$83,0),MATCH($C14,'🔖 배합비 참조'!$B$1:$CE$1,0))/100,0),""))),"")</f>
        <v>0</v>
      </c>
      <c r="CH14" s="42" t="n">
        <f aca="false">IFERROR(IF($C14="","",IF($D14="","",IFERROR(ROUND($D14*INDEX('🔖 배합비 참조'!$B$2:$CE$83,MATCH("흑미찹쌀(국내산)",'🔖 배합비 참조'!$A$2:$A$83,0),MATCH($C14,'🔖 배합비 참조'!$B$1:$CE$1,0))/100,0),""))),"")</f>
        <v>0</v>
      </c>
      <c r="CI14" s="42" t="n">
        <f aca="false">IFERROR(IF($C14="","",IF($D14="","",IFERROR(ROUND($D14*INDEX('🔖 배합비 참조'!$B$2:$CE$83,MATCH("찰옥수수전분(미국산)",'🔖 배합비 참조'!$A$2:$A$83,0),MATCH($C14,'🔖 배합비 참조'!$B$1:$CE$1,0))/100,0),""))),"")</f>
        <v>0</v>
      </c>
      <c r="CJ14" s="40"/>
      <c r="CL14" s="1" t="s">
        <v>235</v>
      </c>
    </row>
    <row r="15" customFormat="false" ht="18" hidden="false" customHeight="true" outlineLevel="0" collapsed="false">
      <c r="A15" s="35" t="n">
        <v>11</v>
      </c>
      <c r="B15" s="36" t="n">
        <v>45947</v>
      </c>
      <c r="C15" s="37" t="s">
        <v>146</v>
      </c>
      <c r="D15" s="38" t="n">
        <v>40</v>
      </c>
      <c r="E15" s="13"/>
      <c r="F15" s="13"/>
      <c r="G15" s="39" t="n">
        <f aca="false">IFERROR(IF($C15="","",IF($D15="","",IFERROR(ROUND($D15*INDEX('🔖 배합비 참조'!$B$2:$CE$83,MATCH("간장",'🔖 배합비 참조'!$A$2:$A$83,0),MATCH($C15,'🔖 배합비 참조'!$B$1:$CE$1,0))/100,0),""))),"")</f>
        <v>0</v>
      </c>
      <c r="H15" s="39" t="n">
        <f aca="false">IFERROR(IF($C15="","",IF($D15="","",IFERROR(ROUND($D15*INDEX('🔖 배합비 참조'!$B$2:$CE$83,MATCH("강낭콩((울타리콩))",'🔖 배합비 참조'!$A$2:$A$83,0),MATCH($C15,'🔖 배합비 참조'!$B$1:$CE$1,0))/100,0),""))),"")</f>
        <v>0</v>
      </c>
      <c r="I15" s="39" t="n">
        <f aca="false">IFERROR(IF($C15="","",IF($D15="","",IFERROR(ROUND($D15*INDEX('🔖 배합비 참조'!$B$2:$CE$83,MATCH("건조딸기다이스(외국산)",'🔖 배합비 참조'!$A$2:$A$83,0),MATCH($C15,'🔖 배합비 참조'!$B$1:$CE$1,0))/100,0),""))),"")</f>
        <v>0</v>
      </c>
      <c r="J15" s="39" t="n">
        <f aca="false">IFERROR(IF($C15="","",IF($D15="","",IFERROR(ROUND($D15*INDEX('🔖 배합비 참조'!$B$2:$CE$83,MATCH("건포도",'🔖 배합비 참조'!$A$2:$A$83,0),MATCH($C15,'🔖 배합비 참조'!$B$1:$CE$1,0))/100,0),""))),"")</f>
        <v>0</v>
      </c>
      <c r="K15" s="39" t="n">
        <f aca="false">IFERROR(IF($C15="","",IF($D15="","",IFERROR(ROUND($D15*INDEX('🔖 배합비 참조'!$B$2:$CE$83,MATCH("건호박채(중국산)",'🔖 배합비 참조'!$A$2:$A$83,0),MATCH($C15,'🔖 배합비 참조'!$B$1:$CE$1,0))/100,0),""))),"")</f>
        <v>1</v>
      </c>
      <c r="L15" s="39" t="n">
        <f aca="false">IFERROR(IF($C15="","",IF($D15="","",IFERROR(ROUND($D15*INDEX('🔖 배합비 참조'!$B$2:$CE$83,MATCH("검정깨(흑임자)",'🔖 배합비 참조'!$A$2:$A$83,0),MATCH($C15,'🔖 배합비 참조'!$B$1:$CE$1,0))/100,0),""))),"")</f>
        <v>0</v>
      </c>
      <c r="M15" s="39" t="n">
        <f aca="false">IFERROR(IF($C15="","",IF($D15="","",IFERROR(ROUND($D15*INDEX('🔖 배합비 참조'!$B$2:$CE$83,MATCH("검정콩",'🔖 배합비 참조'!$A$2:$A$83,0),MATCH($C15,'🔖 배합비 참조'!$B$1:$CE$1,0))/100,0),""))),"")</f>
        <v>0</v>
      </c>
      <c r="N15" s="39" t="n">
        <f aca="false">IFERROR(IF($C15="","",IF($D15="","",IFERROR(ROUND($D15*INDEX('🔖 배합비 참조'!$B$2:$CE$83,MATCH("계피가루",'🔖 배합비 참조'!$A$2:$A$83,0),MATCH($C15,'🔖 배합비 참조'!$B$1:$CE$1,0))/100,0),""))),"")</f>
        <v>0</v>
      </c>
      <c r="O15" s="39" t="n">
        <f aca="false">IFERROR(IF($C15="","",IF($D15="","",IFERROR(ROUND($D15*INDEX('🔖 배합비 참조'!$B$2:$CE$83,MATCH("고구마가루",'🔖 배합비 참조'!$A$2:$A$83,0),MATCH($C15,'🔖 배합비 참조'!$B$1:$CE$1,0))/100,0),""))),"")</f>
        <v>0</v>
      </c>
      <c r="P15" s="39" t="n">
        <f aca="false">IFERROR(IF($C15="","",IF($D15="","",IFERROR(ROUND($D15*INDEX('🔖 배합비 참조'!$B$2:$CE$83,MATCH("고구마무스",'🔖 배합비 참조'!$A$2:$A$83,0),MATCH($C15,'🔖 배합비 참조'!$B$1:$CE$1,0))/100,0),""))),"")</f>
        <v>0</v>
      </c>
      <c r="Q15" s="39" t="n">
        <f aca="false">IFERROR(IF($C15="","",IF($D15="","",IFERROR(ROUND($D15*INDEX('🔖 배합비 참조'!$B$2:$CE$83,MATCH("고려엉겅퀴((곤드레)국내산)",'🔖 배합비 참조'!$A$2:$A$83,0),MATCH($C15,'🔖 배합비 참조'!$B$1:$CE$1,0))/100,0),""))),"")</f>
        <v>0</v>
      </c>
      <c r="R15" s="39" t="n">
        <f aca="false">IFERROR(IF($C15="","",IF($D15="","",IFERROR(ROUND($D15*INDEX('🔖 배합비 참조'!$B$2:$CE$83,MATCH("기타가공품(복분자가루)",'🔖 배합비 참조'!$A$2:$A$83,0),MATCH($C15,'🔖 배합비 참조'!$B$1:$CE$1,0))/100,0),""))),"")</f>
        <v>0</v>
      </c>
      <c r="S15" s="39" t="n">
        <f aca="false">IFERROR(IF($C15="","",IF($D15="","",IFERROR(ROUND($D15*INDEX('🔖 배합비 참조'!$B$2:$CE$83,MATCH("기타가공품(슈퍼소프트엠)",'🔖 배합비 참조'!$A$2:$A$83,0),MATCH($C15,'🔖 배합비 참조'!$B$1:$CE$1,0))/100,0),""))),"")</f>
        <v>0</v>
      </c>
      <c r="T15" s="39" t="n">
        <f aca="false">IFERROR(IF($C15="","",IF($D15="","",IFERROR(ROUND($D15*INDEX('🔖 배합비 참조'!$B$2:$CE$83,MATCH("기타가공품(파인소프트 E-티)",'🔖 배합비 참조'!$A$2:$A$83,0),MATCH($C15,'🔖 배합비 참조'!$B$1:$CE$1,0))/100,0),""))),"")</f>
        <v>0</v>
      </c>
      <c r="U15" s="39" t="n">
        <f aca="false">IFERROR(IF($C15="","",IF($D15="","",IFERROR(ROUND($D15*INDEX('🔖 배합비 참조'!$B$2:$CE$83,MATCH("기타가공품(프리미엄카스테라가루)",'🔖 배합비 참조'!$A$2:$A$83,0),MATCH($C15,'🔖 배합비 참조'!$B$1:$CE$1,0))/100,0),""))),"")</f>
        <v>0</v>
      </c>
      <c r="V15" s="39" t="n">
        <f aca="false">IFERROR(IF($C15="","",IF($D15="","",IFERROR(ROUND($D15*INDEX('🔖 배합비 참조'!$B$2:$CE$83,MATCH("기타가공품(흑임자가루)",'🔖 배합비 참조'!$A$2:$A$83,0),MATCH($C15,'🔖 배합비 참조'!$B$1:$CE$1,0))/100,0),""))),"")</f>
        <v>0</v>
      </c>
      <c r="W15" s="39" t="n">
        <f aca="false">IFERROR(IF($C15="","",IF($D15="","",IFERROR(ROUND($D15*INDEX('🔖 배합비 참조'!$B$2:$CE$83,MATCH("기타설탕(흑설탕)",'🔖 배합비 참조'!$A$2:$A$83,0),MATCH($C15,'🔖 배합비 참조'!$B$1:$CE$1,0))/100,0),""))),"")</f>
        <v>0</v>
      </c>
      <c r="X15" s="39" t="n">
        <f aca="false">IFERROR(IF($C15="","",IF($D15="","",IFERROR(ROUND($D15*INDEX('🔖 배합비 참조'!$B$2:$CE$83,MATCH("냉동쑥(국내산)",'🔖 배합비 참조'!$A$2:$A$83,0),MATCH($C15,'🔖 배합비 참조'!$B$1:$CE$1,0))/100,0),""))),"")</f>
        <v>0</v>
      </c>
      <c r="Y15" s="39" t="n">
        <f aca="false">IFERROR(IF($C15="","",IF($D15="","",IFERROR(ROUND($D15*INDEX('🔖 배합비 참조'!$B$2:$CE$83,MATCH("냉동증숙고구마(중국산)",'🔖 배합비 참조'!$A$2:$A$83,0),MATCH($C15,'🔖 배합비 참조'!$B$1:$CE$1,0))/100,0),""))),"")</f>
        <v>0</v>
      </c>
      <c r="Z15" s="39" t="n">
        <f aca="false">IFERROR(IF($C15="","",IF($D15="","",IFERROR(ROUND($D15*INDEX('🔖 배합비 참조'!$B$2:$CE$83,MATCH("녹차가루",'🔖 배합비 참조'!$A$2:$A$83,0),MATCH($C15,'🔖 배합비 참조'!$B$1:$CE$1,0))/100,0),""))),"")</f>
        <v>0</v>
      </c>
      <c r="AA15" s="39" t="n">
        <f aca="false">IFERROR(IF($C15="","",IF($D15="","",IFERROR(ROUND($D15*INDEX('🔖 배합비 참조'!$B$2:$CE$83,MATCH("다크초콜릿 컴파운드칩",'🔖 배합비 참조'!$A$2:$A$83,0),MATCH($C15,'🔖 배합비 참조'!$B$1:$CE$1,0))/100,0),""))),"")</f>
        <v>0</v>
      </c>
      <c r="AB15" s="39" t="n">
        <f aca="false">IFERROR(IF($C15="","",IF($D15="","",IFERROR(ROUND($D15*INDEX('🔖 배합비 참조'!$B$2:$CE$83,MATCH("단호박분말(중국산)",'🔖 배합비 참조'!$A$2:$A$83,0),MATCH($C15,'🔖 배합비 참조'!$B$1:$CE$1,0))/100,0),""))),"")</f>
        <v>0</v>
      </c>
      <c r="AC15" s="39" t="n">
        <f aca="false">IFERROR(IF($C15="","",IF($D15="","",IFERROR(ROUND($D15*INDEX('🔖 배합비 참조'!$B$2:$CE$83,MATCH("당류가공품(단호박농축액)",'🔖 배합비 참조'!$A$2:$A$83,0),MATCH($C15,'🔖 배합비 참조'!$B$1:$CE$1,0))/100,0),""))),"")</f>
        <v>0</v>
      </c>
      <c r="AD15" s="39" t="n">
        <f aca="false">IFERROR(IF($C15="","",IF($D15="","",IFERROR(ROUND($D15*INDEX('🔖 배합비 참조'!$B$2:$CE$83,MATCH("당류가공품(알룰로스,에리스리톨,스테비올배당체혼합)",'🔖 배합비 참조'!$A$2:$A$83,0),MATCH($C15,'🔖 배합비 참조'!$B$1:$CE$1,0))/100,0),""))),"")</f>
        <v>0</v>
      </c>
      <c r="AE15" s="39" t="n">
        <f aca="false">IFERROR(IF($C15="","",IF($D15="","",IFERROR(ROUND($D15*INDEX('🔖 배합비 참조'!$B$2:$CE$83,MATCH("당류가공품(알룰로스제로파우더)",'🔖 배합비 참조'!$A$2:$A$83,0),MATCH($C15,'🔖 배합비 참조'!$B$1:$CE$1,0))/100,0),""))),"")</f>
        <v>0</v>
      </c>
      <c r="AF15" s="39" t="n">
        <f aca="false">IFERROR(IF($C15="","",IF($D15="","",IFERROR(ROUND($D15*INDEX('🔖 배합비 참조'!$B$2:$CE$83,MATCH("당절임(완두배기)",'🔖 배합비 참조'!$A$2:$A$83,0),MATCH($C15,'🔖 배합비 참조'!$B$1:$CE$1,0))/100,0),""))),"")</f>
        <v>0</v>
      </c>
      <c r="AG15" s="39" t="n">
        <f aca="false">IFERROR(IF($C15="","",IF($D15="","",IFERROR(ROUND($D15*INDEX('🔖 배합비 참조'!$B$2:$CE$83,MATCH("대추농축액",'🔖 배합비 참조'!$A$2:$A$83,0),MATCH($C15,'🔖 배합비 참조'!$B$1:$CE$1,0))/100,0),""))),"")</f>
        <v>0</v>
      </c>
      <c r="AH15" s="39" t="n">
        <f aca="false">IFERROR(IF($C15="","",IF($D15="","",IFERROR(ROUND($D15*INDEX('🔖 배합비 참조'!$B$2:$CE$83,MATCH("대추채(국내산)",'🔖 배합비 참조'!$A$2:$A$83,0),MATCH($C15,'🔖 배합비 참조'!$B$1:$CE$1,0))/100,0),""))),"")</f>
        <v>0</v>
      </c>
      <c r="AI15" s="39" t="n">
        <f aca="false">IFERROR(IF($C15="","",IF($D15="","",IFERROR(ROUND($D15*INDEX('🔖 배합비 참조'!$B$2:$CE$83,MATCH("동부(미얀마산)",'🔖 배합비 참조'!$A$2:$A$83,0),MATCH($C15,'🔖 배합비 참조'!$B$1:$CE$1,0))/100,0),""))),"")</f>
        <v>0</v>
      </c>
      <c r="AJ15" s="39" t="n">
        <f aca="false">IFERROR(IF($C15="","",IF($D15="","",IFERROR(ROUND($D15*INDEX('🔖 배합비 참조'!$B$2:$CE$83,MATCH("두류가공품(백옥앙금)",'🔖 배합비 참조'!$A$2:$A$83,0),MATCH($C15,'🔖 배합비 참조'!$B$1:$CE$1,0))/100,0),""))),"")</f>
        <v>0</v>
      </c>
      <c r="AK15" s="39" t="n">
        <f aca="false">IFERROR(IF($C15="","",IF($D15="","",IFERROR(ROUND($D15*INDEX('🔖 배합비 참조'!$B$2:$CE$83,MATCH("두류가공품(콩고물)",'🔖 배합비 참조'!$A$2:$A$83,0),MATCH($C15,'🔖 배합비 참조'!$B$1:$CE$1,0))/100,0),""))),"")</f>
        <v>0</v>
      </c>
      <c r="AL15" s="39" t="n">
        <f aca="false">IFERROR(IF($C15="","",IF($D15="","",IFERROR(ROUND($D15*INDEX('🔖 배합비 참조'!$B$2:$CE$83,MATCH("두류가공품(통팥고물)",'🔖 배합비 참조'!$A$2:$A$83,0),MATCH($C15,'🔖 배합비 참조'!$B$1:$CE$1,0))/100,0),""))),"")</f>
        <v>0</v>
      </c>
      <c r="AM15" s="39" t="n">
        <f aca="false">IFERROR(IF($C15="","",IF($D15="","",IFERROR(ROUND($D15*INDEX('🔖 배합비 참조'!$B$2:$CE$83,MATCH("딸기레진",'🔖 배합비 참조'!$A$2:$A$83,0),MATCH($C15,'🔖 배합비 참조'!$B$1:$CE$1,0))/100,0),""))),"")</f>
        <v>0</v>
      </c>
      <c r="AN15" s="39" t="n">
        <f aca="false">IFERROR(IF($C15="","",IF($D15="","",IFERROR(ROUND($D15*INDEX('🔖 배합비 참조'!$B$2:$CE$83,MATCH("딸기분말(스트로우베리에이드(분말))",'🔖 배합비 참조'!$A$2:$A$83,0),MATCH($C15,'🔖 배합비 참조'!$B$1:$CE$1,0))/100,0),""))),"")</f>
        <v>0</v>
      </c>
      <c r="AO15" s="39" t="n">
        <f aca="false">IFERROR(IF($C15="","",IF($D15="","",IFERROR(ROUND($D15*INDEX('🔖 배합비 참조'!$B$2:$CE$83,MATCH("마스카포네치즈",'🔖 배합비 참조'!$A$2:$A$83,0),MATCH($C15,'🔖 배합비 참조'!$B$1:$CE$1,0))/100,0),""))),"")</f>
        <v>0</v>
      </c>
      <c r="AP15" s="39" t="n">
        <f aca="false">IFERROR(IF($C15="","",IF($D15="","",IFERROR(ROUND($D15*INDEX('🔖 배합비 참조'!$B$2:$CE$83,MATCH("마카다미아분태(호주산)",'🔖 배합비 참조'!$A$2:$A$83,0),MATCH($C15,'🔖 배합비 참조'!$B$1:$CE$1,0))/100,0),""))),"")</f>
        <v>0</v>
      </c>
      <c r="AQ15" s="39" t="n">
        <f aca="false">IFERROR(IF($C15="","",IF($D15="","",IFERROR(ROUND($D15*INDEX('🔖 배합비 참조'!$B$2:$CE$83,MATCH("멥쌀(국내산)",'🔖 배합비 참조'!$A$2:$A$83,0),MATCH($C15,'🔖 배합비 참조'!$B$1:$CE$1,0))/100,0),""))),"")</f>
        <v>0</v>
      </c>
      <c r="AR15" s="39" t="n">
        <f aca="false">IFERROR(IF($C15="","",IF($D15="","",IFERROR(ROUND($D15*INDEX('🔖 배합비 참조'!$B$2:$CE$83,MATCH("모시잎(국내산)",'🔖 배합비 참조'!$A$2:$A$83,0),MATCH($C15,'🔖 배합비 참조'!$B$1:$CE$1,0))/100,0),""))),"")</f>
        <v>0</v>
      </c>
      <c r="AS15" s="39" t="n">
        <f aca="false">IFERROR(IF($C15="","",IF($D15="","",IFERROR(ROUND($D15*INDEX('🔖 배합비 참조'!$B$2:$CE$83,MATCH("물엿(저당물엿)",'🔖 배합비 참조'!$A$2:$A$83,0),MATCH($C15,'🔖 배합비 참조'!$B$1:$CE$1,0))/100,0),""))),"")</f>
        <v>0</v>
      </c>
      <c r="AT15" s="39" t="n">
        <f aca="false">IFERROR(IF($C15="","",IF($D15="","",IFERROR(ROUND($D15*INDEX('🔖 배합비 참조'!$B$2:$CE$83,MATCH("밤다이스",'🔖 배합비 참조'!$A$2:$A$83,0),MATCH($C15,'🔖 배합비 참조'!$B$1:$CE$1,0))/100,0),""))),"")</f>
        <v>2</v>
      </c>
      <c r="AU15" s="39" t="n">
        <f aca="false">IFERROR(IF($C15="","",IF($D15="","",IFERROR(ROUND($D15*INDEX('🔖 배합비 참조'!$B$2:$CE$83,MATCH("변성전분(타피오카전분)",'🔖 배합비 참조'!$A$2:$A$83,0),MATCH($C15,'🔖 배합비 참조'!$B$1:$CE$1,0))/100,0),""))),"")</f>
        <v>0</v>
      </c>
      <c r="AV15" s="39" t="n">
        <f aca="false">IFERROR(IF($C15="","",IF($D15="","",IFERROR(ROUND($D15*INDEX('🔖 배합비 참조'!$B$2:$CE$83,MATCH("복음땅콩분태",'🔖 배합비 참조'!$A$2:$A$83,0),MATCH($C15,'🔖 배합비 참조'!$B$1:$CE$1,0))/100,0),""))),"")</f>
        <v>0</v>
      </c>
      <c r="AW15" s="39" t="n">
        <f aca="false">IFERROR(IF($C15="","",IF($D15="","",IFERROR(ROUND($D15*INDEX('🔖 배합비 참조'!$B$2:$CE$83,MATCH("사양벌꿀(국내산)",'🔖 배합비 참조'!$A$2:$A$83,0),MATCH($C15,'🔖 배합비 참조'!$B$1:$CE$1,0))/100,0),""))),"")</f>
        <v>0</v>
      </c>
      <c r="AX15" s="39" t="n">
        <f aca="false">IFERROR(IF($C15="","",IF($D15="","",IFERROR(ROUND($D15*INDEX('🔖 배합비 참조'!$B$2:$CE$83,MATCH("생크림",'🔖 배합비 참조'!$A$2:$A$83,0),MATCH($C15,'🔖 배합비 참조'!$B$1:$CE$1,0))/100,0),""))),"")</f>
        <v>0</v>
      </c>
      <c r="AY15" s="39" t="n">
        <f aca="false">IFERROR(IF($C15="","",IF($D15="","",IFERROR(ROUND($D15*INDEX('🔖 배합비 참조'!$B$2:$CE$83,MATCH("서양호박(국내산,뉴질랜드산)",'🔖 배합비 참조'!$A$2:$A$83,0),MATCH($C15,'🔖 배합비 참조'!$B$1:$CE$1,0))/100,0),""))),"")</f>
        <v>0</v>
      </c>
      <c r="AZ15" s="39" t="n">
        <f aca="false">IFERROR(IF($C15="","",IF($D15="","",IFERROR(ROUND($D15*INDEX('🔖 배합비 참조'!$B$2:$CE$83,MATCH("설탕",'🔖 배합비 참조'!$A$2:$A$83,0),MATCH($C15,'🔖 배합비 참조'!$B$1:$CE$1,0))/100,0),""))),"")</f>
        <v>3</v>
      </c>
      <c r="BA15" s="39" t="n">
        <f aca="false">IFERROR(IF($C15="","",IF($D15="","",IFERROR(ROUND($D15*INDEX('🔖 배합비 참조'!$B$2:$CE$83,MATCH("스트로우베리 에이드 후레쉬",'🔖 배합비 참조'!$A$2:$A$83,0),MATCH($C15,'🔖 배합비 참조'!$B$1:$CE$1,0))/100,0),""))),"")</f>
        <v>0</v>
      </c>
      <c r="BB15" s="39" t="n">
        <f aca="false">IFERROR(IF($C15="","",IF($D15="","",IFERROR(ROUND($D15*INDEX('🔖 배합비 참조'!$B$2:$CE$83,MATCH("식물성기름혼합제제(분홍)",'🔖 배합비 참조'!$A$2:$A$83,0),MATCH($C15,'🔖 배합비 참조'!$B$1:$CE$1,0))/100,0),""))),"")</f>
        <v>0</v>
      </c>
      <c r="BC15" s="39" t="n">
        <f aca="false">IFERROR(IF($C15="","",IF($D15="","",IFERROR(ROUND($D15*INDEX('🔖 배합비 참조'!$B$2:$CE$83,MATCH("식물성기름혼합제제(초록)",'🔖 배합비 참조'!$A$2:$A$83,0),MATCH($C15,'🔖 배합비 참조'!$B$1:$CE$1,0))/100,0),""))),"")</f>
        <v>0</v>
      </c>
      <c r="BD15" s="39" t="n">
        <f aca="false">IFERROR(IF($C15="","",IF($D15="","",IFERROR(ROUND($D15*INDEX('🔖 배합비 참조'!$B$2:$CE$83,MATCH("식물성기름혼합제제(황색)",'🔖 배합비 참조'!$A$2:$A$83,0),MATCH($C15,'🔖 배합비 참조'!$B$1:$CE$1,0))/100,0),""))),"")</f>
        <v>0</v>
      </c>
      <c r="BE15" s="39" t="n">
        <f aca="false">IFERROR(IF($C15="","",IF($D15="","",IFERROR(ROUND($D15*INDEX('🔖 배합비 참조'!$B$2:$CE$83,MATCH("쑥가루(국내산)",'🔖 배합비 참조'!$A$2:$A$83,0),MATCH($C15,'🔖 배합비 참조'!$B$1:$CE$1,0))/100,0),""))),"")</f>
        <v>0</v>
      </c>
      <c r="BF15" s="39" t="n">
        <f aca="false">IFERROR(IF($C15="","",IF($D15="","",IFERROR(ROUND($D15*INDEX('🔖 배합비 참조'!$B$2:$CE$83,MATCH("아몬드슬라이스",'🔖 배합비 참조'!$A$2:$A$83,0),MATCH($C15,'🔖 배합비 참조'!$B$1:$CE$1,0))/100,0),""))),"")</f>
        <v>0</v>
      </c>
      <c r="BG15" s="39" t="n">
        <f aca="false">IFERROR(IF($C15="","",IF($D15="","",IFERROR(ROUND($D15*INDEX('🔖 배합비 참조'!$B$2:$CE$83,MATCH("알룰로오스(국내산)",'🔖 배합비 참조'!$A$2:$A$83,0),MATCH($C15,'🔖 배합비 참조'!$B$1:$CE$1,0))/100,0),""))),"")</f>
        <v>0</v>
      </c>
      <c r="BH15" s="39" t="n">
        <f aca="false">IFERROR(IF($C15="","",IF($D15="","",IFERROR(ROUND($D15*INDEX('🔖 배합비 참조'!$B$2:$CE$83,MATCH("연유",'🔖 배합비 참조'!$A$2:$A$83,0),MATCH($C15,'🔖 배합비 참조'!$B$1:$CE$1,0))/100,0),""))),"")</f>
        <v>0</v>
      </c>
      <c r="BI15" s="39" t="n">
        <f aca="false">IFERROR(IF($C15="","",IF($D15="","",IFERROR(ROUND($D15*INDEX('🔖 배합비 참조'!$B$2:$CE$83,MATCH("옥수수전분",'🔖 배합비 참조'!$A$2:$A$83,0),MATCH($C15,'🔖 배합비 참조'!$B$1:$CE$1,0))/100,0),""))),"")</f>
        <v>0</v>
      </c>
      <c r="BJ15" s="39" t="n">
        <f aca="false">IFERROR(IF($C15="","",IF($D15="","",IFERROR(ROUND($D15*INDEX('🔖 배합비 참조'!$B$2:$CE$83,MATCH("완두배기",'🔖 배합비 참조'!$A$2:$A$83,0),MATCH($C15,'🔖 배합비 참조'!$B$1:$CE$1,0))/100,0),""))),"")</f>
        <v>0</v>
      </c>
      <c r="BK15" s="39" t="n">
        <f aca="false">IFERROR(IF($C15="","",IF($D15="","",IFERROR(ROUND($D15*INDEX('🔖 배합비 참조'!$B$2:$CE$83,MATCH("우유(국내산)",'🔖 배합비 참조'!$A$2:$A$83,0),MATCH($C15,'🔖 배합비 참조'!$B$1:$CE$1,0))/100,0),""))),"")</f>
        <v>0</v>
      </c>
      <c r="BL15" s="39" t="n">
        <f aca="false">IFERROR(IF($C15="","",IF($D15="","",IFERROR(ROUND($D15*INDEX('🔖 배합비 참조'!$B$2:$CE$83,MATCH("자색고구마가루(중국산)",'🔖 배합비 참조'!$A$2:$A$83,0),MATCH($C15,'🔖 배합비 참조'!$B$1:$CE$1,0))/100,0),""))),"")</f>
        <v>0</v>
      </c>
      <c r="BM15" s="39" t="n">
        <f aca="false">IFERROR(IF($C15="","",IF($D15="","",IFERROR(ROUND($D15*INDEX('🔖 배합비 참조'!$B$2:$CE$83,MATCH("자연치즈(체다치즈)",'🔖 배합비 참조'!$A$2:$A$83,0),MATCH($C15,'🔖 배합비 참조'!$B$1:$CE$1,0))/100,0),""))),"")</f>
        <v>0</v>
      </c>
      <c r="BN15" s="39" t="n">
        <f aca="false">IFERROR(IF($C15="","",IF($D15="","",IFERROR(ROUND($D15*INDEX('🔖 배합비 참조'!$B$2:$CE$83,MATCH("정제수",'🔖 배합비 참조'!$A$2:$A$83,0),MATCH($C15,'🔖 배합비 참조'!$B$1:$CE$1,0))/100,0),""))),"")</f>
        <v>7</v>
      </c>
      <c r="BO15" s="39" t="n">
        <f aca="false">IFERROR(IF($C15="","",IF($D15="","",IFERROR(ROUND($D15*INDEX('🔖 배합비 참조'!$B$2:$CE$83,MATCH("젤라틴",'🔖 배합비 참조'!$A$2:$A$83,0),MATCH($C15,'🔖 배합비 참조'!$B$1:$CE$1,0))/100,0),""))),"")</f>
        <v>0</v>
      </c>
      <c r="BP15" s="39" t="n">
        <f aca="false">IFERROR(IF($C15="","",IF($D15="","",IFERROR(ROUND($D15*INDEX('🔖 배합비 참조'!$B$2:$CE$83,MATCH("조림류(백옥앙금)",'🔖 배합비 참조'!$A$2:$A$83,0),MATCH($C15,'🔖 배합비 참조'!$B$1:$CE$1,0))/100,0),""))),"")</f>
        <v>0</v>
      </c>
      <c r="BQ15" s="39" t="n">
        <f aca="false">IFERROR(IF($C15="","",IF($D15="","",IFERROR(ROUND($D15*INDEX('🔖 배합비 참조'!$B$2:$CE$83,MATCH("조림류(통팥앙금)",'🔖 배합비 참조'!$A$2:$A$83,0),MATCH($C15,'🔖 배합비 참조'!$B$1:$CE$1,0))/100,0),""))),"")</f>
        <v>0</v>
      </c>
      <c r="BR15" s="39" t="n">
        <f aca="false">IFERROR(IF($C15="","",IF($D15="","",IFERROR(ROUND($D15*INDEX('🔖 배합비 참조'!$B$2:$CE$83,MATCH("준초콜릿(외국산)",'🔖 배합비 참조'!$A$2:$A$83,0),MATCH($C15,'🔖 배합비 참조'!$B$1:$CE$1,0))/100,0),""))),"")</f>
        <v>0</v>
      </c>
      <c r="BS15" s="39" t="n">
        <f aca="false">IFERROR(IF($C15="","",IF($D15="","",IFERROR(ROUND($D15*INDEX('🔖 배합비 참조'!$B$2:$CE$83,MATCH("중력분",'🔖 배합비 참조'!$A$2:$A$83,0),MATCH($C15,'🔖 배합비 참조'!$B$1:$CE$1,0))/100,0),""))),"")</f>
        <v>0</v>
      </c>
      <c r="BT15" s="39" t="n">
        <f aca="false">IFERROR(IF($C15="","",IF($D15="","",IFERROR(ROUND($D15*INDEX('🔖 배합비 참조'!$B$2:$CE$83,MATCH("참깨(인도산,나이지리아산,탄자니아산,미얀마산)",'🔖 배합비 참조'!$A$2:$A$83,0),MATCH($C15,'🔖 배합비 참조'!$B$1:$CE$1,0))/100,0),""))),"")</f>
        <v>0</v>
      </c>
      <c r="BU15" s="39" t="n">
        <f aca="false">IFERROR(IF($C15="","",IF($D15="","",IFERROR(ROUND($D15*INDEX('🔖 배합비 참조'!$B$2:$CE$83,MATCH("찹쌀(국내산)",'🔖 배합비 참조'!$A$2:$A$83,0),MATCH($C15,'🔖 배합비 참조'!$B$1:$CE$1,0))/100,0),""))),"")</f>
        <v>23</v>
      </c>
      <c r="BV15" s="39" t="n">
        <f aca="false">IFERROR(IF($C15="","",IF($D15="","",IFERROR(ROUND($D15*INDEX('🔖 배합비 참조'!$B$2:$CE$83,MATCH("천일염",'🔖 배합비 참조'!$A$2:$A$83,0),MATCH($C15,'🔖 배합비 참조'!$B$1:$CE$1,0))/100,0),""))),"")</f>
        <v>0</v>
      </c>
      <c r="BW15" s="39" t="n">
        <f aca="false">IFERROR(IF($C15="","",IF($D15="","",IFERROR(ROUND($D15*INDEX('🔖 배합비 참조'!$B$2:$CE$83,MATCH("치즈 [크림치즈]",'🔖 배합비 참조'!$A$2:$A$83,0),MATCH($C15,'🔖 배합비 참조'!$B$1:$CE$1,0))/100,0),""))),"")</f>
        <v>0</v>
      </c>
      <c r="BX15" s="39" t="n">
        <f aca="false">IFERROR(IF($C15="","",IF($D15="","",IFERROR(ROUND($D15*INDEX('🔖 배합비 참조'!$B$2:$CE$83,MATCH("코코아가공품류(코코아분말)",'🔖 배합비 참조'!$A$2:$A$83,0),MATCH($C15,'🔖 배합비 참조'!$B$1:$CE$1,0))/100,0),""))),"")</f>
        <v>0</v>
      </c>
      <c r="BY15" s="39" t="n">
        <f aca="false">IFERROR(IF($C15="","",IF($D15="","",IFERROR(ROUND($D15*INDEX('🔖 배합비 참조'!$B$2:$CE$83,MATCH("콩기름(대두유)",'🔖 배합비 참조'!$A$2:$A$83,0),MATCH($C15,'🔖 배합비 참조'!$B$1:$CE$1,0))/100,0),""))),"")</f>
        <v>0</v>
      </c>
      <c r="BZ15" s="39" t="n">
        <f aca="false">IFERROR(IF($C15="","",IF($D15="","",IFERROR(ROUND($D15*INDEX('🔖 배합비 참조'!$B$2:$CE$83,MATCH("해바라기씨앗",'🔖 배합비 참조'!$A$2:$A$83,0),MATCH($C15,'🔖 배합비 참조'!$B$1:$CE$1,0))/100,0),""))),"")</f>
        <v>0</v>
      </c>
      <c r="CA15" s="39" t="n">
        <f aca="false">IFERROR(IF($C15="","",IF($D15="","",IFERROR(ROUND($D15*INDEX('🔖 배합비 참조'!$B$2:$CE$83,MATCH("현미(국내산)",'🔖 배합비 참조'!$A$2:$A$83,0),MATCH($C15,'🔖 배합비 참조'!$B$1:$CE$1,0))/100,0),""))),"")</f>
        <v>0</v>
      </c>
      <c r="CB15" s="39" t="n">
        <f aca="false">IFERROR(IF($C15="","",IF($D15="","",IFERROR(ROUND($D15*INDEX('🔖 배합비 참조'!$B$2:$CE$83,MATCH("현미멥쌀(국내산)",'🔖 배합비 참조'!$A$2:$A$83,0),MATCH($C15,'🔖 배합비 참조'!$B$1:$CE$1,0))/100,0),""))),"")</f>
        <v>0</v>
      </c>
      <c r="CC15" s="39" t="n">
        <f aca="false">IFERROR(IF($C15="","",IF($D15="","",IFERROR(ROUND($D15*INDEX('🔖 배합비 참조'!$B$2:$CE$83,MATCH("호두분태(미국산)",'🔖 배합비 참조'!$A$2:$A$83,0),MATCH($C15,'🔖 배합비 참조'!$B$1:$CE$1,0))/100,0),""))),"")</f>
        <v>0</v>
      </c>
      <c r="CD15" s="39" t="n">
        <f aca="false">IFERROR(IF($C15="","",IF($D15="","",IFERROR(ROUND($D15*INDEX('🔖 배합비 참조'!$B$2:$CE$83,MATCH("호박씨앗(외국산)",'🔖 배합비 참조'!$A$2:$A$83,0),MATCH($C15,'🔖 배합비 참조'!$B$1:$CE$1,0))/100,0),""))),"")</f>
        <v>0</v>
      </c>
      <c r="CE15" s="39" t="n">
        <f aca="false">IFERROR(IF($C15="","",IF($D15="","",IFERROR(ROUND($D15*INDEX('🔖 배합비 참조'!$B$2:$CE$83,MATCH("혼합제제(떡용에스텔)",'🔖 배합비 참조'!$A$2:$A$83,0),MATCH($C15,'🔖 배합비 참조'!$B$1:$CE$1,0))/100,0),""))),"")</f>
        <v>0</v>
      </c>
      <c r="CF15" s="39" t="n">
        <f aca="false">IFERROR(IF($C15="","",IF($D15="","",IFERROR(ROUND($D15*INDEX('🔖 배합비 참조'!$B$2:$CE$83,MATCH("혼합제제(스테비아)",'🔖 배합비 참조'!$A$2:$A$83,0),MATCH($C15,'🔖 배합비 참조'!$B$1:$CE$1,0))/100,0),""))),"")</f>
        <v>0</v>
      </c>
      <c r="CG15" s="39" t="n">
        <f aca="false">IFERROR(IF($C15="","",IF($D15="","",IFERROR(ROUND($D15*INDEX('🔖 배합비 참조'!$B$2:$CE$83,MATCH("화이트초콜릿",'🔖 배합비 참조'!$A$2:$A$83,0),MATCH($C15,'🔖 배합비 참조'!$B$1:$CE$1,0))/100,0),""))),"")</f>
        <v>0</v>
      </c>
      <c r="CH15" s="39" t="n">
        <f aca="false">IFERROR(IF($C15="","",IF($D15="","",IFERROR(ROUND($D15*INDEX('🔖 배합비 참조'!$B$2:$CE$83,MATCH("흑미찹쌀(국내산)",'🔖 배합비 참조'!$A$2:$A$83,0),MATCH($C15,'🔖 배합비 참조'!$B$1:$CE$1,0))/100,0),""))),"")</f>
        <v>0</v>
      </c>
      <c r="CI15" s="39" t="n">
        <f aca="false">IFERROR(IF($C15="","",IF($D15="","",IFERROR(ROUND($D15*INDEX('🔖 배합비 참조'!$B$2:$CE$83,MATCH("찰옥수수전분(미국산)",'🔖 배합비 참조'!$A$2:$A$83,0),MATCH($C15,'🔖 배합비 참조'!$B$1:$CE$1,0))/100,0),""))),"")</f>
        <v>0</v>
      </c>
      <c r="CJ15" s="40"/>
      <c r="CL15" s="1" t="s">
        <v>235</v>
      </c>
    </row>
    <row r="16" customFormat="false" ht="18" hidden="false" customHeight="true" outlineLevel="0" collapsed="false">
      <c r="A16" s="41" t="n">
        <v>12</v>
      </c>
      <c r="B16" s="36" t="n">
        <v>45947</v>
      </c>
      <c r="C16" s="37" t="s">
        <v>147</v>
      </c>
      <c r="D16" s="38" t="n">
        <v>40</v>
      </c>
      <c r="E16" s="17"/>
      <c r="F16" s="17"/>
      <c r="G16" s="42" t="n">
        <f aca="false">IFERROR(IF($C16="","",IF($D16="","",IFERROR(ROUND($D16*INDEX('🔖 배합비 참조'!$B$2:$CE$83,MATCH("간장",'🔖 배합비 참조'!$A$2:$A$83,0),MATCH($C16,'🔖 배합비 참조'!$B$1:$CE$1,0))/100,0),""))),"")</f>
        <v>1</v>
      </c>
      <c r="H16" s="42" t="n">
        <f aca="false">IFERROR(IF($C16="","",IF($D16="","",IFERROR(ROUND($D16*INDEX('🔖 배합비 참조'!$B$2:$CE$83,MATCH("강낭콩((울타리콩))",'🔖 배합비 참조'!$A$2:$A$83,0),MATCH($C16,'🔖 배합비 참조'!$B$1:$CE$1,0))/100,0),""))),"")</f>
        <v>0</v>
      </c>
      <c r="I16" s="42" t="n">
        <f aca="false">IFERROR(IF($C16="","",IF($D16="","",IFERROR(ROUND($D16*INDEX('🔖 배합비 참조'!$B$2:$CE$83,MATCH("건조딸기다이스(외국산)",'🔖 배합비 참조'!$A$2:$A$83,0),MATCH($C16,'🔖 배합비 참조'!$B$1:$CE$1,0))/100,0),""))),"")</f>
        <v>0</v>
      </c>
      <c r="J16" s="42" t="n">
        <f aca="false">IFERROR(IF($C16="","",IF($D16="","",IFERROR(ROUND($D16*INDEX('🔖 배합비 참조'!$B$2:$CE$83,MATCH("건포도",'🔖 배합비 참조'!$A$2:$A$83,0),MATCH($C16,'🔖 배합비 참조'!$B$1:$CE$1,0))/100,0),""))),"")</f>
        <v>1</v>
      </c>
      <c r="K16" s="42" t="n">
        <f aca="false">IFERROR(IF($C16="","",IF($D16="","",IFERROR(ROUND($D16*INDEX('🔖 배합비 참조'!$B$2:$CE$83,MATCH("건호박채(중국산)",'🔖 배합비 참조'!$A$2:$A$83,0),MATCH($C16,'🔖 배합비 참조'!$B$1:$CE$1,0))/100,0),""))),"")</f>
        <v>0</v>
      </c>
      <c r="L16" s="42" t="n">
        <f aca="false">IFERROR(IF($C16="","",IF($D16="","",IFERROR(ROUND($D16*INDEX('🔖 배합비 참조'!$B$2:$CE$83,MATCH("검정깨(흑임자)",'🔖 배합비 참조'!$A$2:$A$83,0),MATCH($C16,'🔖 배합비 참조'!$B$1:$CE$1,0))/100,0),""))),"")</f>
        <v>0</v>
      </c>
      <c r="M16" s="42" t="n">
        <f aca="false">IFERROR(IF($C16="","",IF($D16="","",IFERROR(ROUND($D16*INDEX('🔖 배합비 참조'!$B$2:$CE$83,MATCH("검정콩",'🔖 배합비 참조'!$A$2:$A$83,0),MATCH($C16,'🔖 배합비 참조'!$B$1:$CE$1,0))/100,0),""))),"")</f>
        <v>0</v>
      </c>
      <c r="N16" s="42" t="n">
        <f aca="false">IFERROR(IF($C16="","",IF($D16="","",IFERROR(ROUND($D16*INDEX('🔖 배합비 참조'!$B$2:$CE$83,MATCH("계피가루",'🔖 배합비 참조'!$A$2:$A$83,0),MATCH($C16,'🔖 배합비 참조'!$B$1:$CE$1,0))/100,0),""))),"")</f>
        <v>0</v>
      </c>
      <c r="O16" s="42" t="n">
        <f aca="false">IFERROR(IF($C16="","",IF($D16="","",IFERROR(ROUND($D16*INDEX('🔖 배합비 참조'!$B$2:$CE$83,MATCH("고구마가루",'🔖 배합비 참조'!$A$2:$A$83,0),MATCH($C16,'🔖 배합비 참조'!$B$1:$CE$1,0))/100,0),""))),"")</f>
        <v>0</v>
      </c>
      <c r="P16" s="42" t="n">
        <f aca="false">IFERROR(IF($C16="","",IF($D16="","",IFERROR(ROUND($D16*INDEX('🔖 배합비 참조'!$B$2:$CE$83,MATCH("고구마무스",'🔖 배합비 참조'!$A$2:$A$83,0),MATCH($C16,'🔖 배합비 참조'!$B$1:$CE$1,0))/100,0),""))),"")</f>
        <v>0</v>
      </c>
      <c r="Q16" s="42" t="n">
        <f aca="false">IFERROR(IF($C16="","",IF($D16="","",IFERROR(ROUND($D16*INDEX('🔖 배합비 참조'!$B$2:$CE$83,MATCH("고려엉겅퀴((곤드레)국내산)",'🔖 배합비 참조'!$A$2:$A$83,0),MATCH($C16,'🔖 배합비 참조'!$B$1:$CE$1,0))/100,0),""))),"")</f>
        <v>0</v>
      </c>
      <c r="R16" s="42" t="n">
        <f aca="false">IFERROR(IF($C16="","",IF($D16="","",IFERROR(ROUND($D16*INDEX('🔖 배합비 참조'!$B$2:$CE$83,MATCH("기타가공품(복분자가루)",'🔖 배합비 참조'!$A$2:$A$83,0),MATCH($C16,'🔖 배합비 참조'!$B$1:$CE$1,0))/100,0),""))),"")</f>
        <v>0</v>
      </c>
      <c r="S16" s="42" t="n">
        <f aca="false">IFERROR(IF($C16="","",IF($D16="","",IFERROR(ROUND($D16*INDEX('🔖 배합비 참조'!$B$2:$CE$83,MATCH("기타가공품(슈퍼소프트엠)",'🔖 배합비 참조'!$A$2:$A$83,0),MATCH($C16,'🔖 배합비 참조'!$B$1:$CE$1,0))/100,0),""))),"")</f>
        <v>0</v>
      </c>
      <c r="T16" s="42" t="n">
        <f aca="false">IFERROR(IF($C16="","",IF($D16="","",IFERROR(ROUND($D16*INDEX('🔖 배합비 참조'!$B$2:$CE$83,MATCH("기타가공품(파인소프트 E-티)",'🔖 배합비 참조'!$A$2:$A$83,0),MATCH($C16,'🔖 배합비 참조'!$B$1:$CE$1,0))/100,0),""))),"")</f>
        <v>0</v>
      </c>
      <c r="U16" s="42" t="n">
        <f aca="false">IFERROR(IF($C16="","",IF($D16="","",IFERROR(ROUND($D16*INDEX('🔖 배합비 참조'!$B$2:$CE$83,MATCH("기타가공품(프리미엄카스테라가루)",'🔖 배합비 참조'!$A$2:$A$83,0),MATCH($C16,'🔖 배합비 참조'!$B$1:$CE$1,0))/100,0),""))),"")</f>
        <v>0</v>
      </c>
      <c r="V16" s="42" t="n">
        <f aca="false">IFERROR(IF($C16="","",IF($D16="","",IFERROR(ROUND($D16*INDEX('🔖 배합비 참조'!$B$2:$CE$83,MATCH("기타가공품(흑임자가루)",'🔖 배합비 참조'!$A$2:$A$83,0),MATCH($C16,'🔖 배합비 참조'!$B$1:$CE$1,0))/100,0),""))),"")</f>
        <v>0</v>
      </c>
      <c r="W16" s="42" t="n">
        <f aca="false">IFERROR(IF($C16="","",IF($D16="","",IFERROR(ROUND($D16*INDEX('🔖 배합비 참조'!$B$2:$CE$83,MATCH("기타설탕(흑설탕)",'🔖 배합비 참조'!$A$2:$A$83,0),MATCH($C16,'🔖 배합비 참조'!$B$1:$CE$1,0))/100,0),""))),"")</f>
        <v>0</v>
      </c>
      <c r="X16" s="42" t="n">
        <f aca="false">IFERROR(IF($C16="","",IF($D16="","",IFERROR(ROUND($D16*INDEX('🔖 배합비 참조'!$B$2:$CE$83,MATCH("냉동쑥(국내산)",'🔖 배합비 참조'!$A$2:$A$83,0),MATCH($C16,'🔖 배합비 참조'!$B$1:$CE$1,0))/100,0),""))),"")</f>
        <v>0</v>
      </c>
      <c r="Y16" s="42" t="n">
        <f aca="false">IFERROR(IF($C16="","",IF($D16="","",IFERROR(ROUND($D16*INDEX('🔖 배합비 참조'!$B$2:$CE$83,MATCH("냉동증숙고구마(중국산)",'🔖 배합비 참조'!$A$2:$A$83,0),MATCH($C16,'🔖 배합비 참조'!$B$1:$CE$1,0))/100,0),""))),"")</f>
        <v>0</v>
      </c>
      <c r="Z16" s="42" t="n">
        <f aca="false">IFERROR(IF($C16="","",IF($D16="","",IFERROR(ROUND($D16*INDEX('🔖 배합비 참조'!$B$2:$CE$83,MATCH("녹차가루",'🔖 배합비 참조'!$A$2:$A$83,0),MATCH($C16,'🔖 배합비 참조'!$B$1:$CE$1,0))/100,0),""))),"")</f>
        <v>0</v>
      </c>
      <c r="AA16" s="42" t="n">
        <f aca="false">IFERROR(IF($C16="","",IF($D16="","",IFERROR(ROUND($D16*INDEX('🔖 배합비 참조'!$B$2:$CE$83,MATCH("다크초콜릿 컴파운드칩",'🔖 배합비 참조'!$A$2:$A$83,0),MATCH($C16,'🔖 배합비 참조'!$B$1:$CE$1,0))/100,0),""))),"")</f>
        <v>0</v>
      </c>
      <c r="AB16" s="42" t="n">
        <f aca="false">IFERROR(IF($C16="","",IF($D16="","",IFERROR(ROUND($D16*INDEX('🔖 배합비 참조'!$B$2:$CE$83,MATCH("단호박분말(중국산)",'🔖 배합비 참조'!$A$2:$A$83,0),MATCH($C16,'🔖 배합비 참조'!$B$1:$CE$1,0))/100,0),""))),"")</f>
        <v>0</v>
      </c>
      <c r="AC16" s="42" t="n">
        <f aca="false">IFERROR(IF($C16="","",IF($D16="","",IFERROR(ROUND($D16*INDEX('🔖 배합비 참조'!$B$2:$CE$83,MATCH("당류가공품(단호박농축액)",'🔖 배합비 참조'!$A$2:$A$83,0),MATCH($C16,'🔖 배합비 참조'!$B$1:$CE$1,0))/100,0),""))),"")</f>
        <v>0</v>
      </c>
      <c r="AD16" s="42" t="n">
        <f aca="false">IFERROR(IF($C16="","",IF($D16="","",IFERROR(ROUND($D16*INDEX('🔖 배합비 참조'!$B$2:$CE$83,MATCH("당류가공품(알룰로스,에리스리톨,스테비올배당체혼합)",'🔖 배합비 참조'!$A$2:$A$83,0),MATCH($C16,'🔖 배합비 참조'!$B$1:$CE$1,0))/100,0),""))),"")</f>
        <v>0</v>
      </c>
      <c r="AE16" s="42" t="n">
        <f aca="false">IFERROR(IF($C16="","",IF($D16="","",IFERROR(ROUND($D16*INDEX('🔖 배합비 참조'!$B$2:$CE$83,MATCH("당류가공품(알룰로스제로파우더)",'🔖 배합비 참조'!$A$2:$A$83,0),MATCH($C16,'🔖 배합비 참조'!$B$1:$CE$1,0))/100,0),""))),"")</f>
        <v>0</v>
      </c>
      <c r="AF16" s="42" t="n">
        <f aca="false">IFERROR(IF($C16="","",IF($D16="","",IFERROR(ROUND($D16*INDEX('🔖 배합비 참조'!$B$2:$CE$83,MATCH("당절임(완두배기)",'🔖 배합비 참조'!$A$2:$A$83,0),MATCH($C16,'🔖 배합비 참조'!$B$1:$CE$1,0))/100,0),""))),"")</f>
        <v>0</v>
      </c>
      <c r="AG16" s="42" t="n">
        <f aca="false">IFERROR(IF($C16="","",IF($D16="","",IFERROR(ROUND($D16*INDEX('🔖 배합비 참조'!$B$2:$CE$83,MATCH("대추농축액",'🔖 배합비 참조'!$A$2:$A$83,0),MATCH($C16,'🔖 배합비 참조'!$B$1:$CE$1,0))/100,0),""))),"")</f>
        <v>1</v>
      </c>
      <c r="AH16" s="42" t="n">
        <f aca="false">IFERROR(IF($C16="","",IF($D16="","",IFERROR(ROUND($D16*INDEX('🔖 배합비 참조'!$B$2:$CE$83,MATCH("대추채(국내산)",'🔖 배합비 참조'!$A$2:$A$83,0),MATCH($C16,'🔖 배합비 참조'!$B$1:$CE$1,0))/100,0),""))),"")</f>
        <v>0</v>
      </c>
      <c r="AI16" s="42" t="n">
        <f aca="false">IFERROR(IF($C16="","",IF($D16="","",IFERROR(ROUND($D16*INDEX('🔖 배합비 참조'!$B$2:$CE$83,MATCH("동부(미얀마산)",'🔖 배합비 참조'!$A$2:$A$83,0),MATCH($C16,'🔖 배합비 참조'!$B$1:$CE$1,0))/100,0),""))),"")</f>
        <v>0</v>
      </c>
      <c r="AJ16" s="42" t="n">
        <f aca="false">IFERROR(IF($C16="","",IF($D16="","",IFERROR(ROUND($D16*INDEX('🔖 배합비 참조'!$B$2:$CE$83,MATCH("두류가공품(백옥앙금)",'🔖 배합비 참조'!$A$2:$A$83,0),MATCH($C16,'🔖 배합비 참조'!$B$1:$CE$1,0))/100,0),""))),"")</f>
        <v>0</v>
      </c>
      <c r="AK16" s="42" t="n">
        <f aca="false">IFERROR(IF($C16="","",IF($D16="","",IFERROR(ROUND($D16*INDEX('🔖 배합비 참조'!$B$2:$CE$83,MATCH("두류가공품(콩고물)",'🔖 배합비 참조'!$A$2:$A$83,0),MATCH($C16,'🔖 배합비 참조'!$B$1:$CE$1,0))/100,0),""))),"")</f>
        <v>0</v>
      </c>
      <c r="AL16" s="42" t="n">
        <f aca="false">IFERROR(IF($C16="","",IF($D16="","",IFERROR(ROUND($D16*INDEX('🔖 배합비 참조'!$B$2:$CE$83,MATCH("두류가공품(통팥고물)",'🔖 배합비 참조'!$A$2:$A$83,0),MATCH($C16,'🔖 배합비 참조'!$B$1:$CE$1,0))/100,0),""))),"")</f>
        <v>0</v>
      </c>
      <c r="AM16" s="42" t="n">
        <f aca="false">IFERROR(IF($C16="","",IF($D16="","",IFERROR(ROUND($D16*INDEX('🔖 배합비 참조'!$B$2:$CE$83,MATCH("딸기레진",'🔖 배합비 참조'!$A$2:$A$83,0),MATCH($C16,'🔖 배합비 참조'!$B$1:$CE$1,0))/100,0),""))),"")</f>
        <v>0</v>
      </c>
      <c r="AN16" s="42" t="n">
        <f aca="false">IFERROR(IF($C16="","",IF($D16="","",IFERROR(ROUND($D16*INDEX('🔖 배합비 참조'!$B$2:$CE$83,MATCH("딸기분말(스트로우베리에이드(분말))",'🔖 배합비 참조'!$A$2:$A$83,0),MATCH($C16,'🔖 배합비 참조'!$B$1:$CE$1,0))/100,0),""))),"")</f>
        <v>0</v>
      </c>
      <c r="AO16" s="42" t="n">
        <f aca="false">IFERROR(IF($C16="","",IF($D16="","",IFERROR(ROUND($D16*INDEX('🔖 배합비 참조'!$B$2:$CE$83,MATCH("마스카포네치즈",'🔖 배합비 참조'!$A$2:$A$83,0),MATCH($C16,'🔖 배합비 참조'!$B$1:$CE$1,0))/100,0),""))),"")</f>
        <v>0</v>
      </c>
      <c r="AP16" s="42" t="n">
        <f aca="false">IFERROR(IF($C16="","",IF($D16="","",IFERROR(ROUND($D16*INDEX('🔖 배합비 참조'!$B$2:$CE$83,MATCH("마카다미아분태(호주산)",'🔖 배합비 참조'!$A$2:$A$83,0),MATCH($C16,'🔖 배합비 참조'!$B$1:$CE$1,0))/100,0),""))),"")</f>
        <v>0</v>
      </c>
      <c r="AQ16" s="42" t="n">
        <f aca="false">IFERROR(IF($C16="","",IF($D16="","",IFERROR(ROUND($D16*INDEX('🔖 배합비 참조'!$B$2:$CE$83,MATCH("멥쌀(국내산)",'🔖 배합비 참조'!$A$2:$A$83,0),MATCH($C16,'🔖 배합비 참조'!$B$1:$CE$1,0))/100,0),""))),"")</f>
        <v>0</v>
      </c>
      <c r="AR16" s="42" t="n">
        <f aca="false">IFERROR(IF($C16="","",IF($D16="","",IFERROR(ROUND($D16*INDEX('🔖 배합비 참조'!$B$2:$CE$83,MATCH("모시잎(국내산)",'🔖 배합비 참조'!$A$2:$A$83,0),MATCH($C16,'🔖 배합비 참조'!$B$1:$CE$1,0))/100,0),""))),"")</f>
        <v>0</v>
      </c>
      <c r="AS16" s="42" t="n">
        <f aca="false">IFERROR(IF($C16="","",IF($D16="","",IFERROR(ROUND($D16*INDEX('🔖 배합비 참조'!$B$2:$CE$83,MATCH("물엿(저당물엿)",'🔖 배합비 참조'!$A$2:$A$83,0),MATCH($C16,'🔖 배합비 참조'!$B$1:$CE$1,0))/100,0),""))),"")</f>
        <v>0</v>
      </c>
      <c r="AT16" s="42" t="n">
        <f aca="false">IFERROR(IF($C16="","",IF($D16="","",IFERROR(ROUND($D16*INDEX('🔖 배합비 참조'!$B$2:$CE$83,MATCH("밤다이스",'🔖 배합비 참조'!$A$2:$A$83,0),MATCH($C16,'🔖 배합비 참조'!$B$1:$CE$1,0))/100,0),""))),"")</f>
        <v>2</v>
      </c>
      <c r="AU16" s="42" t="n">
        <f aca="false">IFERROR(IF($C16="","",IF($D16="","",IFERROR(ROUND($D16*INDEX('🔖 배합비 참조'!$B$2:$CE$83,MATCH("변성전분(타피오카전분)",'🔖 배합비 참조'!$A$2:$A$83,0),MATCH($C16,'🔖 배합비 참조'!$B$1:$CE$1,0))/100,0),""))),"")</f>
        <v>0</v>
      </c>
      <c r="AV16" s="42" t="n">
        <f aca="false">IFERROR(IF($C16="","",IF($D16="","",IFERROR(ROUND($D16*INDEX('🔖 배합비 참조'!$B$2:$CE$83,MATCH("복음땅콩분태",'🔖 배합비 참조'!$A$2:$A$83,0),MATCH($C16,'🔖 배합비 참조'!$B$1:$CE$1,0))/100,0),""))),"")</f>
        <v>0</v>
      </c>
      <c r="AW16" s="42" t="n">
        <f aca="false">IFERROR(IF($C16="","",IF($D16="","",IFERROR(ROUND($D16*INDEX('🔖 배합비 참조'!$B$2:$CE$83,MATCH("사양벌꿀(국내산)",'🔖 배합비 참조'!$A$2:$A$83,0),MATCH($C16,'🔖 배합비 참조'!$B$1:$CE$1,0))/100,0),""))),"")</f>
        <v>0</v>
      </c>
      <c r="AX16" s="42" t="n">
        <f aca="false">IFERROR(IF($C16="","",IF($D16="","",IFERROR(ROUND($D16*INDEX('🔖 배합비 참조'!$B$2:$CE$83,MATCH("생크림",'🔖 배합비 참조'!$A$2:$A$83,0),MATCH($C16,'🔖 배합비 참조'!$B$1:$CE$1,0))/100,0),""))),"")</f>
        <v>0</v>
      </c>
      <c r="AY16" s="42" t="n">
        <f aca="false">IFERROR(IF($C16="","",IF($D16="","",IFERROR(ROUND($D16*INDEX('🔖 배합비 참조'!$B$2:$CE$83,MATCH("서양호박(국내산,뉴질랜드산)",'🔖 배합비 참조'!$A$2:$A$83,0),MATCH($C16,'🔖 배합비 참조'!$B$1:$CE$1,0))/100,0),""))),"")</f>
        <v>0</v>
      </c>
      <c r="AZ16" s="42" t="n">
        <f aca="false">IFERROR(IF($C16="","",IF($D16="","",IFERROR(ROUND($D16*INDEX('🔖 배합비 참조'!$B$2:$CE$83,MATCH("설탕",'🔖 배합비 참조'!$A$2:$A$83,0),MATCH($C16,'🔖 배합비 참조'!$B$1:$CE$1,0))/100,0),""))),"")</f>
        <v>3</v>
      </c>
      <c r="BA16" s="42" t="n">
        <f aca="false">IFERROR(IF($C16="","",IF($D16="","",IFERROR(ROUND($D16*INDEX('🔖 배합비 참조'!$B$2:$CE$83,MATCH("스트로우베리 에이드 후레쉬",'🔖 배합비 참조'!$A$2:$A$83,0),MATCH($C16,'🔖 배합비 참조'!$B$1:$CE$1,0))/100,0),""))),"")</f>
        <v>0</v>
      </c>
      <c r="BB16" s="42" t="n">
        <f aca="false">IFERROR(IF($C16="","",IF($D16="","",IFERROR(ROUND($D16*INDEX('🔖 배합비 참조'!$B$2:$CE$83,MATCH("식물성기름혼합제제(분홍)",'🔖 배합비 참조'!$A$2:$A$83,0),MATCH($C16,'🔖 배합비 참조'!$B$1:$CE$1,0))/100,0),""))),"")</f>
        <v>0</v>
      </c>
      <c r="BC16" s="42" t="n">
        <f aca="false">IFERROR(IF($C16="","",IF($D16="","",IFERROR(ROUND($D16*INDEX('🔖 배합비 참조'!$B$2:$CE$83,MATCH("식물성기름혼합제제(초록)",'🔖 배합비 참조'!$A$2:$A$83,0),MATCH($C16,'🔖 배합비 참조'!$B$1:$CE$1,0))/100,0),""))),"")</f>
        <v>0</v>
      </c>
      <c r="BD16" s="42" t="n">
        <f aca="false">IFERROR(IF($C16="","",IF($D16="","",IFERROR(ROUND($D16*INDEX('🔖 배합비 참조'!$B$2:$CE$83,MATCH("식물성기름혼합제제(황색)",'🔖 배합비 참조'!$A$2:$A$83,0),MATCH($C16,'🔖 배합비 참조'!$B$1:$CE$1,0))/100,0),""))),"")</f>
        <v>0</v>
      </c>
      <c r="BE16" s="42" t="n">
        <f aca="false">IFERROR(IF($C16="","",IF($D16="","",IFERROR(ROUND($D16*INDEX('🔖 배합비 참조'!$B$2:$CE$83,MATCH("쑥가루(국내산)",'🔖 배합비 참조'!$A$2:$A$83,0),MATCH($C16,'🔖 배합비 참조'!$B$1:$CE$1,0))/100,0),""))),"")</f>
        <v>0</v>
      </c>
      <c r="BF16" s="42" t="n">
        <f aca="false">IFERROR(IF($C16="","",IF($D16="","",IFERROR(ROUND($D16*INDEX('🔖 배합비 참조'!$B$2:$CE$83,MATCH("아몬드슬라이스",'🔖 배합비 참조'!$A$2:$A$83,0),MATCH($C16,'🔖 배합비 참조'!$B$1:$CE$1,0))/100,0),""))),"")</f>
        <v>0</v>
      </c>
      <c r="BG16" s="42" t="n">
        <f aca="false">IFERROR(IF($C16="","",IF($D16="","",IFERROR(ROUND($D16*INDEX('🔖 배합비 참조'!$B$2:$CE$83,MATCH("알룰로오스(국내산)",'🔖 배합비 참조'!$A$2:$A$83,0),MATCH($C16,'🔖 배합비 참조'!$B$1:$CE$1,0))/100,0),""))),"")</f>
        <v>0</v>
      </c>
      <c r="BH16" s="42" t="n">
        <f aca="false">IFERROR(IF($C16="","",IF($D16="","",IFERROR(ROUND($D16*INDEX('🔖 배합비 참조'!$B$2:$CE$83,MATCH("연유",'🔖 배합비 참조'!$A$2:$A$83,0),MATCH($C16,'🔖 배합비 참조'!$B$1:$CE$1,0))/100,0),""))),"")</f>
        <v>0</v>
      </c>
      <c r="BI16" s="42" t="n">
        <f aca="false">IFERROR(IF($C16="","",IF($D16="","",IFERROR(ROUND($D16*INDEX('🔖 배합비 참조'!$B$2:$CE$83,MATCH("옥수수전분",'🔖 배합비 참조'!$A$2:$A$83,0),MATCH($C16,'🔖 배합비 참조'!$B$1:$CE$1,0))/100,0),""))),"")</f>
        <v>0</v>
      </c>
      <c r="BJ16" s="42" t="n">
        <f aca="false">IFERROR(IF($C16="","",IF($D16="","",IFERROR(ROUND($D16*INDEX('🔖 배합비 참조'!$B$2:$CE$83,MATCH("완두배기",'🔖 배합비 참조'!$A$2:$A$83,0),MATCH($C16,'🔖 배합비 참조'!$B$1:$CE$1,0))/100,0),""))),"")</f>
        <v>0</v>
      </c>
      <c r="BK16" s="42" t="n">
        <f aca="false">IFERROR(IF($C16="","",IF($D16="","",IFERROR(ROUND($D16*INDEX('🔖 배합비 참조'!$B$2:$CE$83,MATCH("우유(국내산)",'🔖 배합비 참조'!$A$2:$A$83,0),MATCH($C16,'🔖 배합비 참조'!$B$1:$CE$1,0))/100,0),""))),"")</f>
        <v>0</v>
      </c>
      <c r="BL16" s="42" t="n">
        <f aca="false">IFERROR(IF($C16="","",IF($D16="","",IFERROR(ROUND($D16*INDEX('🔖 배합비 참조'!$B$2:$CE$83,MATCH("자색고구마가루(중국산)",'🔖 배합비 참조'!$A$2:$A$83,0),MATCH($C16,'🔖 배합비 참조'!$B$1:$CE$1,0))/100,0),""))),"")</f>
        <v>0</v>
      </c>
      <c r="BM16" s="42" t="n">
        <f aca="false">IFERROR(IF($C16="","",IF($D16="","",IFERROR(ROUND($D16*INDEX('🔖 배합비 참조'!$B$2:$CE$83,MATCH("자연치즈(체다치즈)",'🔖 배합비 참조'!$A$2:$A$83,0),MATCH($C16,'🔖 배합비 참조'!$B$1:$CE$1,0))/100,0),""))),"")</f>
        <v>0</v>
      </c>
      <c r="BN16" s="42" t="n">
        <f aca="false">IFERROR(IF($C16="","",IF($D16="","",IFERROR(ROUND($D16*INDEX('🔖 배합비 참조'!$B$2:$CE$83,MATCH("정제수",'🔖 배합비 참조'!$A$2:$A$83,0),MATCH($C16,'🔖 배합비 참조'!$B$1:$CE$1,0))/100,0),""))),"")</f>
        <v>7</v>
      </c>
      <c r="BO16" s="42" t="n">
        <f aca="false">IFERROR(IF($C16="","",IF($D16="","",IFERROR(ROUND($D16*INDEX('🔖 배합비 참조'!$B$2:$CE$83,MATCH("젤라틴",'🔖 배합비 참조'!$A$2:$A$83,0),MATCH($C16,'🔖 배합비 참조'!$B$1:$CE$1,0))/100,0),""))),"")</f>
        <v>0</v>
      </c>
      <c r="BP16" s="42" t="n">
        <f aca="false">IFERROR(IF($C16="","",IF($D16="","",IFERROR(ROUND($D16*INDEX('🔖 배합비 참조'!$B$2:$CE$83,MATCH("조림류(백옥앙금)",'🔖 배합비 참조'!$A$2:$A$83,0),MATCH($C16,'🔖 배합비 참조'!$B$1:$CE$1,0))/100,0),""))),"")</f>
        <v>0</v>
      </c>
      <c r="BQ16" s="42" t="n">
        <f aca="false">IFERROR(IF($C16="","",IF($D16="","",IFERROR(ROUND($D16*INDEX('🔖 배합비 참조'!$B$2:$CE$83,MATCH("조림류(통팥앙금)",'🔖 배합비 참조'!$A$2:$A$83,0),MATCH($C16,'🔖 배합비 참조'!$B$1:$CE$1,0))/100,0),""))),"")</f>
        <v>0</v>
      </c>
      <c r="BR16" s="42" t="n">
        <f aca="false">IFERROR(IF($C16="","",IF($D16="","",IFERROR(ROUND($D16*INDEX('🔖 배합비 참조'!$B$2:$CE$83,MATCH("준초콜릿(외국산)",'🔖 배합비 참조'!$A$2:$A$83,0),MATCH($C16,'🔖 배합비 참조'!$B$1:$CE$1,0))/100,0),""))),"")</f>
        <v>0</v>
      </c>
      <c r="BS16" s="42" t="n">
        <f aca="false">IFERROR(IF($C16="","",IF($D16="","",IFERROR(ROUND($D16*INDEX('🔖 배합비 참조'!$B$2:$CE$83,MATCH("중력분",'🔖 배합비 참조'!$A$2:$A$83,0),MATCH($C16,'🔖 배합비 참조'!$B$1:$CE$1,0))/100,0),""))),"")</f>
        <v>0</v>
      </c>
      <c r="BT16" s="42" t="n">
        <f aca="false">IFERROR(IF($C16="","",IF($D16="","",IFERROR(ROUND($D16*INDEX('🔖 배합비 참조'!$B$2:$CE$83,MATCH("참깨(인도산,나이지리아산,탄자니아산,미얀마산)",'🔖 배합비 참조'!$A$2:$A$83,0),MATCH($C16,'🔖 배합비 참조'!$B$1:$CE$1,0))/100,0),""))),"")</f>
        <v>0</v>
      </c>
      <c r="BU16" s="42" t="n">
        <f aca="false">IFERROR(IF($C16="","",IF($D16="","",IFERROR(ROUND($D16*INDEX('🔖 배합비 참조'!$B$2:$CE$83,MATCH("찹쌀(국내산)",'🔖 배합비 참조'!$A$2:$A$83,0),MATCH($C16,'🔖 배합비 참조'!$B$1:$CE$1,0))/100,0),""))),"")</f>
        <v>23</v>
      </c>
      <c r="BV16" s="42" t="n">
        <f aca="false">IFERROR(IF($C16="","",IF($D16="","",IFERROR(ROUND($D16*INDEX('🔖 배합비 참조'!$B$2:$CE$83,MATCH("천일염",'🔖 배합비 참조'!$A$2:$A$83,0),MATCH($C16,'🔖 배합비 참조'!$B$1:$CE$1,0))/100,0),""))),"")</f>
        <v>0</v>
      </c>
      <c r="BW16" s="42" t="n">
        <f aca="false">IFERROR(IF($C16="","",IF($D16="","",IFERROR(ROUND($D16*INDEX('🔖 배합비 참조'!$B$2:$CE$83,MATCH("치즈 [크림치즈]",'🔖 배합비 참조'!$A$2:$A$83,0),MATCH($C16,'🔖 배합비 참조'!$B$1:$CE$1,0))/100,0),""))),"")</f>
        <v>0</v>
      </c>
      <c r="BX16" s="42" t="n">
        <f aca="false">IFERROR(IF($C16="","",IF($D16="","",IFERROR(ROUND($D16*INDEX('🔖 배합비 참조'!$B$2:$CE$83,MATCH("코코아가공품류(코코아분말)",'🔖 배합비 참조'!$A$2:$A$83,0),MATCH($C16,'🔖 배합비 참조'!$B$1:$CE$1,0))/100,0),""))),"")</f>
        <v>0</v>
      </c>
      <c r="BY16" s="42" t="n">
        <f aca="false">IFERROR(IF($C16="","",IF($D16="","",IFERROR(ROUND($D16*INDEX('🔖 배합비 참조'!$B$2:$CE$83,MATCH("콩기름(대두유)",'🔖 배합비 참조'!$A$2:$A$83,0),MATCH($C16,'🔖 배합비 참조'!$B$1:$CE$1,0))/100,0),""))),"")</f>
        <v>0</v>
      </c>
      <c r="BZ16" s="42" t="n">
        <f aca="false">IFERROR(IF($C16="","",IF($D16="","",IFERROR(ROUND($D16*INDEX('🔖 배합비 참조'!$B$2:$CE$83,MATCH("해바라기씨앗",'🔖 배합비 참조'!$A$2:$A$83,0),MATCH($C16,'🔖 배합비 참조'!$B$1:$CE$1,0))/100,0),""))),"")</f>
        <v>0</v>
      </c>
      <c r="CA16" s="42" t="n">
        <f aca="false">IFERROR(IF($C16="","",IF($D16="","",IFERROR(ROUND($D16*INDEX('🔖 배합비 참조'!$B$2:$CE$83,MATCH("현미(국내산)",'🔖 배합비 참조'!$A$2:$A$83,0),MATCH($C16,'🔖 배합비 참조'!$B$1:$CE$1,0))/100,0),""))),"")</f>
        <v>0</v>
      </c>
      <c r="CB16" s="42" t="n">
        <f aca="false">IFERROR(IF($C16="","",IF($D16="","",IFERROR(ROUND($D16*INDEX('🔖 배합비 참조'!$B$2:$CE$83,MATCH("현미멥쌀(국내산)",'🔖 배합비 참조'!$A$2:$A$83,0),MATCH($C16,'🔖 배합비 참조'!$B$1:$CE$1,0))/100,0),""))),"")</f>
        <v>0</v>
      </c>
      <c r="CC16" s="42" t="n">
        <f aca="false">IFERROR(IF($C16="","",IF($D16="","",IFERROR(ROUND($D16*INDEX('🔖 배합비 참조'!$B$2:$CE$83,MATCH("호두분태(미국산)",'🔖 배합비 참조'!$A$2:$A$83,0),MATCH($C16,'🔖 배합비 참조'!$B$1:$CE$1,0))/100,0),""))),"")</f>
        <v>0</v>
      </c>
      <c r="CD16" s="42" t="n">
        <f aca="false">IFERROR(IF($C16="","",IF($D16="","",IFERROR(ROUND($D16*INDEX('🔖 배합비 참조'!$B$2:$CE$83,MATCH("호박씨앗(외국산)",'🔖 배합비 참조'!$A$2:$A$83,0),MATCH($C16,'🔖 배합비 참조'!$B$1:$CE$1,0))/100,0),""))),"")</f>
        <v>0</v>
      </c>
      <c r="CE16" s="42" t="n">
        <f aca="false">IFERROR(IF($C16="","",IF($D16="","",IFERROR(ROUND($D16*INDEX('🔖 배합비 참조'!$B$2:$CE$83,MATCH("혼합제제(떡용에스텔)",'🔖 배합비 참조'!$A$2:$A$83,0),MATCH($C16,'🔖 배합비 참조'!$B$1:$CE$1,0))/100,0),""))),"")</f>
        <v>0</v>
      </c>
      <c r="CF16" s="42" t="n">
        <f aca="false">IFERROR(IF($C16="","",IF($D16="","",IFERROR(ROUND($D16*INDEX('🔖 배합비 참조'!$B$2:$CE$83,MATCH("혼합제제(스테비아)",'🔖 배합비 참조'!$A$2:$A$83,0),MATCH($C16,'🔖 배합비 참조'!$B$1:$CE$1,0))/100,0),""))),"")</f>
        <v>0</v>
      </c>
      <c r="CG16" s="42" t="n">
        <f aca="false">IFERROR(IF($C16="","",IF($D16="","",IFERROR(ROUND($D16*INDEX('🔖 배합비 참조'!$B$2:$CE$83,MATCH("화이트초콜릿",'🔖 배합비 참조'!$A$2:$A$83,0),MATCH($C16,'🔖 배합비 참조'!$B$1:$CE$1,0))/100,0),""))),"")</f>
        <v>0</v>
      </c>
      <c r="CH16" s="42" t="n">
        <f aca="false">IFERROR(IF($C16="","",IF($D16="","",IFERROR(ROUND($D16*INDEX('🔖 배합비 참조'!$B$2:$CE$83,MATCH("흑미찹쌀(국내산)",'🔖 배합비 참조'!$A$2:$A$83,0),MATCH($C16,'🔖 배합비 참조'!$B$1:$CE$1,0))/100,0),""))),"")</f>
        <v>0</v>
      </c>
      <c r="CI16" s="42" t="n">
        <f aca="false">IFERROR(IF($C16="","",IF($D16="","",IFERROR(ROUND($D16*INDEX('🔖 배합비 참조'!$B$2:$CE$83,MATCH("찰옥수수전분(미국산)",'🔖 배합비 참조'!$A$2:$A$83,0),MATCH($C16,'🔖 배합비 참조'!$B$1:$CE$1,0))/100,0),""))),"")</f>
        <v>0</v>
      </c>
      <c r="CJ16" s="40"/>
      <c r="CL16" s="1" t="s">
        <v>235</v>
      </c>
    </row>
    <row r="17" customFormat="false" ht="18" hidden="false" customHeight="true" outlineLevel="0" collapsed="false">
      <c r="A17" s="35" t="n">
        <v>13</v>
      </c>
      <c r="B17" s="36" t="n">
        <v>45947</v>
      </c>
      <c r="C17" s="37" t="s">
        <v>155</v>
      </c>
      <c r="D17" s="38" t="n">
        <v>70</v>
      </c>
      <c r="E17" s="13"/>
      <c r="F17" s="13"/>
      <c r="G17" s="39" t="n">
        <f aca="false">IFERROR(IF($C17="","",IF($D17="","",IFERROR(ROUND($D17*INDEX('🔖 배합비 참조'!$B$2:$CE$83,MATCH("간장",'🔖 배합비 참조'!$A$2:$A$83,0),MATCH($C17,'🔖 배합비 참조'!$B$1:$CE$1,0))/100,0),""))),"")</f>
        <v>0</v>
      </c>
      <c r="H17" s="39" t="n">
        <f aca="false">IFERROR(IF($C17="","",IF($D17="","",IFERROR(ROUND($D17*INDEX('🔖 배합비 참조'!$B$2:$CE$83,MATCH("강낭콩((울타리콩))",'🔖 배합비 참조'!$A$2:$A$83,0),MATCH($C17,'🔖 배합비 참조'!$B$1:$CE$1,0))/100,0),""))),"")</f>
        <v>0</v>
      </c>
      <c r="I17" s="39" t="n">
        <f aca="false">IFERROR(IF($C17="","",IF($D17="","",IFERROR(ROUND($D17*INDEX('🔖 배합비 참조'!$B$2:$CE$83,MATCH("건조딸기다이스(외국산)",'🔖 배합비 참조'!$A$2:$A$83,0),MATCH($C17,'🔖 배합비 참조'!$B$1:$CE$1,0))/100,0),""))),"")</f>
        <v>0</v>
      </c>
      <c r="J17" s="39" t="n">
        <f aca="false">IFERROR(IF($C17="","",IF($D17="","",IFERROR(ROUND($D17*INDEX('🔖 배합비 참조'!$B$2:$CE$83,MATCH("건포도",'🔖 배합비 참조'!$A$2:$A$83,0),MATCH($C17,'🔖 배합비 참조'!$B$1:$CE$1,0))/100,0),""))),"")</f>
        <v>0</v>
      </c>
      <c r="K17" s="39" t="n">
        <f aca="false">IFERROR(IF($C17="","",IF($D17="","",IFERROR(ROUND($D17*INDEX('🔖 배합비 참조'!$B$2:$CE$83,MATCH("건호박채(중국산)",'🔖 배합비 참조'!$A$2:$A$83,0),MATCH($C17,'🔖 배합비 참조'!$B$1:$CE$1,0))/100,0),""))),"")</f>
        <v>0</v>
      </c>
      <c r="L17" s="39" t="n">
        <f aca="false">IFERROR(IF($C17="","",IF($D17="","",IFERROR(ROUND($D17*INDEX('🔖 배합비 참조'!$B$2:$CE$83,MATCH("검정깨(흑임자)",'🔖 배합비 참조'!$A$2:$A$83,0),MATCH($C17,'🔖 배합비 참조'!$B$1:$CE$1,0))/100,0),""))),"")</f>
        <v>0</v>
      </c>
      <c r="M17" s="39" t="n">
        <f aca="false">IFERROR(IF($C17="","",IF($D17="","",IFERROR(ROUND($D17*INDEX('🔖 배합비 참조'!$B$2:$CE$83,MATCH("검정콩",'🔖 배합비 참조'!$A$2:$A$83,0),MATCH($C17,'🔖 배합비 참조'!$B$1:$CE$1,0))/100,0),""))),"")</f>
        <v>0</v>
      </c>
      <c r="N17" s="39" t="n">
        <f aca="false">IFERROR(IF($C17="","",IF($D17="","",IFERROR(ROUND($D17*INDEX('🔖 배합비 참조'!$B$2:$CE$83,MATCH("계피가루",'🔖 배합비 참조'!$A$2:$A$83,0),MATCH($C17,'🔖 배합비 참조'!$B$1:$CE$1,0))/100,0),""))),"")</f>
        <v>0</v>
      </c>
      <c r="O17" s="39" t="n">
        <f aca="false">IFERROR(IF($C17="","",IF($D17="","",IFERROR(ROUND($D17*INDEX('🔖 배합비 참조'!$B$2:$CE$83,MATCH("고구마가루",'🔖 배합비 참조'!$A$2:$A$83,0),MATCH($C17,'🔖 배합비 참조'!$B$1:$CE$1,0))/100,0),""))),"")</f>
        <v>0</v>
      </c>
      <c r="P17" s="39" t="n">
        <f aca="false">IFERROR(IF($C17="","",IF($D17="","",IFERROR(ROUND($D17*INDEX('🔖 배합비 참조'!$B$2:$CE$83,MATCH("고구마무스",'🔖 배합비 참조'!$A$2:$A$83,0),MATCH($C17,'🔖 배합비 참조'!$B$1:$CE$1,0))/100,0),""))),"")</f>
        <v>0</v>
      </c>
      <c r="Q17" s="39" t="n">
        <f aca="false">IFERROR(IF($C17="","",IF($D17="","",IFERROR(ROUND($D17*INDEX('🔖 배합비 참조'!$B$2:$CE$83,MATCH("고려엉겅퀴((곤드레)국내산)",'🔖 배합비 참조'!$A$2:$A$83,0),MATCH($C17,'🔖 배합비 참조'!$B$1:$CE$1,0))/100,0),""))),"")</f>
        <v>0</v>
      </c>
      <c r="R17" s="39" t="n">
        <f aca="false">IFERROR(IF($C17="","",IF($D17="","",IFERROR(ROUND($D17*INDEX('🔖 배합비 참조'!$B$2:$CE$83,MATCH("기타가공품(복분자가루)",'🔖 배합비 참조'!$A$2:$A$83,0),MATCH($C17,'🔖 배합비 참조'!$B$1:$CE$1,0))/100,0),""))),"")</f>
        <v>0</v>
      </c>
      <c r="S17" s="39" t="n">
        <f aca="false">IFERROR(IF($C17="","",IF($D17="","",IFERROR(ROUND($D17*INDEX('🔖 배합비 참조'!$B$2:$CE$83,MATCH("기타가공품(슈퍼소프트엠)",'🔖 배합비 참조'!$A$2:$A$83,0),MATCH($C17,'🔖 배합비 참조'!$B$1:$CE$1,0))/100,0),""))),"")</f>
        <v>0</v>
      </c>
      <c r="T17" s="39" t="n">
        <f aca="false">IFERROR(IF($C17="","",IF($D17="","",IFERROR(ROUND($D17*INDEX('🔖 배합비 참조'!$B$2:$CE$83,MATCH("기타가공품(파인소프트 E-티)",'🔖 배합비 참조'!$A$2:$A$83,0),MATCH($C17,'🔖 배합비 참조'!$B$1:$CE$1,0))/100,0),""))),"")</f>
        <v>0</v>
      </c>
      <c r="U17" s="39" t="n">
        <f aca="false">IFERROR(IF($C17="","",IF($D17="","",IFERROR(ROUND($D17*INDEX('🔖 배합비 참조'!$B$2:$CE$83,MATCH("기타가공품(프리미엄카스테라가루)",'🔖 배합비 참조'!$A$2:$A$83,0),MATCH($C17,'🔖 배합비 참조'!$B$1:$CE$1,0))/100,0),""))),"")</f>
        <v>0</v>
      </c>
      <c r="V17" s="39" t="n">
        <f aca="false">IFERROR(IF($C17="","",IF($D17="","",IFERROR(ROUND($D17*INDEX('🔖 배합비 참조'!$B$2:$CE$83,MATCH("기타가공품(흑임자가루)",'🔖 배합비 참조'!$A$2:$A$83,0),MATCH($C17,'🔖 배합비 참조'!$B$1:$CE$1,0))/100,0),""))),"")</f>
        <v>0</v>
      </c>
      <c r="W17" s="39" t="n">
        <f aca="false">IFERROR(IF($C17="","",IF($D17="","",IFERROR(ROUND($D17*INDEX('🔖 배합비 참조'!$B$2:$CE$83,MATCH("기타설탕(흑설탕)",'🔖 배합비 참조'!$A$2:$A$83,0),MATCH($C17,'🔖 배합비 참조'!$B$1:$CE$1,0))/100,0),""))),"")</f>
        <v>0</v>
      </c>
      <c r="X17" s="39" t="n">
        <f aca="false">IFERROR(IF($C17="","",IF($D17="","",IFERROR(ROUND($D17*INDEX('🔖 배합비 참조'!$B$2:$CE$83,MATCH("냉동쑥(국내산)",'🔖 배합비 참조'!$A$2:$A$83,0),MATCH($C17,'🔖 배합비 참조'!$B$1:$CE$1,0))/100,0),""))),"")</f>
        <v>0</v>
      </c>
      <c r="Y17" s="39" t="n">
        <f aca="false">IFERROR(IF($C17="","",IF($D17="","",IFERROR(ROUND($D17*INDEX('🔖 배합비 참조'!$B$2:$CE$83,MATCH("냉동증숙고구마(중국산)",'🔖 배합비 참조'!$A$2:$A$83,0),MATCH($C17,'🔖 배합비 참조'!$B$1:$CE$1,0))/100,0),""))),"")</f>
        <v>0</v>
      </c>
      <c r="Z17" s="39" t="n">
        <f aca="false">IFERROR(IF($C17="","",IF($D17="","",IFERROR(ROUND($D17*INDEX('🔖 배합비 참조'!$B$2:$CE$83,MATCH("녹차가루",'🔖 배합비 참조'!$A$2:$A$83,0),MATCH($C17,'🔖 배합비 참조'!$B$1:$CE$1,0))/100,0),""))),"")</f>
        <v>0</v>
      </c>
      <c r="AA17" s="39" t="n">
        <f aca="false">IFERROR(IF($C17="","",IF($D17="","",IFERROR(ROUND($D17*INDEX('🔖 배합비 참조'!$B$2:$CE$83,MATCH("다크초콜릿 컴파운드칩",'🔖 배합비 참조'!$A$2:$A$83,0),MATCH($C17,'🔖 배합비 참조'!$B$1:$CE$1,0))/100,0),""))),"")</f>
        <v>0</v>
      </c>
      <c r="AB17" s="39" t="n">
        <f aca="false">IFERROR(IF($C17="","",IF($D17="","",IFERROR(ROUND($D17*INDEX('🔖 배합비 참조'!$B$2:$CE$83,MATCH("단호박분말(중국산)",'🔖 배합비 참조'!$A$2:$A$83,0),MATCH($C17,'🔖 배합비 참조'!$B$1:$CE$1,0))/100,0),""))),"")</f>
        <v>0</v>
      </c>
      <c r="AC17" s="39" t="n">
        <f aca="false">IFERROR(IF($C17="","",IF($D17="","",IFERROR(ROUND($D17*INDEX('🔖 배합비 참조'!$B$2:$CE$83,MATCH("당류가공품(단호박농축액)",'🔖 배합비 참조'!$A$2:$A$83,0),MATCH($C17,'🔖 배합비 참조'!$B$1:$CE$1,0))/100,0),""))),"")</f>
        <v>0</v>
      </c>
      <c r="AD17" s="39" t="n">
        <f aca="false">IFERROR(IF($C17="","",IF($D17="","",IFERROR(ROUND($D17*INDEX('🔖 배합비 참조'!$B$2:$CE$83,MATCH("당류가공품(알룰로스,에리스리톨,스테비올배당체혼합)",'🔖 배합비 참조'!$A$2:$A$83,0),MATCH($C17,'🔖 배합비 참조'!$B$1:$CE$1,0))/100,0),""))),"")</f>
        <v>0</v>
      </c>
      <c r="AE17" s="39" t="n">
        <f aca="false">IFERROR(IF($C17="","",IF($D17="","",IFERROR(ROUND($D17*INDEX('🔖 배합비 참조'!$B$2:$CE$83,MATCH("당류가공품(알룰로스제로파우더)",'🔖 배합비 참조'!$A$2:$A$83,0),MATCH($C17,'🔖 배합비 참조'!$B$1:$CE$1,0))/100,0),""))),"")</f>
        <v>0</v>
      </c>
      <c r="AF17" s="39" t="n">
        <f aca="false">IFERROR(IF($C17="","",IF($D17="","",IFERROR(ROUND($D17*INDEX('🔖 배합비 참조'!$B$2:$CE$83,MATCH("당절임(완두배기)",'🔖 배합비 참조'!$A$2:$A$83,0),MATCH($C17,'🔖 배합비 참조'!$B$1:$CE$1,0))/100,0),""))),"")</f>
        <v>0</v>
      </c>
      <c r="AG17" s="39" t="n">
        <f aca="false">IFERROR(IF($C17="","",IF($D17="","",IFERROR(ROUND($D17*INDEX('🔖 배합비 참조'!$B$2:$CE$83,MATCH("대추농축액",'🔖 배합비 참조'!$A$2:$A$83,0),MATCH($C17,'🔖 배합비 참조'!$B$1:$CE$1,0))/100,0),""))),"")</f>
        <v>0</v>
      </c>
      <c r="AH17" s="39" t="n">
        <f aca="false">IFERROR(IF($C17="","",IF($D17="","",IFERROR(ROUND($D17*INDEX('🔖 배합비 참조'!$B$2:$CE$83,MATCH("대추채(국내산)",'🔖 배합비 참조'!$A$2:$A$83,0),MATCH($C17,'🔖 배합비 참조'!$B$1:$CE$1,0))/100,0),""))),"")</f>
        <v>0</v>
      </c>
      <c r="AI17" s="39" t="n">
        <f aca="false">IFERROR(IF($C17="","",IF($D17="","",IFERROR(ROUND($D17*INDEX('🔖 배합비 참조'!$B$2:$CE$83,MATCH("동부(미얀마산)",'🔖 배합비 참조'!$A$2:$A$83,0),MATCH($C17,'🔖 배합비 참조'!$B$1:$CE$1,0))/100,0),""))),"")</f>
        <v>0</v>
      </c>
      <c r="AJ17" s="39" t="n">
        <f aca="false">IFERROR(IF($C17="","",IF($D17="","",IFERROR(ROUND($D17*INDEX('🔖 배합비 참조'!$B$2:$CE$83,MATCH("두류가공품(백옥앙금)",'🔖 배합비 참조'!$A$2:$A$83,0),MATCH($C17,'🔖 배합비 참조'!$B$1:$CE$1,0))/100,0),""))),"")</f>
        <v>0</v>
      </c>
      <c r="AK17" s="39" t="n">
        <f aca="false">IFERROR(IF($C17="","",IF($D17="","",IFERROR(ROUND($D17*INDEX('🔖 배합비 참조'!$B$2:$CE$83,MATCH("두류가공품(콩고물)",'🔖 배합비 참조'!$A$2:$A$83,0),MATCH($C17,'🔖 배합비 참조'!$B$1:$CE$1,0))/100,0),""))),"")</f>
        <v>0</v>
      </c>
      <c r="AL17" s="39" t="n">
        <f aca="false">IFERROR(IF($C17="","",IF($D17="","",IFERROR(ROUND($D17*INDEX('🔖 배합비 참조'!$B$2:$CE$83,MATCH("두류가공품(통팥고물)",'🔖 배합비 참조'!$A$2:$A$83,0),MATCH($C17,'🔖 배합비 참조'!$B$1:$CE$1,0))/100,0),""))),"")</f>
        <v>0</v>
      </c>
      <c r="AM17" s="39" t="n">
        <f aca="false">IFERROR(IF($C17="","",IF($D17="","",IFERROR(ROUND($D17*INDEX('🔖 배합비 참조'!$B$2:$CE$83,MATCH("딸기레진",'🔖 배합비 참조'!$A$2:$A$83,0),MATCH($C17,'🔖 배합비 참조'!$B$1:$CE$1,0))/100,0),""))),"")</f>
        <v>0</v>
      </c>
      <c r="AN17" s="39" t="n">
        <f aca="false">IFERROR(IF($C17="","",IF($D17="","",IFERROR(ROUND($D17*INDEX('🔖 배합비 참조'!$B$2:$CE$83,MATCH("딸기분말(스트로우베리에이드(분말))",'🔖 배합비 참조'!$A$2:$A$83,0),MATCH($C17,'🔖 배합비 참조'!$B$1:$CE$1,0))/100,0),""))),"")</f>
        <v>0</v>
      </c>
      <c r="AO17" s="39" t="n">
        <f aca="false">IFERROR(IF($C17="","",IF($D17="","",IFERROR(ROUND($D17*INDEX('🔖 배합비 참조'!$B$2:$CE$83,MATCH("마스카포네치즈",'🔖 배합비 참조'!$A$2:$A$83,0),MATCH($C17,'🔖 배합비 참조'!$B$1:$CE$1,0))/100,0),""))),"")</f>
        <v>0</v>
      </c>
      <c r="AP17" s="39" t="n">
        <f aca="false">IFERROR(IF($C17="","",IF($D17="","",IFERROR(ROUND($D17*INDEX('🔖 배합비 참조'!$B$2:$CE$83,MATCH("마카다미아분태(호주산)",'🔖 배합비 참조'!$A$2:$A$83,0),MATCH($C17,'🔖 배합비 참조'!$B$1:$CE$1,0))/100,0),""))),"")</f>
        <v>3</v>
      </c>
      <c r="AQ17" s="39" t="n">
        <f aca="false">IFERROR(IF($C17="","",IF($D17="","",IFERROR(ROUND($D17*INDEX('🔖 배합비 참조'!$B$2:$CE$83,MATCH("멥쌀(국내산)",'🔖 배합비 참조'!$A$2:$A$83,0),MATCH($C17,'🔖 배합비 참조'!$B$1:$CE$1,0))/100,0),""))),"")</f>
        <v>0</v>
      </c>
      <c r="AR17" s="39" t="n">
        <f aca="false">IFERROR(IF($C17="","",IF($D17="","",IFERROR(ROUND($D17*INDEX('🔖 배합비 참조'!$B$2:$CE$83,MATCH("모시잎(국내산)",'🔖 배합비 참조'!$A$2:$A$83,0),MATCH($C17,'🔖 배합비 참조'!$B$1:$CE$1,0))/100,0),""))),"")</f>
        <v>0</v>
      </c>
      <c r="AS17" s="39" t="n">
        <f aca="false">IFERROR(IF($C17="","",IF($D17="","",IFERROR(ROUND($D17*INDEX('🔖 배합비 참조'!$B$2:$CE$83,MATCH("물엿(저당물엿)",'🔖 배합비 참조'!$A$2:$A$83,0),MATCH($C17,'🔖 배합비 참조'!$B$1:$CE$1,0))/100,0),""))),"")</f>
        <v>1</v>
      </c>
      <c r="AT17" s="39" t="n">
        <f aca="false">IFERROR(IF($C17="","",IF($D17="","",IFERROR(ROUND($D17*INDEX('🔖 배합비 참조'!$B$2:$CE$83,MATCH("밤다이스",'🔖 배합비 참조'!$A$2:$A$83,0),MATCH($C17,'🔖 배합비 참조'!$B$1:$CE$1,0))/100,0),""))),"")</f>
        <v>1</v>
      </c>
      <c r="AU17" s="39" t="n">
        <f aca="false">IFERROR(IF($C17="","",IF($D17="","",IFERROR(ROUND($D17*INDEX('🔖 배합비 참조'!$B$2:$CE$83,MATCH("변성전분(타피오카전분)",'🔖 배합비 참조'!$A$2:$A$83,0),MATCH($C17,'🔖 배합비 참조'!$B$1:$CE$1,0))/100,0),""))),"")</f>
        <v>0</v>
      </c>
      <c r="AV17" s="39" t="n">
        <f aca="false">IFERROR(IF($C17="","",IF($D17="","",IFERROR(ROUND($D17*INDEX('🔖 배합비 참조'!$B$2:$CE$83,MATCH("복음땅콩분태",'🔖 배합비 참조'!$A$2:$A$83,0),MATCH($C17,'🔖 배합비 참조'!$B$1:$CE$1,0))/100,0),""))),"")</f>
        <v>0</v>
      </c>
      <c r="AW17" s="39" t="n">
        <f aca="false">IFERROR(IF($C17="","",IF($D17="","",IFERROR(ROUND($D17*INDEX('🔖 배합비 참조'!$B$2:$CE$83,MATCH("사양벌꿀(국내산)",'🔖 배합비 참조'!$A$2:$A$83,0),MATCH($C17,'🔖 배합비 참조'!$B$1:$CE$1,0))/100,0),""))),"")</f>
        <v>0</v>
      </c>
      <c r="AX17" s="39" t="n">
        <f aca="false">IFERROR(IF($C17="","",IF($D17="","",IFERROR(ROUND($D17*INDEX('🔖 배합비 참조'!$B$2:$CE$83,MATCH("생크림",'🔖 배합비 참조'!$A$2:$A$83,0),MATCH($C17,'🔖 배합비 참조'!$B$1:$CE$1,0))/100,0),""))),"")</f>
        <v>0</v>
      </c>
      <c r="AY17" s="39" t="n">
        <f aca="false">IFERROR(IF($C17="","",IF($D17="","",IFERROR(ROUND($D17*INDEX('🔖 배합비 참조'!$B$2:$CE$83,MATCH("서양호박(국내산,뉴질랜드산)",'🔖 배합비 참조'!$A$2:$A$83,0),MATCH($C17,'🔖 배합비 참조'!$B$1:$CE$1,0))/100,0),""))),"")</f>
        <v>0</v>
      </c>
      <c r="AZ17" s="39" t="n">
        <f aca="false">IFERROR(IF($C17="","",IF($D17="","",IFERROR(ROUND($D17*INDEX('🔖 배합비 참조'!$B$2:$CE$83,MATCH("설탕",'🔖 배합비 참조'!$A$2:$A$83,0),MATCH($C17,'🔖 배합비 참조'!$B$1:$CE$1,0))/100,0),""))),"")</f>
        <v>1</v>
      </c>
      <c r="BA17" s="39" t="n">
        <f aca="false">IFERROR(IF($C17="","",IF($D17="","",IFERROR(ROUND($D17*INDEX('🔖 배합비 참조'!$B$2:$CE$83,MATCH("스트로우베리 에이드 후레쉬",'🔖 배합비 참조'!$A$2:$A$83,0),MATCH($C17,'🔖 배합비 참조'!$B$1:$CE$1,0))/100,0),""))),"")</f>
        <v>0</v>
      </c>
      <c r="BB17" s="39" t="n">
        <f aca="false">IFERROR(IF($C17="","",IF($D17="","",IFERROR(ROUND($D17*INDEX('🔖 배합비 참조'!$B$2:$CE$83,MATCH("식물성기름혼합제제(분홍)",'🔖 배합비 참조'!$A$2:$A$83,0),MATCH($C17,'🔖 배합비 참조'!$B$1:$CE$1,0))/100,0),""))),"")</f>
        <v>0</v>
      </c>
      <c r="BC17" s="39" t="n">
        <f aca="false">IFERROR(IF($C17="","",IF($D17="","",IFERROR(ROUND($D17*INDEX('🔖 배합비 참조'!$B$2:$CE$83,MATCH("식물성기름혼합제제(초록)",'🔖 배합비 참조'!$A$2:$A$83,0),MATCH($C17,'🔖 배합비 참조'!$B$1:$CE$1,0))/100,0),""))),"")</f>
        <v>0</v>
      </c>
      <c r="BD17" s="39" t="n">
        <f aca="false">IFERROR(IF($C17="","",IF($D17="","",IFERROR(ROUND($D17*INDEX('🔖 배합비 참조'!$B$2:$CE$83,MATCH("식물성기름혼합제제(황색)",'🔖 배합비 참조'!$A$2:$A$83,0),MATCH($C17,'🔖 배합비 참조'!$B$1:$CE$1,0))/100,0),""))),"")</f>
        <v>0</v>
      </c>
      <c r="BE17" s="39" t="n">
        <f aca="false">IFERROR(IF($C17="","",IF($D17="","",IFERROR(ROUND($D17*INDEX('🔖 배합비 참조'!$B$2:$CE$83,MATCH("쑥가루(국내산)",'🔖 배합비 참조'!$A$2:$A$83,0),MATCH($C17,'🔖 배합비 참조'!$B$1:$CE$1,0))/100,0),""))),"")</f>
        <v>0</v>
      </c>
      <c r="BF17" s="39" t="n">
        <f aca="false">IFERROR(IF($C17="","",IF($D17="","",IFERROR(ROUND($D17*INDEX('🔖 배합비 참조'!$B$2:$CE$83,MATCH("아몬드슬라이스",'🔖 배합비 참조'!$A$2:$A$83,0),MATCH($C17,'🔖 배합비 참조'!$B$1:$CE$1,0))/100,0),""))),"")</f>
        <v>0</v>
      </c>
      <c r="BG17" s="39" t="n">
        <f aca="false">IFERROR(IF($C17="","",IF($D17="","",IFERROR(ROUND($D17*INDEX('🔖 배합비 참조'!$B$2:$CE$83,MATCH("알룰로오스(국내산)",'🔖 배합비 참조'!$A$2:$A$83,0),MATCH($C17,'🔖 배합비 참조'!$B$1:$CE$1,0))/100,0),""))),"")</f>
        <v>0</v>
      </c>
      <c r="BH17" s="39" t="n">
        <f aca="false">IFERROR(IF($C17="","",IF($D17="","",IFERROR(ROUND($D17*INDEX('🔖 배합비 참조'!$B$2:$CE$83,MATCH("연유",'🔖 배합비 참조'!$A$2:$A$83,0),MATCH($C17,'🔖 배합비 참조'!$B$1:$CE$1,0))/100,0),""))),"")</f>
        <v>0</v>
      </c>
      <c r="BI17" s="39" t="n">
        <f aca="false">IFERROR(IF($C17="","",IF($D17="","",IFERROR(ROUND($D17*INDEX('🔖 배합비 참조'!$B$2:$CE$83,MATCH("옥수수전분",'🔖 배합비 참조'!$A$2:$A$83,0),MATCH($C17,'🔖 배합비 참조'!$B$1:$CE$1,0))/100,0),""))),"")</f>
        <v>2</v>
      </c>
      <c r="BJ17" s="39" t="n">
        <f aca="false">IFERROR(IF($C17="","",IF($D17="","",IFERROR(ROUND($D17*INDEX('🔖 배합비 참조'!$B$2:$CE$83,MATCH("완두배기",'🔖 배합비 참조'!$A$2:$A$83,0),MATCH($C17,'🔖 배합비 참조'!$B$1:$CE$1,0))/100,0),""))),"")</f>
        <v>0</v>
      </c>
      <c r="BK17" s="39" t="n">
        <f aca="false">IFERROR(IF($C17="","",IF($D17="","",IFERROR(ROUND($D17*INDEX('🔖 배합비 참조'!$B$2:$CE$83,MATCH("우유(국내산)",'🔖 배합비 참조'!$A$2:$A$83,0),MATCH($C17,'🔖 배합비 참조'!$B$1:$CE$1,0))/100,0),""))),"")</f>
        <v>0</v>
      </c>
      <c r="BL17" s="39" t="n">
        <f aca="false">IFERROR(IF($C17="","",IF($D17="","",IFERROR(ROUND($D17*INDEX('🔖 배합비 참조'!$B$2:$CE$83,MATCH("자색고구마가루(중국산)",'🔖 배합비 참조'!$A$2:$A$83,0),MATCH($C17,'🔖 배합비 참조'!$B$1:$CE$1,0))/100,0),""))),"")</f>
        <v>0</v>
      </c>
      <c r="BM17" s="39" t="n">
        <f aca="false">IFERROR(IF($C17="","",IF($D17="","",IFERROR(ROUND($D17*INDEX('🔖 배합비 참조'!$B$2:$CE$83,MATCH("자연치즈(체다치즈)",'🔖 배합비 참조'!$A$2:$A$83,0),MATCH($C17,'🔖 배합비 참조'!$B$1:$CE$1,0))/100,0),""))),"")</f>
        <v>0</v>
      </c>
      <c r="BN17" s="39" t="n">
        <f aca="false">IFERROR(IF($C17="","",IF($D17="","",IFERROR(ROUND($D17*INDEX('🔖 배합비 참조'!$B$2:$CE$83,MATCH("정제수",'🔖 배합비 참조'!$A$2:$A$83,0),MATCH($C17,'🔖 배합비 참조'!$B$1:$CE$1,0))/100,0),""))),"")</f>
        <v>0</v>
      </c>
      <c r="BO17" s="39" t="n">
        <f aca="false">IFERROR(IF($C17="","",IF($D17="","",IFERROR(ROUND($D17*INDEX('🔖 배합비 참조'!$B$2:$CE$83,MATCH("젤라틴",'🔖 배합비 참조'!$A$2:$A$83,0),MATCH($C17,'🔖 배합비 참조'!$B$1:$CE$1,0))/100,0),""))),"")</f>
        <v>0</v>
      </c>
      <c r="BP17" s="39" t="n">
        <f aca="false">IFERROR(IF($C17="","",IF($D17="","",IFERROR(ROUND($D17*INDEX('🔖 배합비 참조'!$B$2:$CE$83,MATCH("조림류(백옥앙금)",'🔖 배합비 참조'!$A$2:$A$83,0),MATCH($C17,'🔖 배합비 참조'!$B$1:$CE$1,0))/100,0),""))),"")</f>
        <v>0</v>
      </c>
      <c r="BQ17" s="39" t="n">
        <f aca="false">IFERROR(IF($C17="","",IF($D17="","",IFERROR(ROUND($D17*INDEX('🔖 배합비 참조'!$B$2:$CE$83,MATCH("조림류(통팥앙금)",'🔖 배합비 참조'!$A$2:$A$83,0),MATCH($C17,'🔖 배합비 참조'!$B$1:$CE$1,0))/100,0),""))),"")</f>
        <v>28</v>
      </c>
      <c r="BR17" s="39" t="n">
        <f aca="false">IFERROR(IF($C17="","",IF($D17="","",IFERROR(ROUND($D17*INDEX('🔖 배합비 참조'!$B$2:$CE$83,MATCH("준초콜릿(외국산)",'🔖 배합비 참조'!$A$2:$A$83,0),MATCH($C17,'🔖 배합비 참조'!$B$1:$CE$1,0))/100,0),""))),"")</f>
        <v>0</v>
      </c>
      <c r="BS17" s="39" t="n">
        <f aca="false">IFERROR(IF($C17="","",IF($D17="","",IFERROR(ROUND($D17*INDEX('🔖 배합비 참조'!$B$2:$CE$83,MATCH("중력분",'🔖 배합비 참조'!$A$2:$A$83,0),MATCH($C17,'🔖 배합비 참조'!$B$1:$CE$1,0))/100,0),""))),"")</f>
        <v>0</v>
      </c>
      <c r="BT17" s="39" t="n">
        <f aca="false">IFERROR(IF($C17="","",IF($D17="","",IFERROR(ROUND($D17*INDEX('🔖 배합비 참조'!$B$2:$CE$83,MATCH("참깨(인도산,나이지리아산,탄자니아산,미얀마산)",'🔖 배합비 참조'!$A$2:$A$83,0),MATCH($C17,'🔖 배합비 참조'!$B$1:$CE$1,0))/100,0),""))),"")</f>
        <v>0</v>
      </c>
      <c r="BU17" s="39" t="n">
        <f aca="false">IFERROR(IF($C17="","",IF($D17="","",IFERROR(ROUND($D17*INDEX('🔖 배합비 참조'!$B$2:$CE$83,MATCH("찹쌀(국내산)",'🔖 배합비 참조'!$A$2:$A$83,0),MATCH($C17,'🔖 배합비 참조'!$B$1:$CE$1,0))/100,0),""))),"")</f>
        <v>30</v>
      </c>
      <c r="BV17" s="39" t="n">
        <f aca="false">IFERROR(IF($C17="","",IF($D17="","",IFERROR(ROUND($D17*INDEX('🔖 배합비 참조'!$B$2:$CE$83,MATCH("천일염",'🔖 배합비 참조'!$A$2:$A$83,0),MATCH($C17,'🔖 배합비 참조'!$B$1:$CE$1,0))/100,0),""))),"")</f>
        <v>0</v>
      </c>
      <c r="BW17" s="39" t="n">
        <f aca="false">IFERROR(IF($C17="","",IF($D17="","",IFERROR(ROUND($D17*INDEX('🔖 배합비 참조'!$B$2:$CE$83,MATCH("치즈 [크림치즈]",'🔖 배합비 참조'!$A$2:$A$83,0),MATCH($C17,'🔖 배합비 참조'!$B$1:$CE$1,0))/100,0),""))),"")</f>
        <v>0</v>
      </c>
      <c r="BX17" s="39" t="n">
        <f aca="false">IFERROR(IF($C17="","",IF($D17="","",IFERROR(ROUND($D17*INDEX('🔖 배합비 참조'!$B$2:$CE$83,MATCH("코코아가공품류(코코아분말)",'🔖 배합비 참조'!$A$2:$A$83,0),MATCH($C17,'🔖 배합비 참조'!$B$1:$CE$1,0))/100,0),""))),"")</f>
        <v>0</v>
      </c>
      <c r="BY17" s="39" t="n">
        <f aca="false">IFERROR(IF($C17="","",IF($D17="","",IFERROR(ROUND($D17*INDEX('🔖 배합비 참조'!$B$2:$CE$83,MATCH("콩기름(대두유)",'🔖 배합비 참조'!$A$2:$A$83,0),MATCH($C17,'🔖 배합비 참조'!$B$1:$CE$1,0))/100,0),""))),"")</f>
        <v>0</v>
      </c>
      <c r="BZ17" s="39" t="n">
        <f aca="false">IFERROR(IF($C17="","",IF($D17="","",IFERROR(ROUND($D17*INDEX('🔖 배합비 참조'!$B$2:$CE$83,MATCH("해바라기씨앗",'🔖 배합비 참조'!$A$2:$A$83,0),MATCH($C17,'🔖 배합비 참조'!$B$1:$CE$1,0))/100,0),""))),"")</f>
        <v>0</v>
      </c>
      <c r="CA17" s="39" t="n">
        <f aca="false">IFERROR(IF($C17="","",IF($D17="","",IFERROR(ROUND($D17*INDEX('🔖 배합비 참조'!$B$2:$CE$83,MATCH("현미(국내산)",'🔖 배합비 참조'!$A$2:$A$83,0),MATCH($C17,'🔖 배합비 참조'!$B$1:$CE$1,0))/100,0),""))),"")</f>
        <v>0</v>
      </c>
      <c r="CB17" s="39" t="n">
        <f aca="false">IFERROR(IF($C17="","",IF($D17="","",IFERROR(ROUND($D17*INDEX('🔖 배합비 참조'!$B$2:$CE$83,MATCH("현미멥쌀(국내산)",'🔖 배합비 참조'!$A$2:$A$83,0),MATCH($C17,'🔖 배합비 참조'!$B$1:$CE$1,0))/100,0),""))),"")</f>
        <v>0</v>
      </c>
      <c r="CC17" s="39" t="n">
        <f aca="false">IFERROR(IF($C17="","",IF($D17="","",IFERROR(ROUND($D17*INDEX('🔖 배합비 참조'!$B$2:$CE$83,MATCH("호두분태(미국산)",'🔖 배합비 참조'!$A$2:$A$83,0),MATCH($C17,'🔖 배합비 참조'!$B$1:$CE$1,0))/100,0),""))),"")</f>
        <v>2</v>
      </c>
      <c r="CD17" s="39" t="n">
        <f aca="false">IFERROR(IF($C17="","",IF($D17="","",IFERROR(ROUND($D17*INDEX('🔖 배합비 참조'!$B$2:$CE$83,MATCH("호박씨앗(외국산)",'🔖 배합비 참조'!$A$2:$A$83,0),MATCH($C17,'🔖 배합비 참조'!$B$1:$CE$1,0))/100,0),""))),"")</f>
        <v>0</v>
      </c>
      <c r="CE17" s="39" t="n">
        <f aca="false">IFERROR(IF($C17="","",IF($D17="","",IFERROR(ROUND($D17*INDEX('🔖 배합비 참조'!$B$2:$CE$83,MATCH("혼합제제(떡용에스텔)",'🔖 배합비 참조'!$A$2:$A$83,0),MATCH($C17,'🔖 배합비 참조'!$B$1:$CE$1,0))/100,0),""))),"")</f>
        <v>0</v>
      </c>
      <c r="CF17" s="39" t="n">
        <f aca="false">IFERROR(IF($C17="","",IF($D17="","",IFERROR(ROUND($D17*INDEX('🔖 배합비 참조'!$B$2:$CE$83,MATCH("혼합제제(스테비아)",'🔖 배합비 참조'!$A$2:$A$83,0),MATCH($C17,'🔖 배합비 참조'!$B$1:$CE$1,0))/100,0),""))),"")</f>
        <v>0</v>
      </c>
      <c r="CG17" s="39" t="n">
        <f aca="false">IFERROR(IF($C17="","",IF($D17="","",IFERROR(ROUND($D17*INDEX('🔖 배합비 참조'!$B$2:$CE$83,MATCH("화이트초콜릿",'🔖 배합비 참조'!$A$2:$A$83,0),MATCH($C17,'🔖 배합비 참조'!$B$1:$CE$1,0))/100,0),""))),"")</f>
        <v>0</v>
      </c>
      <c r="CH17" s="39" t="n">
        <f aca="false">IFERROR(IF($C17="","",IF($D17="","",IFERROR(ROUND($D17*INDEX('🔖 배합비 참조'!$B$2:$CE$83,MATCH("흑미찹쌀(국내산)",'🔖 배합비 참조'!$A$2:$A$83,0),MATCH($C17,'🔖 배합비 참조'!$B$1:$CE$1,0))/100,0),""))),"")</f>
        <v>0</v>
      </c>
      <c r="CI17" s="39" t="n">
        <f aca="false">IFERROR(IF($C17="","",IF($D17="","",IFERROR(ROUND($D17*INDEX('🔖 배합비 참조'!$B$2:$CE$83,MATCH("찰옥수수전분(미국산)",'🔖 배합비 참조'!$A$2:$A$83,0),MATCH($C17,'🔖 배합비 참조'!$B$1:$CE$1,0))/100,0),""))),"")</f>
        <v>0</v>
      </c>
      <c r="CJ17" s="40"/>
      <c r="CL17" s="1" t="s">
        <v>235</v>
      </c>
    </row>
    <row r="18" customFormat="false" ht="18" hidden="false" customHeight="true" outlineLevel="0" collapsed="false">
      <c r="A18" s="41" t="n">
        <v>14</v>
      </c>
      <c r="B18" s="36" t="n">
        <v>45950</v>
      </c>
      <c r="C18" s="37" t="s">
        <v>144</v>
      </c>
      <c r="D18" s="38" t="n">
        <v>70</v>
      </c>
      <c r="E18" s="17"/>
      <c r="F18" s="17"/>
      <c r="G18" s="42" t="n">
        <f aca="false">IFERROR(IF($C18="","",IF($D18="","",IFERROR(ROUND($D18*INDEX('🔖 배합비 참조'!$B$2:$CE$83,MATCH("간장",'🔖 배합비 참조'!$A$2:$A$83,0),MATCH($C18,'🔖 배합비 참조'!$B$1:$CE$1,0))/100,0),""))),"")</f>
        <v>0</v>
      </c>
      <c r="H18" s="42" t="n">
        <f aca="false">IFERROR(IF($C18="","",IF($D18="","",IFERROR(ROUND($D18*INDEX('🔖 배합비 참조'!$B$2:$CE$83,MATCH("강낭콩((울타리콩))",'🔖 배합비 참조'!$A$2:$A$83,0),MATCH($C18,'🔖 배합비 참조'!$B$1:$CE$1,0))/100,0),""))),"")</f>
        <v>0</v>
      </c>
      <c r="I18" s="42" t="n">
        <f aca="false">IFERROR(IF($C18="","",IF($D18="","",IFERROR(ROUND($D18*INDEX('🔖 배합비 참조'!$B$2:$CE$83,MATCH("건조딸기다이스(외국산)",'🔖 배합비 참조'!$A$2:$A$83,0),MATCH($C18,'🔖 배합비 참조'!$B$1:$CE$1,0))/100,0),""))),"")</f>
        <v>0</v>
      </c>
      <c r="J18" s="42" t="n">
        <f aca="false">IFERROR(IF($C18="","",IF($D18="","",IFERROR(ROUND($D18*INDEX('🔖 배합비 참조'!$B$2:$CE$83,MATCH("건포도",'🔖 배합비 참조'!$A$2:$A$83,0),MATCH($C18,'🔖 배합비 참조'!$B$1:$CE$1,0))/100,0),""))),"")</f>
        <v>0</v>
      </c>
      <c r="K18" s="42" t="n">
        <f aca="false">IFERROR(IF($C18="","",IF($D18="","",IFERROR(ROUND($D18*INDEX('🔖 배합비 참조'!$B$2:$CE$83,MATCH("건호박채(중국산)",'🔖 배합비 참조'!$A$2:$A$83,0),MATCH($C18,'🔖 배합비 참조'!$B$1:$CE$1,0))/100,0),""))),"")</f>
        <v>0</v>
      </c>
      <c r="L18" s="42" t="n">
        <f aca="false">IFERROR(IF($C18="","",IF($D18="","",IFERROR(ROUND($D18*INDEX('🔖 배합비 참조'!$B$2:$CE$83,MATCH("검정깨(흑임자)",'🔖 배합비 참조'!$A$2:$A$83,0),MATCH($C18,'🔖 배합비 참조'!$B$1:$CE$1,0))/100,0),""))),"")</f>
        <v>0</v>
      </c>
      <c r="M18" s="42" t="n">
        <f aca="false">IFERROR(IF($C18="","",IF($D18="","",IFERROR(ROUND($D18*INDEX('🔖 배합비 참조'!$B$2:$CE$83,MATCH("검정콩",'🔖 배합비 참조'!$A$2:$A$83,0),MATCH($C18,'🔖 배합비 참조'!$B$1:$CE$1,0))/100,0),""))),"")</f>
        <v>0</v>
      </c>
      <c r="N18" s="42" t="n">
        <f aca="false">IFERROR(IF($C18="","",IF($D18="","",IFERROR(ROUND($D18*INDEX('🔖 배합비 참조'!$B$2:$CE$83,MATCH("계피가루",'🔖 배합비 참조'!$A$2:$A$83,0),MATCH($C18,'🔖 배합비 참조'!$B$1:$CE$1,0))/100,0),""))),"")</f>
        <v>0</v>
      </c>
      <c r="O18" s="42" t="n">
        <f aca="false">IFERROR(IF($C18="","",IF($D18="","",IFERROR(ROUND($D18*INDEX('🔖 배합비 참조'!$B$2:$CE$83,MATCH("고구마가루",'🔖 배합비 참조'!$A$2:$A$83,0),MATCH($C18,'🔖 배합비 참조'!$B$1:$CE$1,0))/100,0),""))),"")</f>
        <v>0</v>
      </c>
      <c r="P18" s="42" t="n">
        <f aca="false">IFERROR(IF($C18="","",IF($D18="","",IFERROR(ROUND($D18*INDEX('🔖 배합비 참조'!$B$2:$CE$83,MATCH("고구마무스",'🔖 배합비 참조'!$A$2:$A$83,0),MATCH($C18,'🔖 배합비 참조'!$B$1:$CE$1,0))/100,0),""))),"")</f>
        <v>0</v>
      </c>
      <c r="Q18" s="42" t="n">
        <f aca="false">IFERROR(IF($C18="","",IF($D18="","",IFERROR(ROUND($D18*INDEX('🔖 배합비 참조'!$B$2:$CE$83,MATCH("고려엉겅퀴((곤드레)국내산)",'🔖 배합비 참조'!$A$2:$A$83,0),MATCH($C18,'🔖 배합비 참조'!$B$1:$CE$1,0))/100,0),""))),"")</f>
        <v>0</v>
      </c>
      <c r="R18" s="42" t="n">
        <f aca="false">IFERROR(IF($C18="","",IF($D18="","",IFERROR(ROUND($D18*INDEX('🔖 배합비 참조'!$B$2:$CE$83,MATCH("기타가공품(복분자가루)",'🔖 배합비 참조'!$A$2:$A$83,0),MATCH($C18,'🔖 배합비 참조'!$B$1:$CE$1,0))/100,0),""))),"")</f>
        <v>0</v>
      </c>
      <c r="S18" s="42" t="n">
        <f aca="false">IFERROR(IF($C18="","",IF($D18="","",IFERROR(ROUND($D18*INDEX('🔖 배합비 참조'!$B$2:$CE$83,MATCH("기타가공품(슈퍼소프트엠)",'🔖 배합비 참조'!$A$2:$A$83,0),MATCH($C18,'🔖 배합비 참조'!$B$1:$CE$1,0))/100,0),""))),"")</f>
        <v>0</v>
      </c>
      <c r="T18" s="42" t="n">
        <f aca="false">IFERROR(IF($C18="","",IF($D18="","",IFERROR(ROUND($D18*INDEX('🔖 배합비 참조'!$B$2:$CE$83,MATCH("기타가공품(파인소프트 E-티)",'🔖 배합비 참조'!$A$2:$A$83,0),MATCH($C18,'🔖 배합비 참조'!$B$1:$CE$1,0))/100,0),""))),"")</f>
        <v>0</v>
      </c>
      <c r="U18" s="42" t="n">
        <f aca="false">IFERROR(IF($C18="","",IF($D18="","",IFERROR(ROUND($D18*INDEX('🔖 배합비 참조'!$B$2:$CE$83,MATCH("기타가공품(프리미엄카스테라가루)",'🔖 배합비 참조'!$A$2:$A$83,0),MATCH($C18,'🔖 배합비 참조'!$B$1:$CE$1,0))/100,0),""))),"")</f>
        <v>0</v>
      </c>
      <c r="V18" s="42" t="n">
        <f aca="false">IFERROR(IF($C18="","",IF($D18="","",IFERROR(ROUND($D18*INDEX('🔖 배합비 참조'!$B$2:$CE$83,MATCH("기타가공품(흑임자가루)",'🔖 배합비 참조'!$A$2:$A$83,0),MATCH($C18,'🔖 배합비 참조'!$B$1:$CE$1,0))/100,0),""))),"")</f>
        <v>0</v>
      </c>
      <c r="W18" s="42" t="n">
        <f aca="false">IFERROR(IF($C18="","",IF($D18="","",IFERROR(ROUND($D18*INDEX('🔖 배합비 참조'!$B$2:$CE$83,MATCH("기타설탕(흑설탕)",'🔖 배합비 참조'!$A$2:$A$83,0),MATCH($C18,'🔖 배합비 참조'!$B$1:$CE$1,0))/100,0),""))),"")</f>
        <v>0</v>
      </c>
      <c r="X18" s="42" t="n">
        <f aca="false">IFERROR(IF($C18="","",IF($D18="","",IFERROR(ROUND($D18*INDEX('🔖 배합비 참조'!$B$2:$CE$83,MATCH("냉동쑥(국내산)",'🔖 배합비 참조'!$A$2:$A$83,0),MATCH($C18,'🔖 배합비 참조'!$B$1:$CE$1,0))/100,0),""))),"")</f>
        <v>0</v>
      </c>
      <c r="Y18" s="42" t="n">
        <f aca="false">IFERROR(IF($C18="","",IF($D18="","",IFERROR(ROUND($D18*INDEX('🔖 배합비 참조'!$B$2:$CE$83,MATCH("냉동증숙고구마(중국산)",'🔖 배합비 참조'!$A$2:$A$83,0),MATCH($C18,'🔖 배합비 참조'!$B$1:$CE$1,0))/100,0),""))),"")</f>
        <v>0</v>
      </c>
      <c r="Z18" s="42" t="n">
        <f aca="false">IFERROR(IF($C18="","",IF($D18="","",IFERROR(ROUND($D18*INDEX('🔖 배합비 참조'!$B$2:$CE$83,MATCH("녹차가루",'🔖 배합비 참조'!$A$2:$A$83,0),MATCH($C18,'🔖 배합비 참조'!$B$1:$CE$1,0))/100,0),""))),"")</f>
        <v>0</v>
      </c>
      <c r="AA18" s="42" t="n">
        <f aca="false">IFERROR(IF($C18="","",IF($D18="","",IFERROR(ROUND($D18*INDEX('🔖 배합비 참조'!$B$2:$CE$83,MATCH("다크초콜릿 컴파운드칩",'🔖 배합비 참조'!$A$2:$A$83,0),MATCH($C18,'🔖 배합비 참조'!$B$1:$CE$1,0))/100,0),""))),"")</f>
        <v>0</v>
      </c>
      <c r="AB18" s="42" t="n">
        <f aca="false">IFERROR(IF($C18="","",IF($D18="","",IFERROR(ROUND($D18*INDEX('🔖 배합비 참조'!$B$2:$CE$83,MATCH("단호박분말(중국산)",'🔖 배합비 참조'!$A$2:$A$83,0),MATCH($C18,'🔖 배합비 참조'!$B$1:$CE$1,0))/100,0),""))),"")</f>
        <v>0</v>
      </c>
      <c r="AC18" s="42" t="n">
        <f aca="false">IFERROR(IF($C18="","",IF($D18="","",IFERROR(ROUND($D18*INDEX('🔖 배합비 참조'!$B$2:$CE$83,MATCH("당류가공품(단호박농축액)",'🔖 배합비 참조'!$A$2:$A$83,0),MATCH($C18,'🔖 배합비 참조'!$B$1:$CE$1,0))/100,0),""))),"")</f>
        <v>0</v>
      </c>
      <c r="AD18" s="42" t="n">
        <f aca="false">IFERROR(IF($C18="","",IF($D18="","",IFERROR(ROUND($D18*INDEX('🔖 배합비 참조'!$B$2:$CE$83,MATCH("당류가공품(알룰로스,에리스리톨,스테비올배당체혼합)",'🔖 배합비 참조'!$A$2:$A$83,0),MATCH($C18,'🔖 배합비 참조'!$B$1:$CE$1,0))/100,0),""))),"")</f>
        <v>0</v>
      </c>
      <c r="AE18" s="42" t="n">
        <f aca="false">IFERROR(IF($C18="","",IF($D18="","",IFERROR(ROUND($D18*INDEX('🔖 배합비 참조'!$B$2:$CE$83,MATCH("당류가공품(알룰로스제로파우더)",'🔖 배합비 참조'!$A$2:$A$83,0),MATCH($C18,'🔖 배합비 참조'!$B$1:$CE$1,0))/100,0),""))),"")</f>
        <v>0</v>
      </c>
      <c r="AF18" s="42" t="n">
        <f aca="false">IFERROR(IF($C18="","",IF($D18="","",IFERROR(ROUND($D18*INDEX('🔖 배합비 참조'!$B$2:$CE$83,MATCH("당절임(완두배기)",'🔖 배합비 참조'!$A$2:$A$83,0),MATCH($C18,'🔖 배합비 참조'!$B$1:$CE$1,0))/100,0),""))),"")</f>
        <v>0</v>
      </c>
      <c r="AG18" s="42" t="n">
        <f aca="false">IFERROR(IF($C18="","",IF($D18="","",IFERROR(ROUND($D18*INDEX('🔖 배합비 참조'!$B$2:$CE$83,MATCH("대추농축액",'🔖 배합비 참조'!$A$2:$A$83,0),MATCH($C18,'🔖 배합비 참조'!$B$1:$CE$1,0))/100,0),""))),"")</f>
        <v>0</v>
      </c>
      <c r="AH18" s="42" t="n">
        <f aca="false">IFERROR(IF($C18="","",IF($D18="","",IFERROR(ROUND($D18*INDEX('🔖 배합비 참조'!$B$2:$CE$83,MATCH("대추채(국내산)",'🔖 배합비 참조'!$A$2:$A$83,0),MATCH($C18,'🔖 배합비 참조'!$B$1:$CE$1,0))/100,0),""))),"")</f>
        <v>0</v>
      </c>
      <c r="AI18" s="42" t="n">
        <f aca="false">IFERROR(IF($C18="","",IF($D18="","",IFERROR(ROUND($D18*INDEX('🔖 배합비 참조'!$B$2:$CE$83,MATCH("동부(미얀마산)",'🔖 배합비 참조'!$A$2:$A$83,0),MATCH($C18,'🔖 배합비 참조'!$B$1:$CE$1,0))/100,0),""))),"")</f>
        <v>0</v>
      </c>
      <c r="AJ18" s="42" t="n">
        <f aca="false">IFERROR(IF($C18="","",IF($D18="","",IFERROR(ROUND($D18*INDEX('🔖 배합비 참조'!$B$2:$CE$83,MATCH("두류가공품(백옥앙금)",'🔖 배합비 참조'!$A$2:$A$83,0),MATCH($C18,'🔖 배합비 참조'!$B$1:$CE$1,0))/100,0),""))),"")</f>
        <v>0</v>
      </c>
      <c r="AK18" s="42" t="n">
        <f aca="false">IFERROR(IF($C18="","",IF($D18="","",IFERROR(ROUND($D18*INDEX('🔖 배합비 참조'!$B$2:$CE$83,MATCH("두류가공품(콩고물)",'🔖 배합비 참조'!$A$2:$A$83,0),MATCH($C18,'🔖 배합비 참조'!$B$1:$CE$1,0))/100,0),""))),"")</f>
        <v>2</v>
      </c>
      <c r="AL18" s="42" t="n">
        <f aca="false">IFERROR(IF($C18="","",IF($D18="","",IFERROR(ROUND($D18*INDEX('🔖 배합비 참조'!$B$2:$CE$83,MATCH("두류가공품(통팥고물)",'🔖 배합비 참조'!$A$2:$A$83,0),MATCH($C18,'🔖 배합비 참조'!$B$1:$CE$1,0))/100,0),""))),"")</f>
        <v>0</v>
      </c>
      <c r="AM18" s="42" t="n">
        <f aca="false">IFERROR(IF($C18="","",IF($D18="","",IFERROR(ROUND($D18*INDEX('🔖 배합비 참조'!$B$2:$CE$83,MATCH("딸기레진",'🔖 배합비 참조'!$A$2:$A$83,0),MATCH($C18,'🔖 배합비 참조'!$B$1:$CE$1,0))/100,0),""))),"")</f>
        <v>0</v>
      </c>
      <c r="AN18" s="42" t="n">
        <f aca="false">IFERROR(IF($C18="","",IF($D18="","",IFERROR(ROUND($D18*INDEX('🔖 배합비 참조'!$B$2:$CE$83,MATCH("딸기분말(스트로우베리에이드(분말))",'🔖 배합비 참조'!$A$2:$A$83,0),MATCH($C18,'🔖 배합비 참조'!$B$1:$CE$1,0))/100,0),""))),"")</f>
        <v>0</v>
      </c>
      <c r="AO18" s="42" t="n">
        <f aca="false">IFERROR(IF($C18="","",IF($D18="","",IFERROR(ROUND($D18*INDEX('🔖 배합비 참조'!$B$2:$CE$83,MATCH("마스카포네치즈",'🔖 배합비 참조'!$A$2:$A$83,0),MATCH($C18,'🔖 배합비 참조'!$B$1:$CE$1,0))/100,0),""))),"")</f>
        <v>0</v>
      </c>
      <c r="AP18" s="42" t="n">
        <f aca="false">IFERROR(IF($C18="","",IF($D18="","",IFERROR(ROUND($D18*INDEX('🔖 배합비 참조'!$B$2:$CE$83,MATCH("마카다미아분태(호주산)",'🔖 배합비 참조'!$A$2:$A$83,0),MATCH($C18,'🔖 배합비 참조'!$B$1:$CE$1,0))/100,0),""))),"")</f>
        <v>0</v>
      </c>
      <c r="AQ18" s="42" t="n">
        <f aca="false">IFERROR(IF($C18="","",IF($D18="","",IFERROR(ROUND($D18*INDEX('🔖 배합비 참조'!$B$2:$CE$83,MATCH("멥쌀(국내산)",'🔖 배합비 참조'!$A$2:$A$83,0),MATCH($C18,'🔖 배합비 참조'!$B$1:$CE$1,0))/100,0),""))),"")</f>
        <v>0</v>
      </c>
      <c r="AR18" s="42" t="n">
        <f aca="false">IFERROR(IF($C18="","",IF($D18="","",IFERROR(ROUND($D18*INDEX('🔖 배합비 참조'!$B$2:$CE$83,MATCH("모시잎(국내산)",'🔖 배합비 참조'!$A$2:$A$83,0),MATCH($C18,'🔖 배합비 참조'!$B$1:$CE$1,0))/100,0),""))),"")</f>
        <v>0</v>
      </c>
      <c r="AS18" s="42" t="n">
        <f aca="false">IFERROR(IF($C18="","",IF($D18="","",IFERROR(ROUND($D18*INDEX('🔖 배합비 참조'!$B$2:$CE$83,MATCH("물엿(저당물엿)",'🔖 배합비 참조'!$A$2:$A$83,0),MATCH($C18,'🔖 배합비 참조'!$B$1:$CE$1,0))/100,0),""))),"")</f>
        <v>3</v>
      </c>
      <c r="AT18" s="42" t="n">
        <f aca="false">IFERROR(IF($C18="","",IF($D18="","",IFERROR(ROUND($D18*INDEX('🔖 배합비 참조'!$B$2:$CE$83,MATCH("밤다이스",'🔖 배합비 참조'!$A$2:$A$83,0),MATCH($C18,'🔖 배합비 참조'!$B$1:$CE$1,0))/100,0),""))),"")</f>
        <v>0</v>
      </c>
      <c r="AU18" s="42" t="n">
        <f aca="false">IFERROR(IF($C18="","",IF($D18="","",IFERROR(ROUND($D18*INDEX('🔖 배합비 참조'!$B$2:$CE$83,MATCH("변성전분(타피오카전분)",'🔖 배합비 참조'!$A$2:$A$83,0),MATCH($C18,'🔖 배합비 참조'!$B$1:$CE$1,0))/100,0),""))),"")</f>
        <v>0</v>
      </c>
      <c r="AV18" s="42" t="n">
        <f aca="false">IFERROR(IF($C18="","",IF($D18="","",IFERROR(ROUND($D18*INDEX('🔖 배합비 참조'!$B$2:$CE$83,MATCH("복음땅콩분태",'🔖 배합비 참조'!$A$2:$A$83,0),MATCH($C18,'🔖 배합비 참조'!$B$1:$CE$1,0))/100,0),""))),"")</f>
        <v>0</v>
      </c>
      <c r="AW18" s="42" t="n">
        <f aca="false">IFERROR(IF($C18="","",IF($D18="","",IFERROR(ROUND($D18*INDEX('🔖 배합비 참조'!$B$2:$CE$83,MATCH("사양벌꿀(국내산)",'🔖 배합비 참조'!$A$2:$A$83,0),MATCH($C18,'🔖 배합비 참조'!$B$1:$CE$1,0))/100,0),""))),"")</f>
        <v>0</v>
      </c>
      <c r="AX18" s="42" t="n">
        <f aca="false">IFERROR(IF($C18="","",IF($D18="","",IFERROR(ROUND($D18*INDEX('🔖 배합비 참조'!$B$2:$CE$83,MATCH("생크림",'🔖 배합비 참조'!$A$2:$A$83,0),MATCH($C18,'🔖 배합비 참조'!$B$1:$CE$1,0))/100,0),""))),"")</f>
        <v>0</v>
      </c>
      <c r="AY18" s="42" t="n">
        <f aca="false">IFERROR(IF($C18="","",IF($D18="","",IFERROR(ROUND($D18*INDEX('🔖 배합비 참조'!$B$2:$CE$83,MATCH("서양호박(국내산,뉴질랜드산)",'🔖 배합비 참조'!$A$2:$A$83,0),MATCH($C18,'🔖 배합비 참조'!$B$1:$CE$1,0))/100,0),""))),"")</f>
        <v>0</v>
      </c>
      <c r="AZ18" s="42" t="n">
        <f aca="false">IFERROR(IF($C18="","",IF($D18="","",IFERROR(ROUND($D18*INDEX('🔖 배합비 참조'!$B$2:$CE$83,MATCH("설탕",'🔖 배합비 참조'!$A$2:$A$83,0),MATCH($C18,'🔖 배합비 참조'!$B$1:$CE$1,0))/100,0),""))),"")</f>
        <v>3</v>
      </c>
      <c r="BA18" s="42" t="n">
        <f aca="false">IFERROR(IF($C18="","",IF($D18="","",IFERROR(ROUND($D18*INDEX('🔖 배합비 참조'!$B$2:$CE$83,MATCH("스트로우베리 에이드 후레쉬",'🔖 배합비 참조'!$A$2:$A$83,0),MATCH($C18,'🔖 배합비 참조'!$B$1:$CE$1,0))/100,0),""))),"")</f>
        <v>0</v>
      </c>
      <c r="BB18" s="42" t="n">
        <f aca="false">IFERROR(IF($C18="","",IF($D18="","",IFERROR(ROUND($D18*INDEX('🔖 배합비 참조'!$B$2:$CE$83,MATCH("식물성기름혼합제제(분홍)",'🔖 배합비 참조'!$A$2:$A$83,0),MATCH($C18,'🔖 배합비 참조'!$B$1:$CE$1,0))/100,0),""))),"")</f>
        <v>0</v>
      </c>
      <c r="BC18" s="42" t="n">
        <f aca="false">IFERROR(IF($C18="","",IF($D18="","",IFERROR(ROUND($D18*INDEX('🔖 배합비 참조'!$B$2:$CE$83,MATCH("식물성기름혼합제제(초록)",'🔖 배합비 참조'!$A$2:$A$83,0),MATCH($C18,'🔖 배합비 참조'!$B$1:$CE$1,0))/100,0),""))),"")</f>
        <v>0</v>
      </c>
      <c r="BD18" s="42" t="n">
        <f aca="false">IFERROR(IF($C18="","",IF($D18="","",IFERROR(ROUND($D18*INDEX('🔖 배합비 참조'!$B$2:$CE$83,MATCH("식물성기름혼합제제(황색)",'🔖 배합비 참조'!$A$2:$A$83,0),MATCH($C18,'🔖 배합비 참조'!$B$1:$CE$1,0))/100,0),""))),"")</f>
        <v>0</v>
      </c>
      <c r="BE18" s="42" t="n">
        <f aca="false">IFERROR(IF($C18="","",IF($D18="","",IFERROR(ROUND($D18*INDEX('🔖 배합비 참조'!$B$2:$CE$83,MATCH("쑥가루(국내산)",'🔖 배합비 참조'!$A$2:$A$83,0),MATCH($C18,'🔖 배합비 참조'!$B$1:$CE$1,0))/100,0),""))),"")</f>
        <v>0</v>
      </c>
      <c r="BF18" s="42" t="n">
        <f aca="false">IFERROR(IF($C18="","",IF($D18="","",IFERROR(ROUND($D18*INDEX('🔖 배합비 참조'!$B$2:$CE$83,MATCH("아몬드슬라이스",'🔖 배합비 참조'!$A$2:$A$83,0),MATCH($C18,'🔖 배합비 참조'!$B$1:$CE$1,0))/100,0),""))),"")</f>
        <v>0</v>
      </c>
      <c r="BG18" s="42" t="n">
        <f aca="false">IFERROR(IF($C18="","",IF($D18="","",IFERROR(ROUND($D18*INDEX('🔖 배합비 참조'!$B$2:$CE$83,MATCH("알룰로오스(국내산)",'🔖 배합비 참조'!$A$2:$A$83,0),MATCH($C18,'🔖 배합비 참조'!$B$1:$CE$1,0))/100,0),""))),"")</f>
        <v>0</v>
      </c>
      <c r="BH18" s="42" t="n">
        <f aca="false">IFERROR(IF($C18="","",IF($D18="","",IFERROR(ROUND($D18*INDEX('🔖 배합비 참조'!$B$2:$CE$83,MATCH("연유",'🔖 배합비 참조'!$A$2:$A$83,0),MATCH($C18,'🔖 배합비 참조'!$B$1:$CE$1,0))/100,0),""))),"")</f>
        <v>0</v>
      </c>
      <c r="BI18" s="42" t="n">
        <f aca="false">IFERROR(IF($C18="","",IF($D18="","",IFERROR(ROUND($D18*INDEX('🔖 배합비 참조'!$B$2:$CE$83,MATCH("옥수수전분",'🔖 배합비 참조'!$A$2:$A$83,0),MATCH($C18,'🔖 배합비 참조'!$B$1:$CE$1,0))/100,0),""))),"")</f>
        <v>0</v>
      </c>
      <c r="BJ18" s="42" t="n">
        <f aca="false">IFERROR(IF($C18="","",IF($D18="","",IFERROR(ROUND($D18*INDEX('🔖 배합비 참조'!$B$2:$CE$83,MATCH("완두배기",'🔖 배합비 참조'!$A$2:$A$83,0),MATCH($C18,'🔖 배합비 참조'!$B$1:$CE$1,0))/100,0),""))),"")</f>
        <v>0</v>
      </c>
      <c r="BK18" s="42" t="n">
        <f aca="false">IFERROR(IF($C18="","",IF($D18="","",IFERROR(ROUND($D18*INDEX('🔖 배합비 참조'!$B$2:$CE$83,MATCH("우유(국내산)",'🔖 배합비 참조'!$A$2:$A$83,0),MATCH($C18,'🔖 배합비 참조'!$B$1:$CE$1,0))/100,0),""))),"")</f>
        <v>0</v>
      </c>
      <c r="BL18" s="42" t="n">
        <f aca="false">IFERROR(IF($C18="","",IF($D18="","",IFERROR(ROUND($D18*INDEX('🔖 배합비 참조'!$B$2:$CE$83,MATCH("자색고구마가루(중국산)",'🔖 배합비 참조'!$A$2:$A$83,0),MATCH($C18,'🔖 배합비 참조'!$B$1:$CE$1,0))/100,0),""))),"")</f>
        <v>0</v>
      </c>
      <c r="BM18" s="42" t="n">
        <f aca="false">IFERROR(IF($C18="","",IF($D18="","",IFERROR(ROUND($D18*INDEX('🔖 배합비 참조'!$B$2:$CE$83,MATCH("자연치즈(체다치즈)",'🔖 배합비 참조'!$A$2:$A$83,0),MATCH($C18,'🔖 배합비 참조'!$B$1:$CE$1,0))/100,0),""))),"")</f>
        <v>0</v>
      </c>
      <c r="BN18" s="42" t="n">
        <f aca="false">IFERROR(IF($C18="","",IF($D18="","",IFERROR(ROUND($D18*INDEX('🔖 배합비 참조'!$B$2:$CE$83,MATCH("정제수",'🔖 배합비 참조'!$A$2:$A$83,0),MATCH($C18,'🔖 배합비 참조'!$B$1:$CE$1,0))/100,0),""))),"")</f>
        <v>27</v>
      </c>
      <c r="BO18" s="42" t="n">
        <f aca="false">IFERROR(IF($C18="","",IF($D18="","",IFERROR(ROUND($D18*INDEX('🔖 배합비 참조'!$B$2:$CE$83,MATCH("젤라틴",'🔖 배합비 참조'!$A$2:$A$83,0),MATCH($C18,'🔖 배합비 참조'!$B$1:$CE$1,0))/100,0),""))),"")</f>
        <v>0</v>
      </c>
      <c r="BP18" s="42" t="n">
        <f aca="false">IFERROR(IF($C18="","",IF($D18="","",IFERROR(ROUND($D18*INDEX('🔖 배합비 참조'!$B$2:$CE$83,MATCH("조림류(백옥앙금)",'🔖 배합비 참조'!$A$2:$A$83,0),MATCH($C18,'🔖 배합비 참조'!$B$1:$CE$1,0))/100,0),""))),"")</f>
        <v>0</v>
      </c>
      <c r="BQ18" s="42" t="n">
        <f aca="false">IFERROR(IF($C18="","",IF($D18="","",IFERROR(ROUND($D18*INDEX('🔖 배합비 참조'!$B$2:$CE$83,MATCH("조림류(통팥앙금)",'🔖 배합비 참조'!$A$2:$A$83,0),MATCH($C18,'🔖 배합비 참조'!$B$1:$CE$1,0))/100,0),""))),"")</f>
        <v>0</v>
      </c>
      <c r="BR18" s="42" t="n">
        <f aca="false">IFERROR(IF($C18="","",IF($D18="","",IFERROR(ROUND($D18*INDEX('🔖 배합비 참조'!$B$2:$CE$83,MATCH("준초콜릿(외국산)",'🔖 배합비 참조'!$A$2:$A$83,0),MATCH($C18,'🔖 배합비 참조'!$B$1:$CE$1,0))/100,0),""))),"")</f>
        <v>0</v>
      </c>
      <c r="BS18" s="42" t="n">
        <f aca="false">IFERROR(IF($C18="","",IF($D18="","",IFERROR(ROUND($D18*INDEX('🔖 배합비 참조'!$B$2:$CE$83,MATCH("중력분",'🔖 배합비 참조'!$A$2:$A$83,0),MATCH($C18,'🔖 배합비 참조'!$B$1:$CE$1,0))/100,0),""))),"")</f>
        <v>1</v>
      </c>
      <c r="BT18" s="42" t="n">
        <f aca="false">IFERROR(IF($C18="","",IF($D18="","",IFERROR(ROUND($D18*INDEX('🔖 배합비 참조'!$B$2:$CE$83,MATCH("참깨(인도산,나이지리아산,탄자니아산,미얀마산)",'🔖 배합비 참조'!$A$2:$A$83,0),MATCH($C18,'🔖 배합비 참조'!$B$1:$CE$1,0))/100,0),""))),"")</f>
        <v>0</v>
      </c>
      <c r="BU18" s="42" t="n">
        <f aca="false">IFERROR(IF($C18="","",IF($D18="","",IFERROR(ROUND($D18*INDEX('🔖 배합비 참조'!$B$2:$CE$83,MATCH("찹쌀(국내산)",'🔖 배합비 참조'!$A$2:$A$83,0),MATCH($C18,'🔖 배합비 참조'!$B$1:$CE$1,0))/100,0),""))),"")</f>
        <v>33</v>
      </c>
      <c r="BV18" s="42" t="n">
        <f aca="false">IFERROR(IF($C18="","",IF($D18="","",IFERROR(ROUND($D18*INDEX('🔖 배합비 참조'!$B$2:$CE$83,MATCH("천일염",'🔖 배합비 참조'!$A$2:$A$83,0),MATCH($C18,'🔖 배합비 참조'!$B$1:$CE$1,0))/100,0),""))),"")</f>
        <v>1</v>
      </c>
      <c r="BW18" s="42" t="n">
        <f aca="false">IFERROR(IF($C18="","",IF($D18="","",IFERROR(ROUND($D18*INDEX('🔖 배합비 참조'!$B$2:$CE$83,MATCH("치즈 [크림치즈]",'🔖 배합비 참조'!$A$2:$A$83,0),MATCH($C18,'🔖 배합비 참조'!$B$1:$CE$1,0))/100,0),""))),"")</f>
        <v>0</v>
      </c>
      <c r="BX18" s="42" t="n">
        <f aca="false">IFERROR(IF($C18="","",IF($D18="","",IFERROR(ROUND($D18*INDEX('🔖 배합비 참조'!$B$2:$CE$83,MATCH("코코아가공품류(코코아분말)",'🔖 배합비 참조'!$A$2:$A$83,0),MATCH($C18,'🔖 배합비 참조'!$B$1:$CE$1,0))/100,0),""))),"")</f>
        <v>0</v>
      </c>
      <c r="BY18" s="42" t="n">
        <f aca="false">IFERROR(IF($C18="","",IF($D18="","",IFERROR(ROUND($D18*INDEX('🔖 배합비 참조'!$B$2:$CE$83,MATCH("콩기름(대두유)",'🔖 배합비 참조'!$A$2:$A$83,0),MATCH($C18,'🔖 배합비 참조'!$B$1:$CE$1,0))/100,0),""))),"")</f>
        <v>0</v>
      </c>
      <c r="BZ18" s="42" t="n">
        <f aca="false">IFERROR(IF($C18="","",IF($D18="","",IFERROR(ROUND($D18*INDEX('🔖 배합비 참조'!$B$2:$CE$83,MATCH("해바라기씨앗",'🔖 배합비 참조'!$A$2:$A$83,0),MATCH($C18,'🔖 배합비 참조'!$B$1:$CE$1,0))/100,0),""))),"")</f>
        <v>0</v>
      </c>
      <c r="CA18" s="42" t="n">
        <f aca="false">IFERROR(IF($C18="","",IF($D18="","",IFERROR(ROUND($D18*INDEX('🔖 배합비 참조'!$B$2:$CE$83,MATCH("현미(국내산)",'🔖 배합비 참조'!$A$2:$A$83,0),MATCH($C18,'🔖 배합비 참조'!$B$1:$CE$1,0))/100,0),""))),"")</f>
        <v>0</v>
      </c>
      <c r="CB18" s="42" t="n">
        <f aca="false">IFERROR(IF($C18="","",IF($D18="","",IFERROR(ROUND($D18*INDEX('🔖 배합비 참조'!$B$2:$CE$83,MATCH("현미멥쌀(국내산)",'🔖 배합비 참조'!$A$2:$A$83,0),MATCH($C18,'🔖 배합비 참조'!$B$1:$CE$1,0))/100,0),""))),"")</f>
        <v>0</v>
      </c>
      <c r="CC18" s="42" t="n">
        <f aca="false">IFERROR(IF($C18="","",IF($D18="","",IFERROR(ROUND($D18*INDEX('🔖 배합비 참조'!$B$2:$CE$83,MATCH("호두분태(미국산)",'🔖 배합비 참조'!$A$2:$A$83,0),MATCH($C18,'🔖 배합비 참조'!$B$1:$CE$1,0))/100,0),""))),"")</f>
        <v>0</v>
      </c>
      <c r="CD18" s="42" t="n">
        <f aca="false">IFERROR(IF($C18="","",IF($D18="","",IFERROR(ROUND($D18*INDEX('🔖 배합비 참조'!$B$2:$CE$83,MATCH("호박씨앗(외국산)",'🔖 배합비 참조'!$A$2:$A$83,0),MATCH($C18,'🔖 배합비 참조'!$B$1:$CE$1,0))/100,0),""))),"")</f>
        <v>0</v>
      </c>
      <c r="CE18" s="42" t="n">
        <f aca="false">IFERROR(IF($C18="","",IF($D18="","",IFERROR(ROUND($D18*INDEX('🔖 배합비 참조'!$B$2:$CE$83,MATCH("혼합제제(떡용에스텔)",'🔖 배합비 참조'!$A$2:$A$83,0),MATCH($C18,'🔖 배합비 참조'!$B$1:$CE$1,0))/100,0),""))),"")</f>
        <v>0</v>
      </c>
      <c r="CF18" s="42" t="n">
        <f aca="false">IFERROR(IF($C18="","",IF($D18="","",IFERROR(ROUND($D18*INDEX('🔖 배합비 참조'!$B$2:$CE$83,MATCH("혼합제제(스테비아)",'🔖 배합비 참조'!$A$2:$A$83,0),MATCH($C18,'🔖 배합비 참조'!$B$1:$CE$1,0))/100,0),""))),"")</f>
        <v>0</v>
      </c>
      <c r="CG18" s="42" t="n">
        <f aca="false">IFERROR(IF($C18="","",IF($D18="","",IFERROR(ROUND($D18*INDEX('🔖 배합비 참조'!$B$2:$CE$83,MATCH("화이트초콜릿",'🔖 배합비 참조'!$A$2:$A$83,0),MATCH($C18,'🔖 배합비 참조'!$B$1:$CE$1,0))/100,0),""))),"")</f>
        <v>0</v>
      </c>
      <c r="CH18" s="42" t="n">
        <f aca="false">IFERROR(IF($C18="","",IF($D18="","",IFERROR(ROUND($D18*INDEX('🔖 배합비 참조'!$B$2:$CE$83,MATCH("흑미찹쌀(국내산)",'🔖 배합비 참조'!$A$2:$A$83,0),MATCH($C18,'🔖 배합비 참조'!$B$1:$CE$1,0))/100,0),""))),"")</f>
        <v>0</v>
      </c>
      <c r="CI18" s="42" t="n">
        <f aca="false">IFERROR(IF($C18="","",IF($D18="","",IFERROR(ROUND($D18*INDEX('🔖 배합비 참조'!$B$2:$CE$83,MATCH("찰옥수수전분(미국산)",'🔖 배합비 참조'!$A$2:$A$83,0),MATCH($C18,'🔖 배합비 참조'!$B$1:$CE$1,0))/100,0),""))),"")</f>
        <v>0</v>
      </c>
      <c r="CJ18" s="40"/>
      <c r="CL18" s="1" t="s">
        <v>235</v>
      </c>
    </row>
    <row r="19" customFormat="false" ht="18" hidden="false" customHeight="true" outlineLevel="0" collapsed="false">
      <c r="A19" s="35" t="n">
        <v>15</v>
      </c>
      <c r="B19" s="36" t="n">
        <v>45950</v>
      </c>
      <c r="C19" s="37" t="s">
        <v>155</v>
      </c>
      <c r="D19" s="38" t="n">
        <v>140</v>
      </c>
      <c r="E19" s="13"/>
      <c r="F19" s="13"/>
      <c r="G19" s="39" t="n">
        <f aca="false">IFERROR(IF($C19="","",IF($D19="","",IFERROR(ROUND($D19*INDEX('🔖 배합비 참조'!$B$2:$CE$83,MATCH("간장",'🔖 배합비 참조'!$A$2:$A$83,0),MATCH($C19,'🔖 배합비 참조'!$B$1:$CE$1,0))/100,0),""))),"")</f>
        <v>0</v>
      </c>
      <c r="H19" s="39" t="n">
        <f aca="false">IFERROR(IF($C19="","",IF($D19="","",IFERROR(ROUND($D19*INDEX('🔖 배합비 참조'!$B$2:$CE$83,MATCH("강낭콩((울타리콩))",'🔖 배합비 참조'!$A$2:$A$83,0),MATCH($C19,'🔖 배합비 참조'!$B$1:$CE$1,0))/100,0),""))),"")</f>
        <v>0</v>
      </c>
      <c r="I19" s="39" t="n">
        <f aca="false">IFERROR(IF($C19="","",IF($D19="","",IFERROR(ROUND($D19*INDEX('🔖 배합비 참조'!$B$2:$CE$83,MATCH("건조딸기다이스(외국산)",'🔖 배합비 참조'!$A$2:$A$83,0),MATCH($C19,'🔖 배합비 참조'!$B$1:$CE$1,0))/100,0),""))),"")</f>
        <v>0</v>
      </c>
      <c r="J19" s="39" t="n">
        <f aca="false">IFERROR(IF($C19="","",IF($D19="","",IFERROR(ROUND($D19*INDEX('🔖 배합비 참조'!$B$2:$CE$83,MATCH("건포도",'🔖 배합비 참조'!$A$2:$A$83,0),MATCH($C19,'🔖 배합비 참조'!$B$1:$CE$1,0))/100,0),""))),"")</f>
        <v>0</v>
      </c>
      <c r="K19" s="39" t="n">
        <f aca="false">IFERROR(IF($C19="","",IF($D19="","",IFERROR(ROUND($D19*INDEX('🔖 배합비 참조'!$B$2:$CE$83,MATCH("건호박채(중국산)",'🔖 배합비 참조'!$A$2:$A$83,0),MATCH($C19,'🔖 배합비 참조'!$B$1:$CE$1,0))/100,0),""))),"")</f>
        <v>0</v>
      </c>
      <c r="L19" s="39" t="n">
        <f aca="false">IFERROR(IF($C19="","",IF($D19="","",IFERROR(ROUND($D19*INDEX('🔖 배합비 참조'!$B$2:$CE$83,MATCH("검정깨(흑임자)",'🔖 배합비 참조'!$A$2:$A$83,0),MATCH($C19,'🔖 배합비 참조'!$B$1:$CE$1,0))/100,0),""))),"")</f>
        <v>0</v>
      </c>
      <c r="M19" s="39" t="n">
        <f aca="false">IFERROR(IF($C19="","",IF($D19="","",IFERROR(ROUND($D19*INDEX('🔖 배합비 참조'!$B$2:$CE$83,MATCH("검정콩",'🔖 배합비 참조'!$A$2:$A$83,0),MATCH($C19,'🔖 배합비 참조'!$B$1:$CE$1,0))/100,0),""))),"")</f>
        <v>0</v>
      </c>
      <c r="N19" s="39" t="n">
        <f aca="false">IFERROR(IF($C19="","",IF($D19="","",IFERROR(ROUND($D19*INDEX('🔖 배합비 참조'!$B$2:$CE$83,MATCH("계피가루",'🔖 배합비 참조'!$A$2:$A$83,0),MATCH($C19,'🔖 배합비 참조'!$B$1:$CE$1,0))/100,0),""))),"")</f>
        <v>0</v>
      </c>
      <c r="O19" s="39" t="n">
        <f aca="false">IFERROR(IF($C19="","",IF($D19="","",IFERROR(ROUND($D19*INDEX('🔖 배합비 참조'!$B$2:$CE$83,MATCH("고구마가루",'🔖 배합비 참조'!$A$2:$A$83,0),MATCH($C19,'🔖 배합비 참조'!$B$1:$CE$1,0))/100,0),""))),"")</f>
        <v>0</v>
      </c>
      <c r="P19" s="39" t="n">
        <f aca="false">IFERROR(IF($C19="","",IF($D19="","",IFERROR(ROUND($D19*INDEX('🔖 배합비 참조'!$B$2:$CE$83,MATCH("고구마무스",'🔖 배합비 참조'!$A$2:$A$83,0),MATCH($C19,'🔖 배합비 참조'!$B$1:$CE$1,0))/100,0),""))),"")</f>
        <v>0</v>
      </c>
      <c r="Q19" s="39" t="n">
        <f aca="false">IFERROR(IF($C19="","",IF($D19="","",IFERROR(ROUND($D19*INDEX('🔖 배합비 참조'!$B$2:$CE$83,MATCH("고려엉겅퀴((곤드레)국내산)",'🔖 배합비 참조'!$A$2:$A$83,0),MATCH($C19,'🔖 배합비 참조'!$B$1:$CE$1,0))/100,0),""))),"")</f>
        <v>0</v>
      </c>
      <c r="R19" s="39" t="n">
        <f aca="false">IFERROR(IF($C19="","",IF($D19="","",IFERROR(ROUND($D19*INDEX('🔖 배합비 참조'!$B$2:$CE$83,MATCH("기타가공품(복분자가루)",'🔖 배합비 참조'!$A$2:$A$83,0),MATCH($C19,'🔖 배합비 참조'!$B$1:$CE$1,0))/100,0),""))),"")</f>
        <v>0</v>
      </c>
      <c r="S19" s="39" t="n">
        <f aca="false">IFERROR(IF($C19="","",IF($D19="","",IFERROR(ROUND($D19*INDEX('🔖 배합비 참조'!$B$2:$CE$83,MATCH("기타가공품(슈퍼소프트엠)",'🔖 배합비 참조'!$A$2:$A$83,0),MATCH($C19,'🔖 배합비 참조'!$B$1:$CE$1,0))/100,0),""))),"")</f>
        <v>0</v>
      </c>
      <c r="T19" s="39" t="n">
        <f aca="false">IFERROR(IF($C19="","",IF($D19="","",IFERROR(ROUND($D19*INDEX('🔖 배합비 참조'!$B$2:$CE$83,MATCH("기타가공품(파인소프트 E-티)",'🔖 배합비 참조'!$A$2:$A$83,0),MATCH($C19,'🔖 배합비 참조'!$B$1:$CE$1,0))/100,0),""))),"")</f>
        <v>0</v>
      </c>
      <c r="U19" s="39" t="n">
        <f aca="false">IFERROR(IF($C19="","",IF($D19="","",IFERROR(ROUND($D19*INDEX('🔖 배합비 참조'!$B$2:$CE$83,MATCH("기타가공품(프리미엄카스테라가루)",'🔖 배합비 참조'!$A$2:$A$83,0),MATCH($C19,'🔖 배합비 참조'!$B$1:$CE$1,0))/100,0),""))),"")</f>
        <v>0</v>
      </c>
      <c r="V19" s="39" t="n">
        <f aca="false">IFERROR(IF($C19="","",IF($D19="","",IFERROR(ROUND($D19*INDEX('🔖 배합비 참조'!$B$2:$CE$83,MATCH("기타가공품(흑임자가루)",'🔖 배합비 참조'!$A$2:$A$83,0),MATCH($C19,'🔖 배합비 참조'!$B$1:$CE$1,0))/100,0),""))),"")</f>
        <v>0</v>
      </c>
      <c r="W19" s="39" t="n">
        <f aca="false">IFERROR(IF($C19="","",IF($D19="","",IFERROR(ROUND($D19*INDEX('🔖 배합비 참조'!$B$2:$CE$83,MATCH("기타설탕(흑설탕)",'🔖 배합비 참조'!$A$2:$A$83,0),MATCH($C19,'🔖 배합비 참조'!$B$1:$CE$1,0))/100,0),""))),"")</f>
        <v>0</v>
      </c>
      <c r="X19" s="39" t="n">
        <f aca="false">IFERROR(IF($C19="","",IF($D19="","",IFERROR(ROUND($D19*INDEX('🔖 배합비 참조'!$B$2:$CE$83,MATCH("냉동쑥(국내산)",'🔖 배합비 참조'!$A$2:$A$83,0),MATCH($C19,'🔖 배합비 참조'!$B$1:$CE$1,0))/100,0),""))),"")</f>
        <v>0</v>
      </c>
      <c r="Y19" s="39" t="n">
        <f aca="false">IFERROR(IF($C19="","",IF($D19="","",IFERROR(ROUND($D19*INDEX('🔖 배합비 참조'!$B$2:$CE$83,MATCH("냉동증숙고구마(중국산)",'🔖 배합비 참조'!$A$2:$A$83,0),MATCH($C19,'🔖 배합비 참조'!$B$1:$CE$1,0))/100,0),""))),"")</f>
        <v>0</v>
      </c>
      <c r="Z19" s="39" t="n">
        <f aca="false">IFERROR(IF($C19="","",IF($D19="","",IFERROR(ROUND($D19*INDEX('🔖 배합비 참조'!$B$2:$CE$83,MATCH("녹차가루",'🔖 배합비 참조'!$A$2:$A$83,0),MATCH($C19,'🔖 배합비 참조'!$B$1:$CE$1,0))/100,0),""))),"")</f>
        <v>0</v>
      </c>
      <c r="AA19" s="39" t="n">
        <f aca="false">IFERROR(IF($C19="","",IF($D19="","",IFERROR(ROUND($D19*INDEX('🔖 배합비 참조'!$B$2:$CE$83,MATCH("다크초콜릿 컴파운드칩",'🔖 배합비 참조'!$A$2:$A$83,0),MATCH($C19,'🔖 배합비 참조'!$B$1:$CE$1,0))/100,0),""))),"")</f>
        <v>0</v>
      </c>
      <c r="AB19" s="39" t="n">
        <f aca="false">IFERROR(IF($C19="","",IF($D19="","",IFERROR(ROUND($D19*INDEX('🔖 배합비 참조'!$B$2:$CE$83,MATCH("단호박분말(중국산)",'🔖 배합비 참조'!$A$2:$A$83,0),MATCH($C19,'🔖 배합비 참조'!$B$1:$CE$1,0))/100,0),""))),"")</f>
        <v>0</v>
      </c>
      <c r="AC19" s="39" t="n">
        <f aca="false">IFERROR(IF($C19="","",IF($D19="","",IFERROR(ROUND($D19*INDEX('🔖 배합비 참조'!$B$2:$CE$83,MATCH("당류가공품(단호박농축액)",'🔖 배합비 참조'!$A$2:$A$83,0),MATCH($C19,'🔖 배합비 참조'!$B$1:$CE$1,0))/100,0),""))),"")</f>
        <v>0</v>
      </c>
      <c r="AD19" s="39" t="n">
        <f aca="false">IFERROR(IF($C19="","",IF($D19="","",IFERROR(ROUND($D19*INDEX('🔖 배합비 참조'!$B$2:$CE$83,MATCH("당류가공품(알룰로스,에리스리톨,스테비올배당체혼합)",'🔖 배합비 참조'!$A$2:$A$83,0),MATCH($C19,'🔖 배합비 참조'!$B$1:$CE$1,0))/100,0),""))),"")</f>
        <v>0</v>
      </c>
      <c r="AE19" s="39" t="n">
        <f aca="false">IFERROR(IF($C19="","",IF($D19="","",IFERROR(ROUND($D19*INDEX('🔖 배합비 참조'!$B$2:$CE$83,MATCH("당류가공품(알룰로스제로파우더)",'🔖 배합비 참조'!$A$2:$A$83,0),MATCH($C19,'🔖 배합비 참조'!$B$1:$CE$1,0))/100,0),""))),"")</f>
        <v>0</v>
      </c>
      <c r="AF19" s="39" t="n">
        <f aca="false">IFERROR(IF($C19="","",IF($D19="","",IFERROR(ROUND($D19*INDEX('🔖 배합비 참조'!$B$2:$CE$83,MATCH("당절임(완두배기)",'🔖 배합비 참조'!$A$2:$A$83,0),MATCH($C19,'🔖 배합비 참조'!$B$1:$CE$1,0))/100,0),""))),"")</f>
        <v>0</v>
      </c>
      <c r="AG19" s="39" t="n">
        <f aca="false">IFERROR(IF($C19="","",IF($D19="","",IFERROR(ROUND($D19*INDEX('🔖 배합비 참조'!$B$2:$CE$83,MATCH("대추농축액",'🔖 배합비 참조'!$A$2:$A$83,0),MATCH($C19,'🔖 배합비 참조'!$B$1:$CE$1,0))/100,0),""))),"")</f>
        <v>0</v>
      </c>
      <c r="AH19" s="39" t="n">
        <f aca="false">IFERROR(IF($C19="","",IF($D19="","",IFERROR(ROUND($D19*INDEX('🔖 배합비 참조'!$B$2:$CE$83,MATCH("대추채(국내산)",'🔖 배합비 참조'!$A$2:$A$83,0),MATCH($C19,'🔖 배합비 참조'!$B$1:$CE$1,0))/100,0),""))),"")</f>
        <v>0</v>
      </c>
      <c r="AI19" s="39" t="n">
        <f aca="false">IFERROR(IF($C19="","",IF($D19="","",IFERROR(ROUND($D19*INDEX('🔖 배합비 참조'!$B$2:$CE$83,MATCH("동부(미얀마산)",'🔖 배합비 참조'!$A$2:$A$83,0),MATCH($C19,'🔖 배합비 참조'!$B$1:$CE$1,0))/100,0),""))),"")</f>
        <v>0</v>
      </c>
      <c r="AJ19" s="39" t="n">
        <f aca="false">IFERROR(IF($C19="","",IF($D19="","",IFERROR(ROUND($D19*INDEX('🔖 배합비 참조'!$B$2:$CE$83,MATCH("두류가공품(백옥앙금)",'🔖 배합비 참조'!$A$2:$A$83,0),MATCH($C19,'🔖 배합비 참조'!$B$1:$CE$1,0))/100,0),""))),"")</f>
        <v>0</v>
      </c>
      <c r="AK19" s="39" t="n">
        <f aca="false">IFERROR(IF($C19="","",IF($D19="","",IFERROR(ROUND($D19*INDEX('🔖 배합비 참조'!$B$2:$CE$83,MATCH("두류가공품(콩고물)",'🔖 배합비 참조'!$A$2:$A$83,0),MATCH($C19,'🔖 배합비 참조'!$B$1:$CE$1,0))/100,0),""))),"")</f>
        <v>0</v>
      </c>
      <c r="AL19" s="39" t="n">
        <f aca="false">IFERROR(IF($C19="","",IF($D19="","",IFERROR(ROUND($D19*INDEX('🔖 배합비 참조'!$B$2:$CE$83,MATCH("두류가공품(통팥고물)",'🔖 배합비 참조'!$A$2:$A$83,0),MATCH($C19,'🔖 배합비 참조'!$B$1:$CE$1,0))/100,0),""))),"")</f>
        <v>0</v>
      </c>
      <c r="AM19" s="39" t="n">
        <f aca="false">IFERROR(IF($C19="","",IF($D19="","",IFERROR(ROUND($D19*INDEX('🔖 배합비 참조'!$B$2:$CE$83,MATCH("딸기레진",'🔖 배합비 참조'!$A$2:$A$83,0),MATCH($C19,'🔖 배합비 참조'!$B$1:$CE$1,0))/100,0),""))),"")</f>
        <v>0</v>
      </c>
      <c r="AN19" s="39" t="n">
        <f aca="false">IFERROR(IF($C19="","",IF($D19="","",IFERROR(ROUND($D19*INDEX('🔖 배합비 참조'!$B$2:$CE$83,MATCH("딸기분말(스트로우베리에이드(분말))",'🔖 배합비 참조'!$A$2:$A$83,0),MATCH($C19,'🔖 배합비 참조'!$B$1:$CE$1,0))/100,0),""))),"")</f>
        <v>0</v>
      </c>
      <c r="AO19" s="39" t="n">
        <f aca="false">IFERROR(IF($C19="","",IF($D19="","",IFERROR(ROUND($D19*INDEX('🔖 배합비 참조'!$B$2:$CE$83,MATCH("마스카포네치즈",'🔖 배합비 참조'!$A$2:$A$83,0),MATCH($C19,'🔖 배합비 참조'!$B$1:$CE$1,0))/100,0),""))),"")</f>
        <v>0</v>
      </c>
      <c r="AP19" s="39" t="n">
        <f aca="false">IFERROR(IF($C19="","",IF($D19="","",IFERROR(ROUND($D19*INDEX('🔖 배합비 참조'!$B$2:$CE$83,MATCH("마카다미아분태(호주산)",'🔖 배합비 참조'!$A$2:$A$83,0),MATCH($C19,'🔖 배합비 참조'!$B$1:$CE$1,0))/100,0),""))),"")</f>
        <v>6</v>
      </c>
      <c r="AQ19" s="39" t="n">
        <f aca="false">IFERROR(IF($C19="","",IF($D19="","",IFERROR(ROUND($D19*INDEX('🔖 배합비 참조'!$B$2:$CE$83,MATCH("멥쌀(국내산)",'🔖 배합비 참조'!$A$2:$A$83,0),MATCH($C19,'🔖 배합비 참조'!$B$1:$CE$1,0))/100,0),""))),"")</f>
        <v>0</v>
      </c>
      <c r="AR19" s="39" t="n">
        <f aca="false">IFERROR(IF($C19="","",IF($D19="","",IFERROR(ROUND($D19*INDEX('🔖 배합비 참조'!$B$2:$CE$83,MATCH("모시잎(국내산)",'🔖 배합비 참조'!$A$2:$A$83,0),MATCH($C19,'🔖 배합비 참조'!$B$1:$CE$1,0))/100,0),""))),"")</f>
        <v>0</v>
      </c>
      <c r="AS19" s="39" t="n">
        <f aca="false">IFERROR(IF($C19="","",IF($D19="","",IFERROR(ROUND($D19*INDEX('🔖 배합비 참조'!$B$2:$CE$83,MATCH("물엿(저당물엿)",'🔖 배합비 참조'!$A$2:$A$83,0),MATCH($C19,'🔖 배합비 참조'!$B$1:$CE$1,0))/100,0),""))),"")</f>
        <v>3</v>
      </c>
      <c r="AT19" s="39" t="n">
        <f aca="false">IFERROR(IF($C19="","",IF($D19="","",IFERROR(ROUND($D19*INDEX('🔖 배합비 참조'!$B$2:$CE$83,MATCH("밤다이스",'🔖 배합비 참조'!$A$2:$A$83,0),MATCH($C19,'🔖 배합비 참조'!$B$1:$CE$1,0))/100,0),""))),"")</f>
        <v>1</v>
      </c>
      <c r="AU19" s="39" t="n">
        <f aca="false">IFERROR(IF($C19="","",IF($D19="","",IFERROR(ROUND($D19*INDEX('🔖 배합비 참조'!$B$2:$CE$83,MATCH("변성전분(타피오카전분)",'🔖 배합비 참조'!$A$2:$A$83,0),MATCH($C19,'🔖 배합비 참조'!$B$1:$CE$1,0))/100,0),""))),"")</f>
        <v>0</v>
      </c>
      <c r="AV19" s="39" t="n">
        <f aca="false">IFERROR(IF($C19="","",IF($D19="","",IFERROR(ROUND($D19*INDEX('🔖 배합비 참조'!$B$2:$CE$83,MATCH("복음땅콩분태",'🔖 배합비 참조'!$A$2:$A$83,0),MATCH($C19,'🔖 배합비 참조'!$B$1:$CE$1,0))/100,0),""))),"")</f>
        <v>0</v>
      </c>
      <c r="AW19" s="39" t="n">
        <f aca="false">IFERROR(IF($C19="","",IF($D19="","",IFERROR(ROUND($D19*INDEX('🔖 배합비 참조'!$B$2:$CE$83,MATCH("사양벌꿀(국내산)",'🔖 배합비 참조'!$A$2:$A$83,0),MATCH($C19,'🔖 배합비 참조'!$B$1:$CE$1,0))/100,0),""))),"")</f>
        <v>0</v>
      </c>
      <c r="AX19" s="39" t="n">
        <f aca="false">IFERROR(IF($C19="","",IF($D19="","",IFERROR(ROUND($D19*INDEX('🔖 배합비 참조'!$B$2:$CE$83,MATCH("생크림",'🔖 배합비 참조'!$A$2:$A$83,0),MATCH($C19,'🔖 배합비 참조'!$B$1:$CE$1,0))/100,0),""))),"")</f>
        <v>0</v>
      </c>
      <c r="AY19" s="39" t="n">
        <f aca="false">IFERROR(IF($C19="","",IF($D19="","",IFERROR(ROUND($D19*INDEX('🔖 배합비 참조'!$B$2:$CE$83,MATCH("서양호박(국내산,뉴질랜드산)",'🔖 배합비 참조'!$A$2:$A$83,0),MATCH($C19,'🔖 배합비 참조'!$B$1:$CE$1,0))/100,0),""))),"")</f>
        <v>0</v>
      </c>
      <c r="AZ19" s="39" t="n">
        <f aca="false">IFERROR(IF($C19="","",IF($D19="","",IFERROR(ROUND($D19*INDEX('🔖 배합비 참조'!$B$2:$CE$83,MATCH("설탕",'🔖 배합비 참조'!$A$2:$A$83,0),MATCH($C19,'🔖 배합비 참조'!$B$1:$CE$1,0))/100,0),""))),"")</f>
        <v>3</v>
      </c>
      <c r="BA19" s="39" t="n">
        <f aca="false">IFERROR(IF($C19="","",IF($D19="","",IFERROR(ROUND($D19*INDEX('🔖 배합비 참조'!$B$2:$CE$83,MATCH("스트로우베리 에이드 후레쉬",'🔖 배합비 참조'!$A$2:$A$83,0),MATCH($C19,'🔖 배합비 참조'!$B$1:$CE$1,0))/100,0),""))),"")</f>
        <v>0</v>
      </c>
      <c r="BB19" s="39" t="n">
        <f aca="false">IFERROR(IF($C19="","",IF($D19="","",IFERROR(ROUND($D19*INDEX('🔖 배합비 참조'!$B$2:$CE$83,MATCH("식물성기름혼합제제(분홍)",'🔖 배합비 참조'!$A$2:$A$83,0),MATCH($C19,'🔖 배합비 참조'!$B$1:$CE$1,0))/100,0),""))),"")</f>
        <v>0</v>
      </c>
      <c r="BC19" s="39" t="n">
        <f aca="false">IFERROR(IF($C19="","",IF($D19="","",IFERROR(ROUND($D19*INDEX('🔖 배합비 참조'!$B$2:$CE$83,MATCH("식물성기름혼합제제(초록)",'🔖 배합비 참조'!$A$2:$A$83,0),MATCH($C19,'🔖 배합비 참조'!$B$1:$CE$1,0))/100,0),""))),"")</f>
        <v>0</v>
      </c>
      <c r="BD19" s="39" t="n">
        <f aca="false">IFERROR(IF($C19="","",IF($D19="","",IFERROR(ROUND($D19*INDEX('🔖 배합비 참조'!$B$2:$CE$83,MATCH("식물성기름혼합제제(황색)",'🔖 배합비 참조'!$A$2:$A$83,0),MATCH($C19,'🔖 배합비 참조'!$B$1:$CE$1,0))/100,0),""))),"")</f>
        <v>0</v>
      </c>
      <c r="BE19" s="39" t="n">
        <f aca="false">IFERROR(IF($C19="","",IF($D19="","",IFERROR(ROUND($D19*INDEX('🔖 배합비 참조'!$B$2:$CE$83,MATCH("쑥가루(국내산)",'🔖 배합비 참조'!$A$2:$A$83,0),MATCH($C19,'🔖 배합비 참조'!$B$1:$CE$1,0))/100,0),""))),"")</f>
        <v>0</v>
      </c>
      <c r="BF19" s="39" t="n">
        <f aca="false">IFERROR(IF($C19="","",IF($D19="","",IFERROR(ROUND($D19*INDEX('🔖 배합비 참조'!$B$2:$CE$83,MATCH("아몬드슬라이스",'🔖 배합비 참조'!$A$2:$A$83,0),MATCH($C19,'🔖 배합비 참조'!$B$1:$CE$1,0))/100,0),""))),"")</f>
        <v>0</v>
      </c>
      <c r="BG19" s="39" t="n">
        <f aca="false">IFERROR(IF($C19="","",IF($D19="","",IFERROR(ROUND($D19*INDEX('🔖 배합비 참조'!$B$2:$CE$83,MATCH("알룰로오스(국내산)",'🔖 배합비 참조'!$A$2:$A$83,0),MATCH($C19,'🔖 배합비 참조'!$B$1:$CE$1,0))/100,0),""))),"")</f>
        <v>0</v>
      </c>
      <c r="BH19" s="39" t="n">
        <f aca="false">IFERROR(IF($C19="","",IF($D19="","",IFERROR(ROUND($D19*INDEX('🔖 배합비 참조'!$B$2:$CE$83,MATCH("연유",'🔖 배합비 참조'!$A$2:$A$83,0),MATCH($C19,'🔖 배합비 참조'!$B$1:$CE$1,0))/100,0),""))),"")</f>
        <v>0</v>
      </c>
      <c r="BI19" s="39" t="n">
        <f aca="false">IFERROR(IF($C19="","",IF($D19="","",IFERROR(ROUND($D19*INDEX('🔖 배합비 참조'!$B$2:$CE$83,MATCH("옥수수전분",'🔖 배합비 참조'!$A$2:$A$83,0),MATCH($C19,'🔖 배합비 참조'!$B$1:$CE$1,0))/100,0),""))),"")</f>
        <v>4</v>
      </c>
      <c r="BJ19" s="39" t="n">
        <f aca="false">IFERROR(IF($C19="","",IF($D19="","",IFERROR(ROUND($D19*INDEX('🔖 배합비 참조'!$B$2:$CE$83,MATCH("완두배기",'🔖 배합비 참조'!$A$2:$A$83,0),MATCH($C19,'🔖 배합비 참조'!$B$1:$CE$1,0))/100,0),""))),"")</f>
        <v>0</v>
      </c>
      <c r="BK19" s="39" t="n">
        <f aca="false">IFERROR(IF($C19="","",IF($D19="","",IFERROR(ROUND($D19*INDEX('🔖 배합비 참조'!$B$2:$CE$83,MATCH("우유(국내산)",'🔖 배합비 참조'!$A$2:$A$83,0),MATCH($C19,'🔖 배합비 참조'!$B$1:$CE$1,0))/100,0),""))),"")</f>
        <v>0</v>
      </c>
      <c r="BL19" s="39" t="n">
        <f aca="false">IFERROR(IF($C19="","",IF($D19="","",IFERROR(ROUND($D19*INDEX('🔖 배합비 참조'!$B$2:$CE$83,MATCH("자색고구마가루(중국산)",'🔖 배합비 참조'!$A$2:$A$83,0),MATCH($C19,'🔖 배합비 참조'!$B$1:$CE$1,0))/100,0),""))),"")</f>
        <v>0</v>
      </c>
      <c r="BM19" s="39" t="n">
        <f aca="false">IFERROR(IF($C19="","",IF($D19="","",IFERROR(ROUND($D19*INDEX('🔖 배합비 참조'!$B$2:$CE$83,MATCH("자연치즈(체다치즈)",'🔖 배합비 참조'!$A$2:$A$83,0),MATCH($C19,'🔖 배합비 참조'!$B$1:$CE$1,0))/100,0),""))),"")</f>
        <v>0</v>
      </c>
      <c r="BN19" s="39" t="n">
        <f aca="false">IFERROR(IF($C19="","",IF($D19="","",IFERROR(ROUND($D19*INDEX('🔖 배합비 참조'!$B$2:$CE$83,MATCH("정제수",'🔖 배합비 참조'!$A$2:$A$83,0),MATCH($C19,'🔖 배합비 참조'!$B$1:$CE$1,0))/100,0),""))),"")</f>
        <v>0</v>
      </c>
      <c r="BO19" s="39" t="n">
        <f aca="false">IFERROR(IF($C19="","",IF($D19="","",IFERROR(ROUND($D19*INDEX('🔖 배합비 참조'!$B$2:$CE$83,MATCH("젤라틴",'🔖 배합비 참조'!$A$2:$A$83,0),MATCH($C19,'🔖 배합비 참조'!$B$1:$CE$1,0))/100,0),""))),"")</f>
        <v>0</v>
      </c>
      <c r="BP19" s="39" t="n">
        <f aca="false">IFERROR(IF($C19="","",IF($D19="","",IFERROR(ROUND($D19*INDEX('🔖 배합비 참조'!$B$2:$CE$83,MATCH("조림류(백옥앙금)",'🔖 배합비 참조'!$A$2:$A$83,0),MATCH($C19,'🔖 배합비 참조'!$B$1:$CE$1,0))/100,0),""))),"")</f>
        <v>0</v>
      </c>
      <c r="BQ19" s="39" t="n">
        <f aca="false">IFERROR(IF($C19="","",IF($D19="","",IFERROR(ROUND($D19*INDEX('🔖 배합비 참조'!$B$2:$CE$83,MATCH("조림류(통팥앙금)",'🔖 배합비 참조'!$A$2:$A$83,0),MATCH($C19,'🔖 배합비 참조'!$B$1:$CE$1,0))/100,0),""))),"")</f>
        <v>56</v>
      </c>
      <c r="BR19" s="39" t="n">
        <f aca="false">IFERROR(IF($C19="","",IF($D19="","",IFERROR(ROUND($D19*INDEX('🔖 배합비 참조'!$B$2:$CE$83,MATCH("준초콜릿(외국산)",'🔖 배합비 참조'!$A$2:$A$83,0),MATCH($C19,'🔖 배합비 참조'!$B$1:$CE$1,0))/100,0),""))),"")</f>
        <v>0</v>
      </c>
      <c r="BS19" s="39" t="n">
        <f aca="false">IFERROR(IF($C19="","",IF($D19="","",IFERROR(ROUND($D19*INDEX('🔖 배합비 참조'!$B$2:$CE$83,MATCH("중력분",'🔖 배합비 참조'!$A$2:$A$83,0),MATCH($C19,'🔖 배합비 참조'!$B$1:$CE$1,0))/100,0),""))),"")</f>
        <v>0</v>
      </c>
      <c r="BT19" s="39" t="n">
        <f aca="false">IFERROR(IF($C19="","",IF($D19="","",IFERROR(ROUND($D19*INDEX('🔖 배합비 참조'!$B$2:$CE$83,MATCH("참깨(인도산,나이지리아산,탄자니아산,미얀마산)",'🔖 배합비 참조'!$A$2:$A$83,0),MATCH($C19,'🔖 배합비 참조'!$B$1:$CE$1,0))/100,0),""))),"")</f>
        <v>0</v>
      </c>
      <c r="BU19" s="39" t="n">
        <f aca="false">IFERROR(IF($C19="","",IF($D19="","",IFERROR(ROUND($D19*INDEX('🔖 배합비 참조'!$B$2:$CE$83,MATCH("찹쌀(국내산)",'🔖 배합비 참조'!$A$2:$A$83,0),MATCH($C19,'🔖 배합비 참조'!$B$1:$CE$1,0))/100,0),""))),"")</f>
        <v>60</v>
      </c>
      <c r="BV19" s="39" t="n">
        <f aca="false">IFERROR(IF($C19="","",IF($D19="","",IFERROR(ROUND($D19*INDEX('🔖 배합비 참조'!$B$2:$CE$83,MATCH("천일염",'🔖 배합비 참조'!$A$2:$A$83,0),MATCH($C19,'🔖 배합비 참조'!$B$1:$CE$1,0))/100,0),""))),"")</f>
        <v>1</v>
      </c>
      <c r="BW19" s="39" t="n">
        <f aca="false">IFERROR(IF($C19="","",IF($D19="","",IFERROR(ROUND($D19*INDEX('🔖 배합비 참조'!$B$2:$CE$83,MATCH("치즈 [크림치즈]",'🔖 배합비 참조'!$A$2:$A$83,0),MATCH($C19,'🔖 배합비 참조'!$B$1:$CE$1,0))/100,0),""))),"")</f>
        <v>0</v>
      </c>
      <c r="BX19" s="39" t="n">
        <f aca="false">IFERROR(IF($C19="","",IF($D19="","",IFERROR(ROUND($D19*INDEX('🔖 배합비 참조'!$B$2:$CE$83,MATCH("코코아가공품류(코코아분말)",'🔖 배합비 참조'!$A$2:$A$83,0),MATCH($C19,'🔖 배합비 참조'!$B$1:$CE$1,0))/100,0),""))),"")</f>
        <v>0</v>
      </c>
      <c r="BY19" s="39" t="n">
        <f aca="false">IFERROR(IF($C19="","",IF($D19="","",IFERROR(ROUND($D19*INDEX('🔖 배합비 참조'!$B$2:$CE$83,MATCH("콩기름(대두유)",'🔖 배합비 참조'!$A$2:$A$83,0),MATCH($C19,'🔖 배합비 참조'!$B$1:$CE$1,0))/100,0),""))),"")</f>
        <v>0</v>
      </c>
      <c r="BZ19" s="39" t="n">
        <f aca="false">IFERROR(IF($C19="","",IF($D19="","",IFERROR(ROUND($D19*INDEX('🔖 배합비 참조'!$B$2:$CE$83,MATCH("해바라기씨앗",'🔖 배합비 참조'!$A$2:$A$83,0),MATCH($C19,'🔖 배합비 참조'!$B$1:$CE$1,0))/100,0),""))),"")</f>
        <v>0</v>
      </c>
      <c r="CA19" s="39" t="n">
        <f aca="false">IFERROR(IF($C19="","",IF($D19="","",IFERROR(ROUND($D19*INDEX('🔖 배합비 참조'!$B$2:$CE$83,MATCH("현미(국내산)",'🔖 배합비 참조'!$A$2:$A$83,0),MATCH($C19,'🔖 배합비 참조'!$B$1:$CE$1,0))/100,0),""))),"")</f>
        <v>0</v>
      </c>
      <c r="CB19" s="39" t="n">
        <f aca="false">IFERROR(IF($C19="","",IF($D19="","",IFERROR(ROUND($D19*INDEX('🔖 배합비 참조'!$B$2:$CE$83,MATCH("현미멥쌀(국내산)",'🔖 배합비 참조'!$A$2:$A$83,0),MATCH($C19,'🔖 배합비 참조'!$B$1:$CE$1,0))/100,0),""))),"")</f>
        <v>0</v>
      </c>
      <c r="CC19" s="39" t="n">
        <f aca="false">IFERROR(IF($C19="","",IF($D19="","",IFERROR(ROUND($D19*INDEX('🔖 배합비 참조'!$B$2:$CE$83,MATCH("호두분태(미국산)",'🔖 배합비 참조'!$A$2:$A$83,0),MATCH($C19,'🔖 배합비 참조'!$B$1:$CE$1,0))/100,0),""))),"")</f>
        <v>4</v>
      </c>
      <c r="CD19" s="39" t="n">
        <f aca="false">IFERROR(IF($C19="","",IF($D19="","",IFERROR(ROUND($D19*INDEX('🔖 배합비 참조'!$B$2:$CE$83,MATCH("호박씨앗(외국산)",'🔖 배합비 참조'!$A$2:$A$83,0),MATCH($C19,'🔖 배합비 참조'!$B$1:$CE$1,0))/100,0),""))),"")</f>
        <v>0</v>
      </c>
      <c r="CE19" s="39" t="n">
        <f aca="false">IFERROR(IF($C19="","",IF($D19="","",IFERROR(ROUND($D19*INDEX('🔖 배합비 참조'!$B$2:$CE$83,MATCH("혼합제제(떡용에스텔)",'🔖 배합비 참조'!$A$2:$A$83,0),MATCH($C19,'🔖 배합비 참조'!$B$1:$CE$1,0))/100,0),""))),"")</f>
        <v>0</v>
      </c>
      <c r="CF19" s="39" t="n">
        <f aca="false">IFERROR(IF($C19="","",IF($D19="","",IFERROR(ROUND($D19*INDEX('🔖 배합비 참조'!$B$2:$CE$83,MATCH("혼합제제(스테비아)",'🔖 배합비 참조'!$A$2:$A$83,0),MATCH($C19,'🔖 배합비 참조'!$B$1:$CE$1,0))/100,0),""))),"")</f>
        <v>0</v>
      </c>
      <c r="CG19" s="39" t="n">
        <f aca="false">IFERROR(IF($C19="","",IF($D19="","",IFERROR(ROUND($D19*INDEX('🔖 배합비 참조'!$B$2:$CE$83,MATCH("화이트초콜릿",'🔖 배합비 참조'!$A$2:$A$83,0),MATCH($C19,'🔖 배합비 참조'!$B$1:$CE$1,0))/100,0),""))),"")</f>
        <v>0</v>
      </c>
      <c r="CH19" s="39" t="n">
        <f aca="false">IFERROR(IF($C19="","",IF($D19="","",IFERROR(ROUND($D19*INDEX('🔖 배합비 참조'!$B$2:$CE$83,MATCH("흑미찹쌀(국내산)",'🔖 배합비 참조'!$A$2:$A$83,0),MATCH($C19,'🔖 배합비 참조'!$B$1:$CE$1,0))/100,0),""))),"")</f>
        <v>0</v>
      </c>
      <c r="CI19" s="39" t="n">
        <f aca="false">IFERROR(IF($C19="","",IF($D19="","",IFERROR(ROUND($D19*INDEX('🔖 배합비 참조'!$B$2:$CE$83,MATCH("찰옥수수전분(미국산)",'🔖 배합비 참조'!$A$2:$A$83,0),MATCH($C19,'🔖 배합비 참조'!$B$1:$CE$1,0))/100,0),""))),"")</f>
        <v>0</v>
      </c>
      <c r="CJ19" s="40"/>
      <c r="CL19" s="1" t="s">
        <v>235</v>
      </c>
    </row>
    <row r="20" customFormat="false" ht="18" hidden="false" customHeight="true" outlineLevel="0" collapsed="false">
      <c r="A20" s="41" t="n">
        <v>16</v>
      </c>
      <c r="B20" s="36" t="n">
        <v>45950</v>
      </c>
      <c r="C20" s="37" t="s">
        <v>156</v>
      </c>
      <c r="D20" s="38" t="n">
        <v>70</v>
      </c>
      <c r="E20" s="17"/>
      <c r="F20" s="17"/>
      <c r="G20" s="42" t="n">
        <f aca="false">IFERROR(IF($C20="","",IF($D20="","",IFERROR(ROUND($D20*INDEX('🔖 배합비 참조'!$B$2:$CE$83,MATCH("간장",'🔖 배합비 참조'!$A$2:$A$83,0),MATCH($C20,'🔖 배합비 참조'!$B$1:$CE$1,0))/100,0),""))),"")</f>
        <v>0</v>
      </c>
      <c r="H20" s="42" t="n">
        <f aca="false">IFERROR(IF($C20="","",IF($D20="","",IFERROR(ROUND($D20*INDEX('🔖 배합비 참조'!$B$2:$CE$83,MATCH("강낭콩((울타리콩))",'🔖 배합비 참조'!$A$2:$A$83,0),MATCH($C20,'🔖 배합비 참조'!$B$1:$CE$1,0))/100,0),""))),"")</f>
        <v>0</v>
      </c>
      <c r="I20" s="42" t="n">
        <f aca="false">IFERROR(IF($C20="","",IF($D20="","",IFERROR(ROUND($D20*INDEX('🔖 배합비 참조'!$B$2:$CE$83,MATCH("건조딸기다이스(외국산)",'🔖 배합비 참조'!$A$2:$A$83,0),MATCH($C20,'🔖 배합비 참조'!$B$1:$CE$1,0))/100,0),""))),"")</f>
        <v>0</v>
      </c>
      <c r="J20" s="42" t="n">
        <f aca="false">IFERROR(IF($C20="","",IF($D20="","",IFERROR(ROUND($D20*INDEX('🔖 배합비 참조'!$B$2:$CE$83,MATCH("건포도",'🔖 배합비 참조'!$A$2:$A$83,0),MATCH($C20,'🔖 배합비 참조'!$B$1:$CE$1,0))/100,0),""))),"")</f>
        <v>0</v>
      </c>
      <c r="K20" s="42" t="n">
        <f aca="false">IFERROR(IF($C20="","",IF($D20="","",IFERROR(ROUND($D20*INDEX('🔖 배합비 참조'!$B$2:$CE$83,MATCH("건호박채(중국산)",'🔖 배합비 참조'!$A$2:$A$83,0),MATCH($C20,'🔖 배합비 참조'!$B$1:$CE$1,0))/100,0),""))),"")</f>
        <v>0</v>
      </c>
      <c r="L20" s="42" t="n">
        <f aca="false">IFERROR(IF($C20="","",IF($D20="","",IFERROR(ROUND($D20*INDEX('🔖 배합비 참조'!$B$2:$CE$83,MATCH("검정깨(흑임자)",'🔖 배합비 참조'!$A$2:$A$83,0),MATCH($C20,'🔖 배합비 참조'!$B$1:$CE$1,0))/100,0),""))),"")</f>
        <v>0</v>
      </c>
      <c r="M20" s="42" t="n">
        <f aca="false">IFERROR(IF($C20="","",IF($D20="","",IFERROR(ROUND($D20*INDEX('🔖 배합비 참조'!$B$2:$CE$83,MATCH("검정콩",'🔖 배합비 참조'!$A$2:$A$83,0),MATCH($C20,'🔖 배합비 참조'!$B$1:$CE$1,0))/100,0),""))),"")</f>
        <v>0</v>
      </c>
      <c r="N20" s="42" t="n">
        <f aca="false">IFERROR(IF($C20="","",IF($D20="","",IFERROR(ROUND($D20*INDEX('🔖 배합비 참조'!$B$2:$CE$83,MATCH("계피가루",'🔖 배합비 참조'!$A$2:$A$83,0),MATCH($C20,'🔖 배합비 참조'!$B$1:$CE$1,0))/100,0),""))),"")</f>
        <v>0</v>
      </c>
      <c r="O20" s="42" t="n">
        <f aca="false">IFERROR(IF($C20="","",IF($D20="","",IFERROR(ROUND($D20*INDEX('🔖 배합비 참조'!$B$2:$CE$83,MATCH("고구마가루",'🔖 배합비 참조'!$A$2:$A$83,0),MATCH($C20,'🔖 배합비 참조'!$B$1:$CE$1,0))/100,0),""))),"")</f>
        <v>0</v>
      </c>
      <c r="P20" s="42" t="n">
        <f aca="false">IFERROR(IF($C20="","",IF($D20="","",IFERROR(ROUND($D20*INDEX('🔖 배합비 참조'!$B$2:$CE$83,MATCH("고구마무스",'🔖 배합비 참조'!$A$2:$A$83,0),MATCH($C20,'🔖 배합비 참조'!$B$1:$CE$1,0))/100,0),""))),"")</f>
        <v>0</v>
      </c>
      <c r="Q20" s="42" t="n">
        <f aca="false">IFERROR(IF($C20="","",IF($D20="","",IFERROR(ROUND($D20*INDEX('🔖 배합비 참조'!$B$2:$CE$83,MATCH("고려엉겅퀴((곤드레)국내산)",'🔖 배합비 참조'!$A$2:$A$83,0),MATCH($C20,'🔖 배합비 참조'!$B$1:$CE$1,0))/100,0),""))),"")</f>
        <v>0</v>
      </c>
      <c r="R20" s="42" t="n">
        <f aca="false">IFERROR(IF($C20="","",IF($D20="","",IFERROR(ROUND($D20*INDEX('🔖 배합비 참조'!$B$2:$CE$83,MATCH("기타가공품(복분자가루)",'🔖 배합비 참조'!$A$2:$A$83,0),MATCH($C20,'🔖 배합비 참조'!$B$1:$CE$1,0))/100,0),""))),"")</f>
        <v>0</v>
      </c>
      <c r="S20" s="42" t="n">
        <f aca="false">IFERROR(IF($C20="","",IF($D20="","",IFERROR(ROUND($D20*INDEX('🔖 배합비 참조'!$B$2:$CE$83,MATCH("기타가공품(슈퍼소프트엠)",'🔖 배합비 참조'!$A$2:$A$83,0),MATCH($C20,'🔖 배합비 참조'!$B$1:$CE$1,0))/100,0),""))),"")</f>
        <v>0</v>
      </c>
      <c r="T20" s="42" t="n">
        <f aca="false">IFERROR(IF($C20="","",IF($D20="","",IFERROR(ROUND($D20*INDEX('🔖 배합비 참조'!$B$2:$CE$83,MATCH("기타가공품(파인소프트 E-티)",'🔖 배합비 참조'!$A$2:$A$83,0),MATCH($C20,'🔖 배합비 참조'!$B$1:$CE$1,0))/100,0),""))),"")</f>
        <v>0</v>
      </c>
      <c r="U20" s="42" t="n">
        <f aca="false">IFERROR(IF($C20="","",IF($D20="","",IFERROR(ROUND($D20*INDEX('🔖 배합비 참조'!$B$2:$CE$83,MATCH("기타가공품(프리미엄카스테라가루)",'🔖 배합비 참조'!$A$2:$A$83,0),MATCH($C20,'🔖 배합비 참조'!$B$1:$CE$1,0))/100,0),""))),"")</f>
        <v>0</v>
      </c>
      <c r="V20" s="42" t="n">
        <f aca="false">IFERROR(IF($C20="","",IF($D20="","",IFERROR(ROUND($D20*INDEX('🔖 배합비 참조'!$B$2:$CE$83,MATCH("기타가공품(흑임자가루)",'🔖 배합비 참조'!$A$2:$A$83,0),MATCH($C20,'🔖 배합비 참조'!$B$1:$CE$1,0))/100,0),""))),"")</f>
        <v>0</v>
      </c>
      <c r="W20" s="42" t="n">
        <f aca="false">IFERROR(IF($C20="","",IF($D20="","",IFERROR(ROUND($D20*INDEX('🔖 배합비 참조'!$B$2:$CE$83,MATCH("기타설탕(흑설탕)",'🔖 배합비 참조'!$A$2:$A$83,0),MATCH($C20,'🔖 배합비 참조'!$B$1:$CE$1,0))/100,0),""))),"")</f>
        <v>0</v>
      </c>
      <c r="X20" s="42" t="n">
        <f aca="false">IFERROR(IF($C20="","",IF($D20="","",IFERROR(ROUND($D20*INDEX('🔖 배합비 참조'!$B$2:$CE$83,MATCH("냉동쑥(국내산)",'🔖 배합비 참조'!$A$2:$A$83,0),MATCH($C20,'🔖 배합비 참조'!$B$1:$CE$1,0))/100,0),""))),"")</f>
        <v>0</v>
      </c>
      <c r="Y20" s="42" t="n">
        <f aca="false">IFERROR(IF($C20="","",IF($D20="","",IFERROR(ROUND($D20*INDEX('🔖 배합비 참조'!$B$2:$CE$83,MATCH("냉동증숙고구마(중국산)",'🔖 배합비 참조'!$A$2:$A$83,0),MATCH($C20,'🔖 배합비 참조'!$B$1:$CE$1,0))/100,0),""))),"")</f>
        <v>0</v>
      </c>
      <c r="Z20" s="42" t="n">
        <f aca="false">IFERROR(IF($C20="","",IF($D20="","",IFERROR(ROUND($D20*INDEX('🔖 배합비 참조'!$B$2:$CE$83,MATCH("녹차가루",'🔖 배합비 참조'!$A$2:$A$83,0),MATCH($C20,'🔖 배합비 참조'!$B$1:$CE$1,0))/100,0),""))),"")</f>
        <v>0</v>
      </c>
      <c r="AA20" s="42" t="n">
        <f aca="false">IFERROR(IF($C20="","",IF($D20="","",IFERROR(ROUND($D20*INDEX('🔖 배합비 참조'!$B$2:$CE$83,MATCH("다크초콜릿 컴파운드칩",'🔖 배합비 참조'!$A$2:$A$83,0),MATCH($C20,'🔖 배합비 참조'!$B$1:$CE$1,0))/100,0),""))),"")</f>
        <v>0</v>
      </c>
      <c r="AB20" s="42" t="n">
        <f aca="false">IFERROR(IF($C20="","",IF($D20="","",IFERROR(ROUND($D20*INDEX('🔖 배합비 참조'!$B$2:$CE$83,MATCH("단호박분말(중국산)",'🔖 배합비 참조'!$A$2:$A$83,0),MATCH($C20,'🔖 배합비 참조'!$B$1:$CE$1,0))/100,0),""))),"")</f>
        <v>1</v>
      </c>
      <c r="AC20" s="42" t="n">
        <f aca="false">IFERROR(IF($C20="","",IF($D20="","",IFERROR(ROUND($D20*INDEX('🔖 배합비 참조'!$B$2:$CE$83,MATCH("당류가공품(단호박농축액)",'🔖 배합비 참조'!$A$2:$A$83,0),MATCH($C20,'🔖 배합비 참조'!$B$1:$CE$1,0))/100,0),""))),"")</f>
        <v>0</v>
      </c>
      <c r="AD20" s="42" t="n">
        <f aca="false">IFERROR(IF($C20="","",IF($D20="","",IFERROR(ROUND($D20*INDEX('🔖 배합비 참조'!$B$2:$CE$83,MATCH("당류가공품(알룰로스,에리스리톨,스테비올배당체혼합)",'🔖 배합비 참조'!$A$2:$A$83,0),MATCH($C20,'🔖 배합비 참조'!$B$1:$CE$1,0))/100,0),""))),"")</f>
        <v>0</v>
      </c>
      <c r="AE20" s="42" t="n">
        <f aca="false">IFERROR(IF($C20="","",IF($D20="","",IFERROR(ROUND($D20*INDEX('🔖 배합비 참조'!$B$2:$CE$83,MATCH("당류가공품(알룰로스제로파우더)",'🔖 배합비 참조'!$A$2:$A$83,0),MATCH($C20,'🔖 배합비 참조'!$B$1:$CE$1,0))/100,0),""))),"")</f>
        <v>0</v>
      </c>
      <c r="AF20" s="42" t="n">
        <f aca="false">IFERROR(IF($C20="","",IF($D20="","",IFERROR(ROUND($D20*INDEX('🔖 배합비 참조'!$B$2:$CE$83,MATCH("당절임(완두배기)",'🔖 배합비 참조'!$A$2:$A$83,0),MATCH($C20,'🔖 배합비 참조'!$B$1:$CE$1,0))/100,0),""))),"")</f>
        <v>0</v>
      </c>
      <c r="AG20" s="42" t="n">
        <f aca="false">IFERROR(IF($C20="","",IF($D20="","",IFERROR(ROUND($D20*INDEX('🔖 배합비 참조'!$B$2:$CE$83,MATCH("대추농축액",'🔖 배합비 참조'!$A$2:$A$83,0),MATCH($C20,'🔖 배합비 참조'!$B$1:$CE$1,0))/100,0),""))),"")</f>
        <v>0</v>
      </c>
      <c r="AH20" s="42" t="n">
        <f aca="false">IFERROR(IF($C20="","",IF($D20="","",IFERROR(ROUND($D20*INDEX('🔖 배합비 참조'!$B$2:$CE$83,MATCH("대추채(국내산)",'🔖 배합비 참조'!$A$2:$A$83,0),MATCH($C20,'🔖 배합비 참조'!$B$1:$CE$1,0))/100,0),""))),"")</f>
        <v>0</v>
      </c>
      <c r="AI20" s="42" t="n">
        <f aca="false">IFERROR(IF($C20="","",IF($D20="","",IFERROR(ROUND($D20*INDEX('🔖 배합비 참조'!$B$2:$CE$83,MATCH("동부(미얀마산)",'🔖 배합비 참조'!$A$2:$A$83,0),MATCH($C20,'🔖 배합비 참조'!$B$1:$CE$1,0))/100,0),""))),"")</f>
        <v>0</v>
      </c>
      <c r="AJ20" s="42" t="n">
        <f aca="false">IFERROR(IF($C20="","",IF($D20="","",IFERROR(ROUND($D20*INDEX('🔖 배합비 참조'!$B$2:$CE$83,MATCH("두류가공품(백옥앙금)",'🔖 배합비 참조'!$A$2:$A$83,0),MATCH($C20,'🔖 배합비 참조'!$B$1:$CE$1,0))/100,0),""))),"")</f>
        <v>0</v>
      </c>
      <c r="AK20" s="42" t="n">
        <f aca="false">IFERROR(IF($C20="","",IF($D20="","",IFERROR(ROUND($D20*INDEX('🔖 배합비 참조'!$B$2:$CE$83,MATCH("두류가공품(콩고물)",'🔖 배합비 참조'!$A$2:$A$83,0),MATCH($C20,'🔖 배합비 참조'!$B$1:$CE$1,0))/100,0),""))),"")</f>
        <v>0</v>
      </c>
      <c r="AL20" s="42" t="n">
        <f aca="false">IFERROR(IF($C20="","",IF($D20="","",IFERROR(ROUND($D20*INDEX('🔖 배합비 참조'!$B$2:$CE$83,MATCH("두류가공품(통팥고물)",'🔖 배합비 참조'!$A$2:$A$83,0),MATCH($C20,'🔖 배합비 참조'!$B$1:$CE$1,0))/100,0),""))),"")</f>
        <v>0</v>
      </c>
      <c r="AM20" s="42" t="n">
        <f aca="false">IFERROR(IF($C20="","",IF($D20="","",IFERROR(ROUND($D20*INDEX('🔖 배합비 참조'!$B$2:$CE$83,MATCH("딸기레진",'🔖 배합비 참조'!$A$2:$A$83,0),MATCH($C20,'🔖 배합비 참조'!$B$1:$CE$1,0))/100,0),""))),"")</f>
        <v>0</v>
      </c>
      <c r="AN20" s="42" t="n">
        <f aca="false">IFERROR(IF($C20="","",IF($D20="","",IFERROR(ROUND($D20*INDEX('🔖 배합비 참조'!$B$2:$CE$83,MATCH("딸기분말(스트로우베리에이드(분말))",'🔖 배합비 참조'!$A$2:$A$83,0),MATCH($C20,'🔖 배합비 참조'!$B$1:$CE$1,0))/100,0),""))),"")</f>
        <v>0</v>
      </c>
      <c r="AO20" s="42" t="n">
        <f aca="false">IFERROR(IF($C20="","",IF($D20="","",IFERROR(ROUND($D20*INDEX('🔖 배합비 참조'!$B$2:$CE$83,MATCH("마스카포네치즈",'🔖 배합비 참조'!$A$2:$A$83,0),MATCH($C20,'🔖 배합비 참조'!$B$1:$CE$1,0))/100,0),""))),"")</f>
        <v>0</v>
      </c>
      <c r="AP20" s="42" t="n">
        <f aca="false">IFERROR(IF($C20="","",IF($D20="","",IFERROR(ROUND($D20*INDEX('🔖 배합비 참조'!$B$2:$CE$83,MATCH("마카다미아분태(호주산)",'🔖 배합비 참조'!$A$2:$A$83,0),MATCH($C20,'🔖 배합비 참조'!$B$1:$CE$1,0))/100,0),""))),"")</f>
        <v>3</v>
      </c>
      <c r="AQ20" s="42" t="n">
        <f aca="false">IFERROR(IF($C20="","",IF($D20="","",IFERROR(ROUND($D20*INDEX('🔖 배합비 참조'!$B$2:$CE$83,MATCH("멥쌀(국내산)",'🔖 배합비 참조'!$A$2:$A$83,0),MATCH($C20,'🔖 배합비 참조'!$B$1:$CE$1,0))/100,0),""))),"")</f>
        <v>0</v>
      </c>
      <c r="AR20" s="42" t="n">
        <f aca="false">IFERROR(IF($C20="","",IF($D20="","",IFERROR(ROUND($D20*INDEX('🔖 배합비 참조'!$B$2:$CE$83,MATCH("모시잎(국내산)",'🔖 배합비 참조'!$A$2:$A$83,0),MATCH($C20,'🔖 배합비 참조'!$B$1:$CE$1,0))/100,0),""))),"")</f>
        <v>0</v>
      </c>
      <c r="AS20" s="42" t="n">
        <f aca="false">IFERROR(IF($C20="","",IF($D20="","",IFERROR(ROUND($D20*INDEX('🔖 배합비 참조'!$B$2:$CE$83,MATCH("물엿(저당물엿)",'🔖 배합비 참조'!$A$2:$A$83,0),MATCH($C20,'🔖 배합비 참조'!$B$1:$CE$1,0))/100,0),""))),"")</f>
        <v>0</v>
      </c>
      <c r="AT20" s="42" t="n">
        <f aca="false">IFERROR(IF($C20="","",IF($D20="","",IFERROR(ROUND($D20*INDEX('🔖 배합비 참조'!$B$2:$CE$83,MATCH("밤다이스",'🔖 배합비 참조'!$A$2:$A$83,0),MATCH($C20,'🔖 배합비 참조'!$B$1:$CE$1,0))/100,0),""))),"")</f>
        <v>1</v>
      </c>
      <c r="AU20" s="42" t="n">
        <f aca="false">IFERROR(IF($C20="","",IF($D20="","",IFERROR(ROUND($D20*INDEX('🔖 배합비 참조'!$B$2:$CE$83,MATCH("변성전분(타피오카전분)",'🔖 배합비 참조'!$A$2:$A$83,0),MATCH($C20,'🔖 배합비 참조'!$B$1:$CE$1,0))/100,0),""))),"")</f>
        <v>0</v>
      </c>
      <c r="AV20" s="42" t="n">
        <f aca="false">IFERROR(IF($C20="","",IF($D20="","",IFERROR(ROUND($D20*INDEX('🔖 배합비 참조'!$B$2:$CE$83,MATCH("복음땅콩분태",'🔖 배합비 참조'!$A$2:$A$83,0),MATCH($C20,'🔖 배합비 참조'!$B$1:$CE$1,0))/100,0),""))),"")</f>
        <v>0</v>
      </c>
      <c r="AW20" s="42" t="n">
        <f aca="false">IFERROR(IF($C20="","",IF($D20="","",IFERROR(ROUND($D20*INDEX('🔖 배합비 참조'!$B$2:$CE$83,MATCH("사양벌꿀(국내산)",'🔖 배합비 참조'!$A$2:$A$83,0),MATCH($C20,'🔖 배합비 참조'!$B$1:$CE$1,0))/100,0),""))),"")</f>
        <v>0</v>
      </c>
      <c r="AX20" s="42" t="n">
        <f aca="false">IFERROR(IF($C20="","",IF($D20="","",IFERROR(ROUND($D20*INDEX('🔖 배합비 참조'!$B$2:$CE$83,MATCH("생크림",'🔖 배합비 참조'!$A$2:$A$83,0),MATCH($C20,'🔖 배합비 참조'!$B$1:$CE$1,0))/100,0),""))),"")</f>
        <v>0</v>
      </c>
      <c r="AY20" s="42" t="n">
        <f aca="false">IFERROR(IF($C20="","",IF($D20="","",IFERROR(ROUND($D20*INDEX('🔖 배합비 참조'!$B$2:$CE$83,MATCH("서양호박(국내산,뉴질랜드산)",'🔖 배합비 참조'!$A$2:$A$83,0),MATCH($C20,'🔖 배합비 참조'!$B$1:$CE$1,0))/100,0),""))),"")</f>
        <v>0</v>
      </c>
      <c r="AZ20" s="42" t="n">
        <f aca="false">IFERROR(IF($C20="","",IF($D20="","",IFERROR(ROUND($D20*INDEX('🔖 배합비 참조'!$B$2:$CE$83,MATCH("설탕",'🔖 배합비 참조'!$A$2:$A$83,0),MATCH($C20,'🔖 배합비 참조'!$B$1:$CE$1,0))/100,0),""))),"")</f>
        <v>1</v>
      </c>
      <c r="BA20" s="42" t="n">
        <f aca="false">IFERROR(IF($C20="","",IF($D20="","",IFERROR(ROUND($D20*INDEX('🔖 배합비 참조'!$B$2:$CE$83,MATCH("스트로우베리 에이드 후레쉬",'🔖 배합비 참조'!$A$2:$A$83,0),MATCH($C20,'🔖 배합비 참조'!$B$1:$CE$1,0))/100,0),""))),"")</f>
        <v>0</v>
      </c>
      <c r="BB20" s="42" t="n">
        <f aca="false">IFERROR(IF($C20="","",IF($D20="","",IFERROR(ROUND($D20*INDEX('🔖 배합비 참조'!$B$2:$CE$83,MATCH("식물성기름혼합제제(분홍)",'🔖 배합비 참조'!$A$2:$A$83,0),MATCH($C20,'🔖 배합비 참조'!$B$1:$CE$1,0))/100,0),""))),"")</f>
        <v>0</v>
      </c>
      <c r="BC20" s="42" t="n">
        <f aca="false">IFERROR(IF($C20="","",IF($D20="","",IFERROR(ROUND($D20*INDEX('🔖 배합비 참조'!$B$2:$CE$83,MATCH("식물성기름혼합제제(초록)",'🔖 배합비 참조'!$A$2:$A$83,0),MATCH($C20,'🔖 배합비 참조'!$B$1:$CE$1,0))/100,0),""))),"")</f>
        <v>0</v>
      </c>
      <c r="BD20" s="42" t="n">
        <f aca="false">IFERROR(IF($C20="","",IF($D20="","",IFERROR(ROUND($D20*INDEX('🔖 배합비 참조'!$B$2:$CE$83,MATCH("식물성기름혼합제제(황색)",'🔖 배합비 참조'!$A$2:$A$83,0),MATCH($C20,'🔖 배합비 참조'!$B$1:$CE$1,0))/100,0),""))),"")</f>
        <v>0</v>
      </c>
      <c r="BE20" s="42" t="n">
        <f aca="false">IFERROR(IF($C20="","",IF($D20="","",IFERROR(ROUND($D20*INDEX('🔖 배합비 참조'!$B$2:$CE$83,MATCH("쑥가루(국내산)",'🔖 배합비 참조'!$A$2:$A$83,0),MATCH($C20,'🔖 배합비 참조'!$B$1:$CE$1,0))/100,0),""))),"")</f>
        <v>0</v>
      </c>
      <c r="BF20" s="42" t="n">
        <f aca="false">IFERROR(IF($C20="","",IF($D20="","",IFERROR(ROUND($D20*INDEX('🔖 배합비 참조'!$B$2:$CE$83,MATCH("아몬드슬라이스",'🔖 배합비 참조'!$A$2:$A$83,0),MATCH($C20,'🔖 배합비 참조'!$B$1:$CE$1,0))/100,0),""))),"")</f>
        <v>0</v>
      </c>
      <c r="BG20" s="42" t="n">
        <f aca="false">IFERROR(IF($C20="","",IF($D20="","",IFERROR(ROUND($D20*INDEX('🔖 배합비 참조'!$B$2:$CE$83,MATCH("알룰로오스(국내산)",'🔖 배합비 참조'!$A$2:$A$83,0),MATCH($C20,'🔖 배합비 참조'!$B$1:$CE$1,0))/100,0),""))),"")</f>
        <v>0</v>
      </c>
      <c r="BH20" s="42" t="n">
        <f aca="false">IFERROR(IF($C20="","",IF($D20="","",IFERROR(ROUND($D20*INDEX('🔖 배합비 참조'!$B$2:$CE$83,MATCH("연유",'🔖 배합비 참조'!$A$2:$A$83,0),MATCH($C20,'🔖 배합비 참조'!$B$1:$CE$1,0))/100,0),""))),"")</f>
        <v>0</v>
      </c>
      <c r="BI20" s="42" t="n">
        <f aca="false">IFERROR(IF($C20="","",IF($D20="","",IFERROR(ROUND($D20*INDEX('🔖 배합비 참조'!$B$2:$CE$83,MATCH("옥수수전분",'🔖 배합비 참조'!$A$2:$A$83,0),MATCH($C20,'🔖 배합비 참조'!$B$1:$CE$1,0))/100,0),""))),"")</f>
        <v>1</v>
      </c>
      <c r="BJ20" s="42" t="n">
        <f aca="false">IFERROR(IF($C20="","",IF($D20="","",IFERROR(ROUND($D20*INDEX('🔖 배합비 참조'!$B$2:$CE$83,MATCH("완두배기",'🔖 배합비 참조'!$A$2:$A$83,0),MATCH($C20,'🔖 배합비 참조'!$B$1:$CE$1,0))/100,0),""))),"")</f>
        <v>0</v>
      </c>
      <c r="BK20" s="42" t="n">
        <f aca="false">IFERROR(IF($C20="","",IF($D20="","",IFERROR(ROUND($D20*INDEX('🔖 배합비 참조'!$B$2:$CE$83,MATCH("우유(국내산)",'🔖 배합비 참조'!$A$2:$A$83,0),MATCH($C20,'🔖 배합비 참조'!$B$1:$CE$1,0))/100,0),""))),"")</f>
        <v>0</v>
      </c>
      <c r="BL20" s="42" t="n">
        <f aca="false">IFERROR(IF($C20="","",IF($D20="","",IFERROR(ROUND($D20*INDEX('🔖 배합비 참조'!$B$2:$CE$83,MATCH("자색고구마가루(중국산)",'🔖 배합비 참조'!$A$2:$A$83,0),MATCH($C20,'🔖 배합비 참조'!$B$1:$CE$1,0))/100,0),""))),"")</f>
        <v>0</v>
      </c>
      <c r="BM20" s="42" t="n">
        <f aca="false">IFERROR(IF($C20="","",IF($D20="","",IFERROR(ROUND($D20*INDEX('🔖 배합비 참조'!$B$2:$CE$83,MATCH("자연치즈(체다치즈)",'🔖 배합비 참조'!$A$2:$A$83,0),MATCH($C20,'🔖 배합비 참조'!$B$1:$CE$1,0))/100,0),""))),"")</f>
        <v>0</v>
      </c>
      <c r="BN20" s="42" t="n">
        <f aca="false">IFERROR(IF($C20="","",IF($D20="","",IFERROR(ROUND($D20*INDEX('🔖 배합비 참조'!$B$2:$CE$83,MATCH("정제수",'🔖 배합비 참조'!$A$2:$A$83,0),MATCH($C20,'🔖 배합비 참조'!$B$1:$CE$1,0))/100,0),""))),"")</f>
        <v>12</v>
      </c>
      <c r="BO20" s="42" t="n">
        <f aca="false">IFERROR(IF($C20="","",IF($D20="","",IFERROR(ROUND($D20*INDEX('🔖 배합비 참조'!$B$2:$CE$83,MATCH("젤라틴",'🔖 배합비 참조'!$A$2:$A$83,0),MATCH($C20,'🔖 배합비 참조'!$B$1:$CE$1,0))/100,0),""))),"")</f>
        <v>0</v>
      </c>
      <c r="BP20" s="42" t="n">
        <f aca="false">IFERROR(IF($C20="","",IF($D20="","",IFERROR(ROUND($D20*INDEX('🔖 배합비 참조'!$B$2:$CE$83,MATCH("조림류(백옥앙금)",'🔖 배합비 참조'!$A$2:$A$83,0),MATCH($C20,'🔖 배합비 참조'!$B$1:$CE$1,0))/100,0),""))),"")</f>
        <v>0</v>
      </c>
      <c r="BQ20" s="42" t="n">
        <f aca="false">IFERROR(IF($C20="","",IF($D20="","",IFERROR(ROUND($D20*INDEX('🔖 배합비 참조'!$B$2:$CE$83,MATCH("조림류(통팥앙금)",'🔖 배합비 참조'!$A$2:$A$83,0),MATCH($C20,'🔖 배합비 참조'!$B$1:$CE$1,0))/100,0),""))),"")</f>
        <v>23</v>
      </c>
      <c r="BR20" s="42" t="n">
        <f aca="false">IFERROR(IF($C20="","",IF($D20="","",IFERROR(ROUND($D20*INDEX('🔖 배합비 참조'!$B$2:$CE$83,MATCH("준초콜릿(외국산)",'🔖 배합비 참조'!$A$2:$A$83,0),MATCH($C20,'🔖 배합비 참조'!$B$1:$CE$1,0))/100,0),""))),"")</f>
        <v>0</v>
      </c>
      <c r="BS20" s="42" t="n">
        <f aca="false">IFERROR(IF($C20="","",IF($D20="","",IFERROR(ROUND($D20*INDEX('🔖 배합비 참조'!$B$2:$CE$83,MATCH("중력분",'🔖 배합비 참조'!$A$2:$A$83,0),MATCH($C20,'🔖 배합비 참조'!$B$1:$CE$1,0))/100,0),""))),"")</f>
        <v>0</v>
      </c>
      <c r="BT20" s="42" t="n">
        <f aca="false">IFERROR(IF($C20="","",IF($D20="","",IFERROR(ROUND($D20*INDEX('🔖 배합비 참조'!$B$2:$CE$83,MATCH("참깨(인도산,나이지리아산,탄자니아산,미얀마산)",'🔖 배합비 참조'!$A$2:$A$83,0),MATCH($C20,'🔖 배합비 참조'!$B$1:$CE$1,0))/100,0),""))),"")</f>
        <v>0</v>
      </c>
      <c r="BU20" s="42" t="n">
        <f aca="false">IFERROR(IF($C20="","",IF($D20="","",IFERROR(ROUND($D20*INDEX('🔖 배합비 참조'!$B$2:$CE$83,MATCH("찹쌀(국내산)",'🔖 배합비 참조'!$A$2:$A$83,0),MATCH($C20,'🔖 배합비 참조'!$B$1:$CE$1,0))/100,0),""))),"")</f>
        <v>25</v>
      </c>
      <c r="BV20" s="42" t="n">
        <f aca="false">IFERROR(IF($C20="","",IF($D20="","",IFERROR(ROUND($D20*INDEX('🔖 배합비 참조'!$B$2:$CE$83,MATCH("천일염",'🔖 배합비 참조'!$A$2:$A$83,0),MATCH($C20,'🔖 배합비 참조'!$B$1:$CE$1,0))/100,0),""))),"")</f>
        <v>1</v>
      </c>
      <c r="BW20" s="42" t="n">
        <f aca="false">IFERROR(IF($C20="","",IF($D20="","",IFERROR(ROUND($D20*INDEX('🔖 배합비 참조'!$B$2:$CE$83,MATCH("치즈 [크림치즈]",'🔖 배합비 참조'!$A$2:$A$83,0),MATCH($C20,'🔖 배합비 참조'!$B$1:$CE$1,0))/100,0),""))),"")</f>
        <v>0</v>
      </c>
      <c r="BX20" s="42" t="n">
        <f aca="false">IFERROR(IF($C20="","",IF($D20="","",IFERROR(ROUND($D20*INDEX('🔖 배합비 참조'!$B$2:$CE$83,MATCH("코코아가공품류(코코아분말)",'🔖 배합비 참조'!$A$2:$A$83,0),MATCH($C20,'🔖 배합비 참조'!$B$1:$CE$1,0))/100,0),""))),"")</f>
        <v>0</v>
      </c>
      <c r="BY20" s="42" t="n">
        <f aca="false">IFERROR(IF($C20="","",IF($D20="","",IFERROR(ROUND($D20*INDEX('🔖 배합비 참조'!$B$2:$CE$83,MATCH("콩기름(대두유)",'🔖 배합비 참조'!$A$2:$A$83,0),MATCH($C20,'🔖 배합비 참조'!$B$1:$CE$1,0))/100,0),""))),"")</f>
        <v>0</v>
      </c>
      <c r="BZ20" s="42" t="n">
        <f aca="false">IFERROR(IF($C20="","",IF($D20="","",IFERROR(ROUND($D20*INDEX('🔖 배합비 참조'!$B$2:$CE$83,MATCH("해바라기씨앗",'🔖 배합비 참조'!$A$2:$A$83,0),MATCH($C20,'🔖 배합비 참조'!$B$1:$CE$1,0))/100,0),""))),"")</f>
        <v>0</v>
      </c>
      <c r="CA20" s="42" t="n">
        <f aca="false">IFERROR(IF($C20="","",IF($D20="","",IFERROR(ROUND($D20*INDEX('🔖 배합비 참조'!$B$2:$CE$83,MATCH("현미(국내산)",'🔖 배합비 참조'!$A$2:$A$83,0),MATCH($C20,'🔖 배합비 참조'!$B$1:$CE$1,0))/100,0),""))),"")</f>
        <v>0</v>
      </c>
      <c r="CB20" s="42" t="n">
        <f aca="false">IFERROR(IF($C20="","",IF($D20="","",IFERROR(ROUND($D20*INDEX('🔖 배합비 참조'!$B$2:$CE$83,MATCH("현미멥쌀(국내산)",'🔖 배합비 참조'!$A$2:$A$83,0),MATCH($C20,'🔖 배합비 참조'!$B$1:$CE$1,0))/100,0),""))),"")</f>
        <v>0</v>
      </c>
      <c r="CC20" s="42" t="n">
        <f aca="false">IFERROR(IF($C20="","",IF($D20="","",IFERROR(ROUND($D20*INDEX('🔖 배합비 참조'!$B$2:$CE$83,MATCH("호두분태(미국산)",'🔖 배합비 참조'!$A$2:$A$83,0),MATCH($C20,'🔖 배합비 참조'!$B$1:$CE$1,0))/100,0),""))),"")</f>
        <v>2</v>
      </c>
      <c r="CD20" s="42" t="n">
        <f aca="false">IFERROR(IF($C20="","",IF($D20="","",IFERROR(ROUND($D20*INDEX('🔖 배합비 참조'!$B$2:$CE$83,MATCH("호박씨앗(외국산)",'🔖 배합비 참조'!$A$2:$A$83,0),MATCH($C20,'🔖 배합비 참조'!$B$1:$CE$1,0))/100,0),""))),"")</f>
        <v>0</v>
      </c>
      <c r="CE20" s="42" t="n">
        <f aca="false">IFERROR(IF($C20="","",IF($D20="","",IFERROR(ROUND($D20*INDEX('🔖 배합비 참조'!$B$2:$CE$83,MATCH("혼합제제(떡용에스텔)",'🔖 배합비 참조'!$A$2:$A$83,0),MATCH($C20,'🔖 배합비 참조'!$B$1:$CE$1,0))/100,0),""))),"")</f>
        <v>0</v>
      </c>
      <c r="CF20" s="42" t="n">
        <f aca="false">IFERROR(IF($C20="","",IF($D20="","",IFERROR(ROUND($D20*INDEX('🔖 배합비 참조'!$B$2:$CE$83,MATCH("혼합제제(스테비아)",'🔖 배합비 참조'!$A$2:$A$83,0),MATCH($C20,'🔖 배합비 참조'!$B$1:$CE$1,0))/100,0),""))),"")</f>
        <v>0</v>
      </c>
      <c r="CG20" s="42" t="n">
        <f aca="false">IFERROR(IF($C20="","",IF($D20="","",IFERROR(ROUND($D20*INDEX('🔖 배합비 참조'!$B$2:$CE$83,MATCH("화이트초콜릿",'🔖 배합비 참조'!$A$2:$A$83,0),MATCH($C20,'🔖 배합비 참조'!$B$1:$CE$1,0))/100,0),""))),"")</f>
        <v>0</v>
      </c>
      <c r="CH20" s="42" t="n">
        <f aca="false">IFERROR(IF($C20="","",IF($D20="","",IFERROR(ROUND($D20*INDEX('🔖 배합비 참조'!$B$2:$CE$83,MATCH("흑미찹쌀(국내산)",'🔖 배합비 참조'!$A$2:$A$83,0),MATCH($C20,'🔖 배합비 참조'!$B$1:$CE$1,0))/100,0),""))),"")</f>
        <v>0</v>
      </c>
      <c r="CI20" s="42" t="n">
        <f aca="false">IFERROR(IF($C20="","",IF($D20="","",IFERROR(ROUND($D20*INDEX('🔖 배합비 참조'!$B$2:$CE$83,MATCH("찰옥수수전분(미국산)",'🔖 배합비 참조'!$A$2:$A$83,0),MATCH($C20,'🔖 배합비 참조'!$B$1:$CE$1,0))/100,0),""))),"")</f>
        <v>0</v>
      </c>
      <c r="CJ20" s="40"/>
      <c r="CL20" s="1" t="s">
        <v>235</v>
      </c>
    </row>
    <row r="21" customFormat="false" ht="18" hidden="false" customHeight="true" outlineLevel="0" collapsed="false">
      <c r="A21" s="35" t="n">
        <v>17</v>
      </c>
      <c r="B21" s="36" t="n">
        <v>45950</v>
      </c>
      <c r="C21" s="37" t="s">
        <v>157</v>
      </c>
      <c r="D21" s="38" t="n">
        <v>70</v>
      </c>
      <c r="E21" s="13"/>
      <c r="F21" s="13"/>
      <c r="G21" s="39" t="n">
        <f aca="false">IFERROR(IF($C21="","",IF($D21="","",IFERROR(ROUND($D21*INDEX('🔖 배합비 참조'!$B$2:$CE$83,MATCH("간장",'🔖 배합비 참조'!$A$2:$A$83,0),MATCH($C21,'🔖 배합비 참조'!$B$1:$CE$1,0))/100,0),""))),"")</f>
        <v>0</v>
      </c>
      <c r="H21" s="39" t="n">
        <f aca="false">IFERROR(IF($C21="","",IF($D21="","",IFERROR(ROUND($D21*INDEX('🔖 배합비 참조'!$B$2:$CE$83,MATCH("강낭콩((울타리콩))",'🔖 배합비 참조'!$A$2:$A$83,0),MATCH($C21,'🔖 배합비 참조'!$B$1:$CE$1,0))/100,0),""))),"")</f>
        <v>0</v>
      </c>
      <c r="I21" s="39" t="n">
        <f aca="false">IFERROR(IF($C21="","",IF($D21="","",IFERROR(ROUND($D21*INDEX('🔖 배합비 참조'!$B$2:$CE$83,MATCH("건조딸기다이스(외국산)",'🔖 배합비 참조'!$A$2:$A$83,0),MATCH($C21,'🔖 배합비 참조'!$B$1:$CE$1,0))/100,0),""))),"")</f>
        <v>0</v>
      </c>
      <c r="J21" s="39" t="n">
        <f aca="false">IFERROR(IF($C21="","",IF($D21="","",IFERROR(ROUND($D21*INDEX('🔖 배합비 참조'!$B$2:$CE$83,MATCH("건포도",'🔖 배합비 참조'!$A$2:$A$83,0),MATCH($C21,'🔖 배합비 참조'!$B$1:$CE$1,0))/100,0),""))),"")</f>
        <v>0</v>
      </c>
      <c r="K21" s="39" t="n">
        <f aca="false">IFERROR(IF($C21="","",IF($D21="","",IFERROR(ROUND($D21*INDEX('🔖 배합비 참조'!$B$2:$CE$83,MATCH("건호박채(중국산)",'🔖 배합비 참조'!$A$2:$A$83,0),MATCH($C21,'🔖 배합비 참조'!$B$1:$CE$1,0))/100,0),""))),"")</f>
        <v>0</v>
      </c>
      <c r="L21" s="39" t="n">
        <f aca="false">IFERROR(IF($C21="","",IF($D21="","",IFERROR(ROUND($D21*INDEX('🔖 배합비 참조'!$B$2:$CE$83,MATCH("검정깨(흑임자)",'🔖 배합비 참조'!$A$2:$A$83,0),MATCH($C21,'🔖 배합비 참조'!$B$1:$CE$1,0))/100,0),""))),"")</f>
        <v>0</v>
      </c>
      <c r="M21" s="39" t="n">
        <f aca="false">IFERROR(IF($C21="","",IF($D21="","",IFERROR(ROUND($D21*INDEX('🔖 배합비 참조'!$B$2:$CE$83,MATCH("검정콩",'🔖 배합비 참조'!$A$2:$A$83,0),MATCH($C21,'🔖 배합비 참조'!$B$1:$CE$1,0))/100,0),""))),"")</f>
        <v>0</v>
      </c>
      <c r="N21" s="39" t="n">
        <f aca="false">IFERROR(IF($C21="","",IF($D21="","",IFERROR(ROUND($D21*INDEX('🔖 배합비 참조'!$B$2:$CE$83,MATCH("계피가루",'🔖 배합비 참조'!$A$2:$A$83,0),MATCH($C21,'🔖 배합비 참조'!$B$1:$CE$1,0))/100,0),""))),"")</f>
        <v>0</v>
      </c>
      <c r="O21" s="39" t="n">
        <f aca="false">IFERROR(IF($C21="","",IF($D21="","",IFERROR(ROUND($D21*INDEX('🔖 배합비 참조'!$B$2:$CE$83,MATCH("고구마가루",'🔖 배합비 참조'!$A$2:$A$83,0),MATCH($C21,'🔖 배합비 참조'!$B$1:$CE$1,0))/100,0),""))),"")</f>
        <v>0</v>
      </c>
      <c r="P21" s="39" t="n">
        <f aca="false">IFERROR(IF($C21="","",IF($D21="","",IFERROR(ROUND($D21*INDEX('🔖 배합비 참조'!$B$2:$CE$83,MATCH("고구마무스",'🔖 배합비 참조'!$A$2:$A$83,0),MATCH($C21,'🔖 배합비 참조'!$B$1:$CE$1,0))/100,0),""))),"")</f>
        <v>0</v>
      </c>
      <c r="Q21" s="39" t="n">
        <f aca="false">IFERROR(IF($C21="","",IF($D21="","",IFERROR(ROUND($D21*INDEX('🔖 배합비 참조'!$B$2:$CE$83,MATCH("고려엉겅퀴((곤드레)국내산)",'🔖 배합비 참조'!$A$2:$A$83,0),MATCH($C21,'🔖 배합비 참조'!$B$1:$CE$1,0))/100,0),""))),"")</f>
        <v>0</v>
      </c>
      <c r="R21" s="39" t="n">
        <f aca="false">IFERROR(IF($C21="","",IF($D21="","",IFERROR(ROUND($D21*INDEX('🔖 배합비 참조'!$B$2:$CE$83,MATCH("기타가공품(복분자가루)",'🔖 배합비 참조'!$A$2:$A$83,0),MATCH($C21,'🔖 배합비 참조'!$B$1:$CE$1,0))/100,0),""))),"")</f>
        <v>1</v>
      </c>
      <c r="S21" s="39" t="n">
        <f aca="false">IFERROR(IF($C21="","",IF($D21="","",IFERROR(ROUND($D21*INDEX('🔖 배합비 참조'!$B$2:$CE$83,MATCH("기타가공품(슈퍼소프트엠)",'🔖 배합비 참조'!$A$2:$A$83,0),MATCH($C21,'🔖 배합비 참조'!$B$1:$CE$1,0))/100,0),""))),"")</f>
        <v>0</v>
      </c>
      <c r="T21" s="39" t="n">
        <f aca="false">IFERROR(IF($C21="","",IF($D21="","",IFERROR(ROUND($D21*INDEX('🔖 배합비 참조'!$B$2:$CE$83,MATCH("기타가공품(파인소프트 E-티)",'🔖 배합비 참조'!$A$2:$A$83,0),MATCH($C21,'🔖 배합비 참조'!$B$1:$CE$1,0))/100,0),""))),"")</f>
        <v>0</v>
      </c>
      <c r="U21" s="39" t="n">
        <f aca="false">IFERROR(IF($C21="","",IF($D21="","",IFERROR(ROUND($D21*INDEX('🔖 배합비 참조'!$B$2:$CE$83,MATCH("기타가공품(프리미엄카스테라가루)",'🔖 배합비 참조'!$A$2:$A$83,0),MATCH($C21,'🔖 배합비 참조'!$B$1:$CE$1,0))/100,0),""))),"")</f>
        <v>0</v>
      </c>
      <c r="V21" s="39" t="n">
        <f aca="false">IFERROR(IF($C21="","",IF($D21="","",IFERROR(ROUND($D21*INDEX('🔖 배합비 참조'!$B$2:$CE$83,MATCH("기타가공품(흑임자가루)",'🔖 배합비 참조'!$A$2:$A$83,0),MATCH($C21,'🔖 배합비 참조'!$B$1:$CE$1,0))/100,0),""))),"")</f>
        <v>0</v>
      </c>
      <c r="W21" s="39" t="n">
        <f aca="false">IFERROR(IF($C21="","",IF($D21="","",IFERROR(ROUND($D21*INDEX('🔖 배합비 참조'!$B$2:$CE$83,MATCH("기타설탕(흑설탕)",'🔖 배합비 참조'!$A$2:$A$83,0),MATCH($C21,'🔖 배합비 참조'!$B$1:$CE$1,0))/100,0),""))),"")</f>
        <v>0</v>
      </c>
      <c r="X21" s="39" t="n">
        <f aca="false">IFERROR(IF($C21="","",IF($D21="","",IFERROR(ROUND($D21*INDEX('🔖 배합비 참조'!$B$2:$CE$83,MATCH("냉동쑥(국내산)",'🔖 배합비 참조'!$A$2:$A$83,0),MATCH($C21,'🔖 배합비 참조'!$B$1:$CE$1,0))/100,0),""))),"")</f>
        <v>0</v>
      </c>
      <c r="Y21" s="39" t="n">
        <f aca="false">IFERROR(IF($C21="","",IF($D21="","",IFERROR(ROUND($D21*INDEX('🔖 배합비 참조'!$B$2:$CE$83,MATCH("냉동증숙고구마(중국산)",'🔖 배합비 참조'!$A$2:$A$83,0),MATCH($C21,'🔖 배합비 참조'!$B$1:$CE$1,0))/100,0),""))),"")</f>
        <v>0</v>
      </c>
      <c r="Z21" s="39" t="n">
        <f aca="false">IFERROR(IF($C21="","",IF($D21="","",IFERROR(ROUND($D21*INDEX('🔖 배합비 참조'!$B$2:$CE$83,MATCH("녹차가루",'🔖 배합비 참조'!$A$2:$A$83,0),MATCH($C21,'🔖 배합비 참조'!$B$1:$CE$1,0))/100,0),""))),"")</f>
        <v>0</v>
      </c>
      <c r="AA21" s="39" t="n">
        <f aca="false">IFERROR(IF($C21="","",IF($D21="","",IFERROR(ROUND($D21*INDEX('🔖 배합비 참조'!$B$2:$CE$83,MATCH("다크초콜릿 컴파운드칩",'🔖 배합비 참조'!$A$2:$A$83,0),MATCH($C21,'🔖 배합비 참조'!$B$1:$CE$1,0))/100,0),""))),"")</f>
        <v>0</v>
      </c>
      <c r="AB21" s="39" t="n">
        <f aca="false">IFERROR(IF($C21="","",IF($D21="","",IFERROR(ROUND($D21*INDEX('🔖 배합비 참조'!$B$2:$CE$83,MATCH("단호박분말(중국산)",'🔖 배합비 참조'!$A$2:$A$83,0),MATCH($C21,'🔖 배합비 참조'!$B$1:$CE$1,0))/100,0),""))),"")</f>
        <v>0</v>
      </c>
      <c r="AC21" s="39" t="n">
        <f aca="false">IFERROR(IF($C21="","",IF($D21="","",IFERROR(ROUND($D21*INDEX('🔖 배합비 참조'!$B$2:$CE$83,MATCH("당류가공품(단호박농축액)",'🔖 배합비 참조'!$A$2:$A$83,0),MATCH($C21,'🔖 배합비 참조'!$B$1:$CE$1,0))/100,0),""))),"")</f>
        <v>0</v>
      </c>
      <c r="AD21" s="39" t="n">
        <f aca="false">IFERROR(IF($C21="","",IF($D21="","",IFERROR(ROUND($D21*INDEX('🔖 배합비 참조'!$B$2:$CE$83,MATCH("당류가공품(알룰로스,에리스리톨,스테비올배당체혼합)",'🔖 배합비 참조'!$A$2:$A$83,0),MATCH($C21,'🔖 배합비 참조'!$B$1:$CE$1,0))/100,0),""))),"")</f>
        <v>0</v>
      </c>
      <c r="AE21" s="39" t="n">
        <f aca="false">IFERROR(IF($C21="","",IF($D21="","",IFERROR(ROUND($D21*INDEX('🔖 배합비 참조'!$B$2:$CE$83,MATCH("당류가공품(알룰로스제로파우더)",'🔖 배합비 참조'!$A$2:$A$83,0),MATCH($C21,'🔖 배합비 참조'!$B$1:$CE$1,0))/100,0),""))),"")</f>
        <v>0</v>
      </c>
      <c r="AF21" s="39" t="n">
        <f aca="false">IFERROR(IF($C21="","",IF($D21="","",IFERROR(ROUND($D21*INDEX('🔖 배합비 참조'!$B$2:$CE$83,MATCH("당절임(완두배기)",'🔖 배합비 참조'!$A$2:$A$83,0),MATCH($C21,'🔖 배합비 참조'!$B$1:$CE$1,0))/100,0),""))),"")</f>
        <v>0</v>
      </c>
      <c r="AG21" s="39" t="n">
        <f aca="false">IFERROR(IF($C21="","",IF($D21="","",IFERROR(ROUND($D21*INDEX('🔖 배합비 참조'!$B$2:$CE$83,MATCH("대추농축액",'🔖 배합비 참조'!$A$2:$A$83,0),MATCH($C21,'🔖 배합비 참조'!$B$1:$CE$1,0))/100,0),""))),"")</f>
        <v>0</v>
      </c>
      <c r="AH21" s="39" t="n">
        <f aca="false">IFERROR(IF($C21="","",IF($D21="","",IFERROR(ROUND($D21*INDEX('🔖 배합비 참조'!$B$2:$CE$83,MATCH("대추채(국내산)",'🔖 배합비 참조'!$A$2:$A$83,0),MATCH($C21,'🔖 배합비 참조'!$B$1:$CE$1,0))/100,0),""))),"")</f>
        <v>0</v>
      </c>
      <c r="AI21" s="39" t="n">
        <f aca="false">IFERROR(IF($C21="","",IF($D21="","",IFERROR(ROUND($D21*INDEX('🔖 배합비 참조'!$B$2:$CE$83,MATCH("동부(미얀마산)",'🔖 배합비 참조'!$A$2:$A$83,0),MATCH($C21,'🔖 배합비 참조'!$B$1:$CE$1,0))/100,0),""))),"")</f>
        <v>0</v>
      </c>
      <c r="AJ21" s="39" t="n">
        <f aca="false">IFERROR(IF($C21="","",IF($D21="","",IFERROR(ROUND($D21*INDEX('🔖 배합비 참조'!$B$2:$CE$83,MATCH("두류가공품(백옥앙금)",'🔖 배합비 참조'!$A$2:$A$83,0),MATCH($C21,'🔖 배합비 참조'!$B$1:$CE$1,0))/100,0),""))),"")</f>
        <v>0</v>
      </c>
      <c r="AK21" s="39" t="n">
        <f aca="false">IFERROR(IF($C21="","",IF($D21="","",IFERROR(ROUND($D21*INDEX('🔖 배합비 참조'!$B$2:$CE$83,MATCH("두류가공품(콩고물)",'🔖 배합비 참조'!$A$2:$A$83,0),MATCH($C21,'🔖 배합비 참조'!$B$1:$CE$1,0))/100,0),""))),"")</f>
        <v>0</v>
      </c>
      <c r="AL21" s="39" t="n">
        <f aca="false">IFERROR(IF($C21="","",IF($D21="","",IFERROR(ROUND($D21*INDEX('🔖 배합비 참조'!$B$2:$CE$83,MATCH("두류가공품(통팥고물)",'🔖 배합비 참조'!$A$2:$A$83,0),MATCH($C21,'🔖 배합비 참조'!$B$1:$CE$1,0))/100,0),""))),"")</f>
        <v>0</v>
      </c>
      <c r="AM21" s="39" t="n">
        <f aca="false">IFERROR(IF($C21="","",IF($D21="","",IFERROR(ROUND($D21*INDEX('🔖 배합비 참조'!$B$2:$CE$83,MATCH("딸기레진",'🔖 배합비 참조'!$A$2:$A$83,0),MATCH($C21,'🔖 배합비 참조'!$B$1:$CE$1,0))/100,0),""))),"")</f>
        <v>0</v>
      </c>
      <c r="AN21" s="39" t="n">
        <f aca="false">IFERROR(IF($C21="","",IF($D21="","",IFERROR(ROUND($D21*INDEX('🔖 배합비 참조'!$B$2:$CE$83,MATCH("딸기분말(스트로우베리에이드(분말))",'🔖 배합비 참조'!$A$2:$A$83,0),MATCH($C21,'🔖 배합비 참조'!$B$1:$CE$1,0))/100,0),""))),"")</f>
        <v>0</v>
      </c>
      <c r="AO21" s="39" t="n">
        <f aca="false">IFERROR(IF($C21="","",IF($D21="","",IFERROR(ROUND($D21*INDEX('🔖 배합비 참조'!$B$2:$CE$83,MATCH("마스카포네치즈",'🔖 배합비 참조'!$A$2:$A$83,0),MATCH($C21,'🔖 배합비 참조'!$B$1:$CE$1,0))/100,0),""))),"")</f>
        <v>0</v>
      </c>
      <c r="AP21" s="39" t="n">
        <f aca="false">IFERROR(IF($C21="","",IF($D21="","",IFERROR(ROUND($D21*INDEX('🔖 배합비 참조'!$B$2:$CE$83,MATCH("마카다미아분태(호주산)",'🔖 배합비 참조'!$A$2:$A$83,0),MATCH($C21,'🔖 배합비 참조'!$B$1:$CE$1,0))/100,0),""))),"")</f>
        <v>3</v>
      </c>
      <c r="AQ21" s="39" t="n">
        <f aca="false">IFERROR(IF($C21="","",IF($D21="","",IFERROR(ROUND($D21*INDEX('🔖 배합비 참조'!$B$2:$CE$83,MATCH("멥쌀(국내산)",'🔖 배합비 참조'!$A$2:$A$83,0),MATCH($C21,'🔖 배합비 참조'!$B$1:$CE$1,0))/100,0),""))),"")</f>
        <v>0</v>
      </c>
      <c r="AR21" s="39" t="n">
        <f aca="false">IFERROR(IF($C21="","",IF($D21="","",IFERROR(ROUND($D21*INDEX('🔖 배합비 참조'!$B$2:$CE$83,MATCH("모시잎(국내산)",'🔖 배합비 참조'!$A$2:$A$83,0),MATCH($C21,'🔖 배합비 참조'!$B$1:$CE$1,0))/100,0),""))),"")</f>
        <v>0</v>
      </c>
      <c r="AS21" s="39" t="n">
        <f aca="false">IFERROR(IF($C21="","",IF($D21="","",IFERROR(ROUND($D21*INDEX('🔖 배합비 참조'!$B$2:$CE$83,MATCH("물엿(저당물엿)",'🔖 배합비 참조'!$A$2:$A$83,0),MATCH($C21,'🔖 배합비 참조'!$B$1:$CE$1,0))/100,0),""))),"")</f>
        <v>0</v>
      </c>
      <c r="AT21" s="39" t="n">
        <f aca="false">IFERROR(IF($C21="","",IF($D21="","",IFERROR(ROUND($D21*INDEX('🔖 배합비 참조'!$B$2:$CE$83,MATCH("밤다이스",'🔖 배합비 참조'!$A$2:$A$83,0),MATCH($C21,'🔖 배합비 참조'!$B$1:$CE$1,0))/100,0),""))),"")</f>
        <v>1</v>
      </c>
      <c r="AU21" s="39" t="n">
        <f aca="false">IFERROR(IF($C21="","",IF($D21="","",IFERROR(ROUND($D21*INDEX('🔖 배합비 참조'!$B$2:$CE$83,MATCH("변성전분(타피오카전분)",'🔖 배합비 참조'!$A$2:$A$83,0),MATCH($C21,'🔖 배합비 참조'!$B$1:$CE$1,0))/100,0),""))),"")</f>
        <v>0</v>
      </c>
      <c r="AV21" s="39" t="n">
        <f aca="false">IFERROR(IF($C21="","",IF($D21="","",IFERROR(ROUND($D21*INDEX('🔖 배합비 참조'!$B$2:$CE$83,MATCH("복음땅콩분태",'🔖 배합비 참조'!$A$2:$A$83,0),MATCH($C21,'🔖 배합비 참조'!$B$1:$CE$1,0))/100,0),""))),"")</f>
        <v>0</v>
      </c>
      <c r="AW21" s="39" t="n">
        <f aca="false">IFERROR(IF($C21="","",IF($D21="","",IFERROR(ROUND($D21*INDEX('🔖 배합비 참조'!$B$2:$CE$83,MATCH("사양벌꿀(국내산)",'🔖 배합비 참조'!$A$2:$A$83,0),MATCH($C21,'🔖 배합비 참조'!$B$1:$CE$1,0))/100,0),""))),"")</f>
        <v>0</v>
      </c>
      <c r="AX21" s="39" t="n">
        <f aca="false">IFERROR(IF($C21="","",IF($D21="","",IFERROR(ROUND($D21*INDEX('🔖 배합비 참조'!$B$2:$CE$83,MATCH("생크림",'🔖 배합비 참조'!$A$2:$A$83,0),MATCH($C21,'🔖 배합비 참조'!$B$1:$CE$1,0))/100,0),""))),"")</f>
        <v>0</v>
      </c>
      <c r="AY21" s="39" t="n">
        <f aca="false">IFERROR(IF($C21="","",IF($D21="","",IFERROR(ROUND($D21*INDEX('🔖 배합비 참조'!$B$2:$CE$83,MATCH("서양호박(국내산,뉴질랜드산)",'🔖 배합비 참조'!$A$2:$A$83,0),MATCH($C21,'🔖 배합비 참조'!$B$1:$CE$1,0))/100,0),""))),"")</f>
        <v>0</v>
      </c>
      <c r="AZ21" s="39" t="n">
        <f aca="false">IFERROR(IF($C21="","",IF($D21="","",IFERROR(ROUND($D21*INDEX('🔖 배합비 참조'!$B$2:$CE$83,MATCH("설탕",'🔖 배합비 참조'!$A$2:$A$83,0),MATCH($C21,'🔖 배합비 참조'!$B$1:$CE$1,0))/100,0),""))),"")</f>
        <v>1</v>
      </c>
      <c r="BA21" s="39" t="n">
        <f aca="false">IFERROR(IF($C21="","",IF($D21="","",IFERROR(ROUND($D21*INDEX('🔖 배합비 참조'!$B$2:$CE$83,MATCH("스트로우베리 에이드 후레쉬",'🔖 배합비 참조'!$A$2:$A$83,0),MATCH($C21,'🔖 배합비 참조'!$B$1:$CE$1,0))/100,0),""))),"")</f>
        <v>0</v>
      </c>
      <c r="BB21" s="39" t="n">
        <f aca="false">IFERROR(IF($C21="","",IF($D21="","",IFERROR(ROUND($D21*INDEX('🔖 배합비 참조'!$B$2:$CE$83,MATCH("식물성기름혼합제제(분홍)",'🔖 배합비 참조'!$A$2:$A$83,0),MATCH($C21,'🔖 배합비 참조'!$B$1:$CE$1,0))/100,0),""))),"")</f>
        <v>0</v>
      </c>
      <c r="BC21" s="39" t="n">
        <f aca="false">IFERROR(IF($C21="","",IF($D21="","",IFERROR(ROUND($D21*INDEX('🔖 배합비 참조'!$B$2:$CE$83,MATCH("식물성기름혼합제제(초록)",'🔖 배합비 참조'!$A$2:$A$83,0),MATCH($C21,'🔖 배합비 참조'!$B$1:$CE$1,0))/100,0),""))),"")</f>
        <v>0</v>
      </c>
      <c r="BD21" s="39" t="n">
        <f aca="false">IFERROR(IF($C21="","",IF($D21="","",IFERROR(ROUND($D21*INDEX('🔖 배합비 참조'!$B$2:$CE$83,MATCH("식물성기름혼합제제(황색)",'🔖 배합비 참조'!$A$2:$A$83,0),MATCH($C21,'🔖 배합비 참조'!$B$1:$CE$1,0))/100,0),""))),"")</f>
        <v>0</v>
      </c>
      <c r="BE21" s="39" t="n">
        <f aca="false">IFERROR(IF($C21="","",IF($D21="","",IFERROR(ROUND($D21*INDEX('🔖 배합비 참조'!$B$2:$CE$83,MATCH("쑥가루(국내산)",'🔖 배합비 참조'!$A$2:$A$83,0),MATCH($C21,'🔖 배합비 참조'!$B$1:$CE$1,0))/100,0),""))),"")</f>
        <v>0</v>
      </c>
      <c r="BF21" s="39" t="n">
        <f aca="false">IFERROR(IF($C21="","",IF($D21="","",IFERROR(ROUND($D21*INDEX('🔖 배합비 참조'!$B$2:$CE$83,MATCH("아몬드슬라이스",'🔖 배합비 참조'!$A$2:$A$83,0),MATCH($C21,'🔖 배합비 참조'!$B$1:$CE$1,0))/100,0),""))),"")</f>
        <v>0</v>
      </c>
      <c r="BG21" s="39" t="n">
        <f aca="false">IFERROR(IF($C21="","",IF($D21="","",IFERROR(ROUND($D21*INDEX('🔖 배합비 참조'!$B$2:$CE$83,MATCH("알룰로오스(국내산)",'🔖 배합비 참조'!$A$2:$A$83,0),MATCH($C21,'🔖 배합비 참조'!$B$1:$CE$1,0))/100,0),""))),"")</f>
        <v>0</v>
      </c>
      <c r="BH21" s="39" t="n">
        <f aca="false">IFERROR(IF($C21="","",IF($D21="","",IFERROR(ROUND($D21*INDEX('🔖 배합비 참조'!$B$2:$CE$83,MATCH("연유",'🔖 배합비 참조'!$A$2:$A$83,0),MATCH($C21,'🔖 배합비 참조'!$B$1:$CE$1,0))/100,0),""))),"")</f>
        <v>0</v>
      </c>
      <c r="BI21" s="39" t="n">
        <f aca="false">IFERROR(IF($C21="","",IF($D21="","",IFERROR(ROUND($D21*INDEX('🔖 배합비 참조'!$B$2:$CE$83,MATCH("옥수수전분",'🔖 배합비 참조'!$A$2:$A$83,0),MATCH($C21,'🔖 배합비 참조'!$B$1:$CE$1,0))/100,0),""))),"")</f>
        <v>1</v>
      </c>
      <c r="BJ21" s="39" t="n">
        <f aca="false">IFERROR(IF($C21="","",IF($D21="","",IFERROR(ROUND($D21*INDEX('🔖 배합비 참조'!$B$2:$CE$83,MATCH("완두배기",'🔖 배합비 참조'!$A$2:$A$83,0),MATCH($C21,'🔖 배합비 참조'!$B$1:$CE$1,0))/100,0),""))),"")</f>
        <v>0</v>
      </c>
      <c r="BK21" s="39" t="n">
        <f aca="false">IFERROR(IF($C21="","",IF($D21="","",IFERROR(ROUND($D21*INDEX('🔖 배합비 참조'!$B$2:$CE$83,MATCH("우유(국내산)",'🔖 배합비 참조'!$A$2:$A$83,0),MATCH($C21,'🔖 배합비 참조'!$B$1:$CE$1,0))/100,0),""))),"")</f>
        <v>0</v>
      </c>
      <c r="BL21" s="39" t="n">
        <f aca="false">IFERROR(IF($C21="","",IF($D21="","",IFERROR(ROUND($D21*INDEX('🔖 배합비 참조'!$B$2:$CE$83,MATCH("자색고구마가루(중국산)",'🔖 배합비 참조'!$A$2:$A$83,0),MATCH($C21,'🔖 배합비 참조'!$B$1:$CE$1,0))/100,0),""))),"")</f>
        <v>0</v>
      </c>
      <c r="BM21" s="39" t="n">
        <f aca="false">IFERROR(IF($C21="","",IF($D21="","",IFERROR(ROUND($D21*INDEX('🔖 배합비 참조'!$B$2:$CE$83,MATCH("자연치즈(체다치즈)",'🔖 배합비 참조'!$A$2:$A$83,0),MATCH($C21,'🔖 배합비 참조'!$B$1:$CE$1,0))/100,0),""))),"")</f>
        <v>0</v>
      </c>
      <c r="BN21" s="39" t="n">
        <f aca="false">IFERROR(IF($C21="","",IF($D21="","",IFERROR(ROUND($D21*INDEX('🔖 배합비 참조'!$B$2:$CE$83,MATCH("정제수",'🔖 배합비 참조'!$A$2:$A$83,0),MATCH($C21,'🔖 배합비 참조'!$B$1:$CE$1,0))/100,0),""))),"")</f>
        <v>12</v>
      </c>
      <c r="BO21" s="39" t="n">
        <f aca="false">IFERROR(IF($C21="","",IF($D21="","",IFERROR(ROUND($D21*INDEX('🔖 배합비 참조'!$B$2:$CE$83,MATCH("젤라틴",'🔖 배합비 참조'!$A$2:$A$83,0),MATCH($C21,'🔖 배합비 참조'!$B$1:$CE$1,0))/100,0),""))),"")</f>
        <v>0</v>
      </c>
      <c r="BP21" s="39" t="n">
        <f aca="false">IFERROR(IF($C21="","",IF($D21="","",IFERROR(ROUND($D21*INDEX('🔖 배합비 참조'!$B$2:$CE$83,MATCH("조림류(백옥앙금)",'🔖 배합비 참조'!$A$2:$A$83,0),MATCH($C21,'🔖 배합비 참조'!$B$1:$CE$1,0))/100,0),""))),"")</f>
        <v>0</v>
      </c>
      <c r="BQ21" s="39" t="n">
        <f aca="false">IFERROR(IF($C21="","",IF($D21="","",IFERROR(ROUND($D21*INDEX('🔖 배합비 참조'!$B$2:$CE$83,MATCH("조림류(통팥앙금)",'🔖 배합비 참조'!$A$2:$A$83,0),MATCH($C21,'🔖 배합비 참조'!$B$1:$CE$1,0))/100,0),""))),"")</f>
        <v>23</v>
      </c>
      <c r="BR21" s="39" t="n">
        <f aca="false">IFERROR(IF($C21="","",IF($D21="","",IFERROR(ROUND($D21*INDEX('🔖 배합비 참조'!$B$2:$CE$83,MATCH("준초콜릿(외국산)",'🔖 배합비 참조'!$A$2:$A$83,0),MATCH($C21,'🔖 배합비 참조'!$B$1:$CE$1,0))/100,0),""))),"")</f>
        <v>0</v>
      </c>
      <c r="BS21" s="39" t="n">
        <f aca="false">IFERROR(IF($C21="","",IF($D21="","",IFERROR(ROUND($D21*INDEX('🔖 배합비 참조'!$B$2:$CE$83,MATCH("중력분",'🔖 배합비 참조'!$A$2:$A$83,0),MATCH($C21,'🔖 배합비 참조'!$B$1:$CE$1,0))/100,0),""))),"")</f>
        <v>0</v>
      </c>
      <c r="BT21" s="39" t="n">
        <f aca="false">IFERROR(IF($C21="","",IF($D21="","",IFERROR(ROUND($D21*INDEX('🔖 배합비 참조'!$B$2:$CE$83,MATCH("참깨(인도산,나이지리아산,탄자니아산,미얀마산)",'🔖 배합비 참조'!$A$2:$A$83,0),MATCH($C21,'🔖 배합비 참조'!$B$1:$CE$1,0))/100,0),""))),"")</f>
        <v>0</v>
      </c>
      <c r="BU21" s="39" t="n">
        <f aca="false">IFERROR(IF($C21="","",IF($D21="","",IFERROR(ROUND($D21*INDEX('🔖 배합비 참조'!$B$2:$CE$83,MATCH("찹쌀(국내산)",'🔖 배합비 참조'!$A$2:$A$83,0),MATCH($C21,'🔖 배합비 참조'!$B$1:$CE$1,0))/100,0),""))),"")</f>
        <v>25</v>
      </c>
      <c r="BV21" s="39" t="n">
        <f aca="false">IFERROR(IF($C21="","",IF($D21="","",IFERROR(ROUND($D21*INDEX('🔖 배합비 참조'!$B$2:$CE$83,MATCH("천일염",'🔖 배합비 참조'!$A$2:$A$83,0),MATCH($C21,'🔖 배합비 참조'!$B$1:$CE$1,0))/100,0),""))),"")</f>
        <v>1</v>
      </c>
      <c r="BW21" s="39" t="n">
        <f aca="false">IFERROR(IF($C21="","",IF($D21="","",IFERROR(ROUND($D21*INDEX('🔖 배합비 참조'!$B$2:$CE$83,MATCH("치즈 [크림치즈]",'🔖 배합비 참조'!$A$2:$A$83,0),MATCH($C21,'🔖 배합비 참조'!$B$1:$CE$1,0))/100,0),""))),"")</f>
        <v>0</v>
      </c>
      <c r="BX21" s="39" t="n">
        <f aca="false">IFERROR(IF($C21="","",IF($D21="","",IFERROR(ROUND($D21*INDEX('🔖 배합비 참조'!$B$2:$CE$83,MATCH("코코아가공품류(코코아분말)",'🔖 배합비 참조'!$A$2:$A$83,0),MATCH($C21,'🔖 배합비 참조'!$B$1:$CE$1,0))/100,0),""))),"")</f>
        <v>0</v>
      </c>
      <c r="BY21" s="39" t="n">
        <f aca="false">IFERROR(IF($C21="","",IF($D21="","",IFERROR(ROUND($D21*INDEX('🔖 배합비 참조'!$B$2:$CE$83,MATCH("콩기름(대두유)",'🔖 배합비 참조'!$A$2:$A$83,0),MATCH($C21,'🔖 배합비 참조'!$B$1:$CE$1,0))/100,0),""))),"")</f>
        <v>0</v>
      </c>
      <c r="BZ21" s="39" t="n">
        <f aca="false">IFERROR(IF($C21="","",IF($D21="","",IFERROR(ROUND($D21*INDEX('🔖 배합비 참조'!$B$2:$CE$83,MATCH("해바라기씨앗",'🔖 배합비 참조'!$A$2:$A$83,0),MATCH($C21,'🔖 배합비 참조'!$B$1:$CE$1,0))/100,0),""))),"")</f>
        <v>0</v>
      </c>
      <c r="CA21" s="39" t="n">
        <f aca="false">IFERROR(IF($C21="","",IF($D21="","",IFERROR(ROUND($D21*INDEX('🔖 배합비 참조'!$B$2:$CE$83,MATCH("현미(국내산)",'🔖 배합비 참조'!$A$2:$A$83,0),MATCH($C21,'🔖 배합비 참조'!$B$1:$CE$1,0))/100,0),""))),"")</f>
        <v>0</v>
      </c>
      <c r="CB21" s="39" t="n">
        <f aca="false">IFERROR(IF($C21="","",IF($D21="","",IFERROR(ROUND($D21*INDEX('🔖 배합비 참조'!$B$2:$CE$83,MATCH("현미멥쌀(국내산)",'🔖 배합비 참조'!$A$2:$A$83,0),MATCH($C21,'🔖 배합비 참조'!$B$1:$CE$1,0))/100,0),""))),"")</f>
        <v>0</v>
      </c>
      <c r="CC21" s="39" t="n">
        <f aca="false">IFERROR(IF($C21="","",IF($D21="","",IFERROR(ROUND($D21*INDEX('🔖 배합비 참조'!$B$2:$CE$83,MATCH("호두분태(미국산)",'🔖 배합비 참조'!$A$2:$A$83,0),MATCH($C21,'🔖 배합비 참조'!$B$1:$CE$1,0))/100,0),""))),"")</f>
        <v>2</v>
      </c>
      <c r="CD21" s="39" t="n">
        <f aca="false">IFERROR(IF($C21="","",IF($D21="","",IFERROR(ROUND($D21*INDEX('🔖 배합비 참조'!$B$2:$CE$83,MATCH("호박씨앗(외국산)",'🔖 배합비 참조'!$A$2:$A$83,0),MATCH($C21,'🔖 배합비 참조'!$B$1:$CE$1,0))/100,0),""))),"")</f>
        <v>0</v>
      </c>
      <c r="CE21" s="39" t="n">
        <f aca="false">IFERROR(IF($C21="","",IF($D21="","",IFERROR(ROUND($D21*INDEX('🔖 배합비 참조'!$B$2:$CE$83,MATCH("혼합제제(떡용에스텔)",'🔖 배합비 참조'!$A$2:$A$83,0),MATCH($C21,'🔖 배합비 참조'!$B$1:$CE$1,0))/100,0),""))),"")</f>
        <v>0</v>
      </c>
      <c r="CF21" s="39" t="n">
        <f aca="false">IFERROR(IF($C21="","",IF($D21="","",IFERROR(ROUND($D21*INDEX('🔖 배합비 참조'!$B$2:$CE$83,MATCH("혼합제제(스테비아)",'🔖 배합비 참조'!$A$2:$A$83,0),MATCH($C21,'🔖 배합비 참조'!$B$1:$CE$1,0))/100,0),""))),"")</f>
        <v>0</v>
      </c>
      <c r="CG21" s="39" t="n">
        <f aca="false">IFERROR(IF($C21="","",IF($D21="","",IFERROR(ROUND($D21*INDEX('🔖 배합비 참조'!$B$2:$CE$83,MATCH("화이트초콜릿",'🔖 배합비 참조'!$A$2:$A$83,0),MATCH($C21,'🔖 배합비 참조'!$B$1:$CE$1,0))/100,0),""))),"")</f>
        <v>0</v>
      </c>
      <c r="CH21" s="39" t="n">
        <f aca="false">IFERROR(IF($C21="","",IF($D21="","",IFERROR(ROUND($D21*INDEX('🔖 배합비 참조'!$B$2:$CE$83,MATCH("흑미찹쌀(국내산)",'🔖 배합비 참조'!$A$2:$A$83,0),MATCH($C21,'🔖 배합비 참조'!$B$1:$CE$1,0))/100,0),""))),"")</f>
        <v>0</v>
      </c>
      <c r="CI21" s="39" t="n">
        <f aca="false">IFERROR(IF($C21="","",IF($D21="","",IFERROR(ROUND($D21*INDEX('🔖 배합비 참조'!$B$2:$CE$83,MATCH("찰옥수수전분(미국산)",'🔖 배합비 참조'!$A$2:$A$83,0),MATCH($C21,'🔖 배합비 참조'!$B$1:$CE$1,0))/100,0),""))),"")</f>
        <v>0</v>
      </c>
      <c r="CJ21" s="40"/>
      <c r="CL21" s="1" t="s">
        <v>235</v>
      </c>
    </row>
    <row r="22" customFormat="false" ht="18" hidden="false" customHeight="true" outlineLevel="0" collapsed="false">
      <c r="A22" s="41" t="n">
        <v>18</v>
      </c>
      <c r="B22" s="36" t="n">
        <v>45950</v>
      </c>
      <c r="C22" s="37" t="s">
        <v>158</v>
      </c>
      <c r="D22" s="38" t="n">
        <v>70</v>
      </c>
      <c r="E22" s="17"/>
      <c r="F22" s="17"/>
      <c r="G22" s="42" t="n">
        <f aca="false">IFERROR(IF($C22="","",IF($D22="","",IFERROR(ROUND($D22*INDEX('🔖 배합비 참조'!$B$2:$CE$83,MATCH("간장",'🔖 배합비 참조'!$A$2:$A$83,0),MATCH($C22,'🔖 배합비 참조'!$B$1:$CE$1,0))/100,0),""))),"")</f>
        <v>0</v>
      </c>
      <c r="H22" s="42" t="n">
        <f aca="false">IFERROR(IF($C22="","",IF($D22="","",IFERROR(ROUND($D22*INDEX('🔖 배합비 참조'!$B$2:$CE$83,MATCH("강낭콩((울타리콩))",'🔖 배합비 참조'!$A$2:$A$83,0),MATCH($C22,'🔖 배합비 참조'!$B$1:$CE$1,0))/100,0),""))),"")</f>
        <v>0</v>
      </c>
      <c r="I22" s="42" t="n">
        <f aca="false">IFERROR(IF($C22="","",IF($D22="","",IFERROR(ROUND($D22*INDEX('🔖 배합비 참조'!$B$2:$CE$83,MATCH("건조딸기다이스(외국산)",'🔖 배합비 참조'!$A$2:$A$83,0),MATCH($C22,'🔖 배합비 참조'!$B$1:$CE$1,0))/100,0),""))),"")</f>
        <v>0</v>
      </c>
      <c r="J22" s="42" t="n">
        <f aca="false">IFERROR(IF($C22="","",IF($D22="","",IFERROR(ROUND($D22*INDEX('🔖 배합비 참조'!$B$2:$CE$83,MATCH("건포도",'🔖 배합비 참조'!$A$2:$A$83,0),MATCH($C22,'🔖 배합비 참조'!$B$1:$CE$1,0))/100,0),""))),"")</f>
        <v>0</v>
      </c>
      <c r="K22" s="42" t="n">
        <f aca="false">IFERROR(IF($C22="","",IF($D22="","",IFERROR(ROUND($D22*INDEX('🔖 배합비 참조'!$B$2:$CE$83,MATCH("건호박채(중국산)",'🔖 배합비 참조'!$A$2:$A$83,0),MATCH($C22,'🔖 배합비 참조'!$B$1:$CE$1,0))/100,0),""))),"")</f>
        <v>0</v>
      </c>
      <c r="L22" s="42" t="n">
        <f aca="false">IFERROR(IF($C22="","",IF($D22="","",IFERROR(ROUND($D22*INDEX('🔖 배합비 참조'!$B$2:$CE$83,MATCH("검정깨(흑임자)",'🔖 배합비 참조'!$A$2:$A$83,0),MATCH($C22,'🔖 배합비 참조'!$B$1:$CE$1,0))/100,0),""))),"")</f>
        <v>0</v>
      </c>
      <c r="M22" s="42" t="n">
        <f aca="false">IFERROR(IF($C22="","",IF($D22="","",IFERROR(ROUND($D22*INDEX('🔖 배합비 참조'!$B$2:$CE$83,MATCH("검정콩",'🔖 배합비 참조'!$A$2:$A$83,0),MATCH($C22,'🔖 배합비 참조'!$B$1:$CE$1,0))/100,0),""))),"")</f>
        <v>0</v>
      </c>
      <c r="N22" s="42" t="n">
        <f aca="false">IFERROR(IF($C22="","",IF($D22="","",IFERROR(ROUND($D22*INDEX('🔖 배합비 참조'!$B$2:$CE$83,MATCH("계피가루",'🔖 배합비 참조'!$A$2:$A$83,0),MATCH($C22,'🔖 배합비 참조'!$B$1:$CE$1,0))/100,0),""))),"")</f>
        <v>0</v>
      </c>
      <c r="O22" s="42" t="n">
        <f aca="false">IFERROR(IF($C22="","",IF($D22="","",IFERROR(ROUND($D22*INDEX('🔖 배합비 참조'!$B$2:$CE$83,MATCH("고구마가루",'🔖 배합비 참조'!$A$2:$A$83,0),MATCH($C22,'🔖 배합비 참조'!$B$1:$CE$1,0))/100,0),""))),"")</f>
        <v>0</v>
      </c>
      <c r="P22" s="42" t="n">
        <f aca="false">IFERROR(IF($C22="","",IF($D22="","",IFERROR(ROUND($D22*INDEX('🔖 배합비 참조'!$B$2:$CE$83,MATCH("고구마무스",'🔖 배합비 참조'!$A$2:$A$83,0),MATCH($C22,'🔖 배합비 참조'!$B$1:$CE$1,0))/100,0),""))),"")</f>
        <v>0</v>
      </c>
      <c r="Q22" s="42" t="n">
        <f aca="false">IFERROR(IF($C22="","",IF($D22="","",IFERROR(ROUND($D22*INDEX('🔖 배합비 참조'!$B$2:$CE$83,MATCH("고려엉겅퀴((곤드레)국내산)",'🔖 배합비 참조'!$A$2:$A$83,0),MATCH($C22,'🔖 배합비 참조'!$B$1:$CE$1,0))/100,0),""))),"")</f>
        <v>0</v>
      </c>
      <c r="R22" s="42" t="n">
        <f aca="false">IFERROR(IF($C22="","",IF($D22="","",IFERROR(ROUND($D22*INDEX('🔖 배합비 참조'!$B$2:$CE$83,MATCH("기타가공품(복분자가루)",'🔖 배합비 참조'!$A$2:$A$83,0),MATCH($C22,'🔖 배합비 참조'!$B$1:$CE$1,0))/100,0),""))),"")</f>
        <v>0</v>
      </c>
      <c r="S22" s="42" t="n">
        <f aca="false">IFERROR(IF($C22="","",IF($D22="","",IFERROR(ROUND($D22*INDEX('🔖 배합비 참조'!$B$2:$CE$83,MATCH("기타가공품(슈퍼소프트엠)",'🔖 배합비 참조'!$A$2:$A$83,0),MATCH($C22,'🔖 배합비 참조'!$B$1:$CE$1,0))/100,0),""))),"")</f>
        <v>0</v>
      </c>
      <c r="T22" s="42" t="n">
        <f aca="false">IFERROR(IF($C22="","",IF($D22="","",IFERROR(ROUND($D22*INDEX('🔖 배합비 참조'!$B$2:$CE$83,MATCH("기타가공품(파인소프트 E-티)",'🔖 배합비 참조'!$A$2:$A$83,0),MATCH($C22,'🔖 배합비 참조'!$B$1:$CE$1,0))/100,0),""))),"")</f>
        <v>0</v>
      </c>
      <c r="U22" s="42" t="n">
        <f aca="false">IFERROR(IF($C22="","",IF($D22="","",IFERROR(ROUND($D22*INDEX('🔖 배합비 참조'!$B$2:$CE$83,MATCH("기타가공품(프리미엄카스테라가루)",'🔖 배합비 참조'!$A$2:$A$83,0),MATCH($C22,'🔖 배합비 참조'!$B$1:$CE$1,0))/100,0),""))),"")</f>
        <v>0</v>
      </c>
      <c r="V22" s="42" t="n">
        <f aca="false">IFERROR(IF($C22="","",IF($D22="","",IFERROR(ROUND($D22*INDEX('🔖 배합비 참조'!$B$2:$CE$83,MATCH("기타가공품(흑임자가루)",'🔖 배합비 참조'!$A$2:$A$83,0),MATCH($C22,'🔖 배합비 참조'!$B$1:$CE$1,0))/100,0),""))),"")</f>
        <v>0</v>
      </c>
      <c r="W22" s="42" t="n">
        <f aca="false">IFERROR(IF($C22="","",IF($D22="","",IFERROR(ROUND($D22*INDEX('🔖 배합비 참조'!$B$2:$CE$83,MATCH("기타설탕(흑설탕)",'🔖 배합비 참조'!$A$2:$A$83,0),MATCH($C22,'🔖 배합비 참조'!$B$1:$CE$1,0))/100,0),""))),"")</f>
        <v>0</v>
      </c>
      <c r="X22" s="42" t="n">
        <f aca="false">IFERROR(IF($C22="","",IF($D22="","",IFERROR(ROUND($D22*INDEX('🔖 배합비 참조'!$B$2:$CE$83,MATCH("냉동쑥(국내산)",'🔖 배합비 참조'!$A$2:$A$83,0),MATCH($C22,'🔖 배합비 참조'!$B$1:$CE$1,0))/100,0),""))),"")</f>
        <v>0</v>
      </c>
      <c r="Y22" s="42" t="n">
        <f aca="false">IFERROR(IF($C22="","",IF($D22="","",IFERROR(ROUND($D22*INDEX('🔖 배합비 참조'!$B$2:$CE$83,MATCH("냉동증숙고구마(중국산)",'🔖 배합비 참조'!$A$2:$A$83,0),MATCH($C22,'🔖 배합비 참조'!$B$1:$CE$1,0))/100,0),""))),"")</f>
        <v>0</v>
      </c>
      <c r="Z22" s="42" t="n">
        <f aca="false">IFERROR(IF($C22="","",IF($D22="","",IFERROR(ROUND($D22*INDEX('🔖 배합비 참조'!$B$2:$CE$83,MATCH("녹차가루",'🔖 배합비 참조'!$A$2:$A$83,0),MATCH($C22,'🔖 배합비 참조'!$B$1:$CE$1,0))/100,0),""))),"")</f>
        <v>0</v>
      </c>
      <c r="AA22" s="42" t="n">
        <f aca="false">IFERROR(IF($C22="","",IF($D22="","",IFERROR(ROUND($D22*INDEX('🔖 배합비 참조'!$B$2:$CE$83,MATCH("다크초콜릿 컴파운드칩",'🔖 배합비 참조'!$A$2:$A$83,0),MATCH($C22,'🔖 배합비 참조'!$B$1:$CE$1,0))/100,0),""))),"")</f>
        <v>0</v>
      </c>
      <c r="AB22" s="42" t="n">
        <f aca="false">IFERROR(IF($C22="","",IF($D22="","",IFERROR(ROUND($D22*INDEX('🔖 배합비 참조'!$B$2:$CE$83,MATCH("단호박분말(중국산)",'🔖 배합비 참조'!$A$2:$A$83,0),MATCH($C22,'🔖 배합비 참조'!$B$1:$CE$1,0))/100,0),""))),"")</f>
        <v>0</v>
      </c>
      <c r="AC22" s="42" t="n">
        <f aca="false">IFERROR(IF($C22="","",IF($D22="","",IFERROR(ROUND($D22*INDEX('🔖 배합비 참조'!$B$2:$CE$83,MATCH("당류가공품(단호박농축액)",'🔖 배합비 참조'!$A$2:$A$83,0),MATCH($C22,'🔖 배합비 참조'!$B$1:$CE$1,0))/100,0),""))),"")</f>
        <v>0</v>
      </c>
      <c r="AD22" s="42" t="n">
        <f aca="false">IFERROR(IF($C22="","",IF($D22="","",IFERROR(ROUND($D22*INDEX('🔖 배합비 참조'!$B$2:$CE$83,MATCH("당류가공품(알룰로스,에리스리톨,스테비올배당체혼합)",'🔖 배합비 참조'!$A$2:$A$83,0),MATCH($C22,'🔖 배합비 참조'!$B$1:$CE$1,0))/100,0),""))),"")</f>
        <v>0</v>
      </c>
      <c r="AE22" s="42" t="n">
        <f aca="false">IFERROR(IF($C22="","",IF($D22="","",IFERROR(ROUND($D22*INDEX('🔖 배합비 참조'!$B$2:$CE$83,MATCH("당류가공품(알룰로스제로파우더)",'🔖 배합비 참조'!$A$2:$A$83,0),MATCH($C22,'🔖 배합비 참조'!$B$1:$CE$1,0))/100,0),""))),"")</f>
        <v>0</v>
      </c>
      <c r="AF22" s="42" t="n">
        <f aca="false">IFERROR(IF($C22="","",IF($D22="","",IFERROR(ROUND($D22*INDEX('🔖 배합비 참조'!$B$2:$CE$83,MATCH("당절임(완두배기)",'🔖 배합비 참조'!$A$2:$A$83,0),MATCH($C22,'🔖 배합비 참조'!$B$1:$CE$1,0))/100,0),""))),"")</f>
        <v>0</v>
      </c>
      <c r="AG22" s="42" t="n">
        <f aca="false">IFERROR(IF($C22="","",IF($D22="","",IFERROR(ROUND($D22*INDEX('🔖 배합비 참조'!$B$2:$CE$83,MATCH("대추농축액",'🔖 배합비 참조'!$A$2:$A$83,0),MATCH($C22,'🔖 배합비 참조'!$B$1:$CE$1,0))/100,0),""))),"")</f>
        <v>0</v>
      </c>
      <c r="AH22" s="42" t="n">
        <f aca="false">IFERROR(IF($C22="","",IF($D22="","",IFERROR(ROUND($D22*INDEX('🔖 배합비 참조'!$B$2:$CE$83,MATCH("대추채(국내산)",'🔖 배합비 참조'!$A$2:$A$83,0),MATCH($C22,'🔖 배합비 참조'!$B$1:$CE$1,0))/100,0),""))),"")</f>
        <v>0</v>
      </c>
      <c r="AI22" s="42" t="n">
        <f aca="false">IFERROR(IF($C22="","",IF($D22="","",IFERROR(ROUND($D22*INDEX('🔖 배합비 참조'!$B$2:$CE$83,MATCH("동부(미얀마산)",'🔖 배합비 참조'!$A$2:$A$83,0),MATCH($C22,'🔖 배합비 참조'!$B$1:$CE$1,0))/100,0),""))),"")</f>
        <v>0</v>
      </c>
      <c r="AJ22" s="42" t="n">
        <f aca="false">IFERROR(IF($C22="","",IF($D22="","",IFERROR(ROUND($D22*INDEX('🔖 배합비 참조'!$B$2:$CE$83,MATCH("두류가공품(백옥앙금)",'🔖 배합비 참조'!$A$2:$A$83,0),MATCH($C22,'🔖 배합비 참조'!$B$1:$CE$1,0))/100,0),""))),"")</f>
        <v>0</v>
      </c>
      <c r="AK22" s="42" t="n">
        <f aca="false">IFERROR(IF($C22="","",IF($D22="","",IFERROR(ROUND($D22*INDEX('🔖 배합비 참조'!$B$2:$CE$83,MATCH("두류가공품(콩고물)",'🔖 배합비 참조'!$A$2:$A$83,0),MATCH($C22,'🔖 배합비 참조'!$B$1:$CE$1,0))/100,0),""))),"")</f>
        <v>0</v>
      </c>
      <c r="AL22" s="42" t="n">
        <f aca="false">IFERROR(IF($C22="","",IF($D22="","",IFERROR(ROUND($D22*INDEX('🔖 배합비 참조'!$B$2:$CE$83,MATCH("두류가공품(통팥고물)",'🔖 배합비 참조'!$A$2:$A$83,0),MATCH($C22,'🔖 배합비 참조'!$B$1:$CE$1,0))/100,0),""))),"")</f>
        <v>0</v>
      </c>
      <c r="AM22" s="42" t="n">
        <f aca="false">IFERROR(IF($C22="","",IF($D22="","",IFERROR(ROUND($D22*INDEX('🔖 배합비 참조'!$B$2:$CE$83,MATCH("딸기레진",'🔖 배합비 참조'!$A$2:$A$83,0),MATCH($C22,'🔖 배합비 참조'!$B$1:$CE$1,0))/100,0),""))),"")</f>
        <v>0</v>
      </c>
      <c r="AN22" s="42" t="n">
        <f aca="false">IFERROR(IF($C22="","",IF($D22="","",IFERROR(ROUND($D22*INDEX('🔖 배합비 참조'!$B$2:$CE$83,MATCH("딸기분말(스트로우베리에이드(분말))",'🔖 배합비 참조'!$A$2:$A$83,0),MATCH($C22,'🔖 배합비 참조'!$B$1:$CE$1,0))/100,0),""))),"")</f>
        <v>0</v>
      </c>
      <c r="AO22" s="42" t="n">
        <f aca="false">IFERROR(IF($C22="","",IF($D22="","",IFERROR(ROUND($D22*INDEX('🔖 배합비 참조'!$B$2:$CE$83,MATCH("마스카포네치즈",'🔖 배합비 참조'!$A$2:$A$83,0),MATCH($C22,'🔖 배합비 참조'!$B$1:$CE$1,0))/100,0),""))),"")</f>
        <v>0</v>
      </c>
      <c r="AP22" s="42" t="n">
        <f aca="false">IFERROR(IF($C22="","",IF($D22="","",IFERROR(ROUND($D22*INDEX('🔖 배합비 참조'!$B$2:$CE$83,MATCH("마카다미아분태(호주산)",'🔖 배합비 참조'!$A$2:$A$83,0),MATCH($C22,'🔖 배합비 참조'!$B$1:$CE$1,0))/100,0),""))),"")</f>
        <v>3</v>
      </c>
      <c r="AQ22" s="42" t="n">
        <f aca="false">IFERROR(IF($C22="","",IF($D22="","",IFERROR(ROUND($D22*INDEX('🔖 배합비 참조'!$B$2:$CE$83,MATCH("멥쌀(국내산)",'🔖 배합비 참조'!$A$2:$A$83,0),MATCH($C22,'🔖 배합비 참조'!$B$1:$CE$1,0))/100,0),""))),"")</f>
        <v>0</v>
      </c>
      <c r="AR22" s="42" t="n">
        <f aca="false">IFERROR(IF($C22="","",IF($D22="","",IFERROR(ROUND($D22*INDEX('🔖 배합비 참조'!$B$2:$CE$83,MATCH("모시잎(국내산)",'🔖 배합비 참조'!$A$2:$A$83,0),MATCH($C22,'🔖 배합비 참조'!$B$1:$CE$1,0))/100,0),""))),"")</f>
        <v>0</v>
      </c>
      <c r="AS22" s="42" t="n">
        <f aca="false">IFERROR(IF($C22="","",IF($D22="","",IFERROR(ROUND($D22*INDEX('🔖 배합비 참조'!$B$2:$CE$83,MATCH("물엿(저당물엿)",'🔖 배합비 참조'!$A$2:$A$83,0),MATCH($C22,'🔖 배합비 참조'!$B$1:$CE$1,0))/100,0),""))),"")</f>
        <v>0</v>
      </c>
      <c r="AT22" s="42" t="n">
        <f aca="false">IFERROR(IF($C22="","",IF($D22="","",IFERROR(ROUND($D22*INDEX('🔖 배합비 참조'!$B$2:$CE$83,MATCH("밤다이스",'🔖 배합비 참조'!$A$2:$A$83,0),MATCH($C22,'🔖 배합비 참조'!$B$1:$CE$1,0))/100,0),""))),"")</f>
        <v>1</v>
      </c>
      <c r="AU22" s="42" t="n">
        <f aca="false">IFERROR(IF($C22="","",IF($D22="","",IFERROR(ROUND($D22*INDEX('🔖 배합비 참조'!$B$2:$CE$83,MATCH("변성전분(타피오카전분)",'🔖 배합비 참조'!$A$2:$A$83,0),MATCH($C22,'🔖 배합비 참조'!$B$1:$CE$1,0))/100,0),""))),"")</f>
        <v>0</v>
      </c>
      <c r="AV22" s="42" t="n">
        <f aca="false">IFERROR(IF($C22="","",IF($D22="","",IFERROR(ROUND($D22*INDEX('🔖 배합비 참조'!$B$2:$CE$83,MATCH("복음땅콩분태",'🔖 배합비 참조'!$A$2:$A$83,0),MATCH($C22,'🔖 배합비 참조'!$B$1:$CE$1,0))/100,0),""))),"")</f>
        <v>0</v>
      </c>
      <c r="AW22" s="42" t="n">
        <f aca="false">IFERROR(IF($C22="","",IF($D22="","",IFERROR(ROUND($D22*INDEX('🔖 배합비 참조'!$B$2:$CE$83,MATCH("사양벌꿀(국내산)",'🔖 배합비 참조'!$A$2:$A$83,0),MATCH($C22,'🔖 배합비 참조'!$B$1:$CE$1,0))/100,0),""))),"")</f>
        <v>0</v>
      </c>
      <c r="AX22" s="42" t="n">
        <f aca="false">IFERROR(IF($C22="","",IF($D22="","",IFERROR(ROUND($D22*INDEX('🔖 배합비 참조'!$B$2:$CE$83,MATCH("생크림",'🔖 배합비 참조'!$A$2:$A$83,0),MATCH($C22,'🔖 배합비 참조'!$B$1:$CE$1,0))/100,0),""))),"")</f>
        <v>0</v>
      </c>
      <c r="AY22" s="42" t="n">
        <f aca="false">IFERROR(IF($C22="","",IF($D22="","",IFERROR(ROUND($D22*INDEX('🔖 배합비 참조'!$B$2:$CE$83,MATCH("서양호박(국내산,뉴질랜드산)",'🔖 배합비 참조'!$A$2:$A$83,0),MATCH($C22,'🔖 배합비 참조'!$B$1:$CE$1,0))/100,0),""))),"")</f>
        <v>0</v>
      </c>
      <c r="AZ22" s="42" t="n">
        <f aca="false">IFERROR(IF($C22="","",IF($D22="","",IFERROR(ROUND($D22*INDEX('🔖 배합비 참조'!$B$2:$CE$83,MATCH("설탕",'🔖 배합비 참조'!$A$2:$A$83,0),MATCH($C22,'🔖 배합비 참조'!$B$1:$CE$1,0))/100,0),""))),"")</f>
        <v>1</v>
      </c>
      <c r="BA22" s="42" t="n">
        <f aca="false">IFERROR(IF($C22="","",IF($D22="","",IFERROR(ROUND($D22*INDEX('🔖 배합비 참조'!$B$2:$CE$83,MATCH("스트로우베리 에이드 후레쉬",'🔖 배합비 참조'!$A$2:$A$83,0),MATCH($C22,'🔖 배합비 참조'!$B$1:$CE$1,0))/100,0),""))),"")</f>
        <v>0</v>
      </c>
      <c r="BB22" s="42" t="n">
        <f aca="false">IFERROR(IF($C22="","",IF($D22="","",IFERROR(ROUND($D22*INDEX('🔖 배합비 참조'!$B$2:$CE$83,MATCH("식물성기름혼합제제(분홍)",'🔖 배합비 참조'!$A$2:$A$83,0),MATCH($C22,'🔖 배합비 참조'!$B$1:$CE$1,0))/100,0),""))),"")</f>
        <v>0</v>
      </c>
      <c r="BC22" s="42" t="n">
        <f aca="false">IFERROR(IF($C22="","",IF($D22="","",IFERROR(ROUND($D22*INDEX('🔖 배합비 참조'!$B$2:$CE$83,MATCH("식물성기름혼합제제(초록)",'🔖 배합비 참조'!$A$2:$A$83,0),MATCH($C22,'🔖 배합비 참조'!$B$1:$CE$1,0))/100,0),""))),"")</f>
        <v>0</v>
      </c>
      <c r="BD22" s="42" t="n">
        <f aca="false">IFERROR(IF($C22="","",IF($D22="","",IFERROR(ROUND($D22*INDEX('🔖 배합비 참조'!$B$2:$CE$83,MATCH("식물성기름혼합제제(황색)",'🔖 배합비 참조'!$A$2:$A$83,0),MATCH($C22,'🔖 배합비 참조'!$B$1:$CE$1,0))/100,0),""))),"")</f>
        <v>0</v>
      </c>
      <c r="BE22" s="42" t="n">
        <f aca="false">IFERROR(IF($C22="","",IF($D22="","",IFERROR(ROUND($D22*INDEX('🔖 배합비 참조'!$B$2:$CE$83,MATCH("쑥가루(국내산)",'🔖 배합비 참조'!$A$2:$A$83,0),MATCH($C22,'🔖 배합비 참조'!$B$1:$CE$1,0))/100,0),""))),"")</f>
        <v>1</v>
      </c>
      <c r="BF22" s="42" t="n">
        <f aca="false">IFERROR(IF($C22="","",IF($D22="","",IFERROR(ROUND($D22*INDEX('🔖 배합비 참조'!$B$2:$CE$83,MATCH("아몬드슬라이스",'🔖 배합비 참조'!$A$2:$A$83,0),MATCH($C22,'🔖 배합비 참조'!$B$1:$CE$1,0))/100,0),""))),"")</f>
        <v>0</v>
      </c>
      <c r="BG22" s="42" t="n">
        <f aca="false">IFERROR(IF($C22="","",IF($D22="","",IFERROR(ROUND($D22*INDEX('🔖 배합비 참조'!$B$2:$CE$83,MATCH("알룰로오스(국내산)",'🔖 배합비 참조'!$A$2:$A$83,0),MATCH($C22,'🔖 배합비 참조'!$B$1:$CE$1,0))/100,0),""))),"")</f>
        <v>0</v>
      </c>
      <c r="BH22" s="42" t="n">
        <f aca="false">IFERROR(IF($C22="","",IF($D22="","",IFERROR(ROUND($D22*INDEX('🔖 배합비 참조'!$B$2:$CE$83,MATCH("연유",'🔖 배합비 참조'!$A$2:$A$83,0),MATCH($C22,'🔖 배합비 참조'!$B$1:$CE$1,0))/100,0),""))),"")</f>
        <v>0</v>
      </c>
      <c r="BI22" s="42" t="n">
        <f aca="false">IFERROR(IF($C22="","",IF($D22="","",IFERROR(ROUND($D22*INDEX('🔖 배합비 참조'!$B$2:$CE$83,MATCH("옥수수전분",'🔖 배합비 참조'!$A$2:$A$83,0),MATCH($C22,'🔖 배합비 참조'!$B$1:$CE$1,0))/100,0),""))),"")</f>
        <v>1</v>
      </c>
      <c r="BJ22" s="42" t="n">
        <f aca="false">IFERROR(IF($C22="","",IF($D22="","",IFERROR(ROUND($D22*INDEX('🔖 배합비 참조'!$B$2:$CE$83,MATCH("완두배기",'🔖 배합비 참조'!$A$2:$A$83,0),MATCH($C22,'🔖 배합비 참조'!$B$1:$CE$1,0))/100,0),""))),"")</f>
        <v>0</v>
      </c>
      <c r="BK22" s="42" t="n">
        <f aca="false">IFERROR(IF($C22="","",IF($D22="","",IFERROR(ROUND($D22*INDEX('🔖 배합비 참조'!$B$2:$CE$83,MATCH("우유(국내산)",'🔖 배합비 참조'!$A$2:$A$83,0),MATCH($C22,'🔖 배합비 참조'!$B$1:$CE$1,0))/100,0),""))),"")</f>
        <v>0</v>
      </c>
      <c r="BL22" s="42" t="n">
        <f aca="false">IFERROR(IF($C22="","",IF($D22="","",IFERROR(ROUND($D22*INDEX('🔖 배합비 참조'!$B$2:$CE$83,MATCH("자색고구마가루(중국산)",'🔖 배합비 참조'!$A$2:$A$83,0),MATCH($C22,'🔖 배합비 참조'!$B$1:$CE$1,0))/100,0),""))),"")</f>
        <v>0</v>
      </c>
      <c r="BM22" s="42" t="n">
        <f aca="false">IFERROR(IF($C22="","",IF($D22="","",IFERROR(ROUND($D22*INDEX('🔖 배합비 참조'!$B$2:$CE$83,MATCH("자연치즈(체다치즈)",'🔖 배합비 참조'!$A$2:$A$83,0),MATCH($C22,'🔖 배합비 참조'!$B$1:$CE$1,0))/100,0),""))),"")</f>
        <v>0</v>
      </c>
      <c r="BN22" s="42" t="n">
        <f aca="false">IFERROR(IF($C22="","",IF($D22="","",IFERROR(ROUND($D22*INDEX('🔖 배합비 참조'!$B$2:$CE$83,MATCH("정제수",'🔖 배합비 참조'!$A$2:$A$83,0),MATCH($C22,'🔖 배합비 참조'!$B$1:$CE$1,0))/100,0),""))),"")</f>
        <v>12</v>
      </c>
      <c r="BO22" s="42" t="n">
        <f aca="false">IFERROR(IF($C22="","",IF($D22="","",IFERROR(ROUND($D22*INDEX('🔖 배합비 참조'!$B$2:$CE$83,MATCH("젤라틴",'🔖 배합비 참조'!$A$2:$A$83,0),MATCH($C22,'🔖 배합비 참조'!$B$1:$CE$1,0))/100,0),""))),"")</f>
        <v>0</v>
      </c>
      <c r="BP22" s="42" t="n">
        <f aca="false">IFERROR(IF($C22="","",IF($D22="","",IFERROR(ROUND($D22*INDEX('🔖 배합비 참조'!$B$2:$CE$83,MATCH("조림류(백옥앙금)",'🔖 배합비 참조'!$A$2:$A$83,0),MATCH($C22,'🔖 배합비 참조'!$B$1:$CE$1,0))/100,0),""))),"")</f>
        <v>0</v>
      </c>
      <c r="BQ22" s="42" t="n">
        <f aca="false">IFERROR(IF($C22="","",IF($D22="","",IFERROR(ROUND($D22*INDEX('🔖 배합비 참조'!$B$2:$CE$83,MATCH("조림류(통팥앙금)",'🔖 배합비 참조'!$A$2:$A$83,0),MATCH($C22,'🔖 배합비 참조'!$B$1:$CE$1,0))/100,0),""))),"")</f>
        <v>23</v>
      </c>
      <c r="BR22" s="42" t="n">
        <f aca="false">IFERROR(IF($C22="","",IF($D22="","",IFERROR(ROUND($D22*INDEX('🔖 배합비 참조'!$B$2:$CE$83,MATCH("준초콜릿(외국산)",'🔖 배합비 참조'!$A$2:$A$83,0),MATCH($C22,'🔖 배합비 참조'!$B$1:$CE$1,0))/100,0),""))),"")</f>
        <v>0</v>
      </c>
      <c r="BS22" s="42" t="n">
        <f aca="false">IFERROR(IF($C22="","",IF($D22="","",IFERROR(ROUND($D22*INDEX('🔖 배합비 참조'!$B$2:$CE$83,MATCH("중력분",'🔖 배합비 참조'!$A$2:$A$83,0),MATCH($C22,'🔖 배합비 참조'!$B$1:$CE$1,0))/100,0),""))),"")</f>
        <v>0</v>
      </c>
      <c r="BT22" s="42" t="n">
        <f aca="false">IFERROR(IF($C22="","",IF($D22="","",IFERROR(ROUND($D22*INDEX('🔖 배합비 참조'!$B$2:$CE$83,MATCH("참깨(인도산,나이지리아산,탄자니아산,미얀마산)",'🔖 배합비 참조'!$A$2:$A$83,0),MATCH($C22,'🔖 배합비 참조'!$B$1:$CE$1,0))/100,0),""))),"")</f>
        <v>0</v>
      </c>
      <c r="BU22" s="42" t="n">
        <f aca="false">IFERROR(IF($C22="","",IF($D22="","",IFERROR(ROUND($D22*INDEX('🔖 배합비 참조'!$B$2:$CE$83,MATCH("찹쌀(국내산)",'🔖 배합비 참조'!$A$2:$A$83,0),MATCH($C22,'🔖 배합비 참조'!$B$1:$CE$1,0))/100,0),""))),"")</f>
        <v>25</v>
      </c>
      <c r="BV22" s="42" t="n">
        <f aca="false">IFERROR(IF($C22="","",IF($D22="","",IFERROR(ROUND($D22*INDEX('🔖 배합비 참조'!$B$2:$CE$83,MATCH("천일염",'🔖 배합비 참조'!$A$2:$A$83,0),MATCH($C22,'🔖 배합비 참조'!$B$1:$CE$1,0))/100,0),""))),"")</f>
        <v>1</v>
      </c>
      <c r="BW22" s="42" t="n">
        <f aca="false">IFERROR(IF($C22="","",IF($D22="","",IFERROR(ROUND($D22*INDEX('🔖 배합비 참조'!$B$2:$CE$83,MATCH("치즈 [크림치즈]",'🔖 배합비 참조'!$A$2:$A$83,0),MATCH($C22,'🔖 배합비 참조'!$B$1:$CE$1,0))/100,0),""))),"")</f>
        <v>0</v>
      </c>
      <c r="BX22" s="42" t="n">
        <f aca="false">IFERROR(IF($C22="","",IF($D22="","",IFERROR(ROUND($D22*INDEX('🔖 배합비 참조'!$B$2:$CE$83,MATCH("코코아가공품류(코코아분말)",'🔖 배합비 참조'!$A$2:$A$83,0),MATCH($C22,'🔖 배합비 참조'!$B$1:$CE$1,0))/100,0),""))),"")</f>
        <v>0</v>
      </c>
      <c r="BY22" s="42" t="n">
        <f aca="false">IFERROR(IF($C22="","",IF($D22="","",IFERROR(ROUND($D22*INDEX('🔖 배합비 참조'!$B$2:$CE$83,MATCH("콩기름(대두유)",'🔖 배합비 참조'!$A$2:$A$83,0),MATCH($C22,'🔖 배합비 참조'!$B$1:$CE$1,0))/100,0),""))),"")</f>
        <v>0</v>
      </c>
      <c r="BZ22" s="42" t="n">
        <f aca="false">IFERROR(IF($C22="","",IF($D22="","",IFERROR(ROUND($D22*INDEX('🔖 배합비 참조'!$B$2:$CE$83,MATCH("해바라기씨앗",'🔖 배합비 참조'!$A$2:$A$83,0),MATCH($C22,'🔖 배합비 참조'!$B$1:$CE$1,0))/100,0),""))),"")</f>
        <v>0</v>
      </c>
      <c r="CA22" s="42" t="n">
        <f aca="false">IFERROR(IF($C22="","",IF($D22="","",IFERROR(ROUND($D22*INDEX('🔖 배합비 참조'!$B$2:$CE$83,MATCH("현미(국내산)",'🔖 배합비 참조'!$A$2:$A$83,0),MATCH($C22,'🔖 배합비 참조'!$B$1:$CE$1,0))/100,0),""))),"")</f>
        <v>0</v>
      </c>
      <c r="CB22" s="42" t="n">
        <f aca="false">IFERROR(IF($C22="","",IF($D22="","",IFERROR(ROUND($D22*INDEX('🔖 배합비 참조'!$B$2:$CE$83,MATCH("현미멥쌀(국내산)",'🔖 배합비 참조'!$A$2:$A$83,0),MATCH($C22,'🔖 배합비 참조'!$B$1:$CE$1,0))/100,0),""))),"")</f>
        <v>0</v>
      </c>
      <c r="CC22" s="42" t="n">
        <f aca="false">IFERROR(IF($C22="","",IF($D22="","",IFERROR(ROUND($D22*INDEX('🔖 배합비 참조'!$B$2:$CE$83,MATCH("호두분태(미국산)",'🔖 배합비 참조'!$A$2:$A$83,0),MATCH($C22,'🔖 배합비 참조'!$B$1:$CE$1,0))/100,0),""))),"")</f>
        <v>2</v>
      </c>
      <c r="CD22" s="42" t="n">
        <f aca="false">IFERROR(IF($C22="","",IF($D22="","",IFERROR(ROUND($D22*INDEX('🔖 배합비 참조'!$B$2:$CE$83,MATCH("호박씨앗(외국산)",'🔖 배합비 참조'!$A$2:$A$83,0),MATCH($C22,'🔖 배합비 참조'!$B$1:$CE$1,0))/100,0),""))),"")</f>
        <v>0</v>
      </c>
      <c r="CE22" s="42" t="n">
        <f aca="false">IFERROR(IF($C22="","",IF($D22="","",IFERROR(ROUND($D22*INDEX('🔖 배합비 참조'!$B$2:$CE$83,MATCH("혼합제제(떡용에스텔)",'🔖 배합비 참조'!$A$2:$A$83,0),MATCH($C22,'🔖 배합비 참조'!$B$1:$CE$1,0))/100,0),""))),"")</f>
        <v>0</v>
      </c>
      <c r="CF22" s="42" t="n">
        <f aca="false">IFERROR(IF($C22="","",IF($D22="","",IFERROR(ROUND($D22*INDEX('🔖 배합비 참조'!$B$2:$CE$83,MATCH("혼합제제(스테비아)",'🔖 배합비 참조'!$A$2:$A$83,0),MATCH($C22,'🔖 배합비 참조'!$B$1:$CE$1,0))/100,0),""))),"")</f>
        <v>0</v>
      </c>
      <c r="CG22" s="42" t="n">
        <f aca="false">IFERROR(IF($C22="","",IF($D22="","",IFERROR(ROUND($D22*INDEX('🔖 배합비 참조'!$B$2:$CE$83,MATCH("화이트초콜릿",'🔖 배합비 참조'!$A$2:$A$83,0),MATCH($C22,'🔖 배합비 참조'!$B$1:$CE$1,0))/100,0),""))),"")</f>
        <v>0</v>
      </c>
      <c r="CH22" s="42" t="n">
        <f aca="false">IFERROR(IF($C22="","",IF($D22="","",IFERROR(ROUND($D22*INDEX('🔖 배합비 참조'!$B$2:$CE$83,MATCH("흑미찹쌀(국내산)",'🔖 배합비 참조'!$A$2:$A$83,0),MATCH($C22,'🔖 배합비 참조'!$B$1:$CE$1,0))/100,0),""))),"")</f>
        <v>0</v>
      </c>
      <c r="CI22" s="42" t="n">
        <f aca="false">IFERROR(IF($C22="","",IF($D22="","",IFERROR(ROUND($D22*INDEX('🔖 배합비 참조'!$B$2:$CE$83,MATCH("찰옥수수전분(미국산)",'🔖 배합비 참조'!$A$2:$A$83,0),MATCH($C22,'🔖 배합비 참조'!$B$1:$CE$1,0))/100,0),""))),"")</f>
        <v>0</v>
      </c>
      <c r="CJ22" s="40"/>
      <c r="CL22" s="1" t="s">
        <v>235</v>
      </c>
    </row>
    <row r="23" customFormat="false" ht="18" hidden="false" customHeight="true" outlineLevel="0" collapsed="false">
      <c r="A23" s="35" t="n">
        <v>19</v>
      </c>
      <c r="B23" s="36" t="n">
        <v>45951</v>
      </c>
      <c r="C23" s="37" t="s">
        <v>143</v>
      </c>
      <c r="D23" s="38" t="n">
        <v>132.5</v>
      </c>
      <c r="E23" s="13"/>
      <c r="F23" s="13"/>
      <c r="G23" s="39" t="n">
        <f aca="false">IFERROR(IF($C23="","",IF($D23="","",IFERROR(ROUND($D23*INDEX('🔖 배합비 참조'!$B$2:$CE$83,MATCH("간장",'🔖 배합비 참조'!$A$2:$A$83,0),MATCH($C23,'🔖 배합비 참조'!$B$1:$CE$1,0))/100,0),""))),"")</f>
        <v>0</v>
      </c>
      <c r="H23" s="39" t="n">
        <f aca="false">IFERROR(IF($C23="","",IF($D23="","",IFERROR(ROUND($D23*INDEX('🔖 배합비 참조'!$B$2:$CE$83,MATCH("강낭콩((울타리콩))",'🔖 배합비 참조'!$A$2:$A$83,0),MATCH($C23,'🔖 배합비 참조'!$B$1:$CE$1,0))/100,0),""))),"")</f>
        <v>0</v>
      </c>
      <c r="I23" s="39" t="n">
        <f aca="false">IFERROR(IF($C23="","",IF($D23="","",IFERROR(ROUND($D23*INDEX('🔖 배합비 참조'!$B$2:$CE$83,MATCH("건조딸기다이스(외국산)",'🔖 배합비 참조'!$A$2:$A$83,0),MATCH($C23,'🔖 배합비 참조'!$B$1:$CE$1,0))/100,0),""))),"")</f>
        <v>0</v>
      </c>
      <c r="J23" s="39" t="n">
        <f aca="false">IFERROR(IF($C23="","",IF($D23="","",IFERROR(ROUND($D23*INDEX('🔖 배합비 참조'!$B$2:$CE$83,MATCH("건포도",'🔖 배합비 참조'!$A$2:$A$83,0),MATCH($C23,'🔖 배합비 참조'!$B$1:$CE$1,0))/100,0),""))),"")</f>
        <v>0</v>
      </c>
      <c r="K23" s="39" t="n">
        <f aca="false">IFERROR(IF($C23="","",IF($D23="","",IFERROR(ROUND($D23*INDEX('🔖 배합비 참조'!$B$2:$CE$83,MATCH("건호박채(중국산)",'🔖 배합비 참조'!$A$2:$A$83,0),MATCH($C23,'🔖 배합비 참조'!$B$1:$CE$1,0))/100,0),""))),"")</f>
        <v>0</v>
      </c>
      <c r="L23" s="39" t="n">
        <f aca="false">IFERROR(IF($C23="","",IF($D23="","",IFERROR(ROUND($D23*INDEX('🔖 배합비 참조'!$B$2:$CE$83,MATCH("검정깨(흑임자)",'🔖 배합비 참조'!$A$2:$A$83,0),MATCH($C23,'🔖 배합비 참조'!$B$1:$CE$1,0))/100,0),""))),"")</f>
        <v>0</v>
      </c>
      <c r="M23" s="39" t="n">
        <f aca="false">IFERROR(IF($C23="","",IF($D23="","",IFERROR(ROUND($D23*INDEX('🔖 배합비 참조'!$B$2:$CE$83,MATCH("검정콩",'🔖 배합비 참조'!$A$2:$A$83,0),MATCH($C23,'🔖 배합비 참조'!$B$1:$CE$1,0))/100,0),""))),"")</f>
        <v>0</v>
      </c>
      <c r="N23" s="39" t="n">
        <f aca="false">IFERROR(IF($C23="","",IF($D23="","",IFERROR(ROUND($D23*INDEX('🔖 배합비 참조'!$B$2:$CE$83,MATCH("계피가루",'🔖 배합비 참조'!$A$2:$A$83,0),MATCH($C23,'🔖 배합비 참조'!$B$1:$CE$1,0))/100,0),""))),"")</f>
        <v>0</v>
      </c>
      <c r="O23" s="39" t="n">
        <f aca="false">IFERROR(IF($C23="","",IF($D23="","",IFERROR(ROUND($D23*INDEX('🔖 배합비 참조'!$B$2:$CE$83,MATCH("고구마가루",'🔖 배합비 참조'!$A$2:$A$83,0),MATCH($C23,'🔖 배합비 참조'!$B$1:$CE$1,0))/100,0),""))),"")</f>
        <v>0</v>
      </c>
      <c r="P23" s="39" t="n">
        <f aca="false">IFERROR(IF($C23="","",IF($D23="","",IFERROR(ROUND($D23*INDEX('🔖 배합비 참조'!$B$2:$CE$83,MATCH("고구마무스",'🔖 배합비 참조'!$A$2:$A$83,0),MATCH($C23,'🔖 배합비 참조'!$B$1:$CE$1,0))/100,0),""))),"")</f>
        <v>0</v>
      </c>
      <c r="Q23" s="39" t="n">
        <f aca="false">IFERROR(IF($C23="","",IF($D23="","",IFERROR(ROUND($D23*INDEX('🔖 배합비 참조'!$B$2:$CE$83,MATCH("고려엉겅퀴((곤드레)국내산)",'🔖 배합비 참조'!$A$2:$A$83,0),MATCH($C23,'🔖 배합비 참조'!$B$1:$CE$1,0))/100,0),""))),"")</f>
        <v>0</v>
      </c>
      <c r="R23" s="39" t="n">
        <f aca="false">IFERROR(IF($C23="","",IF($D23="","",IFERROR(ROUND($D23*INDEX('🔖 배합비 참조'!$B$2:$CE$83,MATCH("기타가공품(복분자가루)",'🔖 배합비 참조'!$A$2:$A$83,0),MATCH($C23,'🔖 배합비 참조'!$B$1:$CE$1,0))/100,0),""))),"")</f>
        <v>0</v>
      </c>
      <c r="S23" s="39" t="n">
        <f aca="false">IFERROR(IF($C23="","",IF($D23="","",IFERROR(ROUND($D23*INDEX('🔖 배합비 참조'!$B$2:$CE$83,MATCH("기타가공품(슈퍼소프트엠)",'🔖 배합비 참조'!$A$2:$A$83,0),MATCH($C23,'🔖 배합비 참조'!$B$1:$CE$1,0))/100,0),""))),"")</f>
        <v>0</v>
      </c>
      <c r="T23" s="39" t="n">
        <f aca="false">IFERROR(IF($C23="","",IF($D23="","",IFERROR(ROUND($D23*INDEX('🔖 배합비 참조'!$B$2:$CE$83,MATCH("기타가공품(파인소프트 E-티)",'🔖 배합비 참조'!$A$2:$A$83,0),MATCH($C23,'🔖 배합비 참조'!$B$1:$CE$1,0))/100,0),""))),"")</f>
        <v>0</v>
      </c>
      <c r="U23" s="39" t="n">
        <f aca="false">IFERROR(IF($C23="","",IF($D23="","",IFERROR(ROUND($D23*INDEX('🔖 배합비 참조'!$B$2:$CE$83,MATCH("기타가공품(프리미엄카스테라가루)",'🔖 배합비 참조'!$A$2:$A$83,0),MATCH($C23,'🔖 배합비 참조'!$B$1:$CE$1,0))/100,0),""))),"")</f>
        <v>0</v>
      </c>
      <c r="V23" s="39" t="n">
        <f aca="false">IFERROR(IF($C23="","",IF($D23="","",IFERROR(ROUND($D23*INDEX('🔖 배합비 참조'!$B$2:$CE$83,MATCH("기타가공품(흑임자가루)",'🔖 배합비 참조'!$A$2:$A$83,0),MATCH($C23,'🔖 배합비 참조'!$B$1:$CE$1,0))/100,0),""))),"")</f>
        <v>0</v>
      </c>
      <c r="W23" s="39" t="n">
        <f aca="false">IFERROR(IF($C23="","",IF($D23="","",IFERROR(ROUND($D23*INDEX('🔖 배합비 참조'!$B$2:$CE$83,MATCH("기타설탕(흑설탕)",'🔖 배합비 참조'!$A$2:$A$83,0),MATCH($C23,'🔖 배합비 참조'!$B$1:$CE$1,0))/100,0),""))),"")</f>
        <v>11</v>
      </c>
      <c r="X23" s="39" t="n">
        <f aca="false">IFERROR(IF($C23="","",IF($D23="","",IFERROR(ROUND($D23*INDEX('🔖 배합비 참조'!$B$2:$CE$83,MATCH("냉동쑥(국내산)",'🔖 배합비 참조'!$A$2:$A$83,0),MATCH($C23,'🔖 배합비 참조'!$B$1:$CE$1,0))/100,0),""))),"")</f>
        <v>0</v>
      </c>
      <c r="Y23" s="39" t="n">
        <f aca="false">IFERROR(IF($C23="","",IF($D23="","",IFERROR(ROUND($D23*INDEX('🔖 배합비 참조'!$B$2:$CE$83,MATCH("냉동증숙고구마(중국산)",'🔖 배합비 참조'!$A$2:$A$83,0),MATCH($C23,'🔖 배합비 참조'!$B$1:$CE$1,0))/100,0),""))),"")</f>
        <v>0</v>
      </c>
      <c r="Z23" s="39" t="n">
        <f aca="false">IFERROR(IF($C23="","",IF($D23="","",IFERROR(ROUND($D23*INDEX('🔖 배합비 참조'!$B$2:$CE$83,MATCH("녹차가루",'🔖 배합비 참조'!$A$2:$A$83,0),MATCH($C23,'🔖 배합비 참조'!$B$1:$CE$1,0))/100,0),""))),"")</f>
        <v>0</v>
      </c>
      <c r="AA23" s="39" t="n">
        <f aca="false">IFERROR(IF($C23="","",IF($D23="","",IFERROR(ROUND($D23*INDEX('🔖 배합비 참조'!$B$2:$CE$83,MATCH("다크초콜릿 컴파운드칩",'🔖 배합비 참조'!$A$2:$A$83,0),MATCH($C23,'🔖 배합비 참조'!$B$1:$CE$1,0))/100,0),""))),"")</f>
        <v>0</v>
      </c>
      <c r="AB23" s="39" t="n">
        <f aca="false">IFERROR(IF($C23="","",IF($D23="","",IFERROR(ROUND($D23*INDEX('🔖 배합비 참조'!$B$2:$CE$83,MATCH("단호박분말(중국산)",'🔖 배합비 참조'!$A$2:$A$83,0),MATCH($C23,'🔖 배합비 참조'!$B$1:$CE$1,0))/100,0),""))),"")</f>
        <v>0</v>
      </c>
      <c r="AC23" s="39" t="n">
        <f aca="false">IFERROR(IF($C23="","",IF($D23="","",IFERROR(ROUND($D23*INDEX('🔖 배합비 참조'!$B$2:$CE$83,MATCH("당류가공품(단호박농축액)",'🔖 배합비 참조'!$A$2:$A$83,0),MATCH($C23,'🔖 배합비 참조'!$B$1:$CE$1,0))/100,0),""))),"")</f>
        <v>0</v>
      </c>
      <c r="AD23" s="39" t="n">
        <f aca="false">IFERROR(IF($C23="","",IF($D23="","",IFERROR(ROUND($D23*INDEX('🔖 배합비 참조'!$B$2:$CE$83,MATCH("당류가공품(알룰로스,에리스리톨,스테비올배당체혼합)",'🔖 배합비 참조'!$A$2:$A$83,0),MATCH($C23,'🔖 배합비 참조'!$B$1:$CE$1,0))/100,0),""))),"")</f>
        <v>0</v>
      </c>
      <c r="AE23" s="39" t="n">
        <f aca="false">IFERROR(IF($C23="","",IF($D23="","",IFERROR(ROUND($D23*INDEX('🔖 배합비 참조'!$B$2:$CE$83,MATCH("당류가공품(알룰로스제로파우더)",'🔖 배합비 참조'!$A$2:$A$83,0),MATCH($C23,'🔖 배합비 참조'!$B$1:$CE$1,0))/100,0),""))),"")</f>
        <v>0</v>
      </c>
      <c r="AF23" s="39" t="n">
        <f aca="false">IFERROR(IF($C23="","",IF($D23="","",IFERROR(ROUND($D23*INDEX('🔖 배합비 참조'!$B$2:$CE$83,MATCH("당절임(완두배기)",'🔖 배합비 참조'!$A$2:$A$83,0),MATCH($C23,'🔖 배합비 참조'!$B$1:$CE$1,0))/100,0),""))),"")</f>
        <v>0</v>
      </c>
      <c r="AG23" s="39" t="n">
        <f aca="false">IFERROR(IF($C23="","",IF($D23="","",IFERROR(ROUND($D23*INDEX('🔖 배합비 참조'!$B$2:$CE$83,MATCH("대추농축액",'🔖 배합비 참조'!$A$2:$A$83,0),MATCH($C23,'🔖 배합비 참조'!$B$1:$CE$1,0))/100,0),""))),"")</f>
        <v>0</v>
      </c>
      <c r="AH23" s="39" t="n">
        <f aca="false">IFERROR(IF($C23="","",IF($D23="","",IFERROR(ROUND($D23*INDEX('🔖 배합비 참조'!$B$2:$CE$83,MATCH("대추채(국내산)",'🔖 배합비 참조'!$A$2:$A$83,0),MATCH($C23,'🔖 배합비 참조'!$B$1:$CE$1,0))/100,0),""))),"")</f>
        <v>0</v>
      </c>
      <c r="AI23" s="39" t="n">
        <f aca="false">IFERROR(IF($C23="","",IF($D23="","",IFERROR(ROUND($D23*INDEX('🔖 배합비 참조'!$B$2:$CE$83,MATCH("동부(미얀마산)",'🔖 배합비 참조'!$A$2:$A$83,0),MATCH($C23,'🔖 배합비 참조'!$B$1:$CE$1,0))/100,0),""))),"")</f>
        <v>0</v>
      </c>
      <c r="AJ23" s="39" t="n">
        <f aca="false">IFERROR(IF($C23="","",IF($D23="","",IFERROR(ROUND($D23*INDEX('🔖 배합비 참조'!$B$2:$CE$83,MATCH("두류가공품(백옥앙금)",'🔖 배합비 참조'!$A$2:$A$83,0),MATCH($C23,'🔖 배합비 참조'!$B$1:$CE$1,0))/100,0),""))),"")</f>
        <v>0</v>
      </c>
      <c r="AK23" s="39" t="n">
        <f aca="false">IFERROR(IF($C23="","",IF($D23="","",IFERROR(ROUND($D23*INDEX('🔖 배합비 참조'!$B$2:$CE$83,MATCH("두류가공품(콩고물)",'🔖 배합비 참조'!$A$2:$A$83,0),MATCH($C23,'🔖 배합비 참조'!$B$1:$CE$1,0))/100,0),""))),"")</f>
        <v>0</v>
      </c>
      <c r="AL23" s="39" t="n">
        <f aca="false">IFERROR(IF($C23="","",IF($D23="","",IFERROR(ROUND($D23*INDEX('🔖 배합비 참조'!$B$2:$CE$83,MATCH("두류가공품(통팥고물)",'🔖 배합비 참조'!$A$2:$A$83,0),MATCH($C23,'🔖 배합비 참조'!$B$1:$CE$1,0))/100,0),""))),"")</f>
        <v>0</v>
      </c>
      <c r="AM23" s="39" t="n">
        <f aca="false">IFERROR(IF($C23="","",IF($D23="","",IFERROR(ROUND($D23*INDEX('🔖 배합비 참조'!$B$2:$CE$83,MATCH("딸기레진",'🔖 배합비 참조'!$A$2:$A$83,0),MATCH($C23,'🔖 배합비 참조'!$B$1:$CE$1,0))/100,0),""))),"")</f>
        <v>0</v>
      </c>
      <c r="AN23" s="39" t="n">
        <f aca="false">IFERROR(IF($C23="","",IF($D23="","",IFERROR(ROUND($D23*INDEX('🔖 배합비 참조'!$B$2:$CE$83,MATCH("딸기분말(스트로우베리에이드(분말))",'🔖 배합비 참조'!$A$2:$A$83,0),MATCH($C23,'🔖 배합비 참조'!$B$1:$CE$1,0))/100,0),""))),"")</f>
        <v>0</v>
      </c>
      <c r="AO23" s="39" t="n">
        <f aca="false">IFERROR(IF($C23="","",IF($D23="","",IFERROR(ROUND($D23*INDEX('🔖 배합비 참조'!$B$2:$CE$83,MATCH("마스카포네치즈",'🔖 배합비 참조'!$A$2:$A$83,0),MATCH($C23,'🔖 배합비 참조'!$B$1:$CE$1,0))/100,0),""))),"")</f>
        <v>0</v>
      </c>
      <c r="AP23" s="39" t="n">
        <f aca="false">IFERROR(IF($C23="","",IF($D23="","",IFERROR(ROUND($D23*INDEX('🔖 배합비 참조'!$B$2:$CE$83,MATCH("마카다미아분태(호주산)",'🔖 배합비 참조'!$A$2:$A$83,0),MATCH($C23,'🔖 배합비 참조'!$B$1:$CE$1,0))/100,0),""))),"")</f>
        <v>0</v>
      </c>
      <c r="AQ23" s="39" t="n">
        <f aca="false">IFERROR(IF($C23="","",IF($D23="","",IFERROR(ROUND($D23*INDEX('🔖 배합비 참조'!$B$2:$CE$83,MATCH("멥쌀(국내산)",'🔖 배합비 참조'!$A$2:$A$83,0),MATCH($C23,'🔖 배합비 참조'!$B$1:$CE$1,0))/100,0),""))),"")</f>
        <v>89</v>
      </c>
      <c r="AR23" s="39" t="n">
        <f aca="false">IFERROR(IF($C23="","",IF($D23="","",IFERROR(ROUND($D23*INDEX('🔖 배합비 참조'!$B$2:$CE$83,MATCH("모시잎(국내산)",'🔖 배합비 참조'!$A$2:$A$83,0),MATCH($C23,'🔖 배합비 참조'!$B$1:$CE$1,0))/100,0),""))),"")</f>
        <v>0</v>
      </c>
      <c r="AS23" s="39" t="n">
        <f aca="false">IFERROR(IF($C23="","",IF($D23="","",IFERROR(ROUND($D23*INDEX('🔖 배합비 참조'!$B$2:$CE$83,MATCH("물엿(저당물엿)",'🔖 배합비 참조'!$A$2:$A$83,0),MATCH($C23,'🔖 배합비 참조'!$B$1:$CE$1,0))/100,0),""))),"")</f>
        <v>0</v>
      </c>
      <c r="AT23" s="39" t="n">
        <f aca="false">IFERROR(IF($C23="","",IF($D23="","",IFERROR(ROUND($D23*INDEX('🔖 배합비 참조'!$B$2:$CE$83,MATCH("밤다이스",'🔖 배합비 참조'!$A$2:$A$83,0),MATCH($C23,'🔖 배합비 참조'!$B$1:$CE$1,0))/100,0),""))),"")</f>
        <v>0</v>
      </c>
      <c r="AU23" s="39" t="n">
        <f aca="false">IFERROR(IF($C23="","",IF($D23="","",IFERROR(ROUND($D23*INDEX('🔖 배합비 참조'!$B$2:$CE$83,MATCH("변성전분(타피오카전분)",'🔖 배합비 참조'!$A$2:$A$83,0),MATCH($C23,'🔖 배합비 참조'!$B$1:$CE$1,0))/100,0),""))),"")</f>
        <v>0</v>
      </c>
      <c r="AV23" s="39" t="n">
        <f aca="false">IFERROR(IF($C23="","",IF($D23="","",IFERROR(ROUND($D23*INDEX('🔖 배합비 참조'!$B$2:$CE$83,MATCH("복음땅콩분태",'🔖 배합비 참조'!$A$2:$A$83,0),MATCH($C23,'🔖 배합비 참조'!$B$1:$CE$1,0))/100,0),""))),"")</f>
        <v>0</v>
      </c>
      <c r="AW23" s="39" t="n">
        <f aca="false">IFERROR(IF($C23="","",IF($D23="","",IFERROR(ROUND($D23*INDEX('🔖 배합비 참조'!$B$2:$CE$83,MATCH("사양벌꿀(국내산)",'🔖 배합비 참조'!$A$2:$A$83,0),MATCH($C23,'🔖 배합비 참조'!$B$1:$CE$1,0))/100,0),""))),"")</f>
        <v>3</v>
      </c>
      <c r="AX23" s="39" t="n">
        <f aca="false">IFERROR(IF($C23="","",IF($D23="","",IFERROR(ROUND($D23*INDEX('🔖 배합비 참조'!$B$2:$CE$83,MATCH("생크림",'🔖 배합비 참조'!$A$2:$A$83,0),MATCH($C23,'🔖 배합비 참조'!$B$1:$CE$1,0))/100,0),""))),"")</f>
        <v>0</v>
      </c>
      <c r="AY23" s="39" t="n">
        <f aca="false">IFERROR(IF($C23="","",IF($D23="","",IFERROR(ROUND($D23*INDEX('🔖 배합비 참조'!$B$2:$CE$83,MATCH("서양호박(국내산,뉴질랜드산)",'🔖 배합비 참조'!$A$2:$A$83,0),MATCH($C23,'🔖 배합비 참조'!$B$1:$CE$1,0))/100,0),""))),"")</f>
        <v>0</v>
      </c>
      <c r="AZ23" s="39" t="n">
        <f aca="false">IFERROR(IF($C23="","",IF($D23="","",IFERROR(ROUND($D23*INDEX('🔖 배합비 참조'!$B$2:$CE$83,MATCH("설탕",'🔖 배합비 참조'!$A$2:$A$83,0),MATCH($C23,'🔖 배합비 참조'!$B$1:$CE$1,0))/100,0),""))),"")</f>
        <v>11</v>
      </c>
      <c r="BA23" s="39" t="n">
        <f aca="false">IFERROR(IF($C23="","",IF($D23="","",IFERROR(ROUND($D23*INDEX('🔖 배합비 참조'!$B$2:$CE$83,MATCH("스트로우베리 에이드 후레쉬",'🔖 배합비 참조'!$A$2:$A$83,0),MATCH($C23,'🔖 배합비 참조'!$B$1:$CE$1,0))/100,0),""))),"")</f>
        <v>0</v>
      </c>
      <c r="BB23" s="39" t="n">
        <f aca="false">IFERROR(IF($C23="","",IF($D23="","",IFERROR(ROUND($D23*INDEX('🔖 배합비 참조'!$B$2:$CE$83,MATCH("식물성기름혼합제제(분홍)",'🔖 배합비 참조'!$A$2:$A$83,0),MATCH($C23,'🔖 배합비 참조'!$B$1:$CE$1,0))/100,0),""))),"")</f>
        <v>0</v>
      </c>
      <c r="BC23" s="39" t="n">
        <f aca="false">IFERROR(IF($C23="","",IF($D23="","",IFERROR(ROUND($D23*INDEX('🔖 배합비 참조'!$B$2:$CE$83,MATCH("식물성기름혼합제제(초록)",'🔖 배합비 참조'!$A$2:$A$83,0),MATCH($C23,'🔖 배합비 참조'!$B$1:$CE$1,0))/100,0),""))),"")</f>
        <v>0</v>
      </c>
      <c r="BD23" s="39" t="n">
        <f aca="false">IFERROR(IF($C23="","",IF($D23="","",IFERROR(ROUND($D23*INDEX('🔖 배합비 참조'!$B$2:$CE$83,MATCH("식물성기름혼합제제(황색)",'🔖 배합비 참조'!$A$2:$A$83,0),MATCH($C23,'🔖 배합비 참조'!$B$1:$CE$1,0))/100,0),""))),"")</f>
        <v>0</v>
      </c>
      <c r="BE23" s="39" t="n">
        <f aca="false">IFERROR(IF($C23="","",IF($D23="","",IFERROR(ROUND($D23*INDEX('🔖 배합비 참조'!$B$2:$CE$83,MATCH("쑥가루(국내산)",'🔖 배합비 참조'!$A$2:$A$83,0),MATCH($C23,'🔖 배합비 참조'!$B$1:$CE$1,0))/100,0),""))),"")</f>
        <v>0</v>
      </c>
      <c r="BF23" s="39" t="n">
        <f aca="false">IFERROR(IF($C23="","",IF($D23="","",IFERROR(ROUND($D23*INDEX('🔖 배합비 참조'!$B$2:$CE$83,MATCH("아몬드슬라이스",'🔖 배합비 참조'!$A$2:$A$83,0),MATCH($C23,'🔖 배합비 참조'!$B$1:$CE$1,0))/100,0),""))),"")</f>
        <v>0</v>
      </c>
      <c r="BG23" s="39" t="n">
        <f aca="false">IFERROR(IF($C23="","",IF($D23="","",IFERROR(ROUND($D23*INDEX('🔖 배합비 참조'!$B$2:$CE$83,MATCH("알룰로오스(국내산)",'🔖 배합비 참조'!$A$2:$A$83,0),MATCH($C23,'🔖 배합비 참조'!$B$1:$CE$1,0))/100,0),""))),"")</f>
        <v>0</v>
      </c>
      <c r="BH23" s="39" t="n">
        <f aca="false">IFERROR(IF($C23="","",IF($D23="","",IFERROR(ROUND($D23*INDEX('🔖 배합비 참조'!$B$2:$CE$83,MATCH("연유",'🔖 배합비 참조'!$A$2:$A$83,0),MATCH($C23,'🔖 배합비 참조'!$B$1:$CE$1,0))/100,0),""))),"")</f>
        <v>0</v>
      </c>
      <c r="BI23" s="39" t="n">
        <f aca="false">IFERROR(IF($C23="","",IF($D23="","",IFERROR(ROUND($D23*INDEX('🔖 배합비 참조'!$B$2:$CE$83,MATCH("옥수수전분",'🔖 배합비 참조'!$A$2:$A$83,0),MATCH($C23,'🔖 배합비 참조'!$B$1:$CE$1,0))/100,0),""))),"")</f>
        <v>0</v>
      </c>
      <c r="BJ23" s="39" t="n">
        <f aca="false">IFERROR(IF($C23="","",IF($D23="","",IFERROR(ROUND($D23*INDEX('🔖 배합비 참조'!$B$2:$CE$83,MATCH("완두배기",'🔖 배합비 참조'!$A$2:$A$83,0),MATCH($C23,'🔖 배합비 참조'!$B$1:$CE$1,0))/100,0),""))),"")</f>
        <v>0</v>
      </c>
      <c r="BK23" s="39" t="n">
        <f aca="false">IFERROR(IF($C23="","",IF($D23="","",IFERROR(ROUND($D23*INDEX('🔖 배합비 참조'!$B$2:$CE$83,MATCH("우유(국내산)",'🔖 배합비 참조'!$A$2:$A$83,0),MATCH($C23,'🔖 배합비 참조'!$B$1:$CE$1,0))/100,0),""))),"")</f>
        <v>0</v>
      </c>
      <c r="BL23" s="39" t="n">
        <f aca="false">IFERROR(IF($C23="","",IF($D23="","",IFERROR(ROUND($D23*INDEX('🔖 배합비 참조'!$B$2:$CE$83,MATCH("자색고구마가루(중국산)",'🔖 배합비 참조'!$A$2:$A$83,0),MATCH($C23,'🔖 배합비 참조'!$B$1:$CE$1,0))/100,0),""))),"")</f>
        <v>0</v>
      </c>
      <c r="BM23" s="39" t="n">
        <f aca="false">IFERROR(IF($C23="","",IF($D23="","",IFERROR(ROUND($D23*INDEX('🔖 배합비 참조'!$B$2:$CE$83,MATCH("자연치즈(체다치즈)",'🔖 배합비 참조'!$A$2:$A$83,0),MATCH($C23,'🔖 배합비 참조'!$B$1:$CE$1,0))/100,0),""))),"")</f>
        <v>0</v>
      </c>
      <c r="BN23" s="39" t="n">
        <f aca="false">IFERROR(IF($C23="","",IF($D23="","",IFERROR(ROUND($D23*INDEX('🔖 배합비 참조'!$B$2:$CE$83,MATCH("정제수",'🔖 배합비 참조'!$A$2:$A$83,0),MATCH($C23,'🔖 배합비 참조'!$B$1:$CE$1,0))/100,0),""))),"")</f>
        <v>17</v>
      </c>
      <c r="BO23" s="39" t="n">
        <f aca="false">IFERROR(IF($C23="","",IF($D23="","",IFERROR(ROUND($D23*INDEX('🔖 배합비 참조'!$B$2:$CE$83,MATCH("젤라틴",'🔖 배합비 참조'!$A$2:$A$83,0),MATCH($C23,'🔖 배합비 참조'!$B$1:$CE$1,0))/100,0),""))),"")</f>
        <v>0</v>
      </c>
      <c r="BP23" s="39" t="n">
        <f aca="false">IFERROR(IF($C23="","",IF($D23="","",IFERROR(ROUND($D23*INDEX('🔖 배합비 참조'!$B$2:$CE$83,MATCH("조림류(백옥앙금)",'🔖 배합비 참조'!$A$2:$A$83,0),MATCH($C23,'🔖 배합비 참조'!$B$1:$CE$1,0))/100,0),""))),"")</f>
        <v>0</v>
      </c>
      <c r="BQ23" s="39" t="n">
        <f aca="false">IFERROR(IF($C23="","",IF($D23="","",IFERROR(ROUND($D23*INDEX('🔖 배합비 참조'!$B$2:$CE$83,MATCH("조림류(통팥앙금)",'🔖 배합비 참조'!$A$2:$A$83,0),MATCH($C23,'🔖 배합비 참조'!$B$1:$CE$1,0))/100,0),""))),"")</f>
        <v>0</v>
      </c>
      <c r="BR23" s="39" t="n">
        <f aca="false">IFERROR(IF($C23="","",IF($D23="","",IFERROR(ROUND($D23*INDEX('🔖 배합비 참조'!$B$2:$CE$83,MATCH("준초콜릿(외국산)",'🔖 배합비 참조'!$A$2:$A$83,0),MATCH($C23,'🔖 배합비 참조'!$B$1:$CE$1,0))/100,0),""))),"")</f>
        <v>0</v>
      </c>
      <c r="BS23" s="39" t="n">
        <f aca="false">IFERROR(IF($C23="","",IF($D23="","",IFERROR(ROUND($D23*INDEX('🔖 배합비 참조'!$B$2:$CE$83,MATCH("중력분",'🔖 배합비 참조'!$A$2:$A$83,0),MATCH($C23,'🔖 배합비 참조'!$B$1:$CE$1,0))/100,0),""))),"")</f>
        <v>0</v>
      </c>
      <c r="BT23" s="39" t="n">
        <f aca="false">IFERROR(IF($C23="","",IF($D23="","",IFERROR(ROUND($D23*INDEX('🔖 배합비 참조'!$B$2:$CE$83,MATCH("참깨(인도산,나이지리아산,탄자니아산,미얀마산)",'🔖 배합비 참조'!$A$2:$A$83,0),MATCH($C23,'🔖 배합비 참조'!$B$1:$CE$1,0))/100,0),""))),"")</f>
        <v>0</v>
      </c>
      <c r="BU23" s="39" t="n">
        <f aca="false">IFERROR(IF($C23="","",IF($D23="","",IFERROR(ROUND($D23*INDEX('🔖 배합비 참조'!$B$2:$CE$83,MATCH("찹쌀(국내산)",'🔖 배합비 참조'!$A$2:$A$83,0),MATCH($C23,'🔖 배합비 참조'!$B$1:$CE$1,0))/100,0),""))),"")</f>
        <v>0</v>
      </c>
      <c r="BV23" s="39" t="n">
        <f aca="false">IFERROR(IF($C23="","",IF($D23="","",IFERROR(ROUND($D23*INDEX('🔖 배합비 참조'!$B$2:$CE$83,MATCH("천일염",'🔖 배합비 참조'!$A$2:$A$83,0),MATCH($C23,'🔖 배합비 참조'!$B$1:$CE$1,0))/100,0),""))),"")</f>
        <v>1</v>
      </c>
      <c r="BW23" s="39" t="n">
        <f aca="false">IFERROR(IF($C23="","",IF($D23="","",IFERROR(ROUND($D23*INDEX('🔖 배합비 참조'!$B$2:$CE$83,MATCH("치즈 [크림치즈]",'🔖 배합비 참조'!$A$2:$A$83,0),MATCH($C23,'🔖 배합비 참조'!$B$1:$CE$1,0))/100,0),""))),"")</f>
        <v>0</v>
      </c>
      <c r="BX23" s="39" t="n">
        <f aca="false">IFERROR(IF($C23="","",IF($D23="","",IFERROR(ROUND($D23*INDEX('🔖 배합비 참조'!$B$2:$CE$83,MATCH("코코아가공품류(코코아분말)",'🔖 배합비 참조'!$A$2:$A$83,0),MATCH($C23,'🔖 배합비 참조'!$B$1:$CE$1,0))/100,0),""))),"")</f>
        <v>0</v>
      </c>
      <c r="BY23" s="39" t="n">
        <f aca="false">IFERROR(IF($C23="","",IF($D23="","",IFERROR(ROUND($D23*INDEX('🔖 배합비 참조'!$B$2:$CE$83,MATCH("콩기름(대두유)",'🔖 배합비 참조'!$A$2:$A$83,0),MATCH($C23,'🔖 배합비 참조'!$B$1:$CE$1,0))/100,0),""))),"")</f>
        <v>0</v>
      </c>
      <c r="BZ23" s="39" t="n">
        <f aca="false">IFERROR(IF($C23="","",IF($D23="","",IFERROR(ROUND($D23*INDEX('🔖 배합비 참조'!$B$2:$CE$83,MATCH("해바라기씨앗",'🔖 배합비 참조'!$A$2:$A$83,0),MATCH($C23,'🔖 배합비 참조'!$B$1:$CE$1,0))/100,0),""))),"")</f>
        <v>0</v>
      </c>
      <c r="CA23" s="39" t="n">
        <f aca="false">IFERROR(IF($C23="","",IF($D23="","",IFERROR(ROUND($D23*INDEX('🔖 배합비 참조'!$B$2:$CE$83,MATCH("현미(국내산)",'🔖 배합비 참조'!$A$2:$A$83,0),MATCH($C23,'🔖 배합비 참조'!$B$1:$CE$1,0))/100,0),""))),"")</f>
        <v>0</v>
      </c>
      <c r="CB23" s="39" t="n">
        <f aca="false">IFERROR(IF($C23="","",IF($D23="","",IFERROR(ROUND($D23*INDEX('🔖 배합비 참조'!$B$2:$CE$83,MATCH("현미멥쌀(국내산)",'🔖 배합비 참조'!$A$2:$A$83,0),MATCH($C23,'🔖 배합비 참조'!$B$1:$CE$1,0))/100,0),""))),"")</f>
        <v>0</v>
      </c>
      <c r="CC23" s="39" t="n">
        <f aca="false">IFERROR(IF($C23="","",IF($D23="","",IFERROR(ROUND($D23*INDEX('🔖 배합비 참조'!$B$2:$CE$83,MATCH("호두분태(미국산)",'🔖 배합비 참조'!$A$2:$A$83,0),MATCH($C23,'🔖 배합비 참조'!$B$1:$CE$1,0))/100,0),""))),"")</f>
        <v>0</v>
      </c>
      <c r="CD23" s="39" t="n">
        <f aca="false">IFERROR(IF($C23="","",IF($D23="","",IFERROR(ROUND($D23*INDEX('🔖 배합비 참조'!$B$2:$CE$83,MATCH("호박씨앗(외국산)",'🔖 배합비 참조'!$A$2:$A$83,0),MATCH($C23,'🔖 배합비 참조'!$B$1:$CE$1,0))/100,0),""))),"")</f>
        <v>0</v>
      </c>
      <c r="CE23" s="39" t="n">
        <f aca="false">IFERROR(IF($C23="","",IF($D23="","",IFERROR(ROUND($D23*INDEX('🔖 배합비 참조'!$B$2:$CE$83,MATCH("혼합제제(떡용에스텔)",'🔖 배합비 참조'!$A$2:$A$83,0),MATCH($C23,'🔖 배합비 참조'!$B$1:$CE$1,0))/100,0),""))),"")</f>
        <v>0</v>
      </c>
      <c r="CF23" s="39" t="n">
        <f aca="false">IFERROR(IF($C23="","",IF($D23="","",IFERROR(ROUND($D23*INDEX('🔖 배합비 참조'!$B$2:$CE$83,MATCH("혼합제제(스테비아)",'🔖 배합비 참조'!$A$2:$A$83,0),MATCH($C23,'🔖 배합비 참조'!$B$1:$CE$1,0))/100,0),""))),"")</f>
        <v>0</v>
      </c>
      <c r="CG23" s="39" t="n">
        <f aca="false">IFERROR(IF($C23="","",IF($D23="","",IFERROR(ROUND($D23*INDEX('🔖 배합비 참조'!$B$2:$CE$83,MATCH("화이트초콜릿",'🔖 배합비 참조'!$A$2:$A$83,0),MATCH($C23,'🔖 배합비 참조'!$B$1:$CE$1,0))/100,0),""))),"")</f>
        <v>0</v>
      </c>
      <c r="CH23" s="39" t="n">
        <f aca="false">IFERROR(IF($C23="","",IF($D23="","",IFERROR(ROUND($D23*INDEX('🔖 배합비 참조'!$B$2:$CE$83,MATCH("흑미찹쌀(국내산)",'🔖 배합비 참조'!$A$2:$A$83,0),MATCH($C23,'🔖 배합비 참조'!$B$1:$CE$1,0))/100,0),""))),"")</f>
        <v>0</v>
      </c>
      <c r="CI23" s="39" t="n">
        <f aca="false">IFERROR(IF($C23="","",IF($D23="","",IFERROR(ROUND($D23*INDEX('🔖 배합비 참조'!$B$2:$CE$83,MATCH("찰옥수수전분(미국산)",'🔖 배합비 참조'!$A$2:$A$83,0),MATCH($C23,'🔖 배합비 참조'!$B$1:$CE$1,0))/100,0),""))),"")</f>
        <v>0</v>
      </c>
      <c r="CJ23" s="40"/>
      <c r="CL23" s="1" t="s">
        <v>235</v>
      </c>
    </row>
    <row r="24" customFormat="false" ht="18" hidden="false" customHeight="true" outlineLevel="0" collapsed="false">
      <c r="A24" s="41" t="n">
        <v>20</v>
      </c>
      <c r="B24" s="36" t="n">
        <v>45951</v>
      </c>
      <c r="C24" s="37" t="s">
        <v>161</v>
      </c>
      <c r="D24" s="38" t="n">
        <v>68</v>
      </c>
      <c r="E24" s="17"/>
      <c r="F24" s="17"/>
      <c r="G24" s="42" t="n">
        <f aca="false">IFERROR(IF($C24="","",IF($D24="","",IFERROR(ROUND($D24*INDEX('🔖 배합비 참조'!$B$2:$CE$83,MATCH("간장",'🔖 배합비 참조'!$A$2:$A$83,0),MATCH($C24,'🔖 배합비 참조'!$B$1:$CE$1,0))/100,0),""))),"")</f>
        <v>0</v>
      </c>
      <c r="H24" s="42" t="n">
        <f aca="false">IFERROR(IF($C24="","",IF($D24="","",IFERROR(ROUND($D24*INDEX('🔖 배합비 참조'!$B$2:$CE$83,MATCH("강낭콩((울타리콩))",'🔖 배합비 참조'!$A$2:$A$83,0),MATCH($C24,'🔖 배합비 참조'!$B$1:$CE$1,0))/100,0),""))),"")</f>
        <v>0</v>
      </c>
      <c r="I24" s="42" t="n">
        <f aca="false">IFERROR(IF($C24="","",IF($D24="","",IFERROR(ROUND($D24*INDEX('🔖 배합비 참조'!$B$2:$CE$83,MATCH("건조딸기다이스(외국산)",'🔖 배합비 참조'!$A$2:$A$83,0),MATCH($C24,'🔖 배합비 참조'!$B$1:$CE$1,0))/100,0),""))),"")</f>
        <v>0</v>
      </c>
      <c r="J24" s="42" t="n">
        <f aca="false">IFERROR(IF($C24="","",IF($D24="","",IFERROR(ROUND($D24*INDEX('🔖 배합비 참조'!$B$2:$CE$83,MATCH("건포도",'🔖 배합비 참조'!$A$2:$A$83,0),MATCH($C24,'🔖 배합비 참조'!$B$1:$CE$1,0))/100,0),""))),"")</f>
        <v>0</v>
      </c>
      <c r="K24" s="42" t="n">
        <f aca="false">IFERROR(IF($C24="","",IF($D24="","",IFERROR(ROUND($D24*INDEX('🔖 배합비 참조'!$B$2:$CE$83,MATCH("건호박채(중국산)",'🔖 배합비 참조'!$A$2:$A$83,0),MATCH($C24,'🔖 배합비 참조'!$B$1:$CE$1,0))/100,0),""))),"")</f>
        <v>0</v>
      </c>
      <c r="L24" s="42" t="n">
        <f aca="false">IFERROR(IF($C24="","",IF($D24="","",IFERROR(ROUND($D24*INDEX('🔖 배합비 참조'!$B$2:$CE$83,MATCH("검정깨(흑임자)",'🔖 배합비 참조'!$A$2:$A$83,0),MATCH($C24,'🔖 배합비 참조'!$B$1:$CE$1,0))/100,0),""))),"")</f>
        <v>0</v>
      </c>
      <c r="M24" s="42" t="n">
        <f aca="false">IFERROR(IF($C24="","",IF($D24="","",IFERROR(ROUND($D24*INDEX('🔖 배합비 참조'!$B$2:$CE$83,MATCH("검정콩",'🔖 배합비 참조'!$A$2:$A$83,0),MATCH($C24,'🔖 배합비 참조'!$B$1:$CE$1,0))/100,0),""))),"")</f>
        <v>0</v>
      </c>
      <c r="N24" s="42" t="n">
        <f aca="false">IFERROR(IF($C24="","",IF($D24="","",IFERROR(ROUND($D24*INDEX('🔖 배합비 참조'!$B$2:$CE$83,MATCH("계피가루",'🔖 배합비 참조'!$A$2:$A$83,0),MATCH($C24,'🔖 배합비 참조'!$B$1:$CE$1,0))/100,0),""))),"")</f>
        <v>0</v>
      </c>
      <c r="O24" s="42" t="n">
        <f aca="false">IFERROR(IF($C24="","",IF($D24="","",IFERROR(ROUND($D24*INDEX('🔖 배합비 참조'!$B$2:$CE$83,MATCH("고구마가루",'🔖 배합비 참조'!$A$2:$A$83,0),MATCH($C24,'🔖 배합비 참조'!$B$1:$CE$1,0))/100,0),""))),"")</f>
        <v>0</v>
      </c>
      <c r="P24" s="42" t="n">
        <f aca="false">IFERROR(IF($C24="","",IF($D24="","",IFERROR(ROUND($D24*INDEX('🔖 배합비 참조'!$B$2:$CE$83,MATCH("고구마무스",'🔖 배합비 참조'!$A$2:$A$83,0),MATCH($C24,'🔖 배합비 참조'!$B$1:$CE$1,0))/100,0),""))),"")</f>
        <v>0</v>
      </c>
      <c r="Q24" s="42" t="n">
        <f aca="false">IFERROR(IF($C24="","",IF($D24="","",IFERROR(ROUND($D24*INDEX('🔖 배합비 참조'!$B$2:$CE$83,MATCH("고려엉겅퀴((곤드레)국내산)",'🔖 배합비 참조'!$A$2:$A$83,0),MATCH($C24,'🔖 배합비 참조'!$B$1:$CE$1,0))/100,0),""))),"")</f>
        <v>0</v>
      </c>
      <c r="R24" s="42" t="n">
        <f aca="false">IFERROR(IF($C24="","",IF($D24="","",IFERROR(ROUND($D24*INDEX('🔖 배합비 참조'!$B$2:$CE$83,MATCH("기타가공품(복분자가루)",'🔖 배합비 참조'!$A$2:$A$83,0),MATCH($C24,'🔖 배합비 참조'!$B$1:$CE$1,0))/100,0),""))),"")</f>
        <v>0</v>
      </c>
      <c r="S24" s="42" t="n">
        <f aca="false">IFERROR(IF($C24="","",IF($D24="","",IFERROR(ROUND($D24*INDEX('🔖 배합비 참조'!$B$2:$CE$83,MATCH("기타가공품(슈퍼소프트엠)",'🔖 배합비 참조'!$A$2:$A$83,0),MATCH($C24,'🔖 배합비 참조'!$B$1:$CE$1,0))/100,0),""))),"")</f>
        <v>0</v>
      </c>
      <c r="T24" s="42" t="n">
        <f aca="false">IFERROR(IF($C24="","",IF($D24="","",IFERROR(ROUND($D24*INDEX('🔖 배합비 참조'!$B$2:$CE$83,MATCH("기타가공품(파인소프트 E-티)",'🔖 배합비 참조'!$A$2:$A$83,0),MATCH($C24,'🔖 배합비 참조'!$B$1:$CE$1,0))/100,0),""))),"")</f>
        <v>0</v>
      </c>
      <c r="U24" s="42" t="n">
        <f aca="false">IFERROR(IF($C24="","",IF($D24="","",IFERROR(ROUND($D24*INDEX('🔖 배합비 참조'!$B$2:$CE$83,MATCH("기타가공품(프리미엄카스테라가루)",'🔖 배합비 참조'!$A$2:$A$83,0),MATCH($C24,'🔖 배합비 참조'!$B$1:$CE$1,0))/100,0),""))),"")</f>
        <v>0</v>
      </c>
      <c r="V24" s="42" t="n">
        <f aca="false">IFERROR(IF($C24="","",IF($D24="","",IFERROR(ROUND($D24*INDEX('🔖 배합비 참조'!$B$2:$CE$83,MATCH("기타가공품(흑임자가루)",'🔖 배합비 참조'!$A$2:$A$83,0),MATCH($C24,'🔖 배합비 참조'!$B$1:$CE$1,0))/100,0),""))),"")</f>
        <v>0</v>
      </c>
      <c r="W24" s="42" t="n">
        <f aca="false">IFERROR(IF($C24="","",IF($D24="","",IFERROR(ROUND($D24*INDEX('🔖 배합비 참조'!$B$2:$CE$83,MATCH("기타설탕(흑설탕)",'🔖 배합비 참조'!$A$2:$A$83,0),MATCH($C24,'🔖 배합비 참조'!$B$1:$CE$1,0))/100,0),""))),"")</f>
        <v>0</v>
      </c>
      <c r="X24" s="42" t="n">
        <f aca="false">IFERROR(IF($C24="","",IF($D24="","",IFERROR(ROUND($D24*INDEX('🔖 배합비 참조'!$B$2:$CE$83,MATCH("냉동쑥(국내산)",'🔖 배합비 참조'!$A$2:$A$83,0),MATCH($C24,'🔖 배합비 참조'!$B$1:$CE$1,0))/100,0),""))),"")</f>
        <v>0</v>
      </c>
      <c r="Y24" s="42" t="n">
        <f aca="false">IFERROR(IF($C24="","",IF($D24="","",IFERROR(ROUND($D24*INDEX('🔖 배합비 참조'!$B$2:$CE$83,MATCH("냉동증숙고구마(중국산)",'🔖 배합비 참조'!$A$2:$A$83,0),MATCH($C24,'🔖 배합비 참조'!$B$1:$CE$1,0))/100,0),""))),"")</f>
        <v>0</v>
      </c>
      <c r="Z24" s="42" t="n">
        <f aca="false">IFERROR(IF($C24="","",IF($D24="","",IFERROR(ROUND($D24*INDEX('🔖 배합비 참조'!$B$2:$CE$83,MATCH("녹차가루",'🔖 배합비 참조'!$A$2:$A$83,0),MATCH($C24,'🔖 배합비 참조'!$B$1:$CE$1,0))/100,0),""))),"")</f>
        <v>0</v>
      </c>
      <c r="AA24" s="42" t="n">
        <f aca="false">IFERROR(IF($C24="","",IF($D24="","",IFERROR(ROUND($D24*INDEX('🔖 배합비 참조'!$B$2:$CE$83,MATCH("다크초콜릿 컴파운드칩",'🔖 배합비 참조'!$A$2:$A$83,0),MATCH($C24,'🔖 배합비 참조'!$B$1:$CE$1,0))/100,0),""))),"")</f>
        <v>0</v>
      </c>
      <c r="AB24" s="42" t="n">
        <f aca="false">IFERROR(IF($C24="","",IF($D24="","",IFERROR(ROUND($D24*INDEX('🔖 배합비 참조'!$B$2:$CE$83,MATCH("단호박분말(중국산)",'🔖 배합비 참조'!$A$2:$A$83,0),MATCH($C24,'🔖 배합비 참조'!$B$1:$CE$1,0))/100,0),""))),"")</f>
        <v>0</v>
      </c>
      <c r="AC24" s="42" t="n">
        <f aca="false">IFERROR(IF($C24="","",IF($D24="","",IFERROR(ROUND($D24*INDEX('🔖 배합비 참조'!$B$2:$CE$83,MATCH("당류가공품(단호박농축액)",'🔖 배합비 참조'!$A$2:$A$83,0),MATCH($C24,'🔖 배합비 참조'!$B$1:$CE$1,0))/100,0),""))),"")</f>
        <v>0</v>
      </c>
      <c r="AD24" s="42" t="n">
        <f aca="false">IFERROR(IF($C24="","",IF($D24="","",IFERROR(ROUND($D24*INDEX('🔖 배합비 참조'!$B$2:$CE$83,MATCH("당류가공품(알룰로스,에리스리톨,스테비올배당체혼합)",'🔖 배합비 참조'!$A$2:$A$83,0),MATCH($C24,'🔖 배합비 참조'!$B$1:$CE$1,0))/100,0),""))),"")</f>
        <v>0</v>
      </c>
      <c r="AE24" s="42" t="n">
        <f aca="false">IFERROR(IF($C24="","",IF($D24="","",IFERROR(ROUND($D24*INDEX('🔖 배합비 참조'!$B$2:$CE$83,MATCH("당류가공품(알룰로스제로파우더)",'🔖 배합비 참조'!$A$2:$A$83,0),MATCH($C24,'🔖 배합비 참조'!$B$1:$CE$1,0))/100,0),""))),"")</f>
        <v>0</v>
      </c>
      <c r="AF24" s="42" t="n">
        <f aca="false">IFERROR(IF($C24="","",IF($D24="","",IFERROR(ROUND($D24*INDEX('🔖 배합비 참조'!$B$2:$CE$83,MATCH("당절임(완두배기)",'🔖 배합비 참조'!$A$2:$A$83,0),MATCH($C24,'🔖 배합비 참조'!$B$1:$CE$1,0))/100,0),""))),"")</f>
        <v>0</v>
      </c>
      <c r="AG24" s="42" t="n">
        <f aca="false">IFERROR(IF($C24="","",IF($D24="","",IFERROR(ROUND($D24*INDEX('🔖 배합비 참조'!$B$2:$CE$83,MATCH("대추농축액",'🔖 배합비 참조'!$A$2:$A$83,0),MATCH($C24,'🔖 배합비 참조'!$B$1:$CE$1,0))/100,0),""))),"")</f>
        <v>0</v>
      </c>
      <c r="AH24" s="42" t="n">
        <f aca="false">IFERROR(IF($C24="","",IF($D24="","",IFERROR(ROUND($D24*INDEX('🔖 배합비 참조'!$B$2:$CE$83,MATCH("대추채(국내산)",'🔖 배합비 참조'!$A$2:$A$83,0),MATCH($C24,'🔖 배합비 참조'!$B$1:$CE$1,0))/100,0),""))),"")</f>
        <v>0</v>
      </c>
      <c r="AI24" s="42" t="n">
        <f aca="false">IFERROR(IF($C24="","",IF($D24="","",IFERROR(ROUND($D24*INDEX('🔖 배합비 참조'!$B$2:$CE$83,MATCH("동부(미얀마산)",'🔖 배합비 참조'!$A$2:$A$83,0),MATCH($C24,'🔖 배합비 참조'!$B$1:$CE$1,0))/100,0),""))),"")</f>
        <v>0</v>
      </c>
      <c r="AJ24" s="42" t="n">
        <f aca="false">IFERROR(IF($C24="","",IF($D24="","",IFERROR(ROUND($D24*INDEX('🔖 배합비 참조'!$B$2:$CE$83,MATCH("두류가공품(백옥앙금)",'🔖 배합비 참조'!$A$2:$A$83,0),MATCH($C24,'🔖 배합비 참조'!$B$1:$CE$1,0))/100,0),""))),"")</f>
        <v>0</v>
      </c>
      <c r="AK24" s="42" t="n">
        <f aca="false">IFERROR(IF($C24="","",IF($D24="","",IFERROR(ROUND($D24*INDEX('🔖 배합비 참조'!$B$2:$CE$83,MATCH("두류가공품(콩고물)",'🔖 배합비 참조'!$A$2:$A$83,0),MATCH($C24,'🔖 배합비 참조'!$B$1:$CE$1,0))/100,0),""))),"")</f>
        <v>0</v>
      </c>
      <c r="AL24" s="42" t="n">
        <f aca="false">IFERROR(IF($C24="","",IF($D24="","",IFERROR(ROUND($D24*INDEX('🔖 배합비 참조'!$B$2:$CE$83,MATCH("두류가공품(통팥고물)",'🔖 배합비 참조'!$A$2:$A$83,0),MATCH($C24,'🔖 배합비 참조'!$B$1:$CE$1,0))/100,0),""))),"")</f>
        <v>0</v>
      </c>
      <c r="AM24" s="42" t="n">
        <f aca="false">IFERROR(IF($C24="","",IF($D24="","",IFERROR(ROUND($D24*INDEX('🔖 배합비 참조'!$B$2:$CE$83,MATCH("딸기레진",'🔖 배합비 참조'!$A$2:$A$83,0),MATCH($C24,'🔖 배합비 참조'!$B$1:$CE$1,0))/100,0),""))),"")</f>
        <v>0</v>
      </c>
      <c r="AN24" s="42" t="n">
        <f aca="false">IFERROR(IF($C24="","",IF($D24="","",IFERROR(ROUND($D24*INDEX('🔖 배합비 참조'!$B$2:$CE$83,MATCH("딸기분말(스트로우베리에이드(분말))",'🔖 배합비 참조'!$A$2:$A$83,0),MATCH($C24,'🔖 배합비 참조'!$B$1:$CE$1,0))/100,0),""))),"")</f>
        <v>0</v>
      </c>
      <c r="AO24" s="42" t="n">
        <f aca="false">IFERROR(IF($C24="","",IF($D24="","",IFERROR(ROUND($D24*INDEX('🔖 배합비 참조'!$B$2:$CE$83,MATCH("마스카포네치즈",'🔖 배합비 참조'!$A$2:$A$83,0),MATCH($C24,'🔖 배합비 참조'!$B$1:$CE$1,0))/100,0),""))),"")</f>
        <v>0</v>
      </c>
      <c r="AP24" s="42" t="n">
        <f aca="false">IFERROR(IF($C24="","",IF($D24="","",IFERROR(ROUND($D24*INDEX('🔖 배합비 참조'!$B$2:$CE$83,MATCH("마카다미아분태(호주산)",'🔖 배합비 참조'!$A$2:$A$83,0),MATCH($C24,'🔖 배합비 참조'!$B$1:$CE$1,0))/100,0),""))),"")</f>
        <v>0</v>
      </c>
      <c r="AQ24" s="42" t="n">
        <f aca="false">IFERROR(IF($C24="","",IF($D24="","",IFERROR(ROUND($D24*INDEX('🔖 배합비 참조'!$B$2:$CE$83,MATCH("멥쌀(국내산)",'🔖 배합비 참조'!$A$2:$A$83,0),MATCH($C24,'🔖 배합비 참조'!$B$1:$CE$1,0))/100,0),""))),"")</f>
        <v>33</v>
      </c>
      <c r="AR24" s="42" t="n">
        <f aca="false">IFERROR(IF($C24="","",IF($D24="","",IFERROR(ROUND($D24*INDEX('🔖 배합비 참조'!$B$2:$CE$83,MATCH("모시잎(국내산)",'🔖 배합비 참조'!$A$2:$A$83,0),MATCH($C24,'🔖 배합비 참조'!$B$1:$CE$1,0))/100,0),""))),"")</f>
        <v>8</v>
      </c>
      <c r="AS24" s="42" t="n">
        <f aca="false">IFERROR(IF($C24="","",IF($D24="","",IFERROR(ROUND($D24*INDEX('🔖 배합비 참조'!$B$2:$CE$83,MATCH("물엿(저당물엿)",'🔖 배합비 참조'!$A$2:$A$83,0),MATCH($C24,'🔖 배합비 참조'!$B$1:$CE$1,0))/100,0),""))),"")</f>
        <v>1</v>
      </c>
      <c r="AT24" s="42" t="n">
        <f aca="false">IFERROR(IF($C24="","",IF($D24="","",IFERROR(ROUND($D24*INDEX('🔖 배합비 참조'!$B$2:$CE$83,MATCH("밤다이스",'🔖 배합비 참조'!$A$2:$A$83,0),MATCH($C24,'🔖 배합비 참조'!$B$1:$CE$1,0))/100,0),""))),"")</f>
        <v>0</v>
      </c>
      <c r="AU24" s="42" t="n">
        <f aca="false">IFERROR(IF($C24="","",IF($D24="","",IFERROR(ROUND($D24*INDEX('🔖 배합비 참조'!$B$2:$CE$83,MATCH("변성전분(타피오카전분)",'🔖 배합비 참조'!$A$2:$A$83,0),MATCH($C24,'🔖 배합비 참조'!$B$1:$CE$1,0))/100,0),""))),"")</f>
        <v>1</v>
      </c>
      <c r="AV24" s="42" t="n">
        <f aca="false">IFERROR(IF($C24="","",IF($D24="","",IFERROR(ROUND($D24*INDEX('🔖 배합비 참조'!$B$2:$CE$83,MATCH("복음땅콩분태",'🔖 배합비 참조'!$A$2:$A$83,0),MATCH($C24,'🔖 배합비 참조'!$B$1:$CE$1,0))/100,0),""))),"")</f>
        <v>0</v>
      </c>
      <c r="AW24" s="42" t="n">
        <f aca="false">IFERROR(IF($C24="","",IF($D24="","",IFERROR(ROUND($D24*INDEX('🔖 배합비 참조'!$B$2:$CE$83,MATCH("사양벌꿀(국내산)",'🔖 배합비 참조'!$A$2:$A$83,0),MATCH($C24,'🔖 배합비 참조'!$B$1:$CE$1,0))/100,0),""))),"")</f>
        <v>0</v>
      </c>
      <c r="AX24" s="42" t="n">
        <f aca="false">IFERROR(IF($C24="","",IF($D24="","",IFERROR(ROUND($D24*INDEX('🔖 배합비 참조'!$B$2:$CE$83,MATCH("생크림",'🔖 배합비 참조'!$A$2:$A$83,0),MATCH($C24,'🔖 배합비 참조'!$B$1:$CE$1,0))/100,0),""))),"")</f>
        <v>0</v>
      </c>
      <c r="AY24" s="42" t="n">
        <f aca="false">IFERROR(IF($C24="","",IF($D24="","",IFERROR(ROUND($D24*INDEX('🔖 배합비 참조'!$B$2:$CE$83,MATCH("서양호박(국내산,뉴질랜드산)",'🔖 배합비 참조'!$A$2:$A$83,0),MATCH($C24,'🔖 배합비 참조'!$B$1:$CE$1,0))/100,0),""))),"")</f>
        <v>0</v>
      </c>
      <c r="AZ24" s="42" t="n">
        <f aca="false">IFERROR(IF($C24="","",IF($D24="","",IFERROR(ROUND($D24*INDEX('🔖 배합비 참조'!$B$2:$CE$83,MATCH("설탕",'🔖 배합비 참조'!$A$2:$A$83,0),MATCH($C24,'🔖 배합비 참조'!$B$1:$CE$1,0))/100,0),""))),"")</f>
        <v>0</v>
      </c>
      <c r="BA24" s="42" t="n">
        <f aca="false">IFERROR(IF($C24="","",IF($D24="","",IFERROR(ROUND($D24*INDEX('🔖 배합비 참조'!$B$2:$CE$83,MATCH("스트로우베리 에이드 후레쉬",'🔖 배합비 참조'!$A$2:$A$83,0),MATCH($C24,'🔖 배합비 참조'!$B$1:$CE$1,0))/100,0),""))),"")</f>
        <v>0</v>
      </c>
      <c r="BB24" s="42" t="n">
        <f aca="false">IFERROR(IF($C24="","",IF($D24="","",IFERROR(ROUND($D24*INDEX('🔖 배합비 참조'!$B$2:$CE$83,MATCH("식물성기름혼합제제(분홍)",'🔖 배합비 참조'!$A$2:$A$83,0),MATCH($C24,'🔖 배합비 참조'!$B$1:$CE$1,0))/100,0),""))),"")</f>
        <v>0</v>
      </c>
      <c r="BC24" s="42" t="n">
        <f aca="false">IFERROR(IF($C24="","",IF($D24="","",IFERROR(ROUND($D24*INDEX('🔖 배합비 참조'!$B$2:$CE$83,MATCH("식물성기름혼합제제(초록)",'🔖 배합비 참조'!$A$2:$A$83,0),MATCH($C24,'🔖 배합비 참조'!$B$1:$CE$1,0))/100,0),""))),"")</f>
        <v>0</v>
      </c>
      <c r="BD24" s="42" t="n">
        <f aca="false">IFERROR(IF($C24="","",IF($D24="","",IFERROR(ROUND($D24*INDEX('🔖 배합비 참조'!$B$2:$CE$83,MATCH("식물성기름혼합제제(황색)",'🔖 배합비 참조'!$A$2:$A$83,0),MATCH($C24,'🔖 배합비 참조'!$B$1:$CE$1,0))/100,0),""))),"")</f>
        <v>0</v>
      </c>
      <c r="BE24" s="42" t="n">
        <f aca="false">IFERROR(IF($C24="","",IF($D24="","",IFERROR(ROUND($D24*INDEX('🔖 배합비 참조'!$B$2:$CE$83,MATCH("쑥가루(국내산)",'🔖 배합비 참조'!$A$2:$A$83,0),MATCH($C24,'🔖 배합비 참조'!$B$1:$CE$1,0))/100,0),""))),"")</f>
        <v>1</v>
      </c>
      <c r="BF24" s="42" t="n">
        <f aca="false">IFERROR(IF($C24="","",IF($D24="","",IFERROR(ROUND($D24*INDEX('🔖 배합비 참조'!$B$2:$CE$83,MATCH("아몬드슬라이스",'🔖 배합비 참조'!$A$2:$A$83,0),MATCH($C24,'🔖 배합비 참조'!$B$1:$CE$1,0))/100,0),""))),"")</f>
        <v>0</v>
      </c>
      <c r="BG24" s="42" t="n">
        <f aca="false">IFERROR(IF($C24="","",IF($D24="","",IFERROR(ROUND($D24*INDEX('🔖 배합비 참조'!$B$2:$CE$83,MATCH("알룰로오스(국내산)",'🔖 배합비 참조'!$A$2:$A$83,0),MATCH($C24,'🔖 배합비 참조'!$B$1:$CE$1,0))/100,0),""))),"")</f>
        <v>0</v>
      </c>
      <c r="BH24" s="42" t="n">
        <f aca="false">IFERROR(IF($C24="","",IF($D24="","",IFERROR(ROUND($D24*INDEX('🔖 배합비 참조'!$B$2:$CE$83,MATCH("연유",'🔖 배합비 참조'!$A$2:$A$83,0),MATCH($C24,'🔖 배합비 참조'!$B$1:$CE$1,0))/100,0),""))),"")</f>
        <v>0</v>
      </c>
      <c r="BI24" s="42" t="n">
        <f aca="false">IFERROR(IF($C24="","",IF($D24="","",IFERROR(ROUND($D24*INDEX('🔖 배합비 참조'!$B$2:$CE$83,MATCH("옥수수전분",'🔖 배합비 참조'!$A$2:$A$83,0),MATCH($C24,'🔖 배합비 참조'!$B$1:$CE$1,0))/100,0),""))),"")</f>
        <v>0</v>
      </c>
      <c r="BJ24" s="42" t="n">
        <f aca="false">IFERROR(IF($C24="","",IF($D24="","",IFERROR(ROUND($D24*INDEX('🔖 배합비 참조'!$B$2:$CE$83,MATCH("완두배기",'🔖 배합비 참조'!$A$2:$A$83,0),MATCH($C24,'🔖 배합비 참조'!$B$1:$CE$1,0))/100,0),""))),"")</f>
        <v>0</v>
      </c>
      <c r="BK24" s="42" t="n">
        <f aca="false">IFERROR(IF($C24="","",IF($D24="","",IFERROR(ROUND($D24*INDEX('🔖 배합비 참조'!$B$2:$CE$83,MATCH("우유(국내산)",'🔖 배합비 참조'!$A$2:$A$83,0),MATCH($C24,'🔖 배합비 참조'!$B$1:$CE$1,0))/100,0),""))),"")</f>
        <v>0</v>
      </c>
      <c r="BL24" s="42" t="n">
        <f aca="false">IFERROR(IF($C24="","",IF($D24="","",IFERROR(ROUND($D24*INDEX('🔖 배합비 참조'!$B$2:$CE$83,MATCH("자색고구마가루(중국산)",'🔖 배합비 참조'!$A$2:$A$83,0),MATCH($C24,'🔖 배합비 참조'!$B$1:$CE$1,0))/100,0),""))),"")</f>
        <v>0</v>
      </c>
      <c r="BM24" s="42" t="n">
        <f aca="false">IFERROR(IF($C24="","",IF($D24="","",IFERROR(ROUND($D24*INDEX('🔖 배합비 참조'!$B$2:$CE$83,MATCH("자연치즈(체다치즈)",'🔖 배합비 참조'!$A$2:$A$83,0),MATCH($C24,'🔖 배합비 참조'!$B$1:$CE$1,0))/100,0),""))),"")</f>
        <v>0</v>
      </c>
      <c r="BN24" s="42" t="n">
        <f aca="false">IFERROR(IF($C24="","",IF($D24="","",IFERROR(ROUND($D24*INDEX('🔖 배합비 참조'!$B$2:$CE$83,MATCH("정제수",'🔖 배합비 참조'!$A$2:$A$83,0),MATCH($C24,'🔖 배합비 참조'!$B$1:$CE$1,0))/100,0),""))),"")</f>
        <v>23</v>
      </c>
      <c r="BO24" s="42" t="n">
        <f aca="false">IFERROR(IF($C24="","",IF($D24="","",IFERROR(ROUND($D24*INDEX('🔖 배합비 참조'!$B$2:$CE$83,MATCH("젤라틴",'🔖 배합비 참조'!$A$2:$A$83,0),MATCH($C24,'🔖 배합비 참조'!$B$1:$CE$1,0))/100,0),""))),"")</f>
        <v>0</v>
      </c>
      <c r="BP24" s="42" t="n">
        <f aca="false">IFERROR(IF($C24="","",IF($D24="","",IFERROR(ROUND($D24*INDEX('🔖 배합비 참조'!$B$2:$CE$83,MATCH("조림류(백옥앙금)",'🔖 배합비 참조'!$A$2:$A$83,0),MATCH($C24,'🔖 배합비 참조'!$B$1:$CE$1,0))/100,0),""))),"")</f>
        <v>0</v>
      </c>
      <c r="BQ24" s="42" t="n">
        <f aca="false">IFERROR(IF($C24="","",IF($D24="","",IFERROR(ROUND($D24*INDEX('🔖 배합비 참조'!$B$2:$CE$83,MATCH("조림류(통팥앙금)",'🔖 배합비 참조'!$A$2:$A$83,0),MATCH($C24,'🔖 배합비 참조'!$B$1:$CE$1,0))/100,0),""))),"")</f>
        <v>0</v>
      </c>
      <c r="BR24" s="42" t="n">
        <f aca="false">IFERROR(IF($C24="","",IF($D24="","",IFERROR(ROUND($D24*INDEX('🔖 배합비 참조'!$B$2:$CE$83,MATCH("준초콜릿(외국산)",'🔖 배합비 참조'!$A$2:$A$83,0),MATCH($C24,'🔖 배합비 참조'!$B$1:$CE$1,0))/100,0),""))),"")</f>
        <v>0</v>
      </c>
      <c r="BS24" s="42" t="n">
        <f aca="false">IFERROR(IF($C24="","",IF($D24="","",IFERROR(ROUND($D24*INDEX('🔖 배합비 참조'!$B$2:$CE$83,MATCH("중력분",'🔖 배합비 참조'!$A$2:$A$83,0),MATCH($C24,'🔖 배합비 참조'!$B$1:$CE$1,0))/100,0),""))),"")</f>
        <v>0</v>
      </c>
      <c r="BT24" s="42" t="n">
        <f aca="false">IFERROR(IF($C24="","",IF($D24="","",IFERROR(ROUND($D24*INDEX('🔖 배합비 참조'!$B$2:$CE$83,MATCH("참깨(인도산,나이지리아산,탄자니아산,미얀마산)",'🔖 배합비 참조'!$A$2:$A$83,0),MATCH($C24,'🔖 배합비 참조'!$B$1:$CE$1,0))/100,0),""))),"")</f>
        <v>0</v>
      </c>
      <c r="BU24" s="42" t="n">
        <f aca="false">IFERROR(IF($C24="","",IF($D24="","",IFERROR(ROUND($D24*INDEX('🔖 배합비 참조'!$B$2:$CE$83,MATCH("찹쌀(국내산)",'🔖 배합비 참조'!$A$2:$A$83,0),MATCH($C24,'🔖 배합비 참조'!$B$1:$CE$1,0))/100,0),""))),"")</f>
        <v>0</v>
      </c>
      <c r="BV24" s="42" t="n">
        <f aca="false">IFERROR(IF($C24="","",IF($D24="","",IFERROR(ROUND($D24*INDEX('🔖 배합비 참조'!$B$2:$CE$83,MATCH("천일염",'🔖 배합비 참조'!$A$2:$A$83,0),MATCH($C24,'🔖 배합비 참조'!$B$1:$CE$1,0))/100,0),""))),"")</f>
        <v>1</v>
      </c>
      <c r="BW24" s="42" t="n">
        <f aca="false">IFERROR(IF($C24="","",IF($D24="","",IFERROR(ROUND($D24*INDEX('🔖 배합비 참조'!$B$2:$CE$83,MATCH("치즈 [크림치즈]",'🔖 배합비 참조'!$A$2:$A$83,0),MATCH($C24,'🔖 배합비 참조'!$B$1:$CE$1,0))/100,0),""))),"")</f>
        <v>0</v>
      </c>
      <c r="BX24" s="42" t="n">
        <f aca="false">IFERROR(IF($C24="","",IF($D24="","",IFERROR(ROUND($D24*INDEX('🔖 배합비 참조'!$B$2:$CE$83,MATCH("코코아가공품류(코코아분말)",'🔖 배합비 참조'!$A$2:$A$83,0),MATCH($C24,'🔖 배합비 참조'!$B$1:$CE$1,0))/100,0),""))),"")</f>
        <v>0</v>
      </c>
      <c r="BY24" s="42" t="n">
        <f aca="false">IFERROR(IF($C24="","",IF($D24="","",IFERROR(ROUND($D24*INDEX('🔖 배합비 참조'!$B$2:$CE$83,MATCH("콩기름(대두유)",'🔖 배합비 참조'!$A$2:$A$83,0),MATCH($C24,'🔖 배합비 참조'!$B$1:$CE$1,0))/100,0),""))),"")</f>
        <v>1</v>
      </c>
      <c r="BZ24" s="42" t="n">
        <f aca="false">IFERROR(IF($C24="","",IF($D24="","",IFERROR(ROUND($D24*INDEX('🔖 배합비 참조'!$B$2:$CE$83,MATCH("해바라기씨앗",'🔖 배합비 참조'!$A$2:$A$83,0),MATCH($C24,'🔖 배합비 참조'!$B$1:$CE$1,0))/100,0),""))),"")</f>
        <v>0</v>
      </c>
      <c r="CA24" s="42" t="n">
        <f aca="false">IFERROR(IF($C24="","",IF($D24="","",IFERROR(ROUND($D24*INDEX('🔖 배합비 참조'!$B$2:$CE$83,MATCH("현미(국내산)",'🔖 배합비 참조'!$A$2:$A$83,0),MATCH($C24,'🔖 배합비 참조'!$B$1:$CE$1,0))/100,0),""))),"")</f>
        <v>0</v>
      </c>
      <c r="CB24" s="42" t="n">
        <f aca="false">IFERROR(IF($C24="","",IF($D24="","",IFERROR(ROUND($D24*INDEX('🔖 배합비 참조'!$B$2:$CE$83,MATCH("현미멥쌀(국내산)",'🔖 배합비 참조'!$A$2:$A$83,0),MATCH($C24,'🔖 배합비 참조'!$B$1:$CE$1,0))/100,0),""))),"")</f>
        <v>0</v>
      </c>
      <c r="CC24" s="42" t="n">
        <f aca="false">IFERROR(IF($C24="","",IF($D24="","",IFERROR(ROUND($D24*INDEX('🔖 배합비 참조'!$B$2:$CE$83,MATCH("호두분태(미국산)",'🔖 배합비 참조'!$A$2:$A$83,0),MATCH($C24,'🔖 배합비 참조'!$B$1:$CE$1,0))/100,0),""))),"")</f>
        <v>0</v>
      </c>
      <c r="CD24" s="42" t="n">
        <f aca="false">IFERROR(IF($C24="","",IF($D24="","",IFERROR(ROUND($D24*INDEX('🔖 배합비 참조'!$B$2:$CE$83,MATCH("호박씨앗(외국산)",'🔖 배합비 참조'!$A$2:$A$83,0),MATCH($C24,'🔖 배합비 참조'!$B$1:$CE$1,0))/100,0),""))),"")</f>
        <v>0</v>
      </c>
      <c r="CE24" s="42" t="n">
        <f aca="false">IFERROR(IF($C24="","",IF($D24="","",IFERROR(ROUND($D24*INDEX('🔖 배합비 참조'!$B$2:$CE$83,MATCH("혼합제제(떡용에스텔)",'🔖 배합비 참조'!$A$2:$A$83,0),MATCH($C24,'🔖 배합비 참조'!$B$1:$CE$1,0))/100,0),""))),"")</f>
        <v>0</v>
      </c>
      <c r="CF24" s="42" t="n">
        <f aca="false">IFERROR(IF($C24="","",IF($D24="","",IFERROR(ROUND($D24*INDEX('🔖 배합비 참조'!$B$2:$CE$83,MATCH("혼합제제(스테비아)",'🔖 배합비 참조'!$A$2:$A$83,0),MATCH($C24,'🔖 배합비 참조'!$B$1:$CE$1,0))/100,0),""))),"")</f>
        <v>0</v>
      </c>
      <c r="CG24" s="42" t="n">
        <f aca="false">IFERROR(IF($C24="","",IF($D24="","",IFERROR(ROUND($D24*INDEX('🔖 배합비 참조'!$B$2:$CE$83,MATCH("화이트초콜릿",'🔖 배합비 참조'!$A$2:$A$83,0),MATCH($C24,'🔖 배합비 참조'!$B$1:$CE$1,0))/100,0),""))),"")</f>
        <v>0</v>
      </c>
      <c r="CH24" s="42" t="n">
        <f aca="false">IFERROR(IF($C24="","",IF($D24="","",IFERROR(ROUND($D24*INDEX('🔖 배합비 참조'!$B$2:$CE$83,MATCH("흑미찹쌀(국내산)",'🔖 배합비 참조'!$A$2:$A$83,0),MATCH($C24,'🔖 배합비 참조'!$B$1:$CE$1,0))/100,0),""))),"")</f>
        <v>0</v>
      </c>
      <c r="CI24" s="42" t="n">
        <f aca="false">IFERROR(IF($C24="","",IF($D24="","",IFERROR(ROUND($D24*INDEX('🔖 배합비 참조'!$B$2:$CE$83,MATCH("찰옥수수전분(미국산)",'🔖 배합비 참조'!$A$2:$A$83,0),MATCH($C24,'🔖 배합비 참조'!$B$1:$CE$1,0))/100,0),""))),"")</f>
        <v>0</v>
      </c>
      <c r="CJ24" s="40"/>
      <c r="CL24" s="1" t="s">
        <v>235</v>
      </c>
    </row>
    <row r="25" customFormat="false" ht="18" hidden="false" customHeight="true" outlineLevel="0" collapsed="false">
      <c r="A25" s="35" t="n">
        <v>21</v>
      </c>
      <c r="B25" s="36" t="n">
        <v>45951</v>
      </c>
      <c r="C25" s="37" t="s">
        <v>183</v>
      </c>
      <c r="D25" s="38" t="n">
        <v>280</v>
      </c>
      <c r="E25" s="13"/>
      <c r="F25" s="13"/>
      <c r="G25" s="39" t="n">
        <f aca="false">IFERROR(IF($C25="","",IF($D25="","",IFERROR(ROUND($D25*INDEX('🔖 배합비 참조'!$B$2:$CE$83,MATCH("간장",'🔖 배합비 참조'!$A$2:$A$83,0),MATCH($C25,'🔖 배합비 참조'!$B$1:$CE$1,0))/100,0),""))),"")</f>
        <v>0</v>
      </c>
      <c r="H25" s="39" t="n">
        <f aca="false">IFERROR(IF($C25="","",IF($D25="","",IFERROR(ROUND($D25*INDEX('🔖 배합비 참조'!$B$2:$CE$83,MATCH("강낭콩((울타리콩))",'🔖 배합비 참조'!$A$2:$A$83,0),MATCH($C25,'🔖 배합비 참조'!$B$1:$CE$1,0))/100,0),""))),"")</f>
        <v>0</v>
      </c>
      <c r="I25" s="39" t="n">
        <f aca="false">IFERROR(IF($C25="","",IF($D25="","",IFERROR(ROUND($D25*INDEX('🔖 배합비 참조'!$B$2:$CE$83,MATCH("건조딸기다이스(외국산)",'🔖 배합비 참조'!$A$2:$A$83,0),MATCH($C25,'🔖 배합비 참조'!$B$1:$CE$1,0))/100,0),""))),"")</f>
        <v>0</v>
      </c>
      <c r="J25" s="39" t="n">
        <f aca="false">IFERROR(IF($C25="","",IF($D25="","",IFERROR(ROUND($D25*INDEX('🔖 배합비 참조'!$B$2:$CE$83,MATCH("건포도",'🔖 배합비 참조'!$A$2:$A$83,0),MATCH($C25,'🔖 배합비 참조'!$B$1:$CE$1,0))/100,0),""))),"")</f>
        <v>0</v>
      </c>
      <c r="K25" s="39" t="n">
        <f aca="false">IFERROR(IF($C25="","",IF($D25="","",IFERROR(ROUND($D25*INDEX('🔖 배합비 참조'!$B$2:$CE$83,MATCH("건호박채(중국산)",'🔖 배합비 참조'!$A$2:$A$83,0),MATCH($C25,'🔖 배합비 참조'!$B$1:$CE$1,0))/100,0),""))),"")</f>
        <v>0</v>
      </c>
      <c r="L25" s="39" t="n">
        <f aca="false">IFERROR(IF($C25="","",IF($D25="","",IFERROR(ROUND($D25*INDEX('🔖 배합비 참조'!$B$2:$CE$83,MATCH("검정깨(흑임자)",'🔖 배합비 참조'!$A$2:$A$83,0),MATCH($C25,'🔖 배합비 참조'!$B$1:$CE$1,0))/100,0),""))),"")</f>
        <v>0</v>
      </c>
      <c r="M25" s="39" t="n">
        <f aca="false">IFERROR(IF($C25="","",IF($D25="","",IFERROR(ROUND($D25*INDEX('🔖 배합비 참조'!$B$2:$CE$83,MATCH("검정콩",'🔖 배합비 참조'!$A$2:$A$83,0),MATCH($C25,'🔖 배합비 참조'!$B$1:$CE$1,0))/100,0),""))),"")</f>
        <v>0</v>
      </c>
      <c r="N25" s="39" t="n">
        <f aca="false">IFERROR(IF($C25="","",IF($D25="","",IFERROR(ROUND($D25*INDEX('🔖 배합비 참조'!$B$2:$CE$83,MATCH("계피가루",'🔖 배합비 참조'!$A$2:$A$83,0),MATCH($C25,'🔖 배합비 참조'!$B$1:$CE$1,0))/100,0),""))),"")</f>
        <v>0</v>
      </c>
      <c r="O25" s="39" t="n">
        <f aca="false">IFERROR(IF($C25="","",IF($D25="","",IFERROR(ROUND($D25*INDEX('🔖 배합비 참조'!$B$2:$CE$83,MATCH("고구마가루",'🔖 배합비 참조'!$A$2:$A$83,0),MATCH($C25,'🔖 배합비 참조'!$B$1:$CE$1,0))/100,0),""))),"")</f>
        <v>0</v>
      </c>
      <c r="P25" s="39" t="n">
        <f aca="false">IFERROR(IF($C25="","",IF($D25="","",IFERROR(ROUND($D25*INDEX('🔖 배합비 참조'!$B$2:$CE$83,MATCH("고구마무스",'🔖 배합비 참조'!$A$2:$A$83,0),MATCH($C25,'🔖 배합비 참조'!$B$1:$CE$1,0))/100,0),""))),"")</f>
        <v>0</v>
      </c>
      <c r="Q25" s="39" t="n">
        <f aca="false">IFERROR(IF($C25="","",IF($D25="","",IFERROR(ROUND($D25*INDEX('🔖 배합비 참조'!$B$2:$CE$83,MATCH("고려엉겅퀴((곤드레)국내산)",'🔖 배합비 참조'!$A$2:$A$83,0),MATCH($C25,'🔖 배합비 참조'!$B$1:$CE$1,0))/100,0),""))),"")</f>
        <v>0</v>
      </c>
      <c r="R25" s="39" t="n">
        <f aca="false">IFERROR(IF($C25="","",IF($D25="","",IFERROR(ROUND($D25*INDEX('🔖 배합비 참조'!$B$2:$CE$83,MATCH("기타가공품(복분자가루)",'🔖 배합비 참조'!$A$2:$A$83,0),MATCH($C25,'🔖 배합비 참조'!$B$1:$CE$1,0))/100,0),""))),"")</f>
        <v>0</v>
      </c>
      <c r="S25" s="39" t="n">
        <f aca="false">IFERROR(IF($C25="","",IF($D25="","",IFERROR(ROUND($D25*INDEX('🔖 배합비 참조'!$B$2:$CE$83,MATCH("기타가공품(슈퍼소프트엠)",'🔖 배합비 참조'!$A$2:$A$83,0),MATCH($C25,'🔖 배합비 참조'!$B$1:$CE$1,0))/100,0),""))),"")</f>
        <v>0</v>
      </c>
      <c r="T25" s="39" t="n">
        <f aca="false">IFERROR(IF($C25="","",IF($D25="","",IFERROR(ROUND($D25*INDEX('🔖 배합비 참조'!$B$2:$CE$83,MATCH("기타가공품(파인소프트 E-티)",'🔖 배합비 참조'!$A$2:$A$83,0),MATCH($C25,'🔖 배합비 참조'!$B$1:$CE$1,0))/100,0),""))),"")</f>
        <v>0</v>
      </c>
      <c r="U25" s="39" t="n">
        <f aca="false">IFERROR(IF($C25="","",IF($D25="","",IFERROR(ROUND($D25*INDEX('🔖 배합비 참조'!$B$2:$CE$83,MATCH("기타가공품(프리미엄카스테라가루)",'🔖 배합비 참조'!$A$2:$A$83,0),MATCH($C25,'🔖 배합비 참조'!$B$1:$CE$1,0))/100,0),""))),"")</f>
        <v>0</v>
      </c>
      <c r="V25" s="39" t="n">
        <f aca="false">IFERROR(IF($C25="","",IF($D25="","",IFERROR(ROUND($D25*INDEX('🔖 배합비 참조'!$B$2:$CE$83,MATCH("기타가공품(흑임자가루)",'🔖 배합비 참조'!$A$2:$A$83,0),MATCH($C25,'🔖 배합비 참조'!$B$1:$CE$1,0))/100,0),""))),"")</f>
        <v>0</v>
      </c>
      <c r="W25" s="39" t="n">
        <f aca="false">IFERROR(IF($C25="","",IF($D25="","",IFERROR(ROUND($D25*INDEX('🔖 배합비 참조'!$B$2:$CE$83,MATCH("기타설탕(흑설탕)",'🔖 배합비 참조'!$A$2:$A$83,0),MATCH($C25,'🔖 배합비 참조'!$B$1:$CE$1,0))/100,0),""))),"")</f>
        <v>0</v>
      </c>
      <c r="X25" s="39" t="n">
        <f aca="false">IFERROR(IF($C25="","",IF($D25="","",IFERROR(ROUND($D25*INDEX('🔖 배합비 참조'!$B$2:$CE$83,MATCH("냉동쑥(국내산)",'🔖 배합비 참조'!$A$2:$A$83,0),MATCH($C25,'🔖 배합비 참조'!$B$1:$CE$1,0))/100,0),""))),"")</f>
        <v>0</v>
      </c>
      <c r="Y25" s="39" t="n">
        <f aca="false">IFERROR(IF($C25="","",IF($D25="","",IFERROR(ROUND($D25*INDEX('🔖 배합비 참조'!$B$2:$CE$83,MATCH("냉동증숙고구마(중국산)",'🔖 배합비 참조'!$A$2:$A$83,0),MATCH($C25,'🔖 배합비 참조'!$B$1:$CE$1,0))/100,0),""))),"")</f>
        <v>0</v>
      </c>
      <c r="Z25" s="39" t="n">
        <f aca="false">IFERROR(IF($C25="","",IF($D25="","",IFERROR(ROUND($D25*INDEX('🔖 배합비 참조'!$B$2:$CE$83,MATCH("녹차가루",'🔖 배합비 참조'!$A$2:$A$83,0),MATCH($C25,'🔖 배합비 참조'!$B$1:$CE$1,0))/100,0),""))),"")</f>
        <v>0</v>
      </c>
      <c r="AA25" s="39" t="n">
        <f aca="false">IFERROR(IF($C25="","",IF($D25="","",IFERROR(ROUND($D25*INDEX('🔖 배합비 참조'!$B$2:$CE$83,MATCH("다크초콜릿 컴파운드칩",'🔖 배합비 참조'!$A$2:$A$83,0),MATCH($C25,'🔖 배합비 참조'!$B$1:$CE$1,0))/100,0),""))),"")</f>
        <v>0</v>
      </c>
      <c r="AB25" s="39" t="n">
        <f aca="false">IFERROR(IF($C25="","",IF($D25="","",IFERROR(ROUND($D25*INDEX('🔖 배합비 참조'!$B$2:$CE$83,MATCH("단호박분말(중국산)",'🔖 배합비 참조'!$A$2:$A$83,0),MATCH($C25,'🔖 배합비 참조'!$B$1:$CE$1,0))/100,0),""))),"")</f>
        <v>0</v>
      </c>
      <c r="AC25" s="39" t="n">
        <f aca="false">IFERROR(IF($C25="","",IF($D25="","",IFERROR(ROUND($D25*INDEX('🔖 배합비 참조'!$B$2:$CE$83,MATCH("당류가공품(단호박농축액)",'🔖 배합비 참조'!$A$2:$A$83,0),MATCH($C25,'🔖 배합비 참조'!$B$1:$CE$1,0))/100,0),""))),"")</f>
        <v>0</v>
      </c>
      <c r="AD25" s="39" t="n">
        <f aca="false">IFERROR(IF($C25="","",IF($D25="","",IFERROR(ROUND($D25*INDEX('🔖 배합비 참조'!$B$2:$CE$83,MATCH("당류가공품(알룰로스,에리스리톨,스테비올배당체혼합)",'🔖 배합비 참조'!$A$2:$A$83,0),MATCH($C25,'🔖 배합비 참조'!$B$1:$CE$1,0))/100,0),""))),"")</f>
        <v>0</v>
      </c>
      <c r="AE25" s="39" t="n">
        <f aca="false">IFERROR(IF($C25="","",IF($D25="","",IFERROR(ROUND($D25*INDEX('🔖 배합비 참조'!$B$2:$CE$83,MATCH("당류가공품(알룰로스제로파우더)",'🔖 배합비 참조'!$A$2:$A$83,0),MATCH($C25,'🔖 배합비 참조'!$B$1:$CE$1,0))/100,0),""))),"")</f>
        <v>0</v>
      </c>
      <c r="AF25" s="39" t="n">
        <f aca="false">IFERROR(IF($C25="","",IF($D25="","",IFERROR(ROUND($D25*INDEX('🔖 배합비 참조'!$B$2:$CE$83,MATCH("당절임(완두배기)",'🔖 배합비 참조'!$A$2:$A$83,0),MATCH($C25,'🔖 배합비 참조'!$B$1:$CE$1,0))/100,0),""))),"")</f>
        <v>0</v>
      </c>
      <c r="AG25" s="39" t="n">
        <f aca="false">IFERROR(IF($C25="","",IF($D25="","",IFERROR(ROUND($D25*INDEX('🔖 배합비 참조'!$B$2:$CE$83,MATCH("대추농축액",'🔖 배합비 참조'!$A$2:$A$83,0),MATCH($C25,'🔖 배합비 참조'!$B$1:$CE$1,0))/100,0),""))),"")</f>
        <v>0</v>
      </c>
      <c r="AH25" s="39" t="n">
        <f aca="false">IFERROR(IF($C25="","",IF($D25="","",IFERROR(ROUND($D25*INDEX('🔖 배합비 참조'!$B$2:$CE$83,MATCH("대추채(국내산)",'🔖 배합비 참조'!$A$2:$A$83,0),MATCH($C25,'🔖 배합비 참조'!$B$1:$CE$1,0))/100,0),""))),"")</f>
        <v>0</v>
      </c>
      <c r="AI25" s="39" t="n">
        <f aca="false">IFERROR(IF($C25="","",IF($D25="","",IFERROR(ROUND($D25*INDEX('🔖 배합비 참조'!$B$2:$CE$83,MATCH("동부(미얀마산)",'🔖 배합비 참조'!$A$2:$A$83,0),MATCH($C25,'🔖 배합비 참조'!$B$1:$CE$1,0))/100,0),""))),"")</f>
        <v>0</v>
      </c>
      <c r="AJ25" s="39" t="n">
        <f aca="false">IFERROR(IF($C25="","",IF($D25="","",IFERROR(ROUND($D25*INDEX('🔖 배합비 참조'!$B$2:$CE$83,MATCH("두류가공품(백옥앙금)",'🔖 배합비 참조'!$A$2:$A$83,0),MATCH($C25,'🔖 배합비 참조'!$B$1:$CE$1,0))/100,0),""))),"")</f>
        <v>0</v>
      </c>
      <c r="AK25" s="39" t="n">
        <f aca="false">IFERROR(IF($C25="","",IF($D25="","",IFERROR(ROUND($D25*INDEX('🔖 배합비 참조'!$B$2:$CE$83,MATCH("두류가공품(콩고물)",'🔖 배합비 참조'!$A$2:$A$83,0),MATCH($C25,'🔖 배합비 참조'!$B$1:$CE$1,0))/100,0),""))),"")</f>
        <v>0</v>
      </c>
      <c r="AL25" s="39" t="n">
        <f aca="false">IFERROR(IF($C25="","",IF($D25="","",IFERROR(ROUND($D25*INDEX('🔖 배합비 참조'!$B$2:$CE$83,MATCH("두류가공품(통팥고물)",'🔖 배합비 참조'!$A$2:$A$83,0),MATCH($C25,'🔖 배합비 참조'!$B$1:$CE$1,0))/100,0),""))),"")</f>
        <v>0</v>
      </c>
      <c r="AM25" s="39" t="n">
        <f aca="false">IFERROR(IF($C25="","",IF($D25="","",IFERROR(ROUND($D25*INDEX('🔖 배합비 참조'!$B$2:$CE$83,MATCH("딸기레진",'🔖 배합비 참조'!$A$2:$A$83,0),MATCH($C25,'🔖 배합비 참조'!$B$1:$CE$1,0))/100,0),""))),"")</f>
        <v>0</v>
      </c>
      <c r="AN25" s="39" t="n">
        <f aca="false">IFERROR(IF($C25="","",IF($D25="","",IFERROR(ROUND($D25*INDEX('🔖 배합비 참조'!$B$2:$CE$83,MATCH("딸기분말(스트로우베리에이드(분말))",'🔖 배합비 참조'!$A$2:$A$83,0),MATCH($C25,'🔖 배합비 참조'!$B$1:$CE$1,0))/100,0),""))),"")</f>
        <v>0</v>
      </c>
      <c r="AO25" s="39" t="n">
        <f aca="false">IFERROR(IF($C25="","",IF($D25="","",IFERROR(ROUND($D25*INDEX('🔖 배합비 참조'!$B$2:$CE$83,MATCH("마스카포네치즈",'🔖 배합비 참조'!$A$2:$A$83,0),MATCH($C25,'🔖 배합비 참조'!$B$1:$CE$1,0))/100,0),""))),"")</f>
        <v>0</v>
      </c>
      <c r="AP25" s="39" t="n">
        <f aca="false">IFERROR(IF($C25="","",IF($D25="","",IFERROR(ROUND($D25*INDEX('🔖 배합비 참조'!$B$2:$CE$83,MATCH("마카다미아분태(호주산)",'🔖 배합비 참조'!$A$2:$A$83,0),MATCH($C25,'🔖 배합비 참조'!$B$1:$CE$1,0))/100,0),""))),"")</f>
        <v>0</v>
      </c>
      <c r="AQ25" s="39" t="n">
        <f aca="false">IFERROR(IF($C25="","",IF($D25="","",IFERROR(ROUND($D25*INDEX('🔖 배합비 참조'!$B$2:$CE$83,MATCH("멥쌀(국내산)",'🔖 배합비 참조'!$A$2:$A$83,0),MATCH($C25,'🔖 배합비 참조'!$B$1:$CE$1,0))/100,0),""))),"")</f>
        <v>0</v>
      </c>
      <c r="AR25" s="39" t="n">
        <f aca="false">IFERROR(IF($C25="","",IF($D25="","",IFERROR(ROUND($D25*INDEX('🔖 배합비 참조'!$B$2:$CE$83,MATCH("모시잎(국내산)",'🔖 배합비 참조'!$A$2:$A$83,0),MATCH($C25,'🔖 배합비 참조'!$B$1:$CE$1,0))/100,0),""))),"")</f>
        <v>0</v>
      </c>
      <c r="AS25" s="39" t="n">
        <f aca="false">IFERROR(IF($C25="","",IF($D25="","",IFERROR(ROUND($D25*INDEX('🔖 배합비 참조'!$B$2:$CE$83,MATCH("물엿(저당물엿)",'🔖 배합비 참조'!$A$2:$A$83,0),MATCH($C25,'🔖 배합비 참조'!$B$1:$CE$1,0))/100,0),""))),"")</f>
        <v>7</v>
      </c>
      <c r="AT25" s="39" t="n">
        <f aca="false">IFERROR(IF($C25="","",IF($D25="","",IFERROR(ROUND($D25*INDEX('🔖 배합비 참조'!$B$2:$CE$83,MATCH("밤다이스",'🔖 배합비 참조'!$A$2:$A$83,0),MATCH($C25,'🔖 배합비 참조'!$B$1:$CE$1,0))/100,0),""))),"")</f>
        <v>0</v>
      </c>
      <c r="AU25" s="39" t="n">
        <f aca="false">IFERROR(IF($C25="","",IF($D25="","",IFERROR(ROUND($D25*INDEX('🔖 배합비 참조'!$B$2:$CE$83,MATCH("변성전분(타피오카전분)",'🔖 배합비 참조'!$A$2:$A$83,0),MATCH($C25,'🔖 배합비 참조'!$B$1:$CE$1,0))/100,0),""))),"")</f>
        <v>0</v>
      </c>
      <c r="AV25" s="39" t="n">
        <f aca="false">IFERROR(IF($C25="","",IF($D25="","",IFERROR(ROUND($D25*INDEX('🔖 배합비 참조'!$B$2:$CE$83,MATCH("복음땅콩분태",'🔖 배합비 참조'!$A$2:$A$83,0),MATCH($C25,'🔖 배합비 참조'!$B$1:$CE$1,0))/100,0),""))),"")</f>
        <v>0</v>
      </c>
      <c r="AW25" s="39" t="n">
        <f aca="false">IFERROR(IF($C25="","",IF($D25="","",IFERROR(ROUND($D25*INDEX('🔖 배합비 참조'!$B$2:$CE$83,MATCH("사양벌꿀(국내산)",'🔖 배합비 참조'!$A$2:$A$83,0),MATCH($C25,'🔖 배합비 참조'!$B$1:$CE$1,0))/100,0),""))),"")</f>
        <v>0</v>
      </c>
      <c r="AX25" s="39" t="n">
        <f aca="false">IFERROR(IF($C25="","",IF($D25="","",IFERROR(ROUND($D25*INDEX('🔖 배합비 참조'!$B$2:$CE$83,MATCH("생크림",'🔖 배합비 참조'!$A$2:$A$83,0),MATCH($C25,'🔖 배합비 참조'!$B$1:$CE$1,0))/100,0),""))),"")</f>
        <v>0</v>
      </c>
      <c r="AY25" s="39" t="n">
        <f aca="false">IFERROR(IF($C25="","",IF($D25="","",IFERROR(ROUND($D25*INDEX('🔖 배합비 참조'!$B$2:$CE$83,MATCH("서양호박(국내산,뉴질랜드산)",'🔖 배합비 참조'!$A$2:$A$83,0),MATCH($C25,'🔖 배합비 참조'!$B$1:$CE$1,0))/100,0),""))),"")</f>
        <v>0</v>
      </c>
      <c r="AZ25" s="39" t="n">
        <f aca="false">IFERROR(IF($C25="","",IF($D25="","",IFERROR(ROUND($D25*INDEX('🔖 배합비 참조'!$B$2:$CE$83,MATCH("설탕",'🔖 배합비 참조'!$A$2:$A$83,0),MATCH($C25,'🔖 배합비 참조'!$B$1:$CE$1,0))/100,0),""))),"")</f>
        <v>7</v>
      </c>
      <c r="BA25" s="39" t="n">
        <f aca="false">IFERROR(IF($C25="","",IF($D25="","",IFERROR(ROUND($D25*INDEX('🔖 배합비 참조'!$B$2:$CE$83,MATCH("스트로우베리 에이드 후레쉬",'🔖 배합비 참조'!$A$2:$A$83,0),MATCH($C25,'🔖 배합비 참조'!$B$1:$CE$1,0))/100,0),""))),"")</f>
        <v>0</v>
      </c>
      <c r="BB25" s="39" t="n">
        <f aca="false">IFERROR(IF($C25="","",IF($D25="","",IFERROR(ROUND($D25*INDEX('🔖 배합비 참조'!$B$2:$CE$83,MATCH("식물성기름혼합제제(분홍)",'🔖 배합비 참조'!$A$2:$A$83,0),MATCH($C25,'🔖 배합비 참조'!$B$1:$CE$1,0))/100,0),""))),"")</f>
        <v>0</v>
      </c>
      <c r="BC25" s="39" t="n">
        <f aca="false">IFERROR(IF($C25="","",IF($D25="","",IFERROR(ROUND($D25*INDEX('🔖 배합비 참조'!$B$2:$CE$83,MATCH("식물성기름혼합제제(초록)",'🔖 배합비 참조'!$A$2:$A$83,0),MATCH($C25,'🔖 배합비 참조'!$B$1:$CE$1,0))/100,0),""))),"")</f>
        <v>0</v>
      </c>
      <c r="BD25" s="39" t="n">
        <f aca="false">IFERROR(IF($C25="","",IF($D25="","",IFERROR(ROUND($D25*INDEX('🔖 배합비 참조'!$B$2:$CE$83,MATCH("식물성기름혼합제제(황색)",'🔖 배합비 참조'!$A$2:$A$83,0),MATCH($C25,'🔖 배합비 참조'!$B$1:$CE$1,0))/100,0),""))),"")</f>
        <v>0</v>
      </c>
      <c r="BE25" s="39" t="n">
        <f aca="false">IFERROR(IF($C25="","",IF($D25="","",IFERROR(ROUND($D25*INDEX('🔖 배합비 참조'!$B$2:$CE$83,MATCH("쑥가루(국내산)",'🔖 배합비 참조'!$A$2:$A$83,0),MATCH($C25,'🔖 배합비 참조'!$B$1:$CE$1,0))/100,0),""))),"")</f>
        <v>0</v>
      </c>
      <c r="BF25" s="39" t="n">
        <f aca="false">IFERROR(IF($C25="","",IF($D25="","",IFERROR(ROUND($D25*INDEX('🔖 배합비 참조'!$B$2:$CE$83,MATCH("아몬드슬라이스",'🔖 배합비 참조'!$A$2:$A$83,0),MATCH($C25,'🔖 배합비 참조'!$B$1:$CE$1,0))/100,0),""))),"")</f>
        <v>0</v>
      </c>
      <c r="BG25" s="39" t="n">
        <f aca="false">IFERROR(IF($C25="","",IF($D25="","",IFERROR(ROUND($D25*INDEX('🔖 배합비 참조'!$B$2:$CE$83,MATCH("알룰로오스(국내산)",'🔖 배합비 참조'!$A$2:$A$83,0),MATCH($C25,'🔖 배합비 참조'!$B$1:$CE$1,0))/100,0),""))),"")</f>
        <v>0</v>
      </c>
      <c r="BH25" s="39" t="n">
        <f aca="false">IFERROR(IF($C25="","",IF($D25="","",IFERROR(ROUND($D25*INDEX('🔖 배합비 참조'!$B$2:$CE$83,MATCH("연유",'🔖 배합비 참조'!$A$2:$A$83,0),MATCH($C25,'🔖 배합비 참조'!$B$1:$CE$1,0))/100,0),""))),"")</f>
        <v>0</v>
      </c>
      <c r="BI25" s="39" t="n">
        <f aca="false">IFERROR(IF($C25="","",IF($D25="","",IFERROR(ROUND($D25*INDEX('🔖 배합비 참조'!$B$2:$CE$83,MATCH("옥수수전분",'🔖 배합비 참조'!$A$2:$A$83,0),MATCH($C25,'🔖 배합비 참조'!$B$1:$CE$1,0))/100,0),""))),"")</f>
        <v>3</v>
      </c>
      <c r="BJ25" s="39" t="n">
        <f aca="false">IFERROR(IF($C25="","",IF($D25="","",IFERROR(ROUND($D25*INDEX('🔖 배합비 참조'!$B$2:$CE$83,MATCH("완두배기",'🔖 배합비 참조'!$A$2:$A$83,0),MATCH($C25,'🔖 배합비 참조'!$B$1:$CE$1,0))/100,0),""))),"")</f>
        <v>0</v>
      </c>
      <c r="BK25" s="39" t="n">
        <f aca="false">IFERROR(IF($C25="","",IF($D25="","",IFERROR(ROUND($D25*INDEX('🔖 배합비 참조'!$B$2:$CE$83,MATCH("우유(국내산)",'🔖 배합비 참조'!$A$2:$A$83,0),MATCH($C25,'🔖 배합비 참조'!$B$1:$CE$1,0))/100,0),""))),"")</f>
        <v>0</v>
      </c>
      <c r="BL25" s="39" t="n">
        <f aca="false">IFERROR(IF($C25="","",IF($D25="","",IFERROR(ROUND($D25*INDEX('🔖 배합비 참조'!$B$2:$CE$83,MATCH("자색고구마가루(중국산)",'🔖 배합비 참조'!$A$2:$A$83,0),MATCH($C25,'🔖 배합비 참조'!$B$1:$CE$1,0))/100,0),""))),"")</f>
        <v>0</v>
      </c>
      <c r="BM25" s="39" t="n">
        <f aca="false">IFERROR(IF($C25="","",IF($D25="","",IFERROR(ROUND($D25*INDEX('🔖 배합비 참조'!$B$2:$CE$83,MATCH("자연치즈(체다치즈)",'🔖 배합비 참조'!$A$2:$A$83,0),MATCH($C25,'🔖 배합비 참조'!$B$1:$CE$1,0))/100,0),""))),"")</f>
        <v>0</v>
      </c>
      <c r="BN25" s="39" t="n">
        <f aca="false">IFERROR(IF($C25="","",IF($D25="","",IFERROR(ROUND($D25*INDEX('🔖 배합비 참조'!$B$2:$CE$83,MATCH("정제수",'🔖 배합비 참조'!$A$2:$A$83,0),MATCH($C25,'🔖 배합비 참조'!$B$1:$CE$1,0))/100,0),""))),"")</f>
        <v>0</v>
      </c>
      <c r="BO25" s="39" t="n">
        <f aca="false">IFERROR(IF($C25="","",IF($D25="","",IFERROR(ROUND($D25*INDEX('🔖 배합비 참조'!$B$2:$CE$83,MATCH("젤라틴",'🔖 배합비 참조'!$A$2:$A$83,0),MATCH($C25,'🔖 배합비 참조'!$B$1:$CE$1,0))/100,0),""))),"")</f>
        <v>0</v>
      </c>
      <c r="BP25" s="39" t="n">
        <f aca="false">IFERROR(IF($C25="","",IF($D25="","",IFERROR(ROUND($D25*INDEX('🔖 배합비 참조'!$B$2:$CE$83,MATCH("조림류(백옥앙금)",'🔖 배합비 참조'!$A$2:$A$83,0),MATCH($C25,'🔖 배합비 참조'!$B$1:$CE$1,0))/100,0),""))),"")</f>
        <v>0</v>
      </c>
      <c r="BQ25" s="39" t="n">
        <f aca="false">IFERROR(IF($C25="","",IF($D25="","",IFERROR(ROUND($D25*INDEX('🔖 배합비 참조'!$B$2:$CE$83,MATCH("조림류(통팥앙금)",'🔖 배합비 참조'!$A$2:$A$83,0),MATCH($C25,'🔖 배합비 참조'!$B$1:$CE$1,0))/100,0),""))),"")</f>
        <v>125</v>
      </c>
      <c r="BR25" s="39" t="n">
        <f aca="false">IFERROR(IF($C25="","",IF($D25="","",IFERROR(ROUND($D25*INDEX('🔖 배합비 참조'!$B$2:$CE$83,MATCH("준초콜릿(외국산)",'🔖 배합비 참조'!$A$2:$A$83,0),MATCH($C25,'🔖 배합비 참조'!$B$1:$CE$1,0))/100,0),""))),"")</f>
        <v>0</v>
      </c>
      <c r="BS25" s="39" t="n">
        <f aca="false">IFERROR(IF($C25="","",IF($D25="","",IFERROR(ROUND($D25*INDEX('🔖 배합비 참조'!$B$2:$CE$83,MATCH("중력분",'🔖 배합비 참조'!$A$2:$A$83,0),MATCH($C25,'🔖 배합비 참조'!$B$1:$CE$1,0))/100,0),""))),"")</f>
        <v>1</v>
      </c>
      <c r="BT25" s="39" t="n">
        <f aca="false">IFERROR(IF($C25="","",IF($D25="","",IFERROR(ROUND($D25*INDEX('🔖 배합비 참조'!$B$2:$CE$83,MATCH("참깨(인도산,나이지리아산,탄자니아산,미얀마산)",'🔖 배합비 참조'!$A$2:$A$83,0),MATCH($C25,'🔖 배합비 참조'!$B$1:$CE$1,0))/100,0),""))),"")</f>
        <v>0</v>
      </c>
      <c r="BU25" s="39" t="n">
        <f aca="false">IFERROR(IF($C25="","",IF($D25="","",IFERROR(ROUND($D25*INDEX('🔖 배합비 참조'!$B$2:$CE$83,MATCH("찹쌀(국내산)",'🔖 배합비 참조'!$A$2:$A$83,0),MATCH($C25,'🔖 배합비 참조'!$B$1:$CE$1,0))/100,0),""))),"")</f>
        <v>134</v>
      </c>
      <c r="BV25" s="39" t="n">
        <f aca="false">IFERROR(IF($C25="","",IF($D25="","",IFERROR(ROUND($D25*INDEX('🔖 배합비 참조'!$B$2:$CE$83,MATCH("천일염",'🔖 배합비 참조'!$A$2:$A$83,0),MATCH($C25,'🔖 배합비 참조'!$B$1:$CE$1,0))/100,0),""))),"")</f>
        <v>2</v>
      </c>
      <c r="BW25" s="39" t="n">
        <f aca="false">IFERROR(IF($C25="","",IF($D25="","",IFERROR(ROUND($D25*INDEX('🔖 배합비 참조'!$B$2:$CE$83,MATCH("치즈 [크림치즈]",'🔖 배합비 참조'!$A$2:$A$83,0),MATCH($C25,'🔖 배합비 참조'!$B$1:$CE$1,0))/100,0),""))),"")</f>
        <v>0</v>
      </c>
      <c r="BX25" s="39" t="n">
        <f aca="false">IFERROR(IF($C25="","",IF($D25="","",IFERROR(ROUND($D25*INDEX('🔖 배합비 참조'!$B$2:$CE$83,MATCH("코코아가공품류(코코아분말)",'🔖 배합비 참조'!$A$2:$A$83,0),MATCH($C25,'🔖 배합비 참조'!$B$1:$CE$1,0))/100,0),""))),"")</f>
        <v>0</v>
      </c>
      <c r="BY25" s="39" t="n">
        <f aca="false">IFERROR(IF($C25="","",IF($D25="","",IFERROR(ROUND($D25*INDEX('🔖 배합비 참조'!$B$2:$CE$83,MATCH("콩기름(대두유)",'🔖 배합비 참조'!$A$2:$A$83,0),MATCH($C25,'🔖 배합비 참조'!$B$1:$CE$1,0))/100,0),""))),"")</f>
        <v>0</v>
      </c>
      <c r="BZ25" s="39" t="n">
        <f aca="false">IFERROR(IF($C25="","",IF($D25="","",IFERROR(ROUND($D25*INDEX('🔖 배합비 참조'!$B$2:$CE$83,MATCH("해바라기씨앗",'🔖 배합비 참조'!$A$2:$A$83,0),MATCH($C25,'🔖 배합비 참조'!$B$1:$CE$1,0))/100,0),""))),"")</f>
        <v>0</v>
      </c>
      <c r="CA25" s="39" t="n">
        <f aca="false">IFERROR(IF($C25="","",IF($D25="","",IFERROR(ROUND($D25*INDEX('🔖 배합비 참조'!$B$2:$CE$83,MATCH("현미(국내산)",'🔖 배합비 참조'!$A$2:$A$83,0),MATCH($C25,'🔖 배합비 참조'!$B$1:$CE$1,0))/100,0),""))),"")</f>
        <v>0</v>
      </c>
      <c r="CB25" s="39" t="n">
        <f aca="false">IFERROR(IF($C25="","",IF($D25="","",IFERROR(ROUND($D25*INDEX('🔖 배합비 참조'!$B$2:$CE$83,MATCH("현미멥쌀(국내산)",'🔖 배합비 참조'!$A$2:$A$83,0),MATCH($C25,'🔖 배합비 참조'!$B$1:$CE$1,0))/100,0),""))),"")</f>
        <v>0</v>
      </c>
      <c r="CC25" s="39" t="n">
        <f aca="false">IFERROR(IF($C25="","",IF($D25="","",IFERROR(ROUND($D25*INDEX('🔖 배합비 참조'!$B$2:$CE$83,MATCH("호두분태(미국산)",'🔖 배합비 참조'!$A$2:$A$83,0),MATCH($C25,'🔖 배합비 참조'!$B$1:$CE$1,0))/100,0),""))),"")</f>
        <v>0</v>
      </c>
      <c r="CD25" s="39" t="n">
        <f aca="false">IFERROR(IF($C25="","",IF($D25="","",IFERROR(ROUND($D25*INDEX('🔖 배합비 참조'!$B$2:$CE$83,MATCH("호박씨앗(외국산)",'🔖 배합비 참조'!$A$2:$A$83,0),MATCH($C25,'🔖 배합비 참조'!$B$1:$CE$1,0))/100,0),""))),"")</f>
        <v>0</v>
      </c>
      <c r="CE25" s="39" t="n">
        <f aca="false">IFERROR(IF($C25="","",IF($D25="","",IFERROR(ROUND($D25*INDEX('🔖 배합비 참조'!$B$2:$CE$83,MATCH("혼합제제(떡용에스텔)",'🔖 배합비 참조'!$A$2:$A$83,0),MATCH($C25,'🔖 배합비 참조'!$B$1:$CE$1,0))/100,0),""))),"")</f>
        <v>1</v>
      </c>
      <c r="CF25" s="39" t="n">
        <f aca="false">IFERROR(IF($C25="","",IF($D25="","",IFERROR(ROUND($D25*INDEX('🔖 배합비 참조'!$B$2:$CE$83,MATCH("혼합제제(스테비아)",'🔖 배합비 참조'!$A$2:$A$83,0),MATCH($C25,'🔖 배합비 참조'!$B$1:$CE$1,0))/100,0),""))),"")</f>
        <v>0</v>
      </c>
      <c r="CG25" s="39" t="n">
        <f aca="false">IFERROR(IF($C25="","",IF($D25="","",IFERROR(ROUND($D25*INDEX('🔖 배합비 참조'!$B$2:$CE$83,MATCH("화이트초콜릿",'🔖 배합비 참조'!$A$2:$A$83,0),MATCH($C25,'🔖 배합비 참조'!$B$1:$CE$1,0))/100,0),""))),"")</f>
        <v>0</v>
      </c>
      <c r="CH25" s="39" t="n">
        <f aca="false">IFERROR(IF($C25="","",IF($D25="","",IFERROR(ROUND($D25*INDEX('🔖 배합비 참조'!$B$2:$CE$83,MATCH("흑미찹쌀(국내산)",'🔖 배합비 참조'!$A$2:$A$83,0),MATCH($C25,'🔖 배합비 참조'!$B$1:$CE$1,0))/100,0),""))),"")</f>
        <v>0</v>
      </c>
      <c r="CI25" s="39" t="n">
        <f aca="false">IFERROR(IF($C25="","",IF($D25="","",IFERROR(ROUND($D25*INDEX('🔖 배합비 참조'!$B$2:$CE$83,MATCH("찰옥수수전분(미국산)",'🔖 배합비 참조'!$A$2:$A$83,0),MATCH($C25,'🔖 배합비 참조'!$B$1:$CE$1,0))/100,0),""))),"")</f>
        <v>0</v>
      </c>
      <c r="CJ25" s="40"/>
      <c r="CL25" s="1" t="s">
        <v>235</v>
      </c>
    </row>
    <row r="26" customFormat="false" ht="18" hidden="false" customHeight="true" outlineLevel="0" collapsed="false">
      <c r="A26" s="41" t="n">
        <v>22</v>
      </c>
      <c r="B26" s="36" t="n">
        <v>45952</v>
      </c>
      <c r="C26" s="37" t="s">
        <v>155</v>
      </c>
      <c r="D26" s="38" t="n">
        <v>70</v>
      </c>
      <c r="E26" s="17"/>
      <c r="F26" s="17"/>
      <c r="G26" s="42" t="n">
        <f aca="false">IFERROR(IF($C26="","",IF($D26="","",IFERROR(ROUND($D26*INDEX('🔖 배합비 참조'!$B$2:$CE$83,MATCH("간장",'🔖 배합비 참조'!$A$2:$A$83,0),MATCH($C26,'🔖 배합비 참조'!$B$1:$CE$1,0))/100,0),""))),"")</f>
        <v>0</v>
      </c>
      <c r="H26" s="42" t="n">
        <f aca="false">IFERROR(IF($C26="","",IF($D26="","",IFERROR(ROUND($D26*INDEX('🔖 배합비 참조'!$B$2:$CE$83,MATCH("강낭콩((울타리콩))",'🔖 배합비 참조'!$A$2:$A$83,0),MATCH($C26,'🔖 배합비 참조'!$B$1:$CE$1,0))/100,0),""))),"")</f>
        <v>0</v>
      </c>
      <c r="I26" s="42" t="n">
        <f aca="false">IFERROR(IF($C26="","",IF($D26="","",IFERROR(ROUND($D26*INDEX('🔖 배합비 참조'!$B$2:$CE$83,MATCH("건조딸기다이스(외국산)",'🔖 배합비 참조'!$A$2:$A$83,0),MATCH($C26,'🔖 배합비 참조'!$B$1:$CE$1,0))/100,0),""))),"")</f>
        <v>0</v>
      </c>
      <c r="J26" s="42" t="n">
        <f aca="false">IFERROR(IF($C26="","",IF($D26="","",IFERROR(ROUND($D26*INDEX('🔖 배합비 참조'!$B$2:$CE$83,MATCH("건포도",'🔖 배합비 참조'!$A$2:$A$83,0),MATCH($C26,'🔖 배합비 참조'!$B$1:$CE$1,0))/100,0),""))),"")</f>
        <v>0</v>
      </c>
      <c r="K26" s="42" t="n">
        <f aca="false">IFERROR(IF($C26="","",IF($D26="","",IFERROR(ROUND($D26*INDEX('🔖 배합비 참조'!$B$2:$CE$83,MATCH("건호박채(중국산)",'🔖 배합비 참조'!$A$2:$A$83,0),MATCH($C26,'🔖 배합비 참조'!$B$1:$CE$1,0))/100,0),""))),"")</f>
        <v>0</v>
      </c>
      <c r="L26" s="42" t="n">
        <f aca="false">IFERROR(IF($C26="","",IF($D26="","",IFERROR(ROUND($D26*INDEX('🔖 배합비 참조'!$B$2:$CE$83,MATCH("검정깨(흑임자)",'🔖 배합비 참조'!$A$2:$A$83,0),MATCH($C26,'🔖 배합비 참조'!$B$1:$CE$1,0))/100,0),""))),"")</f>
        <v>0</v>
      </c>
      <c r="M26" s="42" t="n">
        <f aca="false">IFERROR(IF($C26="","",IF($D26="","",IFERROR(ROUND($D26*INDEX('🔖 배합비 참조'!$B$2:$CE$83,MATCH("검정콩",'🔖 배합비 참조'!$A$2:$A$83,0),MATCH($C26,'🔖 배합비 참조'!$B$1:$CE$1,0))/100,0),""))),"")</f>
        <v>0</v>
      </c>
      <c r="N26" s="42" t="n">
        <f aca="false">IFERROR(IF($C26="","",IF($D26="","",IFERROR(ROUND($D26*INDEX('🔖 배합비 참조'!$B$2:$CE$83,MATCH("계피가루",'🔖 배합비 참조'!$A$2:$A$83,0),MATCH($C26,'🔖 배합비 참조'!$B$1:$CE$1,0))/100,0),""))),"")</f>
        <v>0</v>
      </c>
      <c r="O26" s="42" t="n">
        <f aca="false">IFERROR(IF($C26="","",IF($D26="","",IFERROR(ROUND($D26*INDEX('🔖 배합비 참조'!$B$2:$CE$83,MATCH("고구마가루",'🔖 배합비 참조'!$A$2:$A$83,0),MATCH($C26,'🔖 배합비 참조'!$B$1:$CE$1,0))/100,0),""))),"")</f>
        <v>0</v>
      </c>
      <c r="P26" s="42" t="n">
        <f aca="false">IFERROR(IF($C26="","",IF($D26="","",IFERROR(ROUND($D26*INDEX('🔖 배합비 참조'!$B$2:$CE$83,MATCH("고구마무스",'🔖 배합비 참조'!$A$2:$A$83,0),MATCH($C26,'🔖 배합비 참조'!$B$1:$CE$1,0))/100,0),""))),"")</f>
        <v>0</v>
      </c>
      <c r="Q26" s="42" t="n">
        <f aca="false">IFERROR(IF($C26="","",IF($D26="","",IFERROR(ROUND($D26*INDEX('🔖 배합비 참조'!$B$2:$CE$83,MATCH("고려엉겅퀴((곤드레)국내산)",'🔖 배합비 참조'!$A$2:$A$83,0),MATCH($C26,'🔖 배합비 참조'!$B$1:$CE$1,0))/100,0),""))),"")</f>
        <v>0</v>
      </c>
      <c r="R26" s="42" t="n">
        <f aca="false">IFERROR(IF($C26="","",IF($D26="","",IFERROR(ROUND($D26*INDEX('🔖 배합비 참조'!$B$2:$CE$83,MATCH("기타가공품(복분자가루)",'🔖 배합비 참조'!$A$2:$A$83,0),MATCH($C26,'🔖 배합비 참조'!$B$1:$CE$1,0))/100,0),""))),"")</f>
        <v>0</v>
      </c>
      <c r="S26" s="42" t="n">
        <f aca="false">IFERROR(IF($C26="","",IF($D26="","",IFERROR(ROUND($D26*INDEX('🔖 배합비 참조'!$B$2:$CE$83,MATCH("기타가공품(슈퍼소프트엠)",'🔖 배합비 참조'!$A$2:$A$83,0),MATCH($C26,'🔖 배합비 참조'!$B$1:$CE$1,0))/100,0),""))),"")</f>
        <v>0</v>
      </c>
      <c r="T26" s="42" t="n">
        <f aca="false">IFERROR(IF($C26="","",IF($D26="","",IFERROR(ROUND($D26*INDEX('🔖 배합비 참조'!$B$2:$CE$83,MATCH("기타가공품(파인소프트 E-티)",'🔖 배합비 참조'!$A$2:$A$83,0),MATCH($C26,'🔖 배합비 참조'!$B$1:$CE$1,0))/100,0),""))),"")</f>
        <v>0</v>
      </c>
      <c r="U26" s="42" t="n">
        <f aca="false">IFERROR(IF($C26="","",IF($D26="","",IFERROR(ROUND($D26*INDEX('🔖 배합비 참조'!$B$2:$CE$83,MATCH("기타가공품(프리미엄카스테라가루)",'🔖 배합비 참조'!$A$2:$A$83,0),MATCH($C26,'🔖 배합비 참조'!$B$1:$CE$1,0))/100,0),""))),"")</f>
        <v>0</v>
      </c>
      <c r="V26" s="42" t="n">
        <f aca="false">IFERROR(IF($C26="","",IF($D26="","",IFERROR(ROUND($D26*INDEX('🔖 배합비 참조'!$B$2:$CE$83,MATCH("기타가공품(흑임자가루)",'🔖 배합비 참조'!$A$2:$A$83,0),MATCH($C26,'🔖 배합비 참조'!$B$1:$CE$1,0))/100,0),""))),"")</f>
        <v>0</v>
      </c>
      <c r="W26" s="42" t="n">
        <f aca="false">IFERROR(IF($C26="","",IF($D26="","",IFERROR(ROUND($D26*INDEX('🔖 배합비 참조'!$B$2:$CE$83,MATCH("기타설탕(흑설탕)",'🔖 배합비 참조'!$A$2:$A$83,0),MATCH($C26,'🔖 배합비 참조'!$B$1:$CE$1,0))/100,0),""))),"")</f>
        <v>0</v>
      </c>
      <c r="X26" s="42" t="n">
        <f aca="false">IFERROR(IF($C26="","",IF($D26="","",IFERROR(ROUND($D26*INDEX('🔖 배합비 참조'!$B$2:$CE$83,MATCH("냉동쑥(국내산)",'🔖 배합비 참조'!$A$2:$A$83,0),MATCH($C26,'🔖 배합비 참조'!$B$1:$CE$1,0))/100,0),""))),"")</f>
        <v>0</v>
      </c>
      <c r="Y26" s="42" t="n">
        <f aca="false">IFERROR(IF($C26="","",IF($D26="","",IFERROR(ROUND($D26*INDEX('🔖 배합비 참조'!$B$2:$CE$83,MATCH("냉동증숙고구마(중국산)",'🔖 배합비 참조'!$A$2:$A$83,0),MATCH($C26,'🔖 배합비 참조'!$B$1:$CE$1,0))/100,0),""))),"")</f>
        <v>0</v>
      </c>
      <c r="Z26" s="42" t="n">
        <f aca="false">IFERROR(IF($C26="","",IF($D26="","",IFERROR(ROUND($D26*INDEX('🔖 배합비 참조'!$B$2:$CE$83,MATCH("녹차가루",'🔖 배합비 참조'!$A$2:$A$83,0),MATCH($C26,'🔖 배합비 참조'!$B$1:$CE$1,0))/100,0),""))),"")</f>
        <v>0</v>
      </c>
      <c r="AA26" s="42" t="n">
        <f aca="false">IFERROR(IF($C26="","",IF($D26="","",IFERROR(ROUND($D26*INDEX('🔖 배합비 참조'!$B$2:$CE$83,MATCH("다크초콜릿 컴파운드칩",'🔖 배합비 참조'!$A$2:$A$83,0),MATCH($C26,'🔖 배합비 참조'!$B$1:$CE$1,0))/100,0),""))),"")</f>
        <v>0</v>
      </c>
      <c r="AB26" s="42" t="n">
        <f aca="false">IFERROR(IF($C26="","",IF($D26="","",IFERROR(ROUND($D26*INDEX('🔖 배합비 참조'!$B$2:$CE$83,MATCH("단호박분말(중국산)",'🔖 배합비 참조'!$A$2:$A$83,0),MATCH($C26,'🔖 배합비 참조'!$B$1:$CE$1,0))/100,0),""))),"")</f>
        <v>0</v>
      </c>
      <c r="AC26" s="42" t="n">
        <f aca="false">IFERROR(IF($C26="","",IF($D26="","",IFERROR(ROUND($D26*INDEX('🔖 배합비 참조'!$B$2:$CE$83,MATCH("당류가공품(단호박농축액)",'🔖 배합비 참조'!$A$2:$A$83,0),MATCH($C26,'🔖 배합비 참조'!$B$1:$CE$1,0))/100,0),""))),"")</f>
        <v>0</v>
      </c>
      <c r="AD26" s="42" t="n">
        <f aca="false">IFERROR(IF($C26="","",IF($D26="","",IFERROR(ROUND($D26*INDEX('🔖 배합비 참조'!$B$2:$CE$83,MATCH("당류가공품(알룰로스,에리스리톨,스테비올배당체혼합)",'🔖 배합비 참조'!$A$2:$A$83,0),MATCH($C26,'🔖 배합비 참조'!$B$1:$CE$1,0))/100,0),""))),"")</f>
        <v>0</v>
      </c>
      <c r="AE26" s="42" t="n">
        <f aca="false">IFERROR(IF($C26="","",IF($D26="","",IFERROR(ROUND($D26*INDEX('🔖 배합비 참조'!$B$2:$CE$83,MATCH("당류가공품(알룰로스제로파우더)",'🔖 배합비 참조'!$A$2:$A$83,0),MATCH($C26,'🔖 배합비 참조'!$B$1:$CE$1,0))/100,0),""))),"")</f>
        <v>0</v>
      </c>
      <c r="AF26" s="42" t="n">
        <f aca="false">IFERROR(IF($C26="","",IF($D26="","",IFERROR(ROUND($D26*INDEX('🔖 배합비 참조'!$B$2:$CE$83,MATCH("당절임(완두배기)",'🔖 배합비 참조'!$A$2:$A$83,0),MATCH($C26,'🔖 배합비 참조'!$B$1:$CE$1,0))/100,0),""))),"")</f>
        <v>0</v>
      </c>
      <c r="AG26" s="42" t="n">
        <f aca="false">IFERROR(IF($C26="","",IF($D26="","",IFERROR(ROUND($D26*INDEX('🔖 배합비 참조'!$B$2:$CE$83,MATCH("대추농축액",'🔖 배합비 참조'!$A$2:$A$83,0),MATCH($C26,'🔖 배합비 참조'!$B$1:$CE$1,0))/100,0),""))),"")</f>
        <v>0</v>
      </c>
      <c r="AH26" s="42" t="n">
        <f aca="false">IFERROR(IF($C26="","",IF($D26="","",IFERROR(ROUND($D26*INDEX('🔖 배합비 참조'!$B$2:$CE$83,MATCH("대추채(국내산)",'🔖 배합비 참조'!$A$2:$A$83,0),MATCH($C26,'🔖 배합비 참조'!$B$1:$CE$1,0))/100,0),""))),"")</f>
        <v>0</v>
      </c>
      <c r="AI26" s="42" t="n">
        <f aca="false">IFERROR(IF($C26="","",IF($D26="","",IFERROR(ROUND($D26*INDEX('🔖 배합비 참조'!$B$2:$CE$83,MATCH("동부(미얀마산)",'🔖 배합비 참조'!$A$2:$A$83,0),MATCH($C26,'🔖 배합비 참조'!$B$1:$CE$1,0))/100,0),""))),"")</f>
        <v>0</v>
      </c>
      <c r="AJ26" s="42" t="n">
        <f aca="false">IFERROR(IF($C26="","",IF($D26="","",IFERROR(ROUND($D26*INDEX('🔖 배합비 참조'!$B$2:$CE$83,MATCH("두류가공품(백옥앙금)",'🔖 배합비 참조'!$A$2:$A$83,0),MATCH($C26,'🔖 배합비 참조'!$B$1:$CE$1,0))/100,0),""))),"")</f>
        <v>0</v>
      </c>
      <c r="AK26" s="42" t="n">
        <f aca="false">IFERROR(IF($C26="","",IF($D26="","",IFERROR(ROUND($D26*INDEX('🔖 배합비 참조'!$B$2:$CE$83,MATCH("두류가공품(콩고물)",'🔖 배합비 참조'!$A$2:$A$83,0),MATCH($C26,'🔖 배합비 참조'!$B$1:$CE$1,0))/100,0),""))),"")</f>
        <v>0</v>
      </c>
      <c r="AL26" s="42" t="n">
        <f aca="false">IFERROR(IF($C26="","",IF($D26="","",IFERROR(ROUND($D26*INDEX('🔖 배합비 참조'!$B$2:$CE$83,MATCH("두류가공품(통팥고물)",'🔖 배합비 참조'!$A$2:$A$83,0),MATCH($C26,'🔖 배합비 참조'!$B$1:$CE$1,0))/100,0),""))),"")</f>
        <v>0</v>
      </c>
      <c r="AM26" s="42" t="n">
        <f aca="false">IFERROR(IF($C26="","",IF($D26="","",IFERROR(ROUND($D26*INDEX('🔖 배합비 참조'!$B$2:$CE$83,MATCH("딸기레진",'🔖 배합비 참조'!$A$2:$A$83,0),MATCH($C26,'🔖 배합비 참조'!$B$1:$CE$1,0))/100,0),""))),"")</f>
        <v>0</v>
      </c>
      <c r="AN26" s="42" t="n">
        <f aca="false">IFERROR(IF($C26="","",IF($D26="","",IFERROR(ROUND($D26*INDEX('🔖 배합비 참조'!$B$2:$CE$83,MATCH("딸기분말(스트로우베리에이드(분말))",'🔖 배합비 참조'!$A$2:$A$83,0),MATCH($C26,'🔖 배합비 참조'!$B$1:$CE$1,0))/100,0),""))),"")</f>
        <v>0</v>
      </c>
      <c r="AO26" s="42" t="n">
        <f aca="false">IFERROR(IF($C26="","",IF($D26="","",IFERROR(ROUND($D26*INDEX('🔖 배합비 참조'!$B$2:$CE$83,MATCH("마스카포네치즈",'🔖 배합비 참조'!$A$2:$A$83,0),MATCH($C26,'🔖 배합비 참조'!$B$1:$CE$1,0))/100,0),""))),"")</f>
        <v>0</v>
      </c>
      <c r="AP26" s="42" t="n">
        <f aca="false">IFERROR(IF($C26="","",IF($D26="","",IFERROR(ROUND($D26*INDEX('🔖 배합비 참조'!$B$2:$CE$83,MATCH("마카다미아분태(호주산)",'🔖 배합비 참조'!$A$2:$A$83,0),MATCH($C26,'🔖 배합비 참조'!$B$1:$CE$1,0))/100,0),""))),"")</f>
        <v>3</v>
      </c>
      <c r="AQ26" s="42" t="n">
        <f aca="false">IFERROR(IF($C26="","",IF($D26="","",IFERROR(ROUND($D26*INDEX('🔖 배합비 참조'!$B$2:$CE$83,MATCH("멥쌀(국내산)",'🔖 배합비 참조'!$A$2:$A$83,0),MATCH($C26,'🔖 배합비 참조'!$B$1:$CE$1,0))/100,0),""))),"")</f>
        <v>0</v>
      </c>
      <c r="AR26" s="42" t="n">
        <f aca="false">IFERROR(IF($C26="","",IF($D26="","",IFERROR(ROUND($D26*INDEX('🔖 배합비 참조'!$B$2:$CE$83,MATCH("모시잎(국내산)",'🔖 배합비 참조'!$A$2:$A$83,0),MATCH($C26,'🔖 배합비 참조'!$B$1:$CE$1,0))/100,0),""))),"")</f>
        <v>0</v>
      </c>
      <c r="AS26" s="42" t="n">
        <f aca="false">IFERROR(IF($C26="","",IF($D26="","",IFERROR(ROUND($D26*INDEX('🔖 배합비 참조'!$B$2:$CE$83,MATCH("물엿(저당물엿)",'🔖 배합비 참조'!$A$2:$A$83,0),MATCH($C26,'🔖 배합비 참조'!$B$1:$CE$1,0))/100,0),""))),"")</f>
        <v>1</v>
      </c>
      <c r="AT26" s="42" t="n">
        <f aca="false">IFERROR(IF($C26="","",IF($D26="","",IFERROR(ROUND($D26*INDEX('🔖 배합비 참조'!$B$2:$CE$83,MATCH("밤다이스",'🔖 배합비 참조'!$A$2:$A$83,0),MATCH($C26,'🔖 배합비 참조'!$B$1:$CE$1,0))/100,0),""))),"")</f>
        <v>1</v>
      </c>
      <c r="AU26" s="42" t="n">
        <f aca="false">IFERROR(IF($C26="","",IF($D26="","",IFERROR(ROUND($D26*INDEX('🔖 배합비 참조'!$B$2:$CE$83,MATCH("변성전분(타피오카전분)",'🔖 배합비 참조'!$A$2:$A$83,0),MATCH($C26,'🔖 배합비 참조'!$B$1:$CE$1,0))/100,0),""))),"")</f>
        <v>0</v>
      </c>
      <c r="AV26" s="42" t="n">
        <f aca="false">IFERROR(IF($C26="","",IF($D26="","",IFERROR(ROUND($D26*INDEX('🔖 배합비 참조'!$B$2:$CE$83,MATCH("복음땅콩분태",'🔖 배합비 참조'!$A$2:$A$83,0),MATCH($C26,'🔖 배합비 참조'!$B$1:$CE$1,0))/100,0),""))),"")</f>
        <v>0</v>
      </c>
      <c r="AW26" s="42" t="n">
        <f aca="false">IFERROR(IF($C26="","",IF($D26="","",IFERROR(ROUND($D26*INDEX('🔖 배합비 참조'!$B$2:$CE$83,MATCH("사양벌꿀(국내산)",'🔖 배합비 참조'!$A$2:$A$83,0),MATCH($C26,'🔖 배합비 참조'!$B$1:$CE$1,0))/100,0),""))),"")</f>
        <v>0</v>
      </c>
      <c r="AX26" s="42" t="n">
        <f aca="false">IFERROR(IF($C26="","",IF($D26="","",IFERROR(ROUND($D26*INDEX('🔖 배합비 참조'!$B$2:$CE$83,MATCH("생크림",'🔖 배합비 참조'!$A$2:$A$83,0),MATCH($C26,'🔖 배합비 참조'!$B$1:$CE$1,0))/100,0),""))),"")</f>
        <v>0</v>
      </c>
      <c r="AY26" s="42" t="n">
        <f aca="false">IFERROR(IF($C26="","",IF($D26="","",IFERROR(ROUND($D26*INDEX('🔖 배합비 참조'!$B$2:$CE$83,MATCH("서양호박(국내산,뉴질랜드산)",'🔖 배합비 참조'!$A$2:$A$83,0),MATCH($C26,'🔖 배합비 참조'!$B$1:$CE$1,0))/100,0),""))),"")</f>
        <v>0</v>
      </c>
      <c r="AZ26" s="42" t="n">
        <f aca="false">IFERROR(IF($C26="","",IF($D26="","",IFERROR(ROUND($D26*INDEX('🔖 배합비 참조'!$B$2:$CE$83,MATCH("설탕",'🔖 배합비 참조'!$A$2:$A$83,0),MATCH($C26,'🔖 배합비 참조'!$B$1:$CE$1,0))/100,0),""))),"")</f>
        <v>1</v>
      </c>
      <c r="BA26" s="42" t="n">
        <f aca="false">IFERROR(IF($C26="","",IF($D26="","",IFERROR(ROUND($D26*INDEX('🔖 배합비 참조'!$B$2:$CE$83,MATCH("스트로우베리 에이드 후레쉬",'🔖 배합비 참조'!$A$2:$A$83,0),MATCH($C26,'🔖 배합비 참조'!$B$1:$CE$1,0))/100,0),""))),"")</f>
        <v>0</v>
      </c>
      <c r="BB26" s="42" t="n">
        <f aca="false">IFERROR(IF($C26="","",IF($D26="","",IFERROR(ROUND($D26*INDEX('🔖 배합비 참조'!$B$2:$CE$83,MATCH("식물성기름혼합제제(분홍)",'🔖 배합비 참조'!$A$2:$A$83,0),MATCH($C26,'🔖 배합비 참조'!$B$1:$CE$1,0))/100,0),""))),"")</f>
        <v>0</v>
      </c>
      <c r="BC26" s="42" t="n">
        <f aca="false">IFERROR(IF($C26="","",IF($D26="","",IFERROR(ROUND($D26*INDEX('🔖 배합비 참조'!$B$2:$CE$83,MATCH("식물성기름혼합제제(초록)",'🔖 배합비 참조'!$A$2:$A$83,0),MATCH($C26,'🔖 배합비 참조'!$B$1:$CE$1,0))/100,0),""))),"")</f>
        <v>0</v>
      </c>
      <c r="BD26" s="42" t="n">
        <f aca="false">IFERROR(IF($C26="","",IF($D26="","",IFERROR(ROUND($D26*INDEX('🔖 배합비 참조'!$B$2:$CE$83,MATCH("식물성기름혼합제제(황색)",'🔖 배합비 참조'!$A$2:$A$83,0),MATCH($C26,'🔖 배합비 참조'!$B$1:$CE$1,0))/100,0),""))),"")</f>
        <v>0</v>
      </c>
      <c r="BE26" s="42" t="n">
        <f aca="false">IFERROR(IF($C26="","",IF($D26="","",IFERROR(ROUND($D26*INDEX('🔖 배합비 참조'!$B$2:$CE$83,MATCH("쑥가루(국내산)",'🔖 배합비 참조'!$A$2:$A$83,0),MATCH($C26,'🔖 배합비 참조'!$B$1:$CE$1,0))/100,0),""))),"")</f>
        <v>0</v>
      </c>
      <c r="BF26" s="42" t="n">
        <f aca="false">IFERROR(IF($C26="","",IF($D26="","",IFERROR(ROUND($D26*INDEX('🔖 배합비 참조'!$B$2:$CE$83,MATCH("아몬드슬라이스",'🔖 배합비 참조'!$A$2:$A$83,0),MATCH($C26,'🔖 배합비 참조'!$B$1:$CE$1,0))/100,0),""))),"")</f>
        <v>0</v>
      </c>
      <c r="BG26" s="42" t="n">
        <f aca="false">IFERROR(IF($C26="","",IF($D26="","",IFERROR(ROUND($D26*INDEX('🔖 배합비 참조'!$B$2:$CE$83,MATCH("알룰로오스(국내산)",'🔖 배합비 참조'!$A$2:$A$83,0),MATCH($C26,'🔖 배합비 참조'!$B$1:$CE$1,0))/100,0),""))),"")</f>
        <v>0</v>
      </c>
      <c r="BH26" s="42" t="n">
        <f aca="false">IFERROR(IF($C26="","",IF($D26="","",IFERROR(ROUND($D26*INDEX('🔖 배합비 참조'!$B$2:$CE$83,MATCH("연유",'🔖 배합비 참조'!$A$2:$A$83,0),MATCH($C26,'🔖 배합비 참조'!$B$1:$CE$1,0))/100,0),""))),"")</f>
        <v>0</v>
      </c>
      <c r="BI26" s="42" t="n">
        <f aca="false">IFERROR(IF($C26="","",IF($D26="","",IFERROR(ROUND($D26*INDEX('🔖 배합비 참조'!$B$2:$CE$83,MATCH("옥수수전분",'🔖 배합비 참조'!$A$2:$A$83,0),MATCH($C26,'🔖 배합비 참조'!$B$1:$CE$1,0))/100,0),""))),"")</f>
        <v>2</v>
      </c>
      <c r="BJ26" s="42" t="n">
        <f aca="false">IFERROR(IF($C26="","",IF($D26="","",IFERROR(ROUND($D26*INDEX('🔖 배합비 참조'!$B$2:$CE$83,MATCH("완두배기",'🔖 배합비 참조'!$A$2:$A$83,0),MATCH($C26,'🔖 배합비 참조'!$B$1:$CE$1,0))/100,0),""))),"")</f>
        <v>0</v>
      </c>
      <c r="BK26" s="42" t="n">
        <f aca="false">IFERROR(IF($C26="","",IF($D26="","",IFERROR(ROUND($D26*INDEX('🔖 배합비 참조'!$B$2:$CE$83,MATCH("우유(국내산)",'🔖 배합비 참조'!$A$2:$A$83,0),MATCH($C26,'🔖 배합비 참조'!$B$1:$CE$1,0))/100,0),""))),"")</f>
        <v>0</v>
      </c>
      <c r="BL26" s="42" t="n">
        <f aca="false">IFERROR(IF($C26="","",IF($D26="","",IFERROR(ROUND($D26*INDEX('🔖 배합비 참조'!$B$2:$CE$83,MATCH("자색고구마가루(중국산)",'🔖 배합비 참조'!$A$2:$A$83,0),MATCH($C26,'🔖 배합비 참조'!$B$1:$CE$1,0))/100,0),""))),"")</f>
        <v>0</v>
      </c>
      <c r="BM26" s="42" t="n">
        <f aca="false">IFERROR(IF($C26="","",IF($D26="","",IFERROR(ROUND($D26*INDEX('🔖 배합비 참조'!$B$2:$CE$83,MATCH("자연치즈(체다치즈)",'🔖 배합비 참조'!$A$2:$A$83,0),MATCH($C26,'🔖 배합비 참조'!$B$1:$CE$1,0))/100,0),""))),"")</f>
        <v>0</v>
      </c>
      <c r="BN26" s="42" t="n">
        <f aca="false">IFERROR(IF($C26="","",IF($D26="","",IFERROR(ROUND($D26*INDEX('🔖 배합비 참조'!$B$2:$CE$83,MATCH("정제수",'🔖 배합비 참조'!$A$2:$A$83,0),MATCH($C26,'🔖 배합비 참조'!$B$1:$CE$1,0))/100,0),""))),"")</f>
        <v>0</v>
      </c>
      <c r="BO26" s="42" t="n">
        <f aca="false">IFERROR(IF($C26="","",IF($D26="","",IFERROR(ROUND($D26*INDEX('🔖 배합비 참조'!$B$2:$CE$83,MATCH("젤라틴",'🔖 배합비 참조'!$A$2:$A$83,0),MATCH($C26,'🔖 배합비 참조'!$B$1:$CE$1,0))/100,0),""))),"")</f>
        <v>0</v>
      </c>
      <c r="BP26" s="42" t="n">
        <f aca="false">IFERROR(IF($C26="","",IF($D26="","",IFERROR(ROUND($D26*INDEX('🔖 배합비 참조'!$B$2:$CE$83,MATCH("조림류(백옥앙금)",'🔖 배합비 참조'!$A$2:$A$83,0),MATCH($C26,'🔖 배합비 참조'!$B$1:$CE$1,0))/100,0),""))),"")</f>
        <v>0</v>
      </c>
      <c r="BQ26" s="42" t="n">
        <f aca="false">IFERROR(IF($C26="","",IF($D26="","",IFERROR(ROUND($D26*INDEX('🔖 배합비 참조'!$B$2:$CE$83,MATCH("조림류(통팥앙금)",'🔖 배합비 참조'!$A$2:$A$83,0),MATCH($C26,'🔖 배합비 참조'!$B$1:$CE$1,0))/100,0),""))),"")</f>
        <v>28</v>
      </c>
      <c r="BR26" s="42" t="n">
        <f aca="false">IFERROR(IF($C26="","",IF($D26="","",IFERROR(ROUND($D26*INDEX('🔖 배합비 참조'!$B$2:$CE$83,MATCH("준초콜릿(외국산)",'🔖 배합비 참조'!$A$2:$A$83,0),MATCH($C26,'🔖 배합비 참조'!$B$1:$CE$1,0))/100,0),""))),"")</f>
        <v>0</v>
      </c>
      <c r="BS26" s="42" t="n">
        <f aca="false">IFERROR(IF($C26="","",IF($D26="","",IFERROR(ROUND($D26*INDEX('🔖 배합비 참조'!$B$2:$CE$83,MATCH("중력분",'🔖 배합비 참조'!$A$2:$A$83,0),MATCH($C26,'🔖 배합비 참조'!$B$1:$CE$1,0))/100,0),""))),"")</f>
        <v>0</v>
      </c>
      <c r="BT26" s="42" t="n">
        <f aca="false">IFERROR(IF($C26="","",IF($D26="","",IFERROR(ROUND($D26*INDEX('🔖 배합비 참조'!$B$2:$CE$83,MATCH("참깨(인도산,나이지리아산,탄자니아산,미얀마산)",'🔖 배합비 참조'!$A$2:$A$83,0),MATCH($C26,'🔖 배합비 참조'!$B$1:$CE$1,0))/100,0),""))),"")</f>
        <v>0</v>
      </c>
      <c r="BU26" s="42" t="n">
        <f aca="false">IFERROR(IF($C26="","",IF($D26="","",IFERROR(ROUND($D26*INDEX('🔖 배합비 참조'!$B$2:$CE$83,MATCH("찹쌀(국내산)",'🔖 배합비 참조'!$A$2:$A$83,0),MATCH($C26,'🔖 배합비 참조'!$B$1:$CE$1,0))/100,0),""))),"")</f>
        <v>30</v>
      </c>
      <c r="BV26" s="42" t="n">
        <f aca="false">IFERROR(IF($C26="","",IF($D26="","",IFERROR(ROUND($D26*INDEX('🔖 배합비 참조'!$B$2:$CE$83,MATCH("천일염",'🔖 배합비 참조'!$A$2:$A$83,0),MATCH($C26,'🔖 배합비 참조'!$B$1:$CE$1,0))/100,0),""))),"")</f>
        <v>0</v>
      </c>
      <c r="BW26" s="42" t="n">
        <f aca="false">IFERROR(IF($C26="","",IF($D26="","",IFERROR(ROUND($D26*INDEX('🔖 배합비 참조'!$B$2:$CE$83,MATCH("치즈 [크림치즈]",'🔖 배합비 참조'!$A$2:$A$83,0),MATCH($C26,'🔖 배합비 참조'!$B$1:$CE$1,0))/100,0),""))),"")</f>
        <v>0</v>
      </c>
      <c r="BX26" s="42" t="n">
        <f aca="false">IFERROR(IF($C26="","",IF($D26="","",IFERROR(ROUND($D26*INDEX('🔖 배합비 참조'!$B$2:$CE$83,MATCH("코코아가공품류(코코아분말)",'🔖 배합비 참조'!$A$2:$A$83,0),MATCH($C26,'🔖 배합비 참조'!$B$1:$CE$1,0))/100,0),""))),"")</f>
        <v>0</v>
      </c>
      <c r="BY26" s="42" t="n">
        <f aca="false">IFERROR(IF($C26="","",IF($D26="","",IFERROR(ROUND($D26*INDEX('🔖 배합비 참조'!$B$2:$CE$83,MATCH("콩기름(대두유)",'🔖 배합비 참조'!$A$2:$A$83,0),MATCH($C26,'🔖 배합비 참조'!$B$1:$CE$1,0))/100,0),""))),"")</f>
        <v>0</v>
      </c>
      <c r="BZ26" s="42" t="n">
        <f aca="false">IFERROR(IF($C26="","",IF($D26="","",IFERROR(ROUND($D26*INDEX('🔖 배합비 참조'!$B$2:$CE$83,MATCH("해바라기씨앗",'🔖 배합비 참조'!$A$2:$A$83,0),MATCH($C26,'🔖 배합비 참조'!$B$1:$CE$1,0))/100,0),""))),"")</f>
        <v>0</v>
      </c>
      <c r="CA26" s="42" t="n">
        <f aca="false">IFERROR(IF($C26="","",IF($D26="","",IFERROR(ROUND($D26*INDEX('🔖 배합비 참조'!$B$2:$CE$83,MATCH("현미(국내산)",'🔖 배합비 참조'!$A$2:$A$83,0),MATCH($C26,'🔖 배합비 참조'!$B$1:$CE$1,0))/100,0),""))),"")</f>
        <v>0</v>
      </c>
      <c r="CB26" s="42" t="n">
        <f aca="false">IFERROR(IF($C26="","",IF($D26="","",IFERROR(ROUND($D26*INDEX('🔖 배합비 참조'!$B$2:$CE$83,MATCH("현미멥쌀(국내산)",'🔖 배합비 참조'!$A$2:$A$83,0),MATCH($C26,'🔖 배합비 참조'!$B$1:$CE$1,0))/100,0),""))),"")</f>
        <v>0</v>
      </c>
      <c r="CC26" s="42" t="n">
        <f aca="false">IFERROR(IF($C26="","",IF($D26="","",IFERROR(ROUND($D26*INDEX('🔖 배합비 참조'!$B$2:$CE$83,MATCH("호두분태(미국산)",'🔖 배합비 참조'!$A$2:$A$83,0),MATCH($C26,'🔖 배합비 참조'!$B$1:$CE$1,0))/100,0),""))),"")</f>
        <v>2</v>
      </c>
      <c r="CD26" s="42" t="n">
        <f aca="false">IFERROR(IF($C26="","",IF($D26="","",IFERROR(ROUND($D26*INDEX('🔖 배합비 참조'!$B$2:$CE$83,MATCH("호박씨앗(외국산)",'🔖 배합비 참조'!$A$2:$A$83,0),MATCH($C26,'🔖 배합비 참조'!$B$1:$CE$1,0))/100,0),""))),"")</f>
        <v>0</v>
      </c>
      <c r="CE26" s="42" t="n">
        <f aca="false">IFERROR(IF($C26="","",IF($D26="","",IFERROR(ROUND($D26*INDEX('🔖 배합비 참조'!$B$2:$CE$83,MATCH("혼합제제(떡용에스텔)",'🔖 배합비 참조'!$A$2:$A$83,0),MATCH($C26,'🔖 배합비 참조'!$B$1:$CE$1,0))/100,0),""))),"")</f>
        <v>0</v>
      </c>
      <c r="CF26" s="42" t="n">
        <f aca="false">IFERROR(IF($C26="","",IF($D26="","",IFERROR(ROUND($D26*INDEX('🔖 배합비 참조'!$B$2:$CE$83,MATCH("혼합제제(스테비아)",'🔖 배합비 참조'!$A$2:$A$83,0),MATCH($C26,'🔖 배합비 참조'!$B$1:$CE$1,0))/100,0),""))),"")</f>
        <v>0</v>
      </c>
      <c r="CG26" s="42" t="n">
        <f aca="false">IFERROR(IF($C26="","",IF($D26="","",IFERROR(ROUND($D26*INDEX('🔖 배합비 참조'!$B$2:$CE$83,MATCH("화이트초콜릿",'🔖 배합비 참조'!$A$2:$A$83,0),MATCH($C26,'🔖 배합비 참조'!$B$1:$CE$1,0))/100,0),""))),"")</f>
        <v>0</v>
      </c>
      <c r="CH26" s="42" t="n">
        <f aca="false">IFERROR(IF($C26="","",IF($D26="","",IFERROR(ROUND($D26*INDEX('🔖 배합비 참조'!$B$2:$CE$83,MATCH("흑미찹쌀(국내산)",'🔖 배합비 참조'!$A$2:$A$83,0),MATCH($C26,'🔖 배합비 참조'!$B$1:$CE$1,0))/100,0),""))),"")</f>
        <v>0</v>
      </c>
      <c r="CI26" s="42" t="n">
        <f aca="false">IFERROR(IF($C26="","",IF($D26="","",IFERROR(ROUND($D26*INDEX('🔖 배합비 참조'!$B$2:$CE$83,MATCH("찰옥수수전분(미국산)",'🔖 배합비 참조'!$A$2:$A$83,0),MATCH($C26,'🔖 배합비 참조'!$B$1:$CE$1,0))/100,0),""))),"")</f>
        <v>0</v>
      </c>
      <c r="CJ26" s="40"/>
      <c r="CL26" s="1" t="s">
        <v>235</v>
      </c>
    </row>
    <row r="27" customFormat="false" ht="18" hidden="false" customHeight="true" outlineLevel="0" collapsed="false">
      <c r="A27" s="35" t="n">
        <v>23</v>
      </c>
      <c r="B27" s="36" t="n">
        <v>45952</v>
      </c>
      <c r="C27" s="37" t="s">
        <v>161</v>
      </c>
      <c r="D27" s="38" t="n">
        <v>68</v>
      </c>
      <c r="E27" s="13"/>
      <c r="F27" s="13"/>
      <c r="G27" s="39" t="n">
        <f aca="false">IFERROR(IF($C27="","",IF($D27="","",IFERROR(ROUND($D27*INDEX('🔖 배합비 참조'!$B$2:$CE$83,MATCH("간장",'🔖 배합비 참조'!$A$2:$A$83,0),MATCH($C27,'🔖 배합비 참조'!$B$1:$CE$1,0))/100,0),""))),"")</f>
        <v>0</v>
      </c>
      <c r="H27" s="39" t="n">
        <f aca="false">IFERROR(IF($C27="","",IF($D27="","",IFERROR(ROUND($D27*INDEX('🔖 배합비 참조'!$B$2:$CE$83,MATCH("강낭콩((울타리콩))",'🔖 배합비 참조'!$A$2:$A$83,0),MATCH($C27,'🔖 배합비 참조'!$B$1:$CE$1,0))/100,0),""))),"")</f>
        <v>0</v>
      </c>
      <c r="I27" s="39" t="n">
        <f aca="false">IFERROR(IF($C27="","",IF($D27="","",IFERROR(ROUND($D27*INDEX('🔖 배합비 참조'!$B$2:$CE$83,MATCH("건조딸기다이스(외국산)",'🔖 배합비 참조'!$A$2:$A$83,0),MATCH($C27,'🔖 배합비 참조'!$B$1:$CE$1,0))/100,0),""))),"")</f>
        <v>0</v>
      </c>
      <c r="J27" s="39" t="n">
        <f aca="false">IFERROR(IF($C27="","",IF($D27="","",IFERROR(ROUND($D27*INDEX('🔖 배합비 참조'!$B$2:$CE$83,MATCH("건포도",'🔖 배합비 참조'!$A$2:$A$83,0),MATCH($C27,'🔖 배합비 참조'!$B$1:$CE$1,0))/100,0),""))),"")</f>
        <v>0</v>
      </c>
      <c r="K27" s="39" t="n">
        <f aca="false">IFERROR(IF($C27="","",IF($D27="","",IFERROR(ROUND($D27*INDEX('🔖 배합비 참조'!$B$2:$CE$83,MATCH("건호박채(중국산)",'🔖 배합비 참조'!$A$2:$A$83,0),MATCH($C27,'🔖 배합비 참조'!$B$1:$CE$1,0))/100,0),""))),"")</f>
        <v>0</v>
      </c>
      <c r="L27" s="39" t="n">
        <f aca="false">IFERROR(IF($C27="","",IF($D27="","",IFERROR(ROUND($D27*INDEX('🔖 배합비 참조'!$B$2:$CE$83,MATCH("검정깨(흑임자)",'🔖 배합비 참조'!$A$2:$A$83,0),MATCH($C27,'🔖 배합비 참조'!$B$1:$CE$1,0))/100,0),""))),"")</f>
        <v>0</v>
      </c>
      <c r="M27" s="39" t="n">
        <f aca="false">IFERROR(IF($C27="","",IF($D27="","",IFERROR(ROUND($D27*INDEX('🔖 배합비 참조'!$B$2:$CE$83,MATCH("검정콩",'🔖 배합비 참조'!$A$2:$A$83,0),MATCH($C27,'🔖 배합비 참조'!$B$1:$CE$1,0))/100,0),""))),"")</f>
        <v>0</v>
      </c>
      <c r="N27" s="39" t="n">
        <f aca="false">IFERROR(IF($C27="","",IF($D27="","",IFERROR(ROUND($D27*INDEX('🔖 배합비 참조'!$B$2:$CE$83,MATCH("계피가루",'🔖 배합비 참조'!$A$2:$A$83,0),MATCH($C27,'🔖 배합비 참조'!$B$1:$CE$1,0))/100,0),""))),"")</f>
        <v>0</v>
      </c>
      <c r="O27" s="39" t="n">
        <f aca="false">IFERROR(IF($C27="","",IF($D27="","",IFERROR(ROUND($D27*INDEX('🔖 배합비 참조'!$B$2:$CE$83,MATCH("고구마가루",'🔖 배합비 참조'!$A$2:$A$83,0),MATCH($C27,'🔖 배합비 참조'!$B$1:$CE$1,0))/100,0),""))),"")</f>
        <v>0</v>
      </c>
      <c r="P27" s="39" t="n">
        <f aca="false">IFERROR(IF($C27="","",IF($D27="","",IFERROR(ROUND($D27*INDEX('🔖 배합비 참조'!$B$2:$CE$83,MATCH("고구마무스",'🔖 배합비 참조'!$A$2:$A$83,0),MATCH($C27,'🔖 배합비 참조'!$B$1:$CE$1,0))/100,0),""))),"")</f>
        <v>0</v>
      </c>
      <c r="Q27" s="39" t="n">
        <f aca="false">IFERROR(IF($C27="","",IF($D27="","",IFERROR(ROUND($D27*INDEX('🔖 배합비 참조'!$B$2:$CE$83,MATCH("고려엉겅퀴((곤드레)국내산)",'🔖 배합비 참조'!$A$2:$A$83,0),MATCH($C27,'🔖 배합비 참조'!$B$1:$CE$1,0))/100,0),""))),"")</f>
        <v>0</v>
      </c>
      <c r="R27" s="39" t="n">
        <f aca="false">IFERROR(IF($C27="","",IF($D27="","",IFERROR(ROUND($D27*INDEX('🔖 배합비 참조'!$B$2:$CE$83,MATCH("기타가공품(복분자가루)",'🔖 배합비 참조'!$A$2:$A$83,0),MATCH($C27,'🔖 배합비 참조'!$B$1:$CE$1,0))/100,0),""))),"")</f>
        <v>0</v>
      </c>
      <c r="S27" s="39" t="n">
        <f aca="false">IFERROR(IF($C27="","",IF($D27="","",IFERROR(ROUND($D27*INDEX('🔖 배합비 참조'!$B$2:$CE$83,MATCH("기타가공품(슈퍼소프트엠)",'🔖 배합비 참조'!$A$2:$A$83,0),MATCH($C27,'🔖 배합비 참조'!$B$1:$CE$1,0))/100,0),""))),"")</f>
        <v>0</v>
      </c>
      <c r="T27" s="39" t="n">
        <f aca="false">IFERROR(IF($C27="","",IF($D27="","",IFERROR(ROUND($D27*INDEX('🔖 배합비 참조'!$B$2:$CE$83,MATCH("기타가공품(파인소프트 E-티)",'🔖 배합비 참조'!$A$2:$A$83,0),MATCH($C27,'🔖 배합비 참조'!$B$1:$CE$1,0))/100,0),""))),"")</f>
        <v>0</v>
      </c>
      <c r="U27" s="39" t="n">
        <f aca="false">IFERROR(IF($C27="","",IF($D27="","",IFERROR(ROUND($D27*INDEX('🔖 배합비 참조'!$B$2:$CE$83,MATCH("기타가공품(프리미엄카스테라가루)",'🔖 배합비 참조'!$A$2:$A$83,0),MATCH($C27,'🔖 배합비 참조'!$B$1:$CE$1,0))/100,0),""))),"")</f>
        <v>0</v>
      </c>
      <c r="V27" s="39" t="n">
        <f aca="false">IFERROR(IF($C27="","",IF($D27="","",IFERROR(ROUND($D27*INDEX('🔖 배합비 참조'!$B$2:$CE$83,MATCH("기타가공품(흑임자가루)",'🔖 배합비 참조'!$A$2:$A$83,0),MATCH($C27,'🔖 배합비 참조'!$B$1:$CE$1,0))/100,0),""))),"")</f>
        <v>0</v>
      </c>
      <c r="W27" s="39" t="n">
        <f aca="false">IFERROR(IF($C27="","",IF($D27="","",IFERROR(ROUND($D27*INDEX('🔖 배합비 참조'!$B$2:$CE$83,MATCH("기타설탕(흑설탕)",'🔖 배합비 참조'!$A$2:$A$83,0),MATCH($C27,'🔖 배합비 참조'!$B$1:$CE$1,0))/100,0),""))),"")</f>
        <v>0</v>
      </c>
      <c r="X27" s="39" t="n">
        <f aca="false">IFERROR(IF($C27="","",IF($D27="","",IFERROR(ROUND($D27*INDEX('🔖 배합비 참조'!$B$2:$CE$83,MATCH("냉동쑥(국내산)",'🔖 배합비 참조'!$A$2:$A$83,0),MATCH($C27,'🔖 배합비 참조'!$B$1:$CE$1,0))/100,0),""))),"")</f>
        <v>0</v>
      </c>
      <c r="Y27" s="39" t="n">
        <f aca="false">IFERROR(IF($C27="","",IF($D27="","",IFERROR(ROUND($D27*INDEX('🔖 배합비 참조'!$B$2:$CE$83,MATCH("냉동증숙고구마(중국산)",'🔖 배합비 참조'!$A$2:$A$83,0),MATCH($C27,'🔖 배합비 참조'!$B$1:$CE$1,0))/100,0),""))),"")</f>
        <v>0</v>
      </c>
      <c r="Z27" s="39" t="n">
        <f aca="false">IFERROR(IF($C27="","",IF($D27="","",IFERROR(ROUND($D27*INDEX('🔖 배합비 참조'!$B$2:$CE$83,MATCH("녹차가루",'🔖 배합비 참조'!$A$2:$A$83,0),MATCH($C27,'🔖 배합비 참조'!$B$1:$CE$1,0))/100,0),""))),"")</f>
        <v>0</v>
      </c>
      <c r="AA27" s="39" t="n">
        <f aca="false">IFERROR(IF($C27="","",IF($D27="","",IFERROR(ROUND($D27*INDEX('🔖 배합비 참조'!$B$2:$CE$83,MATCH("다크초콜릿 컴파운드칩",'🔖 배합비 참조'!$A$2:$A$83,0),MATCH($C27,'🔖 배합비 참조'!$B$1:$CE$1,0))/100,0),""))),"")</f>
        <v>0</v>
      </c>
      <c r="AB27" s="39" t="n">
        <f aca="false">IFERROR(IF($C27="","",IF($D27="","",IFERROR(ROUND($D27*INDEX('🔖 배합비 참조'!$B$2:$CE$83,MATCH("단호박분말(중국산)",'🔖 배합비 참조'!$A$2:$A$83,0),MATCH($C27,'🔖 배합비 참조'!$B$1:$CE$1,0))/100,0),""))),"")</f>
        <v>0</v>
      </c>
      <c r="AC27" s="39" t="n">
        <f aca="false">IFERROR(IF($C27="","",IF($D27="","",IFERROR(ROUND($D27*INDEX('🔖 배합비 참조'!$B$2:$CE$83,MATCH("당류가공품(단호박농축액)",'🔖 배합비 참조'!$A$2:$A$83,0),MATCH($C27,'🔖 배합비 참조'!$B$1:$CE$1,0))/100,0),""))),"")</f>
        <v>0</v>
      </c>
      <c r="AD27" s="39" t="n">
        <f aca="false">IFERROR(IF($C27="","",IF($D27="","",IFERROR(ROUND($D27*INDEX('🔖 배합비 참조'!$B$2:$CE$83,MATCH("당류가공품(알룰로스,에리스리톨,스테비올배당체혼합)",'🔖 배합비 참조'!$A$2:$A$83,0),MATCH($C27,'🔖 배합비 참조'!$B$1:$CE$1,0))/100,0),""))),"")</f>
        <v>0</v>
      </c>
      <c r="AE27" s="39" t="n">
        <f aca="false">IFERROR(IF($C27="","",IF($D27="","",IFERROR(ROUND($D27*INDEX('🔖 배합비 참조'!$B$2:$CE$83,MATCH("당류가공품(알룰로스제로파우더)",'🔖 배합비 참조'!$A$2:$A$83,0),MATCH($C27,'🔖 배합비 참조'!$B$1:$CE$1,0))/100,0),""))),"")</f>
        <v>0</v>
      </c>
      <c r="AF27" s="39" t="n">
        <f aca="false">IFERROR(IF($C27="","",IF($D27="","",IFERROR(ROUND($D27*INDEX('🔖 배합비 참조'!$B$2:$CE$83,MATCH("당절임(완두배기)",'🔖 배합비 참조'!$A$2:$A$83,0),MATCH($C27,'🔖 배합비 참조'!$B$1:$CE$1,0))/100,0),""))),"")</f>
        <v>0</v>
      </c>
      <c r="AG27" s="39" t="n">
        <f aca="false">IFERROR(IF($C27="","",IF($D27="","",IFERROR(ROUND($D27*INDEX('🔖 배합비 참조'!$B$2:$CE$83,MATCH("대추농축액",'🔖 배합비 참조'!$A$2:$A$83,0),MATCH($C27,'🔖 배합비 참조'!$B$1:$CE$1,0))/100,0),""))),"")</f>
        <v>0</v>
      </c>
      <c r="AH27" s="39" t="n">
        <f aca="false">IFERROR(IF($C27="","",IF($D27="","",IFERROR(ROUND($D27*INDEX('🔖 배합비 참조'!$B$2:$CE$83,MATCH("대추채(국내산)",'🔖 배합비 참조'!$A$2:$A$83,0),MATCH($C27,'🔖 배합비 참조'!$B$1:$CE$1,0))/100,0),""))),"")</f>
        <v>0</v>
      </c>
      <c r="AI27" s="39" t="n">
        <f aca="false">IFERROR(IF($C27="","",IF($D27="","",IFERROR(ROUND($D27*INDEX('🔖 배합비 참조'!$B$2:$CE$83,MATCH("동부(미얀마산)",'🔖 배합비 참조'!$A$2:$A$83,0),MATCH($C27,'🔖 배합비 참조'!$B$1:$CE$1,0))/100,0),""))),"")</f>
        <v>0</v>
      </c>
      <c r="AJ27" s="39" t="n">
        <f aca="false">IFERROR(IF($C27="","",IF($D27="","",IFERROR(ROUND($D27*INDEX('🔖 배합비 참조'!$B$2:$CE$83,MATCH("두류가공품(백옥앙금)",'🔖 배합비 참조'!$A$2:$A$83,0),MATCH($C27,'🔖 배합비 참조'!$B$1:$CE$1,0))/100,0),""))),"")</f>
        <v>0</v>
      </c>
      <c r="AK27" s="39" t="n">
        <f aca="false">IFERROR(IF($C27="","",IF($D27="","",IFERROR(ROUND($D27*INDEX('🔖 배합비 참조'!$B$2:$CE$83,MATCH("두류가공품(콩고물)",'🔖 배합비 참조'!$A$2:$A$83,0),MATCH($C27,'🔖 배합비 참조'!$B$1:$CE$1,0))/100,0),""))),"")</f>
        <v>0</v>
      </c>
      <c r="AL27" s="39" t="n">
        <f aca="false">IFERROR(IF($C27="","",IF($D27="","",IFERROR(ROUND($D27*INDEX('🔖 배합비 참조'!$B$2:$CE$83,MATCH("두류가공품(통팥고물)",'🔖 배합비 참조'!$A$2:$A$83,0),MATCH($C27,'🔖 배합비 참조'!$B$1:$CE$1,0))/100,0),""))),"")</f>
        <v>0</v>
      </c>
      <c r="AM27" s="39" t="n">
        <f aca="false">IFERROR(IF($C27="","",IF($D27="","",IFERROR(ROUND($D27*INDEX('🔖 배합비 참조'!$B$2:$CE$83,MATCH("딸기레진",'🔖 배합비 참조'!$A$2:$A$83,0),MATCH($C27,'🔖 배합비 참조'!$B$1:$CE$1,0))/100,0),""))),"")</f>
        <v>0</v>
      </c>
      <c r="AN27" s="39" t="n">
        <f aca="false">IFERROR(IF($C27="","",IF($D27="","",IFERROR(ROUND($D27*INDEX('🔖 배합비 참조'!$B$2:$CE$83,MATCH("딸기분말(스트로우베리에이드(분말))",'🔖 배합비 참조'!$A$2:$A$83,0),MATCH($C27,'🔖 배합비 참조'!$B$1:$CE$1,0))/100,0),""))),"")</f>
        <v>0</v>
      </c>
      <c r="AO27" s="39" t="n">
        <f aca="false">IFERROR(IF($C27="","",IF($D27="","",IFERROR(ROUND($D27*INDEX('🔖 배합비 참조'!$B$2:$CE$83,MATCH("마스카포네치즈",'🔖 배합비 참조'!$A$2:$A$83,0),MATCH($C27,'🔖 배합비 참조'!$B$1:$CE$1,0))/100,0),""))),"")</f>
        <v>0</v>
      </c>
      <c r="AP27" s="39" t="n">
        <f aca="false">IFERROR(IF($C27="","",IF($D27="","",IFERROR(ROUND($D27*INDEX('🔖 배합비 참조'!$B$2:$CE$83,MATCH("마카다미아분태(호주산)",'🔖 배합비 참조'!$A$2:$A$83,0),MATCH($C27,'🔖 배합비 참조'!$B$1:$CE$1,0))/100,0),""))),"")</f>
        <v>0</v>
      </c>
      <c r="AQ27" s="39" t="n">
        <f aca="false">IFERROR(IF($C27="","",IF($D27="","",IFERROR(ROUND($D27*INDEX('🔖 배합비 참조'!$B$2:$CE$83,MATCH("멥쌀(국내산)",'🔖 배합비 참조'!$A$2:$A$83,0),MATCH($C27,'🔖 배합비 참조'!$B$1:$CE$1,0))/100,0),""))),"")</f>
        <v>33</v>
      </c>
      <c r="AR27" s="39" t="n">
        <f aca="false">IFERROR(IF($C27="","",IF($D27="","",IFERROR(ROUND($D27*INDEX('🔖 배합비 참조'!$B$2:$CE$83,MATCH("모시잎(국내산)",'🔖 배합비 참조'!$A$2:$A$83,0),MATCH($C27,'🔖 배합비 참조'!$B$1:$CE$1,0))/100,0),""))),"")</f>
        <v>8</v>
      </c>
      <c r="AS27" s="39" t="n">
        <f aca="false">IFERROR(IF($C27="","",IF($D27="","",IFERROR(ROUND($D27*INDEX('🔖 배합비 참조'!$B$2:$CE$83,MATCH("물엿(저당물엿)",'🔖 배합비 참조'!$A$2:$A$83,0),MATCH($C27,'🔖 배합비 참조'!$B$1:$CE$1,0))/100,0),""))),"")</f>
        <v>1</v>
      </c>
      <c r="AT27" s="39" t="n">
        <f aca="false">IFERROR(IF($C27="","",IF($D27="","",IFERROR(ROUND($D27*INDEX('🔖 배합비 참조'!$B$2:$CE$83,MATCH("밤다이스",'🔖 배합비 참조'!$A$2:$A$83,0),MATCH($C27,'🔖 배합비 참조'!$B$1:$CE$1,0))/100,0),""))),"")</f>
        <v>0</v>
      </c>
      <c r="AU27" s="39" t="n">
        <f aca="false">IFERROR(IF($C27="","",IF($D27="","",IFERROR(ROUND($D27*INDEX('🔖 배합비 참조'!$B$2:$CE$83,MATCH("변성전분(타피오카전분)",'🔖 배합비 참조'!$A$2:$A$83,0),MATCH($C27,'🔖 배합비 참조'!$B$1:$CE$1,0))/100,0),""))),"")</f>
        <v>1</v>
      </c>
      <c r="AV27" s="39" t="n">
        <f aca="false">IFERROR(IF($C27="","",IF($D27="","",IFERROR(ROUND($D27*INDEX('🔖 배합비 참조'!$B$2:$CE$83,MATCH("복음땅콩분태",'🔖 배합비 참조'!$A$2:$A$83,0),MATCH($C27,'🔖 배합비 참조'!$B$1:$CE$1,0))/100,0),""))),"")</f>
        <v>0</v>
      </c>
      <c r="AW27" s="39" t="n">
        <f aca="false">IFERROR(IF($C27="","",IF($D27="","",IFERROR(ROUND($D27*INDEX('🔖 배합비 참조'!$B$2:$CE$83,MATCH("사양벌꿀(국내산)",'🔖 배합비 참조'!$A$2:$A$83,0),MATCH($C27,'🔖 배합비 참조'!$B$1:$CE$1,0))/100,0),""))),"")</f>
        <v>0</v>
      </c>
      <c r="AX27" s="39" t="n">
        <f aca="false">IFERROR(IF($C27="","",IF($D27="","",IFERROR(ROUND($D27*INDEX('🔖 배합비 참조'!$B$2:$CE$83,MATCH("생크림",'🔖 배합비 참조'!$A$2:$A$83,0),MATCH($C27,'🔖 배합비 참조'!$B$1:$CE$1,0))/100,0),""))),"")</f>
        <v>0</v>
      </c>
      <c r="AY27" s="39" t="n">
        <f aca="false">IFERROR(IF($C27="","",IF($D27="","",IFERROR(ROUND($D27*INDEX('🔖 배합비 참조'!$B$2:$CE$83,MATCH("서양호박(국내산,뉴질랜드산)",'🔖 배합비 참조'!$A$2:$A$83,0),MATCH($C27,'🔖 배합비 참조'!$B$1:$CE$1,0))/100,0),""))),"")</f>
        <v>0</v>
      </c>
      <c r="AZ27" s="39" t="n">
        <f aca="false">IFERROR(IF($C27="","",IF($D27="","",IFERROR(ROUND($D27*INDEX('🔖 배합비 참조'!$B$2:$CE$83,MATCH("설탕",'🔖 배합비 참조'!$A$2:$A$83,0),MATCH($C27,'🔖 배합비 참조'!$B$1:$CE$1,0))/100,0),""))),"")</f>
        <v>0</v>
      </c>
      <c r="BA27" s="39" t="n">
        <f aca="false">IFERROR(IF($C27="","",IF($D27="","",IFERROR(ROUND($D27*INDEX('🔖 배합비 참조'!$B$2:$CE$83,MATCH("스트로우베리 에이드 후레쉬",'🔖 배합비 참조'!$A$2:$A$83,0),MATCH($C27,'🔖 배합비 참조'!$B$1:$CE$1,0))/100,0),""))),"")</f>
        <v>0</v>
      </c>
      <c r="BB27" s="39" t="n">
        <f aca="false">IFERROR(IF($C27="","",IF($D27="","",IFERROR(ROUND($D27*INDEX('🔖 배합비 참조'!$B$2:$CE$83,MATCH("식물성기름혼합제제(분홍)",'🔖 배합비 참조'!$A$2:$A$83,0),MATCH($C27,'🔖 배합비 참조'!$B$1:$CE$1,0))/100,0),""))),"")</f>
        <v>0</v>
      </c>
      <c r="BC27" s="39" t="n">
        <f aca="false">IFERROR(IF($C27="","",IF($D27="","",IFERROR(ROUND($D27*INDEX('🔖 배합비 참조'!$B$2:$CE$83,MATCH("식물성기름혼합제제(초록)",'🔖 배합비 참조'!$A$2:$A$83,0),MATCH($C27,'🔖 배합비 참조'!$B$1:$CE$1,0))/100,0),""))),"")</f>
        <v>0</v>
      </c>
      <c r="BD27" s="39" t="n">
        <f aca="false">IFERROR(IF($C27="","",IF($D27="","",IFERROR(ROUND($D27*INDEX('🔖 배합비 참조'!$B$2:$CE$83,MATCH("식물성기름혼합제제(황색)",'🔖 배합비 참조'!$A$2:$A$83,0),MATCH($C27,'🔖 배합비 참조'!$B$1:$CE$1,0))/100,0),""))),"")</f>
        <v>0</v>
      </c>
      <c r="BE27" s="39" t="n">
        <f aca="false">IFERROR(IF($C27="","",IF($D27="","",IFERROR(ROUND($D27*INDEX('🔖 배합비 참조'!$B$2:$CE$83,MATCH("쑥가루(국내산)",'🔖 배합비 참조'!$A$2:$A$83,0),MATCH($C27,'🔖 배합비 참조'!$B$1:$CE$1,0))/100,0),""))),"")</f>
        <v>1</v>
      </c>
      <c r="BF27" s="39" t="n">
        <f aca="false">IFERROR(IF($C27="","",IF($D27="","",IFERROR(ROUND($D27*INDEX('🔖 배합비 참조'!$B$2:$CE$83,MATCH("아몬드슬라이스",'🔖 배합비 참조'!$A$2:$A$83,0),MATCH($C27,'🔖 배합비 참조'!$B$1:$CE$1,0))/100,0),""))),"")</f>
        <v>0</v>
      </c>
      <c r="BG27" s="39" t="n">
        <f aca="false">IFERROR(IF($C27="","",IF($D27="","",IFERROR(ROUND($D27*INDEX('🔖 배합비 참조'!$B$2:$CE$83,MATCH("알룰로오스(국내산)",'🔖 배합비 참조'!$A$2:$A$83,0),MATCH($C27,'🔖 배합비 참조'!$B$1:$CE$1,0))/100,0),""))),"")</f>
        <v>0</v>
      </c>
      <c r="BH27" s="39" t="n">
        <f aca="false">IFERROR(IF($C27="","",IF($D27="","",IFERROR(ROUND($D27*INDEX('🔖 배합비 참조'!$B$2:$CE$83,MATCH("연유",'🔖 배합비 참조'!$A$2:$A$83,0),MATCH($C27,'🔖 배합비 참조'!$B$1:$CE$1,0))/100,0),""))),"")</f>
        <v>0</v>
      </c>
      <c r="BI27" s="39" t="n">
        <f aca="false">IFERROR(IF($C27="","",IF($D27="","",IFERROR(ROUND($D27*INDEX('🔖 배합비 참조'!$B$2:$CE$83,MATCH("옥수수전분",'🔖 배합비 참조'!$A$2:$A$83,0),MATCH($C27,'🔖 배합비 참조'!$B$1:$CE$1,0))/100,0),""))),"")</f>
        <v>0</v>
      </c>
      <c r="BJ27" s="39" t="n">
        <f aca="false">IFERROR(IF($C27="","",IF($D27="","",IFERROR(ROUND($D27*INDEX('🔖 배합비 참조'!$B$2:$CE$83,MATCH("완두배기",'🔖 배합비 참조'!$A$2:$A$83,0),MATCH($C27,'🔖 배합비 참조'!$B$1:$CE$1,0))/100,0),""))),"")</f>
        <v>0</v>
      </c>
      <c r="BK27" s="39" t="n">
        <f aca="false">IFERROR(IF($C27="","",IF($D27="","",IFERROR(ROUND($D27*INDEX('🔖 배합비 참조'!$B$2:$CE$83,MATCH("우유(국내산)",'🔖 배합비 참조'!$A$2:$A$83,0),MATCH($C27,'🔖 배합비 참조'!$B$1:$CE$1,0))/100,0),""))),"")</f>
        <v>0</v>
      </c>
      <c r="BL27" s="39" t="n">
        <f aca="false">IFERROR(IF($C27="","",IF($D27="","",IFERROR(ROUND($D27*INDEX('🔖 배합비 참조'!$B$2:$CE$83,MATCH("자색고구마가루(중국산)",'🔖 배합비 참조'!$A$2:$A$83,0),MATCH($C27,'🔖 배합비 참조'!$B$1:$CE$1,0))/100,0),""))),"")</f>
        <v>0</v>
      </c>
      <c r="BM27" s="39" t="n">
        <f aca="false">IFERROR(IF($C27="","",IF($D27="","",IFERROR(ROUND($D27*INDEX('🔖 배합비 참조'!$B$2:$CE$83,MATCH("자연치즈(체다치즈)",'🔖 배합비 참조'!$A$2:$A$83,0),MATCH($C27,'🔖 배합비 참조'!$B$1:$CE$1,0))/100,0),""))),"")</f>
        <v>0</v>
      </c>
      <c r="BN27" s="39" t="n">
        <f aca="false">IFERROR(IF($C27="","",IF($D27="","",IFERROR(ROUND($D27*INDEX('🔖 배합비 참조'!$B$2:$CE$83,MATCH("정제수",'🔖 배합비 참조'!$A$2:$A$83,0),MATCH($C27,'🔖 배합비 참조'!$B$1:$CE$1,0))/100,0),""))),"")</f>
        <v>23</v>
      </c>
      <c r="BO27" s="39" t="n">
        <f aca="false">IFERROR(IF($C27="","",IF($D27="","",IFERROR(ROUND($D27*INDEX('🔖 배합비 참조'!$B$2:$CE$83,MATCH("젤라틴",'🔖 배합비 참조'!$A$2:$A$83,0),MATCH($C27,'🔖 배합비 참조'!$B$1:$CE$1,0))/100,0),""))),"")</f>
        <v>0</v>
      </c>
      <c r="BP27" s="39" t="n">
        <f aca="false">IFERROR(IF($C27="","",IF($D27="","",IFERROR(ROUND($D27*INDEX('🔖 배합비 참조'!$B$2:$CE$83,MATCH("조림류(백옥앙금)",'🔖 배합비 참조'!$A$2:$A$83,0),MATCH($C27,'🔖 배합비 참조'!$B$1:$CE$1,0))/100,0),""))),"")</f>
        <v>0</v>
      </c>
      <c r="BQ27" s="39" t="n">
        <f aca="false">IFERROR(IF($C27="","",IF($D27="","",IFERROR(ROUND($D27*INDEX('🔖 배합비 참조'!$B$2:$CE$83,MATCH("조림류(통팥앙금)",'🔖 배합비 참조'!$A$2:$A$83,0),MATCH($C27,'🔖 배합비 참조'!$B$1:$CE$1,0))/100,0),""))),"")</f>
        <v>0</v>
      </c>
      <c r="BR27" s="39" t="n">
        <f aca="false">IFERROR(IF($C27="","",IF($D27="","",IFERROR(ROUND($D27*INDEX('🔖 배합비 참조'!$B$2:$CE$83,MATCH("준초콜릿(외국산)",'🔖 배합비 참조'!$A$2:$A$83,0),MATCH($C27,'🔖 배합비 참조'!$B$1:$CE$1,0))/100,0),""))),"")</f>
        <v>0</v>
      </c>
      <c r="BS27" s="39" t="n">
        <f aca="false">IFERROR(IF($C27="","",IF($D27="","",IFERROR(ROUND($D27*INDEX('🔖 배합비 참조'!$B$2:$CE$83,MATCH("중력분",'🔖 배합비 참조'!$A$2:$A$83,0),MATCH($C27,'🔖 배합비 참조'!$B$1:$CE$1,0))/100,0),""))),"")</f>
        <v>0</v>
      </c>
      <c r="BT27" s="39" t="n">
        <f aca="false">IFERROR(IF($C27="","",IF($D27="","",IFERROR(ROUND($D27*INDEX('🔖 배합비 참조'!$B$2:$CE$83,MATCH("참깨(인도산,나이지리아산,탄자니아산,미얀마산)",'🔖 배합비 참조'!$A$2:$A$83,0),MATCH($C27,'🔖 배합비 참조'!$B$1:$CE$1,0))/100,0),""))),"")</f>
        <v>0</v>
      </c>
      <c r="BU27" s="39" t="n">
        <f aca="false">IFERROR(IF($C27="","",IF($D27="","",IFERROR(ROUND($D27*INDEX('🔖 배합비 참조'!$B$2:$CE$83,MATCH("찹쌀(국내산)",'🔖 배합비 참조'!$A$2:$A$83,0),MATCH($C27,'🔖 배합비 참조'!$B$1:$CE$1,0))/100,0),""))),"")</f>
        <v>0</v>
      </c>
      <c r="BV27" s="39" t="n">
        <f aca="false">IFERROR(IF($C27="","",IF($D27="","",IFERROR(ROUND($D27*INDEX('🔖 배합비 참조'!$B$2:$CE$83,MATCH("천일염",'🔖 배합비 참조'!$A$2:$A$83,0),MATCH($C27,'🔖 배합비 참조'!$B$1:$CE$1,0))/100,0),""))),"")</f>
        <v>1</v>
      </c>
      <c r="BW27" s="39" t="n">
        <f aca="false">IFERROR(IF($C27="","",IF($D27="","",IFERROR(ROUND($D27*INDEX('🔖 배합비 참조'!$B$2:$CE$83,MATCH("치즈 [크림치즈]",'🔖 배합비 참조'!$A$2:$A$83,0),MATCH($C27,'🔖 배합비 참조'!$B$1:$CE$1,0))/100,0),""))),"")</f>
        <v>0</v>
      </c>
      <c r="BX27" s="39" t="n">
        <f aca="false">IFERROR(IF($C27="","",IF($D27="","",IFERROR(ROUND($D27*INDEX('🔖 배합비 참조'!$B$2:$CE$83,MATCH("코코아가공품류(코코아분말)",'🔖 배합비 참조'!$A$2:$A$83,0),MATCH($C27,'🔖 배합비 참조'!$B$1:$CE$1,0))/100,0),""))),"")</f>
        <v>0</v>
      </c>
      <c r="BY27" s="39" t="n">
        <f aca="false">IFERROR(IF($C27="","",IF($D27="","",IFERROR(ROUND($D27*INDEX('🔖 배합비 참조'!$B$2:$CE$83,MATCH("콩기름(대두유)",'🔖 배합비 참조'!$A$2:$A$83,0),MATCH($C27,'🔖 배합비 참조'!$B$1:$CE$1,0))/100,0),""))),"")</f>
        <v>1</v>
      </c>
      <c r="BZ27" s="39" t="n">
        <f aca="false">IFERROR(IF($C27="","",IF($D27="","",IFERROR(ROUND($D27*INDEX('🔖 배합비 참조'!$B$2:$CE$83,MATCH("해바라기씨앗",'🔖 배합비 참조'!$A$2:$A$83,0),MATCH($C27,'🔖 배합비 참조'!$B$1:$CE$1,0))/100,0),""))),"")</f>
        <v>0</v>
      </c>
      <c r="CA27" s="39" t="n">
        <f aca="false">IFERROR(IF($C27="","",IF($D27="","",IFERROR(ROUND($D27*INDEX('🔖 배합비 참조'!$B$2:$CE$83,MATCH("현미(국내산)",'🔖 배합비 참조'!$A$2:$A$83,0),MATCH($C27,'🔖 배합비 참조'!$B$1:$CE$1,0))/100,0),""))),"")</f>
        <v>0</v>
      </c>
      <c r="CB27" s="39" t="n">
        <f aca="false">IFERROR(IF($C27="","",IF($D27="","",IFERROR(ROUND($D27*INDEX('🔖 배합비 참조'!$B$2:$CE$83,MATCH("현미멥쌀(국내산)",'🔖 배합비 참조'!$A$2:$A$83,0),MATCH($C27,'🔖 배합비 참조'!$B$1:$CE$1,0))/100,0),""))),"")</f>
        <v>0</v>
      </c>
      <c r="CC27" s="39" t="n">
        <f aca="false">IFERROR(IF($C27="","",IF($D27="","",IFERROR(ROUND($D27*INDEX('🔖 배합비 참조'!$B$2:$CE$83,MATCH("호두분태(미국산)",'🔖 배합비 참조'!$A$2:$A$83,0),MATCH($C27,'🔖 배합비 참조'!$B$1:$CE$1,0))/100,0),""))),"")</f>
        <v>0</v>
      </c>
      <c r="CD27" s="39" t="n">
        <f aca="false">IFERROR(IF($C27="","",IF($D27="","",IFERROR(ROUND($D27*INDEX('🔖 배합비 참조'!$B$2:$CE$83,MATCH("호박씨앗(외국산)",'🔖 배합비 참조'!$A$2:$A$83,0),MATCH($C27,'🔖 배합비 참조'!$B$1:$CE$1,0))/100,0),""))),"")</f>
        <v>0</v>
      </c>
      <c r="CE27" s="39" t="n">
        <f aca="false">IFERROR(IF($C27="","",IF($D27="","",IFERROR(ROUND($D27*INDEX('🔖 배합비 참조'!$B$2:$CE$83,MATCH("혼합제제(떡용에스텔)",'🔖 배합비 참조'!$A$2:$A$83,0),MATCH($C27,'🔖 배합비 참조'!$B$1:$CE$1,0))/100,0),""))),"")</f>
        <v>0</v>
      </c>
      <c r="CF27" s="39" t="n">
        <f aca="false">IFERROR(IF($C27="","",IF($D27="","",IFERROR(ROUND($D27*INDEX('🔖 배합비 참조'!$B$2:$CE$83,MATCH("혼합제제(스테비아)",'🔖 배합비 참조'!$A$2:$A$83,0),MATCH($C27,'🔖 배합비 참조'!$B$1:$CE$1,0))/100,0),""))),"")</f>
        <v>0</v>
      </c>
      <c r="CG27" s="39" t="n">
        <f aca="false">IFERROR(IF($C27="","",IF($D27="","",IFERROR(ROUND($D27*INDEX('🔖 배합비 참조'!$B$2:$CE$83,MATCH("화이트초콜릿",'🔖 배합비 참조'!$A$2:$A$83,0),MATCH($C27,'🔖 배합비 참조'!$B$1:$CE$1,0))/100,0),""))),"")</f>
        <v>0</v>
      </c>
      <c r="CH27" s="39" t="n">
        <f aca="false">IFERROR(IF($C27="","",IF($D27="","",IFERROR(ROUND($D27*INDEX('🔖 배합비 참조'!$B$2:$CE$83,MATCH("흑미찹쌀(국내산)",'🔖 배합비 참조'!$A$2:$A$83,0),MATCH($C27,'🔖 배합비 참조'!$B$1:$CE$1,0))/100,0),""))),"")</f>
        <v>0</v>
      </c>
      <c r="CI27" s="39" t="n">
        <f aca="false">IFERROR(IF($C27="","",IF($D27="","",IFERROR(ROUND($D27*INDEX('🔖 배합비 참조'!$B$2:$CE$83,MATCH("찰옥수수전분(미국산)",'🔖 배합비 참조'!$A$2:$A$83,0),MATCH($C27,'🔖 배합비 참조'!$B$1:$CE$1,0))/100,0),""))),"")</f>
        <v>0</v>
      </c>
      <c r="CJ27" s="40"/>
      <c r="CL27" s="1" t="s">
        <v>235</v>
      </c>
    </row>
    <row r="28" customFormat="false" ht="18" hidden="false" customHeight="true" outlineLevel="0" collapsed="false">
      <c r="A28" s="41" t="n">
        <v>24</v>
      </c>
      <c r="B28" s="36" t="n">
        <v>45952</v>
      </c>
      <c r="C28" s="37" t="s">
        <v>163</v>
      </c>
      <c r="D28" s="38" t="n">
        <v>210</v>
      </c>
      <c r="E28" s="17"/>
      <c r="F28" s="17"/>
      <c r="G28" s="42" t="n">
        <f aca="false">IFERROR(IF($C28="","",IF($D28="","",IFERROR(ROUND($D28*INDEX('🔖 배합비 참조'!$B$2:$CE$83,MATCH("간장",'🔖 배합비 참조'!$A$2:$A$83,0),MATCH($C28,'🔖 배합비 참조'!$B$1:$CE$1,0))/100,0),""))),"")</f>
        <v>0</v>
      </c>
      <c r="H28" s="42" t="n">
        <f aca="false">IFERROR(IF($C28="","",IF($D28="","",IFERROR(ROUND($D28*INDEX('🔖 배합비 참조'!$B$2:$CE$83,MATCH("강낭콩((울타리콩))",'🔖 배합비 참조'!$A$2:$A$83,0),MATCH($C28,'🔖 배합비 참조'!$B$1:$CE$1,0))/100,0),""))),"")</f>
        <v>0</v>
      </c>
      <c r="I28" s="42" t="n">
        <f aca="false">IFERROR(IF($C28="","",IF($D28="","",IFERROR(ROUND($D28*INDEX('🔖 배합비 참조'!$B$2:$CE$83,MATCH("건조딸기다이스(외국산)",'🔖 배합비 참조'!$A$2:$A$83,0),MATCH($C28,'🔖 배합비 참조'!$B$1:$CE$1,0))/100,0),""))),"")</f>
        <v>0</v>
      </c>
      <c r="J28" s="42" t="n">
        <f aca="false">IFERROR(IF($C28="","",IF($D28="","",IFERROR(ROUND($D28*INDEX('🔖 배합비 참조'!$B$2:$CE$83,MATCH("건포도",'🔖 배합비 참조'!$A$2:$A$83,0),MATCH($C28,'🔖 배합비 참조'!$B$1:$CE$1,0))/100,0),""))),"")</f>
        <v>0</v>
      </c>
      <c r="K28" s="42" t="n">
        <f aca="false">IFERROR(IF($C28="","",IF($D28="","",IFERROR(ROUND($D28*INDEX('🔖 배합비 참조'!$B$2:$CE$83,MATCH("건호박채(중국산)",'🔖 배합비 참조'!$A$2:$A$83,0),MATCH($C28,'🔖 배합비 참조'!$B$1:$CE$1,0))/100,0),""))),"")</f>
        <v>1</v>
      </c>
      <c r="L28" s="42" t="n">
        <f aca="false">IFERROR(IF($C28="","",IF($D28="","",IFERROR(ROUND($D28*INDEX('🔖 배합비 참조'!$B$2:$CE$83,MATCH("검정깨(흑임자)",'🔖 배합비 참조'!$A$2:$A$83,0),MATCH($C28,'🔖 배합비 참조'!$B$1:$CE$1,0))/100,0),""))),"")</f>
        <v>0</v>
      </c>
      <c r="M28" s="42" t="n">
        <f aca="false">IFERROR(IF($C28="","",IF($D28="","",IFERROR(ROUND($D28*INDEX('🔖 배합비 참조'!$B$2:$CE$83,MATCH("검정콩",'🔖 배합비 참조'!$A$2:$A$83,0),MATCH($C28,'🔖 배합비 참조'!$B$1:$CE$1,0))/100,0),""))),"")</f>
        <v>0</v>
      </c>
      <c r="N28" s="42" t="n">
        <f aca="false">IFERROR(IF($C28="","",IF($D28="","",IFERROR(ROUND($D28*INDEX('🔖 배합비 참조'!$B$2:$CE$83,MATCH("계피가루",'🔖 배합비 참조'!$A$2:$A$83,0),MATCH($C28,'🔖 배합비 참조'!$B$1:$CE$1,0))/100,0),""))),"")</f>
        <v>0</v>
      </c>
      <c r="O28" s="42" t="n">
        <f aca="false">IFERROR(IF($C28="","",IF($D28="","",IFERROR(ROUND($D28*INDEX('🔖 배합비 참조'!$B$2:$CE$83,MATCH("고구마가루",'🔖 배합비 참조'!$A$2:$A$83,0),MATCH($C28,'🔖 배합비 참조'!$B$1:$CE$1,0))/100,0),""))),"")</f>
        <v>0</v>
      </c>
      <c r="P28" s="42" t="n">
        <f aca="false">IFERROR(IF($C28="","",IF($D28="","",IFERROR(ROUND($D28*INDEX('🔖 배합비 참조'!$B$2:$CE$83,MATCH("고구마무스",'🔖 배합비 참조'!$A$2:$A$83,0),MATCH($C28,'🔖 배합비 참조'!$B$1:$CE$1,0))/100,0),""))),"")</f>
        <v>0</v>
      </c>
      <c r="Q28" s="42" t="n">
        <f aca="false">IFERROR(IF($C28="","",IF($D28="","",IFERROR(ROUND($D28*INDEX('🔖 배합비 참조'!$B$2:$CE$83,MATCH("고려엉겅퀴((곤드레)국내산)",'🔖 배합비 참조'!$A$2:$A$83,0),MATCH($C28,'🔖 배합비 참조'!$B$1:$CE$1,0))/100,0),""))),"")</f>
        <v>0</v>
      </c>
      <c r="R28" s="42" t="n">
        <f aca="false">IFERROR(IF($C28="","",IF($D28="","",IFERROR(ROUND($D28*INDEX('🔖 배합비 참조'!$B$2:$CE$83,MATCH("기타가공품(복분자가루)",'🔖 배합비 참조'!$A$2:$A$83,0),MATCH($C28,'🔖 배합비 참조'!$B$1:$CE$1,0))/100,0),""))),"")</f>
        <v>0</v>
      </c>
      <c r="S28" s="42" t="n">
        <f aca="false">IFERROR(IF($C28="","",IF($D28="","",IFERROR(ROUND($D28*INDEX('🔖 배합비 참조'!$B$2:$CE$83,MATCH("기타가공품(슈퍼소프트엠)",'🔖 배합비 참조'!$A$2:$A$83,0),MATCH($C28,'🔖 배합비 참조'!$B$1:$CE$1,0))/100,0),""))),"")</f>
        <v>0</v>
      </c>
      <c r="T28" s="42" t="n">
        <f aca="false">IFERROR(IF($C28="","",IF($D28="","",IFERROR(ROUND($D28*INDEX('🔖 배합비 참조'!$B$2:$CE$83,MATCH("기타가공품(파인소프트 E-티)",'🔖 배합비 참조'!$A$2:$A$83,0),MATCH($C28,'🔖 배합비 참조'!$B$1:$CE$1,0))/100,0),""))),"")</f>
        <v>0</v>
      </c>
      <c r="U28" s="42" t="n">
        <f aca="false">IFERROR(IF($C28="","",IF($D28="","",IFERROR(ROUND($D28*INDEX('🔖 배합비 참조'!$B$2:$CE$83,MATCH("기타가공품(프리미엄카스테라가루)",'🔖 배합비 참조'!$A$2:$A$83,0),MATCH($C28,'🔖 배합비 참조'!$B$1:$CE$1,0))/100,0),""))),"")</f>
        <v>0</v>
      </c>
      <c r="V28" s="42" t="n">
        <f aca="false">IFERROR(IF($C28="","",IF($D28="","",IFERROR(ROUND($D28*INDEX('🔖 배합비 참조'!$B$2:$CE$83,MATCH("기타가공품(흑임자가루)",'🔖 배합비 참조'!$A$2:$A$83,0),MATCH($C28,'🔖 배합비 참조'!$B$1:$CE$1,0))/100,0),""))),"")</f>
        <v>0</v>
      </c>
      <c r="W28" s="42" t="n">
        <f aca="false">IFERROR(IF($C28="","",IF($D28="","",IFERROR(ROUND($D28*INDEX('🔖 배합비 참조'!$B$2:$CE$83,MATCH("기타설탕(흑설탕)",'🔖 배합비 참조'!$A$2:$A$83,0),MATCH($C28,'🔖 배합비 참조'!$B$1:$CE$1,0))/100,0),""))),"")</f>
        <v>0</v>
      </c>
      <c r="X28" s="42" t="n">
        <f aca="false">IFERROR(IF($C28="","",IF($D28="","",IFERROR(ROUND($D28*INDEX('🔖 배합비 참조'!$B$2:$CE$83,MATCH("냉동쑥(국내산)",'🔖 배합비 참조'!$A$2:$A$83,0),MATCH($C28,'🔖 배합비 참조'!$B$1:$CE$1,0))/100,0),""))),"")</f>
        <v>3</v>
      </c>
      <c r="Y28" s="42" t="n">
        <f aca="false">IFERROR(IF($C28="","",IF($D28="","",IFERROR(ROUND($D28*INDEX('🔖 배합비 참조'!$B$2:$CE$83,MATCH("냉동증숙고구마(중국산)",'🔖 배합비 참조'!$A$2:$A$83,0),MATCH($C28,'🔖 배합비 참조'!$B$1:$CE$1,0))/100,0),""))),"")</f>
        <v>0</v>
      </c>
      <c r="Z28" s="42" t="n">
        <f aca="false">IFERROR(IF($C28="","",IF($D28="","",IFERROR(ROUND($D28*INDEX('🔖 배합비 참조'!$B$2:$CE$83,MATCH("녹차가루",'🔖 배합비 참조'!$A$2:$A$83,0),MATCH($C28,'🔖 배합비 참조'!$B$1:$CE$1,0))/100,0),""))),"")</f>
        <v>0</v>
      </c>
      <c r="AA28" s="42" t="n">
        <f aca="false">IFERROR(IF($C28="","",IF($D28="","",IFERROR(ROUND($D28*INDEX('🔖 배합비 참조'!$B$2:$CE$83,MATCH("다크초콜릿 컴파운드칩",'🔖 배합비 참조'!$A$2:$A$83,0),MATCH($C28,'🔖 배합비 참조'!$B$1:$CE$1,0))/100,0),""))),"")</f>
        <v>0</v>
      </c>
      <c r="AB28" s="42" t="n">
        <f aca="false">IFERROR(IF($C28="","",IF($D28="","",IFERROR(ROUND($D28*INDEX('🔖 배합비 참조'!$B$2:$CE$83,MATCH("단호박분말(중국산)",'🔖 배합비 참조'!$A$2:$A$83,0),MATCH($C28,'🔖 배합비 참조'!$B$1:$CE$1,0))/100,0),""))),"")</f>
        <v>1</v>
      </c>
      <c r="AC28" s="42" t="n">
        <f aca="false">IFERROR(IF($C28="","",IF($D28="","",IFERROR(ROUND($D28*INDEX('🔖 배합비 참조'!$B$2:$CE$83,MATCH("당류가공품(단호박농축액)",'🔖 배합비 참조'!$A$2:$A$83,0),MATCH($C28,'🔖 배합비 참조'!$B$1:$CE$1,0))/100,0),""))),"")</f>
        <v>0</v>
      </c>
      <c r="AD28" s="42" t="n">
        <f aca="false">IFERROR(IF($C28="","",IF($D28="","",IFERROR(ROUND($D28*INDEX('🔖 배합비 참조'!$B$2:$CE$83,MATCH("당류가공품(알룰로스,에리스리톨,스테비올배당체혼합)",'🔖 배합비 참조'!$A$2:$A$83,0),MATCH($C28,'🔖 배합비 참조'!$B$1:$CE$1,0))/100,0),""))),"")</f>
        <v>0</v>
      </c>
      <c r="AE28" s="42" t="n">
        <f aca="false">IFERROR(IF($C28="","",IF($D28="","",IFERROR(ROUND($D28*INDEX('🔖 배합비 참조'!$B$2:$CE$83,MATCH("당류가공품(알룰로스제로파우더)",'🔖 배합비 참조'!$A$2:$A$83,0),MATCH($C28,'🔖 배합비 참조'!$B$1:$CE$1,0))/100,0),""))),"")</f>
        <v>0</v>
      </c>
      <c r="AF28" s="42" t="n">
        <f aca="false">IFERROR(IF($C28="","",IF($D28="","",IFERROR(ROUND($D28*INDEX('🔖 배합비 참조'!$B$2:$CE$83,MATCH("당절임(완두배기)",'🔖 배합비 참조'!$A$2:$A$83,0),MATCH($C28,'🔖 배합비 참조'!$B$1:$CE$1,0))/100,0),""))),"")</f>
        <v>0</v>
      </c>
      <c r="AG28" s="42" t="n">
        <f aca="false">IFERROR(IF($C28="","",IF($D28="","",IFERROR(ROUND($D28*INDEX('🔖 배합비 참조'!$B$2:$CE$83,MATCH("대추농축액",'🔖 배합비 참조'!$A$2:$A$83,0),MATCH($C28,'🔖 배합비 참조'!$B$1:$CE$1,0))/100,0),""))),"")</f>
        <v>0</v>
      </c>
      <c r="AH28" s="42" t="n">
        <f aca="false">IFERROR(IF($C28="","",IF($D28="","",IFERROR(ROUND($D28*INDEX('🔖 배합비 참조'!$B$2:$CE$83,MATCH("대추채(국내산)",'🔖 배합비 참조'!$A$2:$A$83,0),MATCH($C28,'🔖 배합비 참조'!$B$1:$CE$1,0))/100,0),""))),"")</f>
        <v>0</v>
      </c>
      <c r="AI28" s="42" t="n">
        <f aca="false">IFERROR(IF($C28="","",IF($D28="","",IFERROR(ROUND($D28*INDEX('🔖 배합비 참조'!$B$2:$CE$83,MATCH("동부(미얀마산)",'🔖 배합비 참조'!$A$2:$A$83,0),MATCH($C28,'🔖 배합비 참조'!$B$1:$CE$1,0))/100,0),""))),"")</f>
        <v>0</v>
      </c>
      <c r="AJ28" s="42" t="n">
        <f aca="false">IFERROR(IF($C28="","",IF($D28="","",IFERROR(ROUND($D28*INDEX('🔖 배합비 참조'!$B$2:$CE$83,MATCH("두류가공품(백옥앙금)",'🔖 배합비 참조'!$A$2:$A$83,0),MATCH($C28,'🔖 배합비 참조'!$B$1:$CE$1,0))/100,0),""))),"")</f>
        <v>0</v>
      </c>
      <c r="AK28" s="42" t="n">
        <f aca="false">IFERROR(IF($C28="","",IF($D28="","",IFERROR(ROUND($D28*INDEX('🔖 배합비 참조'!$B$2:$CE$83,MATCH("두류가공품(콩고물)",'🔖 배합비 참조'!$A$2:$A$83,0),MATCH($C28,'🔖 배합비 참조'!$B$1:$CE$1,0))/100,0),""))),"")</f>
        <v>11</v>
      </c>
      <c r="AL28" s="42" t="n">
        <f aca="false">IFERROR(IF($C28="","",IF($D28="","",IFERROR(ROUND($D28*INDEX('🔖 배합비 참조'!$B$2:$CE$83,MATCH("두류가공품(통팥고물)",'🔖 배합비 참조'!$A$2:$A$83,0),MATCH($C28,'🔖 배합비 참조'!$B$1:$CE$1,0))/100,0),""))),"")</f>
        <v>0</v>
      </c>
      <c r="AM28" s="42" t="n">
        <f aca="false">IFERROR(IF($C28="","",IF($D28="","",IFERROR(ROUND($D28*INDEX('🔖 배합비 참조'!$B$2:$CE$83,MATCH("딸기레진",'🔖 배합비 참조'!$A$2:$A$83,0),MATCH($C28,'🔖 배합비 참조'!$B$1:$CE$1,0))/100,0),""))),"")</f>
        <v>0</v>
      </c>
      <c r="AN28" s="42" t="n">
        <f aca="false">IFERROR(IF($C28="","",IF($D28="","",IFERROR(ROUND($D28*INDEX('🔖 배합비 참조'!$B$2:$CE$83,MATCH("딸기분말(스트로우베리에이드(분말))",'🔖 배합비 참조'!$A$2:$A$83,0),MATCH($C28,'🔖 배합비 참조'!$B$1:$CE$1,0))/100,0),""))),"")</f>
        <v>0</v>
      </c>
      <c r="AO28" s="42" t="n">
        <f aca="false">IFERROR(IF($C28="","",IF($D28="","",IFERROR(ROUND($D28*INDEX('🔖 배합비 참조'!$B$2:$CE$83,MATCH("마스카포네치즈",'🔖 배합비 참조'!$A$2:$A$83,0),MATCH($C28,'🔖 배합비 참조'!$B$1:$CE$1,0))/100,0),""))),"")</f>
        <v>0</v>
      </c>
      <c r="AP28" s="42" t="n">
        <f aca="false">IFERROR(IF($C28="","",IF($D28="","",IFERROR(ROUND($D28*INDEX('🔖 배합비 참조'!$B$2:$CE$83,MATCH("마카다미아분태(호주산)",'🔖 배합비 참조'!$A$2:$A$83,0),MATCH($C28,'🔖 배합비 참조'!$B$1:$CE$1,0))/100,0),""))),"")</f>
        <v>0</v>
      </c>
      <c r="AQ28" s="42" t="n">
        <f aca="false">IFERROR(IF($C28="","",IF($D28="","",IFERROR(ROUND($D28*INDEX('🔖 배합비 참조'!$B$2:$CE$83,MATCH("멥쌀(국내산)",'🔖 배합비 참조'!$A$2:$A$83,0),MATCH($C28,'🔖 배합비 참조'!$B$1:$CE$1,0))/100,0),""))),"")</f>
        <v>0</v>
      </c>
      <c r="AR28" s="42" t="n">
        <f aca="false">IFERROR(IF($C28="","",IF($D28="","",IFERROR(ROUND($D28*INDEX('🔖 배합비 참조'!$B$2:$CE$83,MATCH("모시잎(국내산)",'🔖 배합비 참조'!$A$2:$A$83,0),MATCH($C28,'🔖 배합비 참조'!$B$1:$CE$1,0))/100,0),""))),"")</f>
        <v>0</v>
      </c>
      <c r="AS28" s="42" t="n">
        <f aca="false">IFERROR(IF($C28="","",IF($D28="","",IFERROR(ROUND($D28*INDEX('🔖 배합비 참조'!$B$2:$CE$83,MATCH("물엿(저당물엿)",'🔖 배합비 참조'!$A$2:$A$83,0),MATCH($C28,'🔖 배합비 참조'!$B$1:$CE$1,0))/100,0),""))),"")</f>
        <v>11</v>
      </c>
      <c r="AT28" s="42" t="n">
        <f aca="false">IFERROR(IF($C28="","",IF($D28="","",IFERROR(ROUND($D28*INDEX('🔖 배합비 참조'!$B$2:$CE$83,MATCH("밤다이스",'🔖 배합비 참조'!$A$2:$A$83,0),MATCH($C28,'🔖 배합비 참조'!$B$1:$CE$1,0))/100,0),""))),"")</f>
        <v>0</v>
      </c>
      <c r="AU28" s="42" t="n">
        <f aca="false">IFERROR(IF($C28="","",IF($D28="","",IFERROR(ROUND($D28*INDEX('🔖 배합비 참조'!$B$2:$CE$83,MATCH("변성전분(타피오카전분)",'🔖 배합비 참조'!$A$2:$A$83,0),MATCH($C28,'🔖 배합비 참조'!$B$1:$CE$1,0))/100,0),""))),"")</f>
        <v>0</v>
      </c>
      <c r="AV28" s="42" t="n">
        <f aca="false">IFERROR(IF($C28="","",IF($D28="","",IFERROR(ROUND($D28*INDEX('🔖 배합비 참조'!$B$2:$CE$83,MATCH("복음땅콩분태",'🔖 배합비 참조'!$A$2:$A$83,0),MATCH($C28,'🔖 배합비 참조'!$B$1:$CE$1,0))/100,0),""))),"")</f>
        <v>5</v>
      </c>
      <c r="AW28" s="42" t="n">
        <f aca="false">IFERROR(IF($C28="","",IF($D28="","",IFERROR(ROUND($D28*INDEX('🔖 배합비 참조'!$B$2:$CE$83,MATCH("사양벌꿀(국내산)",'🔖 배합비 참조'!$A$2:$A$83,0),MATCH($C28,'🔖 배합비 참조'!$B$1:$CE$1,0))/100,0),""))),"")</f>
        <v>0</v>
      </c>
      <c r="AX28" s="42" t="n">
        <f aca="false">IFERROR(IF($C28="","",IF($D28="","",IFERROR(ROUND($D28*INDEX('🔖 배합비 참조'!$B$2:$CE$83,MATCH("생크림",'🔖 배합비 참조'!$A$2:$A$83,0),MATCH($C28,'🔖 배합비 참조'!$B$1:$CE$1,0))/100,0),""))),"")</f>
        <v>0</v>
      </c>
      <c r="AY28" s="42" t="n">
        <f aca="false">IFERROR(IF($C28="","",IF($D28="","",IFERROR(ROUND($D28*INDEX('🔖 배합비 참조'!$B$2:$CE$83,MATCH("서양호박(국내산,뉴질랜드산)",'🔖 배합비 참조'!$A$2:$A$83,0),MATCH($C28,'🔖 배합비 참조'!$B$1:$CE$1,0))/100,0),""))),"")</f>
        <v>0</v>
      </c>
      <c r="AZ28" s="42" t="n">
        <f aca="false">IFERROR(IF($C28="","",IF($D28="","",IFERROR(ROUND($D28*INDEX('🔖 배합비 참조'!$B$2:$CE$83,MATCH("설탕",'🔖 배합비 참조'!$A$2:$A$83,0),MATCH($C28,'🔖 배합비 참조'!$B$1:$CE$1,0))/100,0),""))),"")</f>
        <v>5</v>
      </c>
      <c r="BA28" s="42" t="n">
        <f aca="false">IFERROR(IF($C28="","",IF($D28="","",IFERROR(ROUND($D28*INDEX('🔖 배합비 참조'!$B$2:$CE$83,MATCH("스트로우베리 에이드 후레쉬",'🔖 배합비 참조'!$A$2:$A$83,0),MATCH($C28,'🔖 배합비 참조'!$B$1:$CE$1,0))/100,0),""))),"")</f>
        <v>0</v>
      </c>
      <c r="BB28" s="42" t="n">
        <f aca="false">IFERROR(IF($C28="","",IF($D28="","",IFERROR(ROUND($D28*INDEX('🔖 배합비 참조'!$B$2:$CE$83,MATCH("식물성기름혼합제제(분홍)",'🔖 배합비 참조'!$A$2:$A$83,0),MATCH($C28,'🔖 배합비 참조'!$B$1:$CE$1,0))/100,0),""))),"")</f>
        <v>0</v>
      </c>
      <c r="BC28" s="42" t="n">
        <f aca="false">IFERROR(IF($C28="","",IF($D28="","",IFERROR(ROUND($D28*INDEX('🔖 배합비 참조'!$B$2:$CE$83,MATCH("식물성기름혼합제제(초록)",'🔖 배합비 참조'!$A$2:$A$83,0),MATCH($C28,'🔖 배합비 참조'!$B$1:$CE$1,0))/100,0),""))),"")</f>
        <v>0</v>
      </c>
      <c r="BD28" s="42" t="n">
        <f aca="false">IFERROR(IF($C28="","",IF($D28="","",IFERROR(ROUND($D28*INDEX('🔖 배합비 참조'!$B$2:$CE$83,MATCH("식물성기름혼합제제(황색)",'🔖 배합비 참조'!$A$2:$A$83,0),MATCH($C28,'🔖 배합비 참조'!$B$1:$CE$1,0))/100,0),""))),"")</f>
        <v>0</v>
      </c>
      <c r="BE28" s="42" t="n">
        <f aca="false">IFERROR(IF($C28="","",IF($D28="","",IFERROR(ROUND($D28*INDEX('🔖 배합비 참조'!$B$2:$CE$83,MATCH("쑥가루(국내산)",'🔖 배합비 참조'!$A$2:$A$83,0),MATCH($C28,'🔖 배합비 참조'!$B$1:$CE$1,0))/100,0),""))),"")</f>
        <v>1</v>
      </c>
      <c r="BF28" s="42" t="n">
        <f aca="false">IFERROR(IF($C28="","",IF($D28="","",IFERROR(ROUND($D28*INDEX('🔖 배합비 참조'!$B$2:$CE$83,MATCH("아몬드슬라이스",'🔖 배합비 참조'!$A$2:$A$83,0),MATCH($C28,'🔖 배합비 참조'!$B$1:$CE$1,0))/100,0),""))),"")</f>
        <v>0</v>
      </c>
      <c r="BG28" s="42" t="n">
        <f aca="false">IFERROR(IF($C28="","",IF($D28="","",IFERROR(ROUND($D28*INDEX('🔖 배합비 참조'!$B$2:$CE$83,MATCH("알룰로오스(국내산)",'🔖 배합비 참조'!$A$2:$A$83,0),MATCH($C28,'🔖 배합비 참조'!$B$1:$CE$1,0))/100,0),""))),"")</f>
        <v>0</v>
      </c>
      <c r="BH28" s="42" t="n">
        <f aca="false">IFERROR(IF($C28="","",IF($D28="","",IFERROR(ROUND($D28*INDEX('🔖 배합비 참조'!$B$2:$CE$83,MATCH("연유",'🔖 배합비 참조'!$A$2:$A$83,0),MATCH($C28,'🔖 배합비 참조'!$B$1:$CE$1,0))/100,0),""))),"")</f>
        <v>0</v>
      </c>
      <c r="BI28" s="42" t="n">
        <f aca="false">IFERROR(IF($C28="","",IF($D28="","",IFERROR(ROUND($D28*INDEX('🔖 배합비 참조'!$B$2:$CE$83,MATCH("옥수수전분",'🔖 배합비 참조'!$A$2:$A$83,0),MATCH($C28,'🔖 배합비 참조'!$B$1:$CE$1,0))/100,0),""))),"")</f>
        <v>0</v>
      </c>
      <c r="BJ28" s="42" t="n">
        <f aca="false">IFERROR(IF($C28="","",IF($D28="","",IFERROR(ROUND($D28*INDEX('🔖 배합비 참조'!$B$2:$CE$83,MATCH("완두배기",'🔖 배합비 참조'!$A$2:$A$83,0),MATCH($C28,'🔖 배합비 참조'!$B$1:$CE$1,0))/100,0),""))),"")</f>
        <v>0</v>
      </c>
      <c r="BK28" s="42" t="n">
        <f aca="false">IFERROR(IF($C28="","",IF($D28="","",IFERROR(ROUND($D28*INDEX('🔖 배합비 참조'!$B$2:$CE$83,MATCH("우유(국내산)",'🔖 배합비 참조'!$A$2:$A$83,0),MATCH($C28,'🔖 배합비 참조'!$B$1:$CE$1,0))/100,0),""))),"")</f>
        <v>0</v>
      </c>
      <c r="BL28" s="42" t="n">
        <f aca="false">IFERROR(IF($C28="","",IF($D28="","",IFERROR(ROUND($D28*INDEX('🔖 배합비 참조'!$B$2:$CE$83,MATCH("자색고구마가루(중국산)",'🔖 배합비 참조'!$A$2:$A$83,0),MATCH($C28,'🔖 배합비 참조'!$B$1:$CE$1,0))/100,0),""))),"")</f>
        <v>0</v>
      </c>
      <c r="BM28" s="42" t="n">
        <f aca="false">IFERROR(IF($C28="","",IF($D28="","",IFERROR(ROUND($D28*INDEX('🔖 배합비 참조'!$B$2:$CE$83,MATCH("자연치즈(체다치즈)",'🔖 배합비 참조'!$A$2:$A$83,0),MATCH($C28,'🔖 배합비 참조'!$B$1:$CE$1,0))/100,0),""))),"")</f>
        <v>0</v>
      </c>
      <c r="BN28" s="42" t="n">
        <f aca="false">IFERROR(IF($C28="","",IF($D28="","",IFERROR(ROUND($D28*INDEX('🔖 배합비 참조'!$B$2:$CE$83,MATCH("정제수",'🔖 배합비 참조'!$A$2:$A$83,0),MATCH($C28,'🔖 배합비 참조'!$B$1:$CE$1,0))/100,0),""))),"")</f>
        <v>0</v>
      </c>
      <c r="BO28" s="42" t="n">
        <f aca="false">IFERROR(IF($C28="","",IF($D28="","",IFERROR(ROUND($D28*INDEX('🔖 배합비 참조'!$B$2:$CE$83,MATCH("젤라틴",'🔖 배합비 참조'!$A$2:$A$83,0),MATCH($C28,'🔖 배합비 참조'!$B$1:$CE$1,0))/100,0),""))),"")</f>
        <v>0</v>
      </c>
      <c r="BP28" s="42" t="n">
        <f aca="false">IFERROR(IF($C28="","",IF($D28="","",IFERROR(ROUND($D28*INDEX('🔖 배합비 참조'!$B$2:$CE$83,MATCH("조림류(백옥앙금)",'🔖 배합비 참조'!$A$2:$A$83,0),MATCH($C28,'🔖 배합비 참조'!$B$1:$CE$1,0))/100,0),""))),"")</f>
        <v>0</v>
      </c>
      <c r="BQ28" s="42" t="n">
        <f aca="false">IFERROR(IF($C28="","",IF($D28="","",IFERROR(ROUND($D28*INDEX('🔖 배합비 참조'!$B$2:$CE$83,MATCH("조림류(통팥앙금)",'🔖 배합비 참조'!$A$2:$A$83,0),MATCH($C28,'🔖 배합비 참조'!$B$1:$CE$1,0))/100,0),""))),"")</f>
        <v>0</v>
      </c>
      <c r="BR28" s="42" t="n">
        <f aca="false">IFERROR(IF($C28="","",IF($D28="","",IFERROR(ROUND($D28*INDEX('🔖 배합비 참조'!$B$2:$CE$83,MATCH("준초콜릿(외국산)",'🔖 배합비 참조'!$A$2:$A$83,0),MATCH($C28,'🔖 배합비 참조'!$B$1:$CE$1,0))/100,0),""))),"")</f>
        <v>0</v>
      </c>
      <c r="BS28" s="42" t="n">
        <f aca="false">IFERROR(IF($C28="","",IF($D28="","",IFERROR(ROUND($D28*INDEX('🔖 배합비 참조'!$B$2:$CE$83,MATCH("중력분",'🔖 배합비 참조'!$A$2:$A$83,0),MATCH($C28,'🔖 배합비 참조'!$B$1:$CE$1,0))/100,0),""))),"")</f>
        <v>2</v>
      </c>
      <c r="BT28" s="42" t="n">
        <f aca="false">IFERROR(IF($C28="","",IF($D28="","",IFERROR(ROUND($D28*INDEX('🔖 배합비 참조'!$B$2:$CE$83,MATCH("참깨(인도산,나이지리아산,탄자니아산,미얀마산)",'🔖 배합비 참조'!$A$2:$A$83,0),MATCH($C28,'🔖 배합비 참조'!$B$1:$CE$1,0))/100,0),""))),"")</f>
        <v>0</v>
      </c>
      <c r="BU28" s="42" t="n">
        <f aca="false">IFERROR(IF($C28="","",IF($D28="","",IFERROR(ROUND($D28*INDEX('🔖 배합비 참조'!$B$2:$CE$83,MATCH("찹쌀(국내산)",'🔖 배합비 참조'!$A$2:$A$83,0),MATCH($C28,'🔖 배합비 참조'!$B$1:$CE$1,0))/100,0),""))),"")</f>
        <v>149</v>
      </c>
      <c r="BV28" s="42" t="n">
        <f aca="false">IFERROR(IF($C28="","",IF($D28="","",IFERROR(ROUND($D28*INDEX('🔖 배합비 참조'!$B$2:$CE$83,MATCH("천일염",'🔖 배합비 참조'!$A$2:$A$83,0),MATCH($C28,'🔖 배합비 참조'!$B$1:$CE$1,0))/100,0),""))),"")</f>
        <v>2</v>
      </c>
      <c r="BW28" s="42" t="n">
        <f aca="false">IFERROR(IF($C28="","",IF($D28="","",IFERROR(ROUND($D28*INDEX('🔖 배합비 참조'!$B$2:$CE$83,MATCH("치즈 [크림치즈]",'🔖 배합비 참조'!$A$2:$A$83,0),MATCH($C28,'🔖 배합비 참조'!$B$1:$CE$1,0))/100,0),""))),"")</f>
        <v>0</v>
      </c>
      <c r="BX28" s="42" t="n">
        <f aca="false">IFERROR(IF($C28="","",IF($D28="","",IFERROR(ROUND($D28*INDEX('🔖 배합비 참조'!$B$2:$CE$83,MATCH("코코아가공품류(코코아분말)",'🔖 배합비 참조'!$A$2:$A$83,0),MATCH($C28,'🔖 배합비 참조'!$B$1:$CE$1,0))/100,0),""))),"")</f>
        <v>0</v>
      </c>
      <c r="BY28" s="42" t="n">
        <f aca="false">IFERROR(IF($C28="","",IF($D28="","",IFERROR(ROUND($D28*INDEX('🔖 배합비 참조'!$B$2:$CE$83,MATCH("콩기름(대두유)",'🔖 배합비 참조'!$A$2:$A$83,0),MATCH($C28,'🔖 배합비 참조'!$B$1:$CE$1,0))/100,0),""))),"")</f>
        <v>0</v>
      </c>
      <c r="BZ28" s="42" t="n">
        <f aca="false">IFERROR(IF($C28="","",IF($D28="","",IFERROR(ROUND($D28*INDEX('🔖 배합비 참조'!$B$2:$CE$83,MATCH("해바라기씨앗",'🔖 배합비 참조'!$A$2:$A$83,0),MATCH($C28,'🔖 배합비 참조'!$B$1:$CE$1,0))/100,0),""))),"")</f>
        <v>4</v>
      </c>
      <c r="CA28" s="42" t="n">
        <f aca="false">IFERROR(IF($C28="","",IF($D28="","",IFERROR(ROUND($D28*INDEX('🔖 배합비 참조'!$B$2:$CE$83,MATCH("현미(국내산)",'🔖 배합비 참조'!$A$2:$A$83,0),MATCH($C28,'🔖 배합비 참조'!$B$1:$CE$1,0))/100,0),""))),"")</f>
        <v>0</v>
      </c>
      <c r="CB28" s="42" t="n">
        <f aca="false">IFERROR(IF($C28="","",IF($D28="","",IFERROR(ROUND($D28*INDEX('🔖 배합비 참조'!$B$2:$CE$83,MATCH("현미멥쌀(국내산)",'🔖 배합비 참조'!$A$2:$A$83,0),MATCH($C28,'🔖 배합비 참조'!$B$1:$CE$1,0))/100,0),""))),"")</f>
        <v>0</v>
      </c>
      <c r="CC28" s="42" t="n">
        <f aca="false">IFERROR(IF($C28="","",IF($D28="","",IFERROR(ROUND($D28*INDEX('🔖 배합비 참조'!$B$2:$CE$83,MATCH("호두분태(미국산)",'🔖 배합비 참조'!$A$2:$A$83,0),MATCH($C28,'🔖 배합비 참조'!$B$1:$CE$1,0))/100,0),""))),"")</f>
        <v>1</v>
      </c>
      <c r="CD28" s="42" t="n">
        <f aca="false">IFERROR(IF($C28="","",IF($D28="","",IFERROR(ROUND($D28*INDEX('🔖 배합비 참조'!$B$2:$CE$83,MATCH("호박씨앗(외국산)",'🔖 배합비 참조'!$A$2:$A$83,0),MATCH($C28,'🔖 배합비 참조'!$B$1:$CE$1,0))/100,0),""))),"")</f>
        <v>4</v>
      </c>
      <c r="CE28" s="42" t="n">
        <f aca="false">IFERROR(IF($C28="","",IF($D28="","",IFERROR(ROUND($D28*INDEX('🔖 배합비 참조'!$B$2:$CE$83,MATCH("혼합제제(떡용에스텔)",'🔖 배합비 참조'!$A$2:$A$83,0),MATCH($C28,'🔖 배합비 참조'!$B$1:$CE$1,0))/100,0),""))),"")</f>
        <v>1</v>
      </c>
      <c r="CF28" s="42" t="n">
        <f aca="false">IFERROR(IF($C28="","",IF($D28="","",IFERROR(ROUND($D28*INDEX('🔖 배합비 참조'!$B$2:$CE$83,MATCH("혼합제제(스테비아)",'🔖 배합비 참조'!$A$2:$A$83,0),MATCH($C28,'🔖 배합비 참조'!$B$1:$CE$1,0))/100,0),""))),"")</f>
        <v>0</v>
      </c>
      <c r="CG28" s="42" t="n">
        <f aca="false">IFERROR(IF($C28="","",IF($D28="","",IFERROR(ROUND($D28*INDEX('🔖 배합비 참조'!$B$2:$CE$83,MATCH("화이트초콜릿",'🔖 배합비 참조'!$A$2:$A$83,0),MATCH($C28,'🔖 배합비 참조'!$B$1:$CE$1,0))/100,0),""))),"")</f>
        <v>0</v>
      </c>
      <c r="CH28" s="42" t="n">
        <f aca="false">IFERROR(IF($C28="","",IF($D28="","",IFERROR(ROUND($D28*INDEX('🔖 배합비 참조'!$B$2:$CE$83,MATCH("흑미찹쌀(국내산)",'🔖 배합비 참조'!$A$2:$A$83,0),MATCH($C28,'🔖 배합비 참조'!$B$1:$CE$1,0))/100,0),""))),"")</f>
        <v>9</v>
      </c>
      <c r="CI28" s="42" t="n">
        <f aca="false">IFERROR(IF($C28="","",IF($D28="","",IFERROR(ROUND($D28*INDEX('🔖 배합비 참조'!$B$2:$CE$83,MATCH("찰옥수수전분(미국산)",'🔖 배합비 참조'!$A$2:$A$83,0),MATCH($C28,'🔖 배합비 참조'!$B$1:$CE$1,0))/100,0),""))),"")</f>
        <v>0</v>
      </c>
      <c r="CJ28" s="40"/>
      <c r="CL28" s="1" t="s">
        <v>235</v>
      </c>
    </row>
    <row r="29" customFormat="false" ht="18" hidden="false" customHeight="true" outlineLevel="0" collapsed="false">
      <c r="A29" s="35" t="n">
        <v>25</v>
      </c>
      <c r="B29" s="36" t="n">
        <v>45953</v>
      </c>
      <c r="C29" s="37" t="s">
        <v>144</v>
      </c>
      <c r="D29" s="38" t="n">
        <v>70</v>
      </c>
      <c r="E29" s="13"/>
      <c r="F29" s="13"/>
      <c r="G29" s="39" t="n">
        <f aca="false">IFERROR(IF($C29="","",IF($D29="","",IFERROR(ROUND($D29*INDEX('🔖 배합비 참조'!$B$2:$CE$83,MATCH("간장",'🔖 배합비 참조'!$A$2:$A$83,0),MATCH($C29,'🔖 배합비 참조'!$B$1:$CE$1,0))/100,0),""))),"")</f>
        <v>0</v>
      </c>
      <c r="H29" s="39" t="n">
        <f aca="false">IFERROR(IF($C29="","",IF($D29="","",IFERROR(ROUND($D29*INDEX('🔖 배합비 참조'!$B$2:$CE$83,MATCH("강낭콩((울타리콩))",'🔖 배합비 참조'!$A$2:$A$83,0),MATCH($C29,'🔖 배합비 참조'!$B$1:$CE$1,0))/100,0),""))),"")</f>
        <v>0</v>
      </c>
      <c r="I29" s="39" t="n">
        <f aca="false">IFERROR(IF($C29="","",IF($D29="","",IFERROR(ROUND($D29*INDEX('🔖 배합비 참조'!$B$2:$CE$83,MATCH("건조딸기다이스(외국산)",'🔖 배합비 참조'!$A$2:$A$83,0),MATCH($C29,'🔖 배합비 참조'!$B$1:$CE$1,0))/100,0),""))),"")</f>
        <v>0</v>
      </c>
      <c r="J29" s="39" t="n">
        <f aca="false">IFERROR(IF($C29="","",IF($D29="","",IFERROR(ROUND($D29*INDEX('🔖 배합비 참조'!$B$2:$CE$83,MATCH("건포도",'🔖 배합비 참조'!$A$2:$A$83,0),MATCH($C29,'🔖 배합비 참조'!$B$1:$CE$1,0))/100,0),""))),"")</f>
        <v>0</v>
      </c>
      <c r="K29" s="39" t="n">
        <f aca="false">IFERROR(IF($C29="","",IF($D29="","",IFERROR(ROUND($D29*INDEX('🔖 배합비 참조'!$B$2:$CE$83,MATCH("건호박채(중국산)",'🔖 배합비 참조'!$A$2:$A$83,0),MATCH($C29,'🔖 배합비 참조'!$B$1:$CE$1,0))/100,0),""))),"")</f>
        <v>0</v>
      </c>
      <c r="L29" s="39" t="n">
        <f aca="false">IFERROR(IF($C29="","",IF($D29="","",IFERROR(ROUND($D29*INDEX('🔖 배합비 참조'!$B$2:$CE$83,MATCH("검정깨(흑임자)",'🔖 배합비 참조'!$A$2:$A$83,0),MATCH($C29,'🔖 배합비 참조'!$B$1:$CE$1,0))/100,0),""))),"")</f>
        <v>0</v>
      </c>
      <c r="M29" s="39" t="n">
        <f aca="false">IFERROR(IF($C29="","",IF($D29="","",IFERROR(ROUND($D29*INDEX('🔖 배합비 참조'!$B$2:$CE$83,MATCH("검정콩",'🔖 배합비 참조'!$A$2:$A$83,0),MATCH($C29,'🔖 배합비 참조'!$B$1:$CE$1,0))/100,0),""))),"")</f>
        <v>0</v>
      </c>
      <c r="N29" s="39" t="n">
        <f aca="false">IFERROR(IF($C29="","",IF($D29="","",IFERROR(ROUND($D29*INDEX('🔖 배합비 참조'!$B$2:$CE$83,MATCH("계피가루",'🔖 배합비 참조'!$A$2:$A$83,0),MATCH($C29,'🔖 배합비 참조'!$B$1:$CE$1,0))/100,0),""))),"")</f>
        <v>0</v>
      </c>
      <c r="O29" s="39" t="n">
        <f aca="false">IFERROR(IF($C29="","",IF($D29="","",IFERROR(ROUND($D29*INDEX('🔖 배합비 참조'!$B$2:$CE$83,MATCH("고구마가루",'🔖 배합비 참조'!$A$2:$A$83,0),MATCH($C29,'🔖 배합비 참조'!$B$1:$CE$1,0))/100,0),""))),"")</f>
        <v>0</v>
      </c>
      <c r="P29" s="39" t="n">
        <f aca="false">IFERROR(IF($C29="","",IF($D29="","",IFERROR(ROUND($D29*INDEX('🔖 배합비 참조'!$B$2:$CE$83,MATCH("고구마무스",'🔖 배합비 참조'!$A$2:$A$83,0),MATCH($C29,'🔖 배합비 참조'!$B$1:$CE$1,0))/100,0),""))),"")</f>
        <v>0</v>
      </c>
      <c r="Q29" s="39" t="n">
        <f aca="false">IFERROR(IF($C29="","",IF($D29="","",IFERROR(ROUND($D29*INDEX('🔖 배합비 참조'!$B$2:$CE$83,MATCH("고려엉겅퀴((곤드레)국내산)",'🔖 배합비 참조'!$A$2:$A$83,0),MATCH($C29,'🔖 배합비 참조'!$B$1:$CE$1,0))/100,0),""))),"")</f>
        <v>0</v>
      </c>
      <c r="R29" s="39" t="n">
        <f aca="false">IFERROR(IF($C29="","",IF($D29="","",IFERROR(ROUND($D29*INDEX('🔖 배합비 참조'!$B$2:$CE$83,MATCH("기타가공품(복분자가루)",'🔖 배합비 참조'!$A$2:$A$83,0),MATCH($C29,'🔖 배합비 참조'!$B$1:$CE$1,0))/100,0),""))),"")</f>
        <v>0</v>
      </c>
      <c r="S29" s="39" t="n">
        <f aca="false">IFERROR(IF($C29="","",IF($D29="","",IFERROR(ROUND($D29*INDEX('🔖 배합비 참조'!$B$2:$CE$83,MATCH("기타가공품(슈퍼소프트엠)",'🔖 배합비 참조'!$A$2:$A$83,0),MATCH($C29,'🔖 배합비 참조'!$B$1:$CE$1,0))/100,0),""))),"")</f>
        <v>0</v>
      </c>
      <c r="T29" s="39" t="n">
        <f aca="false">IFERROR(IF($C29="","",IF($D29="","",IFERROR(ROUND($D29*INDEX('🔖 배합비 참조'!$B$2:$CE$83,MATCH("기타가공품(파인소프트 E-티)",'🔖 배합비 참조'!$A$2:$A$83,0),MATCH($C29,'🔖 배합비 참조'!$B$1:$CE$1,0))/100,0),""))),"")</f>
        <v>0</v>
      </c>
      <c r="U29" s="39" t="n">
        <f aca="false">IFERROR(IF($C29="","",IF($D29="","",IFERROR(ROUND($D29*INDEX('🔖 배합비 참조'!$B$2:$CE$83,MATCH("기타가공품(프리미엄카스테라가루)",'🔖 배합비 참조'!$A$2:$A$83,0),MATCH($C29,'🔖 배합비 참조'!$B$1:$CE$1,0))/100,0),""))),"")</f>
        <v>0</v>
      </c>
      <c r="V29" s="39" t="n">
        <f aca="false">IFERROR(IF($C29="","",IF($D29="","",IFERROR(ROUND($D29*INDEX('🔖 배합비 참조'!$B$2:$CE$83,MATCH("기타가공품(흑임자가루)",'🔖 배합비 참조'!$A$2:$A$83,0),MATCH($C29,'🔖 배합비 참조'!$B$1:$CE$1,0))/100,0),""))),"")</f>
        <v>0</v>
      </c>
      <c r="W29" s="39" t="n">
        <f aca="false">IFERROR(IF($C29="","",IF($D29="","",IFERROR(ROUND($D29*INDEX('🔖 배합비 참조'!$B$2:$CE$83,MATCH("기타설탕(흑설탕)",'🔖 배합비 참조'!$A$2:$A$83,0),MATCH($C29,'🔖 배합비 참조'!$B$1:$CE$1,0))/100,0),""))),"")</f>
        <v>0</v>
      </c>
      <c r="X29" s="39" t="n">
        <f aca="false">IFERROR(IF($C29="","",IF($D29="","",IFERROR(ROUND($D29*INDEX('🔖 배합비 참조'!$B$2:$CE$83,MATCH("냉동쑥(국내산)",'🔖 배합비 참조'!$A$2:$A$83,0),MATCH($C29,'🔖 배합비 참조'!$B$1:$CE$1,0))/100,0),""))),"")</f>
        <v>0</v>
      </c>
      <c r="Y29" s="39" t="n">
        <f aca="false">IFERROR(IF($C29="","",IF($D29="","",IFERROR(ROUND($D29*INDEX('🔖 배합비 참조'!$B$2:$CE$83,MATCH("냉동증숙고구마(중국산)",'🔖 배합비 참조'!$A$2:$A$83,0),MATCH($C29,'🔖 배합비 참조'!$B$1:$CE$1,0))/100,0),""))),"")</f>
        <v>0</v>
      </c>
      <c r="Z29" s="39" t="n">
        <f aca="false">IFERROR(IF($C29="","",IF($D29="","",IFERROR(ROUND($D29*INDEX('🔖 배합비 참조'!$B$2:$CE$83,MATCH("녹차가루",'🔖 배합비 참조'!$A$2:$A$83,0),MATCH($C29,'🔖 배합비 참조'!$B$1:$CE$1,0))/100,0),""))),"")</f>
        <v>0</v>
      </c>
      <c r="AA29" s="39" t="n">
        <f aca="false">IFERROR(IF($C29="","",IF($D29="","",IFERROR(ROUND($D29*INDEX('🔖 배합비 참조'!$B$2:$CE$83,MATCH("다크초콜릿 컴파운드칩",'🔖 배합비 참조'!$A$2:$A$83,0),MATCH($C29,'🔖 배합비 참조'!$B$1:$CE$1,0))/100,0),""))),"")</f>
        <v>0</v>
      </c>
      <c r="AB29" s="39" t="n">
        <f aca="false">IFERROR(IF($C29="","",IF($D29="","",IFERROR(ROUND($D29*INDEX('🔖 배합비 참조'!$B$2:$CE$83,MATCH("단호박분말(중국산)",'🔖 배합비 참조'!$A$2:$A$83,0),MATCH($C29,'🔖 배합비 참조'!$B$1:$CE$1,0))/100,0),""))),"")</f>
        <v>0</v>
      </c>
      <c r="AC29" s="39" t="n">
        <f aca="false">IFERROR(IF($C29="","",IF($D29="","",IFERROR(ROUND($D29*INDEX('🔖 배합비 참조'!$B$2:$CE$83,MATCH("당류가공품(단호박농축액)",'🔖 배합비 참조'!$A$2:$A$83,0),MATCH($C29,'🔖 배합비 참조'!$B$1:$CE$1,0))/100,0),""))),"")</f>
        <v>0</v>
      </c>
      <c r="AD29" s="39" t="n">
        <f aca="false">IFERROR(IF($C29="","",IF($D29="","",IFERROR(ROUND($D29*INDEX('🔖 배합비 참조'!$B$2:$CE$83,MATCH("당류가공품(알룰로스,에리스리톨,스테비올배당체혼합)",'🔖 배합비 참조'!$A$2:$A$83,0),MATCH($C29,'🔖 배합비 참조'!$B$1:$CE$1,0))/100,0),""))),"")</f>
        <v>0</v>
      </c>
      <c r="AE29" s="39" t="n">
        <f aca="false">IFERROR(IF($C29="","",IF($D29="","",IFERROR(ROUND($D29*INDEX('🔖 배합비 참조'!$B$2:$CE$83,MATCH("당류가공품(알룰로스제로파우더)",'🔖 배합비 참조'!$A$2:$A$83,0),MATCH($C29,'🔖 배합비 참조'!$B$1:$CE$1,0))/100,0),""))),"")</f>
        <v>0</v>
      </c>
      <c r="AF29" s="39" t="n">
        <f aca="false">IFERROR(IF($C29="","",IF($D29="","",IFERROR(ROUND($D29*INDEX('🔖 배합비 참조'!$B$2:$CE$83,MATCH("당절임(완두배기)",'🔖 배합비 참조'!$A$2:$A$83,0),MATCH($C29,'🔖 배합비 참조'!$B$1:$CE$1,0))/100,0),""))),"")</f>
        <v>0</v>
      </c>
      <c r="AG29" s="39" t="n">
        <f aca="false">IFERROR(IF($C29="","",IF($D29="","",IFERROR(ROUND($D29*INDEX('🔖 배합비 참조'!$B$2:$CE$83,MATCH("대추농축액",'🔖 배합비 참조'!$A$2:$A$83,0),MATCH($C29,'🔖 배합비 참조'!$B$1:$CE$1,0))/100,0),""))),"")</f>
        <v>0</v>
      </c>
      <c r="AH29" s="39" t="n">
        <f aca="false">IFERROR(IF($C29="","",IF($D29="","",IFERROR(ROUND($D29*INDEX('🔖 배합비 참조'!$B$2:$CE$83,MATCH("대추채(국내산)",'🔖 배합비 참조'!$A$2:$A$83,0),MATCH($C29,'🔖 배합비 참조'!$B$1:$CE$1,0))/100,0),""))),"")</f>
        <v>0</v>
      </c>
      <c r="AI29" s="39" t="n">
        <f aca="false">IFERROR(IF($C29="","",IF($D29="","",IFERROR(ROUND($D29*INDEX('🔖 배합비 참조'!$B$2:$CE$83,MATCH("동부(미얀마산)",'🔖 배합비 참조'!$A$2:$A$83,0),MATCH($C29,'🔖 배합비 참조'!$B$1:$CE$1,0))/100,0),""))),"")</f>
        <v>0</v>
      </c>
      <c r="AJ29" s="39" t="n">
        <f aca="false">IFERROR(IF($C29="","",IF($D29="","",IFERROR(ROUND($D29*INDEX('🔖 배합비 참조'!$B$2:$CE$83,MATCH("두류가공품(백옥앙금)",'🔖 배합비 참조'!$A$2:$A$83,0),MATCH($C29,'🔖 배합비 참조'!$B$1:$CE$1,0))/100,0),""))),"")</f>
        <v>0</v>
      </c>
      <c r="AK29" s="39" t="n">
        <f aca="false">IFERROR(IF($C29="","",IF($D29="","",IFERROR(ROUND($D29*INDEX('🔖 배합비 참조'!$B$2:$CE$83,MATCH("두류가공품(콩고물)",'🔖 배합비 참조'!$A$2:$A$83,0),MATCH($C29,'🔖 배합비 참조'!$B$1:$CE$1,0))/100,0),""))),"")</f>
        <v>2</v>
      </c>
      <c r="AL29" s="39" t="n">
        <f aca="false">IFERROR(IF($C29="","",IF($D29="","",IFERROR(ROUND($D29*INDEX('🔖 배합비 참조'!$B$2:$CE$83,MATCH("두류가공품(통팥고물)",'🔖 배합비 참조'!$A$2:$A$83,0),MATCH($C29,'🔖 배합비 참조'!$B$1:$CE$1,0))/100,0),""))),"")</f>
        <v>0</v>
      </c>
      <c r="AM29" s="39" t="n">
        <f aca="false">IFERROR(IF($C29="","",IF($D29="","",IFERROR(ROUND($D29*INDEX('🔖 배합비 참조'!$B$2:$CE$83,MATCH("딸기레진",'🔖 배합비 참조'!$A$2:$A$83,0),MATCH($C29,'🔖 배합비 참조'!$B$1:$CE$1,0))/100,0),""))),"")</f>
        <v>0</v>
      </c>
      <c r="AN29" s="39" t="n">
        <f aca="false">IFERROR(IF($C29="","",IF($D29="","",IFERROR(ROUND($D29*INDEX('🔖 배합비 참조'!$B$2:$CE$83,MATCH("딸기분말(스트로우베리에이드(분말))",'🔖 배합비 참조'!$A$2:$A$83,0),MATCH($C29,'🔖 배합비 참조'!$B$1:$CE$1,0))/100,0),""))),"")</f>
        <v>0</v>
      </c>
      <c r="AO29" s="39" t="n">
        <f aca="false">IFERROR(IF($C29="","",IF($D29="","",IFERROR(ROUND($D29*INDEX('🔖 배합비 참조'!$B$2:$CE$83,MATCH("마스카포네치즈",'🔖 배합비 참조'!$A$2:$A$83,0),MATCH($C29,'🔖 배합비 참조'!$B$1:$CE$1,0))/100,0),""))),"")</f>
        <v>0</v>
      </c>
      <c r="AP29" s="39" t="n">
        <f aca="false">IFERROR(IF($C29="","",IF($D29="","",IFERROR(ROUND($D29*INDEX('🔖 배합비 참조'!$B$2:$CE$83,MATCH("마카다미아분태(호주산)",'🔖 배합비 참조'!$A$2:$A$83,0),MATCH($C29,'🔖 배합비 참조'!$B$1:$CE$1,0))/100,0),""))),"")</f>
        <v>0</v>
      </c>
      <c r="AQ29" s="39" t="n">
        <f aca="false">IFERROR(IF($C29="","",IF($D29="","",IFERROR(ROUND($D29*INDEX('🔖 배합비 참조'!$B$2:$CE$83,MATCH("멥쌀(국내산)",'🔖 배합비 참조'!$A$2:$A$83,0),MATCH($C29,'🔖 배합비 참조'!$B$1:$CE$1,0))/100,0),""))),"")</f>
        <v>0</v>
      </c>
      <c r="AR29" s="39" t="n">
        <f aca="false">IFERROR(IF($C29="","",IF($D29="","",IFERROR(ROUND($D29*INDEX('🔖 배합비 참조'!$B$2:$CE$83,MATCH("모시잎(국내산)",'🔖 배합비 참조'!$A$2:$A$83,0),MATCH($C29,'🔖 배합비 참조'!$B$1:$CE$1,0))/100,0),""))),"")</f>
        <v>0</v>
      </c>
      <c r="AS29" s="39" t="n">
        <f aca="false">IFERROR(IF($C29="","",IF($D29="","",IFERROR(ROUND($D29*INDEX('🔖 배합비 참조'!$B$2:$CE$83,MATCH("물엿(저당물엿)",'🔖 배합비 참조'!$A$2:$A$83,0),MATCH($C29,'🔖 배합비 참조'!$B$1:$CE$1,0))/100,0),""))),"")</f>
        <v>3</v>
      </c>
      <c r="AT29" s="39" t="n">
        <f aca="false">IFERROR(IF($C29="","",IF($D29="","",IFERROR(ROUND($D29*INDEX('🔖 배합비 참조'!$B$2:$CE$83,MATCH("밤다이스",'🔖 배합비 참조'!$A$2:$A$83,0),MATCH($C29,'🔖 배합비 참조'!$B$1:$CE$1,0))/100,0),""))),"")</f>
        <v>0</v>
      </c>
      <c r="AU29" s="39" t="n">
        <f aca="false">IFERROR(IF($C29="","",IF($D29="","",IFERROR(ROUND($D29*INDEX('🔖 배합비 참조'!$B$2:$CE$83,MATCH("변성전분(타피오카전분)",'🔖 배합비 참조'!$A$2:$A$83,0),MATCH($C29,'🔖 배합비 참조'!$B$1:$CE$1,0))/100,0),""))),"")</f>
        <v>0</v>
      </c>
      <c r="AV29" s="39" t="n">
        <f aca="false">IFERROR(IF($C29="","",IF($D29="","",IFERROR(ROUND($D29*INDEX('🔖 배합비 참조'!$B$2:$CE$83,MATCH("복음땅콩분태",'🔖 배합비 참조'!$A$2:$A$83,0),MATCH($C29,'🔖 배합비 참조'!$B$1:$CE$1,0))/100,0),""))),"")</f>
        <v>0</v>
      </c>
      <c r="AW29" s="39" t="n">
        <f aca="false">IFERROR(IF($C29="","",IF($D29="","",IFERROR(ROUND($D29*INDEX('🔖 배합비 참조'!$B$2:$CE$83,MATCH("사양벌꿀(국내산)",'🔖 배합비 참조'!$A$2:$A$83,0),MATCH($C29,'🔖 배합비 참조'!$B$1:$CE$1,0))/100,0),""))),"")</f>
        <v>0</v>
      </c>
      <c r="AX29" s="39" t="n">
        <f aca="false">IFERROR(IF($C29="","",IF($D29="","",IFERROR(ROUND($D29*INDEX('🔖 배합비 참조'!$B$2:$CE$83,MATCH("생크림",'🔖 배합비 참조'!$A$2:$A$83,0),MATCH($C29,'🔖 배합비 참조'!$B$1:$CE$1,0))/100,0),""))),"")</f>
        <v>0</v>
      </c>
      <c r="AY29" s="39" t="n">
        <f aca="false">IFERROR(IF($C29="","",IF($D29="","",IFERROR(ROUND($D29*INDEX('🔖 배합비 참조'!$B$2:$CE$83,MATCH("서양호박(국내산,뉴질랜드산)",'🔖 배합비 참조'!$A$2:$A$83,0),MATCH($C29,'🔖 배합비 참조'!$B$1:$CE$1,0))/100,0),""))),"")</f>
        <v>0</v>
      </c>
      <c r="AZ29" s="39" t="n">
        <f aca="false">IFERROR(IF($C29="","",IF($D29="","",IFERROR(ROUND($D29*INDEX('🔖 배합비 참조'!$B$2:$CE$83,MATCH("설탕",'🔖 배합비 참조'!$A$2:$A$83,0),MATCH($C29,'🔖 배합비 참조'!$B$1:$CE$1,0))/100,0),""))),"")</f>
        <v>3</v>
      </c>
      <c r="BA29" s="39" t="n">
        <f aca="false">IFERROR(IF($C29="","",IF($D29="","",IFERROR(ROUND($D29*INDEX('🔖 배합비 참조'!$B$2:$CE$83,MATCH("스트로우베리 에이드 후레쉬",'🔖 배합비 참조'!$A$2:$A$83,0),MATCH($C29,'🔖 배합비 참조'!$B$1:$CE$1,0))/100,0),""))),"")</f>
        <v>0</v>
      </c>
      <c r="BB29" s="39" t="n">
        <f aca="false">IFERROR(IF($C29="","",IF($D29="","",IFERROR(ROUND($D29*INDEX('🔖 배합비 참조'!$B$2:$CE$83,MATCH("식물성기름혼합제제(분홍)",'🔖 배합비 참조'!$A$2:$A$83,0),MATCH($C29,'🔖 배합비 참조'!$B$1:$CE$1,0))/100,0),""))),"")</f>
        <v>0</v>
      </c>
      <c r="BC29" s="39" t="n">
        <f aca="false">IFERROR(IF($C29="","",IF($D29="","",IFERROR(ROUND($D29*INDEX('🔖 배합비 참조'!$B$2:$CE$83,MATCH("식물성기름혼합제제(초록)",'🔖 배합비 참조'!$A$2:$A$83,0),MATCH($C29,'🔖 배합비 참조'!$B$1:$CE$1,0))/100,0),""))),"")</f>
        <v>0</v>
      </c>
      <c r="BD29" s="39" t="n">
        <f aca="false">IFERROR(IF($C29="","",IF($D29="","",IFERROR(ROUND($D29*INDEX('🔖 배합비 참조'!$B$2:$CE$83,MATCH("식물성기름혼합제제(황색)",'🔖 배합비 참조'!$A$2:$A$83,0),MATCH($C29,'🔖 배합비 참조'!$B$1:$CE$1,0))/100,0),""))),"")</f>
        <v>0</v>
      </c>
      <c r="BE29" s="39" t="n">
        <f aca="false">IFERROR(IF($C29="","",IF($D29="","",IFERROR(ROUND($D29*INDEX('🔖 배합비 참조'!$B$2:$CE$83,MATCH("쑥가루(국내산)",'🔖 배합비 참조'!$A$2:$A$83,0),MATCH($C29,'🔖 배합비 참조'!$B$1:$CE$1,0))/100,0),""))),"")</f>
        <v>0</v>
      </c>
      <c r="BF29" s="39" t="n">
        <f aca="false">IFERROR(IF($C29="","",IF($D29="","",IFERROR(ROUND($D29*INDEX('🔖 배합비 참조'!$B$2:$CE$83,MATCH("아몬드슬라이스",'🔖 배합비 참조'!$A$2:$A$83,0),MATCH($C29,'🔖 배합비 참조'!$B$1:$CE$1,0))/100,0),""))),"")</f>
        <v>0</v>
      </c>
      <c r="BG29" s="39" t="n">
        <f aca="false">IFERROR(IF($C29="","",IF($D29="","",IFERROR(ROUND($D29*INDEX('🔖 배합비 참조'!$B$2:$CE$83,MATCH("알룰로오스(국내산)",'🔖 배합비 참조'!$A$2:$A$83,0),MATCH($C29,'🔖 배합비 참조'!$B$1:$CE$1,0))/100,0),""))),"")</f>
        <v>0</v>
      </c>
      <c r="BH29" s="39" t="n">
        <f aca="false">IFERROR(IF($C29="","",IF($D29="","",IFERROR(ROUND($D29*INDEX('🔖 배합비 참조'!$B$2:$CE$83,MATCH("연유",'🔖 배합비 참조'!$A$2:$A$83,0),MATCH($C29,'🔖 배합비 참조'!$B$1:$CE$1,0))/100,0),""))),"")</f>
        <v>0</v>
      </c>
      <c r="BI29" s="39" t="n">
        <f aca="false">IFERROR(IF($C29="","",IF($D29="","",IFERROR(ROUND($D29*INDEX('🔖 배합비 참조'!$B$2:$CE$83,MATCH("옥수수전분",'🔖 배합비 참조'!$A$2:$A$83,0),MATCH($C29,'🔖 배합비 참조'!$B$1:$CE$1,0))/100,0),""))),"")</f>
        <v>0</v>
      </c>
      <c r="BJ29" s="39" t="n">
        <f aca="false">IFERROR(IF($C29="","",IF($D29="","",IFERROR(ROUND($D29*INDEX('🔖 배합비 참조'!$B$2:$CE$83,MATCH("완두배기",'🔖 배합비 참조'!$A$2:$A$83,0),MATCH($C29,'🔖 배합비 참조'!$B$1:$CE$1,0))/100,0),""))),"")</f>
        <v>0</v>
      </c>
      <c r="BK29" s="39" t="n">
        <f aca="false">IFERROR(IF($C29="","",IF($D29="","",IFERROR(ROUND($D29*INDEX('🔖 배합비 참조'!$B$2:$CE$83,MATCH("우유(국내산)",'🔖 배합비 참조'!$A$2:$A$83,0),MATCH($C29,'🔖 배합비 참조'!$B$1:$CE$1,0))/100,0),""))),"")</f>
        <v>0</v>
      </c>
      <c r="BL29" s="39" t="n">
        <f aca="false">IFERROR(IF($C29="","",IF($D29="","",IFERROR(ROUND($D29*INDEX('🔖 배합비 참조'!$B$2:$CE$83,MATCH("자색고구마가루(중국산)",'🔖 배합비 참조'!$A$2:$A$83,0),MATCH($C29,'🔖 배합비 참조'!$B$1:$CE$1,0))/100,0),""))),"")</f>
        <v>0</v>
      </c>
      <c r="BM29" s="39" t="n">
        <f aca="false">IFERROR(IF($C29="","",IF($D29="","",IFERROR(ROUND($D29*INDEX('🔖 배합비 참조'!$B$2:$CE$83,MATCH("자연치즈(체다치즈)",'🔖 배합비 참조'!$A$2:$A$83,0),MATCH($C29,'🔖 배합비 참조'!$B$1:$CE$1,0))/100,0),""))),"")</f>
        <v>0</v>
      </c>
      <c r="BN29" s="39" t="n">
        <f aca="false">IFERROR(IF($C29="","",IF($D29="","",IFERROR(ROUND($D29*INDEX('🔖 배합비 참조'!$B$2:$CE$83,MATCH("정제수",'🔖 배합비 참조'!$A$2:$A$83,0),MATCH($C29,'🔖 배합비 참조'!$B$1:$CE$1,0))/100,0),""))),"")</f>
        <v>27</v>
      </c>
      <c r="BO29" s="39" t="n">
        <f aca="false">IFERROR(IF($C29="","",IF($D29="","",IFERROR(ROUND($D29*INDEX('🔖 배합비 참조'!$B$2:$CE$83,MATCH("젤라틴",'🔖 배합비 참조'!$A$2:$A$83,0),MATCH($C29,'🔖 배합비 참조'!$B$1:$CE$1,0))/100,0),""))),"")</f>
        <v>0</v>
      </c>
      <c r="BP29" s="39" t="n">
        <f aca="false">IFERROR(IF($C29="","",IF($D29="","",IFERROR(ROUND($D29*INDEX('🔖 배합비 참조'!$B$2:$CE$83,MATCH("조림류(백옥앙금)",'🔖 배합비 참조'!$A$2:$A$83,0),MATCH($C29,'🔖 배합비 참조'!$B$1:$CE$1,0))/100,0),""))),"")</f>
        <v>0</v>
      </c>
      <c r="BQ29" s="39" t="n">
        <f aca="false">IFERROR(IF($C29="","",IF($D29="","",IFERROR(ROUND($D29*INDEX('🔖 배합비 참조'!$B$2:$CE$83,MATCH("조림류(통팥앙금)",'🔖 배합비 참조'!$A$2:$A$83,0),MATCH($C29,'🔖 배합비 참조'!$B$1:$CE$1,0))/100,0),""))),"")</f>
        <v>0</v>
      </c>
      <c r="BR29" s="39" t="n">
        <f aca="false">IFERROR(IF($C29="","",IF($D29="","",IFERROR(ROUND($D29*INDEX('🔖 배합비 참조'!$B$2:$CE$83,MATCH("준초콜릿(외국산)",'🔖 배합비 참조'!$A$2:$A$83,0),MATCH($C29,'🔖 배합비 참조'!$B$1:$CE$1,0))/100,0),""))),"")</f>
        <v>0</v>
      </c>
      <c r="BS29" s="39" t="n">
        <f aca="false">IFERROR(IF($C29="","",IF($D29="","",IFERROR(ROUND($D29*INDEX('🔖 배합비 참조'!$B$2:$CE$83,MATCH("중력분",'🔖 배합비 참조'!$A$2:$A$83,0),MATCH($C29,'🔖 배합비 참조'!$B$1:$CE$1,0))/100,0),""))),"")</f>
        <v>1</v>
      </c>
      <c r="BT29" s="39" t="n">
        <f aca="false">IFERROR(IF($C29="","",IF($D29="","",IFERROR(ROUND($D29*INDEX('🔖 배합비 참조'!$B$2:$CE$83,MATCH("참깨(인도산,나이지리아산,탄자니아산,미얀마산)",'🔖 배합비 참조'!$A$2:$A$83,0),MATCH($C29,'🔖 배합비 참조'!$B$1:$CE$1,0))/100,0),""))),"")</f>
        <v>0</v>
      </c>
      <c r="BU29" s="39" t="n">
        <f aca="false">IFERROR(IF($C29="","",IF($D29="","",IFERROR(ROUND($D29*INDEX('🔖 배합비 참조'!$B$2:$CE$83,MATCH("찹쌀(국내산)",'🔖 배합비 참조'!$A$2:$A$83,0),MATCH($C29,'🔖 배합비 참조'!$B$1:$CE$1,0))/100,0),""))),"")</f>
        <v>33</v>
      </c>
      <c r="BV29" s="39" t="n">
        <f aca="false">IFERROR(IF($C29="","",IF($D29="","",IFERROR(ROUND($D29*INDEX('🔖 배합비 참조'!$B$2:$CE$83,MATCH("천일염",'🔖 배합비 참조'!$A$2:$A$83,0),MATCH($C29,'🔖 배합비 참조'!$B$1:$CE$1,0))/100,0),""))),"")</f>
        <v>1</v>
      </c>
      <c r="BW29" s="39" t="n">
        <f aca="false">IFERROR(IF($C29="","",IF($D29="","",IFERROR(ROUND($D29*INDEX('🔖 배합비 참조'!$B$2:$CE$83,MATCH("치즈 [크림치즈]",'🔖 배합비 참조'!$A$2:$A$83,0),MATCH($C29,'🔖 배합비 참조'!$B$1:$CE$1,0))/100,0),""))),"")</f>
        <v>0</v>
      </c>
      <c r="BX29" s="39" t="n">
        <f aca="false">IFERROR(IF($C29="","",IF($D29="","",IFERROR(ROUND($D29*INDEX('🔖 배합비 참조'!$B$2:$CE$83,MATCH("코코아가공품류(코코아분말)",'🔖 배합비 참조'!$A$2:$A$83,0),MATCH($C29,'🔖 배합비 참조'!$B$1:$CE$1,0))/100,0),""))),"")</f>
        <v>0</v>
      </c>
      <c r="BY29" s="39" t="n">
        <f aca="false">IFERROR(IF($C29="","",IF($D29="","",IFERROR(ROUND($D29*INDEX('🔖 배합비 참조'!$B$2:$CE$83,MATCH("콩기름(대두유)",'🔖 배합비 참조'!$A$2:$A$83,0),MATCH($C29,'🔖 배합비 참조'!$B$1:$CE$1,0))/100,0),""))),"")</f>
        <v>0</v>
      </c>
      <c r="BZ29" s="39" t="n">
        <f aca="false">IFERROR(IF($C29="","",IF($D29="","",IFERROR(ROUND($D29*INDEX('🔖 배합비 참조'!$B$2:$CE$83,MATCH("해바라기씨앗",'🔖 배합비 참조'!$A$2:$A$83,0),MATCH($C29,'🔖 배합비 참조'!$B$1:$CE$1,0))/100,0),""))),"")</f>
        <v>0</v>
      </c>
      <c r="CA29" s="39" t="n">
        <f aca="false">IFERROR(IF($C29="","",IF($D29="","",IFERROR(ROUND($D29*INDEX('🔖 배합비 참조'!$B$2:$CE$83,MATCH("현미(국내산)",'🔖 배합비 참조'!$A$2:$A$83,0),MATCH($C29,'🔖 배합비 참조'!$B$1:$CE$1,0))/100,0),""))),"")</f>
        <v>0</v>
      </c>
      <c r="CB29" s="39" t="n">
        <f aca="false">IFERROR(IF($C29="","",IF($D29="","",IFERROR(ROUND($D29*INDEX('🔖 배합비 참조'!$B$2:$CE$83,MATCH("현미멥쌀(국내산)",'🔖 배합비 참조'!$A$2:$A$83,0),MATCH($C29,'🔖 배합비 참조'!$B$1:$CE$1,0))/100,0),""))),"")</f>
        <v>0</v>
      </c>
      <c r="CC29" s="39" t="n">
        <f aca="false">IFERROR(IF($C29="","",IF($D29="","",IFERROR(ROUND($D29*INDEX('🔖 배합비 참조'!$B$2:$CE$83,MATCH("호두분태(미국산)",'🔖 배합비 참조'!$A$2:$A$83,0),MATCH($C29,'🔖 배합비 참조'!$B$1:$CE$1,0))/100,0),""))),"")</f>
        <v>0</v>
      </c>
      <c r="CD29" s="39" t="n">
        <f aca="false">IFERROR(IF($C29="","",IF($D29="","",IFERROR(ROUND($D29*INDEX('🔖 배합비 참조'!$B$2:$CE$83,MATCH("호박씨앗(외국산)",'🔖 배합비 참조'!$A$2:$A$83,0),MATCH($C29,'🔖 배합비 참조'!$B$1:$CE$1,0))/100,0),""))),"")</f>
        <v>0</v>
      </c>
      <c r="CE29" s="39" t="n">
        <f aca="false">IFERROR(IF($C29="","",IF($D29="","",IFERROR(ROUND($D29*INDEX('🔖 배합비 참조'!$B$2:$CE$83,MATCH("혼합제제(떡용에스텔)",'🔖 배합비 참조'!$A$2:$A$83,0),MATCH($C29,'🔖 배합비 참조'!$B$1:$CE$1,0))/100,0),""))),"")</f>
        <v>0</v>
      </c>
      <c r="CF29" s="39" t="n">
        <f aca="false">IFERROR(IF($C29="","",IF($D29="","",IFERROR(ROUND($D29*INDEX('🔖 배합비 참조'!$B$2:$CE$83,MATCH("혼합제제(스테비아)",'🔖 배합비 참조'!$A$2:$A$83,0),MATCH($C29,'🔖 배합비 참조'!$B$1:$CE$1,0))/100,0),""))),"")</f>
        <v>0</v>
      </c>
      <c r="CG29" s="39" t="n">
        <f aca="false">IFERROR(IF($C29="","",IF($D29="","",IFERROR(ROUND($D29*INDEX('🔖 배합비 참조'!$B$2:$CE$83,MATCH("화이트초콜릿",'🔖 배합비 참조'!$A$2:$A$83,0),MATCH($C29,'🔖 배합비 참조'!$B$1:$CE$1,0))/100,0),""))),"")</f>
        <v>0</v>
      </c>
      <c r="CH29" s="39" t="n">
        <f aca="false">IFERROR(IF($C29="","",IF($D29="","",IFERROR(ROUND($D29*INDEX('🔖 배합비 참조'!$B$2:$CE$83,MATCH("흑미찹쌀(국내산)",'🔖 배합비 참조'!$A$2:$A$83,0),MATCH($C29,'🔖 배합비 참조'!$B$1:$CE$1,0))/100,0),""))),"")</f>
        <v>0</v>
      </c>
      <c r="CI29" s="39" t="n">
        <f aca="false">IFERROR(IF($C29="","",IF($D29="","",IFERROR(ROUND($D29*INDEX('🔖 배합비 참조'!$B$2:$CE$83,MATCH("찰옥수수전분(미국산)",'🔖 배합비 참조'!$A$2:$A$83,0),MATCH($C29,'🔖 배합비 참조'!$B$1:$CE$1,0))/100,0),""))),"")</f>
        <v>0</v>
      </c>
      <c r="CJ29" s="40"/>
      <c r="CL29" s="1" t="s">
        <v>235</v>
      </c>
    </row>
    <row r="30" customFormat="false" ht="18" hidden="false" customHeight="true" outlineLevel="0" collapsed="false">
      <c r="A30" s="41" t="n">
        <v>26</v>
      </c>
      <c r="B30" s="36" t="n">
        <v>45957</v>
      </c>
      <c r="C30" s="37" t="s">
        <v>183</v>
      </c>
      <c r="D30" s="38" t="n">
        <v>420</v>
      </c>
      <c r="E30" s="17"/>
      <c r="F30" s="17"/>
      <c r="G30" s="42" t="n">
        <f aca="false">IFERROR(IF($C30="","",IF($D30="","",IFERROR(ROUND($D30*INDEX('🔖 배합비 참조'!$B$2:$CE$83,MATCH("간장",'🔖 배합비 참조'!$A$2:$A$83,0),MATCH($C30,'🔖 배합비 참조'!$B$1:$CE$1,0))/100,0),""))),"")</f>
        <v>0</v>
      </c>
      <c r="H30" s="42" t="n">
        <f aca="false">IFERROR(IF($C30="","",IF($D30="","",IFERROR(ROUND($D30*INDEX('🔖 배합비 참조'!$B$2:$CE$83,MATCH("강낭콩((울타리콩))",'🔖 배합비 참조'!$A$2:$A$83,0),MATCH($C30,'🔖 배합비 참조'!$B$1:$CE$1,0))/100,0),""))),"")</f>
        <v>0</v>
      </c>
      <c r="I30" s="42" t="n">
        <f aca="false">IFERROR(IF($C30="","",IF($D30="","",IFERROR(ROUND($D30*INDEX('🔖 배합비 참조'!$B$2:$CE$83,MATCH("건조딸기다이스(외국산)",'🔖 배합비 참조'!$A$2:$A$83,0),MATCH($C30,'🔖 배합비 참조'!$B$1:$CE$1,0))/100,0),""))),"")</f>
        <v>0</v>
      </c>
      <c r="J30" s="42" t="n">
        <f aca="false">IFERROR(IF($C30="","",IF($D30="","",IFERROR(ROUND($D30*INDEX('🔖 배합비 참조'!$B$2:$CE$83,MATCH("건포도",'🔖 배합비 참조'!$A$2:$A$83,0),MATCH($C30,'🔖 배합비 참조'!$B$1:$CE$1,0))/100,0),""))),"")</f>
        <v>0</v>
      </c>
      <c r="K30" s="42" t="n">
        <f aca="false">IFERROR(IF($C30="","",IF($D30="","",IFERROR(ROUND($D30*INDEX('🔖 배합비 참조'!$B$2:$CE$83,MATCH("건호박채(중국산)",'🔖 배합비 참조'!$A$2:$A$83,0),MATCH($C30,'🔖 배합비 참조'!$B$1:$CE$1,0))/100,0),""))),"")</f>
        <v>0</v>
      </c>
      <c r="L30" s="42" t="n">
        <f aca="false">IFERROR(IF($C30="","",IF($D30="","",IFERROR(ROUND($D30*INDEX('🔖 배합비 참조'!$B$2:$CE$83,MATCH("검정깨(흑임자)",'🔖 배합비 참조'!$A$2:$A$83,0),MATCH($C30,'🔖 배합비 참조'!$B$1:$CE$1,0))/100,0),""))),"")</f>
        <v>0</v>
      </c>
      <c r="M30" s="42" t="n">
        <f aca="false">IFERROR(IF($C30="","",IF($D30="","",IFERROR(ROUND($D30*INDEX('🔖 배합비 참조'!$B$2:$CE$83,MATCH("검정콩",'🔖 배합비 참조'!$A$2:$A$83,0),MATCH($C30,'🔖 배합비 참조'!$B$1:$CE$1,0))/100,0),""))),"")</f>
        <v>0</v>
      </c>
      <c r="N30" s="42" t="n">
        <f aca="false">IFERROR(IF($C30="","",IF($D30="","",IFERROR(ROUND($D30*INDEX('🔖 배합비 참조'!$B$2:$CE$83,MATCH("계피가루",'🔖 배합비 참조'!$A$2:$A$83,0),MATCH($C30,'🔖 배합비 참조'!$B$1:$CE$1,0))/100,0),""))),"")</f>
        <v>0</v>
      </c>
      <c r="O30" s="42" t="n">
        <f aca="false">IFERROR(IF($C30="","",IF($D30="","",IFERROR(ROUND($D30*INDEX('🔖 배합비 참조'!$B$2:$CE$83,MATCH("고구마가루",'🔖 배합비 참조'!$A$2:$A$83,0),MATCH($C30,'🔖 배합비 참조'!$B$1:$CE$1,0))/100,0),""))),"")</f>
        <v>0</v>
      </c>
      <c r="P30" s="42" t="n">
        <f aca="false">IFERROR(IF($C30="","",IF($D30="","",IFERROR(ROUND($D30*INDEX('🔖 배합비 참조'!$B$2:$CE$83,MATCH("고구마무스",'🔖 배합비 참조'!$A$2:$A$83,0),MATCH($C30,'🔖 배합비 참조'!$B$1:$CE$1,0))/100,0),""))),"")</f>
        <v>0</v>
      </c>
      <c r="Q30" s="42" t="n">
        <f aca="false">IFERROR(IF($C30="","",IF($D30="","",IFERROR(ROUND($D30*INDEX('🔖 배합비 참조'!$B$2:$CE$83,MATCH("고려엉겅퀴((곤드레)국내산)",'🔖 배합비 참조'!$A$2:$A$83,0),MATCH($C30,'🔖 배합비 참조'!$B$1:$CE$1,0))/100,0),""))),"")</f>
        <v>0</v>
      </c>
      <c r="R30" s="42" t="n">
        <f aca="false">IFERROR(IF($C30="","",IF($D30="","",IFERROR(ROUND($D30*INDEX('🔖 배합비 참조'!$B$2:$CE$83,MATCH("기타가공품(복분자가루)",'🔖 배합비 참조'!$A$2:$A$83,0),MATCH($C30,'🔖 배합비 참조'!$B$1:$CE$1,0))/100,0),""))),"")</f>
        <v>0</v>
      </c>
      <c r="S30" s="42" t="n">
        <f aca="false">IFERROR(IF($C30="","",IF($D30="","",IFERROR(ROUND($D30*INDEX('🔖 배합비 참조'!$B$2:$CE$83,MATCH("기타가공품(슈퍼소프트엠)",'🔖 배합비 참조'!$A$2:$A$83,0),MATCH($C30,'🔖 배합비 참조'!$B$1:$CE$1,0))/100,0),""))),"")</f>
        <v>0</v>
      </c>
      <c r="T30" s="42" t="n">
        <f aca="false">IFERROR(IF($C30="","",IF($D30="","",IFERROR(ROUND($D30*INDEX('🔖 배합비 참조'!$B$2:$CE$83,MATCH("기타가공품(파인소프트 E-티)",'🔖 배합비 참조'!$A$2:$A$83,0),MATCH($C30,'🔖 배합비 참조'!$B$1:$CE$1,0))/100,0),""))),"")</f>
        <v>0</v>
      </c>
      <c r="U30" s="42" t="n">
        <f aca="false">IFERROR(IF($C30="","",IF($D30="","",IFERROR(ROUND($D30*INDEX('🔖 배합비 참조'!$B$2:$CE$83,MATCH("기타가공품(프리미엄카스테라가루)",'🔖 배합비 참조'!$A$2:$A$83,0),MATCH($C30,'🔖 배합비 참조'!$B$1:$CE$1,0))/100,0),""))),"")</f>
        <v>0</v>
      </c>
      <c r="V30" s="42" t="n">
        <f aca="false">IFERROR(IF($C30="","",IF($D30="","",IFERROR(ROUND($D30*INDEX('🔖 배합비 참조'!$B$2:$CE$83,MATCH("기타가공품(흑임자가루)",'🔖 배합비 참조'!$A$2:$A$83,0),MATCH($C30,'🔖 배합비 참조'!$B$1:$CE$1,0))/100,0),""))),"")</f>
        <v>0</v>
      </c>
      <c r="W30" s="42" t="n">
        <f aca="false">IFERROR(IF($C30="","",IF($D30="","",IFERROR(ROUND($D30*INDEX('🔖 배합비 참조'!$B$2:$CE$83,MATCH("기타설탕(흑설탕)",'🔖 배합비 참조'!$A$2:$A$83,0),MATCH($C30,'🔖 배합비 참조'!$B$1:$CE$1,0))/100,0),""))),"")</f>
        <v>0</v>
      </c>
      <c r="X30" s="42" t="n">
        <f aca="false">IFERROR(IF($C30="","",IF($D30="","",IFERROR(ROUND($D30*INDEX('🔖 배합비 참조'!$B$2:$CE$83,MATCH("냉동쑥(국내산)",'🔖 배합비 참조'!$A$2:$A$83,0),MATCH($C30,'🔖 배합비 참조'!$B$1:$CE$1,0))/100,0),""))),"")</f>
        <v>0</v>
      </c>
      <c r="Y30" s="42" t="n">
        <f aca="false">IFERROR(IF($C30="","",IF($D30="","",IFERROR(ROUND($D30*INDEX('🔖 배합비 참조'!$B$2:$CE$83,MATCH("냉동증숙고구마(중국산)",'🔖 배합비 참조'!$A$2:$A$83,0),MATCH($C30,'🔖 배합비 참조'!$B$1:$CE$1,0))/100,0),""))),"")</f>
        <v>0</v>
      </c>
      <c r="Z30" s="42" t="n">
        <f aca="false">IFERROR(IF($C30="","",IF($D30="","",IFERROR(ROUND($D30*INDEX('🔖 배합비 참조'!$B$2:$CE$83,MATCH("녹차가루",'🔖 배합비 참조'!$A$2:$A$83,0),MATCH($C30,'🔖 배합비 참조'!$B$1:$CE$1,0))/100,0),""))),"")</f>
        <v>0</v>
      </c>
      <c r="AA30" s="42" t="n">
        <f aca="false">IFERROR(IF($C30="","",IF($D30="","",IFERROR(ROUND($D30*INDEX('🔖 배합비 참조'!$B$2:$CE$83,MATCH("다크초콜릿 컴파운드칩",'🔖 배합비 참조'!$A$2:$A$83,0),MATCH($C30,'🔖 배합비 참조'!$B$1:$CE$1,0))/100,0),""))),"")</f>
        <v>0</v>
      </c>
      <c r="AB30" s="42" t="n">
        <f aca="false">IFERROR(IF($C30="","",IF($D30="","",IFERROR(ROUND($D30*INDEX('🔖 배합비 참조'!$B$2:$CE$83,MATCH("단호박분말(중국산)",'🔖 배합비 참조'!$A$2:$A$83,0),MATCH($C30,'🔖 배합비 참조'!$B$1:$CE$1,0))/100,0),""))),"")</f>
        <v>0</v>
      </c>
      <c r="AC30" s="42" t="n">
        <f aca="false">IFERROR(IF($C30="","",IF($D30="","",IFERROR(ROUND($D30*INDEX('🔖 배합비 참조'!$B$2:$CE$83,MATCH("당류가공품(단호박농축액)",'🔖 배합비 참조'!$A$2:$A$83,0),MATCH($C30,'🔖 배합비 참조'!$B$1:$CE$1,0))/100,0),""))),"")</f>
        <v>0</v>
      </c>
      <c r="AD30" s="42" t="n">
        <f aca="false">IFERROR(IF($C30="","",IF($D30="","",IFERROR(ROUND($D30*INDEX('🔖 배합비 참조'!$B$2:$CE$83,MATCH("당류가공품(알룰로스,에리스리톨,스테비올배당체혼합)",'🔖 배합비 참조'!$A$2:$A$83,0),MATCH($C30,'🔖 배합비 참조'!$B$1:$CE$1,0))/100,0),""))),"")</f>
        <v>0</v>
      </c>
      <c r="AE30" s="42" t="n">
        <f aca="false">IFERROR(IF($C30="","",IF($D30="","",IFERROR(ROUND($D30*INDEX('🔖 배합비 참조'!$B$2:$CE$83,MATCH("당류가공품(알룰로스제로파우더)",'🔖 배합비 참조'!$A$2:$A$83,0),MATCH($C30,'🔖 배합비 참조'!$B$1:$CE$1,0))/100,0),""))),"")</f>
        <v>0</v>
      </c>
      <c r="AF30" s="42" t="n">
        <f aca="false">IFERROR(IF($C30="","",IF($D30="","",IFERROR(ROUND($D30*INDEX('🔖 배합비 참조'!$B$2:$CE$83,MATCH("당절임(완두배기)",'🔖 배합비 참조'!$A$2:$A$83,0),MATCH($C30,'🔖 배합비 참조'!$B$1:$CE$1,0))/100,0),""))),"")</f>
        <v>0</v>
      </c>
      <c r="AG30" s="42" t="n">
        <f aca="false">IFERROR(IF($C30="","",IF($D30="","",IFERROR(ROUND($D30*INDEX('🔖 배합비 참조'!$B$2:$CE$83,MATCH("대추농축액",'🔖 배합비 참조'!$A$2:$A$83,0),MATCH($C30,'🔖 배합비 참조'!$B$1:$CE$1,0))/100,0),""))),"")</f>
        <v>0</v>
      </c>
      <c r="AH30" s="42" t="n">
        <f aca="false">IFERROR(IF($C30="","",IF($D30="","",IFERROR(ROUND($D30*INDEX('🔖 배합비 참조'!$B$2:$CE$83,MATCH("대추채(국내산)",'🔖 배합비 참조'!$A$2:$A$83,0),MATCH($C30,'🔖 배합비 참조'!$B$1:$CE$1,0))/100,0),""))),"")</f>
        <v>0</v>
      </c>
      <c r="AI30" s="42" t="n">
        <f aca="false">IFERROR(IF($C30="","",IF($D30="","",IFERROR(ROUND($D30*INDEX('🔖 배합비 참조'!$B$2:$CE$83,MATCH("동부(미얀마산)",'🔖 배합비 참조'!$A$2:$A$83,0),MATCH($C30,'🔖 배합비 참조'!$B$1:$CE$1,0))/100,0),""))),"")</f>
        <v>0</v>
      </c>
      <c r="AJ30" s="42" t="n">
        <f aca="false">IFERROR(IF($C30="","",IF($D30="","",IFERROR(ROUND($D30*INDEX('🔖 배합비 참조'!$B$2:$CE$83,MATCH("두류가공품(백옥앙금)",'🔖 배합비 참조'!$A$2:$A$83,0),MATCH($C30,'🔖 배합비 참조'!$B$1:$CE$1,0))/100,0),""))),"")</f>
        <v>0</v>
      </c>
      <c r="AK30" s="42" t="n">
        <f aca="false">IFERROR(IF($C30="","",IF($D30="","",IFERROR(ROUND($D30*INDEX('🔖 배합비 참조'!$B$2:$CE$83,MATCH("두류가공품(콩고물)",'🔖 배합비 참조'!$A$2:$A$83,0),MATCH($C30,'🔖 배합비 참조'!$B$1:$CE$1,0))/100,0),""))),"")</f>
        <v>0</v>
      </c>
      <c r="AL30" s="42" t="n">
        <f aca="false">IFERROR(IF($C30="","",IF($D30="","",IFERROR(ROUND($D30*INDEX('🔖 배합비 참조'!$B$2:$CE$83,MATCH("두류가공품(통팥고물)",'🔖 배합비 참조'!$A$2:$A$83,0),MATCH($C30,'🔖 배합비 참조'!$B$1:$CE$1,0))/100,0),""))),"")</f>
        <v>0</v>
      </c>
      <c r="AM30" s="42" t="n">
        <f aca="false">IFERROR(IF($C30="","",IF($D30="","",IFERROR(ROUND($D30*INDEX('🔖 배합비 참조'!$B$2:$CE$83,MATCH("딸기레진",'🔖 배합비 참조'!$A$2:$A$83,0),MATCH($C30,'🔖 배합비 참조'!$B$1:$CE$1,0))/100,0),""))),"")</f>
        <v>0</v>
      </c>
      <c r="AN30" s="42" t="n">
        <f aca="false">IFERROR(IF($C30="","",IF($D30="","",IFERROR(ROUND($D30*INDEX('🔖 배합비 참조'!$B$2:$CE$83,MATCH("딸기분말(스트로우베리에이드(분말))",'🔖 배합비 참조'!$A$2:$A$83,0),MATCH($C30,'🔖 배합비 참조'!$B$1:$CE$1,0))/100,0),""))),"")</f>
        <v>0</v>
      </c>
      <c r="AO30" s="42" t="n">
        <f aca="false">IFERROR(IF($C30="","",IF($D30="","",IFERROR(ROUND($D30*INDEX('🔖 배합비 참조'!$B$2:$CE$83,MATCH("마스카포네치즈",'🔖 배합비 참조'!$A$2:$A$83,0),MATCH($C30,'🔖 배합비 참조'!$B$1:$CE$1,0))/100,0),""))),"")</f>
        <v>0</v>
      </c>
      <c r="AP30" s="42" t="n">
        <f aca="false">IFERROR(IF($C30="","",IF($D30="","",IFERROR(ROUND($D30*INDEX('🔖 배합비 참조'!$B$2:$CE$83,MATCH("마카다미아분태(호주산)",'🔖 배합비 참조'!$A$2:$A$83,0),MATCH($C30,'🔖 배합비 참조'!$B$1:$CE$1,0))/100,0),""))),"")</f>
        <v>0</v>
      </c>
      <c r="AQ30" s="42" t="n">
        <f aca="false">IFERROR(IF($C30="","",IF($D30="","",IFERROR(ROUND($D30*INDEX('🔖 배합비 참조'!$B$2:$CE$83,MATCH("멥쌀(국내산)",'🔖 배합비 참조'!$A$2:$A$83,0),MATCH($C30,'🔖 배합비 참조'!$B$1:$CE$1,0))/100,0),""))),"")</f>
        <v>0</v>
      </c>
      <c r="AR30" s="42" t="n">
        <f aca="false">IFERROR(IF($C30="","",IF($D30="","",IFERROR(ROUND($D30*INDEX('🔖 배합비 참조'!$B$2:$CE$83,MATCH("모시잎(국내산)",'🔖 배합비 참조'!$A$2:$A$83,0),MATCH($C30,'🔖 배합비 참조'!$B$1:$CE$1,0))/100,0),""))),"")</f>
        <v>0</v>
      </c>
      <c r="AS30" s="42" t="n">
        <f aca="false">IFERROR(IF($C30="","",IF($D30="","",IFERROR(ROUND($D30*INDEX('🔖 배합비 참조'!$B$2:$CE$83,MATCH("물엿(저당물엿)",'🔖 배합비 참조'!$A$2:$A$83,0),MATCH($C30,'🔖 배합비 참조'!$B$1:$CE$1,0))/100,0),""))),"")</f>
        <v>10</v>
      </c>
      <c r="AT30" s="42" t="n">
        <f aca="false">IFERROR(IF($C30="","",IF($D30="","",IFERROR(ROUND($D30*INDEX('🔖 배합비 참조'!$B$2:$CE$83,MATCH("밤다이스",'🔖 배합비 참조'!$A$2:$A$83,0),MATCH($C30,'🔖 배합비 참조'!$B$1:$CE$1,0))/100,0),""))),"")</f>
        <v>0</v>
      </c>
      <c r="AU30" s="42" t="n">
        <f aca="false">IFERROR(IF($C30="","",IF($D30="","",IFERROR(ROUND($D30*INDEX('🔖 배합비 참조'!$B$2:$CE$83,MATCH("변성전분(타피오카전분)",'🔖 배합비 참조'!$A$2:$A$83,0),MATCH($C30,'🔖 배합비 참조'!$B$1:$CE$1,0))/100,0),""))),"")</f>
        <v>0</v>
      </c>
      <c r="AV30" s="42" t="n">
        <f aca="false">IFERROR(IF($C30="","",IF($D30="","",IFERROR(ROUND($D30*INDEX('🔖 배합비 참조'!$B$2:$CE$83,MATCH("복음땅콩분태",'🔖 배합비 참조'!$A$2:$A$83,0),MATCH($C30,'🔖 배합비 참조'!$B$1:$CE$1,0))/100,0),""))),"")</f>
        <v>0</v>
      </c>
      <c r="AW30" s="42" t="n">
        <f aca="false">IFERROR(IF($C30="","",IF($D30="","",IFERROR(ROUND($D30*INDEX('🔖 배합비 참조'!$B$2:$CE$83,MATCH("사양벌꿀(국내산)",'🔖 배합비 참조'!$A$2:$A$83,0),MATCH($C30,'🔖 배합비 참조'!$B$1:$CE$1,0))/100,0),""))),"")</f>
        <v>0</v>
      </c>
      <c r="AX30" s="42" t="n">
        <f aca="false">IFERROR(IF($C30="","",IF($D30="","",IFERROR(ROUND($D30*INDEX('🔖 배합비 참조'!$B$2:$CE$83,MATCH("생크림",'🔖 배합비 참조'!$A$2:$A$83,0),MATCH($C30,'🔖 배합비 참조'!$B$1:$CE$1,0))/100,0),""))),"")</f>
        <v>0</v>
      </c>
      <c r="AY30" s="42" t="n">
        <f aca="false">IFERROR(IF($C30="","",IF($D30="","",IFERROR(ROUND($D30*INDEX('🔖 배합비 참조'!$B$2:$CE$83,MATCH("서양호박(국내산,뉴질랜드산)",'🔖 배합비 참조'!$A$2:$A$83,0),MATCH($C30,'🔖 배합비 참조'!$B$1:$CE$1,0))/100,0),""))),"")</f>
        <v>0</v>
      </c>
      <c r="AZ30" s="42" t="n">
        <f aca="false">IFERROR(IF($C30="","",IF($D30="","",IFERROR(ROUND($D30*INDEX('🔖 배합비 참조'!$B$2:$CE$83,MATCH("설탕",'🔖 배합비 참조'!$A$2:$A$83,0),MATCH($C30,'🔖 배합비 참조'!$B$1:$CE$1,0))/100,0),""))),"")</f>
        <v>10</v>
      </c>
      <c r="BA30" s="42" t="n">
        <f aca="false">IFERROR(IF($C30="","",IF($D30="","",IFERROR(ROUND($D30*INDEX('🔖 배합비 참조'!$B$2:$CE$83,MATCH("스트로우베리 에이드 후레쉬",'🔖 배합비 참조'!$A$2:$A$83,0),MATCH($C30,'🔖 배합비 참조'!$B$1:$CE$1,0))/100,0),""))),"")</f>
        <v>0</v>
      </c>
      <c r="BB30" s="42" t="n">
        <f aca="false">IFERROR(IF($C30="","",IF($D30="","",IFERROR(ROUND($D30*INDEX('🔖 배합비 참조'!$B$2:$CE$83,MATCH("식물성기름혼합제제(분홍)",'🔖 배합비 참조'!$A$2:$A$83,0),MATCH($C30,'🔖 배합비 참조'!$B$1:$CE$1,0))/100,0),""))),"")</f>
        <v>0</v>
      </c>
      <c r="BC30" s="42" t="n">
        <f aca="false">IFERROR(IF($C30="","",IF($D30="","",IFERROR(ROUND($D30*INDEX('🔖 배합비 참조'!$B$2:$CE$83,MATCH("식물성기름혼합제제(초록)",'🔖 배합비 참조'!$A$2:$A$83,0),MATCH($C30,'🔖 배합비 참조'!$B$1:$CE$1,0))/100,0),""))),"")</f>
        <v>0</v>
      </c>
      <c r="BD30" s="42" t="n">
        <f aca="false">IFERROR(IF($C30="","",IF($D30="","",IFERROR(ROUND($D30*INDEX('🔖 배합비 참조'!$B$2:$CE$83,MATCH("식물성기름혼합제제(황색)",'🔖 배합비 참조'!$A$2:$A$83,0),MATCH($C30,'🔖 배합비 참조'!$B$1:$CE$1,0))/100,0),""))),"")</f>
        <v>0</v>
      </c>
      <c r="BE30" s="42" t="n">
        <f aca="false">IFERROR(IF($C30="","",IF($D30="","",IFERROR(ROUND($D30*INDEX('🔖 배합비 참조'!$B$2:$CE$83,MATCH("쑥가루(국내산)",'🔖 배합비 참조'!$A$2:$A$83,0),MATCH($C30,'🔖 배합비 참조'!$B$1:$CE$1,0))/100,0),""))),"")</f>
        <v>0</v>
      </c>
      <c r="BF30" s="42" t="n">
        <f aca="false">IFERROR(IF($C30="","",IF($D30="","",IFERROR(ROUND($D30*INDEX('🔖 배합비 참조'!$B$2:$CE$83,MATCH("아몬드슬라이스",'🔖 배합비 참조'!$A$2:$A$83,0),MATCH($C30,'🔖 배합비 참조'!$B$1:$CE$1,0))/100,0),""))),"")</f>
        <v>0</v>
      </c>
      <c r="BG30" s="42" t="n">
        <f aca="false">IFERROR(IF($C30="","",IF($D30="","",IFERROR(ROUND($D30*INDEX('🔖 배합비 참조'!$B$2:$CE$83,MATCH("알룰로오스(국내산)",'🔖 배합비 참조'!$A$2:$A$83,0),MATCH($C30,'🔖 배합비 참조'!$B$1:$CE$1,0))/100,0),""))),"")</f>
        <v>0</v>
      </c>
      <c r="BH30" s="42" t="n">
        <f aca="false">IFERROR(IF($C30="","",IF($D30="","",IFERROR(ROUND($D30*INDEX('🔖 배합비 참조'!$B$2:$CE$83,MATCH("연유",'🔖 배합비 참조'!$A$2:$A$83,0),MATCH($C30,'🔖 배합비 참조'!$B$1:$CE$1,0))/100,0),""))),"")</f>
        <v>0</v>
      </c>
      <c r="BI30" s="42" t="n">
        <f aca="false">IFERROR(IF($C30="","",IF($D30="","",IFERROR(ROUND($D30*INDEX('🔖 배합비 참조'!$B$2:$CE$83,MATCH("옥수수전분",'🔖 배합비 참조'!$A$2:$A$83,0),MATCH($C30,'🔖 배합비 참조'!$B$1:$CE$1,0))/100,0),""))),"")</f>
        <v>5</v>
      </c>
      <c r="BJ30" s="42" t="n">
        <f aca="false">IFERROR(IF($C30="","",IF($D30="","",IFERROR(ROUND($D30*INDEX('🔖 배합비 참조'!$B$2:$CE$83,MATCH("완두배기",'🔖 배합비 참조'!$A$2:$A$83,0),MATCH($C30,'🔖 배합비 참조'!$B$1:$CE$1,0))/100,0),""))),"")</f>
        <v>0</v>
      </c>
      <c r="BK30" s="42" t="n">
        <f aca="false">IFERROR(IF($C30="","",IF($D30="","",IFERROR(ROUND($D30*INDEX('🔖 배합비 참조'!$B$2:$CE$83,MATCH("우유(국내산)",'🔖 배합비 참조'!$A$2:$A$83,0),MATCH($C30,'🔖 배합비 참조'!$B$1:$CE$1,0))/100,0),""))),"")</f>
        <v>0</v>
      </c>
      <c r="BL30" s="42" t="n">
        <f aca="false">IFERROR(IF($C30="","",IF($D30="","",IFERROR(ROUND($D30*INDEX('🔖 배합비 참조'!$B$2:$CE$83,MATCH("자색고구마가루(중국산)",'🔖 배합비 참조'!$A$2:$A$83,0),MATCH($C30,'🔖 배합비 참조'!$B$1:$CE$1,0))/100,0),""))),"")</f>
        <v>0</v>
      </c>
      <c r="BM30" s="42" t="n">
        <f aca="false">IFERROR(IF($C30="","",IF($D30="","",IFERROR(ROUND($D30*INDEX('🔖 배합비 참조'!$B$2:$CE$83,MATCH("자연치즈(체다치즈)",'🔖 배합비 참조'!$A$2:$A$83,0),MATCH($C30,'🔖 배합비 참조'!$B$1:$CE$1,0))/100,0),""))),"")</f>
        <v>0</v>
      </c>
      <c r="BN30" s="42" t="n">
        <f aca="false">IFERROR(IF($C30="","",IF($D30="","",IFERROR(ROUND($D30*INDEX('🔖 배합비 참조'!$B$2:$CE$83,MATCH("정제수",'🔖 배합비 참조'!$A$2:$A$83,0),MATCH($C30,'🔖 배합비 참조'!$B$1:$CE$1,0))/100,0),""))),"")</f>
        <v>0</v>
      </c>
      <c r="BO30" s="42" t="n">
        <f aca="false">IFERROR(IF($C30="","",IF($D30="","",IFERROR(ROUND($D30*INDEX('🔖 배합비 참조'!$B$2:$CE$83,MATCH("젤라틴",'🔖 배합비 참조'!$A$2:$A$83,0),MATCH($C30,'🔖 배합비 참조'!$B$1:$CE$1,0))/100,0),""))),"")</f>
        <v>0</v>
      </c>
      <c r="BP30" s="42" t="n">
        <f aca="false">IFERROR(IF($C30="","",IF($D30="","",IFERROR(ROUND($D30*INDEX('🔖 배합비 참조'!$B$2:$CE$83,MATCH("조림류(백옥앙금)",'🔖 배합비 참조'!$A$2:$A$83,0),MATCH($C30,'🔖 배합비 참조'!$B$1:$CE$1,0))/100,0),""))),"")</f>
        <v>0</v>
      </c>
      <c r="BQ30" s="42" t="n">
        <f aca="false">IFERROR(IF($C30="","",IF($D30="","",IFERROR(ROUND($D30*INDEX('🔖 배합비 참조'!$B$2:$CE$83,MATCH("조림류(통팥앙금)",'🔖 배합비 참조'!$A$2:$A$83,0),MATCH($C30,'🔖 배합비 참조'!$B$1:$CE$1,0))/100,0),""))),"")</f>
        <v>188</v>
      </c>
      <c r="BR30" s="42" t="n">
        <f aca="false">IFERROR(IF($C30="","",IF($D30="","",IFERROR(ROUND($D30*INDEX('🔖 배합비 참조'!$B$2:$CE$83,MATCH("준초콜릿(외국산)",'🔖 배합비 참조'!$A$2:$A$83,0),MATCH($C30,'🔖 배합비 참조'!$B$1:$CE$1,0))/100,0),""))),"")</f>
        <v>0</v>
      </c>
      <c r="BS30" s="42" t="n">
        <f aca="false">IFERROR(IF($C30="","",IF($D30="","",IFERROR(ROUND($D30*INDEX('🔖 배합비 참조'!$B$2:$CE$83,MATCH("중력분",'🔖 배합비 참조'!$A$2:$A$83,0),MATCH($C30,'🔖 배합비 참조'!$B$1:$CE$1,0))/100,0),""))),"")</f>
        <v>1</v>
      </c>
      <c r="BT30" s="42" t="n">
        <f aca="false">IFERROR(IF($C30="","",IF($D30="","",IFERROR(ROUND($D30*INDEX('🔖 배합비 참조'!$B$2:$CE$83,MATCH("참깨(인도산,나이지리아산,탄자니아산,미얀마산)",'🔖 배합비 참조'!$A$2:$A$83,0),MATCH($C30,'🔖 배합비 참조'!$B$1:$CE$1,0))/100,0),""))),"")</f>
        <v>0</v>
      </c>
      <c r="BU30" s="42" t="n">
        <f aca="false">IFERROR(IF($C30="","",IF($D30="","",IFERROR(ROUND($D30*INDEX('🔖 배합비 참조'!$B$2:$CE$83,MATCH("찹쌀(국내산)",'🔖 배합비 참조'!$A$2:$A$83,0),MATCH($C30,'🔖 배합비 참조'!$B$1:$CE$1,0))/100,0),""))),"")</f>
        <v>201</v>
      </c>
      <c r="BV30" s="42" t="n">
        <f aca="false">IFERROR(IF($C30="","",IF($D30="","",IFERROR(ROUND($D30*INDEX('🔖 배합비 참조'!$B$2:$CE$83,MATCH("천일염",'🔖 배합비 참조'!$A$2:$A$83,0),MATCH($C30,'🔖 배합비 참조'!$B$1:$CE$1,0))/100,0),""))),"")</f>
        <v>3</v>
      </c>
      <c r="BW30" s="42" t="n">
        <f aca="false">IFERROR(IF($C30="","",IF($D30="","",IFERROR(ROUND($D30*INDEX('🔖 배합비 참조'!$B$2:$CE$83,MATCH("치즈 [크림치즈]",'🔖 배합비 참조'!$A$2:$A$83,0),MATCH($C30,'🔖 배합비 참조'!$B$1:$CE$1,0))/100,0),""))),"")</f>
        <v>0</v>
      </c>
      <c r="BX30" s="42" t="n">
        <f aca="false">IFERROR(IF($C30="","",IF($D30="","",IFERROR(ROUND($D30*INDEX('🔖 배합비 참조'!$B$2:$CE$83,MATCH("코코아가공품류(코코아분말)",'🔖 배합비 참조'!$A$2:$A$83,0),MATCH($C30,'🔖 배합비 참조'!$B$1:$CE$1,0))/100,0),""))),"")</f>
        <v>0</v>
      </c>
      <c r="BY30" s="42" t="n">
        <f aca="false">IFERROR(IF($C30="","",IF($D30="","",IFERROR(ROUND($D30*INDEX('🔖 배합비 참조'!$B$2:$CE$83,MATCH("콩기름(대두유)",'🔖 배합비 참조'!$A$2:$A$83,0),MATCH($C30,'🔖 배합비 참조'!$B$1:$CE$1,0))/100,0),""))),"")</f>
        <v>0</v>
      </c>
      <c r="BZ30" s="42" t="n">
        <f aca="false">IFERROR(IF($C30="","",IF($D30="","",IFERROR(ROUND($D30*INDEX('🔖 배합비 참조'!$B$2:$CE$83,MATCH("해바라기씨앗",'🔖 배합비 참조'!$A$2:$A$83,0),MATCH($C30,'🔖 배합비 참조'!$B$1:$CE$1,0))/100,0),""))),"")</f>
        <v>0</v>
      </c>
      <c r="CA30" s="42" t="n">
        <f aca="false">IFERROR(IF($C30="","",IF($D30="","",IFERROR(ROUND($D30*INDEX('🔖 배합비 참조'!$B$2:$CE$83,MATCH("현미(국내산)",'🔖 배합비 참조'!$A$2:$A$83,0),MATCH($C30,'🔖 배합비 참조'!$B$1:$CE$1,0))/100,0),""))),"")</f>
        <v>0</v>
      </c>
      <c r="CB30" s="42" t="n">
        <f aca="false">IFERROR(IF($C30="","",IF($D30="","",IFERROR(ROUND($D30*INDEX('🔖 배합비 참조'!$B$2:$CE$83,MATCH("현미멥쌀(국내산)",'🔖 배합비 참조'!$A$2:$A$83,0),MATCH($C30,'🔖 배합비 참조'!$B$1:$CE$1,0))/100,0),""))),"")</f>
        <v>0</v>
      </c>
      <c r="CC30" s="42" t="n">
        <f aca="false">IFERROR(IF($C30="","",IF($D30="","",IFERROR(ROUND($D30*INDEX('🔖 배합비 참조'!$B$2:$CE$83,MATCH("호두분태(미국산)",'🔖 배합비 참조'!$A$2:$A$83,0),MATCH($C30,'🔖 배합비 참조'!$B$1:$CE$1,0))/100,0),""))),"")</f>
        <v>0</v>
      </c>
      <c r="CD30" s="42" t="n">
        <f aca="false">IFERROR(IF($C30="","",IF($D30="","",IFERROR(ROUND($D30*INDEX('🔖 배합비 참조'!$B$2:$CE$83,MATCH("호박씨앗(외국산)",'🔖 배합비 참조'!$A$2:$A$83,0),MATCH($C30,'🔖 배합비 참조'!$B$1:$CE$1,0))/100,0),""))),"")</f>
        <v>0</v>
      </c>
      <c r="CE30" s="42" t="n">
        <f aca="false">IFERROR(IF($C30="","",IF($D30="","",IFERROR(ROUND($D30*INDEX('🔖 배합비 참조'!$B$2:$CE$83,MATCH("혼합제제(떡용에스텔)",'🔖 배합비 참조'!$A$2:$A$83,0),MATCH($C30,'🔖 배합비 참조'!$B$1:$CE$1,0))/100,0),""))),"")</f>
        <v>2</v>
      </c>
      <c r="CF30" s="42" t="n">
        <f aca="false">IFERROR(IF($C30="","",IF($D30="","",IFERROR(ROUND($D30*INDEX('🔖 배합비 참조'!$B$2:$CE$83,MATCH("혼합제제(스테비아)",'🔖 배합비 참조'!$A$2:$A$83,0),MATCH($C30,'🔖 배합비 참조'!$B$1:$CE$1,0))/100,0),""))),"")</f>
        <v>0</v>
      </c>
      <c r="CG30" s="42" t="n">
        <f aca="false">IFERROR(IF($C30="","",IF($D30="","",IFERROR(ROUND($D30*INDEX('🔖 배합비 참조'!$B$2:$CE$83,MATCH("화이트초콜릿",'🔖 배합비 참조'!$A$2:$A$83,0),MATCH($C30,'🔖 배합비 참조'!$B$1:$CE$1,0))/100,0),""))),"")</f>
        <v>0</v>
      </c>
      <c r="CH30" s="42" t="n">
        <f aca="false">IFERROR(IF($C30="","",IF($D30="","",IFERROR(ROUND($D30*INDEX('🔖 배합비 참조'!$B$2:$CE$83,MATCH("흑미찹쌀(국내산)",'🔖 배합비 참조'!$A$2:$A$83,0),MATCH($C30,'🔖 배합비 참조'!$B$1:$CE$1,0))/100,0),""))),"")</f>
        <v>0</v>
      </c>
      <c r="CI30" s="42" t="n">
        <f aca="false">IFERROR(IF($C30="","",IF($D30="","",IFERROR(ROUND($D30*INDEX('🔖 배합비 참조'!$B$2:$CE$83,MATCH("찰옥수수전분(미국산)",'🔖 배합비 참조'!$A$2:$A$83,0),MATCH($C30,'🔖 배합비 참조'!$B$1:$CE$1,0))/100,0),""))),"")</f>
        <v>0</v>
      </c>
      <c r="CJ30" s="40"/>
      <c r="CL30" s="1" t="s">
        <v>235</v>
      </c>
    </row>
    <row r="31" customFormat="false" ht="18" hidden="false" customHeight="true" outlineLevel="0" collapsed="false">
      <c r="A31" s="35" t="n">
        <v>27</v>
      </c>
      <c r="B31" s="36" t="n">
        <v>45958</v>
      </c>
      <c r="C31" s="37" t="s">
        <v>183</v>
      </c>
      <c r="D31" s="38" t="n">
        <v>210</v>
      </c>
      <c r="E31" s="13"/>
      <c r="F31" s="13"/>
      <c r="G31" s="39" t="n">
        <f aca="false">IFERROR(IF($C31="","",IF($D31="","",IFERROR(ROUND($D31*INDEX('🔖 배합비 참조'!$B$2:$CE$83,MATCH("간장",'🔖 배합비 참조'!$A$2:$A$83,0),MATCH($C31,'🔖 배합비 참조'!$B$1:$CE$1,0))/100,0),""))),"")</f>
        <v>0</v>
      </c>
      <c r="H31" s="39" t="n">
        <f aca="false">IFERROR(IF($C31="","",IF($D31="","",IFERROR(ROUND($D31*INDEX('🔖 배합비 참조'!$B$2:$CE$83,MATCH("강낭콩((울타리콩))",'🔖 배합비 참조'!$A$2:$A$83,0),MATCH($C31,'🔖 배합비 참조'!$B$1:$CE$1,0))/100,0),""))),"")</f>
        <v>0</v>
      </c>
      <c r="I31" s="39" t="n">
        <f aca="false">IFERROR(IF($C31="","",IF($D31="","",IFERROR(ROUND($D31*INDEX('🔖 배합비 참조'!$B$2:$CE$83,MATCH("건조딸기다이스(외국산)",'🔖 배합비 참조'!$A$2:$A$83,0),MATCH($C31,'🔖 배합비 참조'!$B$1:$CE$1,0))/100,0),""))),"")</f>
        <v>0</v>
      </c>
      <c r="J31" s="39" t="n">
        <f aca="false">IFERROR(IF($C31="","",IF($D31="","",IFERROR(ROUND($D31*INDEX('🔖 배합비 참조'!$B$2:$CE$83,MATCH("건포도",'🔖 배합비 참조'!$A$2:$A$83,0),MATCH($C31,'🔖 배합비 참조'!$B$1:$CE$1,0))/100,0),""))),"")</f>
        <v>0</v>
      </c>
      <c r="K31" s="39" t="n">
        <f aca="false">IFERROR(IF($C31="","",IF($D31="","",IFERROR(ROUND($D31*INDEX('🔖 배합비 참조'!$B$2:$CE$83,MATCH("건호박채(중국산)",'🔖 배합비 참조'!$A$2:$A$83,0),MATCH($C31,'🔖 배합비 참조'!$B$1:$CE$1,0))/100,0),""))),"")</f>
        <v>0</v>
      </c>
      <c r="L31" s="39" t="n">
        <f aca="false">IFERROR(IF($C31="","",IF($D31="","",IFERROR(ROUND($D31*INDEX('🔖 배합비 참조'!$B$2:$CE$83,MATCH("검정깨(흑임자)",'🔖 배합비 참조'!$A$2:$A$83,0),MATCH($C31,'🔖 배합비 참조'!$B$1:$CE$1,0))/100,0),""))),"")</f>
        <v>0</v>
      </c>
      <c r="M31" s="39" t="n">
        <f aca="false">IFERROR(IF($C31="","",IF($D31="","",IFERROR(ROUND($D31*INDEX('🔖 배합비 참조'!$B$2:$CE$83,MATCH("검정콩",'🔖 배합비 참조'!$A$2:$A$83,0),MATCH($C31,'🔖 배합비 참조'!$B$1:$CE$1,0))/100,0),""))),"")</f>
        <v>0</v>
      </c>
      <c r="N31" s="39" t="n">
        <f aca="false">IFERROR(IF($C31="","",IF($D31="","",IFERROR(ROUND($D31*INDEX('🔖 배합비 참조'!$B$2:$CE$83,MATCH("계피가루",'🔖 배합비 참조'!$A$2:$A$83,0),MATCH($C31,'🔖 배합비 참조'!$B$1:$CE$1,0))/100,0),""))),"")</f>
        <v>0</v>
      </c>
      <c r="O31" s="39" t="n">
        <f aca="false">IFERROR(IF($C31="","",IF($D31="","",IFERROR(ROUND($D31*INDEX('🔖 배합비 참조'!$B$2:$CE$83,MATCH("고구마가루",'🔖 배합비 참조'!$A$2:$A$83,0),MATCH($C31,'🔖 배합비 참조'!$B$1:$CE$1,0))/100,0),""))),"")</f>
        <v>0</v>
      </c>
      <c r="P31" s="39" t="n">
        <f aca="false">IFERROR(IF($C31="","",IF($D31="","",IFERROR(ROUND($D31*INDEX('🔖 배합비 참조'!$B$2:$CE$83,MATCH("고구마무스",'🔖 배합비 참조'!$A$2:$A$83,0),MATCH($C31,'🔖 배합비 참조'!$B$1:$CE$1,0))/100,0),""))),"")</f>
        <v>0</v>
      </c>
      <c r="Q31" s="39" t="n">
        <f aca="false">IFERROR(IF($C31="","",IF($D31="","",IFERROR(ROUND($D31*INDEX('🔖 배합비 참조'!$B$2:$CE$83,MATCH("고려엉겅퀴((곤드레)국내산)",'🔖 배합비 참조'!$A$2:$A$83,0),MATCH($C31,'🔖 배합비 참조'!$B$1:$CE$1,0))/100,0),""))),"")</f>
        <v>0</v>
      </c>
      <c r="R31" s="39" t="n">
        <f aca="false">IFERROR(IF($C31="","",IF($D31="","",IFERROR(ROUND($D31*INDEX('🔖 배합비 참조'!$B$2:$CE$83,MATCH("기타가공품(복분자가루)",'🔖 배합비 참조'!$A$2:$A$83,0),MATCH($C31,'🔖 배합비 참조'!$B$1:$CE$1,0))/100,0),""))),"")</f>
        <v>0</v>
      </c>
      <c r="S31" s="39" t="n">
        <f aca="false">IFERROR(IF($C31="","",IF($D31="","",IFERROR(ROUND($D31*INDEX('🔖 배합비 참조'!$B$2:$CE$83,MATCH("기타가공품(슈퍼소프트엠)",'🔖 배합비 참조'!$A$2:$A$83,0),MATCH($C31,'🔖 배합비 참조'!$B$1:$CE$1,0))/100,0),""))),"")</f>
        <v>0</v>
      </c>
      <c r="T31" s="39" t="n">
        <f aca="false">IFERROR(IF($C31="","",IF($D31="","",IFERROR(ROUND($D31*INDEX('🔖 배합비 참조'!$B$2:$CE$83,MATCH("기타가공품(파인소프트 E-티)",'🔖 배합비 참조'!$A$2:$A$83,0),MATCH($C31,'🔖 배합비 참조'!$B$1:$CE$1,0))/100,0),""))),"")</f>
        <v>0</v>
      </c>
      <c r="U31" s="39" t="n">
        <f aca="false">IFERROR(IF($C31="","",IF($D31="","",IFERROR(ROUND($D31*INDEX('🔖 배합비 참조'!$B$2:$CE$83,MATCH("기타가공품(프리미엄카스테라가루)",'🔖 배합비 참조'!$A$2:$A$83,0),MATCH($C31,'🔖 배합비 참조'!$B$1:$CE$1,0))/100,0),""))),"")</f>
        <v>0</v>
      </c>
      <c r="V31" s="39" t="n">
        <f aca="false">IFERROR(IF($C31="","",IF($D31="","",IFERROR(ROUND($D31*INDEX('🔖 배합비 참조'!$B$2:$CE$83,MATCH("기타가공품(흑임자가루)",'🔖 배합비 참조'!$A$2:$A$83,0),MATCH($C31,'🔖 배합비 참조'!$B$1:$CE$1,0))/100,0),""))),"")</f>
        <v>0</v>
      </c>
      <c r="W31" s="39" t="n">
        <f aca="false">IFERROR(IF($C31="","",IF($D31="","",IFERROR(ROUND($D31*INDEX('🔖 배합비 참조'!$B$2:$CE$83,MATCH("기타설탕(흑설탕)",'🔖 배합비 참조'!$A$2:$A$83,0),MATCH($C31,'🔖 배합비 참조'!$B$1:$CE$1,0))/100,0),""))),"")</f>
        <v>0</v>
      </c>
      <c r="X31" s="39" t="n">
        <f aca="false">IFERROR(IF($C31="","",IF($D31="","",IFERROR(ROUND($D31*INDEX('🔖 배합비 참조'!$B$2:$CE$83,MATCH("냉동쑥(국내산)",'🔖 배합비 참조'!$A$2:$A$83,0),MATCH($C31,'🔖 배합비 참조'!$B$1:$CE$1,0))/100,0),""))),"")</f>
        <v>0</v>
      </c>
      <c r="Y31" s="39" t="n">
        <f aca="false">IFERROR(IF($C31="","",IF($D31="","",IFERROR(ROUND($D31*INDEX('🔖 배합비 참조'!$B$2:$CE$83,MATCH("냉동증숙고구마(중국산)",'🔖 배합비 참조'!$A$2:$A$83,0),MATCH($C31,'🔖 배합비 참조'!$B$1:$CE$1,0))/100,0),""))),"")</f>
        <v>0</v>
      </c>
      <c r="Z31" s="39" t="n">
        <f aca="false">IFERROR(IF($C31="","",IF($D31="","",IFERROR(ROUND($D31*INDEX('🔖 배합비 참조'!$B$2:$CE$83,MATCH("녹차가루",'🔖 배합비 참조'!$A$2:$A$83,0),MATCH($C31,'🔖 배합비 참조'!$B$1:$CE$1,0))/100,0),""))),"")</f>
        <v>0</v>
      </c>
      <c r="AA31" s="39" t="n">
        <f aca="false">IFERROR(IF($C31="","",IF($D31="","",IFERROR(ROUND($D31*INDEX('🔖 배합비 참조'!$B$2:$CE$83,MATCH("다크초콜릿 컴파운드칩",'🔖 배합비 참조'!$A$2:$A$83,0),MATCH($C31,'🔖 배합비 참조'!$B$1:$CE$1,0))/100,0),""))),"")</f>
        <v>0</v>
      </c>
      <c r="AB31" s="39" t="n">
        <f aca="false">IFERROR(IF($C31="","",IF($D31="","",IFERROR(ROUND($D31*INDEX('🔖 배합비 참조'!$B$2:$CE$83,MATCH("단호박분말(중국산)",'🔖 배합비 참조'!$A$2:$A$83,0),MATCH($C31,'🔖 배합비 참조'!$B$1:$CE$1,0))/100,0),""))),"")</f>
        <v>0</v>
      </c>
      <c r="AC31" s="39" t="n">
        <f aca="false">IFERROR(IF($C31="","",IF($D31="","",IFERROR(ROUND($D31*INDEX('🔖 배합비 참조'!$B$2:$CE$83,MATCH("당류가공품(단호박농축액)",'🔖 배합비 참조'!$A$2:$A$83,0),MATCH($C31,'🔖 배합비 참조'!$B$1:$CE$1,0))/100,0),""))),"")</f>
        <v>0</v>
      </c>
      <c r="AD31" s="39" t="n">
        <f aca="false">IFERROR(IF($C31="","",IF($D31="","",IFERROR(ROUND($D31*INDEX('🔖 배합비 참조'!$B$2:$CE$83,MATCH("당류가공품(알룰로스,에리스리톨,스테비올배당체혼합)",'🔖 배합비 참조'!$A$2:$A$83,0),MATCH($C31,'🔖 배합비 참조'!$B$1:$CE$1,0))/100,0),""))),"")</f>
        <v>0</v>
      </c>
      <c r="AE31" s="39" t="n">
        <f aca="false">IFERROR(IF($C31="","",IF($D31="","",IFERROR(ROUND($D31*INDEX('🔖 배합비 참조'!$B$2:$CE$83,MATCH("당류가공품(알룰로스제로파우더)",'🔖 배합비 참조'!$A$2:$A$83,0),MATCH($C31,'🔖 배합비 참조'!$B$1:$CE$1,0))/100,0),""))),"")</f>
        <v>0</v>
      </c>
      <c r="AF31" s="39" t="n">
        <f aca="false">IFERROR(IF($C31="","",IF($D31="","",IFERROR(ROUND($D31*INDEX('🔖 배합비 참조'!$B$2:$CE$83,MATCH("당절임(완두배기)",'🔖 배합비 참조'!$A$2:$A$83,0),MATCH($C31,'🔖 배합비 참조'!$B$1:$CE$1,0))/100,0),""))),"")</f>
        <v>0</v>
      </c>
      <c r="AG31" s="39" t="n">
        <f aca="false">IFERROR(IF($C31="","",IF($D31="","",IFERROR(ROUND($D31*INDEX('🔖 배합비 참조'!$B$2:$CE$83,MATCH("대추농축액",'🔖 배합비 참조'!$A$2:$A$83,0),MATCH($C31,'🔖 배합비 참조'!$B$1:$CE$1,0))/100,0),""))),"")</f>
        <v>0</v>
      </c>
      <c r="AH31" s="39" t="n">
        <f aca="false">IFERROR(IF($C31="","",IF($D31="","",IFERROR(ROUND($D31*INDEX('🔖 배합비 참조'!$B$2:$CE$83,MATCH("대추채(국내산)",'🔖 배합비 참조'!$A$2:$A$83,0),MATCH($C31,'🔖 배합비 참조'!$B$1:$CE$1,0))/100,0),""))),"")</f>
        <v>0</v>
      </c>
      <c r="AI31" s="39" t="n">
        <f aca="false">IFERROR(IF($C31="","",IF($D31="","",IFERROR(ROUND($D31*INDEX('🔖 배합비 참조'!$B$2:$CE$83,MATCH("동부(미얀마산)",'🔖 배합비 참조'!$A$2:$A$83,0),MATCH($C31,'🔖 배합비 참조'!$B$1:$CE$1,0))/100,0),""))),"")</f>
        <v>0</v>
      </c>
      <c r="AJ31" s="39" t="n">
        <f aca="false">IFERROR(IF($C31="","",IF($D31="","",IFERROR(ROUND($D31*INDEX('🔖 배합비 참조'!$B$2:$CE$83,MATCH("두류가공품(백옥앙금)",'🔖 배합비 참조'!$A$2:$A$83,0),MATCH($C31,'🔖 배합비 참조'!$B$1:$CE$1,0))/100,0),""))),"")</f>
        <v>0</v>
      </c>
      <c r="AK31" s="39" t="n">
        <f aca="false">IFERROR(IF($C31="","",IF($D31="","",IFERROR(ROUND($D31*INDEX('🔖 배합비 참조'!$B$2:$CE$83,MATCH("두류가공품(콩고물)",'🔖 배합비 참조'!$A$2:$A$83,0),MATCH($C31,'🔖 배합비 참조'!$B$1:$CE$1,0))/100,0),""))),"")</f>
        <v>0</v>
      </c>
      <c r="AL31" s="39" t="n">
        <f aca="false">IFERROR(IF($C31="","",IF($D31="","",IFERROR(ROUND($D31*INDEX('🔖 배합비 참조'!$B$2:$CE$83,MATCH("두류가공품(통팥고물)",'🔖 배합비 참조'!$A$2:$A$83,0),MATCH($C31,'🔖 배합비 참조'!$B$1:$CE$1,0))/100,0),""))),"")</f>
        <v>0</v>
      </c>
      <c r="AM31" s="39" t="n">
        <f aca="false">IFERROR(IF($C31="","",IF($D31="","",IFERROR(ROUND($D31*INDEX('🔖 배합비 참조'!$B$2:$CE$83,MATCH("딸기레진",'🔖 배합비 참조'!$A$2:$A$83,0),MATCH($C31,'🔖 배합비 참조'!$B$1:$CE$1,0))/100,0),""))),"")</f>
        <v>0</v>
      </c>
      <c r="AN31" s="39" t="n">
        <f aca="false">IFERROR(IF($C31="","",IF($D31="","",IFERROR(ROUND($D31*INDEX('🔖 배합비 참조'!$B$2:$CE$83,MATCH("딸기분말(스트로우베리에이드(분말))",'🔖 배합비 참조'!$A$2:$A$83,0),MATCH($C31,'🔖 배합비 참조'!$B$1:$CE$1,0))/100,0),""))),"")</f>
        <v>0</v>
      </c>
      <c r="AO31" s="39" t="n">
        <f aca="false">IFERROR(IF($C31="","",IF($D31="","",IFERROR(ROUND($D31*INDEX('🔖 배합비 참조'!$B$2:$CE$83,MATCH("마스카포네치즈",'🔖 배합비 참조'!$A$2:$A$83,0),MATCH($C31,'🔖 배합비 참조'!$B$1:$CE$1,0))/100,0),""))),"")</f>
        <v>0</v>
      </c>
      <c r="AP31" s="39" t="n">
        <f aca="false">IFERROR(IF($C31="","",IF($D31="","",IFERROR(ROUND($D31*INDEX('🔖 배합비 참조'!$B$2:$CE$83,MATCH("마카다미아분태(호주산)",'🔖 배합비 참조'!$A$2:$A$83,0),MATCH($C31,'🔖 배합비 참조'!$B$1:$CE$1,0))/100,0),""))),"")</f>
        <v>0</v>
      </c>
      <c r="AQ31" s="39" t="n">
        <f aca="false">IFERROR(IF($C31="","",IF($D31="","",IFERROR(ROUND($D31*INDEX('🔖 배합비 참조'!$B$2:$CE$83,MATCH("멥쌀(국내산)",'🔖 배합비 참조'!$A$2:$A$83,0),MATCH($C31,'🔖 배합비 참조'!$B$1:$CE$1,0))/100,0),""))),"")</f>
        <v>0</v>
      </c>
      <c r="AR31" s="39" t="n">
        <f aca="false">IFERROR(IF($C31="","",IF($D31="","",IFERROR(ROUND($D31*INDEX('🔖 배합비 참조'!$B$2:$CE$83,MATCH("모시잎(국내산)",'🔖 배합비 참조'!$A$2:$A$83,0),MATCH($C31,'🔖 배합비 참조'!$B$1:$CE$1,0))/100,0),""))),"")</f>
        <v>0</v>
      </c>
      <c r="AS31" s="39" t="n">
        <f aca="false">IFERROR(IF($C31="","",IF($D31="","",IFERROR(ROUND($D31*INDEX('🔖 배합비 참조'!$B$2:$CE$83,MATCH("물엿(저당물엿)",'🔖 배합비 참조'!$A$2:$A$83,0),MATCH($C31,'🔖 배합비 참조'!$B$1:$CE$1,0))/100,0),""))),"")</f>
        <v>5</v>
      </c>
      <c r="AT31" s="39" t="n">
        <f aca="false">IFERROR(IF($C31="","",IF($D31="","",IFERROR(ROUND($D31*INDEX('🔖 배합비 참조'!$B$2:$CE$83,MATCH("밤다이스",'🔖 배합비 참조'!$A$2:$A$83,0),MATCH($C31,'🔖 배합비 참조'!$B$1:$CE$1,0))/100,0),""))),"")</f>
        <v>0</v>
      </c>
      <c r="AU31" s="39" t="n">
        <f aca="false">IFERROR(IF($C31="","",IF($D31="","",IFERROR(ROUND($D31*INDEX('🔖 배합비 참조'!$B$2:$CE$83,MATCH("변성전분(타피오카전분)",'🔖 배합비 참조'!$A$2:$A$83,0),MATCH($C31,'🔖 배합비 참조'!$B$1:$CE$1,0))/100,0),""))),"")</f>
        <v>0</v>
      </c>
      <c r="AV31" s="39" t="n">
        <f aca="false">IFERROR(IF($C31="","",IF($D31="","",IFERROR(ROUND($D31*INDEX('🔖 배합비 참조'!$B$2:$CE$83,MATCH("복음땅콩분태",'🔖 배합비 참조'!$A$2:$A$83,0),MATCH($C31,'🔖 배합비 참조'!$B$1:$CE$1,0))/100,0),""))),"")</f>
        <v>0</v>
      </c>
      <c r="AW31" s="39" t="n">
        <f aca="false">IFERROR(IF($C31="","",IF($D31="","",IFERROR(ROUND($D31*INDEX('🔖 배합비 참조'!$B$2:$CE$83,MATCH("사양벌꿀(국내산)",'🔖 배합비 참조'!$A$2:$A$83,0),MATCH($C31,'🔖 배합비 참조'!$B$1:$CE$1,0))/100,0),""))),"")</f>
        <v>0</v>
      </c>
      <c r="AX31" s="39" t="n">
        <f aca="false">IFERROR(IF($C31="","",IF($D31="","",IFERROR(ROUND($D31*INDEX('🔖 배합비 참조'!$B$2:$CE$83,MATCH("생크림",'🔖 배합비 참조'!$A$2:$A$83,0),MATCH($C31,'🔖 배합비 참조'!$B$1:$CE$1,0))/100,0),""))),"")</f>
        <v>0</v>
      </c>
      <c r="AY31" s="39" t="n">
        <f aca="false">IFERROR(IF($C31="","",IF($D31="","",IFERROR(ROUND($D31*INDEX('🔖 배합비 참조'!$B$2:$CE$83,MATCH("서양호박(국내산,뉴질랜드산)",'🔖 배합비 참조'!$A$2:$A$83,0),MATCH($C31,'🔖 배합비 참조'!$B$1:$CE$1,0))/100,0),""))),"")</f>
        <v>0</v>
      </c>
      <c r="AZ31" s="39" t="n">
        <f aca="false">IFERROR(IF($C31="","",IF($D31="","",IFERROR(ROUND($D31*INDEX('🔖 배합비 참조'!$B$2:$CE$83,MATCH("설탕",'🔖 배합비 참조'!$A$2:$A$83,0),MATCH($C31,'🔖 배합비 참조'!$B$1:$CE$1,0))/100,0),""))),"")</f>
        <v>5</v>
      </c>
      <c r="BA31" s="39" t="n">
        <f aca="false">IFERROR(IF($C31="","",IF($D31="","",IFERROR(ROUND($D31*INDEX('🔖 배합비 참조'!$B$2:$CE$83,MATCH("스트로우베리 에이드 후레쉬",'🔖 배합비 참조'!$A$2:$A$83,0),MATCH($C31,'🔖 배합비 참조'!$B$1:$CE$1,0))/100,0),""))),"")</f>
        <v>0</v>
      </c>
      <c r="BB31" s="39" t="n">
        <f aca="false">IFERROR(IF($C31="","",IF($D31="","",IFERROR(ROUND($D31*INDEX('🔖 배합비 참조'!$B$2:$CE$83,MATCH("식물성기름혼합제제(분홍)",'🔖 배합비 참조'!$A$2:$A$83,0),MATCH($C31,'🔖 배합비 참조'!$B$1:$CE$1,0))/100,0),""))),"")</f>
        <v>0</v>
      </c>
      <c r="BC31" s="39" t="n">
        <f aca="false">IFERROR(IF($C31="","",IF($D31="","",IFERROR(ROUND($D31*INDEX('🔖 배합비 참조'!$B$2:$CE$83,MATCH("식물성기름혼합제제(초록)",'🔖 배합비 참조'!$A$2:$A$83,0),MATCH($C31,'🔖 배합비 참조'!$B$1:$CE$1,0))/100,0),""))),"")</f>
        <v>0</v>
      </c>
      <c r="BD31" s="39" t="n">
        <f aca="false">IFERROR(IF($C31="","",IF($D31="","",IFERROR(ROUND($D31*INDEX('🔖 배합비 참조'!$B$2:$CE$83,MATCH("식물성기름혼합제제(황색)",'🔖 배합비 참조'!$A$2:$A$83,0),MATCH($C31,'🔖 배합비 참조'!$B$1:$CE$1,0))/100,0),""))),"")</f>
        <v>0</v>
      </c>
      <c r="BE31" s="39" t="n">
        <f aca="false">IFERROR(IF($C31="","",IF($D31="","",IFERROR(ROUND($D31*INDEX('🔖 배합비 참조'!$B$2:$CE$83,MATCH("쑥가루(국내산)",'🔖 배합비 참조'!$A$2:$A$83,0),MATCH($C31,'🔖 배합비 참조'!$B$1:$CE$1,0))/100,0),""))),"")</f>
        <v>0</v>
      </c>
      <c r="BF31" s="39" t="n">
        <f aca="false">IFERROR(IF($C31="","",IF($D31="","",IFERROR(ROUND($D31*INDEX('🔖 배합비 참조'!$B$2:$CE$83,MATCH("아몬드슬라이스",'🔖 배합비 참조'!$A$2:$A$83,0),MATCH($C31,'🔖 배합비 참조'!$B$1:$CE$1,0))/100,0),""))),"")</f>
        <v>0</v>
      </c>
      <c r="BG31" s="39" t="n">
        <f aca="false">IFERROR(IF($C31="","",IF($D31="","",IFERROR(ROUND($D31*INDEX('🔖 배합비 참조'!$B$2:$CE$83,MATCH("알룰로오스(국내산)",'🔖 배합비 참조'!$A$2:$A$83,0),MATCH($C31,'🔖 배합비 참조'!$B$1:$CE$1,0))/100,0),""))),"")</f>
        <v>0</v>
      </c>
      <c r="BH31" s="39" t="n">
        <f aca="false">IFERROR(IF($C31="","",IF($D31="","",IFERROR(ROUND($D31*INDEX('🔖 배합비 참조'!$B$2:$CE$83,MATCH("연유",'🔖 배합비 참조'!$A$2:$A$83,0),MATCH($C31,'🔖 배합비 참조'!$B$1:$CE$1,0))/100,0),""))),"")</f>
        <v>0</v>
      </c>
      <c r="BI31" s="39" t="n">
        <f aca="false">IFERROR(IF($C31="","",IF($D31="","",IFERROR(ROUND($D31*INDEX('🔖 배합비 참조'!$B$2:$CE$83,MATCH("옥수수전분",'🔖 배합비 참조'!$A$2:$A$83,0),MATCH($C31,'🔖 배합비 참조'!$B$1:$CE$1,0))/100,0),""))),"")</f>
        <v>3</v>
      </c>
      <c r="BJ31" s="39" t="n">
        <f aca="false">IFERROR(IF($C31="","",IF($D31="","",IFERROR(ROUND($D31*INDEX('🔖 배합비 참조'!$B$2:$CE$83,MATCH("완두배기",'🔖 배합비 참조'!$A$2:$A$83,0),MATCH($C31,'🔖 배합비 참조'!$B$1:$CE$1,0))/100,0),""))),"")</f>
        <v>0</v>
      </c>
      <c r="BK31" s="39" t="n">
        <f aca="false">IFERROR(IF($C31="","",IF($D31="","",IFERROR(ROUND($D31*INDEX('🔖 배합비 참조'!$B$2:$CE$83,MATCH("우유(국내산)",'🔖 배합비 참조'!$A$2:$A$83,0),MATCH($C31,'🔖 배합비 참조'!$B$1:$CE$1,0))/100,0),""))),"")</f>
        <v>0</v>
      </c>
      <c r="BL31" s="39" t="n">
        <f aca="false">IFERROR(IF($C31="","",IF($D31="","",IFERROR(ROUND($D31*INDEX('🔖 배합비 참조'!$B$2:$CE$83,MATCH("자색고구마가루(중국산)",'🔖 배합비 참조'!$A$2:$A$83,0),MATCH($C31,'🔖 배합비 참조'!$B$1:$CE$1,0))/100,0),""))),"")</f>
        <v>0</v>
      </c>
      <c r="BM31" s="39" t="n">
        <f aca="false">IFERROR(IF($C31="","",IF($D31="","",IFERROR(ROUND($D31*INDEX('🔖 배합비 참조'!$B$2:$CE$83,MATCH("자연치즈(체다치즈)",'🔖 배합비 참조'!$A$2:$A$83,0),MATCH($C31,'🔖 배합비 참조'!$B$1:$CE$1,0))/100,0),""))),"")</f>
        <v>0</v>
      </c>
      <c r="BN31" s="39" t="n">
        <f aca="false">IFERROR(IF($C31="","",IF($D31="","",IFERROR(ROUND($D31*INDEX('🔖 배합비 참조'!$B$2:$CE$83,MATCH("정제수",'🔖 배합비 참조'!$A$2:$A$83,0),MATCH($C31,'🔖 배합비 참조'!$B$1:$CE$1,0))/100,0),""))),"")</f>
        <v>0</v>
      </c>
      <c r="BO31" s="39" t="n">
        <f aca="false">IFERROR(IF($C31="","",IF($D31="","",IFERROR(ROUND($D31*INDEX('🔖 배합비 참조'!$B$2:$CE$83,MATCH("젤라틴",'🔖 배합비 참조'!$A$2:$A$83,0),MATCH($C31,'🔖 배합비 참조'!$B$1:$CE$1,0))/100,0),""))),"")</f>
        <v>0</v>
      </c>
      <c r="BP31" s="39" t="n">
        <f aca="false">IFERROR(IF($C31="","",IF($D31="","",IFERROR(ROUND($D31*INDEX('🔖 배합비 참조'!$B$2:$CE$83,MATCH("조림류(백옥앙금)",'🔖 배합비 참조'!$A$2:$A$83,0),MATCH($C31,'🔖 배합비 참조'!$B$1:$CE$1,0))/100,0),""))),"")</f>
        <v>0</v>
      </c>
      <c r="BQ31" s="39" t="n">
        <f aca="false">IFERROR(IF($C31="","",IF($D31="","",IFERROR(ROUND($D31*INDEX('🔖 배합비 참조'!$B$2:$CE$83,MATCH("조림류(통팥앙금)",'🔖 배합비 참조'!$A$2:$A$83,0),MATCH($C31,'🔖 배합비 참조'!$B$1:$CE$1,0))/100,0),""))),"")</f>
        <v>94</v>
      </c>
      <c r="BR31" s="39" t="n">
        <f aca="false">IFERROR(IF($C31="","",IF($D31="","",IFERROR(ROUND($D31*INDEX('🔖 배합비 참조'!$B$2:$CE$83,MATCH("준초콜릿(외국산)",'🔖 배합비 참조'!$A$2:$A$83,0),MATCH($C31,'🔖 배합비 참조'!$B$1:$CE$1,0))/100,0),""))),"")</f>
        <v>0</v>
      </c>
      <c r="BS31" s="39" t="n">
        <f aca="false">IFERROR(IF($C31="","",IF($D31="","",IFERROR(ROUND($D31*INDEX('🔖 배합비 참조'!$B$2:$CE$83,MATCH("중력분",'🔖 배합비 참조'!$A$2:$A$83,0),MATCH($C31,'🔖 배합비 참조'!$B$1:$CE$1,0))/100,0),""))),"")</f>
        <v>0</v>
      </c>
      <c r="BT31" s="39" t="n">
        <f aca="false">IFERROR(IF($C31="","",IF($D31="","",IFERROR(ROUND($D31*INDEX('🔖 배합비 참조'!$B$2:$CE$83,MATCH("참깨(인도산,나이지리아산,탄자니아산,미얀마산)",'🔖 배합비 참조'!$A$2:$A$83,0),MATCH($C31,'🔖 배합비 참조'!$B$1:$CE$1,0))/100,0),""))),"")</f>
        <v>0</v>
      </c>
      <c r="BU31" s="39" t="n">
        <f aca="false">IFERROR(IF($C31="","",IF($D31="","",IFERROR(ROUND($D31*INDEX('🔖 배합비 참조'!$B$2:$CE$83,MATCH("찹쌀(국내산)",'🔖 배합비 참조'!$A$2:$A$83,0),MATCH($C31,'🔖 배합비 참조'!$B$1:$CE$1,0))/100,0),""))),"")</f>
        <v>100</v>
      </c>
      <c r="BV31" s="39" t="n">
        <f aca="false">IFERROR(IF($C31="","",IF($D31="","",IFERROR(ROUND($D31*INDEX('🔖 배합비 참조'!$B$2:$CE$83,MATCH("천일염",'🔖 배합비 참조'!$A$2:$A$83,0),MATCH($C31,'🔖 배합비 참조'!$B$1:$CE$1,0))/100,0),""))),"")</f>
        <v>2</v>
      </c>
      <c r="BW31" s="39" t="n">
        <f aca="false">IFERROR(IF($C31="","",IF($D31="","",IFERROR(ROUND($D31*INDEX('🔖 배합비 참조'!$B$2:$CE$83,MATCH("치즈 [크림치즈]",'🔖 배합비 참조'!$A$2:$A$83,0),MATCH($C31,'🔖 배합비 참조'!$B$1:$CE$1,0))/100,0),""))),"")</f>
        <v>0</v>
      </c>
      <c r="BX31" s="39" t="n">
        <f aca="false">IFERROR(IF($C31="","",IF($D31="","",IFERROR(ROUND($D31*INDEX('🔖 배합비 참조'!$B$2:$CE$83,MATCH("코코아가공품류(코코아분말)",'🔖 배합비 참조'!$A$2:$A$83,0),MATCH($C31,'🔖 배합비 참조'!$B$1:$CE$1,0))/100,0),""))),"")</f>
        <v>0</v>
      </c>
      <c r="BY31" s="39" t="n">
        <f aca="false">IFERROR(IF($C31="","",IF($D31="","",IFERROR(ROUND($D31*INDEX('🔖 배합비 참조'!$B$2:$CE$83,MATCH("콩기름(대두유)",'🔖 배합비 참조'!$A$2:$A$83,0),MATCH($C31,'🔖 배합비 참조'!$B$1:$CE$1,0))/100,0),""))),"")</f>
        <v>0</v>
      </c>
      <c r="BZ31" s="39" t="n">
        <f aca="false">IFERROR(IF($C31="","",IF($D31="","",IFERROR(ROUND($D31*INDEX('🔖 배합비 참조'!$B$2:$CE$83,MATCH("해바라기씨앗",'🔖 배합비 참조'!$A$2:$A$83,0),MATCH($C31,'🔖 배합비 참조'!$B$1:$CE$1,0))/100,0),""))),"")</f>
        <v>0</v>
      </c>
      <c r="CA31" s="39" t="n">
        <f aca="false">IFERROR(IF($C31="","",IF($D31="","",IFERROR(ROUND($D31*INDEX('🔖 배합비 참조'!$B$2:$CE$83,MATCH("현미(국내산)",'🔖 배합비 참조'!$A$2:$A$83,0),MATCH($C31,'🔖 배합비 참조'!$B$1:$CE$1,0))/100,0),""))),"")</f>
        <v>0</v>
      </c>
      <c r="CB31" s="39" t="n">
        <f aca="false">IFERROR(IF($C31="","",IF($D31="","",IFERROR(ROUND($D31*INDEX('🔖 배합비 참조'!$B$2:$CE$83,MATCH("현미멥쌀(국내산)",'🔖 배합비 참조'!$A$2:$A$83,0),MATCH($C31,'🔖 배합비 참조'!$B$1:$CE$1,0))/100,0),""))),"")</f>
        <v>0</v>
      </c>
      <c r="CC31" s="39" t="n">
        <f aca="false">IFERROR(IF($C31="","",IF($D31="","",IFERROR(ROUND($D31*INDEX('🔖 배합비 참조'!$B$2:$CE$83,MATCH("호두분태(미국산)",'🔖 배합비 참조'!$A$2:$A$83,0),MATCH($C31,'🔖 배합비 참조'!$B$1:$CE$1,0))/100,0),""))),"")</f>
        <v>0</v>
      </c>
      <c r="CD31" s="39" t="n">
        <f aca="false">IFERROR(IF($C31="","",IF($D31="","",IFERROR(ROUND($D31*INDEX('🔖 배합비 참조'!$B$2:$CE$83,MATCH("호박씨앗(외국산)",'🔖 배합비 참조'!$A$2:$A$83,0),MATCH($C31,'🔖 배합비 참조'!$B$1:$CE$1,0))/100,0),""))),"")</f>
        <v>0</v>
      </c>
      <c r="CE31" s="39" t="n">
        <f aca="false">IFERROR(IF($C31="","",IF($D31="","",IFERROR(ROUND($D31*INDEX('🔖 배합비 참조'!$B$2:$CE$83,MATCH("혼합제제(떡용에스텔)",'🔖 배합비 참조'!$A$2:$A$83,0),MATCH($C31,'🔖 배합비 참조'!$B$1:$CE$1,0))/100,0),""))),"")</f>
        <v>1</v>
      </c>
      <c r="CF31" s="39" t="n">
        <f aca="false">IFERROR(IF($C31="","",IF($D31="","",IFERROR(ROUND($D31*INDEX('🔖 배합비 참조'!$B$2:$CE$83,MATCH("혼합제제(스테비아)",'🔖 배합비 참조'!$A$2:$A$83,0),MATCH($C31,'🔖 배합비 참조'!$B$1:$CE$1,0))/100,0),""))),"")</f>
        <v>0</v>
      </c>
      <c r="CG31" s="39" t="n">
        <f aca="false">IFERROR(IF($C31="","",IF($D31="","",IFERROR(ROUND($D31*INDEX('🔖 배합비 참조'!$B$2:$CE$83,MATCH("화이트초콜릿",'🔖 배합비 참조'!$A$2:$A$83,0),MATCH($C31,'🔖 배합비 참조'!$B$1:$CE$1,0))/100,0),""))),"")</f>
        <v>0</v>
      </c>
      <c r="CH31" s="39" t="n">
        <f aca="false">IFERROR(IF($C31="","",IF($D31="","",IFERROR(ROUND($D31*INDEX('🔖 배합비 참조'!$B$2:$CE$83,MATCH("흑미찹쌀(국내산)",'🔖 배합비 참조'!$A$2:$A$83,0),MATCH($C31,'🔖 배합비 참조'!$B$1:$CE$1,0))/100,0),""))),"")</f>
        <v>0</v>
      </c>
      <c r="CI31" s="39" t="n">
        <f aca="false">IFERROR(IF($C31="","",IF($D31="","",IFERROR(ROUND($D31*INDEX('🔖 배합비 참조'!$B$2:$CE$83,MATCH("찰옥수수전분(미국산)",'🔖 배합비 참조'!$A$2:$A$83,0),MATCH($C31,'🔖 배합비 참조'!$B$1:$CE$1,0))/100,0),""))),"")</f>
        <v>0</v>
      </c>
      <c r="CJ31" s="40"/>
      <c r="CL31" s="1" t="s">
        <v>235</v>
      </c>
    </row>
    <row r="32" customFormat="false" ht="18" hidden="false" customHeight="true" outlineLevel="0" collapsed="false">
      <c r="A32" s="41" t="n">
        <v>28</v>
      </c>
      <c r="B32" s="36" t="n">
        <v>45958</v>
      </c>
      <c r="C32" s="37" t="s">
        <v>209</v>
      </c>
      <c r="D32" s="38" t="n">
        <v>70</v>
      </c>
      <c r="E32" s="17"/>
      <c r="F32" s="17"/>
      <c r="G32" s="42" t="n">
        <f aca="false">IFERROR(IF($C32="","",IF($D32="","",IFERROR(ROUND($D32*INDEX('🔖 배합비 참조'!$B$2:$CE$83,MATCH("간장",'🔖 배합비 참조'!$A$2:$A$83,0),MATCH($C32,'🔖 배합비 참조'!$B$1:$CE$1,0))/100,0),""))),"")</f>
        <v>0</v>
      </c>
      <c r="H32" s="42" t="n">
        <f aca="false">IFERROR(IF($C32="","",IF($D32="","",IFERROR(ROUND($D32*INDEX('🔖 배합비 참조'!$B$2:$CE$83,MATCH("강낭콩((울타리콩))",'🔖 배합비 참조'!$A$2:$A$83,0),MATCH($C32,'🔖 배합비 참조'!$B$1:$CE$1,0))/100,0),""))),"")</f>
        <v>0</v>
      </c>
      <c r="I32" s="42" t="n">
        <f aca="false">IFERROR(IF($C32="","",IF($D32="","",IFERROR(ROUND($D32*INDEX('🔖 배합비 참조'!$B$2:$CE$83,MATCH("건조딸기다이스(외국산)",'🔖 배합비 참조'!$A$2:$A$83,0),MATCH($C32,'🔖 배합비 참조'!$B$1:$CE$1,0))/100,0),""))),"")</f>
        <v>0</v>
      </c>
      <c r="J32" s="42" t="n">
        <f aca="false">IFERROR(IF($C32="","",IF($D32="","",IFERROR(ROUND($D32*INDEX('🔖 배합비 참조'!$B$2:$CE$83,MATCH("건포도",'🔖 배합비 참조'!$A$2:$A$83,0),MATCH($C32,'🔖 배합비 참조'!$B$1:$CE$1,0))/100,0),""))),"")</f>
        <v>0</v>
      </c>
      <c r="K32" s="42" t="n">
        <f aca="false">IFERROR(IF($C32="","",IF($D32="","",IFERROR(ROUND($D32*INDEX('🔖 배합비 참조'!$B$2:$CE$83,MATCH("건호박채(중국산)",'🔖 배합비 참조'!$A$2:$A$83,0),MATCH($C32,'🔖 배합비 참조'!$B$1:$CE$1,0))/100,0),""))),"")</f>
        <v>0</v>
      </c>
      <c r="L32" s="42" t="n">
        <f aca="false">IFERROR(IF($C32="","",IF($D32="","",IFERROR(ROUND($D32*INDEX('🔖 배합비 참조'!$B$2:$CE$83,MATCH("검정깨(흑임자)",'🔖 배합비 참조'!$A$2:$A$83,0),MATCH($C32,'🔖 배합비 참조'!$B$1:$CE$1,0))/100,0),""))),"")</f>
        <v>0</v>
      </c>
      <c r="M32" s="42" t="n">
        <f aca="false">IFERROR(IF($C32="","",IF($D32="","",IFERROR(ROUND($D32*INDEX('🔖 배합비 참조'!$B$2:$CE$83,MATCH("검정콩",'🔖 배합비 참조'!$A$2:$A$83,0),MATCH($C32,'🔖 배합비 참조'!$B$1:$CE$1,0))/100,0),""))),"")</f>
        <v>0</v>
      </c>
      <c r="N32" s="42" t="n">
        <f aca="false">IFERROR(IF($C32="","",IF($D32="","",IFERROR(ROUND($D32*INDEX('🔖 배합비 참조'!$B$2:$CE$83,MATCH("계피가루",'🔖 배합비 참조'!$A$2:$A$83,0),MATCH($C32,'🔖 배합비 참조'!$B$1:$CE$1,0))/100,0),""))),"")</f>
        <v>0</v>
      </c>
      <c r="O32" s="42" t="n">
        <f aca="false">IFERROR(IF($C32="","",IF($D32="","",IFERROR(ROUND($D32*INDEX('🔖 배합비 참조'!$B$2:$CE$83,MATCH("고구마가루",'🔖 배합비 참조'!$A$2:$A$83,0),MATCH($C32,'🔖 배합비 참조'!$B$1:$CE$1,0))/100,0),""))),"")</f>
        <v>0</v>
      </c>
      <c r="P32" s="42" t="n">
        <f aca="false">IFERROR(IF($C32="","",IF($D32="","",IFERROR(ROUND($D32*INDEX('🔖 배합비 참조'!$B$2:$CE$83,MATCH("고구마무스",'🔖 배합비 참조'!$A$2:$A$83,0),MATCH($C32,'🔖 배합비 참조'!$B$1:$CE$1,0))/100,0),""))),"")</f>
        <v>0</v>
      </c>
      <c r="Q32" s="42" t="n">
        <f aca="false">IFERROR(IF($C32="","",IF($D32="","",IFERROR(ROUND($D32*INDEX('🔖 배합비 참조'!$B$2:$CE$83,MATCH("고려엉겅퀴((곤드레)국내산)",'🔖 배합비 참조'!$A$2:$A$83,0),MATCH($C32,'🔖 배합비 참조'!$B$1:$CE$1,0))/100,0),""))),"")</f>
        <v>0</v>
      </c>
      <c r="R32" s="42" t="n">
        <f aca="false">IFERROR(IF($C32="","",IF($D32="","",IFERROR(ROUND($D32*INDEX('🔖 배합비 참조'!$B$2:$CE$83,MATCH("기타가공품(복분자가루)",'🔖 배합비 참조'!$A$2:$A$83,0),MATCH($C32,'🔖 배합비 참조'!$B$1:$CE$1,0))/100,0),""))),"")</f>
        <v>0</v>
      </c>
      <c r="S32" s="42" t="n">
        <f aca="false">IFERROR(IF($C32="","",IF($D32="","",IFERROR(ROUND($D32*INDEX('🔖 배합비 참조'!$B$2:$CE$83,MATCH("기타가공품(슈퍼소프트엠)",'🔖 배합비 참조'!$A$2:$A$83,0),MATCH($C32,'🔖 배합비 참조'!$B$1:$CE$1,0))/100,0),""))),"")</f>
        <v>0</v>
      </c>
      <c r="T32" s="42" t="n">
        <f aca="false">IFERROR(IF($C32="","",IF($D32="","",IFERROR(ROUND($D32*INDEX('🔖 배합비 참조'!$B$2:$CE$83,MATCH("기타가공품(파인소프트 E-티)",'🔖 배합비 참조'!$A$2:$A$83,0),MATCH($C32,'🔖 배합비 참조'!$B$1:$CE$1,0))/100,0),""))),"")</f>
        <v>0</v>
      </c>
      <c r="U32" s="42" t="n">
        <f aca="false">IFERROR(IF($C32="","",IF($D32="","",IFERROR(ROUND($D32*INDEX('🔖 배합비 참조'!$B$2:$CE$83,MATCH("기타가공품(프리미엄카스테라가루)",'🔖 배합비 참조'!$A$2:$A$83,0),MATCH($C32,'🔖 배합비 참조'!$B$1:$CE$1,0))/100,0),""))),"")</f>
        <v>0</v>
      </c>
      <c r="V32" s="42" t="n">
        <f aca="false">IFERROR(IF($C32="","",IF($D32="","",IFERROR(ROUND($D32*INDEX('🔖 배합비 참조'!$B$2:$CE$83,MATCH("기타가공품(흑임자가루)",'🔖 배합비 참조'!$A$2:$A$83,0),MATCH($C32,'🔖 배합비 참조'!$B$1:$CE$1,0))/100,0),""))),"")</f>
        <v>0</v>
      </c>
      <c r="W32" s="42" t="n">
        <f aca="false">IFERROR(IF($C32="","",IF($D32="","",IFERROR(ROUND($D32*INDEX('🔖 배합비 참조'!$B$2:$CE$83,MATCH("기타설탕(흑설탕)",'🔖 배합비 참조'!$A$2:$A$83,0),MATCH($C32,'🔖 배합비 참조'!$B$1:$CE$1,0))/100,0),""))),"")</f>
        <v>0</v>
      </c>
      <c r="X32" s="42" t="n">
        <f aca="false">IFERROR(IF($C32="","",IF($D32="","",IFERROR(ROUND($D32*INDEX('🔖 배합비 참조'!$B$2:$CE$83,MATCH("냉동쑥(국내산)",'🔖 배합비 참조'!$A$2:$A$83,0),MATCH($C32,'🔖 배합비 참조'!$B$1:$CE$1,0))/100,0),""))),"")</f>
        <v>0</v>
      </c>
      <c r="Y32" s="42" t="n">
        <f aca="false">IFERROR(IF($C32="","",IF($D32="","",IFERROR(ROUND($D32*INDEX('🔖 배합비 참조'!$B$2:$CE$83,MATCH("냉동증숙고구마(중국산)",'🔖 배합비 참조'!$A$2:$A$83,0),MATCH($C32,'🔖 배합비 참조'!$B$1:$CE$1,0))/100,0),""))),"")</f>
        <v>0</v>
      </c>
      <c r="Z32" s="42" t="n">
        <f aca="false">IFERROR(IF($C32="","",IF($D32="","",IFERROR(ROUND($D32*INDEX('🔖 배합비 참조'!$B$2:$CE$83,MATCH("녹차가루",'🔖 배합비 참조'!$A$2:$A$83,0),MATCH($C32,'🔖 배합비 참조'!$B$1:$CE$1,0))/100,0),""))),"")</f>
        <v>0</v>
      </c>
      <c r="AA32" s="42" t="n">
        <f aca="false">IFERROR(IF($C32="","",IF($D32="","",IFERROR(ROUND($D32*INDEX('🔖 배합비 참조'!$B$2:$CE$83,MATCH("다크초콜릿 컴파운드칩",'🔖 배합비 참조'!$A$2:$A$83,0),MATCH($C32,'🔖 배합비 참조'!$B$1:$CE$1,0))/100,0),""))),"")</f>
        <v>0</v>
      </c>
      <c r="AB32" s="42" t="n">
        <f aca="false">IFERROR(IF($C32="","",IF($D32="","",IFERROR(ROUND($D32*INDEX('🔖 배합비 참조'!$B$2:$CE$83,MATCH("단호박분말(중국산)",'🔖 배합비 참조'!$A$2:$A$83,0),MATCH($C32,'🔖 배합비 참조'!$B$1:$CE$1,0))/100,0),""))),"")</f>
        <v>0</v>
      </c>
      <c r="AC32" s="42" t="n">
        <f aca="false">IFERROR(IF($C32="","",IF($D32="","",IFERROR(ROUND($D32*INDEX('🔖 배합비 참조'!$B$2:$CE$83,MATCH("당류가공품(단호박농축액)",'🔖 배합비 참조'!$A$2:$A$83,0),MATCH($C32,'🔖 배합비 참조'!$B$1:$CE$1,0))/100,0),""))),"")</f>
        <v>0</v>
      </c>
      <c r="AD32" s="42" t="n">
        <f aca="false">IFERROR(IF($C32="","",IF($D32="","",IFERROR(ROUND($D32*INDEX('🔖 배합비 참조'!$B$2:$CE$83,MATCH("당류가공품(알룰로스,에리스리톨,스테비올배당체혼합)",'🔖 배합비 참조'!$A$2:$A$83,0),MATCH($C32,'🔖 배합비 참조'!$B$1:$CE$1,0))/100,0),""))),"")</f>
        <v>0</v>
      </c>
      <c r="AE32" s="42" t="n">
        <f aca="false">IFERROR(IF($C32="","",IF($D32="","",IFERROR(ROUND($D32*INDEX('🔖 배합비 참조'!$B$2:$CE$83,MATCH("당류가공품(알룰로스제로파우더)",'🔖 배합비 참조'!$A$2:$A$83,0),MATCH($C32,'🔖 배합비 참조'!$B$1:$CE$1,0))/100,0),""))),"")</f>
        <v>0</v>
      </c>
      <c r="AF32" s="42" t="n">
        <f aca="false">IFERROR(IF($C32="","",IF($D32="","",IFERROR(ROUND($D32*INDEX('🔖 배합비 참조'!$B$2:$CE$83,MATCH("당절임(완두배기)",'🔖 배합비 참조'!$A$2:$A$83,0),MATCH($C32,'🔖 배합비 참조'!$B$1:$CE$1,0))/100,0),""))),"")</f>
        <v>0</v>
      </c>
      <c r="AG32" s="42" t="n">
        <f aca="false">IFERROR(IF($C32="","",IF($D32="","",IFERROR(ROUND($D32*INDEX('🔖 배합비 참조'!$B$2:$CE$83,MATCH("대추농축액",'🔖 배합비 참조'!$A$2:$A$83,0),MATCH($C32,'🔖 배합비 참조'!$B$1:$CE$1,0))/100,0),""))),"")</f>
        <v>0</v>
      </c>
      <c r="AH32" s="42" t="n">
        <f aca="false">IFERROR(IF($C32="","",IF($D32="","",IFERROR(ROUND($D32*INDEX('🔖 배합비 참조'!$B$2:$CE$83,MATCH("대추채(국내산)",'🔖 배합비 참조'!$A$2:$A$83,0),MATCH($C32,'🔖 배합비 참조'!$B$1:$CE$1,0))/100,0),""))),"")</f>
        <v>0</v>
      </c>
      <c r="AI32" s="42" t="n">
        <f aca="false">IFERROR(IF($C32="","",IF($D32="","",IFERROR(ROUND($D32*INDEX('🔖 배합비 참조'!$B$2:$CE$83,MATCH("동부(미얀마산)",'🔖 배합비 참조'!$A$2:$A$83,0),MATCH($C32,'🔖 배합비 참조'!$B$1:$CE$1,0))/100,0),""))),"")</f>
        <v>0</v>
      </c>
      <c r="AJ32" s="42" t="n">
        <f aca="false">IFERROR(IF($C32="","",IF($D32="","",IFERROR(ROUND($D32*INDEX('🔖 배합비 참조'!$B$2:$CE$83,MATCH("두류가공품(백옥앙금)",'🔖 배합비 참조'!$A$2:$A$83,0),MATCH($C32,'🔖 배합비 참조'!$B$1:$CE$1,0))/100,0),""))),"")</f>
        <v>0</v>
      </c>
      <c r="AK32" s="42" t="n">
        <f aca="false">IFERROR(IF($C32="","",IF($D32="","",IFERROR(ROUND($D32*INDEX('🔖 배합비 참조'!$B$2:$CE$83,MATCH("두류가공품(콩고물)",'🔖 배합비 참조'!$A$2:$A$83,0),MATCH($C32,'🔖 배합비 참조'!$B$1:$CE$1,0))/100,0),""))),"")</f>
        <v>0</v>
      </c>
      <c r="AL32" s="42" t="n">
        <f aca="false">IFERROR(IF($C32="","",IF($D32="","",IFERROR(ROUND($D32*INDEX('🔖 배합비 참조'!$B$2:$CE$83,MATCH("두류가공품(통팥고물)",'🔖 배합비 참조'!$A$2:$A$83,0),MATCH($C32,'🔖 배합비 참조'!$B$1:$CE$1,0))/100,0),""))),"")</f>
        <v>0</v>
      </c>
      <c r="AM32" s="42" t="n">
        <f aca="false">IFERROR(IF($C32="","",IF($D32="","",IFERROR(ROUND($D32*INDEX('🔖 배합비 참조'!$B$2:$CE$83,MATCH("딸기레진",'🔖 배합비 참조'!$A$2:$A$83,0),MATCH($C32,'🔖 배합비 참조'!$B$1:$CE$1,0))/100,0),""))),"")</f>
        <v>0</v>
      </c>
      <c r="AN32" s="42" t="n">
        <f aca="false">IFERROR(IF($C32="","",IF($D32="","",IFERROR(ROUND($D32*INDEX('🔖 배합비 참조'!$B$2:$CE$83,MATCH("딸기분말(스트로우베리에이드(분말))",'🔖 배합비 참조'!$A$2:$A$83,0),MATCH($C32,'🔖 배합비 참조'!$B$1:$CE$1,0))/100,0),""))),"")</f>
        <v>0</v>
      </c>
      <c r="AO32" s="42" t="n">
        <f aca="false">IFERROR(IF($C32="","",IF($D32="","",IFERROR(ROUND($D32*INDEX('🔖 배합비 참조'!$B$2:$CE$83,MATCH("마스카포네치즈",'🔖 배합비 참조'!$A$2:$A$83,0),MATCH($C32,'🔖 배합비 참조'!$B$1:$CE$1,0))/100,0),""))),"")</f>
        <v>0</v>
      </c>
      <c r="AP32" s="42" t="n">
        <f aca="false">IFERROR(IF($C32="","",IF($D32="","",IFERROR(ROUND($D32*INDEX('🔖 배합비 참조'!$B$2:$CE$83,MATCH("마카다미아분태(호주산)",'🔖 배합비 참조'!$A$2:$A$83,0),MATCH($C32,'🔖 배합비 참조'!$B$1:$CE$1,0))/100,0),""))),"")</f>
        <v>0</v>
      </c>
      <c r="AQ32" s="42" t="n">
        <f aca="false">IFERROR(IF($C32="","",IF($D32="","",IFERROR(ROUND($D32*INDEX('🔖 배합비 참조'!$B$2:$CE$83,MATCH("멥쌀(국내산)",'🔖 배합비 참조'!$A$2:$A$83,0),MATCH($C32,'🔖 배합비 참조'!$B$1:$CE$1,0))/100,0),""))),"")</f>
        <v>0</v>
      </c>
      <c r="AR32" s="42" t="n">
        <f aca="false">IFERROR(IF($C32="","",IF($D32="","",IFERROR(ROUND($D32*INDEX('🔖 배합비 참조'!$B$2:$CE$83,MATCH("모시잎(국내산)",'🔖 배합비 참조'!$A$2:$A$83,0),MATCH($C32,'🔖 배합비 참조'!$B$1:$CE$1,0))/100,0),""))),"")</f>
        <v>0</v>
      </c>
      <c r="AS32" s="42" t="n">
        <f aca="false">IFERROR(IF($C32="","",IF($D32="","",IFERROR(ROUND($D32*INDEX('🔖 배합비 참조'!$B$2:$CE$83,MATCH("물엿(저당물엿)",'🔖 배합비 참조'!$A$2:$A$83,0),MATCH($C32,'🔖 배합비 참조'!$B$1:$CE$1,0))/100,0),""))),"")</f>
        <v>2</v>
      </c>
      <c r="AT32" s="42" t="n">
        <f aca="false">IFERROR(IF($C32="","",IF($D32="","",IFERROR(ROUND($D32*INDEX('🔖 배합비 참조'!$B$2:$CE$83,MATCH("밤다이스",'🔖 배합비 참조'!$A$2:$A$83,0),MATCH($C32,'🔖 배합비 참조'!$B$1:$CE$1,0))/100,0),""))),"")</f>
        <v>0</v>
      </c>
      <c r="AU32" s="42" t="n">
        <f aca="false">IFERROR(IF($C32="","",IF($D32="","",IFERROR(ROUND($D32*INDEX('🔖 배합비 참조'!$B$2:$CE$83,MATCH("변성전분(타피오카전분)",'🔖 배합비 참조'!$A$2:$A$83,0),MATCH($C32,'🔖 배합비 참조'!$B$1:$CE$1,0))/100,0),""))),"")</f>
        <v>0</v>
      </c>
      <c r="AV32" s="42" t="n">
        <f aca="false">IFERROR(IF($C32="","",IF($D32="","",IFERROR(ROUND($D32*INDEX('🔖 배합비 참조'!$B$2:$CE$83,MATCH("복음땅콩분태",'🔖 배합비 참조'!$A$2:$A$83,0),MATCH($C32,'🔖 배합비 참조'!$B$1:$CE$1,0))/100,0),""))),"")</f>
        <v>0</v>
      </c>
      <c r="AW32" s="42" t="n">
        <f aca="false">IFERROR(IF($C32="","",IF($D32="","",IFERROR(ROUND($D32*INDEX('🔖 배합비 참조'!$B$2:$CE$83,MATCH("사양벌꿀(국내산)",'🔖 배합비 참조'!$A$2:$A$83,0),MATCH($C32,'🔖 배합비 참조'!$B$1:$CE$1,0))/100,0),""))),"")</f>
        <v>0</v>
      </c>
      <c r="AX32" s="42" t="n">
        <f aca="false">IFERROR(IF($C32="","",IF($D32="","",IFERROR(ROUND($D32*INDEX('🔖 배합비 참조'!$B$2:$CE$83,MATCH("생크림",'🔖 배합비 참조'!$A$2:$A$83,0),MATCH($C32,'🔖 배합비 참조'!$B$1:$CE$1,0))/100,0),""))),"")</f>
        <v>0</v>
      </c>
      <c r="AY32" s="42" t="n">
        <f aca="false">IFERROR(IF($C32="","",IF($D32="","",IFERROR(ROUND($D32*INDEX('🔖 배합비 참조'!$B$2:$CE$83,MATCH("서양호박(국내산,뉴질랜드산)",'🔖 배합비 참조'!$A$2:$A$83,0),MATCH($C32,'🔖 배합비 참조'!$B$1:$CE$1,0))/100,0),""))),"")</f>
        <v>0</v>
      </c>
      <c r="AZ32" s="42" t="n">
        <f aca="false">IFERROR(IF($C32="","",IF($D32="","",IFERROR(ROUND($D32*INDEX('🔖 배합비 참조'!$B$2:$CE$83,MATCH("설탕",'🔖 배합비 참조'!$A$2:$A$83,0),MATCH($C32,'🔖 배합비 참조'!$B$1:$CE$1,0))/100,0),""))),"")</f>
        <v>2</v>
      </c>
      <c r="BA32" s="42" t="n">
        <f aca="false">IFERROR(IF($C32="","",IF($D32="","",IFERROR(ROUND($D32*INDEX('🔖 배합비 참조'!$B$2:$CE$83,MATCH("스트로우베리 에이드 후레쉬",'🔖 배합비 참조'!$A$2:$A$83,0),MATCH($C32,'🔖 배합비 참조'!$B$1:$CE$1,0))/100,0),""))),"")</f>
        <v>0</v>
      </c>
      <c r="BB32" s="42" t="n">
        <f aca="false">IFERROR(IF($C32="","",IF($D32="","",IFERROR(ROUND($D32*INDEX('🔖 배합비 참조'!$B$2:$CE$83,MATCH("식물성기름혼합제제(분홍)",'🔖 배합비 참조'!$A$2:$A$83,0),MATCH($C32,'🔖 배합비 참조'!$B$1:$CE$1,0))/100,0),""))),"")</f>
        <v>0</v>
      </c>
      <c r="BC32" s="42" t="n">
        <f aca="false">IFERROR(IF($C32="","",IF($D32="","",IFERROR(ROUND($D32*INDEX('🔖 배합비 참조'!$B$2:$CE$83,MATCH("식물성기름혼합제제(초록)",'🔖 배합비 참조'!$A$2:$A$83,0),MATCH($C32,'🔖 배합비 참조'!$B$1:$CE$1,0))/100,0),""))),"")</f>
        <v>0</v>
      </c>
      <c r="BD32" s="42" t="n">
        <f aca="false">IFERROR(IF($C32="","",IF($D32="","",IFERROR(ROUND($D32*INDEX('🔖 배합비 참조'!$B$2:$CE$83,MATCH("식물성기름혼합제제(황색)",'🔖 배합비 참조'!$A$2:$A$83,0),MATCH($C32,'🔖 배합비 참조'!$B$1:$CE$1,0))/100,0),""))),"")</f>
        <v>0</v>
      </c>
      <c r="BE32" s="42" t="n">
        <f aca="false">IFERROR(IF($C32="","",IF($D32="","",IFERROR(ROUND($D32*INDEX('🔖 배합비 참조'!$B$2:$CE$83,MATCH("쑥가루(국내산)",'🔖 배합비 참조'!$A$2:$A$83,0),MATCH($C32,'🔖 배합비 참조'!$B$1:$CE$1,0))/100,0),""))),"")</f>
        <v>0</v>
      </c>
      <c r="BF32" s="42" t="n">
        <f aca="false">IFERROR(IF($C32="","",IF($D32="","",IFERROR(ROUND($D32*INDEX('🔖 배합비 참조'!$B$2:$CE$83,MATCH("아몬드슬라이스",'🔖 배합비 참조'!$A$2:$A$83,0),MATCH($C32,'🔖 배합비 참조'!$B$1:$CE$1,0))/100,0),""))),"")</f>
        <v>0</v>
      </c>
      <c r="BG32" s="42" t="n">
        <f aca="false">IFERROR(IF($C32="","",IF($D32="","",IFERROR(ROUND($D32*INDEX('🔖 배합비 참조'!$B$2:$CE$83,MATCH("알룰로오스(국내산)",'🔖 배합비 참조'!$A$2:$A$83,0),MATCH($C32,'🔖 배합비 참조'!$B$1:$CE$1,0))/100,0),""))),"")</f>
        <v>0</v>
      </c>
      <c r="BH32" s="42" t="n">
        <f aca="false">IFERROR(IF($C32="","",IF($D32="","",IFERROR(ROUND($D32*INDEX('🔖 배합비 참조'!$B$2:$CE$83,MATCH("연유",'🔖 배합비 참조'!$A$2:$A$83,0),MATCH($C32,'🔖 배합비 참조'!$B$1:$CE$1,0))/100,0),""))),"")</f>
        <v>0</v>
      </c>
      <c r="BI32" s="42" t="n">
        <f aca="false">IFERROR(IF($C32="","",IF($D32="","",IFERROR(ROUND($D32*INDEX('🔖 배합비 참조'!$B$2:$CE$83,MATCH("옥수수전분",'🔖 배합비 참조'!$A$2:$A$83,0),MATCH($C32,'🔖 배합비 참조'!$B$1:$CE$1,0))/100,0),""))),"")</f>
        <v>0</v>
      </c>
      <c r="BJ32" s="42" t="n">
        <f aca="false">IFERROR(IF($C32="","",IF($D32="","",IFERROR(ROUND($D32*INDEX('🔖 배합비 참조'!$B$2:$CE$83,MATCH("완두배기",'🔖 배합비 참조'!$A$2:$A$83,0),MATCH($C32,'🔖 배합비 참조'!$B$1:$CE$1,0))/100,0),""))),"")</f>
        <v>0</v>
      </c>
      <c r="BK32" s="42" t="n">
        <f aca="false">IFERROR(IF($C32="","",IF($D32="","",IFERROR(ROUND($D32*INDEX('🔖 배합비 참조'!$B$2:$CE$83,MATCH("우유(국내산)",'🔖 배합비 참조'!$A$2:$A$83,0),MATCH($C32,'🔖 배합비 참조'!$B$1:$CE$1,0))/100,0),""))),"")</f>
        <v>0</v>
      </c>
      <c r="BL32" s="42" t="n">
        <f aca="false">IFERROR(IF($C32="","",IF($D32="","",IFERROR(ROUND($D32*INDEX('🔖 배합비 참조'!$B$2:$CE$83,MATCH("자색고구마가루(중국산)",'🔖 배합비 참조'!$A$2:$A$83,0),MATCH($C32,'🔖 배합비 참조'!$B$1:$CE$1,0))/100,0),""))),"")</f>
        <v>0</v>
      </c>
      <c r="BM32" s="42" t="n">
        <f aca="false">IFERROR(IF($C32="","",IF($D32="","",IFERROR(ROUND($D32*INDEX('🔖 배합비 참조'!$B$2:$CE$83,MATCH("자연치즈(체다치즈)",'🔖 배합비 참조'!$A$2:$A$83,0),MATCH($C32,'🔖 배합비 참조'!$B$1:$CE$1,0))/100,0),""))),"")</f>
        <v>0</v>
      </c>
      <c r="BN32" s="42" t="n">
        <f aca="false">IFERROR(IF($C32="","",IF($D32="","",IFERROR(ROUND($D32*INDEX('🔖 배합비 참조'!$B$2:$CE$83,MATCH("정제수",'🔖 배합비 참조'!$A$2:$A$83,0),MATCH($C32,'🔖 배합비 참조'!$B$1:$CE$1,0))/100,0),""))),"")</f>
        <v>0</v>
      </c>
      <c r="BO32" s="42" t="n">
        <f aca="false">IFERROR(IF($C32="","",IF($D32="","",IFERROR(ROUND($D32*INDEX('🔖 배합비 참조'!$B$2:$CE$83,MATCH("젤라틴",'🔖 배합비 참조'!$A$2:$A$83,0),MATCH($C32,'🔖 배합비 참조'!$B$1:$CE$1,0))/100,0),""))),"")</f>
        <v>0</v>
      </c>
      <c r="BP32" s="42" t="n">
        <f aca="false">IFERROR(IF($C32="","",IF($D32="","",IFERROR(ROUND($D32*INDEX('🔖 배합비 참조'!$B$2:$CE$83,MATCH("조림류(백옥앙금)",'🔖 배합비 참조'!$A$2:$A$83,0),MATCH($C32,'🔖 배합비 참조'!$B$1:$CE$1,0))/100,0),""))),"")</f>
        <v>0</v>
      </c>
      <c r="BQ32" s="42" t="n">
        <f aca="false">IFERROR(IF($C32="","",IF($D32="","",IFERROR(ROUND($D32*INDEX('🔖 배합비 참조'!$B$2:$CE$83,MATCH("조림류(통팥앙금)",'🔖 배합비 참조'!$A$2:$A$83,0),MATCH($C32,'🔖 배합비 참조'!$B$1:$CE$1,0))/100,0),""))),"")</f>
        <v>24</v>
      </c>
      <c r="BR32" s="42" t="n">
        <f aca="false">IFERROR(IF($C32="","",IF($D32="","",IFERROR(ROUND($D32*INDEX('🔖 배합비 참조'!$B$2:$CE$83,MATCH("준초콜릿(외국산)",'🔖 배합비 참조'!$A$2:$A$83,0),MATCH($C32,'🔖 배합비 참조'!$B$1:$CE$1,0))/100,0),""))),"")</f>
        <v>0</v>
      </c>
      <c r="BS32" s="42" t="n">
        <f aca="false">IFERROR(IF($C32="","",IF($D32="","",IFERROR(ROUND($D32*INDEX('🔖 배합비 참조'!$B$2:$CE$83,MATCH("중력분",'🔖 배합비 참조'!$A$2:$A$83,0),MATCH($C32,'🔖 배합비 참조'!$B$1:$CE$1,0))/100,0),""))),"")</f>
        <v>1</v>
      </c>
      <c r="BT32" s="42" t="n">
        <f aca="false">IFERROR(IF($C32="","",IF($D32="","",IFERROR(ROUND($D32*INDEX('🔖 배합비 참조'!$B$2:$CE$83,MATCH("참깨(인도산,나이지리아산,탄자니아산,미얀마산)",'🔖 배합비 참조'!$A$2:$A$83,0),MATCH($C32,'🔖 배합비 참조'!$B$1:$CE$1,0))/100,0),""))),"")</f>
        <v>0</v>
      </c>
      <c r="BU32" s="42" t="n">
        <f aca="false">IFERROR(IF($C32="","",IF($D32="","",IFERROR(ROUND($D32*INDEX('🔖 배합비 참조'!$B$2:$CE$83,MATCH("찹쌀(국내산)",'🔖 배합비 참조'!$A$2:$A$83,0),MATCH($C32,'🔖 배합비 참조'!$B$1:$CE$1,0))/100,0),""))),"")</f>
        <v>38</v>
      </c>
      <c r="BV32" s="42" t="n">
        <f aca="false">IFERROR(IF($C32="","",IF($D32="","",IFERROR(ROUND($D32*INDEX('🔖 배합비 참조'!$B$2:$CE$83,MATCH("천일염",'🔖 배합비 참조'!$A$2:$A$83,0),MATCH($C32,'🔖 배합비 참조'!$B$1:$CE$1,0))/100,0),""))),"")</f>
        <v>1</v>
      </c>
      <c r="BW32" s="42" t="n">
        <f aca="false">IFERROR(IF($C32="","",IF($D32="","",IFERROR(ROUND($D32*INDEX('🔖 배합비 참조'!$B$2:$CE$83,MATCH("치즈 [크림치즈]",'🔖 배합비 참조'!$A$2:$A$83,0),MATCH($C32,'🔖 배합비 참조'!$B$1:$CE$1,0))/100,0),""))),"")</f>
        <v>0</v>
      </c>
      <c r="BX32" s="42" t="n">
        <f aca="false">IFERROR(IF($C32="","",IF($D32="","",IFERROR(ROUND($D32*INDEX('🔖 배합비 참조'!$B$2:$CE$83,MATCH("코코아가공품류(코코아분말)",'🔖 배합비 참조'!$A$2:$A$83,0),MATCH($C32,'🔖 배합비 참조'!$B$1:$CE$1,0))/100,0),""))),"")</f>
        <v>0</v>
      </c>
      <c r="BY32" s="42" t="n">
        <f aca="false">IFERROR(IF($C32="","",IF($D32="","",IFERROR(ROUND($D32*INDEX('🔖 배합비 참조'!$B$2:$CE$83,MATCH("콩기름(대두유)",'🔖 배합비 참조'!$A$2:$A$83,0),MATCH($C32,'🔖 배합비 참조'!$B$1:$CE$1,0))/100,0),""))),"")</f>
        <v>0</v>
      </c>
      <c r="BZ32" s="42" t="n">
        <f aca="false">IFERROR(IF($C32="","",IF($D32="","",IFERROR(ROUND($D32*INDEX('🔖 배합비 참조'!$B$2:$CE$83,MATCH("해바라기씨앗",'🔖 배합비 참조'!$A$2:$A$83,0),MATCH($C32,'🔖 배합비 참조'!$B$1:$CE$1,0))/100,0),""))),"")</f>
        <v>0</v>
      </c>
      <c r="CA32" s="42" t="n">
        <f aca="false">IFERROR(IF($C32="","",IF($D32="","",IFERROR(ROUND($D32*INDEX('🔖 배합비 참조'!$B$2:$CE$83,MATCH("현미(국내산)",'🔖 배합비 참조'!$A$2:$A$83,0),MATCH($C32,'🔖 배합비 참조'!$B$1:$CE$1,0))/100,0),""))),"")</f>
        <v>0</v>
      </c>
      <c r="CB32" s="42" t="n">
        <f aca="false">IFERROR(IF($C32="","",IF($D32="","",IFERROR(ROUND($D32*INDEX('🔖 배합비 참조'!$B$2:$CE$83,MATCH("현미멥쌀(국내산)",'🔖 배합비 참조'!$A$2:$A$83,0),MATCH($C32,'🔖 배합비 참조'!$B$1:$CE$1,0))/100,0),""))),"")</f>
        <v>0</v>
      </c>
      <c r="CC32" s="42" t="n">
        <f aca="false">IFERROR(IF($C32="","",IF($D32="","",IFERROR(ROUND($D32*INDEX('🔖 배합비 참조'!$B$2:$CE$83,MATCH("호두분태(미국산)",'🔖 배합비 참조'!$A$2:$A$83,0),MATCH($C32,'🔖 배합비 참조'!$B$1:$CE$1,0))/100,0),""))),"")</f>
        <v>3</v>
      </c>
      <c r="CD32" s="42" t="n">
        <f aca="false">IFERROR(IF($C32="","",IF($D32="","",IFERROR(ROUND($D32*INDEX('🔖 배합비 참조'!$B$2:$CE$83,MATCH("호박씨앗(외국산)",'🔖 배합비 참조'!$A$2:$A$83,0),MATCH($C32,'🔖 배합비 참조'!$B$1:$CE$1,0))/100,0),""))),"")</f>
        <v>0</v>
      </c>
      <c r="CE32" s="42" t="n">
        <f aca="false">IFERROR(IF($C32="","",IF($D32="","",IFERROR(ROUND($D32*INDEX('🔖 배합비 참조'!$B$2:$CE$83,MATCH("혼합제제(떡용에스텔)",'🔖 배합비 참조'!$A$2:$A$83,0),MATCH($C32,'🔖 배합비 참조'!$B$1:$CE$1,0))/100,0),""))),"")</f>
        <v>0</v>
      </c>
      <c r="CF32" s="42" t="n">
        <f aca="false">IFERROR(IF($C32="","",IF($D32="","",IFERROR(ROUND($D32*INDEX('🔖 배합비 참조'!$B$2:$CE$83,MATCH("혼합제제(스테비아)",'🔖 배합비 참조'!$A$2:$A$83,0),MATCH($C32,'🔖 배합비 참조'!$B$1:$CE$1,0))/100,0),""))),"")</f>
        <v>0</v>
      </c>
      <c r="CG32" s="42" t="n">
        <f aca="false">IFERROR(IF($C32="","",IF($D32="","",IFERROR(ROUND($D32*INDEX('🔖 배합비 참조'!$B$2:$CE$83,MATCH("화이트초콜릿",'🔖 배합비 참조'!$A$2:$A$83,0),MATCH($C32,'🔖 배합비 참조'!$B$1:$CE$1,0))/100,0),""))),"")</f>
        <v>0</v>
      </c>
      <c r="CH32" s="42" t="n">
        <f aca="false">IFERROR(IF($C32="","",IF($D32="","",IFERROR(ROUND($D32*INDEX('🔖 배합비 참조'!$B$2:$CE$83,MATCH("흑미찹쌀(국내산)",'🔖 배합비 참조'!$A$2:$A$83,0),MATCH($C32,'🔖 배합비 참조'!$B$1:$CE$1,0))/100,0),""))),"")</f>
        <v>0</v>
      </c>
      <c r="CI32" s="42" t="n">
        <f aca="false">IFERROR(IF($C32="","",IF($D32="","",IFERROR(ROUND($D32*INDEX('🔖 배합비 참조'!$B$2:$CE$83,MATCH("찰옥수수전분(미국산)",'🔖 배합비 참조'!$A$2:$A$83,0),MATCH($C32,'🔖 배합비 참조'!$B$1:$CE$1,0))/100,0),""))),"")</f>
        <v>0</v>
      </c>
      <c r="CJ32" s="40"/>
      <c r="CL32" s="1" t="s">
        <v>235</v>
      </c>
    </row>
    <row r="33" customFormat="false" ht="18" hidden="false" customHeight="true" outlineLevel="0" collapsed="false">
      <c r="A33" s="35" t="n">
        <v>29</v>
      </c>
      <c r="B33" s="36" t="n">
        <v>45958</v>
      </c>
      <c r="C33" s="37" t="s">
        <v>237</v>
      </c>
      <c r="D33" s="38" t="n">
        <v>70</v>
      </c>
      <c r="E33" s="13"/>
      <c r="F33" s="13"/>
      <c r="G33" s="39" t="n">
        <f aca="false">IFERROR(IF($C33="","",IF($D33="","",IFERROR(ROUND($D33*INDEX('🔖 배합비 참조'!$B$2:$CE$83,MATCH("간장",'🔖 배합비 참조'!$A$2:$A$83,0),MATCH($C33,'🔖 배합비 참조'!$B$1:$CE$1,0))/100,0),""))),"")</f>
        <v>0</v>
      </c>
      <c r="H33" s="39" t="n">
        <f aca="false">IFERROR(IF($C33="","",IF($D33="","",IFERROR(ROUND($D33*INDEX('🔖 배합비 참조'!$B$2:$CE$83,MATCH("강낭콩((울타리콩))",'🔖 배합비 참조'!$A$2:$A$83,0),MATCH($C33,'🔖 배합비 참조'!$B$1:$CE$1,0))/100,0),""))),"")</f>
        <v>0</v>
      </c>
      <c r="I33" s="39" t="n">
        <f aca="false">IFERROR(IF($C33="","",IF($D33="","",IFERROR(ROUND($D33*INDEX('🔖 배합비 참조'!$B$2:$CE$83,MATCH("건조딸기다이스(외국산)",'🔖 배합비 참조'!$A$2:$A$83,0),MATCH($C33,'🔖 배합비 참조'!$B$1:$CE$1,0))/100,0),""))),"")</f>
        <v>0</v>
      </c>
      <c r="J33" s="39" t="n">
        <f aca="false">IFERROR(IF($C33="","",IF($D33="","",IFERROR(ROUND($D33*INDEX('🔖 배합비 참조'!$B$2:$CE$83,MATCH("건포도",'🔖 배합비 참조'!$A$2:$A$83,0),MATCH($C33,'🔖 배합비 참조'!$B$1:$CE$1,0))/100,0),""))),"")</f>
        <v>0</v>
      </c>
      <c r="K33" s="39" t="n">
        <f aca="false">IFERROR(IF($C33="","",IF($D33="","",IFERROR(ROUND($D33*INDEX('🔖 배합비 참조'!$B$2:$CE$83,MATCH("건호박채(중국산)",'🔖 배합비 참조'!$A$2:$A$83,0),MATCH($C33,'🔖 배합비 참조'!$B$1:$CE$1,0))/100,0),""))),"")</f>
        <v>0</v>
      </c>
      <c r="L33" s="39" t="n">
        <f aca="false">IFERROR(IF($C33="","",IF($D33="","",IFERROR(ROUND($D33*INDEX('🔖 배합비 참조'!$B$2:$CE$83,MATCH("검정깨(흑임자)",'🔖 배합비 참조'!$A$2:$A$83,0),MATCH($C33,'🔖 배합비 참조'!$B$1:$CE$1,0))/100,0),""))),"")</f>
        <v>0</v>
      </c>
      <c r="M33" s="39" t="n">
        <f aca="false">IFERROR(IF($C33="","",IF($D33="","",IFERROR(ROUND($D33*INDEX('🔖 배합비 참조'!$B$2:$CE$83,MATCH("검정콩",'🔖 배합비 참조'!$A$2:$A$83,0),MATCH($C33,'🔖 배합비 참조'!$B$1:$CE$1,0))/100,0),""))),"")</f>
        <v>0</v>
      </c>
      <c r="N33" s="39" t="n">
        <f aca="false">IFERROR(IF($C33="","",IF($D33="","",IFERROR(ROUND($D33*INDEX('🔖 배합비 참조'!$B$2:$CE$83,MATCH("계피가루",'🔖 배합비 참조'!$A$2:$A$83,0),MATCH($C33,'🔖 배합비 참조'!$B$1:$CE$1,0))/100,0),""))),"")</f>
        <v>0</v>
      </c>
      <c r="O33" s="39" t="n">
        <f aca="false">IFERROR(IF($C33="","",IF($D33="","",IFERROR(ROUND($D33*INDEX('🔖 배합비 참조'!$B$2:$CE$83,MATCH("고구마가루",'🔖 배합비 참조'!$A$2:$A$83,0),MATCH($C33,'🔖 배합비 참조'!$B$1:$CE$1,0))/100,0),""))),"")</f>
        <v>0</v>
      </c>
      <c r="P33" s="39" t="n">
        <f aca="false">IFERROR(IF($C33="","",IF($D33="","",IFERROR(ROUND($D33*INDEX('🔖 배합비 참조'!$B$2:$CE$83,MATCH("고구마무스",'🔖 배합비 참조'!$A$2:$A$83,0),MATCH($C33,'🔖 배합비 참조'!$B$1:$CE$1,0))/100,0),""))),"")</f>
        <v>0</v>
      </c>
      <c r="Q33" s="39" t="n">
        <f aca="false">IFERROR(IF($C33="","",IF($D33="","",IFERROR(ROUND($D33*INDEX('🔖 배합비 참조'!$B$2:$CE$83,MATCH("고려엉겅퀴((곤드레)국내산)",'🔖 배합비 참조'!$A$2:$A$83,0),MATCH($C33,'🔖 배합비 참조'!$B$1:$CE$1,0))/100,0),""))),"")</f>
        <v>0</v>
      </c>
      <c r="R33" s="39" t="n">
        <f aca="false">IFERROR(IF($C33="","",IF($D33="","",IFERROR(ROUND($D33*INDEX('🔖 배합비 참조'!$B$2:$CE$83,MATCH("기타가공품(복분자가루)",'🔖 배합비 참조'!$A$2:$A$83,0),MATCH($C33,'🔖 배합비 참조'!$B$1:$CE$1,0))/100,0),""))),"")</f>
        <v>0</v>
      </c>
      <c r="S33" s="39" t="n">
        <f aca="false">IFERROR(IF($C33="","",IF($D33="","",IFERROR(ROUND($D33*INDEX('🔖 배합비 참조'!$B$2:$CE$83,MATCH("기타가공품(슈퍼소프트엠)",'🔖 배합비 참조'!$A$2:$A$83,0),MATCH($C33,'🔖 배합비 참조'!$B$1:$CE$1,0))/100,0),""))),"")</f>
        <v>0</v>
      </c>
      <c r="T33" s="39" t="n">
        <f aca="false">IFERROR(IF($C33="","",IF($D33="","",IFERROR(ROUND($D33*INDEX('🔖 배합비 참조'!$B$2:$CE$83,MATCH("기타가공품(파인소프트 E-티)",'🔖 배합비 참조'!$A$2:$A$83,0),MATCH($C33,'🔖 배합비 참조'!$B$1:$CE$1,0))/100,0),""))),"")</f>
        <v>0</v>
      </c>
      <c r="U33" s="39" t="n">
        <f aca="false">IFERROR(IF($C33="","",IF($D33="","",IFERROR(ROUND($D33*INDEX('🔖 배합비 참조'!$B$2:$CE$83,MATCH("기타가공품(프리미엄카스테라가루)",'🔖 배합비 참조'!$A$2:$A$83,0),MATCH($C33,'🔖 배합비 참조'!$B$1:$CE$1,0))/100,0),""))),"")</f>
        <v>0</v>
      </c>
      <c r="V33" s="39" t="n">
        <f aca="false">IFERROR(IF($C33="","",IF($D33="","",IFERROR(ROUND($D33*INDEX('🔖 배합비 참조'!$B$2:$CE$83,MATCH("기타가공품(흑임자가루)",'🔖 배합비 참조'!$A$2:$A$83,0),MATCH($C33,'🔖 배합비 참조'!$B$1:$CE$1,0))/100,0),""))),"")</f>
        <v>0</v>
      </c>
      <c r="W33" s="39" t="n">
        <f aca="false">IFERROR(IF($C33="","",IF($D33="","",IFERROR(ROUND($D33*INDEX('🔖 배합비 참조'!$B$2:$CE$83,MATCH("기타설탕(흑설탕)",'🔖 배합비 참조'!$A$2:$A$83,0),MATCH($C33,'🔖 배합비 참조'!$B$1:$CE$1,0))/100,0),""))),"")</f>
        <v>0</v>
      </c>
      <c r="X33" s="39" t="n">
        <f aca="false">IFERROR(IF($C33="","",IF($D33="","",IFERROR(ROUND($D33*INDEX('🔖 배합비 참조'!$B$2:$CE$83,MATCH("냉동쑥(국내산)",'🔖 배합비 참조'!$A$2:$A$83,0),MATCH($C33,'🔖 배합비 참조'!$B$1:$CE$1,0))/100,0),""))),"")</f>
        <v>0</v>
      </c>
      <c r="Y33" s="39" t="n">
        <f aca="false">IFERROR(IF($C33="","",IF($D33="","",IFERROR(ROUND($D33*INDEX('🔖 배합비 참조'!$B$2:$CE$83,MATCH("냉동증숙고구마(중국산)",'🔖 배합비 참조'!$A$2:$A$83,0),MATCH($C33,'🔖 배합비 참조'!$B$1:$CE$1,0))/100,0),""))),"")</f>
        <v>0</v>
      </c>
      <c r="Z33" s="39" t="n">
        <f aca="false">IFERROR(IF($C33="","",IF($D33="","",IFERROR(ROUND($D33*INDEX('🔖 배합비 참조'!$B$2:$CE$83,MATCH("녹차가루",'🔖 배합비 참조'!$A$2:$A$83,0),MATCH($C33,'🔖 배합비 참조'!$B$1:$CE$1,0))/100,0),""))),"")</f>
        <v>0</v>
      </c>
      <c r="AA33" s="39" t="n">
        <f aca="false">IFERROR(IF($C33="","",IF($D33="","",IFERROR(ROUND($D33*INDEX('🔖 배합비 참조'!$B$2:$CE$83,MATCH("다크초콜릿 컴파운드칩",'🔖 배합비 참조'!$A$2:$A$83,0),MATCH($C33,'🔖 배합비 참조'!$B$1:$CE$1,0))/100,0),""))),"")</f>
        <v>0</v>
      </c>
      <c r="AB33" s="39" t="n">
        <f aca="false">IFERROR(IF($C33="","",IF($D33="","",IFERROR(ROUND($D33*INDEX('🔖 배합비 참조'!$B$2:$CE$83,MATCH("단호박분말(중국산)",'🔖 배합비 참조'!$A$2:$A$83,0),MATCH($C33,'🔖 배합비 참조'!$B$1:$CE$1,0))/100,0),""))),"")</f>
        <v>1</v>
      </c>
      <c r="AC33" s="39" t="n">
        <f aca="false">IFERROR(IF($C33="","",IF($D33="","",IFERROR(ROUND($D33*INDEX('🔖 배합비 참조'!$B$2:$CE$83,MATCH("당류가공품(단호박농축액)",'🔖 배합비 참조'!$A$2:$A$83,0),MATCH($C33,'🔖 배합비 참조'!$B$1:$CE$1,0))/100,0),""))),"")</f>
        <v>0</v>
      </c>
      <c r="AD33" s="39" t="n">
        <f aca="false">IFERROR(IF($C33="","",IF($D33="","",IFERROR(ROUND($D33*INDEX('🔖 배합비 참조'!$B$2:$CE$83,MATCH("당류가공품(알룰로스,에리스리톨,스테비올배당체혼합)",'🔖 배합비 참조'!$A$2:$A$83,0),MATCH($C33,'🔖 배합비 참조'!$B$1:$CE$1,0))/100,0),""))),"")</f>
        <v>0</v>
      </c>
      <c r="AE33" s="39" t="n">
        <f aca="false">IFERROR(IF($C33="","",IF($D33="","",IFERROR(ROUND($D33*INDEX('🔖 배합비 참조'!$B$2:$CE$83,MATCH("당류가공품(알룰로스제로파우더)",'🔖 배합비 참조'!$A$2:$A$83,0),MATCH($C33,'🔖 배합비 참조'!$B$1:$CE$1,0))/100,0),""))),"")</f>
        <v>0</v>
      </c>
      <c r="AF33" s="39" t="n">
        <f aca="false">IFERROR(IF($C33="","",IF($D33="","",IFERROR(ROUND($D33*INDEX('🔖 배합비 참조'!$B$2:$CE$83,MATCH("당절임(완두배기)",'🔖 배합비 참조'!$A$2:$A$83,0),MATCH($C33,'🔖 배합비 참조'!$B$1:$CE$1,0))/100,0),""))),"")</f>
        <v>0</v>
      </c>
      <c r="AG33" s="39" t="n">
        <f aca="false">IFERROR(IF($C33="","",IF($D33="","",IFERROR(ROUND($D33*INDEX('🔖 배합비 참조'!$B$2:$CE$83,MATCH("대추농축액",'🔖 배합비 참조'!$A$2:$A$83,0),MATCH($C33,'🔖 배합비 참조'!$B$1:$CE$1,0))/100,0),""))),"")</f>
        <v>0</v>
      </c>
      <c r="AH33" s="39" t="n">
        <f aca="false">IFERROR(IF($C33="","",IF($D33="","",IFERROR(ROUND($D33*INDEX('🔖 배합비 참조'!$B$2:$CE$83,MATCH("대추채(국내산)",'🔖 배합비 참조'!$A$2:$A$83,0),MATCH($C33,'🔖 배합비 참조'!$B$1:$CE$1,0))/100,0),""))),"")</f>
        <v>0</v>
      </c>
      <c r="AI33" s="39" t="n">
        <f aca="false">IFERROR(IF($C33="","",IF($D33="","",IFERROR(ROUND($D33*INDEX('🔖 배합비 참조'!$B$2:$CE$83,MATCH("동부(미얀마산)",'🔖 배합비 참조'!$A$2:$A$83,0),MATCH($C33,'🔖 배합비 참조'!$B$1:$CE$1,0))/100,0),""))),"")</f>
        <v>0</v>
      </c>
      <c r="AJ33" s="39" t="n">
        <f aca="false">IFERROR(IF($C33="","",IF($D33="","",IFERROR(ROUND($D33*INDEX('🔖 배합비 참조'!$B$2:$CE$83,MATCH("두류가공품(백옥앙금)",'🔖 배합비 참조'!$A$2:$A$83,0),MATCH($C33,'🔖 배합비 참조'!$B$1:$CE$1,0))/100,0),""))),"")</f>
        <v>0</v>
      </c>
      <c r="AK33" s="39" t="n">
        <f aca="false">IFERROR(IF($C33="","",IF($D33="","",IFERROR(ROUND($D33*INDEX('🔖 배합비 참조'!$B$2:$CE$83,MATCH("두류가공품(콩고물)",'🔖 배합비 참조'!$A$2:$A$83,0),MATCH($C33,'🔖 배합비 참조'!$B$1:$CE$1,0))/100,0),""))),"")</f>
        <v>0</v>
      </c>
      <c r="AL33" s="39" t="n">
        <f aca="false">IFERROR(IF($C33="","",IF($D33="","",IFERROR(ROUND($D33*INDEX('🔖 배합비 참조'!$B$2:$CE$83,MATCH("두류가공품(통팥고물)",'🔖 배합비 참조'!$A$2:$A$83,0),MATCH($C33,'🔖 배합비 참조'!$B$1:$CE$1,0))/100,0),""))),"")</f>
        <v>0</v>
      </c>
      <c r="AM33" s="39" t="n">
        <f aca="false">IFERROR(IF($C33="","",IF($D33="","",IFERROR(ROUND($D33*INDEX('🔖 배합비 참조'!$B$2:$CE$83,MATCH("딸기레진",'🔖 배합비 참조'!$A$2:$A$83,0),MATCH($C33,'🔖 배합비 참조'!$B$1:$CE$1,0))/100,0),""))),"")</f>
        <v>0</v>
      </c>
      <c r="AN33" s="39" t="n">
        <f aca="false">IFERROR(IF($C33="","",IF($D33="","",IFERROR(ROUND($D33*INDEX('🔖 배합비 참조'!$B$2:$CE$83,MATCH("딸기분말(스트로우베리에이드(분말))",'🔖 배합비 참조'!$A$2:$A$83,0),MATCH($C33,'🔖 배합비 참조'!$B$1:$CE$1,0))/100,0),""))),"")</f>
        <v>0</v>
      </c>
      <c r="AO33" s="39" t="n">
        <f aca="false">IFERROR(IF($C33="","",IF($D33="","",IFERROR(ROUND($D33*INDEX('🔖 배합비 참조'!$B$2:$CE$83,MATCH("마스카포네치즈",'🔖 배합비 참조'!$A$2:$A$83,0),MATCH($C33,'🔖 배합비 참조'!$B$1:$CE$1,0))/100,0),""))),"")</f>
        <v>0</v>
      </c>
      <c r="AP33" s="39" t="n">
        <f aca="false">IFERROR(IF($C33="","",IF($D33="","",IFERROR(ROUND($D33*INDEX('🔖 배합비 참조'!$B$2:$CE$83,MATCH("마카다미아분태(호주산)",'🔖 배합비 참조'!$A$2:$A$83,0),MATCH($C33,'🔖 배합비 참조'!$B$1:$CE$1,0))/100,0),""))),"")</f>
        <v>0</v>
      </c>
      <c r="AQ33" s="39" t="n">
        <f aca="false">IFERROR(IF($C33="","",IF($D33="","",IFERROR(ROUND($D33*INDEX('🔖 배합비 참조'!$B$2:$CE$83,MATCH("멥쌀(국내산)",'🔖 배합비 참조'!$A$2:$A$83,0),MATCH($C33,'🔖 배합비 참조'!$B$1:$CE$1,0))/100,0),""))),"")</f>
        <v>0</v>
      </c>
      <c r="AR33" s="39" t="n">
        <f aca="false">IFERROR(IF($C33="","",IF($D33="","",IFERROR(ROUND($D33*INDEX('🔖 배합비 참조'!$B$2:$CE$83,MATCH("모시잎(국내산)",'🔖 배합비 참조'!$A$2:$A$83,0),MATCH($C33,'🔖 배합비 참조'!$B$1:$CE$1,0))/100,0),""))),"")</f>
        <v>0</v>
      </c>
      <c r="AS33" s="39" t="n">
        <f aca="false">IFERROR(IF($C33="","",IF($D33="","",IFERROR(ROUND($D33*INDEX('🔖 배합비 참조'!$B$2:$CE$83,MATCH("물엿(저당물엿)",'🔖 배합비 참조'!$A$2:$A$83,0),MATCH($C33,'🔖 배합비 참조'!$B$1:$CE$1,0))/100,0),""))),"")</f>
        <v>1</v>
      </c>
      <c r="AT33" s="39" t="n">
        <f aca="false">IFERROR(IF($C33="","",IF($D33="","",IFERROR(ROUND($D33*INDEX('🔖 배합비 참조'!$B$2:$CE$83,MATCH("밤다이스",'🔖 배합비 참조'!$A$2:$A$83,0),MATCH($C33,'🔖 배합비 참조'!$B$1:$CE$1,0))/100,0),""))),"")</f>
        <v>0</v>
      </c>
      <c r="AU33" s="39" t="n">
        <f aca="false">IFERROR(IF($C33="","",IF($D33="","",IFERROR(ROUND($D33*INDEX('🔖 배합비 참조'!$B$2:$CE$83,MATCH("변성전분(타피오카전분)",'🔖 배합비 참조'!$A$2:$A$83,0),MATCH($C33,'🔖 배합비 참조'!$B$1:$CE$1,0))/100,0),""))),"")</f>
        <v>0</v>
      </c>
      <c r="AV33" s="39" t="n">
        <f aca="false">IFERROR(IF($C33="","",IF($D33="","",IFERROR(ROUND($D33*INDEX('🔖 배합비 참조'!$B$2:$CE$83,MATCH("복음땅콩분태",'🔖 배합비 참조'!$A$2:$A$83,0),MATCH($C33,'🔖 배합비 참조'!$B$1:$CE$1,0))/100,0),""))),"")</f>
        <v>0</v>
      </c>
      <c r="AW33" s="39" t="n">
        <f aca="false">IFERROR(IF($C33="","",IF($D33="","",IFERROR(ROUND($D33*INDEX('🔖 배합비 참조'!$B$2:$CE$83,MATCH("사양벌꿀(국내산)",'🔖 배합비 참조'!$A$2:$A$83,0),MATCH($C33,'🔖 배합비 참조'!$B$1:$CE$1,0))/100,0),""))),"")</f>
        <v>0</v>
      </c>
      <c r="AX33" s="39" t="n">
        <f aca="false">IFERROR(IF($C33="","",IF($D33="","",IFERROR(ROUND($D33*INDEX('🔖 배합비 참조'!$B$2:$CE$83,MATCH("생크림",'🔖 배합비 참조'!$A$2:$A$83,0),MATCH($C33,'🔖 배합비 참조'!$B$1:$CE$1,0))/100,0),""))),"")</f>
        <v>0</v>
      </c>
      <c r="AY33" s="39" t="n">
        <f aca="false">IFERROR(IF($C33="","",IF($D33="","",IFERROR(ROUND($D33*INDEX('🔖 배합비 참조'!$B$2:$CE$83,MATCH("서양호박(국내산,뉴질랜드산)",'🔖 배합비 참조'!$A$2:$A$83,0),MATCH($C33,'🔖 배합비 참조'!$B$1:$CE$1,0))/100,0),""))),"")</f>
        <v>0</v>
      </c>
      <c r="AZ33" s="39" t="n">
        <f aca="false">IFERROR(IF($C33="","",IF($D33="","",IFERROR(ROUND($D33*INDEX('🔖 배합비 참조'!$B$2:$CE$83,MATCH("설탕",'🔖 배합비 참조'!$A$2:$A$83,0),MATCH($C33,'🔖 배합비 참조'!$B$1:$CE$1,0))/100,0),""))),"")</f>
        <v>1</v>
      </c>
      <c r="BA33" s="39" t="n">
        <f aca="false">IFERROR(IF($C33="","",IF($D33="","",IFERROR(ROUND($D33*INDEX('🔖 배합비 참조'!$B$2:$CE$83,MATCH("스트로우베리 에이드 후레쉬",'🔖 배합비 참조'!$A$2:$A$83,0),MATCH($C33,'🔖 배합비 참조'!$B$1:$CE$1,0))/100,0),""))),"")</f>
        <v>0</v>
      </c>
      <c r="BB33" s="39" t="n">
        <f aca="false">IFERROR(IF($C33="","",IF($D33="","",IFERROR(ROUND($D33*INDEX('🔖 배합비 참조'!$B$2:$CE$83,MATCH("식물성기름혼합제제(분홍)",'🔖 배합비 참조'!$A$2:$A$83,0),MATCH($C33,'🔖 배합비 참조'!$B$1:$CE$1,0))/100,0),""))),"")</f>
        <v>0</v>
      </c>
      <c r="BC33" s="39" t="n">
        <f aca="false">IFERROR(IF($C33="","",IF($D33="","",IFERROR(ROUND($D33*INDEX('🔖 배합비 참조'!$B$2:$CE$83,MATCH("식물성기름혼합제제(초록)",'🔖 배합비 참조'!$A$2:$A$83,0),MATCH($C33,'🔖 배합비 참조'!$B$1:$CE$1,0))/100,0),""))),"")</f>
        <v>0</v>
      </c>
      <c r="BD33" s="39" t="n">
        <f aca="false">IFERROR(IF($C33="","",IF($D33="","",IFERROR(ROUND($D33*INDEX('🔖 배합비 참조'!$B$2:$CE$83,MATCH("식물성기름혼합제제(황색)",'🔖 배합비 참조'!$A$2:$A$83,0),MATCH($C33,'🔖 배합비 참조'!$B$1:$CE$1,0))/100,0),""))),"")</f>
        <v>0</v>
      </c>
      <c r="BE33" s="39" t="n">
        <f aca="false">IFERROR(IF($C33="","",IF($D33="","",IFERROR(ROUND($D33*INDEX('🔖 배합비 참조'!$B$2:$CE$83,MATCH("쑥가루(국내산)",'🔖 배합비 참조'!$A$2:$A$83,0),MATCH($C33,'🔖 배합비 참조'!$B$1:$CE$1,0))/100,0),""))),"")</f>
        <v>0</v>
      </c>
      <c r="BF33" s="39" t="n">
        <f aca="false">IFERROR(IF($C33="","",IF($D33="","",IFERROR(ROUND($D33*INDEX('🔖 배합비 참조'!$B$2:$CE$83,MATCH("아몬드슬라이스",'🔖 배합비 참조'!$A$2:$A$83,0),MATCH($C33,'🔖 배합비 참조'!$B$1:$CE$1,0))/100,0),""))),"")</f>
        <v>0</v>
      </c>
      <c r="BG33" s="39" t="n">
        <f aca="false">IFERROR(IF($C33="","",IF($D33="","",IFERROR(ROUND($D33*INDEX('🔖 배합비 참조'!$B$2:$CE$83,MATCH("알룰로오스(국내산)",'🔖 배합비 참조'!$A$2:$A$83,0),MATCH($C33,'🔖 배합비 참조'!$B$1:$CE$1,0))/100,0),""))),"")</f>
        <v>0</v>
      </c>
      <c r="BH33" s="39" t="n">
        <f aca="false">IFERROR(IF($C33="","",IF($D33="","",IFERROR(ROUND($D33*INDEX('🔖 배합비 참조'!$B$2:$CE$83,MATCH("연유",'🔖 배합비 참조'!$A$2:$A$83,0),MATCH($C33,'🔖 배합비 참조'!$B$1:$CE$1,0))/100,0),""))),"")</f>
        <v>0</v>
      </c>
      <c r="BI33" s="39" t="n">
        <f aca="false">IFERROR(IF($C33="","",IF($D33="","",IFERROR(ROUND($D33*INDEX('🔖 배합비 참조'!$B$2:$CE$83,MATCH("옥수수전분",'🔖 배합비 참조'!$A$2:$A$83,0),MATCH($C33,'🔖 배합비 참조'!$B$1:$CE$1,0))/100,0),""))),"")</f>
        <v>0</v>
      </c>
      <c r="BJ33" s="39" t="n">
        <f aca="false">IFERROR(IF($C33="","",IF($D33="","",IFERROR(ROUND($D33*INDEX('🔖 배합비 참조'!$B$2:$CE$83,MATCH("완두배기",'🔖 배합비 참조'!$A$2:$A$83,0),MATCH($C33,'🔖 배합비 참조'!$B$1:$CE$1,0))/100,0),""))),"")</f>
        <v>0</v>
      </c>
      <c r="BK33" s="39" t="n">
        <f aca="false">IFERROR(IF($C33="","",IF($D33="","",IFERROR(ROUND($D33*INDEX('🔖 배합비 참조'!$B$2:$CE$83,MATCH("우유(국내산)",'🔖 배합비 참조'!$A$2:$A$83,0),MATCH($C33,'🔖 배합비 참조'!$B$1:$CE$1,0))/100,0),""))),"")</f>
        <v>0</v>
      </c>
      <c r="BL33" s="39" t="n">
        <f aca="false">IFERROR(IF($C33="","",IF($D33="","",IFERROR(ROUND($D33*INDEX('🔖 배합비 참조'!$B$2:$CE$83,MATCH("자색고구마가루(중국산)",'🔖 배합비 참조'!$A$2:$A$83,0),MATCH($C33,'🔖 배합비 참조'!$B$1:$CE$1,0))/100,0),""))),"")</f>
        <v>0</v>
      </c>
      <c r="BM33" s="39" t="n">
        <f aca="false">IFERROR(IF($C33="","",IF($D33="","",IFERROR(ROUND($D33*INDEX('🔖 배합비 참조'!$B$2:$CE$83,MATCH("자연치즈(체다치즈)",'🔖 배합비 참조'!$A$2:$A$83,0),MATCH($C33,'🔖 배합비 참조'!$B$1:$CE$1,0))/100,0),""))),"")</f>
        <v>0</v>
      </c>
      <c r="BN33" s="39" t="n">
        <f aca="false">IFERROR(IF($C33="","",IF($D33="","",IFERROR(ROUND($D33*INDEX('🔖 배합비 참조'!$B$2:$CE$83,MATCH("정제수",'🔖 배합비 참조'!$A$2:$A$83,0),MATCH($C33,'🔖 배합비 참조'!$B$1:$CE$1,0))/100,0),""))),"")</f>
        <v>9</v>
      </c>
      <c r="BO33" s="39" t="n">
        <f aca="false">IFERROR(IF($C33="","",IF($D33="","",IFERROR(ROUND($D33*INDEX('🔖 배합비 참조'!$B$2:$CE$83,MATCH("젤라틴",'🔖 배합비 참조'!$A$2:$A$83,0),MATCH($C33,'🔖 배합비 참조'!$B$1:$CE$1,0))/100,0),""))),"")</f>
        <v>0</v>
      </c>
      <c r="BP33" s="39" t="n">
        <f aca="false">IFERROR(IF($C33="","",IF($D33="","",IFERROR(ROUND($D33*INDEX('🔖 배합비 참조'!$B$2:$CE$83,MATCH("조림류(백옥앙금)",'🔖 배합비 참조'!$A$2:$A$83,0),MATCH($C33,'🔖 배합비 참조'!$B$1:$CE$1,0))/100,0),""))),"")</f>
        <v>0</v>
      </c>
      <c r="BQ33" s="39" t="n">
        <f aca="false">IFERROR(IF($C33="","",IF($D33="","",IFERROR(ROUND($D33*INDEX('🔖 배합비 참조'!$B$2:$CE$83,MATCH("조림류(통팥앙금)",'🔖 배합비 참조'!$A$2:$A$83,0),MATCH($C33,'🔖 배합비 참조'!$B$1:$CE$1,0))/100,0),""))),"")</f>
        <v>26</v>
      </c>
      <c r="BR33" s="39" t="n">
        <f aca="false">IFERROR(IF($C33="","",IF($D33="","",IFERROR(ROUND($D33*INDEX('🔖 배합비 참조'!$B$2:$CE$83,MATCH("준초콜릿(외국산)",'🔖 배합비 참조'!$A$2:$A$83,0),MATCH($C33,'🔖 배합비 참조'!$B$1:$CE$1,0))/100,0),""))),"")</f>
        <v>0</v>
      </c>
      <c r="BS33" s="39" t="n">
        <f aca="false">IFERROR(IF($C33="","",IF($D33="","",IFERROR(ROUND($D33*INDEX('🔖 배합비 참조'!$B$2:$CE$83,MATCH("중력분",'🔖 배합비 참조'!$A$2:$A$83,0),MATCH($C33,'🔖 배합비 참조'!$B$1:$CE$1,0))/100,0),""))),"")</f>
        <v>0</v>
      </c>
      <c r="BT33" s="39" t="n">
        <f aca="false">IFERROR(IF($C33="","",IF($D33="","",IFERROR(ROUND($D33*INDEX('🔖 배합비 참조'!$B$2:$CE$83,MATCH("참깨(인도산,나이지리아산,탄자니아산,미얀마산)",'🔖 배합비 참조'!$A$2:$A$83,0),MATCH($C33,'🔖 배합비 참조'!$B$1:$CE$1,0))/100,0),""))),"")</f>
        <v>0</v>
      </c>
      <c r="BU33" s="39" t="n">
        <f aca="false">IFERROR(IF($C33="","",IF($D33="","",IFERROR(ROUND($D33*INDEX('🔖 배합비 참조'!$B$2:$CE$83,MATCH("찹쌀(국내산)",'🔖 배합비 참조'!$A$2:$A$83,0),MATCH($C33,'🔖 배합비 참조'!$B$1:$CE$1,0))/100,0),""))),"")</f>
        <v>27</v>
      </c>
      <c r="BV33" s="39" t="n">
        <f aca="false">IFERROR(IF($C33="","",IF($D33="","",IFERROR(ROUND($D33*INDEX('🔖 배합비 참조'!$B$2:$CE$83,MATCH("천일염",'🔖 배합비 참조'!$A$2:$A$83,0),MATCH($C33,'🔖 배합비 참조'!$B$1:$CE$1,0))/100,0),""))),"")</f>
        <v>0</v>
      </c>
      <c r="BW33" s="39" t="n">
        <f aca="false">IFERROR(IF($C33="","",IF($D33="","",IFERROR(ROUND($D33*INDEX('🔖 배합비 참조'!$B$2:$CE$83,MATCH("치즈 [크림치즈]",'🔖 배합비 참조'!$A$2:$A$83,0),MATCH($C33,'🔖 배합비 참조'!$B$1:$CE$1,0))/100,0),""))),"")</f>
        <v>0</v>
      </c>
      <c r="BX33" s="39" t="n">
        <f aca="false">IFERROR(IF($C33="","",IF($D33="","",IFERROR(ROUND($D33*INDEX('🔖 배합비 참조'!$B$2:$CE$83,MATCH("코코아가공품류(코코아분말)",'🔖 배합비 참조'!$A$2:$A$83,0),MATCH($C33,'🔖 배합비 참조'!$B$1:$CE$1,0))/100,0),""))),"")</f>
        <v>0</v>
      </c>
      <c r="BY33" s="39" t="n">
        <f aca="false">IFERROR(IF($C33="","",IF($D33="","",IFERROR(ROUND($D33*INDEX('🔖 배합비 참조'!$B$2:$CE$83,MATCH("콩기름(대두유)",'🔖 배합비 참조'!$A$2:$A$83,0),MATCH($C33,'🔖 배합비 참조'!$B$1:$CE$1,0))/100,0),""))),"")</f>
        <v>0</v>
      </c>
      <c r="BZ33" s="39" t="n">
        <f aca="false">IFERROR(IF($C33="","",IF($D33="","",IFERROR(ROUND($D33*INDEX('🔖 배합비 참조'!$B$2:$CE$83,MATCH("해바라기씨앗",'🔖 배합비 참조'!$A$2:$A$83,0),MATCH($C33,'🔖 배합비 참조'!$B$1:$CE$1,0))/100,0),""))),"")</f>
        <v>0</v>
      </c>
      <c r="CA33" s="39" t="n">
        <f aca="false">IFERROR(IF($C33="","",IF($D33="","",IFERROR(ROUND($D33*INDEX('🔖 배합비 참조'!$B$2:$CE$83,MATCH("현미(국내산)",'🔖 배합비 참조'!$A$2:$A$83,0),MATCH($C33,'🔖 배합비 참조'!$B$1:$CE$1,0))/100,0),""))),"")</f>
        <v>0</v>
      </c>
      <c r="CB33" s="39" t="n">
        <f aca="false">IFERROR(IF($C33="","",IF($D33="","",IFERROR(ROUND($D33*INDEX('🔖 배합비 참조'!$B$2:$CE$83,MATCH("현미멥쌀(국내산)",'🔖 배합비 참조'!$A$2:$A$83,0),MATCH($C33,'🔖 배합비 참조'!$B$1:$CE$1,0))/100,0),""))),"")</f>
        <v>0</v>
      </c>
      <c r="CC33" s="39" t="n">
        <f aca="false">IFERROR(IF($C33="","",IF($D33="","",IFERROR(ROUND($D33*INDEX('🔖 배합비 참조'!$B$2:$CE$83,MATCH("호두분태(미국산)",'🔖 배합비 참조'!$A$2:$A$83,0),MATCH($C33,'🔖 배합비 참조'!$B$1:$CE$1,0))/100,0),""))),"")</f>
        <v>3</v>
      </c>
      <c r="CD33" s="39" t="n">
        <f aca="false">IFERROR(IF($C33="","",IF($D33="","",IFERROR(ROUND($D33*INDEX('🔖 배합비 참조'!$B$2:$CE$83,MATCH("호박씨앗(외국산)",'🔖 배합비 참조'!$A$2:$A$83,0),MATCH($C33,'🔖 배합비 참조'!$B$1:$CE$1,0))/100,0),""))),"")</f>
        <v>0</v>
      </c>
      <c r="CE33" s="39" t="n">
        <f aca="false">IFERROR(IF($C33="","",IF($D33="","",IFERROR(ROUND($D33*INDEX('🔖 배합비 참조'!$B$2:$CE$83,MATCH("혼합제제(떡용에스텔)",'🔖 배합비 참조'!$A$2:$A$83,0),MATCH($C33,'🔖 배합비 참조'!$B$1:$CE$1,0))/100,0),""))),"")</f>
        <v>0</v>
      </c>
      <c r="CF33" s="39" t="n">
        <f aca="false">IFERROR(IF($C33="","",IF($D33="","",IFERROR(ROUND($D33*INDEX('🔖 배합비 참조'!$B$2:$CE$83,MATCH("혼합제제(스테비아)",'🔖 배합비 참조'!$A$2:$A$83,0),MATCH($C33,'🔖 배합비 참조'!$B$1:$CE$1,0))/100,0),""))),"")</f>
        <v>0</v>
      </c>
      <c r="CG33" s="39" t="n">
        <f aca="false">IFERROR(IF($C33="","",IF($D33="","",IFERROR(ROUND($D33*INDEX('🔖 배합비 참조'!$B$2:$CE$83,MATCH("화이트초콜릿",'🔖 배합비 참조'!$A$2:$A$83,0),MATCH($C33,'🔖 배합비 참조'!$B$1:$CE$1,0))/100,0),""))),"")</f>
        <v>0</v>
      </c>
      <c r="CH33" s="39" t="n">
        <f aca="false">IFERROR(IF($C33="","",IF($D33="","",IFERROR(ROUND($D33*INDEX('🔖 배합비 참조'!$B$2:$CE$83,MATCH("흑미찹쌀(국내산)",'🔖 배합비 참조'!$A$2:$A$83,0),MATCH($C33,'🔖 배합비 참조'!$B$1:$CE$1,0))/100,0),""))),"")</f>
        <v>0</v>
      </c>
      <c r="CI33" s="39" t="n">
        <f aca="false">IFERROR(IF($C33="","",IF($D33="","",IFERROR(ROUND($D33*INDEX('🔖 배합비 참조'!$B$2:$CE$83,MATCH("찰옥수수전분(미국산)",'🔖 배합비 참조'!$A$2:$A$83,0),MATCH($C33,'🔖 배합비 참조'!$B$1:$CE$1,0))/100,0),""))),"")</f>
        <v>0</v>
      </c>
      <c r="CJ33" s="40"/>
      <c r="CL33" s="1" t="s">
        <v>235</v>
      </c>
    </row>
    <row r="34" customFormat="false" ht="18" hidden="false" customHeight="true" outlineLevel="0" collapsed="false">
      <c r="A34" s="41" t="n">
        <v>30</v>
      </c>
      <c r="B34" s="36" t="n">
        <v>45959</v>
      </c>
      <c r="C34" s="37" t="s">
        <v>143</v>
      </c>
      <c r="D34" s="38" t="n">
        <v>107.5</v>
      </c>
      <c r="E34" s="17"/>
      <c r="F34" s="17"/>
      <c r="G34" s="42" t="n">
        <f aca="false">IFERROR(IF($C34="","",IF($D34="","",IFERROR(ROUND($D34*INDEX('🔖 배합비 참조'!$B$2:$CE$83,MATCH("간장",'🔖 배합비 참조'!$A$2:$A$83,0),MATCH($C34,'🔖 배합비 참조'!$B$1:$CE$1,0))/100,0),""))),"")</f>
        <v>0</v>
      </c>
      <c r="H34" s="42" t="n">
        <f aca="false">IFERROR(IF($C34="","",IF($D34="","",IFERROR(ROUND($D34*INDEX('🔖 배합비 참조'!$B$2:$CE$83,MATCH("강낭콩((울타리콩))",'🔖 배합비 참조'!$A$2:$A$83,0),MATCH($C34,'🔖 배합비 참조'!$B$1:$CE$1,0))/100,0),""))),"")</f>
        <v>0</v>
      </c>
      <c r="I34" s="42" t="n">
        <f aca="false">IFERROR(IF($C34="","",IF($D34="","",IFERROR(ROUND($D34*INDEX('🔖 배합비 참조'!$B$2:$CE$83,MATCH("건조딸기다이스(외국산)",'🔖 배합비 참조'!$A$2:$A$83,0),MATCH($C34,'🔖 배합비 참조'!$B$1:$CE$1,0))/100,0),""))),"")</f>
        <v>0</v>
      </c>
      <c r="J34" s="42" t="n">
        <f aca="false">IFERROR(IF($C34="","",IF($D34="","",IFERROR(ROUND($D34*INDEX('🔖 배합비 참조'!$B$2:$CE$83,MATCH("건포도",'🔖 배합비 참조'!$A$2:$A$83,0),MATCH($C34,'🔖 배합비 참조'!$B$1:$CE$1,0))/100,0),""))),"")</f>
        <v>0</v>
      </c>
      <c r="K34" s="42" t="n">
        <f aca="false">IFERROR(IF($C34="","",IF($D34="","",IFERROR(ROUND($D34*INDEX('🔖 배합비 참조'!$B$2:$CE$83,MATCH("건호박채(중국산)",'🔖 배합비 참조'!$A$2:$A$83,0),MATCH($C34,'🔖 배합비 참조'!$B$1:$CE$1,0))/100,0),""))),"")</f>
        <v>0</v>
      </c>
      <c r="L34" s="42" t="n">
        <f aca="false">IFERROR(IF($C34="","",IF($D34="","",IFERROR(ROUND($D34*INDEX('🔖 배합비 참조'!$B$2:$CE$83,MATCH("검정깨(흑임자)",'🔖 배합비 참조'!$A$2:$A$83,0),MATCH($C34,'🔖 배합비 참조'!$B$1:$CE$1,0))/100,0),""))),"")</f>
        <v>0</v>
      </c>
      <c r="M34" s="42" t="n">
        <f aca="false">IFERROR(IF($C34="","",IF($D34="","",IFERROR(ROUND($D34*INDEX('🔖 배합비 참조'!$B$2:$CE$83,MATCH("검정콩",'🔖 배합비 참조'!$A$2:$A$83,0),MATCH($C34,'🔖 배합비 참조'!$B$1:$CE$1,0))/100,0),""))),"")</f>
        <v>0</v>
      </c>
      <c r="N34" s="42" t="n">
        <f aca="false">IFERROR(IF($C34="","",IF($D34="","",IFERROR(ROUND($D34*INDEX('🔖 배합비 참조'!$B$2:$CE$83,MATCH("계피가루",'🔖 배합비 참조'!$A$2:$A$83,0),MATCH($C34,'🔖 배합비 참조'!$B$1:$CE$1,0))/100,0),""))),"")</f>
        <v>0</v>
      </c>
      <c r="O34" s="42" t="n">
        <f aca="false">IFERROR(IF($C34="","",IF($D34="","",IFERROR(ROUND($D34*INDEX('🔖 배합비 참조'!$B$2:$CE$83,MATCH("고구마가루",'🔖 배합비 참조'!$A$2:$A$83,0),MATCH($C34,'🔖 배합비 참조'!$B$1:$CE$1,0))/100,0),""))),"")</f>
        <v>0</v>
      </c>
      <c r="P34" s="42" t="n">
        <f aca="false">IFERROR(IF($C34="","",IF($D34="","",IFERROR(ROUND($D34*INDEX('🔖 배합비 참조'!$B$2:$CE$83,MATCH("고구마무스",'🔖 배합비 참조'!$A$2:$A$83,0),MATCH($C34,'🔖 배합비 참조'!$B$1:$CE$1,0))/100,0),""))),"")</f>
        <v>0</v>
      </c>
      <c r="Q34" s="42" t="n">
        <f aca="false">IFERROR(IF($C34="","",IF($D34="","",IFERROR(ROUND($D34*INDEX('🔖 배합비 참조'!$B$2:$CE$83,MATCH("고려엉겅퀴((곤드레)국내산)",'🔖 배합비 참조'!$A$2:$A$83,0),MATCH($C34,'🔖 배합비 참조'!$B$1:$CE$1,0))/100,0),""))),"")</f>
        <v>0</v>
      </c>
      <c r="R34" s="42" t="n">
        <f aca="false">IFERROR(IF($C34="","",IF($D34="","",IFERROR(ROUND($D34*INDEX('🔖 배합비 참조'!$B$2:$CE$83,MATCH("기타가공품(복분자가루)",'🔖 배합비 참조'!$A$2:$A$83,0),MATCH($C34,'🔖 배합비 참조'!$B$1:$CE$1,0))/100,0),""))),"")</f>
        <v>0</v>
      </c>
      <c r="S34" s="42" t="n">
        <f aca="false">IFERROR(IF($C34="","",IF($D34="","",IFERROR(ROUND($D34*INDEX('🔖 배합비 참조'!$B$2:$CE$83,MATCH("기타가공품(슈퍼소프트엠)",'🔖 배합비 참조'!$A$2:$A$83,0),MATCH($C34,'🔖 배합비 참조'!$B$1:$CE$1,0))/100,0),""))),"")</f>
        <v>0</v>
      </c>
      <c r="T34" s="42" t="n">
        <f aca="false">IFERROR(IF($C34="","",IF($D34="","",IFERROR(ROUND($D34*INDEX('🔖 배합비 참조'!$B$2:$CE$83,MATCH("기타가공품(파인소프트 E-티)",'🔖 배합비 참조'!$A$2:$A$83,0),MATCH($C34,'🔖 배합비 참조'!$B$1:$CE$1,0))/100,0),""))),"")</f>
        <v>0</v>
      </c>
      <c r="U34" s="42" t="n">
        <f aca="false">IFERROR(IF($C34="","",IF($D34="","",IFERROR(ROUND($D34*INDEX('🔖 배합비 참조'!$B$2:$CE$83,MATCH("기타가공품(프리미엄카스테라가루)",'🔖 배합비 참조'!$A$2:$A$83,0),MATCH($C34,'🔖 배합비 참조'!$B$1:$CE$1,0))/100,0),""))),"")</f>
        <v>0</v>
      </c>
      <c r="V34" s="42" t="n">
        <f aca="false">IFERROR(IF($C34="","",IF($D34="","",IFERROR(ROUND($D34*INDEX('🔖 배합비 참조'!$B$2:$CE$83,MATCH("기타가공품(흑임자가루)",'🔖 배합비 참조'!$A$2:$A$83,0),MATCH($C34,'🔖 배합비 참조'!$B$1:$CE$1,0))/100,0),""))),"")</f>
        <v>0</v>
      </c>
      <c r="W34" s="42" t="n">
        <f aca="false">IFERROR(IF($C34="","",IF($D34="","",IFERROR(ROUND($D34*INDEX('🔖 배합비 참조'!$B$2:$CE$83,MATCH("기타설탕(흑설탕)",'🔖 배합비 참조'!$A$2:$A$83,0),MATCH($C34,'🔖 배합비 참조'!$B$1:$CE$1,0))/100,0),""))),"")</f>
        <v>9</v>
      </c>
      <c r="X34" s="42" t="n">
        <f aca="false">IFERROR(IF($C34="","",IF($D34="","",IFERROR(ROUND($D34*INDEX('🔖 배합비 참조'!$B$2:$CE$83,MATCH("냉동쑥(국내산)",'🔖 배합비 참조'!$A$2:$A$83,0),MATCH($C34,'🔖 배합비 참조'!$B$1:$CE$1,0))/100,0),""))),"")</f>
        <v>0</v>
      </c>
      <c r="Y34" s="42" t="n">
        <f aca="false">IFERROR(IF($C34="","",IF($D34="","",IFERROR(ROUND($D34*INDEX('🔖 배합비 참조'!$B$2:$CE$83,MATCH("냉동증숙고구마(중국산)",'🔖 배합비 참조'!$A$2:$A$83,0),MATCH($C34,'🔖 배합비 참조'!$B$1:$CE$1,0))/100,0),""))),"")</f>
        <v>0</v>
      </c>
      <c r="Z34" s="42" t="n">
        <f aca="false">IFERROR(IF($C34="","",IF($D34="","",IFERROR(ROUND($D34*INDEX('🔖 배합비 참조'!$B$2:$CE$83,MATCH("녹차가루",'🔖 배합비 참조'!$A$2:$A$83,0),MATCH($C34,'🔖 배합비 참조'!$B$1:$CE$1,0))/100,0),""))),"")</f>
        <v>0</v>
      </c>
      <c r="AA34" s="42" t="n">
        <f aca="false">IFERROR(IF($C34="","",IF($D34="","",IFERROR(ROUND($D34*INDEX('🔖 배합비 참조'!$B$2:$CE$83,MATCH("다크초콜릿 컴파운드칩",'🔖 배합비 참조'!$A$2:$A$83,0),MATCH($C34,'🔖 배합비 참조'!$B$1:$CE$1,0))/100,0),""))),"")</f>
        <v>0</v>
      </c>
      <c r="AB34" s="42" t="n">
        <f aca="false">IFERROR(IF($C34="","",IF($D34="","",IFERROR(ROUND($D34*INDEX('🔖 배합비 참조'!$B$2:$CE$83,MATCH("단호박분말(중국산)",'🔖 배합비 참조'!$A$2:$A$83,0),MATCH($C34,'🔖 배합비 참조'!$B$1:$CE$1,0))/100,0),""))),"")</f>
        <v>0</v>
      </c>
      <c r="AC34" s="42" t="n">
        <f aca="false">IFERROR(IF($C34="","",IF($D34="","",IFERROR(ROUND($D34*INDEX('🔖 배합비 참조'!$B$2:$CE$83,MATCH("당류가공품(단호박농축액)",'🔖 배합비 참조'!$A$2:$A$83,0),MATCH($C34,'🔖 배합비 참조'!$B$1:$CE$1,0))/100,0),""))),"")</f>
        <v>0</v>
      </c>
      <c r="AD34" s="42" t="n">
        <f aca="false">IFERROR(IF($C34="","",IF($D34="","",IFERROR(ROUND($D34*INDEX('🔖 배합비 참조'!$B$2:$CE$83,MATCH("당류가공품(알룰로스,에리스리톨,스테비올배당체혼합)",'🔖 배합비 참조'!$A$2:$A$83,0),MATCH($C34,'🔖 배합비 참조'!$B$1:$CE$1,0))/100,0),""))),"")</f>
        <v>0</v>
      </c>
      <c r="AE34" s="42" t="n">
        <f aca="false">IFERROR(IF($C34="","",IF($D34="","",IFERROR(ROUND($D34*INDEX('🔖 배합비 참조'!$B$2:$CE$83,MATCH("당류가공품(알룰로스제로파우더)",'🔖 배합비 참조'!$A$2:$A$83,0),MATCH($C34,'🔖 배합비 참조'!$B$1:$CE$1,0))/100,0),""))),"")</f>
        <v>0</v>
      </c>
      <c r="AF34" s="42" t="n">
        <f aca="false">IFERROR(IF($C34="","",IF($D34="","",IFERROR(ROUND($D34*INDEX('🔖 배합비 참조'!$B$2:$CE$83,MATCH("당절임(완두배기)",'🔖 배합비 참조'!$A$2:$A$83,0),MATCH($C34,'🔖 배합비 참조'!$B$1:$CE$1,0))/100,0),""))),"")</f>
        <v>0</v>
      </c>
      <c r="AG34" s="42" t="n">
        <f aca="false">IFERROR(IF($C34="","",IF($D34="","",IFERROR(ROUND($D34*INDEX('🔖 배합비 참조'!$B$2:$CE$83,MATCH("대추농축액",'🔖 배합비 참조'!$A$2:$A$83,0),MATCH($C34,'🔖 배합비 참조'!$B$1:$CE$1,0))/100,0),""))),"")</f>
        <v>0</v>
      </c>
      <c r="AH34" s="42" t="n">
        <f aca="false">IFERROR(IF($C34="","",IF($D34="","",IFERROR(ROUND($D34*INDEX('🔖 배합비 참조'!$B$2:$CE$83,MATCH("대추채(국내산)",'🔖 배합비 참조'!$A$2:$A$83,0),MATCH($C34,'🔖 배합비 참조'!$B$1:$CE$1,0))/100,0),""))),"")</f>
        <v>0</v>
      </c>
      <c r="AI34" s="42" t="n">
        <f aca="false">IFERROR(IF($C34="","",IF($D34="","",IFERROR(ROUND($D34*INDEX('🔖 배합비 참조'!$B$2:$CE$83,MATCH("동부(미얀마산)",'🔖 배합비 참조'!$A$2:$A$83,0),MATCH($C34,'🔖 배합비 참조'!$B$1:$CE$1,0))/100,0),""))),"")</f>
        <v>0</v>
      </c>
      <c r="AJ34" s="42" t="n">
        <f aca="false">IFERROR(IF($C34="","",IF($D34="","",IFERROR(ROUND($D34*INDEX('🔖 배합비 참조'!$B$2:$CE$83,MATCH("두류가공품(백옥앙금)",'🔖 배합비 참조'!$A$2:$A$83,0),MATCH($C34,'🔖 배합비 참조'!$B$1:$CE$1,0))/100,0),""))),"")</f>
        <v>0</v>
      </c>
      <c r="AK34" s="42" t="n">
        <f aca="false">IFERROR(IF($C34="","",IF($D34="","",IFERROR(ROUND($D34*INDEX('🔖 배합비 참조'!$B$2:$CE$83,MATCH("두류가공품(콩고물)",'🔖 배합비 참조'!$A$2:$A$83,0),MATCH($C34,'🔖 배합비 참조'!$B$1:$CE$1,0))/100,0),""))),"")</f>
        <v>0</v>
      </c>
      <c r="AL34" s="42" t="n">
        <f aca="false">IFERROR(IF($C34="","",IF($D34="","",IFERROR(ROUND($D34*INDEX('🔖 배합비 참조'!$B$2:$CE$83,MATCH("두류가공품(통팥고물)",'🔖 배합비 참조'!$A$2:$A$83,0),MATCH($C34,'🔖 배합비 참조'!$B$1:$CE$1,0))/100,0),""))),"")</f>
        <v>0</v>
      </c>
      <c r="AM34" s="42" t="n">
        <f aca="false">IFERROR(IF($C34="","",IF($D34="","",IFERROR(ROUND($D34*INDEX('🔖 배합비 참조'!$B$2:$CE$83,MATCH("딸기레진",'🔖 배합비 참조'!$A$2:$A$83,0),MATCH($C34,'🔖 배합비 참조'!$B$1:$CE$1,0))/100,0),""))),"")</f>
        <v>0</v>
      </c>
      <c r="AN34" s="42" t="n">
        <f aca="false">IFERROR(IF($C34="","",IF($D34="","",IFERROR(ROUND($D34*INDEX('🔖 배합비 참조'!$B$2:$CE$83,MATCH("딸기분말(스트로우베리에이드(분말))",'🔖 배합비 참조'!$A$2:$A$83,0),MATCH($C34,'🔖 배합비 참조'!$B$1:$CE$1,0))/100,0),""))),"")</f>
        <v>0</v>
      </c>
      <c r="AO34" s="42" t="n">
        <f aca="false">IFERROR(IF($C34="","",IF($D34="","",IFERROR(ROUND($D34*INDEX('🔖 배합비 참조'!$B$2:$CE$83,MATCH("마스카포네치즈",'🔖 배합비 참조'!$A$2:$A$83,0),MATCH($C34,'🔖 배합비 참조'!$B$1:$CE$1,0))/100,0),""))),"")</f>
        <v>0</v>
      </c>
      <c r="AP34" s="42" t="n">
        <f aca="false">IFERROR(IF($C34="","",IF($D34="","",IFERROR(ROUND($D34*INDEX('🔖 배합비 참조'!$B$2:$CE$83,MATCH("마카다미아분태(호주산)",'🔖 배합비 참조'!$A$2:$A$83,0),MATCH($C34,'🔖 배합비 참조'!$B$1:$CE$1,0))/100,0),""))),"")</f>
        <v>0</v>
      </c>
      <c r="AQ34" s="42" t="n">
        <f aca="false">IFERROR(IF($C34="","",IF($D34="","",IFERROR(ROUND($D34*INDEX('🔖 배합비 참조'!$B$2:$CE$83,MATCH("멥쌀(국내산)",'🔖 배합비 참조'!$A$2:$A$83,0),MATCH($C34,'🔖 배합비 참조'!$B$1:$CE$1,0))/100,0),""))),"")</f>
        <v>72</v>
      </c>
      <c r="AR34" s="42" t="n">
        <f aca="false">IFERROR(IF($C34="","",IF($D34="","",IFERROR(ROUND($D34*INDEX('🔖 배합비 참조'!$B$2:$CE$83,MATCH("모시잎(국내산)",'🔖 배합비 참조'!$A$2:$A$83,0),MATCH($C34,'🔖 배합비 참조'!$B$1:$CE$1,0))/100,0),""))),"")</f>
        <v>0</v>
      </c>
      <c r="AS34" s="42" t="n">
        <f aca="false">IFERROR(IF($C34="","",IF($D34="","",IFERROR(ROUND($D34*INDEX('🔖 배합비 참조'!$B$2:$CE$83,MATCH("물엿(저당물엿)",'🔖 배합비 참조'!$A$2:$A$83,0),MATCH($C34,'🔖 배합비 참조'!$B$1:$CE$1,0))/100,0),""))),"")</f>
        <v>0</v>
      </c>
      <c r="AT34" s="42" t="n">
        <f aca="false">IFERROR(IF($C34="","",IF($D34="","",IFERROR(ROUND($D34*INDEX('🔖 배합비 참조'!$B$2:$CE$83,MATCH("밤다이스",'🔖 배합비 참조'!$A$2:$A$83,0),MATCH($C34,'🔖 배합비 참조'!$B$1:$CE$1,0))/100,0),""))),"")</f>
        <v>0</v>
      </c>
      <c r="AU34" s="42" t="n">
        <f aca="false">IFERROR(IF($C34="","",IF($D34="","",IFERROR(ROUND($D34*INDEX('🔖 배합비 참조'!$B$2:$CE$83,MATCH("변성전분(타피오카전분)",'🔖 배합비 참조'!$A$2:$A$83,0),MATCH($C34,'🔖 배합비 참조'!$B$1:$CE$1,0))/100,0),""))),"")</f>
        <v>0</v>
      </c>
      <c r="AV34" s="42" t="n">
        <f aca="false">IFERROR(IF($C34="","",IF($D34="","",IFERROR(ROUND($D34*INDEX('🔖 배합비 참조'!$B$2:$CE$83,MATCH("복음땅콩분태",'🔖 배합비 참조'!$A$2:$A$83,0),MATCH($C34,'🔖 배합비 참조'!$B$1:$CE$1,0))/100,0),""))),"")</f>
        <v>0</v>
      </c>
      <c r="AW34" s="42" t="n">
        <f aca="false">IFERROR(IF($C34="","",IF($D34="","",IFERROR(ROUND($D34*INDEX('🔖 배합비 참조'!$B$2:$CE$83,MATCH("사양벌꿀(국내산)",'🔖 배합비 참조'!$A$2:$A$83,0),MATCH($C34,'🔖 배합비 참조'!$B$1:$CE$1,0))/100,0),""))),"")</f>
        <v>2</v>
      </c>
      <c r="AX34" s="42" t="n">
        <f aca="false">IFERROR(IF($C34="","",IF($D34="","",IFERROR(ROUND($D34*INDEX('🔖 배합비 참조'!$B$2:$CE$83,MATCH("생크림",'🔖 배합비 참조'!$A$2:$A$83,0),MATCH($C34,'🔖 배합비 참조'!$B$1:$CE$1,0))/100,0),""))),"")</f>
        <v>0</v>
      </c>
      <c r="AY34" s="42" t="n">
        <f aca="false">IFERROR(IF($C34="","",IF($D34="","",IFERROR(ROUND($D34*INDEX('🔖 배합비 참조'!$B$2:$CE$83,MATCH("서양호박(국내산,뉴질랜드산)",'🔖 배합비 참조'!$A$2:$A$83,0),MATCH($C34,'🔖 배합비 참조'!$B$1:$CE$1,0))/100,0),""))),"")</f>
        <v>0</v>
      </c>
      <c r="AZ34" s="42" t="n">
        <f aca="false">IFERROR(IF($C34="","",IF($D34="","",IFERROR(ROUND($D34*INDEX('🔖 배합비 참조'!$B$2:$CE$83,MATCH("설탕",'🔖 배합비 참조'!$A$2:$A$83,0),MATCH($C34,'🔖 배합비 참조'!$B$1:$CE$1,0))/100,0),""))),"")</f>
        <v>9</v>
      </c>
      <c r="BA34" s="42" t="n">
        <f aca="false">IFERROR(IF($C34="","",IF($D34="","",IFERROR(ROUND($D34*INDEX('🔖 배합비 참조'!$B$2:$CE$83,MATCH("스트로우베리 에이드 후레쉬",'🔖 배합비 참조'!$A$2:$A$83,0),MATCH($C34,'🔖 배합비 참조'!$B$1:$CE$1,0))/100,0),""))),"")</f>
        <v>0</v>
      </c>
      <c r="BB34" s="42" t="n">
        <f aca="false">IFERROR(IF($C34="","",IF($D34="","",IFERROR(ROUND($D34*INDEX('🔖 배합비 참조'!$B$2:$CE$83,MATCH("식물성기름혼합제제(분홍)",'🔖 배합비 참조'!$A$2:$A$83,0),MATCH($C34,'🔖 배합비 참조'!$B$1:$CE$1,0))/100,0),""))),"")</f>
        <v>0</v>
      </c>
      <c r="BC34" s="42" t="n">
        <f aca="false">IFERROR(IF($C34="","",IF($D34="","",IFERROR(ROUND($D34*INDEX('🔖 배합비 참조'!$B$2:$CE$83,MATCH("식물성기름혼합제제(초록)",'🔖 배합비 참조'!$A$2:$A$83,0),MATCH($C34,'🔖 배합비 참조'!$B$1:$CE$1,0))/100,0),""))),"")</f>
        <v>0</v>
      </c>
      <c r="BD34" s="42" t="n">
        <f aca="false">IFERROR(IF($C34="","",IF($D34="","",IFERROR(ROUND($D34*INDEX('🔖 배합비 참조'!$B$2:$CE$83,MATCH("식물성기름혼합제제(황색)",'🔖 배합비 참조'!$A$2:$A$83,0),MATCH($C34,'🔖 배합비 참조'!$B$1:$CE$1,0))/100,0),""))),"")</f>
        <v>0</v>
      </c>
      <c r="BE34" s="42" t="n">
        <f aca="false">IFERROR(IF($C34="","",IF($D34="","",IFERROR(ROUND($D34*INDEX('🔖 배합비 참조'!$B$2:$CE$83,MATCH("쑥가루(국내산)",'🔖 배합비 참조'!$A$2:$A$83,0),MATCH($C34,'🔖 배합비 참조'!$B$1:$CE$1,0))/100,0),""))),"")</f>
        <v>0</v>
      </c>
      <c r="BF34" s="42" t="n">
        <f aca="false">IFERROR(IF($C34="","",IF($D34="","",IFERROR(ROUND($D34*INDEX('🔖 배합비 참조'!$B$2:$CE$83,MATCH("아몬드슬라이스",'🔖 배합비 참조'!$A$2:$A$83,0),MATCH($C34,'🔖 배합비 참조'!$B$1:$CE$1,0))/100,0),""))),"")</f>
        <v>0</v>
      </c>
      <c r="BG34" s="42" t="n">
        <f aca="false">IFERROR(IF($C34="","",IF($D34="","",IFERROR(ROUND($D34*INDEX('🔖 배합비 참조'!$B$2:$CE$83,MATCH("알룰로오스(국내산)",'🔖 배합비 참조'!$A$2:$A$83,0),MATCH($C34,'🔖 배합비 참조'!$B$1:$CE$1,0))/100,0),""))),"")</f>
        <v>0</v>
      </c>
      <c r="BH34" s="42" t="n">
        <f aca="false">IFERROR(IF($C34="","",IF($D34="","",IFERROR(ROUND($D34*INDEX('🔖 배합비 참조'!$B$2:$CE$83,MATCH("연유",'🔖 배합비 참조'!$A$2:$A$83,0),MATCH($C34,'🔖 배합비 참조'!$B$1:$CE$1,0))/100,0),""))),"")</f>
        <v>0</v>
      </c>
      <c r="BI34" s="42" t="n">
        <f aca="false">IFERROR(IF($C34="","",IF($D34="","",IFERROR(ROUND($D34*INDEX('🔖 배합비 참조'!$B$2:$CE$83,MATCH("옥수수전분",'🔖 배합비 참조'!$A$2:$A$83,0),MATCH($C34,'🔖 배합비 참조'!$B$1:$CE$1,0))/100,0),""))),"")</f>
        <v>0</v>
      </c>
      <c r="BJ34" s="42" t="n">
        <f aca="false">IFERROR(IF($C34="","",IF($D34="","",IFERROR(ROUND($D34*INDEX('🔖 배합비 참조'!$B$2:$CE$83,MATCH("완두배기",'🔖 배합비 참조'!$A$2:$A$83,0),MATCH($C34,'🔖 배합비 참조'!$B$1:$CE$1,0))/100,0),""))),"")</f>
        <v>0</v>
      </c>
      <c r="BK34" s="42" t="n">
        <f aca="false">IFERROR(IF($C34="","",IF($D34="","",IFERROR(ROUND($D34*INDEX('🔖 배합비 참조'!$B$2:$CE$83,MATCH("우유(국내산)",'🔖 배합비 참조'!$A$2:$A$83,0),MATCH($C34,'🔖 배합비 참조'!$B$1:$CE$1,0))/100,0),""))),"")</f>
        <v>0</v>
      </c>
      <c r="BL34" s="42" t="n">
        <f aca="false">IFERROR(IF($C34="","",IF($D34="","",IFERROR(ROUND($D34*INDEX('🔖 배합비 참조'!$B$2:$CE$83,MATCH("자색고구마가루(중국산)",'🔖 배합비 참조'!$A$2:$A$83,0),MATCH($C34,'🔖 배합비 참조'!$B$1:$CE$1,0))/100,0),""))),"")</f>
        <v>0</v>
      </c>
      <c r="BM34" s="42" t="n">
        <f aca="false">IFERROR(IF($C34="","",IF($D34="","",IFERROR(ROUND($D34*INDEX('🔖 배합비 참조'!$B$2:$CE$83,MATCH("자연치즈(체다치즈)",'🔖 배합비 참조'!$A$2:$A$83,0),MATCH($C34,'🔖 배합비 참조'!$B$1:$CE$1,0))/100,0),""))),"")</f>
        <v>0</v>
      </c>
      <c r="BN34" s="42" t="n">
        <f aca="false">IFERROR(IF($C34="","",IF($D34="","",IFERROR(ROUND($D34*INDEX('🔖 배합비 참조'!$B$2:$CE$83,MATCH("정제수",'🔖 배합비 참조'!$A$2:$A$83,0),MATCH($C34,'🔖 배합비 참조'!$B$1:$CE$1,0))/100,0),""))),"")</f>
        <v>14</v>
      </c>
      <c r="BO34" s="42" t="n">
        <f aca="false">IFERROR(IF($C34="","",IF($D34="","",IFERROR(ROUND($D34*INDEX('🔖 배합비 참조'!$B$2:$CE$83,MATCH("젤라틴",'🔖 배합비 참조'!$A$2:$A$83,0),MATCH($C34,'🔖 배합비 참조'!$B$1:$CE$1,0))/100,0),""))),"")</f>
        <v>0</v>
      </c>
      <c r="BP34" s="42" t="n">
        <f aca="false">IFERROR(IF($C34="","",IF($D34="","",IFERROR(ROUND($D34*INDEX('🔖 배합비 참조'!$B$2:$CE$83,MATCH("조림류(백옥앙금)",'🔖 배합비 참조'!$A$2:$A$83,0),MATCH($C34,'🔖 배합비 참조'!$B$1:$CE$1,0))/100,0),""))),"")</f>
        <v>0</v>
      </c>
      <c r="BQ34" s="42" t="n">
        <f aca="false">IFERROR(IF($C34="","",IF($D34="","",IFERROR(ROUND($D34*INDEX('🔖 배합비 참조'!$B$2:$CE$83,MATCH("조림류(통팥앙금)",'🔖 배합비 참조'!$A$2:$A$83,0),MATCH($C34,'🔖 배합비 참조'!$B$1:$CE$1,0))/100,0),""))),"")</f>
        <v>0</v>
      </c>
      <c r="BR34" s="42" t="n">
        <f aca="false">IFERROR(IF($C34="","",IF($D34="","",IFERROR(ROUND($D34*INDEX('🔖 배합비 참조'!$B$2:$CE$83,MATCH("준초콜릿(외국산)",'🔖 배합비 참조'!$A$2:$A$83,0),MATCH($C34,'🔖 배합비 참조'!$B$1:$CE$1,0))/100,0),""))),"")</f>
        <v>0</v>
      </c>
      <c r="BS34" s="42" t="n">
        <f aca="false">IFERROR(IF($C34="","",IF($D34="","",IFERROR(ROUND($D34*INDEX('🔖 배합비 참조'!$B$2:$CE$83,MATCH("중력분",'🔖 배합비 참조'!$A$2:$A$83,0),MATCH($C34,'🔖 배합비 참조'!$B$1:$CE$1,0))/100,0),""))),"")</f>
        <v>0</v>
      </c>
      <c r="BT34" s="42" t="n">
        <f aca="false">IFERROR(IF($C34="","",IF($D34="","",IFERROR(ROUND($D34*INDEX('🔖 배합비 참조'!$B$2:$CE$83,MATCH("참깨(인도산,나이지리아산,탄자니아산,미얀마산)",'🔖 배합비 참조'!$A$2:$A$83,0),MATCH($C34,'🔖 배합비 참조'!$B$1:$CE$1,0))/100,0),""))),"")</f>
        <v>0</v>
      </c>
      <c r="BU34" s="42" t="n">
        <f aca="false">IFERROR(IF($C34="","",IF($D34="","",IFERROR(ROUND($D34*INDEX('🔖 배합비 참조'!$B$2:$CE$83,MATCH("찹쌀(국내산)",'🔖 배합비 참조'!$A$2:$A$83,0),MATCH($C34,'🔖 배합비 참조'!$B$1:$CE$1,0))/100,0),""))),"")</f>
        <v>0</v>
      </c>
      <c r="BV34" s="42" t="n">
        <f aca="false">IFERROR(IF($C34="","",IF($D34="","",IFERROR(ROUND($D34*INDEX('🔖 배합비 참조'!$B$2:$CE$83,MATCH("천일염",'🔖 배합비 참조'!$A$2:$A$83,0),MATCH($C34,'🔖 배합비 참조'!$B$1:$CE$1,0))/100,0),""))),"")</f>
        <v>1</v>
      </c>
      <c r="BW34" s="42" t="n">
        <f aca="false">IFERROR(IF($C34="","",IF($D34="","",IFERROR(ROUND($D34*INDEX('🔖 배합비 참조'!$B$2:$CE$83,MATCH("치즈 [크림치즈]",'🔖 배합비 참조'!$A$2:$A$83,0),MATCH($C34,'🔖 배합비 참조'!$B$1:$CE$1,0))/100,0),""))),"")</f>
        <v>0</v>
      </c>
      <c r="BX34" s="42" t="n">
        <f aca="false">IFERROR(IF($C34="","",IF($D34="","",IFERROR(ROUND($D34*INDEX('🔖 배합비 참조'!$B$2:$CE$83,MATCH("코코아가공품류(코코아분말)",'🔖 배합비 참조'!$A$2:$A$83,0),MATCH($C34,'🔖 배합비 참조'!$B$1:$CE$1,0))/100,0),""))),"")</f>
        <v>0</v>
      </c>
      <c r="BY34" s="42" t="n">
        <f aca="false">IFERROR(IF($C34="","",IF($D34="","",IFERROR(ROUND($D34*INDEX('🔖 배합비 참조'!$B$2:$CE$83,MATCH("콩기름(대두유)",'🔖 배합비 참조'!$A$2:$A$83,0),MATCH($C34,'🔖 배합비 참조'!$B$1:$CE$1,0))/100,0),""))),"")</f>
        <v>0</v>
      </c>
      <c r="BZ34" s="42" t="n">
        <f aca="false">IFERROR(IF($C34="","",IF($D34="","",IFERROR(ROUND($D34*INDEX('🔖 배합비 참조'!$B$2:$CE$83,MATCH("해바라기씨앗",'🔖 배합비 참조'!$A$2:$A$83,0),MATCH($C34,'🔖 배합비 참조'!$B$1:$CE$1,0))/100,0),""))),"")</f>
        <v>0</v>
      </c>
      <c r="CA34" s="42" t="n">
        <f aca="false">IFERROR(IF($C34="","",IF($D34="","",IFERROR(ROUND($D34*INDEX('🔖 배합비 참조'!$B$2:$CE$83,MATCH("현미(국내산)",'🔖 배합비 참조'!$A$2:$A$83,0),MATCH($C34,'🔖 배합비 참조'!$B$1:$CE$1,0))/100,0),""))),"")</f>
        <v>0</v>
      </c>
      <c r="CB34" s="42" t="n">
        <f aca="false">IFERROR(IF($C34="","",IF($D34="","",IFERROR(ROUND($D34*INDEX('🔖 배합비 참조'!$B$2:$CE$83,MATCH("현미멥쌀(국내산)",'🔖 배합비 참조'!$A$2:$A$83,0),MATCH($C34,'🔖 배합비 참조'!$B$1:$CE$1,0))/100,0),""))),"")</f>
        <v>0</v>
      </c>
      <c r="CC34" s="42" t="n">
        <f aca="false">IFERROR(IF($C34="","",IF($D34="","",IFERROR(ROUND($D34*INDEX('🔖 배합비 참조'!$B$2:$CE$83,MATCH("호두분태(미국산)",'🔖 배합비 참조'!$A$2:$A$83,0),MATCH($C34,'🔖 배합비 참조'!$B$1:$CE$1,0))/100,0),""))),"")</f>
        <v>0</v>
      </c>
      <c r="CD34" s="42" t="n">
        <f aca="false">IFERROR(IF($C34="","",IF($D34="","",IFERROR(ROUND($D34*INDEX('🔖 배합비 참조'!$B$2:$CE$83,MATCH("호박씨앗(외국산)",'🔖 배합비 참조'!$A$2:$A$83,0),MATCH($C34,'🔖 배합비 참조'!$B$1:$CE$1,0))/100,0),""))),"")</f>
        <v>0</v>
      </c>
      <c r="CE34" s="42" t="n">
        <f aca="false">IFERROR(IF($C34="","",IF($D34="","",IFERROR(ROUND($D34*INDEX('🔖 배합비 참조'!$B$2:$CE$83,MATCH("혼합제제(떡용에스텔)",'🔖 배합비 참조'!$A$2:$A$83,0),MATCH($C34,'🔖 배합비 참조'!$B$1:$CE$1,0))/100,0),""))),"")</f>
        <v>0</v>
      </c>
      <c r="CF34" s="42" t="n">
        <f aca="false">IFERROR(IF($C34="","",IF($D34="","",IFERROR(ROUND($D34*INDEX('🔖 배합비 참조'!$B$2:$CE$83,MATCH("혼합제제(스테비아)",'🔖 배합비 참조'!$A$2:$A$83,0),MATCH($C34,'🔖 배합비 참조'!$B$1:$CE$1,0))/100,0),""))),"")</f>
        <v>0</v>
      </c>
      <c r="CG34" s="42" t="n">
        <f aca="false">IFERROR(IF($C34="","",IF($D34="","",IFERROR(ROUND($D34*INDEX('🔖 배합비 참조'!$B$2:$CE$83,MATCH("화이트초콜릿",'🔖 배합비 참조'!$A$2:$A$83,0),MATCH($C34,'🔖 배합비 참조'!$B$1:$CE$1,0))/100,0),""))),"")</f>
        <v>0</v>
      </c>
      <c r="CH34" s="42" t="n">
        <f aca="false">IFERROR(IF($C34="","",IF($D34="","",IFERROR(ROUND($D34*INDEX('🔖 배합비 참조'!$B$2:$CE$83,MATCH("흑미찹쌀(국내산)",'🔖 배합비 참조'!$A$2:$A$83,0),MATCH($C34,'🔖 배합비 참조'!$B$1:$CE$1,0))/100,0),""))),"")</f>
        <v>0</v>
      </c>
      <c r="CI34" s="42" t="n">
        <f aca="false">IFERROR(IF($C34="","",IF($D34="","",IFERROR(ROUND($D34*INDEX('🔖 배합비 참조'!$B$2:$CE$83,MATCH("찰옥수수전분(미국산)",'🔖 배합비 참조'!$A$2:$A$83,0),MATCH($C34,'🔖 배합비 참조'!$B$1:$CE$1,0))/100,0),""))),"")</f>
        <v>0</v>
      </c>
      <c r="CJ34" s="40"/>
      <c r="CL34" s="1" t="s">
        <v>235</v>
      </c>
    </row>
    <row r="35" customFormat="false" ht="18" hidden="false" customHeight="true" outlineLevel="0" collapsed="false">
      <c r="A35" s="35" t="n">
        <v>31</v>
      </c>
      <c r="B35" s="36" t="n">
        <v>45959</v>
      </c>
      <c r="C35" s="37" t="s">
        <v>155</v>
      </c>
      <c r="D35" s="38" t="n">
        <v>210</v>
      </c>
      <c r="E35" s="13"/>
      <c r="F35" s="13"/>
      <c r="G35" s="39" t="n">
        <f aca="false">IFERROR(IF($C35="","",IF($D35="","",IFERROR(ROUND($D35*INDEX('🔖 배합비 참조'!$B$2:$CE$83,MATCH("간장",'🔖 배합비 참조'!$A$2:$A$83,0),MATCH($C35,'🔖 배합비 참조'!$B$1:$CE$1,0))/100,0),""))),"")</f>
        <v>0</v>
      </c>
      <c r="H35" s="39" t="n">
        <f aca="false">IFERROR(IF($C35="","",IF($D35="","",IFERROR(ROUND($D35*INDEX('🔖 배합비 참조'!$B$2:$CE$83,MATCH("강낭콩((울타리콩))",'🔖 배합비 참조'!$A$2:$A$83,0),MATCH($C35,'🔖 배합비 참조'!$B$1:$CE$1,0))/100,0),""))),"")</f>
        <v>0</v>
      </c>
      <c r="I35" s="39" t="n">
        <f aca="false">IFERROR(IF($C35="","",IF($D35="","",IFERROR(ROUND($D35*INDEX('🔖 배합비 참조'!$B$2:$CE$83,MATCH("건조딸기다이스(외국산)",'🔖 배합비 참조'!$A$2:$A$83,0),MATCH($C35,'🔖 배합비 참조'!$B$1:$CE$1,0))/100,0),""))),"")</f>
        <v>0</v>
      </c>
      <c r="J35" s="39" t="n">
        <f aca="false">IFERROR(IF($C35="","",IF($D35="","",IFERROR(ROUND($D35*INDEX('🔖 배합비 참조'!$B$2:$CE$83,MATCH("건포도",'🔖 배합비 참조'!$A$2:$A$83,0),MATCH($C35,'🔖 배합비 참조'!$B$1:$CE$1,0))/100,0),""))),"")</f>
        <v>0</v>
      </c>
      <c r="K35" s="39" t="n">
        <f aca="false">IFERROR(IF($C35="","",IF($D35="","",IFERROR(ROUND($D35*INDEX('🔖 배합비 참조'!$B$2:$CE$83,MATCH("건호박채(중국산)",'🔖 배합비 참조'!$A$2:$A$83,0),MATCH($C35,'🔖 배합비 참조'!$B$1:$CE$1,0))/100,0),""))),"")</f>
        <v>0</v>
      </c>
      <c r="L35" s="39" t="n">
        <f aca="false">IFERROR(IF($C35="","",IF($D35="","",IFERROR(ROUND($D35*INDEX('🔖 배합비 참조'!$B$2:$CE$83,MATCH("검정깨(흑임자)",'🔖 배합비 참조'!$A$2:$A$83,0),MATCH($C35,'🔖 배합비 참조'!$B$1:$CE$1,0))/100,0),""))),"")</f>
        <v>0</v>
      </c>
      <c r="M35" s="39" t="n">
        <f aca="false">IFERROR(IF($C35="","",IF($D35="","",IFERROR(ROUND($D35*INDEX('🔖 배합비 참조'!$B$2:$CE$83,MATCH("검정콩",'🔖 배합비 참조'!$A$2:$A$83,0),MATCH($C35,'🔖 배합비 참조'!$B$1:$CE$1,0))/100,0),""))),"")</f>
        <v>0</v>
      </c>
      <c r="N35" s="39" t="n">
        <f aca="false">IFERROR(IF($C35="","",IF($D35="","",IFERROR(ROUND($D35*INDEX('🔖 배합비 참조'!$B$2:$CE$83,MATCH("계피가루",'🔖 배합비 참조'!$A$2:$A$83,0),MATCH($C35,'🔖 배합비 참조'!$B$1:$CE$1,0))/100,0),""))),"")</f>
        <v>0</v>
      </c>
      <c r="O35" s="39" t="n">
        <f aca="false">IFERROR(IF($C35="","",IF($D35="","",IFERROR(ROUND($D35*INDEX('🔖 배합비 참조'!$B$2:$CE$83,MATCH("고구마가루",'🔖 배합비 참조'!$A$2:$A$83,0),MATCH($C35,'🔖 배합비 참조'!$B$1:$CE$1,0))/100,0),""))),"")</f>
        <v>0</v>
      </c>
      <c r="P35" s="39" t="n">
        <f aca="false">IFERROR(IF($C35="","",IF($D35="","",IFERROR(ROUND($D35*INDEX('🔖 배합비 참조'!$B$2:$CE$83,MATCH("고구마무스",'🔖 배합비 참조'!$A$2:$A$83,0),MATCH($C35,'🔖 배합비 참조'!$B$1:$CE$1,0))/100,0),""))),"")</f>
        <v>0</v>
      </c>
      <c r="Q35" s="39" t="n">
        <f aca="false">IFERROR(IF($C35="","",IF($D35="","",IFERROR(ROUND($D35*INDEX('🔖 배합비 참조'!$B$2:$CE$83,MATCH("고려엉겅퀴((곤드레)국내산)",'🔖 배합비 참조'!$A$2:$A$83,0),MATCH($C35,'🔖 배합비 참조'!$B$1:$CE$1,0))/100,0),""))),"")</f>
        <v>0</v>
      </c>
      <c r="R35" s="39" t="n">
        <f aca="false">IFERROR(IF($C35="","",IF($D35="","",IFERROR(ROUND($D35*INDEX('🔖 배합비 참조'!$B$2:$CE$83,MATCH("기타가공품(복분자가루)",'🔖 배합비 참조'!$A$2:$A$83,0),MATCH($C35,'🔖 배합비 참조'!$B$1:$CE$1,0))/100,0),""))),"")</f>
        <v>0</v>
      </c>
      <c r="S35" s="39" t="n">
        <f aca="false">IFERROR(IF($C35="","",IF($D35="","",IFERROR(ROUND($D35*INDEX('🔖 배합비 참조'!$B$2:$CE$83,MATCH("기타가공품(슈퍼소프트엠)",'🔖 배합비 참조'!$A$2:$A$83,0),MATCH($C35,'🔖 배합비 참조'!$B$1:$CE$1,0))/100,0),""))),"")</f>
        <v>0</v>
      </c>
      <c r="T35" s="39" t="n">
        <f aca="false">IFERROR(IF($C35="","",IF($D35="","",IFERROR(ROUND($D35*INDEX('🔖 배합비 참조'!$B$2:$CE$83,MATCH("기타가공품(파인소프트 E-티)",'🔖 배합비 참조'!$A$2:$A$83,0),MATCH($C35,'🔖 배합비 참조'!$B$1:$CE$1,0))/100,0),""))),"")</f>
        <v>0</v>
      </c>
      <c r="U35" s="39" t="n">
        <f aca="false">IFERROR(IF($C35="","",IF($D35="","",IFERROR(ROUND($D35*INDEX('🔖 배합비 참조'!$B$2:$CE$83,MATCH("기타가공품(프리미엄카스테라가루)",'🔖 배합비 참조'!$A$2:$A$83,0),MATCH($C35,'🔖 배합비 참조'!$B$1:$CE$1,0))/100,0),""))),"")</f>
        <v>0</v>
      </c>
      <c r="V35" s="39" t="n">
        <f aca="false">IFERROR(IF($C35="","",IF($D35="","",IFERROR(ROUND($D35*INDEX('🔖 배합비 참조'!$B$2:$CE$83,MATCH("기타가공품(흑임자가루)",'🔖 배합비 참조'!$A$2:$A$83,0),MATCH($C35,'🔖 배합비 참조'!$B$1:$CE$1,0))/100,0),""))),"")</f>
        <v>0</v>
      </c>
      <c r="W35" s="39" t="n">
        <f aca="false">IFERROR(IF($C35="","",IF($D35="","",IFERROR(ROUND($D35*INDEX('🔖 배합비 참조'!$B$2:$CE$83,MATCH("기타설탕(흑설탕)",'🔖 배합비 참조'!$A$2:$A$83,0),MATCH($C35,'🔖 배합비 참조'!$B$1:$CE$1,0))/100,0),""))),"")</f>
        <v>0</v>
      </c>
      <c r="X35" s="39" t="n">
        <f aca="false">IFERROR(IF($C35="","",IF($D35="","",IFERROR(ROUND($D35*INDEX('🔖 배합비 참조'!$B$2:$CE$83,MATCH("냉동쑥(국내산)",'🔖 배합비 참조'!$A$2:$A$83,0),MATCH($C35,'🔖 배합비 참조'!$B$1:$CE$1,0))/100,0),""))),"")</f>
        <v>0</v>
      </c>
      <c r="Y35" s="39" t="n">
        <f aca="false">IFERROR(IF($C35="","",IF($D35="","",IFERROR(ROUND($D35*INDEX('🔖 배합비 참조'!$B$2:$CE$83,MATCH("냉동증숙고구마(중국산)",'🔖 배합비 참조'!$A$2:$A$83,0),MATCH($C35,'🔖 배합비 참조'!$B$1:$CE$1,0))/100,0),""))),"")</f>
        <v>0</v>
      </c>
      <c r="Z35" s="39" t="n">
        <f aca="false">IFERROR(IF($C35="","",IF($D35="","",IFERROR(ROUND($D35*INDEX('🔖 배합비 참조'!$B$2:$CE$83,MATCH("녹차가루",'🔖 배합비 참조'!$A$2:$A$83,0),MATCH($C35,'🔖 배합비 참조'!$B$1:$CE$1,0))/100,0),""))),"")</f>
        <v>0</v>
      </c>
      <c r="AA35" s="39" t="n">
        <f aca="false">IFERROR(IF($C35="","",IF($D35="","",IFERROR(ROUND($D35*INDEX('🔖 배합비 참조'!$B$2:$CE$83,MATCH("다크초콜릿 컴파운드칩",'🔖 배합비 참조'!$A$2:$A$83,0),MATCH($C35,'🔖 배합비 참조'!$B$1:$CE$1,0))/100,0),""))),"")</f>
        <v>0</v>
      </c>
      <c r="AB35" s="39" t="n">
        <f aca="false">IFERROR(IF($C35="","",IF($D35="","",IFERROR(ROUND($D35*INDEX('🔖 배합비 참조'!$B$2:$CE$83,MATCH("단호박분말(중국산)",'🔖 배합비 참조'!$A$2:$A$83,0),MATCH($C35,'🔖 배합비 참조'!$B$1:$CE$1,0))/100,0),""))),"")</f>
        <v>0</v>
      </c>
      <c r="AC35" s="39" t="n">
        <f aca="false">IFERROR(IF($C35="","",IF($D35="","",IFERROR(ROUND($D35*INDEX('🔖 배합비 참조'!$B$2:$CE$83,MATCH("당류가공품(단호박농축액)",'🔖 배합비 참조'!$A$2:$A$83,0),MATCH($C35,'🔖 배합비 참조'!$B$1:$CE$1,0))/100,0),""))),"")</f>
        <v>0</v>
      </c>
      <c r="AD35" s="39" t="n">
        <f aca="false">IFERROR(IF($C35="","",IF($D35="","",IFERROR(ROUND($D35*INDEX('🔖 배합비 참조'!$B$2:$CE$83,MATCH("당류가공품(알룰로스,에리스리톨,스테비올배당체혼합)",'🔖 배합비 참조'!$A$2:$A$83,0),MATCH($C35,'🔖 배합비 참조'!$B$1:$CE$1,0))/100,0),""))),"")</f>
        <v>0</v>
      </c>
      <c r="AE35" s="39" t="n">
        <f aca="false">IFERROR(IF($C35="","",IF($D35="","",IFERROR(ROUND($D35*INDEX('🔖 배합비 참조'!$B$2:$CE$83,MATCH("당류가공품(알룰로스제로파우더)",'🔖 배합비 참조'!$A$2:$A$83,0),MATCH($C35,'🔖 배합비 참조'!$B$1:$CE$1,0))/100,0),""))),"")</f>
        <v>0</v>
      </c>
      <c r="AF35" s="39" t="n">
        <f aca="false">IFERROR(IF($C35="","",IF($D35="","",IFERROR(ROUND($D35*INDEX('🔖 배합비 참조'!$B$2:$CE$83,MATCH("당절임(완두배기)",'🔖 배합비 참조'!$A$2:$A$83,0),MATCH($C35,'🔖 배합비 참조'!$B$1:$CE$1,0))/100,0),""))),"")</f>
        <v>0</v>
      </c>
      <c r="AG35" s="39" t="n">
        <f aca="false">IFERROR(IF($C35="","",IF($D35="","",IFERROR(ROUND($D35*INDEX('🔖 배합비 참조'!$B$2:$CE$83,MATCH("대추농축액",'🔖 배합비 참조'!$A$2:$A$83,0),MATCH($C35,'🔖 배합비 참조'!$B$1:$CE$1,0))/100,0),""))),"")</f>
        <v>0</v>
      </c>
      <c r="AH35" s="39" t="n">
        <f aca="false">IFERROR(IF($C35="","",IF($D35="","",IFERROR(ROUND($D35*INDEX('🔖 배합비 참조'!$B$2:$CE$83,MATCH("대추채(국내산)",'🔖 배합비 참조'!$A$2:$A$83,0),MATCH($C35,'🔖 배합비 참조'!$B$1:$CE$1,0))/100,0),""))),"")</f>
        <v>0</v>
      </c>
      <c r="AI35" s="39" t="n">
        <f aca="false">IFERROR(IF($C35="","",IF($D35="","",IFERROR(ROUND($D35*INDEX('🔖 배합비 참조'!$B$2:$CE$83,MATCH("동부(미얀마산)",'🔖 배합비 참조'!$A$2:$A$83,0),MATCH($C35,'🔖 배합비 참조'!$B$1:$CE$1,0))/100,0),""))),"")</f>
        <v>0</v>
      </c>
      <c r="AJ35" s="39" t="n">
        <f aca="false">IFERROR(IF($C35="","",IF($D35="","",IFERROR(ROUND($D35*INDEX('🔖 배합비 참조'!$B$2:$CE$83,MATCH("두류가공품(백옥앙금)",'🔖 배합비 참조'!$A$2:$A$83,0),MATCH($C35,'🔖 배합비 참조'!$B$1:$CE$1,0))/100,0),""))),"")</f>
        <v>0</v>
      </c>
      <c r="AK35" s="39" t="n">
        <f aca="false">IFERROR(IF($C35="","",IF($D35="","",IFERROR(ROUND($D35*INDEX('🔖 배합비 참조'!$B$2:$CE$83,MATCH("두류가공품(콩고물)",'🔖 배합비 참조'!$A$2:$A$83,0),MATCH($C35,'🔖 배합비 참조'!$B$1:$CE$1,0))/100,0),""))),"")</f>
        <v>0</v>
      </c>
      <c r="AL35" s="39" t="n">
        <f aca="false">IFERROR(IF($C35="","",IF($D35="","",IFERROR(ROUND($D35*INDEX('🔖 배합비 참조'!$B$2:$CE$83,MATCH("두류가공품(통팥고물)",'🔖 배합비 참조'!$A$2:$A$83,0),MATCH($C35,'🔖 배합비 참조'!$B$1:$CE$1,0))/100,0),""))),"")</f>
        <v>0</v>
      </c>
      <c r="AM35" s="39" t="n">
        <f aca="false">IFERROR(IF($C35="","",IF($D35="","",IFERROR(ROUND($D35*INDEX('🔖 배합비 참조'!$B$2:$CE$83,MATCH("딸기레진",'🔖 배합비 참조'!$A$2:$A$83,0),MATCH($C35,'🔖 배합비 참조'!$B$1:$CE$1,0))/100,0),""))),"")</f>
        <v>0</v>
      </c>
      <c r="AN35" s="39" t="n">
        <f aca="false">IFERROR(IF($C35="","",IF($D35="","",IFERROR(ROUND($D35*INDEX('🔖 배합비 참조'!$B$2:$CE$83,MATCH("딸기분말(스트로우베리에이드(분말))",'🔖 배합비 참조'!$A$2:$A$83,0),MATCH($C35,'🔖 배합비 참조'!$B$1:$CE$1,0))/100,0),""))),"")</f>
        <v>0</v>
      </c>
      <c r="AO35" s="39" t="n">
        <f aca="false">IFERROR(IF($C35="","",IF($D35="","",IFERROR(ROUND($D35*INDEX('🔖 배합비 참조'!$B$2:$CE$83,MATCH("마스카포네치즈",'🔖 배합비 참조'!$A$2:$A$83,0),MATCH($C35,'🔖 배합비 참조'!$B$1:$CE$1,0))/100,0),""))),"")</f>
        <v>0</v>
      </c>
      <c r="AP35" s="39" t="n">
        <f aca="false">IFERROR(IF($C35="","",IF($D35="","",IFERROR(ROUND($D35*INDEX('🔖 배합비 참조'!$B$2:$CE$83,MATCH("마카다미아분태(호주산)",'🔖 배합비 참조'!$A$2:$A$83,0),MATCH($C35,'🔖 배합비 참조'!$B$1:$CE$1,0))/100,0),""))),"")</f>
        <v>9</v>
      </c>
      <c r="AQ35" s="39" t="n">
        <f aca="false">IFERROR(IF($C35="","",IF($D35="","",IFERROR(ROUND($D35*INDEX('🔖 배합비 참조'!$B$2:$CE$83,MATCH("멥쌀(국내산)",'🔖 배합비 참조'!$A$2:$A$83,0),MATCH($C35,'🔖 배합비 참조'!$B$1:$CE$1,0))/100,0),""))),"")</f>
        <v>0</v>
      </c>
      <c r="AR35" s="39" t="n">
        <f aca="false">IFERROR(IF($C35="","",IF($D35="","",IFERROR(ROUND($D35*INDEX('🔖 배합비 참조'!$B$2:$CE$83,MATCH("모시잎(국내산)",'🔖 배합비 참조'!$A$2:$A$83,0),MATCH($C35,'🔖 배합비 참조'!$B$1:$CE$1,0))/100,0),""))),"")</f>
        <v>0</v>
      </c>
      <c r="AS35" s="39" t="n">
        <f aca="false">IFERROR(IF($C35="","",IF($D35="","",IFERROR(ROUND($D35*INDEX('🔖 배합비 참조'!$B$2:$CE$83,MATCH("물엿(저당물엿)",'🔖 배합비 참조'!$A$2:$A$83,0),MATCH($C35,'🔖 배합비 참조'!$B$1:$CE$1,0))/100,0),""))),"")</f>
        <v>4</v>
      </c>
      <c r="AT35" s="39" t="n">
        <f aca="false">IFERROR(IF($C35="","",IF($D35="","",IFERROR(ROUND($D35*INDEX('🔖 배합비 참조'!$B$2:$CE$83,MATCH("밤다이스",'🔖 배합비 참조'!$A$2:$A$83,0),MATCH($C35,'🔖 배합비 참조'!$B$1:$CE$1,0))/100,0),""))),"")</f>
        <v>2</v>
      </c>
      <c r="AU35" s="39" t="n">
        <f aca="false">IFERROR(IF($C35="","",IF($D35="","",IFERROR(ROUND($D35*INDEX('🔖 배합비 참조'!$B$2:$CE$83,MATCH("변성전분(타피오카전분)",'🔖 배합비 참조'!$A$2:$A$83,0),MATCH($C35,'🔖 배합비 참조'!$B$1:$CE$1,0))/100,0),""))),"")</f>
        <v>0</v>
      </c>
      <c r="AV35" s="39" t="n">
        <f aca="false">IFERROR(IF($C35="","",IF($D35="","",IFERROR(ROUND($D35*INDEX('🔖 배합비 참조'!$B$2:$CE$83,MATCH("복음땅콩분태",'🔖 배합비 참조'!$A$2:$A$83,0),MATCH($C35,'🔖 배합비 참조'!$B$1:$CE$1,0))/100,0),""))),"")</f>
        <v>0</v>
      </c>
      <c r="AW35" s="39" t="n">
        <f aca="false">IFERROR(IF($C35="","",IF($D35="","",IFERROR(ROUND($D35*INDEX('🔖 배합비 참조'!$B$2:$CE$83,MATCH("사양벌꿀(국내산)",'🔖 배합비 참조'!$A$2:$A$83,0),MATCH($C35,'🔖 배합비 참조'!$B$1:$CE$1,0))/100,0),""))),"")</f>
        <v>0</v>
      </c>
      <c r="AX35" s="39" t="n">
        <f aca="false">IFERROR(IF($C35="","",IF($D35="","",IFERROR(ROUND($D35*INDEX('🔖 배합비 참조'!$B$2:$CE$83,MATCH("생크림",'🔖 배합비 참조'!$A$2:$A$83,0),MATCH($C35,'🔖 배합비 참조'!$B$1:$CE$1,0))/100,0),""))),"")</f>
        <v>0</v>
      </c>
      <c r="AY35" s="39" t="n">
        <f aca="false">IFERROR(IF($C35="","",IF($D35="","",IFERROR(ROUND($D35*INDEX('🔖 배합비 참조'!$B$2:$CE$83,MATCH("서양호박(국내산,뉴질랜드산)",'🔖 배합비 참조'!$A$2:$A$83,0),MATCH($C35,'🔖 배합비 참조'!$B$1:$CE$1,0))/100,0),""))),"")</f>
        <v>0</v>
      </c>
      <c r="AZ35" s="39" t="n">
        <f aca="false">IFERROR(IF($C35="","",IF($D35="","",IFERROR(ROUND($D35*INDEX('🔖 배합비 참조'!$B$2:$CE$83,MATCH("설탕",'🔖 배합비 참조'!$A$2:$A$83,0),MATCH($C35,'🔖 배합비 참조'!$B$1:$CE$1,0))/100,0),""))),"")</f>
        <v>4</v>
      </c>
      <c r="BA35" s="39" t="n">
        <f aca="false">IFERROR(IF($C35="","",IF($D35="","",IFERROR(ROUND($D35*INDEX('🔖 배합비 참조'!$B$2:$CE$83,MATCH("스트로우베리 에이드 후레쉬",'🔖 배합비 참조'!$A$2:$A$83,0),MATCH($C35,'🔖 배합비 참조'!$B$1:$CE$1,0))/100,0),""))),"")</f>
        <v>0</v>
      </c>
      <c r="BB35" s="39" t="n">
        <f aca="false">IFERROR(IF($C35="","",IF($D35="","",IFERROR(ROUND($D35*INDEX('🔖 배합비 참조'!$B$2:$CE$83,MATCH("식물성기름혼합제제(분홍)",'🔖 배합비 참조'!$A$2:$A$83,0),MATCH($C35,'🔖 배합비 참조'!$B$1:$CE$1,0))/100,0),""))),"")</f>
        <v>0</v>
      </c>
      <c r="BC35" s="39" t="n">
        <f aca="false">IFERROR(IF($C35="","",IF($D35="","",IFERROR(ROUND($D35*INDEX('🔖 배합비 참조'!$B$2:$CE$83,MATCH("식물성기름혼합제제(초록)",'🔖 배합비 참조'!$A$2:$A$83,0),MATCH($C35,'🔖 배합비 참조'!$B$1:$CE$1,0))/100,0),""))),"")</f>
        <v>0</v>
      </c>
      <c r="BD35" s="39" t="n">
        <f aca="false">IFERROR(IF($C35="","",IF($D35="","",IFERROR(ROUND($D35*INDEX('🔖 배합비 참조'!$B$2:$CE$83,MATCH("식물성기름혼합제제(황색)",'🔖 배합비 참조'!$A$2:$A$83,0),MATCH($C35,'🔖 배합비 참조'!$B$1:$CE$1,0))/100,0),""))),"")</f>
        <v>0</v>
      </c>
      <c r="BE35" s="39" t="n">
        <f aca="false">IFERROR(IF($C35="","",IF($D35="","",IFERROR(ROUND($D35*INDEX('🔖 배합비 참조'!$B$2:$CE$83,MATCH("쑥가루(국내산)",'🔖 배합비 참조'!$A$2:$A$83,0),MATCH($C35,'🔖 배합비 참조'!$B$1:$CE$1,0))/100,0),""))),"")</f>
        <v>0</v>
      </c>
      <c r="BF35" s="39" t="n">
        <f aca="false">IFERROR(IF($C35="","",IF($D35="","",IFERROR(ROUND($D35*INDEX('🔖 배합비 참조'!$B$2:$CE$83,MATCH("아몬드슬라이스",'🔖 배합비 참조'!$A$2:$A$83,0),MATCH($C35,'🔖 배합비 참조'!$B$1:$CE$1,0))/100,0),""))),"")</f>
        <v>0</v>
      </c>
      <c r="BG35" s="39" t="n">
        <f aca="false">IFERROR(IF($C35="","",IF($D35="","",IFERROR(ROUND($D35*INDEX('🔖 배합비 참조'!$B$2:$CE$83,MATCH("알룰로오스(국내산)",'🔖 배합비 참조'!$A$2:$A$83,0),MATCH($C35,'🔖 배합비 참조'!$B$1:$CE$1,0))/100,0),""))),"")</f>
        <v>0</v>
      </c>
      <c r="BH35" s="39" t="n">
        <f aca="false">IFERROR(IF($C35="","",IF($D35="","",IFERROR(ROUND($D35*INDEX('🔖 배합비 참조'!$B$2:$CE$83,MATCH("연유",'🔖 배합비 참조'!$A$2:$A$83,0),MATCH($C35,'🔖 배합비 참조'!$B$1:$CE$1,0))/100,0),""))),"")</f>
        <v>0</v>
      </c>
      <c r="BI35" s="39" t="n">
        <f aca="false">IFERROR(IF($C35="","",IF($D35="","",IFERROR(ROUND($D35*INDEX('🔖 배합비 참조'!$B$2:$CE$83,MATCH("옥수수전분",'🔖 배합비 참조'!$A$2:$A$83,0),MATCH($C35,'🔖 배합비 참조'!$B$1:$CE$1,0))/100,0),""))),"")</f>
        <v>7</v>
      </c>
      <c r="BJ35" s="39" t="n">
        <f aca="false">IFERROR(IF($C35="","",IF($D35="","",IFERROR(ROUND($D35*INDEX('🔖 배합비 참조'!$B$2:$CE$83,MATCH("완두배기",'🔖 배합비 참조'!$A$2:$A$83,0),MATCH($C35,'🔖 배합비 참조'!$B$1:$CE$1,0))/100,0),""))),"")</f>
        <v>0</v>
      </c>
      <c r="BK35" s="39" t="n">
        <f aca="false">IFERROR(IF($C35="","",IF($D35="","",IFERROR(ROUND($D35*INDEX('🔖 배합비 참조'!$B$2:$CE$83,MATCH("우유(국내산)",'🔖 배합비 참조'!$A$2:$A$83,0),MATCH($C35,'🔖 배합비 참조'!$B$1:$CE$1,0))/100,0),""))),"")</f>
        <v>0</v>
      </c>
      <c r="BL35" s="39" t="n">
        <f aca="false">IFERROR(IF($C35="","",IF($D35="","",IFERROR(ROUND($D35*INDEX('🔖 배합비 참조'!$B$2:$CE$83,MATCH("자색고구마가루(중국산)",'🔖 배합비 참조'!$A$2:$A$83,0),MATCH($C35,'🔖 배합비 참조'!$B$1:$CE$1,0))/100,0),""))),"")</f>
        <v>0</v>
      </c>
      <c r="BM35" s="39" t="n">
        <f aca="false">IFERROR(IF($C35="","",IF($D35="","",IFERROR(ROUND($D35*INDEX('🔖 배합비 참조'!$B$2:$CE$83,MATCH("자연치즈(체다치즈)",'🔖 배합비 참조'!$A$2:$A$83,0),MATCH($C35,'🔖 배합비 참조'!$B$1:$CE$1,0))/100,0),""))),"")</f>
        <v>0</v>
      </c>
      <c r="BN35" s="39" t="n">
        <f aca="false">IFERROR(IF($C35="","",IF($D35="","",IFERROR(ROUND($D35*INDEX('🔖 배합비 참조'!$B$2:$CE$83,MATCH("정제수",'🔖 배합비 참조'!$A$2:$A$83,0),MATCH($C35,'🔖 배합비 참조'!$B$1:$CE$1,0))/100,0),""))),"")</f>
        <v>0</v>
      </c>
      <c r="BO35" s="39" t="n">
        <f aca="false">IFERROR(IF($C35="","",IF($D35="","",IFERROR(ROUND($D35*INDEX('🔖 배합비 참조'!$B$2:$CE$83,MATCH("젤라틴",'🔖 배합비 참조'!$A$2:$A$83,0),MATCH($C35,'🔖 배합비 참조'!$B$1:$CE$1,0))/100,0),""))),"")</f>
        <v>0</v>
      </c>
      <c r="BP35" s="39" t="n">
        <f aca="false">IFERROR(IF($C35="","",IF($D35="","",IFERROR(ROUND($D35*INDEX('🔖 배합비 참조'!$B$2:$CE$83,MATCH("조림류(백옥앙금)",'🔖 배합비 참조'!$A$2:$A$83,0),MATCH($C35,'🔖 배합비 참조'!$B$1:$CE$1,0))/100,0),""))),"")</f>
        <v>0</v>
      </c>
      <c r="BQ35" s="39" t="n">
        <f aca="false">IFERROR(IF($C35="","",IF($D35="","",IFERROR(ROUND($D35*INDEX('🔖 배합비 참조'!$B$2:$CE$83,MATCH("조림류(통팥앙금)",'🔖 배합비 참조'!$A$2:$A$83,0),MATCH($C35,'🔖 배합비 참조'!$B$1:$CE$1,0))/100,0),""))),"")</f>
        <v>84</v>
      </c>
      <c r="BR35" s="39" t="n">
        <f aca="false">IFERROR(IF($C35="","",IF($D35="","",IFERROR(ROUND($D35*INDEX('🔖 배합비 참조'!$B$2:$CE$83,MATCH("준초콜릿(외국산)",'🔖 배합비 참조'!$A$2:$A$83,0),MATCH($C35,'🔖 배합비 참조'!$B$1:$CE$1,0))/100,0),""))),"")</f>
        <v>0</v>
      </c>
      <c r="BS35" s="39" t="n">
        <f aca="false">IFERROR(IF($C35="","",IF($D35="","",IFERROR(ROUND($D35*INDEX('🔖 배합비 참조'!$B$2:$CE$83,MATCH("중력분",'🔖 배합비 참조'!$A$2:$A$83,0),MATCH($C35,'🔖 배합비 참조'!$B$1:$CE$1,0))/100,0),""))),"")</f>
        <v>0</v>
      </c>
      <c r="BT35" s="39" t="n">
        <f aca="false">IFERROR(IF($C35="","",IF($D35="","",IFERROR(ROUND($D35*INDEX('🔖 배합비 참조'!$B$2:$CE$83,MATCH("참깨(인도산,나이지리아산,탄자니아산,미얀마산)",'🔖 배합비 참조'!$A$2:$A$83,0),MATCH($C35,'🔖 배합비 참조'!$B$1:$CE$1,0))/100,0),""))),"")</f>
        <v>0</v>
      </c>
      <c r="BU35" s="39" t="n">
        <f aca="false">IFERROR(IF($C35="","",IF($D35="","",IFERROR(ROUND($D35*INDEX('🔖 배합비 참조'!$B$2:$CE$83,MATCH("찹쌀(국내산)",'🔖 배합비 참조'!$A$2:$A$83,0),MATCH($C35,'🔖 배합비 참조'!$B$1:$CE$1,0))/100,0),""))),"")</f>
        <v>90</v>
      </c>
      <c r="BV35" s="39" t="n">
        <f aca="false">IFERROR(IF($C35="","",IF($D35="","",IFERROR(ROUND($D35*INDEX('🔖 배합비 참조'!$B$2:$CE$83,MATCH("천일염",'🔖 배합비 참조'!$A$2:$A$83,0),MATCH($C35,'🔖 배합비 참조'!$B$1:$CE$1,0))/100,0),""))),"")</f>
        <v>1</v>
      </c>
      <c r="BW35" s="39" t="n">
        <f aca="false">IFERROR(IF($C35="","",IF($D35="","",IFERROR(ROUND($D35*INDEX('🔖 배합비 참조'!$B$2:$CE$83,MATCH("치즈 [크림치즈]",'🔖 배합비 참조'!$A$2:$A$83,0),MATCH($C35,'🔖 배합비 참조'!$B$1:$CE$1,0))/100,0),""))),"")</f>
        <v>0</v>
      </c>
      <c r="BX35" s="39" t="n">
        <f aca="false">IFERROR(IF($C35="","",IF($D35="","",IFERROR(ROUND($D35*INDEX('🔖 배합비 참조'!$B$2:$CE$83,MATCH("코코아가공품류(코코아분말)",'🔖 배합비 참조'!$A$2:$A$83,0),MATCH($C35,'🔖 배합비 참조'!$B$1:$CE$1,0))/100,0),""))),"")</f>
        <v>0</v>
      </c>
      <c r="BY35" s="39" t="n">
        <f aca="false">IFERROR(IF($C35="","",IF($D35="","",IFERROR(ROUND($D35*INDEX('🔖 배합비 참조'!$B$2:$CE$83,MATCH("콩기름(대두유)",'🔖 배합비 참조'!$A$2:$A$83,0),MATCH($C35,'🔖 배합비 참조'!$B$1:$CE$1,0))/100,0),""))),"")</f>
        <v>0</v>
      </c>
      <c r="BZ35" s="39" t="n">
        <f aca="false">IFERROR(IF($C35="","",IF($D35="","",IFERROR(ROUND($D35*INDEX('🔖 배합비 참조'!$B$2:$CE$83,MATCH("해바라기씨앗",'🔖 배합비 참조'!$A$2:$A$83,0),MATCH($C35,'🔖 배합비 참조'!$B$1:$CE$1,0))/100,0),""))),"")</f>
        <v>0</v>
      </c>
      <c r="CA35" s="39" t="n">
        <f aca="false">IFERROR(IF($C35="","",IF($D35="","",IFERROR(ROUND($D35*INDEX('🔖 배합비 참조'!$B$2:$CE$83,MATCH("현미(국내산)",'🔖 배합비 참조'!$A$2:$A$83,0),MATCH($C35,'🔖 배합비 참조'!$B$1:$CE$1,0))/100,0),""))),"")</f>
        <v>0</v>
      </c>
      <c r="CB35" s="39" t="n">
        <f aca="false">IFERROR(IF($C35="","",IF($D35="","",IFERROR(ROUND($D35*INDEX('🔖 배합비 참조'!$B$2:$CE$83,MATCH("현미멥쌀(국내산)",'🔖 배합비 참조'!$A$2:$A$83,0),MATCH($C35,'🔖 배합비 참조'!$B$1:$CE$1,0))/100,0),""))),"")</f>
        <v>0</v>
      </c>
      <c r="CC35" s="39" t="n">
        <f aca="false">IFERROR(IF($C35="","",IF($D35="","",IFERROR(ROUND($D35*INDEX('🔖 배합비 참조'!$B$2:$CE$83,MATCH("호두분태(미국산)",'🔖 배합비 참조'!$A$2:$A$83,0),MATCH($C35,'🔖 배합비 참조'!$B$1:$CE$1,0))/100,0),""))),"")</f>
        <v>7</v>
      </c>
      <c r="CD35" s="39" t="n">
        <f aca="false">IFERROR(IF($C35="","",IF($D35="","",IFERROR(ROUND($D35*INDEX('🔖 배합비 참조'!$B$2:$CE$83,MATCH("호박씨앗(외국산)",'🔖 배합비 참조'!$A$2:$A$83,0),MATCH($C35,'🔖 배합비 참조'!$B$1:$CE$1,0))/100,0),""))),"")</f>
        <v>0</v>
      </c>
      <c r="CE35" s="39" t="n">
        <f aca="false">IFERROR(IF($C35="","",IF($D35="","",IFERROR(ROUND($D35*INDEX('🔖 배합비 참조'!$B$2:$CE$83,MATCH("혼합제제(떡용에스텔)",'🔖 배합비 참조'!$A$2:$A$83,0),MATCH($C35,'🔖 배합비 참조'!$B$1:$CE$1,0))/100,0),""))),"")</f>
        <v>1</v>
      </c>
      <c r="CF35" s="39" t="n">
        <f aca="false">IFERROR(IF($C35="","",IF($D35="","",IFERROR(ROUND($D35*INDEX('🔖 배합비 참조'!$B$2:$CE$83,MATCH("혼합제제(스테비아)",'🔖 배합비 참조'!$A$2:$A$83,0),MATCH($C35,'🔖 배합비 참조'!$B$1:$CE$1,0))/100,0),""))),"")</f>
        <v>0</v>
      </c>
      <c r="CG35" s="39" t="n">
        <f aca="false">IFERROR(IF($C35="","",IF($D35="","",IFERROR(ROUND($D35*INDEX('🔖 배합비 참조'!$B$2:$CE$83,MATCH("화이트초콜릿",'🔖 배합비 참조'!$A$2:$A$83,0),MATCH($C35,'🔖 배합비 참조'!$B$1:$CE$1,0))/100,0),""))),"")</f>
        <v>0</v>
      </c>
      <c r="CH35" s="39" t="n">
        <f aca="false">IFERROR(IF($C35="","",IF($D35="","",IFERROR(ROUND($D35*INDEX('🔖 배합비 참조'!$B$2:$CE$83,MATCH("흑미찹쌀(국내산)",'🔖 배합비 참조'!$A$2:$A$83,0),MATCH($C35,'🔖 배합비 참조'!$B$1:$CE$1,0))/100,0),""))),"")</f>
        <v>0</v>
      </c>
      <c r="CI35" s="39" t="n">
        <f aca="false">IFERROR(IF($C35="","",IF($D35="","",IFERROR(ROUND($D35*INDEX('🔖 배합비 참조'!$B$2:$CE$83,MATCH("찰옥수수전분(미국산)",'🔖 배합비 참조'!$A$2:$A$83,0),MATCH($C35,'🔖 배합비 참조'!$B$1:$CE$1,0))/100,0),""))),"")</f>
        <v>0</v>
      </c>
      <c r="CJ35" s="40"/>
      <c r="CL35" s="1" t="s">
        <v>235</v>
      </c>
    </row>
    <row r="36" customFormat="false" ht="18" hidden="false" customHeight="true" outlineLevel="0" collapsed="false">
      <c r="A36" s="41" t="n">
        <v>32</v>
      </c>
      <c r="B36" s="36" t="n">
        <v>45959</v>
      </c>
      <c r="C36" s="37" t="s">
        <v>184</v>
      </c>
      <c r="D36" s="38" t="n">
        <v>72.5</v>
      </c>
      <c r="E36" s="17"/>
      <c r="F36" s="17"/>
      <c r="G36" s="42" t="n">
        <f aca="false">IFERROR(IF($C36="","",IF($D36="","",IFERROR(ROUND($D36*INDEX('🔖 배합비 참조'!$B$2:$CE$83,MATCH("간장",'🔖 배합비 참조'!$A$2:$A$83,0),MATCH($C36,'🔖 배합비 참조'!$B$1:$CE$1,0))/100,0),""))),"")</f>
        <v>0</v>
      </c>
      <c r="H36" s="42" t="n">
        <f aca="false">IFERROR(IF($C36="","",IF($D36="","",IFERROR(ROUND($D36*INDEX('🔖 배합비 참조'!$B$2:$CE$83,MATCH("강낭콩((울타리콩))",'🔖 배합비 참조'!$A$2:$A$83,0),MATCH($C36,'🔖 배합비 참조'!$B$1:$CE$1,0))/100,0),""))),"")</f>
        <v>0</v>
      </c>
      <c r="I36" s="42" t="n">
        <f aca="false">IFERROR(IF($C36="","",IF($D36="","",IFERROR(ROUND($D36*INDEX('🔖 배합비 참조'!$B$2:$CE$83,MATCH("건조딸기다이스(외국산)",'🔖 배합비 참조'!$A$2:$A$83,0),MATCH($C36,'🔖 배합비 참조'!$B$1:$CE$1,0))/100,0),""))),"")</f>
        <v>0</v>
      </c>
      <c r="J36" s="42" t="n">
        <f aca="false">IFERROR(IF($C36="","",IF($D36="","",IFERROR(ROUND($D36*INDEX('🔖 배합비 참조'!$B$2:$CE$83,MATCH("건포도",'🔖 배합비 참조'!$A$2:$A$83,0),MATCH($C36,'🔖 배합비 참조'!$B$1:$CE$1,0))/100,0),""))),"")</f>
        <v>0</v>
      </c>
      <c r="K36" s="42" t="n">
        <f aca="false">IFERROR(IF($C36="","",IF($D36="","",IFERROR(ROUND($D36*INDEX('🔖 배합비 참조'!$B$2:$CE$83,MATCH("건호박채(중국산)",'🔖 배합비 참조'!$A$2:$A$83,0),MATCH($C36,'🔖 배합비 참조'!$B$1:$CE$1,0))/100,0),""))),"")</f>
        <v>0</v>
      </c>
      <c r="L36" s="42" t="n">
        <f aca="false">IFERROR(IF($C36="","",IF($D36="","",IFERROR(ROUND($D36*INDEX('🔖 배합비 참조'!$B$2:$CE$83,MATCH("검정깨(흑임자)",'🔖 배합비 참조'!$A$2:$A$83,0),MATCH($C36,'🔖 배합비 참조'!$B$1:$CE$1,0))/100,0),""))),"")</f>
        <v>0</v>
      </c>
      <c r="M36" s="42" t="n">
        <f aca="false">IFERROR(IF($C36="","",IF($D36="","",IFERROR(ROUND($D36*INDEX('🔖 배합비 참조'!$B$2:$CE$83,MATCH("검정콩",'🔖 배합비 참조'!$A$2:$A$83,0),MATCH($C36,'🔖 배합비 참조'!$B$1:$CE$1,0))/100,0),""))),"")</f>
        <v>0</v>
      </c>
      <c r="N36" s="42" t="n">
        <f aca="false">IFERROR(IF($C36="","",IF($D36="","",IFERROR(ROUND($D36*INDEX('🔖 배합비 참조'!$B$2:$CE$83,MATCH("계피가루",'🔖 배합비 참조'!$A$2:$A$83,0),MATCH($C36,'🔖 배합비 참조'!$B$1:$CE$1,0))/100,0),""))),"")</f>
        <v>0</v>
      </c>
      <c r="O36" s="42" t="n">
        <f aca="false">IFERROR(IF($C36="","",IF($D36="","",IFERROR(ROUND($D36*INDEX('🔖 배합비 참조'!$B$2:$CE$83,MATCH("고구마가루",'🔖 배합비 참조'!$A$2:$A$83,0),MATCH($C36,'🔖 배합비 참조'!$B$1:$CE$1,0))/100,0),""))),"")</f>
        <v>0</v>
      </c>
      <c r="P36" s="42" t="n">
        <f aca="false">IFERROR(IF($C36="","",IF($D36="","",IFERROR(ROUND($D36*INDEX('🔖 배합비 참조'!$B$2:$CE$83,MATCH("고구마무스",'🔖 배합비 참조'!$A$2:$A$83,0),MATCH($C36,'🔖 배합비 참조'!$B$1:$CE$1,0))/100,0),""))),"")</f>
        <v>0</v>
      </c>
      <c r="Q36" s="42" t="n">
        <f aca="false">IFERROR(IF($C36="","",IF($D36="","",IFERROR(ROUND($D36*INDEX('🔖 배합비 참조'!$B$2:$CE$83,MATCH("고려엉겅퀴((곤드레)국내산)",'🔖 배합비 참조'!$A$2:$A$83,0),MATCH($C36,'🔖 배합비 참조'!$B$1:$CE$1,0))/100,0),""))),"")</f>
        <v>0</v>
      </c>
      <c r="R36" s="42" t="n">
        <f aca="false">IFERROR(IF($C36="","",IF($D36="","",IFERROR(ROUND($D36*INDEX('🔖 배합비 참조'!$B$2:$CE$83,MATCH("기타가공품(복분자가루)",'🔖 배합비 참조'!$A$2:$A$83,0),MATCH($C36,'🔖 배합비 참조'!$B$1:$CE$1,0))/100,0),""))),"")</f>
        <v>0</v>
      </c>
      <c r="S36" s="42" t="n">
        <f aca="false">IFERROR(IF($C36="","",IF($D36="","",IFERROR(ROUND($D36*INDEX('🔖 배합비 참조'!$B$2:$CE$83,MATCH("기타가공품(슈퍼소프트엠)",'🔖 배합비 참조'!$A$2:$A$83,0),MATCH($C36,'🔖 배합비 참조'!$B$1:$CE$1,0))/100,0),""))),"")</f>
        <v>0</v>
      </c>
      <c r="T36" s="42" t="n">
        <f aca="false">IFERROR(IF($C36="","",IF($D36="","",IFERROR(ROUND($D36*INDEX('🔖 배합비 참조'!$B$2:$CE$83,MATCH("기타가공품(파인소프트 E-티)",'🔖 배합비 참조'!$A$2:$A$83,0),MATCH($C36,'🔖 배합비 참조'!$B$1:$CE$1,0))/100,0),""))),"")</f>
        <v>0</v>
      </c>
      <c r="U36" s="42" t="n">
        <f aca="false">IFERROR(IF($C36="","",IF($D36="","",IFERROR(ROUND($D36*INDEX('🔖 배합비 참조'!$B$2:$CE$83,MATCH("기타가공품(프리미엄카스테라가루)",'🔖 배합비 참조'!$A$2:$A$83,0),MATCH($C36,'🔖 배합비 참조'!$B$1:$CE$1,0))/100,0),""))),"")</f>
        <v>0</v>
      </c>
      <c r="V36" s="42" t="n">
        <f aca="false">IFERROR(IF($C36="","",IF($D36="","",IFERROR(ROUND($D36*INDEX('🔖 배합비 참조'!$B$2:$CE$83,MATCH("기타가공품(흑임자가루)",'🔖 배합비 참조'!$A$2:$A$83,0),MATCH($C36,'🔖 배합비 참조'!$B$1:$CE$1,0))/100,0),""))),"")</f>
        <v>0</v>
      </c>
      <c r="W36" s="42" t="n">
        <f aca="false">IFERROR(IF($C36="","",IF($D36="","",IFERROR(ROUND($D36*INDEX('🔖 배합비 참조'!$B$2:$CE$83,MATCH("기타설탕(흑설탕)",'🔖 배합비 참조'!$A$2:$A$83,0),MATCH($C36,'🔖 배합비 참조'!$B$1:$CE$1,0))/100,0),""))),"")</f>
        <v>0</v>
      </c>
      <c r="X36" s="42" t="n">
        <f aca="false">IFERROR(IF($C36="","",IF($D36="","",IFERROR(ROUND($D36*INDEX('🔖 배합비 참조'!$B$2:$CE$83,MATCH("냉동쑥(국내산)",'🔖 배합비 참조'!$A$2:$A$83,0),MATCH($C36,'🔖 배합비 참조'!$B$1:$CE$1,0))/100,0),""))),"")</f>
        <v>0</v>
      </c>
      <c r="Y36" s="42" t="n">
        <f aca="false">IFERROR(IF($C36="","",IF($D36="","",IFERROR(ROUND($D36*INDEX('🔖 배합비 참조'!$B$2:$CE$83,MATCH("냉동증숙고구마(중국산)",'🔖 배합비 참조'!$A$2:$A$83,0),MATCH($C36,'🔖 배합비 참조'!$B$1:$CE$1,0))/100,0),""))),"")</f>
        <v>0</v>
      </c>
      <c r="Z36" s="42" t="n">
        <f aca="false">IFERROR(IF($C36="","",IF($D36="","",IFERROR(ROUND($D36*INDEX('🔖 배합비 참조'!$B$2:$CE$83,MATCH("녹차가루",'🔖 배합비 참조'!$A$2:$A$83,0),MATCH($C36,'🔖 배합비 참조'!$B$1:$CE$1,0))/100,0),""))),"")</f>
        <v>0</v>
      </c>
      <c r="AA36" s="42" t="n">
        <f aca="false">IFERROR(IF($C36="","",IF($D36="","",IFERROR(ROUND($D36*INDEX('🔖 배합비 참조'!$B$2:$CE$83,MATCH("다크초콜릿 컴파운드칩",'🔖 배합비 참조'!$A$2:$A$83,0),MATCH($C36,'🔖 배합비 참조'!$B$1:$CE$1,0))/100,0),""))),"")</f>
        <v>0</v>
      </c>
      <c r="AB36" s="42" t="n">
        <f aca="false">IFERROR(IF($C36="","",IF($D36="","",IFERROR(ROUND($D36*INDEX('🔖 배합비 참조'!$B$2:$CE$83,MATCH("단호박분말(중국산)",'🔖 배합비 참조'!$A$2:$A$83,0),MATCH($C36,'🔖 배합비 참조'!$B$1:$CE$1,0))/100,0),""))),"")</f>
        <v>0</v>
      </c>
      <c r="AC36" s="42" t="n">
        <f aca="false">IFERROR(IF($C36="","",IF($D36="","",IFERROR(ROUND($D36*INDEX('🔖 배합비 참조'!$B$2:$CE$83,MATCH("당류가공품(단호박농축액)",'🔖 배합비 참조'!$A$2:$A$83,0),MATCH($C36,'🔖 배합비 참조'!$B$1:$CE$1,0))/100,0),""))),"")</f>
        <v>0</v>
      </c>
      <c r="AD36" s="42" t="n">
        <f aca="false">IFERROR(IF($C36="","",IF($D36="","",IFERROR(ROUND($D36*INDEX('🔖 배합비 참조'!$B$2:$CE$83,MATCH("당류가공품(알룰로스,에리스리톨,스테비올배당체혼합)",'🔖 배합비 참조'!$A$2:$A$83,0),MATCH($C36,'🔖 배합비 참조'!$B$1:$CE$1,0))/100,0),""))),"")</f>
        <v>0</v>
      </c>
      <c r="AE36" s="42" t="n">
        <f aca="false">IFERROR(IF($C36="","",IF($D36="","",IFERROR(ROUND($D36*INDEX('🔖 배합비 참조'!$B$2:$CE$83,MATCH("당류가공품(알룰로스제로파우더)",'🔖 배합비 참조'!$A$2:$A$83,0),MATCH($C36,'🔖 배합비 참조'!$B$1:$CE$1,0))/100,0),""))),"")</f>
        <v>0</v>
      </c>
      <c r="AF36" s="42" t="n">
        <f aca="false">IFERROR(IF($C36="","",IF($D36="","",IFERROR(ROUND($D36*INDEX('🔖 배합비 참조'!$B$2:$CE$83,MATCH("당절임(완두배기)",'🔖 배합비 참조'!$A$2:$A$83,0),MATCH($C36,'🔖 배합비 참조'!$B$1:$CE$1,0))/100,0),""))),"")</f>
        <v>0</v>
      </c>
      <c r="AG36" s="42" t="n">
        <f aca="false">IFERROR(IF($C36="","",IF($D36="","",IFERROR(ROUND($D36*INDEX('🔖 배합비 참조'!$B$2:$CE$83,MATCH("대추농축액",'🔖 배합비 참조'!$A$2:$A$83,0),MATCH($C36,'🔖 배합비 참조'!$B$1:$CE$1,0))/100,0),""))),"")</f>
        <v>0</v>
      </c>
      <c r="AH36" s="42" t="n">
        <f aca="false">IFERROR(IF($C36="","",IF($D36="","",IFERROR(ROUND($D36*INDEX('🔖 배합비 참조'!$B$2:$CE$83,MATCH("대추채(국내산)",'🔖 배합비 참조'!$A$2:$A$83,0),MATCH($C36,'🔖 배합비 참조'!$B$1:$CE$1,0))/100,0),""))),"")</f>
        <v>0</v>
      </c>
      <c r="AI36" s="42" t="n">
        <f aca="false">IFERROR(IF($C36="","",IF($D36="","",IFERROR(ROUND($D36*INDEX('🔖 배합비 참조'!$B$2:$CE$83,MATCH("동부(미얀마산)",'🔖 배합비 참조'!$A$2:$A$83,0),MATCH($C36,'🔖 배합비 참조'!$B$1:$CE$1,0))/100,0),""))),"")</f>
        <v>0</v>
      </c>
      <c r="AJ36" s="42" t="n">
        <f aca="false">IFERROR(IF($C36="","",IF($D36="","",IFERROR(ROUND($D36*INDEX('🔖 배합비 참조'!$B$2:$CE$83,MATCH("두류가공품(백옥앙금)",'🔖 배합비 참조'!$A$2:$A$83,0),MATCH($C36,'🔖 배합비 참조'!$B$1:$CE$1,0))/100,0),""))),"")</f>
        <v>0</v>
      </c>
      <c r="AK36" s="42" t="n">
        <f aca="false">IFERROR(IF($C36="","",IF($D36="","",IFERROR(ROUND($D36*INDEX('🔖 배합비 참조'!$B$2:$CE$83,MATCH("두류가공품(콩고물)",'🔖 배합비 참조'!$A$2:$A$83,0),MATCH($C36,'🔖 배합비 참조'!$B$1:$CE$1,0))/100,0),""))),"")</f>
        <v>0</v>
      </c>
      <c r="AL36" s="42" t="n">
        <f aca="false">IFERROR(IF($C36="","",IF($D36="","",IFERROR(ROUND($D36*INDEX('🔖 배합비 참조'!$B$2:$CE$83,MATCH("두류가공품(통팥고물)",'🔖 배합비 참조'!$A$2:$A$83,0),MATCH($C36,'🔖 배합비 참조'!$B$1:$CE$1,0))/100,0),""))),"")</f>
        <v>0</v>
      </c>
      <c r="AM36" s="42" t="n">
        <f aca="false">IFERROR(IF($C36="","",IF($D36="","",IFERROR(ROUND($D36*INDEX('🔖 배합비 참조'!$B$2:$CE$83,MATCH("딸기레진",'🔖 배합비 참조'!$A$2:$A$83,0),MATCH($C36,'🔖 배합비 참조'!$B$1:$CE$1,0))/100,0),""))),"")</f>
        <v>0</v>
      </c>
      <c r="AN36" s="42" t="n">
        <f aca="false">IFERROR(IF($C36="","",IF($D36="","",IFERROR(ROUND($D36*INDEX('🔖 배합비 참조'!$B$2:$CE$83,MATCH("딸기분말(스트로우베리에이드(분말))",'🔖 배합비 참조'!$A$2:$A$83,0),MATCH($C36,'🔖 배합비 참조'!$B$1:$CE$1,0))/100,0),""))),"")</f>
        <v>0</v>
      </c>
      <c r="AO36" s="42" t="n">
        <f aca="false">IFERROR(IF($C36="","",IF($D36="","",IFERROR(ROUND($D36*INDEX('🔖 배합비 참조'!$B$2:$CE$83,MATCH("마스카포네치즈",'🔖 배합비 참조'!$A$2:$A$83,0),MATCH($C36,'🔖 배합비 참조'!$B$1:$CE$1,0))/100,0),""))),"")</f>
        <v>0</v>
      </c>
      <c r="AP36" s="42" t="n">
        <f aca="false">IFERROR(IF($C36="","",IF($D36="","",IFERROR(ROUND($D36*INDEX('🔖 배합비 참조'!$B$2:$CE$83,MATCH("마카다미아분태(호주산)",'🔖 배합비 참조'!$A$2:$A$83,0),MATCH($C36,'🔖 배합비 참조'!$B$1:$CE$1,0))/100,0),""))),"")</f>
        <v>0</v>
      </c>
      <c r="AQ36" s="42" t="n">
        <f aca="false">IFERROR(IF($C36="","",IF($D36="","",IFERROR(ROUND($D36*INDEX('🔖 배합비 참조'!$B$2:$CE$83,MATCH("멥쌀(국내산)",'🔖 배합비 참조'!$A$2:$A$83,0),MATCH($C36,'🔖 배합비 참조'!$B$1:$CE$1,0))/100,0),""))),"")</f>
        <v>50</v>
      </c>
      <c r="AR36" s="42" t="n">
        <f aca="false">IFERROR(IF($C36="","",IF($D36="","",IFERROR(ROUND($D36*INDEX('🔖 배합비 참조'!$B$2:$CE$83,MATCH("모시잎(국내산)",'🔖 배합비 참조'!$A$2:$A$83,0),MATCH($C36,'🔖 배합비 참조'!$B$1:$CE$1,0))/100,0),""))),"")</f>
        <v>0</v>
      </c>
      <c r="AS36" s="42" t="n">
        <f aca="false">IFERROR(IF($C36="","",IF($D36="","",IFERROR(ROUND($D36*INDEX('🔖 배합비 참조'!$B$2:$CE$83,MATCH("물엿(저당물엿)",'🔖 배합비 참조'!$A$2:$A$83,0),MATCH($C36,'🔖 배합비 참조'!$B$1:$CE$1,0))/100,0),""))),"")</f>
        <v>0</v>
      </c>
      <c r="AT36" s="42" t="n">
        <f aca="false">IFERROR(IF($C36="","",IF($D36="","",IFERROR(ROUND($D36*INDEX('🔖 배합비 참조'!$B$2:$CE$83,MATCH("밤다이스",'🔖 배합비 참조'!$A$2:$A$83,0),MATCH($C36,'🔖 배합비 참조'!$B$1:$CE$1,0))/100,0),""))),"")</f>
        <v>0</v>
      </c>
      <c r="AU36" s="42" t="n">
        <f aca="false">IFERROR(IF($C36="","",IF($D36="","",IFERROR(ROUND($D36*INDEX('🔖 배합비 참조'!$B$2:$CE$83,MATCH("변성전분(타피오카전분)",'🔖 배합비 참조'!$A$2:$A$83,0),MATCH($C36,'🔖 배합비 참조'!$B$1:$CE$1,0))/100,0),""))),"")</f>
        <v>0</v>
      </c>
      <c r="AV36" s="42" t="n">
        <f aca="false">IFERROR(IF($C36="","",IF($D36="","",IFERROR(ROUND($D36*INDEX('🔖 배합비 참조'!$B$2:$CE$83,MATCH("복음땅콩분태",'🔖 배합비 참조'!$A$2:$A$83,0),MATCH($C36,'🔖 배합비 참조'!$B$1:$CE$1,0))/100,0),""))),"")</f>
        <v>0</v>
      </c>
      <c r="AW36" s="42" t="n">
        <f aca="false">IFERROR(IF($C36="","",IF($D36="","",IFERROR(ROUND($D36*INDEX('🔖 배합비 참조'!$B$2:$CE$83,MATCH("사양벌꿀(국내산)",'🔖 배합비 참조'!$A$2:$A$83,0),MATCH($C36,'🔖 배합비 참조'!$B$1:$CE$1,0))/100,0),""))),"")</f>
        <v>0</v>
      </c>
      <c r="AX36" s="42" t="n">
        <f aca="false">IFERROR(IF($C36="","",IF($D36="","",IFERROR(ROUND($D36*INDEX('🔖 배합비 참조'!$B$2:$CE$83,MATCH("생크림",'🔖 배합비 참조'!$A$2:$A$83,0),MATCH($C36,'🔖 배합비 참조'!$B$1:$CE$1,0))/100,0),""))),"")</f>
        <v>0</v>
      </c>
      <c r="AY36" s="42" t="n">
        <f aca="false">IFERROR(IF($C36="","",IF($D36="","",IFERROR(ROUND($D36*INDEX('🔖 배합비 참조'!$B$2:$CE$83,MATCH("서양호박(국내산,뉴질랜드산)",'🔖 배합비 참조'!$A$2:$A$83,0),MATCH($C36,'🔖 배합비 참조'!$B$1:$CE$1,0))/100,0),""))),"")</f>
        <v>0</v>
      </c>
      <c r="AZ36" s="42" t="n">
        <f aca="false">IFERROR(IF($C36="","",IF($D36="","",IFERROR(ROUND($D36*INDEX('🔖 배합비 참조'!$B$2:$CE$83,MATCH("설탕",'🔖 배합비 참조'!$A$2:$A$83,0),MATCH($C36,'🔖 배합비 참조'!$B$1:$CE$1,0))/100,0),""))),"")</f>
        <v>8</v>
      </c>
      <c r="BA36" s="42" t="n">
        <f aca="false">IFERROR(IF($C36="","",IF($D36="","",IFERROR(ROUND($D36*INDEX('🔖 배합비 참조'!$B$2:$CE$83,MATCH("스트로우베리 에이드 후레쉬",'🔖 배합비 참조'!$A$2:$A$83,0),MATCH($C36,'🔖 배합비 참조'!$B$1:$CE$1,0))/100,0),""))),"")</f>
        <v>0</v>
      </c>
      <c r="BB36" s="42" t="n">
        <f aca="false">IFERROR(IF($C36="","",IF($D36="","",IFERROR(ROUND($D36*INDEX('🔖 배합비 참조'!$B$2:$CE$83,MATCH("식물성기름혼합제제(분홍)",'🔖 배합비 참조'!$A$2:$A$83,0),MATCH($C36,'🔖 배합비 참조'!$B$1:$CE$1,0))/100,0),""))),"")</f>
        <v>0</v>
      </c>
      <c r="BC36" s="42" t="n">
        <f aca="false">IFERROR(IF($C36="","",IF($D36="","",IFERROR(ROUND($D36*INDEX('🔖 배합비 참조'!$B$2:$CE$83,MATCH("식물성기름혼합제제(초록)",'🔖 배합비 참조'!$A$2:$A$83,0),MATCH($C36,'🔖 배합비 참조'!$B$1:$CE$1,0))/100,0),""))),"")</f>
        <v>0</v>
      </c>
      <c r="BD36" s="42" t="n">
        <f aca="false">IFERROR(IF($C36="","",IF($D36="","",IFERROR(ROUND($D36*INDEX('🔖 배합비 참조'!$B$2:$CE$83,MATCH("식물성기름혼합제제(황색)",'🔖 배합비 참조'!$A$2:$A$83,0),MATCH($C36,'🔖 배합비 참조'!$B$1:$CE$1,0))/100,0),""))),"")</f>
        <v>0</v>
      </c>
      <c r="BE36" s="42" t="n">
        <f aca="false">IFERROR(IF($C36="","",IF($D36="","",IFERROR(ROUND($D36*INDEX('🔖 배합비 참조'!$B$2:$CE$83,MATCH("쑥가루(국내산)",'🔖 배합비 참조'!$A$2:$A$83,0),MATCH($C36,'🔖 배합비 참조'!$B$1:$CE$1,0))/100,0),""))),"")</f>
        <v>0</v>
      </c>
      <c r="BF36" s="42" t="n">
        <f aca="false">IFERROR(IF($C36="","",IF($D36="","",IFERROR(ROUND($D36*INDEX('🔖 배합비 참조'!$B$2:$CE$83,MATCH("아몬드슬라이스",'🔖 배합비 참조'!$A$2:$A$83,0),MATCH($C36,'🔖 배합비 참조'!$B$1:$CE$1,0))/100,0),""))),"")</f>
        <v>0</v>
      </c>
      <c r="BG36" s="42" t="n">
        <f aca="false">IFERROR(IF($C36="","",IF($D36="","",IFERROR(ROUND($D36*INDEX('🔖 배합비 참조'!$B$2:$CE$83,MATCH("알룰로오스(국내산)",'🔖 배합비 참조'!$A$2:$A$83,0),MATCH($C36,'🔖 배합비 참조'!$B$1:$CE$1,0))/100,0),""))),"")</f>
        <v>0</v>
      </c>
      <c r="BH36" s="42" t="n">
        <f aca="false">IFERROR(IF($C36="","",IF($D36="","",IFERROR(ROUND($D36*INDEX('🔖 배합비 참조'!$B$2:$CE$83,MATCH("연유",'🔖 배합비 참조'!$A$2:$A$83,0),MATCH($C36,'🔖 배합비 참조'!$B$1:$CE$1,0))/100,0),""))),"")</f>
        <v>0</v>
      </c>
      <c r="BI36" s="42" t="n">
        <f aca="false">IFERROR(IF($C36="","",IF($D36="","",IFERROR(ROUND($D36*INDEX('🔖 배합비 참조'!$B$2:$CE$83,MATCH("옥수수전분",'🔖 배합비 참조'!$A$2:$A$83,0),MATCH($C36,'🔖 배합비 참조'!$B$1:$CE$1,0))/100,0),""))),"")</f>
        <v>0</v>
      </c>
      <c r="BJ36" s="42" t="n">
        <f aca="false">IFERROR(IF($C36="","",IF($D36="","",IFERROR(ROUND($D36*INDEX('🔖 배합비 참조'!$B$2:$CE$83,MATCH("완두배기",'🔖 배합비 참조'!$A$2:$A$83,0),MATCH($C36,'🔖 배합비 참조'!$B$1:$CE$1,0))/100,0),""))),"")</f>
        <v>0</v>
      </c>
      <c r="BK36" s="42" t="n">
        <f aca="false">IFERROR(IF($C36="","",IF($D36="","",IFERROR(ROUND($D36*INDEX('🔖 배합비 참조'!$B$2:$CE$83,MATCH("우유(국내산)",'🔖 배합비 참조'!$A$2:$A$83,0),MATCH($C36,'🔖 배합비 참조'!$B$1:$CE$1,0))/100,0),""))),"")</f>
        <v>7</v>
      </c>
      <c r="BL36" s="42" t="n">
        <f aca="false">IFERROR(IF($C36="","",IF($D36="","",IFERROR(ROUND($D36*INDEX('🔖 배합비 참조'!$B$2:$CE$83,MATCH("자색고구마가루(중국산)",'🔖 배합비 참조'!$A$2:$A$83,0),MATCH($C36,'🔖 배합비 참조'!$B$1:$CE$1,0))/100,0),""))),"")</f>
        <v>0</v>
      </c>
      <c r="BM36" s="42" t="n">
        <f aca="false">IFERROR(IF($C36="","",IF($D36="","",IFERROR(ROUND($D36*INDEX('🔖 배합비 참조'!$B$2:$CE$83,MATCH("자연치즈(체다치즈)",'🔖 배합비 참조'!$A$2:$A$83,0),MATCH($C36,'🔖 배합비 참조'!$B$1:$CE$1,0))/100,0),""))),"")</f>
        <v>0</v>
      </c>
      <c r="BN36" s="42" t="n">
        <f aca="false">IFERROR(IF($C36="","",IF($D36="","",IFERROR(ROUND($D36*INDEX('🔖 배합비 참조'!$B$2:$CE$83,MATCH("정제수",'🔖 배합비 참조'!$A$2:$A$83,0),MATCH($C36,'🔖 배합비 참조'!$B$1:$CE$1,0))/100,0),""))),"")</f>
        <v>7</v>
      </c>
      <c r="BO36" s="42" t="n">
        <f aca="false">IFERROR(IF($C36="","",IF($D36="","",IFERROR(ROUND($D36*INDEX('🔖 배합비 참조'!$B$2:$CE$83,MATCH("젤라틴",'🔖 배합비 참조'!$A$2:$A$83,0),MATCH($C36,'🔖 배합비 참조'!$B$1:$CE$1,0))/100,0),""))),"")</f>
        <v>0</v>
      </c>
      <c r="BP36" s="42" t="n">
        <f aca="false">IFERROR(IF($C36="","",IF($D36="","",IFERROR(ROUND($D36*INDEX('🔖 배합비 참조'!$B$2:$CE$83,MATCH("조림류(백옥앙금)",'🔖 배합비 참조'!$A$2:$A$83,0),MATCH($C36,'🔖 배합비 참조'!$B$1:$CE$1,0))/100,0),""))),"")</f>
        <v>0</v>
      </c>
      <c r="BQ36" s="42" t="n">
        <f aca="false">IFERROR(IF($C36="","",IF($D36="","",IFERROR(ROUND($D36*INDEX('🔖 배합비 참조'!$B$2:$CE$83,MATCH("조림류(통팥앙금)",'🔖 배합비 참조'!$A$2:$A$83,0),MATCH($C36,'🔖 배합비 참조'!$B$1:$CE$1,0))/100,0),""))),"")</f>
        <v>0</v>
      </c>
      <c r="BR36" s="42" t="n">
        <f aca="false">IFERROR(IF($C36="","",IF($D36="","",IFERROR(ROUND($D36*INDEX('🔖 배합비 참조'!$B$2:$CE$83,MATCH("준초콜릿(외국산)",'🔖 배합비 참조'!$A$2:$A$83,0),MATCH($C36,'🔖 배합비 참조'!$B$1:$CE$1,0))/100,0),""))),"")</f>
        <v>0</v>
      </c>
      <c r="BS36" s="42" t="n">
        <f aca="false">IFERROR(IF($C36="","",IF($D36="","",IFERROR(ROUND($D36*INDEX('🔖 배합비 참조'!$B$2:$CE$83,MATCH("중력분",'🔖 배합비 참조'!$A$2:$A$83,0),MATCH($C36,'🔖 배합비 참조'!$B$1:$CE$1,0))/100,0),""))),"")</f>
        <v>0</v>
      </c>
      <c r="BT36" s="42" t="n">
        <f aca="false">IFERROR(IF($C36="","",IF($D36="","",IFERROR(ROUND($D36*INDEX('🔖 배합비 참조'!$B$2:$CE$83,MATCH("참깨(인도산,나이지리아산,탄자니아산,미얀마산)",'🔖 배합비 참조'!$A$2:$A$83,0),MATCH($C36,'🔖 배합비 참조'!$B$1:$CE$1,0))/100,0),""))),"")</f>
        <v>0</v>
      </c>
      <c r="BU36" s="42" t="n">
        <f aca="false">IFERROR(IF($C36="","",IF($D36="","",IFERROR(ROUND($D36*INDEX('🔖 배합비 참조'!$B$2:$CE$83,MATCH("찹쌀(국내산)",'🔖 배합비 참조'!$A$2:$A$83,0),MATCH($C36,'🔖 배합비 참조'!$B$1:$CE$1,0))/100,0),""))),"")</f>
        <v>0</v>
      </c>
      <c r="BV36" s="42" t="n">
        <f aca="false">IFERROR(IF($C36="","",IF($D36="","",IFERROR(ROUND($D36*INDEX('🔖 배합비 참조'!$B$2:$CE$83,MATCH("천일염",'🔖 배합비 참조'!$A$2:$A$83,0),MATCH($C36,'🔖 배합비 참조'!$B$1:$CE$1,0))/100,0),""))),"")</f>
        <v>1</v>
      </c>
      <c r="BW36" s="42" t="n">
        <f aca="false">IFERROR(IF($C36="","",IF($D36="","",IFERROR(ROUND($D36*INDEX('🔖 배합비 참조'!$B$2:$CE$83,MATCH("치즈 [크림치즈]",'🔖 배합비 참조'!$A$2:$A$83,0),MATCH($C36,'🔖 배합비 참조'!$B$1:$CE$1,0))/100,0),""))),"")</f>
        <v>0</v>
      </c>
      <c r="BX36" s="42" t="n">
        <f aca="false">IFERROR(IF($C36="","",IF($D36="","",IFERROR(ROUND($D36*INDEX('🔖 배합비 참조'!$B$2:$CE$83,MATCH("코코아가공품류(코코아분말)",'🔖 배합비 참조'!$A$2:$A$83,0),MATCH($C36,'🔖 배합비 참조'!$B$1:$CE$1,0))/100,0),""))),"")</f>
        <v>0</v>
      </c>
      <c r="BY36" s="42" t="n">
        <f aca="false">IFERROR(IF($C36="","",IF($D36="","",IFERROR(ROUND($D36*INDEX('🔖 배합비 참조'!$B$2:$CE$83,MATCH("콩기름(대두유)",'🔖 배합비 참조'!$A$2:$A$83,0),MATCH($C36,'🔖 배합비 참조'!$B$1:$CE$1,0))/100,0),""))),"")</f>
        <v>0</v>
      </c>
      <c r="BZ36" s="42" t="n">
        <f aca="false">IFERROR(IF($C36="","",IF($D36="","",IFERROR(ROUND($D36*INDEX('🔖 배합비 참조'!$B$2:$CE$83,MATCH("해바라기씨앗",'🔖 배합비 참조'!$A$2:$A$83,0),MATCH($C36,'🔖 배합비 참조'!$B$1:$CE$1,0))/100,0),""))),"")</f>
        <v>0</v>
      </c>
      <c r="CA36" s="42" t="n">
        <f aca="false">IFERROR(IF($C36="","",IF($D36="","",IFERROR(ROUND($D36*INDEX('🔖 배합비 참조'!$B$2:$CE$83,MATCH("현미(국내산)",'🔖 배합비 참조'!$A$2:$A$83,0),MATCH($C36,'🔖 배합비 참조'!$B$1:$CE$1,0))/100,0),""))),"")</f>
        <v>0</v>
      </c>
      <c r="CB36" s="42" t="n">
        <f aca="false">IFERROR(IF($C36="","",IF($D36="","",IFERROR(ROUND($D36*INDEX('🔖 배합비 참조'!$B$2:$CE$83,MATCH("현미멥쌀(국내산)",'🔖 배합비 참조'!$A$2:$A$83,0),MATCH($C36,'🔖 배합비 참조'!$B$1:$CE$1,0))/100,0),""))),"")</f>
        <v>0</v>
      </c>
      <c r="CC36" s="42" t="n">
        <f aca="false">IFERROR(IF($C36="","",IF($D36="","",IFERROR(ROUND($D36*INDEX('🔖 배합비 참조'!$B$2:$CE$83,MATCH("호두분태(미국산)",'🔖 배합비 참조'!$A$2:$A$83,0),MATCH($C36,'🔖 배합비 참조'!$B$1:$CE$1,0))/100,0),""))),"")</f>
        <v>0</v>
      </c>
      <c r="CD36" s="42" t="n">
        <f aca="false">IFERROR(IF($C36="","",IF($D36="","",IFERROR(ROUND($D36*INDEX('🔖 배합비 참조'!$B$2:$CE$83,MATCH("호박씨앗(외국산)",'🔖 배합비 참조'!$A$2:$A$83,0),MATCH($C36,'🔖 배합비 참조'!$B$1:$CE$1,0))/100,0),""))),"")</f>
        <v>0</v>
      </c>
      <c r="CE36" s="42" t="n">
        <f aca="false">IFERROR(IF($C36="","",IF($D36="","",IFERROR(ROUND($D36*INDEX('🔖 배합비 참조'!$B$2:$CE$83,MATCH("혼합제제(떡용에스텔)",'🔖 배합비 참조'!$A$2:$A$83,0),MATCH($C36,'🔖 배합비 참조'!$B$1:$CE$1,0))/100,0),""))),"")</f>
        <v>0</v>
      </c>
      <c r="CF36" s="42" t="n">
        <f aca="false">IFERROR(IF($C36="","",IF($D36="","",IFERROR(ROUND($D36*INDEX('🔖 배합비 참조'!$B$2:$CE$83,MATCH("혼합제제(스테비아)",'🔖 배합비 참조'!$A$2:$A$83,0),MATCH($C36,'🔖 배합비 참조'!$B$1:$CE$1,0))/100,0),""))),"")</f>
        <v>0</v>
      </c>
      <c r="CG36" s="42" t="n">
        <f aca="false">IFERROR(IF($C36="","",IF($D36="","",IFERROR(ROUND($D36*INDEX('🔖 배합비 참조'!$B$2:$CE$83,MATCH("화이트초콜릿",'🔖 배합비 참조'!$A$2:$A$83,0),MATCH($C36,'🔖 배합비 참조'!$B$1:$CE$1,0))/100,0),""))),"")</f>
        <v>0</v>
      </c>
      <c r="CH36" s="42" t="n">
        <f aca="false">IFERROR(IF($C36="","",IF($D36="","",IFERROR(ROUND($D36*INDEX('🔖 배합비 참조'!$B$2:$CE$83,MATCH("흑미찹쌀(국내산)",'🔖 배합비 참조'!$A$2:$A$83,0),MATCH($C36,'🔖 배합비 참조'!$B$1:$CE$1,0))/100,0),""))),"")</f>
        <v>0</v>
      </c>
      <c r="CI36" s="42" t="n">
        <f aca="false">IFERROR(IF($C36="","",IF($D36="","",IFERROR(ROUND($D36*INDEX('🔖 배합비 참조'!$B$2:$CE$83,MATCH("찰옥수수전분(미국산)",'🔖 배합비 참조'!$A$2:$A$83,0),MATCH($C36,'🔖 배합비 참조'!$B$1:$CE$1,0))/100,0),""))),"")</f>
        <v>0</v>
      </c>
      <c r="CJ36" s="40"/>
      <c r="CL36" s="1" t="s">
        <v>235</v>
      </c>
    </row>
    <row r="37" customFormat="false" ht="18" hidden="false" customHeight="true" outlineLevel="0" collapsed="false">
      <c r="A37" s="35" t="n">
        <v>33</v>
      </c>
      <c r="B37" s="36" t="n">
        <v>45959</v>
      </c>
      <c r="C37" s="37" t="s">
        <v>204</v>
      </c>
      <c r="D37" s="38" t="n">
        <v>140</v>
      </c>
      <c r="E37" s="13"/>
      <c r="F37" s="13"/>
      <c r="G37" s="39" t="n">
        <f aca="false">IFERROR(IF($C37="","",IF($D37="","",IFERROR(ROUND($D37*INDEX('🔖 배합비 참조'!$B$2:$CE$83,MATCH("간장",'🔖 배합비 참조'!$A$2:$A$83,0),MATCH($C37,'🔖 배합비 참조'!$B$1:$CE$1,0))/100,0),""))),"")</f>
        <v>0</v>
      </c>
      <c r="H37" s="39" t="n">
        <f aca="false">IFERROR(IF($C37="","",IF($D37="","",IFERROR(ROUND($D37*INDEX('🔖 배합비 참조'!$B$2:$CE$83,MATCH("강낭콩((울타리콩))",'🔖 배합비 참조'!$A$2:$A$83,0),MATCH($C37,'🔖 배합비 참조'!$B$1:$CE$1,0))/100,0),""))),"")</f>
        <v>0</v>
      </c>
      <c r="I37" s="39" t="n">
        <f aca="false">IFERROR(IF($C37="","",IF($D37="","",IFERROR(ROUND($D37*INDEX('🔖 배합비 참조'!$B$2:$CE$83,MATCH("건조딸기다이스(외국산)",'🔖 배합비 참조'!$A$2:$A$83,0),MATCH($C37,'🔖 배합비 참조'!$B$1:$CE$1,0))/100,0),""))),"")</f>
        <v>0</v>
      </c>
      <c r="J37" s="39" t="n">
        <f aca="false">IFERROR(IF($C37="","",IF($D37="","",IFERROR(ROUND($D37*INDEX('🔖 배합비 참조'!$B$2:$CE$83,MATCH("건포도",'🔖 배합비 참조'!$A$2:$A$83,0),MATCH($C37,'🔖 배합비 참조'!$B$1:$CE$1,0))/100,0),""))),"")</f>
        <v>0</v>
      </c>
      <c r="K37" s="39" t="n">
        <f aca="false">IFERROR(IF($C37="","",IF($D37="","",IFERROR(ROUND($D37*INDEX('🔖 배합비 참조'!$B$2:$CE$83,MATCH("건호박채(중국산)",'🔖 배합비 참조'!$A$2:$A$83,0),MATCH($C37,'🔖 배합비 참조'!$B$1:$CE$1,0))/100,0),""))),"")</f>
        <v>0</v>
      </c>
      <c r="L37" s="39" t="n">
        <f aca="false">IFERROR(IF($C37="","",IF($D37="","",IFERROR(ROUND($D37*INDEX('🔖 배합비 참조'!$B$2:$CE$83,MATCH("검정깨(흑임자)",'🔖 배합비 참조'!$A$2:$A$83,0),MATCH($C37,'🔖 배합비 참조'!$B$1:$CE$1,0))/100,0),""))),"")</f>
        <v>0</v>
      </c>
      <c r="M37" s="39" t="n">
        <f aca="false">IFERROR(IF($C37="","",IF($D37="","",IFERROR(ROUND($D37*INDEX('🔖 배합비 참조'!$B$2:$CE$83,MATCH("검정콩",'🔖 배합비 참조'!$A$2:$A$83,0),MATCH($C37,'🔖 배합비 참조'!$B$1:$CE$1,0))/100,0),""))),"")</f>
        <v>0</v>
      </c>
      <c r="N37" s="39" t="n">
        <f aca="false">IFERROR(IF($C37="","",IF($D37="","",IFERROR(ROUND($D37*INDEX('🔖 배합비 참조'!$B$2:$CE$83,MATCH("계피가루",'🔖 배합비 참조'!$A$2:$A$83,0),MATCH($C37,'🔖 배합비 참조'!$B$1:$CE$1,0))/100,0),""))),"")</f>
        <v>0</v>
      </c>
      <c r="O37" s="39" t="n">
        <f aca="false">IFERROR(IF($C37="","",IF($D37="","",IFERROR(ROUND($D37*INDEX('🔖 배합비 참조'!$B$2:$CE$83,MATCH("고구마가루",'🔖 배합비 참조'!$A$2:$A$83,0),MATCH($C37,'🔖 배합비 참조'!$B$1:$CE$1,0))/100,0),""))),"")</f>
        <v>0</v>
      </c>
      <c r="P37" s="39" t="n">
        <f aca="false">IFERROR(IF($C37="","",IF($D37="","",IFERROR(ROUND($D37*INDEX('🔖 배합비 참조'!$B$2:$CE$83,MATCH("고구마무스",'🔖 배합비 참조'!$A$2:$A$83,0),MATCH($C37,'🔖 배합비 참조'!$B$1:$CE$1,0))/100,0),""))),"")</f>
        <v>0</v>
      </c>
      <c r="Q37" s="39" t="n">
        <f aca="false">IFERROR(IF($C37="","",IF($D37="","",IFERROR(ROUND($D37*INDEX('🔖 배합비 참조'!$B$2:$CE$83,MATCH("고려엉겅퀴((곤드레)국내산)",'🔖 배합비 참조'!$A$2:$A$83,0),MATCH($C37,'🔖 배합비 참조'!$B$1:$CE$1,0))/100,0),""))),"")</f>
        <v>0</v>
      </c>
      <c r="R37" s="39" t="n">
        <f aca="false">IFERROR(IF($C37="","",IF($D37="","",IFERROR(ROUND($D37*INDEX('🔖 배합비 참조'!$B$2:$CE$83,MATCH("기타가공품(복분자가루)",'🔖 배합비 참조'!$A$2:$A$83,0),MATCH($C37,'🔖 배합비 참조'!$B$1:$CE$1,0))/100,0),""))),"")</f>
        <v>0</v>
      </c>
      <c r="S37" s="39" t="n">
        <f aca="false">IFERROR(IF($C37="","",IF($D37="","",IFERROR(ROUND($D37*INDEX('🔖 배합비 참조'!$B$2:$CE$83,MATCH("기타가공품(슈퍼소프트엠)",'🔖 배합비 참조'!$A$2:$A$83,0),MATCH($C37,'🔖 배합비 참조'!$B$1:$CE$1,0))/100,0),""))),"")</f>
        <v>0</v>
      </c>
      <c r="T37" s="39" t="n">
        <f aca="false">IFERROR(IF($C37="","",IF($D37="","",IFERROR(ROUND($D37*INDEX('🔖 배합비 참조'!$B$2:$CE$83,MATCH("기타가공품(파인소프트 E-티)",'🔖 배합비 참조'!$A$2:$A$83,0),MATCH($C37,'🔖 배합비 참조'!$B$1:$CE$1,0))/100,0),""))),"")</f>
        <v>0</v>
      </c>
      <c r="U37" s="39" t="n">
        <f aca="false">IFERROR(IF($C37="","",IF($D37="","",IFERROR(ROUND($D37*INDEX('🔖 배합비 참조'!$B$2:$CE$83,MATCH("기타가공품(프리미엄카스테라가루)",'🔖 배합비 참조'!$A$2:$A$83,0),MATCH($C37,'🔖 배합비 참조'!$B$1:$CE$1,0))/100,0),""))),"")</f>
        <v>0</v>
      </c>
      <c r="V37" s="39" t="n">
        <f aca="false">IFERROR(IF($C37="","",IF($D37="","",IFERROR(ROUND($D37*INDEX('🔖 배합비 참조'!$B$2:$CE$83,MATCH("기타가공품(흑임자가루)",'🔖 배합비 참조'!$A$2:$A$83,0),MATCH($C37,'🔖 배합비 참조'!$B$1:$CE$1,0))/100,0),""))),"")</f>
        <v>0</v>
      </c>
      <c r="W37" s="39" t="n">
        <f aca="false">IFERROR(IF($C37="","",IF($D37="","",IFERROR(ROUND($D37*INDEX('🔖 배합비 참조'!$B$2:$CE$83,MATCH("기타설탕(흑설탕)",'🔖 배합비 참조'!$A$2:$A$83,0),MATCH($C37,'🔖 배합비 참조'!$B$1:$CE$1,0))/100,0),""))),"")</f>
        <v>0</v>
      </c>
      <c r="X37" s="39" t="n">
        <f aca="false">IFERROR(IF($C37="","",IF($D37="","",IFERROR(ROUND($D37*INDEX('🔖 배합비 참조'!$B$2:$CE$83,MATCH("냉동쑥(국내산)",'🔖 배합비 참조'!$A$2:$A$83,0),MATCH($C37,'🔖 배합비 참조'!$B$1:$CE$1,0))/100,0),""))),"")</f>
        <v>5</v>
      </c>
      <c r="Y37" s="39" t="n">
        <f aca="false">IFERROR(IF($C37="","",IF($D37="","",IFERROR(ROUND($D37*INDEX('🔖 배합비 참조'!$B$2:$CE$83,MATCH("냉동증숙고구마(중국산)",'🔖 배합비 참조'!$A$2:$A$83,0),MATCH($C37,'🔖 배합비 참조'!$B$1:$CE$1,0))/100,0),""))),"")</f>
        <v>0</v>
      </c>
      <c r="Z37" s="39" t="n">
        <f aca="false">IFERROR(IF($C37="","",IF($D37="","",IFERROR(ROUND($D37*INDEX('🔖 배합비 참조'!$B$2:$CE$83,MATCH("녹차가루",'🔖 배합비 참조'!$A$2:$A$83,0),MATCH($C37,'🔖 배합비 참조'!$B$1:$CE$1,0))/100,0),""))),"")</f>
        <v>0</v>
      </c>
      <c r="AA37" s="39" t="n">
        <f aca="false">IFERROR(IF($C37="","",IF($D37="","",IFERROR(ROUND($D37*INDEX('🔖 배합비 참조'!$B$2:$CE$83,MATCH("다크초콜릿 컴파운드칩",'🔖 배합비 참조'!$A$2:$A$83,0),MATCH($C37,'🔖 배합비 참조'!$B$1:$CE$1,0))/100,0),""))),"")</f>
        <v>0</v>
      </c>
      <c r="AB37" s="39" t="n">
        <f aca="false">IFERROR(IF($C37="","",IF($D37="","",IFERROR(ROUND($D37*INDEX('🔖 배합비 참조'!$B$2:$CE$83,MATCH("단호박분말(중국산)",'🔖 배합비 참조'!$A$2:$A$83,0),MATCH($C37,'🔖 배합비 참조'!$B$1:$CE$1,0))/100,0),""))),"")</f>
        <v>0</v>
      </c>
      <c r="AC37" s="39" t="n">
        <f aca="false">IFERROR(IF($C37="","",IF($D37="","",IFERROR(ROUND($D37*INDEX('🔖 배합비 참조'!$B$2:$CE$83,MATCH("당류가공품(단호박농축액)",'🔖 배합비 참조'!$A$2:$A$83,0),MATCH($C37,'🔖 배합비 참조'!$B$1:$CE$1,0))/100,0),""))),"")</f>
        <v>0</v>
      </c>
      <c r="AD37" s="39" t="n">
        <f aca="false">IFERROR(IF($C37="","",IF($D37="","",IFERROR(ROUND($D37*INDEX('🔖 배합비 참조'!$B$2:$CE$83,MATCH("당류가공품(알룰로스,에리스리톨,스테비올배당체혼합)",'🔖 배합비 참조'!$A$2:$A$83,0),MATCH($C37,'🔖 배합비 참조'!$B$1:$CE$1,0))/100,0),""))),"")</f>
        <v>0</v>
      </c>
      <c r="AE37" s="39" t="n">
        <f aca="false">IFERROR(IF($C37="","",IF($D37="","",IFERROR(ROUND($D37*INDEX('🔖 배합비 참조'!$B$2:$CE$83,MATCH("당류가공품(알룰로스제로파우더)",'🔖 배합비 참조'!$A$2:$A$83,0),MATCH($C37,'🔖 배합비 참조'!$B$1:$CE$1,0))/100,0),""))),"")</f>
        <v>0</v>
      </c>
      <c r="AF37" s="39" t="n">
        <f aca="false">IFERROR(IF($C37="","",IF($D37="","",IFERROR(ROUND($D37*INDEX('🔖 배합비 참조'!$B$2:$CE$83,MATCH("당절임(완두배기)",'🔖 배합비 참조'!$A$2:$A$83,0),MATCH($C37,'🔖 배합비 참조'!$B$1:$CE$1,0))/100,0),""))),"")</f>
        <v>0</v>
      </c>
      <c r="AG37" s="39" t="n">
        <f aca="false">IFERROR(IF($C37="","",IF($D37="","",IFERROR(ROUND($D37*INDEX('🔖 배합비 참조'!$B$2:$CE$83,MATCH("대추농축액",'🔖 배합비 참조'!$A$2:$A$83,0),MATCH($C37,'🔖 배합비 참조'!$B$1:$CE$1,0))/100,0),""))),"")</f>
        <v>0</v>
      </c>
      <c r="AH37" s="39" t="n">
        <f aca="false">IFERROR(IF($C37="","",IF($D37="","",IFERROR(ROUND($D37*INDEX('🔖 배합비 참조'!$B$2:$CE$83,MATCH("대추채(국내산)",'🔖 배합비 참조'!$A$2:$A$83,0),MATCH($C37,'🔖 배합비 참조'!$B$1:$CE$1,0))/100,0),""))),"")</f>
        <v>0</v>
      </c>
      <c r="AI37" s="39" t="n">
        <f aca="false">IFERROR(IF($C37="","",IF($D37="","",IFERROR(ROUND($D37*INDEX('🔖 배합비 참조'!$B$2:$CE$83,MATCH("동부(미얀마산)",'🔖 배합비 참조'!$A$2:$A$83,0),MATCH($C37,'🔖 배합비 참조'!$B$1:$CE$1,0))/100,0),""))),"")</f>
        <v>0</v>
      </c>
      <c r="AJ37" s="39" t="n">
        <f aca="false">IFERROR(IF($C37="","",IF($D37="","",IFERROR(ROUND($D37*INDEX('🔖 배합비 참조'!$B$2:$CE$83,MATCH("두류가공품(백옥앙금)",'🔖 배합비 참조'!$A$2:$A$83,0),MATCH($C37,'🔖 배합비 참조'!$B$1:$CE$1,0))/100,0),""))),"")</f>
        <v>0</v>
      </c>
      <c r="AK37" s="39" t="n">
        <f aca="false">IFERROR(IF($C37="","",IF($D37="","",IFERROR(ROUND($D37*INDEX('🔖 배합비 참조'!$B$2:$CE$83,MATCH("두류가공품(콩고물)",'🔖 배합비 참조'!$A$2:$A$83,0),MATCH($C37,'🔖 배합비 참조'!$B$1:$CE$1,0))/100,0),""))),"")</f>
        <v>4</v>
      </c>
      <c r="AL37" s="39" t="n">
        <f aca="false">IFERROR(IF($C37="","",IF($D37="","",IFERROR(ROUND($D37*INDEX('🔖 배합비 참조'!$B$2:$CE$83,MATCH("두류가공품(통팥고물)",'🔖 배합비 참조'!$A$2:$A$83,0),MATCH($C37,'🔖 배합비 참조'!$B$1:$CE$1,0))/100,0),""))),"")</f>
        <v>0</v>
      </c>
      <c r="AM37" s="39" t="n">
        <f aca="false">IFERROR(IF($C37="","",IF($D37="","",IFERROR(ROUND($D37*INDEX('🔖 배합비 참조'!$B$2:$CE$83,MATCH("딸기레진",'🔖 배합비 참조'!$A$2:$A$83,0),MATCH($C37,'🔖 배합비 참조'!$B$1:$CE$1,0))/100,0),""))),"")</f>
        <v>0</v>
      </c>
      <c r="AN37" s="39" t="n">
        <f aca="false">IFERROR(IF($C37="","",IF($D37="","",IFERROR(ROUND($D37*INDEX('🔖 배합비 참조'!$B$2:$CE$83,MATCH("딸기분말(스트로우베리에이드(분말))",'🔖 배합비 참조'!$A$2:$A$83,0),MATCH($C37,'🔖 배합비 참조'!$B$1:$CE$1,0))/100,0),""))),"")</f>
        <v>0</v>
      </c>
      <c r="AO37" s="39" t="n">
        <f aca="false">IFERROR(IF($C37="","",IF($D37="","",IFERROR(ROUND($D37*INDEX('🔖 배합비 참조'!$B$2:$CE$83,MATCH("마스카포네치즈",'🔖 배합비 참조'!$A$2:$A$83,0),MATCH($C37,'🔖 배합비 참조'!$B$1:$CE$1,0))/100,0),""))),"")</f>
        <v>0</v>
      </c>
      <c r="AP37" s="39" t="n">
        <f aca="false">IFERROR(IF($C37="","",IF($D37="","",IFERROR(ROUND($D37*INDEX('🔖 배합비 참조'!$B$2:$CE$83,MATCH("마카다미아분태(호주산)",'🔖 배합비 참조'!$A$2:$A$83,0),MATCH($C37,'🔖 배합비 참조'!$B$1:$CE$1,0))/100,0),""))),"")</f>
        <v>0</v>
      </c>
      <c r="AQ37" s="39" t="n">
        <f aca="false">IFERROR(IF($C37="","",IF($D37="","",IFERROR(ROUND($D37*INDEX('🔖 배합비 참조'!$B$2:$CE$83,MATCH("멥쌀(국내산)",'🔖 배합비 참조'!$A$2:$A$83,0),MATCH($C37,'🔖 배합비 참조'!$B$1:$CE$1,0))/100,0),""))),"")</f>
        <v>0</v>
      </c>
      <c r="AR37" s="39" t="n">
        <f aca="false">IFERROR(IF($C37="","",IF($D37="","",IFERROR(ROUND($D37*INDEX('🔖 배합비 참조'!$B$2:$CE$83,MATCH("모시잎(국내산)",'🔖 배합비 참조'!$A$2:$A$83,0),MATCH($C37,'🔖 배합비 참조'!$B$1:$CE$1,0))/100,0),""))),"")</f>
        <v>0</v>
      </c>
      <c r="AS37" s="39" t="n">
        <f aca="false">IFERROR(IF($C37="","",IF($D37="","",IFERROR(ROUND($D37*INDEX('🔖 배합비 참조'!$B$2:$CE$83,MATCH("물엿(저당물엿)",'🔖 배합비 참조'!$A$2:$A$83,0),MATCH($C37,'🔖 배합비 참조'!$B$1:$CE$1,0))/100,0),""))),"")</f>
        <v>3</v>
      </c>
      <c r="AT37" s="39" t="n">
        <f aca="false">IFERROR(IF($C37="","",IF($D37="","",IFERROR(ROUND($D37*INDEX('🔖 배합비 참조'!$B$2:$CE$83,MATCH("밤다이스",'🔖 배합비 참조'!$A$2:$A$83,0),MATCH($C37,'🔖 배합비 참조'!$B$1:$CE$1,0))/100,0),""))),"")</f>
        <v>0</v>
      </c>
      <c r="AU37" s="39" t="n">
        <f aca="false">IFERROR(IF($C37="","",IF($D37="","",IFERROR(ROUND($D37*INDEX('🔖 배합비 참조'!$B$2:$CE$83,MATCH("변성전분(타피오카전분)",'🔖 배합비 참조'!$A$2:$A$83,0),MATCH($C37,'🔖 배합비 참조'!$B$1:$CE$1,0))/100,0),""))),"")</f>
        <v>0</v>
      </c>
      <c r="AV37" s="39" t="n">
        <f aca="false">IFERROR(IF($C37="","",IF($D37="","",IFERROR(ROUND($D37*INDEX('🔖 배합비 참조'!$B$2:$CE$83,MATCH("복음땅콩분태",'🔖 배합비 참조'!$A$2:$A$83,0),MATCH($C37,'🔖 배합비 참조'!$B$1:$CE$1,0))/100,0),""))),"")</f>
        <v>0</v>
      </c>
      <c r="AW37" s="39" t="n">
        <f aca="false">IFERROR(IF($C37="","",IF($D37="","",IFERROR(ROUND($D37*INDEX('🔖 배합비 참조'!$B$2:$CE$83,MATCH("사양벌꿀(국내산)",'🔖 배합비 참조'!$A$2:$A$83,0),MATCH($C37,'🔖 배합비 참조'!$B$1:$CE$1,0))/100,0),""))),"")</f>
        <v>0</v>
      </c>
      <c r="AX37" s="39" t="n">
        <f aca="false">IFERROR(IF($C37="","",IF($D37="","",IFERROR(ROUND($D37*INDEX('🔖 배합비 참조'!$B$2:$CE$83,MATCH("생크림",'🔖 배합비 참조'!$A$2:$A$83,0),MATCH($C37,'🔖 배합비 참조'!$B$1:$CE$1,0))/100,0),""))),"")</f>
        <v>0</v>
      </c>
      <c r="AY37" s="39" t="n">
        <f aca="false">IFERROR(IF($C37="","",IF($D37="","",IFERROR(ROUND($D37*INDEX('🔖 배합비 참조'!$B$2:$CE$83,MATCH("서양호박(국내산,뉴질랜드산)",'🔖 배합비 참조'!$A$2:$A$83,0),MATCH($C37,'🔖 배합비 참조'!$B$1:$CE$1,0))/100,0),""))),"")</f>
        <v>0</v>
      </c>
      <c r="AZ37" s="39" t="n">
        <f aca="false">IFERROR(IF($C37="","",IF($D37="","",IFERROR(ROUND($D37*INDEX('🔖 배합비 참조'!$B$2:$CE$83,MATCH("설탕",'🔖 배합비 참조'!$A$2:$A$83,0),MATCH($C37,'🔖 배합비 참조'!$B$1:$CE$1,0))/100,0),""))),"")</f>
        <v>3</v>
      </c>
      <c r="BA37" s="39" t="n">
        <f aca="false">IFERROR(IF($C37="","",IF($D37="","",IFERROR(ROUND($D37*INDEX('🔖 배합비 참조'!$B$2:$CE$83,MATCH("스트로우베리 에이드 후레쉬",'🔖 배합비 참조'!$A$2:$A$83,0),MATCH($C37,'🔖 배합비 참조'!$B$1:$CE$1,0))/100,0),""))),"")</f>
        <v>0</v>
      </c>
      <c r="BB37" s="39" t="n">
        <f aca="false">IFERROR(IF($C37="","",IF($D37="","",IFERROR(ROUND($D37*INDEX('🔖 배합비 참조'!$B$2:$CE$83,MATCH("식물성기름혼합제제(분홍)",'🔖 배합비 참조'!$A$2:$A$83,0),MATCH($C37,'🔖 배합비 참조'!$B$1:$CE$1,0))/100,0),""))),"")</f>
        <v>0</v>
      </c>
      <c r="BC37" s="39" t="n">
        <f aca="false">IFERROR(IF($C37="","",IF($D37="","",IFERROR(ROUND($D37*INDEX('🔖 배합비 참조'!$B$2:$CE$83,MATCH("식물성기름혼합제제(초록)",'🔖 배합비 참조'!$A$2:$A$83,0),MATCH($C37,'🔖 배합비 참조'!$B$1:$CE$1,0))/100,0),""))),"")</f>
        <v>0</v>
      </c>
      <c r="BD37" s="39" t="n">
        <f aca="false">IFERROR(IF($C37="","",IF($D37="","",IFERROR(ROUND($D37*INDEX('🔖 배합비 참조'!$B$2:$CE$83,MATCH("식물성기름혼합제제(황색)",'🔖 배합비 참조'!$A$2:$A$83,0),MATCH($C37,'🔖 배합비 참조'!$B$1:$CE$1,0))/100,0),""))),"")</f>
        <v>0</v>
      </c>
      <c r="BE37" s="39" t="n">
        <f aca="false">IFERROR(IF($C37="","",IF($D37="","",IFERROR(ROUND($D37*INDEX('🔖 배합비 참조'!$B$2:$CE$83,MATCH("쑥가루(국내산)",'🔖 배합비 참조'!$A$2:$A$83,0),MATCH($C37,'🔖 배합비 참조'!$B$1:$CE$1,0))/100,0),""))),"")</f>
        <v>2</v>
      </c>
      <c r="BF37" s="39" t="n">
        <f aca="false">IFERROR(IF($C37="","",IF($D37="","",IFERROR(ROUND($D37*INDEX('🔖 배합비 참조'!$B$2:$CE$83,MATCH("아몬드슬라이스",'🔖 배합비 참조'!$A$2:$A$83,0),MATCH($C37,'🔖 배합비 참조'!$B$1:$CE$1,0))/100,0),""))),"")</f>
        <v>0</v>
      </c>
      <c r="BG37" s="39" t="n">
        <f aca="false">IFERROR(IF($C37="","",IF($D37="","",IFERROR(ROUND($D37*INDEX('🔖 배합비 참조'!$B$2:$CE$83,MATCH("알룰로오스(국내산)",'🔖 배합비 참조'!$A$2:$A$83,0),MATCH($C37,'🔖 배합비 참조'!$B$1:$CE$1,0))/100,0),""))),"")</f>
        <v>0</v>
      </c>
      <c r="BH37" s="39" t="n">
        <f aca="false">IFERROR(IF($C37="","",IF($D37="","",IFERROR(ROUND($D37*INDEX('🔖 배합비 참조'!$B$2:$CE$83,MATCH("연유",'🔖 배합비 참조'!$A$2:$A$83,0),MATCH($C37,'🔖 배합비 참조'!$B$1:$CE$1,0))/100,0),""))),"")</f>
        <v>0</v>
      </c>
      <c r="BI37" s="39" t="n">
        <f aca="false">IFERROR(IF($C37="","",IF($D37="","",IFERROR(ROUND($D37*INDEX('🔖 배합비 참조'!$B$2:$CE$83,MATCH("옥수수전분",'🔖 배합비 참조'!$A$2:$A$83,0),MATCH($C37,'🔖 배합비 참조'!$B$1:$CE$1,0))/100,0),""))),"")</f>
        <v>0</v>
      </c>
      <c r="BJ37" s="39" t="n">
        <f aca="false">IFERROR(IF($C37="","",IF($D37="","",IFERROR(ROUND($D37*INDEX('🔖 배합비 참조'!$B$2:$CE$83,MATCH("완두배기",'🔖 배합비 참조'!$A$2:$A$83,0),MATCH($C37,'🔖 배합비 참조'!$B$1:$CE$1,0))/100,0),""))),"")</f>
        <v>0</v>
      </c>
      <c r="BK37" s="39" t="n">
        <f aca="false">IFERROR(IF($C37="","",IF($D37="","",IFERROR(ROUND($D37*INDEX('🔖 배합비 참조'!$B$2:$CE$83,MATCH("우유(국내산)",'🔖 배합비 참조'!$A$2:$A$83,0),MATCH($C37,'🔖 배합비 참조'!$B$1:$CE$1,0))/100,0),""))),"")</f>
        <v>0</v>
      </c>
      <c r="BL37" s="39" t="n">
        <f aca="false">IFERROR(IF($C37="","",IF($D37="","",IFERROR(ROUND($D37*INDEX('🔖 배합비 참조'!$B$2:$CE$83,MATCH("자색고구마가루(중국산)",'🔖 배합비 참조'!$A$2:$A$83,0),MATCH($C37,'🔖 배합비 참조'!$B$1:$CE$1,0))/100,0),""))),"")</f>
        <v>0</v>
      </c>
      <c r="BM37" s="39" t="n">
        <f aca="false">IFERROR(IF($C37="","",IF($D37="","",IFERROR(ROUND($D37*INDEX('🔖 배합비 참조'!$B$2:$CE$83,MATCH("자연치즈(체다치즈)",'🔖 배합비 참조'!$A$2:$A$83,0),MATCH($C37,'🔖 배합비 참조'!$B$1:$CE$1,0))/100,0),""))),"")</f>
        <v>0</v>
      </c>
      <c r="BN37" s="39" t="n">
        <f aca="false">IFERROR(IF($C37="","",IF($D37="","",IFERROR(ROUND($D37*INDEX('🔖 배합비 참조'!$B$2:$CE$83,MATCH("정제수",'🔖 배합비 참조'!$A$2:$A$83,0),MATCH($C37,'🔖 배합비 참조'!$B$1:$CE$1,0))/100,0),""))),"")</f>
        <v>0</v>
      </c>
      <c r="BO37" s="39" t="n">
        <f aca="false">IFERROR(IF($C37="","",IF($D37="","",IFERROR(ROUND($D37*INDEX('🔖 배합비 참조'!$B$2:$CE$83,MATCH("젤라틴",'🔖 배합비 참조'!$A$2:$A$83,0),MATCH($C37,'🔖 배합비 참조'!$B$1:$CE$1,0))/100,0),""))),"")</f>
        <v>0</v>
      </c>
      <c r="BP37" s="39" t="n">
        <f aca="false">IFERROR(IF($C37="","",IF($D37="","",IFERROR(ROUND($D37*INDEX('🔖 배합비 참조'!$B$2:$CE$83,MATCH("조림류(백옥앙금)",'🔖 배합비 참조'!$A$2:$A$83,0),MATCH($C37,'🔖 배합비 참조'!$B$1:$CE$1,0))/100,0),""))),"")</f>
        <v>0</v>
      </c>
      <c r="BQ37" s="39" t="n">
        <f aca="false">IFERROR(IF($C37="","",IF($D37="","",IFERROR(ROUND($D37*INDEX('🔖 배합비 참조'!$B$2:$CE$83,MATCH("조림류(통팥앙금)",'🔖 배합비 참조'!$A$2:$A$83,0),MATCH($C37,'🔖 배합비 참조'!$B$1:$CE$1,0))/100,0),""))),"")</f>
        <v>58</v>
      </c>
      <c r="BR37" s="39" t="n">
        <f aca="false">IFERROR(IF($C37="","",IF($D37="","",IFERROR(ROUND($D37*INDEX('🔖 배합비 참조'!$B$2:$CE$83,MATCH("준초콜릿(외국산)",'🔖 배합비 참조'!$A$2:$A$83,0),MATCH($C37,'🔖 배합비 참조'!$B$1:$CE$1,0))/100,0),""))),"")</f>
        <v>0</v>
      </c>
      <c r="BS37" s="39" t="n">
        <f aca="false">IFERROR(IF($C37="","",IF($D37="","",IFERROR(ROUND($D37*INDEX('🔖 배합비 참조'!$B$2:$CE$83,MATCH("중력분",'🔖 배합비 참조'!$A$2:$A$83,0),MATCH($C37,'🔖 배합비 참조'!$B$1:$CE$1,0))/100,0),""))),"")</f>
        <v>1</v>
      </c>
      <c r="BT37" s="39" t="n">
        <f aca="false">IFERROR(IF($C37="","",IF($D37="","",IFERROR(ROUND($D37*INDEX('🔖 배합비 참조'!$B$2:$CE$83,MATCH("참깨(인도산,나이지리아산,탄자니아산,미얀마산)",'🔖 배합비 참조'!$A$2:$A$83,0),MATCH($C37,'🔖 배합비 참조'!$B$1:$CE$1,0))/100,0),""))),"")</f>
        <v>0</v>
      </c>
      <c r="BU37" s="39" t="n">
        <f aca="false">IFERROR(IF($C37="","",IF($D37="","",IFERROR(ROUND($D37*INDEX('🔖 배합비 참조'!$B$2:$CE$83,MATCH("찹쌀(국내산)",'🔖 배합비 참조'!$A$2:$A$83,0),MATCH($C37,'🔖 배합비 참조'!$B$1:$CE$1,0))/100,0),""))),"")</f>
        <v>62</v>
      </c>
      <c r="BV37" s="39" t="n">
        <f aca="false">IFERROR(IF($C37="","",IF($D37="","",IFERROR(ROUND($D37*INDEX('🔖 배합비 참조'!$B$2:$CE$83,MATCH("천일염",'🔖 배합비 참조'!$A$2:$A$83,0),MATCH($C37,'🔖 배합비 참조'!$B$1:$CE$1,0))/100,0),""))),"")</f>
        <v>1</v>
      </c>
      <c r="BW37" s="39" t="n">
        <f aca="false">IFERROR(IF($C37="","",IF($D37="","",IFERROR(ROUND($D37*INDEX('🔖 배합비 참조'!$B$2:$CE$83,MATCH("치즈 [크림치즈]",'🔖 배합비 참조'!$A$2:$A$83,0),MATCH($C37,'🔖 배합비 참조'!$B$1:$CE$1,0))/100,0),""))),"")</f>
        <v>0</v>
      </c>
      <c r="BX37" s="39" t="n">
        <f aca="false">IFERROR(IF($C37="","",IF($D37="","",IFERROR(ROUND($D37*INDEX('🔖 배합비 참조'!$B$2:$CE$83,MATCH("코코아가공품류(코코아분말)",'🔖 배합비 참조'!$A$2:$A$83,0),MATCH($C37,'🔖 배합비 참조'!$B$1:$CE$1,0))/100,0),""))),"")</f>
        <v>0</v>
      </c>
      <c r="BY37" s="39" t="n">
        <f aca="false">IFERROR(IF($C37="","",IF($D37="","",IFERROR(ROUND($D37*INDEX('🔖 배합비 참조'!$B$2:$CE$83,MATCH("콩기름(대두유)",'🔖 배합비 참조'!$A$2:$A$83,0),MATCH($C37,'🔖 배합비 참조'!$B$1:$CE$1,0))/100,0),""))),"")</f>
        <v>0</v>
      </c>
      <c r="BZ37" s="39" t="n">
        <f aca="false">IFERROR(IF($C37="","",IF($D37="","",IFERROR(ROUND($D37*INDEX('🔖 배합비 참조'!$B$2:$CE$83,MATCH("해바라기씨앗",'🔖 배합비 참조'!$A$2:$A$83,0),MATCH($C37,'🔖 배합비 참조'!$B$1:$CE$1,0))/100,0),""))),"")</f>
        <v>0</v>
      </c>
      <c r="CA37" s="39" t="n">
        <f aca="false">IFERROR(IF($C37="","",IF($D37="","",IFERROR(ROUND($D37*INDEX('🔖 배합비 참조'!$B$2:$CE$83,MATCH("현미(국내산)",'🔖 배합비 참조'!$A$2:$A$83,0),MATCH($C37,'🔖 배합비 참조'!$B$1:$CE$1,0))/100,0),""))),"")</f>
        <v>0</v>
      </c>
      <c r="CB37" s="39" t="n">
        <f aca="false">IFERROR(IF($C37="","",IF($D37="","",IFERROR(ROUND($D37*INDEX('🔖 배합비 참조'!$B$2:$CE$83,MATCH("현미멥쌀(국내산)",'🔖 배합비 참조'!$A$2:$A$83,0),MATCH($C37,'🔖 배합비 참조'!$B$1:$CE$1,0))/100,0),""))),"")</f>
        <v>0</v>
      </c>
      <c r="CC37" s="39" t="n">
        <f aca="false">IFERROR(IF($C37="","",IF($D37="","",IFERROR(ROUND($D37*INDEX('🔖 배합비 참조'!$B$2:$CE$83,MATCH("호두분태(미국산)",'🔖 배합비 참조'!$A$2:$A$83,0),MATCH($C37,'🔖 배합비 참조'!$B$1:$CE$1,0))/100,0),""))),"")</f>
        <v>0</v>
      </c>
      <c r="CD37" s="39" t="n">
        <f aca="false">IFERROR(IF($C37="","",IF($D37="","",IFERROR(ROUND($D37*INDEX('🔖 배합비 참조'!$B$2:$CE$83,MATCH("호박씨앗(외국산)",'🔖 배합비 참조'!$A$2:$A$83,0),MATCH($C37,'🔖 배합비 참조'!$B$1:$CE$1,0))/100,0),""))),"")</f>
        <v>0</v>
      </c>
      <c r="CE37" s="39" t="n">
        <f aca="false">IFERROR(IF($C37="","",IF($D37="","",IFERROR(ROUND($D37*INDEX('🔖 배합비 참조'!$B$2:$CE$83,MATCH("혼합제제(떡용에스텔)",'🔖 배합비 참조'!$A$2:$A$83,0),MATCH($C37,'🔖 배합비 참조'!$B$1:$CE$1,0))/100,0),""))),"")</f>
        <v>1</v>
      </c>
      <c r="CF37" s="39" t="n">
        <f aca="false">IFERROR(IF($C37="","",IF($D37="","",IFERROR(ROUND($D37*INDEX('🔖 배합비 참조'!$B$2:$CE$83,MATCH("혼합제제(스테비아)",'🔖 배합비 참조'!$A$2:$A$83,0),MATCH($C37,'🔖 배합비 참조'!$B$1:$CE$1,0))/100,0),""))),"")</f>
        <v>0</v>
      </c>
      <c r="CG37" s="39" t="n">
        <f aca="false">IFERROR(IF($C37="","",IF($D37="","",IFERROR(ROUND($D37*INDEX('🔖 배합비 참조'!$B$2:$CE$83,MATCH("화이트초콜릿",'🔖 배합비 참조'!$A$2:$A$83,0),MATCH($C37,'🔖 배합비 참조'!$B$1:$CE$1,0))/100,0),""))),"")</f>
        <v>0</v>
      </c>
      <c r="CH37" s="39" t="n">
        <f aca="false">IFERROR(IF($C37="","",IF($D37="","",IFERROR(ROUND($D37*INDEX('🔖 배합비 참조'!$B$2:$CE$83,MATCH("흑미찹쌀(국내산)",'🔖 배합비 참조'!$A$2:$A$83,0),MATCH($C37,'🔖 배합비 참조'!$B$1:$CE$1,0))/100,0),""))),"")</f>
        <v>0</v>
      </c>
      <c r="CI37" s="39" t="n">
        <f aca="false">IFERROR(IF($C37="","",IF($D37="","",IFERROR(ROUND($D37*INDEX('🔖 배합비 참조'!$B$2:$CE$83,MATCH("찰옥수수전분(미국산)",'🔖 배합비 참조'!$A$2:$A$83,0),MATCH($C37,'🔖 배합비 참조'!$B$1:$CE$1,0))/100,0),""))),"")</f>
        <v>0</v>
      </c>
      <c r="CJ37" s="40"/>
      <c r="CL37" s="1" t="s">
        <v>235</v>
      </c>
    </row>
    <row r="38" customFormat="false" ht="18" hidden="false" customHeight="true" outlineLevel="0" collapsed="false">
      <c r="A38" s="41" t="n">
        <v>34</v>
      </c>
      <c r="B38" s="36" t="n">
        <v>45960</v>
      </c>
      <c r="C38" s="37" t="s">
        <v>143</v>
      </c>
      <c r="D38" s="38" t="n">
        <v>315</v>
      </c>
      <c r="E38" s="17"/>
      <c r="F38" s="17"/>
      <c r="G38" s="42" t="n">
        <f aca="false">IFERROR(IF($C38="","",IF($D38="","",IFERROR(ROUND($D38*INDEX('🔖 배합비 참조'!$B$2:$CE$83,MATCH("간장",'🔖 배합비 참조'!$A$2:$A$83,0),MATCH($C38,'🔖 배합비 참조'!$B$1:$CE$1,0))/100,0),""))),"")</f>
        <v>0</v>
      </c>
      <c r="H38" s="42" t="n">
        <f aca="false">IFERROR(IF($C38="","",IF($D38="","",IFERROR(ROUND($D38*INDEX('🔖 배합비 참조'!$B$2:$CE$83,MATCH("강낭콩((울타리콩))",'🔖 배합비 참조'!$A$2:$A$83,0),MATCH($C38,'🔖 배합비 참조'!$B$1:$CE$1,0))/100,0),""))),"")</f>
        <v>0</v>
      </c>
      <c r="I38" s="42" t="n">
        <f aca="false">IFERROR(IF($C38="","",IF($D38="","",IFERROR(ROUND($D38*INDEX('🔖 배합비 참조'!$B$2:$CE$83,MATCH("건조딸기다이스(외국산)",'🔖 배합비 참조'!$A$2:$A$83,0),MATCH($C38,'🔖 배합비 참조'!$B$1:$CE$1,0))/100,0),""))),"")</f>
        <v>0</v>
      </c>
      <c r="J38" s="42" t="n">
        <f aca="false">IFERROR(IF($C38="","",IF($D38="","",IFERROR(ROUND($D38*INDEX('🔖 배합비 참조'!$B$2:$CE$83,MATCH("건포도",'🔖 배합비 참조'!$A$2:$A$83,0),MATCH($C38,'🔖 배합비 참조'!$B$1:$CE$1,0))/100,0),""))),"")</f>
        <v>0</v>
      </c>
      <c r="K38" s="42" t="n">
        <f aca="false">IFERROR(IF($C38="","",IF($D38="","",IFERROR(ROUND($D38*INDEX('🔖 배합비 참조'!$B$2:$CE$83,MATCH("건호박채(중국산)",'🔖 배합비 참조'!$A$2:$A$83,0),MATCH($C38,'🔖 배합비 참조'!$B$1:$CE$1,0))/100,0),""))),"")</f>
        <v>0</v>
      </c>
      <c r="L38" s="42" t="n">
        <f aca="false">IFERROR(IF($C38="","",IF($D38="","",IFERROR(ROUND($D38*INDEX('🔖 배합비 참조'!$B$2:$CE$83,MATCH("검정깨(흑임자)",'🔖 배합비 참조'!$A$2:$A$83,0),MATCH($C38,'🔖 배합비 참조'!$B$1:$CE$1,0))/100,0),""))),"")</f>
        <v>0</v>
      </c>
      <c r="M38" s="42" t="n">
        <f aca="false">IFERROR(IF($C38="","",IF($D38="","",IFERROR(ROUND($D38*INDEX('🔖 배합비 참조'!$B$2:$CE$83,MATCH("검정콩",'🔖 배합비 참조'!$A$2:$A$83,0),MATCH($C38,'🔖 배합비 참조'!$B$1:$CE$1,0))/100,0),""))),"")</f>
        <v>0</v>
      </c>
      <c r="N38" s="42" t="n">
        <f aca="false">IFERROR(IF($C38="","",IF($D38="","",IFERROR(ROUND($D38*INDEX('🔖 배합비 참조'!$B$2:$CE$83,MATCH("계피가루",'🔖 배합비 참조'!$A$2:$A$83,0),MATCH($C38,'🔖 배합비 참조'!$B$1:$CE$1,0))/100,0),""))),"")</f>
        <v>0</v>
      </c>
      <c r="O38" s="42" t="n">
        <f aca="false">IFERROR(IF($C38="","",IF($D38="","",IFERROR(ROUND($D38*INDEX('🔖 배합비 참조'!$B$2:$CE$83,MATCH("고구마가루",'🔖 배합비 참조'!$A$2:$A$83,0),MATCH($C38,'🔖 배합비 참조'!$B$1:$CE$1,0))/100,0),""))),"")</f>
        <v>0</v>
      </c>
      <c r="P38" s="42" t="n">
        <f aca="false">IFERROR(IF($C38="","",IF($D38="","",IFERROR(ROUND($D38*INDEX('🔖 배합비 참조'!$B$2:$CE$83,MATCH("고구마무스",'🔖 배합비 참조'!$A$2:$A$83,0),MATCH($C38,'🔖 배합비 참조'!$B$1:$CE$1,0))/100,0),""))),"")</f>
        <v>0</v>
      </c>
      <c r="Q38" s="42" t="n">
        <f aca="false">IFERROR(IF($C38="","",IF($D38="","",IFERROR(ROUND($D38*INDEX('🔖 배합비 참조'!$B$2:$CE$83,MATCH("고려엉겅퀴((곤드레)국내산)",'🔖 배합비 참조'!$A$2:$A$83,0),MATCH($C38,'🔖 배합비 참조'!$B$1:$CE$1,0))/100,0),""))),"")</f>
        <v>0</v>
      </c>
      <c r="R38" s="42" t="n">
        <f aca="false">IFERROR(IF($C38="","",IF($D38="","",IFERROR(ROUND($D38*INDEX('🔖 배합비 참조'!$B$2:$CE$83,MATCH("기타가공품(복분자가루)",'🔖 배합비 참조'!$A$2:$A$83,0),MATCH($C38,'🔖 배합비 참조'!$B$1:$CE$1,0))/100,0),""))),"")</f>
        <v>0</v>
      </c>
      <c r="S38" s="42" t="n">
        <f aca="false">IFERROR(IF($C38="","",IF($D38="","",IFERROR(ROUND($D38*INDEX('🔖 배합비 참조'!$B$2:$CE$83,MATCH("기타가공품(슈퍼소프트엠)",'🔖 배합비 참조'!$A$2:$A$83,0),MATCH($C38,'🔖 배합비 참조'!$B$1:$CE$1,0))/100,0),""))),"")</f>
        <v>0</v>
      </c>
      <c r="T38" s="42" t="n">
        <f aca="false">IFERROR(IF($C38="","",IF($D38="","",IFERROR(ROUND($D38*INDEX('🔖 배합비 참조'!$B$2:$CE$83,MATCH("기타가공품(파인소프트 E-티)",'🔖 배합비 참조'!$A$2:$A$83,0),MATCH($C38,'🔖 배합비 참조'!$B$1:$CE$1,0))/100,0),""))),"")</f>
        <v>0</v>
      </c>
      <c r="U38" s="42" t="n">
        <f aca="false">IFERROR(IF($C38="","",IF($D38="","",IFERROR(ROUND($D38*INDEX('🔖 배합비 참조'!$B$2:$CE$83,MATCH("기타가공품(프리미엄카스테라가루)",'🔖 배합비 참조'!$A$2:$A$83,0),MATCH($C38,'🔖 배합비 참조'!$B$1:$CE$1,0))/100,0),""))),"")</f>
        <v>0</v>
      </c>
      <c r="V38" s="42" t="n">
        <f aca="false">IFERROR(IF($C38="","",IF($D38="","",IFERROR(ROUND($D38*INDEX('🔖 배합비 참조'!$B$2:$CE$83,MATCH("기타가공품(흑임자가루)",'🔖 배합비 참조'!$A$2:$A$83,0),MATCH($C38,'🔖 배합비 참조'!$B$1:$CE$1,0))/100,0),""))),"")</f>
        <v>0</v>
      </c>
      <c r="W38" s="42" t="n">
        <f aca="false">IFERROR(IF($C38="","",IF($D38="","",IFERROR(ROUND($D38*INDEX('🔖 배합비 참조'!$B$2:$CE$83,MATCH("기타설탕(흑설탕)",'🔖 배합비 참조'!$A$2:$A$83,0),MATCH($C38,'🔖 배합비 참조'!$B$1:$CE$1,0))/100,0),""))),"")</f>
        <v>26</v>
      </c>
      <c r="X38" s="42" t="n">
        <f aca="false">IFERROR(IF($C38="","",IF($D38="","",IFERROR(ROUND($D38*INDEX('🔖 배합비 참조'!$B$2:$CE$83,MATCH("냉동쑥(국내산)",'🔖 배합비 참조'!$A$2:$A$83,0),MATCH($C38,'🔖 배합비 참조'!$B$1:$CE$1,0))/100,0),""))),"")</f>
        <v>0</v>
      </c>
      <c r="Y38" s="42" t="n">
        <f aca="false">IFERROR(IF($C38="","",IF($D38="","",IFERROR(ROUND($D38*INDEX('🔖 배합비 참조'!$B$2:$CE$83,MATCH("냉동증숙고구마(중국산)",'🔖 배합비 참조'!$A$2:$A$83,0),MATCH($C38,'🔖 배합비 참조'!$B$1:$CE$1,0))/100,0),""))),"")</f>
        <v>0</v>
      </c>
      <c r="Z38" s="42" t="n">
        <f aca="false">IFERROR(IF($C38="","",IF($D38="","",IFERROR(ROUND($D38*INDEX('🔖 배합비 참조'!$B$2:$CE$83,MATCH("녹차가루",'🔖 배합비 참조'!$A$2:$A$83,0),MATCH($C38,'🔖 배합비 참조'!$B$1:$CE$1,0))/100,0),""))),"")</f>
        <v>0</v>
      </c>
      <c r="AA38" s="42" t="n">
        <f aca="false">IFERROR(IF($C38="","",IF($D38="","",IFERROR(ROUND($D38*INDEX('🔖 배합비 참조'!$B$2:$CE$83,MATCH("다크초콜릿 컴파운드칩",'🔖 배합비 참조'!$A$2:$A$83,0),MATCH($C38,'🔖 배합비 참조'!$B$1:$CE$1,0))/100,0),""))),"")</f>
        <v>0</v>
      </c>
      <c r="AB38" s="42" t="n">
        <f aca="false">IFERROR(IF($C38="","",IF($D38="","",IFERROR(ROUND($D38*INDEX('🔖 배합비 참조'!$B$2:$CE$83,MATCH("단호박분말(중국산)",'🔖 배합비 참조'!$A$2:$A$83,0),MATCH($C38,'🔖 배합비 참조'!$B$1:$CE$1,0))/100,0),""))),"")</f>
        <v>0</v>
      </c>
      <c r="AC38" s="42" t="n">
        <f aca="false">IFERROR(IF($C38="","",IF($D38="","",IFERROR(ROUND($D38*INDEX('🔖 배합비 참조'!$B$2:$CE$83,MATCH("당류가공품(단호박농축액)",'🔖 배합비 참조'!$A$2:$A$83,0),MATCH($C38,'🔖 배합비 참조'!$B$1:$CE$1,0))/100,0),""))),"")</f>
        <v>0</v>
      </c>
      <c r="AD38" s="42" t="n">
        <f aca="false">IFERROR(IF($C38="","",IF($D38="","",IFERROR(ROUND($D38*INDEX('🔖 배합비 참조'!$B$2:$CE$83,MATCH("당류가공품(알룰로스,에리스리톨,스테비올배당체혼합)",'🔖 배합비 참조'!$A$2:$A$83,0),MATCH($C38,'🔖 배합비 참조'!$B$1:$CE$1,0))/100,0),""))),"")</f>
        <v>0</v>
      </c>
      <c r="AE38" s="42" t="n">
        <f aca="false">IFERROR(IF($C38="","",IF($D38="","",IFERROR(ROUND($D38*INDEX('🔖 배합비 참조'!$B$2:$CE$83,MATCH("당류가공품(알룰로스제로파우더)",'🔖 배합비 참조'!$A$2:$A$83,0),MATCH($C38,'🔖 배합비 참조'!$B$1:$CE$1,0))/100,0),""))),"")</f>
        <v>0</v>
      </c>
      <c r="AF38" s="42" t="n">
        <f aca="false">IFERROR(IF($C38="","",IF($D38="","",IFERROR(ROUND($D38*INDEX('🔖 배합비 참조'!$B$2:$CE$83,MATCH("당절임(완두배기)",'🔖 배합비 참조'!$A$2:$A$83,0),MATCH($C38,'🔖 배합비 참조'!$B$1:$CE$1,0))/100,0),""))),"")</f>
        <v>0</v>
      </c>
      <c r="AG38" s="42" t="n">
        <f aca="false">IFERROR(IF($C38="","",IF($D38="","",IFERROR(ROUND($D38*INDEX('🔖 배합비 참조'!$B$2:$CE$83,MATCH("대추농축액",'🔖 배합비 참조'!$A$2:$A$83,0),MATCH($C38,'🔖 배합비 참조'!$B$1:$CE$1,0))/100,0),""))),"")</f>
        <v>0</v>
      </c>
      <c r="AH38" s="42" t="n">
        <f aca="false">IFERROR(IF($C38="","",IF($D38="","",IFERROR(ROUND($D38*INDEX('🔖 배합비 참조'!$B$2:$CE$83,MATCH("대추채(국내산)",'🔖 배합비 참조'!$A$2:$A$83,0),MATCH($C38,'🔖 배합비 참조'!$B$1:$CE$1,0))/100,0),""))),"")</f>
        <v>0</v>
      </c>
      <c r="AI38" s="42" t="n">
        <f aca="false">IFERROR(IF($C38="","",IF($D38="","",IFERROR(ROUND($D38*INDEX('🔖 배합비 참조'!$B$2:$CE$83,MATCH("동부(미얀마산)",'🔖 배합비 참조'!$A$2:$A$83,0),MATCH($C38,'🔖 배합비 참조'!$B$1:$CE$1,0))/100,0),""))),"")</f>
        <v>0</v>
      </c>
      <c r="AJ38" s="42" t="n">
        <f aca="false">IFERROR(IF($C38="","",IF($D38="","",IFERROR(ROUND($D38*INDEX('🔖 배합비 참조'!$B$2:$CE$83,MATCH("두류가공품(백옥앙금)",'🔖 배합비 참조'!$A$2:$A$83,0),MATCH($C38,'🔖 배합비 참조'!$B$1:$CE$1,0))/100,0),""))),"")</f>
        <v>0</v>
      </c>
      <c r="AK38" s="42" t="n">
        <f aca="false">IFERROR(IF($C38="","",IF($D38="","",IFERROR(ROUND($D38*INDEX('🔖 배합비 참조'!$B$2:$CE$83,MATCH("두류가공품(콩고물)",'🔖 배합비 참조'!$A$2:$A$83,0),MATCH($C38,'🔖 배합비 참조'!$B$1:$CE$1,0))/100,0),""))),"")</f>
        <v>0</v>
      </c>
      <c r="AL38" s="42" t="n">
        <f aca="false">IFERROR(IF($C38="","",IF($D38="","",IFERROR(ROUND($D38*INDEX('🔖 배합비 참조'!$B$2:$CE$83,MATCH("두류가공품(통팥고물)",'🔖 배합비 참조'!$A$2:$A$83,0),MATCH($C38,'🔖 배합비 참조'!$B$1:$CE$1,0))/100,0),""))),"")</f>
        <v>0</v>
      </c>
      <c r="AM38" s="42" t="n">
        <f aca="false">IFERROR(IF($C38="","",IF($D38="","",IFERROR(ROUND($D38*INDEX('🔖 배합비 참조'!$B$2:$CE$83,MATCH("딸기레진",'🔖 배합비 참조'!$A$2:$A$83,0),MATCH($C38,'🔖 배합비 참조'!$B$1:$CE$1,0))/100,0),""))),"")</f>
        <v>0</v>
      </c>
      <c r="AN38" s="42" t="n">
        <f aca="false">IFERROR(IF($C38="","",IF($D38="","",IFERROR(ROUND($D38*INDEX('🔖 배합비 참조'!$B$2:$CE$83,MATCH("딸기분말(스트로우베리에이드(분말))",'🔖 배합비 참조'!$A$2:$A$83,0),MATCH($C38,'🔖 배합비 참조'!$B$1:$CE$1,0))/100,0),""))),"")</f>
        <v>0</v>
      </c>
      <c r="AO38" s="42" t="n">
        <f aca="false">IFERROR(IF($C38="","",IF($D38="","",IFERROR(ROUND($D38*INDEX('🔖 배합비 참조'!$B$2:$CE$83,MATCH("마스카포네치즈",'🔖 배합비 참조'!$A$2:$A$83,0),MATCH($C38,'🔖 배합비 참조'!$B$1:$CE$1,0))/100,0),""))),"")</f>
        <v>0</v>
      </c>
      <c r="AP38" s="42" t="n">
        <f aca="false">IFERROR(IF($C38="","",IF($D38="","",IFERROR(ROUND($D38*INDEX('🔖 배합비 참조'!$B$2:$CE$83,MATCH("마카다미아분태(호주산)",'🔖 배합비 참조'!$A$2:$A$83,0),MATCH($C38,'🔖 배합비 참조'!$B$1:$CE$1,0))/100,0),""))),"")</f>
        <v>0</v>
      </c>
      <c r="AQ38" s="42" t="n">
        <f aca="false">IFERROR(IF($C38="","",IF($D38="","",IFERROR(ROUND($D38*INDEX('🔖 배합비 참조'!$B$2:$CE$83,MATCH("멥쌀(국내산)",'🔖 배합비 참조'!$A$2:$A$83,0),MATCH($C38,'🔖 배합비 참조'!$B$1:$CE$1,0))/100,0),""))),"")</f>
        <v>212</v>
      </c>
      <c r="AR38" s="42" t="n">
        <f aca="false">IFERROR(IF($C38="","",IF($D38="","",IFERROR(ROUND($D38*INDEX('🔖 배합비 참조'!$B$2:$CE$83,MATCH("모시잎(국내산)",'🔖 배합비 참조'!$A$2:$A$83,0),MATCH($C38,'🔖 배합비 참조'!$B$1:$CE$1,0))/100,0),""))),"")</f>
        <v>0</v>
      </c>
      <c r="AS38" s="42" t="n">
        <f aca="false">IFERROR(IF($C38="","",IF($D38="","",IFERROR(ROUND($D38*INDEX('🔖 배합비 참조'!$B$2:$CE$83,MATCH("물엿(저당물엿)",'🔖 배합비 참조'!$A$2:$A$83,0),MATCH($C38,'🔖 배합비 참조'!$B$1:$CE$1,0))/100,0),""))),"")</f>
        <v>0</v>
      </c>
      <c r="AT38" s="42" t="n">
        <f aca="false">IFERROR(IF($C38="","",IF($D38="","",IFERROR(ROUND($D38*INDEX('🔖 배합비 참조'!$B$2:$CE$83,MATCH("밤다이스",'🔖 배합비 참조'!$A$2:$A$83,0),MATCH($C38,'🔖 배합비 참조'!$B$1:$CE$1,0))/100,0),""))),"")</f>
        <v>0</v>
      </c>
      <c r="AU38" s="42" t="n">
        <f aca="false">IFERROR(IF($C38="","",IF($D38="","",IFERROR(ROUND($D38*INDEX('🔖 배합비 참조'!$B$2:$CE$83,MATCH("변성전분(타피오카전분)",'🔖 배합비 참조'!$A$2:$A$83,0),MATCH($C38,'🔖 배합비 참조'!$B$1:$CE$1,0))/100,0),""))),"")</f>
        <v>0</v>
      </c>
      <c r="AV38" s="42" t="n">
        <f aca="false">IFERROR(IF($C38="","",IF($D38="","",IFERROR(ROUND($D38*INDEX('🔖 배합비 참조'!$B$2:$CE$83,MATCH("복음땅콩분태",'🔖 배합비 참조'!$A$2:$A$83,0),MATCH($C38,'🔖 배합비 참조'!$B$1:$CE$1,0))/100,0),""))),"")</f>
        <v>0</v>
      </c>
      <c r="AW38" s="42" t="n">
        <f aca="false">IFERROR(IF($C38="","",IF($D38="","",IFERROR(ROUND($D38*INDEX('🔖 배합비 참조'!$B$2:$CE$83,MATCH("사양벌꿀(국내산)",'🔖 배합비 참조'!$A$2:$A$83,0),MATCH($C38,'🔖 배합비 참조'!$B$1:$CE$1,0))/100,0),""))),"")</f>
        <v>7</v>
      </c>
      <c r="AX38" s="42" t="n">
        <f aca="false">IFERROR(IF($C38="","",IF($D38="","",IFERROR(ROUND($D38*INDEX('🔖 배합비 참조'!$B$2:$CE$83,MATCH("생크림",'🔖 배합비 참조'!$A$2:$A$83,0),MATCH($C38,'🔖 배합비 참조'!$B$1:$CE$1,0))/100,0),""))),"")</f>
        <v>0</v>
      </c>
      <c r="AY38" s="42" t="n">
        <f aca="false">IFERROR(IF($C38="","",IF($D38="","",IFERROR(ROUND($D38*INDEX('🔖 배합비 참조'!$B$2:$CE$83,MATCH("서양호박(국내산,뉴질랜드산)",'🔖 배합비 참조'!$A$2:$A$83,0),MATCH($C38,'🔖 배합비 참조'!$B$1:$CE$1,0))/100,0),""))),"")</f>
        <v>0</v>
      </c>
      <c r="AZ38" s="42" t="n">
        <f aca="false">IFERROR(IF($C38="","",IF($D38="","",IFERROR(ROUND($D38*INDEX('🔖 배합비 참조'!$B$2:$CE$83,MATCH("설탕",'🔖 배합비 참조'!$A$2:$A$83,0),MATCH($C38,'🔖 배합비 참조'!$B$1:$CE$1,0))/100,0),""))),"")</f>
        <v>26</v>
      </c>
      <c r="BA38" s="42" t="n">
        <f aca="false">IFERROR(IF($C38="","",IF($D38="","",IFERROR(ROUND($D38*INDEX('🔖 배합비 참조'!$B$2:$CE$83,MATCH("스트로우베리 에이드 후레쉬",'🔖 배합비 참조'!$A$2:$A$83,0),MATCH($C38,'🔖 배합비 참조'!$B$1:$CE$1,0))/100,0),""))),"")</f>
        <v>0</v>
      </c>
      <c r="BB38" s="42" t="n">
        <f aca="false">IFERROR(IF($C38="","",IF($D38="","",IFERROR(ROUND($D38*INDEX('🔖 배합비 참조'!$B$2:$CE$83,MATCH("식물성기름혼합제제(분홍)",'🔖 배합비 참조'!$A$2:$A$83,0),MATCH($C38,'🔖 배합비 참조'!$B$1:$CE$1,0))/100,0),""))),"")</f>
        <v>0</v>
      </c>
      <c r="BC38" s="42" t="n">
        <f aca="false">IFERROR(IF($C38="","",IF($D38="","",IFERROR(ROUND($D38*INDEX('🔖 배합비 참조'!$B$2:$CE$83,MATCH("식물성기름혼합제제(초록)",'🔖 배합비 참조'!$A$2:$A$83,0),MATCH($C38,'🔖 배합비 참조'!$B$1:$CE$1,0))/100,0),""))),"")</f>
        <v>0</v>
      </c>
      <c r="BD38" s="42" t="n">
        <f aca="false">IFERROR(IF($C38="","",IF($D38="","",IFERROR(ROUND($D38*INDEX('🔖 배합비 참조'!$B$2:$CE$83,MATCH("식물성기름혼합제제(황색)",'🔖 배합비 참조'!$A$2:$A$83,0),MATCH($C38,'🔖 배합비 참조'!$B$1:$CE$1,0))/100,0),""))),"")</f>
        <v>0</v>
      </c>
      <c r="BE38" s="42" t="n">
        <f aca="false">IFERROR(IF($C38="","",IF($D38="","",IFERROR(ROUND($D38*INDEX('🔖 배합비 참조'!$B$2:$CE$83,MATCH("쑥가루(국내산)",'🔖 배합비 참조'!$A$2:$A$83,0),MATCH($C38,'🔖 배합비 참조'!$B$1:$CE$1,0))/100,0),""))),"")</f>
        <v>0</v>
      </c>
      <c r="BF38" s="42" t="n">
        <f aca="false">IFERROR(IF($C38="","",IF($D38="","",IFERROR(ROUND($D38*INDEX('🔖 배합비 참조'!$B$2:$CE$83,MATCH("아몬드슬라이스",'🔖 배합비 참조'!$A$2:$A$83,0),MATCH($C38,'🔖 배합비 참조'!$B$1:$CE$1,0))/100,0),""))),"")</f>
        <v>0</v>
      </c>
      <c r="BG38" s="42" t="n">
        <f aca="false">IFERROR(IF($C38="","",IF($D38="","",IFERROR(ROUND($D38*INDEX('🔖 배합비 참조'!$B$2:$CE$83,MATCH("알룰로오스(국내산)",'🔖 배합비 참조'!$A$2:$A$83,0),MATCH($C38,'🔖 배합비 참조'!$B$1:$CE$1,0))/100,0),""))),"")</f>
        <v>0</v>
      </c>
      <c r="BH38" s="42" t="n">
        <f aca="false">IFERROR(IF($C38="","",IF($D38="","",IFERROR(ROUND($D38*INDEX('🔖 배합비 참조'!$B$2:$CE$83,MATCH("연유",'🔖 배합비 참조'!$A$2:$A$83,0),MATCH($C38,'🔖 배합비 참조'!$B$1:$CE$1,0))/100,0),""))),"")</f>
        <v>0</v>
      </c>
      <c r="BI38" s="42" t="n">
        <f aca="false">IFERROR(IF($C38="","",IF($D38="","",IFERROR(ROUND($D38*INDEX('🔖 배합비 참조'!$B$2:$CE$83,MATCH("옥수수전분",'🔖 배합비 참조'!$A$2:$A$83,0),MATCH($C38,'🔖 배합비 참조'!$B$1:$CE$1,0))/100,0),""))),"")</f>
        <v>0</v>
      </c>
      <c r="BJ38" s="42" t="n">
        <f aca="false">IFERROR(IF($C38="","",IF($D38="","",IFERROR(ROUND($D38*INDEX('🔖 배합비 참조'!$B$2:$CE$83,MATCH("완두배기",'🔖 배합비 참조'!$A$2:$A$83,0),MATCH($C38,'🔖 배합비 참조'!$B$1:$CE$1,0))/100,0),""))),"")</f>
        <v>0</v>
      </c>
      <c r="BK38" s="42" t="n">
        <f aca="false">IFERROR(IF($C38="","",IF($D38="","",IFERROR(ROUND($D38*INDEX('🔖 배합비 참조'!$B$2:$CE$83,MATCH("우유(국내산)",'🔖 배합비 참조'!$A$2:$A$83,0),MATCH($C38,'🔖 배합비 참조'!$B$1:$CE$1,0))/100,0),""))),"")</f>
        <v>0</v>
      </c>
      <c r="BL38" s="42" t="n">
        <f aca="false">IFERROR(IF($C38="","",IF($D38="","",IFERROR(ROUND($D38*INDEX('🔖 배합비 참조'!$B$2:$CE$83,MATCH("자색고구마가루(중국산)",'🔖 배합비 참조'!$A$2:$A$83,0),MATCH($C38,'🔖 배합비 참조'!$B$1:$CE$1,0))/100,0),""))),"")</f>
        <v>0</v>
      </c>
      <c r="BM38" s="42" t="n">
        <f aca="false">IFERROR(IF($C38="","",IF($D38="","",IFERROR(ROUND($D38*INDEX('🔖 배합비 참조'!$B$2:$CE$83,MATCH("자연치즈(체다치즈)",'🔖 배합비 참조'!$A$2:$A$83,0),MATCH($C38,'🔖 배합비 참조'!$B$1:$CE$1,0))/100,0),""))),"")</f>
        <v>0</v>
      </c>
      <c r="BN38" s="42" t="n">
        <f aca="false">IFERROR(IF($C38="","",IF($D38="","",IFERROR(ROUND($D38*INDEX('🔖 배합비 참조'!$B$2:$CE$83,MATCH("정제수",'🔖 배합비 참조'!$A$2:$A$83,0),MATCH($C38,'🔖 배합비 참조'!$B$1:$CE$1,0))/100,0),""))),"")</f>
        <v>40</v>
      </c>
      <c r="BO38" s="42" t="n">
        <f aca="false">IFERROR(IF($C38="","",IF($D38="","",IFERROR(ROUND($D38*INDEX('🔖 배합비 참조'!$B$2:$CE$83,MATCH("젤라틴",'🔖 배합비 참조'!$A$2:$A$83,0),MATCH($C38,'🔖 배합비 참조'!$B$1:$CE$1,0))/100,0),""))),"")</f>
        <v>0</v>
      </c>
      <c r="BP38" s="42" t="n">
        <f aca="false">IFERROR(IF($C38="","",IF($D38="","",IFERROR(ROUND($D38*INDEX('🔖 배합비 참조'!$B$2:$CE$83,MATCH("조림류(백옥앙금)",'🔖 배합비 참조'!$A$2:$A$83,0),MATCH($C38,'🔖 배합비 참조'!$B$1:$CE$1,0))/100,0),""))),"")</f>
        <v>0</v>
      </c>
      <c r="BQ38" s="42" t="n">
        <f aca="false">IFERROR(IF($C38="","",IF($D38="","",IFERROR(ROUND($D38*INDEX('🔖 배합비 참조'!$B$2:$CE$83,MATCH("조림류(통팥앙금)",'🔖 배합비 참조'!$A$2:$A$83,0),MATCH($C38,'🔖 배합비 참조'!$B$1:$CE$1,0))/100,0),""))),"")</f>
        <v>0</v>
      </c>
      <c r="BR38" s="42" t="n">
        <f aca="false">IFERROR(IF($C38="","",IF($D38="","",IFERROR(ROUND($D38*INDEX('🔖 배합비 참조'!$B$2:$CE$83,MATCH("준초콜릿(외국산)",'🔖 배합비 참조'!$A$2:$A$83,0),MATCH($C38,'🔖 배합비 참조'!$B$1:$CE$1,0))/100,0),""))),"")</f>
        <v>0</v>
      </c>
      <c r="BS38" s="42" t="n">
        <f aca="false">IFERROR(IF($C38="","",IF($D38="","",IFERROR(ROUND($D38*INDEX('🔖 배합비 참조'!$B$2:$CE$83,MATCH("중력분",'🔖 배합비 참조'!$A$2:$A$83,0),MATCH($C38,'🔖 배합비 참조'!$B$1:$CE$1,0))/100,0),""))),"")</f>
        <v>0</v>
      </c>
      <c r="BT38" s="42" t="n">
        <f aca="false">IFERROR(IF($C38="","",IF($D38="","",IFERROR(ROUND($D38*INDEX('🔖 배합비 참조'!$B$2:$CE$83,MATCH("참깨(인도산,나이지리아산,탄자니아산,미얀마산)",'🔖 배합비 참조'!$A$2:$A$83,0),MATCH($C38,'🔖 배합비 참조'!$B$1:$CE$1,0))/100,0),""))),"")</f>
        <v>0</v>
      </c>
      <c r="BU38" s="42" t="n">
        <f aca="false">IFERROR(IF($C38="","",IF($D38="","",IFERROR(ROUND($D38*INDEX('🔖 배합비 참조'!$B$2:$CE$83,MATCH("찹쌀(국내산)",'🔖 배합비 참조'!$A$2:$A$83,0),MATCH($C38,'🔖 배합비 참조'!$B$1:$CE$1,0))/100,0),""))),"")</f>
        <v>0</v>
      </c>
      <c r="BV38" s="42" t="n">
        <f aca="false">IFERROR(IF($C38="","",IF($D38="","",IFERROR(ROUND($D38*INDEX('🔖 배합비 참조'!$B$2:$CE$83,MATCH("천일염",'🔖 배합비 참조'!$A$2:$A$83,0),MATCH($C38,'🔖 배합비 참조'!$B$1:$CE$1,0))/100,0),""))),"")</f>
        <v>3</v>
      </c>
      <c r="BW38" s="42" t="n">
        <f aca="false">IFERROR(IF($C38="","",IF($D38="","",IFERROR(ROUND($D38*INDEX('🔖 배합비 참조'!$B$2:$CE$83,MATCH("치즈 [크림치즈]",'🔖 배합비 참조'!$A$2:$A$83,0),MATCH($C38,'🔖 배합비 참조'!$B$1:$CE$1,0))/100,0),""))),"")</f>
        <v>0</v>
      </c>
      <c r="BX38" s="42" t="n">
        <f aca="false">IFERROR(IF($C38="","",IF($D38="","",IFERROR(ROUND($D38*INDEX('🔖 배합비 참조'!$B$2:$CE$83,MATCH("코코아가공품류(코코아분말)",'🔖 배합비 참조'!$A$2:$A$83,0),MATCH($C38,'🔖 배합비 참조'!$B$1:$CE$1,0))/100,0),""))),"")</f>
        <v>0</v>
      </c>
      <c r="BY38" s="42" t="n">
        <f aca="false">IFERROR(IF($C38="","",IF($D38="","",IFERROR(ROUND($D38*INDEX('🔖 배합비 참조'!$B$2:$CE$83,MATCH("콩기름(대두유)",'🔖 배합비 참조'!$A$2:$A$83,0),MATCH($C38,'🔖 배합비 참조'!$B$1:$CE$1,0))/100,0),""))),"")</f>
        <v>0</v>
      </c>
      <c r="BZ38" s="42" t="n">
        <f aca="false">IFERROR(IF($C38="","",IF($D38="","",IFERROR(ROUND($D38*INDEX('🔖 배합비 참조'!$B$2:$CE$83,MATCH("해바라기씨앗",'🔖 배합비 참조'!$A$2:$A$83,0),MATCH($C38,'🔖 배합비 참조'!$B$1:$CE$1,0))/100,0),""))),"")</f>
        <v>0</v>
      </c>
      <c r="CA38" s="42" t="n">
        <f aca="false">IFERROR(IF($C38="","",IF($D38="","",IFERROR(ROUND($D38*INDEX('🔖 배합비 참조'!$B$2:$CE$83,MATCH("현미(국내산)",'🔖 배합비 참조'!$A$2:$A$83,0),MATCH($C38,'🔖 배합비 참조'!$B$1:$CE$1,0))/100,0),""))),"")</f>
        <v>0</v>
      </c>
      <c r="CB38" s="42" t="n">
        <f aca="false">IFERROR(IF($C38="","",IF($D38="","",IFERROR(ROUND($D38*INDEX('🔖 배합비 참조'!$B$2:$CE$83,MATCH("현미멥쌀(국내산)",'🔖 배합비 참조'!$A$2:$A$83,0),MATCH($C38,'🔖 배합비 참조'!$B$1:$CE$1,0))/100,0),""))),"")</f>
        <v>0</v>
      </c>
      <c r="CC38" s="42" t="n">
        <f aca="false">IFERROR(IF($C38="","",IF($D38="","",IFERROR(ROUND($D38*INDEX('🔖 배합비 참조'!$B$2:$CE$83,MATCH("호두분태(미국산)",'🔖 배합비 참조'!$A$2:$A$83,0),MATCH($C38,'🔖 배합비 참조'!$B$1:$CE$1,0))/100,0),""))),"")</f>
        <v>0</v>
      </c>
      <c r="CD38" s="42" t="n">
        <f aca="false">IFERROR(IF($C38="","",IF($D38="","",IFERROR(ROUND($D38*INDEX('🔖 배합비 참조'!$B$2:$CE$83,MATCH("호박씨앗(외국산)",'🔖 배합비 참조'!$A$2:$A$83,0),MATCH($C38,'🔖 배합비 참조'!$B$1:$CE$1,0))/100,0),""))),"")</f>
        <v>0</v>
      </c>
      <c r="CE38" s="42" t="n">
        <f aca="false">IFERROR(IF($C38="","",IF($D38="","",IFERROR(ROUND($D38*INDEX('🔖 배합비 참조'!$B$2:$CE$83,MATCH("혼합제제(떡용에스텔)",'🔖 배합비 참조'!$A$2:$A$83,0),MATCH($C38,'🔖 배합비 참조'!$B$1:$CE$1,0))/100,0),""))),"")</f>
        <v>0</v>
      </c>
      <c r="CF38" s="42" t="n">
        <f aca="false">IFERROR(IF($C38="","",IF($D38="","",IFERROR(ROUND($D38*INDEX('🔖 배합비 참조'!$B$2:$CE$83,MATCH("혼합제제(스테비아)",'🔖 배합비 참조'!$A$2:$A$83,0),MATCH($C38,'🔖 배합비 참조'!$B$1:$CE$1,0))/100,0),""))),"")</f>
        <v>0</v>
      </c>
      <c r="CG38" s="42" t="n">
        <f aca="false">IFERROR(IF($C38="","",IF($D38="","",IFERROR(ROUND($D38*INDEX('🔖 배합비 참조'!$B$2:$CE$83,MATCH("화이트초콜릿",'🔖 배합비 참조'!$A$2:$A$83,0),MATCH($C38,'🔖 배합비 참조'!$B$1:$CE$1,0))/100,0),""))),"")</f>
        <v>0</v>
      </c>
      <c r="CH38" s="42" t="n">
        <f aca="false">IFERROR(IF($C38="","",IF($D38="","",IFERROR(ROUND($D38*INDEX('🔖 배합비 참조'!$B$2:$CE$83,MATCH("흑미찹쌀(국내산)",'🔖 배합비 참조'!$A$2:$A$83,0),MATCH($C38,'🔖 배합비 참조'!$B$1:$CE$1,0))/100,0),""))),"")</f>
        <v>0</v>
      </c>
      <c r="CI38" s="42" t="n">
        <f aca="false">IFERROR(IF($C38="","",IF($D38="","",IFERROR(ROUND($D38*INDEX('🔖 배합비 참조'!$B$2:$CE$83,MATCH("찰옥수수전분(미국산)",'🔖 배합비 참조'!$A$2:$A$83,0),MATCH($C38,'🔖 배합비 참조'!$B$1:$CE$1,0))/100,0),""))),"")</f>
        <v>0</v>
      </c>
      <c r="CJ38" s="40"/>
      <c r="CL38" s="1" t="s">
        <v>235</v>
      </c>
    </row>
    <row r="39" customFormat="false" ht="18" hidden="false" customHeight="true" outlineLevel="0" collapsed="false">
      <c r="A39" s="35" t="n">
        <v>35</v>
      </c>
      <c r="B39" s="36" t="n">
        <v>45960</v>
      </c>
      <c r="C39" s="37" t="s">
        <v>184</v>
      </c>
      <c r="D39" s="38" t="n">
        <v>172.5</v>
      </c>
      <c r="E39" s="13"/>
      <c r="F39" s="13"/>
      <c r="G39" s="39" t="n">
        <f aca="false">IFERROR(IF($C39="","",IF($D39="","",IFERROR(ROUND($D39*INDEX('🔖 배합비 참조'!$B$2:$CE$83,MATCH("간장",'🔖 배합비 참조'!$A$2:$A$83,0),MATCH($C39,'🔖 배합비 참조'!$B$1:$CE$1,0))/100,0),""))),"")</f>
        <v>0</v>
      </c>
      <c r="H39" s="39" t="n">
        <f aca="false">IFERROR(IF($C39="","",IF($D39="","",IFERROR(ROUND($D39*INDEX('🔖 배합비 참조'!$B$2:$CE$83,MATCH("강낭콩((울타리콩))",'🔖 배합비 참조'!$A$2:$A$83,0),MATCH($C39,'🔖 배합비 참조'!$B$1:$CE$1,0))/100,0),""))),"")</f>
        <v>0</v>
      </c>
      <c r="I39" s="39" t="n">
        <f aca="false">IFERROR(IF($C39="","",IF($D39="","",IFERROR(ROUND($D39*INDEX('🔖 배합비 참조'!$B$2:$CE$83,MATCH("건조딸기다이스(외국산)",'🔖 배합비 참조'!$A$2:$A$83,0),MATCH($C39,'🔖 배합비 참조'!$B$1:$CE$1,0))/100,0),""))),"")</f>
        <v>0</v>
      </c>
      <c r="J39" s="39" t="n">
        <f aca="false">IFERROR(IF($C39="","",IF($D39="","",IFERROR(ROUND($D39*INDEX('🔖 배합비 참조'!$B$2:$CE$83,MATCH("건포도",'🔖 배합비 참조'!$A$2:$A$83,0),MATCH($C39,'🔖 배합비 참조'!$B$1:$CE$1,0))/100,0),""))),"")</f>
        <v>0</v>
      </c>
      <c r="K39" s="39" t="n">
        <f aca="false">IFERROR(IF($C39="","",IF($D39="","",IFERROR(ROUND($D39*INDEX('🔖 배합비 참조'!$B$2:$CE$83,MATCH("건호박채(중국산)",'🔖 배합비 참조'!$A$2:$A$83,0),MATCH($C39,'🔖 배합비 참조'!$B$1:$CE$1,0))/100,0),""))),"")</f>
        <v>0</v>
      </c>
      <c r="L39" s="39" t="n">
        <f aca="false">IFERROR(IF($C39="","",IF($D39="","",IFERROR(ROUND($D39*INDEX('🔖 배합비 참조'!$B$2:$CE$83,MATCH("검정깨(흑임자)",'🔖 배합비 참조'!$A$2:$A$83,0),MATCH($C39,'🔖 배합비 참조'!$B$1:$CE$1,0))/100,0),""))),"")</f>
        <v>0</v>
      </c>
      <c r="M39" s="39" t="n">
        <f aca="false">IFERROR(IF($C39="","",IF($D39="","",IFERROR(ROUND($D39*INDEX('🔖 배합비 참조'!$B$2:$CE$83,MATCH("검정콩",'🔖 배합비 참조'!$A$2:$A$83,0),MATCH($C39,'🔖 배합비 참조'!$B$1:$CE$1,0))/100,0),""))),"")</f>
        <v>0</v>
      </c>
      <c r="N39" s="39" t="n">
        <f aca="false">IFERROR(IF($C39="","",IF($D39="","",IFERROR(ROUND($D39*INDEX('🔖 배합비 참조'!$B$2:$CE$83,MATCH("계피가루",'🔖 배합비 참조'!$A$2:$A$83,0),MATCH($C39,'🔖 배합비 참조'!$B$1:$CE$1,0))/100,0),""))),"")</f>
        <v>0</v>
      </c>
      <c r="O39" s="39" t="n">
        <f aca="false">IFERROR(IF($C39="","",IF($D39="","",IFERROR(ROUND($D39*INDEX('🔖 배합비 참조'!$B$2:$CE$83,MATCH("고구마가루",'🔖 배합비 참조'!$A$2:$A$83,0),MATCH($C39,'🔖 배합비 참조'!$B$1:$CE$1,0))/100,0),""))),"")</f>
        <v>0</v>
      </c>
      <c r="P39" s="39" t="n">
        <f aca="false">IFERROR(IF($C39="","",IF($D39="","",IFERROR(ROUND($D39*INDEX('🔖 배합비 참조'!$B$2:$CE$83,MATCH("고구마무스",'🔖 배합비 참조'!$A$2:$A$83,0),MATCH($C39,'🔖 배합비 참조'!$B$1:$CE$1,0))/100,0),""))),"")</f>
        <v>0</v>
      </c>
      <c r="Q39" s="39" t="n">
        <f aca="false">IFERROR(IF($C39="","",IF($D39="","",IFERROR(ROUND($D39*INDEX('🔖 배합비 참조'!$B$2:$CE$83,MATCH("고려엉겅퀴((곤드레)국내산)",'🔖 배합비 참조'!$A$2:$A$83,0),MATCH($C39,'🔖 배합비 참조'!$B$1:$CE$1,0))/100,0),""))),"")</f>
        <v>0</v>
      </c>
      <c r="R39" s="39" t="n">
        <f aca="false">IFERROR(IF($C39="","",IF($D39="","",IFERROR(ROUND($D39*INDEX('🔖 배합비 참조'!$B$2:$CE$83,MATCH("기타가공품(복분자가루)",'🔖 배합비 참조'!$A$2:$A$83,0),MATCH($C39,'🔖 배합비 참조'!$B$1:$CE$1,0))/100,0),""))),"")</f>
        <v>0</v>
      </c>
      <c r="S39" s="39" t="n">
        <f aca="false">IFERROR(IF($C39="","",IF($D39="","",IFERROR(ROUND($D39*INDEX('🔖 배합비 참조'!$B$2:$CE$83,MATCH("기타가공품(슈퍼소프트엠)",'🔖 배합비 참조'!$A$2:$A$83,0),MATCH($C39,'🔖 배합비 참조'!$B$1:$CE$1,0))/100,0),""))),"")</f>
        <v>0</v>
      </c>
      <c r="T39" s="39" t="n">
        <f aca="false">IFERROR(IF($C39="","",IF($D39="","",IFERROR(ROUND($D39*INDEX('🔖 배합비 참조'!$B$2:$CE$83,MATCH("기타가공품(파인소프트 E-티)",'🔖 배합비 참조'!$A$2:$A$83,0),MATCH($C39,'🔖 배합비 참조'!$B$1:$CE$1,0))/100,0),""))),"")</f>
        <v>0</v>
      </c>
      <c r="U39" s="39" t="n">
        <f aca="false">IFERROR(IF($C39="","",IF($D39="","",IFERROR(ROUND($D39*INDEX('🔖 배합비 참조'!$B$2:$CE$83,MATCH("기타가공품(프리미엄카스테라가루)",'🔖 배합비 참조'!$A$2:$A$83,0),MATCH($C39,'🔖 배합비 참조'!$B$1:$CE$1,0))/100,0),""))),"")</f>
        <v>0</v>
      </c>
      <c r="V39" s="39" t="n">
        <f aca="false">IFERROR(IF($C39="","",IF($D39="","",IFERROR(ROUND($D39*INDEX('🔖 배합비 참조'!$B$2:$CE$83,MATCH("기타가공품(흑임자가루)",'🔖 배합비 참조'!$A$2:$A$83,0),MATCH($C39,'🔖 배합비 참조'!$B$1:$CE$1,0))/100,0),""))),"")</f>
        <v>0</v>
      </c>
      <c r="W39" s="39" t="n">
        <f aca="false">IFERROR(IF($C39="","",IF($D39="","",IFERROR(ROUND($D39*INDEX('🔖 배합비 참조'!$B$2:$CE$83,MATCH("기타설탕(흑설탕)",'🔖 배합비 참조'!$A$2:$A$83,0),MATCH($C39,'🔖 배합비 참조'!$B$1:$CE$1,0))/100,0),""))),"")</f>
        <v>0</v>
      </c>
      <c r="X39" s="39" t="n">
        <f aca="false">IFERROR(IF($C39="","",IF($D39="","",IFERROR(ROUND($D39*INDEX('🔖 배합비 참조'!$B$2:$CE$83,MATCH("냉동쑥(국내산)",'🔖 배합비 참조'!$A$2:$A$83,0),MATCH($C39,'🔖 배합비 참조'!$B$1:$CE$1,0))/100,0),""))),"")</f>
        <v>0</v>
      </c>
      <c r="Y39" s="39" t="n">
        <f aca="false">IFERROR(IF($C39="","",IF($D39="","",IFERROR(ROUND($D39*INDEX('🔖 배합비 참조'!$B$2:$CE$83,MATCH("냉동증숙고구마(중국산)",'🔖 배합비 참조'!$A$2:$A$83,0),MATCH($C39,'🔖 배합비 참조'!$B$1:$CE$1,0))/100,0),""))),"")</f>
        <v>0</v>
      </c>
      <c r="Z39" s="39" t="n">
        <f aca="false">IFERROR(IF($C39="","",IF($D39="","",IFERROR(ROUND($D39*INDEX('🔖 배합비 참조'!$B$2:$CE$83,MATCH("녹차가루",'🔖 배합비 참조'!$A$2:$A$83,0),MATCH($C39,'🔖 배합비 참조'!$B$1:$CE$1,0))/100,0),""))),"")</f>
        <v>0</v>
      </c>
      <c r="AA39" s="39" t="n">
        <f aca="false">IFERROR(IF($C39="","",IF($D39="","",IFERROR(ROUND($D39*INDEX('🔖 배합비 참조'!$B$2:$CE$83,MATCH("다크초콜릿 컴파운드칩",'🔖 배합비 참조'!$A$2:$A$83,0),MATCH($C39,'🔖 배합비 참조'!$B$1:$CE$1,0))/100,0),""))),"")</f>
        <v>0</v>
      </c>
      <c r="AB39" s="39" t="n">
        <f aca="false">IFERROR(IF($C39="","",IF($D39="","",IFERROR(ROUND($D39*INDEX('🔖 배합비 참조'!$B$2:$CE$83,MATCH("단호박분말(중국산)",'🔖 배합비 참조'!$A$2:$A$83,0),MATCH($C39,'🔖 배합비 참조'!$B$1:$CE$1,0))/100,0),""))),"")</f>
        <v>0</v>
      </c>
      <c r="AC39" s="39" t="n">
        <f aca="false">IFERROR(IF($C39="","",IF($D39="","",IFERROR(ROUND($D39*INDEX('🔖 배합비 참조'!$B$2:$CE$83,MATCH("당류가공품(단호박농축액)",'🔖 배합비 참조'!$A$2:$A$83,0),MATCH($C39,'🔖 배합비 참조'!$B$1:$CE$1,0))/100,0),""))),"")</f>
        <v>0</v>
      </c>
      <c r="AD39" s="39" t="n">
        <f aca="false">IFERROR(IF($C39="","",IF($D39="","",IFERROR(ROUND($D39*INDEX('🔖 배합비 참조'!$B$2:$CE$83,MATCH("당류가공품(알룰로스,에리스리톨,스테비올배당체혼합)",'🔖 배합비 참조'!$A$2:$A$83,0),MATCH($C39,'🔖 배합비 참조'!$B$1:$CE$1,0))/100,0),""))),"")</f>
        <v>0</v>
      </c>
      <c r="AE39" s="39" t="n">
        <f aca="false">IFERROR(IF($C39="","",IF($D39="","",IFERROR(ROUND($D39*INDEX('🔖 배합비 참조'!$B$2:$CE$83,MATCH("당류가공품(알룰로스제로파우더)",'🔖 배합비 참조'!$A$2:$A$83,0),MATCH($C39,'🔖 배합비 참조'!$B$1:$CE$1,0))/100,0),""))),"")</f>
        <v>0</v>
      </c>
      <c r="AF39" s="39" t="n">
        <f aca="false">IFERROR(IF($C39="","",IF($D39="","",IFERROR(ROUND($D39*INDEX('🔖 배합비 참조'!$B$2:$CE$83,MATCH("당절임(완두배기)",'🔖 배합비 참조'!$A$2:$A$83,0),MATCH($C39,'🔖 배합비 참조'!$B$1:$CE$1,0))/100,0),""))),"")</f>
        <v>0</v>
      </c>
      <c r="AG39" s="39" t="n">
        <f aca="false">IFERROR(IF($C39="","",IF($D39="","",IFERROR(ROUND($D39*INDEX('🔖 배합비 참조'!$B$2:$CE$83,MATCH("대추농축액",'🔖 배합비 참조'!$A$2:$A$83,0),MATCH($C39,'🔖 배합비 참조'!$B$1:$CE$1,0))/100,0),""))),"")</f>
        <v>0</v>
      </c>
      <c r="AH39" s="39" t="n">
        <f aca="false">IFERROR(IF($C39="","",IF($D39="","",IFERROR(ROUND($D39*INDEX('🔖 배합비 참조'!$B$2:$CE$83,MATCH("대추채(국내산)",'🔖 배합비 참조'!$A$2:$A$83,0),MATCH($C39,'🔖 배합비 참조'!$B$1:$CE$1,0))/100,0),""))),"")</f>
        <v>0</v>
      </c>
      <c r="AI39" s="39" t="n">
        <f aca="false">IFERROR(IF($C39="","",IF($D39="","",IFERROR(ROUND($D39*INDEX('🔖 배합비 참조'!$B$2:$CE$83,MATCH("동부(미얀마산)",'🔖 배합비 참조'!$A$2:$A$83,0),MATCH($C39,'🔖 배합비 참조'!$B$1:$CE$1,0))/100,0),""))),"")</f>
        <v>0</v>
      </c>
      <c r="AJ39" s="39" t="n">
        <f aca="false">IFERROR(IF($C39="","",IF($D39="","",IFERROR(ROUND($D39*INDEX('🔖 배합비 참조'!$B$2:$CE$83,MATCH("두류가공품(백옥앙금)",'🔖 배합비 참조'!$A$2:$A$83,0),MATCH($C39,'🔖 배합비 참조'!$B$1:$CE$1,0))/100,0),""))),"")</f>
        <v>0</v>
      </c>
      <c r="AK39" s="39" t="n">
        <f aca="false">IFERROR(IF($C39="","",IF($D39="","",IFERROR(ROUND($D39*INDEX('🔖 배합비 참조'!$B$2:$CE$83,MATCH("두류가공품(콩고물)",'🔖 배합비 참조'!$A$2:$A$83,0),MATCH($C39,'🔖 배합비 참조'!$B$1:$CE$1,0))/100,0),""))),"")</f>
        <v>0</v>
      </c>
      <c r="AL39" s="39" t="n">
        <f aca="false">IFERROR(IF($C39="","",IF($D39="","",IFERROR(ROUND($D39*INDEX('🔖 배합비 참조'!$B$2:$CE$83,MATCH("두류가공품(통팥고물)",'🔖 배합비 참조'!$A$2:$A$83,0),MATCH($C39,'🔖 배합비 참조'!$B$1:$CE$1,0))/100,0),""))),"")</f>
        <v>0</v>
      </c>
      <c r="AM39" s="39" t="n">
        <f aca="false">IFERROR(IF($C39="","",IF($D39="","",IFERROR(ROUND($D39*INDEX('🔖 배합비 참조'!$B$2:$CE$83,MATCH("딸기레진",'🔖 배합비 참조'!$A$2:$A$83,0),MATCH($C39,'🔖 배합비 참조'!$B$1:$CE$1,0))/100,0),""))),"")</f>
        <v>0</v>
      </c>
      <c r="AN39" s="39" t="n">
        <f aca="false">IFERROR(IF($C39="","",IF($D39="","",IFERROR(ROUND($D39*INDEX('🔖 배합비 참조'!$B$2:$CE$83,MATCH("딸기분말(스트로우베리에이드(분말))",'🔖 배합비 참조'!$A$2:$A$83,0),MATCH($C39,'🔖 배합비 참조'!$B$1:$CE$1,0))/100,0),""))),"")</f>
        <v>0</v>
      </c>
      <c r="AO39" s="39" t="n">
        <f aca="false">IFERROR(IF($C39="","",IF($D39="","",IFERROR(ROUND($D39*INDEX('🔖 배합비 참조'!$B$2:$CE$83,MATCH("마스카포네치즈",'🔖 배합비 참조'!$A$2:$A$83,0),MATCH($C39,'🔖 배합비 참조'!$B$1:$CE$1,0))/100,0),""))),"")</f>
        <v>0</v>
      </c>
      <c r="AP39" s="39" t="n">
        <f aca="false">IFERROR(IF($C39="","",IF($D39="","",IFERROR(ROUND($D39*INDEX('🔖 배합비 참조'!$B$2:$CE$83,MATCH("마카다미아분태(호주산)",'🔖 배합비 참조'!$A$2:$A$83,0),MATCH($C39,'🔖 배합비 참조'!$B$1:$CE$1,0))/100,0),""))),"")</f>
        <v>0</v>
      </c>
      <c r="AQ39" s="39" t="n">
        <f aca="false">IFERROR(IF($C39="","",IF($D39="","",IFERROR(ROUND($D39*INDEX('🔖 배합비 참조'!$B$2:$CE$83,MATCH("멥쌀(국내산)",'🔖 배합비 참조'!$A$2:$A$83,0),MATCH($C39,'🔖 배합비 참조'!$B$1:$CE$1,0))/100,0),""))),"")</f>
        <v>120</v>
      </c>
      <c r="AR39" s="39" t="n">
        <f aca="false">IFERROR(IF($C39="","",IF($D39="","",IFERROR(ROUND($D39*INDEX('🔖 배합비 참조'!$B$2:$CE$83,MATCH("모시잎(국내산)",'🔖 배합비 참조'!$A$2:$A$83,0),MATCH($C39,'🔖 배합비 참조'!$B$1:$CE$1,0))/100,0),""))),"")</f>
        <v>0</v>
      </c>
      <c r="AS39" s="39" t="n">
        <f aca="false">IFERROR(IF($C39="","",IF($D39="","",IFERROR(ROUND($D39*INDEX('🔖 배합비 참조'!$B$2:$CE$83,MATCH("물엿(저당물엿)",'🔖 배합비 참조'!$A$2:$A$83,0),MATCH($C39,'🔖 배합비 참조'!$B$1:$CE$1,0))/100,0),""))),"")</f>
        <v>0</v>
      </c>
      <c r="AT39" s="39" t="n">
        <f aca="false">IFERROR(IF($C39="","",IF($D39="","",IFERROR(ROUND($D39*INDEX('🔖 배합비 참조'!$B$2:$CE$83,MATCH("밤다이스",'🔖 배합비 참조'!$A$2:$A$83,0),MATCH($C39,'🔖 배합비 참조'!$B$1:$CE$1,0))/100,0),""))),"")</f>
        <v>0</v>
      </c>
      <c r="AU39" s="39" t="n">
        <f aca="false">IFERROR(IF($C39="","",IF($D39="","",IFERROR(ROUND($D39*INDEX('🔖 배합비 참조'!$B$2:$CE$83,MATCH("변성전분(타피오카전분)",'🔖 배합비 참조'!$A$2:$A$83,0),MATCH($C39,'🔖 배합비 참조'!$B$1:$CE$1,0))/100,0),""))),"")</f>
        <v>0</v>
      </c>
      <c r="AV39" s="39" t="n">
        <f aca="false">IFERROR(IF($C39="","",IF($D39="","",IFERROR(ROUND($D39*INDEX('🔖 배합비 참조'!$B$2:$CE$83,MATCH("복음땅콩분태",'🔖 배합비 참조'!$A$2:$A$83,0),MATCH($C39,'🔖 배합비 참조'!$B$1:$CE$1,0))/100,0),""))),"")</f>
        <v>0</v>
      </c>
      <c r="AW39" s="39" t="n">
        <f aca="false">IFERROR(IF($C39="","",IF($D39="","",IFERROR(ROUND($D39*INDEX('🔖 배합비 참조'!$B$2:$CE$83,MATCH("사양벌꿀(국내산)",'🔖 배합비 참조'!$A$2:$A$83,0),MATCH($C39,'🔖 배합비 참조'!$B$1:$CE$1,0))/100,0),""))),"")</f>
        <v>0</v>
      </c>
      <c r="AX39" s="39" t="n">
        <f aca="false">IFERROR(IF($C39="","",IF($D39="","",IFERROR(ROUND($D39*INDEX('🔖 배합비 참조'!$B$2:$CE$83,MATCH("생크림",'🔖 배합비 참조'!$A$2:$A$83,0),MATCH($C39,'🔖 배합비 참조'!$B$1:$CE$1,0))/100,0),""))),"")</f>
        <v>0</v>
      </c>
      <c r="AY39" s="39" t="n">
        <f aca="false">IFERROR(IF($C39="","",IF($D39="","",IFERROR(ROUND($D39*INDEX('🔖 배합비 참조'!$B$2:$CE$83,MATCH("서양호박(국내산,뉴질랜드산)",'🔖 배합비 참조'!$A$2:$A$83,0),MATCH($C39,'🔖 배합비 참조'!$B$1:$CE$1,0))/100,0),""))),"")</f>
        <v>0</v>
      </c>
      <c r="AZ39" s="39" t="n">
        <f aca="false">IFERROR(IF($C39="","",IF($D39="","",IFERROR(ROUND($D39*INDEX('🔖 배합비 참조'!$B$2:$CE$83,MATCH("설탕",'🔖 배합비 참조'!$A$2:$A$83,0),MATCH($C39,'🔖 배합비 참조'!$B$1:$CE$1,0))/100,0),""))),"")</f>
        <v>19</v>
      </c>
      <c r="BA39" s="39" t="n">
        <f aca="false">IFERROR(IF($C39="","",IF($D39="","",IFERROR(ROUND($D39*INDEX('🔖 배합비 참조'!$B$2:$CE$83,MATCH("스트로우베리 에이드 후레쉬",'🔖 배합비 참조'!$A$2:$A$83,0),MATCH($C39,'🔖 배합비 참조'!$B$1:$CE$1,0))/100,0),""))),"")</f>
        <v>0</v>
      </c>
      <c r="BB39" s="39" t="n">
        <f aca="false">IFERROR(IF($C39="","",IF($D39="","",IFERROR(ROUND($D39*INDEX('🔖 배합비 참조'!$B$2:$CE$83,MATCH("식물성기름혼합제제(분홍)",'🔖 배합비 참조'!$A$2:$A$83,0),MATCH($C39,'🔖 배합비 참조'!$B$1:$CE$1,0))/100,0),""))),"")</f>
        <v>0</v>
      </c>
      <c r="BC39" s="39" t="n">
        <f aca="false">IFERROR(IF($C39="","",IF($D39="","",IFERROR(ROUND($D39*INDEX('🔖 배합비 참조'!$B$2:$CE$83,MATCH("식물성기름혼합제제(초록)",'🔖 배합비 참조'!$A$2:$A$83,0),MATCH($C39,'🔖 배합비 참조'!$B$1:$CE$1,0))/100,0),""))),"")</f>
        <v>0</v>
      </c>
      <c r="BD39" s="39" t="n">
        <f aca="false">IFERROR(IF($C39="","",IF($D39="","",IFERROR(ROUND($D39*INDEX('🔖 배합비 참조'!$B$2:$CE$83,MATCH("식물성기름혼합제제(황색)",'🔖 배합비 참조'!$A$2:$A$83,0),MATCH($C39,'🔖 배합비 참조'!$B$1:$CE$1,0))/100,0),""))),"")</f>
        <v>0</v>
      </c>
      <c r="BE39" s="39" t="n">
        <f aca="false">IFERROR(IF($C39="","",IF($D39="","",IFERROR(ROUND($D39*INDEX('🔖 배합비 참조'!$B$2:$CE$83,MATCH("쑥가루(국내산)",'🔖 배합비 참조'!$A$2:$A$83,0),MATCH($C39,'🔖 배합비 참조'!$B$1:$CE$1,0))/100,0),""))),"")</f>
        <v>0</v>
      </c>
      <c r="BF39" s="39" t="n">
        <f aca="false">IFERROR(IF($C39="","",IF($D39="","",IFERROR(ROUND($D39*INDEX('🔖 배합비 참조'!$B$2:$CE$83,MATCH("아몬드슬라이스",'🔖 배합비 참조'!$A$2:$A$83,0),MATCH($C39,'🔖 배합비 참조'!$B$1:$CE$1,0))/100,0),""))),"")</f>
        <v>0</v>
      </c>
      <c r="BG39" s="39" t="n">
        <f aca="false">IFERROR(IF($C39="","",IF($D39="","",IFERROR(ROUND($D39*INDEX('🔖 배합비 참조'!$B$2:$CE$83,MATCH("알룰로오스(국내산)",'🔖 배합비 참조'!$A$2:$A$83,0),MATCH($C39,'🔖 배합비 참조'!$B$1:$CE$1,0))/100,0),""))),"")</f>
        <v>0</v>
      </c>
      <c r="BH39" s="39" t="n">
        <f aca="false">IFERROR(IF($C39="","",IF($D39="","",IFERROR(ROUND($D39*INDEX('🔖 배합비 참조'!$B$2:$CE$83,MATCH("연유",'🔖 배합비 참조'!$A$2:$A$83,0),MATCH($C39,'🔖 배합비 참조'!$B$1:$CE$1,0))/100,0),""))),"")</f>
        <v>0</v>
      </c>
      <c r="BI39" s="39" t="n">
        <f aca="false">IFERROR(IF($C39="","",IF($D39="","",IFERROR(ROUND($D39*INDEX('🔖 배합비 참조'!$B$2:$CE$83,MATCH("옥수수전분",'🔖 배합비 참조'!$A$2:$A$83,0),MATCH($C39,'🔖 배합비 참조'!$B$1:$CE$1,0))/100,0),""))),"")</f>
        <v>0</v>
      </c>
      <c r="BJ39" s="39" t="n">
        <f aca="false">IFERROR(IF($C39="","",IF($D39="","",IFERROR(ROUND($D39*INDEX('🔖 배합비 참조'!$B$2:$CE$83,MATCH("완두배기",'🔖 배합비 참조'!$A$2:$A$83,0),MATCH($C39,'🔖 배합비 참조'!$B$1:$CE$1,0))/100,0),""))),"")</f>
        <v>0</v>
      </c>
      <c r="BK39" s="39" t="n">
        <f aca="false">IFERROR(IF($C39="","",IF($D39="","",IFERROR(ROUND($D39*INDEX('🔖 배합비 참조'!$B$2:$CE$83,MATCH("우유(국내산)",'🔖 배합비 참조'!$A$2:$A$83,0),MATCH($C39,'🔖 배합비 참조'!$B$1:$CE$1,0))/100,0),""))),"")</f>
        <v>16</v>
      </c>
      <c r="BL39" s="39" t="n">
        <f aca="false">IFERROR(IF($C39="","",IF($D39="","",IFERROR(ROUND($D39*INDEX('🔖 배합비 참조'!$B$2:$CE$83,MATCH("자색고구마가루(중국산)",'🔖 배합비 참조'!$A$2:$A$83,0),MATCH($C39,'🔖 배합비 참조'!$B$1:$CE$1,0))/100,0),""))),"")</f>
        <v>0</v>
      </c>
      <c r="BM39" s="39" t="n">
        <f aca="false">IFERROR(IF($C39="","",IF($D39="","",IFERROR(ROUND($D39*INDEX('🔖 배합비 참조'!$B$2:$CE$83,MATCH("자연치즈(체다치즈)",'🔖 배합비 참조'!$A$2:$A$83,0),MATCH($C39,'🔖 배합비 참조'!$B$1:$CE$1,0))/100,0),""))),"")</f>
        <v>0</v>
      </c>
      <c r="BN39" s="39" t="n">
        <f aca="false">IFERROR(IF($C39="","",IF($D39="","",IFERROR(ROUND($D39*INDEX('🔖 배합비 참조'!$B$2:$CE$83,MATCH("정제수",'🔖 배합비 참조'!$A$2:$A$83,0),MATCH($C39,'🔖 배합비 참조'!$B$1:$CE$1,0))/100,0),""))),"")</f>
        <v>16</v>
      </c>
      <c r="BO39" s="39" t="n">
        <f aca="false">IFERROR(IF($C39="","",IF($D39="","",IFERROR(ROUND($D39*INDEX('🔖 배합비 참조'!$B$2:$CE$83,MATCH("젤라틴",'🔖 배합비 참조'!$A$2:$A$83,0),MATCH($C39,'🔖 배합비 참조'!$B$1:$CE$1,0))/100,0),""))),"")</f>
        <v>0</v>
      </c>
      <c r="BP39" s="39" t="n">
        <f aca="false">IFERROR(IF($C39="","",IF($D39="","",IFERROR(ROUND($D39*INDEX('🔖 배합비 참조'!$B$2:$CE$83,MATCH("조림류(백옥앙금)",'🔖 배합비 참조'!$A$2:$A$83,0),MATCH($C39,'🔖 배합비 참조'!$B$1:$CE$1,0))/100,0),""))),"")</f>
        <v>0</v>
      </c>
      <c r="BQ39" s="39" t="n">
        <f aca="false">IFERROR(IF($C39="","",IF($D39="","",IFERROR(ROUND($D39*INDEX('🔖 배합비 참조'!$B$2:$CE$83,MATCH("조림류(통팥앙금)",'🔖 배합비 참조'!$A$2:$A$83,0),MATCH($C39,'🔖 배합비 참조'!$B$1:$CE$1,0))/100,0),""))),"")</f>
        <v>0</v>
      </c>
      <c r="BR39" s="39" t="n">
        <f aca="false">IFERROR(IF($C39="","",IF($D39="","",IFERROR(ROUND($D39*INDEX('🔖 배합비 참조'!$B$2:$CE$83,MATCH("준초콜릿(외국산)",'🔖 배합비 참조'!$A$2:$A$83,0),MATCH($C39,'🔖 배합비 참조'!$B$1:$CE$1,0))/100,0),""))),"")</f>
        <v>0</v>
      </c>
      <c r="BS39" s="39" t="n">
        <f aca="false">IFERROR(IF($C39="","",IF($D39="","",IFERROR(ROUND($D39*INDEX('🔖 배합비 참조'!$B$2:$CE$83,MATCH("중력분",'🔖 배합비 참조'!$A$2:$A$83,0),MATCH($C39,'🔖 배합비 참조'!$B$1:$CE$1,0))/100,0),""))),"")</f>
        <v>0</v>
      </c>
      <c r="BT39" s="39" t="n">
        <f aca="false">IFERROR(IF($C39="","",IF($D39="","",IFERROR(ROUND($D39*INDEX('🔖 배합비 참조'!$B$2:$CE$83,MATCH("참깨(인도산,나이지리아산,탄자니아산,미얀마산)",'🔖 배합비 참조'!$A$2:$A$83,0),MATCH($C39,'🔖 배합비 참조'!$B$1:$CE$1,0))/100,0),""))),"")</f>
        <v>0</v>
      </c>
      <c r="BU39" s="39" t="n">
        <f aca="false">IFERROR(IF($C39="","",IF($D39="","",IFERROR(ROUND($D39*INDEX('🔖 배합비 참조'!$B$2:$CE$83,MATCH("찹쌀(국내산)",'🔖 배합비 참조'!$A$2:$A$83,0),MATCH($C39,'🔖 배합비 참조'!$B$1:$CE$1,0))/100,0),""))),"")</f>
        <v>0</v>
      </c>
      <c r="BV39" s="39" t="n">
        <f aca="false">IFERROR(IF($C39="","",IF($D39="","",IFERROR(ROUND($D39*INDEX('🔖 배합비 참조'!$B$2:$CE$83,MATCH("천일염",'🔖 배합비 참조'!$A$2:$A$83,0),MATCH($C39,'🔖 배합비 참조'!$B$1:$CE$1,0))/100,0),""))),"")</f>
        <v>2</v>
      </c>
      <c r="BW39" s="39" t="n">
        <f aca="false">IFERROR(IF($C39="","",IF($D39="","",IFERROR(ROUND($D39*INDEX('🔖 배합비 참조'!$B$2:$CE$83,MATCH("치즈 [크림치즈]",'🔖 배합비 참조'!$A$2:$A$83,0),MATCH($C39,'🔖 배합비 참조'!$B$1:$CE$1,0))/100,0),""))),"")</f>
        <v>0</v>
      </c>
      <c r="BX39" s="39" t="n">
        <f aca="false">IFERROR(IF($C39="","",IF($D39="","",IFERROR(ROUND($D39*INDEX('🔖 배합비 참조'!$B$2:$CE$83,MATCH("코코아가공품류(코코아분말)",'🔖 배합비 참조'!$A$2:$A$83,0),MATCH($C39,'🔖 배합비 참조'!$B$1:$CE$1,0))/100,0),""))),"")</f>
        <v>0</v>
      </c>
      <c r="BY39" s="39" t="n">
        <f aca="false">IFERROR(IF($C39="","",IF($D39="","",IFERROR(ROUND($D39*INDEX('🔖 배합비 참조'!$B$2:$CE$83,MATCH("콩기름(대두유)",'🔖 배합비 참조'!$A$2:$A$83,0),MATCH($C39,'🔖 배합비 참조'!$B$1:$CE$1,0))/100,0),""))),"")</f>
        <v>0</v>
      </c>
      <c r="BZ39" s="39" t="n">
        <f aca="false">IFERROR(IF($C39="","",IF($D39="","",IFERROR(ROUND($D39*INDEX('🔖 배합비 참조'!$B$2:$CE$83,MATCH("해바라기씨앗",'🔖 배합비 참조'!$A$2:$A$83,0),MATCH($C39,'🔖 배합비 참조'!$B$1:$CE$1,0))/100,0),""))),"")</f>
        <v>0</v>
      </c>
      <c r="CA39" s="39" t="n">
        <f aca="false">IFERROR(IF($C39="","",IF($D39="","",IFERROR(ROUND($D39*INDEX('🔖 배합비 참조'!$B$2:$CE$83,MATCH("현미(국내산)",'🔖 배합비 참조'!$A$2:$A$83,0),MATCH($C39,'🔖 배합비 참조'!$B$1:$CE$1,0))/100,0),""))),"")</f>
        <v>0</v>
      </c>
      <c r="CB39" s="39" t="n">
        <f aca="false">IFERROR(IF($C39="","",IF($D39="","",IFERROR(ROUND($D39*INDEX('🔖 배합비 참조'!$B$2:$CE$83,MATCH("현미멥쌀(국내산)",'🔖 배합비 참조'!$A$2:$A$83,0),MATCH($C39,'🔖 배합비 참조'!$B$1:$CE$1,0))/100,0),""))),"")</f>
        <v>0</v>
      </c>
      <c r="CC39" s="39" t="n">
        <f aca="false">IFERROR(IF($C39="","",IF($D39="","",IFERROR(ROUND($D39*INDEX('🔖 배합비 참조'!$B$2:$CE$83,MATCH("호두분태(미국산)",'🔖 배합비 참조'!$A$2:$A$83,0),MATCH($C39,'🔖 배합비 참조'!$B$1:$CE$1,0))/100,0),""))),"")</f>
        <v>0</v>
      </c>
      <c r="CD39" s="39" t="n">
        <f aca="false">IFERROR(IF($C39="","",IF($D39="","",IFERROR(ROUND($D39*INDEX('🔖 배합비 참조'!$B$2:$CE$83,MATCH("호박씨앗(외국산)",'🔖 배합비 참조'!$A$2:$A$83,0),MATCH($C39,'🔖 배합비 참조'!$B$1:$CE$1,0))/100,0),""))),"")</f>
        <v>0</v>
      </c>
      <c r="CE39" s="39" t="n">
        <f aca="false">IFERROR(IF($C39="","",IF($D39="","",IFERROR(ROUND($D39*INDEX('🔖 배합비 참조'!$B$2:$CE$83,MATCH("혼합제제(떡용에스텔)",'🔖 배합비 참조'!$A$2:$A$83,0),MATCH($C39,'🔖 배합비 참조'!$B$1:$CE$1,0))/100,0),""))),"")</f>
        <v>0</v>
      </c>
      <c r="CF39" s="39" t="n">
        <f aca="false">IFERROR(IF($C39="","",IF($D39="","",IFERROR(ROUND($D39*INDEX('🔖 배합비 참조'!$B$2:$CE$83,MATCH("혼합제제(스테비아)",'🔖 배합비 참조'!$A$2:$A$83,0),MATCH($C39,'🔖 배합비 참조'!$B$1:$CE$1,0))/100,0),""))),"")</f>
        <v>0</v>
      </c>
      <c r="CG39" s="39" t="n">
        <f aca="false">IFERROR(IF($C39="","",IF($D39="","",IFERROR(ROUND($D39*INDEX('🔖 배합비 참조'!$B$2:$CE$83,MATCH("화이트초콜릿",'🔖 배합비 참조'!$A$2:$A$83,0),MATCH($C39,'🔖 배합비 참조'!$B$1:$CE$1,0))/100,0),""))),"")</f>
        <v>0</v>
      </c>
      <c r="CH39" s="39" t="n">
        <f aca="false">IFERROR(IF($C39="","",IF($D39="","",IFERROR(ROUND($D39*INDEX('🔖 배합비 참조'!$B$2:$CE$83,MATCH("흑미찹쌀(국내산)",'🔖 배합비 참조'!$A$2:$A$83,0),MATCH($C39,'🔖 배합비 참조'!$B$1:$CE$1,0))/100,0),""))),"")</f>
        <v>0</v>
      </c>
      <c r="CI39" s="39" t="n">
        <f aca="false">IFERROR(IF($C39="","",IF($D39="","",IFERROR(ROUND($D39*INDEX('🔖 배합비 참조'!$B$2:$CE$83,MATCH("찰옥수수전분(미국산)",'🔖 배합비 참조'!$A$2:$A$83,0),MATCH($C39,'🔖 배합비 참조'!$B$1:$CE$1,0))/100,0),""))),"")</f>
        <v>0</v>
      </c>
      <c r="CJ39" s="40"/>
      <c r="CL39" s="1" t="s">
        <v>235</v>
      </c>
    </row>
    <row r="40" customFormat="false" ht="18" hidden="false" customHeight="true" outlineLevel="0" collapsed="false">
      <c r="A40" s="41" t="n">
        <v>36</v>
      </c>
      <c r="B40" s="36" t="n">
        <v>45961</v>
      </c>
      <c r="C40" s="37" t="s">
        <v>143</v>
      </c>
      <c r="D40" s="38" t="n">
        <v>322.5</v>
      </c>
      <c r="E40" s="17"/>
      <c r="F40" s="17"/>
      <c r="G40" s="42" t="n">
        <f aca="false">IFERROR(IF($C40="","",IF($D40="","",IFERROR(ROUND($D40*INDEX('🔖 배합비 참조'!$B$2:$CE$83,MATCH("간장",'🔖 배합비 참조'!$A$2:$A$83,0),MATCH($C40,'🔖 배합비 참조'!$B$1:$CE$1,0))/100,0),""))),"")</f>
        <v>0</v>
      </c>
      <c r="H40" s="42" t="n">
        <f aca="false">IFERROR(IF($C40="","",IF($D40="","",IFERROR(ROUND($D40*INDEX('🔖 배합비 참조'!$B$2:$CE$83,MATCH("강낭콩((울타리콩))",'🔖 배합비 참조'!$A$2:$A$83,0),MATCH($C40,'🔖 배합비 참조'!$B$1:$CE$1,0))/100,0),""))),"")</f>
        <v>0</v>
      </c>
      <c r="I40" s="42" t="n">
        <f aca="false">IFERROR(IF($C40="","",IF($D40="","",IFERROR(ROUND($D40*INDEX('🔖 배합비 참조'!$B$2:$CE$83,MATCH("건조딸기다이스(외국산)",'🔖 배합비 참조'!$A$2:$A$83,0),MATCH($C40,'🔖 배합비 참조'!$B$1:$CE$1,0))/100,0),""))),"")</f>
        <v>0</v>
      </c>
      <c r="J40" s="42" t="n">
        <f aca="false">IFERROR(IF($C40="","",IF($D40="","",IFERROR(ROUND($D40*INDEX('🔖 배합비 참조'!$B$2:$CE$83,MATCH("건포도",'🔖 배합비 참조'!$A$2:$A$83,0),MATCH($C40,'🔖 배합비 참조'!$B$1:$CE$1,0))/100,0),""))),"")</f>
        <v>0</v>
      </c>
      <c r="K40" s="42" t="n">
        <f aca="false">IFERROR(IF($C40="","",IF($D40="","",IFERROR(ROUND($D40*INDEX('🔖 배합비 참조'!$B$2:$CE$83,MATCH("건호박채(중국산)",'🔖 배합비 참조'!$A$2:$A$83,0),MATCH($C40,'🔖 배합비 참조'!$B$1:$CE$1,0))/100,0),""))),"")</f>
        <v>0</v>
      </c>
      <c r="L40" s="42" t="n">
        <f aca="false">IFERROR(IF($C40="","",IF($D40="","",IFERROR(ROUND($D40*INDEX('🔖 배합비 참조'!$B$2:$CE$83,MATCH("검정깨(흑임자)",'🔖 배합비 참조'!$A$2:$A$83,0),MATCH($C40,'🔖 배합비 참조'!$B$1:$CE$1,0))/100,0),""))),"")</f>
        <v>0</v>
      </c>
      <c r="M40" s="42" t="n">
        <f aca="false">IFERROR(IF($C40="","",IF($D40="","",IFERROR(ROUND($D40*INDEX('🔖 배합비 참조'!$B$2:$CE$83,MATCH("검정콩",'🔖 배합비 참조'!$A$2:$A$83,0),MATCH($C40,'🔖 배합비 참조'!$B$1:$CE$1,0))/100,0),""))),"")</f>
        <v>0</v>
      </c>
      <c r="N40" s="42" t="n">
        <f aca="false">IFERROR(IF($C40="","",IF($D40="","",IFERROR(ROUND($D40*INDEX('🔖 배합비 참조'!$B$2:$CE$83,MATCH("계피가루",'🔖 배합비 참조'!$A$2:$A$83,0),MATCH($C40,'🔖 배합비 참조'!$B$1:$CE$1,0))/100,0),""))),"")</f>
        <v>0</v>
      </c>
      <c r="O40" s="42" t="n">
        <f aca="false">IFERROR(IF($C40="","",IF($D40="","",IFERROR(ROUND($D40*INDEX('🔖 배합비 참조'!$B$2:$CE$83,MATCH("고구마가루",'🔖 배합비 참조'!$A$2:$A$83,0),MATCH($C40,'🔖 배합비 참조'!$B$1:$CE$1,0))/100,0),""))),"")</f>
        <v>0</v>
      </c>
      <c r="P40" s="42" t="n">
        <f aca="false">IFERROR(IF($C40="","",IF($D40="","",IFERROR(ROUND($D40*INDEX('🔖 배합비 참조'!$B$2:$CE$83,MATCH("고구마무스",'🔖 배합비 참조'!$A$2:$A$83,0),MATCH($C40,'🔖 배합비 참조'!$B$1:$CE$1,0))/100,0),""))),"")</f>
        <v>0</v>
      </c>
      <c r="Q40" s="42" t="n">
        <f aca="false">IFERROR(IF($C40="","",IF($D40="","",IFERROR(ROUND($D40*INDEX('🔖 배합비 참조'!$B$2:$CE$83,MATCH("고려엉겅퀴((곤드레)국내산)",'🔖 배합비 참조'!$A$2:$A$83,0),MATCH($C40,'🔖 배합비 참조'!$B$1:$CE$1,0))/100,0),""))),"")</f>
        <v>0</v>
      </c>
      <c r="R40" s="42" t="n">
        <f aca="false">IFERROR(IF($C40="","",IF($D40="","",IFERROR(ROUND($D40*INDEX('🔖 배합비 참조'!$B$2:$CE$83,MATCH("기타가공품(복분자가루)",'🔖 배합비 참조'!$A$2:$A$83,0),MATCH($C40,'🔖 배합비 참조'!$B$1:$CE$1,0))/100,0),""))),"")</f>
        <v>0</v>
      </c>
      <c r="S40" s="42" t="n">
        <f aca="false">IFERROR(IF($C40="","",IF($D40="","",IFERROR(ROUND($D40*INDEX('🔖 배합비 참조'!$B$2:$CE$83,MATCH("기타가공품(슈퍼소프트엠)",'🔖 배합비 참조'!$A$2:$A$83,0),MATCH($C40,'🔖 배합비 참조'!$B$1:$CE$1,0))/100,0),""))),"")</f>
        <v>0</v>
      </c>
      <c r="T40" s="42" t="n">
        <f aca="false">IFERROR(IF($C40="","",IF($D40="","",IFERROR(ROUND($D40*INDEX('🔖 배합비 참조'!$B$2:$CE$83,MATCH("기타가공품(파인소프트 E-티)",'🔖 배합비 참조'!$A$2:$A$83,0),MATCH($C40,'🔖 배합비 참조'!$B$1:$CE$1,0))/100,0),""))),"")</f>
        <v>0</v>
      </c>
      <c r="U40" s="42" t="n">
        <f aca="false">IFERROR(IF($C40="","",IF($D40="","",IFERROR(ROUND($D40*INDEX('🔖 배합비 참조'!$B$2:$CE$83,MATCH("기타가공품(프리미엄카스테라가루)",'🔖 배합비 참조'!$A$2:$A$83,0),MATCH($C40,'🔖 배합비 참조'!$B$1:$CE$1,0))/100,0),""))),"")</f>
        <v>0</v>
      </c>
      <c r="V40" s="42" t="n">
        <f aca="false">IFERROR(IF($C40="","",IF($D40="","",IFERROR(ROUND($D40*INDEX('🔖 배합비 참조'!$B$2:$CE$83,MATCH("기타가공품(흑임자가루)",'🔖 배합비 참조'!$A$2:$A$83,0),MATCH($C40,'🔖 배합비 참조'!$B$1:$CE$1,0))/100,0),""))),"")</f>
        <v>0</v>
      </c>
      <c r="W40" s="42" t="n">
        <f aca="false">IFERROR(IF($C40="","",IF($D40="","",IFERROR(ROUND($D40*INDEX('🔖 배합비 참조'!$B$2:$CE$83,MATCH("기타설탕(흑설탕)",'🔖 배합비 참조'!$A$2:$A$83,0),MATCH($C40,'🔖 배합비 참조'!$B$1:$CE$1,0))/100,0),""))),"")</f>
        <v>27</v>
      </c>
      <c r="X40" s="42" t="n">
        <f aca="false">IFERROR(IF($C40="","",IF($D40="","",IFERROR(ROUND($D40*INDEX('🔖 배합비 참조'!$B$2:$CE$83,MATCH("냉동쑥(국내산)",'🔖 배합비 참조'!$A$2:$A$83,0),MATCH($C40,'🔖 배합비 참조'!$B$1:$CE$1,0))/100,0),""))),"")</f>
        <v>0</v>
      </c>
      <c r="Y40" s="42" t="n">
        <f aca="false">IFERROR(IF($C40="","",IF($D40="","",IFERROR(ROUND($D40*INDEX('🔖 배합비 참조'!$B$2:$CE$83,MATCH("냉동증숙고구마(중국산)",'🔖 배합비 참조'!$A$2:$A$83,0),MATCH($C40,'🔖 배합비 참조'!$B$1:$CE$1,0))/100,0),""))),"")</f>
        <v>0</v>
      </c>
      <c r="Z40" s="42" t="n">
        <f aca="false">IFERROR(IF($C40="","",IF($D40="","",IFERROR(ROUND($D40*INDEX('🔖 배합비 참조'!$B$2:$CE$83,MATCH("녹차가루",'🔖 배합비 참조'!$A$2:$A$83,0),MATCH($C40,'🔖 배합비 참조'!$B$1:$CE$1,0))/100,0),""))),"")</f>
        <v>0</v>
      </c>
      <c r="AA40" s="42" t="n">
        <f aca="false">IFERROR(IF($C40="","",IF($D40="","",IFERROR(ROUND($D40*INDEX('🔖 배합비 참조'!$B$2:$CE$83,MATCH("다크초콜릿 컴파운드칩",'🔖 배합비 참조'!$A$2:$A$83,0),MATCH($C40,'🔖 배합비 참조'!$B$1:$CE$1,0))/100,0),""))),"")</f>
        <v>0</v>
      </c>
      <c r="AB40" s="42" t="n">
        <f aca="false">IFERROR(IF($C40="","",IF($D40="","",IFERROR(ROUND($D40*INDEX('🔖 배합비 참조'!$B$2:$CE$83,MATCH("단호박분말(중국산)",'🔖 배합비 참조'!$A$2:$A$83,0),MATCH($C40,'🔖 배합비 참조'!$B$1:$CE$1,0))/100,0),""))),"")</f>
        <v>0</v>
      </c>
      <c r="AC40" s="42" t="n">
        <f aca="false">IFERROR(IF($C40="","",IF($D40="","",IFERROR(ROUND($D40*INDEX('🔖 배합비 참조'!$B$2:$CE$83,MATCH("당류가공품(단호박농축액)",'🔖 배합비 참조'!$A$2:$A$83,0),MATCH($C40,'🔖 배합비 참조'!$B$1:$CE$1,0))/100,0),""))),"")</f>
        <v>0</v>
      </c>
      <c r="AD40" s="42" t="n">
        <f aca="false">IFERROR(IF($C40="","",IF($D40="","",IFERROR(ROUND($D40*INDEX('🔖 배합비 참조'!$B$2:$CE$83,MATCH("당류가공품(알룰로스,에리스리톨,스테비올배당체혼합)",'🔖 배합비 참조'!$A$2:$A$83,0),MATCH($C40,'🔖 배합비 참조'!$B$1:$CE$1,0))/100,0),""))),"")</f>
        <v>0</v>
      </c>
      <c r="AE40" s="42" t="n">
        <f aca="false">IFERROR(IF($C40="","",IF($D40="","",IFERROR(ROUND($D40*INDEX('🔖 배합비 참조'!$B$2:$CE$83,MATCH("당류가공품(알룰로스제로파우더)",'🔖 배합비 참조'!$A$2:$A$83,0),MATCH($C40,'🔖 배합비 참조'!$B$1:$CE$1,0))/100,0),""))),"")</f>
        <v>0</v>
      </c>
      <c r="AF40" s="42" t="n">
        <f aca="false">IFERROR(IF($C40="","",IF($D40="","",IFERROR(ROUND($D40*INDEX('🔖 배합비 참조'!$B$2:$CE$83,MATCH("당절임(완두배기)",'🔖 배합비 참조'!$A$2:$A$83,0),MATCH($C40,'🔖 배합비 참조'!$B$1:$CE$1,0))/100,0),""))),"")</f>
        <v>0</v>
      </c>
      <c r="AG40" s="42" t="n">
        <f aca="false">IFERROR(IF($C40="","",IF($D40="","",IFERROR(ROUND($D40*INDEX('🔖 배합비 참조'!$B$2:$CE$83,MATCH("대추농축액",'🔖 배합비 참조'!$A$2:$A$83,0),MATCH($C40,'🔖 배합비 참조'!$B$1:$CE$1,0))/100,0),""))),"")</f>
        <v>0</v>
      </c>
      <c r="AH40" s="42" t="n">
        <f aca="false">IFERROR(IF($C40="","",IF($D40="","",IFERROR(ROUND($D40*INDEX('🔖 배합비 참조'!$B$2:$CE$83,MATCH("대추채(국내산)",'🔖 배합비 참조'!$A$2:$A$83,0),MATCH($C40,'🔖 배합비 참조'!$B$1:$CE$1,0))/100,0),""))),"")</f>
        <v>0</v>
      </c>
      <c r="AI40" s="42" t="n">
        <f aca="false">IFERROR(IF($C40="","",IF($D40="","",IFERROR(ROUND($D40*INDEX('🔖 배합비 참조'!$B$2:$CE$83,MATCH("동부(미얀마산)",'🔖 배합비 참조'!$A$2:$A$83,0),MATCH($C40,'🔖 배합비 참조'!$B$1:$CE$1,0))/100,0),""))),"")</f>
        <v>0</v>
      </c>
      <c r="AJ40" s="42" t="n">
        <f aca="false">IFERROR(IF($C40="","",IF($D40="","",IFERROR(ROUND($D40*INDEX('🔖 배합비 참조'!$B$2:$CE$83,MATCH("두류가공품(백옥앙금)",'🔖 배합비 참조'!$A$2:$A$83,0),MATCH($C40,'🔖 배합비 참조'!$B$1:$CE$1,0))/100,0),""))),"")</f>
        <v>0</v>
      </c>
      <c r="AK40" s="42" t="n">
        <f aca="false">IFERROR(IF($C40="","",IF($D40="","",IFERROR(ROUND($D40*INDEX('🔖 배합비 참조'!$B$2:$CE$83,MATCH("두류가공품(콩고물)",'🔖 배합비 참조'!$A$2:$A$83,0),MATCH($C40,'🔖 배합비 참조'!$B$1:$CE$1,0))/100,0),""))),"")</f>
        <v>0</v>
      </c>
      <c r="AL40" s="42" t="n">
        <f aca="false">IFERROR(IF($C40="","",IF($D40="","",IFERROR(ROUND($D40*INDEX('🔖 배합비 참조'!$B$2:$CE$83,MATCH("두류가공품(통팥고물)",'🔖 배합비 참조'!$A$2:$A$83,0),MATCH($C40,'🔖 배합비 참조'!$B$1:$CE$1,0))/100,0),""))),"")</f>
        <v>0</v>
      </c>
      <c r="AM40" s="42" t="n">
        <f aca="false">IFERROR(IF($C40="","",IF($D40="","",IFERROR(ROUND($D40*INDEX('🔖 배합비 참조'!$B$2:$CE$83,MATCH("딸기레진",'🔖 배합비 참조'!$A$2:$A$83,0),MATCH($C40,'🔖 배합비 참조'!$B$1:$CE$1,0))/100,0),""))),"")</f>
        <v>0</v>
      </c>
      <c r="AN40" s="42" t="n">
        <f aca="false">IFERROR(IF($C40="","",IF($D40="","",IFERROR(ROUND($D40*INDEX('🔖 배합비 참조'!$B$2:$CE$83,MATCH("딸기분말(스트로우베리에이드(분말))",'🔖 배합비 참조'!$A$2:$A$83,0),MATCH($C40,'🔖 배합비 참조'!$B$1:$CE$1,0))/100,0),""))),"")</f>
        <v>0</v>
      </c>
      <c r="AO40" s="42" t="n">
        <f aca="false">IFERROR(IF($C40="","",IF($D40="","",IFERROR(ROUND($D40*INDEX('🔖 배합비 참조'!$B$2:$CE$83,MATCH("마스카포네치즈",'🔖 배합비 참조'!$A$2:$A$83,0),MATCH($C40,'🔖 배합비 참조'!$B$1:$CE$1,0))/100,0),""))),"")</f>
        <v>0</v>
      </c>
      <c r="AP40" s="42" t="n">
        <f aca="false">IFERROR(IF($C40="","",IF($D40="","",IFERROR(ROUND($D40*INDEX('🔖 배합비 참조'!$B$2:$CE$83,MATCH("마카다미아분태(호주산)",'🔖 배합비 참조'!$A$2:$A$83,0),MATCH($C40,'🔖 배합비 참조'!$B$1:$CE$1,0))/100,0),""))),"")</f>
        <v>0</v>
      </c>
      <c r="AQ40" s="42" t="n">
        <f aca="false">IFERROR(IF($C40="","",IF($D40="","",IFERROR(ROUND($D40*INDEX('🔖 배합비 참조'!$B$2:$CE$83,MATCH("멥쌀(국내산)",'🔖 배합비 참조'!$A$2:$A$83,0),MATCH($C40,'🔖 배합비 참조'!$B$1:$CE$1,0))/100,0),""))),"")</f>
        <v>217</v>
      </c>
      <c r="AR40" s="42" t="n">
        <f aca="false">IFERROR(IF($C40="","",IF($D40="","",IFERROR(ROUND($D40*INDEX('🔖 배합비 참조'!$B$2:$CE$83,MATCH("모시잎(국내산)",'🔖 배합비 참조'!$A$2:$A$83,0),MATCH($C40,'🔖 배합비 참조'!$B$1:$CE$1,0))/100,0),""))),"")</f>
        <v>0</v>
      </c>
      <c r="AS40" s="42" t="n">
        <f aca="false">IFERROR(IF($C40="","",IF($D40="","",IFERROR(ROUND($D40*INDEX('🔖 배합비 참조'!$B$2:$CE$83,MATCH("물엿(저당물엿)",'🔖 배합비 참조'!$A$2:$A$83,0),MATCH($C40,'🔖 배합비 참조'!$B$1:$CE$1,0))/100,0),""))),"")</f>
        <v>0</v>
      </c>
      <c r="AT40" s="42" t="n">
        <f aca="false">IFERROR(IF($C40="","",IF($D40="","",IFERROR(ROUND($D40*INDEX('🔖 배합비 참조'!$B$2:$CE$83,MATCH("밤다이스",'🔖 배합비 참조'!$A$2:$A$83,0),MATCH($C40,'🔖 배합비 참조'!$B$1:$CE$1,0))/100,0),""))),"")</f>
        <v>0</v>
      </c>
      <c r="AU40" s="42" t="n">
        <f aca="false">IFERROR(IF($C40="","",IF($D40="","",IFERROR(ROUND($D40*INDEX('🔖 배합비 참조'!$B$2:$CE$83,MATCH("변성전분(타피오카전분)",'🔖 배합비 참조'!$A$2:$A$83,0),MATCH($C40,'🔖 배합비 참조'!$B$1:$CE$1,0))/100,0),""))),"")</f>
        <v>0</v>
      </c>
      <c r="AV40" s="42" t="n">
        <f aca="false">IFERROR(IF($C40="","",IF($D40="","",IFERROR(ROUND($D40*INDEX('🔖 배합비 참조'!$B$2:$CE$83,MATCH("복음땅콩분태",'🔖 배합비 참조'!$A$2:$A$83,0),MATCH($C40,'🔖 배합비 참조'!$B$1:$CE$1,0))/100,0),""))),"")</f>
        <v>0</v>
      </c>
      <c r="AW40" s="42" t="n">
        <f aca="false">IFERROR(IF($C40="","",IF($D40="","",IFERROR(ROUND($D40*INDEX('🔖 배합비 참조'!$B$2:$CE$83,MATCH("사양벌꿀(국내산)",'🔖 배합비 참조'!$A$2:$A$83,0),MATCH($C40,'🔖 배합비 참조'!$B$1:$CE$1,0))/100,0),""))),"")</f>
        <v>7</v>
      </c>
      <c r="AX40" s="42" t="n">
        <f aca="false">IFERROR(IF($C40="","",IF($D40="","",IFERROR(ROUND($D40*INDEX('🔖 배합비 참조'!$B$2:$CE$83,MATCH("생크림",'🔖 배합비 참조'!$A$2:$A$83,0),MATCH($C40,'🔖 배합비 참조'!$B$1:$CE$1,0))/100,0),""))),"")</f>
        <v>0</v>
      </c>
      <c r="AY40" s="42" t="n">
        <f aca="false">IFERROR(IF($C40="","",IF($D40="","",IFERROR(ROUND($D40*INDEX('🔖 배합비 참조'!$B$2:$CE$83,MATCH("서양호박(국내산,뉴질랜드산)",'🔖 배합비 참조'!$A$2:$A$83,0),MATCH($C40,'🔖 배합비 참조'!$B$1:$CE$1,0))/100,0),""))),"")</f>
        <v>0</v>
      </c>
      <c r="AZ40" s="42" t="n">
        <f aca="false">IFERROR(IF($C40="","",IF($D40="","",IFERROR(ROUND($D40*INDEX('🔖 배합비 참조'!$B$2:$CE$83,MATCH("설탕",'🔖 배합비 참조'!$A$2:$A$83,0),MATCH($C40,'🔖 배합비 참조'!$B$1:$CE$1,0))/100,0),""))),"")</f>
        <v>27</v>
      </c>
      <c r="BA40" s="42" t="n">
        <f aca="false">IFERROR(IF($C40="","",IF($D40="","",IFERROR(ROUND($D40*INDEX('🔖 배합비 참조'!$B$2:$CE$83,MATCH("스트로우베리 에이드 후레쉬",'🔖 배합비 참조'!$A$2:$A$83,0),MATCH($C40,'🔖 배합비 참조'!$B$1:$CE$1,0))/100,0),""))),"")</f>
        <v>0</v>
      </c>
      <c r="BB40" s="42" t="n">
        <f aca="false">IFERROR(IF($C40="","",IF($D40="","",IFERROR(ROUND($D40*INDEX('🔖 배합비 참조'!$B$2:$CE$83,MATCH("식물성기름혼합제제(분홍)",'🔖 배합비 참조'!$A$2:$A$83,0),MATCH($C40,'🔖 배합비 참조'!$B$1:$CE$1,0))/100,0),""))),"")</f>
        <v>0</v>
      </c>
      <c r="BC40" s="42" t="n">
        <f aca="false">IFERROR(IF($C40="","",IF($D40="","",IFERROR(ROUND($D40*INDEX('🔖 배합비 참조'!$B$2:$CE$83,MATCH("식물성기름혼합제제(초록)",'🔖 배합비 참조'!$A$2:$A$83,0),MATCH($C40,'🔖 배합비 참조'!$B$1:$CE$1,0))/100,0),""))),"")</f>
        <v>0</v>
      </c>
      <c r="BD40" s="42" t="n">
        <f aca="false">IFERROR(IF($C40="","",IF($D40="","",IFERROR(ROUND($D40*INDEX('🔖 배합비 참조'!$B$2:$CE$83,MATCH("식물성기름혼합제제(황색)",'🔖 배합비 참조'!$A$2:$A$83,0),MATCH($C40,'🔖 배합비 참조'!$B$1:$CE$1,0))/100,0),""))),"")</f>
        <v>0</v>
      </c>
      <c r="BE40" s="42" t="n">
        <f aca="false">IFERROR(IF($C40="","",IF($D40="","",IFERROR(ROUND($D40*INDEX('🔖 배합비 참조'!$B$2:$CE$83,MATCH("쑥가루(국내산)",'🔖 배합비 참조'!$A$2:$A$83,0),MATCH($C40,'🔖 배합비 참조'!$B$1:$CE$1,0))/100,0),""))),"")</f>
        <v>0</v>
      </c>
      <c r="BF40" s="42" t="n">
        <f aca="false">IFERROR(IF($C40="","",IF($D40="","",IFERROR(ROUND($D40*INDEX('🔖 배합비 참조'!$B$2:$CE$83,MATCH("아몬드슬라이스",'🔖 배합비 참조'!$A$2:$A$83,0),MATCH($C40,'🔖 배합비 참조'!$B$1:$CE$1,0))/100,0),""))),"")</f>
        <v>0</v>
      </c>
      <c r="BG40" s="42" t="n">
        <f aca="false">IFERROR(IF($C40="","",IF($D40="","",IFERROR(ROUND($D40*INDEX('🔖 배합비 참조'!$B$2:$CE$83,MATCH("알룰로오스(국내산)",'🔖 배합비 참조'!$A$2:$A$83,0),MATCH($C40,'🔖 배합비 참조'!$B$1:$CE$1,0))/100,0),""))),"")</f>
        <v>0</v>
      </c>
      <c r="BH40" s="42" t="n">
        <f aca="false">IFERROR(IF($C40="","",IF($D40="","",IFERROR(ROUND($D40*INDEX('🔖 배합비 참조'!$B$2:$CE$83,MATCH("연유",'🔖 배합비 참조'!$A$2:$A$83,0),MATCH($C40,'🔖 배합비 참조'!$B$1:$CE$1,0))/100,0),""))),"")</f>
        <v>0</v>
      </c>
      <c r="BI40" s="42" t="n">
        <f aca="false">IFERROR(IF($C40="","",IF($D40="","",IFERROR(ROUND($D40*INDEX('🔖 배합비 참조'!$B$2:$CE$83,MATCH("옥수수전분",'🔖 배합비 참조'!$A$2:$A$83,0),MATCH($C40,'🔖 배합비 참조'!$B$1:$CE$1,0))/100,0),""))),"")</f>
        <v>0</v>
      </c>
      <c r="BJ40" s="42" t="n">
        <f aca="false">IFERROR(IF($C40="","",IF($D40="","",IFERROR(ROUND($D40*INDEX('🔖 배합비 참조'!$B$2:$CE$83,MATCH("완두배기",'🔖 배합비 참조'!$A$2:$A$83,0),MATCH($C40,'🔖 배합비 참조'!$B$1:$CE$1,0))/100,0),""))),"")</f>
        <v>0</v>
      </c>
      <c r="BK40" s="42" t="n">
        <f aca="false">IFERROR(IF($C40="","",IF($D40="","",IFERROR(ROUND($D40*INDEX('🔖 배합비 참조'!$B$2:$CE$83,MATCH("우유(국내산)",'🔖 배합비 참조'!$A$2:$A$83,0),MATCH($C40,'🔖 배합비 참조'!$B$1:$CE$1,0))/100,0),""))),"")</f>
        <v>0</v>
      </c>
      <c r="BL40" s="42" t="n">
        <f aca="false">IFERROR(IF($C40="","",IF($D40="","",IFERROR(ROUND($D40*INDEX('🔖 배합비 참조'!$B$2:$CE$83,MATCH("자색고구마가루(중국산)",'🔖 배합비 참조'!$A$2:$A$83,0),MATCH($C40,'🔖 배합비 참조'!$B$1:$CE$1,0))/100,0),""))),"")</f>
        <v>0</v>
      </c>
      <c r="BM40" s="42" t="n">
        <f aca="false">IFERROR(IF($C40="","",IF($D40="","",IFERROR(ROUND($D40*INDEX('🔖 배합비 참조'!$B$2:$CE$83,MATCH("자연치즈(체다치즈)",'🔖 배합비 참조'!$A$2:$A$83,0),MATCH($C40,'🔖 배합비 참조'!$B$1:$CE$1,0))/100,0),""))),"")</f>
        <v>0</v>
      </c>
      <c r="BN40" s="42" t="n">
        <f aca="false">IFERROR(IF($C40="","",IF($D40="","",IFERROR(ROUND($D40*INDEX('🔖 배합비 참조'!$B$2:$CE$83,MATCH("정제수",'🔖 배합비 참조'!$A$2:$A$83,0),MATCH($C40,'🔖 배합비 참조'!$B$1:$CE$1,0))/100,0),""))),"")</f>
        <v>41</v>
      </c>
      <c r="BO40" s="42" t="n">
        <f aca="false">IFERROR(IF($C40="","",IF($D40="","",IFERROR(ROUND($D40*INDEX('🔖 배합비 참조'!$B$2:$CE$83,MATCH("젤라틴",'🔖 배합비 참조'!$A$2:$A$83,0),MATCH($C40,'🔖 배합비 참조'!$B$1:$CE$1,0))/100,0),""))),"")</f>
        <v>0</v>
      </c>
      <c r="BP40" s="42" t="n">
        <f aca="false">IFERROR(IF($C40="","",IF($D40="","",IFERROR(ROUND($D40*INDEX('🔖 배합비 참조'!$B$2:$CE$83,MATCH("조림류(백옥앙금)",'🔖 배합비 참조'!$A$2:$A$83,0),MATCH($C40,'🔖 배합비 참조'!$B$1:$CE$1,0))/100,0),""))),"")</f>
        <v>0</v>
      </c>
      <c r="BQ40" s="42" t="n">
        <f aca="false">IFERROR(IF($C40="","",IF($D40="","",IFERROR(ROUND($D40*INDEX('🔖 배합비 참조'!$B$2:$CE$83,MATCH("조림류(통팥앙금)",'🔖 배합비 참조'!$A$2:$A$83,0),MATCH($C40,'🔖 배합비 참조'!$B$1:$CE$1,0))/100,0),""))),"")</f>
        <v>0</v>
      </c>
      <c r="BR40" s="42" t="n">
        <f aca="false">IFERROR(IF($C40="","",IF($D40="","",IFERROR(ROUND($D40*INDEX('🔖 배합비 참조'!$B$2:$CE$83,MATCH("준초콜릿(외국산)",'🔖 배합비 참조'!$A$2:$A$83,0),MATCH($C40,'🔖 배합비 참조'!$B$1:$CE$1,0))/100,0),""))),"")</f>
        <v>0</v>
      </c>
      <c r="BS40" s="42" t="n">
        <f aca="false">IFERROR(IF($C40="","",IF($D40="","",IFERROR(ROUND($D40*INDEX('🔖 배합비 참조'!$B$2:$CE$83,MATCH("중력분",'🔖 배합비 참조'!$A$2:$A$83,0),MATCH($C40,'🔖 배합비 참조'!$B$1:$CE$1,0))/100,0),""))),"")</f>
        <v>0</v>
      </c>
      <c r="BT40" s="42" t="n">
        <f aca="false">IFERROR(IF($C40="","",IF($D40="","",IFERROR(ROUND($D40*INDEX('🔖 배합비 참조'!$B$2:$CE$83,MATCH("참깨(인도산,나이지리아산,탄자니아산,미얀마산)",'🔖 배합비 참조'!$A$2:$A$83,0),MATCH($C40,'🔖 배합비 참조'!$B$1:$CE$1,0))/100,0),""))),"")</f>
        <v>0</v>
      </c>
      <c r="BU40" s="42" t="n">
        <f aca="false">IFERROR(IF($C40="","",IF($D40="","",IFERROR(ROUND($D40*INDEX('🔖 배합비 참조'!$B$2:$CE$83,MATCH("찹쌀(국내산)",'🔖 배합비 참조'!$A$2:$A$83,0),MATCH($C40,'🔖 배합비 참조'!$B$1:$CE$1,0))/100,0),""))),"")</f>
        <v>0</v>
      </c>
      <c r="BV40" s="42" t="n">
        <f aca="false">IFERROR(IF($C40="","",IF($D40="","",IFERROR(ROUND($D40*INDEX('🔖 배합비 참조'!$B$2:$CE$83,MATCH("천일염",'🔖 배합비 참조'!$A$2:$A$83,0),MATCH($C40,'🔖 배합비 참조'!$B$1:$CE$1,0))/100,0),""))),"")</f>
        <v>4</v>
      </c>
      <c r="BW40" s="42" t="n">
        <f aca="false">IFERROR(IF($C40="","",IF($D40="","",IFERROR(ROUND($D40*INDEX('🔖 배합비 참조'!$B$2:$CE$83,MATCH("치즈 [크림치즈]",'🔖 배합비 참조'!$A$2:$A$83,0),MATCH($C40,'🔖 배합비 참조'!$B$1:$CE$1,0))/100,0),""))),"")</f>
        <v>0</v>
      </c>
      <c r="BX40" s="42" t="n">
        <f aca="false">IFERROR(IF($C40="","",IF($D40="","",IFERROR(ROUND($D40*INDEX('🔖 배합비 참조'!$B$2:$CE$83,MATCH("코코아가공품류(코코아분말)",'🔖 배합비 참조'!$A$2:$A$83,0),MATCH($C40,'🔖 배합비 참조'!$B$1:$CE$1,0))/100,0),""))),"")</f>
        <v>0</v>
      </c>
      <c r="BY40" s="42" t="n">
        <f aca="false">IFERROR(IF($C40="","",IF($D40="","",IFERROR(ROUND($D40*INDEX('🔖 배합비 참조'!$B$2:$CE$83,MATCH("콩기름(대두유)",'🔖 배합비 참조'!$A$2:$A$83,0),MATCH($C40,'🔖 배합비 참조'!$B$1:$CE$1,0))/100,0),""))),"")</f>
        <v>0</v>
      </c>
      <c r="BZ40" s="42" t="n">
        <f aca="false">IFERROR(IF($C40="","",IF($D40="","",IFERROR(ROUND($D40*INDEX('🔖 배합비 참조'!$B$2:$CE$83,MATCH("해바라기씨앗",'🔖 배합비 참조'!$A$2:$A$83,0),MATCH($C40,'🔖 배합비 참조'!$B$1:$CE$1,0))/100,0),""))),"")</f>
        <v>0</v>
      </c>
      <c r="CA40" s="42" t="n">
        <f aca="false">IFERROR(IF($C40="","",IF($D40="","",IFERROR(ROUND($D40*INDEX('🔖 배합비 참조'!$B$2:$CE$83,MATCH("현미(국내산)",'🔖 배합비 참조'!$A$2:$A$83,0),MATCH($C40,'🔖 배합비 참조'!$B$1:$CE$1,0))/100,0),""))),"")</f>
        <v>0</v>
      </c>
      <c r="CB40" s="42" t="n">
        <f aca="false">IFERROR(IF($C40="","",IF($D40="","",IFERROR(ROUND($D40*INDEX('🔖 배합비 참조'!$B$2:$CE$83,MATCH("현미멥쌀(국내산)",'🔖 배합비 참조'!$A$2:$A$83,0),MATCH($C40,'🔖 배합비 참조'!$B$1:$CE$1,0))/100,0),""))),"")</f>
        <v>0</v>
      </c>
      <c r="CC40" s="42" t="n">
        <f aca="false">IFERROR(IF($C40="","",IF($D40="","",IFERROR(ROUND($D40*INDEX('🔖 배합비 참조'!$B$2:$CE$83,MATCH("호두분태(미국산)",'🔖 배합비 참조'!$A$2:$A$83,0),MATCH($C40,'🔖 배합비 참조'!$B$1:$CE$1,0))/100,0),""))),"")</f>
        <v>0</v>
      </c>
      <c r="CD40" s="42" t="n">
        <f aca="false">IFERROR(IF($C40="","",IF($D40="","",IFERROR(ROUND($D40*INDEX('🔖 배합비 참조'!$B$2:$CE$83,MATCH("호박씨앗(외국산)",'🔖 배합비 참조'!$A$2:$A$83,0),MATCH($C40,'🔖 배합비 참조'!$B$1:$CE$1,0))/100,0),""))),"")</f>
        <v>0</v>
      </c>
      <c r="CE40" s="42" t="n">
        <f aca="false">IFERROR(IF($C40="","",IF($D40="","",IFERROR(ROUND($D40*INDEX('🔖 배합비 참조'!$B$2:$CE$83,MATCH("혼합제제(떡용에스텔)",'🔖 배합비 참조'!$A$2:$A$83,0),MATCH($C40,'🔖 배합비 참조'!$B$1:$CE$1,0))/100,0),""))),"")</f>
        <v>0</v>
      </c>
      <c r="CF40" s="42" t="n">
        <f aca="false">IFERROR(IF($C40="","",IF($D40="","",IFERROR(ROUND($D40*INDEX('🔖 배합비 참조'!$B$2:$CE$83,MATCH("혼합제제(스테비아)",'🔖 배합비 참조'!$A$2:$A$83,0),MATCH($C40,'🔖 배합비 참조'!$B$1:$CE$1,0))/100,0),""))),"")</f>
        <v>0</v>
      </c>
      <c r="CG40" s="42" t="n">
        <f aca="false">IFERROR(IF($C40="","",IF($D40="","",IFERROR(ROUND($D40*INDEX('🔖 배합비 참조'!$B$2:$CE$83,MATCH("화이트초콜릿",'🔖 배합비 참조'!$A$2:$A$83,0),MATCH($C40,'🔖 배합비 참조'!$B$1:$CE$1,0))/100,0),""))),"")</f>
        <v>0</v>
      </c>
      <c r="CH40" s="42" t="n">
        <f aca="false">IFERROR(IF($C40="","",IF($D40="","",IFERROR(ROUND($D40*INDEX('🔖 배합비 참조'!$B$2:$CE$83,MATCH("흑미찹쌀(국내산)",'🔖 배합비 참조'!$A$2:$A$83,0),MATCH($C40,'🔖 배합비 참조'!$B$1:$CE$1,0))/100,0),""))),"")</f>
        <v>0</v>
      </c>
      <c r="CI40" s="42" t="n">
        <f aca="false">IFERROR(IF($C40="","",IF($D40="","",IFERROR(ROUND($D40*INDEX('🔖 배합비 참조'!$B$2:$CE$83,MATCH("찰옥수수전분(미국산)",'🔖 배합비 참조'!$A$2:$A$83,0),MATCH($C40,'🔖 배합비 참조'!$B$1:$CE$1,0))/100,0),""))),"")</f>
        <v>0</v>
      </c>
      <c r="CJ40" s="40"/>
      <c r="CL40" s="1" t="s">
        <v>235</v>
      </c>
    </row>
    <row r="41" customFormat="false" ht="18" hidden="false" customHeight="true" outlineLevel="0" collapsed="false">
      <c r="A41" s="35" t="n">
        <v>37</v>
      </c>
      <c r="B41" s="36" t="n">
        <v>45961</v>
      </c>
      <c r="C41" s="37" t="s">
        <v>184</v>
      </c>
      <c r="D41" s="38" t="n">
        <v>75</v>
      </c>
      <c r="E41" s="13"/>
      <c r="F41" s="13"/>
      <c r="G41" s="39" t="n">
        <f aca="false">IFERROR(IF($C41="","",IF($D41="","",IFERROR(ROUND($D41*INDEX('🔖 배합비 참조'!$B$2:$CE$83,MATCH("간장",'🔖 배합비 참조'!$A$2:$A$83,0),MATCH($C41,'🔖 배합비 참조'!$B$1:$CE$1,0))/100,0),""))),"")</f>
        <v>0</v>
      </c>
      <c r="H41" s="39" t="n">
        <f aca="false">IFERROR(IF($C41="","",IF($D41="","",IFERROR(ROUND($D41*INDEX('🔖 배합비 참조'!$B$2:$CE$83,MATCH("강낭콩((울타리콩))",'🔖 배합비 참조'!$A$2:$A$83,0),MATCH($C41,'🔖 배합비 참조'!$B$1:$CE$1,0))/100,0),""))),"")</f>
        <v>0</v>
      </c>
      <c r="I41" s="39" t="n">
        <f aca="false">IFERROR(IF($C41="","",IF($D41="","",IFERROR(ROUND($D41*INDEX('🔖 배합비 참조'!$B$2:$CE$83,MATCH("건조딸기다이스(외국산)",'🔖 배합비 참조'!$A$2:$A$83,0),MATCH($C41,'🔖 배합비 참조'!$B$1:$CE$1,0))/100,0),""))),"")</f>
        <v>0</v>
      </c>
      <c r="J41" s="39" t="n">
        <f aca="false">IFERROR(IF($C41="","",IF($D41="","",IFERROR(ROUND($D41*INDEX('🔖 배합비 참조'!$B$2:$CE$83,MATCH("건포도",'🔖 배합비 참조'!$A$2:$A$83,0),MATCH($C41,'🔖 배합비 참조'!$B$1:$CE$1,0))/100,0),""))),"")</f>
        <v>0</v>
      </c>
      <c r="K41" s="39" t="n">
        <f aca="false">IFERROR(IF($C41="","",IF($D41="","",IFERROR(ROUND($D41*INDEX('🔖 배합비 참조'!$B$2:$CE$83,MATCH("건호박채(중국산)",'🔖 배합비 참조'!$A$2:$A$83,0),MATCH($C41,'🔖 배합비 참조'!$B$1:$CE$1,0))/100,0),""))),"")</f>
        <v>0</v>
      </c>
      <c r="L41" s="39" t="n">
        <f aca="false">IFERROR(IF($C41="","",IF($D41="","",IFERROR(ROUND($D41*INDEX('🔖 배합비 참조'!$B$2:$CE$83,MATCH("검정깨(흑임자)",'🔖 배합비 참조'!$A$2:$A$83,0),MATCH($C41,'🔖 배합비 참조'!$B$1:$CE$1,0))/100,0),""))),"")</f>
        <v>0</v>
      </c>
      <c r="M41" s="39" t="n">
        <f aca="false">IFERROR(IF($C41="","",IF($D41="","",IFERROR(ROUND($D41*INDEX('🔖 배합비 참조'!$B$2:$CE$83,MATCH("검정콩",'🔖 배합비 참조'!$A$2:$A$83,0),MATCH($C41,'🔖 배합비 참조'!$B$1:$CE$1,0))/100,0),""))),"")</f>
        <v>0</v>
      </c>
      <c r="N41" s="39" t="n">
        <f aca="false">IFERROR(IF($C41="","",IF($D41="","",IFERROR(ROUND($D41*INDEX('🔖 배합비 참조'!$B$2:$CE$83,MATCH("계피가루",'🔖 배합비 참조'!$A$2:$A$83,0),MATCH($C41,'🔖 배합비 참조'!$B$1:$CE$1,0))/100,0),""))),"")</f>
        <v>0</v>
      </c>
      <c r="O41" s="39" t="n">
        <f aca="false">IFERROR(IF($C41="","",IF($D41="","",IFERROR(ROUND($D41*INDEX('🔖 배합비 참조'!$B$2:$CE$83,MATCH("고구마가루",'🔖 배합비 참조'!$A$2:$A$83,0),MATCH($C41,'🔖 배합비 참조'!$B$1:$CE$1,0))/100,0),""))),"")</f>
        <v>0</v>
      </c>
      <c r="P41" s="39" t="n">
        <f aca="false">IFERROR(IF($C41="","",IF($D41="","",IFERROR(ROUND($D41*INDEX('🔖 배합비 참조'!$B$2:$CE$83,MATCH("고구마무스",'🔖 배합비 참조'!$A$2:$A$83,0),MATCH($C41,'🔖 배합비 참조'!$B$1:$CE$1,0))/100,0),""))),"")</f>
        <v>0</v>
      </c>
      <c r="Q41" s="39" t="n">
        <f aca="false">IFERROR(IF($C41="","",IF($D41="","",IFERROR(ROUND($D41*INDEX('🔖 배합비 참조'!$B$2:$CE$83,MATCH("고려엉겅퀴((곤드레)국내산)",'🔖 배합비 참조'!$A$2:$A$83,0),MATCH($C41,'🔖 배합비 참조'!$B$1:$CE$1,0))/100,0),""))),"")</f>
        <v>0</v>
      </c>
      <c r="R41" s="39" t="n">
        <f aca="false">IFERROR(IF($C41="","",IF($D41="","",IFERROR(ROUND($D41*INDEX('🔖 배합비 참조'!$B$2:$CE$83,MATCH("기타가공품(복분자가루)",'🔖 배합비 참조'!$A$2:$A$83,0),MATCH($C41,'🔖 배합비 참조'!$B$1:$CE$1,0))/100,0),""))),"")</f>
        <v>0</v>
      </c>
      <c r="S41" s="39" t="n">
        <f aca="false">IFERROR(IF($C41="","",IF($D41="","",IFERROR(ROUND($D41*INDEX('🔖 배합비 참조'!$B$2:$CE$83,MATCH("기타가공품(슈퍼소프트엠)",'🔖 배합비 참조'!$A$2:$A$83,0),MATCH($C41,'🔖 배합비 참조'!$B$1:$CE$1,0))/100,0),""))),"")</f>
        <v>0</v>
      </c>
      <c r="T41" s="39" t="n">
        <f aca="false">IFERROR(IF($C41="","",IF($D41="","",IFERROR(ROUND($D41*INDEX('🔖 배합비 참조'!$B$2:$CE$83,MATCH("기타가공품(파인소프트 E-티)",'🔖 배합비 참조'!$A$2:$A$83,0),MATCH($C41,'🔖 배합비 참조'!$B$1:$CE$1,0))/100,0),""))),"")</f>
        <v>0</v>
      </c>
      <c r="U41" s="39" t="n">
        <f aca="false">IFERROR(IF($C41="","",IF($D41="","",IFERROR(ROUND($D41*INDEX('🔖 배합비 참조'!$B$2:$CE$83,MATCH("기타가공품(프리미엄카스테라가루)",'🔖 배합비 참조'!$A$2:$A$83,0),MATCH($C41,'🔖 배합비 참조'!$B$1:$CE$1,0))/100,0),""))),"")</f>
        <v>0</v>
      </c>
      <c r="V41" s="39" t="n">
        <f aca="false">IFERROR(IF($C41="","",IF($D41="","",IFERROR(ROUND($D41*INDEX('🔖 배합비 참조'!$B$2:$CE$83,MATCH("기타가공품(흑임자가루)",'🔖 배합비 참조'!$A$2:$A$83,0),MATCH($C41,'🔖 배합비 참조'!$B$1:$CE$1,0))/100,0),""))),"")</f>
        <v>0</v>
      </c>
      <c r="W41" s="39" t="n">
        <f aca="false">IFERROR(IF($C41="","",IF($D41="","",IFERROR(ROUND($D41*INDEX('🔖 배합비 참조'!$B$2:$CE$83,MATCH("기타설탕(흑설탕)",'🔖 배합비 참조'!$A$2:$A$83,0),MATCH($C41,'🔖 배합비 참조'!$B$1:$CE$1,0))/100,0),""))),"")</f>
        <v>0</v>
      </c>
      <c r="X41" s="39" t="n">
        <f aca="false">IFERROR(IF($C41="","",IF($D41="","",IFERROR(ROUND($D41*INDEX('🔖 배합비 참조'!$B$2:$CE$83,MATCH("냉동쑥(국내산)",'🔖 배합비 참조'!$A$2:$A$83,0),MATCH($C41,'🔖 배합비 참조'!$B$1:$CE$1,0))/100,0),""))),"")</f>
        <v>0</v>
      </c>
      <c r="Y41" s="39" t="n">
        <f aca="false">IFERROR(IF($C41="","",IF($D41="","",IFERROR(ROUND($D41*INDEX('🔖 배합비 참조'!$B$2:$CE$83,MATCH("냉동증숙고구마(중국산)",'🔖 배합비 참조'!$A$2:$A$83,0),MATCH($C41,'🔖 배합비 참조'!$B$1:$CE$1,0))/100,0),""))),"")</f>
        <v>0</v>
      </c>
      <c r="Z41" s="39" t="n">
        <f aca="false">IFERROR(IF($C41="","",IF($D41="","",IFERROR(ROUND($D41*INDEX('🔖 배합비 참조'!$B$2:$CE$83,MATCH("녹차가루",'🔖 배합비 참조'!$A$2:$A$83,0),MATCH($C41,'🔖 배합비 참조'!$B$1:$CE$1,0))/100,0),""))),"")</f>
        <v>0</v>
      </c>
      <c r="AA41" s="39" t="n">
        <f aca="false">IFERROR(IF($C41="","",IF($D41="","",IFERROR(ROUND($D41*INDEX('🔖 배합비 참조'!$B$2:$CE$83,MATCH("다크초콜릿 컴파운드칩",'🔖 배합비 참조'!$A$2:$A$83,0),MATCH($C41,'🔖 배합비 참조'!$B$1:$CE$1,0))/100,0),""))),"")</f>
        <v>0</v>
      </c>
      <c r="AB41" s="39" t="n">
        <f aca="false">IFERROR(IF($C41="","",IF($D41="","",IFERROR(ROUND($D41*INDEX('🔖 배합비 참조'!$B$2:$CE$83,MATCH("단호박분말(중국산)",'🔖 배합비 참조'!$A$2:$A$83,0),MATCH($C41,'🔖 배합비 참조'!$B$1:$CE$1,0))/100,0),""))),"")</f>
        <v>0</v>
      </c>
      <c r="AC41" s="39" t="n">
        <f aca="false">IFERROR(IF($C41="","",IF($D41="","",IFERROR(ROUND($D41*INDEX('🔖 배합비 참조'!$B$2:$CE$83,MATCH("당류가공품(단호박농축액)",'🔖 배합비 참조'!$A$2:$A$83,0),MATCH($C41,'🔖 배합비 참조'!$B$1:$CE$1,0))/100,0),""))),"")</f>
        <v>0</v>
      </c>
      <c r="AD41" s="39" t="n">
        <f aca="false">IFERROR(IF($C41="","",IF($D41="","",IFERROR(ROUND($D41*INDEX('🔖 배합비 참조'!$B$2:$CE$83,MATCH("당류가공품(알룰로스,에리스리톨,스테비올배당체혼합)",'🔖 배합비 참조'!$A$2:$A$83,0),MATCH($C41,'🔖 배합비 참조'!$B$1:$CE$1,0))/100,0),""))),"")</f>
        <v>0</v>
      </c>
      <c r="AE41" s="39" t="n">
        <f aca="false">IFERROR(IF($C41="","",IF($D41="","",IFERROR(ROUND($D41*INDEX('🔖 배합비 참조'!$B$2:$CE$83,MATCH("당류가공품(알룰로스제로파우더)",'🔖 배합비 참조'!$A$2:$A$83,0),MATCH($C41,'🔖 배합비 참조'!$B$1:$CE$1,0))/100,0),""))),"")</f>
        <v>0</v>
      </c>
      <c r="AF41" s="39" t="n">
        <f aca="false">IFERROR(IF($C41="","",IF($D41="","",IFERROR(ROUND($D41*INDEX('🔖 배합비 참조'!$B$2:$CE$83,MATCH("당절임(완두배기)",'🔖 배합비 참조'!$A$2:$A$83,0),MATCH($C41,'🔖 배합비 참조'!$B$1:$CE$1,0))/100,0),""))),"")</f>
        <v>0</v>
      </c>
      <c r="AG41" s="39" t="n">
        <f aca="false">IFERROR(IF($C41="","",IF($D41="","",IFERROR(ROUND($D41*INDEX('🔖 배합비 참조'!$B$2:$CE$83,MATCH("대추농축액",'🔖 배합비 참조'!$A$2:$A$83,0),MATCH($C41,'🔖 배합비 참조'!$B$1:$CE$1,0))/100,0),""))),"")</f>
        <v>0</v>
      </c>
      <c r="AH41" s="39" t="n">
        <f aca="false">IFERROR(IF($C41="","",IF($D41="","",IFERROR(ROUND($D41*INDEX('🔖 배합비 참조'!$B$2:$CE$83,MATCH("대추채(국내산)",'🔖 배합비 참조'!$A$2:$A$83,0),MATCH($C41,'🔖 배합비 참조'!$B$1:$CE$1,0))/100,0),""))),"")</f>
        <v>0</v>
      </c>
      <c r="AI41" s="39" t="n">
        <f aca="false">IFERROR(IF($C41="","",IF($D41="","",IFERROR(ROUND($D41*INDEX('🔖 배합비 참조'!$B$2:$CE$83,MATCH("동부(미얀마산)",'🔖 배합비 참조'!$A$2:$A$83,0),MATCH($C41,'🔖 배합비 참조'!$B$1:$CE$1,0))/100,0),""))),"")</f>
        <v>0</v>
      </c>
      <c r="AJ41" s="39" t="n">
        <f aca="false">IFERROR(IF($C41="","",IF($D41="","",IFERROR(ROUND($D41*INDEX('🔖 배합비 참조'!$B$2:$CE$83,MATCH("두류가공품(백옥앙금)",'🔖 배합비 참조'!$A$2:$A$83,0),MATCH($C41,'🔖 배합비 참조'!$B$1:$CE$1,0))/100,0),""))),"")</f>
        <v>0</v>
      </c>
      <c r="AK41" s="39" t="n">
        <f aca="false">IFERROR(IF($C41="","",IF($D41="","",IFERROR(ROUND($D41*INDEX('🔖 배합비 참조'!$B$2:$CE$83,MATCH("두류가공품(콩고물)",'🔖 배합비 참조'!$A$2:$A$83,0),MATCH($C41,'🔖 배합비 참조'!$B$1:$CE$1,0))/100,0),""))),"")</f>
        <v>0</v>
      </c>
      <c r="AL41" s="39" t="n">
        <f aca="false">IFERROR(IF($C41="","",IF($D41="","",IFERROR(ROUND($D41*INDEX('🔖 배합비 참조'!$B$2:$CE$83,MATCH("두류가공품(통팥고물)",'🔖 배합비 참조'!$A$2:$A$83,0),MATCH($C41,'🔖 배합비 참조'!$B$1:$CE$1,0))/100,0),""))),"")</f>
        <v>0</v>
      </c>
      <c r="AM41" s="39" t="n">
        <f aca="false">IFERROR(IF($C41="","",IF($D41="","",IFERROR(ROUND($D41*INDEX('🔖 배합비 참조'!$B$2:$CE$83,MATCH("딸기레진",'🔖 배합비 참조'!$A$2:$A$83,0),MATCH($C41,'🔖 배합비 참조'!$B$1:$CE$1,0))/100,0),""))),"")</f>
        <v>0</v>
      </c>
      <c r="AN41" s="39" t="n">
        <f aca="false">IFERROR(IF($C41="","",IF($D41="","",IFERROR(ROUND($D41*INDEX('🔖 배합비 참조'!$B$2:$CE$83,MATCH("딸기분말(스트로우베리에이드(분말))",'🔖 배합비 참조'!$A$2:$A$83,0),MATCH($C41,'🔖 배합비 참조'!$B$1:$CE$1,0))/100,0),""))),"")</f>
        <v>0</v>
      </c>
      <c r="AO41" s="39" t="n">
        <f aca="false">IFERROR(IF($C41="","",IF($D41="","",IFERROR(ROUND($D41*INDEX('🔖 배합비 참조'!$B$2:$CE$83,MATCH("마스카포네치즈",'🔖 배합비 참조'!$A$2:$A$83,0),MATCH($C41,'🔖 배합비 참조'!$B$1:$CE$1,0))/100,0),""))),"")</f>
        <v>0</v>
      </c>
      <c r="AP41" s="39" t="n">
        <f aca="false">IFERROR(IF($C41="","",IF($D41="","",IFERROR(ROUND($D41*INDEX('🔖 배합비 참조'!$B$2:$CE$83,MATCH("마카다미아분태(호주산)",'🔖 배합비 참조'!$A$2:$A$83,0),MATCH($C41,'🔖 배합비 참조'!$B$1:$CE$1,0))/100,0),""))),"")</f>
        <v>0</v>
      </c>
      <c r="AQ41" s="39" t="n">
        <f aca="false">IFERROR(IF($C41="","",IF($D41="","",IFERROR(ROUND($D41*INDEX('🔖 배합비 참조'!$B$2:$CE$83,MATCH("멥쌀(국내산)",'🔖 배합비 참조'!$A$2:$A$83,0),MATCH($C41,'🔖 배합비 참조'!$B$1:$CE$1,0))/100,0),""))),"")</f>
        <v>52</v>
      </c>
      <c r="AR41" s="39" t="n">
        <f aca="false">IFERROR(IF($C41="","",IF($D41="","",IFERROR(ROUND($D41*INDEX('🔖 배합비 참조'!$B$2:$CE$83,MATCH("모시잎(국내산)",'🔖 배합비 참조'!$A$2:$A$83,0),MATCH($C41,'🔖 배합비 참조'!$B$1:$CE$1,0))/100,0),""))),"")</f>
        <v>0</v>
      </c>
      <c r="AS41" s="39" t="n">
        <f aca="false">IFERROR(IF($C41="","",IF($D41="","",IFERROR(ROUND($D41*INDEX('🔖 배합비 참조'!$B$2:$CE$83,MATCH("물엿(저당물엿)",'🔖 배합비 참조'!$A$2:$A$83,0),MATCH($C41,'🔖 배합비 참조'!$B$1:$CE$1,0))/100,0),""))),"")</f>
        <v>0</v>
      </c>
      <c r="AT41" s="39" t="n">
        <f aca="false">IFERROR(IF($C41="","",IF($D41="","",IFERROR(ROUND($D41*INDEX('🔖 배합비 참조'!$B$2:$CE$83,MATCH("밤다이스",'🔖 배합비 참조'!$A$2:$A$83,0),MATCH($C41,'🔖 배합비 참조'!$B$1:$CE$1,0))/100,0),""))),"")</f>
        <v>0</v>
      </c>
      <c r="AU41" s="39" t="n">
        <f aca="false">IFERROR(IF($C41="","",IF($D41="","",IFERROR(ROUND($D41*INDEX('🔖 배합비 참조'!$B$2:$CE$83,MATCH("변성전분(타피오카전분)",'🔖 배합비 참조'!$A$2:$A$83,0),MATCH($C41,'🔖 배합비 참조'!$B$1:$CE$1,0))/100,0),""))),"")</f>
        <v>0</v>
      </c>
      <c r="AV41" s="39" t="n">
        <f aca="false">IFERROR(IF($C41="","",IF($D41="","",IFERROR(ROUND($D41*INDEX('🔖 배합비 참조'!$B$2:$CE$83,MATCH("복음땅콩분태",'🔖 배합비 참조'!$A$2:$A$83,0),MATCH($C41,'🔖 배합비 참조'!$B$1:$CE$1,0))/100,0),""))),"")</f>
        <v>0</v>
      </c>
      <c r="AW41" s="39" t="n">
        <f aca="false">IFERROR(IF($C41="","",IF($D41="","",IFERROR(ROUND($D41*INDEX('🔖 배합비 참조'!$B$2:$CE$83,MATCH("사양벌꿀(국내산)",'🔖 배합비 참조'!$A$2:$A$83,0),MATCH($C41,'🔖 배합비 참조'!$B$1:$CE$1,0))/100,0),""))),"")</f>
        <v>0</v>
      </c>
      <c r="AX41" s="39" t="n">
        <f aca="false">IFERROR(IF($C41="","",IF($D41="","",IFERROR(ROUND($D41*INDEX('🔖 배합비 참조'!$B$2:$CE$83,MATCH("생크림",'🔖 배합비 참조'!$A$2:$A$83,0),MATCH($C41,'🔖 배합비 참조'!$B$1:$CE$1,0))/100,0),""))),"")</f>
        <v>0</v>
      </c>
      <c r="AY41" s="39" t="n">
        <f aca="false">IFERROR(IF($C41="","",IF($D41="","",IFERROR(ROUND($D41*INDEX('🔖 배합비 참조'!$B$2:$CE$83,MATCH("서양호박(국내산,뉴질랜드산)",'🔖 배합비 참조'!$A$2:$A$83,0),MATCH($C41,'🔖 배합비 참조'!$B$1:$CE$1,0))/100,0),""))),"")</f>
        <v>0</v>
      </c>
      <c r="AZ41" s="39" t="n">
        <f aca="false">IFERROR(IF($C41="","",IF($D41="","",IFERROR(ROUND($D41*INDEX('🔖 배합비 참조'!$B$2:$CE$83,MATCH("설탕",'🔖 배합비 참조'!$A$2:$A$83,0),MATCH($C41,'🔖 배합비 참조'!$B$1:$CE$1,0))/100,0),""))),"")</f>
        <v>8</v>
      </c>
      <c r="BA41" s="39" t="n">
        <f aca="false">IFERROR(IF($C41="","",IF($D41="","",IFERROR(ROUND($D41*INDEX('🔖 배합비 참조'!$B$2:$CE$83,MATCH("스트로우베리 에이드 후레쉬",'🔖 배합비 참조'!$A$2:$A$83,0),MATCH($C41,'🔖 배합비 참조'!$B$1:$CE$1,0))/100,0),""))),"")</f>
        <v>0</v>
      </c>
      <c r="BB41" s="39" t="n">
        <f aca="false">IFERROR(IF($C41="","",IF($D41="","",IFERROR(ROUND($D41*INDEX('🔖 배합비 참조'!$B$2:$CE$83,MATCH("식물성기름혼합제제(분홍)",'🔖 배합비 참조'!$A$2:$A$83,0),MATCH($C41,'🔖 배합비 참조'!$B$1:$CE$1,0))/100,0),""))),"")</f>
        <v>0</v>
      </c>
      <c r="BC41" s="39" t="n">
        <f aca="false">IFERROR(IF($C41="","",IF($D41="","",IFERROR(ROUND($D41*INDEX('🔖 배합비 참조'!$B$2:$CE$83,MATCH("식물성기름혼합제제(초록)",'🔖 배합비 참조'!$A$2:$A$83,0),MATCH($C41,'🔖 배합비 참조'!$B$1:$CE$1,0))/100,0),""))),"")</f>
        <v>0</v>
      </c>
      <c r="BD41" s="39" t="n">
        <f aca="false">IFERROR(IF($C41="","",IF($D41="","",IFERROR(ROUND($D41*INDEX('🔖 배합비 참조'!$B$2:$CE$83,MATCH("식물성기름혼합제제(황색)",'🔖 배합비 참조'!$A$2:$A$83,0),MATCH($C41,'🔖 배합비 참조'!$B$1:$CE$1,0))/100,0),""))),"")</f>
        <v>0</v>
      </c>
      <c r="BE41" s="39" t="n">
        <f aca="false">IFERROR(IF($C41="","",IF($D41="","",IFERROR(ROUND($D41*INDEX('🔖 배합비 참조'!$B$2:$CE$83,MATCH("쑥가루(국내산)",'🔖 배합비 참조'!$A$2:$A$83,0),MATCH($C41,'🔖 배합비 참조'!$B$1:$CE$1,0))/100,0),""))),"")</f>
        <v>0</v>
      </c>
      <c r="BF41" s="39" t="n">
        <f aca="false">IFERROR(IF($C41="","",IF($D41="","",IFERROR(ROUND($D41*INDEX('🔖 배합비 참조'!$B$2:$CE$83,MATCH("아몬드슬라이스",'🔖 배합비 참조'!$A$2:$A$83,0),MATCH($C41,'🔖 배합비 참조'!$B$1:$CE$1,0))/100,0),""))),"")</f>
        <v>0</v>
      </c>
      <c r="BG41" s="39" t="n">
        <f aca="false">IFERROR(IF($C41="","",IF($D41="","",IFERROR(ROUND($D41*INDEX('🔖 배합비 참조'!$B$2:$CE$83,MATCH("알룰로오스(국내산)",'🔖 배합비 참조'!$A$2:$A$83,0),MATCH($C41,'🔖 배합비 참조'!$B$1:$CE$1,0))/100,0),""))),"")</f>
        <v>0</v>
      </c>
      <c r="BH41" s="39" t="n">
        <f aca="false">IFERROR(IF($C41="","",IF($D41="","",IFERROR(ROUND($D41*INDEX('🔖 배합비 참조'!$B$2:$CE$83,MATCH("연유",'🔖 배합비 참조'!$A$2:$A$83,0),MATCH($C41,'🔖 배합비 참조'!$B$1:$CE$1,0))/100,0),""))),"")</f>
        <v>0</v>
      </c>
      <c r="BI41" s="39" t="n">
        <f aca="false">IFERROR(IF($C41="","",IF($D41="","",IFERROR(ROUND($D41*INDEX('🔖 배합비 참조'!$B$2:$CE$83,MATCH("옥수수전분",'🔖 배합비 참조'!$A$2:$A$83,0),MATCH($C41,'🔖 배합비 참조'!$B$1:$CE$1,0))/100,0),""))),"")</f>
        <v>0</v>
      </c>
      <c r="BJ41" s="39" t="n">
        <f aca="false">IFERROR(IF($C41="","",IF($D41="","",IFERROR(ROUND($D41*INDEX('🔖 배합비 참조'!$B$2:$CE$83,MATCH("완두배기",'🔖 배합비 참조'!$A$2:$A$83,0),MATCH($C41,'🔖 배합비 참조'!$B$1:$CE$1,0))/100,0),""))),"")</f>
        <v>0</v>
      </c>
      <c r="BK41" s="39" t="n">
        <f aca="false">IFERROR(IF($C41="","",IF($D41="","",IFERROR(ROUND($D41*INDEX('🔖 배합비 참조'!$B$2:$CE$83,MATCH("우유(국내산)",'🔖 배합비 참조'!$A$2:$A$83,0),MATCH($C41,'🔖 배합비 참조'!$B$1:$CE$1,0))/100,0),""))),"")</f>
        <v>7</v>
      </c>
      <c r="BL41" s="39" t="n">
        <f aca="false">IFERROR(IF($C41="","",IF($D41="","",IFERROR(ROUND($D41*INDEX('🔖 배합비 참조'!$B$2:$CE$83,MATCH("자색고구마가루(중국산)",'🔖 배합비 참조'!$A$2:$A$83,0),MATCH($C41,'🔖 배합비 참조'!$B$1:$CE$1,0))/100,0),""))),"")</f>
        <v>0</v>
      </c>
      <c r="BM41" s="39" t="n">
        <f aca="false">IFERROR(IF($C41="","",IF($D41="","",IFERROR(ROUND($D41*INDEX('🔖 배합비 참조'!$B$2:$CE$83,MATCH("자연치즈(체다치즈)",'🔖 배합비 참조'!$A$2:$A$83,0),MATCH($C41,'🔖 배합비 참조'!$B$1:$CE$1,0))/100,0),""))),"")</f>
        <v>0</v>
      </c>
      <c r="BN41" s="39" t="n">
        <f aca="false">IFERROR(IF($C41="","",IF($D41="","",IFERROR(ROUND($D41*INDEX('🔖 배합비 참조'!$B$2:$CE$83,MATCH("정제수",'🔖 배합비 참조'!$A$2:$A$83,0),MATCH($C41,'🔖 배합비 참조'!$B$1:$CE$1,0))/100,0),""))),"")</f>
        <v>7</v>
      </c>
      <c r="BO41" s="39" t="n">
        <f aca="false">IFERROR(IF($C41="","",IF($D41="","",IFERROR(ROUND($D41*INDEX('🔖 배합비 참조'!$B$2:$CE$83,MATCH("젤라틴",'🔖 배합비 참조'!$A$2:$A$83,0),MATCH($C41,'🔖 배합비 참조'!$B$1:$CE$1,0))/100,0),""))),"")</f>
        <v>0</v>
      </c>
      <c r="BP41" s="39" t="n">
        <f aca="false">IFERROR(IF($C41="","",IF($D41="","",IFERROR(ROUND($D41*INDEX('🔖 배합비 참조'!$B$2:$CE$83,MATCH("조림류(백옥앙금)",'🔖 배합비 참조'!$A$2:$A$83,0),MATCH($C41,'🔖 배합비 참조'!$B$1:$CE$1,0))/100,0),""))),"")</f>
        <v>0</v>
      </c>
      <c r="BQ41" s="39" t="n">
        <f aca="false">IFERROR(IF($C41="","",IF($D41="","",IFERROR(ROUND($D41*INDEX('🔖 배합비 참조'!$B$2:$CE$83,MATCH("조림류(통팥앙금)",'🔖 배합비 참조'!$A$2:$A$83,0),MATCH($C41,'🔖 배합비 참조'!$B$1:$CE$1,0))/100,0),""))),"")</f>
        <v>0</v>
      </c>
      <c r="BR41" s="39" t="n">
        <f aca="false">IFERROR(IF($C41="","",IF($D41="","",IFERROR(ROUND($D41*INDEX('🔖 배합비 참조'!$B$2:$CE$83,MATCH("준초콜릿(외국산)",'🔖 배합비 참조'!$A$2:$A$83,0),MATCH($C41,'🔖 배합비 참조'!$B$1:$CE$1,0))/100,0),""))),"")</f>
        <v>0</v>
      </c>
      <c r="BS41" s="39" t="n">
        <f aca="false">IFERROR(IF($C41="","",IF($D41="","",IFERROR(ROUND($D41*INDEX('🔖 배합비 참조'!$B$2:$CE$83,MATCH("중력분",'🔖 배합비 참조'!$A$2:$A$83,0),MATCH($C41,'🔖 배합비 참조'!$B$1:$CE$1,0))/100,0),""))),"")</f>
        <v>0</v>
      </c>
      <c r="BT41" s="39" t="n">
        <f aca="false">IFERROR(IF($C41="","",IF($D41="","",IFERROR(ROUND($D41*INDEX('🔖 배합비 참조'!$B$2:$CE$83,MATCH("참깨(인도산,나이지리아산,탄자니아산,미얀마산)",'🔖 배합비 참조'!$A$2:$A$83,0),MATCH($C41,'🔖 배합비 참조'!$B$1:$CE$1,0))/100,0),""))),"")</f>
        <v>0</v>
      </c>
      <c r="BU41" s="39" t="n">
        <f aca="false">IFERROR(IF($C41="","",IF($D41="","",IFERROR(ROUND($D41*INDEX('🔖 배합비 참조'!$B$2:$CE$83,MATCH("찹쌀(국내산)",'🔖 배합비 참조'!$A$2:$A$83,0),MATCH($C41,'🔖 배합비 참조'!$B$1:$CE$1,0))/100,0),""))),"")</f>
        <v>0</v>
      </c>
      <c r="BV41" s="39" t="n">
        <f aca="false">IFERROR(IF($C41="","",IF($D41="","",IFERROR(ROUND($D41*INDEX('🔖 배합비 참조'!$B$2:$CE$83,MATCH("천일염",'🔖 배합비 참조'!$A$2:$A$83,0),MATCH($C41,'🔖 배합비 참조'!$B$1:$CE$1,0))/100,0),""))),"")</f>
        <v>1</v>
      </c>
      <c r="BW41" s="39" t="n">
        <f aca="false">IFERROR(IF($C41="","",IF($D41="","",IFERROR(ROUND($D41*INDEX('🔖 배합비 참조'!$B$2:$CE$83,MATCH("치즈 [크림치즈]",'🔖 배합비 참조'!$A$2:$A$83,0),MATCH($C41,'🔖 배합비 참조'!$B$1:$CE$1,0))/100,0),""))),"")</f>
        <v>0</v>
      </c>
      <c r="BX41" s="39" t="n">
        <f aca="false">IFERROR(IF($C41="","",IF($D41="","",IFERROR(ROUND($D41*INDEX('🔖 배합비 참조'!$B$2:$CE$83,MATCH("코코아가공품류(코코아분말)",'🔖 배합비 참조'!$A$2:$A$83,0),MATCH($C41,'🔖 배합비 참조'!$B$1:$CE$1,0))/100,0),""))),"")</f>
        <v>0</v>
      </c>
      <c r="BY41" s="39" t="n">
        <f aca="false">IFERROR(IF($C41="","",IF($D41="","",IFERROR(ROUND($D41*INDEX('🔖 배합비 참조'!$B$2:$CE$83,MATCH("콩기름(대두유)",'🔖 배합비 참조'!$A$2:$A$83,0),MATCH($C41,'🔖 배합비 참조'!$B$1:$CE$1,0))/100,0),""))),"")</f>
        <v>0</v>
      </c>
      <c r="BZ41" s="39" t="n">
        <f aca="false">IFERROR(IF($C41="","",IF($D41="","",IFERROR(ROUND($D41*INDEX('🔖 배합비 참조'!$B$2:$CE$83,MATCH("해바라기씨앗",'🔖 배합비 참조'!$A$2:$A$83,0),MATCH($C41,'🔖 배합비 참조'!$B$1:$CE$1,0))/100,0),""))),"")</f>
        <v>0</v>
      </c>
      <c r="CA41" s="39" t="n">
        <f aca="false">IFERROR(IF($C41="","",IF($D41="","",IFERROR(ROUND($D41*INDEX('🔖 배합비 참조'!$B$2:$CE$83,MATCH("현미(국내산)",'🔖 배합비 참조'!$A$2:$A$83,0),MATCH($C41,'🔖 배합비 참조'!$B$1:$CE$1,0))/100,0),""))),"")</f>
        <v>0</v>
      </c>
      <c r="CB41" s="39" t="n">
        <f aca="false">IFERROR(IF($C41="","",IF($D41="","",IFERROR(ROUND($D41*INDEX('🔖 배합비 참조'!$B$2:$CE$83,MATCH("현미멥쌀(국내산)",'🔖 배합비 참조'!$A$2:$A$83,0),MATCH($C41,'🔖 배합비 참조'!$B$1:$CE$1,0))/100,0),""))),"")</f>
        <v>0</v>
      </c>
      <c r="CC41" s="39" t="n">
        <f aca="false">IFERROR(IF($C41="","",IF($D41="","",IFERROR(ROUND($D41*INDEX('🔖 배합비 참조'!$B$2:$CE$83,MATCH("호두분태(미국산)",'🔖 배합비 참조'!$A$2:$A$83,0),MATCH($C41,'🔖 배합비 참조'!$B$1:$CE$1,0))/100,0),""))),"")</f>
        <v>0</v>
      </c>
      <c r="CD41" s="39" t="n">
        <f aca="false">IFERROR(IF($C41="","",IF($D41="","",IFERROR(ROUND($D41*INDEX('🔖 배합비 참조'!$B$2:$CE$83,MATCH("호박씨앗(외국산)",'🔖 배합비 참조'!$A$2:$A$83,0),MATCH($C41,'🔖 배합비 참조'!$B$1:$CE$1,0))/100,0),""))),"")</f>
        <v>0</v>
      </c>
      <c r="CE41" s="39" t="n">
        <f aca="false">IFERROR(IF($C41="","",IF($D41="","",IFERROR(ROUND($D41*INDEX('🔖 배합비 참조'!$B$2:$CE$83,MATCH("혼합제제(떡용에스텔)",'🔖 배합비 참조'!$A$2:$A$83,0),MATCH($C41,'🔖 배합비 참조'!$B$1:$CE$1,0))/100,0),""))),"")</f>
        <v>0</v>
      </c>
      <c r="CF41" s="39" t="n">
        <f aca="false">IFERROR(IF($C41="","",IF($D41="","",IFERROR(ROUND($D41*INDEX('🔖 배합비 참조'!$B$2:$CE$83,MATCH("혼합제제(스테비아)",'🔖 배합비 참조'!$A$2:$A$83,0),MATCH($C41,'🔖 배합비 참조'!$B$1:$CE$1,0))/100,0),""))),"")</f>
        <v>0</v>
      </c>
      <c r="CG41" s="39" t="n">
        <f aca="false">IFERROR(IF($C41="","",IF($D41="","",IFERROR(ROUND($D41*INDEX('🔖 배합비 참조'!$B$2:$CE$83,MATCH("화이트초콜릿",'🔖 배합비 참조'!$A$2:$A$83,0),MATCH($C41,'🔖 배합비 참조'!$B$1:$CE$1,0))/100,0),""))),"")</f>
        <v>0</v>
      </c>
      <c r="CH41" s="39" t="n">
        <f aca="false">IFERROR(IF($C41="","",IF($D41="","",IFERROR(ROUND($D41*INDEX('🔖 배합비 참조'!$B$2:$CE$83,MATCH("흑미찹쌀(국내산)",'🔖 배합비 참조'!$A$2:$A$83,0),MATCH($C41,'🔖 배합비 참조'!$B$1:$CE$1,0))/100,0),""))),"")</f>
        <v>0</v>
      </c>
      <c r="CI41" s="39" t="n">
        <f aca="false">IFERROR(IF($C41="","",IF($D41="","",IFERROR(ROUND($D41*INDEX('🔖 배합비 참조'!$B$2:$CE$83,MATCH("찰옥수수전분(미국산)",'🔖 배합비 참조'!$A$2:$A$83,0),MATCH($C41,'🔖 배합비 참조'!$B$1:$CE$1,0))/100,0),""))),"")</f>
        <v>0</v>
      </c>
      <c r="CJ41" s="40"/>
      <c r="CL41" s="1" t="s">
        <v>235</v>
      </c>
    </row>
    <row r="42" customFormat="false" ht="18" hidden="false" customHeight="true" outlineLevel="0" collapsed="false">
      <c r="A42" s="41" t="n">
        <v>38</v>
      </c>
      <c r="B42" s="36" t="n">
        <v>45961</v>
      </c>
      <c r="C42" s="37" t="s">
        <v>212</v>
      </c>
      <c r="D42" s="38" t="n">
        <v>100</v>
      </c>
      <c r="E42" s="17"/>
      <c r="F42" s="17"/>
      <c r="G42" s="42" t="n">
        <f aca="false">IFERROR(IF($C42="","",IF($D42="","",IFERROR(ROUND($D42*INDEX('🔖 배합비 참조'!$B$2:$CE$83,MATCH("간장",'🔖 배합비 참조'!$A$2:$A$83,0),MATCH($C42,'🔖 배합비 참조'!$B$1:$CE$1,0))/100,0),""))),"")</f>
        <v>0</v>
      </c>
      <c r="H42" s="42" t="n">
        <f aca="false">IFERROR(IF($C42="","",IF($D42="","",IFERROR(ROUND($D42*INDEX('🔖 배합비 참조'!$B$2:$CE$83,MATCH("강낭콩((울타리콩))",'🔖 배합비 참조'!$A$2:$A$83,0),MATCH($C42,'🔖 배합비 참조'!$B$1:$CE$1,0))/100,0),""))),"")</f>
        <v>0</v>
      </c>
      <c r="I42" s="42" t="n">
        <f aca="false">IFERROR(IF($C42="","",IF($D42="","",IFERROR(ROUND($D42*INDEX('🔖 배합비 참조'!$B$2:$CE$83,MATCH("건조딸기다이스(외국산)",'🔖 배합비 참조'!$A$2:$A$83,0),MATCH($C42,'🔖 배합비 참조'!$B$1:$CE$1,0))/100,0),""))),"")</f>
        <v>0</v>
      </c>
      <c r="J42" s="42" t="n">
        <f aca="false">IFERROR(IF($C42="","",IF($D42="","",IFERROR(ROUND($D42*INDEX('🔖 배합비 참조'!$B$2:$CE$83,MATCH("건포도",'🔖 배합비 참조'!$A$2:$A$83,0),MATCH($C42,'🔖 배합비 참조'!$B$1:$CE$1,0))/100,0),""))),"")</f>
        <v>0</v>
      </c>
      <c r="K42" s="42" t="n">
        <f aca="false">IFERROR(IF($C42="","",IF($D42="","",IFERROR(ROUND($D42*INDEX('🔖 배합비 참조'!$B$2:$CE$83,MATCH("건호박채(중국산)",'🔖 배합비 참조'!$A$2:$A$83,0),MATCH($C42,'🔖 배합비 참조'!$B$1:$CE$1,0))/100,0),""))),"")</f>
        <v>0</v>
      </c>
      <c r="L42" s="42" t="n">
        <f aca="false">IFERROR(IF($C42="","",IF($D42="","",IFERROR(ROUND($D42*INDEX('🔖 배합비 참조'!$B$2:$CE$83,MATCH("검정깨(흑임자)",'🔖 배합비 참조'!$A$2:$A$83,0),MATCH($C42,'🔖 배합비 참조'!$B$1:$CE$1,0))/100,0),""))),"")</f>
        <v>0</v>
      </c>
      <c r="M42" s="42" t="n">
        <f aca="false">IFERROR(IF($C42="","",IF($D42="","",IFERROR(ROUND($D42*INDEX('🔖 배합비 참조'!$B$2:$CE$83,MATCH("검정콩",'🔖 배합비 참조'!$A$2:$A$83,0),MATCH($C42,'🔖 배합비 참조'!$B$1:$CE$1,0))/100,0),""))),"")</f>
        <v>0</v>
      </c>
      <c r="N42" s="42" t="n">
        <f aca="false">IFERROR(IF($C42="","",IF($D42="","",IFERROR(ROUND($D42*INDEX('🔖 배합비 참조'!$B$2:$CE$83,MATCH("계피가루",'🔖 배합비 참조'!$A$2:$A$83,0),MATCH($C42,'🔖 배합비 참조'!$B$1:$CE$1,0))/100,0),""))),"")</f>
        <v>0</v>
      </c>
      <c r="O42" s="42" t="n">
        <f aca="false">IFERROR(IF($C42="","",IF($D42="","",IFERROR(ROUND($D42*INDEX('🔖 배합비 참조'!$B$2:$CE$83,MATCH("고구마가루",'🔖 배합비 참조'!$A$2:$A$83,0),MATCH($C42,'🔖 배합비 참조'!$B$1:$CE$1,0))/100,0),""))),"")</f>
        <v>0</v>
      </c>
      <c r="P42" s="42" t="n">
        <f aca="false">IFERROR(IF($C42="","",IF($D42="","",IFERROR(ROUND($D42*INDEX('🔖 배합비 참조'!$B$2:$CE$83,MATCH("고구마무스",'🔖 배합비 참조'!$A$2:$A$83,0),MATCH($C42,'🔖 배합비 참조'!$B$1:$CE$1,0))/100,0),""))),"")</f>
        <v>0</v>
      </c>
      <c r="Q42" s="42" t="n">
        <f aca="false">IFERROR(IF($C42="","",IF($D42="","",IFERROR(ROUND($D42*INDEX('🔖 배합비 참조'!$B$2:$CE$83,MATCH("고려엉겅퀴((곤드레)국내산)",'🔖 배합비 참조'!$A$2:$A$83,0),MATCH($C42,'🔖 배합비 참조'!$B$1:$CE$1,0))/100,0),""))),"")</f>
        <v>0</v>
      </c>
      <c r="R42" s="42" t="n">
        <f aca="false">IFERROR(IF($C42="","",IF($D42="","",IFERROR(ROUND($D42*INDEX('🔖 배합비 참조'!$B$2:$CE$83,MATCH("기타가공품(복분자가루)",'🔖 배합비 참조'!$A$2:$A$83,0),MATCH($C42,'🔖 배합비 참조'!$B$1:$CE$1,0))/100,0),""))),"")</f>
        <v>0</v>
      </c>
      <c r="S42" s="42" t="n">
        <f aca="false">IFERROR(IF($C42="","",IF($D42="","",IFERROR(ROUND($D42*INDEX('🔖 배합비 참조'!$B$2:$CE$83,MATCH("기타가공품(슈퍼소프트엠)",'🔖 배합비 참조'!$A$2:$A$83,0),MATCH($C42,'🔖 배합비 참조'!$B$1:$CE$1,0))/100,0),""))),"")</f>
        <v>0</v>
      </c>
      <c r="T42" s="42" t="n">
        <f aca="false">IFERROR(IF($C42="","",IF($D42="","",IFERROR(ROUND($D42*INDEX('🔖 배합비 참조'!$B$2:$CE$83,MATCH("기타가공품(파인소프트 E-티)",'🔖 배합비 참조'!$A$2:$A$83,0),MATCH($C42,'🔖 배합비 참조'!$B$1:$CE$1,0))/100,0),""))),"")</f>
        <v>0</v>
      </c>
      <c r="U42" s="42" t="n">
        <f aca="false">IFERROR(IF($C42="","",IF($D42="","",IFERROR(ROUND($D42*INDEX('🔖 배합비 참조'!$B$2:$CE$83,MATCH("기타가공품(프리미엄카스테라가루)",'🔖 배합비 참조'!$A$2:$A$83,0),MATCH($C42,'🔖 배합비 참조'!$B$1:$CE$1,0))/100,0),""))),"")</f>
        <v>0</v>
      </c>
      <c r="V42" s="42" t="n">
        <f aca="false">IFERROR(IF($C42="","",IF($D42="","",IFERROR(ROUND($D42*INDEX('🔖 배합비 참조'!$B$2:$CE$83,MATCH("기타가공품(흑임자가루)",'🔖 배합비 참조'!$A$2:$A$83,0),MATCH($C42,'🔖 배합비 참조'!$B$1:$CE$1,0))/100,0),""))),"")</f>
        <v>0</v>
      </c>
      <c r="W42" s="42" t="n">
        <f aca="false">IFERROR(IF($C42="","",IF($D42="","",IFERROR(ROUND($D42*INDEX('🔖 배합비 참조'!$B$2:$CE$83,MATCH("기타설탕(흑설탕)",'🔖 배합비 참조'!$A$2:$A$83,0),MATCH($C42,'🔖 배합비 참조'!$B$1:$CE$1,0))/100,0),""))),"")</f>
        <v>8</v>
      </c>
      <c r="X42" s="42" t="n">
        <f aca="false">IFERROR(IF($C42="","",IF($D42="","",IFERROR(ROUND($D42*INDEX('🔖 배합비 참조'!$B$2:$CE$83,MATCH("냉동쑥(국내산)",'🔖 배합비 참조'!$A$2:$A$83,0),MATCH($C42,'🔖 배합비 참조'!$B$1:$CE$1,0))/100,0),""))),"")</f>
        <v>0</v>
      </c>
      <c r="Y42" s="42" t="n">
        <f aca="false">IFERROR(IF($C42="","",IF($D42="","",IFERROR(ROUND($D42*INDEX('🔖 배합비 참조'!$B$2:$CE$83,MATCH("냉동증숙고구마(중국산)",'🔖 배합비 참조'!$A$2:$A$83,0),MATCH($C42,'🔖 배합비 참조'!$B$1:$CE$1,0))/100,0),""))),"")</f>
        <v>0</v>
      </c>
      <c r="Z42" s="42" t="n">
        <f aca="false">IFERROR(IF($C42="","",IF($D42="","",IFERROR(ROUND($D42*INDEX('🔖 배합비 참조'!$B$2:$CE$83,MATCH("녹차가루",'🔖 배합비 참조'!$A$2:$A$83,0),MATCH($C42,'🔖 배합비 참조'!$B$1:$CE$1,0))/100,0),""))),"")</f>
        <v>0</v>
      </c>
      <c r="AA42" s="42" t="n">
        <f aca="false">IFERROR(IF($C42="","",IF($D42="","",IFERROR(ROUND($D42*INDEX('🔖 배합비 참조'!$B$2:$CE$83,MATCH("다크초콜릿 컴파운드칩",'🔖 배합비 참조'!$A$2:$A$83,0),MATCH($C42,'🔖 배합비 참조'!$B$1:$CE$1,0))/100,0),""))),"")</f>
        <v>0</v>
      </c>
      <c r="AB42" s="42" t="n">
        <f aca="false">IFERROR(IF($C42="","",IF($D42="","",IFERROR(ROUND($D42*INDEX('🔖 배합비 참조'!$B$2:$CE$83,MATCH("단호박분말(중국산)",'🔖 배합비 참조'!$A$2:$A$83,0),MATCH($C42,'🔖 배합비 참조'!$B$1:$CE$1,0))/100,0),""))),"")</f>
        <v>2</v>
      </c>
      <c r="AC42" s="42" t="n">
        <f aca="false">IFERROR(IF($C42="","",IF($D42="","",IFERROR(ROUND($D42*INDEX('🔖 배합비 참조'!$B$2:$CE$83,MATCH("당류가공품(단호박농축액)",'🔖 배합비 참조'!$A$2:$A$83,0),MATCH($C42,'🔖 배합비 참조'!$B$1:$CE$1,0))/100,0),""))),"")</f>
        <v>0</v>
      </c>
      <c r="AD42" s="42" t="n">
        <f aca="false">IFERROR(IF($C42="","",IF($D42="","",IFERROR(ROUND($D42*INDEX('🔖 배합비 참조'!$B$2:$CE$83,MATCH("당류가공품(알룰로스,에리스리톨,스테비올배당체혼합)",'🔖 배합비 참조'!$A$2:$A$83,0),MATCH($C42,'🔖 배합비 참조'!$B$1:$CE$1,0))/100,0),""))),"")</f>
        <v>0</v>
      </c>
      <c r="AE42" s="42" t="n">
        <f aca="false">IFERROR(IF($C42="","",IF($D42="","",IFERROR(ROUND($D42*INDEX('🔖 배합비 참조'!$B$2:$CE$83,MATCH("당류가공품(알룰로스제로파우더)",'🔖 배합비 참조'!$A$2:$A$83,0),MATCH($C42,'🔖 배합비 참조'!$B$1:$CE$1,0))/100,0),""))),"")</f>
        <v>0</v>
      </c>
      <c r="AF42" s="42" t="n">
        <f aca="false">IFERROR(IF($C42="","",IF($D42="","",IFERROR(ROUND($D42*INDEX('🔖 배합비 참조'!$B$2:$CE$83,MATCH("당절임(완두배기)",'🔖 배합비 참조'!$A$2:$A$83,0),MATCH($C42,'🔖 배합비 참조'!$B$1:$CE$1,0))/100,0),""))),"")</f>
        <v>0</v>
      </c>
      <c r="AG42" s="42" t="n">
        <f aca="false">IFERROR(IF($C42="","",IF($D42="","",IFERROR(ROUND($D42*INDEX('🔖 배합비 참조'!$B$2:$CE$83,MATCH("대추농축액",'🔖 배합비 참조'!$A$2:$A$83,0),MATCH($C42,'🔖 배합비 참조'!$B$1:$CE$1,0))/100,0),""))),"")</f>
        <v>0</v>
      </c>
      <c r="AH42" s="42" t="n">
        <f aca="false">IFERROR(IF($C42="","",IF($D42="","",IFERROR(ROUND($D42*INDEX('🔖 배합비 참조'!$B$2:$CE$83,MATCH("대추채(국내산)",'🔖 배합비 참조'!$A$2:$A$83,0),MATCH($C42,'🔖 배합비 참조'!$B$1:$CE$1,0))/100,0),""))),"")</f>
        <v>0</v>
      </c>
      <c r="AI42" s="42" t="n">
        <f aca="false">IFERROR(IF($C42="","",IF($D42="","",IFERROR(ROUND($D42*INDEX('🔖 배합비 참조'!$B$2:$CE$83,MATCH("동부(미얀마산)",'🔖 배합비 참조'!$A$2:$A$83,0),MATCH($C42,'🔖 배합비 참조'!$B$1:$CE$1,0))/100,0),""))),"")</f>
        <v>0</v>
      </c>
      <c r="AJ42" s="42" t="n">
        <f aca="false">IFERROR(IF($C42="","",IF($D42="","",IFERROR(ROUND($D42*INDEX('🔖 배합비 참조'!$B$2:$CE$83,MATCH("두류가공품(백옥앙금)",'🔖 배합비 참조'!$A$2:$A$83,0),MATCH($C42,'🔖 배합비 참조'!$B$1:$CE$1,0))/100,0),""))),"")</f>
        <v>0</v>
      </c>
      <c r="AK42" s="42" t="n">
        <f aca="false">IFERROR(IF($C42="","",IF($D42="","",IFERROR(ROUND($D42*INDEX('🔖 배합비 참조'!$B$2:$CE$83,MATCH("두류가공품(콩고물)",'🔖 배합비 참조'!$A$2:$A$83,0),MATCH($C42,'🔖 배합비 참조'!$B$1:$CE$1,0))/100,0),""))),"")</f>
        <v>0</v>
      </c>
      <c r="AL42" s="42" t="n">
        <f aca="false">IFERROR(IF($C42="","",IF($D42="","",IFERROR(ROUND($D42*INDEX('🔖 배합비 참조'!$B$2:$CE$83,MATCH("두류가공품(통팥고물)",'🔖 배합비 참조'!$A$2:$A$83,0),MATCH($C42,'🔖 배합비 참조'!$B$1:$CE$1,0))/100,0),""))),"")</f>
        <v>0</v>
      </c>
      <c r="AM42" s="42" t="n">
        <f aca="false">IFERROR(IF($C42="","",IF($D42="","",IFERROR(ROUND($D42*INDEX('🔖 배합비 참조'!$B$2:$CE$83,MATCH("딸기레진",'🔖 배합비 참조'!$A$2:$A$83,0),MATCH($C42,'🔖 배합비 참조'!$B$1:$CE$1,0))/100,0),""))),"")</f>
        <v>0</v>
      </c>
      <c r="AN42" s="42" t="n">
        <f aca="false">IFERROR(IF($C42="","",IF($D42="","",IFERROR(ROUND($D42*INDEX('🔖 배합비 참조'!$B$2:$CE$83,MATCH("딸기분말(스트로우베리에이드(분말))",'🔖 배합비 참조'!$A$2:$A$83,0),MATCH($C42,'🔖 배합비 참조'!$B$1:$CE$1,0))/100,0),""))),"")</f>
        <v>0</v>
      </c>
      <c r="AO42" s="42" t="n">
        <f aca="false">IFERROR(IF($C42="","",IF($D42="","",IFERROR(ROUND($D42*INDEX('🔖 배합비 참조'!$B$2:$CE$83,MATCH("마스카포네치즈",'🔖 배합비 참조'!$A$2:$A$83,0),MATCH($C42,'🔖 배합비 참조'!$B$1:$CE$1,0))/100,0),""))),"")</f>
        <v>0</v>
      </c>
      <c r="AP42" s="42" t="n">
        <f aca="false">IFERROR(IF($C42="","",IF($D42="","",IFERROR(ROUND($D42*INDEX('🔖 배합비 참조'!$B$2:$CE$83,MATCH("마카다미아분태(호주산)",'🔖 배합비 참조'!$A$2:$A$83,0),MATCH($C42,'🔖 배합비 참조'!$B$1:$CE$1,0))/100,0),""))),"")</f>
        <v>0</v>
      </c>
      <c r="AQ42" s="42" t="n">
        <f aca="false">IFERROR(IF($C42="","",IF($D42="","",IFERROR(ROUND($D42*INDEX('🔖 배합비 참조'!$B$2:$CE$83,MATCH("멥쌀(국내산)",'🔖 배합비 참조'!$A$2:$A$83,0),MATCH($C42,'🔖 배합비 참조'!$B$1:$CE$1,0))/100,0),""))),"")</f>
        <v>61</v>
      </c>
      <c r="AR42" s="42" t="n">
        <f aca="false">IFERROR(IF($C42="","",IF($D42="","",IFERROR(ROUND($D42*INDEX('🔖 배합비 참조'!$B$2:$CE$83,MATCH("모시잎(국내산)",'🔖 배합비 참조'!$A$2:$A$83,0),MATCH($C42,'🔖 배합비 참조'!$B$1:$CE$1,0))/100,0),""))),"")</f>
        <v>0</v>
      </c>
      <c r="AS42" s="42" t="n">
        <f aca="false">IFERROR(IF($C42="","",IF($D42="","",IFERROR(ROUND($D42*INDEX('🔖 배합비 참조'!$B$2:$CE$83,MATCH("물엿(저당물엿)",'🔖 배합비 참조'!$A$2:$A$83,0),MATCH($C42,'🔖 배합비 참조'!$B$1:$CE$1,0))/100,0),""))),"")</f>
        <v>0</v>
      </c>
      <c r="AT42" s="42" t="n">
        <f aca="false">IFERROR(IF($C42="","",IF($D42="","",IFERROR(ROUND($D42*INDEX('🔖 배합비 참조'!$B$2:$CE$83,MATCH("밤다이스",'🔖 배합비 참조'!$A$2:$A$83,0),MATCH($C42,'🔖 배합비 참조'!$B$1:$CE$1,0))/100,0),""))),"")</f>
        <v>0</v>
      </c>
      <c r="AU42" s="42" t="n">
        <f aca="false">IFERROR(IF($C42="","",IF($D42="","",IFERROR(ROUND($D42*INDEX('🔖 배합비 참조'!$B$2:$CE$83,MATCH("변성전분(타피오카전분)",'🔖 배합비 참조'!$A$2:$A$83,0),MATCH($C42,'🔖 배합비 참조'!$B$1:$CE$1,0))/100,0),""))),"")</f>
        <v>0</v>
      </c>
      <c r="AV42" s="42" t="n">
        <f aca="false">IFERROR(IF($C42="","",IF($D42="","",IFERROR(ROUND($D42*INDEX('🔖 배합비 참조'!$B$2:$CE$83,MATCH("복음땅콩분태",'🔖 배합비 참조'!$A$2:$A$83,0),MATCH($C42,'🔖 배합비 참조'!$B$1:$CE$1,0))/100,0),""))),"")</f>
        <v>0</v>
      </c>
      <c r="AW42" s="42" t="n">
        <f aca="false">IFERROR(IF($C42="","",IF($D42="","",IFERROR(ROUND($D42*INDEX('🔖 배합비 참조'!$B$2:$CE$83,MATCH("사양벌꿀(국내산)",'🔖 배합비 참조'!$A$2:$A$83,0),MATCH($C42,'🔖 배합비 참조'!$B$1:$CE$1,0))/100,0),""))),"")</f>
        <v>2</v>
      </c>
      <c r="AX42" s="42" t="n">
        <f aca="false">IFERROR(IF($C42="","",IF($D42="","",IFERROR(ROUND($D42*INDEX('🔖 배합비 참조'!$B$2:$CE$83,MATCH("생크림",'🔖 배합비 참조'!$A$2:$A$83,0),MATCH($C42,'🔖 배합비 참조'!$B$1:$CE$1,0))/100,0),""))),"")</f>
        <v>0</v>
      </c>
      <c r="AY42" s="42" t="n">
        <f aca="false">IFERROR(IF($C42="","",IF($D42="","",IFERROR(ROUND($D42*INDEX('🔖 배합비 참조'!$B$2:$CE$83,MATCH("서양호박(국내산,뉴질랜드산)",'🔖 배합비 참조'!$A$2:$A$83,0),MATCH($C42,'🔖 배합비 참조'!$B$1:$CE$1,0))/100,0),""))),"")</f>
        <v>8</v>
      </c>
      <c r="AZ42" s="42" t="n">
        <f aca="false">IFERROR(IF($C42="","",IF($D42="","",IFERROR(ROUND($D42*INDEX('🔖 배합비 참조'!$B$2:$CE$83,MATCH("설탕",'🔖 배합비 참조'!$A$2:$A$83,0),MATCH($C42,'🔖 배합비 참조'!$B$1:$CE$1,0))/100,0),""))),"")</f>
        <v>8</v>
      </c>
      <c r="BA42" s="42" t="n">
        <f aca="false">IFERROR(IF($C42="","",IF($D42="","",IFERROR(ROUND($D42*INDEX('🔖 배합비 참조'!$B$2:$CE$83,MATCH("스트로우베리 에이드 후레쉬",'🔖 배합비 참조'!$A$2:$A$83,0),MATCH($C42,'🔖 배합비 참조'!$B$1:$CE$1,0))/100,0),""))),"")</f>
        <v>0</v>
      </c>
      <c r="BB42" s="42" t="n">
        <f aca="false">IFERROR(IF($C42="","",IF($D42="","",IFERROR(ROUND($D42*INDEX('🔖 배합비 참조'!$B$2:$CE$83,MATCH("식물성기름혼합제제(분홍)",'🔖 배합비 참조'!$A$2:$A$83,0),MATCH($C42,'🔖 배합비 참조'!$B$1:$CE$1,0))/100,0),""))),"")</f>
        <v>0</v>
      </c>
      <c r="BC42" s="42" t="n">
        <f aca="false">IFERROR(IF($C42="","",IF($D42="","",IFERROR(ROUND($D42*INDEX('🔖 배합비 참조'!$B$2:$CE$83,MATCH("식물성기름혼합제제(초록)",'🔖 배합비 참조'!$A$2:$A$83,0),MATCH($C42,'🔖 배합비 참조'!$B$1:$CE$1,0))/100,0),""))),"")</f>
        <v>0</v>
      </c>
      <c r="BD42" s="42" t="n">
        <f aca="false">IFERROR(IF($C42="","",IF($D42="","",IFERROR(ROUND($D42*INDEX('🔖 배합비 참조'!$B$2:$CE$83,MATCH("식물성기름혼합제제(황색)",'🔖 배합비 참조'!$A$2:$A$83,0),MATCH($C42,'🔖 배합비 참조'!$B$1:$CE$1,0))/100,0),""))),"")</f>
        <v>0</v>
      </c>
      <c r="BE42" s="42" t="n">
        <f aca="false">IFERROR(IF($C42="","",IF($D42="","",IFERROR(ROUND($D42*INDEX('🔖 배합비 참조'!$B$2:$CE$83,MATCH("쑥가루(국내산)",'🔖 배합비 참조'!$A$2:$A$83,0),MATCH($C42,'🔖 배합비 참조'!$B$1:$CE$1,0))/100,0),""))),"")</f>
        <v>0</v>
      </c>
      <c r="BF42" s="42" t="n">
        <f aca="false">IFERROR(IF($C42="","",IF($D42="","",IFERROR(ROUND($D42*INDEX('🔖 배합비 참조'!$B$2:$CE$83,MATCH("아몬드슬라이스",'🔖 배합비 참조'!$A$2:$A$83,0),MATCH($C42,'🔖 배합비 참조'!$B$1:$CE$1,0))/100,0),""))),"")</f>
        <v>0</v>
      </c>
      <c r="BG42" s="42" t="n">
        <f aca="false">IFERROR(IF($C42="","",IF($D42="","",IFERROR(ROUND($D42*INDEX('🔖 배합비 참조'!$B$2:$CE$83,MATCH("알룰로오스(국내산)",'🔖 배합비 참조'!$A$2:$A$83,0),MATCH($C42,'🔖 배합비 참조'!$B$1:$CE$1,0))/100,0),""))),"")</f>
        <v>0</v>
      </c>
      <c r="BH42" s="42" t="n">
        <f aca="false">IFERROR(IF($C42="","",IF($D42="","",IFERROR(ROUND($D42*INDEX('🔖 배합비 참조'!$B$2:$CE$83,MATCH("연유",'🔖 배합비 참조'!$A$2:$A$83,0),MATCH($C42,'🔖 배합비 참조'!$B$1:$CE$1,0))/100,0),""))),"")</f>
        <v>0</v>
      </c>
      <c r="BI42" s="42" t="n">
        <f aca="false">IFERROR(IF($C42="","",IF($D42="","",IFERROR(ROUND($D42*INDEX('🔖 배합비 참조'!$B$2:$CE$83,MATCH("옥수수전분",'🔖 배합비 참조'!$A$2:$A$83,0),MATCH($C42,'🔖 배합비 참조'!$B$1:$CE$1,0))/100,0),""))),"")</f>
        <v>0</v>
      </c>
      <c r="BJ42" s="42" t="n">
        <f aca="false">IFERROR(IF($C42="","",IF($D42="","",IFERROR(ROUND($D42*INDEX('🔖 배합비 참조'!$B$2:$CE$83,MATCH("완두배기",'🔖 배합비 참조'!$A$2:$A$83,0),MATCH($C42,'🔖 배합비 참조'!$B$1:$CE$1,0))/100,0),""))),"")</f>
        <v>0</v>
      </c>
      <c r="BK42" s="42" t="n">
        <f aca="false">IFERROR(IF($C42="","",IF($D42="","",IFERROR(ROUND($D42*INDEX('🔖 배합비 참조'!$B$2:$CE$83,MATCH("우유(국내산)",'🔖 배합비 참조'!$A$2:$A$83,0),MATCH($C42,'🔖 배합비 참조'!$B$1:$CE$1,0))/100,0),""))),"")</f>
        <v>0</v>
      </c>
      <c r="BL42" s="42" t="n">
        <f aca="false">IFERROR(IF($C42="","",IF($D42="","",IFERROR(ROUND($D42*INDEX('🔖 배합비 참조'!$B$2:$CE$83,MATCH("자색고구마가루(중국산)",'🔖 배합비 참조'!$A$2:$A$83,0),MATCH($C42,'🔖 배합비 참조'!$B$1:$CE$1,0))/100,0),""))),"")</f>
        <v>0</v>
      </c>
      <c r="BM42" s="42" t="n">
        <f aca="false">IFERROR(IF($C42="","",IF($D42="","",IFERROR(ROUND($D42*INDEX('🔖 배합비 참조'!$B$2:$CE$83,MATCH("자연치즈(체다치즈)",'🔖 배합비 참조'!$A$2:$A$83,0),MATCH($C42,'🔖 배합비 참조'!$B$1:$CE$1,0))/100,0),""))),"")</f>
        <v>0</v>
      </c>
      <c r="BN42" s="42" t="n">
        <f aca="false">IFERROR(IF($C42="","",IF($D42="","",IFERROR(ROUND($D42*INDEX('🔖 배합비 참조'!$B$2:$CE$83,MATCH("정제수",'🔖 배합비 참조'!$A$2:$A$83,0),MATCH($C42,'🔖 배합비 참조'!$B$1:$CE$1,0))/100,0),""))),"")</f>
        <v>12</v>
      </c>
      <c r="BO42" s="42" t="n">
        <f aca="false">IFERROR(IF($C42="","",IF($D42="","",IFERROR(ROUND($D42*INDEX('🔖 배합비 참조'!$B$2:$CE$83,MATCH("젤라틴",'🔖 배합비 참조'!$A$2:$A$83,0),MATCH($C42,'🔖 배합비 참조'!$B$1:$CE$1,0))/100,0),""))),"")</f>
        <v>0</v>
      </c>
      <c r="BP42" s="42" t="n">
        <f aca="false">IFERROR(IF($C42="","",IF($D42="","",IFERROR(ROUND($D42*INDEX('🔖 배합비 참조'!$B$2:$CE$83,MATCH("조림류(백옥앙금)",'🔖 배합비 참조'!$A$2:$A$83,0),MATCH($C42,'🔖 배합비 참조'!$B$1:$CE$1,0))/100,0),""))),"")</f>
        <v>0</v>
      </c>
      <c r="BQ42" s="42" t="n">
        <f aca="false">IFERROR(IF($C42="","",IF($D42="","",IFERROR(ROUND($D42*INDEX('🔖 배합비 참조'!$B$2:$CE$83,MATCH("조림류(통팥앙금)",'🔖 배합비 참조'!$A$2:$A$83,0),MATCH($C42,'🔖 배합비 참조'!$B$1:$CE$1,0))/100,0),""))),"")</f>
        <v>0</v>
      </c>
      <c r="BR42" s="42" t="n">
        <f aca="false">IFERROR(IF($C42="","",IF($D42="","",IFERROR(ROUND($D42*INDEX('🔖 배합비 참조'!$B$2:$CE$83,MATCH("준초콜릿(외국산)",'🔖 배합비 참조'!$A$2:$A$83,0),MATCH($C42,'🔖 배합비 참조'!$B$1:$CE$1,0))/100,0),""))),"")</f>
        <v>0</v>
      </c>
      <c r="BS42" s="42" t="n">
        <f aca="false">IFERROR(IF($C42="","",IF($D42="","",IFERROR(ROUND($D42*INDEX('🔖 배합비 참조'!$B$2:$CE$83,MATCH("중력분",'🔖 배합비 참조'!$A$2:$A$83,0),MATCH($C42,'🔖 배합비 참조'!$B$1:$CE$1,0))/100,0),""))),"")</f>
        <v>0</v>
      </c>
      <c r="BT42" s="42" t="n">
        <f aca="false">IFERROR(IF($C42="","",IF($D42="","",IFERROR(ROUND($D42*INDEX('🔖 배합비 참조'!$B$2:$CE$83,MATCH("참깨(인도산,나이지리아산,탄자니아산,미얀마산)",'🔖 배합비 참조'!$A$2:$A$83,0),MATCH($C42,'🔖 배합비 참조'!$B$1:$CE$1,0))/100,0),""))),"")</f>
        <v>0</v>
      </c>
      <c r="BU42" s="42" t="n">
        <f aca="false">IFERROR(IF($C42="","",IF($D42="","",IFERROR(ROUND($D42*INDEX('🔖 배합비 참조'!$B$2:$CE$83,MATCH("찹쌀(국내산)",'🔖 배합비 참조'!$A$2:$A$83,0),MATCH($C42,'🔖 배합비 참조'!$B$1:$CE$1,0))/100,0),""))),"")</f>
        <v>0</v>
      </c>
      <c r="BV42" s="42" t="n">
        <f aca="false">IFERROR(IF($C42="","",IF($D42="","",IFERROR(ROUND($D42*INDEX('🔖 배합비 참조'!$B$2:$CE$83,MATCH("천일염",'🔖 배합비 참조'!$A$2:$A$83,0),MATCH($C42,'🔖 배합비 참조'!$B$1:$CE$1,0))/100,0),""))),"")</f>
        <v>1</v>
      </c>
      <c r="BW42" s="42" t="n">
        <f aca="false">IFERROR(IF($C42="","",IF($D42="","",IFERROR(ROUND($D42*INDEX('🔖 배합비 참조'!$B$2:$CE$83,MATCH("치즈 [크림치즈]",'🔖 배합비 참조'!$A$2:$A$83,0),MATCH($C42,'🔖 배합비 참조'!$B$1:$CE$1,0))/100,0),""))),"")</f>
        <v>0</v>
      </c>
      <c r="BX42" s="42" t="n">
        <f aca="false">IFERROR(IF($C42="","",IF($D42="","",IFERROR(ROUND($D42*INDEX('🔖 배합비 참조'!$B$2:$CE$83,MATCH("코코아가공품류(코코아분말)",'🔖 배합비 참조'!$A$2:$A$83,0),MATCH($C42,'🔖 배합비 참조'!$B$1:$CE$1,0))/100,0),""))),"")</f>
        <v>0</v>
      </c>
      <c r="BY42" s="42" t="n">
        <f aca="false">IFERROR(IF($C42="","",IF($D42="","",IFERROR(ROUND($D42*INDEX('🔖 배합비 참조'!$B$2:$CE$83,MATCH("콩기름(대두유)",'🔖 배합비 참조'!$A$2:$A$83,0),MATCH($C42,'🔖 배합비 참조'!$B$1:$CE$1,0))/100,0),""))),"")</f>
        <v>0</v>
      </c>
      <c r="BZ42" s="42" t="n">
        <f aca="false">IFERROR(IF($C42="","",IF($D42="","",IFERROR(ROUND($D42*INDEX('🔖 배합비 참조'!$B$2:$CE$83,MATCH("해바라기씨앗",'🔖 배합비 참조'!$A$2:$A$83,0),MATCH($C42,'🔖 배합비 참조'!$B$1:$CE$1,0))/100,0),""))),"")</f>
        <v>0</v>
      </c>
      <c r="CA42" s="42" t="n">
        <f aca="false">IFERROR(IF($C42="","",IF($D42="","",IFERROR(ROUND($D42*INDEX('🔖 배합비 참조'!$B$2:$CE$83,MATCH("현미(국내산)",'🔖 배합비 참조'!$A$2:$A$83,0),MATCH($C42,'🔖 배합비 참조'!$B$1:$CE$1,0))/100,0),""))),"")</f>
        <v>0</v>
      </c>
      <c r="CB42" s="42" t="n">
        <f aca="false">IFERROR(IF($C42="","",IF($D42="","",IFERROR(ROUND($D42*INDEX('🔖 배합비 참조'!$B$2:$CE$83,MATCH("현미멥쌀(국내산)",'🔖 배합비 참조'!$A$2:$A$83,0),MATCH($C42,'🔖 배합비 참조'!$B$1:$CE$1,0))/100,0),""))),"")</f>
        <v>0</v>
      </c>
      <c r="CC42" s="42" t="n">
        <f aca="false">IFERROR(IF($C42="","",IF($D42="","",IFERROR(ROUND($D42*INDEX('🔖 배합비 참조'!$B$2:$CE$83,MATCH("호두분태(미국산)",'🔖 배합비 참조'!$A$2:$A$83,0),MATCH($C42,'🔖 배합비 참조'!$B$1:$CE$1,0))/100,0),""))),"")</f>
        <v>0</v>
      </c>
      <c r="CD42" s="42" t="n">
        <f aca="false">IFERROR(IF($C42="","",IF($D42="","",IFERROR(ROUND($D42*INDEX('🔖 배합비 참조'!$B$2:$CE$83,MATCH("호박씨앗(외국산)",'🔖 배합비 참조'!$A$2:$A$83,0),MATCH($C42,'🔖 배합비 참조'!$B$1:$CE$1,0))/100,0),""))),"")</f>
        <v>0</v>
      </c>
      <c r="CE42" s="42" t="n">
        <f aca="false">IFERROR(IF($C42="","",IF($D42="","",IFERROR(ROUND($D42*INDEX('🔖 배합비 참조'!$B$2:$CE$83,MATCH("혼합제제(떡용에스텔)",'🔖 배합비 참조'!$A$2:$A$83,0),MATCH($C42,'🔖 배합비 참조'!$B$1:$CE$1,0))/100,0),""))),"")</f>
        <v>0</v>
      </c>
      <c r="CF42" s="42" t="n">
        <f aca="false">IFERROR(IF($C42="","",IF($D42="","",IFERROR(ROUND($D42*INDEX('🔖 배합비 참조'!$B$2:$CE$83,MATCH("혼합제제(스테비아)",'🔖 배합비 참조'!$A$2:$A$83,0),MATCH($C42,'🔖 배합비 참조'!$B$1:$CE$1,0))/100,0),""))),"")</f>
        <v>0</v>
      </c>
      <c r="CG42" s="42" t="n">
        <f aca="false">IFERROR(IF($C42="","",IF($D42="","",IFERROR(ROUND($D42*INDEX('🔖 배합비 참조'!$B$2:$CE$83,MATCH("화이트초콜릿",'🔖 배합비 참조'!$A$2:$A$83,0),MATCH($C42,'🔖 배합비 참조'!$B$1:$CE$1,0))/100,0),""))),"")</f>
        <v>0</v>
      </c>
      <c r="CH42" s="42" t="n">
        <f aca="false">IFERROR(IF($C42="","",IF($D42="","",IFERROR(ROUND($D42*INDEX('🔖 배합비 참조'!$B$2:$CE$83,MATCH("흑미찹쌀(국내산)",'🔖 배합비 참조'!$A$2:$A$83,0),MATCH($C42,'🔖 배합비 참조'!$B$1:$CE$1,0))/100,0),""))),"")</f>
        <v>0</v>
      </c>
      <c r="CI42" s="42" t="n">
        <f aca="false">IFERROR(IF($C42="","",IF($D42="","",IFERROR(ROUND($D42*INDEX('🔖 배합비 참조'!$B$2:$CE$83,MATCH("찰옥수수전분(미국산)",'🔖 배합비 참조'!$A$2:$A$83,0),MATCH($C42,'🔖 배합비 참조'!$B$1:$CE$1,0))/100,0),""))),"")</f>
        <v>0</v>
      </c>
      <c r="CJ42" s="40"/>
      <c r="CL42" s="1" t="s">
        <v>235</v>
      </c>
    </row>
    <row r="43" customFormat="false" ht="18" hidden="false" customHeight="true" outlineLevel="0" collapsed="false">
      <c r="A43" s="35" t="n">
        <v>39</v>
      </c>
      <c r="B43" s="36" t="n">
        <v>45964</v>
      </c>
      <c r="C43" s="37" t="s">
        <v>143</v>
      </c>
      <c r="D43" s="38" t="n">
        <v>287.5</v>
      </c>
      <c r="E43" s="13"/>
      <c r="F43" s="13"/>
      <c r="G43" s="39" t="n">
        <f aca="false">IFERROR(IF($C43="","",IF($D43="","",IFERROR(ROUND($D43*INDEX('🔖 배합비 참조'!$B$2:$CE$83,MATCH("간장",'🔖 배합비 참조'!$A$2:$A$83,0),MATCH($C43,'🔖 배합비 참조'!$B$1:$CE$1,0))/100,0),""))),"")</f>
        <v>0</v>
      </c>
      <c r="H43" s="39" t="n">
        <f aca="false">IFERROR(IF($C43="","",IF($D43="","",IFERROR(ROUND($D43*INDEX('🔖 배합비 참조'!$B$2:$CE$83,MATCH("강낭콩((울타리콩))",'🔖 배합비 참조'!$A$2:$A$83,0),MATCH($C43,'🔖 배합비 참조'!$B$1:$CE$1,0))/100,0),""))),"")</f>
        <v>0</v>
      </c>
      <c r="I43" s="39" t="n">
        <f aca="false">IFERROR(IF($C43="","",IF($D43="","",IFERROR(ROUND($D43*INDEX('🔖 배합비 참조'!$B$2:$CE$83,MATCH("건조딸기다이스(외국산)",'🔖 배합비 참조'!$A$2:$A$83,0),MATCH($C43,'🔖 배합비 참조'!$B$1:$CE$1,0))/100,0),""))),"")</f>
        <v>0</v>
      </c>
      <c r="J43" s="39" t="n">
        <f aca="false">IFERROR(IF($C43="","",IF($D43="","",IFERROR(ROUND($D43*INDEX('🔖 배합비 참조'!$B$2:$CE$83,MATCH("건포도",'🔖 배합비 참조'!$A$2:$A$83,0),MATCH($C43,'🔖 배합비 참조'!$B$1:$CE$1,0))/100,0),""))),"")</f>
        <v>0</v>
      </c>
      <c r="K43" s="39" t="n">
        <f aca="false">IFERROR(IF($C43="","",IF($D43="","",IFERROR(ROUND($D43*INDEX('🔖 배합비 참조'!$B$2:$CE$83,MATCH("건호박채(중국산)",'🔖 배합비 참조'!$A$2:$A$83,0),MATCH($C43,'🔖 배합비 참조'!$B$1:$CE$1,0))/100,0),""))),"")</f>
        <v>0</v>
      </c>
      <c r="L43" s="39" t="n">
        <f aca="false">IFERROR(IF($C43="","",IF($D43="","",IFERROR(ROUND($D43*INDEX('🔖 배합비 참조'!$B$2:$CE$83,MATCH("검정깨(흑임자)",'🔖 배합비 참조'!$A$2:$A$83,0),MATCH($C43,'🔖 배합비 참조'!$B$1:$CE$1,0))/100,0),""))),"")</f>
        <v>0</v>
      </c>
      <c r="M43" s="39" t="n">
        <f aca="false">IFERROR(IF($C43="","",IF($D43="","",IFERROR(ROUND($D43*INDEX('🔖 배합비 참조'!$B$2:$CE$83,MATCH("검정콩",'🔖 배합비 참조'!$A$2:$A$83,0),MATCH($C43,'🔖 배합비 참조'!$B$1:$CE$1,0))/100,0),""))),"")</f>
        <v>0</v>
      </c>
      <c r="N43" s="39" t="n">
        <f aca="false">IFERROR(IF($C43="","",IF($D43="","",IFERROR(ROUND($D43*INDEX('🔖 배합비 참조'!$B$2:$CE$83,MATCH("계피가루",'🔖 배합비 참조'!$A$2:$A$83,0),MATCH($C43,'🔖 배합비 참조'!$B$1:$CE$1,0))/100,0),""))),"")</f>
        <v>0</v>
      </c>
      <c r="O43" s="39" t="n">
        <f aca="false">IFERROR(IF($C43="","",IF($D43="","",IFERROR(ROUND($D43*INDEX('🔖 배합비 참조'!$B$2:$CE$83,MATCH("고구마가루",'🔖 배합비 참조'!$A$2:$A$83,0),MATCH($C43,'🔖 배합비 참조'!$B$1:$CE$1,0))/100,0),""))),"")</f>
        <v>0</v>
      </c>
      <c r="P43" s="39" t="n">
        <f aca="false">IFERROR(IF($C43="","",IF($D43="","",IFERROR(ROUND($D43*INDEX('🔖 배합비 참조'!$B$2:$CE$83,MATCH("고구마무스",'🔖 배합비 참조'!$A$2:$A$83,0),MATCH($C43,'🔖 배합비 참조'!$B$1:$CE$1,0))/100,0),""))),"")</f>
        <v>0</v>
      </c>
      <c r="Q43" s="39" t="n">
        <f aca="false">IFERROR(IF($C43="","",IF($D43="","",IFERROR(ROUND($D43*INDEX('🔖 배합비 참조'!$B$2:$CE$83,MATCH("고려엉겅퀴((곤드레)국내산)",'🔖 배합비 참조'!$A$2:$A$83,0),MATCH($C43,'🔖 배합비 참조'!$B$1:$CE$1,0))/100,0),""))),"")</f>
        <v>0</v>
      </c>
      <c r="R43" s="39" t="n">
        <f aca="false">IFERROR(IF($C43="","",IF($D43="","",IFERROR(ROUND($D43*INDEX('🔖 배합비 참조'!$B$2:$CE$83,MATCH("기타가공품(복분자가루)",'🔖 배합비 참조'!$A$2:$A$83,0),MATCH($C43,'🔖 배합비 참조'!$B$1:$CE$1,0))/100,0),""))),"")</f>
        <v>0</v>
      </c>
      <c r="S43" s="39" t="n">
        <f aca="false">IFERROR(IF($C43="","",IF($D43="","",IFERROR(ROUND($D43*INDEX('🔖 배합비 참조'!$B$2:$CE$83,MATCH("기타가공품(슈퍼소프트엠)",'🔖 배합비 참조'!$A$2:$A$83,0),MATCH($C43,'🔖 배합비 참조'!$B$1:$CE$1,0))/100,0),""))),"")</f>
        <v>0</v>
      </c>
      <c r="T43" s="39" t="n">
        <f aca="false">IFERROR(IF($C43="","",IF($D43="","",IFERROR(ROUND($D43*INDEX('🔖 배합비 참조'!$B$2:$CE$83,MATCH("기타가공품(파인소프트 E-티)",'🔖 배합비 참조'!$A$2:$A$83,0),MATCH($C43,'🔖 배합비 참조'!$B$1:$CE$1,0))/100,0),""))),"")</f>
        <v>0</v>
      </c>
      <c r="U43" s="39" t="n">
        <f aca="false">IFERROR(IF($C43="","",IF($D43="","",IFERROR(ROUND($D43*INDEX('🔖 배합비 참조'!$B$2:$CE$83,MATCH("기타가공품(프리미엄카스테라가루)",'🔖 배합비 참조'!$A$2:$A$83,0),MATCH($C43,'🔖 배합비 참조'!$B$1:$CE$1,0))/100,0),""))),"")</f>
        <v>0</v>
      </c>
      <c r="V43" s="39" t="n">
        <f aca="false">IFERROR(IF($C43="","",IF($D43="","",IFERROR(ROUND($D43*INDEX('🔖 배합비 참조'!$B$2:$CE$83,MATCH("기타가공품(흑임자가루)",'🔖 배합비 참조'!$A$2:$A$83,0),MATCH($C43,'🔖 배합비 참조'!$B$1:$CE$1,0))/100,0),""))),"")</f>
        <v>0</v>
      </c>
      <c r="W43" s="39" t="n">
        <f aca="false">IFERROR(IF($C43="","",IF($D43="","",IFERROR(ROUND($D43*INDEX('🔖 배합비 참조'!$B$2:$CE$83,MATCH("기타설탕(흑설탕)",'🔖 배합비 참조'!$A$2:$A$83,0),MATCH($C43,'🔖 배합비 참조'!$B$1:$CE$1,0))/100,0),""))),"")</f>
        <v>24</v>
      </c>
      <c r="X43" s="39" t="n">
        <f aca="false">IFERROR(IF($C43="","",IF($D43="","",IFERROR(ROUND($D43*INDEX('🔖 배합비 참조'!$B$2:$CE$83,MATCH("냉동쑥(국내산)",'🔖 배합비 참조'!$A$2:$A$83,0),MATCH($C43,'🔖 배합비 참조'!$B$1:$CE$1,0))/100,0),""))),"")</f>
        <v>0</v>
      </c>
      <c r="Y43" s="39" t="n">
        <f aca="false">IFERROR(IF($C43="","",IF($D43="","",IFERROR(ROUND($D43*INDEX('🔖 배합비 참조'!$B$2:$CE$83,MATCH("냉동증숙고구마(중국산)",'🔖 배합비 참조'!$A$2:$A$83,0),MATCH($C43,'🔖 배합비 참조'!$B$1:$CE$1,0))/100,0),""))),"")</f>
        <v>0</v>
      </c>
      <c r="Z43" s="39" t="n">
        <f aca="false">IFERROR(IF($C43="","",IF($D43="","",IFERROR(ROUND($D43*INDEX('🔖 배합비 참조'!$B$2:$CE$83,MATCH("녹차가루",'🔖 배합비 참조'!$A$2:$A$83,0),MATCH($C43,'🔖 배합비 참조'!$B$1:$CE$1,0))/100,0),""))),"")</f>
        <v>0</v>
      </c>
      <c r="AA43" s="39" t="n">
        <f aca="false">IFERROR(IF($C43="","",IF($D43="","",IFERROR(ROUND($D43*INDEX('🔖 배합비 참조'!$B$2:$CE$83,MATCH("다크초콜릿 컴파운드칩",'🔖 배합비 참조'!$A$2:$A$83,0),MATCH($C43,'🔖 배합비 참조'!$B$1:$CE$1,0))/100,0),""))),"")</f>
        <v>0</v>
      </c>
      <c r="AB43" s="39" t="n">
        <f aca="false">IFERROR(IF($C43="","",IF($D43="","",IFERROR(ROUND($D43*INDEX('🔖 배합비 참조'!$B$2:$CE$83,MATCH("단호박분말(중국산)",'🔖 배합비 참조'!$A$2:$A$83,0),MATCH($C43,'🔖 배합비 참조'!$B$1:$CE$1,0))/100,0),""))),"")</f>
        <v>0</v>
      </c>
      <c r="AC43" s="39" t="n">
        <f aca="false">IFERROR(IF($C43="","",IF($D43="","",IFERROR(ROUND($D43*INDEX('🔖 배합비 참조'!$B$2:$CE$83,MATCH("당류가공품(단호박농축액)",'🔖 배합비 참조'!$A$2:$A$83,0),MATCH($C43,'🔖 배합비 참조'!$B$1:$CE$1,0))/100,0),""))),"")</f>
        <v>0</v>
      </c>
      <c r="AD43" s="39" t="n">
        <f aca="false">IFERROR(IF($C43="","",IF($D43="","",IFERROR(ROUND($D43*INDEX('🔖 배합비 참조'!$B$2:$CE$83,MATCH("당류가공품(알룰로스,에리스리톨,스테비올배당체혼합)",'🔖 배합비 참조'!$A$2:$A$83,0),MATCH($C43,'🔖 배합비 참조'!$B$1:$CE$1,0))/100,0),""))),"")</f>
        <v>0</v>
      </c>
      <c r="AE43" s="39" t="n">
        <f aca="false">IFERROR(IF($C43="","",IF($D43="","",IFERROR(ROUND($D43*INDEX('🔖 배합비 참조'!$B$2:$CE$83,MATCH("당류가공품(알룰로스제로파우더)",'🔖 배합비 참조'!$A$2:$A$83,0),MATCH($C43,'🔖 배합비 참조'!$B$1:$CE$1,0))/100,0),""))),"")</f>
        <v>0</v>
      </c>
      <c r="AF43" s="39" t="n">
        <f aca="false">IFERROR(IF($C43="","",IF($D43="","",IFERROR(ROUND($D43*INDEX('🔖 배합비 참조'!$B$2:$CE$83,MATCH("당절임(완두배기)",'🔖 배합비 참조'!$A$2:$A$83,0),MATCH($C43,'🔖 배합비 참조'!$B$1:$CE$1,0))/100,0),""))),"")</f>
        <v>0</v>
      </c>
      <c r="AG43" s="39" t="n">
        <f aca="false">IFERROR(IF($C43="","",IF($D43="","",IFERROR(ROUND($D43*INDEX('🔖 배합비 참조'!$B$2:$CE$83,MATCH("대추농축액",'🔖 배합비 참조'!$A$2:$A$83,0),MATCH($C43,'🔖 배합비 참조'!$B$1:$CE$1,0))/100,0),""))),"")</f>
        <v>0</v>
      </c>
      <c r="AH43" s="39" t="n">
        <f aca="false">IFERROR(IF($C43="","",IF($D43="","",IFERROR(ROUND($D43*INDEX('🔖 배합비 참조'!$B$2:$CE$83,MATCH("대추채(국내산)",'🔖 배합비 참조'!$A$2:$A$83,0),MATCH($C43,'🔖 배합비 참조'!$B$1:$CE$1,0))/100,0),""))),"")</f>
        <v>0</v>
      </c>
      <c r="AI43" s="39" t="n">
        <f aca="false">IFERROR(IF($C43="","",IF($D43="","",IFERROR(ROUND($D43*INDEX('🔖 배합비 참조'!$B$2:$CE$83,MATCH("동부(미얀마산)",'🔖 배합비 참조'!$A$2:$A$83,0),MATCH($C43,'🔖 배합비 참조'!$B$1:$CE$1,0))/100,0),""))),"")</f>
        <v>0</v>
      </c>
      <c r="AJ43" s="39" t="n">
        <f aca="false">IFERROR(IF($C43="","",IF($D43="","",IFERROR(ROUND($D43*INDEX('🔖 배합비 참조'!$B$2:$CE$83,MATCH("두류가공품(백옥앙금)",'🔖 배합비 참조'!$A$2:$A$83,0),MATCH($C43,'🔖 배합비 참조'!$B$1:$CE$1,0))/100,0),""))),"")</f>
        <v>0</v>
      </c>
      <c r="AK43" s="39" t="n">
        <f aca="false">IFERROR(IF($C43="","",IF($D43="","",IFERROR(ROUND($D43*INDEX('🔖 배합비 참조'!$B$2:$CE$83,MATCH("두류가공품(콩고물)",'🔖 배합비 참조'!$A$2:$A$83,0),MATCH($C43,'🔖 배합비 참조'!$B$1:$CE$1,0))/100,0),""))),"")</f>
        <v>0</v>
      </c>
      <c r="AL43" s="39" t="n">
        <f aca="false">IFERROR(IF($C43="","",IF($D43="","",IFERROR(ROUND($D43*INDEX('🔖 배합비 참조'!$B$2:$CE$83,MATCH("두류가공품(통팥고물)",'🔖 배합비 참조'!$A$2:$A$83,0),MATCH($C43,'🔖 배합비 참조'!$B$1:$CE$1,0))/100,0),""))),"")</f>
        <v>0</v>
      </c>
      <c r="AM43" s="39" t="n">
        <f aca="false">IFERROR(IF($C43="","",IF($D43="","",IFERROR(ROUND($D43*INDEX('🔖 배합비 참조'!$B$2:$CE$83,MATCH("딸기레진",'🔖 배합비 참조'!$A$2:$A$83,0),MATCH($C43,'🔖 배합비 참조'!$B$1:$CE$1,0))/100,0),""))),"")</f>
        <v>0</v>
      </c>
      <c r="AN43" s="39" t="n">
        <f aca="false">IFERROR(IF($C43="","",IF($D43="","",IFERROR(ROUND($D43*INDEX('🔖 배합비 참조'!$B$2:$CE$83,MATCH("딸기분말(스트로우베리에이드(분말))",'🔖 배합비 참조'!$A$2:$A$83,0),MATCH($C43,'🔖 배합비 참조'!$B$1:$CE$1,0))/100,0),""))),"")</f>
        <v>0</v>
      </c>
      <c r="AO43" s="39" t="n">
        <f aca="false">IFERROR(IF($C43="","",IF($D43="","",IFERROR(ROUND($D43*INDEX('🔖 배합비 참조'!$B$2:$CE$83,MATCH("마스카포네치즈",'🔖 배합비 참조'!$A$2:$A$83,0),MATCH($C43,'🔖 배합비 참조'!$B$1:$CE$1,0))/100,0),""))),"")</f>
        <v>0</v>
      </c>
      <c r="AP43" s="39" t="n">
        <f aca="false">IFERROR(IF($C43="","",IF($D43="","",IFERROR(ROUND($D43*INDEX('🔖 배합비 참조'!$B$2:$CE$83,MATCH("마카다미아분태(호주산)",'🔖 배합비 참조'!$A$2:$A$83,0),MATCH($C43,'🔖 배합비 참조'!$B$1:$CE$1,0))/100,0),""))),"")</f>
        <v>0</v>
      </c>
      <c r="AQ43" s="39" t="n">
        <f aca="false">IFERROR(IF($C43="","",IF($D43="","",IFERROR(ROUND($D43*INDEX('🔖 배합비 참조'!$B$2:$CE$83,MATCH("멥쌀(국내산)",'🔖 배합비 참조'!$A$2:$A$83,0),MATCH($C43,'🔖 배합비 참조'!$B$1:$CE$1,0))/100,0),""))),"")</f>
        <v>193</v>
      </c>
      <c r="AR43" s="39" t="n">
        <f aca="false">IFERROR(IF($C43="","",IF($D43="","",IFERROR(ROUND($D43*INDEX('🔖 배합비 참조'!$B$2:$CE$83,MATCH("모시잎(국내산)",'🔖 배합비 참조'!$A$2:$A$83,0),MATCH($C43,'🔖 배합비 참조'!$B$1:$CE$1,0))/100,0),""))),"")</f>
        <v>0</v>
      </c>
      <c r="AS43" s="39" t="n">
        <f aca="false">IFERROR(IF($C43="","",IF($D43="","",IFERROR(ROUND($D43*INDEX('🔖 배합비 참조'!$B$2:$CE$83,MATCH("물엿(저당물엿)",'🔖 배합비 참조'!$A$2:$A$83,0),MATCH($C43,'🔖 배합비 참조'!$B$1:$CE$1,0))/100,0),""))),"")</f>
        <v>0</v>
      </c>
      <c r="AT43" s="39" t="n">
        <f aca="false">IFERROR(IF($C43="","",IF($D43="","",IFERROR(ROUND($D43*INDEX('🔖 배합비 참조'!$B$2:$CE$83,MATCH("밤다이스",'🔖 배합비 참조'!$A$2:$A$83,0),MATCH($C43,'🔖 배합비 참조'!$B$1:$CE$1,0))/100,0),""))),"")</f>
        <v>0</v>
      </c>
      <c r="AU43" s="39" t="n">
        <f aca="false">IFERROR(IF($C43="","",IF($D43="","",IFERROR(ROUND($D43*INDEX('🔖 배합비 참조'!$B$2:$CE$83,MATCH("변성전분(타피오카전분)",'🔖 배합비 참조'!$A$2:$A$83,0),MATCH($C43,'🔖 배합비 참조'!$B$1:$CE$1,0))/100,0),""))),"")</f>
        <v>0</v>
      </c>
      <c r="AV43" s="39" t="n">
        <f aca="false">IFERROR(IF($C43="","",IF($D43="","",IFERROR(ROUND($D43*INDEX('🔖 배합비 참조'!$B$2:$CE$83,MATCH("복음땅콩분태",'🔖 배합비 참조'!$A$2:$A$83,0),MATCH($C43,'🔖 배합비 참조'!$B$1:$CE$1,0))/100,0),""))),"")</f>
        <v>0</v>
      </c>
      <c r="AW43" s="39" t="n">
        <f aca="false">IFERROR(IF($C43="","",IF($D43="","",IFERROR(ROUND($D43*INDEX('🔖 배합비 참조'!$B$2:$CE$83,MATCH("사양벌꿀(국내산)",'🔖 배합비 참조'!$A$2:$A$83,0),MATCH($C43,'🔖 배합비 참조'!$B$1:$CE$1,0))/100,0),""))),"")</f>
        <v>6</v>
      </c>
      <c r="AX43" s="39" t="n">
        <f aca="false">IFERROR(IF($C43="","",IF($D43="","",IFERROR(ROUND($D43*INDEX('🔖 배합비 참조'!$B$2:$CE$83,MATCH("생크림",'🔖 배합비 참조'!$A$2:$A$83,0),MATCH($C43,'🔖 배합비 참조'!$B$1:$CE$1,0))/100,0),""))),"")</f>
        <v>0</v>
      </c>
      <c r="AY43" s="39" t="n">
        <f aca="false">IFERROR(IF($C43="","",IF($D43="","",IFERROR(ROUND($D43*INDEX('🔖 배합비 참조'!$B$2:$CE$83,MATCH("서양호박(국내산,뉴질랜드산)",'🔖 배합비 참조'!$A$2:$A$83,0),MATCH($C43,'🔖 배합비 참조'!$B$1:$CE$1,0))/100,0),""))),"")</f>
        <v>0</v>
      </c>
      <c r="AZ43" s="39" t="n">
        <f aca="false">IFERROR(IF($C43="","",IF($D43="","",IFERROR(ROUND($D43*INDEX('🔖 배합비 참조'!$B$2:$CE$83,MATCH("설탕",'🔖 배합비 참조'!$A$2:$A$83,0),MATCH($C43,'🔖 배합비 참조'!$B$1:$CE$1,0))/100,0),""))),"")</f>
        <v>24</v>
      </c>
      <c r="BA43" s="39" t="n">
        <f aca="false">IFERROR(IF($C43="","",IF($D43="","",IFERROR(ROUND($D43*INDEX('🔖 배합비 참조'!$B$2:$CE$83,MATCH("스트로우베리 에이드 후레쉬",'🔖 배합비 참조'!$A$2:$A$83,0),MATCH($C43,'🔖 배합비 참조'!$B$1:$CE$1,0))/100,0),""))),"")</f>
        <v>0</v>
      </c>
      <c r="BB43" s="39" t="n">
        <f aca="false">IFERROR(IF($C43="","",IF($D43="","",IFERROR(ROUND($D43*INDEX('🔖 배합비 참조'!$B$2:$CE$83,MATCH("식물성기름혼합제제(분홍)",'🔖 배합비 참조'!$A$2:$A$83,0),MATCH($C43,'🔖 배합비 참조'!$B$1:$CE$1,0))/100,0),""))),"")</f>
        <v>0</v>
      </c>
      <c r="BC43" s="39" t="n">
        <f aca="false">IFERROR(IF($C43="","",IF($D43="","",IFERROR(ROUND($D43*INDEX('🔖 배합비 참조'!$B$2:$CE$83,MATCH("식물성기름혼합제제(초록)",'🔖 배합비 참조'!$A$2:$A$83,0),MATCH($C43,'🔖 배합비 참조'!$B$1:$CE$1,0))/100,0),""))),"")</f>
        <v>0</v>
      </c>
      <c r="BD43" s="39" t="n">
        <f aca="false">IFERROR(IF($C43="","",IF($D43="","",IFERROR(ROUND($D43*INDEX('🔖 배합비 참조'!$B$2:$CE$83,MATCH("식물성기름혼합제제(황색)",'🔖 배합비 참조'!$A$2:$A$83,0),MATCH($C43,'🔖 배합비 참조'!$B$1:$CE$1,0))/100,0),""))),"")</f>
        <v>0</v>
      </c>
      <c r="BE43" s="39" t="n">
        <f aca="false">IFERROR(IF($C43="","",IF($D43="","",IFERROR(ROUND($D43*INDEX('🔖 배합비 참조'!$B$2:$CE$83,MATCH("쑥가루(국내산)",'🔖 배합비 참조'!$A$2:$A$83,0),MATCH($C43,'🔖 배합비 참조'!$B$1:$CE$1,0))/100,0),""))),"")</f>
        <v>0</v>
      </c>
      <c r="BF43" s="39" t="n">
        <f aca="false">IFERROR(IF($C43="","",IF($D43="","",IFERROR(ROUND($D43*INDEX('🔖 배합비 참조'!$B$2:$CE$83,MATCH("아몬드슬라이스",'🔖 배합비 참조'!$A$2:$A$83,0),MATCH($C43,'🔖 배합비 참조'!$B$1:$CE$1,0))/100,0),""))),"")</f>
        <v>0</v>
      </c>
      <c r="BG43" s="39" t="n">
        <f aca="false">IFERROR(IF($C43="","",IF($D43="","",IFERROR(ROUND($D43*INDEX('🔖 배합비 참조'!$B$2:$CE$83,MATCH("알룰로오스(국내산)",'🔖 배합비 참조'!$A$2:$A$83,0),MATCH($C43,'🔖 배합비 참조'!$B$1:$CE$1,0))/100,0),""))),"")</f>
        <v>0</v>
      </c>
      <c r="BH43" s="39" t="n">
        <f aca="false">IFERROR(IF($C43="","",IF($D43="","",IFERROR(ROUND($D43*INDEX('🔖 배합비 참조'!$B$2:$CE$83,MATCH("연유",'🔖 배합비 참조'!$A$2:$A$83,0),MATCH($C43,'🔖 배합비 참조'!$B$1:$CE$1,0))/100,0),""))),"")</f>
        <v>0</v>
      </c>
      <c r="BI43" s="39" t="n">
        <f aca="false">IFERROR(IF($C43="","",IF($D43="","",IFERROR(ROUND($D43*INDEX('🔖 배합비 참조'!$B$2:$CE$83,MATCH("옥수수전분",'🔖 배합비 참조'!$A$2:$A$83,0),MATCH($C43,'🔖 배합비 참조'!$B$1:$CE$1,0))/100,0),""))),"")</f>
        <v>0</v>
      </c>
      <c r="BJ43" s="39" t="n">
        <f aca="false">IFERROR(IF($C43="","",IF($D43="","",IFERROR(ROUND($D43*INDEX('🔖 배합비 참조'!$B$2:$CE$83,MATCH("완두배기",'🔖 배합비 참조'!$A$2:$A$83,0),MATCH($C43,'🔖 배합비 참조'!$B$1:$CE$1,0))/100,0),""))),"")</f>
        <v>0</v>
      </c>
      <c r="BK43" s="39" t="n">
        <f aca="false">IFERROR(IF($C43="","",IF($D43="","",IFERROR(ROUND($D43*INDEX('🔖 배합비 참조'!$B$2:$CE$83,MATCH("우유(국내산)",'🔖 배합비 참조'!$A$2:$A$83,0),MATCH($C43,'🔖 배합비 참조'!$B$1:$CE$1,0))/100,0),""))),"")</f>
        <v>0</v>
      </c>
      <c r="BL43" s="39" t="n">
        <f aca="false">IFERROR(IF($C43="","",IF($D43="","",IFERROR(ROUND($D43*INDEX('🔖 배합비 참조'!$B$2:$CE$83,MATCH("자색고구마가루(중국산)",'🔖 배합비 참조'!$A$2:$A$83,0),MATCH($C43,'🔖 배합비 참조'!$B$1:$CE$1,0))/100,0),""))),"")</f>
        <v>0</v>
      </c>
      <c r="BM43" s="39" t="n">
        <f aca="false">IFERROR(IF($C43="","",IF($D43="","",IFERROR(ROUND($D43*INDEX('🔖 배합비 참조'!$B$2:$CE$83,MATCH("자연치즈(체다치즈)",'🔖 배합비 참조'!$A$2:$A$83,0),MATCH($C43,'🔖 배합비 참조'!$B$1:$CE$1,0))/100,0),""))),"")</f>
        <v>0</v>
      </c>
      <c r="BN43" s="39" t="n">
        <f aca="false">IFERROR(IF($C43="","",IF($D43="","",IFERROR(ROUND($D43*INDEX('🔖 배합비 참조'!$B$2:$CE$83,MATCH("정제수",'🔖 배합비 참조'!$A$2:$A$83,0),MATCH($C43,'🔖 배합비 참조'!$B$1:$CE$1,0))/100,0),""))),"")</f>
        <v>36</v>
      </c>
      <c r="BO43" s="39" t="n">
        <f aca="false">IFERROR(IF($C43="","",IF($D43="","",IFERROR(ROUND($D43*INDEX('🔖 배합비 참조'!$B$2:$CE$83,MATCH("젤라틴",'🔖 배합비 참조'!$A$2:$A$83,0),MATCH($C43,'🔖 배합비 참조'!$B$1:$CE$1,0))/100,0),""))),"")</f>
        <v>0</v>
      </c>
      <c r="BP43" s="39" t="n">
        <f aca="false">IFERROR(IF($C43="","",IF($D43="","",IFERROR(ROUND($D43*INDEX('🔖 배합비 참조'!$B$2:$CE$83,MATCH("조림류(백옥앙금)",'🔖 배합비 참조'!$A$2:$A$83,0),MATCH($C43,'🔖 배합비 참조'!$B$1:$CE$1,0))/100,0),""))),"")</f>
        <v>0</v>
      </c>
      <c r="BQ43" s="39" t="n">
        <f aca="false">IFERROR(IF($C43="","",IF($D43="","",IFERROR(ROUND($D43*INDEX('🔖 배합비 참조'!$B$2:$CE$83,MATCH("조림류(통팥앙금)",'🔖 배합비 참조'!$A$2:$A$83,0),MATCH($C43,'🔖 배합비 참조'!$B$1:$CE$1,0))/100,0),""))),"")</f>
        <v>0</v>
      </c>
      <c r="BR43" s="39" t="n">
        <f aca="false">IFERROR(IF($C43="","",IF($D43="","",IFERROR(ROUND($D43*INDEX('🔖 배합비 참조'!$B$2:$CE$83,MATCH("준초콜릿(외국산)",'🔖 배합비 참조'!$A$2:$A$83,0),MATCH($C43,'🔖 배합비 참조'!$B$1:$CE$1,0))/100,0),""))),"")</f>
        <v>0</v>
      </c>
      <c r="BS43" s="39" t="n">
        <f aca="false">IFERROR(IF($C43="","",IF($D43="","",IFERROR(ROUND($D43*INDEX('🔖 배합비 참조'!$B$2:$CE$83,MATCH("중력분",'🔖 배합비 참조'!$A$2:$A$83,0),MATCH($C43,'🔖 배합비 참조'!$B$1:$CE$1,0))/100,0),""))),"")</f>
        <v>0</v>
      </c>
      <c r="BT43" s="39" t="n">
        <f aca="false">IFERROR(IF($C43="","",IF($D43="","",IFERROR(ROUND($D43*INDEX('🔖 배합비 참조'!$B$2:$CE$83,MATCH("참깨(인도산,나이지리아산,탄자니아산,미얀마산)",'🔖 배합비 참조'!$A$2:$A$83,0),MATCH($C43,'🔖 배합비 참조'!$B$1:$CE$1,0))/100,0),""))),"")</f>
        <v>0</v>
      </c>
      <c r="BU43" s="39" t="n">
        <f aca="false">IFERROR(IF($C43="","",IF($D43="","",IFERROR(ROUND($D43*INDEX('🔖 배합비 참조'!$B$2:$CE$83,MATCH("찹쌀(국내산)",'🔖 배합비 참조'!$A$2:$A$83,0),MATCH($C43,'🔖 배합비 참조'!$B$1:$CE$1,0))/100,0),""))),"")</f>
        <v>0</v>
      </c>
      <c r="BV43" s="39" t="n">
        <f aca="false">IFERROR(IF($C43="","",IF($D43="","",IFERROR(ROUND($D43*INDEX('🔖 배합비 참조'!$B$2:$CE$83,MATCH("천일염",'🔖 배합비 참조'!$A$2:$A$83,0),MATCH($C43,'🔖 배합비 참조'!$B$1:$CE$1,0))/100,0),""))),"")</f>
        <v>3</v>
      </c>
      <c r="BW43" s="39" t="n">
        <f aca="false">IFERROR(IF($C43="","",IF($D43="","",IFERROR(ROUND($D43*INDEX('🔖 배합비 참조'!$B$2:$CE$83,MATCH("치즈 [크림치즈]",'🔖 배합비 참조'!$A$2:$A$83,0),MATCH($C43,'🔖 배합비 참조'!$B$1:$CE$1,0))/100,0),""))),"")</f>
        <v>0</v>
      </c>
      <c r="BX43" s="39" t="n">
        <f aca="false">IFERROR(IF($C43="","",IF($D43="","",IFERROR(ROUND($D43*INDEX('🔖 배합비 참조'!$B$2:$CE$83,MATCH("코코아가공품류(코코아분말)",'🔖 배합비 참조'!$A$2:$A$83,0),MATCH($C43,'🔖 배합비 참조'!$B$1:$CE$1,0))/100,0),""))),"")</f>
        <v>0</v>
      </c>
      <c r="BY43" s="39" t="n">
        <f aca="false">IFERROR(IF($C43="","",IF($D43="","",IFERROR(ROUND($D43*INDEX('🔖 배합비 참조'!$B$2:$CE$83,MATCH("콩기름(대두유)",'🔖 배합비 참조'!$A$2:$A$83,0),MATCH($C43,'🔖 배합비 참조'!$B$1:$CE$1,0))/100,0),""))),"")</f>
        <v>0</v>
      </c>
      <c r="BZ43" s="39" t="n">
        <f aca="false">IFERROR(IF($C43="","",IF($D43="","",IFERROR(ROUND($D43*INDEX('🔖 배합비 참조'!$B$2:$CE$83,MATCH("해바라기씨앗",'🔖 배합비 참조'!$A$2:$A$83,0),MATCH($C43,'🔖 배합비 참조'!$B$1:$CE$1,0))/100,0),""))),"")</f>
        <v>0</v>
      </c>
      <c r="CA43" s="39" t="n">
        <f aca="false">IFERROR(IF($C43="","",IF($D43="","",IFERROR(ROUND($D43*INDEX('🔖 배합비 참조'!$B$2:$CE$83,MATCH("현미(국내산)",'🔖 배합비 참조'!$A$2:$A$83,0),MATCH($C43,'🔖 배합비 참조'!$B$1:$CE$1,0))/100,0),""))),"")</f>
        <v>0</v>
      </c>
      <c r="CB43" s="39" t="n">
        <f aca="false">IFERROR(IF($C43="","",IF($D43="","",IFERROR(ROUND($D43*INDEX('🔖 배합비 참조'!$B$2:$CE$83,MATCH("현미멥쌀(국내산)",'🔖 배합비 참조'!$A$2:$A$83,0),MATCH($C43,'🔖 배합비 참조'!$B$1:$CE$1,0))/100,0),""))),"")</f>
        <v>0</v>
      </c>
      <c r="CC43" s="39" t="n">
        <f aca="false">IFERROR(IF($C43="","",IF($D43="","",IFERROR(ROUND($D43*INDEX('🔖 배합비 참조'!$B$2:$CE$83,MATCH("호두분태(미국산)",'🔖 배합비 참조'!$A$2:$A$83,0),MATCH($C43,'🔖 배합비 참조'!$B$1:$CE$1,0))/100,0),""))),"")</f>
        <v>0</v>
      </c>
      <c r="CD43" s="39" t="n">
        <f aca="false">IFERROR(IF($C43="","",IF($D43="","",IFERROR(ROUND($D43*INDEX('🔖 배합비 참조'!$B$2:$CE$83,MATCH("호박씨앗(외국산)",'🔖 배합비 참조'!$A$2:$A$83,0),MATCH($C43,'🔖 배합비 참조'!$B$1:$CE$1,0))/100,0),""))),"")</f>
        <v>0</v>
      </c>
      <c r="CE43" s="39" t="n">
        <f aca="false">IFERROR(IF($C43="","",IF($D43="","",IFERROR(ROUND($D43*INDEX('🔖 배합비 참조'!$B$2:$CE$83,MATCH("혼합제제(떡용에스텔)",'🔖 배합비 참조'!$A$2:$A$83,0),MATCH($C43,'🔖 배합비 참조'!$B$1:$CE$1,0))/100,0),""))),"")</f>
        <v>0</v>
      </c>
      <c r="CF43" s="39" t="n">
        <f aca="false">IFERROR(IF($C43="","",IF($D43="","",IFERROR(ROUND($D43*INDEX('🔖 배합비 참조'!$B$2:$CE$83,MATCH("혼합제제(스테비아)",'🔖 배합비 참조'!$A$2:$A$83,0),MATCH($C43,'🔖 배합비 참조'!$B$1:$CE$1,0))/100,0),""))),"")</f>
        <v>0</v>
      </c>
      <c r="CG43" s="39" t="n">
        <f aca="false">IFERROR(IF($C43="","",IF($D43="","",IFERROR(ROUND($D43*INDEX('🔖 배합비 참조'!$B$2:$CE$83,MATCH("화이트초콜릿",'🔖 배합비 참조'!$A$2:$A$83,0),MATCH($C43,'🔖 배합비 참조'!$B$1:$CE$1,0))/100,0),""))),"")</f>
        <v>0</v>
      </c>
      <c r="CH43" s="39" t="n">
        <f aca="false">IFERROR(IF($C43="","",IF($D43="","",IFERROR(ROUND($D43*INDEX('🔖 배합비 참조'!$B$2:$CE$83,MATCH("흑미찹쌀(국내산)",'🔖 배합비 참조'!$A$2:$A$83,0),MATCH($C43,'🔖 배합비 참조'!$B$1:$CE$1,0))/100,0),""))),"")</f>
        <v>0</v>
      </c>
      <c r="CI43" s="39" t="n">
        <f aca="false">IFERROR(IF($C43="","",IF($D43="","",IFERROR(ROUND($D43*INDEX('🔖 배합비 참조'!$B$2:$CE$83,MATCH("찰옥수수전분(미국산)",'🔖 배합비 참조'!$A$2:$A$83,0),MATCH($C43,'🔖 배합비 참조'!$B$1:$CE$1,0))/100,0),""))),"")</f>
        <v>0</v>
      </c>
      <c r="CJ43" s="40"/>
      <c r="CL43" s="1" t="s">
        <v>238</v>
      </c>
    </row>
    <row r="44" customFormat="false" ht="18" hidden="false" customHeight="true" outlineLevel="0" collapsed="false">
      <c r="A44" s="41" t="n">
        <v>40</v>
      </c>
      <c r="B44" s="36" t="n">
        <v>45964</v>
      </c>
      <c r="C44" s="37" t="s">
        <v>144</v>
      </c>
      <c r="D44" s="38" t="n">
        <v>70</v>
      </c>
      <c r="E44" s="17"/>
      <c r="F44" s="17"/>
      <c r="G44" s="42" t="n">
        <f aca="false">IFERROR(IF($C44="","",IF($D44="","",IFERROR(ROUND($D44*INDEX('🔖 배합비 참조'!$B$2:$CE$83,MATCH("간장",'🔖 배합비 참조'!$A$2:$A$83,0),MATCH($C44,'🔖 배합비 참조'!$B$1:$CE$1,0))/100,0),""))),"")</f>
        <v>0</v>
      </c>
      <c r="H44" s="42" t="n">
        <f aca="false">IFERROR(IF($C44="","",IF($D44="","",IFERROR(ROUND($D44*INDEX('🔖 배합비 참조'!$B$2:$CE$83,MATCH("강낭콩((울타리콩))",'🔖 배합비 참조'!$A$2:$A$83,0),MATCH($C44,'🔖 배합비 참조'!$B$1:$CE$1,0))/100,0),""))),"")</f>
        <v>0</v>
      </c>
      <c r="I44" s="42" t="n">
        <f aca="false">IFERROR(IF($C44="","",IF($D44="","",IFERROR(ROUND($D44*INDEX('🔖 배합비 참조'!$B$2:$CE$83,MATCH("건조딸기다이스(외국산)",'🔖 배합비 참조'!$A$2:$A$83,0),MATCH($C44,'🔖 배합비 참조'!$B$1:$CE$1,0))/100,0),""))),"")</f>
        <v>0</v>
      </c>
      <c r="J44" s="42" t="n">
        <f aca="false">IFERROR(IF($C44="","",IF($D44="","",IFERROR(ROUND($D44*INDEX('🔖 배합비 참조'!$B$2:$CE$83,MATCH("건포도",'🔖 배합비 참조'!$A$2:$A$83,0),MATCH($C44,'🔖 배합비 참조'!$B$1:$CE$1,0))/100,0),""))),"")</f>
        <v>0</v>
      </c>
      <c r="K44" s="42" t="n">
        <f aca="false">IFERROR(IF($C44="","",IF($D44="","",IFERROR(ROUND($D44*INDEX('🔖 배합비 참조'!$B$2:$CE$83,MATCH("건호박채(중국산)",'🔖 배합비 참조'!$A$2:$A$83,0),MATCH($C44,'🔖 배합비 참조'!$B$1:$CE$1,0))/100,0),""))),"")</f>
        <v>0</v>
      </c>
      <c r="L44" s="42" t="n">
        <f aca="false">IFERROR(IF($C44="","",IF($D44="","",IFERROR(ROUND($D44*INDEX('🔖 배합비 참조'!$B$2:$CE$83,MATCH("검정깨(흑임자)",'🔖 배합비 참조'!$A$2:$A$83,0),MATCH($C44,'🔖 배합비 참조'!$B$1:$CE$1,0))/100,0),""))),"")</f>
        <v>0</v>
      </c>
      <c r="M44" s="42" t="n">
        <f aca="false">IFERROR(IF($C44="","",IF($D44="","",IFERROR(ROUND($D44*INDEX('🔖 배합비 참조'!$B$2:$CE$83,MATCH("검정콩",'🔖 배합비 참조'!$A$2:$A$83,0),MATCH($C44,'🔖 배합비 참조'!$B$1:$CE$1,0))/100,0),""))),"")</f>
        <v>0</v>
      </c>
      <c r="N44" s="42" t="n">
        <f aca="false">IFERROR(IF($C44="","",IF($D44="","",IFERROR(ROUND($D44*INDEX('🔖 배합비 참조'!$B$2:$CE$83,MATCH("계피가루",'🔖 배합비 참조'!$A$2:$A$83,0),MATCH($C44,'🔖 배합비 참조'!$B$1:$CE$1,0))/100,0),""))),"")</f>
        <v>0</v>
      </c>
      <c r="O44" s="42" t="n">
        <f aca="false">IFERROR(IF($C44="","",IF($D44="","",IFERROR(ROUND($D44*INDEX('🔖 배합비 참조'!$B$2:$CE$83,MATCH("고구마가루",'🔖 배합비 참조'!$A$2:$A$83,0),MATCH($C44,'🔖 배합비 참조'!$B$1:$CE$1,0))/100,0),""))),"")</f>
        <v>0</v>
      </c>
      <c r="P44" s="42" t="n">
        <f aca="false">IFERROR(IF($C44="","",IF($D44="","",IFERROR(ROUND($D44*INDEX('🔖 배합비 참조'!$B$2:$CE$83,MATCH("고구마무스",'🔖 배합비 참조'!$A$2:$A$83,0),MATCH($C44,'🔖 배합비 참조'!$B$1:$CE$1,0))/100,0),""))),"")</f>
        <v>0</v>
      </c>
      <c r="Q44" s="42" t="n">
        <f aca="false">IFERROR(IF($C44="","",IF($D44="","",IFERROR(ROUND($D44*INDEX('🔖 배합비 참조'!$B$2:$CE$83,MATCH("고려엉겅퀴((곤드레)국내산)",'🔖 배합비 참조'!$A$2:$A$83,0),MATCH($C44,'🔖 배합비 참조'!$B$1:$CE$1,0))/100,0),""))),"")</f>
        <v>0</v>
      </c>
      <c r="R44" s="42" t="n">
        <f aca="false">IFERROR(IF($C44="","",IF($D44="","",IFERROR(ROUND($D44*INDEX('🔖 배합비 참조'!$B$2:$CE$83,MATCH("기타가공품(복분자가루)",'🔖 배합비 참조'!$A$2:$A$83,0),MATCH($C44,'🔖 배합비 참조'!$B$1:$CE$1,0))/100,0),""))),"")</f>
        <v>0</v>
      </c>
      <c r="S44" s="42" t="n">
        <f aca="false">IFERROR(IF($C44="","",IF($D44="","",IFERROR(ROUND($D44*INDEX('🔖 배합비 참조'!$B$2:$CE$83,MATCH("기타가공품(슈퍼소프트엠)",'🔖 배합비 참조'!$A$2:$A$83,0),MATCH($C44,'🔖 배합비 참조'!$B$1:$CE$1,0))/100,0),""))),"")</f>
        <v>0</v>
      </c>
      <c r="T44" s="42" t="n">
        <f aca="false">IFERROR(IF($C44="","",IF($D44="","",IFERROR(ROUND($D44*INDEX('🔖 배합비 참조'!$B$2:$CE$83,MATCH("기타가공품(파인소프트 E-티)",'🔖 배합비 참조'!$A$2:$A$83,0),MATCH($C44,'🔖 배합비 참조'!$B$1:$CE$1,0))/100,0),""))),"")</f>
        <v>0</v>
      </c>
      <c r="U44" s="42" t="n">
        <f aca="false">IFERROR(IF($C44="","",IF($D44="","",IFERROR(ROUND($D44*INDEX('🔖 배합비 참조'!$B$2:$CE$83,MATCH("기타가공품(프리미엄카스테라가루)",'🔖 배합비 참조'!$A$2:$A$83,0),MATCH($C44,'🔖 배합비 참조'!$B$1:$CE$1,0))/100,0),""))),"")</f>
        <v>0</v>
      </c>
      <c r="V44" s="42" t="n">
        <f aca="false">IFERROR(IF($C44="","",IF($D44="","",IFERROR(ROUND($D44*INDEX('🔖 배합비 참조'!$B$2:$CE$83,MATCH("기타가공품(흑임자가루)",'🔖 배합비 참조'!$A$2:$A$83,0),MATCH($C44,'🔖 배합비 참조'!$B$1:$CE$1,0))/100,0),""))),"")</f>
        <v>0</v>
      </c>
      <c r="W44" s="42" t="n">
        <f aca="false">IFERROR(IF($C44="","",IF($D44="","",IFERROR(ROUND($D44*INDEX('🔖 배합비 참조'!$B$2:$CE$83,MATCH("기타설탕(흑설탕)",'🔖 배합비 참조'!$A$2:$A$83,0),MATCH($C44,'🔖 배합비 참조'!$B$1:$CE$1,0))/100,0),""))),"")</f>
        <v>0</v>
      </c>
      <c r="X44" s="42" t="n">
        <f aca="false">IFERROR(IF($C44="","",IF($D44="","",IFERROR(ROUND($D44*INDEX('🔖 배합비 참조'!$B$2:$CE$83,MATCH("냉동쑥(국내산)",'🔖 배합비 참조'!$A$2:$A$83,0),MATCH($C44,'🔖 배합비 참조'!$B$1:$CE$1,0))/100,0),""))),"")</f>
        <v>0</v>
      </c>
      <c r="Y44" s="42" t="n">
        <f aca="false">IFERROR(IF($C44="","",IF($D44="","",IFERROR(ROUND($D44*INDEX('🔖 배합비 참조'!$B$2:$CE$83,MATCH("냉동증숙고구마(중국산)",'🔖 배합비 참조'!$A$2:$A$83,0),MATCH($C44,'🔖 배합비 참조'!$B$1:$CE$1,0))/100,0),""))),"")</f>
        <v>0</v>
      </c>
      <c r="Z44" s="42" t="n">
        <f aca="false">IFERROR(IF($C44="","",IF($D44="","",IFERROR(ROUND($D44*INDEX('🔖 배합비 참조'!$B$2:$CE$83,MATCH("녹차가루",'🔖 배합비 참조'!$A$2:$A$83,0),MATCH($C44,'🔖 배합비 참조'!$B$1:$CE$1,0))/100,0),""))),"")</f>
        <v>0</v>
      </c>
      <c r="AA44" s="42" t="n">
        <f aca="false">IFERROR(IF($C44="","",IF($D44="","",IFERROR(ROUND($D44*INDEX('🔖 배합비 참조'!$B$2:$CE$83,MATCH("다크초콜릿 컴파운드칩",'🔖 배합비 참조'!$A$2:$A$83,0),MATCH($C44,'🔖 배합비 참조'!$B$1:$CE$1,0))/100,0),""))),"")</f>
        <v>0</v>
      </c>
      <c r="AB44" s="42" t="n">
        <f aca="false">IFERROR(IF($C44="","",IF($D44="","",IFERROR(ROUND($D44*INDEX('🔖 배합비 참조'!$B$2:$CE$83,MATCH("단호박분말(중국산)",'🔖 배합비 참조'!$A$2:$A$83,0),MATCH($C44,'🔖 배합비 참조'!$B$1:$CE$1,0))/100,0),""))),"")</f>
        <v>0</v>
      </c>
      <c r="AC44" s="42" t="n">
        <f aca="false">IFERROR(IF($C44="","",IF($D44="","",IFERROR(ROUND($D44*INDEX('🔖 배합비 참조'!$B$2:$CE$83,MATCH("당류가공품(단호박농축액)",'🔖 배합비 참조'!$A$2:$A$83,0),MATCH($C44,'🔖 배합비 참조'!$B$1:$CE$1,0))/100,0),""))),"")</f>
        <v>0</v>
      </c>
      <c r="AD44" s="42" t="n">
        <f aca="false">IFERROR(IF($C44="","",IF($D44="","",IFERROR(ROUND($D44*INDEX('🔖 배합비 참조'!$B$2:$CE$83,MATCH("당류가공품(알룰로스,에리스리톨,스테비올배당체혼합)",'🔖 배합비 참조'!$A$2:$A$83,0),MATCH($C44,'🔖 배합비 참조'!$B$1:$CE$1,0))/100,0),""))),"")</f>
        <v>0</v>
      </c>
      <c r="AE44" s="42" t="n">
        <f aca="false">IFERROR(IF($C44="","",IF($D44="","",IFERROR(ROUND($D44*INDEX('🔖 배합비 참조'!$B$2:$CE$83,MATCH("당류가공품(알룰로스제로파우더)",'🔖 배합비 참조'!$A$2:$A$83,0),MATCH($C44,'🔖 배합비 참조'!$B$1:$CE$1,0))/100,0),""))),"")</f>
        <v>0</v>
      </c>
      <c r="AF44" s="42" t="n">
        <f aca="false">IFERROR(IF($C44="","",IF($D44="","",IFERROR(ROUND($D44*INDEX('🔖 배합비 참조'!$B$2:$CE$83,MATCH("당절임(완두배기)",'🔖 배합비 참조'!$A$2:$A$83,0),MATCH($C44,'🔖 배합비 참조'!$B$1:$CE$1,0))/100,0),""))),"")</f>
        <v>0</v>
      </c>
      <c r="AG44" s="42" t="n">
        <f aca="false">IFERROR(IF($C44="","",IF($D44="","",IFERROR(ROUND($D44*INDEX('🔖 배합비 참조'!$B$2:$CE$83,MATCH("대추농축액",'🔖 배합비 참조'!$A$2:$A$83,0),MATCH($C44,'🔖 배합비 참조'!$B$1:$CE$1,0))/100,0),""))),"")</f>
        <v>0</v>
      </c>
      <c r="AH44" s="42" t="n">
        <f aca="false">IFERROR(IF($C44="","",IF($D44="","",IFERROR(ROUND($D44*INDEX('🔖 배합비 참조'!$B$2:$CE$83,MATCH("대추채(국내산)",'🔖 배합비 참조'!$A$2:$A$83,0),MATCH($C44,'🔖 배합비 참조'!$B$1:$CE$1,0))/100,0),""))),"")</f>
        <v>0</v>
      </c>
      <c r="AI44" s="42" t="n">
        <f aca="false">IFERROR(IF($C44="","",IF($D44="","",IFERROR(ROUND($D44*INDEX('🔖 배합비 참조'!$B$2:$CE$83,MATCH("동부(미얀마산)",'🔖 배합비 참조'!$A$2:$A$83,0),MATCH($C44,'🔖 배합비 참조'!$B$1:$CE$1,0))/100,0),""))),"")</f>
        <v>0</v>
      </c>
      <c r="AJ44" s="42" t="n">
        <f aca="false">IFERROR(IF($C44="","",IF($D44="","",IFERROR(ROUND($D44*INDEX('🔖 배합비 참조'!$B$2:$CE$83,MATCH("두류가공품(백옥앙금)",'🔖 배합비 참조'!$A$2:$A$83,0),MATCH($C44,'🔖 배합비 참조'!$B$1:$CE$1,0))/100,0),""))),"")</f>
        <v>0</v>
      </c>
      <c r="AK44" s="42" t="n">
        <f aca="false">IFERROR(IF($C44="","",IF($D44="","",IFERROR(ROUND($D44*INDEX('🔖 배합비 참조'!$B$2:$CE$83,MATCH("두류가공품(콩고물)",'🔖 배합비 참조'!$A$2:$A$83,0),MATCH($C44,'🔖 배합비 참조'!$B$1:$CE$1,0))/100,0),""))),"")</f>
        <v>2</v>
      </c>
      <c r="AL44" s="42" t="n">
        <f aca="false">IFERROR(IF($C44="","",IF($D44="","",IFERROR(ROUND($D44*INDEX('🔖 배합비 참조'!$B$2:$CE$83,MATCH("두류가공품(통팥고물)",'🔖 배합비 참조'!$A$2:$A$83,0),MATCH($C44,'🔖 배합비 참조'!$B$1:$CE$1,0))/100,0),""))),"")</f>
        <v>0</v>
      </c>
      <c r="AM44" s="42" t="n">
        <f aca="false">IFERROR(IF($C44="","",IF($D44="","",IFERROR(ROUND($D44*INDEX('🔖 배합비 참조'!$B$2:$CE$83,MATCH("딸기레진",'🔖 배합비 참조'!$A$2:$A$83,0),MATCH($C44,'🔖 배합비 참조'!$B$1:$CE$1,0))/100,0),""))),"")</f>
        <v>0</v>
      </c>
      <c r="AN44" s="42" t="n">
        <f aca="false">IFERROR(IF($C44="","",IF($D44="","",IFERROR(ROUND($D44*INDEX('🔖 배합비 참조'!$B$2:$CE$83,MATCH("딸기분말(스트로우베리에이드(분말))",'🔖 배합비 참조'!$A$2:$A$83,0),MATCH($C44,'🔖 배합비 참조'!$B$1:$CE$1,0))/100,0),""))),"")</f>
        <v>0</v>
      </c>
      <c r="AO44" s="42" t="n">
        <f aca="false">IFERROR(IF($C44="","",IF($D44="","",IFERROR(ROUND($D44*INDEX('🔖 배합비 참조'!$B$2:$CE$83,MATCH("마스카포네치즈",'🔖 배합비 참조'!$A$2:$A$83,0),MATCH($C44,'🔖 배합비 참조'!$B$1:$CE$1,0))/100,0),""))),"")</f>
        <v>0</v>
      </c>
      <c r="AP44" s="42" t="n">
        <f aca="false">IFERROR(IF($C44="","",IF($D44="","",IFERROR(ROUND($D44*INDEX('🔖 배합비 참조'!$B$2:$CE$83,MATCH("마카다미아분태(호주산)",'🔖 배합비 참조'!$A$2:$A$83,0),MATCH($C44,'🔖 배합비 참조'!$B$1:$CE$1,0))/100,0),""))),"")</f>
        <v>0</v>
      </c>
      <c r="AQ44" s="42" t="n">
        <f aca="false">IFERROR(IF($C44="","",IF($D44="","",IFERROR(ROUND($D44*INDEX('🔖 배합비 참조'!$B$2:$CE$83,MATCH("멥쌀(국내산)",'🔖 배합비 참조'!$A$2:$A$83,0),MATCH($C44,'🔖 배합비 참조'!$B$1:$CE$1,0))/100,0),""))),"")</f>
        <v>0</v>
      </c>
      <c r="AR44" s="42" t="n">
        <f aca="false">IFERROR(IF($C44="","",IF($D44="","",IFERROR(ROUND($D44*INDEX('🔖 배합비 참조'!$B$2:$CE$83,MATCH("모시잎(국내산)",'🔖 배합비 참조'!$A$2:$A$83,0),MATCH($C44,'🔖 배합비 참조'!$B$1:$CE$1,0))/100,0),""))),"")</f>
        <v>0</v>
      </c>
      <c r="AS44" s="42" t="n">
        <f aca="false">IFERROR(IF($C44="","",IF($D44="","",IFERROR(ROUND($D44*INDEX('🔖 배합비 참조'!$B$2:$CE$83,MATCH("물엿(저당물엿)",'🔖 배합비 참조'!$A$2:$A$83,0),MATCH($C44,'🔖 배합비 참조'!$B$1:$CE$1,0))/100,0),""))),"")</f>
        <v>3</v>
      </c>
      <c r="AT44" s="42" t="n">
        <f aca="false">IFERROR(IF($C44="","",IF($D44="","",IFERROR(ROUND($D44*INDEX('🔖 배합비 참조'!$B$2:$CE$83,MATCH("밤다이스",'🔖 배합비 참조'!$A$2:$A$83,0),MATCH($C44,'🔖 배합비 참조'!$B$1:$CE$1,0))/100,0),""))),"")</f>
        <v>0</v>
      </c>
      <c r="AU44" s="42" t="n">
        <f aca="false">IFERROR(IF($C44="","",IF($D44="","",IFERROR(ROUND($D44*INDEX('🔖 배합비 참조'!$B$2:$CE$83,MATCH("변성전분(타피오카전분)",'🔖 배합비 참조'!$A$2:$A$83,0),MATCH($C44,'🔖 배합비 참조'!$B$1:$CE$1,0))/100,0),""))),"")</f>
        <v>0</v>
      </c>
      <c r="AV44" s="42" t="n">
        <f aca="false">IFERROR(IF($C44="","",IF($D44="","",IFERROR(ROUND($D44*INDEX('🔖 배합비 참조'!$B$2:$CE$83,MATCH("복음땅콩분태",'🔖 배합비 참조'!$A$2:$A$83,0),MATCH($C44,'🔖 배합비 참조'!$B$1:$CE$1,0))/100,0),""))),"")</f>
        <v>0</v>
      </c>
      <c r="AW44" s="42" t="n">
        <f aca="false">IFERROR(IF($C44="","",IF($D44="","",IFERROR(ROUND($D44*INDEX('🔖 배합비 참조'!$B$2:$CE$83,MATCH("사양벌꿀(국내산)",'🔖 배합비 참조'!$A$2:$A$83,0),MATCH($C44,'🔖 배합비 참조'!$B$1:$CE$1,0))/100,0),""))),"")</f>
        <v>0</v>
      </c>
      <c r="AX44" s="42" t="n">
        <f aca="false">IFERROR(IF($C44="","",IF($D44="","",IFERROR(ROUND($D44*INDEX('🔖 배합비 참조'!$B$2:$CE$83,MATCH("생크림",'🔖 배합비 참조'!$A$2:$A$83,0),MATCH($C44,'🔖 배합비 참조'!$B$1:$CE$1,0))/100,0),""))),"")</f>
        <v>0</v>
      </c>
      <c r="AY44" s="42" t="n">
        <f aca="false">IFERROR(IF($C44="","",IF($D44="","",IFERROR(ROUND($D44*INDEX('🔖 배합비 참조'!$B$2:$CE$83,MATCH("서양호박(국내산,뉴질랜드산)",'🔖 배합비 참조'!$A$2:$A$83,0),MATCH($C44,'🔖 배합비 참조'!$B$1:$CE$1,0))/100,0),""))),"")</f>
        <v>0</v>
      </c>
      <c r="AZ44" s="42" t="n">
        <f aca="false">IFERROR(IF($C44="","",IF($D44="","",IFERROR(ROUND($D44*INDEX('🔖 배합비 참조'!$B$2:$CE$83,MATCH("설탕",'🔖 배합비 참조'!$A$2:$A$83,0),MATCH($C44,'🔖 배합비 참조'!$B$1:$CE$1,0))/100,0),""))),"")</f>
        <v>3</v>
      </c>
      <c r="BA44" s="42" t="n">
        <f aca="false">IFERROR(IF($C44="","",IF($D44="","",IFERROR(ROUND($D44*INDEX('🔖 배합비 참조'!$B$2:$CE$83,MATCH("스트로우베리 에이드 후레쉬",'🔖 배합비 참조'!$A$2:$A$83,0),MATCH($C44,'🔖 배합비 참조'!$B$1:$CE$1,0))/100,0),""))),"")</f>
        <v>0</v>
      </c>
      <c r="BB44" s="42" t="n">
        <f aca="false">IFERROR(IF($C44="","",IF($D44="","",IFERROR(ROUND($D44*INDEX('🔖 배합비 참조'!$B$2:$CE$83,MATCH("식물성기름혼합제제(분홍)",'🔖 배합비 참조'!$A$2:$A$83,0),MATCH($C44,'🔖 배합비 참조'!$B$1:$CE$1,0))/100,0),""))),"")</f>
        <v>0</v>
      </c>
      <c r="BC44" s="42" t="n">
        <f aca="false">IFERROR(IF($C44="","",IF($D44="","",IFERROR(ROUND($D44*INDEX('🔖 배합비 참조'!$B$2:$CE$83,MATCH("식물성기름혼합제제(초록)",'🔖 배합비 참조'!$A$2:$A$83,0),MATCH($C44,'🔖 배합비 참조'!$B$1:$CE$1,0))/100,0),""))),"")</f>
        <v>0</v>
      </c>
      <c r="BD44" s="42" t="n">
        <f aca="false">IFERROR(IF($C44="","",IF($D44="","",IFERROR(ROUND($D44*INDEX('🔖 배합비 참조'!$B$2:$CE$83,MATCH("식물성기름혼합제제(황색)",'🔖 배합비 참조'!$A$2:$A$83,0),MATCH($C44,'🔖 배합비 참조'!$B$1:$CE$1,0))/100,0),""))),"")</f>
        <v>0</v>
      </c>
      <c r="BE44" s="42" t="n">
        <f aca="false">IFERROR(IF($C44="","",IF($D44="","",IFERROR(ROUND($D44*INDEX('🔖 배합비 참조'!$B$2:$CE$83,MATCH("쑥가루(국내산)",'🔖 배합비 참조'!$A$2:$A$83,0),MATCH($C44,'🔖 배합비 참조'!$B$1:$CE$1,0))/100,0),""))),"")</f>
        <v>0</v>
      </c>
      <c r="BF44" s="42" t="n">
        <f aca="false">IFERROR(IF($C44="","",IF($D44="","",IFERROR(ROUND($D44*INDEX('🔖 배합비 참조'!$B$2:$CE$83,MATCH("아몬드슬라이스",'🔖 배합비 참조'!$A$2:$A$83,0),MATCH($C44,'🔖 배합비 참조'!$B$1:$CE$1,0))/100,0),""))),"")</f>
        <v>0</v>
      </c>
      <c r="BG44" s="42" t="n">
        <f aca="false">IFERROR(IF($C44="","",IF($D44="","",IFERROR(ROUND($D44*INDEX('🔖 배합비 참조'!$B$2:$CE$83,MATCH("알룰로오스(국내산)",'🔖 배합비 참조'!$A$2:$A$83,0),MATCH($C44,'🔖 배합비 참조'!$B$1:$CE$1,0))/100,0),""))),"")</f>
        <v>0</v>
      </c>
      <c r="BH44" s="42" t="n">
        <f aca="false">IFERROR(IF($C44="","",IF($D44="","",IFERROR(ROUND($D44*INDEX('🔖 배합비 참조'!$B$2:$CE$83,MATCH("연유",'🔖 배합비 참조'!$A$2:$A$83,0),MATCH($C44,'🔖 배합비 참조'!$B$1:$CE$1,0))/100,0),""))),"")</f>
        <v>0</v>
      </c>
      <c r="BI44" s="42" t="n">
        <f aca="false">IFERROR(IF($C44="","",IF($D44="","",IFERROR(ROUND($D44*INDEX('🔖 배합비 참조'!$B$2:$CE$83,MATCH("옥수수전분",'🔖 배합비 참조'!$A$2:$A$83,0),MATCH($C44,'🔖 배합비 참조'!$B$1:$CE$1,0))/100,0),""))),"")</f>
        <v>0</v>
      </c>
      <c r="BJ44" s="42" t="n">
        <f aca="false">IFERROR(IF($C44="","",IF($D44="","",IFERROR(ROUND($D44*INDEX('🔖 배합비 참조'!$B$2:$CE$83,MATCH("완두배기",'🔖 배합비 참조'!$A$2:$A$83,0),MATCH($C44,'🔖 배합비 참조'!$B$1:$CE$1,0))/100,0),""))),"")</f>
        <v>0</v>
      </c>
      <c r="BK44" s="42" t="n">
        <f aca="false">IFERROR(IF($C44="","",IF($D44="","",IFERROR(ROUND($D44*INDEX('🔖 배합비 참조'!$B$2:$CE$83,MATCH("우유(국내산)",'🔖 배합비 참조'!$A$2:$A$83,0),MATCH($C44,'🔖 배합비 참조'!$B$1:$CE$1,0))/100,0),""))),"")</f>
        <v>0</v>
      </c>
      <c r="BL44" s="42" t="n">
        <f aca="false">IFERROR(IF($C44="","",IF($D44="","",IFERROR(ROUND($D44*INDEX('🔖 배합비 참조'!$B$2:$CE$83,MATCH("자색고구마가루(중국산)",'🔖 배합비 참조'!$A$2:$A$83,0),MATCH($C44,'🔖 배합비 참조'!$B$1:$CE$1,0))/100,0),""))),"")</f>
        <v>0</v>
      </c>
      <c r="BM44" s="42" t="n">
        <f aca="false">IFERROR(IF($C44="","",IF($D44="","",IFERROR(ROUND($D44*INDEX('🔖 배합비 참조'!$B$2:$CE$83,MATCH("자연치즈(체다치즈)",'🔖 배합비 참조'!$A$2:$A$83,0),MATCH($C44,'🔖 배합비 참조'!$B$1:$CE$1,0))/100,0),""))),"")</f>
        <v>0</v>
      </c>
      <c r="BN44" s="42" t="n">
        <f aca="false">IFERROR(IF($C44="","",IF($D44="","",IFERROR(ROUND($D44*INDEX('🔖 배합비 참조'!$B$2:$CE$83,MATCH("정제수",'🔖 배합비 참조'!$A$2:$A$83,0),MATCH($C44,'🔖 배합비 참조'!$B$1:$CE$1,0))/100,0),""))),"")</f>
        <v>27</v>
      </c>
      <c r="BO44" s="42" t="n">
        <f aca="false">IFERROR(IF($C44="","",IF($D44="","",IFERROR(ROUND($D44*INDEX('🔖 배합비 참조'!$B$2:$CE$83,MATCH("젤라틴",'🔖 배합비 참조'!$A$2:$A$83,0),MATCH($C44,'🔖 배합비 참조'!$B$1:$CE$1,0))/100,0),""))),"")</f>
        <v>0</v>
      </c>
      <c r="BP44" s="42" t="n">
        <f aca="false">IFERROR(IF($C44="","",IF($D44="","",IFERROR(ROUND($D44*INDEX('🔖 배합비 참조'!$B$2:$CE$83,MATCH("조림류(백옥앙금)",'🔖 배합비 참조'!$A$2:$A$83,0),MATCH($C44,'🔖 배합비 참조'!$B$1:$CE$1,0))/100,0),""))),"")</f>
        <v>0</v>
      </c>
      <c r="BQ44" s="42" t="n">
        <f aca="false">IFERROR(IF($C44="","",IF($D44="","",IFERROR(ROUND($D44*INDEX('🔖 배합비 참조'!$B$2:$CE$83,MATCH("조림류(통팥앙금)",'🔖 배합비 참조'!$A$2:$A$83,0),MATCH($C44,'🔖 배합비 참조'!$B$1:$CE$1,0))/100,0),""))),"")</f>
        <v>0</v>
      </c>
      <c r="BR44" s="42" t="n">
        <f aca="false">IFERROR(IF($C44="","",IF($D44="","",IFERROR(ROUND($D44*INDEX('🔖 배합비 참조'!$B$2:$CE$83,MATCH("준초콜릿(외국산)",'🔖 배합비 참조'!$A$2:$A$83,0),MATCH($C44,'🔖 배합비 참조'!$B$1:$CE$1,0))/100,0),""))),"")</f>
        <v>0</v>
      </c>
      <c r="BS44" s="42" t="n">
        <f aca="false">IFERROR(IF($C44="","",IF($D44="","",IFERROR(ROUND($D44*INDEX('🔖 배합비 참조'!$B$2:$CE$83,MATCH("중력분",'🔖 배합비 참조'!$A$2:$A$83,0),MATCH($C44,'🔖 배합비 참조'!$B$1:$CE$1,0))/100,0),""))),"")</f>
        <v>1</v>
      </c>
      <c r="BT44" s="42" t="n">
        <f aca="false">IFERROR(IF($C44="","",IF($D44="","",IFERROR(ROUND($D44*INDEX('🔖 배합비 참조'!$B$2:$CE$83,MATCH("참깨(인도산,나이지리아산,탄자니아산,미얀마산)",'🔖 배합비 참조'!$A$2:$A$83,0),MATCH($C44,'🔖 배합비 참조'!$B$1:$CE$1,0))/100,0),""))),"")</f>
        <v>0</v>
      </c>
      <c r="BU44" s="42" t="n">
        <f aca="false">IFERROR(IF($C44="","",IF($D44="","",IFERROR(ROUND($D44*INDEX('🔖 배합비 참조'!$B$2:$CE$83,MATCH("찹쌀(국내산)",'🔖 배합비 참조'!$A$2:$A$83,0),MATCH($C44,'🔖 배합비 참조'!$B$1:$CE$1,0))/100,0),""))),"")</f>
        <v>33</v>
      </c>
      <c r="BV44" s="42" t="n">
        <f aca="false">IFERROR(IF($C44="","",IF($D44="","",IFERROR(ROUND($D44*INDEX('🔖 배합비 참조'!$B$2:$CE$83,MATCH("천일염",'🔖 배합비 참조'!$A$2:$A$83,0),MATCH($C44,'🔖 배합비 참조'!$B$1:$CE$1,0))/100,0),""))),"")</f>
        <v>1</v>
      </c>
      <c r="BW44" s="42" t="n">
        <f aca="false">IFERROR(IF($C44="","",IF($D44="","",IFERROR(ROUND($D44*INDEX('🔖 배합비 참조'!$B$2:$CE$83,MATCH("치즈 [크림치즈]",'🔖 배합비 참조'!$A$2:$A$83,0),MATCH($C44,'🔖 배합비 참조'!$B$1:$CE$1,0))/100,0),""))),"")</f>
        <v>0</v>
      </c>
      <c r="BX44" s="42" t="n">
        <f aca="false">IFERROR(IF($C44="","",IF($D44="","",IFERROR(ROUND($D44*INDEX('🔖 배합비 참조'!$B$2:$CE$83,MATCH("코코아가공품류(코코아분말)",'🔖 배합비 참조'!$A$2:$A$83,0),MATCH($C44,'🔖 배합비 참조'!$B$1:$CE$1,0))/100,0),""))),"")</f>
        <v>0</v>
      </c>
      <c r="BY44" s="42" t="n">
        <f aca="false">IFERROR(IF($C44="","",IF($D44="","",IFERROR(ROUND($D44*INDEX('🔖 배합비 참조'!$B$2:$CE$83,MATCH("콩기름(대두유)",'🔖 배합비 참조'!$A$2:$A$83,0),MATCH($C44,'🔖 배합비 참조'!$B$1:$CE$1,0))/100,0),""))),"")</f>
        <v>0</v>
      </c>
      <c r="BZ44" s="42" t="n">
        <f aca="false">IFERROR(IF($C44="","",IF($D44="","",IFERROR(ROUND($D44*INDEX('🔖 배합비 참조'!$B$2:$CE$83,MATCH("해바라기씨앗",'🔖 배합비 참조'!$A$2:$A$83,0),MATCH($C44,'🔖 배합비 참조'!$B$1:$CE$1,0))/100,0),""))),"")</f>
        <v>0</v>
      </c>
      <c r="CA44" s="42" t="n">
        <f aca="false">IFERROR(IF($C44="","",IF($D44="","",IFERROR(ROUND($D44*INDEX('🔖 배합비 참조'!$B$2:$CE$83,MATCH("현미(국내산)",'🔖 배합비 참조'!$A$2:$A$83,0),MATCH($C44,'🔖 배합비 참조'!$B$1:$CE$1,0))/100,0),""))),"")</f>
        <v>0</v>
      </c>
      <c r="CB44" s="42" t="n">
        <f aca="false">IFERROR(IF($C44="","",IF($D44="","",IFERROR(ROUND($D44*INDEX('🔖 배합비 참조'!$B$2:$CE$83,MATCH("현미멥쌀(국내산)",'🔖 배합비 참조'!$A$2:$A$83,0),MATCH($C44,'🔖 배합비 참조'!$B$1:$CE$1,0))/100,0),""))),"")</f>
        <v>0</v>
      </c>
      <c r="CC44" s="42" t="n">
        <f aca="false">IFERROR(IF($C44="","",IF($D44="","",IFERROR(ROUND($D44*INDEX('🔖 배합비 참조'!$B$2:$CE$83,MATCH("호두분태(미국산)",'🔖 배합비 참조'!$A$2:$A$83,0),MATCH($C44,'🔖 배합비 참조'!$B$1:$CE$1,0))/100,0),""))),"")</f>
        <v>0</v>
      </c>
      <c r="CD44" s="42" t="n">
        <f aca="false">IFERROR(IF($C44="","",IF($D44="","",IFERROR(ROUND($D44*INDEX('🔖 배합비 참조'!$B$2:$CE$83,MATCH("호박씨앗(외국산)",'🔖 배합비 참조'!$A$2:$A$83,0),MATCH($C44,'🔖 배합비 참조'!$B$1:$CE$1,0))/100,0),""))),"")</f>
        <v>0</v>
      </c>
      <c r="CE44" s="42" t="n">
        <f aca="false">IFERROR(IF($C44="","",IF($D44="","",IFERROR(ROUND($D44*INDEX('🔖 배합비 참조'!$B$2:$CE$83,MATCH("혼합제제(떡용에스텔)",'🔖 배합비 참조'!$A$2:$A$83,0),MATCH($C44,'🔖 배합비 참조'!$B$1:$CE$1,0))/100,0),""))),"")</f>
        <v>0</v>
      </c>
      <c r="CF44" s="42" t="n">
        <f aca="false">IFERROR(IF($C44="","",IF($D44="","",IFERROR(ROUND($D44*INDEX('🔖 배합비 참조'!$B$2:$CE$83,MATCH("혼합제제(스테비아)",'🔖 배합비 참조'!$A$2:$A$83,0),MATCH($C44,'🔖 배합비 참조'!$B$1:$CE$1,0))/100,0),""))),"")</f>
        <v>0</v>
      </c>
      <c r="CG44" s="42" t="n">
        <f aca="false">IFERROR(IF($C44="","",IF($D44="","",IFERROR(ROUND($D44*INDEX('🔖 배합비 참조'!$B$2:$CE$83,MATCH("화이트초콜릿",'🔖 배합비 참조'!$A$2:$A$83,0),MATCH($C44,'🔖 배합비 참조'!$B$1:$CE$1,0))/100,0),""))),"")</f>
        <v>0</v>
      </c>
      <c r="CH44" s="42" t="n">
        <f aca="false">IFERROR(IF($C44="","",IF($D44="","",IFERROR(ROUND($D44*INDEX('🔖 배합비 참조'!$B$2:$CE$83,MATCH("흑미찹쌀(국내산)",'🔖 배합비 참조'!$A$2:$A$83,0),MATCH($C44,'🔖 배합비 참조'!$B$1:$CE$1,0))/100,0),""))),"")</f>
        <v>0</v>
      </c>
      <c r="CI44" s="42" t="n">
        <f aca="false">IFERROR(IF($C44="","",IF($D44="","",IFERROR(ROUND($D44*INDEX('🔖 배합비 참조'!$B$2:$CE$83,MATCH("찰옥수수전분(미국산)",'🔖 배합비 참조'!$A$2:$A$83,0),MATCH($C44,'🔖 배합비 참조'!$B$1:$CE$1,0))/100,0),""))),"")</f>
        <v>0</v>
      </c>
      <c r="CJ44" s="40"/>
      <c r="CL44" s="1" t="s">
        <v>238</v>
      </c>
    </row>
    <row r="45" customFormat="false" ht="18" hidden="false" customHeight="true" outlineLevel="0" collapsed="false">
      <c r="A45" s="35" t="n">
        <v>41</v>
      </c>
      <c r="B45" s="36" t="n">
        <v>45964</v>
      </c>
      <c r="C45" s="37" t="s">
        <v>184</v>
      </c>
      <c r="D45" s="38" t="n">
        <v>197.5</v>
      </c>
      <c r="E45" s="13"/>
      <c r="F45" s="13"/>
      <c r="G45" s="39" t="n">
        <f aca="false">IFERROR(IF($C45="","",IF($D45="","",IFERROR(ROUND($D45*INDEX('🔖 배합비 참조'!$B$2:$CE$83,MATCH("간장",'🔖 배합비 참조'!$A$2:$A$83,0),MATCH($C45,'🔖 배합비 참조'!$B$1:$CE$1,0))/100,0),""))),"")</f>
        <v>0</v>
      </c>
      <c r="H45" s="39" t="n">
        <f aca="false">IFERROR(IF($C45="","",IF($D45="","",IFERROR(ROUND($D45*INDEX('🔖 배합비 참조'!$B$2:$CE$83,MATCH("강낭콩((울타리콩))",'🔖 배합비 참조'!$A$2:$A$83,0),MATCH($C45,'🔖 배합비 참조'!$B$1:$CE$1,0))/100,0),""))),"")</f>
        <v>0</v>
      </c>
      <c r="I45" s="39" t="n">
        <f aca="false">IFERROR(IF($C45="","",IF($D45="","",IFERROR(ROUND($D45*INDEX('🔖 배합비 참조'!$B$2:$CE$83,MATCH("건조딸기다이스(외국산)",'🔖 배합비 참조'!$A$2:$A$83,0),MATCH($C45,'🔖 배합비 참조'!$B$1:$CE$1,0))/100,0),""))),"")</f>
        <v>0</v>
      </c>
      <c r="J45" s="39" t="n">
        <f aca="false">IFERROR(IF($C45="","",IF($D45="","",IFERROR(ROUND($D45*INDEX('🔖 배합비 참조'!$B$2:$CE$83,MATCH("건포도",'🔖 배합비 참조'!$A$2:$A$83,0),MATCH($C45,'🔖 배합비 참조'!$B$1:$CE$1,0))/100,0),""))),"")</f>
        <v>0</v>
      </c>
      <c r="K45" s="39" t="n">
        <f aca="false">IFERROR(IF($C45="","",IF($D45="","",IFERROR(ROUND($D45*INDEX('🔖 배합비 참조'!$B$2:$CE$83,MATCH("건호박채(중국산)",'🔖 배합비 참조'!$A$2:$A$83,0),MATCH($C45,'🔖 배합비 참조'!$B$1:$CE$1,0))/100,0),""))),"")</f>
        <v>0</v>
      </c>
      <c r="L45" s="39" t="n">
        <f aca="false">IFERROR(IF($C45="","",IF($D45="","",IFERROR(ROUND($D45*INDEX('🔖 배합비 참조'!$B$2:$CE$83,MATCH("검정깨(흑임자)",'🔖 배합비 참조'!$A$2:$A$83,0),MATCH($C45,'🔖 배합비 참조'!$B$1:$CE$1,0))/100,0),""))),"")</f>
        <v>0</v>
      </c>
      <c r="M45" s="39" t="n">
        <f aca="false">IFERROR(IF($C45="","",IF($D45="","",IFERROR(ROUND($D45*INDEX('🔖 배합비 참조'!$B$2:$CE$83,MATCH("검정콩",'🔖 배합비 참조'!$A$2:$A$83,0),MATCH($C45,'🔖 배합비 참조'!$B$1:$CE$1,0))/100,0),""))),"")</f>
        <v>0</v>
      </c>
      <c r="N45" s="39" t="n">
        <f aca="false">IFERROR(IF($C45="","",IF($D45="","",IFERROR(ROUND($D45*INDEX('🔖 배합비 참조'!$B$2:$CE$83,MATCH("계피가루",'🔖 배합비 참조'!$A$2:$A$83,0),MATCH($C45,'🔖 배합비 참조'!$B$1:$CE$1,0))/100,0),""))),"")</f>
        <v>0</v>
      </c>
      <c r="O45" s="39" t="n">
        <f aca="false">IFERROR(IF($C45="","",IF($D45="","",IFERROR(ROUND($D45*INDEX('🔖 배합비 참조'!$B$2:$CE$83,MATCH("고구마가루",'🔖 배합비 참조'!$A$2:$A$83,0),MATCH($C45,'🔖 배합비 참조'!$B$1:$CE$1,0))/100,0),""))),"")</f>
        <v>0</v>
      </c>
      <c r="P45" s="39" t="n">
        <f aca="false">IFERROR(IF($C45="","",IF($D45="","",IFERROR(ROUND($D45*INDEX('🔖 배합비 참조'!$B$2:$CE$83,MATCH("고구마무스",'🔖 배합비 참조'!$A$2:$A$83,0),MATCH($C45,'🔖 배합비 참조'!$B$1:$CE$1,0))/100,0),""))),"")</f>
        <v>0</v>
      </c>
      <c r="Q45" s="39" t="n">
        <f aca="false">IFERROR(IF($C45="","",IF($D45="","",IFERROR(ROUND($D45*INDEX('🔖 배합비 참조'!$B$2:$CE$83,MATCH("고려엉겅퀴((곤드레)국내산)",'🔖 배합비 참조'!$A$2:$A$83,0),MATCH($C45,'🔖 배합비 참조'!$B$1:$CE$1,0))/100,0),""))),"")</f>
        <v>0</v>
      </c>
      <c r="R45" s="39" t="n">
        <f aca="false">IFERROR(IF($C45="","",IF($D45="","",IFERROR(ROUND($D45*INDEX('🔖 배합비 참조'!$B$2:$CE$83,MATCH("기타가공품(복분자가루)",'🔖 배합비 참조'!$A$2:$A$83,0),MATCH($C45,'🔖 배합비 참조'!$B$1:$CE$1,0))/100,0),""))),"")</f>
        <v>0</v>
      </c>
      <c r="S45" s="39" t="n">
        <f aca="false">IFERROR(IF($C45="","",IF($D45="","",IFERROR(ROUND($D45*INDEX('🔖 배합비 참조'!$B$2:$CE$83,MATCH("기타가공품(슈퍼소프트엠)",'🔖 배합비 참조'!$A$2:$A$83,0),MATCH($C45,'🔖 배합비 참조'!$B$1:$CE$1,0))/100,0),""))),"")</f>
        <v>0</v>
      </c>
      <c r="T45" s="39" t="n">
        <f aca="false">IFERROR(IF($C45="","",IF($D45="","",IFERROR(ROUND($D45*INDEX('🔖 배합비 참조'!$B$2:$CE$83,MATCH("기타가공품(파인소프트 E-티)",'🔖 배합비 참조'!$A$2:$A$83,0),MATCH($C45,'🔖 배합비 참조'!$B$1:$CE$1,0))/100,0),""))),"")</f>
        <v>0</v>
      </c>
      <c r="U45" s="39" t="n">
        <f aca="false">IFERROR(IF($C45="","",IF($D45="","",IFERROR(ROUND($D45*INDEX('🔖 배합비 참조'!$B$2:$CE$83,MATCH("기타가공품(프리미엄카스테라가루)",'🔖 배합비 참조'!$A$2:$A$83,0),MATCH($C45,'🔖 배합비 참조'!$B$1:$CE$1,0))/100,0),""))),"")</f>
        <v>0</v>
      </c>
      <c r="V45" s="39" t="n">
        <f aca="false">IFERROR(IF($C45="","",IF($D45="","",IFERROR(ROUND($D45*INDEX('🔖 배합비 참조'!$B$2:$CE$83,MATCH("기타가공품(흑임자가루)",'🔖 배합비 참조'!$A$2:$A$83,0),MATCH($C45,'🔖 배합비 참조'!$B$1:$CE$1,0))/100,0),""))),"")</f>
        <v>0</v>
      </c>
      <c r="W45" s="39" t="n">
        <f aca="false">IFERROR(IF($C45="","",IF($D45="","",IFERROR(ROUND($D45*INDEX('🔖 배합비 참조'!$B$2:$CE$83,MATCH("기타설탕(흑설탕)",'🔖 배합비 참조'!$A$2:$A$83,0),MATCH($C45,'🔖 배합비 참조'!$B$1:$CE$1,0))/100,0),""))),"")</f>
        <v>0</v>
      </c>
      <c r="X45" s="39" t="n">
        <f aca="false">IFERROR(IF($C45="","",IF($D45="","",IFERROR(ROUND($D45*INDEX('🔖 배합비 참조'!$B$2:$CE$83,MATCH("냉동쑥(국내산)",'🔖 배합비 참조'!$A$2:$A$83,0),MATCH($C45,'🔖 배합비 참조'!$B$1:$CE$1,0))/100,0),""))),"")</f>
        <v>0</v>
      </c>
      <c r="Y45" s="39" t="n">
        <f aca="false">IFERROR(IF($C45="","",IF($D45="","",IFERROR(ROUND($D45*INDEX('🔖 배합비 참조'!$B$2:$CE$83,MATCH("냉동증숙고구마(중국산)",'🔖 배합비 참조'!$A$2:$A$83,0),MATCH($C45,'🔖 배합비 참조'!$B$1:$CE$1,0))/100,0),""))),"")</f>
        <v>0</v>
      </c>
      <c r="Z45" s="39" t="n">
        <f aca="false">IFERROR(IF($C45="","",IF($D45="","",IFERROR(ROUND($D45*INDEX('🔖 배합비 참조'!$B$2:$CE$83,MATCH("녹차가루",'🔖 배합비 참조'!$A$2:$A$83,0),MATCH($C45,'🔖 배합비 참조'!$B$1:$CE$1,0))/100,0),""))),"")</f>
        <v>0</v>
      </c>
      <c r="AA45" s="39" t="n">
        <f aca="false">IFERROR(IF($C45="","",IF($D45="","",IFERROR(ROUND($D45*INDEX('🔖 배합비 참조'!$B$2:$CE$83,MATCH("다크초콜릿 컴파운드칩",'🔖 배합비 참조'!$A$2:$A$83,0),MATCH($C45,'🔖 배합비 참조'!$B$1:$CE$1,0))/100,0),""))),"")</f>
        <v>0</v>
      </c>
      <c r="AB45" s="39" t="n">
        <f aca="false">IFERROR(IF($C45="","",IF($D45="","",IFERROR(ROUND($D45*INDEX('🔖 배합비 참조'!$B$2:$CE$83,MATCH("단호박분말(중국산)",'🔖 배합비 참조'!$A$2:$A$83,0),MATCH($C45,'🔖 배합비 참조'!$B$1:$CE$1,0))/100,0),""))),"")</f>
        <v>0</v>
      </c>
      <c r="AC45" s="39" t="n">
        <f aca="false">IFERROR(IF($C45="","",IF($D45="","",IFERROR(ROUND($D45*INDEX('🔖 배합비 참조'!$B$2:$CE$83,MATCH("당류가공품(단호박농축액)",'🔖 배합비 참조'!$A$2:$A$83,0),MATCH($C45,'🔖 배합비 참조'!$B$1:$CE$1,0))/100,0),""))),"")</f>
        <v>0</v>
      </c>
      <c r="AD45" s="39" t="n">
        <f aca="false">IFERROR(IF($C45="","",IF($D45="","",IFERROR(ROUND($D45*INDEX('🔖 배합비 참조'!$B$2:$CE$83,MATCH("당류가공품(알룰로스,에리스리톨,스테비올배당체혼합)",'🔖 배합비 참조'!$A$2:$A$83,0),MATCH($C45,'🔖 배합비 참조'!$B$1:$CE$1,0))/100,0),""))),"")</f>
        <v>0</v>
      </c>
      <c r="AE45" s="39" t="n">
        <f aca="false">IFERROR(IF($C45="","",IF($D45="","",IFERROR(ROUND($D45*INDEX('🔖 배합비 참조'!$B$2:$CE$83,MATCH("당류가공품(알룰로스제로파우더)",'🔖 배합비 참조'!$A$2:$A$83,0),MATCH($C45,'🔖 배합비 참조'!$B$1:$CE$1,0))/100,0),""))),"")</f>
        <v>0</v>
      </c>
      <c r="AF45" s="39" t="n">
        <f aca="false">IFERROR(IF($C45="","",IF($D45="","",IFERROR(ROUND($D45*INDEX('🔖 배합비 참조'!$B$2:$CE$83,MATCH("당절임(완두배기)",'🔖 배합비 참조'!$A$2:$A$83,0),MATCH($C45,'🔖 배합비 참조'!$B$1:$CE$1,0))/100,0),""))),"")</f>
        <v>0</v>
      </c>
      <c r="AG45" s="39" t="n">
        <f aca="false">IFERROR(IF($C45="","",IF($D45="","",IFERROR(ROUND($D45*INDEX('🔖 배합비 참조'!$B$2:$CE$83,MATCH("대추농축액",'🔖 배합비 참조'!$A$2:$A$83,0),MATCH($C45,'🔖 배합비 참조'!$B$1:$CE$1,0))/100,0),""))),"")</f>
        <v>0</v>
      </c>
      <c r="AH45" s="39" t="n">
        <f aca="false">IFERROR(IF($C45="","",IF($D45="","",IFERROR(ROUND($D45*INDEX('🔖 배합비 참조'!$B$2:$CE$83,MATCH("대추채(국내산)",'🔖 배합비 참조'!$A$2:$A$83,0),MATCH($C45,'🔖 배합비 참조'!$B$1:$CE$1,0))/100,0),""))),"")</f>
        <v>0</v>
      </c>
      <c r="AI45" s="39" t="n">
        <f aca="false">IFERROR(IF($C45="","",IF($D45="","",IFERROR(ROUND($D45*INDEX('🔖 배합비 참조'!$B$2:$CE$83,MATCH("동부(미얀마산)",'🔖 배합비 참조'!$A$2:$A$83,0),MATCH($C45,'🔖 배합비 참조'!$B$1:$CE$1,0))/100,0),""))),"")</f>
        <v>0</v>
      </c>
      <c r="AJ45" s="39" t="n">
        <f aca="false">IFERROR(IF($C45="","",IF($D45="","",IFERROR(ROUND($D45*INDEX('🔖 배합비 참조'!$B$2:$CE$83,MATCH("두류가공품(백옥앙금)",'🔖 배합비 참조'!$A$2:$A$83,0),MATCH($C45,'🔖 배합비 참조'!$B$1:$CE$1,0))/100,0),""))),"")</f>
        <v>0</v>
      </c>
      <c r="AK45" s="39" t="n">
        <f aca="false">IFERROR(IF($C45="","",IF($D45="","",IFERROR(ROUND($D45*INDEX('🔖 배합비 참조'!$B$2:$CE$83,MATCH("두류가공품(콩고물)",'🔖 배합비 참조'!$A$2:$A$83,0),MATCH($C45,'🔖 배합비 참조'!$B$1:$CE$1,0))/100,0),""))),"")</f>
        <v>0</v>
      </c>
      <c r="AL45" s="39" t="n">
        <f aca="false">IFERROR(IF($C45="","",IF($D45="","",IFERROR(ROUND($D45*INDEX('🔖 배합비 참조'!$B$2:$CE$83,MATCH("두류가공품(통팥고물)",'🔖 배합비 참조'!$A$2:$A$83,0),MATCH($C45,'🔖 배합비 참조'!$B$1:$CE$1,0))/100,0),""))),"")</f>
        <v>0</v>
      </c>
      <c r="AM45" s="39" t="n">
        <f aca="false">IFERROR(IF($C45="","",IF($D45="","",IFERROR(ROUND($D45*INDEX('🔖 배합비 참조'!$B$2:$CE$83,MATCH("딸기레진",'🔖 배합비 참조'!$A$2:$A$83,0),MATCH($C45,'🔖 배합비 참조'!$B$1:$CE$1,0))/100,0),""))),"")</f>
        <v>0</v>
      </c>
      <c r="AN45" s="39" t="n">
        <f aca="false">IFERROR(IF($C45="","",IF($D45="","",IFERROR(ROUND($D45*INDEX('🔖 배합비 참조'!$B$2:$CE$83,MATCH("딸기분말(스트로우베리에이드(분말))",'🔖 배합비 참조'!$A$2:$A$83,0),MATCH($C45,'🔖 배합비 참조'!$B$1:$CE$1,0))/100,0),""))),"")</f>
        <v>0</v>
      </c>
      <c r="AO45" s="39" t="n">
        <f aca="false">IFERROR(IF($C45="","",IF($D45="","",IFERROR(ROUND($D45*INDEX('🔖 배합비 참조'!$B$2:$CE$83,MATCH("마스카포네치즈",'🔖 배합비 참조'!$A$2:$A$83,0),MATCH($C45,'🔖 배합비 참조'!$B$1:$CE$1,0))/100,0),""))),"")</f>
        <v>0</v>
      </c>
      <c r="AP45" s="39" t="n">
        <f aca="false">IFERROR(IF($C45="","",IF($D45="","",IFERROR(ROUND($D45*INDEX('🔖 배합비 참조'!$B$2:$CE$83,MATCH("마카다미아분태(호주산)",'🔖 배합비 참조'!$A$2:$A$83,0),MATCH($C45,'🔖 배합비 참조'!$B$1:$CE$1,0))/100,0),""))),"")</f>
        <v>0</v>
      </c>
      <c r="AQ45" s="39" t="n">
        <f aca="false">IFERROR(IF($C45="","",IF($D45="","",IFERROR(ROUND($D45*INDEX('🔖 배합비 참조'!$B$2:$CE$83,MATCH("멥쌀(국내산)",'🔖 배합비 참조'!$A$2:$A$83,0),MATCH($C45,'🔖 배합비 참조'!$B$1:$CE$1,0))/100,0),""))),"")</f>
        <v>137</v>
      </c>
      <c r="AR45" s="39" t="n">
        <f aca="false">IFERROR(IF($C45="","",IF($D45="","",IFERROR(ROUND($D45*INDEX('🔖 배합비 참조'!$B$2:$CE$83,MATCH("모시잎(국내산)",'🔖 배합비 참조'!$A$2:$A$83,0),MATCH($C45,'🔖 배합비 참조'!$B$1:$CE$1,0))/100,0),""))),"")</f>
        <v>0</v>
      </c>
      <c r="AS45" s="39" t="n">
        <f aca="false">IFERROR(IF($C45="","",IF($D45="","",IFERROR(ROUND($D45*INDEX('🔖 배합비 참조'!$B$2:$CE$83,MATCH("물엿(저당물엿)",'🔖 배합비 참조'!$A$2:$A$83,0),MATCH($C45,'🔖 배합비 참조'!$B$1:$CE$1,0))/100,0),""))),"")</f>
        <v>0</v>
      </c>
      <c r="AT45" s="39" t="n">
        <f aca="false">IFERROR(IF($C45="","",IF($D45="","",IFERROR(ROUND($D45*INDEX('🔖 배합비 참조'!$B$2:$CE$83,MATCH("밤다이스",'🔖 배합비 참조'!$A$2:$A$83,0),MATCH($C45,'🔖 배합비 참조'!$B$1:$CE$1,0))/100,0),""))),"")</f>
        <v>0</v>
      </c>
      <c r="AU45" s="39" t="n">
        <f aca="false">IFERROR(IF($C45="","",IF($D45="","",IFERROR(ROUND($D45*INDEX('🔖 배합비 참조'!$B$2:$CE$83,MATCH("변성전분(타피오카전분)",'🔖 배합비 참조'!$A$2:$A$83,0),MATCH($C45,'🔖 배합비 참조'!$B$1:$CE$1,0))/100,0),""))),"")</f>
        <v>0</v>
      </c>
      <c r="AV45" s="39" t="n">
        <f aca="false">IFERROR(IF($C45="","",IF($D45="","",IFERROR(ROUND($D45*INDEX('🔖 배합비 참조'!$B$2:$CE$83,MATCH("복음땅콩분태",'🔖 배합비 참조'!$A$2:$A$83,0),MATCH($C45,'🔖 배합비 참조'!$B$1:$CE$1,0))/100,0),""))),"")</f>
        <v>0</v>
      </c>
      <c r="AW45" s="39" t="n">
        <f aca="false">IFERROR(IF($C45="","",IF($D45="","",IFERROR(ROUND($D45*INDEX('🔖 배합비 참조'!$B$2:$CE$83,MATCH("사양벌꿀(국내산)",'🔖 배합비 참조'!$A$2:$A$83,0),MATCH($C45,'🔖 배합비 참조'!$B$1:$CE$1,0))/100,0),""))),"")</f>
        <v>0</v>
      </c>
      <c r="AX45" s="39" t="n">
        <f aca="false">IFERROR(IF($C45="","",IF($D45="","",IFERROR(ROUND($D45*INDEX('🔖 배합비 참조'!$B$2:$CE$83,MATCH("생크림",'🔖 배합비 참조'!$A$2:$A$83,0),MATCH($C45,'🔖 배합비 참조'!$B$1:$CE$1,0))/100,0),""))),"")</f>
        <v>0</v>
      </c>
      <c r="AY45" s="39" t="n">
        <f aca="false">IFERROR(IF($C45="","",IF($D45="","",IFERROR(ROUND($D45*INDEX('🔖 배합비 참조'!$B$2:$CE$83,MATCH("서양호박(국내산,뉴질랜드산)",'🔖 배합비 참조'!$A$2:$A$83,0),MATCH($C45,'🔖 배합비 참조'!$B$1:$CE$1,0))/100,0),""))),"")</f>
        <v>0</v>
      </c>
      <c r="AZ45" s="39" t="n">
        <f aca="false">IFERROR(IF($C45="","",IF($D45="","",IFERROR(ROUND($D45*INDEX('🔖 배합비 참조'!$B$2:$CE$83,MATCH("설탕",'🔖 배합비 참조'!$A$2:$A$83,0),MATCH($C45,'🔖 배합비 참조'!$B$1:$CE$1,0))/100,0),""))),"")</f>
        <v>22</v>
      </c>
      <c r="BA45" s="39" t="n">
        <f aca="false">IFERROR(IF($C45="","",IF($D45="","",IFERROR(ROUND($D45*INDEX('🔖 배합비 참조'!$B$2:$CE$83,MATCH("스트로우베리 에이드 후레쉬",'🔖 배합비 참조'!$A$2:$A$83,0),MATCH($C45,'🔖 배합비 참조'!$B$1:$CE$1,0))/100,0),""))),"")</f>
        <v>0</v>
      </c>
      <c r="BB45" s="39" t="n">
        <f aca="false">IFERROR(IF($C45="","",IF($D45="","",IFERROR(ROUND($D45*INDEX('🔖 배합비 참조'!$B$2:$CE$83,MATCH("식물성기름혼합제제(분홍)",'🔖 배합비 참조'!$A$2:$A$83,0),MATCH($C45,'🔖 배합비 참조'!$B$1:$CE$1,0))/100,0),""))),"")</f>
        <v>0</v>
      </c>
      <c r="BC45" s="39" t="n">
        <f aca="false">IFERROR(IF($C45="","",IF($D45="","",IFERROR(ROUND($D45*INDEX('🔖 배합비 참조'!$B$2:$CE$83,MATCH("식물성기름혼합제제(초록)",'🔖 배합비 참조'!$A$2:$A$83,0),MATCH($C45,'🔖 배합비 참조'!$B$1:$CE$1,0))/100,0),""))),"")</f>
        <v>0</v>
      </c>
      <c r="BD45" s="39" t="n">
        <f aca="false">IFERROR(IF($C45="","",IF($D45="","",IFERROR(ROUND($D45*INDEX('🔖 배합비 참조'!$B$2:$CE$83,MATCH("식물성기름혼합제제(황색)",'🔖 배합비 참조'!$A$2:$A$83,0),MATCH($C45,'🔖 배합비 참조'!$B$1:$CE$1,0))/100,0),""))),"")</f>
        <v>0</v>
      </c>
      <c r="BE45" s="39" t="n">
        <f aca="false">IFERROR(IF($C45="","",IF($D45="","",IFERROR(ROUND($D45*INDEX('🔖 배합비 참조'!$B$2:$CE$83,MATCH("쑥가루(국내산)",'🔖 배합비 참조'!$A$2:$A$83,0),MATCH($C45,'🔖 배합비 참조'!$B$1:$CE$1,0))/100,0),""))),"")</f>
        <v>0</v>
      </c>
      <c r="BF45" s="39" t="n">
        <f aca="false">IFERROR(IF($C45="","",IF($D45="","",IFERROR(ROUND($D45*INDEX('🔖 배합비 참조'!$B$2:$CE$83,MATCH("아몬드슬라이스",'🔖 배합비 참조'!$A$2:$A$83,0),MATCH($C45,'🔖 배합비 참조'!$B$1:$CE$1,0))/100,0),""))),"")</f>
        <v>0</v>
      </c>
      <c r="BG45" s="39" t="n">
        <f aca="false">IFERROR(IF($C45="","",IF($D45="","",IFERROR(ROUND($D45*INDEX('🔖 배합비 참조'!$B$2:$CE$83,MATCH("알룰로오스(국내산)",'🔖 배합비 참조'!$A$2:$A$83,0),MATCH($C45,'🔖 배합비 참조'!$B$1:$CE$1,0))/100,0),""))),"")</f>
        <v>0</v>
      </c>
      <c r="BH45" s="39" t="n">
        <f aca="false">IFERROR(IF($C45="","",IF($D45="","",IFERROR(ROUND($D45*INDEX('🔖 배합비 참조'!$B$2:$CE$83,MATCH("연유",'🔖 배합비 참조'!$A$2:$A$83,0),MATCH($C45,'🔖 배합비 참조'!$B$1:$CE$1,0))/100,0),""))),"")</f>
        <v>0</v>
      </c>
      <c r="BI45" s="39" t="n">
        <f aca="false">IFERROR(IF($C45="","",IF($D45="","",IFERROR(ROUND($D45*INDEX('🔖 배합비 참조'!$B$2:$CE$83,MATCH("옥수수전분",'🔖 배합비 참조'!$A$2:$A$83,0),MATCH($C45,'🔖 배합비 참조'!$B$1:$CE$1,0))/100,0),""))),"")</f>
        <v>0</v>
      </c>
      <c r="BJ45" s="39" t="n">
        <f aca="false">IFERROR(IF($C45="","",IF($D45="","",IFERROR(ROUND($D45*INDEX('🔖 배합비 참조'!$B$2:$CE$83,MATCH("완두배기",'🔖 배합비 참조'!$A$2:$A$83,0),MATCH($C45,'🔖 배합비 참조'!$B$1:$CE$1,0))/100,0),""))),"")</f>
        <v>0</v>
      </c>
      <c r="BK45" s="39" t="n">
        <f aca="false">IFERROR(IF($C45="","",IF($D45="","",IFERROR(ROUND($D45*INDEX('🔖 배합비 참조'!$B$2:$CE$83,MATCH("우유(국내산)",'🔖 배합비 참조'!$A$2:$A$83,0),MATCH($C45,'🔖 배합비 참조'!$B$1:$CE$1,0))/100,0),""))),"")</f>
        <v>18</v>
      </c>
      <c r="BL45" s="39" t="n">
        <f aca="false">IFERROR(IF($C45="","",IF($D45="","",IFERROR(ROUND($D45*INDEX('🔖 배합비 참조'!$B$2:$CE$83,MATCH("자색고구마가루(중국산)",'🔖 배합비 참조'!$A$2:$A$83,0),MATCH($C45,'🔖 배합비 참조'!$B$1:$CE$1,0))/100,0),""))),"")</f>
        <v>0</v>
      </c>
      <c r="BM45" s="39" t="n">
        <f aca="false">IFERROR(IF($C45="","",IF($D45="","",IFERROR(ROUND($D45*INDEX('🔖 배합비 참조'!$B$2:$CE$83,MATCH("자연치즈(체다치즈)",'🔖 배합비 참조'!$A$2:$A$83,0),MATCH($C45,'🔖 배합비 참조'!$B$1:$CE$1,0))/100,0),""))),"")</f>
        <v>0</v>
      </c>
      <c r="BN45" s="39" t="n">
        <f aca="false">IFERROR(IF($C45="","",IF($D45="","",IFERROR(ROUND($D45*INDEX('🔖 배합비 참조'!$B$2:$CE$83,MATCH("정제수",'🔖 배합비 참조'!$A$2:$A$83,0),MATCH($C45,'🔖 배합비 참조'!$B$1:$CE$1,0))/100,0),""))),"")</f>
        <v>18</v>
      </c>
      <c r="BO45" s="39" t="n">
        <f aca="false">IFERROR(IF($C45="","",IF($D45="","",IFERROR(ROUND($D45*INDEX('🔖 배합비 참조'!$B$2:$CE$83,MATCH("젤라틴",'🔖 배합비 참조'!$A$2:$A$83,0),MATCH($C45,'🔖 배합비 참조'!$B$1:$CE$1,0))/100,0),""))),"")</f>
        <v>0</v>
      </c>
      <c r="BP45" s="39" t="n">
        <f aca="false">IFERROR(IF($C45="","",IF($D45="","",IFERROR(ROUND($D45*INDEX('🔖 배합비 참조'!$B$2:$CE$83,MATCH("조림류(백옥앙금)",'🔖 배합비 참조'!$A$2:$A$83,0),MATCH($C45,'🔖 배합비 참조'!$B$1:$CE$1,0))/100,0),""))),"")</f>
        <v>0</v>
      </c>
      <c r="BQ45" s="39" t="n">
        <f aca="false">IFERROR(IF($C45="","",IF($D45="","",IFERROR(ROUND($D45*INDEX('🔖 배합비 참조'!$B$2:$CE$83,MATCH("조림류(통팥앙금)",'🔖 배합비 참조'!$A$2:$A$83,0),MATCH($C45,'🔖 배합비 참조'!$B$1:$CE$1,0))/100,0),""))),"")</f>
        <v>0</v>
      </c>
      <c r="BR45" s="39" t="n">
        <f aca="false">IFERROR(IF($C45="","",IF($D45="","",IFERROR(ROUND($D45*INDEX('🔖 배합비 참조'!$B$2:$CE$83,MATCH("준초콜릿(외국산)",'🔖 배합비 참조'!$A$2:$A$83,0),MATCH($C45,'🔖 배합비 참조'!$B$1:$CE$1,0))/100,0),""))),"")</f>
        <v>0</v>
      </c>
      <c r="BS45" s="39" t="n">
        <f aca="false">IFERROR(IF($C45="","",IF($D45="","",IFERROR(ROUND($D45*INDEX('🔖 배합비 참조'!$B$2:$CE$83,MATCH("중력분",'🔖 배합비 참조'!$A$2:$A$83,0),MATCH($C45,'🔖 배합비 참조'!$B$1:$CE$1,0))/100,0),""))),"")</f>
        <v>0</v>
      </c>
      <c r="BT45" s="39" t="n">
        <f aca="false">IFERROR(IF($C45="","",IF($D45="","",IFERROR(ROUND($D45*INDEX('🔖 배합비 참조'!$B$2:$CE$83,MATCH("참깨(인도산,나이지리아산,탄자니아산,미얀마산)",'🔖 배합비 참조'!$A$2:$A$83,0),MATCH($C45,'🔖 배합비 참조'!$B$1:$CE$1,0))/100,0),""))),"")</f>
        <v>0</v>
      </c>
      <c r="BU45" s="39" t="n">
        <f aca="false">IFERROR(IF($C45="","",IF($D45="","",IFERROR(ROUND($D45*INDEX('🔖 배합비 참조'!$B$2:$CE$83,MATCH("찹쌀(국내산)",'🔖 배합비 참조'!$A$2:$A$83,0),MATCH($C45,'🔖 배합비 참조'!$B$1:$CE$1,0))/100,0),""))),"")</f>
        <v>0</v>
      </c>
      <c r="BV45" s="39" t="n">
        <f aca="false">IFERROR(IF($C45="","",IF($D45="","",IFERROR(ROUND($D45*INDEX('🔖 배합비 참조'!$B$2:$CE$83,MATCH("천일염",'🔖 배합비 참조'!$A$2:$A$83,0),MATCH($C45,'🔖 배합비 참조'!$B$1:$CE$1,0))/100,0),""))),"")</f>
        <v>2</v>
      </c>
      <c r="BW45" s="39" t="n">
        <f aca="false">IFERROR(IF($C45="","",IF($D45="","",IFERROR(ROUND($D45*INDEX('🔖 배합비 참조'!$B$2:$CE$83,MATCH("치즈 [크림치즈]",'🔖 배합비 참조'!$A$2:$A$83,0),MATCH($C45,'🔖 배합비 참조'!$B$1:$CE$1,0))/100,0),""))),"")</f>
        <v>0</v>
      </c>
      <c r="BX45" s="39" t="n">
        <f aca="false">IFERROR(IF($C45="","",IF($D45="","",IFERROR(ROUND($D45*INDEX('🔖 배합비 참조'!$B$2:$CE$83,MATCH("코코아가공품류(코코아분말)",'🔖 배합비 참조'!$A$2:$A$83,0),MATCH($C45,'🔖 배합비 참조'!$B$1:$CE$1,0))/100,0),""))),"")</f>
        <v>0</v>
      </c>
      <c r="BY45" s="39" t="n">
        <f aca="false">IFERROR(IF($C45="","",IF($D45="","",IFERROR(ROUND($D45*INDEX('🔖 배합비 참조'!$B$2:$CE$83,MATCH("콩기름(대두유)",'🔖 배합비 참조'!$A$2:$A$83,0),MATCH($C45,'🔖 배합비 참조'!$B$1:$CE$1,0))/100,0),""))),"")</f>
        <v>0</v>
      </c>
      <c r="BZ45" s="39" t="n">
        <f aca="false">IFERROR(IF($C45="","",IF($D45="","",IFERROR(ROUND($D45*INDEX('🔖 배합비 참조'!$B$2:$CE$83,MATCH("해바라기씨앗",'🔖 배합비 참조'!$A$2:$A$83,0),MATCH($C45,'🔖 배합비 참조'!$B$1:$CE$1,0))/100,0),""))),"")</f>
        <v>0</v>
      </c>
      <c r="CA45" s="39" t="n">
        <f aca="false">IFERROR(IF($C45="","",IF($D45="","",IFERROR(ROUND($D45*INDEX('🔖 배합비 참조'!$B$2:$CE$83,MATCH("현미(국내산)",'🔖 배합비 참조'!$A$2:$A$83,0),MATCH($C45,'🔖 배합비 참조'!$B$1:$CE$1,0))/100,0),""))),"")</f>
        <v>0</v>
      </c>
      <c r="CB45" s="39" t="n">
        <f aca="false">IFERROR(IF($C45="","",IF($D45="","",IFERROR(ROUND($D45*INDEX('🔖 배합비 참조'!$B$2:$CE$83,MATCH("현미멥쌀(국내산)",'🔖 배합비 참조'!$A$2:$A$83,0),MATCH($C45,'🔖 배합비 참조'!$B$1:$CE$1,0))/100,0),""))),"")</f>
        <v>0</v>
      </c>
      <c r="CC45" s="39" t="n">
        <f aca="false">IFERROR(IF($C45="","",IF($D45="","",IFERROR(ROUND($D45*INDEX('🔖 배합비 참조'!$B$2:$CE$83,MATCH("호두분태(미국산)",'🔖 배합비 참조'!$A$2:$A$83,0),MATCH($C45,'🔖 배합비 참조'!$B$1:$CE$1,0))/100,0),""))),"")</f>
        <v>0</v>
      </c>
      <c r="CD45" s="39" t="n">
        <f aca="false">IFERROR(IF($C45="","",IF($D45="","",IFERROR(ROUND($D45*INDEX('🔖 배합비 참조'!$B$2:$CE$83,MATCH("호박씨앗(외국산)",'🔖 배합비 참조'!$A$2:$A$83,0),MATCH($C45,'🔖 배합비 참조'!$B$1:$CE$1,0))/100,0),""))),"")</f>
        <v>0</v>
      </c>
      <c r="CE45" s="39" t="n">
        <f aca="false">IFERROR(IF($C45="","",IF($D45="","",IFERROR(ROUND($D45*INDEX('🔖 배합비 참조'!$B$2:$CE$83,MATCH("혼합제제(떡용에스텔)",'🔖 배합비 참조'!$A$2:$A$83,0),MATCH($C45,'🔖 배합비 참조'!$B$1:$CE$1,0))/100,0),""))),"")</f>
        <v>0</v>
      </c>
      <c r="CF45" s="39" t="n">
        <f aca="false">IFERROR(IF($C45="","",IF($D45="","",IFERROR(ROUND($D45*INDEX('🔖 배합비 참조'!$B$2:$CE$83,MATCH("혼합제제(스테비아)",'🔖 배합비 참조'!$A$2:$A$83,0),MATCH($C45,'🔖 배합비 참조'!$B$1:$CE$1,0))/100,0),""))),"")</f>
        <v>0</v>
      </c>
      <c r="CG45" s="39" t="n">
        <f aca="false">IFERROR(IF($C45="","",IF($D45="","",IFERROR(ROUND($D45*INDEX('🔖 배합비 참조'!$B$2:$CE$83,MATCH("화이트초콜릿",'🔖 배합비 참조'!$A$2:$A$83,0),MATCH($C45,'🔖 배합비 참조'!$B$1:$CE$1,0))/100,0),""))),"")</f>
        <v>0</v>
      </c>
      <c r="CH45" s="39" t="n">
        <f aca="false">IFERROR(IF($C45="","",IF($D45="","",IFERROR(ROUND($D45*INDEX('🔖 배합비 참조'!$B$2:$CE$83,MATCH("흑미찹쌀(국내산)",'🔖 배합비 참조'!$A$2:$A$83,0),MATCH($C45,'🔖 배합비 참조'!$B$1:$CE$1,0))/100,0),""))),"")</f>
        <v>0</v>
      </c>
      <c r="CI45" s="39" t="n">
        <f aca="false">IFERROR(IF($C45="","",IF($D45="","",IFERROR(ROUND($D45*INDEX('🔖 배합비 참조'!$B$2:$CE$83,MATCH("찰옥수수전분(미국산)",'🔖 배합비 참조'!$A$2:$A$83,0),MATCH($C45,'🔖 배합비 참조'!$B$1:$CE$1,0))/100,0),""))),"")</f>
        <v>0</v>
      </c>
      <c r="CJ45" s="40"/>
      <c r="CL45" s="1" t="s">
        <v>238</v>
      </c>
    </row>
    <row r="46" customFormat="false" ht="18" hidden="false" customHeight="true" outlineLevel="0" collapsed="false">
      <c r="A46" s="41" t="n">
        <v>42</v>
      </c>
      <c r="B46" s="36" t="n">
        <v>45965</v>
      </c>
      <c r="C46" s="37" t="s">
        <v>143</v>
      </c>
      <c r="D46" s="38" t="n">
        <v>105</v>
      </c>
      <c r="E46" s="17"/>
      <c r="F46" s="17"/>
      <c r="G46" s="42" t="n">
        <f aca="false">IFERROR(IF($C46="","",IF($D46="","",IFERROR(ROUND($D46*INDEX('🔖 배합비 참조'!$B$2:$CE$83,MATCH("간장",'🔖 배합비 참조'!$A$2:$A$83,0),MATCH($C46,'🔖 배합비 참조'!$B$1:$CE$1,0))/100,0),""))),"")</f>
        <v>0</v>
      </c>
      <c r="H46" s="42" t="n">
        <f aca="false">IFERROR(IF($C46="","",IF($D46="","",IFERROR(ROUND($D46*INDEX('🔖 배합비 참조'!$B$2:$CE$83,MATCH("강낭콩((울타리콩))",'🔖 배합비 참조'!$A$2:$A$83,0),MATCH($C46,'🔖 배합비 참조'!$B$1:$CE$1,0))/100,0),""))),"")</f>
        <v>0</v>
      </c>
      <c r="I46" s="42" t="n">
        <f aca="false">IFERROR(IF($C46="","",IF($D46="","",IFERROR(ROUND($D46*INDEX('🔖 배합비 참조'!$B$2:$CE$83,MATCH("건조딸기다이스(외국산)",'🔖 배합비 참조'!$A$2:$A$83,0),MATCH($C46,'🔖 배합비 참조'!$B$1:$CE$1,0))/100,0),""))),"")</f>
        <v>0</v>
      </c>
      <c r="J46" s="42" t="n">
        <f aca="false">IFERROR(IF($C46="","",IF($D46="","",IFERROR(ROUND($D46*INDEX('🔖 배합비 참조'!$B$2:$CE$83,MATCH("건포도",'🔖 배합비 참조'!$A$2:$A$83,0),MATCH($C46,'🔖 배합비 참조'!$B$1:$CE$1,0))/100,0),""))),"")</f>
        <v>0</v>
      </c>
      <c r="K46" s="42" t="n">
        <f aca="false">IFERROR(IF($C46="","",IF($D46="","",IFERROR(ROUND($D46*INDEX('🔖 배합비 참조'!$B$2:$CE$83,MATCH("건호박채(중국산)",'🔖 배합비 참조'!$A$2:$A$83,0),MATCH($C46,'🔖 배합비 참조'!$B$1:$CE$1,0))/100,0),""))),"")</f>
        <v>0</v>
      </c>
      <c r="L46" s="42" t="n">
        <f aca="false">IFERROR(IF($C46="","",IF($D46="","",IFERROR(ROUND($D46*INDEX('🔖 배합비 참조'!$B$2:$CE$83,MATCH("검정깨(흑임자)",'🔖 배합비 참조'!$A$2:$A$83,0),MATCH($C46,'🔖 배합비 참조'!$B$1:$CE$1,0))/100,0),""))),"")</f>
        <v>0</v>
      </c>
      <c r="M46" s="42" t="n">
        <f aca="false">IFERROR(IF($C46="","",IF($D46="","",IFERROR(ROUND($D46*INDEX('🔖 배합비 참조'!$B$2:$CE$83,MATCH("검정콩",'🔖 배합비 참조'!$A$2:$A$83,0),MATCH($C46,'🔖 배합비 참조'!$B$1:$CE$1,0))/100,0),""))),"")</f>
        <v>0</v>
      </c>
      <c r="N46" s="42" t="n">
        <f aca="false">IFERROR(IF($C46="","",IF($D46="","",IFERROR(ROUND($D46*INDEX('🔖 배합비 참조'!$B$2:$CE$83,MATCH("계피가루",'🔖 배합비 참조'!$A$2:$A$83,0),MATCH($C46,'🔖 배합비 참조'!$B$1:$CE$1,0))/100,0),""))),"")</f>
        <v>0</v>
      </c>
      <c r="O46" s="42" t="n">
        <f aca="false">IFERROR(IF($C46="","",IF($D46="","",IFERROR(ROUND($D46*INDEX('🔖 배합비 참조'!$B$2:$CE$83,MATCH("고구마가루",'🔖 배합비 참조'!$A$2:$A$83,0),MATCH($C46,'🔖 배합비 참조'!$B$1:$CE$1,0))/100,0),""))),"")</f>
        <v>0</v>
      </c>
      <c r="P46" s="42" t="n">
        <f aca="false">IFERROR(IF($C46="","",IF($D46="","",IFERROR(ROUND($D46*INDEX('🔖 배합비 참조'!$B$2:$CE$83,MATCH("고구마무스",'🔖 배합비 참조'!$A$2:$A$83,0),MATCH($C46,'🔖 배합비 참조'!$B$1:$CE$1,0))/100,0),""))),"")</f>
        <v>0</v>
      </c>
      <c r="Q46" s="42" t="n">
        <f aca="false">IFERROR(IF($C46="","",IF($D46="","",IFERROR(ROUND($D46*INDEX('🔖 배합비 참조'!$B$2:$CE$83,MATCH("고려엉겅퀴((곤드레)국내산)",'🔖 배합비 참조'!$A$2:$A$83,0),MATCH($C46,'🔖 배합비 참조'!$B$1:$CE$1,0))/100,0),""))),"")</f>
        <v>0</v>
      </c>
      <c r="R46" s="42" t="n">
        <f aca="false">IFERROR(IF($C46="","",IF($D46="","",IFERROR(ROUND($D46*INDEX('🔖 배합비 참조'!$B$2:$CE$83,MATCH("기타가공품(복분자가루)",'🔖 배합비 참조'!$A$2:$A$83,0),MATCH($C46,'🔖 배합비 참조'!$B$1:$CE$1,0))/100,0),""))),"")</f>
        <v>0</v>
      </c>
      <c r="S46" s="42" t="n">
        <f aca="false">IFERROR(IF($C46="","",IF($D46="","",IFERROR(ROUND($D46*INDEX('🔖 배합비 참조'!$B$2:$CE$83,MATCH("기타가공품(슈퍼소프트엠)",'🔖 배합비 참조'!$A$2:$A$83,0),MATCH($C46,'🔖 배합비 참조'!$B$1:$CE$1,0))/100,0),""))),"")</f>
        <v>0</v>
      </c>
      <c r="T46" s="42" t="n">
        <f aca="false">IFERROR(IF($C46="","",IF($D46="","",IFERROR(ROUND($D46*INDEX('🔖 배합비 참조'!$B$2:$CE$83,MATCH("기타가공품(파인소프트 E-티)",'🔖 배합비 참조'!$A$2:$A$83,0),MATCH($C46,'🔖 배합비 참조'!$B$1:$CE$1,0))/100,0),""))),"")</f>
        <v>0</v>
      </c>
      <c r="U46" s="42" t="n">
        <f aca="false">IFERROR(IF($C46="","",IF($D46="","",IFERROR(ROUND($D46*INDEX('🔖 배합비 참조'!$B$2:$CE$83,MATCH("기타가공품(프리미엄카스테라가루)",'🔖 배합비 참조'!$A$2:$A$83,0),MATCH($C46,'🔖 배합비 참조'!$B$1:$CE$1,0))/100,0),""))),"")</f>
        <v>0</v>
      </c>
      <c r="V46" s="42" t="n">
        <f aca="false">IFERROR(IF($C46="","",IF($D46="","",IFERROR(ROUND($D46*INDEX('🔖 배합비 참조'!$B$2:$CE$83,MATCH("기타가공품(흑임자가루)",'🔖 배합비 참조'!$A$2:$A$83,0),MATCH($C46,'🔖 배합비 참조'!$B$1:$CE$1,0))/100,0),""))),"")</f>
        <v>0</v>
      </c>
      <c r="W46" s="42" t="n">
        <f aca="false">IFERROR(IF($C46="","",IF($D46="","",IFERROR(ROUND($D46*INDEX('🔖 배합비 참조'!$B$2:$CE$83,MATCH("기타설탕(흑설탕)",'🔖 배합비 참조'!$A$2:$A$83,0),MATCH($C46,'🔖 배합비 참조'!$B$1:$CE$1,0))/100,0),""))),"")</f>
        <v>9</v>
      </c>
      <c r="X46" s="42" t="n">
        <f aca="false">IFERROR(IF($C46="","",IF($D46="","",IFERROR(ROUND($D46*INDEX('🔖 배합비 참조'!$B$2:$CE$83,MATCH("냉동쑥(국내산)",'🔖 배합비 참조'!$A$2:$A$83,0),MATCH($C46,'🔖 배합비 참조'!$B$1:$CE$1,0))/100,0),""))),"")</f>
        <v>0</v>
      </c>
      <c r="Y46" s="42" t="n">
        <f aca="false">IFERROR(IF($C46="","",IF($D46="","",IFERROR(ROUND($D46*INDEX('🔖 배합비 참조'!$B$2:$CE$83,MATCH("냉동증숙고구마(중국산)",'🔖 배합비 참조'!$A$2:$A$83,0),MATCH($C46,'🔖 배합비 참조'!$B$1:$CE$1,0))/100,0),""))),"")</f>
        <v>0</v>
      </c>
      <c r="Z46" s="42" t="n">
        <f aca="false">IFERROR(IF($C46="","",IF($D46="","",IFERROR(ROUND($D46*INDEX('🔖 배합비 참조'!$B$2:$CE$83,MATCH("녹차가루",'🔖 배합비 참조'!$A$2:$A$83,0),MATCH($C46,'🔖 배합비 참조'!$B$1:$CE$1,0))/100,0),""))),"")</f>
        <v>0</v>
      </c>
      <c r="AA46" s="42" t="n">
        <f aca="false">IFERROR(IF($C46="","",IF($D46="","",IFERROR(ROUND($D46*INDEX('🔖 배합비 참조'!$B$2:$CE$83,MATCH("다크초콜릿 컴파운드칩",'🔖 배합비 참조'!$A$2:$A$83,0),MATCH($C46,'🔖 배합비 참조'!$B$1:$CE$1,0))/100,0),""))),"")</f>
        <v>0</v>
      </c>
      <c r="AB46" s="42" t="n">
        <f aca="false">IFERROR(IF($C46="","",IF($D46="","",IFERROR(ROUND($D46*INDEX('🔖 배합비 참조'!$B$2:$CE$83,MATCH("단호박분말(중국산)",'🔖 배합비 참조'!$A$2:$A$83,0),MATCH($C46,'🔖 배합비 참조'!$B$1:$CE$1,0))/100,0),""))),"")</f>
        <v>0</v>
      </c>
      <c r="AC46" s="42" t="n">
        <f aca="false">IFERROR(IF($C46="","",IF($D46="","",IFERROR(ROUND($D46*INDEX('🔖 배합비 참조'!$B$2:$CE$83,MATCH("당류가공품(단호박농축액)",'🔖 배합비 참조'!$A$2:$A$83,0),MATCH($C46,'🔖 배합비 참조'!$B$1:$CE$1,0))/100,0),""))),"")</f>
        <v>0</v>
      </c>
      <c r="AD46" s="42" t="n">
        <f aca="false">IFERROR(IF($C46="","",IF($D46="","",IFERROR(ROUND($D46*INDEX('🔖 배합비 참조'!$B$2:$CE$83,MATCH("당류가공품(알룰로스,에리스리톨,스테비올배당체혼합)",'🔖 배합비 참조'!$A$2:$A$83,0),MATCH($C46,'🔖 배합비 참조'!$B$1:$CE$1,0))/100,0),""))),"")</f>
        <v>0</v>
      </c>
      <c r="AE46" s="42" t="n">
        <f aca="false">IFERROR(IF($C46="","",IF($D46="","",IFERROR(ROUND($D46*INDEX('🔖 배합비 참조'!$B$2:$CE$83,MATCH("당류가공품(알룰로스제로파우더)",'🔖 배합비 참조'!$A$2:$A$83,0),MATCH($C46,'🔖 배합비 참조'!$B$1:$CE$1,0))/100,0),""))),"")</f>
        <v>0</v>
      </c>
      <c r="AF46" s="42" t="n">
        <f aca="false">IFERROR(IF($C46="","",IF($D46="","",IFERROR(ROUND($D46*INDEX('🔖 배합비 참조'!$B$2:$CE$83,MATCH("당절임(완두배기)",'🔖 배합비 참조'!$A$2:$A$83,0),MATCH($C46,'🔖 배합비 참조'!$B$1:$CE$1,0))/100,0),""))),"")</f>
        <v>0</v>
      </c>
      <c r="AG46" s="42" t="n">
        <f aca="false">IFERROR(IF($C46="","",IF($D46="","",IFERROR(ROUND($D46*INDEX('🔖 배합비 참조'!$B$2:$CE$83,MATCH("대추농축액",'🔖 배합비 참조'!$A$2:$A$83,0),MATCH($C46,'🔖 배합비 참조'!$B$1:$CE$1,0))/100,0),""))),"")</f>
        <v>0</v>
      </c>
      <c r="AH46" s="42" t="n">
        <f aca="false">IFERROR(IF($C46="","",IF($D46="","",IFERROR(ROUND($D46*INDEX('🔖 배합비 참조'!$B$2:$CE$83,MATCH("대추채(국내산)",'🔖 배합비 참조'!$A$2:$A$83,0),MATCH($C46,'🔖 배합비 참조'!$B$1:$CE$1,0))/100,0),""))),"")</f>
        <v>0</v>
      </c>
      <c r="AI46" s="42" t="n">
        <f aca="false">IFERROR(IF($C46="","",IF($D46="","",IFERROR(ROUND($D46*INDEX('🔖 배합비 참조'!$B$2:$CE$83,MATCH("동부(미얀마산)",'🔖 배합비 참조'!$A$2:$A$83,0),MATCH($C46,'🔖 배합비 참조'!$B$1:$CE$1,0))/100,0),""))),"")</f>
        <v>0</v>
      </c>
      <c r="AJ46" s="42" t="n">
        <f aca="false">IFERROR(IF($C46="","",IF($D46="","",IFERROR(ROUND($D46*INDEX('🔖 배합비 참조'!$B$2:$CE$83,MATCH("두류가공품(백옥앙금)",'🔖 배합비 참조'!$A$2:$A$83,0),MATCH($C46,'🔖 배합비 참조'!$B$1:$CE$1,0))/100,0),""))),"")</f>
        <v>0</v>
      </c>
      <c r="AK46" s="42" t="n">
        <f aca="false">IFERROR(IF($C46="","",IF($D46="","",IFERROR(ROUND($D46*INDEX('🔖 배합비 참조'!$B$2:$CE$83,MATCH("두류가공품(콩고물)",'🔖 배합비 참조'!$A$2:$A$83,0),MATCH($C46,'🔖 배합비 참조'!$B$1:$CE$1,0))/100,0),""))),"")</f>
        <v>0</v>
      </c>
      <c r="AL46" s="42" t="n">
        <f aca="false">IFERROR(IF($C46="","",IF($D46="","",IFERROR(ROUND($D46*INDEX('🔖 배합비 참조'!$B$2:$CE$83,MATCH("두류가공품(통팥고물)",'🔖 배합비 참조'!$A$2:$A$83,0),MATCH($C46,'🔖 배합비 참조'!$B$1:$CE$1,0))/100,0),""))),"")</f>
        <v>0</v>
      </c>
      <c r="AM46" s="42" t="n">
        <f aca="false">IFERROR(IF($C46="","",IF($D46="","",IFERROR(ROUND($D46*INDEX('🔖 배합비 참조'!$B$2:$CE$83,MATCH("딸기레진",'🔖 배합비 참조'!$A$2:$A$83,0),MATCH($C46,'🔖 배합비 참조'!$B$1:$CE$1,0))/100,0),""))),"")</f>
        <v>0</v>
      </c>
      <c r="AN46" s="42" t="n">
        <f aca="false">IFERROR(IF($C46="","",IF($D46="","",IFERROR(ROUND($D46*INDEX('🔖 배합비 참조'!$B$2:$CE$83,MATCH("딸기분말(스트로우베리에이드(분말))",'🔖 배합비 참조'!$A$2:$A$83,0),MATCH($C46,'🔖 배합비 참조'!$B$1:$CE$1,0))/100,0),""))),"")</f>
        <v>0</v>
      </c>
      <c r="AO46" s="42" t="n">
        <f aca="false">IFERROR(IF($C46="","",IF($D46="","",IFERROR(ROUND($D46*INDEX('🔖 배합비 참조'!$B$2:$CE$83,MATCH("마스카포네치즈",'🔖 배합비 참조'!$A$2:$A$83,0),MATCH($C46,'🔖 배합비 참조'!$B$1:$CE$1,0))/100,0),""))),"")</f>
        <v>0</v>
      </c>
      <c r="AP46" s="42" t="n">
        <f aca="false">IFERROR(IF($C46="","",IF($D46="","",IFERROR(ROUND($D46*INDEX('🔖 배합비 참조'!$B$2:$CE$83,MATCH("마카다미아분태(호주산)",'🔖 배합비 참조'!$A$2:$A$83,0),MATCH($C46,'🔖 배합비 참조'!$B$1:$CE$1,0))/100,0),""))),"")</f>
        <v>0</v>
      </c>
      <c r="AQ46" s="42" t="n">
        <f aca="false">IFERROR(IF($C46="","",IF($D46="","",IFERROR(ROUND($D46*INDEX('🔖 배합비 참조'!$B$2:$CE$83,MATCH("멥쌀(국내산)",'🔖 배합비 참조'!$A$2:$A$83,0),MATCH($C46,'🔖 배합비 참조'!$B$1:$CE$1,0))/100,0),""))),"")</f>
        <v>71</v>
      </c>
      <c r="AR46" s="42" t="n">
        <f aca="false">IFERROR(IF($C46="","",IF($D46="","",IFERROR(ROUND($D46*INDEX('🔖 배합비 참조'!$B$2:$CE$83,MATCH("모시잎(국내산)",'🔖 배합비 참조'!$A$2:$A$83,0),MATCH($C46,'🔖 배합비 참조'!$B$1:$CE$1,0))/100,0),""))),"")</f>
        <v>0</v>
      </c>
      <c r="AS46" s="42" t="n">
        <f aca="false">IFERROR(IF($C46="","",IF($D46="","",IFERROR(ROUND($D46*INDEX('🔖 배합비 참조'!$B$2:$CE$83,MATCH("물엿(저당물엿)",'🔖 배합비 참조'!$A$2:$A$83,0),MATCH($C46,'🔖 배합비 참조'!$B$1:$CE$1,0))/100,0),""))),"")</f>
        <v>0</v>
      </c>
      <c r="AT46" s="42" t="n">
        <f aca="false">IFERROR(IF($C46="","",IF($D46="","",IFERROR(ROUND($D46*INDEX('🔖 배합비 참조'!$B$2:$CE$83,MATCH("밤다이스",'🔖 배합비 참조'!$A$2:$A$83,0),MATCH($C46,'🔖 배합비 참조'!$B$1:$CE$1,0))/100,0),""))),"")</f>
        <v>0</v>
      </c>
      <c r="AU46" s="42" t="n">
        <f aca="false">IFERROR(IF($C46="","",IF($D46="","",IFERROR(ROUND($D46*INDEX('🔖 배합비 참조'!$B$2:$CE$83,MATCH("변성전분(타피오카전분)",'🔖 배합비 참조'!$A$2:$A$83,0),MATCH($C46,'🔖 배합비 참조'!$B$1:$CE$1,0))/100,0),""))),"")</f>
        <v>0</v>
      </c>
      <c r="AV46" s="42" t="n">
        <f aca="false">IFERROR(IF($C46="","",IF($D46="","",IFERROR(ROUND($D46*INDEX('🔖 배합비 참조'!$B$2:$CE$83,MATCH("복음땅콩분태",'🔖 배합비 참조'!$A$2:$A$83,0),MATCH($C46,'🔖 배합비 참조'!$B$1:$CE$1,0))/100,0),""))),"")</f>
        <v>0</v>
      </c>
      <c r="AW46" s="42" t="n">
        <f aca="false">IFERROR(IF($C46="","",IF($D46="","",IFERROR(ROUND($D46*INDEX('🔖 배합비 참조'!$B$2:$CE$83,MATCH("사양벌꿀(국내산)",'🔖 배합비 참조'!$A$2:$A$83,0),MATCH($C46,'🔖 배합비 참조'!$B$1:$CE$1,0))/100,0),""))),"")</f>
        <v>2</v>
      </c>
      <c r="AX46" s="42" t="n">
        <f aca="false">IFERROR(IF($C46="","",IF($D46="","",IFERROR(ROUND($D46*INDEX('🔖 배합비 참조'!$B$2:$CE$83,MATCH("생크림",'🔖 배합비 참조'!$A$2:$A$83,0),MATCH($C46,'🔖 배합비 참조'!$B$1:$CE$1,0))/100,0),""))),"")</f>
        <v>0</v>
      </c>
      <c r="AY46" s="42" t="n">
        <f aca="false">IFERROR(IF($C46="","",IF($D46="","",IFERROR(ROUND($D46*INDEX('🔖 배합비 참조'!$B$2:$CE$83,MATCH("서양호박(국내산,뉴질랜드산)",'🔖 배합비 참조'!$A$2:$A$83,0),MATCH($C46,'🔖 배합비 참조'!$B$1:$CE$1,0))/100,0),""))),"")</f>
        <v>0</v>
      </c>
      <c r="AZ46" s="42" t="n">
        <f aca="false">IFERROR(IF($C46="","",IF($D46="","",IFERROR(ROUND($D46*INDEX('🔖 배합비 참조'!$B$2:$CE$83,MATCH("설탕",'🔖 배합비 참조'!$A$2:$A$83,0),MATCH($C46,'🔖 배합비 참조'!$B$1:$CE$1,0))/100,0),""))),"")</f>
        <v>9</v>
      </c>
      <c r="BA46" s="42" t="n">
        <f aca="false">IFERROR(IF($C46="","",IF($D46="","",IFERROR(ROUND($D46*INDEX('🔖 배합비 참조'!$B$2:$CE$83,MATCH("스트로우베리 에이드 후레쉬",'🔖 배합비 참조'!$A$2:$A$83,0),MATCH($C46,'🔖 배합비 참조'!$B$1:$CE$1,0))/100,0),""))),"")</f>
        <v>0</v>
      </c>
      <c r="BB46" s="42" t="n">
        <f aca="false">IFERROR(IF($C46="","",IF($D46="","",IFERROR(ROUND($D46*INDEX('🔖 배합비 참조'!$B$2:$CE$83,MATCH("식물성기름혼합제제(분홍)",'🔖 배합비 참조'!$A$2:$A$83,0),MATCH($C46,'🔖 배합비 참조'!$B$1:$CE$1,0))/100,0),""))),"")</f>
        <v>0</v>
      </c>
      <c r="BC46" s="42" t="n">
        <f aca="false">IFERROR(IF($C46="","",IF($D46="","",IFERROR(ROUND($D46*INDEX('🔖 배합비 참조'!$B$2:$CE$83,MATCH("식물성기름혼합제제(초록)",'🔖 배합비 참조'!$A$2:$A$83,0),MATCH($C46,'🔖 배합비 참조'!$B$1:$CE$1,0))/100,0),""))),"")</f>
        <v>0</v>
      </c>
      <c r="BD46" s="42" t="n">
        <f aca="false">IFERROR(IF($C46="","",IF($D46="","",IFERROR(ROUND($D46*INDEX('🔖 배합비 참조'!$B$2:$CE$83,MATCH("식물성기름혼합제제(황색)",'🔖 배합비 참조'!$A$2:$A$83,0),MATCH($C46,'🔖 배합비 참조'!$B$1:$CE$1,0))/100,0),""))),"")</f>
        <v>0</v>
      </c>
      <c r="BE46" s="42" t="n">
        <f aca="false">IFERROR(IF($C46="","",IF($D46="","",IFERROR(ROUND($D46*INDEX('🔖 배합비 참조'!$B$2:$CE$83,MATCH("쑥가루(국내산)",'🔖 배합비 참조'!$A$2:$A$83,0),MATCH($C46,'🔖 배합비 참조'!$B$1:$CE$1,0))/100,0),""))),"")</f>
        <v>0</v>
      </c>
      <c r="BF46" s="42" t="n">
        <f aca="false">IFERROR(IF($C46="","",IF($D46="","",IFERROR(ROUND($D46*INDEX('🔖 배합비 참조'!$B$2:$CE$83,MATCH("아몬드슬라이스",'🔖 배합비 참조'!$A$2:$A$83,0),MATCH($C46,'🔖 배합비 참조'!$B$1:$CE$1,0))/100,0),""))),"")</f>
        <v>0</v>
      </c>
      <c r="BG46" s="42" t="n">
        <f aca="false">IFERROR(IF($C46="","",IF($D46="","",IFERROR(ROUND($D46*INDEX('🔖 배합비 참조'!$B$2:$CE$83,MATCH("알룰로오스(국내산)",'🔖 배합비 참조'!$A$2:$A$83,0),MATCH($C46,'🔖 배합비 참조'!$B$1:$CE$1,0))/100,0),""))),"")</f>
        <v>0</v>
      </c>
      <c r="BH46" s="42" t="n">
        <f aca="false">IFERROR(IF($C46="","",IF($D46="","",IFERROR(ROUND($D46*INDEX('🔖 배합비 참조'!$B$2:$CE$83,MATCH("연유",'🔖 배합비 참조'!$A$2:$A$83,0),MATCH($C46,'🔖 배합비 참조'!$B$1:$CE$1,0))/100,0),""))),"")</f>
        <v>0</v>
      </c>
      <c r="BI46" s="42" t="n">
        <f aca="false">IFERROR(IF($C46="","",IF($D46="","",IFERROR(ROUND($D46*INDEX('🔖 배합비 참조'!$B$2:$CE$83,MATCH("옥수수전분",'🔖 배합비 참조'!$A$2:$A$83,0),MATCH($C46,'🔖 배합비 참조'!$B$1:$CE$1,0))/100,0),""))),"")</f>
        <v>0</v>
      </c>
      <c r="BJ46" s="42" t="n">
        <f aca="false">IFERROR(IF($C46="","",IF($D46="","",IFERROR(ROUND($D46*INDEX('🔖 배합비 참조'!$B$2:$CE$83,MATCH("완두배기",'🔖 배합비 참조'!$A$2:$A$83,0),MATCH($C46,'🔖 배합비 참조'!$B$1:$CE$1,0))/100,0),""))),"")</f>
        <v>0</v>
      </c>
      <c r="BK46" s="42" t="n">
        <f aca="false">IFERROR(IF($C46="","",IF($D46="","",IFERROR(ROUND($D46*INDEX('🔖 배합비 참조'!$B$2:$CE$83,MATCH("우유(국내산)",'🔖 배합비 참조'!$A$2:$A$83,0),MATCH($C46,'🔖 배합비 참조'!$B$1:$CE$1,0))/100,0),""))),"")</f>
        <v>0</v>
      </c>
      <c r="BL46" s="42" t="n">
        <f aca="false">IFERROR(IF($C46="","",IF($D46="","",IFERROR(ROUND($D46*INDEX('🔖 배합비 참조'!$B$2:$CE$83,MATCH("자색고구마가루(중국산)",'🔖 배합비 참조'!$A$2:$A$83,0),MATCH($C46,'🔖 배합비 참조'!$B$1:$CE$1,0))/100,0),""))),"")</f>
        <v>0</v>
      </c>
      <c r="BM46" s="42" t="n">
        <f aca="false">IFERROR(IF($C46="","",IF($D46="","",IFERROR(ROUND($D46*INDEX('🔖 배합비 참조'!$B$2:$CE$83,MATCH("자연치즈(체다치즈)",'🔖 배합비 참조'!$A$2:$A$83,0),MATCH($C46,'🔖 배합비 참조'!$B$1:$CE$1,0))/100,0),""))),"")</f>
        <v>0</v>
      </c>
      <c r="BN46" s="42" t="n">
        <f aca="false">IFERROR(IF($C46="","",IF($D46="","",IFERROR(ROUND($D46*INDEX('🔖 배합비 참조'!$B$2:$CE$83,MATCH("정제수",'🔖 배합비 참조'!$A$2:$A$83,0),MATCH($C46,'🔖 배합비 참조'!$B$1:$CE$1,0))/100,0),""))),"")</f>
        <v>13</v>
      </c>
      <c r="BO46" s="42" t="n">
        <f aca="false">IFERROR(IF($C46="","",IF($D46="","",IFERROR(ROUND($D46*INDEX('🔖 배합비 참조'!$B$2:$CE$83,MATCH("젤라틴",'🔖 배합비 참조'!$A$2:$A$83,0),MATCH($C46,'🔖 배합비 참조'!$B$1:$CE$1,0))/100,0),""))),"")</f>
        <v>0</v>
      </c>
      <c r="BP46" s="42" t="n">
        <f aca="false">IFERROR(IF($C46="","",IF($D46="","",IFERROR(ROUND($D46*INDEX('🔖 배합비 참조'!$B$2:$CE$83,MATCH("조림류(백옥앙금)",'🔖 배합비 참조'!$A$2:$A$83,0),MATCH($C46,'🔖 배합비 참조'!$B$1:$CE$1,0))/100,0),""))),"")</f>
        <v>0</v>
      </c>
      <c r="BQ46" s="42" t="n">
        <f aca="false">IFERROR(IF($C46="","",IF($D46="","",IFERROR(ROUND($D46*INDEX('🔖 배합비 참조'!$B$2:$CE$83,MATCH("조림류(통팥앙금)",'🔖 배합비 참조'!$A$2:$A$83,0),MATCH($C46,'🔖 배합비 참조'!$B$1:$CE$1,0))/100,0),""))),"")</f>
        <v>0</v>
      </c>
      <c r="BR46" s="42" t="n">
        <f aca="false">IFERROR(IF($C46="","",IF($D46="","",IFERROR(ROUND($D46*INDEX('🔖 배합비 참조'!$B$2:$CE$83,MATCH("준초콜릿(외국산)",'🔖 배합비 참조'!$A$2:$A$83,0),MATCH($C46,'🔖 배합비 참조'!$B$1:$CE$1,0))/100,0),""))),"")</f>
        <v>0</v>
      </c>
      <c r="BS46" s="42" t="n">
        <f aca="false">IFERROR(IF($C46="","",IF($D46="","",IFERROR(ROUND($D46*INDEX('🔖 배합비 참조'!$B$2:$CE$83,MATCH("중력분",'🔖 배합비 참조'!$A$2:$A$83,0),MATCH($C46,'🔖 배합비 참조'!$B$1:$CE$1,0))/100,0),""))),"")</f>
        <v>0</v>
      </c>
      <c r="BT46" s="42" t="n">
        <f aca="false">IFERROR(IF($C46="","",IF($D46="","",IFERROR(ROUND($D46*INDEX('🔖 배합비 참조'!$B$2:$CE$83,MATCH("참깨(인도산,나이지리아산,탄자니아산,미얀마산)",'🔖 배합비 참조'!$A$2:$A$83,0),MATCH($C46,'🔖 배합비 참조'!$B$1:$CE$1,0))/100,0),""))),"")</f>
        <v>0</v>
      </c>
      <c r="BU46" s="42" t="n">
        <f aca="false">IFERROR(IF($C46="","",IF($D46="","",IFERROR(ROUND($D46*INDEX('🔖 배합비 참조'!$B$2:$CE$83,MATCH("찹쌀(국내산)",'🔖 배합비 참조'!$A$2:$A$83,0),MATCH($C46,'🔖 배합비 참조'!$B$1:$CE$1,0))/100,0),""))),"")</f>
        <v>0</v>
      </c>
      <c r="BV46" s="42" t="n">
        <f aca="false">IFERROR(IF($C46="","",IF($D46="","",IFERROR(ROUND($D46*INDEX('🔖 배합비 참조'!$B$2:$CE$83,MATCH("천일염",'🔖 배합비 참조'!$A$2:$A$83,0),MATCH($C46,'🔖 배합비 참조'!$B$1:$CE$1,0))/100,0),""))),"")</f>
        <v>1</v>
      </c>
      <c r="BW46" s="42" t="n">
        <f aca="false">IFERROR(IF($C46="","",IF($D46="","",IFERROR(ROUND($D46*INDEX('🔖 배합비 참조'!$B$2:$CE$83,MATCH("치즈 [크림치즈]",'🔖 배합비 참조'!$A$2:$A$83,0),MATCH($C46,'🔖 배합비 참조'!$B$1:$CE$1,0))/100,0),""))),"")</f>
        <v>0</v>
      </c>
      <c r="BX46" s="42" t="n">
        <f aca="false">IFERROR(IF($C46="","",IF($D46="","",IFERROR(ROUND($D46*INDEX('🔖 배합비 참조'!$B$2:$CE$83,MATCH("코코아가공품류(코코아분말)",'🔖 배합비 참조'!$A$2:$A$83,0),MATCH($C46,'🔖 배합비 참조'!$B$1:$CE$1,0))/100,0),""))),"")</f>
        <v>0</v>
      </c>
      <c r="BY46" s="42" t="n">
        <f aca="false">IFERROR(IF($C46="","",IF($D46="","",IFERROR(ROUND($D46*INDEX('🔖 배합비 참조'!$B$2:$CE$83,MATCH("콩기름(대두유)",'🔖 배합비 참조'!$A$2:$A$83,0),MATCH($C46,'🔖 배합비 참조'!$B$1:$CE$1,0))/100,0),""))),"")</f>
        <v>0</v>
      </c>
      <c r="BZ46" s="42" t="n">
        <f aca="false">IFERROR(IF($C46="","",IF($D46="","",IFERROR(ROUND($D46*INDEX('🔖 배합비 참조'!$B$2:$CE$83,MATCH("해바라기씨앗",'🔖 배합비 참조'!$A$2:$A$83,0),MATCH($C46,'🔖 배합비 참조'!$B$1:$CE$1,0))/100,0),""))),"")</f>
        <v>0</v>
      </c>
      <c r="CA46" s="42" t="n">
        <f aca="false">IFERROR(IF($C46="","",IF($D46="","",IFERROR(ROUND($D46*INDEX('🔖 배합비 참조'!$B$2:$CE$83,MATCH("현미(국내산)",'🔖 배합비 참조'!$A$2:$A$83,0),MATCH($C46,'🔖 배합비 참조'!$B$1:$CE$1,0))/100,0),""))),"")</f>
        <v>0</v>
      </c>
      <c r="CB46" s="42" t="n">
        <f aca="false">IFERROR(IF($C46="","",IF($D46="","",IFERROR(ROUND($D46*INDEX('🔖 배합비 참조'!$B$2:$CE$83,MATCH("현미멥쌀(국내산)",'🔖 배합비 참조'!$A$2:$A$83,0),MATCH($C46,'🔖 배합비 참조'!$B$1:$CE$1,0))/100,0),""))),"")</f>
        <v>0</v>
      </c>
      <c r="CC46" s="42" t="n">
        <f aca="false">IFERROR(IF($C46="","",IF($D46="","",IFERROR(ROUND($D46*INDEX('🔖 배합비 참조'!$B$2:$CE$83,MATCH("호두분태(미국산)",'🔖 배합비 참조'!$A$2:$A$83,0),MATCH($C46,'🔖 배합비 참조'!$B$1:$CE$1,0))/100,0),""))),"")</f>
        <v>0</v>
      </c>
      <c r="CD46" s="42" t="n">
        <f aca="false">IFERROR(IF($C46="","",IF($D46="","",IFERROR(ROUND($D46*INDEX('🔖 배합비 참조'!$B$2:$CE$83,MATCH("호박씨앗(외국산)",'🔖 배합비 참조'!$A$2:$A$83,0),MATCH($C46,'🔖 배합비 참조'!$B$1:$CE$1,0))/100,0),""))),"")</f>
        <v>0</v>
      </c>
      <c r="CE46" s="42" t="n">
        <f aca="false">IFERROR(IF($C46="","",IF($D46="","",IFERROR(ROUND($D46*INDEX('🔖 배합비 참조'!$B$2:$CE$83,MATCH("혼합제제(떡용에스텔)",'🔖 배합비 참조'!$A$2:$A$83,0),MATCH($C46,'🔖 배합비 참조'!$B$1:$CE$1,0))/100,0),""))),"")</f>
        <v>0</v>
      </c>
      <c r="CF46" s="42" t="n">
        <f aca="false">IFERROR(IF($C46="","",IF($D46="","",IFERROR(ROUND($D46*INDEX('🔖 배합비 참조'!$B$2:$CE$83,MATCH("혼합제제(스테비아)",'🔖 배합비 참조'!$A$2:$A$83,0),MATCH($C46,'🔖 배합비 참조'!$B$1:$CE$1,0))/100,0),""))),"")</f>
        <v>0</v>
      </c>
      <c r="CG46" s="42" t="n">
        <f aca="false">IFERROR(IF($C46="","",IF($D46="","",IFERROR(ROUND($D46*INDEX('🔖 배합비 참조'!$B$2:$CE$83,MATCH("화이트초콜릿",'🔖 배합비 참조'!$A$2:$A$83,0),MATCH($C46,'🔖 배합비 참조'!$B$1:$CE$1,0))/100,0),""))),"")</f>
        <v>0</v>
      </c>
      <c r="CH46" s="42" t="n">
        <f aca="false">IFERROR(IF($C46="","",IF($D46="","",IFERROR(ROUND($D46*INDEX('🔖 배합비 참조'!$B$2:$CE$83,MATCH("흑미찹쌀(국내산)",'🔖 배합비 참조'!$A$2:$A$83,0),MATCH($C46,'🔖 배합비 참조'!$B$1:$CE$1,0))/100,0),""))),"")</f>
        <v>0</v>
      </c>
      <c r="CI46" s="42" t="n">
        <f aca="false">IFERROR(IF($C46="","",IF($D46="","",IFERROR(ROUND($D46*INDEX('🔖 배합비 참조'!$B$2:$CE$83,MATCH("찰옥수수전분(미국산)",'🔖 배합비 참조'!$A$2:$A$83,0),MATCH($C46,'🔖 배합비 참조'!$B$1:$CE$1,0))/100,0),""))),"")</f>
        <v>0</v>
      </c>
      <c r="CJ46" s="40"/>
      <c r="CL46" s="1" t="s">
        <v>238</v>
      </c>
    </row>
    <row r="47" customFormat="false" ht="18" hidden="false" customHeight="true" outlineLevel="0" collapsed="false">
      <c r="A47" s="35" t="n">
        <v>43</v>
      </c>
      <c r="B47" s="36" t="n">
        <v>45965</v>
      </c>
      <c r="C47" s="37" t="s">
        <v>169</v>
      </c>
      <c r="D47" s="38" t="n">
        <v>53</v>
      </c>
      <c r="E47" s="13"/>
      <c r="F47" s="13"/>
      <c r="G47" s="39" t="n">
        <f aca="false">IFERROR(IF($C47="","",IF($D47="","",IFERROR(ROUND($D47*INDEX('🔖 배합비 참조'!$B$2:$CE$83,MATCH("간장",'🔖 배합비 참조'!$A$2:$A$83,0),MATCH($C47,'🔖 배합비 참조'!$B$1:$CE$1,0))/100,0),""))),"")</f>
        <v>0</v>
      </c>
      <c r="H47" s="39" t="n">
        <f aca="false">IFERROR(IF($C47="","",IF($D47="","",IFERROR(ROUND($D47*INDEX('🔖 배합비 참조'!$B$2:$CE$83,MATCH("강낭콩((울타리콩))",'🔖 배합비 참조'!$A$2:$A$83,0),MATCH($C47,'🔖 배합비 참조'!$B$1:$CE$1,0))/100,0),""))),"")</f>
        <v>0</v>
      </c>
      <c r="I47" s="39" t="n">
        <f aca="false">IFERROR(IF($C47="","",IF($D47="","",IFERROR(ROUND($D47*INDEX('🔖 배합비 참조'!$B$2:$CE$83,MATCH("건조딸기다이스(외국산)",'🔖 배합비 참조'!$A$2:$A$83,0),MATCH($C47,'🔖 배합비 참조'!$B$1:$CE$1,0))/100,0),""))),"")</f>
        <v>0</v>
      </c>
      <c r="J47" s="39" t="n">
        <f aca="false">IFERROR(IF($C47="","",IF($D47="","",IFERROR(ROUND($D47*INDEX('🔖 배합비 참조'!$B$2:$CE$83,MATCH("건포도",'🔖 배합비 참조'!$A$2:$A$83,0),MATCH($C47,'🔖 배합비 참조'!$B$1:$CE$1,0))/100,0),""))),"")</f>
        <v>0</v>
      </c>
      <c r="K47" s="39" t="n">
        <f aca="false">IFERROR(IF($C47="","",IF($D47="","",IFERROR(ROUND($D47*INDEX('🔖 배합비 참조'!$B$2:$CE$83,MATCH("건호박채(중국산)",'🔖 배합비 참조'!$A$2:$A$83,0),MATCH($C47,'🔖 배합비 참조'!$B$1:$CE$1,0))/100,0),""))),"")</f>
        <v>0</v>
      </c>
      <c r="L47" s="39" t="n">
        <f aca="false">IFERROR(IF($C47="","",IF($D47="","",IFERROR(ROUND($D47*INDEX('🔖 배합비 참조'!$B$2:$CE$83,MATCH("검정깨(흑임자)",'🔖 배합비 참조'!$A$2:$A$83,0),MATCH($C47,'🔖 배합비 참조'!$B$1:$CE$1,0))/100,0),""))),"")</f>
        <v>0</v>
      </c>
      <c r="M47" s="39" t="n">
        <f aca="false">IFERROR(IF($C47="","",IF($D47="","",IFERROR(ROUND($D47*INDEX('🔖 배합비 참조'!$B$2:$CE$83,MATCH("검정콩",'🔖 배합비 참조'!$A$2:$A$83,0),MATCH($C47,'🔖 배합비 참조'!$B$1:$CE$1,0))/100,0),""))),"")</f>
        <v>0</v>
      </c>
      <c r="N47" s="39" t="n">
        <f aca="false">IFERROR(IF($C47="","",IF($D47="","",IFERROR(ROUND($D47*INDEX('🔖 배합비 참조'!$B$2:$CE$83,MATCH("계피가루",'🔖 배합비 참조'!$A$2:$A$83,0),MATCH($C47,'🔖 배합비 참조'!$B$1:$CE$1,0))/100,0),""))),"")</f>
        <v>0</v>
      </c>
      <c r="O47" s="39" t="n">
        <f aca="false">IFERROR(IF($C47="","",IF($D47="","",IFERROR(ROUND($D47*INDEX('🔖 배합비 참조'!$B$2:$CE$83,MATCH("고구마가루",'🔖 배합비 참조'!$A$2:$A$83,0),MATCH($C47,'🔖 배합비 참조'!$B$1:$CE$1,0))/100,0),""))),"")</f>
        <v>0</v>
      </c>
      <c r="P47" s="39" t="n">
        <f aca="false">IFERROR(IF($C47="","",IF($D47="","",IFERROR(ROUND($D47*INDEX('🔖 배합비 참조'!$B$2:$CE$83,MATCH("고구마무스",'🔖 배합비 참조'!$A$2:$A$83,0),MATCH($C47,'🔖 배합비 참조'!$B$1:$CE$1,0))/100,0),""))),"")</f>
        <v>0</v>
      </c>
      <c r="Q47" s="39" t="n">
        <f aca="false">IFERROR(IF($C47="","",IF($D47="","",IFERROR(ROUND($D47*INDEX('🔖 배합비 참조'!$B$2:$CE$83,MATCH("고려엉겅퀴((곤드레)국내산)",'🔖 배합비 참조'!$A$2:$A$83,0),MATCH($C47,'🔖 배합비 참조'!$B$1:$CE$1,0))/100,0),""))),"")</f>
        <v>0</v>
      </c>
      <c r="R47" s="39" t="n">
        <f aca="false">IFERROR(IF($C47="","",IF($D47="","",IFERROR(ROUND($D47*INDEX('🔖 배합비 참조'!$B$2:$CE$83,MATCH("기타가공품(복분자가루)",'🔖 배합비 참조'!$A$2:$A$83,0),MATCH($C47,'🔖 배합비 참조'!$B$1:$CE$1,0))/100,0),""))),"")</f>
        <v>0</v>
      </c>
      <c r="S47" s="39" t="n">
        <f aca="false">IFERROR(IF($C47="","",IF($D47="","",IFERROR(ROUND($D47*INDEX('🔖 배합비 참조'!$B$2:$CE$83,MATCH("기타가공품(슈퍼소프트엠)",'🔖 배합비 참조'!$A$2:$A$83,0),MATCH($C47,'🔖 배합비 참조'!$B$1:$CE$1,0))/100,0),""))),"")</f>
        <v>0</v>
      </c>
      <c r="T47" s="39" t="n">
        <f aca="false">IFERROR(IF($C47="","",IF($D47="","",IFERROR(ROUND($D47*INDEX('🔖 배합비 참조'!$B$2:$CE$83,MATCH("기타가공품(파인소프트 E-티)",'🔖 배합비 참조'!$A$2:$A$83,0),MATCH($C47,'🔖 배합비 참조'!$B$1:$CE$1,0))/100,0),""))),"")</f>
        <v>0</v>
      </c>
      <c r="U47" s="39" t="n">
        <f aca="false">IFERROR(IF($C47="","",IF($D47="","",IFERROR(ROUND($D47*INDEX('🔖 배합비 참조'!$B$2:$CE$83,MATCH("기타가공품(프리미엄카스테라가루)",'🔖 배합비 참조'!$A$2:$A$83,0),MATCH($C47,'🔖 배합비 참조'!$B$1:$CE$1,0))/100,0),""))),"")</f>
        <v>0</v>
      </c>
      <c r="V47" s="39" t="n">
        <f aca="false">IFERROR(IF($C47="","",IF($D47="","",IFERROR(ROUND($D47*INDEX('🔖 배합비 참조'!$B$2:$CE$83,MATCH("기타가공품(흑임자가루)",'🔖 배합비 참조'!$A$2:$A$83,0),MATCH($C47,'🔖 배합비 참조'!$B$1:$CE$1,0))/100,0),""))),"")</f>
        <v>0</v>
      </c>
      <c r="W47" s="39" t="n">
        <f aca="false">IFERROR(IF($C47="","",IF($D47="","",IFERROR(ROUND($D47*INDEX('🔖 배합비 참조'!$B$2:$CE$83,MATCH("기타설탕(흑설탕)",'🔖 배합비 참조'!$A$2:$A$83,0),MATCH($C47,'🔖 배합비 참조'!$B$1:$CE$1,0))/100,0),""))),"")</f>
        <v>0</v>
      </c>
      <c r="X47" s="39" t="n">
        <f aca="false">IFERROR(IF($C47="","",IF($D47="","",IFERROR(ROUND($D47*INDEX('🔖 배합비 참조'!$B$2:$CE$83,MATCH("냉동쑥(국내산)",'🔖 배합비 참조'!$A$2:$A$83,0),MATCH($C47,'🔖 배합비 참조'!$B$1:$CE$1,0))/100,0),""))),"")</f>
        <v>0</v>
      </c>
      <c r="Y47" s="39" t="n">
        <f aca="false">IFERROR(IF($C47="","",IF($D47="","",IFERROR(ROUND($D47*INDEX('🔖 배합비 참조'!$B$2:$CE$83,MATCH("냉동증숙고구마(중국산)",'🔖 배합비 참조'!$A$2:$A$83,0),MATCH($C47,'🔖 배합비 참조'!$B$1:$CE$1,0))/100,0),""))),"")</f>
        <v>0</v>
      </c>
      <c r="Z47" s="39" t="n">
        <f aca="false">IFERROR(IF($C47="","",IF($D47="","",IFERROR(ROUND($D47*INDEX('🔖 배합비 참조'!$B$2:$CE$83,MATCH("녹차가루",'🔖 배합비 참조'!$A$2:$A$83,0),MATCH($C47,'🔖 배합비 참조'!$B$1:$CE$1,0))/100,0),""))),"")</f>
        <v>0</v>
      </c>
      <c r="AA47" s="39" t="n">
        <f aca="false">IFERROR(IF($C47="","",IF($D47="","",IFERROR(ROUND($D47*INDEX('🔖 배합비 참조'!$B$2:$CE$83,MATCH("다크초콜릿 컴파운드칩",'🔖 배합비 참조'!$A$2:$A$83,0),MATCH($C47,'🔖 배합비 참조'!$B$1:$CE$1,0))/100,0),""))),"")</f>
        <v>0</v>
      </c>
      <c r="AB47" s="39" t="n">
        <f aca="false">IFERROR(IF($C47="","",IF($D47="","",IFERROR(ROUND($D47*INDEX('🔖 배합비 참조'!$B$2:$CE$83,MATCH("단호박분말(중국산)",'🔖 배합비 참조'!$A$2:$A$83,0),MATCH($C47,'🔖 배합비 참조'!$B$1:$CE$1,0))/100,0),""))),"")</f>
        <v>0</v>
      </c>
      <c r="AC47" s="39" t="n">
        <f aca="false">IFERROR(IF($C47="","",IF($D47="","",IFERROR(ROUND($D47*INDEX('🔖 배합비 참조'!$B$2:$CE$83,MATCH("당류가공품(단호박농축액)",'🔖 배합비 참조'!$A$2:$A$83,0),MATCH($C47,'🔖 배합비 참조'!$B$1:$CE$1,0))/100,0),""))),"")</f>
        <v>0</v>
      </c>
      <c r="AD47" s="39" t="n">
        <f aca="false">IFERROR(IF($C47="","",IF($D47="","",IFERROR(ROUND($D47*INDEX('🔖 배합비 참조'!$B$2:$CE$83,MATCH("당류가공품(알룰로스,에리스리톨,스테비올배당체혼합)",'🔖 배합비 참조'!$A$2:$A$83,0),MATCH($C47,'🔖 배합비 참조'!$B$1:$CE$1,0))/100,0),""))),"")</f>
        <v>0</v>
      </c>
      <c r="AE47" s="39" t="n">
        <f aca="false">IFERROR(IF($C47="","",IF($D47="","",IFERROR(ROUND($D47*INDEX('🔖 배합비 참조'!$B$2:$CE$83,MATCH("당류가공품(알룰로스제로파우더)",'🔖 배합비 참조'!$A$2:$A$83,0),MATCH($C47,'🔖 배합비 참조'!$B$1:$CE$1,0))/100,0),""))),"")</f>
        <v>0</v>
      </c>
      <c r="AF47" s="39" t="n">
        <f aca="false">IFERROR(IF($C47="","",IF($D47="","",IFERROR(ROUND($D47*INDEX('🔖 배합비 참조'!$B$2:$CE$83,MATCH("당절임(완두배기)",'🔖 배합비 참조'!$A$2:$A$83,0),MATCH($C47,'🔖 배합비 참조'!$B$1:$CE$1,0))/100,0),""))),"")</f>
        <v>0</v>
      </c>
      <c r="AG47" s="39" t="n">
        <f aca="false">IFERROR(IF($C47="","",IF($D47="","",IFERROR(ROUND($D47*INDEX('🔖 배합비 참조'!$B$2:$CE$83,MATCH("대추농축액",'🔖 배합비 참조'!$A$2:$A$83,0),MATCH($C47,'🔖 배합비 참조'!$B$1:$CE$1,0))/100,0),""))),"")</f>
        <v>0</v>
      </c>
      <c r="AH47" s="39" t="n">
        <f aca="false">IFERROR(IF($C47="","",IF($D47="","",IFERROR(ROUND($D47*INDEX('🔖 배합비 참조'!$B$2:$CE$83,MATCH("대추채(국내산)",'🔖 배합비 참조'!$A$2:$A$83,0),MATCH($C47,'🔖 배합비 참조'!$B$1:$CE$1,0))/100,0),""))),"")</f>
        <v>0</v>
      </c>
      <c r="AI47" s="39" t="n">
        <f aca="false">IFERROR(IF($C47="","",IF($D47="","",IFERROR(ROUND($D47*INDEX('🔖 배합비 참조'!$B$2:$CE$83,MATCH("동부(미얀마산)",'🔖 배합비 참조'!$A$2:$A$83,0),MATCH($C47,'🔖 배합비 참조'!$B$1:$CE$1,0))/100,0),""))),"")</f>
        <v>0</v>
      </c>
      <c r="AJ47" s="39" t="n">
        <f aca="false">IFERROR(IF($C47="","",IF($D47="","",IFERROR(ROUND($D47*INDEX('🔖 배합비 참조'!$B$2:$CE$83,MATCH("두류가공품(백옥앙금)",'🔖 배합비 참조'!$A$2:$A$83,0),MATCH($C47,'🔖 배합비 참조'!$B$1:$CE$1,0))/100,0),""))),"")</f>
        <v>0</v>
      </c>
      <c r="AK47" s="39" t="n">
        <f aca="false">IFERROR(IF($C47="","",IF($D47="","",IFERROR(ROUND($D47*INDEX('🔖 배합비 참조'!$B$2:$CE$83,MATCH("두류가공품(콩고물)",'🔖 배합비 참조'!$A$2:$A$83,0),MATCH($C47,'🔖 배합비 참조'!$B$1:$CE$1,0))/100,0),""))),"")</f>
        <v>0</v>
      </c>
      <c r="AL47" s="39" t="n">
        <f aca="false">IFERROR(IF($C47="","",IF($D47="","",IFERROR(ROUND($D47*INDEX('🔖 배합비 참조'!$B$2:$CE$83,MATCH("두류가공품(통팥고물)",'🔖 배합비 참조'!$A$2:$A$83,0),MATCH($C47,'🔖 배합비 참조'!$B$1:$CE$1,0))/100,0),""))),"")</f>
        <v>0</v>
      </c>
      <c r="AM47" s="39" t="n">
        <f aca="false">IFERROR(IF($C47="","",IF($D47="","",IFERROR(ROUND($D47*INDEX('🔖 배합비 참조'!$B$2:$CE$83,MATCH("딸기레진",'🔖 배합비 참조'!$A$2:$A$83,0),MATCH($C47,'🔖 배합비 참조'!$B$1:$CE$1,0))/100,0),""))),"")</f>
        <v>0</v>
      </c>
      <c r="AN47" s="39" t="n">
        <f aca="false">IFERROR(IF($C47="","",IF($D47="","",IFERROR(ROUND($D47*INDEX('🔖 배합비 참조'!$B$2:$CE$83,MATCH("딸기분말(스트로우베리에이드(분말))",'🔖 배합비 참조'!$A$2:$A$83,0),MATCH($C47,'🔖 배합비 참조'!$B$1:$CE$1,0))/100,0),""))),"")</f>
        <v>0</v>
      </c>
      <c r="AO47" s="39" t="n">
        <f aca="false">IFERROR(IF($C47="","",IF($D47="","",IFERROR(ROUND($D47*INDEX('🔖 배합비 참조'!$B$2:$CE$83,MATCH("마스카포네치즈",'🔖 배합비 참조'!$A$2:$A$83,0),MATCH($C47,'🔖 배합비 참조'!$B$1:$CE$1,0))/100,0),""))),"")</f>
        <v>0</v>
      </c>
      <c r="AP47" s="39" t="n">
        <f aca="false">IFERROR(IF($C47="","",IF($D47="","",IFERROR(ROUND($D47*INDEX('🔖 배합비 참조'!$B$2:$CE$83,MATCH("마카다미아분태(호주산)",'🔖 배합비 참조'!$A$2:$A$83,0),MATCH($C47,'🔖 배합비 참조'!$B$1:$CE$1,0))/100,0),""))),"")</f>
        <v>0</v>
      </c>
      <c r="AQ47" s="39" t="n">
        <f aca="false">IFERROR(IF($C47="","",IF($D47="","",IFERROR(ROUND($D47*INDEX('🔖 배합비 참조'!$B$2:$CE$83,MATCH("멥쌀(국내산)",'🔖 배합비 참조'!$A$2:$A$83,0),MATCH($C47,'🔖 배합비 참조'!$B$1:$CE$1,0))/100,0),""))),"")</f>
        <v>52</v>
      </c>
      <c r="AR47" s="39" t="n">
        <f aca="false">IFERROR(IF($C47="","",IF($D47="","",IFERROR(ROUND($D47*INDEX('🔖 배합비 참조'!$B$2:$CE$83,MATCH("모시잎(국내산)",'🔖 배합비 참조'!$A$2:$A$83,0),MATCH($C47,'🔖 배합비 참조'!$B$1:$CE$1,0))/100,0),""))),"")</f>
        <v>0</v>
      </c>
      <c r="AS47" s="39" t="n">
        <f aca="false">IFERROR(IF($C47="","",IF($D47="","",IFERROR(ROUND($D47*INDEX('🔖 배합비 참조'!$B$2:$CE$83,MATCH("물엿(저당물엿)",'🔖 배합비 참조'!$A$2:$A$83,0),MATCH($C47,'🔖 배합비 참조'!$B$1:$CE$1,0))/100,0),""))),"")</f>
        <v>0</v>
      </c>
      <c r="AT47" s="39" t="n">
        <f aca="false">IFERROR(IF($C47="","",IF($D47="","",IFERROR(ROUND($D47*INDEX('🔖 배합비 참조'!$B$2:$CE$83,MATCH("밤다이스",'🔖 배합비 참조'!$A$2:$A$83,0),MATCH($C47,'🔖 배합비 참조'!$B$1:$CE$1,0))/100,0),""))),"")</f>
        <v>0</v>
      </c>
      <c r="AU47" s="39" t="n">
        <f aca="false">IFERROR(IF($C47="","",IF($D47="","",IFERROR(ROUND($D47*INDEX('🔖 배합비 참조'!$B$2:$CE$83,MATCH("변성전분(타피오카전분)",'🔖 배합비 참조'!$A$2:$A$83,0),MATCH($C47,'🔖 배합비 참조'!$B$1:$CE$1,0))/100,0),""))),"")</f>
        <v>0</v>
      </c>
      <c r="AV47" s="39" t="n">
        <f aca="false">IFERROR(IF($C47="","",IF($D47="","",IFERROR(ROUND($D47*INDEX('🔖 배합비 참조'!$B$2:$CE$83,MATCH("복음땅콩분태",'🔖 배합비 참조'!$A$2:$A$83,0),MATCH($C47,'🔖 배합비 참조'!$B$1:$CE$1,0))/100,0),""))),"")</f>
        <v>0</v>
      </c>
      <c r="AW47" s="39" t="n">
        <f aca="false">IFERROR(IF($C47="","",IF($D47="","",IFERROR(ROUND($D47*INDEX('🔖 배합비 참조'!$B$2:$CE$83,MATCH("사양벌꿀(국내산)",'🔖 배합비 참조'!$A$2:$A$83,0),MATCH($C47,'🔖 배합비 참조'!$B$1:$CE$1,0))/100,0),""))),"")</f>
        <v>0</v>
      </c>
      <c r="AX47" s="39" t="n">
        <f aca="false">IFERROR(IF($C47="","",IF($D47="","",IFERROR(ROUND($D47*INDEX('🔖 배합비 참조'!$B$2:$CE$83,MATCH("생크림",'🔖 배합비 참조'!$A$2:$A$83,0),MATCH($C47,'🔖 배합비 참조'!$B$1:$CE$1,0))/100,0),""))),"")</f>
        <v>0</v>
      </c>
      <c r="AY47" s="39" t="n">
        <f aca="false">IFERROR(IF($C47="","",IF($D47="","",IFERROR(ROUND($D47*INDEX('🔖 배합비 참조'!$B$2:$CE$83,MATCH("서양호박(국내산,뉴질랜드산)",'🔖 배합비 참조'!$A$2:$A$83,0),MATCH($C47,'🔖 배합비 참조'!$B$1:$CE$1,0))/100,0),""))),"")</f>
        <v>0</v>
      </c>
      <c r="AZ47" s="39" t="n">
        <f aca="false">IFERROR(IF($C47="","",IF($D47="","",IFERROR(ROUND($D47*INDEX('🔖 배합비 참조'!$B$2:$CE$83,MATCH("설탕",'🔖 배합비 참조'!$A$2:$A$83,0),MATCH($C47,'🔖 배합비 참조'!$B$1:$CE$1,0))/100,0),""))),"")</f>
        <v>0</v>
      </c>
      <c r="BA47" s="39" t="n">
        <f aca="false">IFERROR(IF($C47="","",IF($D47="","",IFERROR(ROUND($D47*INDEX('🔖 배합비 참조'!$B$2:$CE$83,MATCH("스트로우베리 에이드 후레쉬",'🔖 배합비 참조'!$A$2:$A$83,0),MATCH($C47,'🔖 배합비 참조'!$B$1:$CE$1,0))/100,0),""))),"")</f>
        <v>0</v>
      </c>
      <c r="BB47" s="39" t="n">
        <f aca="false">IFERROR(IF($C47="","",IF($D47="","",IFERROR(ROUND($D47*INDEX('🔖 배합비 참조'!$B$2:$CE$83,MATCH("식물성기름혼합제제(분홍)",'🔖 배합비 참조'!$A$2:$A$83,0),MATCH($C47,'🔖 배합비 참조'!$B$1:$CE$1,0))/100,0),""))),"")</f>
        <v>0</v>
      </c>
      <c r="BC47" s="39" t="n">
        <f aca="false">IFERROR(IF($C47="","",IF($D47="","",IFERROR(ROUND($D47*INDEX('🔖 배합비 참조'!$B$2:$CE$83,MATCH("식물성기름혼합제제(초록)",'🔖 배합비 참조'!$A$2:$A$83,0),MATCH($C47,'🔖 배합비 참조'!$B$1:$CE$1,0))/100,0),""))),"")</f>
        <v>0</v>
      </c>
      <c r="BD47" s="39" t="n">
        <f aca="false">IFERROR(IF($C47="","",IF($D47="","",IFERROR(ROUND($D47*INDEX('🔖 배합비 참조'!$B$2:$CE$83,MATCH("식물성기름혼합제제(황색)",'🔖 배합비 참조'!$A$2:$A$83,0),MATCH($C47,'🔖 배합비 참조'!$B$1:$CE$1,0))/100,0),""))),"")</f>
        <v>0</v>
      </c>
      <c r="BE47" s="39" t="n">
        <f aca="false">IFERROR(IF($C47="","",IF($D47="","",IFERROR(ROUND($D47*INDEX('🔖 배합비 참조'!$B$2:$CE$83,MATCH("쑥가루(국내산)",'🔖 배합비 참조'!$A$2:$A$83,0),MATCH($C47,'🔖 배합비 참조'!$B$1:$CE$1,0))/100,0),""))),"")</f>
        <v>0</v>
      </c>
      <c r="BF47" s="39" t="n">
        <f aca="false">IFERROR(IF($C47="","",IF($D47="","",IFERROR(ROUND($D47*INDEX('🔖 배합비 참조'!$B$2:$CE$83,MATCH("아몬드슬라이스",'🔖 배합비 참조'!$A$2:$A$83,0),MATCH($C47,'🔖 배합비 참조'!$B$1:$CE$1,0))/100,0),""))),"")</f>
        <v>0</v>
      </c>
      <c r="BG47" s="39" t="n">
        <f aca="false">IFERROR(IF($C47="","",IF($D47="","",IFERROR(ROUND($D47*INDEX('🔖 배합비 참조'!$B$2:$CE$83,MATCH("알룰로오스(국내산)",'🔖 배합비 참조'!$A$2:$A$83,0),MATCH($C47,'🔖 배합비 참조'!$B$1:$CE$1,0))/100,0),""))),"")</f>
        <v>0</v>
      </c>
      <c r="BH47" s="39" t="n">
        <f aca="false">IFERROR(IF($C47="","",IF($D47="","",IFERROR(ROUND($D47*INDEX('🔖 배합비 참조'!$B$2:$CE$83,MATCH("연유",'🔖 배합비 참조'!$A$2:$A$83,0),MATCH($C47,'🔖 배합비 참조'!$B$1:$CE$1,0))/100,0),""))),"")</f>
        <v>0</v>
      </c>
      <c r="BI47" s="39" t="n">
        <f aca="false">IFERROR(IF($C47="","",IF($D47="","",IFERROR(ROUND($D47*INDEX('🔖 배합비 참조'!$B$2:$CE$83,MATCH("옥수수전분",'🔖 배합비 참조'!$A$2:$A$83,0),MATCH($C47,'🔖 배합비 참조'!$B$1:$CE$1,0))/100,0),""))),"")</f>
        <v>0</v>
      </c>
      <c r="BJ47" s="39" t="n">
        <f aca="false">IFERROR(IF($C47="","",IF($D47="","",IFERROR(ROUND($D47*INDEX('🔖 배합비 참조'!$B$2:$CE$83,MATCH("완두배기",'🔖 배합비 참조'!$A$2:$A$83,0),MATCH($C47,'🔖 배합비 참조'!$B$1:$CE$1,0))/100,0),""))),"")</f>
        <v>0</v>
      </c>
      <c r="BK47" s="39" t="n">
        <f aca="false">IFERROR(IF($C47="","",IF($D47="","",IFERROR(ROUND($D47*INDEX('🔖 배합비 참조'!$B$2:$CE$83,MATCH("우유(국내산)",'🔖 배합비 참조'!$A$2:$A$83,0),MATCH($C47,'🔖 배합비 참조'!$B$1:$CE$1,0))/100,0),""))),"")</f>
        <v>0</v>
      </c>
      <c r="BL47" s="39" t="n">
        <f aca="false">IFERROR(IF($C47="","",IF($D47="","",IFERROR(ROUND($D47*INDEX('🔖 배합비 참조'!$B$2:$CE$83,MATCH("자색고구마가루(중국산)",'🔖 배합비 참조'!$A$2:$A$83,0),MATCH($C47,'🔖 배합비 참조'!$B$1:$CE$1,0))/100,0),""))),"")</f>
        <v>0</v>
      </c>
      <c r="BM47" s="39" t="n">
        <f aca="false">IFERROR(IF($C47="","",IF($D47="","",IFERROR(ROUND($D47*INDEX('🔖 배합비 참조'!$B$2:$CE$83,MATCH("자연치즈(체다치즈)",'🔖 배합비 참조'!$A$2:$A$83,0),MATCH($C47,'🔖 배합비 참조'!$B$1:$CE$1,0))/100,0),""))),"")</f>
        <v>0</v>
      </c>
      <c r="BN47" s="39" t="n">
        <f aca="false">IFERROR(IF($C47="","",IF($D47="","",IFERROR(ROUND($D47*INDEX('🔖 배합비 참조'!$B$2:$CE$83,MATCH("정제수",'🔖 배합비 참조'!$A$2:$A$83,0),MATCH($C47,'🔖 배합비 참조'!$B$1:$CE$1,0))/100,0),""))),"")</f>
        <v>0</v>
      </c>
      <c r="BO47" s="39" t="n">
        <f aca="false">IFERROR(IF($C47="","",IF($D47="","",IFERROR(ROUND($D47*INDEX('🔖 배합비 참조'!$B$2:$CE$83,MATCH("젤라틴",'🔖 배합비 참조'!$A$2:$A$83,0),MATCH($C47,'🔖 배합비 참조'!$B$1:$CE$1,0))/100,0),""))),"")</f>
        <v>0</v>
      </c>
      <c r="BP47" s="39" t="n">
        <f aca="false">IFERROR(IF($C47="","",IF($D47="","",IFERROR(ROUND($D47*INDEX('🔖 배합비 참조'!$B$2:$CE$83,MATCH("조림류(백옥앙금)",'🔖 배합비 참조'!$A$2:$A$83,0),MATCH($C47,'🔖 배합비 참조'!$B$1:$CE$1,0))/100,0),""))),"")</f>
        <v>0</v>
      </c>
      <c r="BQ47" s="39" t="n">
        <f aca="false">IFERROR(IF($C47="","",IF($D47="","",IFERROR(ROUND($D47*INDEX('🔖 배합비 참조'!$B$2:$CE$83,MATCH("조림류(통팥앙금)",'🔖 배합비 참조'!$A$2:$A$83,0),MATCH($C47,'🔖 배합비 참조'!$B$1:$CE$1,0))/100,0),""))),"")</f>
        <v>0</v>
      </c>
      <c r="BR47" s="39" t="n">
        <f aca="false">IFERROR(IF($C47="","",IF($D47="","",IFERROR(ROUND($D47*INDEX('🔖 배합비 참조'!$B$2:$CE$83,MATCH("준초콜릿(외국산)",'🔖 배합비 참조'!$A$2:$A$83,0),MATCH($C47,'🔖 배합비 참조'!$B$1:$CE$1,0))/100,0),""))),"")</f>
        <v>0</v>
      </c>
      <c r="BS47" s="39" t="n">
        <f aca="false">IFERROR(IF($C47="","",IF($D47="","",IFERROR(ROUND($D47*INDEX('🔖 배합비 참조'!$B$2:$CE$83,MATCH("중력분",'🔖 배합비 참조'!$A$2:$A$83,0),MATCH($C47,'🔖 배합비 참조'!$B$1:$CE$1,0))/100,0),""))),"")</f>
        <v>0</v>
      </c>
      <c r="BT47" s="39" t="n">
        <f aca="false">IFERROR(IF($C47="","",IF($D47="","",IFERROR(ROUND($D47*INDEX('🔖 배합비 참조'!$B$2:$CE$83,MATCH("참깨(인도산,나이지리아산,탄자니아산,미얀마산)",'🔖 배합비 참조'!$A$2:$A$83,0),MATCH($C47,'🔖 배합비 참조'!$B$1:$CE$1,0))/100,0),""))),"")</f>
        <v>0</v>
      </c>
      <c r="BU47" s="39" t="n">
        <f aca="false">IFERROR(IF($C47="","",IF($D47="","",IFERROR(ROUND($D47*INDEX('🔖 배합비 참조'!$B$2:$CE$83,MATCH("찹쌀(국내산)",'🔖 배합비 참조'!$A$2:$A$83,0),MATCH($C47,'🔖 배합비 참조'!$B$1:$CE$1,0))/100,0),""))),"")</f>
        <v>0</v>
      </c>
      <c r="BV47" s="39" t="n">
        <f aca="false">IFERROR(IF($C47="","",IF($D47="","",IFERROR(ROUND($D47*INDEX('🔖 배합비 참조'!$B$2:$CE$83,MATCH("천일염",'🔖 배합비 참조'!$A$2:$A$83,0),MATCH($C47,'🔖 배합비 참조'!$B$1:$CE$1,0))/100,0),""))),"")</f>
        <v>1</v>
      </c>
      <c r="BW47" s="39" t="n">
        <f aca="false">IFERROR(IF($C47="","",IF($D47="","",IFERROR(ROUND($D47*INDEX('🔖 배합비 참조'!$B$2:$CE$83,MATCH("치즈 [크림치즈]",'🔖 배합비 참조'!$A$2:$A$83,0),MATCH($C47,'🔖 배합비 참조'!$B$1:$CE$1,0))/100,0),""))),"")</f>
        <v>0</v>
      </c>
      <c r="BX47" s="39" t="n">
        <f aca="false">IFERROR(IF($C47="","",IF($D47="","",IFERROR(ROUND($D47*INDEX('🔖 배합비 참조'!$B$2:$CE$83,MATCH("코코아가공품류(코코아분말)",'🔖 배합비 참조'!$A$2:$A$83,0),MATCH($C47,'🔖 배합비 참조'!$B$1:$CE$1,0))/100,0),""))),"")</f>
        <v>0</v>
      </c>
      <c r="BY47" s="39" t="n">
        <f aca="false">IFERROR(IF($C47="","",IF($D47="","",IFERROR(ROUND($D47*INDEX('🔖 배합비 참조'!$B$2:$CE$83,MATCH("콩기름(대두유)",'🔖 배합비 참조'!$A$2:$A$83,0),MATCH($C47,'🔖 배합비 참조'!$B$1:$CE$1,0))/100,0),""))),"")</f>
        <v>0</v>
      </c>
      <c r="BZ47" s="39" t="n">
        <f aca="false">IFERROR(IF($C47="","",IF($D47="","",IFERROR(ROUND($D47*INDEX('🔖 배합비 참조'!$B$2:$CE$83,MATCH("해바라기씨앗",'🔖 배합비 참조'!$A$2:$A$83,0),MATCH($C47,'🔖 배합비 참조'!$B$1:$CE$1,0))/100,0),""))),"")</f>
        <v>0</v>
      </c>
      <c r="CA47" s="39" t="n">
        <f aca="false">IFERROR(IF($C47="","",IF($D47="","",IFERROR(ROUND($D47*INDEX('🔖 배합비 참조'!$B$2:$CE$83,MATCH("현미(국내산)",'🔖 배합비 참조'!$A$2:$A$83,0),MATCH($C47,'🔖 배합비 참조'!$B$1:$CE$1,0))/100,0),""))),"")</f>
        <v>0</v>
      </c>
      <c r="CB47" s="39" t="n">
        <f aca="false">IFERROR(IF($C47="","",IF($D47="","",IFERROR(ROUND($D47*INDEX('🔖 배합비 참조'!$B$2:$CE$83,MATCH("현미멥쌀(국내산)",'🔖 배합비 참조'!$A$2:$A$83,0),MATCH($C47,'🔖 배합비 참조'!$B$1:$CE$1,0))/100,0),""))),"")</f>
        <v>0</v>
      </c>
      <c r="CC47" s="39" t="n">
        <f aca="false">IFERROR(IF($C47="","",IF($D47="","",IFERROR(ROUND($D47*INDEX('🔖 배합비 참조'!$B$2:$CE$83,MATCH("호두분태(미국산)",'🔖 배합비 참조'!$A$2:$A$83,0),MATCH($C47,'🔖 배합비 참조'!$B$1:$CE$1,0))/100,0),""))),"")</f>
        <v>0</v>
      </c>
      <c r="CD47" s="39" t="n">
        <f aca="false">IFERROR(IF($C47="","",IF($D47="","",IFERROR(ROUND($D47*INDEX('🔖 배합비 참조'!$B$2:$CE$83,MATCH("호박씨앗(외국산)",'🔖 배합비 참조'!$A$2:$A$83,0),MATCH($C47,'🔖 배합비 참조'!$B$1:$CE$1,0))/100,0),""))),"")</f>
        <v>0</v>
      </c>
      <c r="CE47" s="39" t="n">
        <f aca="false">IFERROR(IF($C47="","",IF($D47="","",IFERROR(ROUND($D47*INDEX('🔖 배합비 참조'!$B$2:$CE$83,MATCH("혼합제제(떡용에스텔)",'🔖 배합비 참조'!$A$2:$A$83,0),MATCH($C47,'🔖 배합비 참조'!$B$1:$CE$1,0))/100,0),""))),"")</f>
        <v>0</v>
      </c>
      <c r="CF47" s="39" t="n">
        <f aca="false">IFERROR(IF($C47="","",IF($D47="","",IFERROR(ROUND($D47*INDEX('🔖 배합비 참조'!$B$2:$CE$83,MATCH("혼합제제(스테비아)",'🔖 배합비 참조'!$A$2:$A$83,0),MATCH($C47,'🔖 배합비 참조'!$B$1:$CE$1,0))/100,0),""))),"")</f>
        <v>0</v>
      </c>
      <c r="CG47" s="39" t="n">
        <f aca="false">IFERROR(IF($C47="","",IF($D47="","",IFERROR(ROUND($D47*INDEX('🔖 배합비 참조'!$B$2:$CE$83,MATCH("화이트초콜릿",'🔖 배합비 참조'!$A$2:$A$83,0),MATCH($C47,'🔖 배합비 참조'!$B$1:$CE$1,0))/100,0),""))),"")</f>
        <v>0</v>
      </c>
      <c r="CH47" s="39" t="n">
        <f aca="false">IFERROR(IF($C47="","",IF($D47="","",IFERROR(ROUND($D47*INDEX('🔖 배합비 참조'!$B$2:$CE$83,MATCH("흑미찹쌀(국내산)",'🔖 배합비 참조'!$A$2:$A$83,0),MATCH($C47,'🔖 배합비 참조'!$B$1:$CE$1,0))/100,0),""))),"")</f>
        <v>0</v>
      </c>
      <c r="CI47" s="39" t="n">
        <f aca="false">IFERROR(IF($C47="","",IF($D47="","",IFERROR(ROUND($D47*INDEX('🔖 배합비 참조'!$B$2:$CE$83,MATCH("찰옥수수전분(미국산)",'🔖 배합비 참조'!$A$2:$A$83,0),MATCH($C47,'🔖 배합비 참조'!$B$1:$CE$1,0))/100,0),""))),"")</f>
        <v>0</v>
      </c>
      <c r="CJ47" s="40"/>
      <c r="CL47" s="1" t="s">
        <v>238</v>
      </c>
    </row>
    <row r="48" customFormat="false" ht="18" hidden="false" customHeight="true" outlineLevel="0" collapsed="false">
      <c r="A48" s="41" t="n">
        <v>44</v>
      </c>
      <c r="B48" s="36" t="n">
        <v>45965</v>
      </c>
      <c r="C48" s="37" t="s">
        <v>184</v>
      </c>
      <c r="D48" s="38" t="n">
        <v>75</v>
      </c>
      <c r="E48" s="17"/>
      <c r="F48" s="17"/>
      <c r="G48" s="42" t="n">
        <f aca="false">IFERROR(IF($C48="","",IF($D48="","",IFERROR(ROUND($D48*INDEX('🔖 배합비 참조'!$B$2:$CE$83,MATCH("간장",'🔖 배합비 참조'!$A$2:$A$83,0),MATCH($C48,'🔖 배합비 참조'!$B$1:$CE$1,0))/100,0),""))),"")</f>
        <v>0</v>
      </c>
      <c r="H48" s="42" t="n">
        <f aca="false">IFERROR(IF($C48="","",IF($D48="","",IFERROR(ROUND($D48*INDEX('🔖 배합비 참조'!$B$2:$CE$83,MATCH("강낭콩((울타리콩))",'🔖 배합비 참조'!$A$2:$A$83,0),MATCH($C48,'🔖 배합비 참조'!$B$1:$CE$1,0))/100,0),""))),"")</f>
        <v>0</v>
      </c>
      <c r="I48" s="42" t="n">
        <f aca="false">IFERROR(IF($C48="","",IF($D48="","",IFERROR(ROUND($D48*INDEX('🔖 배합비 참조'!$B$2:$CE$83,MATCH("건조딸기다이스(외국산)",'🔖 배합비 참조'!$A$2:$A$83,0),MATCH($C48,'🔖 배합비 참조'!$B$1:$CE$1,0))/100,0),""))),"")</f>
        <v>0</v>
      </c>
      <c r="J48" s="42" t="n">
        <f aca="false">IFERROR(IF($C48="","",IF($D48="","",IFERROR(ROUND($D48*INDEX('🔖 배합비 참조'!$B$2:$CE$83,MATCH("건포도",'🔖 배합비 참조'!$A$2:$A$83,0),MATCH($C48,'🔖 배합비 참조'!$B$1:$CE$1,0))/100,0),""))),"")</f>
        <v>0</v>
      </c>
      <c r="K48" s="42" t="n">
        <f aca="false">IFERROR(IF($C48="","",IF($D48="","",IFERROR(ROUND($D48*INDEX('🔖 배합비 참조'!$B$2:$CE$83,MATCH("건호박채(중국산)",'🔖 배합비 참조'!$A$2:$A$83,0),MATCH($C48,'🔖 배합비 참조'!$B$1:$CE$1,0))/100,0),""))),"")</f>
        <v>0</v>
      </c>
      <c r="L48" s="42" t="n">
        <f aca="false">IFERROR(IF($C48="","",IF($D48="","",IFERROR(ROUND($D48*INDEX('🔖 배합비 참조'!$B$2:$CE$83,MATCH("검정깨(흑임자)",'🔖 배합비 참조'!$A$2:$A$83,0),MATCH($C48,'🔖 배합비 참조'!$B$1:$CE$1,0))/100,0),""))),"")</f>
        <v>0</v>
      </c>
      <c r="M48" s="42" t="n">
        <f aca="false">IFERROR(IF($C48="","",IF($D48="","",IFERROR(ROUND($D48*INDEX('🔖 배합비 참조'!$B$2:$CE$83,MATCH("검정콩",'🔖 배합비 참조'!$A$2:$A$83,0),MATCH($C48,'🔖 배합비 참조'!$B$1:$CE$1,0))/100,0),""))),"")</f>
        <v>0</v>
      </c>
      <c r="N48" s="42" t="n">
        <f aca="false">IFERROR(IF($C48="","",IF($D48="","",IFERROR(ROUND($D48*INDEX('🔖 배합비 참조'!$B$2:$CE$83,MATCH("계피가루",'🔖 배합비 참조'!$A$2:$A$83,0),MATCH($C48,'🔖 배합비 참조'!$B$1:$CE$1,0))/100,0),""))),"")</f>
        <v>0</v>
      </c>
      <c r="O48" s="42" t="n">
        <f aca="false">IFERROR(IF($C48="","",IF($D48="","",IFERROR(ROUND($D48*INDEX('🔖 배합비 참조'!$B$2:$CE$83,MATCH("고구마가루",'🔖 배합비 참조'!$A$2:$A$83,0),MATCH($C48,'🔖 배합비 참조'!$B$1:$CE$1,0))/100,0),""))),"")</f>
        <v>0</v>
      </c>
      <c r="P48" s="42" t="n">
        <f aca="false">IFERROR(IF($C48="","",IF($D48="","",IFERROR(ROUND($D48*INDEX('🔖 배합비 참조'!$B$2:$CE$83,MATCH("고구마무스",'🔖 배합비 참조'!$A$2:$A$83,0),MATCH($C48,'🔖 배합비 참조'!$B$1:$CE$1,0))/100,0),""))),"")</f>
        <v>0</v>
      </c>
      <c r="Q48" s="42" t="n">
        <f aca="false">IFERROR(IF($C48="","",IF($D48="","",IFERROR(ROUND($D48*INDEX('🔖 배합비 참조'!$B$2:$CE$83,MATCH("고려엉겅퀴((곤드레)국내산)",'🔖 배합비 참조'!$A$2:$A$83,0),MATCH($C48,'🔖 배합비 참조'!$B$1:$CE$1,0))/100,0),""))),"")</f>
        <v>0</v>
      </c>
      <c r="R48" s="42" t="n">
        <f aca="false">IFERROR(IF($C48="","",IF($D48="","",IFERROR(ROUND($D48*INDEX('🔖 배합비 참조'!$B$2:$CE$83,MATCH("기타가공품(복분자가루)",'🔖 배합비 참조'!$A$2:$A$83,0),MATCH($C48,'🔖 배합비 참조'!$B$1:$CE$1,0))/100,0),""))),"")</f>
        <v>0</v>
      </c>
      <c r="S48" s="42" t="n">
        <f aca="false">IFERROR(IF($C48="","",IF($D48="","",IFERROR(ROUND($D48*INDEX('🔖 배합비 참조'!$B$2:$CE$83,MATCH("기타가공품(슈퍼소프트엠)",'🔖 배합비 참조'!$A$2:$A$83,0),MATCH($C48,'🔖 배합비 참조'!$B$1:$CE$1,0))/100,0),""))),"")</f>
        <v>0</v>
      </c>
      <c r="T48" s="42" t="n">
        <f aca="false">IFERROR(IF($C48="","",IF($D48="","",IFERROR(ROUND($D48*INDEX('🔖 배합비 참조'!$B$2:$CE$83,MATCH("기타가공품(파인소프트 E-티)",'🔖 배합비 참조'!$A$2:$A$83,0),MATCH($C48,'🔖 배합비 참조'!$B$1:$CE$1,0))/100,0),""))),"")</f>
        <v>0</v>
      </c>
      <c r="U48" s="42" t="n">
        <f aca="false">IFERROR(IF($C48="","",IF($D48="","",IFERROR(ROUND($D48*INDEX('🔖 배합비 참조'!$B$2:$CE$83,MATCH("기타가공품(프리미엄카스테라가루)",'🔖 배합비 참조'!$A$2:$A$83,0),MATCH($C48,'🔖 배합비 참조'!$B$1:$CE$1,0))/100,0),""))),"")</f>
        <v>0</v>
      </c>
      <c r="V48" s="42" t="n">
        <f aca="false">IFERROR(IF($C48="","",IF($D48="","",IFERROR(ROUND($D48*INDEX('🔖 배합비 참조'!$B$2:$CE$83,MATCH("기타가공품(흑임자가루)",'🔖 배합비 참조'!$A$2:$A$83,0),MATCH($C48,'🔖 배합비 참조'!$B$1:$CE$1,0))/100,0),""))),"")</f>
        <v>0</v>
      </c>
      <c r="W48" s="42" t="n">
        <f aca="false">IFERROR(IF($C48="","",IF($D48="","",IFERROR(ROUND($D48*INDEX('🔖 배합비 참조'!$B$2:$CE$83,MATCH("기타설탕(흑설탕)",'🔖 배합비 참조'!$A$2:$A$83,0),MATCH($C48,'🔖 배합비 참조'!$B$1:$CE$1,0))/100,0),""))),"")</f>
        <v>0</v>
      </c>
      <c r="X48" s="42" t="n">
        <f aca="false">IFERROR(IF($C48="","",IF($D48="","",IFERROR(ROUND($D48*INDEX('🔖 배합비 참조'!$B$2:$CE$83,MATCH("냉동쑥(국내산)",'🔖 배합비 참조'!$A$2:$A$83,0),MATCH($C48,'🔖 배합비 참조'!$B$1:$CE$1,0))/100,0),""))),"")</f>
        <v>0</v>
      </c>
      <c r="Y48" s="42" t="n">
        <f aca="false">IFERROR(IF($C48="","",IF($D48="","",IFERROR(ROUND($D48*INDEX('🔖 배합비 참조'!$B$2:$CE$83,MATCH("냉동증숙고구마(중국산)",'🔖 배합비 참조'!$A$2:$A$83,0),MATCH($C48,'🔖 배합비 참조'!$B$1:$CE$1,0))/100,0),""))),"")</f>
        <v>0</v>
      </c>
      <c r="Z48" s="42" t="n">
        <f aca="false">IFERROR(IF($C48="","",IF($D48="","",IFERROR(ROUND($D48*INDEX('🔖 배합비 참조'!$B$2:$CE$83,MATCH("녹차가루",'🔖 배합비 참조'!$A$2:$A$83,0),MATCH($C48,'🔖 배합비 참조'!$B$1:$CE$1,0))/100,0),""))),"")</f>
        <v>0</v>
      </c>
      <c r="AA48" s="42" t="n">
        <f aca="false">IFERROR(IF($C48="","",IF($D48="","",IFERROR(ROUND($D48*INDEX('🔖 배합비 참조'!$B$2:$CE$83,MATCH("다크초콜릿 컴파운드칩",'🔖 배합비 참조'!$A$2:$A$83,0),MATCH($C48,'🔖 배합비 참조'!$B$1:$CE$1,0))/100,0),""))),"")</f>
        <v>0</v>
      </c>
      <c r="AB48" s="42" t="n">
        <f aca="false">IFERROR(IF($C48="","",IF($D48="","",IFERROR(ROUND($D48*INDEX('🔖 배합비 참조'!$B$2:$CE$83,MATCH("단호박분말(중국산)",'🔖 배합비 참조'!$A$2:$A$83,0),MATCH($C48,'🔖 배합비 참조'!$B$1:$CE$1,0))/100,0),""))),"")</f>
        <v>0</v>
      </c>
      <c r="AC48" s="42" t="n">
        <f aca="false">IFERROR(IF($C48="","",IF($D48="","",IFERROR(ROUND($D48*INDEX('🔖 배합비 참조'!$B$2:$CE$83,MATCH("당류가공품(단호박농축액)",'🔖 배합비 참조'!$A$2:$A$83,0),MATCH($C48,'🔖 배합비 참조'!$B$1:$CE$1,0))/100,0),""))),"")</f>
        <v>0</v>
      </c>
      <c r="AD48" s="42" t="n">
        <f aca="false">IFERROR(IF($C48="","",IF($D48="","",IFERROR(ROUND($D48*INDEX('🔖 배합비 참조'!$B$2:$CE$83,MATCH("당류가공품(알룰로스,에리스리톨,스테비올배당체혼합)",'🔖 배합비 참조'!$A$2:$A$83,0),MATCH($C48,'🔖 배합비 참조'!$B$1:$CE$1,0))/100,0),""))),"")</f>
        <v>0</v>
      </c>
      <c r="AE48" s="42" t="n">
        <f aca="false">IFERROR(IF($C48="","",IF($D48="","",IFERROR(ROUND($D48*INDEX('🔖 배합비 참조'!$B$2:$CE$83,MATCH("당류가공품(알룰로스제로파우더)",'🔖 배합비 참조'!$A$2:$A$83,0),MATCH($C48,'🔖 배합비 참조'!$B$1:$CE$1,0))/100,0),""))),"")</f>
        <v>0</v>
      </c>
      <c r="AF48" s="42" t="n">
        <f aca="false">IFERROR(IF($C48="","",IF($D48="","",IFERROR(ROUND($D48*INDEX('🔖 배합비 참조'!$B$2:$CE$83,MATCH("당절임(완두배기)",'🔖 배합비 참조'!$A$2:$A$83,0),MATCH($C48,'🔖 배합비 참조'!$B$1:$CE$1,0))/100,0),""))),"")</f>
        <v>0</v>
      </c>
      <c r="AG48" s="42" t="n">
        <f aca="false">IFERROR(IF($C48="","",IF($D48="","",IFERROR(ROUND($D48*INDEX('🔖 배합비 참조'!$B$2:$CE$83,MATCH("대추농축액",'🔖 배합비 참조'!$A$2:$A$83,0),MATCH($C48,'🔖 배합비 참조'!$B$1:$CE$1,0))/100,0),""))),"")</f>
        <v>0</v>
      </c>
      <c r="AH48" s="42" t="n">
        <f aca="false">IFERROR(IF($C48="","",IF($D48="","",IFERROR(ROUND($D48*INDEX('🔖 배합비 참조'!$B$2:$CE$83,MATCH("대추채(국내산)",'🔖 배합비 참조'!$A$2:$A$83,0),MATCH($C48,'🔖 배합비 참조'!$B$1:$CE$1,0))/100,0),""))),"")</f>
        <v>0</v>
      </c>
      <c r="AI48" s="42" t="n">
        <f aca="false">IFERROR(IF($C48="","",IF($D48="","",IFERROR(ROUND($D48*INDEX('🔖 배합비 참조'!$B$2:$CE$83,MATCH("동부(미얀마산)",'🔖 배합비 참조'!$A$2:$A$83,0),MATCH($C48,'🔖 배합비 참조'!$B$1:$CE$1,0))/100,0),""))),"")</f>
        <v>0</v>
      </c>
      <c r="AJ48" s="42" t="n">
        <f aca="false">IFERROR(IF($C48="","",IF($D48="","",IFERROR(ROUND($D48*INDEX('🔖 배합비 참조'!$B$2:$CE$83,MATCH("두류가공품(백옥앙금)",'🔖 배합비 참조'!$A$2:$A$83,0),MATCH($C48,'🔖 배합비 참조'!$B$1:$CE$1,0))/100,0),""))),"")</f>
        <v>0</v>
      </c>
      <c r="AK48" s="42" t="n">
        <f aca="false">IFERROR(IF($C48="","",IF($D48="","",IFERROR(ROUND($D48*INDEX('🔖 배합비 참조'!$B$2:$CE$83,MATCH("두류가공품(콩고물)",'🔖 배합비 참조'!$A$2:$A$83,0),MATCH($C48,'🔖 배합비 참조'!$B$1:$CE$1,0))/100,0),""))),"")</f>
        <v>0</v>
      </c>
      <c r="AL48" s="42" t="n">
        <f aca="false">IFERROR(IF($C48="","",IF($D48="","",IFERROR(ROUND($D48*INDEX('🔖 배합비 참조'!$B$2:$CE$83,MATCH("두류가공품(통팥고물)",'🔖 배합비 참조'!$A$2:$A$83,0),MATCH($C48,'🔖 배합비 참조'!$B$1:$CE$1,0))/100,0),""))),"")</f>
        <v>0</v>
      </c>
      <c r="AM48" s="42" t="n">
        <f aca="false">IFERROR(IF($C48="","",IF($D48="","",IFERROR(ROUND($D48*INDEX('🔖 배합비 참조'!$B$2:$CE$83,MATCH("딸기레진",'🔖 배합비 참조'!$A$2:$A$83,0),MATCH($C48,'🔖 배합비 참조'!$B$1:$CE$1,0))/100,0),""))),"")</f>
        <v>0</v>
      </c>
      <c r="AN48" s="42" t="n">
        <f aca="false">IFERROR(IF($C48="","",IF($D48="","",IFERROR(ROUND($D48*INDEX('🔖 배합비 참조'!$B$2:$CE$83,MATCH("딸기분말(스트로우베리에이드(분말))",'🔖 배합비 참조'!$A$2:$A$83,0),MATCH($C48,'🔖 배합비 참조'!$B$1:$CE$1,0))/100,0),""))),"")</f>
        <v>0</v>
      </c>
      <c r="AO48" s="42" t="n">
        <f aca="false">IFERROR(IF($C48="","",IF($D48="","",IFERROR(ROUND($D48*INDEX('🔖 배합비 참조'!$B$2:$CE$83,MATCH("마스카포네치즈",'🔖 배합비 참조'!$A$2:$A$83,0),MATCH($C48,'🔖 배합비 참조'!$B$1:$CE$1,0))/100,0),""))),"")</f>
        <v>0</v>
      </c>
      <c r="AP48" s="42" t="n">
        <f aca="false">IFERROR(IF($C48="","",IF($D48="","",IFERROR(ROUND($D48*INDEX('🔖 배합비 참조'!$B$2:$CE$83,MATCH("마카다미아분태(호주산)",'🔖 배합비 참조'!$A$2:$A$83,0),MATCH($C48,'🔖 배합비 참조'!$B$1:$CE$1,0))/100,0),""))),"")</f>
        <v>0</v>
      </c>
      <c r="AQ48" s="42" t="n">
        <f aca="false">IFERROR(IF($C48="","",IF($D48="","",IFERROR(ROUND($D48*INDEX('🔖 배합비 참조'!$B$2:$CE$83,MATCH("멥쌀(국내산)",'🔖 배합비 참조'!$A$2:$A$83,0),MATCH($C48,'🔖 배합비 참조'!$B$1:$CE$1,0))/100,0),""))),"")</f>
        <v>52</v>
      </c>
      <c r="AR48" s="42" t="n">
        <f aca="false">IFERROR(IF($C48="","",IF($D48="","",IFERROR(ROUND($D48*INDEX('🔖 배합비 참조'!$B$2:$CE$83,MATCH("모시잎(국내산)",'🔖 배합비 참조'!$A$2:$A$83,0),MATCH($C48,'🔖 배합비 참조'!$B$1:$CE$1,0))/100,0),""))),"")</f>
        <v>0</v>
      </c>
      <c r="AS48" s="42" t="n">
        <f aca="false">IFERROR(IF($C48="","",IF($D48="","",IFERROR(ROUND($D48*INDEX('🔖 배합비 참조'!$B$2:$CE$83,MATCH("물엿(저당물엿)",'🔖 배합비 참조'!$A$2:$A$83,0),MATCH($C48,'🔖 배합비 참조'!$B$1:$CE$1,0))/100,0),""))),"")</f>
        <v>0</v>
      </c>
      <c r="AT48" s="42" t="n">
        <f aca="false">IFERROR(IF($C48="","",IF($D48="","",IFERROR(ROUND($D48*INDEX('🔖 배합비 참조'!$B$2:$CE$83,MATCH("밤다이스",'🔖 배합비 참조'!$A$2:$A$83,0),MATCH($C48,'🔖 배합비 참조'!$B$1:$CE$1,0))/100,0),""))),"")</f>
        <v>0</v>
      </c>
      <c r="AU48" s="42" t="n">
        <f aca="false">IFERROR(IF($C48="","",IF($D48="","",IFERROR(ROUND($D48*INDEX('🔖 배합비 참조'!$B$2:$CE$83,MATCH("변성전분(타피오카전분)",'🔖 배합비 참조'!$A$2:$A$83,0),MATCH($C48,'🔖 배합비 참조'!$B$1:$CE$1,0))/100,0),""))),"")</f>
        <v>0</v>
      </c>
      <c r="AV48" s="42" t="n">
        <f aca="false">IFERROR(IF($C48="","",IF($D48="","",IFERROR(ROUND($D48*INDEX('🔖 배합비 참조'!$B$2:$CE$83,MATCH("복음땅콩분태",'🔖 배합비 참조'!$A$2:$A$83,0),MATCH($C48,'🔖 배합비 참조'!$B$1:$CE$1,0))/100,0),""))),"")</f>
        <v>0</v>
      </c>
      <c r="AW48" s="42" t="n">
        <f aca="false">IFERROR(IF($C48="","",IF($D48="","",IFERROR(ROUND($D48*INDEX('🔖 배합비 참조'!$B$2:$CE$83,MATCH("사양벌꿀(국내산)",'🔖 배합비 참조'!$A$2:$A$83,0),MATCH($C48,'🔖 배합비 참조'!$B$1:$CE$1,0))/100,0),""))),"")</f>
        <v>0</v>
      </c>
      <c r="AX48" s="42" t="n">
        <f aca="false">IFERROR(IF($C48="","",IF($D48="","",IFERROR(ROUND($D48*INDEX('🔖 배합비 참조'!$B$2:$CE$83,MATCH("생크림",'🔖 배합비 참조'!$A$2:$A$83,0),MATCH($C48,'🔖 배합비 참조'!$B$1:$CE$1,0))/100,0),""))),"")</f>
        <v>0</v>
      </c>
      <c r="AY48" s="42" t="n">
        <f aca="false">IFERROR(IF($C48="","",IF($D48="","",IFERROR(ROUND($D48*INDEX('🔖 배합비 참조'!$B$2:$CE$83,MATCH("서양호박(국내산,뉴질랜드산)",'🔖 배합비 참조'!$A$2:$A$83,0),MATCH($C48,'🔖 배합비 참조'!$B$1:$CE$1,0))/100,0),""))),"")</f>
        <v>0</v>
      </c>
      <c r="AZ48" s="42" t="n">
        <f aca="false">IFERROR(IF($C48="","",IF($D48="","",IFERROR(ROUND($D48*INDEX('🔖 배합비 참조'!$B$2:$CE$83,MATCH("설탕",'🔖 배합비 참조'!$A$2:$A$83,0),MATCH($C48,'🔖 배합비 참조'!$B$1:$CE$1,0))/100,0),""))),"")</f>
        <v>8</v>
      </c>
      <c r="BA48" s="42" t="n">
        <f aca="false">IFERROR(IF($C48="","",IF($D48="","",IFERROR(ROUND($D48*INDEX('🔖 배합비 참조'!$B$2:$CE$83,MATCH("스트로우베리 에이드 후레쉬",'🔖 배합비 참조'!$A$2:$A$83,0),MATCH($C48,'🔖 배합비 참조'!$B$1:$CE$1,0))/100,0),""))),"")</f>
        <v>0</v>
      </c>
      <c r="BB48" s="42" t="n">
        <f aca="false">IFERROR(IF($C48="","",IF($D48="","",IFERROR(ROUND($D48*INDEX('🔖 배합비 참조'!$B$2:$CE$83,MATCH("식물성기름혼합제제(분홍)",'🔖 배합비 참조'!$A$2:$A$83,0),MATCH($C48,'🔖 배합비 참조'!$B$1:$CE$1,0))/100,0),""))),"")</f>
        <v>0</v>
      </c>
      <c r="BC48" s="42" t="n">
        <f aca="false">IFERROR(IF($C48="","",IF($D48="","",IFERROR(ROUND($D48*INDEX('🔖 배합비 참조'!$B$2:$CE$83,MATCH("식물성기름혼합제제(초록)",'🔖 배합비 참조'!$A$2:$A$83,0),MATCH($C48,'🔖 배합비 참조'!$B$1:$CE$1,0))/100,0),""))),"")</f>
        <v>0</v>
      </c>
      <c r="BD48" s="42" t="n">
        <f aca="false">IFERROR(IF($C48="","",IF($D48="","",IFERROR(ROUND($D48*INDEX('🔖 배합비 참조'!$B$2:$CE$83,MATCH("식물성기름혼합제제(황색)",'🔖 배합비 참조'!$A$2:$A$83,0),MATCH($C48,'🔖 배합비 참조'!$B$1:$CE$1,0))/100,0),""))),"")</f>
        <v>0</v>
      </c>
      <c r="BE48" s="42" t="n">
        <f aca="false">IFERROR(IF($C48="","",IF($D48="","",IFERROR(ROUND($D48*INDEX('🔖 배합비 참조'!$B$2:$CE$83,MATCH("쑥가루(국내산)",'🔖 배합비 참조'!$A$2:$A$83,0),MATCH($C48,'🔖 배합비 참조'!$B$1:$CE$1,0))/100,0),""))),"")</f>
        <v>0</v>
      </c>
      <c r="BF48" s="42" t="n">
        <f aca="false">IFERROR(IF($C48="","",IF($D48="","",IFERROR(ROUND($D48*INDEX('🔖 배합비 참조'!$B$2:$CE$83,MATCH("아몬드슬라이스",'🔖 배합비 참조'!$A$2:$A$83,0),MATCH($C48,'🔖 배합비 참조'!$B$1:$CE$1,0))/100,0),""))),"")</f>
        <v>0</v>
      </c>
      <c r="BG48" s="42" t="n">
        <f aca="false">IFERROR(IF($C48="","",IF($D48="","",IFERROR(ROUND($D48*INDEX('🔖 배합비 참조'!$B$2:$CE$83,MATCH("알룰로오스(국내산)",'🔖 배합비 참조'!$A$2:$A$83,0),MATCH($C48,'🔖 배합비 참조'!$B$1:$CE$1,0))/100,0),""))),"")</f>
        <v>0</v>
      </c>
      <c r="BH48" s="42" t="n">
        <f aca="false">IFERROR(IF($C48="","",IF($D48="","",IFERROR(ROUND($D48*INDEX('🔖 배합비 참조'!$B$2:$CE$83,MATCH("연유",'🔖 배합비 참조'!$A$2:$A$83,0),MATCH($C48,'🔖 배합비 참조'!$B$1:$CE$1,0))/100,0),""))),"")</f>
        <v>0</v>
      </c>
      <c r="BI48" s="42" t="n">
        <f aca="false">IFERROR(IF($C48="","",IF($D48="","",IFERROR(ROUND($D48*INDEX('🔖 배합비 참조'!$B$2:$CE$83,MATCH("옥수수전분",'🔖 배합비 참조'!$A$2:$A$83,0),MATCH($C48,'🔖 배합비 참조'!$B$1:$CE$1,0))/100,0),""))),"")</f>
        <v>0</v>
      </c>
      <c r="BJ48" s="42" t="n">
        <f aca="false">IFERROR(IF($C48="","",IF($D48="","",IFERROR(ROUND($D48*INDEX('🔖 배합비 참조'!$B$2:$CE$83,MATCH("완두배기",'🔖 배합비 참조'!$A$2:$A$83,0),MATCH($C48,'🔖 배합비 참조'!$B$1:$CE$1,0))/100,0),""))),"")</f>
        <v>0</v>
      </c>
      <c r="BK48" s="42" t="n">
        <f aca="false">IFERROR(IF($C48="","",IF($D48="","",IFERROR(ROUND($D48*INDEX('🔖 배합비 참조'!$B$2:$CE$83,MATCH("우유(국내산)",'🔖 배합비 참조'!$A$2:$A$83,0),MATCH($C48,'🔖 배합비 참조'!$B$1:$CE$1,0))/100,0),""))),"")</f>
        <v>7</v>
      </c>
      <c r="BL48" s="42" t="n">
        <f aca="false">IFERROR(IF($C48="","",IF($D48="","",IFERROR(ROUND($D48*INDEX('🔖 배합비 참조'!$B$2:$CE$83,MATCH("자색고구마가루(중국산)",'🔖 배합비 참조'!$A$2:$A$83,0),MATCH($C48,'🔖 배합비 참조'!$B$1:$CE$1,0))/100,0),""))),"")</f>
        <v>0</v>
      </c>
      <c r="BM48" s="42" t="n">
        <f aca="false">IFERROR(IF($C48="","",IF($D48="","",IFERROR(ROUND($D48*INDEX('🔖 배합비 참조'!$B$2:$CE$83,MATCH("자연치즈(체다치즈)",'🔖 배합비 참조'!$A$2:$A$83,0),MATCH($C48,'🔖 배합비 참조'!$B$1:$CE$1,0))/100,0),""))),"")</f>
        <v>0</v>
      </c>
      <c r="BN48" s="42" t="n">
        <f aca="false">IFERROR(IF($C48="","",IF($D48="","",IFERROR(ROUND($D48*INDEX('🔖 배합비 참조'!$B$2:$CE$83,MATCH("정제수",'🔖 배합비 참조'!$A$2:$A$83,0),MATCH($C48,'🔖 배합비 참조'!$B$1:$CE$1,0))/100,0),""))),"")</f>
        <v>7</v>
      </c>
      <c r="BO48" s="42" t="n">
        <f aca="false">IFERROR(IF($C48="","",IF($D48="","",IFERROR(ROUND($D48*INDEX('🔖 배합비 참조'!$B$2:$CE$83,MATCH("젤라틴",'🔖 배합비 참조'!$A$2:$A$83,0),MATCH($C48,'🔖 배합비 참조'!$B$1:$CE$1,0))/100,0),""))),"")</f>
        <v>0</v>
      </c>
      <c r="BP48" s="42" t="n">
        <f aca="false">IFERROR(IF($C48="","",IF($D48="","",IFERROR(ROUND($D48*INDEX('🔖 배합비 참조'!$B$2:$CE$83,MATCH("조림류(백옥앙금)",'🔖 배합비 참조'!$A$2:$A$83,0),MATCH($C48,'🔖 배합비 참조'!$B$1:$CE$1,0))/100,0),""))),"")</f>
        <v>0</v>
      </c>
      <c r="BQ48" s="42" t="n">
        <f aca="false">IFERROR(IF($C48="","",IF($D48="","",IFERROR(ROUND($D48*INDEX('🔖 배합비 참조'!$B$2:$CE$83,MATCH("조림류(통팥앙금)",'🔖 배합비 참조'!$A$2:$A$83,0),MATCH($C48,'🔖 배합비 참조'!$B$1:$CE$1,0))/100,0),""))),"")</f>
        <v>0</v>
      </c>
      <c r="BR48" s="42" t="n">
        <f aca="false">IFERROR(IF($C48="","",IF($D48="","",IFERROR(ROUND($D48*INDEX('🔖 배합비 참조'!$B$2:$CE$83,MATCH("준초콜릿(외국산)",'🔖 배합비 참조'!$A$2:$A$83,0),MATCH($C48,'🔖 배합비 참조'!$B$1:$CE$1,0))/100,0),""))),"")</f>
        <v>0</v>
      </c>
      <c r="BS48" s="42" t="n">
        <f aca="false">IFERROR(IF($C48="","",IF($D48="","",IFERROR(ROUND($D48*INDEX('🔖 배합비 참조'!$B$2:$CE$83,MATCH("중력분",'🔖 배합비 참조'!$A$2:$A$83,0),MATCH($C48,'🔖 배합비 참조'!$B$1:$CE$1,0))/100,0),""))),"")</f>
        <v>0</v>
      </c>
      <c r="BT48" s="42" t="n">
        <f aca="false">IFERROR(IF($C48="","",IF($D48="","",IFERROR(ROUND($D48*INDEX('🔖 배합비 참조'!$B$2:$CE$83,MATCH("참깨(인도산,나이지리아산,탄자니아산,미얀마산)",'🔖 배합비 참조'!$A$2:$A$83,0),MATCH($C48,'🔖 배합비 참조'!$B$1:$CE$1,0))/100,0),""))),"")</f>
        <v>0</v>
      </c>
      <c r="BU48" s="42" t="n">
        <f aca="false">IFERROR(IF($C48="","",IF($D48="","",IFERROR(ROUND($D48*INDEX('🔖 배합비 참조'!$B$2:$CE$83,MATCH("찹쌀(국내산)",'🔖 배합비 참조'!$A$2:$A$83,0),MATCH($C48,'🔖 배합비 참조'!$B$1:$CE$1,0))/100,0),""))),"")</f>
        <v>0</v>
      </c>
      <c r="BV48" s="42" t="n">
        <f aca="false">IFERROR(IF($C48="","",IF($D48="","",IFERROR(ROUND($D48*INDEX('🔖 배합비 참조'!$B$2:$CE$83,MATCH("천일염",'🔖 배합비 참조'!$A$2:$A$83,0),MATCH($C48,'🔖 배합비 참조'!$B$1:$CE$1,0))/100,0),""))),"")</f>
        <v>1</v>
      </c>
      <c r="BW48" s="42" t="n">
        <f aca="false">IFERROR(IF($C48="","",IF($D48="","",IFERROR(ROUND($D48*INDEX('🔖 배합비 참조'!$B$2:$CE$83,MATCH("치즈 [크림치즈]",'🔖 배합비 참조'!$A$2:$A$83,0),MATCH($C48,'🔖 배합비 참조'!$B$1:$CE$1,0))/100,0),""))),"")</f>
        <v>0</v>
      </c>
      <c r="BX48" s="42" t="n">
        <f aca="false">IFERROR(IF($C48="","",IF($D48="","",IFERROR(ROUND($D48*INDEX('🔖 배합비 참조'!$B$2:$CE$83,MATCH("코코아가공품류(코코아분말)",'🔖 배합비 참조'!$A$2:$A$83,0),MATCH($C48,'🔖 배합비 참조'!$B$1:$CE$1,0))/100,0),""))),"")</f>
        <v>0</v>
      </c>
      <c r="BY48" s="42" t="n">
        <f aca="false">IFERROR(IF($C48="","",IF($D48="","",IFERROR(ROUND($D48*INDEX('🔖 배합비 참조'!$B$2:$CE$83,MATCH("콩기름(대두유)",'🔖 배합비 참조'!$A$2:$A$83,0),MATCH($C48,'🔖 배합비 참조'!$B$1:$CE$1,0))/100,0),""))),"")</f>
        <v>0</v>
      </c>
      <c r="BZ48" s="42" t="n">
        <f aca="false">IFERROR(IF($C48="","",IF($D48="","",IFERROR(ROUND($D48*INDEX('🔖 배합비 참조'!$B$2:$CE$83,MATCH("해바라기씨앗",'🔖 배합비 참조'!$A$2:$A$83,0),MATCH($C48,'🔖 배합비 참조'!$B$1:$CE$1,0))/100,0),""))),"")</f>
        <v>0</v>
      </c>
      <c r="CA48" s="42" t="n">
        <f aca="false">IFERROR(IF($C48="","",IF($D48="","",IFERROR(ROUND($D48*INDEX('🔖 배합비 참조'!$B$2:$CE$83,MATCH("현미(국내산)",'🔖 배합비 참조'!$A$2:$A$83,0),MATCH($C48,'🔖 배합비 참조'!$B$1:$CE$1,0))/100,0),""))),"")</f>
        <v>0</v>
      </c>
      <c r="CB48" s="42" t="n">
        <f aca="false">IFERROR(IF($C48="","",IF($D48="","",IFERROR(ROUND($D48*INDEX('🔖 배합비 참조'!$B$2:$CE$83,MATCH("현미멥쌀(국내산)",'🔖 배합비 참조'!$A$2:$A$83,0),MATCH($C48,'🔖 배합비 참조'!$B$1:$CE$1,0))/100,0),""))),"")</f>
        <v>0</v>
      </c>
      <c r="CC48" s="42" t="n">
        <f aca="false">IFERROR(IF($C48="","",IF($D48="","",IFERROR(ROUND($D48*INDEX('🔖 배합비 참조'!$B$2:$CE$83,MATCH("호두분태(미국산)",'🔖 배합비 참조'!$A$2:$A$83,0),MATCH($C48,'🔖 배합비 참조'!$B$1:$CE$1,0))/100,0),""))),"")</f>
        <v>0</v>
      </c>
      <c r="CD48" s="42" t="n">
        <f aca="false">IFERROR(IF($C48="","",IF($D48="","",IFERROR(ROUND($D48*INDEX('🔖 배합비 참조'!$B$2:$CE$83,MATCH("호박씨앗(외국산)",'🔖 배합비 참조'!$A$2:$A$83,0),MATCH($C48,'🔖 배합비 참조'!$B$1:$CE$1,0))/100,0),""))),"")</f>
        <v>0</v>
      </c>
      <c r="CE48" s="42" t="n">
        <f aca="false">IFERROR(IF($C48="","",IF($D48="","",IFERROR(ROUND($D48*INDEX('🔖 배합비 참조'!$B$2:$CE$83,MATCH("혼합제제(떡용에스텔)",'🔖 배합비 참조'!$A$2:$A$83,0),MATCH($C48,'🔖 배합비 참조'!$B$1:$CE$1,0))/100,0),""))),"")</f>
        <v>0</v>
      </c>
      <c r="CF48" s="42" t="n">
        <f aca="false">IFERROR(IF($C48="","",IF($D48="","",IFERROR(ROUND($D48*INDEX('🔖 배합비 참조'!$B$2:$CE$83,MATCH("혼합제제(스테비아)",'🔖 배합비 참조'!$A$2:$A$83,0),MATCH($C48,'🔖 배합비 참조'!$B$1:$CE$1,0))/100,0),""))),"")</f>
        <v>0</v>
      </c>
      <c r="CG48" s="42" t="n">
        <f aca="false">IFERROR(IF($C48="","",IF($D48="","",IFERROR(ROUND($D48*INDEX('🔖 배합비 참조'!$B$2:$CE$83,MATCH("화이트초콜릿",'🔖 배합비 참조'!$A$2:$A$83,0),MATCH($C48,'🔖 배합비 참조'!$B$1:$CE$1,0))/100,0),""))),"")</f>
        <v>0</v>
      </c>
      <c r="CH48" s="42" t="n">
        <f aca="false">IFERROR(IF($C48="","",IF($D48="","",IFERROR(ROUND($D48*INDEX('🔖 배합비 참조'!$B$2:$CE$83,MATCH("흑미찹쌀(국내산)",'🔖 배합비 참조'!$A$2:$A$83,0),MATCH($C48,'🔖 배합비 참조'!$B$1:$CE$1,0))/100,0),""))),"")</f>
        <v>0</v>
      </c>
      <c r="CI48" s="42" t="n">
        <f aca="false">IFERROR(IF($C48="","",IF($D48="","",IFERROR(ROUND($D48*INDEX('🔖 배합비 참조'!$B$2:$CE$83,MATCH("찰옥수수전분(미국산)",'🔖 배합비 참조'!$A$2:$A$83,0),MATCH($C48,'🔖 배합비 참조'!$B$1:$CE$1,0))/100,0),""))),"")</f>
        <v>0</v>
      </c>
      <c r="CJ48" s="40"/>
      <c r="CL48" s="1" t="s">
        <v>238</v>
      </c>
    </row>
    <row r="49" customFormat="false" ht="18" hidden="false" customHeight="true" outlineLevel="0" collapsed="false">
      <c r="A49" s="35" t="n">
        <v>45</v>
      </c>
      <c r="B49" s="36" t="n">
        <v>45965</v>
      </c>
      <c r="C49" s="37" t="s">
        <v>204</v>
      </c>
      <c r="D49" s="38" t="n">
        <v>210</v>
      </c>
      <c r="E49" s="13"/>
      <c r="F49" s="13"/>
      <c r="G49" s="39" t="n">
        <f aca="false">IFERROR(IF($C49="","",IF($D49="","",IFERROR(ROUND($D49*INDEX('🔖 배합비 참조'!$B$2:$CE$83,MATCH("간장",'🔖 배합비 참조'!$A$2:$A$83,0),MATCH($C49,'🔖 배합비 참조'!$B$1:$CE$1,0))/100,0),""))),"")</f>
        <v>0</v>
      </c>
      <c r="H49" s="39" t="n">
        <f aca="false">IFERROR(IF($C49="","",IF($D49="","",IFERROR(ROUND($D49*INDEX('🔖 배합비 참조'!$B$2:$CE$83,MATCH("강낭콩((울타리콩))",'🔖 배합비 참조'!$A$2:$A$83,0),MATCH($C49,'🔖 배합비 참조'!$B$1:$CE$1,0))/100,0),""))),"")</f>
        <v>0</v>
      </c>
      <c r="I49" s="39" t="n">
        <f aca="false">IFERROR(IF($C49="","",IF($D49="","",IFERROR(ROUND($D49*INDEX('🔖 배합비 참조'!$B$2:$CE$83,MATCH("건조딸기다이스(외국산)",'🔖 배합비 참조'!$A$2:$A$83,0),MATCH($C49,'🔖 배합비 참조'!$B$1:$CE$1,0))/100,0),""))),"")</f>
        <v>0</v>
      </c>
      <c r="J49" s="39" t="n">
        <f aca="false">IFERROR(IF($C49="","",IF($D49="","",IFERROR(ROUND($D49*INDEX('🔖 배합비 참조'!$B$2:$CE$83,MATCH("건포도",'🔖 배합비 참조'!$A$2:$A$83,0),MATCH($C49,'🔖 배합비 참조'!$B$1:$CE$1,0))/100,0),""))),"")</f>
        <v>0</v>
      </c>
      <c r="K49" s="39" t="n">
        <f aca="false">IFERROR(IF($C49="","",IF($D49="","",IFERROR(ROUND($D49*INDEX('🔖 배합비 참조'!$B$2:$CE$83,MATCH("건호박채(중국산)",'🔖 배합비 참조'!$A$2:$A$83,0),MATCH($C49,'🔖 배합비 참조'!$B$1:$CE$1,0))/100,0),""))),"")</f>
        <v>0</v>
      </c>
      <c r="L49" s="39" t="n">
        <f aca="false">IFERROR(IF($C49="","",IF($D49="","",IFERROR(ROUND($D49*INDEX('🔖 배합비 참조'!$B$2:$CE$83,MATCH("검정깨(흑임자)",'🔖 배합비 참조'!$A$2:$A$83,0),MATCH($C49,'🔖 배합비 참조'!$B$1:$CE$1,0))/100,0),""))),"")</f>
        <v>0</v>
      </c>
      <c r="M49" s="39" t="n">
        <f aca="false">IFERROR(IF($C49="","",IF($D49="","",IFERROR(ROUND($D49*INDEX('🔖 배합비 참조'!$B$2:$CE$83,MATCH("검정콩",'🔖 배합비 참조'!$A$2:$A$83,0),MATCH($C49,'🔖 배합비 참조'!$B$1:$CE$1,0))/100,0),""))),"")</f>
        <v>0</v>
      </c>
      <c r="N49" s="39" t="n">
        <f aca="false">IFERROR(IF($C49="","",IF($D49="","",IFERROR(ROUND($D49*INDEX('🔖 배합비 참조'!$B$2:$CE$83,MATCH("계피가루",'🔖 배합비 참조'!$A$2:$A$83,0),MATCH($C49,'🔖 배합비 참조'!$B$1:$CE$1,0))/100,0),""))),"")</f>
        <v>0</v>
      </c>
      <c r="O49" s="39" t="n">
        <f aca="false">IFERROR(IF($C49="","",IF($D49="","",IFERROR(ROUND($D49*INDEX('🔖 배합비 참조'!$B$2:$CE$83,MATCH("고구마가루",'🔖 배합비 참조'!$A$2:$A$83,0),MATCH($C49,'🔖 배합비 참조'!$B$1:$CE$1,0))/100,0),""))),"")</f>
        <v>0</v>
      </c>
      <c r="P49" s="39" t="n">
        <f aca="false">IFERROR(IF($C49="","",IF($D49="","",IFERROR(ROUND($D49*INDEX('🔖 배합비 참조'!$B$2:$CE$83,MATCH("고구마무스",'🔖 배합비 참조'!$A$2:$A$83,0),MATCH($C49,'🔖 배합비 참조'!$B$1:$CE$1,0))/100,0),""))),"")</f>
        <v>0</v>
      </c>
      <c r="Q49" s="39" t="n">
        <f aca="false">IFERROR(IF($C49="","",IF($D49="","",IFERROR(ROUND($D49*INDEX('🔖 배합비 참조'!$B$2:$CE$83,MATCH("고려엉겅퀴((곤드레)국내산)",'🔖 배합비 참조'!$A$2:$A$83,0),MATCH($C49,'🔖 배합비 참조'!$B$1:$CE$1,0))/100,0),""))),"")</f>
        <v>0</v>
      </c>
      <c r="R49" s="39" t="n">
        <f aca="false">IFERROR(IF($C49="","",IF($D49="","",IFERROR(ROUND($D49*INDEX('🔖 배합비 참조'!$B$2:$CE$83,MATCH("기타가공품(복분자가루)",'🔖 배합비 참조'!$A$2:$A$83,0),MATCH($C49,'🔖 배합비 참조'!$B$1:$CE$1,0))/100,0),""))),"")</f>
        <v>0</v>
      </c>
      <c r="S49" s="39" t="n">
        <f aca="false">IFERROR(IF($C49="","",IF($D49="","",IFERROR(ROUND($D49*INDEX('🔖 배합비 참조'!$B$2:$CE$83,MATCH("기타가공품(슈퍼소프트엠)",'🔖 배합비 참조'!$A$2:$A$83,0),MATCH($C49,'🔖 배합비 참조'!$B$1:$CE$1,0))/100,0),""))),"")</f>
        <v>0</v>
      </c>
      <c r="T49" s="39" t="n">
        <f aca="false">IFERROR(IF($C49="","",IF($D49="","",IFERROR(ROUND($D49*INDEX('🔖 배합비 참조'!$B$2:$CE$83,MATCH("기타가공품(파인소프트 E-티)",'🔖 배합비 참조'!$A$2:$A$83,0),MATCH($C49,'🔖 배합비 참조'!$B$1:$CE$1,0))/100,0),""))),"")</f>
        <v>0</v>
      </c>
      <c r="U49" s="39" t="n">
        <f aca="false">IFERROR(IF($C49="","",IF($D49="","",IFERROR(ROUND($D49*INDEX('🔖 배합비 참조'!$B$2:$CE$83,MATCH("기타가공품(프리미엄카스테라가루)",'🔖 배합비 참조'!$A$2:$A$83,0),MATCH($C49,'🔖 배합비 참조'!$B$1:$CE$1,0))/100,0),""))),"")</f>
        <v>0</v>
      </c>
      <c r="V49" s="39" t="n">
        <f aca="false">IFERROR(IF($C49="","",IF($D49="","",IFERROR(ROUND($D49*INDEX('🔖 배합비 참조'!$B$2:$CE$83,MATCH("기타가공품(흑임자가루)",'🔖 배합비 참조'!$A$2:$A$83,0),MATCH($C49,'🔖 배합비 참조'!$B$1:$CE$1,0))/100,0),""))),"")</f>
        <v>0</v>
      </c>
      <c r="W49" s="39" t="n">
        <f aca="false">IFERROR(IF($C49="","",IF($D49="","",IFERROR(ROUND($D49*INDEX('🔖 배합비 참조'!$B$2:$CE$83,MATCH("기타설탕(흑설탕)",'🔖 배합비 참조'!$A$2:$A$83,0),MATCH($C49,'🔖 배합비 참조'!$B$1:$CE$1,0))/100,0),""))),"")</f>
        <v>0</v>
      </c>
      <c r="X49" s="39" t="n">
        <f aca="false">IFERROR(IF($C49="","",IF($D49="","",IFERROR(ROUND($D49*INDEX('🔖 배합비 참조'!$B$2:$CE$83,MATCH("냉동쑥(국내산)",'🔖 배합비 참조'!$A$2:$A$83,0),MATCH($C49,'🔖 배합비 참조'!$B$1:$CE$1,0))/100,0),""))),"")</f>
        <v>7</v>
      </c>
      <c r="Y49" s="39" t="n">
        <f aca="false">IFERROR(IF($C49="","",IF($D49="","",IFERROR(ROUND($D49*INDEX('🔖 배합비 참조'!$B$2:$CE$83,MATCH("냉동증숙고구마(중국산)",'🔖 배합비 참조'!$A$2:$A$83,0),MATCH($C49,'🔖 배합비 참조'!$B$1:$CE$1,0))/100,0),""))),"")</f>
        <v>0</v>
      </c>
      <c r="Z49" s="39" t="n">
        <f aca="false">IFERROR(IF($C49="","",IF($D49="","",IFERROR(ROUND($D49*INDEX('🔖 배합비 참조'!$B$2:$CE$83,MATCH("녹차가루",'🔖 배합비 참조'!$A$2:$A$83,0),MATCH($C49,'🔖 배합비 참조'!$B$1:$CE$1,0))/100,0),""))),"")</f>
        <v>0</v>
      </c>
      <c r="AA49" s="39" t="n">
        <f aca="false">IFERROR(IF($C49="","",IF($D49="","",IFERROR(ROUND($D49*INDEX('🔖 배합비 참조'!$B$2:$CE$83,MATCH("다크초콜릿 컴파운드칩",'🔖 배합비 참조'!$A$2:$A$83,0),MATCH($C49,'🔖 배합비 참조'!$B$1:$CE$1,0))/100,0),""))),"")</f>
        <v>0</v>
      </c>
      <c r="AB49" s="39" t="n">
        <f aca="false">IFERROR(IF($C49="","",IF($D49="","",IFERROR(ROUND($D49*INDEX('🔖 배합비 참조'!$B$2:$CE$83,MATCH("단호박분말(중국산)",'🔖 배합비 참조'!$A$2:$A$83,0),MATCH($C49,'🔖 배합비 참조'!$B$1:$CE$1,0))/100,0),""))),"")</f>
        <v>0</v>
      </c>
      <c r="AC49" s="39" t="n">
        <f aca="false">IFERROR(IF($C49="","",IF($D49="","",IFERROR(ROUND($D49*INDEX('🔖 배합비 참조'!$B$2:$CE$83,MATCH("당류가공품(단호박농축액)",'🔖 배합비 참조'!$A$2:$A$83,0),MATCH($C49,'🔖 배합비 참조'!$B$1:$CE$1,0))/100,0),""))),"")</f>
        <v>0</v>
      </c>
      <c r="AD49" s="39" t="n">
        <f aca="false">IFERROR(IF($C49="","",IF($D49="","",IFERROR(ROUND($D49*INDEX('🔖 배합비 참조'!$B$2:$CE$83,MATCH("당류가공품(알룰로스,에리스리톨,스테비올배당체혼합)",'🔖 배합비 참조'!$A$2:$A$83,0),MATCH($C49,'🔖 배합비 참조'!$B$1:$CE$1,0))/100,0),""))),"")</f>
        <v>0</v>
      </c>
      <c r="AE49" s="39" t="n">
        <f aca="false">IFERROR(IF($C49="","",IF($D49="","",IFERROR(ROUND($D49*INDEX('🔖 배합비 참조'!$B$2:$CE$83,MATCH("당류가공품(알룰로스제로파우더)",'🔖 배합비 참조'!$A$2:$A$83,0),MATCH($C49,'🔖 배합비 참조'!$B$1:$CE$1,0))/100,0),""))),"")</f>
        <v>0</v>
      </c>
      <c r="AF49" s="39" t="n">
        <f aca="false">IFERROR(IF($C49="","",IF($D49="","",IFERROR(ROUND($D49*INDEX('🔖 배합비 참조'!$B$2:$CE$83,MATCH("당절임(완두배기)",'🔖 배합비 참조'!$A$2:$A$83,0),MATCH($C49,'🔖 배합비 참조'!$B$1:$CE$1,0))/100,0),""))),"")</f>
        <v>0</v>
      </c>
      <c r="AG49" s="39" t="n">
        <f aca="false">IFERROR(IF($C49="","",IF($D49="","",IFERROR(ROUND($D49*INDEX('🔖 배합비 참조'!$B$2:$CE$83,MATCH("대추농축액",'🔖 배합비 참조'!$A$2:$A$83,0),MATCH($C49,'🔖 배합비 참조'!$B$1:$CE$1,0))/100,0),""))),"")</f>
        <v>0</v>
      </c>
      <c r="AH49" s="39" t="n">
        <f aca="false">IFERROR(IF($C49="","",IF($D49="","",IFERROR(ROUND($D49*INDEX('🔖 배합비 참조'!$B$2:$CE$83,MATCH("대추채(국내산)",'🔖 배합비 참조'!$A$2:$A$83,0),MATCH($C49,'🔖 배합비 참조'!$B$1:$CE$1,0))/100,0),""))),"")</f>
        <v>0</v>
      </c>
      <c r="AI49" s="39" t="n">
        <f aca="false">IFERROR(IF($C49="","",IF($D49="","",IFERROR(ROUND($D49*INDEX('🔖 배합비 참조'!$B$2:$CE$83,MATCH("동부(미얀마산)",'🔖 배합비 참조'!$A$2:$A$83,0),MATCH($C49,'🔖 배합비 참조'!$B$1:$CE$1,0))/100,0),""))),"")</f>
        <v>0</v>
      </c>
      <c r="AJ49" s="39" t="n">
        <f aca="false">IFERROR(IF($C49="","",IF($D49="","",IFERROR(ROUND($D49*INDEX('🔖 배합비 참조'!$B$2:$CE$83,MATCH("두류가공품(백옥앙금)",'🔖 배합비 참조'!$A$2:$A$83,0),MATCH($C49,'🔖 배합비 참조'!$B$1:$CE$1,0))/100,0),""))),"")</f>
        <v>0</v>
      </c>
      <c r="AK49" s="39" t="n">
        <f aca="false">IFERROR(IF($C49="","",IF($D49="","",IFERROR(ROUND($D49*INDEX('🔖 배합비 참조'!$B$2:$CE$83,MATCH("두류가공품(콩고물)",'🔖 배합비 참조'!$A$2:$A$83,0),MATCH($C49,'🔖 배합비 참조'!$B$1:$CE$1,0))/100,0),""))),"")</f>
        <v>6</v>
      </c>
      <c r="AL49" s="39" t="n">
        <f aca="false">IFERROR(IF($C49="","",IF($D49="","",IFERROR(ROUND($D49*INDEX('🔖 배합비 참조'!$B$2:$CE$83,MATCH("두류가공품(통팥고물)",'🔖 배합비 참조'!$A$2:$A$83,0),MATCH($C49,'🔖 배합비 참조'!$B$1:$CE$1,0))/100,0),""))),"")</f>
        <v>0</v>
      </c>
      <c r="AM49" s="39" t="n">
        <f aca="false">IFERROR(IF($C49="","",IF($D49="","",IFERROR(ROUND($D49*INDEX('🔖 배합비 참조'!$B$2:$CE$83,MATCH("딸기레진",'🔖 배합비 참조'!$A$2:$A$83,0),MATCH($C49,'🔖 배합비 참조'!$B$1:$CE$1,0))/100,0),""))),"")</f>
        <v>0</v>
      </c>
      <c r="AN49" s="39" t="n">
        <f aca="false">IFERROR(IF($C49="","",IF($D49="","",IFERROR(ROUND($D49*INDEX('🔖 배합비 참조'!$B$2:$CE$83,MATCH("딸기분말(스트로우베리에이드(분말))",'🔖 배합비 참조'!$A$2:$A$83,0),MATCH($C49,'🔖 배합비 참조'!$B$1:$CE$1,0))/100,0),""))),"")</f>
        <v>0</v>
      </c>
      <c r="AO49" s="39" t="n">
        <f aca="false">IFERROR(IF($C49="","",IF($D49="","",IFERROR(ROUND($D49*INDEX('🔖 배합비 참조'!$B$2:$CE$83,MATCH("마스카포네치즈",'🔖 배합비 참조'!$A$2:$A$83,0),MATCH($C49,'🔖 배합비 참조'!$B$1:$CE$1,0))/100,0),""))),"")</f>
        <v>0</v>
      </c>
      <c r="AP49" s="39" t="n">
        <f aca="false">IFERROR(IF($C49="","",IF($D49="","",IFERROR(ROUND($D49*INDEX('🔖 배합비 참조'!$B$2:$CE$83,MATCH("마카다미아분태(호주산)",'🔖 배합비 참조'!$A$2:$A$83,0),MATCH($C49,'🔖 배합비 참조'!$B$1:$CE$1,0))/100,0),""))),"")</f>
        <v>0</v>
      </c>
      <c r="AQ49" s="39" t="n">
        <f aca="false">IFERROR(IF($C49="","",IF($D49="","",IFERROR(ROUND($D49*INDEX('🔖 배합비 참조'!$B$2:$CE$83,MATCH("멥쌀(국내산)",'🔖 배합비 참조'!$A$2:$A$83,0),MATCH($C49,'🔖 배합비 참조'!$B$1:$CE$1,0))/100,0),""))),"")</f>
        <v>0</v>
      </c>
      <c r="AR49" s="39" t="n">
        <f aca="false">IFERROR(IF($C49="","",IF($D49="","",IFERROR(ROUND($D49*INDEX('🔖 배합비 참조'!$B$2:$CE$83,MATCH("모시잎(국내산)",'🔖 배합비 참조'!$A$2:$A$83,0),MATCH($C49,'🔖 배합비 참조'!$B$1:$CE$1,0))/100,0),""))),"")</f>
        <v>0</v>
      </c>
      <c r="AS49" s="39" t="n">
        <f aca="false">IFERROR(IF($C49="","",IF($D49="","",IFERROR(ROUND($D49*INDEX('🔖 배합비 참조'!$B$2:$CE$83,MATCH("물엿(저당물엿)",'🔖 배합비 참조'!$A$2:$A$83,0),MATCH($C49,'🔖 배합비 참조'!$B$1:$CE$1,0))/100,0),""))),"")</f>
        <v>5</v>
      </c>
      <c r="AT49" s="39" t="n">
        <f aca="false">IFERROR(IF($C49="","",IF($D49="","",IFERROR(ROUND($D49*INDEX('🔖 배합비 참조'!$B$2:$CE$83,MATCH("밤다이스",'🔖 배합비 참조'!$A$2:$A$83,0),MATCH($C49,'🔖 배합비 참조'!$B$1:$CE$1,0))/100,0),""))),"")</f>
        <v>0</v>
      </c>
      <c r="AU49" s="39" t="n">
        <f aca="false">IFERROR(IF($C49="","",IF($D49="","",IFERROR(ROUND($D49*INDEX('🔖 배합비 참조'!$B$2:$CE$83,MATCH("변성전분(타피오카전분)",'🔖 배합비 참조'!$A$2:$A$83,0),MATCH($C49,'🔖 배합비 참조'!$B$1:$CE$1,0))/100,0),""))),"")</f>
        <v>0</v>
      </c>
      <c r="AV49" s="39" t="n">
        <f aca="false">IFERROR(IF($C49="","",IF($D49="","",IFERROR(ROUND($D49*INDEX('🔖 배합비 참조'!$B$2:$CE$83,MATCH("복음땅콩분태",'🔖 배합비 참조'!$A$2:$A$83,0),MATCH($C49,'🔖 배합비 참조'!$B$1:$CE$1,0))/100,0),""))),"")</f>
        <v>0</v>
      </c>
      <c r="AW49" s="39" t="n">
        <f aca="false">IFERROR(IF($C49="","",IF($D49="","",IFERROR(ROUND($D49*INDEX('🔖 배합비 참조'!$B$2:$CE$83,MATCH("사양벌꿀(국내산)",'🔖 배합비 참조'!$A$2:$A$83,0),MATCH($C49,'🔖 배합비 참조'!$B$1:$CE$1,0))/100,0),""))),"")</f>
        <v>0</v>
      </c>
      <c r="AX49" s="39" t="n">
        <f aca="false">IFERROR(IF($C49="","",IF($D49="","",IFERROR(ROUND($D49*INDEX('🔖 배합비 참조'!$B$2:$CE$83,MATCH("생크림",'🔖 배합비 참조'!$A$2:$A$83,0),MATCH($C49,'🔖 배합비 참조'!$B$1:$CE$1,0))/100,0),""))),"")</f>
        <v>0</v>
      </c>
      <c r="AY49" s="39" t="n">
        <f aca="false">IFERROR(IF($C49="","",IF($D49="","",IFERROR(ROUND($D49*INDEX('🔖 배합비 참조'!$B$2:$CE$83,MATCH("서양호박(국내산,뉴질랜드산)",'🔖 배합비 참조'!$A$2:$A$83,0),MATCH($C49,'🔖 배합비 참조'!$B$1:$CE$1,0))/100,0),""))),"")</f>
        <v>0</v>
      </c>
      <c r="AZ49" s="39" t="n">
        <f aca="false">IFERROR(IF($C49="","",IF($D49="","",IFERROR(ROUND($D49*INDEX('🔖 배합비 참조'!$B$2:$CE$83,MATCH("설탕",'🔖 배합비 참조'!$A$2:$A$83,0),MATCH($C49,'🔖 배합비 참조'!$B$1:$CE$1,0))/100,0),""))),"")</f>
        <v>5</v>
      </c>
      <c r="BA49" s="39" t="n">
        <f aca="false">IFERROR(IF($C49="","",IF($D49="","",IFERROR(ROUND($D49*INDEX('🔖 배합비 참조'!$B$2:$CE$83,MATCH("스트로우베리 에이드 후레쉬",'🔖 배합비 참조'!$A$2:$A$83,0),MATCH($C49,'🔖 배합비 참조'!$B$1:$CE$1,0))/100,0),""))),"")</f>
        <v>0</v>
      </c>
      <c r="BB49" s="39" t="n">
        <f aca="false">IFERROR(IF($C49="","",IF($D49="","",IFERROR(ROUND($D49*INDEX('🔖 배합비 참조'!$B$2:$CE$83,MATCH("식물성기름혼합제제(분홍)",'🔖 배합비 참조'!$A$2:$A$83,0),MATCH($C49,'🔖 배합비 참조'!$B$1:$CE$1,0))/100,0),""))),"")</f>
        <v>0</v>
      </c>
      <c r="BC49" s="39" t="n">
        <f aca="false">IFERROR(IF($C49="","",IF($D49="","",IFERROR(ROUND($D49*INDEX('🔖 배합비 참조'!$B$2:$CE$83,MATCH("식물성기름혼합제제(초록)",'🔖 배합비 참조'!$A$2:$A$83,0),MATCH($C49,'🔖 배합비 참조'!$B$1:$CE$1,0))/100,0),""))),"")</f>
        <v>0</v>
      </c>
      <c r="BD49" s="39" t="n">
        <f aca="false">IFERROR(IF($C49="","",IF($D49="","",IFERROR(ROUND($D49*INDEX('🔖 배합비 참조'!$B$2:$CE$83,MATCH("식물성기름혼합제제(황색)",'🔖 배합비 참조'!$A$2:$A$83,0),MATCH($C49,'🔖 배합비 참조'!$B$1:$CE$1,0))/100,0),""))),"")</f>
        <v>0</v>
      </c>
      <c r="BE49" s="39" t="n">
        <f aca="false">IFERROR(IF($C49="","",IF($D49="","",IFERROR(ROUND($D49*INDEX('🔖 배합비 참조'!$B$2:$CE$83,MATCH("쑥가루(국내산)",'🔖 배합비 참조'!$A$2:$A$83,0),MATCH($C49,'🔖 배합비 참조'!$B$1:$CE$1,0))/100,0),""))),"")</f>
        <v>2</v>
      </c>
      <c r="BF49" s="39" t="n">
        <f aca="false">IFERROR(IF($C49="","",IF($D49="","",IFERROR(ROUND($D49*INDEX('🔖 배합비 참조'!$B$2:$CE$83,MATCH("아몬드슬라이스",'🔖 배합비 참조'!$A$2:$A$83,0),MATCH($C49,'🔖 배합비 참조'!$B$1:$CE$1,0))/100,0),""))),"")</f>
        <v>0</v>
      </c>
      <c r="BG49" s="39" t="n">
        <f aca="false">IFERROR(IF($C49="","",IF($D49="","",IFERROR(ROUND($D49*INDEX('🔖 배합비 참조'!$B$2:$CE$83,MATCH("알룰로오스(국내산)",'🔖 배합비 참조'!$A$2:$A$83,0),MATCH($C49,'🔖 배합비 참조'!$B$1:$CE$1,0))/100,0),""))),"")</f>
        <v>0</v>
      </c>
      <c r="BH49" s="39" t="n">
        <f aca="false">IFERROR(IF($C49="","",IF($D49="","",IFERROR(ROUND($D49*INDEX('🔖 배합비 참조'!$B$2:$CE$83,MATCH("연유",'🔖 배합비 참조'!$A$2:$A$83,0),MATCH($C49,'🔖 배합비 참조'!$B$1:$CE$1,0))/100,0),""))),"")</f>
        <v>0</v>
      </c>
      <c r="BI49" s="39" t="n">
        <f aca="false">IFERROR(IF($C49="","",IF($D49="","",IFERROR(ROUND($D49*INDEX('🔖 배합비 참조'!$B$2:$CE$83,MATCH("옥수수전분",'🔖 배합비 참조'!$A$2:$A$83,0),MATCH($C49,'🔖 배합비 참조'!$B$1:$CE$1,0))/100,0),""))),"")</f>
        <v>0</v>
      </c>
      <c r="BJ49" s="39" t="n">
        <f aca="false">IFERROR(IF($C49="","",IF($D49="","",IFERROR(ROUND($D49*INDEX('🔖 배합비 참조'!$B$2:$CE$83,MATCH("완두배기",'🔖 배합비 참조'!$A$2:$A$83,0),MATCH($C49,'🔖 배합비 참조'!$B$1:$CE$1,0))/100,0),""))),"")</f>
        <v>0</v>
      </c>
      <c r="BK49" s="39" t="n">
        <f aca="false">IFERROR(IF($C49="","",IF($D49="","",IFERROR(ROUND($D49*INDEX('🔖 배합비 참조'!$B$2:$CE$83,MATCH("우유(국내산)",'🔖 배합비 참조'!$A$2:$A$83,0),MATCH($C49,'🔖 배합비 참조'!$B$1:$CE$1,0))/100,0),""))),"")</f>
        <v>0</v>
      </c>
      <c r="BL49" s="39" t="n">
        <f aca="false">IFERROR(IF($C49="","",IF($D49="","",IFERROR(ROUND($D49*INDEX('🔖 배합비 참조'!$B$2:$CE$83,MATCH("자색고구마가루(중국산)",'🔖 배합비 참조'!$A$2:$A$83,0),MATCH($C49,'🔖 배합비 참조'!$B$1:$CE$1,0))/100,0),""))),"")</f>
        <v>0</v>
      </c>
      <c r="BM49" s="39" t="n">
        <f aca="false">IFERROR(IF($C49="","",IF($D49="","",IFERROR(ROUND($D49*INDEX('🔖 배합비 참조'!$B$2:$CE$83,MATCH("자연치즈(체다치즈)",'🔖 배합비 참조'!$A$2:$A$83,0),MATCH($C49,'🔖 배합비 참조'!$B$1:$CE$1,0))/100,0),""))),"")</f>
        <v>0</v>
      </c>
      <c r="BN49" s="39" t="n">
        <f aca="false">IFERROR(IF($C49="","",IF($D49="","",IFERROR(ROUND($D49*INDEX('🔖 배합비 참조'!$B$2:$CE$83,MATCH("정제수",'🔖 배합비 참조'!$A$2:$A$83,0),MATCH($C49,'🔖 배합비 참조'!$B$1:$CE$1,0))/100,0),""))),"")</f>
        <v>0</v>
      </c>
      <c r="BO49" s="39" t="n">
        <f aca="false">IFERROR(IF($C49="","",IF($D49="","",IFERROR(ROUND($D49*INDEX('🔖 배합비 참조'!$B$2:$CE$83,MATCH("젤라틴",'🔖 배합비 참조'!$A$2:$A$83,0),MATCH($C49,'🔖 배합비 참조'!$B$1:$CE$1,0))/100,0),""))),"")</f>
        <v>0</v>
      </c>
      <c r="BP49" s="39" t="n">
        <f aca="false">IFERROR(IF($C49="","",IF($D49="","",IFERROR(ROUND($D49*INDEX('🔖 배합비 참조'!$B$2:$CE$83,MATCH("조림류(백옥앙금)",'🔖 배합비 참조'!$A$2:$A$83,0),MATCH($C49,'🔖 배합비 참조'!$B$1:$CE$1,0))/100,0),""))),"")</f>
        <v>0</v>
      </c>
      <c r="BQ49" s="39" t="n">
        <f aca="false">IFERROR(IF($C49="","",IF($D49="","",IFERROR(ROUND($D49*INDEX('🔖 배합비 참조'!$B$2:$CE$83,MATCH("조림류(통팥앙금)",'🔖 배합비 참조'!$A$2:$A$83,0),MATCH($C49,'🔖 배합비 참조'!$B$1:$CE$1,0))/100,0),""))),"")</f>
        <v>87</v>
      </c>
      <c r="BR49" s="39" t="n">
        <f aca="false">IFERROR(IF($C49="","",IF($D49="","",IFERROR(ROUND($D49*INDEX('🔖 배합비 참조'!$B$2:$CE$83,MATCH("준초콜릿(외국산)",'🔖 배합비 참조'!$A$2:$A$83,0),MATCH($C49,'🔖 배합비 참조'!$B$1:$CE$1,0))/100,0),""))),"")</f>
        <v>0</v>
      </c>
      <c r="BS49" s="39" t="n">
        <f aca="false">IFERROR(IF($C49="","",IF($D49="","",IFERROR(ROUND($D49*INDEX('🔖 배합비 참조'!$B$2:$CE$83,MATCH("중력분",'🔖 배합비 참조'!$A$2:$A$83,0),MATCH($C49,'🔖 배합비 참조'!$B$1:$CE$1,0))/100,0),""))),"")</f>
        <v>2</v>
      </c>
      <c r="BT49" s="39" t="n">
        <f aca="false">IFERROR(IF($C49="","",IF($D49="","",IFERROR(ROUND($D49*INDEX('🔖 배합비 참조'!$B$2:$CE$83,MATCH("참깨(인도산,나이지리아산,탄자니아산,미얀마산)",'🔖 배합비 참조'!$A$2:$A$83,0),MATCH($C49,'🔖 배합비 참조'!$B$1:$CE$1,0))/100,0),""))),"")</f>
        <v>0</v>
      </c>
      <c r="BU49" s="39" t="n">
        <f aca="false">IFERROR(IF($C49="","",IF($D49="","",IFERROR(ROUND($D49*INDEX('🔖 배합비 참조'!$B$2:$CE$83,MATCH("찹쌀(국내산)",'🔖 배합비 참조'!$A$2:$A$83,0),MATCH($C49,'🔖 배합비 참조'!$B$1:$CE$1,0))/100,0),""))),"")</f>
        <v>93</v>
      </c>
      <c r="BV49" s="39" t="n">
        <f aca="false">IFERROR(IF($C49="","",IF($D49="","",IFERROR(ROUND($D49*INDEX('🔖 배합비 참조'!$B$2:$CE$83,MATCH("천일염",'🔖 배합비 참조'!$A$2:$A$83,0),MATCH($C49,'🔖 배합비 참조'!$B$1:$CE$1,0))/100,0),""))),"")</f>
        <v>2</v>
      </c>
      <c r="BW49" s="39" t="n">
        <f aca="false">IFERROR(IF($C49="","",IF($D49="","",IFERROR(ROUND($D49*INDEX('🔖 배합비 참조'!$B$2:$CE$83,MATCH("치즈 [크림치즈]",'🔖 배합비 참조'!$A$2:$A$83,0),MATCH($C49,'🔖 배합비 참조'!$B$1:$CE$1,0))/100,0),""))),"")</f>
        <v>0</v>
      </c>
      <c r="BX49" s="39" t="n">
        <f aca="false">IFERROR(IF($C49="","",IF($D49="","",IFERROR(ROUND($D49*INDEX('🔖 배합비 참조'!$B$2:$CE$83,MATCH("코코아가공품류(코코아분말)",'🔖 배합비 참조'!$A$2:$A$83,0),MATCH($C49,'🔖 배합비 참조'!$B$1:$CE$1,0))/100,0),""))),"")</f>
        <v>0</v>
      </c>
      <c r="BY49" s="39" t="n">
        <f aca="false">IFERROR(IF($C49="","",IF($D49="","",IFERROR(ROUND($D49*INDEX('🔖 배합비 참조'!$B$2:$CE$83,MATCH("콩기름(대두유)",'🔖 배합비 참조'!$A$2:$A$83,0),MATCH($C49,'🔖 배합비 참조'!$B$1:$CE$1,0))/100,0),""))),"")</f>
        <v>0</v>
      </c>
      <c r="BZ49" s="39" t="n">
        <f aca="false">IFERROR(IF($C49="","",IF($D49="","",IFERROR(ROUND($D49*INDEX('🔖 배합비 참조'!$B$2:$CE$83,MATCH("해바라기씨앗",'🔖 배합비 참조'!$A$2:$A$83,0),MATCH($C49,'🔖 배합비 참조'!$B$1:$CE$1,0))/100,0),""))),"")</f>
        <v>0</v>
      </c>
      <c r="CA49" s="39" t="n">
        <f aca="false">IFERROR(IF($C49="","",IF($D49="","",IFERROR(ROUND($D49*INDEX('🔖 배합비 참조'!$B$2:$CE$83,MATCH("현미(국내산)",'🔖 배합비 참조'!$A$2:$A$83,0),MATCH($C49,'🔖 배합비 참조'!$B$1:$CE$1,0))/100,0),""))),"")</f>
        <v>0</v>
      </c>
      <c r="CB49" s="39" t="n">
        <f aca="false">IFERROR(IF($C49="","",IF($D49="","",IFERROR(ROUND($D49*INDEX('🔖 배합비 참조'!$B$2:$CE$83,MATCH("현미멥쌀(국내산)",'🔖 배합비 참조'!$A$2:$A$83,0),MATCH($C49,'🔖 배합비 참조'!$B$1:$CE$1,0))/100,0),""))),"")</f>
        <v>0</v>
      </c>
      <c r="CC49" s="39" t="n">
        <f aca="false">IFERROR(IF($C49="","",IF($D49="","",IFERROR(ROUND($D49*INDEX('🔖 배합비 참조'!$B$2:$CE$83,MATCH("호두분태(미국산)",'🔖 배합비 참조'!$A$2:$A$83,0),MATCH($C49,'🔖 배합비 참조'!$B$1:$CE$1,0))/100,0),""))),"")</f>
        <v>0</v>
      </c>
      <c r="CD49" s="39" t="n">
        <f aca="false">IFERROR(IF($C49="","",IF($D49="","",IFERROR(ROUND($D49*INDEX('🔖 배합비 참조'!$B$2:$CE$83,MATCH("호박씨앗(외국산)",'🔖 배합비 참조'!$A$2:$A$83,0),MATCH($C49,'🔖 배합비 참조'!$B$1:$CE$1,0))/100,0),""))),"")</f>
        <v>0</v>
      </c>
      <c r="CE49" s="39" t="n">
        <f aca="false">IFERROR(IF($C49="","",IF($D49="","",IFERROR(ROUND($D49*INDEX('🔖 배합비 참조'!$B$2:$CE$83,MATCH("혼합제제(떡용에스텔)",'🔖 배합비 참조'!$A$2:$A$83,0),MATCH($C49,'🔖 배합비 참조'!$B$1:$CE$1,0))/100,0),""))),"")</f>
        <v>1</v>
      </c>
      <c r="CF49" s="39" t="n">
        <f aca="false">IFERROR(IF($C49="","",IF($D49="","",IFERROR(ROUND($D49*INDEX('🔖 배합비 참조'!$B$2:$CE$83,MATCH("혼합제제(스테비아)",'🔖 배합비 참조'!$A$2:$A$83,0),MATCH($C49,'🔖 배합비 참조'!$B$1:$CE$1,0))/100,0),""))),"")</f>
        <v>0</v>
      </c>
      <c r="CG49" s="39" t="n">
        <f aca="false">IFERROR(IF($C49="","",IF($D49="","",IFERROR(ROUND($D49*INDEX('🔖 배합비 참조'!$B$2:$CE$83,MATCH("화이트초콜릿",'🔖 배합비 참조'!$A$2:$A$83,0),MATCH($C49,'🔖 배합비 참조'!$B$1:$CE$1,0))/100,0),""))),"")</f>
        <v>0</v>
      </c>
      <c r="CH49" s="39" t="n">
        <f aca="false">IFERROR(IF($C49="","",IF($D49="","",IFERROR(ROUND($D49*INDEX('🔖 배합비 참조'!$B$2:$CE$83,MATCH("흑미찹쌀(국내산)",'🔖 배합비 참조'!$A$2:$A$83,0),MATCH($C49,'🔖 배합비 참조'!$B$1:$CE$1,0))/100,0),""))),"")</f>
        <v>0</v>
      </c>
      <c r="CI49" s="39" t="n">
        <f aca="false">IFERROR(IF($C49="","",IF($D49="","",IFERROR(ROUND($D49*INDEX('🔖 배합비 참조'!$B$2:$CE$83,MATCH("찰옥수수전분(미국산)",'🔖 배합비 참조'!$A$2:$A$83,0),MATCH($C49,'🔖 배합비 참조'!$B$1:$CE$1,0))/100,0),""))),"")</f>
        <v>0</v>
      </c>
      <c r="CJ49" s="40"/>
      <c r="CL49" s="1" t="s">
        <v>238</v>
      </c>
    </row>
    <row r="50" customFormat="false" ht="18" hidden="false" customHeight="true" outlineLevel="0" collapsed="false">
      <c r="A50" s="41" t="n">
        <v>46</v>
      </c>
      <c r="B50" s="36" t="n">
        <v>45965</v>
      </c>
      <c r="C50" s="37" t="s">
        <v>236</v>
      </c>
      <c r="D50" s="38" t="n">
        <v>140</v>
      </c>
      <c r="E50" s="17"/>
      <c r="F50" s="17"/>
      <c r="G50" s="42" t="n">
        <f aca="false">IFERROR(IF($C50="","",IF($D50="","",IFERROR(ROUND($D50*INDEX('🔖 배합비 참조'!$B$2:$CE$83,MATCH("간장",'🔖 배합비 참조'!$A$2:$A$83,0),MATCH($C50,'🔖 배합비 참조'!$B$1:$CE$1,0))/100,0),""))),"")</f>
        <v>0</v>
      </c>
      <c r="H50" s="42" t="n">
        <f aca="false">IFERROR(IF($C50="","",IF($D50="","",IFERROR(ROUND($D50*INDEX('🔖 배합비 참조'!$B$2:$CE$83,MATCH("강낭콩((울타리콩))",'🔖 배합비 참조'!$A$2:$A$83,0),MATCH($C50,'🔖 배합비 참조'!$B$1:$CE$1,0))/100,0),""))),"")</f>
        <v>0</v>
      </c>
      <c r="I50" s="42" t="n">
        <f aca="false">IFERROR(IF($C50="","",IF($D50="","",IFERROR(ROUND($D50*INDEX('🔖 배합비 참조'!$B$2:$CE$83,MATCH("건조딸기다이스(외국산)",'🔖 배합비 참조'!$A$2:$A$83,0),MATCH($C50,'🔖 배합비 참조'!$B$1:$CE$1,0))/100,0),""))),"")</f>
        <v>0</v>
      </c>
      <c r="J50" s="42" t="n">
        <f aca="false">IFERROR(IF($C50="","",IF($D50="","",IFERROR(ROUND($D50*INDEX('🔖 배합비 참조'!$B$2:$CE$83,MATCH("건포도",'🔖 배합비 참조'!$A$2:$A$83,0),MATCH($C50,'🔖 배합비 참조'!$B$1:$CE$1,0))/100,0),""))),"")</f>
        <v>0</v>
      </c>
      <c r="K50" s="42" t="n">
        <f aca="false">IFERROR(IF($C50="","",IF($D50="","",IFERROR(ROUND($D50*INDEX('🔖 배합비 참조'!$B$2:$CE$83,MATCH("건호박채(중국산)",'🔖 배합비 참조'!$A$2:$A$83,0),MATCH($C50,'🔖 배합비 참조'!$B$1:$CE$1,0))/100,0),""))),"")</f>
        <v>0</v>
      </c>
      <c r="L50" s="42" t="n">
        <f aca="false">IFERROR(IF($C50="","",IF($D50="","",IFERROR(ROUND($D50*INDEX('🔖 배합비 참조'!$B$2:$CE$83,MATCH("검정깨(흑임자)",'🔖 배합비 참조'!$A$2:$A$83,0),MATCH($C50,'🔖 배합비 참조'!$B$1:$CE$1,0))/100,0),""))),"")</f>
        <v>0</v>
      </c>
      <c r="M50" s="42" t="n">
        <f aca="false">IFERROR(IF($C50="","",IF($D50="","",IFERROR(ROUND($D50*INDEX('🔖 배합비 참조'!$B$2:$CE$83,MATCH("검정콩",'🔖 배합비 참조'!$A$2:$A$83,0),MATCH($C50,'🔖 배합비 참조'!$B$1:$CE$1,0))/100,0),""))),"")</f>
        <v>0</v>
      </c>
      <c r="N50" s="42" t="n">
        <f aca="false">IFERROR(IF($C50="","",IF($D50="","",IFERROR(ROUND($D50*INDEX('🔖 배합비 참조'!$B$2:$CE$83,MATCH("계피가루",'🔖 배합비 참조'!$A$2:$A$83,0),MATCH($C50,'🔖 배합비 참조'!$B$1:$CE$1,0))/100,0),""))),"")</f>
        <v>0</v>
      </c>
      <c r="O50" s="42" t="n">
        <f aca="false">IFERROR(IF($C50="","",IF($D50="","",IFERROR(ROUND($D50*INDEX('🔖 배합비 참조'!$B$2:$CE$83,MATCH("고구마가루",'🔖 배합비 참조'!$A$2:$A$83,0),MATCH($C50,'🔖 배합비 참조'!$B$1:$CE$1,0))/100,0),""))),"")</f>
        <v>0</v>
      </c>
      <c r="P50" s="42" t="n">
        <f aca="false">IFERROR(IF($C50="","",IF($D50="","",IFERROR(ROUND($D50*INDEX('🔖 배합비 참조'!$B$2:$CE$83,MATCH("고구마무스",'🔖 배합비 참조'!$A$2:$A$83,0),MATCH($C50,'🔖 배합비 참조'!$B$1:$CE$1,0))/100,0),""))),"")</f>
        <v>0</v>
      </c>
      <c r="Q50" s="42" t="n">
        <f aca="false">IFERROR(IF($C50="","",IF($D50="","",IFERROR(ROUND($D50*INDEX('🔖 배합비 참조'!$B$2:$CE$83,MATCH("고려엉겅퀴((곤드레)국내산)",'🔖 배합비 참조'!$A$2:$A$83,0),MATCH($C50,'🔖 배합비 참조'!$B$1:$CE$1,0))/100,0),""))),"")</f>
        <v>0</v>
      </c>
      <c r="R50" s="42" t="n">
        <f aca="false">IFERROR(IF($C50="","",IF($D50="","",IFERROR(ROUND($D50*INDEX('🔖 배합비 참조'!$B$2:$CE$83,MATCH("기타가공품(복분자가루)",'🔖 배합비 참조'!$A$2:$A$83,0),MATCH($C50,'🔖 배합비 참조'!$B$1:$CE$1,0))/100,0),""))),"")</f>
        <v>0</v>
      </c>
      <c r="S50" s="42" t="n">
        <f aca="false">IFERROR(IF($C50="","",IF($D50="","",IFERROR(ROUND($D50*INDEX('🔖 배합비 참조'!$B$2:$CE$83,MATCH("기타가공품(슈퍼소프트엠)",'🔖 배합비 참조'!$A$2:$A$83,0),MATCH($C50,'🔖 배합비 참조'!$B$1:$CE$1,0))/100,0),""))),"")</f>
        <v>0</v>
      </c>
      <c r="T50" s="42" t="n">
        <f aca="false">IFERROR(IF($C50="","",IF($D50="","",IFERROR(ROUND($D50*INDEX('🔖 배합비 참조'!$B$2:$CE$83,MATCH("기타가공품(파인소프트 E-티)",'🔖 배합비 참조'!$A$2:$A$83,0),MATCH($C50,'🔖 배합비 참조'!$B$1:$CE$1,0))/100,0),""))),"")</f>
        <v>0</v>
      </c>
      <c r="U50" s="42" t="n">
        <f aca="false">IFERROR(IF($C50="","",IF($D50="","",IFERROR(ROUND($D50*INDEX('🔖 배합비 참조'!$B$2:$CE$83,MATCH("기타가공품(프리미엄카스테라가루)",'🔖 배합비 참조'!$A$2:$A$83,0),MATCH($C50,'🔖 배합비 참조'!$B$1:$CE$1,0))/100,0),""))),"")</f>
        <v>0</v>
      </c>
      <c r="V50" s="42" t="n">
        <f aca="false">IFERROR(IF($C50="","",IF($D50="","",IFERROR(ROUND($D50*INDEX('🔖 배합비 참조'!$B$2:$CE$83,MATCH("기타가공품(흑임자가루)",'🔖 배합비 참조'!$A$2:$A$83,0),MATCH($C50,'🔖 배합비 참조'!$B$1:$CE$1,0))/100,0),""))),"")</f>
        <v>0</v>
      </c>
      <c r="W50" s="42" t="n">
        <f aca="false">IFERROR(IF($C50="","",IF($D50="","",IFERROR(ROUND($D50*INDEX('🔖 배합비 참조'!$B$2:$CE$83,MATCH("기타설탕(흑설탕)",'🔖 배합비 참조'!$A$2:$A$83,0),MATCH($C50,'🔖 배합비 참조'!$B$1:$CE$1,0))/100,0),""))),"")</f>
        <v>0</v>
      </c>
      <c r="X50" s="42" t="n">
        <f aca="false">IFERROR(IF($C50="","",IF($D50="","",IFERROR(ROUND($D50*INDEX('🔖 배합비 참조'!$B$2:$CE$83,MATCH("냉동쑥(국내산)",'🔖 배합비 참조'!$A$2:$A$83,0),MATCH($C50,'🔖 배합비 참조'!$B$1:$CE$1,0))/100,0),""))),"")</f>
        <v>3</v>
      </c>
      <c r="Y50" s="42" t="n">
        <f aca="false">IFERROR(IF($C50="","",IF($D50="","",IFERROR(ROUND($D50*INDEX('🔖 배합비 참조'!$B$2:$CE$83,MATCH("냉동증숙고구마(중국산)",'🔖 배합비 참조'!$A$2:$A$83,0),MATCH($C50,'🔖 배합비 참조'!$B$1:$CE$1,0))/100,0),""))),"")</f>
        <v>0</v>
      </c>
      <c r="Z50" s="42" t="n">
        <f aca="false">IFERROR(IF($C50="","",IF($D50="","",IFERROR(ROUND($D50*INDEX('🔖 배합비 참조'!$B$2:$CE$83,MATCH("녹차가루",'🔖 배합비 참조'!$A$2:$A$83,0),MATCH($C50,'🔖 배합비 참조'!$B$1:$CE$1,0))/100,0),""))),"")</f>
        <v>0</v>
      </c>
      <c r="AA50" s="42" t="n">
        <f aca="false">IFERROR(IF($C50="","",IF($D50="","",IFERROR(ROUND($D50*INDEX('🔖 배합비 참조'!$B$2:$CE$83,MATCH("다크초콜릿 컴파운드칩",'🔖 배합비 참조'!$A$2:$A$83,0),MATCH($C50,'🔖 배합비 참조'!$B$1:$CE$1,0))/100,0),""))),"")</f>
        <v>0</v>
      </c>
      <c r="AB50" s="42" t="n">
        <f aca="false">IFERROR(IF($C50="","",IF($D50="","",IFERROR(ROUND($D50*INDEX('🔖 배합비 참조'!$B$2:$CE$83,MATCH("단호박분말(중국산)",'🔖 배합비 참조'!$A$2:$A$83,0),MATCH($C50,'🔖 배합비 참조'!$B$1:$CE$1,0))/100,0),""))),"")</f>
        <v>0</v>
      </c>
      <c r="AC50" s="42" t="n">
        <f aca="false">IFERROR(IF($C50="","",IF($D50="","",IFERROR(ROUND($D50*INDEX('🔖 배합비 참조'!$B$2:$CE$83,MATCH("당류가공품(단호박농축액)",'🔖 배합비 참조'!$A$2:$A$83,0),MATCH($C50,'🔖 배합비 참조'!$B$1:$CE$1,0))/100,0),""))),"")</f>
        <v>0</v>
      </c>
      <c r="AD50" s="42" t="n">
        <f aca="false">IFERROR(IF($C50="","",IF($D50="","",IFERROR(ROUND($D50*INDEX('🔖 배합비 참조'!$B$2:$CE$83,MATCH("당류가공품(알룰로스,에리스리톨,스테비올배당체혼합)",'🔖 배합비 참조'!$A$2:$A$83,0),MATCH($C50,'🔖 배합비 참조'!$B$1:$CE$1,0))/100,0),""))),"")</f>
        <v>0</v>
      </c>
      <c r="AE50" s="42" t="n">
        <f aca="false">IFERROR(IF($C50="","",IF($D50="","",IFERROR(ROUND($D50*INDEX('🔖 배합비 참조'!$B$2:$CE$83,MATCH("당류가공품(알룰로스제로파우더)",'🔖 배합비 참조'!$A$2:$A$83,0),MATCH($C50,'🔖 배합비 참조'!$B$1:$CE$1,0))/100,0),""))),"")</f>
        <v>0</v>
      </c>
      <c r="AF50" s="42" t="n">
        <f aca="false">IFERROR(IF($C50="","",IF($D50="","",IFERROR(ROUND($D50*INDEX('🔖 배합비 참조'!$B$2:$CE$83,MATCH("당절임(완두배기)",'🔖 배합비 참조'!$A$2:$A$83,0),MATCH($C50,'🔖 배합비 참조'!$B$1:$CE$1,0))/100,0),""))),"")</f>
        <v>0</v>
      </c>
      <c r="AG50" s="42" t="n">
        <f aca="false">IFERROR(IF($C50="","",IF($D50="","",IFERROR(ROUND($D50*INDEX('🔖 배합비 참조'!$B$2:$CE$83,MATCH("대추농축액",'🔖 배합비 참조'!$A$2:$A$83,0),MATCH($C50,'🔖 배합비 참조'!$B$1:$CE$1,0))/100,0),""))),"")</f>
        <v>0</v>
      </c>
      <c r="AH50" s="42" t="n">
        <f aca="false">IFERROR(IF($C50="","",IF($D50="","",IFERROR(ROUND($D50*INDEX('🔖 배합비 참조'!$B$2:$CE$83,MATCH("대추채(국내산)",'🔖 배합비 참조'!$A$2:$A$83,0),MATCH($C50,'🔖 배합비 참조'!$B$1:$CE$1,0))/100,0),""))),"")</f>
        <v>0</v>
      </c>
      <c r="AI50" s="42" t="n">
        <f aca="false">IFERROR(IF($C50="","",IF($D50="","",IFERROR(ROUND($D50*INDEX('🔖 배합비 참조'!$B$2:$CE$83,MATCH("동부(미얀마산)",'🔖 배합비 참조'!$A$2:$A$83,0),MATCH($C50,'🔖 배합비 참조'!$B$1:$CE$1,0))/100,0),""))),"")</f>
        <v>17</v>
      </c>
      <c r="AJ50" s="42" t="n">
        <f aca="false">IFERROR(IF($C50="","",IF($D50="","",IFERROR(ROUND($D50*INDEX('🔖 배합비 참조'!$B$2:$CE$83,MATCH("두류가공품(백옥앙금)",'🔖 배합비 참조'!$A$2:$A$83,0),MATCH($C50,'🔖 배합비 참조'!$B$1:$CE$1,0))/100,0),""))),"")</f>
        <v>0</v>
      </c>
      <c r="AK50" s="42" t="n">
        <f aca="false">IFERROR(IF($C50="","",IF($D50="","",IFERROR(ROUND($D50*INDEX('🔖 배합비 참조'!$B$2:$CE$83,MATCH("두류가공품(콩고물)",'🔖 배합비 참조'!$A$2:$A$83,0),MATCH($C50,'🔖 배합비 참조'!$B$1:$CE$1,0))/100,0),""))),"")</f>
        <v>4</v>
      </c>
      <c r="AL50" s="42" t="n">
        <f aca="false">IFERROR(IF($C50="","",IF($D50="","",IFERROR(ROUND($D50*INDEX('🔖 배합비 참조'!$B$2:$CE$83,MATCH("두류가공품(통팥고물)",'🔖 배합비 참조'!$A$2:$A$83,0),MATCH($C50,'🔖 배합비 참조'!$B$1:$CE$1,0))/100,0),""))),"")</f>
        <v>0</v>
      </c>
      <c r="AM50" s="42" t="n">
        <f aca="false">IFERROR(IF($C50="","",IF($D50="","",IFERROR(ROUND($D50*INDEX('🔖 배합비 참조'!$B$2:$CE$83,MATCH("딸기레진",'🔖 배합비 참조'!$A$2:$A$83,0),MATCH($C50,'🔖 배합비 참조'!$B$1:$CE$1,0))/100,0),""))),"")</f>
        <v>0</v>
      </c>
      <c r="AN50" s="42" t="n">
        <f aca="false">IFERROR(IF($C50="","",IF($D50="","",IFERROR(ROUND($D50*INDEX('🔖 배합비 참조'!$B$2:$CE$83,MATCH("딸기분말(스트로우베리에이드(분말))",'🔖 배합비 참조'!$A$2:$A$83,0),MATCH($C50,'🔖 배합비 참조'!$B$1:$CE$1,0))/100,0),""))),"")</f>
        <v>0</v>
      </c>
      <c r="AO50" s="42" t="n">
        <f aca="false">IFERROR(IF($C50="","",IF($D50="","",IFERROR(ROUND($D50*INDEX('🔖 배합비 참조'!$B$2:$CE$83,MATCH("마스카포네치즈",'🔖 배합비 참조'!$A$2:$A$83,0),MATCH($C50,'🔖 배합비 참조'!$B$1:$CE$1,0))/100,0),""))),"")</f>
        <v>0</v>
      </c>
      <c r="AP50" s="42" t="n">
        <f aca="false">IFERROR(IF($C50="","",IF($D50="","",IFERROR(ROUND($D50*INDEX('🔖 배합비 참조'!$B$2:$CE$83,MATCH("마카다미아분태(호주산)",'🔖 배합비 참조'!$A$2:$A$83,0),MATCH($C50,'🔖 배합비 참조'!$B$1:$CE$1,0))/100,0),""))),"")</f>
        <v>0</v>
      </c>
      <c r="AQ50" s="42" t="n">
        <f aca="false">IFERROR(IF($C50="","",IF($D50="","",IFERROR(ROUND($D50*INDEX('🔖 배합비 참조'!$B$2:$CE$83,MATCH("멥쌀(국내산)",'🔖 배합비 참조'!$A$2:$A$83,0),MATCH($C50,'🔖 배합비 참조'!$B$1:$CE$1,0))/100,0),""))),"")</f>
        <v>0</v>
      </c>
      <c r="AR50" s="42" t="n">
        <f aca="false">IFERROR(IF($C50="","",IF($D50="","",IFERROR(ROUND($D50*INDEX('🔖 배합비 참조'!$B$2:$CE$83,MATCH("모시잎(국내산)",'🔖 배합비 참조'!$A$2:$A$83,0),MATCH($C50,'🔖 배합비 참조'!$B$1:$CE$1,0))/100,0),""))),"")</f>
        <v>0</v>
      </c>
      <c r="AS50" s="42" t="n">
        <f aca="false">IFERROR(IF($C50="","",IF($D50="","",IFERROR(ROUND($D50*INDEX('🔖 배합비 참조'!$B$2:$CE$83,MATCH("물엿(저당물엿)",'🔖 배합비 참조'!$A$2:$A$83,0),MATCH($C50,'🔖 배합비 참조'!$B$1:$CE$1,0))/100,0),""))),"")</f>
        <v>3</v>
      </c>
      <c r="AT50" s="42" t="n">
        <f aca="false">IFERROR(IF($C50="","",IF($D50="","",IFERROR(ROUND($D50*INDEX('🔖 배합비 참조'!$B$2:$CE$83,MATCH("밤다이스",'🔖 배합비 참조'!$A$2:$A$83,0),MATCH($C50,'🔖 배합비 참조'!$B$1:$CE$1,0))/100,0),""))),"")</f>
        <v>0</v>
      </c>
      <c r="AU50" s="42" t="n">
        <f aca="false">IFERROR(IF($C50="","",IF($D50="","",IFERROR(ROUND($D50*INDEX('🔖 배합비 참조'!$B$2:$CE$83,MATCH("변성전분(타피오카전분)",'🔖 배합비 참조'!$A$2:$A$83,0),MATCH($C50,'🔖 배합비 참조'!$B$1:$CE$1,0))/100,0),""))),"")</f>
        <v>0</v>
      </c>
      <c r="AV50" s="42" t="n">
        <f aca="false">IFERROR(IF($C50="","",IF($D50="","",IFERROR(ROUND($D50*INDEX('🔖 배합비 참조'!$B$2:$CE$83,MATCH("복음땅콩분태",'🔖 배합비 참조'!$A$2:$A$83,0),MATCH($C50,'🔖 배합비 참조'!$B$1:$CE$1,0))/100,0),""))),"")</f>
        <v>0</v>
      </c>
      <c r="AW50" s="42" t="n">
        <f aca="false">IFERROR(IF($C50="","",IF($D50="","",IFERROR(ROUND($D50*INDEX('🔖 배합비 참조'!$B$2:$CE$83,MATCH("사양벌꿀(국내산)",'🔖 배합비 참조'!$A$2:$A$83,0),MATCH($C50,'🔖 배합비 참조'!$B$1:$CE$1,0))/100,0),""))),"")</f>
        <v>0</v>
      </c>
      <c r="AX50" s="42" t="n">
        <f aca="false">IFERROR(IF($C50="","",IF($D50="","",IFERROR(ROUND($D50*INDEX('🔖 배합비 참조'!$B$2:$CE$83,MATCH("생크림",'🔖 배합비 참조'!$A$2:$A$83,0),MATCH($C50,'🔖 배합비 참조'!$B$1:$CE$1,0))/100,0),""))),"")</f>
        <v>0</v>
      </c>
      <c r="AY50" s="42" t="n">
        <f aca="false">IFERROR(IF($C50="","",IF($D50="","",IFERROR(ROUND($D50*INDEX('🔖 배합비 참조'!$B$2:$CE$83,MATCH("서양호박(국내산,뉴질랜드산)",'🔖 배합비 참조'!$A$2:$A$83,0),MATCH($C50,'🔖 배합비 참조'!$B$1:$CE$1,0))/100,0),""))),"")</f>
        <v>0</v>
      </c>
      <c r="AZ50" s="42" t="n">
        <f aca="false">IFERROR(IF($C50="","",IF($D50="","",IFERROR(ROUND($D50*INDEX('🔖 배합비 참조'!$B$2:$CE$83,MATCH("설탕",'🔖 배합비 참조'!$A$2:$A$83,0),MATCH($C50,'🔖 배합비 참조'!$B$1:$CE$1,0))/100,0),""))),"")</f>
        <v>3</v>
      </c>
      <c r="BA50" s="42" t="n">
        <f aca="false">IFERROR(IF($C50="","",IF($D50="","",IFERROR(ROUND($D50*INDEX('🔖 배합비 참조'!$B$2:$CE$83,MATCH("스트로우베리 에이드 후레쉬",'🔖 배합비 참조'!$A$2:$A$83,0),MATCH($C50,'🔖 배합비 참조'!$B$1:$CE$1,0))/100,0),""))),"")</f>
        <v>0</v>
      </c>
      <c r="BB50" s="42" t="n">
        <f aca="false">IFERROR(IF($C50="","",IF($D50="","",IFERROR(ROUND($D50*INDEX('🔖 배합비 참조'!$B$2:$CE$83,MATCH("식물성기름혼합제제(분홍)",'🔖 배합비 참조'!$A$2:$A$83,0),MATCH($C50,'🔖 배합비 참조'!$B$1:$CE$1,0))/100,0),""))),"")</f>
        <v>0</v>
      </c>
      <c r="BC50" s="42" t="n">
        <f aca="false">IFERROR(IF($C50="","",IF($D50="","",IFERROR(ROUND($D50*INDEX('🔖 배합비 참조'!$B$2:$CE$83,MATCH("식물성기름혼합제제(초록)",'🔖 배합비 참조'!$A$2:$A$83,0),MATCH($C50,'🔖 배합비 참조'!$B$1:$CE$1,0))/100,0),""))),"")</f>
        <v>0</v>
      </c>
      <c r="BD50" s="42" t="n">
        <f aca="false">IFERROR(IF($C50="","",IF($D50="","",IFERROR(ROUND($D50*INDEX('🔖 배합비 참조'!$B$2:$CE$83,MATCH("식물성기름혼합제제(황색)",'🔖 배합비 참조'!$A$2:$A$83,0),MATCH($C50,'🔖 배합비 참조'!$B$1:$CE$1,0))/100,0),""))),"")</f>
        <v>0</v>
      </c>
      <c r="BE50" s="42" t="n">
        <f aca="false">IFERROR(IF($C50="","",IF($D50="","",IFERROR(ROUND($D50*INDEX('🔖 배합비 참조'!$B$2:$CE$83,MATCH("쑥가루(국내산)",'🔖 배합비 참조'!$A$2:$A$83,0),MATCH($C50,'🔖 배합비 참조'!$B$1:$CE$1,0))/100,0),""))),"")</f>
        <v>1</v>
      </c>
      <c r="BF50" s="42" t="n">
        <f aca="false">IFERROR(IF($C50="","",IF($D50="","",IFERROR(ROUND($D50*INDEX('🔖 배합비 참조'!$B$2:$CE$83,MATCH("아몬드슬라이스",'🔖 배합비 참조'!$A$2:$A$83,0),MATCH($C50,'🔖 배합비 참조'!$B$1:$CE$1,0))/100,0),""))),"")</f>
        <v>0</v>
      </c>
      <c r="BG50" s="42" t="n">
        <f aca="false">IFERROR(IF($C50="","",IF($D50="","",IFERROR(ROUND($D50*INDEX('🔖 배합비 참조'!$B$2:$CE$83,MATCH("알룰로오스(국내산)",'🔖 배합비 참조'!$A$2:$A$83,0),MATCH($C50,'🔖 배합비 참조'!$B$1:$CE$1,0))/100,0),""))),"")</f>
        <v>0</v>
      </c>
      <c r="BH50" s="42" t="n">
        <f aca="false">IFERROR(IF($C50="","",IF($D50="","",IFERROR(ROUND($D50*INDEX('🔖 배합비 참조'!$B$2:$CE$83,MATCH("연유",'🔖 배합비 참조'!$A$2:$A$83,0),MATCH($C50,'🔖 배합비 참조'!$B$1:$CE$1,0))/100,0),""))),"")</f>
        <v>0</v>
      </c>
      <c r="BI50" s="42" t="n">
        <f aca="false">IFERROR(IF($C50="","",IF($D50="","",IFERROR(ROUND($D50*INDEX('🔖 배합비 참조'!$B$2:$CE$83,MATCH("옥수수전분",'🔖 배합비 참조'!$A$2:$A$83,0),MATCH($C50,'🔖 배합비 참조'!$B$1:$CE$1,0))/100,0),""))),"")</f>
        <v>0</v>
      </c>
      <c r="BJ50" s="42" t="n">
        <f aca="false">IFERROR(IF($C50="","",IF($D50="","",IFERROR(ROUND($D50*INDEX('🔖 배합비 참조'!$B$2:$CE$83,MATCH("완두배기",'🔖 배합비 참조'!$A$2:$A$83,0),MATCH($C50,'🔖 배합비 참조'!$B$1:$CE$1,0))/100,0),""))),"")</f>
        <v>0</v>
      </c>
      <c r="BK50" s="42" t="n">
        <f aca="false">IFERROR(IF($C50="","",IF($D50="","",IFERROR(ROUND($D50*INDEX('🔖 배합비 참조'!$B$2:$CE$83,MATCH("우유(국내산)",'🔖 배합비 참조'!$A$2:$A$83,0),MATCH($C50,'🔖 배합비 참조'!$B$1:$CE$1,0))/100,0),""))),"")</f>
        <v>0</v>
      </c>
      <c r="BL50" s="42" t="n">
        <f aca="false">IFERROR(IF($C50="","",IF($D50="","",IFERROR(ROUND($D50*INDEX('🔖 배합비 참조'!$B$2:$CE$83,MATCH("자색고구마가루(중국산)",'🔖 배합비 참조'!$A$2:$A$83,0),MATCH($C50,'🔖 배합비 참조'!$B$1:$CE$1,0))/100,0),""))),"")</f>
        <v>0</v>
      </c>
      <c r="BM50" s="42" t="n">
        <f aca="false">IFERROR(IF($C50="","",IF($D50="","",IFERROR(ROUND($D50*INDEX('🔖 배합비 참조'!$B$2:$CE$83,MATCH("자연치즈(체다치즈)",'🔖 배합비 참조'!$A$2:$A$83,0),MATCH($C50,'🔖 배합비 참조'!$B$1:$CE$1,0))/100,0),""))),"")</f>
        <v>0</v>
      </c>
      <c r="BN50" s="42" t="n">
        <f aca="false">IFERROR(IF($C50="","",IF($D50="","",IFERROR(ROUND($D50*INDEX('🔖 배합비 참조'!$B$2:$CE$83,MATCH("정제수",'🔖 배합비 참조'!$A$2:$A$83,0),MATCH($C50,'🔖 배합비 참조'!$B$1:$CE$1,0))/100,0),""))),"")</f>
        <v>16</v>
      </c>
      <c r="BO50" s="42" t="n">
        <f aca="false">IFERROR(IF($C50="","",IF($D50="","",IFERROR(ROUND($D50*INDEX('🔖 배합비 참조'!$B$2:$CE$83,MATCH("젤라틴",'🔖 배합비 참조'!$A$2:$A$83,0),MATCH($C50,'🔖 배합비 참조'!$B$1:$CE$1,0))/100,0),""))),"")</f>
        <v>0</v>
      </c>
      <c r="BP50" s="42" t="n">
        <f aca="false">IFERROR(IF($C50="","",IF($D50="","",IFERROR(ROUND($D50*INDEX('🔖 배합비 참조'!$B$2:$CE$83,MATCH("조림류(백옥앙금)",'🔖 배합비 참조'!$A$2:$A$83,0),MATCH($C50,'🔖 배합비 참조'!$B$1:$CE$1,0))/100,0),""))),"")</f>
        <v>35</v>
      </c>
      <c r="BQ50" s="42" t="n">
        <f aca="false">IFERROR(IF($C50="","",IF($D50="","",IFERROR(ROUND($D50*INDEX('🔖 배합비 참조'!$B$2:$CE$83,MATCH("조림류(통팥앙금)",'🔖 배합비 참조'!$A$2:$A$83,0),MATCH($C50,'🔖 배합비 참조'!$B$1:$CE$1,0))/100,0),""))),"")</f>
        <v>0</v>
      </c>
      <c r="BR50" s="42" t="n">
        <f aca="false">IFERROR(IF($C50="","",IF($D50="","",IFERROR(ROUND($D50*INDEX('🔖 배합비 참조'!$B$2:$CE$83,MATCH("준초콜릿(외국산)",'🔖 배합비 참조'!$A$2:$A$83,0),MATCH($C50,'🔖 배합비 참조'!$B$1:$CE$1,0))/100,0),""))),"")</f>
        <v>0</v>
      </c>
      <c r="BS50" s="42" t="n">
        <f aca="false">IFERROR(IF($C50="","",IF($D50="","",IFERROR(ROUND($D50*INDEX('🔖 배합비 참조'!$B$2:$CE$83,MATCH("중력분",'🔖 배합비 참조'!$A$2:$A$83,0),MATCH($C50,'🔖 배합비 참조'!$B$1:$CE$1,0))/100,0),""))),"")</f>
        <v>1</v>
      </c>
      <c r="BT50" s="42" t="n">
        <f aca="false">IFERROR(IF($C50="","",IF($D50="","",IFERROR(ROUND($D50*INDEX('🔖 배합비 참조'!$B$2:$CE$83,MATCH("참깨(인도산,나이지리아산,탄자니아산,미얀마산)",'🔖 배합비 참조'!$A$2:$A$83,0),MATCH($C50,'🔖 배합비 참조'!$B$1:$CE$1,0))/100,0),""))),"")</f>
        <v>0</v>
      </c>
      <c r="BU50" s="42" t="n">
        <f aca="false">IFERROR(IF($C50="","",IF($D50="","",IFERROR(ROUND($D50*INDEX('🔖 배합비 참조'!$B$2:$CE$83,MATCH("찹쌀(국내산)",'🔖 배합비 참조'!$A$2:$A$83,0),MATCH($C50,'🔖 배합비 참조'!$B$1:$CE$1,0))/100,0),""))),"")</f>
        <v>55</v>
      </c>
      <c r="BV50" s="42" t="n">
        <f aca="false">IFERROR(IF($C50="","",IF($D50="","",IFERROR(ROUND($D50*INDEX('🔖 배합비 참조'!$B$2:$CE$83,MATCH("천일염",'🔖 배합비 참조'!$A$2:$A$83,0),MATCH($C50,'🔖 배합비 참조'!$B$1:$CE$1,0))/100,0),""))),"")</f>
        <v>1</v>
      </c>
      <c r="BW50" s="42" t="n">
        <f aca="false">IFERROR(IF($C50="","",IF($D50="","",IFERROR(ROUND($D50*INDEX('🔖 배합비 참조'!$B$2:$CE$83,MATCH("치즈 [크림치즈]",'🔖 배합비 참조'!$A$2:$A$83,0),MATCH($C50,'🔖 배합비 참조'!$B$1:$CE$1,0))/100,0),""))),"")</f>
        <v>0</v>
      </c>
      <c r="BX50" s="42" t="n">
        <f aca="false">IFERROR(IF($C50="","",IF($D50="","",IFERROR(ROUND($D50*INDEX('🔖 배합비 참조'!$B$2:$CE$83,MATCH("코코아가공품류(코코아분말)",'🔖 배합비 참조'!$A$2:$A$83,0),MATCH($C50,'🔖 배합비 참조'!$B$1:$CE$1,0))/100,0),""))),"")</f>
        <v>0</v>
      </c>
      <c r="BY50" s="42" t="n">
        <f aca="false">IFERROR(IF($C50="","",IF($D50="","",IFERROR(ROUND($D50*INDEX('🔖 배합비 참조'!$B$2:$CE$83,MATCH("콩기름(대두유)",'🔖 배합비 참조'!$A$2:$A$83,0),MATCH($C50,'🔖 배합비 참조'!$B$1:$CE$1,0))/100,0),""))),"")</f>
        <v>0</v>
      </c>
      <c r="BZ50" s="42" t="n">
        <f aca="false">IFERROR(IF($C50="","",IF($D50="","",IFERROR(ROUND($D50*INDEX('🔖 배합비 참조'!$B$2:$CE$83,MATCH("해바라기씨앗",'🔖 배합비 참조'!$A$2:$A$83,0),MATCH($C50,'🔖 배합비 참조'!$B$1:$CE$1,0))/100,0),""))),"")</f>
        <v>0</v>
      </c>
      <c r="CA50" s="42" t="n">
        <f aca="false">IFERROR(IF($C50="","",IF($D50="","",IFERROR(ROUND($D50*INDEX('🔖 배합비 참조'!$B$2:$CE$83,MATCH("현미(국내산)",'🔖 배합비 참조'!$A$2:$A$83,0),MATCH($C50,'🔖 배합비 참조'!$B$1:$CE$1,0))/100,0),""))),"")</f>
        <v>0</v>
      </c>
      <c r="CB50" s="42" t="n">
        <f aca="false">IFERROR(IF($C50="","",IF($D50="","",IFERROR(ROUND($D50*INDEX('🔖 배합비 참조'!$B$2:$CE$83,MATCH("현미멥쌀(국내산)",'🔖 배합비 참조'!$A$2:$A$83,0),MATCH($C50,'🔖 배합비 참조'!$B$1:$CE$1,0))/100,0),""))),"")</f>
        <v>0</v>
      </c>
      <c r="CC50" s="42" t="n">
        <f aca="false">IFERROR(IF($C50="","",IF($D50="","",IFERROR(ROUND($D50*INDEX('🔖 배합비 참조'!$B$2:$CE$83,MATCH("호두분태(미국산)",'🔖 배합비 참조'!$A$2:$A$83,0),MATCH($C50,'🔖 배합비 참조'!$B$1:$CE$1,0))/100,0),""))),"")</f>
        <v>0</v>
      </c>
      <c r="CD50" s="42" t="n">
        <f aca="false">IFERROR(IF($C50="","",IF($D50="","",IFERROR(ROUND($D50*INDEX('🔖 배합비 참조'!$B$2:$CE$83,MATCH("호박씨앗(외국산)",'🔖 배합비 참조'!$A$2:$A$83,0),MATCH($C50,'🔖 배합비 참조'!$B$1:$CE$1,0))/100,0),""))),"")</f>
        <v>0</v>
      </c>
      <c r="CE50" s="42" t="n">
        <f aca="false">IFERROR(IF($C50="","",IF($D50="","",IFERROR(ROUND($D50*INDEX('🔖 배합비 참조'!$B$2:$CE$83,MATCH("혼합제제(떡용에스텔)",'🔖 배합비 참조'!$A$2:$A$83,0),MATCH($C50,'🔖 배합비 참조'!$B$1:$CE$1,0))/100,0),""))),"")</f>
        <v>0</v>
      </c>
      <c r="CF50" s="42" t="n">
        <f aca="false">IFERROR(IF($C50="","",IF($D50="","",IFERROR(ROUND($D50*INDEX('🔖 배합비 참조'!$B$2:$CE$83,MATCH("혼합제제(스테비아)",'🔖 배합비 참조'!$A$2:$A$83,0),MATCH($C50,'🔖 배합비 참조'!$B$1:$CE$1,0))/100,0),""))),"")</f>
        <v>0</v>
      </c>
      <c r="CG50" s="42" t="n">
        <f aca="false">IFERROR(IF($C50="","",IF($D50="","",IFERROR(ROUND($D50*INDEX('🔖 배합비 참조'!$B$2:$CE$83,MATCH("화이트초콜릿",'🔖 배합비 참조'!$A$2:$A$83,0),MATCH($C50,'🔖 배합비 참조'!$B$1:$CE$1,0))/100,0),""))),"")</f>
        <v>0</v>
      </c>
      <c r="CH50" s="42" t="n">
        <f aca="false">IFERROR(IF($C50="","",IF($D50="","",IFERROR(ROUND($D50*INDEX('🔖 배합비 참조'!$B$2:$CE$83,MATCH("흑미찹쌀(국내산)",'🔖 배합비 참조'!$A$2:$A$83,0),MATCH($C50,'🔖 배합비 참조'!$B$1:$CE$1,0))/100,0),""))),"")</f>
        <v>0</v>
      </c>
      <c r="CI50" s="42" t="n">
        <f aca="false">IFERROR(IF($C50="","",IF($D50="","",IFERROR(ROUND($D50*INDEX('🔖 배합비 참조'!$B$2:$CE$83,MATCH("찰옥수수전분(미국산)",'🔖 배합비 참조'!$A$2:$A$83,0),MATCH($C50,'🔖 배합비 참조'!$B$1:$CE$1,0))/100,0),""))),"")</f>
        <v>0</v>
      </c>
      <c r="CJ50" s="40"/>
      <c r="CL50" s="1" t="s">
        <v>238</v>
      </c>
    </row>
    <row r="51" customFormat="false" ht="18" hidden="false" customHeight="true" outlineLevel="0" collapsed="false">
      <c r="A51" s="35" t="n">
        <v>47</v>
      </c>
      <c r="B51" s="36" t="n">
        <v>45966</v>
      </c>
      <c r="C51" s="37" t="s">
        <v>143</v>
      </c>
      <c r="D51" s="38" t="n">
        <v>175</v>
      </c>
      <c r="E51" s="13"/>
      <c r="F51" s="13"/>
      <c r="G51" s="39" t="n">
        <f aca="false">IFERROR(IF($C51="","",IF($D51="","",IFERROR(ROUND($D51*INDEX('🔖 배합비 참조'!$B$2:$CE$83,MATCH("간장",'🔖 배합비 참조'!$A$2:$A$83,0),MATCH($C51,'🔖 배합비 참조'!$B$1:$CE$1,0))/100,0),""))),"")</f>
        <v>0</v>
      </c>
      <c r="H51" s="39" t="n">
        <f aca="false">IFERROR(IF($C51="","",IF($D51="","",IFERROR(ROUND($D51*INDEX('🔖 배합비 참조'!$B$2:$CE$83,MATCH("강낭콩((울타리콩))",'🔖 배합비 참조'!$A$2:$A$83,0),MATCH($C51,'🔖 배합비 참조'!$B$1:$CE$1,0))/100,0),""))),"")</f>
        <v>0</v>
      </c>
      <c r="I51" s="39" t="n">
        <f aca="false">IFERROR(IF($C51="","",IF($D51="","",IFERROR(ROUND($D51*INDEX('🔖 배합비 참조'!$B$2:$CE$83,MATCH("건조딸기다이스(외국산)",'🔖 배합비 참조'!$A$2:$A$83,0),MATCH($C51,'🔖 배합비 참조'!$B$1:$CE$1,0))/100,0),""))),"")</f>
        <v>0</v>
      </c>
      <c r="J51" s="39" t="n">
        <f aca="false">IFERROR(IF($C51="","",IF($D51="","",IFERROR(ROUND($D51*INDEX('🔖 배합비 참조'!$B$2:$CE$83,MATCH("건포도",'🔖 배합비 참조'!$A$2:$A$83,0),MATCH($C51,'🔖 배합비 참조'!$B$1:$CE$1,0))/100,0),""))),"")</f>
        <v>0</v>
      </c>
      <c r="K51" s="39" t="n">
        <f aca="false">IFERROR(IF($C51="","",IF($D51="","",IFERROR(ROUND($D51*INDEX('🔖 배합비 참조'!$B$2:$CE$83,MATCH("건호박채(중국산)",'🔖 배합비 참조'!$A$2:$A$83,0),MATCH($C51,'🔖 배합비 참조'!$B$1:$CE$1,0))/100,0),""))),"")</f>
        <v>0</v>
      </c>
      <c r="L51" s="39" t="n">
        <f aca="false">IFERROR(IF($C51="","",IF($D51="","",IFERROR(ROUND($D51*INDEX('🔖 배합비 참조'!$B$2:$CE$83,MATCH("검정깨(흑임자)",'🔖 배합비 참조'!$A$2:$A$83,0),MATCH($C51,'🔖 배합비 참조'!$B$1:$CE$1,0))/100,0),""))),"")</f>
        <v>0</v>
      </c>
      <c r="M51" s="39" t="n">
        <f aca="false">IFERROR(IF($C51="","",IF($D51="","",IFERROR(ROUND($D51*INDEX('🔖 배합비 참조'!$B$2:$CE$83,MATCH("검정콩",'🔖 배합비 참조'!$A$2:$A$83,0),MATCH($C51,'🔖 배합비 참조'!$B$1:$CE$1,0))/100,0),""))),"")</f>
        <v>0</v>
      </c>
      <c r="N51" s="39" t="n">
        <f aca="false">IFERROR(IF($C51="","",IF($D51="","",IFERROR(ROUND($D51*INDEX('🔖 배합비 참조'!$B$2:$CE$83,MATCH("계피가루",'🔖 배합비 참조'!$A$2:$A$83,0),MATCH($C51,'🔖 배합비 참조'!$B$1:$CE$1,0))/100,0),""))),"")</f>
        <v>0</v>
      </c>
      <c r="O51" s="39" t="n">
        <f aca="false">IFERROR(IF($C51="","",IF($D51="","",IFERROR(ROUND($D51*INDEX('🔖 배합비 참조'!$B$2:$CE$83,MATCH("고구마가루",'🔖 배합비 참조'!$A$2:$A$83,0),MATCH($C51,'🔖 배합비 참조'!$B$1:$CE$1,0))/100,0),""))),"")</f>
        <v>0</v>
      </c>
      <c r="P51" s="39" t="n">
        <f aca="false">IFERROR(IF($C51="","",IF($D51="","",IFERROR(ROUND($D51*INDEX('🔖 배합비 참조'!$B$2:$CE$83,MATCH("고구마무스",'🔖 배합비 참조'!$A$2:$A$83,0),MATCH($C51,'🔖 배합비 참조'!$B$1:$CE$1,0))/100,0),""))),"")</f>
        <v>0</v>
      </c>
      <c r="Q51" s="39" t="n">
        <f aca="false">IFERROR(IF($C51="","",IF($D51="","",IFERROR(ROUND($D51*INDEX('🔖 배합비 참조'!$B$2:$CE$83,MATCH("고려엉겅퀴((곤드레)국내산)",'🔖 배합비 참조'!$A$2:$A$83,0),MATCH($C51,'🔖 배합비 참조'!$B$1:$CE$1,0))/100,0),""))),"")</f>
        <v>0</v>
      </c>
      <c r="R51" s="39" t="n">
        <f aca="false">IFERROR(IF($C51="","",IF($D51="","",IFERROR(ROUND($D51*INDEX('🔖 배합비 참조'!$B$2:$CE$83,MATCH("기타가공품(복분자가루)",'🔖 배합비 참조'!$A$2:$A$83,0),MATCH($C51,'🔖 배합비 참조'!$B$1:$CE$1,0))/100,0),""))),"")</f>
        <v>0</v>
      </c>
      <c r="S51" s="39" t="n">
        <f aca="false">IFERROR(IF($C51="","",IF($D51="","",IFERROR(ROUND($D51*INDEX('🔖 배합비 참조'!$B$2:$CE$83,MATCH("기타가공품(슈퍼소프트엠)",'🔖 배합비 참조'!$A$2:$A$83,0),MATCH($C51,'🔖 배합비 참조'!$B$1:$CE$1,0))/100,0),""))),"")</f>
        <v>0</v>
      </c>
      <c r="T51" s="39" t="n">
        <f aca="false">IFERROR(IF($C51="","",IF($D51="","",IFERROR(ROUND($D51*INDEX('🔖 배합비 참조'!$B$2:$CE$83,MATCH("기타가공품(파인소프트 E-티)",'🔖 배합비 참조'!$A$2:$A$83,0),MATCH($C51,'🔖 배합비 참조'!$B$1:$CE$1,0))/100,0),""))),"")</f>
        <v>0</v>
      </c>
      <c r="U51" s="39" t="n">
        <f aca="false">IFERROR(IF($C51="","",IF($D51="","",IFERROR(ROUND($D51*INDEX('🔖 배합비 참조'!$B$2:$CE$83,MATCH("기타가공품(프리미엄카스테라가루)",'🔖 배합비 참조'!$A$2:$A$83,0),MATCH($C51,'🔖 배합비 참조'!$B$1:$CE$1,0))/100,0),""))),"")</f>
        <v>0</v>
      </c>
      <c r="V51" s="39" t="n">
        <f aca="false">IFERROR(IF($C51="","",IF($D51="","",IFERROR(ROUND($D51*INDEX('🔖 배합비 참조'!$B$2:$CE$83,MATCH("기타가공품(흑임자가루)",'🔖 배합비 참조'!$A$2:$A$83,0),MATCH($C51,'🔖 배합비 참조'!$B$1:$CE$1,0))/100,0),""))),"")</f>
        <v>0</v>
      </c>
      <c r="W51" s="39" t="n">
        <f aca="false">IFERROR(IF($C51="","",IF($D51="","",IFERROR(ROUND($D51*INDEX('🔖 배합비 참조'!$B$2:$CE$83,MATCH("기타설탕(흑설탕)",'🔖 배합비 참조'!$A$2:$A$83,0),MATCH($C51,'🔖 배합비 참조'!$B$1:$CE$1,0))/100,0),""))),"")</f>
        <v>15</v>
      </c>
      <c r="X51" s="39" t="n">
        <f aca="false">IFERROR(IF($C51="","",IF($D51="","",IFERROR(ROUND($D51*INDEX('🔖 배합비 참조'!$B$2:$CE$83,MATCH("냉동쑥(국내산)",'🔖 배합비 참조'!$A$2:$A$83,0),MATCH($C51,'🔖 배합비 참조'!$B$1:$CE$1,0))/100,0),""))),"")</f>
        <v>0</v>
      </c>
      <c r="Y51" s="39" t="n">
        <f aca="false">IFERROR(IF($C51="","",IF($D51="","",IFERROR(ROUND($D51*INDEX('🔖 배합비 참조'!$B$2:$CE$83,MATCH("냉동증숙고구마(중국산)",'🔖 배합비 참조'!$A$2:$A$83,0),MATCH($C51,'🔖 배합비 참조'!$B$1:$CE$1,0))/100,0),""))),"")</f>
        <v>0</v>
      </c>
      <c r="Z51" s="39" t="n">
        <f aca="false">IFERROR(IF($C51="","",IF($D51="","",IFERROR(ROUND($D51*INDEX('🔖 배합비 참조'!$B$2:$CE$83,MATCH("녹차가루",'🔖 배합비 참조'!$A$2:$A$83,0),MATCH($C51,'🔖 배합비 참조'!$B$1:$CE$1,0))/100,0),""))),"")</f>
        <v>0</v>
      </c>
      <c r="AA51" s="39" t="n">
        <f aca="false">IFERROR(IF($C51="","",IF($D51="","",IFERROR(ROUND($D51*INDEX('🔖 배합비 참조'!$B$2:$CE$83,MATCH("다크초콜릿 컴파운드칩",'🔖 배합비 참조'!$A$2:$A$83,0),MATCH($C51,'🔖 배합비 참조'!$B$1:$CE$1,0))/100,0),""))),"")</f>
        <v>0</v>
      </c>
      <c r="AB51" s="39" t="n">
        <f aca="false">IFERROR(IF($C51="","",IF($D51="","",IFERROR(ROUND($D51*INDEX('🔖 배합비 참조'!$B$2:$CE$83,MATCH("단호박분말(중국산)",'🔖 배합비 참조'!$A$2:$A$83,0),MATCH($C51,'🔖 배합비 참조'!$B$1:$CE$1,0))/100,0),""))),"")</f>
        <v>0</v>
      </c>
      <c r="AC51" s="39" t="n">
        <f aca="false">IFERROR(IF($C51="","",IF($D51="","",IFERROR(ROUND($D51*INDEX('🔖 배합비 참조'!$B$2:$CE$83,MATCH("당류가공품(단호박농축액)",'🔖 배합비 참조'!$A$2:$A$83,0),MATCH($C51,'🔖 배합비 참조'!$B$1:$CE$1,0))/100,0),""))),"")</f>
        <v>0</v>
      </c>
      <c r="AD51" s="39" t="n">
        <f aca="false">IFERROR(IF($C51="","",IF($D51="","",IFERROR(ROUND($D51*INDEX('🔖 배합비 참조'!$B$2:$CE$83,MATCH("당류가공품(알룰로스,에리스리톨,스테비올배당체혼합)",'🔖 배합비 참조'!$A$2:$A$83,0),MATCH($C51,'🔖 배합비 참조'!$B$1:$CE$1,0))/100,0),""))),"")</f>
        <v>0</v>
      </c>
      <c r="AE51" s="39" t="n">
        <f aca="false">IFERROR(IF($C51="","",IF($D51="","",IFERROR(ROUND($D51*INDEX('🔖 배합비 참조'!$B$2:$CE$83,MATCH("당류가공품(알룰로스제로파우더)",'🔖 배합비 참조'!$A$2:$A$83,0),MATCH($C51,'🔖 배합비 참조'!$B$1:$CE$1,0))/100,0),""))),"")</f>
        <v>0</v>
      </c>
      <c r="AF51" s="39" t="n">
        <f aca="false">IFERROR(IF($C51="","",IF($D51="","",IFERROR(ROUND($D51*INDEX('🔖 배합비 참조'!$B$2:$CE$83,MATCH("당절임(완두배기)",'🔖 배합비 참조'!$A$2:$A$83,0),MATCH($C51,'🔖 배합비 참조'!$B$1:$CE$1,0))/100,0),""))),"")</f>
        <v>0</v>
      </c>
      <c r="AG51" s="39" t="n">
        <f aca="false">IFERROR(IF($C51="","",IF($D51="","",IFERROR(ROUND($D51*INDEX('🔖 배합비 참조'!$B$2:$CE$83,MATCH("대추농축액",'🔖 배합비 참조'!$A$2:$A$83,0),MATCH($C51,'🔖 배합비 참조'!$B$1:$CE$1,0))/100,0),""))),"")</f>
        <v>0</v>
      </c>
      <c r="AH51" s="39" t="n">
        <f aca="false">IFERROR(IF($C51="","",IF($D51="","",IFERROR(ROUND($D51*INDEX('🔖 배합비 참조'!$B$2:$CE$83,MATCH("대추채(국내산)",'🔖 배합비 참조'!$A$2:$A$83,0),MATCH($C51,'🔖 배합비 참조'!$B$1:$CE$1,0))/100,0),""))),"")</f>
        <v>0</v>
      </c>
      <c r="AI51" s="39" t="n">
        <f aca="false">IFERROR(IF($C51="","",IF($D51="","",IFERROR(ROUND($D51*INDEX('🔖 배합비 참조'!$B$2:$CE$83,MATCH("동부(미얀마산)",'🔖 배합비 참조'!$A$2:$A$83,0),MATCH($C51,'🔖 배합비 참조'!$B$1:$CE$1,0))/100,0),""))),"")</f>
        <v>0</v>
      </c>
      <c r="AJ51" s="39" t="n">
        <f aca="false">IFERROR(IF($C51="","",IF($D51="","",IFERROR(ROUND($D51*INDEX('🔖 배합비 참조'!$B$2:$CE$83,MATCH("두류가공품(백옥앙금)",'🔖 배합비 참조'!$A$2:$A$83,0),MATCH($C51,'🔖 배합비 참조'!$B$1:$CE$1,0))/100,0),""))),"")</f>
        <v>0</v>
      </c>
      <c r="AK51" s="39" t="n">
        <f aca="false">IFERROR(IF($C51="","",IF($D51="","",IFERROR(ROUND($D51*INDEX('🔖 배합비 참조'!$B$2:$CE$83,MATCH("두류가공품(콩고물)",'🔖 배합비 참조'!$A$2:$A$83,0),MATCH($C51,'🔖 배합비 참조'!$B$1:$CE$1,0))/100,0),""))),"")</f>
        <v>0</v>
      </c>
      <c r="AL51" s="39" t="n">
        <f aca="false">IFERROR(IF($C51="","",IF($D51="","",IFERROR(ROUND($D51*INDEX('🔖 배합비 참조'!$B$2:$CE$83,MATCH("두류가공품(통팥고물)",'🔖 배합비 참조'!$A$2:$A$83,0),MATCH($C51,'🔖 배합비 참조'!$B$1:$CE$1,0))/100,0),""))),"")</f>
        <v>0</v>
      </c>
      <c r="AM51" s="39" t="n">
        <f aca="false">IFERROR(IF($C51="","",IF($D51="","",IFERROR(ROUND($D51*INDEX('🔖 배합비 참조'!$B$2:$CE$83,MATCH("딸기레진",'🔖 배합비 참조'!$A$2:$A$83,0),MATCH($C51,'🔖 배합비 참조'!$B$1:$CE$1,0))/100,0),""))),"")</f>
        <v>0</v>
      </c>
      <c r="AN51" s="39" t="n">
        <f aca="false">IFERROR(IF($C51="","",IF($D51="","",IFERROR(ROUND($D51*INDEX('🔖 배합비 참조'!$B$2:$CE$83,MATCH("딸기분말(스트로우베리에이드(분말))",'🔖 배합비 참조'!$A$2:$A$83,0),MATCH($C51,'🔖 배합비 참조'!$B$1:$CE$1,0))/100,0),""))),"")</f>
        <v>0</v>
      </c>
      <c r="AO51" s="39" t="n">
        <f aca="false">IFERROR(IF($C51="","",IF($D51="","",IFERROR(ROUND($D51*INDEX('🔖 배합비 참조'!$B$2:$CE$83,MATCH("마스카포네치즈",'🔖 배합비 참조'!$A$2:$A$83,0),MATCH($C51,'🔖 배합비 참조'!$B$1:$CE$1,0))/100,0),""))),"")</f>
        <v>0</v>
      </c>
      <c r="AP51" s="39" t="n">
        <f aca="false">IFERROR(IF($C51="","",IF($D51="","",IFERROR(ROUND($D51*INDEX('🔖 배합비 참조'!$B$2:$CE$83,MATCH("마카다미아분태(호주산)",'🔖 배합비 참조'!$A$2:$A$83,0),MATCH($C51,'🔖 배합비 참조'!$B$1:$CE$1,0))/100,0),""))),"")</f>
        <v>0</v>
      </c>
      <c r="AQ51" s="39" t="n">
        <f aca="false">IFERROR(IF($C51="","",IF($D51="","",IFERROR(ROUND($D51*INDEX('🔖 배합비 참조'!$B$2:$CE$83,MATCH("멥쌀(국내산)",'🔖 배합비 참조'!$A$2:$A$83,0),MATCH($C51,'🔖 배합비 참조'!$B$1:$CE$1,0))/100,0),""))),"")</f>
        <v>118</v>
      </c>
      <c r="AR51" s="39" t="n">
        <f aca="false">IFERROR(IF($C51="","",IF($D51="","",IFERROR(ROUND($D51*INDEX('🔖 배합비 참조'!$B$2:$CE$83,MATCH("모시잎(국내산)",'🔖 배합비 참조'!$A$2:$A$83,0),MATCH($C51,'🔖 배합비 참조'!$B$1:$CE$1,0))/100,0),""))),"")</f>
        <v>0</v>
      </c>
      <c r="AS51" s="39" t="n">
        <f aca="false">IFERROR(IF($C51="","",IF($D51="","",IFERROR(ROUND($D51*INDEX('🔖 배합비 참조'!$B$2:$CE$83,MATCH("물엿(저당물엿)",'🔖 배합비 참조'!$A$2:$A$83,0),MATCH($C51,'🔖 배합비 참조'!$B$1:$CE$1,0))/100,0),""))),"")</f>
        <v>0</v>
      </c>
      <c r="AT51" s="39" t="n">
        <f aca="false">IFERROR(IF($C51="","",IF($D51="","",IFERROR(ROUND($D51*INDEX('🔖 배합비 참조'!$B$2:$CE$83,MATCH("밤다이스",'🔖 배합비 참조'!$A$2:$A$83,0),MATCH($C51,'🔖 배합비 참조'!$B$1:$CE$1,0))/100,0),""))),"")</f>
        <v>0</v>
      </c>
      <c r="AU51" s="39" t="n">
        <f aca="false">IFERROR(IF($C51="","",IF($D51="","",IFERROR(ROUND($D51*INDEX('🔖 배합비 참조'!$B$2:$CE$83,MATCH("변성전분(타피오카전분)",'🔖 배합비 참조'!$A$2:$A$83,0),MATCH($C51,'🔖 배합비 참조'!$B$1:$CE$1,0))/100,0),""))),"")</f>
        <v>0</v>
      </c>
      <c r="AV51" s="39" t="n">
        <f aca="false">IFERROR(IF($C51="","",IF($D51="","",IFERROR(ROUND($D51*INDEX('🔖 배합비 참조'!$B$2:$CE$83,MATCH("복음땅콩분태",'🔖 배합비 참조'!$A$2:$A$83,0),MATCH($C51,'🔖 배합비 참조'!$B$1:$CE$1,0))/100,0),""))),"")</f>
        <v>0</v>
      </c>
      <c r="AW51" s="39" t="n">
        <f aca="false">IFERROR(IF($C51="","",IF($D51="","",IFERROR(ROUND($D51*INDEX('🔖 배합비 참조'!$B$2:$CE$83,MATCH("사양벌꿀(국내산)",'🔖 배합비 참조'!$A$2:$A$83,0),MATCH($C51,'🔖 배합비 참조'!$B$1:$CE$1,0))/100,0),""))),"")</f>
        <v>4</v>
      </c>
      <c r="AX51" s="39" t="n">
        <f aca="false">IFERROR(IF($C51="","",IF($D51="","",IFERROR(ROUND($D51*INDEX('🔖 배합비 참조'!$B$2:$CE$83,MATCH("생크림",'🔖 배합비 참조'!$A$2:$A$83,0),MATCH($C51,'🔖 배합비 참조'!$B$1:$CE$1,0))/100,0),""))),"")</f>
        <v>0</v>
      </c>
      <c r="AY51" s="39" t="n">
        <f aca="false">IFERROR(IF($C51="","",IF($D51="","",IFERROR(ROUND($D51*INDEX('🔖 배합비 참조'!$B$2:$CE$83,MATCH("서양호박(국내산,뉴질랜드산)",'🔖 배합비 참조'!$A$2:$A$83,0),MATCH($C51,'🔖 배합비 참조'!$B$1:$CE$1,0))/100,0),""))),"")</f>
        <v>0</v>
      </c>
      <c r="AZ51" s="39" t="n">
        <f aca="false">IFERROR(IF($C51="","",IF($D51="","",IFERROR(ROUND($D51*INDEX('🔖 배합비 참조'!$B$2:$CE$83,MATCH("설탕",'🔖 배합비 참조'!$A$2:$A$83,0),MATCH($C51,'🔖 배합비 참조'!$B$1:$CE$1,0))/100,0),""))),"")</f>
        <v>15</v>
      </c>
      <c r="BA51" s="39" t="n">
        <f aca="false">IFERROR(IF($C51="","",IF($D51="","",IFERROR(ROUND($D51*INDEX('🔖 배합비 참조'!$B$2:$CE$83,MATCH("스트로우베리 에이드 후레쉬",'🔖 배합비 참조'!$A$2:$A$83,0),MATCH($C51,'🔖 배합비 참조'!$B$1:$CE$1,0))/100,0),""))),"")</f>
        <v>0</v>
      </c>
      <c r="BB51" s="39" t="n">
        <f aca="false">IFERROR(IF($C51="","",IF($D51="","",IFERROR(ROUND($D51*INDEX('🔖 배합비 참조'!$B$2:$CE$83,MATCH("식물성기름혼합제제(분홍)",'🔖 배합비 참조'!$A$2:$A$83,0),MATCH($C51,'🔖 배합비 참조'!$B$1:$CE$1,0))/100,0),""))),"")</f>
        <v>0</v>
      </c>
      <c r="BC51" s="39" t="n">
        <f aca="false">IFERROR(IF($C51="","",IF($D51="","",IFERROR(ROUND($D51*INDEX('🔖 배합비 참조'!$B$2:$CE$83,MATCH("식물성기름혼합제제(초록)",'🔖 배합비 참조'!$A$2:$A$83,0),MATCH($C51,'🔖 배합비 참조'!$B$1:$CE$1,0))/100,0),""))),"")</f>
        <v>0</v>
      </c>
      <c r="BD51" s="39" t="n">
        <f aca="false">IFERROR(IF($C51="","",IF($D51="","",IFERROR(ROUND($D51*INDEX('🔖 배합비 참조'!$B$2:$CE$83,MATCH("식물성기름혼합제제(황색)",'🔖 배합비 참조'!$A$2:$A$83,0),MATCH($C51,'🔖 배합비 참조'!$B$1:$CE$1,0))/100,0),""))),"")</f>
        <v>0</v>
      </c>
      <c r="BE51" s="39" t="n">
        <f aca="false">IFERROR(IF($C51="","",IF($D51="","",IFERROR(ROUND($D51*INDEX('🔖 배합비 참조'!$B$2:$CE$83,MATCH("쑥가루(국내산)",'🔖 배합비 참조'!$A$2:$A$83,0),MATCH($C51,'🔖 배합비 참조'!$B$1:$CE$1,0))/100,0),""))),"")</f>
        <v>0</v>
      </c>
      <c r="BF51" s="39" t="n">
        <f aca="false">IFERROR(IF($C51="","",IF($D51="","",IFERROR(ROUND($D51*INDEX('🔖 배합비 참조'!$B$2:$CE$83,MATCH("아몬드슬라이스",'🔖 배합비 참조'!$A$2:$A$83,0),MATCH($C51,'🔖 배합비 참조'!$B$1:$CE$1,0))/100,0),""))),"")</f>
        <v>0</v>
      </c>
      <c r="BG51" s="39" t="n">
        <f aca="false">IFERROR(IF($C51="","",IF($D51="","",IFERROR(ROUND($D51*INDEX('🔖 배합비 참조'!$B$2:$CE$83,MATCH("알룰로오스(국내산)",'🔖 배합비 참조'!$A$2:$A$83,0),MATCH($C51,'🔖 배합비 참조'!$B$1:$CE$1,0))/100,0),""))),"")</f>
        <v>0</v>
      </c>
      <c r="BH51" s="39" t="n">
        <f aca="false">IFERROR(IF($C51="","",IF($D51="","",IFERROR(ROUND($D51*INDEX('🔖 배합비 참조'!$B$2:$CE$83,MATCH("연유",'🔖 배합비 참조'!$A$2:$A$83,0),MATCH($C51,'🔖 배합비 참조'!$B$1:$CE$1,0))/100,0),""))),"")</f>
        <v>0</v>
      </c>
      <c r="BI51" s="39" t="n">
        <f aca="false">IFERROR(IF($C51="","",IF($D51="","",IFERROR(ROUND($D51*INDEX('🔖 배합비 참조'!$B$2:$CE$83,MATCH("옥수수전분",'🔖 배합비 참조'!$A$2:$A$83,0),MATCH($C51,'🔖 배합비 참조'!$B$1:$CE$1,0))/100,0),""))),"")</f>
        <v>0</v>
      </c>
      <c r="BJ51" s="39" t="n">
        <f aca="false">IFERROR(IF($C51="","",IF($D51="","",IFERROR(ROUND($D51*INDEX('🔖 배합비 참조'!$B$2:$CE$83,MATCH("완두배기",'🔖 배합비 참조'!$A$2:$A$83,0),MATCH($C51,'🔖 배합비 참조'!$B$1:$CE$1,0))/100,0),""))),"")</f>
        <v>0</v>
      </c>
      <c r="BK51" s="39" t="n">
        <f aca="false">IFERROR(IF($C51="","",IF($D51="","",IFERROR(ROUND($D51*INDEX('🔖 배합비 참조'!$B$2:$CE$83,MATCH("우유(국내산)",'🔖 배합비 참조'!$A$2:$A$83,0),MATCH($C51,'🔖 배합비 참조'!$B$1:$CE$1,0))/100,0),""))),"")</f>
        <v>0</v>
      </c>
      <c r="BL51" s="39" t="n">
        <f aca="false">IFERROR(IF($C51="","",IF($D51="","",IFERROR(ROUND($D51*INDEX('🔖 배합비 참조'!$B$2:$CE$83,MATCH("자색고구마가루(중국산)",'🔖 배합비 참조'!$A$2:$A$83,0),MATCH($C51,'🔖 배합비 참조'!$B$1:$CE$1,0))/100,0),""))),"")</f>
        <v>0</v>
      </c>
      <c r="BM51" s="39" t="n">
        <f aca="false">IFERROR(IF($C51="","",IF($D51="","",IFERROR(ROUND($D51*INDEX('🔖 배합비 참조'!$B$2:$CE$83,MATCH("자연치즈(체다치즈)",'🔖 배합비 참조'!$A$2:$A$83,0),MATCH($C51,'🔖 배합비 참조'!$B$1:$CE$1,0))/100,0),""))),"")</f>
        <v>0</v>
      </c>
      <c r="BN51" s="39" t="n">
        <f aca="false">IFERROR(IF($C51="","",IF($D51="","",IFERROR(ROUND($D51*INDEX('🔖 배합비 참조'!$B$2:$CE$83,MATCH("정제수",'🔖 배합비 참조'!$A$2:$A$83,0),MATCH($C51,'🔖 배합비 참조'!$B$1:$CE$1,0))/100,0),""))),"")</f>
        <v>22</v>
      </c>
      <c r="BO51" s="39" t="n">
        <f aca="false">IFERROR(IF($C51="","",IF($D51="","",IFERROR(ROUND($D51*INDEX('🔖 배합비 참조'!$B$2:$CE$83,MATCH("젤라틴",'🔖 배합비 참조'!$A$2:$A$83,0),MATCH($C51,'🔖 배합비 참조'!$B$1:$CE$1,0))/100,0),""))),"")</f>
        <v>0</v>
      </c>
      <c r="BP51" s="39" t="n">
        <f aca="false">IFERROR(IF($C51="","",IF($D51="","",IFERROR(ROUND($D51*INDEX('🔖 배합비 참조'!$B$2:$CE$83,MATCH("조림류(백옥앙금)",'🔖 배합비 참조'!$A$2:$A$83,0),MATCH($C51,'🔖 배합비 참조'!$B$1:$CE$1,0))/100,0),""))),"")</f>
        <v>0</v>
      </c>
      <c r="BQ51" s="39" t="n">
        <f aca="false">IFERROR(IF($C51="","",IF($D51="","",IFERROR(ROUND($D51*INDEX('🔖 배합비 참조'!$B$2:$CE$83,MATCH("조림류(통팥앙금)",'🔖 배합비 참조'!$A$2:$A$83,0),MATCH($C51,'🔖 배합비 참조'!$B$1:$CE$1,0))/100,0),""))),"")</f>
        <v>0</v>
      </c>
      <c r="BR51" s="39" t="n">
        <f aca="false">IFERROR(IF($C51="","",IF($D51="","",IFERROR(ROUND($D51*INDEX('🔖 배합비 참조'!$B$2:$CE$83,MATCH("준초콜릿(외국산)",'🔖 배합비 참조'!$A$2:$A$83,0),MATCH($C51,'🔖 배합비 참조'!$B$1:$CE$1,0))/100,0),""))),"")</f>
        <v>0</v>
      </c>
      <c r="BS51" s="39" t="n">
        <f aca="false">IFERROR(IF($C51="","",IF($D51="","",IFERROR(ROUND($D51*INDEX('🔖 배합비 참조'!$B$2:$CE$83,MATCH("중력분",'🔖 배합비 참조'!$A$2:$A$83,0),MATCH($C51,'🔖 배합비 참조'!$B$1:$CE$1,0))/100,0),""))),"")</f>
        <v>0</v>
      </c>
      <c r="BT51" s="39" t="n">
        <f aca="false">IFERROR(IF($C51="","",IF($D51="","",IFERROR(ROUND($D51*INDEX('🔖 배합비 참조'!$B$2:$CE$83,MATCH("참깨(인도산,나이지리아산,탄자니아산,미얀마산)",'🔖 배합비 참조'!$A$2:$A$83,0),MATCH($C51,'🔖 배합비 참조'!$B$1:$CE$1,0))/100,0),""))),"")</f>
        <v>0</v>
      </c>
      <c r="BU51" s="39" t="n">
        <f aca="false">IFERROR(IF($C51="","",IF($D51="","",IFERROR(ROUND($D51*INDEX('🔖 배합비 참조'!$B$2:$CE$83,MATCH("찹쌀(국내산)",'🔖 배합비 참조'!$A$2:$A$83,0),MATCH($C51,'🔖 배합비 참조'!$B$1:$CE$1,0))/100,0),""))),"")</f>
        <v>0</v>
      </c>
      <c r="BV51" s="39" t="n">
        <f aca="false">IFERROR(IF($C51="","",IF($D51="","",IFERROR(ROUND($D51*INDEX('🔖 배합비 참조'!$B$2:$CE$83,MATCH("천일염",'🔖 배합비 참조'!$A$2:$A$83,0),MATCH($C51,'🔖 배합비 참조'!$B$1:$CE$1,0))/100,0),""))),"")</f>
        <v>2</v>
      </c>
      <c r="BW51" s="39" t="n">
        <f aca="false">IFERROR(IF($C51="","",IF($D51="","",IFERROR(ROUND($D51*INDEX('🔖 배합비 참조'!$B$2:$CE$83,MATCH("치즈 [크림치즈]",'🔖 배합비 참조'!$A$2:$A$83,0),MATCH($C51,'🔖 배합비 참조'!$B$1:$CE$1,0))/100,0),""))),"")</f>
        <v>0</v>
      </c>
      <c r="BX51" s="39" t="n">
        <f aca="false">IFERROR(IF($C51="","",IF($D51="","",IFERROR(ROUND($D51*INDEX('🔖 배합비 참조'!$B$2:$CE$83,MATCH("코코아가공품류(코코아분말)",'🔖 배합비 참조'!$A$2:$A$83,0),MATCH($C51,'🔖 배합비 참조'!$B$1:$CE$1,0))/100,0),""))),"")</f>
        <v>0</v>
      </c>
      <c r="BY51" s="39" t="n">
        <f aca="false">IFERROR(IF($C51="","",IF($D51="","",IFERROR(ROUND($D51*INDEX('🔖 배합비 참조'!$B$2:$CE$83,MATCH("콩기름(대두유)",'🔖 배합비 참조'!$A$2:$A$83,0),MATCH($C51,'🔖 배합비 참조'!$B$1:$CE$1,0))/100,0),""))),"")</f>
        <v>0</v>
      </c>
      <c r="BZ51" s="39" t="n">
        <f aca="false">IFERROR(IF($C51="","",IF($D51="","",IFERROR(ROUND($D51*INDEX('🔖 배합비 참조'!$B$2:$CE$83,MATCH("해바라기씨앗",'🔖 배합비 참조'!$A$2:$A$83,0),MATCH($C51,'🔖 배합비 참조'!$B$1:$CE$1,0))/100,0),""))),"")</f>
        <v>0</v>
      </c>
      <c r="CA51" s="39" t="n">
        <f aca="false">IFERROR(IF($C51="","",IF($D51="","",IFERROR(ROUND($D51*INDEX('🔖 배합비 참조'!$B$2:$CE$83,MATCH("현미(국내산)",'🔖 배합비 참조'!$A$2:$A$83,0),MATCH($C51,'🔖 배합비 참조'!$B$1:$CE$1,0))/100,0),""))),"")</f>
        <v>0</v>
      </c>
      <c r="CB51" s="39" t="n">
        <f aca="false">IFERROR(IF($C51="","",IF($D51="","",IFERROR(ROUND($D51*INDEX('🔖 배합비 참조'!$B$2:$CE$83,MATCH("현미멥쌀(국내산)",'🔖 배합비 참조'!$A$2:$A$83,0),MATCH($C51,'🔖 배합비 참조'!$B$1:$CE$1,0))/100,0),""))),"")</f>
        <v>0</v>
      </c>
      <c r="CC51" s="39" t="n">
        <f aca="false">IFERROR(IF($C51="","",IF($D51="","",IFERROR(ROUND($D51*INDEX('🔖 배합비 참조'!$B$2:$CE$83,MATCH("호두분태(미국산)",'🔖 배합비 참조'!$A$2:$A$83,0),MATCH($C51,'🔖 배합비 참조'!$B$1:$CE$1,0))/100,0),""))),"")</f>
        <v>0</v>
      </c>
      <c r="CD51" s="39" t="n">
        <f aca="false">IFERROR(IF($C51="","",IF($D51="","",IFERROR(ROUND($D51*INDEX('🔖 배합비 참조'!$B$2:$CE$83,MATCH("호박씨앗(외국산)",'🔖 배합비 참조'!$A$2:$A$83,0),MATCH($C51,'🔖 배합비 참조'!$B$1:$CE$1,0))/100,0),""))),"")</f>
        <v>0</v>
      </c>
      <c r="CE51" s="39" t="n">
        <f aca="false">IFERROR(IF($C51="","",IF($D51="","",IFERROR(ROUND($D51*INDEX('🔖 배합비 참조'!$B$2:$CE$83,MATCH("혼합제제(떡용에스텔)",'🔖 배합비 참조'!$A$2:$A$83,0),MATCH($C51,'🔖 배합비 참조'!$B$1:$CE$1,0))/100,0),""))),"")</f>
        <v>0</v>
      </c>
      <c r="CF51" s="39" t="n">
        <f aca="false">IFERROR(IF($C51="","",IF($D51="","",IFERROR(ROUND($D51*INDEX('🔖 배합비 참조'!$B$2:$CE$83,MATCH("혼합제제(스테비아)",'🔖 배합비 참조'!$A$2:$A$83,0),MATCH($C51,'🔖 배합비 참조'!$B$1:$CE$1,0))/100,0),""))),"")</f>
        <v>0</v>
      </c>
      <c r="CG51" s="39" t="n">
        <f aca="false">IFERROR(IF($C51="","",IF($D51="","",IFERROR(ROUND($D51*INDEX('🔖 배합비 참조'!$B$2:$CE$83,MATCH("화이트초콜릿",'🔖 배합비 참조'!$A$2:$A$83,0),MATCH($C51,'🔖 배합비 참조'!$B$1:$CE$1,0))/100,0),""))),"")</f>
        <v>0</v>
      </c>
      <c r="CH51" s="39" t="n">
        <f aca="false">IFERROR(IF($C51="","",IF($D51="","",IFERROR(ROUND($D51*INDEX('🔖 배합비 참조'!$B$2:$CE$83,MATCH("흑미찹쌀(국내산)",'🔖 배합비 참조'!$A$2:$A$83,0),MATCH($C51,'🔖 배합비 참조'!$B$1:$CE$1,0))/100,0),""))),"")</f>
        <v>0</v>
      </c>
      <c r="CI51" s="39" t="n">
        <f aca="false">IFERROR(IF($C51="","",IF($D51="","",IFERROR(ROUND($D51*INDEX('🔖 배합비 참조'!$B$2:$CE$83,MATCH("찰옥수수전분(미국산)",'🔖 배합비 참조'!$A$2:$A$83,0),MATCH($C51,'🔖 배합비 참조'!$B$1:$CE$1,0))/100,0),""))),"")</f>
        <v>0</v>
      </c>
      <c r="CJ51" s="40"/>
      <c r="CL51" s="1" t="s">
        <v>238</v>
      </c>
    </row>
    <row r="52" customFormat="false" ht="18" hidden="false" customHeight="true" outlineLevel="0" collapsed="false">
      <c r="A52" s="41" t="n">
        <v>48</v>
      </c>
      <c r="B52" s="36" t="n">
        <v>45966</v>
      </c>
      <c r="C52" s="37" t="s">
        <v>144</v>
      </c>
      <c r="D52" s="38" t="n">
        <v>70</v>
      </c>
      <c r="E52" s="17"/>
      <c r="F52" s="17"/>
      <c r="G52" s="42" t="n">
        <f aca="false">IFERROR(IF($C52="","",IF($D52="","",IFERROR(ROUND($D52*INDEX('🔖 배합비 참조'!$B$2:$CE$83,MATCH("간장",'🔖 배합비 참조'!$A$2:$A$83,0),MATCH($C52,'🔖 배합비 참조'!$B$1:$CE$1,0))/100,0),""))),"")</f>
        <v>0</v>
      </c>
      <c r="H52" s="42" t="n">
        <f aca="false">IFERROR(IF($C52="","",IF($D52="","",IFERROR(ROUND($D52*INDEX('🔖 배합비 참조'!$B$2:$CE$83,MATCH("강낭콩((울타리콩))",'🔖 배합비 참조'!$A$2:$A$83,0),MATCH($C52,'🔖 배합비 참조'!$B$1:$CE$1,0))/100,0),""))),"")</f>
        <v>0</v>
      </c>
      <c r="I52" s="42" t="n">
        <f aca="false">IFERROR(IF($C52="","",IF($D52="","",IFERROR(ROUND($D52*INDEX('🔖 배합비 참조'!$B$2:$CE$83,MATCH("건조딸기다이스(외국산)",'🔖 배합비 참조'!$A$2:$A$83,0),MATCH($C52,'🔖 배합비 참조'!$B$1:$CE$1,0))/100,0),""))),"")</f>
        <v>0</v>
      </c>
      <c r="J52" s="42" t="n">
        <f aca="false">IFERROR(IF($C52="","",IF($D52="","",IFERROR(ROUND($D52*INDEX('🔖 배합비 참조'!$B$2:$CE$83,MATCH("건포도",'🔖 배합비 참조'!$A$2:$A$83,0),MATCH($C52,'🔖 배합비 참조'!$B$1:$CE$1,0))/100,0),""))),"")</f>
        <v>0</v>
      </c>
      <c r="K52" s="42" t="n">
        <f aca="false">IFERROR(IF($C52="","",IF($D52="","",IFERROR(ROUND($D52*INDEX('🔖 배합비 참조'!$B$2:$CE$83,MATCH("건호박채(중국산)",'🔖 배합비 참조'!$A$2:$A$83,0),MATCH($C52,'🔖 배합비 참조'!$B$1:$CE$1,0))/100,0),""))),"")</f>
        <v>0</v>
      </c>
      <c r="L52" s="42" t="n">
        <f aca="false">IFERROR(IF($C52="","",IF($D52="","",IFERROR(ROUND($D52*INDEX('🔖 배합비 참조'!$B$2:$CE$83,MATCH("검정깨(흑임자)",'🔖 배합비 참조'!$A$2:$A$83,0),MATCH($C52,'🔖 배합비 참조'!$B$1:$CE$1,0))/100,0),""))),"")</f>
        <v>0</v>
      </c>
      <c r="M52" s="42" t="n">
        <f aca="false">IFERROR(IF($C52="","",IF($D52="","",IFERROR(ROUND($D52*INDEX('🔖 배합비 참조'!$B$2:$CE$83,MATCH("검정콩",'🔖 배합비 참조'!$A$2:$A$83,0),MATCH($C52,'🔖 배합비 참조'!$B$1:$CE$1,0))/100,0),""))),"")</f>
        <v>0</v>
      </c>
      <c r="N52" s="42" t="n">
        <f aca="false">IFERROR(IF($C52="","",IF($D52="","",IFERROR(ROUND($D52*INDEX('🔖 배합비 참조'!$B$2:$CE$83,MATCH("계피가루",'🔖 배합비 참조'!$A$2:$A$83,0),MATCH($C52,'🔖 배합비 참조'!$B$1:$CE$1,0))/100,0),""))),"")</f>
        <v>0</v>
      </c>
      <c r="O52" s="42" t="n">
        <f aca="false">IFERROR(IF($C52="","",IF($D52="","",IFERROR(ROUND($D52*INDEX('🔖 배합비 참조'!$B$2:$CE$83,MATCH("고구마가루",'🔖 배합비 참조'!$A$2:$A$83,0),MATCH($C52,'🔖 배합비 참조'!$B$1:$CE$1,0))/100,0),""))),"")</f>
        <v>0</v>
      </c>
      <c r="P52" s="42" t="n">
        <f aca="false">IFERROR(IF($C52="","",IF($D52="","",IFERROR(ROUND($D52*INDEX('🔖 배합비 참조'!$B$2:$CE$83,MATCH("고구마무스",'🔖 배합비 참조'!$A$2:$A$83,0),MATCH($C52,'🔖 배합비 참조'!$B$1:$CE$1,0))/100,0),""))),"")</f>
        <v>0</v>
      </c>
      <c r="Q52" s="42" t="n">
        <f aca="false">IFERROR(IF($C52="","",IF($D52="","",IFERROR(ROUND($D52*INDEX('🔖 배합비 참조'!$B$2:$CE$83,MATCH("고려엉겅퀴((곤드레)국내산)",'🔖 배합비 참조'!$A$2:$A$83,0),MATCH($C52,'🔖 배합비 참조'!$B$1:$CE$1,0))/100,0),""))),"")</f>
        <v>0</v>
      </c>
      <c r="R52" s="42" t="n">
        <f aca="false">IFERROR(IF($C52="","",IF($D52="","",IFERROR(ROUND($D52*INDEX('🔖 배합비 참조'!$B$2:$CE$83,MATCH("기타가공품(복분자가루)",'🔖 배합비 참조'!$A$2:$A$83,0),MATCH($C52,'🔖 배합비 참조'!$B$1:$CE$1,0))/100,0),""))),"")</f>
        <v>0</v>
      </c>
      <c r="S52" s="42" t="n">
        <f aca="false">IFERROR(IF($C52="","",IF($D52="","",IFERROR(ROUND($D52*INDEX('🔖 배합비 참조'!$B$2:$CE$83,MATCH("기타가공품(슈퍼소프트엠)",'🔖 배합비 참조'!$A$2:$A$83,0),MATCH($C52,'🔖 배합비 참조'!$B$1:$CE$1,0))/100,0),""))),"")</f>
        <v>0</v>
      </c>
      <c r="T52" s="42" t="n">
        <f aca="false">IFERROR(IF($C52="","",IF($D52="","",IFERROR(ROUND($D52*INDEX('🔖 배합비 참조'!$B$2:$CE$83,MATCH("기타가공품(파인소프트 E-티)",'🔖 배합비 참조'!$A$2:$A$83,0),MATCH($C52,'🔖 배합비 참조'!$B$1:$CE$1,0))/100,0),""))),"")</f>
        <v>0</v>
      </c>
      <c r="U52" s="42" t="n">
        <f aca="false">IFERROR(IF($C52="","",IF($D52="","",IFERROR(ROUND($D52*INDEX('🔖 배합비 참조'!$B$2:$CE$83,MATCH("기타가공품(프리미엄카스테라가루)",'🔖 배합비 참조'!$A$2:$A$83,0),MATCH($C52,'🔖 배합비 참조'!$B$1:$CE$1,0))/100,0),""))),"")</f>
        <v>0</v>
      </c>
      <c r="V52" s="42" t="n">
        <f aca="false">IFERROR(IF($C52="","",IF($D52="","",IFERROR(ROUND($D52*INDEX('🔖 배합비 참조'!$B$2:$CE$83,MATCH("기타가공품(흑임자가루)",'🔖 배합비 참조'!$A$2:$A$83,0),MATCH($C52,'🔖 배합비 참조'!$B$1:$CE$1,0))/100,0),""))),"")</f>
        <v>0</v>
      </c>
      <c r="W52" s="42" t="n">
        <f aca="false">IFERROR(IF($C52="","",IF($D52="","",IFERROR(ROUND($D52*INDEX('🔖 배합비 참조'!$B$2:$CE$83,MATCH("기타설탕(흑설탕)",'🔖 배합비 참조'!$A$2:$A$83,0),MATCH($C52,'🔖 배합비 참조'!$B$1:$CE$1,0))/100,0),""))),"")</f>
        <v>0</v>
      </c>
      <c r="X52" s="42" t="n">
        <f aca="false">IFERROR(IF($C52="","",IF($D52="","",IFERROR(ROUND($D52*INDEX('🔖 배합비 참조'!$B$2:$CE$83,MATCH("냉동쑥(국내산)",'🔖 배합비 참조'!$A$2:$A$83,0),MATCH($C52,'🔖 배합비 참조'!$B$1:$CE$1,0))/100,0),""))),"")</f>
        <v>0</v>
      </c>
      <c r="Y52" s="42" t="n">
        <f aca="false">IFERROR(IF($C52="","",IF($D52="","",IFERROR(ROUND($D52*INDEX('🔖 배합비 참조'!$B$2:$CE$83,MATCH("냉동증숙고구마(중국산)",'🔖 배합비 참조'!$A$2:$A$83,0),MATCH($C52,'🔖 배합비 참조'!$B$1:$CE$1,0))/100,0),""))),"")</f>
        <v>0</v>
      </c>
      <c r="Z52" s="42" t="n">
        <f aca="false">IFERROR(IF($C52="","",IF($D52="","",IFERROR(ROUND($D52*INDEX('🔖 배합비 참조'!$B$2:$CE$83,MATCH("녹차가루",'🔖 배합비 참조'!$A$2:$A$83,0),MATCH($C52,'🔖 배합비 참조'!$B$1:$CE$1,0))/100,0),""))),"")</f>
        <v>0</v>
      </c>
      <c r="AA52" s="42" t="n">
        <f aca="false">IFERROR(IF($C52="","",IF($D52="","",IFERROR(ROUND($D52*INDEX('🔖 배합비 참조'!$B$2:$CE$83,MATCH("다크초콜릿 컴파운드칩",'🔖 배합비 참조'!$A$2:$A$83,0),MATCH($C52,'🔖 배합비 참조'!$B$1:$CE$1,0))/100,0),""))),"")</f>
        <v>0</v>
      </c>
      <c r="AB52" s="42" t="n">
        <f aca="false">IFERROR(IF($C52="","",IF($D52="","",IFERROR(ROUND($D52*INDEX('🔖 배합비 참조'!$B$2:$CE$83,MATCH("단호박분말(중국산)",'🔖 배합비 참조'!$A$2:$A$83,0),MATCH($C52,'🔖 배합비 참조'!$B$1:$CE$1,0))/100,0),""))),"")</f>
        <v>0</v>
      </c>
      <c r="AC52" s="42" t="n">
        <f aca="false">IFERROR(IF($C52="","",IF($D52="","",IFERROR(ROUND($D52*INDEX('🔖 배합비 참조'!$B$2:$CE$83,MATCH("당류가공품(단호박농축액)",'🔖 배합비 참조'!$A$2:$A$83,0),MATCH($C52,'🔖 배합비 참조'!$B$1:$CE$1,0))/100,0),""))),"")</f>
        <v>0</v>
      </c>
      <c r="AD52" s="42" t="n">
        <f aca="false">IFERROR(IF($C52="","",IF($D52="","",IFERROR(ROUND($D52*INDEX('🔖 배합비 참조'!$B$2:$CE$83,MATCH("당류가공품(알룰로스,에리스리톨,스테비올배당체혼합)",'🔖 배합비 참조'!$A$2:$A$83,0),MATCH($C52,'🔖 배합비 참조'!$B$1:$CE$1,0))/100,0),""))),"")</f>
        <v>0</v>
      </c>
      <c r="AE52" s="42" t="n">
        <f aca="false">IFERROR(IF($C52="","",IF($D52="","",IFERROR(ROUND($D52*INDEX('🔖 배합비 참조'!$B$2:$CE$83,MATCH("당류가공품(알룰로스제로파우더)",'🔖 배합비 참조'!$A$2:$A$83,0),MATCH($C52,'🔖 배합비 참조'!$B$1:$CE$1,0))/100,0),""))),"")</f>
        <v>0</v>
      </c>
      <c r="AF52" s="42" t="n">
        <f aca="false">IFERROR(IF($C52="","",IF($D52="","",IFERROR(ROUND($D52*INDEX('🔖 배합비 참조'!$B$2:$CE$83,MATCH("당절임(완두배기)",'🔖 배합비 참조'!$A$2:$A$83,0),MATCH($C52,'🔖 배합비 참조'!$B$1:$CE$1,0))/100,0),""))),"")</f>
        <v>0</v>
      </c>
      <c r="AG52" s="42" t="n">
        <f aca="false">IFERROR(IF($C52="","",IF($D52="","",IFERROR(ROUND($D52*INDEX('🔖 배합비 참조'!$B$2:$CE$83,MATCH("대추농축액",'🔖 배합비 참조'!$A$2:$A$83,0),MATCH($C52,'🔖 배합비 참조'!$B$1:$CE$1,0))/100,0),""))),"")</f>
        <v>0</v>
      </c>
      <c r="AH52" s="42" t="n">
        <f aca="false">IFERROR(IF($C52="","",IF($D52="","",IFERROR(ROUND($D52*INDEX('🔖 배합비 참조'!$B$2:$CE$83,MATCH("대추채(국내산)",'🔖 배합비 참조'!$A$2:$A$83,0),MATCH($C52,'🔖 배합비 참조'!$B$1:$CE$1,0))/100,0),""))),"")</f>
        <v>0</v>
      </c>
      <c r="AI52" s="42" t="n">
        <f aca="false">IFERROR(IF($C52="","",IF($D52="","",IFERROR(ROUND($D52*INDEX('🔖 배합비 참조'!$B$2:$CE$83,MATCH("동부(미얀마산)",'🔖 배합비 참조'!$A$2:$A$83,0),MATCH($C52,'🔖 배합비 참조'!$B$1:$CE$1,0))/100,0),""))),"")</f>
        <v>0</v>
      </c>
      <c r="AJ52" s="42" t="n">
        <f aca="false">IFERROR(IF($C52="","",IF($D52="","",IFERROR(ROUND($D52*INDEX('🔖 배합비 참조'!$B$2:$CE$83,MATCH("두류가공품(백옥앙금)",'🔖 배합비 참조'!$A$2:$A$83,0),MATCH($C52,'🔖 배합비 참조'!$B$1:$CE$1,0))/100,0),""))),"")</f>
        <v>0</v>
      </c>
      <c r="AK52" s="42" t="n">
        <f aca="false">IFERROR(IF($C52="","",IF($D52="","",IFERROR(ROUND($D52*INDEX('🔖 배합비 참조'!$B$2:$CE$83,MATCH("두류가공품(콩고물)",'🔖 배합비 참조'!$A$2:$A$83,0),MATCH($C52,'🔖 배합비 참조'!$B$1:$CE$1,0))/100,0),""))),"")</f>
        <v>2</v>
      </c>
      <c r="AL52" s="42" t="n">
        <f aca="false">IFERROR(IF($C52="","",IF($D52="","",IFERROR(ROUND($D52*INDEX('🔖 배합비 참조'!$B$2:$CE$83,MATCH("두류가공품(통팥고물)",'🔖 배합비 참조'!$A$2:$A$83,0),MATCH($C52,'🔖 배합비 참조'!$B$1:$CE$1,0))/100,0),""))),"")</f>
        <v>0</v>
      </c>
      <c r="AM52" s="42" t="n">
        <f aca="false">IFERROR(IF($C52="","",IF($D52="","",IFERROR(ROUND($D52*INDEX('🔖 배합비 참조'!$B$2:$CE$83,MATCH("딸기레진",'🔖 배합비 참조'!$A$2:$A$83,0),MATCH($C52,'🔖 배합비 참조'!$B$1:$CE$1,0))/100,0),""))),"")</f>
        <v>0</v>
      </c>
      <c r="AN52" s="42" t="n">
        <f aca="false">IFERROR(IF($C52="","",IF($D52="","",IFERROR(ROUND($D52*INDEX('🔖 배합비 참조'!$B$2:$CE$83,MATCH("딸기분말(스트로우베리에이드(분말))",'🔖 배합비 참조'!$A$2:$A$83,0),MATCH($C52,'🔖 배합비 참조'!$B$1:$CE$1,0))/100,0),""))),"")</f>
        <v>0</v>
      </c>
      <c r="AO52" s="42" t="n">
        <f aca="false">IFERROR(IF($C52="","",IF($D52="","",IFERROR(ROUND($D52*INDEX('🔖 배합비 참조'!$B$2:$CE$83,MATCH("마스카포네치즈",'🔖 배합비 참조'!$A$2:$A$83,0),MATCH($C52,'🔖 배합비 참조'!$B$1:$CE$1,0))/100,0),""))),"")</f>
        <v>0</v>
      </c>
      <c r="AP52" s="42" t="n">
        <f aca="false">IFERROR(IF($C52="","",IF($D52="","",IFERROR(ROUND($D52*INDEX('🔖 배합비 참조'!$B$2:$CE$83,MATCH("마카다미아분태(호주산)",'🔖 배합비 참조'!$A$2:$A$83,0),MATCH($C52,'🔖 배합비 참조'!$B$1:$CE$1,0))/100,0),""))),"")</f>
        <v>0</v>
      </c>
      <c r="AQ52" s="42" t="n">
        <f aca="false">IFERROR(IF($C52="","",IF($D52="","",IFERROR(ROUND($D52*INDEX('🔖 배합비 참조'!$B$2:$CE$83,MATCH("멥쌀(국내산)",'🔖 배합비 참조'!$A$2:$A$83,0),MATCH($C52,'🔖 배합비 참조'!$B$1:$CE$1,0))/100,0),""))),"")</f>
        <v>0</v>
      </c>
      <c r="AR52" s="42" t="n">
        <f aca="false">IFERROR(IF($C52="","",IF($D52="","",IFERROR(ROUND($D52*INDEX('🔖 배합비 참조'!$B$2:$CE$83,MATCH("모시잎(국내산)",'🔖 배합비 참조'!$A$2:$A$83,0),MATCH($C52,'🔖 배합비 참조'!$B$1:$CE$1,0))/100,0),""))),"")</f>
        <v>0</v>
      </c>
      <c r="AS52" s="42" t="n">
        <f aca="false">IFERROR(IF($C52="","",IF($D52="","",IFERROR(ROUND($D52*INDEX('🔖 배합비 참조'!$B$2:$CE$83,MATCH("물엿(저당물엿)",'🔖 배합비 참조'!$A$2:$A$83,0),MATCH($C52,'🔖 배합비 참조'!$B$1:$CE$1,0))/100,0),""))),"")</f>
        <v>3</v>
      </c>
      <c r="AT52" s="42" t="n">
        <f aca="false">IFERROR(IF($C52="","",IF($D52="","",IFERROR(ROUND($D52*INDEX('🔖 배합비 참조'!$B$2:$CE$83,MATCH("밤다이스",'🔖 배합비 참조'!$A$2:$A$83,0),MATCH($C52,'🔖 배합비 참조'!$B$1:$CE$1,0))/100,0),""))),"")</f>
        <v>0</v>
      </c>
      <c r="AU52" s="42" t="n">
        <f aca="false">IFERROR(IF($C52="","",IF($D52="","",IFERROR(ROUND($D52*INDEX('🔖 배합비 참조'!$B$2:$CE$83,MATCH("변성전분(타피오카전분)",'🔖 배합비 참조'!$A$2:$A$83,0),MATCH($C52,'🔖 배합비 참조'!$B$1:$CE$1,0))/100,0),""))),"")</f>
        <v>0</v>
      </c>
      <c r="AV52" s="42" t="n">
        <f aca="false">IFERROR(IF($C52="","",IF($D52="","",IFERROR(ROUND($D52*INDEX('🔖 배합비 참조'!$B$2:$CE$83,MATCH("복음땅콩분태",'🔖 배합비 참조'!$A$2:$A$83,0),MATCH($C52,'🔖 배합비 참조'!$B$1:$CE$1,0))/100,0),""))),"")</f>
        <v>0</v>
      </c>
      <c r="AW52" s="42" t="n">
        <f aca="false">IFERROR(IF($C52="","",IF($D52="","",IFERROR(ROUND($D52*INDEX('🔖 배합비 참조'!$B$2:$CE$83,MATCH("사양벌꿀(국내산)",'🔖 배합비 참조'!$A$2:$A$83,0),MATCH($C52,'🔖 배합비 참조'!$B$1:$CE$1,0))/100,0),""))),"")</f>
        <v>0</v>
      </c>
      <c r="AX52" s="42" t="n">
        <f aca="false">IFERROR(IF($C52="","",IF($D52="","",IFERROR(ROUND($D52*INDEX('🔖 배합비 참조'!$B$2:$CE$83,MATCH("생크림",'🔖 배합비 참조'!$A$2:$A$83,0),MATCH($C52,'🔖 배합비 참조'!$B$1:$CE$1,0))/100,0),""))),"")</f>
        <v>0</v>
      </c>
      <c r="AY52" s="42" t="n">
        <f aca="false">IFERROR(IF($C52="","",IF($D52="","",IFERROR(ROUND($D52*INDEX('🔖 배합비 참조'!$B$2:$CE$83,MATCH("서양호박(국내산,뉴질랜드산)",'🔖 배합비 참조'!$A$2:$A$83,0),MATCH($C52,'🔖 배합비 참조'!$B$1:$CE$1,0))/100,0),""))),"")</f>
        <v>0</v>
      </c>
      <c r="AZ52" s="42" t="n">
        <f aca="false">IFERROR(IF($C52="","",IF($D52="","",IFERROR(ROUND($D52*INDEX('🔖 배합비 참조'!$B$2:$CE$83,MATCH("설탕",'🔖 배합비 참조'!$A$2:$A$83,0),MATCH($C52,'🔖 배합비 참조'!$B$1:$CE$1,0))/100,0),""))),"")</f>
        <v>3</v>
      </c>
      <c r="BA52" s="42" t="n">
        <f aca="false">IFERROR(IF($C52="","",IF($D52="","",IFERROR(ROUND($D52*INDEX('🔖 배합비 참조'!$B$2:$CE$83,MATCH("스트로우베리 에이드 후레쉬",'🔖 배합비 참조'!$A$2:$A$83,0),MATCH($C52,'🔖 배합비 참조'!$B$1:$CE$1,0))/100,0),""))),"")</f>
        <v>0</v>
      </c>
      <c r="BB52" s="42" t="n">
        <f aca="false">IFERROR(IF($C52="","",IF($D52="","",IFERROR(ROUND($D52*INDEX('🔖 배합비 참조'!$B$2:$CE$83,MATCH("식물성기름혼합제제(분홍)",'🔖 배합비 참조'!$A$2:$A$83,0),MATCH($C52,'🔖 배합비 참조'!$B$1:$CE$1,0))/100,0),""))),"")</f>
        <v>0</v>
      </c>
      <c r="BC52" s="42" t="n">
        <f aca="false">IFERROR(IF($C52="","",IF($D52="","",IFERROR(ROUND($D52*INDEX('🔖 배합비 참조'!$B$2:$CE$83,MATCH("식물성기름혼합제제(초록)",'🔖 배합비 참조'!$A$2:$A$83,0),MATCH($C52,'🔖 배합비 참조'!$B$1:$CE$1,0))/100,0),""))),"")</f>
        <v>0</v>
      </c>
      <c r="BD52" s="42" t="n">
        <f aca="false">IFERROR(IF($C52="","",IF($D52="","",IFERROR(ROUND($D52*INDEX('🔖 배합비 참조'!$B$2:$CE$83,MATCH("식물성기름혼합제제(황색)",'🔖 배합비 참조'!$A$2:$A$83,0),MATCH($C52,'🔖 배합비 참조'!$B$1:$CE$1,0))/100,0),""))),"")</f>
        <v>0</v>
      </c>
      <c r="BE52" s="42" t="n">
        <f aca="false">IFERROR(IF($C52="","",IF($D52="","",IFERROR(ROUND($D52*INDEX('🔖 배합비 참조'!$B$2:$CE$83,MATCH("쑥가루(국내산)",'🔖 배합비 참조'!$A$2:$A$83,0),MATCH($C52,'🔖 배합비 참조'!$B$1:$CE$1,0))/100,0),""))),"")</f>
        <v>0</v>
      </c>
      <c r="BF52" s="42" t="n">
        <f aca="false">IFERROR(IF($C52="","",IF($D52="","",IFERROR(ROUND($D52*INDEX('🔖 배합비 참조'!$B$2:$CE$83,MATCH("아몬드슬라이스",'🔖 배합비 참조'!$A$2:$A$83,0),MATCH($C52,'🔖 배합비 참조'!$B$1:$CE$1,0))/100,0),""))),"")</f>
        <v>0</v>
      </c>
      <c r="BG52" s="42" t="n">
        <f aca="false">IFERROR(IF($C52="","",IF($D52="","",IFERROR(ROUND($D52*INDEX('🔖 배합비 참조'!$B$2:$CE$83,MATCH("알룰로오스(국내산)",'🔖 배합비 참조'!$A$2:$A$83,0),MATCH($C52,'🔖 배합비 참조'!$B$1:$CE$1,0))/100,0),""))),"")</f>
        <v>0</v>
      </c>
      <c r="BH52" s="42" t="n">
        <f aca="false">IFERROR(IF($C52="","",IF($D52="","",IFERROR(ROUND($D52*INDEX('🔖 배합비 참조'!$B$2:$CE$83,MATCH("연유",'🔖 배합비 참조'!$A$2:$A$83,0),MATCH($C52,'🔖 배합비 참조'!$B$1:$CE$1,0))/100,0),""))),"")</f>
        <v>0</v>
      </c>
      <c r="BI52" s="42" t="n">
        <f aca="false">IFERROR(IF($C52="","",IF($D52="","",IFERROR(ROUND($D52*INDEX('🔖 배합비 참조'!$B$2:$CE$83,MATCH("옥수수전분",'🔖 배합비 참조'!$A$2:$A$83,0),MATCH($C52,'🔖 배합비 참조'!$B$1:$CE$1,0))/100,0),""))),"")</f>
        <v>0</v>
      </c>
      <c r="BJ52" s="42" t="n">
        <f aca="false">IFERROR(IF($C52="","",IF($D52="","",IFERROR(ROUND($D52*INDEX('🔖 배합비 참조'!$B$2:$CE$83,MATCH("완두배기",'🔖 배합비 참조'!$A$2:$A$83,0),MATCH($C52,'🔖 배합비 참조'!$B$1:$CE$1,0))/100,0),""))),"")</f>
        <v>0</v>
      </c>
      <c r="BK52" s="42" t="n">
        <f aca="false">IFERROR(IF($C52="","",IF($D52="","",IFERROR(ROUND($D52*INDEX('🔖 배합비 참조'!$B$2:$CE$83,MATCH("우유(국내산)",'🔖 배합비 참조'!$A$2:$A$83,0),MATCH($C52,'🔖 배합비 참조'!$B$1:$CE$1,0))/100,0),""))),"")</f>
        <v>0</v>
      </c>
      <c r="BL52" s="42" t="n">
        <f aca="false">IFERROR(IF($C52="","",IF($D52="","",IFERROR(ROUND($D52*INDEX('🔖 배합비 참조'!$B$2:$CE$83,MATCH("자색고구마가루(중국산)",'🔖 배합비 참조'!$A$2:$A$83,0),MATCH($C52,'🔖 배합비 참조'!$B$1:$CE$1,0))/100,0),""))),"")</f>
        <v>0</v>
      </c>
      <c r="BM52" s="42" t="n">
        <f aca="false">IFERROR(IF($C52="","",IF($D52="","",IFERROR(ROUND($D52*INDEX('🔖 배합비 참조'!$B$2:$CE$83,MATCH("자연치즈(체다치즈)",'🔖 배합비 참조'!$A$2:$A$83,0),MATCH($C52,'🔖 배합비 참조'!$B$1:$CE$1,0))/100,0),""))),"")</f>
        <v>0</v>
      </c>
      <c r="BN52" s="42" t="n">
        <f aca="false">IFERROR(IF($C52="","",IF($D52="","",IFERROR(ROUND($D52*INDEX('🔖 배합비 참조'!$B$2:$CE$83,MATCH("정제수",'🔖 배합비 참조'!$A$2:$A$83,0),MATCH($C52,'🔖 배합비 참조'!$B$1:$CE$1,0))/100,0),""))),"")</f>
        <v>27</v>
      </c>
      <c r="BO52" s="42" t="n">
        <f aca="false">IFERROR(IF($C52="","",IF($D52="","",IFERROR(ROUND($D52*INDEX('🔖 배합비 참조'!$B$2:$CE$83,MATCH("젤라틴",'🔖 배합비 참조'!$A$2:$A$83,0),MATCH($C52,'🔖 배합비 참조'!$B$1:$CE$1,0))/100,0),""))),"")</f>
        <v>0</v>
      </c>
      <c r="BP52" s="42" t="n">
        <f aca="false">IFERROR(IF($C52="","",IF($D52="","",IFERROR(ROUND($D52*INDEX('🔖 배합비 참조'!$B$2:$CE$83,MATCH("조림류(백옥앙금)",'🔖 배합비 참조'!$A$2:$A$83,0),MATCH($C52,'🔖 배합비 참조'!$B$1:$CE$1,0))/100,0),""))),"")</f>
        <v>0</v>
      </c>
      <c r="BQ52" s="42" t="n">
        <f aca="false">IFERROR(IF($C52="","",IF($D52="","",IFERROR(ROUND($D52*INDEX('🔖 배합비 참조'!$B$2:$CE$83,MATCH("조림류(통팥앙금)",'🔖 배합비 참조'!$A$2:$A$83,0),MATCH($C52,'🔖 배합비 참조'!$B$1:$CE$1,0))/100,0),""))),"")</f>
        <v>0</v>
      </c>
      <c r="BR52" s="42" t="n">
        <f aca="false">IFERROR(IF($C52="","",IF($D52="","",IFERROR(ROUND($D52*INDEX('🔖 배합비 참조'!$B$2:$CE$83,MATCH("준초콜릿(외국산)",'🔖 배합비 참조'!$A$2:$A$83,0),MATCH($C52,'🔖 배합비 참조'!$B$1:$CE$1,0))/100,0),""))),"")</f>
        <v>0</v>
      </c>
      <c r="BS52" s="42" t="n">
        <f aca="false">IFERROR(IF($C52="","",IF($D52="","",IFERROR(ROUND($D52*INDEX('🔖 배합비 참조'!$B$2:$CE$83,MATCH("중력분",'🔖 배합비 참조'!$A$2:$A$83,0),MATCH($C52,'🔖 배합비 참조'!$B$1:$CE$1,0))/100,0),""))),"")</f>
        <v>1</v>
      </c>
      <c r="BT52" s="42" t="n">
        <f aca="false">IFERROR(IF($C52="","",IF($D52="","",IFERROR(ROUND($D52*INDEX('🔖 배합비 참조'!$B$2:$CE$83,MATCH("참깨(인도산,나이지리아산,탄자니아산,미얀마산)",'🔖 배합비 참조'!$A$2:$A$83,0),MATCH($C52,'🔖 배합비 참조'!$B$1:$CE$1,0))/100,0),""))),"")</f>
        <v>0</v>
      </c>
      <c r="BU52" s="42" t="n">
        <f aca="false">IFERROR(IF($C52="","",IF($D52="","",IFERROR(ROUND($D52*INDEX('🔖 배합비 참조'!$B$2:$CE$83,MATCH("찹쌀(국내산)",'🔖 배합비 참조'!$A$2:$A$83,0),MATCH($C52,'🔖 배합비 참조'!$B$1:$CE$1,0))/100,0),""))),"")</f>
        <v>33</v>
      </c>
      <c r="BV52" s="42" t="n">
        <f aca="false">IFERROR(IF($C52="","",IF($D52="","",IFERROR(ROUND($D52*INDEX('🔖 배합비 참조'!$B$2:$CE$83,MATCH("천일염",'🔖 배합비 참조'!$A$2:$A$83,0),MATCH($C52,'🔖 배합비 참조'!$B$1:$CE$1,0))/100,0),""))),"")</f>
        <v>1</v>
      </c>
      <c r="BW52" s="42" t="n">
        <f aca="false">IFERROR(IF($C52="","",IF($D52="","",IFERROR(ROUND($D52*INDEX('🔖 배합비 참조'!$B$2:$CE$83,MATCH("치즈 [크림치즈]",'🔖 배합비 참조'!$A$2:$A$83,0),MATCH($C52,'🔖 배합비 참조'!$B$1:$CE$1,0))/100,0),""))),"")</f>
        <v>0</v>
      </c>
      <c r="BX52" s="42" t="n">
        <f aca="false">IFERROR(IF($C52="","",IF($D52="","",IFERROR(ROUND($D52*INDEX('🔖 배합비 참조'!$B$2:$CE$83,MATCH("코코아가공품류(코코아분말)",'🔖 배합비 참조'!$A$2:$A$83,0),MATCH($C52,'🔖 배합비 참조'!$B$1:$CE$1,0))/100,0),""))),"")</f>
        <v>0</v>
      </c>
      <c r="BY52" s="42" t="n">
        <f aca="false">IFERROR(IF($C52="","",IF($D52="","",IFERROR(ROUND($D52*INDEX('🔖 배합비 참조'!$B$2:$CE$83,MATCH("콩기름(대두유)",'🔖 배합비 참조'!$A$2:$A$83,0),MATCH($C52,'🔖 배합비 참조'!$B$1:$CE$1,0))/100,0),""))),"")</f>
        <v>0</v>
      </c>
      <c r="BZ52" s="42" t="n">
        <f aca="false">IFERROR(IF($C52="","",IF($D52="","",IFERROR(ROUND($D52*INDEX('🔖 배합비 참조'!$B$2:$CE$83,MATCH("해바라기씨앗",'🔖 배합비 참조'!$A$2:$A$83,0),MATCH($C52,'🔖 배합비 참조'!$B$1:$CE$1,0))/100,0),""))),"")</f>
        <v>0</v>
      </c>
      <c r="CA52" s="42" t="n">
        <f aca="false">IFERROR(IF($C52="","",IF($D52="","",IFERROR(ROUND($D52*INDEX('🔖 배합비 참조'!$B$2:$CE$83,MATCH("현미(국내산)",'🔖 배합비 참조'!$A$2:$A$83,0),MATCH($C52,'🔖 배합비 참조'!$B$1:$CE$1,0))/100,0),""))),"")</f>
        <v>0</v>
      </c>
      <c r="CB52" s="42" t="n">
        <f aca="false">IFERROR(IF($C52="","",IF($D52="","",IFERROR(ROUND($D52*INDEX('🔖 배합비 참조'!$B$2:$CE$83,MATCH("현미멥쌀(국내산)",'🔖 배합비 참조'!$A$2:$A$83,0),MATCH($C52,'🔖 배합비 참조'!$B$1:$CE$1,0))/100,0),""))),"")</f>
        <v>0</v>
      </c>
      <c r="CC52" s="42" t="n">
        <f aca="false">IFERROR(IF($C52="","",IF($D52="","",IFERROR(ROUND($D52*INDEX('🔖 배합비 참조'!$B$2:$CE$83,MATCH("호두분태(미국산)",'🔖 배합비 참조'!$A$2:$A$83,0),MATCH($C52,'🔖 배합비 참조'!$B$1:$CE$1,0))/100,0),""))),"")</f>
        <v>0</v>
      </c>
      <c r="CD52" s="42" t="n">
        <f aca="false">IFERROR(IF($C52="","",IF($D52="","",IFERROR(ROUND($D52*INDEX('🔖 배합비 참조'!$B$2:$CE$83,MATCH("호박씨앗(외국산)",'🔖 배합비 참조'!$A$2:$A$83,0),MATCH($C52,'🔖 배합비 참조'!$B$1:$CE$1,0))/100,0),""))),"")</f>
        <v>0</v>
      </c>
      <c r="CE52" s="42" t="n">
        <f aca="false">IFERROR(IF($C52="","",IF($D52="","",IFERROR(ROUND($D52*INDEX('🔖 배합비 참조'!$B$2:$CE$83,MATCH("혼합제제(떡용에스텔)",'🔖 배합비 참조'!$A$2:$A$83,0),MATCH($C52,'🔖 배합비 참조'!$B$1:$CE$1,0))/100,0),""))),"")</f>
        <v>0</v>
      </c>
      <c r="CF52" s="42" t="n">
        <f aca="false">IFERROR(IF($C52="","",IF($D52="","",IFERROR(ROUND($D52*INDEX('🔖 배합비 참조'!$B$2:$CE$83,MATCH("혼합제제(스테비아)",'🔖 배합비 참조'!$A$2:$A$83,0),MATCH($C52,'🔖 배합비 참조'!$B$1:$CE$1,0))/100,0),""))),"")</f>
        <v>0</v>
      </c>
      <c r="CG52" s="42" t="n">
        <f aca="false">IFERROR(IF($C52="","",IF($D52="","",IFERROR(ROUND($D52*INDEX('🔖 배합비 참조'!$B$2:$CE$83,MATCH("화이트초콜릿",'🔖 배합비 참조'!$A$2:$A$83,0),MATCH($C52,'🔖 배합비 참조'!$B$1:$CE$1,0))/100,0),""))),"")</f>
        <v>0</v>
      </c>
      <c r="CH52" s="42" t="n">
        <f aca="false">IFERROR(IF($C52="","",IF($D52="","",IFERROR(ROUND($D52*INDEX('🔖 배합비 참조'!$B$2:$CE$83,MATCH("흑미찹쌀(국내산)",'🔖 배합비 참조'!$A$2:$A$83,0),MATCH($C52,'🔖 배합비 참조'!$B$1:$CE$1,0))/100,0),""))),"")</f>
        <v>0</v>
      </c>
      <c r="CI52" s="42" t="n">
        <f aca="false">IFERROR(IF($C52="","",IF($D52="","",IFERROR(ROUND($D52*INDEX('🔖 배합비 참조'!$B$2:$CE$83,MATCH("찰옥수수전분(미국산)",'🔖 배합비 참조'!$A$2:$A$83,0),MATCH($C52,'🔖 배합비 참조'!$B$1:$CE$1,0))/100,0),""))),"")</f>
        <v>0</v>
      </c>
      <c r="CJ52" s="40"/>
      <c r="CL52" s="1" t="s">
        <v>238</v>
      </c>
    </row>
    <row r="53" customFormat="false" ht="18" hidden="false" customHeight="true" outlineLevel="0" collapsed="false">
      <c r="A53" s="35" t="n">
        <v>49</v>
      </c>
      <c r="B53" s="36" t="n">
        <v>45966</v>
      </c>
      <c r="C53" s="37" t="s">
        <v>147</v>
      </c>
      <c r="D53" s="38" t="n">
        <v>80</v>
      </c>
      <c r="E53" s="13"/>
      <c r="F53" s="13"/>
      <c r="G53" s="39" t="n">
        <f aca="false">IFERROR(IF($C53="","",IF($D53="","",IFERROR(ROUND($D53*INDEX('🔖 배합비 참조'!$B$2:$CE$83,MATCH("간장",'🔖 배합비 참조'!$A$2:$A$83,0),MATCH($C53,'🔖 배합비 참조'!$B$1:$CE$1,0))/100,0),""))),"")</f>
        <v>1</v>
      </c>
      <c r="H53" s="39" t="n">
        <f aca="false">IFERROR(IF($C53="","",IF($D53="","",IFERROR(ROUND($D53*INDEX('🔖 배합비 참조'!$B$2:$CE$83,MATCH("강낭콩((울타리콩))",'🔖 배합비 참조'!$A$2:$A$83,0),MATCH($C53,'🔖 배합비 참조'!$B$1:$CE$1,0))/100,0),""))),"")</f>
        <v>0</v>
      </c>
      <c r="I53" s="39" t="n">
        <f aca="false">IFERROR(IF($C53="","",IF($D53="","",IFERROR(ROUND($D53*INDEX('🔖 배합비 참조'!$B$2:$CE$83,MATCH("건조딸기다이스(외국산)",'🔖 배합비 참조'!$A$2:$A$83,0),MATCH($C53,'🔖 배합비 참조'!$B$1:$CE$1,0))/100,0),""))),"")</f>
        <v>0</v>
      </c>
      <c r="J53" s="39" t="n">
        <f aca="false">IFERROR(IF($C53="","",IF($D53="","",IFERROR(ROUND($D53*INDEX('🔖 배합비 참조'!$B$2:$CE$83,MATCH("건포도",'🔖 배합비 참조'!$A$2:$A$83,0),MATCH($C53,'🔖 배합비 참조'!$B$1:$CE$1,0))/100,0),""))),"")</f>
        <v>1</v>
      </c>
      <c r="K53" s="39" t="n">
        <f aca="false">IFERROR(IF($C53="","",IF($D53="","",IFERROR(ROUND($D53*INDEX('🔖 배합비 참조'!$B$2:$CE$83,MATCH("건호박채(중국산)",'🔖 배합비 참조'!$A$2:$A$83,0),MATCH($C53,'🔖 배합비 참조'!$B$1:$CE$1,0))/100,0),""))),"")</f>
        <v>0</v>
      </c>
      <c r="L53" s="39" t="n">
        <f aca="false">IFERROR(IF($C53="","",IF($D53="","",IFERROR(ROUND($D53*INDEX('🔖 배합비 참조'!$B$2:$CE$83,MATCH("검정깨(흑임자)",'🔖 배합비 참조'!$A$2:$A$83,0),MATCH($C53,'🔖 배합비 참조'!$B$1:$CE$1,0))/100,0),""))),"")</f>
        <v>0</v>
      </c>
      <c r="M53" s="39" t="n">
        <f aca="false">IFERROR(IF($C53="","",IF($D53="","",IFERROR(ROUND($D53*INDEX('🔖 배합비 참조'!$B$2:$CE$83,MATCH("검정콩",'🔖 배합비 참조'!$A$2:$A$83,0),MATCH($C53,'🔖 배합비 참조'!$B$1:$CE$1,0))/100,0),""))),"")</f>
        <v>0</v>
      </c>
      <c r="N53" s="39" t="n">
        <f aca="false">IFERROR(IF($C53="","",IF($D53="","",IFERROR(ROUND($D53*INDEX('🔖 배합비 참조'!$B$2:$CE$83,MATCH("계피가루",'🔖 배합비 참조'!$A$2:$A$83,0),MATCH($C53,'🔖 배합비 참조'!$B$1:$CE$1,0))/100,0),""))),"")</f>
        <v>0</v>
      </c>
      <c r="O53" s="39" t="n">
        <f aca="false">IFERROR(IF($C53="","",IF($D53="","",IFERROR(ROUND($D53*INDEX('🔖 배합비 참조'!$B$2:$CE$83,MATCH("고구마가루",'🔖 배합비 참조'!$A$2:$A$83,0),MATCH($C53,'🔖 배합비 참조'!$B$1:$CE$1,0))/100,0),""))),"")</f>
        <v>0</v>
      </c>
      <c r="P53" s="39" t="n">
        <f aca="false">IFERROR(IF($C53="","",IF($D53="","",IFERROR(ROUND($D53*INDEX('🔖 배합비 참조'!$B$2:$CE$83,MATCH("고구마무스",'🔖 배합비 참조'!$A$2:$A$83,0),MATCH($C53,'🔖 배합비 참조'!$B$1:$CE$1,0))/100,0),""))),"")</f>
        <v>0</v>
      </c>
      <c r="Q53" s="39" t="n">
        <f aca="false">IFERROR(IF($C53="","",IF($D53="","",IFERROR(ROUND($D53*INDEX('🔖 배합비 참조'!$B$2:$CE$83,MATCH("고려엉겅퀴((곤드레)국내산)",'🔖 배합비 참조'!$A$2:$A$83,0),MATCH($C53,'🔖 배합비 참조'!$B$1:$CE$1,0))/100,0),""))),"")</f>
        <v>0</v>
      </c>
      <c r="R53" s="39" t="n">
        <f aca="false">IFERROR(IF($C53="","",IF($D53="","",IFERROR(ROUND($D53*INDEX('🔖 배합비 참조'!$B$2:$CE$83,MATCH("기타가공품(복분자가루)",'🔖 배합비 참조'!$A$2:$A$83,0),MATCH($C53,'🔖 배합비 참조'!$B$1:$CE$1,0))/100,0),""))),"")</f>
        <v>0</v>
      </c>
      <c r="S53" s="39" t="n">
        <f aca="false">IFERROR(IF($C53="","",IF($D53="","",IFERROR(ROUND($D53*INDEX('🔖 배합비 참조'!$B$2:$CE$83,MATCH("기타가공품(슈퍼소프트엠)",'🔖 배합비 참조'!$A$2:$A$83,0),MATCH($C53,'🔖 배합비 참조'!$B$1:$CE$1,0))/100,0),""))),"")</f>
        <v>0</v>
      </c>
      <c r="T53" s="39" t="n">
        <f aca="false">IFERROR(IF($C53="","",IF($D53="","",IFERROR(ROUND($D53*INDEX('🔖 배합비 참조'!$B$2:$CE$83,MATCH("기타가공품(파인소프트 E-티)",'🔖 배합비 참조'!$A$2:$A$83,0),MATCH($C53,'🔖 배합비 참조'!$B$1:$CE$1,0))/100,0),""))),"")</f>
        <v>0</v>
      </c>
      <c r="U53" s="39" t="n">
        <f aca="false">IFERROR(IF($C53="","",IF($D53="","",IFERROR(ROUND($D53*INDEX('🔖 배합비 참조'!$B$2:$CE$83,MATCH("기타가공품(프리미엄카스테라가루)",'🔖 배합비 참조'!$A$2:$A$83,0),MATCH($C53,'🔖 배합비 참조'!$B$1:$CE$1,0))/100,0),""))),"")</f>
        <v>0</v>
      </c>
      <c r="V53" s="39" t="n">
        <f aca="false">IFERROR(IF($C53="","",IF($D53="","",IFERROR(ROUND($D53*INDEX('🔖 배합비 참조'!$B$2:$CE$83,MATCH("기타가공품(흑임자가루)",'🔖 배합비 참조'!$A$2:$A$83,0),MATCH($C53,'🔖 배합비 참조'!$B$1:$CE$1,0))/100,0),""))),"")</f>
        <v>0</v>
      </c>
      <c r="W53" s="39" t="n">
        <f aca="false">IFERROR(IF($C53="","",IF($D53="","",IFERROR(ROUND($D53*INDEX('🔖 배합비 참조'!$B$2:$CE$83,MATCH("기타설탕(흑설탕)",'🔖 배합비 참조'!$A$2:$A$83,0),MATCH($C53,'🔖 배합비 참조'!$B$1:$CE$1,0))/100,0),""))),"")</f>
        <v>0</v>
      </c>
      <c r="X53" s="39" t="n">
        <f aca="false">IFERROR(IF($C53="","",IF($D53="","",IFERROR(ROUND($D53*INDEX('🔖 배합비 참조'!$B$2:$CE$83,MATCH("냉동쑥(국내산)",'🔖 배합비 참조'!$A$2:$A$83,0),MATCH($C53,'🔖 배합비 참조'!$B$1:$CE$1,0))/100,0),""))),"")</f>
        <v>0</v>
      </c>
      <c r="Y53" s="39" t="n">
        <f aca="false">IFERROR(IF($C53="","",IF($D53="","",IFERROR(ROUND($D53*INDEX('🔖 배합비 참조'!$B$2:$CE$83,MATCH("냉동증숙고구마(중국산)",'🔖 배합비 참조'!$A$2:$A$83,0),MATCH($C53,'🔖 배합비 참조'!$B$1:$CE$1,0))/100,0),""))),"")</f>
        <v>0</v>
      </c>
      <c r="Z53" s="39" t="n">
        <f aca="false">IFERROR(IF($C53="","",IF($D53="","",IFERROR(ROUND($D53*INDEX('🔖 배합비 참조'!$B$2:$CE$83,MATCH("녹차가루",'🔖 배합비 참조'!$A$2:$A$83,0),MATCH($C53,'🔖 배합비 참조'!$B$1:$CE$1,0))/100,0),""))),"")</f>
        <v>0</v>
      </c>
      <c r="AA53" s="39" t="n">
        <f aca="false">IFERROR(IF($C53="","",IF($D53="","",IFERROR(ROUND($D53*INDEX('🔖 배합비 참조'!$B$2:$CE$83,MATCH("다크초콜릿 컴파운드칩",'🔖 배합비 참조'!$A$2:$A$83,0),MATCH($C53,'🔖 배합비 참조'!$B$1:$CE$1,0))/100,0),""))),"")</f>
        <v>0</v>
      </c>
      <c r="AB53" s="39" t="n">
        <f aca="false">IFERROR(IF($C53="","",IF($D53="","",IFERROR(ROUND($D53*INDEX('🔖 배합비 참조'!$B$2:$CE$83,MATCH("단호박분말(중국산)",'🔖 배합비 참조'!$A$2:$A$83,0),MATCH($C53,'🔖 배합비 참조'!$B$1:$CE$1,0))/100,0),""))),"")</f>
        <v>0</v>
      </c>
      <c r="AC53" s="39" t="n">
        <f aca="false">IFERROR(IF($C53="","",IF($D53="","",IFERROR(ROUND($D53*INDEX('🔖 배합비 참조'!$B$2:$CE$83,MATCH("당류가공품(단호박농축액)",'🔖 배합비 참조'!$A$2:$A$83,0),MATCH($C53,'🔖 배합비 참조'!$B$1:$CE$1,0))/100,0),""))),"")</f>
        <v>0</v>
      </c>
      <c r="AD53" s="39" t="n">
        <f aca="false">IFERROR(IF($C53="","",IF($D53="","",IFERROR(ROUND($D53*INDEX('🔖 배합비 참조'!$B$2:$CE$83,MATCH("당류가공품(알룰로스,에리스리톨,스테비올배당체혼합)",'🔖 배합비 참조'!$A$2:$A$83,0),MATCH($C53,'🔖 배합비 참조'!$B$1:$CE$1,0))/100,0),""))),"")</f>
        <v>0</v>
      </c>
      <c r="AE53" s="39" t="n">
        <f aca="false">IFERROR(IF($C53="","",IF($D53="","",IFERROR(ROUND($D53*INDEX('🔖 배합비 참조'!$B$2:$CE$83,MATCH("당류가공품(알룰로스제로파우더)",'🔖 배합비 참조'!$A$2:$A$83,0),MATCH($C53,'🔖 배합비 참조'!$B$1:$CE$1,0))/100,0),""))),"")</f>
        <v>0</v>
      </c>
      <c r="AF53" s="39" t="n">
        <f aca="false">IFERROR(IF($C53="","",IF($D53="","",IFERROR(ROUND($D53*INDEX('🔖 배합비 참조'!$B$2:$CE$83,MATCH("당절임(완두배기)",'🔖 배합비 참조'!$A$2:$A$83,0),MATCH($C53,'🔖 배합비 참조'!$B$1:$CE$1,0))/100,0),""))),"")</f>
        <v>0</v>
      </c>
      <c r="AG53" s="39" t="n">
        <f aca="false">IFERROR(IF($C53="","",IF($D53="","",IFERROR(ROUND($D53*INDEX('🔖 배합비 참조'!$B$2:$CE$83,MATCH("대추농축액",'🔖 배합비 참조'!$A$2:$A$83,0),MATCH($C53,'🔖 배합비 참조'!$B$1:$CE$1,0))/100,0),""))),"")</f>
        <v>2</v>
      </c>
      <c r="AH53" s="39" t="n">
        <f aca="false">IFERROR(IF($C53="","",IF($D53="","",IFERROR(ROUND($D53*INDEX('🔖 배합비 참조'!$B$2:$CE$83,MATCH("대추채(국내산)",'🔖 배합비 참조'!$A$2:$A$83,0),MATCH($C53,'🔖 배합비 참조'!$B$1:$CE$1,0))/100,0),""))),"")</f>
        <v>1</v>
      </c>
      <c r="AI53" s="39" t="n">
        <f aca="false">IFERROR(IF($C53="","",IF($D53="","",IFERROR(ROUND($D53*INDEX('🔖 배합비 참조'!$B$2:$CE$83,MATCH("동부(미얀마산)",'🔖 배합비 참조'!$A$2:$A$83,0),MATCH($C53,'🔖 배합비 참조'!$B$1:$CE$1,0))/100,0),""))),"")</f>
        <v>0</v>
      </c>
      <c r="AJ53" s="39" t="n">
        <f aca="false">IFERROR(IF($C53="","",IF($D53="","",IFERROR(ROUND($D53*INDEX('🔖 배합비 참조'!$B$2:$CE$83,MATCH("두류가공품(백옥앙금)",'🔖 배합비 참조'!$A$2:$A$83,0),MATCH($C53,'🔖 배합비 참조'!$B$1:$CE$1,0))/100,0),""))),"")</f>
        <v>0</v>
      </c>
      <c r="AK53" s="39" t="n">
        <f aca="false">IFERROR(IF($C53="","",IF($D53="","",IFERROR(ROUND($D53*INDEX('🔖 배합비 참조'!$B$2:$CE$83,MATCH("두류가공품(콩고물)",'🔖 배합비 참조'!$A$2:$A$83,0),MATCH($C53,'🔖 배합비 참조'!$B$1:$CE$1,0))/100,0),""))),"")</f>
        <v>0</v>
      </c>
      <c r="AL53" s="39" t="n">
        <f aca="false">IFERROR(IF($C53="","",IF($D53="","",IFERROR(ROUND($D53*INDEX('🔖 배합비 참조'!$B$2:$CE$83,MATCH("두류가공품(통팥고물)",'🔖 배합비 참조'!$A$2:$A$83,0),MATCH($C53,'🔖 배합비 참조'!$B$1:$CE$1,0))/100,0),""))),"")</f>
        <v>0</v>
      </c>
      <c r="AM53" s="39" t="n">
        <f aca="false">IFERROR(IF($C53="","",IF($D53="","",IFERROR(ROUND($D53*INDEX('🔖 배합비 참조'!$B$2:$CE$83,MATCH("딸기레진",'🔖 배합비 참조'!$A$2:$A$83,0),MATCH($C53,'🔖 배합비 참조'!$B$1:$CE$1,0))/100,0),""))),"")</f>
        <v>0</v>
      </c>
      <c r="AN53" s="39" t="n">
        <f aca="false">IFERROR(IF($C53="","",IF($D53="","",IFERROR(ROUND($D53*INDEX('🔖 배합비 참조'!$B$2:$CE$83,MATCH("딸기분말(스트로우베리에이드(분말))",'🔖 배합비 참조'!$A$2:$A$83,0),MATCH($C53,'🔖 배합비 참조'!$B$1:$CE$1,0))/100,0),""))),"")</f>
        <v>0</v>
      </c>
      <c r="AO53" s="39" t="n">
        <f aca="false">IFERROR(IF($C53="","",IF($D53="","",IFERROR(ROUND($D53*INDEX('🔖 배합비 참조'!$B$2:$CE$83,MATCH("마스카포네치즈",'🔖 배합비 참조'!$A$2:$A$83,0),MATCH($C53,'🔖 배합비 참조'!$B$1:$CE$1,0))/100,0),""))),"")</f>
        <v>0</v>
      </c>
      <c r="AP53" s="39" t="n">
        <f aca="false">IFERROR(IF($C53="","",IF($D53="","",IFERROR(ROUND($D53*INDEX('🔖 배합비 참조'!$B$2:$CE$83,MATCH("마카다미아분태(호주산)",'🔖 배합비 참조'!$A$2:$A$83,0),MATCH($C53,'🔖 배합비 참조'!$B$1:$CE$1,0))/100,0),""))),"")</f>
        <v>0</v>
      </c>
      <c r="AQ53" s="39" t="n">
        <f aca="false">IFERROR(IF($C53="","",IF($D53="","",IFERROR(ROUND($D53*INDEX('🔖 배합비 참조'!$B$2:$CE$83,MATCH("멥쌀(국내산)",'🔖 배합비 참조'!$A$2:$A$83,0),MATCH($C53,'🔖 배합비 참조'!$B$1:$CE$1,0))/100,0),""))),"")</f>
        <v>0</v>
      </c>
      <c r="AR53" s="39" t="n">
        <f aca="false">IFERROR(IF($C53="","",IF($D53="","",IFERROR(ROUND($D53*INDEX('🔖 배합비 참조'!$B$2:$CE$83,MATCH("모시잎(국내산)",'🔖 배합비 참조'!$A$2:$A$83,0),MATCH($C53,'🔖 배합비 참조'!$B$1:$CE$1,0))/100,0),""))),"")</f>
        <v>0</v>
      </c>
      <c r="AS53" s="39" t="n">
        <f aca="false">IFERROR(IF($C53="","",IF($D53="","",IFERROR(ROUND($D53*INDEX('🔖 배합비 참조'!$B$2:$CE$83,MATCH("물엿(저당물엿)",'🔖 배합비 참조'!$A$2:$A$83,0),MATCH($C53,'🔖 배합비 참조'!$B$1:$CE$1,0))/100,0),""))),"")</f>
        <v>0</v>
      </c>
      <c r="AT53" s="39" t="n">
        <f aca="false">IFERROR(IF($C53="","",IF($D53="","",IFERROR(ROUND($D53*INDEX('🔖 배합비 참조'!$B$2:$CE$83,MATCH("밤다이스",'🔖 배합비 참조'!$A$2:$A$83,0),MATCH($C53,'🔖 배합비 참조'!$B$1:$CE$1,0))/100,0),""))),"")</f>
        <v>3</v>
      </c>
      <c r="AU53" s="39" t="n">
        <f aca="false">IFERROR(IF($C53="","",IF($D53="","",IFERROR(ROUND($D53*INDEX('🔖 배합비 참조'!$B$2:$CE$83,MATCH("변성전분(타피오카전분)",'🔖 배합비 참조'!$A$2:$A$83,0),MATCH($C53,'🔖 배합비 참조'!$B$1:$CE$1,0))/100,0),""))),"")</f>
        <v>0</v>
      </c>
      <c r="AV53" s="39" t="n">
        <f aca="false">IFERROR(IF($C53="","",IF($D53="","",IFERROR(ROUND($D53*INDEX('🔖 배합비 참조'!$B$2:$CE$83,MATCH("복음땅콩분태",'🔖 배합비 참조'!$A$2:$A$83,0),MATCH($C53,'🔖 배합비 참조'!$B$1:$CE$1,0))/100,0),""))),"")</f>
        <v>0</v>
      </c>
      <c r="AW53" s="39" t="n">
        <f aca="false">IFERROR(IF($C53="","",IF($D53="","",IFERROR(ROUND($D53*INDEX('🔖 배합비 참조'!$B$2:$CE$83,MATCH("사양벌꿀(국내산)",'🔖 배합비 참조'!$A$2:$A$83,0),MATCH($C53,'🔖 배합비 참조'!$B$1:$CE$1,0))/100,0),""))),"")</f>
        <v>0</v>
      </c>
      <c r="AX53" s="39" t="n">
        <f aca="false">IFERROR(IF($C53="","",IF($D53="","",IFERROR(ROUND($D53*INDEX('🔖 배합비 참조'!$B$2:$CE$83,MATCH("생크림",'🔖 배합비 참조'!$A$2:$A$83,0),MATCH($C53,'🔖 배합비 참조'!$B$1:$CE$1,0))/100,0),""))),"")</f>
        <v>0</v>
      </c>
      <c r="AY53" s="39" t="n">
        <f aca="false">IFERROR(IF($C53="","",IF($D53="","",IFERROR(ROUND($D53*INDEX('🔖 배합비 참조'!$B$2:$CE$83,MATCH("서양호박(국내산,뉴질랜드산)",'🔖 배합비 참조'!$A$2:$A$83,0),MATCH($C53,'🔖 배합비 참조'!$B$1:$CE$1,0))/100,0),""))),"")</f>
        <v>0</v>
      </c>
      <c r="AZ53" s="39" t="n">
        <f aca="false">IFERROR(IF($C53="","",IF($D53="","",IFERROR(ROUND($D53*INDEX('🔖 배합비 참조'!$B$2:$CE$83,MATCH("설탕",'🔖 배합비 참조'!$A$2:$A$83,0),MATCH($C53,'🔖 배합비 참조'!$B$1:$CE$1,0))/100,0),""))),"")</f>
        <v>7</v>
      </c>
      <c r="BA53" s="39" t="n">
        <f aca="false">IFERROR(IF($C53="","",IF($D53="","",IFERROR(ROUND($D53*INDEX('🔖 배합비 참조'!$B$2:$CE$83,MATCH("스트로우베리 에이드 후레쉬",'🔖 배합비 참조'!$A$2:$A$83,0),MATCH($C53,'🔖 배합비 참조'!$B$1:$CE$1,0))/100,0),""))),"")</f>
        <v>0</v>
      </c>
      <c r="BB53" s="39" t="n">
        <f aca="false">IFERROR(IF($C53="","",IF($D53="","",IFERROR(ROUND($D53*INDEX('🔖 배합비 참조'!$B$2:$CE$83,MATCH("식물성기름혼합제제(분홍)",'🔖 배합비 참조'!$A$2:$A$83,0),MATCH($C53,'🔖 배합비 참조'!$B$1:$CE$1,0))/100,0),""))),"")</f>
        <v>0</v>
      </c>
      <c r="BC53" s="39" t="n">
        <f aca="false">IFERROR(IF($C53="","",IF($D53="","",IFERROR(ROUND($D53*INDEX('🔖 배합비 참조'!$B$2:$CE$83,MATCH("식물성기름혼합제제(초록)",'🔖 배합비 참조'!$A$2:$A$83,0),MATCH($C53,'🔖 배합비 참조'!$B$1:$CE$1,0))/100,0),""))),"")</f>
        <v>0</v>
      </c>
      <c r="BD53" s="39" t="n">
        <f aca="false">IFERROR(IF($C53="","",IF($D53="","",IFERROR(ROUND($D53*INDEX('🔖 배합비 참조'!$B$2:$CE$83,MATCH("식물성기름혼합제제(황색)",'🔖 배합비 참조'!$A$2:$A$83,0),MATCH($C53,'🔖 배합비 참조'!$B$1:$CE$1,0))/100,0),""))),"")</f>
        <v>0</v>
      </c>
      <c r="BE53" s="39" t="n">
        <f aca="false">IFERROR(IF($C53="","",IF($D53="","",IFERROR(ROUND($D53*INDEX('🔖 배합비 참조'!$B$2:$CE$83,MATCH("쑥가루(국내산)",'🔖 배합비 참조'!$A$2:$A$83,0),MATCH($C53,'🔖 배합비 참조'!$B$1:$CE$1,0))/100,0),""))),"")</f>
        <v>0</v>
      </c>
      <c r="BF53" s="39" t="n">
        <f aca="false">IFERROR(IF($C53="","",IF($D53="","",IFERROR(ROUND($D53*INDEX('🔖 배합비 참조'!$B$2:$CE$83,MATCH("아몬드슬라이스",'🔖 배합비 참조'!$A$2:$A$83,0),MATCH($C53,'🔖 배합비 참조'!$B$1:$CE$1,0))/100,0),""))),"")</f>
        <v>0</v>
      </c>
      <c r="BG53" s="39" t="n">
        <f aca="false">IFERROR(IF($C53="","",IF($D53="","",IFERROR(ROUND($D53*INDEX('🔖 배합비 참조'!$B$2:$CE$83,MATCH("알룰로오스(국내산)",'🔖 배합비 참조'!$A$2:$A$83,0),MATCH($C53,'🔖 배합비 참조'!$B$1:$CE$1,0))/100,0),""))),"")</f>
        <v>0</v>
      </c>
      <c r="BH53" s="39" t="n">
        <f aca="false">IFERROR(IF($C53="","",IF($D53="","",IFERROR(ROUND($D53*INDEX('🔖 배합비 참조'!$B$2:$CE$83,MATCH("연유",'🔖 배합비 참조'!$A$2:$A$83,0),MATCH($C53,'🔖 배합비 참조'!$B$1:$CE$1,0))/100,0),""))),"")</f>
        <v>0</v>
      </c>
      <c r="BI53" s="39" t="n">
        <f aca="false">IFERROR(IF($C53="","",IF($D53="","",IFERROR(ROUND($D53*INDEX('🔖 배합비 참조'!$B$2:$CE$83,MATCH("옥수수전분",'🔖 배합비 참조'!$A$2:$A$83,0),MATCH($C53,'🔖 배합비 참조'!$B$1:$CE$1,0))/100,0),""))),"")</f>
        <v>0</v>
      </c>
      <c r="BJ53" s="39" t="n">
        <f aca="false">IFERROR(IF($C53="","",IF($D53="","",IFERROR(ROUND($D53*INDEX('🔖 배합비 참조'!$B$2:$CE$83,MATCH("완두배기",'🔖 배합비 참조'!$A$2:$A$83,0),MATCH($C53,'🔖 배합비 참조'!$B$1:$CE$1,0))/100,0),""))),"")</f>
        <v>0</v>
      </c>
      <c r="BK53" s="39" t="n">
        <f aca="false">IFERROR(IF($C53="","",IF($D53="","",IFERROR(ROUND($D53*INDEX('🔖 배합비 참조'!$B$2:$CE$83,MATCH("우유(국내산)",'🔖 배합비 참조'!$A$2:$A$83,0),MATCH($C53,'🔖 배합비 참조'!$B$1:$CE$1,0))/100,0),""))),"")</f>
        <v>0</v>
      </c>
      <c r="BL53" s="39" t="n">
        <f aca="false">IFERROR(IF($C53="","",IF($D53="","",IFERROR(ROUND($D53*INDEX('🔖 배합비 참조'!$B$2:$CE$83,MATCH("자색고구마가루(중국산)",'🔖 배합비 참조'!$A$2:$A$83,0),MATCH($C53,'🔖 배합비 참조'!$B$1:$CE$1,0))/100,0),""))),"")</f>
        <v>0</v>
      </c>
      <c r="BM53" s="39" t="n">
        <f aca="false">IFERROR(IF($C53="","",IF($D53="","",IFERROR(ROUND($D53*INDEX('🔖 배합비 참조'!$B$2:$CE$83,MATCH("자연치즈(체다치즈)",'🔖 배합비 참조'!$A$2:$A$83,0),MATCH($C53,'🔖 배합비 참조'!$B$1:$CE$1,0))/100,0),""))),"")</f>
        <v>0</v>
      </c>
      <c r="BN53" s="39" t="n">
        <f aca="false">IFERROR(IF($C53="","",IF($D53="","",IFERROR(ROUND($D53*INDEX('🔖 배합비 참조'!$B$2:$CE$83,MATCH("정제수",'🔖 배합비 참조'!$A$2:$A$83,0),MATCH($C53,'🔖 배합비 참조'!$B$1:$CE$1,0))/100,0),""))),"")</f>
        <v>14</v>
      </c>
      <c r="BO53" s="39" t="n">
        <f aca="false">IFERROR(IF($C53="","",IF($D53="","",IFERROR(ROUND($D53*INDEX('🔖 배합비 참조'!$B$2:$CE$83,MATCH("젤라틴",'🔖 배합비 참조'!$A$2:$A$83,0),MATCH($C53,'🔖 배합비 참조'!$B$1:$CE$1,0))/100,0),""))),"")</f>
        <v>0</v>
      </c>
      <c r="BP53" s="39" t="n">
        <f aca="false">IFERROR(IF($C53="","",IF($D53="","",IFERROR(ROUND($D53*INDEX('🔖 배합비 참조'!$B$2:$CE$83,MATCH("조림류(백옥앙금)",'🔖 배합비 참조'!$A$2:$A$83,0),MATCH($C53,'🔖 배합비 참조'!$B$1:$CE$1,0))/100,0),""))),"")</f>
        <v>0</v>
      </c>
      <c r="BQ53" s="39" t="n">
        <f aca="false">IFERROR(IF($C53="","",IF($D53="","",IFERROR(ROUND($D53*INDEX('🔖 배합비 참조'!$B$2:$CE$83,MATCH("조림류(통팥앙금)",'🔖 배합비 참조'!$A$2:$A$83,0),MATCH($C53,'🔖 배합비 참조'!$B$1:$CE$1,0))/100,0),""))),"")</f>
        <v>0</v>
      </c>
      <c r="BR53" s="39" t="n">
        <f aca="false">IFERROR(IF($C53="","",IF($D53="","",IFERROR(ROUND($D53*INDEX('🔖 배합비 참조'!$B$2:$CE$83,MATCH("준초콜릿(외국산)",'🔖 배합비 참조'!$A$2:$A$83,0),MATCH($C53,'🔖 배합비 참조'!$B$1:$CE$1,0))/100,0),""))),"")</f>
        <v>0</v>
      </c>
      <c r="BS53" s="39" t="n">
        <f aca="false">IFERROR(IF($C53="","",IF($D53="","",IFERROR(ROUND($D53*INDEX('🔖 배합비 참조'!$B$2:$CE$83,MATCH("중력분",'🔖 배합비 참조'!$A$2:$A$83,0),MATCH($C53,'🔖 배합비 참조'!$B$1:$CE$1,0))/100,0),""))),"")</f>
        <v>0</v>
      </c>
      <c r="BT53" s="39" t="n">
        <f aca="false">IFERROR(IF($C53="","",IF($D53="","",IFERROR(ROUND($D53*INDEX('🔖 배합비 참조'!$B$2:$CE$83,MATCH("참깨(인도산,나이지리아산,탄자니아산,미얀마산)",'🔖 배합비 참조'!$A$2:$A$83,0),MATCH($C53,'🔖 배합비 참조'!$B$1:$CE$1,0))/100,0),""))),"")</f>
        <v>0</v>
      </c>
      <c r="BU53" s="39" t="n">
        <f aca="false">IFERROR(IF($C53="","",IF($D53="","",IFERROR(ROUND($D53*INDEX('🔖 배합비 참조'!$B$2:$CE$83,MATCH("찹쌀(국내산)",'🔖 배합비 참조'!$A$2:$A$83,0),MATCH($C53,'🔖 배합비 참조'!$B$1:$CE$1,0))/100,0),""))),"")</f>
        <v>46</v>
      </c>
      <c r="BV53" s="39" t="n">
        <f aca="false">IFERROR(IF($C53="","",IF($D53="","",IFERROR(ROUND($D53*INDEX('🔖 배합비 참조'!$B$2:$CE$83,MATCH("천일염",'🔖 배합비 참조'!$A$2:$A$83,0),MATCH($C53,'🔖 배합비 참조'!$B$1:$CE$1,0))/100,0),""))),"")</f>
        <v>0</v>
      </c>
      <c r="BW53" s="39" t="n">
        <f aca="false">IFERROR(IF($C53="","",IF($D53="","",IFERROR(ROUND($D53*INDEX('🔖 배합비 참조'!$B$2:$CE$83,MATCH("치즈 [크림치즈]",'🔖 배합비 참조'!$A$2:$A$83,0),MATCH($C53,'🔖 배합비 참조'!$B$1:$CE$1,0))/100,0),""))),"")</f>
        <v>0</v>
      </c>
      <c r="BX53" s="39" t="n">
        <f aca="false">IFERROR(IF($C53="","",IF($D53="","",IFERROR(ROUND($D53*INDEX('🔖 배합비 참조'!$B$2:$CE$83,MATCH("코코아가공품류(코코아분말)",'🔖 배합비 참조'!$A$2:$A$83,0),MATCH($C53,'🔖 배합비 참조'!$B$1:$CE$1,0))/100,0),""))),"")</f>
        <v>0</v>
      </c>
      <c r="BY53" s="39" t="n">
        <f aca="false">IFERROR(IF($C53="","",IF($D53="","",IFERROR(ROUND($D53*INDEX('🔖 배합비 참조'!$B$2:$CE$83,MATCH("콩기름(대두유)",'🔖 배합비 참조'!$A$2:$A$83,0),MATCH($C53,'🔖 배합비 참조'!$B$1:$CE$1,0))/100,0),""))),"")</f>
        <v>0</v>
      </c>
      <c r="BZ53" s="39" t="n">
        <f aca="false">IFERROR(IF($C53="","",IF($D53="","",IFERROR(ROUND($D53*INDEX('🔖 배합비 참조'!$B$2:$CE$83,MATCH("해바라기씨앗",'🔖 배합비 참조'!$A$2:$A$83,0),MATCH($C53,'🔖 배합비 참조'!$B$1:$CE$1,0))/100,0),""))),"")</f>
        <v>1</v>
      </c>
      <c r="CA53" s="39" t="n">
        <f aca="false">IFERROR(IF($C53="","",IF($D53="","",IFERROR(ROUND($D53*INDEX('🔖 배합비 참조'!$B$2:$CE$83,MATCH("현미(국내산)",'🔖 배합비 참조'!$A$2:$A$83,0),MATCH($C53,'🔖 배합비 참조'!$B$1:$CE$1,0))/100,0),""))),"")</f>
        <v>0</v>
      </c>
      <c r="CB53" s="39" t="n">
        <f aca="false">IFERROR(IF($C53="","",IF($D53="","",IFERROR(ROUND($D53*INDEX('🔖 배합비 참조'!$B$2:$CE$83,MATCH("현미멥쌀(국내산)",'🔖 배합비 참조'!$A$2:$A$83,0),MATCH($C53,'🔖 배합비 참조'!$B$1:$CE$1,0))/100,0),""))),"")</f>
        <v>0</v>
      </c>
      <c r="CC53" s="39" t="n">
        <f aca="false">IFERROR(IF($C53="","",IF($D53="","",IFERROR(ROUND($D53*INDEX('🔖 배합비 참조'!$B$2:$CE$83,MATCH("호두분태(미국산)",'🔖 배합비 참조'!$A$2:$A$83,0),MATCH($C53,'🔖 배합비 참조'!$B$1:$CE$1,0))/100,0),""))),"")</f>
        <v>1</v>
      </c>
      <c r="CD53" s="39" t="n">
        <f aca="false">IFERROR(IF($C53="","",IF($D53="","",IFERROR(ROUND($D53*INDEX('🔖 배합비 참조'!$B$2:$CE$83,MATCH("호박씨앗(외국산)",'🔖 배합비 참조'!$A$2:$A$83,0),MATCH($C53,'🔖 배합비 참조'!$B$1:$CE$1,0))/100,0),""))),"")</f>
        <v>1</v>
      </c>
      <c r="CE53" s="39" t="n">
        <f aca="false">IFERROR(IF($C53="","",IF($D53="","",IFERROR(ROUND($D53*INDEX('🔖 배합비 참조'!$B$2:$CE$83,MATCH("혼합제제(떡용에스텔)",'🔖 배합비 참조'!$A$2:$A$83,0),MATCH($C53,'🔖 배합비 참조'!$B$1:$CE$1,0))/100,0),""))),"")</f>
        <v>0</v>
      </c>
      <c r="CF53" s="39" t="n">
        <f aca="false">IFERROR(IF($C53="","",IF($D53="","",IFERROR(ROUND($D53*INDEX('🔖 배합비 참조'!$B$2:$CE$83,MATCH("혼합제제(스테비아)",'🔖 배합비 참조'!$A$2:$A$83,0),MATCH($C53,'🔖 배합비 참조'!$B$1:$CE$1,0))/100,0),""))),"")</f>
        <v>0</v>
      </c>
      <c r="CG53" s="39" t="n">
        <f aca="false">IFERROR(IF($C53="","",IF($D53="","",IFERROR(ROUND($D53*INDEX('🔖 배합비 참조'!$B$2:$CE$83,MATCH("화이트초콜릿",'🔖 배합비 참조'!$A$2:$A$83,0),MATCH($C53,'🔖 배합비 참조'!$B$1:$CE$1,0))/100,0),""))),"")</f>
        <v>0</v>
      </c>
      <c r="CH53" s="39" t="n">
        <f aca="false">IFERROR(IF($C53="","",IF($D53="","",IFERROR(ROUND($D53*INDEX('🔖 배합비 참조'!$B$2:$CE$83,MATCH("흑미찹쌀(국내산)",'🔖 배합비 참조'!$A$2:$A$83,0),MATCH($C53,'🔖 배합비 참조'!$B$1:$CE$1,0))/100,0),""))),"")</f>
        <v>0</v>
      </c>
      <c r="CI53" s="39" t="n">
        <f aca="false">IFERROR(IF($C53="","",IF($D53="","",IFERROR(ROUND($D53*INDEX('🔖 배합비 참조'!$B$2:$CE$83,MATCH("찰옥수수전분(미국산)",'🔖 배합비 참조'!$A$2:$A$83,0),MATCH($C53,'🔖 배합비 참조'!$B$1:$CE$1,0))/100,0),""))),"")</f>
        <v>0</v>
      </c>
      <c r="CJ53" s="40"/>
      <c r="CL53" s="1" t="s">
        <v>238</v>
      </c>
    </row>
    <row r="54" customFormat="false" ht="18" hidden="false" customHeight="true" outlineLevel="0" collapsed="false">
      <c r="A54" s="41" t="n">
        <v>50</v>
      </c>
      <c r="B54" s="36" t="n">
        <v>45966</v>
      </c>
      <c r="C54" s="37" t="s">
        <v>155</v>
      </c>
      <c r="D54" s="38" t="n">
        <v>140</v>
      </c>
      <c r="E54" s="17"/>
      <c r="F54" s="17"/>
      <c r="G54" s="42" t="n">
        <f aca="false">IFERROR(IF($C54="","",IF($D54="","",IFERROR(ROUND($D54*INDEX('🔖 배합비 참조'!$B$2:$CE$83,MATCH("간장",'🔖 배합비 참조'!$A$2:$A$83,0),MATCH($C54,'🔖 배합비 참조'!$B$1:$CE$1,0))/100,0),""))),"")</f>
        <v>0</v>
      </c>
      <c r="H54" s="42" t="n">
        <f aca="false">IFERROR(IF($C54="","",IF($D54="","",IFERROR(ROUND($D54*INDEX('🔖 배합비 참조'!$B$2:$CE$83,MATCH("강낭콩((울타리콩))",'🔖 배합비 참조'!$A$2:$A$83,0),MATCH($C54,'🔖 배합비 참조'!$B$1:$CE$1,0))/100,0),""))),"")</f>
        <v>0</v>
      </c>
      <c r="I54" s="42" t="n">
        <f aca="false">IFERROR(IF($C54="","",IF($D54="","",IFERROR(ROUND($D54*INDEX('🔖 배합비 참조'!$B$2:$CE$83,MATCH("건조딸기다이스(외국산)",'🔖 배합비 참조'!$A$2:$A$83,0),MATCH($C54,'🔖 배합비 참조'!$B$1:$CE$1,0))/100,0),""))),"")</f>
        <v>0</v>
      </c>
      <c r="J54" s="42" t="n">
        <f aca="false">IFERROR(IF($C54="","",IF($D54="","",IFERROR(ROUND($D54*INDEX('🔖 배합비 참조'!$B$2:$CE$83,MATCH("건포도",'🔖 배합비 참조'!$A$2:$A$83,0),MATCH($C54,'🔖 배합비 참조'!$B$1:$CE$1,0))/100,0),""))),"")</f>
        <v>0</v>
      </c>
      <c r="K54" s="42" t="n">
        <f aca="false">IFERROR(IF($C54="","",IF($D54="","",IFERROR(ROUND($D54*INDEX('🔖 배합비 참조'!$B$2:$CE$83,MATCH("건호박채(중국산)",'🔖 배합비 참조'!$A$2:$A$83,0),MATCH($C54,'🔖 배합비 참조'!$B$1:$CE$1,0))/100,0),""))),"")</f>
        <v>0</v>
      </c>
      <c r="L54" s="42" t="n">
        <f aca="false">IFERROR(IF($C54="","",IF($D54="","",IFERROR(ROUND($D54*INDEX('🔖 배합비 참조'!$B$2:$CE$83,MATCH("검정깨(흑임자)",'🔖 배합비 참조'!$A$2:$A$83,0),MATCH($C54,'🔖 배합비 참조'!$B$1:$CE$1,0))/100,0),""))),"")</f>
        <v>0</v>
      </c>
      <c r="M54" s="42" t="n">
        <f aca="false">IFERROR(IF($C54="","",IF($D54="","",IFERROR(ROUND($D54*INDEX('🔖 배합비 참조'!$B$2:$CE$83,MATCH("검정콩",'🔖 배합비 참조'!$A$2:$A$83,0),MATCH($C54,'🔖 배합비 참조'!$B$1:$CE$1,0))/100,0),""))),"")</f>
        <v>0</v>
      </c>
      <c r="N54" s="42" t="n">
        <f aca="false">IFERROR(IF($C54="","",IF($D54="","",IFERROR(ROUND($D54*INDEX('🔖 배합비 참조'!$B$2:$CE$83,MATCH("계피가루",'🔖 배합비 참조'!$A$2:$A$83,0),MATCH($C54,'🔖 배합비 참조'!$B$1:$CE$1,0))/100,0),""))),"")</f>
        <v>0</v>
      </c>
      <c r="O54" s="42" t="n">
        <f aca="false">IFERROR(IF($C54="","",IF($D54="","",IFERROR(ROUND($D54*INDEX('🔖 배합비 참조'!$B$2:$CE$83,MATCH("고구마가루",'🔖 배합비 참조'!$A$2:$A$83,0),MATCH($C54,'🔖 배합비 참조'!$B$1:$CE$1,0))/100,0),""))),"")</f>
        <v>0</v>
      </c>
      <c r="P54" s="42" t="n">
        <f aca="false">IFERROR(IF($C54="","",IF($D54="","",IFERROR(ROUND($D54*INDEX('🔖 배합비 참조'!$B$2:$CE$83,MATCH("고구마무스",'🔖 배합비 참조'!$A$2:$A$83,0),MATCH($C54,'🔖 배합비 참조'!$B$1:$CE$1,0))/100,0),""))),"")</f>
        <v>0</v>
      </c>
      <c r="Q54" s="42" t="n">
        <f aca="false">IFERROR(IF($C54="","",IF($D54="","",IFERROR(ROUND($D54*INDEX('🔖 배합비 참조'!$B$2:$CE$83,MATCH("고려엉겅퀴((곤드레)국내산)",'🔖 배합비 참조'!$A$2:$A$83,0),MATCH($C54,'🔖 배합비 참조'!$B$1:$CE$1,0))/100,0),""))),"")</f>
        <v>0</v>
      </c>
      <c r="R54" s="42" t="n">
        <f aca="false">IFERROR(IF($C54="","",IF($D54="","",IFERROR(ROUND($D54*INDEX('🔖 배합비 참조'!$B$2:$CE$83,MATCH("기타가공품(복분자가루)",'🔖 배합비 참조'!$A$2:$A$83,0),MATCH($C54,'🔖 배합비 참조'!$B$1:$CE$1,0))/100,0),""))),"")</f>
        <v>0</v>
      </c>
      <c r="S54" s="42" t="n">
        <f aca="false">IFERROR(IF($C54="","",IF($D54="","",IFERROR(ROUND($D54*INDEX('🔖 배합비 참조'!$B$2:$CE$83,MATCH("기타가공품(슈퍼소프트엠)",'🔖 배합비 참조'!$A$2:$A$83,0),MATCH($C54,'🔖 배합비 참조'!$B$1:$CE$1,0))/100,0),""))),"")</f>
        <v>0</v>
      </c>
      <c r="T54" s="42" t="n">
        <f aca="false">IFERROR(IF($C54="","",IF($D54="","",IFERROR(ROUND($D54*INDEX('🔖 배합비 참조'!$B$2:$CE$83,MATCH("기타가공품(파인소프트 E-티)",'🔖 배합비 참조'!$A$2:$A$83,0),MATCH($C54,'🔖 배합비 참조'!$B$1:$CE$1,0))/100,0),""))),"")</f>
        <v>0</v>
      </c>
      <c r="U54" s="42" t="n">
        <f aca="false">IFERROR(IF($C54="","",IF($D54="","",IFERROR(ROUND($D54*INDEX('🔖 배합비 참조'!$B$2:$CE$83,MATCH("기타가공품(프리미엄카스테라가루)",'🔖 배합비 참조'!$A$2:$A$83,0),MATCH($C54,'🔖 배합비 참조'!$B$1:$CE$1,0))/100,0),""))),"")</f>
        <v>0</v>
      </c>
      <c r="V54" s="42" t="n">
        <f aca="false">IFERROR(IF($C54="","",IF($D54="","",IFERROR(ROUND($D54*INDEX('🔖 배합비 참조'!$B$2:$CE$83,MATCH("기타가공품(흑임자가루)",'🔖 배합비 참조'!$A$2:$A$83,0),MATCH($C54,'🔖 배합비 참조'!$B$1:$CE$1,0))/100,0),""))),"")</f>
        <v>0</v>
      </c>
      <c r="W54" s="42" t="n">
        <f aca="false">IFERROR(IF($C54="","",IF($D54="","",IFERROR(ROUND($D54*INDEX('🔖 배합비 참조'!$B$2:$CE$83,MATCH("기타설탕(흑설탕)",'🔖 배합비 참조'!$A$2:$A$83,0),MATCH($C54,'🔖 배합비 참조'!$B$1:$CE$1,0))/100,0),""))),"")</f>
        <v>0</v>
      </c>
      <c r="X54" s="42" t="n">
        <f aca="false">IFERROR(IF($C54="","",IF($D54="","",IFERROR(ROUND($D54*INDEX('🔖 배합비 참조'!$B$2:$CE$83,MATCH("냉동쑥(국내산)",'🔖 배합비 참조'!$A$2:$A$83,0),MATCH($C54,'🔖 배합비 참조'!$B$1:$CE$1,0))/100,0),""))),"")</f>
        <v>0</v>
      </c>
      <c r="Y54" s="42" t="n">
        <f aca="false">IFERROR(IF($C54="","",IF($D54="","",IFERROR(ROUND($D54*INDEX('🔖 배합비 참조'!$B$2:$CE$83,MATCH("냉동증숙고구마(중국산)",'🔖 배합비 참조'!$A$2:$A$83,0),MATCH($C54,'🔖 배합비 참조'!$B$1:$CE$1,0))/100,0),""))),"")</f>
        <v>0</v>
      </c>
      <c r="Z54" s="42" t="n">
        <f aca="false">IFERROR(IF($C54="","",IF($D54="","",IFERROR(ROUND($D54*INDEX('🔖 배합비 참조'!$B$2:$CE$83,MATCH("녹차가루",'🔖 배합비 참조'!$A$2:$A$83,0),MATCH($C54,'🔖 배합비 참조'!$B$1:$CE$1,0))/100,0),""))),"")</f>
        <v>0</v>
      </c>
      <c r="AA54" s="42" t="n">
        <f aca="false">IFERROR(IF($C54="","",IF($D54="","",IFERROR(ROUND($D54*INDEX('🔖 배합비 참조'!$B$2:$CE$83,MATCH("다크초콜릿 컴파운드칩",'🔖 배합비 참조'!$A$2:$A$83,0),MATCH($C54,'🔖 배합비 참조'!$B$1:$CE$1,0))/100,0),""))),"")</f>
        <v>0</v>
      </c>
      <c r="AB54" s="42" t="n">
        <f aca="false">IFERROR(IF($C54="","",IF($D54="","",IFERROR(ROUND($D54*INDEX('🔖 배합비 참조'!$B$2:$CE$83,MATCH("단호박분말(중국산)",'🔖 배합비 참조'!$A$2:$A$83,0),MATCH($C54,'🔖 배합비 참조'!$B$1:$CE$1,0))/100,0),""))),"")</f>
        <v>0</v>
      </c>
      <c r="AC54" s="42" t="n">
        <f aca="false">IFERROR(IF($C54="","",IF($D54="","",IFERROR(ROUND($D54*INDEX('🔖 배합비 참조'!$B$2:$CE$83,MATCH("당류가공품(단호박농축액)",'🔖 배합비 참조'!$A$2:$A$83,0),MATCH($C54,'🔖 배합비 참조'!$B$1:$CE$1,0))/100,0),""))),"")</f>
        <v>0</v>
      </c>
      <c r="AD54" s="42" t="n">
        <f aca="false">IFERROR(IF($C54="","",IF($D54="","",IFERROR(ROUND($D54*INDEX('🔖 배합비 참조'!$B$2:$CE$83,MATCH("당류가공품(알룰로스,에리스리톨,스테비올배당체혼합)",'🔖 배합비 참조'!$A$2:$A$83,0),MATCH($C54,'🔖 배합비 참조'!$B$1:$CE$1,0))/100,0),""))),"")</f>
        <v>0</v>
      </c>
      <c r="AE54" s="42" t="n">
        <f aca="false">IFERROR(IF($C54="","",IF($D54="","",IFERROR(ROUND($D54*INDEX('🔖 배합비 참조'!$B$2:$CE$83,MATCH("당류가공품(알룰로스제로파우더)",'🔖 배합비 참조'!$A$2:$A$83,0),MATCH($C54,'🔖 배합비 참조'!$B$1:$CE$1,0))/100,0),""))),"")</f>
        <v>0</v>
      </c>
      <c r="AF54" s="42" t="n">
        <f aca="false">IFERROR(IF($C54="","",IF($D54="","",IFERROR(ROUND($D54*INDEX('🔖 배합비 참조'!$B$2:$CE$83,MATCH("당절임(완두배기)",'🔖 배합비 참조'!$A$2:$A$83,0),MATCH($C54,'🔖 배합비 참조'!$B$1:$CE$1,0))/100,0),""))),"")</f>
        <v>0</v>
      </c>
      <c r="AG54" s="42" t="n">
        <f aca="false">IFERROR(IF($C54="","",IF($D54="","",IFERROR(ROUND($D54*INDEX('🔖 배합비 참조'!$B$2:$CE$83,MATCH("대추농축액",'🔖 배합비 참조'!$A$2:$A$83,0),MATCH($C54,'🔖 배합비 참조'!$B$1:$CE$1,0))/100,0),""))),"")</f>
        <v>0</v>
      </c>
      <c r="AH54" s="42" t="n">
        <f aca="false">IFERROR(IF($C54="","",IF($D54="","",IFERROR(ROUND($D54*INDEX('🔖 배합비 참조'!$B$2:$CE$83,MATCH("대추채(국내산)",'🔖 배합비 참조'!$A$2:$A$83,0),MATCH($C54,'🔖 배합비 참조'!$B$1:$CE$1,0))/100,0),""))),"")</f>
        <v>0</v>
      </c>
      <c r="AI54" s="42" t="n">
        <f aca="false">IFERROR(IF($C54="","",IF($D54="","",IFERROR(ROUND($D54*INDEX('🔖 배합비 참조'!$B$2:$CE$83,MATCH("동부(미얀마산)",'🔖 배합비 참조'!$A$2:$A$83,0),MATCH($C54,'🔖 배합비 참조'!$B$1:$CE$1,0))/100,0),""))),"")</f>
        <v>0</v>
      </c>
      <c r="AJ54" s="42" t="n">
        <f aca="false">IFERROR(IF($C54="","",IF($D54="","",IFERROR(ROUND($D54*INDEX('🔖 배합비 참조'!$B$2:$CE$83,MATCH("두류가공품(백옥앙금)",'🔖 배합비 참조'!$A$2:$A$83,0),MATCH($C54,'🔖 배합비 참조'!$B$1:$CE$1,0))/100,0),""))),"")</f>
        <v>0</v>
      </c>
      <c r="AK54" s="42" t="n">
        <f aca="false">IFERROR(IF($C54="","",IF($D54="","",IFERROR(ROUND($D54*INDEX('🔖 배합비 참조'!$B$2:$CE$83,MATCH("두류가공품(콩고물)",'🔖 배합비 참조'!$A$2:$A$83,0),MATCH($C54,'🔖 배합비 참조'!$B$1:$CE$1,0))/100,0),""))),"")</f>
        <v>0</v>
      </c>
      <c r="AL54" s="42" t="n">
        <f aca="false">IFERROR(IF($C54="","",IF($D54="","",IFERROR(ROUND($D54*INDEX('🔖 배합비 참조'!$B$2:$CE$83,MATCH("두류가공품(통팥고물)",'🔖 배합비 참조'!$A$2:$A$83,0),MATCH($C54,'🔖 배합비 참조'!$B$1:$CE$1,0))/100,0),""))),"")</f>
        <v>0</v>
      </c>
      <c r="AM54" s="42" t="n">
        <f aca="false">IFERROR(IF($C54="","",IF($D54="","",IFERROR(ROUND($D54*INDEX('🔖 배합비 참조'!$B$2:$CE$83,MATCH("딸기레진",'🔖 배합비 참조'!$A$2:$A$83,0),MATCH($C54,'🔖 배합비 참조'!$B$1:$CE$1,0))/100,0),""))),"")</f>
        <v>0</v>
      </c>
      <c r="AN54" s="42" t="n">
        <f aca="false">IFERROR(IF($C54="","",IF($D54="","",IFERROR(ROUND($D54*INDEX('🔖 배합비 참조'!$B$2:$CE$83,MATCH("딸기분말(스트로우베리에이드(분말))",'🔖 배합비 참조'!$A$2:$A$83,0),MATCH($C54,'🔖 배합비 참조'!$B$1:$CE$1,0))/100,0),""))),"")</f>
        <v>0</v>
      </c>
      <c r="AO54" s="42" t="n">
        <f aca="false">IFERROR(IF($C54="","",IF($D54="","",IFERROR(ROUND($D54*INDEX('🔖 배합비 참조'!$B$2:$CE$83,MATCH("마스카포네치즈",'🔖 배합비 참조'!$A$2:$A$83,0),MATCH($C54,'🔖 배합비 참조'!$B$1:$CE$1,0))/100,0),""))),"")</f>
        <v>0</v>
      </c>
      <c r="AP54" s="42" t="n">
        <f aca="false">IFERROR(IF($C54="","",IF($D54="","",IFERROR(ROUND($D54*INDEX('🔖 배합비 참조'!$B$2:$CE$83,MATCH("마카다미아분태(호주산)",'🔖 배합비 참조'!$A$2:$A$83,0),MATCH($C54,'🔖 배합비 참조'!$B$1:$CE$1,0))/100,0),""))),"")</f>
        <v>6</v>
      </c>
      <c r="AQ54" s="42" t="n">
        <f aca="false">IFERROR(IF($C54="","",IF($D54="","",IFERROR(ROUND($D54*INDEX('🔖 배합비 참조'!$B$2:$CE$83,MATCH("멥쌀(국내산)",'🔖 배합비 참조'!$A$2:$A$83,0),MATCH($C54,'🔖 배합비 참조'!$B$1:$CE$1,0))/100,0),""))),"")</f>
        <v>0</v>
      </c>
      <c r="AR54" s="42" t="n">
        <f aca="false">IFERROR(IF($C54="","",IF($D54="","",IFERROR(ROUND($D54*INDEX('🔖 배합비 참조'!$B$2:$CE$83,MATCH("모시잎(국내산)",'🔖 배합비 참조'!$A$2:$A$83,0),MATCH($C54,'🔖 배합비 참조'!$B$1:$CE$1,0))/100,0),""))),"")</f>
        <v>0</v>
      </c>
      <c r="AS54" s="42" t="n">
        <f aca="false">IFERROR(IF($C54="","",IF($D54="","",IFERROR(ROUND($D54*INDEX('🔖 배합비 참조'!$B$2:$CE$83,MATCH("물엿(저당물엿)",'🔖 배합비 참조'!$A$2:$A$83,0),MATCH($C54,'🔖 배합비 참조'!$B$1:$CE$1,0))/100,0),""))),"")</f>
        <v>3</v>
      </c>
      <c r="AT54" s="42" t="n">
        <f aca="false">IFERROR(IF($C54="","",IF($D54="","",IFERROR(ROUND($D54*INDEX('🔖 배합비 참조'!$B$2:$CE$83,MATCH("밤다이스",'🔖 배합비 참조'!$A$2:$A$83,0),MATCH($C54,'🔖 배합비 참조'!$B$1:$CE$1,0))/100,0),""))),"")</f>
        <v>1</v>
      </c>
      <c r="AU54" s="42" t="n">
        <f aca="false">IFERROR(IF($C54="","",IF($D54="","",IFERROR(ROUND($D54*INDEX('🔖 배합비 참조'!$B$2:$CE$83,MATCH("변성전분(타피오카전분)",'🔖 배합비 참조'!$A$2:$A$83,0),MATCH($C54,'🔖 배합비 참조'!$B$1:$CE$1,0))/100,0),""))),"")</f>
        <v>0</v>
      </c>
      <c r="AV54" s="42" t="n">
        <f aca="false">IFERROR(IF($C54="","",IF($D54="","",IFERROR(ROUND($D54*INDEX('🔖 배합비 참조'!$B$2:$CE$83,MATCH("복음땅콩분태",'🔖 배합비 참조'!$A$2:$A$83,0),MATCH($C54,'🔖 배합비 참조'!$B$1:$CE$1,0))/100,0),""))),"")</f>
        <v>0</v>
      </c>
      <c r="AW54" s="42" t="n">
        <f aca="false">IFERROR(IF($C54="","",IF($D54="","",IFERROR(ROUND($D54*INDEX('🔖 배합비 참조'!$B$2:$CE$83,MATCH("사양벌꿀(국내산)",'🔖 배합비 참조'!$A$2:$A$83,0),MATCH($C54,'🔖 배합비 참조'!$B$1:$CE$1,0))/100,0),""))),"")</f>
        <v>0</v>
      </c>
      <c r="AX54" s="42" t="n">
        <f aca="false">IFERROR(IF($C54="","",IF($D54="","",IFERROR(ROUND($D54*INDEX('🔖 배합비 참조'!$B$2:$CE$83,MATCH("생크림",'🔖 배합비 참조'!$A$2:$A$83,0),MATCH($C54,'🔖 배합비 참조'!$B$1:$CE$1,0))/100,0),""))),"")</f>
        <v>0</v>
      </c>
      <c r="AY54" s="42" t="n">
        <f aca="false">IFERROR(IF($C54="","",IF($D54="","",IFERROR(ROUND($D54*INDEX('🔖 배합비 참조'!$B$2:$CE$83,MATCH("서양호박(국내산,뉴질랜드산)",'🔖 배합비 참조'!$A$2:$A$83,0),MATCH($C54,'🔖 배합비 참조'!$B$1:$CE$1,0))/100,0),""))),"")</f>
        <v>0</v>
      </c>
      <c r="AZ54" s="42" t="n">
        <f aca="false">IFERROR(IF($C54="","",IF($D54="","",IFERROR(ROUND($D54*INDEX('🔖 배합비 참조'!$B$2:$CE$83,MATCH("설탕",'🔖 배합비 참조'!$A$2:$A$83,0),MATCH($C54,'🔖 배합비 참조'!$B$1:$CE$1,0))/100,0),""))),"")</f>
        <v>3</v>
      </c>
      <c r="BA54" s="42" t="n">
        <f aca="false">IFERROR(IF($C54="","",IF($D54="","",IFERROR(ROUND($D54*INDEX('🔖 배합비 참조'!$B$2:$CE$83,MATCH("스트로우베리 에이드 후레쉬",'🔖 배합비 참조'!$A$2:$A$83,0),MATCH($C54,'🔖 배합비 참조'!$B$1:$CE$1,0))/100,0),""))),"")</f>
        <v>0</v>
      </c>
      <c r="BB54" s="42" t="n">
        <f aca="false">IFERROR(IF($C54="","",IF($D54="","",IFERROR(ROUND($D54*INDEX('🔖 배합비 참조'!$B$2:$CE$83,MATCH("식물성기름혼합제제(분홍)",'🔖 배합비 참조'!$A$2:$A$83,0),MATCH($C54,'🔖 배합비 참조'!$B$1:$CE$1,0))/100,0),""))),"")</f>
        <v>0</v>
      </c>
      <c r="BC54" s="42" t="n">
        <f aca="false">IFERROR(IF($C54="","",IF($D54="","",IFERROR(ROUND($D54*INDEX('🔖 배합비 참조'!$B$2:$CE$83,MATCH("식물성기름혼합제제(초록)",'🔖 배합비 참조'!$A$2:$A$83,0),MATCH($C54,'🔖 배합비 참조'!$B$1:$CE$1,0))/100,0),""))),"")</f>
        <v>0</v>
      </c>
      <c r="BD54" s="42" t="n">
        <f aca="false">IFERROR(IF($C54="","",IF($D54="","",IFERROR(ROUND($D54*INDEX('🔖 배합비 참조'!$B$2:$CE$83,MATCH("식물성기름혼합제제(황색)",'🔖 배합비 참조'!$A$2:$A$83,0),MATCH($C54,'🔖 배합비 참조'!$B$1:$CE$1,0))/100,0),""))),"")</f>
        <v>0</v>
      </c>
      <c r="BE54" s="42" t="n">
        <f aca="false">IFERROR(IF($C54="","",IF($D54="","",IFERROR(ROUND($D54*INDEX('🔖 배합비 참조'!$B$2:$CE$83,MATCH("쑥가루(국내산)",'🔖 배합비 참조'!$A$2:$A$83,0),MATCH($C54,'🔖 배합비 참조'!$B$1:$CE$1,0))/100,0),""))),"")</f>
        <v>0</v>
      </c>
      <c r="BF54" s="42" t="n">
        <f aca="false">IFERROR(IF($C54="","",IF($D54="","",IFERROR(ROUND($D54*INDEX('🔖 배합비 참조'!$B$2:$CE$83,MATCH("아몬드슬라이스",'🔖 배합비 참조'!$A$2:$A$83,0),MATCH($C54,'🔖 배합비 참조'!$B$1:$CE$1,0))/100,0),""))),"")</f>
        <v>0</v>
      </c>
      <c r="BG54" s="42" t="n">
        <f aca="false">IFERROR(IF($C54="","",IF($D54="","",IFERROR(ROUND($D54*INDEX('🔖 배합비 참조'!$B$2:$CE$83,MATCH("알룰로오스(국내산)",'🔖 배합비 참조'!$A$2:$A$83,0),MATCH($C54,'🔖 배합비 참조'!$B$1:$CE$1,0))/100,0),""))),"")</f>
        <v>0</v>
      </c>
      <c r="BH54" s="42" t="n">
        <f aca="false">IFERROR(IF($C54="","",IF($D54="","",IFERROR(ROUND($D54*INDEX('🔖 배합비 참조'!$B$2:$CE$83,MATCH("연유",'🔖 배합비 참조'!$A$2:$A$83,0),MATCH($C54,'🔖 배합비 참조'!$B$1:$CE$1,0))/100,0),""))),"")</f>
        <v>0</v>
      </c>
      <c r="BI54" s="42" t="n">
        <f aca="false">IFERROR(IF($C54="","",IF($D54="","",IFERROR(ROUND($D54*INDEX('🔖 배합비 참조'!$B$2:$CE$83,MATCH("옥수수전분",'🔖 배합비 참조'!$A$2:$A$83,0),MATCH($C54,'🔖 배합비 참조'!$B$1:$CE$1,0))/100,0),""))),"")</f>
        <v>4</v>
      </c>
      <c r="BJ54" s="42" t="n">
        <f aca="false">IFERROR(IF($C54="","",IF($D54="","",IFERROR(ROUND($D54*INDEX('🔖 배합비 참조'!$B$2:$CE$83,MATCH("완두배기",'🔖 배합비 참조'!$A$2:$A$83,0),MATCH($C54,'🔖 배합비 참조'!$B$1:$CE$1,0))/100,0),""))),"")</f>
        <v>0</v>
      </c>
      <c r="BK54" s="42" t="n">
        <f aca="false">IFERROR(IF($C54="","",IF($D54="","",IFERROR(ROUND($D54*INDEX('🔖 배합비 참조'!$B$2:$CE$83,MATCH("우유(국내산)",'🔖 배합비 참조'!$A$2:$A$83,0),MATCH($C54,'🔖 배합비 참조'!$B$1:$CE$1,0))/100,0),""))),"")</f>
        <v>0</v>
      </c>
      <c r="BL54" s="42" t="n">
        <f aca="false">IFERROR(IF($C54="","",IF($D54="","",IFERROR(ROUND($D54*INDEX('🔖 배합비 참조'!$B$2:$CE$83,MATCH("자색고구마가루(중국산)",'🔖 배합비 참조'!$A$2:$A$83,0),MATCH($C54,'🔖 배합비 참조'!$B$1:$CE$1,0))/100,0),""))),"")</f>
        <v>0</v>
      </c>
      <c r="BM54" s="42" t="n">
        <f aca="false">IFERROR(IF($C54="","",IF($D54="","",IFERROR(ROUND($D54*INDEX('🔖 배합비 참조'!$B$2:$CE$83,MATCH("자연치즈(체다치즈)",'🔖 배합비 참조'!$A$2:$A$83,0),MATCH($C54,'🔖 배합비 참조'!$B$1:$CE$1,0))/100,0),""))),"")</f>
        <v>0</v>
      </c>
      <c r="BN54" s="42" t="n">
        <f aca="false">IFERROR(IF($C54="","",IF($D54="","",IFERROR(ROUND($D54*INDEX('🔖 배합비 참조'!$B$2:$CE$83,MATCH("정제수",'🔖 배합비 참조'!$A$2:$A$83,0),MATCH($C54,'🔖 배합비 참조'!$B$1:$CE$1,0))/100,0),""))),"")</f>
        <v>0</v>
      </c>
      <c r="BO54" s="42" t="n">
        <f aca="false">IFERROR(IF($C54="","",IF($D54="","",IFERROR(ROUND($D54*INDEX('🔖 배합비 참조'!$B$2:$CE$83,MATCH("젤라틴",'🔖 배합비 참조'!$A$2:$A$83,0),MATCH($C54,'🔖 배합비 참조'!$B$1:$CE$1,0))/100,0),""))),"")</f>
        <v>0</v>
      </c>
      <c r="BP54" s="42" t="n">
        <f aca="false">IFERROR(IF($C54="","",IF($D54="","",IFERROR(ROUND($D54*INDEX('🔖 배합비 참조'!$B$2:$CE$83,MATCH("조림류(백옥앙금)",'🔖 배합비 참조'!$A$2:$A$83,0),MATCH($C54,'🔖 배합비 참조'!$B$1:$CE$1,0))/100,0),""))),"")</f>
        <v>0</v>
      </c>
      <c r="BQ54" s="42" t="n">
        <f aca="false">IFERROR(IF($C54="","",IF($D54="","",IFERROR(ROUND($D54*INDEX('🔖 배합비 참조'!$B$2:$CE$83,MATCH("조림류(통팥앙금)",'🔖 배합비 참조'!$A$2:$A$83,0),MATCH($C54,'🔖 배합비 참조'!$B$1:$CE$1,0))/100,0),""))),"")</f>
        <v>56</v>
      </c>
      <c r="BR54" s="42" t="n">
        <f aca="false">IFERROR(IF($C54="","",IF($D54="","",IFERROR(ROUND($D54*INDEX('🔖 배합비 참조'!$B$2:$CE$83,MATCH("준초콜릿(외국산)",'🔖 배합비 참조'!$A$2:$A$83,0),MATCH($C54,'🔖 배합비 참조'!$B$1:$CE$1,0))/100,0),""))),"")</f>
        <v>0</v>
      </c>
      <c r="BS54" s="42" t="n">
        <f aca="false">IFERROR(IF($C54="","",IF($D54="","",IFERROR(ROUND($D54*INDEX('🔖 배합비 참조'!$B$2:$CE$83,MATCH("중력분",'🔖 배합비 참조'!$A$2:$A$83,0),MATCH($C54,'🔖 배합비 참조'!$B$1:$CE$1,0))/100,0),""))),"")</f>
        <v>0</v>
      </c>
      <c r="BT54" s="42" t="n">
        <f aca="false">IFERROR(IF($C54="","",IF($D54="","",IFERROR(ROUND($D54*INDEX('🔖 배합비 참조'!$B$2:$CE$83,MATCH("참깨(인도산,나이지리아산,탄자니아산,미얀마산)",'🔖 배합비 참조'!$A$2:$A$83,0),MATCH($C54,'🔖 배합비 참조'!$B$1:$CE$1,0))/100,0),""))),"")</f>
        <v>0</v>
      </c>
      <c r="BU54" s="42" t="n">
        <f aca="false">IFERROR(IF($C54="","",IF($D54="","",IFERROR(ROUND($D54*INDEX('🔖 배합비 참조'!$B$2:$CE$83,MATCH("찹쌀(국내산)",'🔖 배합비 참조'!$A$2:$A$83,0),MATCH($C54,'🔖 배합비 참조'!$B$1:$CE$1,0))/100,0),""))),"")</f>
        <v>60</v>
      </c>
      <c r="BV54" s="42" t="n">
        <f aca="false">IFERROR(IF($C54="","",IF($D54="","",IFERROR(ROUND($D54*INDEX('🔖 배합비 참조'!$B$2:$CE$83,MATCH("천일염",'🔖 배합비 참조'!$A$2:$A$83,0),MATCH($C54,'🔖 배합비 참조'!$B$1:$CE$1,0))/100,0),""))),"")</f>
        <v>1</v>
      </c>
      <c r="BW54" s="42" t="n">
        <f aca="false">IFERROR(IF($C54="","",IF($D54="","",IFERROR(ROUND($D54*INDEX('🔖 배합비 참조'!$B$2:$CE$83,MATCH("치즈 [크림치즈]",'🔖 배합비 참조'!$A$2:$A$83,0),MATCH($C54,'🔖 배합비 참조'!$B$1:$CE$1,0))/100,0),""))),"")</f>
        <v>0</v>
      </c>
      <c r="BX54" s="42" t="n">
        <f aca="false">IFERROR(IF($C54="","",IF($D54="","",IFERROR(ROUND($D54*INDEX('🔖 배합비 참조'!$B$2:$CE$83,MATCH("코코아가공품류(코코아분말)",'🔖 배합비 참조'!$A$2:$A$83,0),MATCH($C54,'🔖 배합비 참조'!$B$1:$CE$1,0))/100,0),""))),"")</f>
        <v>0</v>
      </c>
      <c r="BY54" s="42" t="n">
        <f aca="false">IFERROR(IF($C54="","",IF($D54="","",IFERROR(ROUND($D54*INDEX('🔖 배합비 참조'!$B$2:$CE$83,MATCH("콩기름(대두유)",'🔖 배합비 참조'!$A$2:$A$83,0),MATCH($C54,'🔖 배합비 참조'!$B$1:$CE$1,0))/100,0),""))),"")</f>
        <v>0</v>
      </c>
      <c r="BZ54" s="42" t="n">
        <f aca="false">IFERROR(IF($C54="","",IF($D54="","",IFERROR(ROUND($D54*INDEX('🔖 배합비 참조'!$B$2:$CE$83,MATCH("해바라기씨앗",'🔖 배합비 참조'!$A$2:$A$83,0),MATCH($C54,'🔖 배합비 참조'!$B$1:$CE$1,0))/100,0),""))),"")</f>
        <v>0</v>
      </c>
      <c r="CA54" s="42" t="n">
        <f aca="false">IFERROR(IF($C54="","",IF($D54="","",IFERROR(ROUND($D54*INDEX('🔖 배합비 참조'!$B$2:$CE$83,MATCH("현미(국내산)",'🔖 배합비 참조'!$A$2:$A$83,0),MATCH($C54,'🔖 배합비 참조'!$B$1:$CE$1,0))/100,0),""))),"")</f>
        <v>0</v>
      </c>
      <c r="CB54" s="42" t="n">
        <f aca="false">IFERROR(IF($C54="","",IF($D54="","",IFERROR(ROUND($D54*INDEX('🔖 배합비 참조'!$B$2:$CE$83,MATCH("현미멥쌀(국내산)",'🔖 배합비 참조'!$A$2:$A$83,0),MATCH($C54,'🔖 배합비 참조'!$B$1:$CE$1,0))/100,0),""))),"")</f>
        <v>0</v>
      </c>
      <c r="CC54" s="42" t="n">
        <f aca="false">IFERROR(IF($C54="","",IF($D54="","",IFERROR(ROUND($D54*INDEX('🔖 배합비 참조'!$B$2:$CE$83,MATCH("호두분태(미국산)",'🔖 배합비 참조'!$A$2:$A$83,0),MATCH($C54,'🔖 배합비 참조'!$B$1:$CE$1,0))/100,0),""))),"")</f>
        <v>4</v>
      </c>
      <c r="CD54" s="42" t="n">
        <f aca="false">IFERROR(IF($C54="","",IF($D54="","",IFERROR(ROUND($D54*INDEX('🔖 배합비 참조'!$B$2:$CE$83,MATCH("호박씨앗(외국산)",'🔖 배합비 참조'!$A$2:$A$83,0),MATCH($C54,'🔖 배합비 참조'!$B$1:$CE$1,0))/100,0),""))),"")</f>
        <v>0</v>
      </c>
      <c r="CE54" s="42" t="n">
        <f aca="false">IFERROR(IF($C54="","",IF($D54="","",IFERROR(ROUND($D54*INDEX('🔖 배합비 참조'!$B$2:$CE$83,MATCH("혼합제제(떡용에스텔)",'🔖 배합비 참조'!$A$2:$A$83,0),MATCH($C54,'🔖 배합비 참조'!$B$1:$CE$1,0))/100,0),""))),"")</f>
        <v>0</v>
      </c>
      <c r="CF54" s="42" t="n">
        <f aca="false">IFERROR(IF($C54="","",IF($D54="","",IFERROR(ROUND($D54*INDEX('🔖 배합비 참조'!$B$2:$CE$83,MATCH("혼합제제(스테비아)",'🔖 배합비 참조'!$A$2:$A$83,0),MATCH($C54,'🔖 배합비 참조'!$B$1:$CE$1,0))/100,0),""))),"")</f>
        <v>0</v>
      </c>
      <c r="CG54" s="42" t="n">
        <f aca="false">IFERROR(IF($C54="","",IF($D54="","",IFERROR(ROUND($D54*INDEX('🔖 배합비 참조'!$B$2:$CE$83,MATCH("화이트초콜릿",'🔖 배합비 참조'!$A$2:$A$83,0),MATCH($C54,'🔖 배합비 참조'!$B$1:$CE$1,0))/100,0),""))),"")</f>
        <v>0</v>
      </c>
      <c r="CH54" s="42" t="n">
        <f aca="false">IFERROR(IF($C54="","",IF($D54="","",IFERROR(ROUND($D54*INDEX('🔖 배합비 참조'!$B$2:$CE$83,MATCH("흑미찹쌀(국내산)",'🔖 배합비 참조'!$A$2:$A$83,0),MATCH($C54,'🔖 배합비 참조'!$B$1:$CE$1,0))/100,0),""))),"")</f>
        <v>0</v>
      </c>
      <c r="CI54" s="42" t="n">
        <f aca="false">IFERROR(IF($C54="","",IF($D54="","",IFERROR(ROUND($D54*INDEX('🔖 배합비 참조'!$B$2:$CE$83,MATCH("찰옥수수전분(미국산)",'🔖 배합비 참조'!$A$2:$A$83,0),MATCH($C54,'🔖 배합비 참조'!$B$1:$CE$1,0))/100,0),""))),"")</f>
        <v>0</v>
      </c>
      <c r="CJ54" s="40"/>
      <c r="CL54" s="1" t="s">
        <v>238</v>
      </c>
    </row>
    <row r="55" customFormat="false" ht="18" hidden="false" customHeight="true" outlineLevel="0" collapsed="false">
      <c r="A55" s="35" t="n">
        <v>51</v>
      </c>
      <c r="B55" s="36" t="n">
        <v>45966</v>
      </c>
      <c r="C55" s="37" t="s">
        <v>184</v>
      </c>
      <c r="D55" s="38" t="n">
        <v>97.5</v>
      </c>
      <c r="E55" s="13"/>
      <c r="F55" s="13"/>
      <c r="G55" s="39" t="n">
        <f aca="false">IFERROR(IF($C55="","",IF($D55="","",IFERROR(ROUND($D55*INDEX('🔖 배합비 참조'!$B$2:$CE$83,MATCH("간장",'🔖 배합비 참조'!$A$2:$A$83,0),MATCH($C55,'🔖 배합비 참조'!$B$1:$CE$1,0))/100,0),""))),"")</f>
        <v>0</v>
      </c>
      <c r="H55" s="39" t="n">
        <f aca="false">IFERROR(IF($C55="","",IF($D55="","",IFERROR(ROUND($D55*INDEX('🔖 배합비 참조'!$B$2:$CE$83,MATCH("강낭콩((울타리콩))",'🔖 배합비 참조'!$A$2:$A$83,0),MATCH($C55,'🔖 배합비 참조'!$B$1:$CE$1,0))/100,0),""))),"")</f>
        <v>0</v>
      </c>
      <c r="I55" s="39" t="n">
        <f aca="false">IFERROR(IF($C55="","",IF($D55="","",IFERROR(ROUND($D55*INDEX('🔖 배합비 참조'!$B$2:$CE$83,MATCH("건조딸기다이스(외국산)",'🔖 배합비 참조'!$A$2:$A$83,0),MATCH($C55,'🔖 배합비 참조'!$B$1:$CE$1,0))/100,0),""))),"")</f>
        <v>0</v>
      </c>
      <c r="J55" s="39" t="n">
        <f aca="false">IFERROR(IF($C55="","",IF($D55="","",IFERROR(ROUND($D55*INDEX('🔖 배합비 참조'!$B$2:$CE$83,MATCH("건포도",'🔖 배합비 참조'!$A$2:$A$83,0),MATCH($C55,'🔖 배합비 참조'!$B$1:$CE$1,0))/100,0),""))),"")</f>
        <v>0</v>
      </c>
      <c r="K55" s="39" t="n">
        <f aca="false">IFERROR(IF($C55="","",IF($D55="","",IFERROR(ROUND($D55*INDEX('🔖 배합비 참조'!$B$2:$CE$83,MATCH("건호박채(중국산)",'🔖 배합비 참조'!$A$2:$A$83,0),MATCH($C55,'🔖 배합비 참조'!$B$1:$CE$1,0))/100,0),""))),"")</f>
        <v>0</v>
      </c>
      <c r="L55" s="39" t="n">
        <f aca="false">IFERROR(IF($C55="","",IF($D55="","",IFERROR(ROUND($D55*INDEX('🔖 배합비 참조'!$B$2:$CE$83,MATCH("검정깨(흑임자)",'🔖 배합비 참조'!$A$2:$A$83,0),MATCH($C55,'🔖 배합비 참조'!$B$1:$CE$1,0))/100,0),""))),"")</f>
        <v>0</v>
      </c>
      <c r="M55" s="39" t="n">
        <f aca="false">IFERROR(IF($C55="","",IF($D55="","",IFERROR(ROUND($D55*INDEX('🔖 배합비 참조'!$B$2:$CE$83,MATCH("검정콩",'🔖 배합비 참조'!$A$2:$A$83,0),MATCH($C55,'🔖 배합비 참조'!$B$1:$CE$1,0))/100,0),""))),"")</f>
        <v>0</v>
      </c>
      <c r="N55" s="39" t="n">
        <f aca="false">IFERROR(IF($C55="","",IF($D55="","",IFERROR(ROUND($D55*INDEX('🔖 배합비 참조'!$B$2:$CE$83,MATCH("계피가루",'🔖 배합비 참조'!$A$2:$A$83,0),MATCH($C55,'🔖 배합비 참조'!$B$1:$CE$1,0))/100,0),""))),"")</f>
        <v>0</v>
      </c>
      <c r="O55" s="39" t="n">
        <f aca="false">IFERROR(IF($C55="","",IF($D55="","",IFERROR(ROUND($D55*INDEX('🔖 배합비 참조'!$B$2:$CE$83,MATCH("고구마가루",'🔖 배합비 참조'!$A$2:$A$83,0),MATCH($C55,'🔖 배합비 참조'!$B$1:$CE$1,0))/100,0),""))),"")</f>
        <v>0</v>
      </c>
      <c r="P55" s="39" t="n">
        <f aca="false">IFERROR(IF($C55="","",IF($D55="","",IFERROR(ROUND($D55*INDEX('🔖 배합비 참조'!$B$2:$CE$83,MATCH("고구마무스",'🔖 배합비 참조'!$A$2:$A$83,0),MATCH($C55,'🔖 배합비 참조'!$B$1:$CE$1,0))/100,0),""))),"")</f>
        <v>0</v>
      </c>
      <c r="Q55" s="39" t="n">
        <f aca="false">IFERROR(IF($C55="","",IF($D55="","",IFERROR(ROUND($D55*INDEX('🔖 배합비 참조'!$B$2:$CE$83,MATCH("고려엉겅퀴((곤드레)국내산)",'🔖 배합비 참조'!$A$2:$A$83,0),MATCH($C55,'🔖 배합비 참조'!$B$1:$CE$1,0))/100,0),""))),"")</f>
        <v>0</v>
      </c>
      <c r="R55" s="39" t="n">
        <f aca="false">IFERROR(IF($C55="","",IF($D55="","",IFERROR(ROUND($D55*INDEX('🔖 배합비 참조'!$B$2:$CE$83,MATCH("기타가공품(복분자가루)",'🔖 배합비 참조'!$A$2:$A$83,0),MATCH($C55,'🔖 배합비 참조'!$B$1:$CE$1,0))/100,0),""))),"")</f>
        <v>0</v>
      </c>
      <c r="S55" s="39" t="n">
        <f aca="false">IFERROR(IF($C55="","",IF($D55="","",IFERROR(ROUND($D55*INDEX('🔖 배합비 참조'!$B$2:$CE$83,MATCH("기타가공품(슈퍼소프트엠)",'🔖 배합비 참조'!$A$2:$A$83,0),MATCH($C55,'🔖 배합비 참조'!$B$1:$CE$1,0))/100,0),""))),"")</f>
        <v>0</v>
      </c>
      <c r="T55" s="39" t="n">
        <f aca="false">IFERROR(IF($C55="","",IF($D55="","",IFERROR(ROUND($D55*INDEX('🔖 배합비 참조'!$B$2:$CE$83,MATCH("기타가공품(파인소프트 E-티)",'🔖 배합비 참조'!$A$2:$A$83,0),MATCH($C55,'🔖 배합비 참조'!$B$1:$CE$1,0))/100,0),""))),"")</f>
        <v>0</v>
      </c>
      <c r="U55" s="39" t="n">
        <f aca="false">IFERROR(IF($C55="","",IF($D55="","",IFERROR(ROUND($D55*INDEX('🔖 배합비 참조'!$B$2:$CE$83,MATCH("기타가공품(프리미엄카스테라가루)",'🔖 배합비 참조'!$A$2:$A$83,0),MATCH($C55,'🔖 배합비 참조'!$B$1:$CE$1,0))/100,0),""))),"")</f>
        <v>0</v>
      </c>
      <c r="V55" s="39" t="n">
        <f aca="false">IFERROR(IF($C55="","",IF($D55="","",IFERROR(ROUND($D55*INDEX('🔖 배합비 참조'!$B$2:$CE$83,MATCH("기타가공품(흑임자가루)",'🔖 배합비 참조'!$A$2:$A$83,0),MATCH($C55,'🔖 배합비 참조'!$B$1:$CE$1,0))/100,0),""))),"")</f>
        <v>0</v>
      </c>
      <c r="W55" s="39" t="n">
        <f aca="false">IFERROR(IF($C55="","",IF($D55="","",IFERROR(ROUND($D55*INDEX('🔖 배합비 참조'!$B$2:$CE$83,MATCH("기타설탕(흑설탕)",'🔖 배합비 참조'!$A$2:$A$83,0),MATCH($C55,'🔖 배합비 참조'!$B$1:$CE$1,0))/100,0),""))),"")</f>
        <v>0</v>
      </c>
      <c r="X55" s="39" t="n">
        <f aca="false">IFERROR(IF($C55="","",IF($D55="","",IFERROR(ROUND($D55*INDEX('🔖 배합비 참조'!$B$2:$CE$83,MATCH("냉동쑥(국내산)",'🔖 배합비 참조'!$A$2:$A$83,0),MATCH($C55,'🔖 배합비 참조'!$B$1:$CE$1,0))/100,0),""))),"")</f>
        <v>0</v>
      </c>
      <c r="Y55" s="39" t="n">
        <f aca="false">IFERROR(IF($C55="","",IF($D55="","",IFERROR(ROUND($D55*INDEX('🔖 배합비 참조'!$B$2:$CE$83,MATCH("냉동증숙고구마(중국산)",'🔖 배합비 참조'!$A$2:$A$83,0),MATCH($C55,'🔖 배합비 참조'!$B$1:$CE$1,0))/100,0),""))),"")</f>
        <v>0</v>
      </c>
      <c r="Z55" s="39" t="n">
        <f aca="false">IFERROR(IF($C55="","",IF($D55="","",IFERROR(ROUND($D55*INDEX('🔖 배합비 참조'!$B$2:$CE$83,MATCH("녹차가루",'🔖 배합비 참조'!$A$2:$A$83,0),MATCH($C55,'🔖 배합비 참조'!$B$1:$CE$1,0))/100,0),""))),"")</f>
        <v>0</v>
      </c>
      <c r="AA55" s="39" t="n">
        <f aca="false">IFERROR(IF($C55="","",IF($D55="","",IFERROR(ROUND($D55*INDEX('🔖 배합비 참조'!$B$2:$CE$83,MATCH("다크초콜릿 컴파운드칩",'🔖 배합비 참조'!$A$2:$A$83,0),MATCH($C55,'🔖 배합비 참조'!$B$1:$CE$1,0))/100,0),""))),"")</f>
        <v>0</v>
      </c>
      <c r="AB55" s="39" t="n">
        <f aca="false">IFERROR(IF($C55="","",IF($D55="","",IFERROR(ROUND($D55*INDEX('🔖 배합비 참조'!$B$2:$CE$83,MATCH("단호박분말(중국산)",'🔖 배합비 참조'!$A$2:$A$83,0),MATCH($C55,'🔖 배합비 참조'!$B$1:$CE$1,0))/100,0),""))),"")</f>
        <v>0</v>
      </c>
      <c r="AC55" s="39" t="n">
        <f aca="false">IFERROR(IF($C55="","",IF($D55="","",IFERROR(ROUND($D55*INDEX('🔖 배합비 참조'!$B$2:$CE$83,MATCH("당류가공품(단호박농축액)",'🔖 배합비 참조'!$A$2:$A$83,0),MATCH($C55,'🔖 배합비 참조'!$B$1:$CE$1,0))/100,0),""))),"")</f>
        <v>0</v>
      </c>
      <c r="AD55" s="39" t="n">
        <f aca="false">IFERROR(IF($C55="","",IF($D55="","",IFERROR(ROUND($D55*INDEX('🔖 배합비 참조'!$B$2:$CE$83,MATCH("당류가공품(알룰로스,에리스리톨,스테비올배당체혼합)",'🔖 배합비 참조'!$A$2:$A$83,0),MATCH($C55,'🔖 배합비 참조'!$B$1:$CE$1,0))/100,0),""))),"")</f>
        <v>0</v>
      </c>
      <c r="AE55" s="39" t="n">
        <f aca="false">IFERROR(IF($C55="","",IF($D55="","",IFERROR(ROUND($D55*INDEX('🔖 배합비 참조'!$B$2:$CE$83,MATCH("당류가공품(알룰로스제로파우더)",'🔖 배합비 참조'!$A$2:$A$83,0),MATCH($C55,'🔖 배합비 참조'!$B$1:$CE$1,0))/100,0),""))),"")</f>
        <v>0</v>
      </c>
      <c r="AF55" s="39" t="n">
        <f aca="false">IFERROR(IF($C55="","",IF($D55="","",IFERROR(ROUND($D55*INDEX('🔖 배합비 참조'!$B$2:$CE$83,MATCH("당절임(완두배기)",'🔖 배합비 참조'!$A$2:$A$83,0),MATCH($C55,'🔖 배합비 참조'!$B$1:$CE$1,0))/100,0),""))),"")</f>
        <v>0</v>
      </c>
      <c r="AG55" s="39" t="n">
        <f aca="false">IFERROR(IF($C55="","",IF($D55="","",IFERROR(ROUND($D55*INDEX('🔖 배합비 참조'!$B$2:$CE$83,MATCH("대추농축액",'🔖 배합비 참조'!$A$2:$A$83,0),MATCH($C55,'🔖 배합비 참조'!$B$1:$CE$1,0))/100,0),""))),"")</f>
        <v>0</v>
      </c>
      <c r="AH55" s="39" t="n">
        <f aca="false">IFERROR(IF($C55="","",IF($D55="","",IFERROR(ROUND($D55*INDEX('🔖 배합비 참조'!$B$2:$CE$83,MATCH("대추채(국내산)",'🔖 배합비 참조'!$A$2:$A$83,0),MATCH($C55,'🔖 배합비 참조'!$B$1:$CE$1,0))/100,0),""))),"")</f>
        <v>0</v>
      </c>
      <c r="AI55" s="39" t="n">
        <f aca="false">IFERROR(IF($C55="","",IF($D55="","",IFERROR(ROUND($D55*INDEX('🔖 배합비 참조'!$B$2:$CE$83,MATCH("동부(미얀마산)",'🔖 배합비 참조'!$A$2:$A$83,0),MATCH($C55,'🔖 배합비 참조'!$B$1:$CE$1,0))/100,0),""))),"")</f>
        <v>0</v>
      </c>
      <c r="AJ55" s="39" t="n">
        <f aca="false">IFERROR(IF($C55="","",IF($D55="","",IFERROR(ROUND($D55*INDEX('🔖 배합비 참조'!$B$2:$CE$83,MATCH("두류가공품(백옥앙금)",'🔖 배합비 참조'!$A$2:$A$83,0),MATCH($C55,'🔖 배합비 참조'!$B$1:$CE$1,0))/100,0),""))),"")</f>
        <v>0</v>
      </c>
      <c r="AK55" s="39" t="n">
        <f aca="false">IFERROR(IF($C55="","",IF($D55="","",IFERROR(ROUND($D55*INDEX('🔖 배합비 참조'!$B$2:$CE$83,MATCH("두류가공품(콩고물)",'🔖 배합비 참조'!$A$2:$A$83,0),MATCH($C55,'🔖 배합비 참조'!$B$1:$CE$1,0))/100,0),""))),"")</f>
        <v>0</v>
      </c>
      <c r="AL55" s="39" t="n">
        <f aca="false">IFERROR(IF($C55="","",IF($D55="","",IFERROR(ROUND($D55*INDEX('🔖 배합비 참조'!$B$2:$CE$83,MATCH("두류가공품(통팥고물)",'🔖 배합비 참조'!$A$2:$A$83,0),MATCH($C55,'🔖 배합비 참조'!$B$1:$CE$1,0))/100,0),""))),"")</f>
        <v>0</v>
      </c>
      <c r="AM55" s="39" t="n">
        <f aca="false">IFERROR(IF($C55="","",IF($D55="","",IFERROR(ROUND($D55*INDEX('🔖 배합비 참조'!$B$2:$CE$83,MATCH("딸기레진",'🔖 배합비 참조'!$A$2:$A$83,0),MATCH($C55,'🔖 배합비 참조'!$B$1:$CE$1,0))/100,0),""))),"")</f>
        <v>0</v>
      </c>
      <c r="AN55" s="39" t="n">
        <f aca="false">IFERROR(IF($C55="","",IF($D55="","",IFERROR(ROUND($D55*INDEX('🔖 배합비 참조'!$B$2:$CE$83,MATCH("딸기분말(스트로우베리에이드(분말))",'🔖 배합비 참조'!$A$2:$A$83,0),MATCH($C55,'🔖 배합비 참조'!$B$1:$CE$1,0))/100,0),""))),"")</f>
        <v>0</v>
      </c>
      <c r="AO55" s="39" t="n">
        <f aca="false">IFERROR(IF($C55="","",IF($D55="","",IFERROR(ROUND($D55*INDEX('🔖 배합비 참조'!$B$2:$CE$83,MATCH("마스카포네치즈",'🔖 배합비 참조'!$A$2:$A$83,0),MATCH($C55,'🔖 배합비 참조'!$B$1:$CE$1,0))/100,0),""))),"")</f>
        <v>0</v>
      </c>
      <c r="AP55" s="39" t="n">
        <f aca="false">IFERROR(IF($C55="","",IF($D55="","",IFERROR(ROUND($D55*INDEX('🔖 배합비 참조'!$B$2:$CE$83,MATCH("마카다미아분태(호주산)",'🔖 배합비 참조'!$A$2:$A$83,0),MATCH($C55,'🔖 배합비 참조'!$B$1:$CE$1,0))/100,0),""))),"")</f>
        <v>0</v>
      </c>
      <c r="AQ55" s="39" t="n">
        <f aca="false">IFERROR(IF($C55="","",IF($D55="","",IFERROR(ROUND($D55*INDEX('🔖 배합비 참조'!$B$2:$CE$83,MATCH("멥쌀(국내산)",'🔖 배합비 참조'!$A$2:$A$83,0),MATCH($C55,'🔖 배합비 참조'!$B$1:$CE$1,0))/100,0),""))),"")</f>
        <v>68</v>
      </c>
      <c r="AR55" s="39" t="n">
        <f aca="false">IFERROR(IF($C55="","",IF($D55="","",IFERROR(ROUND($D55*INDEX('🔖 배합비 참조'!$B$2:$CE$83,MATCH("모시잎(국내산)",'🔖 배합비 참조'!$A$2:$A$83,0),MATCH($C55,'🔖 배합비 참조'!$B$1:$CE$1,0))/100,0),""))),"")</f>
        <v>0</v>
      </c>
      <c r="AS55" s="39" t="n">
        <f aca="false">IFERROR(IF($C55="","",IF($D55="","",IFERROR(ROUND($D55*INDEX('🔖 배합비 참조'!$B$2:$CE$83,MATCH("물엿(저당물엿)",'🔖 배합비 참조'!$A$2:$A$83,0),MATCH($C55,'🔖 배합비 참조'!$B$1:$CE$1,0))/100,0),""))),"")</f>
        <v>0</v>
      </c>
      <c r="AT55" s="39" t="n">
        <f aca="false">IFERROR(IF($C55="","",IF($D55="","",IFERROR(ROUND($D55*INDEX('🔖 배합비 참조'!$B$2:$CE$83,MATCH("밤다이스",'🔖 배합비 참조'!$A$2:$A$83,0),MATCH($C55,'🔖 배합비 참조'!$B$1:$CE$1,0))/100,0),""))),"")</f>
        <v>0</v>
      </c>
      <c r="AU55" s="39" t="n">
        <f aca="false">IFERROR(IF($C55="","",IF($D55="","",IFERROR(ROUND($D55*INDEX('🔖 배합비 참조'!$B$2:$CE$83,MATCH("변성전분(타피오카전분)",'🔖 배합비 참조'!$A$2:$A$83,0),MATCH($C55,'🔖 배합비 참조'!$B$1:$CE$1,0))/100,0),""))),"")</f>
        <v>0</v>
      </c>
      <c r="AV55" s="39" t="n">
        <f aca="false">IFERROR(IF($C55="","",IF($D55="","",IFERROR(ROUND($D55*INDEX('🔖 배합비 참조'!$B$2:$CE$83,MATCH("복음땅콩분태",'🔖 배합비 참조'!$A$2:$A$83,0),MATCH($C55,'🔖 배합비 참조'!$B$1:$CE$1,0))/100,0),""))),"")</f>
        <v>0</v>
      </c>
      <c r="AW55" s="39" t="n">
        <f aca="false">IFERROR(IF($C55="","",IF($D55="","",IFERROR(ROUND($D55*INDEX('🔖 배합비 참조'!$B$2:$CE$83,MATCH("사양벌꿀(국내산)",'🔖 배합비 참조'!$A$2:$A$83,0),MATCH($C55,'🔖 배합비 참조'!$B$1:$CE$1,0))/100,0),""))),"")</f>
        <v>0</v>
      </c>
      <c r="AX55" s="39" t="n">
        <f aca="false">IFERROR(IF($C55="","",IF($D55="","",IFERROR(ROUND($D55*INDEX('🔖 배합비 참조'!$B$2:$CE$83,MATCH("생크림",'🔖 배합비 참조'!$A$2:$A$83,0),MATCH($C55,'🔖 배합비 참조'!$B$1:$CE$1,0))/100,0),""))),"")</f>
        <v>0</v>
      </c>
      <c r="AY55" s="39" t="n">
        <f aca="false">IFERROR(IF($C55="","",IF($D55="","",IFERROR(ROUND($D55*INDEX('🔖 배합비 참조'!$B$2:$CE$83,MATCH("서양호박(국내산,뉴질랜드산)",'🔖 배합비 참조'!$A$2:$A$83,0),MATCH($C55,'🔖 배합비 참조'!$B$1:$CE$1,0))/100,0),""))),"")</f>
        <v>0</v>
      </c>
      <c r="AZ55" s="39" t="n">
        <f aca="false">IFERROR(IF($C55="","",IF($D55="","",IFERROR(ROUND($D55*INDEX('🔖 배합비 참조'!$B$2:$CE$83,MATCH("설탕",'🔖 배합비 참조'!$A$2:$A$83,0),MATCH($C55,'🔖 배합비 참조'!$B$1:$CE$1,0))/100,0),""))),"")</f>
        <v>11</v>
      </c>
      <c r="BA55" s="39" t="n">
        <f aca="false">IFERROR(IF($C55="","",IF($D55="","",IFERROR(ROUND($D55*INDEX('🔖 배합비 참조'!$B$2:$CE$83,MATCH("스트로우베리 에이드 후레쉬",'🔖 배합비 참조'!$A$2:$A$83,0),MATCH($C55,'🔖 배합비 참조'!$B$1:$CE$1,0))/100,0),""))),"")</f>
        <v>0</v>
      </c>
      <c r="BB55" s="39" t="n">
        <f aca="false">IFERROR(IF($C55="","",IF($D55="","",IFERROR(ROUND($D55*INDEX('🔖 배합비 참조'!$B$2:$CE$83,MATCH("식물성기름혼합제제(분홍)",'🔖 배합비 참조'!$A$2:$A$83,0),MATCH($C55,'🔖 배합비 참조'!$B$1:$CE$1,0))/100,0),""))),"")</f>
        <v>0</v>
      </c>
      <c r="BC55" s="39" t="n">
        <f aca="false">IFERROR(IF($C55="","",IF($D55="","",IFERROR(ROUND($D55*INDEX('🔖 배합비 참조'!$B$2:$CE$83,MATCH("식물성기름혼합제제(초록)",'🔖 배합비 참조'!$A$2:$A$83,0),MATCH($C55,'🔖 배합비 참조'!$B$1:$CE$1,0))/100,0),""))),"")</f>
        <v>0</v>
      </c>
      <c r="BD55" s="39" t="n">
        <f aca="false">IFERROR(IF($C55="","",IF($D55="","",IFERROR(ROUND($D55*INDEX('🔖 배합비 참조'!$B$2:$CE$83,MATCH("식물성기름혼합제제(황색)",'🔖 배합비 참조'!$A$2:$A$83,0),MATCH($C55,'🔖 배합비 참조'!$B$1:$CE$1,0))/100,0),""))),"")</f>
        <v>0</v>
      </c>
      <c r="BE55" s="39" t="n">
        <f aca="false">IFERROR(IF($C55="","",IF($D55="","",IFERROR(ROUND($D55*INDEX('🔖 배합비 참조'!$B$2:$CE$83,MATCH("쑥가루(국내산)",'🔖 배합비 참조'!$A$2:$A$83,0),MATCH($C55,'🔖 배합비 참조'!$B$1:$CE$1,0))/100,0),""))),"")</f>
        <v>0</v>
      </c>
      <c r="BF55" s="39" t="n">
        <f aca="false">IFERROR(IF($C55="","",IF($D55="","",IFERROR(ROUND($D55*INDEX('🔖 배합비 참조'!$B$2:$CE$83,MATCH("아몬드슬라이스",'🔖 배합비 참조'!$A$2:$A$83,0),MATCH($C55,'🔖 배합비 참조'!$B$1:$CE$1,0))/100,0),""))),"")</f>
        <v>0</v>
      </c>
      <c r="BG55" s="39" t="n">
        <f aca="false">IFERROR(IF($C55="","",IF($D55="","",IFERROR(ROUND($D55*INDEX('🔖 배합비 참조'!$B$2:$CE$83,MATCH("알룰로오스(국내산)",'🔖 배합비 참조'!$A$2:$A$83,0),MATCH($C55,'🔖 배합비 참조'!$B$1:$CE$1,0))/100,0),""))),"")</f>
        <v>0</v>
      </c>
      <c r="BH55" s="39" t="n">
        <f aca="false">IFERROR(IF($C55="","",IF($D55="","",IFERROR(ROUND($D55*INDEX('🔖 배합비 참조'!$B$2:$CE$83,MATCH("연유",'🔖 배합비 참조'!$A$2:$A$83,0),MATCH($C55,'🔖 배합비 참조'!$B$1:$CE$1,0))/100,0),""))),"")</f>
        <v>0</v>
      </c>
      <c r="BI55" s="39" t="n">
        <f aca="false">IFERROR(IF($C55="","",IF($D55="","",IFERROR(ROUND($D55*INDEX('🔖 배합비 참조'!$B$2:$CE$83,MATCH("옥수수전분",'🔖 배합비 참조'!$A$2:$A$83,0),MATCH($C55,'🔖 배합비 참조'!$B$1:$CE$1,0))/100,0),""))),"")</f>
        <v>0</v>
      </c>
      <c r="BJ55" s="39" t="n">
        <f aca="false">IFERROR(IF($C55="","",IF($D55="","",IFERROR(ROUND($D55*INDEX('🔖 배합비 참조'!$B$2:$CE$83,MATCH("완두배기",'🔖 배합비 참조'!$A$2:$A$83,0),MATCH($C55,'🔖 배합비 참조'!$B$1:$CE$1,0))/100,0),""))),"")</f>
        <v>0</v>
      </c>
      <c r="BK55" s="39" t="n">
        <f aca="false">IFERROR(IF($C55="","",IF($D55="","",IFERROR(ROUND($D55*INDEX('🔖 배합비 참조'!$B$2:$CE$83,MATCH("우유(국내산)",'🔖 배합비 참조'!$A$2:$A$83,0),MATCH($C55,'🔖 배합비 참조'!$B$1:$CE$1,0))/100,0),""))),"")</f>
        <v>9</v>
      </c>
      <c r="BL55" s="39" t="n">
        <f aca="false">IFERROR(IF($C55="","",IF($D55="","",IFERROR(ROUND($D55*INDEX('🔖 배합비 참조'!$B$2:$CE$83,MATCH("자색고구마가루(중국산)",'🔖 배합비 참조'!$A$2:$A$83,0),MATCH($C55,'🔖 배합비 참조'!$B$1:$CE$1,0))/100,0),""))),"")</f>
        <v>0</v>
      </c>
      <c r="BM55" s="39" t="n">
        <f aca="false">IFERROR(IF($C55="","",IF($D55="","",IFERROR(ROUND($D55*INDEX('🔖 배합비 참조'!$B$2:$CE$83,MATCH("자연치즈(체다치즈)",'🔖 배합비 참조'!$A$2:$A$83,0),MATCH($C55,'🔖 배합비 참조'!$B$1:$CE$1,0))/100,0),""))),"")</f>
        <v>0</v>
      </c>
      <c r="BN55" s="39" t="n">
        <f aca="false">IFERROR(IF($C55="","",IF($D55="","",IFERROR(ROUND($D55*INDEX('🔖 배합비 참조'!$B$2:$CE$83,MATCH("정제수",'🔖 배합비 참조'!$A$2:$A$83,0),MATCH($C55,'🔖 배합비 참조'!$B$1:$CE$1,0))/100,0),""))),"")</f>
        <v>9</v>
      </c>
      <c r="BO55" s="39" t="n">
        <f aca="false">IFERROR(IF($C55="","",IF($D55="","",IFERROR(ROUND($D55*INDEX('🔖 배합비 참조'!$B$2:$CE$83,MATCH("젤라틴",'🔖 배합비 참조'!$A$2:$A$83,0),MATCH($C55,'🔖 배합비 참조'!$B$1:$CE$1,0))/100,0),""))),"")</f>
        <v>0</v>
      </c>
      <c r="BP55" s="39" t="n">
        <f aca="false">IFERROR(IF($C55="","",IF($D55="","",IFERROR(ROUND($D55*INDEX('🔖 배합비 참조'!$B$2:$CE$83,MATCH("조림류(백옥앙금)",'🔖 배합비 참조'!$A$2:$A$83,0),MATCH($C55,'🔖 배합비 참조'!$B$1:$CE$1,0))/100,0),""))),"")</f>
        <v>0</v>
      </c>
      <c r="BQ55" s="39" t="n">
        <f aca="false">IFERROR(IF($C55="","",IF($D55="","",IFERROR(ROUND($D55*INDEX('🔖 배합비 참조'!$B$2:$CE$83,MATCH("조림류(통팥앙금)",'🔖 배합비 참조'!$A$2:$A$83,0),MATCH($C55,'🔖 배합비 참조'!$B$1:$CE$1,0))/100,0),""))),"")</f>
        <v>0</v>
      </c>
      <c r="BR55" s="39" t="n">
        <f aca="false">IFERROR(IF($C55="","",IF($D55="","",IFERROR(ROUND($D55*INDEX('🔖 배합비 참조'!$B$2:$CE$83,MATCH("준초콜릿(외국산)",'🔖 배합비 참조'!$A$2:$A$83,0),MATCH($C55,'🔖 배합비 참조'!$B$1:$CE$1,0))/100,0),""))),"")</f>
        <v>0</v>
      </c>
      <c r="BS55" s="39" t="n">
        <f aca="false">IFERROR(IF($C55="","",IF($D55="","",IFERROR(ROUND($D55*INDEX('🔖 배합비 참조'!$B$2:$CE$83,MATCH("중력분",'🔖 배합비 참조'!$A$2:$A$83,0),MATCH($C55,'🔖 배합비 참조'!$B$1:$CE$1,0))/100,0),""))),"")</f>
        <v>0</v>
      </c>
      <c r="BT55" s="39" t="n">
        <f aca="false">IFERROR(IF($C55="","",IF($D55="","",IFERROR(ROUND($D55*INDEX('🔖 배합비 참조'!$B$2:$CE$83,MATCH("참깨(인도산,나이지리아산,탄자니아산,미얀마산)",'🔖 배합비 참조'!$A$2:$A$83,0),MATCH($C55,'🔖 배합비 참조'!$B$1:$CE$1,0))/100,0),""))),"")</f>
        <v>0</v>
      </c>
      <c r="BU55" s="39" t="n">
        <f aca="false">IFERROR(IF($C55="","",IF($D55="","",IFERROR(ROUND($D55*INDEX('🔖 배합비 참조'!$B$2:$CE$83,MATCH("찹쌀(국내산)",'🔖 배합비 참조'!$A$2:$A$83,0),MATCH($C55,'🔖 배합비 참조'!$B$1:$CE$1,0))/100,0),""))),"")</f>
        <v>0</v>
      </c>
      <c r="BV55" s="39" t="n">
        <f aca="false">IFERROR(IF($C55="","",IF($D55="","",IFERROR(ROUND($D55*INDEX('🔖 배합비 참조'!$B$2:$CE$83,MATCH("천일염",'🔖 배합비 참조'!$A$2:$A$83,0),MATCH($C55,'🔖 배합비 참조'!$B$1:$CE$1,0))/100,0),""))),"")</f>
        <v>1</v>
      </c>
      <c r="BW55" s="39" t="n">
        <f aca="false">IFERROR(IF($C55="","",IF($D55="","",IFERROR(ROUND($D55*INDEX('🔖 배합비 참조'!$B$2:$CE$83,MATCH("치즈 [크림치즈]",'🔖 배합비 참조'!$A$2:$A$83,0),MATCH($C55,'🔖 배합비 참조'!$B$1:$CE$1,0))/100,0),""))),"")</f>
        <v>0</v>
      </c>
      <c r="BX55" s="39" t="n">
        <f aca="false">IFERROR(IF($C55="","",IF($D55="","",IFERROR(ROUND($D55*INDEX('🔖 배합비 참조'!$B$2:$CE$83,MATCH("코코아가공품류(코코아분말)",'🔖 배합비 참조'!$A$2:$A$83,0),MATCH($C55,'🔖 배합비 참조'!$B$1:$CE$1,0))/100,0),""))),"")</f>
        <v>0</v>
      </c>
      <c r="BY55" s="39" t="n">
        <f aca="false">IFERROR(IF($C55="","",IF($D55="","",IFERROR(ROUND($D55*INDEX('🔖 배합비 참조'!$B$2:$CE$83,MATCH("콩기름(대두유)",'🔖 배합비 참조'!$A$2:$A$83,0),MATCH($C55,'🔖 배합비 참조'!$B$1:$CE$1,0))/100,0),""))),"")</f>
        <v>0</v>
      </c>
      <c r="BZ55" s="39" t="n">
        <f aca="false">IFERROR(IF($C55="","",IF($D55="","",IFERROR(ROUND($D55*INDEX('🔖 배합비 참조'!$B$2:$CE$83,MATCH("해바라기씨앗",'🔖 배합비 참조'!$A$2:$A$83,0),MATCH($C55,'🔖 배합비 참조'!$B$1:$CE$1,0))/100,0),""))),"")</f>
        <v>0</v>
      </c>
      <c r="CA55" s="39" t="n">
        <f aca="false">IFERROR(IF($C55="","",IF($D55="","",IFERROR(ROUND($D55*INDEX('🔖 배합비 참조'!$B$2:$CE$83,MATCH("현미(국내산)",'🔖 배합비 참조'!$A$2:$A$83,0),MATCH($C55,'🔖 배합비 참조'!$B$1:$CE$1,0))/100,0),""))),"")</f>
        <v>0</v>
      </c>
      <c r="CB55" s="39" t="n">
        <f aca="false">IFERROR(IF($C55="","",IF($D55="","",IFERROR(ROUND($D55*INDEX('🔖 배합비 참조'!$B$2:$CE$83,MATCH("현미멥쌀(국내산)",'🔖 배합비 참조'!$A$2:$A$83,0),MATCH($C55,'🔖 배합비 참조'!$B$1:$CE$1,0))/100,0),""))),"")</f>
        <v>0</v>
      </c>
      <c r="CC55" s="39" t="n">
        <f aca="false">IFERROR(IF($C55="","",IF($D55="","",IFERROR(ROUND($D55*INDEX('🔖 배합비 참조'!$B$2:$CE$83,MATCH("호두분태(미국산)",'🔖 배합비 참조'!$A$2:$A$83,0),MATCH($C55,'🔖 배합비 참조'!$B$1:$CE$1,0))/100,0),""))),"")</f>
        <v>0</v>
      </c>
      <c r="CD55" s="39" t="n">
        <f aca="false">IFERROR(IF($C55="","",IF($D55="","",IFERROR(ROUND($D55*INDEX('🔖 배합비 참조'!$B$2:$CE$83,MATCH("호박씨앗(외국산)",'🔖 배합비 참조'!$A$2:$A$83,0),MATCH($C55,'🔖 배합비 참조'!$B$1:$CE$1,0))/100,0),""))),"")</f>
        <v>0</v>
      </c>
      <c r="CE55" s="39" t="n">
        <f aca="false">IFERROR(IF($C55="","",IF($D55="","",IFERROR(ROUND($D55*INDEX('🔖 배합비 참조'!$B$2:$CE$83,MATCH("혼합제제(떡용에스텔)",'🔖 배합비 참조'!$A$2:$A$83,0),MATCH($C55,'🔖 배합비 참조'!$B$1:$CE$1,0))/100,0),""))),"")</f>
        <v>0</v>
      </c>
      <c r="CF55" s="39" t="n">
        <f aca="false">IFERROR(IF($C55="","",IF($D55="","",IFERROR(ROUND($D55*INDEX('🔖 배합비 참조'!$B$2:$CE$83,MATCH("혼합제제(스테비아)",'🔖 배합비 참조'!$A$2:$A$83,0),MATCH($C55,'🔖 배합비 참조'!$B$1:$CE$1,0))/100,0),""))),"")</f>
        <v>0</v>
      </c>
      <c r="CG55" s="39" t="n">
        <f aca="false">IFERROR(IF($C55="","",IF($D55="","",IFERROR(ROUND($D55*INDEX('🔖 배합비 참조'!$B$2:$CE$83,MATCH("화이트초콜릿",'🔖 배합비 참조'!$A$2:$A$83,0),MATCH($C55,'🔖 배합비 참조'!$B$1:$CE$1,0))/100,0),""))),"")</f>
        <v>0</v>
      </c>
      <c r="CH55" s="39" t="n">
        <f aca="false">IFERROR(IF($C55="","",IF($D55="","",IFERROR(ROUND($D55*INDEX('🔖 배합비 참조'!$B$2:$CE$83,MATCH("흑미찹쌀(국내산)",'🔖 배합비 참조'!$A$2:$A$83,0),MATCH($C55,'🔖 배합비 참조'!$B$1:$CE$1,0))/100,0),""))),"")</f>
        <v>0</v>
      </c>
      <c r="CI55" s="39" t="n">
        <f aca="false">IFERROR(IF($C55="","",IF($D55="","",IFERROR(ROUND($D55*INDEX('🔖 배합비 참조'!$B$2:$CE$83,MATCH("찰옥수수전분(미국산)",'🔖 배합비 참조'!$A$2:$A$83,0),MATCH($C55,'🔖 배합비 참조'!$B$1:$CE$1,0))/100,0),""))),"")</f>
        <v>0</v>
      </c>
      <c r="CJ55" s="40"/>
      <c r="CL55" s="1" t="s">
        <v>238</v>
      </c>
    </row>
    <row r="56" customFormat="false" ht="18" hidden="false" customHeight="true" outlineLevel="0" collapsed="false">
      <c r="A56" s="41" t="n">
        <v>52</v>
      </c>
      <c r="B56" s="36" t="n">
        <v>45967</v>
      </c>
      <c r="C56" s="37" t="s">
        <v>183</v>
      </c>
      <c r="D56" s="38" t="n">
        <v>350</v>
      </c>
      <c r="E56" s="17"/>
      <c r="F56" s="17"/>
      <c r="G56" s="42" t="n">
        <f aca="false">IFERROR(IF($C56="","",IF($D56="","",IFERROR(ROUND($D56*INDEX('🔖 배합비 참조'!$B$2:$CE$83,MATCH("간장",'🔖 배합비 참조'!$A$2:$A$83,0),MATCH($C56,'🔖 배합비 참조'!$B$1:$CE$1,0))/100,0),""))),"")</f>
        <v>0</v>
      </c>
      <c r="H56" s="42" t="n">
        <f aca="false">IFERROR(IF($C56="","",IF($D56="","",IFERROR(ROUND($D56*INDEX('🔖 배합비 참조'!$B$2:$CE$83,MATCH("강낭콩((울타리콩))",'🔖 배합비 참조'!$A$2:$A$83,0),MATCH($C56,'🔖 배합비 참조'!$B$1:$CE$1,0))/100,0),""))),"")</f>
        <v>0</v>
      </c>
      <c r="I56" s="42" t="n">
        <f aca="false">IFERROR(IF($C56="","",IF($D56="","",IFERROR(ROUND($D56*INDEX('🔖 배합비 참조'!$B$2:$CE$83,MATCH("건조딸기다이스(외국산)",'🔖 배합비 참조'!$A$2:$A$83,0),MATCH($C56,'🔖 배합비 참조'!$B$1:$CE$1,0))/100,0),""))),"")</f>
        <v>0</v>
      </c>
      <c r="J56" s="42" t="n">
        <f aca="false">IFERROR(IF($C56="","",IF($D56="","",IFERROR(ROUND($D56*INDEX('🔖 배합비 참조'!$B$2:$CE$83,MATCH("건포도",'🔖 배합비 참조'!$A$2:$A$83,0),MATCH($C56,'🔖 배합비 참조'!$B$1:$CE$1,0))/100,0),""))),"")</f>
        <v>0</v>
      </c>
      <c r="K56" s="42" t="n">
        <f aca="false">IFERROR(IF($C56="","",IF($D56="","",IFERROR(ROUND($D56*INDEX('🔖 배합비 참조'!$B$2:$CE$83,MATCH("건호박채(중국산)",'🔖 배합비 참조'!$A$2:$A$83,0),MATCH($C56,'🔖 배합비 참조'!$B$1:$CE$1,0))/100,0),""))),"")</f>
        <v>0</v>
      </c>
      <c r="L56" s="42" t="n">
        <f aca="false">IFERROR(IF($C56="","",IF($D56="","",IFERROR(ROUND($D56*INDEX('🔖 배합비 참조'!$B$2:$CE$83,MATCH("검정깨(흑임자)",'🔖 배합비 참조'!$A$2:$A$83,0),MATCH($C56,'🔖 배합비 참조'!$B$1:$CE$1,0))/100,0),""))),"")</f>
        <v>0</v>
      </c>
      <c r="M56" s="42" t="n">
        <f aca="false">IFERROR(IF($C56="","",IF($D56="","",IFERROR(ROUND($D56*INDEX('🔖 배합비 참조'!$B$2:$CE$83,MATCH("검정콩",'🔖 배합비 참조'!$A$2:$A$83,0),MATCH($C56,'🔖 배합비 참조'!$B$1:$CE$1,0))/100,0),""))),"")</f>
        <v>0</v>
      </c>
      <c r="N56" s="42" t="n">
        <f aca="false">IFERROR(IF($C56="","",IF($D56="","",IFERROR(ROUND($D56*INDEX('🔖 배합비 참조'!$B$2:$CE$83,MATCH("계피가루",'🔖 배합비 참조'!$A$2:$A$83,0),MATCH($C56,'🔖 배합비 참조'!$B$1:$CE$1,0))/100,0),""))),"")</f>
        <v>0</v>
      </c>
      <c r="O56" s="42" t="n">
        <f aca="false">IFERROR(IF($C56="","",IF($D56="","",IFERROR(ROUND($D56*INDEX('🔖 배합비 참조'!$B$2:$CE$83,MATCH("고구마가루",'🔖 배합비 참조'!$A$2:$A$83,0),MATCH($C56,'🔖 배합비 참조'!$B$1:$CE$1,0))/100,0),""))),"")</f>
        <v>0</v>
      </c>
      <c r="P56" s="42" t="n">
        <f aca="false">IFERROR(IF($C56="","",IF($D56="","",IFERROR(ROUND($D56*INDEX('🔖 배합비 참조'!$B$2:$CE$83,MATCH("고구마무스",'🔖 배합비 참조'!$A$2:$A$83,0),MATCH($C56,'🔖 배합비 참조'!$B$1:$CE$1,0))/100,0),""))),"")</f>
        <v>0</v>
      </c>
      <c r="Q56" s="42" t="n">
        <f aca="false">IFERROR(IF($C56="","",IF($D56="","",IFERROR(ROUND($D56*INDEX('🔖 배합비 참조'!$B$2:$CE$83,MATCH("고려엉겅퀴((곤드레)국내산)",'🔖 배합비 참조'!$A$2:$A$83,0),MATCH($C56,'🔖 배합비 참조'!$B$1:$CE$1,0))/100,0),""))),"")</f>
        <v>0</v>
      </c>
      <c r="R56" s="42" t="n">
        <f aca="false">IFERROR(IF($C56="","",IF($D56="","",IFERROR(ROUND($D56*INDEX('🔖 배합비 참조'!$B$2:$CE$83,MATCH("기타가공품(복분자가루)",'🔖 배합비 참조'!$A$2:$A$83,0),MATCH($C56,'🔖 배합비 참조'!$B$1:$CE$1,0))/100,0),""))),"")</f>
        <v>0</v>
      </c>
      <c r="S56" s="42" t="n">
        <f aca="false">IFERROR(IF($C56="","",IF($D56="","",IFERROR(ROUND($D56*INDEX('🔖 배합비 참조'!$B$2:$CE$83,MATCH("기타가공품(슈퍼소프트엠)",'🔖 배합비 참조'!$A$2:$A$83,0),MATCH($C56,'🔖 배합비 참조'!$B$1:$CE$1,0))/100,0),""))),"")</f>
        <v>0</v>
      </c>
      <c r="T56" s="42" t="n">
        <f aca="false">IFERROR(IF($C56="","",IF($D56="","",IFERROR(ROUND($D56*INDEX('🔖 배합비 참조'!$B$2:$CE$83,MATCH("기타가공품(파인소프트 E-티)",'🔖 배합비 참조'!$A$2:$A$83,0),MATCH($C56,'🔖 배합비 참조'!$B$1:$CE$1,0))/100,0),""))),"")</f>
        <v>0</v>
      </c>
      <c r="U56" s="42" t="n">
        <f aca="false">IFERROR(IF($C56="","",IF($D56="","",IFERROR(ROUND($D56*INDEX('🔖 배합비 참조'!$B$2:$CE$83,MATCH("기타가공품(프리미엄카스테라가루)",'🔖 배합비 참조'!$A$2:$A$83,0),MATCH($C56,'🔖 배합비 참조'!$B$1:$CE$1,0))/100,0),""))),"")</f>
        <v>0</v>
      </c>
      <c r="V56" s="42" t="n">
        <f aca="false">IFERROR(IF($C56="","",IF($D56="","",IFERROR(ROUND($D56*INDEX('🔖 배합비 참조'!$B$2:$CE$83,MATCH("기타가공품(흑임자가루)",'🔖 배합비 참조'!$A$2:$A$83,0),MATCH($C56,'🔖 배합비 참조'!$B$1:$CE$1,0))/100,0),""))),"")</f>
        <v>0</v>
      </c>
      <c r="W56" s="42" t="n">
        <f aca="false">IFERROR(IF($C56="","",IF($D56="","",IFERROR(ROUND($D56*INDEX('🔖 배합비 참조'!$B$2:$CE$83,MATCH("기타설탕(흑설탕)",'🔖 배합비 참조'!$A$2:$A$83,0),MATCH($C56,'🔖 배합비 참조'!$B$1:$CE$1,0))/100,0),""))),"")</f>
        <v>0</v>
      </c>
      <c r="X56" s="42" t="n">
        <f aca="false">IFERROR(IF($C56="","",IF($D56="","",IFERROR(ROUND($D56*INDEX('🔖 배합비 참조'!$B$2:$CE$83,MATCH("냉동쑥(국내산)",'🔖 배합비 참조'!$A$2:$A$83,0),MATCH($C56,'🔖 배합비 참조'!$B$1:$CE$1,0))/100,0),""))),"")</f>
        <v>0</v>
      </c>
      <c r="Y56" s="42" t="n">
        <f aca="false">IFERROR(IF($C56="","",IF($D56="","",IFERROR(ROUND($D56*INDEX('🔖 배합비 참조'!$B$2:$CE$83,MATCH("냉동증숙고구마(중국산)",'🔖 배합비 참조'!$A$2:$A$83,0),MATCH($C56,'🔖 배합비 참조'!$B$1:$CE$1,0))/100,0),""))),"")</f>
        <v>0</v>
      </c>
      <c r="Z56" s="42" t="n">
        <f aca="false">IFERROR(IF($C56="","",IF($D56="","",IFERROR(ROUND($D56*INDEX('🔖 배합비 참조'!$B$2:$CE$83,MATCH("녹차가루",'🔖 배합비 참조'!$A$2:$A$83,0),MATCH($C56,'🔖 배합비 참조'!$B$1:$CE$1,0))/100,0),""))),"")</f>
        <v>0</v>
      </c>
      <c r="AA56" s="42" t="n">
        <f aca="false">IFERROR(IF($C56="","",IF($D56="","",IFERROR(ROUND($D56*INDEX('🔖 배합비 참조'!$B$2:$CE$83,MATCH("다크초콜릿 컴파운드칩",'🔖 배합비 참조'!$A$2:$A$83,0),MATCH($C56,'🔖 배합비 참조'!$B$1:$CE$1,0))/100,0),""))),"")</f>
        <v>0</v>
      </c>
      <c r="AB56" s="42" t="n">
        <f aca="false">IFERROR(IF($C56="","",IF($D56="","",IFERROR(ROUND($D56*INDEX('🔖 배합비 참조'!$B$2:$CE$83,MATCH("단호박분말(중국산)",'🔖 배합비 참조'!$A$2:$A$83,0),MATCH($C56,'🔖 배합비 참조'!$B$1:$CE$1,0))/100,0),""))),"")</f>
        <v>0</v>
      </c>
      <c r="AC56" s="42" t="n">
        <f aca="false">IFERROR(IF($C56="","",IF($D56="","",IFERROR(ROUND($D56*INDEX('🔖 배합비 참조'!$B$2:$CE$83,MATCH("당류가공품(단호박농축액)",'🔖 배합비 참조'!$A$2:$A$83,0),MATCH($C56,'🔖 배합비 참조'!$B$1:$CE$1,0))/100,0),""))),"")</f>
        <v>0</v>
      </c>
      <c r="AD56" s="42" t="n">
        <f aca="false">IFERROR(IF($C56="","",IF($D56="","",IFERROR(ROUND($D56*INDEX('🔖 배합비 참조'!$B$2:$CE$83,MATCH("당류가공품(알룰로스,에리스리톨,스테비올배당체혼합)",'🔖 배합비 참조'!$A$2:$A$83,0),MATCH($C56,'🔖 배합비 참조'!$B$1:$CE$1,0))/100,0),""))),"")</f>
        <v>0</v>
      </c>
      <c r="AE56" s="42" t="n">
        <f aca="false">IFERROR(IF($C56="","",IF($D56="","",IFERROR(ROUND($D56*INDEX('🔖 배합비 참조'!$B$2:$CE$83,MATCH("당류가공품(알룰로스제로파우더)",'🔖 배합비 참조'!$A$2:$A$83,0),MATCH($C56,'🔖 배합비 참조'!$B$1:$CE$1,0))/100,0),""))),"")</f>
        <v>0</v>
      </c>
      <c r="AF56" s="42" t="n">
        <f aca="false">IFERROR(IF($C56="","",IF($D56="","",IFERROR(ROUND($D56*INDEX('🔖 배합비 참조'!$B$2:$CE$83,MATCH("당절임(완두배기)",'🔖 배합비 참조'!$A$2:$A$83,0),MATCH($C56,'🔖 배합비 참조'!$B$1:$CE$1,0))/100,0),""))),"")</f>
        <v>0</v>
      </c>
      <c r="AG56" s="42" t="n">
        <f aca="false">IFERROR(IF($C56="","",IF($D56="","",IFERROR(ROUND($D56*INDEX('🔖 배합비 참조'!$B$2:$CE$83,MATCH("대추농축액",'🔖 배합비 참조'!$A$2:$A$83,0),MATCH($C56,'🔖 배합비 참조'!$B$1:$CE$1,0))/100,0),""))),"")</f>
        <v>0</v>
      </c>
      <c r="AH56" s="42" t="n">
        <f aca="false">IFERROR(IF($C56="","",IF($D56="","",IFERROR(ROUND($D56*INDEX('🔖 배합비 참조'!$B$2:$CE$83,MATCH("대추채(국내산)",'🔖 배합비 참조'!$A$2:$A$83,0),MATCH($C56,'🔖 배합비 참조'!$B$1:$CE$1,0))/100,0),""))),"")</f>
        <v>0</v>
      </c>
      <c r="AI56" s="42" t="n">
        <f aca="false">IFERROR(IF($C56="","",IF($D56="","",IFERROR(ROUND($D56*INDEX('🔖 배합비 참조'!$B$2:$CE$83,MATCH("동부(미얀마산)",'🔖 배합비 참조'!$A$2:$A$83,0),MATCH($C56,'🔖 배합비 참조'!$B$1:$CE$1,0))/100,0),""))),"")</f>
        <v>0</v>
      </c>
      <c r="AJ56" s="42" t="n">
        <f aca="false">IFERROR(IF($C56="","",IF($D56="","",IFERROR(ROUND($D56*INDEX('🔖 배합비 참조'!$B$2:$CE$83,MATCH("두류가공품(백옥앙금)",'🔖 배합비 참조'!$A$2:$A$83,0),MATCH($C56,'🔖 배합비 참조'!$B$1:$CE$1,0))/100,0),""))),"")</f>
        <v>0</v>
      </c>
      <c r="AK56" s="42" t="n">
        <f aca="false">IFERROR(IF($C56="","",IF($D56="","",IFERROR(ROUND($D56*INDEX('🔖 배합비 참조'!$B$2:$CE$83,MATCH("두류가공품(콩고물)",'🔖 배합비 참조'!$A$2:$A$83,0),MATCH($C56,'🔖 배합비 참조'!$B$1:$CE$1,0))/100,0),""))),"")</f>
        <v>0</v>
      </c>
      <c r="AL56" s="42" t="n">
        <f aca="false">IFERROR(IF($C56="","",IF($D56="","",IFERROR(ROUND($D56*INDEX('🔖 배합비 참조'!$B$2:$CE$83,MATCH("두류가공품(통팥고물)",'🔖 배합비 참조'!$A$2:$A$83,0),MATCH($C56,'🔖 배합비 참조'!$B$1:$CE$1,0))/100,0),""))),"")</f>
        <v>0</v>
      </c>
      <c r="AM56" s="42" t="n">
        <f aca="false">IFERROR(IF($C56="","",IF($D56="","",IFERROR(ROUND($D56*INDEX('🔖 배합비 참조'!$B$2:$CE$83,MATCH("딸기레진",'🔖 배합비 참조'!$A$2:$A$83,0),MATCH($C56,'🔖 배합비 참조'!$B$1:$CE$1,0))/100,0),""))),"")</f>
        <v>0</v>
      </c>
      <c r="AN56" s="42" t="n">
        <f aca="false">IFERROR(IF($C56="","",IF($D56="","",IFERROR(ROUND($D56*INDEX('🔖 배합비 참조'!$B$2:$CE$83,MATCH("딸기분말(스트로우베리에이드(분말))",'🔖 배합비 참조'!$A$2:$A$83,0),MATCH($C56,'🔖 배합비 참조'!$B$1:$CE$1,0))/100,0),""))),"")</f>
        <v>0</v>
      </c>
      <c r="AO56" s="42" t="n">
        <f aca="false">IFERROR(IF($C56="","",IF($D56="","",IFERROR(ROUND($D56*INDEX('🔖 배합비 참조'!$B$2:$CE$83,MATCH("마스카포네치즈",'🔖 배합비 참조'!$A$2:$A$83,0),MATCH($C56,'🔖 배합비 참조'!$B$1:$CE$1,0))/100,0),""))),"")</f>
        <v>0</v>
      </c>
      <c r="AP56" s="42" t="n">
        <f aca="false">IFERROR(IF($C56="","",IF($D56="","",IFERROR(ROUND($D56*INDEX('🔖 배합비 참조'!$B$2:$CE$83,MATCH("마카다미아분태(호주산)",'🔖 배합비 참조'!$A$2:$A$83,0),MATCH($C56,'🔖 배합비 참조'!$B$1:$CE$1,0))/100,0),""))),"")</f>
        <v>0</v>
      </c>
      <c r="AQ56" s="42" t="n">
        <f aca="false">IFERROR(IF($C56="","",IF($D56="","",IFERROR(ROUND($D56*INDEX('🔖 배합비 참조'!$B$2:$CE$83,MATCH("멥쌀(국내산)",'🔖 배합비 참조'!$A$2:$A$83,0),MATCH($C56,'🔖 배합비 참조'!$B$1:$CE$1,0))/100,0),""))),"")</f>
        <v>0</v>
      </c>
      <c r="AR56" s="42" t="n">
        <f aca="false">IFERROR(IF($C56="","",IF($D56="","",IFERROR(ROUND($D56*INDEX('🔖 배합비 참조'!$B$2:$CE$83,MATCH("모시잎(국내산)",'🔖 배합비 참조'!$A$2:$A$83,0),MATCH($C56,'🔖 배합비 참조'!$B$1:$CE$1,0))/100,0),""))),"")</f>
        <v>0</v>
      </c>
      <c r="AS56" s="42" t="n">
        <f aca="false">IFERROR(IF($C56="","",IF($D56="","",IFERROR(ROUND($D56*INDEX('🔖 배합비 참조'!$B$2:$CE$83,MATCH("물엿(저당물엿)",'🔖 배합비 참조'!$A$2:$A$83,0),MATCH($C56,'🔖 배합비 참조'!$B$1:$CE$1,0))/100,0),""))),"")</f>
        <v>8</v>
      </c>
      <c r="AT56" s="42" t="n">
        <f aca="false">IFERROR(IF($C56="","",IF($D56="","",IFERROR(ROUND($D56*INDEX('🔖 배합비 참조'!$B$2:$CE$83,MATCH("밤다이스",'🔖 배합비 참조'!$A$2:$A$83,0),MATCH($C56,'🔖 배합비 참조'!$B$1:$CE$1,0))/100,0),""))),"")</f>
        <v>0</v>
      </c>
      <c r="AU56" s="42" t="n">
        <f aca="false">IFERROR(IF($C56="","",IF($D56="","",IFERROR(ROUND($D56*INDEX('🔖 배합비 참조'!$B$2:$CE$83,MATCH("변성전분(타피오카전분)",'🔖 배합비 참조'!$A$2:$A$83,0),MATCH($C56,'🔖 배합비 참조'!$B$1:$CE$1,0))/100,0),""))),"")</f>
        <v>0</v>
      </c>
      <c r="AV56" s="42" t="n">
        <f aca="false">IFERROR(IF($C56="","",IF($D56="","",IFERROR(ROUND($D56*INDEX('🔖 배합비 참조'!$B$2:$CE$83,MATCH("복음땅콩분태",'🔖 배합비 참조'!$A$2:$A$83,0),MATCH($C56,'🔖 배합비 참조'!$B$1:$CE$1,0))/100,0),""))),"")</f>
        <v>0</v>
      </c>
      <c r="AW56" s="42" t="n">
        <f aca="false">IFERROR(IF($C56="","",IF($D56="","",IFERROR(ROUND($D56*INDEX('🔖 배합비 참조'!$B$2:$CE$83,MATCH("사양벌꿀(국내산)",'🔖 배합비 참조'!$A$2:$A$83,0),MATCH($C56,'🔖 배합비 참조'!$B$1:$CE$1,0))/100,0),""))),"")</f>
        <v>0</v>
      </c>
      <c r="AX56" s="42" t="n">
        <f aca="false">IFERROR(IF($C56="","",IF($D56="","",IFERROR(ROUND($D56*INDEX('🔖 배합비 참조'!$B$2:$CE$83,MATCH("생크림",'🔖 배합비 참조'!$A$2:$A$83,0),MATCH($C56,'🔖 배합비 참조'!$B$1:$CE$1,0))/100,0),""))),"")</f>
        <v>0</v>
      </c>
      <c r="AY56" s="42" t="n">
        <f aca="false">IFERROR(IF($C56="","",IF($D56="","",IFERROR(ROUND($D56*INDEX('🔖 배합비 참조'!$B$2:$CE$83,MATCH("서양호박(국내산,뉴질랜드산)",'🔖 배합비 참조'!$A$2:$A$83,0),MATCH($C56,'🔖 배합비 참조'!$B$1:$CE$1,0))/100,0),""))),"")</f>
        <v>0</v>
      </c>
      <c r="AZ56" s="42" t="n">
        <f aca="false">IFERROR(IF($C56="","",IF($D56="","",IFERROR(ROUND($D56*INDEX('🔖 배합비 참조'!$B$2:$CE$83,MATCH("설탕",'🔖 배합비 참조'!$A$2:$A$83,0),MATCH($C56,'🔖 배합비 참조'!$B$1:$CE$1,0))/100,0),""))),"")</f>
        <v>8</v>
      </c>
      <c r="BA56" s="42" t="n">
        <f aca="false">IFERROR(IF($C56="","",IF($D56="","",IFERROR(ROUND($D56*INDEX('🔖 배합비 참조'!$B$2:$CE$83,MATCH("스트로우베리 에이드 후레쉬",'🔖 배합비 참조'!$A$2:$A$83,0),MATCH($C56,'🔖 배합비 참조'!$B$1:$CE$1,0))/100,0),""))),"")</f>
        <v>0</v>
      </c>
      <c r="BB56" s="42" t="n">
        <f aca="false">IFERROR(IF($C56="","",IF($D56="","",IFERROR(ROUND($D56*INDEX('🔖 배합비 참조'!$B$2:$CE$83,MATCH("식물성기름혼합제제(분홍)",'🔖 배합비 참조'!$A$2:$A$83,0),MATCH($C56,'🔖 배합비 참조'!$B$1:$CE$1,0))/100,0),""))),"")</f>
        <v>0</v>
      </c>
      <c r="BC56" s="42" t="n">
        <f aca="false">IFERROR(IF($C56="","",IF($D56="","",IFERROR(ROUND($D56*INDEX('🔖 배합비 참조'!$B$2:$CE$83,MATCH("식물성기름혼합제제(초록)",'🔖 배합비 참조'!$A$2:$A$83,0),MATCH($C56,'🔖 배합비 참조'!$B$1:$CE$1,0))/100,0),""))),"")</f>
        <v>0</v>
      </c>
      <c r="BD56" s="42" t="n">
        <f aca="false">IFERROR(IF($C56="","",IF($D56="","",IFERROR(ROUND($D56*INDEX('🔖 배합비 참조'!$B$2:$CE$83,MATCH("식물성기름혼합제제(황색)",'🔖 배합비 참조'!$A$2:$A$83,0),MATCH($C56,'🔖 배합비 참조'!$B$1:$CE$1,0))/100,0),""))),"")</f>
        <v>0</v>
      </c>
      <c r="BE56" s="42" t="n">
        <f aca="false">IFERROR(IF($C56="","",IF($D56="","",IFERROR(ROUND($D56*INDEX('🔖 배합비 참조'!$B$2:$CE$83,MATCH("쑥가루(국내산)",'🔖 배합비 참조'!$A$2:$A$83,0),MATCH($C56,'🔖 배합비 참조'!$B$1:$CE$1,0))/100,0),""))),"")</f>
        <v>0</v>
      </c>
      <c r="BF56" s="42" t="n">
        <f aca="false">IFERROR(IF($C56="","",IF($D56="","",IFERROR(ROUND($D56*INDEX('🔖 배합비 참조'!$B$2:$CE$83,MATCH("아몬드슬라이스",'🔖 배합비 참조'!$A$2:$A$83,0),MATCH($C56,'🔖 배합비 참조'!$B$1:$CE$1,0))/100,0),""))),"")</f>
        <v>0</v>
      </c>
      <c r="BG56" s="42" t="n">
        <f aca="false">IFERROR(IF($C56="","",IF($D56="","",IFERROR(ROUND($D56*INDEX('🔖 배합비 참조'!$B$2:$CE$83,MATCH("알룰로오스(국내산)",'🔖 배합비 참조'!$A$2:$A$83,0),MATCH($C56,'🔖 배합비 참조'!$B$1:$CE$1,0))/100,0),""))),"")</f>
        <v>0</v>
      </c>
      <c r="BH56" s="42" t="n">
        <f aca="false">IFERROR(IF($C56="","",IF($D56="","",IFERROR(ROUND($D56*INDEX('🔖 배합비 참조'!$B$2:$CE$83,MATCH("연유",'🔖 배합비 참조'!$A$2:$A$83,0),MATCH($C56,'🔖 배합비 참조'!$B$1:$CE$1,0))/100,0),""))),"")</f>
        <v>0</v>
      </c>
      <c r="BI56" s="42" t="n">
        <f aca="false">IFERROR(IF($C56="","",IF($D56="","",IFERROR(ROUND($D56*INDEX('🔖 배합비 참조'!$B$2:$CE$83,MATCH("옥수수전분",'🔖 배합비 참조'!$A$2:$A$83,0),MATCH($C56,'🔖 배합비 참조'!$B$1:$CE$1,0))/100,0),""))),"")</f>
        <v>4</v>
      </c>
      <c r="BJ56" s="42" t="n">
        <f aca="false">IFERROR(IF($C56="","",IF($D56="","",IFERROR(ROUND($D56*INDEX('🔖 배합비 참조'!$B$2:$CE$83,MATCH("완두배기",'🔖 배합비 참조'!$A$2:$A$83,0),MATCH($C56,'🔖 배합비 참조'!$B$1:$CE$1,0))/100,0),""))),"")</f>
        <v>0</v>
      </c>
      <c r="BK56" s="42" t="n">
        <f aca="false">IFERROR(IF($C56="","",IF($D56="","",IFERROR(ROUND($D56*INDEX('🔖 배합비 참조'!$B$2:$CE$83,MATCH("우유(국내산)",'🔖 배합비 참조'!$A$2:$A$83,0),MATCH($C56,'🔖 배합비 참조'!$B$1:$CE$1,0))/100,0),""))),"")</f>
        <v>0</v>
      </c>
      <c r="BL56" s="42" t="n">
        <f aca="false">IFERROR(IF($C56="","",IF($D56="","",IFERROR(ROUND($D56*INDEX('🔖 배합비 참조'!$B$2:$CE$83,MATCH("자색고구마가루(중국산)",'🔖 배합비 참조'!$A$2:$A$83,0),MATCH($C56,'🔖 배합비 참조'!$B$1:$CE$1,0))/100,0),""))),"")</f>
        <v>0</v>
      </c>
      <c r="BM56" s="42" t="n">
        <f aca="false">IFERROR(IF($C56="","",IF($D56="","",IFERROR(ROUND($D56*INDEX('🔖 배합비 참조'!$B$2:$CE$83,MATCH("자연치즈(체다치즈)",'🔖 배합비 참조'!$A$2:$A$83,0),MATCH($C56,'🔖 배합비 참조'!$B$1:$CE$1,0))/100,0),""))),"")</f>
        <v>0</v>
      </c>
      <c r="BN56" s="42" t="n">
        <f aca="false">IFERROR(IF($C56="","",IF($D56="","",IFERROR(ROUND($D56*INDEX('🔖 배합비 참조'!$B$2:$CE$83,MATCH("정제수",'🔖 배합비 참조'!$A$2:$A$83,0),MATCH($C56,'🔖 배합비 참조'!$B$1:$CE$1,0))/100,0),""))),"")</f>
        <v>0</v>
      </c>
      <c r="BO56" s="42" t="n">
        <f aca="false">IFERROR(IF($C56="","",IF($D56="","",IFERROR(ROUND($D56*INDEX('🔖 배합비 참조'!$B$2:$CE$83,MATCH("젤라틴",'🔖 배합비 참조'!$A$2:$A$83,0),MATCH($C56,'🔖 배합비 참조'!$B$1:$CE$1,0))/100,0),""))),"")</f>
        <v>0</v>
      </c>
      <c r="BP56" s="42" t="n">
        <f aca="false">IFERROR(IF($C56="","",IF($D56="","",IFERROR(ROUND($D56*INDEX('🔖 배합비 참조'!$B$2:$CE$83,MATCH("조림류(백옥앙금)",'🔖 배합비 참조'!$A$2:$A$83,0),MATCH($C56,'🔖 배합비 참조'!$B$1:$CE$1,0))/100,0),""))),"")</f>
        <v>0</v>
      </c>
      <c r="BQ56" s="42" t="n">
        <f aca="false">IFERROR(IF($C56="","",IF($D56="","",IFERROR(ROUND($D56*INDEX('🔖 배합비 참조'!$B$2:$CE$83,MATCH("조림류(통팥앙금)",'🔖 배합비 참조'!$A$2:$A$83,0),MATCH($C56,'🔖 배합비 참조'!$B$1:$CE$1,0))/100,0),""))),"")</f>
        <v>157</v>
      </c>
      <c r="BR56" s="42" t="n">
        <f aca="false">IFERROR(IF($C56="","",IF($D56="","",IFERROR(ROUND($D56*INDEX('🔖 배합비 참조'!$B$2:$CE$83,MATCH("준초콜릿(외국산)",'🔖 배합비 참조'!$A$2:$A$83,0),MATCH($C56,'🔖 배합비 참조'!$B$1:$CE$1,0))/100,0),""))),"")</f>
        <v>0</v>
      </c>
      <c r="BS56" s="42" t="n">
        <f aca="false">IFERROR(IF($C56="","",IF($D56="","",IFERROR(ROUND($D56*INDEX('🔖 배합비 참조'!$B$2:$CE$83,MATCH("중력분",'🔖 배합비 참조'!$A$2:$A$83,0),MATCH($C56,'🔖 배합비 참조'!$B$1:$CE$1,0))/100,0),""))),"")</f>
        <v>1</v>
      </c>
      <c r="BT56" s="42" t="n">
        <f aca="false">IFERROR(IF($C56="","",IF($D56="","",IFERROR(ROUND($D56*INDEX('🔖 배합비 참조'!$B$2:$CE$83,MATCH("참깨(인도산,나이지리아산,탄자니아산,미얀마산)",'🔖 배합비 참조'!$A$2:$A$83,0),MATCH($C56,'🔖 배합비 참조'!$B$1:$CE$1,0))/100,0),""))),"")</f>
        <v>0</v>
      </c>
      <c r="BU56" s="42" t="n">
        <f aca="false">IFERROR(IF($C56="","",IF($D56="","",IFERROR(ROUND($D56*INDEX('🔖 배합비 참조'!$B$2:$CE$83,MATCH("찹쌀(국내산)",'🔖 배합비 참조'!$A$2:$A$83,0),MATCH($C56,'🔖 배합비 참조'!$B$1:$CE$1,0))/100,0),""))),"")</f>
        <v>167</v>
      </c>
      <c r="BV56" s="42" t="n">
        <f aca="false">IFERROR(IF($C56="","",IF($D56="","",IFERROR(ROUND($D56*INDEX('🔖 배합비 참조'!$B$2:$CE$83,MATCH("천일염",'🔖 배합비 참조'!$A$2:$A$83,0),MATCH($C56,'🔖 배합비 참조'!$B$1:$CE$1,0))/100,0),""))),"")</f>
        <v>3</v>
      </c>
      <c r="BW56" s="42" t="n">
        <f aca="false">IFERROR(IF($C56="","",IF($D56="","",IFERROR(ROUND($D56*INDEX('🔖 배합비 참조'!$B$2:$CE$83,MATCH("치즈 [크림치즈]",'🔖 배합비 참조'!$A$2:$A$83,0),MATCH($C56,'🔖 배합비 참조'!$B$1:$CE$1,0))/100,0),""))),"")</f>
        <v>0</v>
      </c>
      <c r="BX56" s="42" t="n">
        <f aca="false">IFERROR(IF($C56="","",IF($D56="","",IFERROR(ROUND($D56*INDEX('🔖 배합비 참조'!$B$2:$CE$83,MATCH("코코아가공품류(코코아분말)",'🔖 배합비 참조'!$A$2:$A$83,0),MATCH($C56,'🔖 배합비 참조'!$B$1:$CE$1,0))/100,0),""))),"")</f>
        <v>0</v>
      </c>
      <c r="BY56" s="42" t="n">
        <f aca="false">IFERROR(IF($C56="","",IF($D56="","",IFERROR(ROUND($D56*INDEX('🔖 배합비 참조'!$B$2:$CE$83,MATCH("콩기름(대두유)",'🔖 배합비 참조'!$A$2:$A$83,0),MATCH($C56,'🔖 배합비 참조'!$B$1:$CE$1,0))/100,0),""))),"")</f>
        <v>0</v>
      </c>
      <c r="BZ56" s="42" t="n">
        <f aca="false">IFERROR(IF($C56="","",IF($D56="","",IFERROR(ROUND($D56*INDEX('🔖 배합비 참조'!$B$2:$CE$83,MATCH("해바라기씨앗",'🔖 배합비 참조'!$A$2:$A$83,0),MATCH($C56,'🔖 배합비 참조'!$B$1:$CE$1,0))/100,0),""))),"")</f>
        <v>0</v>
      </c>
      <c r="CA56" s="42" t="n">
        <f aca="false">IFERROR(IF($C56="","",IF($D56="","",IFERROR(ROUND($D56*INDEX('🔖 배합비 참조'!$B$2:$CE$83,MATCH("현미(국내산)",'🔖 배합비 참조'!$A$2:$A$83,0),MATCH($C56,'🔖 배합비 참조'!$B$1:$CE$1,0))/100,0),""))),"")</f>
        <v>0</v>
      </c>
      <c r="CB56" s="42" t="n">
        <f aca="false">IFERROR(IF($C56="","",IF($D56="","",IFERROR(ROUND($D56*INDEX('🔖 배합비 참조'!$B$2:$CE$83,MATCH("현미멥쌀(국내산)",'🔖 배합비 참조'!$A$2:$A$83,0),MATCH($C56,'🔖 배합비 참조'!$B$1:$CE$1,0))/100,0),""))),"")</f>
        <v>0</v>
      </c>
      <c r="CC56" s="42" t="n">
        <f aca="false">IFERROR(IF($C56="","",IF($D56="","",IFERROR(ROUND($D56*INDEX('🔖 배합비 참조'!$B$2:$CE$83,MATCH("호두분태(미국산)",'🔖 배합비 참조'!$A$2:$A$83,0),MATCH($C56,'🔖 배합비 참조'!$B$1:$CE$1,0))/100,0),""))),"")</f>
        <v>0</v>
      </c>
      <c r="CD56" s="42" t="n">
        <f aca="false">IFERROR(IF($C56="","",IF($D56="","",IFERROR(ROUND($D56*INDEX('🔖 배합비 참조'!$B$2:$CE$83,MATCH("호박씨앗(외국산)",'🔖 배합비 참조'!$A$2:$A$83,0),MATCH($C56,'🔖 배합비 참조'!$B$1:$CE$1,0))/100,0),""))),"")</f>
        <v>0</v>
      </c>
      <c r="CE56" s="42" t="n">
        <f aca="false">IFERROR(IF($C56="","",IF($D56="","",IFERROR(ROUND($D56*INDEX('🔖 배합비 참조'!$B$2:$CE$83,MATCH("혼합제제(떡용에스텔)",'🔖 배합비 참조'!$A$2:$A$83,0),MATCH($C56,'🔖 배합비 참조'!$B$1:$CE$1,0))/100,0),""))),"")</f>
        <v>1</v>
      </c>
      <c r="CF56" s="42" t="n">
        <f aca="false">IFERROR(IF($C56="","",IF($D56="","",IFERROR(ROUND($D56*INDEX('🔖 배합비 참조'!$B$2:$CE$83,MATCH("혼합제제(스테비아)",'🔖 배합비 참조'!$A$2:$A$83,0),MATCH($C56,'🔖 배합비 참조'!$B$1:$CE$1,0))/100,0),""))),"")</f>
        <v>0</v>
      </c>
      <c r="CG56" s="42" t="n">
        <f aca="false">IFERROR(IF($C56="","",IF($D56="","",IFERROR(ROUND($D56*INDEX('🔖 배합비 참조'!$B$2:$CE$83,MATCH("화이트초콜릿",'🔖 배합비 참조'!$A$2:$A$83,0),MATCH($C56,'🔖 배합비 참조'!$B$1:$CE$1,0))/100,0),""))),"")</f>
        <v>0</v>
      </c>
      <c r="CH56" s="42" t="n">
        <f aca="false">IFERROR(IF($C56="","",IF($D56="","",IFERROR(ROUND($D56*INDEX('🔖 배합비 참조'!$B$2:$CE$83,MATCH("흑미찹쌀(국내산)",'🔖 배합비 참조'!$A$2:$A$83,0),MATCH($C56,'🔖 배합비 참조'!$B$1:$CE$1,0))/100,0),""))),"")</f>
        <v>0</v>
      </c>
      <c r="CI56" s="42" t="n">
        <f aca="false">IFERROR(IF($C56="","",IF($D56="","",IFERROR(ROUND($D56*INDEX('🔖 배합비 참조'!$B$2:$CE$83,MATCH("찰옥수수전분(미국산)",'🔖 배합비 참조'!$A$2:$A$83,0),MATCH($C56,'🔖 배합비 참조'!$B$1:$CE$1,0))/100,0),""))),"")</f>
        <v>0</v>
      </c>
      <c r="CJ56" s="40"/>
      <c r="CL56" s="1" t="s">
        <v>238</v>
      </c>
    </row>
    <row r="57" customFormat="false" ht="18" hidden="false" customHeight="true" outlineLevel="0" collapsed="false">
      <c r="A57" s="35" t="n">
        <v>53</v>
      </c>
      <c r="B57" s="36" t="n">
        <v>45968</v>
      </c>
      <c r="C57" s="37" t="s">
        <v>143</v>
      </c>
      <c r="D57" s="38" t="n">
        <v>255</v>
      </c>
      <c r="E57" s="13"/>
      <c r="F57" s="13"/>
      <c r="G57" s="39" t="n">
        <f aca="false">IFERROR(IF($C57="","",IF($D57="","",IFERROR(ROUND($D57*INDEX('🔖 배합비 참조'!$B$2:$CE$83,MATCH("간장",'🔖 배합비 참조'!$A$2:$A$83,0),MATCH($C57,'🔖 배합비 참조'!$B$1:$CE$1,0))/100,0),""))),"")</f>
        <v>0</v>
      </c>
      <c r="H57" s="39" t="n">
        <f aca="false">IFERROR(IF($C57="","",IF($D57="","",IFERROR(ROUND($D57*INDEX('🔖 배합비 참조'!$B$2:$CE$83,MATCH("강낭콩((울타리콩))",'🔖 배합비 참조'!$A$2:$A$83,0),MATCH($C57,'🔖 배합비 참조'!$B$1:$CE$1,0))/100,0),""))),"")</f>
        <v>0</v>
      </c>
      <c r="I57" s="39" t="n">
        <f aca="false">IFERROR(IF($C57="","",IF($D57="","",IFERROR(ROUND($D57*INDEX('🔖 배합비 참조'!$B$2:$CE$83,MATCH("건조딸기다이스(외국산)",'🔖 배합비 참조'!$A$2:$A$83,0),MATCH($C57,'🔖 배합비 참조'!$B$1:$CE$1,0))/100,0),""))),"")</f>
        <v>0</v>
      </c>
      <c r="J57" s="39" t="n">
        <f aca="false">IFERROR(IF($C57="","",IF($D57="","",IFERROR(ROUND($D57*INDEX('🔖 배합비 참조'!$B$2:$CE$83,MATCH("건포도",'🔖 배합비 참조'!$A$2:$A$83,0),MATCH($C57,'🔖 배합비 참조'!$B$1:$CE$1,0))/100,0),""))),"")</f>
        <v>0</v>
      </c>
      <c r="K57" s="39" t="n">
        <f aca="false">IFERROR(IF($C57="","",IF($D57="","",IFERROR(ROUND($D57*INDEX('🔖 배합비 참조'!$B$2:$CE$83,MATCH("건호박채(중국산)",'🔖 배합비 참조'!$A$2:$A$83,0),MATCH($C57,'🔖 배합비 참조'!$B$1:$CE$1,0))/100,0),""))),"")</f>
        <v>0</v>
      </c>
      <c r="L57" s="39" t="n">
        <f aca="false">IFERROR(IF($C57="","",IF($D57="","",IFERROR(ROUND($D57*INDEX('🔖 배합비 참조'!$B$2:$CE$83,MATCH("검정깨(흑임자)",'🔖 배합비 참조'!$A$2:$A$83,0),MATCH($C57,'🔖 배합비 참조'!$B$1:$CE$1,0))/100,0),""))),"")</f>
        <v>0</v>
      </c>
      <c r="M57" s="39" t="n">
        <f aca="false">IFERROR(IF($C57="","",IF($D57="","",IFERROR(ROUND($D57*INDEX('🔖 배합비 참조'!$B$2:$CE$83,MATCH("검정콩",'🔖 배합비 참조'!$A$2:$A$83,0),MATCH($C57,'🔖 배합비 참조'!$B$1:$CE$1,0))/100,0),""))),"")</f>
        <v>0</v>
      </c>
      <c r="N57" s="39" t="n">
        <f aca="false">IFERROR(IF($C57="","",IF($D57="","",IFERROR(ROUND($D57*INDEX('🔖 배합비 참조'!$B$2:$CE$83,MATCH("계피가루",'🔖 배합비 참조'!$A$2:$A$83,0),MATCH($C57,'🔖 배합비 참조'!$B$1:$CE$1,0))/100,0),""))),"")</f>
        <v>0</v>
      </c>
      <c r="O57" s="39" t="n">
        <f aca="false">IFERROR(IF($C57="","",IF($D57="","",IFERROR(ROUND($D57*INDEX('🔖 배합비 참조'!$B$2:$CE$83,MATCH("고구마가루",'🔖 배합비 참조'!$A$2:$A$83,0),MATCH($C57,'🔖 배합비 참조'!$B$1:$CE$1,0))/100,0),""))),"")</f>
        <v>0</v>
      </c>
      <c r="P57" s="39" t="n">
        <f aca="false">IFERROR(IF($C57="","",IF($D57="","",IFERROR(ROUND($D57*INDEX('🔖 배합비 참조'!$B$2:$CE$83,MATCH("고구마무스",'🔖 배합비 참조'!$A$2:$A$83,0),MATCH($C57,'🔖 배합비 참조'!$B$1:$CE$1,0))/100,0),""))),"")</f>
        <v>0</v>
      </c>
      <c r="Q57" s="39" t="n">
        <f aca="false">IFERROR(IF($C57="","",IF($D57="","",IFERROR(ROUND($D57*INDEX('🔖 배합비 참조'!$B$2:$CE$83,MATCH("고려엉겅퀴((곤드레)국내산)",'🔖 배합비 참조'!$A$2:$A$83,0),MATCH($C57,'🔖 배합비 참조'!$B$1:$CE$1,0))/100,0),""))),"")</f>
        <v>0</v>
      </c>
      <c r="R57" s="39" t="n">
        <f aca="false">IFERROR(IF($C57="","",IF($D57="","",IFERROR(ROUND($D57*INDEX('🔖 배합비 참조'!$B$2:$CE$83,MATCH("기타가공품(복분자가루)",'🔖 배합비 참조'!$A$2:$A$83,0),MATCH($C57,'🔖 배합비 참조'!$B$1:$CE$1,0))/100,0),""))),"")</f>
        <v>0</v>
      </c>
      <c r="S57" s="39" t="n">
        <f aca="false">IFERROR(IF($C57="","",IF($D57="","",IFERROR(ROUND($D57*INDEX('🔖 배합비 참조'!$B$2:$CE$83,MATCH("기타가공품(슈퍼소프트엠)",'🔖 배합비 참조'!$A$2:$A$83,0),MATCH($C57,'🔖 배합비 참조'!$B$1:$CE$1,0))/100,0),""))),"")</f>
        <v>0</v>
      </c>
      <c r="T57" s="39" t="n">
        <f aca="false">IFERROR(IF($C57="","",IF($D57="","",IFERROR(ROUND($D57*INDEX('🔖 배합비 참조'!$B$2:$CE$83,MATCH("기타가공품(파인소프트 E-티)",'🔖 배합비 참조'!$A$2:$A$83,0),MATCH($C57,'🔖 배합비 참조'!$B$1:$CE$1,0))/100,0),""))),"")</f>
        <v>0</v>
      </c>
      <c r="U57" s="39" t="n">
        <f aca="false">IFERROR(IF($C57="","",IF($D57="","",IFERROR(ROUND($D57*INDEX('🔖 배합비 참조'!$B$2:$CE$83,MATCH("기타가공품(프리미엄카스테라가루)",'🔖 배합비 참조'!$A$2:$A$83,0),MATCH($C57,'🔖 배합비 참조'!$B$1:$CE$1,0))/100,0),""))),"")</f>
        <v>0</v>
      </c>
      <c r="V57" s="39" t="n">
        <f aca="false">IFERROR(IF($C57="","",IF($D57="","",IFERROR(ROUND($D57*INDEX('🔖 배합비 참조'!$B$2:$CE$83,MATCH("기타가공품(흑임자가루)",'🔖 배합비 참조'!$A$2:$A$83,0),MATCH($C57,'🔖 배합비 참조'!$B$1:$CE$1,0))/100,0),""))),"")</f>
        <v>0</v>
      </c>
      <c r="W57" s="39" t="n">
        <f aca="false">IFERROR(IF($C57="","",IF($D57="","",IFERROR(ROUND($D57*INDEX('🔖 배합비 참조'!$B$2:$CE$83,MATCH("기타설탕(흑설탕)",'🔖 배합비 참조'!$A$2:$A$83,0),MATCH($C57,'🔖 배합비 참조'!$B$1:$CE$1,0))/100,0),""))),"")</f>
        <v>21</v>
      </c>
      <c r="X57" s="39" t="n">
        <f aca="false">IFERROR(IF($C57="","",IF($D57="","",IFERROR(ROUND($D57*INDEX('🔖 배합비 참조'!$B$2:$CE$83,MATCH("냉동쑥(국내산)",'🔖 배합비 참조'!$A$2:$A$83,0),MATCH($C57,'🔖 배합비 참조'!$B$1:$CE$1,0))/100,0),""))),"")</f>
        <v>0</v>
      </c>
      <c r="Y57" s="39" t="n">
        <f aca="false">IFERROR(IF($C57="","",IF($D57="","",IFERROR(ROUND($D57*INDEX('🔖 배합비 참조'!$B$2:$CE$83,MATCH("냉동증숙고구마(중국산)",'🔖 배합비 참조'!$A$2:$A$83,0),MATCH($C57,'🔖 배합비 참조'!$B$1:$CE$1,0))/100,0),""))),"")</f>
        <v>0</v>
      </c>
      <c r="Z57" s="39" t="n">
        <f aca="false">IFERROR(IF($C57="","",IF($D57="","",IFERROR(ROUND($D57*INDEX('🔖 배합비 참조'!$B$2:$CE$83,MATCH("녹차가루",'🔖 배합비 참조'!$A$2:$A$83,0),MATCH($C57,'🔖 배합비 참조'!$B$1:$CE$1,0))/100,0),""))),"")</f>
        <v>0</v>
      </c>
      <c r="AA57" s="39" t="n">
        <f aca="false">IFERROR(IF($C57="","",IF($D57="","",IFERROR(ROUND($D57*INDEX('🔖 배합비 참조'!$B$2:$CE$83,MATCH("다크초콜릿 컴파운드칩",'🔖 배합비 참조'!$A$2:$A$83,0),MATCH($C57,'🔖 배합비 참조'!$B$1:$CE$1,0))/100,0),""))),"")</f>
        <v>0</v>
      </c>
      <c r="AB57" s="39" t="n">
        <f aca="false">IFERROR(IF($C57="","",IF($D57="","",IFERROR(ROUND($D57*INDEX('🔖 배합비 참조'!$B$2:$CE$83,MATCH("단호박분말(중국산)",'🔖 배합비 참조'!$A$2:$A$83,0),MATCH($C57,'🔖 배합비 참조'!$B$1:$CE$1,0))/100,0),""))),"")</f>
        <v>0</v>
      </c>
      <c r="AC57" s="39" t="n">
        <f aca="false">IFERROR(IF($C57="","",IF($D57="","",IFERROR(ROUND($D57*INDEX('🔖 배합비 참조'!$B$2:$CE$83,MATCH("당류가공품(단호박농축액)",'🔖 배합비 참조'!$A$2:$A$83,0),MATCH($C57,'🔖 배합비 참조'!$B$1:$CE$1,0))/100,0),""))),"")</f>
        <v>0</v>
      </c>
      <c r="AD57" s="39" t="n">
        <f aca="false">IFERROR(IF($C57="","",IF($D57="","",IFERROR(ROUND($D57*INDEX('🔖 배합비 참조'!$B$2:$CE$83,MATCH("당류가공품(알룰로스,에리스리톨,스테비올배당체혼합)",'🔖 배합비 참조'!$A$2:$A$83,0),MATCH($C57,'🔖 배합비 참조'!$B$1:$CE$1,0))/100,0),""))),"")</f>
        <v>0</v>
      </c>
      <c r="AE57" s="39" t="n">
        <f aca="false">IFERROR(IF($C57="","",IF($D57="","",IFERROR(ROUND($D57*INDEX('🔖 배합비 참조'!$B$2:$CE$83,MATCH("당류가공품(알룰로스제로파우더)",'🔖 배합비 참조'!$A$2:$A$83,0),MATCH($C57,'🔖 배합비 참조'!$B$1:$CE$1,0))/100,0),""))),"")</f>
        <v>0</v>
      </c>
      <c r="AF57" s="39" t="n">
        <f aca="false">IFERROR(IF($C57="","",IF($D57="","",IFERROR(ROUND($D57*INDEX('🔖 배합비 참조'!$B$2:$CE$83,MATCH("당절임(완두배기)",'🔖 배합비 참조'!$A$2:$A$83,0),MATCH($C57,'🔖 배합비 참조'!$B$1:$CE$1,0))/100,0),""))),"")</f>
        <v>0</v>
      </c>
      <c r="AG57" s="39" t="n">
        <f aca="false">IFERROR(IF($C57="","",IF($D57="","",IFERROR(ROUND($D57*INDEX('🔖 배합비 참조'!$B$2:$CE$83,MATCH("대추농축액",'🔖 배합비 참조'!$A$2:$A$83,0),MATCH($C57,'🔖 배합비 참조'!$B$1:$CE$1,0))/100,0),""))),"")</f>
        <v>0</v>
      </c>
      <c r="AH57" s="39" t="n">
        <f aca="false">IFERROR(IF($C57="","",IF($D57="","",IFERROR(ROUND($D57*INDEX('🔖 배합비 참조'!$B$2:$CE$83,MATCH("대추채(국내산)",'🔖 배합비 참조'!$A$2:$A$83,0),MATCH($C57,'🔖 배합비 참조'!$B$1:$CE$1,0))/100,0),""))),"")</f>
        <v>0</v>
      </c>
      <c r="AI57" s="39" t="n">
        <f aca="false">IFERROR(IF($C57="","",IF($D57="","",IFERROR(ROUND($D57*INDEX('🔖 배합비 참조'!$B$2:$CE$83,MATCH("동부(미얀마산)",'🔖 배합비 참조'!$A$2:$A$83,0),MATCH($C57,'🔖 배합비 참조'!$B$1:$CE$1,0))/100,0),""))),"")</f>
        <v>0</v>
      </c>
      <c r="AJ57" s="39" t="n">
        <f aca="false">IFERROR(IF($C57="","",IF($D57="","",IFERROR(ROUND($D57*INDEX('🔖 배합비 참조'!$B$2:$CE$83,MATCH("두류가공품(백옥앙금)",'🔖 배합비 참조'!$A$2:$A$83,0),MATCH($C57,'🔖 배합비 참조'!$B$1:$CE$1,0))/100,0),""))),"")</f>
        <v>0</v>
      </c>
      <c r="AK57" s="39" t="n">
        <f aca="false">IFERROR(IF($C57="","",IF($D57="","",IFERROR(ROUND($D57*INDEX('🔖 배합비 참조'!$B$2:$CE$83,MATCH("두류가공품(콩고물)",'🔖 배합비 참조'!$A$2:$A$83,0),MATCH($C57,'🔖 배합비 참조'!$B$1:$CE$1,0))/100,0),""))),"")</f>
        <v>0</v>
      </c>
      <c r="AL57" s="39" t="n">
        <f aca="false">IFERROR(IF($C57="","",IF($D57="","",IFERROR(ROUND($D57*INDEX('🔖 배합비 참조'!$B$2:$CE$83,MATCH("두류가공품(통팥고물)",'🔖 배합비 참조'!$A$2:$A$83,0),MATCH($C57,'🔖 배합비 참조'!$B$1:$CE$1,0))/100,0),""))),"")</f>
        <v>0</v>
      </c>
      <c r="AM57" s="39" t="n">
        <f aca="false">IFERROR(IF($C57="","",IF($D57="","",IFERROR(ROUND($D57*INDEX('🔖 배합비 참조'!$B$2:$CE$83,MATCH("딸기레진",'🔖 배합비 참조'!$A$2:$A$83,0),MATCH($C57,'🔖 배합비 참조'!$B$1:$CE$1,0))/100,0),""))),"")</f>
        <v>0</v>
      </c>
      <c r="AN57" s="39" t="n">
        <f aca="false">IFERROR(IF($C57="","",IF($D57="","",IFERROR(ROUND($D57*INDEX('🔖 배합비 참조'!$B$2:$CE$83,MATCH("딸기분말(스트로우베리에이드(분말))",'🔖 배합비 참조'!$A$2:$A$83,0),MATCH($C57,'🔖 배합비 참조'!$B$1:$CE$1,0))/100,0),""))),"")</f>
        <v>0</v>
      </c>
      <c r="AO57" s="39" t="n">
        <f aca="false">IFERROR(IF($C57="","",IF($D57="","",IFERROR(ROUND($D57*INDEX('🔖 배합비 참조'!$B$2:$CE$83,MATCH("마스카포네치즈",'🔖 배합비 참조'!$A$2:$A$83,0),MATCH($C57,'🔖 배합비 참조'!$B$1:$CE$1,0))/100,0),""))),"")</f>
        <v>0</v>
      </c>
      <c r="AP57" s="39" t="n">
        <f aca="false">IFERROR(IF($C57="","",IF($D57="","",IFERROR(ROUND($D57*INDEX('🔖 배합비 참조'!$B$2:$CE$83,MATCH("마카다미아분태(호주산)",'🔖 배합비 참조'!$A$2:$A$83,0),MATCH($C57,'🔖 배합비 참조'!$B$1:$CE$1,0))/100,0),""))),"")</f>
        <v>0</v>
      </c>
      <c r="AQ57" s="39" t="n">
        <f aca="false">IFERROR(IF($C57="","",IF($D57="","",IFERROR(ROUND($D57*INDEX('🔖 배합비 참조'!$B$2:$CE$83,MATCH("멥쌀(국내산)",'🔖 배합비 참조'!$A$2:$A$83,0),MATCH($C57,'🔖 배합비 참조'!$B$1:$CE$1,0))/100,0),""))),"")</f>
        <v>172</v>
      </c>
      <c r="AR57" s="39" t="n">
        <f aca="false">IFERROR(IF($C57="","",IF($D57="","",IFERROR(ROUND($D57*INDEX('🔖 배합비 참조'!$B$2:$CE$83,MATCH("모시잎(국내산)",'🔖 배합비 참조'!$A$2:$A$83,0),MATCH($C57,'🔖 배합비 참조'!$B$1:$CE$1,0))/100,0),""))),"")</f>
        <v>0</v>
      </c>
      <c r="AS57" s="39" t="n">
        <f aca="false">IFERROR(IF($C57="","",IF($D57="","",IFERROR(ROUND($D57*INDEX('🔖 배합비 참조'!$B$2:$CE$83,MATCH("물엿(저당물엿)",'🔖 배합비 참조'!$A$2:$A$83,0),MATCH($C57,'🔖 배합비 참조'!$B$1:$CE$1,0))/100,0),""))),"")</f>
        <v>0</v>
      </c>
      <c r="AT57" s="39" t="n">
        <f aca="false">IFERROR(IF($C57="","",IF($D57="","",IFERROR(ROUND($D57*INDEX('🔖 배합비 참조'!$B$2:$CE$83,MATCH("밤다이스",'🔖 배합비 참조'!$A$2:$A$83,0),MATCH($C57,'🔖 배합비 참조'!$B$1:$CE$1,0))/100,0),""))),"")</f>
        <v>0</v>
      </c>
      <c r="AU57" s="39" t="n">
        <f aca="false">IFERROR(IF($C57="","",IF($D57="","",IFERROR(ROUND($D57*INDEX('🔖 배합비 참조'!$B$2:$CE$83,MATCH("변성전분(타피오카전분)",'🔖 배합비 참조'!$A$2:$A$83,0),MATCH($C57,'🔖 배합비 참조'!$B$1:$CE$1,0))/100,0),""))),"")</f>
        <v>0</v>
      </c>
      <c r="AV57" s="39" t="n">
        <f aca="false">IFERROR(IF($C57="","",IF($D57="","",IFERROR(ROUND($D57*INDEX('🔖 배합비 참조'!$B$2:$CE$83,MATCH("복음땅콩분태",'🔖 배합비 참조'!$A$2:$A$83,0),MATCH($C57,'🔖 배합비 참조'!$B$1:$CE$1,0))/100,0),""))),"")</f>
        <v>0</v>
      </c>
      <c r="AW57" s="39" t="n">
        <f aca="false">IFERROR(IF($C57="","",IF($D57="","",IFERROR(ROUND($D57*INDEX('🔖 배합비 참조'!$B$2:$CE$83,MATCH("사양벌꿀(국내산)",'🔖 배합비 참조'!$A$2:$A$83,0),MATCH($C57,'🔖 배합비 참조'!$B$1:$CE$1,0))/100,0),""))),"")</f>
        <v>6</v>
      </c>
      <c r="AX57" s="39" t="n">
        <f aca="false">IFERROR(IF($C57="","",IF($D57="","",IFERROR(ROUND($D57*INDEX('🔖 배합비 참조'!$B$2:$CE$83,MATCH("생크림",'🔖 배합비 참조'!$A$2:$A$83,0),MATCH($C57,'🔖 배합비 참조'!$B$1:$CE$1,0))/100,0),""))),"")</f>
        <v>0</v>
      </c>
      <c r="AY57" s="39" t="n">
        <f aca="false">IFERROR(IF($C57="","",IF($D57="","",IFERROR(ROUND($D57*INDEX('🔖 배합비 참조'!$B$2:$CE$83,MATCH("서양호박(국내산,뉴질랜드산)",'🔖 배합비 참조'!$A$2:$A$83,0),MATCH($C57,'🔖 배합비 참조'!$B$1:$CE$1,0))/100,0),""))),"")</f>
        <v>0</v>
      </c>
      <c r="AZ57" s="39" t="n">
        <f aca="false">IFERROR(IF($C57="","",IF($D57="","",IFERROR(ROUND($D57*INDEX('🔖 배합비 참조'!$B$2:$CE$83,MATCH("설탕",'🔖 배합비 참조'!$A$2:$A$83,0),MATCH($C57,'🔖 배합비 참조'!$B$1:$CE$1,0))/100,0),""))),"")</f>
        <v>21</v>
      </c>
      <c r="BA57" s="39" t="n">
        <f aca="false">IFERROR(IF($C57="","",IF($D57="","",IFERROR(ROUND($D57*INDEX('🔖 배합비 참조'!$B$2:$CE$83,MATCH("스트로우베리 에이드 후레쉬",'🔖 배합비 참조'!$A$2:$A$83,0),MATCH($C57,'🔖 배합비 참조'!$B$1:$CE$1,0))/100,0),""))),"")</f>
        <v>0</v>
      </c>
      <c r="BB57" s="39" t="n">
        <f aca="false">IFERROR(IF($C57="","",IF($D57="","",IFERROR(ROUND($D57*INDEX('🔖 배합비 참조'!$B$2:$CE$83,MATCH("식물성기름혼합제제(분홍)",'🔖 배합비 참조'!$A$2:$A$83,0),MATCH($C57,'🔖 배합비 참조'!$B$1:$CE$1,0))/100,0),""))),"")</f>
        <v>0</v>
      </c>
      <c r="BC57" s="39" t="n">
        <f aca="false">IFERROR(IF($C57="","",IF($D57="","",IFERROR(ROUND($D57*INDEX('🔖 배합비 참조'!$B$2:$CE$83,MATCH("식물성기름혼합제제(초록)",'🔖 배합비 참조'!$A$2:$A$83,0),MATCH($C57,'🔖 배합비 참조'!$B$1:$CE$1,0))/100,0),""))),"")</f>
        <v>0</v>
      </c>
      <c r="BD57" s="39" t="n">
        <f aca="false">IFERROR(IF($C57="","",IF($D57="","",IFERROR(ROUND($D57*INDEX('🔖 배합비 참조'!$B$2:$CE$83,MATCH("식물성기름혼합제제(황색)",'🔖 배합비 참조'!$A$2:$A$83,0),MATCH($C57,'🔖 배합비 참조'!$B$1:$CE$1,0))/100,0),""))),"")</f>
        <v>0</v>
      </c>
      <c r="BE57" s="39" t="n">
        <f aca="false">IFERROR(IF($C57="","",IF($D57="","",IFERROR(ROUND($D57*INDEX('🔖 배합비 참조'!$B$2:$CE$83,MATCH("쑥가루(국내산)",'🔖 배합비 참조'!$A$2:$A$83,0),MATCH($C57,'🔖 배합비 참조'!$B$1:$CE$1,0))/100,0),""))),"")</f>
        <v>0</v>
      </c>
      <c r="BF57" s="39" t="n">
        <f aca="false">IFERROR(IF($C57="","",IF($D57="","",IFERROR(ROUND($D57*INDEX('🔖 배합비 참조'!$B$2:$CE$83,MATCH("아몬드슬라이스",'🔖 배합비 참조'!$A$2:$A$83,0),MATCH($C57,'🔖 배합비 참조'!$B$1:$CE$1,0))/100,0),""))),"")</f>
        <v>0</v>
      </c>
      <c r="BG57" s="39" t="n">
        <f aca="false">IFERROR(IF($C57="","",IF($D57="","",IFERROR(ROUND($D57*INDEX('🔖 배합비 참조'!$B$2:$CE$83,MATCH("알룰로오스(국내산)",'🔖 배합비 참조'!$A$2:$A$83,0),MATCH($C57,'🔖 배합비 참조'!$B$1:$CE$1,0))/100,0),""))),"")</f>
        <v>0</v>
      </c>
      <c r="BH57" s="39" t="n">
        <f aca="false">IFERROR(IF($C57="","",IF($D57="","",IFERROR(ROUND($D57*INDEX('🔖 배합비 참조'!$B$2:$CE$83,MATCH("연유",'🔖 배합비 참조'!$A$2:$A$83,0),MATCH($C57,'🔖 배합비 참조'!$B$1:$CE$1,0))/100,0),""))),"")</f>
        <v>0</v>
      </c>
      <c r="BI57" s="39" t="n">
        <f aca="false">IFERROR(IF($C57="","",IF($D57="","",IFERROR(ROUND($D57*INDEX('🔖 배합비 참조'!$B$2:$CE$83,MATCH("옥수수전분",'🔖 배합비 참조'!$A$2:$A$83,0),MATCH($C57,'🔖 배합비 참조'!$B$1:$CE$1,0))/100,0),""))),"")</f>
        <v>0</v>
      </c>
      <c r="BJ57" s="39" t="n">
        <f aca="false">IFERROR(IF($C57="","",IF($D57="","",IFERROR(ROUND($D57*INDEX('🔖 배합비 참조'!$B$2:$CE$83,MATCH("완두배기",'🔖 배합비 참조'!$A$2:$A$83,0),MATCH($C57,'🔖 배합비 참조'!$B$1:$CE$1,0))/100,0),""))),"")</f>
        <v>0</v>
      </c>
      <c r="BK57" s="39" t="n">
        <f aca="false">IFERROR(IF($C57="","",IF($D57="","",IFERROR(ROUND($D57*INDEX('🔖 배합비 참조'!$B$2:$CE$83,MATCH("우유(국내산)",'🔖 배합비 참조'!$A$2:$A$83,0),MATCH($C57,'🔖 배합비 참조'!$B$1:$CE$1,0))/100,0),""))),"")</f>
        <v>0</v>
      </c>
      <c r="BL57" s="39" t="n">
        <f aca="false">IFERROR(IF($C57="","",IF($D57="","",IFERROR(ROUND($D57*INDEX('🔖 배합비 참조'!$B$2:$CE$83,MATCH("자색고구마가루(중국산)",'🔖 배합비 참조'!$A$2:$A$83,0),MATCH($C57,'🔖 배합비 참조'!$B$1:$CE$1,0))/100,0),""))),"")</f>
        <v>0</v>
      </c>
      <c r="BM57" s="39" t="n">
        <f aca="false">IFERROR(IF($C57="","",IF($D57="","",IFERROR(ROUND($D57*INDEX('🔖 배합비 참조'!$B$2:$CE$83,MATCH("자연치즈(체다치즈)",'🔖 배합비 참조'!$A$2:$A$83,0),MATCH($C57,'🔖 배합비 참조'!$B$1:$CE$1,0))/100,0),""))),"")</f>
        <v>0</v>
      </c>
      <c r="BN57" s="39" t="n">
        <f aca="false">IFERROR(IF($C57="","",IF($D57="","",IFERROR(ROUND($D57*INDEX('🔖 배합비 참조'!$B$2:$CE$83,MATCH("정제수",'🔖 배합비 참조'!$A$2:$A$83,0),MATCH($C57,'🔖 배합비 참조'!$B$1:$CE$1,0))/100,0),""))),"")</f>
        <v>32</v>
      </c>
      <c r="BO57" s="39" t="n">
        <f aca="false">IFERROR(IF($C57="","",IF($D57="","",IFERROR(ROUND($D57*INDEX('🔖 배합비 참조'!$B$2:$CE$83,MATCH("젤라틴",'🔖 배합비 참조'!$A$2:$A$83,0),MATCH($C57,'🔖 배합비 참조'!$B$1:$CE$1,0))/100,0),""))),"")</f>
        <v>0</v>
      </c>
      <c r="BP57" s="39" t="n">
        <f aca="false">IFERROR(IF($C57="","",IF($D57="","",IFERROR(ROUND($D57*INDEX('🔖 배합비 참조'!$B$2:$CE$83,MATCH("조림류(백옥앙금)",'🔖 배합비 참조'!$A$2:$A$83,0),MATCH($C57,'🔖 배합비 참조'!$B$1:$CE$1,0))/100,0),""))),"")</f>
        <v>0</v>
      </c>
      <c r="BQ57" s="39" t="n">
        <f aca="false">IFERROR(IF($C57="","",IF($D57="","",IFERROR(ROUND($D57*INDEX('🔖 배합비 참조'!$B$2:$CE$83,MATCH("조림류(통팥앙금)",'🔖 배합비 참조'!$A$2:$A$83,0),MATCH($C57,'🔖 배합비 참조'!$B$1:$CE$1,0))/100,0),""))),"")</f>
        <v>0</v>
      </c>
      <c r="BR57" s="39" t="n">
        <f aca="false">IFERROR(IF($C57="","",IF($D57="","",IFERROR(ROUND($D57*INDEX('🔖 배합비 참조'!$B$2:$CE$83,MATCH("준초콜릿(외국산)",'🔖 배합비 참조'!$A$2:$A$83,0),MATCH($C57,'🔖 배합비 참조'!$B$1:$CE$1,0))/100,0),""))),"")</f>
        <v>0</v>
      </c>
      <c r="BS57" s="39" t="n">
        <f aca="false">IFERROR(IF($C57="","",IF($D57="","",IFERROR(ROUND($D57*INDEX('🔖 배합비 참조'!$B$2:$CE$83,MATCH("중력분",'🔖 배합비 참조'!$A$2:$A$83,0),MATCH($C57,'🔖 배합비 참조'!$B$1:$CE$1,0))/100,0),""))),"")</f>
        <v>0</v>
      </c>
      <c r="BT57" s="39" t="n">
        <f aca="false">IFERROR(IF($C57="","",IF($D57="","",IFERROR(ROUND($D57*INDEX('🔖 배합비 참조'!$B$2:$CE$83,MATCH("참깨(인도산,나이지리아산,탄자니아산,미얀마산)",'🔖 배합비 참조'!$A$2:$A$83,0),MATCH($C57,'🔖 배합비 참조'!$B$1:$CE$1,0))/100,0),""))),"")</f>
        <v>0</v>
      </c>
      <c r="BU57" s="39" t="n">
        <f aca="false">IFERROR(IF($C57="","",IF($D57="","",IFERROR(ROUND($D57*INDEX('🔖 배합비 참조'!$B$2:$CE$83,MATCH("찹쌀(국내산)",'🔖 배합비 참조'!$A$2:$A$83,0),MATCH($C57,'🔖 배합비 참조'!$B$1:$CE$1,0))/100,0),""))),"")</f>
        <v>0</v>
      </c>
      <c r="BV57" s="39" t="n">
        <f aca="false">IFERROR(IF($C57="","",IF($D57="","",IFERROR(ROUND($D57*INDEX('🔖 배합비 참조'!$B$2:$CE$83,MATCH("천일염",'🔖 배합비 참조'!$A$2:$A$83,0),MATCH($C57,'🔖 배합비 참조'!$B$1:$CE$1,0))/100,0),""))),"")</f>
        <v>3</v>
      </c>
      <c r="BW57" s="39" t="n">
        <f aca="false">IFERROR(IF($C57="","",IF($D57="","",IFERROR(ROUND($D57*INDEX('🔖 배합비 참조'!$B$2:$CE$83,MATCH("치즈 [크림치즈]",'🔖 배합비 참조'!$A$2:$A$83,0),MATCH($C57,'🔖 배합비 참조'!$B$1:$CE$1,0))/100,0),""))),"")</f>
        <v>0</v>
      </c>
      <c r="BX57" s="39" t="n">
        <f aca="false">IFERROR(IF($C57="","",IF($D57="","",IFERROR(ROUND($D57*INDEX('🔖 배합비 참조'!$B$2:$CE$83,MATCH("코코아가공품류(코코아분말)",'🔖 배합비 참조'!$A$2:$A$83,0),MATCH($C57,'🔖 배합비 참조'!$B$1:$CE$1,0))/100,0),""))),"")</f>
        <v>0</v>
      </c>
      <c r="BY57" s="39" t="n">
        <f aca="false">IFERROR(IF($C57="","",IF($D57="","",IFERROR(ROUND($D57*INDEX('🔖 배합비 참조'!$B$2:$CE$83,MATCH("콩기름(대두유)",'🔖 배합비 참조'!$A$2:$A$83,0),MATCH($C57,'🔖 배합비 참조'!$B$1:$CE$1,0))/100,0),""))),"")</f>
        <v>0</v>
      </c>
      <c r="BZ57" s="39" t="n">
        <f aca="false">IFERROR(IF($C57="","",IF($D57="","",IFERROR(ROUND($D57*INDEX('🔖 배합비 참조'!$B$2:$CE$83,MATCH("해바라기씨앗",'🔖 배합비 참조'!$A$2:$A$83,0),MATCH($C57,'🔖 배합비 참조'!$B$1:$CE$1,0))/100,0),""))),"")</f>
        <v>0</v>
      </c>
      <c r="CA57" s="39" t="n">
        <f aca="false">IFERROR(IF($C57="","",IF($D57="","",IFERROR(ROUND($D57*INDEX('🔖 배합비 참조'!$B$2:$CE$83,MATCH("현미(국내산)",'🔖 배합비 참조'!$A$2:$A$83,0),MATCH($C57,'🔖 배합비 참조'!$B$1:$CE$1,0))/100,0),""))),"")</f>
        <v>0</v>
      </c>
      <c r="CB57" s="39" t="n">
        <f aca="false">IFERROR(IF($C57="","",IF($D57="","",IFERROR(ROUND($D57*INDEX('🔖 배합비 참조'!$B$2:$CE$83,MATCH("현미멥쌀(국내산)",'🔖 배합비 참조'!$A$2:$A$83,0),MATCH($C57,'🔖 배합비 참조'!$B$1:$CE$1,0))/100,0),""))),"")</f>
        <v>0</v>
      </c>
      <c r="CC57" s="39" t="n">
        <f aca="false">IFERROR(IF($C57="","",IF($D57="","",IFERROR(ROUND($D57*INDEX('🔖 배합비 참조'!$B$2:$CE$83,MATCH("호두분태(미국산)",'🔖 배합비 참조'!$A$2:$A$83,0),MATCH($C57,'🔖 배합비 참조'!$B$1:$CE$1,0))/100,0),""))),"")</f>
        <v>0</v>
      </c>
      <c r="CD57" s="39" t="n">
        <f aca="false">IFERROR(IF($C57="","",IF($D57="","",IFERROR(ROUND($D57*INDEX('🔖 배합비 참조'!$B$2:$CE$83,MATCH("호박씨앗(외국산)",'🔖 배합비 참조'!$A$2:$A$83,0),MATCH($C57,'🔖 배합비 참조'!$B$1:$CE$1,0))/100,0),""))),"")</f>
        <v>0</v>
      </c>
      <c r="CE57" s="39" t="n">
        <f aca="false">IFERROR(IF($C57="","",IF($D57="","",IFERROR(ROUND($D57*INDEX('🔖 배합비 참조'!$B$2:$CE$83,MATCH("혼합제제(떡용에스텔)",'🔖 배합비 참조'!$A$2:$A$83,0),MATCH($C57,'🔖 배합비 참조'!$B$1:$CE$1,0))/100,0),""))),"")</f>
        <v>0</v>
      </c>
      <c r="CF57" s="39" t="n">
        <f aca="false">IFERROR(IF($C57="","",IF($D57="","",IFERROR(ROUND($D57*INDEX('🔖 배합비 참조'!$B$2:$CE$83,MATCH("혼합제제(스테비아)",'🔖 배합비 참조'!$A$2:$A$83,0),MATCH($C57,'🔖 배합비 참조'!$B$1:$CE$1,0))/100,0),""))),"")</f>
        <v>0</v>
      </c>
      <c r="CG57" s="39" t="n">
        <f aca="false">IFERROR(IF($C57="","",IF($D57="","",IFERROR(ROUND($D57*INDEX('🔖 배합비 참조'!$B$2:$CE$83,MATCH("화이트초콜릿",'🔖 배합비 참조'!$A$2:$A$83,0),MATCH($C57,'🔖 배합비 참조'!$B$1:$CE$1,0))/100,0),""))),"")</f>
        <v>0</v>
      </c>
      <c r="CH57" s="39" t="n">
        <f aca="false">IFERROR(IF($C57="","",IF($D57="","",IFERROR(ROUND($D57*INDEX('🔖 배합비 참조'!$B$2:$CE$83,MATCH("흑미찹쌀(국내산)",'🔖 배합비 참조'!$A$2:$A$83,0),MATCH($C57,'🔖 배합비 참조'!$B$1:$CE$1,0))/100,0),""))),"")</f>
        <v>0</v>
      </c>
      <c r="CI57" s="39" t="n">
        <f aca="false">IFERROR(IF($C57="","",IF($D57="","",IFERROR(ROUND($D57*INDEX('🔖 배합비 참조'!$B$2:$CE$83,MATCH("찰옥수수전분(미국산)",'🔖 배합비 참조'!$A$2:$A$83,0),MATCH($C57,'🔖 배합비 참조'!$B$1:$CE$1,0))/100,0),""))),"")</f>
        <v>0</v>
      </c>
      <c r="CJ57" s="40"/>
      <c r="CL57" s="1" t="s">
        <v>238</v>
      </c>
    </row>
    <row r="58" customFormat="false" ht="18" hidden="false" customHeight="true" outlineLevel="0" collapsed="false">
      <c r="A58" s="41" t="n">
        <v>54</v>
      </c>
      <c r="B58" s="36" t="n">
        <v>45968</v>
      </c>
      <c r="C58" s="37" t="s">
        <v>184</v>
      </c>
      <c r="D58" s="38" t="n">
        <v>172.5</v>
      </c>
      <c r="E58" s="17"/>
      <c r="F58" s="17"/>
      <c r="G58" s="42" t="n">
        <f aca="false">IFERROR(IF($C58="","",IF($D58="","",IFERROR(ROUND($D58*INDEX('🔖 배합비 참조'!$B$2:$CE$83,MATCH("간장",'🔖 배합비 참조'!$A$2:$A$83,0),MATCH($C58,'🔖 배합비 참조'!$B$1:$CE$1,0))/100,0),""))),"")</f>
        <v>0</v>
      </c>
      <c r="H58" s="42" t="n">
        <f aca="false">IFERROR(IF($C58="","",IF($D58="","",IFERROR(ROUND($D58*INDEX('🔖 배합비 참조'!$B$2:$CE$83,MATCH("강낭콩((울타리콩))",'🔖 배합비 참조'!$A$2:$A$83,0),MATCH($C58,'🔖 배합비 참조'!$B$1:$CE$1,0))/100,0),""))),"")</f>
        <v>0</v>
      </c>
      <c r="I58" s="42" t="n">
        <f aca="false">IFERROR(IF($C58="","",IF($D58="","",IFERROR(ROUND($D58*INDEX('🔖 배합비 참조'!$B$2:$CE$83,MATCH("건조딸기다이스(외국산)",'🔖 배합비 참조'!$A$2:$A$83,0),MATCH($C58,'🔖 배합비 참조'!$B$1:$CE$1,0))/100,0),""))),"")</f>
        <v>0</v>
      </c>
      <c r="J58" s="42" t="n">
        <f aca="false">IFERROR(IF($C58="","",IF($D58="","",IFERROR(ROUND($D58*INDEX('🔖 배합비 참조'!$B$2:$CE$83,MATCH("건포도",'🔖 배합비 참조'!$A$2:$A$83,0),MATCH($C58,'🔖 배합비 참조'!$B$1:$CE$1,0))/100,0),""))),"")</f>
        <v>0</v>
      </c>
      <c r="K58" s="42" t="n">
        <f aca="false">IFERROR(IF($C58="","",IF($D58="","",IFERROR(ROUND($D58*INDEX('🔖 배합비 참조'!$B$2:$CE$83,MATCH("건호박채(중국산)",'🔖 배합비 참조'!$A$2:$A$83,0),MATCH($C58,'🔖 배합비 참조'!$B$1:$CE$1,0))/100,0),""))),"")</f>
        <v>0</v>
      </c>
      <c r="L58" s="42" t="n">
        <f aca="false">IFERROR(IF($C58="","",IF($D58="","",IFERROR(ROUND($D58*INDEX('🔖 배합비 참조'!$B$2:$CE$83,MATCH("검정깨(흑임자)",'🔖 배합비 참조'!$A$2:$A$83,0),MATCH($C58,'🔖 배합비 참조'!$B$1:$CE$1,0))/100,0),""))),"")</f>
        <v>0</v>
      </c>
      <c r="M58" s="42" t="n">
        <f aca="false">IFERROR(IF($C58="","",IF($D58="","",IFERROR(ROUND($D58*INDEX('🔖 배합비 참조'!$B$2:$CE$83,MATCH("검정콩",'🔖 배합비 참조'!$A$2:$A$83,0),MATCH($C58,'🔖 배합비 참조'!$B$1:$CE$1,0))/100,0),""))),"")</f>
        <v>0</v>
      </c>
      <c r="N58" s="42" t="n">
        <f aca="false">IFERROR(IF($C58="","",IF($D58="","",IFERROR(ROUND($D58*INDEX('🔖 배합비 참조'!$B$2:$CE$83,MATCH("계피가루",'🔖 배합비 참조'!$A$2:$A$83,0),MATCH($C58,'🔖 배합비 참조'!$B$1:$CE$1,0))/100,0),""))),"")</f>
        <v>0</v>
      </c>
      <c r="O58" s="42" t="n">
        <f aca="false">IFERROR(IF($C58="","",IF($D58="","",IFERROR(ROUND($D58*INDEX('🔖 배합비 참조'!$B$2:$CE$83,MATCH("고구마가루",'🔖 배합비 참조'!$A$2:$A$83,0),MATCH($C58,'🔖 배합비 참조'!$B$1:$CE$1,0))/100,0),""))),"")</f>
        <v>0</v>
      </c>
      <c r="P58" s="42" t="n">
        <f aca="false">IFERROR(IF($C58="","",IF($D58="","",IFERROR(ROUND($D58*INDEX('🔖 배합비 참조'!$B$2:$CE$83,MATCH("고구마무스",'🔖 배합비 참조'!$A$2:$A$83,0),MATCH($C58,'🔖 배합비 참조'!$B$1:$CE$1,0))/100,0),""))),"")</f>
        <v>0</v>
      </c>
      <c r="Q58" s="42" t="n">
        <f aca="false">IFERROR(IF($C58="","",IF($D58="","",IFERROR(ROUND($D58*INDEX('🔖 배합비 참조'!$B$2:$CE$83,MATCH("고려엉겅퀴((곤드레)국내산)",'🔖 배합비 참조'!$A$2:$A$83,0),MATCH($C58,'🔖 배합비 참조'!$B$1:$CE$1,0))/100,0),""))),"")</f>
        <v>0</v>
      </c>
      <c r="R58" s="42" t="n">
        <f aca="false">IFERROR(IF($C58="","",IF($D58="","",IFERROR(ROUND($D58*INDEX('🔖 배합비 참조'!$B$2:$CE$83,MATCH("기타가공품(복분자가루)",'🔖 배합비 참조'!$A$2:$A$83,0),MATCH($C58,'🔖 배합비 참조'!$B$1:$CE$1,0))/100,0),""))),"")</f>
        <v>0</v>
      </c>
      <c r="S58" s="42" t="n">
        <f aca="false">IFERROR(IF($C58="","",IF($D58="","",IFERROR(ROUND($D58*INDEX('🔖 배합비 참조'!$B$2:$CE$83,MATCH("기타가공품(슈퍼소프트엠)",'🔖 배합비 참조'!$A$2:$A$83,0),MATCH($C58,'🔖 배합비 참조'!$B$1:$CE$1,0))/100,0),""))),"")</f>
        <v>0</v>
      </c>
      <c r="T58" s="42" t="n">
        <f aca="false">IFERROR(IF($C58="","",IF($D58="","",IFERROR(ROUND($D58*INDEX('🔖 배합비 참조'!$B$2:$CE$83,MATCH("기타가공품(파인소프트 E-티)",'🔖 배합비 참조'!$A$2:$A$83,0),MATCH($C58,'🔖 배합비 참조'!$B$1:$CE$1,0))/100,0),""))),"")</f>
        <v>0</v>
      </c>
      <c r="U58" s="42" t="n">
        <f aca="false">IFERROR(IF($C58="","",IF($D58="","",IFERROR(ROUND($D58*INDEX('🔖 배합비 참조'!$B$2:$CE$83,MATCH("기타가공품(프리미엄카스테라가루)",'🔖 배합비 참조'!$A$2:$A$83,0),MATCH($C58,'🔖 배합비 참조'!$B$1:$CE$1,0))/100,0),""))),"")</f>
        <v>0</v>
      </c>
      <c r="V58" s="42" t="n">
        <f aca="false">IFERROR(IF($C58="","",IF($D58="","",IFERROR(ROUND($D58*INDEX('🔖 배합비 참조'!$B$2:$CE$83,MATCH("기타가공품(흑임자가루)",'🔖 배합비 참조'!$A$2:$A$83,0),MATCH($C58,'🔖 배합비 참조'!$B$1:$CE$1,0))/100,0),""))),"")</f>
        <v>0</v>
      </c>
      <c r="W58" s="42" t="n">
        <f aca="false">IFERROR(IF($C58="","",IF($D58="","",IFERROR(ROUND($D58*INDEX('🔖 배합비 참조'!$B$2:$CE$83,MATCH("기타설탕(흑설탕)",'🔖 배합비 참조'!$A$2:$A$83,0),MATCH($C58,'🔖 배합비 참조'!$B$1:$CE$1,0))/100,0),""))),"")</f>
        <v>0</v>
      </c>
      <c r="X58" s="42" t="n">
        <f aca="false">IFERROR(IF($C58="","",IF($D58="","",IFERROR(ROUND($D58*INDEX('🔖 배합비 참조'!$B$2:$CE$83,MATCH("냉동쑥(국내산)",'🔖 배합비 참조'!$A$2:$A$83,0),MATCH($C58,'🔖 배합비 참조'!$B$1:$CE$1,0))/100,0),""))),"")</f>
        <v>0</v>
      </c>
      <c r="Y58" s="42" t="n">
        <f aca="false">IFERROR(IF($C58="","",IF($D58="","",IFERROR(ROUND($D58*INDEX('🔖 배합비 참조'!$B$2:$CE$83,MATCH("냉동증숙고구마(중국산)",'🔖 배합비 참조'!$A$2:$A$83,0),MATCH($C58,'🔖 배합비 참조'!$B$1:$CE$1,0))/100,0),""))),"")</f>
        <v>0</v>
      </c>
      <c r="Z58" s="42" t="n">
        <f aca="false">IFERROR(IF($C58="","",IF($D58="","",IFERROR(ROUND($D58*INDEX('🔖 배합비 참조'!$B$2:$CE$83,MATCH("녹차가루",'🔖 배합비 참조'!$A$2:$A$83,0),MATCH($C58,'🔖 배합비 참조'!$B$1:$CE$1,0))/100,0),""))),"")</f>
        <v>0</v>
      </c>
      <c r="AA58" s="42" t="n">
        <f aca="false">IFERROR(IF($C58="","",IF($D58="","",IFERROR(ROUND($D58*INDEX('🔖 배합비 참조'!$B$2:$CE$83,MATCH("다크초콜릿 컴파운드칩",'🔖 배합비 참조'!$A$2:$A$83,0),MATCH($C58,'🔖 배합비 참조'!$B$1:$CE$1,0))/100,0),""))),"")</f>
        <v>0</v>
      </c>
      <c r="AB58" s="42" t="n">
        <f aca="false">IFERROR(IF($C58="","",IF($D58="","",IFERROR(ROUND($D58*INDEX('🔖 배합비 참조'!$B$2:$CE$83,MATCH("단호박분말(중국산)",'🔖 배합비 참조'!$A$2:$A$83,0),MATCH($C58,'🔖 배합비 참조'!$B$1:$CE$1,0))/100,0),""))),"")</f>
        <v>0</v>
      </c>
      <c r="AC58" s="42" t="n">
        <f aca="false">IFERROR(IF($C58="","",IF($D58="","",IFERROR(ROUND($D58*INDEX('🔖 배합비 참조'!$B$2:$CE$83,MATCH("당류가공품(단호박농축액)",'🔖 배합비 참조'!$A$2:$A$83,0),MATCH($C58,'🔖 배합비 참조'!$B$1:$CE$1,0))/100,0),""))),"")</f>
        <v>0</v>
      </c>
      <c r="AD58" s="42" t="n">
        <f aca="false">IFERROR(IF($C58="","",IF($D58="","",IFERROR(ROUND($D58*INDEX('🔖 배합비 참조'!$B$2:$CE$83,MATCH("당류가공품(알룰로스,에리스리톨,스테비올배당체혼합)",'🔖 배합비 참조'!$A$2:$A$83,0),MATCH($C58,'🔖 배합비 참조'!$B$1:$CE$1,0))/100,0),""))),"")</f>
        <v>0</v>
      </c>
      <c r="AE58" s="42" t="n">
        <f aca="false">IFERROR(IF($C58="","",IF($D58="","",IFERROR(ROUND($D58*INDEX('🔖 배합비 참조'!$B$2:$CE$83,MATCH("당류가공품(알룰로스제로파우더)",'🔖 배합비 참조'!$A$2:$A$83,0),MATCH($C58,'🔖 배합비 참조'!$B$1:$CE$1,0))/100,0),""))),"")</f>
        <v>0</v>
      </c>
      <c r="AF58" s="42" t="n">
        <f aca="false">IFERROR(IF($C58="","",IF($D58="","",IFERROR(ROUND($D58*INDEX('🔖 배합비 참조'!$B$2:$CE$83,MATCH("당절임(완두배기)",'🔖 배합비 참조'!$A$2:$A$83,0),MATCH($C58,'🔖 배합비 참조'!$B$1:$CE$1,0))/100,0),""))),"")</f>
        <v>0</v>
      </c>
      <c r="AG58" s="42" t="n">
        <f aca="false">IFERROR(IF($C58="","",IF($D58="","",IFERROR(ROUND($D58*INDEX('🔖 배합비 참조'!$B$2:$CE$83,MATCH("대추농축액",'🔖 배합비 참조'!$A$2:$A$83,0),MATCH($C58,'🔖 배합비 참조'!$B$1:$CE$1,0))/100,0),""))),"")</f>
        <v>0</v>
      </c>
      <c r="AH58" s="42" t="n">
        <f aca="false">IFERROR(IF($C58="","",IF($D58="","",IFERROR(ROUND($D58*INDEX('🔖 배합비 참조'!$B$2:$CE$83,MATCH("대추채(국내산)",'🔖 배합비 참조'!$A$2:$A$83,0),MATCH($C58,'🔖 배합비 참조'!$B$1:$CE$1,0))/100,0),""))),"")</f>
        <v>0</v>
      </c>
      <c r="AI58" s="42" t="n">
        <f aca="false">IFERROR(IF($C58="","",IF($D58="","",IFERROR(ROUND($D58*INDEX('🔖 배합비 참조'!$B$2:$CE$83,MATCH("동부(미얀마산)",'🔖 배합비 참조'!$A$2:$A$83,0),MATCH($C58,'🔖 배합비 참조'!$B$1:$CE$1,0))/100,0),""))),"")</f>
        <v>0</v>
      </c>
      <c r="AJ58" s="42" t="n">
        <f aca="false">IFERROR(IF($C58="","",IF($D58="","",IFERROR(ROUND($D58*INDEX('🔖 배합비 참조'!$B$2:$CE$83,MATCH("두류가공품(백옥앙금)",'🔖 배합비 참조'!$A$2:$A$83,0),MATCH($C58,'🔖 배합비 참조'!$B$1:$CE$1,0))/100,0),""))),"")</f>
        <v>0</v>
      </c>
      <c r="AK58" s="42" t="n">
        <f aca="false">IFERROR(IF($C58="","",IF($D58="","",IFERROR(ROUND($D58*INDEX('🔖 배합비 참조'!$B$2:$CE$83,MATCH("두류가공품(콩고물)",'🔖 배합비 참조'!$A$2:$A$83,0),MATCH($C58,'🔖 배합비 참조'!$B$1:$CE$1,0))/100,0),""))),"")</f>
        <v>0</v>
      </c>
      <c r="AL58" s="42" t="n">
        <f aca="false">IFERROR(IF($C58="","",IF($D58="","",IFERROR(ROUND($D58*INDEX('🔖 배합비 참조'!$B$2:$CE$83,MATCH("두류가공품(통팥고물)",'🔖 배합비 참조'!$A$2:$A$83,0),MATCH($C58,'🔖 배합비 참조'!$B$1:$CE$1,0))/100,0),""))),"")</f>
        <v>0</v>
      </c>
      <c r="AM58" s="42" t="n">
        <f aca="false">IFERROR(IF($C58="","",IF($D58="","",IFERROR(ROUND($D58*INDEX('🔖 배합비 참조'!$B$2:$CE$83,MATCH("딸기레진",'🔖 배합비 참조'!$A$2:$A$83,0),MATCH($C58,'🔖 배합비 참조'!$B$1:$CE$1,0))/100,0),""))),"")</f>
        <v>0</v>
      </c>
      <c r="AN58" s="42" t="n">
        <f aca="false">IFERROR(IF($C58="","",IF($D58="","",IFERROR(ROUND($D58*INDEX('🔖 배합비 참조'!$B$2:$CE$83,MATCH("딸기분말(스트로우베리에이드(분말))",'🔖 배합비 참조'!$A$2:$A$83,0),MATCH($C58,'🔖 배합비 참조'!$B$1:$CE$1,0))/100,0),""))),"")</f>
        <v>0</v>
      </c>
      <c r="AO58" s="42" t="n">
        <f aca="false">IFERROR(IF($C58="","",IF($D58="","",IFERROR(ROUND($D58*INDEX('🔖 배합비 참조'!$B$2:$CE$83,MATCH("마스카포네치즈",'🔖 배합비 참조'!$A$2:$A$83,0),MATCH($C58,'🔖 배합비 참조'!$B$1:$CE$1,0))/100,0),""))),"")</f>
        <v>0</v>
      </c>
      <c r="AP58" s="42" t="n">
        <f aca="false">IFERROR(IF($C58="","",IF($D58="","",IFERROR(ROUND($D58*INDEX('🔖 배합비 참조'!$B$2:$CE$83,MATCH("마카다미아분태(호주산)",'🔖 배합비 참조'!$A$2:$A$83,0),MATCH($C58,'🔖 배합비 참조'!$B$1:$CE$1,0))/100,0),""))),"")</f>
        <v>0</v>
      </c>
      <c r="AQ58" s="42" t="n">
        <f aca="false">IFERROR(IF($C58="","",IF($D58="","",IFERROR(ROUND($D58*INDEX('🔖 배합비 참조'!$B$2:$CE$83,MATCH("멥쌀(국내산)",'🔖 배합비 참조'!$A$2:$A$83,0),MATCH($C58,'🔖 배합비 참조'!$B$1:$CE$1,0))/100,0),""))),"")</f>
        <v>120</v>
      </c>
      <c r="AR58" s="42" t="n">
        <f aca="false">IFERROR(IF($C58="","",IF($D58="","",IFERROR(ROUND($D58*INDEX('🔖 배합비 참조'!$B$2:$CE$83,MATCH("모시잎(국내산)",'🔖 배합비 참조'!$A$2:$A$83,0),MATCH($C58,'🔖 배합비 참조'!$B$1:$CE$1,0))/100,0),""))),"")</f>
        <v>0</v>
      </c>
      <c r="AS58" s="42" t="n">
        <f aca="false">IFERROR(IF($C58="","",IF($D58="","",IFERROR(ROUND($D58*INDEX('🔖 배합비 참조'!$B$2:$CE$83,MATCH("물엿(저당물엿)",'🔖 배합비 참조'!$A$2:$A$83,0),MATCH($C58,'🔖 배합비 참조'!$B$1:$CE$1,0))/100,0),""))),"")</f>
        <v>0</v>
      </c>
      <c r="AT58" s="42" t="n">
        <f aca="false">IFERROR(IF($C58="","",IF($D58="","",IFERROR(ROUND($D58*INDEX('🔖 배합비 참조'!$B$2:$CE$83,MATCH("밤다이스",'🔖 배합비 참조'!$A$2:$A$83,0),MATCH($C58,'🔖 배합비 참조'!$B$1:$CE$1,0))/100,0),""))),"")</f>
        <v>0</v>
      </c>
      <c r="AU58" s="42" t="n">
        <f aca="false">IFERROR(IF($C58="","",IF($D58="","",IFERROR(ROUND($D58*INDEX('🔖 배합비 참조'!$B$2:$CE$83,MATCH("변성전분(타피오카전분)",'🔖 배합비 참조'!$A$2:$A$83,0),MATCH($C58,'🔖 배합비 참조'!$B$1:$CE$1,0))/100,0),""))),"")</f>
        <v>0</v>
      </c>
      <c r="AV58" s="42" t="n">
        <f aca="false">IFERROR(IF($C58="","",IF($D58="","",IFERROR(ROUND($D58*INDEX('🔖 배합비 참조'!$B$2:$CE$83,MATCH("복음땅콩분태",'🔖 배합비 참조'!$A$2:$A$83,0),MATCH($C58,'🔖 배합비 참조'!$B$1:$CE$1,0))/100,0),""))),"")</f>
        <v>0</v>
      </c>
      <c r="AW58" s="42" t="n">
        <f aca="false">IFERROR(IF($C58="","",IF($D58="","",IFERROR(ROUND($D58*INDEX('🔖 배합비 참조'!$B$2:$CE$83,MATCH("사양벌꿀(국내산)",'🔖 배합비 참조'!$A$2:$A$83,0),MATCH($C58,'🔖 배합비 참조'!$B$1:$CE$1,0))/100,0),""))),"")</f>
        <v>0</v>
      </c>
      <c r="AX58" s="42" t="n">
        <f aca="false">IFERROR(IF($C58="","",IF($D58="","",IFERROR(ROUND($D58*INDEX('🔖 배합비 참조'!$B$2:$CE$83,MATCH("생크림",'🔖 배합비 참조'!$A$2:$A$83,0),MATCH($C58,'🔖 배합비 참조'!$B$1:$CE$1,0))/100,0),""))),"")</f>
        <v>0</v>
      </c>
      <c r="AY58" s="42" t="n">
        <f aca="false">IFERROR(IF($C58="","",IF($D58="","",IFERROR(ROUND($D58*INDEX('🔖 배합비 참조'!$B$2:$CE$83,MATCH("서양호박(국내산,뉴질랜드산)",'🔖 배합비 참조'!$A$2:$A$83,0),MATCH($C58,'🔖 배합비 참조'!$B$1:$CE$1,0))/100,0),""))),"")</f>
        <v>0</v>
      </c>
      <c r="AZ58" s="42" t="n">
        <f aca="false">IFERROR(IF($C58="","",IF($D58="","",IFERROR(ROUND($D58*INDEX('🔖 배합비 참조'!$B$2:$CE$83,MATCH("설탕",'🔖 배합비 참조'!$A$2:$A$83,0),MATCH($C58,'🔖 배합비 참조'!$B$1:$CE$1,0))/100,0),""))),"")</f>
        <v>19</v>
      </c>
      <c r="BA58" s="42" t="n">
        <f aca="false">IFERROR(IF($C58="","",IF($D58="","",IFERROR(ROUND($D58*INDEX('🔖 배합비 참조'!$B$2:$CE$83,MATCH("스트로우베리 에이드 후레쉬",'🔖 배합비 참조'!$A$2:$A$83,0),MATCH($C58,'🔖 배합비 참조'!$B$1:$CE$1,0))/100,0),""))),"")</f>
        <v>0</v>
      </c>
      <c r="BB58" s="42" t="n">
        <f aca="false">IFERROR(IF($C58="","",IF($D58="","",IFERROR(ROUND($D58*INDEX('🔖 배합비 참조'!$B$2:$CE$83,MATCH("식물성기름혼합제제(분홍)",'🔖 배합비 참조'!$A$2:$A$83,0),MATCH($C58,'🔖 배합비 참조'!$B$1:$CE$1,0))/100,0),""))),"")</f>
        <v>0</v>
      </c>
      <c r="BC58" s="42" t="n">
        <f aca="false">IFERROR(IF($C58="","",IF($D58="","",IFERROR(ROUND($D58*INDEX('🔖 배합비 참조'!$B$2:$CE$83,MATCH("식물성기름혼합제제(초록)",'🔖 배합비 참조'!$A$2:$A$83,0),MATCH($C58,'🔖 배합비 참조'!$B$1:$CE$1,0))/100,0),""))),"")</f>
        <v>0</v>
      </c>
      <c r="BD58" s="42" t="n">
        <f aca="false">IFERROR(IF($C58="","",IF($D58="","",IFERROR(ROUND($D58*INDEX('🔖 배합비 참조'!$B$2:$CE$83,MATCH("식물성기름혼합제제(황색)",'🔖 배합비 참조'!$A$2:$A$83,0),MATCH($C58,'🔖 배합비 참조'!$B$1:$CE$1,0))/100,0),""))),"")</f>
        <v>0</v>
      </c>
      <c r="BE58" s="42" t="n">
        <f aca="false">IFERROR(IF($C58="","",IF($D58="","",IFERROR(ROUND($D58*INDEX('🔖 배합비 참조'!$B$2:$CE$83,MATCH("쑥가루(국내산)",'🔖 배합비 참조'!$A$2:$A$83,0),MATCH($C58,'🔖 배합비 참조'!$B$1:$CE$1,0))/100,0),""))),"")</f>
        <v>0</v>
      </c>
      <c r="BF58" s="42" t="n">
        <f aca="false">IFERROR(IF($C58="","",IF($D58="","",IFERROR(ROUND($D58*INDEX('🔖 배합비 참조'!$B$2:$CE$83,MATCH("아몬드슬라이스",'🔖 배합비 참조'!$A$2:$A$83,0),MATCH($C58,'🔖 배합비 참조'!$B$1:$CE$1,0))/100,0),""))),"")</f>
        <v>0</v>
      </c>
      <c r="BG58" s="42" t="n">
        <f aca="false">IFERROR(IF($C58="","",IF($D58="","",IFERROR(ROUND($D58*INDEX('🔖 배합비 참조'!$B$2:$CE$83,MATCH("알룰로오스(국내산)",'🔖 배합비 참조'!$A$2:$A$83,0),MATCH($C58,'🔖 배합비 참조'!$B$1:$CE$1,0))/100,0),""))),"")</f>
        <v>0</v>
      </c>
      <c r="BH58" s="42" t="n">
        <f aca="false">IFERROR(IF($C58="","",IF($D58="","",IFERROR(ROUND($D58*INDEX('🔖 배합비 참조'!$B$2:$CE$83,MATCH("연유",'🔖 배합비 참조'!$A$2:$A$83,0),MATCH($C58,'🔖 배합비 참조'!$B$1:$CE$1,0))/100,0),""))),"")</f>
        <v>0</v>
      </c>
      <c r="BI58" s="42" t="n">
        <f aca="false">IFERROR(IF($C58="","",IF($D58="","",IFERROR(ROUND($D58*INDEX('🔖 배합비 참조'!$B$2:$CE$83,MATCH("옥수수전분",'🔖 배합비 참조'!$A$2:$A$83,0),MATCH($C58,'🔖 배합비 참조'!$B$1:$CE$1,0))/100,0),""))),"")</f>
        <v>0</v>
      </c>
      <c r="BJ58" s="42" t="n">
        <f aca="false">IFERROR(IF($C58="","",IF($D58="","",IFERROR(ROUND($D58*INDEX('🔖 배합비 참조'!$B$2:$CE$83,MATCH("완두배기",'🔖 배합비 참조'!$A$2:$A$83,0),MATCH($C58,'🔖 배합비 참조'!$B$1:$CE$1,0))/100,0),""))),"")</f>
        <v>0</v>
      </c>
      <c r="BK58" s="42" t="n">
        <f aca="false">IFERROR(IF($C58="","",IF($D58="","",IFERROR(ROUND($D58*INDEX('🔖 배합비 참조'!$B$2:$CE$83,MATCH("우유(국내산)",'🔖 배합비 참조'!$A$2:$A$83,0),MATCH($C58,'🔖 배합비 참조'!$B$1:$CE$1,0))/100,0),""))),"")</f>
        <v>16</v>
      </c>
      <c r="BL58" s="42" t="n">
        <f aca="false">IFERROR(IF($C58="","",IF($D58="","",IFERROR(ROUND($D58*INDEX('🔖 배합비 참조'!$B$2:$CE$83,MATCH("자색고구마가루(중국산)",'🔖 배합비 참조'!$A$2:$A$83,0),MATCH($C58,'🔖 배합비 참조'!$B$1:$CE$1,0))/100,0),""))),"")</f>
        <v>0</v>
      </c>
      <c r="BM58" s="42" t="n">
        <f aca="false">IFERROR(IF($C58="","",IF($D58="","",IFERROR(ROUND($D58*INDEX('🔖 배합비 참조'!$B$2:$CE$83,MATCH("자연치즈(체다치즈)",'🔖 배합비 참조'!$A$2:$A$83,0),MATCH($C58,'🔖 배합비 참조'!$B$1:$CE$1,0))/100,0),""))),"")</f>
        <v>0</v>
      </c>
      <c r="BN58" s="42" t="n">
        <f aca="false">IFERROR(IF($C58="","",IF($D58="","",IFERROR(ROUND($D58*INDEX('🔖 배합비 참조'!$B$2:$CE$83,MATCH("정제수",'🔖 배합비 참조'!$A$2:$A$83,0),MATCH($C58,'🔖 배합비 참조'!$B$1:$CE$1,0))/100,0),""))),"")</f>
        <v>16</v>
      </c>
      <c r="BO58" s="42" t="n">
        <f aca="false">IFERROR(IF($C58="","",IF($D58="","",IFERROR(ROUND($D58*INDEX('🔖 배합비 참조'!$B$2:$CE$83,MATCH("젤라틴",'🔖 배합비 참조'!$A$2:$A$83,0),MATCH($C58,'🔖 배합비 참조'!$B$1:$CE$1,0))/100,0),""))),"")</f>
        <v>0</v>
      </c>
      <c r="BP58" s="42" t="n">
        <f aca="false">IFERROR(IF($C58="","",IF($D58="","",IFERROR(ROUND($D58*INDEX('🔖 배합비 참조'!$B$2:$CE$83,MATCH("조림류(백옥앙금)",'🔖 배합비 참조'!$A$2:$A$83,0),MATCH($C58,'🔖 배합비 참조'!$B$1:$CE$1,0))/100,0),""))),"")</f>
        <v>0</v>
      </c>
      <c r="BQ58" s="42" t="n">
        <f aca="false">IFERROR(IF($C58="","",IF($D58="","",IFERROR(ROUND($D58*INDEX('🔖 배합비 참조'!$B$2:$CE$83,MATCH("조림류(통팥앙금)",'🔖 배합비 참조'!$A$2:$A$83,0),MATCH($C58,'🔖 배합비 참조'!$B$1:$CE$1,0))/100,0),""))),"")</f>
        <v>0</v>
      </c>
      <c r="BR58" s="42" t="n">
        <f aca="false">IFERROR(IF($C58="","",IF($D58="","",IFERROR(ROUND($D58*INDEX('🔖 배합비 참조'!$B$2:$CE$83,MATCH("준초콜릿(외국산)",'🔖 배합비 참조'!$A$2:$A$83,0),MATCH($C58,'🔖 배합비 참조'!$B$1:$CE$1,0))/100,0),""))),"")</f>
        <v>0</v>
      </c>
      <c r="BS58" s="42" t="n">
        <f aca="false">IFERROR(IF($C58="","",IF($D58="","",IFERROR(ROUND($D58*INDEX('🔖 배합비 참조'!$B$2:$CE$83,MATCH("중력분",'🔖 배합비 참조'!$A$2:$A$83,0),MATCH($C58,'🔖 배합비 참조'!$B$1:$CE$1,0))/100,0),""))),"")</f>
        <v>0</v>
      </c>
      <c r="BT58" s="42" t="n">
        <f aca="false">IFERROR(IF($C58="","",IF($D58="","",IFERROR(ROUND($D58*INDEX('🔖 배합비 참조'!$B$2:$CE$83,MATCH("참깨(인도산,나이지리아산,탄자니아산,미얀마산)",'🔖 배합비 참조'!$A$2:$A$83,0),MATCH($C58,'🔖 배합비 참조'!$B$1:$CE$1,0))/100,0),""))),"")</f>
        <v>0</v>
      </c>
      <c r="BU58" s="42" t="n">
        <f aca="false">IFERROR(IF($C58="","",IF($D58="","",IFERROR(ROUND($D58*INDEX('🔖 배합비 참조'!$B$2:$CE$83,MATCH("찹쌀(국내산)",'🔖 배합비 참조'!$A$2:$A$83,0),MATCH($C58,'🔖 배합비 참조'!$B$1:$CE$1,0))/100,0),""))),"")</f>
        <v>0</v>
      </c>
      <c r="BV58" s="42" t="n">
        <f aca="false">IFERROR(IF($C58="","",IF($D58="","",IFERROR(ROUND($D58*INDEX('🔖 배합비 참조'!$B$2:$CE$83,MATCH("천일염",'🔖 배합비 참조'!$A$2:$A$83,0),MATCH($C58,'🔖 배합비 참조'!$B$1:$CE$1,0))/100,0),""))),"")</f>
        <v>2</v>
      </c>
      <c r="BW58" s="42" t="n">
        <f aca="false">IFERROR(IF($C58="","",IF($D58="","",IFERROR(ROUND($D58*INDEX('🔖 배합비 참조'!$B$2:$CE$83,MATCH("치즈 [크림치즈]",'🔖 배합비 참조'!$A$2:$A$83,0),MATCH($C58,'🔖 배합비 참조'!$B$1:$CE$1,0))/100,0),""))),"")</f>
        <v>0</v>
      </c>
      <c r="BX58" s="42" t="n">
        <f aca="false">IFERROR(IF($C58="","",IF($D58="","",IFERROR(ROUND($D58*INDEX('🔖 배합비 참조'!$B$2:$CE$83,MATCH("코코아가공품류(코코아분말)",'🔖 배합비 참조'!$A$2:$A$83,0),MATCH($C58,'🔖 배합비 참조'!$B$1:$CE$1,0))/100,0),""))),"")</f>
        <v>0</v>
      </c>
      <c r="BY58" s="42" t="n">
        <f aca="false">IFERROR(IF($C58="","",IF($D58="","",IFERROR(ROUND($D58*INDEX('🔖 배합비 참조'!$B$2:$CE$83,MATCH("콩기름(대두유)",'🔖 배합비 참조'!$A$2:$A$83,0),MATCH($C58,'🔖 배합비 참조'!$B$1:$CE$1,0))/100,0),""))),"")</f>
        <v>0</v>
      </c>
      <c r="BZ58" s="42" t="n">
        <f aca="false">IFERROR(IF($C58="","",IF($D58="","",IFERROR(ROUND($D58*INDEX('🔖 배합비 참조'!$B$2:$CE$83,MATCH("해바라기씨앗",'🔖 배합비 참조'!$A$2:$A$83,0),MATCH($C58,'🔖 배합비 참조'!$B$1:$CE$1,0))/100,0),""))),"")</f>
        <v>0</v>
      </c>
      <c r="CA58" s="42" t="n">
        <f aca="false">IFERROR(IF($C58="","",IF($D58="","",IFERROR(ROUND($D58*INDEX('🔖 배합비 참조'!$B$2:$CE$83,MATCH("현미(국내산)",'🔖 배합비 참조'!$A$2:$A$83,0),MATCH($C58,'🔖 배합비 참조'!$B$1:$CE$1,0))/100,0),""))),"")</f>
        <v>0</v>
      </c>
      <c r="CB58" s="42" t="n">
        <f aca="false">IFERROR(IF($C58="","",IF($D58="","",IFERROR(ROUND($D58*INDEX('🔖 배합비 참조'!$B$2:$CE$83,MATCH("현미멥쌀(국내산)",'🔖 배합비 참조'!$A$2:$A$83,0),MATCH($C58,'🔖 배합비 참조'!$B$1:$CE$1,0))/100,0),""))),"")</f>
        <v>0</v>
      </c>
      <c r="CC58" s="42" t="n">
        <f aca="false">IFERROR(IF($C58="","",IF($D58="","",IFERROR(ROUND($D58*INDEX('🔖 배합비 참조'!$B$2:$CE$83,MATCH("호두분태(미국산)",'🔖 배합비 참조'!$A$2:$A$83,0),MATCH($C58,'🔖 배합비 참조'!$B$1:$CE$1,0))/100,0),""))),"")</f>
        <v>0</v>
      </c>
      <c r="CD58" s="42" t="n">
        <f aca="false">IFERROR(IF($C58="","",IF($D58="","",IFERROR(ROUND($D58*INDEX('🔖 배합비 참조'!$B$2:$CE$83,MATCH("호박씨앗(외국산)",'🔖 배합비 참조'!$A$2:$A$83,0),MATCH($C58,'🔖 배합비 참조'!$B$1:$CE$1,0))/100,0),""))),"")</f>
        <v>0</v>
      </c>
      <c r="CE58" s="42" t="n">
        <f aca="false">IFERROR(IF($C58="","",IF($D58="","",IFERROR(ROUND($D58*INDEX('🔖 배합비 참조'!$B$2:$CE$83,MATCH("혼합제제(떡용에스텔)",'🔖 배합비 참조'!$A$2:$A$83,0),MATCH($C58,'🔖 배합비 참조'!$B$1:$CE$1,0))/100,0),""))),"")</f>
        <v>0</v>
      </c>
      <c r="CF58" s="42" t="n">
        <f aca="false">IFERROR(IF($C58="","",IF($D58="","",IFERROR(ROUND($D58*INDEX('🔖 배합비 참조'!$B$2:$CE$83,MATCH("혼합제제(스테비아)",'🔖 배합비 참조'!$A$2:$A$83,0),MATCH($C58,'🔖 배합비 참조'!$B$1:$CE$1,0))/100,0),""))),"")</f>
        <v>0</v>
      </c>
      <c r="CG58" s="42" t="n">
        <f aca="false">IFERROR(IF($C58="","",IF($D58="","",IFERROR(ROUND($D58*INDEX('🔖 배합비 참조'!$B$2:$CE$83,MATCH("화이트초콜릿",'🔖 배합비 참조'!$A$2:$A$83,0),MATCH($C58,'🔖 배합비 참조'!$B$1:$CE$1,0))/100,0),""))),"")</f>
        <v>0</v>
      </c>
      <c r="CH58" s="42" t="n">
        <f aca="false">IFERROR(IF($C58="","",IF($D58="","",IFERROR(ROUND($D58*INDEX('🔖 배합비 참조'!$B$2:$CE$83,MATCH("흑미찹쌀(국내산)",'🔖 배합비 참조'!$A$2:$A$83,0),MATCH($C58,'🔖 배합비 참조'!$B$1:$CE$1,0))/100,0),""))),"")</f>
        <v>0</v>
      </c>
      <c r="CI58" s="42" t="n">
        <f aca="false">IFERROR(IF($C58="","",IF($D58="","",IFERROR(ROUND($D58*INDEX('🔖 배합비 참조'!$B$2:$CE$83,MATCH("찰옥수수전분(미국산)",'🔖 배합비 참조'!$A$2:$A$83,0),MATCH($C58,'🔖 배합비 참조'!$B$1:$CE$1,0))/100,0),""))),"")</f>
        <v>0</v>
      </c>
      <c r="CJ58" s="40"/>
      <c r="CL58" s="1" t="s">
        <v>238</v>
      </c>
    </row>
    <row r="59" customFormat="false" ht="18" hidden="false" customHeight="true" outlineLevel="0" collapsed="false">
      <c r="A59" s="35" t="n">
        <v>55</v>
      </c>
      <c r="B59" s="36" t="n">
        <v>45968</v>
      </c>
      <c r="C59" s="37" t="s">
        <v>215</v>
      </c>
      <c r="D59" s="38" t="n">
        <v>50</v>
      </c>
      <c r="E59" s="13"/>
      <c r="F59" s="13"/>
      <c r="G59" s="39" t="n">
        <f aca="false">IFERROR(IF($C59="","",IF($D59="","",IFERROR(ROUND($D59*INDEX('🔖 배합비 참조'!$B$2:$CE$83,MATCH("간장",'🔖 배합비 참조'!$A$2:$A$83,0),MATCH($C59,'🔖 배합비 참조'!$B$1:$CE$1,0))/100,0),""))),"")</f>
        <v>0</v>
      </c>
      <c r="H59" s="39" t="n">
        <f aca="false">IFERROR(IF($C59="","",IF($D59="","",IFERROR(ROUND($D59*INDEX('🔖 배합비 참조'!$B$2:$CE$83,MATCH("강낭콩((울타리콩))",'🔖 배합비 참조'!$A$2:$A$83,0),MATCH($C59,'🔖 배합비 참조'!$B$1:$CE$1,0))/100,0),""))),"")</f>
        <v>0</v>
      </c>
      <c r="I59" s="39" t="n">
        <f aca="false">IFERROR(IF($C59="","",IF($D59="","",IFERROR(ROUND($D59*INDEX('🔖 배합비 참조'!$B$2:$CE$83,MATCH("건조딸기다이스(외국산)",'🔖 배합비 참조'!$A$2:$A$83,0),MATCH($C59,'🔖 배합비 참조'!$B$1:$CE$1,0))/100,0),""))),"")</f>
        <v>0</v>
      </c>
      <c r="J59" s="39" t="n">
        <f aca="false">IFERROR(IF($C59="","",IF($D59="","",IFERROR(ROUND($D59*INDEX('🔖 배합비 참조'!$B$2:$CE$83,MATCH("건포도",'🔖 배합비 참조'!$A$2:$A$83,0),MATCH($C59,'🔖 배합비 참조'!$B$1:$CE$1,0))/100,0),""))),"")</f>
        <v>0</v>
      </c>
      <c r="K59" s="39" t="n">
        <f aca="false">IFERROR(IF($C59="","",IF($D59="","",IFERROR(ROUND($D59*INDEX('🔖 배합비 참조'!$B$2:$CE$83,MATCH("건호박채(중국산)",'🔖 배합비 참조'!$A$2:$A$83,0),MATCH($C59,'🔖 배합비 참조'!$B$1:$CE$1,0))/100,0),""))),"")</f>
        <v>0</v>
      </c>
      <c r="L59" s="39" t="n">
        <f aca="false">IFERROR(IF($C59="","",IF($D59="","",IFERROR(ROUND($D59*INDEX('🔖 배합비 참조'!$B$2:$CE$83,MATCH("검정깨(흑임자)",'🔖 배합비 참조'!$A$2:$A$83,0),MATCH($C59,'🔖 배합비 참조'!$B$1:$CE$1,0))/100,0),""))),"")</f>
        <v>0</v>
      </c>
      <c r="M59" s="39" t="n">
        <f aca="false">IFERROR(IF($C59="","",IF($D59="","",IFERROR(ROUND($D59*INDEX('🔖 배합비 참조'!$B$2:$CE$83,MATCH("검정콩",'🔖 배합비 참조'!$A$2:$A$83,0),MATCH($C59,'🔖 배합비 참조'!$B$1:$CE$1,0))/100,0),""))),"")</f>
        <v>0</v>
      </c>
      <c r="N59" s="39" t="n">
        <f aca="false">IFERROR(IF($C59="","",IF($D59="","",IFERROR(ROUND($D59*INDEX('🔖 배합비 참조'!$B$2:$CE$83,MATCH("계피가루",'🔖 배합비 참조'!$A$2:$A$83,0),MATCH($C59,'🔖 배합비 참조'!$B$1:$CE$1,0))/100,0),""))),"")</f>
        <v>0</v>
      </c>
      <c r="O59" s="39" t="n">
        <f aca="false">IFERROR(IF($C59="","",IF($D59="","",IFERROR(ROUND($D59*INDEX('🔖 배합비 참조'!$B$2:$CE$83,MATCH("고구마가루",'🔖 배합비 참조'!$A$2:$A$83,0),MATCH($C59,'🔖 배합비 참조'!$B$1:$CE$1,0))/100,0),""))),"")</f>
        <v>0</v>
      </c>
      <c r="P59" s="39" t="n">
        <f aca="false">IFERROR(IF($C59="","",IF($D59="","",IFERROR(ROUND($D59*INDEX('🔖 배합비 참조'!$B$2:$CE$83,MATCH("고구마무스",'🔖 배합비 참조'!$A$2:$A$83,0),MATCH($C59,'🔖 배합비 참조'!$B$1:$CE$1,0))/100,0),""))),"")</f>
        <v>0</v>
      </c>
      <c r="Q59" s="39" t="n">
        <f aca="false">IFERROR(IF($C59="","",IF($D59="","",IFERROR(ROUND($D59*INDEX('🔖 배합비 참조'!$B$2:$CE$83,MATCH("고려엉겅퀴((곤드레)국내산)",'🔖 배합비 참조'!$A$2:$A$83,0),MATCH($C59,'🔖 배합비 참조'!$B$1:$CE$1,0))/100,0),""))),"")</f>
        <v>0</v>
      </c>
      <c r="R59" s="39" t="n">
        <f aca="false">IFERROR(IF($C59="","",IF($D59="","",IFERROR(ROUND($D59*INDEX('🔖 배합비 참조'!$B$2:$CE$83,MATCH("기타가공품(복분자가루)",'🔖 배합비 참조'!$A$2:$A$83,0),MATCH($C59,'🔖 배합비 참조'!$B$1:$CE$1,0))/100,0),""))),"")</f>
        <v>0</v>
      </c>
      <c r="S59" s="39" t="n">
        <f aca="false">IFERROR(IF($C59="","",IF($D59="","",IFERROR(ROUND($D59*INDEX('🔖 배합비 참조'!$B$2:$CE$83,MATCH("기타가공품(슈퍼소프트엠)",'🔖 배합비 참조'!$A$2:$A$83,0),MATCH($C59,'🔖 배합비 참조'!$B$1:$CE$1,0))/100,0),""))),"")</f>
        <v>0</v>
      </c>
      <c r="T59" s="39" t="n">
        <f aca="false">IFERROR(IF($C59="","",IF($D59="","",IFERROR(ROUND($D59*INDEX('🔖 배합비 참조'!$B$2:$CE$83,MATCH("기타가공품(파인소프트 E-티)",'🔖 배합비 참조'!$A$2:$A$83,0),MATCH($C59,'🔖 배합비 참조'!$B$1:$CE$1,0))/100,0),""))),"")</f>
        <v>0</v>
      </c>
      <c r="U59" s="39" t="n">
        <f aca="false">IFERROR(IF($C59="","",IF($D59="","",IFERROR(ROUND($D59*INDEX('🔖 배합비 참조'!$B$2:$CE$83,MATCH("기타가공품(프리미엄카스테라가루)",'🔖 배합비 참조'!$A$2:$A$83,0),MATCH($C59,'🔖 배합비 참조'!$B$1:$CE$1,0))/100,0),""))),"")</f>
        <v>0</v>
      </c>
      <c r="V59" s="39" t="n">
        <f aca="false">IFERROR(IF($C59="","",IF($D59="","",IFERROR(ROUND($D59*INDEX('🔖 배합비 참조'!$B$2:$CE$83,MATCH("기타가공품(흑임자가루)",'🔖 배합비 참조'!$A$2:$A$83,0),MATCH($C59,'🔖 배합비 참조'!$B$1:$CE$1,0))/100,0),""))),"")</f>
        <v>0</v>
      </c>
      <c r="W59" s="39" t="n">
        <f aca="false">IFERROR(IF($C59="","",IF($D59="","",IFERROR(ROUND($D59*INDEX('🔖 배합비 참조'!$B$2:$CE$83,MATCH("기타설탕(흑설탕)",'🔖 배합비 참조'!$A$2:$A$83,0),MATCH($C59,'🔖 배합비 참조'!$B$1:$CE$1,0))/100,0),""))),"")</f>
        <v>0</v>
      </c>
      <c r="X59" s="39" t="n">
        <f aca="false">IFERROR(IF($C59="","",IF($D59="","",IFERROR(ROUND($D59*INDEX('🔖 배합비 참조'!$B$2:$CE$83,MATCH("냉동쑥(국내산)",'🔖 배합비 참조'!$A$2:$A$83,0),MATCH($C59,'🔖 배합비 참조'!$B$1:$CE$1,0))/100,0),""))),"")</f>
        <v>0</v>
      </c>
      <c r="Y59" s="39" t="n">
        <f aca="false">IFERROR(IF($C59="","",IF($D59="","",IFERROR(ROUND($D59*INDEX('🔖 배합비 참조'!$B$2:$CE$83,MATCH("냉동증숙고구마(중국산)",'🔖 배합비 참조'!$A$2:$A$83,0),MATCH($C59,'🔖 배합비 참조'!$B$1:$CE$1,0))/100,0),""))),"")</f>
        <v>0</v>
      </c>
      <c r="Z59" s="39" t="n">
        <f aca="false">IFERROR(IF($C59="","",IF($D59="","",IFERROR(ROUND($D59*INDEX('🔖 배합비 참조'!$B$2:$CE$83,MATCH("녹차가루",'🔖 배합비 참조'!$A$2:$A$83,0),MATCH($C59,'🔖 배합비 참조'!$B$1:$CE$1,0))/100,0),""))),"")</f>
        <v>0</v>
      </c>
      <c r="AA59" s="39" t="n">
        <f aca="false">IFERROR(IF($C59="","",IF($D59="","",IFERROR(ROUND($D59*INDEX('🔖 배합비 참조'!$B$2:$CE$83,MATCH("다크초콜릿 컴파운드칩",'🔖 배합비 참조'!$A$2:$A$83,0),MATCH($C59,'🔖 배합비 참조'!$B$1:$CE$1,0))/100,0),""))),"")</f>
        <v>0</v>
      </c>
      <c r="AB59" s="39" t="n">
        <f aca="false">IFERROR(IF($C59="","",IF($D59="","",IFERROR(ROUND($D59*INDEX('🔖 배합비 참조'!$B$2:$CE$83,MATCH("단호박분말(중국산)",'🔖 배합비 참조'!$A$2:$A$83,0),MATCH($C59,'🔖 배합비 참조'!$B$1:$CE$1,0))/100,0),""))),"")</f>
        <v>1</v>
      </c>
      <c r="AC59" s="39" t="n">
        <f aca="false">IFERROR(IF($C59="","",IF($D59="","",IFERROR(ROUND($D59*INDEX('🔖 배합비 참조'!$B$2:$CE$83,MATCH("당류가공품(단호박농축액)",'🔖 배합비 참조'!$A$2:$A$83,0),MATCH($C59,'🔖 배합비 참조'!$B$1:$CE$1,0))/100,0),""))),"")</f>
        <v>0</v>
      </c>
      <c r="AD59" s="39" t="n">
        <f aca="false">IFERROR(IF($C59="","",IF($D59="","",IFERROR(ROUND($D59*INDEX('🔖 배합비 참조'!$B$2:$CE$83,MATCH("당류가공품(알룰로스,에리스리톨,스테비올배당체혼합)",'🔖 배합비 참조'!$A$2:$A$83,0),MATCH($C59,'🔖 배합비 참조'!$B$1:$CE$1,0))/100,0),""))),"")</f>
        <v>0</v>
      </c>
      <c r="AE59" s="39" t="n">
        <f aca="false">IFERROR(IF($C59="","",IF($D59="","",IFERROR(ROUND($D59*INDEX('🔖 배합비 참조'!$B$2:$CE$83,MATCH("당류가공품(알룰로스제로파우더)",'🔖 배합비 참조'!$A$2:$A$83,0),MATCH($C59,'🔖 배합비 참조'!$B$1:$CE$1,0))/100,0),""))),"")</f>
        <v>0</v>
      </c>
      <c r="AF59" s="39" t="n">
        <f aca="false">IFERROR(IF($C59="","",IF($D59="","",IFERROR(ROUND($D59*INDEX('🔖 배합비 참조'!$B$2:$CE$83,MATCH("당절임(완두배기)",'🔖 배합비 참조'!$A$2:$A$83,0),MATCH($C59,'🔖 배합비 참조'!$B$1:$CE$1,0))/100,0),""))),"")</f>
        <v>0</v>
      </c>
      <c r="AG59" s="39" t="n">
        <f aca="false">IFERROR(IF($C59="","",IF($D59="","",IFERROR(ROUND($D59*INDEX('🔖 배합비 참조'!$B$2:$CE$83,MATCH("대추농축액",'🔖 배합비 참조'!$A$2:$A$83,0),MATCH($C59,'🔖 배합비 참조'!$B$1:$CE$1,0))/100,0),""))),"")</f>
        <v>0</v>
      </c>
      <c r="AH59" s="39" t="n">
        <f aca="false">IFERROR(IF($C59="","",IF($D59="","",IFERROR(ROUND($D59*INDEX('🔖 배합비 참조'!$B$2:$CE$83,MATCH("대추채(국내산)",'🔖 배합비 참조'!$A$2:$A$83,0),MATCH($C59,'🔖 배합비 참조'!$B$1:$CE$1,0))/100,0),""))),"")</f>
        <v>0</v>
      </c>
      <c r="AI59" s="39" t="n">
        <f aca="false">IFERROR(IF($C59="","",IF($D59="","",IFERROR(ROUND($D59*INDEX('🔖 배합비 참조'!$B$2:$CE$83,MATCH("동부(미얀마산)",'🔖 배합비 참조'!$A$2:$A$83,0),MATCH($C59,'🔖 배합비 참조'!$B$1:$CE$1,0))/100,0),""))),"")</f>
        <v>0</v>
      </c>
      <c r="AJ59" s="39" t="n">
        <f aca="false">IFERROR(IF($C59="","",IF($D59="","",IFERROR(ROUND($D59*INDEX('🔖 배합비 참조'!$B$2:$CE$83,MATCH("두류가공품(백옥앙금)",'🔖 배합비 참조'!$A$2:$A$83,0),MATCH($C59,'🔖 배합비 참조'!$B$1:$CE$1,0))/100,0),""))),"")</f>
        <v>0</v>
      </c>
      <c r="AK59" s="39" t="n">
        <f aca="false">IFERROR(IF($C59="","",IF($D59="","",IFERROR(ROUND($D59*INDEX('🔖 배합비 참조'!$B$2:$CE$83,MATCH("두류가공품(콩고물)",'🔖 배합비 참조'!$A$2:$A$83,0),MATCH($C59,'🔖 배합비 참조'!$B$1:$CE$1,0))/100,0),""))),"")</f>
        <v>0</v>
      </c>
      <c r="AL59" s="39" t="n">
        <f aca="false">IFERROR(IF($C59="","",IF($D59="","",IFERROR(ROUND($D59*INDEX('🔖 배합비 참조'!$B$2:$CE$83,MATCH("두류가공품(통팥고물)",'🔖 배합비 참조'!$A$2:$A$83,0),MATCH($C59,'🔖 배합비 참조'!$B$1:$CE$1,0))/100,0),""))),"")</f>
        <v>0</v>
      </c>
      <c r="AM59" s="39" t="n">
        <f aca="false">IFERROR(IF($C59="","",IF($D59="","",IFERROR(ROUND($D59*INDEX('🔖 배합비 참조'!$B$2:$CE$83,MATCH("딸기레진",'🔖 배합비 참조'!$A$2:$A$83,0),MATCH($C59,'🔖 배합비 참조'!$B$1:$CE$1,0))/100,0),""))),"")</f>
        <v>0</v>
      </c>
      <c r="AN59" s="39" t="n">
        <f aca="false">IFERROR(IF($C59="","",IF($D59="","",IFERROR(ROUND($D59*INDEX('🔖 배합비 참조'!$B$2:$CE$83,MATCH("딸기분말(스트로우베리에이드(분말))",'🔖 배합비 참조'!$A$2:$A$83,0),MATCH($C59,'🔖 배합비 참조'!$B$1:$CE$1,0))/100,0),""))),"")</f>
        <v>0</v>
      </c>
      <c r="AO59" s="39" t="n">
        <f aca="false">IFERROR(IF($C59="","",IF($D59="","",IFERROR(ROUND($D59*INDEX('🔖 배합비 참조'!$B$2:$CE$83,MATCH("마스카포네치즈",'🔖 배합비 참조'!$A$2:$A$83,0),MATCH($C59,'🔖 배합비 참조'!$B$1:$CE$1,0))/100,0),""))),"")</f>
        <v>0</v>
      </c>
      <c r="AP59" s="39" t="n">
        <f aca="false">IFERROR(IF($C59="","",IF($D59="","",IFERROR(ROUND($D59*INDEX('🔖 배합비 참조'!$B$2:$CE$83,MATCH("마카다미아분태(호주산)",'🔖 배합비 참조'!$A$2:$A$83,0),MATCH($C59,'🔖 배합비 참조'!$B$1:$CE$1,0))/100,0),""))),"")</f>
        <v>0</v>
      </c>
      <c r="AQ59" s="39" t="n">
        <f aca="false">IFERROR(IF($C59="","",IF($D59="","",IFERROR(ROUND($D59*INDEX('🔖 배합비 참조'!$B$2:$CE$83,MATCH("멥쌀(국내산)",'🔖 배합비 참조'!$A$2:$A$83,0),MATCH($C59,'🔖 배합비 참조'!$B$1:$CE$1,0))/100,0),""))),"")</f>
        <v>34</v>
      </c>
      <c r="AR59" s="39" t="n">
        <f aca="false">IFERROR(IF($C59="","",IF($D59="","",IFERROR(ROUND($D59*INDEX('🔖 배합비 참조'!$B$2:$CE$83,MATCH("모시잎(국내산)",'🔖 배합비 참조'!$A$2:$A$83,0),MATCH($C59,'🔖 배합비 참조'!$B$1:$CE$1,0))/100,0),""))),"")</f>
        <v>0</v>
      </c>
      <c r="AS59" s="39" t="n">
        <f aca="false">IFERROR(IF($C59="","",IF($D59="","",IFERROR(ROUND($D59*INDEX('🔖 배합비 참조'!$B$2:$CE$83,MATCH("물엿(저당물엿)",'🔖 배합비 참조'!$A$2:$A$83,0),MATCH($C59,'🔖 배합비 참조'!$B$1:$CE$1,0))/100,0),""))),"")</f>
        <v>0</v>
      </c>
      <c r="AT59" s="39" t="n">
        <f aca="false">IFERROR(IF($C59="","",IF($D59="","",IFERROR(ROUND($D59*INDEX('🔖 배합비 참조'!$B$2:$CE$83,MATCH("밤다이스",'🔖 배합비 참조'!$A$2:$A$83,0),MATCH($C59,'🔖 배합비 참조'!$B$1:$CE$1,0))/100,0),""))),"")</f>
        <v>0</v>
      </c>
      <c r="AU59" s="39" t="n">
        <f aca="false">IFERROR(IF($C59="","",IF($D59="","",IFERROR(ROUND($D59*INDEX('🔖 배합비 참조'!$B$2:$CE$83,MATCH("변성전분(타피오카전분)",'🔖 배합비 참조'!$A$2:$A$83,0),MATCH($C59,'🔖 배합비 참조'!$B$1:$CE$1,0))/100,0),""))),"")</f>
        <v>0</v>
      </c>
      <c r="AV59" s="39" t="n">
        <f aca="false">IFERROR(IF($C59="","",IF($D59="","",IFERROR(ROUND($D59*INDEX('🔖 배합비 참조'!$B$2:$CE$83,MATCH("복음땅콩분태",'🔖 배합비 참조'!$A$2:$A$83,0),MATCH($C59,'🔖 배합비 참조'!$B$1:$CE$1,0))/100,0),""))),"")</f>
        <v>0</v>
      </c>
      <c r="AW59" s="39" t="n">
        <f aca="false">IFERROR(IF($C59="","",IF($D59="","",IFERROR(ROUND($D59*INDEX('🔖 배합비 참조'!$B$2:$CE$83,MATCH("사양벌꿀(국내산)",'🔖 배합비 참조'!$A$2:$A$83,0),MATCH($C59,'🔖 배합비 참조'!$B$1:$CE$1,0))/100,0),""))),"")</f>
        <v>0</v>
      </c>
      <c r="AX59" s="39" t="n">
        <f aca="false">IFERROR(IF($C59="","",IF($D59="","",IFERROR(ROUND($D59*INDEX('🔖 배합비 참조'!$B$2:$CE$83,MATCH("생크림",'🔖 배합비 참조'!$A$2:$A$83,0),MATCH($C59,'🔖 배합비 참조'!$B$1:$CE$1,0))/100,0),""))),"")</f>
        <v>0</v>
      </c>
      <c r="AY59" s="39" t="n">
        <f aca="false">IFERROR(IF($C59="","",IF($D59="","",IFERROR(ROUND($D59*INDEX('🔖 배합비 참조'!$B$2:$CE$83,MATCH("서양호박(국내산,뉴질랜드산)",'🔖 배합비 참조'!$A$2:$A$83,0),MATCH($C59,'🔖 배합비 참조'!$B$1:$CE$1,0))/100,0),""))),"")</f>
        <v>4</v>
      </c>
      <c r="AZ59" s="39" t="n">
        <f aca="false">IFERROR(IF($C59="","",IF($D59="","",IFERROR(ROUND($D59*INDEX('🔖 배합비 참조'!$B$2:$CE$83,MATCH("설탕",'🔖 배합비 참조'!$A$2:$A$83,0),MATCH($C59,'🔖 배합비 참조'!$B$1:$CE$1,0))/100,0),""))),"")</f>
        <v>4</v>
      </c>
      <c r="BA59" s="39" t="n">
        <f aca="false">IFERROR(IF($C59="","",IF($D59="","",IFERROR(ROUND($D59*INDEX('🔖 배합비 참조'!$B$2:$CE$83,MATCH("스트로우베리 에이드 후레쉬",'🔖 배합비 참조'!$A$2:$A$83,0),MATCH($C59,'🔖 배합비 참조'!$B$1:$CE$1,0))/100,0),""))),"")</f>
        <v>0</v>
      </c>
      <c r="BB59" s="39" t="n">
        <f aca="false">IFERROR(IF($C59="","",IF($D59="","",IFERROR(ROUND($D59*INDEX('🔖 배합비 참조'!$B$2:$CE$83,MATCH("식물성기름혼합제제(분홍)",'🔖 배합비 참조'!$A$2:$A$83,0),MATCH($C59,'🔖 배합비 참조'!$B$1:$CE$1,0))/100,0),""))),"")</f>
        <v>0</v>
      </c>
      <c r="BC59" s="39" t="n">
        <f aca="false">IFERROR(IF($C59="","",IF($D59="","",IFERROR(ROUND($D59*INDEX('🔖 배합비 참조'!$B$2:$CE$83,MATCH("식물성기름혼합제제(초록)",'🔖 배합비 참조'!$A$2:$A$83,0),MATCH($C59,'🔖 배합비 참조'!$B$1:$CE$1,0))/100,0),""))),"")</f>
        <v>0</v>
      </c>
      <c r="BD59" s="39" t="n">
        <f aca="false">IFERROR(IF($C59="","",IF($D59="","",IFERROR(ROUND($D59*INDEX('🔖 배합비 참조'!$B$2:$CE$83,MATCH("식물성기름혼합제제(황색)",'🔖 배합비 참조'!$A$2:$A$83,0),MATCH($C59,'🔖 배합비 참조'!$B$1:$CE$1,0))/100,0),""))),"")</f>
        <v>0</v>
      </c>
      <c r="BE59" s="39" t="n">
        <f aca="false">IFERROR(IF($C59="","",IF($D59="","",IFERROR(ROUND($D59*INDEX('🔖 배합비 참조'!$B$2:$CE$83,MATCH("쑥가루(국내산)",'🔖 배합비 참조'!$A$2:$A$83,0),MATCH($C59,'🔖 배합비 참조'!$B$1:$CE$1,0))/100,0),""))),"")</f>
        <v>0</v>
      </c>
      <c r="BF59" s="39" t="n">
        <f aca="false">IFERROR(IF($C59="","",IF($D59="","",IFERROR(ROUND($D59*INDEX('🔖 배합비 참조'!$B$2:$CE$83,MATCH("아몬드슬라이스",'🔖 배합비 참조'!$A$2:$A$83,0),MATCH($C59,'🔖 배합비 참조'!$B$1:$CE$1,0))/100,0),""))),"")</f>
        <v>0</v>
      </c>
      <c r="BG59" s="39" t="n">
        <f aca="false">IFERROR(IF($C59="","",IF($D59="","",IFERROR(ROUND($D59*INDEX('🔖 배합비 참조'!$B$2:$CE$83,MATCH("알룰로오스(국내산)",'🔖 배합비 참조'!$A$2:$A$83,0),MATCH($C59,'🔖 배합비 참조'!$B$1:$CE$1,0))/100,0),""))),"")</f>
        <v>0</v>
      </c>
      <c r="BH59" s="39" t="n">
        <f aca="false">IFERROR(IF($C59="","",IF($D59="","",IFERROR(ROUND($D59*INDEX('🔖 배합비 참조'!$B$2:$CE$83,MATCH("연유",'🔖 배합비 참조'!$A$2:$A$83,0),MATCH($C59,'🔖 배합비 참조'!$B$1:$CE$1,0))/100,0),""))),"")</f>
        <v>0</v>
      </c>
      <c r="BI59" s="39" t="n">
        <f aca="false">IFERROR(IF($C59="","",IF($D59="","",IFERROR(ROUND($D59*INDEX('🔖 배합비 참조'!$B$2:$CE$83,MATCH("옥수수전분",'🔖 배합비 참조'!$A$2:$A$83,0),MATCH($C59,'🔖 배합비 참조'!$B$1:$CE$1,0))/100,0),""))),"")</f>
        <v>0</v>
      </c>
      <c r="BJ59" s="39" t="n">
        <f aca="false">IFERROR(IF($C59="","",IF($D59="","",IFERROR(ROUND($D59*INDEX('🔖 배합비 참조'!$B$2:$CE$83,MATCH("완두배기",'🔖 배합비 참조'!$A$2:$A$83,0),MATCH($C59,'🔖 배합비 참조'!$B$1:$CE$1,0))/100,0),""))),"")</f>
        <v>0</v>
      </c>
      <c r="BK59" s="39" t="n">
        <f aca="false">IFERROR(IF($C59="","",IF($D59="","",IFERROR(ROUND($D59*INDEX('🔖 배합비 참조'!$B$2:$CE$83,MATCH("우유(국내산)",'🔖 배합비 참조'!$A$2:$A$83,0),MATCH($C59,'🔖 배합비 참조'!$B$1:$CE$1,0))/100,0),""))),"")</f>
        <v>0</v>
      </c>
      <c r="BL59" s="39" t="n">
        <f aca="false">IFERROR(IF($C59="","",IF($D59="","",IFERROR(ROUND($D59*INDEX('🔖 배합비 참조'!$B$2:$CE$83,MATCH("자색고구마가루(중국산)",'🔖 배합비 참조'!$A$2:$A$83,0),MATCH($C59,'🔖 배합비 참조'!$B$1:$CE$1,0))/100,0),""))),"")</f>
        <v>0</v>
      </c>
      <c r="BM59" s="39" t="n">
        <f aca="false">IFERROR(IF($C59="","",IF($D59="","",IFERROR(ROUND($D59*INDEX('🔖 배합비 참조'!$B$2:$CE$83,MATCH("자연치즈(체다치즈)",'🔖 배합비 참조'!$A$2:$A$83,0),MATCH($C59,'🔖 배합비 참조'!$B$1:$CE$1,0))/100,0),""))),"")</f>
        <v>0</v>
      </c>
      <c r="BN59" s="39" t="n">
        <f aca="false">IFERROR(IF($C59="","",IF($D59="","",IFERROR(ROUND($D59*INDEX('🔖 배합비 참조'!$B$2:$CE$83,MATCH("정제수",'🔖 배합비 참조'!$A$2:$A$83,0),MATCH($C59,'🔖 배합비 참조'!$B$1:$CE$1,0))/100,0),""))),"")</f>
        <v>7</v>
      </c>
      <c r="BO59" s="39" t="n">
        <f aca="false">IFERROR(IF($C59="","",IF($D59="","",IFERROR(ROUND($D59*INDEX('🔖 배합비 참조'!$B$2:$CE$83,MATCH("젤라틴",'🔖 배합비 참조'!$A$2:$A$83,0),MATCH($C59,'🔖 배합비 참조'!$B$1:$CE$1,0))/100,0),""))),"")</f>
        <v>0</v>
      </c>
      <c r="BP59" s="39" t="n">
        <f aca="false">IFERROR(IF($C59="","",IF($D59="","",IFERROR(ROUND($D59*INDEX('🔖 배합비 참조'!$B$2:$CE$83,MATCH("조림류(백옥앙금)",'🔖 배합비 참조'!$A$2:$A$83,0),MATCH($C59,'🔖 배합비 참조'!$B$1:$CE$1,0))/100,0),""))),"")</f>
        <v>0</v>
      </c>
      <c r="BQ59" s="39" t="n">
        <f aca="false">IFERROR(IF($C59="","",IF($D59="","",IFERROR(ROUND($D59*INDEX('🔖 배합비 참조'!$B$2:$CE$83,MATCH("조림류(통팥앙금)",'🔖 배합비 참조'!$A$2:$A$83,0),MATCH($C59,'🔖 배합비 참조'!$B$1:$CE$1,0))/100,0),""))),"")</f>
        <v>0</v>
      </c>
      <c r="BR59" s="39" t="n">
        <f aca="false">IFERROR(IF($C59="","",IF($D59="","",IFERROR(ROUND($D59*INDEX('🔖 배합비 참조'!$B$2:$CE$83,MATCH("준초콜릿(외국산)",'🔖 배합비 참조'!$A$2:$A$83,0),MATCH($C59,'🔖 배합비 참조'!$B$1:$CE$1,0))/100,0),""))),"")</f>
        <v>0</v>
      </c>
      <c r="BS59" s="39" t="n">
        <f aca="false">IFERROR(IF($C59="","",IF($D59="","",IFERROR(ROUND($D59*INDEX('🔖 배합비 참조'!$B$2:$CE$83,MATCH("중력분",'🔖 배합비 참조'!$A$2:$A$83,0),MATCH($C59,'🔖 배합비 참조'!$B$1:$CE$1,0))/100,0),""))),"")</f>
        <v>0</v>
      </c>
      <c r="BT59" s="39" t="n">
        <f aca="false">IFERROR(IF($C59="","",IF($D59="","",IFERROR(ROUND($D59*INDEX('🔖 배합비 참조'!$B$2:$CE$83,MATCH("참깨(인도산,나이지리아산,탄자니아산,미얀마산)",'🔖 배합비 참조'!$A$2:$A$83,0),MATCH($C59,'🔖 배합비 참조'!$B$1:$CE$1,0))/100,0),""))),"")</f>
        <v>0</v>
      </c>
      <c r="BU59" s="39" t="n">
        <f aca="false">IFERROR(IF($C59="","",IF($D59="","",IFERROR(ROUND($D59*INDEX('🔖 배합비 참조'!$B$2:$CE$83,MATCH("찹쌀(국내산)",'🔖 배합비 참조'!$A$2:$A$83,0),MATCH($C59,'🔖 배합비 참조'!$B$1:$CE$1,0))/100,0),""))),"")</f>
        <v>0</v>
      </c>
      <c r="BV59" s="39" t="n">
        <f aca="false">IFERROR(IF($C59="","",IF($D59="","",IFERROR(ROUND($D59*INDEX('🔖 배합비 참조'!$B$2:$CE$83,MATCH("천일염",'🔖 배합비 참조'!$A$2:$A$83,0),MATCH($C59,'🔖 배합비 참조'!$B$1:$CE$1,0))/100,0),""))),"")</f>
        <v>1</v>
      </c>
      <c r="BW59" s="39" t="n">
        <f aca="false">IFERROR(IF($C59="","",IF($D59="","",IFERROR(ROUND($D59*INDEX('🔖 배합비 참조'!$B$2:$CE$83,MATCH("치즈 [크림치즈]",'🔖 배합비 참조'!$A$2:$A$83,0),MATCH($C59,'🔖 배합비 참조'!$B$1:$CE$1,0))/100,0),""))),"")</f>
        <v>0</v>
      </c>
      <c r="BX59" s="39" t="n">
        <f aca="false">IFERROR(IF($C59="","",IF($D59="","",IFERROR(ROUND($D59*INDEX('🔖 배합비 참조'!$B$2:$CE$83,MATCH("코코아가공품류(코코아분말)",'🔖 배합비 참조'!$A$2:$A$83,0),MATCH($C59,'🔖 배합비 참조'!$B$1:$CE$1,0))/100,0),""))),"")</f>
        <v>0</v>
      </c>
      <c r="BY59" s="39" t="n">
        <f aca="false">IFERROR(IF($C59="","",IF($D59="","",IFERROR(ROUND($D59*INDEX('🔖 배합비 참조'!$B$2:$CE$83,MATCH("콩기름(대두유)",'🔖 배합비 참조'!$A$2:$A$83,0),MATCH($C59,'🔖 배합비 참조'!$B$1:$CE$1,0))/100,0),""))),"")</f>
        <v>0</v>
      </c>
      <c r="BZ59" s="39" t="n">
        <f aca="false">IFERROR(IF($C59="","",IF($D59="","",IFERROR(ROUND($D59*INDEX('🔖 배합비 참조'!$B$2:$CE$83,MATCH("해바라기씨앗",'🔖 배합비 참조'!$A$2:$A$83,0),MATCH($C59,'🔖 배합비 참조'!$B$1:$CE$1,0))/100,0),""))),"")</f>
        <v>0</v>
      </c>
      <c r="CA59" s="39" t="n">
        <f aca="false">IFERROR(IF($C59="","",IF($D59="","",IFERROR(ROUND($D59*INDEX('🔖 배합비 참조'!$B$2:$CE$83,MATCH("현미(국내산)",'🔖 배합비 참조'!$A$2:$A$83,0),MATCH($C59,'🔖 배합비 참조'!$B$1:$CE$1,0))/100,0),""))),"")</f>
        <v>0</v>
      </c>
      <c r="CB59" s="39" t="n">
        <f aca="false">IFERROR(IF($C59="","",IF($D59="","",IFERROR(ROUND($D59*INDEX('🔖 배합비 참조'!$B$2:$CE$83,MATCH("현미멥쌀(국내산)",'🔖 배합비 참조'!$A$2:$A$83,0),MATCH($C59,'🔖 배합비 참조'!$B$1:$CE$1,0))/100,0),""))),"")</f>
        <v>0</v>
      </c>
      <c r="CC59" s="39" t="n">
        <f aca="false">IFERROR(IF($C59="","",IF($D59="","",IFERROR(ROUND($D59*INDEX('🔖 배합비 참조'!$B$2:$CE$83,MATCH("호두분태(미국산)",'🔖 배합비 참조'!$A$2:$A$83,0),MATCH($C59,'🔖 배합비 참조'!$B$1:$CE$1,0))/100,0),""))),"")</f>
        <v>0</v>
      </c>
      <c r="CD59" s="39" t="n">
        <f aca="false">IFERROR(IF($C59="","",IF($D59="","",IFERROR(ROUND($D59*INDEX('🔖 배합비 참조'!$B$2:$CE$83,MATCH("호박씨앗(외국산)",'🔖 배합비 참조'!$A$2:$A$83,0),MATCH($C59,'🔖 배합비 참조'!$B$1:$CE$1,0))/100,0),""))),"")</f>
        <v>0</v>
      </c>
      <c r="CE59" s="39" t="n">
        <f aca="false">IFERROR(IF($C59="","",IF($D59="","",IFERROR(ROUND($D59*INDEX('🔖 배합비 참조'!$B$2:$CE$83,MATCH("혼합제제(떡용에스텔)",'🔖 배합비 참조'!$A$2:$A$83,0),MATCH($C59,'🔖 배합비 참조'!$B$1:$CE$1,0))/100,0),""))),"")</f>
        <v>0</v>
      </c>
      <c r="CF59" s="39" t="n">
        <f aca="false">IFERROR(IF($C59="","",IF($D59="","",IFERROR(ROUND($D59*INDEX('🔖 배합비 참조'!$B$2:$CE$83,MATCH("혼합제제(스테비아)",'🔖 배합비 참조'!$A$2:$A$83,0),MATCH($C59,'🔖 배합비 참조'!$B$1:$CE$1,0))/100,0),""))),"")</f>
        <v>0</v>
      </c>
      <c r="CG59" s="39" t="n">
        <f aca="false">IFERROR(IF($C59="","",IF($D59="","",IFERROR(ROUND($D59*INDEX('🔖 배합비 참조'!$B$2:$CE$83,MATCH("화이트초콜릿",'🔖 배합비 참조'!$A$2:$A$83,0),MATCH($C59,'🔖 배합비 참조'!$B$1:$CE$1,0))/100,0),""))),"")</f>
        <v>0</v>
      </c>
      <c r="CH59" s="39" t="n">
        <f aca="false">IFERROR(IF($C59="","",IF($D59="","",IFERROR(ROUND($D59*INDEX('🔖 배합비 참조'!$B$2:$CE$83,MATCH("흑미찹쌀(국내산)",'🔖 배합비 참조'!$A$2:$A$83,0),MATCH($C59,'🔖 배합비 참조'!$B$1:$CE$1,0))/100,0),""))),"")</f>
        <v>0</v>
      </c>
      <c r="CI59" s="39" t="n">
        <f aca="false">IFERROR(IF($C59="","",IF($D59="","",IFERROR(ROUND($D59*INDEX('🔖 배합비 참조'!$B$2:$CE$83,MATCH("찰옥수수전분(미국산)",'🔖 배합비 참조'!$A$2:$A$83,0),MATCH($C59,'🔖 배합비 참조'!$B$1:$CE$1,0))/100,0),""))),"")</f>
        <v>0</v>
      </c>
      <c r="CJ59" s="40"/>
      <c r="CL59" s="1" t="s">
        <v>238</v>
      </c>
    </row>
    <row r="60" customFormat="false" ht="18" hidden="false" customHeight="true" outlineLevel="0" collapsed="false">
      <c r="A60" s="41" t="n">
        <v>56</v>
      </c>
      <c r="B60" s="36" t="n">
        <v>45971</v>
      </c>
      <c r="C60" s="37" t="s">
        <v>143</v>
      </c>
      <c r="D60" s="38" t="n">
        <v>100</v>
      </c>
      <c r="E60" s="17"/>
      <c r="F60" s="17"/>
      <c r="G60" s="42" t="n">
        <f aca="false">IFERROR(IF($C60="","",IF($D60="","",IFERROR(ROUND($D60*INDEX('🔖 배합비 참조'!$B$2:$CE$83,MATCH("간장",'🔖 배합비 참조'!$A$2:$A$83,0),MATCH($C60,'🔖 배합비 참조'!$B$1:$CE$1,0))/100,0),""))),"")</f>
        <v>0</v>
      </c>
      <c r="H60" s="42" t="n">
        <f aca="false">IFERROR(IF($C60="","",IF($D60="","",IFERROR(ROUND($D60*INDEX('🔖 배합비 참조'!$B$2:$CE$83,MATCH("강낭콩((울타리콩))",'🔖 배합비 참조'!$A$2:$A$83,0),MATCH($C60,'🔖 배합비 참조'!$B$1:$CE$1,0))/100,0),""))),"")</f>
        <v>0</v>
      </c>
      <c r="I60" s="42" t="n">
        <f aca="false">IFERROR(IF($C60="","",IF($D60="","",IFERROR(ROUND($D60*INDEX('🔖 배합비 참조'!$B$2:$CE$83,MATCH("건조딸기다이스(외국산)",'🔖 배합비 참조'!$A$2:$A$83,0),MATCH($C60,'🔖 배합비 참조'!$B$1:$CE$1,0))/100,0),""))),"")</f>
        <v>0</v>
      </c>
      <c r="J60" s="42" t="n">
        <f aca="false">IFERROR(IF($C60="","",IF($D60="","",IFERROR(ROUND($D60*INDEX('🔖 배합비 참조'!$B$2:$CE$83,MATCH("건포도",'🔖 배합비 참조'!$A$2:$A$83,0),MATCH($C60,'🔖 배합비 참조'!$B$1:$CE$1,0))/100,0),""))),"")</f>
        <v>0</v>
      </c>
      <c r="K60" s="42" t="n">
        <f aca="false">IFERROR(IF($C60="","",IF($D60="","",IFERROR(ROUND($D60*INDEX('🔖 배합비 참조'!$B$2:$CE$83,MATCH("건호박채(중국산)",'🔖 배합비 참조'!$A$2:$A$83,0),MATCH($C60,'🔖 배합비 참조'!$B$1:$CE$1,0))/100,0),""))),"")</f>
        <v>0</v>
      </c>
      <c r="L60" s="42" t="n">
        <f aca="false">IFERROR(IF($C60="","",IF($D60="","",IFERROR(ROUND($D60*INDEX('🔖 배합비 참조'!$B$2:$CE$83,MATCH("검정깨(흑임자)",'🔖 배합비 참조'!$A$2:$A$83,0),MATCH($C60,'🔖 배합비 참조'!$B$1:$CE$1,0))/100,0),""))),"")</f>
        <v>0</v>
      </c>
      <c r="M60" s="42" t="n">
        <f aca="false">IFERROR(IF($C60="","",IF($D60="","",IFERROR(ROUND($D60*INDEX('🔖 배합비 참조'!$B$2:$CE$83,MATCH("검정콩",'🔖 배합비 참조'!$A$2:$A$83,0),MATCH($C60,'🔖 배합비 참조'!$B$1:$CE$1,0))/100,0),""))),"")</f>
        <v>0</v>
      </c>
      <c r="N60" s="42" t="n">
        <f aca="false">IFERROR(IF($C60="","",IF($D60="","",IFERROR(ROUND($D60*INDEX('🔖 배합비 참조'!$B$2:$CE$83,MATCH("계피가루",'🔖 배합비 참조'!$A$2:$A$83,0),MATCH($C60,'🔖 배합비 참조'!$B$1:$CE$1,0))/100,0),""))),"")</f>
        <v>0</v>
      </c>
      <c r="O60" s="42" t="n">
        <f aca="false">IFERROR(IF($C60="","",IF($D60="","",IFERROR(ROUND($D60*INDEX('🔖 배합비 참조'!$B$2:$CE$83,MATCH("고구마가루",'🔖 배합비 참조'!$A$2:$A$83,0),MATCH($C60,'🔖 배합비 참조'!$B$1:$CE$1,0))/100,0),""))),"")</f>
        <v>0</v>
      </c>
      <c r="P60" s="42" t="n">
        <f aca="false">IFERROR(IF($C60="","",IF($D60="","",IFERROR(ROUND($D60*INDEX('🔖 배합비 참조'!$B$2:$CE$83,MATCH("고구마무스",'🔖 배합비 참조'!$A$2:$A$83,0),MATCH($C60,'🔖 배합비 참조'!$B$1:$CE$1,0))/100,0),""))),"")</f>
        <v>0</v>
      </c>
      <c r="Q60" s="42" t="n">
        <f aca="false">IFERROR(IF($C60="","",IF($D60="","",IFERROR(ROUND($D60*INDEX('🔖 배합비 참조'!$B$2:$CE$83,MATCH("고려엉겅퀴((곤드레)국내산)",'🔖 배합비 참조'!$A$2:$A$83,0),MATCH($C60,'🔖 배합비 참조'!$B$1:$CE$1,0))/100,0),""))),"")</f>
        <v>0</v>
      </c>
      <c r="R60" s="42" t="n">
        <f aca="false">IFERROR(IF($C60="","",IF($D60="","",IFERROR(ROUND($D60*INDEX('🔖 배합비 참조'!$B$2:$CE$83,MATCH("기타가공품(복분자가루)",'🔖 배합비 참조'!$A$2:$A$83,0),MATCH($C60,'🔖 배합비 참조'!$B$1:$CE$1,0))/100,0),""))),"")</f>
        <v>0</v>
      </c>
      <c r="S60" s="42" t="n">
        <f aca="false">IFERROR(IF($C60="","",IF($D60="","",IFERROR(ROUND($D60*INDEX('🔖 배합비 참조'!$B$2:$CE$83,MATCH("기타가공품(슈퍼소프트엠)",'🔖 배합비 참조'!$A$2:$A$83,0),MATCH($C60,'🔖 배합비 참조'!$B$1:$CE$1,0))/100,0),""))),"")</f>
        <v>0</v>
      </c>
      <c r="T60" s="42" t="n">
        <f aca="false">IFERROR(IF($C60="","",IF($D60="","",IFERROR(ROUND($D60*INDEX('🔖 배합비 참조'!$B$2:$CE$83,MATCH("기타가공품(파인소프트 E-티)",'🔖 배합비 참조'!$A$2:$A$83,0),MATCH($C60,'🔖 배합비 참조'!$B$1:$CE$1,0))/100,0),""))),"")</f>
        <v>0</v>
      </c>
      <c r="U60" s="42" t="n">
        <f aca="false">IFERROR(IF($C60="","",IF($D60="","",IFERROR(ROUND($D60*INDEX('🔖 배합비 참조'!$B$2:$CE$83,MATCH("기타가공품(프리미엄카스테라가루)",'🔖 배합비 참조'!$A$2:$A$83,0),MATCH($C60,'🔖 배합비 참조'!$B$1:$CE$1,0))/100,0),""))),"")</f>
        <v>0</v>
      </c>
      <c r="V60" s="42" t="n">
        <f aca="false">IFERROR(IF($C60="","",IF($D60="","",IFERROR(ROUND($D60*INDEX('🔖 배합비 참조'!$B$2:$CE$83,MATCH("기타가공품(흑임자가루)",'🔖 배합비 참조'!$A$2:$A$83,0),MATCH($C60,'🔖 배합비 참조'!$B$1:$CE$1,0))/100,0),""))),"")</f>
        <v>0</v>
      </c>
      <c r="W60" s="42" t="n">
        <f aca="false">IFERROR(IF($C60="","",IF($D60="","",IFERROR(ROUND($D60*INDEX('🔖 배합비 참조'!$B$2:$CE$83,MATCH("기타설탕(흑설탕)",'🔖 배합비 참조'!$A$2:$A$83,0),MATCH($C60,'🔖 배합비 참조'!$B$1:$CE$1,0))/100,0),""))),"")</f>
        <v>8</v>
      </c>
      <c r="X60" s="42" t="n">
        <f aca="false">IFERROR(IF($C60="","",IF($D60="","",IFERROR(ROUND($D60*INDEX('🔖 배합비 참조'!$B$2:$CE$83,MATCH("냉동쑥(국내산)",'🔖 배합비 참조'!$A$2:$A$83,0),MATCH($C60,'🔖 배합비 참조'!$B$1:$CE$1,0))/100,0),""))),"")</f>
        <v>0</v>
      </c>
      <c r="Y60" s="42" t="n">
        <f aca="false">IFERROR(IF($C60="","",IF($D60="","",IFERROR(ROUND($D60*INDEX('🔖 배합비 참조'!$B$2:$CE$83,MATCH("냉동증숙고구마(중국산)",'🔖 배합비 참조'!$A$2:$A$83,0),MATCH($C60,'🔖 배합비 참조'!$B$1:$CE$1,0))/100,0),""))),"")</f>
        <v>0</v>
      </c>
      <c r="Z60" s="42" t="n">
        <f aca="false">IFERROR(IF($C60="","",IF($D60="","",IFERROR(ROUND($D60*INDEX('🔖 배합비 참조'!$B$2:$CE$83,MATCH("녹차가루",'🔖 배합비 참조'!$A$2:$A$83,0),MATCH($C60,'🔖 배합비 참조'!$B$1:$CE$1,0))/100,0),""))),"")</f>
        <v>0</v>
      </c>
      <c r="AA60" s="42" t="n">
        <f aca="false">IFERROR(IF($C60="","",IF($D60="","",IFERROR(ROUND($D60*INDEX('🔖 배합비 참조'!$B$2:$CE$83,MATCH("다크초콜릿 컴파운드칩",'🔖 배합비 참조'!$A$2:$A$83,0),MATCH($C60,'🔖 배합비 참조'!$B$1:$CE$1,0))/100,0),""))),"")</f>
        <v>0</v>
      </c>
      <c r="AB60" s="42" t="n">
        <f aca="false">IFERROR(IF($C60="","",IF($D60="","",IFERROR(ROUND($D60*INDEX('🔖 배합비 참조'!$B$2:$CE$83,MATCH("단호박분말(중국산)",'🔖 배합비 참조'!$A$2:$A$83,0),MATCH($C60,'🔖 배합비 참조'!$B$1:$CE$1,0))/100,0),""))),"")</f>
        <v>0</v>
      </c>
      <c r="AC60" s="42" t="n">
        <f aca="false">IFERROR(IF($C60="","",IF($D60="","",IFERROR(ROUND($D60*INDEX('🔖 배합비 참조'!$B$2:$CE$83,MATCH("당류가공품(단호박농축액)",'🔖 배합비 참조'!$A$2:$A$83,0),MATCH($C60,'🔖 배합비 참조'!$B$1:$CE$1,0))/100,0),""))),"")</f>
        <v>0</v>
      </c>
      <c r="AD60" s="42" t="n">
        <f aca="false">IFERROR(IF($C60="","",IF($D60="","",IFERROR(ROUND($D60*INDEX('🔖 배합비 참조'!$B$2:$CE$83,MATCH("당류가공품(알룰로스,에리스리톨,스테비올배당체혼합)",'🔖 배합비 참조'!$A$2:$A$83,0),MATCH($C60,'🔖 배합비 참조'!$B$1:$CE$1,0))/100,0),""))),"")</f>
        <v>0</v>
      </c>
      <c r="AE60" s="42" t="n">
        <f aca="false">IFERROR(IF($C60="","",IF($D60="","",IFERROR(ROUND($D60*INDEX('🔖 배합비 참조'!$B$2:$CE$83,MATCH("당류가공품(알룰로스제로파우더)",'🔖 배합비 참조'!$A$2:$A$83,0),MATCH($C60,'🔖 배합비 참조'!$B$1:$CE$1,0))/100,0),""))),"")</f>
        <v>0</v>
      </c>
      <c r="AF60" s="42" t="n">
        <f aca="false">IFERROR(IF($C60="","",IF($D60="","",IFERROR(ROUND($D60*INDEX('🔖 배합비 참조'!$B$2:$CE$83,MATCH("당절임(완두배기)",'🔖 배합비 참조'!$A$2:$A$83,0),MATCH($C60,'🔖 배합비 참조'!$B$1:$CE$1,0))/100,0),""))),"")</f>
        <v>0</v>
      </c>
      <c r="AG60" s="42" t="n">
        <f aca="false">IFERROR(IF($C60="","",IF($D60="","",IFERROR(ROUND($D60*INDEX('🔖 배합비 참조'!$B$2:$CE$83,MATCH("대추농축액",'🔖 배합비 참조'!$A$2:$A$83,0),MATCH($C60,'🔖 배합비 참조'!$B$1:$CE$1,0))/100,0),""))),"")</f>
        <v>0</v>
      </c>
      <c r="AH60" s="42" t="n">
        <f aca="false">IFERROR(IF($C60="","",IF($D60="","",IFERROR(ROUND($D60*INDEX('🔖 배합비 참조'!$B$2:$CE$83,MATCH("대추채(국내산)",'🔖 배합비 참조'!$A$2:$A$83,0),MATCH($C60,'🔖 배합비 참조'!$B$1:$CE$1,0))/100,0),""))),"")</f>
        <v>0</v>
      </c>
      <c r="AI60" s="42" t="n">
        <f aca="false">IFERROR(IF($C60="","",IF($D60="","",IFERROR(ROUND($D60*INDEX('🔖 배합비 참조'!$B$2:$CE$83,MATCH("동부(미얀마산)",'🔖 배합비 참조'!$A$2:$A$83,0),MATCH($C60,'🔖 배합비 참조'!$B$1:$CE$1,0))/100,0),""))),"")</f>
        <v>0</v>
      </c>
      <c r="AJ60" s="42" t="n">
        <f aca="false">IFERROR(IF($C60="","",IF($D60="","",IFERROR(ROUND($D60*INDEX('🔖 배합비 참조'!$B$2:$CE$83,MATCH("두류가공품(백옥앙금)",'🔖 배합비 참조'!$A$2:$A$83,0),MATCH($C60,'🔖 배합비 참조'!$B$1:$CE$1,0))/100,0),""))),"")</f>
        <v>0</v>
      </c>
      <c r="AK60" s="42" t="n">
        <f aca="false">IFERROR(IF($C60="","",IF($D60="","",IFERROR(ROUND($D60*INDEX('🔖 배합비 참조'!$B$2:$CE$83,MATCH("두류가공품(콩고물)",'🔖 배합비 참조'!$A$2:$A$83,0),MATCH($C60,'🔖 배합비 참조'!$B$1:$CE$1,0))/100,0),""))),"")</f>
        <v>0</v>
      </c>
      <c r="AL60" s="42" t="n">
        <f aca="false">IFERROR(IF($C60="","",IF($D60="","",IFERROR(ROUND($D60*INDEX('🔖 배합비 참조'!$B$2:$CE$83,MATCH("두류가공품(통팥고물)",'🔖 배합비 참조'!$A$2:$A$83,0),MATCH($C60,'🔖 배합비 참조'!$B$1:$CE$1,0))/100,0),""))),"")</f>
        <v>0</v>
      </c>
      <c r="AM60" s="42" t="n">
        <f aca="false">IFERROR(IF($C60="","",IF($D60="","",IFERROR(ROUND($D60*INDEX('🔖 배합비 참조'!$B$2:$CE$83,MATCH("딸기레진",'🔖 배합비 참조'!$A$2:$A$83,0),MATCH($C60,'🔖 배합비 참조'!$B$1:$CE$1,0))/100,0),""))),"")</f>
        <v>0</v>
      </c>
      <c r="AN60" s="42" t="n">
        <f aca="false">IFERROR(IF($C60="","",IF($D60="","",IFERROR(ROUND($D60*INDEX('🔖 배합비 참조'!$B$2:$CE$83,MATCH("딸기분말(스트로우베리에이드(분말))",'🔖 배합비 참조'!$A$2:$A$83,0),MATCH($C60,'🔖 배합비 참조'!$B$1:$CE$1,0))/100,0),""))),"")</f>
        <v>0</v>
      </c>
      <c r="AO60" s="42" t="n">
        <f aca="false">IFERROR(IF($C60="","",IF($D60="","",IFERROR(ROUND($D60*INDEX('🔖 배합비 참조'!$B$2:$CE$83,MATCH("마스카포네치즈",'🔖 배합비 참조'!$A$2:$A$83,0),MATCH($C60,'🔖 배합비 참조'!$B$1:$CE$1,0))/100,0),""))),"")</f>
        <v>0</v>
      </c>
      <c r="AP60" s="42" t="n">
        <f aca="false">IFERROR(IF($C60="","",IF($D60="","",IFERROR(ROUND($D60*INDEX('🔖 배합비 참조'!$B$2:$CE$83,MATCH("마카다미아분태(호주산)",'🔖 배합비 참조'!$A$2:$A$83,0),MATCH($C60,'🔖 배합비 참조'!$B$1:$CE$1,0))/100,0),""))),"")</f>
        <v>0</v>
      </c>
      <c r="AQ60" s="42" t="n">
        <f aca="false">IFERROR(IF($C60="","",IF($D60="","",IFERROR(ROUND($D60*INDEX('🔖 배합비 참조'!$B$2:$CE$83,MATCH("멥쌀(국내산)",'🔖 배합비 참조'!$A$2:$A$83,0),MATCH($C60,'🔖 배합비 참조'!$B$1:$CE$1,0))/100,0),""))),"")</f>
        <v>67</v>
      </c>
      <c r="AR60" s="42" t="n">
        <f aca="false">IFERROR(IF($C60="","",IF($D60="","",IFERROR(ROUND($D60*INDEX('🔖 배합비 참조'!$B$2:$CE$83,MATCH("모시잎(국내산)",'🔖 배합비 참조'!$A$2:$A$83,0),MATCH($C60,'🔖 배합비 참조'!$B$1:$CE$1,0))/100,0),""))),"")</f>
        <v>0</v>
      </c>
      <c r="AS60" s="42" t="n">
        <f aca="false">IFERROR(IF($C60="","",IF($D60="","",IFERROR(ROUND($D60*INDEX('🔖 배합비 참조'!$B$2:$CE$83,MATCH("물엿(저당물엿)",'🔖 배합비 참조'!$A$2:$A$83,0),MATCH($C60,'🔖 배합비 참조'!$B$1:$CE$1,0))/100,0),""))),"")</f>
        <v>0</v>
      </c>
      <c r="AT60" s="42" t="n">
        <f aca="false">IFERROR(IF($C60="","",IF($D60="","",IFERROR(ROUND($D60*INDEX('🔖 배합비 참조'!$B$2:$CE$83,MATCH("밤다이스",'🔖 배합비 참조'!$A$2:$A$83,0),MATCH($C60,'🔖 배합비 참조'!$B$1:$CE$1,0))/100,0),""))),"")</f>
        <v>0</v>
      </c>
      <c r="AU60" s="42" t="n">
        <f aca="false">IFERROR(IF($C60="","",IF($D60="","",IFERROR(ROUND($D60*INDEX('🔖 배합비 참조'!$B$2:$CE$83,MATCH("변성전분(타피오카전분)",'🔖 배합비 참조'!$A$2:$A$83,0),MATCH($C60,'🔖 배합비 참조'!$B$1:$CE$1,0))/100,0),""))),"")</f>
        <v>0</v>
      </c>
      <c r="AV60" s="42" t="n">
        <f aca="false">IFERROR(IF($C60="","",IF($D60="","",IFERROR(ROUND($D60*INDEX('🔖 배합비 참조'!$B$2:$CE$83,MATCH("복음땅콩분태",'🔖 배합비 참조'!$A$2:$A$83,0),MATCH($C60,'🔖 배합비 참조'!$B$1:$CE$1,0))/100,0),""))),"")</f>
        <v>0</v>
      </c>
      <c r="AW60" s="42" t="n">
        <f aca="false">IFERROR(IF($C60="","",IF($D60="","",IFERROR(ROUND($D60*INDEX('🔖 배합비 참조'!$B$2:$CE$83,MATCH("사양벌꿀(국내산)",'🔖 배합비 참조'!$A$2:$A$83,0),MATCH($C60,'🔖 배합비 참조'!$B$1:$CE$1,0))/100,0),""))),"")</f>
        <v>2</v>
      </c>
      <c r="AX60" s="42" t="n">
        <f aca="false">IFERROR(IF($C60="","",IF($D60="","",IFERROR(ROUND($D60*INDEX('🔖 배합비 참조'!$B$2:$CE$83,MATCH("생크림",'🔖 배합비 참조'!$A$2:$A$83,0),MATCH($C60,'🔖 배합비 참조'!$B$1:$CE$1,0))/100,0),""))),"")</f>
        <v>0</v>
      </c>
      <c r="AY60" s="42" t="n">
        <f aca="false">IFERROR(IF($C60="","",IF($D60="","",IFERROR(ROUND($D60*INDEX('🔖 배합비 참조'!$B$2:$CE$83,MATCH("서양호박(국내산,뉴질랜드산)",'🔖 배합비 참조'!$A$2:$A$83,0),MATCH($C60,'🔖 배합비 참조'!$B$1:$CE$1,0))/100,0),""))),"")</f>
        <v>0</v>
      </c>
      <c r="AZ60" s="42" t="n">
        <f aca="false">IFERROR(IF($C60="","",IF($D60="","",IFERROR(ROUND($D60*INDEX('🔖 배합비 참조'!$B$2:$CE$83,MATCH("설탕",'🔖 배합비 참조'!$A$2:$A$83,0),MATCH($C60,'🔖 배합비 참조'!$B$1:$CE$1,0))/100,0),""))),"")</f>
        <v>8</v>
      </c>
      <c r="BA60" s="42" t="n">
        <f aca="false">IFERROR(IF($C60="","",IF($D60="","",IFERROR(ROUND($D60*INDEX('🔖 배합비 참조'!$B$2:$CE$83,MATCH("스트로우베리 에이드 후레쉬",'🔖 배합비 참조'!$A$2:$A$83,0),MATCH($C60,'🔖 배합비 참조'!$B$1:$CE$1,0))/100,0),""))),"")</f>
        <v>0</v>
      </c>
      <c r="BB60" s="42" t="n">
        <f aca="false">IFERROR(IF($C60="","",IF($D60="","",IFERROR(ROUND($D60*INDEX('🔖 배합비 참조'!$B$2:$CE$83,MATCH("식물성기름혼합제제(분홍)",'🔖 배합비 참조'!$A$2:$A$83,0),MATCH($C60,'🔖 배합비 참조'!$B$1:$CE$1,0))/100,0),""))),"")</f>
        <v>0</v>
      </c>
      <c r="BC60" s="42" t="n">
        <f aca="false">IFERROR(IF($C60="","",IF($D60="","",IFERROR(ROUND($D60*INDEX('🔖 배합비 참조'!$B$2:$CE$83,MATCH("식물성기름혼합제제(초록)",'🔖 배합비 참조'!$A$2:$A$83,0),MATCH($C60,'🔖 배합비 참조'!$B$1:$CE$1,0))/100,0),""))),"")</f>
        <v>0</v>
      </c>
      <c r="BD60" s="42" t="n">
        <f aca="false">IFERROR(IF($C60="","",IF($D60="","",IFERROR(ROUND($D60*INDEX('🔖 배합비 참조'!$B$2:$CE$83,MATCH("식물성기름혼합제제(황색)",'🔖 배합비 참조'!$A$2:$A$83,0),MATCH($C60,'🔖 배합비 참조'!$B$1:$CE$1,0))/100,0),""))),"")</f>
        <v>0</v>
      </c>
      <c r="BE60" s="42" t="n">
        <f aca="false">IFERROR(IF($C60="","",IF($D60="","",IFERROR(ROUND($D60*INDEX('🔖 배합비 참조'!$B$2:$CE$83,MATCH("쑥가루(국내산)",'🔖 배합비 참조'!$A$2:$A$83,0),MATCH($C60,'🔖 배합비 참조'!$B$1:$CE$1,0))/100,0),""))),"")</f>
        <v>0</v>
      </c>
      <c r="BF60" s="42" t="n">
        <f aca="false">IFERROR(IF($C60="","",IF($D60="","",IFERROR(ROUND($D60*INDEX('🔖 배합비 참조'!$B$2:$CE$83,MATCH("아몬드슬라이스",'🔖 배합비 참조'!$A$2:$A$83,0),MATCH($C60,'🔖 배합비 참조'!$B$1:$CE$1,0))/100,0),""))),"")</f>
        <v>0</v>
      </c>
      <c r="BG60" s="42" t="n">
        <f aca="false">IFERROR(IF($C60="","",IF($D60="","",IFERROR(ROUND($D60*INDEX('🔖 배합비 참조'!$B$2:$CE$83,MATCH("알룰로오스(국내산)",'🔖 배합비 참조'!$A$2:$A$83,0),MATCH($C60,'🔖 배합비 참조'!$B$1:$CE$1,0))/100,0),""))),"")</f>
        <v>0</v>
      </c>
      <c r="BH60" s="42" t="n">
        <f aca="false">IFERROR(IF($C60="","",IF($D60="","",IFERROR(ROUND($D60*INDEX('🔖 배합비 참조'!$B$2:$CE$83,MATCH("연유",'🔖 배합비 참조'!$A$2:$A$83,0),MATCH($C60,'🔖 배합비 참조'!$B$1:$CE$1,0))/100,0),""))),"")</f>
        <v>0</v>
      </c>
      <c r="BI60" s="42" t="n">
        <f aca="false">IFERROR(IF($C60="","",IF($D60="","",IFERROR(ROUND($D60*INDEX('🔖 배합비 참조'!$B$2:$CE$83,MATCH("옥수수전분",'🔖 배합비 참조'!$A$2:$A$83,0),MATCH($C60,'🔖 배합비 참조'!$B$1:$CE$1,0))/100,0),""))),"")</f>
        <v>0</v>
      </c>
      <c r="BJ60" s="42" t="n">
        <f aca="false">IFERROR(IF($C60="","",IF($D60="","",IFERROR(ROUND($D60*INDEX('🔖 배합비 참조'!$B$2:$CE$83,MATCH("완두배기",'🔖 배합비 참조'!$A$2:$A$83,0),MATCH($C60,'🔖 배합비 참조'!$B$1:$CE$1,0))/100,0),""))),"")</f>
        <v>0</v>
      </c>
      <c r="BK60" s="42" t="n">
        <f aca="false">IFERROR(IF($C60="","",IF($D60="","",IFERROR(ROUND($D60*INDEX('🔖 배합비 참조'!$B$2:$CE$83,MATCH("우유(국내산)",'🔖 배합비 참조'!$A$2:$A$83,0),MATCH($C60,'🔖 배합비 참조'!$B$1:$CE$1,0))/100,0),""))),"")</f>
        <v>0</v>
      </c>
      <c r="BL60" s="42" t="n">
        <f aca="false">IFERROR(IF($C60="","",IF($D60="","",IFERROR(ROUND($D60*INDEX('🔖 배합비 참조'!$B$2:$CE$83,MATCH("자색고구마가루(중국산)",'🔖 배합비 참조'!$A$2:$A$83,0),MATCH($C60,'🔖 배합비 참조'!$B$1:$CE$1,0))/100,0),""))),"")</f>
        <v>0</v>
      </c>
      <c r="BM60" s="42" t="n">
        <f aca="false">IFERROR(IF($C60="","",IF($D60="","",IFERROR(ROUND($D60*INDEX('🔖 배합비 참조'!$B$2:$CE$83,MATCH("자연치즈(체다치즈)",'🔖 배합비 참조'!$A$2:$A$83,0),MATCH($C60,'🔖 배합비 참조'!$B$1:$CE$1,0))/100,0),""))),"")</f>
        <v>0</v>
      </c>
      <c r="BN60" s="42" t="n">
        <f aca="false">IFERROR(IF($C60="","",IF($D60="","",IFERROR(ROUND($D60*INDEX('🔖 배합비 참조'!$B$2:$CE$83,MATCH("정제수",'🔖 배합비 참조'!$A$2:$A$83,0),MATCH($C60,'🔖 배합비 참조'!$B$1:$CE$1,0))/100,0),""))),"")</f>
        <v>13</v>
      </c>
      <c r="BO60" s="42" t="n">
        <f aca="false">IFERROR(IF($C60="","",IF($D60="","",IFERROR(ROUND($D60*INDEX('🔖 배합비 참조'!$B$2:$CE$83,MATCH("젤라틴",'🔖 배합비 참조'!$A$2:$A$83,0),MATCH($C60,'🔖 배합비 참조'!$B$1:$CE$1,0))/100,0),""))),"")</f>
        <v>0</v>
      </c>
      <c r="BP60" s="42" t="n">
        <f aca="false">IFERROR(IF($C60="","",IF($D60="","",IFERROR(ROUND($D60*INDEX('🔖 배합비 참조'!$B$2:$CE$83,MATCH("조림류(백옥앙금)",'🔖 배합비 참조'!$A$2:$A$83,0),MATCH($C60,'🔖 배합비 참조'!$B$1:$CE$1,0))/100,0),""))),"")</f>
        <v>0</v>
      </c>
      <c r="BQ60" s="42" t="n">
        <f aca="false">IFERROR(IF($C60="","",IF($D60="","",IFERROR(ROUND($D60*INDEX('🔖 배합비 참조'!$B$2:$CE$83,MATCH("조림류(통팥앙금)",'🔖 배합비 참조'!$A$2:$A$83,0),MATCH($C60,'🔖 배합비 참조'!$B$1:$CE$1,0))/100,0),""))),"")</f>
        <v>0</v>
      </c>
      <c r="BR60" s="42" t="n">
        <f aca="false">IFERROR(IF($C60="","",IF($D60="","",IFERROR(ROUND($D60*INDEX('🔖 배합비 참조'!$B$2:$CE$83,MATCH("준초콜릿(외국산)",'🔖 배합비 참조'!$A$2:$A$83,0),MATCH($C60,'🔖 배합비 참조'!$B$1:$CE$1,0))/100,0),""))),"")</f>
        <v>0</v>
      </c>
      <c r="BS60" s="42" t="n">
        <f aca="false">IFERROR(IF($C60="","",IF($D60="","",IFERROR(ROUND($D60*INDEX('🔖 배합비 참조'!$B$2:$CE$83,MATCH("중력분",'🔖 배합비 참조'!$A$2:$A$83,0),MATCH($C60,'🔖 배합비 참조'!$B$1:$CE$1,0))/100,0),""))),"")</f>
        <v>0</v>
      </c>
      <c r="BT60" s="42" t="n">
        <f aca="false">IFERROR(IF($C60="","",IF($D60="","",IFERROR(ROUND($D60*INDEX('🔖 배합비 참조'!$B$2:$CE$83,MATCH("참깨(인도산,나이지리아산,탄자니아산,미얀마산)",'🔖 배합비 참조'!$A$2:$A$83,0),MATCH($C60,'🔖 배합비 참조'!$B$1:$CE$1,0))/100,0),""))),"")</f>
        <v>0</v>
      </c>
      <c r="BU60" s="42" t="n">
        <f aca="false">IFERROR(IF($C60="","",IF($D60="","",IFERROR(ROUND($D60*INDEX('🔖 배합비 참조'!$B$2:$CE$83,MATCH("찹쌀(국내산)",'🔖 배합비 참조'!$A$2:$A$83,0),MATCH($C60,'🔖 배합비 참조'!$B$1:$CE$1,0))/100,0),""))),"")</f>
        <v>0</v>
      </c>
      <c r="BV60" s="42" t="n">
        <f aca="false">IFERROR(IF($C60="","",IF($D60="","",IFERROR(ROUND($D60*INDEX('🔖 배합비 참조'!$B$2:$CE$83,MATCH("천일염",'🔖 배합비 참조'!$A$2:$A$83,0),MATCH($C60,'🔖 배합비 참조'!$B$1:$CE$1,0))/100,0),""))),"")</f>
        <v>1</v>
      </c>
      <c r="BW60" s="42" t="n">
        <f aca="false">IFERROR(IF($C60="","",IF($D60="","",IFERROR(ROUND($D60*INDEX('🔖 배합비 참조'!$B$2:$CE$83,MATCH("치즈 [크림치즈]",'🔖 배합비 참조'!$A$2:$A$83,0),MATCH($C60,'🔖 배합비 참조'!$B$1:$CE$1,0))/100,0),""))),"")</f>
        <v>0</v>
      </c>
      <c r="BX60" s="42" t="n">
        <f aca="false">IFERROR(IF($C60="","",IF($D60="","",IFERROR(ROUND($D60*INDEX('🔖 배합비 참조'!$B$2:$CE$83,MATCH("코코아가공품류(코코아분말)",'🔖 배합비 참조'!$A$2:$A$83,0),MATCH($C60,'🔖 배합비 참조'!$B$1:$CE$1,0))/100,0),""))),"")</f>
        <v>0</v>
      </c>
      <c r="BY60" s="42" t="n">
        <f aca="false">IFERROR(IF($C60="","",IF($D60="","",IFERROR(ROUND($D60*INDEX('🔖 배합비 참조'!$B$2:$CE$83,MATCH("콩기름(대두유)",'🔖 배합비 참조'!$A$2:$A$83,0),MATCH($C60,'🔖 배합비 참조'!$B$1:$CE$1,0))/100,0),""))),"")</f>
        <v>0</v>
      </c>
      <c r="BZ60" s="42" t="n">
        <f aca="false">IFERROR(IF($C60="","",IF($D60="","",IFERROR(ROUND($D60*INDEX('🔖 배합비 참조'!$B$2:$CE$83,MATCH("해바라기씨앗",'🔖 배합비 참조'!$A$2:$A$83,0),MATCH($C60,'🔖 배합비 참조'!$B$1:$CE$1,0))/100,0),""))),"")</f>
        <v>0</v>
      </c>
      <c r="CA60" s="42" t="n">
        <f aca="false">IFERROR(IF($C60="","",IF($D60="","",IFERROR(ROUND($D60*INDEX('🔖 배합비 참조'!$B$2:$CE$83,MATCH("현미(국내산)",'🔖 배합비 참조'!$A$2:$A$83,0),MATCH($C60,'🔖 배합비 참조'!$B$1:$CE$1,0))/100,0),""))),"")</f>
        <v>0</v>
      </c>
      <c r="CB60" s="42" t="n">
        <f aca="false">IFERROR(IF($C60="","",IF($D60="","",IFERROR(ROUND($D60*INDEX('🔖 배합비 참조'!$B$2:$CE$83,MATCH("현미멥쌀(국내산)",'🔖 배합비 참조'!$A$2:$A$83,0),MATCH($C60,'🔖 배합비 참조'!$B$1:$CE$1,0))/100,0),""))),"")</f>
        <v>0</v>
      </c>
      <c r="CC60" s="42" t="n">
        <f aca="false">IFERROR(IF($C60="","",IF($D60="","",IFERROR(ROUND($D60*INDEX('🔖 배합비 참조'!$B$2:$CE$83,MATCH("호두분태(미국산)",'🔖 배합비 참조'!$A$2:$A$83,0),MATCH($C60,'🔖 배합비 참조'!$B$1:$CE$1,0))/100,0),""))),"")</f>
        <v>0</v>
      </c>
      <c r="CD60" s="42" t="n">
        <f aca="false">IFERROR(IF($C60="","",IF($D60="","",IFERROR(ROUND($D60*INDEX('🔖 배합비 참조'!$B$2:$CE$83,MATCH("호박씨앗(외국산)",'🔖 배합비 참조'!$A$2:$A$83,0),MATCH($C60,'🔖 배합비 참조'!$B$1:$CE$1,0))/100,0),""))),"")</f>
        <v>0</v>
      </c>
      <c r="CE60" s="42" t="n">
        <f aca="false">IFERROR(IF($C60="","",IF($D60="","",IFERROR(ROUND($D60*INDEX('🔖 배합비 참조'!$B$2:$CE$83,MATCH("혼합제제(떡용에스텔)",'🔖 배합비 참조'!$A$2:$A$83,0),MATCH($C60,'🔖 배합비 참조'!$B$1:$CE$1,0))/100,0),""))),"")</f>
        <v>0</v>
      </c>
      <c r="CF60" s="42" t="n">
        <f aca="false">IFERROR(IF($C60="","",IF($D60="","",IFERROR(ROUND($D60*INDEX('🔖 배합비 참조'!$B$2:$CE$83,MATCH("혼합제제(스테비아)",'🔖 배합비 참조'!$A$2:$A$83,0),MATCH($C60,'🔖 배합비 참조'!$B$1:$CE$1,0))/100,0),""))),"")</f>
        <v>0</v>
      </c>
      <c r="CG60" s="42" t="n">
        <f aca="false">IFERROR(IF($C60="","",IF($D60="","",IFERROR(ROUND($D60*INDEX('🔖 배합비 참조'!$B$2:$CE$83,MATCH("화이트초콜릿",'🔖 배합비 참조'!$A$2:$A$83,0),MATCH($C60,'🔖 배합비 참조'!$B$1:$CE$1,0))/100,0),""))),"")</f>
        <v>0</v>
      </c>
      <c r="CH60" s="42" t="n">
        <f aca="false">IFERROR(IF($C60="","",IF($D60="","",IFERROR(ROUND($D60*INDEX('🔖 배합비 참조'!$B$2:$CE$83,MATCH("흑미찹쌀(국내산)",'🔖 배합비 참조'!$A$2:$A$83,0),MATCH($C60,'🔖 배합비 참조'!$B$1:$CE$1,0))/100,0),""))),"")</f>
        <v>0</v>
      </c>
      <c r="CI60" s="42" t="n">
        <f aca="false">IFERROR(IF($C60="","",IF($D60="","",IFERROR(ROUND($D60*INDEX('🔖 배합비 참조'!$B$2:$CE$83,MATCH("찰옥수수전분(미국산)",'🔖 배합비 참조'!$A$2:$A$83,0),MATCH($C60,'🔖 배합비 참조'!$B$1:$CE$1,0))/100,0),""))),"")</f>
        <v>0</v>
      </c>
      <c r="CJ60" s="40"/>
      <c r="CL60" s="1" t="s">
        <v>238</v>
      </c>
    </row>
    <row r="61" customFormat="false" ht="18" hidden="false" customHeight="true" outlineLevel="0" collapsed="false">
      <c r="A61" s="35" t="n">
        <v>57</v>
      </c>
      <c r="B61" s="36" t="n">
        <v>45971</v>
      </c>
      <c r="C61" s="37" t="s">
        <v>156</v>
      </c>
      <c r="D61" s="38" t="n">
        <v>70</v>
      </c>
      <c r="E61" s="13"/>
      <c r="F61" s="13"/>
      <c r="G61" s="39" t="n">
        <f aca="false">IFERROR(IF($C61="","",IF($D61="","",IFERROR(ROUND($D61*INDEX('🔖 배합비 참조'!$B$2:$CE$83,MATCH("간장",'🔖 배합비 참조'!$A$2:$A$83,0),MATCH($C61,'🔖 배합비 참조'!$B$1:$CE$1,0))/100,0),""))),"")</f>
        <v>0</v>
      </c>
      <c r="H61" s="39" t="n">
        <f aca="false">IFERROR(IF($C61="","",IF($D61="","",IFERROR(ROUND($D61*INDEX('🔖 배합비 참조'!$B$2:$CE$83,MATCH("강낭콩((울타리콩))",'🔖 배합비 참조'!$A$2:$A$83,0),MATCH($C61,'🔖 배합비 참조'!$B$1:$CE$1,0))/100,0),""))),"")</f>
        <v>0</v>
      </c>
      <c r="I61" s="39" t="n">
        <f aca="false">IFERROR(IF($C61="","",IF($D61="","",IFERROR(ROUND($D61*INDEX('🔖 배합비 참조'!$B$2:$CE$83,MATCH("건조딸기다이스(외국산)",'🔖 배합비 참조'!$A$2:$A$83,0),MATCH($C61,'🔖 배합비 참조'!$B$1:$CE$1,0))/100,0),""))),"")</f>
        <v>0</v>
      </c>
      <c r="J61" s="39" t="n">
        <f aca="false">IFERROR(IF($C61="","",IF($D61="","",IFERROR(ROUND($D61*INDEX('🔖 배합비 참조'!$B$2:$CE$83,MATCH("건포도",'🔖 배합비 참조'!$A$2:$A$83,0),MATCH($C61,'🔖 배합비 참조'!$B$1:$CE$1,0))/100,0),""))),"")</f>
        <v>0</v>
      </c>
      <c r="K61" s="39" t="n">
        <f aca="false">IFERROR(IF($C61="","",IF($D61="","",IFERROR(ROUND($D61*INDEX('🔖 배합비 참조'!$B$2:$CE$83,MATCH("건호박채(중국산)",'🔖 배합비 참조'!$A$2:$A$83,0),MATCH($C61,'🔖 배합비 참조'!$B$1:$CE$1,0))/100,0),""))),"")</f>
        <v>0</v>
      </c>
      <c r="L61" s="39" t="n">
        <f aca="false">IFERROR(IF($C61="","",IF($D61="","",IFERROR(ROUND($D61*INDEX('🔖 배합비 참조'!$B$2:$CE$83,MATCH("검정깨(흑임자)",'🔖 배합비 참조'!$A$2:$A$83,0),MATCH($C61,'🔖 배합비 참조'!$B$1:$CE$1,0))/100,0),""))),"")</f>
        <v>0</v>
      </c>
      <c r="M61" s="39" t="n">
        <f aca="false">IFERROR(IF($C61="","",IF($D61="","",IFERROR(ROUND($D61*INDEX('🔖 배합비 참조'!$B$2:$CE$83,MATCH("검정콩",'🔖 배합비 참조'!$A$2:$A$83,0),MATCH($C61,'🔖 배합비 참조'!$B$1:$CE$1,0))/100,0),""))),"")</f>
        <v>0</v>
      </c>
      <c r="N61" s="39" t="n">
        <f aca="false">IFERROR(IF($C61="","",IF($D61="","",IFERROR(ROUND($D61*INDEX('🔖 배합비 참조'!$B$2:$CE$83,MATCH("계피가루",'🔖 배합비 참조'!$A$2:$A$83,0),MATCH($C61,'🔖 배합비 참조'!$B$1:$CE$1,0))/100,0),""))),"")</f>
        <v>0</v>
      </c>
      <c r="O61" s="39" t="n">
        <f aca="false">IFERROR(IF($C61="","",IF($D61="","",IFERROR(ROUND($D61*INDEX('🔖 배합비 참조'!$B$2:$CE$83,MATCH("고구마가루",'🔖 배합비 참조'!$A$2:$A$83,0),MATCH($C61,'🔖 배합비 참조'!$B$1:$CE$1,0))/100,0),""))),"")</f>
        <v>0</v>
      </c>
      <c r="P61" s="39" t="n">
        <f aca="false">IFERROR(IF($C61="","",IF($D61="","",IFERROR(ROUND($D61*INDEX('🔖 배합비 참조'!$B$2:$CE$83,MATCH("고구마무스",'🔖 배합비 참조'!$A$2:$A$83,0),MATCH($C61,'🔖 배합비 참조'!$B$1:$CE$1,0))/100,0),""))),"")</f>
        <v>0</v>
      </c>
      <c r="Q61" s="39" t="n">
        <f aca="false">IFERROR(IF($C61="","",IF($D61="","",IFERROR(ROUND($D61*INDEX('🔖 배합비 참조'!$B$2:$CE$83,MATCH("고려엉겅퀴((곤드레)국내산)",'🔖 배합비 참조'!$A$2:$A$83,0),MATCH($C61,'🔖 배합비 참조'!$B$1:$CE$1,0))/100,0),""))),"")</f>
        <v>0</v>
      </c>
      <c r="R61" s="39" t="n">
        <f aca="false">IFERROR(IF($C61="","",IF($D61="","",IFERROR(ROUND($D61*INDEX('🔖 배합비 참조'!$B$2:$CE$83,MATCH("기타가공품(복분자가루)",'🔖 배합비 참조'!$A$2:$A$83,0),MATCH($C61,'🔖 배합비 참조'!$B$1:$CE$1,0))/100,0),""))),"")</f>
        <v>0</v>
      </c>
      <c r="S61" s="39" t="n">
        <f aca="false">IFERROR(IF($C61="","",IF($D61="","",IFERROR(ROUND($D61*INDEX('🔖 배합비 참조'!$B$2:$CE$83,MATCH("기타가공품(슈퍼소프트엠)",'🔖 배합비 참조'!$A$2:$A$83,0),MATCH($C61,'🔖 배합비 참조'!$B$1:$CE$1,0))/100,0),""))),"")</f>
        <v>0</v>
      </c>
      <c r="T61" s="39" t="n">
        <f aca="false">IFERROR(IF($C61="","",IF($D61="","",IFERROR(ROUND($D61*INDEX('🔖 배합비 참조'!$B$2:$CE$83,MATCH("기타가공품(파인소프트 E-티)",'🔖 배합비 참조'!$A$2:$A$83,0),MATCH($C61,'🔖 배합비 참조'!$B$1:$CE$1,0))/100,0),""))),"")</f>
        <v>0</v>
      </c>
      <c r="U61" s="39" t="n">
        <f aca="false">IFERROR(IF($C61="","",IF($D61="","",IFERROR(ROUND($D61*INDEX('🔖 배합비 참조'!$B$2:$CE$83,MATCH("기타가공품(프리미엄카스테라가루)",'🔖 배합비 참조'!$A$2:$A$83,0),MATCH($C61,'🔖 배합비 참조'!$B$1:$CE$1,0))/100,0),""))),"")</f>
        <v>0</v>
      </c>
      <c r="V61" s="39" t="n">
        <f aca="false">IFERROR(IF($C61="","",IF($D61="","",IFERROR(ROUND($D61*INDEX('🔖 배합비 참조'!$B$2:$CE$83,MATCH("기타가공품(흑임자가루)",'🔖 배합비 참조'!$A$2:$A$83,0),MATCH($C61,'🔖 배합비 참조'!$B$1:$CE$1,0))/100,0),""))),"")</f>
        <v>0</v>
      </c>
      <c r="W61" s="39" t="n">
        <f aca="false">IFERROR(IF($C61="","",IF($D61="","",IFERROR(ROUND($D61*INDEX('🔖 배합비 참조'!$B$2:$CE$83,MATCH("기타설탕(흑설탕)",'🔖 배합비 참조'!$A$2:$A$83,0),MATCH($C61,'🔖 배합비 참조'!$B$1:$CE$1,0))/100,0),""))),"")</f>
        <v>0</v>
      </c>
      <c r="X61" s="39" t="n">
        <f aca="false">IFERROR(IF($C61="","",IF($D61="","",IFERROR(ROUND($D61*INDEX('🔖 배합비 참조'!$B$2:$CE$83,MATCH("냉동쑥(국내산)",'🔖 배합비 참조'!$A$2:$A$83,0),MATCH($C61,'🔖 배합비 참조'!$B$1:$CE$1,0))/100,0),""))),"")</f>
        <v>0</v>
      </c>
      <c r="Y61" s="39" t="n">
        <f aca="false">IFERROR(IF($C61="","",IF($D61="","",IFERROR(ROUND($D61*INDEX('🔖 배합비 참조'!$B$2:$CE$83,MATCH("냉동증숙고구마(중국산)",'🔖 배합비 참조'!$A$2:$A$83,0),MATCH($C61,'🔖 배합비 참조'!$B$1:$CE$1,0))/100,0),""))),"")</f>
        <v>0</v>
      </c>
      <c r="Z61" s="39" t="n">
        <f aca="false">IFERROR(IF($C61="","",IF($D61="","",IFERROR(ROUND($D61*INDEX('🔖 배합비 참조'!$B$2:$CE$83,MATCH("녹차가루",'🔖 배합비 참조'!$A$2:$A$83,0),MATCH($C61,'🔖 배합비 참조'!$B$1:$CE$1,0))/100,0),""))),"")</f>
        <v>0</v>
      </c>
      <c r="AA61" s="39" t="n">
        <f aca="false">IFERROR(IF($C61="","",IF($D61="","",IFERROR(ROUND($D61*INDEX('🔖 배합비 참조'!$B$2:$CE$83,MATCH("다크초콜릿 컴파운드칩",'🔖 배합비 참조'!$A$2:$A$83,0),MATCH($C61,'🔖 배합비 참조'!$B$1:$CE$1,0))/100,0),""))),"")</f>
        <v>0</v>
      </c>
      <c r="AB61" s="39" t="n">
        <f aca="false">IFERROR(IF($C61="","",IF($D61="","",IFERROR(ROUND($D61*INDEX('🔖 배합비 참조'!$B$2:$CE$83,MATCH("단호박분말(중국산)",'🔖 배합비 참조'!$A$2:$A$83,0),MATCH($C61,'🔖 배합비 참조'!$B$1:$CE$1,0))/100,0),""))),"")</f>
        <v>1</v>
      </c>
      <c r="AC61" s="39" t="n">
        <f aca="false">IFERROR(IF($C61="","",IF($D61="","",IFERROR(ROUND($D61*INDEX('🔖 배합비 참조'!$B$2:$CE$83,MATCH("당류가공품(단호박농축액)",'🔖 배합비 참조'!$A$2:$A$83,0),MATCH($C61,'🔖 배합비 참조'!$B$1:$CE$1,0))/100,0),""))),"")</f>
        <v>0</v>
      </c>
      <c r="AD61" s="39" t="n">
        <f aca="false">IFERROR(IF($C61="","",IF($D61="","",IFERROR(ROUND($D61*INDEX('🔖 배합비 참조'!$B$2:$CE$83,MATCH("당류가공품(알룰로스,에리스리톨,스테비올배당체혼합)",'🔖 배합비 참조'!$A$2:$A$83,0),MATCH($C61,'🔖 배합비 참조'!$B$1:$CE$1,0))/100,0),""))),"")</f>
        <v>0</v>
      </c>
      <c r="AE61" s="39" t="n">
        <f aca="false">IFERROR(IF($C61="","",IF($D61="","",IFERROR(ROUND($D61*INDEX('🔖 배합비 참조'!$B$2:$CE$83,MATCH("당류가공품(알룰로스제로파우더)",'🔖 배합비 참조'!$A$2:$A$83,0),MATCH($C61,'🔖 배합비 참조'!$B$1:$CE$1,0))/100,0),""))),"")</f>
        <v>0</v>
      </c>
      <c r="AF61" s="39" t="n">
        <f aca="false">IFERROR(IF($C61="","",IF($D61="","",IFERROR(ROUND($D61*INDEX('🔖 배합비 참조'!$B$2:$CE$83,MATCH("당절임(완두배기)",'🔖 배합비 참조'!$A$2:$A$83,0),MATCH($C61,'🔖 배합비 참조'!$B$1:$CE$1,0))/100,0),""))),"")</f>
        <v>0</v>
      </c>
      <c r="AG61" s="39" t="n">
        <f aca="false">IFERROR(IF($C61="","",IF($D61="","",IFERROR(ROUND($D61*INDEX('🔖 배합비 참조'!$B$2:$CE$83,MATCH("대추농축액",'🔖 배합비 참조'!$A$2:$A$83,0),MATCH($C61,'🔖 배합비 참조'!$B$1:$CE$1,0))/100,0),""))),"")</f>
        <v>0</v>
      </c>
      <c r="AH61" s="39" t="n">
        <f aca="false">IFERROR(IF($C61="","",IF($D61="","",IFERROR(ROUND($D61*INDEX('🔖 배합비 참조'!$B$2:$CE$83,MATCH("대추채(국내산)",'🔖 배합비 참조'!$A$2:$A$83,0),MATCH($C61,'🔖 배합비 참조'!$B$1:$CE$1,0))/100,0),""))),"")</f>
        <v>0</v>
      </c>
      <c r="AI61" s="39" t="n">
        <f aca="false">IFERROR(IF($C61="","",IF($D61="","",IFERROR(ROUND($D61*INDEX('🔖 배합비 참조'!$B$2:$CE$83,MATCH("동부(미얀마산)",'🔖 배합비 참조'!$A$2:$A$83,0),MATCH($C61,'🔖 배합비 참조'!$B$1:$CE$1,0))/100,0),""))),"")</f>
        <v>0</v>
      </c>
      <c r="AJ61" s="39" t="n">
        <f aca="false">IFERROR(IF($C61="","",IF($D61="","",IFERROR(ROUND($D61*INDEX('🔖 배합비 참조'!$B$2:$CE$83,MATCH("두류가공품(백옥앙금)",'🔖 배합비 참조'!$A$2:$A$83,0),MATCH($C61,'🔖 배합비 참조'!$B$1:$CE$1,0))/100,0),""))),"")</f>
        <v>0</v>
      </c>
      <c r="AK61" s="39" t="n">
        <f aca="false">IFERROR(IF($C61="","",IF($D61="","",IFERROR(ROUND($D61*INDEX('🔖 배합비 참조'!$B$2:$CE$83,MATCH("두류가공품(콩고물)",'🔖 배합비 참조'!$A$2:$A$83,0),MATCH($C61,'🔖 배합비 참조'!$B$1:$CE$1,0))/100,0),""))),"")</f>
        <v>0</v>
      </c>
      <c r="AL61" s="39" t="n">
        <f aca="false">IFERROR(IF($C61="","",IF($D61="","",IFERROR(ROUND($D61*INDEX('🔖 배합비 참조'!$B$2:$CE$83,MATCH("두류가공품(통팥고물)",'🔖 배합비 참조'!$A$2:$A$83,0),MATCH($C61,'🔖 배합비 참조'!$B$1:$CE$1,0))/100,0),""))),"")</f>
        <v>0</v>
      </c>
      <c r="AM61" s="39" t="n">
        <f aca="false">IFERROR(IF($C61="","",IF($D61="","",IFERROR(ROUND($D61*INDEX('🔖 배합비 참조'!$B$2:$CE$83,MATCH("딸기레진",'🔖 배합비 참조'!$A$2:$A$83,0),MATCH($C61,'🔖 배합비 참조'!$B$1:$CE$1,0))/100,0),""))),"")</f>
        <v>0</v>
      </c>
      <c r="AN61" s="39" t="n">
        <f aca="false">IFERROR(IF($C61="","",IF($D61="","",IFERROR(ROUND($D61*INDEX('🔖 배합비 참조'!$B$2:$CE$83,MATCH("딸기분말(스트로우베리에이드(분말))",'🔖 배합비 참조'!$A$2:$A$83,0),MATCH($C61,'🔖 배합비 참조'!$B$1:$CE$1,0))/100,0),""))),"")</f>
        <v>0</v>
      </c>
      <c r="AO61" s="39" t="n">
        <f aca="false">IFERROR(IF($C61="","",IF($D61="","",IFERROR(ROUND($D61*INDEX('🔖 배합비 참조'!$B$2:$CE$83,MATCH("마스카포네치즈",'🔖 배합비 참조'!$A$2:$A$83,0),MATCH($C61,'🔖 배합비 참조'!$B$1:$CE$1,0))/100,0),""))),"")</f>
        <v>0</v>
      </c>
      <c r="AP61" s="39" t="n">
        <f aca="false">IFERROR(IF($C61="","",IF($D61="","",IFERROR(ROUND($D61*INDEX('🔖 배합비 참조'!$B$2:$CE$83,MATCH("마카다미아분태(호주산)",'🔖 배합비 참조'!$A$2:$A$83,0),MATCH($C61,'🔖 배합비 참조'!$B$1:$CE$1,0))/100,0),""))),"")</f>
        <v>3</v>
      </c>
      <c r="AQ61" s="39" t="n">
        <f aca="false">IFERROR(IF($C61="","",IF($D61="","",IFERROR(ROUND($D61*INDEX('🔖 배합비 참조'!$B$2:$CE$83,MATCH("멥쌀(국내산)",'🔖 배합비 참조'!$A$2:$A$83,0),MATCH($C61,'🔖 배합비 참조'!$B$1:$CE$1,0))/100,0),""))),"")</f>
        <v>0</v>
      </c>
      <c r="AR61" s="39" t="n">
        <f aca="false">IFERROR(IF($C61="","",IF($D61="","",IFERROR(ROUND($D61*INDEX('🔖 배합비 참조'!$B$2:$CE$83,MATCH("모시잎(국내산)",'🔖 배합비 참조'!$A$2:$A$83,0),MATCH($C61,'🔖 배합비 참조'!$B$1:$CE$1,0))/100,0),""))),"")</f>
        <v>0</v>
      </c>
      <c r="AS61" s="39" t="n">
        <f aca="false">IFERROR(IF($C61="","",IF($D61="","",IFERROR(ROUND($D61*INDEX('🔖 배합비 참조'!$B$2:$CE$83,MATCH("물엿(저당물엿)",'🔖 배합비 참조'!$A$2:$A$83,0),MATCH($C61,'🔖 배합비 참조'!$B$1:$CE$1,0))/100,0),""))),"")</f>
        <v>0</v>
      </c>
      <c r="AT61" s="39" t="n">
        <f aca="false">IFERROR(IF($C61="","",IF($D61="","",IFERROR(ROUND($D61*INDEX('🔖 배합비 참조'!$B$2:$CE$83,MATCH("밤다이스",'🔖 배합비 참조'!$A$2:$A$83,0),MATCH($C61,'🔖 배합비 참조'!$B$1:$CE$1,0))/100,0),""))),"")</f>
        <v>1</v>
      </c>
      <c r="AU61" s="39" t="n">
        <f aca="false">IFERROR(IF($C61="","",IF($D61="","",IFERROR(ROUND($D61*INDEX('🔖 배합비 참조'!$B$2:$CE$83,MATCH("변성전분(타피오카전분)",'🔖 배합비 참조'!$A$2:$A$83,0),MATCH($C61,'🔖 배합비 참조'!$B$1:$CE$1,0))/100,0),""))),"")</f>
        <v>0</v>
      </c>
      <c r="AV61" s="39" t="n">
        <f aca="false">IFERROR(IF($C61="","",IF($D61="","",IFERROR(ROUND($D61*INDEX('🔖 배합비 참조'!$B$2:$CE$83,MATCH("복음땅콩분태",'🔖 배합비 참조'!$A$2:$A$83,0),MATCH($C61,'🔖 배합비 참조'!$B$1:$CE$1,0))/100,0),""))),"")</f>
        <v>0</v>
      </c>
      <c r="AW61" s="39" t="n">
        <f aca="false">IFERROR(IF($C61="","",IF($D61="","",IFERROR(ROUND($D61*INDEX('🔖 배합비 참조'!$B$2:$CE$83,MATCH("사양벌꿀(국내산)",'🔖 배합비 참조'!$A$2:$A$83,0),MATCH($C61,'🔖 배합비 참조'!$B$1:$CE$1,0))/100,0),""))),"")</f>
        <v>0</v>
      </c>
      <c r="AX61" s="39" t="n">
        <f aca="false">IFERROR(IF($C61="","",IF($D61="","",IFERROR(ROUND($D61*INDEX('🔖 배합비 참조'!$B$2:$CE$83,MATCH("생크림",'🔖 배합비 참조'!$A$2:$A$83,0),MATCH($C61,'🔖 배합비 참조'!$B$1:$CE$1,0))/100,0),""))),"")</f>
        <v>0</v>
      </c>
      <c r="AY61" s="39" t="n">
        <f aca="false">IFERROR(IF($C61="","",IF($D61="","",IFERROR(ROUND($D61*INDEX('🔖 배합비 참조'!$B$2:$CE$83,MATCH("서양호박(국내산,뉴질랜드산)",'🔖 배합비 참조'!$A$2:$A$83,0),MATCH($C61,'🔖 배합비 참조'!$B$1:$CE$1,0))/100,0),""))),"")</f>
        <v>0</v>
      </c>
      <c r="AZ61" s="39" t="n">
        <f aca="false">IFERROR(IF($C61="","",IF($D61="","",IFERROR(ROUND($D61*INDEX('🔖 배합비 참조'!$B$2:$CE$83,MATCH("설탕",'🔖 배합비 참조'!$A$2:$A$83,0),MATCH($C61,'🔖 배합비 참조'!$B$1:$CE$1,0))/100,0),""))),"")</f>
        <v>1</v>
      </c>
      <c r="BA61" s="39" t="n">
        <f aca="false">IFERROR(IF($C61="","",IF($D61="","",IFERROR(ROUND($D61*INDEX('🔖 배합비 참조'!$B$2:$CE$83,MATCH("스트로우베리 에이드 후레쉬",'🔖 배합비 참조'!$A$2:$A$83,0),MATCH($C61,'🔖 배합비 참조'!$B$1:$CE$1,0))/100,0),""))),"")</f>
        <v>0</v>
      </c>
      <c r="BB61" s="39" t="n">
        <f aca="false">IFERROR(IF($C61="","",IF($D61="","",IFERROR(ROUND($D61*INDEX('🔖 배합비 참조'!$B$2:$CE$83,MATCH("식물성기름혼합제제(분홍)",'🔖 배합비 참조'!$A$2:$A$83,0),MATCH($C61,'🔖 배합비 참조'!$B$1:$CE$1,0))/100,0),""))),"")</f>
        <v>0</v>
      </c>
      <c r="BC61" s="39" t="n">
        <f aca="false">IFERROR(IF($C61="","",IF($D61="","",IFERROR(ROUND($D61*INDEX('🔖 배합비 참조'!$B$2:$CE$83,MATCH("식물성기름혼합제제(초록)",'🔖 배합비 참조'!$A$2:$A$83,0),MATCH($C61,'🔖 배합비 참조'!$B$1:$CE$1,0))/100,0),""))),"")</f>
        <v>0</v>
      </c>
      <c r="BD61" s="39" t="n">
        <f aca="false">IFERROR(IF($C61="","",IF($D61="","",IFERROR(ROUND($D61*INDEX('🔖 배합비 참조'!$B$2:$CE$83,MATCH("식물성기름혼합제제(황색)",'🔖 배합비 참조'!$A$2:$A$83,0),MATCH($C61,'🔖 배합비 참조'!$B$1:$CE$1,0))/100,0),""))),"")</f>
        <v>0</v>
      </c>
      <c r="BE61" s="39" t="n">
        <f aca="false">IFERROR(IF($C61="","",IF($D61="","",IFERROR(ROUND($D61*INDEX('🔖 배합비 참조'!$B$2:$CE$83,MATCH("쑥가루(국내산)",'🔖 배합비 참조'!$A$2:$A$83,0),MATCH($C61,'🔖 배합비 참조'!$B$1:$CE$1,0))/100,0),""))),"")</f>
        <v>0</v>
      </c>
      <c r="BF61" s="39" t="n">
        <f aca="false">IFERROR(IF($C61="","",IF($D61="","",IFERROR(ROUND($D61*INDEX('🔖 배합비 참조'!$B$2:$CE$83,MATCH("아몬드슬라이스",'🔖 배합비 참조'!$A$2:$A$83,0),MATCH($C61,'🔖 배합비 참조'!$B$1:$CE$1,0))/100,0),""))),"")</f>
        <v>0</v>
      </c>
      <c r="BG61" s="39" t="n">
        <f aca="false">IFERROR(IF($C61="","",IF($D61="","",IFERROR(ROUND($D61*INDEX('🔖 배합비 참조'!$B$2:$CE$83,MATCH("알룰로오스(국내산)",'🔖 배합비 참조'!$A$2:$A$83,0),MATCH($C61,'🔖 배합비 참조'!$B$1:$CE$1,0))/100,0),""))),"")</f>
        <v>0</v>
      </c>
      <c r="BH61" s="39" t="n">
        <f aca="false">IFERROR(IF($C61="","",IF($D61="","",IFERROR(ROUND($D61*INDEX('🔖 배합비 참조'!$B$2:$CE$83,MATCH("연유",'🔖 배합비 참조'!$A$2:$A$83,0),MATCH($C61,'🔖 배합비 참조'!$B$1:$CE$1,0))/100,0),""))),"")</f>
        <v>0</v>
      </c>
      <c r="BI61" s="39" t="n">
        <f aca="false">IFERROR(IF($C61="","",IF($D61="","",IFERROR(ROUND($D61*INDEX('🔖 배합비 참조'!$B$2:$CE$83,MATCH("옥수수전분",'🔖 배합비 참조'!$A$2:$A$83,0),MATCH($C61,'🔖 배합비 참조'!$B$1:$CE$1,0))/100,0),""))),"")</f>
        <v>1</v>
      </c>
      <c r="BJ61" s="39" t="n">
        <f aca="false">IFERROR(IF($C61="","",IF($D61="","",IFERROR(ROUND($D61*INDEX('🔖 배합비 참조'!$B$2:$CE$83,MATCH("완두배기",'🔖 배합비 참조'!$A$2:$A$83,0),MATCH($C61,'🔖 배합비 참조'!$B$1:$CE$1,0))/100,0),""))),"")</f>
        <v>0</v>
      </c>
      <c r="BK61" s="39" t="n">
        <f aca="false">IFERROR(IF($C61="","",IF($D61="","",IFERROR(ROUND($D61*INDEX('🔖 배합비 참조'!$B$2:$CE$83,MATCH("우유(국내산)",'🔖 배합비 참조'!$A$2:$A$83,0),MATCH($C61,'🔖 배합비 참조'!$B$1:$CE$1,0))/100,0),""))),"")</f>
        <v>0</v>
      </c>
      <c r="BL61" s="39" t="n">
        <f aca="false">IFERROR(IF($C61="","",IF($D61="","",IFERROR(ROUND($D61*INDEX('🔖 배합비 참조'!$B$2:$CE$83,MATCH("자색고구마가루(중국산)",'🔖 배합비 참조'!$A$2:$A$83,0),MATCH($C61,'🔖 배합비 참조'!$B$1:$CE$1,0))/100,0),""))),"")</f>
        <v>0</v>
      </c>
      <c r="BM61" s="39" t="n">
        <f aca="false">IFERROR(IF($C61="","",IF($D61="","",IFERROR(ROUND($D61*INDEX('🔖 배합비 참조'!$B$2:$CE$83,MATCH("자연치즈(체다치즈)",'🔖 배합비 참조'!$A$2:$A$83,0),MATCH($C61,'🔖 배합비 참조'!$B$1:$CE$1,0))/100,0),""))),"")</f>
        <v>0</v>
      </c>
      <c r="BN61" s="39" t="n">
        <f aca="false">IFERROR(IF($C61="","",IF($D61="","",IFERROR(ROUND($D61*INDEX('🔖 배합비 참조'!$B$2:$CE$83,MATCH("정제수",'🔖 배합비 참조'!$A$2:$A$83,0),MATCH($C61,'🔖 배합비 참조'!$B$1:$CE$1,0))/100,0),""))),"")</f>
        <v>12</v>
      </c>
      <c r="BO61" s="39" t="n">
        <f aca="false">IFERROR(IF($C61="","",IF($D61="","",IFERROR(ROUND($D61*INDEX('🔖 배합비 참조'!$B$2:$CE$83,MATCH("젤라틴",'🔖 배합비 참조'!$A$2:$A$83,0),MATCH($C61,'🔖 배합비 참조'!$B$1:$CE$1,0))/100,0),""))),"")</f>
        <v>0</v>
      </c>
      <c r="BP61" s="39" t="n">
        <f aca="false">IFERROR(IF($C61="","",IF($D61="","",IFERROR(ROUND($D61*INDEX('🔖 배합비 참조'!$B$2:$CE$83,MATCH("조림류(백옥앙금)",'🔖 배합비 참조'!$A$2:$A$83,0),MATCH($C61,'🔖 배합비 참조'!$B$1:$CE$1,0))/100,0),""))),"")</f>
        <v>0</v>
      </c>
      <c r="BQ61" s="39" t="n">
        <f aca="false">IFERROR(IF($C61="","",IF($D61="","",IFERROR(ROUND($D61*INDEX('🔖 배합비 참조'!$B$2:$CE$83,MATCH("조림류(통팥앙금)",'🔖 배합비 참조'!$A$2:$A$83,0),MATCH($C61,'🔖 배합비 참조'!$B$1:$CE$1,0))/100,0),""))),"")</f>
        <v>23</v>
      </c>
      <c r="BR61" s="39" t="n">
        <f aca="false">IFERROR(IF($C61="","",IF($D61="","",IFERROR(ROUND($D61*INDEX('🔖 배합비 참조'!$B$2:$CE$83,MATCH("준초콜릿(외국산)",'🔖 배합비 참조'!$A$2:$A$83,0),MATCH($C61,'🔖 배합비 참조'!$B$1:$CE$1,0))/100,0),""))),"")</f>
        <v>0</v>
      </c>
      <c r="BS61" s="39" t="n">
        <f aca="false">IFERROR(IF($C61="","",IF($D61="","",IFERROR(ROUND($D61*INDEX('🔖 배합비 참조'!$B$2:$CE$83,MATCH("중력분",'🔖 배합비 참조'!$A$2:$A$83,0),MATCH($C61,'🔖 배합비 참조'!$B$1:$CE$1,0))/100,0),""))),"")</f>
        <v>0</v>
      </c>
      <c r="BT61" s="39" t="n">
        <f aca="false">IFERROR(IF($C61="","",IF($D61="","",IFERROR(ROUND($D61*INDEX('🔖 배합비 참조'!$B$2:$CE$83,MATCH("참깨(인도산,나이지리아산,탄자니아산,미얀마산)",'🔖 배합비 참조'!$A$2:$A$83,0),MATCH($C61,'🔖 배합비 참조'!$B$1:$CE$1,0))/100,0),""))),"")</f>
        <v>0</v>
      </c>
      <c r="BU61" s="39" t="n">
        <f aca="false">IFERROR(IF($C61="","",IF($D61="","",IFERROR(ROUND($D61*INDEX('🔖 배합비 참조'!$B$2:$CE$83,MATCH("찹쌀(국내산)",'🔖 배합비 참조'!$A$2:$A$83,0),MATCH($C61,'🔖 배합비 참조'!$B$1:$CE$1,0))/100,0),""))),"")</f>
        <v>25</v>
      </c>
      <c r="BV61" s="39" t="n">
        <f aca="false">IFERROR(IF($C61="","",IF($D61="","",IFERROR(ROUND($D61*INDEX('🔖 배합비 참조'!$B$2:$CE$83,MATCH("천일염",'🔖 배합비 참조'!$A$2:$A$83,0),MATCH($C61,'🔖 배합비 참조'!$B$1:$CE$1,0))/100,0),""))),"")</f>
        <v>1</v>
      </c>
      <c r="BW61" s="39" t="n">
        <f aca="false">IFERROR(IF($C61="","",IF($D61="","",IFERROR(ROUND($D61*INDEX('🔖 배합비 참조'!$B$2:$CE$83,MATCH("치즈 [크림치즈]",'🔖 배합비 참조'!$A$2:$A$83,0),MATCH($C61,'🔖 배합비 참조'!$B$1:$CE$1,0))/100,0),""))),"")</f>
        <v>0</v>
      </c>
      <c r="BX61" s="39" t="n">
        <f aca="false">IFERROR(IF($C61="","",IF($D61="","",IFERROR(ROUND($D61*INDEX('🔖 배합비 참조'!$B$2:$CE$83,MATCH("코코아가공품류(코코아분말)",'🔖 배합비 참조'!$A$2:$A$83,0),MATCH($C61,'🔖 배합비 참조'!$B$1:$CE$1,0))/100,0),""))),"")</f>
        <v>0</v>
      </c>
      <c r="BY61" s="39" t="n">
        <f aca="false">IFERROR(IF($C61="","",IF($D61="","",IFERROR(ROUND($D61*INDEX('🔖 배합비 참조'!$B$2:$CE$83,MATCH("콩기름(대두유)",'🔖 배합비 참조'!$A$2:$A$83,0),MATCH($C61,'🔖 배합비 참조'!$B$1:$CE$1,0))/100,0),""))),"")</f>
        <v>0</v>
      </c>
      <c r="BZ61" s="39" t="n">
        <f aca="false">IFERROR(IF($C61="","",IF($D61="","",IFERROR(ROUND($D61*INDEX('🔖 배합비 참조'!$B$2:$CE$83,MATCH("해바라기씨앗",'🔖 배합비 참조'!$A$2:$A$83,0),MATCH($C61,'🔖 배합비 참조'!$B$1:$CE$1,0))/100,0),""))),"")</f>
        <v>0</v>
      </c>
      <c r="CA61" s="39" t="n">
        <f aca="false">IFERROR(IF($C61="","",IF($D61="","",IFERROR(ROUND($D61*INDEX('🔖 배합비 참조'!$B$2:$CE$83,MATCH("현미(국내산)",'🔖 배합비 참조'!$A$2:$A$83,0),MATCH($C61,'🔖 배합비 참조'!$B$1:$CE$1,0))/100,0),""))),"")</f>
        <v>0</v>
      </c>
      <c r="CB61" s="39" t="n">
        <f aca="false">IFERROR(IF($C61="","",IF($D61="","",IFERROR(ROUND($D61*INDEX('🔖 배합비 참조'!$B$2:$CE$83,MATCH("현미멥쌀(국내산)",'🔖 배합비 참조'!$A$2:$A$83,0),MATCH($C61,'🔖 배합비 참조'!$B$1:$CE$1,0))/100,0),""))),"")</f>
        <v>0</v>
      </c>
      <c r="CC61" s="39" t="n">
        <f aca="false">IFERROR(IF($C61="","",IF($D61="","",IFERROR(ROUND($D61*INDEX('🔖 배합비 참조'!$B$2:$CE$83,MATCH("호두분태(미국산)",'🔖 배합비 참조'!$A$2:$A$83,0),MATCH($C61,'🔖 배합비 참조'!$B$1:$CE$1,0))/100,0),""))),"")</f>
        <v>2</v>
      </c>
      <c r="CD61" s="39" t="n">
        <f aca="false">IFERROR(IF($C61="","",IF($D61="","",IFERROR(ROUND($D61*INDEX('🔖 배합비 참조'!$B$2:$CE$83,MATCH("호박씨앗(외국산)",'🔖 배합비 참조'!$A$2:$A$83,0),MATCH($C61,'🔖 배합비 참조'!$B$1:$CE$1,0))/100,0),""))),"")</f>
        <v>0</v>
      </c>
      <c r="CE61" s="39" t="n">
        <f aca="false">IFERROR(IF($C61="","",IF($D61="","",IFERROR(ROUND($D61*INDEX('🔖 배합비 참조'!$B$2:$CE$83,MATCH("혼합제제(떡용에스텔)",'🔖 배합비 참조'!$A$2:$A$83,0),MATCH($C61,'🔖 배합비 참조'!$B$1:$CE$1,0))/100,0),""))),"")</f>
        <v>0</v>
      </c>
      <c r="CF61" s="39" t="n">
        <f aca="false">IFERROR(IF($C61="","",IF($D61="","",IFERROR(ROUND($D61*INDEX('🔖 배합비 참조'!$B$2:$CE$83,MATCH("혼합제제(스테비아)",'🔖 배합비 참조'!$A$2:$A$83,0),MATCH($C61,'🔖 배합비 참조'!$B$1:$CE$1,0))/100,0),""))),"")</f>
        <v>0</v>
      </c>
      <c r="CG61" s="39" t="n">
        <f aca="false">IFERROR(IF($C61="","",IF($D61="","",IFERROR(ROUND($D61*INDEX('🔖 배합비 참조'!$B$2:$CE$83,MATCH("화이트초콜릿",'🔖 배합비 참조'!$A$2:$A$83,0),MATCH($C61,'🔖 배합비 참조'!$B$1:$CE$1,0))/100,0),""))),"")</f>
        <v>0</v>
      </c>
      <c r="CH61" s="39" t="n">
        <f aca="false">IFERROR(IF($C61="","",IF($D61="","",IFERROR(ROUND($D61*INDEX('🔖 배합비 참조'!$B$2:$CE$83,MATCH("흑미찹쌀(국내산)",'🔖 배합비 참조'!$A$2:$A$83,0),MATCH($C61,'🔖 배합비 참조'!$B$1:$CE$1,0))/100,0),""))),"")</f>
        <v>0</v>
      </c>
      <c r="CI61" s="39" t="n">
        <f aca="false">IFERROR(IF($C61="","",IF($D61="","",IFERROR(ROUND($D61*INDEX('🔖 배합비 참조'!$B$2:$CE$83,MATCH("찰옥수수전분(미국산)",'🔖 배합비 참조'!$A$2:$A$83,0),MATCH($C61,'🔖 배합비 참조'!$B$1:$CE$1,0))/100,0),""))),"")</f>
        <v>0</v>
      </c>
      <c r="CJ61" s="40"/>
      <c r="CL61" s="1" t="s">
        <v>238</v>
      </c>
    </row>
    <row r="62" customFormat="false" ht="18" hidden="false" customHeight="true" outlineLevel="0" collapsed="false">
      <c r="A62" s="41" t="n">
        <v>58</v>
      </c>
      <c r="B62" s="36" t="n">
        <v>45971</v>
      </c>
      <c r="C62" s="37" t="s">
        <v>157</v>
      </c>
      <c r="D62" s="38" t="n">
        <v>70</v>
      </c>
      <c r="E62" s="17"/>
      <c r="F62" s="17"/>
      <c r="G62" s="42" t="n">
        <f aca="false">IFERROR(IF($C62="","",IF($D62="","",IFERROR(ROUND($D62*INDEX('🔖 배합비 참조'!$B$2:$CE$83,MATCH("간장",'🔖 배합비 참조'!$A$2:$A$83,0),MATCH($C62,'🔖 배합비 참조'!$B$1:$CE$1,0))/100,0),""))),"")</f>
        <v>0</v>
      </c>
      <c r="H62" s="42" t="n">
        <f aca="false">IFERROR(IF($C62="","",IF($D62="","",IFERROR(ROUND($D62*INDEX('🔖 배합비 참조'!$B$2:$CE$83,MATCH("강낭콩((울타리콩))",'🔖 배합비 참조'!$A$2:$A$83,0),MATCH($C62,'🔖 배합비 참조'!$B$1:$CE$1,0))/100,0),""))),"")</f>
        <v>0</v>
      </c>
      <c r="I62" s="42" t="n">
        <f aca="false">IFERROR(IF($C62="","",IF($D62="","",IFERROR(ROUND($D62*INDEX('🔖 배합비 참조'!$B$2:$CE$83,MATCH("건조딸기다이스(외국산)",'🔖 배합비 참조'!$A$2:$A$83,0),MATCH($C62,'🔖 배합비 참조'!$B$1:$CE$1,0))/100,0),""))),"")</f>
        <v>0</v>
      </c>
      <c r="J62" s="42" t="n">
        <f aca="false">IFERROR(IF($C62="","",IF($D62="","",IFERROR(ROUND($D62*INDEX('🔖 배합비 참조'!$B$2:$CE$83,MATCH("건포도",'🔖 배합비 참조'!$A$2:$A$83,0),MATCH($C62,'🔖 배합비 참조'!$B$1:$CE$1,0))/100,0),""))),"")</f>
        <v>0</v>
      </c>
      <c r="K62" s="42" t="n">
        <f aca="false">IFERROR(IF($C62="","",IF($D62="","",IFERROR(ROUND($D62*INDEX('🔖 배합비 참조'!$B$2:$CE$83,MATCH("건호박채(중국산)",'🔖 배합비 참조'!$A$2:$A$83,0),MATCH($C62,'🔖 배합비 참조'!$B$1:$CE$1,0))/100,0),""))),"")</f>
        <v>0</v>
      </c>
      <c r="L62" s="42" t="n">
        <f aca="false">IFERROR(IF($C62="","",IF($D62="","",IFERROR(ROUND($D62*INDEX('🔖 배합비 참조'!$B$2:$CE$83,MATCH("검정깨(흑임자)",'🔖 배합비 참조'!$A$2:$A$83,0),MATCH($C62,'🔖 배합비 참조'!$B$1:$CE$1,0))/100,0),""))),"")</f>
        <v>0</v>
      </c>
      <c r="M62" s="42" t="n">
        <f aca="false">IFERROR(IF($C62="","",IF($D62="","",IFERROR(ROUND($D62*INDEX('🔖 배합비 참조'!$B$2:$CE$83,MATCH("검정콩",'🔖 배합비 참조'!$A$2:$A$83,0),MATCH($C62,'🔖 배합비 참조'!$B$1:$CE$1,0))/100,0),""))),"")</f>
        <v>0</v>
      </c>
      <c r="N62" s="42" t="n">
        <f aca="false">IFERROR(IF($C62="","",IF($D62="","",IFERROR(ROUND($D62*INDEX('🔖 배합비 참조'!$B$2:$CE$83,MATCH("계피가루",'🔖 배합비 참조'!$A$2:$A$83,0),MATCH($C62,'🔖 배합비 참조'!$B$1:$CE$1,0))/100,0),""))),"")</f>
        <v>0</v>
      </c>
      <c r="O62" s="42" t="n">
        <f aca="false">IFERROR(IF($C62="","",IF($D62="","",IFERROR(ROUND($D62*INDEX('🔖 배합비 참조'!$B$2:$CE$83,MATCH("고구마가루",'🔖 배합비 참조'!$A$2:$A$83,0),MATCH($C62,'🔖 배합비 참조'!$B$1:$CE$1,0))/100,0),""))),"")</f>
        <v>0</v>
      </c>
      <c r="P62" s="42" t="n">
        <f aca="false">IFERROR(IF($C62="","",IF($D62="","",IFERROR(ROUND($D62*INDEX('🔖 배합비 참조'!$B$2:$CE$83,MATCH("고구마무스",'🔖 배합비 참조'!$A$2:$A$83,0),MATCH($C62,'🔖 배합비 참조'!$B$1:$CE$1,0))/100,0),""))),"")</f>
        <v>0</v>
      </c>
      <c r="Q62" s="42" t="n">
        <f aca="false">IFERROR(IF($C62="","",IF($D62="","",IFERROR(ROUND($D62*INDEX('🔖 배합비 참조'!$B$2:$CE$83,MATCH("고려엉겅퀴((곤드레)국내산)",'🔖 배합비 참조'!$A$2:$A$83,0),MATCH($C62,'🔖 배합비 참조'!$B$1:$CE$1,0))/100,0),""))),"")</f>
        <v>0</v>
      </c>
      <c r="R62" s="42" t="n">
        <f aca="false">IFERROR(IF($C62="","",IF($D62="","",IFERROR(ROUND($D62*INDEX('🔖 배합비 참조'!$B$2:$CE$83,MATCH("기타가공품(복분자가루)",'🔖 배합비 참조'!$A$2:$A$83,0),MATCH($C62,'🔖 배합비 참조'!$B$1:$CE$1,0))/100,0),""))),"")</f>
        <v>1</v>
      </c>
      <c r="S62" s="42" t="n">
        <f aca="false">IFERROR(IF($C62="","",IF($D62="","",IFERROR(ROUND($D62*INDEX('🔖 배합비 참조'!$B$2:$CE$83,MATCH("기타가공품(슈퍼소프트엠)",'🔖 배합비 참조'!$A$2:$A$83,0),MATCH($C62,'🔖 배합비 참조'!$B$1:$CE$1,0))/100,0),""))),"")</f>
        <v>0</v>
      </c>
      <c r="T62" s="42" t="n">
        <f aca="false">IFERROR(IF($C62="","",IF($D62="","",IFERROR(ROUND($D62*INDEX('🔖 배합비 참조'!$B$2:$CE$83,MATCH("기타가공품(파인소프트 E-티)",'🔖 배합비 참조'!$A$2:$A$83,0),MATCH($C62,'🔖 배합비 참조'!$B$1:$CE$1,0))/100,0),""))),"")</f>
        <v>0</v>
      </c>
      <c r="U62" s="42" t="n">
        <f aca="false">IFERROR(IF($C62="","",IF($D62="","",IFERROR(ROUND($D62*INDEX('🔖 배합비 참조'!$B$2:$CE$83,MATCH("기타가공품(프리미엄카스테라가루)",'🔖 배합비 참조'!$A$2:$A$83,0),MATCH($C62,'🔖 배합비 참조'!$B$1:$CE$1,0))/100,0),""))),"")</f>
        <v>0</v>
      </c>
      <c r="V62" s="42" t="n">
        <f aca="false">IFERROR(IF($C62="","",IF($D62="","",IFERROR(ROUND($D62*INDEX('🔖 배합비 참조'!$B$2:$CE$83,MATCH("기타가공품(흑임자가루)",'🔖 배합비 참조'!$A$2:$A$83,0),MATCH($C62,'🔖 배합비 참조'!$B$1:$CE$1,0))/100,0),""))),"")</f>
        <v>0</v>
      </c>
      <c r="W62" s="42" t="n">
        <f aca="false">IFERROR(IF($C62="","",IF($D62="","",IFERROR(ROUND($D62*INDEX('🔖 배합비 참조'!$B$2:$CE$83,MATCH("기타설탕(흑설탕)",'🔖 배합비 참조'!$A$2:$A$83,0),MATCH($C62,'🔖 배합비 참조'!$B$1:$CE$1,0))/100,0),""))),"")</f>
        <v>0</v>
      </c>
      <c r="X62" s="42" t="n">
        <f aca="false">IFERROR(IF($C62="","",IF($D62="","",IFERROR(ROUND($D62*INDEX('🔖 배합비 참조'!$B$2:$CE$83,MATCH("냉동쑥(국내산)",'🔖 배합비 참조'!$A$2:$A$83,0),MATCH($C62,'🔖 배합비 참조'!$B$1:$CE$1,0))/100,0),""))),"")</f>
        <v>0</v>
      </c>
      <c r="Y62" s="42" t="n">
        <f aca="false">IFERROR(IF($C62="","",IF($D62="","",IFERROR(ROUND($D62*INDEX('🔖 배합비 참조'!$B$2:$CE$83,MATCH("냉동증숙고구마(중국산)",'🔖 배합비 참조'!$A$2:$A$83,0),MATCH($C62,'🔖 배합비 참조'!$B$1:$CE$1,0))/100,0),""))),"")</f>
        <v>0</v>
      </c>
      <c r="Z62" s="42" t="n">
        <f aca="false">IFERROR(IF($C62="","",IF($D62="","",IFERROR(ROUND($D62*INDEX('🔖 배합비 참조'!$B$2:$CE$83,MATCH("녹차가루",'🔖 배합비 참조'!$A$2:$A$83,0),MATCH($C62,'🔖 배합비 참조'!$B$1:$CE$1,0))/100,0),""))),"")</f>
        <v>0</v>
      </c>
      <c r="AA62" s="42" t="n">
        <f aca="false">IFERROR(IF($C62="","",IF($D62="","",IFERROR(ROUND($D62*INDEX('🔖 배합비 참조'!$B$2:$CE$83,MATCH("다크초콜릿 컴파운드칩",'🔖 배합비 참조'!$A$2:$A$83,0),MATCH($C62,'🔖 배합비 참조'!$B$1:$CE$1,0))/100,0),""))),"")</f>
        <v>0</v>
      </c>
      <c r="AB62" s="42" t="n">
        <f aca="false">IFERROR(IF($C62="","",IF($D62="","",IFERROR(ROUND($D62*INDEX('🔖 배합비 참조'!$B$2:$CE$83,MATCH("단호박분말(중국산)",'🔖 배합비 참조'!$A$2:$A$83,0),MATCH($C62,'🔖 배합비 참조'!$B$1:$CE$1,0))/100,0),""))),"")</f>
        <v>0</v>
      </c>
      <c r="AC62" s="42" t="n">
        <f aca="false">IFERROR(IF($C62="","",IF($D62="","",IFERROR(ROUND($D62*INDEX('🔖 배합비 참조'!$B$2:$CE$83,MATCH("당류가공품(단호박농축액)",'🔖 배합비 참조'!$A$2:$A$83,0),MATCH($C62,'🔖 배합비 참조'!$B$1:$CE$1,0))/100,0),""))),"")</f>
        <v>0</v>
      </c>
      <c r="AD62" s="42" t="n">
        <f aca="false">IFERROR(IF($C62="","",IF($D62="","",IFERROR(ROUND($D62*INDEX('🔖 배합비 참조'!$B$2:$CE$83,MATCH("당류가공품(알룰로스,에리스리톨,스테비올배당체혼합)",'🔖 배합비 참조'!$A$2:$A$83,0),MATCH($C62,'🔖 배합비 참조'!$B$1:$CE$1,0))/100,0),""))),"")</f>
        <v>0</v>
      </c>
      <c r="AE62" s="42" t="n">
        <f aca="false">IFERROR(IF($C62="","",IF($D62="","",IFERROR(ROUND($D62*INDEX('🔖 배합비 참조'!$B$2:$CE$83,MATCH("당류가공품(알룰로스제로파우더)",'🔖 배합비 참조'!$A$2:$A$83,0),MATCH($C62,'🔖 배합비 참조'!$B$1:$CE$1,0))/100,0),""))),"")</f>
        <v>0</v>
      </c>
      <c r="AF62" s="42" t="n">
        <f aca="false">IFERROR(IF($C62="","",IF($D62="","",IFERROR(ROUND($D62*INDEX('🔖 배합비 참조'!$B$2:$CE$83,MATCH("당절임(완두배기)",'🔖 배합비 참조'!$A$2:$A$83,0),MATCH($C62,'🔖 배합비 참조'!$B$1:$CE$1,0))/100,0),""))),"")</f>
        <v>0</v>
      </c>
      <c r="AG62" s="42" t="n">
        <f aca="false">IFERROR(IF($C62="","",IF($D62="","",IFERROR(ROUND($D62*INDEX('🔖 배합비 참조'!$B$2:$CE$83,MATCH("대추농축액",'🔖 배합비 참조'!$A$2:$A$83,0),MATCH($C62,'🔖 배합비 참조'!$B$1:$CE$1,0))/100,0),""))),"")</f>
        <v>0</v>
      </c>
      <c r="AH62" s="42" t="n">
        <f aca="false">IFERROR(IF($C62="","",IF($D62="","",IFERROR(ROUND($D62*INDEX('🔖 배합비 참조'!$B$2:$CE$83,MATCH("대추채(국내산)",'🔖 배합비 참조'!$A$2:$A$83,0),MATCH($C62,'🔖 배합비 참조'!$B$1:$CE$1,0))/100,0),""))),"")</f>
        <v>0</v>
      </c>
      <c r="AI62" s="42" t="n">
        <f aca="false">IFERROR(IF($C62="","",IF($D62="","",IFERROR(ROUND($D62*INDEX('🔖 배합비 참조'!$B$2:$CE$83,MATCH("동부(미얀마산)",'🔖 배합비 참조'!$A$2:$A$83,0),MATCH($C62,'🔖 배합비 참조'!$B$1:$CE$1,0))/100,0),""))),"")</f>
        <v>0</v>
      </c>
      <c r="AJ62" s="42" t="n">
        <f aca="false">IFERROR(IF($C62="","",IF($D62="","",IFERROR(ROUND($D62*INDEX('🔖 배합비 참조'!$B$2:$CE$83,MATCH("두류가공품(백옥앙금)",'🔖 배합비 참조'!$A$2:$A$83,0),MATCH($C62,'🔖 배합비 참조'!$B$1:$CE$1,0))/100,0),""))),"")</f>
        <v>0</v>
      </c>
      <c r="AK62" s="42" t="n">
        <f aca="false">IFERROR(IF($C62="","",IF($D62="","",IFERROR(ROUND($D62*INDEX('🔖 배합비 참조'!$B$2:$CE$83,MATCH("두류가공품(콩고물)",'🔖 배합비 참조'!$A$2:$A$83,0),MATCH($C62,'🔖 배합비 참조'!$B$1:$CE$1,0))/100,0),""))),"")</f>
        <v>0</v>
      </c>
      <c r="AL62" s="42" t="n">
        <f aca="false">IFERROR(IF($C62="","",IF($D62="","",IFERROR(ROUND($D62*INDEX('🔖 배합비 참조'!$B$2:$CE$83,MATCH("두류가공품(통팥고물)",'🔖 배합비 참조'!$A$2:$A$83,0),MATCH($C62,'🔖 배합비 참조'!$B$1:$CE$1,0))/100,0),""))),"")</f>
        <v>0</v>
      </c>
      <c r="AM62" s="42" t="n">
        <f aca="false">IFERROR(IF($C62="","",IF($D62="","",IFERROR(ROUND($D62*INDEX('🔖 배합비 참조'!$B$2:$CE$83,MATCH("딸기레진",'🔖 배합비 참조'!$A$2:$A$83,0),MATCH($C62,'🔖 배합비 참조'!$B$1:$CE$1,0))/100,0),""))),"")</f>
        <v>0</v>
      </c>
      <c r="AN62" s="42" t="n">
        <f aca="false">IFERROR(IF($C62="","",IF($D62="","",IFERROR(ROUND($D62*INDEX('🔖 배합비 참조'!$B$2:$CE$83,MATCH("딸기분말(스트로우베리에이드(분말))",'🔖 배합비 참조'!$A$2:$A$83,0),MATCH($C62,'🔖 배합비 참조'!$B$1:$CE$1,0))/100,0),""))),"")</f>
        <v>0</v>
      </c>
      <c r="AO62" s="42" t="n">
        <f aca="false">IFERROR(IF($C62="","",IF($D62="","",IFERROR(ROUND($D62*INDEX('🔖 배합비 참조'!$B$2:$CE$83,MATCH("마스카포네치즈",'🔖 배합비 참조'!$A$2:$A$83,0),MATCH($C62,'🔖 배합비 참조'!$B$1:$CE$1,0))/100,0),""))),"")</f>
        <v>0</v>
      </c>
      <c r="AP62" s="42" t="n">
        <f aca="false">IFERROR(IF($C62="","",IF($D62="","",IFERROR(ROUND($D62*INDEX('🔖 배합비 참조'!$B$2:$CE$83,MATCH("마카다미아분태(호주산)",'🔖 배합비 참조'!$A$2:$A$83,0),MATCH($C62,'🔖 배합비 참조'!$B$1:$CE$1,0))/100,0),""))),"")</f>
        <v>3</v>
      </c>
      <c r="AQ62" s="42" t="n">
        <f aca="false">IFERROR(IF($C62="","",IF($D62="","",IFERROR(ROUND($D62*INDEX('🔖 배합비 참조'!$B$2:$CE$83,MATCH("멥쌀(국내산)",'🔖 배합비 참조'!$A$2:$A$83,0),MATCH($C62,'🔖 배합비 참조'!$B$1:$CE$1,0))/100,0),""))),"")</f>
        <v>0</v>
      </c>
      <c r="AR62" s="42" t="n">
        <f aca="false">IFERROR(IF($C62="","",IF($D62="","",IFERROR(ROUND($D62*INDEX('🔖 배합비 참조'!$B$2:$CE$83,MATCH("모시잎(국내산)",'🔖 배합비 참조'!$A$2:$A$83,0),MATCH($C62,'🔖 배합비 참조'!$B$1:$CE$1,0))/100,0),""))),"")</f>
        <v>0</v>
      </c>
      <c r="AS62" s="42" t="n">
        <f aca="false">IFERROR(IF($C62="","",IF($D62="","",IFERROR(ROUND($D62*INDEX('🔖 배합비 참조'!$B$2:$CE$83,MATCH("물엿(저당물엿)",'🔖 배합비 참조'!$A$2:$A$83,0),MATCH($C62,'🔖 배합비 참조'!$B$1:$CE$1,0))/100,0),""))),"")</f>
        <v>0</v>
      </c>
      <c r="AT62" s="42" t="n">
        <f aca="false">IFERROR(IF($C62="","",IF($D62="","",IFERROR(ROUND($D62*INDEX('🔖 배합비 참조'!$B$2:$CE$83,MATCH("밤다이스",'🔖 배합비 참조'!$A$2:$A$83,0),MATCH($C62,'🔖 배합비 참조'!$B$1:$CE$1,0))/100,0),""))),"")</f>
        <v>1</v>
      </c>
      <c r="AU62" s="42" t="n">
        <f aca="false">IFERROR(IF($C62="","",IF($D62="","",IFERROR(ROUND($D62*INDEX('🔖 배합비 참조'!$B$2:$CE$83,MATCH("변성전분(타피오카전분)",'🔖 배합비 참조'!$A$2:$A$83,0),MATCH($C62,'🔖 배합비 참조'!$B$1:$CE$1,0))/100,0),""))),"")</f>
        <v>0</v>
      </c>
      <c r="AV62" s="42" t="n">
        <f aca="false">IFERROR(IF($C62="","",IF($D62="","",IFERROR(ROUND($D62*INDEX('🔖 배합비 참조'!$B$2:$CE$83,MATCH("복음땅콩분태",'🔖 배합비 참조'!$A$2:$A$83,0),MATCH($C62,'🔖 배합비 참조'!$B$1:$CE$1,0))/100,0),""))),"")</f>
        <v>0</v>
      </c>
      <c r="AW62" s="42" t="n">
        <f aca="false">IFERROR(IF($C62="","",IF($D62="","",IFERROR(ROUND($D62*INDEX('🔖 배합비 참조'!$B$2:$CE$83,MATCH("사양벌꿀(국내산)",'🔖 배합비 참조'!$A$2:$A$83,0),MATCH($C62,'🔖 배합비 참조'!$B$1:$CE$1,0))/100,0),""))),"")</f>
        <v>0</v>
      </c>
      <c r="AX62" s="42" t="n">
        <f aca="false">IFERROR(IF($C62="","",IF($D62="","",IFERROR(ROUND($D62*INDEX('🔖 배합비 참조'!$B$2:$CE$83,MATCH("생크림",'🔖 배합비 참조'!$A$2:$A$83,0),MATCH($C62,'🔖 배합비 참조'!$B$1:$CE$1,0))/100,0),""))),"")</f>
        <v>0</v>
      </c>
      <c r="AY62" s="42" t="n">
        <f aca="false">IFERROR(IF($C62="","",IF($D62="","",IFERROR(ROUND($D62*INDEX('🔖 배합비 참조'!$B$2:$CE$83,MATCH("서양호박(국내산,뉴질랜드산)",'🔖 배합비 참조'!$A$2:$A$83,0),MATCH($C62,'🔖 배합비 참조'!$B$1:$CE$1,0))/100,0),""))),"")</f>
        <v>0</v>
      </c>
      <c r="AZ62" s="42" t="n">
        <f aca="false">IFERROR(IF($C62="","",IF($D62="","",IFERROR(ROUND($D62*INDEX('🔖 배합비 참조'!$B$2:$CE$83,MATCH("설탕",'🔖 배합비 참조'!$A$2:$A$83,0),MATCH($C62,'🔖 배합비 참조'!$B$1:$CE$1,0))/100,0),""))),"")</f>
        <v>1</v>
      </c>
      <c r="BA62" s="42" t="n">
        <f aca="false">IFERROR(IF($C62="","",IF($D62="","",IFERROR(ROUND($D62*INDEX('🔖 배합비 참조'!$B$2:$CE$83,MATCH("스트로우베리 에이드 후레쉬",'🔖 배합비 참조'!$A$2:$A$83,0),MATCH($C62,'🔖 배합비 참조'!$B$1:$CE$1,0))/100,0),""))),"")</f>
        <v>0</v>
      </c>
      <c r="BB62" s="42" t="n">
        <f aca="false">IFERROR(IF($C62="","",IF($D62="","",IFERROR(ROUND($D62*INDEX('🔖 배합비 참조'!$B$2:$CE$83,MATCH("식물성기름혼합제제(분홍)",'🔖 배합비 참조'!$A$2:$A$83,0),MATCH($C62,'🔖 배합비 참조'!$B$1:$CE$1,0))/100,0),""))),"")</f>
        <v>0</v>
      </c>
      <c r="BC62" s="42" t="n">
        <f aca="false">IFERROR(IF($C62="","",IF($D62="","",IFERROR(ROUND($D62*INDEX('🔖 배합비 참조'!$B$2:$CE$83,MATCH("식물성기름혼합제제(초록)",'🔖 배합비 참조'!$A$2:$A$83,0),MATCH($C62,'🔖 배합비 참조'!$B$1:$CE$1,0))/100,0),""))),"")</f>
        <v>0</v>
      </c>
      <c r="BD62" s="42" t="n">
        <f aca="false">IFERROR(IF($C62="","",IF($D62="","",IFERROR(ROUND($D62*INDEX('🔖 배합비 참조'!$B$2:$CE$83,MATCH("식물성기름혼합제제(황색)",'🔖 배합비 참조'!$A$2:$A$83,0),MATCH($C62,'🔖 배합비 참조'!$B$1:$CE$1,0))/100,0),""))),"")</f>
        <v>0</v>
      </c>
      <c r="BE62" s="42" t="n">
        <f aca="false">IFERROR(IF($C62="","",IF($D62="","",IFERROR(ROUND($D62*INDEX('🔖 배합비 참조'!$B$2:$CE$83,MATCH("쑥가루(국내산)",'🔖 배합비 참조'!$A$2:$A$83,0),MATCH($C62,'🔖 배합비 참조'!$B$1:$CE$1,0))/100,0),""))),"")</f>
        <v>0</v>
      </c>
      <c r="BF62" s="42" t="n">
        <f aca="false">IFERROR(IF($C62="","",IF($D62="","",IFERROR(ROUND($D62*INDEX('🔖 배합비 참조'!$B$2:$CE$83,MATCH("아몬드슬라이스",'🔖 배합비 참조'!$A$2:$A$83,0),MATCH($C62,'🔖 배합비 참조'!$B$1:$CE$1,0))/100,0),""))),"")</f>
        <v>0</v>
      </c>
      <c r="BG62" s="42" t="n">
        <f aca="false">IFERROR(IF($C62="","",IF($D62="","",IFERROR(ROUND($D62*INDEX('🔖 배합비 참조'!$B$2:$CE$83,MATCH("알룰로오스(국내산)",'🔖 배합비 참조'!$A$2:$A$83,0),MATCH($C62,'🔖 배합비 참조'!$B$1:$CE$1,0))/100,0),""))),"")</f>
        <v>0</v>
      </c>
      <c r="BH62" s="42" t="n">
        <f aca="false">IFERROR(IF($C62="","",IF($D62="","",IFERROR(ROUND($D62*INDEX('🔖 배합비 참조'!$B$2:$CE$83,MATCH("연유",'🔖 배합비 참조'!$A$2:$A$83,0),MATCH($C62,'🔖 배합비 참조'!$B$1:$CE$1,0))/100,0),""))),"")</f>
        <v>0</v>
      </c>
      <c r="BI62" s="42" t="n">
        <f aca="false">IFERROR(IF($C62="","",IF($D62="","",IFERROR(ROUND($D62*INDEX('🔖 배합비 참조'!$B$2:$CE$83,MATCH("옥수수전분",'🔖 배합비 참조'!$A$2:$A$83,0),MATCH($C62,'🔖 배합비 참조'!$B$1:$CE$1,0))/100,0),""))),"")</f>
        <v>1</v>
      </c>
      <c r="BJ62" s="42" t="n">
        <f aca="false">IFERROR(IF($C62="","",IF($D62="","",IFERROR(ROUND($D62*INDEX('🔖 배합비 참조'!$B$2:$CE$83,MATCH("완두배기",'🔖 배합비 참조'!$A$2:$A$83,0),MATCH($C62,'🔖 배합비 참조'!$B$1:$CE$1,0))/100,0),""))),"")</f>
        <v>0</v>
      </c>
      <c r="BK62" s="42" t="n">
        <f aca="false">IFERROR(IF($C62="","",IF($D62="","",IFERROR(ROUND($D62*INDEX('🔖 배합비 참조'!$B$2:$CE$83,MATCH("우유(국내산)",'🔖 배합비 참조'!$A$2:$A$83,0),MATCH($C62,'🔖 배합비 참조'!$B$1:$CE$1,0))/100,0),""))),"")</f>
        <v>0</v>
      </c>
      <c r="BL62" s="42" t="n">
        <f aca="false">IFERROR(IF($C62="","",IF($D62="","",IFERROR(ROUND($D62*INDEX('🔖 배합비 참조'!$B$2:$CE$83,MATCH("자색고구마가루(중국산)",'🔖 배합비 참조'!$A$2:$A$83,0),MATCH($C62,'🔖 배합비 참조'!$B$1:$CE$1,0))/100,0),""))),"")</f>
        <v>0</v>
      </c>
      <c r="BM62" s="42" t="n">
        <f aca="false">IFERROR(IF($C62="","",IF($D62="","",IFERROR(ROUND($D62*INDEX('🔖 배합비 참조'!$B$2:$CE$83,MATCH("자연치즈(체다치즈)",'🔖 배합비 참조'!$A$2:$A$83,0),MATCH($C62,'🔖 배합비 참조'!$B$1:$CE$1,0))/100,0),""))),"")</f>
        <v>0</v>
      </c>
      <c r="BN62" s="42" t="n">
        <f aca="false">IFERROR(IF($C62="","",IF($D62="","",IFERROR(ROUND($D62*INDEX('🔖 배합비 참조'!$B$2:$CE$83,MATCH("정제수",'🔖 배합비 참조'!$A$2:$A$83,0),MATCH($C62,'🔖 배합비 참조'!$B$1:$CE$1,0))/100,0),""))),"")</f>
        <v>12</v>
      </c>
      <c r="BO62" s="42" t="n">
        <f aca="false">IFERROR(IF($C62="","",IF($D62="","",IFERROR(ROUND($D62*INDEX('🔖 배합비 참조'!$B$2:$CE$83,MATCH("젤라틴",'🔖 배합비 참조'!$A$2:$A$83,0),MATCH($C62,'🔖 배합비 참조'!$B$1:$CE$1,0))/100,0),""))),"")</f>
        <v>0</v>
      </c>
      <c r="BP62" s="42" t="n">
        <f aca="false">IFERROR(IF($C62="","",IF($D62="","",IFERROR(ROUND($D62*INDEX('🔖 배합비 참조'!$B$2:$CE$83,MATCH("조림류(백옥앙금)",'🔖 배합비 참조'!$A$2:$A$83,0),MATCH($C62,'🔖 배합비 참조'!$B$1:$CE$1,0))/100,0),""))),"")</f>
        <v>0</v>
      </c>
      <c r="BQ62" s="42" t="n">
        <f aca="false">IFERROR(IF($C62="","",IF($D62="","",IFERROR(ROUND($D62*INDEX('🔖 배합비 참조'!$B$2:$CE$83,MATCH("조림류(통팥앙금)",'🔖 배합비 참조'!$A$2:$A$83,0),MATCH($C62,'🔖 배합비 참조'!$B$1:$CE$1,0))/100,0),""))),"")</f>
        <v>23</v>
      </c>
      <c r="BR62" s="42" t="n">
        <f aca="false">IFERROR(IF($C62="","",IF($D62="","",IFERROR(ROUND($D62*INDEX('🔖 배합비 참조'!$B$2:$CE$83,MATCH("준초콜릿(외국산)",'🔖 배합비 참조'!$A$2:$A$83,0),MATCH($C62,'🔖 배합비 참조'!$B$1:$CE$1,0))/100,0),""))),"")</f>
        <v>0</v>
      </c>
      <c r="BS62" s="42" t="n">
        <f aca="false">IFERROR(IF($C62="","",IF($D62="","",IFERROR(ROUND($D62*INDEX('🔖 배합비 참조'!$B$2:$CE$83,MATCH("중력분",'🔖 배합비 참조'!$A$2:$A$83,0),MATCH($C62,'🔖 배합비 참조'!$B$1:$CE$1,0))/100,0),""))),"")</f>
        <v>0</v>
      </c>
      <c r="BT62" s="42" t="n">
        <f aca="false">IFERROR(IF($C62="","",IF($D62="","",IFERROR(ROUND($D62*INDEX('🔖 배합비 참조'!$B$2:$CE$83,MATCH("참깨(인도산,나이지리아산,탄자니아산,미얀마산)",'🔖 배합비 참조'!$A$2:$A$83,0),MATCH($C62,'🔖 배합비 참조'!$B$1:$CE$1,0))/100,0),""))),"")</f>
        <v>0</v>
      </c>
      <c r="BU62" s="42" t="n">
        <f aca="false">IFERROR(IF($C62="","",IF($D62="","",IFERROR(ROUND($D62*INDEX('🔖 배합비 참조'!$B$2:$CE$83,MATCH("찹쌀(국내산)",'🔖 배합비 참조'!$A$2:$A$83,0),MATCH($C62,'🔖 배합비 참조'!$B$1:$CE$1,0))/100,0),""))),"")</f>
        <v>25</v>
      </c>
      <c r="BV62" s="42" t="n">
        <f aca="false">IFERROR(IF($C62="","",IF($D62="","",IFERROR(ROUND($D62*INDEX('🔖 배합비 참조'!$B$2:$CE$83,MATCH("천일염",'🔖 배합비 참조'!$A$2:$A$83,0),MATCH($C62,'🔖 배합비 참조'!$B$1:$CE$1,0))/100,0),""))),"")</f>
        <v>1</v>
      </c>
      <c r="BW62" s="42" t="n">
        <f aca="false">IFERROR(IF($C62="","",IF($D62="","",IFERROR(ROUND($D62*INDEX('🔖 배합비 참조'!$B$2:$CE$83,MATCH("치즈 [크림치즈]",'🔖 배합비 참조'!$A$2:$A$83,0),MATCH($C62,'🔖 배합비 참조'!$B$1:$CE$1,0))/100,0),""))),"")</f>
        <v>0</v>
      </c>
      <c r="BX62" s="42" t="n">
        <f aca="false">IFERROR(IF($C62="","",IF($D62="","",IFERROR(ROUND($D62*INDEX('🔖 배합비 참조'!$B$2:$CE$83,MATCH("코코아가공품류(코코아분말)",'🔖 배합비 참조'!$A$2:$A$83,0),MATCH($C62,'🔖 배합비 참조'!$B$1:$CE$1,0))/100,0),""))),"")</f>
        <v>0</v>
      </c>
      <c r="BY62" s="42" t="n">
        <f aca="false">IFERROR(IF($C62="","",IF($D62="","",IFERROR(ROUND($D62*INDEX('🔖 배합비 참조'!$B$2:$CE$83,MATCH("콩기름(대두유)",'🔖 배합비 참조'!$A$2:$A$83,0),MATCH($C62,'🔖 배합비 참조'!$B$1:$CE$1,0))/100,0),""))),"")</f>
        <v>0</v>
      </c>
      <c r="BZ62" s="42" t="n">
        <f aca="false">IFERROR(IF($C62="","",IF($D62="","",IFERROR(ROUND($D62*INDEX('🔖 배합비 참조'!$B$2:$CE$83,MATCH("해바라기씨앗",'🔖 배합비 참조'!$A$2:$A$83,0),MATCH($C62,'🔖 배합비 참조'!$B$1:$CE$1,0))/100,0),""))),"")</f>
        <v>0</v>
      </c>
      <c r="CA62" s="42" t="n">
        <f aca="false">IFERROR(IF($C62="","",IF($D62="","",IFERROR(ROUND($D62*INDEX('🔖 배합비 참조'!$B$2:$CE$83,MATCH("현미(국내산)",'🔖 배합비 참조'!$A$2:$A$83,0),MATCH($C62,'🔖 배합비 참조'!$B$1:$CE$1,0))/100,0),""))),"")</f>
        <v>0</v>
      </c>
      <c r="CB62" s="42" t="n">
        <f aca="false">IFERROR(IF($C62="","",IF($D62="","",IFERROR(ROUND($D62*INDEX('🔖 배합비 참조'!$B$2:$CE$83,MATCH("현미멥쌀(국내산)",'🔖 배합비 참조'!$A$2:$A$83,0),MATCH($C62,'🔖 배합비 참조'!$B$1:$CE$1,0))/100,0),""))),"")</f>
        <v>0</v>
      </c>
      <c r="CC62" s="42" t="n">
        <f aca="false">IFERROR(IF($C62="","",IF($D62="","",IFERROR(ROUND($D62*INDEX('🔖 배합비 참조'!$B$2:$CE$83,MATCH("호두분태(미국산)",'🔖 배합비 참조'!$A$2:$A$83,0),MATCH($C62,'🔖 배합비 참조'!$B$1:$CE$1,0))/100,0),""))),"")</f>
        <v>2</v>
      </c>
      <c r="CD62" s="42" t="n">
        <f aca="false">IFERROR(IF($C62="","",IF($D62="","",IFERROR(ROUND($D62*INDEX('🔖 배합비 참조'!$B$2:$CE$83,MATCH("호박씨앗(외국산)",'🔖 배합비 참조'!$A$2:$A$83,0),MATCH($C62,'🔖 배합비 참조'!$B$1:$CE$1,0))/100,0),""))),"")</f>
        <v>0</v>
      </c>
      <c r="CE62" s="42" t="n">
        <f aca="false">IFERROR(IF($C62="","",IF($D62="","",IFERROR(ROUND($D62*INDEX('🔖 배합비 참조'!$B$2:$CE$83,MATCH("혼합제제(떡용에스텔)",'🔖 배합비 참조'!$A$2:$A$83,0),MATCH($C62,'🔖 배합비 참조'!$B$1:$CE$1,0))/100,0),""))),"")</f>
        <v>0</v>
      </c>
      <c r="CF62" s="42" t="n">
        <f aca="false">IFERROR(IF($C62="","",IF($D62="","",IFERROR(ROUND($D62*INDEX('🔖 배합비 참조'!$B$2:$CE$83,MATCH("혼합제제(스테비아)",'🔖 배합비 참조'!$A$2:$A$83,0),MATCH($C62,'🔖 배합비 참조'!$B$1:$CE$1,0))/100,0),""))),"")</f>
        <v>0</v>
      </c>
      <c r="CG62" s="42" t="n">
        <f aca="false">IFERROR(IF($C62="","",IF($D62="","",IFERROR(ROUND($D62*INDEX('🔖 배합비 참조'!$B$2:$CE$83,MATCH("화이트초콜릿",'🔖 배합비 참조'!$A$2:$A$83,0),MATCH($C62,'🔖 배합비 참조'!$B$1:$CE$1,0))/100,0),""))),"")</f>
        <v>0</v>
      </c>
      <c r="CH62" s="42" t="n">
        <f aca="false">IFERROR(IF($C62="","",IF($D62="","",IFERROR(ROUND($D62*INDEX('🔖 배합비 참조'!$B$2:$CE$83,MATCH("흑미찹쌀(국내산)",'🔖 배합비 참조'!$A$2:$A$83,0),MATCH($C62,'🔖 배합비 참조'!$B$1:$CE$1,0))/100,0),""))),"")</f>
        <v>0</v>
      </c>
      <c r="CI62" s="42" t="n">
        <f aca="false">IFERROR(IF($C62="","",IF($D62="","",IFERROR(ROUND($D62*INDEX('🔖 배합비 참조'!$B$2:$CE$83,MATCH("찰옥수수전분(미국산)",'🔖 배합비 참조'!$A$2:$A$83,0),MATCH($C62,'🔖 배합비 참조'!$B$1:$CE$1,0))/100,0),""))),"")</f>
        <v>0</v>
      </c>
      <c r="CJ62" s="40"/>
      <c r="CL62" s="1" t="s">
        <v>238</v>
      </c>
    </row>
    <row r="63" customFormat="false" ht="18" hidden="false" customHeight="true" outlineLevel="0" collapsed="false">
      <c r="A63" s="35" t="n">
        <v>59</v>
      </c>
      <c r="B63" s="36" t="n">
        <v>45971</v>
      </c>
      <c r="C63" s="37" t="s">
        <v>158</v>
      </c>
      <c r="D63" s="38" t="n">
        <v>70</v>
      </c>
      <c r="E63" s="13"/>
      <c r="F63" s="13"/>
      <c r="G63" s="39" t="n">
        <f aca="false">IFERROR(IF($C63="","",IF($D63="","",IFERROR(ROUND($D63*INDEX('🔖 배합비 참조'!$B$2:$CE$83,MATCH("간장",'🔖 배합비 참조'!$A$2:$A$83,0),MATCH($C63,'🔖 배합비 참조'!$B$1:$CE$1,0))/100,0),""))),"")</f>
        <v>0</v>
      </c>
      <c r="H63" s="39" t="n">
        <f aca="false">IFERROR(IF($C63="","",IF($D63="","",IFERROR(ROUND($D63*INDEX('🔖 배합비 참조'!$B$2:$CE$83,MATCH("강낭콩((울타리콩))",'🔖 배합비 참조'!$A$2:$A$83,0),MATCH($C63,'🔖 배합비 참조'!$B$1:$CE$1,0))/100,0),""))),"")</f>
        <v>0</v>
      </c>
      <c r="I63" s="39" t="n">
        <f aca="false">IFERROR(IF($C63="","",IF($D63="","",IFERROR(ROUND($D63*INDEX('🔖 배합비 참조'!$B$2:$CE$83,MATCH("건조딸기다이스(외국산)",'🔖 배합비 참조'!$A$2:$A$83,0),MATCH($C63,'🔖 배합비 참조'!$B$1:$CE$1,0))/100,0),""))),"")</f>
        <v>0</v>
      </c>
      <c r="J63" s="39" t="n">
        <f aca="false">IFERROR(IF($C63="","",IF($D63="","",IFERROR(ROUND($D63*INDEX('🔖 배합비 참조'!$B$2:$CE$83,MATCH("건포도",'🔖 배합비 참조'!$A$2:$A$83,0),MATCH($C63,'🔖 배합비 참조'!$B$1:$CE$1,0))/100,0),""))),"")</f>
        <v>0</v>
      </c>
      <c r="K63" s="39" t="n">
        <f aca="false">IFERROR(IF($C63="","",IF($D63="","",IFERROR(ROUND($D63*INDEX('🔖 배합비 참조'!$B$2:$CE$83,MATCH("건호박채(중국산)",'🔖 배합비 참조'!$A$2:$A$83,0),MATCH($C63,'🔖 배합비 참조'!$B$1:$CE$1,0))/100,0),""))),"")</f>
        <v>0</v>
      </c>
      <c r="L63" s="39" t="n">
        <f aca="false">IFERROR(IF($C63="","",IF($D63="","",IFERROR(ROUND($D63*INDEX('🔖 배합비 참조'!$B$2:$CE$83,MATCH("검정깨(흑임자)",'🔖 배합비 참조'!$A$2:$A$83,0),MATCH($C63,'🔖 배합비 참조'!$B$1:$CE$1,0))/100,0),""))),"")</f>
        <v>0</v>
      </c>
      <c r="M63" s="39" t="n">
        <f aca="false">IFERROR(IF($C63="","",IF($D63="","",IFERROR(ROUND($D63*INDEX('🔖 배합비 참조'!$B$2:$CE$83,MATCH("검정콩",'🔖 배합비 참조'!$A$2:$A$83,0),MATCH($C63,'🔖 배합비 참조'!$B$1:$CE$1,0))/100,0),""))),"")</f>
        <v>0</v>
      </c>
      <c r="N63" s="39" t="n">
        <f aca="false">IFERROR(IF($C63="","",IF($D63="","",IFERROR(ROUND($D63*INDEX('🔖 배합비 참조'!$B$2:$CE$83,MATCH("계피가루",'🔖 배합비 참조'!$A$2:$A$83,0),MATCH($C63,'🔖 배합비 참조'!$B$1:$CE$1,0))/100,0),""))),"")</f>
        <v>0</v>
      </c>
      <c r="O63" s="39" t="n">
        <f aca="false">IFERROR(IF($C63="","",IF($D63="","",IFERROR(ROUND($D63*INDEX('🔖 배합비 참조'!$B$2:$CE$83,MATCH("고구마가루",'🔖 배합비 참조'!$A$2:$A$83,0),MATCH($C63,'🔖 배합비 참조'!$B$1:$CE$1,0))/100,0),""))),"")</f>
        <v>0</v>
      </c>
      <c r="P63" s="39" t="n">
        <f aca="false">IFERROR(IF($C63="","",IF($D63="","",IFERROR(ROUND($D63*INDEX('🔖 배합비 참조'!$B$2:$CE$83,MATCH("고구마무스",'🔖 배합비 참조'!$A$2:$A$83,0),MATCH($C63,'🔖 배합비 참조'!$B$1:$CE$1,0))/100,0),""))),"")</f>
        <v>0</v>
      </c>
      <c r="Q63" s="39" t="n">
        <f aca="false">IFERROR(IF($C63="","",IF($D63="","",IFERROR(ROUND($D63*INDEX('🔖 배합비 참조'!$B$2:$CE$83,MATCH("고려엉겅퀴((곤드레)국내산)",'🔖 배합비 참조'!$A$2:$A$83,0),MATCH($C63,'🔖 배합비 참조'!$B$1:$CE$1,0))/100,0),""))),"")</f>
        <v>0</v>
      </c>
      <c r="R63" s="39" t="n">
        <f aca="false">IFERROR(IF($C63="","",IF($D63="","",IFERROR(ROUND($D63*INDEX('🔖 배합비 참조'!$B$2:$CE$83,MATCH("기타가공품(복분자가루)",'🔖 배합비 참조'!$A$2:$A$83,0),MATCH($C63,'🔖 배합비 참조'!$B$1:$CE$1,0))/100,0),""))),"")</f>
        <v>0</v>
      </c>
      <c r="S63" s="39" t="n">
        <f aca="false">IFERROR(IF($C63="","",IF($D63="","",IFERROR(ROUND($D63*INDEX('🔖 배합비 참조'!$B$2:$CE$83,MATCH("기타가공품(슈퍼소프트엠)",'🔖 배합비 참조'!$A$2:$A$83,0),MATCH($C63,'🔖 배합비 참조'!$B$1:$CE$1,0))/100,0),""))),"")</f>
        <v>0</v>
      </c>
      <c r="T63" s="39" t="n">
        <f aca="false">IFERROR(IF($C63="","",IF($D63="","",IFERROR(ROUND($D63*INDEX('🔖 배합비 참조'!$B$2:$CE$83,MATCH("기타가공품(파인소프트 E-티)",'🔖 배합비 참조'!$A$2:$A$83,0),MATCH($C63,'🔖 배합비 참조'!$B$1:$CE$1,0))/100,0),""))),"")</f>
        <v>0</v>
      </c>
      <c r="U63" s="39" t="n">
        <f aca="false">IFERROR(IF($C63="","",IF($D63="","",IFERROR(ROUND($D63*INDEX('🔖 배합비 참조'!$B$2:$CE$83,MATCH("기타가공품(프리미엄카스테라가루)",'🔖 배합비 참조'!$A$2:$A$83,0),MATCH($C63,'🔖 배합비 참조'!$B$1:$CE$1,0))/100,0),""))),"")</f>
        <v>0</v>
      </c>
      <c r="V63" s="39" t="n">
        <f aca="false">IFERROR(IF($C63="","",IF($D63="","",IFERROR(ROUND($D63*INDEX('🔖 배합비 참조'!$B$2:$CE$83,MATCH("기타가공품(흑임자가루)",'🔖 배합비 참조'!$A$2:$A$83,0),MATCH($C63,'🔖 배합비 참조'!$B$1:$CE$1,0))/100,0),""))),"")</f>
        <v>0</v>
      </c>
      <c r="W63" s="39" t="n">
        <f aca="false">IFERROR(IF($C63="","",IF($D63="","",IFERROR(ROUND($D63*INDEX('🔖 배합비 참조'!$B$2:$CE$83,MATCH("기타설탕(흑설탕)",'🔖 배합비 참조'!$A$2:$A$83,0),MATCH($C63,'🔖 배합비 참조'!$B$1:$CE$1,0))/100,0),""))),"")</f>
        <v>0</v>
      </c>
      <c r="X63" s="39" t="n">
        <f aca="false">IFERROR(IF($C63="","",IF($D63="","",IFERROR(ROUND($D63*INDEX('🔖 배합비 참조'!$B$2:$CE$83,MATCH("냉동쑥(국내산)",'🔖 배합비 참조'!$A$2:$A$83,0),MATCH($C63,'🔖 배합비 참조'!$B$1:$CE$1,0))/100,0),""))),"")</f>
        <v>0</v>
      </c>
      <c r="Y63" s="39" t="n">
        <f aca="false">IFERROR(IF($C63="","",IF($D63="","",IFERROR(ROUND($D63*INDEX('🔖 배합비 참조'!$B$2:$CE$83,MATCH("냉동증숙고구마(중국산)",'🔖 배합비 참조'!$A$2:$A$83,0),MATCH($C63,'🔖 배합비 참조'!$B$1:$CE$1,0))/100,0),""))),"")</f>
        <v>0</v>
      </c>
      <c r="Z63" s="39" t="n">
        <f aca="false">IFERROR(IF($C63="","",IF($D63="","",IFERROR(ROUND($D63*INDEX('🔖 배합비 참조'!$B$2:$CE$83,MATCH("녹차가루",'🔖 배합비 참조'!$A$2:$A$83,0),MATCH($C63,'🔖 배합비 참조'!$B$1:$CE$1,0))/100,0),""))),"")</f>
        <v>0</v>
      </c>
      <c r="AA63" s="39" t="n">
        <f aca="false">IFERROR(IF($C63="","",IF($D63="","",IFERROR(ROUND($D63*INDEX('🔖 배합비 참조'!$B$2:$CE$83,MATCH("다크초콜릿 컴파운드칩",'🔖 배합비 참조'!$A$2:$A$83,0),MATCH($C63,'🔖 배합비 참조'!$B$1:$CE$1,0))/100,0),""))),"")</f>
        <v>0</v>
      </c>
      <c r="AB63" s="39" t="n">
        <f aca="false">IFERROR(IF($C63="","",IF($D63="","",IFERROR(ROUND($D63*INDEX('🔖 배합비 참조'!$B$2:$CE$83,MATCH("단호박분말(중국산)",'🔖 배합비 참조'!$A$2:$A$83,0),MATCH($C63,'🔖 배합비 참조'!$B$1:$CE$1,0))/100,0),""))),"")</f>
        <v>0</v>
      </c>
      <c r="AC63" s="39" t="n">
        <f aca="false">IFERROR(IF($C63="","",IF($D63="","",IFERROR(ROUND($D63*INDEX('🔖 배합비 참조'!$B$2:$CE$83,MATCH("당류가공품(단호박농축액)",'🔖 배합비 참조'!$A$2:$A$83,0),MATCH($C63,'🔖 배합비 참조'!$B$1:$CE$1,0))/100,0),""))),"")</f>
        <v>0</v>
      </c>
      <c r="AD63" s="39" t="n">
        <f aca="false">IFERROR(IF($C63="","",IF($D63="","",IFERROR(ROUND($D63*INDEX('🔖 배합비 참조'!$B$2:$CE$83,MATCH("당류가공품(알룰로스,에리스리톨,스테비올배당체혼합)",'🔖 배합비 참조'!$A$2:$A$83,0),MATCH($C63,'🔖 배합비 참조'!$B$1:$CE$1,0))/100,0),""))),"")</f>
        <v>0</v>
      </c>
      <c r="AE63" s="39" t="n">
        <f aca="false">IFERROR(IF($C63="","",IF($D63="","",IFERROR(ROUND($D63*INDEX('🔖 배합비 참조'!$B$2:$CE$83,MATCH("당류가공품(알룰로스제로파우더)",'🔖 배합비 참조'!$A$2:$A$83,0),MATCH($C63,'🔖 배합비 참조'!$B$1:$CE$1,0))/100,0),""))),"")</f>
        <v>0</v>
      </c>
      <c r="AF63" s="39" t="n">
        <f aca="false">IFERROR(IF($C63="","",IF($D63="","",IFERROR(ROUND($D63*INDEX('🔖 배합비 참조'!$B$2:$CE$83,MATCH("당절임(완두배기)",'🔖 배합비 참조'!$A$2:$A$83,0),MATCH($C63,'🔖 배합비 참조'!$B$1:$CE$1,0))/100,0),""))),"")</f>
        <v>0</v>
      </c>
      <c r="AG63" s="39" t="n">
        <f aca="false">IFERROR(IF($C63="","",IF($D63="","",IFERROR(ROUND($D63*INDEX('🔖 배합비 참조'!$B$2:$CE$83,MATCH("대추농축액",'🔖 배합비 참조'!$A$2:$A$83,0),MATCH($C63,'🔖 배합비 참조'!$B$1:$CE$1,0))/100,0),""))),"")</f>
        <v>0</v>
      </c>
      <c r="AH63" s="39" t="n">
        <f aca="false">IFERROR(IF($C63="","",IF($D63="","",IFERROR(ROUND($D63*INDEX('🔖 배합비 참조'!$B$2:$CE$83,MATCH("대추채(국내산)",'🔖 배합비 참조'!$A$2:$A$83,0),MATCH($C63,'🔖 배합비 참조'!$B$1:$CE$1,0))/100,0),""))),"")</f>
        <v>0</v>
      </c>
      <c r="AI63" s="39" t="n">
        <f aca="false">IFERROR(IF($C63="","",IF($D63="","",IFERROR(ROUND($D63*INDEX('🔖 배합비 참조'!$B$2:$CE$83,MATCH("동부(미얀마산)",'🔖 배합비 참조'!$A$2:$A$83,0),MATCH($C63,'🔖 배합비 참조'!$B$1:$CE$1,0))/100,0),""))),"")</f>
        <v>0</v>
      </c>
      <c r="AJ63" s="39" t="n">
        <f aca="false">IFERROR(IF($C63="","",IF($D63="","",IFERROR(ROUND($D63*INDEX('🔖 배합비 참조'!$B$2:$CE$83,MATCH("두류가공품(백옥앙금)",'🔖 배합비 참조'!$A$2:$A$83,0),MATCH($C63,'🔖 배합비 참조'!$B$1:$CE$1,0))/100,0),""))),"")</f>
        <v>0</v>
      </c>
      <c r="AK63" s="39" t="n">
        <f aca="false">IFERROR(IF($C63="","",IF($D63="","",IFERROR(ROUND($D63*INDEX('🔖 배합비 참조'!$B$2:$CE$83,MATCH("두류가공품(콩고물)",'🔖 배합비 참조'!$A$2:$A$83,0),MATCH($C63,'🔖 배합비 참조'!$B$1:$CE$1,0))/100,0),""))),"")</f>
        <v>0</v>
      </c>
      <c r="AL63" s="39" t="n">
        <f aca="false">IFERROR(IF($C63="","",IF($D63="","",IFERROR(ROUND($D63*INDEX('🔖 배합비 참조'!$B$2:$CE$83,MATCH("두류가공품(통팥고물)",'🔖 배합비 참조'!$A$2:$A$83,0),MATCH($C63,'🔖 배합비 참조'!$B$1:$CE$1,0))/100,0),""))),"")</f>
        <v>0</v>
      </c>
      <c r="AM63" s="39" t="n">
        <f aca="false">IFERROR(IF($C63="","",IF($D63="","",IFERROR(ROUND($D63*INDEX('🔖 배합비 참조'!$B$2:$CE$83,MATCH("딸기레진",'🔖 배합비 참조'!$A$2:$A$83,0),MATCH($C63,'🔖 배합비 참조'!$B$1:$CE$1,0))/100,0),""))),"")</f>
        <v>0</v>
      </c>
      <c r="AN63" s="39" t="n">
        <f aca="false">IFERROR(IF($C63="","",IF($D63="","",IFERROR(ROUND($D63*INDEX('🔖 배합비 참조'!$B$2:$CE$83,MATCH("딸기분말(스트로우베리에이드(분말))",'🔖 배합비 참조'!$A$2:$A$83,0),MATCH($C63,'🔖 배합비 참조'!$B$1:$CE$1,0))/100,0),""))),"")</f>
        <v>0</v>
      </c>
      <c r="AO63" s="39" t="n">
        <f aca="false">IFERROR(IF($C63="","",IF($D63="","",IFERROR(ROUND($D63*INDEX('🔖 배합비 참조'!$B$2:$CE$83,MATCH("마스카포네치즈",'🔖 배합비 참조'!$A$2:$A$83,0),MATCH($C63,'🔖 배합비 참조'!$B$1:$CE$1,0))/100,0),""))),"")</f>
        <v>0</v>
      </c>
      <c r="AP63" s="39" t="n">
        <f aca="false">IFERROR(IF($C63="","",IF($D63="","",IFERROR(ROUND($D63*INDEX('🔖 배합비 참조'!$B$2:$CE$83,MATCH("마카다미아분태(호주산)",'🔖 배합비 참조'!$A$2:$A$83,0),MATCH($C63,'🔖 배합비 참조'!$B$1:$CE$1,0))/100,0),""))),"")</f>
        <v>3</v>
      </c>
      <c r="AQ63" s="39" t="n">
        <f aca="false">IFERROR(IF($C63="","",IF($D63="","",IFERROR(ROUND($D63*INDEX('🔖 배합비 참조'!$B$2:$CE$83,MATCH("멥쌀(국내산)",'🔖 배합비 참조'!$A$2:$A$83,0),MATCH($C63,'🔖 배합비 참조'!$B$1:$CE$1,0))/100,0),""))),"")</f>
        <v>0</v>
      </c>
      <c r="AR63" s="39" t="n">
        <f aca="false">IFERROR(IF($C63="","",IF($D63="","",IFERROR(ROUND($D63*INDEX('🔖 배합비 참조'!$B$2:$CE$83,MATCH("모시잎(국내산)",'🔖 배합비 참조'!$A$2:$A$83,0),MATCH($C63,'🔖 배합비 참조'!$B$1:$CE$1,0))/100,0),""))),"")</f>
        <v>0</v>
      </c>
      <c r="AS63" s="39" t="n">
        <f aca="false">IFERROR(IF($C63="","",IF($D63="","",IFERROR(ROUND($D63*INDEX('🔖 배합비 참조'!$B$2:$CE$83,MATCH("물엿(저당물엿)",'🔖 배합비 참조'!$A$2:$A$83,0),MATCH($C63,'🔖 배합비 참조'!$B$1:$CE$1,0))/100,0),""))),"")</f>
        <v>0</v>
      </c>
      <c r="AT63" s="39" t="n">
        <f aca="false">IFERROR(IF($C63="","",IF($D63="","",IFERROR(ROUND($D63*INDEX('🔖 배합비 참조'!$B$2:$CE$83,MATCH("밤다이스",'🔖 배합비 참조'!$A$2:$A$83,0),MATCH($C63,'🔖 배합비 참조'!$B$1:$CE$1,0))/100,0),""))),"")</f>
        <v>1</v>
      </c>
      <c r="AU63" s="39" t="n">
        <f aca="false">IFERROR(IF($C63="","",IF($D63="","",IFERROR(ROUND($D63*INDEX('🔖 배합비 참조'!$B$2:$CE$83,MATCH("변성전분(타피오카전분)",'🔖 배합비 참조'!$A$2:$A$83,0),MATCH($C63,'🔖 배합비 참조'!$B$1:$CE$1,0))/100,0),""))),"")</f>
        <v>0</v>
      </c>
      <c r="AV63" s="39" t="n">
        <f aca="false">IFERROR(IF($C63="","",IF($D63="","",IFERROR(ROUND($D63*INDEX('🔖 배합비 참조'!$B$2:$CE$83,MATCH("복음땅콩분태",'🔖 배합비 참조'!$A$2:$A$83,0),MATCH($C63,'🔖 배합비 참조'!$B$1:$CE$1,0))/100,0),""))),"")</f>
        <v>0</v>
      </c>
      <c r="AW63" s="39" t="n">
        <f aca="false">IFERROR(IF($C63="","",IF($D63="","",IFERROR(ROUND($D63*INDEX('🔖 배합비 참조'!$B$2:$CE$83,MATCH("사양벌꿀(국내산)",'🔖 배합비 참조'!$A$2:$A$83,0),MATCH($C63,'🔖 배합비 참조'!$B$1:$CE$1,0))/100,0),""))),"")</f>
        <v>0</v>
      </c>
      <c r="AX63" s="39" t="n">
        <f aca="false">IFERROR(IF($C63="","",IF($D63="","",IFERROR(ROUND($D63*INDEX('🔖 배합비 참조'!$B$2:$CE$83,MATCH("생크림",'🔖 배합비 참조'!$A$2:$A$83,0),MATCH($C63,'🔖 배합비 참조'!$B$1:$CE$1,0))/100,0),""))),"")</f>
        <v>0</v>
      </c>
      <c r="AY63" s="39" t="n">
        <f aca="false">IFERROR(IF($C63="","",IF($D63="","",IFERROR(ROUND($D63*INDEX('🔖 배합비 참조'!$B$2:$CE$83,MATCH("서양호박(국내산,뉴질랜드산)",'🔖 배합비 참조'!$A$2:$A$83,0),MATCH($C63,'🔖 배합비 참조'!$B$1:$CE$1,0))/100,0),""))),"")</f>
        <v>0</v>
      </c>
      <c r="AZ63" s="39" t="n">
        <f aca="false">IFERROR(IF($C63="","",IF($D63="","",IFERROR(ROUND($D63*INDEX('🔖 배합비 참조'!$B$2:$CE$83,MATCH("설탕",'🔖 배합비 참조'!$A$2:$A$83,0),MATCH($C63,'🔖 배합비 참조'!$B$1:$CE$1,0))/100,0),""))),"")</f>
        <v>1</v>
      </c>
      <c r="BA63" s="39" t="n">
        <f aca="false">IFERROR(IF($C63="","",IF($D63="","",IFERROR(ROUND($D63*INDEX('🔖 배합비 참조'!$B$2:$CE$83,MATCH("스트로우베리 에이드 후레쉬",'🔖 배합비 참조'!$A$2:$A$83,0),MATCH($C63,'🔖 배합비 참조'!$B$1:$CE$1,0))/100,0),""))),"")</f>
        <v>0</v>
      </c>
      <c r="BB63" s="39" t="n">
        <f aca="false">IFERROR(IF($C63="","",IF($D63="","",IFERROR(ROUND($D63*INDEX('🔖 배합비 참조'!$B$2:$CE$83,MATCH("식물성기름혼합제제(분홍)",'🔖 배합비 참조'!$A$2:$A$83,0),MATCH($C63,'🔖 배합비 참조'!$B$1:$CE$1,0))/100,0),""))),"")</f>
        <v>0</v>
      </c>
      <c r="BC63" s="39" t="n">
        <f aca="false">IFERROR(IF($C63="","",IF($D63="","",IFERROR(ROUND($D63*INDEX('🔖 배합비 참조'!$B$2:$CE$83,MATCH("식물성기름혼합제제(초록)",'🔖 배합비 참조'!$A$2:$A$83,0),MATCH($C63,'🔖 배합비 참조'!$B$1:$CE$1,0))/100,0),""))),"")</f>
        <v>0</v>
      </c>
      <c r="BD63" s="39" t="n">
        <f aca="false">IFERROR(IF($C63="","",IF($D63="","",IFERROR(ROUND($D63*INDEX('🔖 배합비 참조'!$B$2:$CE$83,MATCH("식물성기름혼합제제(황색)",'🔖 배합비 참조'!$A$2:$A$83,0),MATCH($C63,'🔖 배합비 참조'!$B$1:$CE$1,0))/100,0),""))),"")</f>
        <v>0</v>
      </c>
      <c r="BE63" s="39" t="n">
        <f aca="false">IFERROR(IF($C63="","",IF($D63="","",IFERROR(ROUND($D63*INDEX('🔖 배합비 참조'!$B$2:$CE$83,MATCH("쑥가루(국내산)",'🔖 배합비 참조'!$A$2:$A$83,0),MATCH($C63,'🔖 배합비 참조'!$B$1:$CE$1,0))/100,0),""))),"")</f>
        <v>1</v>
      </c>
      <c r="BF63" s="39" t="n">
        <f aca="false">IFERROR(IF($C63="","",IF($D63="","",IFERROR(ROUND($D63*INDEX('🔖 배합비 참조'!$B$2:$CE$83,MATCH("아몬드슬라이스",'🔖 배합비 참조'!$A$2:$A$83,0),MATCH($C63,'🔖 배합비 참조'!$B$1:$CE$1,0))/100,0),""))),"")</f>
        <v>0</v>
      </c>
      <c r="BG63" s="39" t="n">
        <f aca="false">IFERROR(IF($C63="","",IF($D63="","",IFERROR(ROUND($D63*INDEX('🔖 배합비 참조'!$B$2:$CE$83,MATCH("알룰로오스(국내산)",'🔖 배합비 참조'!$A$2:$A$83,0),MATCH($C63,'🔖 배합비 참조'!$B$1:$CE$1,0))/100,0),""))),"")</f>
        <v>0</v>
      </c>
      <c r="BH63" s="39" t="n">
        <f aca="false">IFERROR(IF($C63="","",IF($D63="","",IFERROR(ROUND($D63*INDEX('🔖 배합비 참조'!$B$2:$CE$83,MATCH("연유",'🔖 배합비 참조'!$A$2:$A$83,0),MATCH($C63,'🔖 배합비 참조'!$B$1:$CE$1,0))/100,0),""))),"")</f>
        <v>0</v>
      </c>
      <c r="BI63" s="39" t="n">
        <f aca="false">IFERROR(IF($C63="","",IF($D63="","",IFERROR(ROUND($D63*INDEX('🔖 배합비 참조'!$B$2:$CE$83,MATCH("옥수수전분",'🔖 배합비 참조'!$A$2:$A$83,0),MATCH($C63,'🔖 배합비 참조'!$B$1:$CE$1,0))/100,0),""))),"")</f>
        <v>1</v>
      </c>
      <c r="BJ63" s="39" t="n">
        <f aca="false">IFERROR(IF($C63="","",IF($D63="","",IFERROR(ROUND($D63*INDEX('🔖 배합비 참조'!$B$2:$CE$83,MATCH("완두배기",'🔖 배합비 참조'!$A$2:$A$83,0),MATCH($C63,'🔖 배합비 참조'!$B$1:$CE$1,0))/100,0),""))),"")</f>
        <v>0</v>
      </c>
      <c r="BK63" s="39" t="n">
        <f aca="false">IFERROR(IF($C63="","",IF($D63="","",IFERROR(ROUND($D63*INDEX('🔖 배합비 참조'!$B$2:$CE$83,MATCH("우유(국내산)",'🔖 배합비 참조'!$A$2:$A$83,0),MATCH($C63,'🔖 배합비 참조'!$B$1:$CE$1,0))/100,0),""))),"")</f>
        <v>0</v>
      </c>
      <c r="BL63" s="39" t="n">
        <f aca="false">IFERROR(IF($C63="","",IF($D63="","",IFERROR(ROUND($D63*INDEX('🔖 배합비 참조'!$B$2:$CE$83,MATCH("자색고구마가루(중국산)",'🔖 배합비 참조'!$A$2:$A$83,0),MATCH($C63,'🔖 배합비 참조'!$B$1:$CE$1,0))/100,0),""))),"")</f>
        <v>0</v>
      </c>
      <c r="BM63" s="39" t="n">
        <f aca="false">IFERROR(IF($C63="","",IF($D63="","",IFERROR(ROUND($D63*INDEX('🔖 배합비 참조'!$B$2:$CE$83,MATCH("자연치즈(체다치즈)",'🔖 배합비 참조'!$A$2:$A$83,0),MATCH($C63,'🔖 배합비 참조'!$B$1:$CE$1,0))/100,0),""))),"")</f>
        <v>0</v>
      </c>
      <c r="BN63" s="39" t="n">
        <f aca="false">IFERROR(IF($C63="","",IF($D63="","",IFERROR(ROUND($D63*INDEX('🔖 배합비 참조'!$B$2:$CE$83,MATCH("정제수",'🔖 배합비 참조'!$A$2:$A$83,0),MATCH($C63,'🔖 배합비 참조'!$B$1:$CE$1,0))/100,0),""))),"")</f>
        <v>12</v>
      </c>
      <c r="BO63" s="39" t="n">
        <f aca="false">IFERROR(IF($C63="","",IF($D63="","",IFERROR(ROUND($D63*INDEX('🔖 배합비 참조'!$B$2:$CE$83,MATCH("젤라틴",'🔖 배합비 참조'!$A$2:$A$83,0),MATCH($C63,'🔖 배합비 참조'!$B$1:$CE$1,0))/100,0),""))),"")</f>
        <v>0</v>
      </c>
      <c r="BP63" s="39" t="n">
        <f aca="false">IFERROR(IF($C63="","",IF($D63="","",IFERROR(ROUND($D63*INDEX('🔖 배합비 참조'!$B$2:$CE$83,MATCH("조림류(백옥앙금)",'🔖 배합비 참조'!$A$2:$A$83,0),MATCH($C63,'🔖 배합비 참조'!$B$1:$CE$1,0))/100,0),""))),"")</f>
        <v>0</v>
      </c>
      <c r="BQ63" s="39" t="n">
        <f aca="false">IFERROR(IF($C63="","",IF($D63="","",IFERROR(ROUND($D63*INDEX('🔖 배합비 참조'!$B$2:$CE$83,MATCH("조림류(통팥앙금)",'🔖 배합비 참조'!$A$2:$A$83,0),MATCH($C63,'🔖 배합비 참조'!$B$1:$CE$1,0))/100,0),""))),"")</f>
        <v>23</v>
      </c>
      <c r="BR63" s="39" t="n">
        <f aca="false">IFERROR(IF($C63="","",IF($D63="","",IFERROR(ROUND($D63*INDEX('🔖 배합비 참조'!$B$2:$CE$83,MATCH("준초콜릿(외국산)",'🔖 배합비 참조'!$A$2:$A$83,0),MATCH($C63,'🔖 배합비 참조'!$B$1:$CE$1,0))/100,0),""))),"")</f>
        <v>0</v>
      </c>
      <c r="BS63" s="39" t="n">
        <f aca="false">IFERROR(IF($C63="","",IF($D63="","",IFERROR(ROUND($D63*INDEX('🔖 배합비 참조'!$B$2:$CE$83,MATCH("중력분",'🔖 배합비 참조'!$A$2:$A$83,0),MATCH($C63,'🔖 배합비 참조'!$B$1:$CE$1,0))/100,0),""))),"")</f>
        <v>0</v>
      </c>
      <c r="BT63" s="39" t="n">
        <f aca="false">IFERROR(IF($C63="","",IF($D63="","",IFERROR(ROUND($D63*INDEX('🔖 배합비 참조'!$B$2:$CE$83,MATCH("참깨(인도산,나이지리아산,탄자니아산,미얀마산)",'🔖 배합비 참조'!$A$2:$A$83,0),MATCH($C63,'🔖 배합비 참조'!$B$1:$CE$1,0))/100,0),""))),"")</f>
        <v>0</v>
      </c>
      <c r="BU63" s="39" t="n">
        <f aca="false">IFERROR(IF($C63="","",IF($D63="","",IFERROR(ROUND($D63*INDEX('🔖 배합비 참조'!$B$2:$CE$83,MATCH("찹쌀(국내산)",'🔖 배합비 참조'!$A$2:$A$83,0),MATCH($C63,'🔖 배합비 참조'!$B$1:$CE$1,0))/100,0),""))),"")</f>
        <v>25</v>
      </c>
      <c r="BV63" s="39" t="n">
        <f aca="false">IFERROR(IF($C63="","",IF($D63="","",IFERROR(ROUND($D63*INDEX('🔖 배합비 참조'!$B$2:$CE$83,MATCH("천일염",'🔖 배합비 참조'!$A$2:$A$83,0),MATCH($C63,'🔖 배합비 참조'!$B$1:$CE$1,0))/100,0),""))),"")</f>
        <v>1</v>
      </c>
      <c r="BW63" s="39" t="n">
        <f aca="false">IFERROR(IF($C63="","",IF($D63="","",IFERROR(ROUND($D63*INDEX('🔖 배합비 참조'!$B$2:$CE$83,MATCH("치즈 [크림치즈]",'🔖 배합비 참조'!$A$2:$A$83,0),MATCH($C63,'🔖 배합비 참조'!$B$1:$CE$1,0))/100,0),""))),"")</f>
        <v>0</v>
      </c>
      <c r="BX63" s="39" t="n">
        <f aca="false">IFERROR(IF($C63="","",IF($D63="","",IFERROR(ROUND($D63*INDEX('🔖 배합비 참조'!$B$2:$CE$83,MATCH("코코아가공품류(코코아분말)",'🔖 배합비 참조'!$A$2:$A$83,0),MATCH($C63,'🔖 배합비 참조'!$B$1:$CE$1,0))/100,0),""))),"")</f>
        <v>0</v>
      </c>
      <c r="BY63" s="39" t="n">
        <f aca="false">IFERROR(IF($C63="","",IF($D63="","",IFERROR(ROUND($D63*INDEX('🔖 배합비 참조'!$B$2:$CE$83,MATCH("콩기름(대두유)",'🔖 배합비 참조'!$A$2:$A$83,0),MATCH($C63,'🔖 배합비 참조'!$B$1:$CE$1,0))/100,0),""))),"")</f>
        <v>0</v>
      </c>
      <c r="BZ63" s="39" t="n">
        <f aca="false">IFERROR(IF($C63="","",IF($D63="","",IFERROR(ROUND($D63*INDEX('🔖 배합비 참조'!$B$2:$CE$83,MATCH("해바라기씨앗",'🔖 배합비 참조'!$A$2:$A$83,0),MATCH($C63,'🔖 배합비 참조'!$B$1:$CE$1,0))/100,0),""))),"")</f>
        <v>0</v>
      </c>
      <c r="CA63" s="39" t="n">
        <f aca="false">IFERROR(IF($C63="","",IF($D63="","",IFERROR(ROUND($D63*INDEX('🔖 배합비 참조'!$B$2:$CE$83,MATCH("현미(국내산)",'🔖 배합비 참조'!$A$2:$A$83,0),MATCH($C63,'🔖 배합비 참조'!$B$1:$CE$1,0))/100,0),""))),"")</f>
        <v>0</v>
      </c>
      <c r="CB63" s="39" t="n">
        <f aca="false">IFERROR(IF($C63="","",IF($D63="","",IFERROR(ROUND($D63*INDEX('🔖 배합비 참조'!$B$2:$CE$83,MATCH("현미멥쌀(국내산)",'🔖 배합비 참조'!$A$2:$A$83,0),MATCH($C63,'🔖 배합비 참조'!$B$1:$CE$1,0))/100,0),""))),"")</f>
        <v>0</v>
      </c>
      <c r="CC63" s="39" t="n">
        <f aca="false">IFERROR(IF($C63="","",IF($D63="","",IFERROR(ROUND($D63*INDEX('🔖 배합비 참조'!$B$2:$CE$83,MATCH("호두분태(미국산)",'🔖 배합비 참조'!$A$2:$A$83,0),MATCH($C63,'🔖 배합비 참조'!$B$1:$CE$1,0))/100,0),""))),"")</f>
        <v>2</v>
      </c>
      <c r="CD63" s="39" t="n">
        <f aca="false">IFERROR(IF($C63="","",IF($D63="","",IFERROR(ROUND($D63*INDEX('🔖 배합비 참조'!$B$2:$CE$83,MATCH("호박씨앗(외국산)",'🔖 배합비 참조'!$A$2:$A$83,0),MATCH($C63,'🔖 배합비 참조'!$B$1:$CE$1,0))/100,0),""))),"")</f>
        <v>0</v>
      </c>
      <c r="CE63" s="39" t="n">
        <f aca="false">IFERROR(IF($C63="","",IF($D63="","",IFERROR(ROUND($D63*INDEX('🔖 배합비 참조'!$B$2:$CE$83,MATCH("혼합제제(떡용에스텔)",'🔖 배합비 참조'!$A$2:$A$83,0),MATCH($C63,'🔖 배합비 참조'!$B$1:$CE$1,0))/100,0),""))),"")</f>
        <v>0</v>
      </c>
      <c r="CF63" s="39" t="n">
        <f aca="false">IFERROR(IF($C63="","",IF($D63="","",IFERROR(ROUND($D63*INDEX('🔖 배합비 참조'!$B$2:$CE$83,MATCH("혼합제제(스테비아)",'🔖 배합비 참조'!$A$2:$A$83,0),MATCH($C63,'🔖 배합비 참조'!$B$1:$CE$1,0))/100,0),""))),"")</f>
        <v>0</v>
      </c>
      <c r="CG63" s="39" t="n">
        <f aca="false">IFERROR(IF($C63="","",IF($D63="","",IFERROR(ROUND($D63*INDEX('🔖 배합비 참조'!$B$2:$CE$83,MATCH("화이트초콜릿",'🔖 배합비 참조'!$A$2:$A$83,0),MATCH($C63,'🔖 배합비 참조'!$B$1:$CE$1,0))/100,0),""))),"")</f>
        <v>0</v>
      </c>
      <c r="CH63" s="39" t="n">
        <f aca="false">IFERROR(IF($C63="","",IF($D63="","",IFERROR(ROUND($D63*INDEX('🔖 배합비 참조'!$B$2:$CE$83,MATCH("흑미찹쌀(국내산)",'🔖 배합비 참조'!$A$2:$A$83,0),MATCH($C63,'🔖 배합비 참조'!$B$1:$CE$1,0))/100,0),""))),"")</f>
        <v>0</v>
      </c>
      <c r="CI63" s="39" t="n">
        <f aca="false">IFERROR(IF($C63="","",IF($D63="","",IFERROR(ROUND($D63*INDEX('🔖 배합비 참조'!$B$2:$CE$83,MATCH("찰옥수수전분(미국산)",'🔖 배합비 참조'!$A$2:$A$83,0),MATCH($C63,'🔖 배합비 참조'!$B$1:$CE$1,0))/100,0),""))),"")</f>
        <v>0</v>
      </c>
      <c r="CJ63" s="40"/>
      <c r="CL63" s="1" t="s">
        <v>238</v>
      </c>
    </row>
    <row r="64" customFormat="false" ht="18" hidden="false" customHeight="true" outlineLevel="0" collapsed="false">
      <c r="A64" s="41" t="n">
        <v>60</v>
      </c>
      <c r="B64" s="36" t="n">
        <v>45971</v>
      </c>
      <c r="C64" s="37" t="s">
        <v>184</v>
      </c>
      <c r="D64" s="38" t="n">
        <v>50</v>
      </c>
      <c r="E64" s="17"/>
      <c r="F64" s="17"/>
      <c r="G64" s="42" t="n">
        <f aca="false">IFERROR(IF($C64="","",IF($D64="","",IFERROR(ROUND($D64*INDEX('🔖 배합비 참조'!$B$2:$CE$83,MATCH("간장",'🔖 배합비 참조'!$A$2:$A$83,0),MATCH($C64,'🔖 배합비 참조'!$B$1:$CE$1,0))/100,0),""))),"")</f>
        <v>0</v>
      </c>
      <c r="H64" s="42" t="n">
        <f aca="false">IFERROR(IF($C64="","",IF($D64="","",IFERROR(ROUND($D64*INDEX('🔖 배합비 참조'!$B$2:$CE$83,MATCH("강낭콩((울타리콩))",'🔖 배합비 참조'!$A$2:$A$83,0),MATCH($C64,'🔖 배합비 참조'!$B$1:$CE$1,0))/100,0),""))),"")</f>
        <v>0</v>
      </c>
      <c r="I64" s="42" t="n">
        <f aca="false">IFERROR(IF($C64="","",IF($D64="","",IFERROR(ROUND($D64*INDEX('🔖 배합비 참조'!$B$2:$CE$83,MATCH("건조딸기다이스(외국산)",'🔖 배합비 참조'!$A$2:$A$83,0),MATCH($C64,'🔖 배합비 참조'!$B$1:$CE$1,0))/100,0),""))),"")</f>
        <v>0</v>
      </c>
      <c r="J64" s="42" t="n">
        <f aca="false">IFERROR(IF($C64="","",IF($D64="","",IFERROR(ROUND($D64*INDEX('🔖 배합비 참조'!$B$2:$CE$83,MATCH("건포도",'🔖 배합비 참조'!$A$2:$A$83,0),MATCH($C64,'🔖 배합비 참조'!$B$1:$CE$1,0))/100,0),""))),"")</f>
        <v>0</v>
      </c>
      <c r="K64" s="42" t="n">
        <f aca="false">IFERROR(IF($C64="","",IF($D64="","",IFERROR(ROUND($D64*INDEX('🔖 배합비 참조'!$B$2:$CE$83,MATCH("건호박채(중국산)",'🔖 배합비 참조'!$A$2:$A$83,0),MATCH($C64,'🔖 배합비 참조'!$B$1:$CE$1,0))/100,0),""))),"")</f>
        <v>0</v>
      </c>
      <c r="L64" s="42" t="n">
        <f aca="false">IFERROR(IF($C64="","",IF($D64="","",IFERROR(ROUND($D64*INDEX('🔖 배합비 참조'!$B$2:$CE$83,MATCH("검정깨(흑임자)",'🔖 배합비 참조'!$A$2:$A$83,0),MATCH($C64,'🔖 배합비 참조'!$B$1:$CE$1,0))/100,0),""))),"")</f>
        <v>0</v>
      </c>
      <c r="M64" s="42" t="n">
        <f aca="false">IFERROR(IF($C64="","",IF($D64="","",IFERROR(ROUND($D64*INDEX('🔖 배합비 참조'!$B$2:$CE$83,MATCH("검정콩",'🔖 배합비 참조'!$A$2:$A$83,0),MATCH($C64,'🔖 배합비 참조'!$B$1:$CE$1,0))/100,0),""))),"")</f>
        <v>0</v>
      </c>
      <c r="N64" s="42" t="n">
        <f aca="false">IFERROR(IF($C64="","",IF($D64="","",IFERROR(ROUND($D64*INDEX('🔖 배합비 참조'!$B$2:$CE$83,MATCH("계피가루",'🔖 배합비 참조'!$A$2:$A$83,0),MATCH($C64,'🔖 배합비 참조'!$B$1:$CE$1,0))/100,0),""))),"")</f>
        <v>0</v>
      </c>
      <c r="O64" s="42" t="n">
        <f aca="false">IFERROR(IF($C64="","",IF($D64="","",IFERROR(ROUND($D64*INDEX('🔖 배합비 참조'!$B$2:$CE$83,MATCH("고구마가루",'🔖 배합비 참조'!$A$2:$A$83,0),MATCH($C64,'🔖 배합비 참조'!$B$1:$CE$1,0))/100,0),""))),"")</f>
        <v>0</v>
      </c>
      <c r="P64" s="42" t="n">
        <f aca="false">IFERROR(IF($C64="","",IF($D64="","",IFERROR(ROUND($D64*INDEX('🔖 배합비 참조'!$B$2:$CE$83,MATCH("고구마무스",'🔖 배합비 참조'!$A$2:$A$83,0),MATCH($C64,'🔖 배합비 참조'!$B$1:$CE$1,0))/100,0),""))),"")</f>
        <v>0</v>
      </c>
      <c r="Q64" s="42" t="n">
        <f aca="false">IFERROR(IF($C64="","",IF($D64="","",IFERROR(ROUND($D64*INDEX('🔖 배합비 참조'!$B$2:$CE$83,MATCH("고려엉겅퀴((곤드레)국내산)",'🔖 배합비 참조'!$A$2:$A$83,0),MATCH($C64,'🔖 배합비 참조'!$B$1:$CE$1,0))/100,0),""))),"")</f>
        <v>0</v>
      </c>
      <c r="R64" s="42" t="n">
        <f aca="false">IFERROR(IF($C64="","",IF($D64="","",IFERROR(ROUND($D64*INDEX('🔖 배합비 참조'!$B$2:$CE$83,MATCH("기타가공품(복분자가루)",'🔖 배합비 참조'!$A$2:$A$83,0),MATCH($C64,'🔖 배합비 참조'!$B$1:$CE$1,0))/100,0),""))),"")</f>
        <v>0</v>
      </c>
      <c r="S64" s="42" t="n">
        <f aca="false">IFERROR(IF($C64="","",IF($D64="","",IFERROR(ROUND($D64*INDEX('🔖 배합비 참조'!$B$2:$CE$83,MATCH("기타가공품(슈퍼소프트엠)",'🔖 배합비 참조'!$A$2:$A$83,0),MATCH($C64,'🔖 배합비 참조'!$B$1:$CE$1,0))/100,0),""))),"")</f>
        <v>0</v>
      </c>
      <c r="T64" s="42" t="n">
        <f aca="false">IFERROR(IF($C64="","",IF($D64="","",IFERROR(ROUND($D64*INDEX('🔖 배합비 참조'!$B$2:$CE$83,MATCH("기타가공품(파인소프트 E-티)",'🔖 배합비 참조'!$A$2:$A$83,0),MATCH($C64,'🔖 배합비 참조'!$B$1:$CE$1,0))/100,0),""))),"")</f>
        <v>0</v>
      </c>
      <c r="U64" s="42" t="n">
        <f aca="false">IFERROR(IF($C64="","",IF($D64="","",IFERROR(ROUND($D64*INDEX('🔖 배합비 참조'!$B$2:$CE$83,MATCH("기타가공품(프리미엄카스테라가루)",'🔖 배합비 참조'!$A$2:$A$83,0),MATCH($C64,'🔖 배합비 참조'!$B$1:$CE$1,0))/100,0),""))),"")</f>
        <v>0</v>
      </c>
      <c r="V64" s="42" t="n">
        <f aca="false">IFERROR(IF($C64="","",IF($D64="","",IFERROR(ROUND($D64*INDEX('🔖 배합비 참조'!$B$2:$CE$83,MATCH("기타가공품(흑임자가루)",'🔖 배합비 참조'!$A$2:$A$83,0),MATCH($C64,'🔖 배합비 참조'!$B$1:$CE$1,0))/100,0),""))),"")</f>
        <v>0</v>
      </c>
      <c r="W64" s="42" t="n">
        <f aca="false">IFERROR(IF($C64="","",IF($D64="","",IFERROR(ROUND($D64*INDEX('🔖 배합비 참조'!$B$2:$CE$83,MATCH("기타설탕(흑설탕)",'🔖 배합비 참조'!$A$2:$A$83,0),MATCH($C64,'🔖 배합비 참조'!$B$1:$CE$1,0))/100,0),""))),"")</f>
        <v>0</v>
      </c>
      <c r="X64" s="42" t="n">
        <f aca="false">IFERROR(IF($C64="","",IF($D64="","",IFERROR(ROUND($D64*INDEX('🔖 배합비 참조'!$B$2:$CE$83,MATCH("냉동쑥(국내산)",'🔖 배합비 참조'!$A$2:$A$83,0),MATCH($C64,'🔖 배합비 참조'!$B$1:$CE$1,0))/100,0),""))),"")</f>
        <v>0</v>
      </c>
      <c r="Y64" s="42" t="n">
        <f aca="false">IFERROR(IF($C64="","",IF($D64="","",IFERROR(ROUND($D64*INDEX('🔖 배합비 참조'!$B$2:$CE$83,MATCH("냉동증숙고구마(중국산)",'🔖 배합비 참조'!$A$2:$A$83,0),MATCH($C64,'🔖 배합비 참조'!$B$1:$CE$1,0))/100,0),""))),"")</f>
        <v>0</v>
      </c>
      <c r="Z64" s="42" t="n">
        <f aca="false">IFERROR(IF($C64="","",IF($D64="","",IFERROR(ROUND($D64*INDEX('🔖 배합비 참조'!$B$2:$CE$83,MATCH("녹차가루",'🔖 배합비 참조'!$A$2:$A$83,0),MATCH($C64,'🔖 배합비 참조'!$B$1:$CE$1,0))/100,0),""))),"")</f>
        <v>0</v>
      </c>
      <c r="AA64" s="42" t="n">
        <f aca="false">IFERROR(IF($C64="","",IF($D64="","",IFERROR(ROUND($D64*INDEX('🔖 배합비 참조'!$B$2:$CE$83,MATCH("다크초콜릿 컴파운드칩",'🔖 배합비 참조'!$A$2:$A$83,0),MATCH($C64,'🔖 배합비 참조'!$B$1:$CE$1,0))/100,0),""))),"")</f>
        <v>0</v>
      </c>
      <c r="AB64" s="42" t="n">
        <f aca="false">IFERROR(IF($C64="","",IF($D64="","",IFERROR(ROUND($D64*INDEX('🔖 배합비 참조'!$B$2:$CE$83,MATCH("단호박분말(중국산)",'🔖 배합비 참조'!$A$2:$A$83,0),MATCH($C64,'🔖 배합비 참조'!$B$1:$CE$1,0))/100,0),""))),"")</f>
        <v>0</v>
      </c>
      <c r="AC64" s="42" t="n">
        <f aca="false">IFERROR(IF($C64="","",IF($D64="","",IFERROR(ROUND($D64*INDEX('🔖 배합비 참조'!$B$2:$CE$83,MATCH("당류가공품(단호박농축액)",'🔖 배합비 참조'!$A$2:$A$83,0),MATCH($C64,'🔖 배합비 참조'!$B$1:$CE$1,0))/100,0),""))),"")</f>
        <v>0</v>
      </c>
      <c r="AD64" s="42" t="n">
        <f aca="false">IFERROR(IF($C64="","",IF($D64="","",IFERROR(ROUND($D64*INDEX('🔖 배합비 참조'!$B$2:$CE$83,MATCH("당류가공품(알룰로스,에리스리톨,스테비올배당체혼합)",'🔖 배합비 참조'!$A$2:$A$83,0),MATCH($C64,'🔖 배합비 참조'!$B$1:$CE$1,0))/100,0),""))),"")</f>
        <v>0</v>
      </c>
      <c r="AE64" s="42" t="n">
        <f aca="false">IFERROR(IF($C64="","",IF($D64="","",IFERROR(ROUND($D64*INDEX('🔖 배합비 참조'!$B$2:$CE$83,MATCH("당류가공품(알룰로스제로파우더)",'🔖 배합비 참조'!$A$2:$A$83,0),MATCH($C64,'🔖 배합비 참조'!$B$1:$CE$1,0))/100,0),""))),"")</f>
        <v>0</v>
      </c>
      <c r="AF64" s="42" t="n">
        <f aca="false">IFERROR(IF($C64="","",IF($D64="","",IFERROR(ROUND($D64*INDEX('🔖 배합비 참조'!$B$2:$CE$83,MATCH("당절임(완두배기)",'🔖 배합비 참조'!$A$2:$A$83,0),MATCH($C64,'🔖 배합비 참조'!$B$1:$CE$1,0))/100,0),""))),"")</f>
        <v>0</v>
      </c>
      <c r="AG64" s="42" t="n">
        <f aca="false">IFERROR(IF($C64="","",IF($D64="","",IFERROR(ROUND($D64*INDEX('🔖 배합비 참조'!$B$2:$CE$83,MATCH("대추농축액",'🔖 배합비 참조'!$A$2:$A$83,0),MATCH($C64,'🔖 배합비 참조'!$B$1:$CE$1,0))/100,0),""))),"")</f>
        <v>0</v>
      </c>
      <c r="AH64" s="42" t="n">
        <f aca="false">IFERROR(IF($C64="","",IF($D64="","",IFERROR(ROUND($D64*INDEX('🔖 배합비 참조'!$B$2:$CE$83,MATCH("대추채(국내산)",'🔖 배합비 참조'!$A$2:$A$83,0),MATCH($C64,'🔖 배합비 참조'!$B$1:$CE$1,0))/100,0),""))),"")</f>
        <v>0</v>
      </c>
      <c r="AI64" s="42" t="n">
        <f aca="false">IFERROR(IF($C64="","",IF($D64="","",IFERROR(ROUND($D64*INDEX('🔖 배합비 참조'!$B$2:$CE$83,MATCH("동부(미얀마산)",'🔖 배합비 참조'!$A$2:$A$83,0),MATCH($C64,'🔖 배합비 참조'!$B$1:$CE$1,0))/100,0),""))),"")</f>
        <v>0</v>
      </c>
      <c r="AJ64" s="42" t="n">
        <f aca="false">IFERROR(IF($C64="","",IF($D64="","",IFERROR(ROUND($D64*INDEX('🔖 배합비 참조'!$B$2:$CE$83,MATCH("두류가공품(백옥앙금)",'🔖 배합비 참조'!$A$2:$A$83,0),MATCH($C64,'🔖 배합비 참조'!$B$1:$CE$1,0))/100,0),""))),"")</f>
        <v>0</v>
      </c>
      <c r="AK64" s="42" t="n">
        <f aca="false">IFERROR(IF($C64="","",IF($D64="","",IFERROR(ROUND($D64*INDEX('🔖 배합비 참조'!$B$2:$CE$83,MATCH("두류가공품(콩고물)",'🔖 배합비 참조'!$A$2:$A$83,0),MATCH($C64,'🔖 배합비 참조'!$B$1:$CE$1,0))/100,0),""))),"")</f>
        <v>0</v>
      </c>
      <c r="AL64" s="42" t="n">
        <f aca="false">IFERROR(IF($C64="","",IF($D64="","",IFERROR(ROUND($D64*INDEX('🔖 배합비 참조'!$B$2:$CE$83,MATCH("두류가공품(통팥고물)",'🔖 배합비 참조'!$A$2:$A$83,0),MATCH($C64,'🔖 배합비 참조'!$B$1:$CE$1,0))/100,0),""))),"")</f>
        <v>0</v>
      </c>
      <c r="AM64" s="42" t="n">
        <f aca="false">IFERROR(IF($C64="","",IF($D64="","",IFERROR(ROUND($D64*INDEX('🔖 배합비 참조'!$B$2:$CE$83,MATCH("딸기레진",'🔖 배합비 참조'!$A$2:$A$83,0),MATCH($C64,'🔖 배합비 참조'!$B$1:$CE$1,0))/100,0),""))),"")</f>
        <v>0</v>
      </c>
      <c r="AN64" s="42" t="n">
        <f aca="false">IFERROR(IF($C64="","",IF($D64="","",IFERROR(ROUND($D64*INDEX('🔖 배합비 참조'!$B$2:$CE$83,MATCH("딸기분말(스트로우베리에이드(분말))",'🔖 배합비 참조'!$A$2:$A$83,0),MATCH($C64,'🔖 배합비 참조'!$B$1:$CE$1,0))/100,0),""))),"")</f>
        <v>0</v>
      </c>
      <c r="AO64" s="42" t="n">
        <f aca="false">IFERROR(IF($C64="","",IF($D64="","",IFERROR(ROUND($D64*INDEX('🔖 배합비 참조'!$B$2:$CE$83,MATCH("마스카포네치즈",'🔖 배합비 참조'!$A$2:$A$83,0),MATCH($C64,'🔖 배합비 참조'!$B$1:$CE$1,0))/100,0),""))),"")</f>
        <v>0</v>
      </c>
      <c r="AP64" s="42" t="n">
        <f aca="false">IFERROR(IF($C64="","",IF($D64="","",IFERROR(ROUND($D64*INDEX('🔖 배합비 참조'!$B$2:$CE$83,MATCH("마카다미아분태(호주산)",'🔖 배합비 참조'!$A$2:$A$83,0),MATCH($C64,'🔖 배합비 참조'!$B$1:$CE$1,0))/100,0),""))),"")</f>
        <v>0</v>
      </c>
      <c r="AQ64" s="42" t="n">
        <f aca="false">IFERROR(IF($C64="","",IF($D64="","",IFERROR(ROUND($D64*INDEX('🔖 배합비 참조'!$B$2:$CE$83,MATCH("멥쌀(국내산)",'🔖 배합비 참조'!$A$2:$A$83,0),MATCH($C64,'🔖 배합비 참조'!$B$1:$CE$1,0))/100,0),""))),"")</f>
        <v>35</v>
      </c>
      <c r="AR64" s="42" t="n">
        <f aca="false">IFERROR(IF($C64="","",IF($D64="","",IFERROR(ROUND($D64*INDEX('🔖 배합비 참조'!$B$2:$CE$83,MATCH("모시잎(국내산)",'🔖 배합비 참조'!$A$2:$A$83,0),MATCH($C64,'🔖 배합비 참조'!$B$1:$CE$1,0))/100,0),""))),"")</f>
        <v>0</v>
      </c>
      <c r="AS64" s="42" t="n">
        <f aca="false">IFERROR(IF($C64="","",IF($D64="","",IFERROR(ROUND($D64*INDEX('🔖 배합비 참조'!$B$2:$CE$83,MATCH("물엿(저당물엿)",'🔖 배합비 참조'!$A$2:$A$83,0),MATCH($C64,'🔖 배합비 참조'!$B$1:$CE$1,0))/100,0),""))),"")</f>
        <v>0</v>
      </c>
      <c r="AT64" s="42" t="n">
        <f aca="false">IFERROR(IF($C64="","",IF($D64="","",IFERROR(ROUND($D64*INDEX('🔖 배합비 참조'!$B$2:$CE$83,MATCH("밤다이스",'🔖 배합비 참조'!$A$2:$A$83,0),MATCH($C64,'🔖 배합비 참조'!$B$1:$CE$1,0))/100,0),""))),"")</f>
        <v>0</v>
      </c>
      <c r="AU64" s="42" t="n">
        <f aca="false">IFERROR(IF($C64="","",IF($D64="","",IFERROR(ROUND($D64*INDEX('🔖 배합비 참조'!$B$2:$CE$83,MATCH("변성전분(타피오카전분)",'🔖 배합비 참조'!$A$2:$A$83,0),MATCH($C64,'🔖 배합비 참조'!$B$1:$CE$1,0))/100,0),""))),"")</f>
        <v>0</v>
      </c>
      <c r="AV64" s="42" t="n">
        <f aca="false">IFERROR(IF($C64="","",IF($D64="","",IFERROR(ROUND($D64*INDEX('🔖 배합비 참조'!$B$2:$CE$83,MATCH("복음땅콩분태",'🔖 배합비 참조'!$A$2:$A$83,0),MATCH($C64,'🔖 배합비 참조'!$B$1:$CE$1,0))/100,0),""))),"")</f>
        <v>0</v>
      </c>
      <c r="AW64" s="42" t="n">
        <f aca="false">IFERROR(IF($C64="","",IF($D64="","",IFERROR(ROUND($D64*INDEX('🔖 배합비 참조'!$B$2:$CE$83,MATCH("사양벌꿀(국내산)",'🔖 배합비 참조'!$A$2:$A$83,0),MATCH($C64,'🔖 배합비 참조'!$B$1:$CE$1,0))/100,0),""))),"")</f>
        <v>0</v>
      </c>
      <c r="AX64" s="42" t="n">
        <f aca="false">IFERROR(IF($C64="","",IF($D64="","",IFERROR(ROUND($D64*INDEX('🔖 배합비 참조'!$B$2:$CE$83,MATCH("생크림",'🔖 배합비 참조'!$A$2:$A$83,0),MATCH($C64,'🔖 배합비 참조'!$B$1:$CE$1,0))/100,0),""))),"")</f>
        <v>0</v>
      </c>
      <c r="AY64" s="42" t="n">
        <f aca="false">IFERROR(IF($C64="","",IF($D64="","",IFERROR(ROUND($D64*INDEX('🔖 배합비 참조'!$B$2:$CE$83,MATCH("서양호박(국내산,뉴질랜드산)",'🔖 배합비 참조'!$A$2:$A$83,0),MATCH($C64,'🔖 배합비 참조'!$B$1:$CE$1,0))/100,0),""))),"")</f>
        <v>0</v>
      </c>
      <c r="AZ64" s="42" t="n">
        <f aca="false">IFERROR(IF($C64="","",IF($D64="","",IFERROR(ROUND($D64*INDEX('🔖 배합비 참조'!$B$2:$CE$83,MATCH("설탕",'🔖 배합비 참조'!$A$2:$A$83,0),MATCH($C64,'🔖 배합비 참조'!$B$1:$CE$1,0))/100,0),""))),"")</f>
        <v>6</v>
      </c>
      <c r="BA64" s="42" t="n">
        <f aca="false">IFERROR(IF($C64="","",IF($D64="","",IFERROR(ROUND($D64*INDEX('🔖 배합비 참조'!$B$2:$CE$83,MATCH("스트로우베리 에이드 후레쉬",'🔖 배합비 참조'!$A$2:$A$83,0),MATCH($C64,'🔖 배합비 참조'!$B$1:$CE$1,0))/100,0),""))),"")</f>
        <v>0</v>
      </c>
      <c r="BB64" s="42" t="n">
        <f aca="false">IFERROR(IF($C64="","",IF($D64="","",IFERROR(ROUND($D64*INDEX('🔖 배합비 참조'!$B$2:$CE$83,MATCH("식물성기름혼합제제(분홍)",'🔖 배합비 참조'!$A$2:$A$83,0),MATCH($C64,'🔖 배합비 참조'!$B$1:$CE$1,0))/100,0),""))),"")</f>
        <v>0</v>
      </c>
      <c r="BC64" s="42" t="n">
        <f aca="false">IFERROR(IF($C64="","",IF($D64="","",IFERROR(ROUND($D64*INDEX('🔖 배합비 참조'!$B$2:$CE$83,MATCH("식물성기름혼합제제(초록)",'🔖 배합비 참조'!$A$2:$A$83,0),MATCH($C64,'🔖 배합비 참조'!$B$1:$CE$1,0))/100,0),""))),"")</f>
        <v>0</v>
      </c>
      <c r="BD64" s="42" t="n">
        <f aca="false">IFERROR(IF($C64="","",IF($D64="","",IFERROR(ROUND($D64*INDEX('🔖 배합비 참조'!$B$2:$CE$83,MATCH("식물성기름혼합제제(황색)",'🔖 배합비 참조'!$A$2:$A$83,0),MATCH($C64,'🔖 배합비 참조'!$B$1:$CE$1,0))/100,0),""))),"")</f>
        <v>0</v>
      </c>
      <c r="BE64" s="42" t="n">
        <f aca="false">IFERROR(IF($C64="","",IF($D64="","",IFERROR(ROUND($D64*INDEX('🔖 배합비 참조'!$B$2:$CE$83,MATCH("쑥가루(국내산)",'🔖 배합비 참조'!$A$2:$A$83,0),MATCH($C64,'🔖 배합비 참조'!$B$1:$CE$1,0))/100,0),""))),"")</f>
        <v>0</v>
      </c>
      <c r="BF64" s="42" t="n">
        <f aca="false">IFERROR(IF($C64="","",IF($D64="","",IFERROR(ROUND($D64*INDEX('🔖 배합비 참조'!$B$2:$CE$83,MATCH("아몬드슬라이스",'🔖 배합비 참조'!$A$2:$A$83,0),MATCH($C64,'🔖 배합비 참조'!$B$1:$CE$1,0))/100,0),""))),"")</f>
        <v>0</v>
      </c>
      <c r="BG64" s="42" t="n">
        <f aca="false">IFERROR(IF($C64="","",IF($D64="","",IFERROR(ROUND($D64*INDEX('🔖 배합비 참조'!$B$2:$CE$83,MATCH("알룰로오스(국내산)",'🔖 배합비 참조'!$A$2:$A$83,0),MATCH($C64,'🔖 배합비 참조'!$B$1:$CE$1,0))/100,0),""))),"")</f>
        <v>0</v>
      </c>
      <c r="BH64" s="42" t="n">
        <f aca="false">IFERROR(IF($C64="","",IF($D64="","",IFERROR(ROUND($D64*INDEX('🔖 배합비 참조'!$B$2:$CE$83,MATCH("연유",'🔖 배합비 참조'!$A$2:$A$83,0),MATCH($C64,'🔖 배합비 참조'!$B$1:$CE$1,0))/100,0),""))),"")</f>
        <v>0</v>
      </c>
      <c r="BI64" s="42" t="n">
        <f aca="false">IFERROR(IF($C64="","",IF($D64="","",IFERROR(ROUND($D64*INDEX('🔖 배합비 참조'!$B$2:$CE$83,MATCH("옥수수전분",'🔖 배합비 참조'!$A$2:$A$83,0),MATCH($C64,'🔖 배합비 참조'!$B$1:$CE$1,0))/100,0),""))),"")</f>
        <v>0</v>
      </c>
      <c r="BJ64" s="42" t="n">
        <f aca="false">IFERROR(IF($C64="","",IF($D64="","",IFERROR(ROUND($D64*INDEX('🔖 배합비 참조'!$B$2:$CE$83,MATCH("완두배기",'🔖 배합비 참조'!$A$2:$A$83,0),MATCH($C64,'🔖 배합비 참조'!$B$1:$CE$1,0))/100,0),""))),"")</f>
        <v>0</v>
      </c>
      <c r="BK64" s="42" t="n">
        <f aca="false">IFERROR(IF($C64="","",IF($D64="","",IFERROR(ROUND($D64*INDEX('🔖 배합비 참조'!$B$2:$CE$83,MATCH("우유(국내산)",'🔖 배합비 참조'!$A$2:$A$83,0),MATCH($C64,'🔖 배합비 참조'!$B$1:$CE$1,0))/100,0),""))),"")</f>
        <v>5</v>
      </c>
      <c r="BL64" s="42" t="n">
        <f aca="false">IFERROR(IF($C64="","",IF($D64="","",IFERROR(ROUND($D64*INDEX('🔖 배합비 참조'!$B$2:$CE$83,MATCH("자색고구마가루(중국산)",'🔖 배합비 참조'!$A$2:$A$83,0),MATCH($C64,'🔖 배합비 참조'!$B$1:$CE$1,0))/100,0),""))),"")</f>
        <v>0</v>
      </c>
      <c r="BM64" s="42" t="n">
        <f aca="false">IFERROR(IF($C64="","",IF($D64="","",IFERROR(ROUND($D64*INDEX('🔖 배합비 참조'!$B$2:$CE$83,MATCH("자연치즈(체다치즈)",'🔖 배합비 참조'!$A$2:$A$83,0),MATCH($C64,'🔖 배합비 참조'!$B$1:$CE$1,0))/100,0),""))),"")</f>
        <v>0</v>
      </c>
      <c r="BN64" s="42" t="n">
        <f aca="false">IFERROR(IF($C64="","",IF($D64="","",IFERROR(ROUND($D64*INDEX('🔖 배합비 참조'!$B$2:$CE$83,MATCH("정제수",'🔖 배합비 참조'!$A$2:$A$83,0),MATCH($C64,'🔖 배합비 참조'!$B$1:$CE$1,0))/100,0),""))),"")</f>
        <v>5</v>
      </c>
      <c r="BO64" s="42" t="n">
        <f aca="false">IFERROR(IF($C64="","",IF($D64="","",IFERROR(ROUND($D64*INDEX('🔖 배합비 참조'!$B$2:$CE$83,MATCH("젤라틴",'🔖 배합비 참조'!$A$2:$A$83,0),MATCH($C64,'🔖 배합비 참조'!$B$1:$CE$1,0))/100,0),""))),"")</f>
        <v>0</v>
      </c>
      <c r="BP64" s="42" t="n">
        <f aca="false">IFERROR(IF($C64="","",IF($D64="","",IFERROR(ROUND($D64*INDEX('🔖 배합비 참조'!$B$2:$CE$83,MATCH("조림류(백옥앙금)",'🔖 배합비 참조'!$A$2:$A$83,0),MATCH($C64,'🔖 배합비 참조'!$B$1:$CE$1,0))/100,0),""))),"")</f>
        <v>0</v>
      </c>
      <c r="BQ64" s="42" t="n">
        <f aca="false">IFERROR(IF($C64="","",IF($D64="","",IFERROR(ROUND($D64*INDEX('🔖 배합비 참조'!$B$2:$CE$83,MATCH("조림류(통팥앙금)",'🔖 배합비 참조'!$A$2:$A$83,0),MATCH($C64,'🔖 배합비 참조'!$B$1:$CE$1,0))/100,0),""))),"")</f>
        <v>0</v>
      </c>
      <c r="BR64" s="42" t="n">
        <f aca="false">IFERROR(IF($C64="","",IF($D64="","",IFERROR(ROUND($D64*INDEX('🔖 배합비 참조'!$B$2:$CE$83,MATCH("준초콜릿(외국산)",'🔖 배합비 참조'!$A$2:$A$83,0),MATCH($C64,'🔖 배합비 참조'!$B$1:$CE$1,0))/100,0),""))),"")</f>
        <v>0</v>
      </c>
      <c r="BS64" s="42" t="n">
        <f aca="false">IFERROR(IF($C64="","",IF($D64="","",IFERROR(ROUND($D64*INDEX('🔖 배합비 참조'!$B$2:$CE$83,MATCH("중력분",'🔖 배합비 참조'!$A$2:$A$83,0),MATCH($C64,'🔖 배합비 참조'!$B$1:$CE$1,0))/100,0),""))),"")</f>
        <v>0</v>
      </c>
      <c r="BT64" s="42" t="n">
        <f aca="false">IFERROR(IF($C64="","",IF($D64="","",IFERROR(ROUND($D64*INDEX('🔖 배합비 참조'!$B$2:$CE$83,MATCH("참깨(인도산,나이지리아산,탄자니아산,미얀마산)",'🔖 배합비 참조'!$A$2:$A$83,0),MATCH($C64,'🔖 배합비 참조'!$B$1:$CE$1,0))/100,0),""))),"")</f>
        <v>0</v>
      </c>
      <c r="BU64" s="42" t="n">
        <f aca="false">IFERROR(IF($C64="","",IF($D64="","",IFERROR(ROUND($D64*INDEX('🔖 배합비 참조'!$B$2:$CE$83,MATCH("찹쌀(국내산)",'🔖 배합비 참조'!$A$2:$A$83,0),MATCH($C64,'🔖 배합비 참조'!$B$1:$CE$1,0))/100,0),""))),"")</f>
        <v>0</v>
      </c>
      <c r="BV64" s="42" t="n">
        <f aca="false">IFERROR(IF($C64="","",IF($D64="","",IFERROR(ROUND($D64*INDEX('🔖 배합비 참조'!$B$2:$CE$83,MATCH("천일염",'🔖 배합비 참조'!$A$2:$A$83,0),MATCH($C64,'🔖 배합비 참조'!$B$1:$CE$1,0))/100,0),""))),"")</f>
        <v>1</v>
      </c>
      <c r="BW64" s="42" t="n">
        <f aca="false">IFERROR(IF($C64="","",IF($D64="","",IFERROR(ROUND($D64*INDEX('🔖 배합비 참조'!$B$2:$CE$83,MATCH("치즈 [크림치즈]",'🔖 배합비 참조'!$A$2:$A$83,0),MATCH($C64,'🔖 배합비 참조'!$B$1:$CE$1,0))/100,0),""))),"")</f>
        <v>0</v>
      </c>
      <c r="BX64" s="42" t="n">
        <f aca="false">IFERROR(IF($C64="","",IF($D64="","",IFERROR(ROUND($D64*INDEX('🔖 배합비 참조'!$B$2:$CE$83,MATCH("코코아가공품류(코코아분말)",'🔖 배합비 참조'!$A$2:$A$83,0),MATCH($C64,'🔖 배합비 참조'!$B$1:$CE$1,0))/100,0),""))),"")</f>
        <v>0</v>
      </c>
      <c r="BY64" s="42" t="n">
        <f aca="false">IFERROR(IF($C64="","",IF($D64="","",IFERROR(ROUND($D64*INDEX('🔖 배합비 참조'!$B$2:$CE$83,MATCH("콩기름(대두유)",'🔖 배합비 참조'!$A$2:$A$83,0),MATCH($C64,'🔖 배합비 참조'!$B$1:$CE$1,0))/100,0),""))),"")</f>
        <v>0</v>
      </c>
      <c r="BZ64" s="42" t="n">
        <f aca="false">IFERROR(IF($C64="","",IF($D64="","",IFERROR(ROUND($D64*INDEX('🔖 배합비 참조'!$B$2:$CE$83,MATCH("해바라기씨앗",'🔖 배합비 참조'!$A$2:$A$83,0),MATCH($C64,'🔖 배합비 참조'!$B$1:$CE$1,0))/100,0),""))),"")</f>
        <v>0</v>
      </c>
      <c r="CA64" s="42" t="n">
        <f aca="false">IFERROR(IF($C64="","",IF($D64="","",IFERROR(ROUND($D64*INDEX('🔖 배합비 참조'!$B$2:$CE$83,MATCH("현미(국내산)",'🔖 배합비 참조'!$A$2:$A$83,0),MATCH($C64,'🔖 배합비 참조'!$B$1:$CE$1,0))/100,0),""))),"")</f>
        <v>0</v>
      </c>
      <c r="CB64" s="42" t="n">
        <f aca="false">IFERROR(IF($C64="","",IF($D64="","",IFERROR(ROUND($D64*INDEX('🔖 배합비 참조'!$B$2:$CE$83,MATCH("현미멥쌀(국내산)",'🔖 배합비 참조'!$A$2:$A$83,0),MATCH($C64,'🔖 배합비 참조'!$B$1:$CE$1,0))/100,0),""))),"")</f>
        <v>0</v>
      </c>
      <c r="CC64" s="42" t="n">
        <f aca="false">IFERROR(IF($C64="","",IF($D64="","",IFERROR(ROUND($D64*INDEX('🔖 배합비 참조'!$B$2:$CE$83,MATCH("호두분태(미국산)",'🔖 배합비 참조'!$A$2:$A$83,0),MATCH($C64,'🔖 배합비 참조'!$B$1:$CE$1,0))/100,0),""))),"")</f>
        <v>0</v>
      </c>
      <c r="CD64" s="42" t="n">
        <f aca="false">IFERROR(IF($C64="","",IF($D64="","",IFERROR(ROUND($D64*INDEX('🔖 배합비 참조'!$B$2:$CE$83,MATCH("호박씨앗(외국산)",'🔖 배합비 참조'!$A$2:$A$83,0),MATCH($C64,'🔖 배합비 참조'!$B$1:$CE$1,0))/100,0),""))),"")</f>
        <v>0</v>
      </c>
      <c r="CE64" s="42" t="n">
        <f aca="false">IFERROR(IF($C64="","",IF($D64="","",IFERROR(ROUND($D64*INDEX('🔖 배합비 참조'!$B$2:$CE$83,MATCH("혼합제제(떡용에스텔)",'🔖 배합비 참조'!$A$2:$A$83,0),MATCH($C64,'🔖 배합비 참조'!$B$1:$CE$1,0))/100,0),""))),"")</f>
        <v>0</v>
      </c>
      <c r="CF64" s="42" t="n">
        <f aca="false">IFERROR(IF($C64="","",IF($D64="","",IFERROR(ROUND($D64*INDEX('🔖 배합비 참조'!$B$2:$CE$83,MATCH("혼합제제(스테비아)",'🔖 배합비 참조'!$A$2:$A$83,0),MATCH($C64,'🔖 배합비 참조'!$B$1:$CE$1,0))/100,0),""))),"")</f>
        <v>0</v>
      </c>
      <c r="CG64" s="42" t="n">
        <f aca="false">IFERROR(IF($C64="","",IF($D64="","",IFERROR(ROUND($D64*INDEX('🔖 배합비 참조'!$B$2:$CE$83,MATCH("화이트초콜릿",'🔖 배합비 참조'!$A$2:$A$83,0),MATCH($C64,'🔖 배합비 참조'!$B$1:$CE$1,0))/100,0),""))),"")</f>
        <v>0</v>
      </c>
      <c r="CH64" s="42" t="n">
        <f aca="false">IFERROR(IF($C64="","",IF($D64="","",IFERROR(ROUND($D64*INDEX('🔖 배합비 참조'!$B$2:$CE$83,MATCH("흑미찹쌀(국내산)",'🔖 배합비 참조'!$A$2:$A$83,0),MATCH($C64,'🔖 배합비 참조'!$B$1:$CE$1,0))/100,0),""))),"")</f>
        <v>0</v>
      </c>
      <c r="CI64" s="42" t="n">
        <f aca="false">IFERROR(IF($C64="","",IF($D64="","",IFERROR(ROUND($D64*INDEX('🔖 배합비 참조'!$B$2:$CE$83,MATCH("찰옥수수전분(미국산)",'🔖 배합비 참조'!$A$2:$A$83,0),MATCH($C64,'🔖 배합비 참조'!$B$1:$CE$1,0))/100,0),""))),"")</f>
        <v>0</v>
      </c>
      <c r="CJ64" s="40"/>
      <c r="CL64" s="1" t="s">
        <v>238</v>
      </c>
    </row>
    <row r="65" customFormat="false" ht="18" hidden="false" customHeight="true" outlineLevel="0" collapsed="false">
      <c r="A65" s="35" t="n">
        <v>61</v>
      </c>
      <c r="B65" s="36" t="n">
        <v>45972</v>
      </c>
      <c r="C65" s="37" t="s">
        <v>144</v>
      </c>
      <c r="D65" s="38" t="n">
        <v>70</v>
      </c>
      <c r="E65" s="13"/>
      <c r="F65" s="13"/>
      <c r="G65" s="39" t="n">
        <f aca="false">IFERROR(IF($C65="","",IF($D65="","",IFERROR(ROUND($D65*INDEX('🔖 배합비 참조'!$B$2:$CE$83,MATCH("간장",'🔖 배합비 참조'!$A$2:$A$83,0),MATCH($C65,'🔖 배합비 참조'!$B$1:$CE$1,0))/100,0),""))),"")</f>
        <v>0</v>
      </c>
      <c r="H65" s="39" t="n">
        <f aca="false">IFERROR(IF($C65="","",IF($D65="","",IFERROR(ROUND($D65*INDEX('🔖 배합비 참조'!$B$2:$CE$83,MATCH("강낭콩((울타리콩))",'🔖 배합비 참조'!$A$2:$A$83,0),MATCH($C65,'🔖 배합비 참조'!$B$1:$CE$1,0))/100,0),""))),"")</f>
        <v>0</v>
      </c>
      <c r="I65" s="39" t="n">
        <f aca="false">IFERROR(IF($C65="","",IF($D65="","",IFERROR(ROUND($D65*INDEX('🔖 배합비 참조'!$B$2:$CE$83,MATCH("건조딸기다이스(외국산)",'🔖 배합비 참조'!$A$2:$A$83,0),MATCH($C65,'🔖 배합비 참조'!$B$1:$CE$1,0))/100,0),""))),"")</f>
        <v>0</v>
      </c>
      <c r="J65" s="39" t="n">
        <f aca="false">IFERROR(IF($C65="","",IF($D65="","",IFERROR(ROUND($D65*INDEX('🔖 배합비 참조'!$B$2:$CE$83,MATCH("건포도",'🔖 배합비 참조'!$A$2:$A$83,0),MATCH($C65,'🔖 배합비 참조'!$B$1:$CE$1,0))/100,0),""))),"")</f>
        <v>0</v>
      </c>
      <c r="K65" s="39" t="n">
        <f aca="false">IFERROR(IF($C65="","",IF($D65="","",IFERROR(ROUND($D65*INDEX('🔖 배합비 참조'!$B$2:$CE$83,MATCH("건호박채(중국산)",'🔖 배합비 참조'!$A$2:$A$83,0),MATCH($C65,'🔖 배합비 참조'!$B$1:$CE$1,0))/100,0),""))),"")</f>
        <v>0</v>
      </c>
      <c r="L65" s="39" t="n">
        <f aca="false">IFERROR(IF($C65="","",IF($D65="","",IFERROR(ROUND($D65*INDEX('🔖 배합비 참조'!$B$2:$CE$83,MATCH("검정깨(흑임자)",'🔖 배합비 참조'!$A$2:$A$83,0),MATCH($C65,'🔖 배합비 참조'!$B$1:$CE$1,0))/100,0),""))),"")</f>
        <v>0</v>
      </c>
      <c r="M65" s="39" t="n">
        <f aca="false">IFERROR(IF($C65="","",IF($D65="","",IFERROR(ROUND($D65*INDEX('🔖 배합비 참조'!$B$2:$CE$83,MATCH("검정콩",'🔖 배합비 참조'!$A$2:$A$83,0),MATCH($C65,'🔖 배합비 참조'!$B$1:$CE$1,0))/100,0),""))),"")</f>
        <v>0</v>
      </c>
      <c r="N65" s="39" t="n">
        <f aca="false">IFERROR(IF($C65="","",IF($D65="","",IFERROR(ROUND($D65*INDEX('🔖 배합비 참조'!$B$2:$CE$83,MATCH("계피가루",'🔖 배합비 참조'!$A$2:$A$83,0),MATCH($C65,'🔖 배합비 참조'!$B$1:$CE$1,0))/100,0),""))),"")</f>
        <v>0</v>
      </c>
      <c r="O65" s="39" t="n">
        <f aca="false">IFERROR(IF($C65="","",IF($D65="","",IFERROR(ROUND($D65*INDEX('🔖 배합비 참조'!$B$2:$CE$83,MATCH("고구마가루",'🔖 배합비 참조'!$A$2:$A$83,0),MATCH($C65,'🔖 배합비 참조'!$B$1:$CE$1,0))/100,0),""))),"")</f>
        <v>0</v>
      </c>
      <c r="P65" s="39" t="n">
        <f aca="false">IFERROR(IF($C65="","",IF($D65="","",IFERROR(ROUND($D65*INDEX('🔖 배합비 참조'!$B$2:$CE$83,MATCH("고구마무스",'🔖 배합비 참조'!$A$2:$A$83,0),MATCH($C65,'🔖 배합비 참조'!$B$1:$CE$1,0))/100,0),""))),"")</f>
        <v>0</v>
      </c>
      <c r="Q65" s="39" t="n">
        <f aca="false">IFERROR(IF($C65="","",IF($D65="","",IFERROR(ROUND($D65*INDEX('🔖 배합비 참조'!$B$2:$CE$83,MATCH("고려엉겅퀴((곤드레)국내산)",'🔖 배합비 참조'!$A$2:$A$83,0),MATCH($C65,'🔖 배합비 참조'!$B$1:$CE$1,0))/100,0),""))),"")</f>
        <v>0</v>
      </c>
      <c r="R65" s="39" t="n">
        <f aca="false">IFERROR(IF($C65="","",IF($D65="","",IFERROR(ROUND($D65*INDEX('🔖 배합비 참조'!$B$2:$CE$83,MATCH("기타가공품(복분자가루)",'🔖 배합비 참조'!$A$2:$A$83,0),MATCH($C65,'🔖 배합비 참조'!$B$1:$CE$1,0))/100,0),""))),"")</f>
        <v>0</v>
      </c>
      <c r="S65" s="39" t="n">
        <f aca="false">IFERROR(IF($C65="","",IF($D65="","",IFERROR(ROUND($D65*INDEX('🔖 배합비 참조'!$B$2:$CE$83,MATCH("기타가공품(슈퍼소프트엠)",'🔖 배합비 참조'!$A$2:$A$83,0),MATCH($C65,'🔖 배합비 참조'!$B$1:$CE$1,0))/100,0),""))),"")</f>
        <v>0</v>
      </c>
      <c r="T65" s="39" t="n">
        <f aca="false">IFERROR(IF($C65="","",IF($D65="","",IFERROR(ROUND($D65*INDEX('🔖 배합비 참조'!$B$2:$CE$83,MATCH("기타가공품(파인소프트 E-티)",'🔖 배합비 참조'!$A$2:$A$83,0),MATCH($C65,'🔖 배합비 참조'!$B$1:$CE$1,0))/100,0),""))),"")</f>
        <v>0</v>
      </c>
      <c r="U65" s="39" t="n">
        <f aca="false">IFERROR(IF($C65="","",IF($D65="","",IFERROR(ROUND($D65*INDEX('🔖 배합비 참조'!$B$2:$CE$83,MATCH("기타가공품(프리미엄카스테라가루)",'🔖 배합비 참조'!$A$2:$A$83,0),MATCH($C65,'🔖 배합비 참조'!$B$1:$CE$1,0))/100,0),""))),"")</f>
        <v>0</v>
      </c>
      <c r="V65" s="39" t="n">
        <f aca="false">IFERROR(IF($C65="","",IF($D65="","",IFERROR(ROUND($D65*INDEX('🔖 배합비 참조'!$B$2:$CE$83,MATCH("기타가공품(흑임자가루)",'🔖 배합비 참조'!$A$2:$A$83,0),MATCH($C65,'🔖 배합비 참조'!$B$1:$CE$1,0))/100,0),""))),"")</f>
        <v>0</v>
      </c>
      <c r="W65" s="39" t="n">
        <f aca="false">IFERROR(IF($C65="","",IF($D65="","",IFERROR(ROUND($D65*INDEX('🔖 배합비 참조'!$B$2:$CE$83,MATCH("기타설탕(흑설탕)",'🔖 배합비 참조'!$A$2:$A$83,0),MATCH($C65,'🔖 배합비 참조'!$B$1:$CE$1,0))/100,0),""))),"")</f>
        <v>0</v>
      </c>
      <c r="X65" s="39" t="n">
        <f aca="false">IFERROR(IF($C65="","",IF($D65="","",IFERROR(ROUND($D65*INDEX('🔖 배합비 참조'!$B$2:$CE$83,MATCH("냉동쑥(국내산)",'🔖 배합비 참조'!$A$2:$A$83,0),MATCH($C65,'🔖 배합비 참조'!$B$1:$CE$1,0))/100,0),""))),"")</f>
        <v>0</v>
      </c>
      <c r="Y65" s="39" t="n">
        <f aca="false">IFERROR(IF($C65="","",IF($D65="","",IFERROR(ROUND($D65*INDEX('🔖 배합비 참조'!$B$2:$CE$83,MATCH("냉동증숙고구마(중국산)",'🔖 배합비 참조'!$A$2:$A$83,0),MATCH($C65,'🔖 배합비 참조'!$B$1:$CE$1,0))/100,0),""))),"")</f>
        <v>0</v>
      </c>
      <c r="Z65" s="39" t="n">
        <f aca="false">IFERROR(IF($C65="","",IF($D65="","",IFERROR(ROUND($D65*INDEX('🔖 배합비 참조'!$B$2:$CE$83,MATCH("녹차가루",'🔖 배합비 참조'!$A$2:$A$83,0),MATCH($C65,'🔖 배합비 참조'!$B$1:$CE$1,0))/100,0),""))),"")</f>
        <v>0</v>
      </c>
      <c r="AA65" s="39" t="n">
        <f aca="false">IFERROR(IF($C65="","",IF($D65="","",IFERROR(ROUND($D65*INDEX('🔖 배합비 참조'!$B$2:$CE$83,MATCH("다크초콜릿 컴파운드칩",'🔖 배합비 참조'!$A$2:$A$83,0),MATCH($C65,'🔖 배합비 참조'!$B$1:$CE$1,0))/100,0),""))),"")</f>
        <v>0</v>
      </c>
      <c r="AB65" s="39" t="n">
        <f aca="false">IFERROR(IF($C65="","",IF($D65="","",IFERROR(ROUND($D65*INDEX('🔖 배합비 참조'!$B$2:$CE$83,MATCH("단호박분말(중국산)",'🔖 배합비 참조'!$A$2:$A$83,0),MATCH($C65,'🔖 배합비 참조'!$B$1:$CE$1,0))/100,0),""))),"")</f>
        <v>0</v>
      </c>
      <c r="AC65" s="39" t="n">
        <f aca="false">IFERROR(IF($C65="","",IF($D65="","",IFERROR(ROUND($D65*INDEX('🔖 배합비 참조'!$B$2:$CE$83,MATCH("당류가공품(단호박농축액)",'🔖 배합비 참조'!$A$2:$A$83,0),MATCH($C65,'🔖 배합비 참조'!$B$1:$CE$1,0))/100,0),""))),"")</f>
        <v>0</v>
      </c>
      <c r="AD65" s="39" t="n">
        <f aca="false">IFERROR(IF($C65="","",IF($D65="","",IFERROR(ROUND($D65*INDEX('🔖 배합비 참조'!$B$2:$CE$83,MATCH("당류가공품(알룰로스,에리스리톨,스테비올배당체혼합)",'🔖 배합비 참조'!$A$2:$A$83,0),MATCH($C65,'🔖 배합비 참조'!$B$1:$CE$1,0))/100,0),""))),"")</f>
        <v>0</v>
      </c>
      <c r="AE65" s="39" t="n">
        <f aca="false">IFERROR(IF($C65="","",IF($D65="","",IFERROR(ROUND($D65*INDEX('🔖 배합비 참조'!$B$2:$CE$83,MATCH("당류가공품(알룰로스제로파우더)",'🔖 배합비 참조'!$A$2:$A$83,0),MATCH($C65,'🔖 배합비 참조'!$B$1:$CE$1,0))/100,0),""))),"")</f>
        <v>0</v>
      </c>
      <c r="AF65" s="39" t="n">
        <f aca="false">IFERROR(IF($C65="","",IF($D65="","",IFERROR(ROUND($D65*INDEX('🔖 배합비 참조'!$B$2:$CE$83,MATCH("당절임(완두배기)",'🔖 배합비 참조'!$A$2:$A$83,0),MATCH($C65,'🔖 배합비 참조'!$B$1:$CE$1,0))/100,0),""))),"")</f>
        <v>0</v>
      </c>
      <c r="AG65" s="39" t="n">
        <f aca="false">IFERROR(IF($C65="","",IF($D65="","",IFERROR(ROUND($D65*INDEX('🔖 배합비 참조'!$B$2:$CE$83,MATCH("대추농축액",'🔖 배합비 참조'!$A$2:$A$83,0),MATCH($C65,'🔖 배합비 참조'!$B$1:$CE$1,0))/100,0),""))),"")</f>
        <v>0</v>
      </c>
      <c r="AH65" s="39" t="n">
        <f aca="false">IFERROR(IF($C65="","",IF($D65="","",IFERROR(ROUND($D65*INDEX('🔖 배합비 참조'!$B$2:$CE$83,MATCH("대추채(국내산)",'🔖 배합비 참조'!$A$2:$A$83,0),MATCH($C65,'🔖 배합비 참조'!$B$1:$CE$1,0))/100,0),""))),"")</f>
        <v>0</v>
      </c>
      <c r="AI65" s="39" t="n">
        <f aca="false">IFERROR(IF($C65="","",IF($D65="","",IFERROR(ROUND($D65*INDEX('🔖 배합비 참조'!$B$2:$CE$83,MATCH("동부(미얀마산)",'🔖 배합비 참조'!$A$2:$A$83,0),MATCH($C65,'🔖 배합비 참조'!$B$1:$CE$1,0))/100,0),""))),"")</f>
        <v>0</v>
      </c>
      <c r="AJ65" s="39" t="n">
        <f aca="false">IFERROR(IF($C65="","",IF($D65="","",IFERROR(ROUND($D65*INDEX('🔖 배합비 참조'!$B$2:$CE$83,MATCH("두류가공품(백옥앙금)",'🔖 배합비 참조'!$A$2:$A$83,0),MATCH($C65,'🔖 배합비 참조'!$B$1:$CE$1,0))/100,0),""))),"")</f>
        <v>0</v>
      </c>
      <c r="AK65" s="39" t="n">
        <f aca="false">IFERROR(IF($C65="","",IF($D65="","",IFERROR(ROUND($D65*INDEX('🔖 배합비 참조'!$B$2:$CE$83,MATCH("두류가공품(콩고물)",'🔖 배합비 참조'!$A$2:$A$83,0),MATCH($C65,'🔖 배합비 참조'!$B$1:$CE$1,0))/100,0),""))),"")</f>
        <v>2</v>
      </c>
      <c r="AL65" s="39" t="n">
        <f aca="false">IFERROR(IF($C65="","",IF($D65="","",IFERROR(ROUND($D65*INDEX('🔖 배합비 참조'!$B$2:$CE$83,MATCH("두류가공품(통팥고물)",'🔖 배합비 참조'!$A$2:$A$83,0),MATCH($C65,'🔖 배합비 참조'!$B$1:$CE$1,0))/100,0),""))),"")</f>
        <v>0</v>
      </c>
      <c r="AM65" s="39" t="n">
        <f aca="false">IFERROR(IF($C65="","",IF($D65="","",IFERROR(ROUND($D65*INDEX('🔖 배합비 참조'!$B$2:$CE$83,MATCH("딸기레진",'🔖 배합비 참조'!$A$2:$A$83,0),MATCH($C65,'🔖 배합비 참조'!$B$1:$CE$1,0))/100,0),""))),"")</f>
        <v>0</v>
      </c>
      <c r="AN65" s="39" t="n">
        <f aca="false">IFERROR(IF($C65="","",IF($D65="","",IFERROR(ROUND($D65*INDEX('🔖 배합비 참조'!$B$2:$CE$83,MATCH("딸기분말(스트로우베리에이드(분말))",'🔖 배합비 참조'!$A$2:$A$83,0),MATCH($C65,'🔖 배합비 참조'!$B$1:$CE$1,0))/100,0),""))),"")</f>
        <v>0</v>
      </c>
      <c r="AO65" s="39" t="n">
        <f aca="false">IFERROR(IF($C65="","",IF($D65="","",IFERROR(ROUND($D65*INDEX('🔖 배합비 참조'!$B$2:$CE$83,MATCH("마스카포네치즈",'🔖 배합비 참조'!$A$2:$A$83,0),MATCH($C65,'🔖 배합비 참조'!$B$1:$CE$1,0))/100,0),""))),"")</f>
        <v>0</v>
      </c>
      <c r="AP65" s="39" t="n">
        <f aca="false">IFERROR(IF($C65="","",IF($D65="","",IFERROR(ROUND($D65*INDEX('🔖 배합비 참조'!$B$2:$CE$83,MATCH("마카다미아분태(호주산)",'🔖 배합비 참조'!$A$2:$A$83,0),MATCH($C65,'🔖 배합비 참조'!$B$1:$CE$1,0))/100,0),""))),"")</f>
        <v>0</v>
      </c>
      <c r="AQ65" s="39" t="n">
        <f aca="false">IFERROR(IF($C65="","",IF($D65="","",IFERROR(ROUND($D65*INDEX('🔖 배합비 참조'!$B$2:$CE$83,MATCH("멥쌀(국내산)",'🔖 배합비 참조'!$A$2:$A$83,0),MATCH($C65,'🔖 배합비 참조'!$B$1:$CE$1,0))/100,0),""))),"")</f>
        <v>0</v>
      </c>
      <c r="AR65" s="39" t="n">
        <f aca="false">IFERROR(IF($C65="","",IF($D65="","",IFERROR(ROUND($D65*INDEX('🔖 배합비 참조'!$B$2:$CE$83,MATCH("모시잎(국내산)",'🔖 배합비 참조'!$A$2:$A$83,0),MATCH($C65,'🔖 배합비 참조'!$B$1:$CE$1,0))/100,0),""))),"")</f>
        <v>0</v>
      </c>
      <c r="AS65" s="39" t="n">
        <f aca="false">IFERROR(IF($C65="","",IF($D65="","",IFERROR(ROUND($D65*INDEX('🔖 배합비 참조'!$B$2:$CE$83,MATCH("물엿(저당물엿)",'🔖 배합비 참조'!$A$2:$A$83,0),MATCH($C65,'🔖 배합비 참조'!$B$1:$CE$1,0))/100,0),""))),"")</f>
        <v>3</v>
      </c>
      <c r="AT65" s="39" t="n">
        <f aca="false">IFERROR(IF($C65="","",IF($D65="","",IFERROR(ROUND($D65*INDEX('🔖 배합비 참조'!$B$2:$CE$83,MATCH("밤다이스",'🔖 배합비 참조'!$A$2:$A$83,0),MATCH($C65,'🔖 배합비 참조'!$B$1:$CE$1,0))/100,0),""))),"")</f>
        <v>0</v>
      </c>
      <c r="AU65" s="39" t="n">
        <f aca="false">IFERROR(IF($C65="","",IF($D65="","",IFERROR(ROUND($D65*INDEX('🔖 배합비 참조'!$B$2:$CE$83,MATCH("변성전분(타피오카전분)",'🔖 배합비 참조'!$A$2:$A$83,0),MATCH($C65,'🔖 배합비 참조'!$B$1:$CE$1,0))/100,0),""))),"")</f>
        <v>0</v>
      </c>
      <c r="AV65" s="39" t="n">
        <f aca="false">IFERROR(IF($C65="","",IF($D65="","",IFERROR(ROUND($D65*INDEX('🔖 배합비 참조'!$B$2:$CE$83,MATCH("복음땅콩분태",'🔖 배합비 참조'!$A$2:$A$83,0),MATCH($C65,'🔖 배합비 참조'!$B$1:$CE$1,0))/100,0),""))),"")</f>
        <v>0</v>
      </c>
      <c r="AW65" s="39" t="n">
        <f aca="false">IFERROR(IF($C65="","",IF($D65="","",IFERROR(ROUND($D65*INDEX('🔖 배합비 참조'!$B$2:$CE$83,MATCH("사양벌꿀(국내산)",'🔖 배합비 참조'!$A$2:$A$83,0),MATCH($C65,'🔖 배합비 참조'!$B$1:$CE$1,0))/100,0),""))),"")</f>
        <v>0</v>
      </c>
      <c r="AX65" s="39" t="n">
        <f aca="false">IFERROR(IF($C65="","",IF($D65="","",IFERROR(ROUND($D65*INDEX('🔖 배합비 참조'!$B$2:$CE$83,MATCH("생크림",'🔖 배합비 참조'!$A$2:$A$83,0),MATCH($C65,'🔖 배합비 참조'!$B$1:$CE$1,0))/100,0),""))),"")</f>
        <v>0</v>
      </c>
      <c r="AY65" s="39" t="n">
        <f aca="false">IFERROR(IF($C65="","",IF($D65="","",IFERROR(ROUND($D65*INDEX('🔖 배합비 참조'!$B$2:$CE$83,MATCH("서양호박(국내산,뉴질랜드산)",'🔖 배합비 참조'!$A$2:$A$83,0),MATCH($C65,'🔖 배합비 참조'!$B$1:$CE$1,0))/100,0),""))),"")</f>
        <v>0</v>
      </c>
      <c r="AZ65" s="39" t="n">
        <f aca="false">IFERROR(IF($C65="","",IF($D65="","",IFERROR(ROUND($D65*INDEX('🔖 배합비 참조'!$B$2:$CE$83,MATCH("설탕",'🔖 배합비 참조'!$A$2:$A$83,0),MATCH($C65,'🔖 배합비 참조'!$B$1:$CE$1,0))/100,0),""))),"")</f>
        <v>3</v>
      </c>
      <c r="BA65" s="39" t="n">
        <f aca="false">IFERROR(IF($C65="","",IF($D65="","",IFERROR(ROUND($D65*INDEX('🔖 배합비 참조'!$B$2:$CE$83,MATCH("스트로우베리 에이드 후레쉬",'🔖 배합비 참조'!$A$2:$A$83,0),MATCH($C65,'🔖 배합비 참조'!$B$1:$CE$1,0))/100,0),""))),"")</f>
        <v>0</v>
      </c>
      <c r="BB65" s="39" t="n">
        <f aca="false">IFERROR(IF($C65="","",IF($D65="","",IFERROR(ROUND($D65*INDEX('🔖 배합비 참조'!$B$2:$CE$83,MATCH("식물성기름혼합제제(분홍)",'🔖 배합비 참조'!$A$2:$A$83,0),MATCH($C65,'🔖 배합비 참조'!$B$1:$CE$1,0))/100,0),""))),"")</f>
        <v>0</v>
      </c>
      <c r="BC65" s="39" t="n">
        <f aca="false">IFERROR(IF($C65="","",IF($D65="","",IFERROR(ROUND($D65*INDEX('🔖 배합비 참조'!$B$2:$CE$83,MATCH("식물성기름혼합제제(초록)",'🔖 배합비 참조'!$A$2:$A$83,0),MATCH($C65,'🔖 배합비 참조'!$B$1:$CE$1,0))/100,0),""))),"")</f>
        <v>0</v>
      </c>
      <c r="BD65" s="39" t="n">
        <f aca="false">IFERROR(IF($C65="","",IF($D65="","",IFERROR(ROUND($D65*INDEX('🔖 배합비 참조'!$B$2:$CE$83,MATCH("식물성기름혼합제제(황색)",'🔖 배합비 참조'!$A$2:$A$83,0),MATCH($C65,'🔖 배합비 참조'!$B$1:$CE$1,0))/100,0),""))),"")</f>
        <v>0</v>
      </c>
      <c r="BE65" s="39" t="n">
        <f aca="false">IFERROR(IF($C65="","",IF($D65="","",IFERROR(ROUND($D65*INDEX('🔖 배합비 참조'!$B$2:$CE$83,MATCH("쑥가루(국내산)",'🔖 배합비 참조'!$A$2:$A$83,0),MATCH($C65,'🔖 배합비 참조'!$B$1:$CE$1,0))/100,0),""))),"")</f>
        <v>0</v>
      </c>
      <c r="BF65" s="39" t="n">
        <f aca="false">IFERROR(IF($C65="","",IF($D65="","",IFERROR(ROUND($D65*INDEX('🔖 배합비 참조'!$B$2:$CE$83,MATCH("아몬드슬라이스",'🔖 배합비 참조'!$A$2:$A$83,0),MATCH($C65,'🔖 배합비 참조'!$B$1:$CE$1,0))/100,0),""))),"")</f>
        <v>0</v>
      </c>
      <c r="BG65" s="39" t="n">
        <f aca="false">IFERROR(IF($C65="","",IF($D65="","",IFERROR(ROUND($D65*INDEX('🔖 배합비 참조'!$B$2:$CE$83,MATCH("알룰로오스(국내산)",'🔖 배합비 참조'!$A$2:$A$83,0),MATCH($C65,'🔖 배합비 참조'!$B$1:$CE$1,0))/100,0),""))),"")</f>
        <v>0</v>
      </c>
      <c r="BH65" s="39" t="n">
        <f aca="false">IFERROR(IF($C65="","",IF($D65="","",IFERROR(ROUND($D65*INDEX('🔖 배합비 참조'!$B$2:$CE$83,MATCH("연유",'🔖 배합비 참조'!$A$2:$A$83,0),MATCH($C65,'🔖 배합비 참조'!$B$1:$CE$1,0))/100,0),""))),"")</f>
        <v>0</v>
      </c>
      <c r="BI65" s="39" t="n">
        <f aca="false">IFERROR(IF($C65="","",IF($D65="","",IFERROR(ROUND($D65*INDEX('🔖 배합비 참조'!$B$2:$CE$83,MATCH("옥수수전분",'🔖 배합비 참조'!$A$2:$A$83,0),MATCH($C65,'🔖 배합비 참조'!$B$1:$CE$1,0))/100,0),""))),"")</f>
        <v>0</v>
      </c>
      <c r="BJ65" s="39" t="n">
        <f aca="false">IFERROR(IF($C65="","",IF($D65="","",IFERROR(ROUND($D65*INDEX('🔖 배합비 참조'!$B$2:$CE$83,MATCH("완두배기",'🔖 배합비 참조'!$A$2:$A$83,0),MATCH($C65,'🔖 배합비 참조'!$B$1:$CE$1,0))/100,0),""))),"")</f>
        <v>0</v>
      </c>
      <c r="BK65" s="39" t="n">
        <f aca="false">IFERROR(IF($C65="","",IF($D65="","",IFERROR(ROUND($D65*INDEX('🔖 배합비 참조'!$B$2:$CE$83,MATCH("우유(국내산)",'🔖 배합비 참조'!$A$2:$A$83,0),MATCH($C65,'🔖 배합비 참조'!$B$1:$CE$1,0))/100,0),""))),"")</f>
        <v>0</v>
      </c>
      <c r="BL65" s="39" t="n">
        <f aca="false">IFERROR(IF($C65="","",IF($D65="","",IFERROR(ROUND($D65*INDEX('🔖 배합비 참조'!$B$2:$CE$83,MATCH("자색고구마가루(중국산)",'🔖 배합비 참조'!$A$2:$A$83,0),MATCH($C65,'🔖 배합비 참조'!$B$1:$CE$1,0))/100,0),""))),"")</f>
        <v>0</v>
      </c>
      <c r="BM65" s="39" t="n">
        <f aca="false">IFERROR(IF($C65="","",IF($D65="","",IFERROR(ROUND($D65*INDEX('🔖 배합비 참조'!$B$2:$CE$83,MATCH("자연치즈(체다치즈)",'🔖 배합비 참조'!$A$2:$A$83,0),MATCH($C65,'🔖 배합비 참조'!$B$1:$CE$1,0))/100,0),""))),"")</f>
        <v>0</v>
      </c>
      <c r="BN65" s="39" t="n">
        <f aca="false">IFERROR(IF($C65="","",IF($D65="","",IFERROR(ROUND($D65*INDEX('🔖 배합비 참조'!$B$2:$CE$83,MATCH("정제수",'🔖 배합비 참조'!$A$2:$A$83,0),MATCH($C65,'🔖 배합비 참조'!$B$1:$CE$1,0))/100,0),""))),"")</f>
        <v>27</v>
      </c>
      <c r="BO65" s="39" t="n">
        <f aca="false">IFERROR(IF($C65="","",IF($D65="","",IFERROR(ROUND($D65*INDEX('🔖 배합비 참조'!$B$2:$CE$83,MATCH("젤라틴",'🔖 배합비 참조'!$A$2:$A$83,0),MATCH($C65,'🔖 배합비 참조'!$B$1:$CE$1,0))/100,0),""))),"")</f>
        <v>0</v>
      </c>
      <c r="BP65" s="39" t="n">
        <f aca="false">IFERROR(IF($C65="","",IF($D65="","",IFERROR(ROUND($D65*INDEX('🔖 배합비 참조'!$B$2:$CE$83,MATCH("조림류(백옥앙금)",'🔖 배합비 참조'!$A$2:$A$83,0),MATCH($C65,'🔖 배합비 참조'!$B$1:$CE$1,0))/100,0),""))),"")</f>
        <v>0</v>
      </c>
      <c r="BQ65" s="39" t="n">
        <f aca="false">IFERROR(IF($C65="","",IF($D65="","",IFERROR(ROUND($D65*INDEX('🔖 배합비 참조'!$B$2:$CE$83,MATCH("조림류(통팥앙금)",'🔖 배합비 참조'!$A$2:$A$83,0),MATCH($C65,'🔖 배합비 참조'!$B$1:$CE$1,0))/100,0),""))),"")</f>
        <v>0</v>
      </c>
      <c r="BR65" s="39" t="n">
        <f aca="false">IFERROR(IF($C65="","",IF($D65="","",IFERROR(ROUND($D65*INDEX('🔖 배합비 참조'!$B$2:$CE$83,MATCH("준초콜릿(외국산)",'🔖 배합비 참조'!$A$2:$A$83,0),MATCH($C65,'🔖 배합비 참조'!$B$1:$CE$1,0))/100,0),""))),"")</f>
        <v>0</v>
      </c>
      <c r="BS65" s="39" t="n">
        <f aca="false">IFERROR(IF($C65="","",IF($D65="","",IFERROR(ROUND($D65*INDEX('🔖 배합비 참조'!$B$2:$CE$83,MATCH("중력분",'🔖 배합비 참조'!$A$2:$A$83,0),MATCH($C65,'🔖 배합비 참조'!$B$1:$CE$1,0))/100,0),""))),"")</f>
        <v>1</v>
      </c>
      <c r="BT65" s="39" t="n">
        <f aca="false">IFERROR(IF($C65="","",IF($D65="","",IFERROR(ROUND($D65*INDEX('🔖 배합비 참조'!$B$2:$CE$83,MATCH("참깨(인도산,나이지리아산,탄자니아산,미얀마산)",'🔖 배합비 참조'!$A$2:$A$83,0),MATCH($C65,'🔖 배합비 참조'!$B$1:$CE$1,0))/100,0),""))),"")</f>
        <v>0</v>
      </c>
      <c r="BU65" s="39" t="n">
        <f aca="false">IFERROR(IF($C65="","",IF($D65="","",IFERROR(ROUND($D65*INDEX('🔖 배합비 참조'!$B$2:$CE$83,MATCH("찹쌀(국내산)",'🔖 배합비 참조'!$A$2:$A$83,0),MATCH($C65,'🔖 배합비 참조'!$B$1:$CE$1,0))/100,0),""))),"")</f>
        <v>33</v>
      </c>
      <c r="BV65" s="39" t="n">
        <f aca="false">IFERROR(IF($C65="","",IF($D65="","",IFERROR(ROUND($D65*INDEX('🔖 배합비 참조'!$B$2:$CE$83,MATCH("천일염",'🔖 배합비 참조'!$A$2:$A$83,0),MATCH($C65,'🔖 배합비 참조'!$B$1:$CE$1,0))/100,0),""))),"")</f>
        <v>1</v>
      </c>
      <c r="BW65" s="39" t="n">
        <f aca="false">IFERROR(IF($C65="","",IF($D65="","",IFERROR(ROUND($D65*INDEX('🔖 배합비 참조'!$B$2:$CE$83,MATCH("치즈 [크림치즈]",'🔖 배합비 참조'!$A$2:$A$83,0),MATCH($C65,'🔖 배합비 참조'!$B$1:$CE$1,0))/100,0),""))),"")</f>
        <v>0</v>
      </c>
      <c r="BX65" s="39" t="n">
        <f aca="false">IFERROR(IF($C65="","",IF($D65="","",IFERROR(ROUND($D65*INDEX('🔖 배합비 참조'!$B$2:$CE$83,MATCH("코코아가공품류(코코아분말)",'🔖 배합비 참조'!$A$2:$A$83,0),MATCH($C65,'🔖 배합비 참조'!$B$1:$CE$1,0))/100,0),""))),"")</f>
        <v>0</v>
      </c>
      <c r="BY65" s="39" t="n">
        <f aca="false">IFERROR(IF($C65="","",IF($D65="","",IFERROR(ROUND($D65*INDEX('🔖 배합비 참조'!$B$2:$CE$83,MATCH("콩기름(대두유)",'🔖 배합비 참조'!$A$2:$A$83,0),MATCH($C65,'🔖 배합비 참조'!$B$1:$CE$1,0))/100,0),""))),"")</f>
        <v>0</v>
      </c>
      <c r="BZ65" s="39" t="n">
        <f aca="false">IFERROR(IF($C65="","",IF($D65="","",IFERROR(ROUND($D65*INDEX('🔖 배합비 참조'!$B$2:$CE$83,MATCH("해바라기씨앗",'🔖 배합비 참조'!$A$2:$A$83,0),MATCH($C65,'🔖 배합비 참조'!$B$1:$CE$1,0))/100,0),""))),"")</f>
        <v>0</v>
      </c>
      <c r="CA65" s="39" t="n">
        <f aca="false">IFERROR(IF($C65="","",IF($D65="","",IFERROR(ROUND($D65*INDEX('🔖 배합비 참조'!$B$2:$CE$83,MATCH("현미(국내산)",'🔖 배합비 참조'!$A$2:$A$83,0),MATCH($C65,'🔖 배합비 참조'!$B$1:$CE$1,0))/100,0),""))),"")</f>
        <v>0</v>
      </c>
      <c r="CB65" s="39" t="n">
        <f aca="false">IFERROR(IF($C65="","",IF($D65="","",IFERROR(ROUND($D65*INDEX('🔖 배합비 참조'!$B$2:$CE$83,MATCH("현미멥쌀(국내산)",'🔖 배합비 참조'!$A$2:$A$83,0),MATCH($C65,'🔖 배합비 참조'!$B$1:$CE$1,0))/100,0),""))),"")</f>
        <v>0</v>
      </c>
      <c r="CC65" s="39" t="n">
        <f aca="false">IFERROR(IF($C65="","",IF($D65="","",IFERROR(ROUND($D65*INDEX('🔖 배합비 참조'!$B$2:$CE$83,MATCH("호두분태(미국산)",'🔖 배합비 참조'!$A$2:$A$83,0),MATCH($C65,'🔖 배합비 참조'!$B$1:$CE$1,0))/100,0),""))),"")</f>
        <v>0</v>
      </c>
      <c r="CD65" s="39" t="n">
        <f aca="false">IFERROR(IF($C65="","",IF($D65="","",IFERROR(ROUND($D65*INDEX('🔖 배합비 참조'!$B$2:$CE$83,MATCH("호박씨앗(외국산)",'🔖 배합비 참조'!$A$2:$A$83,0),MATCH($C65,'🔖 배합비 참조'!$B$1:$CE$1,0))/100,0),""))),"")</f>
        <v>0</v>
      </c>
      <c r="CE65" s="39" t="n">
        <f aca="false">IFERROR(IF($C65="","",IF($D65="","",IFERROR(ROUND($D65*INDEX('🔖 배합비 참조'!$B$2:$CE$83,MATCH("혼합제제(떡용에스텔)",'🔖 배합비 참조'!$A$2:$A$83,0),MATCH($C65,'🔖 배합비 참조'!$B$1:$CE$1,0))/100,0),""))),"")</f>
        <v>0</v>
      </c>
      <c r="CF65" s="39" t="n">
        <f aca="false">IFERROR(IF($C65="","",IF($D65="","",IFERROR(ROUND($D65*INDEX('🔖 배합비 참조'!$B$2:$CE$83,MATCH("혼합제제(스테비아)",'🔖 배합비 참조'!$A$2:$A$83,0),MATCH($C65,'🔖 배합비 참조'!$B$1:$CE$1,0))/100,0),""))),"")</f>
        <v>0</v>
      </c>
      <c r="CG65" s="39" t="n">
        <f aca="false">IFERROR(IF($C65="","",IF($D65="","",IFERROR(ROUND($D65*INDEX('🔖 배합비 참조'!$B$2:$CE$83,MATCH("화이트초콜릿",'🔖 배합비 참조'!$A$2:$A$83,0),MATCH($C65,'🔖 배합비 참조'!$B$1:$CE$1,0))/100,0),""))),"")</f>
        <v>0</v>
      </c>
      <c r="CH65" s="39" t="n">
        <f aca="false">IFERROR(IF($C65="","",IF($D65="","",IFERROR(ROUND($D65*INDEX('🔖 배합비 참조'!$B$2:$CE$83,MATCH("흑미찹쌀(국내산)",'🔖 배합비 참조'!$A$2:$A$83,0),MATCH($C65,'🔖 배합비 참조'!$B$1:$CE$1,0))/100,0),""))),"")</f>
        <v>0</v>
      </c>
      <c r="CI65" s="39" t="n">
        <f aca="false">IFERROR(IF($C65="","",IF($D65="","",IFERROR(ROUND($D65*INDEX('🔖 배합비 참조'!$B$2:$CE$83,MATCH("찰옥수수전분(미국산)",'🔖 배합비 참조'!$A$2:$A$83,0),MATCH($C65,'🔖 배합비 참조'!$B$1:$CE$1,0))/100,0),""))),"")</f>
        <v>0</v>
      </c>
      <c r="CJ65" s="40"/>
      <c r="CL65" s="1" t="s">
        <v>238</v>
      </c>
    </row>
    <row r="66" customFormat="false" ht="18" hidden="false" customHeight="true" outlineLevel="0" collapsed="false">
      <c r="A66" s="41" t="n">
        <v>62</v>
      </c>
      <c r="B66" s="36" t="n">
        <v>45972</v>
      </c>
      <c r="C66" s="37" t="s">
        <v>161</v>
      </c>
      <c r="D66" s="38" t="n">
        <v>51</v>
      </c>
      <c r="E66" s="17"/>
      <c r="F66" s="17"/>
      <c r="G66" s="42" t="n">
        <f aca="false">IFERROR(IF($C66="","",IF($D66="","",IFERROR(ROUND($D66*INDEX('🔖 배합비 참조'!$B$2:$CE$83,MATCH("간장",'🔖 배합비 참조'!$A$2:$A$83,0),MATCH($C66,'🔖 배합비 참조'!$B$1:$CE$1,0))/100,0),""))),"")</f>
        <v>0</v>
      </c>
      <c r="H66" s="42" t="n">
        <f aca="false">IFERROR(IF($C66="","",IF($D66="","",IFERROR(ROUND($D66*INDEX('🔖 배합비 참조'!$B$2:$CE$83,MATCH("강낭콩((울타리콩))",'🔖 배합비 참조'!$A$2:$A$83,0),MATCH($C66,'🔖 배합비 참조'!$B$1:$CE$1,0))/100,0),""))),"")</f>
        <v>0</v>
      </c>
      <c r="I66" s="42" t="n">
        <f aca="false">IFERROR(IF($C66="","",IF($D66="","",IFERROR(ROUND($D66*INDEX('🔖 배합비 참조'!$B$2:$CE$83,MATCH("건조딸기다이스(외국산)",'🔖 배합비 참조'!$A$2:$A$83,0),MATCH($C66,'🔖 배합비 참조'!$B$1:$CE$1,0))/100,0),""))),"")</f>
        <v>0</v>
      </c>
      <c r="J66" s="42" t="n">
        <f aca="false">IFERROR(IF($C66="","",IF($D66="","",IFERROR(ROUND($D66*INDEX('🔖 배합비 참조'!$B$2:$CE$83,MATCH("건포도",'🔖 배합비 참조'!$A$2:$A$83,0),MATCH($C66,'🔖 배합비 참조'!$B$1:$CE$1,0))/100,0),""))),"")</f>
        <v>0</v>
      </c>
      <c r="K66" s="42" t="n">
        <f aca="false">IFERROR(IF($C66="","",IF($D66="","",IFERROR(ROUND($D66*INDEX('🔖 배합비 참조'!$B$2:$CE$83,MATCH("건호박채(중국산)",'🔖 배합비 참조'!$A$2:$A$83,0),MATCH($C66,'🔖 배합비 참조'!$B$1:$CE$1,0))/100,0),""))),"")</f>
        <v>0</v>
      </c>
      <c r="L66" s="42" t="n">
        <f aca="false">IFERROR(IF($C66="","",IF($D66="","",IFERROR(ROUND($D66*INDEX('🔖 배합비 참조'!$B$2:$CE$83,MATCH("검정깨(흑임자)",'🔖 배합비 참조'!$A$2:$A$83,0),MATCH($C66,'🔖 배합비 참조'!$B$1:$CE$1,0))/100,0),""))),"")</f>
        <v>0</v>
      </c>
      <c r="M66" s="42" t="n">
        <f aca="false">IFERROR(IF($C66="","",IF($D66="","",IFERROR(ROUND($D66*INDEX('🔖 배합비 참조'!$B$2:$CE$83,MATCH("검정콩",'🔖 배합비 참조'!$A$2:$A$83,0),MATCH($C66,'🔖 배합비 참조'!$B$1:$CE$1,0))/100,0),""))),"")</f>
        <v>0</v>
      </c>
      <c r="N66" s="42" t="n">
        <f aca="false">IFERROR(IF($C66="","",IF($D66="","",IFERROR(ROUND($D66*INDEX('🔖 배합비 참조'!$B$2:$CE$83,MATCH("계피가루",'🔖 배합비 참조'!$A$2:$A$83,0),MATCH($C66,'🔖 배합비 참조'!$B$1:$CE$1,0))/100,0),""))),"")</f>
        <v>0</v>
      </c>
      <c r="O66" s="42" t="n">
        <f aca="false">IFERROR(IF($C66="","",IF($D66="","",IFERROR(ROUND($D66*INDEX('🔖 배합비 참조'!$B$2:$CE$83,MATCH("고구마가루",'🔖 배합비 참조'!$A$2:$A$83,0),MATCH($C66,'🔖 배합비 참조'!$B$1:$CE$1,0))/100,0),""))),"")</f>
        <v>0</v>
      </c>
      <c r="P66" s="42" t="n">
        <f aca="false">IFERROR(IF($C66="","",IF($D66="","",IFERROR(ROUND($D66*INDEX('🔖 배합비 참조'!$B$2:$CE$83,MATCH("고구마무스",'🔖 배합비 참조'!$A$2:$A$83,0),MATCH($C66,'🔖 배합비 참조'!$B$1:$CE$1,0))/100,0),""))),"")</f>
        <v>0</v>
      </c>
      <c r="Q66" s="42" t="n">
        <f aca="false">IFERROR(IF($C66="","",IF($D66="","",IFERROR(ROUND($D66*INDEX('🔖 배합비 참조'!$B$2:$CE$83,MATCH("고려엉겅퀴((곤드레)국내산)",'🔖 배합비 참조'!$A$2:$A$83,0),MATCH($C66,'🔖 배합비 참조'!$B$1:$CE$1,0))/100,0),""))),"")</f>
        <v>0</v>
      </c>
      <c r="R66" s="42" t="n">
        <f aca="false">IFERROR(IF($C66="","",IF($D66="","",IFERROR(ROUND($D66*INDEX('🔖 배합비 참조'!$B$2:$CE$83,MATCH("기타가공품(복분자가루)",'🔖 배합비 참조'!$A$2:$A$83,0),MATCH($C66,'🔖 배합비 참조'!$B$1:$CE$1,0))/100,0),""))),"")</f>
        <v>0</v>
      </c>
      <c r="S66" s="42" t="n">
        <f aca="false">IFERROR(IF($C66="","",IF($D66="","",IFERROR(ROUND($D66*INDEX('🔖 배합비 참조'!$B$2:$CE$83,MATCH("기타가공품(슈퍼소프트엠)",'🔖 배합비 참조'!$A$2:$A$83,0),MATCH($C66,'🔖 배합비 참조'!$B$1:$CE$1,0))/100,0),""))),"")</f>
        <v>0</v>
      </c>
      <c r="T66" s="42" t="n">
        <f aca="false">IFERROR(IF($C66="","",IF($D66="","",IFERROR(ROUND($D66*INDEX('🔖 배합비 참조'!$B$2:$CE$83,MATCH("기타가공품(파인소프트 E-티)",'🔖 배합비 참조'!$A$2:$A$83,0),MATCH($C66,'🔖 배합비 참조'!$B$1:$CE$1,0))/100,0),""))),"")</f>
        <v>0</v>
      </c>
      <c r="U66" s="42" t="n">
        <f aca="false">IFERROR(IF($C66="","",IF($D66="","",IFERROR(ROUND($D66*INDEX('🔖 배합비 참조'!$B$2:$CE$83,MATCH("기타가공품(프리미엄카스테라가루)",'🔖 배합비 참조'!$A$2:$A$83,0),MATCH($C66,'🔖 배합비 참조'!$B$1:$CE$1,0))/100,0),""))),"")</f>
        <v>0</v>
      </c>
      <c r="V66" s="42" t="n">
        <f aca="false">IFERROR(IF($C66="","",IF($D66="","",IFERROR(ROUND($D66*INDEX('🔖 배합비 참조'!$B$2:$CE$83,MATCH("기타가공품(흑임자가루)",'🔖 배합비 참조'!$A$2:$A$83,0),MATCH($C66,'🔖 배합비 참조'!$B$1:$CE$1,0))/100,0),""))),"")</f>
        <v>0</v>
      </c>
      <c r="W66" s="42" t="n">
        <f aca="false">IFERROR(IF($C66="","",IF($D66="","",IFERROR(ROUND($D66*INDEX('🔖 배합비 참조'!$B$2:$CE$83,MATCH("기타설탕(흑설탕)",'🔖 배합비 참조'!$A$2:$A$83,0),MATCH($C66,'🔖 배합비 참조'!$B$1:$CE$1,0))/100,0),""))),"")</f>
        <v>0</v>
      </c>
      <c r="X66" s="42" t="n">
        <f aca="false">IFERROR(IF($C66="","",IF($D66="","",IFERROR(ROUND($D66*INDEX('🔖 배합비 참조'!$B$2:$CE$83,MATCH("냉동쑥(국내산)",'🔖 배합비 참조'!$A$2:$A$83,0),MATCH($C66,'🔖 배합비 참조'!$B$1:$CE$1,0))/100,0),""))),"")</f>
        <v>0</v>
      </c>
      <c r="Y66" s="42" t="n">
        <f aca="false">IFERROR(IF($C66="","",IF($D66="","",IFERROR(ROUND($D66*INDEX('🔖 배합비 참조'!$B$2:$CE$83,MATCH("냉동증숙고구마(중국산)",'🔖 배합비 참조'!$A$2:$A$83,0),MATCH($C66,'🔖 배합비 참조'!$B$1:$CE$1,0))/100,0),""))),"")</f>
        <v>0</v>
      </c>
      <c r="Z66" s="42" t="n">
        <f aca="false">IFERROR(IF($C66="","",IF($D66="","",IFERROR(ROUND($D66*INDEX('🔖 배합비 참조'!$B$2:$CE$83,MATCH("녹차가루",'🔖 배합비 참조'!$A$2:$A$83,0),MATCH($C66,'🔖 배합비 참조'!$B$1:$CE$1,0))/100,0),""))),"")</f>
        <v>0</v>
      </c>
      <c r="AA66" s="42" t="n">
        <f aca="false">IFERROR(IF($C66="","",IF($D66="","",IFERROR(ROUND($D66*INDEX('🔖 배합비 참조'!$B$2:$CE$83,MATCH("다크초콜릿 컴파운드칩",'🔖 배합비 참조'!$A$2:$A$83,0),MATCH($C66,'🔖 배합비 참조'!$B$1:$CE$1,0))/100,0),""))),"")</f>
        <v>0</v>
      </c>
      <c r="AB66" s="42" t="n">
        <f aca="false">IFERROR(IF($C66="","",IF($D66="","",IFERROR(ROUND($D66*INDEX('🔖 배합비 참조'!$B$2:$CE$83,MATCH("단호박분말(중국산)",'🔖 배합비 참조'!$A$2:$A$83,0),MATCH($C66,'🔖 배합비 참조'!$B$1:$CE$1,0))/100,0),""))),"")</f>
        <v>0</v>
      </c>
      <c r="AC66" s="42" t="n">
        <f aca="false">IFERROR(IF($C66="","",IF($D66="","",IFERROR(ROUND($D66*INDEX('🔖 배합비 참조'!$B$2:$CE$83,MATCH("당류가공품(단호박농축액)",'🔖 배합비 참조'!$A$2:$A$83,0),MATCH($C66,'🔖 배합비 참조'!$B$1:$CE$1,0))/100,0),""))),"")</f>
        <v>0</v>
      </c>
      <c r="AD66" s="42" t="n">
        <f aca="false">IFERROR(IF($C66="","",IF($D66="","",IFERROR(ROUND($D66*INDEX('🔖 배합비 참조'!$B$2:$CE$83,MATCH("당류가공품(알룰로스,에리스리톨,스테비올배당체혼합)",'🔖 배합비 참조'!$A$2:$A$83,0),MATCH($C66,'🔖 배합비 참조'!$B$1:$CE$1,0))/100,0),""))),"")</f>
        <v>0</v>
      </c>
      <c r="AE66" s="42" t="n">
        <f aca="false">IFERROR(IF($C66="","",IF($D66="","",IFERROR(ROUND($D66*INDEX('🔖 배합비 참조'!$B$2:$CE$83,MATCH("당류가공품(알룰로스제로파우더)",'🔖 배합비 참조'!$A$2:$A$83,0),MATCH($C66,'🔖 배합비 참조'!$B$1:$CE$1,0))/100,0),""))),"")</f>
        <v>0</v>
      </c>
      <c r="AF66" s="42" t="n">
        <f aca="false">IFERROR(IF($C66="","",IF($D66="","",IFERROR(ROUND($D66*INDEX('🔖 배합비 참조'!$B$2:$CE$83,MATCH("당절임(완두배기)",'🔖 배합비 참조'!$A$2:$A$83,0),MATCH($C66,'🔖 배합비 참조'!$B$1:$CE$1,0))/100,0),""))),"")</f>
        <v>0</v>
      </c>
      <c r="AG66" s="42" t="n">
        <f aca="false">IFERROR(IF($C66="","",IF($D66="","",IFERROR(ROUND($D66*INDEX('🔖 배합비 참조'!$B$2:$CE$83,MATCH("대추농축액",'🔖 배합비 참조'!$A$2:$A$83,0),MATCH($C66,'🔖 배합비 참조'!$B$1:$CE$1,0))/100,0),""))),"")</f>
        <v>0</v>
      </c>
      <c r="AH66" s="42" t="n">
        <f aca="false">IFERROR(IF($C66="","",IF($D66="","",IFERROR(ROUND($D66*INDEX('🔖 배합비 참조'!$B$2:$CE$83,MATCH("대추채(국내산)",'🔖 배합비 참조'!$A$2:$A$83,0),MATCH($C66,'🔖 배합비 참조'!$B$1:$CE$1,0))/100,0),""))),"")</f>
        <v>0</v>
      </c>
      <c r="AI66" s="42" t="n">
        <f aca="false">IFERROR(IF($C66="","",IF($D66="","",IFERROR(ROUND($D66*INDEX('🔖 배합비 참조'!$B$2:$CE$83,MATCH("동부(미얀마산)",'🔖 배합비 참조'!$A$2:$A$83,0),MATCH($C66,'🔖 배합비 참조'!$B$1:$CE$1,0))/100,0),""))),"")</f>
        <v>0</v>
      </c>
      <c r="AJ66" s="42" t="n">
        <f aca="false">IFERROR(IF($C66="","",IF($D66="","",IFERROR(ROUND($D66*INDEX('🔖 배합비 참조'!$B$2:$CE$83,MATCH("두류가공품(백옥앙금)",'🔖 배합비 참조'!$A$2:$A$83,0),MATCH($C66,'🔖 배합비 참조'!$B$1:$CE$1,0))/100,0),""))),"")</f>
        <v>0</v>
      </c>
      <c r="AK66" s="42" t="n">
        <f aca="false">IFERROR(IF($C66="","",IF($D66="","",IFERROR(ROUND($D66*INDEX('🔖 배합비 참조'!$B$2:$CE$83,MATCH("두류가공품(콩고물)",'🔖 배합비 참조'!$A$2:$A$83,0),MATCH($C66,'🔖 배합비 참조'!$B$1:$CE$1,0))/100,0),""))),"")</f>
        <v>0</v>
      </c>
      <c r="AL66" s="42" t="n">
        <f aca="false">IFERROR(IF($C66="","",IF($D66="","",IFERROR(ROUND($D66*INDEX('🔖 배합비 참조'!$B$2:$CE$83,MATCH("두류가공품(통팥고물)",'🔖 배합비 참조'!$A$2:$A$83,0),MATCH($C66,'🔖 배합비 참조'!$B$1:$CE$1,0))/100,0),""))),"")</f>
        <v>0</v>
      </c>
      <c r="AM66" s="42" t="n">
        <f aca="false">IFERROR(IF($C66="","",IF($D66="","",IFERROR(ROUND($D66*INDEX('🔖 배합비 참조'!$B$2:$CE$83,MATCH("딸기레진",'🔖 배합비 참조'!$A$2:$A$83,0),MATCH($C66,'🔖 배합비 참조'!$B$1:$CE$1,0))/100,0),""))),"")</f>
        <v>0</v>
      </c>
      <c r="AN66" s="42" t="n">
        <f aca="false">IFERROR(IF($C66="","",IF($D66="","",IFERROR(ROUND($D66*INDEX('🔖 배합비 참조'!$B$2:$CE$83,MATCH("딸기분말(스트로우베리에이드(분말))",'🔖 배합비 참조'!$A$2:$A$83,0),MATCH($C66,'🔖 배합비 참조'!$B$1:$CE$1,0))/100,0),""))),"")</f>
        <v>0</v>
      </c>
      <c r="AO66" s="42" t="n">
        <f aca="false">IFERROR(IF($C66="","",IF($D66="","",IFERROR(ROUND($D66*INDEX('🔖 배합비 참조'!$B$2:$CE$83,MATCH("마스카포네치즈",'🔖 배합비 참조'!$A$2:$A$83,0),MATCH($C66,'🔖 배합비 참조'!$B$1:$CE$1,0))/100,0),""))),"")</f>
        <v>0</v>
      </c>
      <c r="AP66" s="42" t="n">
        <f aca="false">IFERROR(IF($C66="","",IF($D66="","",IFERROR(ROUND($D66*INDEX('🔖 배합비 참조'!$B$2:$CE$83,MATCH("마카다미아분태(호주산)",'🔖 배합비 참조'!$A$2:$A$83,0),MATCH($C66,'🔖 배합비 참조'!$B$1:$CE$1,0))/100,0),""))),"")</f>
        <v>0</v>
      </c>
      <c r="AQ66" s="42" t="n">
        <f aca="false">IFERROR(IF($C66="","",IF($D66="","",IFERROR(ROUND($D66*INDEX('🔖 배합비 참조'!$B$2:$CE$83,MATCH("멥쌀(국내산)",'🔖 배합비 참조'!$A$2:$A$83,0),MATCH($C66,'🔖 배합비 참조'!$B$1:$CE$1,0))/100,0),""))),"")</f>
        <v>25</v>
      </c>
      <c r="AR66" s="42" t="n">
        <f aca="false">IFERROR(IF($C66="","",IF($D66="","",IFERROR(ROUND($D66*INDEX('🔖 배합비 참조'!$B$2:$CE$83,MATCH("모시잎(국내산)",'🔖 배합비 참조'!$A$2:$A$83,0),MATCH($C66,'🔖 배합비 참조'!$B$1:$CE$1,0))/100,0),""))),"")</f>
        <v>6</v>
      </c>
      <c r="AS66" s="42" t="n">
        <f aca="false">IFERROR(IF($C66="","",IF($D66="","",IFERROR(ROUND($D66*INDEX('🔖 배합비 참조'!$B$2:$CE$83,MATCH("물엿(저당물엿)",'🔖 배합비 참조'!$A$2:$A$83,0),MATCH($C66,'🔖 배합비 참조'!$B$1:$CE$1,0))/100,0),""))),"")</f>
        <v>1</v>
      </c>
      <c r="AT66" s="42" t="n">
        <f aca="false">IFERROR(IF($C66="","",IF($D66="","",IFERROR(ROUND($D66*INDEX('🔖 배합비 참조'!$B$2:$CE$83,MATCH("밤다이스",'🔖 배합비 참조'!$A$2:$A$83,0),MATCH($C66,'🔖 배합비 참조'!$B$1:$CE$1,0))/100,0),""))),"")</f>
        <v>0</v>
      </c>
      <c r="AU66" s="42" t="n">
        <f aca="false">IFERROR(IF($C66="","",IF($D66="","",IFERROR(ROUND($D66*INDEX('🔖 배합비 참조'!$B$2:$CE$83,MATCH("변성전분(타피오카전분)",'🔖 배합비 참조'!$A$2:$A$83,0),MATCH($C66,'🔖 배합비 참조'!$B$1:$CE$1,0))/100,0),""))),"")</f>
        <v>1</v>
      </c>
      <c r="AV66" s="42" t="n">
        <f aca="false">IFERROR(IF($C66="","",IF($D66="","",IFERROR(ROUND($D66*INDEX('🔖 배합비 참조'!$B$2:$CE$83,MATCH("복음땅콩분태",'🔖 배합비 참조'!$A$2:$A$83,0),MATCH($C66,'🔖 배합비 참조'!$B$1:$CE$1,0))/100,0),""))),"")</f>
        <v>0</v>
      </c>
      <c r="AW66" s="42" t="n">
        <f aca="false">IFERROR(IF($C66="","",IF($D66="","",IFERROR(ROUND($D66*INDEX('🔖 배합비 참조'!$B$2:$CE$83,MATCH("사양벌꿀(국내산)",'🔖 배합비 참조'!$A$2:$A$83,0),MATCH($C66,'🔖 배합비 참조'!$B$1:$CE$1,0))/100,0),""))),"")</f>
        <v>0</v>
      </c>
      <c r="AX66" s="42" t="n">
        <f aca="false">IFERROR(IF($C66="","",IF($D66="","",IFERROR(ROUND($D66*INDEX('🔖 배합비 참조'!$B$2:$CE$83,MATCH("생크림",'🔖 배합비 참조'!$A$2:$A$83,0),MATCH($C66,'🔖 배합비 참조'!$B$1:$CE$1,0))/100,0),""))),"")</f>
        <v>0</v>
      </c>
      <c r="AY66" s="42" t="n">
        <f aca="false">IFERROR(IF($C66="","",IF($D66="","",IFERROR(ROUND($D66*INDEX('🔖 배합비 참조'!$B$2:$CE$83,MATCH("서양호박(국내산,뉴질랜드산)",'🔖 배합비 참조'!$A$2:$A$83,0),MATCH($C66,'🔖 배합비 참조'!$B$1:$CE$1,0))/100,0),""))),"")</f>
        <v>0</v>
      </c>
      <c r="AZ66" s="42" t="n">
        <f aca="false">IFERROR(IF($C66="","",IF($D66="","",IFERROR(ROUND($D66*INDEX('🔖 배합비 참조'!$B$2:$CE$83,MATCH("설탕",'🔖 배합비 참조'!$A$2:$A$83,0),MATCH($C66,'🔖 배합비 참조'!$B$1:$CE$1,0))/100,0),""))),"")</f>
        <v>0</v>
      </c>
      <c r="BA66" s="42" t="n">
        <f aca="false">IFERROR(IF($C66="","",IF($D66="","",IFERROR(ROUND($D66*INDEX('🔖 배합비 참조'!$B$2:$CE$83,MATCH("스트로우베리 에이드 후레쉬",'🔖 배합비 참조'!$A$2:$A$83,0),MATCH($C66,'🔖 배합비 참조'!$B$1:$CE$1,0))/100,0),""))),"")</f>
        <v>0</v>
      </c>
      <c r="BB66" s="42" t="n">
        <f aca="false">IFERROR(IF($C66="","",IF($D66="","",IFERROR(ROUND($D66*INDEX('🔖 배합비 참조'!$B$2:$CE$83,MATCH("식물성기름혼합제제(분홍)",'🔖 배합비 참조'!$A$2:$A$83,0),MATCH($C66,'🔖 배합비 참조'!$B$1:$CE$1,0))/100,0),""))),"")</f>
        <v>0</v>
      </c>
      <c r="BC66" s="42" t="n">
        <f aca="false">IFERROR(IF($C66="","",IF($D66="","",IFERROR(ROUND($D66*INDEX('🔖 배합비 참조'!$B$2:$CE$83,MATCH("식물성기름혼합제제(초록)",'🔖 배합비 참조'!$A$2:$A$83,0),MATCH($C66,'🔖 배합비 참조'!$B$1:$CE$1,0))/100,0),""))),"")</f>
        <v>0</v>
      </c>
      <c r="BD66" s="42" t="n">
        <f aca="false">IFERROR(IF($C66="","",IF($D66="","",IFERROR(ROUND($D66*INDEX('🔖 배합비 참조'!$B$2:$CE$83,MATCH("식물성기름혼합제제(황색)",'🔖 배합비 참조'!$A$2:$A$83,0),MATCH($C66,'🔖 배합비 참조'!$B$1:$CE$1,0))/100,0),""))),"")</f>
        <v>0</v>
      </c>
      <c r="BE66" s="42" t="n">
        <f aca="false">IFERROR(IF($C66="","",IF($D66="","",IFERROR(ROUND($D66*INDEX('🔖 배합비 참조'!$B$2:$CE$83,MATCH("쑥가루(국내산)",'🔖 배합비 참조'!$A$2:$A$83,0),MATCH($C66,'🔖 배합비 참조'!$B$1:$CE$1,0))/100,0),""))),"")</f>
        <v>0</v>
      </c>
      <c r="BF66" s="42" t="n">
        <f aca="false">IFERROR(IF($C66="","",IF($D66="","",IFERROR(ROUND($D66*INDEX('🔖 배합비 참조'!$B$2:$CE$83,MATCH("아몬드슬라이스",'🔖 배합비 참조'!$A$2:$A$83,0),MATCH($C66,'🔖 배합비 참조'!$B$1:$CE$1,0))/100,0),""))),"")</f>
        <v>0</v>
      </c>
      <c r="BG66" s="42" t="n">
        <f aca="false">IFERROR(IF($C66="","",IF($D66="","",IFERROR(ROUND($D66*INDEX('🔖 배합비 참조'!$B$2:$CE$83,MATCH("알룰로오스(국내산)",'🔖 배합비 참조'!$A$2:$A$83,0),MATCH($C66,'🔖 배합비 참조'!$B$1:$CE$1,0))/100,0),""))),"")</f>
        <v>0</v>
      </c>
      <c r="BH66" s="42" t="n">
        <f aca="false">IFERROR(IF($C66="","",IF($D66="","",IFERROR(ROUND($D66*INDEX('🔖 배합비 참조'!$B$2:$CE$83,MATCH("연유",'🔖 배합비 참조'!$A$2:$A$83,0),MATCH($C66,'🔖 배합비 참조'!$B$1:$CE$1,0))/100,0),""))),"")</f>
        <v>0</v>
      </c>
      <c r="BI66" s="42" t="n">
        <f aca="false">IFERROR(IF($C66="","",IF($D66="","",IFERROR(ROUND($D66*INDEX('🔖 배합비 참조'!$B$2:$CE$83,MATCH("옥수수전분",'🔖 배합비 참조'!$A$2:$A$83,0),MATCH($C66,'🔖 배합비 참조'!$B$1:$CE$1,0))/100,0),""))),"")</f>
        <v>0</v>
      </c>
      <c r="BJ66" s="42" t="n">
        <f aca="false">IFERROR(IF($C66="","",IF($D66="","",IFERROR(ROUND($D66*INDEX('🔖 배합비 참조'!$B$2:$CE$83,MATCH("완두배기",'🔖 배합비 참조'!$A$2:$A$83,0),MATCH($C66,'🔖 배합비 참조'!$B$1:$CE$1,0))/100,0),""))),"")</f>
        <v>0</v>
      </c>
      <c r="BK66" s="42" t="n">
        <f aca="false">IFERROR(IF($C66="","",IF($D66="","",IFERROR(ROUND($D66*INDEX('🔖 배합비 참조'!$B$2:$CE$83,MATCH("우유(국내산)",'🔖 배합비 참조'!$A$2:$A$83,0),MATCH($C66,'🔖 배합비 참조'!$B$1:$CE$1,0))/100,0),""))),"")</f>
        <v>0</v>
      </c>
      <c r="BL66" s="42" t="n">
        <f aca="false">IFERROR(IF($C66="","",IF($D66="","",IFERROR(ROUND($D66*INDEX('🔖 배합비 참조'!$B$2:$CE$83,MATCH("자색고구마가루(중국산)",'🔖 배합비 참조'!$A$2:$A$83,0),MATCH($C66,'🔖 배합비 참조'!$B$1:$CE$1,0))/100,0),""))),"")</f>
        <v>0</v>
      </c>
      <c r="BM66" s="42" t="n">
        <f aca="false">IFERROR(IF($C66="","",IF($D66="","",IFERROR(ROUND($D66*INDEX('🔖 배합비 참조'!$B$2:$CE$83,MATCH("자연치즈(체다치즈)",'🔖 배합비 참조'!$A$2:$A$83,0),MATCH($C66,'🔖 배합비 참조'!$B$1:$CE$1,0))/100,0),""))),"")</f>
        <v>0</v>
      </c>
      <c r="BN66" s="42" t="n">
        <f aca="false">IFERROR(IF($C66="","",IF($D66="","",IFERROR(ROUND($D66*INDEX('🔖 배합비 참조'!$B$2:$CE$83,MATCH("정제수",'🔖 배합비 참조'!$A$2:$A$83,0),MATCH($C66,'🔖 배합비 참조'!$B$1:$CE$1,0))/100,0),""))),"")</f>
        <v>17</v>
      </c>
      <c r="BO66" s="42" t="n">
        <f aca="false">IFERROR(IF($C66="","",IF($D66="","",IFERROR(ROUND($D66*INDEX('🔖 배합비 참조'!$B$2:$CE$83,MATCH("젤라틴",'🔖 배합비 참조'!$A$2:$A$83,0),MATCH($C66,'🔖 배합비 참조'!$B$1:$CE$1,0))/100,0),""))),"")</f>
        <v>0</v>
      </c>
      <c r="BP66" s="42" t="n">
        <f aca="false">IFERROR(IF($C66="","",IF($D66="","",IFERROR(ROUND($D66*INDEX('🔖 배합비 참조'!$B$2:$CE$83,MATCH("조림류(백옥앙금)",'🔖 배합비 참조'!$A$2:$A$83,0),MATCH($C66,'🔖 배합비 참조'!$B$1:$CE$1,0))/100,0),""))),"")</f>
        <v>0</v>
      </c>
      <c r="BQ66" s="42" t="n">
        <f aca="false">IFERROR(IF($C66="","",IF($D66="","",IFERROR(ROUND($D66*INDEX('🔖 배합비 참조'!$B$2:$CE$83,MATCH("조림류(통팥앙금)",'🔖 배합비 참조'!$A$2:$A$83,0),MATCH($C66,'🔖 배합비 참조'!$B$1:$CE$1,0))/100,0),""))),"")</f>
        <v>0</v>
      </c>
      <c r="BR66" s="42" t="n">
        <f aca="false">IFERROR(IF($C66="","",IF($D66="","",IFERROR(ROUND($D66*INDEX('🔖 배합비 참조'!$B$2:$CE$83,MATCH("준초콜릿(외국산)",'🔖 배합비 참조'!$A$2:$A$83,0),MATCH($C66,'🔖 배합비 참조'!$B$1:$CE$1,0))/100,0),""))),"")</f>
        <v>0</v>
      </c>
      <c r="BS66" s="42" t="n">
        <f aca="false">IFERROR(IF($C66="","",IF($D66="","",IFERROR(ROUND($D66*INDEX('🔖 배합비 참조'!$B$2:$CE$83,MATCH("중력분",'🔖 배합비 참조'!$A$2:$A$83,0),MATCH($C66,'🔖 배합비 참조'!$B$1:$CE$1,0))/100,0),""))),"")</f>
        <v>0</v>
      </c>
      <c r="BT66" s="42" t="n">
        <f aca="false">IFERROR(IF($C66="","",IF($D66="","",IFERROR(ROUND($D66*INDEX('🔖 배합비 참조'!$B$2:$CE$83,MATCH("참깨(인도산,나이지리아산,탄자니아산,미얀마산)",'🔖 배합비 참조'!$A$2:$A$83,0),MATCH($C66,'🔖 배합비 참조'!$B$1:$CE$1,0))/100,0),""))),"")</f>
        <v>0</v>
      </c>
      <c r="BU66" s="42" t="n">
        <f aca="false">IFERROR(IF($C66="","",IF($D66="","",IFERROR(ROUND($D66*INDEX('🔖 배합비 참조'!$B$2:$CE$83,MATCH("찹쌀(국내산)",'🔖 배합비 참조'!$A$2:$A$83,0),MATCH($C66,'🔖 배합비 참조'!$B$1:$CE$1,0))/100,0),""))),"")</f>
        <v>0</v>
      </c>
      <c r="BV66" s="42" t="n">
        <f aca="false">IFERROR(IF($C66="","",IF($D66="","",IFERROR(ROUND($D66*INDEX('🔖 배합비 참조'!$B$2:$CE$83,MATCH("천일염",'🔖 배합비 참조'!$A$2:$A$83,0),MATCH($C66,'🔖 배합비 참조'!$B$1:$CE$1,0))/100,0),""))),"")</f>
        <v>0</v>
      </c>
      <c r="BW66" s="42" t="n">
        <f aca="false">IFERROR(IF($C66="","",IF($D66="","",IFERROR(ROUND($D66*INDEX('🔖 배합비 참조'!$B$2:$CE$83,MATCH("치즈 [크림치즈]",'🔖 배합비 참조'!$A$2:$A$83,0),MATCH($C66,'🔖 배합비 참조'!$B$1:$CE$1,0))/100,0),""))),"")</f>
        <v>0</v>
      </c>
      <c r="BX66" s="42" t="n">
        <f aca="false">IFERROR(IF($C66="","",IF($D66="","",IFERROR(ROUND($D66*INDEX('🔖 배합비 참조'!$B$2:$CE$83,MATCH("코코아가공품류(코코아분말)",'🔖 배합비 참조'!$A$2:$A$83,0),MATCH($C66,'🔖 배합비 참조'!$B$1:$CE$1,0))/100,0),""))),"")</f>
        <v>0</v>
      </c>
      <c r="BY66" s="42" t="n">
        <f aca="false">IFERROR(IF($C66="","",IF($D66="","",IFERROR(ROUND($D66*INDEX('🔖 배합비 참조'!$B$2:$CE$83,MATCH("콩기름(대두유)",'🔖 배합비 참조'!$A$2:$A$83,0),MATCH($C66,'🔖 배합비 참조'!$B$1:$CE$1,0))/100,0),""))),"")</f>
        <v>1</v>
      </c>
      <c r="BZ66" s="42" t="n">
        <f aca="false">IFERROR(IF($C66="","",IF($D66="","",IFERROR(ROUND($D66*INDEX('🔖 배합비 참조'!$B$2:$CE$83,MATCH("해바라기씨앗",'🔖 배합비 참조'!$A$2:$A$83,0),MATCH($C66,'🔖 배합비 참조'!$B$1:$CE$1,0))/100,0),""))),"")</f>
        <v>0</v>
      </c>
      <c r="CA66" s="42" t="n">
        <f aca="false">IFERROR(IF($C66="","",IF($D66="","",IFERROR(ROUND($D66*INDEX('🔖 배합비 참조'!$B$2:$CE$83,MATCH("현미(국내산)",'🔖 배합비 참조'!$A$2:$A$83,0),MATCH($C66,'🔖 배합비 참조'!$B$1:$CE$1,0))/100,0),""))),"")</f>
        <v>0</v>
      </c>
      <c r="CB66" s="42" t="n">
        <f aca="false">IFERROR(IF($C66="","",IF($D66="","",IFERROR(ROUND($D66*INDEX('🔖 배합비 참조'!$B$2:$CE$83,MATCH("현미멥쌀(국내산)",'🔖 배합비 참조'!$A$2:$A$83,0),MATCH($C66,'🔖 배합비 참조'!$B$1:$CE$1,0))/100,0),""))),"")</f>
        <v>0</v>
      </c>
      <c r="CC66" s="42" t="n">
        <f aca="false">IFERROR(IF($C66="","",IF($D66="","",IFERROR(ROUND($D66*INDEX('🔖 배합비 참조'!$B$2:$CE$83,MATCH("호두분태(미국산)",'🔖 배합비 참조'!$A$2:$A$83,0),MATCH($C66,'🔖 배합비 참조'!$B$1:$CE$1,0))/100,0),""))),"")</f>
        <v>0</v>
      </c>
      <c r="CD66" s="42" t="n">
        <f aca="false">IFERROR(IF($C66="","",IF($D66="","",IFERROR(ROUND($D66*INDEX('🔖 배합비 참조'!$B$2:$CE$83,MATCH("호박씨앗(외국산)",'🔖 배합비 참조'!$A$2:$A$83,0),MATCH($C66,'🔖 배합비 참조'!$B$1:$CE$1,0))/100,0),""))),"")</f>
        <v>0</v>
      </c>
      <c r="CE66" s="42" t="n">
        <f aca="false">IFERROR(IF($C66="","",IF($D66="","",IFERROR(ROUND($D66*INDEX('🔖 배합비 참조'!$B$2:$CE$83,MATCH("혼합제제(떡용에스텔)",'🔖 배합비 참조'!$A$2:$A$83,0),MATCH($C66,'🔖 배합비 참조'!$B$1:$CE$1,0))/100,0),""))),"")</f>
        <v>0</v>
      </c>
      <c r="CF66" s="42" t="n">
        <f aca="false">IFERROR(IF($C66="","",IF($D66="","",IFERROR(ROUND($D66*INDEX('🔖 배합비 참조'!$B$2:$CE$83,MATCH("혼합제제(스테비아)",'🔖 배합비 참조'!$A$2:$A$83,0),MATCH($C66,'🔖 배합비 참조'!$B$1:$CE$1,0))/100,0),""))),"")</f>
        <v>0</v>
      </c>
      <c r="CG66" s="42" t="n">
        <f aca="false">IFERROR(IF($C66="","",IF($D66="","",IFERROR(ROUND($D66*INDEX('🔖 배합비 참조'!$B$2:$CE$83,MATCH("화이트초콜릿",'🔖 배합비 참조'!$A$2:$A$83,0),MATCH($C66,'🔖 배합비 참조'!$B$1:$CE$1,0))/100,0),""))),"")</f>
        <v>0</v>
      </c>
      <c r="CH66" s="42" t="n">
        <f aca="false">IFERROR(IF($C66="","",IF($D66="","",IFERROR(ROUND($D66*INDEX('🔖 배합비 참조'!$B$2:$CE$83,MATCH("흑미찹쌀(국내산)",'🔖 배합비 참조'!$A$2:$A$83,0),MATCH($C66,'🔖 배합비 참조'!$B$1:$CE$1,0))/100,0),""))),"")</f>
        <v>0</v>
      </c>
      <c r="CI66" s="42" t="n">
        <f aca="false">IFERROR(IF($C66="","",IF($D66="","",IFERROR(ROUND($D66*INDEX('🔖 배합비 참조'!$B$2:$CE$83,MATCH("찰옥수수전분(미국산)",'🔖 배합비 참조'!$A$2:$A$83,0),MATCH($C66,'🔖 배합비 참조'!$B$1:$CE$1,0))/100,0),""))),"")</f>
        <v>0</v>
      </c>
      <c r="CJ66" s="40"/>
      <c r="CL66" s="1" t="s">
        <v>238</v>
      </c>
    </row>
    <row r="67" customFormat="false" ht="18" hidden="false" customHeight="true" outlineLevel="0" collapsed="false">
      <c r="A67" s="35" t="n">
        <v>63</v>
      </c>
      <c r="B67" s="36" t="n">
        <v>45972</v>
      </c>
      <c r="C67" s="37" t="s">
        <v>174</v>
      </c>
      <c r="D67" s="38" t="n">
        <v>85</v>
      </c>
      <c r="E67" s="13"/>
      <c r="F67" s="13"/>
      <c r="G67" s="39" t="n">
        <f aca="false">IFERROR(IF($C67="","",IF($D67="","",IFERROR(ROUND($D67*INDEX('🔖 배합비 참조'!$B$2:$CE$83,MATCH("간장",'🔖 배합비 참조'!$A$2:$A$83,0),MATCH($C67,'🔖 배합비 참조'!$B$1:$CE$1,0))/100,0),""))),"")</f>
        <v>0</v>
      </c>
      <c r="H67" s="39" t="n">
        <f aca="false">IFERROR(IF($C67="","",IF($D67="","",IFERROR(ROUND($D67*INDEX('🔖 배합비 참조'!$B$2:$CE$83,MATCH("강낭콩((울타리콩))",'🔖 배합비 참조'!$A$2:$A$83,0),MATCH($C67,'🔖 배합비 참조'!$B$1:$CE$1,0))/100,0),""))),"")</f>
        <v>0</v>
      </c>
      <c r="I67" s="39" t="n">
        <f aca="false">IFERROR(IF($C67="","",IF($D67="","",IFERROR(ROUND($D67*INDEX('🔖 배합비 참조'!$B$2:$CE$83,MATCH("건조딸기다이스(외국산)",'🔖 배합비 참조'!$A$2:$A$83,0),MATCH($C67,'🔖 배합비 참조'!$B$1:$CE$1,0))/100,0),""))),"")</f>
        <v>0</v>
      </c>
      <c r="J67" s="39" t="n">
        <f aca="false">IFERROR(IF($C67="","",IF($D67="","",IFERROR(ROUND($D67*INDEX('🔖 배합비 참조'!$B$2:$CE$83,MATCH("건포도",'🔖 배합비 참조'!$A$2:$A$83,0),MATCH($C67,'🔖 배합비 참조'!$B$1:$CE$1,0))/100,0),""))),"")</f>
        <v>0</v>
      </c>
      <c r="K67" s="39" t="n">
        <f aca="false">IFERROR(IF($C67="","",IF($D67="","",IFERROR(ROUND($D67*INDEX('🔖 배합비 참조'!$B$2:$CE$83,MATCH("건호박채(중국산)",'🔖 배합비 참조'!$A$2:$A$83,0),MATCH($C67,'🔖 배합비 참조'!$B$1:$CE$1,0))/100,0),""))),"")</f>
        <v>0</v>
      </c>
      <c r="L67" s="39" t="n">
        <f aca="false">IFERROR(IF($C67="","",IF($D67="","",IFERROR(ROUND($D67*INDEX('🔖 배합비 참조'!$B$2:$CE$83,MATCH("검정깨(흑임자)",'🔖 배합비 참조'!$A$2:$A$83,0),MATCH($C67,'🔖 배합비 참조'!$B$1:$CE$1,0))/100,0),""))),"")</f>
        <v>0</v>
      </c>
      <c r="M67" s="39" t="n">
        <f aca="false">IFERROR(IF($C67="","",IF($D67="","",IFERROR(ROUND($D67*INDEX('🔖 배합비 참조'!$B$2:$CE$83,MATCH("검정콩",'🔖 배합비 참조'!$A$2:$A$83,0),MATCH($C67,'🔖 배합비 참조'!$B$1:$CE$1,0))/100,0),""))),"")</f>
        <v>0</v>
      </c>
      <c r="N67" s="39" t="n">
        <f aca="false">IFERROR(IF($C67="","",IF($D67="","",IFERROR(ROUND($D67*INDEX('🔖 배합비 참조'!$B$2:$CE$83,MATCH("계피가루",'🔖 배합비 참조'!$A$2:$A$83,0),MATCH($C67,'🔖 배합비 참조'!$B$1:$CE$1,0))/100,0),""))),"")</f>
        <v>0</v>
      </c>
      <c r="O67" s="39" t="n">
        <f aca="false">IFERROR(IF($C67="","",IF($D67="","",IFERROR(ROUND($D67*INDEX('🔖 배합비 참조'!$B$2:$CE$83,MATCH("고구마가루",'🔖 배합비 참조'!$A$2:$A$83,0),MATCH($C67,'🔖 배합비 참조'!$B$1:$CE$1,0))/100,0),""))),"")</f>
        <v>0</v>
      </c>
      <c r="P67" s="39" t="n">
        <f aca="false">IFERROR(IF($C67="","",IF($D67="","",IFERROR(ROUND($D67*INDEX('🔖 배합비 참조'!$B$2:$CE$83,MATCH("고구마무스",'🔖 배합비 참조'!$A$2:$A$83,0),MATCH($C67,'🔖 배합비 참조'!$B$1:$CE$1,0))/100,0),""))),"")</f>
        <v>0</v>
      </c>
      <c r="Q67" s="39" t="n">
        <f aca="false">IFERROR(IF($C67="","",IF($D67="","",IFERROR(ROUND($D67*INDEX('🔖 배합비 참조'!$B$2:$CE$83,MATCH("고려엉겅퀴((곤드레)국내산)",'🔖 배합비 참조'!$A$2:$A$83,0),MATCH($C67,'🔖 배합비 참조'!$B$1:$CE$1,0))/100,0),""))),"")</f>
        <v>0</v>
      </c>
      <c r="R67" s="39" t="n">
        <f aca="false">IFERROR(IF($C67="","",IF($D67="","",IFERROR(ROUND($D67*INDEX('🔖 배합비 참조'!$B$2:$CE$83,MATCH("기타가공품(복분자가루)",'🔖 배합비 참조'!$A$2:$A$83,0),MATCH($C67,'🔖 배합비 참조'!$B$1:$CE$1,0))/100,0),""))),"")</f>
        <v>0</v>
      </c>
      <c r="S67" s="39" t="n">
        <f aca="false">IFERROR(IF($C67="","",IF($D67="","",IFERROR(ROUND($D67*INDEX('🔖 배합비 참조'!$B$2:$CE$83,MATCH("기타가공품(슈퍼소프트엠)",'🔖 배합비 참조'!$A$2:$A$83,0),MATCH($C67,'🔖 배합비 참조'!$B$1:$CE$1,0))/100,0),""))),"")</f>
        <v>0</v>
      </c>
      <c r="T67" s="39" t="n">
        <f aca="false">IFERROR(IF($C67="","",IF($D67="","",IFERROR(ROUND($D67*INDEX('🔖 배합비 참조'!$B$2:$CE$83,MATCH("기타가공품(파인소프트 E-티)",'🔖 배합비 참조'!$A$2:$A$83,0),MATCH($C67,'🔖 배합비 참조'!$B$1:$CE$1,0))/100,0),""))),"")</f>
        <v>0</v>
      </c>
      <c r="U67" s="39" t="n">
        <f aca="false">IFERROR(IF($C67="","",IF($D67="","",IFERROR(ROUND($D67*INDEX('🔖 배합비 참조'!$B$2:$CE$83,MATCH("기타가공품(프리미엄카스테라가루)",'🔖 배합비 참조'!$A$2:$A$83,0),MATCH($C67,'🔖 배합비 참조'!$B$1:$CE$1,0))/100,0),""))),"")</f>
        <v>0</v>
      </c>
      <c r="V67" s="39" t="n">
        <f aca="false">IFERROR(IF($C67="","",IF($D67="","",IFERROR(ROUND($D67*INDEX('🔖 배합비 참조'!$B$2:$CE$83,MATCH("기타가공품(흑임자가루)",'🔖 배합비 참조'!$A$2:$A$83,0),MATCH($C67,'🔖 배합비 참조'!$B$1:$CE$1,0))/100,0),""))),"")</f>
        <v>0</v>
      </c>
      <c r="W67" s="39" t="n">
        <f aca="false">IFERROR(IF($C67="","",IF($D67="","",IFERROR(ROUND($D67*INDEX('🔖 배합비 참조'!$B$2:$CE$83,MATCH("기타설탕(흑설탕)",'🔖 배합비 참조'!$A$2:$A$83,0),MATCH($C67,'🔖 배합비 참조'!$B$1:$CE$1,0))/100,0),""))),"")</f>
        <v>0</v>
      </c>
      <c r="X67" s="39" t="n">
        <f aca="false">IFERROR(IF($C67="","",IF($D67="","",IFERROR(ROUND($D67*INDEX('🔖 배합비 참조'!$B$2:$CE$83,MATCH("냉동쑥(국내산)",'🔖 배합비 참조'!$A$2:$A$83,0),MATCH($C67,'🔖 배합비 참조'!$B$1:$CE$1,0))/100,0),""))),"")</f>
        <v>10</v>
      </c>
      <c r="Y67" s="39" t="n">
        <f aca="false">IFERROR(IF($C67="","",IF($D67="","",IFERROR(ROUND($D67*INDEX('🔖 배합비 참조'!$B$2:$CE$83,MATCH("냉동증숙고구마(중국산)",'🔖 배합비 참조'!$A$2:$A$83,0),MATCH($C67,'🔖 배합비 참조'!$B$1:$CE$1,0))/100,0),""))),"")</f>
        <v>0</v>
      </c>
      <c r="Z67" s="39" t="n">
        <f aca="false">IFERROR(IF($C67="","",IF($D67="","",IFERROR(ROUND($D67*INDEX('🔖 배합비 참조'!$B$2:$CE$83,MATCH("녹차가루",'🔖 배합비 참조'!$A$2:$A$83,0),MATCH($C67,'🔖 배합비 참조'!$B$1:$CE$1,0))/100,0),""))),"")</f>
        <v>0</v>
      </c>
      <c r="AA67" s="39" t="n">
        <f aca="false">IFERROR(IF($C67="","",IF($D67="","",IFERROR(ROUND($D67*INDEX('🔖 배합비 참조'!$B$2:$CE$83,MATCH("다크초콜릿 컴파운드칩",'🔖 배합비 참조'!$A$2:$A$83,0),MATCH($C67,'🔖 배합비 참조'!$B$1:$CE$1,0))/100,0),""))),"")</f>
        <v>0</v>
      </c>
      <c r="AB67" s="39" t="n">
        <f aca="false">IFERROR(IF($C67="","",IF($D67="","",IFERROR(ROUND($D67*INDEX('🔖 배합비 참조'!$B$2:$CE$83,MATCH("단호박분말(중국산)",'🔖 배합비 참조'!$A$2:$A$83,0),MATCH($C67,'🔖 배합비 참조'!$B$1:$CE$1,0))/100,0),""))),"")</f>
        <v>0</v>
      </c>
      <c r="AC67" s="39" t="n">
        <f aca="false">IFERROR(IF($C67="","",IF($D67="","",IFERROR(ROUND($D67*INDEX('🔖 배합비 참조'!$B$2:$CE$83,MATCH("당류가공품(단호박농축액)",'🔖 배합비 참조'!$A$2:$A$83,0),MATCH($C67,'🔖 배합비 참조'!$B$1:$CE$1,0))/100,0),""))),"")</f>
        <v>0</v>
      </c>
      <c r="AD67" s="39" t="n">
        <f aca="false">IFERROR(IF($C67="","",IF($D67="","",IFERROR(ROUND($D67*INDEX('🔖 배합비 참조'!$B$2:$CE$83,MATCH("당류가공품(알룰로스,에리스리톨,스테비올배당체혼합)",'🔖 배합비 참조'!$A$2:$A$83,0),MATCH($C67,'🔖 배합비 참조'!$B$1:$CE$1,0))/100,0),""))),"")</f>
        <v>0</v>
      </c>
      <c r="AE67" s="39" t="n">
        <f aca="false">IFERROR(IF($C67="","",IF($D67="","",IFERROR(ROUND($D67*INDEX('🔖 배합비 참조'!$B$2:$CE$83,MATCH("당류가공품(알룰로스제로파우더)",'🔖 배합비 참조'!$A$2:$A$83,0),MATCH($C67,'🔖 배합비 참조'!$B$1:$CE$1,0))/100,0),""))),"")</f>
        <v>0</v>
      </c>
      <c r="AF67" s="39" t="n">
        <f aca="false">IFERROR(IF($C67="","",IF($D67="","",IFERROR(ROUND($D67*INDEX('🔖 배합비 참조'!$B$2:$CE$83,MATCH("당절임(완두배기)",'🔖 배합비 참조'!$A$2:$A$83,0),MATCH($C67,'🔖 배합비 참조'!$B$1:$CE$1,0))/100,0),""))),"")</f>
        <v>0</v>
      </c>
      <c r="AG67" s="39" t="n">
        <f aca="false">IFERROR(IF($C67="","",IF($D67="","",IFERROR(ROUND($D67*INDEX('🔖 배합비 참조'!$B$2:$CE$83,MATCH("대추농축액",'🔖 배합비 참조'!$A$2:$A$83,0),MATCH($C67,'🔖 배합비 참조'!$B$1:$CE$1,0))/100,0),""))),"")</f>
        <v>0</v>
      </c>
      <c r="AH67" s="39" t="n">
        <f aca="false">IFERROR(IF($C67="","",IF($D67="","",IFERROR(ROUND($D67*INDEX('🔖 배합비 참조'!$B$2:$CE$83,MATCH("대추채(국내산)",'🔖 배합비 참조'!$A$2:$A$83,0),MATCH($C67,'🔖 배합비 참조'!$B$1:$CE$1,0))/100,0),""))),"")</f>
        <v>0</v>
      </c>
      <c r="AI67" s="39" t="n">
        <f aca="false">IFERROR(IF($C67="","",IF($D67="","",IFERROR(ROUND($D67*INDEX('🔖 배합비 참조'!$B$2:$CE$83,MATCH("동부(미얀마산)",'🔖 배합비 참조'!$A$2:$A$83,0),MATCH($C67,'🔖 배합비 참조'!$B$1:$CE$1,0))/100,0),""))),"")</f>
        <v>0</v>
      </c>
      <c r="AJ67" s="39" t="n">
        <f aca="false">IFERROR(IF($C67="","",IF($D67="","",IFERROR(ROUND($D67*INDEX('🔖 배합비 참조'!$B$2:$CE$83,MATCH("두류가공품(백옥앙금)",'🔖 배합비 참조'!$A$2:$A$83,0),MATCH($C67,'🔖 배합비 참조'!$B$1:$CE$1,0))/100,0),""))),"")</f>
        <v>0</v>
      </c>
      <c r="AK67" s="39" t="n">
        <f aca="false">IFERROR(IF($C67="","",IF($D67="","",IFERROR(ROUND($D67*INDEX('🔖 배합비 참조'!$B$2:$CE$83,MATCH("두류가공품(콩고물)",'🔖 배합비 참조'!$A$2:$A$83,0),MATCH($C67,'🔖 배합비 참조'!$B$1:$CE$1,0))/100,0),""))),"")</f>
        <v>0</v>
      </c>
      <c r="AL67" s="39" t="n">
        <f aca="false">IFERROR(IF($C67="","",IF($D67="","",IFERROR(ROUND($D67*INDEX('🔖 배합비 참조'!$B$2:$CE$83,MATCH("두류가공품(통팥고물)",'🔖 배합비 참조'!$A$2:$A$83,0),MATCH($C67,'🔖 배합비 참조'!$B$1:$CE$1,0))/100,0),""))),"")</f>
        <v>0</v>
      </c>
      <c r="AM67" s="39" t="n">
        <f aca="false">IFERROR(IF($C67="","",IF($D67="","",IFERROR(ROUND($D67*INDEX('🔖 배합비 참조'!$B$2:$CE$83,MATCH("딸기레진",'🔖 배합비 참조'!$A$2:$A$83,0),MATCH($C67,'🔖 배합비 참조'!$B$1:$CE$1,0))/100,0),""))),"")</f>
        <v>0</v>
      </c>
      <c r="AN67" s="39" t="n">
        <f aca="false">IFERROR(IF($C67="","",IF($D67="","",IFERROR(ROUND($D67*INDEX('🔖 배합비 참조'!$B$2:$CE$83,MATCH("딸기분말(스트로우베리에이드(분말))",'🔖 배합비 참조'!$A$2:$A$83,0),MATCH($C67,'🔖 배합비 참조'!$B$1:$CE$1,0))/100,0),""))),"")</f>
        <v>0</v>
      </c>
      <c r="AO67" s="39" t="n">
        <f aca="false">IFERROR(IF($C67="","",IF($D67="","",IFERROR(ROUND($D67*INDEX('🔖 배합비 참조'!$B$2:$CE$83,MATCH("마스카포네치즈",'🔖 배합비 참조'!$A$2:$A$83,0),MATCH($C67,'🔖 배합비 참조'!$B$1:$CE$1,0))/100,0),""))),"")</f>
        <v>0</v>
      </c>
      <c r="AP67" s="39" t="n">
        <f aca="false">IFERROR(IF($C67="","",IF($D67="","",IFERROR(ROUND($D67*INDEX('🔖 배합비 참조'!$B$2:$CE$83,MATCH("마카다미아분태(호주산)",'🔖 배합비 참조'!$A$2:$A$83,0),MATCH($C67,'🔖 배합비 참조'!$B$1:$CE$1,0))/100,0),""))),"")</f>
        <v>0</v>
      </c>
      <c r="AQ67" s="39" t="n">
        <f aca="false">IFERROR(IF($C67="","",IF($D67="","",IFERROR(ROUND($D67*INDEX('🔖 배합비 참조'!$B$2:$CE$83,MATCH("멥쌀(국내산)",'🔖 배합비 참조'!$A$2:$A$83,0),MATCH($C67,'🔖 배합비 참조'!$B$1:$CE$1,0))/100,0),""))),"")</f>
        <v>41</v>
      </c>
      <c r="AR67" s="39" t="n">
        <f aca="false">IFERROR(IF($C67="","",IF($D67="","",IFERROR(ROUND($D67*INDEX('🔖 배합비 참조'!$B$2:$CE$83,MATCH("모시잎(국내산)",'🔖 배합비 참조'!$A$2:$A$83,0),MATCH($C67,'🔖 배합비 참조'!$B$1:$CE$1,0))/100,0),""))),"")</f>
        <v>0</v>
      </c>
      <c r="AS67" s="39" t="n">
        <f aca="false">IFERROR(IF($C67="","",IF($D67="","",IFERROR(ROUND($D67*INDEX('🔖 배합비 참조'!$B$2:$CE$83,MATCH("물엿(저당물엿)",'🔖 배합비 참조'!$A$2:$A$83,0),MATCH($C67,'🔖 배합비 참조'!$B$1:$CE$1,0))/100,0),""))),"")</f>
        <v>2</v>
      </c>
      <c r="AT67" s="39" t="n">
        <f aca="false">IFERROR(IF($C67="","",IF($D67="","",IFERROR(ROUND($D67*INDEX('🔖 배합비 참조'!$B$2:$CE$83,MATCH("밤다이스",'🔖 배합비 참조'!$A$2:$A$83,0),MATCH($C67,'🔖 배합비 참조'!$B$1:$CE$1,0))/100,0),""))),"")</f>
        <v>0</v>
      </c>
      <c r="AU67" s="39" t="n">
        <f aca="false">IFERROR(IF($C67="","",IF($D67="","",IFERROR(ROUND($D67*INDEX('🔖 배합비 참조'!$B$2:$CE$83,MATCH("변성전분(타피오카전분)",'🔖 배합비 참조'!$A$2:$A$83,0),MATCH($C67,'🔖 배합비 참조'!$B$1:$CE$1,0))/100,0),""))),"")</f>
        <v>1</v>
      </c>
      <c r="AV67" s="39" t="n">
        <f aca="false">IFERROR(IF($C67="","",IF($D67="","",IFERROR(ROUND($D67*INDEX('🔖 배합비 참조'!$B$2:$CE$83,MATCH("복음땅콩분태",'🔖 배합비 참조'!$A$2:$A$83,0),MATCH($C67,'🔖 배합비 참조'!$B$1:$CE$1,0))/100,0),""))),"")</f>
        <v>0</v>
      </c>
      <c r="AW67" s="39" t="n">
        <f aca="false">IFERROR(IF($C67="","",IF($D67="","",IFERROR(ROUND($D67*INDEX('🔖 배합비 참조'!$B$2:$CE$83,MATCH("사양벌꿀(국내산)",'🔖 배합비 참조'!$A$2:$A$83,0),MATCH($C67,'🔖 배합비 참조'!$B$1:$CE$1,0))/100,0),""))),"")</f>
        <v>0</v>
      </c>
      <c r="AX67" s="39" t="n">
        <f aca="false">IFERROR(IF($C67="","",IF($D67="","",IFERROR(ROUND($D67*INDEX('🔖 배합비 참조'!$B$2:$CE$83,MATCH("생크림",'🔖 배합비 참조'!$A$2:$A$83,0),MATCH($C67,'🔖 배합비 참조'!$B$1:$CE$1,0))/100,0),""))),"")</f>
        <v>0</v>
      </c>
      <c r="AY67" s="39" t="n">
        <f aca="false">IFERROR(IF($C67="","",IF($D67="","",IFERROR(ROUND($D67*INDEX('🔖 배합비 참조'!$B$2:$CE$83,MATCH("서양호박(국내산,뉴질랜드산)",'🔖 배합비 참조'!$A$2:$A$83,0),MATCH($C67,'🔖 배합비 참조'!$B$1:$CE$1,0))/100,0),""))),"")</f>
        <v>0</v>
      </c>
      <c r="AZ67" s="39" t="n">
        <f aca="false">IFERROR(IF($C67="","",IF($D67="","",IFERROR(ROUND($D67*INDEX('🔖 배합비 참조'!$B$2:$CE$83,MATCH("설탕",'🔖 배합비 참조'!$A$2:$A$83,0),MATCH($C67,'🔖 배합비 참조'!$B$1:$CE$1,0))/100,0),""))),"")</f>
        <v>0</v>
      </c>
      <c r="BA67" s="39" t="n">
        <f aca="false">IFERROR(IF($C67="","",IF($D67="","",IFERROR(ROUND($D67*INDEX('🔖 배합비 참조'!$B$2:$CE$83,MATCH("스트로우베리 에이드 후레쉬",'🔖 배합비 참조'!$A$2:$A$83,0),MATCH($C67,'🔖 배합비 참조'!$B$1:$CE$1,0))/100,0),""))),"")</f>
        <v>0</v>
      </c>
      <c r="BB67" s="39" t="n">
        <f aca="false">IFERROR(IF($C67="","",IF($D67="","",IFERROR(ROUND($D67*INDEX('🔖 배합비 참조'!$B$2:$CE$83,MATCH("식물성기름혼합제제(분홍)",'🔖 배합비 참조'!$A$2:$A$83,0),MATCH($C67,'🔖 배합비 참조'!$B$1:$CE$1,0))/100,0),""))),"")</f>
        <v>0</v>
      </c>
      <c r="BC67" s="39" t="n">
        <f aca="false">IFERROR(IF($C67="","",IF($D67="","",IFERROR(ROUND($D67*INDEX('🔖 배합비 참조'!$B$2:$CE$83,MATCH("식물성기름혼합제제(초록)",'🔖 배합비 참조'!$A$2:$A$83,0),MATCH($C67,'🔖 배합비 참조'!$B$1:$CE$1,0))/100,0),""))),"")</f>
        <v>0</v>
      </c>
      <c r="BD67" s="39" t="n">
        <f aca="false">IFERROR(IF($C67="","",IF($D67="","",IFERROR(ROUND($D67*INDEX('🔖 배합비 참조'!$B$2:$CE$83,MATCH("식물성기름혼합제제(황색)",'🔖 배합비 참조'!$A$2:$A$83,0),MATCH($C67,'🔖 배합비 참조'!$B$1:$CE$1,0))/100,0),""))),"")</f>
        <v>0</v>
      </c>
      <c r="BE67" s="39" t="n">
        <f aca="false">IFERROR(IF($C67="","",IF($D67="","",IFERROR(ROUND($D67*INDEX('🔖 배합비 참조'!$B$2:$CE$83,MATCH("쑥가루(국내산)",'🔖 배합비 참조'!$A$2:$A$83,0),MATCH($C67,'🔖 배합비 참조'!$B$1:$CE$1,0))/100,0),""))),"")</f>
        <v>1</v>
      </c>
      <c r="BF67" s="39" t="n">
        <f aca="false">IFERROR(IF($C67="","",IF($D67="","",IFERROR(ROUND($D67*INDEX('🔖 배합비 참조'!$B$2:$CE$83,MATCH("아몬드슬라이스",'🔖 배합비 참조'!$A$2:$A$83,0),MATCH($C67,'🔖 배합비 참조'!$B$1:$CE$1,0))/100,0),""))),"")</f>
        <v>0</v>
      </c>
      <c r="BG67" s="39" t="n">
        <f aca="false">IFERROR(IF($C67="","",IF($D67="","",IFERROR(ROUND($D67*INDEX('🔖 배합비 참조'!$B$2:$CE$83,MATCH("알룰로오스(국내산)",'🔖 배합비 참조'!$A$2:$A$83,0),MATCH($C67,'🔖 배합비 참조'!$B$1:$CE$1,0))/100,0),""))),"")</f>
        <v>0</v>
      </c>
      <c r="BH67" s="39" t="n">
        <f aca="false">IFERROR(IF($C67="","",IF($D67="","",IFERROR(ROUND($D67*INDEX('🔖 배합비 참조'!$B$2:$CE$83,MATCH("연유",'🔖 배합비 참조'!$A$2:$A$83,0),MATCH($C67,'🔖 배합비 참조'!$B$1:$CE$1,0))/100,0),""))),"")</f>
        <v>0</v>
      </c>
      <c r="BI67" s="39" t="n">
        <f aca="false">IFERROR(IF($C67="","",IF($D67="","",IFERROR(ROUND($D67*INDEX('🔖 배합비 참조'!$B$2:$CE$83,MATCH("옥수수전분",'🔖 배합비 참조'!$A$2:$A$83,0),MATCH($C67,'🔖 배합비 참조'!$B$1:$CE$1,0))/100,0),""))),"")</f>
        <v>0</v>
      </c>
      <c r="BJ67" s="39" t="n">
        <f aca="false">IFERROR(IF($C67="","",IF($D67="","",IFERROR(ROUND($D67*INDEX('🔖 배합비 참조'!$B$2:$CE$83,MATCH("완두배기",'🔖 배합비 참조'!$A$2:$A$83,0),MATCH($C67,'🔖 배합비 참조'!$B$1:$CE$1,0))/100,0),""))),"")</f>
        <v>0</v>
      </c>
      <c r="BK67" s="39" t="n">
        <f aca="false">IFERROR(IF($C67="","",IF($D67="","",IFERROR(ROUND($D67*INDEX('🔖 배합비 참조'!$B$2:$CE$83,MATCH("우유(국내산)",'🔖 배합비 참조'!$A$2:$A$83,0),MATCH($C67,'🔖 배합비 참조'!$B$1:$CE$1,0))/100,0),""))),"")</f>
        <v>0</v>
      </c>
      <c r="BL67" s="39" t="n">
        <f aca="false">IFERROR(IF($C67="","",IF($D67="","",IFERROR(ROUND($D67*INDEX('🔖 배합비 참조'!$B$2:$CE$83,MATCH("자색고구마가루(중국산)",'🔖 배합비 참조'!$A$2:$A$83,0),MATCH($C67,'🔖 배합비 참조'!$B$1:$CE$1,0))/100,0),""))),"")</f>
        <v>0</v>
      </c>
      <c r="BM67" s="39" t="n">
        <f aca="false">IFERROR(IF($C67="","",IF($D67="","",IFERROR(ROUND($D67*INDEX('🔖 배합비 참조'!$B$2:$CE$83,MATCH("자연치즈(체다치즈)",'🔖 배합비 참조'!$A$2:$A$83,0),MATCH($C67,'🔖 배합비 참조'!$B$1:$CE$1,0))/100,0),""))),"")</f>
        <v>0</v>
      </c>
      <c r="BN67" s="39" t="n">
        <f aca="false">IFERROR(IF($C67="","",IF($D67="","",IFERROR(ROUND($D67*INDEX('🔖 배합비 참조'!$B$2:$CE$83,MATCH("정제수",'🔖 배합비 참조'!$A$2:$A$83,0),MATCH($C67,'🔖 배합비 참조'!$B$1:$CE$1,0))/100,0),""))),"")</f>
        <v>28</v>
      </c>
      <c r="BO67" s="39" t="n">
        <f aca="false">IFERROR(IF($C67="","",IF($D67="","",IFERROR(ROUND($D67*INDEX('🔖 배합비 참조'!$B$2:$CE$83,MATCH("젤라틴",'🔖 배합비 참조'!$A$2:$A$83,0),MATCH($C67,'🔖 배합비 참조'!$B$1:$CE$1,0))/100,0),""))),"")</f>
        <v>0</v>
      </c>
      <c r="BP67" s="39" t="n">
        <f aca="false">IFERROR(IF($C67="","",IF($D67="","",IFERROR(ROUND($D67*INDEX('🔖 배합비 참조'!$B$2:$CE$83,MATCH("조림류(백옥앙금)",'🔖 배합비 참조'!$A$2:$A$83,0),MATCH($C67,'🔖 배합비 참조'!$B$1:$CE$1,0))/100,0),""))),"")</f>
        <v>0</v>
      </c>
      <c r="BQ67" s="39" t="n">
        <f aca="false">IFERROR(IF($C67="","",IF($D67="","",IFERROR(ROUND($D67*INDEX('🔖 배합비 참조'!$B$2:$CE$83,MATCH("조림류(통팥앙금)",'🔖 배합비 참조'!$A$2:$A$83,0),MATCH($C67,'🔖 배합비 참조'!$B$1:$CE$1,0))/100,0),""))),"")</f>
        <v>0</v>
      </c>
      <c r="BR67" s="39" t="n">
        <f aca="false">IFERROR(IF($C67="","",IF($D67="","",IFERROR(ROUND($D67*INDEX('🔖 배합비 참조'!$B$2:$CE$83,MATCH("준초콜릿(외국산)",'🔖 배합비 참조'!$A$2:$A$83,0),MATCH($C67,'🔖 배합비 참조'!$B$1:$CE$1,0))/100,0),""))),"")</f>
        <v>0</v>
      </c>
      <c r="BS67" s="39" t="n">
        <f aca="false">IFERROR(IF($C67="","",IF($D67="","",IFERROR(ROUND($D67*INDEX('🔖 배합비 참조'!$B$2:$CE$83,MATCH("중력분",'🔖 배합비 참조'!$A$2:$A$83,0),MATCH($C67,'🔖 배합비 참조'!$B$1:$CE$1,0))/100,0),""))),"")</f>
        <v>0</v>
      </c>
      <c r="BT67" s="39" t="n">
        <f aca="false">IFERROR(IF($C67="","",IF($D67="","",IFERROR(ROUND($D67*INDEX('🔖 배합비 참조'!$B$2:$CE$83,MATCH("참깨(인도산,나이지리아산,탄자니아산,미얀마산)",'🔖 배합비 참조'!$A$2:$A$83,0),MATCH($C67,'🔖 배합비 참조'!$B$1:$CE$1,0))/100,0),""))),"")</f>
        <v>0</v>
      </c>
      <c r="BU67" s="39" t="n">
        <f aca="false">IFERROR(IF($C67="","",IF($D67="","",IFERROR(ROUND($D67*INDEX('🔖 배합비 참조'!$B$2:$CE$83,MATCH("찹쌀(국내산)",'🔖 배합비 참조'!$A$2:$A$83,0),MATCH($C67,'🔖 배합비 참조'!$B$1:$CE$1,0))/100,0),""))),"")</f>
        <v>0</v>
      </c>
      <c r="BV67" s="39" t="n">
        <f aca="false">IFERROR(IF($C67="","",IF($D67="","",IFERROR(ROUND($D67*INDEX('🔖 배합비 참조'!$B$2:$CE$83,MATCH("천일염",'🔖 배합비 참조'!$A$2:$A$83,0),MATCH($C67,'🔖 배합비 참조'!$B$1:$CE$1,0))/100,0),""))),"")</f>
        <v>1</v>
      </c>
      <c r="BW67" s="39" t="n">
        <f aca="false">IFERROR(IF($C67="","",IF($D67="","",IFERROR(ROUND($D67*INDEX('🔖 배합비 참조'!$B$2:$CE$83,MATCH("치즈 [크림치즈]",'🔖 배합비 참조'!$A$2:$A$83,0),MATCH($C67,'🔖 배합비 참조'!$B$1:$CE$1,0))/100,0),""))),"")</f>
        <v>0</v>
      </c>
      <c r="BX67" s="39" t="n">
        <f aca="false">IFERROR(IF($C67="","",IF($D67="","",IFERROR(ROUND($D67*INDEX('🔖 배합비 참조'!$B$2:$CE$83,MATCH("코코아가공품류(코코아분말)",'🔖 배합비 참조'!$A$2:$A$83,0),MATCH($C67,'🔖 배합비 참조'!$B$1:$CE$1,0))/100,0),""))),"")</f>
        <v>0</v>
      </c>
      <c r="BY67" s="39" t="n">
        <f aca="false">IFERROR(IF($C67="","",IF($D67="","",IFERROR(ROUND($D67*INDEX('🔖 배합비 참조'!$B$2:$CE$83,MATCH("콩기름(대두유)",'🔖 배합비 참조'!$A$2:$A$83,0),MATCH($C67,'🔖 배합비 참조'!$B$1:$CE$1,0))/100,0),""))),"")</f>
        <v>1</v>
      </c>
      <c r="BZ67" s="39" t="n">
        <f aca="false">IFERROR(IF($C67="","",IF($D67="","",IFERROR(ROUND($D67*INDEX('🔖 배합비 참조'!$B$2:$CE$83,MATCH("해바라기씨앗",'🔖 배합비 참조'!$A$2:$A$83,0),MATCH($C67,'🔖 배합비 참조'!$B$1:$CE$1,0))/100,0),""))),"")</f>
        <v>0</v>
      </c>
      <c r="CA67" s="39" t="n">
        <f aca="false">IFERROR(IF($C67="","",IF($D67="","",IFERROR(ROUND($D67*INDEX('🔖 배합비 참조'!$B$2:$CE$83,MATCH("현미(국내산)",'🔖 배합비 참조'!$A$2:$A$83,0),MATCH($C67,'🔖 배합비 참조'!$B$1:$CE$1,0))/100,0),""))),"")</f>
        <v>0</v>
      </c>
      <c r="CB67" s="39" t="n">
        <f aca="false">IFERROR(IF($C67="","",IF($D67="","",IFERROR(ROUND($D67*INDEX('🔖 배합비 참조'!$B$2:$CE$83,MATCH("현미멥쌀(국내산)",'🔖 배합비 참조'!$A$2:$A$83,0),MATCH($C67,'🔖 배합비 참조'!$B$1:$CE$1,0))/100,0),""))),"")</f>
        <v>0</v>
      </c>
      <c r="CC67" s="39" t="n">
        <f aca="false">IFERROR(IF($C67="","",IF($D67="","",IFERROR(ROUND($D67*INDEX('🔖 배합비 참조'!$B$2:$CE$83,MATCH("호두분태(미국산)",'🔖 배합비 참조'!$A$2:$A$83,0),MATCH($C67,'🔖 배합비 참조'!$B$1:$CE$1,0))/100,0),""))),"")</f>
        <v>0</v>
      </c>
      <c r="CD67" s="39" t="n">
        <f aca="false">IFERROR(IF($C67="","",IF($D67="","",IFERROR(ROUND($D67*INDEX('🔖 배합비 참조'!$B$2:$CE$83,MATCH("호박씨앗(외국산)",'🔖 배합비 참조'!$A$2:$A$83,0),MATCH($C67,'🔖 배합비 참조'!$B$1:$CE$1,0))/100,0),""))),"")</f>
        <v>0</v>
      </c>
      <c r="CE67" s="39" t="n">
        <f aca="false">IFERROR(IF($C67="","",IF($D67="","",IFERROR(ROUND($D67*INDEX('🔖 배합비 참조'!$B$2:$CE$83,MATCH("혼합제제(떡용에스텔)",'🔖 배합비 참조'!$A$2:$A$83,0),MATCH($C67,'🔖 배합비 참조'!$B$1:$CE$1,0))/100,0),""))),"")</f>
        <v>0</v>
      </c>
      <c r="CF67" s="39" t="n">
        <f aca="false">IFERROR(IF($C67="","",IF($D67="","",IFERROR(ROUND($D67*INDEX('🔖 배합비 참조'!$B$2:$CE$83,MATCH("혼합제제(스테비아)",'🔖 배합비 참조'!$A$2:$A$83,0),MATCH($C67,'🔖 배합비 참조'!$B$1:$CE$1,0))/100,0),""))),"")</f>
        <v>0</v>
      </c>
      <c r="CG67" s="39" t="n">
        <f aca="false">IFERROR(IF($C67="","",IF($D67="","",IFERROR(ROUND($D67*INDEX('🔖 배합비 참조'!$B$2:$CE$83,MATCH("화이트초콜릿",'🔖 배합비 참조'!$A$2:$A$83,0),MATCH($C67,'🔖 배합비 참조'!$B$1:$CE$1,0))/100,0),""))),"")</f>
        <v>0</v>
      </c>
      <c r="CH67" s="39" t="n">
        <f aca="false">IFERROR(IF($C67="","",IF($D67="","",IFERROR(ROUND($D67*INDEX('🔖 배합비 참조'!$B$2:$CE$83,MATCH("흑미찹쌀(국내산)",'🔖 배합비 참조'!$A$2:$A$83,0),MATCH($C67,'🔖 배합비 참조'!$B$1:$CE$1,0))/100,0),""))),"")</f>
        <v>0</v>
      </c>
      <c r="CI67" s="39" t="n">
        <f aca="false">IFERROR(IF($C67="","",IF($D67="","",IFERROR(ROUND($D67*INDEX('🔖 배합비 참조'!$B$2:$CE$83,MATCH("찰옥수수전분(미국산)",'🔖 배합비 참조'!$A$2:$A$83,0),MATCH($C67,'🔖 배합비 참조'!$B$1:$CE$1,0))/100,0),""))),"")</f>
        <v>0</v>
      </c>
      <c r="CJ67" s="40"/>
      <c r="CL67" s="1" t="s">
        <v>238</v>
      </c>
    </row>
    <row r="68" customFormat="false" ht="18" hidden="false" customHeight="true" outlineLevel="0" collapsed="false">
      <c r="A68" s="41" t="n">
        <v>64</v>
      </c>
      <c r="B68" s="36" t="n">
        <v>45973</v>
      </c>
      <c r="C68" s="37" t="s">
        <v>143</v>
      </c>
      <c r="D68" s="38" t="n">
        <v>350</v>
      </c>
      <c r="E68" s="17"/>
      <c r="F68" s="17"/>
      <c r="G68" s="42" t="n">
        <f aca="false">IFERROR(IF($C68="","",IF($D68="","",IFERROR(ROUND($D68*INDEX('🔖 배합비 참조'!$B$2:$CE$83,MATCH("간장",'🔖 배합비 참조'!$A$2:$A$83,0),MATCH($C68,'🔖 배합비 참조'!$B$1:$CE$1,0))/100,0),""))),"")</f>
        <v>0</v>
      </c>
      <c r="H68" s="42" t="n">
        <f aca="false">IFERROR(IF($C68="","",IF($D68="","",IFERROR(ROUND($D68*INDEX('🔖 배합비 참조'!$B$2:$CE$83,MATCH("강낭콩((울타리콩))",'🔖 배합비 참조'!$A$2:$A$83,0),MATCH($C68,'🔖 배합비 참조'!$B$1:$CE$1,0))/100,0),""))),"")</f>
        <v>0</v>
      </c>
      <c r="I68" s="42" t="n">
        <f aca="false">IFERROR(IF($C68="","",IF($D68="","",IFERROR(ROUND($D68*INDEX('🔖 배합비 참조'!$B$2:$CE$83,MATCH("건조딸기다이스(외국산)",'🔖 배합비 참조'!$A$2:$A$83,0),MATCH($C68,'🔖 배합비 참조'!$B$1:$CE$1,0))/100,0),""))),"")</f>
        <v>0</v>
      </c>
      <c r="J68" s="42" t="n">
        <f aca="false">IFERROR(IF($C68="","",IF($D68="","",IFERROR(ROUND($D68*INDEX('🔖 배합비 참조'!$B$2:$CE$83,MATCH("건포도",'🔖 배합비 참조'!$A$2:$A$83,0),MATCH($C68,'🔖 배합비 참조'!$B$1:$CE$1,0))/100,0),""))),"")</f>
        <v>0</v>
      </c>
      <c r="K68" s="42" t="n">
        <f aca="false">IFERROR(IF($C68="","",IF($D68="","",IFERROR(ROUND($D68*INDEX('🔖 배합비 참조'!$B$2:$CE$83,MATCH("건호박채(중국산)",'🔖 배합비 참조'!$A$2:$A$83,0),MATCH($C68,'🔖 배합비 참조'!$B$1:$CE$1,0))/100,0),""))),"")</f>
        <v>0</v>
      </c>
      <c r="L68" s="42" t="n">
        <f aca="false">IFERROR(IF($C68="","",IF($D68="","",IFERROR(ROUND($D68*INDEX('🔖 배합비 참조'!$B$2:$CE$83,MATCH("검정깨(흑임자)",'🔖 배합비 참조'!$A$2:$A$83,0),MATCH($C68,'🔖 배합비 참조'!$B$1:$CE$1,0))/100,0),""))),"")</f>
        <v>0</v>
      </c>
      <c r="M68" s="42" t="n">
        <f aca="false">IFERROR(IF($C68="","",IF($D68="","",IFERROR(ROUND($D68*INDEX('🔖 배합비 참조'!$B$2:$CE$83,MATCH("검정콩",'🔖 배합비 참조'!$A$2:$A$83,0),MATCH($C68,'🔖 배합비 참조'!$B$1:$CE$1,0))/100,0),""))),"")</f>
        <v>0</v>
      </c>
      <c r="N68" s="42" t="n">
        <f aca="false">IFERROR(IF($C68="","",IF($D68="","",IFERROR(ROUND($D68*INDEX('🔖 배합비 참조'!$B$2:$CE$83,MATCH("계피가루",'🔖 배합비 참조'!$A$2:$A$83,0),MATCH($C68,'🔖 배합비 참조'!$B$1:$CE$1,0))/100,0),""))),"")</f>
        <v>0</v>
      </c>
      <c r="O68" s="42" t="n">
        <f aca="false">IFERROR(IF($C68="","",IF($D68="","",IFERROR(ROUND($D68*INDEX('🔖 배합비 참조'!$B$2:$CE$83,MATCH("고구마가루",'🔖 배합비 참조'!$A$2:$A$83,0),MATCH($C68,'🔖 배합비 참조'!$B$1:$CE$1,0))/100,0),""))),"")</f>
        <v>0</v>
      </c>
      <c r="P68" s="42" t="n">
        <f aca="false">IFERROR(IF($C68="","",IF($D68="","",IFERROR(ROUND($D68*INDEX('🔖 배합비 참조'!$B$2:$CE$83,MATCH("고구마무스",'🔖 배합비 참조'!$A$2:$A$83,0),MATCH($C68,'🔖 배합비 참조'!$B$1:$CE$1,0))/100,0),""))),"")</f>
        <v>0</v>
      </c>
      <c r="Q68" s="42" t="n">
        <f aca="false">IFERROR(IF($C68="","",IF($D68="","",IFERROR(ROUND($D68*INDEX('🔖 배합비 참조'!$B$2:$CE$83,MATCH("고려엉겅퀴((곤드레)국내산)",'🔖 배합비 참조'!$A$2:$A$83,0),MATCH($C68,'🔖 배합비 참조'!$B$1:$CE$1,0))/100,0),""))),"")</f>
        <v>0</v>
      </c>
      <c r="R68" s="42" t="n">
        <f aca="false">IFERROR(IF($C68="","",IF($D68="","",IFERROR(ROUND($D68*INDEX('🔖 배합비 참조'!$B$2:$CE$83,MATCH("기타가공품(복분자가루)",'🔖 배합비 참조'!$A$2:$A$83,0),MATCH($C68,'🔖 배합비 참조'!$B$1:$CE$1,0))/100,0),""))),"")</f>
        <v>0</v>
      </c>
      <c r="S68" s="42" t="n">
        <f aca="false">IFERROR(IF($C68="","",IF($D68="","",IFERROR(ROUND($D68*INDEX('🔖 배합비 참조'!$B$2:$CE$83,MATCH("기타가공품(슈퍼소프트엠)",'🔖 배합비 참조'!$A$2:$A$83,0),MATCH($C68,'🔖 배합비 참조'!$B$1:$CE$1,0))/100,0),""))),"")</f>
        <v>0</v>
      </c>
      <c r="T68" s="42" t="n">
        <f aca="false">IFERROR(IF($C68="","",IF($D68="","",IFERROR(ROUND($D68*INDEX('🔖 배합비 참조'!$B$2:$CE$83,MATCH("기타가공품(파인소프트 E-티)",'🔖 배합비 참조'!$A$2:$A$83,0),MATCH($C68,'🔖 배합비 참조'!$B$1:$CE$1,0))/100,0),""))),"")</f>
        <v>0</v>
      </c>
      <c r="U68" s="42" t="n">
        <f aca="false">IFERROR(IF($C68="","",IF($D68="","",IFERROR(ROUND($D68*INDEX('🔖 배합비 참조'!$B$2:$CE$83,MATCH("기타가공품(프리미엄카스테라가루)",'🔖 배합비 참조'!$A$2:$A$83,0),MATCH($C68,'🔖 배합비 참조'!$B$1:$CE$1,0))/100,0),""))),"")</f>
        <v>0</v>
      </c>
      <c r="V68" s="42" t="n">
        <f aca="false">IFERROR(IF($C68="","",IF($D68="","",IFERROR(ROUND($D68*INDEX('🔖 배합비 참조'!$B$2:$CE$83,MATCH("기타가공품(흑임자가루)",'🔖 배합비 참조'!$A$2:$A$83,0),MATCH($C68,'🔖 배합비 참조'!$B$1:$CE$1,0))/100,0),""))),"")</f>
        <v>0</v>
      </c>
      <c r="W68" s="42" t="n">
        <f aca="false">IFERROR(IF($C68="","",IF($D68="","",IFERROR(ROUND($D68*INDEX('🔖 배합비 참조'!$B$2:$CE$83,MATCH("기타설탕(흑설탕)",'🔖 배합비 참조'!$A$2:$A$83,0),MATCH($C68,'🔖 배합비 참조'!$B$1:$CE$1,0))/100,0),""))),"")</f>
        <v>29</v>
      </c>
      <c r="X68" s="42" t="n">
        <f aca="false">IFERROR(IF($C68="","",IF($D68="","",IFERROR(ROUND($D68*INDEX('🔖 배합비 참조'!$B$2:$CE$83,MATCH("냉동쑥(국내산)",'🔖 배합비 참조'!$A$2:$A$83,0),MATCH($C68,'🔖 배합비 참조'!$B$1:$CE$1,0))/100,0),""))),"")</f>
        <v>0</v>
      </c>
      <c r="Y68" s="42" t="n">
        <f aca="false">IFERROR(IF($C68="","",IF($D68="","",IFERROR(ROUND($D68*INDEX('🔖 배합비 참조'!$B$2:$CE$83,MATCH("냉동증숙고구마(중국산)",'🔖 배합비 참조'!$A$2:$A$83,0),MATCH($C68,'🔖 배합비 참조'!$B$1:$CE$1,0))/100,0),""))),"")</f>
        <v>0</v>
      </c>
      <c r="Z68" s="42" t="n">
        <f aca="false">IFERROR(IF($C68="","",IF($D68="","",IFERROR(ROUND($D68*INDEX('🔖 배합비 참조'!$B$2:$CE$83,MATCH("녹차가루",'🔖 배합비 참조'!$A$2:$A$83,0),MATCH($C68,'🔖 배합비 참조'!$B$1:$CE$1,0))/100,0),""))),"")</f>
        <v>0</v>
      </c>
      <c r="AA68" s="42" t="n">
        <f aca="false">IFERROR(IF($C68="","",IF($D68="","",IFERROR(ROUND($D68*INDEX('🔖 배합비 참조'!$B$2:$CE$83,MATCH("다크초콜릿 컴파운드칩",'🔖 배합비 참조'!$A$2:$A$83,0),MATCH($C68,'🔖 배합비 참조'!$B$1:$CE$1,0))/100,0),""))),"")</f>
        <v>0</v>
      </c>
      <c r="AB68" s="42" t="n">
        <f aca="false">IFERROR(IF($C68="","",IF($D68="","",IFERROR(ROUND($D68*INDEX('🔖 배합비 참조'!$B$2:$CE$83,MATCH("단호박분말(중국산)",'🔖 배합비 참조'!$A$2:$A$83,0),MATCH($C68,'🔖 배합비 참조'!$B$1:$CE$1,0))/100,0),""))),"")</f>
        <v>0</v>
      </c>
      <c r="AC68" s="42" t="n">
        <f aca="false">IFERROR(IF($C68="","",IF($D68="","",IFERROR(ROUND($D68*INDEX('🔖 배합비 참조'!$B$2:$CE$83,MATCH("당류가공품(단호박농축액)",'🔖 배합비 참조'!$A$2:$A$83,0),MATCH($C68,'🔖 배합비 참조'!$B$1:$CE$1,0))/100,0),""))),"")</f>
        <v>0</v>
      </c>
      <c r="AD68" s="42" t="n">
        <f aca="false">IFERROR(IF($C68="","",IF($D68="","",IFERROR(ROUND($D68*INDEX('🔖 배합비 참조'!$B$2:$CE$83,MATCH("당류가공품(알룰로스,에리스리톨,스테비올배당체혼합)",'🔖 배합비 참조'!$A$2:$A$83,0),MATCH($C68,'🔖 배합비 참조'!$B$1:$CE$1,0))/100,0),""))),"")</f>
        <v>0</v>
      </c>
      <c r="AE68" s="42" t="n">
        <f aca="false">IFERROR(IF($C68="","",IF($D68="","",IFERROR(ROUND($D68*INDEX('🔖 배합비 참조'!$B$2:$CE$83,MATCH("당류가공품(알룰로스제로파우더)",'🔖 배합비 참조'!$A$2:$A$83,0),MATCH($C68,'🔖 배합비 참조'!$B$1:$CE$1,0))/100,0),""))),"")</f>
        <v>0</v>
      </c>
      <c r="AF68" s="42" t="n">
        <f aca="false">IFERROR(IF($C68="","",IF($D68="","",IFERROR(ROUND($D68*INDEX('🔖 배합비 참조'!$B$2:$CE$83,MATCH("당절임(완두배기)",'🔖 배합비 참조'!$A$2:$A$83,0),MATCH($C68,'🔖 배합비 참조'!$B$1:$CE$1,0))/100,0),""))),"")</f>
        <v>0</v>
      </c>
      <c r="AG68" s="42" t="n">
        <f aca="false">IFERROR(IF($C68="","",IF($D68="","",IFERROR(ROUND($D68*INDEX('🔖 배합비 참조'!$B$2:$CE$83,MATCH("대추농축액",'🔖 배합비 참조'!$A$2:$A$83,0),MATCH($C68,'🔖 배합비 참조'!$B$1:$CE$1,0))/100,0),""))),"")</f>
        <v>0</v>
      </c>
      <c r="AH68" s="42" t="n">
        <f aca="false">IFERROR(IF($C68="","",IF($D68="","",IFERROR(ROUND($D68*INDEX('🔖 배합비 참조'!$B$2:$CE$83,MATCH("대추채(국내산)",'🔖 배합비 참조'!$A$2:$A$83,0),MATCH($C68,'🔖 배합비 참조'!$B$1:$CE$1,0))/100,0),""))),"")</f>
        <v>0</v>
      </c>
      <c r="AI68" s="42" t="n">
        <f aca="false">IFERROR(IF($C68="","",IF($D68="","",IFERROR(ROUND($D68*INDEX('🔖 배합비 참조'!$B$2:$CE$83,MATCH("동부(미얀마산)",'🔖 배합비 참조'!$A$2:$A$83,0),MATCH($C68,'🔖 배합비 참조'!$B$1:$CE$1,0))/100,0),""))),"")</f>
        <v>0</v>
      </c>
      <c r="AJ68" s="42" t="n">
        <f aca="false">IFERROR(IF($C68="","",IF($D68="","",IFERROR(ROUND($D68*INDEX('🔖 배합비 참조'!$B$2:$CE$83,MATCH("두류가공품(백옥앙금)",'🔖 배합비 참조'!$A$2:$A$83,0),MATCH($C68,'🔖 배합비 참조'!$B$1:$CE$1,0))/100,0),""))),"")</f>
        <v>0</v>
      </c>
      <c r="AK68" s="42" t="n">
        <f aca="false">IFERROR(IF($C68="","",IF($D68="","",IFERROR(ROUND($D68*INDEX('🔖 배합비 참조'!$B$2:$CE$83,MATCH("두류가공품(콩고물)",'🔖 배합비 참조'!$A$2:$A$83,0),MATCH($C68,'🔖 배합비 참조'!$B$1:$CE$1,0))/100,0),""))),"")</f>
        <v>0</v>
      </c>
      <c r="AL68" s="42" t="n">
        <f aca="false">IFERROR(IF($C68="","",IF($D68="","",IFERROR(ROUND($D68*INDEX('🔖 배합비 참조'!$B$2:$CE$83,MATCH("두류가공품(통팥고물)",'🔖 배합비 참조'!$A$2:$A$83,0),MATCH($C68,'🔖 배합비 참조'!$B$1:$CE$1,0))/100,0),""))),"")</f>
        <v>0</v>
      </c>
      <c r="AM68" s="42" t="n">
        <f aca="false">IFERROR(IF($C68="","",IF($D68="","",IFERROR(ROUND($D68*INDEX('🔖 배합비 참조'!$B$2:$CE$83,MATCH("딸기레진",'🔖 배합비 참조'!$A$2:$A$83,0),MATCH($C68,'🔖 배합비 참조'!$B$1:$CE$1,0))/100,0),""))),"")</f>
        <v>0</v>
      </c>
      <c r="AN68" s="42" t="n">
        <f aca="false">IFERROR(IF($C68="","",IF($D68="","",IFERROR(ROUND($D68*INDEX('🔖 배합비 참조'!$B$2:$CE$83,MATCH("딸기분말(스트로우베리에이드(분말))",'🔖 배합비 참조'!$A$2:$A$83,0),MATCH($C68,'🔖 배합비 참조'!$B$1:$CE$1,0))/100,0),""))),"")</f>
        <v>0</v>
      </c>
      <c r="AO68" s="42" t="n">
        <f aca="false">IFERROR(IF($C68="","",IF($D68="","",IFERROR(ROUND($D68*INDEX('🔖 배합비 참조'!$B$2:$CE$83,MATCH("마스카포네치즈",'🔖 배합비 참조'!$A$2:$A$83,0),MATCH($C68,'🔖 배합비 참조'!$B$1:$CE$1,0))/100,0),""))),"")</f>
        <v>0</v>
      </c>
      <c r="AP68" s="42" t="n">
        <f aca="false">IFERROR(IF($C68="","",IF($D68="","",IFERROR(ROUND($D68*INDEX('🔖 배합비 참조'!$B$2:$CE$83,MATCH("마카다미아분태(호주산)",'🔖 배합비 참조'!$A$2:$A$83,0),MATCH($C68,'🔖 배합비 참조'!$B$1:$CE$1,0))/100,0),""))),"")</f>
        <v>0</v>
      </c>
      <c r="AQ68" s="42" t="n">
        <f aca="false">IFERROR(IF($C68="","",IF($D68="","",IFERROR(ROUND($D68*INDEX('🔖 배합비 참조'!$B$2:$CE$83,MATCH("멥쌀(국내산)",'🔖 배합비 참조'!$A$2:$A$83,0),MATCH($C68,'🔖 배합비 참조'!$B$1:$CE$1,0))/100,0),""))),"")</f>
        <v>236</v>
      </c>
      <c r="AR68" s="42" t="n">
        <f aca="false">IFERROR(IF($C68="","",IF($D68="","",IFERROR(ROUND($D68*INDEX('🔖 배합비 참조'!$B$2:$CE$83,MATCH("모시잎(국내산)",'🔖 배합비 참조'!$A$2:$A$83,0),MATCH($C68,'🔖 배합비 참조'!$B$1:$CE$1,0))/100,0),""))),"")</f>
        <v>0</v>
      </c>
      <c r="AS68" s="42" t="n">
        <f aca="false">IFERROR(IF($C68="","",IF($D68="","",IFERROR(ROUND($D68*INDEX('🔖 배합비 참조'!$B$2:$CE$83,MATCH("물엿(저당물엿)",'🔖 배합비 참조'!$A$2:$A$83,0),MATCH($C68,'🔖 배합비 참조'!$B$1:$CE$1,0))/100,0),""))),"")</f>
        <v>0</v>
      </c>
      <c r="AT68" s="42" t="n">
        <f aca="false">IFERROR(IF($C68="","",IF($D68="","",IFERROR(ROUND($D68*INDEX('🔖 배합비 참조'!$B$2:$CE$83,MATCH("밤다이스",'🔖 배합비 참조'!$A$2:$A$83,0),MATCH($C68,'🔖 배합비 참조'!$B$1:$CE$1,0))/100,0),""))),"")</f>
        <v>0</v>
      </c>
      <c r="AU68" s="42" t="n">
        <f aca="false">IFERROR(IF($C68="","",IF($D68="","",IFERROR(ROUND($D68*INDEX('🔖 배합비 참조'!$B$2:$CE$83,MATCH("변성전분(타피오카전분)",'🔖 배합비 참조'!$A$2:$A$83,0),MATCH($C68,'🔖 배합비 참조'!$B$1:$CE$1,0))/100,0),""))),"")</f>
        <v>0</v>
      </c>
      <c r="AV68" s="42" t="n">
        <f aca="false">IFERROR(IF($C68="","",IF($D68="","",IFERROR(ROUND($D68*INDEX('🔖 배합비 참조'!$B$2:$CE$83,MATCH("복음땅콩분태",'🔖 배합비 참조'!$A$2:$A$83,0),MATCH($C68,'🔖 배합비 참조'!$B$1:$CE$1,0))/100,0),""))),"")</f>
        <v>0</v>
      </c>
      <c r="AW68" s="42" t="n">
        <f aca="false">IFERROR(IF($C68="","",IF($D68="","",IFERROR(ROUND($D68*INDEX('🔖 배합비 참조'!$B$2:$CE$83,MATCH("사양벌꿀(국내산)",'🔖 배합비 참조'!$A$2:$A$83,0),MATCH($C68,'🔖 배합비 참조'!$B$1:$CE$1,0))/100,0),""))),"")</f>
        <v>8</v>
      </c>
      <c r="AX68" s="42" t="n">
        <f aca="false">IFERROR(IF($C68="","",IF($D68="","",IFERROR(ROUND($D68*INDEX('🔖 배합비 참조'!$B$2:$CE$83,MATCH("생크림",'🔖 배합비 참조'!$A$2:$A$83,0),MATCH($C68,'🔖 배합비 참조'!$B$1:$CE$1,0))/100,0),""))),"")</f>
        <v>0</v>
      </c>
      <c r="AY68" s="42" t="n">
        <f aca="false">IFERROR(IF($C68="","",IF($D68="","",IFERROR(ROUND($D68*INDEX('🔖 배합비 참조'!$B$2:$CE$83,MATCH("서양호박(국내산,뉴질랜드산)",'🔖 배합비 참조'!$A$2:$A$83,0),MATCH($C68,'🔖 배합비 참조'!$B$1:$CE$1,0))/100,0),""))),"")</f>
        <v>0</v>
      </c>
      <c r="AZ68" s="42" t="n">
        <f aca="false">IFERROR(IF($C68="","",IF($D68="","",IFERROR(ROUND($D68*INDEX('🔖 배합비 참조'!$B$2:$CE$83,MATCH("설탕",'🔖 배합비 참조'!$A$2:$A$83,0),MATCH($C68,'🔖 배합비 참조'!$B$1:$CE$1,0))/100,0),""))),"")</f>
        <v>29</v>
      </c>
      <c r="BA68" s="42" t="n">
        <f aca="false">IFERROR(IF($C68="","",IF($D68="","",IFERROR(ROUND($D68*INDEX('🔖 배합비 참조'!$B$2:$CE$83,MATCH("스트로우베리 에이드 후레쉬",'🔖 배합비 참조'!$A$2:$A$83,0),MATCH($C68,'🔖 배합비 참조'!$B$1:$CE$1,0))/100,0),""))),"")</f>
        <v>0</v>
      </c>
      <c r="BB68" s="42" t="n">
        <f aca="false">IFERROR(IF($C68="","",IF($D68="","",IFERROR(ROUND($D68*INDEX('🔖 배합비 참조'!$B$2:$CE$83,MATCH("식물성기름혼합제제(분홍)",'🔖 배합비 참조'!$A$2:$A$83,0),MATCH($C68,'🔖 배합비 참조'!$B$1:$CE$1,0))/100,0),""))),"")</f>
        <v>0</v>
      </c>
      <c r="BC68" s="42" t="n">
        <f aca="false">IFERROR(IF($C68="","",IF($D68="","",IFERROR(ROUND($D68*INDEX('🔖 배합비 참조'!$B$2:$CE$83,MATCH("식물성기름혼합제제(초록)",'🔖 배합비 참조'!$A$2:$A$83,0),MATCH($C68,'🔖 배합비 참조'!$B$1:$CE$1,0))/100,0),""))),"")</f>
        <v>0</v>
      </c>
      <c r="BD68" s="42" t="n">
        <f aca="false">IFERROR(IF($C68="","",IF($D68="","",IFERROR(ROUND($D68*INDEX('🔖 배합비 참조'!$B$2:$CE$83,MATCH("식물성기름혼합제제(황색)",'🔖 배합비 참조'!$A$2:$A$83,0),MATCH($C68,'🔖 배합비 참조'!$B$1:$CE$1,0))/100,0),""))),"")</f>
        <v>0</v>
      </c>
      <c r="BE68" s="42" t="n">
        <f aca="false">IFERROR(IF($C68="","",IF($D68="","",IFERROR(ROUND($D68*INDEX('🔖 배합비 참조'!$B$2:$CE$83,MATCH("쑥가루(국내산)",'🔖 배합비 참조'!$A$2:$A$83,0),MATCH($C68,'🔖 배합비 참조'!$B$1:$CE$1,0))/100,0),""))),"")</f>
        <v>0</v>
      </c>
      <c r="BF68" s="42" t="n">
        <f aca="false">IFERROR(IF($C68="","",IF($D68="","",IFERROR(ROUND($D68*INDEX('🔖 배합비 참조'!$B$2:$CE$83,MATCH("아몬드슬라이스",'🔖 배합비 참조'!$A$2:$A$83,0),MATCH($C68,'🔖 배합비 참조'!$B$1:$CE$1,0))/100,0),""))),"")</f>
        <v>0</v>
      </c>
      <c r="BG68" s="42" t="n">
        <f aca="false">IFERROR(IF($C68="","",IF($D68="","",IFERROR(ROUND($D68*INDEX('🔖 배합비 참조'!$B$2:$CE$83,MATCH("알룰로오스(국내산)",'🔖 배합비 참조'!$A$2:$A$83,0),MATCH($C68,'🔖 배합비 참조'!$B$1:$CE$1,0))/100,0),""))),"")</f>
        <v>0</v>
      </c>
      <c r="BH68" s="42" t="n">
        <f aca="false">IFERROR(IF($C68="","",IF($D68="","",IFERROR(ROUND($D68*INDEX('🔖 배합비 참조'!$B$2:$CE$83,MATCH("연유",'🔖 배합비 참조'!$A$2:$A$83,0),MATCH($C68,'🔖 배합비 참조'!$B$1:$CE$1,0))/100,0),""))),"")</f>
        <v>0</v>
      </c>
      <c r="BI68" s="42" t="n">
        <f aca="false">IFERROR(IF($C68="","",IF($D68="","",IFERROR(ROUND($D68*INDEX('🔖 배합비 참조'!$B$2:$CE$83,MATCH("옥수수전분",'🔖 배합비 참조'!$A$2:$A$83,0),MATCH($C68,'🔖 배합비 참조'!$B$1:$CE$1,0))/100,0),""))),"")</f>
        <v>0</v>
      </c>
      <c r="BJ68" s="42" t="n">
        <f aca="false">IFERROR(IF($C68="","",IF($D68="","",IFERROR(ROUND($D68*INDEX('🔖 배합비 참조'!$B$2:$CE$83,MATCH("완두배기",'🔖 배합비 참조'!$A$2:$A$83,0),MATCH($C68,'🔖 배합비 참조'!$B$1:$CE$1,0))/100,0),""))),"")</f>
        <v>0</v>
      </c>
      <c r="BK68" s="42" t="n">
        <f aca="false">IFERROR(IF($C68="","",IF($D68="","",IFERROR(ROUND($D68*INDEX('🔖 배합비 참조'!$B$2:$CE$83,MATCH("우유(국내산)",'🔖 배합비 참조'!$A$2:$A$83,0),MATCH($C68,'🔖 배합비 참조'!$B$1:$CE$1,0))/100,0),""))),"")</f>
        <v>0</v>
      </c>
      <c r="BL68" s="42" t="n">
        <f aca="false">IFERROR(IF($C68="","",IF($D68="","",IFERROR(ROUND($D68*INDEX('🔖 배합비 참조'!$B$2:$CE$83,MATCH("자색고구마가루(중국산)",'🔖 배합비 참조'!$A$2:$A$83,0),MATCH($C68,'🔖 배합비 참조'!$B$1:$CE$1,0))/100,0),""))),"")</f>
        <v>0</v>
      </c>
      <c r="BM68" s="42" t="n">
        <f aca="false">IFERROR(IF($C68="","",IF($D68="","",IFERROR(ROUND($D68*INDEX('🔖 배합비 참조'!$B$2:$CE$83,MATCH("자연치즈(체다치즈)",'🔖 배합비 참조'!$A$2:$A$83,0),MATCH($C68,'🔖 배합비 참조'!$B$1:$CE$1,0))/100,0),""))),"")</f>
        <v>0</v>
      </c>
      <c r="BN68" s="42" t="n">
        <f aca="false">IFERROR(IF($C68="","",IF($D68="","",IFERROR(ROUND($D68*INDEX('🔖 배합비 참조'!$B$2:$CE$83,MATCH("정제수",'🔖 배합비 참조'!$A$2:$A$83,0),MATCH($C68,'🔖 배합비 참조'!$B$1:$CE$1,0))/100,0),""))),"")</f>
        <v>44</v>
      </c>
      <c r="BO68" s="42" t="n">
        <f aca="false">IFERROR(IF($C68="","",IF($D68="","",IFERROR(ROUND($D68*INDEX('🔖 배합비 참조'!$B$2:$CE$83,MATCH("젤라틴",'🔖 배합비 참조'!$A$2:$A$83,0),MATCH($C68,'🔖 배합비 참조'!$B$1:$CE$1,0))/100,0),""))),"")</f>
        <v>0</v>
      </c>
      <c r="BP68" s="42" t="n">
        <f aca="false">IFERROR(IF($C68="","",IF($D68="","",IFERROR(ROUND($D68*INDEX('🔖 배합비 참조'!$B$2:$CE$83,MATCH("조림류(백옥앙금)",'🔖 배합비 참조'!$A$2:$A$83,0),MATCH($C68,'🔖 배합비 참조'!$B$1:$CE$1,0))/100,0),""))),"")</f>
        <v>0</v>
      </c>
      <c r="BQ68" s="42" t="n">
        <f aca="false">IFERROR(IF($C68="","",IF($D68="","",IFERROR(ROUND($D68*INDEX('🔖 배합비 참조'!$B$2:$CE$83,MATCH("조림류(통팥앙금)",'🔖 배합비 참조'!$A$2:$A$83,0),MATCH($C68,'🔖 배합비 참조'!$B$1:$CE$1,0))/100,0),""))),"")</f>
        <v>0</v>
      </c>
      <c r="BR68" s="42" t="n">
        <f aca="false">IFERROR(IF($C68="","",IF($D68="","",IFERROR(ROUND($D68*INDEX('🔖 배합비 참조'!$B$2:$CE$83,MATCH("준초콜릿(외국산)",'🔖 배합비 참조'!$A$2:$A$83,0),MATCH($C68,'🔖 배합비 참조'!$B$1:$CE$1,0))/100,0),""))),"")</f>
        <v>0</v>
      </c>
      <c r="BS68" s="42" t="n">
        <f aca="false">IFERROR(IF($C68="","",IF($D68="","",IFERROR(ROUND($D68*INDEX('🔖 배합비 참조'!$B$2:$CE$83,MATCH("중력분",'🔖 배합비 참조'!$A$2:$A$83,0),MATCH($C68,'🔖 배합비 참조'!$B$1:$CE$1,0))/100,0),""))),"")</f>
        <v>0</v>
      </c>
      <c r="BT68" s="42" t="n">
        <f aca="false">IFERROR(IF($C68="","",IF($D68="","",IFERROR(ROUND($D68*INDEX('🔖 배합비 참조'!$B$2:$CE$83,MATCH("참깨(인도산,나이지리아산,탄자니아산,미얀마산)",'🔖 배합비 참조'!$A$2:$A$83,0),MATCH($C68,'🔖 배합비 참조'!$B$1:$CE$1,0))/100,0),""))),"")</f>
        <v>0</v>
      </c>
      <c r="BU68" s="42" t="n">
        <f aca="false">IFERROR(IF($C68="","",IF($D68="","",IFERROR(ROUND($D68*INDEX('🔖 배합비 참조'!$B$2:$CE$83,MATCH("찹쌀(국내산)",'🔖 배합비 참조'!$A$2:$A$83,0),MATCH($C68,'🔖 배합비 참조'!$B$1:$CE$1,0))/100,0),""))),"")</f>
        <v>0</v>
      </c>
      <c r="BV68" s="42" t="n">
        <f aca="false">IFERROR(IF($C68="","",IF($D68="","",IFERROR(ROUND($D68*INDEX('🔖 배합비 참조'!$B$2:$CE$83,MATCH("천일염",'🔖 배합비 참조'!$A$2:$A$83,0),MATCH($C68,'🔖 배합비 참조'!$B$1:$CE$1,0))/100,0),""))),"")</f>
        <v>4</v>
      </c>
      <c r="BW68" s="42" t="n">
        <f aca="false">IFERROR(IF($C68="","",IF($D68="","",IFERROR(ROUND($D68*INDEX('🔖 배합비 참조'!$B$2:$CE$83,MATCH("치즈 [크림치즈]",'🔖 배합비 참조'!$A$2:$A$83,0),MATCH($C68,'🔖 배합비 참조'!$B$1:$CE$1,0))/100,0),""))),"")</f>
        <v>0</v>
      </c>
      <c r="BX68" s="42" t="n">
        <f aca="false">IFERROR(IF($C68="","",IF($D68="","",IFERROR(ROUND($D68*INDEX('🔖 배합비 참조'!$B$2:$CE$83,MATCH("코코아가공품류(코코아분말)",'🔖 배합비 참조'!$A$2:$A$83,0),MATCH($C68,'🔖 배합비 참조'!$B$1:$CE$1,0))/100,0),""))),"")</f>
        <v>0</v>
      </c>
      <c r="BY68" s="42" t="n">
        <f aca="false">IFERROR(IF($C68="","",IF($D68="","",IFERROR(ROUND($D68*INDEX('🔖 배합비 참조'!$B$2:$CE$83,MATCH("콩기름(대두유)",'🔖 배합비 참조'!$A$2:$A$83,0),MATCH($C68,'🔖 배합비 참조'!$B$1:$CE$1,0))/100,0),""))),"")</f>
        <v>0</v>
      </c>
      <c r="BZ68" s="42" t="n">
        <f aca="false">IFERROR(IF($C68="","",IF($D68="","",IFERROR(ROUND($D68*INDEX('🔖 배합비 참조'!$B$2:$CE$83,MATCH("해바라기씨앗",'🔖 배합비 참조'!$A$2:$A$83,0),MATCH($C68,'🔖 배합비 참조'!$B$1:$CE$1,0))/100,0),""))),"")</f>
        <v>0</v>
      </c>
      <c r="CA68" s="42" t="n">
        <f aca="false">IFERROR(IF($C68="","",IF($D68="","",IFERROR(ROUND($D68*INDEX('🔖 배합비 참조'!$B$2:$CE$83,MATCH("현미(국내산)",'🔖 배합비 참조'!$A$2:$A$83,0),MATCH($C68,'🔖 배합비 참조'!$B$1:$CE$1,0))/100,0),""))),"")</f>
        <v>0</v>
      </c>
      <c r="CB68" s="42" t="n">
        <f aca="false">IFERROR(IF($C68="","",IF($D68="","",IFERROR(ROUND($D68*INDEX('🔖 배합비 참조'!$B$2:$CE$83,MATCH("현미멥쌀(국내산)",'🔖 배합비 참조'!$A$2:$A$83,0),MATCH($C68,'🔖 배합비 참조'!$B$1:$CE$1,0))/100,0),""))),"")</f>
        <v>0</v>
      </c>
      <c r="CC68" s="42" t="n">
        <f aca="false">IFERROR(IF($C68="","",IF($D68="","",IFERROR(ROUND($D68*INDEX('🔖 배합비 참조'!$B$2:$CE$83,MATCH("호두분태(미국산)",'🔖 배합비 참조'!$A$2:$A$83,0),MATCH($C68,'🔖 배합비 참조'!$B$1:$CE$1,0))/100,0),""))),"")</f>
        <v>0</v>
      </c>
      <c r="CD68" s="42" t="n">
        <f aca="false">IFERROR(IF($C68="","",IF($D68="","",IFERROR(ROUND($D68*INDEX('🔖 배합비 참조'!$B$2:$CE$83,MATCH("호박씨앗(외국산)",'🔖 배합비 참조'!$A$2:$A$83,0),MATCH($C68,'🔖 배합비 참조'!$B$1:$CE$1,0))/100,0),""))),"")</f>
        <v>0</v>
      </c>
      <c r="CE68" s="42" t="n">
        <f aca="false">IFERROR(IF($C68="","",IF($D68="","",IFERROR(ROUND($D68*INDEX('🔖 배합비 참조'!$B$2:$CE$83,MATCH("혼합제제(떡용에스텔)",'🔖 배합비 참조'!$A$2:$A$83,0),MATCH($C68,'🔖 배합비 참조'!$B$1:$CE$1,0))/100,0),""))),"")</f>
        <v>0</v>
      </c>
      <c r="CF68" s="42" t="n">
        <f aca="false">IFERROR(IF($C68="","",IF($D68="","",IFERROR(ROUND($D68*INDEX('🔖 배합비 참조'!$B$2:$CE$83,MATCH("혼합제제(스테비아)",'🔖 배합비 참조'!$A$2:$A$83,0),MATCH($C68,'🔖 배합비 참조'!$B$1:$CE$1,0))/100,0),""))),"")</f>
        <v>0</v>
      </c>
      <c r="CG68" s="42" t="n">
        <f aca="false">IFERROR(IF($C68="","",IF($D68="","",IFERROR(ROUND($D68*INDEX('🔖 배합비 참조'!$B$2:$CE$83,MATCH("화이트초콜릿",'🔖 배합비 참조'!$A$2:$A$83,0),MATCH($C68,'🔖 배합비 참조'!$B$1:$CE$1,0))/100,0),""))),"")</f>
        <v>0</v>
      </c>
      <c r="CH68" s="42" t="n">
        <f aca="false">IFERROR(IF($C68="","",IF($D68="","",IFERROR(ROUND($D68*INDEX('🔖 배합비 참조'!$B$2:$CE$83,MATCH("흑미찹쌀(국내산)",'🔖 배합비 참조'!$A$2:$A$83,0),MATCH($C68,'🔖 배합비 참조'!$B$1:$CE$1,0))/100,0),""))),"")</f>
        <v>0</v>
      </c>
      <c r="CI68" s="42" t="n">
        <f aca="false">IFERROR(IF($C68="","",IF($D68="","",IFERROR(ROUND($D68*INDEX('🔖 배합비 참조'!$B$2:$CE$83,MATCH("찰옥수수전분(미국산)",'🔖 배합비 참조'!$A$2:$A$83,0),MATCH($C68,'🔖 배합비 참조'!$B$1:$CE$1,0))/100,0),""))),"")</f>
        <v>0</v>
      </c>
      <c r="CJ68" s="40"/>
      <c r="CL68" s="1" t="s">
        <v>238</v>
      </c>
    </row>
    <row r="69" customFormat="false" ht="18" hidden="false" customHeight="true" outlineLevel="0" collapsed="false">
      <c r="A69" s="35" t="n">
        <v>65</v>
      </c>
      <c r="B69" s="36" t="n">
        <v>45973</v>
      </c>
      <c r="C69" s="37" t="s">
        <v>184</v>
      </c>
      <c r="D69" s="38" t="n">
        <v>150</v>
      </c>
      <c r="E69" s="13"/>
      <c r="F69" s="13"/>
      <c r="G69" s="39" t="n">
        <f aca="false">IFERROR(IF($C69="","",IF($D69="","",IFERROR(ROUND($D69*INDEX('🔖 배합비 참조'!$B$2:$CE$83,MATCH("간장",'🔖 배합비 참조'!$A$2:$A$83,0),MATCH($C69,'🔖 배합비 참조'!$B$1:$CE$1,0))/100,0),""))),"")</f>
        <v>0</v>
      </c>
      <c r="H69" s="39" t="n">
        <f aca="false">IFERROR(IF($C69="","",IF($D69="","",IFERROR(ROUND($D69*INDEX('🔖 배합비 참조'!$B$2:$CE$83,MATCH("강낭콩((울타리콩))",'🔖 배합비 참조'!$A$2:$A$83,0),MATCH($C69,'🔖 배합비 참조'!$B$1:$CE$1,0))/100,0),""))),"")</f>
        <v>0</v>
      </c>
      <c r="I69" s="39" t="n">
        <f aca="false">IFERROR(IF($C69="","",IF($D69="","",IFERROR(ROUND($D69*INDEX('🔖 배합비 참조'!$B$2:$CE$83,MATCH("건조딸기다이스(외국산)",'🔖 배합비 참조'!$A$2:$A$83,0),MATCH($C69,'🔖 배합비 참조'!$B$1:$CE$1,0))/100,0),""))),"")</f>
        <v>0</v>
      </c>
      <c r="J69" s="39" t="n">
        <f aca="false">IFERROR(IF($C69="","",IF($D69="","",IFERROR(ROUND($D69*INDEX('🔖 배합비 참조'!$B$2:$CE$83,MATCH("건포도",'🔖 배합비 참조'!$A$2:$A$83,0),MATCH($C69,'🔖 배합비 참조'!$B$1:$CE$1,0))/100,0),""))),"")</f>
        <v>0</v>
      </c>
      <c r="K69" s="39" t="n">
        <f aca="false">IFERROR(IF($C69="","",IF($D69="","",IFERROR(ROUND($D69*INDEX('🔖 배합비 참조'!$B$2:$CE$83,MATCH("건호박채(중국산)",'🔖 배합비 참조'!$A$2:$A$83,0),MATCH($C69,'🔖 배합비 참조'!$B$1:$CE$1,0))/100,0),""))),"")</f>
        <v>0</v>
      </c>
      <c r="L69" s="39" t="n">
        <f aca="false">IFERROR(IF($C69="","",IF($D69="","",IFERROR(ROUND($D69*INDEX('🔖 배합비 참조'!$B$2:$CE$83,MATCH("검정깨(흑임자)",'🔖 배합비 참조'!$A$2:$A$83,0),MATCH($C69,'🔖 배합비 참조'!$B$1:$CE$1,0))/100,0),""))),"")</f>
        <v>0</v>
      </c>
      <c r="M69" s="39" t="n">
        <f aca="false">IFERROR(IF($C69="","",IF($D69="","",IFERROR(ROUND($D69*INDEX('🔖 배합비 참조'!$B$2:$CE$83,MATCH("검정콩",'🔖 배합비 참조'!$A$2:$A$83,0),MATCH($C69,'🔖 배합비 참조'!$B$1:$CE$1,0))/100,0),""))),"")</f>
        <v>0</v>
      </c>
      <c r="N69" s="39" t="n">
        <f aca="false">IFERROR(IF($C69="","",IF($D69="","",IFERROR(ROUND($D69*INDEX('🔖 배합비 참조'!$B$2:$CE$83,MATCH("계피가루",'🔖 배합비 참조'!$A$2:$A$83,0),MATCH($C69,'🔖 배합비 참조'!$B$1:$CE$1,0))/100,0),""))),"")</f>
        <v>0</v>
      </c>
      <c r="O69" s="39" t="n">
        <f aca="false">IFERROR(IF($C69="","",IF($D69="","",IFERROR(ROUND($D69*INDEX('🔖 배합비 참조'!$B$2:$CE$83,MATCH("고구마가루",'🔖 배합비 참조'!$A$2:$A$83,0),MATCH($C69,'🔖 배합비 참조'!$B$1:$CE$1,0))/100,0),""))),"")</f>
        <v>0</v>
      </c>
      <c r="P69" s="39" t="n">
        <f aca="false">IFERROR(IF($C69="","",IF($D69="","",IFERROR(ROUND($D69*INDEX('🔖 배합비 참조'!$B$2:$CE$83,MATCH("고구마무스",'🔖 배합비 참조'!$A$2:$A$83,0),MATCH($C69,'🔖 배합비 참조'!$B$1:$CE$1,0))/100,0),""))),"")</f>
        <v>0</v>
      </c>
      <c r="Q69" s="39" t="n">
        <f aca="false">IFERROR(IF($C69="","",IF($D69="","",IFERROR(ROUND($D69*INDEX('🔖 배합비 참조'!$B$2:$CE$83,MATCH("고려엉겅퀴((곤드레)국내산)",'🔖 배합비 참조'!$A$2:$A$83,0),MATCH($C69,'🔖 배합비 참조'!$B$1:$CE$1,0))/100,0),""))),"")</f>
        <v>0</v>
      </c>
      <c r="R69" s="39" t="n">
        <f aca="false">IFERROR(IF($C69="","",IF($D69="","",IFERROR(ROUND($D69*INDEX('🔖 배합비 참조'!$B$2:$CE$83,MATCH("기타가공품(복분자가루)",'🔖 배합비 참조'!$A$2:$A$83,0),MATCH($C69,'🔖 배합비 참조'!$B$1:$CE$1,0))/100,0),""))),"")</f>
        <v>0</v>
      </c>
      <c r="S69" s="39" t="n">
        <f aca="false">IFERROR(IF($C69="","",IF($D69="","",IFERROR(ROUND($D69*INDEX('🔖 배합비 참조'!$B$2:$CE$83,MATCH("기타가공품(슈퍼소프트엠)",'🔖 배합비 참조'!$A$2:$A$83,0),MATCH($C69,'🔖 배합비 참조'!$B$1:$CE$1,0))/100,0),""))),"")</f>
        <v>0</v>
      </c>
      <c r="T69" s="39" t="n">
        <f aca="false">IFERROR(IF($C69="","",IF($D69="","",IFERROR(ROUND($D69*INDEX('🔖 배합비 참조'!$B$2:$CE$83,MATCH("기타가공품(파인소프트 E-티)",'🔖 배합비 참조'!$A$2:$A$83,0),MATCH($C69,'🔖 배합비 참조'!$B$1:$CE$1,0))/100,0),""))),"")</f>
        <v>0</v>
      </c>
      <c r="U69" s="39" t="n">
        <f aca="false">IFERROR(IF($C69="","",IF($D69="","",IFERROR(ROUND($D69*INDEX('🔖 배합비 참조'!$B$2:$CE$83,MATCH("기타가공품(프리미엄카스테라가루)",'🔖 배합비 참조'!$A$2:$A$83,0),MATCH($C69,'🔖 배합비 참조'!$B$1:$CE$1,0))/100,0),""))),"")</f>
        <v>0</v>
      </c>
      <c r="V69" s="39" t="n">
        <f aca="false">IFERROR(IF($C69="","",IF($D69="","",IFERROR(ROUND($D69*INDEX('🔖 배합비 참조'!$B$2:$CE$83,MATCH("기타가공품(흑임자가루)",'🔖 배합비 참조'!$A$2:$A$83,0),MATCH($C69,'🔖 배합비 참조'!$B$1:$CE$1,0))/100,0),""))),"")</f>
        <v>0</v>
      </c>
      <c r="W69" s="39" t="n">
        <f aca="false">IFERROR(IF($C69="","",IF($D69="","",IFERROR(ROUND($D69*INDEX('🔖 배합비 참조'!$B$2:$CE$83,MATCH("기타설탕(흑설탕)",'🔖 배합비 참조'!$A$2:$A$83,0),MATCH($C69,'🔖 배합비 참조'!$B$1:$CE$1,0))/100,0),""))),"")</f>
        <v>0</v>
      </c>
      <c r="X69" s="39" t="n">
        <f aca="false">IFERROR(IF($C69="","",IF($D69="","",IFERROR(ROUND($D69*INDEX('🔖 배합비 참조'!$B$2:$CE$83,MATCH("냉동쑥(국내산)",'🔖 배합비 참조'!$A$2:$A$83,0),MATCH($C69,'🔖 배합비 참조'!$B$1:$CE$1,0))/100,0),""))),"")</f>
        <v>0</v>
      </c>
      <c r="Y69" s="39" t="n">
        <f aca="false">IFERROR(IF($C69="","",IF($D69="","",IFERROR(ROUND($D69*INDEX('🔖 배합비 참조'!$B$2:$CE$83,MATCH("냉동증숙고구마(중국산)",'🔖 배합비 참조'!$A$2:$A$83,0),MATCH($C69,'🔖 배합비 참조'!$B$1:$CE$1,0))/100,0),""))),"")</f>
        <v>0</v>
      </c>
      <c r="Z69" s="39" t="n">
        <f aca="false">IFERROR(IF($C69="","",IF($D69="","",IFERROR(ROUND($D69*INDEX('🔖 배합비 참조'!$B$2:$CE$83,MATCH("녹차가루",'🔖 배합비 참조'!$A$2:$A$83,0),MATCH($C69,'🔖 배합비 참조'!$B$1:$CE$1,0))/100,0),""))),"")</f>
        <v>0</v>
      </c>
      <c r="AA69" s="39" t="n">
        <f aca="false">IFERROR(IF($C69="","",IF($D69="","",IFERROR(ROUND($D69*INDEX('🔖 배합비 참조'!$B$2:$CE$83,MATCH("다크초콜릿 컴파운드칩",'🔖 배합비 참조'!$A$2:$A$83,0),MATCH($C69,'🔖 배합비 참조'!$B$1:$CE$1,0))/100,0),""))),"")</f>
        <v>0</v>
      </c>
      <c r="AB69" s="39" t="n">
        <f aca="false">IFERROR(IF($C69="","",IF($D69="","",IFERROR(ROUND($D69*INDEX('🔖 배합비 참조'!$B$2:$CE$83,MATCH("단호박분말(중국산)",'🔖 배합비 참조'!$A$2:$A$83,0),MATCH($C69,'🔖 배합비 참조'!$B$1:$CE$1,0))/100,0),""))),"")</f>
        <v>0</v>
      </c>
      <c r="AC69" s="39" t="n">
        <f aca="false">IFERROR(IF($C69="","",IF($D69="","",IFERROR(ROUND($D69*INDEX('🔖 배합비 참조'!$B$2:$CE$83,MATCH("당류가공품(단호박농축액)",'🔖 배합비 참조'!$A$2:$A$83,0),MATCH($C69,'🔖 배합비 참조'!$B$1:$CE$1,0))/100,0),""))),"")</f>
        <v>0</v>
      </c>
      <c r="AD69" s="39" t="n">
        <f aca="false">IFERROR(IF($C69="","",IF($D69="","",IFERROR(ROUND($D69*INDEX('🔖 배합비 참조'!$B$2:$CE$83,MATCH("당류가공품(알룰로스,에리스리톨,스테비올배당체혼합)",'🔖 배합비 참조'!$A$2:$A$83,0),MATCH($C69,'🔖 배합비 참조'!$B$1:$CE$1,0))/100,0),""))),"")</f>
        <v>0</v>
      </c>
      <c r="AE69" s="39" t="n">
        <f aca="false">IFERROR(IF($C69="","",IF($D69="","",IFERROR(ROUND($D69*INDEX('🔖 배합비 참조'!$B$2:$CE$83,MATCH("당류가공품(알룰로스제로파우더)",'🔖 배합비 참조'!$A$2:$A$83,0),MATCH($C69,'🔖 배합비 참조'!$B$1:$CE$1,0))/100,0),""))),"")</f>
        <v>0</v>
      </c>
      <c r="AF69" s="39" t="n">
        <f aca="false">IFERROR(IF($C69="","",IF($D69="","",IFERROR(ROUND($D69*INDEX('🔖 배합비 참조'!$B$2:$CE$83,MATCH("당절임(완두배기)",'🔖 배합비 참조'!$A$2:$A$83,0),MATCH($C69,'🔖 배합비 참조'!$B$1:$CE$1,0))/100,0),""))),"")</f>
        <v>0</v>
      </c>
      <c r="AG69" s="39" t="n">
        <f aca="false">IFERROR(IF($C69="","",IF($D69="","",IFERROR(ROUND($D69*INDEX('🔖 배합비 참조'!$B$2:$CE$83,MATCH("대추농축액",'🔖 배합비 참조'!$A$2:$A$83,0),MATCH($C69,'🔖 배합비 참조'!$B$1:$CE$1,0))/100,0),""))),"")</f>
        <v>0</v>
      </c>
      <c r="AH69" s="39" t="n">
        <f aca="false">IFERROR(IF($C69="","",IF($D69="","",IFERROR(ROUND($D69*INDEX('🔖 배합비 참조'!$B$2:$CE$83,MATCH("대추채(국내산)",'🔖 배합비 참조'!$A$2:$A$83,0),MATCH($C69,'🔖 배합비 참조'!$B$1:$CE$1,0))/100,0),""))),"")</f>
        <v>0</v>
      </c>
      <c r="AI69" s="39" t="n">
        <f aca="false">IFERROR(IF($C69="","",IF($D69="","",IFERROR(ROUND($D69*INDEX('🔖 배합비 참조'!$B$2:$CE$83,MATCH("동부(미얀마산)",'🔖 배합비 참조'!$A$2:$A$83,0),MATCH($C69,'🔖 배합비 참조'!$B$1:$CE$1,0))/100,0),""))),"")</f>
        <v>0</v>
      </c>
      <c r="AJ69" s="39" t="n">
        <f aca="false">IFERROR(IF($C69="","",IF($D69="","",IFERROR(ROUND($D69*INDEX('🔖 배합비 참조'!$B$2:$CE$83,MATCH("두류가공품(백옥앙금)",'🔖 배합비 참조'!$A$2:$A$83,0),MATCH($C69,'🔖 배합비 참조'!$B$1:$CE$1,0))/100,0),""))),"")</f>
        <v>0</v>
      </c>
      <c r="AK69" s="39" t="n">
        <f aca="false">IFERROR(IF($C69="","",IF($D69="","",IFERROR(ROUND($D69*INDEX('🔖 배합비 참조'!$B$2:$CE$83,MATCH("두류가공품(콩고물)",'🔖 배합비 참조'!$A$2:$A$83,0),MATCH($C69,'🔖 배합비 참조'!$B$1:$CE$1,0))/100,0),""))),"")</f>
        <v>0</v>
      </c>
      <c r="AL69" s="39" t="n">
        <f aca="false">IFERROR(IF($C69="","",IF($D69="","",IFERROR(ROUND($D69*INDEX('🔖 배합비 참조'!$B$2:$CE$83,MATCH("두류가공품(통팥고물)",'🔖 배합비 참조'!$A$2:$A$83,0),MATCH($C69,'🔖 배합비 참조'!$B$1:$CE$1,0))/100,0),""))),"")</f>
        <v>0</v>
      </c>
      <c r="AM69" s="39" t="n">
        <f aca="false">IFERROR(IF($C69="","",IF($D69="","",IFERROR(ROUND($D69*INDEX('🔖 배합비 참조'!$B$2:$CE$83,MATCH("딸기레진",'🔖 배합비 참조'!$A$2:$A$83,0),MATCH($C69,'🔖 배합비 참조'!$B$1:$CE$1,0))/100,0),""))),"")</f>
        <v>0</v>
      </c>
      <c r="AN69" s="39" t="n">
        <f aca="false">IFERROR(IF($C69="","",IF($D69="","",IFERROR(ROUND($D69*INDEX('🔖 배합비 참조'!$B$2:$CE$83,MATCH("딸기분말(스트로우베리에이드(분말))",'🔖 배합비 참조'!$A$2:$A$83,0),MATCH($C69,'🔖 배합비 참조'!$B$1:$CE$1,0))/100,0),""))),"")</f>
        <v>0</v>
      </c>
      <c r="AO69" s="39" t="n">
        <f aca="false">IFERROR(IF($C69="","",IF($D69="","",IFERROR(ROUND($D69*INDEX('🔖 배합비 참조'!$B$2:$CE$83,MATCH("마스카포네치즈",'🔖 배합비 참조'!$A$2:$A$83,0),MATCH($C69,'🔖 배합비 참조'!$B$1:$CE$1,0))/100,0),""))),"")</f>
        <v>0</v>
      </c>
      <c r="AP69" s="39" t="n">
        <f aca="false">IFERROR(IF($C69="","",IF($D69="","",IFERROR(ROUND($D69*INDEX('🔖 배합비 참조'!$B$2:$CE$83,MATCH("마카다미아분태(호주산)",'🔖 배합비 참조'!$A$2:$A$83,0),MATCH($C69,'🔖 배합비 참조'!$B$1:$CE$1,0))/100,0),""))),"")</f>
        <v>0</v>
      </c>
      <c r="AQ69" s="39" t="n">
        <f aca="false">IFERROR(IF($C69="","",IF($D69="","",IFERROR(ROUND($D69*INDEX('🔖 배합비 참조'!$B$2:$CE$83,MATCH("멥쌀(국내산)",'🔖 배합비 참조'!$A$2:$A$83,0),MATCH($C69,'🔖 배합비 참조'!$B$1:$CE$1,0))/100,0),""))),"")</f>
        <v>104</v>
      </c>
      <c r="AR69" s="39" t="n">
        <f aca="false">IFERROR(IF($C69="","",IF($D69="","",IFERROR(ROUND($D69*INDEX('🔖 배합비 참조'!$B$2:$CE$83,MATCH("모시잎(국내산)",'🔖 배합비 참조'!$A$2:$A$83,0),MATCH($C69,'🔖 배합비 참조'!$B$1:$CE$1,0))/100,0),""))),"")</f>
        <v>0</v>
      </c>
      <c r="AS69" s="39" t="n">
        <f aca="false">IFERROR(IF($C69="","",IF($D69="","",IFERROR(ROUND($D69*INDEX('🔖 배합비 참조'!$B$2:$CE$83,MATCH("물엿(저당물엿)",'🔖 배합비 참조'!$A$2:$A$83,0),MATCH($C69,'🔖 배합비 참조'!$B$1:$CE$1,0))/100,0),""))),"")</f>
        <v>0</v>
      </c>
      <c r="AT69" s="39" t="n">
        <f aca="false">IFERROR(IF($C69="","",IF($D69="","",IFERROR(ROUND($D69*INDEX('🔖 배합비 참조'!$B$2:$CE$83,MATCH("밤다이스",'🔖 배합비 참조'!$A$2:$A$83,0),MATCH($C69,'🔖 배합비 참조'!$B$1:$CE$1,0))/100,0),""))),"")</f>
        <v>0</v>
      </c>
      <c r="AU69" s="39" t="n">
        <f aca="false">IFERROR(IF($C69="","",IF($D69="","",IFERROR(ROUND($D69*INDEX('🔖 배합비 참조'!$B$2:$CE$83,MATCH("변성전분(타피오카전분)",'🔖 배합비 참조'!$A$2:$A$83,0),MATCH($C69,'🔖 배합비 참조'!$B$1:$CE$1,0))/100,0),""))),"")</f>
        <v>0</v>
      </c>
      <c r="AV69" s="39" t="n">
        <f aca="false">IFERROR(IF($C69="","",IF($D69="","",IFERROR(ROUND($D69*INDEX('🔖 배합비 참조'!$B$2:$CE$83,MATCH("복음땅콩분태",'🔖 배합비 참조'!$A$2:$A$83,0),MATCH($C69,'🔖 배합비 참조'!$B$1:$CE$1,0))/100,0),""))),"")</f>
        <v>0</v>
      </c>
      <c r="AW69" s="39" t="n">
        <f aca="false">IFERROR(IF($C69="","",IF($D69="","",IFERROR(ROUND($D69*INDEX('🔖 배합비 참조'!$B$2:$CE$83,MATCH("사양벌꿀(국내산)",'🔖 배합비 참조'!$A$2:$A$83,0),MATCH($C69,'🔖 배합비 참조'!$B$1:$CE$1,0))/100,0),""))),"")</f>
        <v>0</v>
      </c>
      <c r="AX69" s="39" t="n">
        <f aca="false">IFERROR(IF($C69="","",IF($D69="","",IFERROR(ROUND($D69*INDEX('🔖 배합비 참조'!$B$2:$CE$83,MATCH("생크림",'🔖 배합비 참조'!$A$2:$A$83,0),MATCH($C69,'🔖 배합비 참조'!$B$1:$CE$1,0))/100,0),""))),"")</f>
        <v>0</v>
      </c>
      <c r="AY69" s="39" t="n">
        <f aca="false">IFERROR(IF($C69="","",IF($D69="","",IFERROR(ROUND($D69*INDEX('🔖 배합비 참조'!$B$2:$CE$83,MATCH("서양호박(국내산,뉴질랜드산)",'🔖 배합비 참조'!$A$2:$A$83,0),MATCH($C69,'🔖 배합비 참조'!$B$1:$CE$1,0))/100,0),""))),"")</f>
        <v>0</v>
      </c>
      <c r="AZ69" s="39" t="n">
        <f aca="false">IFERROR(IF($C69="","",IF($D69="","",IFERROR(ROUND($D69*INDEX('🔖 배합비 참조'!$B$2:$CE$83,MATCH("설탕",'🔖 배합비 참조'!$A$2:$A$83,0),MATCH($C69,'🔖 배합비 참조'!$B$1:$CE$1,0))/100,0),""))),"")</f>
        <v>17</v>
      </c>
      <c r="BA69" s="39" t="n">
        <f aca="false">IFERROR(IF($C69="","",IF($D69="","",IFERROR(ROUND($D69*INDEX('🔖 배합비 참조'!$B$2:$CE$83,MATCH("스트로우베리 에이드 후레쉬",'🔖 배합비 참조'!$A$2:$A$83,0),MATCH($C69,'🔖 배합비 참조'!$B$1:$CE$1,0))/100,0),""))),"")</f>
        <v>0</v>
      </c>
      <c r="BB69" s="39" t="n">
        <f aca="false">IFERROR(IF($C69="","",IF($D69="","",IFERROR(ROUND($D69*INDEX('🔖 배합비 참조'!$B$2:$CE$83,MATCH("식물성기름혼합제제(분홍)",'🔖 배합비 참조'!$A$2:$A$83,0),MATCH($C69,'🔖 배합비 참조'!$B$1:$CE$1,0))/100,0),""))),"")</f>
        <v>0</v>
      </c>
      <c r="BC69" s="39" t="n">
        <f aca="false">IFERROR(IF($C69="","",IF($D69="","",IFERROR(ROUND($D69*INDEX('🔖 배합비 참조'!$B$2:$CE$83,MATCH("식물성기름혼합제제(초록)",'🔖 배합비 참조'!$A$2:$A$83,0),MATCH($C69,'🔖 배합비 참조'!$B$1:$CE$1,0))/100,0),""))),"")</f>
        <v>0</v>
      </c>
      <c r="BD69" s="39" t="n">
        <f aca="false">IFERROR(IF($C69="","",IF($D69="","",IFERROR(ROUND($D69*INDEX('🔖 배합비 참조'!$B$2:$CE$83,MATCH("식물성기름혼합제제(황색)",'🔖 배합비 참조'!$A$2:$A$83,0),MATCH($C69,'🔖 배합비 참조'!$B$1:$CE$1,0))/100,0),""))),"")</f>
        <v>0</v>
      </c>
      <c r="BE69" s="39" t="n">
        <f aca="false">IFERROR(IF($C69="","",IF($D69="","",IFERROR(ROUND($D69*INDEX('🔖 배합비 참조'!$B$2:$CE$83,MATCH("쑥가루(국내산)",'🔖 배합비 참조'!$A$2:$A$83,0),MATCH($C69,'🔖 배합비 참조'!$B$1:$CE$1,0))/100,0),""))),"")</f>
        <v>0</v>
      </c>
      <c r="BF69" s="39" t="n">
        <f aca="false">IFERROR(IF($C69="","",IF($D69="","",IFERROR(ROUND($D69*INDEX('🔖 배합비 참조'!$B$2:$CE$83,MATCH("아몬드슬라이스",'🔖 배합비 참조'!$A$2:$A$83,0),MATCH($C69,'🔖 배합비 참조'!$B$1:$CE$1,0))/100,0),""))),"")</f>
        <v>0</v>
      </c>
      <c r="BG69" s="39" t="n">
        <f aca="false">IFERROR(IF($C69="","",IF($D69="","",IFERROR(ROUND($D69*INDEX('🔖 배합비 참조'!$B$2:$CE$83,MATCH("알룰로오스(국내산)",'🔖 배합비 참조'!$A$2:$A$83,0),MATCH($C69,'🔖 배합비 참조'!$B$1:$CE$1,0))/100,0),""))),"")</f>
        <v>0</v>
      </c>
      <c r="BH69" s="39" t="n">
        <f aca="false">IFERROR(IF($C69="","",IF($D69="","",IFERROR(ROUND($D69*INDEX('🔖 배합비 참조'!$B$2:$CE$83,MATCH("연유",'🔖 배합비 참조'!$A$2:$A$83,0),MATCH($C69,'🔖 배합비 참조'!$B$1:$CE$1,0))/100,0),""))),"")</f>
        <v>0</v>
      </c>
      <c r="BI69" s="39" t="n">
        <f aca="false">IFERROR(IF($C69="","",IF($D69="","",IFERROR(ROUND($D69*INDEX('🔖 배합비 참조'!$B$2:$CE$83,MATCH("옥수수전분",'🔖 배합비 참조'!$A$2:$A$83,0),MATCH($C69,'🔖 배합비 참조'!$B$1:$CE$1,0))/100,0),""))),"")</f>
        <v>0</v>
      </c>
      <c r="BJ69" s="39" t="n">
        <f aca="false">IFERROR(IF($C69="","",IF($D69="","",IFERROR(ROUND($D69*INDEX('🔖 배합비 참조'!$B$2:$CE$83,MATCH("완두배기",'🔖 배합비 참조'!$A$2:$A$83,0),MATCH($C69,'🔖 배합비 참조'!$B$1:$CE$1,0))/100,0),""))),"")</f>
        <v>0</v>
      </c>
      <c r="BK69" s="39" t="n">
        <f aca="false">IFERROR(IF($C69="","",IF($D69="","",IFERROR(ROUND($D69*INDEX('🔖 배합비 참조'!$B$2:$CE$83,MATCH("우유(국내산)",'🔖 배합비 참조'!$A$2:$A$83,0),MATCH($C69,'🔖 배합비 참조'!$B$1:$CE$1,0))/100,0),""))),"")</f>
        <v>14</v>
      </c>
      <c r="BL69" s="39" t="n">
        <f aca="false">IFERROR(IF($C69="","",IF($D69="","",IFERROR(ROUND($D69*INDEX('🔖 배합비 참조'!$B$2:$CE$83,MATCH("자색고구마가루(중국산)",'🔖 배합비 참조'!$A$2:$A$83,0),MATCH($C69,'🔖 배합비 참조'!$B$1:$CE$1,0))/100,0),""))),"")</f>
        <v>0</v>
      </c>
      <c r="BM69" s="39" t="n">
        <f aca="false">IFERROR(IF($C69="","",IF($D69="","",IFERROR(ROUND($D69*INDEX('🔖 배합비 참조'!$B$2:$CE$83,MATCH("자연치즈(체다치즈)",'🔖 배합비 참조'!$A$2:$A$83,0),MATCH($C69,'🔖 배합비 참조'!$B$1:$CE$1,0))/100,0),""))),"")</f>
        <v>0</v>
      </c>
      <c r="BN69" s="39" t="n">
        <f aca="false">IFERROR(IF($C69="","",IF($D69="","",IFERROR(ROUND($D69*INDEX('🔖 배합비 참조'!$B$2:$CE$83,MATCH("정제수",'🔖 배합비 참조'!$A$2:$A$83,0),MATCH($C69,'🔖 배합비 참조'!$B$1:$CE$1,0))/100,0),""))),"")</f>
        <v>14</v>
      </c>
      <c r="BO69" s="39" t="n">
        <f aca="false">IFERROR(IF($C69="","",IF($D69="","",IFERROR(ROUND($D69*INDEX('🔖 배합비 참조'!$B$2:$CE$83,MATCH("젤라틴",'🔖 배합비 참조'!$A$2:$A$83,0),MATCH($C69,'🔖 배합비 참조'!$B$1:$CE$1,0))/100,0),""))),"")</f>
        <v>0</v>
      </c>
      <c r="BP69" s="39" t="n">
        <f aca="false">IFERROR(IF($C69="","",IF($D69="","",IFERROR(ROUND($D69*INDEX('🔖 배합비 참조'!$B$2:$CE$83,MATCH("조림류(백옥앙금)",'🔖 배합비 참조'!$A$2:$A$83,0),MATCH($C69,'🔖 배합비 참조'!$B$1:$CE$1,0))/100,0),""))),"")</f>
        <v>0</v>
      </c>
      <c r="BQ69" s="39" t="n">
        <f aca="false">IFERROR(IF($C69="","",IF($D69="","",IFERROR(ROUND($D69*INDEX('🔖 배합비 참조'!$B$2:$CE$83,MATCH("조림류(통팥앙금)",'🔖 배합비 참조'!$A$2:$A$83,0),MATCH($C69,'🔖 배합비 참조'!$B$1:$CE$1,0))/100,0),""))),"")</f>
        <v>0</v>
      </c>
      <c r="BR69" s="39" t="n">
        <f aca="false">IFERROR(IF($C69="","",IF($D69="","",IFERROR(ROUND($D69*INDEX('🔖 배합비 참조'!$B$2:$CE$83,MATCH("준초콜릿(외국산)",'🔖 배합비 참조'!$A$2:$A$83,0),MATCH($C69,'🔖 배합비 참조'!$B$1:$CE$1,0))/100,0),""))),"")</f>
        <v>0</v>
      </c>
      <c r="BS69" s="39" t="n">
        <f aca="false">IFERROR(IF($C69="","",IF($D69="","",IFERROR(ROUND($D69*INDEX('🔖 배합비 참조'!$B$2:$CE$83,MATCH("중력분",'🔖 배합비 참조'!$A$2:$A$83,0),MATCH($C69,'🔖 배합비 참조'!$B$1:$CE$1,0))/100,0),""))),"")</f>
        <v>0</v>
      </c>
      <c r="BT69" s="39" t="n">
        <f aca="false">IFERROR(IF($C69="","",IF($D69="","",IFERROR(ROUND($D69*INDEX('🔖 배합비 참조'!$B$2:$CE$83,MATCH("참깨(인도산,나이지리아산,탄자니아산,미얀마산)",'🔖 배합비 참조'!$A$2:$A$83,0),MATCH($C69,'🔖 배합비 참조'!$B$1:$CE$1,0))/100,0),""))),"")</f>
        <v>0</v>
      </c>
      <c r="BU69" s="39" t="n">
        <f aca="false">IFERROR(IF($C69="","",IF($D69="","",IFERROR(ROUND($D69*INDEX('🔖 배합비 참조'!$B$2:$CE$83,MATCH("찹쌀(국내산)",'🔖 배합비 참조'!$A$2:$A$83,0),MATCH($C69,'🔖 배합비 참조'!$B$1:$CE$1,0))/100,0),""))),"")</f>
        <v>0</v>
      </c>
      <c r="BV69" s="39" t="n">
        <f aca="false">IFERROR(IF($C69="","",IF($D69="","",IFERROR(ROUND($D69*INDEX('🔖 배합비 참조'!$B$2:$CE$83,MATCH("천일염",'🔖 배합비 참조'!$A$2:$A$83,0),MATCH($C69,'🔖 배합비 참조'!$B$1:$CE$1,0))/100,0),""))),"")</f>
        <v>2</v>
      </c>
      <c r="BW69" s="39" t="n">
        <f aca="false">IFERROR(IF($C69="","",IF($D69="","",IFERROR(ROUND($D69*INDEX('🔖 배합비 참조'!$B$2:$CE$83,MATCH("치즈 [크림치즈]",'🔖 배합비 참조'!$A$2:$A$83,0),MATCH($C69,'🔖 배합비 참조'!$B$1:$CE$1,0))/100,0),""))),"")</f>
        <v>0</v>
      </c>
      <c r="BX69" s="39" t="n">
        <f aca="false">IFERROR(IF($C69="","",IF($D69="","",IFERROR(ROUND($D69*INDEX('🔖 배합비 참조'!$B$2:$CE$83,MATCH("코코아가공품류(코코아분말)",'🔖 배합비 참조'!$A$2:$A$83,0),MATCH($C69,'🔖 배합비 참조'!$B$1:$CE$1,0))/100,0),""))),"")</f>
        <v>0</v>
      </c>
      <c r="BY69" s="39" t="n">
        <f aca="false">IFERROR(IF($C69="","",IF($D69="","",IFERROR(ROUND($D69*INDEX('🔖 배합비 참조'!$B$2:$CE$83,MATCH("콩기름(대두유)",'🔖 배합비 참조'!$A$2:$A$83,0),MATCH($C69,'🔖 배합비 참조'!$B$1:$CE$1,0))/100,0),""))),"")</f>
        <v>0</v>
      </c>
      <c r="BZ69" s="39" t="n">
        <f aca="false">IFERROR(IF($C69="","",IF($D69="","",IFERROR(ROUND($D69*INDEX('🔖 배합비 참조'!$B$2:$CE$83,MATCH("해바라기씨앗",'🔖 배합비 참조'!$A$2:$A$83,0),MATCH($C69,'🔖 배합비 참조'!$B$1:$CE$1,0))/100,0),""))),"")</f>
        <v>0</v>
      </c>
      <c r="CA69" s="39" t="n">
        <f aca="false">IFERROR(IF($C69="","",IF($D69="","",IFERROR(ROUND($D69*INDEX('🔖 배합비 참조'!$B$2:$CE$83,MATCH("현미(국내산)",'🔖 배합비 참조'!$A$2:$A$83,0),MATCH($C69,'🔖 배합비 참조'!$B$1:$CE$1,0))/100,0),""))),"")</f>
        <v>0</v>
      </c>
      <c r="CB69" s="39" t="n">
        <f aca="false">IFERROR(IF($C69="","",IF($D69="","",IFERROR(ROUND($D69*INDEX('🔖 배합비 참조'!$B$2:$CE$83,MATCH("현미멥쌀(국내산)",'🔖 배합비 참조'!$A$2:$A$83,0),MATCH($C69,'🔖 배합비 참조'!$B$1:$CE$1,0))/100,0),""))),"")</f>
        <v>0</v>
      </c>
      <c r="CC69" s="39" t="n">
        <f aca="false">IFERROR(IF($C69="","",IF($D69="","",IFERROR(ROUND($D69*INDEX('🔖 배합비 참조'!$B$2:$CE$83,MATCH("호두분태(미국산)",'🔖 배합비 참조'!$A$2:$A$83,0),MATCH($C69,'🔖 배합비 참조'!$B$1:$CE$1,0))/100,0),""))),"")</f>
        <v>0</v>
      </c>
      <c r="CD69" s="39" t="n">
        <f aca="false">IFERROR(IF($C69="","",IF($D69="","",IFERROR(ROUND($D69*INDEX('🔖 배합비 참조'!$B$2:$CE$83,MATCH("호박씨앗(외국산)",'🔖 배합비 참조'!$A$2:$A$83,0),MATCH($C69,'🔖 배합비 참조'!$B$1:$CE$1,0))/100,0),""))),"")</f>
        <v>0</v>
      </c>
      <c r="CE69" s="39" t="n">
        <f aca="false">IFERROR(IF($C69="","",IF($D69="","",IFERROR(ROUND($D69*INDEX('🔖 배합비 참조'!$B$2:$CE$83,MATCH("혼합제제(떡용에스텔)",'🔖 배합비 참조'!$A$2:$A$83,0),MATCH($C69,'🔖 배합비 참조'!$B$1:$CE$1,0))/100,0),""))),"")</f>
        <v>0</v>
      </c>
      <c r="CF69" s="39" t="n">
        <f aca="false">IFERROR(IF($C69="","",IF($D69="","",IFERROR(ROUND($D69*INDEX('🔖 배합비 참조'!$B$2:$CE$83,MATCH("혼합제제(스테비아)",'🔖 배합비 참조'!$A$2:$A$83,0),MATCH($C69,'🔖 배합비 참조'!$B$1:$CE$1,0))/100,0),""))),"")</f>
        <v>0</v>
      </c>
      <c r="CG69" s="39" t="n">
        <f aca="false">IFERROR(IF($C69="","",IF($D69="","",IFERROR(ROUND($D69*INDEX('🔖 배합비 참조'!$B$2:$CE$83,MATCH("화이트초콜릿",'🔖 배합비 참조'!$A$2:$A$83,0),MATCH($C69,'🔖 배합비 참조'!$B$1:$CE$1,0))/100,0),""))),"")</f>
        <v>0</v>
      </c>
      <c r="CH69" s="39" t="n">
        <f aca="false">IFERROR(IF($C69="","",IF($D69="","",IFERROR(ROUND($D69*INDEX('🔖 배합비 참조'!$B$2:$CE$83,MATCH("흑미찹쌀(국내산)",'🔖 배합비 참조'!$A$2:$A$83,0),MATCH($C69,'🔖 배합비 참조'!$B$1:$CE$1,0))/100,0),""))),"")</f>
        <v>0</v>
      </c>
      <c r="CI69" s="39" t="n">
        <f aca="false">IFERROR(IF($C69="","",IF($D69="","",IFERROR(ROUND($D69*INDEX('🔖 배합비 참조'!$B$2:$CE$83,MATCH("찰옥수수전분(미국산)",'🔖 배합비 참조'!$A$2:$A$83,0),MATCH($C69,'🔖 배합비 참조'!$B$1:$CE$1,0))/100,0),""))),"")</f>
        <v>0</v>
      </c>
      <c r="CJ69" s="40"/>
      <c r="CL69" s="1" t="s">
        <v>238</v>
      </c>
    </row>
    <row r="70" customFormat="false" ht="18" hidden="false" customHeight="true" outlineLevel="0" collapsed="false">
      <c r="A70" s="41" t="n">
        <v>66</v>
      </c>
      <c r="B70" s="36" t="n">
        <v>45974</v>
      </c>
      <c r="C70" s="37" t="s">
        <v>143</v>
      </c>
      <c r="D70" s="38" t="n">
        <v>150</v>
      </c>
      <c r="E70" s="17"/>
      <c r="F70" s="17"/>
      <c r="G70" s="42" t="n">
        <f aca="false">IFERROR(IF($C70="","",IF($D70="","",IFERROR(ROUND($D70*INDEX('🔖 배합비 참조'!$B$2:$CE$83,MATCH("간장",'🔖 배합비 참조'!$A$2:$A$83,0),MATCH($C70,'🔖 배합비 참조'!$B$1:$CE$1,0))/100,0),""))),"")</f>
        <v>0</v>
      </c>
      <c r="H70" s="42" t="n">
        <f aca="false">IFERROR(IF($C70="","",IF($D70="","",IFERROR(ROUND($D70*INDEX('🔖 배합비 참조'!$B$2:$CE$83,MATCH("강낭콩((울타리콩))",'🔖 배합비 참조'!$A$2:$A$83,0),MATCH($C70,'🔖 배합비 참조'!$B$1:$CE$1,0))/100,0),""))),"")</f>
        <v>0</v>
      </c>
      <c r="I70" s="42" t="n">
        <f aca="false">IFERROR(IF($C70="","",IF($D70="","",IFERROR(ROUND($D70*INDEX('🔖 배합비 참조'!$B$2:$CE$83,MATCH("건조딸기다이스(외국산)",'🔖 배합비 참조'!$A$2:$A$83,0),MATCH($C70,'🔖 배합비 참조'!$B$1:$CE$1,0))/100,0),""))),"")</f>
        <v>0</v>
      </c>
      <c r="J70" s="42" t="n">
        <f aca="false">IFERROR(IF($C70="","",IF($D70="","",IFERROR(ROUND($D70*INDEX('🔖 배합비 참조'!$B$2:$CE$83,MATCH("건포도",'🔖 배합비 참조'!$A$2:$A$83,0),MATCH($C70,'🔖 배합비 참조'!$B$1:$CE$1,0))/100,0),""))),"")</f>
        <v>0</v>
      </c>
      <c r="K70" s="42" t="n">
        <f aca="false">IFERROR(IF($C70="","",IF($D70="","",IFERROR(ROUND($D70*INDEX('🔖 배합비 참조'!$B$2:$CE$83,MATCH("건호박채(중국산)",'🔖 배합비 참조'!$A$2:$A$83,0),MATCH($C70,'🔖 배합비 참조'!$B$1:$CE$1,0))/100,0),""))),"")</f>
        <v>0</v>
      </c>
      <c r="L70" s="42" t="n">
        <f aca="false">IFERROR(IF($C70="","",IF($D70="","",IFERROR(ROUND($D70*INDEX('🔖 배합비 참조'!$B$2:$CE$83,MATCH("검정깨(흑임자)",'🔖 배합비 참조'!$A$2:$A$83,0),MATCH($C70,'🔖 배합비 참조'!$B$1:$CE$1,0))/100,0),""))),"")</f>
        <v>0</v>
      </c>
      <c r="M70" s="42" t="n">
        <f aca="false">IFERROR(IF($C70="","",IF($D70="","",IFERROR(ROUND($D70*INDEX('🔖 배합비 참조'!$B$2:$CE$83,MATCH("검정콩",'🔖 배합비 참조'!$A$2:$A$83,0),MATCH($C70,'🔖 배합비 참조'!$B$1:$CE$1,0))/100,0),""))),"")</f>
        <v>0</v>
      </c>
      <c r="N70" s="42" t="n">
        <f aca="false">IFERROR(IF($C70="","",IF($D70="","",IFERROR(ROUND($D70*INDEX('🔖 배합비 참조'!$B$2:$CE$83,MATCH("계피가루",'🔖 배합비 참조'!$A$2:$A$83,0),MATCH($C70,'🔖 배합비 참조'!$B$1:$CE$1,0))/100,0),""))),"")</f>
        <v>0</v>
      </c>
      <c r="O70" s="42" t="n">
        <f aca="false">IFERROR(IF($C70="","",IF($D70="","",IFERROR(ROUND($D70*INDEX('🔖 배합비 참조'!$B$2:$CE$83,MATCH("고구마가루",'🔖 배합비 참조'!$A$2:$A$83,0),MATCH($C70,'🔖 배합비 참조'!$B$1:$CE$1,0))/100,0),""))),"")</f>
        <v>0</v>
      </c>
      <c r="P70" s="42" t="n">
        <f aca="false">IFERROR(IF($C70="","",IF($D70="","",IFERROR(ROUND($D70*INDEX('🔖 배합비 참조'!$B$2:$CE$83,MATCH("고구마무스",'🔖 배합비 참조'!$A$2:$A$83,0),MATCH($C70,'🔖 배합비 참조'!$B$1:$CE$1,0))/100,0),""))),"")</f>
        <v>0</v>
      </c>
      <c r="Q70" s="42" t="n">
        <f aca="false">IFERROR(IF($C70="","",IF($D70="","",IFERROR(ROUND($D70*INDEX('🔖 배합비 참조'!$B$2:$CE$83,MATCH("고려엉겅퀴((곤드레)국내산)",'🔖 배합비 참조'!$A$2:$A$83,0),MATCH($C70,'🔖 배합비 참조'!$B$1:$CE$1,0))/100,0),""))),"")</f>
        <v>0</v>
      </c>
      <c r="R70" s="42" t="n">
        <f aca="false">IFERROR(IF($C70="","",IF($D70="","",IFERROR(ROUND($D70*INDEX('🔖 배합비 참조'!$B$2:$CE$83,MATCH("기타가공품(복분자가루)",'🔖 배합비 참조'!$A$2:$A$83,0),MATCH($C70,'🔖 배합비 참조'!$B$1:$CE$1,0))/100,0),""))),"")</f>
        <v>0</v>
      </c>
      <c r="S70" s="42" t="n">
        <f aca="false">IFERROR(IF($C70="","",IF($D70="","",IFERROR(ROUND($D70*INDEX('🔖 배합비 참조'!$B$2:$CE$83,MATCH("기타가공품(슈퍼소프트엠)",'🔖 배합비 참조'!$A$2:$A$83,0),MATCH($C70,'🔖 배합비 참조'!$B$1:$CE$1,0))/100,0),""))),"")</f>
        <v>0</v>
      </c>
      <c r="T70" s="42" t="n">
        <f aca="false">IFERROR(IF($C70="","",IF($D70="","",IFERROR(ROUND($D70*INDEX('🔖 배합비 참조'!$B$2:$CE$83,MATCH("기타가공품(파인소프트 E-티)",'🔖 배합비 참조'!$A$2:$A$83,0),MATCH($C70,'🔖 배합비 참조'!$B$1:$CE$1,0))/100,0),""))),"")</f>
        <v>0</v>
      </c>
      <c r="U70" s="42" t="n">
        <f aca="false">IFERROR(IF($C70="","",IF($D70="","",IFERROR(ROUND($D70*INDEX('🔖 배합비 참조'!$B$2:$CE$83,MATCH("기타가공품(프리미엄카스테라가루)",'🔖 배합비 참조'!$A$2:$A$83,0),MATCH($C70,'🔖 배합비 참조'!$B$1:$CE$1,0))/100,0),""))),"")</f>
        <v>0</v>
      </c>
      <c r="V70" s="42" t="n">
        <f aca="false">IFERROR(IF($C70="","",IF($D70="","",IFERROR(ROUND($D70*INDEX('🔖 배합비 참조'!$B$2:$CE$83,MATCH("기타가공품(흑임자가루)",'🔖 배합비 참조'!$A$2:$A$83,0),MATCH($C70,'🔖 배합비 참조'!$B$1:$CE$1,0))/100,0),""))),"")</f>
        <v>0</v>
      </c>
      <c r="W70" s="42" t="n">
        <f aca="false">IFERROR(IF($C70="","",IF($D70="","",IFERROR(ROUND($D70*INDEX('🔖 배합비 참조'!$B$2:$CE$83,MATCH("기타설탕(흑설탕)",'🔖 배합비 참조'!$A$2:$A$83,0),MATCH($C70,'🔖 배합비 참조'!$B$1:$CE$1,0))/100,0),""))),"")</f>
        <v>13</v>
      </c>
      <c r="X70" s="42" t="n">
        <f aca="false">IFERROR(IF($C70="","",IF($D70="","",IFERROR(ROUND($D70*INDEX('🔖 배합비 참조'!$B$2:$CE$83,MATCH("냉동쑥(국내산)",'🔖 배합비 참조'!$A$2:$A$83,0),MATCH($C70,'🔖 배합비 참조'!$B$1:$CE$1,0))/100,0),""))),"")</f>
        <v>0</v>
      </c>
      <c r="Y70" s="42" t="n">
        <f aca="false">IFERROR(IF($C70="","",IF($D70="","",IFERROR(ROUND($D70*INDEX('🔖 배합비 참조'!$B$2:$CE$83,MATCH("냉동증숙고구마(중국산)",'🔖 배합비 참조'!$A$2:$A$83,0),MATCH($C70,'🔖 배합비 참조'!$B$1:$CE$1,0))/100,0),""))),"")</f>
        <v>0</v>
      </c>
      <c r="Z70" s="42" t="n">
        <f aca="false">IFERROR(IF($C70="","",IF($D70="","",IFERROR(ROUND($D70*INDEX('🔖 배합비 참조'!$B$2:$CE$83,MATCH("녹차가루",'🔖 배합비 참조'!$A$2:$A$83,0),MATCH($C70,'🔖 배합비 참조'!$B$1:$CE$1,0))/100,0),""))),"")</f>
        <v>0</v>
      </c>
      <c r="AA70" s="42" t="n">
        <f aca="false">IFERROR(IF($C70="","",IF($D70="","",IFERROR(ROUND($D70*INDEX('🔖 배합비 참조'!$B$2:$CE$83,MATCH("다크초콜릿 컴파운드칩",'🔖 배합비 참조'!$A$2:$A$83,0),MATCH($C70,'🔖 배합비 참조'!$B$1:$CE$1,0))/100,0),""))),"")</f>
        <v>0</v>
      </c>
      <c r="AB70" s="42" t="n">
        <f aca="false">IFERROR(IF($C70="","",IF($D70="","",IFERROR(ROUND($D70*INDEX('🔖 배합비 참조'!$B$2:$CE$83,MATCH("단호박분말(중국산)",'🔖 배합비 참조'!$A$2:$A$83,0),MATCH($C70,'🔖 배합비 참조'!$B$1:$CE$1,0))/100,0),""))),"")</f>
        <v>0</v>
      </c>
      <c r="AC70" s="42" t="n">
        <f aca="false">IFERROR(IF($C70="","",IF($D70="","",IFERROR(ROUND($D70*INDEX('🔖 배합비 참조'!$B$2:$CE$83,MATCH("당류가공품(단호박농축액)",'🔖 배합비 참조'!$A$2:$A$83,0),MATCH($C70,'🔖 배합비 참조'!$B$1:$CE$1,0))/100,0),""))),"")</f>
        <v>0</v>
      </c>
      <c r="AD70" s="42" t="n">
        <f aca="false">IFERROR(IF($C70="","",IF($D70="","",IFERROR(ROUND($D70*INDEX('🔖 배합비 참조'!$B$2:$CE$83,MATCH("당류가공품(알룰로스,에리스리톨,스테비올배당체혼합)",'🔖 배합비 참조'!$A$2:$A$83,0),MATCH($C70,'🔖 배합비 참조'!$B$1:$CE$1,0))/100,0),""))),"")</f>
        <v>0</v>
      </c>
      <c r="AE70" s="42" t="n">
        <f aca="false">IFERROR(IF($C70="","",IF($D70="","",IFERROR(ROUND($D70*INDEX('🔖 배합비 참조'!$B$2:$CE$83,MATCH("당류가공품(알룰로스제로파우더)",'🔖 배합비 참조'!$A$2:$A$83,0),MATCH($C70,'🔖 배합비 참조'!$B$1:$CE$1,0))/100,0),""))),"")</f>
        <v>0</v>
      </c>
      <c r="AF70" s="42" t="n">
        <f aca="false">IFERROR(IF($C70="","",IF($D70="","",IFERROR(ROUND($D70*INDEX('🔖 배합비 참조'!$B$2:$CE$83,MATCH("당절임(완두배기)",'🔖 배합비 참조'!$A$2:$A$83,0),MATCH($C70,'🔖 배합비 참조'!$B$1:$CE$1,0))/100,0),""))),"")</f>
        <v>0</v>
      </c>
      <c r="AG70" s="42" t="n">
        <f aca="false">IFERROR(IF($C70="","",IF($D70="","",IFERROR(ROUND($D70*INDEX('🔖 배합비 참조'!$B$2:$CE$83,MATCH("대추농축액",'🔖 배합비 참조'!$A$2:$A$83,0),MATCH($C70,'🔖 배합비 참조'!$B$1:$CE$1,0))/100,0),""))),"")</f>
        <v>0</v>
      </c>
      <c r="AH70" s="42" t="n">
        <f aca="false">IFERROR(IF($C70="","",IF($D70="","",IFERROR(ROUND($D70*INDEX('🔖 배합비 참조'!$B$2:$CE$83,MATCH("대추채(국내산)",'🔖 배합비 참조'!$A$2:$A$83,0),MATCH($C70,'🔖 배합비 참조'!$B$1:$CE$1,0))/100,0),""))),"")</f>
        <v>0</v>
      </c>
      <c r="AI70" s="42" t="n">
        <f aca="false">IFERROR(IF($C70="","",IF($D70="","",IFERROR(ROUND($D70*INDEX('🔖 배합비 참조'!$B$2:$CE$83,MATCH("동부(미얀마산)",'🔖 배합비 참조'!$A$2:$A$83,0),MATCH($C70,'🔖 배합비 참조'!$B$1:$CE$1,0))/100,0),""))),"")</f>
        <v>0</v>
      </c>
      <c r="AJ70" s="42" t="n">
        <f aca="false">IFERROR(IF($C70="","",IF($D70="","",IFERROR(ROUND($D70*INDEX('🔖 배합비 참조'!$B$2:$CE$83,MATCH("두류가공품(백옥앙금)",'🔖 배합비 참조'!$A$2:$A$83,0),MATCH($C70,'🔖 배합비 참조'!$B$1:$CE$1,0))/100,0),""))),"")</f>
        <v>0</v>
      </c>
      <c r="AK70" s="42" t="n">
        <f aca="false">IFERROR(IF($C70="","",IF($D70="","",IFERROR(ROUND($D70*INDEX('🔖 배합비 참조'!$B$2:$CE$83,MATCH("두류가공품(콩고물)",'🔖 배합비 참조'!$A$2:$A$83,0),MATCH($C70,'🔖 배합비 참조'!$B$1:$CE$1,0))/100,0),""))),"")</f>
        <v>0</v>
      </c>
      <c r="AL70" s="42" t="n">
        <f aca="false">IFERROR(IF($C70="","",IF($D70="","",IFERROR(ROUND($D70*INDEX('🔖 배합비 참조'!$B$2:$CE$83,MATCH("두류가공품(통팥고물)",'🔖 배합비 참조'!$A$2:$A$83,0),MATCH($C70,'🔖 배합비 참조'!$B$1:$CE$1,0))/100,0),""))),"")</f>
        <v>0</v>
      </c>
      <c r="AM70" s="42" t="n">
        <f aca="false">IFERROR(IF($C70="","",IF($D70="","",IFERROR(ROUND($D70*INDEX('🔖 배합비 참조'!$B$2:$CE$83,MATCH("딸기레진",'🔖 배합비 참조'!$A$2:$A$83,0),MATCH($C70,'🔖 배합비 참조'!$B$1:$CE$1,0))/100,0),""))),"")</f>
        <v>0</v>
      </c>
      <c r="AN70" s="42" t="n">
        <f aca="false">IFERROR(IF($C70="","",IF($D70="","",IFERROR(ROUND($D70*INDEX('🔖 배합비 참조'!$B$2:$CE$83,MATCH("딸기분말(스트로우베리에이드(분말))",'🔖 배합비 참조'!$A$2:$A$83,0),MATCH($C70,'🔖 배합비 참조'!$B$1:$CE$1,0))/100,0),""))),"")</f>
        <v>0</v>
      </c>
      <c r="AO70" s="42" t="n">
        <f aca="false">IFERROR(IF($C70="","",IF($D70="","",IFERROR(ROUND($D70*INDEX('🔖 배합비 참조'!$B$2:$CE$83,MATCH("마스카포네치즈",'🔖 배합비 참조'!$A$2:$A$83,0),MATCH($C70,'🔖 배합비 참조'!$B$1:$CE$1,0))/100,0),""))),"")</f>
        <v>0</v>
      </c>
      <c r="AP70" s="42" t="n">
        <f aca="false">IFERROR(IF($C70="","",IF($D70="","",IFERROR(ROUND($D70*INDEX('🔖 배합비 참조'!$B$2:$CE$83,MATCH("마카다미아분태(호주산)",'🔖 배합비 참조'!$A$2:$A$83,0),MATCH($C70,'🔖 배합비 참조'!$B$1:$CE$1,0))/100,0),""))),"")</f>
        <v>0</v>
      </c>
      <c r="AQ70" s="42" t="n">
        <f aca="false">IFERROR(IF($C70="","",IF($D70="","",IFERROR(ROUND($D70*INDEX('🔖 배합비 참조'!$B$2:$CE$83,MATCH("멥쌀(국내산)",'🔖 배합비 참조'!$A$2:$A$83,0),MATCH($C70,'🔖 배합비 참조'!$B$1:$CE$1,0))/100,0),""))),"")</f>
        <v>101</v>
      </c>
      <c r="AR70" s="42" t="n">
        <f aca="false">IFERROR(IF($C70="","",IF($D70="","",IFERROR(ROUND($D70*INDEX('🔖 배합비 참조'!$B$2:$CE$83,MATCH("모시잎(국내산)",'🔖 배합비 참조'!$A$2:$A$83,0),MATCH($C70,'🔖 배합비 참조'!$B$1:$CE$1,0))/100,0),""))),"")</f>
        <v>0</v>
      </c>
      <c r="AS70" s="42" t="n">
        <f aca="false">IFERROR(IF($C70="","",IF($D70="","",IFERROR(ROUND($D70*INDEX('🔖 배합비 참조'!$B$2:$CE$83,MATCH("물엿(저당물엿)",'🔖 배합비 참조'!$A$2:$A$83,0),MATCH($C70,'🔖 배합비 참조'!$B$1:$CE$1,0))/100,0),""))),"")</f>
        <v>0</v>
      </c>
      <c r="AT70" s="42" t="n">
        <f aca="false">IFERROR(IF($C70="","",IF($D70="","",IFERROR(ROUND($D70*INDEX('🔖 배합비 참조'!$B$2:$CE$83,MATCH("밤다이스",'🔖 배합비 참조'!$A$2:$A$83,0),MATCH($C70,'🔖 배합비 참조'!$B$1:$CE$1,0))/100,0),""))),"")</f>
        <v>0</v>
      </c>
      <c r="AU70" s="42" t="n">
        <f aca="false">IFERROR(IF($C70="","",IF($D70="","",IFERROR(ROUND($D70*INDEX('🔖 배합비 참조'!$B$2:$CE$83,MATCH("변성전분(타피오카전분)",'🔖 배합비 참조'!$A$2:$A$83,0),MATCH($C70,'🔖 배합비 참조'!$B$1:$CE$1,0))/100,0),""))),"")</f>
        <v>0</v>
      </c>
      <c r="AV70" s="42" t="n">
        <f aca="false">IFERROR(IF($C70="","",IF($D70="","",IFERROR(ROUND($D70*INDEX('🔖 배합비 참조'!$B$2:$CE$83,MATCH("복음땅콩분태",'🔖 배합비 참조'!$A$2:$A$83,0),MATCH($C70,'🔖 배합비 참조'!$B$1:$CE$1,0))/100,0),""))),"")</f>
        <v>0</v>
      </c>
      <c r="AW70" s="42" t="n">
        <f aca="false">IFERROR(IF($C70="","",IF($D70="","",IFERROR(ROUND($D70*INDEX('🔖 배합비 참조'!$B$2:$CE$83,MATCH("사양벌꿀(국내산)",'🔖 배합비 참조'!$A$2:$A$83,0),MATCH($C70,'🔖 배합비 참조'!$B$1:$CE$1,0))/100,0),""))),"")</f>
        <v>3</v>
      </c>
      <c r="AX70" s="42" t="n">
        <f aca="false">IFERROR(IF($C70="","",IF($D70="","",IFERROR(ROUND($D70*INDEX('🔖 배합비 참조'!$B$2:$CE$83,MATCH("생크림",'🔖 배합비 참조'!$A$2:$A$83,0),MATCH($C70,'🔖 배합비 참조'!$B$1:$CE$1,0))/100,0),""))),"")</f>
        <v>0</v>
      </c>
      <c r="AY70" s="42" t="n">
        <f aca="false">IFERROR(IF($C70="","",IF($D70="","",IFERROR(ROUND($D70*INDEX('🔖 배합비 참조'!$B$2:$CE$83,MATCH("서양호박(국내산,뉴질랜드산)",'🔖 배합비 참조'!$A$2:$A$83,0),MATCH($C70,'🔖 배합비 참조'!$B$1:$CE$1,0))/100,0),""))),"")</f>
        <v>0</v>
      </c>
      <c r="AZ70" s="42" t="n">
        <f aca="false">IFERROR(IF($C70="","",IF($D70="","",IFERROR(ROUND($D70*INDEX('🔖 배합비 참조'!$B$2:$CE$83,MATCH("설탕",'🔖 배합비 참조'!$A$2:$A$83,0),MATCH($C70,'🔖 배합비 참조'!$B$1:$CE$1,0))/100,0),""))),"")</f>
        <v>13</v>
      </c>
      <c r="BA70" s="42" t="n">
        <f aca="false">IFERROR(IF($C70="","",IF($D70="","",IFERROR(ROUND($D70*INDEX('🔖 배합비 참조'!$B$2:$CE$83,MATCH("스트로우베리 에이드 후레쉬",'🔖 배합비 참조'!$A$2:$A$83,0),MATCH($C70,'🔖 배합비 참조'!$B$1:$CE$1,0))/100,0),""))),"")</f>
        <v>0</v>
      </c>
      <c r="BB70" s="42" t="n">
        <f aca="false">IFERROR(IF($C70="","",IF($D70="","",IFERROR(ROUND($D70*INDEX('🔖 배합비 참조'!$B$2:$CE$83,MATCH("식물성기름혼합제제(분홍)",'🔖 배합비 참조'!$A$2:$A$83,0),MATCH($C70,'🔖 배합비 참조'!$B$1:$CE$1,0))/100,0),""))),"")</f>
        <v>0</v>
      </c>
      <c r="BC70" s="42" t="n">
        <f aca="false">IFERROR(IF($C70="","",IF($D70="","",IFERROR(ROUND($D70*INDEX('🔖 배합비 참조'!$B$2:$CE$83,MATCH("식물성기름혼합제제(초록)",'🔖 배합비 참조'!$A$2:$A$83,0),MATCH($C70,'🔖 배합비 참조'!$B$1:$CE$1,0))/100,0),""))),"")</f>
        <v>0</v>
      </c>
      <c r="BD70" s="42" t="n">
        <f aca="false">IFERROR(IF($C70="","",IF($D70="","",IFERROR(ROUND($D70*INDEX('🔖 배합비 참조'!$B$2:$CE$83,MATCH("식물성기름혼합제제(황색)",'🔖 배합비 참조'!$A$2:$A$83,0),MATCH($C70,'🔖 배합비 참조'!$B$1:$CE$1,0))/100,0),""))),"")</f>
        <v>0</v>
      </c>
      <c r="BE70" s="42" t="n">
        <f aca="false">IFERROR(IF($C70="","",IF($D70="","",IFERROR(ROUND($D70*INDEX('🔖 배합비 참조'!$B$2:$CE$83,MATCH("쑥가루(국내산)",'🔖 배합비 참조'!$A$2:$A$83,0),MATCH($C70,'🔖 배합비 참조'!$B$1:$CE$1,0))/100,0),""))),"")</f>
        <v>0</v>
      </c>
      <c r="BF70" s="42" t="n">
        <f aca="false">IFERROR(IF($C70="","",IF($D70="","",IFERROR(ROUND($D70*INDEX('🔖 배합비 참조'!$B$2:$CE$83,MATCH("아몬드슬라이스",'🔖 배합비 참조'!$A$2:$A$83,0),MATCH($C70,'🔖 배합비 참조'!$B$1:$CE$1,0))/100,0),""))),"")</f>
        <v>0</v>
      </c>
      <c r="BG70" s="42" t="n">
        <f aca="false">IFERROR(IF($C70="","",IF($D70="","",IFERROR(ROUND($D70*INDEX('🔖 배합비 참조'!$B$2:$CE$83,MATCH("알룰로오스(국내산)",'🔖 배합비 참조'!$A$2:$A$83,0),MATCH($C70,'🔖 배합비 참조'!$B$1:$CE$1,0))/100,0),""))),"")</f>
        <v>0</v>
      </c>
      <c r="BH70" s="42" t="n">
        <f aca="false">IFERROR(IF($C70="","",IF($D70="","",IFERROR(ROUND($D70*INDEX('🔖 배합비 참조'!$B$2:$CE$83,MATCH("연유",'🔖 배합비 참조'!$A$2:$A$83,0),MATCH($C70,'🔖 배합비 참조'!$B$1:$CE$1,0))/100,0),""))),"")</f>
        <v>0</v>
      </c>
      <c r="BI70" s="42" t="n">
        <f aca="false">IFERROR(IF($C70="","",IF($D70="","",IFERROR(ROUND($D70*INDEX('🔖 배합비 참조'!$B$2:$CE$83,MATCH("옥수수전분",'🔖 배합비 참조'!$A$2:$A$83,0),MATCH($C70,'🔖 배합비 참조'!$B$1:$CE$1,0))/100,0),""))),"")</f>
        <v>0</v>
      </c>
      <c r="BJ70" s="42" t="n">
        <f aca="false">IFERROR(IF($C70="","",IF($D70="","",IFERROR(ROUND($D70*INDEX('🔖 배합비 참조'!$B$2:$CE$83,MATCH("완두배기",'🔖 배합비 참조'!$A$2:$A$83,0),MATCH($C70,'🔖 배합비 참조'!$B$1:$CE$1,0))/100,0),""))),"")</f>
        <v>0</v>
      </c>
      <c r="BK70" s="42" t="n">
        <f aca="false">IFERROR(IF($C70="","",IF($D70="","",IFERROR(ROUND($D70*INDEX('🔖 배합비 참조'!$B$2:$CE$83,MATCH("우유(국내산)",'🔖 배합비 참조'!$A$2:$A$83,0),MATCH($C70,'🔖 배합비 참조'!$B$1:$CE$1,0))/100,0),""))),"")</f>
        <v>0</v>
      </c>
      <c r="BL70" s="42" t="n">
        <f aca="false">IFERROR(IF($C70="","",IF($D70="","",IFERROR(ROUND($D70*INDEX('🔖 배합비 참조'!$B$2:$CE$83,MATCH("자색고구마가루(중국산)",'🔖 배합비 참조'!$A$2:$A$83,0),MATCH($C70,'🔖 배합비 참조'!$B$1:$CE$1,0))/100,0),""))),"")</f>
        <v>0</v>
      </c>
      <c r="BM70" s="42" t="n">
        <f aca="false">IFERROR(IF($C70="","",IF($D70="","",IFERROR(ROUND($D70*INDEX('🔖 배합비 참조'!$B$2:$CE$83,MATCH("자연치즈(체다치즈)",'🔖 배합비 참조'!$A$2:$A$83,0),MATCH($C70,'🔖 배합비 참조'!$B$1:$CE$1,0))/100,0),""))),"")</f>
        <v>0</v>
      </c>
      <c r="BN70" s="42" t="n">
        <f aca="false">IFERROR(IF($C70="","",IF($D70="","",IFERROR(ROUND($D70*INDEX('🔖 배합비 참조'!$B$2:$CE$83,MATCH("정제수",'🔖 배합비 참조'!$A$2:$A$83,0),MATCH($C70,'🔖 배합비 참조'!$B$1:$CE$1,0))/100,0),""))),"")</f>
        <v>19</v>
      </c>
      <c r="BO70" s="42" t="n">
        <f aca="false">IFERROR(IF($C70="","",IF($D70="","",IFERROR(ROUND($D70*INDEX('🔖 배합비 참조'!$B$2:$CE$83,MATCH("젤라틴",'🔖 배합비 참조'!$A$2:$A$83,0),MATCH($C70,'🔖 배합비 참조'!$B$1:$CE$1,0))/100,0),""))),"")</f>
        <v>0</v>
      </c>
      <c r="BP70" s="42" t="n">
        <f aca="false">IFERROR(IF($C70="","",IF($D70="","",IFERROR(ROUND($D70*INDEX('🔖 배합비 참조'!$B$2:$CE$83,MATCH("조림류(백옥앙금)",'🔖 배합비 참조'!$A$2:$A$83,0),MATCH($C70,'🔖 배합비 참조'!$B$1:$CE$1,0))/100,0),""))),"")</f>
        <v>0</v>
      </c>
      <c r="BQ70" s="42" t="n">
        <f aca="false">IFERROR(IF($C70="","",IF($D70="","",IFERROR(ROUND($D70*INDEX('🔖 배합비 참조'!$B$2:$CE$83,MATCH("조림류(통팥앙금)",'🔖 배합비 참조'!$A$2:$A$83,0),MATCH($C70,'🔖 배합비 참조'!$B$1:$CE$1,0))/100,0),""))),"")</f>
        <v>0</v>
      </c>
      <c r="BR70" s="42" t="n">
        <f aca="false">IFERROR(IF($C70="","",IF($D70="","",IFERROR(ROUND($D70*INDEX('🔖 배합비 참조'!$B$2:$CE$83,MATCH("준초콜릿(외국산)",'🔖 배합비 참조'!$A$2:$A$83,0),MATCH($C70,'🔖 배합비 참조'!$B$1:$CE$1,0))/100,0),""))),"")</f>
        <v>0</v>
      </c>
      <c r="BS70" s="42" t="n">
        <f aca="false">IFERROR(IF($C70="","",IF($D70="","",IFERROR(ROUND($D70*INDEX('🔖 배합비 참조'!$B$2:$CE$83,MATCH("중력분",'🔖 배합비 참조'!$A$2:$A$83,0),MATCH($C70,'🔖 배합비 참조'!$B$1:$CE$1,0))/100,0),""))),"")</f>
        <v>0</v>
      </c>
      <c r="BT70" s="42" t="n">
        <f aca="false">IFERROR(IF($C70="","",IF($D70="","",IFERROR(ROUND($D70*INDEX('🔖 배합비 참조'!$B$2:$CE$83,MATCH("참깨(인도산,나이지리아산,탄자니아산,미얀마산)",'🔖 배합비 참조'!$A$2:$A$83,0),MATCH($C70,'🔖 배합비 참조'!$B$1:$CE$1,0))/100,0),""))),"")</f>
        <v>0</v>
      </c>
      <c r="BU70" s="42" t="n">
        <f aca="false">IFERROR(IF($C70="","",IF($D70="","",IFERROR(ROUND($D70*INDEX('🔖 배합비 참조'!$B$2:$CE$83,MATCH("찹쌀(국내산)",'🔖 배합비 참조'!$A$2:$A$83,0),MATCH($C70,'🔖 배합비 참조'!$B$1:$CE$1,0))/100,0),""))),"")</f>
        <v>0</v>
      </c>
      <c r="BV70" s="42" t="n">
        <f aca="false">IFERROR(IF($C70="","",IF($D70="","",IFERROR(ROUND($D70*INDEX('🔖 배합비 참조'!$B$2:$CE$83,MATCH("천일염",'🔖 배합비 참조'!$A$2:$A$83,0),MATCH($C70,'🔖 배합비 참조'!$B$1:$CE$1,0))/100,0),""))),"")</f>
        <v>2</v>
      </c>
      <c r="BW70" s="42" t="n">
        <f aca="false">IFERROR(IF($C70="","",IF($D70="","",IFERROR(ROUND($D70*INDEX('🔖 배합비 참조'!$B$2:$CE$83,MATCH("치즈 [크림치즈]",'🔖 배합비 참조'!$A$2:$A$83,0),MATCH($C70,'🔖 배합비 참조'!$B$1:$CE$1,0))/100,0),""))),"")</f>
        <v>0</v>
      </c>
      <c r="BX70" s="42" t="n">
        <f aca="false">IFERROR(IF($C70="","",IF($D70="","",IFERROR(ROUND($D70*INDEX('🔖 배합비 참조'!$B$2:$CE$83,MATCH("코코아가공품류(코코아분말)",'🔖 배합비 참조'!$A$2:$A$83,0),MATCH($C70,'🔖 배합비 참조'!$B$1:$CE$1,0))/100,0),""))),"")</f>
        <v>0</v>
      </c>
      <c r="BY70" s="42" t="n">
        <f aca="false">IFERROR(IF($C70="","",IF($D70="","",IFERROR(ROUND($D70*INDEX('🔖 배합비 참조'!$B$2:$CE$83,MATCH("콩기름(대두유)",'🔖 배합비 참조'!$A$2:$A$83,0),MATCH($C70,'🔖 배합비 참조'!$B$1:$CE$1,0))/100,0),""))),"")</f>
        <v>0</v>
      </c>
      <c r="BZ70" s="42" t="n">
        <f aca="false">IFERROR(IF($C70="","",IF($D70="","",IFERROR(ROUND($D70*INDEX('🔖 배합비 참조'!$B$2:$CE$83,MATCH("해바라기씨앗",'🔖 배합비 참조'!$A$2:$A$83,0),MATCH($C70,'🔖 배합비 참조'!$B$1:$CE$1,0))/100,0),""))),"")</f>
        <v>0</v>
      </c>
      <c r="CA70" s="42" t="n">
        <f aca="false">IFERROR(IF($C70="","",IF($D70="","",IFERROR(ROUND($D70*INDEX('🔖 배합비 참조'!$B$2:$CE$83,MATCH("현미(국내산)",'🔖 배합비 참조'!$A$2:$A$83,0),MATCH($C70,'🔖 배합비 참조'!$B$1:$CE$1,0))/100,0),""))),"")</f>
        <v>0</v>
      </c>
      <c r="CB70" s="42" t="n">
        <f aca="false">IFERROR(IF($C70="","",IF($D70="","",IFERROR(ROUND($D70*INDEX('🔖 배합비 참조'!$B$2:$CE$83,MATCH("현미멥쌀(국내산)",'🔖 배합비 참조'!$A$2:$A$83,0),MATCH($C70,'🔖 배합비 참조'!$B$1:$CE$1,0))/100,0),""))),"")</f>
        <v>0</v>
      </c>
      <c r="CC70" s="42" t="n">
        <f aca="false">IFERROR(IF($C70="","",IF($D70="","",IFERROR(ROUND($D70*INDEX('🔖 배합비 참조'!$B$2:$CE$83,MATCH("호두분태(미국산)",'🔖 배합비 참조'!$A$2:$A$83,0),MATCH($C70,'🔖 배합비 참조'!$B$1:$CE$1,0))/100,0),""))),"")</f>
        <v>0</v>
      </c>
      <c r="CD70" s="42" t="n">
        <f aca="false">IFERROR(IF($C70="","",IF($D70="","",IFERROR(ROUND($D70*INDEX('🔖 배합비 참조'!$B$2:$CE$83,MATCH("호박씨앗(외국산)",'🔖 배합비 참조'!$A$2:$A$83,0),MATCH($C70,'🔖 배합비 참조'!$B$1:$CE$1,0))/100,0),""))),"")</f>
        <v>0</v>
      </c>
      <c r="CE70" s="42" t="n">
        <f aca="false">IFERROR(IF($C70="","",IF($D70="","",IFERROR(ROUND($D70*INDEX('🔖 배합비 참조'!$B$2:$CE$83,MATCH("혼합제제(떡용에스텔)",'🔖 배합비 참조'!$A$2:$A$83,0),MATCH($C70,'🔖 배합비 참조'!$B$1:$CE$1,0))/100,0),""))),"")</f>
        <v>0</v>
      </c>
      <c r="CF70" s="42" t="n">
        <f aca="false">IFERROR(IF($C70="","",IF($D70="","",IFERROR(ROUND($D70*INDEX('🔖 배합비 참조'!$B$2:$CE$83,MATCH("혼합제제(스테비아)",'🔖 배합비 참조'!$A$2:$A$83,0),MATCH($C70,'🔖 배합비 참조'!$B$1:$CE$1,0))/100,0),""))),"")</f>
        <v>0</v>
      </c>
      <c r="CG70" s="42" t="n">
        <f aca="false">IFERROR(IF($C70="","",IF($D70="","",IFERROR(ROUND($D70*INDEX('🔖 배합비 참조'!$B$2:$CE$83,MATCH("화이트초콜릿",'🔖 배합비 참조'!$A$2:$A$83,0),MATCH($C70,'🔖 배합비 참조'!$B$1:$CE$1,0))/100,0),""))),"")</f>
        <v>0</v>
      </c>
      <c r="CH70" s="42" t="n">
        <f aca="false">IFERROR(IF($C70="","",IF($D70="","",IFERROR(ROUND($D70*INDEX('🔖 배합비 참조'!$B$2:$CE$83,MATCH("흑미찹쌀(국내산)",'🔖 배합비 참조'!$A$2:$A$83,0),MATCH($C70,'🔖 배합비 참조'!$B$1:$CE$1,0))/100,0),""))),"")</f>
        <v>0</v>
      </c>
      <c r="CI70" s="42" t="n">
        <f aca="false">IFERROR(IF($C70="","",IF($D70="","",IFERROR(ROUND($D70*INDEX('🔖 배합비 참조'!$B$2:$CE$83,MATCH("찰옥수수전분(미국산)",'🔖 배합비 참조'!$A$2:$A$83,0),MATCH($C70,'🔖 배합비 참조'!$B$1:$CE$1,0))/100,0),""))),"")</f>
        <v>0</v>
      </c>
      <c r="CJ70" s="40"/>
      <c r="CL70" s="1" t="s">
        <v>238</v>
      </c>
    </row>
    <row r="71" customFormat="false" ht="18" hidden="false" customHeight="true" outlineLevel="0" collapsed="false">
      <c r="A71" s="35" t="n">
        <v>67</v>
      </c>
      <c r="B71" s="36" t="n">
        <v>45974</v>
      </c>
      <c r="C71" s="37" t="s">
        <v>144</v>
      </c>
      <c r="D71" s="38" t="n">
        <v>140</v>
      </c>
      <c r="E71" s="13"/>
      <c r="F71" s="13"/>
      <c r="G71" s="39" t="n">
        <f aca="false">IFERROR(IF($C71="","",IF($D71="","",IFERROR(ROUND($D71*INDEX('🔖 배합비 참조'!$B$2:$CE$83,MATCH("간장",'🔖 배합비 참조'!$A$2:$A$83,0),MATCH($C71,'🔖 배합비 참조'!$B$1:$CE$1,0))/100,0),""))),"")</f>
        <v>0</v>
      </c>
      <c r="H71" s="39" t="n">
        <f aca="false">IFERROR(IF($C71="","",IF($D71="","",IFERROR(ROUND($D71*INDEX('🔖 배합비 참조'!$B$2:$CE$83,MATCH("강낭콩((울타리콩))",'🔖 배합비 참조'!$A$2:$A$83,0),MATCH($C71,'🔖 배합비 참조'!$B$1:$CE$1,0))/100,0),""))),"")</f>
        <v>0</v>
      </c>
      <c r="I71" s="39" t="n">
        <f aca="false">IFERROR(IF($C71="","",IF($D71="","",IFERROR(ROUND($D71*INDEX('🔖 배합비 참조'!$B$2:$CE$83,MATCH("건조딸기다이스(외국산)",'🔖 배합비 참조'!$A$2:$A$83,0),MATCH($C71,'🔖 배합비 참조'!$B$1:$CE$1,0))/100,0),""))),"")</f>
        <v>0</v>
      </c>
      <c r="J71" s="39" t="n">
        <f aca="false">IFERROR(IF($C71="","",IF($D71="","",IFERROR(ROUND($D71*INDEX('🔖 배합비 참조'!$B$2:$CE$83,MATCH("건포도",'🔖 배합비 참조'!$A$2:$A$83,0),MATCH($C71,'🔖 배합비 참조'!$B$1:$CE$1,0))/100,0),""))),"")</f>
        <v>0</v>
      </c>
      <c r="K71" s="39" t="n">
        <f aca="false">IFERROR(IF($C71="","",IF($D71="","",IFERROR(ROUND($D71*INDEX('🔖 배합비 참조'!$B$2:$CE$83,MATCH("건호박채(중국산)",'🔖 배합비 참조'!$A$2:$A$83,0),MATCH($C71,'🔖 배합비 참조'!$B$1:$CE$1,0))/100,0),""))),"")</f>
        <v>0</v>
      </c>
      <c r="L71" s="39" t="n">
        <f aca="false">IFERROR(IF($C71="","",IF($D71="","",IFERROR(ROUND($D71*INDEX('🔖 배합비 참조'!$B$2:$CE$83,MATCH("검정깨(흑임자)",'🔖 배합비 참조'!$A$2:$A$83,0),MATCH($C71,'🔖 배합비 참조'!$B$1:$CE$1,0))/100,0),""))),"")</f>
        <v>0</v>
      </c>
      <c r="M71" s="39" t="n">
        <f aca="false">IFERROR(IF($C71="","",IF($D71="","",IFERROR(ROUND($D71*INDEX('🔖 배합비 참조'!$B$2:$CE$83,MATCH("검정콩",'🔖 배합비 참조'!$A$2:$A$83,0),MATCH($C71,'🔖 배합비 참조'!$B$1:$CE$1,0))/100,0),""))),"")</f>
        <v>0</v>
      </c>
      <c r="N71" s="39" t="n">
        <f aca="false">IFERROR(IF($C71="","",IF($D71="","",IFERROR(ROUND($D71*INDEX('🔖 배합비 참조'!$B$2:$CE$83,MATCH("계피가루",'🔖 배합비 참조'!$A$2:$A$83,0),MATCH($C71,'🔖 배합비 참조'!$B$1:$CE$1,0))/100,0),""))),"")</f>
        <v>0</v>
      </c>
      <c r="O71" s="39" t="n">
        <f aca="false">IFERROR(IF($C71="","",IF($D71="","",IFERROR(ROUND($D71*INDEX('🔖 배합비 참조'!$B$2:$CE$83,MATCH("고구마가루",'🔖 배합비 참조'!$A$2:$A$83,0),MATCH($C71,'🔖 배합비 참조'!$B$1:$CE$1,0))/100,0),""))),"")</f>
        <v>0</v>
      </c>
      <c r="P71" s="39" t="n">
        <f aca="false">IFERROR(IF($C71="","",IF($D71="","",IFERROR(ROUND($D71*INDEX('🔖 배합비 참조'!$B$2:$CE$83,MATCH("고구마무스",'🔖 배합비 참조'!$A$2:$A$83,0),MATCH($C71,'🔖 배합비 참조'!$B$1:$CE$1,0))/100,0),""))),"")</f>
        <v>0</v>
      </c>
      <c r="Q71" s="39" t="n">
        <f aca="false">IFERROR(IF($C71="","",IF($D71="","",IFERROR(ROUND($D71*INDEX('🔖 배합비 참조'!$B$2:$CE$83,MATCH("고려엉겅퀴((곤드레)국내산)",'🔖 배합비 참조'!$A$2:$A$83,0),MATCH($C71,'🔖 배합비 참조'!$B$1:$CE$1,0))/100,0),""))),"")</f>
        <v>0</v>
      </c>
      <c r="R71" s="39" t="n">
        <f aca="false">IFERROR(IF($C71="","",IF($D71="","",IFERROR(ROUND($D71*INDEX('🔖 배합비 참조'!$B$2:$CE$83,MATCH("기타가공품(복분자가루)",'🔖 배합비 참조'!$A$2:$A$83,0),MATCH($C71,'🔖 배합비 참조'!$B$1:$CE$1,0))/100,0),""))),"")</f>
        <v>0</v>
      </c>
      <c r="S71" s="39" t="n">
        <f aca="false">IFERROR(IF($C71="","",IF($D71="","",IFERROR(ROUND($D71*INDEX('🔖 배합비 참조'!$B$2:$CE$83,MATCH("기타가공품(슈퍼소프트엠)",'🔖 배합비 참조'!$A$2:$A$83,0),MATCH($C71,'🔖 배합비 참조'!$B$1:$CE$1,0))/100,0),""))),"")</f>
        <v>0</v>
      </c>
      <c r="T71" s="39" t="n">
        <f aca="false">IFERROR(IF($C71="","",IF($D71="","",IFERROR(ROUND($D71*INDEX('🔖 배합비 참조'!$B$2:$CE$83,MATCH("기타가공품(파인소프트 E-티)",'🔖 배합비 참조'!$A$2:$A$83,0),MATCH($C71,'🔖 배합비 참조'!$B$1:$CE$1,0))/100,0),""))),"")</f>
        <v>0</v>
      </c>
      <c r="U71" s="39" t="n">
        <f aca="false">IFERROR(IF($C71="","",IF($D71="","",IFERROR(ROUND($D71*INDEX('🔖 배합비 참조'!$B$2:$CE$83,MATCH("기타가공품(프리미엄카스테라가루)",'🔖 배합비 참조'!$A$2:$A$83,0),MATCH($C71,'🔖 배합비 참조'!$B$1:$CE$1,0))/100,0),""))),"")</f>
        <v>0</v>
      </c>
      <c r="V71" s="39" t="n">
        <f aca="false">IFERROR(IF($C71="","",IF($D71="","",IFERROR(ROUND($D71*INDEX('🔖 배합비 참조'!$B$2:$CE$83,MATCH("기타가공품(흑임자가루)",'🔖 배합비 참조'!$A$2:$A$83,0),MATCH($C71,'🔖 배합비 참조'!$B$1:$CE$1,0))/100,0),""))),"")</f>
        <v>0</v>
      </c>
      <c r="W71" s="39" t="n">
        <f aca="false">IFERROR(IF($C71="","",IF($D71="","",IFERROR(ROUND($D71*INDEX('🔖 배합비 참조'!$B$2:$CE$83,MATCH("기타설탕(흑설탕)",'🔖 배합비 참조'!$A$2:$A$83,0),MATCH($C71,'🔖 배합비 참조'!$B$1:$CE$1,0))/100,0),""))),"")</f>
        <v>0</v>
      </c>
      <c r="X71" s="39" t="n">
        <f aca="false">IFERROR(IF($C71="","",IF($D71="","",IFERROR(ROUND($D71*INDEX('🔖 배합비 참조'!$B$2:$CE$83,MATCH("냉동쑥(국내산)",'🔖 배합비 참조'!$A$2:$A$83,0),MATCH($C71,'🔖 배합비 참조'!$B$1:$CE$1,0))/100,0),""))),"")</f>
        <v>0</v>
      </c>
      <c r="Y71" s="39" t="n">
        <f aca="false">IFERROR(IF($C71="","",IF($D71="","",IFERROR(ROUND($D71*INDEX('🔖 배합비 참조'!$B$2:$CE$83,MATCH("냉동증숙고구마(중국산)",'🔖 배합비 참조'!$A$2:$A$83,0),MATCH($C71,'🔖 배합비 참조'!$B$1:$CE$1,0))/100,0),""))),"")</f>
        <v>0</v>
      </c>
      <c r="Z71" s="39" t="n">
        <f aca="false">IFERROR(IF($C71="","",IF($D71="","",IFERROR(ROUND($D71*INDEX('🔖 배합비 참조'!$B$2:$CE$83,MATCH("녹차가루",'🔖 배합비 참조'!$A$2:$A$83,0),MATCH($C71,'🔖 배합비 참조'!$B$1:$CE$1,0))/100,0),""))),"")</f>
        <v>0</v>
      </c>
      <c r="AA71" s="39" t="n">
        <f aca="false">IFERROR(IF($C71="","",IF($D71="","",IFERROR(ROUND($D71*INDEX('🔖 배합비 참조'!$B$2:$CE$83,MATCH("다크초콜릿 컴파운드칩",'🔖 배합비 참조'!$A$2:$A$83,0),MATCH($C71,'🔖 배합비 참조'!$B$1:$CE$1,0))/100,0),""))),"")</f>
        <v>0</v>
      </c>
      <c r="AB71" s="39" t="n">
        <f aca="false">IFERROR(IF($C71="","",IF($D71="","",IFERROR(ROUND($D71*INDEX('🔖 배합비 참조'!$B$2:$CE$83,MATCH("단호박분말(중국산)",'🔖 배합비 참조'!$A$2:$A$83,0),MATCH($C71,'🔖 배합비 참조'!$B$1:$CE$1,0))/100,0),""))),"")</f>
        <v>0</v>
      </c>
      <c r="AC71" s="39" t="n">
        <f aca="false">IFERROR(IF($C71="","",IF($D71="","",IFERROR(ROUND($D71*INDEX('🔖 배합비 참조'!$B$2:$CE$83,MATCH("당류가공품(단호박농축액)",'🔖 배합비 참조'!$A$2:$A$83,0),MATCH($C71,'🔖 배합비 참조'!$B$1:$CE$1,0))/100,0),""))),"")</f>
        <v>0</v>
      </c>
      <c r="AD71" s="39" t="n">
        <f aca="false">IFERROR(IF($C71="","",IF($D71="","",IFERROR(ROUND($D71*INDEX('🔖 배합비 참조'!$B$2:$CE$83,MATCH("당류가공품(알룰로스,에리스리톨,스테비올배당체혼합)",'🔖 배합비 참조'!$A$2:$A$83,0),MATCH($C71,'🔖 배합비 참조'!$B$1:$CE$1,0))/100,0),""))),"")</f>
        <v>0</v>
      </c>
      <c r="AE71" s="39" t="n">
        <f aca="false">IFERROR(IF($C71="","",IF($D71="","",IFERROR(ROUND($D71*INDEX('🔖 배합비 참조'!$B$2:$CE$83,MATCH("당류가공품(알룰로스제로파우더)",'🔖 배합비 참조'!$A$2:$A$83,0),MATCH($C71,'🔖 배합비 참조'!$B$1:$CE$1,0))/100,0),""))),"")</f>
        <v>0</v>
      </c>
      <c r="AF71" s="39" t="n">
        <f aca="false">IFERROR(IF($C71="","",IF($D71="","",IFERROR(ROUND($D71*INDEX('🔖 배합비 참조'!$B$2:$CE$83,MATCH("당절임(완두배기)",'🔖 배합비 참조'!$A$2:$A$83,0),MATCH($C71,'🔖 배합비 참조'!$B$1:$CE$1,0))/100,0),""))),"")</f>
        <v>0</v>
      </c>
      <c r="AG71" s="39" t="n">
        <f aca="false">IFERROR(IF($C71="","",IF($D71="","",IFERROR(ROUND($D71*INDEX('🔖 배합비 참조'!$B$2:$CE$83,MATCH("대추농축액",'🔖 배합비 참조'!$A$2:$A$83,0),MATCH($C71,'🔖 배합비 참조'!$B$1:$CE$1,0))/100,0),""))),"")</f>
        <v>0</v>
      </c>
      <c r="AH71" s="39" t="n">
        <f aca="false">IFERROR(IF($C71="","",IF($D71="","",IFERROR(ROUND($D71*INDEX('🔖 배합비 참조'!$B$2:$CE$83,MATCH("대추채(국내산)",'🔖 배합비 참조'!$A$2:$A$83,0),MATCH($C71,'🔖 배합비 참조'!$B$1:$CE$1,0))/100,0),""))),"")</f>
        <v>0</v>
      </c>
      <c r="AI71" s="39" t="n">
        <f aca="false">IFERROR(IF($C71="","",IF($D71="","",IFERROR(ROUND($D71*INDEX('🔖 배합비 참조'!$B$2:$CE$83,MATCH("동부(미얀마산)",'🔖 배합비 참조'!$A$2:$A$83,0),MATCH($C71,'🔖 배합비 참조'!$B$1:$CE$1,0))/100,0),""))),"")</f>
        <v>0</v>
      </c>
      <c r="AJ71" s="39" t="n">
        <f aca="false">IFERROR(IF($C71="","",IF($D71="","",IFERROR(ROUND($D71*INDEX('🔖 배합비 참조'!$B$2:$CE$83,MATCH("두류가공품(백옥앙금)",'🔖 배합비 참조'!$A$2:$A$83,0),MATCH($C71,'🔖 배합비 참조'!$B$1:$CE$1,0))/100,0),""))),"")</f>
        <v>0</v>
      </c>
      <c r="AK71" s="39" t="n">
        <f aca="false">IFERROR(IF($C71="","",IF($D71="","",IFERROR(ROUND($D71*INDEX('🔖 배합비 참조'!$B$2:$CE$83,MATCH("두류가공품(콩고물)",'🔖 배합비 참조'!$A$2:$A$83,0),MATCH($C71,'🔖 배합비 참조'!$B$1:$CE$1,0))/100,0),""))),"")</f>
        <v>4</v>
      </c>
      <c r="AL71" s="39" t="n">
        <f aca="false">IFERROR(IF($C71="","",IF($D71="","",IFERROR(ROUND($D71*INDEX('🔖 배합비 참조'!$B$2:$CE$83,MATCH("두류가공품(통팥고물)",'🔖 배합비 참조'!$A$2:$A$83,0),MATCH($C71,'🔖 배합비 참조'!$B$1:$CE$1,0))/100,0),""))),"")</f>
        <v>0</v>
      </c>
      <c r="AM71" s="39" t="n">
        <f aca="false">IFERROR(IF($C71="","",IF($D71="","",IFERROR(ROUND($D71*INDEX('🔖 배합비 참조'!$B$2:$CE$83,MATCH("딸기레진",'🔖 배합비 참조'!$A$2:$A$83,0),MATCH($C71,'🔖 배합비 참조'!$B$1:$CE$1,0))/100,0),""))),"")</f>
        <v>0</v>
      </c>
      <c r="AN71" s="39" t="n">
        <f aca="false">IFERROR(IF($C71="","",IF($D71="","",IFERROR(ROUND($D71*INDEX('🔖 배합비 참조'!$B$2:$CE$83,MATCH("딸기분말(스트로우베리에이드(분말))",'🔖 배합비 참조'!$A$2:$A$83,0),MATCH($C71,'🔖 배합비 참조'!$B$1:$CE$1,0))/100,0),""))),"")</f>
        <v>0</v>
      </c>
      <c r="AO71" s="39" t="n">
        <f aca="false">IFERROR(IF($C71="","",IF($D71="","",IFERROR(ROUND($D71*INDEX('🔖 배합비 참조'!$B$2:$CE$83,MATCH("마스카포네치즈",'🔖 배합비 참조'!$A$2:$A$83,0),MATCH($C71,'🔖 배합비 참조'!$B$1:$CE$1,0))/100,0),""))),"")</f>
        <v>0</v>
      </c>
      <c r="AP71" s="39" t="n">
        <f aca="false">IFERROR(IF($C71="","",IF($D71="","",IFERROR(ROUND($D71*INDEX('🔖 배합비 참조'!$B$2:$CE$83,MATCH("마카다미아분태(호주산)",'🔖 배합비 참조'!$A$2:$A$83,0),MATCH($C71,'🔖 배합비 참조'!$B$1:$CE$1,0))/100,0),""))),"")</f>
        <v>0</v>
      </c>
      <c r="AQ71" s="39" t="n">
        <f aca="false">IFERROR(IF($C71="","",IF($D71="","",IFERROR(ROUND($D71*INDEX('🔖 배합비 참조'!$B$2:$CE$83,MATCH("멥쌀(국내산)",'🔖 배합비 참조'!$A$2:$A$83,0),MATCH($C71,'🔖 배합비 참조'!$B$1:$CE$1,0))/100,0),""))),"")</f>
        <v>0</v>
      </c>
      <c r="AR71" s="39" t="n">
        <f aca="false">IFERROR(IF($C71="","",IF($D71="","",IFERROR(ROUND($D71*INDEX('🔖 배합비 참조'!$B$2:$CE$83,MATCH("모시잎(국내산)",'🔖 배합비 참조'!$A$2:$A$83,0),MATCH($C71,'🔖 배합비 참조'!$B$1:$CE$1,0))/100,0),""))),"")</f>
        <v>0</v>
      </c>
      <c r="AS71" s="39" t="n">
        <f aca="false">IFERROR(IF($C71="","",IF($D71="","",IFERROR(ROUND($D71*INDEX('🔖 배합비 참조'!$B$2:$CE$83,MATCH("물엿(저당물엿)",'🔖 배합비 참조'!$A$2:$A$83,0),MATCH($C71,'🔖 배합비 참조'!$B$1:$CE$1,0))/100,0),""))),"")</f>
        <v>7</v>
      </c>
      <c r="AT71" s="39" t="n">
        <f aca="false">IFERROR(IF($C71="","",IF($D71="","",IFERROR(ROUND($D71*INDEX('🔖 배합비 참조'!$B$2:$CE$83,MATCH("밤다이스",'🔖 배합비 참조'!$A$2:$A$83,0),MATCH($C71,'🔖 배합비 참조'!$B$1:$CE$1,0))/100,0),""))),"")</f>
        <v>0</v>
      </c>
      <c r="AU71" s="39" t="n">
        <f aca="false">IFERROR(IF($C71="","",IF($D71="","",IFERROR(ROUND($D71*INDEX('🔖 배합비 참조'!$B$2:$CE$83,MATCH("변성전분(타피오카전분)",'🔖 배합비 참조'!$A$2:$A$83,0),MATCH($C71,'🔖 배합비 참조'!$B$1:$CE$1,0))/100,0),""))),"")</f>
        <v>0</v>
      </c>
      <c r="AV71" s="39" t="n">
        <f aca="false">IFERROR(IF($C71="","",IF($D71="","",IFERROR(ROUND($D71*INDEX('🔖 배합비 참조'!$B$2:$CE$83,MATCH("복음땅콩분태",'🔖 배합비 참조'!$A$2:$A$83,0),MATCH($C71,'🔖 배합비 참조'!$B$1:$CE$1,0))/100,0),""))),"")</f>
        <v>0</v>
      </c>
      <c r="AW71" s="39" t="n">
        <f aca="false">IFERROR(IF($C71="","",IF($D71="","",IFERROR(ROUND($D71*INDEX('🔖 배합비 참조'!$B$2:$CE$83,MATCH("사양벌꿀(국내산)",'🔖 배합비 참조'!$A$2:$A$83,0),MATCH($C71,'🔖 배합비 참조'!$B$1:$CE$1,0))/100,0),""))),"")</f>
        <v>0</v>
      </c>
      <c r="AX71" s="39" t="n">
        <f aca="false">IFERROR(IF($C71="","",IF($D71="","",IFERROR(ROUND($D71*INDEX('🔖 배합비 참조'!$B$2:$CE$83,MATCH("생크림",'🔖 배합비 참조'!$A$2:$A$83,0),MATCH($C71,'🔖 배합비 참조'!$B$1:$CE$1,0))/100,0),""))),"")</f>
        <v>0</v>
      </c>
      <c r="AY71" s="39" t="n">
        <f aca="false">IFERROR(IF($C71="","",IF($D71="","",IFERROR(ROUND($D71*INDEX('🔖 배합비 참조'!$B$2:$CE$83,MATCH("서양호박(국내산,뉴질랜드산)",'🔖 배합비 참조'!$A$2:$A$83,0),MATCH($C71,'🔖 배합비 참조'!$B$1:$CE$1,0))/100,0),""))),"")</f>
        <v>0</v>
      </c>
      <c r="AZ71" s="39" t="n">
        <f aca="false">IFERROR(IF($C71="","",IF($D71="","",IFERROR(ROUND($D71*INDEX('🔖 배합비 참조'!$B$2:$CE$83,MATCH("설탕",'🔖 배합비 참조'!$A$2:$A$83,0),MATCH($C71,'🔖 배합비 참조'!$B$1:$CE$1,0))/100,0),""))),"")</f>
        <v>7</v>
      </c>
      <c r="BA71" s="39" t="n">
        <f aca="false">IFERROR(IF($C71="","",IF($D71="","",IFERROR(ROUND($D71*INDEX('🔖 배합비 참조'!$B$2:$CE$83,MATCH("스트로우베리 에이드 후레쉬",'🔖 배합비 참조'!$A$2:$A$83,0),MATCH($C71,'🔖 배합비 참조'!$B$1:$CE$1,0))/100,0),""))),"")</f>
        <v>0</v>
      </c>
      <c r="BB71" s="39" t="n">
        <f aca="false">IFERROR(IF($C71="","",IF($D71="","",IFERROR(ROUND($D71*INDEX('🔖 배합비 참조'!$B$2:$CE$83,MATCH("식물성기름혼합제제(분홍)",'🔖 배합비 참조'!$A$2:$A$83,0),MATCH($C71,'🔖 배합비 참조'!$B$1:$CE$1,0))/100,0),""))),"")</f>
        <v>0</v>
      </c>
      <c r="BC71" s="39" t="n">
        <f aca="false">IFERROR(IF($C71="","",IF($D71="","",IFERROR(ROUND($D71*INDEX('🔖 배합비 참조'!$B$2:$CE$83,MATCH("식물성기름혼합제제(초록)",'🔖 배합비 참조'!$A$2:$A$83,0),MATCH($C71,'🔖 배합비 참조'!$B$1:$CE$1,0))/100,0),""))),"")</f>
        <v>0</v>
      </c>
      <c r="BD71" s="39" t="n">
        <f aca="false">IFERROR(IF($C71="","",IF($D71="","",IFERROR(ROUND($D71*INDEX('🔖 배합비 참조'!$B$2:$CE$83,MATCH("식물성기름혼합제제(황색)",'🔖 배합비 참조'!$A$2:$A$83,0),MATCH($C71,'🔖 배합비 참조'!$B$1:$CE$1,0))/100,0),""))),"")</f>
        <v>0</v>
      </c>
      <c r="BE71" s="39" t="n">
        <f aca="false">IFERROR(IF($C71="","",IF($D71="","",IFERROR(ROUND($D71*INDEX('🔖 배합비 참조'!$B$2:$CE$83,MATCH("쑥가루(국내산)",'🔖 배합비 참조'!$A$2:$A$83,0),MATCH($C71,'🔖 배합비 참조'!$B$1:$CE$1,0))/100,0),""))),"")</f>
        <v>0</v>
      </c>
      <c r="BF71" s="39" t="n">
        <f aca="false">IFERROR(IF($C71="","",IF($D71="","",IFERROR(ROUND($D71*INDEX('🔖 배합비 참조'!$B$2:$CE$83,MATCH("아몬드슬라이스",'🔖 배합비 참조'!$A$2:$A$83,0),MATCH($C71,'🔖 배합비 참조'!$B$1:$CE$1,0))/100,0),""))),"")</f>
        <v>0</v>
      </c>
      <c r="BG71" s="39" t="n">
        <f aca="false">IFERROR(IF($C71="","",IF($D71="","",IFERROR(ROUND($D71*INDEX('🔖 배합비 참조'!$B$2:$CE$83,MATCH("알룰로오스(국내산)",'🔖 배합비 참조'!$A$2:$A$83,0),MATCH($C71,'🔖 배합비 참조'!$B$1:$CE$1,0))/100,0),""))),"")</f>
        <v>0</v>
      </c>
      <c r="BH71" s="39" t="n">
        <f aca="false">IFERROR(IF($C71="","",IF($D71="","",IFERROR(ROUND($D71*INDEX('🔖 배합비 참조'!$B$2:$CE$83,MATCH("연유",'🔖 배합비 참조'!$A$2:$A$83,0),MATCH($C71,'🔖 배합비 참조'!$B$1:$CE$1,0))/100,0),""))),"")</f>
        <v>0</v>
      </c>
      <c r="BI71" s="39" t="n">
        <f aca="false">IFERROR(IF($C71="","",IF($D71="","",IFERROR(ROUND($D71*INDEX('🔖 배합비 참조'!$B$2:$CE$83,MATCH("옥수수전분",'🔖 배합비 참조'!$A$2:$A$83,0),MATCH($C71,'🔖 배합비 참조'!$B$1:$CE$1,0))/100,0),""))),"")</f>
        <v>0</v>
      </c>
      <c r="BJ71" s="39" t="n">
        <f aca="false">IFERROR(IF($C71="","",IF($D71="","",IFERROR(ROUND($D71*INDEX('🔖 배합비 참조'!$B$2:$CE$83,MATCH("완두배기",'🔖 배합비 참조'!$A$2:$A$83,0),MATCH($C71,'🔖 배합비 참조'!$B$1:$CE$1,0))/100,0),""))),"")</f>
        <v>0</v>
      </c>
      <c r="BK71" s="39" t="n">
        <f aca="false">IFERROR(IF($C71="","",IF($D71="","",IFERROR(ROUND($D71*INDEX('🔖 배합비 참조'!$B$2:$CE$83,MATCH("우유(국내산)",'🔖 배합비 참조'!$A$2:$A$83,0),MATCH($C71,'🔖 배합비 참조'!$B$1:$CE$1,0))/100,0),""))),"")</f>
        <v>0</v>
      </c>
      <c r="BL71" s="39" t="n">
        <f aca="false">IFERROR(IF($C71="","",IF($D71="","",IFERROR(ROUND($D71*INDEX('🔖 배합비 참조'!$B$2:$CE$83,MATCH("자색고구마가루(중국산)",'🔖 배합비 참조'!$A$2:$A$83,0),MATCH($C71,'🔖 배합비 참조'!$B$1:$CE$1,0))/100,0),""))),"")</f>
        <v>0</v>
      </c>
      <c r="BM71" s="39" t="n">
        <f aca="false">IFERROR(IF($C71="","",IF($D71="","",IFERROR(ROUND($D71*INDEX('🔖 배합비 참조'!$B$2:$CE$83,MATCH("자연치즈(체다치즈)",'🔖 배합비 참조'!$A$2:$A$83,0),MATCH($C71,'🔖 배합비 참조'!$B$1:$CE$1,0))/100,0),""))),"")</f>
        <v>0</v>
      </c>
      <c r="BN71" s="39" t="n">
        <f aca="false">IFERROR(IF($C71="","",IF($D71="","",IFERROR(ROUND($D71*INDEX('🔖 배합비 참조'!$B$2:$CE$83,MATCH("정제수",'🔖 배합비 참조'!$A$2:$A$83,0),MATCH($C71,'🔖 배합비 참조'!$B$1:$CE$1,0))/100,0),""))),"")</f>
        <v>53</v>
      </c>
      <c r="BO71" s="39" t="n">
        <f aca="false">IFERROR(IF($C71="","",IF($D71="","",IFERROR(ROUND($D71*INDEX('🔖 배합비 참조'!$B$2:$CE$83,MATCH("젤라틴",'🔖 배합비 참조'!$A$2:$A$83,0),MATCH($C71,'🔖 배합비 참조'!$B$1:$CE$1,0))/100,0),""))),"")</f>
        <v>0</v>
      </c>
      <c r="BP71" s="39" t="n">
        <f aca="false">IFERROR(IF($C71="","",IF($D71="","",IFERROR(ROUND($D71*INDEX('🔖 배합비 참조'!$B$2:$CE$83,MATCH("조림류(백옥앙금)",'🔖 배합비 참조'!$A$2:$A$83,0),MATCH($C71,'🔖 배합비 참조'!$B$1:$CE$1,0))/100,0),""))),"")</f>
        <v>0</v>
      </c>
      <c r="BQ71" s="39" t="n">
        <f aca="false">IFERROR(IF($C71="","",IF($D71="","",IFERROR(ROUND($D71*INDEX('🔖 배합비 참조'!$B$2:$CE$83,MATCH("조림류(통팥앙금)",'🔖 배합비 참조'!$A$2:$A$83,0),MATCH($C71,'🔖 배합비 참조'!$B$1:$CE$1,0))/100,0),""))),"")</f>
        <v>0</v>
      </c>
      <c r="BR71" s="39" t="n">
        <f aca="false">IFERROR(IF($C71="","",IF($D71="","",IFERROR(ROUND($D71*INDEX('🔖 배합비 참조'!$B$2:$CE$83,MATCH("준초콜릿(외국산)",'🔖 배합비 참조'!$A$2:$A$83,0),MATCH($C71,'🔖 배합비 참조'!$B$1:$CE$1,0))/100,0),""))),"")</f>
        <v>0</v>
      </c>
      <c r="BS71" s="39" t="n">
        <f aca="false">IFERROR(IF($C71="","",IF($D71="","",IFERROR(ROUND($D71*INDEX('🔖 배합비 참조'!$B$2:$CE$83,MATCH("중력분",'🔖 배합비 참조'!$A$2:$A$83,0),MATCH($C71,'🔖 배합비 참조'!$B$1:$CE$1,0))/100,0),""))),"")</f>
        <v>1</v>
      </c>
      <c r="BT71" s="39" t="n">
        <f aca="false">IFERROR(IF($C71="","",IF($D71="","",IFERROR(ROUND($D71*INDEX('🔖 배합비 참조'!$B$2:$CE$83,MATCH("참깨(인도산,나이지리아산,탄자니아산,미얀마산)",'🔖 배합비 참조'!$A$2:$A$83,0),MATCH($C71,'🔖 배합비 참조'!$B$1:$CE$1,0))/100,0),""))),"")</f>
        <v>0</v>
      </c>
      <c r="BU71" s="39" t="n">
        <f aca="false">IFERROR(IF($C71="","",IF($D71="","",IFERROR(ROUND($D71*INDEX('🔖 배합비 참조'!$B$2:$CE$83,MATCH("찹쌀(국내산)",'🔖 배합비 참조'!$A$2:$A$83,0),MATCH($C71,'🔖 배합비 참조'!$B$1:$CE$1,0))/100,0),""))),"")</f>
        <v>67</v>
      </c>
      <c r="BV71" s="39" t="n">
        <f aca="false">IFERROR(IF($C71="","",IF($D71="","",IFERROR(ROUND($D71*INDEX('🔖 배합비 참조'!$B$2:$CE$83,MATCH("천일염",'🔖 배합비 참조'!$A$2:$A$83,0),MATCH($C71,'🔖 배합비 참조'!$B$1:$CE$1,0))/100,0),""))),"")</f>
        <v>1</v>
      </c>
      <c r="BW71" s="39" t="n">
        <f aca="false">IFERROR(IF($C71="","",IF($D71="","",IFERROR(ROUND($D71*INDEX('🔖 배합비 참조'!$B$2:$CE$83,MATCH("치즈 [크림치즈]",'🔖 배합비 참조'!$A$2:$A$83,0),MATCH($C71,'🔖 배합비 참조'!$B$1:$CE$1,0))/100,0),""))),"")</f>
        <v>0</v>
      </c>
      <c r="BX71" s="39" t="n">
        <f aca="false">IFERROR(IF($C71="","",IF($D71="","",IFERROR(ROUND($D71*INDEX('🔖 배합비 참조'!$B$2:$CE$83,MATCH("코코아가공품류(코코아분말)",'🔖 배합비 참조'!$A$2:$A$83,0),MATCH($C71,'🔖 배합비 참조'!$B$1:$CE$1,0))/100,0),""))),"")</f>
        <v>0</v>
      </c>
      <c r="BY71" s="39" t="n">
        <f aca="false">IFERROR(IF($C71="","",IF($D71="","",IFERROR(ROUND($D71*INDEX('🔖 배합비 참조'!$B$2:$CE$83,MATCH("콩기름(대두유)",'🔖 배합비 참조'!$A$2:$A$83,0),MATCH($C71,'🔖 배합비 참조'!$B$1:$CE$1,0))/100,0),""))),"")</f>
        <v>0</v>
      </c>
      <c r="BZ71" s="39" t="n">
        <f aca="false">IFERROR(IF($C71="","",IF($D71="","",IFERROR(ROUND($D71*INDEX('🔖 배합비 참조'!$B$2:$CE$83,MATCH("해바라기씨앗",'🔖 배합비 참조'!$A$2:$A$83,0),MATCH($C71,'🔖 배합비 참조'!$B$1:$CE$1,0))/100,0),""))),"")</f>
        <v>0</v>
      </c>
      <c r="CA71" s="39" t="n">
        <f aca="false">IFERROR(IF($C71="","",IF($D71="","",IFERROR(ROUND($D71*INDEX('🔖 배합비 참조'!$B$2:$CE$83,MATCH("현미(국내산)",'🔖 배합비 참조'!$A$2:$A$83,0),MATCH($C71,'🔖 배합비 참조'!$B$1:$CE$1,0))/100,0),""))),"")</f>
        <v>0</v>
      </c>
      <c r="CB71" s="39" t="n">
        <f aca="false">IFERROR(IF($C71="","",IF($D71="","",IFERROR(ROUND($D71*INDEX('🔖 배합비 참조'!$B$2:$CE$83,MATCH("현미멥쌀(국내산)",'🔖 배합비 참조'!$A$2:$A$83,0),MATCH($C71,'🔖 배합비 참조'!$B$1:$CE$1,0))/100,0),""))),"")</f>
        <v>0</v>
      </c>
      <c r="CC71" s="39" t="n">
        <f aca="false">IFERROR(IF($C71="","",IF($D71="","",IFERROR(ROUND($D71*INDEX('🔖 배합비 참조'!$B$2:$CE$83,MATCH("호두분태(미국산)",'🔖 배합비 참조'!$A$2:$A$83,0),MATCH($C71,'🔖 배합비 참조'!$B$1:$CE$1,0))/100,0),""))),"")</f>
        <v>0</v>
      </c>
      <c r="CD71" s="39" t="n">
        <f aca="false">IFERROR(IF($C71="","",IF($D71="","",IFERROR(ROUND($D71*INDEX('🔖 배합비 참조'!$B$2:$CE$83,MATCH("호박씨앗(외국산)",'🔖 배합비 참조'!$A$2:$A$83,0),MATCH($C71,'🔖 배합비 참조'!$B$1:$CE$1,0))/100,0),""))),"")</f>
        <v>0</v>
      </c>
      <c r="CE71" s="39" t="n">
        <f aca="false">IFERROR(IF($C71="","",IF($D71="","",IFERROR(ROUND($D71*INDEX('🔖 배합비 참조'!$B$2:$CE$83,MATCH("혼합제제(떡용에스텔)",'🔖 배합비 참조'!$A$2:$A$83,0),MATCH($C71,'🔖 배합비 참조'!$B$1:$CE$1,0))/100,0),""))),"")</f>
        <v>1</v>
      </c>
      <c r="CF71" s="39" t="n">
        <f aca="false">IFERROR(IF($C71="","",IF($D71="","",IFERROR(ROUND($D71*INDEX('🔖 배합비 참조'!$B$2:$CE$83,MATCH("혼합제제(스테비아)",'🔖 배합비 참조'!$A$2:$A$83,0),MATCH($C71,'🔖 배합비 참조'!$B$1:$CE$1,0))/100,0),""))),"")</f>
        <v>0</v>
      </c>
      <c r="CG71" s="39" t="n">
        <f aca="false">IFERROR(IF($C71="","",IF($D71="","",IFERROR(ROUND($D71*INDEX('🔖 배합비 참조'!$B$2:$CE$83,MATCH("화이트초콜릿",'🔖 배합비 참조'!$A$2:$A$83,0),MATCH($C71,'🔖 배합비 참조'!$B$1:$CE$1,0))/100,0),""))),"")</f>
        <v>0</v>
      </c>
      <c r="CH71" s="39" t="n">
        <f aca="false">IFERROR(IF($C71="","",IF($D71="","",IFERROR(ROUND($D71*INDEX('🔖 배합비 참조'!$B$2:$CE$83,MATCH("흑미찹쌀(국내산)",'🔖 배합비 참조'!$A$2:$A$83,0),MATCH($C71,'🔖 배합비 참조'!$B$1:$CE$1,0))/100,0),""))),"")</f>
        <v>0</v>
      </c>
      <c r="CI71" s="39" t="n">
        <f aca="false">IFERROR(IF($C71="","",IF($D71="","",IFERROR(ROUND($D71*INDEX('🔖 배합비 참조'!$B$2:$CE$83,MATCH("찰옥수수전분(미국산)",'🔖 배합비 참조'!$A$2:$A$83,0),MATCH($C71,'🔖 배합비 참조'!$B$1:$CE$1,0))/100,0),""))),"")</f>
        <v>0</v>
      </c>
      <c r="CJ71" s="40"/>
      <c r="CL71" s="1" t="s">
        <v>238</v>
      </c>
    </row>
    <row r="72" customFormat="false" ht="18" hidden="false" customHeight="true" outlineLevel="0" collapsed="false">
      <c r="A72" s="41" t="n">
        <v>68</v>
      </c>
      <c r="B72" s="36" t="n">
        <v>45975</v>
      </c>
      <c r="C72" s="37" t="s">
        <v>143</v>
      </c>
      <c r="D72" s="38" t="n">
        <v>205</v>
      </c>
      <c r="E72" s="17"/>
      <c r="F72" s="17"/>
      <c r="G72" s="42" t="n">
        <f aca="false">IFERROR(IF($C72="","",IF($D72="","",IFERROR(ROUND($D72*INDEX('🔖 배합비 참조'!$B$2:$CE$83,MATCH("간장",'🔖 배합비 참조'!$A$2:$A$83,0),MATCH($C72,'🔖 배합비 참조'!$B$1:$CE$1,0))/100,0),""))),"")</f>
        <v>0</v>
      </c>
      <c r="H72" s="42" t="n">
        <f aca="false">IFERROR(IF($C72="","",IF($D72="","",IFERROR(ROUND($D72*INDEX('🔖 배합비 참조'!$B$2:$CE$83,MATCH("강낭콩((울타리콩))",'🔖 배합비 참조'!$A$2:$A$83,0),MATCH($C72,'🔖 배합비 참조'!$B$1:$CE$1,0))/100,0),""))),"")</f>
        <v>0</v>
      </c>
      <c r="I72" s="42" t="n">
        <f aca="false">IFERROR(IF($C72="","",IF($D72="","",IFERROR(ROUND($D72*INDEX('🔖 배합비 참조'!$B$2:$CE$83,MATCH("건조딸기다이스(외국산)",'🔖 배합비 참조'!$A$2:$A$83,0),MATCH($C72,'🔖 배합비 참조'!$B$1:$CE$1,0))/100,0),""))),"")</f>
        <v>0</v>
      </c>
      <c r="J72" s="42" t="n">
        <f aca="false">IFERROR(IF($C72="","",IF($D72="","",IFERROR(ROUND($D72*INDEX('🔖 배합비 참조'!$B$2:$CE$83,MATCH("건포도",'🔖 배합비 참조'!$A$2:$A$83,0),MATCH($C72,'🔖 배합비 참조'!$B$1:$CE$1,0))/100,0),""))),"")</f>
        <v>0</v>
      </c>
      <c r="K72" s="42" t="n">
        <f aca="false">IFERROR(IF($C72="","",IF($D72="","",IFERROR(ROUND($D72*INDEX('🔖 배합비 참조'!$B$2:$CE$83,MATCH("건호박채(중국산)",'🔖 배합비 참조'!$A$2:$A$83,0),MATCH($C72,'🔖 배합비 참조'!$B$1:$CE$1,0))/100,0),""))),"")</f>
        <v>0</v>
      </c>
      <c r="L72" s="42" t="n">
        <f aca="false">IFERROR(IF($C72="","",IF($D72="","",IFERROR(ROUND($D72*INDEX('🔖 배합비 참조'!$B$2:$CE$83,MATCH("검정깨(흑임자)",'🔖 배합비 참조'!$A$2:$A$83,0),MATCH($C72,'🔖 배합비 참조'!$B$1:$CE$1,0))/100,0),""))),"")</f>
        <v>0</v>
      </c>
      <c r="M72" s="42" t="n">
        <f aca="false">IFERROR(IF($C72="","",IF($D72="","",IFERROR(ROUND($D72*INDEX('🔖 배합비 참조'!$B$2:$CE$83,MATCH("검정콩",'🔖 배합비 참조'!$A$2:$A$83,0),MATCH($C72,'🔖 배합비 참조'!$B$1:$CE$1,0))/100,0),""))),"")</f>
        <v>0</v>
      </c>
      <c r="N72" s="42" t="n">
        <f aca="false">IFERROR(IF($C72="","",IF($D72="","",IFERROR(ROUND($D72*INDEX('🔖 배합비 참조'!$B$2:$CE$83,MATCH("계피가루",'🔖 배합비 참조'!$A$2:$A$83,0),MATCH($C72,'🔖 배합비 참조'!$B$1:$CE$1,0))/100,0),""))),"")</f>
        <v>0</v>
      </c>
      <c r="O72" s="42" t="n">
        <f aca="false">IFERROR(IF($C72="","",IF($D72="","",IFERROR(ROUND($D72*INDEX('🔖 배합비 참조'!$B$2:$CE$83,MATCH("고구마가루",'🔖 배합비 참조'!$A$2:$A$83,0),MATCH($C72,'🔖 배합비 참조'!$B$1:$CE$1,0))/100,0),""))),"")</f>
        <v>0</v>
      </c>
      <c r="P72" s="42" t="n">
        <f aca="false">IFERROR(IF($C72="","",IF($D72="","",IFERROR(ROUND($D72*INDEX('🔖 배합비 참조'!$B$2:$CE$83,MATCH("고구마무스",'🔖 배합비 참조'!$A$2:$A$83,0),MATCH($C72,'🔖 배합비 참조'!$B$1:$CE$1,0))/100,0),""))),"")</f>
        <v>0</v>
      </c>
      <c r="Q72" s="42" t="n">
        <f aca="false">IFERROR(IF($C72="","",IF($D72="","",IFERROR(ROUND($D72*INDEX('🔖 배합비 참조'!$B$2:$CE$83,MATCH("고려엉겅퀴((곤드레)국내산)",'🔖 배합비 참조'!$A$2:$A$83,0),MATCH($C72,'🔖 배합비 참조'!$B$1:$CE$1,0))/100,0),""))),"")</f>
        <v>0</v>
      </c>
      <c r="R72" s="42" t="n">
        <f aca="false">IFERROR(IF($C72="","",IF($D72="","",IFERROR(ROUND($D72*INDEX('🔖 배합비 참조'!$B$2:$CE$83,MATCH("기타가공품(복분자가루)",'🔖 배합비 참조'!$A$2:$A$83,0),MATCH($C72,'🔖 배합비 참조'!$B$1:$CE$1,0))/100,0),""))),"")</f>
        <v>0</v>
      </c>
      <c r="S72" s="42" t="n">
        <f aca="false">IFERROR(IF($C72="","",IF($D72="","",IFERROR(ROUND($D72*INDEX('🔖 배합비 참조'!$B$2:$CE$83,MATCH("기타가공품(슈퍼소프트엠)",'🔖 배합비 참조'!$A$2:$A$83,0),MATCH($C72,'🔖 배합비 참조'!$B$1:$CE$1,0))/100,0),""))),"")</f>
        <v>0</v>
      </c>
      <c r="T72" s="42" t="n">
        <f aca="false">IFERROR(IF($C72="","",IF($D72="","",IFERROR(ROUND($D72*INDEX('🔖 배합비 참조'!$B$2:$CE$83,MATCH("기타가공품(파인소프트 E-티)",'🔖 배합비 참조'!$A$2:$A$83,0),MATCH($C72,'🔖 배합비 참조'!$B$1:$CE$1,0))/100,0),""))),"")</f>
        <v>0</v>
      </c>
      <c r="U72" s="42" t="n">
        <f aca="false">IFERROR(IF($C72="","",IF($D72="","",IFERROR(ROUND($D72*INDEX('🔖 배합비 참조'!$B$2:$CE$83,MATCH("기타가공품(프리미엄카스테라가루)",'🔖 배합비 참조'!$A$2:$A$83,0),MATCH($C72,'🔖 배합비 참조'!$B$1:$CE$1,0))/100,0),""))),"")</f>
        <v>0</v>
      </c>
      <c r="V72" s="42" t="n">
        <f aca="false">IFERROR(IF($C72="","",IF($D72="","",IFERROR(ROUND($D72*INDEX('🔖 배합비 참조'!$B$2:$CE$83,MATCH("기타가공품(흑임자가루)",'🔖 배합비 참조'!$A$2:$A$83,0),MATCH($C72,'🔖 배합비 참조'!$B$1:$CE$1,0))/100,0),""))),"")</f>
        <v>0</v>
      </c>
      <c r="W72" s="42" t="n">
        <f aca="false">IFERROR(IF($C72="","",IF($D72="","",IFERROR(ROUND($D72*INDEX('🔖 배합비 참조'!$B$2:$CE$83,MATCH("기타설탕(흑설탕)",'🔖 배합비 참조'!$A$2:$A$83,0),MATCH($C72,'🔖 배합비 참조'!$B$1:$CE$1,0))/100,0),""))),"")</f>
        <v>17</v>
      </c>
      <c r="X72" s="42" t="n">
        <f aca="false">IFERROR(IF($C72="","",IF($D72="","",IFERROR(ROUND($D72*INDEX('🔖 배합비 참조'!$B$2:$CE$83,MATCH("냉동쑥(국내산)",'🔖 배합비 참조'!$A$2:$A$83,0),MATCH($C72,'🔖 배합비 참조'!$B$1:$CE$1,0))/100,0),""))),"")</f>
        <v>0</v>
      </c>
      <c r="Y72" s="42" t="n">
        <f aca="false">IFERROR(IF($C72="","",IF($D72="","",IFERROR(ROUND($D72*INDEX('🔖 배합비 참조'!$B$2:$CE$83,MATCH("냉동증숙고구마(중국산)",'🔖 배합비 참조'!$A$2:$A$83,0),MATCH($C72,'🔖 배합비 참조'!$B$1:$CE$1,0))/100,0),""))),"")</f>
        <v>0</v>
      </c>
      <c r="Z72" s="42" t="n">
        <f aca="false">IFERROR(IF($C72="","",IF($D72="","",IFERROR(ROUND($D72*INDEX('🔖 배합비 참조'!$B$2:$CE$83,MATCH("녹차가루",'🔖 배합비 참조'!$A$2:$A$83,0),MATCH($C72,'🔖 배합비 참조'!$B$1:$CE$1,0))/100,0),""))),"")</f>
        <v>0</v>
      </c>
      <c r="AA72" s="42" t="n">
        <f aca="false">IFERROR(IF($C72="","",IF($D72="","",IFERROR(ROUND($D72*INDEX('🔖 배합비 참조'!$B$2:$CE$83,MATCH("다크초콜릿 컴파운드칩",'🔖 배합비 참조'!$A$2:$A$83,0),MATCH($C72,'🔖 배합비 참조'!$B$1:$CE$1,0))/100,0),""))),"")</f>
        <v>0</v>
      </c>
      <c r="AB72" s="42" t="n">
        <f aca="false">IFERROR(IF($C72="","",IF($D72="","",IFERROR(ROUND($D72*INDEX('🔖 배합비 참조'!$B$2:$CE$83,MATCH("단호박분말(중국산)",'🔖 배합비 참조'!$A$2:$A$83,0),MATCH($C72,'🔖 배합비 참조'!$B$1:$CE$1,0))/100,0),""))),"")</f>
        <v>0</v>
      </c>
      <c r="AC72" s="42" t="n">
        <f aca="false">IFERROR(IF($C72="","",IF($D72="","",IFERROR(ROUND($D72*INDEX('🔖 배합비 참조'!$B$2:$CE$83,MATCH("당류가공품(단호박농축액)",'🔖 배합비 참조'!$A$2:$A$83,0),MATCH($C72,'🔖 배합비 참조'!$B$1:$CE$1,0))/100,0),""))),"")</f>
        <v>0</v>
      </c>
      <c r="AD72" s="42" t="n">
        <f aca="false">IFERROR(IF($C72="","",IF($D72="","",IFERROR(ROUND($D72*INDEX('🔖 배합비 참조'!$B$2:$CE$83,MATCH("당류가공품(알룰로스,에리스리톨,스테비올배당체혼합)",'🔖 배합비 참조'!$A$2:$A$83,0),MATCH($C72,'🔖 배합비 참조'!$B$1:$CE$1,0))/100,0),""))),"")</f>
        <v>0</v>
      </c>
      <c r="AE72" s="42" t="n">
        <f aca="false">IFERROR(IF($C72="","",IF($D72="","",IFERROR(ROUND($D72*INDEX('🔖 배합비 참조'!$B$2:$CE$83,MATCH("당류가공품(알룰로스제로파우더)",'🔖 배합비 참조'!$A$2:$A$83,0),MATCH($C72,'🔖 배합비 참조'!$B$1:$CE$1,0))/100,0),""))),"")</f>
        <v>0</v>
      </c>
      <c r="AF72" s="42" t="n">
        <f aca="false">IFERROR(IF($C72="","",IF($D72="","",IFERROR(ROUND($D72*INDEX('🔖 배합비 참조'!$B$2:$CE$83,MATCH("당절임(완두배기)",'🔖 배합비 참조'!$A$2:$A$83,0),MATCH($C72,'🔖 배합비 참조'!$B$1:$CE$1,0))/100,0),""))),"")</f>
        <v>0</v>
      </c>
      <c r="AG72" s="42" t="n">
        <f aca="false">IFERROR(IF($C72="","",IF($D72="","",IFERROR(ROUND($D72*INDEX('🔖 배합비 참조'!$B$2:$CE$83,MATCH("대추농축액",'🔖 배합비 참조'!$A$2:$A$83,0),MATCH($C72,'🔖 배합비 참조'!$B$1:$CE$1,0))/100,0),""))),"")</f>
        <v>0</v>
      </c>
      <c r="AH72" s="42" t="n">
        <f aca="false">IFERROR(IF($C72="","",IF($D72="","",IFERROR(ROUND($D72*INDEX('🔖 배합비 참조'!$B$2:$CE$83,MATCH("대추채(국내산)",'🔖 배합비 참조'!$A$2:$A$83,0),MATCH($C72,'🔖 배합비 참조'!$B$1:$CE$1,0))/100,0),""))),"")</f>
        <v>0</v>
      </c>
      <c r="AI72" s="42" t="n">
        <f aca="false">IFERROR(IF($C72="","",IF($D72="","",IFERROR(ROUND($D72*INDEX('🔖 배합비 참조'!$B$2:$CE$83,MATCH("동부(미얀마산)",'🔖 배합비 참조'!$A$2:$A$83,0),MATCH($C72,'🔖 배합비 참조'!$B$1:$CE$1,0))/100,0),""))),"")</f>
        <v>0</v>
      </c>
      <c r="AJ72" s="42" t="n">
        <f aca="false">IFERROR(IF($C72="","",IF($D72="","",IFERROR(ROUND($D72*INDEX('🔖 배합비 참조'!$B$2:$CE$83,MATCH("두류가공품(백옥앙금)",'🔖 배합비 참조'!$A$2:$A$83,0),MATCH($C72,'🔖 배합비 참조'!$B$1:$CE$1,0))/100,0),""))),"")</f>
        <v>0</v>
      </c>
      <c r="AK72" s="42" t="n">
        <f aca="false">IFERROR(IF($C72="","",IF($D72="","",IFERROR(ROUND($D72*INDEX('🔖 배합비 참조'!$B$2:$CE$83,MATCH("두류가공품(콩고물)",'🔖 배합비 참조'!$A$2:$A$83,0),MATCH($C72,'🔖 배합비 참조'!$B$1:$CE$1,0))/100,0),""))),"")</f>
        <v>0</v>
      </c>
      <c r="AL72" s="42" t="n">
        <f aca="false">IFERROR(IF($C72="","",IF($D72="","",IFERROR(ROUND($D72*INDEX('🔖 배합비 참조'!$B$2:$CE$83,MATCH("두류가공품(통팥고물)",'🔖 배합비 참조'!$A$2:$A$83,0),MATCH($C72,'🔖 배합비 참조'!$B$1:$CE$1,0))/100,0),""))),"")</f>
        <v>0</v>
      </c>
      <c r="AM72" s="42" t="n">
        <f aca="false">IFERROR(IF($C72="","",IF($D72="","",IFERROR(ROUND($D72*INDEX('🔖 배합비 참조'!$B$2:$CE$83,MATCH("딸기레진",'🔖 배합비 참조'!$A$2:$A$83,0),MATCH($C72,'🔖 배합비 참조'!$B$1:$CE$1,0))/100,0),""))),"")</f>
        <v>0</v>
      </c>
      <c r="AN72" s="42" t="n">
        <f aca="false">IFERROR(IF($C72="","",IF($D72="","",IFERROR(ROUND($D72*INDEX('🔖 배합비 참조'!$B$2:$CE$83,MATCH("딸기분말(스트로우베리에이드(분말))",'🔖 배합비 참조'!$A$2:$A$83,0),MATCH($C72,'🔖 배합비 참조'!$B$1:$CE$1,0))/100,0),""))),"")</f>
        <v>0</v>
      </c>
      <c r="AO72" s="42" t="n">
        <f aca="false">IFERROR(IF($C72="","",IF($D72="","",IFERROR(ROUND($D72*INDEX('🔖 배합비 참조'!$B$2:$CE$83,MATCH("마스카포네치즈",'🔖 배합비 참조'!$A$2:$A$83,0),MATCH($C72,'🔖 배합비 참조'!$B$1:$CE$1,0))/100,0),""))),"")</f>
        <v>0</v>
      </c>
      <c r="AP72" s="42" t="n">
        <f aca="false">IFERROR(IF($C72="","",IF($D72="","",IFERROR(ROUND($D72*INDEX('🔖 배합비 참조'!$B$2:$CE$83,MATCH("마카다미아분태(호주산)",'🔖 배합비 참조'!$A$2:$A$83,0),MATCH($C72,'🔖 배합비 참조'!$B$1:$CE$1,0))/100,0),""))),"")</f>
        <v>0</v>
      </c>
      <c r="AQ72" s="42" t="n">
        <f aca="false">IFERROR(IF($C72="","",IF($D72="","",IFERROR(ROUND($D72*INDEX('🔖 배합비 참조'!$B$2:$CE$83,MATCH("멥쌀(국내산)",'🔖 배합비 참조'!$A$2:$A$83,0),MATCH($C72,'🔖 배합비 참조'!$B$1:$CE$1,0))/100,0),""))),"")</f>
        <v>138</v>
      </c>
      <c r="AR72" s="42" t="n">
        <f aca="false">IFERROR(IF($C72="","",IF($D72="","",IFERROR(ROUND($D72*INDEX('🔖 배합비 참조'!$B$2:$CE$83,MATCH("모시잎(국내산)",'🔖 배합비 참조'!$A$2:$A$83,0),MATCH($C72,'🔖 배합비 참조'!$B$1:$CE$1,0))/100,0),""))),"")</f>
        <v>0</v>
      </c>
      <c r="AS72" s="42" t="n">
        <f aca="false">IFERROR(IF($C72="","",IF($D72="","",IFERROR(ROUND($D72*INDEX('🔖 배합비 참조'!$B$2:$CE$83,MATCH("물엿(저당물엿)",'🔖 배합비 참조'!$A$2:$A$83,0),MATCH($C72,'🔖 배합비 참조'!$B$1:$CE$1,0))/100,0),""))),"")</f>
        <v>0</v>
      </c>
      <c r="AT72" s="42" t="n">
        <f aca="false">IFERROR(IF($C72="","",IF($D72="","",IFERROR(ROUND($D72*INDEX('🔖 배합비 참조'!$B$2:$CE$83,MATCH("밤다이스",'🔖 배합비 참조'!$A$2:$A$83,0),MATCH($C72,'🔖 배합비 참조'!$B$1:$CE$1,0))/100,0),""))),"")</f>
        <v>0</v>
      </c>
      <c r="AU72" s="42" t="n">
        <f aca="false">IFERROR(IF($C72="","",IF($D72="","",IFERROR(ROUND($D72*INDEX('🔖 배합비 참조'!$B$2:$CE$83,MATCH("변성전분(타피오카전분)",'🔖 배합비 참조'!$A$2:$A$83,0),MATCH($C72,'🔖 배합비 참조'!$B$1:$CE$1,0))/100,0),""))),"")</f>
        <v>0</v>
      </c>
      <c r="AV72" s="42" t="n">
        <f aca="false">IFERROR(IF($C72="","",IF($D72="","",IFERROR(ROUND($D72*INDEX('🔖 배합비 참조'!$B$2:$CE$83,MATCH("복음땅콩분태",'🔖 배합비 참조'!$A$2:$A$83,0),MATCH($C72,'🔖 배합비 참조'!$B$1:$CE$1,0))/100,0),""))),"")</f>
        <v>0</v>
      </c>
      <c r="AW72" s="42" t="n">
        <f aca="false">IFERROR(IF($C72="","",IF($D72="","",IFERROR(ROUND($D72*INDEX('🔖 배합비 참조'!$B$2:$CE$83,MATCH("사양벌꿀(국내산)",'🔖 배합비 참조'!$A$2:$A$83,0),MATCH($C72,'🔖 배합비 참조'!$B$1:$CE$1,0))/100,0),""))),"")</f>
        <v>5</v>
      </c>
      <c r="AX72" s="42" t="n">
        <f aca="false">IFERROR(IF($C72="","",IF($D72="","",IFERROR(ROUND($D72*INDEX('🔖 배합비 참조'!$B$2:$CE$83,MATCH("생크림",'🔖 배합비 참조'!$A$2:$A$83,0),MATCH($C72,'🔖 배합비 참조'!$B$1:$CE$1,0))/100,0),""))),"")</f>
        <v>0</v>
      </c>
      <c r="AY72" s="42" t="n">
        <f aca="false">IFERROR(IF($C72="","",IF($D72="","",IFERROR(ROUND($D72*INDEX('🔖 배합비 참조'!$B$2:$CE$83,MATCH("서양호박(국내산,뉴질랜드산)",'🔖 배합비 참조'!$A$2:$A$83,0),MATCH($C72,'🔖 배합비 참조'!$B$1:$CE$1,0))/100,0),""))),"")</f>
        <v>0</v>
      </c>
      <c r="AZ72" s="42" t="n">
        <f aca="false">IFERROR(IF($C72="","",IF($D72="","",IFERROR(ROUND($D72*INDEX('🔖 배합비 참조'!$B$2:$CE$83,MATCH("설탕",'🔖 배합비 참조'!$A$2:$A$83,0),MATCH($C72,'🔖 배합비 참조'!$B$1:$CE$1,0))/100,0),""))),"")</f>
        <v>17</v>
      </c>
      <c r="BA72" s="42" t="n">
        <f aca="false">IFERROR(IF($C72="","",IF($D72="","",IFERROR(ROUND($D72*INDEX('🔖 배합비 참조'!$B$2:$CE$83,MATCH("스트로우베리 에이드 후레쉬",'🔖 배합비 참조'!$A$2:$A$83,0),MATCH($C72,'🔖 배합비 참조'!$B$1:$CE$1,0))/100,0),""))),"")</f>
        <v>0</v>
      </c>
      <c r="BB72" s="42" t="n">
        <f aca="false">IFERROR(IF($C72="","",IF($D72="","",IFERROR(ROUND($D72*INDEX('🔖 배합비 참조'!$B$2:$CE$83,MATCH("식물성기름혼합제제(분홍)",'🔖 배합비 참조'!$A$2:$A$83,0),MATCH($C72,'🔖 배합비 참조'!$B$1:$CE$1,0))/100,0),""))),"")</f>
        <v>0</v>
      </c>
      <c r="BC72" s="42" t="n">
        <f aca="false">IFERROR(IF($C72="","",IF($D72="","",IFERROR(ROUND($D72*INDEX('🔖 배합비 참조'!$B$2:$CE$83,MATCH("식물성기름혼합제제(초록)",'🔖 배합비 참조'!$A$2:$A$83,0),MATCH($C72,'🔖 배합비 참조'!$B$1:$CE$1,0))/100,0),""))),"")</f>
        <v>0</v>
      </c>
      <c r="BD72" s="42" t="n">
        <f aca="false">IFERROR(IF($C72="","",IF($D72="","",IFERROR(ROUND($D72*INDEX('🔖 배합비 참조'!$B$2:$CE$83,MATCH("식물성기름혼합제제(황색)",'🔖 배합비 참조'!$A$2:$A$83,0),MATCH($C72,'🔖 배합비 참조'!$B$1:$CE$1,0))/100,0),""))),"")</f>
        <v>0</v>
      </c>
      <c r="BE72" s="42" t="n">
        <f aca="false">IFERROR(IF($C72="","",IF($D72="","",IFERROR(ROUND($D72*INDEX('🔖 배합비 참조'!$B$2:$CE$83,MATCH("쑥가루(국내산)",'🔖 배합비 참조'!$A$2:$A$83,0),MATCH($C72,'🔖 배합비 참조'!$B$1:$CE$1,0))/100,0),""))),"")</f>
        <v>0</v>
      </c>
      <c r="BF72" s="42" t="n">
        <f aca="false">IFERROR(IF($C72="","",IF($D72="","",IFERROR(ROUND($D72*INDEX('🔖 배합비 참조'!$B$2:$CE$83,MATCH("아몬드슬라이스",'🔖 배합비 참조'!$A$2:$A$83,0),MATCH($C72,'🔖 배합비 참조'!$B$1:$CE$1,0))/100,0),""))),"")</f>
        <v>0</v>
      </c>
      <c r="BG72" s="42" t="n">
        <f aca="false">IFERROR(IF($C72="","",IF($D72="","",IFERROR(ROUND($D72*INDEX('🔖 배합비 참조'!$B$2:$CE$83,MATCH("알룰로오스(국내산)",'🔖 배합비 참조'!$A$2:$A$83,0),MATCH($C72,'🔖 배합비 참조'!$B$1:$CE$1,0))/100,0),""))),"")</f>
        <v>0</v>
      </c>
      <c r="BH72" s="42" t="n">
        <f aca="false">IFERROR(IF($C72="","",IF($D72="","",IFERROR(ROUND($D72*INDEX('🔖 배합비 참조'!$B$2:$CE$83,MATCH("연유",'🔖 배합비 참조'!$A$2:$A$83,0),MATCH($C72,'🔖 배합비 참조'!$B$1:$CE$1,0))/100,0),""))),"")</f>
        <v>0</v>
      </c>
      <c r="BI72" s="42" t="n">
        <f aca="false">IFERROR(IF($C72="","",IF($D72="","",IFERROR(ROUND($D72*INDEX('🔖 배합비 참조'!$B$2:$CE$83,MATCH("옥수수전분",'🔖 배합비 참조'!$A$2:$A$83,0),MATCH($C72,'🔖 배합비 참조'!$B$1:$CE$1,0))/100,0),""))),"")</f>
        <v>0</v>
      </c>
      <c r="BJ72" s="42" t="n">
        <f aca="false">IFERROR(IF($C72="","",IF($D72="","",IFERROR(ROUND($D72*INDEX('🔖 배합비 참조'!$B$2:$CE$83,MATCH("완두배기",'🔖 배합비 참조'!$A$2:$A$83,0),MATCH($C72,'🔖 배합비 참조'!$B$1:$CE$1,0))/100,0),""))),"")</f>
        <v>0</v>
      </c>
      <c r="BK72" s="42" t="n">
        <f aca="false">IFERROR(IF($C72="","",IF($D72="","",IFERROR(ROUND($D72*INDEX('🔖 배합비 참조'!$B$2:$CE$83,MATCH("우유(국내산)",'🔖 배합비 참조'!$A$2:$A$83,0),MATCH($C72,'🔖 배합비 참조'!$B$1:$CE$1,0))/100,0),""))),"")</f>
        <v>0</v>
      </c>
      <c r="BL72" s="42" t="n">
        <f aca="false">IFERROR(IF($C72="","",IF($D72="","",IFERROR(ROUND($D72*INDEX('🔖 배합비 참조'!$B$2:$CE$83,MATCH("자색고구마가루(중국산)",'🔖 배합비 참조'!$A$2:$A$83,0),MATCH($C72,'🔖 배합비 참조'!$B$1:$CE$1,0))/100,0),""))),"")</f>
        <v>0</v>
      </c>
      <c r="BM72" s="42" t="n">
        <f aca="false">IFERROR(IF($C72="","",IF($D72="","",IFERROR(ROUND($D72*INDEX('🔖 배합비 참조'!$B$2:$CE$83,MATCH("자연치즈(체다치즈)",'🔖 배합비 참조'!$A$2:$A$83,0),MATCH($C72,'🔖 배합비 참조'!$B$1:$CE$1,0))/100,0),""))),"")</f>
        <v>0</v>
      </c>
      <c r="BN72" s="42" t="n">
        <f aca="false">IFERROR(IF($C72="","",IF($D72="","",IFERROR(ROUND($D72*INDEX('🔖 배합비 참조'!$B$2:$CE$83,MATCH("정제수",'🔖 배합비 참조'!$A$2:$A$83,0),MATCH($C72,'🔖 배합비 참조'!$B$1:$CE$1,0))/100,0),""))),"")</f>
        <v>26</v>
      </c>
      <c r="BO72" s="42" t="n">
        <f aca="false">IFERROR(IF($C72="","",IF($D72="","",IFERROR(ROUND($D72*INDEX('🔖 배합비 참조'!$B$2:$CE$83,MATCH("젤라틴",'🔖 배합비 참조'!$A$2:$A$83,0),MATCH($C72,'🔖 배합비 참조'!$B$1:$CE$1,0))/100,0),""))),"")</f>
        <v>0</v>
      </c>
      <c r="BP72" s="42" t="n">
        <f aca="false">IFERROR(IF($C72="","",IF($D72="","",IFERROR(ROUND($D72*INDEX('🔖 배합비 참조'!$B$2:$CE$83,MATCH("조림류(백옥앙금)",'🔖 배합비 참조'!$A$2:$A$83,0),MATCH($C72,'🔖 배합비 참조'!$B$1:$CE$1,0))/100,0),""))),"")</f>
        <v>0</v>
      </c>
      <c r="BQ72" s="42" t="n">
        <f aca="false">IFERROR(IF($C72="","",IF($D72="","",IFERROR(ROUND($D72*INDEX('🔖 배합비 참조'!$B$2:$CE$83,MATCH("조림류(통팥앙금)",'🔖 배합비 참조'!$A$2:$A$83,0),MATCH($C72,'🔖 배합비 참조'!$B$1:$CE$1,0))/100,0),""))),"")</f>
        <v>0</v>
      </c>
      <c r="BR72" s="42" t="n">
        <f aca="false">IFERROR(IF($C72="","",IF($D72="","",IFERROR(ROUND($D72*INDEX('🔖 배합비 참조'!$B$2:$CE$83,MATCH("준초콜릿(외국산)",'🔖 배합비 참조'!$A$2:$A$83,0),MATCH($C72,'🔖 배합비 참조'!$B$1:$CE$1,0))/100,0),""))),"")</f>
        <v>0</v>
      </c>
      <c r="BS72" s="42" t="n">
        <f aca="false">IFERROR(IF($C72="","",IF($D72="","",IFERROR(ROUND($D72*INDEX('🔖 배합비 참조'!$B$2:$CE$83,MATCH("중력분",'🔖 배합비 참조'!$A$2:$A$83,0),MATCH($C72,'🔖 배합비 참조'!$B$1:$CE$1,0))/100,0),""))),"")</f>
        <v>0</v>
      </c>
      <c r="BT72" s="42" t="n">
        <f aca="false">IFERROR(IF($C72="","",IF($D72="","",IFERROR(ROUND($D72*INDEX('🔖 배합비 참조'!$B$2:$CE$83,MATCH("참깨(인도산,나이지리아산,탄자니아산,미얀마산)",'🔖 배합비 참조'!$A$2:$A$83,0),MATCH($C72,'🔖 배합비 참조'!$B$1:$CE$1,0))/100,0),""))),"")</f>
        <v>0</v>
      </c>
      <c r="BU72" s="42" t="n">
        <f aca="false">IFERROR(IF($C72="","",IF($D72="","",IFERROR(ROUND($D72*INDEX('🔖 배합비 참조'!$B$2:$CE$83,MATCH("찹쌀(국내산)",'🔖 배합비 참조'!$A$2:$A$83,0),MATCH($C72,'🔖 배합비 참조'!$B$1:$CE$1,0))/100,0),""))),"")</f>
        <v>0</v>
      </c>
      <c r="BV72" s="42" t="n">
        <f aca="false">IFERROR(IF($C72="","",IF($D72="","",IFERROR(ROUND($D72*INDEX('🔖 배합비 참조'!$B$2:$CE$83,MATCH("천일염",'🔖 배합비 참조'!$A$2:$A$83,0),MATCH($C72,'🔖 배합비 참조'!$B$1:$CE$1,0))/100,0),""))),"")</f>
        <v>2</v>
      </c>
      <c r="BW72" s="42" t="n">
        <f aca="false">IFERROR(IF($C72="","",IF($D72="","",IFERROR(ROUND($D72*INDEX('🔖 배합비 참조'!$B$2:$CE$83,MATCH("치즈 [크림치즈]",'🔖 배합비 참조'!$A$2:$A$83,0),MATCH($C72,'🔖 배합비 참조'!$B$1:$CE$1,0))/100,0),""))),"")</f>
        <v>0</v>
      </c>
      <c r="BX72" s="42" t="n">
        <f aca="false">IFERROR(IF($C72="","",IF($D72="","",IFERROR(ROUND($D72*INDEX('🔖 배합비 참조'!$B$2:$CE$83,MATCH("코코아가공품류(코코아분말)",'🔖 배합비 참조'!$A$2:$A$83,0),MATCH($C72,'🔖 배합비 참조'!$B$1:$CE$1,0))/100,0),""))),"")</f>
        <v>0</v>
      </c>
      <c r="BY72" s="42" t="n">
        <f aca="false">IFERROR(IF($C72="","",IF($D72="","",IFERROR(ROUND($D72*INDEX('🔖 배합비 참조'!$B$2:$CE$83,MATCH("콩기름(대두유)",'🔖 배합비 참조'!$A$2:$A$83,0),MATCH($C72,'🔖 배합비 참조'!$B$1:$CE$1,0))/100,0),""))),"")</f>
        <v>0</v>
      </c>
      <c r="BZ72" s="42" t="n">
        <f aca="false">IFERROR(IF($C72="","",IF($D72="","",IFERROR(ROUND($D72*INDEX('🔖 배합비 참조'!$B$2:$CE$83,MATCH("해바라기씨앗",'🔖 배합비 참조'!$A$2:$A$83,0),MATCH($C72,'🔖 배합비 참조'!$B$1:$CE$1,0))/100,0),""))),"")</f>
        <v>0</v>
      </c>
      <c r="CA72" s="42" t="n">
        <f aca="false">IFERROR(IF($C72="","",IF($D72="","",IFERROR(ROUND($D72*INDEX('🔖 배합비 참조'!$B$2:$CE$83,MATCH("현미(국내산)",'🔖 배합비 참조'!$A$2:$A$83,0),MATCH($C72,'🔖 배합비 참조'!$B$1:$CE$1,0))/100,0),""))),"")</f>
        <v>0</v>
      </c>
      <c r="CB72" s="42" t="n">
        <f aca="false">IFERROR(IF($C72="","",IF($D72="","",IFERROR(ROUND($D72*INDEX('🔖 배합비 참조'!$B$2:$CE$83,MATCH("현미멥쌀(국내산)",'🔖 배합비 참조'!$A$2:$A$83,0),MATCH($C72,'🔖 배합비 참조'!$B$1:$CE$1,0))/100,0),""))),"")</f>
        <v>0</v>
      </c>
      <c r="CC72" s="42" t="n">
        <f aca="false">IFERROR(IF($C72="","",IF($D72="","",IFERROR(ROUND($D72*INDEX('🔖 배합비 참조'!$B$2:$CE$83,MATCH("호두분태(미국산)",'🔖 배합비 참조'!$A$2:$A$83,0),MATCH($C72,'🔖 배합비 참조'!$B$1:$CE$1,0))/100,0),""))),"")</f>
        <v>0</v>
      </c>
      <c r="CD72" s="42" t="n">
        <f aca="false">IFERROR(IF($C72="","",IF($D72="","",IFERROR(ROUND($D72*INDEX('🔖 배합비 참조'!$B$2:$CE$83,MATCH("호박씨앗(외국산)",'🔖 배합비 참조'!$A$2:$A$83,0),MATCH($C72,'🔖 배합비 참조'!$B$1:$CE$1,0))/100,0),""))),"")</f>
        <v>0</v>
      </c>
      <c r="CE72" s="42" t="n">
        <f aca="false">IFERROR(IF($C72="","",IF($D72="","",IFERROR(ROUND($D72*INDEX('🔖 배합비 참조'!$B$2:$CE$83,MATCH("혼합제제(떡용에스텔)",'🔖 배합비 참조'!$A$2:$A$83,0),MATCH($C72,'🔖 배합비 참조'!$B$1:$CE$1,0))/100,0),""))),"")</f>
        <v>0</v>
      </c>
      <c r="CF72" s="42" t="n">
        <f aca="false">IFERROR(IF($C72="","",IF($D72="","",IFERROR(ROUND($D72*INDEX('🔖 배합비 참조'!$B$2:$CE$83,MATCH("혼합제제(스테비아)",'🔖 배합비 참조'!$A$2:$A$83,0),MATCH($C72,'🔖 배합비 참조'!$B$1:$CE$1,0))/100,0),""))),"")</f>
        <v>0</v>
      </c>
      <c r="CG72" s="42" t="n">
        <f aca="false">IFERROR(IF($C72="","",IF($D72="","",IFERROR(ROUND($D72*INDEX('🔖 배합비 참조'!$B$2:$CE$83,MATCH("화이트초콜릿",'🔖 배합비 참조'!$A$2:$A$83,0),MATCH($C72,'🔖 배합비 참조'!$B$1:$CE$1,0))/100,0),""))),"")</f>
        <v>0</v>
      </c>
      <c r="CH72" s="42" t="n">
        <f aca="false">IFERROR(IF($C72="","",IF($D72="","",IFERROR(ROUND($D72*INDEX('🔖 배합비 참조'!$B$2:$CE$83,MATCH("흑미찹쌀(국내산)",'🔖 배합비 참조'!$A$2:$A$83,0),MATCH($C72,'🔖 배합비 참조'!$B$1:$CE$1,0))/100,0),""))),"")</f>
        <v>0</v>
      </c>
      <c r="CI72" s="42" t="n">
        <f aca="false">IFERROR(IF($C72="","",IF($D72="","",IFERROR(ROUND($D72*INDEX('🔖 배합비 참조'!$B$2:$CE$83,MATCH("찰옥수수전분(미국산)",'🔖 배합비 참조'!$A$2:$A$83,0),MATCH($C72,'🔖 배합비 참조'!$B$1:$CE$1,0))/100,0),""))),"")</f>
        <v>0</v>
      </c>
      <c r="CJ72" s="40"/>
      <c r="CL72" s="1" t="s">
        <v>238</v>
      </c>
    </row>
    <row r="73" customFormat="false" ht="18" hidden="false" customHeight="true" outlineLevel="0" collapsed="false">
      <c r="A73" s="35" t="n">
        <v>69</v>
      </c>
      <c r="B73" s="36" t="n">
        <v>45975</v>
      </c>
      <c r="C73" s="37" t="s">
        <v>184</v>
      </c>
      <c r="D73" s="38" t="n">
        <v>70</v>
      </c>
      <c r="E73" s="13"/>
      <c r="F73" s="13"/>
      <c r="G73" s="39" t="n">
        <f aca="false">IFERROR(IF($C73="","",IF($D73="","",IFERROR(ROUND($D73*INDEX('🔖 배합비 참조'!$B$2:$CE$83,MATCH("간장",'🔖 배합비 참조'!$A$2:$A$83,0),MATCH($C73,'🔖 배합비 참조'!$B$1:$CE$1,0))/100,0),""))),"")</f>
        <v>0</v>
      </c>
      <c r="H73" s="39" t="n">
        <f aca="false">IFERROR(IF($C73="","",IF($D73="","",IFERROR(ROUND($D73*INDEX('🔖 배합비 참조'!$B$2:$CE$83,MATCH("강낭콩((울타리콩))",'🔖 배합비 참조'!$A$2:$A$83,0),MATCH($C73,'🔖 배합비 참조'!$B$1:$CE$1,0))/100,0),""))),"")</f>
        <v>0</v>
      </c>
      <c r="I73" s="39" t="n">
        <f aca="false">IFERROR(IF($C73="","",IF($D73="","",IFERROR(ROUND($D73*INDEX('🔖 배합비 참조'!$B$2:$CE$83,MATCH("건조딸기다이스(외국산)",'🔖 배합비 참조'!$A$2:$A$83,0),MATCH($C73,'🔖 배합비 참조'!$B$1:$CE$1,0))/100,0),""))),"")</f>
        <v>0</v>
      </c>
      <c r="J73" s="39" t="n">
        <f aca="false">IFERROR(IF($C73="","",IF($D73="","",IFERROR(ROUND($D73*INDEX('🔖 배합비 참조'!$B$2:$CE$83,MATCH("건포도",'🔖 배합비 참조'!$A$2:$A$83,0),MATCH($C73,'🔖 배합비 참조'!$B$1:$CE$1,0))/100,0),""))),"")</f>
        <v>0</v>
      </c>
      <c r="K73" s="39" t="n">
        <f aca="false">IFERROR(IF($C73="","",IF($D73="","",IFERROR(ROUND($D73*INDEX('🔖 배합비 참조'!$B$2:$CE$83,MATCH("건호박채(중국산)",'🔖 배합비 참조'!$A$2:$A$83,0),MATCH($C73,'🔖 배합비 참조'!$B$1:$CE$1,0))/100,0),""))),"")</f>
        <v>0</v>
      </c>
      <c r="L73" s="39" t="n">
        <f aca="false">IFERROR(IF($C73="","",IF($D73="","",IFERROR(ROUND($D73*INDEX('🔖 배합비 참조'!$B$2:$CE$83,MATCH("검정깨(흑임자)",'🔖 배합비 참조'!$A$2:$A$83,0),MATCH($C73,'🔖 배합비 참조'!$B$1:$CE$1,0))/100,0),""))),"")</f>
        <v>0</v>
      </c>
      <c r="M73" s="39" t="n">
        <f aca="false">IFERROR(IF($C73="","",IF($D73="","",IFERROR(ROUND($D73*INDEX('🔖 배합비 참조'!$B$2:$CE$83,MATCH("검정콩",'🔖 배합비 참조'!$A$2:$A$83,0),MATCH($C73,'🔖 배합비 참조'!$B$1:$CE$1,0))/100,0),""))),"")</f>
        <v>0</v>
      </c>
      <c r="N73" s="39" t="n">
        <f aca="false">IFERROR(IF($C73="","",IF($D73="","",IFERROR(ROUND($D73*INDEX('🔖 배합비 참조'!$B$2:$CE$83,MATCH("계피가루",'🔖 배합비 참조'!$A$2:$A$83,0),MATCH($C73,'🔖 배합비 참조'!$B$1:$CE$1,0))/100,0),""))),"")</f>
        <v>0</v>
      </c>
      <c r="O73" s="39" t="n">
        <f aca="false">IFERROR(IF($C73="","",IF($D73="","",IFERROR(ROUND($D73*INDEX('🔖 배합비 참조'!$B$2:$CE$83,MATCH("고구마가루",'🔖 배합비 참조'!$A$2:$A$83,0),MATCH($C73,'🔖 배합비 참조'!$B$1:$CE$1,0))/100,0),""))),"")</f>
        <v>0</v>
      </c>
      <c r="P73" s="39" t="n">
        <f aca="false">IFERROR(IF($C73="","",IF($D73="","",IFERROR(ROUND($D73*INDEX('🔖 배합비 참조'!$B$2:$CE$83,MATCH("고구마무스",'🔖 배합비 참조'!$A$2:$A$83,0),MATCH($C73,'🔖 배합비 참조'!$B$1:$CE$1,0))/100,0),""))),"")</f>
        <v>0</v>
      </c>
      <c r="Q73" s="39" t="n">
        <f aca="false">IFERROR(IF($C73="","",IF($D73="","",IFERROR(ROUND($D73*INDEX('🔖 배합비 참조'!$B$2:$CE$83,MATCH("고려엉겅퀴((곤드레)국내산)",'🔖 배합비 참조'!$A$2:$A$83,0),MATCH($C73,'🔖 배합비 참조'!$B$1:$CE$1,0))/100,0),""))),"")</f>
        <v>0</v>
      </c>
      <c r="R73" s="39" t="n">
        <f aca="false">IFERROR(IF($C73="","",IF($D73="","",IFERROR(ROUND($D73*INDEX('🔖 배합비 참조'!$B$2:$CE$83,MATCH("기타가공품(복분자가루)",'🔖 배합비 참조'!$A$2:$A$83,0),MATCH($C73,'🔖 배합비 참조'!$B$1:$CE$1,0))/100,0),""))),"")</f>
        <v>0</v>
      </c>
      <c r="S73" s="39" t="n">
        <f aca="false">IFERROR(IF($C73="","",IF($D73="","",IFERROR(ROUND($D73*INDEX('🔖 배합비 참조'!$B$2:$CE$83,MATCH("기타가공품(슈퍼소프트엠)",'🔖 배합비 참조'!$A$2:$A$83,0),MATCH($C73,'🔖 배합비 참조'!$B$1:$CE$1,0))/100,0),""))),"")</f>
        <v>0</v>
      </c>
      <c r="T73" s="39" t="n">
        <f aca="false">IFERROR(IF($C73="","",IF($D73="","",IFERROR(ROUND($D73*INDEX('🔖 배합비 참조'!$B$2:$CE$83,MATCH("기타가공품(파인소프트 E-티)",'🔖 배합비 참조'!$A$2:$A$83,0),MATCH($C73,'🔖 배합비 참조'!$B$1:$CE$1,0))/100,0),""))),"")</f>
        <v>0</v>
      </c>
      <c r="U73" s="39" t="n">
        <f aca="false">IFERROR(IF($C73="","",IF($D73="","",IFERROR(ROUND($D73*INDEX('🔖 배합비 참조'!$B$2:$CE$83,MATCH("기타가공품(프리미엄카스테라가루)",'🔖 배합비 참조'!$A$2:$A$83,0),MATCH($C73,'🔖 배합비 참조'!$B$1:$CE$1,0))/100,0),""))),"")</f>
        <v>0</v>
      </c>
      <c r="V73" s="39" t="n">
        <f aca="false">IFERROR(IF($C73="","",IF($D73="","",IFERROR(ROUND($D73*INDEX('🔖 배합비 참조'!$B$2:$CE$83,MATCH("기타가공품(흑임자가루)",'🔖 배합비 참조'!$A$2:$A$83,0),MATCH($C73,'🔖 배합비 참조'!$B$1:$CE$1,0))/100,0),""))),"")</f>
        <v>0</v>
      </c>
      <c r="W73" s="39" t="n">
        <f aca="false">IFERROR(IF($C73="","",IF($D73="","",IFERROR(ROUND($D73*INDEX('🔖 배합비 참조'!$B$2:$CE$83,MATCH("기타설탕(흑설탕)",'🔖 배합비 참조'!$A$2:$A$83,0),MATCH($C73,'🔖 배합비 참조'!$B$1:$CE$1,0))/100,0),""))),"")</f>
        <v>0</v>
      </c>
      <c r="X73" s="39" t="n">
        <f aca="false">IFERROR(IF($C73="","",IF($D73="","",IFERROR(ROUND($D73*INDEX('🔖 배합비 참조'!$B$2:$CE$83,MATCH("냉동쑥(국내산)",'🔖 배합비 참조'!$A$2:$A$83,0),MATCH($C73,'🔖 배합비 참조'!$B$1:$CE$1,0))/100,0),""))),"")</f>
        <v>0</v>
      </c>
      <c r="Y73" s="39" t="n">
        <f aca="false">IFERROR(IF($C73="","",IF($D73="","",IFERROR(ROUND($D73*INDEX('🔖 배합비 참조'!$B$2:$CE$83,MATCH("냉동증숙고구마(중국산)",'🔖 배합비 참조'!$A$2:$A$83,0),MATCH($C73,'🔖 배합비 참조'!$B$1:$CE$1,0))/100,0),""))),"")</f>
        <v>0</v>
      </c>
      <c r="Z73" s="39" t="n">
        <f aca="false">IFERROR(IF($C73="","",IF($D73="","",IFERROR(ROUND($D73*INDEX('🔖 배합비 참조'!$B$2:$CE$83,MATCH("녹차가루",'🔖 배합비 참조'!$A$2:$A$83,0),MATCH($C73,'🔖 배합비 참조'!$B$1:$CE$1,0))/100,0),""))),"")</f>
        <v>0</v>
      </c>
      <c r="AA73" s="39" t="n">
        <f aca="false">IFERROR(IF($C73="","",IF($D73="","",IFERROR(ROUND($D73*INDEX('🔖 배합비 참조'!$B$2:$CE$83,MATCH("다크초콜릿 컴파운드칩",'🔖 배합비 참조'!$A$2:$A$83,0),MATCH($C73,'🔖 배합비 참조'!$B$1:$CE$1,0))/100,0),""))),"")</f>
        <v>0</v>
      </c>
      <c r="AB73" s="39" t="n">
        <f aca="false">IFERROR(IF($C73="","",IF($D73="","",IFERROR(ROUND($D73*INDEX('🔖 배합비 참조'!$B$2:$CE$83,MATCH("단호박분말(중국산)",'🔖 배합비 참조'!$A$2:$A$83,0),MATCH($C73,'🔖 배합비 참조'!$B$1:$CE$1,0))/100,0),""))),"")</f>
        <v>0</v>
      </c>
      <c r="AC73" s="39" t="n">
        <f aca="false">IFERROR(IF($C73="","",IF($D73="","",IFERROR(ROUND($D73*INDEX('🔖 배합비 참조'!$B$2:$CE$83,MATCH("당류가공품(단호박농축액)",'🔖 배합비 참조'!$A$2:$A$83,0),MATCH($C73,'🔖 배합비 참조'!$B$1:$CE$1,0))/100,0),""))),"")</f>
        <v>0</v>
      </c>
      <c r="AD73" s="39" t="n">
        <f aca="false">IFERROR(IF($C73="","",IF($D73="","",IFERROR(ROUND($D73*INDEX('🔖 배합비 참조'!$B$2:$CE$83,MATCH("당류가공품(알룰로스,에리스리톨,스테비올배당체혼합)",'🔖 배합비 참조'!$A$2:$A$83,0),MATCH($C73,'🔖 배합비 참조'!$B$1:$CE$1,0))/100,0),""))),"")</f>
        <v>0</v>
      </c>
      <c r="AE73" s="39" t="n">
        <f aca="false">IFERROR(IF($C73="","",IF($D73="","",IFERROR(ROUND($D73*INDEX('🔖 배합비 참조'!$B$2:$CE$83,MATCH("당류가공품(알룰로스제로파우더)",'🔖 배합비 참조'!$A$2:$A$83,0),MATCH($C73,'🔖 배합비 참조'!$B$1:$CE$1,0))/100,0),""))),"")</f>
        <v>0</v>
      </c>
      <c r="AF73" s="39" t="n">
        <f aca="false">IFERROR(IF($C73="","",IF($D73="","",IFERROR(ROUND($D73*INDEX('🔖 배합비 참조'!$B$2:$CE$83,MATCH("당절임(완두배기)",'🔖 배합비 참조'!$A$2:$A$83,0),MATCH($C73,'🔖 배합비 참조'!$B$1:$CE$1,0))/100,0),""))),"")</f>
        <v>0</v>
      </c>
      <c r="AG73" s="39" t="n">
        <f aca="false">IFERROR(IF($C73="","",IF($D73="","",IFERROR(ROUND($D73*INDEX('🔖 배합비 참조'!$B$2:$CE$83,MATCH("대추농축액",'🔖 배합비 참조'!$A$2:$A$83,0),MATCH($C73,'🔖 배합비 참조'!$B$1:$CE$1,0))/100,0),""))),"")</f>
        <v>0</v>
      </c>
      <c r="AH73" s="39" t="n">
        <f aca="false">IFERROR(IF($C73="","",IF($D73="","",IFERROR(ROUND($D73*INDEX('🔖 배합비 참조'!$B$2:$CE$83,MATCH("대추채(국내산)",'🔖 배합비 참조'!$A$2:$A$83,0),MATCH($C73,'🔖 배합비 참조'!$B$1:$CE$1,0))/100,0),""))),"")</f>
        <v>0</v>
      </c>
      <c r="AI73" s="39" t="n">
        <f aca="false">IFERROR(IF($C73="","",IF($D73="","",IFERROR(ROUND($D73*INDEX('🔖 배합비 참조'!$B$2:$CE$83,MATCH("동부(미얀마산)",'🔖 배합비 참조'!$A$2:$A$83,0),MATCH($C73,'🔖 배합비 참조'!$B$1:$CE$1,0))/100,0),""))),"")</f>
        <v>0</v>
      </c>
      <c r="AJ73" s="39" t="n">
        <f aca="false">IFERROR(IF($C73="","",IF($D73="","",IFERROR(ROUND($D73*INDEX('🔖 배합비 참조'!$B$2:$CE$83,MATCH("두류가공품(백옥앙금)",'🔖 배합비 참조'!$A$2:$A$83,0),MATCH($C73,'🔖 배합비 참조'!$B$1:$CE$1,0))/100,0),""))),"")</f>
        <v>0</v>
      </c>
      <c r="AK73" s="39" t="n">
        <f aca="false">IFERROR(IF($C73="","",IF($D73="","",IFERROR(ROUND($D73*INDEX('🔖 배합비 참조'!$B$2:$CE$83,MATCH("두류가공품(콩고물)",'🔖 배합비 참조'!$A$2:$A$83,0),MATCH($C73,'🔖 배합비 참조'!$B$1:$CE$1,0))/100,0),""))),"")</f>
        <v>0</v>
      </c>
      <c r="AL73" s="39" t="n">
        <f aca="false">IFERROR(IF($C73="","",IF($D73="","",IFERROR(ROUND($D73*INDEX('🔖 배합비 참조'!$B$2:$CE$83,MATCH("두류가공품(통팥고물)",'🔖 배합비 참조'!$A$2:$A$83,0),MATCH($C73,'🔖 배합비 참조'!$B$1:$CE$1,0))/100,0),""))),"")</f>
        <v>0</v>
      </c>
      <c r="AM73" s="39" t="n">
        <f aca="false">IFERROR(IF($C73="","",IF($D73="","",IFERROR(ROUND($D73*INDEX('🔖 배합비 참조'!$B$2:$CE$83,MATCH("딸기레진",'🔖 배합비 참조'!$A$2:$A$83,0),MATCH($C73,'🔖 배합비 참조'!$B$1:$CE$1,0))/100,0),""))),"")</f>
        <v>0</v>
      </c>
      <c r="AN73" s="39" t="n">
        <f aca="false">IFERROR(IF($C73="","",IF($D73="","",IFERROR(ROUND($D73*INDEX('🔖 배합비 참조'!$B$2:$CE$83,MATCH("딸기분말(스트로우베리에이드(분말))",'🔖 배합비 참조'!$A$2:$A$83,0),MATCH($C73,'🔖 배합비 참조'!$B$1:$CE$1,0))/100,0),""))),"")</f>
        <v>0</v>
      </c>
      <c r="AO73" s="39" t="n">
        <f aca="false">IFERROR(IF($C73="","",IF($D73="","",IFERROR(ROUND($D73*INDEX('🔖 배합비 참조'!$B$2:$CE$83,MATCH("마스카포네치즈",'🔖 배합비 참조'!$A$2:$A$83,0),MATCH($C73,'🔖 배합비 참조'!$B$1:$CE$1,0))/100,0),""))),"")</f>
        <v>0</v>
      </c>
      <c r="AP73" s="39" t="n">
        <f aca="false">IFERROR(IF($C73="","",IF($D73="","",IFERROR(ROUND($D73*INDEX('🔖 배합비 참조'!$B$2:$CE$83,MATCH("마카다미아분태(호주산)",'🔖 배합비 참조'!$A$2:$A$83,0),MATCH($C73,'🔖 배합비 참조'!$B$1:$CE$1,0))/100,0),""))),"")</f>
        <v>0</v>
      </c>
      <c r="AQ73" s="39" t="n">
        <f aca="false">IFERROR(IF($C73="","",IF($D73="","",IFERROR(ROUND($D73*INDEX('🔖 배합비 참조'!$B$2:$CE$83,MATCH("멥쌀(국내산)",'🔖 배합비 참조'!$A$2:$A$83,0),MATCH($C73,'🔖 배합비 참조'!$B$1:$CE$1,0))/100,0),""))),"")</f>
        <v>49</v>
      </c>
      <c r="AR73" s="39" t="n">
        <f aca="false">IFERROR(IF($C73="","",IF($D73="","",IFERROR(ROUND($D73*INDEX('🔖 배합비 참조'!$B$2:$CE$83,MATCH("모시잎(국내산)",'🔖 배합비 참조'!$A$2:$A$83,0),MATCH($C73,'🔖 배합비 참조'!$B$1:$CE$1,0))/100,0),""))),"")</f>
        <v>0</v>
      </c>
      <c r="AS73" s="39" t="n">
        <f aca="false">IFERROR(IF($C73="","",IF($D73="","",IFERROR(ROUND($D73*INDEX('🔖 배합비 참조'!$B$2:$CE$83,MATCH("물엿(저당물엿)",'🔖 배합비 참조'!$A$2:$A$83,0),MATCH($C73,'🔖 배합비 참조'!$B$1:$CE$1,0))/100,0),""))),"")</f>
        <v>0</v>
      </c>
      <c r="AT73" s="39" t="n">
        <f aca="false">IFERROR(IF($C73="","",IF($D73="","",IFERROR(ROUND($D73*INDEX('🔖 배합비 참조'!$B$2:$CE$83,MATCH("밤다이스",'🔖 배합비 참조'!$A$2:$A$83,0),MATCH($C73,'🔖 배합비 참조'!$B$1:$CE$1,0))/100,0),""))),"")</f>
        <v>0</v>
      </c>
      <c r="AU73" s="39" t="n">
        <f aca="false">IFERROR(IF($C73="","",IF($D73="","",IFERROR(ROUND($D73*INDEX('🔖 배합비 참조'!$B$2:$CE$83,MATCH("변성전분(타피오카전분)",'🔖 배합비 참조'!$A$2:$A$83,0),MATCH($C73,'🔖 배합비 참조'!$B$1:$CE$1,0))/100,0),""))),"")</f>
        <v>0</v>
      </c>
      <c r="AV73" s="39" t="n">
        <f aca="false">IFERROR(IF($C73="","",IF($D73="","",IFERROR(ROUND($D73*INDEX('🔖 배합비 참조'!$B$2:$CE$83,MATCH("복음땅콩분태",'🔖 배합비 참조'!$A$2:$A$83,0),MATCH($C73,'🔖 배합비 참조'!$B$1:$CE$1,0))/100,0),""))),"")</f>
        <v>0</v>
      </c>
      <c r="AW73" s="39" t="n">
        <f aca="false">IFERROR(IF($C73="","",IF($D73="","",IFERROR(ROUND($D73*INDEX('🔖 배합비 참조'!$B$2:$CE$83,MATCH("사양벌꿀(국내산)",'🔖 배합비 참조'!$A$2:$A$83,0),MATCH($C73,'🔖 배합비 참조'!$B$1:$CE$1,0))/100,0),""))),"")</f>
        <v>0</v>
      </c>
      <c r="AX73" s="39" t="n">
        <f aca="false">IFERROR(IF($C73="","",IF($D73="","",IFERROR(ROUND($D73*INDEX('🔖 배합비 참조'!$B$2:$CE$83,MATCH("생크림",'🔖 배합비 참조'!$A$2:$A$83,0),MATCH($C73,'🔖 배합비 참조'!$B$1:$CE$1,0))/100,0),""))),"")</f>
        <v>0</v>
      </c>
      <c r="AY73" s="39" t="n">
        <f aca="false">IFERROR(IF($C73="","",IF($D73="","",IFERROR(ROUND($D73*INDEX('🔖 배합비 참조'!$B$2:$CE$83,MATCH("서양호박(국내산,뉴질랜드산)",'🔖 배합비 참조'!$A$2:$A$83,0),MATCH($C73,'🔖 배합비 참조'!$B$1:$CE$1,0))/100,0),""))),"")</f>
        <v>0</v>
      </c>
      <c r="AZ73" s="39" t="n">
        <f aca="false">IFERROR(IF($C73="","",IF($D73="","",IFERROR(ROUND($D73*INDEX('🔖 배합비 참조'!$B$2:$CE$83,MATCH("설탕",'🔖 배합비 참조'!$A$2:$A$83,0),MATCH($C73,'🔖 배합비 참조'!$B$1:$CE$1,0))/100,0),""))),"")</f>
        <v>8</v>
      </c>
      <c r="BA73" s="39" t="n">
        <f aca="false">IFERROR(IF($C73="","",IF($D73="","",IFERROR(ROUND($D73*INDEX('🔖 배합비 참조'!$B$2:$CE$83,MATCH("스트로우베리 에이드 후레쉬",'🔖 배합비 참조'!$A$2:$A$83,0),MATCH($C73,'🔖 배합비 참조'!$B$1:$CE$1,0))/100,0),""))),"")</f>
        <v>0</v>
      </c>
      <c r="BB73" s="39" t="n">
        <f aca="false">IFERROR(IF($C73="","",IF($D73="","",IFERROR(ROUND($D73*INDEX('🔖 배합비 참조'!$B$2:$CE$83,MATCH("식물성기름혼합제제(분홍)",'🔖 배합비 참조'!$A$2:$A$83,0),MATCH($C73,'🔖 배합비 참조'!$B$1:$CE$1,0))/100,0),""))),"")</f>
        <v>0</v>
      </c>
      <c r="BC73" s="39" t="n">
        <f aca="false">IFERROR(IF($C73="","",IF($D73="","",IFERROR(ROUND($D73*INDEX('🔖 배합비 참조'!$B$2:$CE$83,MATCH("식물성기름혼합제제(초록)",'🔖 배합비 참조'!$A$2:$A$83,0),MATCH($C73,'🔖 배합비 참조'!$B$1:$CE$1,0))/100,0),""))),"")</f>
        <v>0</v>
      </c>
      <c r="BD73" s="39" t="n">
        <f aca="false">IFERROR(IF($C73="","",IF($D73="","",IFERROR(ROUND($D73*INDEX('🔖 배합비 참조'!$B$2:$CE$83,MATCH("식물성기름혼합제제(황색)",'🔖 배합비 참조'!$A$2:$A$83,0),MATCH($C73,'🔖 배합비 참조'!$B$1:$CE$1,0))/100,0),""))),"")</f>
        <v>0</v>
      </c>
      <c r="BE73" s="39" t="n">
        <f aca="false">IFERROR(IF($C73="","",IF($D73="","",IFERROR(ROUND($D73*INDEX('🔖 배합비 참조'!$B$2:$CE$83,MATCH("쑥가루(국내산)",'🔖 배합비 참조'!$A$2:$A$83,0),MATCH($C73,'🔖 배합비 참조'!$B$1:$CE$1,0))/100,0),""))),"")</f>
        <v>0</v>
      </c>
      <c r="BF73" s="39" t="n">
        <f aca="false">IFERROR(IF($C73="","",IF($D73="","",IFERROR(ROUND($D73*INDEX('🔖 배합비 참조'!$B$2:$CE$83,MATCH("아몬드슬라이스",'🔖 배합비 참조'!$A$2:$A$83,0),MATCH($C73,'🔖 배합비 참조'!$B$1:$CE$1,0))/100,0),""))),"")</f>
        <v>0</v>
      </c>
      <c r="BG73" s="39" t="n">
        <f aca="false">IFERROR(IF($C73="","",IF($D73="","",IFERROR(ROUND($D73*INDEX('🔖 배합비 참조'!$B$2:$CE$83,MATCH("알룰로오스(국내산)",'🔖 배합비 참조'!$A$2:$A$83,0),MATCH($C73,'🔖 배합비 참조'!$B$1:$CE$1,0))/100,0),""))),"")</f>
        <v>0</v>
      </c>
      <c r="BH73" s="39" t="n">
        <f aca="false">IFERROR(IF($C73="","",IF($D73="","",IFERROR(ROUND($D73*INDEX('🔖 배합비 참조'!$B$2:$CE$83,MATCH("연유",'🔖 배합비 참조'!$A$2:$A$83,0),MATCH($C73,'🔖 배합비 참조'!$B$1:$CE$1,0))/100,0),""))),"")</f>
        <v>0</v>
      </c>
      <c r="BI73" s="39" t="n">
        <f aca="false">IFERROR(IF($C73="","",IF($D73="","",IFERROR(ROUND($D73*INDEX('🔖 배합비 참조'!$B$2:$CE$83,MATCH("옥수수전분",'🔖 배합비 참조'!$A$2:$A$83,0),MATCH($C73,'🔖 배합비 참조'!$B$1:$CE$1,0))/100,0),""))),"")</f>
        <v>0</v>
      </c>
      <c r="BJ73" s="39" t="n">
        <f aca="false">IFERROR(IF($C73="","",IF($D73="","",IFERROR(ROUND($D73*INDEX('🔖 배합비 참조'!$B$2:$CE$83,MATCH("완두배기",'🔖 배합비 참조'!$A$2:$A$83,0),MATCH($C73,'🔖 배합비 참조'!$B$1:$CE$1,0))/100,0),""))),"")</f>
        <v>0</v>
      </c>
      <c r="BK73" s="39" t="n">
        <f aca="false">IFERROR(IF($C73="","",IF($D73="","",IFERROR(ROUND($D73*INDEX('🔖 배합비 참조'!$B$2:$CE$83,MATCH("우유(국내산)",'🔖 배합비 참조'!$A$2:$A$83,0),MATCH($C73,'🔖 배합비 참조'!$B$1:$CE$1,0))/100,0),""))),"")</f>
        <v>6</v>
      </c>
      <c r="BL73" s="39" t="n">
        <f aca="false">IFERROR(IF($C73="","",IF($D73="","",IFERROR(ROUND($D73*INDEX('🔖 배합비 참조'!$B$2:$CE$83,MATCH("자색고구마가루(중국산)",'🔖 배합비 참조'!$A$2:$A$83,0),MATCH($C73,'🔖 배합비 참조'!$B$1:$CE$1,0))/100,0),""))),"")</f>
        <v>0</v>
      </c>
      <c r="BM73" s="39" t="n">
        <f aca="false">IFERROR(IF($C73="","",IF($D73="","",IFERROR(ROUND($D73*INDEX('🔖 배합비 참조'!$B$2:$CE$83,MATCH("자연치즈(체다치즈)",'🔖 배합비 참조'!$A$2:$A$83,0),MATCH($C73,'🔖 배합비 참조'!$B$1:$CE$1,0))/100,0),""))),"")</f>
        <v>0</v>
      </c>
      <c r="BN73" s="39" t="n">
        <f aca="false">IFERROR(IF($C73="","",IF($D73="","",IFERROR(ROUND($D73*INDEX('🔖 배합비 참조'!$B$2:$CE$83,MATCH("정제수",'🔖 배합비 참조'!$A$2:$A$83,0),MATCH($C73,'🔖 배합비 참조'!$B$1:$CE$1,0))/100,0),""))),"")</f>
        <v>6</v>
      </c>
      <c r="BO73" s="39" t="n">
        <f aca="false">IFERROR(IF($C73="","",IF($D73="","",IFERROR(ROUND($D73*INDEX('🔖 배합비 참조'!$B$2:$CE$83,MATCH("젤라틴",'🔖 배합비 참조'!$A$2:$A$83,0),MATCH($C73,'🔖 배합비 참조'!$B$1:$CE$1,0))/100,0),""))),"")</f>
        <v>0</v>
      </c>
      <c r="BP73" s="39" t="n">
        <f aca="false">IFERROR(IF($C73="","",IF($D73="","",IFERROR(ROUND($D73*INDEX('🔖 배합비 참조'!$B$2:$CE$83,MATCH("조림류(백옥앙금)",'🔖 배합비 참조'!$A$2:$A$83,0),MATCH($C73,'🔖 배합비 참조'!$B$1:$CE$1,0))/100,0),""))),"")</f>
        <v>0</v>
      </c>
      <c r="BQ73" s="39" t="n">
        <f aca="false">IFERROR(IF($C73="","",IF($D73="","",IFERROR(ROUND($D73*INDEX('🔖 배합비 참조'!$B$2:$CE$83,MATCH("조림류(통팥앙금)",'🔖 배합비 참조'!$A$2:$A$83,0),MATCH($C73,'🔖 배합비 참조'!$B$1:$CE$1,0))/100,0),""))),"")</f>
        <v>0</v>
      </c>
      <c r="BR73" s="39" t="n">
        <f aca="false">IFERROR(IF($C73="","",IF($D73="","",IFERROR(ROUND($D73*INDEX('🔖 배합비 참조'!$B$2:$CE$83,MATCH("준초콜릿(외국산)",'🔖 배합비 참조'!$A$2:$A$83,0),MATCH($C73,'🔖 배합비 참조'!$B$1:$CE$1,0))/100,0),""))),"")</f>
        <v>0</v>
      </c>
      <c r="BS73" s="39" t="n">
        <f aca="false">IFERROR(IF($C73="","",IF($D73="","",IFERROR(ROUND($D73*INDEX('🔖 배합비 참조'!$B$2:$CE$83,MATCH("중력분",'🔖 배합비 참조'!$A$2:$A$83,0),MATCH($C73,'🔖 배합비 참조'!$B$1:$CE$1,0))/100,0),""))),"")</f>
        <v>0</v>
      </c>
      <c r="BT73" s="39" t="n">
        <f aca="false">IFERROR(IF($C73="","",IF($D73="","",IFERROR(ROUND($D73*INDEX('🔖 배합비 참조'!$B$2:$CE$83,MATCH("참깨(인도산,나이지리아산,탄자니아산,미얀마산)",'🔖 배합비 참조'!$A$2:$A$83,0),MATCH($C73,'🔖 배합비 참조'!$B$1:$CE$1,0))/100,0),""))),"")</f>
        <v>0</v>
      </c>
      <c r="BU73" s="39" t="n">
        <f aca="false">IFERROR(IF($C73="","",IF($D73="","",IFERROR(ROUND($D73*INDEX('🔖 배합비 참조'!$B$2:$CE$83,MATCH("찹쌀(국내산)",'🔖 배합비 참조'!$A$2:$A$83,0),MATCH($C73,'🔖 배합비 참조'!$B$1:$CE$1,0))/100,0),""))),"")</f>
        <v>0</v>
      </c>
      <c r="BV73" s="39" t="n">
        <f aca="false">IFERROR(IF($C73="","",IF($D73="","",IFERROR(ROUND($D73*INDEX('🔖 배합비 참조'!$B$2:$CE$83,MATCH("천일염",'🔖 배합비 참조'!$A$2:$A$83,0),MATCH($C73,'🔖 배합비 참조'!$B$1:$CE$1,0))/100,0),""))),"")</f>
        <v>1</v>
      </c>
      <c r="BW73" s="39" t="n">
        <f aca="false">IFERROR(IF($C73="","",IF($D73="","",IFERROR(ROUND($D73*INDEX('🔖 배합비 참조'!$B$2:$CE$83,MATCH("치즈 [크림치즈]",'🔖 배합비 참조'!$A$2:$A$83,0),MATCH($C73,'🔖 배합비 참조'!$B$1:$CE$1,0))/100,0),""))),"")</f>
        <v>0</v>
      </c>
      <c r="BX73" s="39" t="n">
        <f aca="false">IFERROR(IF($C73="","",IF($D73="","",IFERROR(ROUND($D73*INDEX('🔖 배합비 참조'!$B$2:$CE$83,MATCH("코코아가공품류(코코아분말)",'🔖 배합비 참조'!$A$2:$A$83,0),MATCH($C73,'🔖 배합비 참조'!$B$1:$CE$1,0))/100,0),""))),"")</f>
        <v>0</v>
      </c>
      <c r="BY73" s="39" t="n">
        <f aca="false">IFERROR(IF($C73="","",IF($D73="","",IFERROR(ROUND($D73*INDEX('🔖 배합비 참조'!$B$2:$CE$83,MATCH("콩기름(대두유)",'🔖 배합비 참조'!$A$2:$A$83,0),MATCH($C73,'🔖 배합비 참조'!$B$1:$CE$1,0))/100,0),""))),"")</f>
        <v>0</v>
      </c>
      <c r="BZ73" s="39" t="n">
        <f aca="false">IFERROR(IF($C73="","",IF($D73="","",IFERROR(ROUND($D73*INDEX('🔖 배합비 참조'!$B$2:$CE$83,MATCH("해바라기씨앗",'🔖 배합비 참조'!$A$2:$A$83,0),MATCH($C73,'🔖 배합비 참조'!$B$1:$CE$1,0))/100,0),""))),"")</f>
        <v>0</v>
      </c>
      <c r="CA73" s="39" t="n">
        <f aca="false">IFERROR(IF($C73="","",IF($D73="","",IFERROR(ROUND($D73*INDEX('🔖 배합비 참조'!$B$2:$CE$83,MATCH("현미(국내산)",'🔖 배합비 참조'!$A$2:$A$83,0),MATCH($C73,'🔖 배합비 참조'!$B$1:$CE$1,0))/100,0),""))),"")</f>
        <v>0</v>
      </c>
      <c r="CB73" s="39" t="n">
        <f aca="false">IFERROR(IF($C73="","",IF($D73="","",IFERROR(ROUND($D73*INDEX('🔖 배합비 참조'!$B$2:$CE$83,MATCH("현미멥쌀(국내산)",'🔖 배합비 참조'!$A$2:$A$83,0),MATCH($C73,'🔖 배합비 참조'!$B$1:$CE$1,0))/100,0),""))),"")</f>
        <v>0</v>
      </c>
      <c r="CC73" s="39" t="n">
        <f aca="false">IFERROR(IF($C73="","",IF($D73="","",IFERROR(ROUND($D73*INDEX('🔖 배합비 참조'!$B$2:$CE$83,MATCH("호두분태(미국산)",'🔖 배합비 참조'!$A$2:$A$83,0),MATCH($C73,'🔖 배합비 참조'!$B$1:$CE$1,0))/100,0),""))),"")</f>
        <v>0</v>
      </c>
      <c r="CD73" s="39" t="n">
        <f aca="false">IFERROR(IF($C73="","",IF($D73="","",IFERROR(ROUND($D73*INDEX('🔖 배합비 참조'!$B$2:$CE$83,MATCH("호박씨앗(외국산)",'🔖 배합비 참조'!$A$2:$A$83,0),MATCH($C73,'🔖 배합비 참조'!$B$1:$CE$1,0))/100,0),""))),"")</f>
        <v>0</v>
      </c>
      <c r="CE73" s="39" t="n">
        <f aca="false">IFERROR(IF($C73="","",IF($D73="","",IFERROR(ROUND($D73*INDEX('🔖 배합비 참조'!$B$2:$CE$83,MATCH("혼합제제(떡용에스텔)",'🔖 배합비 참조'!$A$2:$A$83,0),MATCH($C73,'🔖 배합비 참조'!$B$1:$CE$1,0))/100,0),""))),"")</f>
        <v>0</v>
      </c>
      <c r="CF73" s="39" t="n">
        <f aca="false">IFERROR(IF($C73="","",IF($D73="","",IFERROR(ROUND($D73*INDEX('🔖 배합비 참조'!$B$2:$CE$83,MATCH("혼합제제(스테비아)",'🔖 배합비 참조'!$A$2:$A$83,0),MATCH($C73,'🔖 배합비 참조'!$B$1:$CE$1,0))/100,0),""))),"")</f>
        <v>0</v>
      </c>
      <c r="CG73" s="39" t="n">
        <f aca="false">IFERROR(IF($C73="","",IF($D73="","",IFERROR(ROUND($D73*INDEX('🔖 배합비 참조'!$B$2:$CE$83,MATCH("화이트초콜릿",'🔖 배합비 참조'!$A$2:$A$83,0),MATCH($C73,'🔖 배합비 참조'!$B$1:$CE$1,0))/100,0),""))),"")</f>
        <v>0</v>
      </c>
      <c r="CH73" s="39" t="n">
        <f aca="false">IFERROR(IF($C73="","",IF($D73="","",IFERROR(ROUND($D73*INDEX('🔖 배합비 참조'!$B$2:$CE$83,MATCH("흑미찹쌀(국내산)",'🔖 배합비 참조'!$A$2:$A$83,0),MATCH($C73,'🔖 배합비 참조'!$B$1:$CE$1,0))/100,0),""))),"")</f>
        <v>0</v>
      </c>
      <c r="CI73" s="39" t="n">
        <f aca="false">IFERROR(IF($C73="","",IF($D73="","",IFERROR(ROUND($D73*INDEX('🔖 배합비 참조'!$B$2:$CE$83,MATCH("찰옥수수전분(미국산)",'🔖 배합비 참조'!$A$2:$A$83,0),MATCH($C73,'🔖 배합비 참조'!$B$1:$CE$1,0))/100,0),""))),"")</f>
        <v>0</v>
      </c>
      <c r="CJ73" s="40"/>
      <c r="CL73" s="1" t="s">
        <v>238</v>
      </c>
    </row>
    <row r="74" customFormat="false" ht="18" hidden="false" customHeight="true" outlineLevel="0" collapsed="false">
      <c r="A74" s="41" t="n">
        <v>70</v>
      </c>
      <c r="B74" s="36" t="n">
        <v>45975</v>
      </c>
      <c r="C74" s="37" t="s">
        <v>215</v>
      </c>
      <c r="D74" s="38" t="n">
        <v>75</v>
      </c>
      <c r="E74" s="17"/>
      <c r="F74" s="17"/>
      <c r="G74" s="42" t="n">
        <f aca="false">IFERROR(IF($C74="","",IF($D74="","",IFERROR(ROUND($D74*INDEX('🔖 배합비 참조'!$B$2:$CE$83,MATCH("간장",'🔖 배합비 참조'!$A$2:$A$83,0),MATCH($C74,'🔖 배합비 참조'!$B$1:$CE$1,0))/100,0),""))),"")</f>
        <v>0</v>
      </c>
      <c r="H74" s="42" t="n">
        <f aca="false">IFERROR(IF($C74="","",IF($D74="","",IFERROR(ROUND($D74*INDEX('🔖 배합비 참조'!$B$2:$CE$83,MATCH("강낭콩((울타리콩))",'🔖 배합비 참조'!$A$2:$A$83,0),MATCH($C74,'🔖 배합비 참조'!$B$1:$CE$1,0))/100,0),""))),"")</f>
        <v>0</v>
      </c>
      <c r="I74" s="42" t="n">
        <f aca="false">IFERROR(IF($C74="","",IF($D74="","",IFERROR(ROUND($D74*INDEX('🔖 배합비 참조'!$B$2:$CE$83,MATCH("건조딸기다이스(외국산)",'🔖 배합비 참조'!$A$2:$A$83,0),MATCH($C74,'🔖 배합비 참조'!$B$1:$CE$1,0))/100,0),""))),"")</f>
        <v>0</v>
      </c>
      <c r="J74" s="42" t="n">
        <f aca="false">IFERROR(IF($C74="","",IF($D74="","",IFERROR(ROUND($D74*INDEX('🔖 배합비 참조'!$B$2:$CE$83,MATCH("건포도",'🔖 배합비 참조'!$A$2:$A$83,0),MATCH($C74,'🔖 배합비 참조'!$B$1:$CE$1,0))/100,0),""))),"")</f>
        <v>0</v>
      </c>
      <c r="K74" s="42" t="n">
        <f aca="false">IFERROR(IF($C74="","",IF($D74="","",IFERROR(ROUND($D74*INDEX('🔖 배합비 참조'!$B$2:$CE$83,MATCH("건호박채(중국산)",'🔖 배합비 참조'!$A$2:$A$83,0),MATCH($C74,'🔖 배합비 참조'!$B$1:$CE$1,0))/100,0),""))),"")</f>
        <v>0</v>
      </c>
      <c r="L74" s="42" t="n">
        <f aca="false">IFERROR(IF($C74="","",IF($D74="","",IFERROR(ROUND($D74*INDEX('🔖 배합비 참조'!$B$2:$CE$83,MATCH("검정깨(흑임자)",'🔖 배합비 참조'!$A$2:$A$83,0),MATCH($C74,'🔖 배합비 참조'!$B$1:$CE$1,0))/100,0),""))),"")</f>
        <v>0</v>
      </c>
      <c r="M74" s="42" t="n">
        <f aca="false">IFERROR(IF($C74="","",IF($D74="","",IFERROR(ROUND($D74*INDEX('🔖 배합비 참조'!$B$2:$CE$83,MATCH("검정콩",'🔖 배합비 참조'!$A$2:$A$83,0),MATCH($C74,'🔖 배합비 참조'!$B$1:$CE$1,0))/100,0),""))),"")</f>
        <v>0</v>
      </c>
      <c r="N74" s="42" t="n">
        <f aca="false">IFERROR(IF($C74="","",IF($D74="","",IFERROR(ROUND($D74*INDEX('🔖 배합비 참조'!$B$2:$CE$83,MATCH("계피가루",'🔖 배합비 참조'!$A$2:$A$83,0),MATCH($C74,'🔖 배합비 참조'!$B$1:$CE$1,0))/100,0),""))),"")</f>
        <v>0</v>
      </c>
      <c r="O74" s="42" t="n">
        <f aca="false">IFERROR(IF($C74="","",IF($D74="","",IFERROR(ROUND($D74*INDEX('🔖 배합비 참조'!$B$2:$CE$83,MATCH("고구마가루",'🔖 배합비 참조'!$A$2:$A$83,0),MATCH($C74,'🔖 배합비 참조'!$B$1:$CE$1,0))/100,0),""))),"")</f>
        <v>0</v>
      </c>
      <c r="P74" s="42" t="n">
        <f aca="false">IFERROR(IF($C74="","",IF($D74="","",IFERROR(ROUND($D74*INDEX('🔖 배합비 참조'!$B$2:$CE$83,MATCH("고구마무스",'🔖 배합비 참조'!$A$2:$A$83,0),MATCH($C74,'🔖 배합비 참조'!$B$1:$CE$1,0))/100,0),""))),"")</f>
        <v>0</v>
      </c>
      <c r="Q74" s="42" t="n">
        <f aca="false">IFERROR(IF($C74="","",IF($D74="","",IFERROR(ROUND($D74*INDEX('🔖 배합비 참조'!$B$2:$CE$83,MATCH("고려엉겅퀴((곤드레)국내산)",'🔖 배합비 참조'!$A$2:$A$83,0),MATCH($C74,'🔖 배합비 참조'!$B$1:$CE$1,0))/100,0),""))),"")</f>
        <v>0</v>
      </c>
      <c r="R74" s="42" t="n">
        <f aca="false">IFERROR(IF($C74="","",IF($D74="","",IFERROR(ROUND($D74*INDEX('🔖 배합비 참조'!$B$2:$CE$83,MATCH("기타가공품(복분자가루)",'🔖 배합비 참조'!$A$2:$A$83,0),MATCH($C74,'🔖 배합비 참조'!$B$1:$CE$1,0))/100,0),""))),"")</f>
        <v>0</v>
      </c>
      <c r="S74" s="42" t="n">
        <f aca="false">IFERROR(IF($C74="","",IF($D74="","",IFERROR(ROUND($D74*INDEX('🔖 배합비 참조'!$B$2:$CE$83,MATCH("기타가공품(슈퍼소프트엠)",'🔖 배합비 참조'!$A$2:$A$83,0),MATCH($C74,'🔖 배합비 참조'!$B$1:$CE$1,0))/100,0),""))),"")</f>
        <v>0</v>
      </c>
      <c r="T74" s="42" t="n">
        <f aca="false">IFERROR(IF($C74="","",IF($D74="","",IFERROR(ROUND($D74*INDEX('🔖 배합비 참조'!$B$2:$CE$83,MATCH("기타가공품(파인소프트 E-티)",'🔖 배합비 참조'!$A$2:$A$83,0),MATCH($C74,'🔖 배합비 참조'!$B$1:$CE$1,0))/100,0),""))),"")</f>
        <v>0</v>
      </c>
      <c r="U74" s="42" t="n">
        <f aca="false">IFERROR(IF($C74="","",IF($D74="","",IFERROR(ROUND($D74*INDEX('🔖 배합비 참조'!$B$2:$CE$83,MATCH("기타가공품(프리미엄카스테라가루)",'🔖 배합비 참조'!$A$2:$A$83,0),MATCH($C74,'🔖 배합비 참조'!$B$1:$CE$1,0))/100,0),""))),"")</f>
        <v>0</v>
      </c>
      <c r="V74" s="42" t="n">
        <f aca="false">IFERROR(IF($C74="","",IF($D74="","",IFERROR(ROUND($D74*INDEX('🔖 배합비 참조'!$B$2:$CE$83,MATCH("기타가공품(흑임자가루)",'🔖 배합비 참조'!$A$2:$A$83,0),MATCH($C74,'🔖 배합비 참조'!$B$1:$CE$1,0))/100,0),""))),"")</f>
        <v>0</v>
      </c>
      <c r="W74" s="42" t="n">
        <f aca="false">IFERROR(IF($C74="","",IF($D74="","",IFERROR(ROUND($D74*INDEX('🔖 배합비 참조'!$B$2:$CE$83,MATCH("기타설탕(흑설탕)",'🔖 배합비 참조'!$A$2:$A$83,0),MATCH($C74,'🔖 배합비 참조'!$B$1:$CE$1,0))/100,0),""))),"")</f>
        <v>0</v>
      </c>
      <c r="X74" s="42" t="n">
        <f aca="false">IFERROR(IF($C74="","",IF($D74="","",IFERROR(ROUND($D74*INDEX('🔖 배합비 참조'!$B$2:$CE$83,MATCH("냉동쑥(국내산)",'🔖 배합비 참조'!$A$2:$A$83,0),MATCH($C74,'🔖 배합비 참조'!$B$1:$CE$1,0))/100,0),""))),"")</f>
        <v>0</v>
      </c>
      <c r="Y74" s="42" t="n">
        <f aca="false">IFERROR(IF($C74="","",IF($D74="","",IFERROR(ROUND($D74*INDEX('🔖 배합비 참조'!$B$2:$CE$83,MATCH("냉동증숙고구마(중국산)",'🔖 배합비 참조'!$A$2:$A$83,0),MATCH($C74,'🔖 배합비 참조'!$B$1:$CE$1,0))/100,0),""))),"")</f>
        <v>0</v>
      </c>
      <c r="Z74" s="42" t="n">
        <f aca="false">IFERROR(IF($C74="","",IF($D74="","",IFERROR(ROUND($D74*INDEX('🔖 배합비 참조'!$B$2:$CE$83,MATCH("녹차가루",'🔖 배합비 참조'!$A$2:$A$83,0),MATCH($C74,'🔖 배합비 참조'!$B$1:$CE$1,0))/100,0),""))),"")</f>
        <v>0</v>
      </c>
      <c r="AA74" s="42" t="n">
        <f aca="false">IFERROR(IF($C74="","",IF($D74="","",IFERROR(ROUND($D74*INDEX('🔖 배합비 참조'!$B$2:$CE$83,MATCH("다크초콜릿 컴파운드칩",'🔖 배합비 참조'!$A$2:$A$83,0),MATCH($C74,'🔖 배합비 참조'!$B$1:$CE$1,0))/100,0),""))),"")</f>
        <v>0</v>
      </c>
      <c r="AB74" s="42" t="n">
        <f aca="false">IFERROR(IF($C74="","",IF($D74="","",IFERROR(ROUND($D74*INDEX('🔖 배합비 참조'!$B$2:$CE$83,MATCH("단호박분말(중국산)",'🔖 배합비 참조'!$A$2:$A$83,0),MATCH($C74,'🔖 배합비 참조'!$B$1:$CE$1,0))/100,0),""))),"")</f>
        <v>1</v>
      </c>
      <c r="AC74" s="42" t="n">
        <f aca="false">IFERROR(IF($C74="","",IF($D74="","",IFERROR(ROUND($D74*INDEX('🔖 배합비 참조'!$B$2:$CE$83,MATCH("당류가공품(단호박농축액)",'🔖 배합비 참조'!$A$2:$A$83,0),MATCH($C74,'🔖 배합비 참조'!$B$1:$CE$1,0))/100,0),""))),"")</f>
        <v>0</v>
      </c>
      <c r="AD74" s="42" t="n">
        <f aca="false">IFERROR(IF($C74="","",IF($D74="","",IFERROR(ROUND($D74*INDEX('🔖 배합비 참조'!$B$2:$CE$83,MATCH("당류가공품(알룰로스,에리스리톨,스테비올배당체혼합)",'🔖 배합비 참조'!$A$2:$A$83,0),MATCH($C74,'🔖 배합비 참조'!$B$1:$CE$1,0))/100,0),""))),"")</f>
        <v>0</v>
      </c>
      <c r="AE74" s="42" t="n">
        <f aca="false">IFERROR(IF($C74="","",IF($D74="","",IFERROR(ROUND($D74*INDEX('🔖 배합비 참조'!$B$2:$CE$83,MATCH("당류가공품(알룰로스제로파우더)",'🔖 배합비 참조'!$A$2:$A$83,0),MATCH($C74,'🔖 배합비 참조'!$B$1:$CE$1,0))/100,0),""))),"")</f>
        <v>0</v>
      </c>
      <c r="AF74" s="42" t="n">
        <f aca="false">IFERROR(IF($C74="","",IF($D74="","",IFERROR(ROUND($D74*INDEX('🔖 배합비 참조'!$B$2:$CE$83,MATCH("당절임(완두배기)",'🔖 배합비 참조'!$A$2:$A$83,0),MATCH($C74,'🔖 배합비 참조'!$B$1:$CE$1,0))/100,0),""))),"")</f>
        <v>0</v>
      </c>
      <c r="AG74" s="42" t="n">
        <f aca="false">IFERROR(IF($C74="","",IF($D74="","",IFERROR(ROUND($D74*INDEX('🔖 배합비 참조'!$B$2:$CE$83,MATCH("대추농축액",'🔖 배합비 참조'!$A$2:$A$83,0),MATCH($C74,'🔖 배합비 참조'!$B$1:$CE$1,0))/100,0),""))),"")</f>
        <v>0</v>
      </c>
      <c r="AH74" s="42" t="n">
        <f aca="false">IFERROR(IF($C74="","",IF($D74="","",IFERROR(ROUND($D74*INDEX('🔖 배합비 참조'!$B$2:$CE$83,MATCH("대추채(국내산)",'🔖 배합비 참조'!$A$2:$A$83,0),MATCH($C74,'🔖 배합비 참조'!$B$1:$CE$1,0))/100,0),""))),"")</f>
        <v>0</v>
      </c>
      <c r="AI74" s="42" t="n">
        <f aca="false">IFERROR(IF($C74="","",IF($D74="","",IFERROR(ROUND($D74*INDEX('🔖 배합비 참조'!$B$2:$CE$83,MATCH("동부(미얀마산)",'🔖 배합비 참조'!$A$2:$A$83,0),MATCH($C74,'🔖 배합비 참조'!$B$1:$CE$1,0))/100,0),""))),"")</f>
        <v>0</v>
      </c>
      <c r="AJ74" s="42" t="n">
        <f aca="false">IFERROR(IF($C74="","",IF($D74="","",IFERROR(ROUND($D74*INDEX('🔖 배합비 참조'!$B$2:$CE$83,MATCH("두류가공품(백옥앙금)",'🔖 배합비 참조'!$A$2:$A$83,0),MATCH($C74,'🔖 배합비 참조'!$B$1:$CE$1,0))/100,0),""))),"")</f>
        <v>0</v>
      </c>
      <c r="AK74" s="42" t="n">
        <f aca="false">IFERROR(IF($C74="","",IF($D74="","",IFERROR(ROUND($D74*INDEX('🔖 배합비 참조'!$B$2:$CE$83,MATCH("두류가공품(콩고물)",'🔖 배합비 참조'!$A$2:$A$83,0),MATCH($C74,'🔖 배합비 참조'!$B$1:$CE$1,0))/100,0),""))),"")</f>
        <v>0</v>
      </c>
      <c r="AL74" s="42" t="n">
        <f aca="false">IFERROR(IF($C74="","",IF($D74="","",IFERROR(ROUND($D74*INDEX('🔖 배합비 참조'!$B$2:$CE$83,MATCH("두류가공품(통팥고물)",'🔖 배합비 참조'!$A$2:$A$83,0),MATCH($C74,'🔖 배합비 참조'!$B$1:$CE$1,0))/100,0),""))),"")</f>
        <v>0</v>
      </c>
      <c r="AM74" s="42" t="n">
        <f aca="false">IFERROR(IF($C74="","",IF($D74="","",IFERROR(ROUND($D74*INDEX('🔖 배합비 참조'!$B$2:$CE$83,MATCH("딸기레진",'🔖 배합비 참조'!$A$2:$A$83,0),MATCH($C74,'🔖 배합비 참조'!$B$1:$CE$1,0))/100,0),""))),"")</f>
        <v>0</v>
      </c>
      <c r="AN74" s="42" t="n">
        <f aca="false">IFERROR(IF($C74="","",IF($D74="","",IFERROR(ROUND($D74*INDEX('🔖 배합비 참조'!$B$2:$CE$83,MATCH("딸기분말(스트로우베리에이드(분말))",'🔖 배합비 참조'!$A$2:$A$83,0),MATCH($C74,'🔖 배합비 참조'!$B$1:$CE$1,0))/100,0),""))),"")</f>
        <v>0</v>
      </c>
      <c r="AO74" s="42" t="n">
        <f aca="false">IFERROR(IF($C74="","",IF($D74="","",IFERROR(ROUND($D74*INDEX('🔖 배합비 참조'!$B$2:$CE$83,MATCH("마스카포네치즈",'🔖 배합비 참조'!$A$2:$A$83,0),MATCH($C74,'🔖 배합비 참조'!$B$1:$CE$1,0))/100,0),""))),"")</f>
        <v>0</v>
      </c>
      <c r="AP74" s="42" t="n">
        <f aca="false">IFERROR(IF($C74="","",IF($D74="","",IFERROR(ROUND($D74*INDEX('🔖 배합비 참조'!$B$2:$CE$83,MATCH("마카다미아분태(호주산)",'🔖 배합비 참조'!$A$2:$A$83,0),MATCH($C74,'🔖 배합비 참조'!$B$1:$CE$1,0))/100,0),""))),"")</f>
        <v>0</v>
      </c>
      <c r="AQ74" s="42" t="n">
        <f aca="false">IFERROR(IF($C74="","",IF($D74="","",IFERROR(ROUND($D74*INDEX('🔖 배합비 참조'!$B$2:$CE$83,MATCH("멥쌀(국내산)",'🔖 배합비 참조'!$A$2:$A$83,0),MATCH($C74,'🔖 배합비 참조'!$B$1:$CE$1,0))/100,0),""))),"")</f>
        <v>50</v>
      </c>
      <c r="AR74" s="42" t="n">
        <f aca="false">IFERROR(IF($C74="","",IF($D74="","",IFERROR(ROUND($D74*INDEX('🔖 배합비 참조'!$B$2:$CE$83,MATCH("모시잎(국내산)",'🔖 배합비 참조'!$A$2:$A$83,0),MATCH($C74,'🔖 배합비 참조'!$B$1:$CE$1,0))/100,0),""))),"")</f>
        <v>0</v>
      </c>
      <c r="AS74" s="42" t="n">
        <f aca="false">IFERROR(IF($C74="","",IF($D74="","",IFERROR(ROUND($D74*INDEX('🔖 배합비 참조'!$B$2:$CE$83,MATCH("물엿(저당물엿)",'🔖 배합비 참조'!$A$2:$A$83,0),MATCH($C74,'🔖 배합비 참조'!$B$1:$CE$1,0))/100,0),""))),"")</f>
        <v>0</v>
      </c>
      <c r="AT74" s="42" t="n">
        <f aca="false">IFERROR(IF($C74="","",IF($D74="","",IFERROR(ROUND($D74*INDEX('🔖 배합비 참조'!$B$2:$CE$83,MATCH("밤다이스",'🔖 배합비 참조'!$A$2:$A$83,0),MATCH($C74,'🔖 배합비 참조'!$B$1:$CE$1,0))/100,0),""))),"")</f>
        <v>0</v>
      </c>
      <c r="AU74" s="42" t="n">
        <f aca="false">IFERROR(IF($C74="","",IF($D74="","",IFERROR(ROUND($D74*INDEX('🔖 배합비 참조'!$B$2:$CE$83,MATCH("변성전분(타피오카전분)",'🔖 배합비 참조'!$A$2:$A$83,0),MATCH($C74,'🔖 배합비 참조'!$B$1:$CE$1,0))/100,0),""))),"")</f>
        <v>0</v>
      </c>
      <c r="AV74" s="42" t="n">
        <f aca="false">IFERROR(IF($C74="","",IF($D74="","",IFERROR(ROUND($D74*INDEX('🔖 배합비 참조'!$B$2:$CE$83,MATCH("복음땅콩분태",'🔖 배합비 참조'!$A$2:$A$83,0),MATCH($C74,'🔖 배합비 참조'!$B$1:$CE$1,0))/100,0),""))),"")</f>
        <v>0</v>
      </c>
      <c r="AW74" s="42" t="n">
        <f aca="false">IFERROR(IF($C74="","",IF($D74="","",IFERROR(ROUND($D74*INDEX('🔖 배합비 참조'!$B$2:$CE$83,MATCH("사양벌꿀(국내산)",'🔖 배합비 참조'!$A$2:$A$83,0),MATCH($C74,'🔖 배합비 참조'!$B$1:$CE$1,0))/100,0),""))),"")</f>
        <v>0</v>
      </c>
      <c r="AX74" s="42" t="n">
        <f aca="false">IFERROR(IF($C74="","",IF($D74="","",IFERROR(ROUND($D74*INDEX('🔖 배합비 참조'!$B$2:$CE$83,MATCH("생크림",'🔖 배합비 참조'!$A$2:$A$83,0),MATCH($C74,'🔖 배합비 참조'!$B$1:$CE$1,0))/100,0),""))),"")</f>
        <v>0</v>
      </c>
      <c r="AY74" s="42" t="n">
        <f aca="false">IFERROR(IF($C74="","",IF($D74="","",IFERROR(ROUND($D74*INDEX('🔖 배합비 참조'!$B$2:$CE$83,MATCH("서양호박(국내산,뉴질랜드산)",'🔖 배합비 참조'!$A$2:$A$83,0),MATCH($C74,'🔖 배합비 참조'!$B$1:$CE$1,0))/100,0),""))),"")</f>
        <v>6</v>
      </c>
      <c r="AZ74" s="42" t="n">
        <f aca="false">IFERROR(IF($C74="","",IF($D74="","",IFERROR(ROUND($D74*INDEX('🔖 배합비 참조'!$B$2:$CE$83,MATCH("설탕",'🔖 배합비 참조'!$A$2:$A$83,0),MATCH($C74,'🔖 배합비 참조'!$B$1:$CE$1,0))/100,0),""))),"")</f>
        <v>6</v>
      </c>
      <c r="BA74" s="42" t="n">
        <f aca="false">IFERROR(IF($C74="","",IF($D74="","",IFERROR(ROUND($D74*INDEX('🔖 배합비 참조'!$B$2:$CE$83,MATCH("스트로우베리 에이드 후레쉬",'🔖 배합비 참조'!$A$2:$A$83,0),MATCH($C74,'🔖 배합비 참조'!$B$1:$CE$1,0))/100,0),""))),"")</f>
        <v>0</v>
      </c>
      <c r="BB74" s="42" t="n">
        <f aca="false">IFERROR(IF($C74="","",IF($D74="","",IFERROR(ROUND($D74*INDEX('🔖 배합비 참조'!$B$2:$CE$83,MATCH("식물성기름혼합제제(분홍)",'🔖 배합비 참조'!$A$2:$A$83,0),MATCH($C74,'🔖 배합비 참조'!$B$1:$CE$1,0))/100,0),""))),"")</f>
        <v>0</v>
      </c>
      <c r="BC74" s="42" t="n">
        <f aca="false">IFERROR(IF($C74="","",IF($D74="","",IFERROR(ROUND($D74*INDEX('🔖 배합비 참조'!$B$2:$CE$83,MATCH("식물성기름혼합제제(초록)",'🔖 배합비 참조'!$A$2:$A$83,0),MATCH($C74,'🔖 배합비 참조'!$B$1:$CE$1,0))/100,0),""))),"")</f>
        <v>0</v>
      </c>
      <c r="BD74" s="42" t="n">
        <f aca="false">IFERROR(IF($C74="","",IF($D74="","",IFERROR(ROUND($D74*INDEX('🔖 배합비 참조'!$B$2:$CE$83,MATCH("식물성기름혼합제제(황색)",'🔖 배합비 참조'!$A$2:$A$83,0),MATCH($C74,'🔖 배합비 참조'!$B$1:$CE$1,0))/100,0),""))),"")</f>
        <v>0</v>
      </c>
      <c r="BE74" s="42" t="n">
        <f aca="false">IFERROR(IF($C74="","",IF($D74="","",IFERROR(ROUND($D74*INDEX('🔖 배합비 참조'!$B$2:$CE$83,MATCH("쑥가루(국내산)",'🔖 배합비 참조'!$A$2:$A$83,0),MATCH($C74,'🔖 배합비 참조'!$B$1:$CE$1,0))/100,0),""))),"")</f>
        <v>0</v>
      </c>
      <c r="BF74" s="42" t="n">
        <f aca="false">IFERROR(IF($C74="","",IF($D74="","",IFERROR(ROUND($D74*INDEX('🔖 배합비 참조'!$B$2:$CE$83,MATCH("아몬드슬라이스",'🔖 배합비 참조'!$A$2:$A$83,0),MATCH($C74,'🔖 배합비 참조'!$B$1:$CE$1,0))/100,0),""))),"")</f>
        <v>0</v>
      </c>
      <c r="BG74" s="42" t="n">
        <f aca="false">IFERROR(IF($C74="","",IF($D74="","",IFERROR(ROUND($D74*INDEX('🔖 배합비 참조'!$B$2:$CE$83,MATCH("알룰로오스(국내산)",'🔖 배합비 참조'!$A$2:$A$83,0),MATCH($C74,'🔖 배합비 참조'!$B$1:$CE$1,0))/100,0),""))),"")</f>
        <v>0</v>
      </c>
      <c r="BH74" s="42" t="n">
        <f aca="false">IFERROR(IF($C74="","",IF($D74="","",IFERROR(ROUND($D74*INDEX('🔖 배합비 참조'!$B$2:$CE$83,MATCH("연유",'🔖 배합비 참조'!$A$2:$A$83,0),MATCH($C74,'🔖 배합비 참조'!$B$1:$CE$1,0))/100,0),""))),"")</f>
        <v>0</v>
      </c>
      <c r="BI74" s="42" t="n">
        <f aca="false">IFERROR(IF($C74="","",IF($D74="","",IFERROR(ROUND($D74*INDEX('🔖 배합비 참조'!$B$2:$CE$83,MATCH("옥수수전분",'🔖 배합비 참조'!$A$2:$A$83,0),MATCH($C74,'🔖 배합비 참조'!$B$1:$CE$1,0))/100,0),""))),"")</f>
        <v>0</v>
      </c>
      <c r="BJ74" s="42" t="n">
        <f aca="false">IFERROR(IF($C74="","",IF($D74="","",IFERROR(ROUND($D74*INDEX('🔖 배합비 참조'!$B$2:$CE$83,MATCH("완두배기",'🔖 배합비 참조'!$A$2:$A$83,0),MATCH($C74,'🔖 배합비 참조'!$B$1:$CE$1,0))/100,0),""))),"")</f>
        <v>0</v>
      </c>
      <c r="BK74" s="42" t="n">
        <f aca="false">IFERROR(IF($C74="","",IF($D74="","",IFERROR(ROUND($D74*INDEX('🔖 배합비 참조'!$B$2:$CE$83,MATCH("우유(국내산)",'🔖 배합비 참조'!$A$2:$A$83,0),MATCH($C74,'🔖 배합비 참조'!$B$1:$CE$1,0))/100,0),""))),"")</f>
        <v>0</v>
      </c>
      <c r="BL74" s="42" t="n">
        <f aca="false">IFERROR(IF($C74="","",IF($D74="","",IFERROR(ROUND($D74*INDEX('🔖 배합비 참조'!$B$2:$CE$83,MATCH("자색고구마가루(중국산)",'🔖 배합비 참조'!$A$2:$A$83,0),MATCH($C74,'🔖 배합비 참조'!$B$1:$CE$1,0))/100,0),""))),"")</f>
        <v>0</v>
      </c>
      <c r="BM74" s="42" t="n">
        <f aca="false">IFERROR(IF($C74="","",IF($D74="","",IFERROR(ROUND($D74*INDEX('🔖 배합비 참조'!$B$2:$CE$83,MATCH("자연치즈(체다치즈)",'🔖 배합비 참조'!$A$2:$A$83,0),MATCH($C74,'🔖 배합비 참조'!$B$1:$CE$1,0))/100,0),""))),"")</f>
        <v>0</v>
      </c>
      <c r="BN74" s="42" t="n">
        <f aca="false">IFERROR(IF($C74="","",IF($D74="","",IFERROR(ROUND($D74*INDEX('🔖 배합비 참조'!$B$2:$CE$83,MATCH("정제수",'🔖 배합비 참조'!$A$2:$A$83,0),MATCH($C74,'🔖 배합비 참조'!$B$1:$CE$1,0))/100,0),""))),"")</f>
        <v>10</v>
      </c>
      <c r="BO74" s="42" t="n">
        <f aca="false">IFERROR(IF($C74="","",IF($D74="","",IFERROR(ROUND($D74*INDEX('🔖 배합비 참조'!$B$2:$CE$83,MATCH("젤라틴",'🔖 배합비 참조'!$A$2:$A$83,0),MATCH($C74,'🔖 배합비 참조'!$B$1:$CE$1,0))/100,0),""))),"")</f>
        <v>0</v>
      </c>
      <c r="BP74" s="42" t="n">
        <f aca="false">IFERROR(IF($C74="","",IF($D74="","",IFERROR(ROUND($D74*INDEX('🔖 배합비 참조'!$B$2:$CE$83,MATCH("조림류(백옥앙금)",'🔖 배합비 참조'!$A$2:$A$83,0),MATCH($C74,'🔖 배합비 참조'!$B$1:$CE$1,0))/100,0),""))),"")</f>
        <v>0</v>
      </c>
      <c r="BQ74" s="42" t="n">
        <f aca="false">IFERROR(IF($C74="","",IF($D74="","",IFERROR(ROUND($D74*INDEX('🔖 배합비 참조'!$B$2:$CE$83,MATCH("조림류(통팥앙금)",'🔖 배합비 참조'!$A$2:$A$83,0),MATCH($C74,'🔖 배합비 참조'!$B$1:$CE$1,0))/100,0),""))),"")</f>
        <v>0</v>
      </c>
      <c r="BR74" s="42" t="n">
        <f aca="false">IFERROR(IF($C74="","",IF($D74="","",IFERROR(ROUND($D74*INDEX('🔖 배합비 참조'!$B$2:$CE$83,MATCH("준초콜릿(외국산)",'🔖 배합비 참조'!$A$2:$A$83,0),MATCH($C74,'🔖 배합비 참조'!$B$1:$CE$1,0))/100,0),""))),"")</f>
        <v>0</v>
      </c>
      <c r="BS74" s="42" t="n">
        <f aca="false">IFERROR(IF($C74="","",IF($D74="","",IFERROR(ROUND($D74*INDEX('🔖 배합비 참조'!$B$2:$CE$83,MATCH("중력분",'🔖 배합비 참조'!$A$2:$A$83,0),MATCH($C74,'🔖 배합비 참조'!$B$1:$CE$1,0))/100,0),""))),"")</f>
        <v>0</v>
      </c>
      <c r="BT74" s="42" t="n">
        <f aca="false">IFERROR(IF($C74="","",IF($D74="","",IFERROR(ROUND($D74*INDEX('🔖 배합비 참조'!$B$2:$CE$83,MATCH("참깨(인도산,나이지리아산,탄자니아산,미얀마산)",'🔖 배합비 참조'!$A$2:$A$83,0),MATCH($C74,'🔖 배합비 참조'!$B$1:$CE$1,0))/100,0),""))),"")</f>
        <v>0</v>
      </c>
      <c r="BU74" s="42" t="n">
        <f aca="false">IFERROR(IF($C74="","",IF($D74="","",IFERROR(ROUND($D74*INDEX('🔖 배합비 참조'!$B$2:$CE$83,MATCH("찹쌀(국내산)",'🔖 배합비 참조'!$A$2:$A$83,0),MATCH($C74,'🔖 배합비 참조'!$B$1:$CE$1,0))/100,0),""))),"")</f>
        <v>0</v>
      </c>
      <c r="BV74" s="42" t="n">
        <f aca="false">IFERROR(IF($C74="","",IF($D74="","",IFERROR(ROUND($D74*INDEX('🔖 배합비 참조'!$B$2:$CE$83,MATCH("천일염",'🔖 배합비 참조'!$A$2:$A$83,0),MATCH($C74,'🔖 배합비 참조'!$B$1:$CE$1,0))/100,0),""))),"")</f>
        <v>1</v>
      </c>
      <c r="BW74" s="42" t="n">
        <f aca="false">IFERROR(IF($C74="","",IF($D74="","",IFERROR(ROUND($D74*INDEX('🔖 배합비 참조'!$B$2:$CE$83,MATCH("치즈 [크림치즈]",'🔖 배합비 참조'!$A$2:$A$83,0),MATCH($C74,'🔖 배합비 참조'!$B$1:$CE$1,0))/100,0),""))),"")</f>
        <v>0</v>
      </c>
      <c r="BX74" s="42" t="n">
        <f aca="false">IFERROR(IF($C74="","",IF($D74="","",IFERROR(ROUND($D74*INDEX('🔖 배합비 참조'!$B$2:$CE$83,MATCH("코코아가공품류(코코아분말)",'🔖 배합비 참조'!$A$2:$A$83,0),MATCH($C74,'🔖 배합비 참조'!$B$1:$CE$1,0))/100,0),""))),"")</f>
        <v>0</v>
      </c>
      <c r="BY74" s="42" t="n">
        <f aca="false">IFERROR(IF($C74="","",IF($D74="","",IFERROR(ROUND($D74*INDEX('🔖 배합비 참조'!$B$2:$CE$83,MATCH("콩기름(대두유)",'🔖 배합비 참조'!$A$2:$A$83,0),MATCH($C74,'🔖 배합비 참조'!$B$1:$CE$1,0))/100,0),""))),"")</f>
        <v>0</v>
      </c>
      <c r="BZ74" s="42" t="n">
        <f aca="false">IFERROR(IF($C74="","",IF($D74="","",IFERROR(ROUND($D74*INDEX('🔖 배합비 참조'!$B$2:$CE$83,MATCH("해바라기씨앗",'🔖 배합비 참조'!$A$2:$A$83,0),MATCH($C74,'🔖 배합비 참조'!$B$1:$CE$1,0))/100,0),""))),"")</f>
        <v>0</v>
      </c>
      <c r="CA74" s="42" t="n">
        <f aca="false">IFERROR(IF($C74="","",IF($D74="","",IFERROR(ROUND($D74*INDEX('🔖 배합비 참조'!$B$2:$CE$83,MATCH("현미(국내산)",'🔖 배합비 참조'!$A$2:$A$83,0),MATCH($C74,'🔖 배합비 참조'!$B$1:$CE$1,0))/100,0),""))),"")</f>
        <v>0</v>
      </c>
      <c r="CB74" s="42" t="n">
        <f aca="false">IFERROR(IF($C74="","",IF($D74="","",IFERROR(ROUND($D74*INDEX('🔖 배합비 참조'!$B$2:$CE$83,MATCH("현미멥쌀(국내산)",'🔖 배합비 참조'!$A$2:$A$83,0),MATCH($C74,'🔖 배합비 참조'!$B$1:$CE$1,0))/100,0),""))),"")</f>
        <v>0</v>
      </c>
      <c r="CC74" s="42" t="n">
        <f aca="false">IFERROR(IF($C74="","",IF($D74="","",IFERROR(ROUND($D74*INDEX('🔖 배합비 참조'!$B$2:$CE$83,MATCH("호두분태(미국산)",'🔖 배합비 참조'!$A$2:$A$83,0),MATCH($C74,'🔖 배합비 참조'!$B$1:$CE$1,0))/100,0),""))),"")</f>
        <v>0</v>
      </c>
      <c r="CD74" s="42" t="n">
        <f aca="false">IFERROR(IF($C74="","",IF($D74="","",IFERROR(ROUND($D74*INDEX('🔖 배합비 참조'!$B$2:$CE$83,MATCH("호박씨앗(외국산)",'🔖 배합비 참조'!$A$2:$A$83,0),MATCH($C74,'🔖 배합비 참조'!$B$1:$CE$1,0))/100,0),""))),"")</f>
        <v>0</v>
      </c>
      <c r="CE74" s="42" t="n">
        <f aca="false">IFERROR(IF($C74="","",IF($D74="","",IFERROR(ROUND($D74*INDEX('🔖 배합비 참조'!$B$2:$CE$83,MATCH("혼합제제(떡용에스텔)",'🔖 배합비 참조'!$A$2:$A$83,0),MATCH($C74,'🔖 배합비 참조'!$B$1:$CE$1,0))/100,0),""))),"")</f>
        <v>0</v>
      </c>
      <c r="CF74" s="42" t="n">
        <f aca="false">IFERROR(IF($C74="","",IF($D74="","",IFERROR(ROUND($D74*INDEX('🔖 배합비 참조'!$B$2:$CE$83,MATCH("혼합제제(스테비아)",'🔖 배합비 참조'!$A$2:$A$83,0),MATCH($C74,'🔖 배합비 참조'!$B$1:$CE$1,0))/100,0),""))),"")</f>
        <v>0</v>
      </c>
      <c r="CG74" s="42" t="n">
        <f aca="false">IFERROR(IF($C74="","",IF($D74="","",IFERROR(ROUND($D74*INDEX('🔖 배합비 참조'!$B$2:$CE$83,MATCH("화이트초콜릿",'🔖 배합비 참조'!$A$2:$A$83,0),MATCH($C74,'🔖 배합비 참조'!$B$1:$CE$1,0))/100,0),""))),"")</f>
        <v>0</v>
      </c>
      <c r="CH74" s="42" t="n">
        <f aca="false">IFERROR(IF($C74="","",IF($D74="","",IFERROR(ROUND($D74*INDEX('🔖 배합비 참조'!$B$2:$CE$83,MATCH("흑미찹쌀(국내산)",'🔖 배합비 참조'!$A$2:$A$83,0),MATCH($C74,'🔖 배합비 참조'!$B$1:$CE$1,0))/100,0),""))),"")</f>
        <v>0</v>
      </c>
      <c r="CI74" s="42" t="n">
        <f aca="false">IFERROR(IF($C74="","",IF($D74="","",IFERROR(ROUND($D74*INDEX('🔖 배합비 참조'!$B$2:$CE$83,MATCH("찰옥수수전분(미국산)",'🔖 배합비 참조'!$A$2:$A$83,0),MATCH($C74,'🔖 배합비 참조'!$B$1:$CE$1,0))/100,0),""))),"")</f>
        <v>0</v>
      </c>
      <c r="CJ74" s="40"/>
      <c r="CL74" s="1" t="s">
        <v>238</v>
      </c>
    </row>
    <row r="75" customFormat="false" ht="18" hidden="false" customHeight="true" outlineLevel="0" collapsed="false">
      <c r="A75" s="35" t="n">
        <v>71</v>
      </c>
      <c r="B75" s="36" t="n">
        <v>45978</v>
      </c>
      <c r="C75" s="37" t="s">
        <v>143</v>
      </c>
      <c r="D75" s="38" t="n">
        <v>70</v>
      </c>
      <c r="E75" s="13"/>
      <c r="F75" s="13"/>
      <c r="G75" s="39" t="n">
        <f aca="false">IFERROR(IF($C75="","",IF($D75="","",IFERROR(ROUND($D75*INDEX('🔖 배합비 참조'!$B$2:$CE$83,MATCH("간장",'🔖 배합비 참조'!$A$2:$A$83,0),MATCH($C75,'🔖 배합비 참조'!$B$1:$CE$1,0))/100,0),""))),"")</f>
        <v>0</v>
      </c>
      <c r="H75" s="39" t="n">
        <f aca="false">IFERROR(IF($C75="","",IF($D75="","",IFERROR(ROUND($D75*INDEX('🔖 배합비 참조'!$B$2:$CE$83,MATCH("강낭콩((울타리콩))",'🔖 배합비 참조'!$A$2:$A$83,0),MATCH($C75,'🔖 배합비 참조'!$B$1:$CE$1,0))/100,0),""))),"")</f>
        <v>0</v>
      </c>
      <c r="I75" s="39" t="n">
        <f aca="false">IFERROR(IF($C75="","",IF($D75="","",IFERROR(ROUND($D75*INDEX('🔖 배합비 참조'!$B$2:$CE$83,MATCH("건조딸기다이스(외국산)",'🔖 배합비 참조'!$A$2:$A$83,0),MATCH($C75,'🔖 배합비 참조'!$B$1:$CE$1,0))/100,0),""))),"")</f>
        <v>0</v>
      </c>
      <c r="J75" s="39" t="n">
        <f aca="false">IFERROR(IF($C75="","",IF($D75="","",IFERROR(ROUND($D75*INDEX('🔖 배합비 참조'!$B$2:$CE$83,MATCH("건포도",'🔖 배합비 참조'!$A$2:$A$83,0),MATCH($C75,'🔖 배합비 참조'!$B$1:$CE$1,0))/100,0),""))),"")</f>
        <v>0</v>
      </c>
      <c r="K75" s="39" t="n">
        <f aca="false">IFERROR(IF($C75="","",IF($D75="","",IFERROR(ROUND($D75*INDEX('🔖 배합비 참조'!$B$2:$CE$83,MATCH("건호박채(중국산)",'🔖 배합비 참조'!$A$2:$A$83,0),MATCH($C75,'🔖 배합비 참조'!$B$1:$CE$1,0))/100,0),""))),"")</f>
        <v>0</v>
      </c>
      <c r="L75" s="39" t="n">
        <f aca="false">IFERROR(IF($C75="","",IF($D75="","",IFERROR(ROUND($D75*INDEX('🔖 배합비 참조'!$B$2:$CE$83,MATCH("검정깨(흑임자)",'🔖 배합비 참조'!$A$2:$A$83,0),MATCH($C75,'🔖 배합비 참조'!$B$1:$CE$1,0))/100,0),""))),"")</f>
        <v>0</v>
      </c>
      <c r="M75" s="39" t="n">
        <f aca="false">IFERROR(IF($C75="","",IF($D75="","",IFERROR(ROUND($D75*INDEX('🔖 배합비 참조'!$B$2:$CE$83,MATCH("검정콩",'🔖 배합비 참조'!$A$2:$A$83,0),MATCH($C75,'🔖 배합비 참조'!$B$1:$CE$1,0))/100,0),""))),"")</f>
        <v>0</v>
      </c>
      <c r="N75" s="39" t="n">
        <f aca="false">IFERROR(IF($C75="","",IF($D75="","",IFERROR(ROUND($D75*INDEX('🔖 배합비 참조'!$B$2:$CE$83,MATCH("계피가루",'🔖 배합비 참조'!$A$2:$A$83,0),MATCH($C75,'🔖 배합비 참조'!$B$1:$CE$1,0))/100,0),""))),"")</f>
        <v>0</v>
      </c>
      <c r="O75" s="39" t="n">
        <f aca="false">IFERROR(IF($C75="","",IF($D75="","",IFERROR(ROUND($D75*INDEX('🔖 배합비 참조'!$B$2:$CE$83,MATCH("고구마가루",'🔖 배합비 참조'!$A$2:$A$83,0),MATCH($C75,'🔖 배합비 참조'!$B$1:$CE$1,0))/100,0),""))),"")</f>
        <v>0</v>
      </c>
      <c r="P75" s="39" t="n">
        <f aca="false">IFERROR(IF($C75="","",IF($D75="","",IFERROR(ROUND($D75*INDEX('🔖 배합비 참조'!$B$2:$CE$83,MATCH("고구마무스",'🔖 배합비 참조'!$A$2:$A$83,0),MATCH($C75,'🔖 배합비 참조'!$B$1:$CE$1,0))/100,0),""))),"")</f>
        <v>0</v>
      </c>
      <c r="Q75" s="39" t="n">
        <f aca="false">IFERROR(IF($C75="","",IF($D75="","",IFERROR(ROUND($D75*INDEX('🔖 배합비 참조'!$B$2:$CE$83,MATCH("고려엉겅퀴((곤드레)국내산)",'🔖 배합비 참조'!$A$2:$A$83,0),MATCH($C75,'🔖 배합비 참조'!$B$1:$CE$1,0))/100,0),""))),"")</f>
        <v>0</v>
      </c>
      <c r="R75" s="39" t="n">
        <f aca="false">IFERROR(IF($C75="","",IF($D75="","",IFERROR(ROUND($D75*INDEX('🔖 배합비 참조'!$B$2:$CE$83,MATCH("기타가공품(복분자가루)",'🔖 배합비 참조'!$A$2:$A$83,0),MATCH($C75,'🔖 배합비 참조'!$B$1:$CE$1,0))/100,0),""))),"")</f>
        <v>0</v>
      </c>
      <c r="S75" s="39" t="n">
        <f aca="false">IFERROR(IF($C75="","",IF($D75="","",IFERROR(ROUND($D75*INDEX('🔖 배합비 참조'!$B$2:$CE$83,MATCH("기타가공품(슈퍼소프트엠)",'🔖 배합비 참조'!$A$2:$A$83,0),MATCH($C75,'🔖 배합비 참조'!$B$1:$CE$1,0))/100,0),""))),"")</f>
        <v>0</v>
      </c>
      <c r="T75" s="39" t="n">
        <f aca="false">IFERROR(IF($C75="","",IF($D75="","",IFERROR(ROUND($D75*INDEX('🔖 배합비 참조'!$B$2:$CE$83,MATCH("기타가공품(파인소프트 E-티)",'🔖 배합비 참조'!$A$2:$A$83,0),MATCH($C75,'🔖 배합비 참조'!$B$1:$CE$1,0))/100,0),""))),"")</f>
        <v>0</v>
      </c>
      <c r="U75" s="39" t="n">
        <f aca="false">IFERROR(IF($C75="","",IF($D75="","",IFERROR(ROUND($D75*INDEX('🔖 배합비 참조'!$B$2:$CE$83,MATCH("기타가공품(프리미엄카스테라가루)",'🔖 배합비 참조'!$A$2:$A$83,0),MATCH($C75,'🔖 배합비 참조'!$B$1:$CE$1,0))/100,0),""))),"")</f>
        <v>0</v>
      </c>
      <c r="V75" s="39" t="n">
        <f aca="false">IFERROR(IF($C75="","",IF($D75="","",IFERROR(ROUND($D75*INDEX('🔖 배합비 참조'!$B$2:$CE$83,MATCH("기타가공품(흑임자가루)",'🔖 배합비 참조'!$A$2:$A$83,0),MATCH($C75,'🔖 배합비 참조'!$B$1:$CE$1,0))/100,0),""))),"")</f>
        <v>0</v>
      </c>
      <c r="W75" s="39" t="n">
        <f aca="false">IFERROR(IF($C75="","",IF($D75="","",IFERROR(ROUND($D75*INDEX('🔖 배합비 참조'!$B$2:$CE$83,MATCH("기타설탕(흑설탕)",'🔖 배합비 참조'!$A$2:$A$83,0),MATCH($C75,'🔖 배합비 참조'!$B$1:$CE$1,0))/100,0),""))),"")</f>
        <v>6</v>
      </c>
      <c r="X75" s="39" t="n">
        <f aca="false">IFERROR(IF($C75="","",IF($D75="","",IFERROR(ROUND($D75*INDEX('🔖 배합비 참조'!$B$2:$CE$83,MATCH("냉동쑥(국내산)",'🔖 배합비 참조'!$A$2:$A$83,0),MATCH($C75,'🔖 배합비 참조'!$B$1:$CE$1,0))/100,0),""))),"")</f>
        <v>0</v>
      </c>
      <c r="Y75" s="39" t="n">
        <f aca="false">IFERROR(IF($C75="","",IF($D75="","",IFERROR(ROUND($D75*INDEX('🔖 배합비 참조'!$B$2:$CE$83,MATCH("냉동증숙고구마(중국산)",'🔖 배합비 참조'!$A$2:$A$83,0),MATCH($C75,'🔖 배합비 참조'!$B$1:$CE$1,0))/100,0),""))),"")</f>
        <v>0</v>
      </c>
      <c r="Z75" s="39" t="n">
        <f aca="false">IFERROR(IF($C75="","",IF($D75="","",IFERROR(ROUND($D75*INDEX('🔖 배합비 참조'!$B$2:$CE$83,MATCH("녹차가루",'🔖 배합비 참조'!$A$2:$A$83,0),MATCH($C75,'🔖 배합비 참조'!$B$1:$CE$1,0))/100,0),""))),"")</f>
        <v>0</v>
      </c>
      <c r="AA75" s="39" t="n">
        <f aca="false">IFERROR(IF($C75="","",IF($D75="","",IFERROR(ROUND($D75*INDEX('🔖 배합비 참조'!$B$2:$CE$83,MATCH("다크초콜릿 컴파운드칩",'🔖 배합비 참조'!$A$2:$A$83,0),MATCH($C75,'🔖 배합비 참조'!$B$1:$CE$1,0))/100,0),""))),"")</f>
        <v>0</v>
      </c>
      <c r="AB75" s="39" t="n">
        <f aca="false">IFERROR(IF($C75="","",IF($D75="","",IFERROR(ROUND($D75*INDEX('🔖 배합비 참조'!$B$2:$CE$83,MATCH("단호박분말(중국산)",'🔖 배합비 참조'!$A$2:$A$83,0),MATCH($C75,'🔖 배합비 참조'!$B$1:$CE$1,0))/100,0),""))),"")</f>
        <v>0</v>
      </c>
      <c r="AC75" s="39" t="n">
        <f aca="false">IFERROR(IF($C75="","",IF($D75="","",IFERROR(ROUND($D75*INDEX('🔖 배합비 참조'!$B$2:$CE$83,MATCH("당류가공품(단호박농축액)",'🔖 배합비 참조'!$A$2:$A$83,0),MATCH($C75,'🔖 배합비 참조'!$B$1:$CE$1,0))/100,0),""))),"")</f>
        <v>0</v>
      </c>
      <c r="AD75" s="39" t="n">
        <f aca="false">IFERROR(IF($C75="","",IF($D75="","",IFERROR(ROUND($D75*INDEX('🔖 배합비 참조'!$B$2:$CE$83,MATCH("당류가공품(알룰로스,에리스리톨,스테비올배당체혼합)",'🔖 배합비 참조'!$A$2:$A$83,0),MATCH($C75,'🔖 배합비 참조'!$B$1:$CE$1,0))/100,0),""))),"")</f>
        <v>0</v>
      </c>
      <c r="AE75" s="39" t="n">
        <f aca="false">IFERROR(IF($C75="","",IF($D75="","",IFERROR(ROUND($D75*INDEX('🔖 배합비 참조'!$B$2:$CE$83,MATCH("당류가공품(알룰로스제로파우더)",'🔖 배합비 참조'!$A$2:$A$83,0),MATCH($C75,'🔖 배합비 참조'!$B$1:$CE$1,0))/100,0),""))),"")</f>
        <v>0</v>
      </c>
      <c r="AF75" s="39" t="n">
        <f aca="false">IFERROR(IF($C75="","",IF($D75="","",IFERROR(ROUND($D75*INDEX('🔖 배합비 참조'!$B$2:$CE$83,MATCH("당절임(완두배기)",'🔖 배합비 참조'!$A$2:$A$83,0),MATCH($C75,'🔖 배합비 참조'!$B$1:$CE$1,0))/100,0),""))),"")</f>
        <v>0</v>
      </c>
      <c r="AG75" s="39" t="n">
        <f aca="false">IFERROR(IF($C75="","",IF($D75="","",IFERROR(ROUND($D75*INDEX('🔖 배합비 참조'!$B$2:$CE$83,MATCH("대추농축액",'🔖 배합비 참조'!$A$2:$A$83,0),MATCH($C75,'🔖 배합비 참조'!$B$1:$CE$1,0))/100,0),""))),"")</f>
        <v>0</v>
      </c>
      <c r="AH75" s="39" t="n">
        <f aca="false">IFERROR(IF($C75="","",IF($D75="","",IFERROR(ROUND($D75*INDEX('🔖 배합비 참조'!$B$2:$CE$83,MATCH("대추채(국내산)",'🔖 배합비 참조'!$A$2:$A$83,0),MATCH($C75,'🔖 배합비 참조'!$B$1:$CE$1,0))/100,0),""))),"")</f>
        <v>0</v>
      </c>
      <c r="AI75" s="39" t="n">
        <f aca="false">IFERROR(IF($C75="","",IF($D75="","",IFERROR(ROUND($D75*INDEX('🔖 배합비 참조'!$B$2:$CE$83,MATCH("동부(미얀마산)",'🔖 배합비 참조'!$A$2:$A$83,0),MATCH($C75,'🔖 배합비 참조'!$B$1:$CE$1,0))/100,0),""))),"")</f>
        <v>0</v>
      </c>
      <c r="AJ75" s="39" t="n">
        <f aca="false">IFERROR(IF($C75="","",IF($D75="","",IFERROR(ROUND($D75*INDEX('🔖 배합비 참조'!$B$2:$CE$83,MATCH("두류가공품(백옥앙금)",'🔖 배합비 참조'!$A$2:$A$83,0),MATCH($C75,'🔖 배합비 참조'!$B$1:$CE$1,0))/100,0),""))),"")</f>
        <v>0</v>
      </c>
      <c r="AK75" s="39" t="n">
        <f aca="false">IFERROR(IF($C75="","",IF($D75="","",IFERROR(ROUND($D75*INDEX('🔖 배합비 참조'!$B$2:$CE$83,MATCH("두류가공품(콩고물)",'🔖 배합비 참조'!$A$2:$A$83,0),MATCH($C75,'🔖 배합비 참조'!$B$1:$CE$1,0))/100,0),""))),"")</f>
        <v>0</v>
      </c>
      <c r="AL75" s="39" t="n">
        <f aca="false">IFERROR(IF($C75="","",IF($D75="","",IFERROR(ROUND($D75*INDEX('🔖 배합비 참조'!$B$2:$CE$83,MATCH("두류가공품(통팥고물)",'🔖 배합비 참조'!$A$2:$A$83,0),MATCH($C75,'🔖 배합비 참조'!$B$1:$CE$1,0))/100,0),""))),"")</f>
        <v>0</v>
      </c>
      <c r="AM75" s="39" t="n">
        <f aca="false">IFERROR(IF($C75="","",IF($D75="","",IFERROR(ROUND($D75*INDEX('🔖 배합비 참조'!$B$2:$CE$83,MATCH("딸기레진",'🔖 배합비 참조'!$A$2:$A$83,0),MATCH($C75,'🔖 배합비 참조'!$B$1:$CE$1,0))/100,0),""))),"")</f>
        <v>0</v>
      </c>
      <c r="AN75" s="39" t="n">
        <f aca="false">IFERROR(IF($C75="","",IF($D75="","",IFERROR(ROUND($D75*INDEX('🔖 배합비 참조'!$B$2:$CE$83,MATCH("딸기분말(스트로우베리에이드(분말))",'🔖 배합비 참조'!$A$2:$A$83,0),MATCH($C75,'🔖 배합비 참조'!$B$1:$CE$1,0))/100,0),""))),"")</f>
        <v>0</v>
      </c>
      <c r="AO75" s="39" t="n">
        <f aca="false">IFERROR(IF($C75="","",IF($D75="","",IFERROR(ROUND($D75*INDEX('🔖 배합비 참조'!$B$2:$CE$83,MATCH("마스카포네치즈",'🔖 배합비 참조'!$A$2:$A$83,0),MATCH($C75,'🔖 배합비 참조'!$B$1:$CE$1,0))/100,0),""))),"")</f>
        <v>0</v>
      </c>
      <c r="AP75" s="39" t="n">
        <f aca="false">IFERROR(IF($C75="","",IF($D75="","",IFERROR(ROUND($D75*INDEX('🔖 배합비 참조'!$B$2:$CE$83,MATCH("마카다미아분태(호주산)",'🔖 배합비 참조'!$A$2:$A$83,0),MATCH($C75,'🔖 배합비 참조'!$B$1:$CE$1,0))/100,0),""))),"")</f>
        <v>0</v>
      </c>
      <c r="AQ75" s="39" t="n">
        <f aca="false">IFERROR(IF($C75="","",IF($D75="","",IFERROR(ROUND($D75*INDEX('🔖 배합비 참조'!$B$2:$CE$83,MATCH("멥쌀(국내산)",'🔖 배합비 참조'!$A$2:$A$83,0),MATCH($C75,'🔖 배합비 참조'!$B$1:$CE$1,0))/100,0),""))),"")</f>
        <v>47</v>
      </c>
      <c r="AR75" s="39" t="n">
        <f aca="false">IFERROR(IF($C75="","",IF($D75="","",IFERROR(ROUND($D75*INDEX('🔖 배합비 참조'!$B$2:$CE$83,MATCH("모시잎(국내산)",'🔖 배합비 참조'!$A$2:$A$83,0),MATCH($C75,'🔖 배합비 참조'!$B$1:$CE$1,0))/100,0),""))),"")</f>
        <v>0</v>
      </c>
      <c r="AS75" s="39" t="n">
        <f aca="false">IFERROR(IF($C75="","",IF($D75="","",IFERROR(ROUND($D75*INDEX('🔖 배합비 참조'!$B$2:$CE$83,MATCH("물엿(저당물엿)",'🔖 배합비 참조'!$A$2:$A$83,0),MATCH($C75,'🔖 배합비 참조'!$B$1:$CE$1,0))/100,0),""))),"")</f>
        <v>0</v>
      </c>
      <c r="AT75" s="39" t="n">
        <f aca="false">IFERROR(IF($C75="","",IF($D75="","",IFERROR(ROUND($D75*INDEX('🔖 배합비 참조'!$B$2:$CE$83,MATCH("밤다이스",'🔖 배합비 참조'!$A$2:$A$83,0),MATCH($C75,'🔖 배합비 참조'!$B$1:$CE$1,0))/100,0),""))),"")</f>
        <v>0</v>
      </c>
      <c r="AU75" s="39" t="n">
        <f aca="false">IFERROR(IF($C75="","",IF($D75="","",IFERROR(ROUND($D75*INDEX('🔖 배합비 참조'!$B$2:$CE$83,MATCH("변성전분(타피오카전분)",'🔖 배합비 참조'!$A$2:$A$83,0),MATCH($C75,'🔖 배합비 참조'!$B$1:$CE$1,0))/100,0),""))),"")</f>
        <v>0</v>
      </c>
      <c r="AV75" s="39" t="n">
        <f aca="false">IFERROR(IF($C75="","",IF($D75="","",IFERROR(ROUND($D75*INDEX('🔖 배합비 참조'!$B$2:$CE$83,MATCH("복음땅콩분태",'🔖 배합비 참조'!$A$2:$A$83,0),MATCH($C75,'🔖 배합비 참조'!$B$1:$CE$1,0))/100,0),""))),"")</f>
        <v>0</v>
      </c>
      <c r="AW75" s="39" t="n">
        <f aca="false">IFERROR(IF($C75="","",IF($D75="","",IFERROR(ROUND($D75*INDEX('🔖 배합비 참조'!$B$2:$CE$83,MATCH("사양벌꿀(국내산)",'🔖 배합비 참조'!$A$2:$A$83,0),MATCH($C75,'🔖 배합비 참조'!$B$1:$CE$1,0))/100,0),""))),"")</f>
        <v>2</v>
      </c>
      <c r="AX75" s="39" t="n">
        <f aca="false">IFERROR(IF($C75="","",IF($D75="","",IFERROR(ROUND($D75*INDEX('🔖 배합비 참조'!$B$2:$CE$83,MATCH("생크림",'🔖 배합비 참조'!$A$2:$A$83,0),MATCH($C75,'🔖 배합비 참조'!$B$1:$CE$1,0))/100,0),""))),"")</f>
        <v>0</v>
      </c>
      <c r="AY75" s="39" t="n">
        <f aca="false">IFERROR(IF($C75="","",IF($D75="","",IFERROR(ROUND($D75*INDEX('🔖 배합비 참조'!$B$2:$CE$83,MATCH("서양호박(국내산,뉴질랜드산)",'🔖 배합비 참조'!$A$2:$A$83,0),MATCH($C75,'🔖 배합비 참조'!$B$1:$CE$1,0))/100,0),""))),"")</f>
        <v>0</v>
      </c>
      <c r="AZ75" s="39" t="n">
        <f aca="false">IFERROR(IF($C75="","",IF($D75="","",IFERROR(ROUND($D75*INDEX('🔖 배합비 참조'!$B$2:$CE$83,MATCH("설탕",'🔖 배합비 참조'!$A$2:$A$83,0),MATCH($C75,'🔖 배합비 참조'!$B$1:$CE$1,0))/100,0),""))),"")</f>
        <v>6</v>
      </c>
      <c r="BA75" s="39" t="n">
        <f aca="false">IFERROR(IF($C75="","",IF($D75="","",IFERROR(ROUND($D75*INDEX('🔖 배합비 참조'!$B$2:$CE$83,MATCH("스트로우베리 에이드 후레쉬",'🔖 배합비 참조'!$A$2:$A$83,0),MATCH($C75,'🔖 배합비 참조'!$B$1:$CE$1,0))/100,0),""))),"")</f>
        <v>0</v>
      </c>
      <c r="BB75" s="39" t="n">
        <f aca="false">IFERROR(IF($C75="","",IF($D75="","",IFERROR(ROUND($D75*INDEX('🔖 배합비 참조'!$B$2:$CE$83,MATCH("식물성기름혼합제제(분홍)",'🔖 배합비 참조'!$A$2:$A$83,0),MATCH($C75,'🔖 배합비 참조'!$B$1:$CE$1,0))/100,0),""))),"")</f>
        <v>0</v>
      </c>
      <c r="BC75" s="39" t="n">
        <f aca="false">IFERROR(IF($C75="","",IF($D75="","",IFERROR(ROUND($D75*INDEX('🔖 배합비 참조'!$B$2:$CE$83,MATCH("식물성기름혼합제제(초록)",'🔖 배합비 참조'!$A$2:$A$83,0),MATCH($C75,'🔖 배합비 참조'!$B$1:$CE$1,0))/100,0),""))),"")</f>
        <v>0</v>
      </c>
      <c r="BD75" s="39" t="n">
        <f aca="false">IFERROR(IF($C75="","",IF($D75="","",IFERROR(ROUND($D75*INDEX('🔖 배합비 참조'!$B$2:$CE$83,MATCH("식물성기름혼합제제(황색)",'🔖 배합비 참조'!$A$2:$A$83,0),MATCH($C75,'🔖 배합비 참조'!$B$1:$CE$1,0))/100,0),""))),"")</f>
        <v>0</v>
      </c>
      <c r="BE75" s="39" t="n">
        <f aca="false">IFERROR(IF($C75="","",IF($D75="","",IFERROR(ROUND($D75*INDEX('🔖 배합비 참조'!$B$2:$CE$83,MATCH("쑥가루(국내산)",'🔖 배합비 참조'!$A$2:$A$83,0),MATCH($C75,'🔖 배합비 참조'!$B$1:$CE$1,0))/100,0),""))),"")</f>
        <v>0</v>
      </c>
      <c r="BF75" s="39" t="n">
        <f aca="false">IFERROR(IF($C75="","",IF($D75="","",IFERROR(ROUND($D75*INDEX('🔖 배합비 참조'!$B$2:$CE$83,MATCH("아몬드슬라이스",'🔖 배합비 참조'!$A$2:$A$83,0),MATCH($C75,'🔖 배합비 참조'!$B$1:$CE$1,0))/100,0),""))),"")</f>
        <v>0</v>
      </c>
      <c r="BG75" s="39" t="n">
        <f aca="false">IFERROR(IF($C75="","",IF($D75="","",IFERROR(ROUND($D75*INDEX('🔖 배합비 참조'!$B$2:$CE$83,MATCH("알룰로오스(국내산)",'🔖 배합비 참조'!$A$2:$A$83,0),MATCH($C75,'🔖 배합비 참조'!$B$1:$CE$1,0))/100,0),""))),"")</f>
        <v>0</v>
      </c>
      <c r="BH75" s="39" t="n">
        <f aca="false">IFERROR(IF($C75="","",IF($D75="","",IFERROR(ROUND($D75*INDEX('🔖 배합비 참조'!$B$2:$CE$83,MATCH("연유",'🔖 배합비 참조'!$A$2:$A$83,0),MATCH($C75,'🔖 배합비 참조'!$B$1:$CE$1,0))/100,0),""))),"")</f>
        <v>0</v>
      </c>
      <c r="BI75" s="39" t="n">
        <f aca="false">IFERROR(IF($C75="","",IF($D75="","",IFERROR(ROUND($D75*INDEX('🔖 배합비 참조'!$B$2:$CE$83,MATCH("옥수수전분",'🔖 배합비 참조'!$A$2:$A$83,0),MATCH($C75,'🔖 배합비 참조'!$B$1:$CE$1,0))/100,0),""))),"")</f>
        <v>0</v>
      </c>
      <c r="BJ75" s="39" t="n">
        <f aca="false">IFERROR(IF($C75="","",IF($D75="","",IFERROR(ROUND($D75*INDEX('🔖 배합비 참조'!$B$2:$CE$83,MATCH("완두배기",'🔖 배합비 참조'!$A$2:$A$83,0),MATCH($C75,'🔖 배합비 참조'!$B$1:$CE$1,0))/100,0),""))),"")</f>
        <v>0</v>
      </c>
      <c r="BK75" s="39" t="n">
        <f aca="false">IFERROR(IF($C75="","",IF($D75="","",IFERROR(ROUND($D75*INDEX('🔖 배합비 참조'!$B$2:$CE$83,MATCH("우유(국내산)",'🔖 배합비 참조'!$A$2:$A$83,0),MATCH($C75,'🔖 배합비 참조'!$B$1:$CE$1,0))/100,0),""))),"")</f>
        <v>0</v>
      </c>
      <c r="BL75" s="39" t="n">
        <f aca="false">IFERROR(IF($C75="","",IF($D75="","",IFERROR(ROUND($D75*INDEX('🔖 배합비 참조'!$B$2:$CE$83,MATCH("자색고구마가루(중국산)",'🔖 배합비 참조'!$A$2:$A$83,0),MATCH($C75,'🔖 배합비 참조'!$B$1:$CE$1,0))/100,0),""))),"")</f>
        <v>0</v>
      </c>
      <c r="BM75" s="39" t="n">
        <f aca="false">IFERROR(IF($C75="","",IF($D75="","",IFERROR(ROUND($D75*INDEX('🔖 배합비 참조'!$B$2:$CE$83,MATCH("자연치즈(체다치즈)",'🔖 배합비 참조'!$A$2:$A$83,0),MATCH($C75,'🔖 배합비 참조'!$B$1:$CE$1,0))/100,0),""))),"")</f>
        <v>0</v>
      </c>
      <c r="BN75" s="39" t="n">
        <f aca="false">IFERROR(IF($C75="","",IF($D75="","",IFERROR(ROUND($D75*INDEX('🔖 배합비 참조'!$B$2:$CE$83,MATCH("정제수",'🔖 배합비 참조'!$A$2:$A$83,0),MATCH($C75,'🔖 배합비 참조'!$B$1:$CE$1,0))/100,0),""))),"")</f>
        <v>9</v>
      </c>
      <c r="BO75" s="39" t="n">
        <f aca="false">IFERROR(IF($C75="","",IF($D75="","",IFERROR(ROUND($D75*INDEX('🔖 배합비 참조'!$B$2:$CE$83,MATCH("젤라틴",'🔖 배합비 참조'!$A$2:$A$83,0),MATCH($C75,'🔖 배합비 참조'!$B$1:$CE$1,0))/100,0),""))),"")</f>
        <v>0</v>
      </c>
      <c r="BP75" s="39" t="n">
        <f aca="false">IFERROR(IF($C75="","",IF($D75="","",IFERROR(ROUND($D75*INDEX('🔖 배합비 참조'!$B$2:$CE$83,MATCH("조림류(백옥앙금)",'🔖 배합비 참조'!$A$2:$A$83,0),MATCH($C75,'🔖 배합비 참조'!$B$1:$CE$1,0))/100,0),""))),"")</f>
        <v>0</v>
      </c>
      <c r="BQ75" s="39" t="n">
        <f aca="false">IFERROR(IF($C75="","",IF($D75="","",IFERROR(ROUND($D75*INDEX('🔖 배합비 참조'!$B$2:$CE$83,MATCH("조림류(통팥앙금)",'🔖 배합비 참조'!$A$2:$A$83,0),MATCH($C75,'🔖 배합비 참조'!$B$1:$CE$1,0))/100,0),""))),"")</f>
        <v>0</v>
      </c>
      <c r="BR75" s="39" t="n">
        <f aca="false">IFERROR(IF($C75="","",IF($D75="","",IFERROR(ROUND($D75*INDEX('🔖 배합비 참조'!$B$2:$CE$83,MATCH("준초콜릿(외국산)",'🔖 배합비 참조'!$A$2:$A$83,0),MATCH($C75,'🔖 배합비 참조'!$B$1:$CE$1,0))/100,0),""))),"")</f>
        <v>0</v>
      </c>
      <c r="BS75" s="39" t="n">
        <f aca="false">IFERROR(IF($C75="","",IF($D75="","",IFERROR(ROUND($D75*INDEX('🔖 배합비 참조'!$B$2:$CE$83,MATCH("중력분",'🔖 배합비 참조'!$A$2:$A$83,0),MATCH($C75,'🔖 배합비 참조'!$B$1:$CE$1,0))/100,0),""))),"")</f>
        <v>0</v>
      </c>
      <c r="BT75" s="39" t="n">
        <f aca="false">IFERROR(IF($C75="","",IF($D75="","",IFERROR(ROUND($D75*INDEX('🔖 배합비 참조'!$B$2:$CE$83,MATCH("참깨(인도산,나이지리아산,탄자니아산,미얀마산)",'🔖 배합비 참조'!$A$2:$A$83,0),MATCH($C75,'🔖 배합비 참조'!$B$1:$CE$1,0))/100,0),""))),"")</f>
        <v>0</v>
      </c>
      <c r="BU75" s="39" t="n">
        <f aca="false">IFERROR(IF($C75="","",IF($D75="","",IFERROR(ROUND($D75*INDEX('🔖 배합비 참조'!$B$2:$CE$83,MATCH("찹쌀(국내산)",'🔖 배합비 참조'!$A$2:$A$83,0),MATCH($C75,'🔖 배합비 참조'!$B$1:$CE$1,0))/100,0),""))),"")</f>
        <v>0</v>
      </c>
      <c r="BV75" s="39" t="n">
        <f aca="false">IFERROR(IF($C75="","",IF($D75="","",IFERROR(ROUND($D75*INDEX('🔖 배합비 참조'!$B$2:$CE$83,MATCH("천일염",'🔖 배합비 참조'!$A$2:$A$83,0),MATCH($C75,'🔖 배합비 참조'!$B$1:$CE$1,0))/100,0),""))),"")</f>
        <v>1</v>
      </c>
      <c r="BW75" s="39" t="n">
        <f aca="false">IFERROR(IF($C75="","",IF($D75="","",IFERROR(ROUND($D75*INDEX('🔖 배합비 참조'!$B$2:$CE$83,MATCH("치즈 [크림치즈]",'🔖 배합비 참조'!$A$2:$A$83,0),MATCH($C75,'🔖 배합비 참조'!$B$1:$CE$1,0))/100,0),""))),"")</f>
        <v>0</v>
      </c>
      <c r="BX75" s="39" t="n">
        <f aca="false">IFERROR(IF($C75="","",IF($D75="","",IFERROR(ROUND($D75*INDEX('🔖 배합비 참조'!$B$2:$CE$83,MATCH("코코아가공품류(코코아분말)",'🔖 배합비 참조'!$A$2:$A$83,0),MATCH($C75,'🔖 배합비 참조'!$B$1:$CE$1,0))/100,0),""))),"")</f>
        <v>0</v>
      </c>
      <c r="BY75" s="39" t="n">
        <f aca="false">IFERROR(IF($C75="","",IF($D75="","",IFERROR(ROUND($D75*INDEX('🔖 배합비 참조'!$B$2:$CE$83,MATCH("콩기름(대두유)",'🔖 배합비 참조'!$A$2:$A$83,0),MATCH($C75,'🔖 배합비 참조'!$B$1:$CE$1,0))/100,0),""))),"")</f>
        <v>0</v>
      </c>
      <c r="BZ75" s="39" t="n">
        <f aca="false">IFERROR(IF($C75="","",IF($D75="","",IFERROR(ROUND($D75*INDEX('🔖 배합비 참조'!$B$2:$CE$83,MATCH("해바라기씨앗",'🔖 배합비 참조'!$A$2:$A$83,0),MATCH($C75,'🔖 배합비 참조'!$B$1:$CE$1,0))/100,0),""))),"")</f>
        <v>0</v>
      </c>
      <c r="CA75" s="39" t="n">
        <f aca="false">IFERROR(IF($C75="","",IF($D75="","",IFERROR(ROUND($D75*INDEX('🔖 배합비 참조'!$B$2:$CE$83,MATCH("현미(국내산)",'🔖 배합비 참조'!$A$2:$A$83,0),MATCH($C75,'🔖 배합비 참조'!$B$1:$CE$1,0))/100,0),""))),"")</f>
        <v>0</v>
      </c>
      <c r="CB75" s="39" t="n">
        <f aca="false">IFERROR(IF($C75="","",IF($D75="","",IFERROR(ROUND($D75*INDEX('🔖 배합비 참조'!$B$2:$CE$83,MATCH("현미멥쌀(국내산)",'🔖 배합비 참조'!$A$2:$A$83,0),MATCH($C75,'🔖 배합비 참조'!$B$1:$CE$1,0))/100,0),""))),"")</f>
        <v>0</v>
      </c>
      <c r="CC75" s="39" t="n">
        <f aca="false">IFERROR(IF($C75="","",IF($D75="","",IFERROR(ROUND($D75*INDEX('🔖 배합비 참조'!$B$2:$CE$83,MATCH("호두분태(미국산)",'🔖 배합비 참조'!$A$2:$A$83,0),MATCH($C75,'🔖 배합비 참조'!$B$1:$CE$1,0))/100,0),""))),"")</f>
        <v>0</v>
      </c>
      <c r="CD75" s="39" t="n">
        <f aca="false">IFERROR(IF($C75="","",IF($D75="","",IFERROR(ROUND($D75*INDEX('🔖 배합비 참조'!$B$2:$CE$83,MATCH("호박씨앗(외국산)",'🔖 배합비 참조'!$A$2:$A$83,0),MATCH($C75,'🔖 배합비 참조'!$B$1:$CE$1,0))/100,0),""))),"")</f>
        <v>0</v>
      </c>
      <c r="CE75" s="39" t="n">
        <f aca="false">IFERROR(IF($C75="","",IF($D75="","",IFERROR(ROUND($D75*INDEX('🔖 배합비 참조'!$B$2:$CE$83,MATCH("혼합제제(떡용에스텔)",'🔖 배합비 참조'!$A$2:$A$83,0),MATCH($C75,'🔖 배합비 참조'!$B$1:$CE$1,0))/100,0),""))),"")</f>
        <v>0</v>
      </c>
      <c r="CF75" s="39" t="n">
        <f aca="false">IFERROR(IF($C75="","",IF($D75="","",IFERROR(ROUND($D75*INDEX('🔖 배합비 참조'!$B$2:$CE$83,MATCH("혼합제제(스테비아)",'🔖 배합비 참조'!$A$2:$A$83,0),MATCH($C75,'🔖 배합비 참조'!$B$1:$CE$1,0))/100,0),""))),"")</f>
        <v>0</v>
      </c>
      <c r="CG75" s="39" t="n">
        <f aca="false">IFERROR(IF($C75="","",IF($D75="","",IFERROR(ROUND($D75*INDEX('🔖 배합비 참조'!$B$2:$CE$83,MATCH("화이트초콜릿",'🔖 배합비 참조'!$A$2:$A$83,0),MATCH($C75,'🔖 배합비 참조'!$B$1:$CE$1,0))/100,0),""))),"")</f>
        <v>0</v>
      </c>
      <c r="CH75" s="39" t="n">
        <f aca="false">IFERROR(IF($C75="","",IF($D75="","",IFERROR(ROUND($D75*INDEX('🔖 배합비 참조'!$B$2:$CE$83,MATCH("흑미찹쌀(국내산)",'🔖 배합비 참조'!$A$2:$A$83,0),MATCH($C75,'🔖 배합비 참조'!$B$1:$CE$1,0))/100,0),""))),"")</f>
        <v>0</v>
      </c>
      <c r="CI75" s="39" t="n">
        <f aca="false">IFERROR(IF($C75="","",IF($D75="","",IFERROR(ROUND($D75*INDEX('🔖 배합비 참조'!$B$2:$CE$83,MATCH("찰옥수수전분(미국산)",'🔖 배합비 참조'!$A$2:$A$83,0),MATCH($C75,'🔖 배합비 참조'!$B$1:$CE$1,0))/100,0),""))),"")</f>
        <v>0</v>
      </c>
      <c r="CJ75" s="40"/>
      <c r="CL75" s="1" t="s">
        <v>238</v>
      </c>
    </row>
    <row r="76" customFormat="false" ht="18" hidden="false" customHeight="true" outlineLevel="0" collapsed="false">
      <c r="A76" s="41" t="n">
        <v>72</v>
      </c>
      <c r="B76" s="36" t="n">
        <v>45978</v>
      </c>
      <c r="C76" s="37" t="s">
        <v>184</v>
      </c>
      <c r="D76" s="38" t="n">
        <v>50</v>
      </c>
      <c r="E76" s="17"/>
      <c r="F76" s="17"/>
      <c r="G76" s="42" t="n">
        <f aca="false">IFERROR(IF($C76="","",IF($D76="","",IFERROR(ROUND($D76*INDEX('🔖 배합비 참조'!$B$2:$CE$83,MATCH("간장",'🔖 배합비 참조'!$A$2:$A$83,0),MATCH($C76,'🔖 배합비 참조'!$B$1:$CE$1,0))/100,0),""))),"")</f>
        <v>0</v>
      </c>
      <c r="H76" s="42" t="n">
        <f aca="false">IFERROR(IF($C76="","",IF($D76="","",IFERROR(ROUND($D76*INDEX('🔖 배합비 참조'!$B$2:$CE$83,MATCH("강낭콩((울타리콩))",'🔖 배합비 참조'!$A$2:$A$83,0),MATCH($C76,'🔖 배합비 참조'!$B$1:$CE$1,0))/100,0),""))),"")</f>
        <v>0</v>
      </c>
      <c r="I76" s="42" t="n">
        <f aca="false">IFERROR(IF($C76="","",IF($D76="","",IFERROR(ROUND($D76*INDEX('🔖 배합비 참조'!$B$2:$CE$83,MATCH("건조딸기다이스(외국산)",'🔖 배합비 참조'!$A$2:$A$83,0),MATCH($C76,'🔖 배합비 참조'!$B$1:$CE$1,0))/100,0),""))),"")</f>
        <v>0</v>
      </c>
      <c r="J76" s="42" t="n">
        <f aca="false">IFERROR(IF($C76="","",IF($D76="","",IFERROR(ROUND($D76*INDEX('🔖 배합비 참조'!$B$2:$CE$83,MATCH("건포도",'🔖 배합비 참조'!$A$2:$A$83,0),MATCH($C76,'🔖 배합비 참조'!$B$1:$CE$1,0))/100,0),""))),"")</f>
        <v>0</v>
      </c>
      <c r="K76" s="42" t="n">
        <f aca="false">IFERROR(IF($C76="","",IF($D76="","",IFERROR(ROUND($D76*INDEX('🔖 배합비 참조'!$B$2:$CE$83,MATCH("건호박채(중국산)",'🔖 배합비 참조'!$A$2:$A$83,0),MATCH($C76,'🔖 배합비 참조'!$B$1:$CE$1,0))/100,0),""))),"")</f>
        <v>0</v>
      </c>
      <c r="L76" s="42" t="n">
        <f aca="false">IFERROR(IF($C76="","",IF($D76="","",IFERROR(ROUND($D76*INDEX('🔖 배합비 참조'!$B$2:$CE$83,MATCH("검정깨(흑임자)",'🔖 배합비 참조'!$A$2:$A$83,0),MATCH($C76,'🔖 배합비 참조'!$B$1:$CE$1,0))/100,0),""))),"")</f>
        <v>0</v>
      </c>
      <c r="M76" s="42" t="n">
        <f aca="false">IFERROR(IF($C76="","",IF($D76="","",IFERROR(ROUND($D76*INDEX('🔖 배합비 참조'!$B$2:$CE$83,MATCH("검정콩",'🔖 배합비 참조'!$A$2:$A$83,0),MATCH($C76,'🔖 배합비 참조'!$B$1:$CE$1,0))/100,0),""))),"")</f>
        <v>0</v>
      </c>
      <c r="N76" s="42" t="n">
        <f aca="false">IFERROR(IF($C76="","",IF($D76="","",IFERROR(ROUND($D76*INDEX('🔖 배합비 참조'!$B$2:$CE$83,MATCH("계피가루",'🔖 배합비 참조'!$A$2:$A$83,0),MATCH($C76,'🔖 배합비 참조'!$B$1:$CE$1,0))/100,0),""))),"")</f>
        <v>0</v>
      </c>
      <c r="O76" s="42" t="n">
        <f aca="false">IFERROR(IF($C76="","",IF($D76="","",IFERROR(ROUND($D76*INDEX('🔖 배합비 참조'!$B$2:$CE$83,MATCH("고구마가루",'🔖 배합비 참조'!$A$2:$A$83,0),MATCH($C76,'🔖 배합비 참조'!$B$1:$CE$1,0))/100,0),""))),"")</f>
        <v>0</v>
      </c>
      <c r="P76" s="42" t="n">
        <f aca="false">IFERROR(IF($C76="","",IF($D76="","",IFERROR(ROUND($D76*INDEX('🔖 배합비 참조'!$B$2:$CE$83,MATCH("고구마무스",'🔖 배합비 참조'!$A$2:$A$83,0),MATCH($C76,'🔖 배합비 참조'!$B$1:$CE$1,0))/100,0),""))),"")</f>
        <v>0</v>
      </c>
      <c r="Q76" s="42" t="n">
        <f aca="false">IFERROR(IF($C76="","",IF($D76="","",IFERROR(ROUND($D76*INDEX('🔖 배합비 참조'!$B$2:$CE$83,MATCH("고려엉겅퀴((곤드레)국내산)",'🔖 배합비 참조'!$A$2:$A$83,0),MATCH($C76,'🔖 배합비 참조'!$B$1:$CE$1,0))/100,0),""))),"")</f>
        <v>0</v>
      </c>
      <c r="R76" s="42" t="n">
        <f aca="false">IFERROR(IF($C76="","",IF($D76="","",IFERROR(ROUND($D76*INDEX('🔖 배합비 참조'!$B$2:$CE$83,MATCH("기타가공품(복분자가루)",'🔖 배합비 참조'!$A$2:$A$83,0),MATCH($C76,'🔖 배합비 참조'!$B$1:$CE$1,0))/100,0),""))),"")</f>
        <v>0</v>
      </c>
      <c r="S76" s="42" t="n">
        <f aca="false">IFERROR(IF($C76="","",IF($D76="","",IFERROR(ROUND($D76*INDEX('🔖 배합비 참조'!$B$2:$CE$83,MATCH("기타가공품(슈퍼소프트엠)",'🔖 배합비 참조'!$A$2:$A$83,0),MATCH($C76,'🔖 배합비 참조'!$B$1:$CE$1,0))/100,0),""))),"")</f>
        <v>0</v>
      </c>
      <c r="T76" s="42" t="n">
        <f aca="false">IFERROR(IF($C76="","",IF($D76="","",IFERROR(ROUND($D76*INDEX('🔖 배합비 참조'!$B$2:$CE$83,MATCH("기타가공품(파인소프트 E-티)",'🔖 배합비 참조'!$A$2:$A$83,0),MATCH($C76,'🔖 배합비 참조'!$B$1:$CE$1,0))/100,0),""))),"")</f>
        <v>0</v>
      </c>
      <c r="U76" s="42" t="n">
        <f aca="false">IFERROR(IF($C76="","",IF($D76="","",IFERROR(ROUND($D76*INDEX('🔖 배합비 참조'!$B$2:$CE$83,MATCH("기타가공품(프리미엄카스테라가루)",'🔖 배합비 참조'!$A$2:$A$83,0),MATCH($C76,'🔖 배합비 참조'!$B$1:$CE$1,0))/100,0),""))),"")</f>
        <v>0</v>
      </c>
      <c r="V76" s="42" t="n">
        <f aca="false">IFERROR(IF($C76="","",IF($D76="","",IFERROR(ROUND($D76*INDEX('🔖 배합비 참조'!$B$2:$CE$83,MATCH("기타가공품(흑임자가루)",'🔖 배합비 참조'!$A$2:$A$83,0),MATCH($C76,'🔖 배합비 참조'!$B$1:$CE$1,0))/100,0),""))),"")</f>
        <v>0</v>
      </c>
      <c r="W76" s="42" t="n">
        <f aca="false">IFERROR(IF($C76="","",IF($D76="","",IFERROR(ROUND($D76*INDEX('🔖 배합비 참조'!$B$2:$CE$83,MATCH("기타설탕(흑설탕)",'🔖 배합비 참조'!$A$2:$A$83,0),MATCH($C76,'🔖 배합비 참조'!$B$1:$CE$1,0))/100,0),""))),"")</f>
        <v>0</v>
      </c>
      <c r="X76" s="42" t="n">
        <f aca="false">IFERROR(IF($C76="","",IF($D76="","",IFERROR(ROUND($D76*INDEX('🔖 배합비 참조'!$B$2:$CE$83,MATCH("냉동쑥(국내산)",'🔖 배합비 참조'!$A$2:$A$83,0),MATCH($C76,'🔖 배합비 참조'!$B$1:$CE$1,0))/100,0),""))),"")</f>
        <v>0</v>
      </c>
      <c r="Y76" s="42" t="n">
        <f aca="false">IFERROR(IF($C76="","",IF($D76="","",IFERROR(ROUND($D76*INDEX('🔖 배합비 참조'!$B$2:$CE$83,MATCH("냉동증숙고구마(중국산)",'🔖 배합비 참조'!$A$2:$A$83,0),MATCH($C76,'🔖 배합비 참조'!$B$1:$CE$1,0))/100,0),""))),"")</f>
        <v>0</v>
      </c>
      <c r="Z76" s="42" t="n">
        <f aca="false">IFERROR(IF($C76="","",IF($D76="","",IFERROR(ROUND($D76*INDEX('🔖 배합비 참조'!$B$2:$CE$83,MATCH("녹차가루",'🔖 배합비 참조'!$A$2:$A$83,0),MATCH($C76,'🔖 배합비 참조'!$B$1:$CE$1,0))/100,0),""))),"")</f>
        <v>0</v>
      </c>
      <c r="AA76" s="42" t="n">
        <f aca="false">IFERROR(IF($C76="","",IF($D76="","",IFERROR(ROUND($D76*INDEX('🔖 배합비 참조'!$B$2:$CE$83,MATCH("다크초콜릿 컴파운드칩",'🔖 배합비 참조'!$A$2:$A$83,0),MATCH($C76,'🔖 배합비 참조'!$B$1:$CE$1,0))/100,0),""))),"")</f>
        <v>0</v>
      </c>
      <c r="AB76" s="42" t="n">
        <f aca="false">IFERROR(IF($C76="","",IF($D76="","",IFERROR(ROUND($D76*INDEX('🔖 배합비 참조'!$B$2:$CE$83,MATCH("단호박분말(중국산)",'🔖 배합비 참조'!$A$2:$A$83,0),MATCH($C76,'🔖 배합비 참조'!$B$1:$CE$1,0))/100,0),""))),"")</f>
        <v>0</v>
      </c>
      <c r="AC76" s="42" t="n">
        <f aca="false">IFERROR(IF($C76="","",IF($D76="","",IFERROR(ROUND($D76*INDEX('🔖 배합비 참조'!$B$2:$CE$83,MATCH("당류가공품(단호박농축액)",'🔖 배합비 참조'!$A$2:$A$83,0),MATCH($C76,'🔖 배합비 참조'!$B$1:$CE$1,0))/100,0),""))),"")</f>
        <v>0</v>
      </c>
      <c r="AD76" s="42" t="n">
        <f aca="false">IFERROR(IF($C76="","",IF($D76="","",IFERROR(ROUND($D76*INDEX('🔖 배합비 참조'!$B$2:$CE$83,MATCH("당류가공품(알룰로스,에리스리톨,스테비올배당체혼합)",'🔖 배합비 참조'!$A$2:$A$83,0),MATCH($C76,'🔖 배합비 참조'!$B$1:$CE$1,0))/100,0),""))),"")</f>
        <v>0</v>
      </c>
      <c r="AE76" s="42" t="n">
        <f aca="false">IFERROR(IF($C76="","",IF($D76="","",IFERROR(ROUND($D76*INDEX('🔖 배합비 참조'!$B$2:$CE$83,MATCH("당류가공품(알룰로스제로파우더)",'🔖 배합비 참조'!$A$2:$A$83,0),MATCH($C76,'🔖 배합비 참조'!$B$1:$CE$1,0))/100,0),""))),"")</f>
        <v>0</v>
      </c>
      <c r="AF76" s="42" t="n">
        <f aca="false">IFERROR(IF($C76="","",IF($D76="","",IFERROR(ROUND($D76*INDEX('🔖 배합비 참조'!$B$2:$CE$83,MATCH("당절임(완두배기)",'🔖 배합비 참조'!$A$2:$A$83,0),MATCH($C76,'🔖 배합비 참조'!$B$1:$CE$1,0))/100,0),""))),"")</f>
        <v>0</v>
      </c>
      <c r="AG76" s="42" t="n">
        <f aca="false">IFERROR(IF($C76="","",IF($D76="","",IFERROR(ROUND($D76*INDEX('🔖 배합비 참조'!$B$2:$CE$83,MATCH("대추농축액",'🔖 배합비 참조'!$A$2:$A$83,0),MATCH($C76,'🔖 배합비 참조'!$B$1:$CE$1,0))/100,0),""))),"")</f>
        <v>0</v>
      </c>
      <c r="AH76" s="42" t="n">
        <f aca="false">IFERROR(IF($C76="","",IF($D76="","",IFERROR(ROUND($D76*INDEX('🔖 배합비 참조'!$B$2:$CE$83,MATCH("대추채(국내산)",'🔖 배합비 참조'!$A$2:$A$83,0),MATCH($C76,'🔖 배합비 참조'!$B$1:$CE$1,0))/100,0),""))),"")</f>
        <v>0</v>
      </c>
      <c r="AI76" s="42" t="n">
        <f aca="false">IFERROR(IF($C76="","",IF($D76="","",IFERROR(ROUND($D76*INDEX('🔖 배합비 참조'!$B$2:$CE$83,MATCH("동부(미얀마산)",'🔖 배합비 참조'!$A$2:$A$83,0),MATCH($C76,'🔖 배합비 참조'!$B$1:$CE$1,0))/100,0),""))),"")</f>
        <v>0</v>
      </c>
      <c r="AJ76" s="42" t="n">
        <f aca="false">IFERROR(IF($C76="","",IF($D76="","",IFERROR(ROUND($D76*INDEX('🔖 배합비 참조'!$B$2:$CE$83,MATCH("두류가공품(백옥앙금)",'🔖 배합비 참조'!$A$2:$A$83,0),MATCH($C76,'🔖 배합비 참조'!$B$1:$CE$1,0))/100,0),""))),"")</f>
        <v>0</v>
      </c>
      <c r="AK76" s="42" t="n">
        <f aca="false">IFERROR(IF($C76="","",IF($D76="","",IFERROR(ROUND($D76*INDEX('🔖 배합비 참조'!$B$2:$CE$83,MATCH("두류가공품(콩고물)",'🔖 배합비 참조'!$A$2:$A$83,0),MATCH($C76,'🔖 배합비 참조'!$B$1:$CE$1,0))/100,0),""))),"")</f>
        <v>0</v>
      </c>
      <c r="AL76" s="42" t="n">
        <f aca="false">IFERROR(IF($C76="","",IF($D76="","",IFERROR(ROUND($D76*INDEX('🔖 배합비 참조'!$B$2:$CE$83,MATCH("두류가공품(통팥고물)",'🔖 배합비 참조'!$A$2:$A$83,0),MATCH($C76,'🔖 배합비 참조'!$B$1:$CE$1,0))/100,0),""))),"")</f>
        <v>0</v>
      </c>
      <c r="AM76" s="42" t="n">
        <f aca="false">IFERROR(IF($C76="","",IF($D76="","",IFERROR(ROUND($D76*INDEX('🔖 배합비 참조'!$B$2:$CE$83,MATCH("딸기레진",'🔖 배합비 참조'!$A$2:$A$83,0),MATCH($C76,'🔖 배합비 참조'!$B$1:$CE$1,0))/100,0),""))),"")</f>
        <v>0</v>
      </c>
      <c r="AN76" s="42" t="n">
        <f aca="false">IFERROR(IF($C76="","",IF($D76="","",IFERROR(ROUND($D76*INDEX('🔖 배합비 참조'!$B$2:$CE$83,MATCH("딸기분말(스트로우베리에이드(분말))",'🔖 배합비 참조'!$A$2:$A$83,0),MATCH($C76,'🔖 배합비 참조'!$B$1:$CE$1,0))/100,0),""))),"")</f>
        <v>0</v>
      </c>
      <c r="AO76" s="42" t="n">
        <f aca="false">IFERROR(IF($C76="","",IF($D76="","",IFERROR(ROUND($D76*INDEX('🔖 배합비 참조'!$B$2:$CE$83,MATCH("마스카포네치즈",'🔖 배합비 참조'!$A$2:$A$83,0),MATCH($C76,'🔖 배합비 참조'!$B$1:$CE$1,0))/100,0),""))),"")</f>
        <v>0</v>
      </c>
      <c r="AP76" s="42" t="n">
        <f aca="false">IFERROR(IF($C76="","",IF($D76="","",IFERROR(ROUND($D76*INDEX('🔖 배합비 참조'!$B$2:$CE$83,MATCH("마카다미아분태(호주산)",'🔖 배합비 참조'!$A$2:$A$83,0),MATCH($C76,'🔖 배합비 참조'!$B$1:$CE$1,0))/100,0),""))),"")</f>
        <v>0</v>
      </c>
      <c r="AQ76" s="42" t="n">
        <f aca="false">IFERROR(IF($C76="","",IF($D76="","",IFERROR(ROUND($D76*INDEX('🔖 배합비 참조'!$B$2:$CE$83,MATCH("멥쌀(국내산)",'🔖 배합비 참조'!$A$2:$A$83,0),MATCH($C76,'🔖 배합비 참조'!$B$1:$CE$1,0))/100,0),""))),"")</f>
        <v>35</v>
      </c>
      <c r="AR76" s="42" t="n">
        <f aca="false">IFERROR(IF($C76="","",IF($D76="","",IFERROR(ROUND($D76*INDEX('🔖 배합비 참조'!$B$2:$CE$83,MATCH("모시잎(국내산)",'🔖 배합비 참조'!$A$2:$A$83,0),MATCH($C76,'🔖 배합비 참조'!$B$1:$CE$1,0))/100,0),""))),"")</f>
        <v>0</v>
      </c>
      <c r="AS76" s="42" t="n">
        <f aca="false">IFERROR(IF($C76="","",IF($D76="","",IFERROR(ROUND($D76*INDEX('🔖 배합비 참조'!$B$2:$CE$83,MATCH("물엿(저당물엿)",'🔖 배합비 참조'!$A$2:$A$83,0),MATCH($C76,'🔖 배합비 참조'!$B$1:$CE$1,0))/100,0),""))),"")</f>
        <v>0</v>
      </c>
      <c r="AT76" s="42" t="n">
        <f aca="false">IFERROR(IF($C76="","",IF($D76="","",IFERROR(ROUND($D76*INDEX('🔖 배합비 참조'!$B$2:$CE$83,MATCH("밤다이스",'🔖 배합비 참조'!$A$2:$A$83,0),MATCH($C76,'🔖 배합비 참조'!$B$1:$CE$1,0))/100,0),""))),"")</f>
        <v>0</v>
      </c>
      <c r="AU76" s="42" t="n">
        <f aca="false">IFERROR(IF($C76="","",IF($D76="","",IFERROR(ROUND($D76*INDEX('🔖 배합비 참조'!$B$2:$CE$83,MATCH("변성전분(타피오카전분)",'🔖 배합비 참조'!$A$2:$A$83,0),MATCH($C76,'🔖 배합비 참조'!$B$1:$CE$1,0))/100,0),""))),"")</f>
        <v>0</v>
      </c>
      <c r="AV76" s="42" t="n">
        <f aca="false">IFERROR(IF($C76="","",IF($D76="","",IFERROR(ROUND($D76*INDEX('🔖 배합비 참조'!$B$2:$CE$83,MATCH("복음땅콩분태",'🔖 배합비 참조'!$A$2:$A$83,0),MATCH($C76,'🔖 배합비 참조'!$B$1:$CE$1,0))/100,0),""))),"")</f>
        <v>0</v>
      </c>
      <c r="AW76" s="42" t="n">
        <f aca="false">IFERROR(IF($C76="","",IF($D76="","",IFERROR(ROUND($D76*INDEX('🔖 배합비 참조'!$B$2:$CE$83,MATCH("사양벌꿀(국내산)",'🔖 배합비 참조'!$A$2:$A$83,0),MATCH($C76,'🔖 배합비 참조'!$B$1:$CE$1,0))/100,0),""))),"")</f>
        <v>0</v>
      </c>
      <c r="AX76" s="42" t="n">
        <f aca="false">IFERROR(IF($C76="","",IF($D76="","",IFERROR(ROUND($D76*INDEX('🔖 배합비 참조'!$B$2:$CE$83,MATCH("생크림",'🔖 배합비 참조'!$A$2:$A$83,0),MATCH($C76,'🔖 배합비 참조'!$B$1:$CE$1,0))/100,0),""))),"")</f>
        <v>0</v>
      </c>
      <c r="AY76" s="42" t="n">
        <f aca="false">IFERROR(IF($C76="","",IF($D76="","",IFERROR(ROUND($D76*INDEX('🔖 배합비 참조'!$B$2:$CE$83,MATCH("서양호박(국내산,뉴질랜드산)",'🔖 배합비 참조'!$A$2:$A$83,0),MATCH($C76,'🔖 배합비 참조'!$B$1:$CE$1,0))/100,0),""))),"")</f>
        <v>0</v>
      </c>
      <c r="AZ76" s="42" t="n">
        <f aca="false">IFERROR(IF($C76="","",IF($D76="","",IFERROR(ROUND($D76*INDEX('🔖 배합비 참조'!$B$2:$CE$83,MATCH("설탕",'🔖 배합비 참조'!$A$2:$A$83,0),MATCH($C76,'🔖 배합비 참조'!$B$1:$CE$1,0))/100,0),""))),"")</f>
        <v>6</v>
      </c>
      <c r="BA76" s="42" t="n">
        <f aca="false">IFERROR(IF($C76="","",IF($D76="","",IFERROR(ROUND($D76*INDEX('🔖 배합비 참조'!$B$2:$CE$83,MATCH("스트로우베리 에이드 후레쉬",'🔖 배합비 참조'!$A$2:$A$83,0),MATCH($C76,'🔖 배합비 참조'!$B$1:$CE$1,0))/100,0),""))),"")</f>
        <v>0</v>
      </c>
      <c r="BB76" s="42" t="n">
        <f aca="false">IFERROR(IF($C76="","",IF($D76="","",IFERROR(ROUND($D76*INDEX('🔖 배합비 참조'!$B$2:$CE$83,MATCH("식물성기름혼합제제(분홍)",'🔖 배합비 참조'!$A$2:$A$83,0),MATCH($C76,'🔖 배합비 참조'!$B$1:$CE$1,0))/100,0),""))),"")</f>
        <v>0</v>
      </c>
      <c r="BC76" s="42" t="n">
        <f aca="false">IFERROR(IF($C76="","",IF($D76="","",IFERROR(ROUND($D76*INDEX('🔖 배합비 참조'!$B$2:$CE$83,MATCH("식물성기름혼합제제(초록)",'🔖 배합비 참조'!$A$2:$A$83,0),MATCH($C76,'🔖 배합비 참조'!$B$1:$CE$1,0))/100,0),""))),"")</f>
        <v>0</v>
      </c>
      <c r="BD76" s="42" t="n">
        <f aca="false">IFERROR(IF($C76="","",IF($D76="","",IFERROR(ROUND($D76*INDEX('🔖 배합비 참조'!$B$2:$CE$83,MATCH("식물성기름혼합제제(황색)",'🔖 배합비 참조'!$A$2:$A$83,0),MATCH($C76,'🔖 배합비 참조'!$B$1:$CE$1,0))/100,0),""))),"")</f>
        <v>0</v>
      </c>
      <c r="BE76" s="42" t="n">
        <f aca="false">IFERROR(IF($C76="","",IF($D76="","",IFERROR(ROUND($D76*INDEX('🔖 배합비 참조'!$B$2:$CE$83,MATCH("쑥가루(국내산)",'🔖 배합비 참조'!$A$2:$A$83,0),MATCH($C76,'🔖 배합비 참조'!$B$1:$CE$1,0))/100,0),""))),"")</f>
        <v>0</v>
      </c>
      <c r="BF76" s="42" t="n">
        <f aca="false">IFERROR(IF($C76="","",IF($D76="","",IFERROR(ROUND($D76*INDEX('🔖 배합비 참조'!$B$2:$CE$83,MATCH("아몬드슬라이스",'🔖 배합비 참조'!$A$2:$A$83,0),MATCH($C76,'🔖 배합비 참조'!$B$1:$CE$1,0))/100,0),""))),"")</f>
        <v>0</v>
      </c>
      <c r="BG76" s="42" t="n">
        <f aca="false">IFERROR(IF($C76="","",IF($D76="","",IFERROR(ROUND($D76*INDEX('🔖 배합비 참조'!$B$2:$CE$83,MATCH("알룰로오스(국내산)",'🔖 배합비 참조'!$A$2:$A$83,0),MATCH($C76,'🔖 배합비 참조'!$B$1:$CE$1,0))/100,0),""))),"")</f>
        <v>0</v>
      </c>
      <c r="BH76" s="42" t="n">
        <f aca="false">IFERROR(IF($C76="","",IF($D76="","",IFERROR(ROUND($D76*INDEX('🔖 배합비 참조'!$B$2:$CE$83,MATCH("연유",'🔖 배합비 참조'!$A$2:$A$83,0),MATCH($C76,'🔖 배합비 참조'!$B$1:$CE$1,0))/100,0),""))),"")</f>
        <v>0</v>
      </c>
      <c r="BI76" s="42" t="n">
        <f aca="false">IFERROR(IF($C76="","",IF($D76="","",IFERROR(ROUND($D76*INDEX('🔖 배합비 참조'!$B$2:$CE$83,MATCH("옥수수전분",'🔖 배합비 참조'!$A$2:$A$83,0),MATCH($C76,'🔖 배합비 참조'!$B$1:$CE$1,0))/100,0),""))),"")</f>
        <v>0</v>
      </c>
      <c r="BJ76" s="42" t="n">
        <f aca="false">IFERROR(IF($C76="","",IF($D76="","",IFERROR(ROUND($D76*INDEX('🔖 배합비 참조'!$B$2:$CE$83,MATCH("완두배기",'🔖 배합비 참조'!$A$2:$A$83,0),MATCH($C76,'🔖 배합비 참조'!$B$1:$CE$1,0))/100,0),""))),"")</f>
        <v>0</v>
      </c>
      <c r="BK76" s="42" t="n">
        <f aca="false">IFERROR(IF($C76="","",IF($D76="","",IFERROR(ROUND($D76*INDEX('🔖 배합비 참조'!$B$2:$CE$83,MATCH("우유(국내산)",'🔖 배합비 참조'!$A$2:$A$83,0),MATCH($C76,'🔖 배합비 참조'!$B$1:$CE$1,0))/100,0),""))),"")</f>
        <v>5</v>
      </c>
      <c r="BL76" s="42" t="n">
        <f aca="false">IFERROR(IF($C76="","",IF($D76="","",IFERROR(ROUND($D76*INDEX('🔖 배합비 참조'!$B$2:$CE$83,MATCH("자색고구마가루(중국산)",'🔖 배합비 참조'!$A$2:$A$83,0),MATCH($C76,'🔖 배합비 참조'!$B$1:$CE$1,0))/100,0),""))),"")</f>
        <v>0</v>
      </c>
      <c r="BM76" s="42" t="n">
        <f aca="false">IFERROR(IF($C76="","",IF($D76="","",IFERROR(ROUND($D76*INDEX('🔖 배합비 참조'!$B$2:$CE$83,MATCH("자연치즈(체다치즈)",'🔖 배합비 참조'!$A$2:$A$83,0),MATCH($C76,'🔖 배합비 참조'!$B$1:$CE$1,0))/100,0),""))),"")</f>
        <v>0</v>
      </c>
      <c r="BN76" s="42" t="n">
        <f aca="false">IFERROR(IF($C76="","",IF($D76="","",IFERROR(ROUND($D76*INDEX('🔖 배합비 참조'!$B$2:$CE$83,MATCH("정제수",'🔖 배합비 참조'!$A$2:$A$83,0),MATCH($C76,'🔖 배합비 참조'!$B$1:$CE$1,0))/100,0),""))),"")</f>
        <v>5</v>
      </c>
      <c r="BO76" s="42" t="n">
        <f aca="false">IFERROR(IF($C76="","",IF($D76="","",IFERROR(ROUND($D76*INDEX('🔖 배합비 참조'!$B$2:$CE$83,MATCH("젤라틴",'🔖 배합비 참조'!$A$2:$A$83,0),MATCH($C76,'🔖 배합비 참조'!$B$1:$CE$1,0))/100,0),""))),"")</f>
        <v>0</v>
      </c>
      <c r="BP76" s="42" t="n">
        <f aca="false">IFERROR(IF($C76="","",IF($D76="","",IFERROR(ROUND($D76*INDEX('🔖 배합비 참조'!$B$2:$CE$83,MATCH("조림류(백옥앙금)",'🔖 배합비 참조'!$A$2:$A$83,0),MATCH($C76,'🔖 배합비 참조'!$B$1:$CE$1,0))/100,0),""))),"")</f>
        <v>0</v>
      </c>
      <c r="BQ76" s="42" t="n">
        <f aca="false">IFERROR(IF($C76="","",IF($D76="","",IFERROR(ROUND($D76*INDEX('🔖 배합비 참조'!$B$2:$CE$83,MATCH("조림류(통팥앙금)",'🔖 배합비 참조'!$A$2:$A$83,0),MATCH($C76,'🔖 배합비 참조'!$B$1:$CE$1,0))/100,0),""))),"")</f>
        <v>0</v>
      </c>
      <c r="BR76" s="42" t="n">
        <f aca="false">IFERROR(IF($C76="","",IF($D76="","",IFERROR(ROUND($D76*INDEX('🔖 배합비 참조'!$B$2:$CE$83,MATCH("준초콜릿(외국산)",'🔖 배합비 참조'!$A$2:$A$83,0),MATCH($C76,'🔖 배합비 참조'!$B$1:$CE$1,0))/100,0),""))),"")</f>
        <v>0</v>
      </c>
      <c r="BS76" s="42" t="n">
        <f aca="false">IFERROR(IF($C76="","",IF($D76="","",IFERROR(ROUND($D76*INDEX('🔖 배합비 참조'!$B$2:$CE$83,MATCH("중력분",'🔖 배합비 참조'!$A$2:$A$83,0),MATCH($C76,'🔖 배합비 참조'!$B$1:$CE$1,0))/100,0),""))),"")</f>
        <v>0</v>
      </c>
      <c r="BT76" s="42" t="n">
        <f aca="false">IFERROR(IF($C76="","",IF($D76="","",IFERROR(ROUND($D76*INDEX('🔖 배합비 참조'!$B$2:$CE$83,MATCH("참깨(인도산,나이지리아산,탄자니아산,미얀마산)",'🔖 배합비 참조'!$A$2:$A$83,0),MATCH($C76,'🔖 배합비 참조'!$B$1:$CE$1,0))/100,0),""))),"")</f>
        <v>0</v>
      </c>
      <c r="BU76" s="42" t="n">
        <f aca="false">IFERROR(IF($C76="","",IF($D76="","",IFERROR(ROUND($D76*INDEX('🔖 배합비 참조'!$B$2:$CE$83,MATCH("찹쌀(국내산)",'🔖 배합비 참조'!$A$2:$A$83,0),MATCH($C76,'🔖 배합비 참조'!$B$1:$CE$1,0))/100,0),""))),"")</f>
        <v>0</v>
      </c>
      <c r="BV76" s="42" t="n">
        <f aca="false">IFERROR(IF($C76="","",IF($D76="","",IFERROR(ROUND($D76*INDEX('🔖 배합비 참조'!$B$2:$CE$83,MATCH("천일염",'🔖 배합비 참조'!$A$2:$A$83,0),MATCH($C76,'🔖 배합비 참조'!$B$1:$CE$1,0))/100,0),""))),"")</f>
        <v>1</v>
      </c>
      <c r="BW76" s="42" t="n">
        <f aca="false">IFERROR(IF($C76="","",IF($D76="","",IFERROR(ROUND($D76*INDEX('🔖 배합비 참조'!$B$2:$CE$83,MATCH("치즈 [크림치즈]",'🔖 배합비 참조'!$A$2:$A$83,0),MATCH($C76,'🔖 배합비 참조'!$B$1:$CE$1,0))/100,0),""))),"")</f>
        <v>0</v>
      </c>
      <c r="BX76" s="42" t="n">
        <f aca="false">IFERROR(IF($C76="","",IF($D76="","",IFERROR(ROUND($D76*INDEX('🔖 배합비 참조'!$B$2:$CE$83,MATCH("코코아가공품류(코코아분말)",'🔖 배합비 참조'!$A$2:$A$83,0),MATCH($C76,'🔖 배합비 참조'!$B$1:$CE$1,0))/100,0),""))),"")</f>
        <v>0</v>
      </c>
      <c r="BY76" s="42" t="n">
        <f aca="false">IFERROR(IF($C76="","",IF($D76="","",IFERROR(ROUND($D76*INDEX('🔖 배합비 참조'!$B$2:$CE$83,MATCH("콩기름(대두유)",'🔖 배합비 참조'!$A$2:$A$83,0),MATCH($C76,'🔖 배합비 참조'!$B$1:$CE$1,0))/100,0),""))),"")</f>
        <v>0</v>
      </c>
      <c r="BZ76" s="42" t="n">
        <f aca="false">IFERROR(IF($C76="","",IF($D76="","",IFERROR(ROUND($D76*INDEX('🔖 배합비 참조'!$B$2:$CE$83,MATCH("해바라기씨앗",'🔖 배합비 참조'!$A$2:$A$83,0),MATCH($C76,'🔖 배합비 참조'!$B$1:$CE$1,0))/100,0),""))),"")</f>
        <v>0</v>
      </c>
      <c r="CA76" s="42" t="n">
        <f aca="false">IFERROR(IF($C76="","",IF($D76="","",IFERROR(ROUND($D76*INDEX('🔖 배합비 참조'!$B$2:$CE$83,MATCH("현미(국내산)",'🔖 배합비 참조'!$A$2:$A$83,0),MATCH($C76,'🔖 배합비 참조'!$B$1:$CE$1,0))/100,0),""))),"")</f>
        <v>0</v>
      </c>
      <c r="CB76" s="42" t="n">
        <f aca="false">IFERROR(IF($C76="","",IF($D76="","",IFERROR(ROUND($D76*INDEX('🔖 배합비 참조'!$B$2:$CE$83,MATCH("현미멥쌀(국내산)",'🔖 배합비 참조'!$A$2:$A$83,0),MATCH($C76,'🔖 배합비 참조'!$B$1:$CE$1,0))/100,0),""))),"")</f>
        <v>0</v>
      </c>
      <c r="CC76" s="42" t="n">
        <f aca="false">IFERROR(IF($C76="","",IF($D76="","",IFERROR(ROUND($D76*INDEX('🔖 배합비 참조'!$B$2:$CE$83,MATCH("호두분태(미국산)",'🔖 배합비 참조'!$A$2:$A$83,0),MATCH($C76,'🔖 배합비 참조'!$B$1:$CE$1,0))/100,0),""))),"")</f>
        <v>0</v>
      </c>
      <c r="CD76" s="42" t="n">
        <f aca="false">IFERROR(IF($C76="","",IF($D76="","",IFERROR(ROUND($D76*INDEX('🔖 배합비 참조'!$B$2:$CE$83,MATCH("호박씨앗(외국산)",'🔖 배합비 참조'!$A$2:$A$83,0),MATCH($C76,'🔖 배합비 참조'!$B$1:$CE$1,0))/100,0),""))),"")</f>
        <v>0</v>
      </c>
      <c r="CE76" s="42" t="n">
        <f aca="false">IFERROR(IF($C76="","",IF($D76="","",IFERROR(ROUND($D76*INDEX('🔖 배합비 참조'!$B$2:$CE$83,MATCH("혼합제제(떡용에스텔)",'🔖 배합비 참조'!$A$2:$A$83,0),MATCH($C76,'🔖 배합비 참조'!$B$1:$CE$1,0))/100,0),""))),"")</f>
        <v>0</v>
      </c>
      <c r="CF76" s="42" t="n">
        <f aca="false">IFERROR(IF($C76="","",IF($D76="","",IFERROR(ROUND($D76*INDEX('🔖 배합비 참조'!$B$2:$CE$83,MATCH("혼합제제(스테비아)",'🔖 배합비 참조'!$A$2:$A$83,0),MATCH($C76,'🔖 배합비 참조'!$B$1:$CE$1,0))/100,0),""))),"")</f>
        <v>0</v>
      </c>
      <c r="CG76" s="42" t="n">
        <f aca="false">IFERROR(IF($C76="","",IF($D76="","",IFERROR(ROUND($D76*INDEX('🔖 배합비 참조'!$B$2:$CE$83,MATCH("화이트초콜릿",'🔖 배합비 참조'!$A$2:$A$83,0),MATCH($C76,'🔖 배합비 참조'!$B$1:$CE$1,0))/100,0),""))),"")</f>
        <v>0</v>
      </c>
      <c r="CH76" s="42" t="n">
        <f aca="false">IFERROR(IF($C76="","",IF($D76="","",IFERROR(ROUND($D76*INDEX('🔖 배합비 참조'!$B$2:$CE$83,MATCH("흑미찹쌀(국내산)",'🔖 배합비 참조'!$A$2:$A$83,0),MATCH($C76,'🔖 배합비 참조'!$B$1:$CE$1,0))/100,0),""))),"")</f>
        <v>0</v>
      </c>
      <c r="CI76" s="42" t="n">
        <f aca="false">IFERROR(IF($C76="","",IF($D76="","",IFERROR(ROUND($D76*INDEX('🔖 배합비 참조'!$B$2:$CE$83,MATCH("찰옥수수전분(미국산)",'🔖 배합비 참조'!$A$2:$A$83,0),MATCH($C76,'🔖 배합비 참조'!$B$1:$CE$1,0))/100,0),""))),"")</f>
        <v>0</v>
      </c>
      <c r="CJ76" s="40"/>
      <c r="CL76" s="1" t="s">
        <v>238</v>
      </c>
    </row>
    <row r="77" customFormat="false" ht="18" hidden="false" customHeight="true" outlineLevel="0" collapsed="false">
      <c r="A77" s="35" t="n">
        <v>73</v>
      </c>
      <c r="B77" s="36" t="n">
        <v>45978</v>
      </c>
      <c r="C77" s="37" t="s">
        <v>236</v>
      </c>
      <c r="D77" s="38" t="n">
        <v>70</v>
      </c>
      <c r="E77" s="13"/>
      <c r="F77" s="13"/>
      <c r="G77" s="39" t="n">
        <f aca="false">IFERROR(IF($C77="","",IF($D77="","",IFERROR(ROUND($D77*INDEX('🔖 배합비 참조'!$B$2:$CE$83,MATCH("간장",'🔖 배합비 참조'!$A$2:$A$83,0),MATCH($C77,'🔖 배합비 참조'!$B$1:$CE$1,0))/100,0),""))),"")</f>
        <v>0</v>
      </c>
      <c r="H77" s="39" t="n">
        <f aca="false">IFERROR(IF($C77="","",IF($D77="","",IFERROR(ROUND($D77*INDEX('🔖 배합비 참조'!$B$2:$CE$83,MATCH("강낭콩((울타리콩))",'🔖 배합비 참조'!$A$2:$A$83,0),MATCH($C77,'🔖 배합비 참조'!$B$1:$CE$1,0))/100,0),""))),"")</f>
        <v>0</v>
      </c>
      <c r="I77" s="39" t="n">
        <f aca="false">IFERROR(IF($C77="","",IF($D77="","",IFERROR(ROUND($D77*INDEX('🔖 배합비 참조'!$B$2:$CE$83,MATCH("건조딸기다이스(외국산)",'🔖 배합비 참조'!$A$2:$A$83,0),MATCH($C77,'🔖 배합비 참조'!$B$1:$CE$1,0))/100,0),""))),"")</f>
        <v>0</v>
      </c>
      <c r="J77" s="39" t="n">
        <f aca="false">IFERROR(IF($C77="","",IF($D77="","",IFERROR(ROUND($D77*INDEX('🔖 배합비 참조'!$B$2:$CE$83,MATCH("건포도",'🔖 배합비 참조'!$A$2:$A$83,0),MATCH($C77,'🔖 배합비 참조'!$B$1:$CE$1,0))/100,0),""))),"")</f>
        <v>0</v>
      </c>
      <c r="K77" s="39" t="n">
        <f aca="false">IFERROR(IF($C77="","",IF($D77="","",IFERROR(ROUND($D77*INDEX('🔖 배합비 참조'!$B$2:$CE$83,MATCH("건호박채(중국산)",'🔖 배합비 참조'!$A$2:$A$83,0),MATCH($C77,'🔖 배합비 참조'!$B$1:$CE$1,0))/100,0),""))),"")</f>
        <v>0</v>
      </c>
      <c r="L77" s="39" t="n">
        <f aca="false">IFERROR(IF($C77="","",IF($D77="","",IFERROR(ROUND($D77*INDEX('🔖 배합비 참조'!$B$2:$CE$83,MATCH("검정깨(흑임자)",'🔖 배합비 참조'!$A$2:$A$83,0),MATCH($C77,'🔖 배합비 참조'!$B$1:$CE$1,0))/100,0),""))),"")</f>
        <v>0</v>
      </c>
      <c r="M77" s="39" t="n">
        <f aca="false">IFERROR(IF($C77="","",IF($D77="","",IFERROR(ROUND($D77*INDEX('🔖 배합비 참조'!$B$2:$CE$83,MATCH("검정콩",'🔖 배합비 참조'!$A$2:$A$83,0),MATCH($C77,'🔖 배합비 참조'!$B$1:$CE$1,0))/100,0),""))),"")</f>
        <v>0</v>
      </c>
      <c r="N77" s="39" t="n">
        <f aca="false">IFERROR(IF($C77="","",IF($D77="","",IFERROR(ROUND($D77*INDEX('🔖 배합비 참조'!$B$2:$CE$83,MATCH("계피가루",'🔖 배합비 참조'!$A$2:$A$83,0),MATCH($C77,'🔖 배합비 참조'!$B$1:$CE$1,0))/100,0),""))),"")</f>
        <v>0</v>
      </c>
      <c r="O77" s="39" t="n">
        <f aca="false">IFERROR(IF($C77="","",IF($D77="","",IFERROR(ROUND($D77*INDEX('🔖 배합비 참조'!$B$2:$CE$83,MATCH("고구마가루",'🔖 배합비 참조'!$A$2:$A$83,0),MATCH($C77,'🔖 배합비 참조'!$B$1:$CE$1,0))/100,0),""))),"")</f>
        <v>0</v>
      </c>
      <c r="P77" s="39" t="n">
        <f aca="false">IFERROR(IF($C77="","",IF($D77="","",IFERROR(ROUND($D77*INDEX('🔖 배합비 참조'!$B$2:$CE$83,MATCH("고구마무스",'🔖 배합비 참조'!$A$2:$A$83,0),MATCH($C77,'🔖 배합비 참조'!$B$1:$CE$1,0))/100,0),""))),"")</f>
        <v>0</v>
      </c>
      <c r="Q77" s="39" t="n">
        <f aca="false">IFERROR(IF($C77="","",IF($D77="","",IFERROR(ROUND($D77*INDEX('🔖 배합비 참조'!$B$2:$CE$83,MATCH("고려엉겅퀴((곤드레)국내산)",'🔖 배합비 참조'!$A$2:$A$83,0),MATCH($C77,'🔖 배합비 참조'!$B$1:$CE$1,0))/100,0),""))),"")</f>
        <v>0</v>
      </c>
      <c r="R77" s="39" t="n">
        <f aca="false">IFERROR(IF($C77="","",IF($D77="","",IFERROR(ROUND($D77*INDEX('🔖 배합비 참조'!$B$2:$CE$83,MATCH("기타가공품(복분자가루)",'🔖 배합비 참조'!$A$2:$A$83,0),MATCH($C77,'🔖 배합비 참조'!$B$1:$CE$1,0))/100,0),""))),"")</f>
        <v>0</v>
      </c>
      <c r="S77" s="39" t="n">
        <f aca="false">IFERROR(IF($C77="","",IF($D77="","",IFERROR(ROUND($D77*INDEX('🔖 배합비 참조'!$B$2:$CE$83,MATCH("기타가공품(슈퍼소프트엠)",'🔖 배합비 참조'!$A$2:$A$83,0),MATCH($C77,'🔖 배합비 참조'!$B$1:$CE$1,0))/100,0),""))),"")</f>
        <v>0</v>
      </c>
      <c r="T77" s="39" t="n">
        <f aca="false">IFERROR(IF($C77="","",IF($D77="","",IFERROR(ROUND($D77*INDEX('🔖 배합비 참조'!$B$2:$CE$83,MATCH("기타가공품(파인소프트 E-티)",'🔖 배합비 참조'!$A$2:$A$83,0),MATCH($C77,'🔖 배합비 참조'!$B$1:$CE$1,0))/100,0),""))),"")</f>
        <v>0</v>
      </c>
      <c r="U77" s="39" t="n">
        <f aca="false">IFERROR(IF($C77="","",IF($D77="","",IFERROR(ROUND($D77*INDEX('🔖 배합비 참조'!$B$2:$CE$83,MATCH("기타가공품(프리미엄카스테라가루)",'🔖 배합비 참조'!$A$2:$A$83,0),MATCH($C77,'🔖 배합비 참조'!$B$1:$CE$1,0))/100,0),""))),"")</f>
        <v>0</v>
      </c>
      <c r="V77" s="39" t="n">
        <f aca="false">IFERROR(IF($C77="","",IF($D77="","",IFERROR(ROUND($D77*INDEX('🔖 배합비 참조'!$B$2:$CE$83,MATCH("기타가공품(흑임자가루)",'🔖 배합비 참조'!$A$2:$A$83,0),MATCH($C77,'🔖 배합비 참조'!$B$1:$CE$1,0))/100,0),""))),"")</f>
        <v>0</v>
      </c>
      <c r="W77" s="39" t="n">
        <f aca="false">IFERROR(IF($C77="","",IF($D77="","",IFERROR(ROUND($D77*INDEX('🔖 배합비 참조'!$B$2:$CE$83,MATCH("기타설탕(흑설탕)",'🔖 배합비 참조'!$A$2:$A$83,0),MATCH($C77,'🔖 배합비 참조'!$B$1:$CE$1,0))/100,0),""))),"")</f>
        <v>0</v>
      </c>
      <c r="X77" s="39" t="n">
        <f aca="false">IFERROR(IF($C77="","",IF($D77="","",IFERROR(ROUND($D77*INDEX('🔖 배합비 참조'!$B$2:$CE$83,MATCH("냉동쑥(국내산)",'🔖 배합비 참조'!$A$2:$A$83,0),MATCH($C77,'🔖 배합비 참조'!$B$1:$CE$1,0))/100,0),""))),"")</f>
        <v>1</v>
      </c>
      <c r="Y77" s="39" t="n">
        <f aca="false">IFERROR(IF($C77="","",IF($D77="","",IFERROR(ROUND($D77*INDEX('🔖 배합비 참조'!$B$2:$CE$83,MATCH("냉동증숙고구마(중국산)",'🔖 배합비 참조'!$A$2:$A$83,0),MATCH($C77,'🔖 배합비 참조'!$B$1:$CE$1,0))/100,0),""))),"")</f>
        <v>0</v>
      </c>
      <c r="Z77" s="39" t="n">
        <f aca="false">IFERROR(IF($C77="","",IF($D77="","",IFERROR(ROUND($D77*INDEX('🔖 배합비 참조'!$B$2:$CE$83,MATCH("녹차가루",'🔖 배합비 참조'!$A$2:$A$83,0),MATCH($C77,'🔖 배합비 참조'!$B$1:$CE$1,0))/100,0),""))),"")</f>
        <v>0</v>
      </c>
      <c r="AA77" s="39" t="n">
        <f aca="false">IFERROR(IF($C77="","",IF($D77="","",IFERROR(ROUND($D77*INDEX('🔖 배합비 참조'!$B$2:$CE$83,MATCH("다크초콜릿 컴파운드칩",'🔖 배합비 참조'!$A$2:$A$83,0),MATCH($C77,'🔖 배합비 참조'!$B$1:$CE$1,0))/100,0),""))),"")</f>
        <v>0</v>
      </c>
      <c r="AB77" s="39" t="n">
        <f aca="false">IFERROR(IF($C77="","",IF($D77="","",IFERROR(ROUND($D77*INDEX('🔖 배합비 참조'!$B$2:$CE$83,MATCH("단호박분말(중국산)",'🔖 배합비 참조'!$A$2:$A$83,0),MATCH($C77,'🔖 배합비 참조'!$B$1:$CE$1,0))/100,0),""))),"")</f>
        <v>0</v>
      </c>
      <c r="AC77" s="39" t="n">
        <f aca="false">IFERROR(IF($C77="","",IF($D77="","",IFERROR(ROUND($D77*INDEX('🔖 배합비 참조'!$B$2:$CE$83,MATCH("당류가공품(단호박농축액)",'🔖 배합비 참조'!$A$2:$A$83,0),MATCH($C77,'🔖 배합비 참조'!$B$1:$CE$1,0))/100,0),""))),"")</f>
        <v>0</v>
      </c>
      <c r="AD77" s="39" t="n">
        <f aca="false">IFERROR(IF($C77="","",IF($D77="","",IFERROR(ROUND($D77*INDEX('🔖 배합비 참조'!$B$2:$CE$83,MATCH("당류가공품(알룰로스,에리스리톨,스테비올배당체혼합)",'🔖 배합비 참조'!$A$2:$A$83,0),MATCH($C77,'🔖 배합비 참조'!$B$1:$CE$1,0))/100,0),""))),"")</f>
        <v>0</v>
      </c>
      <c r="AE77" s="39" t="n">
        <f aca="false">IFERROR(IF($C77="","",IF($D77="","",IFERROR(ROUND($D77*INDEX('🔖 배합비 참조'!$B$2:$CE$83,MATCH("당류가공품(알룰로스제로파우더)",'🔖 배합비 참조'!$A$2:$A$83,0),MATCH($C77,'🔖 배합비 참조'!$B$1:$CE$1,0))/100,0),""))),"")</f>
        <v>0</v>
      </c>
      <c r="AF77" s="39" t="n">
        <f aca="false">IFERROR(IF($C77="","",IF($D77="","",IFERROR(ROUND($D77*INDEX('🔖 배합비 참조'!$B$2:$CE$83,MATCH("당절임(완두배기)",'🔖 배합비 참조'!$A$2:$A$83,0),MATCH($C77,'🔖 배합비 참조'!$B$1:$CE$1,0))/100,0),""))),"")</f>
        <v>0</v>
      </c>
      <c r="AG77" s="39" t="n">
        <f aca="false">IFERROR(IF($C77="","",IF($D77="","",IFERROR(ROUND($D77*INDEX('🔖 배합비 참조'!$B$2:$CE$83,MATCH("대추농축액",'🔖 배합비 참조'!$A$2:$A$83,0),MATCH($C77,'🔖 배합비 참조'!$B$1:$CE$1,0))/100,0),""))),"")</f>
        <v>0</v>
      </c>
      <c r="AH77" s="39" t="n">
        <f aca="false">IFERROR(IF($C77="","",IF($D77="","",IFERROR(ROUND($D77*INDEX('🔖 배합비 참조'!$B$2:$CE$83,MATCH("대추채(국내산)",'🔖 배합비 참조'!$A$2:$A$83,0),MATCH($C77,'🔖 배합비 참조'!$B$1:$CE$1,0))/100,0),""))),"")</f>
        <v>0</v>
      </c>
      <c r="AI77" s="39" t="n">
        <f aca="false">IFERROR(IF($C77="","",IF($D77="","",IFERROR(ROUND($D77*INDEX('🔖 배합비 참조'!$B$2:$CE$83,MATCH("동부(미얀마산)",'🔖 배합비 참조'!$A$2:$A$83,0),MATCH($C77,'🔖 배합비 참조'!$B$1:$CE$1,0))/100,0),""))),"")</f>
        <v>9</v>
      </c>
      <c r="AJ77" s="39" t="n">
        <f aca="false">IFERROR(IF($C77="","",IF($D77="","",IFERROR(ROUND($D77*INDEX('🔖 배합비 참조'!$B$2:$CE$83,MATCH("두류가공품(백옥앙금)",'🔖 배합비 참조'!$A$2:$A$83,0),MATCH($C77,'🔖 배합비 참조'!$B$1:$CE$1,0))/100,0),""))),"")</f>
        <v>0</v>
      </c>
      <c r="AK77" s="39" t="n">
        <f aca="false">IFERROR(IF($C77="","",IF($D77="","",IFERROR(ROUND($D77*INDEX('🔖 배합비 참조'!$B$2:$CE$83,MATCH("두류가공품(콩고물)",'🔖 배합비 참조'!$A$2:$A$83,0),MATCH($C77,'🔖 배합비 참조'!$B$1:$CE$1,0))/100,0),""))),"")</f>
        <v>2</v>
      </c>
      <c r="AL77" s="39" t="n">
        <f aca="false">IFERROR(IF($C77="","",IF($D77="","",IFERROR(ROUND($D77*INDEX('🔖 배합비 참조'!$B$2:$CE$83,MATCH("두류가공품(통팥고물)",'🔖 배합비 참조'!$A$2:$A$83,0),MATCH($C77,'🔖 배합비 참조'!$B$1:$CE$1,0))/100,0),""))),"")</f>
        <v>0</v>
      </c>
      <c r="AM77" s="39" t="n">
        <f aca="false">IFERROR(IF($C77="","",IF($D77="","",IFERROR(ROUND($D77*INDEX('🔖 배합비 참조'!$B$2:$CE$83,MATCH("딸기레진",'🔖 배합비 참조'!$A$2:$A$83,0),MATCH($C77,'🔖 배합비 참조'!$B$1:$CE$1,0))/100,0),""))),"")</f>
        <v>0</v>
      </c>
      <c r="AN77" s="39" t="n">
        <f aca="false">IFERROR(IF($C77="","",IF($D77="","",IFERROR(ROUND($D77*INDEX('🔖 배합비 참조'!$B$2:$CE$83,MATCH("딸기분말(스트로우베리에이드(분말))",'🔖 배합비 참조'!$A$2:$A$83,0),MATCH($C77,'🔖 배합비 참조'!$B$1:$CE$1,0))/100,0),""))),"")</f>
        <v>0</v>
      </c>
      <c r="AO77" s="39" t="n">
        <f aca="false">IFERROR(IF($C77="","",IF($D77="","",IFERROR(ROUND($D77*INDEX('🔖 배합비 참조'!$B$2:$CE$83,MATCH("마스카포네치즈",'🔖 배합비 참조'!$A$2:$A$83,0),MATCH($C77,'🔖 배합비 참조'!$B$1:$CE$1,0))/100,0),""))),"")</f>
        <v>0</v>
      </c>
      <c r="AP77" s="39" t="n">
        <f aca="false">IFERROR(IF($C77="","",IF($D77="","",IFERROR(ROUND($D77*INDEX('🔖 배합비 참조'!$B$2:$CE$83,MATCH("마카다미아분태(호주산)",'🔖 배합비 참조'!$A$2:$A$83,0),MATCH($C77,'🔖 배합비 참조'!$B$1:$CE$1,0))/100,0),""))),"")</f>
        <v>0</v>
      </c>
      <c r="AQ77" s="39" t="n">
        <f aca="false">IFERROR(IF($C77="","",IF($D77="","",IFERROR(ROUND($D77*INDEX('🔖 배합비 참조'!$B$2:$CE$83,MATCH("멥쌀(국내산)",'🔖 배합비 참조'!$A$2:$A$83,0),MATCH($C77,'🔖 배합비 참조'!$B$1:$CE$1,0))/100,0),""))),"")</f>
        <v>0</v>
      </c>
      <c r="AR77" s="39" t="n">
        <f aca="false">IFERROR(IF($C77="","",IF($D77="","",IFERROR(ROUND($D77*INDEX('🔖 배합비 참조'!$B$2:$CE$83,MATCH("모시잎(국내산)",'🔖 배합비 참조'!$A$2:$A$83,0),MATCH($C77,'🔖 배합비 참조'!$B$1:$CE$1,0))/100,0),""))),"")</f>
        <v>0</v>
      </c>
      <c r="AS77" s="39" t="n">
        <f aca="false">IFERROR(IF($C77="","",IF($D77="","",IFERROR(ROUND($D77*INDEX('🔖 배합비 참조'!$B$2:$CE$83,MATCH("물엿(저당물엿)",'🔖 배합비 참조'!$A$2:$A$83,0),MATCH($C77,'🔖 배합비 참조'!$B$1:$CE$1,0))/100,0),""))),"")</f>
        <v>1</v>
      </c>
      <c r="AT77" s="39" t="n">
        <f aca="false">IFERROR(IF($C77="","",IF($D77="","",IFERROR(ROUND($D77*INDEX('🔖 배합비 참조'!$B$2:$CE$83,MATCH("밤다이스",'🔖 배합비 참조'!$A$2:$A$83,0),MATCH($C77,'🔖 배합비 참조'!$B$1:$CE$1,0))/100,0),""))),"")</f>
        <v>0</v>
      </c>
      <c r="AU77" s="39" t="n">
        <f aca="false">IFERROR(IF($C77="","",IF($D77="","",IFERROR(ROUND($D77*INDEX('🔖 배합비 참조'!$B$2:$CE$83,MATCH("변성전분(타피오카전분)",'🔖 배합비 참조'!$A$2:$A$83,0),MATCH($C77,'🔖 배합비 참조'!$B$1:$CE$1,0))/100,0),""))),"")</f>
        <v>0</v>
      </c>
      <c r="AV77" s="39" t="n">
        <f aca="false">IFERROR(IF($C77="","",IF($D77="","",IFERROR(ROUND($D77*INDEX('🔖 배합비 참조'!$B$2:$CE$83,MATCH("복음땅콩분태",'🔖 배합비 참조'!$A$2:$A$83,0),MATCH($C77,'🔖 배합비 참조'!$B$1:$CE$1,0))/100,0),""))),"")</f>
        <v>0</v>
      </c>
      <c r="AW77" s="39" t="n">
        <f aca="false">IFERROR(IF($C77="","",IF($D77="","",IFERROR(ROUND($D77*INDEX('🔖 배합비 참조'!$B$2:$CE$83,MATCH("사양벌꿀(국내산)",'🔖 배합비 참조'!$A$2:$A$83,0),MATCH($C77,'🔖 배합비 참조'!$B$1:$CE$1,0))/100,0),""))),"")</f>
        <v>0</v>
      </c>
      <c r="AX77" s="39" t="n">
        <f aca="false">IFERROR(IF($C77="","",IF($D77="","",IFERROR(ROUND($D77*INDEX('🔖 배합비 참조'!$B$2:$CE$83,MATCH("생크림",'🔖 배합비 참조'!$A$2:$A$83,0),MATCH($C77,'🔖 배합비 참조'!$B$1:$CE$1,0))/100,0),""))),"")</f>
        <v>0</v>
      </c>
      <c r="AY77" s="39" t="n">
        <f aca="false">IFERROR(IF($C77="","",IF($D77="","",IFERROR(ROUND($D77*INDEX('🔖 배합비 참조'!$B$2:$CE$83,MATCH("서양호박(국내산,뉴질랜드산)",'🔖 배합비 참조'!$A$2:$A$83,0),MATCH($C77,'🔖 배합비 참조'!$B$1:$CE$1,0))/100,0),""))),"")</f>
        <v>0</v>
      </c>
      <c r="AZ77" s="39" t="n">
        <f aca="false">IFERROR(IF($C77="","",IF($D77="","",IFERROR(ROUND($D77*INDEX('🔖 배합비 참조'!$B$2:$CE$83,MATCH("설탕",'🔖 배합비 참조'!$A$2:$A$83,0),MATCH($C77,'🔖 배합비 참조'!$B$1:$CE$1,0))/100,0),""))),"")</f>
        <v>1</v>
      </c>
      <c r="BA77" s="39" t="n">
        <f aca="false">IFERROR(IF($C77="","",IF($D77="","",IFERROR(ROUND($D77*INDEX('🔖 배합비 참조'!$B$2:$CE$83,MATCH("스트로우베리 에이드 후레쉬",'🔖 배합비 참조'!$A$2:$A$83,0),MATCH($C77,'🔖 배합비 참조'!$B$1:$CE$1,0))/100,0),""))),"")</f>
        <v>0</v>
      </c>
      <c r="BB77" s="39" t="n">
        <f aca="false">IFERROR(IF($C77="","",IF($D77="","",IFERROR(ROUND($D77*INDEX('🔖 배합비 참조'!$B$2:$CE$83,MATCH("식물성기름혼합제제(분홍)",'🔖 배합비 참조'!$A$2:$A$83,0),MATCH($C77,'🔖 배합비 참조'!$B$1:$CE$1,0))/100,0),""))),"")</f>
        <v>0</v>
      </c>
      <c r="BC77" s="39" t="n">
        <f aca="false">IFERROR(IF($C77="","",IF($D77="","",IFERROR(ROUND($D77*INDEX('🔖 배합비 참조'!$B$2:$CE$83,MATCH("식물성기름혼합제제(초록)",'🔖 배합비 참조'!$A$2:$A$83,0),MATCH($C77,'🔖 배합비 참조'!$B$1:$CE$1,0))/100,0),""))),"")</f>
        <v>0</v>
      </c>
      <c r="BD77" s="39" t="n">
        <f aca="false">IFERROR(IF($C77="","",IF($D77="","",IFERROR(ROUND($D77*INDEX('🔖 배합비 참조'!$B$2:$CE$83,MATCH("식물성기름혼합제제(황색)",'🔖 배합비 참조'!$A$2:$A$83,0),MATCH($C77,'🔖 배합비 참조'!$B$1:$CE$1,0))/100,0),""))),"")</f>
        <v>0</v>
      </c>
      <c r="BE77" s="39" t="n">
        <f aca="false">IFERROR(IF($C77="","",IF($D77="","",IFERROR(ROUND($D77*INDEX('🔖 배합비 참조'!$B$2:$CE$83,MATCH("쑥가루(국내산)",'🔖 배합비 참조'!$A$2:$A$83,0),MATCH($C77,'🔖 배합비 참조'!$B$1:$CE$1,0))/100,0),""))),"")</f>
        <v>1</v>
      </c>
      <c r="BF77" s="39" t="n">
        <f aca="false">IFERROR(IF($C77="","",IF($D77="","",IFERROR(ROUND($D77*INDEX('🔖 배합비 참조'!$B$2:$CE$83,MATCH("아몬드슬라이스",'🔖 배합비 참조'!$A$2:$A$83,0),MATCH($C77,'🔖 배합비 참조'!$B$1:$CE$1,0))/100,0),""))),"")</f>
        <v>0</v>
      </c>
      <c r="BG77" s="39" t="n">
        <f aca="false">IFERROR(IF($C77="","",IF($D77="","",IFERROR(ROUND($D77*INDEX('🔖 배합비 참조'!$B$2:$CE$83,MATCH("알룰로오스(국내산)",'🔖 배합비 참조'!$A$2:$A$83,0),MATCH($C77,'🔖 배합비 참조'!$B$1:$CE$1,0))/100,0),""))),"")</f>
        <v>0</v>
      </c>
      <c r="BH77" s="39" t="n">
        <f aca="false">IFERROR(IF($C77="","",IF($D77="","",IFERROR(ROUND($D77*INDEX('🔖 배합비 참조'!$B$2:$CE$83,MATCH("연유",'🔖 배합비 참조'!$A$2:$A$83,0),MATCH($C77,'🔖 배합비 참조'!$B$1:$CE$1,0))/100,0),""))),"")</f>
        <v>0</v>
      </c>
      <c r="BI77" s="39" t="n">
        <f aca="false">IFERROR(IF($C77="","",IF($D77="","",IFERROR(ROUND($D77*INDEX('🔖 배합비 참조'!$B$2:$CE$83,MATCH("옥수수전분",'🔖 배합비 참조'!$A$2:$A$83,0),MATCH($C77,'🔖 배합비 참조'!$B$1:$CE$1,0))/100,0),""))),"")</f>
        <v>0</v>
      </c>
      <c r="BJ77" s="39" t="n">
        <f aca="false">IFERROR(IF($C77="","",IF($D77="","",IFERROR(ROUND($D77*INDEX('🔖 배합비 참조'!$B$2:$CE$83,MATCH("완두배기",'🔖 배합비 참조'!$A$2:$A$83,0),MATCH($C77,'🔖 배합비 참조'!$B$1:$CE$1,0))/100,0),""))),"")</f>
        <v>0</v>
      </c>
      <c r="BK77" s="39" t="n">
        <f aca="false">IFERROR(IF($C77="","",IF($D77="","",IFERROR(ROUND($D77*INDEX('🔖 배합비 참조'!$B$2:$CE$83,MATCH("우유(국내산)",'🔖 배합비 참조'!$A$2:$A$83,0),MATCH($C77,'🔖 배합비 참조'!$B$1:$CE$1,0))/100,0),""))),"")</f>
        <v>0</v>
      </c>
      <c r="BL77" s="39" t="n">
        <f aca="false">IFERROR(IF($C77="","",IF($D77="","",IFERROR(ROUND($D77*INDEX('🔖 배합비 참조'!$B$2:$CE$83,MATCH("자색고구마가루(중국산)",'🔖 배합비 참조'!$A$2:$A$83,0),MATCH($C77,'🔖 배합비 참조'!$B$1:$CE$1,0))/100,0),""))),"")</f>
        <v>0</v>
      </c>
      <c r="BM77" s="39" t="n">
        <f aca="false">IFERROR(IF($C77="","",IF($D77="","",IFERROR(ROUND($D77*INDEX('🔖 배합비 참조'!$B$2:$CE$83,MATCH("자연치즈(체다치즈)",'🔖 배합비 참조'!$A$2:$A$83,0),MATCH($C77,'🔖 배합비 참조'!$B$1:$CE$1,0))/100,0),""))),"")</f>
        <v>0</v>
      </c>
      <c r="BN77" s="39" t="n">
        <f aca="false">IFERROR(IF($C77="","",IF($D77="","",IFERROR(ROUND($D77*INDEX('🔖 배합비 참조'!$B$2:$CE$83,MATCH("정제수",'🔖 배합비 참조'!$A$2:$A$83,0),MATCH($C77,'🔖 배합비 참조'!$B$1:$CE$1,0))/100,0),""))),"")</f>
        <v>8</v>
      </c>
      <c r="BO77" s="39" t="n">
        <f aca="false">IFERROR(IF($C77="","",IF($D77="","",IFERROR(ROUND($D77*INDEX('🔖 배합비 참조'!$B$2:$CE$83,MATCH("젤라틴",'🔖 배합비 참조'!$A$2:$A$83,0),MATCH($C77,'🔖 배합비 참조'!$B$1:$CE$1,0))/100,0),""))),"")</f>
        <v>0</v>
      </c>
      <c r="BP77" s="39" t="n">
        <f aca="false">IFERROR(IF($C77="","",IF($D77="","",IFERROR(ROUND($D77*INDEX('🔖 배합비 참조'!$B$2:$CE$83,MATCH("조림류(백옥앙금)",'🔖 배합비 참조'!$A$2:$A$83,0),MATCH($C77,'🔖 배합비 참조'!$B$1:$CE$1,0))/100,0),""))),"")</f>
        <v>17</v>
      </c>
      <c r="BQ77" s="39" t="n">
        <f aca="false">IFERROR(IF($C77="","",IF($D77="","",IFERROR(ROUND($D77*INDEX('🔖 배합비 참조'!$B$2:$CE$83,MATCH("조림류(통팥앙금)",'🔖 배합비 참조'!$A$2:$A$83,0),MATCH($C77,'🔖 배합비 참조'!$B$1:$CE$1,0))/100,0),""))),"")</f>
        <v>0</v>
      </c>
      <c r="BR77" s="39" t="n">
        <f aca="false">IFERROR(IF($C77="","",IF($D77="","",IFERROR(ROUND($D77*INDEX('🔖 배합비 참조'!$B$2:$CE$83,MATCH("준초콜릿(외국산)",'🔖 배합비 참조'!$A$2:$A$83,0),MATCH($C77,'🔖 배합비 참조'!$B$1:$CE$1,0))/100,0),""))),"")</f>
        <v>0</v>
      </c>
      <c r="BS77" s="39" t="n">
        <f aca="false">IFERROR(IF($C77="","",IF($D77="","",IFERROR(ROUND($D77*INDEX('🔖 배합비 참조'!$B$2:$CE$83,MATCH("중력분",'🔖 배합비 참조'!$A$2:$A$83,0),MATCH($C77,'🔖 배합비 참조'!$B$1:$CE$1,0))/100,0),""))),"")</f>
        <v>1</v>
      </c>
      <c r="BT77" s="39" t="n">
        <f aca="false">IFERROR(IF($C77="","",IF($D77="","",IFERROR(ROUND($D77*INDEX('🔖 배합비 참조'!$B$2:$CE$83,MATCH("참깨(인도산,나이지리아산,탄자니아산,미얀마산)",'🔖 배합비 참조'!$A$2:$A$83,0),MATCH($C77,'🔖 배합비 참조'!$B$1:$CE$1,0))/100,0),""))),"")</f>
        <v>0</v>
      </c>
      <c r="BU77" s="39" t="n">
        <f aca="false">IFERROR(IF($C77="","",IF($D77="","",IFERROR(ROUND($D77*INDEX('🔖 배합비 참조'!$B$2:$CE$83,MATCH("찹쌀(국내산)",'🔖 배합비 참조'!$A$2:$A$83,0),MATCH($C77,'🔖 배합비 참조'!$B$1:$CE$1,0))/100,0),""))),"")</f>
        <v>28</v>
      </c>
      <c r="BV77" s="39" t="n">
        <f aca="false">IFERROR(IF($C77="","",IF($D77="","",IFERROR(ROUND($D77*INDEX('🔖 배합비 참조'!$B$2:$CE$83,MATCH("천일염",'🔖 배합비 참조'!$A$2:$A$83,0),MATCH($C77,'🔖 배합비 참조'!$B$1:$CE$1,0))/100,0),""))),"")</f>
        <v>0</v>
      </c>
      <c r="BW77" s="39" t="n">
        <f aca="false">IFERROR(IF($C77="","",IF($D77="","",IFERROR(ROUND($D77*INDEX('🔖 배합비 참조'!$B$2:$CE$83,MATCH("치즈 [크림치즈]",'🔖 배합비 참조'!$A$2:$A$83,0),MATCH($C77,'🔖 배합비 참조'!$B$1:$CE$1,0))/100,0),""))),"")</f>
        <v>0</v>
      </c>
      <c r="BX77" s="39" t="n">
        <f aca="false">IFERROR(IF($C77="","",IF($D77="","",IFERROR(ROUND($D77*INDEX('🔖 배합비 참조'!$B$2:$CE$83,MATCH("코코아가공품류(코코아분말)",'🔖 배합비 참조'!$A$2:$A$83,0),MATCH($C77,'🔖 배합비 참조'!$B$1:$CE$1,0))/100,0),""))),"")</f>
        <v>0</v>
      </c>
      <c r="BY77" s="39" t="n">
        <f aca="false">IFERROR(IF($C77="","",IF($D77="","",IFERROR(ROUND($D77*INDEX('🔖 배합비 참조'!$B$2:$CE$83,MATCH("콩기름(대두유)",'🔖 배합비 참조'!$A$2:$A$83,0),MATCH($C77,'🔖 배합비 참조'!$B$1:$CE$1,0))/100,0),""))),"")</f>
        <v>0</v>
      </c>
      <c r="BZ77" s="39" t="n">
        <f aca="false">IFERROR(IF($C77="","",IF($D77="","",IFERROR(ROUND($D77*INDEX('🔖 배합비 참조'!$B$2:$CE$83,MATCH("해바라기씨앗",'🔖 배합비 참조'!$A$2:$A$83,0),MATCH($C77,'🔖 배합비 참조'!$B$1:$CE$1,0))/100,0),""))),"")</f>
        <v>0</v>
      </c>
      <c r="CA77" s="39" t="n">
        <f aca="false">IFERROR(IF($C77="","",IF($D77="","",IFERROR(ROUND($D77*INDEX('🔖 배합비 참조'!$B$2:$CE$83,MATCH("현미(국내산)",'🔖 배합비 참조'!$A$2:$A$83,0),MATCH($C77,'🔖 배합비 참조'!$B$1:$CE$1,0))/100,0),""))),"")</f>
        <v>0</v>
      </c>
      <c r="CB77" s="39" t="n">
        <f aca="false">IFERROR(IF($C77="","",IF($D77="","",IFERROR(ROUND($D77*INDEX('🔖 배합비 참조'!$B$2:$CE$83,MATCH("현미멥쌀(국내산)",'🔖 배합비 참조'!$A$2:$A$83,0),MATCH($C77,'🔖 배합비 참조'!$B$1:$CE$1,0))/100,0),""))),"")</f>
        <v>0</v>
      </c>
      <c r="CC77" s="39" t="n">
        <f aca="false">IFERROR(IF($C77="","",IF($D77="","",IFERROR(ROUND($D77*INDEX('🔖 배합비 참조'!$B$2:$CE$83,MATCH("호두분태(미국산)",'🔖 배합비 참조'!$A$2:$A$83,0),MATCH($C77,'🔖 배합비 참조'!$B$1:$CE$1,0))/100,0),""))),"")</f>
        <v>0</v>
      </c>
      <c r="CD77" s="39" t="n">
        <f aca="false">IFERROR(IF($C77="","",IF($D77="","",IFERROR(ROUND($D77*INDEX('🔖 배합비 참조'!$B$2:$CE$83,MATCH("호박씨앗(외국산)",'🔖 배합비 참조'!$A$2:$A$83,0),MATCH($C77,'🔖 배합비 참조'!$B$1:$CE$1,0))/100,0),""))),"")</f>
        <v>0</v>
      </c>
      <c r="CE77" s="39" t="n">
        <f aca="false">IFERROR(IF($C77="","",IF($D77="","",IFERROR(ROUND($D77*INDEX('🔖 배합비 참조'!$B$2:$CE$83,MATCH("혼합제제(떡용에스텔)",'🔖 배합비 참조'!$A$2:$A$83,0),MATCH($C77,'🔖 배합비 참조'!$B$1:$CE$1,0))/100,0),""))),"")</f>
        <v>0</v>
      </c>
      <c r="CF77" s="39" t="n">
        <f aca="false">IFERROR(IF($C77="","",IF($D77="","",IFERROR(ROUND($D77*INDEX('🔖 배합비 참조'!$B$2:$CE$83,MATCH("혼합제제(스테비아)",'🔖 배합비 참조'!$A$2:$A$83,0),MATCH($C77,'🔖 배합비 참조'!$B$1:$CE$1,0))/100,0),""))),"")</f>
        <v>0</v>
      </c>
      <c r="CG77" s="39" t="n">
        <f aca="false">IFERROR(IF($C77="","",IF($D77="","",IFERROR(ROUND($D77*INDEX('🔖 배합비 참조'!$B$2:$CE$83,MATCH("화이트초콜릿",'🔖 배합비 참조'!$A$2:$A$83,0),MATCH($C77,'🔖 배합비 참조'!$B$1:$CE$1,0))/100,0),""))),"")</f>
        <v>0</v>
      </c>
      <c r="CH77" s="39" t="n">
        <f aca="false">IFERROR(IF($C77="","",IF($D77="","",IFERROR(ROUND($D77*INDEX('🔖 배합비 참조'!$B$2:$CE$83,MATCH("흑미찹쌀(국내산)",'🔖 배합비 참조'!$A$2:$A$83,0),MATCH($C77,'🔖 배합비 참조'!$B$1:$CE$1,0))/100,0),""))),"")</f>
        <v>0</v>
      </c>
      <c r="CI77" s="39" t="n">
        <f aca="false">IFERROR(IF($C77="","",IF($D77="","",IFERROR(ROUND($D77*INDEX('🔖 배합비 참조'!$B$2:$CE$83,MATCH("찰옥수수전분(미국산)",'🔖 배합비 참조'!$A$2:$A$83,0),MATCH($C77,'🔖 배합비 참조'!$B$1:$CE$1,0))/100,0),""))),"")</f>
        <v>0</v>
      </c>
      <c r="CJ77" s="40"/>
      <c r="CL77" s="1" t="s">
        <v>238</v>
      </c>
    </row>
    <row r="78" customFormat="false" ht="18" hidden="false" customHeight="true" outlineLevel="0" collapsed="false">
      <c r="A78" s="41" t="n">
        <v>74</v>
      </c>
      <c r="B78" s="36" t="n">
        <v>45979</v>
      </c>
      <c r="C78" s="37" t="s">
        <v>143</v>
      </c>
      <c r="D78" s="38" t="n">
        <v>32.5</v>
      </c>
      <c r="E78" s="17"/>
      <c r="F78" s="17"/>
      <c r="G78" s="42" t="n">
        <f aca="false">IFERROR(IF($C78="","",IF($D78="","",IFERROR(ROUND($D78*INDEX('🔖 배합비 참조'!$B$2:$CE$83,MATCH("간장",'🔖 배합비 참조'!$A$2:$A$83,0),MATCH($C78,'🔖 배합비 참조'!$B$1:$CE$1,0))/100,0),""))),"")</f>
        <v>0</v>
      </c>
      <c r="H78" s="42" t="n">
        <f aca="false">IFERROR(IF($C78="","",IF($D78="","",IFERROR(ROUND($D78*INDEX('🔖 배합비 참조'!$B$2:$CE$83,MATCH("강낭콩((울타리콩))",'🔖 배합비 참조'!$A$2:$A$83,0),MATCH($C78,'🔖 배합비 참조'!$B$1:$CE$1,0))/100,0),""))),"")</f>
        <v>0</v>
      </c>
      <c r="I78" s="42" t="n">
        <f aca="false">IFERROR(IF($C78="","",IF($D78="","",IFERROR(ROUND($D78*INDEX('🔖 배합비 참조'!$B$2:$CE$83,MATCH("건조딸기다이스(외국산)",'🔖 배합비 참조'!$A$2:$A$83,0),MATCH($C78,'🔖 배합비 참조'!$B$1:$CE$1,0))/100,0),""))),"")</f>
        <v>0</v>
      </c>
      <c r="J78" s="42" t="n">
        <f aca="false">IFERROR(IF($C78="","",IF($D78="","",IFERROR(ROUND($D78*INDEX('🔖 배합비 참조'!$B$2:$CE$83,MATCH("건포도",'🔖 배합비 참조'!$A$2:$A$83,0),MATCH($C78,'🔖 배합비 참조'!$B$1:$CE$1,0))/100,0),""))),"")</f>
        <v>0</v>
      </c>
      <c r="K78" s="42" t="n">
        <f aca="false">IFERROR(IF($C78="","",IF($D78="","",IFERROR(ROUND($D78*INDEX('🔖 배합비 참조'!$B$2:$CE$83,MATCH("건호박채(중국산)",'🔖 배합비 참조'!$A$2:$A$83,0),MATCH($C78,'🔖 배합비 참조'!$B$1:$CE$1,0))/100,0),""))),"")</f>
        <v>0</v>
      </c>
      <c r="L78" s="42" t="n">
        <f aca="false">IFERROR(IF($C78="","",IF($D78="","",IFERROR(ROUND($D78*INDEX('🔖 배합비 참조'!$B$2:$CE$83,MATCH("검정깨(흑임자)",'🔖 배합비 참조'!$A$2:$A$83,0),MATCH($C78,'🔖 배합비 참조'!$B$1:$CE$1,0))/100,0),""))),"")</f>
        <v>0</v>
      </c>
      <c r="M78" s="42" t="n">
        <f aca="false">IFERROR(IF($C78="","",IF($D78="","",IFERROR(ROUND($D78*INDEX('🔖 배합비 참조'!$B$2:$CE$83,MATCH("검정콩",'🔖 배합비 참조'!$A$2:$A$83,0),MATCH($C78,'🔖 배합비 참조'!$B$1:$CE$1,0))/100,0),""))),"")</f>
        <v>0</v>
      </c>
      <c r="N78" s="42" t="n">
        <f aca="false">IFERROR(IF($C78="","",IF($D78="","",IFERROR(ROUND($D78*INDEX('🔖 배합비 참조'!$B$2:$CE$83,MATCH("계피가루",'🔖 배합비 참조'!$A$2:$A$83,0),MATCH($C78,'🔖 배합비 참조'!$B$1:$CE$1,0))/100,0),""))),"")</f>
        <v>0</v>
      </c>
      <c r="O78" s="42" t="n">
        <f aca="false">IFERROR(IF($C78="","",IF($D78="","",IFERROR(ROUND($D78*INDEX('🔖 배합비 참조'!$B$2:$CE$83,MATCH("고구마가루",'🔖 배합비 참조'!$A$2:$A$83,0),MATCH($C78,'🔖 배합비 참조'!$B$1:$CE$1,0))/100,0),""))),"")</f>
        <v>0</v>
      </c>
      <c r="P78" s="42" t="n">
        <f aca="false">IFERROR(IF($C78="","",IF($D78="","",IFERROR(ROUND($D78*INDEX('🔖 배합비 참조'!$B$2:$CE$83,MATCH("고구마무스",'🔖 배합비 참조'!$A$2:$A$83,0),MATCH($C78,'🔖 배합비 참조'!$B$1:$CE$1,0))/100,0),""))),"")</f>
        <v>0</v>
      </c>
      <c r="Q78" s="42" t="n">
        <f aca="false">IFERROR(IF($C78="","",IF($D78="","",IFERROR(ROUND($D78*INDEX('🔖 배합비 참조'!$B$2:$CE$83,MATCH("고려엉겅퀴((곤드레)국내산)",'🔖 배합비 참조'!$A$2:$A$83,0),MATCH($C78,'🔖 배합비 참조'!$B$1:$CE$1,0))/100,0),""))),"")</f>
        <v>0</v>
      </c>
      <c r="R78" s="42" t="n">
        <f aca="false">IFERROR(IF($C78="","",IF($D78="","",IFERROR(ROUND($D78*INDEX('🔖 배합비 참조'!$B$2:$CE$83,MATCH("기타가공품(복분자가루)",'🔖 배합비 참조'!$A$2:$A$83,0),MATCH($C78,'🔖 배합비 참조'!$B$1:$CE$1,0))/100,0),""))),"")</f>
        <v>0</v>
      </c>
      <c r="S78" s="42" t="n">
        <f aca="false">IFERROR(IF($C78="","",IF($D78="","",IFERROR(ROUND($D78*INDEX('🔖 배합비 참조'!$B$2:$CE$83,MATCH("기타가공품(슈퍼소프트엠)",'🔖 배합비 참조'!$A$2:$A$83,0),MATCH($C78,'🔖 배합비 참조'!$B$1:$CE$1,0))/100,0),""))),"")</f>
        <v>0</v>
      </c>
      <c r="T78" s="42" t="n">
        <f aca="false">IFERROR(IF($C78="","",IF($D78="","",IFERROR(ROUND($D78*INDEX('🔖 배합비 참조'!$B$2:$CE$83,MATCH("기타가공품(파인소프트 E-티)",'🔖 배합비 참조'!$A$2:$A$83,0),MATCH($C78,'🔖 배합비 참조'!$B$1:$CE$1,0))/100,0),""))),"")</f>
        <v>0</v>
      </c>
      <c r="U78" s="42" t="n">
        <f aca="false">IFERROR(IF($C78="","",IF($D78="","",IFERROR(ROUND($D78*INDEX('🔖 배합비 참조'!$B$2:$CE$83,MATCH("기타가공품(프리미엄카스테라가루)",'🔖 배합비 참조'!$A$2:$A$83,0),MATCH($C78,'🔖 배합비 참조'!$B$1:$CE$1,0))/100,0),""))),"")</f>
        <v>0</v>
      </c>
      <c r="V78" s="42" t="n">
        <f aca="false">IFERROR(IF($C78="","",IF($D78="","",IFERROR(ROUND($D78*INDEX('🔖 배합비 참조'!$B$2:$CE$83,MATCH("기타가공품(흑임자가루)",'🔖 배합비 참조'!$A$2:$A$83,0),MATCH($C78,'🔖 배합비 참조'!$B$1:$CE$1,0))/100,0),""))),"")</f>
        <v>0</v>
      </c>
      <c r="W78" s="42" t="n">
        <f aca="false">IFERROR(IF($C78="","",IF($D78="","",IFERROR(ROUND($D78*INDEX('🔖 배합비 참조'!$B$2:$CE$83,MATCH("기타설탕(흑설탕)",'🔖 배합비 참조'!$A$2:$A$83,0),MATCH($C78,'🔖 배합비 참조'!$B$1:$CE$1,0))/100,0),""))),"")</f>
        <v>3</v>
      </c>
      <c r="X78" s="42" t="n">
        <f aca="false">IFERROR(IF($C78="","",IF($D78="","",IFERROR(ROUND($D78*INDEX('🔖 배합비 참조'!$B$2:$CE$83,MATCH("냉동쑥(국내산)",'🔖 배합비 참조'!$A$2:$A$83,0),MATCH($C78,'🔖 배합비 참조'!$B$1:$CE$1,0))/100,0),""))),"")</f>
        <v>0</v>
      </c>
      <c r="Y78" s="42" t="n">
        <f aca="false">IFERROR(IF($C78="","",IF($D78="","",IFERROR(ROUND($D78*INDEX('🔖 배합비 참조'!$B$2:$CE$83,MATCH("냉동증숙고구마(중국산)",'🔖 배합비 참조'!$A$2:$A$83,0),MATCH($C78,'🔖 배합비 참조'!$B$1:$CE$1,0))/100,0),""))),"")</f>
        <v>0</v>
      </c>
      <c r="Z78" s="42" t="n">
        <f aca="false">IFERROR(IF($C78="","",IF($D78="","",IFERROR(ROUND($D78*INDEX('🔖 배합비 참조'!$B$2:$CE$83,MATCH("녹차가루",'🔖 배합비 참조'!$A$2:$A$83,0),MATCH($C78,'🔖 배합비 참조'!$B$1:$CE$1,0))/100,0),""))),"")</f>
        <v>0</v>
      </c>
      <c r="AA78" s="42" t="n">
        <f aca="false">IFERROR(IF($C78="","",IF($D78="","",IFERROR(ROUND($D78*INDEX('🔖 배합비 참조'!$B$2:$CE$83,MATCH("다크초콜릿 컴파운드칩",'🔖 배합비 참조'!$A$2:$A$83,0),MATCH($C78,'🔖 배합비 참조'!$B$1:$CE$1,0))/100,0),""))),"")</f>
        <v>0</v>
      </c>
      <c r="AB78" s="42" t="n">
        <f aca="false">IFERROR(IF($C78="","",IF($D78="","",IFERROR(ROUND($D78*INDEX('🔖 배합비 참조'!$B$2:$CE$83,MATCH("단호박분말(중국산)",'🔖 배합비 참조'!$A$2:$A$83,0),MATCH($C78,'🔖 배합비 참조'!$B$1:$CE$1,0))/100,0),""))),"")</f>
        <v>0</v>
      </c>
      <c r="AC78" s="42" t="n">
        <f aca="false">IFERROR(IF($C78="","",IF($D78="","",IFERROR(ROUND($D78*INDEX('🔖 배합비 참조'!$B$2:$CE$83,MATCH("당류가공품(단호박농축액)",'🔖 배합비 참조'!$A$2:$A$83,0),MATCH($C78,'🔖 배합비 참조'!$B$1:$CE$1,0))/100,0),""))),"")</f>
        <v>0</v>
      </c>
      <c r="AD78" s="42" t="n">
        <f aca="false">IFERROR(IF($C78="","",IF($D78="","",IFERROR(ROUND($D78*INDEX('🔖 배합비 참조'!$B$2:$CE$83,MATCH("당류가공품(알룰로스,에리스리톨,스테비올배당체혼합)",'🔖 배합비 참조'!$A$2:$A$83,0),MATCH($C78,'🔖 배합비 참조'!$B$1:$CE$1,0))/100,0),""))),"")</f>
        <v>0</v>
      </c>
      <c r="AE78" s="42" t="n">
        <f aca="false">IFERROR(IF($C78="","",IF($D78="","",IFERROR(ROUND($D78*INDEX('🔖 배합비 참조'!$B$2:$CE$83,MATCH("당류가공품(알룰로스제로파우더)",'🔖 배합비 참조'!$A$2:$A$83,0),MATCH($C78,'🔖 배합비 참조'!$B$1:$CE$1,0))/100,0),""))),"")</f>
        <v>0</v>
      </c>
      <c r="AF78" s="42" t="n">
        <f aca="false">IFERROR(IF($C78="","",IF($D78="","",IFERROR(ROUND($D78*INDEX('🔖 배합비 참조'!$B$2:$CE$83,MATCH("당절임(완두배기)",'🔖 배합비 참조'!$A$2:$A$83,0),MATCH($C78,'🔖 배합비 참조'!$B$1:$CE$1,0))/100,0),""))),"")</f>
        <v>0</v>
      </c>
      <c r="AG78" s="42" t="n">
        <f aca="false">IFERROR(IF($C78="","",IF($D78="","",IFERROR(ROUND($D78*INDEX('🔖 배합비 참조'!$B$2:$CE$83,MATCH("대추농축액",'🔖 배합비 참조'!$A$2:$A$83,0),MATCH($C78,'🔖 배합비 참조'!$B$1:$CE$1,0))/100,0),""))),"")</f>
        <v>0</v>
      </c>
      <c r="AH78" s="42" t="n">
        <f aca="false">IFERROR(IF($C78="","",IF($D78="","",IFERROR(ROUND($D78*INDEX('🔖 배합비 참조'!$B$2:$CE$83,MATCH("대추채(국내산)",'🔖 배합비 참조'!$A$2:$A$83,0),MATCH($C78,'🔖 배합비 참조'!$B$1:$CE$1,0))/100,0),""))),"")</f>
        <v>0</v>
      </c>
      <c r="AI78" s="42" t="n">
        <f aca="false">IFERROR(IF($C78="","",IF($D78="","",IFERROR(ROUND($D78*INDEX('🔖 배합비 참조'!$B$2:$CE$83,MATCH("동부(미얀마산)",'🔖 배합비 참조'!$A$2:$A$83,0),MATCH($C78,'🔖 배합비 참조'!$B$1:$CE$1,0))/100,0),""))),"")</f>
        <v>0</v>
      </c>
      <c r="AJ78" s="42" t="n">
        <f aca="false">IFERROR(IF($C78="","",IF($D78="","",IFERROR(ROUND($D78*INDEX('🔖 배합비 참조'!$B$2:$CE$83,MATCH("두류가공품(백옥앙금)",'🔖 배합비 참조'!$A$2:$A$83,0),MATCH($C78,'🔖 배합비 참조'!$B$1:$CE$1,0))/100,0),""))),"")</f>
        <v>0</v>
      </c>
      <c r="AK78" s="42" t="n">
        <f aca="false">IFERROR(IF($C78="","",IF($D78="","",IFERROR(ROUND($D78*INDEX('🔖 배합비 참조'!$B$2:$CE$83,MATCH("두류가공품(콩고물)",'🔖 배합비 참조'!$A$2:$A$83,0),MATCH($C78,'🔖 배합비 참조'!$B$1:$CE$1,0))/100,0),""))),"")</f>
        <v>0</v>
      </c>
      <c r="AL78" s="42" t="n">
        <f aca="false">IFERROR(IF($C78="","",IF($D78="","",IFERROR(ROUND($D78*INDEX('🔖 배합비 참조'!$B$2:$CE$83,MATCH("두류가공품(통팥고물)",'🔖 배합비 참조'!$A$2:$A$83,0),MATCH($C78,'🔖 배합비 참조'!$B$1:$CE$1,0))/100,0),""))),"")</f>
        <v>0</v>
      </c>
      <c r="AM78" s="42" t="n">
        <f aca="false">IFERROR(IF($C78="","",IF($D78="","",IFERROR(ROUND($D78*INDEX('🔖 배합비 참조'!$B$2:$CE$83,MATCH("딸기레진",'🔖 배합비 참조'!$A$2:$A$83,0),MATCH($C78,'🔖 배합비 참조'!$B$1:$CE$1,0))/100,0),""))),"")</f>
        <v>0</v>
      </c>
      <c r="AN78" s="42" t="n">
        <f aca="false">IFERROR(IF($C78="","",IF($D78="","",IFERROR(ROUND($D78*INDEX('🔖 배합비 참조'!$B$2:$CE$83,MATCH("딸기분말(스트로우베리에이드(분말))",'🔖 배합비 참조'!$A$2:$A$83,0),MATCH($C78,'🔖 배합비 참조'!$B$1:$CE$1,0))/100,0),""))),"")</f>
        <v>0</v>
      </c>
      <c r="AO78" s="42" t="n">
        <f aca="false">IFERROR(IF($C78="","",IF($D78="","",IFERROR(ROUND($D78*INDEX('🔖 배합비 참조'!$B$2:$CE$83,MATCH("마스카포네치즈",'🔖 배합비 참조'!$A$2:$A$83,0),MATCH($C78,'🔖 배합비 참조'!$B$1:$CE$1,0))/100,0),""))),"")</f>
        <v>0</v>
      </c>
      <c r="AP78" s="42" t="n">
        <f aca="false">IFERROR(IF($C78="","",IF($D78="","",IFERROR(ROUND($D78*INDEX('🔖 배합비 참조'!$B$2:$CE$83,MATCH("마카다미아분태(호주산)",'🔖 배합비 참조'!$A$2:$A$83,0),MATCH($C78,'🔖 배합비 참조'!$B$1:$CE$1,0))/100,0),""))),"")</f>
        <v>0</v>
      </c>
      <c r="AQ78" s="42" t="n">
        <f aca="false">IFERROR(IF($C78="","",IF($D78="","",IFERROR(ROUND($D78*INDEX('🔖 배합비 참조'!$B$2:$CE$83,MATCH("멥쌀(국내산)",'🔖 배합비 참조'!$A$2:$A$83,0),MATCH($C78,'🔖 배합비 참조'!$B$1:$CE$1,0))/100,0),""))),"")</f>
        <v>22</v>
      </c>
      <c r="AR78" s="42" t="n">
        <f aca="false">IFERROR(IF($C78="","",IF($D78="","",IFERROR(ROUND($D78*INDEX('🔖 배합비 참조'!$B$2:$CE$83,MATCH("모시잎(국내산)",'🔖 배합비 참조'!$A$2:$A$83,0),MATCH($C78,'🔖 배합비 참조'!$B$1:$CE$1,0))/100,0),""))),"")</f>
        <v>0</v>
      </c>
      <c r="AS78" s="42" t="n">
        <f aca="false">IFERROR(IF($C78="","",IF($D78="","",IFERROR(ROUND($D78*INDEX('🔖 배합비 참조'!$B$2:$CE$83,MATCH("물엿(저당물엿)",'🔖 배합비 참조'!$A$2:$A$83,0),MATCH($C78,'🔖 배합비 참조'!$B$1:$CE$1,0))/100,0),""))),"")</f>
        <v>0</v>
      </c>
      <c r="AT78" s="42" t="n">
        <f aca="false">IFERROR(IF($C78="","",IF($D78="","",IFERROR(ROUND($D78*INDEX('🔖 배합비 참조'!$B$2:$CE$83,MATCH("밤다이스",'🔖 배합비 참조'!$A$2:$A$83,0),MATCH($C78,'🔖 배합비 참조'!$B$1:$CE$1,0))/100,0),""))),"")</f>
        <v>0</v>
      </c>
      <c r="AU78" s="42" t="n">
        <f aca="false">IFERROR(IF($C78="","",IF($D78="","",IFERROR(ROUND($D78*INDEX('🔖 배합비 참조'!$B$2:$CE$83,MATCH("변성전분(타피오카전분)",'🔖 배합비 참조'!$A$2:$A$83,0),MATCH($C78,'🔖 배합비 참조'!$B$1:$CE$1,0))/100,0),""))),"")</f>
        <v>0</v>
      </c>
      <c r="AV78" s="42" t="n">
        <f aca="false">IFERROR(IF($C78="","",IF($D78="","",IFERROR(ROUND($D78*INDEX('🔖 배합비 참조'!$B$2:$CE$83,MATCH("복음땅콩분태",'🔖 배합비 참조'!$A$2:$A$83,0),MATCH($C78,'🔖 배합비 참조'!$B$1:$CE$1,0))/100,0),""))),"")</f>
        <v>0</v>
      </c>
      <c r="AW78" s="42" t="n">
        <f aca="false">IFERROR(IF($C78="","",IF($D78="","",IFERROR(ROUND($D78*INDEX('🔖 배합비 참조'!$B$2:$CE$83,MATCH("사양벌꿀(국내산)",'🔖 배합비 참조'!$A$2:$A$83,0),MATCH($C78,'🔖 배합비 참조'!$B$1:$CE$1,0))/100,0),""))),"")</f>
        <v>1</v>
      </c>
      <c r="AX78" s="42" t="n">
        <f aca="false">IFERROR(IF($C78="","",IF($D78="","",IFERROR(ROUND($D78*INDEX('🔖 배합비 참조'!$B$2:$CE$83,MATCH("생크림",'🔖 배합비 참조'!$A$2:$A$83,0),MATCH($C78,'🔖 배합비 참조'!$B$1:$CE$1,0))/100,0),""))),"")</f>
        <v>0</v>
      </c>
      <c r="AY78" s="42" t="n">
        <f aca="false">IFERROR(IF($C78="","",IF($D78="","",IFERROR(ROUND($D78*INDEX('🔖 배합비 참조'!$B$2:$CE$83,MATCH("서양호박(국내산,뉴질랜드산)",'🔖 배합비 참조'!$A$2:$A$83,0),MATCH($C78,'🔖 배합비 참조'!$B$1:$CE$1,0))/100,0),""))),"")</f>
        <v>0</v>
      </c>
      <c r="AZ78" s="42" t="n">
        <f aca="false">IFERROR(IF($C78="","",IF($D78="","",IFERROR(ROUND($D78*INDEX('🔖 배합비 참조'!$B$2:$CE$83,MATCH("설탕",'🔖 배합비 참조'!$A$2:$A$83,0),MATCH($C78,'🔖 배합비 참조'!$B$1:$CE$1,0))/100,0),""))),"")</f>
        <v>3</v>
      </c>
      <c r="BA78" s="42" t="n">
        <f aca="false">IFERROR(IF($C78="","",IF($D78="","",IFERROR(ROUND($D78*INDEX('🔖 배합비 참조'!$B$2:$CE$83,MATCH("스트로우베리 에이드 후레쉬",'🔖 배합비 참조'!$A$2:$A$83,0),MATCH($C78,'🔖 배합비 참조'!$B$1:$CE$1,0))/100,0),""))),"")</f>
        <v>0</v>
      </c>
      <c r="BB78" s="42" t="n">
        <f aca="false">IFERROR(IF($C78="","",IF($D78="","",IFERROR(ROUND($D78*INDEX('🔖 배합비 참조'!$B$2:$CE$83,MATCH("식물성기름혼합제제(분홍)",'🔖 배합비 참조'!$A$2:$A$83,0),MATCH($C78,'🔖 배합비 참조'!$B$1:$CE$1,0))/100,0),""))),"")</f>
        <v>0</v>
      </c>
      <c r="BC78" s="42" t="n">
        <f aca="false">IFERROR(IF($C78="","",IF($D78="","",IFERROR(ROUND($D78*INDEX('🔖 배합비 참조'!$B$2:$CE$83,MATCH("식물성기름혼합제제(초록)",'🔖 배합비 참조'!$A$2:$A$83,0),MATCH($C78,'🔖 배합비 참조'!$B$1:$CE$1,0))/100,0),""))),"")</f>
        <v>0</v>
      </c>
      <c r="BD78" s="42" t="n">
        <f aca="false">IFERROR(IF($C78="","",IF($D78="","",IFERROR(ROUND($D78*INDEX('🔖 배합비 참조'!$B$2:$CE$83,MATCH("식물성기름혼합제제(황색)",'🔖 배합비 참조'!$A$2:$A$83,0),MATCH($C78,'🔖 배합비 참조'!$B$1:$CE$1,0))/100,0),""))),"")</f>
        <v>0</v>
      </c>
      <c r="BE78" s="42" t="n">
        <f aca="false">IFERROR(IF($C78="","",IF($D78="","",IFERROR(ROUND($D78*INDEX('🔖 배합비 참조'!$B$2:$CE$83,MATCH("쑥가루(국내산)",'🔖 배합비 참조'!$A$2:$A$83,0),MATCH($C78,'🔖 배합비 참조'!$B$1:$CE$1,0))/100,0),""))),"")</f>
        <v>0</v>
      </c>
      <c r="BF78" s="42" t="n">
        <f aca="false">IFERROR(IF($C78="","",IF($D78="","",IFERROR(ROUND($D78*INDEX('🔖 배합비 참조'!$B$2:$CE$83,MATCH("아몬드슬라이스",'🔖 배합비 참조'!$A$2:$A$83,0),MATCH($C78,'🔖 배합비 참조'!$B$1:$CE$1,0))/100,0),""))),"")</f>
        <v>0</v>
      </c>
      <c r="BG78" s="42" t="n">
        <f aca="false">IFERROR(IF($C78="","",IF($D78="","",IFERROR(ROUND($D78*INDEX('🔖 배합비 참조'!$B$2:$CE$83,MATCH("알룰로오스(국내산)",'🔖 배합비 참조'!$A$2:$A$83,0),MATCH($C78,'🔖 배합비 참조'!$B$1:$CE$1,0))/100,0),""))),"")</f>
        <v>0</v>
      </c>
      <c r="BH78" s="42" t="n">
        <f aca="false">IFERROR(IF($C78="","",IF($D78="","",IFERROR(ROUND($D78*INDEX('🔖 배합비 참조'!$B$2:$CE$83,MATCH("연유",'🔖 배합비 참조'!$A$2:$A$83,0),MATCH($C78,'🔖 배합비 참조'!$B$1:$CE$1,0))/100,0),""))),"")</f>
        <v>0</v>
      </c>
      <c r="BI78" s="42" t="n">
        <f aca="false">IFERROR(IF($C78="","",IF($D78="","",IFERROR(ROUND($D78*INDEX('🔖 배합비 참조'!$B$2:$CE$83,MATCH("옥수수전분",'🔖 배합비 참조'!$A$2:$A$83,0),MATCH($C78,'🔖 배합비 참조'!$B$1:$CE$1,0))/100,0),""))),"")</f>
        <v>0</v>
      </c>
      <c r="BJ78" s="42" t="n">
        <f aca="false">IFERROR(IF($C78="","",IF($D78="","",IFERROR(ROUND($D78*INDEX('🔖 배합비 참조'!$B$2:$CE$83,MATCH("완두배기",'🔖 배합비 참조'!$A$2:$A$83,0),MATCH($C78,'🔖 배합비 참조'!$B$1:$CE$1,0))/100,0),""))),"")</f>
        <v>0</v>
      </c>
      <c r="BK78" s="42" t="n">
        <f aca="false">IFERROR(IF($C78="","",IF($D78="","",IFERROR(ROUND($D78*INDEX('🔖 배합비 참조'!$B$2:$CE$83,MATCH("우유(국내산)",'🔖 배합비 참조'!$A$2:$A$83,0),MATCH($C78,'🔖 배합비 참조'!$B$1:$CE$1,0))/100,0),""))),"")</f>
        <v>0</v>
      </c>
      <c r="BL78" s="42" t="n">
        <f aca="false">IFERROR(IF($C78="","",IF($D78="","",IFERROR(ROUND($D78*INDEX('🔖 배합비 참조'!$B$2:$CE$83,MATCH("자색고구마가루(중국산)",'🔖 배합비 참조'!$A$2:$A$83,0),MATCH($C78,'🔖 배합비 참조'!$B$1:$CE$1,0))/100,0),""))),"")</f>
        <v>0</v>
      </c>
      <c r="BM78" s="42" t="n">
        <f aca="false">IFERROR(IF($C78="","",IF($D78="","",IFERROR(ROUND($D78*INDEX('🔖 배합비 참조'!$B$2:$CE$83,MATCH("자연치즈(체다치즈)",'🔖 배합비 참조'!$A$2:$A$83,0),MATCH($C78,'🔖 배합비 참조'!$B$1:$CE$1,0))/100,0),""))),"")</f>
        <v>0</v>
      </c>
      <c r="BN78" s="42" t="n">
        <f aca="false">IFERROR(IF($C78="","",IF($D78="","",IFERROR(ROUND($D78*INDEX('🔖 배합비 참조'!$B$2:$CE$83,MATCH("정제수",'🔖 배합비 참조'!$A$2:$A$83,0),MATCH($C78,'🔖 배합비 참조'!$B$1:$CE$1,0))/100,0),""))),"")</f>
        <v>4</v>
      </c>
      <c r="BO78" s="42" t="n">
        <f aca="false">IFERROR(IF($C78="","",IF($D78="","",IFERROR(ROUND($D78*INDEX('🔖 배합비 참조'!$B$2:$CE$83,MATCH("젤라틴",'🔖 배합비 참조'!$A$2:$A$83,0),MATCH($C78,'🔖 배합비 참조'!$B$1:$CE$1,0))/100,0),""))),"")</f>
        <v>0</v>
      </c>
      <c r="BP78" s="42" t="n">
        <f aca="false">IFERROR(IF($C78="","",IF($D78="","",IFERROR(ROUND($D78*INDEX('🔖 배합비 참조'!$B$2:$CE$83,MATCH("조림류(백옥앙금)",'🔖 배합비 참조'!$A$2:$A$83,0),MATCH($C78,'🔖 배합비 참조'!$B$1:$CE$1,0))/100,0),""))),"")</f>
        <v>0</v>
      </c>
      <c r="BQ78" s="42" t="n">
        <f aca="false">IFERROR(IF($C78="","",IF($D78="","",IFERROR(ROUND($D78*INDEX('🔖 배합비 참조'!$B$2:$CE$83,MATCH("조림류(통팥앙금)",'🔖 배합비 참조'!$A$2:$A$83,0),MATCH($C78,'🔖 배합비 참조'!$B$1:$CE$1,0))/100,0),""))),"")</f>
        <v>0</v>
      </c>
      <c r="BR78" s="42" t="n">
        <f aca="false">IFERROR(IF($C78="","",IF($D78="","",IFERROR(ROUND($D78*INDEX('🔖 배합비 참조'!$B$2:$CE$83,MATCH("준초콜릿(외국산)",'🔖 배합비 참조'!$A$2:$A$83,0),MATCH($C78,'🔖 배합비 참조'!$B$1:$CE$1,0))/100,0),""))),"")</f>
        <v>0</v>
      </c>
      <c r="BS78" s="42" t="n">
        <f aca="false">IFERROR(IF($C78="","",IF($D78="","",IFERROR(ROUND($D78*INDEX('🔖 배합비 참조'!$B$2:$CE$83,MATCH("중력분",'🔖 배합비 참조'!$A$2:$A$83,0),MATCH($C78,'🔖 배합비 참조'!$B$1:$CE$1,0))/100,0),""))),"")</f>
        <v>0</v>
      </c>
      <c r="BT78" s="42" t="n">
        <f aca="false">IFERROR(IF($C78="","",IF($D78="","",IFERROR(ROUND($D78*INDEX('🔖 배합비 참조'!$B$2:$CE$83,MATCH("참깨(인도산,나이지리아산,탄자니아산,미얀마산)",'🔖 배합비 참조'!$A$2:$A$83,0),MATCH($C78,'🔖 배합비 참조'!$B$1:$CE$1,0))/100,0),""))),"")</f>
        <v>0</v>
      </c>
      <c r="BU78" s="42" t="n">
        <f aca="false">IFERROR(IF($C78="","",IF($D78="","",IFERROR(ROUND($D78*INDEX('🔖 배합비 참조'!$B$2:$CE$83,MATCH("찹쌀(국내산)",'🔖 배합비 참조'!$A$2:$A$83,0),MATCH($C78,'🔖 배합비 참조'!$B$1:$CE$1,0))/100,0),""))),"")</f>
        <v>0</v>
      </c>
      <c r="BV78" s="42" t="n">
        <f aca="false">IFERROR(IF($C78="","",IF($D78="","",IFERROR(ROUND($D78*INDEX('🔖 배합비 참조'!$B$2:$CE$83,MATCH("천일염",'🔖 배합비 참조'!$A$2:$A$83,0),MATCH($C78,'🔖 배합비 참조'!$B$1:$CE$1,0))/100,0),""))),"")</f>
        <v>0</v>
      </c>
      <c r="BW78" s="42" t="n">
        <f aca="false">IFERROR(IF($C78="","",IF($D78="","",IFERROR(ROUND($D78*INDEX('🔖 배합비 참조'!$B$2:$CE$83,MATCH("치즈 [크림치즈]",'🔖 배합비 참조'!$A$2:$A$83,0),MATCH($C78,'🔖 배합비 참조'!$B$1:$CE$1,0))/100,0),""))),"")</f>
        <v>0</v>
      </c>
      <c r="BX78" s="42" t="n">
        <f aca="false">IFERROR(IF($C78="","",IF($D78="","",IFERROR(ROUND($D78*INDEX('🔖 배합비 참조'!$B$2:$CE$83,MATCH("코코아가공품류(코코아분말)",'🔖 배합비 참조'!$A$2:$A$83,0),MATCH($C78,'🔖 배합비 참조'!$B$1:$CE$1,0))/100,0),""))),"")</f>
        <v>0</v>
      </c>
      <c r="BY78" s="42" t="n">
        <f aca="false">IFERROR(IF($C78="","",IF($D78="","",IFERROR(ROUND($D78*INDEX('🔖 배합비 참조'!$B$2:$CE$83,MATCH("콩기름(대두유)",'🔖 배합비 참조'!$A$2:$A$83,0),MATCH($C78,'🔖 배합비 참조'!$B$1:$CE$1,0))/100,0),""))),"")</f>
        <v>0</v>
      </c>
      <c r="BZ78" s="42" t="n">
        <f aca="false">IFERROR(IF($C78="","",IF($D78="","",IFERROR(ROUND($D78*INDEX('🔖 배합비 참조'!$B$2:$CE$83,MATCH("해바라기씨앗",'🔖 배합비 참조'!$A$2:$A$83,0),MATCH($C78,'🔖 배합비 참조'!$B$1:$CE$1,0))/100,0),""))),"")</f>
        <v>0</v>
      </c>
      <c r="CA78" s="42" t="n">
        <f aca="false">IFERROR(IF($C78="","",IF($D78="","",IFERROR(ROUND($D78*INDEX('🔖 배합비 참조'!$B$2:$CE$83,MATCH("현미(국내산)",'🔖 배합비 참조'!$A$2:$A$83,0),MATCH($C78,'🔖 배합비 참조'!$B$1:$CE$1,0))/100,0),""))),"")</f>
        <v>0</v>
      </c>
      <c r="CB78" s="42" t="n">
        <f aca="false">IFERROR(IF($C78="","",IF($D78="","",IFERROR(ROUND($D78*INDEX('🔖 배합비 참조'!$B$2:$CE$83,MATCH("현미멥쌀(국내산)",'🔖 배합비 참조'!$A$2:$A$83,0),MATCH($C78,'🔖 배합비 참조'!$B$1:$CE$1,0))/100,0),""))),"")</f>
        <v>0</v>
      </c>
      <c r="CC78" s="42" t="n">
        <f aca="false">IFERROR(IF($C78="","",IF($D78="","",IFERROR(ROUND($D78*INDEX('🔖 배합비 참조'!$B$2:$CE$83,MATCH("호두분태(미국산)",'🔖 배합비 참조'!$A$2:$A$83,0),MATCH($C78,'🔖 배합비 참조'!$B$1:$CE$1,0))/100,0),""))),"")</f>
        <v>0</v>
      </c>
      <c r="CD78" s="42" t="n">
        <f aca="false">IFERROR(IF($C78="","",IF($D78="","",IFERROR(ROUND($D78*INDEX('🔖 배합비 참조'!$B$2:$CE$83,MATCH("호박씨앗(외국산)",'🔖 배합비 참조'!$A$2:$A$83,0),MATCH($C78,'🔖 배합비 참조'!$B$1:$CE$1,0))/100,0),""))),"")</f>
        <v>0</v>
      </c>
      <c r="CE78" s="42" t="n">
        <f aca="false">IFERROR(IF($C78="","",IF($D78="","",IFERROR(ROUND($D78*INDEX('🔖 배합비 참조'!$B$2:$CE$83,MATCH("혼합제제(떡용에스텔)",'🔖 배합비 참조'!$A$2:$A$83,0),MATCH($C78,'🔖 배합비 참조'!$B$1:$CE$1,0))/100,0),""))),"")</f>
        <v>0</v>
      </c>
      <c r="CF78" s="42" t="n">
        <f aca="false">IFERROR(IF($C78="","",IF($D78="","",IFERROR(ROUND($D78*INDEX('🔖 배합비 참조'!$B$2:$CE$83,MATCH("혼합제제(스테비아)",'🔖 배합비 참조'!$A$2:$A$83,0),MATCH($C78,'🔖 배합비 참조'!$B$1:$CE$1,0))/100,0),""))),"")</f>
        <v>0</v>
      </c>
      <c r="CG78" s="42" t="n">
        <f aca="false">IFERROR(IF($C78="","",IF($D78="","",IFERROR(ROUND($D78*INDEX('🔖 배합비 참조'!$B$2:$CE$83,MATCH("화이트초콜릿",'🔖 배합비 참조'!$A$2:$A$83,0),MATCH($C78,'🔖 배합비 참조'!$B$1:$CE$1,0))/100,0),""))),"")</f>
        <v>0</v>
      </c>
      <c r="CH78" s="42" t="n">
        <f aca="false">IFERROR(IF($C78="","",IF($D78="","",IFERROR(ROUND($D78*INDEX('🔖 배합비 참조'!$B$2:$CE$83,MATCH("흑미찹쌀(국내산)",'🔖 배합비 참조'!$A$2:$A$83,0),MATCH($C78,'🔖 배합비 참조'!$B$1:$CE$1,0))/100,0),""))),"")</f>
        <v>0</v>
      </c>
      <c r="CI78" s="42" t="n">
        <f aca="false">IFERROR(IF($C78="","",IF($D78="","",IFERROR(ROUND($D78*INDEX('🔖 배합비 참조'!$B$2:$CE$83,MATCH("찰옥수수전분(미국산)",'🔖 배합비 참조'!$A$2:$A$83,0),MATCH($C78,'🔖 배합비 참조'!$B$1:$CE$1,0))/100,0),""))),"")</f>
        <v>0</v>
      </c>
      <c r="CJ78" s="40"/>
      <c r="CL78" s="1" t="s">
        <v>238</v>
      </c>
    </row>
    <row r="79" customFormat="false" ht="18" hidden="false" customHeight="true" outlineLevel="0" collapsed="false">
      <c r="A79" s="35" t="n">
        <v>75</v>
      </c>
      <c r="B79" s="36" t="n">
        <v>45979</v>
      </c>
      <c r="C79" s="37" t="s">
        <v>184</v>
      </c>
      <c r="D79" s="38" t="n">
        <v>122.5</v>
      </c>
      <c r="E79" s="13"/>
      <c r="F79" s="13"/>
      <c r="G79" s="39" t="n">
        <f aca="false">IFERROR(IF($C79="","",IF($D79="","",IFERROR(ROUND($D79*INDEX('🔖 배합비 참조'!$B$2:$CE$83,MATCH("간장",'🔖 배합비 참조'!$A$2:$A$83,0),MATCH($C79,'🔖 배합비 참조'!$B$1:$CE$1,0))/100,0),""))),"")</f>
        <v>0</v>
      </c>
      <c r="H79" s="39" t="n">
        <f aca="false">IFERROR(IF($C79="","",IF($D79="","",IFERROR(ROUND($D79*INDEX('🔖 배합비 참조'!$B$2:$CE$83,MATCH("강낭콩((울타리콩))",'🔖 배합비 참조'!$A$2:$A$83,0),MATCH($C79,'🔖 배합비 참조'!$B$1:$CE$1,0))/100,0),""))),"")</f>
        <v>0</v>
      </c>
      <c r="I79" s="39" t="n">
        <f aca="false">IFERROR(IF($C79="","",IF($D79="","",IFERROR(ROUND($D79*INDEX('🔖 배합비 참조'!$B$2:$CE$83,MATCH("건조딸기다이스(외국산)",'🔖 배합비 참조'!$A$2:$A$83,0),MATCH($C79,'🔖 배합비 참조'!$B$1:$CE$1,0))/100,0),""))),"")</f>
        <v>0</v>
      </c>
      <c r="J79" s="39" t="n">
        <f aca="false">IFERROR(IF($C79="","",IF($D79="","",IFERROR(ROUND($D79*INDEX('🔖 배합비 참조'!$B$2:$CE$83,MATCH("건포도",'🔖 배합비 참조'!$A$2:$A$83,0),MATCH($C79,'🔖 배합비 참조'!$B$1:$CE$1,0))/100,0),""))),"")</f>
        <v>0</v>
      </c>
      <c r="K79" s="39" t="n">
        <f aca="false">IFERROR(IF($C79="","",IF($D79="","",IFERROR(ROUND($D79*INDEX('🔖 배합비 참조'!$B$2:$CE$83,MATCH("건호박채(중국산)",'🔖 배합비 참조'!$A$2:$A$83,0),MATCH($C79,'🔖 배합비 참조'!$B$1:$CE$1,0))/100,0),""))),"")</f>
        <v>0</v>
      </c>
      <c r="L79" s="39" t="n">
        <f aca="false">IFERROR(IF($C79="","",IF($D79="","",IFERROR(ROUND($D79*INDEX('🔖 배합비 참조'!$B$2:$CE$83,MATCH("검정깨(흑임자)",'🔖 배합비 참조'!$A$2:$A$83,0),MATCH($C79,'🔖 배합비 참조'!$B$1:$CE$1,0))/100,0),""))),"")</f>
        <v>0</v>
      </c>
      <c r="M79" s="39" t="n">
        <f aca="false">IFERROR(IF($C79="","",IF($D79="","",IFERROR(ROUND($D79*INDEX('🔖 배합비 참조'!$B$2:$CE$83,MATCH("검정콩",'🔖 배합비 참조'!$A$2:$A$83,0),MATCH($C79,'🔖 배합비 참조'!$B$1:$CE$1,0))/100,0),""))),"")</f>
        <v>0</v>
      </c>
      <c r="N79" s="39" t="n">
        <f aca="false">IFERROR(IF($C79="","",IF($D79="","",IFERROR(ROUND($D79*INDEX('🔖 배합비 참조'!$B$2:$CE$83,MATCH("계피가루",'🔖 배합비 참조'!$A$2:$A$83,0),MATCH($C79,'🔖 배합비 참조'!$B$1:$CE$1,0))/100,0),""))),"")</f>
        <v>0</v>
      </c>
      <c r="O79" s="39" t="n">
        <f aca="false">IFERROR(IF($C79="","",IF($D79="","",IFERROR(ROUND($D79*INDEX('🔖 배합비 참조'!$B$2:$CE$83,MATCH("고구마가루",'🔖 배합비 참조'!$A$2:$A$83,0),MATCH($C79,'🔖 배합비 참조'!$B$1:$CE$1,0))/100,0),""))),"")</f>
        <v>0</v>
      </c>
      <c r="P79" s="39" t="n">
        <f aca="false">IFERROR(IF($C79="","",IF($D79="","",IFERROR(ROUND($D79*INDEX('🔖 배합비 참조'!$B$2:$CE$83,MATCH("고구마무스",'🔖 배합비 참조'!$A$2:$A$83,0),MATCH($C79,'🔖 배합비 참조'!$B$1:$CE$1,0))/100,0),""))),"")</f>
        <v>0</v>
      </c>
      <c r="Q79" s="39" t="n">
        <f aca="false">IFERROR(IF($C79="","",IF($D79="","",IFERROR(ROUND($D79*INDEX('🔖 배합비 참조'!$B$2:$CE$83,MATCH("고려엉겅퀴((곤드레)국내산)",'🔖 배합비 참조'!$A$2:$A$83,0),MATCH($C79,'🔖 배합비 참조'!$B$1:$CE$1,0))/100,0),""))),"")</f>
        <v>0</v>
      </c>
      <c r="R79" s="39" t="n">
        <f aca="false">IFERROR(IF($C79="","",IF($D79="","",IFERROR(ROUND($D79*INDEX('🔖 배합비 참조'!$B$2:$CE$83,MATCH("기타가공품(복분자가루)",'🔖 배합비 참조'!$A$2:$A$83,0),MATCH($C79,'🔖 배합비 참조'!$B$1:$CE$1,0))/100,0),""))),"")</f>
        <v>0</v>
      </c>
      <c r="S79" s="39" t="n">
        <f aca="false">IFERROR(IF($C79="","",IF($D79="","",IFERROR(ROUND($D79*INDEX('🔖 배합비 참조'!$B$2:$CE$83,MATCH("기타가공품(슈퍼소프트엠)",'🔖 배합비 참조'!$A$2:$A$83,0),MATCH($C79,'🔖 배합비 참조'!$B$1:$CE$1,0))/100,0),""))),"")</f>
        <v>0</v>
      </c>
      <c r="T79" s="39" t="n">
        <f aca="false">IFERROR(IF($C79="","",IF($D79="","",IFERROR(ROUND($D79*INDEX('🔖 배합비 참조'!$B$2:$CE$83,MATCH("기타가공품(파인소프트 E-티)",'🔖 배합비 참조'!$A$2:$A$83,0),MATCH($C79,'🔖 배합비 참조'!$B$1:$CE$1,0))/100,0),""))),"")</f>
        <v>0</v>
      </c>
      <c r="U79" s="39" t="n">
        <f aca="false">IFERROR(IF($C79="","",IF($D79="","",IFERROR(ROUND($D79*INDEX('🔖 배합비 참조'!$B$2:$CE$83,MATCH("기타가공품(프리미엄카스테라가루)",'🔖 배합비 참조'!$A$2:$A$83,0),MATCH($C79,'🔖 배합비 참조'!$B$1:$CE$1,0))/100,0),""))),"")</f>
        <v>0</v>
      </c>
      <c r="V79" s="39" t="n">
        <f aca="false">IFERROR(IF($C79="","",IF($D79="","",IFERROR(ROUND($D79*INDEX('🔖 배합비 참조'!$B$2:$CE$83,MATCH("기타가공품(흑임자가루)",'🔖 배합비 참조'!$A$2:$A$83,0),MATCH($C79,'🔖 배합비 참조'!$B$1:$CE$1,0))/100,0),""))),"")</f>
        <v>0</v>
      </c>
      <c r="W79" s="39" t="n">
        <f aca="false">IFERROR(IF($C79="","",IF($D79="","",IFERROR(ROUND($D79*INDEX('🔖 배합비 참조'!$B$2:$CE$83,MATCH("기타설탕(흑설탕)",'🔖 배합비 참조'!$A$2:$A$83,0),MATCH($C79,'🔖 배합비 참조'!$B$1:$CE$1,0))/100,0),""))),"")</f>
        <v>0</v>
      </c>
      <c r="X79" s="39" t="n">
        <f aca="false">IFERROR(IF($C79="","",IF($D79="","",IFERROR(ROUND($D79*INDEX('🔖 배합비 참조'!$B$2:$CE$83,MATCH("냉동쑥(국내산)",'🔖 배합비 참조'!$A$2:$A$83,0),MATCH($C79,'🔖 배합비 참조'!$B$1:$CE$1,0))/100,0),""))),"")</f>
        <v>0</v>
      </c>
      <c r="Y79" s="39" t="n">
        <f aca="false">IFERROR(IF($C79="","",IF($D79="","",IFERROR(ROUND($D79*INDEX('🔖 배합비 참조'!$B$2:$CE$83,MATCH("냉동증숙고구마(중국산)",'🔖 배합비 참조'!$A$2:$A$83,0),MATCH($C79,'🔖 배합비 참조'!$B$1:$CE$1,0))/100,0),""))),"")</f>
        <v>0</v>
      </c>
      <c r="Z79" s="39" t="n">
        <f aca="false">IFERROR(IF($C79="","",IF($D79="","",IFERROR(ROUND($D79*INDEX('🔖 배합비 참조'!$B$2:$CE$83,MATCH("녹차가루",'🔖 배합비 참조'!$A$2:$A$83,0),MATCH($C79,'🔖 배합비 참조'!$B$1:$CE$1,0))/100,0),""))),"")</f>
        <v>0</v>
      </c>
      <c r="AA79" s="39" t="n">
        <f aca="false">IFERROR(IF($C79="","",IF($D79="","",IFERROR(ROUND($D79*INDEX('🔖 배합비 참조'!$B$2:$CE$83,MATCH("다크초콜릿 컴파운드칩",'🔖 배합비 참조'!$A$2:$A$83,0),MATCH($C79,'🔖 배합비 참조'!$B$1:$CE$1,0))/100,0),""))),"")</f>
        <v>0</v>
      </c>
      <c r="AB79" s="39" t="n">
        <f aca="false">IFERROR(IF($C79="","",IF($D79="","",IFERROR(ROUND($D79*INDEX('🔖 배합비 참조'!$B$2:$CE$83,MATCH("단호박분말(중국산)",'🔖 배합비 참조'!$A$2:$A$83,0),MATCH($C79,'🔖 배합비 참조'!$B$1:$CE$1,0))/100,0),""))),"")</f>
        <v>0</v>
      </c>
      <c r="AC79" s="39" t="n">
        <f aca="false">IFERROR(IF($C79="","",IF($D79="","",IFERROR(ROUND($D79*INDEX('🔖 배합비 참조'!$B$2:$CE$83,MATCH("당류가공품(단호박농축액)",'🔖 배합비 참조'!$A$2:$A$83,0),MATCH($C79,'🔖 배합비 참조'!$B$1:$CE$1,0))/100,0),""))),"")</f>
        <v>0</v>
      </c>
      <c r="AD79" s="39" t="n">
        <f aca="false">IFERROR(IF($C79="","",IF($D79="","",IFERROR(ROUND($D79*INDEX('🔖 배합비 참조'!$B$2:$CE$83,MATCH("당류가공품(알룰로스,에리스리톨,스테비올배당체혼합)",'🔖 배합비 참조'!$A$2:$A$83,0),MATCH($C79,'🔖 배합비 참조'!$B$1:$CE$1,0))/100,0),""))),"")</f>
        <v>0</v>
      </c>
      <c r="AE79" s="39" t="n">
        <f aca="false">IFERROR(IF($C79="","",IF($D79="","",IFERROR(ROUND($D79*INDEX('🔖 배합비 참조'!$B$2:$CE$83,MATCH("당류가공품(알룰로스제로파우더)",'🔖 배합비 참조'!$A$2:$A$83,0),MATCH($C79,'🔖 배합비 참조'!$B$1:$CE$1,0))/100,0),""))),"")</f>
        <v>0</v>
      </c>
      <c r="AF79" s="39" t="n">
        <f aca="false">IFERROR(IF($C79="","",IF($D79="","",IFERROR(ROUND($D79*INDEX('🔖 배합비 참조'!$B$2:$CE$83,MATCH("당절임(완두배기)",'🔖 배합비 참조'!$A$2:$A$83,0),MATCH($C79,'🔖 배합비 참조'!$B$1:$CE$1,0))/100,0),""))),"")</f>
        <v>0</v>
      </c>
      <c r="AG79" s="39" t="n">
        <f aca="false">IFERROR(IF($C79="","",IF($D79="","",IFERROR(ROUND($D79*INDEX('🔖 배합비 참조'!$B$2:$CE$83,MATCH("대추농축액",'🔖 배합비 참조'!$A$2:$A$83,0),MATCH($C79,'🔖 배합비 참조'!$B$1:$CE$1,0))/100,0),""))),"")</f>
        <v>0</v>
      </c>
      <c r="AH79" s="39" t="n">
        <f aca="false">IFERROR(IF($C79="","",IF($D79="","",IFERROR(ROUND($D79*INDEX('🔖 배합비 참조'!$B$2:$CE$83,MATCH("대추채(국내산)",'🔖 배합비 참조'!$A$2:$A$83,0),MATCH($C79,'🔖 배합비 참조'!$B$1:$CE$1,0))/100,0),""))),"")</f>
        <v>0</v>
      </c>
      <c r="AI79" s="39" t="n">
        <f aca="false">IFERROR(IF($C79="","",IF($D79="","",IFERROR(ROUND($D79*INDEX('🔖 배합비 참조'!$B$2:$CE$83,MATCH("동부(미얀마산)",'🔖 배합비 참조'!$A$2:$A$83,0),MATCH($C79,'🔖 배합비 참조'!$B$1:$CE$1,0))/100,0),""))),"")</f>
        <v>0</v>
      </c>
      <c r="AJ79" s="39" t="n">
        <f aca="false">IFERROR(IF($C79="","",IF($D79="","",IFERROR(ROUND($D79*INDEX('🔖 배합비 참조'!$B$2:$CE$83,MATCH("두류가공품(백옥앙금)",'🔖 배합비 참조'!$A$2:$A$83,0),MATCH($C79,'🔖 배합비 참조'!$B$1:$CE$1,0))/100,0),""))),"")</f>
        <v>0</v>
      </c>
      <c r="AK79" s="39" t="n">
        <f aca="false">IFERROR(IF($C79="","",IF($D79="","",IFERROR(ROUND($D79*INDEX('🔖 배합비 참조'!$B$2:$CE$83,MATCH("두류가공품(콩고물)",'🔖 배합비 참조'!$A$2:$A$83,0),MATCH($C79,'🔖 배합비 참조'!$B$1:$CE$1,0))/100,0),""))),"")</f>
        <v>0</v>
      </c>
      <c r="AL79" s="39" t="n">
        <f aca="false">IFERROR(IF($C79="","",IF($D79="","",IFERROR(ROUND($D79*INDEX('🔖 배합비 참조'!$B$2:$CE$83,MATCH("두류가공품(통팥고물)",'🔖 배합비 참조'!$A$2:$A$83,0),MATCH($C79,'🔖 배합비 참조'!$B$1:$CE$1,0))/100,0),""))),"")</f>
        <v>0</v>
      </c>
      <c r="AM79" s="39" t="n">
        <f aca="false">IFERROR(IF($C79="","",IF($D79="","",IFERROR(ROUND($D79*INDEX('🔖 배합비 참조'!$B$2:$CE$83,MATCH("딸기레진",'🔖 배합비 참조'!$A$2:$A$83,0),MATCH($C79,'🔖 배합비 참조'!$B$1:$CE$1,0))/100,0),""))),"")</f>
        <v>0</v>
      </c>
      <c r="AN79" s="39" t="n">
        <f aca="false">IFERROR(IF($C79="","",IF($D79="","",IFERROR(ROUND($D79*INDEX('🔖 배합비 참조'!$B$2:$CE$83,MATCH("딸기분말(스트로우베리에이드(분말))",'🔖 배합비 참조'!$A$2:$A$83,0),MATCH($C79,'🔖 배합비 참조'!$B$1:$CE$1,0))/100,0),""))),"")</f>
        <v>0</v>
      </c>
      <c r="AO79" s="39" t="n">
        <f aca="false">IFERROR(IF($C79="","",IF($D79="","",IFERROR(ROUND($D79*INDEX('🔖 배합비 참조'!$B$2:$CE$83,MATCH("마스카포네치즈",'🔖 배합비 참조'!$A$2:$A$83,0),MATCH($C79,'🔖 배합비 참조'!$B$1:$CE$1,0))/100,0),""))),"")</f>
        <v>0</v>
      </c>
      <c r="AP79" s="39" t="n">
        <f aca="false">IFERROR(IF($C79="","",IF($D79="","",IFERROR(ROUND($D79*INDEX('🔖 배합비 참조'!$B$2:$CE$83,MATCH("마카다미아분태(호주산)",'🔖 배합비 참조'!$A$2:$A$83,0),MATCH($C79,'🔖 배합비 참조'!$B$1:$CE$1,0))/100,0),""))),"")</f>
        <v>0</v>
      </c>
      <c r="AQ79" s="39" t="n">
        <f aca="false">IFERROR(IF($C79="","",IF($D79="","",IFERROR(ROUND($D79*INDEX('🔖 배합비 참조'!$B$2:$CE$83,MATCH("멥쌀(국내산)",'🔖 배합비 참조'!$A$2:$A$83,0),MATCH($C79,'🔖 배합비 참조'!$B$1:$CE$1,0))/100,0),""))),"")</f>
        <v>85</v>
      </c>
      <c r="AR79" s="39" t="n">
        <f aca="false">IFERROR(IF($C79="","",IF($D79="","",IFERROR(ROUND($D79*INDEX('🔖 배합비 참조'!$B$2:$CE$83,MATCH("모시잎(국내산)",'🔖 배합비 참조'!$A$2:$A$83,0),MATCH($C79,'🔖 배합비 참조'!$B$1:$CE$1,0))/100,0),""))),"")</f>
        <v>0</v>
      </c>
      <c r="AS79" s="39" t="n">
        <f aca="false">IFERROR(IF($C79="","",IF($D79="","",IFERROR(ROUND($D79*INDEX('🔖 배합비 참조'!$B$2:$CE$83,MATCH("물엿(저당물엿)",'🔖 배합비 참조'!$A$2:$A$83,0),MATCH($C79,'🔖 배합비 참조'!$B$1:$CE$1,0))/100,0),""))),"")</f>
        <v>0</v>
      </c>
      <c r="AT79" s="39" t="n">
        <f aca="false">IFERROR(IF($C79="","",IF($D79="","",IFERROR(ROUND($D79*INDEX('🔖 배합비 참조'!$B$2:$CE$83,MATCH("밤다이스",'🔖 배합비 참조'!$A$2:$A$83,0),MATCH($C79,'🔖 배합비 참조'!$B$1:$CE$1,0))/100,0),""))),"")</f>
        <v>0</v>
      </c>
      <c r="AU79" s="39" t="n">
        <f aca="false">IFERROR(IF($C79="","",IF($D79="","",IFERROR(ROUND($D79*INDEX('🔖 배합비 참조'!$B$2:$CE$83,MATCH("변성전분(타피오카전분)",'🔖 배합비 참조'!$A$2:$A$83,0),MATCH($C79,'🔖 배합비 참조'!$B$1:$CE$1,0))/100,0),""))),"")</f>
        <v>0</v>
      </c>
      <c r="AV79" s="39" t="n">
        <f aca="false">IFERROR(IF($C79="","",IF($D79="","",IFERROR(ROUND($D79*INDEX('🔖 배합비 참조'!$B$2:$CE$83,MATCH("복음땅콩분태",'🔖 배합비 참조'!$A$2:$A$83,0),MATCH($C79,'🔖 배합비 참조'!$B$1:$CE$1,0))/100,0),""))),"")</f>
        <v>0</v>
      </c>
      <c r="AW79" s="39" t="n">
        <f aca="false">IFERROR(IF($C79="","",IF($D79="","",IFERROR(ROUND($D79*INDEX('🔖 배합비 참조'!$B$2:$CE$83,MATCH("사양벌꿀(국내산)",'🔖 배합비 참조'!$A$2:$A$83,0),MATCH($C79,'🔖 배합비 참조'!$B$1:$CE$1,0))/100,0),""))),"")</f>
        <v>0</v>
      </c>
      <c r="AX79" s="39" t="n">
        <f aca="false">IFERROR(IF($C79="","",IF($D79="","",IFERROR(ROUND($D79*INDEX('🔖 배합비 참조'!$B$2:$CE$83,MATCH("생크림",'🔖 배합비 참조'!$A$2:$A$83,0),MATCH($C79,'🔖 배합비 참조'!$B$1:$CE$1,0))/100,0),""))),"")</f>
        <v>0</v>
      </c>
      <c r="AY79" s="39" t="n">
        <f aca="false">IFERROR(IF($C79="","",IF($D79="","",IFERROR(ROUND($D79*INDEX('🔖 배합비 참조'!$B$2:$CE$83,MATCH("서양호박(국내산,뉴질랜드산)",'🔖 배합비 참조'!$A$2:$A$83,0),MATCH($C79,'🔖 배합비 참조'!$B$1:$CE$1,0))/100,0),""))),"")</f>
        <v>0</v>
      </c>
      <c r="AZ79" s="39" t="n">
        <f aca="false">IFERROR(IF($C79="","",IF($D79="","",IFERROR(ROUND($D79*INDEX('🔖 배합비 참조'!$B$2:$CE$83,MATCH("설탕",'🔖 배합비 참조'!$A$2:$A$83,0),MATCH($C79,'🔖 배합비 참조'!$B$1:$CE$1,0))/100,0),""))),"")</f>
        <v>14</v>
      </c>
      <c r="BA79" s="39" t="n">
        <f aca="false">IFERROR(IF($C79="","",IF($D79="","",IFERROR(ROUND($D79*INDEX('🔖 배합비 참조'!$B$2:$CE$83,MATCH("스트로우베리 에이드 후레쉬",'🔖 배합비 참조'!$A$2:$A$83,0),MATCH($C79,'🔖 배합비 참조'!$B$1:$CE$1,0))/100,0),""))),"")</f>
        <v>0</v>
      </c>
      <c r="BB79" s="39" t="n">
        <f aca="false">IFERROR(IF($C79="","",IF($D79="","",IFERROR(ROUND($D79*INDEX('🔖 배합비 참조'!$B$2:$CE$83,MATCH("식물성기름혼합제제(분홍)",'🔖 배합비 참조'!$A$2:$A$83,0),MATCH($C79,'🔖 배합비 참조'!$B$1:$CE$1,0))/100,0),""))),"")</f>
        <v>0</v>
      </c>
      <c r="BC79" s="39" t="n">
        <f aca="false">IFERROR(IF($C79="","",IF($D79="","",IFERROR(ROUND($D79*INDEX('🔖 배합비 참조'!$B$2:$CE$83,MATCH("식물성기름혼합제제(초록)",'🔖 배합비 참조'!$A$2:$A$83,0),MATCH($C79,'🔖 배합비 참조'!$B$1:$CE$1,0))/100,0),""))),"")</f>
        <v>0</v>
      </c>
      <c r="BD79" s="39" t="n">
        <f aca="false">IFERROR(IF($C79="","",IF($D79="","",IFERROR(ROUND($D79*INDEX('🔖 배합비 참조'!$B$2:$CE$83,MATCH("식물성기름혼합제제(황색)",'🔖 배합비 참조'!$A$2:$A$83,0),MATCH($C79,'🔖 배합비 참조'!$B$1:$CE$1,0))/100,0),""))),"")</f>
        <v>0</v>
      </c>
      <c r="BE79" s="39" t="n">
        <f aca="false">IFERROR(IF($C79="","",IF($D79="","",IFERROR(ROUND($D79*INDEX('🔖 배합비 참조'!$B$2:$CE$83,MATCH("쑥가루(국내산)",'🔖 배합비 참조'!$A$2:$A$83,0),MATCH($C79,'🔖 배합비 참조'!$B$1:$CE$1,0))/100,0),""))),"")</f>
        <v>0</v>
      </c>
      <c r="BF79" s="39" t="n">
        <f aca="false">IFERROR(IF($C79="","",IF($D79="","",IFERROR(ROUND($D79*INDEX('🔖 배합비 참조'!$B$2:$CE$83,MATCH("아몬드슬라이스",'🔖 배합비 참조'!$A$2:$A$83,0),MATCH($C79,'🔖 배합비 참조'!$B$1:$CE$1,0))/100,0),""))),"")</f>
        <v>0</v>
      </c>
      <c r="BG79" s="39" t="n">
        <f aca="false">IFERROR(IF($C79="","",IF($D79="","",IFERROR(ROUND($D79*INDEX('🔖 배합비 참조'!$B$2:$CE$83,MATCH("알룰로오스(국내산)",'🔖 배합비 참조'!$A$2:$A$83,0),MATCH($C79,'🔖 배합비 참조'!$B$1:$CE$1,0))/100,0),""))),"")</f>
        <v>0</v>
      </c>
      <c r="BH79" s="39" t="n">
        <f aca="false">IFERROR(IF($C79="","",IF($D79="","",IFERROR(ROUND($D79*INDEX('🔖 배합비 참조'!$B$2:$CE$83,MATCH("연유",'🔖 배합비 참조'!$A$2:$A$83,0),MATCH($C79,'🔖 배합비 참조'!$B$1:$CE$1,0))/100,0),""))),"")</f>
        <v>0</v>
      </c>
      <c r="BI79" s="39" t="n">
        <f aca="false">IFERROR(IF($C79="","",IF($D79="","",IFERROR(ROUND($D79*INDEX('🔖 배합비 참조'!$B$2:$CE$83,MATCH("옥수수전분",'🔖 배합비 참조'!$A$2:$A$83,0),MATCH($C79,'🔖 배합비 참조'!$B$1:$CE$1,0))/100,0),""))),"")</f>
        <v>0</v>
      </c>
      <c r="BJ79" s="39" t="n">
        <f aca="false">IFERROR(IF($C79="","",IF($D79="","",IFERROR(ROUND($D79*INDEX('🔖 배합비 참조'!$B$2:$CE$83,MATCH("완두배기",'🔖 배합비 참조'!$A$2:$A$83,0),MATCH($C79,'🔖 배합비 참조'!$B$1:$CE$1,0))/100,0),""))),"")</f>
        <v>0</v>
      </c>
      <c r="BK79" s="39" t="n">
        <f aca="false">IFERROR(IF($C79="","",IF($D79="","",IFERROR(ROUND($D79*INDEX('🔖 배합비 참조'!$B$2:$CE$83,MATCH("우유(국내산)",'🔖 배합비 참조'!$A$2:$A$83,0),MATCH($C79,'🔖 배합비 참조'!$B$1:$CE$1,0))/100,0),""))),"")</f>
        <v>11</v>
      </c>
      <c r="BL79" s="39" t="n">
        <f aca="false">IFERROR(IF($C79="","",IF($D79="","",IFERROR(ROUND($D79*INDEX('🔖 배합비 참조'!$B$2:$CE$83,MATCH("자색고구마가루(중국산)",'🔖 배합비 참조'!$A$2:$A$83,0),MATCH($C79,'🔖 배합비 참조'!$B$1:$CE$1,0))/100,0),""))),"")</f>
        <v>0</v>
      </c>
      <c r="BM79" s="39" t="n">
        <f aca="false">IFERROR(IF($C79="","",IF($D79="","",IFERROR(ROUND($D79*INDEX('🔖 배합비 참조'!$B$2:$CE$83,MATCH("자연치즈(체다치즈)",'🔖 배합비 참조'!$A$2:$A$83,0),MATCH($C79,'🔖 배합비 참조'!$B$1:$CE$1,0))/100,0),""))),"")</f>
        <v>0</v>
      </c>
      <c r="BN79" s="39" t="n">
        <f aca="false">IFERROR(IF($C79="","",IF($D79="","",IFERROR(ROUND($D79*INDEX('🔖 배합비 참조'!$B$2:$CE$83,MATCH("정제수",'🔖 배합비 참조'!$A$2:$A$83,0),MATCH($C79,'🔖 배합비 참조'!$B$1:$CE$1,0))/100,0),""))),"")</f>
        <v>11</v>
      </c>
      <c r="BO79" s="39" t="n">
        <f aca="false">IFERROR(IF($C79="","",IF($D79="","",IFERROR(ROUND($D79*INDEX('🔖 배합비 참조'!$B$2:$CE$83,MATCH("젤라틴",'🔖 배합비 참조'!$A$2:$A$83,0),MATCH($C79,'🔖 배합비 참조'!$B$1:$CE$1,0))/100,0),""))),"")</f>
        <v>0</v>
      </c>
      <c r="BP79" s="39" t="n">
        <f aca="false">IFERROR(IF($C79="","",IF($D79="","",IFERROR(ROUND($D79*INDEX('🔖 배합비 참조'!$B$2:$CE$83,MATCH("조림류(백옥앙금)",'🔖 배합비 참조'!$A$2:$A$83,0),MATCH($C79,'🔖 배합비 참조'!$B$1:$CE$1,0))/100,0),""))),"")</f>
        <v>0</v>
      </c>
      <c r="BQ79" s="39" t="n">
        <f aca="false">IFERROR(IF($C79="","",IF($D79="","",IFERROR(ROUND($D79*INDEX('🔖 배합비 참조'!$B$2:$CE$83,MATCH("조림류(통팥앙금)",'🔖 배합비 참조'!$A$2:$A$83,0),MATCH($C79,'🔖 배합비 참조'!$B$1:$CE$1,0))/100,0),""))),"")</f>
        <v>0</v>
      </c>
      <c r="BR79" s="39" t="n">
        <f aca="false">IFERROR(IF($C79="","",IF($D79="","",IFERROR(ROUND($D79*INDEX('🔖 배합비 참조'!$B$2:$CE$83,MATCH("준초콜릿(외국산)",'🔖 배합비 참조'!$A$2:$A$83,0),MATCH($C79,'🔖 배합비 참조'!$B$1:$CE$1,0))/100,0),""))),"")</f>
        <v>0</v>
      </c>
      <c r="BS79" s="39" t="n">
        <f aca="false">IFERROR(IF($C79="","",IF($D79="","",IFERROR(ROUND($D79*INDEX('🔖 배합비 참조'!$B$2:$CE$83,MATCH("중력분",'🔖 배합비 참조'!$A$2:$A$83,0),MATCH($C79,'🔖 배합비 참조'!$B$1:$CE$1,0))/100,0),""))),"")</f>
        <v>0</v>
      </c>
      <c r="BT79" s="39" t="n">
        <f aca="false">IFERROR(IF($C79="","",IF($D79="","",IFERROR(ROUND($D79*INDEX('🔖 배합비 참조'!$B$2:$CE$83,MATCH("참깨(인도산,나이지리아산,탄자니아산,미얀마산)",'🔖 배합비 참조'!$A$2:$A$83,0),MATCH($C79,'🔖 배합비 참조'!$B$1:$CE$1,0))/100,0),""))),"")</f>
        <v>0</v>
      </c>
      <c r="BU79" s="39" t="n">
        <f aca="false">IFERROR(IF($C79="","",IF($D79="","",IFERROR(ROUND($D79*INDEX('🔖 배합비 참조'!$B$2:$CE$83,MATCH("찹쌀(국내산)",'🔖 배합비 참조'!$A$2:$A$83,0),MATCH($C79,'🔖 배합비 참조'!$B$1:$CE$1,0))/100,0),""))),"")</f>
        <v>0</v>
      </c>
      <c r="BV79" s="39" t="n">
        <f aca="false">IFERROR(IF($C79="","",IF($D79="","",IFERROR(ROUND($D79*INDEX('🔖 배합비 참조'!$B$2:$CE$83,MATCH("천일염",'🔖 배합비 참조'!$A$2:$A$83,0),MATCH($C79,'🔖 배합비 참조'!$B$1:$CE$1,0))/100,0),""))),"")</f>
        <v>1</v>
      </c>
      <c r="BW79" s="39" t="n">
        <f aca="false">IFERROR(IF($C79="","",IF($D79="","",IFERROR(ROUND($D79*INDEX('🔖 배합비 참조'!$B$2:$CE$83,MATCH("치즈 [크림치즈]",'🔖 배합비 참조'!$A$2:$A$83,0),MATCH($C79,'🔖 배합비 참조'!$B$1:$CE$1,0))/100,0),""))),"")</f>
        <v>0</v>
      </c>
      <c r="BX79" s="39" t="n">
        <f aca="false">IFERROR(IF($C79="","",IF($D79="","",IFERROR(ROUND($D79*INDEX('🔖 배합비 참조'!$B$2:$CE$83,MATCH("코코아가공품류(코코아분말)",'🔖 배합비 참조'!$A$2:$A$83,0),MATCH($C79,'🔖 배합비 참조'!$B$1:$CE$1,0))/100,0),""))),"")</f>
        <v>0</v>
      </c>
      <c r="BY79" s="39" t="n">
        <f aca="false">IFERROR(IF($C79="","",IF($D79="","",IFERROR(ROUND($D79*INDEX('🔖 배합비 참조'!$B$2:$CE$83,MATCH("콩기름(대두유)",'🔖 배합비 참조'!$A$2:$A$83,0),MATCH($C79,'🔖 배합비 참조'!$B$1:$CE$1,0))/100,0),""))),"")</f>
        <v>0</v>
      </c>
      <c r="BZ79" s="39" t="n">
        <f aca="false">IFERROR(IF($C79="","",IF($D79="","",IFERROR(ROUND($D79*INDEX('🔖 배합비 참조'!$B$2:$CE$83,MATCH("해바라기씨앗",'🔖 배합비 참조'!$A$2:$A$83,0),MATCH($C79,'🔖 배합비 참조'!$B$1:$CE$1,0))/100,0),""))),"")</f>
        <v>0</v>
      </c>
      <c r="CA79" s="39" t="n">
        <f aca="false">IFERROR(IF($C79="","",IF($D79="","",IFERROR(ROUND($D79*INDEX('🔖 배합비 참조'!$B$2:$CE$83,MATCH("현미(국내산)",'🔖 배합비 참조'!$A$2:$A$83,0),MATCH($C79,'🔖 배합비 참조'!$B$1:$CE$1,0))/100,0),""))),"")</f>
        <v>0</v>
      </c>
      <c r="CB79" s="39" t="n">
        <f aca="false">IFERROR(IF($C79="","",IF($D79="","",IFERROR(ROUND($D79*INDEX('🔖 배합비 참조'!$B$2:$CE$83,MATCH("현미멥쌀(국내산)",'🔖 배합비 참조'!$A$2:$A$83,0),MATCH($C79,'🔖 배합비 참조'!$B$1:$CE$1,0))/100,0),""))),"")</f>
        <v>0</v>
      </c>
      <c r="CC79" s="39" t="n">
        <f aca="false">IFERROR(IF($C79="","",IF($D79="","",IFERROR(ROUND($D79*INDEX('🔖 배합비 참조'!$B$2:$CE$83,MATCH("호두분태(미국산)",'🔖 배합비 참조'!$A$2:$A$83,0),MATCH($C79,'🔖 배합비 참조'!$B$1:$CE$1,0))/100,0),""))),"")</f>
        <v>0</v>
      </c>
      <c r="CD79" s="39" t="n">
        <f aca="false">IFERROR(IF($C79="","",IF($D79="","",IFERROR(ROUND($D79*INDEX('🔖 배합비 참조'!$B$2:$CE$83,MATCH("호박씨앗(외국산)",'🔖 배합비 참조'!$A$2:$A$83,0),MATCH($C79,'🔖 배합비 참조'!$B$1:$CE$1,0))/100,0),""))),"")</f>
        <v>0</v>
      </c>
      <c r="CE79" s="39" t="n">
        <f aca="false">IFERROR(IF($C79="","",IF($D79="","",IFERROR(ROUND($D79*INDEX('🔖 배합비 참조'!$B$2:$CE$83,MATCH("혼합제제(떡용에스텔)",'🔖 배합비 참조'!$A$2:$A$83,0),MATCH($C79,'🔖 배합비 참조'!$B$1:$CE$1,0))/100,0),""))),"")</f>
        <v>0</v>
      </c>
      <c r="CF79" s="39" t="n">
        <f aca="false">IFERROR(IF($C79="","",IF($D79="","",IFERROR(ROUND($D79*INDEX('🔖 배합비 참조'!$B$2:$CE$83,MATCH("혼합제제(스테비아)",'🔖 배합비 참조'!$A$2:$A$83,0),MATCH($C79,'🔖 배합비 참조'!$B$1:$CE$1,0))/100,0),""))),"")</f>
        <v>0</v>
      </c>
      <c r="CG79" s="39" t="n">
        <f aca="false">IFERROR(IF($C79="","",IF($D79="","",IFERROR(ROUND($D79*INDEX('🔖 배합비 참조'!$B$2:$CE$83,MATCH("화이트초콜릿",'🔖 배합비 참조'!$A$2:$A$83,0),MATCH($C79,'🔖 배합비 참조'!$B$1:$CE$1,0))/100,0),""))),"")</f>
        <v>0</v>
      </c>
      <c r="CH79" s="39" t="n">
        <f aca="false">IFERROR(IF($C79="","",IF($D79="","",IFERROR(ROUND($D79*INDEX('🔖 배합비 참조'!$B$2:$CE$83,MATCH("흑미찹쌀(국내산)",'🔖 배합비 참조'!$A$2:$A$83,0),MATCH($C79,'🔖 배합비 참조'!$B$1:$CE$1,0))/100,0),""))),"")</f>
        <v>0</v>
      </c>
      <c r="CI79" s="39" t="n">
        <f aca="false">IFERROR(IF($C79="","",IF($D79="","",IFERROR(ROUND($D79*INDEX('🔖 배합비 참조'!$B$2:$CE$83,MATCH("찰옥수수전분(미국산)",'🔖 배합비 참조'!$A$2:$A$83,0),MATCH($C79,'🔖 배합비 참조'!$B$1:$CE$1,0))/100,0),""))),"")</f>
        <v>0</v>
      </c>
      <c r="CJ79" s="40"/>
      <c r="CL79" s="1" t="s">
        <v>238</v>
      </c>
    </row>
    <row r="80" customFormat="false" ht="18" hidden="false" customHeight="true" outlineLevel="0" collapsed="false">
      <c r="A80" s="41" t="n">
        <v>76</v>
      </c>
      <c r="B80" s="36" t="n">
        <v>45979</v>
      </c>
      <c r="C80" s="37" t="s">
        <v>204</v>
      </c>
      <c r="D80" s="38" t="n">
        <v>70</v>
      </c>
      <c r="E80" s="17"/>
      <c r="F80" s="17"/>
      <c r="G80" s="42" t="n">
        <f aca="false">IFERROR(IF($C80="","",IF($D80="","",IFERROR(ROUND($D80*INDEX('🔖 배합비 참조'!$B$2:$CE$83,MATCH("간장",'🔖 배합비 참조'!$A$2:$A$83,0),MATCH($C80,'🔖 배합비 참조'!$B$1:$CE$1,0))/100,0),""))),"")</f>
        <v>0</v>
      </c>
      <c r="H80" s="42" t="n">
        <f aca="false">IFERROR(IF($C80="","",IF($D80="","",IFERROR(ROUND($D80*INDEX('🔖 배합비 참조'!$B$2:$CE$83,MATCH("강낭콩((울타리콩))",'🔖 배합비 참조'!$A$2:$A$83,0),MATCH($C80,'🔖 배합비 참조'!$B$1:$CE$1,0))/100,0),""))),"")</f>
        <v>0</v>
      </c>
      <c r="I80" s="42" t="n">
        <f aca="false">IFERROR(IF($C80="","",IF($D80="","",IFERROR(ROUND($D80*INDEX('🔖 배합비 참조'!$B$2:$CE$83,MATCH("건조딸기다이스(외국산)",'🔖 배합비 참조'!$A$2:$A$83,0),MATCH($C80,'🔖 배합비 참조'!$B$1:$CE$1,0))/100,0),""))),"")</f>
        <v>0</v>
      </c>
      <c r="J80" s="42" t="n">
        <f aca="false">IFERROR(IF($C80="","",IF($D80="","",IFERROR(ROUND($D80*INDEX('🔖 배합비 참조'!$B$2:$CE$83,MATCH("건포도",'🔖 배합비 참조'!$A$2:$A$83,0),MATCH($C80,'🔖 배합비 참조'!$B$1:$CE$1,0))/100,0),""))),"")</f>
        <v>0</v>
      </c>
      <c r="K80" s="42" t="n">
        <f aca="false">IFERROR(IF($C80="","",IF($D80="","",IFERROR(ROUND($D80*INDEX('🔖 배합비 참조'!$B$2:$CE$83,MATCH("건호박채(중국산)",'🔖 배합비 참조'!$A$2:$A$83,0),MATCH($C80,'🔖 배합비 참조'!$B$1:$CE$1,0))/100,0),""))),"")</f>
        <v>0</v>
      </c>
      <c r="L80" s="42" t="n">
        <f aca="false">IFERROR(IF($C80="","",IF($D80="","",IFERROR(ROUND($D80*INDEX('🔖 배합비 참조'!$B$2:$CE$83,MATCH("검정깨(흑임자)",'🔖 배합비 참조'!$A$2:$A$83,0),MATCH($C80,'🔖 배합비 참조'!$B$1:$CE$1,0))/100,0),""))),"")</f>
        <v>0</v>
      </c>
      <c r="M80" s="42" t="n">
        <f aca="false">IFERROR(IF($C80="","",IF($D80="","",IFERROR(ROUND($D80*INDEX('🔖 배합비 참조'!$B$2:$CE$83,MATCH("검정콩",'🔖 배합비 참조'!$A$2:$A$83,0),MATCH($C80,'🔖 배합비 참조'!$B$1:$CE$1,0))/100,0),""))),"")</f>
        <v>0</v>
      </c>
      <c r="N80" s="42" t="n">
        <f aca="false">IFERROR(IF($C80="","",IF($D80="","",IFERROR(ROUND($D80*INDEX('🔖 배합비 참조'!$B$2:$CE$83,MATCH("계피가루",'🔖 배합비 참조'!$A$2:$A$83,0),MATCH($C80,'🔖 배합비 참조'!$B$1:$CE$1,0))/100,0),""))),"")</f>
        <v>0</v>
      </c>
      <c r="O80" s="42" t="n">
        <f aca="false">IFERROR(IF($C80="","",IF($D80="","",IFERROR(ROUND($D80*INDEX('🔖 배합비 참조'!$B$2:$CE$83,MATCH("고구마가루",'🔖 배합비 참조'!$A$2:$A$83,0),MATCH($C80,'🔖 배합비 참조'!$B$1:$CE$1,0))/100,0),""))),"")</f>
        <v>0</v>
      </c>
      <c r="P80" s="42" t="n">
        <f aca="false">IFERROR(IF($C80="","",IF($D80="","",IFERROR(ROUND($D80*INDEX('🔖 배합비 참조'!$B$2:$CE$83,MATCH("고구마무스",'🔖 배합비 참조'!$A$2:$A$83,0),MATCH($C80,'🔖 배합비 참조'!$B$1:$CE$1,0))/100,0),""))),"")</f>
        <v>0</v>
      </c>
      <c r="Q80" s="42" t="n">
        <f aca="false">IFERROR(IF($C80="","",IF($D80="","",IFERROR(ROUND($D80*INDEX('🔖 배합비 참조'!$B$2:$CE$83,MATCH("고려엉겅퀴((곤드레)국내산)",'🔖 배합비 참조'!$A$2:$A$83,0),MATCH($C80,'🔖 배합비 참조'!$B$1:$CE$1,0))/100,0),""))),"")</f>
        <v>0</v>
      </c>
      <c r="R80" s="42" t="n">
        <f aca="false">IFERROR(IF($C80="","",IF($D80="","",IFERROR(ROUND($D80*INDEX('🔖 배합비 참조'!$B$2:$CE$83,MATCH("기타가공품(복분자가루)",'🔖 배합비 참조'!$A$2:$A$83,0),MATCH($C80,'🔖 배합비 참조'!$B$1:$CE$1,0))/100,0),""))),"")</f>
        <v>0</v>
      </c>
      <c r="S80" s="42" t="n">
        <f aca="false">IFERROR(IF($C80="","",IF($D80="","",IFERROR(ROUND($D80*INDEX('🔖 배합비 참조'!$B$2:$CE$83,MATCH("기타가공품(슈퍼소프트엠)",'🔖 배합비 참조'!$A$2:$A$83,0),MATCH($C80,'🔖 배합비 참조'!$B$1:$CE$1,0))/100,0),""))),"")</f>
        <v>0</v>
      </c>
      <c r="T80" s="42" t="n">
        <f aca="false">IFERROR(IF($C80="","",IF($D80="","",IFERROR(ROUND($D80*INDEX('🔖 배합비 참조'!$B$2:$CE$83,MATCH("기타가공품(파인소프트 E-티)",'🔖 배합비 참조'!$A$2:$A$83,0),MATCH($C80,'🔖 배합비 참조'!$B$1:$CE$1,0))/100,0),""))),"")</f>
        <v>0</v>
      </c>
      <c r="U80" s="42" t="n">
        <f aca="false">IFERROR(IF($C80="","",IF($D80="","",IFERROR(ROUND($D80*INDEX('🔖 배합비 참조'!$B$2:$CE$83,MATCH("기타가공품(프리미엄카스테라가루)",'🔖 배합비 참조'!$A$2:$A$83,0),MATCH($C80,'🔖 배합비 참조'!$B$1:$CE$1,0))/100,0),""))),"")</f>
        <v>0</v>
      </c>
      <c r="V80" s="42" t="n">
        <f aca="false">IFERROR(IF($C80="","",IF($D80="","",IFERROR(ROUND($D80*INDEX('🔖 배합비 참조'!$B$2:$CE$83,MATCH("기타가공품(흑임자가루)",'🔖 배합비 참조'!$A$2:$A$83,0),MATCH($C80,'🔖 배합비 참조'!$B$1:$CE$1,0))/100,0),""))),"")</f>
        <v>0</v>
      </c>
      <c r="W80" s="42" t="n">
        <f aca="false">IFERROR(IF($C80="","",IF($D80="","",IFERROR(ROUND($D80*INDEX('🔖 배합비 참조'!$B$2:$CE$83,MATCH("기타설탕(흑설탕)",'🔖 배합비 참조'!$A$2:$A$83,0),MATCH($C80,'🔖 배합비 참조'!$B$1:$CE$1,0))/100,0),""))),"")</f>
        <v>0</v>
      </c>
      <c r="X80" s="42" t="n">
        <f aca="false">IFERROR(IF($C80="","",IF($D80="","",IFERROR(ROUND($D80*INDEX('🔖 배합비 참조'!$B$2:$CE$83,MATCH("냉동쑥(국내산)",'🔖 배합비 참조'!$A$2:$A$83,0),MATCH($C80,'🔖 배합비 참조'!$B$1:$CE$1,0))/100,0),""))),"")</f>
        <v>2</v>
      </c>
      <c r="Y80" s="42" t="n">
        <f aca="false">IFERROR(IF($C80="","",IF($D80="","",IFERROR(ROUND($D80*INDEX('🔖 배합비 참조'!$B$2:$CE$83,MATCH("냉동증숙고구마(중국산)",'🔖 배합비 참조'!$A$2:$A$83,0),MATCH($C80,'🔖 배합비 참조'!$B$1:$CE$1,0))/100,0),""))),"")</f>
        <v>0</v>
      </c>
      <c r="Z80" s="42" t="n">
        <f aca="false">IFERROR(IF($C80="","",IF($D80="","",IFERROR(ROUND($D80*INDEX('🔖 배합비 참조'!$B$2:$CE$83,MATCH("녹차가루",'🔖 배합비 참조'!$A$2:$A$83,0),MATCH($C80,'🔖 배합비 참조'!$B$1:$CE$1,0))/100,0),""))),"")</f>
        <v>0</v>
      </c>
      <c r="AA80" s="42" t="n">
        <f aca="false">IFERROR(IF($C80="","",IF($D80="","",IFERROR(ROUND($D80*INDEX('🔖 배합비 참조'!$B$2:$CE$83,MATCH("다크초콜릿 컴파운드칩",'🔖 배합비 참조'!$A$2:$A$83,0),MATCH($C80,'🔖 배합비 참조'!$B$1:$CE$1,0))/100,0),""))),"")</f>
        <v>0</v>
      </c>
      <c r="AB80" s="42" t="n">
        <f aca="false">IFERROR(IF($C80="","",IF($D80="","",IFERROR(ROUND($D80*INDEX('🔖 배합비 참조'!$B$2:$CE$83,MATCH("단호박분말(중국산)",'🔖 배합비 참조'!$A$2:$A$83,0),MATCH($C80,'🔖 배합비 참조'!$B$1:$CE$1,0))/100,0),""))),"")</f>
        <v>0</v>
      </c>
      <c r="AC80" s="42" t="n">
        <f aca="false">IFERROR(IF($C80="","",IF($D80="","",IFERROR(ROUND($D80*INDEX('🔖 배합비 참조'!$B$2:$CE$83,MATCH("당류가공품(단호박농축액)",'🔖 배합비 참조'!$A$2:$A$83,0),MATCH($C80,'🔖 배합비 참조'!$B$1:$CE$1,0))/100,0),""))),"")</f>
        <v>0</v>
      </c>
      <c r="AD80" s="42" t="n">
        <f aca="false">IFERROR(IF($C80="","",IF($D80="","",IFERROR(ROUND($D80*INDEX('🔖 배합비 참조'!$B$2:$CE$83,MATCH("당류가공품(알룰로스,에리스리톨,스테비올배당체혼합)",'🔖 배합비 참조'!$A$2:$A$83,0),MATCH($C80,'🔖 배합비 참조'!$B$1:$CE$1,0))/100,0),""))),"")</f>
        <v>0</v>
      </c>
      <c r="AE80" s="42" t="n">
        <f aca="false">IFERROR(IF($C80="","",IF($D80="","",IFERROR(ROUND($D80*INDEX('🔖 배합비 참조'!$B$2:$CE$83,MATCH("당류가공품(알룰로스제로파우더)",'🔖 배합비 참조'!$A$2:$A$83,0),MATCH($C80,'🔖 배합비 참조'!$B$1:$CE$1,0))/100,0),""))),"")</f>
        <v>0</v>
      </c>
      <c r="AF80" s="42" t="n">
        <f aca="false">IFERROR(IF($C80="","",IF($D80="","",IFERROR(ROUND($D80*INDEX('🔖 배합비 참조'!$B$2:$CE$83,MATCH("당절임(완두배기)",'🔖 배합비 참조'!$A$2:$A$83,0),MATCH($C80,'🔖 배합비 참조'!$B$1:$CE$1,0))/100,0),""))),"")</f>
        <v>0</v>
      </c>
      <c r="AG80" s="42" t="n">
        <f aca="false">IFERROR(IF($C80="","",IF($D80="","",IFERROR(ROUND($D80*INDEX('🔖 배합비 참조'!$B$2:$CE$83,MATCH("대추농축액",'🔖 배합비 참조'!$A$2:$A$83,0),MATCH($C80,'🔖 배합비 참조'!$B$1:$CE$1,0))/100,0),""))),"")</f>
        <v>0</v>
      </c>
      <c r="AH80" s="42" t="n">
        <f aca="false">IFERROR(IF($C80="","",IF($D80="","",IFERROR(ROUND($D80*INDEX('🔖 배합비 참조'!$B$2:$CE$83,MATCH("대추채(국내산)",'🔖 배합비 참조'!$A$2:$A$83,0),MATCH($C80,'🔖 배합비 참조'!$B$1:$CE$1,0))/100,0),""))),"")</f>
        <v>0</v>
      </c>
      <c r="AI80" s="42" t="n">
        <f aca="false">IFERROR(IF($C80="","",IF($D80="","",IFERROR(ROUND($D80*INDEX('🔖 배합비 참조'!$B$2:$CE$83,MATCH("동부(미얀마산)",'🔖 배합비 참조'!$A$2:$A$83,0),MATCH($C80,'🔖 배합비 참조'!$B$1:$CE$1,0))/100,0),""))),"")</f>
        <v>0</v>
      </c>
      <c r="AJ80" s="42" t="n">
        <f aca="false">IFERROR(IF($C80="","",IF($D80="","",IFERROR(ROUND($D80*INDEX('🔖 배합비 참조'!$B$2:$CE$83,MATCH("두류가공품(백옥앙금)",'🔖 배합비 참조'!$A$2:$A$83,0),MATCH($C80,'🔖 배합비 참조'!$B$1:$CE$1,0))/100,0),""))),"")</f>
        <v>0</v>
      </c>
      <c r="AK80" s="42" t="n">
        <f aca="false">IFERROR(IF($C80="","",IF($D80="","",IFERROR(ROUND($D80*INDEX('🔖 배합비 참조'!$B$2:$CE$83,MATCH("두류가공품(콩고물)",'🔖 배합비 참조'!$A$2:$A$83,0),MATCH($C80,'🔖 배합비 참조'!$B$1:$CE$1,0))/100,0),""))),"")</f>
        <v>2</v>
      </c>
      <c r="AL80" s="42" t="n">
        <f aca="false">IFERROR(IF($C80="","",IF($D80="","",IFERROR(ROUND($D80*INDEX('🔖 배합비 참조'!$B$2:$CE$83,MATCH("두류가공품(통팥고물)",'🔖 배합비 참조'!$A$2:$A$83,0),MATCH($C80,'🔖 배합비 참조'!$B$1:$CE$1,0))/100,0),""))),"")</f>
        <v>0</v>
      </c>
      <c r="AM80" s="42" t="n">
        <f aca="false">IFERROR(IF($C80="","",IF($D80="","",IFERROR(ROUND($D80*INDEX('🔖 배합비 참조'!$B$2:$CE$83,MATCH("딸기레진",'🔖 배합비 참조'!$A$2:$A$83,0),MATCH($C80,'🔖 배합비 참조'!$B$1:$CE$1,0))/100,0),""))),"")</f>
        <v>0</v>
      </c>
      <c r="AN80" s="42" t="n">
        <f aca="false">IFERROR(IF($C80="","",IF($D80="","",IFERROR(ROUND($D80*INDEX('🔖 배합비 참조'!$B$2:$CE$83,MATCH("딸기분말(스트로우베리에이드(분말))",'🔖 배합비 참조'!$A$2:$A$83,0),MATCH($C80,'🔖 배합비 참조'!$B$1:$CE$1,0))/100,0),""))),"")</f>
        <v>0</v>
      </c>
      <c r="AO80" s="42" t="n">
        <f aca="false">IFERROR(IF($C80="","",IF($D80="","",IFERROR(ROUND($D80*INDEX('🔖 배합비 참조'!$B$2:$CE$83,MATCH("마스카포네치즈",'🔖 배합비 참조'!$A$2:$A$83,0),MATCH($C80,'🔖 배합비 참조'!$B$1:$CE$1,0))/100,0),""))),"")</f>
        <v>0</v>
      </c>
      <c r="AP80" s="42" t="n">
        <f aca="false">IFERROR(IF($C80="","",IF($D80="","",IFERROR(ROUND($D80*INDEX('🔖 배합비 참조'!$B$2:$CE$83,MATCH("마카다미아분태(호주산)",'🔖 배합비 참조'!$A$2:$A$83,0),MATCH($C80,'🔖 배합비 참조'!$B$1:$CE$1,0))/100,0),""))),"")</f>
        <v>0</v>
      </c>
      <c r="AQ80" s="42" t="n">
        <f aca="false">IFERROR(IF($C80="","",IF($D80="","",IFERROR(ROUND($D80*INDEX('🔖 배합비 참조'!$B$2:$CE$83,MATCH("멥쌀(국내산)",'🔖 배합비 참조'!$A$2:$A$83,0),MATCH($C80,'🔖 배합비 참조'!$B$1:$CE$1,0))/100,0),""))),"")</f>
        <v>0</v>
      </c>
      <c r="AR80" s="42" t="n">
        <f aca="false">IFERROR(IF($C80="","",IF($D80="","",IFERROR(ROUND($D80*INDEX('🔖 배합비 참조'!$B$2:$CE$83,MATCH("모시잎(국내산)",'🔖 배합비 참조'!$A$2:$A$83,0),MATCH($C80,'🔖 배합비 참조'!$B$1:$CE$1,0))/100,0),""))),"")</f>
        <v>0</v>
      </c>
      <c r="AS80" s="42" t="n">
        <f aca="false">IFERROR(IF($C80="","",IF($D80="","",IFERROR(ROUND($D80*INDEX('🔖 배합비 참조'!$B$2:$CE$83,MATCH("물엿(저당물엿)",'🔖 배합비 참조'!$A$2:$A$83,0),MATCH($C80,'🔖 배합비 참조'!$B$1:$CE$1,0))/100,0),""))),"")</f>
        <v>2</v>
      </c>
      <c r="AT80" s="42" t="n">
        <f aca="false">IFERROR(IF($C80="","",IF($D80="","",IFERROR(ROUND($D80*INDEX('🔖 배합비 참조'!$B$2:$CE$83,MATCH("밤다이스",'🔖 배합비 참조'!$A$2:$A$83,0),MATCH($C80,'🔖 배합비 참조'!$B$1:$CE$1,0))/100,0),""))),"")</f>
        <v>0</v>
      </c>
      <c r="AU80" s="42" t="n">
        <f aca="false">IFERROR(IF($C80="","",IF($D80="","",IFERROR(ROUND($D80*INDEX('🔖 배합비 참조'!$B$2:$CE$83,MATCH("변성전분(타피오카전분)",'🔖 배합비 참조'!$A$2:$A$83,0),MATCH($C80,'🔖 배합비 참조'!$B$1:$CE$1,0))/100,0),""))),"")</f>
        <v>0</v>
      </c>
      <c r="AV80" s="42" t="n">
        <f aca="false">IFERROR(IF($C80="","",IF($D80="","",IFERROR(ROUND($D80*INDEX('🔖 배합비 참조'!$B$2:$CE$83,MATCH("복음땅콩분태",'🔖 배합비 참조'!$A$2:$A$83,0),MATCH($C80,'🔖 배합비 참조'!$B$1:$CE$1,0))/100,0),""))),"")</f>
        <v>0</v>
      </c>
      <c r="AW80" s="42" t="n">
        <f aca="false">IFERROR(IF($C80="","",IF($D80="","",IFERROR(ROUND($D80*INDEX('🔖 배합비 참조'!$B$2:$CE$83,MATCH("사양벌꿀(국내산)",'🔖 배합비 참조'!$A$2:$A$83,0),MATCH($C80,'🔖 배합비 참조'!$B$1:$CE$1,0))/100,0),""))),"")</f>
        <v>0</v>
      </c>
      <c r="AX80" s="42" t="n">
        <f aca="false">IFERROR(IF($C80="","",IF($D80="","",IFERROR(ROUND($D80*INDEX('🔖 배합비 참조'!$B$2:$CE$83,MATCH("생크림",'🔖 배합비 참조'!$A$2:$A$83,0),MATCH($C80,'🔖 배합비 참조'!$B$1:$CE$1,0))/100,0),""))),"")</f>
        <v>0</v>
      </c>
      <c r="AY80" s="42" t="n">
        <f aca="false">IFERROR(IF($C80="","",IF($D80="","",IFERROR(ROUND($D80*INDEX('🔖 배합비 참조'!$B$2:$CE$83,MATCH("서양호박(국내산,뉴질랜드산)",'🔖 배합비 참조'!$A$2:$A$83,0),MATCH($C80,'🔖 배합비 참조'!$B$1:$CE$1,0))/100,0),""))),"")</f>
        <v>0</v>
      </c>
      <c r="AZ80" s="42" t="n">
        <f aca="false">IFERROR(IF($C80="","",IF($D80="","",IFERROR(ROUND($D80*INDEX('🔖 배합비 참조'!$B$2:$CE$83,MATCH("설탕",'🔖 배합비 참조'!$A$2:$A$83,0),MATCH($C80,'🔖 배합비 참조'!$B$1:$CE$1,0))/100,0),""))),"")</f>
        <v>2</v>
      </c>
      <c r="BA80" s="42" t="n">
        <f aca="false">IFERROR(IF($C80="","",IF($D80="","",IFERROR(ROUND($D80*INDEX('🔖 배합비 참조'!$B$2:$CE$83,MATCH("스트로우베리 에이드 후레쉬",'🔖 배합비 참조'!$A$2:$A$83,0),MATCH($C80,'🔖 배합비 참조'!$B$1:$CE$1,0))/100,0),""))),"")</f>
        <v>0</v>
      </c>
      <c r="BB80" s="42" t="n">
        <f aca="false">IFERROR(IF($C80="","",IF($D80="","",IFERROR(ROUND($D80*INDEX('🔖 배합비 참조'!$B$2:$CE$83,MATCH("식물성기름혼합제제(분홍)",'🔖 배합비 참조'!$A$2:$A$83,0),MATCH($C80,'🔖 배합비 참조'!$B$1:$CE$1,0))/100,0),""))),"")</f>
        <v>0</v>
      </c>
      <c r="BC80" s="42" t="n">
        <f aca="false">IFERROR(IF($C80="","",IF($D80="","",IFERROR(ROUND($D80*INDEX('🔖 배합비 참조'!$B$2:$CE$83,MATCH("식물성기름혼합제제(초록)",'🔖 배합비 참조'!$A$2:$A$83,0),MATCH($C80,'🔖 배합비 참조'!$B$1:$CE$1,0))/100,0),""))),"")</f>
        <v>0</v>
      </c>
      <c r="BD80" s="42" t="n">
        <f aca="false">IFERROR(IF($C80="","",IF($D80="","",IFERROR(ROUND($D80*INDEX('🔖 배합비 참조'!$B$2:$CE$83,MATCH("식물성기름혼합제제(황색)",'🔖 배합비 참조'!$A$2:$A$83,0),MATCH($C80,'🔖 배합비 참조'!$B$1:$CE$1,0))/100,0),""))),"")</f>
        <v>0</v>
      </c>
      <c r="BE80" s="42" t="n">
        <f aca="false">IFERROR(IF($C80="","",IF($D80="","",IFERROR(ROUND($D80*INDEX('🔖 배합비 참조'!$B$2:$CE$83,MATCH("쑥가루(국내산)",'🔖 배합비 참조'!$A$2:$A$83,0),MATCH($C80,'🔖 배합비 참조'!$B$1:$CE$1,0))/100,0),""))),"")</f>
        <v>1</v>
      </c>
      <c r="BF80" s="42" t="n">
        <f aca="false">IFERROR(IF($C80="","",IF($D80="","",IFERROR(ROUND($D80*INDEX('🔖 배합비 참조'!$B$2:$CE$83,MATCH("아몬드슬라이스",'🔖 배합비 참조'!$A$2:$A$83,0),MATCH($C80,'🔖 배합비 참조'!$B$1:$CE$1,0))/100,0),""))),"")</f>
        <v>0</v>
      </c>
      <c r="BG80" s="42" t="n">
        <f aca="false">IFERROR(IF($C80="","",IF($D80="","",IFERROR(ROUND($D80*INDEX('🔖 배합비 참조'!$B$2:$CE$83,MATCH("알룰로오스(국내산)",'🔖 배합비 참조'!$A$2:$A$83,0),MATCH($C80,'🔖 배합비 참조'!$B$1:$CE$1,0))/100,0),""))),"")</f>
        <v>0</v>
      </c>
      <c r="BH80" s="42" t="n">
        <f aca="false">IFERROR(IF($C80="","",IF($D80="","",IFERROR(ROUND($D80*INDEX('🔖 배합비 참조'!$B$2:$CE$83,MATCH("연유",'🔖 배합비 참조'!$A$2:$A$83,0),MATCH($C80,'🔖 배합비 참조'!$B$1:$CE$1,0))/100,0),""))),"")</f>
        <v>0</v>
      </c>
      <c r="BI80" s="42" t="n">
        <f aca="false">IFERROR(IF($C80="","",IF($D80="","",IFERROR(ROUND($D80*INDEX('🔖 배합비 참조'!$B$2:$CE$83,MATCH("옥수수전분",'🔖 배합비 참조'!$A$2:$A$83,0),MATCH($C80,'🔖 배합비 참조'!$B$1:$CE$1,0))/100,0),""))),"")</f>
        <v>0</v>
      </c>
      <c r="BJ80" s="42" t="n">
        <f aca="false">IFERROR(IF($C80="","",IF($D80="","",IFERROR(ROUND($D80*INDEX('🔖 배합비 참조'!$B$2:$CE$83,MATCH("완두배기",'🔖 배합비 참조'!$A$2:$A$83,0),MATCH($C80,'🔖 배합비 참조'!$B$1:$CE$1,0))/100,0),""))),"")</f>
        <v>0</v>
      </c>
      <c r="BK80" s="42" t="n">
        <f aca="false">IFERROR(IF($C80="","",IF($D80="","",IFERROR(ROUND($D80*INDEX('🔖 배합비 참조'!$B$2:$CE$83,MATCH("우유(국내산)",'🔖 배합비 참조'!$A$2:$A$83,0),MATCH($C80,'🔖 배합비 참조'!$B$1:$CE$1,0))/100,0),""))),"")</f>
        <v>0</v>
      </c>
      <c r="BL80" s="42" t="n">
        <f aca="false">IFERROR(IF($C80="","",IF($D80="","",IFERROR(ROUND($D80*INDEX('🔖 배합비 참조'!$B$2:$CE$83,MATCH("자색고구마가루(중국산)",'🔖 배합비 참조'!$A$2:$A$83,0),MATCH($C80,'🔖 배합비 참조'!$B$1:$CE$1,0))/100,0),""))),"")</f>
        <v>0</v>
      </c>
      <c r="BM80" s="42" t="n">
        <f aca="false">IFERROR(IF($C80="","",IF($D80="","",IFERROR(ROUND($D80*INDEX('🔖 배합비 참조'!$B$2:$CE$83,MATCH("자연치즈(체다치즈)",'🔖 배합비 참조'!$A$2:$A$83,0),MATCH($C80,'🔖 배합비 참조'!$B$1:$CE$1,0))/100,0),""))),"")</f>
        <v>0</v>
      </c>
      <c r="BN80" s="42" t="n">
        <f aca="false">IFERROR(IF($C80="","",IF($D80="","",IFERROR(ROUND($D80*INDEX('🔖 배합비 참조'!$B$2:$CE$83,MATCH("정제수",'🔖 배합비 참조'!$A$2:$A$83,0),MATCH($C80,'🔖 배합비 참조'!$B$1:$CE$1,0))/100,0),""))),"")</f>
        <v>0</v>
      </c>
      <c r="BO80" s="42" t="n">
        <f aca="false">IFERROR(IF($C80="","",IF($D80="","",IFERROR(ROUND($D80*INDEX('🔖 배합비 참조'!$B$2:$CE$83,MATCH("젤라틴",'🔖 배합비 참조'!$A$2:$A$83,0),MATCH($C80,'🔖 배합비 참조'!$B$1:$CE$1,0))/100,0),""))),"")</f>
        <v>0</v>
      </c>
      <c r="BP80" s="42" t="n">
        <f aca="false">IFERROR(IF($C80="","",IF($D80="","",IFERROR(ROUND($D80*INDEX('🔖 배합비 참조'!$B$2:$CE$83,MATCH("조림류(백옥앙금)",'🔖 배합비 참조'!$A$2:$A$83,0),MATCH($C80,'🔖 배합비 참조'!$B$1:$CE$1,0))/100,0),""))),"")</f>
        <v>0</v>
      </c>
      <c r="BQ80" s="42" t="n">
        <f aca="false">IFERROR(IF($C80="","",IF($D80="","",IFERROR(ROUND($D80*INDEX('🔖 배합비 참조'!$B$2:$CE$83,MATCH("조림류(통팥앙금)",'🔖 배합비 참조'!$A$2:$A$83,0),MATCH($C80,'🔖 배합비 참조'!$B$1:$CE$1,0))/100,0),""))),"")</f>
        <v>29</v>
      </c>
      <c r="BR80" s="42" t="n">
        <f aca="false">IFERROR(IF($C80="","",IF($D80="","",IFERROR(ROUND($D80*INDEX('🔖 배합비 참조'!$B$2:$CE$83,MATCH("준초콜릿(외국산)",'🔖 배합비 참조'!$A$2:$A$83,0),MATCH($C80,'🔖 배합비 참조'!$B$1:$CE$1,0))/100,0),""))),"")</f>
        <v>0</v>
      </c>
      <c r="BS80" s="42" t="n">
        <f aca="false">IFERROR(IF($C80="","",IF($D80="","",IFERROR(ROUND($D80*INDEX('🔖 배합비 참조'!$B$2:$CE$83,MATCH("중력분",'🔖 배합비 참조'!$A$2:$A$83,0),MATCH($C80,'🔖 배합비 참조'!$B$1:$CE$1,0))/100,0),""))),"")</f>
        <v>1</v>
      </c>
      <c r="BT80" s="42" t="n">
        <f aca="false">IFERROR(IF($C80="","",IF($D80="","",IFERROR(ROUND($D80*INDEX('🔖 배합비 참조'!$B$2:$CE$83,MATCH("참깨(인도산,나이지리아산,탄자니아산,미얀마산)",'🔖 배합비 참조'!$A$2:$A$83,0),MATCH($C80,'🔖 배합비 참조'!$B$1:$CE$1,0))/100,0),""))),"")</f>
        <v>0</v>
      </c>
      <c r="BU80" s="42" t="n">
        <f aca="false">IFERROR(IF($C80="","",IF($D80="","",IFERROR(ROUND($D80*INDEX('🔖 배합비 참조'!$B$2:$CE$83,MATCH("찹쌀(국내산)",'🔖 배합비 참조'!$A$2:$A$83,0),MATCH($C80,'🔖 배합비 참조'!$B$1:$CE$1,0))/100,0),""))),"")</f>
        <v>31</v>
      </c>
      <c r="BV80" s="42" t="n">
        <f aca="false">IFERROR(IF($C80="","",IF($D80="","",IFERROR(ROUND($D80*INDEX('🔖 배합비 참조'!$B$2:$CE$83,MATCH("천일염",'🔖 배합비 참조'!$A$2:$A$83,0),MATCH($C80,'🔖 배합비 참조'!$B$1:$CE$1,0))/100,0),""))),"")</f>
        <v>1</v>
      </c>
      <c r="BW80" s="42" t="n">
        <f aca="false">IFERROR(IF($C80="","",IF($D80="","",IFERROR(ROUND($D80*INDEX('🔖 배합비 참조'!$B$2:$CE$83,MATCH("치즈 [크림치즈]",'🔖 배합비 참조'!$A$2:$A$83,0),MATCH($C80,'🔖 배합비 참조'!$B$1:$CE$1,0))/100,0),""))),"")</f>
        <v>0</v>
      </c>
      <c r="BX80" s="42" t="n">
        <f aca="false">IFERROR(IF($C80="","",IF($D80="","",IFERROR(ROUND($D80*INDEX('🔖 배합비 참조'!$B$2:$CE$83,MATCH("코코아가공품류(코코아분말)",'🔖 배합비 참조'!$A$2:$A$83,0),MATCH($C80,'🔖 배합비 참조'!$B$1:$CE$1,0))/100,0),""))),"")</f>
        <v>0</v>
      </c>
      <c r="BY80" s="42" t="n">
        <f aca="false">IFERROR(IF($C80="","",IF($D80="","",IFERROR(ROUND($D80*INDEX('🔖 배합비 참조'!$B$2:$CE$83,MATCH("콩기름(대두유)",'🔖 배합비 참조'!$A$2:$A$83,0),MATCH($C80,'🔖 배합비 참조'!$B$1:$CE$1,0))/100,0),""))),"")</f>
        <v>0</v>
      </c>
      <c r="BZ80" s="42" t="n">
        <f aca="false">IFERROR(IF($C80="","",IF($D80="","",IFERROR(ROUND($D80*INDEX('🔖 배합비 참조'!$B$2:$CE$83,MATCH("해바라기씨앗",'🔖 배합비 참조'!$A$2:$A$83,0),MATCH($C80,'🔖 배합비 참조'!$B$1:$CE$1,0))/100,0),""))),"")</f>
        <v>0</v>
      </c>
      <c r="CA80" s="42" t="n">
        <f aca="false">IFERROR(IF($C80="","",IF($D80="","",IFERROR(ROUND($D80*INDEX('🔖 배합비 참조'!$B$2:$CE$83,MATCH("현미(국내산)",'🔖 배합비 참조'!$A$2:$A$83,0),MATCH($C80,'🔖 배합비 참조'!$B$1:$CE$1,0))/100,0),""))),"")</f>
        <v>0</v>
      </c>
      <c r="CB80" s="42" t="n">
        <f aca="false">IFERROR(IF($C80="","",IF($D80="","",IFERROR(ROUND($D80*INDEX('🔖 배합비 참조'!$B$2:$CE$83,MATCH("현미멥쌀(국내산)",'🔖 배합비 참조'!$A$2:$A$83,0),MATCH($C80,'🔖 배합비 참조'!$B$1:$CE$1,0))/100,0),""))),"")</f>
        <v>0</v>
      </c>
      <c r="CC80" s="42" t="n">
        <f aca="false">IFERROR(IF($C80="","",IF($D80="","",IFERROR(ROUND($D80*INDEX('🔖 배합비 참조'!$B$2:$CE$83,MATCH("호두분태(미국산)",'🔖 배합비 참조'!$A$2:$A$83,0),MATCH($C80,'🔖 배합비 참조'!$B$1:$CE$1,0))/100,0),""))),"")</f>
        <v>0</v>
      </c>
      <c r="CD80" s="42" t="n">
        <f aca="false">IFERROR(IF($C80="","",IF($D80="","",IFERROR(ROUND($D80*INDEX('🔖 배합비 참조'!$B$2:$CE$83,MATCH("호박씨앗(외국산)",'🔖 배합비 참조'!$A$2:$A$83,0),MATCH($C80,'🔖 배합비 참조'!$B$1:$CE$1,0))/100,0),""))),"")</f>
        <v>0</v>
      </c>
      <c r="CE80" s="42" t="n">
        <f aca="false">IFERROR(IF($C80="","",IF($D80="","",IFERROR(ROUND($D80*INDEX('🔖 배합비 참조'!$B$2:$CE$83,MATCH("혼합제제(떡용에스텔)",'🔖 배합비 참조'!$A$2:$A$83,0),MATCH($C80,'🔖 배합비 참조'!$B$1:$CE$1,0))/100,0),""))),"")</f>
        <v>0</v>
      </c>
      <c r="CF80" s="42" t="n">
        <f aca="false">IFERROR(IF($C80="","",IF($D80="","",IFERROR(ROUND($D80*INDEX('🔖 배합비 참조'!$B$2:$CE$83,MATCH("혼합제제(스테비아)",'🔖 배합비 참조'!$A$2:$A$83,0),MATCH($C80,'🔖 배합비 참조'!$B$1:$CE$1,0))/100,0),""))),"")</f>
        <v>0</v>
      </c>
      <c r="CG80" s="42" t="n">
        <f aca="false">IFERROR(IF($C80="","",IF($D80="","",IFERROR(ROUND($D80*INDEX('🔖 배합비 참조'!$B$2:$CE$83,MATCH("화이트초콜릿",'🔖 배합비 참조'!$A$2:$A$83,0),MATCH($C80,'🔖 배합비 참조'!$B$1:$CE$1,0))/100,0),""))),"")</f>
        <v>0</v>
      </c>
      <c r="CH80" s="42" t="n">
        <f aca="false">IFERROR(IF($C80="","",IF($D80="","",IFERROR(ROUND($D80*INDEX('🔖 배합비 참조'!$B$2:$CE$83,MATCH("흑미찹쌀(국내산)",'🔖 배합비 참조'!$A$2:$A$83,0),MATCH($C80,'🔖 배합비 참조'!$B$1:$CE$1,0))/100,0),""))),"")</f>
        <v>0</v>
      </c>
      <c r="CI80" s="42" t="n">
        <f aca="false">IFERROR(IF($C80="","",IF($D80="","",IFERROR(ROUND($D80*INDEX('🔖 배합비 참조'!$B$2:$CE$83,MATCH("찰옥수수전분(미국산)",'🔖 배합비 참조'!$A$2:$A$83,0),MATCH($C80,'🔖 배합비 참조'!$B$1:$CE$1,0))/100,0),""))),"")</f>
        <v>0</v>
      </c>
      <c r="CJ80" s="40"/>
      <c r="CL80" s="1" t="s">
        <v>238</v>
      </c>
    </row>
    <row r="81" customFormat="false" ht="18" hidden="false" customHeight="true" outlineLevel="0" collapsed="false">
      <c r="A81" s="35" t="n">
        <v>77</v>
      </c>
      <c r="B81" s="36" t="n">
        <v>45979</v>
      </c>
      <c r="C81" s="37" t="s">
        <v>236</v>
      </c>
      <c r="D81" s="38" t="n">
        <v>70</v>
      </c>
      <c r="E81" s="13"/>
      <c r="F81" s="13"/>
      <c r="G81" s="39" t="n">
        <f aca="false">IFERROR(IF($C81="","",IF($D81="","",IFERROR(ROUND($D81*INDEX('🔖 배합비 참조'!$B$2:$CE$83,MATCH("간장",'🔖 배합비 참조'!$A$2:$A$83,0),MATCH($C81,'🔖 배합비 참조'!$B$1:$CE$1,0))/100,0),""))),"")</f>
        <v>0</v>
      </c>
      <c r="H81" s="39" t="n">
        <f aca="false">IFERROR(IF($C81="","",IF($D81="","",IFERROR(ROUND($D81*INDEX('🔖 배합비 참조'!$B$2:$CE$83,MATCH("강낭콩((울타리콩))",'🔖 배합비 참조'!$A$2:$A$83,0),MATCH($C81,'🔖 배합비 참조'!$B$1:$CE$1,0))/100,0),""))),"")</f>
        <v>0</v>
      </c>
      <c r="I81" s="39" t="n">
        <f aca="false">IFERROR(IF($C81="","",IF($D81="","",IFERROR(ROUND($D81*INDEX('🔖 배합비 참조'!$B$2:$CE$83,MATCH("건조딸기다이스(외국산)",'🔖 배합비 참조'!$A$2:$A$83,0),MATCH($C81,'🔖 배합비 참조'!$B$1:$CE$1,0))/100,0),""))),"")</f>
        <v>0</v>
      </c>
      <c r="J81" s="39" t="n">
        <f aca="false">IFERROR(IF($C81="","",IF($D81="","",IFERROR(ROUND($D81*INDEX('🔖 배합비 참조'!$B$2:$CE$83,MATCH("건포도",'🔖 배합비 참조'!$A$2:$A$83,0),MATCH($C81,'🔖 배합비 참조'!$B$1:$CE$1,0))/100,0),""))),"")</f>
        <v>0</v>
      </c>
      <c r="K81" s="39" t="n">
        <f aca="false">IFERROR(IF($C81="","",IF($D81="","",IFERROR(ROUND($D81*INDEX('🔖 배합비 참조'!$B$2:$CE$83,MATCH("건호박채(중국산)",'🔖 배합비 참조'!$A$2:$A$83,0),MATCH($C81,'🔖 배합비 참조'!$B$1:$CE$1,0))/100,0),""))),"")</f>
        <v>0</v>
      </c>
      <c r="L81" s="39" t="n">
        <f aca="false">IFERROR(IF($C81="","",IF($D81="","",IFERROR(ROUND($D81*INDEX('🔖 배합비 참조'!$B$2:$CE$83,MATCH("검정깨(흑임자)",'🔖 배합비 참조'!$A$2:$A$83,0),MATCH($C81,'🔖 배합비 참조'!$B$1:$CE$1,0))/100,0),""))),"")</f>
        <v>0</v>
      </c>
      <c r="M81" s="39" t="n">
        <f aca="false">IFERROR(IF($C81="","",IF($D81="","",IFERROR(ROUND($D81*INDEX('🔖 배합비 참조'!$B$2:$CE$83,MATCH("검정콩",'🔖 배합비 참조'!$A$2:$A$83,0),MATCH($C81,'🔖 배합비 참조'!$B$1:$CE$1,0))/100,0),""))),"")</f>
        <v>0</v>
      </c>
      <c r="N81" s="39" t="n">
        <f aca="false">IFERROR(IF($C81="","",IF($D81="","",IFERROR(ROUND($D81*INDEX('🔖 배합비 참조'!$B$2:$CE$83,MATCH("계피가루",'🔖 배합비 참조'!$A$2:$A$83,0),MATCH($C81,'🔖 배합비 참조'!$B$1:$CE$1,0))/100,0),""))),"")</f>
        <v>0</v>
      </c>
      <c r="O81" s="39" t="n">
        <f aca="false">IFERROR(IF($C81="","",IF($D81="","",IFERROR(ROUND($D81*INDEX('🔖 배합비 참조'!$B$2:$CE$83,MATCH("고구마가루",'🔖 배합비 참조'!$A$2:$A$83,0),MATCH($C81,'🔖 배합비 참조'!$B$1:$CE$1,0))/100,0),""))),"")</f>
        <v>0</v>
      </c>
      <c r="P81" s="39" t="n">
        <f aca="false">IFERROR(IF($C81="","",IF($D81="","",IFERROR(ROUND($D81*INDEX('🔖 배합비 참조'!$B$2:$CE$83,MATCH("고구마무스",'🔖 배합비 참조'!$A$2:$A$83,0),MATCH($C81,'🔖 배합비 참조'!$B$1:$CE$1,0))/100,0),""))),"")</f>
        <v>0</v>
      </c>
      <c r="Q81" s="39" t="n">
        <f aca="false">IFERROR(IF($C81="","",IF($D81="","",IFERROR(ROUND($D81*INDEX('🔖 배합비 참조'!$B$2:$CE$83,MATCH("고려엉겅퀴((곤드레)국내산)",'🔖 배합비 참조'!$A$2:$A$83,0),MATCH($C81,'🔖 배합비 참조'!$B$1:$CE$1,0))/100,0),""))),"")</f>
        <v>0</v>
      </c>
      <c r="R81" s="39" t="n">
        <f aca="false">IFERROR(IF($C81="","",IF($D81="","",IFERROR(ROUND($D81*INDEX('🔖 배합비 참조'!$B$2:$CE$83,MATCH("기타가공품(복분자가루)",'🔖 배합비 참조'!$A$2:$A$83,0),MATCH($C81,'🔖 배합비 참조'!$B$1:$CE$1,0))/100,0),""))),"")</f>
        <v>0</v>
      </c>
      <c r="S81" s="39" t="n">
        <f aca="false">IFERROR(IF($C81="","",IF($D81="","",IFERROR(ROUND($D81*INDEX('🔖 배합비 참조'!$B$2:$CE$83,MATCH("기타가공품(슈퍼소프트엠)",'🔖 배합비 참조'!$A$2:$A$83,0),MATCH($C81,'🔖 배합비 참조'!$B$1:$CE$1,0))/100,0),""))),"")</f>
        <v>0</v>
      </c>
      <c r="T81" s="39" t="n">
        <f aca="false">IFERROR(IF($C81="","",IF($D81="","",IFERROR(ROUND($D81*INDEX('🔖 배합비 참조'!$B$2:$CE$83,MATCH("기타가공품(파인소프트 E-티)",'🔖 배합비 참조'!$A$2:$A$83,0),MATCH($C81,'🔖 배합비 참조'!$B$1:$CE$1,0))/100,0),""))),"")</f>
        <v>0</v>
      </c>
      <c r="U81" s="39" t="n">
        <f aca="false">IFERROR(IF($C81="","",IF($D81="","",IFERROR(ROUND($D81*INDEX('🔖 배합비 참조'!$B$2:$CE$83,MATCH("기타가공품(프리미엄카스테라가루)",'🔖 배합비 참조'!$A$2:$A$83,0),MATCH($C81,'🔖 배합비 참조'!$B$1:$CE$1,0))/100,0),""))),"")</f>
        <v>0</v>
      </c>
      <c r="V81" s="39" t="n">
        <f aca="false">IFERROR(IF($C81="","",IF($D81="","",IFERROR(ROUND($D81*INDEX('🔖 배합비 참조'!$B$2:$CE$83,MATCH("기타가공품(흑임자가루)",'🔖 배합비 참조'!$A$2:$A$83,0),MATCH($C81,'🔖 배합비 참조'!$B$1:$CE$1,0))/100,0),""))),"")</f>
        <v>0</v>
      </c>
      <c r="W81" s="39" t="n">
        <f aca="false">IFERROR(IF($C81="","",IF($D81="","",IFERROR(ROUND($D81*INDEX('🔖 배합비 참조'!$B$2:$CE$83,MATCH("기타설탕(흑설탕)",'🔖 배합비 참조'!$A$2:$A$83,0),MATCH($C81,'🔖 배합비 참조'!$B$1:$CE$1,0))/100,0),""))),"")</f>
        <v>0</v>
      </c>
      <c r="X81" s="39" t="n">
        <f aca="false">IFERROR(IF($C81="","",IF($D81="","",IFERROR(ROUND($D81*INDEX('🔖 배합비 참조'!$B$2:$CE$83,MATCH("냉동쑥(국내산)",'🔖 배합비 참조'!$A$2:$A$83,0),MATCH($C81,'🔖 배합비 참조'!$B$1:$CE$1,0))/100,0),""))),"")</f>
        <v>1</v>
      </c>
      <c r="Y81" s="39" t="n">
        <f aca="false">IFERROR(IF($C81="","",IF($D81="","",IFERROR(ROUND($D81*INDEX('🔖 배합비 참조'!$B$2:$CE$83,MATCH("냉동증숙고구마(중국산)",'🔖 배합비 참조'!$A$2:$A$83,0),MATCH($C81,'🔖 배합비 참조'!$B$1:$CE$1,0))/100,0),""))),"")</f>
        <v>0</v>
      </c>
      <c r="Z81" s="39" t="n">
        <f aca="false">IFERROR(IF($C81="","",IF($D81="","",IFERROR(ROUND($D81*INDEX('🔖 배합비 참조'!$B$2:$CE$83,MATCH("녹차가루",'🔖 배합비 참조'!$A$2:$A$83,0),MATCH($C81,'🔖 배합비 참조'!$B$1:$CE$1,0))/100,0),""))),"")</f>
        <v>0</v>
      </c>
      <c r="AA81" s="39" t="n">
        <f aca="false">IFERROR(IF($C81="","",IF($D81="","",IFERROR(ROUND($D81*INDEX('🔖 배합비 참조'!$B$2:$CE$83,MATCH("다크초콜릿 컴파운드칩",'🔖 배합비 참조'!$A$2:$A$83,0),MATCH($C81,'🔖 배합비 참조'!$B$1:$CE$1,0))/100,0),""))),"")</f>
        <v>0</v>
      </c>
      <c r="AB81" s="39" t="n">
        <f aca="false">IFERROR(IF($C81="","",IF($D81="","",IFERROR(ROUND($D81*INDEX('🔖 배합비 참조'!$B$2:$CE$83,MATCH("단호박분말(중국산)",'🔖 배합비 참조'!$A$2:$A$83,0),MATCH($C81,'🔖 배합비 참조'!$B$1:$CE$1,0))/100,0),""))),"")</f>
        <v>0</v>
      </c>
      <c r="AC81" s="39" t="n">
        <f aca="false">IFERROR(IF($C81="","",IF($D81="","",IFERROR(ROUND($D81*INDEX('🔖 배합비 참조'!$B$2:$CE$83,MATCH("당류가공품(단호박농축액)",'🔖 배합비 참조'!$A$2:$A$83,0),MATCH($C81,'🔖 배합비 참조'!$B$1:$CE$1,0))/100,0),""))),"")</f>
        <v>0</v>
      </c>
      <c r="AD81" s="39" t="n">
        <f aca="false">IFERROR(IF($C81="","",IF($D81="","",IFERROR(ROUND($D81*INDEX('🔖 배합비 참조'!$B$2:$CE$83,MATCH("당류가공품(알룰로스,에리스리톨,스테비올배당체혼합)",'🔖 배합비 참조'!$A$2:$A$83,0),MATCH($C81,'🔖 배합비 참조'!$B$1:$CE$1,0))/100,0),""))),"")</f>
        <v>0</v>
      </c>
      <c r="AE81" s="39" t="n">
        <f aca="false">IFERROR(IF($C81="","",IF($D81="","",IFERROR(ROUND($D81*INDEX('🔖 배합비 참조'!$B$2:$CE$83,MATCH("당류가공품(알룰로스제로파우더)",'🔖 배합비 참조'!$A$2:$A$83,0),MATCH($C81,'🔖 배합비 참조'!$B$1:$CE$1,0))/100,0),""))),"")</f>
        <v>0</v>
      </c>
      <c r="AF81" s="39" t="n">
        <f aca="false">IFERROR(IF($C81="","",IF($D81="","",IFERROR(ROUND($D81*INDEX('🔖 배합비 참조'!$B$2:$CE$83,MATCH("당절임(완두배기)",'🔖 배합비 참조'!$A$2:$A$83,0),MATCH($C81,'🔖 배합비 참조'!$B$1:$CE$1,0))/100,0),""))),"")</f>
        <v>0</v>
      </c>
      <c r="AG81" s="39" t="n">
        <f aca="false">IFERROR(IF($C81="","",IF($D81="","",IFERROR(ROUND($D81*INDEX('🔖 배합비 참조'!$B$2:$CE$83,MATCH("대추농축액",'🔖 배합비 참조'!$A$2:$A$83,0),MATCH($C81,'🔖 배합비 참조'!$B$1:$CE$1,0))/100,0),""))),"")</f>
        <v>0</v>
      </c>
      <c r="AH81" s="39" t="n">
        <f aca="false">IFERROR(IF($C81="","",IF($D81="","",IFERROR(ROUND($D81*INDEX('🔖 배합비 참조'!$B$2:$CE$83,MATCH("대추채(국내산)",'🔖 배합비 참조'!$A$2:$A$83,0),MATCH($C81,'🔖 배합비 참조'!$B$1:$CE$1,0))/100,0),""))),"")</f>
        <v>0</v>
      </c>
      <c r="AI81" s="39" t="n">
        <f aca="false">IFERROR(IF($C81="","",IF($D81="","",IFERROR(ROUND($D81*INDEX('🔖 배합비 참조'!$B$2:$CE$83,MATCH("동부(미얀마산)",'🔖 배합비 참조'!$A$2:$A$83,0),MATCH($C81,'🔖 배합비 참조'!$B$1:$CE$1,0))/100,0),""))),"")</f>
        <v>9</v>
      </c>
      <c r="AJ81" s="39" t="n">
        <f aca="false">IFERROR(IF($C81="","",IF($D81="","",IFERROR(ROUND($D81*INDEX('🔖 배합비 참조'!$B$2:$CE$83,MATCH("두류가공품(백옥앙금)",'🔖 배합비 참조'!$A$2:$A$83,0),MATCH($C81,'🔖 배합비 참조'!$B$1:$CE$1,0))/100,0),""))),"")</f>
        <v>0</v>
      </c>
      <c r="AK81" s="39" t="n">
        <f aca="false">IFERROR(IF($C81="","",IF($D81="","",IFERROR(ROUND($D81*INDEX('🔖 배합비 참조'!$B$2:$CE$83,MATCH("두류가공품(콩고물)",'🔖 배합비 참조'!$A$2:$A$83,0),MATCH($C81,'🔖 배합비 참조'!$B$1:$CE$1,0))/100,0),""))),"")</f>
        <v>2</v>
      </c>
      <c r="AL81" s="39" t="n">
        <f aca="false">IFERROR(IF($C81="","",IF($D81="","",IFERROR(ROUND($D81*INDEX('🔖 배합비 참조'!$B$2:$CE$83,MATCH("두류가공품(통팥고물)",'🔖 배합비 참조'!$A$2:$A$83,0),MATCH($C81,'🔖 배합비 참조'!$B$1:$CE$1,0))/100,0),""))),"")</f>
        <v>0</v>
      </c>
      <c r="AM81" s="39" t="n">
        <f aca="false">IFERROR(IF($C81="","",IF($D81="","",IFERROR(ROUND($D81*INDEX('🔖 배합비 참조'!$B$2:$CE$83,MATCH("딸기레진",'🔖 배합비 참조'!$A$2:$A$83,0),MATCH($C81,'🔖 배합비 참조'!$B$1:$CE$1,0))/100,0),""))),"")</f>
        <v>0</v>
      </c>
      <c r="AN81" s="39" t="n">
        <f aca="false">IFERROR(IF($C81="","",IF($D81="","",IFERROR(ROUND($D81*INDEX('🔖 배합비 참조'!$B$2:$CE$83,MATCH("딸기분말(스트로우베리에이드(분말))",'🔖 배합비 참조'!$A$2:$A$83,0),MATCH($C81,'🔖 배합비 참조'!$B$1:$CE$1,0))/100,0),""))),"")</f>
        <v>0</v>
      </c>
      <c r="AO81" s="39" t="n">
        <f aca="false">IFERROR(IF($C81="","",IF($D81="","",IFERROR(ROUND($D81*INDEX('🔖 배합비 참조'!$B$2:$CE$83,MATCH("마스카포네치즈",'🔖 배합비 참조'!$A$2:$A$83,0),MATCH($C81,'🔖 배합비 참조'!$B$1:$CE$1,0))/100,0),""))),"")</f>
        <v>0</v>
      </c>
      <c r="AP81" s="39" t="n">
        <f aca="false">IFERROR(IF($C81="","",IF($D81="","",IFERROR(ROUND($D81*INDEX('🔖 배합비 참조'!$B$2:$CE$83,MATCH("마카다미아분태(호주산)",'🔖 배합비 참조'!$A$2:$A$83,0),MATCH($C81,'🔖 배합비 참조'!$B$1:$CE$1,0))/100,0),""))),"")</f>
        <v>0</v>
      </c>
      <c r="AQ81" s="39" t="n">
        <f aca="false">IFERROR(IF($C81="","",IF($D81="","",IFERROR(ROUND($D81*INDEX('🔖 배합비 참조'!$B$2:$CE$83,MATCH("멥쌀(국내산)",'🔖 배합비 참조'!$A$2:$A$83,0),MATCH($C81,'🔖 배합비 참조'!$B$1:$CE$1,0))/100,0),""))),"")</f>
        <v>0</v>
      </c>
      <c r="AR81" s="39" t="n">
        <f aca="false">IFERROR(IF($C81="","",IF($D81="","",IFERROR(ROUND($D81*INDEX('🔖 배합비 참조'!$B$2:$CE$83,MATCH("모시잎(국내산)",'🔖 배합비 참조'!$A$2:$A$83,0),MATCH($C81,'🔖 배합비 참조'!$B$1:$CE$1,0))/100,0),""))),"")</f>
        <v>0</v>
      </c>
      <c r="AS81" s="39" t="n">
        <f aca="false">IFERROR(IF($C81="","",IF($D81="","",IFERROR(ROUND($D81*INDEX('🔖 배합비 참조'!$B$2:$CE$83,MATCH("물엿(저당물엿)",'🔖 배합비 참조'!$A$2:$A$83,0),MATCH($C81,'🔖 배합비 참조'!$B$1:$CE$1,0))/100,0),""))),"")</f>
        <v>1</v>
      </c>
      <c r="AT81" s="39" t="n">
        <f aca="false">IFERROR(IF($C81="","",IF($D81="","",IFERROR(ROUND($D81*INDEX('🔖 배합비 참조'!$B$2:$CE$83,MATCH("밤다이스",'🔖 배합비 참조'!$A$2:$A$83,0),MATCH($C81,'🔖 배합비 참조'!$B$1:$CE$1,0))/100,0),""))),"")</f>
        <v>0</v>
      </c>
      <c r="AU81" s="39" t="n">
        <f aca="false">IFERROR(IF($C81="","",IF($D81="","",IFERROR(ROUND($D81*INDEX('🔖 배합비 참조'!$B$2:$CE$83,MATCH("변성전분(타피오카전분)",'🔖 배합비 참조'!$A$2:$A$83,0),MATCH($C81,'🔖 배합비 참조'!$B$1:$CE$1,0))/100,0),""))),"")</f>
        <v>0</v>
      </c>
      <c r="AV81" s="39" t="n">
        <f aca="false">IFERROR(IF($C81="","",IF($D81="","",IFERROR(ROUND($D81*INDEX('🔖 배합비 참조'!$B$2:$CE$83,MATCH("복음땅콩분태",'🔖 배합비 참조'!$A$2:$A$83,0),MATCH($C81,'🔖 배합비 참조'!$B$1:$CE$1,0))/100,0),""))),"")</f>
        <v>0</v>
      </c>
      <c r="AW81" s="39" t="n">
        <f aca="false">IFERROR(IF($C81="","",IF($D81="","",IFERROR(ROUND($D81*INDEX('🔖 배합비 참조'!$B$2:$CE$83,MATCH("사양벌꿀(국내산)",'🔖 배합비 참조'!$A$2:$A$83,0),MATCH($C81,'🔖 배합비 참조'!$B$1:$CE$1,0))/100,0),""))),"")</f>
        <v>0</v>
      </c>
      <c r="AX81" s="39" t="n">
        <f aca="false">IFERROR(IF($C81="","",IF($D81="","",IFERROR(ROUND($D81*INDEX('🔖 배합비 참조'!$B$2:$CE$83,MATCH("생크림",'🔖 배합비 참조'!$A$2:$A$83,0),MATCH($C81,'🔖 배합비 참조'!$B$1:$CE$1,0))/100,0),""))),"")</f>
        <v>0</v>
      </c>
      <c r="AY81" s="39" t="n">
        <f aca="false">IFERROR(IF($C81="","",IF($D81="","",IFERROR(ROUND($D81*INDEX('🔖 배합비 참조'!$B$2:$CE$83,MATCH("서양호박(국내산,뉴질랜드산)",'🔖 배합비 참조'!$A$2:$A$83,0),MATCH($C81,'🔖 배합비 참조'!$B$1:$CE$1,0))/100,0),""))),"")</f>
        <v>0</v>
      </c>
      <c r="AZ81" s="39" t="n">
        <f aca="false">IFERROR(IF($C81="","",IF($D81="","",IFERROR(ROUND($D81*INDEX('🔖 배합비 참조'!$B$2:$CE$83,MATCH("설탕",'🔖 배합비 참조'!$A$2:$A$83,0),MATCH($C81,'🔖 배합비 참조'!$B$1:$CE$1,0))/100,0),""))),"")</f>
        <v>1</v>
      </c>
      <c r="BA81" s="39" t="n">
        <f aca="false">IFERROR(IF($C81="","",IF($D81="","",IFERROR(ROUND($D81*INDEX('🔖 배합비 참조'!$B$2:$CE$83,MATCH("스트로우베리 에이드 후레쉬",'🔖 배합비 참조'!$A$2:$A$83,0),MATCH($C81,'🔖 배합비 참조'!$B$1:$CE$1,0))/100,0),""))),"")</f>
        <v>0</v>
      </c>
      <c r="BB81" s="39" t="n">
        <f aca="false">IFERROR(IF($C81="","",IF($D81="","",IFERROR(ROUND($D81*INDEX('🔖 배합비 참조'!$B$2:$CE$83,MATCH("식물성기름혼합제제(분홍)",'🔖 배합비 참조'!$A$2:$A$83,0),MATCH($C81,'🔖 배합비 참조'!$B$1:$CE$1,0))/100,0),""))),"")</f>
        <v>0</v>
      </c>
      <c r="BC81" s="39" t="n">
        <f aca="false">IFERROR(IF($C81="","",IF($D81="","",IFERROR(ROUND($D81*INDEX('🔖 배합비 참조'!$B$2:$CE$83,MATCH("식물성기름혼합제제(초록)",'🔖 배합비 참조'!$A$2:$A$83,0),MATCH($C81,'🔖 배합비 참조'!$B$1:$CE$1,0))/100,0),""))),"")</f>
        <v>0</v>
      </c>
      <c r="BD81" s="39" t="n">
        <f aca="false">IFERROR(IF($C81="","",IF($D81="","",IFERROR(ROUND($D81*INDEX('🔖 배합비 참조'!$B$2:$CE$83,MATCH("식물성기름혼합제제(황색)",'🔖 배합비 참조'!$A$2:$A$83,0),MATCH($C81,'🔖 배합비 참조'!$B$1:$CE$1,0))/100,0),""))),"")</f>
        <v>0</v>
      </c>
      <c r="BE81" s="39" t="n">
        <f aca="false">IFERROR(IF($C81="","",IF($D81="","",IFERROR(ROUND($D81*INDEX('🔖 배합비 참조'!$B$2:$CE$83,MATCH("쑥가루(국내산)",'🔖 배합비 참조'!$A$2:$A$83,0),MATCH($C81,'🔖 배합비 참조'!$B$1:$CE$1,0))/100,0),""))),"")</f>
        <v>1</v>
      </c>
      <c r="BF81" s="39" t="n">
        <f aca="false">IFERROR(IF($C81="","",IF($D81="","",IFERROR(ROUND($D81*INDEX('🔖 배합비 참조'!$B$2:$CE$83,MATCH("아몬드슬라이스",'🔖 배합비 참조'!$A$2:$A$83,0),MATCH($C81,'🔖 배합비 참조'!$B$1:$CE$1,0))/100,0),""))),"")</f>
        <v>0</v>
      </c>
      <c r="BG81" s="39" t="n">
        <f aca="false">IFERROR(IF($C81="","",IF($D81="","",IFERROR(ROUND($D81*INDEX('🔖 배합비 참조'!$B$2:$CE$83,MATCH("알룰로오스(국내산)",'🔖 배합비 참조'!$A$2:$A$83,0),MATCH($C81,'🔖 배합비 참조'!$B$1:$CE$1,0))/100,0),""))),"")</f>
        <v>0</v>
      </c>
      <c r="BH81" s="39" t="n">
        <f aca="false">IFERROR(IF($C81="","",IF($D81="","",IFERROR(ROUND($D81*INDEX('🔖 배합비 참조'!$B$2:$CE$83,MATCH("연유",'🔖 배합비 참조'!$A$2:$A$83,0),MATCH($C81,'🔖 배합비 참조'!$B$1:$CE$1,0))/100,0),""))),"")</f>
        <v>0</v>
      </c>
      <c r="BI81" s="39" t="n">
        <f aca="false">IFERROR(IF($C81="","",IF($D81="","",IFERROR(ROUND($D81*INDEX('🔖 배합비 참조'!$B$2:$CE$83,MATCH("옥수수전분",'🔖 배합비 참조'!$A$2:$A$83,0),MATCH($C81,'🔖 배합비 참조'!$B$1:$CE$1,0))/100,0),""))),"")</f>
        <v>0</v>
      </c>
      <c r="BJ81" s="39" t="n">
        <f aca="false">IFERROR(IF($C81="","",IF($D81="","",IFERROR(ROUND($D81*INDEX('🔖 배합비 참조'!$B$2:$CE$83,MATCH("완두배기",'🔖 배합비 참조'!$A$2:$A$83,0),MATCH($C81,'🔖 배합비 참조'!$B$1:$CE$1,0))/100,0),""))),"")</f>
        <v>0</v>
      </c>
      <c r="BK81" s="39" t="n">
        <f aca="false">IFERROR(IF($C81="","",IF($D81="","",IFERROR(ROUND($D81*INDEX('🔖 배합비 참조'!$B$2:$CE$83,MATCH("우유(국내산)",'🔖 배합비 참조'!$A$2:$A$83,0),MATCH($C81,'🔖 배합비 참조'!$B$1:$CE$1,0))/100,0),""))),"")</f>
        <v>0</v>
      </c>
      <c r="BL81" s="39" t="n">
        <f aca="false">IFERROR(IF($C81="","",IF($D81="","",IFERROR(ROUND($D81*INDEX('🔖 배합비 참조'!$B$2:$CE$83,MATCH("자색고구마가루(중국산)",'🔖 배합비 참조'!$A$2:$A$83,0),MATCH($C81,'🔖 배합비 참조'!$B$1:$CE$1,0))/100,0),""))),"")</f>
        <v>0</v>
      </c>
      <c r="BM81" s="39" t="n">
        <f aca="false">IFERROR(IF($C81="","",IF($D81="","",IFERROR(ROUND($D81*INDEX('🔖 배합비 참조'!$B$2:$CE$83,MATCH("자연치즈(체다치즈)",'🔖 배합비 참조'!$A$2:$A$83,0),MATCH($C81,'🔖 배합비 참조'!$B$1:$CE$1,0))/100,0),""))),"")</f>
        <v>0</v>
      </c>
      <c r="BN81" s="39" t="n">
        <f aca="false">IFERROR(IF($C81="","",IF($D81="","",IFERROR(ROUND($D81*INDEX('🔖 배합비 참조'!$B$2:$CE$83,MATCH("정제수",'🔖 배합비 참조'!$A$2:$A$83,0),MATCH($C81,'🔖 배합비 참조'!$B$1:$CE$1,0))/100,0),""))),"")</f>
        <v>8</v>
      </c>
      <c r="BO81" s="39" t="n">
        <f aca="false">IFERROR(IF($C81="","",IF($D81="","",IFERROR(ROUND($D81*INDEX('🔖 배합비 참조'!$B$2:$CE$83,MATCH("젤라틴",'🔖 배합비 참조'!$A$2:$A$83,0),MATCH($C81,'🔖 배합비 참조'!$B$1:$CE$1,0))/100,0),""))),"")</f>
        <v>0</v>
      </c>
      <c r="BP81" s="39" t="n">
        <f aca="false">IFERROR(IF($C81="","",IF($D81="","",IFERROR(ROUND($D81*INDEX('🔖 배합비 참조'!$B$2:$CE$83,MATCH("조림류(백옥앙금)",'🔖 배합비 참조'!$A$2:$A$83,0),MATCH($C81,'🔖 배합비 참조'!$B$1:$CE$1,0))/100,0),""))),"")</f>
        <v>17</v>
      </c>
      <c r="BQ81" s="39" t="n">
        <f aca="false">IFERROR(IF($C81="","",IF($D81="","",IFERROR(ROUND($D81*INDEX('🔖 배합비 참조'!$B$2:$CE$83,MATCH("조림류(통팥앙금)",'🔖 배합비 참조'!$A$2:$A$83,0),MATCH($C81,'🔖 배합비 참조'!$B$1:$CE$1,0))/100,0),""))),"")</f>
        <v>0</v>
      </c>
      <c r="BR81" s="39" t="n">
        <f aca="false">IFERROR(IF($C81="","",IF($D81="","",IFERROR(ROUND($D81*INDEX('🔖 배합비 참조'!$B$2:$CE$83,MATCH("준초콜릿(외국산)",'🔖 배합비 참조'!$A$2:$A$83,0),MATCH($C81,'🔖 배합비 참조'!$B$1:$CE$1,0))/100,0),""))),"")</f>
        <v>0</v>
      </c>
      <c r="BS81" s="39" t="n">
        <f aca="false">IFERROR(IF($C81="","",IF($D81="","",IFERROR(ROUND($D81*INDEX('🔖 배합비 참조'!$B$2:$CE$83,MATCH("중력분",'🔖 배합비 참조'!$A$2:$A$83,0),MATCH($C81,'🔖 배합비 참조'!$B$1:$CE$1,0))/100,0),""))),"")</f>
        <v>1</v>
      </c>
      <c r="BT81" s="39" t="n">
        <f aca="false">IFERROR(IF($C81="","",IF($D81="","",IFERROR(ROUND($D81*INDEX('🔖 배합비 참조'!$B$2:$CE$83,MATCH("참깨(인도산,나이지리아산,탄자니아산,미얀마산)",'🔖 배합비 참조'!$A$2:$A$83,0),MATCH($C81,'🔖 배합비 참조'!$B$1:$CE$1,0))/100,0),""))),"")</f>
        <v>0</v>
      </c>
      <c r="BU81" s="39" t="n">
        <f aca="false">IFERROR(IF($C81="","",IF($D81="","",IFERROR(ROUND($D81*INDEX('🔖 배합비 참조'!$B$2:$CE$83,MATCH("찹쌀(국내산)",'🔖 배합비 참조'!$A$2:$A$83,0),MATCH($C81,'🔖 배합비 참조'!$B$1:$CE$1,0))/100,0),""))),"")</f>
        <v>28</v>
      </c>
      <c r="BV81" s="39" t="n">
        <f aca="false">IFERROR(IF($C81="","",IF($D81="","",IFERROR(ROUND($D81*INDEX('🔖 배합비 참조'!$B$2:$CE$83,MATCH("천일염",'🔖 배합비 참조'!$A$2:$A$83,0),MATCH($C81,'🔖 배합비 참조'!$B$1:$CE$1,0))/100,0),""))),"")</f>
        <v>0</v>
      </c>
      <c r="BW81" s="39" t="n">
        <f aca="false">IFERROR(IF($C81="","",IF($D81="","",IFERROR(ROUND($D81*INDEX('🔖 배합비 참조'!$B$2:$CE$83,MATCH("치즈 [크림치즈]",'🔖 배합비 참조'!$A$2:$A$83,0),MATCH($C81,'🔖 배합비 참조'!$B$1:$CE$1,0))/100,0),""))),"")</f>
        <v>0</v>
      </c>
      <c r="BX81" s="39" t="n">
        <f aca="false">IFERROR(IF($C81="","",IF($D81="","",IFERROR(ROUND($D81*INDEX('🔖 배합비 참조'!$B$2:$CE$83,MATCH("코코아가공품류(코코아분말)",'🔖 배합비 참조'!$A$2:$A$83,0),MATCH($C81,'🔖 배합비 참조'!$B$1:$CE$1,0))/100,0),""))),"")</f>
        <v>0</v>
      </c>
      <c r="BY81" s="39" t="n">
        <f aca="false">IFERROR(IF($C81="","",IF($D81="","",IFERROR(ROUND($D81*INDEX('🔖 배합비 참조'!$B$2:$CE$83,MATCH("콩기름(대두유)",'🔖 배합비 참조'!$A$2:$A$83,0),MATCH($C81,'🔖 배합비 참조'!$B$1:$CE$1,0))/100,0),""))),"")</f>
        <v>0</v>
      </c>
      <c r="BZ81" s="39" t="n">
        <f aca="false">IFERROR(IF($C81="","",IF($D81="","",IFERROR(ROUND($D81*INDEX('🔖 배합비 참조'!$B$2:$CE$83,MATCH("해바라기씨앗",'🔖 배합비 참조'!$A$2:$A$83,0),MATCH($C81,'🔖 배합비 참조'!$B$1:$CE$1,0))/100,0),""))),"")</f>
        <v>0</v>
      </c>
      <c r="CA81" s="39" t="n">
        <f aca="false">IFERROR(IF($C81="","",IF($D81="","",IFERROR(ROUND($D81*INDEX('🔖 배합비 참조'!$B$2:$CE$83,MATCH("현미(국내산)",'🔖 배합비 참조'!$A$2:$A$83,0),MATCH($C81,'🔖 배합비 참조'!$B$1:$CE$1,0))/100,0),""))),"")</f>
        <v>0</v>
      </c>
      <c r="CB81" s="39" t="n">
        <f aca="false">IFERROR(IF($C81="","",IF($D81="","",IFERROR(ROUND($D81*INDEX('🔖 배합비 참조'!$B$2:$CE$83,MATCH("현미멥쌀(국내산)",'🔖 배합비 참조'!$A$2:$A$83,0),MATCH($C81,'🔖 배합비 참조'!$B$1:$CE$1,0))/100,0),""))),"")</f>
        <v>0</v>
      </c>
      <c r="CC81" s="39" t="n">
        <f aca="false">IFERROR(IF($C81="","",IF($D81="","",IFERROR(ROUND($D81*INDEX('🔖 배합비 참조'!$B$2:$CE$83,MATCH("호두분태(미국산)",'🔖 배합비 참조'!$A$2:$A$83,0),MATCH($C81,'🔖 배합비 참조'!$B$1:$CE$1,0))/100,0),""))),"")</f>
        <v>0</v>
      </c>
      <c r="CD81" s="39" t="n">
        <f aca="false">IFERROR(IF($C81="","",IF($D81="","",IFERROR(ROUND($D81*INDEX('🔖 배합비 참조'!$B$2:$CE$83,MATCH("호박씨앗(외국산)",'🔖 배합비 참조'!$A$2:$A$83,0),MATCH($C81,'🔖 배합비 참조'!$B$1:$CE$1,0))/100,0),""))),"")</f>
        <v>0</v>
      </c>
      <c r="CE81" s="39" t="n">
        <f aca="false">IFERROR(IF($C81="","",IF($D81="","",IFERROR(ROUND($D81*INDEX('🔖 배합비 참조'!$B$2:$CE$83,MATCH("혼합제제(떡용에스텔)",'🔖 배합비 참조'!$A$2:$A$83,0),MATCH($C81,'🔖 배합비 참조'!$B$1:$CE$1,0))/100,0),""))),"")</f>
        <v>0</v>
      </c>
      <c r="CF81" s="39" t="n">
        <f aca="false">IFERROR(IF($C81="","",IF($D81="","",IFERROR(ROUND($D81*INDEX('🔖 배합비 참조'!$B$2:$CE$83,MATCH("혼합제제(스테비아)",'🔖 배합비 참조'!$A$2:$A$83,0),MATCH($C81,'🔖 배합비 참조'!$B$1:$CE$1,0))/100,0),""))),"")</f>
        <v>0</v>
      </c>
      <c r="CG81" s="39" t="n">
        <f aca="false">IFERROR(IF($C81="","",IF($D81="","",IFERROR(ROUND($D81*INDEX('🔖 배합비 참조'!$B$2:$CE$83,MATCH("화이트초콜릿",'🔖 배합비 참조'!$A$2:$A$83,0),MATCH($C81,'🔖 배합비 참조'!$B$1:$CE$1,0))/100,0),""))),"")</f>
        <v>0</v>
      </c>
      <c r="CH81" s="39" t="n">
        <f aca="false">IFERROR(IF($C81="","",IF($D81="","",IFERROR(ROUND($D81*INDEX('🔖 배합비 참조'!$B$2:$CE$83,MATCH("흑미찹쌀(국내산)",'🔖 배합비 참조'!$A$2:$A$83,0),MATCH($C81,'🔖 배합비 참조'!$B$1:$CE$1,0))/100,0),""))),"")</f>
        <v>0</v>
      </c>
      <c r="CI81" s="39" t="n">
        <f aca="false">IFERROR(IF($C81="","",IF($D81="","",IFERROR(ROUND($D81*INDEX('🔖 배합비 참조'!$B$2:$CE$83,MATCH("찰옥수수전분(미국산)",'🔖 배합비 참조'!$A$2:$A$83,0),MATCH($C81,'🔖 배합비 참조'!$B$1:$CE$1,0))/100,0),""))),"")</f>
        <v>0</v>
      </c>
      <c r="CJ81" s="40"/>
      <c r="CL81" s="1" t="s">
        <v>238</v>
      </c>
    </row>
    <row r="82" customFormat="false" ht="18" hidden="false" customHeight="true" outlineLevel="0" collapsed="false">
      <c r="A82" s="41" t="n">
        <v>78</v>
      </c>
      <c r="B82" s="36" t="n">
        <v>45980</v>
      </c>
      <c r="C82" s="37" t="s">
        <v>161</v>
      </c>
      <c r="D82" s="38" t="n">
        <v>102</v>
      </c>
      <c r="E82" s="17"/>
      <c r="F82" s="17"/>
      <c r="G82" s="42" t="n">
        <f aca="false">IFERROR(IF($C82="","",IF($D82="","",IFERROR(ROUND($D82*INDEX('🔖 배합비 참조'!$B$2:$CE$83,MATCH("간장",'🔖 배합비 참조'!$A$2:$A$83,0),MATCH($C82,'🔖 배합비 참조'!$B$1:$CE$1,0))/100,0),""))),"")</f>
        <v>0</v>
      </c>
      <c r="H82" s="42" t="n">
        <f aca="false">IFERROR(IF($C82="","",IF($D82="","",IFERROR(ROUND($D82*INDEX('🔖 배합비 참조'!$B$2:$CE$83,MATCH("강낭콩((울타리콩))",'🔖 배합비 참조'!$A$2:$A$83,0),MATCH($C82,'🔖 배합비 참조'!$B$1:$CE$1,0))/100,0),""))),"")</f>
        <v>0</v>
      </c>
      <c r="I82" s="42" t="n">
        <f aca="false">IFERROR(IF($C82="","",IF($D82="","",IFERROR(ROUND($D82*INDEX('🔖 배합비 참조'!$B$2:$CE$83,MATCH("건조딸기다이스(외국산)",'🔖 배합비 참조'!$A$2:$A$83,0),MATCH($C82,'🔖 배합비 참조'!$B$1:$CE$1,0))/100,0),""))),"")</f>
        <v>0</v>
      </c>
      <c r="J82" s="42" t="n">
        <f aca="false">IFERROR(IF($C82="","",IF($D82="","",IFERROR(ROUND($D82*INDEX('🔖 배합비 참조'!$B$2:$CE$83,MATCH("건포도",'🔖 배합비 참조'!$A$2:$A$83,0),MATCH($C82,'🔖 배합비 참조'!$B$1:$CE$1,0))/100,0),""))),"")</f>
        <v>0</v>
      </c>
      <c r="K82" s="42" t="n">
        <f aca="false">IFERROR(IF($C82="","",IF($D82="","",IFERROR(ROUND($D82*INDEX('🔖 배합비 참조'!$B$2:$CE$83,MATCH("건호박채(중국산)",'🔖 배합비 참조'!$A$2:$A$83,0),MATCH($C82,'🔖 배합비 참조'!$B$1:$CE$1,0))/100,0),""))),"")</f>
        <v>0</v>
      </c>
      <c r="L82" s="42" t="n">
        <f aca="false">IFERROR(IF($C82="","",IF($D82="","",IFERROR(ROUND($D82*INDEX('🔖 배합비 참조'!$B$2:$CE$83,MATCH("검정깨(흑임자)",'🔖 배합비 참조'!$A$2:$A$83,0),MATCH($C82,'🔖 배합비 참조'!$B$1:$CE$1,0))/100,0),""))),"")</f>
        <v>0</v>
      </c>
      <c r="M82" s="42" t="n">
        <f aca="false">IFERROR(IF($C82="","",IF($D82="","",IFERROR(ROUND($D82*INDEX('🔖 배합비 참조'!$B$2:$CE$83,MATCH("검정콩",'🔖 배합비 참조'!$A$2:$A$83,0),MATCH($C82,'🔖 배합비 참조'!$B$1:$CE$1,0))/100,0),""))),"")</f>
        <v>0</v>
      </c>
      <c r="N82" s="42" t="n">
        <f aca="false">IFERROR(IF($C82="","",IF($D82="","",IFERROR(ROUND($D82*INDEX('🔖 배합비 참조'!$B$2:$CE$83,MATCH("계피가루",'🔖 배합비 참조'!$A$2:$A$83,0),MATCH($C82,'🔖 배합비 참조'!$B$1:$CE$1,0))/100,0),""))),"")</f>
        <v>0</v>
      </c>
      <c r="O82" s="42" t="n">
        <f aca="false">IFERROR(IF($C82="","",IF($D82="","",IFERROR(ROUND($D82*INDEX('🔖 배합비 참조'!$B$2:$CE$83,MATCH("고구마가루",'🔖 배합비 참조'!$A$2:$A$83,0),MATCH($C82,'🔖 배합비 참조'!$B$1:$CE$1,0))/100,0),""))),"")</f>
        <v>0</v>
      </c>
      <c r="P82" s="42" t="n">
        <f aca="false">IFERROR(IF($C82="","",IF($D82="","",IFERROR(ROUND($D82*INDEX('🔖 배합비 참조'!$B$2:$CE$83,MATCH("고구마무스",'🔖 배합비 참조'!$A$2:$A$83,0),MATCH($C82,'🔖 배합비 참조'!$B$1:$CE$1,0))/100,0),""))),"")</f>
        <v>0</v>
      </c>
      <c r="Q82" s="42" t="n">
        <f aca="false">IFERROR(IF($C82="","",IF($D82="","",IFERROR(ROUND($D82*INDEX('🔖 배합비 참조'!$B$2:$CE$83,MATCH("고려엉겅퀴((곤드레)국내산)",'🔖 배합비 참조'!$A$2:$A$83,0),MATCH($C82,'🔖 배합비 참조'!$B$1:$CE$1,0))/100,0),""))),"")</f>
        <v>0</v>
      </c>
      <c r="R82" s="42" t="n">
        <f aca="false">IFERROR(IF($C82="","",IF($D82="","",IFERROR(ROUND($D82*INDEX('🔖 배합비 참조'!$B$2:$CE$83,MATCH("기타가공품(복분자가루)",'🔖 배합비 참조'!$A$2:$A$83,0),MATCH($C82,'🔖 배합비 참조'!$B$1:$CE$1,0))/100,0),""))),"")</f>
        <v>0</v>
      </c>
      <c r="S82" s="42" t="n">
        <f aca="false">IFERROR(IF($C82="","",IF($D82="","",IFERROR(ROUND($D82*INDEX('🔖 배합비 참조'!$B$2:$CE$83,MATCH("기타가공품(슈퍼소프트엠)",'🔖 배합비 참조'!$A$2:$A$83,0),MATCH($C82,'🔖 배합비 참조'!$B$1:$CE$1,0))/100,0),""))),"")</f>
        <v>0</v>
      </c>
      <c r="T82" s="42" t="n">
        <f aca="false">IFERROR(IF($C82="","",IF($D82="","",IFERROR(ROUND($D82*INDEX('🔖 배합비 참조'!$B$2:$CE$83,MATCH("기타가공품(파인소프트 E-티)",'🔖 배합비 참조'!$A$2:$A$83,0),MATCH($C82,'🔖 배합비 참조'!$B$1:$CE$1,0))/100,0),""))),"")</f>
        <v>0</v>
      </c>
      <c r="U82" s="42" t="n">
        <f aca="false">IFERROR(IF($C82="","",IF($D82="","",IFERROR(ROUND($D82*INDEX('🔖 배합비 참조'!$B$2:$CE$83,MATCH("기타가공품(프리미엄카스테라가루)",'🔖 배합비 참조'!$A$2:$A$83,0),MATCH($C82,'🔖 배합비 참조'!$B$1:$CE$1,0))/100,0),""))),"")</f>
        <v>0</v>
      </c>
      <c r="V82" s="42" t="n">
        <f aca="false">IFERROR(IF($C82="","",IF($D82="","",IFERROR(ROUND($D82*INDEX('🔖 배합비 참조'!$B$2:$CE$83,MATCH("기타가공품(흑임자가루)",'🔖 배합비 참조'!$A$2:$A$83,0),MATCH($C82,'🔖 배합비 참조'!$B$1:$CE$1,0))/100,0),""))),"")</f>
        <v>0</v>
      </c>
      <c r="W82" s="42" t="n">
        <f aca="false">IFERROR(IF($C82="","",IF($D82="","",IFERROR(ROUND($D82*INDEX('🔖 배합비 참조'!$B$2:$CE$83,MATCH("기타설탕(흑설탕)",'🔖 배합비 참조'!$A$2:$A$83,0),MATCH($C82,'🔖 배합비 참조'!$B$1:$CE$1,0))/100,0),""))),"")</f>
        <v>0</v>
      </c>
      <c r="X82" s="42" t="n">
        <f aca="false">IFERROR(IF($C82="","",IF($D82="","",IFERROR(ROUND($D82*INDEX('🔖 배합비 참조'!$B$2:$CE$83,MATCH("냉동쑥(국내산)",'🔖 배합비 참조'!$A$2:$A$83,0),MATCH($C82,'🔖 배합비 참조'!$B$1:$CE$1,0))/100,0),""))),"")</f>
        <v>0</v>
      </c>
      <c r="Y82" s="42" t="n">
        <f aca="false">IFERROR(IF($C82="","",IF($D82="","",IFERROR(ROUND($D82*INDEX('🔖 배합비 참조'!$B$2:$CE$83,MATCH("냉동증숙고구마(중국산)",'🔖 배합비 참조'!$A$2:$A$83,0),MATCH($C82,'🔖 배합비 참조'!$B$1:$CE$1,0))/100,0),""))),"")</f>
        <v>0</v>
      </c>
      <c r="Z82" s="42" t="n">
        <f aca="false">IFERROR(IF($C82="","",IF($D82="","",IFERROR(ROUND($D82*INDEX('🔖 배합비 참조'!$B$2:$CE$83,MATCH("녹차가루",'🔖 배합비 참조'!$A$2:$A$83,0),MATCH($C82,'🔖 배합비 참조'!$B$1:$CE$1,0))/100,0),""))),"")</f>
        <v>0</v>
      </c>
      <c r="AA82" s="42" t="n">
        <f aca="false">IFERROR(IF($C82="","",IF($D82="","",IFERROR(ROUND($D82*INDEX('🔖 배합비 참조'!$B$2:$CE$83,MATCH("다크초콜릿 컴파운드칩",'🔖 배합비 참조'!$A$2:$A$83,0),MATCH($C82,'🔖 배합비 참조'!$B$1:$CE$1,0))/100,0),""))),"")</f>
        <v>0</v>
      </c>
      <c r="AB82" s="42" t="n">
        <f aca="false">IFERROR(IF($C82="","",IF($D82="","",IFERROR(ROUND($D82*INDEX('🔖 배합비 참조'!$B$2:$CE$83,MATCH("단호박분말(중국산)",'🔖 배합비 참조'!$A$2:$A$83,0),MATCH($C82,'🔖 배합비 참조'!$B$1:$CE$1,0))/100,0),""))),"")</f>
        <v>0</v>
      </c>
      <c r="AC82" s="42" t="n">
        <f aca="false">IFERROR(IF($C82="","",IF($D82="","",IFERROR(ROUND($D82*INDEX('🔖 배합비 참조'!$B$2:$CE$83,MATCH("당류가공품(단호박농축액)",'🔖 배합비 참조'!$A$2:$A$83,0),MATCH($C82,'🔖 배합비 참조'!$B$1:$CE$1,0))/100,0),""))),"")</f>
        <v>0</v>
      </c>
      <c r="AD82" s="42" t="n">
        <f aca="false">IFERROR(IF($C82="","",IF($D82="","",IFERROR(ROUND($D82*INDEX('🔖 배합비 참조'!$B$2:$CE$83,MATCH("당류가공품(알룰로스,에리스리톨,스테비올배당체혼합)",'🔖 배합비 참조'!$A$2:$A$83,0),MATCH($C82,'🔖 배합비 참조'!$B$1:$CE$1,0))/100,0),""))),"")</f>
        <v>0</v>
      </c>
      <c r="AE82" s="42" t="n">
        <f aca="false">IFERROR(IF($C82="","",IF($D82="","",IFERROR(ROUND($D82*INDEX('🔖 배합비 참조'!$B$2:$CE$83,MATCH("당류가공품(알룰로스제로파우더)",'🔖 배합비 참조'!$A$2:$A$83,0),MATCH($C82,'🔖 배합비 참조'!$B$1:$CE$1,0))/100,0),""))),"")</f>
        <v>0</v>
      </c>
      <c r="AF82" s="42" t="n">
        <f aca="false">IFERROR(IF($C82="","",IF($D82="","",IFERROR(ROUND($D82*INDEX('🔖 배합비 참조'!$B$2:$CE$83,MATCH("당절임(완두배기)",'🔖 배합비 참조'!$A$2:$A$83,0),MATCH($C82,'🔖 배합비 참조'!$B$1:$CE$1,0))/100,0),""))),"")</f>
        <v>0</v>
      </c>
      <c r="AG82" s="42" t="n">
        <f aca="false">IFERROR(IF($C82="","",IF($D82="","",IFERROR(ROUND($D82*INDEX('🔖 배합비 참조'!$B$2:$CE$83,MATCH("대추농축액",'🔖 배합비 참조'!$A$2:$A$83,0),MATCH($C82,'🔖 배합비 참조'!$B$1:$CE$1,0))/100,0),""))),"")</f>
        <v>0</v>
      </c>
      <c r="AH82" s="42" t="n">
        <f aca="false">IFERROR(IF($C82="","",IF($D82="","",IFERROR(ROUND($D82*INDEX('🔖 배합비 참조'!$B$2:$CE$83,MATCH("대추채(국내산)",'🔖 배합비 참조'!$A$2:$A$83,0),MATCH($C82,'🔖 배합비 참조'!$B$1:$CE$1,0))/100,0),""))),"")</f>
        <v>0</v>
      </c>
      <c r="AI82" s="42" t="n">
        <f aca="false">IFERROR(IF($C82="","",IF($D82="","",IFERROR(ROUND($D82*INDEX('🔖 배합비 참조'!$B$2:$CE$83,MATCH("동부(미얀마산)",'🔖 배합비 참조'!$A$2:$A$83,0),MATCH($C82,'🔖 배합비 참조'!$B$1:$CE$1,0))/100,0),""))),"")</f>
        <v>0</v>
      </c>
      <c r="AJ82" s="42" t="n">
        <f aca="false">IFERROR(IF($C82="","",IF($D82="","",IFERROR(ROUND($D82*INDEX('🔖 배합비 참조'!$B$2:$CE$83,MATCH("두류가공품(백옥앙금)",'🔖 배합비 참조'!$A$2:$A$83,0),MATCH($C82,'🔖 배합비 참조'!$B$1:$CE$1,0))/100,0),""))),"")</f>
        <v>0</v>
      </c>
      <c r="AK82" s="42" t="n">
        <f aca="false">IFERROR(IF($C82="","",IF($D82="","",IFERROR(ROUND($D82*INDEX('🔖 배합비 참조'!$B$2:$CE$83,MATCH("두류가공품(콩고물)",'🔖 배합비 참조'!$A$2:$A$83,0),MATCH($C82,'🔖 배합비 참조'!$B$1:$CE$1,0))/100,0),""))),"")</f>
        <v>0</v>
      </c>
      <c r="AL82" s="42" t="n">
        <f aca="false">IFERROR(IF($C82="","",IF($D82="","",IFERROR(ROUND($D82*INDEX('🔖 배합비 참조'!$B$2:$CE$83,MATCH("두류가공품(통팥고물)",'🔖 배합비 참조'!$A$2:$A$83,0),MATCH($C82,'🔖 배합비 참조'!$B$1:$CE$1,0))/100,0),""))),"")</f>
        <v>0</v>
      </c>
      <c r="AM82" s="42" t="n">
        <f aca="false">IFERROR(IF($C82="","",IF($D82="","",IFERROR(ROUND($D82*INDEX('🔖 배합비 참조'!$B$2:$CE$83,MATCH("딸기레진",'🔖 배합비 참조'!$A$2:$A$83,0),MATCH($C82,'🔖 배합비 참조'!$B$1:$CE$1,0))/100,0),""))),"")</f>
        <v>0</v>
      </c>
      <c r="AN82" s="42" t="n">
        <f aca="false">IFERROR(IF($C82="","",IF($D82="","",IFERROR(ROUND($D82*INDEX('🔖 배합비 참조'!$B$2:$CE$83,MATCH("딸기분말(스트로우베리에이드(분말))",'🔖 배합비 참조'!$A$2:$A$83,0),MATCH($C82,'🔖 배합비 참조'!$B$1:$CE$1,0))/100,0),""))),"")</f>
        <v>0</v>
      </c>
      <c r="AO82" s="42" t="n">
        <f aca="false">IFERROR(IF($C82="","",IF($D82="","",IFERROR(ROUND($D82*INDEX('🔖 배합비 참조'!$B$2:$CE$83,MATCH("마스카포네치즈",'🔖 배합비 참조'!$A$2:$A$83,0),MATCH($C82,'🔖 배합비 참조'!$B$1:$CE$1,0))/100,0),""))),"")</f>
        <v>0</v>
      </c>
      <c r="AP82" s="42" t="n">
        <f aca="false">IFERROR(IF($C82="","",IF($D82="","",IFERROR(ROUND($D82*INDEX('🔖 배합비 참조'!$B$2:$CE$83,MATCH("마카다미아분태(호주산)",'🔖 배합비 참조'!$A$2:$A$83,0),MATCH($C82,'🔖 배합비 참조'!$B$1:$CE$1,0))/100,0),""))),"")</f>
        <v>0</v>
      </c>
      <c r="AQ82" s="42" t="n">
        <f aca="false">IFERROR(IF($C82="","",IF($D82="","",IFERROR(ROUND($D82*INDEX('🔖 배합비 참조'!$B$2:$CE$83,MATCH("멥쌀(국내산)",'🔖 배합비 참조'!$A$2:$A$83,0),MATCH($C82,'🔖 배합비 참조'!$B$1:$CE$1,0))/100,0),""))),"")</f>
        <v>49</v>
      </c>
      <c r="AR82" s="42" t="n">
        <f aca="false">IFERROR(IF($C82="","",IF($D82="","",IFERROR(ROUND($D82*INDEX('🔖 배합비 참조'!$B$2:$CE$83,MATCH("모시잎(국내산)",'🔖 배합비 참조'!$A$2:$A$83,0),MATCH($C82,'🔖 배합비 참조'!$B$1:$CE$1,0))/100,0),""))),"")</f>
        <v>12</v>
      </c>
      <c r="AS82" s="42" t="n">
        <f aca="false">IFERROR(IF($C82="","",IF($D82="","",IFERROR(ROUND($D82*INDEX('🔖 배합비 참조'!$B$2:$CE$83,MATCH("물엿(저당물엿)",'🔖 배합비 참조'!$A$2:$A$83,0),MATCH($C82,'🔖 배합비 참조'!$B$1:$CE$1,0))/100,0),""))),"")</f>
        <v>2</v>
      </c>
      <c r="AT82" s="42" t="n">
        <f aca="false">IFERROR(IF($C82="","",IF($D82="","",IFERROR(ROUND($D82*INDEX('🔖 배합비 참조'!$B$2:$CE$83,MATCH("밤다이스",'🔖 배합비 참조'!$A$2:$A$83,0),MATCH($C82,'🔖 배합비 참조'!$B$1:$CE$1,0))/100,0),""))),"")</f>
        <v>0</v>
      </c>
      <c r="AU82" s="42" t="n">
        <f aca="false">IFERROR(IF($C82="","",IF($D82="","",IFERROR(ROUND($D82*INDEX('🔖 배합비 참조'!$B$2:$CE$83,MATCH("변성전분(타피오카전분)",'🔖 배합비 참조'!$A$2:$A$83,0),MATCH($C82,'🔖 배합비 참조'!$B$1:$CE$1,0))/100,0),""))),"")</f>
        <v>1</v>
      </c>
      <c r="AV82" s="42" t="n">
        <f aca="false">IFERROR(IF($C82="","",IF($D82="","",IFERROR(ROUND($D82*INDEX('🔖 배합비 참조'!$B$2:$CE$83,MATCH("복음땅콩분태",'🔖 배합비 참조'!$A$2:$A$83,0),MATCH($C82,'🔖 배합비 참조'!$B$1:$CE$1,0))/100,0),""))),"")</f>
        <v>0</v>
      </c>
      <c r="AW82" s="42" t="n">
        <f aca="false">IFERROR(IF($C82="","",IF($D82="","",IFERROR(ROUND($D82*INDEX('🔖 배합비 참조'!$B$2:$CE$83,MATCH("사양벌꿀(국내산)",'🔖 배합비 참조'!$A$2:$A$83,0),MATCH($C82,'🔖 배합비 참조'!$B$1:$CE$1,0))/100,0),""))),"")</f>
        <v>0</v>
      </c>
      <c r="AX82" s="42" t="n">
        <f aca="false">IFERROR(IF($C82="","",IF($D82="","",IFERROR(ROUND($D82*INDEX('🔖 배합비 참조'!$B$2:$CE$83,MATCH("생크림",'🔖 배합비 참조'!$A$2:$A$83,0),MATCH($C82,'🔖 배합비 참조'!$B$1:$CE$1,0))/100,0),""))),"")</f>
        <v>0</v>
      </c>
      <c r="AY82" s="42" t="n">
        <f aca="false">IFERROR(IF($C82="","",IF($D82="","",IFERROR(ROUND($D82*INDEX('🔖 배합비 참조'!$B$2:$CE$83,MATCH("서양호박(국내산,뉴질랜드산)",'🔖 배합비 참조'!$A$2:$A$83,0),MATCH($C82,'🔖 배합비 참조'!$B$1:$CE$1,0))/100,0),""))),"")</f>
        <v>0</v>
      </c>
      <c r="AZ82" s="42" t="n">
        <f aca="false">IFERROR(IF($C82="","",IF($D82="","",IFERROR(ROUND($D82*INDEX('🔖 배합비 참조'!$B$2:$CE$83,MATCH("설탕",'🔖 배합비 참조'!$A$2:$A$83,0),MATCH($C82,'🔖 배합비 참조'!$B$1:$CE$1,0))/100,0),""))),"")</f>
        <v>0</v>
      </c>
      <c r="BA82" s="42" t="n">
        <f aca="false">IFERROR(IF($C82="","",IF($D82="","",IFERROR(ROUND($D82*INDEX('🔖 배합비 참조'!$B$2:$CE$83,MATCH("스트로우베리 에이드 후레쉬",'🔖 배합비 참조'!$A$2:$A$83,0),MATCH($C82,'🔖 배합비 참조'!$B$1:$CE$1,0))/100,0),""))),"")</f>
        <v>0</v>
      </c>
      <c r="BB82" s="42" t="n">
        <f aca="false">IFERROR(IF($C82="","",IF($D82="","",IFERROR(ROUND($D82*INDEX('🔖 배합비 참조'!$B$2:$CE$83,MATCH("식물성기름혼합제제(분홍)",'🔖 배합비 참조'!$A$2:$A$83,0),MATCH($C82,'🔖 배합비 참조'!$B$1:$CE$1,0))/100,0),""))),"")</f>
        <v>0</v>
      </c>
      <c r="BC82" s="42" t="n">
        <f aca="false">IFERROR(IF($C82="","",IF($D82="","",IFERROR(ROUND($D82*INDEX('🔖 배합비 참조'!$B$2:$CE$83,MATCH("식물성기름혼합제제(초록)",'🔖 배합비 참조'!$A$2:$A$83,0),MATCH($C82,'🔖 배합비 참조'!$B$1:$CE$1,0))/100,0),""))),"")</f>
        <v>0</v>
      </c>
      <c r="BD82" s="42" t="n">
        <f aca="false">IFERROR(IF($C82="","",IF($D82="","",IFERROR(ROUND($D82*INDEX('🔖 배합비 참조'!$B$2:$CE$83,MATCH("식물성기름혼합제제(황색)",'🔖 배합비 참조'!$A$2:$A$83,0),MATCH($C82,'🔖 배합비 참조'!$B$1:$CE$1,0))/100,0),""))),"")</f>
        <v>0</v>
      </c>
      <c r="BE82" s="42" t="n">
        <f aca="false">IFERROR(IF($C82="","",IF($D82="","",IFERROR(ROUND($D82*INDEX('🔖 배합비 참조'!$B$2:$CE$83,MATCH("쑥가루(국내산)",'🔖 배합비 참조'!$A$2:$A$83,0),MATCH($C82,'🔖 배합비 참조'!$B$1:$CE$1,0))/100,0),""))),"")</f>
        <v>1</v>
      </c>
      <c r="BF82" s="42" t="n">
        <f aca="false">IFERROR(IF($C82="","",IF($D82="","",IFERROR(ROUND($D82*INDEX('🔖 배합비 참조'!$B$2:$CE$83,MATCH("아몬드슬라이스",'🔖 배합비 참조'!$A$2:$A$83,0),MATCH($C82,'🔖 배합비 참조'!$B$1:$CE$1,0))/100,0),""))),"")</f>
        <v>0</v>
      </c>
      <c r="BG82" s="42" t="n">
        <f aca="false">IFERROR(IF($C82="","",IF($D82="","",IFERROR(ROUND($D82*INDEX('🔖 배합비 참조'!$B$2:$CE$83,MATCH("알룰로오스(국내산)",'🔖 배합비 참조'!$A$2:$A$83,0),MATCH($C82,'🔖 배합비 참조'!$B$1:$CE$1,0))/100,0),""))),"")</f>
        <v>0</v>
      </c>
      <c r="BH82" s="42" t="n">
        <f aca="false">IFERROR(IF($C82="","",IF($D82="","",IFERROR(ROUND($D82*INDEX('🔖 배합비 참조'!$B$2:$CE$83,MATCH("연유",'🔖 배합비 참조'!$A$2:$A$83,0),MATCH($C82,'🔖 배합비 참조'!$B$1:$CE$1,0))/100,0),""))),"")</f>
        <v>0</v>
      </c>
      <c r="BI82" s="42" t="n">
        <f aca="false">IFERROR(IF($C82="","",IF($D82="","",IFERROR(ROUND($D82*INDEX('🔖 배합비 참조'!$B$2:$CE$83,MATCH("옥수수전분",'🔖 배합비 참조'!$A$2:$A$83,0),MATCH($C82,'🔖 배합비 참조'!$B$1:$CE$1,0))/100,0),""))),"")</f>
        <v>0</v>
      </c>
      <c r="BJ82" s="42" t="n">
        <f aca="false">IFERROR(IF($C82="","",IF($D82="","",IFERROR(ROUND($D82*INDEX('🔖 배합비 참조'!$B$2:$CE$83,MATCH("완두배기",'🔖 배합비 참조'!$A$2:$A$83,0),MATCH($C82,'🔖 배합비 참조'!$B$1:$CE$1,0))/100,0),""))),"")</f>
        <v>0</v>
      </c>
      <c r="BK82" s="42" t="n">
        <f aca="false">IFERROR(IF($C82="","",IF($D82="","",IFERROR(ROUND($D82*INDEX('🔖 배합비 참조'!$B$2:$CE$83,MATCH("우유(국내산)",'🔖 배합비 참조'!$A$2:$A$83,0),MATCH($C82,'🔖 배합비 참조'!$B$1:$CE$1,0))/100,0),""))),"")</f>
        <v>0</v>
      </c>
      <c r="BL82" s="42" t="n">
        <f aca="false">IFERROR(IF($C82="","",IF($D82="","",IFERROR(ROUND($D82*INDEX('🔖 배합비 참조'!$B$2:$CE$83,MATCH("자색고구마가루(중국산)",'🔖 배합비 참조'!$A$2:$A$83,0),MATCH($C82,'🔖 배합비 참조'!$B$1:$CE$1,0))/100,0),""))),"")</f>
        <v>0</v>
      </c>
      <c r="BM82" s="42" t="n">
        <f aca="false">IFERROR(IF($C82="","",IF($D82="","",IFERROR(ROUND($D82*INDEX('🔖 배합비 참조'!$B$2:$CE$83,MATCH("자연치즈(체다치즈)",'🔖 배합비 참조'!$A$2:$A$83,0),MATCH($C82,'🔖 배합비 참조'!$B$1:$CE$1,0))/100,0),""))),"")</f>
        <v>0</v>
      </c>
      <c r="BN82" s="42" t="n">
        <f aca="false">IFERROR(IF($C82="","",IF($D82="","",IFERROR(ROUND($D82*INDEX('🔖 배합비 참조'!$B$2:$CE$83,MATCH("정제수",'🔖 배합비 참조'!$A$2:$A$83,0),MATCH($C82,'🔖 배합비 참조'!$B$1:$CE$1,0))/100,0),""))),"")</f>
        <v>34</v>
      </c>
      <c r="BO82" s="42" t="n">
        <f aca="false">IFERROR(IF($C82="","",IF($D82="","",IFERROR(ROUND($D82*INDEX('🔖 배합비 참조'!$B$2:$CE$83,MATCH("젤라틴",'🔖 배합비 참조'!$A$2:$A$83,0),MATCH($C82,'🔖 배합비 참조'!$B$1:$CE$1,0))/100,0),""))),"")</f>
        <v>0</v>
      </c>
      <c r="BP82" s="42" t="n">
        <f aca="false">IFERROR(IF($C82="","",IF($D82="","",IFERROR(ROUND($D82*INDEX('🔖 배합비 참조'!$B$2:$CE$83,MATCH("조림류(백옥앙금)",'🔖 배합비 참조'!$A$2:$A$83,0),MATCH($C82,'🔖 배합비 참조'!$B$1:$CE$1,0))/100,0),""))),"")</f>
        <v>0</v>
      </c>
      <c r="BQ82" s="42" t="n">
        <f aca="false">IFERROR(IF($C82="","",IF($D82="","",IFERROR(ROUND($D82*INDEX('🔖 배합비 참조'!$B$2:$CE$83,MATCH("조림류(통팥앙금)",'🔖 배합비 참조'!$A$2:$A$83,0),MATCH($C82,'🔖 배합비 참조'!$B$1:$CE$1,0))/100,0),""))),"")</f>
        <v>0</v>
      </c>
      <c r="BR82" s="42" t="n">
        <f aca="false">IFERROR(IF($C82="","",IF($D82="","",IFERROR(ROUND($D82*INDEX('🔖 배합비 참조'!$B$2:$CE$83,MATCH("준초콜릿(외국산)",'🔖 배합비 참조'!$A$2:$A$83,0),MATCH($C82,'🔖 배합비 참조'!$B$1:$CE$1,0))/100,0),""))),"")</f>
        <v>0</v>
      </c>
      <c r="BS82" s="42" t="n">
        <f aca="false">IFERROR(IF($C82="","",IF($D82="","",IFERROR(ROUND($D82*INDEX('🔖 배합비 참조'!$B$2:$CE$83,MATCH("중력분",'🔖 배합비 참조'!$A$2:$A$83,0),MATCH($C82,'🔖 배합비 참조'!$B$1:$CE$1,0))/100,0),""))),"")</f>
        <v>0</v>
      </c>
      <c r="BT82" s="42" t="n">
        <f aca="false">IFERROR(IF($C82="","",IF($D82="","",IFERROR(ROUND($D82*INDEX('🔖 배합비 참조'!$B$2:$CE$83,MATCH("참깨(인도산,나이지리아산,탄자니아산,미얀마산)",'🔖 배합비 참조'!$A$2:$A$83,0),MATCH($C82,'🔖 배합비 참조'!$B$1:$CE$1,0))/100,0),""))),"")</f>
        <v>0</v>
      </c>
      <c r="BU82" s="42" t="n">
        <f aca="false">IFERROR(IF($C82="","",IF($D82="","",IFERROR(ROUND($D82*INDEX('🔖 배합비 참조'!$B$2:$CE$83,MATCH("찹쌀(국내산)",'🔖 배합비 참조'!$A$2:$A$83,0),MATCH($C82,'🔖 배합비 참조'!$B$1:$CE$1,0))/100,0),""))),"")</f>
        <v>0</v>
      </c>
      <c r="BV82" s="42" t="n">
        <f aca="false">IFERROR(IF($C82="","",IF($D82="","",IFERROR(ROUND($D82*INDEX('🔖 배합비 참조'!$B$2:$CE$83,MATCH("천일염",'🔖 배합비 참조'!$A$2:$A$83,0),MATCH($C82,'🔖 배합비 참조'!$B$1:$CE$1,0))/100,0),""))),"")</f>
        <v>1</v>
      </c>
      <c r="BW82" s="42" t="n">
        <f aca="false">IFERROR(IF($C82="","",IF($D82="","",IFERROR(ROUND($D82*INDEX('🔖 배합비 참조'!$B$2:$CE$83,MATCH("치즈 [크림치즈]",'🔖 배합비 참조'!$A$2:$A$83,0),MATCH($C82,'🔖 배합비 참조'!$B$1:$CE$1,0))/100,0),""))),"")</f>
        <v>0</v>
      </c>
      <c r="BX82" s="42" t="n">
        <f aca="false">IFERROR(IF($C82="","",IF($D82="","",IFERROR(ROUND($D82*INDEX('🔖 배합비 참조'!$B$2:$CE$83,MATCH("코코아가공품류(코코아분말)",'🔖 배합비 참조'!$A$2:$A$83,0),MATCH($C82,'🔖 배합비 참조'!$B$1:$CE$1,0))/100,0),""))),"")</f>
        <v>0</v>
      </c>
      <c r="BY82" s="42" t="n">
        <f aca="false">IFERROR(IF($C82="","",IF($D82="","",IFERROR(ROUND($D82*INDEX('🔖 배합비 참조'!$B$2:$CE$83,MATCH("콩기름(대두유)",'🔖 배합비 참조'!$A$2:$A$83,0),MATCH($C82,'🔖 배합비 참조'!$B$1:$CE$1,0))/100,0),""))),"")</f>
        <v>1</v>
      </c>
      <c r="BZ82" s="42" t="n">
        <f aca="false">IFERROR(IF($C82="","",IF($D82="","",IFERROR(ROUND($D82*INDEX('🔖 배합비 참조'!$B$2:$CE$83,MATCH("해바라기씨앗",'🔖 배합비 참조'!$A$2:$A$83,0),MATCH($C82,'🔖 배합비 참조'!$B$1:$CE$1,0))/100,0),""))),"")</f>
        <v>0</v>
      </c>
      <c r="CA82" s="42" t="n">
        <f aca="false">IFERROR(IF($C82="","",IF($D82="","",IFERROR(ROUND($D82*INDEX('🔖 배합비 참조'!$B$2:$CE$83,MATCH("현미(국내산)",'🔖 배합비 참조'!$A$2:$A$83,0),MATCH($C82,'🔖 배합비 참조'!$B$1:$CE$1,0))/100,0),""))),"")</f>
        <v>0</v>
      </c>
      <c r="CB82" s="42" t="n">
        <f aca="false">IFERROR(IF($C82="","",IF($D82="","",IFERROR(ROUND($D82*INDEX('🔖 배합비 참조'!$B$2:$CE$83,MATCH("현미멥쌀(국내산)",'🔖 배합비 참조'!$A$2:$A$83,0),MATCH($C82,'🔖 배합비 참조'!$B$1:$CE$1,0))/100,0),""))),"")</f>
        <v>0</v>
      </c>
      <c r="CC82" s="42" t="n">
        <f aca="false">IFERROR(IF($C82="","",IF($D82="","",IFERROR(ROUND($D82*INDEX('🔖 배합비 참조'!$B$2:$CE$83,MATCH("호두분태(미국산)",'🔖 배합비 참조'!$A$2:$A$83,0),MATCH($C82,'🔖 배합비 참조'!$B$1:$CE$1,0))/100,0),""))),"")</f>
        <v>0</v>
      </c>
      <c r="CD82" s="42" t="n">
        <f aca="false">IFERROR(IF($C82="","",IF($D82="","",IFERROR(ROUND($D82*INDEX('🔖 배합비 참조'!$B$2:$CE$83,MATCH("호박씨앗(외국산)",'🔖 배합비 참조'!$A$2:$A$83,0),MATCH($C82,'🔖 배합비 참조'!$B$1:$CE$1,0))/100,0),""))),"")</f>
        <v>0</v>
      </c>
      <c r="CE82" s="42" t="n">
        <f aca="false">IFERROR(IF($C82="","",IF($D82="","",IFERROR(ROUND($D82*INDEX('🔖 배합비 참조'!$B$2:$CE$83,MATCH("혼합제제(떡용에스텔)",'🔖 배합비 참조'!$A$2:$A$83,0),MATCH($C82,'🔖 배합비 참조'!$B$1:$CE$1,0))/100,0),""))),"")</f>
        <v>0</v>
      </c>
      <c r="CF82" s="42" t="n">
        <f aca="false">IFERROR(IF($C82="","",IF($D82="","",IFERROR(ROUND($D82*INDEX('🔖 배합비 참조'!$B$2:$CE$83,MATCH("혼합제제(스테비아)",'🔖 배합비 참조'!$A$2:$A$83,0),MATCH($C82,'🔖 배합비 참조'!$B$1:$CE$1,0))/100,0),""))),"")</f>
        <v>0</v>
      </c>
      <c r="CG82" s="42" t="n">
        <f aca="false">IFERROR(IF($C82="","",IF($D82="","",IFERROR(ROUND($D82*INDEX('🔖 배합비 참조'!$B$2:$CE$83,MATCH("화이트초콜릿",'🔖 배합비 참조'!$A$2:$A$83,0),MATCH($C82,'🔖 배합비 참조'!$B$1:$CE$1,0))/100,0),""))),"")</f>
        <v>0</v>
      </c>
      <c r="CH82" s="42" t="n">
        <f aca="false">IFERROR(IF($C82="","",IF($D82="","",IFERROR(ROUND($D82*INDEX('🔖 배합비 참조'!$B$2:$CE$83,MATCH("흑미찹쌀(국내산)",'🔖 배합비 참조'!$A$2:$A$83,0),MATCH($C82,'🔖 배합비 참조'!$B$1:$CE$1,0))/100,0),""))),"")</f>
        <v>0</v>
      </c>
      <c r="CI82" s="42" t="n">
        <f aca="false">IFERROR(IF($C82="","",IF($D82="","",IFERROR(ROUND($D82*INDEX('🔖 배합비 참조'!$B$2:$CE$83,MATCH("찰옥수수전분(미국산)",'🔖 배합비 참조'!$A$2:$A$83,0),MATCH($C82,'🔖 배합비 참조'!$B$1:$CE$1,0))/100,0),""))),"")</f>
        <v>0</v>
      </c>
      <c r="CJ82" s="40"/>
      <c r="CL82" s="1" t="s">
        <v>238</v>
      </c>
    </row>
    <row r="83" customFormat="false" ht="18" hidden="false" customHeight="true" outlineLevel="0" collapsed="false">
      <c r="A83" s="35" t="n">
        <v>79</v>
      </c>
      <c r="B83" s="36" t="n">
        <v>45980</v>
      </c>
      <c r="C83" s="37" t="s">
        <v>174</v>
      </c>
      <c r="D83" s="38" t="n">
        <v>187</v>
      </c>
      <c r="E83" s="13"/>
      <c r="F83" s="13"/>
      <c r="G83" s="39" t="n">
        <f aca="false">IFERROR(IF($C83="","",IF($D83="","",IFERROR(ROUND($D83*INDEX('🔖 배합비 참조'!$B$2:$CE$83,MATCH("간장",'🔖 배합비 참조'!$A$2:$A$83,0),MATCH($C83,'🔖 배합비 참조'!$B$1:$CE$1,0))/100,0),""))),"")</f>
        <v>0</v>
      </c>
      <c r="H83" s="39" t="n">
        <f aca="false">IFERROR(IF($C83="","",IF($D83="","",IFERROR(ROUND($D83*INDEX('🔖 배합비 참조'!$B$2:$CE$83,MATCH("강낭콩((울타리콩))",'🔖 배합비 참조'!$A$2:$A$83,0),MATCH($C83,'🔖 배합비 참조'!$B$1:$CE$1,0))/100,0),""))),"")</f>
        <v>0</v>
      </c>
      <c r="I83" s="39" t="n">
        <f aca="false">IFERROR(IF($C83="","",IF($D83="","",IFERROR(ROUND($D83*INDEX('🔖 배합비 참조'!$B$2:$CE$83,MATCH("건조딸기다이스(외국산)",'🔖 배합비 참조'!$A$2:$A$83,0),MATCH($C83,'🔖 배합비 참조'!$B$1:$CE$1,0))/100,0),""))),"")</f>
        <v>0</v>
      </c>
      <c r="J83" s="39" t="n">
        <f aca="false">IFERROR(IF($C83="","",IF($D83="","",IFERROR(ROUND($D83*INDEX('🔖 배합비 참조'!$B$2:$CE$83,MATCH("건포도",'🔖 배합비 참조'!$A$2:$A$83,0),MATCH($C83,'🔖 배합비 참조'!$B$1:$CE$1,0))/100,0),""))),"")</f>
        <v>0</v>
      </c>
      <c r="K83" s="39" t="n">
        <f aca="false">IFERROR(IF($C83="","",IF($D83="","",IFERROR(ROUND($D83*INDEX('🔖 배합비 참조'!$B$2:$CE$83,MATCH("건호박채(중국산)",'🔖 배합비 참조'!$A$2:$A$83,0),MATCH($C83,'🔖 배합비 참조'!$B$1:$CE$1,0))/100,0),""))),"")</f>
        <v>0</v>
      </c>
      <c r="L83" s="39" t="n">
        <f aca="false">IFERROR(IF($C83="","",IF($D83="","",IFERROR(ROUND($D83*INDEX('🔖 배합비 참조'!$B$2:$CE$83,MATCH("검정깨(흑임자)",'🔖 배합비 참조'!$A$2:$A$83,0),MATCH($C83,'🔖 배합비 참조'!$B$1:$CE$1,0))/100,0),""))),"")</f>
        <v>0</v>
      </c>
      <c r="M83" s="39" t="n">
        <f aca="false">IFERROR(IF($C83="","",IF($D83="","",IFERROR(ROUND($D83*INDEX('🔖 배합비 참조'!$B$2:$CE$83,MATCH("검정콩",'🔖 배합비 참조'!$A$2:$A$83,0),MATCH($C83,'🔖 배합비 참조'!$B$1:$CE$1,0))/100,0),""))),"")</f>
        <v>0</v>
      </c>
      <c r="N83" s="39" t="n">
        <f aca="false">IFERROR(IF($C83="","",IF($D83="","",IFERROR(ROUND($D83*INDEX('🔖 배합비 참조'!$B$2:$CE$83,MATCH("계피가루",'🔖 배합비 참조'!$A$2:$A$83,0),MATCH($C83,'🔖 배합비 참조'!$B$1:$CE$1,0))/100,0),""))),"")</f>
        <v>0</v>
      </c>
      <c r="O83" s="39" t="n">
        <f aca="false">IFERROR(IF($C83="","",IF($D83="","",IFERROR(ROUND($D83*INDEX('🔖 배합비 참조'!$B$2:$CE$83,MATCH("고구마가루",'🔖 배합비 참조'!$A$2:$A$83,0),MATCH($C83,'🔖 배합비 참조'!$B$1:$CE$1,0))/100,0),""))),"")</f>
        <v>0</v>
      </c>
      <c r="P83" s="39" t="n">
        <f aca="false">IFERROR(IF($C83="","",IF($D83="","",IFERROR(ROUND($D83*INDEX('🔖 배합비 참조'!$B$2:$CE$83,MATCH("고구마무스",'🔖 배합비 참조'!$A$2:$A$83,0),MATCH($C83,'🔖 배합비 참조'!$B$1:$CE$1,0))/100,0),""))),"")</f>
        <v>0</v>
      </c>
      <c r="Q83" s="39" t="n">
        <f aca="false">IFERROR(IF($C83="","",IF($D83="","",IFERROR(ROUND($D83*INDEX('🔖 배합비 참조'!$B$2:$CE$83,MATCH("고려엉겅퀴((곤드레)국내산)",'🔖 배합비 참조'!$A$2:$A$83,0),MATCH($C83,'🔖 배합비 참조'!$B$1:$CE$1,0))/100,0),""))),"")</f>
        <v>0</v>
      </c>
      <c r="R83" s="39" t="n">
        <f aca="false">IFERROR(IF($C83="","",IF($D83="","",IFERROR(ROUND($D83*INDEX('🔖 배합비 참조'!$B$2:$CE$83,MATCH("기타가공품(복분자가루)",'🔖 배합비 참조'!$A$2:$A$83,0),MATCH($C83,'🔖 배합비 참조'!$B$1:$CE$1,0))/100,0),""))),"")</f>
        <v>0</v>
      </c>
      <c r="S83" s="39" t="n">
        <f aca="false">IFERROR(IF($C83="","",IF($D83="","",IFERROR(ROUND($D83*INDEX('🔖 배합비 참조'!$B$2:$CE$83,MATCH("기타가공품(슈퍼소프트엠)",'🔖 배합비 참조'!$A$2:$A$83,0),MATCH($C83,'🔖 배합비 참조'!$B$1:$CE$1,0))/100,0),""))),"")</f>
        <v>0</v>
      </c>
      <c r="T83" s="39" t="n">
        <f aca="false">IFERROR(IF($C83="","",IF($D83="","",IFERROR(ROUND($D83*INDEX('🔖 배합비 참조'!$B$2:$CE$83,MATCH("기타가공품(파인소프트 E-티)",'🔖 배합비 참조'!$A$2:$A$83,0),MATCH($C83,'🔖 배합비 참조'!$B$1:$CE$1,0))/100,0),""))),"")</f>
        <v>0</v>
      </c>
      <c r="U83" s="39" t="n">
        <f aca="false">IFERROR(IF($C83="","",IF($D83="","",IFERROR(ROUND($D83*INDEX('🔖 배합비 참조'!$B$2:$CE$83,MATCH("기타가공품(프리미엄카스테라가루)",'🔖 배합비 참조'!$A$2:$A$83,0),MATCH($C83,'🔖 배합비 참조'!$B$1:$CE$1,0))/100,0),""))),"")</f>
        <v>0</v>
      </c>
      <c r="V83" s="39" t="n">
        <f aca="false">IFERROR(IF($C83="","",IF($D83="","",IFERROR(ROUND($D83*INDEX('🔖 배합비 참조'!$B$2:$CE$83,MATCH("기타가공품(흑임자가루)",'🔖 배합비 참조'!$A$2:$A$83,0),MATCH($C83,'🔖 배합비 참조'!$B$1:$CE$1,0))/100,0),""))),"")</f>
        <v>0</v>
      </c>
      <c r="W83" s="39" t="n">
        <f aca="false">IFERROR(IF($C83="","",IF($D83="","",IFERROR(ROUND($D83*INDEX('🔖 배합비 참조'!$B$2:$CE$83,MATCH("기타설탕(흑설탕)",'🔖 배합비 참조'!$A$2:$A$83,0),MATCH($C83,'🔖 배합비 참조'!$B$1:$CE$1,0))/100,0),""))),"")</f>
        <v>0</v>
      </c>
      <c r="X83" s="39" t="n">
        <f aca="false">IFERROR(IF($C83="","",IF($D83="","",IFERROR(ROUND($D83*INDEX('🔖 배합비 참조'!$B$2:$CE$83,MATCH("냉동쑥(국내산)",'🔖 배합비 참조'!$A$2:$A$83,0),MATCH($C83,'🔖 배합비 참조'!$B$1:$CE$1,0))/100,0),""))),"")</f>
        <v>23</v>
      </c>
      <c r="Y83" s="39" t="n">
        <f aca="false">IFERROR(IF($C83="","",IF($D83="","",IFERROR(ROUND($D83*INDEX('🔖 배합비 참조'!$B$2:$CE$83,MATCH("냉동증숙고구마(중국산)",'🔖 배합비 참조'!$A$2:$A$83,0),MATCH($C83,'🔖 배합비 참조'!$B$1:$CE$1,0))/100,0),""))),"")</f>
        <v>0</v>
      </c>
      <c r="Z83" s="39" t="n">
        <f aca="false">IFERROR(IF($C83="","",IF($D83="","",IFERROR(ROUND($D83*INDEX('🔖 배합비 참조'!$B$2:$CE$83,MATCH("녹차가루",'🔖 배합비 참조'!$A$2:$A$83,0),MATCH($C83,'🔖 배합비 참조'!$B$1:$CE$1,0))/100,0),""))),"")</f>
        <v>0</v>
      </c>
      <c r="AA83" s="39" t="n">
        <f aca="false">IFERROR(IF($C83="","",IF($D83="","",IFERROR(ROUND($D83*INDEX('🔖 배합비 참조'!$B$2:$CE$83,MATCH("다크초콜릿 컴파운드칩",'🔖 배합비 참조'!$A$2:$A$83,0),MATCH($C83,'🔖 배합비 참조'!$B$1:$CE$1,0))/100,0),""))),"")</f>
        <v>0</v>
      </c>
      <c r="AB83" s="39" t="n">
        <f aca="false">IFERROR(IF($C83="","",IF($D83="","",IFERROR(ROUND($D83*INDEX('🔖 배합비 참조'!$B$2:$CE$83,MATCH("단호박분말(중국산)",'🔖 배합비 참조'!$A$2:$A$83,0),MATCH($C83,'🔖 배합비 참조'!$B$1:$CE$1,0))/100,0),""))),"")</f>
        <v>0</v>
      </c>
      <c r="AC83" s="39" t="n">
        <f aca="false">IFERROR(IF($C83="","",IF($D83="","",IFERROR(ROUND($D83*INDEX('🔖 배합비 참조'!$B$2:$CE$83,MATCH("당류가공품(단호박농축액)",'🔖 배합비 참조'!$A$2:$A$83,0),MATCH($C83,'🔖 배합비 참조'!$B$1:$CE$1,0))/100,0),""))),"")</f>
        <v>0</v>
      </c>
      <c r="AD83" s="39" t="n">
        <f aca="false">IFERROR(IF($C83="","",IF($D83="","",IFERROR(ROUND($D83*INDEX('🔖 배합비 참조'!$B$2:$CE$83,MATCH("당류가공품(알룰로스,에리스리톨,스테비올배당체혼합)",'🔖 배합비 참조'!$A$2:$A$83,0),MATCH($C83,'🔖 배합비 참조'!$B$1:$CE$1,0))/100,0),""))),"")</f>
        <v>0</v>
      </c>
      <c r="AE83" s="39" t="n">
        <f aca="false">IFERROR(IF($C83="","",IF($D83="","",IFERROR(ROUND($D83*INDEX('🔖 배합비 참조'!$B$2:$CE$83,MATCH("당류가공품(알룰로스제로파우더)",'🔖 배합비 참조'!$A$2:$A$83,0),MATCH($C83,'🔖 배합비 참조'!$B$1:$CE$1,0))/100,0),""))),"")</f>
        <v>0</v>
      </c>
      <c r="AF83" s="39" t="n">
        <f aca="false">IFERROR(IF($C83="","",IF($D83="","",IFERROR(ROUND($D83*INDEX('🔖 배합비 참조'!$B$2:$CE$83,MATCH("당절임(완두배기)",'🔖 배합비 참조'!$A$2:$A$83,0),MATCH($C83,'🔖 배합비 참조'!$B$1:$CE$1,0))/100,0),""))),"")</f>
        <v>0</v>
      </c>
      <c r="AG83" s="39" t="n">
        <f aca="false">IFERROR(IF($C83="","",IF($D83="","",IFERROR(ROUND($D83*INDEX('🔖 배합비 참조'!$B$2:$CE$83,MATCH("대추농축액",'🔖 배합비 참조'!$A$2:$A$83,0),MATCH($C83,'🔖 배합비 참조'!$B$1:$CE$1,0))/100,0),""))),"")</f>
        <v>0</v>
      </c>
      <c r="AH83" s="39" t="n">
        <f aca="false">IFERROR(IF($C83="","",IF($D83="","",IFERROR(ROUND($D83*INDEX('🔖 배합비 참조'!$B$2:$CE$83,MATCH("대추채(국내산)",'🔖 배합비 참조'!$A$2:$A$83,0),MATCH($C83,'🔖 배합비 참조'!$B$1:$CE$1,0))/100,0),""))),"")</f>
        <v>0</v>
      </c>
      <c r="AI83" s="39" t="n">
        <f aca="false">IFERROR(IF($C83="","",IF($D83="","",IFERROR(ROUND($D83*INDEX('🔖 배합비 참조'!$B$2:$CE$83,MATCH("동부(미얀마산)",'🔖 배합비 참조'!$A$2:$A$83,0),MATCH($C83,'🔖 배합비 참조'!$B$1:$CE$1,0))/100,0),""))),"")</f>
        <v>0</v>
      </c>
      <c r="AJ83" s="39" t="n">
        <f aca="false">IFERROR(IF($C83="","",IF($D83="","",IFERROR(ROUND($D83*INDEX('🔖 배합비 참조'!$B$2:$CE$83,MATCH("두류가공품(백옥앙금)",'🔖 배합비 참조'!$A$2:$A$83,0),MATCH($C83,'🔖 배합비 참조'!$B$1:$CE$1,0))/100,0),""))),"")</f>
        <v>0</v>
      </c>
      <c r="AK83" s="39" t="n">
        <f aca="false">IFERROR(IF($C83="","",IF($D83="","",IFERROR(ROUND($D83*INDEX('🔖 배합비 참조'!$B$2:$CE$83,MATCH("두류가공품(콩고물)",'🔖 배합비 참조'!$A$2:$A$83,0),MATCH($C83,'🔖 배합비 참조'!$B$1:$CE$1,0))/100,0),""))),"")</f>
        <v>0</v>
      </c>
      <c r="AL83" s="39" t="n">
        <f aca="false">IFERROR(IF($C83="","",IF($D83="","",IFERROR(ROUND($D83*INDEX('🔖 배합비 참조'!$B$2:$CE$83,MATCH("두류가공품(통팥고물)",'🔖 배합비 참조'!$A$2:$A$83,0),MATCH($C83,'🔖 배합비 참조'!$B$1:$CE$1,0))/100,0),""))),"")</f>
        <v>0</v>
      </c>
      <c r="AM83" s="39" t="n">
        <f aca="false">IFERROR(IF($C83="","",IF($D83="","",IFERROR(ROUND($D83*INDEX('🔖 배합비 참조'!$B$2:$CE$83,MATCH("딸기레진",'🔖 배합비 참조'!$A$2:$A$83,0),MATCH($C83,'🔖 배합비 참조'!$B$1:$CE$1,0))/100,0),""))),"")</f>
        <v>0</v>
      </c>
      <c r="AN83" s="39" t="n">
        <f aca="false">IFERROR(IF($C83="","",IF($D83="","",IFERROR(ROUND($D83*INDEX('🔖 배합비 참조'!$B$2:$CE$83,MATCH("딸기분말(스트로우베리에이드(분말))",'🔖 배합비 참조'!$A$2:$A$83,0),MATCH($C83,'🔖 배합비 참조'!$B$1:$CE$1,0))/100,0),""))),"")</f>
        <v>0</v>
      </c>
      <c r="AO83" s="39" t="n">
        <f aca="false">IFERROR(IF($C83="","",IF($D83="","",IFERROR(ROUND($D83*INDEX('🔖 배합비 참조'!$B$2:$CE$83,MATCH("마스카포네치즈",'🔖 배합비 참조'!$A$2:$A$83,0),MATCH($C83,'🔖 배합비 참조'!$B$1:$CE$1,0))/100,0),""))),"")</f>
        <v>0</v>
      </c>
      <c r="AP83" s="39" t="n">
        <f aca="false">IFERROR(IF($C83="","",IF($D83="","",IFERROR(ROUND($D83*INDEX('🔖 배합비 참조'!$B$2:$CE$83,MATCH("마카다미아분태(호주산)",'🔖 배합비 참조'!$A$2:$A$83,0),MATCH($C83,'🔖 배합비 참조'!$B$1:$CE$1,0))/100,0),""))),"")</f>
        <v>0</v>
      </c>
      <c r="AQ83" s="39" t="n">
        <f aca="false">IFERROR(IF($C83="","",IF($D83="","",IFERROR(ROUND($D83*INDEX('🔖 배합비 참조'!$B$2:$CE$83,MATCH("멥쌀(국내산)",'🔖 배합비 참조'!$A$2:$A$83,0),MATCH($C83,'🔖 배합비 참조'!$B$1:$CE$1,0))/100,0),""))),"")</f>
        <v>91</v>
      </c>
      <c r="AR83" s="39" t="n">
        <f aca="false">IFERROR(IF($C83="","",IF($D83="","",IFERROR(ROUND($D83*INDEX('🔖 배합비 참조'!$B$2:$CE$83,MATCH("모시잎(국내산)",'🔖 배합비 참조'!$A$2:$A$83,0),MATCH($C83,'🔖 배합비 참조'!$B$1:$CE$1,0))/100,0),""))),"")</f>
        <v>0</v>
      </c>
      <c r="AS83" s="39" t="n">
        <f aca="false">IFERROR(IF($C83="","",IF($D83="","",IFERROR(ROUND($D83*INDEX('🔖 배합비 참조'!$B$2:$CE$83,MATCH("물엿(저당물엿)",'🔖 배합비 참조'!$A$2:$A$83,0),MATCH($C83,'🔖 배합비 참조'!$B$1:$CE$1,0))/100,0),""))),"")</f>
        <v>4</v>
      </c>
      <c r="AT83" s="39" t="n">
        <f aca="false">IFERROR(IF($C83="","",IF($D83="","",IFERROR(ROUND($D83*INDEX('🔖 배합비 참조'!$B$2:$CE$83,MATCH("밤다이스",'🔖 배합비 참조'!$A$2:$A$83,0),MATCH($C83,'🔖 배합비 참조'!$B$1:$CE$1,0))/100,0),""))),"")</f>
        <v>0</v>
      </c>
      <c r="AU83" s="39" t="n">
        <f aca="false">IFERROR(IF($C83="","",IF($D83="","",IFERROR(ROUND($D83*INDEX('🔖 배합비 참조'!$B$2:$CE$83,MATCH("변성전분(타피오카전분)",'🔖 배합비 참조'!$A$2:$A$83,0),MATCH($C83,'🔖 배합비 참조'!$B$1:$CE$1,0))/100,0),""))),"")</f>
        <v>2</v>
      </c>
      <c r="AV83" s="39" t="n">
        <f aca="false">IFERROR(IF($C83="","",IF($D83="","",IFERROR(ROUND($D83*INDEX('🔖 배합비 참조'!$B$2:$CE$83,MATCH("복음땅콩분태",'🔖 배합비 참조'!$A$2:$A$83,0),MATCH($C83,'🔖 배합비 참조'!$B$1:$CE$1,0))/100,0),""))),"")</f>
        <v>0</v>
      </c>
      <c r="AW83" s="39" t="n">
        <f aca="false">IFERROR(IF($C83="","",IF($D83="","",IFERROR(ROUND($D83*INDEX('🔖 배합비 참조'!$B$2:$CE$83,MATCH("사양벌꿀(국내산)",'🔖 배합비 참조'!$A$2:$A$83,0),MATCH($C83,'🔖 배합비 참조'!$B$1:$CE$1,0))/100,0),""))),"")</f>
        <v>0</v>
      </c>
      <c r="AX83" s="39" t="n">
        <f aca="false">IFERROR(IF($C83="","",IF($D83="","",IFERROR(ROUND($D83*INDEX('🔖 배합비 참조'!$B$2:$CE$83,MATCH("생크림",'🔖 배합비 참조'!$A$2:$A$83,0),MATCH($C83,'🔖 배합비 참조'!$B$1:$CE$1,0))/100,0),""))),"")</f>
        <v>0</v>
      </c>
      <c r="AY83" s="39" t="n">
        <f aca="false">IFERROR(IF($C83="","",IF($D83="","",IFERROR(ROUND($D83*INDEX('🔖 배합비 참조'!$B$2:$CE$83,MATCH("서양호박(국내산,뉴질랜드산)",'🔖 배합비 참조'!$A$2:$A$83,0),MATCH($C83,'🔖 배합비 참조'!$B$1:$CE$1,0))/100,0),""))),"")</f>
        <v>0</v>
      </c>
      <c r="AZ83" s="39" t="n">
        <f aca="false">IFERROR(IF($C83="","",IF($D83="","",IFERROR(ROUND($D83*INDEX('🔖 배합비 참조'!$B$2:$CE$83,MATCH("설탕",'🔖 배합비 참조'!$A$2:$A$83,0),MATCH($C83,'🔖 배합비 참조'!$B$1:$CE$1,0))/100,0),""))),"")</f>
        <v>0</v>
      </c>
      <c r="BA83" s="39" t="n">
        <f aca="false">IFERROR(IF($C83="","",IF($D83="","",IFERROR(ROUND($D83*INDEX('🔖 배합비 참조'!$B$2:$CE$83,MATCH("스트로우베리 에이드 후레쉬",'🔖 배합비 참조'!$A$2:$A$83,0),MATCH($C83,'🔖 배합비 참조'!$B$1:$CE$1,0))/100,0),""))),"")</f>
        <v>0</v>
      </c>
      <c r="BB83" s="39" t="n">
        <f aca="false">IFERROR(IF($C83="","",IF($D83="","",IFERROR(ROUND($D83*INDEX('🔖 배합비 참조'!$B$2:$CE$83,MATCH("식물성기름혼합제제(분홍)",'🔖 배합비 참조'!$A$2:$A$83,0),MATCH($C83,'🔖 배합비 참조'!$B$1:$CE$1,0))/100,0),""))),"")</f>
        <v>0</v>
      </c>
      <c r="BC83" s="39" t="n">
        <f aca="false">IFERROR(IF($C83="","",IF($D83="","",IFERROR(ROUND($D83*INDEX('🔖 배합비 참조'!$B$2:$CE$83,MATCH("식물성기름혼합제제(초록)",'🔖 배합비 참조'!$A$2:$A$83,0),MATCH($C83,'🔖 배합비 참조'!$B$1:$CE$1,0))/100,0),""))),"")</f>
        <v>0</v>
      </c>
      <c r="BD83" s="39" t="n">
        <f aca="false">IFERROR(IF($C83="","",IF($D83="","",IFERROR(ROUND($D83*INDEX('🔖 배합비 참조'!$B$2:$CE$83,MATCH("식물성기름혼합제제(황색)",'🔖 배합비 참조'!$A$2:$A$83,0),MATCH($C83,'🔖 배합비 참조'!$B$1:$CE$1,0))/100,0),""))),"")</f>
        <v>0</v>
      </c>
      <c r="BE83" s="39" t="n">
        <f aca="false">IFERROR(IF($C83="","",IF($D83="","",IFERROR(ROUND($D83*INDEX('🔖 배합비 참조'!$B$2:$CE$83,MATCH("쑥가루(국내산)",'🔖 배합비 참조'!$A$2:$A$83,0),MATCH($C83,'🔖 배합비 참조'!$B$1:$CE$1,0))/100,0),""))),"")</f>
        <v>2</v>
      </c>
      <c r="BF83" s="39" t="n">
        <f aca="false">IFERROR(IF($C83="","",IF($D83="","",IFERROR(ROUND($D83*INDEX('🔖 배합비 참조'!$B$2:$CE$83,MATCH("아몬드슬라이스",'🔖 배합비 참조'!$A$2:$A$83,0),MATCH($C83,'🔖 배합비 참조'!$B$1:$CE$1,0))/100,0),""))),"")</f>
        <v>0</v>
      </c>
      <c r="BG83" s="39" t="n">
        <f aca="false">IFERROR(IF($C83="","",IF($D83="","",IFERROR(ROUND($D83*INDEX('🔖 배합비 참조'!$B$2:$CE$83,MATCH("알룰로오스(국내산)",'🔖 배합비 참조'!$A$2:$A$83,0),MATCH($C83,'🔖 배합비 참조'!$B$1:$CE$1,0))/100,0),""))),"")</f>
        <v>0</v>
      </c>
      <c r="BH83" s="39" t="n">
        <f aca="false">IFERROR(IF($C83="","",IF($D83="","",IFERROR(ROUND($D83*INDEX('🔖 배합비 참조'!$B$2:$CE$83,MATCH("연유",'🔖 배합비 참조'!$A$2:$A$83,0),MATCH($C83,'🔖 배합비 참조'!$B$1:$CE$1,0))/100,0),""))),"")</f>
        <v>0</v>
      </c>
      <c r="BI83" s="39" t="n">
        <f aca="false">IFERROR(IF($C83="","",IF($D83="","",IFERROR(ROUND($D83*INDEX('🔖 배합비 참조'!$B$2:$CE$83,MATCH("옥수수전분",'🔖 배합비 참조'!$A$2:$A$83,0),MATCH($C83,'🔖 배합비 참조'!$B$1:$CE$1,0))/100,0),""))),"")</f>
        <v>0</v>
      </c>
      <c r="BJ83" s="39" t="n">
        <f aca="false">IFERROR(IF($C83="","",IF($D83="","",IFERROR(ROUND($D83*INDEX('🔖 배합비 참조'!$B$2:$CE$83,MATCH("완두배기",'🔖 배합비 참조'!$A$2:$A$83,0),MATCH($C83,'🔖 배합비 참조'!$B$1:$CE$1,0))/100,0),""))),"")</f>
        <v>0</v>
      </c>
      <c r="BK83" s="39" t="n">
        <f aca="false">IFERROR(IF($C83="","",IF($D83="","",IFERROR(ROUND($D83*INDEX('🔖 배합비 참조'!$B$2:$CE$83,MATCH("우유(국내산)",'🔖 배합비 참조'!$A$2:$A$83,0),MATCH($C83,'🔖 배합비 참조'!$B$1:$CE$1,0))/100,0),""))),"")</f>
        <v>0</v>
      </c>
      <c r="BL83" s="39" t="n">
        <f aca="false">IFERROR(IF($C83="","",IF($D83="","",IFERROR(ROUND($D83*INDEX('🔖 배합비 참조'!$B$2:$CE$83,MATCH("자색고구마가루(중국산)",'🔖 배합비 참조'!$A$2:$A$83,0),MATCH($C83,'🔖 배합비 참조'!$B$1:$CE$1,0))/100,0),""))),"")</f>
        <v>0</v>
      </c>
      <c r="BM83" s="39" t="n">
        <f aca="false">IFERROR(IF($C83="","",IF($D83="","",IFERROR(ROUND($D83*INDEX('🔖 배합비 참조'!$B$2:$CE$83,MATCH("자연치즈(체다치즈)",'🔖 배합비 참조'!$A$2:$A$83,0),MATCH($C83,'🔖 배합비 참조'!$B$1:$CE$1,0))/100,0),""))),"")</f>
        <v>0</v>
      </c>
      <c r="BN83" s="39" t="n">
        <f aca="false">IFERROR(IF($C83="","",IF($D83="","",IFERROR(ROUND($D83*INDEX('🔖 배합비 참조'!$B$2:$CE$83,MATCH("정제수",'🔖 배합비 참조'!$A$2:$A$83,0),MATCH($C83,'🔖 배합비 참조'!$B$1:$CE$1,0))/100,0),""))),"")</f>
        <v>62</v>
      </c>
      <c r="BO83" s="39" t="n">
        <f aca="false">IFERROR(IF($C83="","",IF($D83="","",IFERROR(ROUND($D83*INDEX('🔖 배합비 참조'!$B$2:$CE$83,MATCH("젤라틴",'🔖 배합비 참조'!$A$2:$A$83,0),MATCH($C83,'🔖 배합비 참조'!$B$1:$CE$1,0))/100,0),""))),"")</f>
        <v>0</v>
      </c>
      <c r="BP83" s="39" t="n">
        <f aca="false">IFERROR(IF($C83="","",IF($D83="","",IFERROR(ROUND($D83*INDEX('🔖 배합비 참조'!$B$2:$CE$83,MATCH("조림류(백옥앙금)",'🔖 배합비 참조'!$A$2:$A$83,0),MATCH($C83,'🔖 배합비 참조'!$B$1:$CE$1,0))/100,0),""))),"")</f>
        <v>0</v>
      </c>
      <c r="BQ83" s="39" t="n">
        <f aca="false">IFERROR(IF($C83="","",IF($D83="","",IFERROR(ROUND($D83*INDEX('🔖 배합비 참조'!$B$2:$CE$83,MATCH("조림류(통팥앙금)",'🔖 배합비 참조'!$A$2:$A$83,0),MATCH($C83,'🔖 배합비 참조'!$B$1:$CE$1,0))/100,0),""))),"")</f>
        <v>0</v>
      </c>
      <c r="BR83" s="39" t="n">
        <f aca="false">IFERROR(IF($C83="","",IF($D83="","",IFERROR(ROUND($D83*INDEX('🔖 배합비 참조'!$B$2:$CE$83,MATCH("준초콜릿(외국산)",'🔖 배합비 참조'!$A$2:$A$83,0),MATCH($C83,'🔖 배합비 참조'!$B$1:$CE$1,0))/100,0),""))),"")</f>
        <v>0</v>
      </c>
      <c r="BS83" s="39" t="n">
        <f aca="false">IFERROR(IF($C83="","",IF($D83="","",IFERROR(ROUND($D83*INDEX('🔖 배합비 참조'!$B$2:$CE$83,MATCH("중력분",'🔖 배합비 참조'!$A$2:$A$83,0),MATCH($C83,'🔖 배합비 참조'!$B$1:$CE$1,0))/100,0),""))),"")</f>
        <v>0</v>
      </c>
      <c r="BT83" s="39" t="n">
        <f aca="false">IFERROR(IF($C83="","",IF($D83="","",IFERROR(ROUND($D83*INDEX('🔖 배합비 참조'!$B$2:$CE$83,MATCH("참깨(인도산,나이지리아산,탄자니아산,미얀마산)",'🔖 배합비 참조'!$A$2:$A$83,0),MATCH($C83,'🔖 배합비 참조'!$B$1:$CE$1,0))/100,0),""))),"")</f>
        <v>0</v>
      </c>
      <c r="BU83" s="39" t="n">
        <f aca="false">IFERROR(IF($C83="","",IF($D83="","",IFERROR(ROUND($D83*INDEX('🔖 배합비 참조'!$B$2:$CE$83,MATCH("찹쌀(국내산)",'🔖 배합비 참조'!$A$2:$A$83,0),MATCH($C83,'🔖 배합비 참조'!$B$1:$CE$1,0))/100,0),""))),"")</f>
        <v>0</v>
      </c>
      <c r="BV83" s="39" t="n">
        <f aca="false">IFERROR(IF($C83="","",IF($D83="","",IFERROR(ROUND($D83*INDEX('🔖 배합비 참조'!$B$2:$CE$83,MATCH("천일염",'🔖 배합비 참조'!$A$2:$A$83,0),MATCH($C83,'🔖 배합비 참조'!$B$1:$CE$1,0))/100,0),""))),"")</f>
        <v>2</v>
      </c>
      <c r="BW83" s="39" t="n">
        <f aca="false">IFERROR(IF($C83="","",IF($D83="","",IFERROR(ROUND($D83*INDEX('🔖 배합비 참조'!$B$2:$CE$83,MATCH("치즈 [크림치즈]",'🔖 배합비 참조'!$A$2:$A$83,0),MATCH($C83,'🔖 배합비 참조'!$B$1:$CE$1,0))/100,0),""))),"")</f>
        <v>0</v>
      </c>
      <c r="BX83" s="39" t="n">
        <f aca="false">IFERROR(IF($C83="","",IF($D83="","",IFERROR(ROUND($D83*INDEX('🔖 배합비 참조'!$B$2:$CE$83,MATCH("코코아가공품류(코코아분말)",'🔖 배합비 참조'!$A$2:$A$83,0),MATCH($C83,'🔖 배합비 참조'!$B$1:$CE$1,0))/100,0),""))),"")</f>
        <v>0</v>
      </c>
      <c r="BY83" s="39" t="n">
        <f aca="false">IFERROR(IF($C83="","",IF($D83="","",IFERROR(ROUND($D83*INDEX('🔖 배합비 참조'!$B$2:$CE$83,MATCH("콩기름(대두유)",'🔖 배합비 참조'!$A$2:$A$83,0),MATCH($C83,'🔖 배합비 참조'!$B$1:$CE$1,0))/100,0),""))),"")</f>
        <v>2</v>
      </c>
      <c r="BZ83" s="39" t="n">
        <f aca="false">IFERROR(IF($C83="","",IF($D83="","",IFERROR(ROUND($D83*INDEX('🔖 배합비 참조'!$B$2:$CE$83,MATCH("해바라기씨앗",'🔖 배합비 참조'!$A$2:$A$83,0),MATCH($C83,'🔖 배합비 참조'!$B$1:$CE$1,0))/100,0),""))),"")</f>
        <v>0</v>
      </c>
      <c r="CA83" s="39" t="n">
        <f aca="false">IFERROR(IF($C83="","",IF($D83="","",IFERROR(ROUND($D83*INDEX('🔖 배합비 참조'!$B$2:$CE$83,MATCH("현미(국내산)",'🔖 배합비 참조'!$A$2:$A$83,0),MATCH($C83,'🔖 배합비 참조'!$B$1:$CE$1,0))/100,0),""))),"")</f>
        <v>0</v>
      </c>
      <c r="CB83" s="39" t="n">
        <f aca="false">IFERROR(IF($C83="","",IF($D83="","",IFERROR(ROUND($D83*INDEX('🔖 배합비 참조'!$B$2:$CE$83,MATCH("현미멥쌀(국내산)",'🔖 배합비 참조'!$A$2:$A$83,0),MATCH($C83,'🔖 배합비 참조'!$B$1:$CE$1,0))/100,0),""))),"")</f>
        <v>0</v>
      </c>
      <c r="CC83" s="39" t="n">
        <f aca="false">IFERROR(IF($C83="","",IF($D83="","",IFERROR(ROUND($D83*INDEX('🔖 배합비 참조'!$B$2:$CE$83,MATCH("호두분태(미국산)",'🔖 배합비 참조'!$A$2:$A$83,0),MATCH($C83,'🔖 배합비 참조'!$B$1:$CE$1,0))/100,0),""))),"")</f>
        <v>0</v>
      </c>
      <c r="CD83" s="39" t="n">
        <f aca="false">IFERROR(IF($C83="","",IF($D83="","",IFERROR(ROUND($D83*INDEX('🔖 배합비 참조'!$B$2:$CE$83,MATCH("호박씨앗(외국산)",'🔖 배합비 참조'!$A$2:$A$83,0),MATCH($C83,'🔖 배합비 참조'!$B$1:$CE$1,0))/100,0),""))),"")</f>
        <v>0</v>
      </c>
      <c r="CE83" s="39" t="n">
        <f aca="false">IFERROR(IF($C83="","",IF($D83="","",IFERROR(ROUND($D83*INDEX('🔖 배합비 참조'!$B$2:$CE$83,MATCH("혼합제제(떡용에스텔)",'🔖 배합비 참조'!$A$2:$A$83,0),MATCH($C83,'🔖 배합비 참조'!$B$1:$CE$1,0))/100,0),""))),"")</f>
        <v>0</v>
      </c>
      <c r="CF83" s="39" t="n">
        <f aca="false">IFERROR(IF($C83="","",IF($D83="","",IFERROR(ROUND($D83*INDEX('🔖 배합비 참조'!$B$2:$CE$83,MATCH("혼합제제(스테비아)",'🔖 배합비 참조'!$A$2:$A$83,0),MATCH($C83,'🔖 배합비 참조'!$B$1:$CE$1,0))/100,0),""))),"")</f>
        <v>0</v>
      </c>
      <c r="CG83" s="39" t="n">
        <f aca="false">IFERROR(IF($C83="","",IF($D83="","",IFERROR(ROUND($D83*INDEX('🔖 배합비 참조'!$B$2:$CE$83,MATCH("화이트초콜릿",'🔖 배합비 참조'!$A$2:$A$83,0),MATCH($C83,'🔖 배합비 참조'!$B$1:$CE$1,0))/100,0),""))),"")</f>
        <v>0</v>
      </c>
      <c r="CH83" s="39" t="n">
        <f aca="false">IFERROR(IF($C83="","",IF($D83="","",IFERROR(ROUND($D83*INDEX('🔖 배합비 참조'!$B$2:$CE$83,MATCH("흑미찹쌀(국내산)",'🔖 배합비 참조'!$A$2:$A$83,0),MATCH($C83,'🔖 배합비 참조'!$B$1:$CE$1,0))/100,0),""))),"")</f>
        <v>0</v>
      </c>
      <c r="CI83" s="39" t="n">
        <f aca="false">IFERROR(IF($C83="","",IF($D83="","",IFERROR(ROUND($D83*INDEX('🔖 배합비 참조'!$B$2:$CE$83,MATCH("찰옥수수전분(미국산)",'🔖 배합비 참조'!$A$2:$A$83,0),MATCH($C83,'🔖 배합비 참조'!$B$1:$CE$1,0))/100,0),""))),"")</f>
        <v>0</v>
      </c>
      <c r="CJ83" s="40"/>
      <c r="CL83" s="1" t="s">
        <v>238</v>
      </c>
    </row>
    <row r="84" customFormat="false" ht="18" hidden="false" customHeight="true" outlineLevel="0" collapsed="false">
      <c r="A84" s="41" t="n">
        <v>80</v>
      </c>
      <c r="B84" s="36" t="n">
        <v>45985</v>
      </c>
      <c r="C84" s="37" t="s">
        <v>143</v>
      </c>
      <c r="D84" s="38" t="n">
        <v>237.5</v>
      </c>
      <c r="E84" s="17"/>
      <c r="F84" s="17"/>
      <c r="G84" s="42" t="n">
        <f aca="false">IFERROR(IF($C84="","",IF($D84="","",IFERROR(ROUND($D84*INDEX('🔖 배합비 참조'!$B$2:$CE$83,MATCH("간장",'🔖 배합비 참조'!$A$2:$A$83,0),MATCH($C84,'🔖 배합비 참조'!$B$1:$CE$1,0))/100,0),""))),"")</f>
        <v>0</v>
      </c>
      <c r="H84" s="42" t="n">
        <f aca="false">IFERROR(IF($C84="","",IF($D84="","",IFERROR(ROUND($D84*INDEX('🔖 배합비 참조'!$B$2:$CE$83,MATCH("강낭콩((울타리콩))",'🔖 배합비 참조'!$A$2:$A$83,0),MATCH($C84,'🔖 배합비 참조'!$B$1:$CE$1,0))/100,0),""))),"")</f>
        <v>0</v>
      </c>
      <c r="I84" s="42" t="n">
        <f aca="false">IFERROR(IF($C84="","",IF($D84="","",IFERROR(ROUND($D84*INDEX('🔖 배합비 참조'!$B$2:$CE$83,MATCH("건조딸기다이스(외국산)",'🔖 배합비 참조'!$A$2:$A$83,0),MATCH($C84,'🔖 배합비 참조'!$B$1:$CE$1,0))/100,0),""))),"")</f>
        <v>0</v>
      </c>
      <c r="J84" s="42" t="n">
        <f aca="false">IFERROR(IF($C84="","",IF($D84="","",IFERROR(ROUND($D84*INDEX('🔖 배합비 참조'!$B$2:$CE$83,MATCH("건포도",'🔖 배합비 참조'!$A$2:$A$83,0),MATCH($C84,'🔖 배합비 참조'!$B$1:$CE$1,0))/100,0),""))),"")</f>
        <v>0</v>
      </c>
      <c r="K84" s="42" t="n">
        <f aca="false">IFERROR(IF($C84="","",IF($D84="","",IFERROR(ROUND($D84*INDEX('🔖 배합비 참조'!$B$2:$CE$83,MATCH("건호박채(중국산)",'🔖 배합비 참조'!$A$2:$A$83,0),MATCH($C84,'🔖 배합비 참조'!$B$1:$CE$1,0))/100,0),""))),"")</f>
        <v>0</v>
      </c>
      <c r="L84" s="42" t="n">
        <f aca="false">IFERROR(IF($C84="","",IF($D84="","",IFERROR(ROUND($D84*INDEX('🔖 배합비 참조'!$B$2:$CE$83,MATCH("검정깨(흑임자)",'🔖 배합비 참조'!$A$2:$A$83,0),MATCH($C84,'🔖 배합비 참조'!$B$1:$CE$1,0))/100,0),""))),"")</f>
        <v>0</v>
      </c>
      <c r="M84" s="42" t="n">
        <f aca="false">IFERROR(IF($C84="","",IF($D84="","",IFERROR(ROUND($D84*INDEX('🔖 배합비 참조'!$B$2:$CE$83,MATCH("검정콩",'🔖 배합비 참조'!$A$2:$A$83,0),MATCH($C84,'🔖 배합비 참조'!$B$1:$CE$1,0))/100,0),""))),"")</f>
        <v>0</v>
      </c>
      <c r="N84" s="42" t="n">
        <f aca="false">IFERROR(IF($C84="","",IF($D84="","",IFERROR(ROUND($D84*INDEX('🔖 배합비 참조'!$B$2:$CE$83,MATCH("계피가루",'🔖 배합비 참조'!$A$2:$A$83,0),MATCH($C84,'🔖 배합비 참조'!$B$1:$CE$1,0))/100,0),""))),"")</f>
        <v>0</v>
      </c>
      <c r="O84" s="42" t="n">
        <f aca="false">IFERROR(IF($C84="","",IF($D84="","",IFERROR(ROUND($D84*INDEX('🔖 배합비 참조'!$B$2:$CE$83,MATCH("고구마가루",'🔖 배합비 참조'!$A$2:$A$83,0),MATCH($C84,'🔖 배합비 참조'!$B$1:$CE$1,0))/100,0),""))),"")</f>
        <v>0</v>
      </c>
      <c r="P84" s="42" t="n">
        <f aca="false">IFERROR(IF($C84="","",IF($D84="","",IFERROR(ROUND($D84*INDEX('🔖 배합비 참조'!$B$2:$CE$83,MATCH("고구마무스",'🔖 배합비 참조'!$A$2:$A$83,0),MATCH($C84,'🔖 배합비 참조'!$B$1:$CE$1,0))/100,0),""))),"")</f>
        <v>0</v>
      </c>
      <c r="Q84" s="42" t="n">
        <f aca="false">IFERROR(IF($C84="","",IF($D84="","",IFERROR(ROUND($D84*INDEX('🔖 배합비 참조'!$B$2:$CE$83,MATCH("고려엉겅퀴((곤드레)국내산)",'🔖 배합비 참조'!$A$2:$A$83,0),MATCH($C84,'🔖 배합비 참조'!$B$1:$CE$1,0))/100,0),""))),"")</f>
        <v>0</v>
      </c>
      <c r="R84" s="42" t="n">
        <f aca="false">IFERROR(IF($C84="","",IF($D84="","",IFERROR(ROUND($D84*INDEX('🔖 배합비 참조'!$B$2:$CE$83,MATCH("기타가공품(복분자가루)",'🔖 배합비 참조'!$A$2:$A$83,0),MATCH($C84,'🔖 배합비 참조'!$B$1:$CE$1,0))/100,0),""))),"")</f>
        <v>0</v>
      </c>
      <c r="S84" s="42" t="n">
        <f aca="false">IFERROR(IF($C84="","",IF($D84="","",IFERROR(ROUND($D84*INDEX('🔖 배합비 참조'!$B$2:$CE$83,MATCH("기타가공품(슈퍼소프트엠)",'🔖 배합비 참조'!$A$2:$A$83,0),MATCH($C84,'🔖 배합비 참조'!$B$1:$CE$1,0))/100,0),""))),"")</f>
        <v>0</v>
      </c>
      <c r="T84" s="42" t="n">
        <f aca="false">IFERROR(IF($C84="","",IF($D84="","",IFERROR(ROUND($D84*INDEX('🔖 배합비 참조'!$B$2:$CE$83,MATCH("기타가공품(파인소프트 E-티)",'🔖 배합비 참조'!$A$2:$A$83,0),MATCH($C84,'🔖 배합비 참조'!$B$1:$CE$1,0))/100,0),""))),"")</f>
        <v>0</v>
      </c>
      <c r="U84" s="42" t="n">
        <f aca="false">IFERROR(IF($C84="","",IF($D84="","",IFERROR(ROUND($D84*INDEX('🔖 배합비 참조'!$B$2:$CE$83,MATCH("기타가공품(프리미엄카스테라가루)",'🔖 배합비 참조'!$A$2:$A$83,0),MATCH($C84,'🔖 배합비 참조'!$B$1:$CE$1,0))/100,0),""))),"")</f>
        <v>0</v>
      </c>
      <c r="V84" s="42" t="n">
        <f aca="false">IFERROR(IF($C84="","",IF($D84="","",IFERROR(ROUND($D84*INDEX('🔖 배합비 참조'!$B$2:$CE$83,MATCH("기타가공품(흑임자가루)",'🔖 배합비 참조'!$A$2:$A$83,0),MATCH($C84,'🔖 배합비 참조'!$B$1:$CE$1,0))/100,0),""))),"")</f>
        <v>0</v>
      </c>
      <c r="W84" s="42" t="n">
        <f aca="false">IFERROR(IF($C84="","",IF($D84="","",IFERROR(ROUND($D84*INDEX('🔖 배합비 참조'!$B$2:$CE$83,MATCH("기타설탕(흑설탕)",'🔖 배합비 참조'!$A$2:$A$83,0),MATCH($C84,'🔖 배합비 참조'!$B$1:$CE$1,0))/100,0),""))),"")</f>
        <v>20</v>
      </c>
      <c r="X84" s="42" t="n">
        <f aca="false">IFERROR(IF($C84="","",IF($D84="","",IFERROR(ROUND($D84*INDEX('🔖 배합비 참조'!$B$2:$CE$83,MATCH("냉동쑥(국내산)",'🔖 배합비 참조'!$A$2:$A$83,0),MATCH($C84,'🔖 배합비 참조'!$B$1:$CE$1,0))/100,0),""))),"")</f>
        <v>0</v>
      </c>
      <c r="Y84" s="42" t="n">
        <f aca="false">IFERROR(IF($C84="","",IF($D84="","",IFERROR(ROUND($D84*INDEX('🔖 배합비 참조'!$B$2:$CE$83,MATCH("냉동증숙고구마(중국산)",'🔖 배합비 참조'!$A$2:$A$83,0),MATCH($C84,'🔖 배합비 참조'!$B$1:$CE$1,0))/100,0),""))),"")</f>
        <v>0</v>
      </c>
      <c r="Z84" s="42" t="n">
        <f aca="false">IFERROR(IF($C84="","",IF($D84="","",IFERROR(ROUND($D84*INDEX('🔖 배합비 참조'!$B$2:$CE$83,MATCH("녹차가루",'🔖 배합비 참조'!$A$2:$A$83,0),MATCH($C84,'🔖 배합비 참조'!$B$1:$CE$1,0))/100,0),""))),"")</f>
        <v>0</v>
      </c>
      <c r="AA84" s="42" t="n">
        <f aca="false">IFERROR(IF($C84="","",IF($D84="","",IFERROR(ROUND($D84*INDEX('🔖 배합비 참조'!$B$2:$CE$83,MATCH("다크초콜릿 컴파운드칩",'🔖 배합비 참조'!$A$2:$A$83,0),MATCH($C84,'🔖 배합비 참조'!$B$1:$CE$1,0))/100,0),""))),"")</f>
        <v>0</v>
      </c>
      <c r="AB84" s="42" t="n">
        <f aca="false">IFERROR(IF($C84="","",IF($D84="","",IFERROR(ROUND($D84*INDEX('🔖 배합비 참조'!$B$2:$CE$83,MATCH("단호박분말(중국산)",'🔖 배합비 참조'!$A$2:$A$83,0),MATCH($C84,'🔖 배합비 참조'!$B$1:$CE$1,0))/100,0),""))),"")</f>
        <v>0</v>
      </c>
      <c r="AC84" s="42" t="n">
        <f aca="false">IFERROR(IF($C84="","",IF($D84="","",IFERROR(ROUND($D84*INDEX('🔖 배합비 참조'!$B$2:$CE$83,MATCH("당류가공품(단호박농축액)",'🔖 배합비 참조'!$A$2:$A$83,0),MATCH($C84,'🔖 배합비 참조'!$B$1:$CE$1,0))/100,0),""))),"")</f>
        <v>0</v>
      </c>
      <c r="AD84" s="42" t="n">
        <f aca="false">IFERROR(IF($C84="","",IF($D84="","",IFERROR(ROUND($D84*INDEX('🔖 배합비 참조'!$B$2:$CE$83,MATCH("당류가공품(알룰로스,에리스리톨,스테비올배당체혼합)",'🔖 배합비 참조'!$A$2:$A$83,0),MATCH($C84,'🔖 배합비 참조'!$B$1:$CE$1,0))/100,0),""))),"")</f>
        <v>0</v>
      </c>
      <c r="AE84" s="42" t="n">
        <f aca="false">IFERROR(IF($C84="","",IF($D84="","",IFERROR(ROUND($D84*INDEX('🔖 배합비 참조'!$B$2:$CE$83,MATCH("당류가공품(알룰로스제로파우더)",'🔖 배합비 참조'!$A$2:$A$83,0),MATCH($C84,'🔖 배합비 참조'!$B$1:$CE$1,0))/100,0),""))),"")</f>
        <v>0</v>
      </c>
      <c r="AF84" s="42" t="n">
        <f aca="false">IFERROR(IF($C84="","",IF($D84="","",IFERROR(ROUND($D84*INDEX('🔖 배합비 참조'!$B$2:$CE$83,MATCH("당절임(완두배기)",'🔖 배합비 참조'!$A$2:$A$83,0),MATCH($C84,'🔖 배합비 참조'!$B$1:$CE$1,0))/100,0),""))),"")</f>
        <v>0</v>
      </c>
      <c r="AG84" s="42" t="n">
        <f aca="false">IFERROR(IF($C84="","",IF($D84="","",IFERROR(ROUND($D84*INDEX('🔖 배합비 참조'!$B$2:$CE$83,MATCH("대추농축액",'🔖 배합비 참조'!$A$2:$A$83,0),MATCH($C84,'🔖 배합비 참조'!$B$1:$CE$1,0))/100,0),""))),"")</f>
        <v>0</v>
      </c>
      <c r="AH84" s="42" t="n">
        <f aca="false">IFERROR(IF($C84="","",IF($D84="","",IFERROR(ROUND($D84*INDEX('🔖 배합비 참조'!$B$2:$CE$83,MATCH("대추채(국내산)",'🔖 배합비 참조'!$A$2:$A$83,0),MATCH($C84,'🔖 배합비 참조'!$B$1:$CE$1,0))/100,0),""))),"")</f>
        <v>0</v>
      </c>
      <c r="AI84" s="42" t="n">
        <f aca="false">IFERROR(IF($C84="","",IF($D84="","",IFERROR(ROUND($D84*INDEX('🔖 배합비 참조'!$B$2:$CE$83,MATCH("동부(미얀마산)",'🔖 배합비 참조'!$A$2:$A$83,0),MATCH($C84,'🔖 배합비 참조'!$B$1:$CE$1,0))/100,0),""))),"")</f>
        <v>0</v>
      </c>
      <c r="AJ84" s="42" t="n">
        <f aca="false">IFERROR(IF($C84="","",IF($D84="","",IFERROR(ROUND($D84*INDEX('🔖 배합비 참조'!$B$2:$CE$83,MATCH("두류가공품(백옥앙금)",'🔖 배합비 참조'!$A$2:$A$83,0),MATCH($C84,'🔖 배합비 참조'!$B$1:$CE$1,0))/100,0),""))),"")</f>
        <v>0</v>
      </c>
      <c r="AK84" s="42" t="n">
        <f aca="false">IFERROR(IF($C84="","",IF($D84="","",IFERROR(ROUND($D84*INDEX('🔖 배합비 참조'!$B$2:$CE$83,MATCH("두류가공품(콩고물)",'🔖 배합비 참조'!$A$2:$A$83,0),MATCH($C84,'🔖 배합비 참조'!$B$1:$CE$1,0))/100,0),""))),"")</f>
        <v>0</v>
      </c>
      <c r="AL84" s="42" t="n">
        <f aca="false">IFERROR(IF($C84="","",IF($D84="","",IFERROR(ROUND($D84*INDEX('🔖 배합비 참조'!$B$2:$CE$83,MATCH("두류가공품(통팥고물)",'🔖 배합비 참조'!$A$2:$A$83,0),MATCH($C84,'🔖 배합비 참조'!$B$1:$CE$1,0))/100,0),""))),"")</f>
        <v>0</v>
      </c>
      <c r="AM84" s="42" t="n">
        <f aca="false">IFERROR(IF($C84="","",IF($D84="","",IFERROR(ROUND($D84*INDEX('🔖 배합비 참조'!$B$2:$CE$83,MATCH("딸기레진",'🔖 배합비 참조'!$A$2:$A$83,0),MATCH($C84,'🔖 배합비 참조'!$B$1:$CE$1,0))/100,0),""))),"")</f>
        <v>0</v>
      </c>
      <c r="AN84" s="42" t="n">
        <f aca="false">IFERROR(IF($C84="","",IF($D84="","",IFERROR(ROUND($D84*INDEX('🔖 배합비 참조'!$B$2:$CE$83,MATCH("딸기분말(스트로우베리에이드(분말))",'🔖 배합비 참조'!$A$2:$A$83,0),MATCH($C84,'🔖 배합비 참조'!$B$1:$CE$1,0))/100,0),""))),"")</f>
        <v>0</v>
      </c>
      <c r="AO84" s="42" t="n">
        <f aca="false">IFERROR(IF($C84="","",IF($D84="","",IFERROR(ROUND($D84*INDEX('🔖 배합비 참조'!$B$2:$CE$83,MATCH("마스카포네치즈",'🔖 배합비 참조'!$A$2:$A$83,0),MATCH($C84,'🔖 배합비 참조'!$B$1:$CE$1,0))/100,0),""))),"")</f>
        <v>0</v>
      </c>
      <c r="AP84" s="42" t="n">
        <f aca="false">IFERROR(IF($C84="","",IF($D84="","",IFERROR(ROUND($D84*INDEX('🔖 배합비 참조'!$B$2:$CE$83,MATCH("마카다미아분태(호주산)",'🔖 배합비 참조'!$A$2:$A$83,0),MATCH($C84,'🔖 배합비 참조'!$B$1:$CE$1,0))/100,0),""))),"")</f>
        <v>0</v>
      </c>
      <c r="AQ84" s="42" t="n">
        <f aca="false">IFERROR(IF($C84="","",IF($D84="","",IFERROR(ROUND($D84*INDEX('🔖 배합비 참조'!$B$2:$CE$83,MATCH("멥쌀(국내산)",'🔖 배합비 참조'!$A$2:$A$83,0),MATCH($C84,'🔖 배합비 참조'!$B$1:$CE$1,0))/100,0),""))),"")</f>
        <v>160</v>
      </c>
      <c r="AR84" s="42" t="n">
        <f aca="false">IFERROR(IF($C84="","",IF($D84="","",IFERROR(ROUND($D84*INDEX('🔖 배합비 참조'!$B$2:$CE$83,MATCH("모시잎(국내산)",'🔖 배합비 참조'!$A$2:$A$83,0),MATCH($C84,'🔖 배합비 참조'!$B$1:$CE$1,0))/100,0),""))),"")</f>
        <v>0</v>
      </c>
      <c r="AS84" s="42" t="n">
        <f aca="false">IFERROR(IF($C84="","",IF($D84="","",IFERROR(ROUND($D84*INDEX('🔖 배합비 참조'!$B$2:$CE$83,MATCH("물엿(저당물엿)",'🔖 배합비 참조'!$A$2:$A$83,0),MATCH($C84,'🔖 배합비 참조'!$B$1:$CE$1,0))/100,0),""))),"")</f>
        <v>0</v>
      </c>
      <c r="AT84" s="42" t="n">
        <f aca="false">IFERROR(IF($C84="","",IF($D84="","",IFERROR(ROUND($D84*INDEX('🔖 배합비 참조'!$B$2:$CE$83,MATCH("밤다이스",'🔖 배합비 참조'!$A$2:$A$83,0),MATCH($C84,'🔖 배합비 참조'!$B$1:$CE$1,0))/100,0),""))),"")</f>
        <v>0</v>
      </c>
      <c r="AU84" s="42" t="n">
        <f aca="false">IFERROR(IF($C84="","",IF($D84="","",IFERROR(ROUND($D84*INDEX('🔖 배합비 참조'!$B$2:$CE$83,MATCH("변성전분(타피오카전분)",'🔖 배합비 참조'!$A$2:$A$83,0),MATCH($C84,'🔖 배합비 참조'!$B$1:$CE$1,0))/100,0),""))),"")</f>
        <v>0</v>
      </c>
      <c r="AV84" s="42" t="n">
        <f aca="false">IFERROR(IF($C84="","",IF($D84="","",IFERROR(ROUND($D84*INDEX('🔖 배합비 참조'!$B$2:$CE$83,MATCH("복음땅콩분태",'🔖 배합비 참조'!$A$2:$A$83,0),MATCH($C84,'🔖 배합비 참조'!$B$1:$CE$1,0))/100,0),""))),"")</f>
        <v>0</v>
      </c>
      <c r="AW84" s="42" t="n">
        <f aca="false">IFERROR(IF($C84="","",IF($D84="","",IFERROR(ROUND($D84*INDEX('🔖 배합비 참조'!$B$2:$CE$83,MATCH("사양벌꿀(국내산)",'🔖 배합비 참조'!$A$2:$A$83,0),MATCH($C84,'🔖 배합비 참조'!$B$1:$CE$1,0))/100,0),""))),"")</f>
        <v>5</v>
      </c>
      <c r="AX84" s="42" t="n">
        <f aca="false">IFERROR(IF($C84="","",IF($D84="","",IFERROR(ROUND($D84*INDEX('🔖 배합비 참조'!$B$2:$CE$83,MATCH("생크림",'🔖 배합비 참조'!$A$2:$A$83,0),MATCH($C84,'🔖 배합비 참조'!$B$1:$CE$1,0))/100,0),""))),"")</f>
        <v>0</v>
      </c>
      <c r="AY84" s="42" t="n">
        <f aca="false">IFERROR(IF($C84="","",IF($D84="","",IFERROR(ROUND($D84*INDEX('🔖 배합비 참조'!$B$2:$CE$83,MATCH("서양호박(국내산,뉴질랜드산)",'🔖 배합비 참조'!$A$2:$A$83,0),MATCH($C84,'🔖 배합비 참조'!$B$1:$CE$1,0))/100,0),""))),"")</f>
        <v>0</v>
      </c>
      <c r="AZ84" s="42" t="n">
        <f aca="false">IFERROR(IF($C84="","",IF($D84="","",IFERROR(ROUND($D84*INDEX('🔖 배합비 참조'!$B$2:$CE$83,MATCH("설탕",'🔖 배합비 참조'!$A$2:$A$83,0),MATCH($C84,'🔖 배합비 참조'!$B$1:$CE$1,0))/100,0),""))),"")</f>
        <v>20</v>
      </c>
      <c r="BA84" s="42" t="n">
        <f aca="false">IFERROR(IF($C84="","",IF($D84="","",IFERROR(ROUND($D84*INDEX('🔖 배합비 참조'!$B$2:$CE$83,MATCH("스트로우베리 에이드 후레쉬",'🔖 배합비 참조'!$A$2:$A$83,0),MATCH($C84,'🔖 배합비 참조'!$B$1:$CE$1,0))/100,0),""))),"")</f>
        <v>0</v>
      </c>
      <c r="BB84" s="42" t="n">
        <f aca="false">IFERROR(IF($C84="","",IF($D84="","",IFERROR(ROUND($D84*INDEX('🔖 배합비 참조'!$B$2:$CE$83,MATCH("식물성기름혼합제제(분홍)",'🔖 배합비 참조'!$A$2:$A$83,0),MATCH($C84,'🔖 배합비 참조'!$B$1:$CE$1,0))/100,0),""))),"")</f>
        <v>0</v>
      </c>
      <c r="BC84" s="42" t="n">
        <f aca="false">IFERROR(IF($C84="","",IF($D84="","",IFERROR(ROUND($D84*INDEX('🔖 배합비 참조'!$B$2:$CE$83,MATCH("식물성기름혼합제제(초록)",'🔖 배합비 참조'!$A$2:$A$83,0),MATCH($C84,'🔖 배합비 참조'!$B$1:$CE$1,0))/100,0),""))),"")</f>
        <v>0</v>
      </c>
      <c r="BD84" s="42" t="n">
        <f aca="false">IFERROR(IF($C84="","",IF($D84="","",IFERROR(ROUND($D84*INDEX('🔖 배합비 참조'!$B$2:$CE$83,MATCH("식물성기름혼합제제(황색)",'🔖 배합비 참조'!$A$2:$A$83,0),MATCH($C84,'🔖 배합비 참조'!$B$1:$CE$1,0))/100,0),""))),"")</f>
        <v>0</v>
      </c>
      <c r="BE84" s="42" t="n">
        <f aca="false">IFERROR(IF($C84="","",IF($D84="","",IFERROR(ROUND($D84*INDEX('🔖 배합비 참조'!$B$2:$CE$83,MATCH("쑥가루(국내산)",'🔖 배합비 참조'!$A$2:$A$83,0),MATCH($C84,'🔖 배합비 참조'!$B$1:$CE$1,0))/100,0),""))),"")</f>
        <v>0</v>
      </c>
      <c r="BF84" s="42" t="n">
        <f aca="false">IFERROR(IF($C84="","",IF($D84="","",IFERROR(ROUND($D84*INDEX('🔖 배합비 참조'!$B$2:$CE$83,MATCH("아몬드슬라이스",'🔖 배합비 참조'!$A$2:$A$83,0),MATCH($C84,'🔖 배합비 참조'!$B$1:$CE$1,0))/100,0),""))),"")</f>
        <v>0</v>
      </c>
      <c r="BG84" s="42" t="n">
        <f aca="false">IFERROR(IF($C84="","",IF($D84="","",IFERROR(ROUND($D84*INDEX('🔖 배합비 참조'!$B$2:$CE$83,MATCH("알룰로오스(국내산)",'🔖 배합비 참조'!$A$2:$A$83,0),MATCH($C84,'🔖 배합비 참조'!$B$1:$CE$1,0))/100,0),""))),"")</f>
        <v>0</v>
      </c>
      <c r="BH84" s="42" t="n">
        <f aca="false">IFERROR(IF($C84="","",IF($D84="","",IFERROR(ROUND($D84*INDEX('🔖 배합비 참조'!$B$2:$CE$83,MATCH("연유",'🔖 배합비 참조'!$A$2:$A$83,0),MATCH($C84,'🔖 배합비 참조'!$B$1:$CE$1,0))/100,0),""))),"")</f>
        <v>0</v>
      </c>
      <c r="BI84" s="42" t="n">
        <f aca="false">IFERROR(IF($C84="","",IF($D84="","",IFERROR(ROUND($D84*INDEX('🔖 배합비 참조'!$B$2:$CE$83,MATCH("옥수수전분",'🔖 배합비 참조'!$A$2:$A$83,0),MATCH($C84,'🔖 배합비 참조'!$B$1:$CE$1,0))/100,0),""))),"")</f>
        <v>0</v>
      </c>
      <c r="BJ84" s="42" t="n">
        <f aca="false">IFERROR(IF($C84="","",IF($D84="","",IFERROR(ROUND($D84*INDEX('🔖 배합비 참조'!$B$2:$CE$83,MATCH("완두배기",'🔖 배합비 참조'!$A$2:$A$83,0),MATCH($C84,'🔖 배합비 참조'!$B$1:$CE$1,0))/100,0),""))),"")</f>
        <v>0</v>
      </c>
      <c r="BK84" s="42" t="n">
        <f aca="false">IFERROR(IF($C84="","",IF($D84="","",IFERROR(ROUND($D84*INDEX('🔖 배합비 참조'!$B$2:$CE$83,MATCH("우유(국내산)",'🔖 배합비 참조'!$A$2:$A$83,0),MATCH($C84,'🔖 배합비 참조'!$B$1:$CE$1,0))/100,0),""))),"")</f>
        <v>0</v>
      </c>
      <c r="BL84" s="42" t="n">
        <f aca="false">IFERROR(IF($C84="","",IF($D84="","",IFERROR(ROUND($D84*INDEX('🔖 배합비 참조'!$B$2:$CE$83,MATCH("자색고구마가루(중국산)",'🔖 배합비 참조'!$A$2:$A$83,0),MATCH($C84,'🔖 배합비 참조'!$B$1:$CE$1,0))/100,0),""))),"")</f>
        <v>0</v>
      </c>
      <c r="BM84" s="42" t="n">
        <f aca="false">IFERROR(IF($C84="","",IF($D84="","",IFERROR(ROUND($D84*INDEX('🔖 배합비 참조'!$B$2:$CE$83,MATCH("자연치즈(체다치즈)",'🔖 배합비 참조'!$A$2:$A$83,0),MATCH($C84,'🔖 배합비 참조'!$B$1:$CE$1,0))/100,0),""))),"")</f>
        <v>0</v>
      </c>
      <c r="BN84" s="42" t="n">
        <f aca="false">IFERROR(IF($C84="","",IF($D84="","",IFERROR(ROUND($D84*INDEX('🔖 배합비 참조'!$B$2:$CE$83,MATCH("정제수",'🔖 배합비 참조'!$A$2:$A$83,0),MATCH($C84,'🔖 배합비 참조'!$B$1:$CE$1,0))/100,0),""))),"")</f>
        <v>30</v>
      </c>
      <c r="BO84" s="42" t="n">
        <f aca="false">IFERROR(IF($C84="","",IF($D84="","",IFERROR(ROUND($D84*INDEX('🔖 배합비 참조'!$B$2:$CE$83,MATCH("젤라틴",'🔖 배합비 참조'!$A$2:$A$83,0),MATCH($C84,'🔖 배합비 참조'!$B$1:$CE$1,0))/100,0),""))),"")</f>
        <v>0</v>
      </c>
      <c r="BP84" s="42" t="n">
        <f aca="false">IFERROR(IF($C84="","",IF($D84="","",IFERROR(ROUND($D84*INDEX('🔖 배합비 참조'!$B$2:$CE$83,MATCH("조림류(백옥앙금)",'🔖 배합비 참조'!$A$2:$A$83,0),MATCH($C84,'🔖 배합비 참조'!$B$1:$CE$1,0))/100,0),""))),"")</f>
        <v>0</v>
      </c>
      <c r="BQ84" s="42" t="n">
        <f aca="false">IFERROR(IF($C84="","",IF($D84="","",IFERROR(ROUND($D84*INDEX('🔖 배합비 참조'!$B$2:$CE$83,MATCH("조림류(통팥앙금)",'🔖 배합비 참조'!$A$2:$A$83,0),MATCH($C84,'🔖 배합비 참조'!$B$1:$CE$1,0))/100,0),""))),"")</f>
        <v>0</v>
      </c>
      <c r="BR84" s="42" t="n">
        <f aca="false">IFERROR(IF($C84="","",IF($D84="","",IFERROR(ROUND($D84*INDEX('🔖 배합비 참조'!$B$2:$CE$83,MATCH("준초콜릿(외국산)",'🔖 배합비 참조'!$A$2:$A$83,0),MATCH($C84,'🔖 배합비 참조'!$B$1:$CE$1,0))/100,0),""))),"")</f>
        <v>0</v>
      </c>
      <c r="BS84" s="42" t="n">
        <f aca="false">IFERROR(IF($C84="","",IF($D84="","",IFERROR(ROUND($D84*INDEX('🔖 배합비 참조'!$B$2:$CE$83,MATCH("중력분",'🔖 배합비 참조'!$A$2:$A$83,0),MATCH($C84,'🔖 배합비 참조'!$B$1:$CE$1,0))/100,0),""))),"")</f>
        <v>0</v>
      </c>
      <c r="BT84" s="42" t="n">
        <f aca="false">IFERROR(IF($C84="","",IF($D84="","",IFERROR(ROUND($D84*INDEX('🔖 배합비 참조'!$B$2:$CE$83,MATCH("참깨(인도산,나이지리아산,탄자니아산,미얀마산)",'🔖 배합비 참조'!$A$2:$A$83,0),MATCH($C84,'🔖 배합비 참조'!$B$1:$CE$1,0))/100,0),""))),"")</f>
        <v>0</v>
      </c>
      <c r="BU84" s="42" t="n">
        <f aca="false">IFERROR(IF($C84="","",IF($D84="","",IFERROR(ROUND($D84*INDEX('🔖 배합비 참조'!$B$2:$CE$83,MATCH("찹쌀(국내산)",'🔖 배합비 참조'!$A$2:$A$83,0),MATCH($C84,'🔖 배합비 참조'!$B$1:$CE$1,0))/100,0),""))),"")</f>
        <v>0</v>
      </c>
      <c r="BV84" s="42" t="n">
        <f aca="false">IFERROR(IF($C84="","",IF($D84="","",IFERROR(ROUND($D84*INDEX('🔖 배합비 참조'!$B$2:$CE$83,MATCH("천일염",'🔖 배합비 참조'!$A$2:$A$83,0),MATCH($C84,'🔖 배합비 참조'!$B$1:$CE$1,0))/100,0),""))),"")</f>
        <v>3</v>
      </c>
      <c r="BW84" s="42" t="n">
        <f aca="false">IFERROR(IF($C84="","",IF($D84="","",IFERROR(ROUND($D84*INDEX('🔖 배합비 참조'!$B$2:$CE$83,MATCH("치즈 [크림치즈]",'🔖 배합비 참조'!$A$2:$A$83,0),MATCH($C84,'🔖 배합비 참조'!$B$1:$CE$1,0))/100,0),""))),"")</f>
        <v>0</v>
      </c>
      <c r="BX84" s="42" t="n">
        <f aca="false">IFERROR(IF($C84="","",IF($D84="","",IFERROR(ROUND($D84*INDEX('🔖 배합비 참조'!$B$2:$CE$83,MATCH("코코아가공품류(코코아분말)",'🔖 배합비 참조'!$A$2:$A$83,0),MATCH($C84,'🔖 배합비 참조'!$B$1:$CE$1,0))/100,0),""))),"")</f>
        <v>0</v>
      </c>
      <c r="BY84" s="42" t="n">
        <f aca="false">IFERROR(IF($C84="","",IF($D84="","",IFERROR(ROUND($D84*INDEX('🔖 배합비 참조'!$B$2:$CE$83,MATCH("콩기름(대두유)",'🔖 배합비 참조'!$A$2:$A$83,0),MATCH($C84,'🔖 배합비 참조'!$B$1:$CE$1,0))/100,0),""))),"")</f>
        <v>0</v>
      </c>
      <c r="BZ84" s="42" t="n">
        <f aca="false">IFERROR(IF($C84="","",IF($D84="","",IFERROR(ROUND($D84*INDEX('🔖 배합비 참조'!$B$2:$CE$83,MATCH("해바라기씨앗",'🔖 배합비 참조'!$A$2:$A$83,0),MATCH($C84,'🔖 배합비 참조'!$B$1:$CE$1,0))/100,0),""))),"")</f>
        <v>0</v>
      </c>
      <c r="CA84" s="42" t="n">
        <f aca="false">IFERROR(IF($C84="","",IF($D84="","",IFERROR(ROUND($D84*INDEX('🔖 배합비 참조'!$B$2:$CE$83,MATCH("현미(국내산)",'🔖 배합비 참조'!$A$2:$A$83,0),MATCH($C84,'🔖 배합비 참조'!$B$1:$CE$1,0))/100,0),""))),"")</f>
        <v>0</v>
      </c>
      <c r="CB84" s="42" t="n">
        <f aca="false">IFERROR(IF($C84="","",IF($D84="","",IFERROR(ROUND($D84*INDEX('🔖 배합비 참조'!$B$2:$CE$83,MATCH("현미멥쌀(국내산)",'🔖 배합비 참조'!$A$2:$A$83,0),MATCH($C84,'🔖 배합비 참조'!$B$1:$CE$1,0))/100,0),""))),"")</f>
        <v>0</v>
      </c>
      <c r="CC84" s="42" t="n">
        <f aca="false">IFERROR(IF($C84="","",IF($D84="","",IFERROR(ROUND($D84*INDEX('🔖 배합비 참조'!$B$2:$CE$83,MATCH("호두분태(미국산)",'🔖 배합비 참조'!$A$2:$A$83,0),MATCH($C84,'🔖 배합비 참조'!$B$1:$CE$1,0))/100,0),""))),"")</f>
        <v>0</v>
      </c>
      <c r="CD84" s="42" t="n">
        <f aca="false">IFERROR(IF($C84="","",IF($D84="","",IFERROR(ROUND($D84*INDEX('🔖 배합비 참조'!$B$2:$CE$83,MATCH("호박씨앗(외국산)",'🔖 배합비 참조'!$A$2:$A$83,0),MATCH($C84,'🔖 배합비 참조'!$B$1:$CE$1,0))/100,0),""))),"")</f>
        <v>0</v>
      </c>
      <c r="CE84" s="42" t="n">
        <f aca="false">IFERROR(IF($C84="","",IF($D84="","",IFERROR(ROUND($D84*INDEX('🔖 배합비 참조'!$B$2:$CE$83,MATCH("혼합제제(떡용에스텔)",'🔖 배합비 참조'!$A$2:$A$83,0),MATCH($C84,'🔖 배합비 참조'!$B$1:$CE$1,0))/100,0),""))),"")</f>
        <v>0</v>
      </c>
      <c r="CF84" s="42" t="n">
        <f aca="false">IFERROR(IF($C84="","",IF($D84="","",IFERROR(ROUND($D84*INDEX('🔖 배합비 참조'!$B$2:$CE$83,MATCH("혼합제제(스테비아)",'🔖 배합비 참조'!$A$2:$A$83,0),MATCH($C84,'🔖 배합비 참조'!$B$1:$CE$1,0))/100,0),""))),"")</f>
        <v>0</v>
      </c>
      <c r="CG84" s="42" t="n">
        <f aca="false">IFERROR(IF($C84="","",IF($D84="","",IFERROR(ROUND($D84*INDEX('🔖 배합비 참조'!$B$2:$CE$83,MATCH("화이트초콜릿",'🔖 배합비 참조'!$A$2:$A$83,0),MATCH($C84,'🔖 배합비 참조'!$B$1:$CE$1,0))/100,0),""))),"")</f>
        <v>0</v>
      </c>
      <c r="CH84" s="42" t="n">
        <f aca="false">IFERROR(IF($C84="","",IF($D84="","",IFERROR(ROUND($D84*INDEX('🔖 배합비 참조'!$B$2:$CE$83,MATCH("흑미찹쌀(국내산)",'🔖 배합비 참조'!$A$2:$A$83,0),MATCH($C84,'🔖 배합비 참조'!$B$1:$CE$1,0))/100,0),""))),"")</f>
        <v>0</v>
      </c>
      <c r="CI84" s="42" t="n">
        <f aca="false">IFERROR(IF($C84="","",IF($D84="","",IFERROR(ROUND($D84*INDEX('🔖 배합비 참조'!$B$2:$CE$83,MATCH("찰옥수수전분(미국산)",'🔖 배합비 참조'!$A$2:$A$83,0),MATCH($C84,'🔖 배합비 참조'!$B$1:$CE$1,0))/100,0),""))),"")</f>
        <v>0</v>
      </c>
      <c r="CJ84" s="40"/>
      <c r="CL84" s="1" t="s">
        <v>238</v>
      </c>
    </row>
    <row r="85" customFormat="false" ht="18" hidden="false" customHeight="true" outlineLevel="0" collapsed="false">
      <c r="A85" s="35" t="n">
        <v>81</v>
      </c>
      <c r="B85" s="36" t="n">
        <v>45986</v>
      </c>
      <c r="C85" s="37" t="s">
        <v>143</v>
      </c>
      <c r="D85" s="38" t="n">
        <v>100</v>
      </c>
      <c r="E85" s="13"/>
      <c r="F85" s="13"/>
      <c r="G85" s="39" t="n">
        <f aca="false">IFERROR(IF($C85="","",IF($D85="","",IFERROR(ROUND($D85*INDEX('🔖 배합비 참조'!$B$2:$CE$83,MATCH("간장",'🔖 배합비 참조'!$A$2:$A$83,0),MATCH($C85,'🔖 배합비 참조'!$B$1:$CE$1,0))/100,0),""))),"")</f>
        <v>0</v>
      </c>
      <c r="H85" s="39" t="n">
        <f aca="false">IFERROR(IF($C85="","",IF($D85="","",IFERROR(ROUND($D85*INDEX('🔖 배합비 참조'!$B$2:$CE$83,MATCH("강낭콩((울타리콩))",'🔖 배합비 참조'!$A$2:$A$83,0),MATCH($C85,'🔖 배합비 참조'!$B$1:$CE$1,0))/100,0),""))),"")</f>
        <v>0</v>
      </c>
      <c r="I85" s="39" t="n">
        <f aca="false">IFERROR(IF($C85="","",IF($D85="","",IFERROR(ROUND($D85*INDEX('🔖 배합비 참조'!$B$2:$CE$83,MATCH("건조딸기다이스(외국산)",'🔖 배합비 참조'!$A$2:$A$83,0),MATCH($C85,'🔖 배합비 참조'!$B$1:$CE$1,0))/100,0),""))),"")</f>
        <v>0</v>
      </c>
      <c r="J85" s="39" t="n">
        <f aca="false">IFERROR(IF($C85="","",IF($D85="","",IFERROR(ROUND($D85*INDEX('🔖 배합비 참조'!$B$2:$CE$83,MATCH("건포도",'🔖 배합비 참조'!$A$2:$A$83,0),MATCH($C85,'🔖 배합비 참조'!$B$1:$CE$1,0))/100,0),""))),"")</f>
        <v>0</v>
      </c>
      <c r="K85" s="39" t="n">
        <f aca="false">IFERROR(IF($C85="","",IF($D85="","",IFERROR(ROUND($D85*INDEX('🔖 배합비 참조'!$B$2:$CE$83,MATCH("건호박채(중국산)",'🔖 배합비 참조'!$A$2:$A$83,0),MATCH($C85,'🔖 배합비 참조'!$B$1:$CE$1,0))/100,0),""))),"")</f>
        <v>0</v>
      </c>
      <c r="L85" s="39" t="n">
        <f aca="false">IFERROR(IF($C85="","",IF($D85="","",IFERROR(ROUND($D85*INDEX('🔖 배합비 참조'!$B$2:$CE$83,MATCH("검정깨(흑임자)",'🔖 배합비 참조'!$A$2:$A$83,0),MATCH($C85,'🔖 배합비 참조'!$B$1:$CE$1,0))/100,0),""))),"")</f>
        <v>0</v>
      </c>
      <c r="M85" s="39" t="n">
        <f aca="false">IFERROR(IF($C85="","",IF($D85="","",IFERROR(ROUND($D85*INDEX('🔖 배합비 참조'!$B$2:$CE$83,MATCH("검정콩",'🔖 배합비 참조'!$A$2:$A$83,0),MATCH($C85,'🔖 배합비 참조'!$B$1:$CE$1,0))/100,0),""))),"")</f>
        <v>0</v>
      </c>
      <c r="N85" s="39" t="n">
        <f aca="false">IFERROR(IF($C85="","",IF($D85="","",IFERROR(ROUND($D85*INDEX('🔖 배합비 참조'!$B$2:$CE$83,MATCH("계피가루",'🔖 배합비 참조'!$A$2:$A$83,0),MATCH($C85,'🔖 배합비 참조'!$B$1:$CE$1,0))/100,0),""))),"")</f>
        <v>0</v>
      </c>
      <c r="O85" s="39" t="n">
        <f aca="false">IFERROR(IF($C85="","",IF($D85="","",IFERROR(ROUND($D85*INDEX('🔖 배합비 참조'!$B$2:$CE$83,MATCH("고구마가루",'🔖 배합비 참조'!$A$2:$A$83,0),MATCH($C85,'🔖 배합비 참조'!$B$1:$CE$1,0))/100,0),""))),"")</f>
        <v>0</v>
      </c>
      <c r="P85" s="39" t="n">
        <f aca="false">IFERROR(IF($C85="","",IF($D85="","",IFERROR(ROUND($D85*INDEX('🔖 배합비 참조'!$B$2:$CE$83,MATCH("고구마무스",'🔖 배합비 참조'!$A$2:$A$83,0),MATCH($C85,'🔖 배합비 참조'!$B$1:$CE$1,0))/100,0),""))),"")</f>
        <v>0</v>
      </c>
      <c r="Q85" s="39" t="n">
        <f aca="false">IFERROR(IF($C85="","",IF($D85="","",IFERROR(ROUND($D85*INDEX('🔖 배합비 참조'!$B$2:$CE$83,MATCH("고려엉겅퀴((곤드레)국내산)",'🔖 배합비 참조'!$A$2:$A$83,0),MATCH($C85,'🔖 배합비 참조'!$B$1:$CE$1,0))/100,0),""))),"")</f>
        <v>0</v>
      </c>
      <c r="R85" s="39" t="n">
        <f aca="false">IFERROR(IF($C85="","",IF($D85="","",IFERROR(ROUND($D85*INDEX('🔖 배합비 참조'!$B$2:$CE$83,MATCH("기타가공품(복분자가루)",'🔖 배합비 참조'!$A$2:$A$83,0),MATCH($C85,'🔖 배합비 참조'!$B$1:$CE$1,0))/100,0),""))),"")</f>
        <v>0</v>
      </c>
      <c r="S85" s="39" t="n">
        <f aca="false">IFERROR(IF($C85="","",IF($D85="","",IFERROR(ROUND($D85*INDEX('🔖 배합비 참조'!$B$2:$CE$83,MATCH("기타가공품(슈퍼소프트엠)",'🔖 배합비 참조'!$A$2:$A$83,0),MATCH($C85,'🔖 배합비 참조'!$B$1:$CE$1,0))/100,0),""))),"")</f>
        <v>0</v>
      </c>
      <c r="T85" s="39" t="n">
        <f aca="false">IFERROR(IF($C85="","",IF($D85="","",IFERROR(ROUND($D85*INDEX('🔖 배합비 참조'!$B$2:$CE$83,MATCH("기타가공품(파인소프트 E-티)",'🔖 배합비 참조'!$A$2:$A$83,0),MATCH($C85,'🔖 배합비 참조'!$B$1:$CE$1,0))/100,0),""))),"")</f>
        <v>0</v>
      </c>
      <c r="U85" s="39" t="n">
        <f aca="false">IFERROR(IF($C85="","",IF($D85="","",IFERROR(ROUND($D85*INDEX('🔖 배합비 참조'!$B$2:$CE$83,MATCH("기타가공품(프리미엄카스테라가루)",'🔖 배합비 참조'!$A$2:$A$83,0),MATCH($C85,'🔖 배합비 참조'!$B$1:$CE$1,0))/100,0),""))),"")</f>
        <v>0</v>
      </c>
      <c r="V85" s="39" t="n">
        <f aca="false">IFERROR(IF($C85="","",IF($D85="","",IFERROR(ROUND($D85*INDEX('🔖 배합비 참조'!$B$2:$CE$83,MATCH("기타가공품(흑임자가루)",'🔖 배합비 참조'!$A$2:$A$83,0),MATCH($C85,'🔖 배합비 참조'!$B$1:$CE$1,0))/100,0),""))),"")</f>
        <v>0</v>
      </c>
      <c r="W85" s="39" t="n">
        <f aca="false">IFERROR(IF($C85="","",IF($D85="","",IFERROR(ROUND($D85*INDEX('🔖 배합비 참조'!$B$2:$CE$83,MATCH("기타설탕(흑설탕)",'🔖 배합비 참조'!$A$2:$A$83,0),MATCH($C85,'🔖 배합비 참조'!$B$1:$CE$1,0))/100,0),""))),"")</f>
        <v>8</v>
      </c>
      <c r="X85" s="39" t="n">
        <f aca="false">IFERROR(IF($C85="","",IF($D85="","",IFERROR(ROUND($D85*INDEX('🔖 배합비 참조'!$B$2:$CE$83,MATCH("냉동쑥(국내산)",'🔖 배합비 참조'!$A$2:$A$83,0),MATCH($C85,'🔖 배합비 참조'!$B$1:$CE$1,0))/100,0),""))),"")</f>
        <v>0</v>
      </c>
      <c r="Y85" s="39" t="n">
        <f aca="false">IFERROR(IF($C85="","",IF($D85="","",IFERROR(ROUND($D85*INDEX('🔖 배합비 참조'!$B$2:$CE$83,MATCH("냉동증숙고구마(중국산)",'🔖 배합비 참조'!$A$2:$A$83,0),MATCH($C85,'🔖 배합비 참조'!$B$1:$CE$1,0))/100,0),""))),"")</f>
        <v>0</v>
      </c>
      <c r="Z85" s="39" t="n">
        <f aca="false">IFERROR(IF($C85="","",IF($D85="","",IFERROR(ROUND($D85*INDEX('🔖 배합비 참조'!$B$2:$CE$83,MATCH("녹차가루",'🔖 배합비 참조'!$A$2:$A$83,0),MATCH($C85,'🔖 배합비 참조'!$B$1:$CE$1,0))/100,0),""))),"")</f>
        <v>0</v>
      </c>
      <c r="AA85" s="39" t="n">
        <f aca="false">IFERROR(IF($C85="","",IF($D85="","",IFERROR(ROUND($D85*INDEX('🔖 배합비 참조'!$B$2:$CE$83,MATCH("다크초콜릿 컴파운드칩",'🔖 배합비 참조'!$A$2:$A$83,0),MATCH($C85,'🔖 배합비 참조'!$B$1:$CE$1,0))/100,0),""))),"")</f>
        <v>0</v>
      </c>
      <c r="AB85" s="39" t="n">
        <f aca="false">IFERROR(IF($C85="","",IF($D85="","",IFERROR(ROUND($D85*INDEX('🔖 배합비 참조'!$B$2:$CE$83,MATCH("단호박분말(중국산)",'🔖 배합비 참조'!$A$2:$A$83,0),MATCH($C85,'🔖 배합비 참조'!$B$1:$CE$1,0))/100,0),""))),"")</f>
        <v>0</v>
      </c>
      <c r="AC85" s="39" t="n">
        <f aca="false">IFERROR(IF($C85="","",IF($D85="","",IFERROR(ROUND($D85*INDEX('🔖 배합비 참조'!$B$2:$CE$83,MATCH("당류가공품(단호박농축액)",'🔖 배합비 참조'!$A$2:$A$83,0),MATCH($C85,'🔖 배합비 참조'!$B$1:$CE$1,0))/100,0),""))),"")</f>
        <v>0</v>
      </c>
      <c r="AD85" s="39" t="n">
        <f aca="false">IFERROR(IF($C85="","",IF($D85="","",IFERROR(ROUND($D85*INDEX('🔖 배합비 참조'!$B$2:$CE$83,MATCH("당류가공품(알룰로스,에리스리톨,스테비올배당체혼합)",'🔖 배합비 참조'!$A$2:$A$83,0),MATCH($C85,'🔖 배합비 참조'!$B$1:$CE$1,0))/100,0),""))),"")</f>
        <v>0</v>
      </c>
      <c r="AE85" s="39" t="n">
        <f aca="false">IFERROR(IF($C85="","",IF($D85="","",IFERROR(ROUND($D85*INDEX('🔖 배합비 참조'!$B$2:$CE$83,MATCH("당류가공품(알룰로스제로파우더)",'🔖 배합비 참조'!$A$2:$A$83,0),MATCH($C85,'🔖 배합비 참조'!$B$1:$CE$1,0))/100,0),""))),"")</f>
        <v>0</v>
      </c>
      <c r="AF85" s="39" t="n">
        <f aca="false">IFERROR(IF($C85="","",IF($D85="","",IFERROR(ROUND($D85*INDEX('🔖 배합비 참조'!$B$2:$CE$83,MATCH("당절임(완두배기)",'🔖 배합비 참조'!$A$2:$A$83,0),MATCH($C85,'🔖 배합비 참조'!$B$1:$CE$1,0))/100,0),""))),"")</f>
        <v>0</v>
      </c>
      <c r="AG85" s="39" t="n">
        <f aca="false">IFERROR(IF($C85="","",IF($D85="","",IFERROR(ROUND($D85*INDEX('🔖 배합비 참조'!$B$2:$CE$83,MATCH("대추농축액",'🔖 배합비 참조'!$A$2:$A$83,0),MATCH($C85,'🔖 배합비 참조'!$B$1:$CE$1,0))/100,0),""))),"")</f>
        <v>0</v>
      </c>
      <c r="AH85" s="39" t="n">
        <f aca="false">IFERROR(IF($C85="","",IF($D85="","",IFERROR(ROUND($D85*INDEX('🔖 배합비 참조'!$B$2:$CE$83,MATCH("대추채(국내산)",'🔖 배합비 참조'!$A$2:$A$83,0),MATCH($C85,'🔖 배합비 참조'!$B$1:$CE$1,0))/100,0),""))),"")</f>
        <v>0</v>
      </c>
      <c r="AI85" s="39" t="n">
        <f aca="false">IFERROR(IF($C85="","",IF($D85="","",IFERROR(ROUND($D85*INDEX('🔖 배합비 참조'!$B$2:$CE$83,MATCH("동부(미얀마산)",'🔖 배합비 참조'!$A$2:$A$83,0),MATCH($C85,'🔖 배합비 참조'!$B$1:$CE$1,0))/100,0),""))),"")</f>
        <v>0</v>
      </c>
      <c r="AJ85" s="39" t="n">
        <f aca="false">IFERROR(IF($C85="","",IF($D85="","",IFERROR(ROUND($D85*INDEX('🔖 배합비 참조'!$B$2:$CE$83,MATCH("두류가공품(백옥앙금)",'🔖 배합비 참조'!$A$2:$A$83,0),MATCH($C85,'🔖 배합비 참조'!$B$1:$CE$1,0))/100,0),""))),"")</f>
        <v>0</v>
      </c>
      <c r="AK85" s="39" t="n">
        <f aca="false">IFERROR(IF($C85="","",IF($D85="","",IFERROR(ROUND($D85*INDEX('🔖 배합비 참조'!$B$2:$CE$83,MATCH("두류가공품(콩고물)",'🔖 배합비 참조'!$A$2:$A$83,0),MATCH($C85,'🔖 배합비 참조'!$B$1:$CE$1,0))/100,0),""))),"")</f>
        <v>0</v>
      </c>
      <c r="AL85" s="39" t="n">
        <f aca="false">IFERROR(IF($C85="","",IF($D85="","",IFERROR(ROUND($D85*INDEX('🔖 배합비 참조'!$B$2:$CE$83,MATCH("두류가공품(통팥고물)",'🔖 배합비 참조'!$A$2:$A$83,0),MATCH($C85,'🔖 배합비 참조'!$B$1:$CE$1,0))/100,0),""))),"")</f>
        <v>0</v>
      </c>
      <c r="AM85" s="39" t="n">
        <f aca="false">IFERROR(IF($C85="","",IF($D85="","",IFERROR(ROUND($D85*INDEX('🔖 배합비 참조'!$B$2:$CE$83,MATCH("딸기레진",'🔖 배합비 참조'!$A$2:$A$83,0),MATCH($C85,'🔖 배합비 참조'!$B$1:$CE$1,0))/100,0),""))),"")</f>
        <v>0</v>
      </c>
      <c r="AN85" s="39" t="n">
        <f aca="false">IFERROR(IF($C85="","",IF($D85="","",IFERROR(ROUND($D85*INDEX('🔖 배합비 참조'!$B$2:$CE$83,MATCH("딸기분말(스트로우베리에이드(분말))",'🔖 배합비 참조'!$A$2:$A$83,0),MATCH($C85,'🔖 배합비 참조'!$B$1:$CE$1,0))/100,0),""))),"")</f>
        <v>0</v>
      </c>
      <c r="AO85" s="39" t="n">
        <f aca="false">IFERROR(IF($C85="","",IF($D85="","",IFERROR(ROUND($D85*INDEX('🔖 배합비 참조'!$B$2:$CE$83,MATCH("마스카포네치즈",'🔖 배합비 참조'!$A$2:$A$83,0),MATCH($C85,'🔖 배합비 참조'!$B$1:$CE$1,0))/100,0),""))),"")</f>
        <v>0</v>
      </c>
      <c r="AP85" s="39" t="n">
        <f aca="false">IFERROR(IF($C85="","",IF($D85="","",IFERROR(ROUND($D85*INDEX('🔖 배합비 참조'!$B$2:$CE$83,MATCH("마카다미아분태(호주산)",'🔖 배합비 참조'!$A$2:$A$83,0),MATCH($C85,'🔖 배합비 참조'!$B$1:$CE$1,0))/100,0),""))),"")</f>
        <v>0</v>
      </c>
      <c r="AQ85" s="39" t="n">
        <f aca="false">IFERROR(IF($C85="","",IF($D85="","",IFERROR(ROUND($D85*INDEX('🔖 배합비 참조'!$B$2:$CE$83,MATCH("멥쌀(국내산)",'🔖 배합비 참조'!$A$2:$A$83,0),MATCH($C85,'🔖 배합비 참조'!$B$1:$CE$1,0))/100,0),""))),"")</f>
        <v>67</v>
      </c>
      <c r="AR85" s="39" t="n">
        <f aca="false">IFERROR(IF($C85="","",IF($D85="","",IFERROR(ROUND($D85*INDEX('🔖 배합비 참조'!$B$2:$CE$83,MATCH("모시잎(국내산)",'🔖 배합비 참조'!$A$2:$A$83,0),MATCH($C85,'🔖 배합비 참조'!$B$1:$CE$1,0))/100,0),""))),"")</f>
        <v>0</v>
      </c>
      <c r="AS85" s="39" t="n">
        <f aca="false">IFERROR(IF($C85="","",IF($D85="","",IFERROR(ROUND($D85*INDEX('🔖 배합비 참조'!$B$2:$CE$83,MATCH("물엿(저당물엿)",'🔖 배합비 참조'!$A$2:$A$83,0),MATCH($C85,'🔖 배합비 참조'!$B$1:$CE$1,0))/100,0),""))),"")</f>
        <v>0</v>
      </c>
      <c r="AT85" s="39" t="n">
        <f aca="false">IFERROR(IF($C85="","",IF($D85="","",IFERROR(ROUND($D85*INDEX('🔖 배합비 참조'!$B$2:$CE$83,MATCH("밤다이스",'🔖 배합비 참조'!$A$2:$A$83,0),MATCH($C85,'🔖 배합비 참조'!$B$1:$CE$1,0))/100,0),""))),"")</f>
        <v>0</v>
      </c>
      <c r="AU85" s="39" t="n">
        <f aca="false">IFERROR(IF($C85="","",IF($D85="","",IFERROR(ROUND($D85*INDEX('🔖 배합비 참조'!$B$2:$CE$83,MATCH("변성전분(타피오카전분)",'🔖 배합비 참조'!$A$2:$A$83,0),MATCH($C85,'🔖 배합비 참조'!$B$1:$CE$1,0))/100,0),""))),"")</f>
        <v>0</v>
      </c>
      <c r="AV85" s="39" t="n">
        <f aca="false">IFERROR(IF($C85="","",IF($D85="","",IFERROR(ROUND($D85*INDEX('🔖 배합비 참조'!$B$2:$CE$83,MATCH("복음땅콩분태",'🔖 배합비 참조'!$A$2:$A$83,0),MATCH($C85,'🔖 배합비 참조'!$B$1:$CE$1,0))/100,0),""))),"")</f>
        <v>0</v>
      </c>
      <c r="AW85" s="39" t="n">
        <f aca="false">IFERROR(IF($C85="","",IF($D85="","",IFERROR(ROUND($D85*INDEX('🔖 배합비 참조'!$B$2:$CE$83,MATCH("사양벌꿀(국내산)",'🔖 배합비 참조'!$A$2:$A$83,0),MATCH($C85,'🔖 배합비 참조'!$B$1:$CE$1,0))/100,0),""))),"")</f>
        <v>2</v>
      </c>
      <c r="AX85" s="39" t="n">
        <f aca="false">IFERROR(IF($C85="","",IF($D85="","",IFERROR(ROUND($D85*INDEX('🔖 배합비 참조'!$B$2:$CE$83,MATCH("생크림",'🔖 배합비 참조'!$A$2:$A$83,0),MATCH($C85,'🔖 배합비 참조'!$B$1:$CE$1,0))/100,0),""))),"")</f>
        <v>0</v>
      </c>
      <c r="AY85" s="39" t="n">
        <f aca="false">IFERROR(IF($C85="","",IF($D85="","",IFERROR(ROUND($D85*INDEX('🔖 배합비 참조'!$B$2:$CE$83,MATCH("서양호박(국내산,뉴질랜드산)",'🔖 배합비 참조'!$A$2:$A$83,0),MATCH($C85,'🔖 배합비 참조'!$B$1:$CE$1,0))/100,0),""))),"")</f>
        <v>0</v>
      </c>
      <c r="AZ85" s="39" t="n">
        <f aca="false">IFERROR(IF($C85="","",IF($D85="","",IFERROR(ROUND($D85*INDEX('🔖 배합비 참조'!$B$2:$CE$83,MATCH("설탕",'🔖 배합비 참조'!$A$2:$A$83,0),MATCH($C85,'🔖 배합비 참조'!$B$1:$CE$1,0))/100,0),""))),"")</f>
        <v>8</v>
      </c>
      <c r="BA85" s="39" t="n">
        <f aca="false">IFERROR(IF($C85="","",IF($D85="","",IFERROR(ROUND($D85*INDEX('🔖 배합비 참조'!$B$2:$CE$83,MATCH("스트로우베리 에이드 후레쉬",'🔖 배합비 참조'!$A$2:$A$83,0),MATCH($C85,'🔖 배합비 참조'!$B$1:$CE$1,0))/100,0),""))),"")</f>
        <v>0</v>
      </c>
      <c r="BB85" s="39" t="n">
        <f aca="false">IFERROR(IF($C85="","",IF($D85="","",IFERROR(ROUND($D85*INDEX('🔖 배합비 참조'!$B$2:$CE$83,MATCH("식물성기름혼합제제(분홍)",'🔖 배합비 참조'!$A$2:$A$83,0),MATCH($C85,'🔖 배합비 참조'!$B$1:$CE$1,0))/100,0),""))),"")</f>
        <v>0</v>
      </c>
      <c r="BC85" s="39" t="n">
        <f aca="false">IFERROR(IF($C85="","",IF($D85="","",IFERROR(ROUND($D85*INDEX('🔖 배합비 참조'!$B$2:$CE$83,MATCH("식물성기름혼합제제(초록)",'🔖 배합비 참조'!$A$2:$A$83,0),MATCH($C85,'🔖 배합비 참조'!$B$1:$CE$1,0))/100,0),""))),"")</f>
        <v>0</v>
      </c>
      <c r="BD85" s="39" t="n">
        <f aca="false">IFERROR(IF($C85="","",IF($D85="","",IFERROR(ROUND($D85*INDEX('🔖 배합비 참조'!$B$2:$CE$83,MATCH("식물성기름혼합제제(황색)",'🔖 배합비 참조'!$A$2:$A$83,0),MATCH($C85,'🔖 배합비 참조'!$B$1:$CE$1,0))/100,0),""))),"")</f>
        <v>0</v>
      </c>
      <c r="BE85" s="39" t="n">
        <f aca="false">IFERROR(IF($C85="","",IF($D85="","",IFERROR(ROUND($D85*INDEX('🔖 배합비 참조'!$B$2:$CE$83,MATCH("쑥가루(국내산)",'🔖 배합비 참조'!$A$2:$A$83,0),MATCH($C85,'🔖 배합비 참조'!$B$1:$CE$1,0))/100,0),""))),"")</f>
        <v>0</v>
      </c>
      <c r="BF85" s="39" t="n">
        <f aca="false">IFERROR(IF($C85="","",IF($D85="","",IFERROR(ROUND($D85*INDEX('🔖 배합비 참조'!$B$2:$CE$83,MATCH("아몬드슬라이스",'🔖 배합비 참조'!$A$2:$A$83,0),MATCH($C85,'🔖 배합비 참조'!$B$1:$CE$1,0))/100,0),""))),"")</f>
        <v>0</v>
      </c>
      <c r="BG85" s="39" t="n">
        <f aca="false">IFERROR(IF($C85="","",IF($D85="","",IFERROR(ROUND($D85*INDEX('🔖 배합비 참조'!$B$2:$CE$83,MATCH("알룰로오스(국내산)",'🔖 배합비 참조'!$A$2:$A$83,0),MATCH($C85,'🔖 배합비 참조'!$B$1:$CE$1,0))/100,0),""))),"")</f>
        <v>0</v>
      </c>
      <c r="BH85" s="39" t="n">
        <f aca="false">IFERROR(IF($C85="","",IF($D85="","",IFERROR(ROUND($D85*INDEX('🔖 배합비 참조'!$B$2:$CE$83,MATCH("연유",'🔖 배합비 참조'!$A$2:$A$83,0),MATCH($C85,'🔖 배합비 참조'!$B$1:$CE$1,0))/100,0),""))),"")</f>
        <v>0</v>
      </c>
      <c r="BI85" s="39" t="n">
        <f aca="false">IFERROR(IF($C85="","",IF($D85="","",IFERROR(ROUND($D85*INDEX('🔖 배합비 참조'!$B$2:$CE$83,MATCH("옥수수전분",'🔖 배합비 참조'!$A$2:$A$83,0),MATCH($C85,'🔖 배합비 참조'!$B$1:$CE$1,0))/100,0),""))),"")</f>
        <v>0</v>
      </c>
      <c r="BJ85" s="39" t="n">
        <f aca="false">IFERROR(IF($C85="","",IF($D85="","",IFERROR(ROUND($D85*INDEX('🔖 배합비 참조'!$B$2:$CE$83,MATCH("완두배기",'🔖 배합비 참조'!$A$2:$A$83,0),MATCH($C85,'🔖 배합비 참조'!$B$1:$CE$1,0))/100,0),""))),"")</f>
        <v>0</v>
      </c>
      <c r="BK85" s="39" t="n">
        <f aca="false">IFERROR(IF($C85="","",IF($D85="","",IFERROR(ROUND($D85*INDEX('🔖 배합비 참조'!$B$2:$CE$83,MATCH("우유(국내산)",'🔖 배합비 참조'!$A$2:$A$83,0),MATCH($C85,'🔖 배합비 참조'!$B$1:$CE$1,0))/100,0),""))),"")</f>
        <v>0</v>
      </c>
      <c r="BL85" s="39" t="n">
        <f aca="false">IFERROR(IF($C85="","",IF($D85="","",IFERROR(ROUND($D85*INDEX('🔖 배합비 참조'!$B$2:$CE$83,MATCH("자색고구마가루(중국산)",'🔖 배합비 참조'!$A$2:$A$83,0),MATCH($C85,'🔖 배합비 참조'!$B$1:$CE$1,0))/100,0),""))),"")</f>
        <v>0</v>
      </c>
      <c r="BM85" s="39" t="n">
        <f aca="false">IFERROR(IF($C85="","",IF($D85="","",IFERROR(ROUND($D85*INDEX('🔖 배합비 참조'!$B$2:$CE$83,MATCH("자연치즈(체다치즈)",'🔖 배합비 참조'!$A$2:$A$83,0),MATCH($C85,'🔖 배합비 참조'!$B$1:$CE$1,0))/100,0),""))),"")</f>
        <v>0</v>
      </c>
      <c r="BN85" s="39" t="n">
        <f aca="false">IFERROR(IF($C85="","",IF($D85="","",IFERROR(ROUND($D85*INDEX('🔖 배합비 참조'!$B$2:$CE$83,MATCH("정제수",'🔖 배합비 참조'!$A$2:$A$83,0),MATCH($C85,'🔖 배합비 참조'!$B$1:$CE$1,0))/100,0),""))),"")</f>
        <v>13</v>
      </c>
      <c r="BO85" s="39" t="n">
        <f aca="false">IFERROR(IF($C85="","",IF($D85="","",IFERROR(ROUND($D85*INDEX('🔖 배합비 참조'!$B$2:$CE$83,MATCH("젤라틴",'🔖 배합비 참조'!$A$2:$A$83,0),MATCH($C85,'🔖 배합비 참조'!$B$1:$CE$1,0))/100,0),""))),"")</f>
        <v>0</v>
      </c>
      <c r="BP85" s="39" t="n">
        <f aca="false">IFERROR(IF($C85="","",IF($D85="","",IFERROR(ROUND($D85*INDEX('🔖 배합비 참조'!$B$2:$CE$83,MATCH("조림류(백옥앙금)",'🔖 배합비 참조'!$A$2:$A$83,0),MATCH($C85,'🔖 배합비 참조'!$B$1:$CE$1,0))/100,0),""))),"")</f>
        <v>0</v>
      </c>
      <c r="BQ85" s="39" t="n">
        <f aca="false">IFERROR(IF($C85="","",IF($D85="","",IFERROR(ROUND($D85*INDEX('🔖 배합비 참조'!$B$2:$CE$83,MATCH("조림류(통팥앙금)",'🔖 배합비 참조'!$A$2:$A$83,0),MATCH($C85,'🔖 배합비 참조'!$B$1:$CE$1,0))/100,0),""))),"")</f>
        <v>0</v>
      </c>
      <c r="BR85" s="39" t="n">
        <f aca="false">IFERROR(IF($C85="","",IF($D85="","",IFERROR(ROUND($D85*INDEX('🔖 배합비 참조'!$B$2:$CE$83,MATCH("준초콜릿(외국산)",'🔖 배합비 참조'!$A$2:$A$83,0),MATCH($C85,'🔖 배합비 참조'!$B$1:$CE$1,0))/100,0),""))),"")</f>
        <v>0</v>
      </c>
      <c r="BS85" s="39" t="n">
        <f aca="false">IFERROR(IF($C85="","",IF($D85="","",IFERROR(ROUND($D85*INDEX('🔖 배합비 참조'!$B$2:$CE$83,MATCH("중력분",'🔖 배합비 참조'!$A$2:$A$83,0),MATCH($C85,'🔖 배합비 참조'!$B$1:$CE$1,0))/100,0),""))),"")</f>
        <v>0</v>
      </c>
      <c r="BT85" s="39" t="n">
        <f aca="false">IFERROR(IF($C85="","",IF($D85="","",IFERROR(ROUND($D85*INDEX('🔖 배합비 참조'!$B$2:$CE$83,MATCH("참깨(인도산,나이지리아산,탄자니아산,미얀마산)",'🔖 배합비 참조'!$A$2:$A$83,0),MATCH($C85,'🔖 배합비 참조'!$B$1:$CE$1,0))/100,0),""))),"")</f>
        <v>0</v>
      </c>
      <c r="BU85" s="39" t="n">
        <f aca="false">IFERROR(IF($C85="","",IF($D85="","",IFERROR(ROUND($D85*INDEX('🔖 배합비 참조'!$B$2:$CE$83,MATCH("찹쌀(국내산)",'🔖 배합비 참조'!$A$2:$A$83,0),MATCH($C85,'🔖 배합비 참조'!$B$1:$CE$1,0))/100,0),""))),"")</f>
        <v>0</v>
      </c>
      <c r="BV85" s="39" t="n">
        <f aca="false">IFERROR(IF($C85="","",IF($D85="","",IFERROR(ROUND($D85*INDEX('🔖 배합비 참조'!$B$2:$CE$83,MATCH("천일염",'🔖 배합비 참조'!$A$2:$A$83,0),MATCH($C85,'🔖 배합비 참조'!$B$1:$CE$1,0))/100,0),""))),"")</f>
        <v>1</v>
      </c>
      <c r="BW85" s="39" t="n">
        <f aca="false">IFERROR(IF($C85="","",IF($D85="","",IFERROR(ROUND($D85*INDEX('🔖 배합비 참조'!$B$2:$CE$83,MATCH("치즈 [크림치즈]",'🔖 배합비 참조'!$A$2:$A$83,0),MATCH($C85,'🔖 배합비 참조'!$B$1:$CE$1,0))/100,0),""))),"")</f>
        <v>0</v>
      </c>
      <c r="BX85" s="39" t="n">
        <f aca="false">IFERROR(IF($C85="","",IF($D85="","",IFERROR(ROUND($D85*INDEX('🔖 배합비 참조'!$B$2:$CE$83,MATCH("코코아가공품류(코코아분말)",'🔖 배합비 참조'!$A$2:$A$83,0),MATCH($C85,'🔖 배합비 참조'!$B$1:$CE$1,0))/100,0),""))),"")</f>
        <v>0</v>
      </c>
      <c r="BY85" s="39" t="n">
        <f aca="false">IFERROR(IF($C85="","",IF($D85="","",IFERROR(ROUND($D85*INDEX('🔖 배합비 참조'!$B$2:$CE$83,MATCH("콩기름(대두유)",'🔖 배합비 참조'!$A$2:$A$83,0),MATCH($C85,'🔖 배합비 참조'!$B$1:$CE$1,0))/100,0),""))),"")</f>
        <v>0</v>
      </c>
      <c r="BZ85" s="39" t="n">
        <f aca="false">IFERROR(IF($C85="","",IF($D85="","",IFERROR(ROUND($D85*INDEX('🔖 배합비 참조'!$B$2:$CE$83,MATCH("해바라기씨앗",'🔖 배합비 참조'!$A$2:$A$83,0),MATCH($C85,'🔖 배합비 참조'!$B$1:$CE$1,0))/100,0),""))),"")</f>
        <v>0</v>
      </c>
      <c r="CA85" s="39" t="n">
        <f aca="false">IFERROR(IF($C85="","",IF($D85="","",IFERROR(ROUND($D85*INDEX('🔖 배합비 참조'!$B$2:$CE$83,MATCH("현미(국내산)",'🔖 배합비 참조'!$A$2:$A$83,0),MATCH($C85,'🔖 배합비 참조'!$B$1:$CE$1,0))/100,0),""))),"")</f>
        <v>0</v>
      </c>
      <c r="CB85" s="39" t="n">
        <f aca="false">IFERROR(IF($C85="","",IF($D85="","",IFERROR(ROUND($D85*INDEX('🔖 배합비 참조'!$B$2:$CE$83,MATCH("현미멥쌀(국내산)",'🔖 배합비 참조'!$A$2:$A$83,0),MATCH($C85,'🔖 배합비 참조'!$B$1:$CE$1,0))/100,0),""))),"")</f>
        <v>0</v>
      </c>
      <c r="CC85" s="39" t="n">
        <f aca="false">IFERROR(IF($C85="","",IF($D85="","",IFERROR(ROUND($D85*INDEX('🔖 배합비 참조'!$B$2:$CE$83,MATCH("호두분태(미국산)",'🔖 배합비 참조'!$A$2:$A$83,0),MATCH($C85,'🔖 배합비 참조'!$B$1:$CE$1,0))/100,0),""))),"")</f>
        <v>0</v>
      </c>
      <c r="CD85" s="39" t="n">
        <f aca="false">IFERROR(IF($C85="","",IF($D85="","",IFERROR(ROUND($D85*INDEX('🔖 배합비 참조'!$B$2:$CE$83,MATCH("호박씨앗(외국산)",'🔖 배합비 참조'!$A$2:$A$83,0),MATCH($C85,'🔖 배합비 참조'!$B$1:$CE$1,0))/100,0),""))),"")</f>
        <v>0</v>
      </c>
      <c r="CE85" s="39" t="n">
        <f aca="false">IFERROR(IF($C85="","",IF($D85="","",IFERROR(ROUND($D85*INDEX('🔖 배합비 참조'!$B$2:$CE$83,MATCH("혼합제제(떡용에스텔)",'🔖 배합비 참조'!$A$2:$A$83,0),MATCH($C85,'🔖 배합비 참조'!$B$1:$CE$1,0))/100,0),""))),"")</f>
        <v>0</v>
      </c>
      <c r="CF85" s="39" t="n">
        <f aca="false">IFERROR(IF($C85="","",IF($D85="","",IFERROR(ROUND($D85*INDEX('🔖 배합비 참조'!$B$2:$CE$83,MATCH("혼합제제(스테비아)",'🔖 배합비 참조'!$A$2:$A$83,0),MATCH($C85,'🔖 배합비 참조'!$B$1:$CE$1,0))/100,0),""))),"")</f>
        <v>0</v>
      </c>
      <c r="CG85" s="39" t="n">
        <f aca="false">IFERROR(IF($C85="","",IF($D85="","",IFERROR(ROUND($D85*INDEX('🔖 배합비 참조'!$B$2:$CE$83,MATCH("화이트초콜릿",'🔖 배합비 참조'!$A$2:$A$83,0),MATCH($C85,'🔖 배합비 참조'!$B$1:$CE$1,0))/100,0),""))),"")</f>
        <v>0</v>
      </c>
      <c r="CH85" s="39" t="n">
        <f aca="false">IFERROR(IF($C85="","",IF($D85="","",IFERROR(ROUND($D85*INDEX('🔖 배합비 참조'!$B$2:$CE$83,MATCH("흑미찹쌀(국내산)",'🔖 배합비 참조'!$A$2:$A$83,0),MATCH($C85,'🔖 배합비 참조'!$B$1:$CE$1,0))/100,0),""))),"")</f>
        <v>0</v>
      </c>
      <c r="CI85" s="39" t="n">
        <f aca="false">IFERROR(IF($C85="","",IF($D85="","",IFERROR(ROUND($D85*INDEX('🔖 배합비 참조'!$B$2:$CE$83,MATCH("찰옥수수전분(미국산)",'🔖 배합비 참조'!$A$2:$A$83,0),MATCH($C85,'🔖 배합비 참조'!$B$1:$CE$1,0))/100,0),""))),"")</f>
        <v>0</v>
      </c>
      <c r="CJ85" s="40"/>
      <c r="CL85" s="1" t="s">
        <v>238</v>
      </c>
    </row>
    <row r="86" customFormat="false" ht="18" hidden="false" customHeight="true" outlineLevel="0" collapsed="false">
      <c r="A86" s="41" t="n">
        <v>82</v>
      </c>
      <c r="B86" s="36" t="n">
        <v>45986</v>
      </c>
      <c r="C86" s="37" t="s">
        <v>144</v>
      </c>
      <c r="D86" s="38" t="n">
        <v>35</v>
      </c>
      <c r="E86" s="17"/>
      <c r="F86" s="17"/>
      <c r="G86" s="42" t="n">
        <f aca="false">IFERROR(IF($C86="","",IF($D86="","",IFERROR(ROUND($D86*INDEX('🔖 배합비 참조'!$B$2:$CE$83,MATCH("간장",'🔖 배합비 참조'!$A$2:$A$83,0),MATCH($C86,'🔖 배합비 참조'!$B$1:$CE$1,0))/100,0),""))),"")</f>
        <v>0</v>
      </c>
      <c r="H86" s="42" t="n">
        <f aca="false">IFERROR(IF($C86="","",IF($D86="","",IFERROR(ROUND($D86*INDEX('🔖 배합비 참조'!$B$2:$CE$83,MATCH("강낭콩((울타리콩))",'🔖 배합비 참조'!$A$2:$A$83,0),MATCH($C86,'🔖 배합비 참조'!$B$1:$CE$1,0))/100,0),""))),"")</f>
        <v>0</v>
      </c>
      <c r="I86" s="42" t="n">
        <f aca="false">IFERROR(IF($C86="","",IF($D86="","",IFERROR(ROUND($D86*INDEX('🔖 배합비 참조'!$B$2:$CE$83,MATCH("건조딸기다이스(외국산)",'🔖 배합비 참조'!$A$2:$A$83,0),MATCH($C86,'🔖 배합비 참조'!$B$1:$CE$1,0))/100,0),""))),"")</f>
        <v>0</v>
      </c>
      <c r="J86" s="42" t="n">
        <f aca="false">IFERROR(IF($C86="","",IF($D86="","",IFERROR(ROUND($D86*INDEX('🔖 배합비 참조'!$B$2:$CE$83,MATCH("건포도",'🔖 배합비 참조'!$A$2:$A$83,0),MATCH($C86,'🔖 배합비 참조'!$B$1:$CE$1,0))/100,0),""))),"")</f>
        <v>0</v>
      </c>
      <c r="K86" s="42" t="n">
        <f aca="false">IFERROR(IF($C86="","",IF($D86="","",IFERROR(ROUND($D86*INDEX('🔖 배합비 참조'!$B$2:$CE$83,MATCH("건호박채(중국산)",'🔖 배합비 참조'!$A$2:$A$83,0),MATCH($C86,'🔖 배합비 참조'!$B$1:$CE$1,0))/100,0),""))),"")</f>
        <v>0</v>
      </c>
      <c r="L86" s="42" t="n">
        <f aca="false">IFERROR(IF($C86="","",IF($D86="","",IFERROR(ROUND($D86*INDEX('🔖 배합비 참조'!$B$2:$CE$83,MATCH("검정깨(흑임자)",'🔖 배합비 참조'!$A$2:$A$83,0),MATCH($C86,'🔖 배합비 참조'!$B$1:$CE$1,0))/100,0),""))),"")</f>
        <v>0</v>
      </c>
      <c r="M86" s="42" t="n">
        <f aca="false">IFERROR(IF($C86="","",IF($D86="","",IFERROR(ROUND($D86*INDEX('🔖 배합비 참조'!$B$2:$CE$83,MATCH("검정콩",'🔖 배합비 참조'!$A$2:$A$83,0),MATCH($C86,'🔖 배합비 참조'!$B$1:$CE$1,0))/100,0),""))),"")</f>
        <v>0</v>
      </c>
      <c r="N86" s="42" t="n">
        <f aca="false">IFERROR(IF($C86="","",IF($D86="","",IFERROR(ROUND($D86*INDEX('🔖 배합비 참조'!$B$2:$CE$83,MATCH("계피가루",'🔖 배합비 참조'!$A$2:$A$83,0),MATCH($C86,'🔖 배합비 참조'!$B$1:$CE$1,0))/100,0),""))),"")</f>
        <v>0</v>
      </c>
      <c r="O86" s="42" t="n">
        <f aca="false">IFERROR(IF($C86="","",IF($D86="","",IFERROR(ROUND($D86*INDEX('🔖 배합비 참조'!$B$2:$CE$83,MATCH("고구마가루",'🔖 배합비 참조'!$A$2:$A$83,0),MATCH($C86,'🔖 배합비 참조'!$B$1:$CE$1,0))/100,0),""))),"")</f>
        <v>0</v>
      </c>
      <c r="P86" s="42" t="n">
        <f aca="false">IFERROR(IF($C86="","",IF($D86="","",IFERROR(ROUND($D86*INDEX('🔖 배합비 참조'!$B$2:$CE$83,MATCH("고구마무스",'🔖 배합비 참조'!$A$2:$A$83,0),MATCH($C86,'🔖 배합비 참조'!$B$1:$CE$1,0))/100,0),""))),"")</f>
        <v>0</v>
      </c>
      <c r="Q86" s="42" t="n">
        <f aca="false">IFERROR(IF($C86="","",IF($D86="","",IFERROR(ROUND($D86*INDEX('🔖 배합비 참조'!$B$2:$CE$83,MATCH("고려엉겅퀴((곤드레)국내산)",'🔖 배합비 참조'!$A$2:$A$83,0),MATCH($C86,'🔖 배합비 참조'!$B$1:$CE$1,0))/100,0),""))),"")</f>
        <v>0</v>
      </c>
      <c r="R86" s="42" t="n">
        <f aca="false">IFERROR(IF($C86="","",IF($D86="","",IFERROR(ROUND($D86*INDEX('🔖 배합비 참조'!$B$2:$CE$83,MATCH("기타가공품(복분자가루)",'🔖 배합비 참조'!$A$2:$A$83,0),MATCH($C86,'🔖 배합비 참조'!$B$1:$CE$1,0))/100,0),""))),"")</f>
        <v>0</v>
      </c>
      <c r="S86" s="42" t="n">
        <f aca="false">IFERROR(IF($C86="","",IF($D86="","",IFERROR(ROUND($D86*INDEX('🔖 배합비 참조'!$B$2:$CE$83,MATCH("기타가공품(슈퍼소프트엠)",'🔖 배합비 참조'!$A$2:$A$83,0),MATCH($C86,'🔖 배합비 참조'!$B$1:$CE$1,0))/100,0),""))),"")</f>
        <v>0</v>
      </c>
      <c r="T86" s="42" t="n">
        <f aca="false">IFERROR(IF($C86="","",IF($D86="","",IFERROR(ROUND($D86*INDEX('🔖 배합비 참조'!$B$2:$CE$83,MATCH("기타가공품(파인소프트 E-티)",'🔖 배합비 참조'!$A$2:$A$83,0),MATCH($C86,'🔖 배합비 참조'!$B$1:$CE$1,0))/100,0),""))),"")</f>
        <v>0</v>
      </c>
      <c r="U86" s="42" t="n">
        <f aca="false">IFERROR(IF($C86="","",IF($D86="","",IFERROR(ROUND($D86*INDEX('🔖 배합비 참조'!$B$2:$CE$83,MATCH("기타가공품(프리미엄카스테라가루)",'🔖 배합비 참조'!$A$2:$A$83,0),MATCH($C86,'🔖 배합비 참조'!$B$1:$CE$1,0))/100,0),""))),"")</f>
        <v>0</v>
      </c>
      <c r="V86" s="42" t="n">
        <f aca="false">IFERROR(IF($C86="","",IF($D86="","",IFERROR(ROUND($D86*INDEX('🔖 배합비 참조'!$B$2:$CE$83,MATCH("기타가공품(흑임자가루)",'🔖 배합비 참조'!$A$2:$A$83,0),MATCH($C86,'🔖 배합비 참조'!$B$1:$CE$1,0))/100,0),""))),"")</f>
        <v>0</v>
      </c>
      <c r="W86" s="42" t="n">
        <f aca="false">IFERROR(IF($C86="","",IF($D86="","",IFERROR(ROUND($D86*INDEX('🔖 배합비 참조'!$B$2:$CE$83,MATCH("기타설탕(흑설탕)",'🔖 배합비 참조'!$A$2:$A$83,0),MATCH($C86,'🔖 배합비 참조'!$B$1:$CE$1,0))/100,0),""))),"")</f>
        <v>0</v>
      </c>
      <c r="X86" s="42" t="n">
        <f aca="false">IFERROR(IF($C86="","",IF($D86="","",IFERROR(ROUND($D86*INDEX('🔖 배합비 참조'!$B$2:$CE$83,MATCH("냉동쑥(국내산)",'🔖 배합비 참조'!$A$2:$A$83,0),MATCH($C86,'🔖 배합비 참조'!$B$1:$CE$1,0))/100,0),""))),"")</f>
        <v>0</v>
      </c>
      <c r="Y86" s="42" t="n">
        <f aca="false">IFERROR(IF($C86="","",IF($D86="","",IFERROR(ROUND($D86*INDEX('🔖 배합비 참조'!$B$2:$CE$83,MATCH("냉동증숙고구마(중국산)",'🔖 배합비 참조'!$A$2:$A$83,0),MATCH($C86,'🔖 배합비 참조'!$B$1:$CE$1,0))/100,0),""))),"")</f>
        <v>0</v>
      </c>
      <c r="Z86" s="42" t="n">
        <f aca="false">IFERROR(IF($C86="","",IF($D86="","",IFERROR(ROUND($D86*INDEX('🔖 배합비 참조'!$B$2:$CE$83,MATCH("녹차가루",'🔖 배합비 참조'!$A$2:$A$83,0),MATCH($C86,'🔖 배합비 참조'!$B$1:$CE$1,0))/100,0),""))),"")</f>
        <v>0</v>
      </c>
      <c r="AA86" s="42" t="n">
        <f aca="false">IFERROR(IF($C86="","",IF($D86="","",IFERROR(ROUND($D86*INDEX('🔖 배합비 참조'!$B$2:$CE$83,MATCH("다크초콜릿 컴파운드칩",'🔖 배합비 참조'!$A$2:$A$83,0),MATCH($C86,'🔖 배합비 참조'!$B$1:$CE$1,0))/100,0),""))),"")</f>
        <v>0</v>
      </c>
      <c r="AB86" s="42" t="n">
        <f aca="false">IFERROR(IF($C86="","",IF($D86="","",IFERROR(ROUND($D86*INDEX('🔖 배합비 참조'!$B$2:$CE$83,MATCH("단호박분말(중국산)",'🔖 배합비 참조'!$A$2:$A$83,0),MATCH($C86,'🔖 배합비 참조'!$B$1:$CE$1,0))/100,0),""))),"")</f>
        <v>0</v>
      </c>
      <c r="AC86" s="42" t="n">
        <f aca="false">IFERROR(IF($C86="","",IF($D86="","",IFERROR(ROUND($D86*INDEX('🔖 배합비 참조'!$B$2:$CE$83,MATCH("당류가공품(단호박농축액)",'🔖 배합비 참조'!$A$2:$A$83,0),MATCH($C86,'🔖 배합비 참조'!$B$1:$CE$1,0))/100,0),""))),"")</f>
        <v>0</v>
      </c>
      <c r="AD86" s="42" t="n">
        <f aca="false">IFERROR(IF($C86="","",IF($D86="","",IFERROR(ROUND($D86*INDEX('🔖 배합비 참조'!$B$2:$CE$83,MATCH("당류가공품(알룰로스,에리스리톨,스테비올배당체혼합)",'🔖 배합비 참조'!$A$2:$A$83,0),MATCH($C86,'🔖 배합비 참조'!$B$1:$CE$1,0))/100,0),""))),"")</f>
        <v>0</v>
      </c>
      <c r="AE86" s="42" t="n">
        <f aca="false">IFERROR(IF($C86="","",IF($D86="","",IFERROR(ROUND($D86*INDEX('🔖 배합비 참조'!$B$2:$CE$83,MATCH("당류가공품(알룰로스제로파우더)",'🔖 배합비 참조'!$A$2:$A$83,0),MATCH($C86,'🔖 배합비 참조'!$B$1:$CE$1,0))/100,0),""))),"")</f>
        <v>0</v>
      </c>
      <c r="AF86" s="42" t="n">
        <f aca="false">IFERROR(IF($C86="","",IF($D86="","",IFERROR(ROUND($D86*INDEX('🔖 배합비 참조'!$B$2:$CE$83,MATCH("당절임(완두배기)",'🔖 배합비 참조'!$A$2:$A$83,0),MATCH($C86,'🔖 배합비 참조'!$B$1:$CE$1,0))/100,0),""))),"")</f>
        <v>0</v>
      </c>
      <c r="AG86" s="42" t="n">
        <f aca="false">IFERROR(IF($C86="","",IF($D86="","",IFERROR(ROUND($D86*INDEX('🔖 배합비 참조'!$B$2:$CE$83,MATCH("대추농축액",'🔖 배합비 참조'!$A$2:$A$83,0),MATCH($C86,'🔖 배합비 참조'!$B$1:$CE$1,0))/100,0),""))),"")</f>
        <v>0</v>
      </c>
      <c r="AH86" s="42" t="n">
        <f aca="false">IFERROR(IF($C86="","",IF($D86="","",IFERROR(ROUND($D86*INDEX('🔖 배합비 참조'!$B$2:$CE$83,MATCH("대추채(국내산)",'🔖 배합비 참조'!$A$2:$A$83,0),MATCH($C86,'🔖 배합비 참조'!$B$1:$CE$1,0))/100,0),""))),"")</f>
        <v>0</v>
      </c>
      <c r="AI86" s="42" t="n">
        <f aca="false">IFERROR(IF($C86="","",IF($D86="","",IFERROR(ROUND($D86*INDEX('🔖 배합비 참조'!$B$2:$CE$83,MATCH("동부(미얀마산)",'🔖 배합비 참조'!$A$2:$A$83,0),MATCH($C86,'🔖 배합비 참조'!$B$1:$CE$1,0))/100,0),""))),"")</f>
        <v>0</v>
      </c>
      <c r="AJ86" s="42" t="n">
        <f aca="false">IFERROR(IF($C86="","",IF($D86="","",IFERROR(ROUND($D86*INDEX('🔖 배합비 참조'!$B$2:$CE$83,MATCH("두류가공품(백옥앙금)",'🔖 배합비 참조'!$A$2:$A$83,0),MATCH($C86,'🔖 배합비 참조'!$B$1:$CE$1,0))/100,0),""))),"")</f>
        <v>0</v>
      </c>
      <c r="AK86" s="42" t="n">
        <f aca="false">IFERROR(IF($C86="","",IF($D86="","",IFERROR(ROUND($D86*INDEX('🔖 배합비 참조'!$B$2:$CE$83,MATCH("두류가공품(콩고물)",'🔖 배합비 참조'!$A$2:$A$83,0),MATCH($C86,'🔖 배합비 참조'!$B$1:$CE$1,0))/100,0),""))),"")</f>
        <v>1</v>
      </c>
      <c r="AL86" s="42" t="n">
        <f aca="false">IFERROR(IF($C86="","",IF($D86="","",IFERROR(ROUND($D86*INDEX('🔖 배합비 참조'!$B$2:$CE$83,MATCH("두류가공품(통팥고물)",'🔖 배합비 참조'!$A$2:$A$83,0),MATCH($C86,'🔖 배합비 참조'!$B$1:$CE$1,0))/100,0),""))),"")</f>
        <v>0</v>
      </c>
      <c r="AM86" s="42" t="n">
        <f aca="false">IFERROR(IF($C86="","",IF($D86="","",IFERROR(ROUND($D86*INDEX('🔖 배합비 참조'!$B$2:$CE$83,MATCH("딸기레진",'🔖 배합비 참조'!$A$2:$A$83,0),MATCH($C86,'🔖 배합비 참조'!$B$1:$CE$1,0))/100,0),""))),"")</f>
        <v>0</v>
      </c>
      <c r="AN86" s="42" t="n">
        <f aca="false">IFERROR(IF($C86="","",IF($D86="","",IFERROR(ROUND($D86*INDEX('🔖 배합비 참조'!$B$2:$CE$83,MATCH("딸기분말(스트로우베리에이드(분말))",'🔖 배합비 참조'!$A$2:$A$83,0),MATCH($C86,'🔖 배합비 참조'!$B$1:$CE$1,0))/100,0),""))),"")</f>
        <v>0</v>
      </c>
      <c r="AO86" s="42" t="n">
        <f aca="false">IFERROR(IF($C86="","",IF($D86="","",IFERROR(ROUND($D86*INDEX('🔖 배합비 참조'!$B$2:$CE$83,MATCH("마스카포네치즈",'🔖 배합비 참조'!$A$2:$A$83,0),MATCH($C86,'🔖 배합비 참조'!$B$1:$CE$1,0))/100,0),""))),"")</f>
        <v>0</v>
      </c>
      <c r="AP86" s="42" t="n">
        <f aca="false">IFERROR(IF($C86="","",IF($D86="","",IFERROR(ROUND($D86*INDEX('🔖 배합비 참조'!$B$2:$CE$83,MATCH("마카다미아분태(호주산)",'🔖 배합비 참조'!$A$2:$A$83,0),MATCH($C86,'🔖 배합비 참조'!$B$1:$CE$1,0))/100,0),""))),"")</f>
        <v>0</v>
      </c>
      <c r="AQ86" s="42" t="n">
        <f aca="false">IFERROR(IF($C86="","",IF($D86="","",IFERROR(ROUND($D86*INDEX('🔖 배합비 참조'!$B$2:$CE$83,MATCH("멥쌀(국내산)",'🔖 배합비 참조'!$A$2:$A$83,0),MATCH($C86,'🔖 배합비 참조'!$B$1:$CE$1,0))/100,0),""))),"")</f>
        <v>0</v>
      </c>
      <c r="AR86" s="42" t="n">
        <f aca="false">IFERROR(IF($C86="","",IF($D86="","",IFERROR(ROUND($D86*INDEX('🔖 배합비 참조'!$B$2:$CE$83,MATCH("모시잎(국내산)",'🔖 배합비 참조'!$A$2:$A$83,0),MATCH($C86,'🔖 배합비 참조'!$B$1:$CE$1,0))/100,0),""))),"")</f>
        <v>0</v>
      </c>
      <c r="AS86" s="42" t="n">
        <f aca="false">IFERROR(IF($C86="","",IF($D86="","",IFERROR(ROUND($D86*INDEX('🔖 배합비 참조'!$B$2:$CE$83,MATCH("물엿(저당물엿)",'🔖 배합비 참조'!$A$2:$A$83,0),MATCH($C86,'🔖 배합비 참조'!$B$1:$CE$1,0))/100,0),""))),"")</f>
        <v>2</v>
      </c>
      <c r="AT86" s="42" t="n">
        <f aca="false">IFERROR(IF($C86="","",IF($D86="","",IFERROR(ROUND($D86*INDEX('🔖 배합비 참조'!$B$2:$CE$83,MATCH("밤다이스",'🔖 배합비 참조'!$A$2:$A$83,0),MATCH($C86,'🔖 배합비 참조'!$B$1:$CE$1,0))/100,0),""))),"")</f>
        <v>0</v>
      </c>
      <c r="AU86" s="42" t="n">
        <f aca="false">IFERROR(IF($C86="","",IF($D86="","",IFERROR(ROUND($D86*INDEX('🔖 배합비 참조'!$B$2:$CE$83,MATCH("변성전분(타피오카전분)",'🔖 배합비 참조'!$A$2:$A$83,0),MATCH($C86,'🔖 배합비 참조'!$B$1:$CE$1,0))/100,0),""))),"")</f>
        <v>0</v>
      </c>
      <c r="AV86" s="42" t="n">
        <f aca="false">IFERROR(IF($C86="","",IF($D86="","",IFERROR(ROUND($D86*INDEX('🔖 배합비 참조'!$B$2:$CE$83,MATCH("복음땅콩분태",'🔖 배합비 참조'!$A$2:$A$83,0),MATCH($C86,'🔖 배합비 참조'!$B$1:$CE$1,0))/100,0),""))),"")</f>
        <v>0</v>
      </c>
      <c r="AW86" s="42" t="n">
        <f aca="false">IFERROR(IF($C86="","",IF($D86="","",IFERROR(ROUND($D86*INDEX('🔖 배합비 참조'!$B$2:$CE$83,MATCH("사양벌꿀(국내산)",'🔖 배합비 참조'!$A$2:$A$83,0),MATCH($C86,'🔖 배합비 참조'!$B$1:$CE$1,0))/100,0),""))),"")</f>
        <v>0</v>
      </c>
      <c r="AX86" s="42" t="n">
        <f aca="false">IFERROR(IF($C86="","",IF($D86="","",IFERROR(ROUND($D86*INDEX('🔖 배합비 참조'!$B$2:$CE$83,MATCH("생크림",'🔖 배합비 참조'!$A$2:$A$83,0),MATCH($C86,'🔖 배합비 참조'!$B$1:$CE$1,0))/100,0),""))),"")</f>
        <v>0</v>
      </c>
      <c r="AY86" s="42" t="n">
        <f aca="false">IFERROR(IF($C86="","",IF($D86="","",IFERROR(ROUND($D86*INDEX('🔖 배합비 참조'!$B$2:$CE$83,MATCH("서양호박(국내산,뉴질랜드산)",'🔖 배합비 참조'!$A$2:$A$83,0),MATCH($C86,'🔖 배합비 참조'!$B$1:$CE$1,0))/100,0),""))),"")</f>
        <v>0</v>
      </c>
      <c r="AZ86" s="42" t="n">
        <f aca="false">IFERROR(IF($C86="","",IF($D86="","",IFERROR(ROUND($D86*INDEX('🔖 배합비 참조'!$B$2:$CE$83,MATCH("설탕",'🔖 배합비 참조'!$A$2:$A$83,0),MATCH($C86,'🔖 배합비 참조'!$B$1:$CE$1,0))/100,0),""))),"")</f>
        <v>2</v>
      </c>
      <c r="BA86" s="42" t="n">
        <f aca="false">IFERROR(IF($C86="","",IF($D86="","",IFERROR(ROUND($D86*INDEX('🔖 배합비 참조'!$B$2:$CE$83,MATCH("스트로우베리 에이드 후레쉬",'🔖 배합비 참조'!$A$2:$A$83,0),MATCH($C86,'🔖 배합비 참조'!$B$1:$CE$1,0))/100,0),""))),"")</f>
        <v>0</v>
      </c>
      <c r="BB86" s="42" t="n">
        <f aca="false">IFERROR(IF($C86="","",IF($D86="","",IFERROR(ROUND($D86*INDEX('🔖 배합비 참조'!$B$2:$CE$83,MATCH("식물성기름혼합제제(분홍)",'🔖 배합비 참조'!$A$2:$A$83,0),MATCH($C86,'🔖 배합비 참조'!$B$1:$CE$1,0))/100,0),""))),"")</f>
        <v>0</v>
      </c>
      <c r="BC86" s="42" t="n">
        <f aca="false">IFERROR(IF($C86="","",IF($D86="","",IFERROR(ROUND($D86*INDEX('🔖 배합비 참조'!$B$2:$CE$83,MATCH("식물성기름혼합제제(초록)",'🔖 배합비 참조'!$A$2:$A$83,0),MATCH($C86,'🔖 배합비 참조'!$B$1:$CE$1,0))/100,0),""))),"")</f>
        <v>0</v>
      </c>
      <c r="BD86" s="42" t="n">
        <f aca="false">IFERROR(IF($C86="","",IF($D86="","",IFERROR(ROUND($D86*INDEX('🔖 배합비 참조'!$B$2:$CE$83,MATCH("식물성기름혼합제제(황색)",'🔖 배합비 참조'!$A$2:$A$83,0),MATCH($C86,'🔖 배합비 참조'!$B$1:$CE$1,0))/100,0),""))),"")</f>
        <v>0</v>
      </c>
      <c r="BE86" s="42" t="n">
        <f aca="false">IFERROR(IF($C86="","",IF($D86="","",IFERROR(ROUND($D86*INDEX('🔖 배합비 참조'!$B$2:$CE$83,MATCH("쑥가루(국내산)",'🔖 배합비 참조'!$A$2:$A$83,0),MATCH($C86,'🔖 배합비 참조'!$B$1:$CE$1,0))/100,0),""))),"")</f>
        <v>0</v>
      </c>
      <c r="BF86" s="42" t="n">
        <f aca="false">IFERROR(IF($C86="","",IF($D86="","",IFERROR(ROUND($D86*INDEX('🔖 배합비 참조'!$B$2:$CE$83,MATCH("아몬드슬라이스",'🔖 배합비 참조'!$A$2:$A$83,0),MATCH($C86,'🔖 배합비 참조'!$B$1:$CE$1,0))/100,0),""))),"")</f>
        <v>0</v>
      </c>
      <c r="BG86" s="42" t="n">
        <f aca="false">IFERROR(IF($C86="","",IF($D86="","",IFERROR(ROUND($D86*INDEX('🔖 배합비 참조'!$B$2:$CE$83,MATCH("알룰로오스(국내산)",'🔖 배합비 참조'!$A$2:$A$83,0),MATCH($C86,'🔖 배합비 참조'!$B$1:$CE$1,0))/100,0),""))),"")</f>
        <v>0</v>
      </c>
      <c r="BH86" s="42" t="n">
        <f aca="false">IFERROR(IF($C86="","",IF($D86="","",IFERROR(ROUND($D86*INDEX('🔖 배합비 참조'!$B$2:$CE$83,MATCH("연유",'🔖 배합비 참조'!$A$2:$A$83,0),MATCH($C86,'🔖 배합비 참조'!$B$1:$CE$1,0))/100,0),""))),"")</f>
        <v>0</v>
      </c>
      <c r="BI86" s="42" t="n">
        <f aca="false">IFERROR(IF($C86="","",IF($D86="","",IFERROR(ROUND($D86*INDEX('🔖 배합비 참조'!$B$2:$CE$83,MATCH("옥수수전분",'🔖 배합비 참조'!$A$2:$A$83,0),MATCH($C86,'🔖 배합비 참조'!$B$1:$CE$1,0))/100,0),""))),"")</f>
        <v>0</v>
      </c>
      <c r="BJ86" s="42" t="n">
        <f aca="false">IFERROR(IF($C86="","",IF($D86="","",IFERROR(ROUND($D86*INDEX('🔖 배합비 참조'!$B$2:$CE$83,MATCH("완두배기",'🔖 배합비 참조'!$A$2:$A$83,0),MATCH($C86,'🔖 배합비 참조'!$B$1:$CE$1,0))/100,0),""))),"")</f>
        <v>0</v>
      </c>
      <c r="BK86" s="42" t="n">
        <f aca="false">IFERROR(IF($C86="","",IF($D86="","",IFERROR(ROUND($D86*INDEX('🔖 배합비 참조'!$B$2:$CE$83,MATCH("우유(국내산)",'🔖 배합비 참조'!$A$2:$A$83,0),MATCH($C86,'🔖 배합비 참조'!$B$1:$CE$1,0))/100,0),""))),"")</f>
        <v>0</v>
      </c>
      <c r="BL86" s="42" t="n">
        <f aca="false">IFERROR(IF($C86="","",IF($D86="","",IFERROR(ROUND($D86*INDEX('🔖 배합비 참조'!$B$2:$CE$83,MATCH("자색고구마가루(중국산)",'🔖 배합비 참조'!$A$2:$A$83,0),MATCH($C86,'🔖 배합비 참조'!$B$1:$CE$1,0))/100,0),""))),"")</f>
        <v>0</v>
      </c>
      <c r="BM86" s="42" t="n">
        <f aca="false">IFERROR(IF($C86="","",IF($D86="","",IFERROR(ROUND($D86*INDEX('🔖 배합비 참조'!$B$2:$CE$83,MATCH("자연치즈(체다치즈)",'🔖 배합비 참조'!$A$2:$A$83,0),MATCH($C86,'🔖 배합비 참조'!$B$1:$CE$1,0))/100,0),""))),"")</f>
        <v>0</v>
      </c>
      <c r="BN86" s="42" t="n">
        <f aca="false">IFERROR(IF($C86="","",IF($D86="","",IFERROR(ROUND($D86*INDEX('🔖 배합비 참조'!$B$2:$CE$83,MATCH("정제수",'🔖 배합비 참조'!$A$2:$A$83,0),MATCH($C86,'🔖 배합비 참조'!$B$1:$CE$1,0))/100,0),""))),"")</f>
        <v>13</v>
      </c>
      <c r="BO86" s="42" t="n">
        <f aca="false">IFERROR(IF($C86="","",IF($D86="","",IFERROR(ROUND($D86*INDEX('🔖 배합비 참조'!$B$2:$CE$83,MATCH("젤라틴",'🔖 배합비 참조'!$A$2:$A$83,0),MATCH($C86,'🔖 배합비 참조'!$B$1:$CE$1,0))/100,0),""))),"")</f>
        <v>0</v>
      </c>
      <c r="BP86" s="42" t="n">
        <f aca="false">IFERROR(IF($C86="","",IF($D86="","",IFERROR(ROUND($D86*INDEX('🔖 배합비 참조'!$B$2:$CE$83,MATCH("조림류(백옥앙금)",'🔖 배합비 참조'!$A$2:$A$83,0),MATCH($C86,'🔖 배합비 참조'!$B$1:$CE$1,0))/100,0),""))),"")</f>
        <v>0</v>
      </c>
      <c r="BQ86" s="42" t="n">
        <f aca="false">IFERROR(IF($C86="","",IF($D86="","",IFERROR(ROUND($D86*INDEX('🔖 배합비 참조'!$B$2:$CE$83,MATCH("조림류(통팥앙금)",'🔖 배합비 참조'!$A$2:$A$83,0),MATCH($C86,'🔖 배합비 참조'!$B$1:$CE$1,0))/100,0),""))),"")</f>
        <v>0</v>
      </c>
      <c r="BR86" s="42" t="n">
        <f aca="false">IFERROR(IF($C86="","",IF($D86="","",IFERROR(ROUND($D86*INDEX('🔖 배합비 참조'!$B$2:$CE$83,MATCH("준초콜릿(외국산)",'🔖 배합비 참조'!$A$2:$A$83,0),MATCH($C86,'🔖 배합비 참조'!$B$1:$CE$1,0))/100,0),""))),"")</f>
        <v>0</v>
      </c>
      <c r="BS86" s="42" t="n">
        <f aca="false">IFERROR(IF($C86="","",IF($D86="","",IFERROR(ROUND($D86*INDEX('🔖 배합비 참조'!$B$2:$CE$83,MATCH("중력분",'🔖 배합비 참조'!$A$2:$A$83,0),MATCH($C86,'🔖 배합비 참조'!$B$1:$CE$1,0))/100,0),""))),"")</f>
        <v>0</v>
      </c>
      <c r="BT86" s="42" t="n">
        <f aca="false">IFERROR(IF($C86="","",IF($D86="","",IFERROR(ROUND($D86*INDEX('🔖 배합비 참조'!$B$2:$CE$83,MATCH("참깨(인도산,나이지리아산,탄자니아산,미얀마산)",'🔖 배합비 참조'!$A$2:$A$83,0),MATCH($C86,'🔖 배합비 참조'!$B$1:$CE$1,0))/100,0),""))),"")</f>
        <v>0</v>
      </c>
      <c r="BU86" s="42" t="n">
        <f aca="false">IFERROR(IF($C86="","",IF($D86="","",IFERROR(ROUND($D86*INDEX('🔖 배합비 참조'!$B$2:$CE$83,MATCH("찹쌀(국내산)",'🔖 배합비 참조'!$A$2:$A$83,0),MATCH($C86,'🔖 배합비 참조'!$B$1:$CE$1,0))/100,0),""))),"")</f>
        <v>17</v>
      </c>
      <c r="BV86" s="42" t="n">
        <f aca="false">IFERROR(IF($C86="","",IF($D86="","",IFERROR(ROUND($D86*INDEX('🔖 배합비 참조'!$B$2:$CE$83,MATCH("천일염",'🔖 배합비 참조'!$A$2:$A$83,0),MATCH($C86,'🔖 배합비 참조'!$B$1:$CE$1,0))/100,0),""))),"")</f>
        <v>0</v>
      </c>
      <c r="BW86" s="42" t="n">
        <f aca="false">IFERROR(IF($C86="","",IF($D86="","",IFERROR(ROUND($D86*INDEX('🔖 배합비 참조'!$B$2:$CE$83,MATCH("치즈 [크림치즈]",'🔖 배합비 참조'!$A$2:$A$83,0),MATCH($C86,'🔖 배합비 참조'!$B$1:$CE$1,0))/100,0),""))),"")</f>
        <v>0</v>
      </c>
      <c r="BX86" s="42" t="n">
        <f aca="false">IFERROR(IF($C86="","",IF($D86="","",IFERROR(ROUND($D86*INDEX('🔖 배합비 참조'!$B$2:$CE$83,MATCH("코코아가공품류(코코아분말)",'🔖 배합비 참조'!$A$2:$A$83,0),MATCH($C86,'🔖 배합비 참조'!$B$1:$CE$1,0))/100,0),""))),"")</f>
        <v>0</v>
      </c>
      <c r="BY86" s="42" t="n">
        <f aca="false">IFERROR(IF($C86="","",IF($D86="","",IFERROR(ROUND($D86*INDEX('🔖 배합비 참조'!$B$2:$CE$83,MATCH("콩기름(대두유)",'🔖 배합비 참조'!$A$2:$A$83,0),MATCH($C86,'🔖 배합비 참조'!$B$1:$CE$1,0))/100,0),""))),"")</f>
        <v>0</v>
      </c>
      <c r="BZ86" s="42" t="n">
        <f aca="false">IFERROR(IF($C86="","",IF($D86="","",IFERROR(ROUND($D86*INDEX('🔖 배합비 참조'!$B$2:$CE$83,MATCH("해바라기씨앗",'🔖 배합비 참조'!$A$2:$A$83,0),MATCH($C86,'🔖 배합비 참조'!$B$1:$CE$1,0))/100,0),""))),"")</f>
        <v>0</v>
      </c>
      <c r="CA86" s="42" t="n">
        <f aca="false">IFERROR(IF($C86="","",IF($D86="","",IFERROR(ROUND($D86*INDEX('🔖 배합비 참조'!$B$2:$CE$83,MATCH("현미(국내산)",'🔖 배합비 참조'!$A$2:$A$83,0),MATCH($C86,'🔖 배합비 참조'!$B$1:$CE$1,0))/100,0),""))),"")</f>
        <v>0</v>
      </c>
      <c r="CB86" s="42" t="n">
        <f aca="false">IFERROR(IF($C86="","",IF($D86="","",IFERROR(ROUND($D86*INDEX('🔖 배합비 참조'!$B$2:$CE$83,MATCH("현미멥쌀(국내산)",'🔖 배합비 참조'!$A$2:$A$83,0),MATCH($C86,'🔖 배합비 참조'!$B$1:$CE$1,0))/100,0),""))),"")</f>
        <v>0</v>
      </c>
      <c r="CC86" s="42" t="n">
        <f aca="false">IFERROR(IF($C86="","",IF($D86="","",IFERROR(ROUND($D86*INDEX('🔖 배합비 참조'!$B$2:$CE$83,MATCH("호두분태(미국산)",'🔖 배합비 참조'!$A$2:$A$83,0),MATCH($C86,'🔖 배합비 참조'!$B$1:$CE$1,0))/100,0),""))),"")</f>
        <v>0</v>
      </c>
      <c r="CD86" s="42" t="n">
        <f aca="false">IFERROR(IF($C86="","",IF($D86="","",IFERROR(ROUND($D86*INDEX('🔖 배합비 참조'!$B$2:$CE$83,MATCH("호박씨앗(외국산)",'🔖 배합비 참조'!$A$2:$A$83,0),MATCH($C86,'🔖 배합비 참조'!$B$1:$CE$1,0))/100,0),""))),"")</f>
        <v>0</v>
      </c>
      <c r="CE86" s="42" t="n">
        <f aca="false">IFERROR(IF($C86="","",IF($D86="","",IFERROR(ROUND($D86*INDEX('🔖 배합비 참조'!$B$2:$CE$83,MATCH("혼합제제(떡용에스텔)",'🔖 배합비 참조'!$A$2:$A$83,0),MATCH($C86,'🔖 배합비 참조'!$B$1:$CE$1,0))/100,0),""))),"")</f>
        <v>0</v>
      </c>
      <c r="CF86" s="42" t="n">
        <f aca="false">IFERROR(IF($C86="","",IF($D86="","",IFERROR(ROUND($D86*INDEX('🔖 배합비 참조'!$B$2:$CE$83,MATCH("혼합제제(스테비아)",'🔖 배합비 참조'!$A$2:$A$83,0),MATCH($C86,'🔖 배합비 참조'!$B$1:$CE$1,0))/100,0),""))),"")</f>
        <v>0</v>
      </c>
      <c r="CG86" s="42" t="n">
        <f aca="false">IFERROR(IF($C86="","",IF($D86="","",IFERROR(ROUND($D86*INDEX('🔖 배합비 참조'!$B$2:$CE$83,MATCH("화이트초콜릿",'🔖 배합비 참조'!$A$2:$A$83,0),MATCH($C86,'🔖 배합비 참조'!$B$1:$CE$1,0))/100,0),""))),"")</f>
        <v>0</v>
      </c>
      <c r="CH86" s="42" t="n">
        <f aca="false">IFERROR(IF($C86="","",IF($D86="","",IFERROR(ROUND($D86*INDEX('🔖 배합비 참조'!$B$2:$CE$83,MATCH("흑미찹쌀(국내산)",'🔖 배합비 참조'!$A$2:$A$83,0),MATCH($C86,'🔖 배합비 참조'!$B$1:$CE$1,0))/100,0),""))),"")</f>
        <v>0</v>
      </c>
      <c r="CI86" s="42" t="n">
        <f aca="false">IFERROR(IF($C86="","",IF($D86="","",IFERROR(ROUND($D86*INDEX('🔖 배합비 참조'!$B$2:$CE$83,MATCH("찰옥수수전분(미국산)",'🔖 배합비 참조'!$A$2:$A$83,0),MATCH($C86,'🔖 배합비 참조'!$B$1:$CE$1,0))/100,0),""))),"")</f>
        <v>0</v>
      </c>
      <c r="CJ86" s="40"/>
      <c r="CL86" s="1" t="s">
        <v>238</v>
      </c>
    </row>
    <row r="87" customFormat="false" ht="18" hidden="false" customHeight="true" outlineLevel="0" collapsed="false">
      <c r="A87" s="35" t="n">
        <v>83</v>
      </c>
      <c r="B87" s="36" t="n">
        <v>45986</v>
      </c>
      <c r="C87" s="37" t="s">
        <v>184</v>
      </c>
      <c r="D87" s="38" t="n">
        <v>50</v>
      </c>
      <c r="E87" s="13"/>
      <c r="F87" s="13"/>
      <c r="G87" s="39" t="n">
        <f aca="false">IFERROR(IF($C87="","",IF($D87="","",IFERROR(ROUND($D87*INDEX('🔖 배합비 참조'!$B$2:$CE$83,MATCH("간장",'🔖 배합비 참조'!$A$2:$A$83,0),MATCH($C87,'🔖 배합비 참조'!$B$1:$CE$1,0))/100,0),""))),"")</f>
        <v>0</v>
      </c>
      <c r="H87" s="39" t="n">
        <f aca="false">IFERROR(IF($C87="","",IF($D87="","",IFERROR(ROUND($D87*INDEX('🔖 배합비 참조'!$B$2:$CE$83,MATCH("강낭콩((울타리콩))",'🔖 배합비 참조'!$A$2:$A$83,0),MATCH($C87,'🔖 배합비 참조'!$B$1:$CE$1,0))/100,0),""))),"")</f>
        <v>0</v>
      </c>
      <c r="I87" s="39" t="n">
        <f aca="false">IFERROR(IF($C87="","",IF($D87="","",IFERROR(ROUND($D87*INDEX('🔖 배합비 참조'!$B$2:$CE$83,MATCH("건조딸기다이스(외국산)",'🔖 배합비 참조'!$A$2:$A$83,0),MATCH($C87,'🔖 배합비 참조'!$B$1:$CE$1,0))/100,0),""))),"")</f>
        <v>0</v>
      </c>
      <c r="J87" s="39" t="n">
        <f aca="false">IFERROR(IF($C87="","",IF($D87="","",IFERROR(ROUND($D87*INDEX('🔖 배합비 참조'!$B$2:$CE$83,MATCH("건포도",'🔖 배합비 참조'!$A$2:$A$83,0),MATCH($C87,'🔖 배합비 참조'!$B$1:$CE$1,0))/100,0),""))),"")</f>
        <v>0</v>
      </c>
      <c r="K87" s="39" t="n">
        <f aca="false">IFERROR(IF($C87="","",IF($D87="","",IFERROR(ROUND($D87*INDEX('🔖 배합비 참조'!$B$2:$CE$83,MATCH("건호박채(중국산)",'🔖 배합비 참조'!$A$2:$A$83,0),MATCH($C87,'🔖 배합비 참조'!$B$1:$CE$1,0))/100,0),""))),"")</f>
        <v>0</v>
      </c>
      <c r="L87" s="39" t="n">
        <f aca="false">IFERROR(IF($C87="","",IF($D87="","",IFERROR(ROUND($D87*INDEX('🔖 배합비 참조'!$B$2:$CE$83,MATCH("검정깨(흑임자)",'🔖 배합비 참조'!$A$2:$A$83,0),MATCH($C87,'🔖 배합비 참조'!$B$1:$CE$1,0))/100,0),""))),"")</f>
        <v>0</v>
      </c>
      <c r="M87" s="39" t="n">
        <f aca="false">IFERROR(IF($C87="","",IF($D87="","",IFERROR(ROUND($D87*INDEX('🔖 배합비 참조'!$B$2:$CE$83,MATCH("검정콩",'🔖 배합비 참조'!$A$2:$A$83,0),MATCH($C87,'🔖 배합비 참조'!$B$1:$CE$1,0))/100,0),""))),"")</f>
        <v>0</v>
      </c>
      <c r="N87" s="39" t="n">
        <f aca="false">IFERROR(IF($C87="","",IF($D87="","",IFERROR(ROUND($D87*INDEX('🔖 배합비 참조'!$B$2:$CE$83,MATCH("계피가루",'🔖 배합비 참조'!$A$2:$A$83,0),MATCH($C87,'🔖 배합비 참조'!$B$1:$CE$1,0))/100,0),""))),"")</f>
        <v>0</v>
      </c>
      <c r="O87" s="39" t="n">
        <f aca="false">IFERROR(IF($C87="","",IF($D87="","",IFERROR(ROUND($D87*INDEX('🔖 배합비 참조'!$B$2:$CE$83,MATCH("고구마가루",'🔖 배합비 참조'!$A$2:$A$83,0),MATCH($C87,'🔖 배합비 참조'!$B$1:$CE$1,0))/100,0),""))),"")</f>
        <v>0</v>
      </c>
      <c r="P87" s="39" t="n">
        <f aca="false">IFERROR(IF($C87="","",IF($D87="","",IFERROR(ROUND($D87*INDEX('🔖 배합비 참조'!$B$2:$CE$83,MATCH("고구마무스",'🔖 배합비 참조'!$A$2:$A$83,0),MATCH($C87,'🔖 배합비 참조'!$B$1:$CE$1,0))/100,0),""))),"")</f>
        <v>0</v>
      </c>
      <c r="Q87" s="39" t="n">
        <f aca="false">IFERROR(IF($C87="","",IF($D87="","",IFERROR(ROUND($D87*INDEX('🔖 배합비 참조'!$B$2:$CE$83,MATCH("고려엉겅퀴((곤드레)국내산)",'🔖 배합비 참조'!$A$2:$A$83,0),MATCH($C87,'🔖 배합비 참조'!$B$1:$CE$1,0))/100,0),""))),"")</f>
        <v>0</v>
      </c>
      <c r="R87" s="39" t="n">
        <f aca="false">IFERROR(IF($C87="","",IF($D87="","",IFERROR(ROUND($D87*INDEX('🔖 배합비 참조'!$B$2:$CE$83,MATCH("기타가공품(복분자가루)",'🔖 배합비 참조'!$A$2:$A$83,0),MATCH($C87,'🔖 배합비 참조'!$B$1:$CE$1,0))/100,0),""))),"")</f>
        <v>0</v>
      </c>
      <c r="S87" s="39" t="n">
        <f aca="false">IFERROR(IF($C87="","",IF($D87="","",IFERROR(ROUND($D87*INDEX('🔖 배합비 참조'!$B$2:$CE$83,MATCH("기타가공품(슈퍼소프트엠)",'🔖 배합비 참조'!$A$2:$A$83,0),MATCH($C87,'🔖 배합비 참조'!$B$1:$CE$1,0))/100,0),""))),"")</f>
        <v>0</v>
      </c>
      <c r="T87" s="39" t="n">
        <f aca="false">IFERROR(IF($C87="","",IF($D87="","",IFERROR(ROUND($D87*INDEX('🔖 배합비 참조'!$B$2:$CE$83,MATCH("기타가공품(파인소프트 E-티)",'🔖 배합비 참조'!$A$2:$A$83,0),MATCH($C87,'🔖 배합비 참조'!$B$1:$CE$1,0))/100,0),""))),"")</f>
        <v>0</v>
      </c>
      <c r="U87" s="39" t="n">
        <f aca="false">IFERROR(IF($C87="","",IF($D87="","",IFERROR(ROUND($D87*INDEX('🔖 배합비 참조'!$B$2:$CE$83,MATCH("기타가공품(프리미엄카스테라가루)",'🔖 배합비 참조'!$A$2:$A$83,0),MATCH($C87,'🔖 배합비 참조'!$B$1:$CE$1,0))/100,0),""))),"")</f>
        <v>0</v>
      </c>
      <c r="V87" s="39" t="n">
        <f aca="false">IFERROR(IF($C87="","",IF($D87="","",IFERROR(ROUND($D87*INDEX('🔖 배합비 참조'!$B$2:$CE$83,MATCH("기타가공품(흑임자가루)",'🔖 배합비 참조'!$A$2:$A$83,0),MATCH($C87,'🔖 배합비 참조'!$B$1:$CE$1,0))/100,0),""))),"")</f>
        <v>0</v>
      </c>
      <c r="W87" s="39" t="n">
        <f aca="false">IFERROR(IF($C87="","",IF($D87="","",IFERROR(ROUND($D87*INDEX('🔖 배합비 참조'!$B$2:$CE$83,MATCH("기타설탕(흑설탕)",'🔖 배합비 참조'!$A$2:$A$83,0),MATCH($C87,'🔖 배합비 참조'!$B$1:$CE$1,0))/100,0),""))),"")</f>
        <v>0</v>
      </c>
      <c r="X87" s="39" t="n">
        <f aca="false">IFERROR(IF($C87="","",IF($D87="","",IFERROR(ROUND($D87*INDEX('🔖 배합비 참조'!$B$2:$CE$83,MATCH("냉동쑥(국내산)",'🔖 배합비 참조'!$A$2:$A$83,0),MATCH($C87,'🔖 배합비 참조'!$B$1:$CE$1,0))/100,0),""))),"")</f>
        <v>0</v>
      </c>
      <c r="Y87" s="39" t="n">
        <f aca="false">IFERROR(IF($C87="","",IF($D87="","",IFERROR(ROUND($D87*INDEX('🔖 배합비 참조'!$B$2:$CE$83,MATCH("냉동증숙고구마(중국산)",'🔖 배합비 참조'!$A$2:$A$83,0),MATCH($C87,'🔖 배합비 참조'!$B$1:$CE$1,0))/100,0),""))),"")</f>
        <v>0</v>
      </c>
      <c r="Z87" s="39" t="n">
        <f aca="false">IFERROR(IF($C87="","",IF($D87="","",IFERROR(ROUND($D87*INDEX('🔖 배합비 참조'!$B$2:$CE$83,MATCH("녹차가루",'🔖 배합비 참조'!$A$2:$A$83,0),MATCH($C87,'🔖 배합비 참조'!$B$1:$CE$1,0))/100,0),""))),"")</f>
        <v>0</v>
      </c>
      <c r="AA87" s="39" t="n">
        <f aca="false">IFERROR(IF($C87="","",IF($D87="","",IFERROR(ROUND($D87*INDEX('🔖 배합비 참조'!$B$2:$CE$83,MATCH("다크초콜릿 컴파운드칩",'🔖 배합비 참조'!$A$2:$A$83,0),MATCH($C87,'🔖 배합비 참조'!$B$1:$CE$1,0))/100,0),""))),"")</f>
        <v>0</v>
      </c>
      <c r="AB87" s="39" t="n">
        <f aca="false">IFERROR(IF($C87="","",IF($D87="","",IFERROR(ROUND($D87*INDEX('🔖 배합비 참조'!$B$2:$CE$83,MATCH("단호박분말(중국산)",'🔖 배합비 참조'!$A$2:$A$83,0),MATCH($C87,'🔖 배합비 참조'!$B$1:$CE$1,0))/100,0),""))),"")</f>
        <v>0</v>
      </c>
      <c r="AC87" s="39" t="n">
        <f aca="false">IFERROR(IF($C87="","",IF($D87="","",IFERROR(ROUND($D87*INDEX('🔖 배합비 참조'!$B$2:$CE$83,MATCH("당류가공품(단호박농축액)",'🔖 배합비 참조'!$A$2:$A$83,0),MATCH($C87,'🔖 배합비 참조'!$B$1:$CE$1,0))/100,0),""))),"")</f>
        <v>0</v>
      </c>
      <c r="AD87" s="39" t="n">
        <f aca="false">IFERROR(IF($C87="","",IF($D87="","",IFERROR(ROUND($D87*INDEX('🔖 배합비 참조'!$B$2:$CE$83,MATCH("당류가공품(알룰로스,에리스리톨,스테비올배당체혼합)",'🔖 배합비 참조'!$A$2:$A$83,0),MATCH($C87,'🔖 배합비 참조'!$B$1:$CE$1,0))/100,0),""))),"")</f>
        <v>0</v>
      </c>
      <c r="AE87" s="39" t="n">
        <f aca="false">IFERROR(IF($C87="","",IF($D87="","",IFERROR(ROUND($D87*INDEX('🔖 배합비 참조'!$B$2:$CE$83,MATCH("당류가공품(알룰로스제로파우더)",'🔖 배합비 참조'!$A$2:$A$83,0),MATCH($C87,'🔖 배합비 참조'!$B$1:$CE$1,0))/100,0),""))),"")</f>
        <v>0</v>
      </c>
      <c r="AF87" s="39" t="n">
        <f aca="false">IFERROR(IF($C87="","",IF($D87="","",IFERROR(ROUND($D87*INDEX('🔖 배합비 참조'!$B$2:$CE$83,MATCH("당절임(완두배기)",'🔖 배합비 참조'!$A$2:$A$83,0),MATCH($C87,'🔖 배합비 참조'!$B$1:$CE$1,0))/100,0),""))),"")</f>
        <v>0</v>
      </c>
      <c r="AG87" s="39" t="n">
        <f aca="false">IFERROR(IF($C87="","",IF($D87="","",IFERROR(ROUND($D87*INDEX('🔖 배합비 참조'!$B$2:$CE$83,MATCH("대추농축액",'🔖 배합비 참조'!$A$2:$A$83,0),MATCH($C87,'🔖 배합비 참조'!$B$1:$CE$1,0))/100,0),""))),"")</f>
        <v>0</v>
      </c>
      <c r="AH87" s="39" t="n">
        <f aca="false">IFERROR(IF($C87="","",IF($D87="","",IFERROR(ROUND($D87*INDEX('🔖 배합비 참조'!$B$2:$CE$83,MATCH("대추채(국내산)",'🔖 배합비 참조'!$A$2:$A$83,0),MATCH($C87,'🔖 배합비 참조'!$B$1:$CE$1,0))/100,0),""))),"")</f>
        <v>0</v>
      </c>
      <c r="AI87" s="39" t="n">
        <f aca="false">IFERROR(IF($C87="","",IF($D87="","",IFERROR(ROUND($D87*INDEX('🔖 배합비 참조'!$B$2:$CE$83,MATCH("동부(미얀마산)",'🔖 배합비 참조'!$A$2:$A$83,0),MATCH($C87,'🔖 배합비 참조'!$B$1:$CE$1,0))/100,0),""))),"")</f>
        <v>0</v>
      </c>
      <c r="AJ87" s="39" t="n">
        <f aca="false">IFERROR(IF($C87="","",IF($D87="","",IFERROR(ROUND($D87*INDEX('🔖 배합비 참조'!$B$2:$CE$83,MATCH("두류가공품(백옥앙금)",'🔖 배합비 참조'!$A$2:$A$83,0),MATCH($C87,'🔖 배합비 참조'!$B$1:$CE$1,0))/100,0),""))),"")</f>
        <v>0</v>
      </c>
      <c r="AK87" s="39" t="n">
        <f aca="false">IFERROR(IF($C87="","",IF($D87="","",IFERROR(ROUND($D87*INDEX('🔖 배합비 참조'!$B$2:$CE$83,MATCH("두류가공품(콩고물)",'🔖 배합비 참조'!$A$2:$A$83,0),MATCH($C87,'🔖 배합비 참조'!$B$1:$CE$1,0))/100,0),""))),"")</f>
        <v>0</v>
      </c>
      <c r="AL87" s="39" t="n">
        <f aca="false">IFERROR(IF($C87="","",IF($D87="","",IFERROR(ROUND($D87*INDEX('🔖 배합비 참조'!$B$2:$CE$83,MATCH("두류가공품(통팥고물)",'🔖 배합비 참조'!$A$2:$A$83,0),MATCH($C87,'🔖 배합비 참조'!$B$1:$CE$1,0))/100,0),""))),"")</f>
        <v>0</v>
      </c>
      <c r="AM87" s="39" t="n">
        <f aca="false">IFERROR(IF($C87="","",IF($D87="","",IFERROR(ROUND($D87*INDEX('🔖 배합비 참조'!$B$2:$CE$83,MATCH("딸기레진",'🔖 배합비 참조'!$A$2:$A$83,0),MATCH($C87,'🔖 배합비 참조'!$B$1:$CE$1,0))/100,0),""))),"")</f>
        <v>0</v>
      </c>
      <c r="AN87" s="39" t="n">
        <f aca="false">IFERROR(IF($C87="","",IF($D87="","",IFERROR(ROUND($D87*INDEX('🔖 배합비 참조'!$B$2:$CE$83,MATCH("딸기분말(스트로우베리에이드(분말))",'🔖 배합비 참조'!$A$2:$A$83,0),MATCH($C87,'🔖 배합비 참조'!$B$1:$CE$1,0))/100,0),""))),"")</f>
        <v>0</v>
      </c>
      <c r="AO87" s="39" t="n">
        <f aca="false">IFERROR(IF($C87="","",IF($D87="","",IFERROR(ROUND($D87*INDEX('🔖 배합비 참조'!$B$2:$CE$83,MATCH("마스카포네치즈",'🔖 배합비 참조'!$A$2:$A$83,0),MATCH($C87,'🔖 배합비 참조'!$B$1:$CE$1,0))/100,0),""))),"")</f>
        <v>0</v>
      </c>
      <c r="AP87" s="39" t="n">
        <f aca="false">IFERROR(IF($C87="","",IF($D87="","",IFERROR(ROUND($D87*INDEX('🔖 배합비 참조'!$B$2:$CE$83,MATCH("마카다미아분태(호주산)",'🔖 배합비 참조'!$A$2:$A$83,0),MATCH($C87,'🔖 배합비 참조'!$B$1:$CE$1,0))/100,0),""))),"")</f>
        <v>0</v>
      </c>
      <c r="AQ87" s="39" t="n">
        <f aca="false">IFERROR(IF($C87="","",IF($D87="","",IFERROR(ROUND($D87*INDEX('🔖 배합비 참조'!$B$2:$CE$83,MATCH("멥쌀(국내산)",'🔖 배합비 참조'!$A$2:$A$83,0),MATCH($C87,'🔖 배합비 참조'!$B$1:$CE$1,0))/100,0),""))),"")</f>
        <v>35</v>
      </c>
      <c r="AR87" s="39" t="n">
        <f aca="false">IFERROR(IF($C87="","",IF($D87="","",IFERROR(ROUND($D87*INDEX('🔖 배합비 참조'!$B$2:$CE$83,MATCH("모시잎(국내산)",'🔖 배합비 참조'!$A$2:$A$83,0),MATCH($C87,'🔖 배합비 참조'!$B$1:$CE$1,0))/100,0),""))),"")</f>
        <v>0</v>
      </c>
      <c r="AS87" s="39" t="n">
        <f aca="false">IFERROR(IF($C87="","",IF($D87="","",IFERROR(ROUND($D87*INDEX('🔖 배합비 참조'!$B$2:$CE$83,MATCH("물엿(저당물엿)",'🔖 배합비 참조'!$A$2:$A$83,0),MATCH($C87,'🔖 배합비 참조'!$B$1:$CE$1,0))/100,0),""))),"")</f>
        <v>0</v>
      </c>
      <c r="AT87" s="39" t="n">
        <f aca="false">IFERROR(IF($C87="","",IF($D87="","",IFERROR(ROUND($D87*INDEX('🔖 배합비 참조'!$B$2:$CE$83,MATCH("밤다이스",'🔖 배합비 참조'!$A$2:$A$83,0),MATCH($C87,'🔖 배합비 참조'!$B$1:$CE$1,0))/100,0),""))),"")</f>
        <v>0</v>
      </c>
      <c r="AU87" s="39" t="n">
        <f aca="false">IFERROR(IF($C87="","",IF($D87="","",IFERROR(ROUND($D87*INDEX('🔖 배합비 참조'!$B$2:$CE$83,MATCH("변성전분(타피오카전분)",'🔖 배합비 참조'!$A$2:$A$83,0),MATCH($C87,'🔖 배합비 참조'!$B$1:$CE$1,0))/100,0),""))),"")</f>
        <v>0</v>
      </c>
      <c r="AV87" s="39" t="n">
        <f aca="false">IFERROR(IF($C87="","",IF($D87="","",IFERROR(ROUND($D87*INDEX('🔖 배합비 참조'!$B$2:$CE$83,MATCH("복음땅콩분태",'🔖 배합비 참조'!$A$2:$A$83,0),MATCH($C87,'🔖 배합비 참조'!$B$1:$CE$1,0))/100,0),""))),"")</f>
        <v>0</v>
      </c>
      <c r="AW87" s="39" t="n">
        <f aca="false">IFERROR(IF($C87="","",IF($D87="","",IFERROR(ROUND($D87*INDEX('🔖 배합비 참조'!$B$2:$CE$83,MATCH("사양벌꿀(국내산)",'🔖 배합비 참조'!$A$2:$A$83,0),MATCH($C87,'🔖 배합비 참조'!$B$1:$CE$1,0))/100,0),""))),"")</f>
        <v>0</v>
      </c>
      <c r="AX87" s="39" t="n">
        <f aca="false">IFERROR(IF($C87="","",IF($D87="","",IFERROR(ROUND($D87*INDEX('🔖 배합비 참조'!$B$2:$CE$83,MATCH("생크림",'🔖 배합비 참조'!$A$2:$A$83,0),MATCH($C87,'🔖 배합비 참조'!$B$1:$CE$1,0))/100,0),""))),"")</f>
        <v>0</v>
      </c>
      <c r="AY87" s="39" t="n">
        <f aca="false">IFERROR(IF($C87="","",IF($D87="","",IFERROR(ROUND($D87*INDEX('🔖 배합비 참조'!$B$2:$CE$83,MATCH("서양호박(국내산,뉴질랜드산)",'🔖 배합비 참조'!$A$2:$A$83,0),MATCH($C87,'🔖 배합비 참조'!$B$1:$CE$1,0))/100,0),""))),"")</f>
        <v>0</v>
      </c>
      <c r="AZ87" s="39" t="n">
        <f aca="false">IFERROR(IF($C87="","",IF($D87="","",IFERROR(ROUND($D87*INDEX('🔖 배합비 참조'!$B$2:$CE$83,MATCH("설탕",'🔖 배합비 참조'!$A$2:$A$83,0),MATCH($C87,'🔖 배합비 참조'!$B$1:$CE$1,0))/100,0),""))),"")</f>
        <v>6</v>
      </c>
      <c r="BA87" s="39" t="n">
        <f aca="false">IFERROR(IF($C87="","",IF($D87="","",IFERROR(ROUND($D87*INDEX('🔖 배합비 참조'!$B$2:$CE$83,MATCH("스트로우베리 에이드 후레쉬",'🔖 배합비 참조'!$A$2:$A$83,0),MATCH($C87,'🔖 배합비 참조'!$B$1:$CE$1,0))/100,0),""))),"")</f>
        <v>0</v>
      </c>
      <c r="BB87" s="39" t="n">
        <f aca="false">IFERROR(IF($C87="","",IF($D87="","",IFERROR(ROUND($D87*INDEX('🔖 배합비 참조'!$B$2:$CE$83,MATCH("식물성기름혼합제제(분홍)",'🔖 배합비 참조'!$A$2:$A$83,0),MATCH($C87,'🔖 배합비 참조'!$B$1:$CE$1,0))/100,0),""))),"")</f>
        <v>0</v>
      </c>
      <c r="BC87" s="39" t="n">
        <f aca="false">IFERROR(IF($C87="","",IF($D87="","",IFERROR(ROUND($D87*INDEX('🔖 배합비 참조'!$B$2:$CE$83,MATCH("식물성기름혼합제제(초록)",'🔖 배합비 참조'!$A$2:$A$83,0),MATCH($C87,'🔖 배합비 참조'!$B$1:$CE$1,0))/100,0),""))),"")</f>
        <v>0</v>
      </c>
      <c r="BD87" s="39" t="n">
        <f aca="false">IFERROR(IF($C87="","",IF($D87="","",IFERROR(ROUND($D87*INDEX('🔖 배합비 참조'!$B$2:$CE$83,MATCH("식물성기름혼합제제(황색)",'🔖 배합비 참조'!$A$2:$A$83,0),MATCH($C87,'🔖 배합비 참조'!$B$1:$CE$1,0))/100,0),""))),"")</f>
        <v>0</v>
      </c>
      <c r="BE87" s="39" t="n">
        <f aca="false">IFERROR(IF($C87="","",IF($D87="","",IFERROR(ROUND($D87*INDEX('🔖 배합비 참조'!$B$2:$CE$83,MATCH("쑥가루(국내산)",'🔖 배합비 참조'!$A$2:$A$83,0),MATCH($C87,'🔖 배합비 참조'!$B$1:$CE$1,0))/100,0),""))),"")</f>
        <v>0</v>
      </c>
      <c r="BF87" s="39" t="n">
        <f aca="false">IFERROR(IF($C87="","",IF($D87="","",IFERROR(ROUND($D87*INDEX('🔖 배합비 참조'!$B$2:$CE$83,MATCH("아몬드슬라이스",'🔖 배합비 참조'!$A$2:$A$83,0),MATCH($C87,'🔖 배합비 참조'!$B$1:$CE$1,0))/100,0),""))),"")</f>
        <v>0</v>
      </c>
      <c r="BG87" s="39" t="n">
        <f aca="false">IFERROR(IF($C87="","",IF($D87="","",IFERROR(ROUND($D87*INDEX('🔖 배합비 참조'!$B$2:$CE$83,MATCH("알룰로오스(국내산)",'🔖 배합비 참조'!$A$2:$A$83,0),MATCH($C87,'🔖 배합비 참조'!$B$1:$CE$1,0))/100,0),""))),"")</f>
        <v>0</v>
      </c>
      <c r="BH87" s="39" t="n">
        <f aca="false">IFERROR(IF($C87="","",IF($D87="","",IFERROR(ROUND($D87*INDEX('🔖 배합비 참조'!$B$2:$CE$83,MATCH("연유",'🔖 배합비 참조'!$A$2:$A$83,0),MATCH($C87,'🔖 배합비 참조'!$B$1:$CE$1,0))/100,0),""))),"")</f>
        <v>0</v>
      </c>
      <c r="BI87" s="39" t="n">
        <f aca="false">IFERROR(IF($C87="","",IF($D87="","",IFERROR(ROUND($D87*INDEX('🔖 배합비 참조'!$B$2:$CE$83,MATCH("옥수수전분",'🔖 배합비 참조'!$A$2:$A$83,0),MATCH($C87,'🔖 배합비 참조'!$B$1:$CE$1,0))/100,0),""))),"")</f>
        <v>0</v>
      </c>
      <c r="BJ87" s="39" t="n">
        <f aca="false">IFERROR(IF($C87="","",IF($D87="","",IFERROR(ROUND($D87*INDEX('🔖 배합비 참조'!$B$2:$CE$83,MATCH("완두배기",'🔖 배합비 참조'!$A$2:$A$83,0),MATCH($C87,'🔖 배합비 참조'!$B$1:$CE$1,0))/100,0),""))),"")</f>
        <v>0</v>
      </c>
      <c r="BK87" s="39" t="n">
        <f aca="false">IFERROR(IF($C87="","",IF($D87="","",IFERROR(ROUND($D87*INDEX('🔖 배합비 참조'!$B$2:$CE$83,MATCH("우유(국내산)",'🔖 배합비 참조'!$A$2:$A$83,0),MATCH($C87,'🔖 배합비 참조'!$B$1:$CE$1,0))/100,0),""))),"")</f>
        <v>5</v>
      </c>
      <c r="BL87" s="39" t="n">
        <f aca="false">IFERROR(IF($C87="","",IF($D87="","",IFERROR(ROUND($D87*INDEX('🔖 배합비 참조'!$B$2:$CE$83,MATCH("자색고구마가루(중국산)",'🔖 배합비 참조'!$A$2:$A$83,0),MATCH($C87,'🔖 배합비 참조'!$B$1:$CE$1,0))/100,0),""))),"")</f>
        <v>0</v>
      </c>
      <c r="BM87" s="39" t="n">
        <f aca="false">IFERROR(IF($C87="","",IF($D87="","",IFERROR(ROUND($D87*INDEX('🔖 배합비 참조'!$B$2:$CE$83,MATCH("자연치즈(체다치즈)",'🔖 배합비 참조'!$A$2:$A$83,0),MATCH($C87,'🔖 배합비 참조'!$B$1:$CE$1,0))/100,0),""))),"")</f>
        <v>0</v>
      </c>
      <c r="BN87" s="39" t="n">
        <f aca="false">IFERROR(IF($C87="","",IF($D87="","",IFERROR(ROUND($D87*INDEX('🔖 배합비 참조'!$B$2:$CE$83,MATCH("정제수",'🔖 배합비 참조'!$A$2:$A$83,0),MATCH($C87,'🔖 배합비 참조'!$B$1:$CE$1,0))/100,0),""))),"")</f>
        <v>5</v>
      </c>
      <c r="BO87" s="39" t="n">
        <f aca="false">IFERROR(IF($C87="","",IF($D87="","",IFERROR(ROUND($D87*INDEX('🔖 배합비 참조'!$B$2:$CE$83,MATCH("젤라틴",'🔖 배합비 참조'!$A$2:$A$83,0),MATCH($C87,'🔖 배합비 참조'!$B$1:$CE$1,0))/100,0),""))),"")</f>
        <v>0</v>
      </c>
      <c r="BP87" s="39" t="n">
        <f aca="false">IFERROR(IF($C87="","",IF($D87="","",IFERROR(ROUND($D87*INDEX('🔖 배합비 참조'!$B$2:$CE$83,MATCH("조림류(백옥앙금)",'🔖 배합비 참조'!$A$2:$A$83,0),MATCH($C87,'🔖 배합비 참조'!$B$1:$CE$1,0))/100,0),""))),"")</f>
        <v>0</v>
      </c>
      <c r="BQ87" s="39" t="n">
        <f aca="false">IFERROR(IF($C87="","",IF($D87="","",IFERROR(ROUND($D87*INDEX('🔖 배합비 참조'!$B$2:$CE$83,MATCH("조림류(통팥앙금)",'🔖 배합비 참조'!$A$2:$A$83,0),MATCH($C87,'🔖 배합비 참조'!$B$1:$CE$1,0))/100,0),""))),"")</f>
        <v>0</v>
      </c>
      <c r="BR87" s="39" t="n">
        <f aca="false">IFERROR(IF($C87="","",IF($D87="","",IFERROR(ROUND($D87*INDEX('🔖 배합비 참조'!$B$2:$CE$83,MATCH("준초콜릿(외국산)",'🔖 배합비 참조'!$A$2:$A$83,0),MATCH($C87,'🔖 배합비 참조'!$B$1:$CE$1,0))/100,0),""))),"")</f>
        <v>0</v>
      </c>
      <c r="BS87" s="39" t="n">
        <f aca="false">IFERROR(IF($C87="","",IF($D87="","",IFERROR(ROUND($D87*INDEX('🔖 배합비 참조'!$B$2:$CE$83,MATCH("중력분",'🔖 배합비 참조'!$A$2:$A$83,0),MATCH($C87,'🔖 배합비 참조'!$B$1:$CE$1,0))/100,0),""))),"")</f>
        <v>0</v>
      </c>
      <c r="BT87" s="39" t="n">
        <f aca="false">IFERROR(IF($C87="","",IF($D87="","",IFERROR(ROUND($D87*INDEX('🔖 배합비 참조'!$B$2:$CE$83,MATCH("참깨(인도산,나이지리아산,탄자니아산,미얀마산)",'🔖 배합비 참조'!$A$2:$A$83,0),MATCH($C87,'🔖 배합비 참조'!$B$1:$CE$1,0))/100,0),""))),"")</f>
        <v>0</v>
      </c>
      <c r="BU87" s="39" t="n">
        <f aca="false">IFERROR(IF($C87="","",IF($D87="","",IFERROR(ROUND($D87*INDEX('🔖 배합비 참조'!$B$2:$CE$83,MATCH("찹쌀(국내산)",'🔖 배합비 참조'!$A$2:$A$83,0),MATCH($C87,'🔖 배합비 참조'!$B$1:$CE$1,0))/100,0),""))),"")</f>
        <v>0</v>
      </c>
      <c r="BV87" s="39" t="n">
        <f aca="false">IFERROR(IF($C87="","",IF($D87="","",IFERROR(ROUND($D87*INDEX('🔖 배합비 참조'!$B$2:$CE$83,MATCH("천일염",'🔖 배합비 참조'!$A$2:$A$83,0),MATCH($C87,'🔖 배합비 참조'!$B$1:$CE$1,0))/100,0),""))),"")</f>
        <v>1</v>
      </c>
      <c r="BW87" s="39" t="n">
        <f aca="false">IFERROR(IF($C87="","",IF($D87="","",IFERROR(ROUND($D87*INDEX('🔖 배합비 참조'!$B$2:$CE$83,MATCH("치즈 [크림치즈]",'🔖 배합비 참조'!$A$2:$A$83,0),MATCH($C87,'🔖 배합비 참조'!$B$1:$CE$1,0))/100,0),""))),"")</f>
        <v>0</v>
      </c>
      <c r="BX87" s="39" t="n">
        <f aca="false">IFERROR(IF($C87="","",IF($D87="","",IFERROR(ROUND($D87*INDEX('🔖 배합비 참조'!$B$2:$CE$83,MATCH("코코아가공품류(코코아분말)",'🔖 배합비 참조'!$A$2:$A$83,0),MATCH($C87,'🔖 배합비 참조'!$B$1:$CE$1,0))/100,0),""))),"")</f>
        <v>0</v>
      </c>
      <c r="BY87" s="39" t="n">
        <f aca="false">IFERROR(IF($C87="","",IF($D87="","",IFERROR(ROUND($D87*INDEX('🔖 배합비 참조'!$B$2:$CE$83,MATCH("콩기름(대두유)",'🔖 배합비 참조'!$A$2:$A$83,0),MATCH($C87,'🔖 배합비 참조'!$B$1:$CE$1,0))/100,0),""))),"")</f>
        <v>0</v>
      </c>
      <c r="BZ87" s="39" t="n">
        <f aca="false">IFERROR(IF($C87="","",IF($D87="","",IFERROR(ROUND($D87*INDEX('🔖 배합비 참조'!$B$2:$CE$83,MATCH("해바라기씨앗",'🔖 배합비 참조'!$A$2:$A$83,0),MATCH($C87,'🔖 배합비 참조'!$B$1:$CE$1,0))/100,0),""))),"")</f>
        <v>0</v>
      </c>
      <c r="CA87" s="39" t="n">
        <f aca="false">IFERROR(IF($C87="","",IF($D87="","",IFERROR(ROUND($D87*INDEX('🔖 배합비 참조'!$B$2:$CE$83,MATCH("현미(국내산)",'🔖 배합비 참조'!$A$2:$A$83,0),MATCH($C87,'🔖 배합비 참조'!$B$1:$CE$1,0))/100,0),""))),"")</f>
        <v>0</v>
      </c>
      <c r="CB87" s="39" t="n">
        <f aca="false">IFERROR(IF($C87="","",IF($D87="","",IFERROR(ROUND($D87*INDEX('🔖 배합비 참조'!$B$2:$CE$83,MATCH("현미멥쌀(국내산)",'🔖 배합비 참조'!$A$2:$A$83,0),MATCH($C87,'🔖 배합비 참조'!$B$1:$CE$1,0))/100,0),""))),"")</f>
        <v>0</v>
      </c>
      <c r="CC87" s="39" t="n">
        <f aca="false">IFERROR(IF($C87="","",IF($D87="","",IFERROR(ROUND($D87*INDEX('🔖 배합비 참조'!$B$2:$CE$83,MATCH("호두분태(미국산)",'🔖 배합비 참조'!$A$2:$A$83,0),MATCH($C87,'🔖 배합비 참조'!$B$1:$CE$1,0))/100,0),""))),"")</f>
        <v>0</v>
      </c>
      <c r="CD87" s="39" t="n">
        <f aca="false">IFERROR(IF($C87="","",IF($D87="","",IFERROR(ROUND($D87*INDEX('🔖 배합비 참조'!$B$2:$CE$83,MATCH("호박씨앗(외국산)",'🔖 배합비 참조'!$A$2:$A$83,0),MATCH($C87,'🔖 배합비 참조'!$B$1:$CE$1,0))/100,0),""))),"")</f>
        <v>0</v>
      </c>
      <c r="CE87" s="39" t="n">
        <f aca="false">IFERROR(IF($C87="","",IF($D87="","",IFERROR(ROUND($D87*INDEX('🔖 배합비 참조'!$B$2:$CE$83,MATCH("혼합제제(떡용에스텔)",'🔖 배합비 참조'!$A$2:$A$83,0),MATCH($C87,'🔖 배합비 참조'!$B$1:$CE$1,0))/100,0),""))),"")</f>
        <v>0</v>
      </c>
      <c r="CF87" s="39" t="n">
        <f aca="false">IFERROR(IF($C87="","",IF($D87="","",IFERROR(ROUND($D87*INDEX('🔖 배합비 참조'!$B$2:$CE$83,MATCH("혼합제제(스테비아)",'🔖 배합비 참조'!$A$2:$A$83,0),MATCH($C87,'🔖 배합비 참조'!$B$1:$CE$1,0))/100,0),""))),"")</f>
        <v>0</v>
      </c>
      <c r="CG87" s="39" t="n">
        <f aca="false">IFERROR(IF($C87="","",IF($D87="","",IFERROR(ROUND($D87*INDEX('🔖 배합비 참조'!$B$2:$CE$83,MATCH("화이트초콜릿",'🔖 배합비 참조'!$A$2:$A$83,0),MATCH($C87,'🔖 배합비 참조'!$B$1:$CE$1,0))/100,0),""))),"")</f>
        <v>0</v>
      </c>
      <c r="CH87" s="39" t="n">
        <f aca="false">IFERROR(IF($C87="","",IF($D87="","",IFERROR(ROUND($D87*INDEX('🔖 배합비 참조'!$B$2:$CE$83,MATCH("흑미찹쌀(국내산)",'🔖 배합비 참조'!$A$2:$A$83,0),MATCH($C87,'🔖 배합비 참조'!$B$1:$CE$1,0))/100,0),""))),"")</f>
        <v>0</v>
      </c>
      <c r="CI87" s="39" t="n">
        <f aca="false">IFERROR(IF($C87="","",IF($D87="","",IFERROR(ROUND($D87*INDEX('🔖 배합비 참조'!$B$2:$CE$83,MATCH("찰옥수수전분(미국산)",'🔖 배합비 참조'!$A$2:$A$83,0),MATCH($C87,'🔖 배합비 참조'!$B$1:$CE$1,0))/100,0),""))),"")</f>
        <v>0</v>
      </c>
      <c r="CJ87" s="40"/>
      <c r="CL87" s="1" t="s">
        <v>238</v>
      </c>
    </row>
    <row r="88" customFormat="false" ht="18" hidden="false" customHeight="true" outlineLevel="0" collapsed="false">
      <c r="A88" s="41" t="n">
        <v>84</v>
      </c>
      <c r="B88" s="36" t="n">
        <v>45986</v>
      </c>
      <c r="C88" s="37" t="s">
        <v>204</v>
      </c>
      <c r="D88" s="38" t="n">
        <v>140</v>
      </c>
      <c r="E88" s="17"/>
      <c r="F88" s="17"/>
      <c r="G88" s="42" t="n">
        <f aca="false">IFERROR(IF($C88="","",IF($D88="","",IFERROR(ROUND($D88*INDEX('🔖 배합비 참조'!$B$2:$CE$83,MATCH("간장",'🔖 배합비 참조'!$A$2:$A$83,0),MATCH($C88,'🔖 배합비 참조'!$B$1:$CE$1,0))/100,0),""))),"")</f>
        <v>0</v>
      </c>
      <c r="H88" s="42" t="n">
        <f aca="false">IFERROR(IF($C88="","",IF($D88="","",IFERROR(ROUND($D88*INDEX('🔖 배합비 참조'!$B$2:$CE$83,MATCH("강낭콩((울타리콩))",'🔖 배합비 참조'!$A$2:$A$83,0),MATCH($C88,'🔖 배합비 참조'!$B$1:$CE$1,0))/100,0),""))),"")</f>
        <v>0</v>
      </c>
      <c r="I88" s="42" t="n">
        <f aca="false">IFERROR(IF($C88="","",IF($D88="","",IFERROR(ROUND($D88*INDEX('🔖 배합비 참조'!$B$2:$CE$83,MATCH("건조딸기다이스(외국산)",'🔖 배합비 참조'!$A$2:$A$83,0),MATCH($C88,'🔖 배합비 참조'!$B$1:$CE$1,0))/100,0),""))),"")</f>
        <v>0</v>
      </c>
      <c r="J88" s="42" t="n">
        <f aca="false">IFERROR(IF($C88="","",IF($D88="","",IFERROR(ROUND($D88*INDEX('🔖 배합비 참조'!$B$2:$CE$83,MATCH("건포도",'🔖 배합비 참조'!$A$2:$A$83,0),MATCH($C88,'🔖 배합비 참조'!$B$1:$CE$1,0))/100,0),""))),"")</f>
        <v>0</v>
      </c>
      <c r="K88" s="42" t="n">
        <f aca="false">IFERROR(IF($C88="","",IF($D88="","",IFERROR(ROUND($D88*INDEX('🔖 배합비 참조'!$B$2:$CE$83,MATCH("건호박채(중국산)",'🔖 배합비 참조'!$A$2:$A$83,0),MATCH($C88,'🔖 배합비 참조'!$B$1:$CE$1,0))/100,0),""))),"")</f>
        <v>0</v>
      </c>
      <c r="L88" s="42" t="n">
        <f aca="false">IFERROR(IF($C88="","",IF($D88="","",IFERROR(ROUND($D88*INDEX('🔖 배합비 참조'!$B$2:$CE$83,MATCH("검정깨(흑임자)",'🔖 배합비 참조'!$A$2:$A$83,0),MATCH($C88,'🔖 배합비 참조'!$B$1:$CE$1,0))/100,0),""))),"")</f>
        <v>0</v>
      </c>
      <c r="M88" s="42" t="n">
        <f aca="false">IFERROR(IF($C88="","",IF($D88="","",IFERROR(ROUND($D88*INDEX('🔖 배합비 참조'!$B$2:$CE$83,MATCH("검정콩",'🔖 배합비 참조'!$A$2:$A$83,0),MATCH($C88,'🔖 배합비 참조'!$B$1:$CE$1,0))/100,0),""))),"")</f>
        <v>0</v>
      </c>
      <c r="N88" s="42" t="n">
        <f aca="false">IFERROR(IF($C88="","",IF($D88="","",IFERROR(ROUND($D88*INDEX('🔖 배합비 참조'!$B$2:$CE$83,MATCH("계피가루",'🔖 배합비 참조'!$A$2:$A$83,0),MATCH($C88,'🔖 배합비 참조'!$B$1:$CE$1,0))/100,0),""))),"")</f>
        <v>0</v>
      </c>
      <c r="O88" s="42" t="n">
        <f aca="false">IFERROR(IF($C88="","",IF($D88="","",IFERROR(ROUND($D88*INDEX('🔖 배합비 참조'!$B$2:$CE$83,MATCH("고구마가루",'🔖 배합비 참조'!$A$2:$A$83,0),MATCH($C88,'🔖 배합비 참조'!$B$1:$CE$1,0))/100,0),""))),"")</f>
        <v>0</v>
      </c>
      <c r="P88" s="42" t="n">
        <f aca="false">IFERROR(IF($C88="","",IF($D88="","",IFERROR(ROUND($D88*INDEX('🔖 배합비 참조'!$B$2:$CE$83,MATCH("고구마무스",'🔖 배합비 참조'!$A$2:$A$83,0),MATCH($C88,'🔖 배합비 참조'!$B$1:$CE$1,0))/100,0),""))),"")</f>
        <v>0</v>
      </c>
      <c r="Q88" s="42" t="n">
        <f aca="false">IFERROR(IF($C88="","",IF($D88="","",IFERROR(ROUND($D88*INDEX('🔖 배합비 참조'!$B$2:$CE$83,MATCH("고려엉겅퀴((곤드레)국내산)",'🔖 배합비 참조'!$A$2:$A$83,0),MATCH($C88,'🔖 배합비 참조'!$B$1:$CE$1,0))/100,0),""))),"")</f>
        <v>0</v>
      </c>
      <c r="R88" s="42" t="n">
        <f aca="false">IFERROR(IF($C88="","",IF($D88="","",IFERROR(ROUND($D88*INDEX('🔖 배합비 참조'!$B$2:$CE$83,MATCH("기타가공품(복분자가루)",'🔖 배합비 참조'!$A$2:$A$83,0),MATCH($C88,'🔖 배합비 참조'!$B$1:$CE$1,0))/100,0),""))),"")</f>
        <v>0</v>
      </c>
      <c r="S88" s="42" t="n">
        <f aca="false">IFERROR(IF($C88="","",IF($D88="","",IFERROR(ROUND($D88*INDEX('🔖 배합비 참조'!$B$2:$CE$83,MATCH("기타가공품(슈퍼소프트엠)",'🔖 배합비 참조'!$A$2:$A$83,0),MATCH($C88,'🔖 배합비 참조'!$B$1:$CE$1,0))/100,0),""))),"")</f>
        <v>0</v>
      </c>
      <c r="T88" s="42" t="n">
        <f aca="false">IFERROR(IF($C88="","",IF($D88="","",IFERROR(ROUND($D88*INDEX('🔖 배합비 참조'!$B$2:$CE$83,MATCH("기타가공품(파인소프트 E-티)",'🔖 배합비 참조'!$A$2:$A$83,0),MATCH($C88,'🔖 배합비 참조'!$B$1:$CE$1,0))/100,0),""))),"")</f>
        <v>0</v>
      </c>
      <c r="U88" s="42" t="n">
        <f aca="false">IFERROR(IF($C88="","",IF($D88="","",IFERROR(ROUND($D88*INDEX('🔖 배합비 참조'!$B$2:$CE$83,MATCH("기타가공품(프리미엄카스테라가루)",'🔖 배합비 참조'!$A$2:$A$83,0),MATCH($C88,'🔖 배합비 참조'!$B$1:$CE$1,0))/100,0),""))),"")</f>
        <v>0</v>
      </c>
      <c r="V88" s="42" t="n">
        <f aca="false">IFERROR(IF($C88="","",IF($D88="","",IFERROR(ROUND($D88*INDEX('🔖 배합비 참조'!$B$2:$CE$83,MATCH("기타가공품(흑임자가루)",'🔖 배합비 참조'!$A$2:$A$83,0),MATCH($C88,'🔖 배합비 참조'!$B$1:$CE$1,0))/100,0),""))),"")</f>
        <v>0</v>
      </c>
      <c r="W88" s="42" t="n">
        <f aca="false">IFERROR(IF($C88="","",IF($D88="","",IFERROR(ROUND($D88*INDEX('🔖 배합비 참조'!$B$2:$CE$83,MATCH("기타설탕(흑설탕)",'🔖 배합비 참조'!$A$2:$A$83,0),MATCH($C88,'🔖 배합비 참조'!$B$1:$CE$1,0))/100,0),""))),"")</f>
        <v>0</v>
      </c>
      <c r="X88" s="42" t="n">
        <f aca="false">IFERROR(IF($C88="","",IF($D88="","",IFERROR(ROUND($D88*INDEX('🔖 배합비 참조'!$B$2:$CE$83,MATCH("냉동쑥(국내산)",'🔖 배합비 참조'!$A$2:$A$83,0),MATCH($C88,'🔖 배합비 참조'!$B$1:$CE$1,0))/100,0),""))),"")</f>
        <v>5</v>
      </c>
      <c r="Y88" s="42" t="n">
        <f aca="false">IFERROR(IF($C88="","",IF($D88="","",IFERROR(ROUND($D88*INDEX('🔖 배합비 참조'!$B$2:$CE$83,MATCH("냉동증숙고구마(중국산)",'🔖 배합비 참조'!$A$2:$A$83,0),MATCH($C88,'🔖 배합비 참조'!$B$1:$CE$1,0))/100,0),""))),"")</f>
        <v>0</v>
      </c>
      <c r="Z88" s="42" t="n">
        <f aca="false">IFERROR(IF($C88="","",IF($D88="","",IFERROR(ROUND($D88*INDEX('🔖 배합비 참조'!$B$2:$CE$83,MATCH("녹차가루",'🔖 배합비 참조'!$A$2:$A$83,0),MATCH($C88,'🔖 배합비 참조'!$B$1:$CE$1,0))/100,0),""))),"")</f>
        <v>0</v>
      </c>
      <c r="AA88" s="42" t="n">
        <f aca="false">IFERROR(IF($C88="","",IF($D88="","",IFERROR(ROUND($D88*INDEX('🔖 배합비 참조'!$B$2:$CE$83,MATCH("다크초콜릿 컴파운드칩",'🔖 배합비 참조'!$A$2:$A$83,0),MATCH($C88,'🔖 배합비 참조'!$B$1:$CE$1,0))/100,0),""))),"")</f>
        <v>0</v>
      </c>
      <c r="AB88" s="42" t="n">
        <f aca="false">IFERROR(IF($C88="","",IF($D88="","",IFERROR(ROUND($D88*INDEX('🔖 배합비 참조'!$B$2:$CE$83,MATCH("단호박분말(중국산)",'🔖 배합비 참조'!$A$2:$A$83,0),MATCH($C88,'🔖 배합비 참조'!$B$1:$CE$1,0))/100,0),""))),"")</f>
        <v>0</v>
      </c>
      <c r="AC88" s="42" t="n">
        <f aca="false">IFERROR(IF($C88="","",IF($D88="","",IFERROR(ROUND($D88*INDEX('🔖 배합비 참조'!$B$2:$CE$83,MATCH("당류가공품(단호박농축액)",'🔖 배합비 참조'!$A$2:$A$83,0),MATCH($C88,'🔖 배합비 참조'!$B$1:$CE$1,0))/100,0),""))),"")</f>
        <v>0</v>
      </c>
      <c r="AD88" s="42" t="n">
        <f aca="false">IFERROR(IF($C88="","",IF($D88="","",IFERROR(ROUND($D88*INDEX('🔖 배합비 참조'!$B$2:$CE$83,MATCH("당류가공품(알룰로스,에리스리톨,스테비올배당체혼합)",'🔖 배합비 참조'!$A$2:$A$83,0),MATCH($C88,'🔖 배합비 참조'!$B$1:$CE$1,0))/100,0),""))),"")</f>
        <v>0</v>
      </c>
      <c r="AE88" s="42" t="n">
        <f aca="false">IFERROR(IF($C88="","",IF($D88="","",IFERROR(ROUND($D88*INDEX('🔖 배합비 참조'!$B$2:$CE$83,MATCH("당류가공품(알룰로스제로파우더)",'🔖 배합비 참조'!$A$2:$A$83,0),MATCH($C88,'🔖 배합비 참조'!$B$1:$CE$1,0))/100,0),""))),"")</f>
        <v>0</v>
      </c>
      <c r="AF88" s="42" t="n">
        <f aca="false">IFERROR(IF($C88="","",IF($D88="","",IFERROR(ROUND($D88*INDEX('🔖 배합비 참조'!$B$2:$CE$83,MATCH("당절임(완두배기)",'🔖 배합비 참조'!$A$2:$A$83,0),MATCH($C88,'🔖 배합비 참조'!$B$1:$CE$1,0))/100,0),""))),"")</f>
        <v>0</v>
      </c>
      <c r="AG88" s="42" t="n">
        <f aca="false">IFERROR(IF($C88="","",IF($D88="","",IFERROR(ROUND($D88*INDEX('🔖 배합비 참조'!$B$2:$CE$83,MATCH("대추농축액",'🔖 배합비 참조'!$A$2:$A$83,0),MATCH($C88,'🔖 배합비 참조'!$B$1:$CE$1,0))/100,0),""))),"")</f>
        <v>0</v>
      </c>
      <c r="AH88" s="42" t="n">
        <f aca="false">IFERROR(IF($C88="","",IF($D88="","",IFERROR(ROUND($D88*INDEX('🔖 배합비 참조'!$B$2:$CE$83,MATCH("대추채(국내산)",'🔖 배합비 참조'!$A$2:$A$83,0),MATCH($C88,'🔖 배합비 참조'!$B$1:$CE$1,0))/100,0),""))),"")</f>
        <v>0</v>
      </c>
      <c r="AI88" s="42" t="n">
        <f aca="false">IFERROR(IF($C88="","",IF($D88="","",IFERROR(ROUND($D88*INDEX('🔖 배합비 참조'!$B$2:$CE$83,MATCH("동부(미얀마산)",'🔖 배합비 참조'!$A$2:$A$83,0),MATCH($C88,'🔖 배합비 참조'!$B$1:$CE$1,0))/100,0),""))),"")</f>
        <v>0</v>
      </c>
      <c r="AJ88" s="42" t="n">
        <f aca="false">IFERROR(IF($C88="","",IF($D88="","",IFERROR(ROUND($D88*INDEX('🔖 배합비 참조'!$B$2:$CE$83,MATCH("두류가공품(백옥앙금)",'🔖 배합비 참조'!$A$2:$A$83,0),MATCH($C88,'🔖 배합비 참조'!$B$1:$CE$1,0))/100,0),""))),"")</f>
        <v>0</v>
      </c>
      <c r="AK88" s="42" t="n">
        <f aca="false">IFERROR(IF($C88="","",IF($D88="","",IFERROR(ROUND($D88*INDEX('🔖 배합비 참조'!$B$2:$CE$83,MATCH("두류가공품(콩고물)",'🔖 배합비 참조'!$A$2:$A$83,0),MATCH($C88,'🔖 배합비 참조'!$B$1:$CE$1,0))/100,0),""))),"")</f>
        <v>4</v>
      </c>
      <c r="AL88" s="42" t="n">
        <f aca="false">IFERROR(IF($C88="","",IF($D88="","",IFERROR(ROUND($D88*INDEX('🔖 배합비 참조'!$B$2:$CE$83,MATCH("두류가공품(통팥고물)",'🔖 배합비 참조'!$A$2:$A$83,0),MATCH($C88,'🔖 배합비 참조'!$B$1:$CE$1,0))/100,0),""))),"")</f>
        <v>0</v>
      </c>
      <c r="AM88" s="42" t="n">
        <f aca="false">IFERROR(IF($C88="","",IF($D88="","",IFERROR(ROUND($D88*INDEX('🔖 배합비 참조'!$B$2:$CE$83,MATCH("딸기레진",'🔖 배합비 참조'!$A$2:$A$83,0),MATCH($C88,'🔖 배합비 참조'!$B$1:$CE$1,0))/100,0),""))),"")</f>
        <v>0</v>
      </c>
      <c r="AN88" s="42" t="n">
        <f aca="false">IFERROR(IF($C88="","",IF($D88="","",IFERROR(ROUND($D88*INDEX('🔖 배합비 참조'!$B$2:$CE$83,MATCH("딸기분말(스트로우베리에이드(분말))",'🔖 배합비 참조'!$A$2:$A$83,0),MATCH($C88,'🔖 배합비 참조'!$B$1:$CE$1,0))/100,0),""))),"")</f>
        <v>0</v>
      </c>
      <c r="AO88" s="42" t="n">
        <f aca="false">IFERROR(IF($C88="","",IF($D88="","",IFERROR(ROUND($D88*INDEX('🔖 배합비 참조'!$B$2:$CE$83,MATCH("마스카포네치즈",'🔖 배합비 참조'!$A$2:$A$83,0),MATCH($C88,'🔖 배합비 참조'!$B$1:$CE$1,0))/100,0),""))),"")</f>
        <v>0</v>
      </c>
      <c r="AP88" s="42" t="n">
        <f aca="false">IFERROR(IF($C88="","",IF($D88="","",IFERROR(ROUND($D88*INDEX('🔖 배합비 참조'!$B$2:$CE$83,MATCH("마카다미아분태(호주산)",'🔖 배합비 참조'!$A$2:$A$83,0),MATCH($C88,'🔖 배합비 참조'!$B$1:$CE$1,0))/100,0),""))),"")</f>
        <v>0</v>
      </c>
      <c r="AQ88" s="42" t="n">
        <f aca="false">IFERROR(IF($C88="","",IF($D88="","",IFERROR(ROUND($D88*INDEX('🔖 배합비 참조'!$B$2:$CE$83,MATCH("멥쌀(국내산)",'🔖 배합비 참조'!$A$2:$A$83,0),MATCH($C88,'🔖 배합비 참조'!$B$1:$CE$1,0))/100,0),""))),"")</f>
        <v>0</v>
      </c>
      <c r="AR88" s="42" t="n">
        <f aca="false">IFERROR(IF($C88="","",IF($D88="","",IFERROR(ROUND($D88*INDEX('🔖 배합비 참조'!$B$2:$CE$83,MATCH("모시잎(국내산)",'🔖 배합비 참조'!$A$2:$A$83,0),MATCH($C88,'🔖 배합비 참조'!$B$1:$CE$1,0))/100,0),""))),"")</f>
        <v>0</v>
      </c>
      <c r="AS88" s="42" t="n">
        <f aca="false">IFERROR(IF($C88="","",IF($D88="","",IFERROR(ROUND($D88*INDEX('🔖 배합비 참조'!$B$2:$CE$83,MATCH("물엿(저당물엿)",'🔖 배합비 참조'!$A$2:$A$83,0),MATCH($C88,'🔖 배합비 참조'!$B$1:$CE$1,0))/100,0),""))),"")</f>
        <v>3</v>
      </c>
      <c r="AT88" s="42" t="n">
        <f aca="false">IFERROR(IF($C88="","",IF($D88="","",IFERROR(ROUND($D88*INDEX('🔖 배합비 참조'!$B$2:$CE$83,MATCH("밤다이스",'🔖 배합비 참조'!$A$2:$A$83,0),MATCH($C88,'🔖 배합비 참조'!$B$1:$CE$1,0))/100,0),""))),"")</f>
        <v>0</v>
      </c>
      <c r="AU88" s="42" t="n">
        <f aca="false">IFERROR(IF($C88="","",IF($D88="","",IFERROR(ROUND($D88*INDEX('🔖 배합비 참조'!$B$2:$CE$83,MATCH("변성전분(타피오카전분)",'🔖 배합비 참조'!$A$2:$A$83,0),MATCH($C88,'🔖 배합비 참조'!$B$1:$CE$1,0))/100,0),""))),"")</f>
        <v>0</v>
      </c>
      <c r="AV88" s="42" t="n">
        <f aca="false">IFERROR(IF($C88="","",IF($D88="","",IFERROR(ROUND($D88*INDEX('🔖 배합비 참조'!$B$2:$CE$83,MATCH("복음땅콩분태",'🔖 배합비 참조'!$A$2:$A$83,0),MATCH($C88,'🔖 배합비 참조'!$B$1:$CE$1,0))/100,0),""))),"")</f>
        <v>0</v>
      </c>
      <c r="AW88" s="42" t="n">
        <f aca="false">IFERROR(IF($C88="","",IF($D88="","",IFERROR(ROUND($D88*INDEX('🔖 배합비 참조'!$B$2:$CE$83,MATCH("사양벌꿀(국내산)",'🔖 배합비 참조'!$A$2:$A$83,0),MATCH($C88,'🔖 배합비 참조'!$B$1:$CE$1,0))/100,0),""))),"")</f>
        <v>0</v>
      </c>
      <c r="AX88" s="42" t="n">
        <f aca="false">IFERROR(IF($C88="","",IF($D88="","",IFERROR(ROUND($D88*INDEX('🔖 배합비 참조'!$B$2:$CE$83,MATCH("생크림",'🔖 배합비 참조'!$A$2:$A$83,0),MATCH($C88,'🔖 배합비 참조'!$B$1:$CE$1,0))/100,0),""))),"")</f>
        <v>0</v>
      </c>
      <c r="AY88" s="42" t="n">
        <f aca="false">IFERROR(IF($C88="","",IF($D88="","",IFERROR(ROUND($D88*INDEX('🔖 배합비 참조'!$B$2:$CE$83,MATCH("서양호박(국내산,뉴질랜드산)",'🔖 배합비 참조'!$A$2:$A$83,0),MATCH($C88,'🔖 배합비 참조'!$B$1:$CE$1,0))/100,0),""))),"")</f>
        <v>0</v>
      </c>
      <c r="AZ88" s="42" t="n">
        <f aca="false">IFERROR(IF($C88="","",IF($D88="","",IFERROR(ROUND($D88*INDEX('🔖 배합비 참조'!$B$2:$CE$83,MATCH("설탕",'🔖 배합비 참조'!$A$2:$A$83,0),MATCH($C88,'🔖 배합비 참조'!$B$1:$CE$1,0))/100,0),""))),"")</f>
        <v>3</v>
      </c>
      <c r="BA88" s="42" t="n">
        <f aca="false">IFERROR(IF($C88="","",IF($D88="","",IFERROR(ROUND($D88*INDEX('🔖 배합비 참조'!$B$2:$CE$83,MATCH("스트로우베리 에이드 후레쉬",'🔖 배합비 참조'!$A$2:$A$83,0),MATCH($C88,'🔖 배합비 참조'!$B$1:$CE$1,0))/100,0),""))),"")</f>
        <v>0</v>
      </c>
      <c r="BB88" s="42" t="n">
        <f aca="false">IFERROR(IF($C88="","",IF($D88="","",IFERROR(ROUND($D88*INDEX('🔖 배합비 참조'!$B$2:$CE$83,MATCH("식물성기름혼합제제(분홍)",'🔖 배합비 참조'!$A$2:$A$83,0),MATCH($C88,'🔖 배합비 참조'!$B$1:$CE$1,0))/100,0),""))),"")</f>
        <v>0</v>
      </c>
      <c r="BC88" s="42" t="n">
        <f aca="false">IFERROR(IF($C88="","",IF($D88="","",IFERROR(ROUND($D88*INDEX('🔖 배합비 참조'!$B$2:$CE$83,MATCH("식물성기름혼합제제(초록)",'🔖 배합비 참조'!$A$2:$A$83,0),MATCH($C88,'🔖 배합비 참조'!$B$1:$CE$1,0))/100,0),""))),"")</f>
        <v>0</v>
      </c>
      <c r="BD88" s="42" t="n">
        <f aca="false">IFERROR(IF($C88="","",IF($D88="","",IFERROR(ROUND($D88*INDEX('🔖 배합비 참조'!$B$2:$CE$83,MATCH("식물성기름혼합제제(황색)",'🔖 배합비 참조'!$A$2:$A$83,0),MATCH($C88,'🔖 배합비 참조'!$B$1:$CE$1,0))/100,0),""))),"")</f>
        <v>0</v>
      </c>
      <c r="BE88" s="42" t="n">
        <f aca="false">IFERROR(IF($C88="","",IF($D88="","",IFERROR(ROUND($D88*INDEX('🔖 배합비 참조'!$B$2:$CE$83,MATCH("쑥가루(국내산)",'🔖 배합비 참조'!$A$2:$A$83,0),MATCH($C88,'🔖 배합비 참조'!$B$1:$CE$1,0))/100,0),""))),"")</f>
        <v>2</v>
      </c>
      <c r="BF88" s="42" t="n">
        <f aca="false">IFERROR(IF($C88="","",IF($D88="","",IFERROR(ROUND($D88*INDEX('🔖 배합비 참조'!$B$2:$CE$83,MATCH("아몬드슬라이스",'🔖 배합비 참조'!$A$2:$A$83,0),MATCH($C88,'🔖 배합비 참조'!$B$1:$CE$1,0))/100,0),""))),"")</f>
        <v>0</v>
      </c>
      <c r="BG88" s="42" t="n">
        <f aca="false">IFERROR(IF($C88="","",IF($D88="","",IFERROR(ROUND($D88*INDEX('🔖 배합비 참조'!$B$2:$CE$83,MATCH("알룰로오스(국내산)",'🔖 배합비 참조'!$A$2:$A$83,0),MATCH($C88,'🔖 배합비 참조'!$B$1:$CE$1,0))/100,0),""))),"")</f>
        <v>0</v>
      </c>
      <c r="BH88" s="42" t="n">
        <f aca="false">IFERROR(IF($C88="","",IF($D88="","",IFERROR(ROUND($D88*INDEX('🔖 배합비 참조'!$B$2:$CE$83,MATCH("연유",'🔖 배합비 참조'!$A$2:$A$83,0),MATCH($C88,'🔖 배합비 참조'!$B$1:$CE$1,0))/100,0),""))),"")</f>
        <v>0</v>
      </c>
      <c r="BI88" s="42" t="n">
        <f aca="false">IFERROR(IF($C88="","",IF($D88="","",IFERROR(ROUND($D88*INDEX('🔖 배합비 참조'!$B$2:$CE$83,MATCH("옥수수전분",'🔖 배합비 참조'!$A$2:$A$83,0),MATCH($C88,'🔖 배합비 참조'!$B$1:$CE$1,0))/100,0),""))),"")</f>
        <v>0</v>
      </c>
      <c r="BJ88" s="42" t="n">
        <f aca="false">IFERROR(IF($C88="","",IF($D88="","",IFERROR(ROUND($D88*INDEX('🔖 배합비 참조'!$B$2:$CE$83,MATCH("완두배기",'🔖 배합비 참조'!$A$2:$A$83,0),MATCH($C88,'🔖 배합비 참조'!$B$1:$CE$1,0))/100,0),""))),"")</f>
        <v>0</v>
      </c>
      <c r="BK88" s="42" t="n">
        <f aca="false">IFERROR(IF($C88="","",IF($D88="","",IFERROR(ROUND($D88*INDEX('🔖 배합비 참조'!$B$2:$CE$83,MATCH("우유(국내산)",'🔖 배합비 참조'!$A$2:$A$83,0),MATCH($C88,'🔖 배합비 참조'!$B$1:$CE$1,0))/100,0),""))),"")</f>
        <v>0</v>
      </c>
      <c r="BL88" s="42" t="n">
        <f aca="false">IFERROR(IF($C88="","",IF($D88="","",IFERROR(ROUND($D88*INDEX('🔖 배합비 참조'!$B$2:$CE$83,MATCH("자색고구마가루(중국산)",'🔖 배합비 참조'!$A$2:$A$83,0),MATCH($C88,'🔖 배합비 참조'!$B$1:$CE$1,0))/100,0),""))),"")</f>
        <v>0</v>
      </c>
      <c r="BM88" s="42" t="n">
        <f aca="false">IFERROR(IF($C88="","",IF($D88="","",IFERROR(ROUND($D88*INDEX('🔖 배합비 참조'!$B$2:$CE$83,MATCH("자연치즈(체다치즈)",'🔖 배합비 참조'!$A$2:$A$83,0),MATCH($C88,'🔖 배합비 참조'!$B$1:$CE$1,0))/100,0),""))),"")</f>
        <v>0</v>
      </c>
      <c r="BN88" s="42" t="n">
        <f aca="false">IFERROR(IF($C88="","",IF($D88="","",IFERROR(ROUND($D88*INDEX('🔖 배합비 참조'!$B$2:$CE$83,MATCH("정제수",'🔖 배합비 참조'!$A$2:$A$83,0),MATCH($C88,'🔖 배합비 참조'!$B$1:$CE$1,0))/100,0),""))),"")</f>
        <v>0</v>
      </c>
      <c r="BO88" s="42" t="n">
        <f aca="false">IFERROR(IF($C88="","",IF($D88="","",IFERROR(ROUND($D88*INDEX('🔖 배합비 참조'!$B$2:$CE$83,MATCH("젤라틴",'🔖 배합비 참조'!$A$2:$A$83,0),MATCH($C88,'🔖 배합비 참조'!$B$1:$CE$1,0))/100,0),""))),"")</f>
        <v>0</v>
      </c>
      <c r="BP88" s="42" t="n">
        <f aca="false">IFERROR(IF($C88="","",IF($D88="","",IFERROR(ROUND($D88*INDEX('🔖 배합비 참조'!$B$2:$CE$83,MATCH("조림류(백옥앙금)",'🔖 배합비 참조'!$A$2:$A$83,0),MATCH($C88,'🔖 배합비 참조'!$B$1:$CE$1,0))/100,0),""))),"")</f>
        <v>0</v>
      </c>
      <c r="BQ88" s="42" t="n">
        <f aca="false">IFERROR(IF($C88="","",IF($D88="","",IFERROR(ROUND($D88*INDEX('🔖 배합비 참조'!$B$2:$CE$83,MATCH("조림류(통팥앙금)",'🔖 배합비 참조'!$A$2:$A$83,0),MATCH($C88,'🔖 배합비 참조'!$B$1:$CE$1,0))/100,0),""))),"")</f>
        <v>58</v>
      </c>
      <c r="BR88" s="42" t="n">
        <f aca="false">IFERROR(IF($C88="","",IF($D88="","",IFERROR(ROUND($D88*INDEX('🔖 배합비 참조'!$B$2:$CE$83,MATCH("준초콜릿(외국산)",'🔖 배합비 참조'!$A$2:$A$83,0),MATCH($C88,'🔖 배합비 참조'!$B$1:$CE$1,0))/100,0),""))),"")</f>
        <v>0</v>
      </c>
      <c r="BS88" s="42" t="n">
        <f aca="false">IFERROR(IF($C88="","",IF($D88="","",IFERROR(ROUND($D88*INDEX('🔖 배합비 참조'!$B$2:$CE$83,MATCH("중력분",'🔖 배합비 참조'!$A$2:$A$83,0),MATCH($C88,'🔖 배합비 참조'!$B$1:$CE$1,0))/100,0),""))),"")</f>
        <v>1</v>
      </c>
      <c r="BT88" s="42" t="n">
        <f aca="false">IFERROR(IF($C88="","",IF($D88="","",IFERROR(ROUND($D88*INDEX('🔖 배합비 참조'!$B$2:$CE$83,MATCH("참깨(인도산,나이지리아산,탄자니아산,미얀마산)",'🔖 배합비 참조'!$A$2:$A$83,0),MATCH($C88,'🔖 배합비 참조'!$B$1:$CE$1,0))/100,0),""))),"")</f>
        <v>0</v>
      </c>
      <c r="BU88" s="42" t="n">
        <f aca="false">IFERROR(IF($C88="","",IF($D88="","",IFERROR(ROUND($D88*INDEX('🔖 배합비 참조'!$B$2:$CE$83,MATCH("찹쌀(국내산)",'🔖 배합비 참조'!$A$2:$A$83,0),MATCH($C88,'🔖 배합비 참조'!$B$1:$CE$1,0))/100,0),""))),"")</f>
        <v>62</v>
      </c>
      <c r="BV88" s="42" t="n">
        <f aca="false">IFERROR(IF($C88="","",IF($D88="","",IFERROR(ROUND($D88*INDEX('🔖 배합비 참조'!$B$2:$CE$83,MATCH("천일염",'🔖 배합비 참조'!$A$2:$A$83,0),MATCH($C88,'🔖 배합비 참조'!$B$1:$CE$1,0))/100,0),""))),"")</f>
        <v>1</v>
      </c>
      <c r="BW88" s="42" t="n">
        <f aca="false">IFERROR(IF($C88="","",IF($D88="","",IFERROR(ROUND($D88*INDEX('🔖 배합비 참조'!$B$2:$CE$83,MATCH("치즈 [크림치즈]",'🔖 배합비 참조'!$A$2:$A$83,0),MATCH($C88,'🔖 배합비 참조'!$B$1:$CE$1,0))/100,0),""))),"")</f>
        <v>0</v>
      </c>
      <c r="BX88" s="42" t="n">
        <f aca="false">IFERROR(IF($C88="","",IF($D88="","",IFERROR(ROUND($D88*INDEX('🔖 배합비 참조'!$B$2:$CE$83,MATCH("코코아가공품류(코코아분말)",'🔖 배합비 참조'!$A$2:$A$83,0),MATCH($C88,'🔖 배합비 참조'!$B$1:$CE$1,0))/100,0),""))),"")</f>
        <v>0</v>
      </c>
      <c r="BY88" s="42" t="n">
        <f aca="false">IFERROR(IF($C88="","",IF($D88="","",IFERROR(ROUND($D88*INDEX('🔖 배합비 참조'!$B$2:$CE$83,MATCH("콩기름(대두유)",'🔖 배합비 참조'!$A$2:$A$83,0),MATCH($C88,'🔖 배합비 참조'!$B$1:$CE$1,0))/100,0),""))),"")</f>
        <v>0</v>
      </c>
      <c r="BZ88" s="42" t="n">
        <f aca="false">IFERROR(IF($C88="","",IF($D88="","",IFERROR(ROUND($D88*INDEX('🔖 배합비 참조'!$B$2:$CE$83,MATCH("해바라기씨앗",'🔖 배합비 참조'!$A$2:$A$83,0),MATCH($C88,'🔖 배합비 참조'!$B$1:$CE$1,0))/100,0),""))),"")</f>
        <v>0</v>
      </c>
      <c r="CA88" s="42" t="n">
        <f aca="false">IFERROR(IF($C88="","",IF($D88="","",IFERROR(ROUND($D88*INDEX('🔖 배합비 참조'!$B$2:$CE$83,MATCH("현미(국내산)",'🔖 배합비 참조'!$A$2:$A$83,0),MATCH($C88,'🔖 배합비 참조'!$B$1:$CE$1,0))/100,0),""))),"")</f>
        <v>0</v>
      </c>
      <c r="CB88" s="42" t="n">
        <f aca="false">IFERROR(IF($C88="","",IF($D88="","",IFERROR(ROUND($D88*INDEX('🔖 배합비 참조'!$B$2:$CE$83,MATCH("현미멥쌀(국내산)",'🔖 배합비 참조'!$A$2:$A$83,0),MATCH($C88,'🔖 배합비 참조'!$B$1:$CE$1,0))/100,0),""))),"")</f>
        <v>0</v>
      </c>
      <c r="CC88" s="42" t="n">
        <f aca="false">IFERROR(IF($C88="","",IF($D88="","",IFERROR(ROUND($D88*INDEX('🔖 배합비 참조'!$B$2:$CE$83,MATCH("호두분태(미국산)",'🔖 배합비 참조'!$A$2:$A$83,0),MATCH($C88,'🔖 배합비 참조'!$B$1:$CE$1,0))/100,0),""))),"")</f>
        <v>0</v>
      </c>
      <c r="CD88" s="42" t="n">
        <f aca="false">IFERROR(IF($C88="","",IF($D88="","",IFERROR(ROUND($D88*INDEX('🔖 배합비 참조'!$B$2:$CE$83,MATCH("호박씨앗(외국산)",'🔖 배합비 참조'!$A$2:$A$83,0),MATCH($C88,'🔖 배합비 참조'!$B$1:$CE$1,0))/100,0),""))),"")</f>
        <v>0</v>
      </c>
      <c r="CE88" s="42" t="n">
        <f aca="false">IFERROR(IF($C88="","",IF($D88="","",IFERROR(ROUND($D88*INDEX('🔖 배합비 참조'!$B$2:$CE$83,MATCH("혼합제제(떡용에스텔)",'🔖 배합비 참조'!$A$2:$A$83,0),MATCH($C88,'🔖 배합비 참조'!$B$1:$CE$1,0))/100,0),""))),"")</f>
        <v>1</v>
      </c>
      <c r="CF88" s="42" t="n">
        <f aca="false">IFERROR(IF($C88="","",IF($D88="","",IFERROR(ROUND($D88*INDEX('🔖 배합비 참조'!$B$2:$CE$83,MATCH("혼합제제(스테비아)",'🔖 배합비 참조'!$A$2:$A$83,0),MATCH($C88,'🔖 배합비 참조'!$B$1:$CE$1,0))/100,0),""))),"")</f>
        <v>0</v>
      </c>
      <c r="CG88" s="42" t="n">
        <f aca="false">IFERROR(IF($C88="","",IF($D88="","",IFERROR(ROUND($D88*INDEX('🔖 배합비 참조'!$B$2:$CE$83,MATCH("화이트초콜릿",'🔖 배합비 참조'!$A$2:$A$83,0),MATCH($C88,'🔖 배합비 참조'!$B$1:$CE$1,0))/100,0),""))),"")</f>
        <v>0</v>
      </c>
      <c r="CH88" s="42" t="n">
        <f aca="false">IFERROR(IF($C88="","",IF($D88="","",IFERROR(ROUND($D88*INDEX('🔖 배합비 참조'!$B$2:$CE$83,MATCH("흑미찹쌀(국내산)",'🔖 배합비 참조'!$A$2:$A$83,0),MATCH($C88,'🔖 배합비 참조'!$B$1:$CE$1,0))/100,0),""))),"")</f>
        <v>0</v>
      </c>
      <c r="CI88" s="42" t="n">
        <f aca="false">IFERROR(IF($C88="","",IF($D88="","",IFERROR(ROUND($D88*INDEX('🔖 배합비 참조'!$B$2:$CE$83,MATCH("찰옥수수전분(미국산)",'🔖 배합비 참조'!$A$2:$A$83,0),MATCH($C88,'🔖 배합비 참조'!$B$1:$CE$1,0))/100,0),""))),"")</f>
        <v>0</v>
      </c>
      <c r="CJ88" s="40"/>
      <c r="CL88" s="1" t="s">
        <v>238</v>
      </c>
    </row>
    <row r="89" customFormat="false" ht="18" hidden="false" customHeight="true" outlineLevel="0" collapsed="false">
      <c r="A89" s="35" t="n">
        <v>85</v>
      </c>
      <c r="B89" s="36" t="n">
        <v>45987</v>
      </c>
      <c r="C89" s="37" t="s">
        <v>143</v>
      </c>
      <c r="D89" s="38" t="n">
        <v>80</v>
      </c>
      <c r="E89" s="13"/>
      <c r="F89" s="13"/>
      <c r="G89" s="39" t="n">
        <f aca="false">IFERROR(IF($C89="","",IF($D89="","",IFERROR(ROUND($D89*INDEX('🔖 배합비 참조'!$B$2:$CE$83,MATCH("간장",'🔖 배합비 참조'!$A$2:$A$83,0),MATCH($C89,'🔖 배합비 참조'!$B$1:$CE$1,0))/100,0),""))),"")</f>
        <v>0</v>
      </c>
      <c r="H89" s="39" t="n">
        <f aca="false">IFERROR(IF($C89="","",IF($D89="","",IFERROR(ROUND($D89*INDEX('🔖 배합비 참조'!$B$2:$CE$83,MATCH("강낭콩((울타리콩))",'🔖 배합비 참조'!$A$2:$A$83,0),MATCH($C89,'🔖 배합비 참조'!$B$1:$CE$1,0))/100,0),""))),"")</f>
        <v>0</v>
      </c>
      <c r="I89" s="39" t="n">
        <f aca="false">IFERROR(IF($C89="","",IF($D89="","",IFERROR(ROUND($D89*INDEX('🔖 배합비 참조'!$B$2:$CE$83,MATCH("건조딸기다이스(외국산)",'🔖 배합비 참조'!$A$2:$A$83,0),MATCH($C89,'🔖 배합비 참조'!$B$1:$CE$1,0))/100,0),""))),"")</f>
        <v>0</v>
      </c>
      <c r="J89" s="39" t="n">
        <f aca="false">IFERROR(IF($C89="","",IF($D89="","",IFERROR(ROUND($D89*INDEX('🔖 배합비 참조'!$B$2:$CE$83,MATCH("건포도",'🔖 배합비 참조'!$A$2:$A$83,0),MATCH($C89,'🔖 배합비 참조'!$B$1:$CE$1,0))/100,0),""))),"")</f>
        <v>0</v>
      </c>
      <c r="K89" s="39" t="n">
        <f aca="false">IFERROR(IF($C89="","",IF($D89="","",IFERROR(ROUND($D89*INDEX('🔖 배합비 참조'!$B$2:$CE$83,MATCH("건호박채(중국산)",'🔖 배합비 참조'!$A$2:$A$83,0),MATCH($C89,'🔖 배합비 참조'!$B$1:$CE$1,0))/100,0),""))),"")</f>
        <v>0</v>
      </c>
      <c r="L89" s="39" t="n">
        <f aca="false">IFERROR(IF($C89="","",IF($D89="","",IFERROR(ROUND($D89*INDEX('🔖 배합비 참조'!$B$2:$CE$83,MATCH("검정깨(흑임자)",'🔖 배합비 참조'!$A$2:$A$83,0),MATCH($C89,'🔖 배합비 참조'!$B$1:$CE$1,0))/100,0),""))),"")</f>
        <v>0</v>
      </c>
      <c r="M89" s="39" t="n">
        <f aca="false">IFERROR(IF($C89="","",IF($D89="","",IFERROR(ROUND($D89*INDEX('🔖 배합비 참조'!$B$2:$CE$83,MATCH("검정콩",'🔖 배합비 참조'!$A$2:$A$83,0),MATCH($C89,'🔖 배합비 참조'!$B$1:$CE$1,0))/100,0),""))),"")</f>
        <v>0</v>
      </c>
      <c r="N89" s="39" t="n">
        <f aca="false">IFERROR(IF($C89="","",IF($D89="","",IFERROR(ROUND($D89*INDEX('🔖 배합비 참조'!$B$2:$CE$83,MATCH("계피가루",'🔖 배합비 참조'!$A$2:$A$83,0),MATCH($C89,'🔖 배합비 참조'!$B$1:$CE$1,0))/100,0),""))),"")</f>
        <v>0</v>
      </c>
      <c r="O89" s="39" t="n">
        <f aca="false">IFERROR(IF($C89="","",IF($D89="","",IFERROR(ROUND($D89*INDEX('🔖 배합비 참조'!$B$2:$CE$83,MATCH("고구마가루",'🔖 배합비 참조'!$A$2:$A$83,0),MATCH($C89,'🔖 배합비 참조'!$B$1:$CE$1,0))/100,0),""))),"")</f>
        <v>0</v>
      </c>
      <c r="P89" s="39" t="n">
        <f aca="false">IFERROR(IF($C89="","",IF($D89="","",IFERROR(ROUND($D89*INDEX('🔖 배합비 참조'!$B$2:$CE$83,MATCH("고구마무스",'🔖 배합비 참조'!$A$2:$A$83,0),MATCH($C89,'🔖 배합비 참조'!$B$1:$CE$1,0))/100,0),""))),"")</f>
        <v>0</v>
      </c>
      <c r="Q89" s="39" t="n">
        <f aca="false">IFERROR(IF($C89="","",IF($D89="","",IFERROR(ROUND($D89*INDEX('🔖 배합비 참조'!$B$2:$CE$83,MATCH("고려엉겅퀴((곤드레)국내산)",'🔖 배합비 참조'!$A$2:$A$83,0),MATCH($C89,'🔖 배합비 참조'!$B$1:$CE$1,0))/100,0),""))),"")</f>
        <v>0</v>
      </c>
      <c r="R89" s="39" t="n">
        <f aca="false">IFERROR(IF($C89="","",IF($D89="","",IFERROR(ROUND($D89*INDEX('🔖 배합비 참조'!$B$2:$CE$83,MATCH("기타가공품(복분자가루)",'🔖 배합비 참조'!$A$2:$A$83,0),MATCH($C89,'🔖 배합비 참조'!$B$1:$CE$1,0))/100,0),""))),"")</f>
        <v>0</v>
      </c>
      <c r="S89" s="39" t="n">
        <f aca="false">IFERROR(IF($C89="","",IF($D89="","",IFERROR(ROUND($D89*INDEX('🔖 배합비 참조'!$B$2:$CE$83,MATCH("기타가공품(슈퍼소프트엠)",'🔖 배합비 참조'!$A$2:$A$83,0),MATCH($C89,'🔖 배합비 참조'!$B$1:$CE$1,0))/100,0),""))),"")</f>
        <v>0</v>
      </c>
      <c r="T89" s="39" t="n">
        <f aca="false">IFERROR(IF($C89="","",IF($D89="","",IFERROR(ROUND($D89*INDEX('🔖 배합비 참조'!$B$2:$CE$83,MATCH("기타가공품(파인소프트 E-티)",'🔖 배합비 참조'!$A$2:$A$83,0),MATCH($C89,'🔖 배합비 참조'!$B$1:$CE$1,0))/100,0),""))),"")</f>
        <v>0</v>
      </c>
      <c r="U89" s="39" t="n">
        <f aca="false">IFERROR(IF($C89="","",IF($D89="","",IFERROR(ROUND($D89*INDEX('🔖 배합비 참조'!$B$2:$CE$83,MATCH("기타가공품(프리미엄카스테라가루)",'🔖 배합비 참조'!$A$2:$A$83,0),MATCH($C89,'🔖 배합비 참조'!$B$1:$CE$1,0))/100,0),""))),"")</f>
        <v>0</v>
      </c>
      <c r="V89" s="39" t="n">
        <f aca="false">IFERROR(IF($C89="","",IF($D89="","",IFERROR(ROUND($D89*INDEX('🔖 배합비 참조'!$B$2:$CE$83,MATCH("기타가공품(흑임자가루)",'🔖 배합비 참조'!$A$2:$A$83,0),MATCH($C89,'🔖 배합비 참조'!$B$1:$CE$1,0))/100,0),""))),"")</f>
        <v>0</v>
      </c>
      <c r="W89" s="39" t="n">
        <f aca="false">IFERROR(IF($C89="","",IF($D89="","",IFERROR(ROUND($D89*INDEX('🔖 배합비 참조'!$B$2:$CE$83,MATCH("기타설탕(흑설탕)",'🔖 배합비 참조'!$A$2:$A$83,0),MATCH($C89,'🔖 배합비 참조'!$B$1:$CE$1,0))/100,0),""))),"")</f>
        <v>7</v>
      </c>
      <c r="X89" s="39" t="n">
        <f aca="false">IFERROR(IF($C89="","",IF($D89="","",IFERROR(ROUND($D89*INDEX('🔖 배합비 참조'!$B$2:$CE$83,MATCH("냉동쑥(국내산)",'🔖 배합비 참조'!$A$2:$A$83,0),MATCH($C89,'🔖 배합비 참조'!$B$1:$CE$1,0))/100,0),""))),"")</f>
        <v>0</v>
      </c>
      <c r="Y89" s="39" t="n">
        <f aca="false">IFERROR(IF($C89="","",IF($D89="","",IFERROR(ROUND($D89*INDEX('🔖 배합비 참조'!$B$2:$CE$83,MATCH("냉동증숙고구마(중국산)",'🔖 배합비 참조'!$A$2:$A$83,0),MATCH($C89,'🔖 배합비 참조'!$B$1:$CE$1,0))/100,0),""))),"")</f>
        <v>0</v>
      </c>
      <c r="Z89" s="39" t="n">
        <f aca="false">IFERROR(IF($C89="","",IF($D89="","",IFERROR(ROUND($D89*INDEX('🔖 배합비 참조'!$B$2:$CE$83,MATCH("녹차가루",'🔖 배합비 참조'!$A$2:$A$83,0),MATCH($C89,'🔖 배합비 참조'!$B$1:$CE$1,0))/100,0),""))),"")</f>
        <v>0</v>
      </c>
      <c r="AA89" s="39" t="n">
        <f aca="false">IFERROR(IF($C89="","",IF($D89="","",IFERROR(ROUND($D89*INDEX('🔖 배합비 참조'!$B$2:$CE$83,MATCH("다크초콜릿 컴파운드칩",'🔖 배합비 참조'!$A$2:$A$83,0),MATCH($C89,'🔖 배합비 참조'!$B$1:$CE$1,0))/100,0),""))),"")</f>
        <v>0</v>
      </c>
      <c r="AB89" s="39" t="n">
        <f aca="false">IFERROR(IF($C89="","",IF($D89="","",IFERROR(ROUND($D89*INDEX('🔖 배합비 참조'!$B$2:$CE$83,MATCH("단호박분말(중국산)",'🔖 배합비 참조'!$A$2:$A$83,0),MATCH($C89,'🔖 배합비 참조'!$B$1:$CE$1,0))/100,0),""))),"")</f>
        <v>0</v>
      </c>
      <c r="AC89" s="39" t="n">
        <f aca="false">IFERROR(IF($C89="","",IF($D89="","",IFERROR(ROUND($D89*INDEX('🔖 배합비 참조'!$B$2:$CE$83,MATCH("당류가공품(단호박농축액)",'🔖 배합비 참조'!$A$2:$A$83,0),MATCH($C89,'🔖 배합비 참조'!$B$1:$CE$1,0))/100,0),""))),"")</f>
        <v>0</v>
      </c>
      <c r="AD89" s="39" t="n">
        <f aca="false">IFERROR(IF($C89="","",IF($D89="","",IFERROR(ROUND($D89*INDEX('🔖 배합비 참조'!$B$2:$CE$83,MATCH("당류가공품(알룰로스,에리스리톨,스테비올배당체혼합)",'🔖 배합비 참조'!$A$2:$A$83,0),MATCH($C89,'🔖 배합비 참조'!$B$1:$CE$1,0))/100,0),""))),"")</f>
        <v>0</v>
      </c>
      <c r="AE89" s="39" t="n">
        <f aca="false">IFERROR(IF($C89="","",IF($D89="","",IFERROR(ROUND($D89*INDEX('🔖 배합비 참조'!$B$2:$CE$83,MATCH("당류가공품(알룰로스제로파우더)",'🔖 배합비 참조'!$A$2:$A$83,0),MATCH($C89,'🔖 배합비 참조'!$B$1:$CE$1,0))/100,0),""))),"")</f>
        <v>0</v>
      </c>
      <c r="AF89" s="39" t="n">
        <f aca="false">IFERROR(IF($C89="","",IF($D89="","",IFERROR(ROUND($D89*INDEX('🔖 배합비 참조'!$B$2:$CE$83,MATCH("당절임(완두배기)",'🔖 배합비 참조'!$A$2:$A$83,0),MATCH($C89,'🔖 배합비 참조'!$B$1:$CE$1,0))/100,0),""))),"")</f>
        <v>0</v>
      </c>
      <c r="AG89" s="39" t="n">
        <f aca="false">IFERROR(IF($C89="","",IF($D89="","",IFERROR(ROUND($D89*INDEX('🔖 배합비 참조'!$B$2:$CE$83,MATCH("대추농축액",'🔖 배합비 참조'!$A$2:$A$83,0),MATCH($C89,'🔖 배합비 참조'!$B$1:$CE$1,0))/100,0),""))),"")</f>
        <v>0</v>
      </c>
      <c r="AH89" s="39" t="n">
        <f aca="false">IFERROR(IF($C89="","",IF($D89="","",IFERROR(ROUND($D89*INDEX('🔖 배합비 참조'!$B$2:$CE$83,MATCH("대추채(국내산)",'🔖 배합비 참조'!$A$2:$A$83,0),MATCH($C89,'🔖 배합비 참조'!$B$1:$CE$1,0))/100,0),""))),"")</f>
        <v>0</v>
      </c>
      <c r="AI89" s="39" t="n">
        <f aca="false">IFERROR(IF($C89="","",IF($D89="","",IFERROR(ROUND($D89*INDEX('🔖 배합비 참조'!$B$2:$CE$83,MATCH("동부(미얀마산)",'🔖 배합비 참조'!$A$2:$A$83,0),MATCH($C89,'🔖 배합비 참조'!$B$1:$CE$1,0))/100,0),""))),"")</f>
        <v>0</v>
      </c>
      <c r="AJ89" s="39" t="n">
        <f aca="false">IFERROR(IF($C89="","",IF($D89="","",IFERROR(ROUND($D89*INDEX('🔖 배합비 참조'!$B$2:$CE$83,MATCH("두류가공품(백옥앙금)",'🔖 배합비 참조'!$A$2:$A$83,0),MATCH($C89,'🔖 배합비 참조'!$B$1:$CE$1,0))/100,0),""))),"")</f>
        <v>0</v>
      </c>
      <c r="AK89" s="39" t="n">
        <f aca="false">IFERROR(IF($C89="","",IF($D89="","",IFERROR(ROUND($D89*INDEX('🔖 배합비 참조'!$B$2:$CE$83,MATCH("두류가공품(콩고물)",'🔖 배합비 참조'!$A$2:$A$83,0),MATCH($C89,'🔖 배합비 참조'!$B$1:$CE$1,0))/100,0),""))),"")</f>
        <v>0</v>
      </c>
      <c r="AL89" s="39" t="n">
        <f aca="false">IFERROR(IF($C89="","",IF($D89="","",IFERROR(ROUND($D89*INDEX('🔖 배합비 참조'!$B$2:$CE$83,MATCH("두류가공품(통팥고물)",'🔖 배합비 참조'!$A$2:$A$83,0),MATCH($C89,'🔖 배합비 참조'!$B$1:$CE$1,0))/100,0),""))),"")</f>
        <v>0</v>
      </c>
      <c r="AM89" s="39" t="n">
        <f aca="false">IFERROR(IF($C89="","",IF($D89="","",IFERROR(ROUND($D89*INDEX('🔖 배합비 참조'!$B$2:$CE$83,MATCH("딸기레진",'🔖 배합비 참조'!$A$2:$A$83,0),MATCH($C89,'🔖 배합비 참조'!$B$1:$CE$1,0))/100,0),""))),"")</f>
        <v>0</v>
      </c>
      <c r="AN89" s="39" t="n">
        <f aca="false">IFERROR(IF($C89="","",IF($D89="","",IFERROR(ROUND($D89*INDEX('🔖 배합비 참조'!$B$2:$CE$83,MATCH("딸기분말(스트로우베리에이드(분말))",'🔖 배합비 참조'!$A$2:$A$83,0),MATCH($C89,'🔖 배합비 참조'!$B$1:$CE$1,0))/100,0),""))),"")</f>
        <v>0</v>
      </c>
      <c r="AO89" s="39" t="n">
        <f aca="false">IFERROR(IF($C89="","",IF($D89="","",IFERROR(ROUND($D89*INDEX('🔖 배합비 참조'!$B$2:$CE$83,MATCH("마스카포네치즈",'🔖 배합비 참조'!$A$2:$A$83,0),MATCH($C89,'🔖 배합비 참조'!$B$1:$CE$1,0))/100,0),""))),"")</f>
        <v>0</v>
      </c>
      <c r="AP89" s="39" t="n">
        <f aca="false">IFERROR(IF($C89="","",IF($D89="","",IFERROR(ROUND($D89*INDEX('🔖 배합비 참조'!$B$2:$CE$83,MATCH("마카다미아분태(호주산)",'🔖 배합비 참조'!$A$2:$A$83,0),MATCH($C89,'🔖 배합비 참조'!$B$1:$CE$1,0))/100,0),""))),"")</f>
        <v>0</v>
      </c>
      <c r="AQ89" s="39" t="n">
        <f aca="false">IFERROR(IF($C89="","",IF($D89="","",IFERROR(ROUND($D89*INDEX('🔖 배합비 참조'!$B$2:$CE$83,MATCH("멥쌀(국내산)",'🔖 배합비 참조'!$A$2:$A$83,0),MATCH($C89,'🔖 배합비 참조'!$B$1:$CE$1,0))/100,0),""))),"")</f>
        <v>54</v>
      </c>
      <c r="AR89" s="39" t="n">
        <f aca="false">IFERROR(IF($C89="","",IF($D89="","",IFERROR(ROUND($D89*INDEX('🔖 배합비 참조'!$B$2:$CE$83,MATCH("모시잎(국내산)",'🔖 배합비 참조'!$A$2:$A$83,0),MATCH($C89,'🔖 배합비 참조'!$B$1:$CE$1,0))/100,0),""))),"")</f>
        <v>0</v>
      </c>
      <c r="AS89" s="39" t="n">
        <f aca="false">IFERROR(IF($C89="","",IF($D89="","",IFERROR(ROUND($D89*INDEX('🔖 배합비 참조'!$B$2:$CE$83,MATCH("물엿(저당물엿)",'🔖 배합비 참조'!$A$2:$A$83,0),MATCH($C89,'🔖 배합비 참조'!$B$1:$CE$1,0))/100,0),""))),"")</f>
        <v>0</v>
      </c>
      <c r="AT89" s="39" t="n">
        <f aca="false">IFERROR(IF($C89="","",IF($D89="","",IFERROR(ROUND($D89*INDEX('🔖 배합비 참조'!$B$2:$CE$83,MATCH("밤다이스",'🔖 배합비 참조'!$A$2:$A$83,0),MATCH($C89,'🔖 배합비 참조'!$B$1:$CE$1,0))/100,0),""))),"")</f>
        <v>0</v>
      </c>
      <c r="AU89" s="39" t="n">
        <f aca="false">IFERROR(IF($C89="","",IF($D89="","",IFERROR(ROUND($D89*INDEX('🔖 배합비 참조'!$B$2:$CE$83,MATCH("변성전분(타피오카전분)",'🔖 배합비 참조'!$A$2:$A$83,0),MATCH($C89,'🔖 배합비 참조'!$B$1:$CE$1,0))/100,0),""))),"")</f>
        <v>0</v>
      </c>
      <c r="AV89" s="39" t="n">
        <f aca="false">IFERROR(IF($C89="","",IF($D89="","",IFERROR(ROUND($D89*INDEX('🔖 배합비 참조'!$B$2:$CE$83,MATCH("복음땅콩분태",'🔖 배합비 참조'!$A$2:$A$83,0),MATCH($C89,'🔖 배합비 참조'!$B$1:$CE$1,0))/100,0),""))),"")</f>
        <v>0</v>
      </c>
      <c r="AW89" s="39" t="n">
        <f aca="false">IFERROR(IF($C89="","",IF($D89="","",IFERROR(ROUND($D89*INDEX('🔖 배합비 참조'!$B$2:$CE$83,MATCH("사양벌꿀(국내산)",'🔖 배합비 참조'!$A$2:$A$83,0),MATCH($C89,'🔖 배합비 참조'!$B$1:$CE$1,0))/100,0),""))),"")</f>
        <v>2</v>
      </c>
      <c r="AX89" s="39" t="n">
        <f aca="false">IFERROR(IF($C89="","",IF($D89="","",IFERROR(ROUND($D89*INDEX('🔖 배합비 참조'!$B$2:$CE$83,MATCH("생크림",'🔖 배합비 참조'!$A$2:$A$83,0),MATCH($C89,'🔖 배합비 참조'!$B$1:$CE$1,0))/100,0),""))),"")</f>
        <v>0</v>
      </c>
      <c r="AY89" s="39" t="n">
        <f aca="false">IFERROR(IF($C89="","",IF($D89="","",IFERROR(ROUND($D89*INDEX('🔖 배합비 참조'!$B$2:$CE$83,MATCH("서양호박(국내산,뉴질랜드산)",'🔖 배합비 참조'!$A$2:$A$83,0),MATCH($C89,'🔖 배합비 참조'!$B$1:$CE$1,0))/100,0),""))),"")</f>
        <v>0</v>
      </c>
      <c r="AZ89" s="39" t="n">
        <f aca="false">IFERROR(IF($C89="","",IF($D89="","",IFERROR(ROUND($D89*INDEX('🔖 배합비 참조'!$B$2:$CE$83,MATCH("설탕",'🔖 배합비 참조'!$A$2:$A$83,0),MATCH($C89,'🔖 배합비 참조'!$B$1:$CE$1,0))/100,0),""))),"")</f>
        <v>7</v>
      </c>
      <c r="BA89" s="39" t="n">
        <f aca="false">IFERROR(IF($C89="","",IF($D89="","",IFERROR(ROUND($D89*INDEX('🔖 배합비 참조'!$B$2:$CE$83,MATCH("스트로우베리 에이드 후레쉬",'🔖 배합비 참조'!$A$2:$A$83,0),MATCH($C89,'🔖 배합비 참조'!$B$1:$CE$1,0))/100,0),""))),"")</f>
        <v>0</v>
      </c>
      <c r="BB89" s="39" t="n">
        <f aca="false">IFERROR(IF($C89="","",IF($D89="","",IFERROR(ROUND($D89*INDEX('🔖 배합비 참조'!$B$2:$CE$83,MATCH("식물성기름혼합제제(분홍)",'🔖 배합비 참조'!$A$2:$A$83,0),MATCH($C89,'🔖 배합비 참조'!$B$1:$CE$1,0))/100,0),""))),"")</f>
        <v>0</v>
      </c>
      <c r="BC89" s="39" t="n">
        <f aca="false">IFERROR(IF($C89="","",IF($D89="","",IFERROR(ROUND($D89*INDEX('🔖 배합비 참조'!$B$2:$CE$83,MATCH("식물성기름혼합제제(초록)",'🔖 배합비 참조'!$A$2:$A$83,0),MATCH($C89,'🔖 배합비 참조'!$B$1:$CE$1,0))/100,0),""))),"")</f>
        <v>0</v>
      </c>
      <c r="BD89" s="39" t="n">
        <f aca="false">IFERROR(IF($C89="","",IF($D89="","",IFERROR(ROUND($D89*INDEX('🔖 배합비 참조'!$B$2:$CE$83,MATCH("식물성기름혼합제제(황색)",'🔖 배합비 참조'!$A$2:$A$83,0),MATCH($C89,'🔖 배합비 참조'!$B$1:$CE$1,0))/100,0),""))),"")</f>
        <v>0</v>
      </c>
      <c r="BE89" s="39" t="n">
        <f aca="false">IFERROR(IF($C89="","",IF($D89="","",IFERROR(ROUND($D89*INDEX('🔖 배합비 참조'!$B$2:$CE$83,MATCH("쑥가루(국내산)",'🔖 배합비 참조'!$A$2:$A$83,0),MATCH($C89,'🔖 배합비 참조'!$B$1:$CE$1,0))/100,0),""))),"")</f>
        <v>0</v>
      </c>
      <c r="BF89" s="39" t="n">
        <f aca="false">IFERROR(IF($C89="","",IF($D89="","",IFERROR(ROUND($D89*INDEX('🔖 배합비 참조'!$B$2:$CE$83,MATCH("아몬드슬라이스",'🔖 배합비 참조'!$A$2:$A$83,0),MATCH($C89,'🔖 배합비 참조'!$B$1:$CE$1,0))/100,0),""))),"")</f>
        <v>0</v>
      </c>
      <c r="BG89" s="39" t="n">
        <f aca="false">IFERROR(IF($C89="","",IF($D89="","",IFERROR(ROUND($D89*INDEX('🔖 배합비 참조'!$B$2:$CE$83,MATCH("알룰로오스(국내산)",'🔖 배합비 참조'!$A$2:$A$83,0),MATCH($C89,'🔖 배합비 참조'!$B$1:$CE$1,0))/100,0),""))),"")</f>
        <v>0</v>
      </c>
      <c r="BH89" s="39" t="n">
        <f aca="false">IFERROR(IF($C89="","",IF($D89="","",IFERROR(ROUND($D89*INDEX('🔖 배합비 참조'!$B$2:$CE$83,MATCH("연유",'🔖 배합비 참조'!$A$2:$A$83,0),MATCH($C89,'🔖 배합비 참조'!$B$1:$CE$1,0))/100,0),""))),"")</f>
        <v>0</v>
      </c>
      <c r="BI89" s="39" t="n">
        <f aca="false">IFERROR(IF($C89="","",IF($D89="","",IFERROR(ROUND($D89*INDEX('🔖 배합비 참조'!$B$2:$CE$83,MATCH("옥수수전분",'🔖 배합비 참조'!$A$2:$A$83,0),MATCH($C89,'🔖 배합비 참조'!$B$1:$CE$1,0))/100,0),""))),"")</f>
        <v>0</v>
      </c>
      <c r="BJ89" s="39" t="n">
        <f aca="false">IFERROR(IF($C89="","",IF($D89="","",IFERROR(ROUND($D89*INDEX('🔖 배합비 참조'!$B$2:$CE$83,MATCH("완두배기",'🔖 배합비 참조'!$A$2:$A$83,0),MATCH($C89,'🔖 배합비 참조'!$B$1:$CE$1,0))/100,0),""))),"")</f>
        <v>0</v>
      </c>
      <c r="BK89" s="39" t="n">
        <f aca="false">IFERROR(IF($C89="","",IF($D89="","",IFERROR(ROUND($D89*INDEX('🔖 배합비 참조'!$B$2:$CE$83,MATCH("우유(국내산)",'🔖 배합비 참조'!$A$2:$A$83,0),MATCH($C89,'🔖 배합비 참조'!$B$1:$CE$1,0))/100,0),""))),"")</f>
        <v>0</v>
      </c>
      <c r="BL89" s="39" t="n">
        <f aca="false">IFERROR(IF($C89="","",IF($D89="","",IFERROR(ROUND($D89*INDEX('🔖 배합비 참조'!$B$2:$CE$83,MATCH("자색고구마가루(중국산)",'🔖 배합비 참조'!$A$2:$A$83,0),MATCH($C89,'🔖 배합비 참조'!$B$1:$CE$1,0))/100,0),""))),"")</f>
        <v>0</v>
      </c>
      <c r="BM89" s="39" t="n">
        <f aca="false">IFERROR(IF($C89="","",IF($D89="","",IFERROR(ROUND($D89*INDEX('🔖 배합비 참조'!$B$2:$CE$83,MATCH("자연치즈(체다치즈)",'🔖 배합비 참조'!$A$2:$A$83,0),MATCH($C89,'🔖 배합비 참조'!$B$1:$CE$1,0))/100,0),""))),"")</f>
        <v>0</v>
      </c>
      <c r="BN89" s="39" t="n">
        <f aca="false">IFERROR(IF($C89="","",IF($D89="","",IFERROR(ROUND($D89*INDEX('🔖 배합비 참조'!$B$2:$CE$83,MATCH("정제수",'🔖 배합비 참조'!$A$2:$A$83,0),MATCH($C89,'🔖 배합비 참조'!$B$1:$CE$1,0))/100,0),""))),"")</f>
        <v>10</v>
      </c>
      <c r="BO89" s="39" t="n">
        <f aca="false">IFERROR(IF($C89="","",IF($D89="","",IFERROR(ROUND($D89*INDEX('🔖 배합비 참조'!$B$2:$CE$83,MATCH("젤라틴",'🔖 배합비 참조'!$A$2:$A$83,0),MATCH($C89,'🔖 배합비 참조'!$B$1:$CE$1,0))/100,0),""))),"")</f>
        <v>0</v>
      </c>
      <c r="BP89" s="39" t="n">
        <f aca="false">IFERROR(IF($C89="","",IF($D89="","",IFERROR(ROUND($D89*INDEX('🔖 배합비 참조'!$B$2:$CE$83,MATCH("조림류(백옥앙금)",'🔖 배합비 참조'!$A$2:$A$83,0),MATCH($C89,'🔖 배합비 참조'!$B$1:$CE$1,0))/100,0),""))),"")</f>
        <v>0</v>
      </c>
      <c r="BQ89" s="39" t="n">
        <f aca="false">IFERROR(IF($C89="","",IF($D89="","",IFERROR(ROUND($D89*INDEX('🔖 배합비 참조'!$B$2:$CE$83,MATCH("조림류(통팥앙금)",'🔖 배합비 참조'!$A$2:$A$83,0),MATCH($C89,'🔖 배합비 참조'!$B$1:$CE$1,0))/100,0),""))),"")</f>
        <v>0</v>
      </c>
      <c r="BR89" s="39" t="n">
        <f aca="false">IFERROR(IF($C89="","",IF($D89="","",IFERROR(ROUND($D89*INDEX('🔖 배합비 참조'!$B$2:$CE$83,MATCH("준초콜릿(외국산)",'🔖 배합비 참조'!$A$2:$A$83,0),MATCH($C89,'🔖 배합비 참조'!$B$1:$CE$1,0))/100,0),""))),"")</f>
        <v>0</v>
      </c>
      <c r="BS89" s="39" t="n">
        <f aca="false">IFERROR(IF($C89="","",IF($D89="","",IFERROR(ROUND($D89*INDEX('🔖 배합비 참조'!$B$2:$CE$83,MATCH("중력분",'🔖 배합비 참조'!$A$2:$A$83,0),MATCH($C89,'🔖 배합비 참조'!$B$1:$CE$1,0))/100,0),""))),"")</f>
        <v>0</v>
      </c>
      <c r="BT89" s="39" t="n">
        <f aca="false">IFERROR(IF($C89="","",IF($D89="","",IFERROR(ROUND($D89*INDEX('🔖 배합비 참조'!$B$2:$CE$83,MATCH("참깨(인도산,나이지리아산,탄자니아산,미얀마산)",'🔖 배합비 참조'!$A$2:$A$83,0),MATCH($C89,'🔖 배합비 참조'!$B$1:$CE$1,0))/100,0),""))),"")</f>
        <v>0</v>
      </c>
      <c r="BU89" s="39" t="n">
        <f aca="false">IFERROR(IF($C89="","",IF($D89="","",IFERROR(ROUND($D89*INDEX('🔖 배합비 참조'!$B$2:$CE$83,MATCH("찹쌀(국내산)",'🔖 배합비 참조'!$A$2:$A$83,0),MATCH($C89,'🔖 배합비 참조'!$B$1:$CE$1,0))/100,0),""))),"")</f>
        <v>0</v>
      </c>
      <c r="BV89" s="39" t="n">
        <f aca="false">IFERROR(IF($C89="","",IF($D89="","",IFERROR(ROUND($D89*INDEX('🔖 배합비 참조'!$B$2:$CE$83,MATCH("천일염",'🔖 배합비 참조'!$A$2:$A$83,0),MATCH($C89,'🔖 배합비 참조'!$B$1:$CE$1,0))/100,0),""))),"")</f>
        <v>1</v>
      </c>
      <c r="BW89" s="39" t="n">
        <f aca="false">IFERROR(IF($C89="","",IF($D89="","",IFERROR(ROUND($D89*INDEX('🔖 배합비 참조'!$B$2:$CE$83,MATCH("치즈 [크림치즈]",'🔖 배합비 참조'!$A$2:$A$83,0),MATCH($C89,'🔖 배합비 참조'!$B$1:$CE$1,0))/100,0),""))),"")</f>
        <v>0</v>
      </c>
      <c r="BX89" s="39" t="n">
        <f aca="false">IFERROR(IF($C89="","",IF($D89="","",IFERROR(ROUND($D89*INDEX('🔖 배합비 참조'!$B$2:$CE$83,MATCH("코코아가공품류(코코아분말)",'🔖 배합비 참조'!$A$2:$A$83,0),MATCH($C89,'🔖 배합비 참조'!$B$1:$CE$1,0))/100,0),""))),"")</f>
        <v>0</v>
      </c>
      <c r="BY89" s="39" t="n">
        <f aca="false">IFERROR(IF($C89="","",IF($D89="","",IFERROR(ROUND($D89*INDEX('🔖 배합비 참조'!$B$2:$CE$83,MATCH("콩기름(대두유)",'🔖 배합비 참조'!$A$2:$A$83,0),MATCH($C89,'🔖 배합비 참조'!$B$1:$CE$1,0))/100,0),""))),"")</f>
        <v>0</v>
      </c>
      <c r="BZ89" s="39" t="n">
        <f aca="false">IFERROR(IF($C89="","",IF($D89="","",IFERROR(ROUND($D89*INDEX('🔖 배합비 참조'!$B$2:$CE$83,MATCH("해바라기씨앗",'🔖 배합비 참조'!$A$2:$A$83,0),MATCH($C89,'🔖 배합비 참조'!$B$1:$CE$1,0))/100,0),""))),"")</f>
        <v>0</v>
      </c>
      <c r="CA89" s="39" t="n">
        <f aca="false">IFERROR(IF($C89="","",IF($D89="","",IFERROR(ROUND($D89*INDEX('🔖 배합비 참조'!$B$2:$CE$83,MATCH("현미(국내산)",'🔖 배합비 참조'!$A$2:$A$83,0),MATCH($C89,'🔖 배합비 참조'!$B$1:$CE$1,0))/100,0),""))),"")</f>
        <v>0</v>
      </c>
      <c r="CB89" s="39" t="n">
        <f aca="false">IFERROR(IF($C89="","",IF($D89="","",IFERROR(ROUND($D89*INDEX('🔖 배합비 참조'!$B$2:$CE$83,MATCH("현미멥쌀(국내산)",'🔖 배합비 참조'!$A$2:$A$83,0),MATCH($C89,'🔖 배합비 참조'!$B$1:$CE$1,0))/100,0),""))),"")</f>
        <v>0</v>
      </c>
      <c r="CC89" s="39" t="n">
        <f aca="false">IFERROR(IF($C89="","",IF($D89="","",IFERROR(ROUND($D89*INDEX('🔖 배합비 참조'!$B$2:$CE$83,MATCH("호두분태(미국산)",'🔖 배합비 참조'!$A$2:$A$83,0),MATCH($C89,'🔖 배합비 참조'!$B$1:$CE$1,0))/100,0),""))),"")</f>
        <v>0</v>
      </c>
      <c r="CD89" s="39" t="n">
        <f aca="false">IFERROR(IF($C89="","",IF($D89="","",IFERROR(ROUND($D89*INDEX('🔖 배합비 참조'!$B$2:$CE$83,MATCH("호박씨앗(외국산)",'🔖 배합비 참조'!$A$2:$A$83,0),MATCH($C89,'🔖 배합비 참조'!$B$1:$CE$1,0))/100,0),""))),"")</f>
        <v>0</v>
      </c>
      <c r="CE89" s="39" t="n">
        <f aca="false">IFERROR(IF($C89="","",IF($D89="","",IFERROR(ROUND($D89*INDEX('🔖 배합비 참조'!$B$2:$CE$83,MATCH("혼합제제(떡용에스텔)",'🔖 배합비 참조'!$A$2:$A$83,0),MATCH($C89,'🔖 배합비 참조'!$B$1:$CE$1,0))/100,0),""))),"")</f>
        <v>0</v>
      </c>
      <c r="CF89" s="39" t="n">
        <f aca="false">IFERROR(IF($C89="","",IF($D89="","",IFERROR(ROUND($D89*INDEX('🔖 배합비 참조'!$B$2:$CE$83,MATCH("혼합제제(스테비아)",'🔖 배합비 참조'!$A$2:$A$83,0),MATCH($C89,'🔖 배합비 참조'!$B$1:$CE$1,0))/100,0),""))),"")</f>
        <v>0</v>
      </c>
      <c r="CG89" s="39" t="n">
        <f aca="false">IFERROR(IF($C89="","",IF($D89="","",IFERROR(ROUND($D89*INDEX('🔖 배합비 참조'!$B$2:$CE$83,MATCH("화이트초콜릿",'🔖 배합비 참조'!$A$2:$A$83,0),MATCH($C89,'🔖 배합비 참조'!$B$1:$CE$1,0))/100,0),""))),"")</f>
        <v>0</v>
      </c>
      <c r="CH89" s="39" t="n">
        <f aca="false">IFERROR(IF($C89="","",IF($D89="","",IFERROR(ROUND($D89*INDEX('🔖 배합비 참조'!$B$2:$CE$83,MATCH("흑미찹쌀(국내산)",'🔖 배합비 참조'!$A$2:$A$83,0),MATCH($C89,'🔖 배합비 참조'!$B$1:$CE$1,0))/100,0),""))),"")</f>
        <v>0</v>
      </c>
      <c r="CI89" s="39" t="n">
        <f aca="false">IFERROR(IF($C89="","",IF($D89="","",IFERROR(ROUND($D89*INDEX('🔖 배합비 참조'!$B$2:$CE$83,MATCH("찰옥수수전분(미국산)",'🔖 배합비 참조'!$A$2:$A$83,0),MATCH($C89,'🔖 배합비 참조'!$B$1:$CE$1,0))/100,0),""))),"")</f>
        <v>0</v>
      </c>
      <c r="CJ89" s="40"/>
      <c r="CL89" s="1" t="s">
        <v>238</v>
      </c>
    </row>
    <row r="90" customFormat="false" ht="18" hidden="false" customHeight="true" outlineLevel="0" collapsed="false">
      <c r="A90" s="41" t="n">
        <v>86</v>
      </c>
      <c r="B90" s="36" t="n">
        <v>45987</v>
      </c>
      <c r="C90" s="37" t="s">
        <v>183</v>
      </c>
      <c r="D90" s="38" t="n">
        <v>140</v>
      </c>
      <c r="E90" s="17"/>
      <c r="F90" s="17"/>
      <c r="G90" s="42" t="n">
        <f aca="false">IFERROR(IF($C90="","",IF($D90="","",IFERROR(ROUND($D90*INDEX('🔖 배합비 참조'!$B$2:$CE$83,MATCH("간장",'🔖 배합비 참조'!$A$2:$A$83,0),MATCH($C90,'🔖 배합비 참조'!$B$1:$CE$1,0))/100,0),""))),"")</f>
        <v>0</v>
      </c>
      <c r="H90" s="42" t="n">
        <f aca="false">IFERROR(IF($C90="","",IF($D90="","",IFERROR(ROUND($D90*INDEX('🔖 배합비 참조'!$B$2:$CE$83,MATCH("강낭콩((울타리콩))",'🔖 배합비 참조'!$A$2:$A$83,0),MATCH($C90,'🔖 배합비 참조'!$B$1:$CE$1,0))/100,0),""))),"")</f>
        <v>0</v>
      </c>
      <c r="I90" s="42" t="n">
        <f aca="false">IFERROR(IF($C90="","",IF($D90="","",IFERROR(ROUND($D90*INDEX('🔖 배합비 참조'!$B$2:$CE$83,MATCH("건조딸기다이스(외국산)",'🔖 배합비 참조'!$A$2:$A$83,0),MATCH($C90,'🔖 배합비 참조'!$B$1:$CE$1,0))/100,0),""))),"")</f>
        <v>0</v>
      </c>
      <c r="J90" s="42" t="n">
        <f aca="false">IFERROR(IF($C90="","",IF($D90="","",IFERROR(ROUND($D90*INDEX('🔖 배합비 참조'!$B$2:$CE$83,MATCH("건포도",'🔖 배합비 참조'!$A$2:$A$83,0),MATCH($C90,'🔖 배합비 참조'!$B$1:$CE$1,0))/100,0),""))),"")</f>
        <v>0</v>
      </c>
      <c r="K90" s="42" t="n">
        <f aca="false">IFERROR(IF($C90="","",IF($D90="","",IFERROR(ROUND($D90*INDEX('🔖 배합비 참조'!$B$2:$CE$83,MATCH("건호박채(중국산)",'🔖 배합비 참조'!$A$2:$A$83,0),MATCH($C90,'🔖 배합비 참조'!$B$1:$CE$1,0))/100,0),""))),"")</f>
        <v>0</v>
      </c>
      <c r="L90" s="42" t="n">
        <f aca="false">IFERROR(IF($C90="","",IF($D90="","",IFERROR(ROUND($D90*INDEX('🔖 배합비 참조'!$B$2:$CE$83,MATCH("검정깨(흑임자)",'🔖 배합비 참조'!$A$2:$A$83,0),MATCH($C90,'🔖 배합비 참조'!$B$1:$CE$1,0))/100,0),""))),"")</f>
        <v>0</v>
      </c>
      <c r="M90" s="42" t="n">
        <f aca="false">IFERROR(IF($C90="","",IF($D90="","",IFERROR(ROUND($D90*INDEX('🔖 배합비 참조'!$B$2:$CE$83,MATCH("검정콩",'🔖 배합비 참조'!$A$2:$A$83,0),MATCH($C90,'🔖 배합비 참조'!$B$1:$CE$1,0))/100,0),""))),"")</f>
        <v>0</v>
      </c>
      <c r="N90" s="42" t="n">
        <f aca="false">IFERROR(IF($C90="","",IF($D90="","",IFERROR(ROUND($D90*INDEX('🔖 배합비 참조'!$B$2:$CE$83,MATCH("계피가루",'🔖 배합비 참조'!$A$2:$A$83,0),MATCH($C90,'🔖 배합비 참조'!$B$1:$CE$1,0))/100,0),""))),"")</f>
        <v>0</v>
      </c>
      <c r="O90" s="42" t="n">
        <f aca="false">IFERROR(IF($C90="","",IF($D90="","",IFERROR(ROUND($D90*INDEX('🔖 배합비 참조'!$B$2:$CE$83,MATCH("고구마가루",'🔖 배합비 참조'!$A$2:$A$83,0),MATCH($C90,'🔖 배합비 참조'!$B$1:$CE$1,0))/100,0),""))),"")</f>
        <v>0</v>
      </c>
      <c r="P90" s="42" t="n">
        <f aca="false">IFERROR(IF($C90="","",IF($D90="","",IFERROR(ROUND($D90*INDEX('🔖 배합비 참조'!$B$2:$CE$83,MATCH("고구마무스",'🔖 배합비 참조'!$A$2:$A$83,0),MATCH($C90,'🔖 배합비 참조'!$B$1:$CE$1,0))/100,0),""))),"")</f>
        <v>0</v>
      </c>
      <c r="Q90" s="42" t="n">
        <f aca="false">IFERROR(IF($C90="","",IF($D90="","",IFERROR(ROUND($D90*INDEX('🔖 배합비 참조'!$B$2:$CE$83,MATCH("고려엉겅퀴((곤드레)국내산)",'🔖 배합비 참조'!$A$2:$A$83,0),MATCH($C90,'🔖 배합비 참조'!$B$1:$CE$1,0))/100,0),""))),"")</f>
        <v>0</v>
      </c>
      <c r="R90" s="42" t="n">
        <f aca="false">IFERROR(IF($C90="","",IF($D90="","",IFERROR(ROUND($D90*INDEX('🔖 배합비 참조'!$B$2:$CE$83,MATCH("기타가공품(복분자가루)",'🔖 배합비 참조'!$A$2:$A$83,0),MATCH($C90,'🔖 배합비 참조'!$B$1:$CE$1,0))/100,0),""))),"")</f>
        <v>0</v>
      </c>
      <c r="S90" s="42" t="n">
        <f aca="false">IFERROR(IF($C90="","",IF($D90="","",IFERROR(ROUND($D90*INDEX('🔖 배합비 참조'!$B$2:$CE$83,MATCH("기타가공품(슈퍼소프트엠)",'🔖 배합비 참조'!$A$2:$A$83,0),MATCH($C90,'🔖 배합비 참조'!$B$1:$CE$1,0))/100,0),""))),"")</f>
        <v>0</v>
      </c>
      <c r="T90" s="42" t="n">
        <f aca="false">IFERROR(IF($C90="","",IF($D90="","",IFERROR(ROUND($D90*INDEX('🔖 배합비 참조'!$B$2:$CE$83,MATCH("기타가공품(파인소프트 E-티)",'🔖 배합비 참조'!$A$2:$A$83,0),MATCH($C90,'🔖 배합비 참조'!$B$1:$CE$1,0))/100,0),""))),"")</f>
        <v>0</v>
      </c>
      <c r="U90" s="42" t="n">
        <f aca="false">IFERROR(IF($C90="","",IF($D90="","",IFERROR(ROUND($D90*INDEX('🔖 배합비 참조'!$B$2:$CE$83,MATCH("기타가공품(프리미엄카스테라가루)",'🔖 배합비 참조'!$A$2:$A$83,0),MATCH($C90,'🔖 배합비 참조'!$B$1:$CE$1,0))/100,0),""))),"")</f>
        <v>0</v>
      </c>
      <c r="V90" s="42" t="n">
        <f aca="false">IFERROR(IF($C90="","",IF($D90="","",IFERROR(ROUND($D90*INDEX('🔖 배합비 참조'!$B$2:$CE$83,MATCH("기타가공품(흑임자가루)",'🔖 배합비 참조'!$A$2:$A$83,0),MATCH($C90,'🔖 배합비 참조'!$B$1:$CE$1,0))/100,0),""))),"")</f>
        <v>0</v>
      </c>
      <c r="W90" s="42" t="n">
        <f aca="false">IFERROR(IF($C90="","",IF($D90="","",IFERROR(ROUND($D90*INDEX('🔖 배합비 참조'!$B$2:$CE$83,MATCH("기타설탕(흑설탕)",'🔖 배합비 참조'!$A$2:$A$83,0),MATCH($C90,'🔖 배합비 참조'!$B$1:$CE$1,0))/100,0),""))),"")</f>
        <v>0</v>
      </c>
      <c r="X90" s="42" t="n">
        <f aca="false">IFERROR(IF($C90="","",IF($D90="","",IFERROR(ROUND($D90*INDEX('🔖 배합비 참조'!$B$2:$CE$83,MATCH("냉동쑥(국내산)",'🔖 배합비 참조'!$A$2:$A$83,0),MATCH($C90,'🔖 배합비 참조'!$B$1:$CE$1,0))/100,0),""))),"")</f>
        <v>0</v>
      </c>
      <c r="Y90" s="42" t="n">
        <f aca="false">IFERROR(IF($C90="","",IF($D90="","",IFERROR(ROUND($D90*INDEX('🔖 배합비 참조'!$B$2:$CE$83,MATCH("냉동증숙고구마(중국산)",'🔖 배합비 참조'!$A$2:$A$83,0),MATCH($C90,'🔖 배합비 참조'!$B$1:$CE$1,0))/100,0),""))),"")</f>
        <v>0</v>
      </c>
      <c r="Z90" s="42" t="n">
        <f aca="false">IFERROR(IF($C90="","",IF($D90="","",IFERROR(ROUND($D90*INDEX('🔖 배합비 참조'!$B$2:$CE$83,MATCH("녹차가루",'🔖 배합비 참조'!$A$2:$A$83,0),MATCH($C90,'🔖 배합비 참조'!$B$1:$CE$1,0))/100,0),""))),"")</f>
        <v>0</v>
      </c>
      <c r="AA90" s="42" t="n">
        <f aca="false">IFERROR(IF($C90="","",IF($D90="","",IFERROR(ROUND($D90*INDEX('🔖 배합비 참조'!$B$2:$CE$83,MATCH("다크초콜릿 컴파운드칩",'🔖 배합비 참조'!$A$2:$A$83,0),MATCH($C90,'🔖 배합비 참조'!$B$1:$CE$1,0))/100,0),""))),"")</f>
        <v>0</v>
      </c>
      <c r="AB90" s="42" t="n">
        <f aca="false">IFERROR(IF($C90="","",IF($D90="","",IFERROR(ROUND($D90*INDEX('🔖 배합비 참조'!$B$2:$CE$83,MATCH("단호박분말(중국산)",'🔖 배합비 참조'!$A$2:$A$83,0),MATCH($C90,'🔖 배합비 참조'!$B$1:$CE$1,0))/100,0),""))),"")</f>
        <v>0</v>
      </c>
      <c r="AC90" s="42" t="n">
        <f aca="false">IFERROR(IF($C90="","",IF($D90="","",IFERROR(ROUND($D90*INDEX('🔖 배합비 참조'!$B$2:$CE$83,MATCH("당류가공품(단호박농축액)",'🔖 배합비 참조'!$A$2:$A$83,0),MATCH($C90,'🔖 배합비 참조'!$B$1:$CE$1,0))/100,0),""))),"")</f>
        <v>0</v>
      </c>
      <c r="AD90" s="42" t="n">
        <f aca="false">IFERROR(IF($C90="","",IF($D90="","",IFERROR(ROUND($D90*INDEX('🔖 배합비 참조'!$B$2:$CE$83,MATCH("당류가공품(알룰로스,에리스리톨,스테비올배당체혼합)",'🔖 배합비 참조'!$A$2:$A$83,0),MATCH($C90,'🔖 배합비 참조'!$B$1:$CE$1,0))/100,0),""))),"")</f>
        <v>0</v>
      </c>
      <c r="AE90" s="42" t="n">
        <f aca="false">IFERROR(IF($C90="","",IF($D90="","",IFERROR(ROUND($D90*INDEX('🔖 배합비 참조'!$B$2:$CE$83,MATCH("당류가공품(알룰로스제로파우더)",'🔖 배합비 참조'!$A$2:$A$83,0),MATCH($C90,'🔖 배합비 참조'!$B$1:$CE$1,0))/100,0),""))),"")</f>
        <v>0</v>
      </c>
      <c r="AF90" s="42" t="n">
        <f aca="false">IFERROR(IF($C90="","",IF($D90="","",IFERROR(ROUND($D90*INDEX('🔖 배합비 참조'!$B$2:$CE$83,MATCH("당절임(완두배기)",'🔖 배합비 참조'!$A$2:$A$83,0),MATCH($C90,'🔖 배합비 참조'!$B$1:$CE$1,0))/100,0),""))),"")</f>
        <v>0</v>
      </c>
      <c r="AG90" s="42" t="n">
        <f aca="false">IFERROR(IF($C90="","",IF($D90="","",IFERROR(ROUND($D90*INDEX('🔖 배합비 참조'!$B$2:$CE$83,MATCH("대추농축액",'🔖 배합비 참조'!$A$2:$A$83,0),MATCH($C90,'🔖 배합비 참조'!$B$1:$CE$1,0))/100,0),""))),"")</f>
        <v>0</v>
      </c>
      <c r="AH90" s="42" t="n">
        <f aca="false">IFERROR(IF($C90="","",IF($D90="","",IFERROR(ROUND($D90*INDEX('🔖 배합비 참조'!$B$2:$CE$83,MATCH("대추채(국내산)",'🔖 배합비 참조'!$A$2:$A$83,0),MATCH($C90,'🔖 배합비 참조'!$B$1:$CE$1,0))/100,0),""))),"")</f>
        <v>0</v>
      </c>
      <c r="AI90" s="42" t="n">
        <f aca="false">IFERROR(IF($C90="","",IF($D90="","",IFERROR(ROUND($D90*INDEX('🔖 배합비 참조'!$B$2:$CE$83,MATCH("동부(미얀마산)",'🔖 배합비 참조'!$A$2:$A$83,0),MATCH($C90,'🔖 배합비 참조'!$B$1:$CE$1,0))/100,0),""))),"")</f>
        <v>0</v>
      </c>
      <c r="AJ90" s="42" t="n">
        <f aca="false">IFERROR(IF($C90="","",IF($D90="","",IFERROR(ROUND($D90*INDEX('🔖 배합비 참조'!$B$2:$CE$83,MATCH("두류가공품(백옥앙금)",'🔖 배합비 참조'!$A$2:$A$83,0),MATCH($C90,'🔖 배합비 참조'!$B$1:$CE$1,0))/100,0),""))),"")</f>
        <v>0</v>
      </c>
      <c r="AK90" s="42" t="n">
        <f aca="false">IFERROR(IF($C90="","",IF($D90="","",IFERROR(ROUND($D90*INDEX('🔖 배합비 참조'!$B$2:$CE$83,MATCH("두류가공품(콩고물)",'🔖 배합비 참조'!$A$2:$A$83,0),MATCH($C90,'🔖 배합비 참조'!$B$1:$CE$1,0))/100,0),""))),"")</f>
        <v>0</v>
      </c>
      <c r="AL90" s="42" t="n">
        <f aca="false">IFERROR(IF($C90="","",IF($D90="","",IFERROR(ROUND($D90*INDEX('🔖 배합비 참조'!$B$2:$CE$83,MATCH("두류가공품(통팥고물)",'🔖 배합비 참조'!$A$2:$A$83,0),MATCH($C90,'🔖 배합비 참조'!$B$1:$CE$1,0))/100,0),""))),"")</f>
        <v>0</v>
      </c>
      <c r="AM90" s="42" t="n">
        <f aca="false">IFERROR(IF($C90="","",IF($D90="","",IFERROR(ROUND($D90*INDEX('🔖 배합비 참조'!$B$2:$CE$83,MATCH("딸기레진",'🔖 배합비 참조'!$A$2:$A$83,0),MATCH($C90,'🔖 배합비 참조'!$B$1:$CE$1,0))/100,0),""))),"")</f>
        <v>0</v>
      </c>
      <c r="AN90" s="42" t="n">
        <f aca="false">IFERROR(IF($C90="","",IF($D90="","",IFERROR(ROUND($D90*INDEX('🔖 배합비 참조'!$B$2:$CE$83,MATCH("딸기분말(스트로우베리에이드(분말))",'🔖 배합비 참조'!$A$2:$A$83,0),MATCH($C90,'🔖 배합비 참조'!$B$1:$CE$1,0))/100,0),""))),"")</f>
        <v>0</v>
      </c>
      <c r="AO90" s="42" t="n">
        <f aca="false">IFERROR(IF($C90="","",IF($D90="","",IFERROR(ROUND($D90*INDEX('🔖 배합비 참조'!$B$2:$CE$83,MATCH("마스카포네치즈",'🔖 배합비 참조'!$A$2:$A$83,0),MATCH($C90,'🔖 배합비 참조'!$B$1:$CE$1,0))/100,0),""))),"")</f>
        <v>0</v>
      </c>
      <c r="AP90" s="42" t="n">
        <f aca="false">IFERROR(IF($C90="","",IF($D90="","",IFERROR(ROUND($D90*INDEX('🔖 배합비 참조'!$B$2:$CE$83,MATCH("마카다미아분태(호주산)",'🔖 배합비 참조'!$A$2:$A$83,0),MATCH($C90,'🔖 배합비 참조'!$B$1:$CE$1,0))/100,0),""))),"")</f>
        <v>0</v>
      </c>
      <c r="AQ90" s="42" t="n">
        <f aca="false">IFERROR(IF($C90="","",IF($D90="","",IFERROR(ROUND($D90*INDEX('🔖 배합비 참조'!$B$2:$CE$83,MATCH("멥쌀(국내산)",'🔖 배합비 참조'!$A$2:$A$83,0),MATCH($C90,'🔖 배합비 참조'!$B$1:$CE$1,0))/100,0),""))),"")</f>
        <v>0</v>
      </c>
      <c r="AR90" s="42" t="n">
        <f aca="false">IFERROR(IF($C90="","",IF($D90="","",IFERROR(ROUND($D90*INDEX('🔖 배합비 참조'!$B$2:$CE$83,MATCH("모시잎(국내산)",'🔖 배합비 참조'!$A$2:$A$83,0),MATCH($C90,'🔖 배합비 참조'!$B$1:$CE$1,0))/100,0),""))),"")</f>
        <v>0</v>
      </c>
      <c r="AS90" s="42" t="n">
        <f aca="false">IFERROR(IF($C90="","",IF($D90="","",IFERROR(ROUND($D90*INDEX('🔖 배합비 참조'!$B$2:$CE$83,MATCH("물엿(저당물엿)",'🔖 배합비 참조'!$A$2:$A$83,0),MATCH($C90,'🔖 배합비 참조'!$B$1:$CE$1,0))/100,0),""))),"")</f>
        <v>3</v>
      </c>
      <c r="AT90" s="42" t="n">
        <f aca="false">IFERROR(IF($C90="","",IF($D90="","",IFERROR(ROUND($D90*INDEX('🔖 배합비 참조'!$B$2:$CE$83,MATCH("밤다이스",'🔖 배합비 참조'!$A$2:$A$83,0),MATCH($C90,'🔖 배합비 참조'!$B$1:$CE$1,0))/100,0),""))),"")</f>
        <v>0</v>
      </c>
      <c r="AU90" s="42" t="n">
        <f aca="false">IFERROR(IF($C90="","",IF($D90="","",IFERROR(ROUND($D90*INDEX('🔖 배합비 참조'!$B$2:$CE$83,MATCH("변성전분(타피오카전분)",'🔖 배합비 참조'!$A$2:$A$83,0),MATCH($C90,'🔖 배합비 참조'!$B$1:$CE$1,0))/100,0),""))),"")</f>
        <v>0</v>
      </c>
      <c r="AV90" s="42" t="n">
        <f aca="false">IFERROR(IF($C90="","",IF($D90="","",IFERROR(ROUND($D90*INDEX('🔖 배합비 참조'!$B$2:$CE$83,MATCH("복음땅콩분태",'🔖 배합비 참조'!$A$2:$A$83,0),MATCH($C90,'🔖 배합비 참조'!$B$1:$CE$1,0))/100,0),""))),"")</f>
        <v>0</v>
      </c>
      <c r="AW90" s="42" t="n">
        <f aca="false">IFERROR(IF($C90="","",IF($D90="","",IFERROR(ROUND($D90*INDEX('🔖 배합비 참조'!$B$2:$CE$83,MATCH("사양벌꿀(국내산)",'🔖 배합비 참조'!$A$2:$A$83,0),MATCH($C90,'🔖 배합비 참조'!$B$1:$CE$1,0))/100,0),""))),"")</f>
        <v>0</v>
      </c>
      <c r="AX90" s="42" t="n">
        <f aca="false">IFERROR(IF($C90="","",IF($D90="","",IFERROR(ROUND($D90*INDEX('🔖 배합비 참조'!$B$2:$CE$83,MATCH("생크림",'🔖 배합비 참조'!$A$2:$A$83,0),MATCH($C90,'🔖 배합비 참조'!$B$1:$CE$1,0))/100,0),""))),"")</f>
        <v>0</v>
      </c>
      <c r="AY90" s="42" t="n">
        <f aca="false">IFERROR(IF($C90="","",IF($D90="","",IFERROR(ROUND($D90*INDEX('🔖 배합비 참조'!$B$2:$CE$83,MATCH("서양호박(국내산,뉴질랜드산)",'🔖 배합비 참조'!$A$2:$A$83,0),MATCH($C90,'🔖 배합비 참조'!$B$1:$CE$1,0))/100,0),""))),"")</f>
        <v>0</v>
      </c>
      <c r="AZ90" s="42" t="n">
        <f aca="false">IFERROR(IF($C90="","",IF($D90="","",IFERROR(ROUND($D90*INDEX('🔖 배합비 참조'!$B$2:$CE$83,MATCH("설탕",'🔖 배합비 참조'!$A$2:$A$83,0),MATCH($C90,'🔖 배합비 참조'!$B$1:$CE$1,0))/100,0),""))),"")</f>
        <v>3</v>
      </c>
      <c r="BA90" s="42" t="n">
        <f aca="false">IFERROR(IF($C90="","",IF($D90="","",IFERROR(ROUND($D90*INDEX('🔖 배합비 참조'!$B$2:$CE$83,MATCH("스트로우베리 에이드 후레쉬",'🔖 배합비 참조'!$A$2:$A$83,0),MATCH($C90,'🔖 배합비 참조'!$B$1:$CE$1,0))/100,0),""))),"")</f>
        <v>0</v>
      </c>
      <c r="BB90" s="42" t="n">
        <f aca="false">IFERROR(IF($C90="","",IF($D90="","",IFERROR(ROUND($D90*INDEX('🔖 배합비 참조'!$B$2:$CE$83,MATCH("식물성기름혼합제제(분홍)",'🔖 배합비 참조'!$A$2:$A$83,0),MATCH($C90,'🔖 배합비 참조'!$B$1:$CE$1,0))/100,0),""))),"")</f>
        <v>0</v>
      </c>
      <c r="BC90" s="42" t="n">
        <f aca="false">IFERROR(IF($C90="","",IF($D90="","",IFERROR(ROUND($D90*INDEX('🔖 배합비 참조'!$B$2:$CE$83,MATCH("식물성기름혼합제제(초록)",'🔖 배합비 참조'!$A$2:$A$83,0),MATCH($C90,'🔖 배합비 참조'!$B$1:$CE$1,0))/100,0),""))),"")</f>
        <v>0</v>
      </c>
      <c r="BD90" s="42" t="n">
        <f aca="false">IFERROR(IF($C90="","",IF($D90="","",IFERROR(ROUND($D90*INDEX('🔖 배합비 참조'!$B$2:$CE$83,MATCH("식물성기름혼합제제(황색)",'🔖 배합비 참조'!$A$2:$A$83,0),MATCH($C90,'🔖 배합비 참조'!$B$1:$CE$1,0))/100,0),""))),"")</f>
        <v>0</v>
      </c>
      <c r="BE90" s="42" t="n">
        <f aca="false">IFERROR(IF($C90="","",IF($D90="","",IFERROR(ROUND($D90*INDEX('🔖 배합비 참조'!$B$2:$CE$83,MATCH("쑥가루(국내산)",'🔖 배합비 참조'!$A$2:$A$83,0),MATCH($C90,'🔖 배합비 참조'!$B$1:$CE$1,0))/100,0),""))),"")</f>
        <v>0</v>
      </c>
      <c r="BF90" s="42" t="n">
        <f aca="false">IFERROR(IF($C90="","",IF($D90="","",IFERROR(ROUND($D90*INDEX('🔖 배합비 참조'!$B$2:$CE$83,MATCH("아몬드슬라이스",'🔖 배합비 참조'!$A$2:$A$83,0),MATCH($C90,'🔖 배합비 참조'!$B$1:$CE$1,0))/100,0),""))),"")</f>
        <v>0</v>
      </c>
      <c r="BG90" s="42" t="n">
        <f aca="false">IFERROR(IF($C90="","",IF($D90="","",IFERROR(ROUND($D90*INDEX('🔖 배합비 참조'!$B$2:$CE$83,MATCH("알룰로오스(국내산)",'🔖 배합비 참조'!$A$2:$A$83,0),MATCH($C90,'🔖 배합비 참조'!$B$1:$CE$1,0))/100,0),""))),"")</f>
        <v>0</v>
      </c>
      <c r="BH90" s="42" t="n">
        <f aca="false">IFERROR(IF($C90="","",IF($D90="","",IFERROR(ROUND($D90*INDEX('🔖 배합비 참조'!$B$2:$CE$83,MATCH("연유",'🔖 배합비 참조'!$A$2:$A$83,0),MATCH($C90,'🔖 배합비 참조'!$B$1:$CE$1,0))/100,0),""))),"")</f>
        <v>0</v>
      </c>
      <c r="BI90" s="42" t="n">
        <f aca="false">IFERROR(IF($C90="","",IF($D90="","",IFERROR(ROUND($D90*INDEX('🔖 배합비 참조'!$B$2:$CE$83,MATCH("옥수수전분",'🔖 배합비 참조'!$A$2:$A$83,0),MATCH($C90,'🔖 배합비 참조'!$B$1:$CE$1,0))/100,0),""))),"")</f>
        <v>2</v>
      </c>
      <c r="BJ90" s="42" t="n">
        <f aca="false">IFERROR(IF($C90="","",IF($D90="","",IFERROR(ROUND($D90*INDEX('🔖 배합비 참조'!$B$2:$CE$83,MATCH("완두배기",'🔖 배합비 참조'!$A$2:$A$83,0),MATCH($C90,'🔖 배합비 참조'!$B$1:$CE$1,0))/100,0),""))),"")</f>
        <v>0</v>
      </c>
      <c r="BK90" s="42" t="n">
        <f aca="false">IFERROR(IF($C90="","",IF($D90="","",IFERROR(ROUND($D90*INDEX('🔖 배합비 참조'!$B$2:$CE$83,MATCH("우유(국내산)",'🔖 배합비 참조'!$A$2:$A$83,0),MATCH($C90,'🔖 배합비 참조'!$B$1:$CE$1,0))/100,0),""))),"")</f>
        <v>0</v>
      </c>
      <c r="BL90" s="42" t="n">
        <f aca="false">IFERROR(IF($C90="","",IF($D90="","",IFERROR(ROUND($D90*INDEX('🔖 배합비 참조'!$B$2:$CE$83,MATCH("자색고구마가루(중국산)",'🔖 배합비 참조'!$A$2:$A$83,0),MATCH($C90,'🔖 배합비 참조'!$B$1:$CE$1,0))/100,0),""))),"")</f>
        <v>0</v>
      </c>
      <c r="BM90" s="42" t="n">
        <f aca="false">IFERROR(IF($C90="","",IF($D90="","",IFERROR(ROUND($D90*INDEX('🔖 배합비 참조'!$B$2:$CE$83,MATCH("자연치즈(체다치즈)",'🔖 배합비 참조'!$A$2:$A$83,0),MATCH($C90,'🔖 배합비 참조'!$B$1:$CE$1,0))/100,0),""))),"")</f>
        <v>0</v>
      </c>
      <c r="BN90" s="42" t="n">
        <f aca="false">IFERROR(IF($C90="","",IF($D90="","",IFERROR(ROUND($D90*INDEX('🔖 배합비 참조'!$B$2:$CE$83,MATCH("정제수",'🔖 배합비 참조'!$A$2:$A$83,0),MATCH($C90,'🔖 배합비 참조'!$B$1:$CE$1,0))/100,0),""))),"")</f>
        <v>0</v>
      </c>
      <c r="BO90" s="42" t="n">
        <f aca="false">IFERROR(IF($C90="","",IF($D90="","",IFERROR(ROUND($D90*INDEX('🔖 배합비 참조'!$B$2:$CE$83,MATCH("젤라틴",'🔖 배합비 참조'!$A$2:$A$83,0),MATCH($C90,'🔖 배합비 참조'!$B$1:$CE$1,0))/100,0),""))),"")</f>
        <v>0</v>
      </c>
      <c r="BP90" s="42" t="n">
        <f aca="false">IFERROR(IF($C90="","",IF($D90="","",IFERROR(ROUND($D90*INDEX('🔖 배합비 참조'!$B$2:$CE$83,MATCH("조림류(백옥앙금)",'🔖 배합비 참조'!$A$2:$A$83,0),MATCH($C90,'🔖 배합비 참조'!$B$1:$CE$1,0))/100,0),""))),"")</f>
        <v>0</v>
      </c>
      <c r="BQ90" s="42" t="n">
        <f aca="false">IFERROR(IF($C90="","",IF($D90="","",IFERROR(ROUND($D90*INDEX('🔖 배합비 참조'!$B$2:$CE$83,MATCH("조림류(통팥앙금)",'🔖 배합비 참조'!$A$2:$A$83,0),MATCH($C90,'🔖 배합비 참조'!$B$1:$CE$1,0))/100,0),""))),"")</f>
        <v>63</v>
      </c>
      <c r="BR90" s="42" t="n">
        <f aca="false">IFERROR(IF($C90="","",IF($D90="","",IFERROR(ROUND($D90*INDEX('🔖 배합비 참조'!$B$2:$CE$83,MATCH("준초콜릿(외국산)",'🔖 배합비 참조'!$A$2:$A$83,0),MATCH($C90,'🔖 배합비 참조'!$B$1:$CE$1,0))/100,0),""))),"")</f>
        <v>0</v>
      </c>
      <c r="BS90" s="42" t="n">
        <f aca="false">IFERROR(IF($C90="","",IF($D90="","",IFERROR(ROUND($D90*INDEX('🔖 배합비 참조'!$B$2:$CE$83,MATCH("중력분",'🔖 배합비 참조'!$A$2:$A$83,0),MATCH($C90,'🔖 배합비 참조'!$B$1:$CE$1,0))/100,0),""))),"")</f>
        <v>0</v>
      </c>
      <c r="BT90" s="42" t="n">
        <f aca="false">IFERROR(IF($C90="","",IF($D90="","",IFERROR(ROUND($D90*INDEX('🔖 배합비 참조'!$B$2:$CE$83,MATCH("참깨(인도산,나이지리아산,탄자니아산,미얀마산)",'🔖 배합비 참조'!$A$2:$A$83,0),MATCH($C90,'🔖 배합비 참조'!$B$1:$CE$1,0))/100,0),""))),"")</f>
        <v>0</v>
      </c>
      <c r="BU90" s="42" t="n">
        <f aca="false">IFERROR(IF($C90="","",IF($D90="","",IFERROR(ROUND($D90*INDEX('🔖 배합비 참조'!$B$2:$CE$83,MATCH("찹쌀(국내산)",'🔖 배합비 참조'!$A$2:$A$83,0),MATCH($C90,'🔖 배합비 참조'!$B$1:$CE$1,0))/100,0),""))),"")</f>
        <v>67</v>
      </c>
      <c r="BV90" s="42" t="n">
        <f aca="false">IFERROR(IF($C90="","",IF($D90="","",IFERROR(ROUND($D90*INDEX('🔖 배합비 참조'!$B$2:$CE$83,MATCH("천일염",'🔖 배합비 참조'!$A$2:$A$83,0),MATCH($C90,'🔖 배합비 참조'!$B$1:$CE$1,0))/100,0),""))),"")</f>
        <v>1</v>
      </c>
      <c r="BW90" s="42" t="n">
        <f aca="false">IFERROR(IF($C90="","",IF($D90="","",IFERROR(ROUND($D90*INDEX('🔖 배합비 참조'!$B$2:$CE$83,MATCH("치즈 [크림치즈]",'🔖 배합비 참조'!$A$2:$A$83,0),MATCH($C90,'🔖 배합비 참조'!$B$1:$CE$1,0))/100,0),""))),"")</f>
        <v>0</v>
      </c>
      <c r="BX90" s="42" t="n">
        <f aca="false">IFERROR(IF($C90="","",IF($D90="","",IFERROR(ROUND($D90*INDEX('🔖 배합비 참조'!$B$2:$CE$83,MATCH("코코아가공품류(코코아분말)",'🔖 배합비 참조'!$A$2:$A$83,0),MATCH($C90,'🔖 배합비 참조'!$B$1:$CE$1,0))/100,0),""))),"")</f>
        <v>0</v>
      </c>
      <c r="BY90" s="42" t="n">
        <f aca="false">IFERROR(IF($C90="","",IF($D90="","",IFERROR(ROUND($D90*INDEX('🔖 배합비 참조'!$B$2:$CE$83,MATCH("콩기름(대두유)",'🔖 배합비 참조'!$A$2:$A$83,0),MATCH($C90,'🔖 배합비 참조'!$B$1:$CE$1,0))/100,0),""))),"")</f>
        <v>0</v>
      </c>
      <c r="BZ90" s="42" t="n">
        <f aca="false">IFERROR(IF($C90="","",IF($D90="","",IFERROR(ROUND($D90*INDEX('🔖 배합비 참조'!$B$2:$CE$83,MATCH("해바라기씨앗",'🔖 배합비 참조'!$A$2:$A$83,0),MATCH($C90,'🔖 배합비 참조'!$B$1:$CE$1,0))/100,0),""))),"")</f>
        <v>0</v>
      </c>
      <c r="CA90" s="42" t="n">
        <f aca="false">IFERROR(IF($C90="","",IF($D90="","",IFERROR(ROUND($D90*INDEX('🔖 배합비 참조'!$B$2:$CE$83,MATCH("현미(국내산)",'🔖 배합비 참조'!$A$2:$A$83,0),MATCH($C90,'🔖 배합비 참조'!$B$1:$CE$1,0))/100,0),""))),"")</f>
        <v>0</v>
      </c>
      <c r="CB90" s="42" t="n">
        <f aca="false">IFERROR(IF($C90="","",IF($D90="","",IFERROR(ROUND($D90*INDEX('🔖 배합비 참조'!$B$2:$CE$83,MATCH("현미멥쌀(국내산)",'🔖 배합비 참조'!$A$2:$A$83,0),MATCH($C90,'🔖 배합비 참조'!$B$1:$CE$1,0))/100,0),""))),"")</f>
        <v>0</v>
      </c>
      <c r="CC90" s="42" t="n">
        <f aca="false">IFERROR(IF($C90="","",IF($D90="","",IFERROR(ROUND($D90*INDEX('🔖 배합비 참조'!$B$2:$CE$83,MATCH("호두분태(미국산)",'🔖 배합비 참조'!$A$2:$A$83,0),MATCH($C90,'🔖 배합비 참조'!$B$1:$CE$1,0))/100,0),""))),"")</f>
        <v>0</v>
      </c>
      <c r="CD90" s="42" t="n">
        <f aca="false">IFERROR(IF($C90="","",IF($D90="","",IFERROR(ROUND($D90*INDEX('🔖 배합비 참조'!$B$2:$CE$83,MATCH("호박씨앗(외국산)",'🔖 배합비 참조'!$A$2:$A$83,0),MATCH($C90,'🔖 배합비 참조'!$B$1:$CE$1,0))/100,0),""))),"")</f>
        <v>0</v>
      </c>
      <c r="CE90" s="42" t="n">
        <f aca="false">IFERROR(IF($C90="","",IF($D90="","",IFERROR(ROUND($D90*INDEX('🔖 배합비 참조'!$B$2:$CE$83,MATCH("혼합제제(떡용에스텔)",'🔖 배합비 참조'!$A$2:$A$83,0),MATCH($C90,'🔖 배합비 참조'!$B$1:$CE$1,0))/100,0),""))),"")</f>
        <v>1</v>
      </c>
      <c r="CF90" s="42" t="n">
        <f aca="false">IFERROR(IF($C90="","",IF($D90="","",IFERROR(ROUND($D90*INDEX('🔖 배합비 참조'!$B$2:$CE$83,MATCH("혼합제제(스테비아)",'🔖 배합비 참조'!$A$2:$A$83,0),MATCH($C90,'🔖 배합비 참조'!$B$1:$CE$1,0))/100,0),""))),"")</f>
        <v>0</v>
      </c>
      <c r="CG90" s="42" t="n">
        <f aca="false">IFERROR(IF($C90="","",IF($D90="","",IFERROR(ROUND($D90*INDEX('🔖 배합비 참조'!$B$2:$CE$83,MATCH("화이트초콜릿",'🔖 배합비 참조'!$A$2:$A$83,0),MATCH($C90,'🔖 배합비 참조'!$B$1:$CE$1,0))/100,0),""))),"")</f>
        <v>0</v>
      </c>
      <c r="CH90" s="42" t="n">
        <f aca="false">IFERROR(IF($C90="","",IF($D90="","",IFERROR(ROUND($D90*INDEX('🔖 배합비 참조'!$B$2:$CE$83,MATCH("흑미찹쌀(국내산)",'🔖 배합비 참조'!$A$2:$A$83,0),MATCH($C90,'🔖 배합비 참조'!$B$1:$CE$1,0))/100,0),""))),"")</f>
        <v>0</v>
      </c>
      <c r="CI90" s="42" t="n">
        <f aca="false">IFERROR(IF($C90="","",IF($D90="","",IFERROR(ROUND($D90*INDEX('🔖 배합비 참조'!$B$2:$CE$83,MATCH("찰옥수수전분(미국산)",'🔖 배합비 참조'!$A$2:$A$83,0),MATCH($C90,'🔖 배합비 참조'!$B$1:$CE$1,0))/100,0),""))),"")</f>
        <v>0</v>
      </c>
      <c r="CJ90" s="40"/>
      <c r="CL90" s="1" t="s">
        <v>238</v>
      </c>
    </row>
    <row r="91" customFormat="false" ht="18" hidden="false" customHeight="true" outlineLevel="0" collapsed="false">
      <c r="A91" s="35" t="n">
        <v>87</v>
      </c>
      <c r="B91" s="36" t="n">
        <v>45987</v>
      </c>
      <c r="C91" s="37" t="s">
        <v>184</v>
      </c>
      <c r="D91" s="38" t="n">
        <v>75</v>
      </c>
      <c r="E91" s="13"/>
      <c r="F91" s="13"/>
      <c r="G91" s="39" t="n">
        <f aca="false">IFERROR(IF($C91="","",IF($D91="","",IFERROR(ROUND($D91*INDEX('🔖 배합비 참조'!$B$2:$CE$83,MATCH("간장",'🔖 배합비 참조'!$A$2:$A$83,0),MATCH($C91,'🔖 배합비 참조'!$B$1:$CE$1,0))/100,0),""))),"")</f>
        <v>0</v>
      </c>
      <c r="H91" s="39" t="n">
        <f aca="false">IFERROR(IF($C91="","",IF($D91="","",IFERROR(ROUND($D91*INDEX('🔖 배합비 참조'!$B$2:$CE$83,MATCH("강낭콩((울타리콩))",'🔖 배합비 참조'!$A$2:$A$83,0),MATCH($C91,'🔖 배합비 참조'!$B$1:$CE$1,0))/100,0),""))),"")</f>
        <v>0</v>
      </c>
      <c r="I91" s="39" t="n">
        <f aca="false">IFERROR(IF($C91="","",IF($D91="","",IFERROR(ROUND($D91*INDEX('🔖 배합비 참조'!$B$2:$CE$83,MATCH("건조딸기다이스(외국산)",'🔖 배합비 참조'!$A$2:$A$83,0),MATCH($C91,'🔖 배합비 참조'!$B$1:$CE$1,0))/100,0),""))),"")</f>
        <v>0</v>
      </c>
      <c r="J91" s="39" t="n">
        <f aca="false">IFERROR(IF($C91="","",IF($D91="","",IFERROR(ROUND($D91*INDEX('🔖 배합비 참조'!$B$2:$CE$83,MATCH("건포도",'🔖 배합비 참조'!$A$2:$A$83,0),MATCH($C91,'🔖 배합비 참조'!$B$1:$CE$1,0))/100,0),""))),"")</f>
        <v>0</v>
      </c>
      <c r="K91" s="39" t="n">
        <f aca="false">IFERROR(IF($C91="","",IF($D91="","",IFERROR(ROUND($D91*INDEX('🔖 배합비 참조'!$B$2:$CE$83,MATCH("건호박채(중국산)",'🔖 배합비 참조'!$A$2:$A$83,0),MATCH($C91,'🔖 배합비 참조'!$B$1:$CE$1,0))/100,0),""))),"")</f>
        <v>0</v>
      </c>
      <c r="L91" s="39" t="n">
        <f aca="false">IFERROR(IF($C91="","",IF($D91="","",IFERROR(ROUND($D91*INDEX('🔖 배합비 참조'!$B$2:$CE$83,MATCH("검정깨(흑임자)",'🔖 배합비 참조'!$A$2:$A$83,0),MATCH($C91,'🔖 배합비 참조'!$B$1:$CE$1,0))/100,0),""))),"")</f>
        <v>0</v>
      </c>
      <c r="M91" s="39" t="n">
        <f aca="false">IFERROR(IF($C91="","",IF($D91="","",IFERROR(ROUND($D91*INDEX('🔖 배합비 참조'!$B$2:$CE$83,MATCH("검정콩",'🔖 배합비 참조'!$A$2:$A$83,0),MATCH($C91,'🔖 배합비 참조'!$B$1:$CE$1,0))/100,0),""))),"")</f>
        <v>0</v>
      </c>
      <c r="N91" s="39" t="n">
        <f aca="false">IFERROR(IF($C91="","",IF($D91="","",IFERROR(ROUND($D91*INDEX('🔖 배합비 참조'!$B$2:$CE$83,MATCH("계피가루",'🔖 배합비 참조'!$A$2:$A$83,0),MATCH($C91,'🔖 배합비 참조'!$B$1:$CE$1,0))/100,0),""))),"")</f>
        <v>0</v>
      </c>
      <c r="O91" s="39" t="n">
        <f aca="false">IFERROR(IF($C91="","",IF($D91="","",IFERROR(ROUND($D91*INDEX('🔖 배합비 참조'!$B$2:$CE$83,MATCH("고구마가루",'🔖 배합비 참조'!$A$2:$A$83,0),MATCH($C91,'🔖 배합비 참조'!$B$1:$CE$1,0))/100,0),""))),"")</f>
        <v>0</v>
      </c>
      <c r="P91" s="39" t="n">
        <f aca="false">IFERROR(IF($C91="","",IF($D91="","",IFERROR(ROUND($D91*INDEX('🔖 배합비 참조'!$B$2:$CE$83,MATCH("고구마무스",'🔖 배합비 참조'!$A$2:$A$83,0),MATCH($C91,'🔖 배합비 참조'!$B$1:$CE$1,0))/100,0),""))),"")</f>
        <v>0</v>
      </c>
      <c r="Q91" s="39" t="n">
        <f aca="false">IFERROR(IF($C91="","",IF($D91="","",IFERROR(ROUND($D91*INDEX('🔖 배합비 참조'!$B$2:$CE$83,MATCH("고려엉겅퀴((곤드레)국내산)",'🔖 배합비 참조'!$A$2:$A$83,0),MATCH($C91,'🔖 배합비 참조'!$B$1:$CE$1,0))/100,0),""))),"")</f>
        <v>0</v>
      </c>
      <c r="R91" s="39" t="n">
        <f aca="false">IFERROR(IF($C91="","",IF($D91="","",IFERROR(ROUND($D91*INDEX('🔖 배합비 참조'!$B$2:$CE$83,MATCH("기타가공품(복분자가루)",'🔖 배합비 참조'!$A$2:$A$83,0),MATCH($C91,'🔖 배합비 참조'!$B$1:$CE$1,0))/100,0),""))),"")</f>
        <v>0</v>
      </c>
      <c r="S91" s="39" t="n">
        <f aca="false">IFERROR(IF($C91="","",IF($D91="","",IFERROR(ROUND($D91*INDEX('🔖 배합비 참조'!$B$2:$CE$83,MATCH("기타가공품(슈퍼소프트엠)",'🔖 배합비 참조'!$A$2:$A$83,0),MATCH($C91,'🔖 배합비 참조'!$B$1:$CE$1,0))/100,0),""))),"")</f>
        <v>0</v>
      </c>
      <c r="T91" s="39" t="n">
        <f aca="false">IFERROR(IF($C91="","",IF($D91="","",IFERROR(ROUND($D91*INDEX('🔖 배합비 참조'!$B$2:$CE$83,MATCH("기타가공품(파인소프트 E-티)",'🔖 배합비 참조'!$A$2:$A$83,0),MATCH($C91,'🔖 배합비 참조'!$B$1:$CE$1,0))/100,0),""))),"")</f>
        <v>0</v>
      </c>
      <c r="U91" s="39" t="n">
        <f aca="false">IFERROR(IF($C91="","",IF($D91="","",IFERROR(ROUND($D91*INDEX('🔖 배합비 참조'!$B$2:$CE$83,MATCH("기타가공품(프리미엄카스테라가루)",'🔖 배합비 참조'!$A$2:$A$83,0),MATCH($C91,'🔖 배합비 참조'!$B$1:$CE$1,0))/100,0),""))),"")</f>
        <v>0</v>
      </c>
      <c r="V91" s="39" t="n">
        <f aca="false">IFERROR(IF($C91="","",IF($D91="","",IFERROR(ROUND($D91*INDEX('🔖 배합비 참조'!$B$2:$CE$83,MATCH("기타가공품(흑임자가루)",'🔖 배합비 참조'!$A$2:$A$83,0),MATCH($C91,'🔖 배합비 참조'!$B$1:$CE$1,0))/100,0),""))),"")</f>
        <v>0</v>
      </c>
      <c r="W91" s="39" t="n">
        <f aca="false">IFERROR(IF($C91="","",IF($D91="","",IFERROR(ROUND($D91*INDEX('🔖 배합비 참조'!$B$2:$CE$83,MATCH("기타설탕(흑설탕)",'🔖 배합비 참조'!$A$2:$A$83,0),MATCH($C91,'🔖 배합비 참조'!$B$1:$CE$1,0))/100,0),""))),"")</f>
        <v>0</v>
      </c>
      <c r="X91" s="39" t="n">
        <f aca="false">IFERROR(IF($C91="","",IF($D91="","",IFERROR(ROUND($D91*INDEX('🔖 배합비 참조'!$B$2:$CE$83,MATCH("냉동쑥(국내산)",'🔖 배합비 참조'!$A$2:$A$83,0),MATCH($C91,'🔖 배합비 참조'!$B$1:$CE$1,0))/100,0),""))),"")</f>
        <v>0</v>
      </c>
      <c r="Y91" s="39" t="n">
        <f aca="false">IFERROR(IF($C91="","",IF($D91="","",IFERROR(ROUND($D91*INDEX('🔖 배합비 참조'!$B$2:$CE$83,MATCH("냉동증숙고구마(중국산)",'🔖 배합비 참조'!$A$2:$A$83,0),MATCH($C91,'🔖 배합비 참조'!$B$1:$CE$1,0))/100,0),""))),"")</f>
        <v>0</v>
      </c>
      <c r="Z91" s="39" t="n">
        <f aca="false">IFERROR(IF($C91="","",IF($D91="","",IFERROR(ROUND($D91*INDEX('🔖 배합비 참조'!$B$2:$CE$83,MATCH("녹차가루",'🔖 배합비 참조'!$A$2:$A$83,0),MATCH($C91,'🔖 배합비 참조'!$B$1:$CE$1,0))/100,0),""))),"")</f>
        <v>0</v>
      </c>
      <c r="AA91" s="39" t="n">
        <f aca="false">IFERROR(IF($C91="","",IF($D91="","",IFERROR(ROUND($D91*INDEX('🔖 배합비 참조'!$B$2:$CE$83,MATCH("다크초콜릿 컴파운드칩",'🔖 배합비 참조'!$A$2:$A$83,0),MATCH($C91,'🔖 배합비 참조'!$B$1:$CE$1,0))/100,0),""))),"")</f>
        <v>0</v>
      </c>
      <c r="AB91" s="39" t="n">
        <f aca="false">IFERROR(IF($C91="","",IF($D91="","",IFERROR(ROUND($D91*INDEX('🔖 배합비 참조'!$B$2:$CE$83,MATCH("단호박분말(중국산)",'🔖 배합비 참조'!$A$2:$A$83,0),MATCH($C91,'🔖 배합비 참조'!$B$1:$CE$1,0))/100,0),""))),"")</f>
        <v>0</v>
      </c>
      <c r="AC91" s="39" t="n">
        <f aca="false">IFERROR(IF($C91="","",IF($D91="","",IFERROR(ROUND($D91*INDEX('🔖 배합비 참조'!$B$2:$CE$83,MATCH("당류가공품(단호박농축액)",'🔖 배합비 참조'!$A$2:$A$83,0),MATCH($C91,'🔖 배합비 참조'!$B$1:$CE$1,0))/100,0),""))),"")</f>
        <v>0</v>
      </c>
      <c r="AD91" s="39" t="n">
        <f aca="false">IFERROR(IF($C91="","",IF($D91="","",IFERROR(ROUND($D91*INDEX('🔖 배합비 참조'!$B$2:$CE$83,MATCH("당류가공품(알룰로스,에리스리톨,스테비올배당체혼합)",'🔖 배합비 참조'!$A$2:$A$83,0),MATCH($C91,'🔖 배합비 참조'!$B$1:$CE$1,0))/100,0),""))),"")</f>
        <v>0</v>
      </c>
      <c r="AE91" s="39" t="n">
        <f aca="false">IFERROR(IF($C91="","",IF($D91="","",IFERROR(ROUND($D91*INDEX('🔖 배합비 참조'!$B$2:$CE$83,MATCH("당류가공품(알룰로스제로파우더)",'🔖 배합비 참조'!$A$2:$A$83,0),MATCH($C91,'🔖 배합비 참조'!$B$1:$CE$1,0))/100,0),""))),"")</f>
        <v>0</v>
      </c>
      <c r="AF91" s="39" t="n">
        <f aca="false">IFERROR(IF($C91="","",IF($D91="","",IFERROR(ROUND($D91*INDEX('🔖 배합비 참조'!$B$2:$CE$83,MATCH("당절임(완두배기)",'🔖 배합비 참조'!$A$2:$A$83,0),MATCH($C91,'🔖 배합비 참조'!$B$1:$CE$1,0))/100,0),""))),"")</f>
        <v>0</v>
      </c>
      <c r="AG91" s="39" t="n">
        <f aca="false">IFERROR(IF($C91="","",IF($D91="","",IFERROR(ROUND($D91*INDEX('🔖 배합비 참조'!$B$2:$CE$83,MATCH("대추농축액",'🔖 배합비 참조'!$A$2:$A$83,0),MATCH($C91,'🔖 배합비 참조'!$B$1:$CE$1,0))/100,0),""))),"")</f>
        <v>0</v>
      </c>
      <c r="AH91" s="39" t="n">
        <f aca="false">IFERROR(IF($C91="","",IF($D91="","",IFERROR(ROUND($D91*INDEX('🔖 배합비 참조'!$B$2:$CE$83,MATCH("대추채(국내산)",'🔖 배합비 참조'!$A$2:$A$83,0),MATCH($C91,'🔖 배합비 참조'!$B$1:$CE$1,0))/100,0),""))),"")</f>
        <v>0</v>
      </c>
      <c r="AI91" s="39" t="n">
        <f aca="false">IFERROR(IF($C91="","",IF($D91="","",IFERROR(ROUND($D91*INDEX('🔖 배합비 참조'!$B$2:$CE$83,MATCH("동부(미얀마산)",'🔖 배합비 참조'!$A$2:$A$83,0),MATCH($C91,'🔖 배합비 참조'!$B$1:$CE$1,0))/100,0),""))),"")</f>
        <v>0</v>
      </c>
      <c r="AJ91" s="39" t="n">
        <f aca="false">IFERROR(IF($C91="","",IF($D91="","",IFERROR(ROUND($D91*INDEX('🔖 배합비 참조'!$B$2:$CE$83,MATCH("두류가공품(백옥앙금)",'🔖 배합비 참조'!$A$2:$A$83,0),MATCH($C91,'🔖 배합비 참조'!$B$1:$CE$1,0))/100,0),""))),"")</f>
        <v>0</v>
      </c>
      <c r="AK91" s="39" t="n">
        <f aca="false">IFERROR(IF($C91="","",IF($D91="","",IFERROR(ROUND($D91*INDEX('🔖 배합비 참조'!$B$2:$CE$83,MATCH("두류가공품(콩고물)",'🔖 배합비 참조'!$A$2:$A$83,0),MATCH($C91,'🔖 배합비 참조'!$B$1:$CE$1,0))/100,0),""))),"")</f>
        <v>0</v>
      </c>
      <c r="AL91" s="39" t="n">
        <f aca="false">IFERROR(IF($C91="","",IF($D91="","",IFERROR(ROUND($D91*INDEX('🔖 배합비 참조'!$B$2:$CE$83,MATCH("두류가공품(통팥고물)",'🔖 배합비 참조'!$A$2:$A$83,0),MATCH($C91,'🔖 배합비 참조'!$B$1:$CE$1,0))/100,0),""))),"")</f>
        <v>0</v>
      </c>
      <c r="AM91" s="39" t="n">
        <f aca="false">IFERROR(IF($C91="","",IF($D91="","",IFERROR(ROUND($D91*INDEX('🔖 배합비 참조'!$B$2:$CE$83,MATCH("딸기레진",'🔖 배합비 참조'!$A$2:$A$83,0),MATCH($C91,'🔖 배합비 참조'!$B$1:$CE$1,0))/100,0),""))),"")</f>
        <v>0</v>
      </c>
      <c r="AN91" s="39" t="n">
        <f aca="false">IFERROR(IF($C91="","",IF($D91="","",IFERROR(ROUND($D91*INDEX('🔖 배합비 참조'!$B$2:$CE$83,MATCH("딸기분말(스트로우베리에이드(분말))",'🔖 배합비 참조'!$A$2:$A$83,0),MATCH($C91,'🔖 배합비 참조'!$B$1:$CE$1,0))/100,0),""))),"")</f>
        <v>0</v>
      </c>
      <c r="AO91" s="39" t="n">
        <f aca="false">IFERROR(IF($C91="","",IF($D91="","",IFERROR(ROUND($D91*INDEX('🔖 배합비 참조'!$B$2:$CE$83,MATCH("마스카포네치즈",'🔖 배합비 참조'!$A$2:$A$83,0),MATCH($C91,'🔖 배합비 참조'!$B$1:$CE$1,0))/100,0),""))),"")</f>
        <v>0</v>
      </c>
      <c r="AP91" s="39" t="n">
        <f aca="false">IFERROR(IF($C91="","",IF($D91="","",IFERROR(ROUND($D91*INDEX('🔖 배합비 참조'!$B$2:$CE$83,MATCH("마카다미아분태(호주산)",'🔖 배합비 참조'!$A$2:$A$83,0),MATCH($C91,'🔖 배합비 참조'!$B$1:$CE$1,0))/100,0),""))),"")</f>
        <v>0</v>
      </c>
      <c r="AQ91" s="39" t="n">
        <f aca="false">IFERROR(IF($C91="","",IF($D91="","",IFERROR(ROUND($D91*INDEX('🔖 배합비 참조'!$B$2:$CE$83,MATCH("멥쌀(국내산)",'🔖 배합비 참조'!$A$2:$A$83,0),MATCH($C91,'🔖 배합비 참조'!$B$1:$CE$1,0))/100,0),""))),"")</f>
        <v>52</v>
      </c>
      <c r="AR91" s="39" t="n">
        <f aca="false">IFERROR(IF($C91="","",IF($D91="","",IFERROR(ROUND($D91*INDEX('🔖 배합비 참조'!$B$2:$CE$83,MATCH("모시잎(국내산)",'🔖 배합비 참조'!$A$2:$A$83,0),MATCH($C91,'🔖 배합비 참조'!$B$1:$CE$1,0))/100,0),""))),"")</f>
        <v>0</v>
      </c>
      <c r="AS91" s="39" t="n">
        <f aca="false">IFERROR(IF($C91="","",IF($D91="","",IFERROR(ROUND($D91*INDEX('🔖 배합비 참조'!$B$2:$CE$83,MATCH("물엿(저당물엿)",'🔖 배합비 참조'!$A$2:$A$83,0),MATCH($C91,'🔖 배합비 참조'!$B$1:$CE$1,0))/100,0),""))),"")</f>
        <v>0</v>
      </c>
      <c r="AT91" s="39" t="n">
        <f aca="false">IFERROR(IF($C91="","",IF($D91="","",IFERROR(ROUND($D91*INDEX('🔖 배합비 참조'!$B$2:$CE$83,MATCH("밤다이스",'🔖 배합비 참조'!$A$2:$A$83,0),MATCH($C91,'🔖 배합비 참조'!$B$1:$CE$1,0))/100,0),""))),"")</f>
        <v>0</v>
      </c>
      <c r="AU91" s="39" t="n">
        <f aca="false">IFERROR(IF($C91="","",IF($D91="","",IFERROR(ROUND($D91*INDEX('🔖 배합비 참조'!$B$2:$CE$83,MATCH("변성전분(타피오카전분)",'🔖 배합비 참조'!$A$2:$A$83,0),MATCH($C91,'🔖 배합비 참조'!$B$1:$CE$1,0))/100,0),""))),"")</f>
        <v>0</v>
      </c>
      <c r="AV91" s="39" t="n">
        <f aca="false">IFERROR(IF($C91="","",IF($D91="","",IFERROR(ROUND($D91*INDEX('🔖 배합비 참조'!$B$2:$CE$83,MATCH("복음땅콩분태",'🔖 배합비 참조'!$A$2:$A$83,0),MATCH($C91,'🔖 배합비 참조'!$B$1:$CE$1,0))/100,0),""))),"")</f>
        <v>0</v>
      </c>
      <c r="AW91" s="39" t="n">
        <f aca="false">IFERROR(IF($C91="","",IF($D91="","",IFERROR(ROUND($D91*INDEX('🔖 배합비 참조'!$B$2:$CE$83,MATCH("사양벌꿀(국내산)",'🔖 배합비 참조'!$A$2:$A$83,0),MATCH($C91,'🔖 배합비 참조'!$B$1:$CE$1,0))/100,0),""))),"")</f>
        <v>0</v>
      </c>
      <c r="AX91" s="39" t="n">
        <f aca="false">IFERROR(IF($C91="","",IF($D91="","",IFERROR(ROUND($D91*INDEX('🔖 배합비 참조'!$B$2:$CE$83,MATCH("생크림",'🔖 배합비 참조'!$A$2:$A$83,0),MATCH($C91,'🔖 배합비 참조'!$B$1:$CE$1,0))/100,0),""))),"")</f>
        <v>0</v>
      </c>
      <c r="AY91" s="39" t="n">
        <f aca="false">IFERROR(IF($C91="","",IF($D91="","",IFERROR(ROUND($D91*INDEX('🔖 배합비 참조'!$B$2:$CE$83,MATCH("서양호박(국내산,뉴질랜드산)",'🔖 배합비 참조'!$A$2:$A$83,0),MATCH($C91,'🔖 배합비 참조'!$B$1:$CE$1,0))/100,0),""))),"")</f>
        <v>0</v>
      </c>
      <c r="AZ91" s="39" t="n">
        <f aca="false">IFERROR(IF($C91="","",IF($D91="","",IFERROR(ROUND($D91*INDEX('🔖 배합비 참조'!$B$2:$CE$83,MATCH("설탕",'🔖 배합비 참조'!$A$2:$A$83,0),MATCH($C91,'🔖 배합비 참조'!$B$1:$CE$1,0))/100,0),""))),"")</f>
        <v>8</v>
      </c>
      <c r="BA91" s="39" t="n">
        <f aca="false">IFERROR(IF($C91="","",IF($D91="","",IFERROR(ROUND($D91*INDEX('🔖 배합비 참조'!$B$2:$CE$83,MATCH("스트로우베리 에이드 후레쉬",'🔖 배합비 참조'!$A$2:$A$83,0),MATCH($C91,'🔖 배합비 참조'!$B$1:$CE$1,0))/100,0),""))),"")</f>
        <v>0</v>
      </c>
      <c r="BB91" s="39" t="n">
        <f aca="false">IFERROR(IF($C91="","",IF($D91="","",IFERROR(ROUND($D91*INDEX('🔖 배합비 참조'!$B$2:$CE$83,MATCH("식물성기름혼합제제(분홍)",'🔖 배합비 참조'!$A$2:$A$83,0),MATCH($C91,'🔖 배합비 참조'!$B$1:$CE$1,0))/100,0),""))),"")</f>
        <v>0</v>
      </c>
      <c r="BC91" s="39" t="n">
        <f aca="false">IFERROR(IF($C91="","",IF($D91="","",IFERROR(ROUND($D91*INDEX('🔖 배합비 참조'!$B$2:$CE$83,MATCH("식물성기름혼합제제(초록)",'🔖 배합비 참조'!$A$2:$A$83,0),MATCH($C91,'🔖 배합비 참조'!$B$1:$CE$1,0))/100,0),""))),"")</f>
        <v>0</v>
      </c>
      <c r="BD91" s="39" t="n">
        <f aca="false">IFERROR(IF($C91="","",IF($D91="","",IFERROR(ROUND($D91*INDEX('🔖 배합비 참조'!$B$2:$CE$83,MATCH("식물성기름혼합제제(황색)",'🔖 배합비 참조'!$A$2:$A$83,0),MATCH($C91,'🔖 배합비 참조'!$B$1:$CE$1,0))/100,0),""))),"")</f>
        <v>0</v>
      </c>
      <c r="BE91" s="39" t="n">
        <f aca="false">IFERROR(IF($C91="","",IF($D91="","",IFERROR(ROUND($D91*INDEX('🔖 배합비 참조'!$B$2:$CE$83,MATCH("쑥가루(국내산)",'🔖 배합비 참조'!$A$2:$A$83,0),MATCH($C91,'🔖 배합비 참조'!$B$1:$CE$1,0))/100,0),""))),"")</f>
        <v>0</v>
      </c>
      <c r="BF91" s="39" t="n">
        <f aca="false">IFERROR(IF($C91="","",IF($D91="","",IFERROR(ROUND($D91*INDEX('🔖 배합비 참조'!$B$2:$CE$83,MATCH("아몬드슬라이스",'🔖 배합비 참조'!$A$2:$A$83,0),MATCH($C91,'🔖 배합비 참조'!$B$1:$CE$1,0))/100,0),""))),"")</f>
        <v>0</v>
      </c>
      <c r="BG91" s="39" t="n">
        <f aca="false">IFERROR(IF($C91="","",IF($D91="","",IFERROR(ROUND($D91*INDEX('🔖 배합비 참조'!$B$2:$CE$83,MATCH("알룰로오스(국내산)",'🔖 배합비 참조'!$A$2:$A$83,0),MATCH($C91,'🔖 배합비 참조'!$B$1:$CE$1,0))/100,0),""))),"")</f>
        <v>0</v>
      </c>
      <c r="BH91" s="39" t="n">
        <f aca="false">IFERROR(IF($C91="","",IF($D91="","",IFERROR(ROUND($D91*INDEX('🔖 배합비 참조'!$B$2:$CE$83,MATCH("연유",'🔖 배합비 참조'!$A$2:$A$83,0),MATCH($C91,'🔖 배합비 참조'!$B$1:$CE$1,0))/100,0),""))),"")</f>
        <v>0</v>
      </c>
      <c r="BI91" s="39" t="n">
        <f aca="false">IFERROR(IF($C91="","",IF($D91="","",IFERROR(ROUND($D91*INDEX('🔖 배합비 참조'!$B$2:$CE$83,MATCH("옥수수전분",'🔖 배합비 참조'!$A$2:$A$83,0),MATCH($C91,'🔖 배합비 참조'!$B$1:$CE$1,0))/100,0),""))),"")</f>
        <v>0</v>
      </c>
      <c r="BJ91" s="39" t="n">
        <f aca="false">IFERROR(IF($C91="","",IF($D91="","",IFERROR(ROUND($D91*INDEX('🔖 배합비 참조'!$B$2:$CE$83,MATCH("완두배기",'🔖 배합비 참조'!$A$2:$A$83,0),MATCH($C91,'🔖 배합비 참조'!$B$1:$CE$1,0))/100,0),""))),"")</f>
        <v>0</v>
      </c>
      <c r="BK91" s="39" t="n">
        <f aca="false">IFERROR(IF($C91="","",IF($D91="","",IFERROR(ROUND($D91*INDEX('🔖 배합비 참조'!$B$2:$CE$83,MATCH("우유(국내산)",'🔖 배합비 참조'!$A$2:$A$83,0),MATCH($C91,'🔖 배합비 참조'!$B$1:$CE$1,0))/100,0),""))),"")</f>
        <v>7</v>
      </c>
      <c r="BL91" s="39" t="n">
        <f aca="false">IFERROR(IF($C91="","",IF($D91="","",IFERROR(ROUND($D91*INDEX('🔖 배합비 참조'!$B$2:$CE$83,MATCH("자색고구마가루(중국산)",'🔖 배합비 참조'!$A$2:$A$83,0),MATCH($C91,'🔖 배합비 참조'!$B$1:$CE$1,0))/100,0),""))),"")</f>
        <v>0</v>
      </c>
      <c r="BM91" s="39" t="n">
        <f aca="false">IFERROR(IF($C91="","",IF($D91="","",IFERROR(ROUND($D91*INDEX('🔖 배합비 참조'!$B$2:$CE$83,MATCH("자연치즈(체다치즈)",'🔖 배합비 참조'!$A$2:$A$83,0),MATCH($C91,'🔖 배합비 참조'!$B$1:$CE$1,0))/100,0),""))),"")</f>
        <v>0</v>
      </c>
      <c r="BN91" s="39" t="n">
        <f aca="false">IFERROR(IF($C91="","",IF($D91="","",IFERROR(ROUND($D91*INDEX('🔖 배합비 참조'!$B$2:$CE$83,MATCH("정제수",'🔖 배합비 참조'!$A$2:$A$83,0),MATCH($C91,'🔖 배합비 참조'!$B$1:$CE$1,0))/100,0),""))),"")</f>
        <v>7</v>
      </c>
      <c r="BO91" s="39" t="n">
        <f aca="false">IFERROR(IF($C91="","",IF($D91="","",IFERROR(ROUND($D91*INDEX('🔖 배합비 참조'!$B$2:$CE$83,MATCH("젤라틴",'🔖 배합비 참조'!$A$2:$A$83,0),MATCH($C91,'🔖 배합비 참조'!$B$1:$CE$1,0))/100,0),""))),"")</f>
        <v>0</v>
      </c>
      <c r="BP91" s="39" t="n">
        <f aca="false">IFERROR(IF($C91="","",IF($D91="","",IFERROR(ROUND($D91*INDEX('🔖 배합비 참조'!$B$2:$CE$83,MATCH("조림류(백옥앙금)",'🔖 배합비 참조'!$A$2:$A$83,0),MATCH($C91,'🔖 배합비 참조'!$B$1:$CE$1,0))/100,0),""))),"")</f>
        <v>0</v>
      </c>
      <c r="BQ91" s="39" t="n">
        <f aca="false">IFERROR(IF($C91="","",IF($D91="","",IFERROR(ROUND($D91*INDEX('🔖 배합비 참조'!$B$2:$CE$83,MATCH("조림류(통팥앙금)",'🔖 배합비 참조'!$A$2:$A$83,0),MATCH($C91,'🔖 배합비 참조'!$B$1:$CE$1,0))/100,0),""))),"")</f>
        <v>0</v>
      </c>
      <c r="BR91" s="39" t="n">
        <f aca="false">IFERROR(IF($C91="","",IF($D91="","",IFERROR(ROUND($D91*INDEX('🔖 배합비 참조'!$B$2:$CE$83,MATCH("준초콜릿(외국산)",'🔖 배합비 참조'!$A$2:$A$83,0),MATCH($C91,'🔖 배합비 참조'!$B$1:$CE$1,0))/100,0),""))),"")</f>
        <v>0</v>
      </c>
      <c r="BS91" s="39" t="n">
        <f aca="false">IFERROR(IF($C91="","",IF($D91="","",IFERROR(ROUND($D91*INDEX('🔖 배합비 참조'!$B$2:$CE$83,MATCH("중력분",'🔖 배합비 참조'!$A$2:$A$83,0),MATCH($C91,'🔖 배합비 참조'!$B$1:$CE$1,0))/100,0),""))),"")</f>
        <v>0</v>
      </c>
      <c r="BT91" s="39" t="n">
        <f aca="false">IFERROR(IF($C91="","",IF($D91="","",IFERROR(ROUND($D91*INDEX('🔖 배합비 참조'!$B$2:$CE$83,MATCH("참깨(인도산,나이지리아산,탄자니아산,미얀마산)",'🔖 배합비 참조'!$A$2:$A$83,0),MATCH($C91,'🔖 배합비 참조'!$B$1:$CE$1,0))/100,0),""))),"")</f>
        <v>0</v>
      </c>
      <c r="BU91" s="39" t="n">
        <f aca="false">IFERROR(IF($C91="","",IF($D91="","",IFERROR(ROUND($D91*INDEX('🔖 배합비 참조'!$B$2:$CE$83,MATCH("찹쌀(국내산)",'🔖 배합비 참조'!$A$2:$A$83,0),MATCH($C91,'🔖 배합비 참조'!$B$1:$CE$1,0))/100,0),""))),"")</f>
        <v>0</v>
      </c>
      <c r="BV91" s="39" t="n">
        <f aca="false">IFERROR(IF($C91="","",IF($D91="","",IFERROR(ROUND($D91*INDEX('🔖 배합비 참조'!$B$2:$CE$83,MATCH("천일염",'🔖 배합비 참조'!$A$2:$A$83,0),MATCH($C91,'🔖 배합비 참조'!$B$1:$CE$1,0))/100,0),""))),"")</f>
        <v>1</v>
      </c>
      <c r="BW91" s="39" t="n">
        <f aca="false">IFERROR(IF($C91="","",IF($D91="","",IFERROR(ROUND($D91*INDEX('🔖 배합비 참조'!$B$2:$CE$83,MATCH("치즈 [크림치즈]",'🔖 배합비 참조'!$A$2:$A$83,0),MATCH($C91,'🔖 배합비 참조'!$B$1:$CE$1,0))/100,0),""))),"")</f>
        <v>0</v>
      </c>
      <c r="BX91" s="39" t="n">
        <f aca="false">IFERROR(IF($C91="","",IF($D91="","",IFERROR(ROUND($D91*INDEX('🔖 배합비 참조'!$B$2:$CE$83,MATCH("코코아가공품류(코코아분말)",'🔖 배합비 참조'!$A$2:$A$83,0),MATCH($C91,'🔖 배합비 참조'!$B$1:$CE$1,0))/100,0),""))),"")</f>
        <v>0</v>
      </c>
      <c r="BY91" s="39" t="n">
        <f aca="false">IFERROR(IF($C91="","",IF($D91="","",IFERROR(ROUND($D91*INDEX('🔖 배합비 참조'!$B$2:$CE$83,MATCH("콩기름(대두유)",'🔖 배합비 참조'!$A$2:$A$83,0),MATCH($C91,'🔖 배합비 참조'!$B$1:$CE$1,0))/100,0),""))),"")</f>
        <v>0</v>
      </c>
      <c r="BZ91" s="39" t="n">
        <f aca="false">IFERROR(IF($C91="","",IF($D91="","",IFERROR(ROUND($D91*INDEX('🔖 배합비 참조'!$B$2:$CE$83,MATCH("해바라기씨앗",'🔖 배합비 참조'!$A$2:$A$83,0),MATCH($C91,'🔖 배합비 참조'!$B$1:$CE$1,0))/100,0),""))),"")</f>
        <v>0</v>
      </c>
      <c r="CA91" s="39" t="n">
        <f aca="false">IFERROR(IF($C91="","",IF($D91="","",IFERROR(ROUND($D91*INDEX('🔖 배합비 참조'!$B$2:$CE$83,MATCH("현미(국내산)",'🔖 배합비 참조'!$A$2:$A$83,0),MATCH($C91,'🔖 배합비 참조'!$B$1:$CE$1,0))/100,0),""))),"")</f>
        <v>0</v>
      </c>
      <c r="CB91" s="39" t="n">
        <f aca="false">IFERROR(IF($C91="","",IF($D91="","",IFERROR(ROUND($D91*INDEX('🔖 배합비 참조'!$B$2:$CE$83,MATCH("현미멥쌀(국내산)",'🔖 배합비 참조'!$A$2:$A$83,0),MATCH($C91,'🔖 배합비 참조'!$B$1:$CE$1,0))/100,0),""))),"")</f>
        <v>0</v>
      </c>
      <c r="CC91" s="39" t="n">
        <f aca="false">IFERROR(IF($C91="","",IF($D91="","",IFERROR(ROUND($D91*INDEX('🔖 배합비 참조'!$B$2:$CE$83,MATCH("호두분태(미국산)",'🔖 배합비 참조'!$A$2:$A$83,0),MATCH($C91,'🔖 배합비 참조'!$B$1:$CE$1,0))/100,0),""))),"")</f>
        <v>0</v>
      </c>
      <c r="CD91" s="39" t="n">
        <f aca="false">IFERROR(IF($C91="","",IF($D91="","",IFERROR(ROUND($D91*INDEX('🔖 배합비 참조'!$B$2:$CE$83,MATCH("호박씨앗(외국산)",'🔖 배합비 참조'!$A$2:$A$83,0),MATCH($C91,'🔖 배합비 참조'!$B$1:$CE$1,0))/100,0),""))),"")</f>
        <v>0</v>
      </c>
      <c r="CE91" s="39" t="n">
        <f aca="false">IFERROR(IF($C91="","",IF($D91="","",IFERROR(ROUND($D91*INDEX('🔖 배합비 참조'!$B$2:$CE$83,MATCH("혼합제제(떡용에스텔)",'🔖 배합비 참조'!$A$2:$A$83,0),MATCH($C91,'🔖 배합비 참조'!$B$1:$CE$1,0))/100,0),""))),"")</f>
        <v>0</v>
      </c>
      <c r="CF91" s="39" t="n">
        <f aca="false">IFERROR(IF($C91="","",IF($D91="","",IFERROR(ROUND($D91*INDEX('🔖 배합비 참조'!$B$2:$CE$83,MATCH("혼합제제(스테비아)",'🔖 배합비 참조'!$A$2:$A$83,0),MATCH($C91,'🔖 배합비 참조'!$B$1:$CE$1,0))/100,0),""))),"")</f>
        <v>0</v>
      </c>
      <c r="CG91" s="39" t="n">
        <f aca="false">IFERROR(IF($C91="","",IF($D91="","",IFERROR(ROUND($D91*INDEX('🔖 배합비 참조'!$B$2:$CE$83,MATCH("화이트초콜릿",'🔖 배합비 참조'!$A$2:$A$83,0),MATCH($C91,'🔖 배합비 참조'!$B$1:$CE$1,0))/100,0),""))),"")</f>
        <v>0</v>
      </c>
      <c r="CH91" s="39" t="n">
        <f aca="false">IFERROR(IF($C91="","",IF($D91="","",IFERROR(ROUND($D91*INDEX('🔖 배합비 참조'!$B$2:$CE$83,MATCH("흑미찹쌀(국내산)",'🔖 배합비 참조'!$A$2:$A$83,0),MATCH($C91,'🔖 배합비 참조'!$B$1:$CE$1,0))/100,0),""))),"")</f>
        <v>0</v>
      </c>
      <c r="CI91" s="39" t="n">
        <f aca="false">IFERROR(IF($C91="","",IF($D91="","",IFERROR(ROUND($D91*INDEX('🔖 배합비 참조'!$B$2:$CE$83,MATCH("찰옥수수전분(미국산)",'🔖 배합비 참조'!$A$2:$A$83,0),MATCH($C91,'🔖 배합비 참조'!$B$1:$CE$1,0))/100,0),""))),"")</f>
        <v>0</v>
      </c>
      <c r="CJ91" s="40"/>
      <c r="CL91" s="1" t="s">
        <v>238</v>
      </c>
    </row>
    <row r="92" customFormat="false" ht="18" hidden="false" customHeight="true" outlineLevel="0" collapsed="false">
      <c r="A92" s="41" t="n">
        <v>88</v>
      </c>
      <c r="B92" s="36" t="n">
        <v>45988</v>
      </c>
      <c r="C92" s="37" t="s">
        <v>143</v>
      </c>
      <c r="D92" s="38" t="n">
        <v>145</v>
      </c>
      <c r="E92" s="17"/>
      <c r="F92" s="17"/>
      <c r="G92" s="42" t="n">
        <f aca="false">IFERROR(IF($C92="","",IF($D92="","",IFERROR(ROUND($D92*INDEX('🔖 배합비 참조'!$B$2:$CE$83,MATCH("간장",'🔖 배합비 참조'!$A$2:$A$83,0),MATCH($C92,'🔖 배합비 참조'!$B$1:$CE$1,0))/100,0),""))),"")</f>
        <v>0</v>
      </c>
      <c r="H92" s="42" t="n">
        <f aca="false">IFERROR(IF($C92="","",IF($D92="","",IFERROR(ROUND($D92*INDEX('🔖 배합비 참조'!$B$2:$CE$83,MATCH("강낭콩((울타리콩))",'🔖 배합비 참조'!$A$2:$A$83,0),MATCH($C92,'🔖 배합비 참조'!$B$1:$CE$1,0))/100,0),""))),"")</f>
        <v>0</v>
      </c>
      <c r="I92" s="42" t="n">
        <f aca="false">IFERROR(IF($C92="","",IF($D92="","",IFERROR(ROUND($D92*INDEX('🔖 배합비 참조'!$B$2:$CE$83,MATCH("건조딸기다이스(외국산)",'🔖 배합비 참조'!$A$2:$A$83,0),MATCH($C92,'🔖 배합비 참조'!$B$1:$CE$1,0))/100,0),""))),"")</f>
        <v>0</v>
      </c>
      <c r="J92" s="42" t="n">
        <f aca="false">IFERROR(IF($C92="","",IF($D92="","",IFERROR(ROUND($D92*INDEX('🔖 배합비 참조'!$B$2:$CE$83,MATCH("건포도",'🔖 배합비 참조'!$A$2:$A$83,0),MATCH($C92,'🔖 배합비 참조'!$B$1:$CE$1,0))/100,0),""))),"")</f>
        <v>0</v>
      </c>
      <c r="K92" s="42" t="n">
        <f aca="false">IFERROR(IF($C92="","",IF($D92="","",IFERROR(ROUND($D92*INDEX('🔖 배합비 참조'!$B$2:$CE$83,MATCH("건호박채(중국산)",'🔖 배합비 참조'!$A$2:$A$83,0),MATCH($C92,'🔖 배합비 참조'!$B$1:$CE$1,0))/100,0),""))),"")</f>
        <v>0</v>
      </c>
      <c r="L92" s="42" t="n">
        <f aca="false">IFERROR(IF($C92="","",IF($D92="","",IFERROR(ROUND($D92*INDEX('🔖 배합비 참조'!$B$2:$CE$83,MATCH("검정깨(흑임자)",'🔖 배합비 참조'!$A$2:$A$83,0),MATCH($C92,'🔖 배합비 참조'!$B$1:$CE$1,0))/100,0),""))),"")</f>
        <v>0</v>
      </c>
      <c r="M92" s="42" t="n">
        <f aca="false">IFERROR(IF($C92="","",IF($D92="","",IFERROR(ROUND($D92*INDEX('🔖 배합비 참조'!$B$2:$CE$83,MATCH("검정콩",'🔖 배합비 참조'!$A$2:$A$83,0),MATCH($C92,'🔖 배합비 참조'!$B$1:$CE$1,0))/100,0),""))),"")</f>
        <v>0</v>
      </c>
      <c r="N92" s="42" t="n">
        <f aca="false">IFERROR(IF($C92="","",IF($D92="","",IFERROR(ROUND($D92*INDEX('🔖 배합비 참조'!$B$2:$CE$83,MATCH("계피가루",'🔖 배합비 참조'!$A$2:$A$83,0),MATCH($C92,'🔖 배합비 참조'!$B$1:$CE$1,0))/100,0),""))),"")</f>
        <v>0</v>
      </c>
      <c r="O92" s="42" t="n">
        <f aca="false">IFERROR(IF($C92="","",IF($D92="","",IFERROR(ROUND($D92*INDEX('🔖 배합비 참조'!$B$2:$CE$83,MATCH("고구마가루",'🔖 배합비 참조'!$A$2:$A$83,0),MATCH($C92,'🔖 배합비 참조'!$B$1:$CE$1,0))/100,0),""))),"")</f>
        <v>0</v>
      </c>
      <c r="P92" s="42" t="n">
        <f aca="false">IFERROR(IF($C92="","",IF($D92="","",IFERROR(ROUND($D92*INDEX('🔖 배합비 참조'!$B$2:$CE$83,MATCH("고구마무스",'🔖 배합비 참조'!$A$2:$A$83,0),MATCH($C92,'🔖 배합비 참조'!$B$1:$CE$1,0))/100,0),""))),"")</f>
        <v>0</v>
      </c>
      <c r="Q92" s="42" t="n">
        <f aca="false">IFERROR(IF($C92="","",IF($D92="","",IFERROR(ROUND($D92*INDEX('🔖 배합비 참조'!$B$2:$CE$83,MATCH("고려엉겅퀴((곤드레)국내산)",'🔖 배합비 참조'!$A$2:$A$83,0),MATCH($C92,'🔖 배합비 참조'!$B$1:$CE$1,0))/100,0),""))),"")</f>
        <v>0</v>
      </c>
      <c r="R92" s="42" t="n">
        <f aca="false">IFERROR(IF($C92="","",IF($D92="","",IFERROR(ROUND($D92*INDEX('🔖 배합비 참조'!$B$2:$CE$83,MATCH("기타가공품(복분자가루)",'🔖 배합비 참조'!$A$2:$A$83,0),MATCH($C92,'🔖 배합비 참조'!$B$1:$CE$1,0))/100,0),""))),"")</f>
        <v>0</v>
      </c>
      <c r="S92" s="42" t="n">
        <f aca="false">IFERROR(IF($C92="","",IF($D92="","",IFERROR(ROUND($D92*INDEX('🔖 배합비 참조'!$B$2:$CE$83,MATCH("기타가공품(슈퍼소프트엠)",'🔖 배합비 참조'!$A$2:$A$83,0),MATCH($C92,'🔖 배합비 참조'!$B$1:$CE$1,0))/100,0),""))),"")</f>
        <v>0</v>
      </c>
      <c r="T92" s="42" t="n">
        <f aca="false">IFERROR(IF($C92="","",IF($D92="","",IFERROR(ROUND($D92*INDEX('🔖 배합비 참조'!$B$2:$CE$83,MATCH("기타가공품(파인소프트 E-티)",'🔖 배합비 참조'!$A$2:$A$83,0),MATCH($C92,'🔖 배합비 참조'!$B$1:$CE$1,0))/100,0),""))),"")</f>
        <v>0</v>
      </c>
      <c r="U92" s="42" t="n">
        <f aca="false">IFERROR(IF($C92="","",IF($D92="","",IFERROR(ROUND($D92*INDEX('🔖 배합비 참조'!$B$2:$CE$83,MATCH("기타가공품(프리미엄카스테라가루)",'🔖 배합비 참조'!$A$2:$A$83,0),MATCH($C92,'🔖 배합비 참조'!$B$1:$CE$1,0))/100,0),""))),"")</f>
        <v>0</v>
      </c>
      <c r="V92" s="42" t="n">
        <f aca="false">IFERROR(IF($C92="","",IF($D92="","",IFERROR(ROUND($D92*INDEX('🔖 배합비 참조'!$B$2:$CE$83,MATCH("기타가공품(흑임자가루)",'🔖 배합비 참조'!$A$2:$A$83,0),MATCH($C92,'🔖 배합비 참조'!$B$1:$CE$1,0))/100,0),""))),"")</f>
        <v>0</v>
      </c>
      <c r="W92" s="42" t="n">
        <f aca="false">IFERROR(IF($C92="","",IF($D92="","",IFERROR(ROUND($D92*INDEX('🔖 배합비 참조'!$B$2:$CE$83,MATCH("기타설탕(흑설탕)",'🔖 배합비 참조'!$A$2:$A$83,0),MATCH($C92,'🔖 배합비 참조'!$B$1:$CE$1,0))/100,0),""))),"")</f>
        <v>12</v>
      </c>
      <c r="X92" s="42" t="n">
        <f aca="false">IFERROR(IF($C92="","",IF($D92="","",IFERROR(ROUND($D92*INDEX('🔖 배합비 참조'!$B$2:$CE$83,MATCH("냉동쑥(국내산)",'🔖 배합비 참조'!$A$2:$A$83,0),MATCH($C92,'🔖 배합비 참조'!$B$1:$CE$1,0))/100,0),""))),"")</f>
        <v>0</v>
      </c>
      <c r="Y92" s="42" t="n">
        <f aca="false">IFERROR(IF($C92="","",IF($D92="","",IFERROR(ROUND($D92*INDEX('🔖 배합비 참조'!$B$2:$CE$83,MATCH("냉동증숙고구마(중국산)",'🔖 배합비 참조'!$A$2:$A$83,0),MATCH($C92,'🔖 배합비 참조'!$B$1:$CE$1,0))/100,0),""))),"")</f>
        <v>0</v>
      </c>
      <c r="Z92" s="42" t="n">
        <f aca="false">IFERROR(IF($C92="","",IF($D92="","",IFERROR(ROUND($D92*INDEX('🔖 배합비 참조'!$B$2:$CE$83,MATCH("녹차가루",'🔖 배합비 참조'!$A$2:$A$83,0),MATCH($C92,'🔖 배합비 참조'!$B$1:$CE$1,0))/100,0),""))),"")</f>
        <v>0</v>
      </c>
      <c r="AA92" s="42" t="n">
        <f aca="false">IFERROR(IF($C92="","",IF($D92="","",IFERROR(ROUND($D92*INDEX('🔖 배합비 참조'!$B$2:$CE$83,MATCH("다크초콜릿 컴파운드칩",'🔖 배합비 참조'!$A$2:$A$83,0),MATCH($C92,'🔖 배합비 참조'!$B$1:$CE$1,0))/100,0),""))),"")</f>
        <v>0</v>
      </c>
      <c r="AB92" s="42" t="n">
        <f aca="false">IFERROR(IF($C92="","",IF($D92="","",IFERROR(ROUND($D92*INDEX('🔖 배합비 참조'!$B$2:$CE$83,MATCH("단호박분말(중국산)",'🔖 배합비 참조'!$A$2:$A$83,0),MATCH($C92,'🔖 배합비 참조'!$B$1:$CE$1,0))/100,0),""))),"")</f>
        <v>0</v>
      </c>
      <c r="AC92" s="42" t="n">
        <f aca="false">IFERROR(IF($C92="","",IF($D92="","",IFERROR(ROUND($D92*INDEX('🔖 배합비 참조'!$B$2:$CE$83,MATCH("당류가공품(단호박농축액)",'🔖 배합비 참조'!$A$2:$A$83,0),MATCH($C92,'🔖 배합비 참조'!$B$1:$CE$1,0))/100,0),""))),"")</f>
        <v>0</v>
      </c>
      <c r="AD92" s="42" t="n">
        <f aca="false">IFERROR(IF($C92="","",IF($D92="","",IFERROR(ROUND($D92*INDEX('🔖 배합비 참조'!$B$2:$CE$83,MATCH("당류가공품(알룰로스,에리스리톨,스테비올배당체혼합)",'🔖 배합비 참조'!$A$2:$A$83,0),MATCH($C92,'🔖 배합비 참조'!$B$1:$CE$1,0))/100,0),""))),"")</f>
        <v>0</v>
      </c>
      <c r="AE92" s="42" t="n">
        <f aca="false">IFERROR(IF($C92="","",IF($D92="","",IFERROR(ROUND($D92*INDEX('🔖 배합비 참조'!$B$2:$CE$83,MATCH("당류가공품(알룰로스제로파우더)",'🔖 배합비 참조'!$A$2:$A$83,0),MATCH($C92,'🔖 배합비 참조'!$B$1:$CE$1,0))/100,0),""))),"")</f>
        <v>0</v>
      </c>
      <c r="AF92" s="42" t="n">
        <f aca="false">IFERROR(IF($C92="","",IF($D92="","",IFERROR(ROUND($D92*INDEX('🔖 배합비 참조'!$B$2:$CE$83,MATCH("당절임(완두배기)",'🔖 배합비 참조'!$A$2:$A$83,0),MATCH($C92,'🔖 배합비 참조'!$B$1:$CE$1,0))/100,0),""))),"")</f>
        <v>0</v>
      </c>
      <c r="AG92" s="42" t="n">
        <f aca="false">IFERROR(IF($C92="","",IF($D92="","",IFERROR(ROUND($D92*INDEX('🔖 배합비 참조'!$B$2:$CE$83,MATCH("대추농축액",'🔖 배합비 참조'!$A$2:$A$83,0),MATCH($C92,'🔖 배합비 참조'!$B$1:$CE$1,0))/100,0),""))),"")</f>
        <v>0</v>
      </c>
      <c r="AH92" s="42" t="n">
        <f aca="false">IFERROR(IF($C92="","",IF($D92="","",IFERROR(ROUND($D92*INDEX('🔖 배합비 참조'!$B$2:$CE$83,MATCH("대추채(국내산)",'🔖 배합비 참조'!$A$2:$A$83,0),MATCH($C92,'🔖 배합비 참조'!$B$1:$CE$1,0))/100,0),""))),"")</f>
        <v>0</v>
      </c>
      <c r="AI92" s="42" t="n">
        <f aca="false">IFERROR(IF($C92="","",IF($D92="","",IFERROR(ROUND($D92*INDEX('🔖 배합비 참조'!$B$2:$CE$83,MATCH("동부(미얀마산)",'🔖 배합비 참조'!$A$2:$A$83,0),MATCH($C92,'🔖 배합비 참조'!$B$1:$CE$1,0))/100,0),""))),"")</f>
        <v>0</v>
      </c>
      <c r="AJ92" s="42" t="n">
        <f aca="false">IFERROR(IF($C92="","",IF($D92="","",IFERROR(ROUND($D92*INDEX('🔖 배합비 참조'!$B$2:$CE$83,MATCH("두류가공품(백옥앙금)",'🔖 배합비 참조'!$A$2:$A$83,0),MATCH($C92,'🔖 배합비 참조'!$B$1:$CE$1,0))/100,0),""))),"")</f>
        <v>0</v>
      </c>
      <c r="AK92" s="42" t="n">
        <f aca="false">IFERROR(IF($C92="","",IF($D92="","",IFERROR(ROUND($D92*INDEX('🔖 배합비 참조'!$B$2:$CE$83,MATCH("두류가공품(콩고물)",'🔖 배합비 참조'!$A$2:$A$83,0),MATCH($C92,'🔖 배합비 참조'!$B$1:$CE$1,0))/100,0),""))),"")</f>
        <v>0</v>
      </c>
      <c r="AL92" s="42" t="n">
        <f aca="false">IFERROR(IF($C92="","",IF($D92="","",IFERROR(ROUND($D92*INDEX('🔖 배합비 참조'!$B$2:$CE$83,MATCH("두류가공품(통팥고물)",'🔖 배합비 참조'!$A$2:$A$83,0),MATCH($C92,'🔖 배합비 참조'!$B$1:$CE$1,0))/100,0),""))),"")</f>
        <v>0</v>
      </c>
      <c r="AM92" s="42" t="n">
        <f aca="false">IFERROR(IF($C92="","",IF($D92="","",IFERROR(ROUND($D92*INDEX('🔖 배합비 참조'!$B$2:$CE$83,MATCH("딸기레진",'🔖 배합비 참조'!$A$2:$A$83,0),MATCH($C92,'🔖 배합비 참조'!$B$1:$CE$1,0))/100,0),""))),"")</f>
        <v>0</v>
      </c>
      <c r="AN92" s="42" t="n">
        <f aca="false">IFERROR(IF($C92="","",IF($D92="","",IFERROR(ROUND($D92*INDEX('🔖 배합비 참조'!$B$2:$CE$83,MATCH("딸기분말(스트로우베리에이드(분말))",'🔖 배합비 참조'!$A$2:$A$83,0),MATCH($C92,'🔖 배합비 참조'!$B$1:$CE$1,0))/100,0),""))),"")</f>
        <v>0</v>
      </c>
      <c r="AO92" s="42" t="n">
        <f aca="false">IFERROR(IF($C92="","",IF($D92="","",IFERROR(ROUND($D92*INDEX('🔖 배합비 참조'!$B$2:$CE$83,MATCH("마스카포네치즈",'🔖 배합비 참조'!$A$2:$A$83,0),MATCH($C92,'🔖 배합비 참조'!$B$1:$CE$1,0))/100,0),""))),"")</f>
        <v>0</v>
      </c>
      <c r="AP92" s="42" t="n">
        <f aca="false">IFERROR(IF($C92="","",IF($D92="","",IFERROR(ROUND($D92*INDEX('🔖 배합비 참조'!$B$2:$CE$83,MATCH("마카다미아분태(호주산)",'🔖 배합비 참조'!$A$2:$A$83,0),MATCH($C92,'🔖 배합비 참조'!$B$1:$CE$1,0))/100,0),""))),"")</f>
        <v>0</v>
      </c>
      <c r="AQ92" s="42" t="n">
        <f aca="false">IFERROR(IF($C92="","",IF($D92="","",IFERROR(ROUND($D92*INDEX('🔖 배합비 참조'!$B$2:$CE$83,MATCH("멥쌀(국내산)",'🔖 배합비 참조'!$A$2:$A$83,0),MATCH($C92,'🔖 배합비 참조'!$B$1:$CE$1,0))/100,0),""))),"")</f>
        <v>98</v>
      </c>
      <c r="AR92" s="42" t="n">
        <f aca="false">IFERROR(IF($C92="","",IF($D92="","",IFERROR(ROUND($D92*INDEX('🔖 배합비 참조'!$B$2:$CE$83,MATCH("모시잎(국내산)",'🔖 배합비 참조'!$A$2:$A$83,0),MATCH($C92,'🔖 배합비 참조'!$B$1:$CE$1,0))/100,0),""))),"")</f>
        <v>0</v>
      </c>
      <c r="AS92" s="42" t="n">
        <f aca="false">IFERROR(IF($C92="","",IF($D92="","",IFERROR(ROUND($D92*INDEX('🔖 배합비 참조'!$B$2:$CE$83,MATCH("물엿(저당물엿)",'🔖 배합비 참조'!$A$2:$A$83,0),MATCH($C92,'🔖 배합비 참조'!$B$1:$CE$1,0))/100,0),""))),"")</f>
        <v>0</v>
      </c>
      <c r="AT92" s="42" t="n">
        <f aca="false">IFERROR(IF($C92="","",IF($D92="","",IFERROR(ROUND($D92*INDEX('🔖 배합비 참조'!$B$2:$CE$83,MATCH("밤다이스",'🔖 배합비 참조'!$A$2:$A$83,0),MATCH($C92,'🔖 배합비 참조'!$B$1:$CE$1,0))/100,0),""))),"")</f>
        <v>0</v>
      </c>
      <c r="AU92" s="42" t="n">
        <f aca="false">IFERROR(IF($C92="","",IF($D92="","",IFERROR(ROUND($D92*INDEX('🔖 배합비 참조'!$B$2:$CE$83,MATCH("변성전분(타피오카전분)",'🔖 배합비 참조'!$A$2:$A$83,0),MATCH($C92,'🔖 배합비 참조'!$B$1:$CE$1,0))/100,0),""))),"")</f>
        <v>0</v>
      </c>
      <c r="AV92" s="42" t="n">
        <f aca="false">IFERROR(IF($C92="","",IF($D92="","",IFERROR(ROUND($D92*INDEX('🔖 배합비 참조'!$B$2:$CE$83,MATCH("복음땅콩분태",'🔖 배합비 참조'!$A$2:$A$83,0),MATCH($C92,'🔖 배합비 참조'!$B$1:$CE$1,0))/100,0),""))),"")</f>
        <v>0</v>
      </c>
      <c r="AW92" s="42" t="n">
        <f aca="false">IFERROR(IF($C92="","",IF($D92="","",IFERROR(ROUND($D92*INDEX('🔖 배합비 참조'!$B$2:$CE$83,MATCH("사양벌꿀(국내산)",'🔖 배합비 참조'!$A$2:$A$83,0),MATCH($C92,'🔖 배합비 참조'!$B$1:$CE$1,0))/100,0),""))),"")</f>
        <v>3</v>
      </c>
      <c r="AX92" s="42" t="n">
        <f aca="false">IFERROR(IF($C92="","",IF($D92="","",IFERROR(ROUND($D92*INDEX('🔖 배합비 참조'!$B$2:$CE$83,MATCH("생크림",'🔖 배합비 참조'!$A$2:$A$83,0),MATCH($C92,'🔖 배합비 참조'!$B$1:$CE$1,0))/100,0),""))),"")</f>
        <v>0</v>
      </c>
      <c r="AY92" s="42" t="n">
        <f aca="false">IFERROR(IF($C92="","",IF($D92="","",IFERROR(ROUND($D92*INDEX('🔖 배합비 참조'!$B$2:$CE$83,MATCH("서양호박(국내산,뉴질랜드산)",'🔖 배합비 참조'!$A$2:$A$83,0),MATCH($C92,'🔖 배합비 참조'!$B$1:$CE$1,0))/100,0),""))),"")</f>
        <v>0</v>
      </c>
      <c r="AZ92" s="42" t="n">
        <f aca="false">IFERROR(IF($C92="","",IF($D92="","",IFERROR(ROUND($D92*INDEX('🔖 배합비 참조'!$B$2:$CE$83,MATCH("설탕",'🔖 배합비 참조'!$A$2:$A$83,0),MATCH($C92,'🔖 배합비 참조'!$B$1:$CE$1,0))/100,0),""))),"")</f>
        <v>12</v>
      </c>
      <c r="BA92" s="42" t="n">
        <f aca="false">IFERROR(IF($C92="","",IF($D92="","",IFERROR(ROUND($D92*INDEX('🔖 배합비 참조'!$B$2:$CE$83,MATCH("스트로우베리 에이드 후레쉬",'🔖 배합비 참조'!$A$2:$A$83,0),MATCH($C92,'🔖 배합비 참조'!$B$1:$CE$1,0))/100,0),""))),"")</f>
        <v>0</v>
      </c>
      <c r="BB92" s="42" t="n">
        <f aca="false">IFERROR(IF($C92="","",IF($D92="","",IFERROR(ROUND($D92*INDEX('🔖 배합비 참조'!$B$2:$CE$83,MATCH("식물성기름혼합제제(분홍)",'🔖 배합비 참조'!$A$2:$A$83,0),MATCH($C92,'🔖 배합비 참조'!$B$1:$CE$1,0))/100,0),""))),"")</f>
        <v>0</v>
      </c>
      <c r="BC92" s="42" t="n">
        <f aca="false">IFERROR(IF($C92="","",IF($D92="","",IFERROR(ROUND($D92*INDEX('🔖 배합비 참조'!$B$2:$CE$83,MATCH("식물성기름혼합제제(초록)",'🔖 배합비 참조'!$A$2:$A$83,0),MATCH($C92,'🔖 배합비 참조'!$B$1:$CE$1,0))/100,0),""))),"")</f>
        <v>0</v>
      </c>
      <c r="BD92" s="42" t="n">
        <f aca="false">IFERROR(IF($C92="","",IF($D92="","",IFERROR(ROUND($D92*INDEX('🔖 배합비 참조'!$B$2:$CE$83,MATCH("식물성기름혼합제제(황색)",'🔖 배합비 참조'!$A$2:$A$83,0),MATCH($C92,'🔖 배합비 참조'!$B$1:$CE$1,0))/100,0),""))),"")</f>
        <v>0</v>
      </c>
      <c r="BE92" s="42" t="n">
        <f aca="false">IFERROR(IF($C92="","",IF($D92="","",IFERROR(ROUND($D92*INDEX('🔖 배합비 참조'!$B$2:$CE$83,MATCH("쑥가루(국내산)",'🔖 배합비 참조'!$A$2:$A$83,0),MATCH($C92,'🔖 배합비 참조'!$B$1:$CE$1,0))/100,0),""))),"")</f>
        <v>0</v>
      </c>
      <c r="BF92" s="42" t="n">
        <f aca="false">IFERROR(IF($C92="","",IF($D92="","",IFERROR(ROUND($D92*INDEX('🔖 배합비 참조'!$B$2:$CE$83,MATCH("아몬드슬라이스",'🔖 배합비 참조'!$A$2:$A$83,0),MATCH($C92,'🔖 배합비 참조'!$B$1:$CE$1,0))/100,0),""))),"")</f>
        <v>0</v>
      </c>
      <c r="BG92" s="42" t="n">
        <f aca="false">IFERROR(IF($C92="","",IF($D92="","",IFERROR(ROUND($D92*INDEX('🔖 배합비 참조'!$B$2:$CE$83,MATCH("알룰로오스(국내산)",'🔖 배합비 참조'!$A$2:$A$83,0),MATCH($C92,'🔖 배합비 참조'!$B$1:$CE$1,0))/100,0),""))),"")</f>
        <v>0</v>
      </c>
      <c r="BH92" s="42" t="n">
        <f aca="false">IFERROR(IF($C92="","",IF($D92="","",IFERROR(ROUND($D92*INDEX('🔖 배합비 참조'!$B$2:$CE$83,MATCH("연유",'🔖 배합비 참조'!$A$2:$A$83,0),MATCH($C92,'🔖 배합비 참조'!$B$1:$CE$1,0))/100,0),""))),"")</f>
        <v>0</v>
      </c>
      <c r="BI92" s="42" t="n">
        <f aca="false">IFERROR(IF($C92="","",IF($D92="","",IFERROR(ROUND($D92*INDEX('🔖 배합비 참조'!$B$2:$CE$83,MATCH("옥수수전분",'🔖 배합비 참조'!$A$2:$A$83,0),MATCH($C92,'🔖 배합비 참조'!$B$1:$CE$1,0))/100,0),""))),"")</f>
        <v>0</v>
      </c>
      <c r="BJ92" s="42" t="n">
        <f aca="false">IFERROR(IF($C92="","",IF($D92="","",IFERROR(ROUND($D92*INDEX('🔖 배합비 참조'!$B$2:$CE$83,MATCH("완두배기",'🔖 배합비 참조'!$A$2:$A$83,0),MATCH($C92,'🔖 배합비 참조'!$B$1:$CE$1,0))/100,0),""))),"")</f>
        <v>0</v>
      </c>
      <c r="BK92" s="42" t="n">
        <f aca="false">IFERROR(IF($C92="","",IF($D92="","",IFERROR(ROUND($D92*INDEX('🔖 배합비 참조'!$B$2:$CE$83,MATCH("우유(국내산)",'🔖 배합비 참조'!$A$2:$A$83,0),MATCH($C92,'🔖 배합비 참조'!$B$1:$CE$1,0))/100,0),""))),"")</f>
        <v>0</v>
      </c>
      <c r="BL92" s="42" t="n">
        <f aca="false">IFERROR(IF($C92="","",IF($D92="","",IFERROR(ROUND($D92*INDEX('🔖 배합비 참조'!$B$2:$CE$83,MATCH("자색고구마가루(중국산)",'🔖 배합비 참조'!$A$2:$A$83,0),MATCH($C92,'🔖 배합비 참조'!$B$1:$CE$1,0))/100,0),""))),"")</f>
        <v>0</v>
      </c>
      <c r="BM92" s="42" t="n">
        <f aca="false">IFERROR(IF($C92="","",IF($D92="","",IFERROR(ROUND($D92*INDEX('🔖 배합비 참조'!$B$2:$CE$83,MATCH("자연치즈(체다치즈)",'🔖 배합비 참조'!$A$2:$A$83,0),MATCH($C92,'🔖 배합비 참조'!$B$1:$CE$1,0))/100,0),""))),"")</f>
        <v>0</v>
      </c>
      <c r="BN92" s="42" t="n">
        <f aca="false">IFERROR(IF($C92="","",IF($D92="","",IFERROR(ROUND($D92*INDEX('🔖 배합비 참조'!$B$2:$CE$83,MATCH("정제수",'🔖 배합비 참조'!$A$2:$A$83,0),MATCH($C92,'🔖 배합비 참조'!$B$1:$CE$1,0))/100,0),""))),"")</f>
        <v>18</v>
      </c>
      <c r="BO92" s="42" t="n">
        <f aca="false">IFERROR(IF($C92="","",IF($D92="","",IFERROR(ROUND($D92*INDEX('🔖 배합비 참조'!$B$2:$CE$83,MATCH("젤라틴",'🔖 배합비 참조'!$A$2:$A$83,0),MATCH($C92,'🔖 배합비 참조'!$B$1:$CE$1,0))/100,0),""))),"")</f>
        <v>0</v>
      </c>
      <c r="BP92" s="42" t="n">
        <f aca="false">IFERROR(IF($C92="","",IF($D92="","",IFERROR(ROUND($D92*INDEX('🔖 배합비 참조'!$B$2:$CE$83,MATCH("조림류(백옥앙금)",'🔖 배합비 참조'!$A$2:$A$83,0),MATCH($C92,'🔖 배합비 참조'!$B$1:$CE$1,0))/100,0),""))),"")</f>
        <v>0</v>
      </c>
      <c r="BQ92" s="42" t="n">
        <f aca="false">IFERROR(IF($C92="","",IF($D92="","",IFERROR(ROUND($D92*INDEX('🔖 배합비 참조'!$B$2:$CE$83,MATCH("조림류(통팥앙금)",'🔖 배합비 참조'!$A$2:$A$83,0),MATCH($C92,'🔖 배합비 참조'!$B$1:$CE$1,0))/100,0),""))),"")</f>
        <v>0</v>
      </c>
      <c r="BR92" s="42" t="n">
        <f aca="false">IFERROR(IF($C92="","",IF($D92="","",IFERROR(ROUND($D92*INDEX('🔖 배합비 참조'!$B$2:$CE$83,MATCH("준초콜릿(외국산)",'🔖 배합비 참조'!$A$2:$A$83,0),MATCH($C92,'🔖 배합비 참조'!$B$1:$CE$1,0))/100,0),""))),"")</f>
        <v>0</v>
      </c>
      <c r="BS92" s="42" t="n">
        <f aca="false">IFERROR(IF($C92="","",IF($D92="","",IFERROR(ROUND($D92*INDEX('🔖 배합비 참조'!$B$2:$CE$83,MATCH("중력분",'🔖 배합비 참조'!$A$2:$A$83,0),MATCH($C92,'🔖 배합비 참조'!$B$1:$CE$1,0))/100,0),""))),"")</f>
        <v>0</v>
      </c>
      <c r="BT92" s="42" t="n">
        <f aca="false">IFERROR(IF($C92="","",IF($D92="","",IFERROR(ROUND($D92*INDEX('🔖 배합비 참조'!$B$2:$CE$83,MATCH("참깨(인도산,나이지리아산,탄자니아산,미얀마산)",'🔖 배합비 참조'!$A$2:$A$83,0),MATCH($C92,'🔖 배합비 참조'!$B$1:$CE$1,0))/100,0),""))),"")</f>
        <v>0</v>
      </c>
      <c r="BU92" s="42" t="n">
        <f aca="false">IFERROR(IF($C92="","",IF($D92="","",IFERROR(ROUND($D92*INDEX('🔖 배합비 참조'!$B$2:$CE$83,MATCH("찹쌀(국내산)",'🔖 배합비 참조'!$A$2:$A$83,0),MATCH($C92,'🔖 배합비 참조'!$B$1:$CE$1,0))/100,0),""))),"")</f>
        <v>0</v>
      </c>
      <c r="BV92" s="42" t="n">
        <f aca="false">IFERROR(IF($C92="","",IF($D92="","",IFERROR(ROUND($D92*INDEX('🔖 배합비 참조'!$B$2:$CE$83,MATCH("천일염",'🔖 배합비 참조'!$A$2:$A$83,0),MATCH($C92,'🔖 배합비 참조'!$B$1:$CE$1,0))/100,0),""))),"")</f>
        <v>2</v>
      </c>
      <c r="BW92" s="42" t="n">
        <f aca="false">IFERROR(IF($C92="","",IF($D92="","",IFERROR(ROUND($D92*INDEX('🔖 배합비 참조'!$B$2:$CE$83,MATCH("치즈 [크림치즈]",'🔖 배합비 참조'!$A$2:$A$83,0),MATCH($C92,'🔖 배합비 참조'!$B$1:$CE$1,0))/100,0),""))),"")</f>
        <v>0</v>
      </c>
      <c r="BX92" s="42" t="n">
        <f aca="false">IFERROR(IF($C92="","",IF($D92="","",IFERROR(ROUND($D92*INDEX('🔖 배합비 참조'!$B$2:$CE$83,MATCH("코코아가공품류(코코아분말)",'🔖 배합비 참조'!$A$2:$A$83,0),MATCH($C92,'🔖 배합비 참조'!$B$1:$CE$1,0))/100,0),""))),"")</f>
        <v>0</v>
      </c>
      <c r="BY92" s="42" t="n">
        <f aca="false">IFERROR(IF($C92="","",IF($D92="","",IFERROR(ROUND($D92*INDEX('🔖 배합비 참조'!$B$2:$CE$83,MATCH("콩기름(대두유)",'🔖 배합비 참조'!$A$2:$A$83,0),MATCH($C92,'🔖 배합비 참조'!$B$1:$CE$1,0))/100,0),""))),"")</f>
        <v>0</v>
      </c>
      <c r="BZ92" s="42" t="n">
        <f aca="false">IFERROR(IF($C92="","",IF($D92="","",IFERROR(ROUND($D92*INDEX('🔖 배합비 참조'!$B$2:$CE$83,MATCH("해바라기씨앗",'🔖 배합비 참조'!$A$2:$A$83,0),MATCH($C92,'🔖 배합비 참조'!$B$1:$CE$1,0))/100,0),""))),"")</f>
        <v>0</v>
      </c>
      <c r="CA92" s="42" t="n">
        <f aca="false">IFERROR(IF($C92="","",IF($D92="","",IFERROR(ROUND($D92*INDEX('🔖 배합비 참조'!$B$2:$CE$83,MATCH("현미(국내산)",'🔖 배합비 참조'!$A$2:$A$83,0),MATCH($C92,'🔖 배합비 참조'!$B$1:$CE$1,0))/100,0),""))),"")</f>
        <v>0</v>
      </c>
      <c r="CB92" s="42" t="n">
        <f aca="false">IFERROR(IF($C92="","",IF($D92="","",IFERROR(ROUND($D92*INDEX('🔖 배합비 참조'!$B$2:$CE$83,MATCH("현미멥쌀(국내산)",'🔖 배합비 참조'!$A$2:$A$83,0),MATCH($C92,'🔖 배합비 참조'!$B$1:$CE$1,0))/100,0),""))),"")</f>
        <v>0</v>
      </c>
      <c r="CC92" s="42" t="n">
        <f aca="false">IFERROR(IF($C92="","",IF($D92="","",IFERROR(ROUND($D92*INDEX('🔖 배합비 참조'!$B$2:$CE$83,MATCH("호두분태(미국산)",'🔖 배합비 참조'!$A$2:$A$83,0),MATCH($C92,'🔖 배합비 참조'!$B$1:$CE$1,0))/100,0),""))),"")</f>
        <v>0</v>
      </c>
      <c r="CD92" s="42" t="n">
        <f aca="false">IFERROR(IF($C92="","",IF($D92="","",IFERROR(ROUND($D92*INDEX('🔖 배합비 참조'!$B$2:$CE$83,MATCH("호박씨앗(외국산)",'🔖 배합비 참조'!$A$2:$A$83,0),MATCH($C92,'🔖 배합비 참조'!$B$1:$CE$1,0))/100,0),""))),"")</f>
        <v>0</v>
      </c>
      <c r="CE92" s="42" t="n">
        <f aca="false">IFERROR(IF($C92="","",IF($D92="","",IFERROR(ROUND($D92*INDEX('🔖 배합비 참조'!$B$2:$CE$83,MATCH("혼합제제(떡용에스텔)",'🔖 배합비 참조'!$A$2:$A$83,0),MATCH($C92,'🔖 배합비 참조'!$B$1:$CE$1,0))/100,0),""))),"")</f>
        <v>0</v>
      </c>
      <c r="CF92" s="42" t="n">
        <f aca="false">IFERROR(IF($C92="","",IF($D92="","",IFERROR(ROUND($D92*INDEX('🔖 배합비 참조'!$B$2:$CE$83,MATCH("혼합제제(스테비아)",'🔖 배합비 참조'!$A$2:$A$83,0),MATCH($C92,'🔖 배합비 참조'!$B$1:$CE$1,0))/100,0),""))),"")</f>
        <v>0</v>
      </c>
      <c r="CG92" s="42" t="n">
        <f aca="false">IFERROR(IF($C92="","",IF($D92="","",IFERROR(ROUND($D92*INDEX('🔖 배합비 참조'!$B$2:$CE$83,MATCH("화이트초콜릿",'🔖 배합비 참조'!$A$2:$A$83,0),MATCH($C92,'🔖 배합비 참조'!$B$1:$CE$1,0))/100,0),""))),"")</f>
        <v>0</v>
      </c>
      <c r="CH92" s="42" t="n">
        <f aca="false">IFERROR(IF($C92="","",IF($D92="","",IFERROR(ROUND($D92*INDEX('🔖 배합비 참조'!$B$2:$CE$83,MATCH("흑미찹쌀(국내산)",'🔖 배합비 참조'!$A$2:$A$83,0),MATCH($C92,'🔖 배합비 참조'!$B$1:$CE$1,0))/100,0),""))),"")</f>
        <v>0</v>
      </c>
      <c r="CI92" s="42" t="n">
        <f aca="false">IFERROR(IF($C92="","",IF($D92="","",IFERROR(ROUND($D92*INDEX('🔖 배합비 참조'!$B$2:$CE$83,MATCH("찰옥수수전분(미국산)",'🔖 배합비 참조'!$A$2:$A$83,0),MATCH($C92,'🔖 배합비 참조'!$B$1:$CE$1,0))/100,0),""))),"")</f>
        <v>0</v>
      </c>
      <c r="CJ92" s="40"/>
      <c r="CL92" s="1" t="s">
        <v>238</v>
      </c>
    </row>
    <row r="93" customFormat="false" ht="18" hidden="false" customHeight="true" outlineLevel="0" collapsed="false">
      <c r="A93" s="35" t="n">
        <v>89</v>
      </c>
      <c r="B93" s="36" t="n">
        <v>45988</v>
      </c>
      <c r="C93" s="37" t="s">
        <v>184</v>
      </c>
      <c r="D93" s="38" t="n">
        <v>100</v>
      </c>
      <c r="E93" s="13"/>
      <c r="F93" s="13"/>
      <c r="G93" s="39" t="n">
        <f aca="false">IFERROR(IF($C93="","",IF($D93="","",IFERROR(ROUND($D93*INDEX('🔖 배합비 참조'!$B$2:$CE$83,MATCH("간장",'🔖 배합비 참조'!$A$2:$A$83,0),MATCH($C93,'🔖 배합비 참조'!$B$1:$CE$1,0))/100,0),""))),"")</f>
        <v>0</v>
      </c>
      <c r="H93" s="39" t="n">
        <f aca="false">IFERROR(IF($C93="","",IF($D93="","",IFERROR(ROUND($D93*INDEX('🔖 배합비 참조'!$B$2:$CE$83,MATCH("강낭콩((울타리콩))",'🔖 배합비 참조'!$A$2:$A$83,0),MATCH($C93,'🔖 배합비 참조'!$B$1:$CE$1,0))/100,0),""))),"")</f>
        <v>0</v>
      </c>
      <c r="I93" s="39" t="n">
        <f aca="false">IFERROR(IF($C93="","",IF($D93="","",IFERROR(ROUND($D93*INDEX('🔖 배합비 참조'!$B$2:$CE$83,MATCH("건조딸기다이스(외국산)",'🔖 배합비 참조'!$A$2:$A$83,0),MATCH($C93,'🔖 배합비 참조'!$B$1:$CE$1,0))/100,0),""))),"")</f>
        <v>0</v>
      </c>
      <c r="J93" s="39" t="n">
        <f aca="false">IFERROR(IF($C93="","",IF($D93="","",IFERROR(ROUND($D93*INDEX('🔖 배합비 참조'!$B$2:$CE$83,MATCH("건포도",'🔖 배합비 참조'!$A$2:$A$83,0),MATCH($C93,'🔖 배합비 참조'!$B$1:$CE$1,0))/100,0),""))),"")</f>
        <v>0</v>
      </c>
      <c r="K93" s="39" t="n">
        <f aca="false">IFERROR(IF($C93="","",IF($D93="","",IFERROR(ROUND($D93*INDEX('🔖 배합비 참조'!$B$2:$CE$83,MATCH("건호박채(중국산)",'🔖 배합비 참조'!$A$2:$A$83,0),MATCH($C93,'🔖 배합비 참조'!$B$1:$CE$1,0))/100,0),""))),"")</f>
        <v>0</v>
      </c>
      <c r="L93" s="39" t="n">
        <f aca="false">IFERROR(IF($C93="","",IF($D93="","",IFERROR(ROUND($D93*INDEX('🔖 배합비 참조'!$B$2:$CE$83,MATCH("검정깨(흑임자)",'🔖 배합비 참조'!$A$2:$A$83,0),MATCH($C93,'🔖 배합비 참조'!$B$1:$CE$1,0))/100,0),""))),"")</f>
        <v>0</v>
      </c>
      <c r="M93" s="39" t="n">
        <f aca="false">IFERROR(IF($C93="","",IF($D93="","",IFERROR(ROUND($D93*INDEX('🔖 배합비 참조'!$B$2:$CE$83,MATCH("검정콩",'🔖 배합비 참조'!$A$2:$A$83,0),MATCH($C93,'🔖 배합비 참조'!$B$1:$CE$1,0))/100,0),""))),"")</f>
        <v>0</v>
      </c>
      <c r="N93" s="39" t="n">
        <f aca="false">IFERROR(IF($C93="","",IF($D93="","",IFERROR(ROUND($D93*INDEX('🔖 배합비 참조'!$B$2:$CE$83,MATCH("계피가루",'🔖 배합비 참조'!$A$2:$A$83,0),MATCH($C93,'🔖 배합비 참조'!$B$1:$CE$1,0))/100,0),""))),"")</f>
        <v>0</v>
      </c>
      <c r="O93" s="39" t="n">
        <f aca="false">IFERROR(IF($C93="","",IF($D93="","",IFERROR(ROUND($D93*INDEX('🔖 배합비 참조'!$B$2:$CE$83,MATCH("고구마가루",'🔖 배합비 참조'!$A$2:$A$83,0),MATCH($C93,'🔖 배합비 참조'!$B$1:$CE$1,0))/100,0),""))),"")</f>
        <v>0</v>
      </c>
      <c r="P93" s="39" t="n">
        <f aca="false">IFERROR(IF($C93="","",IF($D93="","",IFERROR(ROUND($D93*INDEX('🔖 배합비 참조'!$B$2:$CE$83,MATCH("고구마무스",'🔖 배합비 참조'!$A$2:$A$83,0),MATCH($C93,'🔖 배합비 참조'!$B$1:$CE$1,0))/100,0),""))),"")</f>
        <v>0</v>
      </c>
      <c r="Q93" s="39" t="n">
        <f aca="false">IFERROR(IF($C93="","",IF($D93="","",IFERROR(ROUND($D93*INDEX('🔖 배합비 참조'!$B$2:$CE$83,MATCH("고려엉겅퀴((곤드레)국내산)",'🔖 배합비 참조'!$A$2:$A$83,0),MATCH($C93,'🔖 배합비 참조'!$B$1:$CE$1,0))/100,0),""))),"")</f>
        <v>0</v>
      </c>
      <c r="R93" s="39" t="n">
        <f aca="false">IFERROR(IF($C93="","",IF($D93="","",IFERROR(ROUND($D93*INDEX('🔖 배합비 참조'!$B$2:$CE$83,MATCH("기타가공품(복분자가루)",'🔖 배합비 참조'!$A$2:$A$83,0),MATCH($C93,'🔖 배합비 참조'!$B$1:$CE$1,0))/100,0),""))),"")</f>
        <v>0</v>
      </c>
      <c r="S93" s="39" t="n">
        <f aca="false">IFERROR(IF($C93="","",IF($D93="","",IFERROR(ROUND($D93*INDEX('🔖 배합비 참조'!$B$2:$CE$83,MATCH("기타가공품(슈퍼소프트엠)",'🔖 배합비 참조'!$A$2:$A$83,0),MATCH($C93,'🔖 배합비 참조'!$B$1:$CE$1,0))/100,0),""))),"")</f>
        <v>0</v>
      </c>
      <c r="T93" s="39" t="n">
        <f aca="false">IFERROR(IF($C93="","",IF($D93="","",IFERROR(ROUND($D93*INDEX('🔖 배합비 참조'!$B$2:$CE$83,MATCH("기타가공품(파인소프트 E-티)",'🔖 배합비 참조'!$A$2:$A$83,0),MATCH($C93,'🔖 배합비 참조'!$B$1:$CE$1,0))/100,0),""))),"")</f>
        <v>0</v>
      </c>
      <c r="U93" s="39" t="n">
        <f aca="false">IFERROR(IF($C93="","",IF($D93="","",IFERROR(ROUND($D93*INDEX('🔖 배합비 참조'!$B$2:$CE$83,MATCH("기타가공품(프리미엄카스테라가루)",'🔖 배합비 참조'!$A$2:$A$83,0),MATCH($C93,'🔖 배합비 참조'!$B$1:$CE$1,0))/100,0),""))),"")</f>
        <v>0</v>
      </c>
      <c r="V93" s="39" t="n">
        <f aca="false">IFERROR(IF($C93="","",IF($D93="","",IFERROR(ROUND($D93*INDEX('🔖 배합비 참조'!$B$2:$CE$83,MATCH("기타가공품(흑임자가루)",'🔖 배합비 참조'!$A$2:$A$83,0),MATCH($C93,'🔖 배합비 참조'!$B$1:$CE$1,0))/100,0),""))),"")</f>
        <v>0</v>
      </c>
      <c r="W93" s="39" t="n">
        <f aca="false">IFERROR(IF($C93="","",IF($D93="","",IFERROR(ROUND($D93*INDEX('🔖 배합비 참조'!$B$2:$CE$83,MATCH("기타설탕(흑설탕)",'🔖 배합비 참조'!$A$2:$A$83,0),MATCH($C93,'🔖 배합비 참조'!$B$1:$CE$1,0))/100,0),""))),"")</f>
        <v>0</v>
      </c>
      <c r="X93" s="39" t="n">
        <f aca="false">IFERROR(IF($C93="","",IF($D93="","",IFERROR(ROUND($D93*INDEX('🔖 배합비 참조'!$B$2:$CE$83,MATCH("냉동쑥(국내산)",'🔖 배합비 참조'!$A$2:$A$83,0),MATCH($C93,'🔖 배합비 참조'!$B$1:$CE$1,0))/100,0),""))),"")</f>
        <v>0</v>
      </c>
      <c r="Y93" s="39" t="n">
        <f aca="false">IFERROR(IF($C93="","",IF($D93="","",IFERROR(ROUND($D93*INDEX('🔖 배합비 참조'!$B$2:$CE$83,MATCH("냉동증숙고구마(중국산)",'🔖 배합비 참조'!$A$2:$A$83,0),MATCH($C93,'🔖 배합비 참조'!$B$1:$CE$1,0))/100,0),""))),"")</f>
        <v>0</v>
      </c>
      <c r="Z93" s="39" t="n">
        <f aca="false">IFERROR(IF($C93="","",IF($D93="","",IFERROR(ROUND($D93*INDEX('🔖 배합비 참조'!$B$2:$CE$83,MATCH("녹차가루",'🔖 배합비 참조'!$A$2:$A$83,0),MATCH($C93,'🔖 배합비 참조'!$B$1:$CE$1,0))/100,0),""))),"")</f>
        <v>0</v>
      </c>
      <c r="AA93" s="39" t="n">
        <f aca="false">IFERROR(IF($C93="","",IF($D93="","",IFERROR(ROUND($D93*INDEX('🔖 배합비 참조'!$B$2:$CE$83,MATCH("다크초콜릿 컴파운드칩",'🔖 배합비 참조'!$A$2:$A$83,0),MATCH($C93,'🔖 배합비 참조'!$B$1:$CE$1,0))/100,0),""))),"")</f>
        <v>0</v>
      </c>
      <c r="AB93" s="39" t="n">
        <f aca="false">IFERROR(IF($C93="","",IF($D93="","",IFERROR(ROUND($D93*INDEX('🔖 배합비 참조'!$B$2:$CE$83,MATCH("단호박분말(중국산)",'🔖 배합비 참조'!$A$2:$A$83,0),MATCH($C93,'🔖 배합비 참조'!$B$1:$CE$1,0))/100,0),""))),"")</f>
        <v>0</v>
      </c>
      <c r="AC93" s="39" t="n">
        <f aca="false">IFERROR(IF($C93="","",IF($D93="","",IFERROR(ROUND($D93*INDEX('🔖 배합비 참조'!$B$2:$CE$83,MATCH("당류가공품(단호박농축액)",'🔖 배합비 참조'!$A$2:$A$83,0),MATCH($C93,'🔖 배합비 참조'!$B$1:$CE$1,0))/100,0),""))),"")</f>
        <v>0</v>
      </c>
      <c r="AD93" s="39" t="n">
        <f aca="false">IFERROR(IF($C93="","",IF($D93="","",IFERROR(ROUND($D93*INDEX('🔖 배합비 참조'!$B$2:$CE$83,MATCH("당류가공품(알룰로스,에리스리톨,스테비올배당체혼합)",'🔖 배합비 참조'!$A$2:$A$83,0),MATCH($C93,'🔖 배합비 참조'!$B$1:$CE$1,0))/100,0),""))),"")</f>
        <v>0</v>
      </c>
      <c r="AE93" s="39" t="n">
        <f aca="false">IFERROR(IF($C93="","",IF($D93="","",IFERROR(ROUND($D93*INDEX('🔖 배합비 참조'!$B$2:$CE$83,MATCH("당류가공품(알룰로스제로파우더)",'🔖 배합비 참조'!$A$2:$A$83,0),MATCH($C93,'🔖 배합비 참조'!$B$1:$CE$1,0))/100,0),""))),"")</f>
        <v>0</v>
      </c>
      <c r="AF93" s="39" t="n">
        <f aca="false">IFERROR(IF($C93="","",IF($D93="","",IFERROR(ROUND($D93*INDEX('🔖 배합비 참조'!$B$2:$CE$83,MATCH("당절임(완두배기)",'🔖 배합비 참조'!$A$2:$A$83,0),MATCH($C93,'🔖 배합비 참조'!$B$1:$CE$1,0))/100,0),""))),"")</f>
        <v>0</v>
      </c>
      <c r="AG93" s="39" t="n">
        <f aca="false">IFERROR(IF($C93="","",IF($D93="","",IFERROR(ROUND($D93*INDEX('🔖 배합비 참조'!$B$2:$CE$83,MATCH("대추농축액",'🔖 배합비 참조'!$A$2:$A$83,0),MATCH($C93,'🔖 배합비 참조'!$B$1:$CE$1,0))/100,0),""))),"")</f>
        <v>0</v>
      </c>
      <c r="AH93" s="39" t="n">
        <f aca="false">IFERROR(IF($C93="","",IF($D93="","",IFERROR(ROUND($D93*INDEX('🔖 배합비 참조'!$B$2:$CE$83,MATCH("대추채(국내산)",'🔖 배합비 참조'!$A$2:$A$83,0),MATCH($C93,'🔖 배합비 참조'!$B$1:$CE$1,0))/100,0),""))),"")</f>
        <v>0</v>
      </c>
      <c r="AI93" s="39" t="n">
        <f aca="false">IFERROR(IF($C93="","",IF($D93="","",IFERROR(ROUND($D93*INDEX('🔖 배합비 참조'!$B$2:$CE$83,MATCH("동부(미얀마산)",'🔖 배합비 참조'!$A$2:$A$83,0),MATCH($C93,'🔖 배합비 참조'!$B$1:$CE$1,0))/100,0),""))),"")</f>
        <v>0</v>
      </c>
      <c r="AJ93" s="39" t="n">
        <f aca="false">IFERROR(IF($C93="","",IF($D93="","",IFERROR(ROUND($D93*INDEX('🔖 배합비 참조'!$B$2:$CE$83,MATCH("두류가공품(백옥앙금)",'🔖 배합비 참조'!$A$2:$A$83,0),MATCH($C93,'🔖 배합비 참조'!$B$1:$CE$1,0))/100,0),""))),"")</f>
        <v>0</v>
      </c>
      <c r="AK93" s="39" t="n">
        <f aca="false">IFERROR(IF($C93="","",IF($D93="","",IFERROR(ROUND($D93*INDEX('🔖 배합비 참조'!$B$2:$CE$83,MATCH("두류가공품(콩고물)",'🔖 배합비 참조'!$A$2:$A$83,0),MATCH($C93,'🔖 배합비 참조'!$B$1:$CE$1,0))/100,0),""))),"")</f>
        <v>0</v>
      </c>
      <c r="AL93" s="39" t="n">
        <f aca="false">IFERROR(IF($C93="","",IF($D93="","",IFERROR(ROUND($D93*INDEX('🔖 배합비 참조'!$B$2:$CE$83,MATCH("두류가공품(통팥고물)",'🔖 배합비 참조'!$A$2:$A$83,0),MATCH($C93,'🔖 배합비 참조'!$B$1:$CE$1,0))/100,0),""))),"")</f>
        <v>0</v>
      </c>
      <c r="AM93" s="39" t="n">
        <f aca="false">IFERROR(IF($C93="","",IF($D93="","",IFERROR(ROUND($D93*INDEX('🔖 배합비 참조'!$B$2:$CE$83,MATCH("딸기레진",'🔖 배합비 참조'!$A$2:$A$83,0),MATCH($C93,'🔖 배합비 참조'!$B$1:$CE$1,0))/100,0),""))),"")</f>
        <v>0</v>
      </c>
      <c r="AN93" s="39" t="n">
        <f aca="false">IFERROR(IF($C93="","",IF($D93="","",IFERROR(ROUND($D93*INDEX('🔖 배합비 참조'!$B$2:$CE$83,MATCH("딸기분말(스트로우베리에이드(분말))",'🔖 배합비 참조'!$A$2:$A$83,0),MATCH($C93,'🔖 배합비 참조'!$B$1:$CE$1,0))/100,0),""))),"")</f>
        <v>0</v>
      </c>
      <c r="AO93" s="39" t="n">
        <f aca="false">IFERROR(IF($C93="","",IF($D93="","",IFERROR(ROUND($D93*INDEX('🔖 배합비 참조'!$B$2:$CE$83,MATCH("마스카포네치즈",'🔖 배합비 참조'!$A$2:$A$83,0),MATCH($C93,'🔖 배합비 참조'!$B$1:$CE$1,0))/100,0),""))),"")</f>
        <v>0</v>
      </c>
      <c r="AP93" s="39" t="n">
        <f aca="false">IFERROR(IF($C93="","",IF($D93="","",IFERROR(ROUND($D93*INDEX('🔖 배합비 참조'!$B$2:$CE$83,MATCH("마카다미아분태(호주산)",'🔖 배합비 참조'!$A$2:$A$83,0),MATCH($C93,'🔖 배합비 참조'!$B$1:$CE$1,0))/100,0),""))),"")</f>
        <v>0</v>
      </c>
      <c r="AQ93" s="39" t="n">
        <f aca="false">IFERROR(IF($C93="","",IF($D93="","",IFERROR(ROUND($D93*INDEX('🔖 배합비 참조'!$B$2:$CE$83,MATCH("멥쌀(국내산)",'🔖 배합비 참조'!$A$2:$A$83,0),MATCH($C93,'🔖 배합비 참조'!$B$1:$CE$1,0))/100,0),""))),"")</f>
        <v>70</v>
      </c>
      <c r="AR93" s="39" t="n">
        <f aca="false">IFERROR(IF($C93="","",IF($D93="","",IFERROR(ROUND($D93*INDEX('🔖 배합비 참조'!$B$2:$CE$83,MATCH("모시잎(국내산)",'🔖 배합비 참조'!$A$2:$A$83,0),MATCH($C93,'🔖 배합비 참조'!$B$1:$CE$1,0))/100,0),""))),"")</f>
        <v>0</v>
      </c>
      <c r="AS93" s="39" t="n">
        <f aca="false">IFERROR(IF($C93="","",IF($D93="","",IFERROR(ROUND($D93*INDEX('🔖 배합비 참조'!$B$2:$CE$83,MATCH("물엿(저당물엿)",'🔖 배합비 참조'!$A$2:$A$83,0),MATCH($C93,'🔖 배합비 참조'!$B$1:$CE$1,0))/100,0),""))),"")</f>
        <v>0</v>
      </c>
      <c r="AT93" s="39" t="n">
        <f aca="false">IFERROR(IF($C93="","",IF($D93="","",IFERROR(ROUND($D93*INDEX('🔖 배합비 참조'!$B$2:$CE$83,MATCH("밤다이스",'🔖 배합비 참조'!$A$2:$A$83,0),MATCH($C93,'🔖 배합비 참조'!$B$1:$CE$1,0))/100,0),""))),"")</f>
        <v>0</v>
      </c>
      <c r="AU93" s="39" t="n">
        <f aca="false">IFERROR(IF($C93="","",IF($D93="","",IFERROR(ROUND($D93*INDEX('🔖 배합비 참조'!$B$2:$CE$83,MATCH("변성전분(타피오카전분)",'🔖 배합비 참조'!$A$2:$A$83,0),MATCH($C93,'🔖 배합비 참조'!$B$1:$CE$1,0))/100,0),""))),"")</f>
        <v>0</v>
      </c>
      <c r="AV93" s="39" t="n">
        <f aca="false">IFERROR(IF($C93="","",IF($D93="","",IFERROR(ROUND($D93*INDEX('🔖 배합비 참조'!$B$2:$CE$83,MATCH("복음땅콩분태",'🔖 배합비 참조'!$A$2:$A$83,0),MATCH($C93,'🔖 배합비 참조'!$B$1:$CE$1,0))/100,0),""))),"")</f>
        <v>0</v>
      </c>
      <c r="AW93" s="39" t="n">
        <f aca="false">IFERROR(IF($C93="","",IF($D93="","",IFERROR(ROUND($D93*INDEX('🔖 배합비 참조'!$B$2:$CE$83,MATCH("사양벌꿀(국내산)",'🔖 배합비 참조'!$A$2:$A$83,0),MATCH($C93,'🔖 배합비 참조'!$B$1:$CE$1,0))/100,0),""))),"")</f>
        <v>0</v>
      </c>
      <c r="AX93" s="39" t="n">
        <f aca="false">IFERROR(IF($C93="","",IF($D93="","",IFERROR(ROUND($D93*INDEX('🔖 배합비 참조'!$B$2:$CE$83,MATCH("생크림",'🔖 배합비 참조'!$A$2:$A$83,0),MATCH($C93,'🔖 배합비 참조'!$B$1:$CE$1,0))/100,0),""))),"")</f>
        <v>0</v>
      </c>
      <c r="AY93" s="39" t="n">
        <f aca="false">IFERROR(IF($C93="","",IF($D93="","",IFERROR(ROUND($D93*INDEX('🔖 배합비 참조'!$B$2:$CE$83,MATCH("서양호박(국내산,뉴질랜드산)",'🔖 배합비 참조'!$A$2:$A$83,0),MATCH($C93,'🔖 배합비 참조'!$B$1:$CE$1,0))/100,0),""))),"")</f>
        <v>0</v>
      </c>
      <c r="AZ93" s="39" t="n">
        <f aca="false">IFERROR(IF($C93="","",IF($D93="","",IFERROR(ROUND($D93*INDEX('🔖 배합비 참조'!$B$2:$CE$83,MATCH("설탕",'🔖 배합비 참조'!$A$2:$A$83,0),MATCH($C93,'🔖 배합비 참조'!$B$1:$CE$1,0))/100,0),""))),"")</f>
        <v>11</v>
      </c>
      <c r="BA93" s="39" t="n">
        <f aca="false">IFERROR(IF($C93="","",IF($D93="","",IFERROR(ROUND($D93*INDEX('🔖 배합비 참조'!$B$2:$CE$83,MATCH("스트로우베리 에이드 후레쉬",'🔖 배합비 참조'!$A$2:$A$83,0),MATCH($C93,'🔖 배합비 참조'!$B$1:$CE$1,0))/100,0),""))),"")</f>
        <v>0</v>
      </c>
      <c r="BB93" s="39" t="n">
        <f aca="false">IFERROR(IF($C93="","",IF($D93="","",IFERROR(ROUND($D93*INDEX('🔖 배합비 참조'!$B$2:$CE$83,MATCH("식물성기름혼합제제(분홍)",'🔖 배합비 참조'!$A$2:$A$83,0),MATCH($C93,'🔖 배합비 참조'!$B$1:$CE$1,0))/100,0),""))),"")</f>
        <v>0</v>
      </c>
      <c r="BC93" s="39" t="n">
        <f aca="false">IFERROR(IF($C93="","",IF($D93="","",IFERROR(ROUND($D93*INDEX('🔖 배합비 참조'!$B$2:$CE$83,MATCH("식물성기름혼합제제(초록)",'🔖 배합비 참조'!$A$2:$A$83,0),MATCH($C93,'🔖 배합비 참조'!$B$1:$CE$1,0))/100,0),""))),"")</f>
        <v>0</v>
      </c>
      <c r="BD93" s="39" t="n">
        <f aca="false">IFERROR(IF($C93="","",IF($D93="","",IFERROR(ROUND($D93*INDEX('🔖 배합비 참조'!$B$2:$CE$83,MATCH("식물성기름혼합제제(황색)",'🔖 배합비 참조'!$A$2:$A$83,0),MATCH($C93,'🔖 배합비 참조'!$B$1:$CE$1,0))/100,0),""))),"")</f>
        <v>0</v>
      </c>
      <c r="BE93" s="39" t="n">
        <f aca="false">IFERROR(IF($C93="","",IF($D93="","",IFERROR(ROUND($D93*INDEX('🔖 배합비 참조'!$B$2:$CE$83,MATCH("쑥가루(국내산)",'🔖 배합비 참조'!$A$2:$A$83,0),MATCH($C93,'🔖 배합비 참조'!$B$1:$CE$1,0))/100,0),""))),"")</f>
        <v>0</v>
      </c>
      <c r="BF93" s="39" t="n">
        <f aca="false">IFERROR(IF($C93="","",IF($D93="","",IFERROR(ROUND($D93*INDEX('🔖 배합비 참조'!$B$2:$CE$83,MATCH("아몬드슬라이스",'🔖 배합비 참조'!$A$2:$A$83,0),MATCH($C93,'🔖 배합비 참조'!$B$1:$CE$1,0))/100,0),""))),"")</f>
        <v>0</v>
      </c>
      <c r="BG93" s="39" t="n">
        <f aca="false">IFERROR(IF($C93="","",IF($D93="","",IFERROR(ROUND($D93*INDEX('🔖 배합비 참조'!$B$2:$CE$83,MATCH("알룰로오스(국내산)",'🔖 배합비 참조'!$A$2:$A$83,0),MATCH($C93,'🔖 배합비 참조'!$B$1:$CE$1,0))/100,0),""))),"")</f>
        <v>0</v>
      </c>
      <c r="BH93" s="39" t="n">
        <f aca="false">IFERROR(IF($C93="","",IF($D93="","",IFERROR(ROUND($D93*INDEX('🔖 배합비 참조'!$B$2:$CE$83,MATCH("연유",'🔖 배합비 참조'!$A$2:$A$83,0),MATCH($C93,'🔖 배합비 참조'!$B$1:$CE$1,0))/100,0),""))),"")</f>
        <v>0</v>
      </c>
      <c r="BI93" s="39" t="n">
        <f aca="false">IFERROR(IF($C93="","",IF($D93="","",IFERROR(ROUND($D93*INDEX('🔖 배합비 참조'!$B$2:$CE$83,MATCH("옥수수전분",'🔖 배합비 참조'!$A$2:$A$83,0),MATCH($C93,'🔖 배합비 참조'!$B$1:$CE$1,0))/100,0),""))),"")</f>
        <v>0</v>
      </c>
      <c r="BJ93" s="39" t="n">
        <f aca="false">IFERROR(IF($C93="","",IF($D93="","",IFERROR(ROUND($D93*INDEX('🔖 배합비 참조'!$B$2:$CE$83,MATCH("완두배기",'🔖 배합비 참조'!$A$2:$A$83,0),MATCH($C93,'🔖 배합비 참조'!$B$1:$CE$1,0))/100,0),""))),"")</f>
        <v>0</v>
      </c>
      <c r="BK93" s="39" t="n">
        <f aca="false">IFERROR(IF($C93="","",IF($D93="","",IFERROR(ROUND($D93*INDEX('🔖 배합비 참조'!$B$2:$CE$83,MATCH("우유(국내산)",'🔖 배합비 참조'!$A$2:$A$83,0),MATCH($C93,'🔖 배합비 참조'!$B$1:$CE$1,0))/100,0),""))),"")</f>
        <v>9</v>
      </c>
      <c r="BL93" s="39" t="n">
        <f aca="false">IFERROR(IF($C93="","",IF($D93="","",IFERROR(ROUND($D93*INDEX('🔖 배합비 참조'!$B$2:$CE$83,MATCH("자색고구마가루(중국산)",'🔖 배합비 참조'!$A$2:$A$83,0),MATCH($C93,'🔖 배합비 참조'!$B$1:$CE$1,0))/100,0),""))),"")</f>
        <v>0</v>
      </c>
      <c r="BM93" s="39" t="n">
        <f aca="false">IFERROR(IF($C93="","",IF($D93="","",IFERROR(ROUND($D93*INDEX('🔖 배합비 참조'!$B$2:$CE$83,MATCH("자연치즈(체다치즈)",'🔖 배합비 참조'!$A$2:$A$83,0),MATCH($C93,'🔖 배합비 참조'!$B$1:$CE$1,0))/100,0),""))),"")</f>
        <v>0</v>
      </c>
      <c r="BN93" s="39" t="n">
        <f aca="false">IFERROR(IF($C93="","",IF($D93="","",IFERROR(ROUND($D93*INDEX('🔖 배합비 참조'!$B$2:$CE$83,MATCH("정제수",'🔖 배합비 참조'!$A$2:$A$83,0),MATCH($C93,'🔖 배합비 참조'!$B$1:$CE$1,0))/100,0),""))),"")</f>
        <v>9</v>
      </c>
      <c r="BO93" s="39" t="n">
        <f aca="false">IFERROR(IF($C93="","",IF($D93="","",IFERROR(ROUND($D93*INDEX('🔖 배합비 참조'!$B$2:$CE$83,MATCH("젤라틴",'🔖 배합비 참조'!$A$2:$A$83,0),MATCH($C93,'🔖 배합비 참조'!$B$1:$CE$1,0))/100,0),""))),"")</f>
        <v>0</v>
      </c>
      <c r="BP93" s="39" t="n">
        <f aca="false">IFERROR(IF($C93="","",IF($D93="","",IFERROR(ROUND($D93*INDEX('🔖 배합비 참조'!$B$2:$CE$83,MATCH("조림류(백옥앙금)",'🔖 배합비 참조'!$A$2:$A$83,0),MATCH($C93,'🔖 배합비 참조'!$B$1:$CE$1,0))/100,0),""))),"")</f>
        <v>0</v>
      </c>
      <c r="BQ93" s="39" t="n">
        <f aca="false">IFERROR(IF($C93="","",IF($D93="","",IFERROR(ROUND($D93*INDEX('🔖 배합비 참조'!$B$2:$CE$83,MATCH("조림류(통팥앙금)",'🔖 배합비 참조'!$A$2:$A$83,0),MATCH($C93,'🔖 배합비 참조'!$B$1:$CE$1,0))/100,0),""))),"")</f>
        <v>0</v>
      </c>
      <c r="BR93" s="39" t="n">
        <f aca="false">IFERROR(IF($C93="","",IF($D93="","",IFERROR(ROUND($D93*INDEX('🔖 배합비 참조'!$B$2:$CE$83,MATCH("준초콜릿(외국산)",'🔖 배합비 참조'!$A$2:$A$83,0),MATCH($C93,'🔖 배합비 참조'!$B$1:$CE$1,0))/100,0),""))),"")</f>
        <v>0</v>
      </c>
      <c r="BS93" s="39" t="n">
        <f aca="false">IFERROR(IF($C93="","",IF($D93="","",IFERROR(ROUND($D93*INDEX('🔖 배합비 참조'!$B$2:$CE$83,MATCH("중력분",'🔖 배합비 참조'!$A$2:$A$83,0),MATCH($C93,'🔖 배합비 참조'!$B$1:$CE$1,0))/100,0),""))),"")</f>
        <v>0</v>
      </c>
      <c r="BT93" s="39" t="n">
        <f aca="false">IFERROR(IF($C93="","",IF($D93="","",IFERROR(ROUND($D93*INDEX('🔖 배합비 참조'!$B$2:$CE$83,MATCH("참깨(인도산,나이지리아산,탄자니아산,미얀마산)",'🔖 배합비 참조'!$A$2:$A$83,0),MATCH($C93,'🔖 배합비 참조'!$B$1:$CE$1,0))/100,0),""))),"")</f>
        <v>0</v>
      </c>
      <c r="BU93" s="39" t="n">
        <f aca="false">IFERROR(IF($C93="","",IF($D93="","",IFERROR(ROUND($D93*INDEX('🔖 배합비 참조'!$B$2:$CE$83,MATCH("찹쌀(국내산)",'🔖 배합비 참조'!$A$2:$A$83,0),MATCH($C93,'🔖 배합비 참조'!$B$1:$CE$1,0))/100,0),""))),"")</f>
        <v>0</v>
      </c>
      <c r="BV93" s="39" t="n">
        <f aca="false">IFERROR(IF($C93="","",IF($D93="","",IFERROR(ROUND($D93*INDEX('🔖 배합비 참조'!$B$2:$CE$83,MATCH("천일염",'🔖 배합비 참조'!$A$2:$A$83,0),MATCH($C93,'🔖 배합비 참조'!$B$1:$CE$1,0))/100,0),""))),"")</f>
        <v>1</v>
      </c>
      <c r="BW93" s="39" t="n">
        <f aca="false">IFERROR(IF($C93="","",IF($D93="","",IFERROR(ROUND($D93*INDEX('🔖 배합비 참조'!$B$2:$CE$83,MATCH("치즈 [크림치즈]",'🔖 배합비 참조'!$A$2:$A$83,0),MATCH($C93,'🔖 배합비 참조'!$B$1:$CE$1,0))/100,0),""))),"")</f>
        <v>0</v>
      </c>
      <c r="BX93" s="39" t="n">
        <f aca="false">IFERROR(IF($C93="","",IF($D93="","",IFERROR(ROUND($D93*INDEX('🔖 배합비 참조'!$B$2:$CE$83,MATCH("코코아가공품류(코코아분말)",'🔖 배합비 참조'!$A$2:$A$83,0),MATCH($C93,'🔖 배합비 참조'!$B$1:$CE$1,0))/100,0),""))),"")</f>
        <v>0</v>
      </c>
      <c r="BY93" s="39" t="n">
        <f aca="false">IFERROR(IF($C93="","",IF($D93="","",IFERROR(ROUND($D93*INDEX('🔖 배합비 참조'!$B$2:$CE$83,MATCH("콩기름(대두유)",'🔖 배합비 참조'!$A$2:$A$83,0),MATCH($C93,'🔖 배합비 참조'!$B$1:$CE$1,0))/100,0),""))),"")</f>
        <v>0</v>
      </c>
      <c r="BZ93" s="39" t="n">
        <f aca="false">IFERROR(IF($C93="","",IF($D93="","",IFERROR(ROUND($D93*INDEX('🔖 배합비 참조'!$B$2:$CE$83,MATCH("해바라기씨앗",'🔖 배합비 참조'!$A$2:$A$83,0),MATCH($C93,'🔖 배합비 참조'!$B$1:$CE$1,0))/100,0),""))),"")</f>
        <v>0</v>
      </c>
      <c r="CA93" s="39" t="n">
        <f aca="false">IFERROR(IF($C93="","",IF($D93="","",IFERROR(ROUND($D93*INDEX('🔖 배합비 참조'!$B$2:$CE$83,MATCH("현미(국내산)",'🔖 배합비 참조'!$A$2:$A$83,0),MATCH($C93,'🔖 배합비 참조'!$B$1:$CE$1,0))/100,0),""))),"")</f>
        <v>0</v>
      </c>
      <c r="CB93" s="39" t="n">
        <f aca="false">IFERROR(IF($C93="","",IF($D93="","",IFERROR(ROUND($D93*INDEX('🔖 배합비 참조'!$B$2:$CE$83,MATCH("현미멥쌀(국내산)",'🔖 배합비 참조'!$A$2:$A$83,0),MATCH($C93,'🔖 배합비 참조'!$B$1:$CE$1,0))/100,0),""))),"")</f>
        <v>0</v>
      </c>
      <c r="CC93" s="39" t="n">
        <f aca="false">IFERROR(IF($C93="","",IF($D93="","",IFERROR(ROUND($D93*INDEX('🔖 배합비 참조'!$B$2:$CE$83,MATCH("호두분태(미국산)",'🔖 배합비 참조'!$A$2:$A$83,0),MATCH($C93,'🔖 배합비 참조'!$B$1:$CE$1,0))/100,0),""))),"")</f>
        <v>0</v>
      </c>
      <c r="CD93" s="39" t="n">
        <f aca="false">IFERROR(IF($C93="","",IF($D93="","",IFERROR(ROUND($D93*INDEX('🔖 배합비 참조'!$B$2:$CE$83,MATCH("호박씨앗(외국산)",'🔖 배합비 참조'!$A$2:$A$83,0),MATCH($C93,'🔖 배합비 참조'!$B$1:$CE$1,0))/100,0),""))),"")</f>
        <v>0</v>
      </c>
      <c r="CE93" s="39" t="n">
        <f aca="false">IFERROR(IF($C93="","",IF($D93="","",IFERROR(ROUND($D93*INDEX('🔖 배합비 참조'!$B$2:$CE$83,MATCH("혼합제제(떡용에스텔)",'🔖 배합비 참조'!$A$2:$A$83,0),MATCH($C93,'🔖 배합비 참조'!$B$1:$CE$1,0))/100,0),""))),"")</f>
        <v>0</v>
      </c>
      <c r="CF93" s="39" t="n">
        <f aca="false">IFERROR(IF($C93="","",IF($D93="","",IFERROR(ROUND($D93*INDEX('🔖 배합비 참조'!$B$2:$CE$83,MATCH("혼합제제(스테비아)",'🔖 배합비 참조'!$A$2:$A$83,0),MATCH($C93,'🔖 배합비 참조'!$B$1:$CE$1,0))/100,0),""))),"")</f>
        <v>0</v>
      </c>
      <c r="CG93" s="39" t="n">
        <f aca="false">IFERROR(IF($C93="","",IF($D93="","",IFERROR(ROUND($D93*INDEX('🔖 배합비 참조'!$B$2:$CE$83,MATCH("화이트초콜릿",'🔖 배합비 참조'!$A$2:$A$83,0),MATCH($C93,'🔖 배합비 참조'!$B$1:$CE$1,0))/100,0),""))),"")</f>
        <v>0</v>
      </c>
      <c r="CH93" s="39" t="n">
        <f aca="false">IFERROR(IF($C93="","",IF($D93="","",IFERROR(ROUND($D93*INDEX('🔖 배합비 참조'!$B$2:$CE$83,MATCH("흑미찹쌀(국내산)",'🔖 배합비 참조'!$A$2:$A$83,0),MATCH($C93,'🔖 배합비 참조'!$B$1:$CE$1,0))/100,0),""))),"")</f>
        <v>0</v>
      </c>
      <c r="CI93" s="39" t="n">
        <f aca="false">IFERROR(IF($C93="","",IF($D93="","",IFERROR(ROUND($D93*INDEX('🔖 배합비 참조'!$B$2:$CE$83,MATCH("찰옥수수전분(미국산)",'🔖 배합비 참조'!$A$2:$A$83,0),MATCH($C93,'🔖 배합비 참조'!$B$1:$CE$1,0))/100,0),""))),"")</f>
        <v>0</v>
      </c>
      <c r="CJ93" s="40"/>
      <c r="CL93" s="1" t="s">
        <v>238</v>
      </c>
    </row>
    <row r="94" customFormat="false" ht="18" hidden="false" customHeight="true" outlineLevel="0" collapsed="false">
      <c r="A94" s="41" t="n">
        <v>90</v>
      </c>
      <c r="B94" s="36" t="n">
        <v>45989</v>
      </c>
      <c r="C94" s="37" t="s">
        <v>144</v>
      </c>
      <c r="D94" s="38" t="n">
        <v>70</v>
      </c>
      <c r="E94" s="17"/>
      <c r="F94" s="17"/>
      <c r="G94" s="42" t="n">
        <f aca="false">IFERROR(IF($C94="","",IF($D94="","",IFERROR(ROUND($D94*INDEX('🔖 배합비 참조'!$B$2:$CE$83,MATCH("간장",'🔖 배합비 참조'!$A$2:$A$83,0),MATCH($C94,'🔖 배합비 참조'!$B$1:$CE$1,0))/100,0),""))),"")</f>
        <v>0</v>
      </c>
      <c r="H94" s="42" t="n">
        <f aca="false">IFERROR(IF($C94="","",IF($D94="","",IFERROR(ROUND($D94*INDEX('🔖 배합비 참조'!$B$2:$CE$83,MATCH("강낭콩((울타리콩))",'🔖 배합비 참조'!$A$2:$A$83,0),MATCH($C94,'🔖 배합비 참조'!$B$1:$CE$1,0))/100,0),""))),"")</f>
        <v>0</v>
      </c>
      <c r="I94" s="42" t="n">
        <f aca="false">IFERROR(IF($C94="","",IF($D94="","",IFERROR(ROUND($D94*INDEX('🔖 배합비 참조'!$B$2:$CE$83,MATCH("건조딸기다이스(외국산)",'🔖 배합비 참조'!$A$2:$A$83,0),MATCH($C94,'🔖 배합비 참조'!$B$1:$CE$1,0))/100,0),""))),"")</f>
        <v>0</v>
      </c>
      <c r="J94" s="42" t="n">
        <f aca="false">IFERROR(IF($C94="","",IF($D94="","",IFERROR(ROUND($D94*INDEX('🔖 배합비 참조'!$B$2:$CE$83,MATCH("건포도",'🔖 배합비 참조'!$A$2:$A$83,0),MATCH($C94,'🔖 배합비 참조'!$B$1:$CE$1,0))/100,0),""))),"")</f>
        <v>0</v>
      </c>
      <c r="K94" s="42" t="n">
        <f aca="false">IFERROR(IF($C94="","",IF($D94="","",IFERROR(ROUND($D94*INDEX('🔖 배합비 참조'!$B$2:$CE$83,MATCH("건호박채(중국산)",'🔖 배합비 참조'!$A$2:$A$83,0),MATCH($C94,'🔖 배합비 참조'!$B$1:$CE$1,0))/100,0),""))),"")</f>
        <v>0</v>
      </c>
      <c r="L94" s="42" t="n">
        <f aca="false">IFERROR(IF($C94="","",IF($D94="","",IFERROR(ROUND($D94*INDEX('🔖 배합비 참조'!$B$2:$CE$83,MATCH("검정깨(흑임자)",'🔖 배합비 참조'!$A$2:$A$83,0),MATCH($C94,'🔖 배합비 참조'!$B$1:$CE$1,0))/100,0),""))),"")</f>
        <v>0</v>
      </c>
      <c r="M94" s="42" t="n">
        <f aca="false">IFERROR(IF($C94="","",IF($D94="","",IFERROR(ROUND($D94*INDEX('🔖 배합비 참조'!$B$2:$CE$83,MATCH("검정콩",'🔖 배합비 참조'!$A$2:$A$83,0),MATCH($C94,'🔖 배합비 참조'!$B$1:$CE$1,0))/100,0),""))),"")</f>
        <v>0</v>
      </c>
      <c r="N94" s="42" t="n">
        <f aca="false">IFERROR(IF($C94="","",IF($D94="","",IFERROR(ROUND($D94*INDEX('🔖 배합비 참조'!$B$2:$CE$83,MATCH("계피가루",'🔖 배합비 참조'!$A$2:$A$83,0),MATCH($C94,'🔖 배합비 참조'!$B$1:$CE$1,0))/100,0),""))),"")</f>
        <v>0</v>
      </c>
      <c r="O94" s="42" t="n">
        <f aca="false">IFERROR(IF($C94="","",IF($D94="","",IFERROR(ROUND($D94*INDEX('🔖 배합비 참조'!$B$2:$CE$83,MATCH("고구마가루",'🔖 배합비 참조'!$A$2:$A$83,0),MATCH($C94,'🔖 배합비 참조'!$B$1:$CE$1,0))/100,0),""))),"")</f>
        <v>0</v>
      </c>
      <c r="P94" s="42" t="n">
        <f aca="false">IFERROR(IF($C94="","",IF($D94="","",IFERROR(ROUND($D94*INDEX('🔖 배합비 참조'!$B$2:$CE$83,MATCH("고구마무스",'🔖 배합비 참조'!$A$2:$A$83,0),MATCH($C94,'🔖 배합비 참조'!$B$1:$CE$1,0))/100,0),""))),"")</f>
        <v>0</v>
      </c>
      <c r="Q94" s="42" t="n">
        <f aca="false">IFERROR(IF($C94="","",IF($D94="","",IFERROR(ROUND($D94*INDEX('🔖 배합비 참조'!$B$2:$CE$83,MATCH("고려엉겅퀴((곤드레)국내산)",'🔖 배합비 참조'!$A$2:$A$83,0),MATCH($C94,'🔖 배합비 참조'!$B$1:$CE$1,0))/100,0),""))),"")</f>
        <v>0</v>
      </c>
      <c r="R94" s="42" t="n">
        <f aca="false">IFERROR(IF($C94="","",IF($D94="","",IFERROR(ROUND($D94*INDEX('🔖 배합비 참조'!$B$2:$CE$83,MATCH("기타가공품(복분자가루)",'🔖 배합비 참조'!$A$2:$A$83,0),MATCH($C94,'🔖 배합비 참조'!$B$1:$CE$1,0))/100,0),""))),"")</f>
        <v>0</v>
      </c>
      <c r="S94" s="42" t="n">
        <f aca="false">IFERROR(IF($C94="","",IF($D94="","",IFERROR(ROUND($D94*INDEX('🔖 배합비 참조'!$B$2:$CE$83,MATCH("기타가공품(슈퍼소프트엠)",'🔖 배합비 참조'!$A$2:$A$83,0),MATCH($C94,'🔖 배합비 참조'!$B$1:$CE$1,0))/100,0),""))),"")</f>
        <v>0</v>
      </c>
      <c r="T94" s="42" t="n">
        <f aca="false">IFERROR(IF($C94="","",IF($D94="","",IFERROR(ROUND($D94*INDEX('🔖 배합비 참조'!$B$2:$CE$83,MATCH("기타가공품(파인소프트 E-티)",'🔖 배합비 참조'!$A$2:$A$83,0),MATCH($C94,'🔖 배합비 참조'!$B$1:$CE$1,0))/100,0),""))),"")</f>
        <v>0</v>
      </c>
      <c r="U94" s="42" t="n">
        <f aca="false">IFERROR(IF($C94="","",IF($D94="","",IFERROR(ROUND($D94*INDEX('🔖 배합비 참조'!$B$2:$CE$83,MATCH("기타가공품(프리미엄카스테라가루)",'🔖 배합비 참조'!$A$2:$A$83,0),MATCH($C94,'🔖 배합비 참조'!$B$1:$CE$1,0))/100,0),""))),"")</f>
        <v>0</v>
      </c>
      <c r="V94" s="42" t="n">
        <f aca="false">IFERROR(IF($C94="","",IF($D94="","",IFERROR(ROUND($D94*INDEX('🔖 배합비 참조'!$B$2:$CE$83,MATCH("기타가공품(흑임자가루)",'🔖 배합비 참조'!$A$2:$A$83,0),MATCH($C94,'🔖 배합비 참조'!$B$1:$CE$1,0))/100,0),""))),"")</f>
        <v>0</v>
      </c>
      <c r="W94" s="42" t="n">
        <f aca="false">IFERROR(IF($C94="","",IF($D94="","",IFERROR(ROUND($D94*INDEX('🔖 배합비 참조'!$B$2:$CE$83,MATCH("기타설탕(흑설탕)",'🔖 배합비 참조'!$A$2:$A$83,0),MATCH($C94,'🔖 배합비 참조'!$B$1:$CE$1,0))/100,0),""))),"")</f>
        <v>0</v>
      </c>
      <c r="X94" s="42" t="n">
        <f aca="false">IFERROR(IF($C94="","",IF($D94="","",IFERROR(ROUND($D94*INDEX('🔖 배합비 참조'!$B$2:$CE$83,MATCH("냉동쑥(국내산)",'🔖 배합비 참조'!$A$2:$A$83,0),MATCH($C94,'🔖 배합비 참조'!$B$1:$CE$1,0))/100,0),""))),"")</f>
        <v>0</v>
      </c>
      <c r="Y94" s="42" t="n">
        <f aca="false">IFERROR(IF($C94="","",IF($D94="","",IFERROR(ROUND($D94*INDEX('🔖 배합비 참조'!$B$2:$CE$83,MATCH("냉동증숙고구마(중국산)",'🔖 배합비 참조'!$A$2:$A$83,0),MATCH($C94,'🔖 배합비 참조'!$B$1:$CE$1,0))/100,0),""))),"")</f>
        <v>0</v>
      </c>
      <c r="Z94" s="42" t="n">
        <f aca="false">IFERROR(IF($C94="","",IF($D94="","",IFERROR(ROUND($D94*INDEX('🔖 배합비 참조'!$B$2:$CE$83,MATCH("녹차가루",'🔖 배합비 참조'!$A$2:$A$83,0),MATCH($C94,'🔖 배합비 참조'!$B$1:$CE$1,0))/100,0),""))),"")</f>
        <v>0</v>
      </c>
      <c r="AA94" s="42" t="n">
        <f aca="false">IFERROR(IF($C94="","",IF($D94="","",IFERROR(ROUND($D94*INDEX('🔖 배합비 참조'!$B$2:$CE$83,MATCH("다크초콜릿 컴파운드칩",'🔖 배합비 참조'!$A$2:$A$83,0),MATCH($C94,'🔖 배합비 참조'!$B$1:$CE$1,0))/100,0),""))),"")</f>
        <v>0</v>
      </c>
      <c r="AB94" s="42" t="n">
        <f aca="false">IFERROR(IF($C94="","",IF($D94="","",IFERROR(ROUND($D94*INDEX('🔖 배합비 참조'!$B$2:$CE$83,MATCH("단호박분말(중국산)",'🔖 배합비 참조'!$A$2:$A$83,0),MATCH($C94,'🔖 배합비 참조'!$B$1:$CE$1,0))/100,0),""))),"")</f>
        <v>0</v>
      </c>
      <c r="AC94" s="42" t="n">
        <f aca="false">IFERROR(IF($C94="","",IF($D94="","",IFERROR(ROUND($D94*INDEX('🔖 배합비 참조'!$B$2:$CE$83,MATCH("당류가공품(단호박농축액)",'🔖 배합비 참조'!$A$2:$A$83,0),MATCH($C94,'🔖 배합비 참조'!$B$1:$CE$1,0))/100,0),""))),"")</f>
        <v>0</v>
      </c>
      <c r="AD94" s="42" t="n">
        <f aca="false">IFERROR(IF($C94="","",IF($D94="","",IFERROR(ROUND($D94*INDEX('🔖 배합비 참조'!$B$2:$CE$83,MATCH("당류가공품(알룰로스,에리스리톨,스테비올배당체혼합)",'🔖 배합비 참조'!$A$2:$A$83,0),MATCH($C94,'🔖 배합비 참조'!$B$1:$CE$1,0))/100,0),""))),"")</f>
        <v>0</v>
      </c>
      <c r="AE94" s="42" t="n">
        <f aca="false">IFERROR(IF($C94="","",IF($D94="","",IFERROR(ROUND($D94*INDEX('🔖 배합비 참조'!$B$2:$CE$83,MATCH("당류가공품(알룰로스제로파우더)",'🔖 배합비 참조'!$A$2:$A$83,0),MATCH($C94,'🔖 배합비 참조'!$B$1:$CE$1,0))/100,0),""))),"")</f>
        <v>0</v>
      </c>
      <c r="AF94" s="42" t="n">
        <f aca="false">IFERROR(IF($C94="","",IF($D94="","",IFERROR(ROUND($D94*INDEX('🔖 배합비 참조'!$B$2:$CE$83,MATCH("당절임(완두배기)",'🔖 배합비 참조'!$A$2:$A$83,0),MATCH($C94,'🔖 배합비 참조'!$B$1:$CE$1,0))/100,0),""))),"")</f>
        <v>0</v>
      </c>
      <c r="AG94" s="42" t="n">
        <f aca="false">IFERROR(IF($C94="","",IF($D94="","",IFERROR(ROUND($D94*INDEX('🔖 배합비 참조'!$B$2:$CE$83,MATCH("대추농축액",'🔖 배합비 참조'!$A$2:$A$83,0),MATCH($C94,'🔖 배합비 참조'!$B$1:$CE$1,0))/100,0),""))),"")</f>
        <v>0</v>
      </c>
      <c r="AH94" s="42" t="n">
        <f aca="false">IFERROR(IF($C94="","",IF($D94="","",IFERROR(ROUND($D94*INDEX('🔖 배합비 참조'!$B$2:$CE$83,MATCH("대추채(국내산)",'🔖 배합비 참조'!$A$2:$A$83,0),MATCH($C94,'🔖 배합비 참조'!$B$1:$CE$1,0))/100,0),""))),"")</f>
        <v>0</v>
      </c>
      <c r="AI94" s="42" t="n">
        <f aca="false">IFERROR(IF($C94="","",IF($D94="","",IFERROR(ROUND($D94*INDEX('🔖 배합비 참조'!$B$2:$CE$83,MATCH("동부(미얀마산)",'🔖 배합비 참조'!$A$2:$A$83,0),MATCH($C94,'🔖 배합비 참조'!$B$1:$CE$1,0))/100,0),""))),"")</f>
        <v>0</v>
      </c>
      <c r="AJ94" s="42" t="n">
        <f aca="false">IFERROR(IF($C94="","",IF($D94="","",IFERROR(ROUND($D94*INDEX('🔖 배합비 참조'!$B$2:$CE$83,MATCH("두류가공품(백옥앙금)",'🔖 배합비 참조'!$A$2:$A$83,0),MATCH($C94,'🔖 배합비 참조'!$B$1:$CE$1,0))/100,0),""))),"")</f>
        <v>0</v>
      </c>
      <c r="AK94" s="42" t="n">
        <f aca="false">IFERROR(IF($C94="","",IF($D94="","",IFERROR(ROUND($D94*INDEX('🔖 배합비 참조'!$B$2:$CE$83,MATCH("두류가공품(콩고물)",'🔖 배합비 참조'!$A$2:$A$83,0),MATCH($C94,'🔖 배합비 참조'!$B$1:$CE$1,0))/100,0),""))),"")</f>
        <v>2</v>
      </c>
      <c r="AL94" s="42" t="n">
        <f aca="false">IFERROR(IF($C94="","",IF($D94="","",IFERROR(ROUND($D94*INDEX('🔖 배합비 참조'!$B$2:$CE$83,MATCH("두류가공품(통팥고물)",'🔖 배합비 참조'!$A$2:$A$83,0),MATCH($C94,'🔖 배합비 참조'!$B$1:$CE$1,0))/100,0),""))),"")</f>
        <v>0</v>
      </c>
      <c r="AM94" s="42" t="n">
        <f aca="false">IFERROR(IF($C94="","",IF($D94="","",IFERROR(ROUND($D94*INDEX('🔖 배합비 참조'!$B$2:$CE$83,MATCH("딸기레진",'🔖 배합비 참조'!$A$2:$A$83,0),MATCH($C94,'🔖 배합비 참조'!$B$1:$CE$1,0))/100,0),""))),"")</f>
        <v>0</v>
      </c>
      <c r="AN94" s="42" t="n">
        <f aca="false">IFERROR(IF($C94="","",IF($D94="","",IFERROR(ROUND($D94*INDEX('🔖 배합비 참조'!$B$2:$CE$83,MATCH("딸기분말(스트로우베리에이드(분말))",'🔖 배합비 참조'!$A$2:$A$83,0),MATCH($C94,'🔖 배합비 참조'!$B$1:$CE$1,0))/100,0),""))),"")</f>
        <v>0</v>
      </c>
      <c r="AO94" s="42" t="n">
        <f aca="false">IFERROR(IF($C94="","",IF($D94="","",IFERROR(ROUND($D94*INDEX('🔖 배합비 참조'!$B$2:$CE$83,MATCH("마스카포네치즈",'🔖 배합비 참조'!$A$2:$A$83,0),MATCH($C94,'🔖 배합비 참조'!$B$1:$CE$1,0))/100,0),""))),"")</f>
        <v>0</v>
      </c>
      <c r="AP94" s="42" t="n">
        <f aca="false">IFERROR(IF($C94="","",IF($D94="","",IFERROR(ROUND($D94*INDEX('🔖 배합비 참조'!$B$2:$CE$83,MATCH("마카다미아분태(호주산)",'🔖 배합비 참조'!$A$2:$A$83,0),MATCH($C94,'🔖 배합비 참조'!$B$1:$CE$1,0))/100,0),""))),"")</f>
        <v>0</v>
      </c>
      <c r="AQ94" s="42" t="n">
        <f aca="false">IFERROR(IF($C94="","",IF($D94="","",IFERROR(ROUND($D94*INDEX('🔖 배합비 참조'!$B$2:$CE$83,MATCH("멥쌀(국내산)",'🔖 배합비 참조'!$A$2:$A$83,0),MATCH($C94,'🔖 배합비 참조'!$B$1:$CE$1,0))/100,0),""))),"")</f>
        <v>0</v>
      </c>
      <c r="AR94" s="42" t="n">
        <f aca="false">IFERROR(IF($C94="","",IF($D94="","",IFERROR(ROUND($D94*INDEX('🔖 배합비 참조'!$B$2:$CE$83,MATCH("모시잎(국내산)",'🔖 배합비 참조'!$A$2:$A$83,0),MATCH($C94,'🔖 배합비 참조'!$B$1:$CE$1,0))/100,0),""))),"")</f>
        <v>0</v>
      </c>
      <c r="AS94" s="42" t="n">
        <f aca="false">IFERROR(IF($C94="","",IF($D94="","",IFERROR(ROUND($D94*INDEX('🔖 배합비 참조'!$B$2:$CE$83,MATCH("물엿(저당물엿)",'🔖 배합비 참조'!$A$2:$A$83,0),MATCH($C94,'🔖 배합비 참조'!$B$1:$CE$1,0))/100,0),""))),"")</f>
        <v>3</v>
      </c>
      <c r="AT94" s="42" t="n">
        <f aca="false">IFERROR(IF($C94="","",IF($D94="","",IFERROR(ROUND($D94*INDEX('🔖 배합비 참조'!$B$2:$CE$83,MATCH("밤다이스",'🔖 배합비 참조'!$A$2:$A$83,0),MATCH($C94,'🔖 배합비 참조'!$B$1:$CE$1,0))/100,0),""))),"")</f>
        <v>0</v>
      </c>
      <c r="AU94" s="42" t="n">
        <f aca="false">IFERROR(IF($C94="","",IF($D94="","",IFERROR(ROUND($D94*INDEX('🔖 배합비 참조'!$B$2:$CE$83,MATCH("변성전분(타피오카전분)",'🔖 배합비 참조'!$A$2:$A$83,0),MATCH($C94,'🔖 배합비 참조'!$B$1:$CE$1,0))/100,0),""))),"")</f>
        <v>0</v>
      </c>
      <c r="AV94" s="42" t="n">
        <f aca="false">IFERROR(IF($C94="","",IF($D94="","",IFERROR(ROUND($D94*INDEX('🔖 배합비 참조'!$B$2:$CE$83,MATCH("복음땅콩분태",'🔖 배합비 참조'!$A$2:$A$83,0),MATCH($C94,'🔖 배합비 참조'!$B$1:$CE$1,0))/100,0),""))),"")</f>
        <v>0</v>
      </c>
      <c r="AW94" s="42" t="n">
        <f aca="false">IFERROR(IF($C94="","",IF($D94="","",IFERROR(ROUND($D94*INDEX('🔖 배합비 참조'!$B$2:$CE$83,MATCH("사양벌꿀(국내산)",'🔖 배합비 참조'!$A$2:$A$83,0),MATCH($C94,'🔖 배합비 참조'!$B$1:$CE$1,0))/100,0),""))),"")</f>
        <v>0</v>
      </c>
      <c r="AX94" s="42" t="n">
        <f aca="false">IFERROR(IF($C94="","",IF($D94="","",IFERROR(ROUND($D94*INDEX('🔖 배합비 참조'!$B$2:$CE$83,MATCH("생크림",'🔖 배합비 참조'!$A$2:$A$83,0),MATCH($C94,'🔖 배합비 참조'!$B$1:$CE$1,0))/100,0),""))),"")</f>
        <v>0</v>
      </c>
      <c r="AY94" s="42" t="n">
        <f aca="false">IFERROR(IF($C94="","",IF($D94="","",IFERROR(ROUND($D94*INDEX('🔖 배합비 참조'!$B$2:$CE$83,MATCH("서양호박(국내산,뉴질랜드산)",'🔖 배합비 참조'!$A$2:$A$83,0),MATCH($C94,'🔖 배합비 참조'!$B$1:$CE$1,0))/100,0),""))),"")</f>
        <v>0</v>
      </c>
      <c r="AZ94" s="42" t="n">
        <f aca="false">IFERROR(IF($C94="","",IF($D94="","",IFERROR(ROUND($D94*INDEX('🔖 배합비 참조'!$B$2:$CE$83,MATCH("설탕",'🔖 배합비 참조'!$A$2:$A$83,0),MATCH($C94,'🔖 배합비 참조'!$B$1:$CE$1,0))/100,0),""))),"")</f>
        <v>3</v>
      </c>
      <c r="BA94" s="42" t="n">
        <f aca="false">IFERROR(IF($C94="","",IF($D94="","",IFERROR(ROUND($D94*INDEX('🔖 배합비 참조'!$B$2:$CE$83,MATCH("스트로우베리 에이드 후레쉬",'🔖 배합비 참조'!$A$2:$A$83,0),MATCH($C94,'🔖 배합비 참조'!$B$1:$CE$1,0))/100,0),""))),"")</f>
        <v>0</v>
      </c>
      <c r="BB94" s="42" t="n">
        <f aca="false">IFERROR(IF($C94="","",IF($D94="","",IFERROR(ROUND($D94*INDEX('🔖 배합비 참조'!$B$2:$CE$83,MATCH("식물성기름혼합제제(분홍)",'🔖 배합비 참조'!$A$2:$A$83,0),MATCH($C94,'🔖 배합비 참조'!$B$1:$CE$1,0))/100,0),""))),"")</f>
        <v>0</v>
      </c>
      <c r="BC94" s="42" t="n">
        <f aca="false">IFERROR(IF($C94="","",IF($D94="","",IFERROR(ROUND($D94*INDEX('🔖 배합비 참조'!$B$2:$CE$83,MATCH("식물성기름혼합제제(초록)",'🔖 배합비 참조'!$A$2:$A$83,0),MATCH($C94,'🔖 배합비 참조'!$B$1:$CE$1,0))/100,0),""))),"")</f>
        <v>0</v>
      </c>
      <c r="BD94" s="42" t="n">
        <f aca="false">IFERROR(IF($C94="","",IF($D94="","",IFERROR(ROUND($D94*INDEX('🔖 배합비 참조'!$B$2:$CE$83,MATCH("식물성기름혼합제제(황색)",'🔖 배합비 참조'!$A$2:$A$83,0),MATCH($C94,'🔖 배합비 참조'!$B$1:$CE$1,0))/100,0),""))),"")</f>
        <v>0</v>
      </c>
      <c r="BE94" s="42" t="n">
        <f aca="false">IFERROR(IF($C94="","",IF($D94="","",IFERROR(ROUND($D94*INDEX('🔖 배합비 참조'!$B$2:$CE$83,MATCH("쑥가루(국내산)",'🔖 배합비 참조'!$A$2:$A$83,0),MATCH($C94,'🔖 배합비 참조'!$B$1:$CE$1,0))/100,0),""))),"")</f>
        <v>0</v>
      </c>
      <c r="BF94" s="42" t="n">
        <f aca="false">IFERROR(IF($C94="","",IF($D94="","",IFERROR(ROUND($D94*INDEX('🔖 배합비 참조'!$B$2:$CE$83,MATCH("아몬드슬라이스",'🔖 배합비 참조'!$A$2:$A$83,0),MATCH($C94,'🔖 배합비 참조'!$B$1:$CE$1,0))/100,0),""))),"")</f>
        <v>0</v>
      </c>
      <c r="BG94" s="42" t="n">
        <f aca="false">IFERROR(IF($C94="","",IF($D94="","",IFERROR(ROUND($D94*INDEX('🔖 배합비 참조'!$B$2:$CE$83,MATCH("알룰로오스(국내산)",'🔖 배합비 참조'!$A$2:$A$83,0),MATCH($C94,'🔖 배합비 참조'!$B$1:$CE$1,0))/100,0),""))),"")</f>
        <v>0</v>
      </c>
      <c r="BH94" s="42" t="n">
        <f aca="false">IFERROR(IF($C94="","",IF($D94="","",IFERROR(ROUND($D94*INDEX('🔖 배합비 참조'!$B$2:$CE$83,MATCH("연유",'🔖 배합비 참조'!$A$2:$A$83,0),MATCH($C94,'🔖 배합비 참조'!$B$1:$CE$1,0))/100,0),""))),"")</f>
        <v>0</v>
      </c>
      <c r="BI94" s="42" t="n">
        <f aca="false">IFERROR(IF($C94="","",IF($D94="","",IFERROR(ROUND($D94*INDEX('🔖 배합비 참조'!$B$2:$CE$83,MATCH("옥수수전분",'🔖 배합비 참조'!$A$2:$A$83,0),MATCH($C94,'🔖 배합비 참조'!$B$1:$CE$1,0))/100,0),""))),"")</f>
        <v>0</v>
      </c>
      <c r="BJ94" s="42" t="n">
        <f aca="false">IFERROR(IF($C94="","",IF($D94="","",IFERROR(ROUND($D94*INDEX('🔖 배합비 참조'!$B$2:$CE$83,MATCH("완두배기",'🔖 배합비 참조'!$A$2:$A$83,0),MATCH($C94,'🔖 배합비 참조'!$B$1:$CE$1,0))/100,0),""))),"")</f>
        <v>0</v>
      </c>
      <c r="BK94" s="42" t="n">
        <f aca="false">IFERROR(IF($C94="","",IF($D94="","",IFERROR(ROUND($D94*INDEX('🔖 배합비 참조'!$B$2:$CE$83,MATCH("우유(국내산)",'🔖 배합비 참조'!$A$2:$A$83,0),MATCH($C94,'🔖 배합비 참조'!$B$1:$CE$1,0))/100,0),""))),"")</f>
        <v>0</v>
      </c>
      <c r="BL94" s="42" t="n">
        <f aca="false">IFERROR(IF($C94="","",IF($D94="","",IFERROR(ROUND($D94*INDEX('🔖 배합비 참조'!$B$2:$CE$83,MATCH("자색고구마가루(중국산)",'🔖 배합비 참조'!$A$2:$A$83,0),MATCH($C94,'🔖 배합비 참조'!$B$1:$CE$1,0))/100,0),""))),"")</f>
        <v>0</v>
      </c>
      <c r="BM94" s="42" t="n">
        <f aca="false">IFERROR(IF($C94="","",IF($D94="","",IFERROR(ROUND($D94*INDEX('🔖 배합비 참조'!$B$2:$CE$83,MATCH("자연치즈(체다치즈)",'🔖 배합비 참조'!$A$2:$A$83,0),MATCH($C94,'🔖 배합비 참조'!$B$1:$CE$1,0))/100,0),""))),"")</f>
        <v>0</v>
      </c>
      <c r="BN94" s="42" t="n">
        <f aca="false">IFERROR(IF($C94="","",IF($D94="","",IFERROR(ROUND($D94*INDEX('🔖 배합비 참조'!$B$2:$CE$83,MATCH("정제수",'🔖 배합비 참조'!$A$2:$A$83,0),MATCH($C94,'🔖 배합비 참조'!$B$1:$CE$1,0))/100,0),""))),"")</f>
        <v>27</v>
      </c>
      <c r="BO94" s="42" t="n">
        <f aca="false">IFERROR(IF($C94="","",IF($D94="","",IFERROR(ROUND($D94*INDEX('🔖 배합비 참조'!$B$2:$CE$83,MATCH("젤라틴",'🔖 배합비 참조'!$A$2:$A$83,0),MATCH($C94,'🔖 배합비 참조'!$B$1:$CE$1,0))/100,0),""))),"")</f>
        <v>0</v>
      </c>
      <c r="BP94" s="42" t="n">
        <f aca="false">IFERROR(IF($C94="","",IF($D94="","",IFERROR(ROUND($D94*INDEX('🔖 배합비 참조'!$B$2:$CE$83,MATCH("조림류(백옥앙금)",'🔖 배합비 참조'!$A$2:$A$83,0),MATCH($C94,'🔖 배합비 참조'!$B$1:$CE$1,0))/100,0),""))),"")</f>
        <v>0</v>
      </c>
      <c r="BQ94" s="42" t="n">
        <f aca="false">IFERROR(IF($C94="","",IF($D94="","",IFERROR(ROUND($D94*INDEX('🔖 배합비 참조'!$B$2:$CE$83,MATCH("조림류(통팥앙금)",'🔖 배합비 참조'!$A$2:$A$83,0),MATCH($C94,'🔖 배합비 참조'!$B$1:$CE$1,0))/100,0),""))),"")</f>
        <v>0</v>
      </c>
      <c r="BR94" s="42" t="n">
        <f aca="false">IFERROR(IF($C94="","",IF($D94="","",IFERROR(ROUND($D94*INDEX('🔖 배합비 참조'!$B$2:$CE$83,MATCH("준초콜릿(외국산)",'🔖 배합비 참조'!$A$2:$A$83,0),MATCH($C94,'🔖 배합비 참조'!$B$1:$CE$1,0))/100,0),""))),"")</f>
        <v>0</v>
      </c>
      <c r="BS94" s="42" t="n">
        <f aca="false">IFERROR(IF($C94="","",IF($D94="","",IFERROR(ROUND($D94*INDEX('🔖 배합비 참조'!$B$2:$CE$83,MATCH("중력분",'🔖 배합비 참조'!$A$2:$A$83,0),MATCH($C94,'🔖 배합비 참조'!$B$1:$CE$1,0))/100,0),""))),"")</f>
        <v>1</v>
      </c>
      <c r="BT94" s="42" t="n">
        <f aca="false">IFERROR(IF($C94="","",IF($D94="","",IFERROR(ROUND($D94*INDEX('🔖 배합비 참조'!$B$2:$CE$83,MATCH("참깨(인도산,나이지리아산,탄자니아산,미얀마산)",'🔖 배합비 참조'!$A$2:$A$83,0),MATCH($C94,'🔖 배합비 참조'!$B$1:$CE$1,0))/100,0),""))),"")</f>
        <v>0</v>
      </c>
      <c r="BU94" s="42" t="n">
        <f aca="false">IFERROR(IF($C94="","",IF($D94="","",IFERROR(ROUND($D94*INDEX('🔖 배합비 참조'!$B$2:$CE$83,MATCH("찹쌀(국내산)",'🔖 배합비 참조'!$A$2:$A$83,0),MATCH($C94,'🔖 배합비 참조'!$B$1:$CE$1,0))/100,0),""))),"")</f>
        <v>33</v>
      </c>
      <c r="BV94" s="42" t="n">
        <f aca="false">IFERROR(IF($C94="","",IF($D94="","",IFERROR(ROUND($D94*INDEX('🔖 배합비 참조'!$B$2:$CE$83,MATCH("천일염",'🔖 배합비 참조'!$A$2:$A$83,0),MATCH($C94,'🔖 배합비 참조'!$B$1:$CE$1,0))/100,0),""))),"")</f>
        <v>1</v>
      </c>
      <c r="BW94" s="42" t="n">
        <f aca="false">IFERROR(IF($C94="","",IF($D94="","",IFERROR(ROUND($D94*INDEX('🔖 배합비 참조'!$B$2:$CE$83,MATCH("치즈 [크림치즈]",'🔖 배합비 참조'!$A$2:$A$83,0),MATCH($C94,'🔖 배합비 참조'!$B$1:$CE$1,0))/100,0),""))),"")</f>
        <v>0</v>
      </c>
      <c r="BX94" s="42" t="n">
        <f aca="false">IFERROR(IF($C94="","",IF($D94="","",IFERROR(ROUND($D94*INDEX('🔖 배합비 참조'!$B$2:$CE$83,MATCH("코코아가공품류(코코아분말)",'🔖 배합비 참조'!$A$2:$A$83,0),MATCH($C94,'🔖 배합비 참조'!$B$1:$CE$1,0))/100,0),""))),"")</f>
        <v>0</v>
      </c>
      <c r="BY94" s="42" t="n">
        <f aca="false">IFERROR(IF($C94="","",IF($D94="","",IFERROR(ROUND($D94*INDEX('🔖 배합비 참조'!$B$2:$CE$83,MATCH("콩기름(대두유)",'🔖 배합비 참조'!$A$2:$A$83,0),MATCH($C94,'🔖 배합비 참조'!$B$1:$CE$1,0))/100,0),""))),"")</f>
        <v>0</v>
      </c>
      <c r="BZ94" s="42" t="n">
        <f aca="false">IFERROR(IF($C94="","",IF($D94="","",IFERROR(ROUND($D94*INDEX('🔖 배합비 참조'!$B$2:$CE$83,MATCH("해바라기씨앗",'🔖 배합비 참조'!$A$2:$A$83,0),MATCH($C94,'🔖 배합비 참조'!$B$1:$CE$1,0))/100,0),""))),"")</f>
        <v>0</v>
      </c>
      <c r="CA94" s="42" t="n">
        <f aca="false">IFERROR(IF($C94="","",IF($D94="","",IFERROR(ROUND($D94*INDEX('🔖 배합비 참조'!$B$2:$CE$83,MATCH("현미(국내산)",'🔖 배합비 참조'!$A$2:$A$83,0),MATCH($C94,'🔖 배합비 참조'!$B$1:$CE$1,0))/100,0),""))),"")</f>
        <v>0</v>
      </c>
      <c r="CB94" s="42" t="n">
        <f aca="false">IFERROR(IF($C94="","",IF($D94="","",IFERROR(ROUND($D94*INDEX('🔖 배합비 참조'!$B$2:$CE$83,MATCH("현미멥쌀(국내산)",'🔖 배합비 참조'!$A$2:$A$83,0),MATCH($C94,'🔖 배합비 참조'!$B$1:$CE$1,0))/100,0),""))),"")</f>
        <v>0</v>
      </c>
      <c r="CC94" s="42" t="n">
        <f aca="false">IFERROR(IF($C94="","",IF($D94="","",IFERROR(ROUND($D94*INDEX('🔖 배합비 참조'!$B$2:$CE$83,MATCH("호두분태(미국산)",'🔖 배합비 참조'!$A$2:$A$83,0),MATCH($C94,'🔖 배합비 참조'!$B$1:$CE$1,0))/100,0),""))),"")</f>
        <v>0</v>
      </c>
      <c r="CD94" s="42" t="n">
        <f aca="false">IFERROR(IF($C94="","",IF($D94="","",IFERROR(ROUND($D94*INDEX('🔖 배합비 참조'!$B$2:$CE$83,MATCH("호박씨앗(외국산)",'🔖 배합비 참조'!$A$2:$A$83,0),MATCH($C94,'🔖 배합비 참조'!$B$1:$CE$1,0))/100,0),""))),"")</f>
        <v>0</v>
      </c>
      <c r="CE94" s="42" t="n">
        <f aca="false">IFERROR(IF($C94="","",IF($D94="","",IFERROR(ROUND($D94*INDEX('🔖 배합비 참조'!$B$2:$CE$83,MATCH("혼합제제(떡용에스텔)",'🔖 배합비 참조'!$A$2:$A$83,0),MATCH($C94,'🔖 배합비 참조'!$B$1:$CE$1,0))/100,0),""))),"")</f>
        <v>0</v>
      </c>
      <c r="CF94" s="42" t="n">
        <f aca="false">IFERROR(IF($C94="","",IF($D94="","",IFERROR(ROUND($D94*INDEX('🔖 배합비 참조'!$B$2:$CE$83,MATCH("혼합제제(스테비아)",'🔖 배합비 참조'!$A$2:$A$83,0),MATCH($C94,'🔖 배합비 참조'!$B$1:$CE$1,0))/100,0),""))),"")</f>
        <v>0</v>
      </c>
      <c r="CG94" s="42" t="n">
        <f aca="false">IFERROR(IF($C94="","",IF($D94="","",IFERROR(ROUND($D94*INDEX('🔖 배합비 참조'!$B$2:$CE$83,MATCH("화이트초콜릿",'🔖 배합비 참조'!$A$2:$A$83,0),MATCH($C94,'🔖 배합비 참조'!$B$1:$CE$1,0))/100,0),""))),"")</f>
        <v>0</v>
      </c>
      <c r="CH94" s="42" t="n">
        <f aca="false">IFERROR(IF($C94="","",IF($D94="","",IFERROR(ROUND($D94*INDEX('🔖 배합비 참조'!$B$2:$CE$83,MATCH("흑미찹쌀(국내산)",'🔖 배합비 참조'!$A$2:$A$83,0),MATCH($C94,'🔖 배합비 참조'!$B$1:$CE$1,0))/100,0),""))),"")</f>
        <v>0</v>
      </c>
      <c r="CI94" s="42" t="n">
        <f aca="false">IFERROR(IF($C94="","",IF($D94="","",IFERROR(ROUND($D94*INDEX('🔖 배합비 참조'!$B$2:$CE$83,MATCH("찰옥수수전분(미국산)",'🔖 배합비 참조'!$A$2:$A$83,0),MATCH($C94,'🔖 배합비 참조'!$B$1:$CE$1,0))/100,0),""))),"")</f>
        <v>0</v>
      </c>
      <c r="CJ94" s="40"/>
      <c r="CL94" s="1" t="s">
        <v>238</v>
      </c>
    </row>
    <row r="95" customFormat="false" ht="18" hidden="false" customHeight="true" outlineLevel="0" collapsed="false">
      <c r="A95" s="35" t="n">
        <v>91</v>
      </c>
      <c r="B95" s="36" t="n">
        <v>45989</v>
      </c>
      <c r="C95" s="37" t="s">
        <v>204</v>
      </c>
      <c r="D95" s="38" t="n">
        <v>280</v>
      </c>
      <c r="E95" s="13"/>
      <c r="F95" s="13"/>
      <c r="G95" s="39" t="n">
        <f aca="false">IFERROR(IF($C95="","",IF($D95="","",IFERROR(ROUND($D95*INDEX('🔖 배합비 참조'!$B$2:$CE$83,MATCH("간장",'🔖 배합비 참조'!$A$2:$A$83,0),MATCH($C95,'🔖 배합비 참조'!$B$1:$CE$1,0))/100,0),""))),"")</f>
        <v>0</v>
      </c>
      <c r="H95" s="39" t="n">
        <f aca="false">IFERROR(IF($C95="","",IF($D95="","",IFERROR(ROUND($D95*INDEX('🔖 배합비 참조'!$B$2:$CE$83,MATCH("강낭콩((울타리콩))",'🔖 배합비 참조'!$A$2:$A$83,0),MATCH($C95,'🔖 배합비 참조'!$B$1:$CE$1,0))/100,0),""))),"")</f>
        <v>0</v>
      </c>
      <c r="I95" s="39" t="n">
        <f aca="false">IFERROR(IF($C95="","",IF($D95="","",IFERROR(ROUND($D95*INDEX('🔖 배합비 참조'!$B$2:$CE$83,MATCH("건조딸기다이스(외국산)",'🔖 배합비 참조'!$A$2:$A$83,0),MATCH($C95,'🔖 배합비 참조'!$B$1:$CE$1,0))/100,0),""))),"")</f>
        <v>0</v>
      </c>
      <c r="J95" s="39" t="n">
        <f aca="false">IFERROR(IF($C95="","",IF($D95="","",IFERROR(ROUND($D95*INDEX('🔖 배합비 참조'!$B$2:$CE$83,MATCH("건포도",'🔖 배합비 참조'!$A$2:$A$83,0),MATCH($C95,'🔖 배합비 참조'!$B$1:$CE$1,0))/100,0),""))),"")</f>
        <v>0</v>
      </c>
      <c r="K95" s="39" t="n">
        <f aca="false">IFERROR(IF($C95="","",IF($D95="","",IFERROR(ROUND($D95*INDEX('🔖 배합비 참조'!$B$2:$CE$83,MATCH("건호박채(중국산)",'🔖 배합비 참조'!$A$2:$A$83,0),MATCH($C95,'🔖 배합비 참조'!$B$1:$CE$1,0))/100,0),""))),"")</f>
        <v>0</v>
      </c>
      <c r="L95" s="39" t="n">
        <f aca="false">IFERROR(IF($C95="","",IF($D95="","",IFERROR(ROUND($D95*INDEX('🔖 배합비 참조'!$B$2:$CE$83,MATCH("검정깨(흑임자)",'🔖 배합비 참조'!$A$2:$A$83,0),MATCH($C95,'🔖 배합비 참조'!$B$1:$CE$1,0))/100,0),""))),"")</f>
        <v>0</v>
      </c>
      <c r="M95" s="39" t="n">
        <f aca="false">IFERROR(IF($C95="","",IF($D95="","",IFERROR(ROUND($D95*INDEX('🔖 배합비 참조'!$B$2:$CE$83,MATCH("검정콩",'🔖 배합비 참조'!$A$2:$A$83,0),MATCH($C95,'🔖 배합비 참조'!$B$1:$CE$1,0))/100,0),""))),"")</f>
        <v>0</v>
      </c>
      <c r="N95" s="39" t="n">
        <f aca="false">IFERROR(IF($C95="","",IF($D95="","",IFERROR(ROUND($D95*INDEX('🔖 배합비 참조'!$B$2:$CE$83,MATCH("계피가루",'🔖 배합비 참조'!$A$2:$A$83,0),MATCH($C95,'🔖 배합비 참조'!$B$1:$CE$1,0))/100,0),""))),"")</f>
        <v>0</v>
      </c>
      <c r="O95" s="39" t="n">
        <f aca="false">IFERROR(IF($C95="","",IF($D95="","",IFERROR(ROUND($D95*INDEX('🔖 배합비 참조'!$B$2:$CE$83,MATCH("고구마가루",'🔖 배합비 참조'!$A$2:$A$83,0),MATCH($C95,'🔖 배합비 참조'!$B$1:$CE$1,0))/100,0),""))),"")</f>
        <v>0</v>
      </c>
      <c r="P95" s="39" t="n">
        <f aca="false">IFERROR(IF($C95="","",IF($D95="","",IFERROR(ROUND($D95*INDEX('🔖 배합비 참조'!$B$2:$CE$83,MATCH("고구마무스",'🔖 배합비 참조'!$A$2:$A$83,0),MATCH($C95,'🔖 배합비 참조'!$B$1:$CE$1,0))/100,0),""))),"")</f>
        <v>0</v>
      </c>
      <c r="Q95" s="39" t="n">
        <f aca="false">IFERROR(IF($C95="","",IF($D95="","",IFERROR(ROUND($D95*INDEX('🔖 배합비 참조'!$B$2:$CE$83,MATCH("고려엉겅퀴((곤드레)국내산)",'🔖 배합비 참조'!$A$2:$A$83,0),MATCH($C95,'🔖 배합비 참조'!$B$1:$CE$1,0))/100,0),""))),"")</f>
        <v>0</v>
      </c>
      <c r="R95" s="39" t="n">
        <f aca="false">IFERROR(IF($C95="","",IF($D95="","",IFERROR(ROUND($D95*INDEX('🔖 배합비 참조'!$B$2:$CE$83,MATCH("기타가공품(복분자가루)",'🔖 배합비 참조'!$A$2:$A$83,0),MATCH($C95,'🔖 배합비 참조'!$B$1:$CE$1,0))/100,0),""))),"")</f>
        <v>0</v>
      </c>
      <c r="S95" s="39" t="n">
        <f aca="false">IFERROR(IF($C95="","",IF($D95="","",IFERROR(ROUND($D95*INDEX('🔖 배합비 참조'!$B$2:$CE$83,MATCH("기타가공품(슈퍼소프트엠)",'🔖 배합비 참조'!$A$2:$A$83,0),MATCH($C95,'🔖 배합비 참조'!$B$1:$CE$1,0))/100,0),""))),"")</f>
        <v>0</v>
      </c>
      <c r="T95" s="39" t="n">
        <f aca="false">IFERROR(IF($C95="","",IF($D95="","",IFERROR(ROUND($D95*INDEX('🔖 배합비 참조'!$B$2:$CE$83,MATCH("기타가공품(파인소프트 E-티)",'🔖 배합비 참조'!$A$2:$A$83,0),MATCH($C95,'🔖 배합비 참조'!$B$1:$CE$1,0))/100,0),""))),"")</f>
        <v>0</v>
      </c>
      <c r="U95" s="39" t="n">
        <f aca="false">IFERROR(IF($C95="","",IF($D95="","",IFERROR(ROUND($D95*INDEX('🔖 배합비 참조'!$B$2:$CE$83,MATCH("기타가공품(프리미엄카스테라가루)",'🔖 배합비 참조'!$A$2:$A$83,0),MATCH($C95,'🔖 배합비 참조'!$B$1:$CE$1,0))/100,0),""))),"")</f>
        <v>0</v>
      </c>
      <c r="V95" s="39" t="n">
        <f aca="false">IFERROR(IF($C95="","",IF($D95="","",IFERROR(ROUND($D95*INDEX('🔖 배합비 참조'!$B$2:$CE$83,MATCH("기타가공품(흑임자가루)",'🔖 배합비 참조'!$A$2:$A$83,0),MATCH($C95,'🔖 배합비 참조'!$B$1:$CE$1,0))/100,0),""))),"")</f>
        <v>0</v>
      </c>
      <c r="W95" s="39" t="n">
        <f aca="false">IFERROR(IF($C95="","",IF($D95="","",IFERROR(ROUND($D95*INDEX('🔖 배합비 참조'!$B$2:$CE$83,MATCH("기타설탕(흑설탕)",'🔖 배합비 참조'!$A$2:$A$83,0),MATCH($C95,'🔖 배합비 참조'!$B$1:$CE$1,0))/100,0),""))),"")</f>
        <v>0</v>
      </c>
      <c r="X95" s="39" t="n">
        <f aca="false">IFERROR(IF($C95="","",IF($D95="","",IFERROR(ROUND($D95*INDEX('🔖 배합비 참조'!$B$2:$CE$83,MATCH("냉동쑥(국내산)",'🔖 배합비 참조'!$A$2:$A$83,0),MATCH($C95,'🔖 배합비 참조'!$B$1:$CE$1,0))/100,0),""))),"")</f>
        <v>9</v>
      </c>
      <c r="Y95" s="39" t="n">
        <f aca="false">IFERROR(IF($C95="","",IF($D95="","",IFERROR(ROUND($D95*INDEX('🔖 배합비 참조'!$B$2:$CE$83,MATCH("냉동증숙고구마(중국산)",'🔖 배합비 참조'!$A$2:$A$83,0),MATCH($C95,'🔖 배합비 참조'!$B$1:$CE$1,0))/100,0),""))),"")</f>
        <v>0</v>
      </c>
      <c r="Z95" s="39" t="n">
        <f aca="false">IFERROR(IF($C95="","",IF($D95="","",IFERROR(ROUND($D95*INDEX('🔖 배합비 참조'!$B$2:$CE$83,MATCH("녹차가루",'🔖 배합비 참조'!$A$2:$A$83,0),MATCH($C95,'🔖 배합비 참조'!$B$1:$CE$1,0))/100,0),""))),"")</f>
        <v>0</v>
      </c>
      <c r="AA95" s="39" t="n">
        <f aca="false">IFERROR(IF($C95="","",IF($D95="","",IFERROR(ROUND($D95*INDEX('🔖 배합비 참조'!$B$2:$CE$83,MATCH("다크초콜릿 컴파운드칩",'🔖 배합비 참조'!$A$2:$A$83,0),MATCH($C95,'🔖 배합비 참조'!$B$1:$CE$1,0))/100,0),""))),"")</f>
        <v>0</v>
      </c>
      <c r="AB95" s="39" t="n">
        <f aca="false">IFERROR(IF($C95="","",IF($D95="","",IFERROR(ROUND($D95*INDEX('🔖 배합비 참조'!$B$2:$CE$83,MATCH("단호박분말(중국산)",'🔖 배합비 참조'!$A$2:$A$83,0),MATCH($C95,'🔖 배합비 참조'!$B$1:$CE$1,0))/100,0),""))),"")</f>
        <v>0</v>
      </c>
      <c r="AC95" s="39" t="n">
        <f aca="false">IFERROR(IF($C95="","",IF($D95="","",IFERROR(ROUND($D95*INDEX('🔖 배합비 참조'!$B$2:$CE$83,MATCH("당류가공품(단호박농축액)",'🔖 배합비 참조'!$A$2:$A$83,0),MATCH($C95,'🔖 배합비 참조'!$B$1:$CE$1,0))/100,0),""))),"")</f>
        <v>0</v>
      </c>
      <c r="AD95" s="39" t="n">
        <f aca="false">IFERROR(IF($C95="","",IF($D95="","",IFERROR(ROUND($D95*INDEX('🔖 배합비 참조'!$B$2:$CE$83,MATCH("당류가공품(알룰로스,에리스리톨,스테비올배당체혼합)",'🔖 배합비 참조'!$A$2:$A$83,0),MATCH($C95,'🔖 배합비 참조'!$B$1:$CE$1,0))/100,0),""))),"")</f>
        <v>0</v>
      </c>
      <c r="AE95" s="39" t="n">
        <f aca="false">IFERROR(IF($C95="","",IF($D95="","",IFERROR(ROUND($D95*INDEX('🔖 배합비 참조'!$B$2:$CE$83,MATCH("당류가공품(알룰로스제로파우더)",'🔖 배합비 참조'!$A$2:$A$83,0),MATCH($C95,'🔖 배합비 참조'!$B$1:$CE$1,0))/100,0),""))),"")</f>
        <v>0</v>
      </c>
      <c r="AF95" s="39" t="n">
        <f aca="false">IFERROR(IF($C95="","",IF($D95="","",IFERROR(ROUND($D95*INDEX('🔖 배합비 참조'!$B$2:$CE$83,MATCH("당절임(완두배기)",'🔖 배합비 참조'!$A$2:$A$83,0),MATCH($C95,'🔖 배합비 참조'!$B$1:$CE$1,0))/100,0),""))),"")</f>
        <v>0</v>
      </c>
      <c r="AG95" s="39" t="n">
        <f aca="false">IFERROR(IF($C95="","",IF($D95="","",IFERROR(ROUND($D95*INDEX('🔖 배합비 참조'!$B$2:$CE$83,MATCH("대추농축액",'🔖 배합비 참조'!$A$2:$A$83,0),MATCH($C95,'🔖 배합비 참조'!$B$1:$CE$1,0))/100,0),""))),"")</f>
        <v>0</v>
      </c>
      <c r="AH95" s="39" t="n">
        <f aca="false">IFERROR(IF($C95="","",IF($D95="","",IFERROR(ROUND($D95*INDEX('🔖 배합비 참조'!$B$2:$CE$83,MATCH("대추채(국내산)",'🔖 배합비 참조'!$A$2:$A$83,0),MATCH($C95,'🔖 배합비 참조'!$B$1:$CE$1,0))/100,0),""))),"")</f>
        <v>0</v>
      </c>
      <c r="AI95" s="39" t="n">
        <f aca="false">IFERROR(IF($C95="","",IF($D95="","",IFERROR(ROUND($D95*INDEX('🔖 배합비 참조'!$B$2:$CE$83,MATCH("동부(미얀마산)",'🔖 배합비 참조'!$A$2:$A$83,0),MATCH($C95,'🔖 배합비 참조'!$B$1:$CE$1,0))/100,0),""))),"")</f>
        <v>0</v>
      </c>
      <c r="AJ95" s="39" t="n">
        <f aca="false">IFERROR(IF($C95="","",IF($D95="","",IFERROR(ROUND($D95*INDEX('🔖 배합비 참조'!$B$2:$CE$83,MATCH("두류가공품(백옥앙금)",'🔖 배합비 참조'!$A$2:$A$83,0),MATCH($C95,'🔖 배합비 참조'!$B$1:$CE$1,0))/100,0),""))),"")</f>
        <v>0</v>
      </c>
      <c r="AK95" s="39" t="n">
        <f aca="false">IFERROR(IF($C95="","",IF($D95="","",IFERROR(ROUND($D95*INDEX('🔖 배합비 참조'!$B$2:$CE$83,MATCH("두류가공품(콩고물)",'🔖 배합비 참조'!$A$2:$A$83,0),MATCH($C95,'🔖 배합비 참조'!$B$1:$CE$1,0))/100,0),""))),"")</f>
        <v>8</v>
      </c>
      <c r="AL95" s="39" t="n">
        <f aca="false">IFERROR(IF($C95="","",IF($D95="","",IFERROR(ROUND($D95*INDEX('🔖 배합비 참조'!$B$2:$CE$83,MATCH("두류가공품(통팥고물)",'🔖 배합비 참조'!$A$2:$A$83,0),MATCH($C95,'🔖 배합비 참조'!$B$1:$CE$1,0))/100,0),""))),"")</f>
        <v>0</v>
      </c>
      <c r="AM95" s="39" t="n">
        <f aca="false">IFERROR(IF($C95="","",IF($D95="","",IFERROR(ROUND($D95*INDEX('🔖 배합비 참조'!$B$2:$CE$83,MATCH("딸기레진",'🔖 배합비 참조'!$A$2:$A$83,0),MATCH($C95,'🔖 배합비 참조'!$B$1:$CE$1,0))/100,0),""))),"")</f>
        <v>0</v>
      </c>
      <c r="AN95" s="39" t="n">
        <f aca="false">IFERROR(IF($C95="","",IF($D95="","",IFERROR(ROUND($D95*INDEX('🔖 배합비 참조'!$B$2:$CE$83,MATCH("딸기분말(스트로우베리에이드(분말))",'🔖 배합비 참조'!$A$2:$A$83,0),MATCH($C95,'🔖 배합비 참조'!$B$1:$CE$1,0))/100,0),""))),"")</f>
        <v>0</v>
      </c>
      <c r="AO95" s="39" t="n">
        <f aca="false">IFERROR(IF($C95="","",IF($D95="","",IFERROR(ROUND($D95*INDEX('🔖 배합비 참조'!$B$2:$CE$83,MATCH("마스카포네치즈",'🔖 배합비 참조'!$A$2:$A$83,0),MATCH($C95,'🔖 배합비 참조'!$B$1:$CE$1,0))/100,0),""))),"")</f>
        <v>0</v>
      </c>
      <c r="AP95" s="39" t="n">
        <f aca="false">IFERROR(IF($C95="","",IF($D95="","",IFERROR(ROUND($D95*INDEX('🔖 배합비 참조'!$B$2:$CE$83,MATCH("마카다미아분태(호주산)",'🔖 배합비 참조'!$A$2:$A$83,0),MATCH($C95,'🔖 배합비 참조'!$B$1:$CE$1,0))/100,0),""))),"")</f>
        <v>0</v>
      </c>
      <c r="AQ95" s="39" t="n">
        <f aca="false">IFERROR(IF($C95="","",IF($D95="","",IFERROR(ROUND($D95*INDEX('🔖 배합비 참조'!$B$2:$CE$83,MATCH("멥쌀(국내산)",'🔖 배합비 참조'!$A$2:$A$83,0),MATCH($C95,'🔖 배합비 참조'!$B$1:$CE$1,0))/100,0),""))),"")</f>
        <v>0</v>
      </c>
      <c r="AR95" s="39" t="n">
        <f aca="false">IFERROR(IF($C95="","",IF($D95="","",IFERROR(ROUND($D95*INDEX('🔖 배합비 참조'!$B$2:$CE$83,MATCH("모시잎(국내산)",'🔖 배합비 참조'!$A$2:$A$83,0),MATCH($C95,'🔖 배합비 참조'!$B$1:$CE$1,0))/100,0),""))),"")</f>
        <v>0</v>
      </c>
      <c r="AS95" s="39" t="n">
        <f aca="false">IFERROR(IF($C95="","",IF($D95="","",IFERROR(ROUND($D95*INDEX('🔖 배합비 참조'!$B$2:$CE$83,MATCH("물엿(저당물엿)",'🔖 배합비 참조'!$A$2:$A$83,0),MATCH($C95,'🔖 배합비 참조'!$B$1:$CE$1,0))/100,0),""))),"")</f>
        <v>6</v>
      </c>
      <c r="AT95" s="39" t="n">
        <f aca="false">IFERROR(IF($C95="","",IF($D95="","",IFERROR(ROUND($D95*INDEX('🔖 배합비 참조'!$B$2:$CE$83,MATCH("밤다이스",'🔖 배합비 참조'!$A$2:$A$83,0),MATCH($C95,'🔖 배합비 참조'!$B$1:$CE$1,0))/100,0),""))),"")</f>
        <v>0</v>
      </c>
      <c r="AU95" s="39" t="n">
        <f aca="false">IFERROR(IF($C95="","",IF($D95="","",IFERROR(ROUND($D95*INDEX('🔖 배합비 참조'!$B$2:$CE$83,MATCH("변성전분(타피오카전분)",'🔖 배합비 참조'!$A$2:$A$83,0),MATCH($C95,'🔖 배합비 참조'!$B$1:$CE$1,0))/100,0),""))),"")</f>
        <v>0</v>
      </c>
      <c r="AV95" s="39" t="n">
        <f aca="false">IFERROR(IF($C95="","",IF($D95="","",IFERROR(ROUND($D95*INDEX('🔖 배합비 참조'!$B$2:$CE$83,MATCH("복음땅콩분태",'🔖 배합비 참조'!$A$2:$A$83,0),MATCH($C95,'🔖 배합비 참조'!$B$1:$CE$1,0))/100,0),""))),"")</f>
        <v>0</v>
      </c>
      <c r="AW95" s="39" t="n">
        <f aca="false">IFERROR(IF($C95="","",IF($D95="","",IFERROR(ROUND($D95*INDEX('🔖 배합비 참조'!$B$2:$CE$83,MATCH("사양벌꿀(국내산)",'🔖 배합비 참조'!$A$2:$A$83,0),MATCH($C95,'🔖 배합비 참조'!$B$1:$CE$1,0))/100,0),""))),"")</f>
        <v>0</v>
      </c>
      <c r="AX95" s="39" t="n">
        <f aca="false">IFERROR(IF($C95="","",IF($D95="","",IFERROR(ROUND($D95*INDEX('🔖 배합비 참조'!$B$2:$CE$83,MATCH("생크림",'🔖 배합비 참조'!$A$2:$A$83,0),MATCH($C95,'🔖 배합비 참조'!$B$1:$CE$1,0))/100,0),""))),"")</f>
        <v>0</v>
      </c>
      <c r="AY95" s="39" t="n">
        <f aca="false">IFERROR(IF($C95="","",IF($D95="","",IFERROR(ROUND($D95*INDEX('🔖 배합비 참조'!$B$2:$CE$83,MATCH("서양호박(국내산,뉴질랜드산)",'🔖 배합비 참조'!$A$2:$A$83,0),MATCH($C95,'🔖 배합비 참조'!$B$1:$CE$1,0))/100,0),""))),"")</f>
        <v>0</v>
      </c>
      <c r="AZ95" s="39" t="n">
        <f aca="false">IFERROR(IF($C95="","",IF($D95="","",IFERROR(ROUND($D95*INDEX('🔖 배합비 참조'!$B$2:$CE$83,MATCH("설탕",'🔖 배합비 참조'!$A$2:$A$83,0),MATCH($C95,'🔖 배합비 참조'!$B$1:$CE$1,0))/100,0),""))),"")</f>
        <v>6</v>
      </c>
      <c r="BA95" s="39" t="n">
        <f aca="false">IFERROR(IF($C95="","",IF($D95="","",IFERROR(ROUND($D95*INDEX('🔖 배합비 참조'!$B$2:$CE$83,MATCH("스트로우베리 에이드 후레쉬",'🔖 배합비 참조'!$A$2:$A$83,0),MATCH($C95,'🔖 배합비 참조'!$B$1:$CE$1,0))/100,0),""))),"")</f>
        <v>0</v>
      </c>
      <c r="BB95" s="39" t="n">
        <f aca="false">IFERROR(IF($C95="","",IF($D95="","",IFERROR(ROUND($D95*INDEX('🔖 배합비 참조'!$B$2:$CE$83,MATCH("식물성기름혼합제제(분홍)",'🔖 배합비 참조'!$A$2:$A$83,0),MATCH($C95,'🔖 배합비 참조'!$B$1:$CE$1,0))/100,0),""))),"")</f>
        <v>0</v>
      </c>
      <c r="BC95" s="39" t="n">
        <f aca="false">IFERROR(IF($C95="","",IF($D95="","",IFERROR(ROUND($D95*INDEX('🔖 배합비 참조'!$B$2:$CE$83,MATCH("식물성기름혼합제제(초록)",'🔖 배합비 참조'!$A$2:$A$83,0),MATCH($C95,'🔖 배합비 참조'!$B$1:$CE$1,0))/100,0),""))),"")</f>
        <v>0</v>
      </c>
      <c r="BD95" s="39" t="n">
        <f aca="false">IFERROR(IF($C95="","",IF($D95="","",IFERROR(ROUND($D95*INDEX('🔖 배합비 참조'!$B$2:$CE$83,MATCH("식물성기름혼합제제(황색)",'🔖 배합비 참조'!$A$2:$A$83,0),MATCH($C95,'🔖 배합비 참조'!$B$1:$CE$1,0))/100,0),""))),"")</f>
        <v>0</v>
      </c>
      <c r="BE95" s="39" t="n">
        <f aca="false">IFERROR(IF($C95="","",IF($D95="","",IFERROR(ROUND($D95*INDEX('🔖 배합비 참조'!$B$2:$CE$83,MATCH("쑥가루(국내산)",'🔖 배합비 참조'!$A$2:$A$83,0),MATCH($C95,'🔖 배합비 참조'!$B$1:$CE$1,0))/100,0),""))),"")</f>
        <v>3</v>
      </c>
      <c r="BF95" s="39" t="n">
        <f aca="false">IFERROR(IF($C95="","",IF($D95="","",IFERROR(ROUND($D95*INDEX('🔖 배합비 참조'!$B$2:$CE$83,MATCH("아몬드슬라이스",'🔖 배합비 참조'!$A$2:$A$83,0),MATCH($C95,'🔖 배합비 참조'!$B$1:$CE$1,0))/100,0),""))),"")</f>
        <v>0</v>
      </c>
      <c r="BG95" s="39" t="n">
        <f aca="false">IFERROR(IF($C95="","",IF($D95="","",IFERROR(ROUND($D95*INDEX('🔖 배합비 참조'!$B$2:$CE$83,MATCH("알룰로오스(국내산)",'🔖 배합비 참조'!$A$2:$A$83,0),MATCH($C95,'🔖 배합비 참조'!$B$1:$CE$1,0))/100,0),""))),"")</f>
        <v>0</v>
      </c>
      <c r="BH95" s="39" t="n">
        <f aca="false">IFERROR(IF($C95="","",IF($D95="","",IFERROR(ROUND($D95*INDEX('🔖 배합비 참조'!$B$2:$CE$83,MATCH("연유",'🔖 배합비 참조'!$A$2:$A$83,0),MATCH($C95,'🔖 배합비 참조'!$B$1:$CE$1,0))/100,0),""))),"")</f>
        <v>0</v>
      </c>
      <c r="BI95" s="39" t="n">
        <f aca="false">IFERROR(IF($C95="","",IF($D95="","",IFERROR(ROUND($D95*INDEX('🔖 배합비 참조'!$B$2:$CE$83,MATCH("옥수수전분",'🔖 배합비 참조'!$A$2:$A$83,0),MATCH($C95,'🔖 배합비 참조'!$B$1:$CE$1,0))/100,0),""))),"")</f>
        <v>0</v>
      </c>
      <c r="BJ95" s="39" t="n">
        <f aca="false">IFERROR(IF($C95="","",IF($D95="","",IFERROR(ROUND($D95*INDEX('🔖 배합비 참조'!$B$2:$CE$83,MATCH("완두배기",'🔖 배합비 참조'!$A$2:$A$83,0),MATCH($C95,'🔖 배합비 참조'!$B$1:$CE$1,0))/100,0),""))),"")</f>
        <v>0</v>
      </c>
      <c r="BK95" s="39" t="n">
        <f aca="false">IFERROR(IF($C95="","",IF($D95="","",IFERROR(ROUND($D95*INDEX('🔖 배합비 참조'!$B$2:$CE$83,MATCH("우유(국내산)",'🔖 배합비 참조'!$A$2:$A$83,0),MATCH($C95,'🔖 배합비 참조'!$B$1:$CE$1,0))/100,0),""))),"")</f>
        <v>0</v>
      </c>
      <c r="BL95" s="39" t="n">
        <f aca="false">IFERROR(IF($C95="","",IF($D95="","",IFERROR(ROUND($D95*INDEX('🔖 배합비 참조'!$B$2:$CE$83,MATCH("자색고구마가루(중국산)",'🔖 배합비 참조'!$A$2:$A$83,0),MATCH($C95,'🔖 배합비 참조'!$B$1:$CE$1,0))/100,0),""))),"")</f>
        <v>0</v>
      </c>
      <c r="BM95" s="39" t="n">
        <f aca="false">IFERROR(IF($C95="","",IF($D95="","",IFERROR(ROUND($D95*INDEX('🔖 배합비 참조'!$B$2:$CE$83,MATCH("자연치즈(체다치즈)",'🔖 배합비 참조'!$A$2:$A$83,0),MATCH($C95,'🔖 배합비 참조'!$B$1:$CE$1,0))/100,0),""))),"")</f>
        <v>0</v>
      </c>
      <c r="BN95" s="39" t="n">
        <f aca="false">IFERROR(IF($C95="","",IF($D95="","",IFERROR(ROUND($D95*INDEX('🔖 배합비 참조'!$B$2:$CE$83,MATCH("정제수",'🔖 배합비 참조'!$A$2:$A$83,0),MATCH($C95,'🔖 배합비 참조'!$B$1:$CE$1,0))/100,0),""))),"")</f>
        <v>0</v>
      </c>
      <c r="BO95" s="39" t="n">
        <f aca="false">IFERROR(IF($C95="","",IF($D95="","",IFERROR(ROUND($D95*INDEX('🔖 배합비 참조'!$B$2:$CE$83,MATCH("젤라틴",'🔖 배합비 참조'!$A$2:$A$83,0),MATCH($C95,'🔖 배합비 참조'!$B$1:$CE$1,0))/100,0),""))),"")</f>
        <v>0</v>
      </c>
      <c r="BP95" s="39" t="n">
        <f aca="false">IFERROR(IF($C95="","",IF($D95="","",IFERROR(ROUND($D95*INDEX('🔖 배합비 참조'!$B$2:$CE$83,MATCH("조림류(백옥앙금)",'🔖 배합비 참조'!$A$2:$A$83,0),MATCH($C95,'🔖 배합비 참조'!$B$1:$CE$1,0))/100,0),""))),"")</f>
        <v>0</v>
      </c>
      <c r="BQ95" s="39" t="n">
        <f aca="false">IFERROR(IF($C95="","",IF($D95="","",IFERROR(ROUND($D95*INDEX('🔖 배합비 참조'!$B$2:$CE$83,MATCH("조림류(통팥앙금)",'🔖 배합비 참조'!$A$2:$A$83,0),MATCH($C95,'🔖 배합비 참조'!$B$1:$CE$1,0))/100,0),""))),"")</f>
        <v>116</v>
      </c>
      <c r="BR95" s="39" t="n">
        <f aca="false">IFERROR(IF($C95="","",IF($D95="","",IFERROR(ROUND($D95*INDEX('🔖 배합비 참조'!$B$2:$CE$83,MATCH("준초콜릿(외국산)",'🔖 배합비 참조'!$A$2:$A$83,0),MATCH($C95,'🔖 배합비 참조'!$B$1:$CE$1,0))/100,0),""))),"")</f>
        <v>0</v>
      </c>
      <c r="BS95" s="39" t="n">
        <f aca="false">IFERROR(IF($C95="","",IF($D95="","",IFERROR(ROUND($D95*INDEX('🔖 배합비 참조'!$B$2:$CE$83,MATCH("중력분",'🔖 배합비 참조'!$A$2:$A$83,0),MATCH($C95,'🔖 배합비 참조'!$B$1:$CE$1,0))/100,0),""))),"")</f>
        <v>3</v>
      </c>
      <c r="BT95" s="39" t="n">
        <f aca="false">IFERROR(IF($C95="","",IF($D95="","",IFERROR(ROUND($D95*INDEX('🔖 배합비 참조'!$B$2:$CE$83,MATCH("참깨(인도산,나이지리아산,탄자니아산,미얀마산)",'🔖 배합비 참조'!$A$2:$A$83,0),MATCH($C95,'🔖 배합비 참조'!$B$1:$CE$1,0))/100,0),""))),"")</f>
        <v>0</v>
      </c>
      <c r="BU95" s="39" t="n">
        <f aca="false">IFERROR(IF($C95="","",IF($D95="","",IFERROR(ROUND($D95*INDEX('🔖 배합비 참조'!$B$2:$CE$83,MATCH("찹쌀(국내산)",'🔖 배합비 참조'!$A$2:$A$83,0),MATCH($C95,'🔖 배합비 참조'!$B$1:$CE$1,0))/100,0),""))),"")</f>
        <v>124</v>
      </c>
      <c r="BV95" s="39" t="n">
        <f aca="false">IFERROR(IF($C95="","",IF($D95="","",IFERROR(ROUND($D95*INDEX('🔖 배합비 참조'!$B$2:$CE$83,MATCH("천일염",'🔖 배합비 참조'!$A$2:$A$83,0),MATCH($C95,'🔖 배합비 참조'!$B$1:$CE$1,0))/100,0),""))),"")</f>
        <v>2</v>
      </c>
      <c r="BW95" s="39" t="n">
        <f aca="false">IFERROR(IF($C95="","",IF($D95="","",IFERROR(ROUND($D95*INDEX('🔖 배합비 참조'!$B$2:$CE$83,MATCH("치즈 [크림치즈]",'🔖 배합비 참조'!$A$2:$A$83,0),MATCH($C95,'🔖 배합비 참조'!$B$1:$CE$1,0))/100,0),""))),"")</f>
        <v>0</v>
      </c>
      <c r="BX95" s="39" t="n">
        <f aca="false">IFERROR(IF($C95="","",IF($D95="","",IFERROR(ROUND($D95*INDEX('🔖 배합비 참조'!$B$2:$CE$83,MATCH("코코아가공품류(코코아분말)",'🔖 배합비 참조'!$A$2:$A$83,0),MATCH($C95,'🔖 배합비 참조'!$B$1:$CE$1,0))/100,0),""))),"")</f>
        <v>0</v>
      </c>
      <c r="BY95" s="39" t="n">
        <f aca="false">IFERROR(IF($C95="","",IF($D95="","",IFERROR(ROUND($D95*INDEX('🔖 배합비 참조'!$B$2:$CE$83,MATCH("콩기름(대두유)",'🔖 배합비 참조'!$A$2:$A$83,0),MATCH($C95,'🔖 배합비 참조'!$B$1:$CE$1,0))/100,0),""))),"")</f>
        <v>0</v>
      </c>
      <c r="BZ95" s="39" t="n">
        <f aca="false">IFERROR(IF($C95="","",IF($D95="","",IFERROR(ROUND($D95*INDEX('🔖 배합비 참조'!$B$2:$CE$83,MATCH("해바라기씨앗",'🔖 배합비 참조'!$A$2:$A$83,0),MATCH($C95,'🔖 배합비 참조'!$B$1:$CE$1,0))/100,0),""))),"")</f>
        <v>0</v>
      </c>
      <c r="CA95" s="39" t="n">
        <f aca="false">IFERROR(IF($C95="","",IF($D95="","",IFERROR(ROUND($D95*INDEX('🔖 배합비 참조'!$B$2:$CE$83,MATCH("현미(국내산)",'🔖 배합비 참조'!$A$2:$A$83,0),MATCH($C95,'🔖 배합비 참조'!$B$1:$CE$1,0))/100,0),""))),"")</f>
        <v>0</v>
      </c>
      <c r="CB95" s="39" t="n">
        <f aca="false">IFERROR(IF($C95="","",IF($D95="","",IFERROR(ROUND($D95*INDEX('🔖 배합비 참조'!$B$2:$CE$83,MATCH("현미멥쌀(국내산)",'🔖 배합비 참조'!$A$2:$A$83,0),MATCH($C95,'🔖 배합비 참조'!$B$1:$CE$1,0))/100,0),""))),"")</f>
        <v>0</v>
      </c>
      <c r="CC95" s="39" t="n">
        <f aca="false">IFERROR(IF($C95="","",IF($D95="","",IFERROR(ROUND($D95*INDEX('🔖 배합비 참조'!$B$2:$CE$83,MATCH("호두분태(미국산)",'🔖 배합비 참조'!$A$2:$A$83,0),MATCH($C95,'🔖 배합비 참조'!$B$1:$CE$1,0))/100,0),""))),"")</f>
        <v>0</v>
      </c>
      <c r="CD95" s="39" t="n">
        <f aca="false">IFERROR(IF($C95="","",IF($D95="","",IFERROR(ROUND($D95*INDEX('🔖 배합비 참조'!$B$2:$CE$83,MATCH("호박씨앗(외국산)",'🔖 배합비 참조'!$A$2:$A$83,0),MATCH($C95,'🔖 배합비 참조'!$B$1:$CE$1,0))/100,0),""))),"")</f>
        <v>0</v>
      </c>
      <c r="CE95" s="39" t="n">
        <f aca="false">IFERROR(IF($C95="","",IF($D95="","",IFERROR(ROUND($D95*INDEX('🔖 배합비 참조'!$B$2:$CE$83,MATCH("혼합제제(떡용에스텔)",'🔖 배합비 참조'!$A$2:$A$83,0),MATCH($C95,'🔖 배합비 참조'!$B$1:$CE$1,0))/100,0),""))),"")</f>
        <v>1</v>
      </c>
      <c r="CF95" s="39" t="n">
        <f aca="false">IFERROR(IF($C95="","",IF($D95="","",IFERROR(ROUND($D95*INDEX('🔖 배합비 참조'!$B$2:$CE$83,MATCH("혼합제제(스테비아)",'🔖 배합비 참조'!$A$2:$A$83,0),MATCH($C95,'🔖 배합비 참조'!$B$1:$CE$1,0))/100,0),""))),"")</f>
        <v>0</v>
      </c>
      <c r="CG95" s="39" t="n">
        <f aca="false">IFERROR(IF($C95="","",IF($D95="","",IFERROR(ROUND($D95*INDEX('🔖 배합비 참조'!$B$2:$CE$83,MATCH("화이트초콜릿",'🔖 배합비 참조'!$A$2:$A$83,0),MATCH($C95,'🔖 배합비 참조'!$B$1:$CE$1,0))/100,0),""))),"")</f>
        <v>0</v>
      </c>
      <c r="CH95" s="39" t="n">
        <f aca="false">IFERROR(IF($C95="","",IF($D95="","",IFERROR(ROUND($D95*INDEX('🔖 배합비 참조'!$B$2:$CE$83,MATCH("흑미찹쌀(국내산)",'🔖 배합비 참조'!$A$2:$A$83,0),MATCH($C95,'🔖 배합비 참조'!$B$1:$CE$1,0))/100,0),""))),"")</f>
        <v>0</v>
      </c>
      <c r="CI95" s="39" t="n">
        <f aca="false">IFERROR(IF($C95="","",IF($D95="","",IFERROR(ROUND($D95*INDEX('🔖 배합비 참조'!$B$2:$CE$83,MATCH("찰옥수수전분(미국산)",'🔖 배합비 참조'!$A$2:$A$83,0),MATCH($C95,'🔖 배합비 참조'!$B$1:$CE$1,0))/100,0),""))),"")</f>
        <v>0</v>
      </c>
      <c r="CJ95" s="40"/>
      <c r="CL95" s="1" t="s">
        <v>238</v>
      </c>
    </row>
    <row r="96" customFormat="false" ht="18" hidden="false" customHeight="true" outlineLevel="0" collapsed="false">
      <c r="A96" s="41" t="n">
        <v>92</v>
      </c>
      <c r="B96" s="36" t="n">
        <v>45992</v>
      </c>
      <c r="C96" s="37" t="s">
        <v>143</v>
      </c>
      <c r="D96" s="38" t="n">
        <v>63.5</v>
      </c>
      <c r="E96" s="17"/>
      <c r="F96" s="17"/>
      <c r="G96" s="42" t="n">
        <f aca="false">IFERROR(IF($C96="","",IF($D96="","",IFERROR(ROUND($D96*INDEX('🔖 배합비 참조'!$B$2:$CE$83,MATCH("간장",'🔖 배합비 참조'!$A$2:$A$83,0),MATCH($C96,'🔖 배합비 참조'!$B$1:$CE$1,0))/100,0),""))),"")</f>
        <v>0</v>
      </c>
      <c r="H96" s="42" t="n">
        <f aca="false">IFERROR(IF($C96="","",IF($D96="","",IFERROR(ROUND($D96*INDEX('🔖 배합비 참조'!$B$2:$CE$83,MATCH("강낭콩((울타리콩))",'🔖 배합비 참조'!$A$2:$A$83,0),MATCH($C96,'🔖 배합비 참조'!$B$1:$CE$1,0))/100,0),""))),"")</f>
        <v>0</v>
      </c>
      <c r="I96" s="42" t="n">
        <f aca="false">IFERROR(IF($C96="","",IF($D96="","",IFERROR(ROUND($D96*INDEX('🔖 배합비 참조'!$B$2:$CE$83,MATCH("건조딸기다이스(외국산)",'🔖 배합비 참조'!$A$2:$A$83,0),MATCH($C96,'🔖 배합비 참조'!$B$1:$CE$1,0))/100,0),""))),"")</f>
        <v>0</v>
      </c>
      <c r="J96" s="42" t="n">
        <f aca="false">IFERROR(IF($C96="","",IF($D96="","",IFERROR(ROUND($D96*INDEX('🔖 배합비 참조'!$B$2:$CE$83,MATCH("건포도",'🔖 배합비 참조'!$A$2:$A$83,0),MATCH($C96,'🔖 배합비 참조'!$B$1:$CE$1,0))/100,0),""))),"")</f>
        <v>0</v>
      </c>
      <c r="K96" s="42" t="n">
        <f aca="false">IFERROR(IF($C96="","",IF($D96="","",IFERROR(ROUND($D96*INDEX('🔖 배합비 참조'!$B$2:$CE$83,MATCH("건호박채(중국산)",'🔖 배합비 참조'!$A$2:$A$83,0),MATCH($C96,'🔖 배합비 참조'!$B$1:$CE$1,0))/100,0),""))),"")</f>
        <v>0</v>
      </c>
      <c r="L96" s="42" t="n">
        <f aca="false">IFERROR(IF($C96="","",IF($D96="","",IFERROR(ROUND($D96*INDEX('🔖 배합비 참조'!$B$2:$CE$83,MATCH("검정깨(흑임자)",'🔖 배합비 참조'!$A$2:$A$83,0),MATCH($C96,'🔖 배합비 참조'!$B$1:$CE$1,0))/100,0),""))),"")</f>
        <v>0</v>
      </c>
      <c r="M96" s="42" t="n">
        <f aca="false">IFERROR(IF($C96="","",IF($D96="","",IFERROR(ROUND($D96*INDEX('🔖 배합비 참조'!$B$2:$CE$83,MATCH("검정콩",'🔖 배합비 참조'!$A$2:$A$83,0),MATCH($C96,'🔖 배합비 참조'!$B$1:$CE$1,0))/100,0),""))),"")</f>
        <v>0</v>
      </c>
      <c r="N96" s="42" t="n">
        <f aca="false">IFERROR(IF($C96="","",IF($D96="","",IFERROR(ROUND($D96*INDEX('🔖 배합비 참조'!$B$2:$CE$83,MATCH("계피가루",'🔖 배합비 참조'!$A$2:$A$83,0),MATCH($C96,'🔖 배합비 참조'!$B$1:$CE$1,0))/100,0),""))),"")</f>
        <v>0</v>
      </c>
      <c r="O96" s="42" t="n">
        <f aca="false">IFERROR(IF($C96="","",IF($D96="","",IFERROR(ROUND($D96*INDEX('🔖 배합비 참조'!$B$2:$CE$83,MATCH("고구마가루",'🔖 배합비 참조'!$A$2:$A$83,0),MATCH($C96,'🔖 배합비 참조'!$B$1:$CE$1,0))/100,0),""))),"")</f>
        <v>0</v>
      </c>
      <c r="P96" s="42" t="n">
        <f aca="false">IFERROR(IF($C96="","",IF($D96="","",IFERROR(ROUND($D96*INDEX('🔖 배합비 참조'!$B$2:$CE$83,MATCH("고구마무스",'🔖 배합비 참조'!$A$2:$A$83,0),MATCH($C96,'🔖 배합비 참조'!$B$1:$CE$1,0))/100,0),""))),"")</f>
        <v>0</v>
      </c>
      <c r="Q96" s="42" t="n">
        <f aca="false">IFERROR(IF($C96="","",IF($D96="","",IFERROR(ROUND($D96*INDEX('🔖 배합비 참조'!$B$2:$CE$83,MATCH("고려엉겅퀴((곤드레)국내산)",'🔖 배합비 참조'!$A$2:$A$83,0),MATCH($C96,'🔖 배합비 참조'!$B$1:$CE$1,0))/100,0),""))),"")</f>
        <v>0</v>
      </c>
      <c r="R96" s="42" t="n">
        <f aca="false">IFERROR(IF($C96="","",IF($D96="","",IFERROR(ROUND($D96*INDEX('🔖 배합비 참조'!$B$2:$CE$83,MATCH("기타가공품(복분자가루)",'🔖 배합비 참조'!$A$2:$A$83,0),MATCH($C96,'🔖 배합비 참조'!$B$1:$CE$1,0))/100,0),""))),"")</f>
        <v>0</v>
      </c>
      <c r="S96" s="42" t="n">
        <f aca="false">IFERROR(IF($C96="","",IF($D96="","",IFERROR(ROUND($D96*INDEX('🔖 배합비 참조'!$B$2:$CE$83,MATCH("기타가공품(슈퍼소프트엠)",'🔖 배합비 참조'!$A$2:$A$83,0),MATCH($C96,'🔖 배합비 참조'!$B$1:$CE$1,0))/100,0),""))),"")</f>
        <v>0</v>
      </c>
      <c r="T96" s="42" t="n">
        <f aca="false">IFERROR(IF($C96="","",IF($D96="","",IFERROR(ROUND($D96*INDEX('🔖 배합비 참조'!$B$2:$CE$83,MATCH("기타가공품(파인소프트 E-티)",'🔖 배합비 참조'!$A$2:$A$83,0),MATCH($C96,'🔖 배합비 참조'!$B$1:$CE$1,0))/100,0),""))),"")</f>
        <v>0</v>
      </c>
      <c r="U96" s="42" t="n">
        <f aca="false">IFERROR(IF($C96="","",IF($D96="","",IFERROR(ROUND($D96*INDEX('🔖 배합비 참조'!$B$2:$CE$83,MATCH("기타가공품(프리미엄카스테라가루)",'🔖 배합비 참조'!$A$2:$A$83,0),MATCH($C96,'🔖 배합비 참조'!$B$1:$CE$1,0))/100,0),""))),"")</f>
        <v>0</v>
      </c>
      <c r="V96" s="42" t="n">
        <f aca="false">IFERROR(IF($C96="","",IF($D96="","",IFERROR(ROUND($D96*INDEX('🔖 배합비 참조'!$B$2:$CE$83,MATCH("기타가공품(흑임자가루)",'🔖 배합비 참조'!$A$2:$A$83,0),MATCH($C96,'🔖 배합비 참조'!$B$1:$CE$1,0))/100,0),""))),"")</f>
        <v>0</v>
      </c>
      <c r="W96" s="42" t="n">
        <f aca="false">IFERROR(IF($C96="","",IF($D96="","",IFERROR(ROUND($D96*INDEX('🔖 배합비 참조'!$B$2:$CE$83,MATCH("기타설탕(흑설탕)",'🔖 배합비 참조'!$A$2:$A$83,0),MATCH($C96,'🔖 배합비 참조'!$B$1:$CE$1,0))/100,0),""))),"")</f>
        <v>5</v>
      </c>
      <c r="X96" s="42" t="n">
        <f aca="false">IFERROR(IF($C96="","",IF($D96="","",IFERROR(ROUND($D96*INDEX('🔖 배합비 참조'!$B$2:$CE$83,MATCH("냉동쑥(국내산)",'🔖 배합비 참조'!$A$2:$A$83,0),MATCH($C96,'🔖 배합비 참조'!$B$1:$CE$1,0))/100,0),""))),"")</f>
        <v>0</v>
      </c>
      <c r="Y96" s="42" t="n">
        <f aca="false">IFERROR(IF($C96="","",IF($D96="","",IFERROR(ROUND($D96*INDEX('🔖 배합비 참조'!$B$2:$CE$83,MATCH("냉동증숙고구마(중국산)",'🔖 배합비 참조'!$A$2:$A$83,0),MATCH($C96,'🔖 배합비 참조'!$B$1:$CE$1,0))/100,0),""))),"")</f>
        <v>0</v>
      </c>
      <c r="Z96" s="42" t="n">
        <f aca="false">IFERROR(IF($C96="","",IF($D96="","",IFERROR(ROUND($D96*INDEX('🔖 배합비 참조'!$B$2:$CE$83,MATCH("녹차가루",'🔖 배합비 참조'!$A$2:$A$83,0),MATCH($C96,'🔖 배합비 참조'!$B$1:$CE$1,0))/100,0),""))),"")</f>
        <v>0</v>
      </c>
      <c r="AA96" s="42" t="n">
        <f aca="false">IFERROR(IF($C96="","",IF($D96="","",IFERROR(ROUND($D96*INDEX('🔖 배합비 참조'!$B$2:$CE$83,MATCH("다크초콜릿 컴파운드칩",'🔖 배합비 참조'!$A$2:$A$83,0),MATCH($C96,'🔖 배합비 참조'!$B$1:$CE$1,0))/100,0),""))),"")</f>
        <v>0</v>
      </c>
      <c r="AB96" s="42" t="n">
        <f aca="false">IFERROR(IF($C96="","",IF($D96="","",IFERROR(ROUND($D96*INDEX('🔖 배합비 참조'!$B$2:$CE$83,MATCH("단호박분말(중국산)",'🔖 배합비 참조'!$A$2:$A$83,0),MATCH($C96,'🔖 배합비 참조'!$B$1:$CE$1,0))/100,0),""))),"")</f>
        <v>0</v>
      </c>
      <c r="AC96" s="42" t="n">
        <f aca="false">IFERROR(IF($C96="","",IF($D96="","",IFERROR(ROUND($D96*INDEX('🔖 배합비 참조'!$B$2:$CE$83,MATCH("당류가공품(단호박농축액)",'🔖 배합비 참조'!$A$2:$A$83,0),MATCH($C96,'🔖 배합비 참조'!$B$1:$CE$1,0))/100,0),""))),"")</f>
        <v>0</v>
      </c>
      <c r="AD96" s="42" t="n">
        <f aca="false">IFERROR(IF($C96="","",IF($D96="","",IFERROR(ROUND($D96*INDEX('🔖 배합비 참조'!$B$2:$CE$83,MATCH("당류가공품(알룰로스,에리스리톨,스테비올배당체혼합)",'🔖 배합비 참조'!$A$2:$A$83,0),MATCH($C96,'🔖 배합비 참조'!$B$1:$CE$1,0))/100,0),""))),"")</f>
        <v>0</v>
      </c>
      <c r="AE96" s="42" t="n">
        <f aca="false">IFERROR(IF($C96="","",IF($D96="","",IFERROR(ROUND($D96*INDEX('🔖 배합비 참조'!$B$2:$CE$83,MATCH("당류가공품(알룰로스제로파우더)",'🔖 배합비 참조'!$A$2:$A$83,0),MATCH($C96,'🔖 배합비 참조'!$B$1:$CE$1,0))/100,0),""))),"")</f>
        <v>0</v>
      </c>
      <c r="AF96" s="42" t="n">
        <f aca="false">IFERROR(IF($C96="","",IF($D96="","",IFERROR(ROUND($D96*INDEX('🔖 배합비 참조'!$B$2:$CE$83,MATCH("당절임(완두배기)",'🔖 배합비 참조'!$A$2:$A$83,0),MATCH($C96,'🔖 배합비 참조'!$B$1:$CE$1,0))/100,0),""))),"")</f>
        <v>0</v>
      </c>
      <c r="AG96" s="42" t="n">
        <f aca="false">IFERROR(IF($C96="","",IF($D96="","",IFERROR(ROUND($D96*INDEX('🔖 배합비 참조'!$B$2:$CE$83,MATCH("대추농축액",'🔖 배합비 참조'!$A$2:$A$83,0),MATCH($C96,'🔖 배합비 참조'!$B$1:$CE$1,0))/100,0),""))),"")</f>
        <v>0</v>
      </c>
      <c r="AH96" s="42" t="n">
        <f aca="false">IFERROR(IF($C96="","",IF($D96="","",IFERROR(ROUND($D96*INDEX('🔖 배합비 참조'!$B$2:$CE$83,MATCH("대추채(국내산)",'🔖 배합비 참조'!$A$2:$A$83,0),MATCH($C96,'🔖 배합비 참조'!$B$1:$CE$1,0))/100,0),""))),"")</f>
        <v>0</v>
      </c>
      <c r="AI96" s="42" t="n">
        <f aca="false">IFERROR(IF($C96="","",IF($D96="","",IFERROR(ROUND($D96*INDEX('🔖 배합비 참조'!$B$2:$CE$83,MATCH("동부(미얀마산)",'🔖 배합비 참조'!$A$2:$A$83,0),MATCH($C96,'🔖 배합비 참조'!$B$1:$CE$1,0))/100,0),""))),"")</f>
        <v>0</v>
      </c>
      <c r="AJ96" s="42" t="n">
        <f aca="false">IFERROR(IF($C96="","",IF($D96="","",IFERROR(ROUND($D96*INDEX('🔖 배합비 참조'!$B$2:$CE$83,MATCH("두류가공품(백옥앙금)",'🔖 배합비 참조'!$A$2:$A$83,0),MATCH($C96,'🔖 배합비 참조'!$B$1:$CE$1,0))/100,0),""))),"")</f>
        <v>0</v>
      </c>
      <c r="AK96" s="42" t="n">
        <f aca="false">IFERROR(IF($C96="","",IF($D96="","",IFERROR(ROUND($D96*INDEX('🔖 배합비 참조'!$B$2:$CE$83,MATCH("두류가공품(콩고물)",'🔖 배합비 참조'!$A$2:$A$83,0),MATCH($C96,'🔖 배합비 참조'!$B$1:$CE$1,0))/100,0),""))),"")</f>
        <v>0</v>
      </c>
      <c r="AL96" s="42" t="n">
        <f aca="false">IFERROR(IF($C96="","",IF($D96="","",IFERROR(ROUND($D96*INDEX('🔖 배합비 참조'!$B$2:$CE$83,MATCH("두류가공품(통팥고물)",'🔖 배합비 참조'!$A$2:$A$83,0),MATCH($C96,'🔖 배합비 참조'!$B$1:$CE$1,0))/100,0),""))),"")</f>
        <v>0</v>
      </c>
      <c r="AM96" s="42" t="n">
        <f aca="false">IFERROR(IF($C96="","",IF($D96="","",IFERROR(ROUND($D96*INDEX('🔖 배합비 참조'!$B$2:$CE$83,MATCH("딸기레진",'🔖 배합비 참조'!$A$2:$A$83,0),MATCH($C96,'🔖 배합비 참조'!$B$1:$CE$1,0))/100,0),""))),"")</f>
        <v>0</v>
      </c>
      <c r="AN96" s="42" t="n">
        <f aca="false">IFERROR(IF($C96="","",IF($D96="","",IFERROR(ROUND($D96*INDEX('🔖 배합비 참조'!$B$2:$CE$83,MATCH("딸기분말(스트로우베리에이드(분말))",'🔖 배합비 참조'!$A$2:$A$83,0),MATCH($C96,'🔖 배합비 참조'!$B$1:$CE$1,0))/100,0),""))),"")</f>
        <v>0</v>
      </c>
      <c r="AO96" s="42" t="n">
        <f aca="false">IFERROR(IF($C96="","",IF($D96="","",IFERROR(ROUND($D96*INDEX('🔖 배합비 참조'!$B$2:$CE$83,MATCH("마스카포네치즈",'🔖 배합비 참조'!$A$2:$A$83,0),MATCH($C96,'🔖 배합비 참조'!$B$1:$CE$1,0))/100,0),""))),"")</f>
        <v>0</v>
      </c>
      <c r="AP96" s="42" t="n">
        <f aca="false">IFERROR(IF($C96="","",IF($D96="","",IFERROR(ROUND($D96*INDEX('🔖 배합비 참조'!$B$2:$CE$83,MATCH("마카다미아분태(호주산)",'🔖 배합비 참조'!$A$2:$A$83,0),MATCH($C96,'🔖 배합비 참조'!$B$1:$CE$1,0))/100,0),""))),"")</f>
        <v>0</v>
      </c>
      <c r="AQ96" s="42" t="n">
        <f aca="false">IFERROR(IF($C96="","",IF($D96="","",IFERROR(ROUND($D96*INDEX('🔖 배합비 참조'!$B$2:$CE$83,MATCH("멥쌀(국내산)",'🔖 배합비 참조'!$A$2:$A$83,0),MATCH($C96,'🔖 배합비 참조'!$B$1:$CE$1,0))/100,0),""))),"")</f>
        <v>43</v>
      </c>
      <c r="AR96" s="42" t="n">
        <f aca="false">IFERROR(IF($C96="","",IF($D96="","",IFERROR(ROUND($D96*INDEX('🔖 배합비 참조'!$B$2:$CE$83,MATCH("모시잎(국내산)",'🔖 배합비 참조'!$A$2:$A$83,0),MATCH($C96,'🔖 배합비 참조'!$B$1:$CE$1,0))/100,0),""))),"")</f>
        <v>0</v>
      </c>
      <c r="AS96" s="42" t="n">
        <f aca="false">IFERROR(IF($C96="","",IF($D96="","",IFERROR(ROUND($D96*INDEX('🔖 배합비 참조'!$B$2:$CE$83,MATCH("물엿(저당물엿)",'🔖 배합비 참조'!$A$2:$A$83,0),MATCH($C96,'🔖 배합비 참조'!$B$1:$CE$1,0))/100,0),""))),"")</f>
        <v>0</v>
      </c>
      <c r="AT96" s="42" t="n">
        <f aca="false">IFERROR(IF($C96="","",IF($D96="","",IFERROR(ROUND($D96*INDEX('🔖 배합비 참조'!$B$2:$CE$83,MATCH("밤다이스",'🔖 배합비 참조'!$A$2:$A$83,0),MATCH($C96,'🔖 배합비 참조'!$B$1:$CE$1,0))/100,0),""))),"")</f>
        <v>0</v>
      </c>
      <c r="AU96" s="42" t="n">
        <f aca="false">IFERROR(IF($C96="","",IF($D96="","",IFERROR(ROUND($D96*INDEX('🔖 배합비 참조'!$B$2:$CE$83,MATCH("변성전분(타피오카전분)",'🔖 배합비 참조'!$A$2:$A$83,0),MATCH($C96,'🔖 배합비 참조'!$B$1:$CE$1,0))/100,0),""))),"")</f>
        <v>0</v>
      </c>
      <c r="AV96" s="42" t="n">
        <f aca="false">IFERROR(IF($C96="","",IF($D96="","",IFERROR(ROUND($D96*INDEX('🔖 배합비 참조'!$B$2:$CE$83,MATCH("복음땅콩분태",'🔖 배합비 참조'!$A$2:$A$83,0),MATCH($C96,'🔖 배합비 참조'!$B$1:$CE$1,0))/100,0),""))),"")</f>
        <v>0</v>
      </c>
      <c r="AW96" s="42" t="n">
        <f aca="false">IFERROR(IF($C96="","",IF($D96="","",IFERROR(ROUND($D96*INDEX('🔖 배합비 참조'!$B$2:$CE$83,MATCH("사양벌꿀(국내산)",'🔖 배합비 참조'!$A$2:$A$83,0),MATCH($C96,'🔖 배합비 참조'!$B$1:$CE$1,0))/100,0),""))),"")</f>
        <v>1</v>
      </c>
      <c r="AX96" s="42" t="n">
        <f aca="false">IFERROR(IF($C96="","",IF($D96="","",IFERROR(ROUND($D96*INDEX('🔖 배합비 참조'!$B$2:$CE$83,MATCH("생크림",'🔖 배합비 참조'!$A$2:$A$83,0),MATCH($C96,'🔖 배합비 참조'!$B$1:$CE$1,0))/100,0),""))),"")</f>
        <v>0</v>
      </c>
      <c r="AY96" s="42" t="n">
        <f aca="false">IFERROR(IF($C96="","",IF($D96="","",IFERROR(ROUND($D96*INDEX('🔖 배합비 참조'!$B$2:$CE$83,MATCH("서양호박(국내산,뉴질랜드산)",'🔖 배합비 참조'!$A$2:$A$83,0),MATCH($C96,'🔖 배합비 참조'!$B$1:$CE$1,0))/100,0),""))),"")</f>
        <v>0</v>
      </c>
      <c r="AZ96" s="42" t="n">
        <f aca="false">IFERROR(IF($C96="","",IF($D96="","",IFERROR(ROUND($D96*INDEX('🔖 배합비 참조'!$B$2:$CE$83,MATCH("설탕",'🔖 배합비 참조'!$A$2:$A$83,0),MATCH($C96,'🔖 배합비 참조'!$B$1:$CE$1,0))/100,0),""))),"")</f>
        <v>5</v>
      </c>
      <c r="BA96" s="42" t="n">
        <f aca="false">IFERROR(IF($C96="","",IF($D96="","",IFERROR(ROUND($D96*INDEX('🔖 배합비 참조'!$B$2:$CE$83,MATCH("스트로우베리 에이드 후레쉬",'🔖 배합비 참조'!$A$2:$A$83,0),MATCH($C96,'🔖 배합비 참조'!$B$1:$CE$1,0))/100,0),""))),"")</f>
        <v>0</v>
      </c>
      <c r="BB96" s="42" t="n">
        <f aca="false">IFERROR(IF($C96="","",IF($D96="","",IFERROR(ROUND($D96*INDEX('🔖 배합비 참조'!$B$2:$CE$83,MATCH("식물성기름혼합제제(분홍)",'🔖 배합비 참조'!$A$2:$A$83,0),MATCH($C96,'🔖 배합비 참조'!$B$1:$CE$1,0))/100,0),""))),"")</f>
        <v>0</v>
      </c>
      <c r="BC96" s="42" t="n">
        <f aca="false">IFERROR(IF($C96="","",IF($D96="","",IFERROR(ROUND($D96*INDEX('🔖 배합비 참조'!$B$2:$CE$83,MATCH("식물성기름혼합제제(초록)",'🔖 배합비 참조'!$A$2:$A$83,0),MATCH($C96,'🔖 배합비 참조'!$B$1:$CE$1,0))/100,0),""))),"")</f>
        <v>0</v>
      </c>
      <c r="BD96" s="42" t="n">
        <f aca="false">IFERROR(IF($C96="","",IF($D96="","",IFERROR(ROUND($D96*INDEX('🔖 배합비 참조'!$B$2:$CE$83,MATCH("식물성기름혼합제제(황색)",'🔖 배합비 참조'!$A$2:$A$83,0),MATCH($C96,'🔖 배합비 참조'!$B$1:$CE$1,0))/100,0),""))),"")</f>
        <v>0</v>
      </c>
      <c r="BE96" s="42" t="n">
        <f aca="false">IFERROR(IF($C96="","",IF($D96="","",IFERROR(ROUND($D96*INDEX('🔖 배합비 참조'!$B$2:$CE$83,MATCH("쑥가루(국내산)",'🔖 배합비 참조'!$A$2:$A$83,0),MATCH($C96,'🔖 배합비 참조'!$B$1:$CE$1,0))/100,0),""))),"")</f>
        <v>0</v>
      </c>
      <c r="BF96" s="42" t="n">
        <f aca="false">IFERROR(IF($C96="","",IF($D96="","",IFERROR(ROUND($D96*INDEX('🔖 배합비 참조'!$B$2:$CE$83,MATCH("아몬드슬라이스",'🔖 배합비 참조'!$A$2:$A$83,0),MATCH($C96,'🔖 배합비 참조'!$B$1:$CE$1,0))/100,0),""))),"")</f>
        <v>0</v>
      </c>
      <c r="BG96" s="42" t="n">
        <f aca="false">IFERROR(IF($C96="","",IF($D96="","",IFERROR(ROUND($D96*INDEX('🔖 배합비 참조'!$B$2:$CE$83,MATCH("알룰로오스(국내산)",'🔖 배합비 참조'!$A$2:$A$83,0),MATCH($C96,'🔖 배합비 참조'!$B$1:$CE$1,0))/100,0),""))),"")</f>
        <v>0</v>
      </c>
      <c r="BH96" s="42" t="n">
        <f aca="false">IFERROR(IF($C96="","",IF($D96="","",IFERROR(ROUND($D96*INDEX('🔖 배합비 참조'!$B$2:$CE$83,MATCH("연유",'🔖 배합비 참조'!$A$2:$A$83,0),MATCH($C96,'🔖 배합비 참조'!$B$1:$CE$1,0))/100,0),""))),"")</f>
        <v>0</v>
      </c>
      <c r="BI96" s="42" t="n">
        <f aca="false">IFERROR(IF($C96="","",IF($D96="","",IFERROR(ROUND($D96*INDEX('🔖 배합비 참조'!$B$2:$CE$83,MATCH("옥수수전분",'🔖 배합비 참조'!$A$2:$A$83,0),MATCH($C96,'🔖 배합비 참조'!$B$1:$CE$1,0))/100,0),""))),"")</f>
        <v>0</v>
      </c>
      <c r="BJ96" s="42" t="n">
        <f aca="false">IFERROR(IF($C96="","",IF($D96="","",IFERROR(ROUND($D96*INDEX('🔖 배합비 참조'!$B$2:$CE$83,MATCH("완두배기",'🔖 배합비 참조'!$A$2:$A$83,0),MATCH($C96,'🔖 배합비 참조'!$B$1:$CE$1,0))/100,0),""))),"")</f>
        <v>0</v>
      </c>
      <c r="BK96" s="42" t="n">
        <f aca="false">IFERROR(IF($C96="","",IF($D96="","",IFERROR(ROUND($D96*INDEX('🔖 배합비 참조'!$B$2:$CE$83,MATCH("우유(국내산)",'🔖 배합비 참조'!$A$2:$A$83,0),MATCH($C96,'🔖 배합비 참조'!$B$1:$CE$1,0))/100,0),""))),"")</f>
        <v>0</v>
      </c>
      <c r="BL96" s="42" t="n">
        <f aca="false">IFERROR(IF($C96="","",IF($D96="","",IFERROR(ROUND($D96*INDEX('🔖 배합비 참조'!$B$2:$CE$83,MATCH("자색고구마가루(중국산)",'🔖 배합비 참조'!$A$2:$A$83,0),MATCH($C96,'🔖 배합비 참조'!$B$1:$CE$1,0))/100,0),""))),"")</f>
        <v>0</v>
      </c>
      <c r="BM96" s="42" t="n">
        <f aca="false">IFERROR(IF($C96="","",IF($D96="","",IFERROR(ROUND($D96*INDEX('🔖 배합비 참조'!$B$2:$CE$83,MATCH("자연치즈(체다치즈)",'🔖 배합비 참조'!$A$2:$A$83,0),MATCH($C96,'🔖 배합비 참조'!$B$1:$CE$1,0))/100,0),""))),"")</f>
        <v>0</v>
      </c>
      <c r="BN96" s="42" t="n">
        <f aca="false">IFERROR(IF($C96="","",IF($D96="","",IFERROR(ROUND($D96*INDEX('🔖 배합비 참조'!$B$2:$CE$83,MATCH("정제수",'🔖 배합비 참조'!$A$2:$A$83,0),MATCH($C96,'🔖 배합비 참조'!$B$1:$CE$1,0))/100,0),""))),"")</f>
        <v>8</v>
      </c>
      <c r="BO96" s="42" t="n">
        <f aca="false">IFERROR(IF($C96="","",IF($D96="","",IFERROR(ROUND($D96*INDEX('🔖 배합비 참조'!$B$2:$CE$83,MATCH("젤라틴",'🔖 배합비 참조'!$A$2:$A$83,0),MATCH($C96,'🔖 배합비 참조'!$B$1:$CE$1,0))/100,0),""))),"")</f>
        <v>0</v>
      </c>
      <c r="BP96" s="42" t="n">
        <f aca="false">IFERROR(IF($C96="","",IF($D96="","",IFERROR(ROUND($D96*INDEX('🔖 배합비 참조'!$B$2:$CE$83,MATCH("조림류(백옥앙금)",'🔖 배합비 참조'!$A$2:$A$83,0),MATCH($C96,'🔖 배합비 참조'!$B$1:$CE$1,0))/100,0),""))),"")</f>
        <v>0</v>
      </c>
      <c r="BQ96" s="42" t="n">
        <f aca="false">IFERROR(IF($C96="","",IF($D96="","",IFERROR(ROUND($D96*INDEX('🔖 배합비 참조'!$B$2:$CE$83,MATCH("조림류(통팥앙금)",'🔖 배합비 참조'!$A$2:$A$83,0),MATCH($C96,'🔖 배합비 참조'!$B$1:$CE$1,0))/100,0),""))),"")</f>
        <v>0</v>
      </c>
      <c r="BR96" s="42" t="n">
        <f aca="false">IFERROR(IF($C96="","",IF($D96="","",IFERROR(ROUND($D96*INDEX('🔖 배합비 참조'!$B$2:$CE$83,MATCH("준초콜릿(외국산)",'🔖 배합비 참조'!$A$2:$A$83,0),MATCH($C96,'🔖 배합비 참조'!$B$1:$CE$1,0))/100,0),""))),"")</f>
        <v>0</v>
      </c>
      <c r="BS96" s="42" t="n">
        <f aca="false">IFERROR(IF($C96="","",IF($D96="","",IFERROR(ROUND($D96*INDEX('🔖 배합비 참조'!$B$2:$CE$83,MATCH("중력분",'🔖 배합비 참조'!$A$2:$A$83,0),MATCH($C96,'🔖 배합비 참조'!$B$1:$CE$1,0))/100,0),""))),"")</f>
        <v>0</v>
      </c>
      <c r="BT96" s="42" t="n">
        <f aca="false">IFERROR(IF($C96="","",IF($D96="","",IFERROR(ROUND($D96*INDEX('🔖 배합비 참조'!$B$2:$CE$83,MATCH("참깨(인도산,나이지리아산,탄자니아산,미얀마산)",'🔖 배합비 참조'!$A$2:$A$83,0),MATCH($C96,'🔖 배합비 참조'!$B$1:$CE$1,0))/100,0),""))),"")</f>
        <v>0</v>
      </c>
      <c r="BU96" s="42" t="n">
        <f aca="false">IFERROR(IF($C96="","",IF($D96="","",IFERROR(ROUND($D96*INDEX('🔖 배합비 참조'!$B$2:$CE$83,MATCH("찹쌀(국내산)",'🔖 배합비 참조'!$A$2:$A$83,0),MATCH($C96,'🔖 배합비 참조'!$B$1:$CE$1,0))/100,0),""))),"")</f>
        <v>0</v>
      </c>
      <c r="BV96" s="42" t="n">
        <f aca="false">IFERROR(IF($C96="","",IF($D96="","",IFERROR(ROUND($D96*INDEX('🔖 배합비 참조'!$B$2:$CE$83,MATCH("천일염",'🔖 배합비 참조'!$A$2:$A$83,0),MATCH($C96,'🔖 배합비 참조'!$B$1:$CE$1,0))/100,0),""))),"")</f>
        <v>1</v>
      </c>
      <c r="BW96" s="42" t="n">
        <f aca="false">IFERROR(IF($C96="","",IF($D96="","",IFERROR(ROUND($D96*INDEX('🔖 배합비 참조'!$B$2:$CE$83,MATCH("치즈 [크림치즈]",'🔖 배합비 참조'!$A$2:$A$83,0),MATCH($C96,'🔖 배합비 참조'!$B$1:$CE$1,0))/100,0),""))),"")</f>
        <v>0</v>
      </c>
      <c r="BX96" s="42" t="n">
        <f aca="false">IFERROR(IF($C96="","",IF($D96="","",IFERROR(ROUND($D96*INDEX('🔖 배합비 참조'!$B$2:$CE$83,MATCH("코코아가공품류(코코아분말)",'🔖 배합비 참조'!$A$2:$A$83,0),MATCH($C96,'🔖 배합비 참조'!$B$1:$CE$1,0))/100,0),""))),"")</f>
        <v>0</v>
      </c>
      <c r="BY96" s="42" t="n">
        <f aca="false">IFERROR(IF($C96="","",IF($D96="","",IFERROR(ROUND($D96*INDEX('🔖 배합비 참조'!$B$2:$CE$83,MATCH("콩기름(대두유)",'🔖 배합비 참조'!$A$2:$A$83,0),MATCH($C96,'🔖 배합비 참조'!$B$1:$CE$1,0))/100,0),""))),"")</f>
        <v>0</v>
      </c>
      <c r="BZ96" s="42" t="n">
        <f aca="false">IFERROR(IF($C96="","",IF($D96="","",IFERROR(ROUND($D96*INDEX('🔖 배합비 참조'!$B$2:$CE$83,MATCH("해바라기씨앗",'🔖 배합비 참조'!$A$2:$A$83,0),MATCH($C96,'🔖 배합비 참조'!$B$1:$CE$1,0))/100,0),""))),"")</f>
        <v>0</v>
      </c>
      <c r="CA96" s="42" t="n">
        <f aca="false">IFERROR(IF($C96="","",IF($D96="","",IFERROR(ROUND($D96*INDEX('🔖 배합비 참조'!$B$2:$CE$83,MATCH("현미(국내산)",'🔖 배합비 참조'!$A$2:$A$83,0),MATCH($C96,'🔖 배합비 참조'!$B$1:$CE$1,0))/100,0),""))),"")</f>
        <v>0</v>
      </c>
      <c r="CB96" s="42" t="n">
        <f aca="false">IFERROR(IF($C96="","",IF($D96="","",IFERROR(ROUND($D96*INDEX('🔖 배합비 참조'!$B$2:$CE$83,MATCH("현미멥쌀(국내산)",'🔖 배합비 참조'!$A$2:$A$83,0),MATCH($C96,'🔖 배합비 참조'!$B$1:$CE$1,0))/100,0),""))),"")</f>
        <v>0</v>
      </c>
      <c r="CC96" s="42" t="n">
        <f aca="false">IFERROR(IF($C96="","",IF($D96="","",IFERROR(ROUND($D96*INDEX('🔖 배합비 참조'!$B$2:$CE$83,MATCH("호두분태(미국산)",'🔖 배합비 참조'!$A$2:$A$83,0),MATCH($C96,'🔖 배합비 참조'!$B$1:$CE$1,0))/100,0),""))),"")</f>
        <v>0</v>
      </c>
      <c r="CD96" s="42" t="n">
        <f aca="false">IFERROR(IF($C96="","",IF($D96="","",IFERROR(ROUND($D96*INDEX('🔖 배합비 참조'!$B$2:$CE$83,MATCH("호박씨앗(외국산)",'🔖 배합비 참조'!$A$2:$A$83,0),MATCH($C96,'🔖 배합비 참조'!$B$1:$CE$1,0))/100,0),""))),"")</f>
        <v>0</v>
      </c>
      <c r="CE96" s="42" t="n">
        <f aca="false">IFERROR(IF($C96="","",IF($D96="","",IFERROR(ROUND($D96*INDEX('🔖 배합비 참조'!$B$2:$CE$83,MATCH("혼합제제(떡용에스텔)",'🔖 배합비 참조'!$A$2:$A$83,0),MATCH($C96,'🔖 배합비 참조'!$B$1:$CE$1,0))/100,0),""))),"")</f>
        <v>0</v>
      </c>
      <c r="CF96" s="42" t="n">
        <f aca="false">IFERROR(IF($C96="","",IF($D96="","",IFERROR(ROUND($D96*INDEX('🔖 배합비 참조'!$B$2:$CE$83,MATCH("혼합제제(스테비아)",'🔖 배합비 참조'!$A$2:$A$83,0),MATCH($C96,'🔖 배합비 참조'!$B$1:$CE$1,0))/100,0),""))),"")</f>
        <v>0</v>
      </c>
      <c r="CG96" s="42" t="n">
        <f aca="false">IFERROR(IF($C96="","",IF($D96="","",IFERROR(ROUND($D96*INDEX('🔖 배합비 참조'!$B$2:$CE$83,MATCH("화이트초콜릿",'🔖 배합비 참조'!$A$2:$A$83,0),MATCH($C96,'🔖 배합비 참조'!$B$1:$CE$1,0))/100,0),""))),"")</f>
        <v>0</v>
      </c>
      <c r="CH96" s="42" t="n">
        <f aca="false">IFERROR(IF($C96="","",IF($D96="","",IFERROR(ROUND($D96*INDEX('🔖 배합비 참조'!$B$2:$CE$83,MATCH("흑미찹쌀(국내산)",'🔖 배합비 참조'!$A$2:$A$83,0),MATCH($C96,'🔖 배합비 참조'!$B$1:$CE$1,0))/100,0),""))),"")</f>
        <v>0</v>
      </c>
      <c r="CI96" s="42" t="n">
        <f aca="false">IFERROR(IF($C96="","",IF($D96="","",IFERROR(ROUND($D96*INDEX('🔖 배합비 참조'!$B$2:$CE$83,MATCH("찰옥수수전분(미국산)",'🔖 배합비 참조'!$A$2:$A$83,0),MATCH($C96,'🔖 배합비 참조'!$B$1:$CE$1,0))/100,0),""))),"")</f>
        <v>0</v>
      </c>
      <c r="CJ96" s="40"/>
      <c r="CL96" s="1" t="s">
        <v>239</v>
      </c>
    </row>
    <row r="97" customFormat="false" ht="18" hidden="false" customHeight="true" outlineLevel="0" collapsed="false">
      <c r="A97" s="35" t="n">
        <v>93</v>
      </c>
      <c r="B97" s="36" t="n">
        <v>45992</v>
      </c>
      <c r="C97" s="37" t="s">
        <v>183</v>
      </c>
      <c r="D97" s="38" t="n">
        <v>210</v>
      </c>
      <c r="E97" s="13"/>
      <c r="F97" s="13"/>
      <c r="G97" s="39" t="n">
        <f aca="false">IFERROR(IF($C97="","",IF($D97="","",IFERROR(ROUND($D97*INDEX('🔖 배합비 참조'!$B$2:$CE$83,MATCH("간장",'🔖 배합비 참조'!$A$2:$A$83,0),MATCH($C97,'🔖 배합비 참조'!$B$1:$CE$1,0))/100,0),""))),"")</f>
        <v>0</v>
      </c>
      <c r="H97" s="39" t="n">
        <f aca="false">IFERROR(IF($C97="","",IF($D97="","",IFERROR(ROUND($D97*INDEX('🔖 배합비 참조'!$B$2:$CE$83,MATCH("강낭콩((울타리콩))",'🔖 배합비 참조'!$A$2:$A$83,0),MATCH($C97,'🔖 배합비 참조'!$B$1:$CE$1,0))/100,0),""))),"")</f>
        <v>0</v>
      </c>
      <c r="I97" s="39" t="n">
        <f aca="false">IFERROR(IF($C97="","",IF($D97="","",IFERROR(ROUND($D97*INDEX('🔖 배합비 참조'!$B$2:$CE$83,MATCH("건조딸기다이스(외국산)",'🔖 배합비 참조'!$A$2:$A$83,0),MATCH($C97,'🔖 배합비 참조'!$B$1:$CE$1,0))/100,0),""))),"")</f>
        <v>0</v>
      </c>
      <c r="J97" s="39" t="n">
        <f aca="false">IFERROR(IF($C97="","",IF($D97="","",IFERROR(ROUND($D97*INDEX('🔖 배합비 참조'!$B$2:$CE$83,MATCH("건포도",'🔖 배합비 참조'!$A$2:$A$83,0),MATCH($C97,'🔖 배합비 참조'!$B$1:$CE$1,0))/100,0),""))),"")</f>
        <v>0</v>
      </c>
      <c r="K97" s="39" t="n">
        <f aca="false">IFERROR(IF($C97="","",IF($D97="","",IFERROR(ROUND($D97*INDEX('🔖 배합비 참조'!$B$2:$CE$83,MATCH("건호박채(중국산)",'🔖 배합비 참조'!$A$2:$A$83,0),MATCH($C97,'🔖 배합비 참조'!$B$1:$CE$1,0))/100,0),""))),"")</f>
        <v>0</v>
      </c>
      <c r="L97" s="39" t="n">
        <f aca="false">IFERROR(IF($C97="","",IF($D97="","",IFERROR(ROUND($D97*INDEX('🔖 배합비 참조'!$B$2:$CE$83,MATCH("검정깨(흑임자)",'🔖 배합비 참조'!$A$2:$A$83,0),MATCH($C97,'🔖 배합비 참조'!$B$1:$CE$1,0))/100,0),""))),"")</f>
        <v>0</v>
      </c>
      <c r="M97" s="39" t="n">
        <f aca="false">IFERROR(IF($C97="","",IF($D97="","",IFERROR(ROUND($D97*INDEX('🔖 배합비 참조'!$B$2:$CE$83,MATCH("검정콩",'🔖 배합비 참조'!$A$2:$A$83,0),MATCH($C97,'🔖 배합비 참조'!$B$1:$CE$1,0))/100,0),""))),"")</f>
        <v>0</v>
      </c>
      <c r="N97" s="39" t="n">
        <f aca="false">IFERROR(IF($C97="","",IF($D97="","",IFERROR(ROUND($D97*INDEX('🔖 배합비 참조'!$B$2:$CE$83,MATCH("계피가루",'🔖 배합비 참조'!$A$2:$A$83,0),MATCH($C97,'🔖 배합비 참조'!$B$1:$CE$1,0))/100,0),""))),"")</f>
        <v>0</v>
      </c>
      <c r="O97" s="39" t="n">
        <f aca="false">IFERROR(IF($C97="","",IF($D97="","",IFERROR(ROUND($D97*INDEX('🔖 배합비 참조'!$B$2:$CE$83,MATCH("고구마가루",'🔖 배합비 참조'!$A$2:$A$83,0),MATCH($C97,'🔖 배합비 참조'!$B$1:$CE$1,0))/100,0),""))),"")</f>
        <v>0</v>
      </c>
      <c r="P97" s="39" t="n">
        <f aca="false">IFERROR(IF($C97="","",IF($D97="","",IFERROR(ROUND($D97*INDEX('🔖 배합비 참조'!$B$2:$CE$83,MATCH("고구마무스",'🔖 배합비 참조'!$A$2:$A$83,0),MATCH($C97,'🔖 배합비 참조'!$B$1:$CE$1,0))/100,0),""))),"")</f>
        <v>0</v>
      </c>
      <c r="Q97" s="39" t="n">
        <f aca="false">IFERROR(IF($C97="","",IF($D97="","",IFERROR(ROUND($D97*INDEX('🔖 배합비 참조'!$B$2:$CE$83,MATCH("고려엉겅퀴((곤드레)국내산)",'🔖 배합비 참조'!$A$2:$A$83,0),MATCH($C97,'🔖 배합비 참조'!$B$1:$CE$1,0))/100,0),""))),"")</f>
        <v>0</v>
      </c>
      <c r="R97" s="39" t="n">
        <f aca="false">IFERROR(IF($C97="","",IF($D97="","",IFERROR(ROUND($D97*INDEX('🔖 배합비 참조'!$B$2:$CE$83,MATCH("기타가공품(복분자가루)",'🔖 배합비 참조'!$A$2:$A$83,0),MATCH($C97,'🔖 배합비 참조'!$B$1:$CE$1,0))/100,0),""))),"")</f>
        <v>0</v>
      </c>
      <c r="S97" s="39" t="n">
        <f aca="false">IFERROR(IF($C97="","",IF($D97="","",IFERROR(ROUND($D97*INDEX('🔖 배합비 참조'!$B$2:$CE$83,MATCH("기타가공품(슈퍼소프트엠)",'🔖 배합비 참조'!$A$2:$A$83,0),MATCH($C97,'🔖 배합비 참조'!$B$1:$CE$1,0))/100,0),""))),"")</f>
        <v>0</v>
      </c>
      <c r="T97" s="39" t="n">
        <f aca="false">IFERROR(IF($C97="","",IF($D97="","",IFERROR(ROUND($D97*INDEX('🔖 배합비 참조'!$B$2:$CE$83,MATCH("기타가공품(파인소프트 E-티)",'🔖 배합비 참조'!$A$2:$A$83,0),MATCH($C97,'🔖 배합비 참조'!$B$1:$CE$1,0))/100,0),""))),"")</f>
        <v>0</v>
      </c>
      <c r="U97" s="39" t="n">
        <f aca="false">IFERROR(IF($C97="","",IF($D97="","",IFERROR(ROUND($D97*INDEX('🔖 배합비 참조'!$B$2:$CE$83,MATCH("기타가공품(프리미엄카스테라가루)",'🔖 배합비 참조'!$A$2:$A$83,0),MATCH($C97,'🔖 배합비 참조'!$B$1:$CE$1,0))/100,0),""))),"")</f>
        <v>0</v>
      </c>
      <c r="V97" s="39" t="n">
        <f aca="false">IFERROR(IF($C97="","",IF($D97="","",IFERROR(ROUND($D97*INDEX('🔖 배합비 참조'!$B$2:$CE$83,MATCH("기타가공품(흑임자가루)",'🔖 배합비 참조'!$A$2:$A$83,0),MATCH($C97,'🔖 배합비 참조'!$B$1:$CE$1,0))/100,0),""))),"")</f>
        <v>0</v>
      </c>
      <c r="W97" s="39" t="n">
        <f aca="false">IFERROR(IF($C97="","",IF($D97="","",IFERROR(ROUND($D97*INDEX('🔖 배합비 참조'!$B$2:$CE$83,MATCH("기타설탕(흑설탕)",'🔖 배합비 참조'!$A$2:$A$83,0),MATCH($C97,'🔖 배합비 참조'!$B$1:$CE$1,0))/100,0),""))),"")</f>
        <v>0</v>
      </c>
      <c r="X97" s="39" t="n">
        <f aca="false">IFERROR(IF($C97="","",IF($D97="","",IFERROR(ROUND($D97*INDEX('🔖 배합비 참조'!$B$2:$CE$83,MATCH("냉동쑥(국내산)",'🔖 배합비 참조'!$A$2:$A$83,0),MATCH($C97,'🔖 배합비 참조'!$B$1:$CE$1,0))/100,0),""))),"")</f>
        <v>0</v>
      </c>
      <c r="Y97" s="39" t="n">
        <f aca="false">IFERROR(IF($C97="","",IF($D97="","",IFERROR(ROUND($D97*INDEX('🔖 배합비 참조'!$B$2:$CE$83,MATCH("냉동증숙고구마(중국산)",'🔖 배합비 참조'!$A$2:$A$83,0),MATCH($C97,'🔖 배합비 참조'!$B$1:$CE$1,0))/100,0),""))),"")</f>
        <v>0</v>
      </c>
      <c r="Z97" s="39" t="n">
        <f aca="false">IFERROR(IF($C97="","",IF($D97="","",IFERROR(ROUND($D97*INDEX('🔖 배합비 참조'!$B$2:$CE$83,MATCH("녹차가루",'🔖 배합비 참조'!$A$2:$A$83,0),MATCH($C97,'🔖 배합비 참조'!$B$1:$CE$1,0))/100,0),""))),"")</f>
        <v>0</v>
      </c>
      <c r="AA97" s="39" t="n">
        <f aca="false">IFERROR(IF($C97="","",IF($D97="","",IFERROR(ROUND($D97*INDEX('🔖 배합비 참조'!$B$2:$CE$83,MATCH("다크초콜릿 컴파운드칩",'🔖 배합비 참조'!$A$2:$A$83,0),MATCH($C97,'🔖 배합비 참조'!$B$1:$CE$1,0))/100,0),""))),"")</f>
        <v>0</v>
      </c>
      <c r="AB97" s="39" t="n">
        <f aca="false">IFERROR(IF($C97="","",IF($D97="","",IFERROR(ROUND($D97*INDEX('🔖 배합비 참조'!$B$2:$CE$83,MATCH("단호박분말(중국산)",'🔖 배합비 참조'!$A$2:$A$83,0),MATCH($C97,'🔖 배합비 참조'!$B$1:$CE$1,0))/100,0),""))),"")</f>
        <v>0</v>
      </c>
      <c r="AC97" s="39" t="n">
        <f aca="false">IFERROR(IF($C97="","",IF($D97="","",IFERROR(ROUND($D97*INDEX('🔖 배합비 참조'!$B$2:$CE$83,MATCH("당류가공품(단호박농축액)",'🔖 배합비 참조'!$A$2:$A$83,0),MATCH($C97,'🔖 배합비 참조'!$B$1:$CE$1,0))/100,0),""))),"")</f>
        <v>0</v>
      </c>
      <c r="AD97" s="39" t="n">
        <f aca="false">IFERROR(IF($C97="","",IF($D97="","",IFERROR(ROUND($D97*INDEX('🔖 배합비 참조'!$B$2:$CE$83,MATCH("당류가공품(알룰로스,에리스리톨,스테비올배당체혼합)",'🔖 배합비 참조'!$A$2:$A$83,0),MATCH($C97,'🔖 배합비 참조'!$B$1:$CE$1,0))/100,0),""))),"")</f>
        <v>0</v>
      </c>
      <c r="AE97" s="39" t="n">
        <f aca="false">IFERROR(IF($C97="","",IF($D97="","",IFERROR(ROUND($D97*INDEX('🔖 배합비 참조'!$B$2:$CE$83,MATCH("당류가공품(알룰로스제로파우더)",'🔖 배합비 참조'!$A$2:$A$83,0),MATCH($C97,'🔖 배합비 참조'!$B$1:$CE$1,0))/100,0),""))),"")</f>
        <v>0</v>
      </c>
      <c r="AF97" s="39" t="n">
        <f aca="false">IFERROR(IF($C97="","",IF($D97="","",IFERROR(ROUND($D97*INDEX('🔖 배합비 참조'!$B$2:$CE$83,MATCH("당절임(완두배기)",'🔖 배합비 참조'!$A$2:$A$83,0),MATCH($C97,'🔖 배합비 참조'!$B$1:$CE$1,0))/100,0),""))),"")</f>
        <v>0</v>
      </c>
      <c r="AG97" s="39" t="n">
        <f aca="false">IFERROR(IF($C97="","",IF($D97="","",IFERROR(ROUND($D97*INDEX('🔖 배합비 참조'!$B$2:$CE$83,MATCH("대추농축액",'🔖 배합비 참조'!$A$2:$A$83,0),MATCH($C97,'🔖 배합비 참조'!$B$1:$CE$1,0))/100,0),""))),"")</f>
        <v>0</v>
      </c>
      <c r="AH97" s="39" t="n">
        <f aca="false">IFERROR(IF($C97="","",IF($D97="","",IFERROR(ROUND($D97*INDEX('🔖 배합비 참조'!$B$2:$CE$83,MATCH("대추채(국내산)",'🔖 배합비 참조'!$A$2:$A$83,0),MATCH($C97,'🔖 배합비 참조'!$B$1:$CE$1,0))/100,0),""))),"")</f>
        <v>0</v>
      </c>
      <c r="AI97" s="39" t="n">
        <f aca="false">IFERROR(IF($C97="","",IF($D97="","",IFERROR(ROUND($D97*INDEX('🔖 배합비 참조'!$B$2:$CE$83,MATCH("동부(미얀마산)",'🔖 배합비 참조'!$A$2:$A$83,0),MATCH($C97,'🔖 배합비 참조'!$B$1:$CE$1,0))/100,0),""))),"")</f>
        <v>0</v>
      </c>
      <c r="AJ97" s="39" t="n">
        <f aca="false">IFERROR(IF($C97="","",IF($D97="","",IFERROR(ROUND($D97*INDEX('🔖 배합비 참조'!$B$2:$CE$83,MATCH("두류가공품(백옥앙금)",'🔖 배합비 참조'!$A$2:$A$83,0),MATCH($C97,'🔖 배합비 참조'!$B$1:$CE$1,0))/100,0),""))),"")</f>
        <v>0</v>
      </c>
      <c r="AK97" s="39" t="n">
        <f aca="false">IFERROR(IF($C97="","",IF($D97="","",IFERROR(ROUND($D97*INDEX('🔖 배합비 참조'!$B$2:$CE$83,MATCH("두류가공품(콩고물)",'🔖 배합비 참조'!$A$2:$A$83,0),MATCH($C97,'🔖 배합비 참조'!$B$1:$CE$1,0))/100,0),""))),"")</f>
        <v>0</v>
      </c>
      <c r="AL97" s="39" t="n">
        <f aca="false">IFERROR(IF($C97="","",IF($D97="","",IFERROR(ROUND($D97*INDEX('🔖 배합비 참조'!$B$2:$CE$83,MATCH("두류가공품(통팥고물)",'🔖 배합비 참조'!$A$2:$A$83,0),MATCH($C97,'🔖 배합비 참조'!$B$1:$CE$1,0))/100,0),""))),"")</f>
        <v>0</v>
      </c>
      <c r="AM97" s="39" t="n">
        <f aca="false">IFERROR(IF($C97="","",IF($D97="","",IFERROR(ROUND($D97*INDEX('🔖 배합비 참조'!$B$2:$CE$83,MATCH("딸기레진",'🔖 배합비 참조'!$A$2:$A$83,0),MATCH($C97,'🔖 배합비 참조'!$B$1:$CE$1,0))/100,0),""))),"")</f>
        <v>0</v>
      </c>
      <c r="AN97" s="39" t="n">
        <f aca="false">IFERROR(IF($C97="","",IF($D97="","",IFERROR(ROUND($D97*INDEX('🔖 배합비 참조'!$B$2:$CE$83,MATCH("딸기분말(스트로우베리에이드(분말))",'🔖 배합비 참조'!$A$2:$A$83,0),MATCH($C97,'🔖 배합비 참조'!$B$1:$CE$1,0))/100,0),""))),"")</f>
        <v>0</v>
      </c>
      <c r="AO97" s="39" t="n">
        <f aca="false">IFERROR(IF($C97="","",IF($D97="","",IFERROR(ROUND($D97*INDEX('🔖 배합비 참조'!$B$2:$CE$83,MATCH("마스카포네치즈",'🔖 배합비 참조'!$A$2:$A$83,0),MATCH($C97,'🔖 배합비 참조'!$B$1:$CE$1,0))/100,0),""))),"")</f>
        <v>0</v>
      </c>
      <c r="AP97" s="39" t="n">
        <f aca="false">IFERROR(IF($C97="","",IF($D97="","",IFERROR(ROUND($D97*INDEX('🔖 배합비 참조'!$B$2:$CE$83,MATCH("마카다미아분태(호주산)",'🔖 배합비 참조'!$A$2:$A$83,0),MATCH($C97,'🔖 배합비 참조'!$B$1:$CE$1,0))/100,0),""))),"")</f>
        <v>0</v>
      </c>
      <c r="AQ97" s="39" t="n">
        <f aca="false">IFERROR(IF($C97="","",IF($D97="","",IFERROR(ROUND($D97*INDEX('🔖 배합비 참조'!$B$2:$CE$83,MATCH("멥쌀(국내산)",'🔖 배합비 참조'!$A$2:$A$83,0),MATCH($C97,'🔖 배합비 참조'!$B$1:$CE$1,0))/100,0),""))),"")</f>
        <v>0</v>
      </c>
      <c r="AR97" s="39" t="n">
        <f aca="false">IFERROR(IF($C97="","",IF($D97="","",IFERROR(ROUND($D97*INDEX('🔖 배합비 참조'!$B$2:$CE$83,MATCH("모시잎(국내산)",'🔖 배합비 참조'!$A$2:$A$83,0),MATCH($C97,'🔖 배합비 참조'!$B$1:$CE$1,0))/100,0),""))),"")</f>
        <v>0</v>
      </c>
      <c r="AS97" s="39" t="n">
        <f aca="false">IFERROR(IF($C97="","",IF($D97="","",IFERROR(ROUND($D97*INDEX('🔖 배합비 참조'!$B$2:$CE$83,MATCH("물엿(저당물엿)",'🔖 배합비 참조'!$A$2:$A$83,0),MATCH($C97,'🔖 배합비 참조'!$B$1:$CE$1,0))/100,0),""))),"")</f>
        <v>5</v>
      </c>
      <c r="AT97" s="39" t="n">
        <f aca="false">IFERROR(IF($C97="","",IF($D97="","",IFERROR(ROUND($D97*INDEX('🔖 배합비 참조'!$B$2:$CE$83,MATCH("밤다이스",'🔖 배합비 참조'!$A$2:$A$83,0),MATCH($C97,'🔖 배합비 참조'!$B$1:$CE$1,0))/100,0),""))),"")</f>
        <v>0</v>
      </c>
      <c r="AU97" s="39" t="n">
        <f aca="false">IFERROR(IF($C97="","",IF($D97="","",IFERROR(ROUND($D97*INDEX('🔖 배합비 참조'!$B$2:$CE$83,MATCH("변성전분(타피오카전분)",'🔖 배합비 참조'!$A$2:$A$83,0),MATCH($C97,'🔖 배합비 참조'!$B$1:$CE$1,0))/100,0),""))),"")</f>
        <v>0</v>
      </c>
      <c r="AV97" s="39" t="n">
        <f aca="false">IFERROR(IF($C97="","",IF($D97="","",IFERROR(ROUND($D97*INDEX('🔖 배합비 참조'!$B$2:$CE$83,MATCH("복음땅콩분태",'🔖 배합비 참조'!$A$2:$A$83,0),MATCH($C97,'🔖 배합비 참조'!$B$1:$CE$1,0))/100,0),""))),"")</f>
        <v>0</v>
      </c>
      <c r="AW97" s="39" t="n">
        <f aca="false">IFERROR(IF($C97="","",IF($D97="","",IFERROR(ROUND($D97*INDEX('🔖 배합비 참조'!$B$2:$CE$83,MATCH("사양벌꿀(국내산)",'🔖 배합비 참조'!$A$2:$A$83,0),MATCH($C97,'🔖 배합비 참조'!$B$1:$CE$1,0))/100,0),""))),"")</f>
        <v>0</v>
      </c>
      <c r="AX97" s="39" t="n">
        <f aca="false">IFERROR(IF($C97="","",IF($D97="","",IFERROR(ROUND($D97*INDEX('🔖 배합비 참조'!$B$2:$CE$83,MATCH("생크림",'🔖 배합비 참조'!$A$2:$A$83,0),MATCH($C97,'🔖 배합비 참조'!$B$1:$CE$1,0))/100,0),""))),"")</f>
        <v>0</v>
      </c>
      <c r="AY97" s="39" t="n">
        <f aca="false">IFERROR(IF($C97="","",IF($D97="","",IFERROR(ROUND($D97*INDEX('🔖 배합비 참조'!$B$2:$CE$83,MATCH("서양호박(국내산,뉴질랜드산)",'🔖 배합비 참조'!$A$2:$A$83,0),MATCH($C97,'🔖 배합비 참조'!$B$1:$CE$1,0))/100,0),""))),"")</f>
        <v>0</v>
      </c>
      <c r="AZ97" s="39" t="n">
        <f aca="false">IFERROR(IF($C97="","",IF($D97="","",IFERROR(ROUND($D97*INDEX('🔖 배합비 참조'!$B$2:$CE$83,MATCH("설탕",'🔖 배합비 참조'!$A$2:$A$83,0),MATCH($C97,'🔖 배합비 참조'!$B$1:$CE$1,0))/100,0),""))),"")</f>
        <v>5</v>
      </c>
      <c r="BA97" s="39" t="n">
        <f aca="false">IFERROR(IF($C97="","",IF($D97="","",IFERROR(ROUND($D97*INDEX('🔖 배합비 참조'!$B$2:$CE$83,MATCH("스트로우베리 에이드 후레쉬",'🔖 배합비 참조'!$A$2:$A$83,0),MATCH($C97,'🔖 배합비 참조'!$B$1:$CE$1,0))/100,0),""))),"")</f>
        <v>0</v>
      </c>
      <c r="BB97" s="39" t="n">
        <f aca="false">IFERROR(IF($C97="","",IF($D97="","",IFERROR(ROUND($D97*INDEX('🔖 배합비 참조'!$B$2:$CE$83,MATCH("식물성기름혼합제제(분홍)",'🔖 배합비 참조'!$A$2:$A$83,0),MATCH($C97,'🔖 배합비 참조'!$B$1:$CE$1,0))/100,0),""))),"")</f>
        <v>0</v>
      </c>
      <c r="BC97" s="39" t="n">
        <f aca="false">IFERROR(IF($C97="","",IF($D97="","",IFERROR(ROUND($D97*INDEX('🔖 배합비 참조'!$B$2:$CE$83,MATCH("식물성기름혼합제제(초록)",'🔖 배합비 참조'!$A$2:$A$83,0),MATCH($C97,'🔖 배합비 참조'!$B$1:$CE$1,0))/100,0),""))),"")</f>
        <v>0</v>
      </c>
      <c r="BD97" s="39" t="n">
        <f aca="false">IFERROR(IF($C97="","",IF($D97="","",IFERROR(ROUND($D97*INDEX('🔖 배합비 참조'!$B$2:$CE$83,MATCH("식물성기름혼합제제(황색)",'🔖 배합비 참조'!$A$2:$A$83,0),MATCH($C97,'🔖 배합비 참조'!$B$1:$CE$1,0))/100,0),""))),"")</f>
        <v>0</v>
      </c>
      <c r="BE97" s="39" t="n">
        <f aca="false">IFERROR(IF($C97="","",IF($D97="","",IFERROR(ROUND($D97*INDEX('🔖 배합비 참조'!$B$2:$CE$83,MATCH("쑥가루(국내산)",'🔖 배합비 참조'!$A$2:$A$83,0),MATCH($C97,'🔖 배합비 참조'!$B$1:$CE$1,0))/100,0),""))),"")</f>
        <v>0</v>
      </c>
      <c r="BF97" s="39" t="n">
        <f aca="false">IFERROR(IF($C97="","",IF($D97="","",IFERROR(ROUND($D97*INDEX('🔖 배합비 참조'!$B$2:$CE$83,MATCH("아몬드슬라이스",'🔖 배합비 참조'!$A$2:$A$83,0),MATCH($C97,'🔖 배합비 참조'!$B$1:$CE$1,0))/100,0),""))),"")</f>
        <v>0</v>
      </c>
      <c r="BG97" s="39" t="n">
        <f aca="false">IFERROR(IF($C97="","",IF($D97="","",IFERROR(ROUND($D97*INDEX('🔖 배합비 참조'!$B$2:$CE$83,MATCH("알룰로오스(국내산)",'🔖 배합비 참조'!$A$2:$A$83,0),MATCH($C97,'🔖 배합비 참조'!$B$1:$CE$1,0))/100,0),""))),"")</f>
        <v>0</v>
      </c>
      <c r="BH97" s="39" t="n">
        <f aca="false">IFERROR(IF($C97="","",IF($D97="","",IFERROR(ROUND($D97*INDEX('🔖 배합비 참조'!$B$2:$CE$83,MATCH("연유",'🔖 배합비 참조'!$A$2:$A$83,0),MATCH($C97,'🔖 배합비 참조'!$B$1:$CE$1,0))/100,0),""))),"")</f>
        <v>0</v>
      </c>
      <c r="BI97" s="39" t="n">
        <f aca="false">IFERROR(IF($C97="","",IF($D97="","",IFERROR(ROUND($D97*INDEX('🔖 배합비 참조'!$B$2:$CE$83,MATCH("옥수수전분",'🔖 배합비 참조'!$A$2:$A$83,0),MATCH($C97,'🔖 배합비 참조'!$B$1:$CE$1,0))/100,0),""))),"")</f>
        <v>3</v>
      </c>
      <c r="BJ97" s="39" t="n">
        <f aca="false">IFERROR(IF($C97="","",IF($D97="","",IFERROR(ROUND($D97*INDEX('🔖 배합비 참조'!$B$2:$CE$83,MATCH("완두배기",'🔖 배합비 참조'!$A$2:$A$83,0),MATCH($C97,'🔖 배합비 참조'!$B$1:$CE$1,0))/100,0),""))),"")</f>
        <v>0</v>
      </c>
      <c r="BK97" s="39" t="n">
        <f aca="false">IFERROR(IF($C97="","",IF($D97="","",IFERROR(ROUND($D97*INDEX('🔖 배합비 참조'!$B$2:$CE$83,MATCH("우유(국내산)",'🔖 배합비 참조'!$A$2:$A$83,0),MATCH($C97,'🔖 배합비 참조'!$B$1:$CE$1,0))/100,0),""))),"")</f>
        <v>0</v>
      </c>
      <c r="BL97" s="39" t="n">
        <f aca="false">IFERROR(IF($C97="","",IF($D97="","",IFERROR(ROUND($D97*INDEX('🔖 배합비 참조'!$B$2:$CE$83,MATCH("자색고구마가루(중국산)",'🔖 배합비 참조'!$A$2:$A$83,0),MATCH($C97,'🔖 배합비 참조'!$B$1:$CE$1,0))/100,0),""))),"")</f>
        <v>0</v>
      </c>
      <c r="BM97" s="39" t="n">
        <f aca="false">IFERROR(IF($C97="","",IF($D97="","",IFERROR(ROUND($D97*INDEX('🔖 배합비 참조'!$B$2:$CE$83,MATCH("자연치즈(체다치즈)",'🔖 배합비 참조'!$A$2:$A$83,0),MATCH($C97,'🔖 배합비 참조'!$B$1:$CE$1,0))/100,0),""))),"")</f>
        <v>0</v>
      </c>
      <c r="BN97" s="39" t="n">
        <f aca="false">IFERROR(IF($C97="","",IF($D97="","",IFERROR(ROUND($D97*INDEX('🔖 배합비 참조'!$B$2:$CE$83,MATCH("정제수",'🔖 배합비 참조'!$A$2:$A$83,0),MATCH($C97,'🔖 배합비 참조'!$B$1:$CE$1,0))/100,0),""))),"")</f>
        <v>0</v>
      </c>
      <c r="BO97" s="39" t="n">
        <f aca="false">IFERROR(IF($C97="","",IF($D97="","",IFERROR(ROUND($D97*INDEX('🔖 배합비 참조'!$B$2:$CE$83,MATCH("젤라틴",'🔖 배합비 참조'!$A$2:$A$83,0),MATCH($C97,'🔖 배합비 참조'!$B$1:$CE$1,0))/100,0),""))),"")</f>
        <v>0</v>
      </c>
      <c r="BP97" s="39" t="n">
        <f aca="false">IFERROR(IF($C97="","",IF($D97="","",IFERROR(ROUND($D97*INDEX('🔖 배합비 참조'!$B$2:$CE$83,MATCH("조림류(백옥앙금)",'🔖 배합비 참조'!$A$2:$A$83,0),MATCH($C97,'🔖 배합비 참조'!$B$1:$CE$1,0))/100,0),""))),"")</f>
        <v>0</v>
      </c>
      <c r="BQ97" s="39" t="n">
        <f aca="false">IFERROR(IF($C97="","",IF($D97="","",IFERROR(ROUND($D97*INDEX('🔖 배합비 참조'!$B$2:$CE$83,MATCH("조림류(통팥앙금)",'🔖 배합비 참조'!$A$2:$A$83,0),MATCH($C97,'🔖 배합비 참조'!$B$1:$CE$1,0))/100,0),""))),"")</f>
        <v>94</v>
      </c>
      <c r="BR97" s="39" t="n">
        <f aca="false">IFERROR(IF($C97="","",IF($D97="","",IFERROR(ROUND($D97*INDEX('🔖 배합비 참조'!$B$2:$CE$83,MATCH("준초콜릿(외국산)",'🔖 배합비 참조'!$A$2:$A$83,0),MATCH($C97,'🔖 배합비 참조'!$B$1:$CE$1,0))/100,0),""))),"")</f>
        <v>0</v>
      </c>
      <c r="BS97" s="39" t="n">
        <f aca="false">IFERROR(IF($C97="","",IF($D97="","",IFERROR(ROUND($D97*INDEX('🔖 배합비 참조'!$B$2:$CE$83,MATCH("중력분",'🔖 배합비 참조'!$A$2:$A$83,0),MATCH($C97,'🔖 배합비 참조'!$B$1:$CE$1,0))/100,0),""))),"")</f>
        <v>0</v>
      </c>
      <c r="BT97" s="39" t="n">
        <f aca="false">IFERROR(IF($C97="","",IF($D97="","",IFERROR(ROUND($D97*INDEX('🔖 배합비 참조'!$B$2:$CE$83,MATCH("참깨(인도산,나이지리아산,탄자니아산,미얀마산)",'🔖 배합비 참조'!$A$2:$A$83,0),MATCH($C97,'🔖 배합비 참조'!$B$1:$CE$1,0))/100,0),""))),"")</f>
        <v>0</v>
      </c>
      <c r="BU97" s="39" t="n">
        <f aca="false">IFERROR(IF($C97="","",IF($D97="","",IFERROR(ROUND($D97*INDEX('🔖 배합비 참조'!$B$2:$CE$83,MATCH("찹쌀(국내산)",'🔖 배합비 참조'!$A$2:$A$83,0),MATCH($C97,'🔖 배합비 참조'!$B$1:$CE$1,0))/100,0),""))),"")</f>
        <v>100</v>
      </c>
      <c r="BV97" s="39" t="n">
        <f aca="false">IFERROR(IF($C97="","",IF($D97="","",IFERROR(ROUND($D97*INDEX('🔖 배합비 참조'!$B$2:$CE$83,MATCH("천일염",'🔖 배합비 참조'!$A$2:$A$83,0),MATCH($C97,'🔖 배합비 참조'!$B$1:$CE$1,0))/100,0),""))),"")</f>
        <v>2</v>
      </c>
      <c r="BW97" s="39" t="n">
        <f aca="false">IFERROR(IF($C97="","",IF($D97="","",IFERROR(ROUND($D97*INDEX('🔖 배합비 참조'!$B$2:$CE$83,MATCH("치즈 [크림치즈]",'🔖 배합비 참조'!$A$2:$A$83,0),MATCH($C97,'🔖 배합비 참조'!$B$1:$CE$1,0))/100,0),""))),"")</f>
        <v>0</v>
      </c>
      <c r="BX97" s="39" t="n">
        <f aca="false">IFERROR(IF($C97="","",IF($D97="","",IFERROR(ROUND($D97*INDEX('🔖 배합비 참조'!$B$2:$CE$83,MATCH("코코아가공품류(코코아분말)",'🔖 배합비 참조'!$A$2:$A$83,0),MATCH($C97,'🔖 배합비 참조'!$B$1:$CE$1,0))/100,0),""))),"")</f>
        <v>0</v>
      </c>
      <c r="BY97" s="39" t="n">
        <f aca="false">IFERROR(IF($C97="","",IF($D97="","",IFERROR(ROUND($D97*INDEX('🔖 배합비 참조'!$B$2:$CE$83,MATCH("콩기름(대두유)",'🔖 배합비 참조'!$A$2:$A$83,0),MATCH($C97,'🔖 배합비 참조'!$B$1:$CE$1,0))/100,0),""))),"")</f>
        <v>0</v>
      </c>
      <c r="BZ97" s="39" t="n">
        <f aca="false">IFERROR(IF($C97="","",IF($D97="","",IFERROR(ROUND($D97*INDEX('🔖 배합비 참조'!$B$2:$CE$83,MATCH("해바라기씨앗",'🔖 배합비 참조'!$A$2:$A$83,0),MATCH($C97,'🔖 배합비 참조'!$B$1:$CE$1,0))/100,0),""))),"")</f>
        <v>0</v>
      </c>
      <c r="CA97" s="39" t="n">
        <f aca="false">IFERROR(IF($C97="","",IF($D97="","",IFERROR(ROUND($D97*INDEX('🔖 배합비 참조'!$B$2:$CE$83,MATCH("현미(국내산)",'🔖 배합비 참조'!$A$2:$A$83,0),MATCH($C97,'🔖 배합비 참조'!$B$1:$CE$1,0))/100,0),""))),"")</f>
        <v>0</v>
      </c>
      <c r="CB97" s="39" t="n">
        <f aca="false">IFERROR(IF($C97="","",IF($D97="","",IFERROR(ROUND($D97*INDEX('🔖 배합비 참조'!$B$2:$CE$83,MATCH("현미멥쌀(국내산)",'🔖 배합비 참조'!$A$2:$A$83,0),MATCH($C97,'🔖 배합비 참조'!$B$1:$CE$1,0))/100,0),""))),"")</f>
        <v>0</v>
      </c>
      <c r="CC97" s="39" t="n">
        <f aca="false">IFERROR(IF($C97="","",IF($D97="","",IFERROR(ROUND($D97*INDEX('🔖 배합비 참조'!$B$2:$CE$83,MATCH("호두분태(미국산)",'🔖 배합비 참조'!$A$2:$A$83,0),MATCH($C97,'🔖 배합비 참조'!$B$1:$CE$1,0))/100,0),""))),"")</f>
        <v>0</v>
      </c>
      <c r="CD97" s="39" t="n">
        <f aca="false">IFERROR(IF($C97="","",IF($D97="","",IFERROR(ROUND($D97*INDEX('🔖 배합비 참조'!$B$2:$CE$83,MATCH("호박씨앗(외국산)",'🔖 배합비 참조'!$A$2:$A$83,0),MATCH($C97,'🔖 배합비 참조'!$B$1:$CE$1,0))/100,0),""))),"")</f>
        <v>0</v>
      </c>
      <c r="CE97" s="39" t="n">
        <f aca="false">IFERROR(IF($C97="","",IF($D97="","",IFERROR(ROUND($D97*INDEX('🔖 배합비 참조'!$B$2:$CE$83,MATCH("혼합제제(떡용에스텔)",'🔖 배합비 참조'!$A$2:$A$83,0),MATCH($C97,'🔖 배합비 참조'!$B$1:$CE$1,0))/100,0),""))),"")</f>
        <v>1</v>
      </c>
      <c r="CF97" s="39" t="n">
        <f aca="false">IFERROR(IF($C97="","",IF($D97="","",IFERROR(ROUND($D97*INDEX('🔖 배합비 참조'!$B$2:$CE$83,MATCH("혼합제제(스테비아)",'🔖 배합비 참조'!$A$2:$A$83,0),MATCH($C97,'🔖 배합비 참조'!$B$1:$CE$1,0))/100,0),""))),"")</f>
        <v>0</v>
      </c>
      <c r="CG97" s="39" t="n">
        <f aca="false">IFERROR(IF($C97="","",IF($D97="","",IFERROR(ROUND($D97*INDEX('🔖 배합비 참조'!$B$2:$CE$83,MATCH("화이트초콜릿",'🔖 배합비 참조'!$A$2:$A$83,0),MATCH($C97,'🔖 배합비 참조'!$B$1:$CE$1,0))/100,0),""))),"")</f>
        <v>0</v>
      </c>
      <c r="CH97" s="39" t="n">
        <f aca="false">IFERROR(IF($C97="","",IF($D97="","",IFERROR(ROUND($D97*INDEX('🔖 배합비 참조'!$B$2:$CE$83,MATCH("흑미찹쌀(국내산)",'🔖 배합비 참조'!$A$2:$A$83,0),MATCH($C97,'🔖 배합비 참조'!$B$1:$CE$1,0))/100,0),""))),"")</f>
        <v>0</v>
      </c>
      <c r="CI97" s="39" t="n">
        <f aca="false">IFERROR(IF($C97="","",IF($D97="","",IFERROR(ROUND($D97*INDEX('🔖 배합비 참조'!$B$2:$CE$83,MATCH("찰옥수수전분(미국산)",'🔖 배합비 참조'!$A$2:$A$83,0),MATCH($C97,'🔖 배합비 참조'!$B$1:$CE$1,0))/100,0),""))),"")</f>
        <v>0</v>
      </c>
      <c r="CJ97" s="40"/>
      <c r="CL97" s="1" t="s">
        <v>239</v>
      </c>
    </row>
    <row r="98" customFormat="false" ht="18" hidden="false" customHeight="true" outlineLevel="0" collapsed="false">
      <c r="A98" s="41" t="n">
        <v>94</v>
      </c>
      <c r="B98" s="36" t="n">
        <v>45992</v>
      </c>
      <c r="C98" s="37" t="s">
        <v>221</v>
      </c>
      <c r="D98" s="38" t="n">
        <v>70</v>
      </c>
      <c r="E98" s="17"/>
      <c r="F98" s="17"/>
      <c r="G98" s="42" t="n">
        <f aca="false">IFERROR(IF($C98="","",IF($D98="","",IFERROR(ROUND($D98*INDEX('🔖 배합비 참조'!$B$2:$CE$83,MATCH("간장",'🔖 배합비 참조'!$A$2:$A$83,0),MATCH($C98,'🔖 배합비 참조'!$B$1:$CE$1,0))/100,0),""))),"")</f>
        <v>0</v>
      </c>
      <c r="H98" s="42" t="n">
        <f aca="false">IFERROR(IF($C98="","",IF($D98="","",IFERROR(ROUND($D98*INDEX('🔖 배합비 참조'!$B$2:$CE$83,MATCH("강낭콩((울타리콩))",'🔖 배합비 참조'!$A$2:$A$83,0),MATCH($C98,'🔖 배합비 참조'!$B$1:$CE$1,0))/100,0),""))),"")</f>
        <v>0</v>
      </c>
      <c r="I98" s="42" t="n">
        <f aca="false">IFERROR(IF($C98="","",IF($D98="","",IFERROR(ROUND($D98*INDEX('🔖 배합비 참조'!$B$2:$CE$83,MATCH("건조딸기다이스(외국산)",'🔖 배합비 참조'!$A$2:$A$83,0),MATCH($C98,'🔖 배합비 참조'!$B$1:$CE$1,0))/100,0),""))),"")</f>
        <v>0</v>
      </c>
      <c r="J98" s="42" t="n">
        <f aca="false">IFERROR(IF($C98="","",IF($D98="","",IFERROR(ROUND($D98*INDEX('🔖 배합비 참조'!$B$2:$CE$83,MATCH("건포도",'🔖 배합비 참조'!$A$2:$A$83,0),MATCH($C98,'🔖 배합비 참조'!$B$1:$CE$1,0))/100,0),""))),"")</f>
        <v>0</v>
      </c>
      <c r="K98" s="42" t="n">
        <f aca="false">IFERROR(IF($C98="","",IF($D98="","",IFERROR(ROUND($D98*INDEX('🔖 배합비 참조'!$B$2:$CE$83,MATCH("건호박채(중국산)",'🔖 배합비 참조'!$A$2:$A$83,0),MATCH($C98,'🔖 배합비 참조'!$B$1:$CE$1,0))/100,0),""))),"")</f>
        <v>0</v>
      </c>
      <c r="L98" s="42" t="n">
        <f aca="false">IFERROR(IF($C98="","",IF($D98="","",IFERROR(ROUND($D98*INDEX('🔖 배합비 참조'!$B$2:$CE$83,MATCH("검정깨(흑임자)",'🔖 배합비 참조'!$A$2:$A$83,0),MATCH($C98,'🔖 배합비 참조'!$B$1:$CE$1,0))/100,0),""))),"")</f>
        <v>0</v>
      </c>
      <c r="M98" s="42" t="n">
        <f aca="false">IFERROR(IF($C98="","",IF($D98="","",IFERROR(ROUND($D98*INDEX('🔖 배합비 참조'!$B$2:$CE$83,MATCH("검정콩",'🔖 배합비 참조'!$A$2:$A$83,0),MATCH($C98,'🔖 배합비 참조'!$B$1:$CE$1,0))/100,0),""))),"")</f>
        <v>0</v>
      </c>
      <c r="N98" s="42" t="n">
        <f aca="false">IFERROR(IF($C98="","",IF($D98="","",IFERROR(ROUND($D98*INDEX('🔖 배합비 참조'!$B$2:$CE$83,MATCH("계피가루",'🔖 배합비 참조'!$A$2:$A$83,0),MATCH($C98,'🔖 배합비 참조'!$B$1:$CE$1,0))/100,0),""))),"")</f>
        <v>0</v>
      </c>
      <c r="O98" s="42" t="n">
        <f aca="false">IFERROR(IF($C98="","",IF($D98="","",IFERROR(ROUND($D98*INDEX('🔖 배합비 참조'!$B$2:$CE$83,MATCH("고구마가루",'🔖 배합비 참조'!$A$2:$A$83,0),MATCH($C98,'🔖 배합비 참조'!$B$1:$CE$1,0))/100,0),""))),"")</f>
        <v>0</v>
      </c>
      <c r="P98" s="42" t="n">
        <f aca="false">IFERROR(IF($C98="","",IF($D98="","",IFERROR(ROUND($D98*INDEX('🔖 배합비 참조'!$B$2:$CE$83,MATCH("고구마무스",'🔖 배합비 참조'!$A$2:$A$83,0),MATCH($C98,'🔖 배합비 참조'!$B$1:$CE$1,0))/100,0),""))),"")</f>
        <v>0</v>
      </c>
      <c r="Q98" s="42" t="n">
        <f aca="false">IFERROR(IF($C98="","",IF($D98="","",IFERROR(ROUND($D98*INDEX('🔖 배합비 참조'!$B$2:$CE$83,MATCH("고려엉겅퀴((곤드레)국내산)",'🔖 배합비 참조'!$A$2:$A$83,0),MATCH($C98,'🔖 배합비 참조'!$B$1:$CE$1,0))/100,0),""))),"")</f>
        <v>0</v>
      </c>
      <c r="R98" s="42" t="n">
        <f aca="false">IFERROR(IF($C98="","",IF($D98="","",IFERROR(ROUND($D98*INDEX('🔖 배합비 참조'!$B$2:$CE$83,MATCH("기타가공품(복분자가루)",'🔖 배합비 참조'!$A$2:$A$83,0),MATCH($C98,'🔖 배합비 참조'!$B$1:$CE$1,0))/100,0),""))),"")</f>
        <v>0</v>
      </c>
      <c r="S98" s="42" t="n">
        <f aca="false">IFERROR(IF($C98="","",IF($D98="","",IFERROR(ROUND($D98*INDEX('🔖 배합비 참조'!$B$2:$CE$83,MATCH("기타가공품(슈퍼소프트엠)",'🔖 배합비 참조'!$A$2:$A$83,0),MATCH($C98,'🔖 배합비 참조'!$B$1:$CE$1,0))/100,0),""))),"")</f>
        <v>0</v>
      </c>
      <c r="T98" s="42" t="n">
        <f aca="false">IFERROR(IF($C98="","",IF($D98="","",IFERROR(ROUND($D98*INDEX('🔖 배합비 참조'!$B$2:$CE$83,MATCH("기타가공품(파인소프트 E-티)",'🔖 배합비 참조'!$A$2:$A$83,0),MATCH($C98,'🔖 배합비 참조'!$B$1:$CE$1,0))/100,0),""))),"")</f>
        <v>0</v>
      </c>
      <c r="U98" s="42" t="n">
        <f aca="false">IFERROR(IF($C98="","",IF($D98="","",IFERROR(ROUND($D98*INDEX('🔖 배합비 참조'!$B$2:$CE$83,MATCH("기타가공품(프리미엄카스테라가루)",'🔖 배합비 참조'!$A$2:$A$83,0),MATCH($C98,'🔖 배합비 참조'!$B$1:$CE$1,0))/100,0),""))),"")</f>
        <v>5</v>
      </c>
      <c r="V98" s="42" t="n">
        <f aca="false">IFERROR(IF($C98="","",IF($D98="","",IFERROR(ROUND($D98*INDEX('🔖 배합비 참조'!$B$2:$CE$83,MATCH("기타가공품(흑임자가루)",'🔖 배합비 참조'!$A$2:$A$83,0),MATCH($C98,'🔖 배합비 참조'!$B$1:$CE$1,0))/100,0),""))),"")</f>
        <v>0</v>
      </c>
      <c r="W98" s="42" t="n">
        <f aca="false">IFERROR(IF($C98="","",IF($D98="","",IFERROR(ROUND($D98*INDEX('🔖 배합비 참조'!$B$2:$CE$83,MATCH("기타설탕(흑설탕)",'🔖 배합비 참조'!$A$2:$A$83,0),MATCH($C98,'🔖 배합비 참조'!$B$1:$CE$1,0))/100,0),""))),"")</f>
        <v>0</v>
      </c>
      <c r="X98" s="42" t="n">
        <f aca="false">IFERROR(IF($C98="","",IF($D98="","",IFERROR(ROUND($D98*INDEX('🔖 배합비 참조'!$B$2:$CE$83,MATCH("냉동쑥(국내산)",'🔖 배합비 참조'!$A$2:$A$83,0),MATCH($C98,'🔖 배합비 참조'!$B$1:$CE$1,0))/100,0),""))),"")</f>
        <v>0</v>
      </c>
      <c r="Y98" s="42" t="n">
        <f aca="false">IFERROR(IF($C98="","",IF($D98="","",IFERROR(ROUND($D98*INDEX('🔖 배합비 참조'!$B$2:$CE$83,MATCH("냉동증숙고구마(중국산)",'🔖 배합비 참조'!$A$2:$A$83,0),MATCH($C98,'🔖 배합비 참조'!$B$1:$CE$1,0))/100,0),""))),"")</f>
        <v>0</v>
      </c>
      <c r="Z98" s="42" t="n">
        <f aca="false">IFERROR(IF($C98="","",IF($D98="","",IFERROR(ROUND($D98*INDEX('🔖 배합비 참조'!$B$2:$CE$83,MATCH("녹차가루",'🔖 배합비 참조'!$A$2:$A$83,0),MATCH($C98,'🔖 배합비 참조'!$B$1:$CE$1,0))/100,0),""))),"")</f>
        <v>0</v>
      </c>
      <c r="AA98" s="42" t="n">
        <f aca="false">IFERROR(IF($C98="","",IF($D98="","",IFERROR(ROUND($D98*INDEX('🔖 배합비 참조'!$B$2:$CE$83,MATCH("다크초콜릿 컴파운드칩",'🔖 배합비 참조'!$A$2:$A$83,0),MATCH($C98,'🔖 배합비 참조'!$B$1:$CE$1,0))/100,0),""))),"")</f>
        <v>0</v>
      </c>
      <c r="AB98" s="42" t="n">
        <f aca="false">IFERROR(IF($C98="","",IF($D98="","",IFERROR(ROUND($D98*INDEX('🔖 배합비 참조'!$B$2:$CE$83,MATCH("단호박분말(중국산)",'🔖 배합비 참조'!$A$2:$A$83,0),MATCH($C98,'🔖 배합비 참조'!$B$1:$CE$1,0))/100,0),""))),"")</f>
        <v>0</v>
      </c>
      <c r="AC98" s="42" t="n">
        <f aca="false">IFERROR(IF($C98="","",IF($D98="","",IFERROR(ROUND($D98*INDEX('🔖 배합비 참조'!$B$2:$CE$83,MATCH("당류가공품(단호박농축액)",'🔖 배합비 참조'!$A$2:$A$83,0),MATCH($C98,'🔖 배합비 참조'!$B$1:$CE$1,0))/100,0),""))),"")</f>
        <v>0</v>
      </c>
      <c r="AD98" s="42" t="n">
        <f aca="false">IFERROR(IF($C98="","",IF($D98="","",IFERROR(ROUND($D98*INDEX('🔖 배합비 참조'!$B$2:$CE$83,MATCH("당류가공품(알룰로스,에리스리톨,스테비올배당체혼합)",'🔖 배합비 참조'!$A$2:$A$83,0),MATCH($C98,'🔖 배합비 참조'!$B$1:$CE$1,0))/100,0),""))),"")</f>
        <v>0</v>
      </c>
      <c r="AE98" s="42" t="n">
        <f aca="false">IFERROR(IF($C98="","",IF($D98="","",IFERROR(ROUND($D98*INDEX('🔖 배합비 참조'!$B$2:$CE$83,MATCH("당류가공품(알룰로스제로파우더)",'🔖 배합비 참조'!$A$2:$A$83,0),MATCH($C98,'🔖 배합비 참조'!$B$1:$CE$1,0))/100,0),""))),"")</f>
        <v>0</v>
      </c>
      <c r="AF98" s="42" t="n">
        <f aca="false">IFERROR(IF($C98="","",IF($D98="","",IFERROR(ROUND($D98*INDEX('🔖 배합비 참조'!$B$2:$CE$83,MATCH("당절임(완두배기)",'🔖 배합비 참조'!$A$2:$A$83,0),MATCH($C98,'🔖 배합비 참조'!$B$1:$CE$1,0))/100,0),""))),"")</f>
        <v>0</v>
      </c>
      <c r="AG98" s="42" t="n">
        <f aca="false">IFERROR(IF($C98="","",IF($D98="","",IFERROR(ROUND($D98*INDEX('🔖 배합비 참조'!$B$2:$CE$83,MATCH("대추농축액",'🔖 배합비 참조'!$A$2:$A$83,0),MATCH($C98,'🔖 배합비 참조'!$B$1:$CE$1,0))/100,0),""))),"")</f>
        <v>0</v>
      </c>
      <c r="AH98" s="42" t="n">
        <f aca="false">IFERROR(IF($C98="","",IF($D98="","",IFERROR(ROUND($D98*INDEX('🔖 배합비 참조'!$B$2:$CE$83,MATCH("대추채(국내산)",'🔖 배합비 참조'!$A$2:$A$83,0),MATCH($C98,'🔖 배합비 참조'!$B$1:$CE$1,0))/100,0),""))),"")</f>
        <v>0</v>
      </c>
      <c r="AI98" s="42" t="n">
        <f aca="false">IFERROR(IF($C98="","",IF($D98="","",IFERROR(ROUND($D98*INDEX('🔖 배합비 참조'!$B$2:$CE$83,MATCH("동부(미얀마산)",'🔖 배합비 참조'!$A$2:$A$83,0),MATCH($C98,'🔖 배합비 참조'!$B$1:$CE$1,0))/100,0),""))),"")</f>
        <v>6</v>
      </c>
      <c r="AJ98" s="42" t="n">
        <f aca="false">IFERROR(IF($C98="","",IF($D98="","",IFERROR(ROUND($D98*INDEX('🔖 배합비 참조'!$B$2:$CE$83,MATCH("두류가공품(백옥앙금)",'🔖 배합비 참조'!$A$2:$A$83,0),MATCH($C98,'🔖 배합비 참조'!$B$1:$CE$1,0))/100,0),""))),"")</f>
        <v>0</v>
      </c>
      <c r="AK98" s="42" t="n">
        <f aca="false">IFERROR(IF($C98="","",IF($D98="","",IFERROR(ROUND($D98*INDEX('🔖 배합비 참조'!$B$2:$CE$83,MATCH("두류가공품(콩고물)",'🔖 배합비 참조'!$A$2:$A$83,0),MATCH($C98,'🔖 배합비 참조'!$B$1:$CE$1,0))/100,0),""))),"")</f>
        <v>0</v>
      </c>
      <c r="AL98" s="42" t="n">
        <f aca="false">IFERROR(IF($C98="","",IF($D98="","",IFERROR(ROUND($D98*INDEX('🔖 배합비 참조'!$B$2:$CE$83,MATCH("두류가공품(통팥고물)",'🔖 배합비 참조'!$A$2:$A$83,0),MATCH($C98,'🔖 배합비 참조'!$B$1:$CE$1,0))/100,0),""))),"")</f>
        <v>0</v>
      </c>
      <c r="AM98" s="42" t="n">
        <f aca="false">IFERROR(IF($C98="","",IF($D98="","",IFERROR(ROUND($D98*INDEX('🔖 배합비 참조'!$B$2:$CE$83,MATCH("딸기레진",'🔖 배합비 참조'!$A$2:$A$83,0),MATCH($C98,'🔖 배합비 참조'!$B$1:$CE$1,0))/100,0),""))),"")</f>
        <v>0</v>
      </c>
      <c r="AN98" s="42" t="n">
        <f aca="false">IFERROR(IF($C98="","",IF($D98="","",IFERROR(ROUND($D98*INDEX('🔖 배합비 참조'!$B$2:$CE$83,MATCH("딸기분말(스트로우베리에이드(분말))",'🔖 배합비 참조'!$A$2:$A$83,0),MATCH($C98,'🔖 배합비 참조'!$B$1:$CE$1,0))/100,0),""))),"")</f>
        <v>0</v>
      </c>
      <c r="AO98" s="42" t="n">
        <f aca="false">IFERROR(IF($C98="","",IF($D98="","",IFERROR(ROUND($D98*INDEX('🔖 배합비 참조'!$B$2:$CE$83,MATCH("마스카포네치즈",'🔖 배합비 참조'!$A$2:$A$83,0),MATCH($C98,'🔖 배합비 참조'!$B$1:$CE$1,0))/100,0),""))),"")</f>
        <v>0</v>
      </c>
      <c r="AP98" s="42" t="n">
        <f aca="false">IFERROR(IF($C98="","",IF($D98="","",IFERROR(ROUND($D98*INDEX('🔖 배합비 참조'!$B$2:$CE$83,MATCH("마카다미아분태(호주산)",'🔖 배합비 참조'!$A$2:$A$83,0),MATCH($C98,'🔖 배합비 참조'!$B$1:$CE$1,0))/100,0),""))),"")</f>
        <v>0</v>
      </c>
      <c r="AQ98" s="42" t="n">
        <f aca="false">IFERROR(IF($C98="","",IF($D98="","",IFERROR(ROUND($D98*INDEX('🔖 배합비 참조'!$B$2:$CE$83,MATCH("멥쌀(국내산)",'🔖 배합비 참조'!$A$2:$A$83,0),MATCH($C98,'🔖 배합비 참조'!$B$1:$CE$1,0))/100,0),""))),"")</f>
        <v>0</v>
      </c>
      <c r="AR98" s="42" t="n">
        <f aca="false">IFERROR(IF($C98="","",IF($D98="","",IFERROR(ROUND($D98*INDEX('🔖 배합비 참조'!$B$2:$CE$83,MATCH("모시잎(국내산)",'🔖 배합비 참조'!$A$2:$A$83,0),MATCH($C98,'🔖 배합비 참조'!$B$1:$CE$1,0))/100,0),""))),"")</f>
        <v>0</v>
      </c>
      <c r="AS98" s="42" t="n">
        <f aca="false">IFERROR(IF($C98="","",IF($D98="","",IFERROR(ROUND($D98*INDEX('🔖 배합비 참조'!$B$2:$CE$83,MATCH("물엿(저당물엿)",'🔖 배합비 참조'!$A$2:$A$83,0),MATCH($C98,'🔖 배합비 참조'!$B$1:$CE$1,0))/100,0),""))),"")</f>
        <v>2</v>
      </c>
      <c r="AT98" s="42" t="n">
        <f aca="false">IFERROR(IF($C98="","",IF($D98="","",IFERROR(ROUND($D98*INDEX('🔖 배합비 참조'!$B$2:$CE$83,MATCH("밤다이스",'🔖 배합비 참조'!$A$2:$A$83,0),MATCH($C98,'🔖 배합비 참조'!$B$1:$CE$1,0))/100,0),""))),"")</f>
        <v>0</v>
      </c>
      <c r="AU98" s="42" t="n">
        <f aca="false">IFERROR(IF($C98="","",IF($D98="","",IFERROR(ROUND($D98*INDEX('🔖 배합비 참조'!$B$2:$CE$83,MATCH("변성전분(타피오카전분)",'🔖 배합비 참조'!$A$2:$A$83,0),MATCH($C98,'🔖 배합비 참조'!$B$1:$CE$1,0))/100,0),""))),"")</f>
        <v>0</v>
      </c>
      <c r="AV98" s="42" t="n">
        <f aca="false">IFERROR(IF($C98="","",IF($D98="","",IFERROR(ROUND($D98*INDEX('🔖 배합비 참조'!$B$2:$CE$83,MATCH("복음땅콩분태",'🔖 배합비 참조'!$A$2:$A$83,0),MATCH($C98,'🔖 배합비 참조'!$B$1:$CE$1,0))/100,0),""))),"")</f>
        <v>0</v>
      </c>
      <c r="AW98" s="42" t="n">
        <f aca="false">IFERROR(IF($C98="","",IF($D98="","",IFERROR(ROUND($D98*INDEX('🔖 배합비 참조'!$B$2:$CE$83,MATCH("사양벌꿀(국내산)",'🔖 배합비 참조'!$A$2:$A$83,0),MATCH($C98,'🔖 배합비 참조'!$B$1:$CE$1,0))/100,0),""))),"")</f>
        <v>0</v>
      </c>
      <c r="AX98" s="42" t="n">
        <f aca="false">IFERROR(IF($C98="","",IF($D98="","",IFERROR(ROUND($D98*INDEX('🔖 배합비 참조'!$B$2:$CE$83,MATCH("생크림",'🔖 배합비 참조'!$A$2:$A$83,0),MATCH($C98,'🔖 배합비 참조'!$B$1:$CE$1,0))/100,0),""))),"")</f>
        <v>0</v>
      </c>
      <c r="AY98" s="42" t="n">
        <f aca="false">IFERROR(IF($C98="","",IF($D98="","",IFERROR(ROUND($D98*INDEX('🔖 배합비 참조'!$B$2:$CE$83,MATCH("서양호박(국내산,뉴질랜드산)",'🔖 배합비 참조'!$A$2:$A$83,0),MATCH($C98,'🔖 배합비 참조'!$B$1:$CE$1,0))/100,0),""))),"")</f>
        <v>0</v>
      </c>
      <c r="AZ98" s="42" t="n">
        <f aca="false">IFERROR(IF($C98="","",IF($D98="","",IFERROR(ROUND($D98*INDEX('🔖 배합비 참조'!$B$2:$CE$83,MATCH("설탕",'🔖 배합비 참조'!$A$2:$A$83,0),MATCH($C98,'🔖 배합비 참조'!$B$1:$CE$1,0))/100,0),""))),"")</f>
        <v>2</v>
      </c>
      <c r="BA98" s="42" t="n">
        <f aca="false">IFERROR(IF($C98="","",IF($D98="","",IFERROR(ROUND($D98*INDEX('🔖 배합비 참조'!$B$2:$CE$83,MATCH("스트로우베리 에이드 후레쉬",'🔖 배합비 참조'!$A$2:$A$83,0),MATCH($C98,'🔖 배합비 참조'!$B$1:$CE$1,0))/100,0),""))),"")</f>
        <v>0</v>
      </c>
      <c r="BB98" s="42" t="n">
        <f aca="false">IFERROR(IF($C98="","",IF($D98="","",IFERROR(ROUND($D98*INDEX('🔖 배합비 참조'!$B$2:$CE$83,MATCH("식물성기름혼합제제(분홍)",'🔖 배합비 참조'!$A$2:$A$83,0),MATCH($C98,'🔖 배합비 참조'!$B$1:$CE$1,0))/100,0),""))),"")</f>
        <v>0</v>
      </c>
      <c r="BC98" s="42" t="n">
        <f aca="false">IFERROR(IF($C98="","",IF($D98="","",IFERROR(ROUND($D98*INDEX('🔖 배합비 참조'!$B$2:$CE$83,MATCH("식물성기름혼합제제(초록)",'🔖 배합비 참조'!$A$2:$A$83,0),MATCH($C98,'🔖 배합비 참조'!$B$1:$CE$1,0))/100,0),""))),"")</f>
        <v>0</v>
      </c>
      <c r="BD98" s="42" t="n">
        <f aca="false">IFERROR(IF($C98="","",IF($D98="","",IFERROR(ROUND($D98*INDEX('🔖 배합비 참조'!$B$2:$CE$83,MATCH("식물성기름혼합제제(황색)",'🔖 배합비 참조'!$A$2:$A$83,0),MATCH($C98,'🔖 배합비 참조'!$B$1:$CE$1,0))/100,0),""))),"")</f>
        <v>0</v>
      </c>
      <c r="BE98" s="42" t="n">
        <f aca="false">IFERROR(IF($C98="","",IF($D98="","",IFERROR(ROUND($D98*INDEX('🔖 배합비 참조'!$B$2:$CE$83,MATCH("쑥가루(국내산)",'🔖 배합비 참조'!$A$2:$A$83,0),MATCH($C98,'🔖 배합비 참조'!$B$1:$CE$1,0))/100,0),""))),"")</f>
        <v>0</v>
      </c>
      <c r="BF98" s="42" t="n">
        <f aca="false">IFERROR(IF($C98="","",IF($D98="","",IFERROR(ROUND($D98*INDEX('🔖 배합비 참조'!$B$2:$CE$83,MATCH("아몬드슬라이스",'🔖 배합비 참조'!$A$2:$A$83,0),MATCH($C98,'🔖 배합비 참조'!$B$1:$CE$1,0))/100,0),""))),"")</f>
        <v>0</v>
      </c>
      <c r="BG98" s="42" t="n">
        <f aca="false">IFERROR(IF($C98="","",IF($D98="","",IFERROR(ROUND($D98*INDEX('🔖 배합비 참조'!$B$2:$CE$83,MATCH("알룰로오스(국내산)",'🔖 배합비 참조'!$A$2:$A$83,0),MATCH($C98,'🔖 배합비 참조'!$B$1:$CE$1,0))/100,0),""))),"")</f>
        <v>0</v>
      </c>
      <c r="BH98" s="42" t="n">
        <f aca="false">IFERROR(IF($C98="","",IF($D98="","",IFERROR(ROUND($D98*INDEX('🔖 배합비 참조'!$B$2:$CE$83,MATCH("연유",'🔖 배합비 참조'!$A$2:$A$83,0),MATCH($C98,'🔖 배합비 참조'!$B$1:$CE$1,0))/100,0),""))),"")</f>
        <v>0</v>
      </c>
      <c r="BI98" s="42" t="n">
        <f aca="false">IFERROR(IF($C98="","",IF($D98="","",IFERROR(ROUND($D98*INDEX('🔖 배합비 참조'!$B$2:$CE$83,MATCH("옥수수전분",'🔖 배합비 참조'!$A$2:$A$83,0),MATCH($C98,'🔖 배합비 참조'!$B$1:$CE$1,0))/100,0),""))),"")</f>
        <v>0</v>
      </c>
      <c r="BJ98" s="42" t="n">
        <f aca="false">IFERROR(IF($C98="","",IF($D98="","",IFERROR(ROUND($D98*INDEX('🔖 배합비 참조'!$B$2:$CE$83,MATCH("완두배기",'🔖 배합비 참조'!$A$2:$A$83,0),MATCH($C98,'🔖 배합비 참조'!$B$1:$CE$1,0))/100,0),""))),"")</f>
        <v>0</v>
      </c>
      <c r="BK98" s="42" t="n">
        <f aca="false">IFERROR(IF($C98="","",IF($D98="","",IFERROR(ROUND($D98*INDEX('🔖 배합비 참조'!$B$2:$CE$83,MATCH("우유(국내산)",'🔖 배합비 참조'!$A$2:$A$83,0),MATCH($C98,'🔖 배합비 참조'!$B$1:$CE$1,0))/100,0),""))),"")</f>
        <v>0</v>
      </c>
      <c r="BL98" s="42" t="n">
        <f aca="false">IFERROR(IF($C98="","",IF($D98="","",IFERROR(ROUND($D98*INDEX('🔖 배합비 참조'!$B$2:$CE$83,MATCH("자색고구마가루(중국산)",'🔖 배합비 참조'!$A$2:$A$83,0),MATCH($C98,'🔖 배합비 참조'!$B$1:$CE$1,0))/100,0),""))),"")</f>
        <v>0</v>
      </c>
      <c r="BM98" s="42" t="n">
        <f aca="false">IFERROR(IF($C98="","",IF($D98="","",IFERROR(ROUND($D98*INDEX('🔖 배합비 참조'!$B$2:$CE$83,MATCH("자연치즈(체다치즈)",'🔖 배합비 참조'!$A$2:$A$83,0),MATCH($C98,'🔖 배합비 참조'!$B$1:$CE$1,0))/100,0),""))),"")</f>
        <v>0</v>
      </c>
      <c r="BN98" s="42" t="n">
        <f aca="false">IFERROR(IF($C98="","",IF($D98="","",IFERROR(ROUND($D98*INDEX('🔖 배합비 참조'!$B$2:$CE$83,MATCH("정제수",'🔖 배합비 참조'!$A$2:$A$83,0),MATCH($C98,'🔖 배합비 참조'!$B$1:$CE$1,0))/100,0),""))),"")</f>
        <v>11</v>
      </c>
      <c r="BO98" s="42" t="n">
        <f aca="false">IFERROR(IF($C98="","",IF($D98="","",IFERROR(ROUND($D98*INDEX('🔖 배합비 참조'!$B$2:$CE$83,MATCH("젤라틴",'🔖 배합비 참조'!$A$2:$A$83,0),MATCH($C98,'🔖 배합비 참조'!$B$1:$CE$1,0))/100,0),""))),"")</f>
        <v>0</v>
      </c>
      <c r="BP98" s="42" t="n">
        <f aca="false">IFERROR(IF($C98="","",IF($D98="","",IFERROR(ROUND($D98*INDEX('🔖 배합비 참조'!$B$2:$CE$83,MATCH("조림류(백옥앙금)",'🔖 배합비 참조'!$A$2:$A$83,0),MATCH($C98,'🔖 배합비 참조'!$B$1:$CE$1,0))/100,0),""))),"")</f>
        <v>23</v>
      </c>
      <c r="BQ98" s="42" t="n">
        <f aca="false">IFERROR(IF($C98="","",IF($D98="","",IFERROR(ROUND($D98*INDEX('🔖 배합비 참조'!$B$2:$CE$83,MATCH("조림류(통팥앙금)",'🔖 배합비 참조'!$A$2:$A$83,0),MATCH($C98,'🔖 배합비 참조'!$B$1:$CE$1,0))/100,0),""))),"")</f>
        <v>0</v>
      </c>
      <c r="BR98" s="42" t="n">
        <f aca="false">IFERROR(IF($C98="","",IF($D98="","",IFERROR(ROUND($D98*INDEX('🔖 배합비 참조'!$B$2:$CE$83,MATCH("준초콜릿(외국산)",'🔖 배합비 참조'!$A$2:$A$83,0),MATCH($C98,'🔖 배합비 참조'!$B$1:$CE$1,0))/100,0),""))),"")</f>
        <v>0</v>
      </c>
      <c r="BS98" s="42" t="n">
        <f aca="false">IFERROR(IF($C98="","",IF($D98="","",IFERROR(ROUND($D98*INDEX('🔖 배합비 참조'!$B$2:$CE$83,MATCH("중력분",'🔖 배합비 참조'!$A$2:$A$83,0),MATCH($C98,'🔖 배합비 참조'!$B$1:$CE$1,0))/100,0),""))),"")</f>
        <v>0</v>
      </c>
      <c r="BT98" s="42" t="n">
        <f aca="false">IFERROR(IF($C98="","",IF($D98="","",IFERROR(ROUND($D98*INDEX('🔖 배합비 참조'!$B$2:$CE$83,MATCH("참깨(인도산,나이지리아산,탄자니아산,미얀마산)",'🔖 배합비 참조'!$A$2:$A$83,0),MATCH($C98,'🔖 배합비 참조'!$B$1:$CE$1,0))/100,0),""))),"")</f>
        <v>0</v>
      </c>
      <c r="BU98" s="42" t="n">
        <f aca="false">IFERROR(IF($C98="","",IF($D98="","",IFERROR(ROUND($D98*INDEX('🔖 배합비 참조'!$B$2:$CE$83,MATCH("찹쌀(국내산)",'🔖 배합비 참조'!$A$2:$A$83,0),MATCH($C98,'🔖 배합비 참조'!$B$1:$CE$1,0))/100,0),""))),"")</f>
        <v>21</v>
      </c>
      <c r="BV98" s="42" t="n">
        <f aca="false">IFERROR(IF($C98="","",IF($D98="","",IFERROR(ROUND($D98*INDEX('🔖 배합비 참조'!$B$2:$CE$83,MATCH("천일염",'🔖 배합비 참조'!$A$2:$A$83,0),MATCH($C98,'🔖 배합비 참조'!$B$1:$CE$1,0))/100,0),""))),"")</f>
        <v>0</v>
      </c>
      <c r="BW98" s="42" t="n">
        <f aca="false">IFERROR(IF($C98="","",IF($D98="","",IFERROR(ROUND($D98*INDEX('🔖 배합비 참조'!$B$2:$CE$83,MATCH("치즈 [크림치즈]",'🔖 배합비 참조'!$A$2:$A$83,0),MATCH($C98,'🔖 배합비 참조'!$B$1:$CE$1,0))/100,0),""))),"")</f>
        <v>0</v>
      </c>
      <c r="BX98" s="42" t="n">
        <f aca="false">IFERROR(IF($C98="","",IF($D98="","",IFERROR(ROUND($D98*INDEX('🔖 배합비 참조'!$B$2:$CE$83,MATCH("코코아가공품류(코코아분말)",'🔖 배합비 참조'!$A$2:$A$83,0),MATCH($C98,'🔖 배합비 참조'!$B$1:$CE$1,0))/100,0),""))),"")</f>
        <v>0</v>
      </c>
      <c r="BY98" s="42" t="n">
        <f aca="false">IFERROR(IF($C98="","",IF($D98="","",IFERROR(ROUND($D98*INDEX('🔖 배합비 참조'!$B$2:$CE$83,MATCH("콩기름(대두유)",'🔖 배합비 참조'!$A$2:$A$83,0),MATCH($C98,'🔖 배합비 참조'!$B$1:$CE$1,0))/100,0),""))),"")</f>
        <v>0</v>
      </c>
      <c r="BZ98" s="42" t="n">
        <f aca="false">IFERROR(IF($C98="","",IF($D98="","",IFERROR(ROUND($D98*INDEX('🔖 배합비 참조'!$B$2:$CE$83,MATCH("해바라기씨앗",'🔖 배합비 참조'!$A$2:$A$83,0),MATCH($C98,'🔖 배합비 참조'!$B$1:$CE$1,0))/100,0),""))),"")</f>
        <v>0</v>
      </c>
      <c r="CA98" s="42" t="n">
        <f aca="false">IFERROR(IF($C98="","",IF($D98="","",IFERROR(ROUND($D98*INDEX('🔖 배합비 참조'!$B$2:$CE$83,MATCH("현미(국내산)",'🔖 배합비 참조'!$A$2:$A$83,0),MATCH($C98,'🔖 배합비 참조'!$B$1:$CE$1,0))/100,0),""))),"")</f>
        <v>0</v>
      </c>
      <c r="CB98" s="42" t="n">
        <f aca="false">IFERROR(IF($C98="","",IF($D98="","",IFERROR(ROUND($D98*INDEX('🔖 배합비 참조'!$B$2:$CE$83,MATCH("현미멥쌀(국내산)",'🔖 배합비 참조'!$A$2:$A$83,0),MATCH($C98,'🔖 배합비 참조'!$B$1:$CE$1,0))/100,0),""))),"")</f>
        <v>0</v>
      </c>
      <c r="CC98" s="42" t="n">
        <f aca="false">IFERROR(IF($C98="","",IF($D98="","",IFERROR(ROUND($D98*INDEX('🔖 배합비 참조'!$B$2:$CE$83,MATCH("호두분태(미국산)",'🔖 배합비 참조'!$A$2:$A$83,0),MATCH($C98,'🔖 배합비 참조'!$B$1:$CE$1,0))/100,0),""))),"")</f>
        <v>0</v>
      </c>
      <c r="CD98" s="42" t="n">
        <f aca="false">IFERROR(IF($C98="","",IF($D98="","",IFERROR(ROUND($D98*INDEX('🔖 배합비 참조'!$B$2:$CE$83,MATCH("호박씨앗(외국산)",'🔖 배합비 참조'!$A$2:$A$83,0),MATCH($C98,'🔖 배합비 참조'!$B$1:$CE$1,0))/100,0),""))),"")</f>
        <v>0</v>
      </c>
      <c r="CE98" s="42" t="n">
        <f aca="false">IFERROR(IF($C98="","",IF($D98="","",IFERROR(ROUND($D98*INDEX('🔖 배합비 참조'!$B$2:$CE$83,MATCH("혼합제제(떡용에스텔)",'🔖 배합비 참조'!$A$2:$A$83,0),MATCH($C98,'🔖 배합비 참조'!$B$1:$CE$1,0))/100,0),""))),"")</f>
        <v>0</v>
      </c>
      <c r="CF98" s="42" t="n">
        <f aca="false">IFERROR(IF($C98="","",IF($D98="","",IFERROR(ROUND($D98*INDEX('🔖 배합비 참조'!$B$2:$CE$83,MATCH("혼합제제(스테비아)",'🔖 배합비 참조'!$A$2:$A$83,0),MATCH($C98,'🔖 배합비 참조'!$B$1:$CE$1,0))/100,0),""))),"")</f>
        <v>0</v>
      </c>
      <c r="CG98" s="42" t="n">
        <f aca="false">IFERROR(IF($C98="","",IF($D98="","",IFERROR(ROUND($D98*INDEX('🔖 배합비 참조'!$B$2:$CE$83,MATCH("화이트초콜릿",'🔖 배합비 참조'!$A$2:$A$83,0),MATCH($C98,'🔖 배합비 참조'!$B$1:$CE$1,0))/100,0),""))),"")</f>
        <v>0</v>
      </c>
      <c r="CH98" s="42" t="n">
        <f aca="false">IFERROR(IF($C98="","",IF($D98="","",IFERROR(ROUND($D98*INDEX('🔖 배합비 참조'!$B$2:$CE$83,MATCH("흑미찹쌀(국내산)",'🔖 배합비 참조'!$A$2:$A$83,0),MATCH($C98,'🔖 배합비 참조'!$B$1:$CE$1,0))/100,0),""))),"")</f>
        <v>0</v>
      </c>
      <c r="CI98" s="42" t="n">
        <f aca="false">IFERROR(IF($C98="","",IF($D98="","",IFERROR(ROUND($D98*INDEX('🔖 배합비 참조'!$B$2:$CE$83,MATCH("찰옥수수전분(미국산)",'🔖 배합비 참조'!$A$2:$A$83,0),MATCH($C98,'🔖 배합비 참조'!$B$1:$CE$1,0))/100,0),""))),"")</f>
        <v>0</v>
      </c>
      <c r="CJ98" s="40"/>
      <c r="CL98" s="1" t="s">
        <v>239</v>
      </c>
    </row>
    <row r="99" customFormat="false" ht="18" hidden="false" customHeight="true" outlineLevel="0" collapsed="false">
      <c r="A99" s="35" t="n">
        <v>95</v>
      </c>
      <c r="B99" s="36" t="n">
        <v>45993</v>
      </c>
      <c r="C99" s="37" t="s">
        <v>143</v>
      </c>
      <c r="D99" s="38" t="n">
        <v>142.5</v>
      </c>
      <c r="E99" s="13"/>
      <c r="F99" s="13"/>
      <c r="G99" s="39" t="n">
        <f aca="false">IFERROR(IF($C99="","",IF($D99="","",IFERROR(ROUND($D99*INDEX('🔖 배합비 참조'!$B$2:$CE$83,MATCH("간장",'🔖 배합비 참조'!$A$2:$A$83,0),MATCH($C99,'🔖 배합비 참조'!$B$1:$CE$1,0))/100,0),""))),"")</f>
        <v>0</v>
      </c>
      <c r="H99" s="39" t="n">
        <f aca="false">IFERROR(IF($C99="","",IF($D99="","",IFERROR(ROUND($D99*INDEX('🔖 배합비 참조'!$B$2:$CE$83,MATCH("강낭콩((울타리콩))",'🔖 배합비 참조'!$A$2:$A$83,0),MATCH($C99,'🔖 배합비 참조'!$B$1:$CE$1,0))/100,0),""))),"")</f>
        <v>0</v>
      </c>
      <c r="I99" s="39" t="n">
        <f aca="false">IFERROR(IF($C99="","",IF($D99="","",IFERROR(ROUND($D99*INDEX('🔖 배합비 참조'!$B$2:$CE$83,MATCH("건조딸기다이스(외국산)",'🔖 배합비 참조'!$A$2:$A$83,0),MATCH($C99,'🔖 배합비 참조'!$B$1:$CE$1,0))/100,0),""))),"")</f>
        <v>0</v>
      </c>
      <c r="J99" s="39" t="n">
        <f aca="false">IFERROR(IF($C99="","",IF($D99="","",IFERROR(ROUND($D99*INDEX('🔖 배합비 참조'!$B$2:$CE$83,MATCH("건포도",'🔖 배합비 참조'!$A$2:$A$83,0),MATCH($C99,'🔖 배합비 참조'!$B$1:$CE$1,0))/100,0),""))),"")</f>
        <v>0</v>
      </c>
      <c r="K99" s="39" t="n">
        <f aca="false">IFERROR(IF($C99="","",IF($D99="","",IFERROR(ROUND($D99*INDEX('🔖 배합비 참조'!$B$2:$CE$83,MATCH("건호박채(중국산)",'🔖 배합비 참조'!$A$2:$A$83,0),MATCH($C99,'🔖 배합비 참조'!$B$1:$CE$1,0))/100,0),""))),"")</f>
        <v>0</v>
      </c>
      <c r="L99" s="39" t="n">
        <f aca="false">IFERROR(IF($C99="","",IF($D99="","",IFERROR(ROUND($D99*INDEX('🔖 배합비 참조'!$B$2:$CE$83,MATCH("검정깨(흑임자)",'🔖 배합비 참조'!$A$2:$A$83,0),MATCH($C99,'🔖 배합비 참조'!$B$1:$CE$1,0))/100,0),""))),"")</f>
        <v>0</v>
      </c>
      <c r="M99" s="39" t="n">
        <f aca="false">IFERROR(IF($C99="","",IF($D99="","",IFERROR(ROUND($D99*INDEX('🔖 배합비 참조'!$B$2:$CE$83,MATCH("검정콩",'🔖 배합비 참조'!$A$2:$A$83,0),MATCH($C99,'🔖 배합비 참조'!$B$1:$CE$1,0))/100,0),""))),"")</f>
        <v>0</v>
      </c>
      <c r="N99" s="39" t="n">
        <f aca="false">IFERROR(IF($C99="","",IF($D99="","",IFERROR(ROUND($D99*INDEX('🔖 배합비 참조'!$B$2:$CE$83,MATCH("계피가루",'🔖 배합비 참조'!$A$2:$A$83,0),MATCH($C99,'🔖 배합비 참조'!$B$1:$CE$1,0))/100,0),""))),"")</f>
        <v>0</v>
      </c>
      <c r="O99" s="39" t="n">
        <f aca="false">IFERROR(IF($C99="","",IF($D99="","",IFERROR(ROUND($D99*INDEX('🔖 배합비 참조'!$B$2:$CE$83,MATCH("고구마가루",'🔖 배합비 참조'!$A$2:$A$83,0),MATCH($C99,'🔖 배합비 참조'!$B$1:$CE$1,0))/100,0),""))),"")</f>
        <v>0</v>
      </c>
      <c r="P99" s="39" t="n">
        <f aca="false">IFERROR(IF($C99="","",IF($D99="","",IFERROR(ROUND($D99*INDEX('🔖 배합비 참조'!$B$2:$CE$83,MATCH("고구마무스",'🔖 배합비 참조'!$A$2:$A$83,0),MATCH($C99,'🔖 배합비 참조'!$B$1:$CE$1,0))/100,0),""))),"")</f>
        <v>0</v>
      </c>
      <c r="Q99" s="39" t="n">
        <f aca="false">IFERROR(IF($C99="","",IF($D99="","",IFERROR(ROUND($D99*INDEX('🔖 배합비 참조'!$B$2:$CE$83,MATCH("고려엉겅퀴((곤드레)국내산)",'🔖 배합비 참조'!$A$2:$A$83,0),MATCH($C99,'🔖 배합비 참조'!$B$1:$CE$1,0))/100,0),""))),"")</f>
        <v>0</v>
      </c>
      <c r="R99" s="39" t="n">
        <f aca="false">IFERROR(IF($C99="","",IF($D99="","",IFERROR(ROUND($D99*INDEX('🔖 배합비 참조'!$B$2:$CE$83,MATCH("기타가공품(복분자가루)",'🔖 배합비 참조'!$A$2:$A$83,0),MATCH($C99,'🔖 배합비 참조'!$B$1:$CE$1,0))/100,0),""))),"")</f>
        <v>0</v>
      </c>
      <c r="S99" s="39" t="n">
        <f aca="false">IFERROR(IF($C99="","",IF($D99="","",IFERROR(ROUND($D99*INDEX('🔖 배합비 참조'!$B$2:$CE$83,MATCH("기타가공품(슈퍼소프트엠)",'🔖 배합비 참조'!$A$2:$A$83,0),MATCH($C99,'🔖 배합비 참조'!$B$1:$CE$1,0))/100,0),""))),"")</f>
        <v>0</v>
      </c>
      <c r="T99" s="39" t="n">
        <f aca="false">IFERROR(IF($C99="","",IF($D99="","",IFERROR(ROUND($D99*INDEX('🔖 배합비 참조'!$B$2:$CE$83,MATCH("기타가공품(파인소프트 E-티)",'🔖 배합비 참조'!$A$2:$A$83,0),MATCH($C99,'🔖 배합비 참조'!$B$1:$CE$1,0))/100,0),""))),"")</f>
        <v>0</v>
      </c>
      <c r="U99" s="39" t="n">
        <f aca="false">IFERROR(IF($C99="","",IF($D99="","",IFERROR(ROUND($D99*INDEX('🔖 배합비 참조'!$B$2:$CE$83,MATCH("기타가공품(프리미엄카스테라가루)",'🔖 배합비 참조'!$A$2:$A$83,0),MATCH($C99,'🔖 배합비 참조'!$B$1:$CE$1,0))/100,0),""))),"")</f>
        <v>0</v>
      </c>
      <c r="V99" s="39" t="n">
        <f aca="false">IFERROR(IF($C99="","",IF($D99="","",IFERROR(ROUND($D99*INDEX('🔖 배합비 참조'!$B$2:$CE$83,MATCH("기타가공품(흑임자가루)",'🔖 배합비 참조'!$A$2:$A$83,0),MATCH($C99,'🔖 배합비 참조'!$B$1:$CE$1,0))/100,0),""))),"")</f>
        <v>0</v>
      </c>
      <c r="W99" s="39" t="n">
        <f aca="false">IFERROR(IF($C99="","",IF($D99="","",IFERROR(ROUND($D99*INDEX('🔖 배합비 참조'!$B$2:$CE$83,MATCH("기타설탕(흑설탕)",'🔖 배합비 참조'!$A$2:$A$83,0),MATCH($C99,'🔖 배합비 참조'!$B$1:$CE$1,0))/100,0),""))),"")</f>
        <v>12</v>
      </c>
      <c r="X99" s="39" t="n">
        <f aca="false">IFERROR(IF($C99="","",IF($D99="","",IFERROR(ROUND($D99*INDEX('🔖 배합비 참조'!$B$2:$CE$83,MATCH("냉동쑥(국내산)",'🔖 배합비 참조'!$A$2:$A$83,0),MATCH($C99,'🔖 배합비 참조'!$B$1:$CE$1,0))/100,0),""))),"")</f>
        <v>0</v>
      </c>
      <c r="Y99" s="39" t="n">
        <f aca="false">IFERROR(IF($C99="","",IF($D99="","",IFERROR(ROUND($D99*INDEX('🔖 배합비 참조'!$B$2:$CE$83,MATCH("냉동증숙고구마(중국산)",'🔖 배합비 참조'!$A$2:$A$83,0),MATCH($C99,'🔖 배합비 참조'!$B$1:$CE$1,0))/100,0),""))),"")</f>
        <v>0</v>
      </c>
      <c r="Z99" s="39" t="n">
        <f aca="false">IFERROR(IF($C99="","",IF($D99="","",IFERROR(ROUND($D99*INDEX('🔖 배합비 참조'!$B$2:$CE$83,MATCH("녹차가루",'🔖 배합비 참조'!$A$2:$A$83,0),MATCH($C99,'🔖 배합비 참조'!$B$1:$CE$1,0))/100,0),""))),"")</f>
        <v>0</v>
      </c>
      <c r="AA99" s="39" t="n">
        <f aca="false">IFERROR(IF($C99="","",IF($D99="","",IFERROR(ROUND($D99*INDEX('🔖 배합비 참조'!$B$2:$CE$83,MATCH("다크초콜릿 컴파운드칩",'🔖 배합비 참조'!$A$2:$A$83,0),MATCH($C99,'🔖 배합비 참조'!$B$1:$CE$1,0))/100,0),""))),"")</f>
        <v>0</v>
      </c>
      <c r="AB99" s="39" t="n">
        <f aca="false">IFERROR(IF($C99="","",IF($D99="","",IFERROR(ROUND($D99*INDEX('🔖 배합비 참조'!$B$2:$CE$83,MATCH("단호박분말(중국산)",'🔖 배합비 참조'!$A$2:$A$83,0),MATCH($C99,'🔖 배합비 참조'!$B$1:$CE$1,0))/100,0),""))),"")</f>
        <v>0</v>
      </c>
      <c r="AC99" s="39" t="n">
        <f aca="false">IFERROR(IF($C99="","",IF($D99="","",IFERROR(ROUND($D99*INDEX('🔖 배합비 참조'!$B$2:$CE$83,MATCH("당류가공품(단호박농축액)",'🔖 배합비 참조'!$A$2:$A$83,0),MATCH($C99,'🔖 배합비 참조'!$B$1:$CE$1,0))/100,0),""))),"")</f>
        <v>0</v>
      </c>
      <c r="AD99" s="39" t="n">
        <f aca="false">IFERROR(IF($C99="","",IF($D99="","",IFERROR(ROUND($D99*INDEX('🔖 배합비 참조'!$B$2:$CE$83,MATCH("당류가공품(알룰로스,에리스리톨,스테비올배당체혼합)",'🔖 배합비 참조'!$A$2:$A$83,0),MATCH($C99,'🔖 배합비 참조'!$B$1:$CE$1,0))/100,0),""))),"")</f>
        <v>0</v>
      </c>
      <c r="AE99" s="39" t="n">
        <f aca="false">IFERROR(IF($C99="","",IF($D99="","",IFERROR(ROUND($D99*INDEX('🔖 배합비 참조'!$B$2:$CE$83,MATCH("당류가공품(알룰로스제로파우더)",'🔖 배합비 참조'!$A$2:$A$83,0),MATCH($C99,'🔖 배합비 참조'!$B$1:$CE$1,0))/100,0),""))),"")</f>
        <v>0</v>
      </c>
      <c r="AF99" s="39" t="n">
        <f aca="false">IFERROR(IF($C99="","",IF($D99="","",IFERROR(ROUND($D99*INDEX('🔖 배합비 참조'!$B$2:$CE$83,MATCH("당절임(완두배기)",'🔖 배합비 참조'!$A$2:$A$83,0),MATCH($C99,'🔖 배합비 참조'!$B$1:$CE$1,0))/100,0),""))),"")</f>
        <v>0</v>
      </c>
      <c r="AG99" s="39" t="n">
        <f aca="false">IFERROR(IF($C99="","",IF($D99="","",IFERROR(ROUND($D99*INDEX('🔖 배합비 참조'!$B$2:$CE$83,MATCH("대추농축액",'🔖 배합비 참조'!$A$2:$A$83,0),MATCH($C99,'🔖 배합비 참조'!$B$1:$CE$1,0))/100,0),""))),"")</f>
        <v>0</v>
      </c>
      <c r="AH99" s="39" t="n">
        <f aca="false">IFERROR(IF($C99="","",IF($D99="","",IFERROR(ROUND($D99*INDEX('🔖 배합비 참조'!$B$2:$CE$83,MATCH("대추채(국내산)",'🔖 배합비 참조'!$A$2:$A$83,0),MATCH($C99,'🔖 배합비 참조'!$B$1:$CE$1,0))/100,0),""))),"")</f>
        <v>0</v>
      </c>
      <c r="AI99" s="39" t="n">
        <f aca="false">IFERROR(IF($C99="","",IF($D99="","",IFERROR(ROUND($D99*INDEX('🔖 배합비 참조'!$B$2:$CE$83,MATCH("동부(미얀마산)",'🔖 배합비 참조'!$A$2:$A$83,0),MATCH($C99,'🔖 배합비 참조'!$B$1:$CE$1,0))/100,0),""))),"")</f>
        <v>0</v>
      </c>
      <c r="AJ99" s="39" t="n">
        <f aca="false">IFERROR(IF($C99="","",IF($D99="","",IFERROR(ROUND($D99*INDEX('🔖 배합비 참조'!$B$2:$CE$83,MATCH("두류가공품(백옥앙금)",'🔖 배합비 참조'!$A$2:$A$83,0),MATCH($C99,'🔖 배합비 참조'!$B$1:$CE$1,0))/100,0),""))),"")</f>
        <v>0</v>
      </c>
      <c r="AK99" s="39" t="n">
        <f aca="false">IFERROR(IF($C99="","",IF($D99="","",IFERROR(ROUND($D99*INDEX('🔖 배합비 참조'!$B$2:$CE$83,MATCH("두류가공품(콩고물)",'🔖 배합비 참조'!$A$2:$A$83,0),MATCH($C99,'🔖 배합비 참조'!$B$1:$CE$1,0))/100,0),""))),"")</f>
        <v>0</v>
      </c>
      <c r="AL99" s="39" t="n">
        <f aca="false">IFERROR(IF($C99="","",IF($D99="","",IFERROR(ROUND($D99*INDEX('🔖 배합비 참조'!$B$2:$CE$83,MATCH("두류가공품(통팥고물)",'🔖 배합비 참조'!$A$2:$A$83,0),MATCH($C99,'🔖 배합비 참조'!$B$1:$CE$1,0))/100,0),""))),"")</f>
        <v>0</v>
      </c>
      <c r="AM99" s="39" t="n">
        <f aca="false">IFERROR(IF($C99="","",IF($D99="","",IFERROR(ROUND($D99*INDEX('🔖 배합비 참조'!$B$2:$CE$83,MATCH("딸기레진",'🔖 배합비 참조'!$A$2:$A$83,0),MATCH($C99,'🔖 배합비 참조'!$B$1:$CE$1,0))/100,0),""))),"")</f>
        <v>0</v>
      </c>
      <c r="AN99" s="39" t="n">
        <f aca="false">IFERROR(IF($C99="","",IF($D99="","",IFERROR(ROUND($D99*INDEX('🔖 배합비 참조'!$B$2:$CE$83,MATCH("딸기분말(스트로우베리에이드(분말))",'🔖 배합비 참조'!$A$2:$A$83,0),MATCH($C99,'🔖 배합비 참조'!$B$1:$CE$1,0))/100,0),""))),"")</f>
        <v>0</v>
      </c>
      <c r="AO99" s="39" t="n">
        <f aca="false">IFERROR(IF($C99="","",IF($D99="","",IFERROR(ROUND($D99*INDEX('🔖 배합비 참조'!$B$2:$CE$83,MATCH("마스카포네치즈",'🔖 배합비 참조'!$A$2:$A$83,0),MATCH($C99,'🔖 배합비 참조'!$B$1:$CE$1,0))/100,0),""))),"")</f>
        <v>0</v>
      </c>
      <c r="AP99" s="39" t="n">
        <f aca="false">IFERROR(IF($C99="","",IF($D99="","",IFERROR(ROUND($D99*INDEX('🔖 배합비 참조'!$B$2:$CE$83,MATCH("마카다미아분태(호주산)",'🔖 배합비 참조'!$A$2:$A$83,0),MATCH($C99,'🔖 배합비 참조'!$B$1:$CE$1,0))/100,0),""))),"")</f>
        <v>0</v>
      </c>
      <c r="AQ99" s="39" t="n">
        <f aca="false">IFERROR(IF($C99="","",IF($D99="","",IFERROR(ROUND($D99*INDEX('🔖 배합비 참조'!$B$2:$CE$83,MATCH("멥쌀(국내산)",'🔖 배합비 참조'!$A$2:$A$83,0),MATCH($C99,'🔖 배합비 참조'!$B$1:$CE$1,0))/100,0),""))),"")</f>
        <v>96</v>
      </c>
      <c r="AR99" s="39" t="n">
        <f aca="false">IFERROR(IF($C99="","",IF($D99="","",IFERROR(ROUND($D99*INDEX('🔖 배합비 참조'!$B$2:$CE$83,MATCH("모시잎(국내산)",'🔖 배합비 참조'!$A$2:$A$83,0),MATCH($C99,'🔖 배합비 참조'!$B$1:$CE$1,0))/100,0),""))),"")</f>
        <v>0</v>
      </c>
      <c r="AS99" s="39" t="n">
        <f aca="false">IFERROR(IF($C99="","",IF($D99="","",IFERROR(ROUND($D99*INDEX('🔖 배합비 참조'!$B$2:$CE$83,MATCH("물엿(저당물엿)",'🔖 배합비 참조'!$A$2:$A$83,0),MATCH($C99,'🔖 배합비 참조'!$B$1:$CE$1,0))/100,0),""))),"")</f>
        <v>0</v>
      </c>
      <c r="AT99" s="39" t="n">
        <f aca="false">IFERROR(IF($C99="","",IF($D99="","",IFERROR(ROUND($D99*INDEX('🔖 배합비 참조'!$B$2:$CE$83,MATCH("밤다이스",'🔖 배합비 참조'!$A$2:$A$83,0),MATCH($C99,'🔖 배합비 참조'!$B$1:$CE$1,0))/100,0),""))),"")</f>
        <v>0</v>
      </c>
      <c r="AU99" s="39" t="n">
        <f aca="false">IFERROR(IF($C99="","",IF($D99="","",IFERROR(ROUND($D99*INDEX('🔖 배합비 참조'!$B$2:$CE$83,MATCH("변성전분(타피오카전분)",'🔖 배합비 참조'!$A$2:$A$83,0),MATCH($C99,'🔖 배합비 참조'!$B$1:$CE$1,0))/100,0),""))),"")</f>
        <v>0</v>
      </c>
      <c r="AV99" s="39" t="n">
        <f aca="false">IFERROR(IF($C99="","",IF($D99="","",IFERROR(ROUND($D99*INDEX('🔖 배합비 참조'!$B$2:$CE$83,MATCH("복음땅콩분태",'🔖 배합비 참조'!$A$2:$A$83,0),MATCH($C99,'🔖 배합비 참조'!$B$1:$CE$1,0))/100,0),""))),"")</f>
        <v>0</v>
      </c>
      <c r="AW99" s="39" t="n">
        <f aca="false">IFERROR(IF($C99="","",IF($D99="","",IFERROR(ROUND($D99*INDEX('🔖 배합비 참조'!$B$2:$CE$83,MATCH("사양벌꿀(국내산)",'🔖 배합비 참조'!$A$2:$A$83,0),MATCH($C99,'🔖 배합비 참조'!$B$1:$CE$1,0))/100,0),""))),"")</f>
        <v>3</v>
      </c>
      <c r="AX99" s="39" t="n">
        <f aca="false">IFERROR(IF($C99="","",IF($D99="","",IFERROR(ROUND($D99*INDEX('🔖 배합비 참조'!$B$2:$CE$83,MATCH("생크림",'🔖 배합비 참조'!$A$2:$A$83,0),MATCH($C99,'🔖 배합비 참조'!$B$1:$CE$1,0))/100,0),""))),"")</f>
        <v>0</v>
      </c>
      <c r="AY99" s="39" t="n">
        <f aca="false">IFERROR(IF($C99="","",IF($D99="","",IFERROR(ROUND($D99*INDEX('🔖 배합비 참조'!$B$2:$CE$83,MATCH("서양호박(국내산,뉴질랜드산)",'🔖 배합비 참조'!$A$2:$A$83,0),MATCH($C99,'🔖 배합비 참조'!$B$1:$CE$1,0))/100,0),""))),"")</f>
        <v>0</v>
      </c>
      <c r="AZ99" s="39" t="n">
        <f aca="false">IFERROR(IF($C99="","",IF($D99="","",IFERROR(ROUND($D99*INDEX('🔖 배합비 참조'!$B$2:$CE$83,MATCH("설탕",'🔖 배합비 참조'!$A$2:$A$83,0),MATCH($C99,'🔖 배합비 참조'!$B$1:$CE$1,0))/100,0),""))),"")</f>
        <v>12</v>
      </c>
      <c r="BA99" s="39" t="n">
        <f aca="false">IFERROR(IF($C99="","",IF($D99="","",IFERROR(ROUND($D99*INDEX('🔖 배합비 참조'!$B$2:$CE$83,MATCH("스트로우베리 에이드 후레쉬",'🔖 배합비 참조'!$A$2:$A$83,0),MATCH($C99,'🔖 배합비 참조'!$B$1:$CE$1,0))/100,0),""))),"")</f>
        <v>0</v>
      </c>
      <c r="BB99" s="39" t="n">
        <f aca="false">IFERROR(IF($C99="","",IF($D99="","",IFERROR(ROUND($D99*INDEX('🔖 배합비 참조'!$B$2:$CE$83,MATCH("식물성기름혼합제제(분홍)",'🔖 배합비 참조'!$A$2:$A$83,0),MATCH($C99,'🔖 배합비 참조'!$B$1:$CE$1,0))/100,0),""))),"")</f>
        <v>0</v>
      </c>
      <c r="BC99" s="39" t="n">
        <f aca="false">IFERROR(IF($C99="","",IF($D99="","",IFERROR(ROUND($D99*INDEX('🔖 배합비 참조'!$B$2:$CE$83,MATCH("식물성기름혼합제제(초록)",'🔖 배합비 참조'!$A$2:$A$83,0),MATCH($C99,'🔖 배합비 참조'!$B$1:$CE$1,0))/100,0),""))),"")</f>
        <v>0</v>
      </c>
      <c r="BD99" s="39" t="n">
        <f aca="false">IFERROR(IF($C99="","",IF($D99="","",IFERROR(ROUND($D99*INDEX('🔖 배합비 참조'!$B$2:$CE$83,MATCH("식물성기름혼합제제(황색)",'🔖 배합비 참조'!$A$2:$A$83,0),MATCH($C99,'🔖 배합비 참조'!$B$1:$CE$1,0))/100,0),""))),"")</f>
        <v>0</v>
      </c>
      <c r="BE99" s="39" t="n">
        <f aca="false">IFERROR(IF($C99="","",IF($D99="","",IFERROR(ROUND($D99*INDEX('🔖 배합비 참조'!$B$2:$CE$83,MATCH("쑥가루(국내산)",'🔖 배합비 참조'!$A$2:$A$83,0),MATCH($C99,'🔖 배합비 참조'!$B$1:$CE$1,0))/100,0),""))),"")</f>
        <v>0</v>
      </c>
      <c r="BF99" s="39" t="n">
        <f aca="false">IFERROR(IF($C99="","",IF($D99="","",IFERROR(ROUND($D99*INDEX('🔖 배합비 참조'!$B$2:$CE$83,MATCH("아몬드슬라이스",'🔖 배합비 참조'!$A$2:$A$83,0),MATCH($C99,'🔖 배합비 참조'!$B$1:$CE$1,0))/100,0),""))),"")</f>
        <v>0</v>
      </c>
      <c r="BG99" s="39" t="n">
        <f aca="false">IFERROR(IF($C99="","",IF($D99="","",IFERROR(ROUND($D99*INDEX('🔖 배합비 참조'!$B$2:$CE$83,MATCH("알룰로오스(국내산)",'🔖 배합비 참조'!$A$2:$A$83,0),MATCH($C99,'🔖 배합비 참조'!$B$1:$CE$1,0))/100,0),""))),"")</f>
        <v>0</v>
      </c>
      <c r="BH99" s="39" t="n">
        <f aca="false">IFERROR(IF($C99="","",IF($D99="","",IFERROR(ROUND($D99*INDEX('🔖 배합비 참조'!$B$2:$CE$83,MATCH("연유",'🔖 배합비 참조'!$A$2:$A$83,0),MATCH($C99,'🔖 배합비 참조'!$B$1:$CE$1,0))/100,0),""))),"")</f>
        <v>0</v>
      </c>
      <c r="BI99" s="39" t="n">
        <f aca="false">IFERROR(IF($C99="","",IF($D99="","",IFERROR(ROUND($D99*INDEX('🔖 배합비 참조'!$B$2:$CE$83,MATCH("옥수수전분",'🔖 배합비 참조'!$A$2:$A$83,0),MATCH($C99,'🔖 배합비 참조'!$B$1:$CE$1,0))/100,0),""))),"")</f>
        <v>0</v>
      </c>
      <c r="BJ99" s="39" t="n">
        <f aca="false">IFERROR(IF($C99="","",IF($D99="","",IFERROR(ROUND($D99*INDEX('🔖 배합비 참조'!$B$2:$CE$83,MATCH("완두배기",'🔖 배합비 참조'!$A$2:$A$83,0),MATCH($C99,'🔖 배합비 참조'!$B$1:$CE$1,0))/100,0),""))),"")</f>
        <v>0</v>
      </c>
      <c r="BK99" s="39" t="n">
        <f aca="false">IFERROR(IF($C99="","",IF($D99="","",IFERROR(ROUND($D99*INDEX('🔖 배합비 참조'!$B$2:$CE$83,MATCH("우유(국내산)",'🔖 배합비 참조'!$A$2:$A$83,0),MATCH($C99,'🔖 배합비 참조'!$B$1:$CE$1,0))/100,0),""))),"")</f>
        <v>0</v>
      </c>
      <c r="BL99" s="39" t="n">
        <f aca="false">IFERROR(IF($C99="","",IF($D99="","",IFERROR(ROUND($D99*INDEX('🔖 배합비 참조'!$B$2:$CE$83,MATCH("자색고구마가루(중국산)",'🔖 배합비 참조'!$A$2:$A$83,0),MATCH($C99,'🔖 배합비 참조'!$B$1:$CE$1,0))/100,0),""))),"")</f>
        <v>0</v>
      </c>
      <c r="BM99" s="39" t="n">
        <f aca="false">IFERROR(IF($C99="","",IF($D99="","",IFERROR(ROUND($D99*INDEX('🔖 배합비 참조'!$B$2:$CE$83,MATCH("자연치즈(체다치즈)",'🔖 배합비 참조'!$A$2:$A$83,0),MATCH($C99,'🔖 배합비 참조'!$B$1:$CE$1,0))/100,0),""))),"")</f>
        <v>0</v>
      </c>
      <c r="BN99" s="39" t="n">
        <f aca="false">IFERROR(IF($C99="","",IF($D99="","",IFERROR(ROUND($D99*INDEX('🔖 배합비 참조'!$B$2:$CE$83,MATCH("정제수",'🔖 배합비 참조'!$A$2:$A$83,0),MATCH($C99,'🔖 배합비 참조'!$B$1:$CE$1,0))/100,0),""))),"")</f>
        <v>18</v>
      </c>
      <c r="BO99" s="39" t="n">
        <f aca="false">IFERROR(IF($C99="","",IF($D99="","",IFERROR(ROUND($D99*INDEX('🔖 배합비 참조'!$B$2:$CE$83,MATCH("젤라틴",'🔖 배합비 참조'!$A$2:$A$83,0),MATCH($C99,'🔖 배합비 참조'!$B$1:$CE$1,0))/100,0),""))),"")</f>
        <v>0</v>
      </c>
      <c r="BP99" s="39" t="n">
        <f aca="false">IFERROR(IF($C99="","",IF($D99="","",IFERROR(ROUND($D99*INDEX('🔖 배합비 참조'!$B$2:$CE$83,MATCH("조림류(백옥앙금)",'🔖 배합비 참조'!$A$2:$A$83,0),MATCH($C99,'🔖 배합비 참조'!$B$1:$CE$1,0))/100,0),""))),"")</f>
        <v>0</v>
      </c>
      <c r="BQ99" s="39" t="n">
        <f aca="false">IFERROR(IF($C99="","",IF($D99="","",IFERROR(ROUND($D99*INDEX('🔖 배합비 참조'!$B$2:$CE$83,MATCH("조림류(통팥앙금)",'🔖 배합비 참조'!$A$2:$A$83,0),MATCH($C99,'🔖 배합비 참조'!$B$1:$CE$1,0))/100,0),""))),"")</f>
        <v>0</v>
      </c>
      <c r="BR99" s="39" t="n">
        <f aca="false">IFERROR(IF($C99="","",IF($D99="","",IFERROR(ROUND($D99*INDEX('🔖 배합비 참조'!$B$2:$CE$83,MATCH("준초콜릿(외국산)",'🔖 배합비 참조'!$A$2:$A$83,0),MATCH($C99,'🔖 배합비 참조'!$B$1:$CE$1,0))/100,0),""))),"")</f>
        <v>0</v>
      </c>
      <c r="BS99" s="39" t="n">
        <f aca="false">IFERROR(IF($C99="","",IF($D99="","",IFERROR(ROUND($D99*INDEX('🔖 배합비 참조'!$B$2:$CE$83,MATCH("중력분",'🔖 배합비 참조'!$A$2:$A$83,0),MATCH($C99,'🔖 배합비 참조'!$B$1:$CE$1,0))/100,0),""))),"")</f>
        <v>0</v>
      </c>
      <c r="BT99" s="39" t="n">
        <f aca="false">IFERROR(IF($C99="","",IF($D99="","",IFERROR(ROUND($D99*INDEX('🔖 배합비 참조'!$B$2:$CE$83,MATCH("참깨(인도산,나이지리아산,탄자니아산,미얀마산)",'🔖 배합비 참조'!$A$2:$A$83,0),MATCH($C99,'🔖 배합비 참조'!$B$1:$CE$1,0))/100,0),""))),"")</f>
        <v>0</v>
      </c>
      <c r="BU99" s="39" t="n">
        <f aca="false">IFERROR(IF($C99="","",IF($D99="","",IFERROR(ROUND($D99*INDEX('🔖 배합비 참조'!$B$2:$CE$83,MATCH("찹쌀(국내산)",'🔖 배합비 참조'!$A$2:$A$83,0),MATCH($C99,'🔖 배합비 참조'!$B$1:$CE$1,0))/100,0),""))),"")</f>
        <v>0</v>
      </c>
      <c r="BV99" s="39" t="n">
        <f aca="false">IFERROR(IF($C99="","",IF($D99="","",IFERROR(ROUND($D99*INDEX('🔖 배합비 참조'!$B$2:$CE$83,MATCH("천일염",'🔖 배합비 참조'!$A$2:$A$83,0),MATCH($C99,'🔖 배합비 참조'!$B$1:$CE$1,0))/100,0),""))),"")</f>
        <v>2</v>
      </c>
      <c r="BW99" s="39" t="n">
        <f aca="false">IFERROR(IF($C99="","",IF($D99="","",IFERROR(ROUND($D99*INDEX('🔖 배합비 참조'!$B$2:$CE$83,MATCH("치즈 [크림치즈]",'🔖 배합비 참조'!$A$2:$A$83,0),MATCH($C99,'🔖 배합비 참조'!$B$1:$CE$1,0))/100,0),""))),"")</f>
        <v>0</v>
      </c>
      <c r="BX99" s="39" t="n">
        <f aca="false">IFERROR(IF($C99="","",IF($D99="","",IFERROR(ROUND($D99*INDEX('🔖 배합비 참조'!$B$2:$CE$83,MATCH("코코아가공품류(코코아분말)",'🔖 배합비 참조'!$A$2:$A$83,0),MATCH($C99,'🔖 배합비 참조'!$B$1:$CE$1,0))/100,0),""))),"")</f>
        <v>0</v>
      </c>
      <c r="BY99" s="39" t="n">
        <f aca="false">IFERROR(IF($C99="","",IF($D99="","",IFERROR(ROUND($D99*INDEX('🔖 배합비 참조'!$B$2:$CE$83,MATCH("콩기름(대두유)",'🔖 배합비 참조'!$A$2:$A$83,0),MATCH($C99,'🔖 배합비 참조'!$B$1:$CE$1,0))/100,0),""))),"")</f>
        <v>0</v>
      </c>
      <c r="BZ99" s="39" t="n">
        <f aca="false">IFERROR(IF($C99="","",IF($D99="","",IFERROR(ROUND($D99*INDEX('🔖 배합비 참조'!$B$2:$CE$83,MATCH("해바라기씨앗",'🔖 배합비 참조'!$A$2:$A$83,0),MATCH($C99,'🔖 배합비 참조'!$B$1:$CE$1,0))/100,0),""))),"")</f>
        <v>0</v>
      </c>
      <c r="CA99" s="39" t="n">
        <f aca="false">IFERROR(IF($C99="","",IF($D99="","",IFERROR(ROUND($D99*INDEX('🔖 배합비 참조'!$B$2:$CE$83,MATCH("현미(국내산)",'🔖 배합비 참조'!$A$2:$A$83,0),MATCH($C99,'🔖 배합비 참조'!$B$1:$CE$1,0))/100,0),""))),"")</f>
        <v>0</v>
      </c>
      <c r="CB99" s="39" t="n">
        <f aca="false">IFERROR(IF($C99="","",IF($D99="","",IFERROR(ROUND($D99*INDEX('🔖 배합비 참조'!$B$2:$CE$83,MATCH("현미멥쌀(국내산)",'🔖 배합비 참조'!$A$2:$A$83,0),MATCH($C99,'🔖 배합비 참조'!$B$1:$CE$1,0))/100,0),""))),"")</f>
        <v>0</v>
      </c>
      <c r="CC99" s="39" t="n">
        <f aca="false">IFERROR(IF($C99="","",IF($D99="","",IFERROR(ROUND($D99*INDEX('🔖 배합비 참조'!$B$2:$CE$83,MATCH("호두분태(미국산)",'🔖 배합비 참조'!$A$2:$A$83,0),MATCH($C99,'🔖 배합비 참조'!$B$1:$CE$1,0))/100,0),""))),"")</f>
        <v>0</v>
      </c>
      <c r="CD99" s="39" t="n">
        <f aca="false">IFERROR(IF($C99="","",IF($D99="","",IFERROR(ROUND($D99*INDEX('🔖 배합비 참조'!$B$2:$CE$83,MATCH("호박씨앗(외국산)",'🔖 배합비 참조'!$A$2:$A$83,0),MATCH($C99,'🔖 배합비 참조'!$B$1:$CE$1,0))/100,0),""))),"")</f>
        <v>0</v>
      </c>
      <c r="CE99" s="39" t="n">
        <f aca="false">IFERROR(IF($C99="","",IF($D99="","",IFERROR(ROUND($D99*INDEX('🔖 배합비 참조'!$B$2:$CE$83,MATCH("혼합제제(떡용에스텔)",'🔖 배합비 참조'!$A$2:$A$83,0),MATCH($C99,'🔖 배합비 참조'!$B$1:$CE$1,0))/100,0),""))),"")</f>
        <v>0</v>
      </c>
      <c r="CF99" s="39" t="n">
        <f aca="false">IFERROR(IF($C99="","",IF($D99="","",IFERROR(ROUND($D99*INDEX('🔖 배합비 참조'!$B$2:$CE$83,MATCH("혼합제제(스테비아)",'🔖 배합비 참조'!$A$2:$A$83,0),MATCH($C99,'🔖 배합비 참조'!$B$1:$CE$1,0))/100,0),""))),"")</f>
        <v>0</v>
      </c>
      <c r="CG99" s="39" t="n">
        <f aca="false">IFERROR(IF($C99="","",IF($D99="","",IFERROR(ROUND($D99*INDEX('🔖 배합비 참조'!$B$2:$CE$83,MATCH("화이트초콜릿",'🔖 배합비 참조'!$A$2:$A$83,0),MATCH($C99,'🔖 배합비 참조'!$B$1:$CE$1,0))/100,0),""))),"")</f>
        <v>0</v>
      </c>
      <c r="CH99" s="39" t="n">
        <f aca="false">IFERROR(IF($C99="","",IF($D99="","",IFERROR(ROUND($D99*INDEX('🔖 배합비 참조'!$B$2:$CE$83,MATCH("흑미찹쌀(국내산)",'🔖 배합비 참조'!$A$2:$A$83,0),MATCH($C99,'🔖 배합비 참조'!$B$1:$CE$1,0))/100,0),""))),"")</f>
        <v>0</v>
      </c>
      <c r="CI99" s="39" t="n">
        <f aca="false">IFERROR(IF($C99="","",IF($D99="","",IFERROR(ROUND($D99*INDEX('🔖 배합비 참조'!$B$2:$CE$83,MATCH("찰옥수수전분(미국산)",'🔖 배합비 참조'!$A$2:$A$83,0),MATCH($C99,'🔖 배합비 참조'!$B$1:$CE$1,0))/100,0),""))),"")</f>
        <v>0</v>
      </c>
      <c r="CJ99" s="40"/>
      <c r="CL99" s="1" t="s">
        <v>239</v>
      </c>
    </row>
    <row r="100" customFormat="false" ht="18" hidden="false" customHeight="true" outlineLevel="0" collapsed="false">
      <c r="A100" s="41" t="n">
        <v>96</v>
      </c>
      <c r="B100" s="36" t="n">
        <v>45993</v>
      </c>
      <c r="C100" s="37" t="s">
        <v>184</v>
      </c>
      <c r="D100" s="38" t="n">
        <v>100</v>
      </c>
      <c r="E100" s="17"/>
      <c r="F100" s="17"/>
      <c r="G100" s="42" t="n">
        <f aca="false">IFERROR(IF($C100="","",IF($D100="","",IFERROR(ROUND($D100*INDEX('🔖 배합비 참조'!$B$2:$CE$83,MATCH("간장",'🔖 배합비 참조'!$A$2:$A$83,0),MATCH($C100,'🔖 배합비 참조'!$B$1:$CE$1,0))/100,0),""))),"")</f>
        <v>0</v>
      </c>
      <c r="H100" s="42" t="n">
        <f aca="false">IFERROR(IF($C100="","",IF($D100="","",IFERROR(ROUND($D100*INDEX('🔖 배합비 참조'!$B$2:$CE$83,MATCH("강낭콩((울타리콩))",'🔖 배합비 참조'!$A$2:$A$83,0),MATCH($C100,'🔖 배합비 참조'!$B$1:$CE$1,0))/100,0),""))),"")</f>
        <v>0</v>
      </c>
      <c r="I100" s="42" t="n">
        <f aca="false">IFERROR(IF($C100="","",IF($D100="","",IFERROR(ROUND($D100*INDEX('🔖 배합비 참조'!$B$2:$CE$83,MATCH("건조딸기다이스(외국산)",'🔖 배합비 참조'!$A$2:$A$83,0),MATCH($C100,'🔖 배합비 참조'!$B$1:$CE$1,0))/100,0),""))),"")</f>
        <v>0</v>
      </c>
      <c r="J100" s="42" t="n">
        <f aca="false">IFERROR(IF($C100="","",IF($D100="","",IFERROR(ROUND($D100*INDEX('🔖 배합비 참조'!$B$2:$CE$83,MATCH("건포도",'🔖 배합비 참조'!$A$2:$A$83,0),MATCH($C100,'🔖 배합비 참조'!$B$1:$CE$1,0))/100,0),""))),"")</f>
        <v>0</v>
      </c>
      <c r="K100" s="42" t="n">
        <f aca="false">IFERROR(IF($C100="","",IF($D100="","",IFERROR(ROUND($D100*INDEX('🔖 배합비 참조'!$B$2:$CE$83,MATCH("건호박채(중국산)",'🔖 배합비 참조'!$A$2:$A$83,0),MATCH($C100,'🔖 배합비 참조'!$B$1:$CE$1,0))/100,0),""))),"")</f>
        <v>0</v>
      </c>
      <c r="L100" s="42" t="n">
        <f aca="false">IFERROR(IF($C100="","",IF($D100="","",IFERROR(ROUND($D100*INDEX('🔖 배합비 참조'!$B$2:$CE$83,MATCH("검정깨(흑임자)",'🔖 배합비 참조'!$A$2:$A$83,0),MATCH($C100,'🔖 배합비 참조'!$B$1:$CE$1,0))/100,0),""))),"")</f>
        <v>0</v>
      </c>
      <c r="M100" s="42" t="n">
        <f aca="false">IFERROR(IF($C100="","",IF($D100="","",IFERROR(ROUND($D100*INDEX('🔖 배합비 참조'!$B$2:$CE$83,MATCH("검정콩",'🔖 배합비 참조'!$A$2:$A$83,0),MATCH($C100,'🔖 배합비 참조'!$B$1:$CE$1,0))/100,0),""))),"")</f>
        <v>0</v>
      </c>
      <c r="N100" s="42" t="n">
        <f aca="false">IFERROR(IF($C100="","",IF($D100="","",IFERROR(ROUND($D100*INDEX('🔖 배합비 참조'!$B$2:$CE$83,MATCH("계피가루",'🔖 배합비 참조'!$A$2:$A$83,0),MATCH($C100,'🔖 배합비 참조'!$B$1:$CE$1,0))/100,0),""))),"")</f>
        <v>0</v>
      </c>
      <c r="O100" s="42" t="n">
        <f aca="false">IFERROR(IF($C100="","",IF($D100="","",IFERROR(ROUND($D100*INDEX('🔖 배합비 참조'!$B$2:$CE$83,MATCH("고구마가루",'🔖 배합비 참조'!$A$2:$A$83,0),MATCH($C100,'🔖 배합비 참조'!$B$1:$CE$1,0))/100,0),""))),"")</f>
        <v>0</v>
      </c>
      <c r="P100" s="42" t="n">
        <f aca="false">IFERROR(IF($C100="","",IF($D100="","",IFERROR(ROUND($D100*INDEX('🔖 배합비 참조'!$B$2:$CE$83,MATCH("고구마무스",'🔖 배합비 참조'!$A$2:$A$83,0),MATCH($C100,'🔖 배합비 참조'!$B$1:$CE$1,0))/100,0),""))),"")</f>
        <v>0</v>
      </c>
      <c r="Q100" s="42" t="n">
        <f aca="false">IFERROR(IF($C100="","",IF($D100="","",IFERROR(ROUND($D100*INDEX('🔖 배합비 참조'!$B$2:$CE$83,MATCH("고려엉겅퀴((곤드레)국내산)",'🔖 배합비 참조'!$A$2:$A$83,0),MATCH($C100,'🔖 배합비 참조'!$B$1:$CE$1,0))/100,0),""))),"")</f>
        <v>0</v>
      </c>
      <c r="R100" s="42" t="n">
        <f aca="false">IFERROR(IF($C100="","",IF($D100="","",IFERROR(ROUND($D100*INDEX('🔖 배합비 참조'!$B$2:$CE$83,MATCH("기타가공품(복분자가루)",'🔖 배합비 참조'!$A$2:$A$83,0),MATCH($C100,'🔖 배합비 참조'!$B$1:$CE$1,0))/100,0),""))),"")</f>
        <v>0</v>
      </c>
      <c r="S100" s="42" t="n">
        <f aca="false">IFERROR(IF($C100="","",IF($D100="","",IFERROR(ROUND($D100*INDEX('🔖 배합비 참조'!$B$2:$CE$83,MATCH("기타가공품(슈퍼소프트엠)",'🔖 배합비 참조'!$A$2:$A$83,0),MATCH($C100,'🔖 배합비 참조'!$B$1:$CE$1,0))/100,0),""))),"")</f>
        <v>0</v>
      </c>
      <c r="T100" s="42" t="n">
        <f aca="false">IFERROR(IF($C100="","",IF($D100="","",IFERROR(ROUND($D100*INDEX('🔖 배합비 참조'!$B$2:$CE$83,MATCH("기타가공품(파인소프트 E-티)",'🔖 배합비 참조'!$A$2:$A$83,0),MATCH($C100,'🔖 배합비 참조'!$B$1:$CE$1,0))/100,0),""))),"")</f>
        <v>0</v>
      </c>
      <c r="U100" s="42" t="n">
        <f aca="false">IFERROR(IF($C100="","",IF($D100="","",IFERROR(ROUND($D100*INDEX('🔖 배합비 참조'!$B$2:$CE$83,MATCH("기타가공품(프리미엄카스테라가루)",'🔖 배합비 참조'!$A$2:$A$83,0),MATCH($C100,'🔖 배합비 참조'!$B$1:$CE$1,0))/100,0),""))),"")</f>
        <v>0</v>
      </c>
      <c r="V100" s="42" t="n">
        <f aca="false">IFERROR(IF($C100="","",IF($D100="","",IFERROR(ROUND($D100*INDEX('🔖 배합비 참조'!$B$2:$CE$83,MATCH("기타가공품(흑임자가루)",'🔖 배합비 참조'!$A$2:$A$83,0),MATCH($C100,'🔖 배합비 참조'!$B$1:$CE$1,0))/100,0),""))),"")</f>
        <v>0</v>
      </c>
      <c r="W100" s="42" t="n">
        <f aca="false">IFERROR(IF($C100="","",IF($D100="","",IFERROR(ROUND($D100*INDEX('🔖 배합비 참조'!$B$2:$CE$83,MATCH("기타설탕(흑설탕)",'🔖 배합비 참조'!$A$2:$A$83,0),MATCH($C100,'🔖 배합비 참조'!$B$1:$CE$1,0))/100,0),""))),"")</f>
        <v>0</v>
      </c>
      <c r="X100" s="42" t="n">
        <f aca="false">IFERROR(IF($C100="","",IF($D100="","",IFERROR(ROUND($D100*INDEX('🔖 배합비 참조'!$B$2:$CE$83,MATCH("냉동쑥(국내산)",'🔖 배합비 참조'!$A$2:$A$83,0),MATCH($C100,'🔖 배합비 참조'!$B$1:$CE$1,0))/100,0),""))),"")</f>
        <v>0</v>
      </c>
      <c r="Y100" s="42" t="n">
        <f aca="false">IFERROR(IF($C100="","",IF($D100="","",IFERROR(ROUND($D100*INDEX('🔖 배합비 참조'!$B$2:$CE$83,MATCH("냉동증숙고구마(중국산)",'🔖 배합비 참조'!$A$2:$A$83,0),MATCH($C100,'🔖 배합비 참조'!$B$1:$CE$1,0))/100,0),""))),"")</f>
        <v>0</v>
      </c>
      <c r="Z100" s="42" t="n">
        <f aca="false">IFERROR(IF($C100="","",IF($D100="","",IFERROR(ROUND($D100*INDEX('🔖 배합비 참조'!$B$2:$CE$83,MATCH("녹차가루",'🔖 배합비 참조'!$A$2:$A$83,0),MATCH($C100,'🔖 배합비 참조'!$B$1:$CE$1,0))/100,0),""))),"")</f>
        <v>0</v>
      </c>
      <c r="AA100" s="42" t="n">
        <f aca="false">IFERROR(IF($C100="","",IF($D100="","",IFERROR(ROUND($D100*INDEX('🔖 배합비 참조'!$B$2:$CE$83,MATCH("다크초콜릿 컴파운드칩",'🔖 배합비 참조'!$A$2:$A$83,0),MATCH($C100,'🔖 배합비 참조'!$B$1:$CE$1,0))/100,0),""))),"")</f>
        <v>0</v>
      </c>
      <c r="AB100" s="42" t="n">
        <f aca="false">IFERROR(IF($C100="","",IF($D100="","",IFERROR(ROUND($D100*INDEX('🔖 배합비 참조'!$B$2:$CE$83,MATCH("단호박분말(중국산)",'🔖 배합비 참조'!$A$2:$A$83,0),MATCH($C100,'🔖 배합비 참조'!$B$1:$CE$1,0))/100,0),""))),"")</f>
        <v>0</v>
      </c>
      <c r="AC100" s="42" t="n">
        <f aca="false">IFERROR(IF($C100="","",IF($D100="","",IFERROR(ROUND($D100*INDEX('🔖 배합비 참조'!$B$2:$CE$83,MATCH("당류가공품(단호박농축액)",'🔖 배합비 참조'!$A$2:$A$83,0),MATCH($C100,'🔖 배합비 참조'!$B$1:$CE$1,0))/100,0),""))),"")</f>
        <v>0</v>
      </c>
      <c r="AD100" s="42" t="n">
        <f aca="false">IFERROR(IF($C100="","",IF($D100="","",IFERROR(ROUND($D100*INDEX('🔖 배합비 참조'!$B$2:$CE$83,MATCH("당류가공품(알룰로스,에리스리톨,스테비올배당체혼합)",'🔖 배합비 참조'!$A$2:$A$83,0),MATCH($C100,'🔖 배합비 참조'!$B$1:$CE$1,0))/100,0),""))),"")</f>
        <v>0</v>
      </c>
      <c r="AE100" s="42" t="n">
        <f aca="false">IFERROR(IF($C100="","",IF($D100="","",IFERROR(ROUND($D100*INDEX('🔖 배합비 참조'!$B$2:$CE$83,MATCH("당류가공품(알룰로스제로파우더)",'🔖 배합비 참조'!$A$2:$A$83,0),MATCH($C100,'🔖 배합비 참조'!$B$1:$CE$1,0))/100,0),""))),"")</f>
        <v>0</v>
      </c>
      <c r="AF100" s="42" t="n">
        <f aca="false">IFERROR(IF($C100="","",IF($D100="","",IFERROR(ROUND($D100*INDEX('🔖 배합비 참조'!$B$2:$CE$83,MATCH("당절임(완두배기)",'🔖 배합비 참조'!$A$2:$A$83,0),MATCH($C100,'🔖 배합비 참조'!$B$1:$CE$1,0))/100,0),""))),"")</f>
        <v>0</v>
      </c>
      <c r="AG100" s="42" t="n">
        <f aca="false">IFERROR(IF($C100="","",IF($D100="","",IFERROR(ROUND($D100*INDEX('🔖 배합비 참조'!$B$2:$CE$83,MATCH("대추농축액",'🔖 배합비 참조'!$A$2:$A$83,0),MATCH($C100,'🔖 배합비 참조'!$B$1:$CE$1,0))/100,0),""))),"")</f>
        <v>0</v>
      </c>
      <c r="AH100" s="42" t="n">
        <f aca="false">IFERROR(IF($C100="","",IF($D100="","",IFERROR(ROUND($D100*INDEX('🔖 배합비 참조'!$B$2:$CE$83,MATCH("대추채(국내산)",'🔖 배합비 참조'!$A$2:$A$83,0),MATCH($C100,'🔖 배합비 참조'!$B$1:$CE$1,0))/100,0),""))),"")</f>
        <v>0</v>
      </c>
      <c r="AI100" s="42" t="n">
        <f aca="false">IFERROR(IF($C100="","",IF($D100="","",IFERROR(ROUND($D100*INDEX('🔖 배합비 참조'!$B$2:$CE$83,MATCH("동부(미얀마산)",'🔖 배합비 참조'!$A$2:$A$83,0),MATCH($C100,'🔖 배합비 참조'!$B$1:$CE$1,0))/100,0),""))),"")</f>
        <v>0</v>
      </c>
      <c r="AJ100" s="42" t="n">
        <f aca="false">IFERROR(IF($C100="","",IF($D100="","",IFERROR(ROUND($D100*INDEX('🔖 배합비 참조'!$B$2:$CE$83,MATCH("두류가공품(백옥앙금)",'🔖 배합비 참조'!$A$2:$A$83,0),MATCH($C100,'🔖 배합비 참조'!$B$1:$CE$1,0))/100,0),""))),"")</f>
        <v>0</v>
      </c>
      <c r="AK100" s="42" t="n">
        <f aca="false">IFERROR(IF($C100="","",IF($D100="","",IFERROR(ROUND($D100*INDEX('🔖 배합비 참조'!$B$2:$CE$83,MATCH("두류가공품(콩고물)",'🔖 배합비 참조'!$A$2:$A$83,0),MATCH($C100,'🔖 배합비 참조'!$B$1:$CE$1,0))/100,0),""))),"")</f>
        <v>0</v>
      </c>
      <c r="AL100" s="42" t="n">
        <f aca="false">IFERROR(IF($C100="","",IF($D100="","",IFERROR(ROUND($D100*INDEX('🔖 배합비 참조'!$B$2:$CE$83,MATCH("두류가공품(통팥고물)",'🔖 배합비 참조'!$A$2:$A$83,0),MATCH($C100,'🔖 배합비 참조'!$B$1:$CE$1,0))/100,0),""))),"")</f>
        <v>0</v>
      </c>
      <c r="AM100" s="42" t="n">
        <f aca="false">IFERROR(IF($C100="","",IF($D100="","",IFERROR(ROUND($D100*INDEX('🔖 배합비 참조'!$B$2:$CE$83,MATCH("딸기레진",'🔖 배합비 참조'!$A$2:$A$83,0),MATCH($C100,'🔖 배합비 참조'!$B$1:$CE$1,0))/100,0),""))),"")</f>
        <v>0</v>
      </c>
      <c r="AN100" s="42" t="n">
        <f aca="false">IFERROR(IF($C100="","",IF($D100="","",IFERROR(ROUND($D100*INDEX('🔖 배합비 참조'!$B$2:$CE$83,MATCH("딸기분말(스트로우베리에이드(분말))",'🔖 배합비 참조'!$A$2:$A$83,0),MATCH($C100,'🔖 배합비 참조'!$B$1:$CE$1,0))/100,0),""))),"")</f>
        <v>0</v>
      </c>
      <c r="AO100" s="42" t="n">
        <f aca="false">IFERROR(IF($C100="","",IF($D100="","",IFERROR(ROUND($D100*INDEX('🔖 배합비 참조'!$B$2:$CE$83,MATCH("마스카포네치즈",'🔖 배합비 참조'!$A$2:$A$83,0),MATCH($C100,'🔖 배합비 참조'!$B$1:$CE$1,0))/100,0),""))),"")</f>
        <v>0</v>
      </c>
      <c r="AP100" s="42" t="n">
        <f aca="false">IFERROR(IF($C100="","",IF($D100="","",IFERROR(ROUND($D100*INDEX('🔖 배합비 참조'!$B$2:$CE$83,MATCH("마카다미아분태(호주산)",'🔖 배합비 참조'!$A$2:$A$83,0),MATCH($C100,'🔖 배합비 참조'!$B$1:$CE$1,0))/100,0),""))),"")</f>
        <v>0</v>
      </c>
      <c r="AQ100" s="42" t="n">
        <f aca="false">IFERROR(IF($C100="","",IF($D100="","",IFERROR(ROUND($D100*INDEX('🔖 배합비 참조'!$B$2:$CE$83,MATCH("멥쌀(국내산)",'🔖 배합비 참조'!$A$2:$A$83,0),MATCH($C100,'🔖 배합비 참조'!$B$1:$CE$1,0))/100,0),""))),"")</f>
        <v>70</v>
      </c>
      <c r="AR100" s="42" t="n">
        <f aca="false">IFERROR(IF($C100="","",IF($D100="","",IFERROR(ROUND($D100*INDEX('🔖 배합비 참조'!$B$2:$CE$83,MATCH("모시잎(국내산)",'🔖 배합비 참조'!$A$2:$A$83,0),MATCH($C100,'🔖 배합비 참조'!$B$1:$CE$1,0))/100,0),""))),"")</f>
        <v>0</v>
      </c>
      <c r="AS100" s="42" t="n">
        <f aca="false">IFERROR(IF($C100="","",IF($D100="","",IFERROR(ROUND($D100*INDEX('🔖 배합비 참조'!$B$2:$CE$83,MATCH("물엿(저당물엿)",'🔖 배합비 참조'!$A$2:$A$83,0),MATCH($C100,'🔖 배합비 참조'!$B$1:$CE$1,0))/100,0),""))),"")</f>
        <v>0</v>
      </c>
      <c r="AT100" s="42" t="n">
        <f aca="false">IFERROR(IF($C100="","",IF($D100="","",IFERROR(ROUND($D100*INDEX('🔖 배합비 참조'!$B$2:$CE$83,MATCH("밤다이스",'🔖 배합비 참조'!$A$2:$A$83,0),MATCH($C100,'🔖 배합비 참조'!$B$1:$CE$1,0))/100,0),""))),"")</f>
        <v>0</v>
      </c>
      <c r="AU100" s="42" t="n">
        <f aca="false">IFERROR(IF($C100="","",IF($D100="","",IFERROR(ROUND($D100*INDEX('🔖 배합비 참조'!$B$2:$CE$83,MATCH("변성전분(타피오카전분)",'🔖 배합비 참조'!$A$2:$A$83,0),MATCH($C100,'🔖 배합비 참조'!$B$1:$CE$1,0))/100,0),""))),"")</f>
        <v>0</v>
      </c>
      <c r="AV100" s="42" t="n">
        <f aca="false">IFERROR(IF($C100="","",IF($D100="","",IFERROR(ROUND($D100*INDEX('🔖 배합비 참조'!$B$2:$CE$83,MATCH("복음땅콩분태",'🔖 배합비 참조'!$A$2:$A$83,0),MATCH($C100,'🔖 배합비 참조'!$B$1:$CE$1,0))/100,0),""))),"")</f>
        <v>0</v>
      </c>
      <c r="AW100" s="42" t="n">
        <f aca="false">IFERROR(IF($C100="","",IF($D100="","",IFERROR(ROUND($D100*INDEX('🔖 배합비 참조'!$B$2:$CE$83,MATCH("사양벌꿀(국내산)",'🔖 배합비 참조'!$A$2:$A$83,0),MATCH($C100,'🔖 배합비 참조'!$B$1:$CE$1,0))/100,0),""))),"")</f>
        <v>0</v>
      </c>
      <c r="AX100" s="42" t="n">
        <f aca="false">IFERROR(IF($C100="","",IF($D100="","",IFERROR(ROUND($D100*INDEX('🔖 배합비 참조'!$B$2:$CE$83,MATCH("생크림",'🔖 배합비 참조'!$A$2:$A$83,0),MATCH($C100,'🔖 배합비 참조'!$B$1:$CE$1,0))/100,0),""))),"")</f>
        <v>0</v>
      </c>
      <c r="AY100" s="42" t="n">
        <f aca="false">IFERROR(IF($C100="","",IF($D100="","",IFERROR(ROUND($D100*INDEX('🔖 배합비 참조'!$B$2:$CE$83,MATCH("서양호박(국내산,뉴질랜드산)",'🔖 배합비 참조'!$A$2:$A$83,0),MATCH($C100,'🔖 배합비 참조'!$B$1:$CE$1,0))/100,0),""))),"")</f>
        <v>0</v>
      </c>
      <c r="AZ100" s="42" t="n">
        <f aca="false">IFERROR(IF($C100="","",IF($D100="","",IFERROR(ROUND($D100*INDEX('🔖 배합비 참조'!$B$2:$CE$83,MATCH("설탕",'🔖 배합비 참조'!$A$2:$A$83,0),MATCH($C100,'🔖 배합비 참조'!$B$1:$CE$1,0))/100,0),""))),"")</f>
        <v>11</v>
      </c>
      <c r="BA100" s="42" t="n">
        <f aca="false">IFERROR(IF($C100="","",IF($D100="","",IFERROR(ROUND($D100*INDEX('🔖 배합비 참조'!$B$2:$CE$83,MATCH("스트로우베리 에이드 후레쉬",'🔖 배합비 참조'!$A$2:$A$83,0),MATCH($C100,'🔖 배합비 참조'!$B$1:$CE$1,0))/100,0),""))),"")</f>
        <v>0</v>
      </c>
      <c r="BB100" s="42" t="n">
        <f aca="false">IFERROR(IF($C100="","",IF($D100="","",IFERROR(ROUND($D100*INDEX('🔖 배합비 참조'!$B$2:$CE$83,MATCH("식물성기름혼합제제(분홍)",'🔖 배합비 참조'!$A$2:$A$83,0),MATCH($C100,'🔖 배합비 참조'!$B$1:$CE$1,0))/100,0),""))),"")</f>
        <v>0</v>
      </c>
      <c r="BC100" s="42" t="n">
        <f aca="false">IFERROR(IF($C100="","",IF($D100="","",IFERROR(ROUND($D100*INDEX('🔖 배합비 참조'!$B$2:$CE$83,MATCH("식물성기름혼합제제(초록)",'🔖 배합비 참조'!$A$2:$A$83,0),MATCH($C100,'🔖 배합비 참조'!$B$1:$CE$1,0))/100,0),""))),"")</f>
        <v>0</v>
      </c>
      <c r="BD100" s="42" t="n">
        <f aca="false">IFERROR(IF($C100="","",IF($D100="","",IFERROR(ROUND($D100*INDEX('🔖 배합비 참조'!$B$2:$CE$83,MATCH("식물성기름혼합제제(황색)",'🔖 배합비 참조'!$A$2:$A$83,0),MATCH($C100,'🔖 배합비 참조'!$B$1:$CE$1,0))/100,0),""))),"")</f>
        <v>0</v>
      </c>
      <c r="BE100" s="42" t="n">
        <f aca="false">IFERROR(IF($C100="","",IF($D100="","",IFERROR(ROUND($D100*INDEX('🔖 배합비 참조'!$B$2:$CE$83,MATCH("쑥가루(국내산)",'🔖 배합비 참조'!$A$2:$A$83,0),MATCH($C100,'🔖 배합비 참조'!$B$1:$CE$1,0))/100,0),""))),"")</f>
        <v>0</v>
      </c>
      <c r="BF100" s="42" t="n">
        <f aca="false">IFERROR(IF($C100="","",IF($D100="","",IFERROR(ROUND($D100*INDEX('🔖 배합비 참조'!$B$2:$CE$83,MATCH("아몬드슬라이스",'🔖 배합비 참조'!$A$2:$A$83,0),MATCH($C100,'🔖 배합비 참조'!$B$1:$CE$1,0))/100,0),""))),"")</f>
        <v>0</v>
      </c>
      <c r="BG100" s="42" t="n">
        <f aca="false">IFERROR(IF($C100="","",IF($D100="","",IFERROR(ROUND($D100*INDEX('🔖 배합비 참조'!$B$2:$CE$83,MATCH("알룰로오스(국내산)",'🔖 배합비 참조'!$A$2:$A$83,0),MATCH($C100,'🔖 배합비 참조'!$B$1:$CE$1,0))/100,0),""))),"")</f>
        <v>0</v>
      </c>
      <c r="BH100" s="42" t="n">
        <f aca="false">IFERROR(IF($C100="","",IF($D100="","",IFERROR(ROUND($D100*INDEX('🔖 배합비 참조'!$B$2:$CE$83,MATCH("연유",'🔖 배합비 참조'!$A$2:$A$83,0),MATCH($C100,'🔖 배합비 참조'!$B$1:$CE$1,0))/100,0),""))),"")</f>
        <v>0</v>
      </c>
      <c r="BI100" s="42" t="n">
        <f aca="false">IFERROR(IF($C100="","",IF($D100="","",IFERROR(ROUND($D100*INDEX('🔖 배합비 참조'!$B$2:$CE$83,MATCH("옥수수전분",'🔖 배합비 참조'!$A$2:$A$83,0),MATCH($C100,'🔖 배합비 참조'!$B$1:$CE$1,0))/100,0),""))),"")</f>
        <v>0</v>
      </c>
      <c r="BJ100" s="42" t="n">
        <f aca="false">IFERROR(IF($C100="","",IF($D100="","",IFERROR(ROUND($D100*INDEX('🔖 배합비 참조'!$B$2:$CE$83,MATCH("완두배기",'🔖 배합비 참조'!$A$2:$A$83,0),MATCH($C100,'🔖 배합비 참조'!$B$1:$CE$1,0))/100,0),""))),"")</f>
        <v>0</v>
      </c>
      <c r="BK100" s="42" t="n">
        <f aca="false">IFERROR(IF($C100="","",IF($D100="","",IFERROR(ROUND($D100*INDEX('🔖 배합비 참조'!$B$2:$CE$83,MATCH("우유(국내산)",'🔖 배합비 참조'!$A$2:$A$83,0),MATCH($C100,'🔖 배합비 참조'!$B$1:$CE$1,0))/100,0),""))),"")</f>
        <v>9</v>
      </c>
      <c r="BL100" s="42" t="n">
        <f aca="false">IFERROR(IF($C100="","",IF($D100="","",IFERROR(ROUND($D100*INDEX('🔖 배합비 참조'!$B$2:$CE$83,MATCH("자색고구마가루(중국산)",'🔖 배합비 참조'!$A$2:$A$83,0),MATCH($C100,'🔖 배합비 참조'!$B$1:$CE$1,0))/100,0),""))),"")</f>
        <v>0</v>
      </c>
      <c r="BM100" s="42" t="n">
        <f aca="false">IFERROR(IF($C100="","",IF($D100="","",IFERROR(ROUND($D100*INDEX('🔖 배합비 참조'!$B$2:$CE$83,MATCH("자연치즈(체다치즈)",'🔖 배합비 참조'!$A$2:$A$83,0),MATCH($C100,'🔖 배합비 참조'!$B$1:$CE$1,0))/100,0),""))),"")</f>
        <v>0</v>
      </c>
      <c r="BN100" s="42" t="n">
        <f aca="false">IFERROR(IF($C100="","",IF($D100="","",IFERROR(ROUND($D100*INDEX('🔖 배합비 참조'!$B$2:$CE$83,MATCH("정제수",'🔖 배합비 참조'!$A$2:$A$83,0),MATCH($C100,'🔖 배합비 참조'!$B$1:$CE$1,0))/100,0),""))),"")</f>
        <v>9</v>
      </c>
      <c r="BO100" s="42" t="n">
        <f aca="false">IFERROR(IF($C100="","",IF($D100="","",IFERROR(ROUND($D100*INDEX('🔖 배합비 참조'!$B$2:$CE$83,MATCH("젤라틴",'🔖 배합비 참조'!$A$2:$A$83,0),MATCH($C100,'🔖 배합비 참조'!$B$1:$CE$1,0))/100,0),""))),"")</f>
        <v>0</v>
      </c>
      <c r="BP100" s="42" t="n">
        <f aca="false">IFERROR(IF($C100="","",IF($D100="","",IFERROR(ROUND($D100*INDEX('🔖 배합비 참조'!$B$2:$CE$83,MATCH("조림류(백옥앙금)",'🔖 배합비 참조'!$A$2:$A$83,0),MATCH($C100,'🔖 배합비 참조'!$B$1:$CE$1,0))/100,0),""))),"")</f>
        <v>0</v>
      </c>
      <c r="BQ100" s="42" t="n">
        <f aca="false">IFERROR(IF($C100="","",IF($D100="","",IFERROR(ROUND($D100*INDEX('🔖 배합비 참조'!$B$2:$CE$83,MATCH("조림류(통팥앙금)",'🔖 배합비 참조'!$A$2:$A$83,0),MATCH($C100,'🔖 배합비 참조'!$B$1:$CE$1,0))/100,0),""))),"")</f>
        <v>0</v>
      </c>
      <c r="BR100" s="42" t="n">
        <f aca="false">IFERROR(IF($C100="","",IF($D100="","",IFERROR(ROUND($D100*INDEX('🔖 배합비 참조'!$B$2:$CE$83,MATCH("준초콜릿(외국산)",'🔖 배합비 참조'!$A$2:$A$83,0),MATCH($C100,'🔖 배합비 참조'!$B$1:$CE$1,0))/100,0),""))),"")</f>
        <v>0</v>
      </c>
      <c r="BS100" s="42" t="n">
        <f aca="false">IFERROR(IF($C100="","",IF($D100="","",IFERROR(ROUND($D100*INDEX('🔖 배합비 참조'!$B$2:$CE$83,MATCH("중력분",'🔖 배합비 참조'!$A$2:$A$83,0),MATCH($C100,'🔖 배합비 참조'!$B$1:$CE$1,0))/100,0),""))),"")</f>
        <v>0</v>
      </c>
      <c r="BT100" s="42" t="n">
        <f aca="false">IFERROR(IF($C100="","",IF($D100="","",IFERROR(ROUND($D100*INDEX('🔖 배합비 참조'!$B$2:$CE$83,MATCH("참깨(인도산,나이지리아산,탄자니아산,미얀마산)",'🔖 배합비 참조'!$A$2:$A$83,0),MATCH($C100,'🔖 배합비 참조'!$B$1:$CE$1,0))/100,0),""))),"")</f>
        <v>0</v>
      </c>
      <c r="BU100" s="42" t="n">
        <f aca="false">IFERROR(IF($C100="","",IF($D100="","",IFERROR(ROUND($D100*INDEX('🔖 배합비 참조'!$B$2:$CE$83,MATCH("찹쌀(국내산)",'🔖 배합비 참조'!$A$2:$A$83,0),MATCH($C100,'🔖 배합비 참조'!$B$1:$CE$1,0))/100,0),""))),"")</f>
        <v>0</v>
      </c>
      <c r="BV100" s="42" t="n">
        <f aca="false">IFERROR(IF($C100="","",IF($D100="","",IFERROR(ROUND($D100*INDEX('🔖 배합비 참조'!$B$2:$CE$83,MATCH("천일염",'🔖 배합비 참조'!$A$2:$A$83,0),MATCH($C100,'🔖 배합비 참조'!$B$1:$CE$1,0))/100,0),""))),"")</f>
        <v>1</v>
      </c>
      <c r="BW100" s="42" t="n">
        <f aca="false">IFERROR(IF($C100="","",IF($D100="","",IFERROR(ROUND($D100*INDEX('🔖 배합비 참조'!$B$2:$CE$83,MATCH("치즈 [크림치즈]",'🔖 배합비 참조'!$A$2:$A$83,0),MATCH($C100,'🔖 배합비 참조'!$B$1:$CE$1,0))/100,0),""))),"")</f>
        <v>0</v>
      </c>
      <c r="BX100" s="42" t="n">
        <f aca="false">IFERROR(IF($C100="","",IF($D100="","",IFERROR(ROUND($D100*INDEX('🔖 배합비 참조'!$B$2:$CE$83,MATCH("코코아가공품류(코코아분말)",'🔖 배합비 참조'!$A$2:$A$83,0),MATCH($C100,'🔖 배합비 참조'!$B$1:$CE$1,0))/100,0),""))),"")</f>
        <v>0</v>
      </c>
      <c r="BY100" s="42" t="n">
        <f aca="false">IFERROR(IF($C100="","",IF($D100="","",IFERROR(ROUND($D100*INDEX('🔖 배합비 참조'!$B$2:$CE$83,MATCH("콩기름(대두유)",'🔖 배합비 참조'!$A$2:$A$83,0),MATCH($C100,'🔖 배합비 참조'!$B$1:$CE$1,0))/100,0),""))),"")</f>
        <v>0</v>
      </c>
      <c r="BZ100" s="42" t="n">
        <f aca="false">IFERROR(IF($C100="","",IF($D100="","",IFERROR(ROUND($D100*INDEX('🔖 배합비 참조'!$B$2:$CE$83,MATCH("해바라기씨앗",'🔖 배합비 참조'!$A$2:$A$83,0),MATCH($C100,'🔖 배합비 참조'!$B$1:$CE$1,0))/100,0),""))),"")</f>
        <v>0</v>
      </c>
      <c r="CA100" s="42" t="n">
        <f aca="false">IFERROR(IF($C100="","",IF($D100="","",IFERROR(ROUND($D100*INDEX('🔖 배합비 참조'!$B$2:$CE$83,MATCH("현미(국내산)",'🔖 배합비 참조'!$A$2:$A$83,0),MATCH($C100,'🔖 배합비 참조'!$B$1:$CE$1,0))/100,0),""))),"")</f>
        <v>0</v>
      </c>
      <c r="CB100" s="42" t="n">
        <f aca="false">IFERROR(IF($C100="","",IF($D100="","",IFERROR(ROUND($D100*INDEX('🔖 배합비 참조'!$B$2:$CE$83,MATCH("현미멥쌀(국내산)",'🔖 배합비 참조'!$A$2:$A$83,0),MATCH($C100,'🔖 배합비 참조'!$B$1:$CE$1,0))/100,0),""))),"")</f>
        <v>0</v>
      </c>
      <c r="CC100" s="42" t="n">
        <f aca="false">IFERROR(IF($C100="","",IF($D100="","",IFERROR(ROUND($D100*INDEX('🔖 배합비 참조'!$B$2:$CE$83,MATCH("호두분태(미국산)",'🔖 배합비 참조'!$A$2:$A$83,0),MATCH($C100,'🔖 배합비 참조'!$B$1:$CE$1,0))/100,0),""))),"")</f>
        <v>0</v>
      </c>
      <c r="CD100" s="42" t="n">
        <f aca="false">IFERROR(IF($C100="","",IF($D100="","",IFERROR(ROUND($D100*INDEX('🔖 배합비 참조'!$B$2:$CE$83,MATCH("호박씨앗(외국산)",'🔖 배합비 참조'!$A$2:$A$83,0),MATCH($C100,'🔖 배합비 참조'!$B$1:$CE$1,0))/100,0),""))),"")</f>
        <v>0</v>
      </c>
      <c r="CE100" s="42" t="n">
        <f aca="false">IFERROR(IF($C100="","",IF($D100="","",IFERROR(ROUND($D100*INDEX('🔖 배합비 참조'!$B$2:$CE$83,MATCH("혼합제제(떡용에스텔)",'🔖 배합비 참조'!$A$2:$A$83,0),MATCH($C100,'🔖 배합비 참조'!$B$1:$CE$1,0))/100,0),""))),"")</f>
        <v>0</v>
      </c>
      <c r="CF100" s="42" t="n">
        <f aca="false">IFERROR(IF($C100="","",IF($D100="","",IFERROR(ROUND($D100*INDEX('🔖 배합비 참조'!$B$2:$CE$83,MATCH("혼합제제(스테비아)",'🔖 배합비 참조'!$A$2:$A$83,0),MATCH($C100,'🔖 배합비 참조'!$B$1:$CE$1,0))/100,0),""))),"")</f>
        <v>0</v>
      </c>
      <c r="CG100" s="42" t="n">
        <f aca="false">IFERROR(IF($C100="","",IF($D100="","",IFERROR(ROUND($D100*INDEX('🔖 배합비 참조'!$B$2:$CE$83,MATCH("화이트초콜릿",'🔖 배합비 참조'!$A$2:$A$83,0),MATCH($C100,'🔖 배합비 참조'!$B$1:$CE$1,0))/100,0),""))),"")</f>
        <v>0</v>
      </c>
      <c r="CH100" s="42" t="n">
        <f aca="false">IFERROR(IF($C100="","",IF($D100="","",IFERROR(ROUND($D100*INDEX('🔖 배합비 참조'!$B$2:$CE$83,MATCH("흑미찹쌀(국내산)",'🔖 배합비 참조'!$A$2:$A$83,0),MATCH($C100,'🔖 배합비 참조'!$B$1:$CE$1,0))/100,0),""))),"")</f>
        <v>0</v>
      </c>
      <c r="CI100" s="42" t="n">
        <f aca="false">IFERROR(IF($C100="","",IF($D100="","",IFERROR(ROUND($D100*INDEX('🔖 배합비 참조'!$B$2:$CE$83,MATCH("찰옥수수전분(미국산)",'🔖 배합비 참조'!$A$2:$A$83,0),MATCH($C100,'🔖 배합비 참조'!$B$1:$CE$1,0))/100,0),""))),"")</f>
        <v>0</v>
      </c>
      <c r="CJ100" s="40"/>
      <c r="CL100" s="1" t="s">
        <v>239</v>
      </c>
    </row>
    <row r="101" customFormat="false" ht="18" hidden="false" customHeight="true" outlineLevel="0" collapsed="false">
      <c r="A101" s="35" t="n">
        <v>97</v>
      </c>
      <c r="B101" s="36" t="n">
        <v>45994</v>
      </c>
      <c r="C101" s="37" t="s">
        <v>143</v>
      </c>
      <c r="D101" s="38" t="n">
        <v>77.5</v>
      </c>
      <c r="E101" s="13"/>
      <c r="F101" s="13"/>
      <c r="G101" s="39" t="n">
        <f aca="false">IFERROR(IF($C101="","",IF($D101="","",IFERROR(ROUND($D101*INDEX('🔖 배합비 참조'!$B$2:$CE$83,MATCH("간장",'🔖 배합비 참조'!$A$2:$A$83,0),MATCH($C101,'🔖 배합비 참조'!$B$1:$CE$1,0))/100,0),""))),"")</f>
        <v>0</v>
      </c>
      <c r="H101" s="39" t="n">
        <f aca="false">IFERROR(IF($C101="","",IF($D101="","",IFERROR(ROUND($D101*INDEX('🔖 배합비 참조'!$B$2:$CE$83,MATCH("강낭콩((울타리콩))",'🔖 배합비 참조'!$A$2:$A$83,0),MATCH($C101,'🔖 배합비 참조'!$B$1:$CE$1,0))/100,0),""))),"")</f>
        <v>0</v>
      </c>
      <c r="I101" s="39" t="n">
        <f aca="false">IFERROR(IF($C101="","",IF($D101="","",IFERROR(ROUND($D101*INDEX('🔖 배합비 참조'!$B$2:$CE$83,MATCH("건조딸기다이스(외국산)",'🔖 배합비 참조'!$A$2:$A$83,0),MATCH($C101,'🔖 배합비 참조'!$B$1:$CE$1,0))/100,0),""))),"")</f>
        <v>0</v>
      </c>
      <c r="J101" s="39" t="n">
        <f aca="false">IFERROR(IF($C101="","",IF($D101="","",IFERROR(ROUND($D101*INDEX('🔖 배합비 참조'!$B$2:$CE$83,MATCH("건포도",'🔖 배합비 참조'!$A$2:$A$83,0),MATCH($C101,'🔖 배합비 참조'!$B$1:$CE$1,0))/100,0),""))),"")</f>
        <v>0</v>
      </c>
      <c r="K101" s="39" t="n">
        <f aca="false">IFERROR(IF($C101="","",IF($D101="","",IFERROR(ROUND($D101*INDEX('🔖 배합비 참조'!$B$2:$CE$83,MATCH("건호박채(중국산)",'🔖 배합비 참조'!$A$2:$A$83,0),MATCH($C101,'🔖 배합비 참조'!$B$1:$CE$1,0))/100,0),""))),"")</f>
        <v>0</v>
      </c>
      <c r="L101" s="39" t="n">
        <f aca="false">IFERROR(IF($C101="","",IF($D101="","",IFERROR(ROUND($D101*INDEX('🔖 배합비 참조'!$B$2:$CE$83,MATCH("검정깨(흑임자)",'🔖 배합비 참조'!$A$2:$A$83,0),MATCH($C101,'🔖 배합비 참조'!$B$1:$CE$1,0))/100,0),""))),"")</f>
        <v>0</v>
      </c>
      <c r="M101" s="39" t="n">
        <f aca="false">IFERROR(IF($C101="","",IF($D101="","",IFERROR(ROUND($D101*INDEX('🔖 배합비 참조'!$B$2:$CE$83,MATCH("검정콩",'🔖 배합비 참조'!$A$2:$A$83,0),MATCH($C101,'🔖 배합비 참조'!$B$1:$CE$1,0))/100,0),""))),"")</f>
        <v>0</v>
      </c>
      <c r="N101" s="39" t="n">
        <f aca="false">IFERROR(IF($C101="","",IF($D101="","",IFERROR(ROUND($D101*INDEX('🔖 배합비 참조'!$B$2:$CE$83,MATCH("계피가루",'🔖 배합비 참조'!$A$2:$A$83,0),MATCH($C101,'🔖 배합비 참조'!$B$1:$CE$1,0))/100,0),""))),"")</f>
        <v>0</v>
      </c>
      <c r="O101" s="39" t="n">
        <f aca="false">IFERROR(IF($C101="","",IF($D101="","",IFERROR(ROUND($D101*INDEX('🔖 배합비 참조'!$B$2:$CE$83,MATCH("고구마가루",'🔖 배합비 참조'!$A$2:$A$83,0),MATCH($C101,'🔖 배합비 참조'!$B$1:$CE$1,0))/100,0),""))),"")</f>
        <v>0</v>
      </c>
      <c r="P101" s="39" t="n">
        <f aca="false">IFERROR(IF($C101="","",IF($D101="","",IFERROR(ROUND($D101*INDEX('🔖 배합비 참조'!$B$2:$CE$83,MATCH("고구마무스",'🔖 배합비 참조'!$A$2:$A$83,0),MATCH($C101,'🔖 배합비 참조'!$B$1:$CE$1,0))/100,0),""))),"")</f>
        <v>0</v>
      </c>
      <c r="Q101" s="39" t="n">
        <f aca="false">IFERROR(IF($C101="","",IF($D101="","",IFERROR(ROUND($D101*INDEX('🔖 배합비 참조'!$B$2:$CE$83,MATCH("고려엉겅퀴((곤드레)국내산)",'🔖 배합비 참조'!$A$2:$A$83,0),MATCH($C101,'🔖 배합비 참조'!$B$1:$CE$1,0))/100,0),""))),"")</f>
        <v>0</v>
      </c>
      <c r="R101" s="39" t="n">
        <f aca="false">IFERROR(IF($C101="","",IF($D101="","",IFERROR(ROUND($D101*INDEX('🔖 배합비 참조'!$B$2:$CE$83,MATCH("기타가공품(복분자가루)",'🔖 배합비 참조'!$A$2:$A$83,0),MATCH($C101,'🔖 배합비 참조'!$B$1:$CE$1,0))/100,0),""))),"")</f>
        <v>0</v>
      </c>
      <c r="S101" s="39" t="n">
        <f aca="false">IFERROR(IF($C101="","",IF($D101="","",IFERROR(ROUND($D101*INDEX('🔖 배합비 참조'!$B$2:$CE$83,MATCH("기타가공품(슈퍼소프트엠)",'🔖 배합비 참조'!$A$2:$A$83,0),MATCH($C101,'🔖 배합비 참조'!$B$1:$CE$1,0))/100,0),""))),"")</f>
        <v>0</v>
      </c>
      <c r="T101" s="39" t="n">
        <f aca="false">IFERROR(IF($C101="","",IF($D101="","",IFERROR(ROUND($D101*INDEX('🔖 배합비 참조'!$B$2:$CE$83,MATCH("기타가공품(파인소프트 E-티)",'🔖 배합비 참조'!$A$2:$A$83,0),MATCH($C101,'🔖 배합비 참조'!$B$1:$CE$1,0))/100,0),""))),"")</f>
        <v>0</v>
      </c>
      <c r="U101" s="39" t="n">
        <f aca="false">IFERROR(IF($C101="","",IF($D101="","",IFERROR(ROUND($D101*INDEX('🔖 배합비 참조'!$B$2:$CE$83,MATCH("기타가공품(프리미엄카스테라가루)",'🔖 배합비 참조'!$A$2:$A$83,0),MATCH($C101,'🔖 배합비 참조'!$B$1:$CE$1,0))/100,0),""))),"")</f>
        <v>0</v>
      </c>
      <c r="V101" s="39" t="n">
        <f aca="false">IFERROR(IF($C101="","",IF($D101="","",IFERROR(ROUND($D101*INDEX('🔖 배합비 참조'!$B$2:$CE$83,MATCH("기타가공품(흑임자가루)",'🔖 배합비 참조'!$A$2:$A$83,0),MATCH($C101,'🔖 배합비 참조'!$B$1:$CE$1,0))/100,0),""))),"")</f>
        <v>0</v>
      </c>
      <c r="W101" s="39" t="n">
        <f aca="false">IFERROR(IF($C101="","",IF($D101="","",IFERROR(ROUND($D101*INDEX('🔖 배합비 참조'!$B$2:$CE$83,MATCH("기타설탕(흑설탕)",'🔖 배합비 참조'!$A$2:$A$83,0),MATCH($C101,'🔖 배합비 참조'!$B$1:$CE$1,0))/100,0),""))),"")</f>
        <v>7</v>
      </c>
      <c r="X101" s="39" t="n">
        <f aca="false">IFERROR(IF($C101="","",IF($D101="","",IFERROR(ROUND($D101*INDEX('🔖 배합비 참조'!$B$2:$CE$83,MATCH("냉동쑥(국내산)",'🔖 배합비 참조'!$A$2:$A$83,0),MATCH($C101,'🔖 배합비 참조'!$B$1:$CE$1,0))/100,0),""))),"")</f>
        <v>0</v>
      </c>
      <c r="Y101" s="39" t="n">
        <f aca="false">IFERROR(IF($C101="","",IF($D101="","",IFERROR(ROUND($D101*INDEX('🔖 배합비 참조'!$B$2:$CE$83,MATCH("냉동증숙고구마(중국산)",'🔖 배합비 참조'!$A$2:$A$83,0),MATCH($C101,'🔖 배합비 참조'!$B$1:$CE$1,0))/100,0),""))),"")</f>
        <v>0</v>
      </c>
      <c r="Z101" s="39" t="n">
        <f aca="false">IFERROR(IF($C101="","",IF($D101="","",IFERROR(ROUND($D101*INDEX('🔖 배합비 참조'!$B$2:$CE$83,MATCH("녹차가루",'🔖 배합비 참조'!$A$2:$A$83,0),MATCH($C101,'🔖 배합비 참조'!$B$1:$CE$1,0))/100,0),""))),"")</f>
        <v>0</v>
      </c>
      <c r="AA101" s="39" t="n">
        <f aca="false">IFERROR(IF($C101="","",IF($D101="","",IFERROR(ROUND($D101*INDEX('🔖 배합비 참조'!$B$2:$CE$83,MATCH("다크초콜릿 컴파운드칩",'🔖 배합비 참조'!$A$2:$A$83,0),MATCH($C101,'🔖 배합비 참조'!$B$1:$CE$1,0))/100,0),""))),"")</f>
        <v>0</v>
      </c>
      <c r="AB101" s="39" t="n">
        <f aca="false">IFERROR(IF($C101="","",IF($D101="","",IFERROR(ROUND($D101*INDEX('🔖 배합비 참조'!$B$2:$CE$83,MATCH("단호박분말(중국산)",'🔖 배합비 참조'!$A$2:$A$83,0),MATCH($C101,'🔖 배합비 참조'!$B$1:$CE$1,0))/100,0),""))),"")</f>
        <v>0</v>
      </c>
      <c r="AC101" s="39" t="n">
        <f aca="false">IFERROR(IF($C101="","",IF($D101="","",IFERROR(ROUND($D101*INDEX('🔖 배합비 참조'!$B$2:$CE$83,MATCH("당류가공품(단호박농축액)",'🔖 배합비 참조'!$A$2:$A$83,0),MATCH($C101,'🔖 배합비 참조'!$B$1:$CE$1,0))/100,0),""))),"")</f>
        <v>0</v>
      </c>
      <c r="AD101" s="39" t="n">
        <f aca="false">IFERROR(IF($C101="","",IF($D101="","",IFERROR(ROUND($D101*INDEX('🔖 배합비 참조'!$B$2:$CE$83,MATCH("당류가공품(알룰로스,에리스리톨,스테비올배당체혼합)",'🔖 배합비 참조'!$A$2:$A$83,0),MATCH($C101,'🔖 배합비 참조'!$B$1:$CE$1,0))/100,0),""))),"")</f>
        <v>0</v>
      </c>
      <c r="AE101" s="39" t="n">
        <f aca="false">IFERROR(IF($C101="","",IF($D101="","",IFERROR(ROUND($D101*INDEX('🔖 배합비 참조'!$B$2:$CE$83,MATCH("당류가공품(알룰로스제로파우더)",'🔖 배합비 참조'!$A$2:$A$83,0),MATCH($C101,'🔖 배합비 참조'!$B$1:$CE$1,0))/100,0),""))),"")</f>
        <v>0</v>
      </c>
      <c r="AF101" s="39" t="n">
        <f aca="false">IFERROR(IF($C101="","",IF($D101="","",IFERROR(ROUND($D101*INDEX('🔖 배합비 참조'!$B$2:$CE$83,MATCH("당절임(완두배기)",'🔖 배합비 참조'!$A$2:$A$83,0),MATCH($C101,'🔖 배합비 참조'!$B$1:$CE$1,0))/100,0),""))),"")</f>
        <v>0</v>
      </c>
      <c r="AG101" s="39" t="n">
        <f aca="false">IFERROR(IF($C101="","",IF($D101="","",IFERROR(ROUND($D101*INDEX('🔖 배합비 참조'!$B$2:$CE$83,MATCH("대추농축액",'🔖 배합비 참조'!$A$2:$A$83,0),MATCH($C101,'🔖 배합비 참조'!$B$1:$CE$1,0))/100,0),""))),"")</f>
        <v>0</v>
      </c>
      <c r="AH101" s="39" t="n">
        <f aca="false">IFERROR(IF($C101="","",IF($D101="","",IFERROR(ROUND($D101*INDEX('🔖 배합비 참조'!$B$2:$CE$83,MATCH("대추채(국내산)",'🔖 배합비 참조'!$A$2:$A$83,0),MATCH($C101,'🔖 배합비 참조'!$B$1:$CE$1,0))/100,0),""))),"")</f>
        <v>0</v>
      </c>
      <c r="AI101" s="39" t="n">
        <f aca="false">IFERROR(IF($C101="","",IF($D101="","",IFERROR(ROUND($D101*INDEX('🔖 배합비 참조'!$B$2:$CE$83,MATCH("동부(미얀마산)",'🔖 배합비 참조'!$A$2:$A$83,0),MATCH($C101,'🔖 배합비 참조'!$B$1:$CE$1,0))/100,0),""))),"")</f>
        <v>0</v>
      </c>
      <c r="AJ101" s="39" t="n">
        <f aca="false">IFERROR(IF($C101="","",IF($D101="","",IFERROR(ROUND($D101*INDEX('🔖 배합비 참조'!$B$2:$CE$83,MATCH("두류가공품(백옥앙금)",'🔖 배합비 참조'!$A$2:$A$83,0),MATCH($C101,'🔖 배합비 참조'!$B$1:$CE$1,0))/100,0),""))),"")</f>
        <v>0</v>
      </c>
      <c r="AK101" s="39" t="n">
        <f aca="false">IFERROR(IF($C101="","",IF($D101="","",IFERROR(ROUND($D101*INDEX('🔖 배합비 참조'!$B$2:$CE$83,MATCH("두류가공품(콩고물)",'🔖 배합비 참조'!$A$2:$A$83,0),MATCH($C101,'🔖 배합비 참조'!$B$1:$CE$1,0))/100,0),""))),"")</f>
        <v>0</v>
      </c>
      <c r="AL101" s="39" t="n">
        <f aca="false">IFERROR(IF($C101="","",IF($D101="","",IFERROR(ROUND($D101*INDEX('🔖 배합비 참조'!$B$2:$CE$83,MATCH("두류가공품(통팥고물)",'🔖 배합비 참조'!$A$2:$A$83,0),MATCH($C101,'🔖 배합비 참조'!$B$1:$CE$1,0))/100,0),""))),"")</f>
        <v>0</v>
      </c>
      <c r="AM101" s="39" t="n">
        <f aca="false">IFERROR(IF($C101="","",IF($D101="","",IFERROR(ROUND($D101*INDEX('🔖 배합비 참조'!$B$2:$CE$83,MATCH("딸기레진",'🔖 배합비 참조'!$A$2:$A$83,0),MATCH($C101,'🔖 배합비 참조'!$B$1:$CE$1,0))/100,0),""))),"")</f>
        <v>0</v>
      </c>
      <c r="AN101" s="39" t="n">
        <f aca="false">IFERROR(IF($C101="","",IF($D101="","",IFERROR(ROUND($D101*INDEX('🔖 배합비 참조'!$B$2:$CE$83,MATCH("딸기분말(스트로우베리에이드(분말))",'🔖 배합비 참조'!$A$2:$A$83,0),MATCH($C101,'🔖 배합비 참조'!$B$1:$CE$1,0))/100,0),""))),"")</f>
        <v>0</v>
      </c>
      <c r="AO101" s="39" t="n">
        <f aca="false">IFERROR(IF($C101="","",IF($D101="","",IFERROR(ROUND($D101*INDEX('🔖 배합비 참조'!$B$2:$CE$83,MATCH("마스카포네치즈",'🔖 배합비 참조'!$A$2:$A$83,0),MATCH($C101,'🔖 배합비 참조'!$B$1:$CE$1,0))/100,0),""))),"")</f>
        <v>0</v>
      </c>
      <c r="AP101" s="39" t="n">
        <f aca="false">IFERROR(IF($C101="","",IF($D101="","",IFERROR(ROUND($D101*INDEX('🔖 배합비 참조'!$B$2:$CE$83,MATCH("마카다미아분태(호주산)",'🔖 배합비 참조'!$A$2:$A$83,0),MATCH($C101,'🔖 배합비 참조'!$B$1:$CE$1,0))/100,0),""))),"")</f>
        <v>0</v>
      </c>
      <c r="AQ101" s="39" t="n">
        <f aca="false">IFERROR(IF($C101="","",IF($D101="","",IFERROR(ROUND($D101*INDEX('🔖 배합비 참조'!$B$2:$CE$83,MATCH("멥쌀(국내산)",'🔖 배합비 참조'!$A$2:$A$83,0),MATCH($C101,'🔖 배합비 참조'!$B$1:$CE$1,0))/100,0),""))),"")</f>
        <v>52</v>
      </c>
      <c r="AR101" s="39" t="n">
        <f aca="false">IFERROR(IF($C101="","",IF($D101="","",IFERROR(ROUND($D101*INDEX('🔖 배합비 참조'!$B$2:$CE$83,MATCH("모시잎(국내산)",'🔖 배합비 참조'!$A$2:$A$83,0),MATCH($C101,'🔖 배합비 참조'!$B$1:$CE$1,0))/100,0),""))),"")</f>
        <v>0</v>
      </c>
      <c r="AS101" s="39" t="n">
        <f aca="false">IFERROR(IF($C101="","",IF($D101="","",IFERROR(ROUND($D101*INDEX('🔖 배합비 참조'!$B$2:$CE$83,MATCH("물엿(저당물엿)",'🔖 배합비 참조'!$A$2:$A$83,0),MATCH($C101,'🔖 배합비 참조'!$B$1:$CE$1,0))/100,0),""))),"")</f>
        <v>0</v>
      </c>
      <c r="AT101" s="39" t="n">
        <f aca="false">IFERROR(IF($C101="","",IF($D101="","",IFERROR(ROUND($D101*INDEX('🔖 배합비 참조'!$B$2:$CE$83,MATCH("밤다이스",'🔖 배합비 참조'!$A$2:$A$83,0),MATCH($C101,'🔖 배합비 참조'!$B$1:$CE$1,0))/100,0),""))),"")</f>
        <v>0</v>
      </c>
      <c r="AU101" s="39" t="n">
        <f aca="false">IFERROR(IF($C101="","",IF($D101="","",IFERROR(ROUND($D101*INDEX('🔖 배합비 참조'!$B$2:$CE$83,MATCH("변성전분(타피오카전분)",'🔖 배합비 참조'!$A$2:$A$83,0),MATCH($C101,'🔖 배합비 참조'!$B$1:$CE$1,0))/100,0),""))),"")</f>
        <v>0</v>
      </c>
      <c r="AV101" s="39" t="n">
        <f aca="false">IFERROR(IF($C101="","",IF($D101="","",IFERROR(ROUND($D101*INDEX('🔖 배합비 참조'!$B$2:$CE$83,MATCH("복음땅콩분태",'🔖 배합비 참조'!$A$2:$A$83,0),MATCH($C101,'🔖 배합비 참조'!$B$1:$CE$1,0))/100,0),""))),"")</f>
        <v>0</v>
      </c>
      <c r="AW101" s="39" t="n">
        <f aca="false">IFERROR(IF($C101="","",IF($D101="","",IFERROR(ROUND($D101*INDEX('🔖 배합비 참조'!$B$2:$CE$83,MATCH("사양벌꿀(국내산)",'🔖 배합비 참조'!$A$2:$A$83,0),MATCH($C101,'🔖 배합비 참조'!$B$1:$CE$1,0))/100,0),""))),"")</f>
        <v>2</v>
      </c>
      <c r="AX101" s="39" t="n">
        <f aca="false">IFERROR(IF($C101="","",IF($D101="","",IFERROR(ROUND($D101*INDEX('🔖 배합비 참조'!$B$2:$CE$83,MATCH("생크림",'🔖 배합비 참조'!$A$2:$A$83,0),MATCH($C101,'🔖 배합비 참조'!$B$1:$CE$1,0))/100,0),""))),"")</f>
        <v>0</v>
      </c>
      <c r="AY101" s="39" t="n">
        <f aca="false">IFERROR(IF($C101="","",IF($D101="","",IFERROR(ROUND($D101*INDEX('🔖 배합비 참조'!$B$2:$CE$83,MATCH("서양호박(국내산,뉴질랜드산)",'🔖 배합비 참조'!$A$2:$A$83,0),MATCH($C101,'🔖 배합비 참조'!$B$1:$CE$1,0))/100,0),""))),"")</f>
        <v>0</v>
      </c>
      <c r="AZ101" s="39" t="n">
        <f aca="false">IFERROR(IF($C101="","",IF($D101="","",IFERROR(ROUND($D101*INDEX('🔖 배합비 참조'!$B$2:$CE$83,MATCH("설탕",'🔖 배합비 참조'!$A$2:$A$83,0),MATCH($C101,'🔖 배합비 참조'!$B$1:$CE$1,0))/100,0),""))),"")</f>
        <v>7</v>
      </c>
      <c r="BA101" s="39" t="n">
        <f aca="false">IFERROR(IF($C101="","",IF($D101="","",IFERROR(ROUND($D101*INDEX('🔖 배합비 참조'!$B$2:$CE$83,MATCH("스트로우베리 에이드 후레쉬",'🔖 배합비 참조'!$A$2:$A$83,0),MATCH($C101,'🔖 배합비 참조'!$B$1:$CE$1,0))/100,0),""))),"")</f>
        <v>0</v>
      </c>
      <c r="BB101" s="39" t="n">
        <f aca="false">IFERROR(IF($C101="","",IF($D101="","",IFERROR(ROUND($D101*INDEX('🔖 배합비 참조'!$B$2:$CE$83,MATCH("식물성기름혼합제제(분홍)",'🔖 배합비 참조'!$A$2:$A$83,0),MATCH($C101,'🔖 배합비 참조'!$B$1:$CE$1,0))/100,0),""))),"")</f>
        <v>0</v>
      </c>
      <c r="BC101" s="39" t="n">
        <f aca="false">IFERROR(IF($C101="","",IF($D101="","",IFERROR(ROUND($D101*INDEX('🔖 배합비 참조'!$B$2:$CE$83,MATCH("식물성기름혼합제제(초록)",'🔖 배합비 참조'!$A$2:$A$83,0),MATCH($C101,'🔖 배합비 참조'!$B$1:$CE$1,0))/100,0),""))),"")</f>
        <v>0</v>
      </c>
      <c r="BD101" s="39" t="n">
        <f aca="false">IFERROR(IF($C101="","",IF($D101="","",IFERROR(ROUND($D101*INDEX('🔖 배합비 참조'!$B$2:$CE$83,MATCH("식물성기름혼합제제(황색)",'🔖 배합비 참조'!$A$2:$A$83,0),MATCH($C101,'🔖 배합비 참조'!$B$1:$CE$1,0))/100,0),""))),"")</f>
        <v>0</v>
      </c>
      <c r="BE101" s="39" t="n">
        <f aca="false">IFERROR(IF($C101="","",IF($D101="","",IFERROR(ROUND($D101*INDEX('🔖 배합비 참조'!$B$2:$CE$83,MATCH("쑥가루(국내산)",'🔖 배합비 참조'!$A$2:$A$83,0),MATCH($C101,'🔖 배합비 참조'!$B$1:$CE$1,0))/100,0),""))),"")</f>
        <v>0</v>
      </c>
      <c r="BF101" s="39" t="n">
        <f aca="false">IFERROR(IF($C101="","",IF($D101="","",IFERROR(ROUND($D101*INDEX('🔖 배합비 참조'!$B$2:$CE$83,MATCH("아몬드슬라이스",'🔖 배합비 참조'!$A$2:$A$83,0),MATCH($C101,'🔖 배합비 참조'!$B$1:$CE$1,0))/100,0),""))),"")</f>
        <v>0</v>
      </c>
      <c r="BG101" s="39" t="n">
        <f aca="false">IFERROR(IF($C101="","",IF($D101="","",IFERROR(ROUND($D101*INDEX('🔖 배합비 참조'!$B$2:$CE$83,MATCH("알룰로오스(국내산)",'🔖 배합비 참조'!$A$2:$A$83,0),MATCH($C101,'🔖 배합비 참조'!$B$1:$CE$1,0))/100,0),""))),"")</f>
        <v>0</v>
      </c>
      <c r="BH101" s="39" t="n">
        <f aca="false">IFERROR(IF($C101="","",IF($D101="","",IFERROR(ROUND($D101*INDEX('🔖 배합비 참조'!$B$2:$CE$83,MATCH("연유",'🔖 배합비 참조'!$A$2:$A$83,0),MATCH($C101,'🔖 배합비 참조'!$B$1:$CE$1,0))/100,0),""))),"")</f>
        <v>0</v>
      </c>
      <c r="BI101" s="39" t="n">
        <f aca="false">IFERROR(IF($C101="","",IF($D101="","",IFERROR(ROUND($D101*INDEX('🔖 배합비 참조'!$B$2:$CE$83,MATCH("옥수수전분",'🔖 배합비 참조'!$A$2:$A$83,0),MATCH($C101,'🔖 배합비 참조'!$B$1:$CE$1,0))/100,0),""))),"")</f>
        <v>0</v>
      </c>
      <c r="BJ101" s="39" t="n">
        <f aca="false">IFERROR(IF($C101="","",IF($D101="","",IFERROR(ROUND($D101*INDEX('🔖 배합비 참조'!$B$2:$CE$83,MATCH("완두배기",'🔖 배합비 참조'!$A$2:$A$83,0),MATCH($C101,'🔖 배합비 참조'!$B$1:$CE$1,0))/100,0),""))),"")</f>
        <v>0</v>
      </c>
      <c r="BK101" s="39" t="n">
        <f aca="false">IFERROR(IF($C101="","",IF($D101="","",IFERROR(ROUND($D101*INDEX('🔖 배합비 참조'!$B$2:$CE$83,MATCH("우유(국내산)",'🔖 배합비 참조'!$A$2:$A$83,0),MATCH($C101,'🔖 배합비 참조'!$B$1:$CE$1,0))/100,0),""))),"")</f>
        <v>0</v>
      </c>
      <c r="BL101" s="39" t="n">
        <f aca="false">IFERROR(IF($C101="","",IF($D101="","",IFERROR(ROUND($D101*INDEX('🔖 배합비 참조'!$B$2:$CE$83,MATCH("자색고구마가루(중국산)",'🔖 배합비 참조'!$A$2:$A$83,0),MATCH($C101,'🔖 배합비 참조'!$B$1:$CE$1,0))/100,0),""))),"")</f>
        <v>0</v>
      </c>
      <c r="BM101" s="39" t="n">
        <f aca="false">IFERROR(IF($C101="","",IF($D101="","",IFERROR(ROUND($D101*INDEX('🔖 배합비 참조'!$B$2:$CE$83,MATCH("자연치즈(체다치즈)",'🔖 배합비 참조'!$A$2:$A$83,0),MATCH($C101,'🔖 배합비 참조'!$B$1:$CE$1,0))/100,0),""))),"")</f>
        <v>0</v>
      </c>
      <c r="BN101" s="39" t="n">
        <f aca="false">IFERROR(IF($C101="","",IF($D101="","",IFERROR(ROUND($D101*INDEX('🔖 배합비 참조'!$B$2:$CE$83,MATCH("정제수",'🔖 배합비 참조'!$A$2:$A$83,0),MATCH($C101,'🔖 배합비 참조'!$B$1:$CE$1,0))/100,0),""))),"")</f>
        <v>10</v>
      </c>
      <c r="BO101" s="39" t="n">
        <f aca="false">IFERROR(IF($C101="","",IF($D101="","",IFERROR(ROUND($D101*INDEX('🔖 배합비 참조'!$B$2:$CE$83,MATCH("젤라틴",'🔖 배합비 참조'!$A$2:$A$83,0),MATCH($C101,'🔖 배합비 참조'!$B$1:$CE$1,0))/100,0),""))),"")</f>
        <v>0</v>
      </c>
      <c r="BP101" s="39" t="n">
        <f aca="false">IFERROR(IF($C101="","",IF($D101="","",IFERROR(ROUND($D101*INDEX('🔖 배합비 참조'!$B$2:$CE$83,MATCH("조림류(백옥앙금)",'🔖 배합비 참조'!$A$2:$A$83,0),MATCH($C101,'🔖 배합비 참조'!$B$1:$CE$1,0))/100,0),""))),"")</f>
        <v>0</v>
      </c>
      <c r="BQ101" s="39" t="n">
        <f aca="false">IFERROR(IF($C101="","",IF($D101="","",IFERROR(ROUND($D101*INDEX('🔖 배합비 참조'!$B$2:$CE$83,MATCH("조림류(통팥앙금)",'🔖 배합비 참조'!$A$2:$A$83,0),MATCH($C101,'🔖 배합비 참조'!$B$1:$CE$1,0))/100,0),""))),"")</f>
        <v>0</v>
      </c>
      <c r="BR101" s="39" t="n">
        <f aca="false">IFERROR(IF($C101="","",IF($D101="","",IFERROR(ROUND($D101*INDEX('🔖 배합비 참조'!$B$2:$CE$83,MATCH("준초콜릿(외국산)",'🔖 배합비 참조'!$A$2:$A$83,0),MATCH($C101,'🔖 배합비 참조'!$B$1:$CE$1,0))/100,0),""))),"")</f>
        <v>0</v>
      </c>
      <c r="BS101" s="39" t="n">
        <f aca="false">IFERROR(IF($C101="","",IF($D101="","",IFERROR(ROUND($D101*INDEX('🔖 배합비 참조'!$B$2:$CE$83,MATCH("중력분",'🔖 배합비 참조'!$A$2:$A$83,0),MATCH($C101,'🔖 배합비 참조'!$B$1:$CE$1,0))/100,0),""))),"")</f>
        <v>0</v>
      </c>
      <c r="BT101" s="39" t="n">
        <f aca="false">IFERROR(IF($C101="","",IF($D101="","",IFERROR(ROUND($D101*INDEX('🔖 배합비 참조'!$B$2:$CE$83,MATCH("참깨(인도산,나이지리아산,탄자니아산,미얀마산)",'🔖 배합비 참조'!$A$2:$A$83,0),MATCH($C101,'🔖 배합비 참조'!$B$1:$CE$1,0))/100,0),""))),"")</f>
        <v>0</v>
      </c>
      <c r="BU101" s="39" t="n">
        <f aca="false">IFERROR(IF($C101="","",IF($D101="","",IFERROR(ROUND($D101*INDEX('🔖 배합비 참조'!$B$2:$CE$83,MATCH("찹쌀(국내산)",'🔖 배합비 참조'!$A$2:$A$83,0),MATCH($C101,'🔖 배합비 참조'!$B$1:$CE$1,0))/100,0),""))),"")</f>
        <v>0</v>
      </c>
      <c r="BV101" s="39" t="n">
        <f aca="false">IFERROR(IF($C101="","",IF($D101="","",IFERROR(ROUND($D101*INDEX('🔖 배합비 참조'!$B$2:$CE$83,MATCH("천일염",'🔖 배합비 참조'!$A$2:$A$83,0),MATCH($C101,'🔖 배합비 참조'!$B$1:$CE$1,0))/100,0),""))),"")</f>
        <v>1</v>
      </c>
      <c r="BW101" s="39" t="n">
        <f aca="false">IFERROR(IF($C101="","",IF($D101="","",IFERROR(ROUND($D101*INDEX('🔖 배합비 참조'!$B$2:$CE$83,MATCH("치즈 [크림치즈]",'🔖 배합비 참조'!$A$2:$A$83,0),MATCH($C101,'🔖 배합비 참조'!$B$1:$CE$1,0))/100,0),""))),"")</f>
        <v>0</v>
      </c>
      <c r="BX101" s="39" t="n">
        <f aca="false">IFERROR(IF($C101="","",IF($D101="","",IFERROR(ROUND($D101*INDEX('🔖 배합비 참조'!$B$2:$CE$83,MATCH("코코아가공품류(코코아분말)",'🔖 배합비 참조'!$A$2:$A$83,0),MATCH($C101,'🔖 배합비 참조'!$B$1:$CE$1,0))/100,0),""))),"")</f>
        <v>0</v>
      </c>
      <c r="BY101" s="39" t="n">
        <f aca="false">IFERROR(IF($C101="","",IF($D101="","",IFERROR(ROUND($D101*INDEX('🔖 배합비 참조'!$B$2:$CE$83,MATCH("콩기름(대두유)",'🔖 배합비 참조'!$A$2:$A$83,0),MATCH($C101,'🔖 배합비 참조'!$B$1:$CE$1,0))/100,0),""))),"")</f>
        <v>0</v>
      </c>
      <c r="BZ101" s="39" t="n">
        <f aca="false">IFERROR(IF($C101="","",IF($D101="","",IFERROR(ROUND($D101*INDEX('🔖 배합비 참조'!$B$2:$CE$83,MATCH("해바라기씨앗",'🔖 배합비 참조'!$A$2:$A$83,0),MATCH($C101,'🔖 배합비 참조'!$B$1:$CE$1,0))/100,0),""))),"")</f>
        <v>0</v>
      </c>
      <c r="CA101" s="39" t="n">
        <f aca="false">IFERROR(IF($C101="","",IF($D101="","",IFERROR(ROUND($D101*INDEX('🔖 배합비 참조'!$B$2:$CE$83,MATCH("현미(국내산)",'🔖 배합비 참조'!$A$2:$A$83,0),MATCH($C101,'🔖 배합비 참조'!$B$1:$CE$1,0))/100,0),""))),"")</f>
        <v>0</v>
      </c>
      <c r="CB101" s="39" t="n">
        <f aca="false">IFERROR(IF($C101="","",IF($D101="","",IFERROR(ROUND($D101*INDEX('🔖 배합비 참조'!$B$2:$CE$83,MATCH("현미멥쌀(국내산)",'🔖 배합비 참조'!$A$2:$A$83,0),MATCH($C101,'🔖 배합비 참조'!$B$1:$CE$1,0))/100,0),""))),"")</f>
        <v>0</v>
      </c>
      <c r="CC101" s="39" t="n">
        <f aca="false">IFERROR(IF($C101="","",IF($D101="","",IFERROR(ROUND($D101*INDEX('🔖 배합비 참조'!$B$2:$CE$83,MATCH("호두분태(미국산)",'🔖 배합비 참조'!$A$2:$A$83,0),MATCH($C101,'🔖 배합비 참조'!$B$1:$CE$1,0))/100,0),""))),"")</f>
        <v>0</v>
      </c>
      <c r="CD101" s="39" t="n">
        <f aca="false">IFERROR(IF($C101="","",IF($D101="","",IFERROR(ROUND($D101*INDEX('🔖 배합비 참조'!$B$2:$CE$83,MATCH("호박씨앗(외국산)",'🔖 배합비 참조'!$A$2:$A$83,0),MATCH($C101,'🔖 배합비 참조'!$B$1:$CE$1,0))/100,0),""))),"")</f>
        <v>0</v>
      </c>
      <c r="CE101" s="39" t="n">
        <f aca="false">IFERROR(IF($C101="","",IF($D101="","",IFERROR(ROUND($D101*INDEX('🔖 배합비 참조'!$B$2:$CE$83,MATCH("혼합제제(떡용에스텔)",'🔖 배합비 참조'!$A$2:$A$83,0),MATCH($C101,'🔖 배합비 참조'!$B$1:$CE$1,0))/100,0),""))),"")</f>
        <v>0</v>
      </c>
      <c r="CF101" s="39" t="n">
        <f aca="false">IFERROR(IF($C101="","",IF($D101="","",IFERROR(ROUND($D101*INDEX('🔖 배합비 참조'!$B$2:$CE$83,MATCH("혼합제제(스테비아)",'🔖 배합비 참조'!$A$2:$A$83,0),MATCH($C101,'🔖 배합비 참조'!$B$1:$CE$1,0))/100,0),""))),"")</f>
        <v>0</v>
      </c>
      <c r="CG101" s="39" t="n">
        <f aca="false">IFERROR(IF($C101="","",IF($D101="","",IFERROR(ROUND($D101*INDEX('🔖 배합비 참조'!$B$2:$CE$83,MATCH("화이트초콜릿",'🔖 배합비 참조'!$A$2:$A$83,0),MATCH($C101,'🔖 배합비 참조'!$B$1:$CE$1,0))/100,0),""))),"")</f>
        <v>0</v>
      </c>
      <c r="CH101" s="39" t="n">
        <f aca="false">IFERROR(IF($C101="","",IF($D101="","",IFERROR(ROUND($D101*INDEX('🔖 배합비 참조'!$B$2:$CE$83,MATCH("흑미찹쌀(국내산)",'🔖 배합비 참조'!$A$2:$A$83,0),MATCH($C101,'🔖 배합비 참조'!$B$1:$CE$1,0))/100,0),""))),"")</f>
        <v>0</v>
      </c>
      <c r="CI101" s="39" t="n">
        <f aca="false">IFERROR(IF($C101="","",IF($D101="","",IFERROR(ROUND($D101*INDEX('🔖 배합비 참조'!$B$2:$CE$83,MATCH("찰옥수수전분(미국산)",'🔖 배합비 참조'!$A$2:$A$83,0),MATCH($C101,'🔖 배합비 참조'!$B$1:$CE$1,0))/100,0),""))),"")</f>
        <v>0</v>
      </c>
      <c r="CJ101" s="40"/>
      <c r="CL101" s="1" t="s">
        <v>239</v>
      </c>
    </row>
    <row r="102" customFormat="false" ht="18" hidden="false" customHeight="true" outlineLevel="0" collapsed="false">
      <c r="A102" s="41" t="n">
        <v>98</v>
      </c>
      <c r="B102" s="36" t="n">
        <v>45994</v>
      </c>
      <c r="C102" s="37" t="s">
        <v>184</v>
      </c>
      <c r="D102" s="38" t="n">
        <v>75</v>
      </c>
      <c r="E102" s="17"/>
      <c r="F102" s="17"/>
      <c r="G102" s="42" t="n">
        <f aca="false">IFERROR(IF($C102="","",IF($D102="","",IFERROR(ROUND($D102*INDEX('🔖 배합비 참조'!$B$2:$CE$83,MATCH("간장",'🔖 배합비 참조'!$A$2:$A$83,0),MATCH($C102,'🔖 배합비 참조'!$B$1:$CE$1,0))/100,0),""))),"")</f>
        <v>0</v>
      </c>
      <c r="H102" s="42" t="n">
        <f aca="false">IFERROR(IF($C102="","",IF($D102="","",IFERROR(ROUND($D102*INDEX('🔖 배합비 참조'!$B$2:$CE$83,MATCH("강낭콩((울타리콩))",'🔖 배합비 참조'!$A$2:$A$83,0),MATCH($C102,'🔖 배합비 참조'!$B$1:$CE$1,0))/100,0),""))),"")</f>
        <v>0</v>
      </c>
      <c r="I102" s="42" t="n">
        <f aca="false">IFERROR(IF($C102="","",IF($D102="","",IFERROR(ROUND($D102*INDEX('🔖 배합비 참조'!$B$2:$CE$83,MATCH("건조딸기다이스(외국산)",'🔖 배합비 참조'!$A$2:$A$83,0),MATCH($C102,'🔖 배합비 참조'!$B$1:$CE$1,0))/100,0),""))),"")</f>
        <v>0</v>
      </c>
      <c r="J102" s="42" t="n">
        <f aca="false">IFERROR(IF($C102="","",IF($D102="","",IFERROR(ROUND($D102*INDEX('🔖 배합비 참조'!$B$2:$CE$83,MATCH("건포도",'🔖 배합비 참조'!$A$2:$A$83,0),MATCH($C102,'🔖 배합비 참조'!$B$1:$CE$1,0))/100,0),""))),"")</f>
        <v>0</v>
      </c>
      <c r="K102" s="42" t="n">
        <f aca="false">IFERROR(IF($C102="","",IF($D102="","",IFERROR(ROUND($D102*INDEX('🔖 배합비 참조'!$B$2:$CE$83,MATCH("건호박채(중국산)",'🔖 배합비 참조'!$A$2:$A$83,0),MATCH($C102,'🔖 배합비 참조'!$B$1:$CE$1,0))/100,0),""))),"")</f>
        <v>0</v>
      </c>
      <c r="L102" s="42" t="n">
        <f aca="false">IFERROR(IF($C102="","",IF($D102="","",IFERROR(ROUND($D102*INDEX('🔖 배합비 참조'!$B$2:$CE$83,MATCH("검정깨(흑임자)",'🔖 배합비 참조'!$A$2:$A$83,0),MATCH($C102,'🔖 배합비 참조'!$B$1:$CE$1,0))/100,0),""))),"")</f>
        <v>0</v>
      </c>
      <c r="M102" s="42" t="n">
        <f aca="false">IFERROR(IF($C102="","",IF($D102="","",IFERROR(ROUND($D102*INDEX('🔖 배합비 참조'!$B$2:$CE$83,MATCH("검정콩",'🔖 배합비 참조'!$A$2:$A$83,0),MATCH($C102,'🔖 배합비 참조'!$B$1:$CE$1,0))/100,0),""))),"")</f>
        <v>0</v>
      </c>
      <c r="N102" s="42" t="n">
        <f aca="false">IFERROR(IF($C102="","",IF($D102="","",IFERROR(ROUND($D102*INDEX('🔖 배합비 참조'!$B$2:$CE$83,MATCH("계피가루",'🔖 배합비 참조'!$A$2:$A$83,0),MATCH($C102,'🔖 배합비 참조'!$B$1:$CE$1,0))/100,0),""))),"")</f>
        <v>0</v>
      </c>
      <c r="O102" s="42" t="n">
        <f aca="false">IFERROR(IF($C102="","",IF($D102="","",IFERROR(ROUND($D102*INDEX('🔖 배합비 참조'!$B$2:$CE$83,MATCH("고구마가루",'🔖 배합비 참조'!$A$2:$A$83,0),MATCH($C102,'🔖 배합비 참조'!$B$1:$CE$1,0))/100,0),""))),"")</f>
        <v>0</v>
      </c>
      <c r="P102" s="42" t="n">
        <f aca="false">IFERROR(IF($C102="","",IF($D102="","",IFERROR(ROUND($D102*INDEX('🔖 배합비 참조'!$B$2:$CE$83,MATCH("고구마무스",'🔖 배합비 참조'!$A$2:$A$83,0),MATCH($C102,'🔖 배합비 참조'!$B$1:$CE$1,0))/100,0),""))),"")</f>
        <v>0</v>
      </c>
      <c r="Q102" s="42" t="n">
        <f aca="false">IFERROR(IF($C102="","",IF($D102="","",IFERROR(ROUND($D102*INDEX('🔖 배합비 참조'!$B$2:$CE$83,MATCH("고려엉겅퀴((곤드레)국내산)",'🔖 배합비 참조'!$A$2:$A$83,0),MATCH($C102,'🔖 배합비 참조'!$B$1:$CE$1,0))/100,0),""))),"")</f>
        <v>0</v>
      </c>
      <c r="R102" s="42" t="n">
        <f aca="false">IFERROR(IF($C102="","",IF($D102="","",IFERROR(ROUND($D102*INDEX('🔖 배합비 참조'!$B$2:$CE$83,MATCH("기타가공품(복분자가루)",'🔖 배합비 참조'!$A$2:$A$83,0),MATCH($C102,'🔖 배합비 참조'!$B$1:$CE$1,0))/100,0),""))),"")</f>
        <v>0</v>
      </c>
      <c r="S102" s="42" t="n">
        <f aca="false">IFERROR(IF($C102="","",IF($D102="","",IFERROR(ROUND($D102*INDEX('🔖 배합비 참조'!$B$2:$CE$83,MATCH("기타가공품(슈퍼소프트엠)",'🔖 배합비 참조'!$A$2:$A$83,0),MATCH($C102,'🔖 배합비 참조'!$B$1:$CE$1,0))/100,0),""))),"")</f>
        <v>0</v>
      </c>
      <c r="T102" s="42" t="n">
        <f aca="false">IFERROR(IF($C102="","",IF($D102="","",IFERROR(ROUND($D102*INDEX('🔖 배합비 참조'!$B$2:$CE$83,MATCH("기타가공품(파인소프트 E-티)",'🔖 배합비 참조'!$A$2:$A$83,0),MATCH($C102,'🔖 배합비 참조'!$B$1:$CE$1,0))/100,0),""))),"")</f>
        <v>0</v>
      </c>
      <c r="U102" s="42" t="n">
        <f aca="false">IFERROR(IF($C102="","",IF($D102="","",IFERROR(ROUND($D102*INDEX('🔖 배합비 참조'!$B$2:$CE$83,MATCH("기타가공품(프리미엄카스테라가루)",'🔖 배합비 참조'!$A$2:$A$83,0),MATCH($C102,'🔖 배합비 참조'!$B$1:$CE$1,0))/100,0),""))),"")</f>
        <v>0</v>
      </c>
      <c r="V102" s="42" t="n">
        <f aca="false">IFERROR(IF($C102="","",IF($D102="","",IFERROR(ROUND($D102*INDEX('🔖 배합비 참조'!$B$2:$CE$83,MATCH("기타가공품(흑임자가루)",'🔖 배합비 참조'!$A$2:$A$83,0),MATCH($C102,'🔖 배합비 참조'!$B$1:$CE$1,0))/100,0),""))),"")</f>
        <v>0</v>
      </c>
      <c r="W102" s="42" t="n">
        <f aca="false">IFERROR(IF($C102="","",IF($D102="","",IFERROR(ROUND($D102*INDEX('🔖 배합비 참조'!$B$2:$CE$83,MATCH("기타설탕(흑설탕)",'🔖 배합비 참조'!$A$2:$A$83,0),MATCH($C102,'🔖 배합비 참조'!$B$1:$CE$1,0))/100,0),""))),"")</f>
        <v>0</v>
      </c>
      <c r="X102" s="42" t="n">
        <f aca="false">IFERROR(IF($C102="","",IF($D102="","",IFERROR(ROUND($D102*INDEX('🔖 배합비 참조'!$B$2:$CE$83,MATCH("냉동쑥(국내산)",'🔖 배합비 참조'!$A$2:$A$83,0),MATCH($C102,'🔖 배합비 참조'!$B$1:$CE$1,0))/100,0),""))),"")</f>
        <v>0</v>
      </c>
      <c r="Y102" s="42" t="n">
        <f aca="false">IFERROR(IF($C102="","",IF($D102="","",IFERROR(ROUND($D102*INDEX('🔖 배합비 참조'!$B$2:$CE$83,MATCH("냉동증숙고구마(중국산)",'🔖 배합비 참조'!$A$2:$A$83,0),MATCH($C102,'🔖 배합비 참조'!$B$1:$CE$1,0))/100,0),""))),"")</f>
        <v>0</v>
      </c>
      <c r="Z102" s="42" t="n">
        <f aca="false">IFERROR(IF($C102="","",IF($D102="","",IFERROR(ROUND($D102*INDEX('🔖 배합비 참조'!$B$2:$CE$83,MATCH("녹차가루",'🔖 배합비 참조'!$A$2:$A$83,0),MATCH($C102,'🔖 배합비 참조'!$B$1:$CE$1,0))/100,0),""))),"")</f>
        <v>0</v>
      </c>
      <c r="AA102" s="42" t="n">
        <f aca="false">IFERROR(IF($C102="","",IF($D102="","",IFERROR(ROUND($D102*INDEX('🔖 배합비 참조'!$B$2:$CE$83,MATCH("다크초콜릿 컴파운드칩",'🔖 배합비 참조'!$A$2:$A$83,0),MATCH($C102,'🔖 배합비 참조'!$B$1:$CE$1,0))/100,0),""))),"")</f>
        <v>0</v>
      </c>
      <c r="AB102" s="42" t="n">
        <f aca="false">IFERROR(IF($C102="","",IF($D102="","",IFERROR(ROUND($D102*INDEX('🔖 배합비 참조'!$B$2:$CE$83,MATCH("단호박분말(중국산)",'🔖 배합비 참조'!$A$2:$A$83,0),MATCH($C102,'🔖 배합비 참조'!$B$1:$CE$1,0))/100,0),""))),"")</f>
        <v>0</v>
      </c>
      <c r="AC102" s="42" t="n">
        <f aca="false">IFERROR(IF($C102="","",IF($D102="","",IFERROR(ROUND($D102*INDEX('🔖 배합비 참조'!$B$2:$CE$83,MATCH("당류가공품(단호박농축액)",'🔖 배합비 참조'!$A$2:$A$83,0),MATCH($C102,'🔖 배합비 참조'!$B$1:$CE$1,0))/100,0),""))),"")</f>
        <v>0</v>
      </c>
      <c r="AD102" s="42" t="n">
        <f aca="false">IFERROR(IF($C102="","",IF($D102="","",IFERROR(ROUND($D102*INDEX('🔖 배합비 참조'!$B$2:$CE$83,MATCH("당류가공품(알룰로스,에리스리톨,스테비올배당체혼합)",'🔖 배합비 참조'!$A$2:$A$83,0),MATCH($C102,'🔖 배합비 참조'!$B$1:$CE$1,0))/100,0),""))),"")</f>
        <v>0</v>
      </c>
      <c r="AE102" s="42" t="n">
        <f aca="false">IFERROR(IF($C102="","",IF($D102="","",IFERROR(ROUND($D102*INDEX('🔖 배합비 참조'!$B$2:$CE$83,MATCH("당류가공품(알룰로스제로파우더)",'🔖 배합비 참조'!$A$2:$A$83,0),MATCH($C102,'🔖 배합비 참조'!$B$1:$CE$1,0))/100,0),""))),"")</f>
        <v>0</v>
      </c>
      <c r="AF102" s="42" t="n">
        <f aca="false">IFERROR(IF($C102="","",IF($D102="","",IFERROR(ROUND($D102*INDEX('🔖 배합비 참조'!$B$2:$CE$83,MATCH("당절임(완두배기)",'🔖 배합비 참조'!$A$2:$A$83,0),MATCH($C102,'🔖 배합비 참조'!$B$1:$CE$1,0))/100,0),""))),"")</f>
        <v>0</v>
      </c>
      <c r="AG102" s="42" t="n">
        <f aca="false">IFERROR(IF($C102="","",IF($D102="","",IFERROR(ROUND($D102*INDEX('🔖 배합비 참조'!$B$2:$CE$83,MATCH("대추농축액",'🔖 배합비 참조'!$A$2:$A$83,0),MATCH($C102,'🔖 배합비 참조'!$B$1:$CE$1,0))/100,0),""))),"")</f>
        <v>0</v>
      </c>
      <c r="AH102" s="42" t="n">
        <f aca="false">IFERROR(IF($C102="","",IF($D102="","",IFERROR(ROUND($D102*INDEX('🔖 배합비 참조'!$B$2:$CE$83,MATCH("대추채(국내산)",'🔖 배합비 참조'!$A$2:$A$83,0),MATCH($C102,'🔖 배합비 참조'!$B$1:$CE$1,0))/100,0),""))),"")</f>
        <v>0</v>
      </c>
      <c r="AI102" s="42" t="n">
        <f aca="false">IFERROR(IF($C102="","",IF($D102="","",IFERROR(ROUND($D102*INDEX('🔖 배합비 참조'!$B$2:$CE$83,MATCH("동부(미얀마산)",'🔖 배합비 참조'!$A$2:$A$83,0),MATCH($C102,'🔖 배합비 참조'!$B$1:$CE$1,0))/100,0),""))),"")</f>
        <v>0</v>
      </c>
      <c r="AJ102" s="42" t="n">
        <f aca="false">IFERROR(IF($C102="","",IF($D102="","",IFERROR(ROUND($D102*INDEX('🔖 배합비 참조'!$B$2:$CE$83,MATCH("두류가공품(백옥앙금)",'🔖 배합비 참조'!$A$2:$A$83,0),MATCH($C102,'🔖 배합비 참조'!$B$1:$CE$1,0))/100,0),""))),"")</f>
        <v>0</v>
      </c>
      <c r="AK102" s="42" t="n">
        <f aca="false">IFERROR(IF($C102="","",IF($D102="","",IFERROR(ROUND($D102*INDEX('🔖 배합비 참조'!$B$2:$CE$83,MATCH("두류가공품(콩고물)",'🔖 배합비 참조'!$A$2:$A$83,0),MATCH($C102,'🔖 배합비 참조'!$B$1:$CE$1,0))/100,0),""))),"")</f>
        <v>0</v>
      </c>
      <c r="AL102" s="42" t="n">
        <f aca="false">IFERROR(IF($C102="","",IF($D102="","",IFERROR(ROUND($D102*INDEX('🔖 배합비 참조'!$B$2:$CE$83,MATCH("두류가공품(통팥고물)",'🔖 배합비 참조'!$A$2:$A$83,0),MATCH($C102,'🔖 배합비 참조'!$B$1:$CE$1,0))/100,0),""))),"")</f>
        <v>0</v>
      </c>
      <c r="AM102" s="42" t="n">
        <f aca="false">IFERROR(IF($C102="","",IF($D102="","",IFERROR(ROUND($D102*INDEX('🔖 배합비 참조'!$B$2:$CE$83,MATCH("딸기레진",'🔖 배합비 참조'!$A$2:$A$83,0),MATCH($C102,'🔖 배합비 참조'!$B$1:$CE$1,0))/100,0),""))),"")</f>
        <v>0</v>
      </c>
      <c r="AN102" s="42" t="n">
        <f aca="false">IFERROR(IF($C102="","",IF($D102="","",IFERROR(ROUND($D102*INDEX('🔖 배합비 참조'!$B$2:$CE$83,MATCH("딸기분말(스트로우베리에이드(분말))",'🔖 배합비 참조'!$A$2:$A$83,0),MATCH($C102,'🔖 배합비 참조'!$B$1:$CE$1,0))/100,0),""))),"")</f>
        <v>0</v>
      </c>
      <c r="AO102" s="42" t="n">
        <f aca="false">IFERROR(IF($C102="","",IF($D102="","",IFERROR(ROUND($D102*INDEX('🔖 배합비 참조'!$B$2:$CE$83,MATCH("마스카포네치즈",'🔖 배합비 참조'!$A$2:$A$83,0),MATCH($C102,'🔖 배합비 참조'!$B$1:$CE$1,0))/100,0),""))),"")</f>
        <v>0</v>
      </c>
      <c r="AP102" s="42" t="n">
        <f aca="false">IFERROR(IF($C102="","",IF($D102="","",IFERROR(ROUND($D102*INDEX('🔖 배합비 참조'!$B$2:$CE$83,MATCH("마카다미아분태(호주산)",'🔖 배합비 참조'!$A$2:$A$83,0),MATCH($C102,'🔖 배합비 참조'!$B$1:$CE$1,0))/100,0),""))),"")</f>
        <v>0</v>
      </c>
      <c r="AQ102" s="42" t="n">
        <f aca="false">IFERROR(IF($C102="","",IF($D102="","",IFERROR(ROUND($D102*INDEX('🔖 배합비 참조'!$B$2:$CE$83,MATCH("멥쌀(국내산)",'🔖 배합비 참조'!$A$2:$A$83,0),MATCH($C102,'🔖 배합비 참조'!$B$1:$CE$1,0))/100,0),""))),"")</f>
        <v>52</v>
      </c>
      <c r="AR102" s="42" t="n">
        <f aca="false">IFERROR(IF($C102="","",IF($D102="","",IFERROR(ROUND($D102*INDEX('🔖 배합비 참조'!$B$2:$CE$83,MATCH("모시잎(국내산)",'🔖 배합비 참조'!$A$2:$A$83,0),MATCH($C102,'🔖 배합비 참조'!$B$1:$CE$1,0))/100,0),""))),"")</f>
        <v>0</v>
      </c>
      <c r="AS102" s="42" t="n">
        <f aca="false">IFERROR(IF($C102="","",IF($D102="","",IFERROR(ROUND($D102*INDEX('🔖 배합비 참조'!$B$2:$CE$83,MATCH("물엿(저당물엿)",'🔖 배합비 참조'!$A$2:$A$83,0),MATCH($C102,'🔖 배합비 참조'!$B$1:$CE$1,0))/100,0),""))),"")</f>
        <v>0</v>
      </c>
      <c r="AT102" s="42" t="n">
        <f aca="false">IFERROR(IF($C102="","",IF($D102="","",IFERROR(ROUND($D102*INDEX('🔖 배합비 참조'!$B$2:$CE$83,MATCH("밤다이스",'🔖 배합비 참조'!$A$2:$A$83,0),MATCH($C102,'🔖 배합비 참조'!$B$1:$CE$1,0))/100,0),""))),"")</f>
        <v>0</v>
      </c>
      <c r="AU102" s="42" t="n">
        <f aca="false">IFERROR(IF($C102="","",IF($D102="","",IFERROR(ROUND($D102*INDEX('🔖 배합비 참조'!$B$2:$CE$83,MATCH("변성전분(타피오카전분)",'🔖 배합비 참조'!$A$2:$A$83,0),MATCH($C102,'🔖 배합비 참조'!$B$1:$CE$1,0))/100,0),""))),"")</f>
        <v>0</v>
      </c>
      <c r="AV102" s="42" t="n">
        <f aca="false">IFERROR(IF($C102="","",IF($D102="","",IFERROR(ROUND($D102*INDEX('🔖 배합비 참조'!$B$2:$CE$83,MATCH("복음땅콩분태",'🔖 배합비 참조'!$A$2:$A$83,0),MATCH($C102,'🔖 배합비 참조'!$B$1:$CE$1,0))/100,0),""))),"")</f>
        <v>0</v>
      </c>
      <c r="AW102" s="42" t="n">
        <f aca="false">IFERROR(IF($C102="","",IF($D102="","",IFERROR(ROUND($D102*INDEX('🔖 배합비 참조'!$B$2:$CE$83,MATCH("사양벌꿀(국내산)",'🔖 배합비 참조'!$A$2:$A$83,0),MATCH($C102,'🔖 배합비 참조'!$B$1:$CE$1,0))/100,0),""))),"")</f>
        <v>0</v>
      </c>
      <c r="AX102" s="42" t="n">
        <f aca="false">IFERROR(IF($C102="","",IF($D102="","",IFERROR(ROUND($D102*INDEX('🔖 배합비 참조'!$B$2:$CE$83,MATCH("생크림",'🔖 배합비 참조'!$A$2:$A$83,0),MATCH($C102,'🔖 배합비 참조'!$B$1:$CE$1,0))/100,0),""))),"")</f>
        <v>0</v>
      </c>
      <c r="AY102" s="42" t="n">
        <f aca="false">IFERROR(IF($C102="","",IF($D102="","",IFERROR(ROUND($D102*INDEX('🔖 배합비 참조'!$B$2:$CE$83,MATCH("서양호박(국내산,뉴질랜드산)",'🔖 배합비 참조'!$A$2:$A$83,0),MATCH($C102,'🔖 배합비 참조'!$B$1:$CE$1,0))/100,0),""))),"")</f>
        <v>0</v>
      </c>
      <c r="AZ102" s="42" t="n">
        <f aca="false">IFERROR(IF($C102="","",IF($D102="","",IFERROR(ROUND($D102*INDEX('🔖 배합비 참조'!$B$2:$CE$83,MATCH("설탕",'🔖 배합비 참조'!$A$2:$A$83,0),MATCH($C102,'🔖 배합비 참조'!$B$1:$CE$1,0))/100,0),""))),"")</f>
        <v>8</v>
      </c>
      <c r="BA102" s="42" t="n">
        <f aca="false">IFERROR(IF($C102="","",IF($D102="","",IFERROR(ROUND($D102*INDEX('🔖 배합비 참조'!$B$2:$CE$83,MATCH("스트로우베리 에이드 후레쉬",'🔖 배합비 참조'!$A$2:$A$83,0),MATCH($C102,'🔖 배합비 참조'!$B$1:$CE$1,0))/100,0),""))),"")</f>
        <v>0</v>
      </c>
      <c r="BB102" s="42" t="n">
        <f aca="false">IFERROR(IF($C102="","",IF($D102="","",IFERROR(ROUND($D102*INDEX('🔖 배합비 참조'!$B$2:$CE$83,MATCH("식물성기름혼합제제(분홍)",'🔖 배합비 참조'!$A$2:$A$83,0),MATCH($C102,'🔖 배합비 참조'!$B$1:$CE$1,0))/100,0),""))),"")</f>
        <v>0</v>
      </c>
      <c r="BC102" s="42" t="n">
        <f aca="false">IFERROR(IF($C102="","",IF($D102="","",IFERROR(ROUND($D102*INDEX('🔖 배합비 참조'!$B$2:$CE$83,MATCH("식물성기름혼합제제(초록)",'🔖 배합비 참조'!$A$2:$A$83,0),MATCH($C102,'🔖 배합비 참조'!$B$1:$CE$1,0))/100,0),""))),"")</f>
        <v>0</v>
      </c>
      <c r="BD102" s="42" t="n">
        <f aca="false">IFERROR(IF($C102="","",IF($D102="","",IFERROR(ROUND($D102*INDEX('🔖 배합비 참조'!$B$2:$CE$83,MATCH("식물성기름혼합제제(황색)",'🔖 배합비 참조'!$A$2:$A$83,0),MATCH($C102,'🔖 배합비 참조'!$B$1:$CE$1,0))/100,0),""))),"")</f>
        <v>0</v>
      </c>
      <c r="BE102" s="42" t="n">
        <f aca="false">IFERROR(IF($C102="","",IF($D102="","",IFERROR(ROUND($D102*INDEX('🔖 배합비 참조'!$B$2:$CE$83,MATCH("쑥가루(국내산)",'🔖 배합비 참조'!$A$2:$A$83,0),MATCH($C102,'🔖 배합비 참조'!$B$1:$CE$1,0))/100,0),""))),"")</f>
        <v>0</v>
      </c>
      <c r="BF102" s="42" t="n">
        <f aca="false">IFERROR(IF($C102="","",IF($D102="","",IFERROR(ROUND($D102*INDEX('🔖 배합비 참조'!$B$2:$CE$83,MATCH("아몬드슬라이스",'🔖 배합비 참조'!$A$2:$A$83,0),MATCH($C102,'🔖 배합비 참조'!$B$1:$CE$1,0))/100,0),""))),"")</f>
        <v>0</v>
      </c>
      <c r="BG102" s="42" t="n">
        <f aca="false">IFERROR(IF($C102="","",IF($D102="","",IFERROR(ROUND($D102*INDEX('🔖 배합비 참조'!$B$2:$CE$83,MATCH("알룰로오스(국내산)",'🔖 배합비 참조'!$A$2:$A$83,0),MATCH($C102,'🔖 배합비 참조'!$B$1:$CE$1,0))/100,0),""))),"")</f>
        <v>0</v>
      </c>
      <c r="BH102" s="42" t="n">
        <f aca="false">IFERROR(IF($C102="","",IF($D102="","",IFERROR(ROUND($D102*INDEX('🔖 배합비 참조'!$B$2:$CE$83,MATCH("연유",'🔖 배합비 참조'!$A$2:$A$83,0),MATCH($C102,'🔖 배합비 참조'!$B$1:$CE$1,0))/100,0),""))),"")</f>
        <v>0</v>
      </c>
      <c r="BI102" s="42" t="n">
        <f aca="false">IFERROR(IF($C102="","",IF($D102="","",IFERROR(ROUND($D102*INDEX('🔖 배합비 참조'!$B$2:$CE$83,MATCH("옥수수전분",'🔖 배합비 참조'!$A$2:$A$83,0),MATCH($C102,'🔖 배합비 참조'!$B$1:$CE$1,0))/100,0),""))),"")</f>
        <v>0</v>
      </c>
      <c r="BJ102" s="42" t="n">
        <f aca="false">IFERROR(IF($C102="","",IF($D102="","",IFERROR(ROUND($D102*INDEX('🔖 배합비 참조'!$B$2:$CE$83,MATCH("완두배기",'🔖 배합비 참조'!$A$2:$A$83,0),MATCH($C102,'🔖 배합비 참조'!$B$1:$CE$1,0))/100,0),""))),"")</f>
        <v>0</v>
      </c>
      <c r="BK102" s="42" t="n">
        <f aca="false">IFERROR(IF($C102="","",IF($D102="","",IFERROR(ROUND($D102*INDEX('🔖 배합비 참조'!$B$2:$CE$83,MATCH("우유(국내산)",'🔖 배합비 참조'!$A$2:$A$83,0),MATCH($C102,'🔖 배합비 참조'!$B$1:$CE$1,0))/100,0),""))),"")</f>
        <v>7</v>
      </c>
      <c r="BL102" s="42" t="n">
        <f aca="false">IFERROR(IF($C102="","",IF($D102="","",IFERROR(ROUND($D102*INDEX('🔖 배합비 참조'!$B$2:$CE$83,MATCH("자색고구마가루(중국산)",'🔖 배합비 참조'!$A$2:$A$83,0),MATCH($C102,'🔖 배합비 참조'!$B$1:$CE$1,0))/100,0),""))),"")</f>
        <v>0</v>
      </c>
      <c r="BM102" s="42" t="n">
        <f aca="false">IFERROR(IF($C102="","",IF($D102="","",IFERROR(ROUND($D102*INDEX('🔖 배합비 참조'!$B$2:$CE$83,MATCH("자연치즈(체다치즈)",'🔖 배합비 참조'!$A$2:$A$83,0),MATCH($C102,'🔖 배합비 참조'!$B$1:$CE$1,0))/100,0),""))),"")</f>
        <v>0</v>
      </c>
      <c r="BN102" s="42" t="n">
        <f aca="false">IFERROR(IF($C102="","",IF($D102="","",IFERROR(ROUND($D102*INDEX('🔖 배합비 참조'!$B$2:$CE$83,MATCH("정제수",'🔖 배합비 참조'!$A$2:$A$83,0),MATCH($C102,'🔖 배합비 참조'!$B$1:$CE$1,0))/100,0),""))),"")</f>
        <v>7</v>
      </c>
      <c r="BO102" s="42" t="n">
        <f aca="false">IFERROR(IF($C102="","",IF($D102="","",IFERROR(ROUND($D102*INDEX('🔖 배합비 참조'!$B$2:$CE$83,MATCH("젤라틴",'🔖 배합비 참조'!$A$2:$A$83,0),MATCH($C102,'🔖 배합비 참조'!$B$1:$CE$1,0))/100,0),""))),"")</f>
        <v>0</v>
      </c>
      <c r="BP102" s="42" t="n">
        <f aca="false">IFERROR(IF($C102="","",IF($D102="","",IFERROR(ROUND($D102*INDEX('🔖 배합비 참조'!$B$2:$CE$83,MATCH("조림류(백옥앙금)",'🔖 배합비 참조'!$A$2:$A$83,0),MATCH($C102,'🔖 배합비 참조'!$B$1:$CE$1,0))/100,0),""))),"")</f>
        <v>0</v>
      </c>
      <c r="BQ102" s="42" t="n">
        <f aca="false">IFERROR(IF($C102="","",IF($D102="","",IFERROR(ROUND($D102*INDEX('🔖 배합비 참조'!$B$2:$CE$83,MATCH("조림류(통팥앙금)",'🔖 배합비 참조'!$A$2:$A$83,0),MATCH($C102,'🔖 배합비 참조'!$B$1:$CE$1,0))/100,0),""))),"")</f>
        <v>0</v>
      </c>
      <c r="BR102" s="42" t="n">
        <f aca="false">IFERROR(IF($C102="","",IF($D102="","",IFERROR(ROUND($D102*INDEX('🔖 배합비 참조'!$B$2:$CE$83,MATCH("준초콜릿(외국산)",'🔖 배합비 참조'!$A$2:$A$83,0),MATCH($C102,'🔖 배합비 참조'!$B$1:$CE$1,0))/100,0),""))),"")</f>
        <v>0</v>
      </c>
      <c r="BS102" s="42" t="n">
        <f aca="false">IFERROR(IF($C102="","",IF($D102="","",IFERROR(ROUND($D102*INDEX('🔖 배합비 참조'!$B$2:$CE$83,MATCH("중력분",'🔖 배합비 참조'!$A$2:$A$83,0),MATCH($C102,'🔖 배합비 참조'!$B$1:$CE$1,0))/100,0),""))),"")</f>
        <v>0</v>
      </c>
      <c r="BT102" s="42" t="n">
        <f aca="false">IFERROR(IF($C102="","",IF($D102="","",IFERROR(ROUND($D102*INDEX('🔖 배합비 참조'!$B$2:$CE$83,MATCH("참깨(인도산,나이지리아산,탄자니아산,미얀마산)",'🔖 배합비 참조'!$A$2:$A$83,0),MATCH($C102,'🔖 배합비 참조'!$B$1:$CE$1,0))/100,0),""))),"")</f>
        <v>0</v>
      </c>
      <c r="BU102" s="42" t="n">
        <f aca="false">IFERROR(IF($C102="","",IF($D102="","",IFERROR(ROUND($D102*INDEX('🔖 배합비 참조'!$B$2:$CE$83,MATCH("찹쌀(국내산)",'🔖 배합비 참조'!$A$2:$A$83,0),MATCH($C102,'🔖 배합비 참조'!$B$1:$CE$1,0))/100,0),""))),"")</f>
        <v>0</v>
      </c>
      <c r="BV102" s="42" t="n">
        <f aca="false">IFERROR(IF($C102="","",IF($D102="","",IFERROR(ROUND($D102*INDEX('🔖 배합비 참조'!$B$2:$CE$83,MATCH("천일염",'🔖 배합비 참조'!$A$2:$A$83,0),MATCH($C102,'🔖 배합비 참조'!$B$1:$CE$1,0))/100,0),""))),"")</f>
        <v>1</v>
      </c>
      <c r="BW102" s="42" t="n">
        <f aca="false">IFERROR(IF($C102="","",IF($D102="","",IFERROR(ROUND($D102*INDEX('🔖 배합비 참조'!$B$2:$CE$83,MATCH("치즈 [크림치즈]",'🔖 배합비 참조'!$A$2:$A$83,0),MATCH($C102,'🔖 배합비 참조'!$B$1:$CE$1,0))/100,0),""))),"")</f>
        <v>0</v>
      </c>
      <c r="BX102" s="42" t="n">
        <f aca="false">IFERROR(IF($C102="","",IF($D102="","",IFERROR(ROUND($D102*INDEX('🔖 배합비 참조'!$B$2:$CE$83,MATCH("코코아가공품류(코코아분말)",'🔖 배합비 참조'!$A$2:$A$83,0),MATCH($C102,'🔖 배합비 참조'!$B$1:$CE$1,0))/100,0),""))),"")</f>
        <v>0</v>
      </c>
      <c r="BY102" s="42" t="n">
        <f aca="false">IFERROR(IF($C102="","",IF($D102="","",IFERROR(ROUND($D102*INDEX('🔖 배합비 참조'!$B$2:$CE$83,MATCH("콩기름(대두유)",'🔖 배합비 참조'!$A$2:$A$83,0),MATCH($C102,'🔖 배합비 참조'!$B$1:$CE$1,0))/100,0),""))),"")</f>
        <v>0</v>
      </c>
      <c r="BZ102" s="42" t="n">
        <f aca="false">IFERROR(IF($C102="","",IF($D102="","",IFERROR(ROUND($D102*INDEX('🔖 배합비 참조'!$B$2:$CE$83,MATCH("해바라기씨앗",'🔖 배합비 참조'!$A$2:$A$83,0),MATCH($C102,'🔖 배합비 참조'!$B$1:$CE$1,0))/100,0),""))),"")</f>
        <v>0</v>
      </c>
      <c r="CA102" s="42" t="n">
        <f aca="false">IFERROR(IF($C102="","",IF($D102="","",IFERROR(ROUND($D102*INDEX('🔖 배합비 참조'!$B$2:$CE$83,MATCH("현미(국내산)",'🔖 배합비 참조'!$A$2:$A$83,0),MATCH($C102,'🔖 배합비 참조'!$B$1:$CE$1,0))/100,0),""))),"")</f>
        <v>0</v>
      </c>
      <c r="CB102" s="42" t="n">
        <f aca="false">IFERROR(IF($C102="","",IF($D102="","",IFERROR(ROUND($D102*INDEX('🔖 배합비 참조'!$B$2:$CE$83,MATCH("현미멥쌀(국내산)",'🔖 배합비 참조'!$A$2:$A$83,0),MATCH($C102,'🔖 배합비 참조'!$B$1:$CE$1,0))/100,0),""))),"")</f>
        <v>0</v>
      </c>
      <c r="CC102" s="42" t="n">
        <f aca="false">IFERROR(IF($C102="","",IF($D102="","",IFERROR(ROUND($D102*INDEX('🔖 배합비 참조'!$B$2:$CE$83,MATCH("호두분태(미국산)",'🔖 배합비 참조'!$A$2:$A$83,0),MATCH($C102,'🔖 배합비 참조'!$B$1:$CE$1,0))/100,0),""))),"")</f>
        <v>0</v>
      </c>
      <c r="CD102" s="42" t="n">
        <f aca="false">IFERROR(IF($C102="","",IF($D102="","",IFERROR(ROUND($D102*INDEX('🔖 배합비 참조'!$B$2:$CE$83,MATCH("호박씨앗(외국산)",'🔖 배합비 참조'!$A$2:$A$83,0),MATCH($C102,'🔖 배합비 참조'!$B$1:$CE$1,0))/100,0),""))),"")</f>
        <v>0</v>
      </c>
      <c r="CE102" s="42" t="n">
        <f aca="false">IFERROR(IF($C102="","",IF($D102="","",IFERROR(ROUND($D102*INDEX('🔖 배합비 참조'!$B$2:$CE$83,MATCH("혼합제제(떡용에스텔)",'🔖 배합비 참조'!$A$2:$A$83,0),MATCH($C102,'🔖 배합비 참조'!$B$1:$CE$1,0))/100,0),""))),"")</f>
        <v>0</v>
      </c>
      <c r="CF102" s="42" t="n">
        <f aca="false">IFERROR(IF($C102="","",IF($D102="","",IFERROR(ROUND($D102*INDEX('🔖 배합비 참조'!$B$2:$CE$83,MATCH("혼합제제(스테비아)",'🔖 배합비 참조'!$A$2:$A$83,0),MATCH($C102,'🔖 배합비 참조'!$B$1:$CE$1,0))/100,0),""))),"")</f>
        <v>0</v>
      </c>
      <c r="CG102" s="42" t="n">
        <f aca="false">IFERROR(IF($C102="","",IF($D102="","",IFERROR(ROUND($D102*INDEX('🔖 배합비 참조'!$B$2:$CE$83,MATCH("화이트초콜릿",'🔖 배합비 참조'!$A$2:$A$83,0),MATCH($C102,'🔖 배합비 참조'!$B$1:$CE$1,0))/100,0),""))),"")</f>
        <v>0</v>
      </c>
      <c r="CH102" s="42" t="n">
        <f aca="false">IFERROR(IF($C102="","",IF($D102="","",IFERROR(ROUND($D102*INDEX('🔖 배합비 참조'!$B$2:$CE$83,MATCH("흑미찹쌀(국내산)",'🔖 배합비 참조'!$A$2:$A$83,0),MATCH($C102,'🔖 배합비 참조'!$B$1:$CE$1,0))/100,0),""))),"")</f>
        <v>0</v>
      </c>
      <c r="CI102" s="42" t="n">
        <f aca="false">IFERROR(IF($C102="","",IF($D102="","",IFERROR(ROUND($D102*INDEX('🔖 배합비 참조'!$B$2:$CE$83,MATCH("찰옥수수전분(미국산)",'🔖 배합비 참조'!$A$2:$A$83,0),MATCH($C102,'🔖 배합비 참조'!$B$1:$CE$1,0))/100,0),""))),"")</f>
        <v>0</v>
      </c>
      <c r="CJ102" s="40"/>
      <c r="CL102" s="1" t="s">
        <v>239</v>
      </c>
    </row>
    <row r="103" customFormat="false" ht="18" hidden="false" customHeight="true" outlineLevel="0" collapsed="false">
      <c r="A103" s="35" t="n">
        <v>99</v>
      </c>
      <c r="B103" s="36" t="n">
        <v>45994</v>
      </c>
      <c r="C103" s="37" t="s">
        <v>222</v>
      </c>
      <c r="D103" s="38" t="n">
        <v>70</v>
      </c>
      <c r="E103" s="13"/>
      <c r="F103" s="13"/>
      <c r="G103" s="39" t="n">
        <f aca="false">IFERROR(IF($C103="","",IF($D103="","",IFERROR(ROUND($D103*INDEX('🔖 배합비 참조'!$B$2:$CE$83,MATCH("간장",'🔖 배합비 참조'!$A$2:$A$83,0),MATCH($C103,'🔖 배합비 참조'!$B$1:$CE$1,0))/100,0),""))),"")</f>
        <v>0</v>
      </c>
      <c r="H103" s="39" t="n">
        <f aca="false">IFERROR(IF($C103="","",IF($D103="","",IFERROR(ROUND($D103*INDEX('🔖 배합비 참조'!$B$2:$CE$83,MATCH("강낭콩((울타리콩))",'🔖 배합비 참조'!$A$2:$A$83,0),MATCH($C103,'🔖 배합비 참조'!$B$1:$CE$1,0))/100,0),""))),"")</f>
        <v>0</v>
      </c>
      <c r="I103" s="39" t="n">
        <f aca="false">IFERROR(IF($C103="","",IF($D103="","",IFERROR(ROUND($D103*INDEX('🔖 배합비 참조'!$B$2:$CE$83,MATCH("건조딸기다이스(외국산)",'🔖 배합비 참조'!$A$2:$A$83,0),MATCH($C103,'🔖 배합비 참조'!$B$1:$CE$1,0))/100,0),""))),"")</f>
        <v>0</v>
      </c>
      <c r="J103" s="39" t="n">
        <f aca="false">IFERROR(IF($C103="","",IF($D103="","",IFERROR(ROUND($D103*INDEX('🔖 배합비 참조'!$B$2:$CE$83,MATCH("건포도",'🔖 배합비 참조'!$A$2:$A$83,0),MATCH($C103,'🔖 배합비 참조'!$B$1:$CE$1,0))/100,0),""))),"")</f>
        <v>0</v>
      </c>
      <c r="K103" s="39" t="n">
        <f aca="false">IFERROR(IF($C103="","",IF($D103="","",IFERROR(ROUND($D103*INDEX('🔖 배합비 참조'!$B$2:$CE$83,MATCH("건호박채(중국산)",'🔖 배합비 참조'!$A$2:$A$83,0),MATCH($C103,'🔖 배합비 참조'!$B$1:$CE$1,0))/100,0),""))),"")</f>
        <v>0</v>
      </c>
      <c r="L103" s="39" t="n">
        <f aca="false">IFERROR(IF($C103="","",IF($D103="","",IFERROR(ROUND($D103*INDEX('🔖 배합비 참조'!$B$2:$CE$83,MATCH("검정깨(흑임자)",'🔖 배합비 참조'!$A$2:$A$83,0),MATCH($C103,'🔖 배합비 참조'!$B$1:$CE$1,0))/100,0),""))),"")</f>
        <v>0</v>
      </c>
      <c r="M103" s="39" t="n">
        <f aca="false">IFERROR(IF($C103="","",IF($D103="","",IFERROR(ROUND($D103*INDEX('🔖 배합비 참조'!$B$2:$CE$83,MATCH("검정콩",'🔖 배합비 참조'!$A$2:$A$83,0),MATCH($C103,'🔖 배합비 참조'!$B$1:$CE$1,0))/100,0),""))),"")</f>
        <v>0</v>
      </c>
      <c r="N103" s="39" t="n">
        <f aca="false">IFERROR(IF($C103="","",IF($D103="","",IFERROR(ROUND($D103*INDEX('🔖 배합비 참조'!$B$2:$CE$83,MATCH("계피가루",'🔖 배합비 참조'!$A$2:$A$83,0),MATCH($C103,'🔖 배합비 참조'!$B$1:$CE$1,0))/100,0),""))),"")</f>
        <v>0</v>
      </c>
      <c r="O103" s="39" t="n">
        <f aca="false">IFERROR(IF($C103="","",IF($D103="","",IFERROR(ROUND($D103*INDEX('🔖 배합비 참조'!$B$2:$CE$83,MATCH("고구마가루",'🔖 배합비 참조'!$A$2:$A$83,0),MATCH($C103,'🔖 배합비 참조'!$B$1:$CE$1,0))/100,0),""))),"")</f>
        <v>0</v>
      </c>
      <c r="P103" s="39" t="n">
        <f aca="false">IFERROR(IF($C103="","",IF($D103="","",IFERROR(ROUND($D103*INDEX('🔖 배합비 참조'!$B$2:$CE$83,MATCH("고구마무스",'🔖 배합비 참조'!$A$2:$A$83,0),MATCH($C103,'🔖 배합비 참조'!$B$1:$CE$1,0))/100,0),""))),"")</f>
        <v>0</v>
      </c>
      <c r="Q103" s="39" t="n">
        <f aca="false">IFERROR(IF($C103="","",IF($D103="","",IFERROR(ROUND($D103*INDEX('🔖 배합비 참조'!$B$2:$CE$83,MATCH("고려엉겅퀴((곤드레)국내산)",'🔖 배합비 참조'!$A$2:$A$83,0),MATCH($C103,'🔖 배합비 참조'!$B$1:$CE$1,0))/100,0),""))),"")</f>
        <v>0</v>
      </c>
      <c r="R103" s="39" t="n">
        <f aca="false">IFERROR(IF($C103="","",IF($D103="","",IFERROR(ROUND($D103*INDEX('🔖 배합비 참조'!$B$2:$CE$83,MATCH("기타가공품(복분자가루)",'🔖 배합비 참조'!$A$2:$A$83,0),MATCH($C103,'🔖 배합비 참조'!$B$1:$CE$1,0))/100,0),""))),"")</f>
        <v>0</v>
      </c>
      <c r="S103" s="39" t="n">
        <f aca="false">IFERROR(IF($C103="","",IF($D103="","",IFERROR(ROUND($D103*INDEX('🔖 배합비 참조'!$B$2:$CE$83,MATCH("기타가공품(슈퍼소프트엠)",'🔖 배합비 참조'!$A$2:$A$83,0),MATCH($C103,'🔖 배합비 참조'!$B$1:$CE$1,0))/100,0),""))),"")</f>
        <v>0</v>
      </c>
      <c r="T103" s="39" t="n">
        <f aca="false">IFERROR(IF($C103="","",IF($D103="","",IFERROR(ROUND($D103*INDEX('🔖 배합비 참조'!$B$2:$CE$83,MATCH("기타가공품(파인소프트 E-티)",'🔖 배합비 참조'!$A$2:$A$83,0),MATCH($C103,'🔖 배합비 참조'!$B$1:$CE$1,0))/100,0),""))),"")</f>
        <v>0</v>
      </c>
      <c r="U103" s="39" t="n">
        <f aca="false">IFERROR(IF($C103="","",IF($D103="","",IFERROR(ROUND($D103*INDEX('🔖 배합비 참조'!$B$2:$CE$83,MATCH("기타가공품(프리미엄카스테라가루)",'🔖 배합비 참조'!$A$2:$A$83,0),MATCH($C103,'🔖 배합비 참조'!$B$1:$CE$1,0))/100,0),""))),"")</f>
        <v>5</v>
      </c>
      <c r="V103" s="39" t="n">
        <f aca="false">IFERROR(IF($C103="","",IF($D103="","",IFERROR(ROUND($D103*INDEX('🔖 배합비 참조'!$B$2:$CE$83,MATCH("기타가공품(흑임자가루)",'🔖 배합비 참조'!$A$2:$A$83,0),MATCH($C103,'🔖 배합비 참조'!$B$1:$CE$1,0))/100,0),""))),"")</f>
        <v>0</v>
      </c>
      <c r="W103" s="39" t="n">
        <f aca="false">IFERROR(IF($C103="","",IF($D103="","",IFERROR(ROUND($D103*INDEX('🔖 배합비 참조'!$B$2:$CE$83,MATCH("기타설탕(흑설탕)",'🔖 배합비 참조'!$A$2:$A$83,0),MATCH($C103,'🔖 배합비 참조'!$B$1:$CE$1,0))/100,0),""))),"")</f>
        <v>0</v>
      </c>
      <c r="X103" s="39" t="n">
        <f aca="false">IFERROR(IF($C103="","",IF($D103="","",IFERROR(ROUND($D103*INDEX('🔖 배합비 참조'!$B$2:$CE$83,MATCH("냉동쑥(국내산)",'🔖 배합비 참조'!$A$2:$A$83,0),MATCH($C103,'🔖 배합비 참조'!$B$1:$CE$1,0))/100,0),""))),"")</f>
        <v>4</v>
      </c>
      <c r="Y103" s="39" t="n">
        <f aca="false">IFERROR(IF($C103="","",IF($D103="","",IFERROR(ROUND($D103*INDEX('🔖 배합비 참조'!$B$2:$CE$83,MATCH("냉동증숙고구마(중국산)",'🔖 배합비 참조'!$A$2:$A$83,0),MATCH($C103,'🔖 배합비 참조'!$B$1:$CE$1,0))/100,0),""))),"")</f>
        <v>0</v>
      </c>
      <c r="Z103" s="39" t="n">
        <f aca="false">IFERROR(IF($C103="","",IF($D103="","",IFERROR(ROUND($D103*INDEX('🔖 배합비 참조'!$B$2:$CE$83,MATCH("녹차가루",'🔖 배합비 참조'!$A$2:$A$83,0),MATCH($C103,'🔖 배합비 참조'!$B$1:$CE$1,0))/100,0),""))),"")</f>
        <v>0</v>
      </c>
      <c r="AA103" s="39" t="n">
        <f aca="false">IFERROR(IF($C103="","",IF($D103="","",IFERROR(ROUND($D103*INDEX('🔖 배합비 참조'!$B$2:$CE$83,MATCH("다크초콜릿 컴파운드칩",'🔖 배합비 참조'!$A$2:$A$83,0),MATCH($C103,'🔖 배합비 참조'!$B$1:$CE$1,0))/100,0),""))),"")</f>
        <v>0</v>
      </c>
      <c r="AB103" s="39" t="n">
        <f aca="false">IFERROR(IF($C103="","",IF($D103="","",IFERROR(ROUND($D103*INDEX('🔖 배합비 참조'!$B$2:$CE$83,MATCH("단호박분말(중국산)",'🔖 배합비 참조'!$A$2:$A$83,0),MATCH($C103,'🔖 배합비 참조'!$B$1:$CE$1,0))/100,0),""))),"")</f>
        <v>0</v>
      </c>
      <c r="AC103" s="39" t="n">
        <f aca="false">IFERROR(IF($C103="","",IF($D103="","",IFERROR(ROUND($D103*INDEX('🔖 배합비 참조'!$B$2:$CE$83,MATCH("당류가공품(단호박농축액)",'🔖 배합비 참조'!$A$2:$A$83,0),MATCH($C103,'🔖 배합비 참조'!$B$1:$CE$1,0))/100,0),""))),"")</f>
        <v>0</v>
      </c>
      <c r="AD103" s="39" t="n">
        <f aca="false">IFERROR(IF($C103="","",IF($D103="","",IFERROR(ROUND($D103*INDEX('🔖 배합비 참조'!$B$2:$CE$83,MATCH("당류가공품(알룰로스,에리스리톨,스테비올배당체혼합)",'🔖 배합비 참조'!$A$2:$A$83,0),MATCH($C103,'🔖 배합비 참조'!$B$1:$CE$1,0))/100,0),""))),"")</f>
        <v>0</v>
      </c>
      <c r="AE103" s="39" t="n">
        <f aca="false">IFERROR(IF($C103="","",IF($D103="","",IFERROR(ROUND($D103*INDEX('🔖 배합비 참조'!$B$2:$CE$83,MATCH("당류가공품(알룰로스제로파우더)",'🔖 배합비 참조'!$A$2:$A$83,0),MATCH($C103,'🔖 배합비 참조'!$B$1:$CE$1,0))/100,0),""))),"")</f>
        <v>0</v>
      </c>
      <c r="AF103" s="39" t="n">
        <f aca="false">IFERROR(IF($C103="","",IF($D103="","",IFERROR(ROUND($D103*INDEX('🔖 배합비 참조'!$B$2:$CE$83,MATCH("당절임(완두배기)",'🔖 배합비 참조'!$A$2:$A$83,0),MATCH($C103,'🔖 배합비 참조'!$B$1:$CE$1,0))/100,0),""))),"")</f>
        <v>0</v>
      </c>
      <c r="AG103" s="39" t="n">
        <f aca="false">IFERROR(IF($C103="","",IF($D103="","",IFERROR(ROUND($D103*INDEX('🔖 배합비 참조'!$B$2:$CE$83,MATCH("대추농축액",'🔖 배합비 참조'!$A$2:$A$83,0),MATCH($C103,'🔖 배합비 참조'!$B$1:$CE$1,0))/100,0),""))),"")</f>
        <v>0</v>
      </c>
      <c r="AH103" s="39" t="n">
        <f aca="false">IFERROR(IF($C103="","",IF($D103="","",IFERROR(ROUND($D103*INDEX('🔖 배합비 참조'!$B$2:$CE$83,MATCH("대추채(국내산)",'🔖 배합비 참조'!$A$2:$A$83,0),MATCH($C103,'🔖 배합비 참조'!$B$1:$CE$1,0))/100,0),""))),"")</f>
        <v>0</v>
      </c>
      <c r="AI103" s="39" t="n">
        <f aca="false">IFERROR(IF($C103="","",IF($D103="","",IFERROR(ROUND($D103*INDEX('🔖 배합비 참조'!$B$2:$CE$83,MATCH("동부(미얀마산)",'🔖 배합비 참조'!$A$2:$A$83,0),MATCH($C103,'🔖 배합비 참조'!$B$1:$CE$1,0))/100,0),""))),"")</f>
        <v>5</v>
      </c>
      <c r="AJ103" s="39" t="n">
        <f aca="false">IFERROR(IF($C103="","",IF($D103="","",IFERROR(ROUND($D103*INDEX('🔖 배합비 참조'!$B$2:$CE$83,MATCH("두류가공품(백옥앙금)",'🔖 배합비 참조'!$A$2:$A$83,0),MATCH($C103,'🔖 배합비 참조'!$B$1:$CE$1,0))/100,0),""))),"")</f>
        <v>0</v>
      </c>
      <c r="AK103" s="39" t="n">
        <f aca="false">IFERROR(IF($C103="","",IF($D103="","",IFERROR(ROUND($D103*INDEX('🔖 배합비 참조'!$B$2:$CE$83,MATCH("두류가공품(콩고물)",'🔖 배합비 참조'!$A$2:$A$83,0),MATCH($C103,'🔖 배합비 참조'!$B$1:$CE$1,0))/100,0),""))),"")</f>
        <v>0</v>
      </c>
      <c r="AL103" s="39" t="n">
        <f aca="false">IFERROR(IF($C103="","",IF($D103="","",IFERROR(ROUND($D103*INDEX('🔖 배합비 참조'!$B$2:$CE$83,MATCH("두류가공품(통팥고물)",'🔖 배합비 참조'!$A$2:$A$83,0),MATCH($C103,'🔖 배합비 참조'!$B$1:$CE$1,0))/100,0),""))),"")</f>
        <v>0</v>
      </c>
      <c r="AM103" s="39" t="n">
        <f aca="false">IFERROR(IF($C103="","",IF($D103="","",IFERROR(ROUND($D103*INDEX('🔖 배합비 참조'!$B$2:$CE$83,MATCH("딸기레진",'🔖 배합비 참조'!$A$2:$A$83,0),MATCH($C103,'🔖 배합비 참조'!$B$1:$CE$1,0))/100,0),""))),"")</f>
        <v>0</v>
      </c>
      <c r="AN103" s="39" t="n">
        <f aca="false">IFERROR(IF($C103="","",IF($D103="","",IFERROR(ROUND($D103*INDEX('🔖 배합비 참조'!$B$2:$CE$83,MATCH("딸기분말(스트로우베리에이드(분말))",'🔖 배합비 참조'!$A$2:$A$83,0),MATCH($C103,'🔖 배합비 참조'!$B$1:$CE$1,0))/100,0),""))),"")</f>
        <v>0</v>
      </c>
      <c r="AO103" s="39" t="n">
        <f aca="false">IFERROR(IF($C103="","",IF($D103="","",IFERROR(ROUND($D103*INDEX('🔖 배합비 참조'!$B$2:$CE$83,MATCH("마스카포네치즈",'🔖 배합비 참조'!$A$2:$A$83,0),MATCH($C103,'🔖 배합비 참조'!$B$1:$CE$1,0))/100,0),""))),"")</f>
        <v>0</v>
      </c>
      <c r="AP103" s="39" t="n">
        <f aca="false">IFERROR(IF($C103="","",IF($D103="","",IFERROR(ROUND($D103*INDEX('🔖 배합비 참조'!$B$2:$CE$83,MATCH("마카다미아분태(호주산)",'🔖 배합비 참조'!$A$2:$A$83,0),MATCH($C103,'🔖 배합비 참조'!$B$1:$CE$1,0))/100,0),""))),"")</f>
        <v>0</v>
      </c>
      <c r="AQ103" s="39" t="n">
        <f aca="false">IFERROR(IF($C103="","",IF($D103="","",IFERROR(ROUND($D103*INDEX('🔖 배합비 참조'!$B$2:$CE$83,MATCH("멥쌀(국내산)",'🔖 배합비 참조'!$A$2:$A$83,0),MATCH($C103,'🔖 배합비 참조'!$B$1:$CE$1,0))/100,0),""))),"")</f>
        <v>0</v>
      </c>
      <c r="AR103" s="39" t="n">
        <f aca="false">IFERROR(IF($C103="","",IF($D103="","",IFERROR(ROUND($D103*INDEX('🔖 배합비 참조'!$B$2:$CE$83,MATCH("모시잎(국내산)",'🔖 배합비 참조'!$A$2:$A$83,0),MATCH($C103,'🔖 배합비 참조'!$B$1:$CE$1,0))/100,0),""))),"")</f>
        <v>0</v>
      </c>
      <c r="AS103" s="39" t="n">
        <f aca="false">IFERROR(IF($C103="","",IF($D103="","",IFERROR(ROUND($D103*INDEX('🔖 배합비 참조'!$B$2:$CE$83,MATCH("물엿(저당물엿)",'🔖 배합비 참조'!$A$2:$A$83,0),MATCH($C103,'🔖 배합비 참조'!$B$1:$CE$1,0))/100,0),""))),"")</f>
        <v>2</v>
      </c>
      <c r="AT103" s="39" t="n">
        <f aca="false">IFERROR(IF($C103="","",IF($D103="","",IFERROR(ROUND($D103*INDEX('🔖 배합비 참조'!$B$2:$CE$83,MATCH("밤다이스",'🔖 배합비 참조'!$A$2:$A$83,0),MATCH($C103,'🔖 배합비 참조'!$B$1:$CE$1,0))/100,0),""))),"")</f>
        <v>0</v>
      </c>
      <c r="AU103" s="39" t="n">
        <f aca="false">IFERROR(IF($C103="","",IF($D103="","",IFERROR(ROUND($D103*INDEX('🔖 배합비 참조'!$B$2:$CE$83,MATCH("변성전분(타피오카전분)",'🔖 배합비 참조'!$A$2:$A$83,0),MATCH($C103,'🔖 배합비 참조'!$B$1:$CE$1,0))/100,0),""))),"")</f>
        <v>0</v>
      </c>
      <c r="AV103" s="39" t="n">
        <f aca="false">IFERROR(IF($C103="","",IF($D103="","",IFERROR(ROUND($D103*INDEX('🔖 배합비 참조'!$B$2:$CE$83,MATCH("복음땅콩분태",'🔖 배합비 참조'!$A$2:$A$83,0),MATCH($C103,'🔖 배합비 참조'!$B$1:$CE$1,0))/100,0),""))),"")</f>
        <v>0</v>
      </c>
      <c r="AW103" s="39" t="n">
        <f aca="false">IFERROR(IF($C103="","",IF($D103="","",IFERROR(ROUND($D103*INDEX('🔖 배합비 참조'!$B$2:$CE$83,MATCH("사양벌꿀(국내산)",'🔖 배합비 참조'!$A$2:$A$83,0),MATCH($C103,'🔖 배합비 참조'!$B$1:$CE$1,0))/100,0),""))),"")</f>
        <v>0</v>
      </c>
      <c r="AX103" s="39" t="n">
        <f aca="false">IFERROR(IF($C103="","",IF($D103="","",IFERROR(ROUND($D103*INDEX('🔖 배합비 참조'!$B$2:$CE$83,MATCH("생크림",'🔖 배합비 참조'!$A$2:$A$83,0),MATCH($C103,'🔖 배합비 참조'!$B$1:$CE$1,0))/100,0),""))),"")</f>
        <v>0</v>
      </c>
      <c r="AY103" s="39" t="n">
        <f aca="false">IFERROR(IF($C103="","",IF($D103="","",IFERROR(ROUND($D103*INDEX('🔖 배합비 참조'!$B$2:$CE$83,MATCH("서양호박(국내산,뉴질랜드산)",'🔖 배합비 참조'!$A$2:$A$83,0),MATCH($C103,'🔖 배합비 참조'!$B$1:$CE$1,0))/100,0),""))),"")</f>
        <v>0</v>
      </c>
      <c r="AZ103" s="39" t="n">
        <f aca="false">IFERROR(IF($C103="","",IF($D103="","",IFERROR(ROUND($D103*INDEX('🔖 배합비 참조'!$B$2:$CE$83,MATCH("설탕",'🔖 배합비 참조'!$A$2:$A$83,0),MATCH($C103,'🔖 배합비 참조'!$B$1:$CE$1,0))/100,0),""))),"")</f>
        <v>2</v>
      </c>
      <c r="BA103" s="39" t="n">
        <f aca="false">IFERROR(IF($C103="","",IF($D103="","",IFERROR(ROUND($D103*INDEX('🔖 배합비 참조'!$B$2:$CE$83,MATCH("스트로우베리 에이드 후레쉬",'🔖 배합비 참조'!$A$2:$A$83,0),MATCH($C103,'🔖 배합비 참조'!$B$1:$CE$1,0))/100,0),""))),"")</f>
        <v>0</v>
      </c>
      <c r="BB103" s="39" t="n">
        <f aca="false">IFERROR(IF($C103="","",IF($D103="","",IFERROR(ROUND($D103*INDEX('🔖 배합비 참조'!$B$2:$CE$83,MATCH("식물성기름혼합제제(분홍)",'🔖 배합비 참조'!$A$2:$A$83,0),MATCH($C103,'🔖 배합비 참조'!$B$1:$CE$1,0))/100,0),""))),"")</f>
        <v>0</v>
      </c>
      <c r="BC103" s="39" t="n">
        <f aca="false">IFERROR(IF($C103="","",IF($D103="","",IFERROR(ROUND($D103*INDEX('🔖 배합비 참조'!$B$2:$CE$83,MATCH("식물성기름혼합제제(초록)",'🔖 배합비 참조'!$A$2:$A$83,0),MATCH($C103,'🔖 배합비 참조'!$B$1:$CE$1,0))/100,0),""))),"")</f>
        <v>0</v>
      </c>
      <c r="BD103" s="39" t="n">
        <f aca="false">IFERROR(IF($C103="","",IF($D103="","",IFERROR(ROUND($D103*INDEX('🔖 배합비 참조'!$B$2:$CE$83,MATCH("식물성기름혼합제제(황색)",'🔖 배합비 참조'!$A$2:$A$83,0),MATCH($C103,'🔖 배합비 참조'!$B$1:$CE$1,0))/100,0),""))),"")</f>
        <v>0</v>
      </c>
      <c r="BE103" s="39" t="n">
        <f aca="false">IFERROR(IF($C103="","",IF($D103="","",IFERROR(ROUND($D103*INDEX('🔖 배합비 참조'!$B$2:$CE$83,MATCH("쑥가루(국내산)",'🔖 배합비 참조'!$A$2:$A$83,0),MATCH($C103,'🔖 배합비 참조'!$B$1:$CE$1,0))/100,0),""))),"")</f>
        <v>2</v>
      </c>
      <c r="BF103" s="39" t="n">
        <f aca="false">IFERROR(IF($C103="","",IF($D103="","",IFERROR(ROUND($D103*INDEX('🔖 배합비 참조'!$B$2:$CE$83,MATCH("아몬드슬라이스",'🔖 배합비 참조'!$A$2:$A$83,0),MATCH($C103,'🔖 배합비 참조'!$B$1:$CE$1,0))/100,0),""))),"")</f>
        <v>0</v>
      </c>
      <c r="BG103" s="39" t="n">
        <f aca="false">IFERROR(IF($C103="","",IF($D103="","",IFERROR(ROUND($D103*INDEX('🔖 배합비 참조'!$B$2:$CE$83,MATCH("알룰로오스(국내산)",'🔖 배합비 참조'!$A$2:$A$83,0),MATCH($C103,'🔖 배합비 참조'!$B$1:$CE$1,0))/100,0),""))),"")</f>
        <v>0</v>
      </c>
      <c r="BH103" s="39" t="n">
        <f aca="false">IFERROR(IF($C103="","",IF($D103="","",IFERROR(ROUND($D103*INDEX('🔖 배합비 참조'!$B$2:$CE$83,MATCH("연유",'🔖 배합비 참조'!$A$2:$A$83,0),MATCH($C103,'🔖 배합비 참조'!$B$1:$CE$1,0))/100,0),""))),"")</f>
        <v>0</v>
      </c>
      <c r="BI103" s="39" t="n">
        <f aca="false">IFERROR(IF($C103="","",IF($D103="","",IFERROR(ROUND($D103*INDEX('🔖 배합비 참조'!$B$2:$CE$83,MATCH("옥수수전분",'🔖 배합비 참조'!$A$2:$A$83,0),MATCH($C103,'🔖 배합비 참조'!$B$1:$CE$1,0))/100,0),""))),"")</f>
        <v>0</v>
      </c>
      <c r="BJ103" s="39" t="n">
        <f aca="false">IFERROR(IF($C103="","",IF($D103="","",IFERROR(ROUND($D103*INDEX('🔖 배합비 참조'!$B$2:$CE$83,MATCH("완두배기",'🔖 배합비 참조'!$A$2:$A$83,0),MATCH($C103,'🔖 배합비 참조'!$B$1:$CE$1,0))/100,0),""))),"")</f>
        <v>0</v>
      </c>
      <c r="BK103" s="39" t="n">
        <f aca="false">IFERROR(IF($C103="","",IF($D103="","",IFERROR(ROUND($D103*INDEX('🔖 배합비 참조'!$B$2:$CE$83,MATCH("우유(국내산)",'🔖 배합비 참조'!$A$2:$A$83,0),MATCH($C103,'🔖 배합비 참조'!$B$1:$CE$1,0))/100,0),""))),"")</f>
        <v>0</v>
      </c>
      <c r="BL103" s="39" t="n">
        <f aca="false">IFERROR(IF($C103="","",IF($D103="","",IFERROR(ROUND($D103*INDEX('🔖 배합비 참조'!$B$2:$CE$83,MATCH("자색고구마가루(중국산)",'🔖 배합비 참조'!$A$2:$A$83,0),MATCH($C103,'🔖 배합비 참조'!$B$1:$CE$1,0))/100,0),""))),"")</f>
        <v>0</v>
      </c>
      <c r="BM103" s="39" t="n">
        <f aca="false">IFERROR(IF($C103="","",IF($D103="","",IFERROR(ROUND($D103*INDEX('🔖 배합비 참조'!$B$2:$CE$83,MATCH("자연치즈(체다치즈)",'🔖 배합비 참조'!$A$2:$A$83,0),MATCH($C103,'🔖 배합비 참조'!$B$1:$CE$1,0))/100,0),""))),"")</f>
        <v>0</v>
      </c>
      <c r="BN103" s="39" t="n">
        <f aca="false">IFERROR(IF($C103="","",IF($D103="","",IFERROR(ROUND($D103*INDEX('🔖 배합비 참조'!$B$2:$CE$83,MATCH("정제수",'🔖 배합비 참조'!$A$2:$A$83,0),MATCH($C103,'🔖 배합비 참조'!$B$1:$CE$1,0))/100,0),""))),"")</f>
        <v>8</v>
      </c>
      <c r="BO103" s="39" t="n">
        <f aca="false">IFERROR(IF($C103="","",IF($D103="","",IFERROR(ROUND($D103*INDEX('🔖 배합비 참조'!$B$2:$CE$83,MATCH("젤라틴",'🔖 배합비 참조'!$A$2:$A$83,0),MATCH($C103,'🔖 배합비 참조'!$B$1:$CE$1,0))/100,0),""))),"")</f>
        <v>0</v>
      </c>
      <c r="BP103" s="39" t="n">
        <f aca="false">IFERROR(IF($C103="","",IF($D103="","",IFERROR(ROUND($D103*INDEX('🔖 배합비 참조'!$B$2:$CE$83,MATCH("조림류(백옥앙금)",'🔖 배합비 참조'!$A$2:$A$83,0),MATCH($C103,'🔖 배합비 참조'!$B$1:$CE$1,0))/100,0),""))),"")</f>
        <v>21</v>
      </c>
      <c r="BQ103" s="39" t="n">
        <f aca="false">IFERROR(IF($C103="","",IF($D103="","",IFERROR(ROUND($D103*INDEX('🔖 배합비 참조'!$B$2:$CE$83,MATCH("조림류(통팥앙금)",'🔖 배합비 참조'!$A$2:$A$83,0),MATCH($C103,'🔖 배합비 참조'!$B$1:$CE$1,0))/100,0),""))),"")</f>
        <v>0</v>
      </c>
      <c r="BR103" s="39" t="n">
        <f aca="false">IFERROR(IF($C103="","",IF($D103="","",IFERROR(ROUND($D103*INDEX('🔖 배합비 참조'!$B$2:$CE$83,MATCH("준초콜릿(외국산)",'🔖 배합비 참조'!$A$2:$A$83,0),MATCH($C103,'🔖 배합비 참조'!$B$1:$CE$1,0))/100,0),""))),"")</f>
        <v>0</v>
      </c>
      <c r="BS103" s="39" t="n">
        <f aca="false">IFERROR(IF($C103="","",IF($D103="","",IFERROR(ROUND($D103*INDEX('🔖 배합비 참조'!$B$2:$CE$83,MATCH("중력분",'🔖 배합비 참조'!$A$2:$A$83,0),MATCH($C103,'🔖 배합비 참조'!$B$1:$CE$1,0))/100,0),""))),"")</f>
        <v>0</v>
      </c>
      <c r="BT103" s="39" t="n">
        <f aca="false">IFERROR(IF($C103="","",IF($D103="","",IFERROR(ROUND($D103*INDEX('🔖 배합비 참조'!$B$2:$CE$83,MATCH("참깨(인도산,나이지리아산,탄자니아산,미얀마산)",'🔖 배합비 참조'!$A$2:$A$83,0),MATCH($C103,'🔖 배합비 참조'!$B$1:$CE$1,0))/100,0),""))),"")</f>
        <v>0</v>
      </c>
      <c r="BU103" s="39" t="n">
        <f aca="false">IFERROR(IF($C103="","",IF($D103="","",IFERROR(ROUND($D103*INDEX('🔖 배합비 참조'!$B$2:$CE$83,MATCH("찹쌀(국내산)",'🔖 배합비 참조'!$A$2:$A$83,0),MATCH($C103,'🔖 배합비 참조'!$B$1:$CE$1,0))/100,0),""))),"")</f>
        <v>19</v>
      </c>
      <c r="BV103" s="39" t="n">
        <f aca="false">IFERROR(IF($C103="","",IF($D103="","",IFERROR(ROUND($D103*INDEX('🔖 배합비 참조'!$B$2:$CE$83,MATCH("천일염",'🔖 배합비 참조'!$A$2:$A$83,0),MATCH($C103,'🔖 배합비 참조'!$B$1:$CE$1,0))/100,0),""))),"")</f>
        <v>0</v>
      </c>
      <c r="BW103" s="39" t="n">
        <f aca="false">IFERROR(IF($C103="","",IF($D103="","",IFERROR(ROUND($D103*INDEX('🔖 배합비 참조'!$B$2:$CE$83,MATCH("치즈 [크림치즈]",'🔖 배합비 참조'!$A$2:$A$83,0),MATCH($C103,'🔖 배합비 참조'!$B$1:$CE$1,0))/100,0),""))),"")</f>
        <v>0</v>
      </c>
      <c r="BX103" s="39" t="n">
        <f aca="false">IFERROR(IF($C103="","",IF($D103="","",IFERROR(ROUND($D103*INDEX('🔖 배합비 참조'!$B$2:$CE$83,MATCH("코코아가공품류(코코아분말)",'🔖 배합비 참조'!$A$2:$A$83,0),MATCH($C103,'🔖 배합비 참조'!$B$1:$CE$1,0))/100,0),""))),"")</f>
        <v>0</v>
      </c>
      <c r="BY103" s="39" t="n">
        <f aca="false">IFERROR(IF($C103="","",IF($D103="","",IFERROR(ROUND($D103*INDEX('🔖 배합비 참조'!$B$2:$CE$83,MATCH("콩기름(대두유)",'🔖 배합비 참조'!$A$2:$A$83,0),MATCH($C103,'🔖 배합비 참조'!$B$1:$CE$1,0))/100,0),""))),"")</f>
        <v>0</v>
      </c>
      <c r="BZ103" s="39" t="n">
        <f aca="false">IFERROR(IF($C103="","",IF($D103="","",IFERROR(ROUND($D103*INDEX('🔖 배합비 참조'!$B$2:$CE$83,MATCH("해바라기씨앗",'🔖 배합비 참조'!$A$2:$A$83,0),MATCH($C103,'🔖 배합비 참조'!$B$1:$CE$1,0))/100,0),""))),"")</f>
        <v>0</v>
      </c>
      <c r="CA103" s="39" t="n">
        <f aca="false">IFERROR(IF($C103="","",IF($D103="","",IFERROR(ROUND($D103*INDEX('🔖 배합비 참조'!$B$2:$CE$83,MATCH("현미(국내산)",'🔖 배합비 참조'!$A$2:$A$83,0),MATCH($C103,'🔖 배합비 참조'!$B$1:$CE$1,0))/100,0),""))),"")</f>
        <v>0</v>
      </c>
      <c r="CB103" s="39" t="n">
        <f aca="false">IFERROR(IF($C103="","",IF($D103="","",IFERROR(ROUND($D103*INDEX('🔖 배합비 참조'!$B$2:$CE$83,MATCH("현미멥쌀(국내산)",'🔖 배합비 참조'!$A$2:$A$83,0),MATCH($C103,'🔖 배합비 참조'!$B$1:$CE$1,0))/100,0),""))),"")</f>
        <v>0</v>
      </c>
      <c r="CC103" s="39" t="n">
        <f aca="false">IFERROR(IF($C103="","",IF($D103="","",IFERROR(ROUND($D103*INDEX('🔖 배합비 참조'!$B$2:$CE$83,MATCH("호두분태(미국산)",'🔖 배합비 참조'!$A$2:$A$83,0),MATCH($C103,'🔖 배합비 참조'!$B$1:$CE$1,0))/100,0),""))),"")</f>
        <v>0</v>
      </c>
      <c r="CD103" s="39" t="n">
        <f aca="false">IFERROR(IF($C103="","",IF($D103="","",IFERROR(ROUND($D103*INDEX('🔖 배합비 참조'!$B$2:$CE$83,MATCH("호박씨앗(외국산)",'🔖 배합비 참조'!$A$2:$A$83,0),MATCH($C103,'🔖 배합비 참조'!$B$1:$CE$1,0))/100,0),""))),"")</f>
        <v>0</v>
      </c>
      <c r="CE103" s="39" t="n">
        <f aca="false">IFERROR(IF($C103="","",IF($D103="","",IFERROR(ROUND($D103*INDEX('🔖 배합비 참조'!$B$2:$CE$83,MATCH("혼합제제(떡용에스텔)",'🔖 배합비 참조'!$A$2:$A$83,0),MATCH($C103,'🔖 배합비 참조'!$B$1:$CE$1,0))/100,0),""))),"")</f>
        <v>0</v>
      </c>
      <c r="CF103" s="39" t="n">
        <f aca="false">IFERROR(IF($C103="","",IF($D103="","",IFERROR(ROUND($D103*INDEX('🔖 배합비 참조'!$B$2:$CE$83,MATCH("혼합제제(스테비아)",'🔖 배합비 참조'!$A$2:$A$83,0),MATCH($C103,'🔖 배합비 참조'!$B$1:$CE$1,0))/100,0),""))),"")</f>
        <v>0</v>
      </c>
      <c r="CG103" s="39" t="n">
        <f aca="false">IFERROR(IF($C103="","",IF($D103="","",IFERROR(ROUND($D103*INDEX('🔖 배합비 참조'!$B$2:$CE$83,MATCH("화이트초콜릿",'🔖 배합비 참조'!$A$2:$A$83,0),MATCH($C103,'🔖 배합비 참조'!$B$1:$CE$1,0))/100,0),""))),"")</f>
        <v>0</v>
      </c>
      <c r="CH103" s="39" t="n">
        <f aca="false">IFERROR(IF($C103="","",IF($D103="","",IFERROR(ROUND($D103*INDEX('🔖 배합비 참조'!$B$2:$CE$83,MATCH("흑미찹쌀(국내산)",'🔖 배합비 참조'!$A$2:$A$83,0),MATCH($C103,'🔖 배합비 참조'!$B$1:$CE$1,0))/100,0),""))),"")</f>
        <v>0</v>
      </c>
      <c r="CI103" s="39" t="n">
        <f aca="false">IFERROR(IF($C103="","",IF($D103="","",IFERROR(ROUND($D103*INDEX('🔖 배합비 참조'!$B$2:$CE$83,MATCH("찰옥수수전분(미국산)",'🔖 배합비 참조'!$A$2:$A$83,0),MATCH($C103,'🔖 배합비 참조'!$B$1:$CE$1,0))/100,0),""))),"")</f>
        <v>0</v>
      </c>
      <c r="CJ103" s="40"/>
      <c r="CL103" s="1" t="s">
        <v>239</v>
      </c>
    </row>
    <row r="104" customFormat="false" ht="18" hidden="false" customHeight="true" outlineLevel="0" collapsed="false">
      <c r="A104" s="41" t="n">
        <v>100</v>
      </c>
      <c r="B104" s="36" t="n">
        <v>45994</v>
      </c>
      <c r="C104" s="37" t="s">
        <v>221</v>
      </c>
      <c r="D104" s="38" t="n">
        <v>70</v>
      </c>
      <c r="E104" s="17"/>
      <c r="F104" s="17"/>
      <c r="G104" s="42" t="n">
        <f aca="false">IFERROR(IF($C104="","",IF($D104="","",IFERROR(ROUND($D104*INDEX('🔖 배합비 참조'!$B$2:$CE$83,MATCH("간장",'🔖 배합비 참조'!$A$2:$A$83,0),MATCH($C104,'🔖 배합비 참조'!$B$1:$CE$1,0))/100,0),""))),"")</f>
        <v>0</v>
      </c>
      <c r="H104" s="42" t="n">
        <f aca="false">IFERROR(IF($C104="","",IF($D104="","",IFERROR(ROUND($D104*INDEX('🔖 배합비 참조'!$B$2:$CE$83,MATCH("강낭콩((울타리콩))",'🔖 배합비 참조'!$A$2:$A$83,0),MATCH($C104,'🔖 배합비 참조'!$B$1:$CE$1,0))/100,0),""))),"")</f>
        <v>0</v>
      </c>
      <c r="I104" s="42" t="n">
        <f aca="false">IFERROR(IF($C104="","",IF($D104="","",IFERROR(ROUND($D104*INDEX('🔖 배합비 참조'!$B$2:$CE$83,MATCH("건조딸기다이스(외국산)",'🔖 배합비 참조'!$A$2:$A$83,0),MATCH($C104,'🔖 배합비 참조'!$B$1:$CE$1,0))/100,0),""))),"")</f>
        <v>0</v>
      </c>
      <c r="J104" s="42" t="n">
        <f aca="false">IFERROR(IF($C104="","",IF($D104="","",IFERROR(ROUND($D104*INDEX('🔖 배합비 참조'!$B$2:$CE$83,MATCH("건포도",'🔖 배합비 참조'!$A$2:$A$83,0),MATCH($C104,'🔖 배합비 참조'!$B$1:$CE$1,0))/100,0),""))),"")</f>
        <v>0</v>
      </c>
      <c r="K104" s="42" t="n">
        <f aca="false">IFERROR(IF($C104="","",IF($D104="","",IFERROR(ROUND($D104*INDEX('🔖 배합비 참조'!$B$2:$CE$83,MATCH("건호박채(중국산)",'🔖 배합비 참조'!$A$2:$A$83,0),MATCH($C104,'🔖 배합비 참조'!$B$1:$CE$1,0))/100,0),""))),"")</f>
        <v>0</v>
      </c>
      <c r="L104" s="42" t="n">
        <f aca="false">IFERROR(IF($C104="","",IF($D104="","",IFERROR(ROUND($D104*INDEX('🔖 배합비 참조'!$B$2:$CE$83,MATCH("검정깨(흑임자)",'🔖 배합비 참조'!$A$2:$A$83,0),MATCH($C104,'🔖 배합비 참조'!$B$1:$CE$1,0))/100,0),""))),"")</f>
        <v>0</v>
      </c>
      <c r="M104" s="42" t="n">
        <f aca="false">IFERROR(IF($C104="","",IF($D104="","",IFERROR(ROUND($D104*INDEX('🔖 배합비 참조'!$B$2:$CE$83,MATCH("검정콩",'🔖 배합비 참조'!$A$2:$A$83,0),MATCH($C104,'🔖 배합비 참조'!$B$1:$CE$1,0))/100,0),""))),"")</f>
        <v>0</v>
      </c>
      <c r="N104" s="42" t="n">
        <f aca="false">IFERROR(IF($C104="","",IF($D104="","",IFERROR(ROUND($D104*INDEX('🔖 배합비 참조'!$B$2:$CE$83,MATCH("계피가루",'🔖 배합비 참조'!$A$2:$A$83,0),MATCH($C104,'🔖 배합비 참조'!$B$1:$CE$1,0))/100,0),""))),"")</f>
        <v>0</v>
      </c>
      <c r="O104" s="42" t="n">
        <f aca="false">IFERROR(IF($C104="","",IF($D104="","",IFERROR(ROUND($D104*INDEX('🔖 배합비 참조'!$B$2:$CE$83,MATCH("고구마가루",'🔖 배합비 참조'!$A$2:$A$83,0),MATCH($C104,'🔖 배합비 참조'!$B$1:$CE$1,0))/100,0),""))),"")</f>
        <v>0</v>
      </c>
      <c r="P104" s="42" t="n">
        <f aca="false">IFERROR(IF($C104="","",IF($D104="","",IFERROR(ROUND($D104*INDEX('🔖 배합비 참조'!$B$2:$CE$83,MATCH("고구마무스",'🔖 배합비 참조'!$A$2:$A$83,0),MATCH($C104,'🔖 배합비 참조'!$B$1:$CE$1,0))/100,0),""))),"")</f>
        <v>0</v>
      </c>
      <c r="Q104" s="42" t="n">
        <f aca="false">IFERROR(IF($C104="","",IF($D104="","",IFERROR(ROUND($D104*INDEX('🔖 배합비 참조'!$B$2:$CE$83,MATCH("고려엉겅퀴((곤드레)국내산)",'🔖 배합비 참조'!$A$2:$A$83,0),MATCH($C104,'🔖 배합비 참조'!$B$1:$CE$1,0))/100,0),""))),"")</f>
        <v>0</v>
      </c>
      <c r="R104" s="42" t="n">
        <f aca="false">IFERROR(IF($C104="","",IF($D104="","",IFERROR(ROUND($D104*INDEX('🔖 배합비 참조'!$B$2:$CE$83,MATCH("기타가공품(복분자가루)",'🔖 배합비 참조'!$A$2:$A$83,0),MATCH($C104,'🔖 배합비 참조'!$B$1:$CE$1,0))/100,0),""))),"")</f>
        <v>0</v>
      </c>
      <c r="S104" s="42" t="n">
        <f aca="false">IFERROR(IF($C104="","",IF($D104="","",IFERROR(ROUND($D104*INDEX('🔖 배합비 참조'!$B$2:$CE$83,MATCH("기타가공품(슈퍼소프트엠)",'🔖 배합비 참조'!$A$2:$A$83,0),MATCH($C104,'🔖 배합비 참조'!$B$1:$CE$1,0))/100,0),""))),"")</f>
        <v>0</v>
      </c>
      <c r="T104" s="42" t="n">
        <f aca="false">IFERROR(IF($C104="","",IF($D104="","",IFERROR(ROUND($D104*INDEX('🔖 배합비 참조'!$B$2:$CE$83,MATCH("기타가공품(파인소프트 E-티)",'🔖 배합비 참조'!$A$2:$A$83,0),MATCH($C104,'🔖 배합비 참조'!$B$1:$CE$1,0))/100,0),""))),"")</f>
        <v>0</v>
      </c>
      <c r="U104" s="42" t="n">
        <f aca="false">IFERROR(IF($C104="","",IF($D104="","",IFERROR(ROUND($D104*INDEX('🔖 배합비 참조'!$B$2:$CE$83,MATCH("기타가공품(프리미엄카스테라가루)",'🔖 배합비 참조'!$A$2:$A$83,0),MATCH($C104,'🔖 배합비 참조'!$B$1:$CE$1,0))/100,0),""))),"")</f>
        <v>5</v>
      </c>
      <c r="V104" s="42" t="n">
        <f aca="false">IFERROR(IF($C104="","",IF($D104="","",IFERROR(ROUND($D104*INDEX('🔖 배합비 참조'!$B$2:$CE$83,MATCH("기타가공품(흑임자가루)",'🔖 배합비 참조'!$A$2:$A$83,0),MATCH($C104,'🔖 배합비 참조'!$B$1:$CE$1,0))/100,0),""))),"")</f>
        <v>0</v>
      </c>
      <c r="W104" s="42" t="n">
        <f aca="false">IFERROR(IF($C104="","",IF($D104="","",IFERROR(ROUND($D104*INDEX('🔖 배합비 참조'!$B$2:$CE$83,MATCH("기타설탕(흑설탕)",'🔖 배합비 참조'!$A$2:$A$83,0),MATCH($C104,'🔖 배합비 참조'!$B$1:$CE$1,0))/100,0),""))),"")</f>
        <v>0</v>
      </c>
      <c r="X104" s="42" t="n">
        <f aca="false">IFERROR(IF($C104="","",IF($D104="","",IFERROR(ROUND($D104*INDEX('🔖 배합비 참조'!$B$2:$CE$83,MATCH("냉동쑥(국내산)",'🔖 배합비 참조'!$A$2:$A$83,0),MATCH($C104,'🔖 배합비 참조'!$B$1:$CE$1,0))/100,0),""))),"")</f>
        <v>0</v>
      </c>
      <c r="Y104" s="42" t="n">
        <f aca="false">IFERROR(IF($C104="","",IF($D104="","",IFERROR(ROUND($D104*INDEX('🔖 배합비 참조'!$B$2:$CE$83,MATCH("냉동증숙고구마(중국산)",'🔖 배합비 참조'!$A$2:$A$83,0),MATCH($C104,'🔖 배합비 참조'!$B$1:$CE$1,0))/100,0),""))),"")</f>
        <v>0</v>
      </c>
      <c r="Z104" s="42" t="n">
        <f aca="false">IFERROR(IF($C104="","",IF($D104="","",IFERROR(ROUND($D104*INDEX('🔖 배합비 참조'!$B$2:$CE$83,MATCH("녹차가루",'🔖 배합비 참조'!$A$2:$A$83,0),MATCH($C104,'🔖 배합비 참조'!$B$1:$CE$1,0))/100,0),""))),"")</f>
        <v>0</v>
      </c>
      <c r="AA104" s="42" t="n">
        <f aca="false">IFERROR(IF($C104="","",IF($D104="","",IFERROR(ROUND($D104*INDEX('🔖 배합비 참조'!$B$2:$CE$83,MATCH("다크초콜릿 컴파운드칩",'🔖 배합비 참조'!$A$2:$A$83,0),MATCH($C104,'🔖 배합비 참조'!$B$1:$CE$1,0))/100,0),""))),"")</f>
        <v>0</v>
      </c>
      <c r="AB104" s="42" t="n">
        <f aca="false">IFERROR(IF($C104="","",IF($D104="","",IFERROR(ROUND($D104*INDEX('🔖 배합비 참조'!$B$2:$CE$83,MATCH("단호박분말(중국산)",'🔖 배합비 참조'!$A$2:$A$83,0),MATCH($C104,'🔖 배합비 참조'!$B$1:$CE$1,0))/100,0),""))),"")</f>
        <v>0</v>
      </c>
      <c r="AC104" s="42" t="n">
        <f aca="false">IFERROR(IF($C104="","",IF($D104="","",IFERROR(ROUND($D104*INDEX('🔖 배합비 참조'!$B$2:$CE$83,MATCH("당류가공품(단호박농축액)",'🔖 배합비 참조'!$A$2:$A$83,0),MATCH($C104,'🔖 배합비 참조'!$B$1:$CE$1,0))/100,0),""))),"")</f>
        <v>0</v>
      </c>
      <c r="AD104" s="42" t="n">
        <f aca="false">IFERROR(IF($C104="","",IF($D104="","",IFERROR(ROUND($D104*INDEX('🔖 배합비 참조'!$B$2:$CE$83,MATCH("당류가공품(알룰로스,에리스리톨,스테비올배당체혼합)",'🔖 배합비 참조'!$A$2:$A$83,0),MATCH($C104,'🔖 배합비 참조'!$B$1:$CE$1,0))/100,0),""))),"")</f>
        <v>0</v>
      </c>
      <c r="AE104" s="42" t="n">
        <f aca="false">IFERROR(IF($C104="","",IF($D104="","",IFERROR(ROUND($D104*INDEX('🔖 배합비 참조'!$B$2:$CE$83,MATCH("당류가공품(알룰로스제로파우더)",'🔖 배합비 참조'!$A$2:$A$83,0),MATCH($C104,'🔖 배합비 참조'!$B$1:$CE$1,0))/100,0),""))),"")</f>
        <v>0</v>
      </c>
      <c r="AF104" s="42" t="n">
        <f aca="false">IFERROR(IF($C104="","",IF($D104="","",IFERROR(ROUND($D104*INDEX('🔖 배합비 참조'!$B$2:$CE$83,MATCH("당절임(완두배기)",'🔖 배합비 참조'!$A$2:$A$83,0),MATCH($C104,'🔖 배합비 참조'!$B$1:$CE$1,0))/100,0),""))),"")</f>
        <v>0</v>
      </c>
      <c r="AG104" s="42" t="n">
        <f aca="false">IFERROR(IF($C104="","",IF($D104="","",IFERROR(ROUND($D104*INDEX('🔖 배합비 참조'!$B$2:$CE$83,MATCH("대추농축액",'🔖 배합비 참조'!$A$2:$A$83,0),MATCH($C104,'🔖 배합비 참조'!$B$1:$CE$1,0))/100,0),""))),"")</f>
        <v>0</v>
      </c>
      <c r="AH104" s="42" t="n">
        <f aca="false">IFERROR(IF($C104="","",IF($D104="","",IFERROR(ROUND($D104*INDEX('🔖 배합비 참조'!$B$2:$CE$83,MATCH("대추채(국내산)",'🔖 배합비 참조'!$A$2:$A$83,0),MATCH($C104,'🔖 배합비 참조'!$B$1:$CE$1,0))/100,0),""))),"")</f>
        <v>0</v>
      </c>
      <c r="AI104" s="42" t="n">
        <f aca="false">IFERROR(IF($C104="","",IF($D104="","",IFERROR(ROUND($D104*INDEX('🔖 배합비 참조'!$B$2:$CE$83,MATCH("동부(미얀마산)",'🔖 배합비 참조'!$A$2:$A$83,0),MATCH($C104,'🔖 배합비 참조'!$B$1:$CE$1,0))/100,0),""))),"")</f>
        <v>6</v>
      </c>
      <c r="AJ104" s="42" t="n">
        <f aca="false">IFERROR(IF($C104="","",IF($D104="","",IFERROR(ROUND($D104*INDEX('🔖 배합비 참조'!$B$2:$CE$83,MATCH("두류가공품(백옥앙금)",'🔖 배합비 참조'!$A$2:$A$83,0),MATCH($C104,'🔖 배합비 참조'!$B$1:$CE$1,0))/100,0),""))),"")</f>
        <v>0</v>
      </c>
      <c r="AK104" s="42" t="n">
        <f aca="false">IFERROR(IF($C104="","",IF($D104="","",IFERROR(ROUND($D104*INDEX('🔖 배합비 참조'!$B$2:$CE$83,MATCH("두류가공품(콩고물)",'🔖 배합비 참조'!$A$2:$A$83,0),MATCH($C104,'🔖 배합비 참조'!$B$1:$CE$1,0))/100,0),""))),"")</f>
        <v>0</v>
      </c>
      <c r="AL104" s="42" t="n">
        <f aca="false">IFERROR(IF($C104="","",IF($D104="","",IFERROR(ROUND($D104*INDEX('🔖 배합비 참조'!$B$2:$CE$83,MATCH("두류가공품(통팥고물)",'🔖 배합비 참조'!$A$2:$A$83,0),MATCH($C104,'🔖 배합비 참조'!$B$1:$CE$1,0))/100,0),""))),"")</f>
        <v>0</v>
      </c>
      <c r="AM104" s="42" t="n">
        <f aca="false">IFERROR(IF($C104="","",IF($D104="","",IFERROR(ROUND($D104*INDEX('🔖 배합비 참조'!$B$2:$CE$83,MATCH("딸기레진",'🔖 배합비 참조'!$A$2:$A$83,0),MATCH($C104,'🔖 배합비 참조'!$B$1:$CE$1,0))/100,0),""))),"")</f>
        <v>0</v>
      </c>
      <c r="AN104" s="42" t="n">
        <f aca="false">IFERROR(IF($C104="","",IF($D104="","",IFERROR(ROUND($D104*INDEX('🔖 배합비 참조'!$B$2:$CE$83,MATCH("딸기분말(스트로우베리에이드(분말))",'🔖 배합비 참조'!$A$2:$A$83,0),MATCH($C104,'🔖 배합비 참조'!$B$1:$CE$1,0))/100,0),""))),"")</f>
        <v>0</v>
      </c>
      <c r="AO104" s="42" t="n">
        <f aca="false">IFERROR(IF($C104="","",IF($D104="","",IFERROR(ROUND($D104*INDEX('🔖 배합비 참조'!$B$2:$CE$83,MATCH("마스카포네치즈",'🔖 배합비 참조'!$A$2:$A$83,0),MATCH($C104,'🔖 배합비 참조'!$B$1:$CE$1,0))/100,0),""))),"")</f>
        <v>0</v>
      </c>
      <c r="AP104" s="42" t="n">
        <f aca="false">IFERROR(IF($C104="","",IF($D104="","",IFERROR(ROUND($D104*INDEX('🔖 배합비 참조'!$B$2:$CE$83,MATCH("마카다미아분태(호주산)",'🔖 배합비 참조'!$A$2:$A$83,0),MATCH($C104,'🔖 배합비 참조'!$B$1:$CE$1,0))/100,0),""))),"")</f>
        <v>0</v>
      </c>
      <c r="AQ104" s="42" t="n">
        <f aca="false">IFERROR(IF($C104="","",IF($D104="","",IFERROR(ROUND($D104*INDEX('🔖 배합비 참조'!$B$2:$CE$83,MATCH("멥쌀(국내산)",'🔖 배합비 참조'!$A$2:$A$83,0),MATCH($C104,'🔖 배합비 참조'!$B$1:$CE$1,0))/100,0),""))),"")</f>
        <v>0</v>
      </c>
      <c r="AR104" s="42" t="n">
        <f aca="false">IFERROR(IF($C104="","",IF($D104="","",IFERROR(ROUND($D104*INDEX('🔖 배합비 참조'!$B$2:$CE$83,MATCH("모시잎(국내산)",'🔖 배합비 참조'!$A$2:$A$83,0),MATCH($C104,'🔖 배합비 참조'!$B$1:$CE$1,0))/100,0),""))),"")</f>
        <v>0</v>
      </c>
      <c r="AS104" s="42" t="n">
        <f aca="false">IFERROR(IF($C104="","",IF($D104="","",IFERROR(ROUND($D104*INDEX('🔖 배합비 참조'!$B$2:$CE$83,MATCH("물엿(저당물엿)",'🔖 배합비 참조'!$A$2:$A$83,0),MATCH($C104,'🔖 배합비 참조'!$B$1:$CE$1,0))/100,0),""))),"")</f>
        <v>2</v>
      </c>
      <c r="AT104" s="42" t="n">
        <f aca="false">IFERROR(IF($C104="","",IF($D104="","",IFERROR(ROUND($D104*INDEX('🔖 배합비 참조'!$B$2:$CE$83,MATCH("밤다이스",'🔖 배합비 참조'!$A$2:$A$83,0),MATCH($C104,'🔖 배합비 참조'!$B$1:$CE$1,0))/100,0),""))),"")</f>
        <v>0</v>
      </c>
      <c r="AU104" s="42" t="n">
        <f aca="false">IFERROR(IF($C104="","",IF($D104="","",IFERROR(ROUND($D104*INDEX('🔖 배합비 참조'!$B$2:$CE$83,MATCH("변성전분(타피오카전분)",'🔖 배합비 참조'!$A$2:$A$83,0),MATCH($C104,'🔖 배합비 참조'!$B$1:$CE$1,0))/100,0),""))),"")</f>
        <v>0</v>
      </c>
      <c r="AV104" s="42" t="n">
        <f aca="false">IFERROR(IF($C104="","",IF($D104="","",IFERROR(ROUND($D104*INDEX('🔖 배합비 참조'!$B$2:$CE$83,MATCH("복음땅콩분태",'🔖 배합비 참조'!$A$2:$A$83,0),MATCH($C104,'🔖 배합비 참조'!$B$1:$CE$1,0))/100,0),""))),"")</f>
        <v>0</v>
      </c>
      <c r="AW104" s="42" t="n">
        <f aca="false">IFERROR(IF($C104="","",IF($D104="","",IFERROR(ROUND($D104*INDEX('🔖 배합비 참조'!$B$2:$CE$83,MATCH("사양벌꿀(국내산)",'🔖 배합비 참조'!$A$2:$A$83,0),MATCH($C104,'🔖 배합비 참조'!$B$1:$CE$1,0))/100,0),""))),"")</f>
        <v>0</v>
      </c>
      <c r="AX104" s="42" t="n">
        <f aca="false">IFERROR(IF($C104="","",IF($D104="","",IFERROR(ROUND($D104*INDEX('🔖 배합비 참조'!$B$2:$CE$83,MATCH("생크림",'🔖 배합비 참조'!$A$2:$A$83,0),MATCH($C104,'🔖 배합비 참조'!$B$1:$CE$1,0))/100,0),""))),"")</f>
        <v>0</v>
      </c>
      <c r="AY104" s="42" t="n">
        <f aca="false">IFERROR(IF($C104="","",IF($D104="","",IFERROR(ROUND($D104*INDEX('🔖 배합비 참조'!$B$2:$CE$83,MATCH("서양호박(국내산,뉴질랜드산)",'🔖 배합비 참조'!$A$2:$A$83,0),MATCH($C104,'🔖 배합비 참조'!$B$1:$CE$1,0))/100,0),""))),"")</f>
        <v>0</v>
      </c>
      <c r="AZ104" s="42" t="n">
        <f aca="false">IFERROR(IF($C104="","",IF($D104="","",IFERROR(ROUND($D104*INDEX('🔖 배합비 참조'!$B$2:$CE$83,MATCH("설탕",'🔖 배합비 참조'!$A$2:$A$83,0),MATCH($C104,'🔖 배합비 참조'!$B$1:$CE$1,0))/100,0),""))),"")</f>
        <v>2</v>
      </c>
      <c r="BA104" s="42" t="n">
        <f aca="false">IFERROR(IF($C104="","",IF($D104="","",IFERROR(ROUND($D104*INDEX('🔖 배합비 참조'!$B$2:$CE$83,MATCH("스트로우베리 에이드 후레쉬",'🔖 배합비 참조'!$A$2:$A$83,0),MATCH($C104,'🔖 배합비 참조'!$B$1:$CE$1,0))/100,0),""))),"")</f>
        <v>0</v>
      </c>
      <c r="BB104" s="42" t="n">
        <f aca="false">IFERROR(IF($C104="","",IF($D104="","",IFERROR(ROUND($D104*INDEX('🔖 배합비 참조'!$B$2:$CE$83,MATCH("식물성기름혼합제제(분홍)",'🔖 배합비 참조'!$A$2:$A$83,0),MATCH($C104,'🔖 배합비 참조'!$B$1:$CE$1,0))/100,0),""))),"")</f>
        <v>0</v>
      </c>
      <c r="BC104" s="42" t="n">
        <f aca="false">IFERROR(IF($C104="","",IF($D104="","",IFERROR(ROUND($D104*INDEX('🔖 배합비 참조'!$B$2:$CE$83,MATCH("식물성기름혼합제제(초록)",'🔖 배합비 참조'!$A$2:$A$83,0),MATCH($C104,'🔖 배합비 참조'!$B$1:$CE$1,0))/100,0),""))),"")</f>
        <v>0</v>
      </c>
      <c r="BD104" s="42" t="n">
        <f aca="false">IFERROR(IF($C104="","",IF($D104="","",IFERROR(ROUND($D104*INDEX('🔖 배합비 참조'!$B$2:$CE$83,MATCH("식물성기름혼합제제(황색)",'🔖 배합비 참조'!$A$2:$A$83,0),MATCH($C104,'🔖 배합비 참조'!$B$1:$CE$1,0))/100,0),""))),"")</f>
        <v>0</v>
      </c>
      <c r="BE104" s="42" t="n">
        <f aca="false">IFERROR(IF($C104="","",IF($D104="","",IFERROR(ROUND($D104*INDEX('🔖 배합비 참조'!$B$2:$CE$83,MATCH("쑥가루(국내산)",'🔖 배합비 참조'!$A$2:$A$83,0),MATCH($C104,'🔖 배합비 참조'!$B$1:$CE$1,0))/100,0),""))),"")</f>
        <v>0</v>
      </c>
      <c r="BF104" s="42" t="n">
        <f aca="false">IFERROR(IF($C104="","",IF($D104="","",IFERROR(ROUND($D104*INDEX('🔖 배합비 참조'!$B$2:$CE$83,MATCH("아몬드슬라이스",'🔖 배합비 참조'!$A$2:$A$83,0),MATCH($C104,'🔖 배합비 참조'!$B$1:$CE$1,0))/100,0),""))),"")</f>
        <v>0</v>
      </c>
      <c r="BG104" s="42" t="n">
        <f aca="false">IFERROR(IF($C104="","",IF($D104="","",IFERROR(ROUND($D104*INDEX('🔖 배합비 참조'!$B$2:$CE$83,MATCH("알룰로오스(국내산)",'🔖 배합비 참조'!$A$2:$A$83,0),MATCH($C104,'🔖 배합비 참조'!$B$1:$CE$1,0))/100,0),""))),"")</f>
        <v>0</v>
      </c>
      <c r="BH104" s="42" t="n">
        <f aca="false">IFERROR(IF($C104="","",IF($D104="","",IFERROR(ROUND($D104*INDEX('🔖 배합비 참조'!$B$2:$CE$83,MATCH("연유",'🔖 배합비 참조'!$A$2:$A$83,0),MATCH($C104,'🔖 배합비 참조'!$B$1:$CE$1,0))/100,0),""))),"")</f>
        <v>0</v>
      </c>
      <c r="BI104" s="42" t="n">
        <f aca="false">IFERROR(IF($C104="","",IF($D104="","",IFERROR(ROUND($D104*INDEX('🔖 배합비 참조'!$B$2:$CE$83,MATCH("옥수수전분",'🔖 배합비 참조'!$A$2:$A$83,0),MATCH($C104,'🔖 배합비 참조'!$B$1:$CE$1,0))/100,0),""))),"")</f>
        <v>0</v>
      </c>
      <c r="BJ104" s="42" t="n">
        <f aca="false">IFERROR(IF($C104="","",IF($D104="","",IFERROR(ROUND($D104*INDEX('🔖 배합비 참조'!$B$2:$CE$83,MATCH("완두배기",'🔖 배합비 참조'!$A$2:$A$83,0),MATCH($C104,'🔖 배합비 참조'!$B$1:$CE$1,0))/100,0),""))),"")</f>
        <v>0</v>
      </c>
      <c r="BK104" s="42" t="n">
        <f aca="false">IFERROR(IF($C104="","",IF($D104="","",IFERROR(ROUND($D104*INDEX('🔖 배합비 참조'!$B$2:$CE$83,MATCH("우유(국내산)",'🔖 배합비 참조'!$A$2:$A$83,0),MATCH($C104,'🔖 배합비 참조'!$B$1:$CE$1,0))/100,0),""))),"")</f>
        <v>0</v>
      </c>
      <c r="BL104" s="42" t="n">
        <f aca="false">IFERROR(IF($C104="","",IF($D104="","",IFERROR(ROUND($D104*INDEX('🔖 배합비 참조'!$B$2:$CE$83,MATCH("자색고구마가루(중국산)",'🔖 배합비 참조'!$A$2:$A$83,0),MATCH($C104,'🔖 배합비 참조'!$B$1:$CE$1,0))/100,0),""))),"")</f>
        <v>0</v>
      </c>
      <c r="BM104" s="42" t="n">
        <f aca="false">IFERROR(IF($C104="","",IF($D104="","",IFERROR(ROUND($D104*INDEX('🔖 배합비 참조'!$B$2:$CE$83,MATCH("자연치즈(체다치즈)",'🔖 배합비 참조'!$A$2:$A$83,0),MATCH($C104,'🔖 배합비 참조'!$B$1:$CE$1,0))/100,0),""))),"")</f>
        <v>0</v>
      </c>
      <c r="BN104" s="42" t="n">
        <f aca="false">IFERROR(IF($C104="","",IF($D104="","",IFERROR(ROUND($D104*INDEX('🔖 배합비 참조'!$B$2:$CE$83,MATCH("정제수",'🔖 배합비 참조'!$A$2:$A$83,0),MATCH($C104,'🔖 배합비 참조'!$B$1:$CE$1,0))/100,0),""))),"")</f>
        <v>11</v>
      </c>
      <c r="BO104" s="42" t="n">
        <f aca="false">IFERROR(IF($C104="","",IF($D104="","",IFERROR(ROUND($D104*INDEX('🔖 배합비 참조'!$B$2:$CE$83,MATCH("젤라틴",'🔖 배합비 참조'!$A$2:$A$83,0),MATCH($C104,'🔖 배합비 참조'!$B$1:$CE$1,0))/100,0),""))),"")</f>
        <v>0</v>
      </c>
      <c r="BP104" s="42" t="n">
        <f aca="false">IFERROR(IF($C104="","",IF($D104="","",IFERROR(ROUND($D104*INDEX('🔖 배합비 참조'!$B$2:$CE$83,MATCH("조림류(백옥앙금)",'🔖 배합비 참조'!$A$2:$A$83,0),MATCH($C104,'🔖 배합비 참조'!$B$1:$CE$1,0))/100,0),""))),"")</f>
        <v>23</v>
      </c>
      <c r="BQ104" s="42" t="n">
        <f aca="false">IFERROR(IF($C104="","",IF($D104="","",IFERROR(ROUND($D104*INDEX('🔖 배합비 참조'!$B$2:$CE$83,MATCH("조림류(통팥앙금)",'🔖 배합비 참조'!$A$2:$A$83,0),MATCH($C104,'🔖 배합비 참조'!$B$1:$CE$1,0))/100,0),""))),"")</f>
        <v>0</v>
      </c>
      <c r="BR104" s="42" t="n">
        <f aca="false">IFERROR(IF($C104="","",IF($D104="","",IFERROR(ROUND($D104*INDEX('🔖 배합비 참조'!$B$2:$CE$83,MATCH("준초콜릿(외국산)",'🔖 배합비 참조'!$A$2:$A$83,0),MATCH($C104,'🔖 배합비 참조'!$B$1:$CE$1,0))/100,0),""))),"")</f>
        <v>0</v>
      </c>
      <c r="BS104" s="42" t="n">
        <f aca="false">IFERROR(IF($C104="","",IF($D104="","",IFERROR(ROUND($D104*INDEX('🔖 배합비 참조'!$B$2:$CE$83,MATCH("중력분",'🔖 배합비 참조'!$A$2:$A$83,0),MATCH($C104,'🔖 배합비 참조'!$B$1:$CE$1,0))/100,0),""))),"")</f>
        <v>0</v>
      </c>
      <c r="BT104" s="42" t="n">
        <f aca="false">IFERROR(IF($C104="","",IF($D104="","",IFERROR(ROUND($D104*INDEX('🔖 배합비 참조'!$B$2:$CE$83,MATCH("참깨(인도산,나이지리아산,탄자니아산,미얀마산)",'🔖 배합비 참조'!$A$2:$A$83,0),MATCH($C104,'🔖 배합비 참조'!$B$1:$CE$1,0))/100,0),""))),"")</f>
        <v>0</v>
      </c>
      <c r="BU104" s="42" t="n">
        <f aca="false">IFERROR(IF($C104="","",IF($D104="","",IFERROR(ROUND($D104*INDEX('🔖 배합비 참조'!$B$2:$CE$83,MATCH("찹쌀(국내산)",'🔖 배합비 참조'!$A$2:$A$83,0),MATCH($C104,'🔖 배합비 참조'!$B$1:$CE$1,0))/100,0),""))),"")</f>
        <v>21</v>
      </c>
      <c r="BV104" s="42" t="n">
        <f aca="false">IFERROR(IF($C104="","",IF($D104="","",IFERROR(ROUND($D104*INDEX('🔖 배합비 참조'!$B$2:$CE$83,MATCH("천일염",'🔖 배합비 참조'!$A$2:$A$83,0),MATCH($C104,'🔖 배합비 참조'!$B$1:$CE$1,0))/100,0),""))),"")</f>
        <v>0</v>
      </c>
      <c r="BW104" s="42" t="n">
        <f aca="false">IFERROR(IF($C104="","",IF($D104="","",IFERROR(ROUND($D104*INDEX('🔖 배합비 참조'!$B$2:$CE$83,MATCH("치즈 [크림치즈]",'🔖 배합비 참조'!$A$2:$A$83,0),MATCH($C104,'🔖 배합비 참조'!$B$1:$CE$1,0))/100,0),""))),"")</f>
        <v>0</v>
      </c>
      <c r="BX104" s="42" t="n">
        <f aca="false">IFERROR(IF($C104="","",IF($D104="","",IFERROR(ROUND($D104*INDEX('🔖 배합비 참조'!$B$2:$CE$83,MATCH("코코아가공품류(코코아분말)",'🔖 배합비 참조'!$A$2:$A$83,0),MATCH($C104,'🔖 배합비 참조'!$B$1:$CE$1,0))/100,0),""))),"")</f>
        <v>0</v>
      </c>
      <c r="BY104" s="42" t="n">
        <f aca="false">IFERROR(IF($C104="","",IF($D104="","",IFERROR(ROUND($D104*INDEX('🔖 배합비 참조'!$B$2:$CE$83,MATCH("콩기름(대두유)",'🔖 배합비 참조'!$A$2:$A$83,0),MATCH($C104,'🔖 배합비 참조'!$B$1:$CE$1,0))/100,0),""))),"")</f>
        <v>0</v>
      </c>
      <c r="BZ104" s="42" t="n">
        <f aca="false">IFERROR(IF($C104="","",IF($D104="","",IFERROR(ROUND($D104*INDEX('🔖 배합비 참조'!$B$2:$CE$83,MATCH("해바라기씨앗",'🔖 배합비 참조'!$A$2:$A$83,0),MATCH($C104,'🔖 배합비 참조'!$B$1:$CE$1,0))/100,0),""))),"")</f>
        <v>0</v>
      </c>
      <c r="CA104" s="42" t="n">
        <f aca="false">IFERROR(IF($C104="","",IF($D104="","",IFERROR(ROUND($D104*INDEX('🔖 배합비 참조'!$B$2:$CE$83,MATCH("현미(국내산)",'🔖 배합비 참조'!$A$2:$A$83,0),MATCH($C104,'🔖 배합비 참조'!$B$1:$CE$1,0))/100,0),""))),"")</f>
        <v>0</v>
      </c>
      <c r="CB104" s="42" t="n">
        <f aca="false">IFERROR(IF($C104="","",IF($D104="","",IFERROR(ROUND($D104*INDEX('🔖 배합비 참조'!$B$2:$CE$83,MATCH("현미멥쌀(국내산)",'🔖 배합비 참조'!$A$2:$A$83,0),MATCH($C104,'🔖 배합비 참조'!$B$1:$CE$1,0))/100,0),""))),"")</f>
        <v>0</v>
      </c>
      <c r="CC104" s="42" t="n">
        <f aca="false">IFERROR(IF($C104="","",IF($D104="","",IFERROR(ROUND($D104*INDEX('🔖 배합비 참조'!$B$2:$CE$83,MATCH("호두분태(미국산)",'🔖 배합비 참조'!$A$2:$A$83,0),MATCH($C104,'🔖 배합비 참조'!$B$1:$CE$1,0))/100,0),""))),"")</f>
        <v>0</v>
      </c>
      <c r="CD104" s="42" t="n">
        <f aca="false">IFERROR(IF($C104="","",IF($D104="","",IFERROR(ROUND($D104*INDEX('🔖 배합비 참조'!$B$2:$CE$83,MATCH("호박씨앗(외국산)",'🔖 배합비 참조'!$A$2:$A$83,0),MATCH($C104,'🔖 배합비 참조'!$B$1:$CE$1,0))/100,0),""))),"")</f>
        <v>0</v>
      </c>
      <c r="CE104" s="42" t="n">
        <f aca="false">IFERROR(IF($C104="","",IF($D104="","",IFERROR(ROUND($D104*INDEX('🔖 배합비 참조'!$B$2:$CE$83,MATCH("혼합제제(떡용에스텔)",'🔖 배합비 참조'!$A$2:$A$83,0),MATCH($C104,'🔖 배합비 참조'!$B$1:$CE$1,0))/100,0),""))),"")</f>
        <v>0</v>
      </c>
      <c r="CF104" s="42" t="n">
        <f aca="false">IFERROR(IF($C104="","",IF($D104="","",IFERROR(ROUND($D104*INDEX('🔖 배합비 참조'!$B$2:$CE$83,MATCH("혼합제제(스테비아)",'🔖 배합비 참조'!$A$2:$A$83,0),MATCH($C104,'🔖 배합비 참조'!$B$1:$CE$1,0))/100,0),""))),"")</f>
        <v>0</v>
      </c>
      <c r="CG104" s="42" t="n">
        <f aca="false">IFERROR(IF($C104="","",IF($D104="","",IFERROR(ROUND($D104*INDEX('🔖 배합비 참조'!$B$2:$CE$83,MATCH("화이트초콜릿",'🔖 배합비 참조'!$A$2:$A$83,0),MATCH($C104,'🔖 배합비 참조'!$B$1:$CE$1,0))/100,0),""))),"")</f>
        <v>0</v>
      </c>
      <c r="CH104" s="42" t="n">
        <f aca="false">IFERROR(IF($C104="","",IF($D104="","",IFERROR(ROUND($D104*INDEX('🔖 배합비 참조'!$B$2:$CE$83,MATCH("흑미찹쌀(국내산)",'🔖 배합비 참조'!$A$2:$A$83,0),MATCH($C104,'🔖 배합비 참조'!$B$1:$CE$1,0))/100,0),""))),"")</f>
        <v>0</v>
      </c>
      <c r="CI104" s="42" t="n">
        <f aca="false">IFERROR(IF($C104="","",IF($D104="","",IFERROR(ROUND($D104*INDEX('🔖 배합비 참조'!$B$2:$CE$83,MATCH("찰옥수수전분(미국산)",'🔖 배합비 참조'!$A$2:$A$83,0),MATCH($C104,'🔖 배합비 참조'!$B$1:$CE$1,0))/100,0),""))),"")</f>
        <v>0</v>
      </c>
      <c r="CJ104" s="40"/>
      <c r="CL104" s="1" t="s">
        <v>239</v>
      </c>
    </row>
    <row r="105" customFormat="false" ht="18" hidden="false" customHeight="true" outlineLevel="0" collapsed="false">
      <c r="A105" s="35" t="n">
        <v>101</v>
      </c>
      <c r="B105" s="36" t="n">
        <v>45995</v>
      </c>
      <c r="C105" s="37" t="s">
        <v>169</v>
      </c>
      <c r="D105" s="38" t="n">
        <v>26</v>
      </c>
      <c r="E105" s="13"/>
      <c r="F105" s="13"/>
      <c r="G105" s="39" t="n">
        <f aca="false">IFERROR(IF($C105="","",IF($D105="","",IFERROR(ROUND($D105*INDEX('🔖 배합비 참조'!$B$2:$CE$83,MATCH("간장",'🔖 배합비 참조'!$A$2:$A$83,0),MATCH($C105,'🔖 배합비 참조'!$B$1:$CE$1,0))/100,0),""))),"")</f>
        <v>0</v>
      </c>
      <c r="H105" s="39" t="n">
        <f aca="false">IFERROR(IF($C105="","",IF($D105="","",IFERROR(ROUND($D105*INDEX('🔖 배합비 참조'!$B$2:$CE$83,MATCH("강낭콩((울타리콩))",'🔖 배합비 참조'!$A$2:$A$83,0),MATCH($C105,'🔖 배합비 참조'!$B$1:$CE$1,0))/100,0),""))),"")</f>
        <v>0</v>
      </c>
      <c r="I105" s="39" t="n">
        <f aca="false">IFERROR(IF($C105="","",IF($D105="","",IFERROR(ROUND($D105*INDEX('🔖 배합비 참조'!$B$2:$CE$83,MATCH("건조딸기다이스(외국산)",'🔖 배합비 참조'!$A$2:$A$83,0),MATCH($C105,'🔖 배합비 참조'!$B$1:$CE$1,0))/100,0),""))),"")</f>
        <v>0</v>
      </c>
      <c r="J105" s="39" t="n">
        <f aca="false">IFERROR(IF($C105="","",IF($D105="","",IFERROR(ROUND($D105*INDEX('🔖 배합비 참조'!$B$2:$CE$83,MATCH("건포도",'🔖 배합비 참조'!$A$2:$A$83,0),MATCH($C105,'🔖 배합비 참조'!$B$1:$CE$1,0))/100,0),""))),"")</f>
        <v>0</v>
      </c>
      <c r="K105" s="39" t="n">
        <f aca="false">IFERROR(IF($C105="","",IF($D105="","",IFERROR(ROUND($D105*INDEX('🔖 배합비 참조'!$B$2:$CE$83,MATCH("건호박채(중국산)",'🔖 배합비 참조'!$A$2:$A$83,0),MATCH($C105,'🔖 배합비 참조'!$B$1:$CE$1,0))/100,0),""))),"")</f>
        <v>0</v>
      </c>
      <c r="L105" s="39" t="n">
        <f aca="false">IFERROR(IF($C105="","",IF($D105="","",IFERROR(ROUND($D105*INDEX('🔖 배합비 참조'!$B$2:$CE$83,MATCH("검정깨(흑임자)",'🔖 배합비 참조'!$A$2:$A$83,0),MATCH($C105,'🔖 배합비 참조'!$B$1:$CE$1,0))/100,0),""))),"")</f>
        <v>0</v>
      </c>
      <c r="M105" s="39" t="n">
        <f aca="false">IFERROR(IF($C105="","",IF($D105="","",IFERROR(ROUND($D105*INDEX('🔖 배합비 참조'!$B$2:$CE$83,MATCH("검정콩",'🔖 배합비 참조'!$A$2:$A$83,0),MATCH($C105,'🔖 배합비 참조'!$B$1:$CE$1,0))/100,0),""))),"")</f>
        <v>0</v>
      </c>
      <c r="N105" s="39" t="n">
        <f aca="false">IFERROR(IF($C105="","",IF($D105="","",IFERROR(ROUND($D105*INDEX('🔖 배합비 참조'!$B$2:$CE$83,MATCH("계피가루",'🔖 배합비 참조'!$A$2:$A$83,0),MATCH($C105,'🔖 배합비 참조'!$B$1:$CE$1,0))/100,0),""))),"")</f>
        <v>0</v>
      </c>
      <c r="O105" s="39" t="n">
        <f aca="false">IFERROR(IF($C105="","",IF($D105="","",IFERROR(ROUND($D105*INDEX('🔖 배합비 참조'!$B$2:$CE$83,MATCH("고구마가루",'🔖 배합비 참조'!$A$2:$A$83,0),MATCH($C105,'🔖 배합비 참조'!$B$1:$CE$1,0))/100,0),""))),"")</f>
        <v>0</v>
      </c>
      <c r="P105" s="39" t="n">
        <f aca="false">IFERROR(IF($C105="","",IF($D105="","",IFERROR(ROUND($D105*INDEX('🔖 배합비 참조'!$B$2:$CE$83,MATCH("고구마무스",'🔖 배합비 참조'!$A$2:$A$83,0),MATCH($C105,'🔖 배합비 참조'!$B$1:$CE$1,0))/100,0),""))),"")</f>
        <v>0</v>
      </c>
      <c r="Q105" s="39" t="n">
        <f aca="false">IFERROR(IF($C105="","",IF($D105="","",IFERROR(ROUND($D105*INDEX('🔖 배합비 참조'!$B$2:$CE$83,MATCH("고려엉겅퀴((곤드레)국내산)",'🔖 배합비 참조'!$A$2:$A$83,0),MATCH($C105,'🔖 배합비 참조'!$B$1:$CE$1,0))/100,0),""))),"")</f>
        <v>0</v>
      </c>
      <c r="R105" s="39" t="n">
        <f aca="false">IFERROR(IF($C105="","",IF($D105="","",IFERROR(ROUND($D105*INDEX('🔖 배합비 참조'!$B$2:$CE$83,MATCH("기타가공품(복분자가루)",'🔖 배합비 참조'!$A$2:$A$83,0),MATCH($C105,'🔖 배합비 참조'!$B$1:$CE$1,0))/100,0),""))),"")</f>
        <v>0</v>
      </c>
      <c r="S105" s="39" t="n">
        <f aca="false">IFERROR(IF($C105="","",IF($D105="","",IFERROR(ROUND($D105*INDEX('🔖 배합비 참조'!$B$2:$CE$83,MATCH("기타가공품(슈퍼소프트엠)",'🔖 배합비 참조'!$A$2:$A$83,0),MATCH($C105,'🔖 배합비 참조'!$B$1:$CE$1,0))/100,0),""))),"")</f>
        <v>0</v>
      </c>
      <c r="T105" s="39" t="n">
        <f aca="false">IFERROR(IF($C105="","",IF($D105="","",IFERROR(ROUND($D105*INDEX('🔖 배합비 참조'!$B$2:$CE$83,MATCH("기타가공품(파인소프트 E-티)",'🔖 배합비 참조'!$A$2:$A$83,0),MATCH($C105,'🔖 배합비 참조'!$B$1:$CE$1,0))/100,0),""))),"")</f>
        <v>0</v>
      </c>
      <c r="U105" s="39" t="n">
        <f aca="false">IFERROR(IF($C105="","",IF($D105="","",IFERROR(ROUND($D105*INDEX('🔖 배합비 참조'!$B$2:$CE$83,MATCH("기타가공품(프리미엄카스테라가루)",'🔖 배합비 참조'!$A$2:$A$83,0),MATCH($C105,'🔖 배합비 참조'!$B$1:$CE$1,0))/100,0),""))),"")</f>
        <v>0</v>
      </c>
      <c r="V105" s="39" t="n">
        <f aca="false">IFERROR(IF($C105="","",IF($D105="","",IFERROR(ROUND($D105*INDEX('🔖 배합비 참조'!$B$2:$CE$83,MATCH("기타가공품(흑임자가루)",'🔖 배합비 참조'!$A$2:$A$83,0),MATCH($C105,'🔖 배합비 참조'!$B$1:$CE$1,0))/100,0),""))),"")</f>
        <v>0</v>
      </c>
      <c r="W105" s="39" t="n">
        <f aca="false">IFERROR(IF($C105="","",IF($D105="","",IFERROR(ROUND($D105*INDEX('🔖 배합비 참조'!$B$2:$CE$83,MATCH("기타설탕(흑설탕)",'🔖 배합비 참조'!$A$2:$A$83,0),MATCH($C105,'🔖 배합비 참조'!$B$1:$CE$1,0))/100,0),""))),"")</f>
        <v>0</v>
      </c>
      <c r="X105" s="39" t="n">
        <f aca="false">IFERROR(IF($C105="","",IF($D105="","",IFERROR(ROUND($D105*INDEX('🔖 배합비 참조'!$B$2:$CE$83,MATCH("냉동쑥(국내산)",'🔖 배합비 참조'!$A$2:$A$83,0),MATCH($C105,'🔖 배합비 참조'!$B$1:$CE$1,0))/100,0),""))),"")</f>
        <v>0</v>
      </c>
      <c r="Y105" s="39" t="n">
        <f aca="false">IFERROR(IF($C105="","",IF($D105="","",IFERROR(ROUND($D105*INDEX('🔖 배합비 참조'!$B$2:$CE$83,MATCH("냉동증숙고구마(중국산)",'🔖 배합비 참조'!$A$2:$A$83,0),MATCH($C105,'🔖 배합비 참조'!$B$1:$CE$1,0))/100,0),""))),"")</f>
        <v>0</v>
      </c>
      <c r="Z105" s="39" t="n">
        <f aca="false">IFERROR(IF($C105="","",IF($D105="","",IFERROR(ROUND($D105*INDEX('🔖 배합비 참조'!$B$2:$CE$83,MATCH("녹차가루",'🔖 배합비 참조'!$A$2:$A$83,0),MATCH($C105,'🔖 배합비 참조'!$B$1:$CE$1,0))/100,0),""))),"")</f>
        <v>0</v>
      </c>
      <c r="AA105" s="39" t="n">
        <f aca="false">IFERROR(IF($C105="","",IF($D105="","",IFERROR(ROUND($D105*INDEX('🔖 배합비 참조'!$B$2:$CE$83,MATCH("다크초콜릿 컴파운드칩",'🔖 배합비 참조'!$A$2:$A$83,0),MATCH($C105,'🔖 배합비 참조'!$B$1:$CE$1,0))/100,0),""))),"")</f>
        <v>0</v>
      </c>
      <c r="AB105" s="39" t="n">
        <f aca="false">IFERROR(IF($C105="","",IF($D105="","",IFERROR(ROUND($D105*INDEX('🔖 배합비 참조'!$B$2:$CE$83,MATCH("단호박분말(중국산)",'🔖 배합비 참조'!$A$2:$A$83,0),MATCH($C105,'🔖 배합비 참조'!$B$1:$CE$1,0))/100,0),""))),"")</f>
        <v>0</v>
      </c>
      <c r="AC105" s="39" t="n">
        <f aca="false">IFERROR(IF($C105="","",IF($D105="","",IFERROR(ROUND($D105*INDEX('🔖 배합비 참조'!$B$2:$CE$83,MATCH("당류가공품(단호박농축액)",'🔖 배합비 참조'!$A$2:$A$83,0),MATCH($C105,'🔖 배합비 참조'!$B$1:$CE$1,0))/100,0),""))),"")</f>
        <v>0</v>
      </c>
      <c r="AD105" s="39" t="n">
        <f aca="false">IFERROR(IF($C105="","",IF($D105="","",IFERROR(ROUND($D105*INDEX('🔖 배합비 참조'!$B$2:$CE$83,MATCH("당류가공품(알룰로스,에리스리톨,스테비올배당체혼합)",'🔖 배합비 참조'!$A$2:$A$83,0),MATCH($C105,'🔖 배합비 참조'!$B$1:$CE$1,0))/100,0),""))),"")</f>
        <v>0</v>
      </c>
      <c r="AE105" s="39" t="n">
        <f aca="false">IFERROR(IF($C105="","",IF($D105="","",IFERROR(ROUND($D105*INDEX('🔖 배합비 참조'!$B$2:$CE$83,MATCH("당류가공품(알룰로스제로파우더)",'🔖 배합비 참조'!$A$2:$A$83,0),MATCH($C105,'🔖 배합비 참조'!$B$1:$CE$1,0))/100,0),""))),"")</f>
        <v>0</v>
      </c>
      <c r="AF105" s="39" t="n">
        <f aca="false">IFERROR(IF($C105="","",IF($D105="","",IFERROR(ROUND($D105*INDEX('🔖 배합비 참조'!$B$2:$CE$83,MATCH("당절임(완두배기)",'🔖 배합비 참조'!$A$2:$A$83,0),MATCH($C105,'🔖 배합비 참조'!$B$1:$CE$1,0))/100,0),""))),"")</f>
        <v>0</v>
      </c>
      <c r="AG105" s="39" t="n">
        <f aca="false">IFERROR(IF($C105="","",IF($D105="","",IFERROR(ROUND($D105*INDEX('🔖 배합비 참조'!$B$2:$CE$83,MATCH("대추농축액",'🔖 배합비 참조'!$A$2:$A$83,0),MATCH($C105,'🔖 배합비 참조'!$B$1:$CE$1,0))/100,0),""))),"")</f>
        <v>0</v>
      </c>
      <c r="AH105" s="39" t="n">
        <f aca="false">IFERROR(IF($C105="","",IF($D105="","",IFERROR(ROUND($D105*INDEX('🔖 배합비 참조'!$B$2:$CE$83,MATCH("대추채(국내산)",'🔖 배합비 참조'!$A$2:$A$83,0),MATCH($C105,'🔖 배합비 참조'!$B$1:$CE$1,0))/100,0),""))),"")</f>
        <v>0</v>
      </c>
      <c r="AI105" s="39" t="n">
        <f aca="false">IFERROR(IF($C105="","",IF($D105="","",IFERROR(ROUND($D105*INDEX('🔖 배합비 참조'!$B$2:$CE$83,MATCH("동부(미얀마산)",'🔖 배합비 참조'!$A$2:$A$83,0),MATCH($C105,'🔖 배합비 참조'!$B$1:$CE$1,0))/100,0),""))),"")</f>
        <v>0</v>
      </c>
      <c r="AJ105" s="39" t="n">
        <f aca="false">IFERROR(IF($C105="","",IF($D105="","",IFERROR(ROUND($D105*INDEX('🔖 배합비 참조'!$B$2:$CE$83,MATCH("두류가공품(백옥앙금)",'🔖 배합비 참조'!$A$2:$A$83,0),MATCH($C105,'🔖 배합비 참조'!$B$1:$CE$1,0))/100,0),""))),"")</f>
        <v>0</v>
      </c>
      <c r="AK105" s="39" t="n">
        <f aca="false">IFERROR(IF($C105="","",IF($D105="","",IFERROR(ROUND($D105*INDEX('🔖 배합비 참조'!$B$2:$CE$83,MATCH("두류가공품(콩고물)",'🔖 배합비 참조'!$A$2:$A$83,0),MATCH($C105,'🔖 배합비 참조'!$B$1:$CE$1,0))/100,0),""))),"")</f>
        <v>0</v>
      </c>
      <c r="AL105" s="39" t="n">
        <f aca="false">IFERROR(IF($C105="","",IF($D105="","",IFERROR(ROUND($D105*INDEX('🔖 배합비 참조'!$B$2:$CE$83,MATCH("두류가공품(통팥고물)",'🔖 배합비 참조'!$A$2:$A$83,0),MATCH($C105,'🔖 배합비 참조'!$B$1:$CE$1,0))/100,0),""))),"")</f>
        <v>0</v>
      </c>
      <c r="AM105" s="39" t="n">
        <f aca="false">IFERROR(IF($C105="","",IF($D105="","",IFERROR(ROUND($D105*INDEX('🔖 배합비 참조'!$B$2:$CE$83,MATCH("딸기레진",'🔖 배합비 참조'!$A$2:$A$83,0),MATCH($C105,'🔖 배합비 참조'!$B$1:$CE$1,0))/100,0),""))),"")</f>
        <v>0</v>
      </c>
      <c r="AN105" s="39" t="n">
        <f aca="false">IFERROR(IF($C105="","",IF($D105="","",IFERROR(ROUND($D105*INDEX('🔖 배합비 참조'!$B$2:$CE$83,MATCH("딸기분말(스트로우베리에이드(분말))",'🔖 배합비 참조'!$A$2:$A$83,0),MATCH($C105,'🔖 배합비 참조'!$B$1:$CE$1,0))/100,0),""))),"")</f>
        <v>0</v>
      </c>
      <c r="AO105" s="39" t="n">
        <f aca="false">IFERROR(IF($C105="","",IF($D105="","",IFERROR(ROUND($D105*INDEX('🔖 배합비 참조'!$B$2:$CE$83,MATCH("마스카포네치즈",'🔖 배합비 참조'!$A$2:$A$83,0),MATCH($C105,'🔖 배합비 참조'!$B$1:$CE$1,0))/100,0),""))),"")</f>
        <v>0</v>
      </c>
      <c r="AP105" s="39" t="n">
        <f aca="false">IFERROR(IF($C105="","",IF($D105="","",IFERROR(ROUND($D105*INDEX('🔖 배합비 참조'!$B$2:$CE$83,MATCH("마카다미아분태(호주산)",'🔖 배합비 참조'!$A$2:$A$83,0),MATCH($C105,'🔖 배합비 참조'!$B$1:$CE$1,0))/100,0),""))),"")</f>
        <v>0</v>
      </c>
      <c r="AQ105" s="39" t="n">
        <f aca="false">IFERROR(IF($C105="","",IF($D105="","",IFERROR(ROUND($D105*INDEX('🔖 배합비 참조'!$B$2:$CE$83,MATCH("멥쌀(국내산)",'🔖 배합비 참조'!$A$2:$A$83,0),MATCH($C105,'🔖 배합비 참조'!$B$1:$CE$1,0))/100,0),""))),"")</f>
        <v>26</v>
      </c>
      <c r="AR105" s="39" t="n">
        <f aca="false">IFERROR(IF($C105="","",IF($D105="","",IFERROR(ROUND($D105*INDEX('🔖 배합비 참조'!$B$2:$CE$83,MATCH("모시잎(국내산)",'🔖 배합비 참조'!$A$2:$A$83,0),MATCH($C105,'🔖 배합비 참조'!$B$1:$CE$1,0))/100,0),""))),"")</f>
        <v>0</v>
      </c>
      <c r="AS105" s="39" t="n">
        <f aca="false">IFERROR(IF($C105="","",IF($D105="","",IFERROR(ROUND($D105*INDEX('🔖 배합비 참조'!$B$2:$CE$83,MATCH("물엿(저당물엿)",'🔖 배합비 참조'!$A$2:$A$83,0),MATCH($C105,'🔖 배합비 참조'!$B$1:$CE$1,0))/100,0),""))),"")</f>
        <v>0</v>
      </c>
      <c r="AT105" s="39" t="n">
        <f aca="false">IFERROR(IF($C105="","",IF($D105="","",IFERROR(ROUND($D105*INDEX('🔖 배합비 참조'!$B$2:$CE$83,MATCH("밤다이스",'🔖 배합비 참조'!$A$2:$A$83,0),MATCH($C105,'🔖 배합비 참조'!$B$1:$CE$1,0))/100,0),""))),"")</f>
        <v>0</v>
      </c>
      <c r="AU105" s="39" t="n">
        <f aca="false">IFERROR(IF($C105="","",IF($D105="","",IFERROR(ROUND($D105*INDEX('🔖 배합비 참조'!$B$2:$CE$83,MATCH("변성전분(타피오카전분)",'🔖 배합비 참조'!$A$2:$A$83,0),MATCH($C105,'🔖 배합비 참조'!$B$1:$CE$1,0))/100,0),""))),"")</f>
        <v>0</v>
      </c>
      <c r="AV105" s="39" t="n">
        <f aca="false">IFERROR(IF($C105="","",IF($D105="","",IFERROR(ROUND($D105*INDEX('🔖 배합비 참조'!$B$2:$CE$83,MATCH("복음땅콩분태",'🔖 배합비 참조'!$A$2:$A$83,0),MATCH($C105,'🔖 배합비 참조'!$B$1:$CE$1,0))/100,0),""))),"")</f>
        <v>0</v>
      </c>
      <c r="AW105" s="39" t="n">
        <f aca="false">IFERROR(IF($C105="","",IF($D105="","",IFERROR(ROUND($D105*INDEX('🔖 배합비 참조'!$B$2:$CE$83,MATCH("사양벌꿀(국내산)",'🔖 배합비 참조'!$A$2:$A$83,0),MATCH($C105,'🔖 배합비 참조'!$B$1:$CE$1,0))/100,0),""))),"")</f>
        <v>0</v>
      </c>
      <c r="AX105" s="39" t="n">
        <f aca="false">IFERROR(IF($C105="","",IF($D105="","",IFERROR(ROUND($D105*INDEX('🔖 배합비 참조'!$B$2:$CE$83,MATCH("생크림",'🔖 배합비 참조'!$A$2:$A$83,0),MATCH($C105,'🔖 배합비 참조'!$B$1:$CE$1,0))/100,0),""))),"")</f>
        <v>0</v>
      </c>
      <c r="AY105" s="39" t="n">
        <f aca="false">IFERROR(IF($C105="","",IF($D105="","",IFERROR(ROUND($D105*INDEX('🔖 배합비 참조'!$B$2:$CE$83,MATCH("서양호박(국내산,뉴질랜드산)",'🔖 배합비 참조'!$A$2:$A$83,0),MATCH($C105,'🔖 배합비 참조'!$B$1:$CE$1,0))/100,0),""))),"")</f>
        <v>0</v>
      </c>
      <c r="AZ105" s="39" t="n">
        <f aca="false">IFERROR(IF($C105="","",IF($D105="","",IFERROR(ROUND($D105*INDEX('🔖 배합비 참조'!$B$2:$CE$83,MATCH("설탕",'🔖 배합비 참조'!$A$2:$A$83,0),MATCH($C105,'🔖 배합비 참조'!$B$1:$CE$1,0))/100,0),""))),"")</f>
        <v>0</v>
      </c>
      <c r="BA105" s="39" t="n">
        <f aca="false">IFERROR(IF($C105="","",IF($D105="","",IFERROR(ROUND($D105*INDEX('🔖 배합비 참조'!$B$2:$CE$83,MATCH("스트로우베리 에이드 후레쉬",'🔖 배합비 참조'!$A$2:$A$83,0),MATCH($C105,'🔖 배합비 참조'!$B$1:$CE$1,0))/100,0),""))),"")</f>
        <v>0</v>
      </c>
      <c r="BB105" s="39" t="n">
        <f aca="false">IFERROR(IF($C105="","",IF($D105="","",IFERROR(ROUND($D105*INDEX('🔖 배합비 참조'!$B$2:$CE$83,MATCH("식물성기름혼합제제(분홍)",'🔖 배합비 참조'!$A$2:$A$83,0),MATCH($C105,'🔖 배합비 참조'!$B$1:$CE$1,0))/100,0),""))),"")</f>
        <v>0</v>
      </c>
      <c r="BC105" s="39" t="n">
        <f aca="false">IFERROR(IF($C105="","",IF($D105="","",IFERROR(ROUND($D105*INDEX('🔖 배합비 참조'!$B$2:$CE$83,MATCH("식물성기름혼합제제(초록)",'🔖 배합비 참조'!$A$2:$A$83,0),MATCH($C105,'🔖 배합비 참조'!$B$1:$CE$1,0))/100,0),""))),"")</f>
        <v>0</v>
      </c>
      <c r="BD105" s="39" t="n">
        <f aca="false">IFERROR(IF($C105="","",IF($D105="","",IFERROR(ROUND($D105*INDEX('🔖 배합비 참조'!$B$2:$CE$83,MATCH("식물성기름혼합제제(황색)",'🔖 배합비 참조'!$A$2:$A$83,0),MATCH($C105,'🔖 배합비 참조'!$B$1:$CE$1,0))/100,0),""))),"")</f>
        <v>0</v>
      </c>
      <c r="BE105" s="39" t="n">
        <f aca="false">IFERROR(IF($C105="","",IF($D105="","",IFERROR(ROUND($D105*INDEX('🔖 배합비 참조'!$B$2:$CE$83,MATCH("쑥가루(국내산)",'🔖 배합비 참조'!$A$2:$A$83,0),MATCH($C105,'🔖 배합비 참조'!$B$1:$CE$1,0))/100,0),""))),"")</f>
        <v>0</v>
      </c>
      <c r="BF105" s="39" t="n">
        <f aca="false">IFERROR(IF($C105="","",IF($D105="","",IFERROR(ROUND($D105*INDEX('🔖 배합비 참조'!$B$2:$CE$83,MATCH("아몬드슬라이스",'🔖 배합비 참조'!$A$2:$A$83,0),MATCH($C105,'🔖 배합비 참조'!$B$1:$CE$1,0))/100,0),""))),"")</f>
        <v>0</v>
      </c>
      <c r="BG105" s="39" t="n">
        <f aca="false">IFERROR(IF($C105="","",IF($D105="","",IFERROR(ROUND($D105*INDEX('🔖 배합비 참조'!$B$2:$CE$83,MATCH("알룰로오스(국내산)",'🔖 배합비 참조'!$A$2:$A$83,0),MATCH($C105,'🔖 배합비 참조'!$B$1:$CE$1,0))/100,0),""))),"")</f>
        <v>0</v>
      </c>
      <c r="BH105" s="39" t="n">
        <f aca="false">IFERROR(IF($C105="","",IF($D105="","",IFERROR(ROUND($D105*INDEX('🔖 배합비 참조'!$B$2:$CE$83,MATCH("연유",'🔖 배합비 참조'!$A$2:$A$83,0),MATCH($C105,'🔖 배합비 참조'!$B$1:$CE$1,0))/100,0),""))),"")</f>
        <v>0</v>
      </c>
      <c r="BI105" s="39" t="n">
        <f aca="false">IFERROR(IF($C105="","",IF($D105="","",IFERROR(ROUND($D105*INDEX('🔖 배합비 참조'!$B$2:$CE$83,MATCH("옥수수전분",'🔖 배합비 참조'!$A$2:$A$83,0),MATCH($C105,'🔖 배합비 참조'!$B$1:$CE$1,0))/100,0),""))),"")</f>
        <v>0</v>
      </c>
      <c r="BJ105" s="39" t="n">
        <f aca="false">IFERROR(IF($C105="","",IF($D105="","",IFERROR(ROUND($D105*INDEX('🔖 배합비 참조'!$B$2:$CE$83,MATCH("완두배기",'🔖 배합비 참조'!$A$2:$A$83,0),MATCH($C105,'🔖 배합비 참조'!$B$1:$CE$1,0))/100,0),""))),"")</f>
        <v>0</v>
      </c>
      <c r="BK105" s="39" t="n">
        <f aca="false">IFERROR(IF($C105="","",IF($D105="","",IFERROR(ROUND($D105*INDEX('🔖 배합비 참조'!$B$2:$CE$83,MATCH("우유(국내산)",'🔖 배합비 참조'!$A$2:$A$83,0),MATCH($C105,'🔖 배합비 참조'!$B$1:$CE$1,0))/100,0),""))),"")</f>
        <v>0</v>
      </c>
      <c r="BL105" s="39" t="n">
        <f aca="false">IFERROR(IF($C105="","",IF($D105="","",IFERROR(ROUND($D105*INDEX('🔖 배합비 참조'!$B$2:$CE$83,MATCH("자색고구마가루(중국산)",'🔖 배합비 참조'!$A$2:$A$83,0),MATCH($C105,'🔖 배합비 참조'!$B$1:$CE$1,0))/100,0),""))),"")</f>
        <v>0</v>
      </c>
      <c r="BM105" s="39" t="n">
        <f aca="false">IFERROR(IF($C105="","",IF($D105="","",IFERROR(ROUND($D105*INDEX('🔖 배합비 참조'!$B$2:$CE$83,MATCH("자연치즈(체다치즈)",'🔖 배합비 참조'!$A$2:$A$83,0),MATCH($C105,'🔖 배합비 참조'!$B$1:$CE$1,0))/100,0),""))),"")</f>
        <v>0</v>
      </c>
      <c r="BN105" s="39" t="n">
        <f aca="false">IFERROR(IF($C105="","",IF($D105="","",IFERROR(ROUND($D105*INDEX('🔖 배합비 참조'!$B$2:$CE$83,MATCH("정제수",'🔖 배합비 참조'!$A$2:$A$83,0),MATCH($C105,'🔖 배합비 참조'!$B$1:$CE$1,0))/100,0),""))),"")</f>
        <v>0</v>
      </c>
      <c r="BO105" s="39" t="n">
        <f aca="false">IFERROR(IF($C105="","",IF($D105="","",IFERROR(ROUND($D105*INDEX('🔖 배합비 참조'!$B$2:$CE$83,MATCH("젤라틴",'🔖 배합비 참조'!$A$2:$A$83,0),MATCH($C105,'🔖 배합비 참조'!$B$1:$CE$1,0))/100,0),""))),"")</f>
        <v>0</v>
      </c>
      <c r="BP105" s="39" t="n">
        <f aca="false">IFERROR(IF($C105="","",IF($D105="","",IFERROR(ROUND($D105*INDEX('🔖 배합비 참조'!$B$2:$CE$83,MATCH("조림류(백옥앙금)",'🔖 배합비 참조'!$A$2:$A$83,0),MATCH($C105,'🔖 배합비 참조'!$B$1:$CE$1,0))/100,0),""))),"")</f>
        <v>0</v>
      </c>
      <c r="BQ105" s="39" t="n">
        <f aca="false">IFERROR(IF($C105="","",IF($D105="","",IFERROR(ROUND($D105*INDEX('🔖 배합비 참조'!$B$2:$CE$83,MATCH("조림류(통팥앙금)",'🔖 배합비 참조'!$A$2:$A$83,0),MATCH($C105,'🔖 배합비 참조'!$B$1:$CE$1,0))/100,0),""))),"")</f>
        <v>0</v>
      </c>
      <c r="BR105" s="39" t="n">
        <f aca="false">IFERROR(IF($C105="","",IF($D105="","",IFERROR(ROUND($D105*INDEX('🔖 배합비 참조'!$B$2:$CE$83,MATCH("준초콜릿(외국산)",'🔖 배합비 참조'!$A$2:$A$83,0),MATCH($C105,'🔖 배합비 참조'!$B$1:$CE$1,0))/100,0),""))),"")</f>
        <v>0</v>
      </c>
      <c r="BS105" s="39" t="n">
        <f aca="false">IFERROR(IF($C105="","",IF($D105="","",IFERROR(ROUND($D105*INDEX('🔖 배합비 참조'!$B$2:$CE$83,MATCH("중력분",'🔖 배합비 참조'!$A$2:$A$83,0),MATCH($C105,'🔖 배합비 참조'!$B$1:$CE$1,0))/100,0),""))),"")</f>
        <v>0</v>
      </c>
      <c r="BT105" s="39" t="n">
        <f aca="false">IFERROR(IF($C105="","",IF($D105="","",IFERROR(ROUND($D105*INDEX('🔖 배합비 참조'!$B$2:$CE$83,MATCH("참깨(인도산,나이지리아산,탄자니아산,미얀마산)",'🔖 배합비 참조'!$A$2:$A$83,0),MATCH($C105,'🔖 배합비 참조'!$B$1:$CE$1,0))/100,0),""))),"")</f>
        <v>0</v>
      </c>
      <c r="BU105" s="39" t="n">
        <f aca="false">IFERROR(IF($C105="","",IF($D105="","",IFERROR(ROUND($D105*INDEX('🔖 배합비 참조'!$B$2:$CE$83,MATCH("찹쌀(국내산)",'🔖 배합비 참조'!$A$2:$A$83,0),MATCH($C105,'🔖 배합비 참조'!$B$1:$CE$1,0))/100,0),""))),"")</f>
        <v>0</v>
      </c>
      <c r="BV105" s="39" t="n">
        <f aca="false">IFERROR(IF($C105="","",IF($D105="","",IFERROR(ROUND($D105*INDEX('🔖 배합비 참조'!$B$2:$CE$83,MATCH("천일염",'🔖 배합비 참조'!$A$2:$A$83,0),MATCH($C105,'🔖 배합비 참조'!$B$1:$CE$1,0))/100,0),""))),"")</f>
        <v>0</v>
      </c>
      <c r="BW105" s="39" t="n">
        <f aca="false">IFERROR(IF($C105="","",IF($D105="","",IFERROR(ROUND($D105*INDEX('🔖 배합비 참조'!$B$2:$CE$83,MATCH("치즈 [크림치즈]",'🔖 배합비 참조'!$A$2:$A$83,0),MATCH($C105,'🔖 배합비 참조'!$B$1:$CE$1,0))/100,0),""))),"")</f>
        <v>0</v>
      </c>
      <c r="BX105" s="39" t="n">
        <f aca="false">IFERROR(IF($C105="","",IF($D105="","",IFERROR(ROUND($D105*INDEX('🔖 배합비 참조'!$B$2:$CE$83,MATCH("코코아가공품류(코코아분말)",'🔖 배합비 참조'!$A$2:$A$83,0),MATCH($C105,'🔖 배합비 참조'!$B$1:$CE$1,0))/100,0),""))),"")</f>
        <v>0</v>
      </c>
      <c r="BY105" s="39" t="n">
        <f aca="false">IFERROR(IF($C105="","",IF($D105="","",IFERROR(ROUND($D105*INDEX('🔖 배합비 참조'!$B$2:$CE$83,MATCH("콩기름(대두유)",'🔖 배합비 참조'!$A$2:$A$83,0),MATCH($C105,'🔖 배합비 참조'!$B$1:$CE$1,0))/100,0),""))),"")</f>
        <v>0</v>
      </c>
      <c r="BZ105" s="39" t="n">
        <f aca="false">IFERROR(IF($C105="","",IF($D105="","",IFERROR(ROUND($D105*INDEX('🔖 배합비 참조'!$B$2:$CE$83,MATCH("해바라기씨앗",'🔖 배합비 참조'!$A$2:$A$83,0),MATCH($C105,'🔖 배합비 참조'!$B$1:$CE$1,0))/100,0),""))),"")</f>
        <v>0</v>
      </c>
      <c r="CA105" s="39" t="n">
        <f aca="false">IFERROR(IF($C105="","",IF($D105="","",IFERROR(ROUND($D105*INDEX('🔖 배합비 참조'!$B$2:$CE$83,MATCH("현미(국내산)",'🔖 배합비 참조'!$A$2:$A$83,0),MATCH($C105,'🔖 배합비 참조'!$B$1:$CE$1,0))/100,0),""))),"")</f>
        <v>0</v>
      </c>
      <c r="CB105" s="39" t="n">
        <f aca="false">IFERROR(IF($C105="","",IF($D105="","",IFERROR(ROUND($D105*INDEX('🔖 배합비 참조'!$B$2:$CE$83,MATCH("현미멥쌀(국내산)",'🔖 배합비 참조'!$A$2:$A$83,0),MATCH($C105,'🔖 배합비 참조'!$B$1:$CE$1,0))/100,0),""))),"")</f>
        <v>0</v>
      </c>
      <c r="CC105" s="39" t="n">
        <f aca="false">IFERROR(IF($C105="","",IF($D105="","",IFERROR(ROUND($D105*INDEX('🔖 배합비 참조'!$B$2:$CE$83,MATCH("호두분태(미국산)",'🔖 배합비 참조'!$A$2:$A$83,0),MATCH($C105,'🔖 배합비 참조'!$B$1:$CE$1,0))/100,0),""))),"")</f>
        <v>0</v>
      </c>
      <c r="CD105" s="39" t="n">
        <f aca="false">IFERROR(IF($C105="","",IF($D105="","",IFERROR(ROUND($D105*INDEX('🔖 배합비 참조'!$B$2:$CE$83,MATCH("호박씨앗(외국산)",'🔖 배합비 참조'!$A$2:$A$83,0),MATCH($C105,'🔖 배합비 참조'!$B$1:$CE$1,0))/100,0),""))),"")</f>
        <v>0</v>
      </c>
      <c r="CE105" s="39" t="n">
        <f aca="false">IFERROR(IF($C105="","",IF($D105="","",IFERROR(ROUND($D105*INDEX('🔖 배합비 참조'!$B$2:$CE$83,MATCH("혼합제제(떡용에스텔)",'🔖 배합비 참조'!$A$2:$A$83,0),MATCH($C105,'🔖 배합비 참조'!$B$1:$CE$1,0))/100,0),""))),"")</f>
        <v>0</v>
      </c>
      <c r="CF105" s="39" t="n">
        <f aca="false">IFERROR(IF($C105="","",IF($D105="","",IFERROR(ROUND($D105*INDEX('🔖 배합비 참조'!$B$2:$CE$83,MATCH("혼합제제(스테비아)",'🔖 배합비 참조'!$A$2:$A$83,0),MATCH($C105,'🔖 배합비 참조'!$B$1:$CE$1,0))/100,0),""))),"")</f>
        <v>0</v>
      </c>
      <c r="CG105" s="39" t="n">
        <f aca="false">IFERROR(IF($C105="","",IF($D105="","",IFERROR(ROUND($D105*INDEX('🔖 배합비 참조'!$B$2:$CE$83,MATCH("화이트초콜릿",'🔖 배합비 참조'!$A$2:$A$83,0),MATCH($C105,'🔖 배합비 참조'!$B$1:$CE$1,0))/100,0),""))),"")</f>
        <v>0</v>
      </c>
      <c r="CH105" s="39" t="n">
        <f aca="false">IFERROR(IF($C105="","",IF($D105="","",IFERROR(ROUND($D105*INDEX('🔖 배합비 참조'!$B$2:$CE$83,MATCH("흑미찹쌀(국내산)",'🔖 배합비 참조'!$A$2:$A$83,0),MATCH($C105,'🔖 배합비 참조'!$B$1:$CE$1,0))/100,0),""))),"")</f>
        <v>0</v>
      </c>
      <c r="CI105" s="39" t="n">
        <f aca="false">IFERROR(IF($C105="","",IF($D105="","",IFERROR(ROUND($D105*INDEX('🔖 배합비 참조'!$B$2:$CE$83,MATCH("찰옥수수전분(미국산)",'🔖 배합비 참조'!$A$2:$A$83,0),MATCH($C105,'🔖 배합비 참조'!$B$1:$CE$1,0))/100,0),""))),"")</f>
        <v>0</v>
      </c>
      <c r="CJ105" s="40"/>
      <c r="CL105" s="1" t="s">
        <v>239</v>
      </c>
    </row>
    <row r="106" customFormat="false" ht="18" hidden="false" customHeight="true" outlineLevel="0" collapsed="false">
      <c r="A106" s="41" t="n">
        <v>102</v>
      </c>
      <c r="B106" s="36" t="n">
        <v>45995</v>
      </c>
      <c r="C106" s="37" t="s">
        <v>222</v>
      </c>
      <c r="D106" s="38" t="n">
        <v>70</v>
      </c>
      <c r="E106" s="17"/>
      <c r="F106" s="17"/>
      <c r="G106" s="42" t="n">
        <f aca="false">IFERROR(IF($C106="","",IF($D106="","",IFERROR(ROUND($D106*INDEX('🔖 배합비 참조'!$B$2:$CE$83,MATCH("간장",'🔖 배합비 참조'!$A$2:$A$83,0),MATCH($C106,'🔖 배합비 참조'!$B$1:$CE$1,0))/100,0),""))),"")</f>
        <v>0</v>
      </c>
      <c r="H106" s="42" t="n">
        <f aca="false">IFERROR(IF($C106="","",IF($D106="","",IFERROR(ROUND($D106*INDEX('🔖 배합비 참조'!$B$2:$CE$83,MATCH("강낭콩((울타리콩))",'🔖 배합비 참조'!$A$2:$A$83,0),MATCH($C106,'🔖 배합비 참조'!$B$1:$CE$1,0))/100,0),""))),"")</f>
        <v>0</v>
      </c>
      <c r="I106" s="42" t="n">
        <f aca="false">IFERROR(IF($C106="","",IF($D106="","",IFERROR(ROUND($D106*INDEX('🔖 배합비 참조'!$B$2:$CE$83,MATCH("건조딸기다이스(외국산)",'🔖 배합비 참조'!$A$2:$A$83,0),MATCH($C106,'🔖 배합비 참조'!$B$1:$CE$1,0))/100,0),""))),"")</f>
        <v>0</v>
      </c>
      <c r="J106" s="42" t="n">
        <f aca="false">IFERROR(IF($C106="","",IF($D106="","",IFERROR(ROUND($D106*INDEX('🔖 배합비 참조'!$B$2:$CE$83,MATCH("건포도",'🔖 배합비 참조'!$A$2:$A$83,0),MATCH($C106,'🔖 배합비 참조'!$B$1:$CE$1,0))/100,0),""))),"")</f>
        <v>0</v>
      </c>
      <c r="K106" s="42" t="n">
        <f aca="false">IFERROR(IF($C106="","",IF($D106="","",IFERROR(ROUND($D106*INDEX('🔖 배합비 참조'!$B$2:$CE$83,MATCH("건호박채(중국산)",'🔖 배합비 참조'!$A$2:$A$83,0),MATCH($C106,'🔖 배합비 참조'!$B$1:$CE$1,0))/100,0),""))),"")</f>
        <v>0</v>
      </c>
      <c r="L106" s="42" t="n">
        <f aca="false">IFERROR(IF($C106="","",IF($D106="","",IFERROR(ROUND($D106*INDEX('🔖 배합비 참조'!$B$2:$CE$83,MATCH("검정깨(흑임자)",'🔖 배합비 참조'!$A$2:$A$83,0),MATCH($C106,'🔖 배합비 참조'!$B$1:$CE$1,0))/100,0),""))),"")</f>
        <v>0</v>
      </c>
      <c r="M106" s="42" t="n">
        <f aca="false">IFERROR(IF($C106="","",IF($D106="","",IFERROR(ROUND($D106*INDEX('🔖 배합비 참조'!$B$2:$CE$83,MATCH("검정콩",'🔖 배합비 참조'!$A$2:$A$83,0),MATCH($C106,'🔖 배합비 참조'!$B$1:$CE$1,0))/100,0),""))),"")</f>
        <v>0</v>
      </c>
      <c r="N106" s="42" t="n">
        <f aca="false">IFERROR(IF($C106="","",IF($D106="","",IFERROR(ROUND($D106*INDEX('🔖 배합비 참조'!$B$2:$CE$83,MATCH("계피가루",'🔖 배합비 참조'!$A$2:$A$83,0),MATCH($C106,'🔖 배합비 참조'!$B$1:$CE$1,0))/100,0),""))),"")</f>
        <v>0</v>
      </c>
      <c r="O106" s="42" t="n">
        <f aca="false">IFERROR(IF($C106="","",IF($D106="","",IFERROR(ROUND($D106*INDEX('🔖 배합비 참조'!$B$2:$CE$83,MATCH("고구마가루",'🔖 배합비 참조'!$A$2:$A$83,0),MATCH($C106,'🔖 배합비 참조'!$B$1:$CE$1,0))/100,0),""))),"")</f>
        <v>0</v>
      </c>
      <c r="P106" s="42" t="n">
        <f aca="false">IFERROR(IF($C106="","",IF($D106="","",IFERROR(ROUND($D106*INDEX('🔖 배합비 참조'!$B$2:$CE$83,MATCH("고구마무스",'🔖 배합비 참조'!$A$2:$A$83,0),MATCH($C106,'🔖 배합비 참조'!$B$1:$CE$1,0))/100,0),""))),"")</f>
        <v>0</v>
      </c>
      <c r="Q106" s="42" t="n">
        <f aca="false">IFERROR(IF($C106="","",IF($D106="","",IFERROR(ROUND($D106*INDEX('🔖 배합비 참조'!$B$2:$CE$83,MATCH("고려엉겅퀴((곤드레)국내산)",'🔖 배합비 참조'!$A$2:$A$83,0),MATCH($C106,'🔖 배합비 참조'!$B$1:$CE$1,0))/100,0),""))),"")</f>
        <v>0</v>
      </c>
      <c r="R106" s="42" t="n">
        <f aca="false">IFERROR(IF($C106="","",IF($D106="","",IFERROR(ROUND($D106*INDEX('🔖 배합비 참조'!$B$2:$CE$83,MATCH("기타가공품(복분자가루)",'🔖 배합비 참조'!$A$2:$A$83,0),MATCH($C106,'🔖 배합비 참조'!$B$1:$CE$1,0))/100,0),""))),"")</f>
        <v>0</v>
      </c>
      <c r="S106" s="42" t="n">
        <f aca="false">IFERROR(IF($C106="","",IF($D106="","",IFERROR(ROUND($D106*INDEX('🔖 배합비 참조'!$B$2:$CE$83,MATCH("기타가공품(슈퍼소프트엠)",'🔖 배합비 참조'!$A$2:$A$83,0),MATCH($C106,'🔖 배합비 참조'!$B$1:$CE$1,0))/100,0),""))),"")</f>
        <v>0</v>
      </c>
      <c r="T106" s="42" t="n">
        <f aca="false">IFERROR(IF($C106="","",IF($D106="","",IFERROR(ROUND($D106*INDEX('🔖 배합비 참조'!$B$2:$CE$83,MATCH("기타가공품(파인소프트 E-티)",'🔖 배합비 참조'!$A$2:$A$83,0),MATCH($C106,'🔖 배합비 참조'!$B$1:$CE$1,0))/100,0),""))),"")</f>
        <v>0</v>
      </c>
      <c r="U106" s="42" t="n">
        <f aca="false">IFERROR(IF($C106="","",IF($D106="","",IFERROR(ROUND($D106*INDEX('🔖 배합비 참조'!$B$2:$CE$83,MATCH("기타가공품(프리미엄카스테라가루)",'🔖 배합비 참조'!$A$2:$A$83,0),MATCH($C106,'🔖 배합비 참조'!$B$1:$CE$1,0))/100,0),""))),"")</f>
        <v>5</v>
      </c>
      <c r="V106" s="42" t="n">
        <f aca="false">IFERROR(IF($C106="","",IF($D106="","",IFERROR(ROUND($D106*INDEX('🔖 배합비 참조'!$B$2:$CE$83,MATCH("기타가공품(흑임자가루)",'🔖 배합비 참조'!$A$2:$A$83,0),MATCH($C106,'🔖 배합비 참조'!$B$1:$CE$1,0))/100,0),""))),"")</f>
        <v>0</v>
      </c>
      <c r="W106" s="42" t="n">
        <f aca="false">IFERROR(IF($C106="","",IF($D106="","",IFERROR(ROUND($D106*INDEX('🔖 배합비 참조'!$B$2:$CE$83,MATCH("기타설탕(흑설탕)",'🔖 배합비 참조'!$A$2:$A$83,0),MATCH($C106,'🔖 배합비 참조'!$B$1:$CE$1,0))/100,0),""))),"")</f>
        <v>0</v>
      </c>
      <c r="X106" s="42" t="n">
        <f aca="false">IFERROR(IF($C106="","",IF($D106="","",IFERROR(ROUND($D106*INDEX('🔖 배합비 참조'!$B$2:$CE$83,MATCH("냉동쑥(국내산)",'🔖 배합비 참조'!$A$2:$A$83,0),MATCH($C106,'🔖 배합비 참조'!$B$1:$CE$1,0))/100,0),""))),"")</f>
        <v>4</v>
      </c>
      <c r="Y106" s="42" t="n">
        <f aca="false">IFERROR(IF($C106="","",IF($D106="","",IFERROR(ROUND($D106*INDEX('🔖 배합비 참조'!$B$2:$CE$83,MATCH("냉동증숙고구마(중국산)",'🔖 배합비 참조'!$A$2:$A$83,0),MATCH($C106,'🔖 배합비 참조'!$B$1:$CE$1,0))/100,0),""))),"")</f>
        <v>0</v>
      </c>
      <c r="Z106" s="42" t="n">
        <f aca="false">IFERROR(IF($C106="","",IF($D106="","",IFERROR(ROUND($D106*INDEX('🔖 배합비 참조'!$B$2:$CE$83,MATCH("녹차가루",'🔖 배합비 참조'!$A$2:$A$83,0),MATCH($C106,'🔖 배합비 참조'!$B$1:$CE$1,0))/100,0),""))),"")</f>
        <v>0</v>
      </c>
      <c r="AA106" s="42" t="n">
        <f aca="false">IFERROR(IF($C106="","",IF($D106="","",IFERROR(ROUND($D106*INDEX('🔖 배합비 참조'!$B$2:$CE$83,MATCH("다크초콜릿 컴파운드칩",'🔖 배합비 참조'!$A$2:$A$83,0),MATCH($C106,'🔖 배합비 참조'!$B$1:$CE$1,0))/100,0),""))),"")</f>
        <v>0</v>
      </c>
      <c r="AB106" s="42" t="n">
        <f aca="false">IFERROR(IF($C106="","",IF($D106="","",IFERROR(ROUND($D106*INDEX('🔖 배합비 참조'!$B$2:$CE$83,MATCH("단호박분말(중국산)",'🔖 배합비 참조'!$A$2:$A$83,0),MATCH($C106,'🔖 배합비 참조'!$B$1:$CE$1,0))/100,0),""))),"")</f>
        <v>0</v>
      </c>
      <c r="AC106" s="42" t="n">
        <f aca="false">IFERROR(IF($C106="","",IF($D106="","",IFERROR(ROUND($D106*INDEX('🔖 배합비 참조'!$B$2:$CE$83,MATCH("당류가공품(단호박농축액)",'🔖 배합비 참조'!$A$2:$A$83,0),MATCH($C106,'🔖 배합비 참조'!$B$1:$CE$1,0))/100,0),""))),"")</f>
        <v>0</v>
      </c>
      <c r="AD106" s="42" t="n">
        <f aca="false">IFERROR(IF($C106="","",IF($D106="","",IFERROR(ROUND($D106*INDEX('🔖 배합비 참조'!$B$2:$CE$83,MATCH("당류가공품(알룰로스,에리스리톨,스테비올배당체혼합)",'🔖 배합비 참조'!$A$2:$A$83,0),MATCH($C106,'🔖 배합비 참조'!$B$1:$CE$1,0))/100,0),""))),"")</f>
        <v>0</v>
      </c>
      <c r="AE106" s="42" t="n">
        <f aca="false">IFERROR(IF($C106="","",IF($D106="","",IFERROR(ROUND($D106*INDEX('🔖 배합비 참조'!$B$2:$CE$83,MATCH("당류가공품(알룰로스제로파우더)",'🔖 배합비 참조'!$A$2:$A$83,0),MATCH($C106,'🔖 배합비 참조'!$B$1:$CE$1,0))/100,0),""))),"")</f>
        <v>0</v>
      </c>
      <c r="AF106" s="42" t="n">
        <f aca="false">IFERROR(IF($C106="","",IF($D106="","",IFERROR(ROUND($D106*INDEX('🔖 배합비 참조'!$B$2:$CE$83,MATCH("당절임(완두배기)",'🔖 배합비 참조'!$A$2:$A$83,0),MATCH($C106,'🔖 배합비 참조'!$B$1:$CE$1,0))/100,0),""))),"")</f>
        <v>0</v>
      </c>
      <c r="AG106" s="42" t="n">
        <f aca="false">IFERROR(IF($C106="","",IF($D106="","",IFERROR(ROUND($D106*INDEX('🔖 배합비 참조'!$B$2:$CE$83,MATCH("대추농축액",'🔖 배합비 참조'!$A$2:$A$83,0),MATCH($C106,'🔖 배합비 참조'!$B$1:$CE$1,0))/100,0),""))),"")</f>
        <v>0</v>
      </c>
      <c r="AH106" s="42" t="n">
        <f aca="false">IFERROR(IF($C106="","",IF($D106="","",IFERROR(ROUND($D106*INDEX('🔖 배합비 참조'!$B$2:$CE$83,MATCH("대추채(국내산)",'🔖 배합비 참조'!$A$2:$A$83,0),MATCH($C106,'🔖 배합비 참조'!$B$1:$CE$1,0))/100,0),""))),"")</f>
        <v>0</v>
      </c>
      <c r="AI106" s="42" t="n">
        <f aca="false">IFERROR(IF($C106="","",IF($D106="","",IFERROR(ROUND($D106*INDEX('🔖 배합비 참조'!$B$2:$CE$83,MATCH("동부(미얀마산)",'🔖 배합비 참조'!$A$2:$A$83,0),MATCH($C106,'🔖 배합비 참조'!$B$1:$CE$1,0))/100,0),""))),"")</f>
        <v>5</v>
      </c>
      <c r="AJ106" s="42" t="n">
        <f aca="false">IFERROR(IF($C106="","",IF($D106="","",IFERROR(ROUND($D106*INDEX('🔖 배합비 참조'!$B$2:$CE$83,MATCH("두류가공품(백옥앙금)",'🔖 배합비 참조'!$A$2:$A$83,0),MATCH($C106,'🔖 배합비 참조'!$B$1:$CE$1,0))/100,0),""))),"")</f>
        <v>0</v>
      </c>
      <c r="AK106" s="42" t="n">
        <f aca="false">IFERROR(IF($C106="","",IF($D106="","",IFERROR(ROUND($D106*INDEX('🔖 배합비 참조'!$B$2:$CE$83,MATCH("두류가공품(콩고물)",'🔖 배합비 참조'!$A$2:$A$83,0),MATCH($C106,'🔖 배합비 참조'!$B$1:$CE$1,0))/100,0),""))),"")</f>
        <v>0</v>
      </c>
      <c r="AL106" s="42" t="n">
        <f aca="false">IFERROR(IF($C106="","",IF($D106="","",IFERROR(ROUND($D106*INDEX('🔖 배합비 참조'!$B$2:$CE$83,MATCH("두류가공품(통팥고물)",'🔖 배합비 참조'!$A$2:$A$83,0),MATCH($C106,'🔖 배합비 참조'!$B$1:$CE$1,0))/100,0),""))),"")</f>
        <v>0</v>
      </c>
      <c r="AM106" s="42" t="n">
        <f aca="false">IFERROR(IF($C106="","",IF($D106="","",IFERROR(ROUND($D106*INDEX('🔖 배합비 참조'!$B$2:$CE$83,MATCH("딸기레진",'🔖 배합비 참조'!$A$2:$A$83,0),MATCH($C106,'🔖 배합비 참조'!$B$1:$CE$1,0))/100,0),""))),"")</f>
        <v>0</v>
      </c>
      <c r="AN106" s="42" t="n">
        <f aca="false">IFERROR(IF($C106="","",IF($D106="","",IFERROR(ROUND($D106*INDEX('🔖 배합비 참조'!$B$2:$CE$83,MATCH("딸기분말(스트로우베리에이드(분말))",'🔖 배합비 참조'!$A$2:$A$83,0),MATCH($C106,'🔖 배합비 참조'!$B$1:$CE$1,0))/100,0),""))),"")</f>
        <v>0</v>
      </c>
      <c r="AO106" s="42" t="n">
        <f aca="false">IFERROR(IF($C106="","",IF($D106="","",IFERROR(ROUND($D106*INDEX('🔖 배합비 참조'!$B$2:$CE$83,MATCH("마스카포네치즈",'🔖 배합비 참조'!$A$2:$A$83,0),MATCH($C106,'🔖 배합비 참조'!$B$1:$CE$1,0))/100,0),""))),"")</f>
        <v>0</v>
      </c>
      <c r="AP106" s="42" t="n">
        <f aca="false">IFERROR(IF($C106="","",IF($D106="","",IFERROR(ROUND($D106*INDEX('🔖 배합비 참조'!$B$2:$CE$83,MATCH("마카다미아분태(호주산)",'🔖 배합비 참조'!$A$2:$A$83,0),MATCH($C106,'🔖 배합비 참조'!$B$1:$CE$1,0))/100,0),""))),"")</f>
        <v>0</v>
      </c>
      <c r="AQ106" s="42" t="n">
        <f aca="false">IFERROR(IF($C106="","",IF($D106="","",IFERROR(ROUND($D106*INDEX('🔖 배합비 참조'!$B$2:$CE$83,MATCH("멥쌀(국내산)",'🔖 배합비 참조'!$A$2:$A$83,0),MATCH($C106,'🔖 배합비 참조'!$B$1:$CE$1,0))/100,0),""))),"")</f>
        <v>0</v>
      </c>
      <c r="AR106" s="42" t="n">
        <f aca="false">IFERROR(IF($C106="","",IF($D106="","",IFERROR(ROUND($D106*INDEX('🔖 배합비 참조'!$B$2:$CE$83,MATCH("모시잎(국내산)",'🔖 배합비 참조'!$A$2:$A$83,0),MATCH($C106,'🔖 배합비 참조'!$B$1:$CE$1,0))/100,0),""))),"")</f>
        <v>0</v>
      </c>
      <c r="AS106" s="42" t="n">
        <f aca="false">IFERROR(IF($C106="","",IF($D106="","",IFERROR(ROUND($D106*INDEX('🔖 배합비 참조'!$B$2:$CE$83,MATCH("물엿(저당물엿)",'🔖 배합비 참조'!$A$2:$A$83,0),MATCH($C106,'🔖 배합비 참조'!$B$1:$CE$1,0))/100,0),""))),"")</f>
        <v>2</v>
      </c>
      <c r="AT106" s="42" t="n">
        <f aca="false">IFERROR(IF($C106="","",IF($D106="","",IFERROR(ROUND($D106*INDEX('🔖 배합비 참조'!$B$2:$CE$83,MATCH("밤다이스",'🔖 배합비 참조'!$A$2:$A$83,0),MATCH($C106,'🔖 배합비 참조'!$B$1:$CE$1,0))/100,0),""))),"")</f>
        <v>0</v>
      </c>
      <c r="AU106" s="42" t="n">
        <f aca="false">IFERROR(IF($C106="","",IF($D106="","",IFERROR(ROUND($D106*INDEX('🔖 배합비 참조'!$B$2:$CE$83,MATCH("변성전분(타피오카전분)",'🔖 배합비 참조'!$A$2:$A$83,0),MATCH($C106,'🔖 배합비 참조'!$B$1:$CE$1,0))/100,0),""))),"")</f>
        <v>0</v>
      </c>
      <c r="AV106" s="42" t="n">
        <f aca="false">IFERROR(IF($C106="","",IF($D106="","",IFERROR(ROUND($D106*INDEX('🔖 배합비 참조'!$B$2:$CE$83,MATCH("복음땅콩분태",'🔖 배합비 참조'!$A$2:$A$83,0),MATCH($C106,'🔖 배합비 참조'!$B$1:$CE$1,0))/100,0),""))),"")</f>
        <v>0</v>
      </c>
      <c r="AW106" s="42" t="n">
        <f aca="false">IFERROR(IF($C106="","",IF($D106="","",IFERROR(ROUND($D106*INDEX('🔖 배합비 참조'!$B$2:$CE$83,MATCH("사양벌꿀(국내산)",'🔖 배합비 참조'!$A$2:$A$83,0),MATCH($C106,'🔖 배합비 참조'!$B$1:$CE$1,0))/100,0),""))),"")</f>
        <v>0</v>
      </c>
      <c r="AX106" s="42" t="n">
        <f aca="false">IFERROR(IF($C106="","",IF($D106="","",IFERROR(ROUND($D106*INDEX('🔖 배합비 참조'!$B$2:$CE$83,MATCH("생크림",'🔖 배합비 참조'!$A$2:$A$83,0),MATCH($C106,'🔖 배합비 참조'!$B$1:$CE$1,0))/100,0),""))),"")</f>
        <v>0</v>
      </c>
      <c r="AY106" s="42" t="n">
        <f aca="false">IFERROR(IF($C106="","",IF($D106="","",IFERROR(ROUND($D106*INDEX('🔖 배합비 참조'!$B$2:$CE$83,MATCH("서양호박(국내산,뉴질랜드산)",'🔖 배합비 참조'!$A$2:$A$83,0),MATCH($C106,'🔖 배합비 참조'!$B$1:$CE$1,0))/100,0),""))),"")</f>
        <v>0</v>
      </c>
      <c r="AZ106" s="42" t="n">
        <f aca="false">IFERROR(IF($C106="","",IF($D106="","",IFERROR(ROUND($D106*INDEX('🔖 배합비 참조'!$B$2:$CE$83,MATCH("설탕",'🔖 배합비 참조'!$A$2:$A$83,0),MATCH($C106,'🔖 배합비 참조'!$B$1:$CE$1,0))/100,0),""))),"")</f>
        <v>2</v>
      </c>
      <c r="BA106" s="42" t="n">
        <f aca="false">IFERROR(IF($C106="","",IF($D106="","",IFERROR(ROUND($D106*INDEX('🔖 배합비 참조'!$B$2:$CE$83,MATCH("스트로우베리 에이드 후레쉬",'🔖 배합비 참조'!$A$2:$A$83,0),MATCH($C106,'🔖 배합비 참조'!$B$1:$CE$1,0))/100,0),""))),"")</f>
        <v>0</v>
      </c>
      <c r="BB106" s="42" t="n">
        <f aca="false">IFERROR(IF($C106="","",IF($D106="","",IFERROR(ROUND($D106*INDEX('🔖 배합비 참조'!$B$2:$CE$83,MATCH("식물성기름혼합제제(분홍)",'🔖 배합비 참조'!$A$2:$A$83,0),MATCH($C106,'🔖 배합비 참조'!$B$1:$CE$1,0))/100,0),""))),"")</f>
        <v>0</v>
      </c>
      <c r="BC106" s="42" t="n">
        <f aca="false">IFERROR(IF($C106="","",IF($D106="","",IFERROR(ROUND($D106*INDEX('🔖 배합비 참조'!$B$2:$CE$83,MATCH("식물성기름혼합제제(초록)",'🔖 배합비 참조'!$A$2:$A$83,0),MATCH($C106,'🔖 배합비 참조'!$B$1:$CE$1,0))/100,0),""))),"")</f>
        <v>0</v>
      </c>
      <c r="BD106" s="42" t="n">
        <f aca="false">IFERROR(IF($C106="","",IF($D106="","",IFERROR(ROUND($D106*INDEX('🔖 배합비 참조'!$B$2:$CE$83,MATCH("식물성기름혼합제제(황색)",'🔖 배합비 참조'!$A$2:$A$83,0),MATCH($C106,'🔖 배합비 참조'!$B$1:$CE$1,0))/100,0),""))),"")</f>
        <v>0</v>
      </c>
      <c r="BE106" s="42" t="n">
        <f aca="false">IFERROR(IF($C106="","",IF($D106="","",IFERROR(ROUND($D106*INDEX('🔖 배합비 참조'!$B$2:$CE$83,MATCH("쑥가루(국내산)",'🔖 배합비 참조'!$A$2:$A$83,0),MATCH($C106,'🔖 배합비 참조'!$B$1:$CE$1,0))/100,0),""))),"")</f>
        <v>2</v>
      </c>
      <c r="BF106" s="42" t="n">
        <f aca="false">IFERROR(IF($C106="","",IF($D106="","",IFERROR(ROUND($D106*INDEX('🔖 배합비 참조'!$B$2:$CE$83,MATCH("아몬드슬라이스",'🔖 배합비 참조'!$A$2:$A$83,0),MATCH($C106,'🔖 배합비 참조'!$B$1:$CE$1,0))/100,0),""))),"")</f>
        <v>0</v>
      </c>
      <c r="BG106" s="42" t="n">
        <f aca="false">IFERROR(IF($C106="","",IF($D106="","",IFERROR(ROUND($D106*INDEX('🔖 배합비 참조'!$B$2:$CE$83,MATCH("알룰로오스(국내산)",'🔖 배합비 참조'!$A$2:$A$83,0),MATCH($C106,'🔖 배합비 참조'!$B$1:$CE$1,0))/100,0),""))),"")</f>
        <v>0</v>
      </c>
      <c r="BH106" s="42" t="n">
        <f aca="false">IFERROR(IF($C106="","",IF($D106="","",IFERROR(ROUND($D106*INDEX('🔖 배합비 참조'!$B$2:$CE$83,MATCH("연유",'🔖 배합비 참조'!$A$2:$A$83,0),MATCH($C106,'🔖 배합비 참조'!$B$1:$CE$1,0))/100,0),""))),"")</f>
        <v>0</v>
      </c>
      <c r="BI106" s="42" t="n">
        <f aca="false">IFERROR(IF($C106="","",IF($D106="","",IFERROR(ROUND($D106*INDEX('🔖 배합비 참조'!$B$2:$CE$83,MATCH("옥수수전분",'🔖 배합비 참조'!$A$2:$A$83,0),MATCH($C106,'🔖 배합비 참조'!$B$1:$CE$1,0))/100,0),""))),"")</f>
        <v>0</v>
      </c>
      <c r="BJ106" s="42" t="n">
        <f aca="false">IFERROR(IF($C106="","",IF($D106="","",IFERROR(ROUND($D106*INDEX('🔖 배합비 참조'!$B$2:$CE$83,MATCH("완두배기",'🔖 배합비 참조'!$A$2:$A$83,0),MATCH($C106,'🔖 배합비 참조'!$B$1:$CE$1,0))/100,0),""))),"")</f>
        <v>0</v>
      </c>
      <c r="BK106" s="42" t="n">
        <f aca="false">IFERROR(IF($C106="","",IF($D106="","",IFERROR(ROUND($D106*INDEX('🔖 배합비 참조'!$B$2:$CE$83,MATCH("우유(국내산)",'🔖 배합비 참조'!$A$2:$A$83,0),MATCH($C106,'🔖 배합비 참조'!$B$1:$CE$1,0))/100,0),""))),"")</f>
        <v>0</v>
      </c>
      <c r="BL106" s="42" t="n">
        <f aca="false">IFERROR(IF($C106="","",IF($D106="","",IFERROR(ROUND($D106*INDEX('🔖 배합비 참조'!$B$2:$CE$83,MATCH("자색고구마가루(중국산)",'🔖 배합비 참조'!$A$2:$A$83,0),MATCH($C106,'🔖 배합비 참조'!$B$1:$CE$1,0))/100,0),""))),"")</f>
        <v>0</v>
      </c>
      <c r="BM106" s="42" t="n">
        <f aca="false">IFERROR(IF($C106="","",IF($D106="","",IFERROR(ROUND($D106*INDEX('🔖 배합비 참조'!$B$2:$CE$83,MATCH("자연치즈(체다치즈)",'🔖 배합비 참조'!$A$2:$A$83,0),MATCH($C106,'🔖 배합비 참조'!$B$1:$CE$1,0))/100,0),""))),"")</f>
        <v>0</v>
      </c>
      <c r="BN106" s="42" t="n">
        <f aca="false">IFERROR(IF($C106="","",IF($D106="","",IFERROR(ROUND($D106*INDEX('🔖 배합비 참조'!$B$2:$CE$83,MATCH("정제수",'🔖 배합비 참조'!$A$2:$A$83,0),MATCH($C106,'🔖 배합비 참조'!$B$1:$CE$1,0))/100,0),""))),"")</f>
        <v>8</v>
      </c>
      <c r="BO106" s="42" t="n">
        <f aca="false">IFERROR(IF($C106="","",IF($D106="","",IFERROR(ROUND($D106*INDEX('🔖 배합비 참조'!$B$2:$CE$83,MATCH("젤라틴",'🔖 배합비 참조'!$A$2:$A$83,0),MATCH($C106,'🔖 배합비 참조'!$B$1:$CE$1,0))/100,0),""))),"")</f>
        <v>0</v>
      </c>
      <c r="BP106" s="42" t="n">
        <f aca="false">IFERROR(IF($C106="","",IF($D106="","",IFERROR(ROUND($D106*INDEX('🔖 배합비 참조'!$B$2:$CE$83,MATCH("조림류(백옥앙금)",'🔖 배합비 참조'!$A$2:$A$83,0),MATCH($C106,'🔖 배합비 참조'!$B$1:$CE$1,0))/100,0),""))),"")</f>
        <v>21</v>
      </c>
      <c r="BQ106" s="42" t="n">
        <f aca="false">IFERROR(IF($C106="","",IF($D106="","",IFERROR(ROUND($D106*INDEX('🔖 배합비 참조'!$B$2:$CE$83,MATCH("조림류(통팥앙금)",'🔖 배합비 참조'!$A$2:$A$83,0),MATCH($C106,'🔖 배합비 참조'!$B$1:$CE$1,0))/100,0),""))),"")</f>
        <v>0</v>
      </c>
      <c r="BR106" s="42" t="n">
        <f aca="false">IFERROR(IF($C106="","",IF($D106="","",IFERROR(ROUND($D106*INDEX('🔖 배합비 참조'!$B$2:$CE$83,MATCH("준초콜릿(외국산)",'🔖 배합비 참조'!$A$2:$A$83,0),MATCH($C106,'🔖 배합비 참조'!$B$1:$CE$1,0))/100,0),""))),"")</f>
        <v>0</v>
      </c>
      <c r="BS106" s="42" t="n">
        <f aca="false">IFERROR(IF($C106="","",IF($D106="","",IFERROR(ROUND($D106*INDEX('🔖 배합비 참조'!$B$2:$CE$83,MATCH("중력분",'🔖 배합비 참조'!$A$2:$A$83,0),MATCH($C106,'🔖 배합비 참조'!$B$1:$CE$1,0))/100,0),""))),"")</f>
        <v>0</v>
      </c>
      <c r="BT106" s="42" t="n">
        <f aca="false">IFERROR(IF($C106="","",IF($D106="","",IFERROR(ROUND($D106*INDEX('🔖 배합비 참조'!$B$2:$CE$83,MATCH("참깨(인도산,나이지리아산,탄자니아산,미얀마산)",'🔖 배합비 참조'!$A$2:$A$83,0),MATCH($C106,'🔖 배합비 참조'!$B$1:$CE$1,0))/100,0),""))),"")</f>
        <v>0</v>
      </c>
      <c r="BU106" s="42" t="n">
        <f aca="false">IFERROR(IF($C106="","",IF($D106="","",IFERROR(ROUND($D106*INDEX('🔖 배합비 참조'!$B$2:$CE$83,MATCH("찹쌀(국내산)",'🔖 배합비 참조'!$A$2:$A$83,0),MATCH($C106,'🔖 배합비 참조'!$B$1:$CE$1,0))/100,0),""))),"")</f>
        <v>19</v>
      </c>
      <c r="BV106" s="42" t="n">
        <f aca="false">IFERROR(IF($C106="","",IF($D106="","",IFERROR(ROUND($D106*INDEX('🔖 배합비 참조'!$B$2:$CE$83,MATCH("천일염",'🔖 배합비 참조'!$A$2:$A$83,0),MATCH($C106,'🔖 배합비 참조'!$B$1:$CE$1,0))/100,0),""))),"")</f>
        <v>0</v>
      </c>
      <c r="BW106" s="42" t="n">
        <f aca="false">IFERROR(IF($C106="","",IF($D106="","",IFERROR(ROUND($D106*INDEX('🔖 배합비 참조'!$B$2:$CE$83,MATCH("치즈 [크림치즈]",'🔖 배합비 참조'!$A$2:$A$83,0),MATCH($C106,'🔖 배합비 참조'!$B$1:$CE$1,0))/100,0),""))),"")</f>
        <v>0</v>
      </c>
      <c r="BX106" s="42" t="n">
        <f aca="false">IFERROR(IF($C106="","",IF($D106="","",IFERROR(ROUND($D106*INDEX('🔖 배합비 참조'!$B$2:$CE$83,MATCH("코코아가공품류(코코아분말)",'🔖 배합비 참조'!$A$2:$A$83,0),MATCH($C106,'🔖 배합비 참조'!$B$1:$CE$1,0))/100,0),""))),"")</f>
        <v>0</v>
      </c>
      <c r="BY106" s="42" t="n">
        <f aca="false">IFERROR(IF($C106="","",IF($D106="","",IFERROR(ROUND($D106*INDEX('🔖 배합비 참조'!$B$2:$CE$83,MATCH("콩기름(대두유)",'🔖 배합비 참조'!$A$2:$A$83,0),MATCH($C106,'🔖 배합비 참조'!$B$1:$CE$1,0))/100,0),""))),"")</f>
        <v>0</v>
      </c>
      <c r="BZ106" s="42" t="n">
        <f aca="false">IFERROR(IF($C106="","",IF($D106="","",IFERROR(ROUND($D106*INDEX('🔖 배합비 참조'!$B$2:$CE$83,MATCH("해바라기씨앗",'🔖 배합비 참조'!$A$2:$A$83,0),MATCH($C106,'🔖 배합비 참조'!$B$1:$CE$1,0))/100,0),""))),"")</f>
        <v>0</v>
      </c>
      <c r="CA106" s="42" t="n">
        <f aca="false">IFERROR(IF($C106="","",IF($D106="","",IFERROR(ROUND($D106*INDEX('🔖 배합비 참조'!$B$2:$CE$83,MATCH("현미(국내산)",'🔖 배합비 참조'!$A$2:$A$83,0),MATCH($C106,'🔖 배합비 참조'!$B$1:$CE$1,0))/100,0),""))),"")</f>
        <v>0</v>
      </c>
      <c r="CB106" s="42" t="n">
        <f aca="false">IFERROR(IF($C106="","",IF($D106="","",IFERROR(ROUND($D106*INDEX('🔖 배합비 참조'!$B$2:$CE$83,MATCH("현미멥쌀(국내산)",'🔖 배합비 참조'!$A$2:$A$83,0),MATCH($C106,'🔖 배합비 참조'!$B$1:$CE$1,0))/100,0),""))),"")</f>
        <v>0</v>
      </c>
      <c r="CC106" s="42" t="n">
        <f aca="false">IFERROR(IF($C106="","",IF($D106="","",IFERROR(ROUND($D106*INDEX('🔖 배합비 참조'!$B$2:$CE$83,MATCH("호두분태(미국산)",'🔖 배합비 참조'!$A$2:$A$83,0),MATCH($C106,'🔖 배합비 참조'!$B$1:$CE$1,0))/100,0),""))),"")</f>
        <v>0</v>
      </c>
      <c r="CD106" s="42" t="n">
        <f aca="false">IFERROR(IF($C106="","",IF($D106="","",IFERROR(ROUND($D106*INDEX('🔖 배합비 참조'!$B$2:$CE$83,MATCH("호박씨앗(외국산)",'🔖 배합비 참조'!$A$2:$A$83,0),MATCH($C106,'🔖 배합비 참조'!$B$1:$CE$1,0))/100,0),""))),"")</f>
        <v>0</v>
      </c>
      <c r="CE106" s="42" t="n">
        <f aca="false">IFERROR(IF($C106="","",IF($D106="","",IFERROR(ROUND($D106*INDEX('🔖 배합비 참조'!$B$2:$CE$83,MATCH("혼합제제(떡용에스텔)",'🔖 배합비 참조'!$A$2:$A$83,0),MATCH($C106,'🔖 배합비 참조'!$B$1:$CE$1,0))/100,0),""))),"")</f>
        <v>0</v>
      </c>
      <c r="CF106" s="42" t="n">
        <f aca="false">IFERROR(IF($C106="","",IF($D106="","",IFERROR(ROUND($D106*INDEX('🔖 배합비 참조'!$B$2:$CE$83,MATCH("혼합제제(스테비아)",'🔖 배합비 참조'!$A$2:$A$83,0),MATCH($C106,'🔖 배합비 참조'!$B$1:$CE$1,0))/100,0),""))),"")</f>
        <v>0</v>
      </c>
      <c r="CG106" s="42" t="n">
        <f aca="false">IFERROR(IF($C106="","",IF($D106="","",IFERROR(ROUND($D106*INDEX('🔖 배합비 참조'!$B$2:$CE$83,MATCH("화이트초콜릿",'🔖 배합비 참조'!$A$2:$A$83,0),MATCH($C106,'🔖 배합비 참조'!$B$1:$CE$1,0))/100,0),""))),"")</f>
        <v>0</v>
      </c>
      <c r="CH106" s="42" t="n">
        <f aca="false">IFERROR(IF($C106="","",IF($D106="","",IFERROR(ROUND($D106*INDEX('🔖 배합비 참조'!$B$2:$CE$83,MATCH("흑미찹쌀(국내산)",'🔖 배합비 참조'!$A$2:$A$83,0),MATCH($C106,'🔖 배합비 참조'!$B$1:$CE$1,0))/100,0),""))),"")</f>
        <v>0</v>
      </c>
      <c r="CI106" s="42" t="n">
        <f aca="false">IFERROR(IF($C106="","",IF($D106="","",IFERROR(ROUND($D106*INDEX('🔖 배합비 참조'!$B$2:$CE$83,MATCH("찰옥수수전분(미국산)",'🔖 배합비 참조'!$A$2:$A$83,0),MATCH($C106,'🔖 배합비 참조'!$B$1:$CE$1,0))/100,0),""))),"")</f>
        <v>0</v>
      </c>
      <c r="CJ106" s="40"/>
      <c r="CL106" s="1" t="s">
        <v>239</v>
      </c>
    </row>
    <row r="107" customFormat="false" ht="18" hidden="false" customHeight="true" outlineLevel="0" collapsed="false">
      <c r="A107" s="35" t="n">
        <v>103</v>
      </c>
      <c r="B107" s="36" t="n">
        <v>45995</v>
      </c>
      <c r="C107" s="37" t="s">
        <v>203</v>
      </c>
      <c r="D107" s="38" t="n">
        <v>70</v>
      </c>
      <c r="E107" s="13"/>
      <c r="F107" s="13"/>
      <c r="G107" s="39" t="n">
        <f aca="false">IFERROR(IF($C107="","",IF($D107="","",IFERROR(ROUND($D107*INDEX('🔖 배합비 참조'!$B$2:$CE$83,MATCH("간장",'🔖 배합비 참조'!$A$2:$A$83,0),MATCH($C107,'🔖 배합비 참조'!$B$1:$CE$1,0))/100,0),""))),"")</f>
        <v>0</v>
      </c>
      <c r="H107" s="39" t="n">
        <f aca="false">IFERROR(IF($C107="","",IF($D107="","",IFERROR(ROUND($D107*INDEX('🔖 배합비 참조'!$B$2:$CE$83,MATCH("강낭콩((울타리콩))",'🔖 배합비 참조'!$A$2:$A$83,0),MATCH($C107,'🔖 배합비 참조'!$B$1:$CE$1,0))/100,0),""))),"")</f>
        <v>0</v>
      </c>
      <c r="I107" s="39" t="n">
        <f aca="false">IFERROR(IF($C107="","",IF($D107="","",IFERROR(ROUND($D107*INDEX('🔖 배합비 참조'!$B$2:$CE$83,MATCH("건조딸기다이스(외국산)",'🔖 배합비 참조'!$A$2:$A$83,0),MATCH($C107,'🔖 배합비 참조'!$B$1:$CE$1,0))/100,0),""))),"")</f>
        <v>0</v>
      </c>
      <c r="J107" s="39" t="n">
        <f aca="false">IFERROR(IF($C107="","",IF($D107="","",IFERROR(ROUND($D107*INDEX('🔖 배합비 참조'!$B$2:$CE$83,MATCH("건포도",'🔖 배합비 참조'!$A$2:$A$83,0),MATCH($C107,'🔖 배합비 참조'!$B$1:$CE$1,0))/100,0),""))),"")</f>
        <v>0</v>
      </c>
      <c r="K107" s="39" t="n">
        <f aca="false">IFERROR(IF($C107="","",IF($D107="","",IFERROR(ROUND($D107*INDEX('🔖 배합비 참조'!$B$2:$CE$83,MATCH("건호박채(중국산)",'🔖 배합비 참조'!$A$2:$A$83,0),MATCH($C107,'🔖 배합비 참조'!$B$1:$CE$1,0))/100,0),""))),"")</f>
        <v>0</v>
      </c>
      <c r="L107" s="39" t="n">
        <f aca="false">IFERROR(IF($C107="","",IF($D107="","",IFERROR(ROUND($D107*INDEX('🔖 배합비 참조'!$B$2:$CE$83,MATCH("검정깨(흑임자)",'🔖 배합비 참조'!$A$2:$A$83,0),MATCH($C107,'🔖 배합비 참조'!$B$1:$CE$1,0))/100,0),""))),"")</f>
        <v>0</v>
      </c>
      <c r="M107" s="39" t="n">
        <f aca="false">IFERROR(IF($C107="","",IF($D107="","",IFERROR(ROUND($D107*INDEX('🔖 배합비 참조'!$B$2:$CE$83,MATCH("검정콩",'🔖 배합비 참조'!$A$2:$A$83,0),MATCH($C107,'🔖 배합비 참조'!$B$1:$CE$1,0))/100,0),""))),"")</f>
        <v>0</v>
      </c>
      <c r="N107" s="39" t="n">
        <f aca="false">IFERROR(IF($C107="","",IF($D107="","",IFERROR(ROUND($D107*INDEX('🔖 배합비 참조'!$B$2:$CE$83,MATCH("계피가루",'🔖 배합비 참조'!$A$2:$A$83,0),MATCH($C107,'🔖 배합비 참조'!$B$1:$CE$1,0))/100,0),""))),"")</f>
        <v>0</v>
      </c>
      <c r="O107" s="39" t="n">
        <f aca="false">IFERROR(IF($C107="","",IF($D107="","",IFERROR(ROUND($D107*INDEX('🔖 배합비 참조'!$B$2:$CE$83,MATCH("고구마가루",'🔖 배합비 참조'!$A$2:$A$83,0),MATCH($C107,'🔖 배합비 참조'!$B$1:$CE$1,0))/100,0),""))),"")</f>
        <v>0</v>
      </c>
      <c r="P107" s="39" t="n">
        <f aca="false">IFERROR(IF($C107="","",IF($D107="","",IFERROR(ROUND($D107*INDEX('🔖 배합비 참조'!$B$2:$CE$83,MATCH("고구마무스",'🔖 배합비 참조'!$A$2:$A$83,0),MATCH($C107,'🔖 배합비 참조'!$B$1:$CE$1,0))/100,0),""))),"")</f>
        <v>0</v>
      </c>
      <c r="Q107" s="39" t="n">
        <f aca="false">IFERROR(IF($C107="","",IF($D107="","",IFERROR(ROUND($D107*INDEX('🔖 배합비 참조'!$B$2:$CE$83,MATCH("고려엉겅퀴((곤드레)국내산)",'🔖 배합비 참조'!$A$2:$A$83,0),MATCH($C107,'🔖 배합비 참조'!$B$1:$CE$1,0))/100,0),""))),"")</f>
        <v>0</v>
      </c>
      <c r="R107" s="39" t="n">
        <f aca="false">IFERROR(IF($C107="","",IF($D107="","",IFERROR(ROUND($D107*INDEX('🔖 배합비 참조'!$B$2:$CE$83,MATCH("기타가공품(복분자가루)",'🔖 배합비 참조'!$A$2:$A$83,0),MATCH($C107,'🔖 배합비 참조'!$B$1:$CE$1,0))/100,0),""))),"")</f>
        <v>0</v>
      </c>
      <c r="S107" s="39" t="n">
        <f aca="false">IFERROR(IF($C107="","",IF($D107="","",IFERROR(ROUND($D107*INDEX('🔖 배합비 참조'!$B$2:$CE$83,MATCH("기타가공품(슈퍼소프트엠)",'🔖 배합비 참조'!$A$2:$A$83,0),MATCH($C107,'🔖 배합비 참조'!$B$1:$CE$1,0))/100,0),""))),"")</f>
        <v>0</v>
      </c>
      <c r="T107" s="39" t="n">
        <f aca="false">IFERROR(IF($C107="","",IF($D107="","",IFERROR(ROUND($D107*INDEX('🔖 배합비 참조'!$B$2:$CE$83,MATCH("기타가공품(파인소프트 E-티)",'🔖 배합비 참조'!$A$2:$A$83,0),MATCH($C107,'🔖 배합비 참조'!$B$1:$CE$1,0))/100,0),""))),"")</f>
        <v>0</v>
      </c>
      <c r="U107" s="39" t="n">
        <f aca="false">IFERROR(IF($C107="","",IF($D107="","",IFERROR(ROUND($D107*INDEX('🔖 배합비 참조'!$B$2:$CE$83,MATCH("기타가공품(프리미엄카스테라가루)",'🔖 배합비 참조'!$A$2:$A$83,0),MATCH($C107,'🔖 배합비 참조'!$B$1:$CE$1,0))/100,0),""))),"")</f>
        <v>0</v>
      </c>
      <c r="V107" s="39" t="n">
        <f aca="false">IFERROR(IF($C107="","",IF($D107="","",IFERROR(ROUND($D107*INDEX('🔖 배합비 참조'!$B$2:$CE$83,MATCH("기타가공품(흑임자가루)",'🔖 배합비 참조'!$A$2:$A$83,0),MATCH($C107,'🔖 배합비 참조'!$B$1:$CE$1,0))/100,0),""))),"")</f>
        <v>0</v>
      </c>
      <c r="W107" s="39" t="n">
        <f aca="false">IFERROR(IF($C107="","",IF($D107="","",IFERROR(ROUND($D107*INDEX('🔖 배합비 참조'!$B$2:$CE$83,MATCH("기타설탕(흑설탕)",'🔖 배합비 참조'!$A$2:$A$83,0),MATCH($C107,'🔖 배합비 참조'!$B$1:$CE$1,0))/100,0),""))),"")</f>
        <v>0</v>
      </c>
      <c r="X107" s="39" t="n">
        <f aca="false">IFERROR(IF($C107="","",IF($D107="","",IFERROR(ROUND($D107*INDEX('🔖 배합비 참조'!$B$2:$CE$83,MATCH("냉동쑥(국내산)",'🔖 배합비 참조'!$A$2:$A$83,0),MATCH($C107,'🔖 배합비 참조'!$B$1:$CE$1,0))/100,0),""))),"")</f>
        <v>0</v>
      </c>
      <c r="Y107" s="39" t="n">
        <f aca="false">IFERROR(IF($C107="","",IF($D107="","",IFERROR(ROUND($D107*INDEX('🔖 배합비 참조'!$B$2:$CE$83,MATCH("냉동증숙고구마(중국산)",'🔖 배합비 참조'!$A$2:$A$83,0),MATCH($C107,'🔖 배합비 참조'!$B$1:$CE$1,0))/100,0),""))),"")</f>
        <v>0</v>
      </c>
      <c r="Z107" s="39" t="n">
        <f aca="false">IFERROR(IF($C107="","",IF($D107="","",IFERROR(ROUND($D107*INDEX('🔖 배합비 참조'!$B$2:$CE$83,MATCH("녹차가루",'🔖 배합비 참조'!$A$2:$A$83,0),MATCH($C107,'🔖 배합비 참조'!$B$1:$CE$1,0))/100,0),""))),"")</f>
        <v>0</v>
      </c>
      <c r="AA107" s="39" t="n">
        <f aca="false">IFERROR(IF($C107="","",IF($D107="","",IFERROR(ROUND($D107*INDEX('🔖 배합비 참조'!$B$2:$CE$83,MATCH("다크초콜릿 컴파운드칩",'🔖 배합비 참조'!$A$2:$A$83,0),MATCH($C107,'🔖 배합비 참조'!$B$1:$CE$1,0))/100,0),""))),"")</f>
        <v>0</v>
      </c>
      <c r="AB107" s="39" t="n">
        <f aca="false">IFERROR(IF($C107="","",IF($D107="","",IFERROR(ROUND($D107*INDEX('🔖 배합비 참조'!$B$2:$CE$83,MATCH("단호박분말(중국산)",'🔖 배합비 참조'!$A$2:$A$83,0),MATCH($C107,'🔖 배합비 참조'!$B$1:$CE$1,0))/100,0),""))),"")</f>
        <v>0</v>
      </c>
      <c r="AC107" s="39" t="n">
        <f aca="false">IFERROR(IF($C107="","",IF($D107="","",IFERROR(ROUND($D107*INDEX('🔖 배합비 참조'!$B$2:$CE$83,MATCH("당류가공품(단호박농축액)",'🔖 배합비 참조'!$A$2:$A$83,0),MATCH($C107,'🔖 배합비 참조'!$B$1:$CE$1,0))/100,0),""))),"")</f>
        <v>0</v>
      </c>
      <c r="AD107" s="39" t="n">
        <f aca="false">IFERROR(IF($C107="","",IF($D107="","",IFERROR(ROUND($D107*INDEX('🔖 배합비 참조'!$B$2:$CE$83,MATCH("당류가공품(알룰로스,에리스리톨,스테비올배당체혼합)",'🔖 배합비 참조'!$A$2:$A$83,0),MATCH($C107,'🔖 배합비 참조'!$B$1:$CE$1,0))/100,0),""))),"")</f>
        <v>0</v>
      </c>
      <c r="AE107" s="39" t="n">
        <f aca="false">IFERROR(IF($C107="","",IF($D107="","",IFERROR(ROUND($D107*INDEX('🔖 배합비 참조'!$B$2:$CE$83,MATCH("당류가공품(알룰로스제로파우더)",'🔖 배합비 참조'!$A$2:$A$83,0),MATCH($C107,'🔖 배합비 참조'!$B$1:$CE$1,0))/100,0),""))),"")</f>
        <v>0</v>
      </c>
      <c r="AF107" s="39" t="n">
        <f aca="false">IFERROR(IF($C107="","",IF($D107="","",IFERROR(ROUND($D107*INDEX('🔖 배합비 참조'!$B$2:$CE$83,MATCH("당절임(완두배기)",'🔖 배합비 참조'!$A$2:$A$83,0),MATCH($C107,'🔖 배합비 참조'!$B$1:$CE$1,0))/100,0),""))),"")</f>
        <v>0</v>
      </c>
      <c r="AG107" s="39" t="n">
        <f aca="false">IFERROR(IF($C107="","",IF($D107="","",IFERROR(ROUND($D107*INDEX('🔖 배합비 참조'!$B$2:$CE$83,MATCH("대추농축액",'🔖 배합비 참조'!$A$2:$A$83,0),MATCH($C107,'🔖 배합비 참조'!$B$1:$CE$1,0))/100,0),""))),"")</f>
        <v>0</v>
      </c>
      <c r="AH107" s="39" t="n">
        <f aca="false">IFERROR(IF($C107="","",IF($D107="","",IFERROR(ROUND($D107*INDEX('🔖 배합비 참조'!$B$2:$CE$83,MATCH("대추채(국내산)",'🔖 배합비 참조'!$A$2:$A$83,0),MATCH($C107,'🔖 배합비 참조'!$B$1:$CE$1,0))/100,0),""))),"")</f>
        <v>0</v>
      </c>
      <c r="AI107" s="39" t="n">
        <f aca="false">IFERROR(IF($C107="","",IF($D107="","",IFERROR(ROUND($D107*INDEX('🔖 배합비 참조'!$B$2:$CE$83,MATCH("동부(미얀마산)",'🔖 배합비 참조'!$A$2:$A$83,0),MATCH($C107,'🔖 배합비 참조'!$B$1:$CE$1,0))/100,0),""))),"")</f>
        <v>6</v>
      </c>
      <c r="AJ107" s="39" t="n">
        <f aca="false">IFERROR(IF($C107="","",IF($D107="","",IFERROR(ROUND($D107*INDEX('🔖 배합비 참조'!$B$2:$CE$83,MATCH("두류가공품(백옥앙금)",'🔖 배합비 참조'!$A$2:$A$83,0),MATCH($C107,'🔖 배합비 참조'!$B$1:$CE$1,0))/100,0),""))),"")</f>
        <v>23</v>
      </c>
      <c r="AK107" s="39" t="n">
        <f aca="false">IFERROR(IF($C107="","",IF($D107="","",IFERROR(ROUND($D107*INDEX('🔖 배합비 참조'!$B$2:$CE$83,MATCH("두류가공품(콩고물)",'🔖 배합비 참조'!$A$2:$A$83,0),MATCH($C107,'🔖 배합비 참조'!$B$1:$CE$1,0))/100,0),""))),"")</f>
        <v>5</v>
      </c>
      <c r="AL107" s="39" t="n">
        <f aca="false">IFERROR(IF($C107="","",IF($D107="","",IFERROR(ROUND($D107*INDEX('🔖 배합비 참조'!$B$2:$CE$83,MATCH("두류가공품(통팥고물)",'🔖 배합비 참조'!$A$2:$A$83,0),MATCH($C107,'🔖 배합비 참조'!$B$1:$CE$1,0))/100,0),""))),"")</f>
        <v>0</v>
      </c>
      <c r="AM107" s="39" t="n">
        <f aca="false">IFERROR(IF($C107="","",IF($D107="","",IFERROR(ROUND($D107*INDEX('🔖 배합비 참조'!$B$2:$CE$83,MATCH("딸기레진",'🔖 배합비 참조'!$A$2:$A$83,0),MATCH($C107,'🔖 배합비 참조'!$B$1:$CE$1,0))/100,0),""))),"")</f>
        <v>0</v>
      </c>
      <c r="AN107" s="39" t="n">
        <f aca="false">IFERROR(IF($C107="","",IF($D107="","",IFERROR(ROUND($D107*INDEX('🔖 배합비 참조'!$B$2:$CE$83,MATCH("딸기분말(스트로우베리에이드(분말))",'🔖 배합비 참조'!$A$2:$A$83,0),MATCH($C107,'🔖 배합비 참조'!$B$1:$CE$1,0))/100,0),""))),"")</f>
        <v>0</v>
      </c>
      <c r="AO107" s="39" t="n">
        <f aca="false">IFERROR(IF($C107="","",IF($D107="","",IFERROR(ROUND($D107*INDEX('🔖 배합비 참조'!$B$2:$CE$83,MATCH("마스카포네치즈",'🔖 배합비 참조'!$A$2:$A$83,0),MATCH($C107,'🔖 배합비 참조'!$B$1:$CE$1,0))/100,0),""))),"")</f>
        <v>0</v>
      </c>
      <c r="AP107" s="39" t="n">
        <f aca="false">IFERROR(IF($C107="","",IF($D107="","",IFERROR(ROUND($D107*INDEX('🔖 배합비 참조'!$B$2:$CE$83,MATCH("마카다미아분태(호주산)",'🔖 배합비 참조'!$A$2:$A$83,0),MATCH($C107,'🔖 배합비 참조'!$B$1:$CE$1,0))/100,0),""))),"")</f>
        <v>0</v>
      </c>
      <c r="AQ107" s="39" t="n">
        <f aca="false">IFERROR(IF($C107="","",IF($D107="","",IFERROR(ROUND($D107*INDEX('🔖 배합비 참조'!$B$2:$CE$83,MATCH("멥쌀(국내산)",'🔖 배합비 참조'!$A$2:$A$83,0),MATCH($C107,'🔖 배합비 참조'!$B$1:$CE$1,0))/100,0),""))),"")</f>
        <v>0</v>
      </c>
      <c r="AR107" s="39" t="n">
        <f aca="false">IFERROR(IF($C107="","",IF($D107="","",IFERROR(ROUND($D107*INDEX('🔖 배합비 참조'!$B$2:$CE$83,MATCH("모시잎(국내산)",'🔖 배합비 참조'!$A$2:$A$83,0),MATCH($C107,'🔖 배합비 참조'!$B$1:$CE$1,0))/100,0),""))),"")</f>
        <v>0</v>
      </c>
      <c r="AS107" s="39" t="n">
        <f aca="false">IFERROR(IF($C107="","",IF($D107="","",IFERROR(ROUND($D107*INDEX('🔖 배합비 참조'!$B$2:$CE$83,MATCH("물엿(저당물엿)",'🔖 배합비 참조'!$A$2:$A$83,0),MATCH($C107,'🔖 배합비 참조'!$B$1:$CE$1,0))/100,0),""))),"")</f>
        <v>2</v>
      </c>
      <c r="AT107" s="39" t="n">
        <f aca="false">IFERROR(IF($C107="","",IF($D107="","",IFERROR(ROUND($D107*INDEX('🔖 배합비 참조'!$B$2:$CE$83,MATCH("밤다이스",'🔖 배합비 참조'!$A$2:$A$83,0),MATCH($C107,'🔖 배합비 참조'!$B$1:$CE$1,0))/100,0),""))),"")</f>
        <v>0</v>
      </c>
      <c r="AU107" s="39" t="n">
        <f aca="false">IFERROR(IF($C107="","",IF($D107="","",IFERROR(ROUND($D107*INDEX('🔖 배합비 참조'!$B$2:$CE$83,MATCH("변성전분(타피오카전분)",'🔖 배합비 참조'!$A$2:$A$83,0),MATCH($C107,'🔖 배합비 참조'!$B$1:$CE$1,0))/100,0),""))),"")</f>
        <v>0</v>
      </c>
      <c r="AV107" s="39" t="n">
        <f aca="false">IFERROR(IF($C107="","",IF($D107="","",IFERROR(ROUND($D107*INDEX('🔖 배합비 참조'!$B$2:$CE$83,MATCH("복음땅콩분태",'🔖 배합비 참조'!$A$2:$A$83,0),MATCH($C107,'🔖 배합비 참조'!$B$1:$CE$1,0))/100,0),""))),"")</f>
        <v>0</v>
      </c>
      <c r="AW107" s="39" t="n">
        <f aca="false">IFERROR(IF($C107="","",IF($D107="","",IFERROR(ROUND($D107*INDEX('🔖 배합비 참조'!$B$2:$CE$83,MATCH("사양벌꿀(국내산)",'🔖 배합비 참조'!$A$2:$A$83,0),MATCH($C107,'🔖 배합비 참조'!$B$1:$CE$1,0))/100,0),""))),"")</f>
        <v>0</v>
      </c>
      <c r="AX107" s="39" t="n">
        <f aca="false">IFERROR(IF($C107="","",IF($D107="","",IFERROR(ROUND($D107*INDEX('🔖 배합비 참조'!$B$2:$CE$83,MATCH("생크림",'🔖 배합비 참조'!$A$2:$A$83,0),MATCH($C107,'🔖 배합비 참조'!$B$1:$CE$1,0))/100,0),""))),"")</f>
        <v>0</v>
      </c>
      <c r="AY107" s="39" t="n">
        <f aca="false">IFERROR(IF($C107="","",IF($D107="","",IFERROR(ROUND($D107*INDEX('🔖 배합비 참조'!$B$2:$CE$83,MATCH("서양호박(국내산,뉴질랜드산)",'🔖 배합비 참조'!$A$2:$A$83,0),MATCH($C107,'🔖 배합비 참조'!$B$1:$CE$1,0))/100,0),""))),"")</f>
        <v>0</v>
      </c>
      <c r="AZ107" s="39" t="n">
        <f aca="false">IFERROR(IF($C107="","",IF($D107="","",IFERROR(ROUND($D107*INDEX('🔖 배합비 참조'!$B$2:$CE$83,MATCH("설탕",'🔖 배합비 참조'!$A$2:$A$83,0),MATCH($C107,'🔖 배합비 참조'!$B$1:$CE$1,0))/100,0),""))),"")</f>
        <v>2</v>
      </c>
      <c r="BA107" s="39" t="n">
        <f aca="false">IFERROR(IF($C107="","",IF($D107="","",IFERROR(ROUND($D107*INDEX('🔖 배합비 참조'!$B$2:$CE$83,MATCH("스트로우베리 에이드 후레쉬",'🔖 배합비 참조'!$A$2:$A$83,0),MATCH($C107,'🔖 배합비 참조'!$B$1:$CE$1,0))/100,0),""))),"")</f>
        <v>0</v>
      </c>
      <c r="BB107" s="39" t="n">
        <f aca="false">IFERROR(IF($C107="","",IF($D107="","",IFERROR(ROUND($D107*INDEX('🔖 배합비 참조'!$B$2:$CE$83,MATCH("식물성기름혼합제제(분홍)",'🔖 배합비 참조'!$A$2:$A$83,0),MATCH($C107,'🔖 배합비 참조'!$B$1:$CE$1,0))/100,0),""))),"")</f>
        <v>0</v>
      </c>
      <c r="BC107" s="39" t="n">
        <f aca="false">IFERROR(IF($C107="","",IF($D107="","",IFERROR(ROUND($D107*INDEX('🔖 배합비 참조'!$B$2:$CE$83,MATCH("식물성기름혼합제제(초록)",'🔖 배합비 참조'!$A$2:$A$83,0),MATCH($C107,'🔖 배합비 참조'!$B$1:$CE$1,0))/100,0),""))),"")</f>
        <v>0</v>
      </c>
      <c r="BD107" s="39" t="n">
        <f aca="false">IFERROR(IF($C107="","",IF($D107="","",IFERROR(ROUND($D107*INDEX('🔖 배합비 참조'!$B$2:$CE$83,MATCH("식물성기름혼합제제(황색)",'🔖 배합비 참조'!$A$2:$A$83,0),MATCH($C107,'🔖 배합비 참조'!$B$1:$CE$1,0))/100,0),""))),"")</f>
        <v>0</v>
      </c>
      <c r="BE107" s="39" t="n">
        <f aca="false">IFERROR(IF($C107="","",IF($D107="","",IFERROR(ROUND($D107*INDEX('🔖 배합비 참조'!$B$2:$CE$83,MATCH("쑥가루(국내산)",'🔖 배합비 참조'!$A$2:$A$83,0),MATCH($C107,'🔖 배합비 참조'!$B$1:$CE$1,0))/100,0),""))),"")</f>
        <v>0</v>
      </c>
      <c r="BF107" s="39" t="n">
        <f aca="false">IFERROR(IF($C107="","",IF($D107="","",IFERROR(ROUND($D107*INDEX('🔖 배합비 참조'!$B$2:$CE$83,MATCH("아몬드슬라이스",'🔖 배합비 참조'!$A$2:$A$83,0),MATCH($C107,'🔖 배합비 참조'!$B$1:$CE$1,0))/100,0),""))),"")</f>
        <v>0</v>
      </c>
      <c r="BG107" s="39" t="n">
        <f aca="false">IFERROR(IF($C107="","",IF($D107="","",IFERROR(ROUND($D107*INDEX('🔖 배합비 참조'!$B$2:$CE$83,MATCH("알룰로오스(국내산)",'🔖 배합비 참조'!$A$2:$A$83,0),MATCH($C107,'🔖 배합비 참조'!$B$1:$CE$1,0))/100,0),""))),"")</f>
        <v>0</v>
      </c>
      <c r="BH107" s="39" t="n">
        <f aca="false">IFERROR(IF($C107="","",IF($D107="","",IFERROR(ROUND($D107*INDEX('🔖 배합비 참조'!$B$2:$CE$83,MATCH("연유",'🔖 배합비 참조'!$A$2:$A$83,0),MATCH($C107,'🔖 배합비 참조'!$B$1:$CE$1,0))/100,0),""))),"")</f>
        <v>0</v>
      </c>
      <c r="BI107" s="39" t="n">
        <f aca="false">IFERROR(IF($C107="","",IF($D107="","",IFERROR(ROUND($D107*INDEX('🔖 배합비 참조'!$B$2:$CE$83,MATCH("옥수수전분",'🔖 배합비 참조'!$A$2:$A$83,0),MATCH($C107,'🔖 배합비 참조'!$B$1:$CE$1,0))/100,0),""))),"")</f>
        <v>0</v>
      </c>
      <c r="BJ107" s="39" t="n">
        <f aca="false">IFERROR(IF($C107="","",IF($D107="","",IFERROR(ROUND($D107*INDEX('🔖 배합비 참조'!$B$2:$CE$83,MATCH("완두배기",'🔖 배합비 참조'!$A$2:$A$83,0),MATCH($C107,'🔖 배합비 참조'!$B$1:$CE$1,0))/100,0),""))),"")</f>
        <v>0</v>
      </c>
      <c r="BK107" s="39" t="n">
        <f aca="false">IFERROR(IF($C107="","",IF($D107="","",IFERROR(ROUND($D107*INDEX('🔖 배합비 참조'!$B$2:$CE$83,MATCH("우유(국내산)",'🔖 배합비 참조'!$A$2:$A$83,0),MATCH($C107,'🔖 배합비 참조'!$B$1:$CE$1,0))/100,0),""))),"")</f>
        <v>0</v>
      </c>
      <c r="BL107" s="39" t="n">
        <f aca="false">IFERROR(IF($C107="","",IF($D107="","",IFERROR(ROUND($D107*INDEX('🔖 배합비 참조'!$B$2:$CE$83,MATCH("자색고구마가루(중국산)",'🔖 배합비 참조'!$A$2:$A$83,0),MATCH($C107,'🔖 배합비 참조'!$B$1:$CE$1,0))/100,0),""))),"")</f>
        <v>0</v>
      </c>
      <c r="BM107" s="39" t="n">
        <f aca="false">IFERROR(IF($C107="","",IF($D107="","",IFERROR(ROUND($D107*INDEX('🔖 배합비 참조'!$B$2:$CE$83,MATCH("자연치즈(체다치즈)",'🔖 배합비 참조'!$A$2:$A$83,0),MATCH($C107,'🔖 배합비 참조'!$B$1:$CE$1,0))/100,0),""))),"")</f>
        <v>0</v>
      </c>
      <c r="BN107" s="39" t="n">
        <f aca="false">IFERROR(IF($C107="","",IF($D107="","",IFERROR(ROUND($D107*INDEX('🔖 배합비 참조'!$B$2:$CE$83,MATCH("정제수",'🔖 배합비 참조'!$A$2:$A$83,0),MATCH($C107,'🔖 배합비 참조'!$B$1:$CE$1,0))/100,0),""))),"")</f>
        <v>11</v>
      </c>
      <c r="BO107" s="39" t="n">
        <f aca="false">IFERROR(IF($C107="","",IF($D107="","",IFERROR(ROUND($D107*INDEX('🔖 배합비 참조'!$B$2:$CE$83,MATCH("젤라틴",'🔖 배합비 참조'!$A$2:$A$83,0),MATCH($C107,'🔖 배합비 참조'!$B$1:$CE$1,0))/100,0),""))),"")</f>
        <v>0</v>
      </c>
      <c r="BP107" s="39" t="n">
        <f aca="false">IFERROR(IF($C107="","",IF($D107="","",IFERROR(ROUND($D107*INDEX('🔖 배합비 참조'!$B$2:$CE$83,MATCH("조림류(백옥앙금)",'🔖 배합비 참조'!$A$2:$A$83,0),MATCH($C107,'🔖 배합비 참조'!$B$1:$CE$1,0))/100,0),""))),"")</f>
        <v>0</v>
      </c>
      <c r="BQ107" s="39" t="n">
        <f aca="false">IFERROR(IF($C107="","",IF($D107="","",IFERROR(ROUND($D107*INDEX('🔖 배합비 참조'!$B$2:$CE$83,MATCH("조림류(통팥앙금)",'🔖 배합비 참조'!$A$2:$A$83,0),MATCH($C107,'🔖 배합비 참조'!$B$1:$CE$1,0))/100,0),""))),"")</f>
        <v>0</v>
      </c>
      <c r="BR107" s="39" t="n">
        <f aca="false">IFERROR(IF($C107="","",IF($D107="","",IFERROR(ROUND($D107*INDEX('🔖 배합비 참조'!$B$2:$CE$83,MATCH("준초콜릿(외국산)",'🔖 배합비 참조'!$A$2:$A$83,0),MATCH($C107,'🔖 배합비 참조'!$B$1:$CE$1,0))/100,0),""))),"")</f>
        <v>0</v>
      </c>
      <c r="BS107" s="39" t="n">
        <f aca="false">IFERROR(IF($C107="","",IF($D107="","",IFERROR(ROUND($D107*INDEX('🔖 배합비 참조'!$B$2:$CE$83,MATCH("중력분",'🔖 배합비 참조'!$A$2:$A$83,0),MATCH($C107,'🔖 배합비 참조'!$B$1:$CE$1,0))/100,0),""))),"")</f>
        <v>0</v>
      </c>
      <c r="BT107" s="39" t="n">
        <f aca="false">IFERROR(IF($C107="","",IF($D107="","",IFERROR(ROUND($D107*INDEX('🔖 배합비 참조'!$B$2:$CE$83,MATCH("참깨(인도산,나이지리아산,탄자니아산,미얀마산)",'🔖 배합비 참조'!$A$2:$A$83,0),MATCH($C107,'🔖 배합비 참조'!$B$1:$CE$1,0))/100,0),""))),"")</f>
        <v>0</v>
      </c>
      <c r="BU107" s="39" t="n">
        <f aca="false">IFERROR(IF($C107="","",IF($D107="","",IFERROR(ROUND($D107*INDEX('🔖 배합비 참조'!$B$2:$CE$83,MATCH("찹쌀(국내산)",'🔖 배합비 참조'!$A$2:$A$83,0),MATCH($C107,'🔖 배합비 참조'!$B$1:$CE$1,0))/100,0),""))),"")</f>
        <v>21</v>
      </c>
      <c r="BV107" s="39" t="n">
        <f aca="false">IFERROR(IF($C107="","",IF($D107="","",IFERROR(ROUND($D107*INDEX('🔖 배합비 참조'!$B$2:$CE$83,MATCH("천일염",'🔖 배합비 참조'!$A$2:$A$83,0),MATCH($C107,'🔖 배합비 참조'!$B$1:$CE$1,0))/100,0),""))),"")</f>
        <v>0</v>
      </c>
      <c r="BW107" s="39" t="n">
        <f aca="false">IFERROR(IF($C107="","",IF($D107="","",IFERROR(ROUND($D107*INDEX('🔖 배합비 참조'!$B$2:$CE$83,MATCH("치즈 [크림치즈]",'🔖 배합비 참조'!$A$2:$A$83,0),MATCH($C107,'🔖 배합비 참조'!$B$1:$CE$1,0))/100,0),""))),"")</f>
        <v>0</v>
      </c>
      <c r="BX107" s="39" t="n">
        <f aca="false">IFERROR(IF($C107="","",IF($D107="","",IFERROR(ROUND($D107*INDEX('🔖 배합비 참조'!$B$2:$CE$83,MATCH("코코아가공품류(코코아분말)",'🔖 배합비 참조'!$A$2:$A$83,0),MATCH($C107,'🔖 배합비 참조'!$B$1:$CE$1,0))/100,0),""))),"")</f>
        <v>0</v>
      </c>
      <c r="BY107" s="39" t="n">
        <f aca="false">IFERROR(IF($C107="","",IF($D107="","",IFERROR(ROUND($D107*INDEX('🔖 배합비 참조'!$B$2:$CE$83,MATCH("콩기름(대두유)",'🔖 배합비 참조'!$A$2:$A$83,0),MATCH($C107,'🔖 배합비 참조'!$B$1:$CE$1,0))/100,0),""))),"")</f>
        <v>0</v>
      </c>
      <c r="BZ107" s="39" t="n">
        <f aca="false">IFERROR(IF($C107="","",IF($D107="","",IFERROR(ROUND($D107*INDEX('🔖 배합비 참조'!$B$2:$CE$83,MATCH("해바라기씨앗",'🔖 배합비 참조'!$A$2:$A$83,0),MATCH($C107,'🔖 배합비 참조'!$B$1:$CE$1,0))/100,0),""))),"")</f>
        <v>0</v>
      </c>
      <c r="CA107" s="39" t="n">
        <f aca="false">IFERROR(IF($C107="","",IF($D107="","",IFERROR(ROUND($D107*INDEX('🔖 배합비 참조'!$B$2:$CE$83,MATCH("현미(국내산)",'🔖 배합비 참조'!$A$2:$A$83,0),MATCH($C107,'🔖 배합비 참조'!$B$1:$CE$1,0))/100,0),""))),"")</f>
        <v>0</v>
      </c>
      <c r="CB107" s="39" t="n">
        <f aca="false">IFERROR(IF($C107="","",IF($D107="","",IFERROR(ROUND($D107*INDEX('🔖 배합비 참조'!$B$2:$CE$83,MATCH("현미멥쌀(국내산)",'🔖 배합비 참조'!$A$2:$A$83,0),MATCH($C107,'🔖 배합비 참조'!$B$1:$CE$1,0))/100,0),""))),"")</f>
        <v>0</v>
      </c>
      <c r="CC107" s="39" t="n">
        <f aca="false">IFERROR(IF($C107="","",IF($D107="","",IFERROR(ROUND($D107*INDEX('🔖 배합비 참조'!$B$2:$CE$83,MATCH("호두분태(미국산)",'🔖 배합비 참조'!$A$2:$A$83,0),MATCH($C107,'🔖 배합비 참조'!$B$1:$CE$1,0))/100,0),""))),"")</f>
        <v>0</v>
      </c>
      <c r="CD107" s="39" t="n">
        <f aca="false">IFERROR(IF($C107="","",IF($D107="","",IFERROR(ROUND($D107*INDEX('🔖 배합비 참조'!$B$2:$CE$83,MATCH("호박씨앗(외국산)",'🔖 배합비 참조'!$A$2:$A$83,0),MATCH($C107,'🔖 배합비 참조'!$B$1:$CE$1,0))/100,0),""))),"")</f>
        <v>0</v>
      </c>
      <c r="CE107" s="39" t="n">
        <f aca="false">IFERROR(IF($C107="","",IF($D107="","",IFERROR(ROUND($D107*INDEX('🔖 배합비 참조'!$B$2:$CE$83,MATCH("혼합제제(떡용에스텔)",'🔖 배합비 참조'!$A$2:$A$83,0),MATCH($C107,'🔖 배합비 참조'!$B$1:$CE$1,0))/100,0),""))),"")</f>
        <v>0</v>
      </c>
      <c r="CF107" s="39" t="n">
        <f aca="false">IFERROR(IF($C107="","",IF($D107="","",IFERROR(ROUND($D107*INDEX('🔖 배합비 참조'!$B$2:$CE$83,MATCH("혼합제제(스테비아)",'🔖 배합비 참조'!$A$2:$A$83,0),MATCH($C107,'🔖 배합비 참조'!$B$1:$CE$1,0))/100,0),""))),"")</f>
        <v>0</v>
      </c>
      <c r="CG107" s="39" t="n">
        <f aca="false">IFERROR(IF($C107="","",IF($D107="","",IFERROR(ROUND($D107*INDEX('🔖 배합비 참조'!$B$2:$CE$83,MATCH("화이트초콜릿",'🔖 배합비 참조'!$A$2:$A$83,0),MATCH($C107,'🔖 배합비 참조'!$B$1:$CE$1,0))/100,0),""))),"")</f>
        <v>0</v>
      </c>
      <c r="CH107" s="39" t="n">
        <f aca="false">IFERROR(IF($C107="","",IF($D107="","",IFERROR(ROUND($D107*INDEX('🔖 배합비 참조'!$B$2:$CE$83,MATCH("흑미찹쌀(국내산)",'🔖 배합비 참조'!$A$2:$A$83,0),MATCH($C107,'🔖 배합비 참조'!$B$1:$CE$1,0))/100,0),""))),"")</f>
        <v>0</v>
      </c>
      <c r="CI107" s="39" t="n">
        <f aca="false">IFERROR(IF($C107="","",IF($D107="","",IFERROR(ROUND($D107*INDEX('🔖 배합비 참조'!$B$2:$CE$83,MATCH("찰옥수수전분(미국산)",'🔖 배합비 참조'!$A$2:$A$83,0),MATCH($C107,'🔖 배합비 참조'!$B$1:$CE$1,0))/100,0),""))),"")</f>
        <v>0</v>
      </c>
      <c r="CJ107" s="40"/>
      <c r="CL107" s="1" t="s">
        <v>239</v>
      </c>
    </row>
    <row r="108" customFormat="false" ht="18" hidden="false" customHeight="true" outlineLevel="0" collapsed="false">
      <c r="A108" s="41" t="n">
        <v>104</v>
      </c>
      <c r="B108" s="36" t="n">
        <v>45996</v>
      </c>
      <c r="C108" s="37" t="s">
        <v>222</v>
      </c>
      <c r="D108" s="38" t="n">
        <v>70</v>
      </c>
      <c r="E108" s="17"/>
      <c r="F108" s="17"/>
      <c r="G108" s="42" t="n">
        <f aca="false">IFERROR(IF($C108="","",IF($D108="","",IFERROR(ROUND($D108*INDEX('🔖 배합비 참조'!$B$2:$CE$83,MATCH("간장",'🔖 배합비 참조'!$A$2:$A$83,0),MATCH($C108,'🔖 배합비 참조'!$B$1:$CE$1,0))/100,0),""))),"")</f>
        <v>0</v>
      </c>
      <c r="H108" s="42" t="n">
        <f aca="false">IFERROR(IF($C108="","",IF($D108="","",IFERROR(ROUND($D108*INDEX('🔖 배합비 참조'!$B$2:$CE$83,MATCH("강낭콩((울타리콩))",'🔖 배합비 참조'!$A$2:$A$83,0),MATCH($C108,'🔖 배합비 참조'!$B$1:$CE$1,0))/100,0),""))),"")</f>
        <v>0</v>
      </c>
      <c r="I108" s="42" t="n">
        <f aca="false">IFERROR(IF($C108="","",IF($D108="","",IFERROR(ROUND($D108*INDEX('🔖 배합비 참조'!$B$2:$CE$83,MATCH("건조딸기다이스(외국산)",'🔖 배합비 참조'!$A$2:$A$83,0),MATCH($C108,'🔖 배합비 참조'!$B$1:$CE$1,0))/100,0),""))),"")</f>
        <v>0</v>
      </c>
      <c r="J108" s="42" t="n">
        <f aca="false">IFERROR(IF($C108="","",IF($D108="","",IFERROR(ROUND($D108*INDEX('🔖 배합비 참조'!$B$2:$CE$83,MATCH("건포도",'🔖 배합비 참조'!$A$2:$A$83,0),MATCH($C108,'🔖 배합비 참조'!$B$1:$CE$1,0))/100,0),""))),"")</f>
        <v>0</v>
      </c>
      <c r="K108" s="42" t="n">
        <f aca="false">IFERROR(IF($C108="","",IF($D108="","",IFERROR(ROUND($D108*INDEX('🔖 배합비 참조'!$B$2:$CE$83,MATCH("건호박채(중국산)",'🔖 배합비 참조'!$A$2:$A$83,0),MATCH($C108,'🔖 배합비 참조'!$B$1:$CE$1,0))/100,0),""))),"")</f>
        <v>0</v>
      </c>
      <c r="L108" s="42" t="n">
        <f aca="false">IFERROR(IF($C108="","",IF($D108="","",IFERROR(ROUND($D108*INDEX('🔖 배합비 참조'!$B$2:$CE$83,MATCH("검정깨(흑임자)",'🔖 배합비 참조'!$A$2:$A$83,0),MATCH($C108,'🔖 배합비 참조'!$B$1:$CE$1,0))/100,0),""))),"")</f>
        <v>0</v>
      </c>
      <c r="M108" s="42" t="n">
        <f aca="false">IFERROR(IF($C108="","",IF($D108="","",IFERROR(ROUND($D108*INDEX('🔖 배합비 참조'!$B$2:$CE$83,MATCH("검정콩",'🔖 배합비 참조'!$A$2:$A$83,0),MATCH($C108,'🔖 배합비 참조'!$B$1:$CE$1,0))/100,0),""))),"")</f>
        <v>0</v>
      </c>
      <c r="N108" s="42" t="n">
        <f aca="false">IFERROR(IF($C108="","",IF($D108="","",IFERROR(ROUND($D108*INDEX('🔖 배합비 참조'!$B$2:$CE$83,MATCH("계피가루",'🔖 배합비 참조'!$A$2:$A$83,0),MATCH($C108,'🔖 배합비 참조'!$B$1:$CE$1,0))/100,0),""))),"")</f>
        <v>0</v>
      </c>
      <c r="O108" s="42" t="n">
        <f aca="false">IFERROR(IF($C108="","",IF($D108="","",IFERROR(ROUND($D108*INDEX('🔖 배합비 참조'!$B$2:$CE$83,MATCH("고구마가루",'🔖 배합비 참조'!$A$2:$A$83,0),MATCH($C108,'🔖 배합비 참조'!$B$1:$CE$1,0))/100,0),""))),"")</f>
        <v>0</v>
      </c>
      <c r="P108" s="42" t="n">
        <f aca="false">IFERROR(IF($C108="","",IF($D108="","",IFERROR(ROUND($D108*INDEX('🔖 배합비 참조'!$B$2:$CE$83,MATCH("고구마무스",'🔖 배합비 참조'!$A$2:$A$83,0),MATCH($C108,'🔖 배합비 참조'!$B$1:$CE$1,0))/100,0),""))),"")</f>
        <v>0</v>
      </c>
      <c r="Q108" s="42" t="n">
        <f aca="false">IFERROR(IF($C108="","",IF($D108="","",IFERROR(ROUND($D108*INDEX('🔖 배합비 참조'!$B$2:$CE$83,MATCH("고려엉겅퀴((곤드레)국내산)",'🔖 배합비 참조'!$A$2:$A$83,0),MATCH($C108,'🔖 배합비 참조'!$B$1:$CE$1,0))/100,0),""))),"")</f>
        <v>0</v>
      </c>
      <c r="R108" s="42" t="n">
        <f aca="false">IFERROR(IF($C108="","",IF($D108="","",IFERROR(ROUND($D108*INDEX('🔖 배합비 참조'!$B$2:$CE$83,MATCH("기타가공품(복분자가루)",'🔖 배합비 참조'!$A$2:$A$83,0),MATCH($C108,'🔖 배합비 참조'!$B$1:$CE$1,0))/100,0),""))),"")</f>
        <v>0</v>
      </c>
      <c r="S108" s="42" t="n">
        <f aca="false">IFERROR(IF($C108="","",IF($D108="","",IFERROR(ROUND($D108*INDEX('🔖 배합비 참조'!$B$2:$CE$83,MATCH("기타가공품(슈퍼소프트엠)",'🔖 배합비 참조'!$A$2:$A$83,0),MATCH($C108,'🔖 배합비 참조'!$B$1:$CE$1,0))/100,0),""))),"")</f>
        <v>0</v>
      </c>
      <c r="T108" s="42" t="n">
        <f aca="false">IFERROR(IF($C108="","",IF($D108="","",IFERROR(ROUND($D108*INDEX('🔖 배합비 참조'!$B$2:$CE$83,MATCH("기타가공품(파인소프트 E-티)",'🔖 배합비 참조'!$A$2:$A$83,0),MATCH($C108,'🔖 배합비 참조'!$B$1:$CE$1,0))/100,0),""))),"")</f>
        <v>0</v>
      </c>
      <c r="U108" s="42" t="n">
        <f aca="false">IFERROR(IF($C108="","",IF($D108="","",IFERROR(ROUND($D108*INDEX('🔖 배합비 참조'!$B$2:$CE$83,MATCH("기타가공품(프리미엄카스테라가루)",'🔖 배합비 참조'!$A$2:$A$83,0),MATCH($C108,'🔖 배합비 참조'!$B$1:$CE$1,0))/100,0),""))),"")</f>
        <v>5</v>
      </c>
      <c r="V108" s="42" t="n">
        <f aca="false">IFERROR(IF($C108="","",IF($D108="","",IFERROR(ROUND($D108*INDEX('🔖 배합비 참조'!$B$2:$CE$83,MATCH("기타가공품(흑임자가루)",'🔖 배합비 참조'!$A$2:$A$83,0),MATCH($C108,'🔖 배합비 참조'!$B$1:$CE$1,0))/100,0),""))),"")</f>
        <v>0</v>
      </c>
      <c r="W108" s="42" t="n">
        <f aca="false">IFERROR(IF($C108="","",IF($D108="","",IFERROR(ROUND($D108*INDEX('🔖 배합비 참조'!$B$2:$CE$83,MATCH("기타설탕(흑설탕)",'🔖 배합비 참조'!$A$2:$A$83,0),MATCH($C108,'🔖 배합비 참조'!$B$1:$CE$1,0))/100,0),""))),"")</f>
        <v>0</v>
      </c>
      <c r="X108" s="42" t="n">
        <f aca="false">IFERROR(IF($C108="","",IF($D108="","",IFERROR(ROUND($D108*INDEX('🔖 배합비 참조'!$B$2:$CE$83,MATCH("냉동쑥(국내산)",'🔖 배합비 참조'!$A$2:$A$83,0),MATCH($C108,'🔖 배합비 참조'!$B$1:$CE$1,0))/100,0),""))),"")</f>
        <v>4</v>
      </c>
      <c r="Y108" s="42" t="n">
        <f aca="false">IFERROR(IF($C108="","",IF($D108="","",IFERROR(ROUND($D108*INDEX('🔖 배합비 참조'!$B$2:$CE$83,MATCH("냉동증숙고구마(중국산)",'🔖 배합비 참조'!$A$2:$A$83,0),MATCH($C108,'🔖 배합비 참조'!$B$1:$CE$1,0))/100,0),""))),"")</f>
        <v>0</v>
      </c>
      <c r="Z108" s="42" t="n">
        <f aca="false">IFERROR(IF($C108="","",IF($D108="","",IFERROR(ROUND($D108*INDEX('🔖 배합비 참조'!$B$2:$CE$83,MATCH("녹차가루",'🔖 배합비 참조'!$A$2:$A$83,0),MATCH($C108,'🔖 배합비 참조'!$B$1:$CE$1,0))/100,0),""))),"")</f>
        <v>0</v>
      </c>
      <c r="AA108" s="42" t="n">
        <f aca="false">IFERROR(IF($C108="","",IF($D108="","",IFERROR(ROUND($D108*INDEX('🔖 배합비 참조'!$B$2:$CE$83,MATCH("다크초콜릿 컴파운드칩",'🔖 배합비 참조'!$A$2:$A$83,0),MATCH($C108,'🔖 배합비 참조'!$B$1:$CE$1,0))/100,0),""))),"")</f>
        <v>0</v>
      </c>
      <c r="AB108" s="42" t="n">
        <f aca="false">IFERROR(IF($C108="","",IF($D108="","",IFERROR(ROUND($D108*INDEX('🔖 배합비 참조'!$B$2:$CE$83,MATCH("단호박분말(중국산)",'🔖 배합비 참조'!$A$2:$A$83,0),MATCH($C108,'🔖 배합비 참조'!$B$1:$CE$1,0))/100,0),""))),"")</f>
        <v>0</v>
      </c>
      <c r="AC108" s="42" t="n">
        <f aca="false">IFERROR(IF($C108="","",IF($D108="","",IFERROR(ROUND($D108*INDEX('🔖 배합비 참조'!$B$2:$CE$83,MATCH("당류가공품(단호박농축액)",'🔖 배합비 참조'!$A$2:$A$83,0),MATCH($C108,'🔖 배합비 참조'!$B$1:$CE$1,0))/100,0),""))),"")</f>
        <v>0</v>
      </c>
      <c r="AD108" s="42" t="n">
        <f aca="false">IFERROR(IF($C108="","",IF($D108="","",IFERROR(ROUND($D108*INDEX('🔖 배합비 참조'!$B$2:$CE$83,MATCH("당류가공품(알룰로스,에리스리톨,스테비올배당체혼합)",'🔖 배합비 참조'!$A$2:$A$83,0),MATCH($C108,'🔖 배합비 참조'!$B$1:$CE$1,0))/100,0),""))),"")</f>
        <v>0</v>
      </c>
      <c r="AE108" s="42" t="n">
        <f aca="false">IFERROR(IF($C108="","",IF($D108="","",IFERROR(ROUND($D108*INDEX('🔖 배합비 참조'!$B$2:$CE$83,MATCH("당류가공품(알룰로스제로파우더)",'🔖 배합비 참조'!$A$2:$A$83,0),MATCH($C108,'🔖 배합비 참조'!$B$1:$CE$1,0))/100,0),""))),"")</f>
        <v>0</v>
      </c>
      <c r="AF108" s="42" t="n">
        <f aca="false">IFERROR(IF($C108="","",IF($D108="","",IFERROR(ROUND($D108*INDEX('🔖 배합비 참조'!$B$2:$CE$83,MATCH("당절임(완두배기)",'🔖 배합비 참조'!$A$2:$A$83,0),MATCH($C108,'🔖 배합비 참조'!$B$1:$CE$1,0))/100,0),""))),"")</f>
        <v>0</v>
      </c>
      <c r="AG108" s="42" t="n">
        <f aca="false">IFERROR(IF($C108="","",IF($D108="","",IFERROR(ROUND($D108*INDEX('🔖 배합비 참조'!$B$2:$CE$83,MATCH("대추농축액",'🔖 배합비 참조'!$A$2:$A$83,0),MATCH($C108,'🔖 배합비 참조'!$B$1:$CE$1,0))/100,0),""))),"")</f>
        <v>0</v>
      </c>
      <c r="AH108" s="42" t="n">
        <f aca="false">IFERROR(IF($C108="","",IF($D108="","",IFERROR(ROUND($D108*INDEX('🔖 배합비 참조'!$B$2:$CE$83,MATCH("대추채(국내산)",'🔖 배합비 참조'!$A$2:$A$83,0),MATCH($C108,'🔖 배합비 참조'!$B$1:$CE$1,0))/100,0),""))),"")</f>
        <v>0</v>
      </c>
      <c r="AI108" s="42" t="n">
        <f aca="false">IFERROR(IF($C108="","",IF($D108="","",IFERROR(ROUND($D108*INDEX('🔖 배합비 참조'!$B$2:$CE$83,MATCH("동부(미얀마산)",'🔖 배합비 참조'!$A$2:$A$83,0),MATCH($C108,'🔖 배합비 참조'!$B$1:$CE$1,0))/100,0),""))),"")</f>
        <v>5</v>
      </c>
      <c r="AJ108" s="42" t="n">
        <f aca="false">IFERROR(IF($C108="","",IF($D108="","",IFERROR(ROUND($D108*INDEX('🔖 배합비 참조'!$B$2:$CE$83,MATCH("두류가공품(백옥앙금)",'🔖 배합비 참조'!$A$2:$A$83,0),MATCH($C108,'🔖 배합비 참조'!$B$1:$CE$1,0))/100,0),""))),"")</f>
        <v>0</v>
      </c>
      <c r="AK108" s="42" t="n">
        <f aca="false">IFERROR(IF($C108="","",IF($D108="","",IFERROR(ROUND($D108*INDEX('🔖 배합비 참조'!$B$2:$CE$83,MATCH("두류가공품(콩고물)",'🔖 배합비 참조'!$A$2:$A$83,0),MATCH($C108,'🔖 배합비 참조'!$B$1:$CE$1,0))/100,0),""))),"")</f>
        <v>0</v>
      </c>
      <c r="AL108" s="42" t="n">
        <f aca="false">IFERROR(IF($C108="","",IF($D108="","",IFERROR(ROUND($D108*INDEX('🔖 배합비 참조'!$B$2:$CE$83,MATCH("두류가공품(통팥고물)",'🔖 배합비 참조'!$A$2:$A$83,0),MATCH($C108,'🔖 배합비 참조'!$B$1:$CE$1,0))/100,0),""))),"")</f>
        <v>0</v>
      </c>
      <c r="AM108" s="42" t="n">
        <f aca="false">IFERROR(IF($C108="","",IF($D108="","",IFERROR(ROUND($D108*INDEX('🔖 배합비 참조'!$B$2:$CE$83,MATCH("딸기레진",'🔖 배합비 참조'!$A$2:$A$83,0),MATCH($C108,'🔖 배합비 참조'!$B$1:$CE$1,0))/100,0),""))),"")</f>
        <v>0</v>
      </c>
      <c r="AN108" s="42" t="n">
        <f aca="false">IFERROR(IF($C108="","",IF($D108="","",IFERROR(ROUND($D108*INDEX('🔖 배합비 참조'!$B$2:$CE$83,MATCH("딸기분말(스트로우베리에이드(분말))",'🔖 배합비 참조'!$A$2:$A$83,0),MATCH($C108,'🔖 배합비 참조'!$B$1:$CE$1,0))/100,0),""))),"")</f>
        <v>0</v>
      </c>
      <c r="AO108" s="42" t="n">
        <f aca="false">IFERROR(IF($C108="","",IF($D108="","",IFERROR(ROUND($D108*INDEX('🔖 배합비 참조'!$B$2:$CE$83,MATCH("마스카포네치즈",'🔖 배합비 참조'!$A$2:$A$83,0),MATCH($C108,'🔖 배합비 참조'!$B$1:$CE$1,0))/100,0),""))),"")</f>
        <v>0</v>
      </c>
      <c r="AP108" s="42" t="n">
        <f aca="false">IFERROR(IF($C108="","",IF($D108="","",IFERROR(ROUND($D108*INDEX('🔖 배합비 참조'!$B$2:$CE$83,MATCH("마카다미아분태(호주산)",'🔖 배합비 참조'!$A$2:$A$83,0),MATCH($C108,'🔖 배합비 참조'!$B$1:$CE$1,0))/100,0),""))),"")</f>
        <v>0</v>
      </c>
      <c r="AQ108" s="42" t="n">
        <f aca="false">IFERROR(IF($C108="","",IF($D108="","",IFERROR(ROUND($D108*INDEX('🔖 배합비 참조'!$B$2:$CE$83,MATCH("멥쌀(국내산)",'🔖 배합비 참조'!$A$2:$A$83,0),MATCH($C108,'🔖 배합비 참조'!$B$1:$CE$1,0))/100,0),""))),"")</f>
        <v>0</v>
      </c>
      <c r="AR108" s="42" t="n">
        <f aca="false">IFERROR(IF($C108="","",IF($D108="","",IFERROR(ROUND($D108*INDEX('🔖 배합비 참조'!$B$2:$CE$83,MATCH("모시잎(국내산)",'🔖 배합비 참조'!$A$2:$A$83,0),MATCH($C108,'🔖 배합비 참조'!$B$1:$CE$1,0))/100,0),""))),"")</f>
        <v>0</v>
      </c>
      <c r="AS108" s="42" t="n">
        <f aca="false">IFERROR(IF($C108="","",IF($D108="","",IFERROR(ROUND($D108*INDEX('🔖 배합비 참조'!$B$2:$CE$83,MATCH("물엿(저당물엿)",'🔖 배합비 참조'!$A$2:$A$83,0),MATCH($C108,'🔖 배합비 참조'!$B$1:$CE$1,0))/100,0),""))),"")</f>
        <v>2</v>
      </c>
      <c r="AT108" s="42" t="n">
        <f aca="false">IFERROR(IF($C108="","",IF($D108="","",IFERROR(ROUND($D108*INDEX('🔖 배합비 참조'!$B$2:$CE$83,MATCH("밤다이스",'🔖 배합비 참조'!$A$2:$A$83,0),MATCH($C108,'🔖 배합비 참조'!$B$1:$CE$1,0))/100,0),""))),"")</f>
        <v>0</v>
      </c>
      <c r="AU108" s="42" t="n">
        <f aca="false">IFERROR(IF($C108="","",IF($D108="","",IFERROR(ROUND($D108*INDEX('🔖 배합비 참조'!$B$2:$CE$83,MATCH("변성전분(타피오카전분)",'🔖 배합비 참조'!$A$2:$A$83,0),MATCH($C108,'🔖 배합비 참조'!$B$1:$CE$1,0))/100,0),""))),"")</f>
        <v>0</v>
      </c>
      <c r="AV108" s="42" t="n">
        <f aca="false">IFERROR(IF($C108="","",IF($D108="","",IFERROR(ROUND($D108*INDEX('🔖 배합비 참조'!$B$2:$CE$83,MATCH("복음땅콩분태",'🔖 배합비 참조'!$A$2:$A$83,0),MATCH($C108,'🔖 배합비 참조'!$B$1:$CE$1,0))/100,0),""))),"")</f>
        <v>0</v>
      </c>
      <c r="AW108" s="42" t="n">
        <f aca="false">IFERROR(IF($C108="","",IF($D108="","",IFERROR(ROUND($D108*INDEX('🔖 배합비 참조'!$B$2:$CE$83,MATCH("사양벌꿀(국내산)",'🔖 배합비 참조'!$A$2:$A$83,0),MATCH($C108,'🔖 배합비 참조'!$B$1:$CE$1,0))/100,0),""))),"")</f>
        <v>0</v>
      </c>
      <c r="AX108" s="42" t="n">
        <f aca="false">IFERROR(IF($C108="","",IF($D108="","",IFERROR(ROUND($D108*INDEX('🔖 배합비 참조'!$B$2:$CE$83,MATCH("생크림",'🔖 배합비 참조'!$A$2:$A$83,0),MATCH($C108,'🔖 배합비 참조'!$B$1:$CE$1,0))/100,0),""))),"")</f>
        <v>0</v>
      </c>
      <c r="AY108" s="42" t="n">
        <f aca="false">IFERROR(IF($C108="","",IF($D108="","",IFERROR(ROUND($D108*INDEX('🔖 배합비 참조'!$B$2:$CE$83,MATCH("서양호박(국내산,뉴질랜드산)",'🔖 배합비 참조'!$A$2:$A$83,0),MATCH($C108,'🔖 배합비 참조'!$B$1:$CE$1,0))/100,0),""))),"")</f>
        <v>0</v>
      </c>
      <c r="AZ108" s="42" t="n">
        <f aca="false">IFERROR(IF($C108="","",IF($D108="","",IFERROR(ROUND($D108*INDEX('🔖 배합비 참조'!$B$2:$CE$83,MATCH("설탕",'🔖 배합비 참조'!$A$2:$A$83,0),MATCH($C108,'🔖 배합비 참조'!$B$1:$CE$1,0))/100,0),""))),"")</f>
        <v>2</v>
      </c>
      <c r="BA108" s="42" t="n">
        <f aca="false">IFERROR(IF($C108="","",IF($D108="","",IFERROR(ROUND($D108*INDEX('🔖 배합비 참조'!$B$2:$CE$83,MATCH("스트로우베리 에이드 후레쉬",'🔖 배합비 참조'!$A$2:$A$83,0),MATCH($C108,'🔖 배합비 참조'!$B$1:$CE$1,0))/100,0),""))),"")</f>
        <v>0</v>
      </c>
      <c r="BB108" s="42" t="n">
        <f aca="false">IFERROR(IF($C108="","",IF($D108="","",IFERROR(ROUND($D108*INDEX('🔖 배합비 참조'!$B$2:$CE$83,MATCH("식물성기름혼합제제(분홍)",'🔖 배합비 참조'!$A$2:$A$83,0),MATCH($C108,'🔖 배합비 참조'!$B$1:$CE$1,0))/100,0),""))),"")</f>
        <v>0</v>
      </c>
      <c r="BC108" s="42" t="n">
        <f aca="false">IFERROR(IF($C108="","",IF($D108="","",IFERROR(ROUND($D108*INDEX('🔖 배합비 참조'!$B$2:$CE$83,MATCH("식물성기름혼합제제(초록)",'🔖 배합비 참조'!$A$2:$A$83,0),MATCH($C108,'🔖 배합비 참조'!$B$1:$CE$1,0))/100,0),""))),"")</f>
        <v>0</v>
      </c>
      <c r="BD108" s="42" t="n">
        <f aca="false">IFERROR(IF($C108="","",IF($D108="","",IFERROR(ROUND($D108*INDEX('🔖 배합비 참조'!$B$2:$CE$83,MATCH("식물성기름혼합제제(황색)",'🔖 배합비 참조'!$A$2:$A$83,0),MATCH($C108,'🔖 배합비 참조'!$B$1:$CE$1,0))/100,0),""))),"")</f>
        <v>0</v>
      </c>
      <c r="BE108" s="42" t="n">
        <f aca="false">IFERROR(IF($C108="","",IF($D108="","",IFERROR(ROUND($D108*INDEX('🔖 배합비 참조'!$B$2:$CE$83,MATCH("쑥가루(국내산)",'🔖 배합비 참조'!$A$2:$A$83,0),MATCH($C108,'🔖 배합비 참조'!$B$1:$CE$1,0))/100,0),""))),"")</f>
        <v>2</v>
      </c>
      <c r="BF108" s="42" t="n">
        <f aca="false">IFERROR(IF($C108="","",IF($D108="","",IFERROR(ROUND($D108*INDEX('🔖 배합비 참조'!$B$2:$CE$83,MATCH("아몬드슬라이스",'🔖 배합비 참조'!$A$2:$A$83,0),MATCH($C108,'🔖 배합비 참조'!$B$1:$CE$1,0))/100,0),""))),"")</f>
        <v>0</v>
      </c>
      <c r="BG108" s="42" t="n">
        <f aca="false">IFERROR(IF($C108="","",IF($D108="","",IFERROR(ROUND($D108*INDEX('🔖 배합비 참조'!$B$2:$CE$83,MATCH("알룰로오스(국내산)",'🔖 배합비 참조'!$A$2:$A$83,0),MATCH($C108,'🔖 배합비 참조'!$B$1:$CE$1,0))/100,0),""))),"")</f>
        <v>0</v>
      </c>
      <c r="BH108" s="42" t="n">
        <f aca="false">IFERROR(IF($C108="","",IF($D108="","",IFERROR(ROUND($D108*INDEX('🔖 배합비 참조'!$B$2:$CE$83,MATCH("연유",'🔖 배합비 참조'!$A$2:$A$83,0),MATCH($C108,'🔖 배합비 참조'!$B$1:$CE$1,0))/100,0),""))),"")</f>
        <v>0</v>
      </c>
      <c r="BI108" s="42" t="n">
        <f aca="false">IFERROR(IF($C108="","",IF($D108="","",IFERROR(ROUND($D108*INDEX('🔖 배합비 참조'!$B$2:$CE$83,MATCH("옥수수전분",'🔖 배합비 참조'!$A$2:$A$83,0),MATCH($C108,'🔖 배합비 참조'!$B$1:$CE$1,0))/100,0),""))),"")</f>
        <v>0</v>
      </c>
      <c r="BJ108" s="42" t="n">
        <f aca="false">IFERROR(IF($C108="","",IF($D108="","",IFERROR(ROUND($D108*INDEX('🔖 배합비 참조'!$B$2:$CE$83,MATCH("완두배기",'🔖 배합비 참조'!$A$2:$A$83,0),MATCH($C108,'🔖 배합비 참조'!$B$1:$CE$1,0))/100,0),""))),"")</f>
        <v>0</v>
      </c>
      <c r="BK108" s="42" t="n">
        <f aca="false">IFERROR(IF($C108="","",IF($D108="","",IFERROR(ROUND($D108*INDEX('🔖 배합비 참조'!$B$2:$CE$83,MATCH("우유(국내산)",'🔖 배합비 참조'!$A$2:$A$83,0),MATCH($C108,'🔖 배합비 참조'!$B$1:$CE$1,0))/100,0),""))),"")</f>
        <v>0</v>
      </c>
      <c r="BL108" s="42" t="n">
        <f aca="false">IFERROR(IF($C108="","",IF($D108="","",IFERROR(ROUND($D108*INDEX('🔖 배합비 참조'!$B$2:$CE$83,MATCH("자색고구마가루(중국산)",'🔖 배합비 참조'!$A$2:$A$83,0),MATCH($C108,'🔖 배합비 참조'!$B$1:$CE$1,0))/100,0),""))),"")</f>
        <v>0</v>
      </c>
      <c r="BM108" s="42" t="n">
        <f aca="false">IFERROR(IF($C108="","",IF($D108="","",IFERROR(ROUND($D108*INDEX('🔖 배합비 참조'!$B$2:$CE$83,MATCH("자연치즈(체다치즈)",'🔖 배합비 참조'!$A$2:$A$83,0),MATCH($C108,'🔖 배합비 참조'!$B$1:$CE$1,0))/100,0),""))),"")</f>
        <v>0</v>
      </c>
      <c r="BN108" s="42" t="n">
        <f aca="false">IFERROR(IF($C108="","",IF($D108="","",IFERROR(ROUND($D108*INDEX('🔖 배합비 참조'!$B$2:$CE$83,MATCH("정제수",'🔖 배합비 참조'!$A$2:$A$83,0),MATCH($C108,'🔖 배합비 참조'!$B$1:$CE$1,0))/100,0),""))),"")</f>
        <v>8</v>
      </c>
      <c r="BO108" s="42" t="n">
        <f aca="false">IFERROR(IF($C108="","",IF($D108="","",IFERROR(ROUND($D108*INDEX('🔖 배합비 참조'!$B$2:$CE$83,MATCH("젤라틴",'🔖 배합비 참조'!$A$2:$A$83,0),MATCH($C108,'🔖 배합비 참조'!$B$1:$CE$1,0))/100,0),""))),"")</f>
        <v>0</v>
      </c>
      <c r="BP108" s="42" t="n">
        <f aca="false">IFERROR(IF($C108="","",IF($D108="","",IFERROR(ROUND($D108*INDEX('🔖 배합비 참조'!$B$2:$CE$83,MATCH("조림류(백옥앙금)",'🔖 배합비 참조'!$A$2:$A$83,0),MATCH($C108,'🔖 배합비 참조'!$B$1:$CE$1,0))/100,0),""))),"")</f>
        <v>21</v>
      </c>
      <c r="BQ108" s="42" t="n">
        <f aca="false">IFERROR(IF($C108="","",IF($D108="","",IFERROR(ROUND($D108*INDEX('🔖 배합비 참조'!$B$2:$CE$83,MATCH("조림류(통팥앙금)",'🔖 배합비 참조'!$A$2:$A$83,0),MATCH($C108,'🔖 배합비 참조'!$B$1:$CE$1,0))/100,0),""))),"")</f>
        <v>0</v>
      </c>
      <c r="BR108" s="42" t="n">
        <f aca="false">IFERROR(IF($C108="","",IF($D108="","",IFERROR(ROUND($D108*INDEX('🔖 배합비 참조'!$B$2:$CE$83,MATCH("준초콜릿(외국산)",'🔖 배합비 참조'!$A$2:$A$83,0),MATCH($C108,'🔖 배합비 참조'!$B$1:$CE$1,0))/100,0),""))),"")</f>
        <v>0</v>
      </c>
      <c r="BS108" s="42" t="n">
        <f aca="false">IFERROR(IF($C108="","",IF($D108="","",IFERROR(ROUND($D108*INDEX('🔖 배합비 참조'!$B$2:$CE$83,MATCH("중력분",'🔖 배합비 참조'!$A$2:$A$83,0),MATCH($C108,'🔖 배합비 참조'!$B$1:$CE$1,0))/100,0),""))),"")</f>
        <v>0</v>
      </c>
      <c r="BT108" s="42" t="n">
        <f aca="false">IFERROR(IF($C108="","",IF($D108="","",IFERROR(ROUND($D108*INDEX('🔖 배합비 참조'!$B$2:$CE$83,MATCH("참깨(인도산,나이지리아산,탄자니아산,미얀마산)",'🔖 배합비 참조'!$A$2:$A$83,0),MATCH($C108,'🔖 배합비 참조'!$B$1:$CE$1,0))/100,0),""))),"")</f>
        <v>0</v>
      </c>
      <c r="BU108" s="42" t="n">
        <f aca="false">IFERROR(IF($C108="","",IF($D108="","",IFERROR(ROUND($D108*INDEX('🔖 배합비 참조'!$B$2:$CE$83,MATCH("찹쌀(국내산)",'🔖 배합비 참조'!$A$2:$A$83,0),MATCH($C108,'🔖 배합비 참조'!$B$1:$CE$1,0))/100,0),""))),"")</f>
        <v>19</v>
      </c>
      <c r="BV108" s="42" t="n">
        <f aca="false">IFERROR(IF($C108="","",IF($D108="","",IFERROR(ROUND($D108*INDEX('🔖 배합비 참조'!$B$2:$CE$83,MATCH("천일염",'🔖 배합비 참조'!$A$2:$A$83,0),MATCH($C108,'🔖 배합비 참조'!$B$1:$CE$1,0))/100,0),""))),"")</f>
        <v>0</v>
      </c>
      <c r="BW108" s="42" t="n">
        <f aca="false">IFERROR(IF($C108="","",IF($D108="","",IFERROR(ROUND($D108*INDEX('🔖 배합비 참조'!$B$2:$CE$83,MATCH("치즈 [크림치즈]",'🔖 배합비 참조'!$A$2:$A$83,0),MATCH($C108,'🔖 배합비 참조'!$B$1:$CE$1,0))/100,0),""))),"")</f>
        <v>0</v>
      </c>
      <c r="BX108" s="42" t="n">
        <f aca="false">IFERROR(IF($C108="","",IF($D108="","",IFERROR(ROUND($D108*INDEX('🔖 배합비 참조'!$B$2:$CE$83,MATCH("코코아가공품류(코코아분말)",'🔖 배합비 참조'!$A$2:$A$83,0),MATCH($C108,'🔖 배합비 참조'!$B$1:$CE$1,0))/100,0),""))),"")</f>
        <v>0</v>
      </c>
      <c r="BY108" s="42" t="n">
        <f aca="false">IFERROR(IF($C108="","",IF($D108="","",IFERROR(ROUND($D108*INDEX('🔖 배합비 참조'!$B$2:$CE$83,MATCH("콩기름(대두유)",'🔖 배합비 참조'!$A$2:$A$83,0),MATCH($C108,'🔖 배합비 참조'!$B$1:$CE$1,0))/100,0),""))),"")</f>
        <v>0</v>
      </c>
      <c r="BZ108" s="42" t="n">
        <f aca="false">IFERROR(IF($C108="","",IF($D108="","",IFERROR(ROUND($D108*INDEX('🔖 배합비 참조'!$B$2:$CE$83,MATCH("해바라기씨앗",'🔖 배합비 참조'!$A$2:$A$83,0),MATCH($C108,'🔖 배합비 참조'!$B$1:$CE$1,0))/100,0),""))),"")</f>
        <v>0</v>
      </c>
      <c r="CA108" s="42" t="n">
        <f aca="false">IFERROR(IF($C108="","",IF($D108="","",IFERROR(ROUND($D108*INDEX('🔖 배합비 참조'!$B$2:$CE$83,MATCH("현미(국내산)",'🔖 배합비 참조'!$A$2:$A$83,0),MATCH($C108,'🔖 배합비 참조'!$B$1:$CE$1,0))/100,0),""))),"")</f>
        <v>0</v>
      </c>
      <c r="CB108" s="42" t="n">
        <f aca="false">IFERROR(IF($C108="","",IF($D108="","",IFERROR(ROUND($D108*INDEX('🔖 배합비 참조'!$B$2:$CE$83,MATCH("현미멥쌀(국내산)",'🔖 배합비 참조'!$A$2:$A$83,0),MATCH($C108,'🔖 배합비 참조'!$B$1:$CE$1,0))/100,0),""))),"")</f>
        <v>0</v>
      </c>
      <c r="CC108" s="42" t="n">
        <f aca="false">IFERROR(IF($C108="","",IF($D108="","",IFERROR(ROUND($D108*INDEX('🔖 배합비 참조'!$B$2:$CE$83,MATCH("호두분태(미국산)",'🔖 배합비 참조'!$A$2:$A$83,0),MATCH($C108,'🔖 배합비 참조'!$B$1:$CE$1,0))/100,0),""))),"")</f>
        <v>0</v>
      </c>
      <c r="CD108" s="42" t="n">
        <f aca="false">IFERROR(IF($C108="","",IF($D108="","",IFERROR(ROUND($D108*INDEX('🔖 배합비 참조'!$B$2:$CE$83,MATCH("호박씨앗(외국산)",'🔖 배합비 참조'!$A$2:$A$83,0),MATCH($C108,'🔖 배합비 참조'!$B$1:$CE$1,0))/100,0),""))),"")</f>
        <v>0</v>
      </c>
      <c r="CE108" s="42" t="n">
        <f aca="false">IFERROR(IF($C108="","",IF($D108="","",IFERROR(ROUND($D108*INDEX('🔖 배합비 참조'!$B$2:$CE$83,MATCH("혼합제제(떡용에스텔)",'🔖 배합비 참조'!$A$2:$A$83,0),MATCH($C108,'🔖 배합비 참조'!$B$1:$CE$1,0))/100,0),""))),"")</f>
        <v>0</v>
      </c>
      <c r="CF108" s="42" t="n">
        <f aca="false">IFERROR(IF($C108="","",IF($D108="","",IFERROR(ROUND($D108*INDEX('🔖 배합비 참조'!$B$2:$CE$83,MATCH("혼합제제(스테비아)",'🔖 배합비 참조'!$A$2:$A$83,0),MATCH($C108,'🔖 배합비 참조'!$B$1:$CE$1,0))/100,0),""))),"")</f>
        <v>0</v>
      </c>
      <c r="CG108" s="42" t="n">
        <f aca="false">IFERROR(IF($C108="","",IF($D108="","",IFERROR(ROUND($D108*INDEX('🔖 배합비 참조'!$B$2:$CE$83,MATCH("화이트초콜릿",'🔖 배합비 참조'!$A$2:$A$83,0),MATCH($C108,'🔖 배합비 참조'!$B$1:$CE$1,0))/100,0),""))),"")</f>
        <v>0</v>
      </c>
      <c r="CH108" s="42" t="n">
        <f aca="false">IFERROR(IF($C108="","",IF($D108="","",IFERROR(ROUND($D108*INDEX('🔖 배합비 참조'!$B$2:$CE$83,MATCH("흑미찹쌀(국내산)",'🔖 배합비 참조'!$A$2:$A$83,0),MATCH($C108,'🔖 배합비 참조'!$B$1:$CE$1,0))/100,0),""))),"")</f>
        <v>0</v>
      </c>
      <c r="CI108" s="42" t="n">
        <f aca="false">IFERROR(IF($C108="","",IF($D108="","",IFERROR(ROUND($D108*INDEX('🔖 배합비 참조'!$B$2:$CE$83,MATCH("찰옥수수전분(미국산)",'🔖 배합비 참조'!$A$2:$A$83,0),MATCH($C108,'🔖 배합비 참조'!$B$1:$CE$1,0))/100,0),""))),"")</f>
        <v>0</v>
      </c>
      <c r="CJ108" s="40"/>
      <c r="CL108" s="1" t="s">
        <v>239</v>
      </c>
    </row>
    <row r="109" customFormat="false" ht="18" hidden="false" customHeight="true" outlineLevel="0" collapsed="false">
      <c r="A109" s="35" t="n">
        <v>105</v>
      </c>
      <c r="B109" s="36" t="n">
        <v>45996</v>
      </c>
      <c r="C109" s="37" t="s">
        <v>221</v>
      </c>
      <c r="D109" s="38" t="n">
        <v>70</v>
      </c>
      <c r="E109" s="13"/>
      <c r="F109" s="13"/>
      <c r="G109" s="39" t="n">
        <f aca="false">IFERROR(IF($C109="","",IF($D109="","",IFERROR(ROUND($D109*INDEX('🔖 배합비 참조'!$B$2:$CE$83,MATCH("간장",'🔖 배합비 참조'!$A$2:$A$83,0),MATCH($C109,'🔖 배합비 참조'!$B$1:$CE$1,0))/100,0),""))),"")</f>
        <v>0</v>
      </c>
      <c r="H109" s="39" t="n">
        <f aca="false">IFERROR(IF($C109="","",IF($D109="","",IFERROR(ROUND($D109*INDEX('🔖 배합비 참조'!$B$2:$CE$83,MATCH("강낭콩((울타리콩))",'🔖 배합비 참조'!$A$2:$A$83,0),MATCH($C109,'🔖 배합비 참조'!$B$1:$CE$1,0))/100,0),""))),"")</f>
        <v>0</v>
      </c>
      <c r="I109" s="39" t="n">
        <f aca="false">IFERROR(IF($C109="","",IF($D109="","",IFERROR(ROUND($D109*INDEX('🔖 배합비 참조'!$B$2:$CE$83,MATCH("건조딸기다이스(외국산)",'🔖 배합비 참조'!$A$2:$A$83,0),MATCH($C109,'🔖 배합비 참조'!$B$1:$CE$1,0))/100,0),""))),"")</f>
        <v>0</v>
      </c>
      <c r="J109" s="39" t="n">
        <f aca="false">IFERROR(IF($C109="","",IF($D109="","",IFERROR(ROUND($D109*INDEX('🔖 배합비 참조'!$B$2:$CE$83,MATCH("건포도",'🔖 배합비 참조'!$A$2:$A$83,0),MATCH($C109,'🔖 배합비 참조'!$B$1:$CE$1,0))/100,0),""))),"")</f>
        <v>0</v>
      </c>
      <c r="K109" s="39" t="n">
        <f aca="false">IFERROR(IF($C109="","",IF($D109="","",IFERROR(ROUND($D109*INDEX('🔖 배합비 참조'!$B$2:$CE$83,MATCH("건호박채(중국산)",'🔖 배합비 참조'!$A$2:$A$83,0),MATCH($C109,'🔖 배합비 참조'!$B$1:$CE$1,0))/100,0),""))),"")</f>
        <v>0</v>
      </c>
      <c r="L109" s="39" t="n">
        <f aca="false">IFERROR(IF($C109="","",IF($D109="","",IFERROR(ROUND($D109*INDEX('🔖 배합비 참조'!$B$2:$CE$83,MATCH("검정깨(흑임자)",'🔖 배합비 참조'!$A$2:$A$83,0),MATCH($C109,'🔖 배합비 참조'!$B$1:$CE$1,0))/100,0),""))),"")</f>
        <v>0</v>
      </c>
      <c r="M109" s="39" t="n">
        <f aca="false">IFERROR(IF($C109="","",IF($D109="","",IFERROR(ROUND($D109*INDEX('🔖 배합비 참조'!$B$2:$CE$83,MATCH("검정콩",'🔖 배합비 참조'!$A$2:$A$83,0),MATCH($C109,'🔖 배합비 참조'!$B$1:$CE$1,0))/100,0),""))),"")</f>
        <v>0</v>
      </c>
      <c r="N109" s="39" t="n">
        <f aca="false">IFERROR(IF($C109="","",IF($D109="","",IFERROR(ROUND($D109*INDEX('🔖 배합비 참조'!$B$2:$CE$83,MATCH("계피가루",'🔖 배합비 참조'!$A$2:$A$83,0),MATCH($C109,'🔖 배합비 참조'!$B$1:$CE$1,0))/100,0),""))),"")</f>
        <v>0</v>
      </c>
      <c r="O109" s="39" t="n">
        <f aca="false">IFERROR(IF($C109="","",IF($D109="","",IFERROR(ROUND($D109*INDEX('🔖 배합비 참조'!$B$2:$CE$83,MATCH("고구마가루",'🔖 배합비 참조'!$A$2:$A$83,0),MATCH($C109,'🔖 배합비 참조'!$B$1:$CE$1,0))/100,0),""))),"")</f>
        <v>0</v>
      </c>
      <c r="P109" s="39" t="n">
        <f aca="false">IFERROR(IF($C109="","",IF($D109="","",IFERROR(ROUND($D109*INDEX('🔖 배합비 참조'!$B$2:$CE$83,MATCH("고구마무스",'🔖 배합비 참조'!$A$2:$A$83,0),MATCH($C109,'🔖 배합비 참조'!$B$1:$CE$1,0))/100,0),""))),"")</f>
        <v>0</v>
      </c>
      <c r="Q109" s="39" t="n">
        <f aca="false">IFERROR(IF($C109="","",IF($D109="","",IFERROR(ROUND($D109*INDEX('🔖 배합비 참조'!$B$2:$CE$83,MATCH("고려엉겅퀴((곤드레)국내산)",'🔖 배합비 참조'!$A$2:$A$83,0),MATCH($C109,'🔖 배합비 참조'!$B$1:$CE$1,0))/100,0),""))),"")</f>
        <v>0</v>
      </c>
      <c r="R109" s="39" t="n">
        <f aca="false">IFERROR(IF($C109="","",IF($D109="","",IFERROR(ROUND($D109*INDEX('🔖 배합비 참조'!$B$2:$CE$83,MATCH("기타가공품(복분자가루)",'🔖 배합비 참조'!$A$2:$A$83,0),MATCH($C109,'🔖 배합비 참조'!$B$1:$CE$1,0))/100,0),""))),"")</f>
        <v>0</v>
      </c>
      <c r="S109" s="39" t="n">
        <f aca="false">IFERROR(IF($C109="","",IF($D109="","",IFERROR(ROUND($D109*INDEX('🔖 배합비 참조'!$B$2:$CE$83,MATCH("기타가공품(슈퍼소프트엠)",'🔖 배합비 참조'!$A$2:$A$83,0),MATCH($C109,'🔖 배합비 참조'!$B$1:$CE$1,0))/100,0),""))),"")</f>
        <v>0</v>
      </c>
      <c r="T109" s="39" t="n">
        <f aca="false">IFERROR(IF($C109="","",IF($D109="","",IFERROR(ROUND($D109*INDEX('🔖 배합비 참조'!$B$2:$CE$83,MATCH("기타가공품(파인소프트 E-티)",'🔖 배합비 참조'!$A$2:$A$83,0),MATCH($C109,'🔖 배합비 참조'!$B$1:$CE$1,0))/100,0),""))),"")</f>
        <v>0</v>
      </c>
      <c r="U109" s="39" t="n">
        <f aca="false">IFERROR(IF($C109="","",IF($D109="","",IFERROR(ROUND($D109*INDEX('🔖 배합비 참조'!$B$2:$CE$83,MATCH("기타가공품(프리미엄카스테라가루)",'🔖 배합비 참조'!$A$2:$A$83,0),MATCH($C109,'🔖 배합비 참조'!$B$1:$CE$1,0))/100,0),""))),"")</f>
        <v>5</v>
      </c>
      <c r="V109" s="39" t="n">
        <f aca="false">IFERROR(IF($C109="","",IF($D109="","",IFERROR(ROUND($D109*INDEX('🔖 배합비 참조'!$B$2:$CE$83,MATCH("기타가공품(흑임자가루)",'🔖 배합비 참조'!$A$2:$A$83,0),MATCH($C109,'🔖 배합비 참조'!$B$1:$CE$1,0))/100,0),""))),"")</f>
        <v>0</v>
      </c>
      <c r="W109" s="39" t="n">
        <f aca="false">IFERROR(IF($C109="","",IF($D109="","",IFERROR(ROUND($D109*INDEX('🔖 배합비 참조'!$B$2:$CE$83,MATCH("기타설탕(흑설탕)",'🔖 배합비 참조'!$A$2:$A$83,0),MATCH($C109,'🔖 배합비 참조'!$B$1:$CE$1,0))/100,0),""))),"")</f>
        <v>0</v>
      </c>
      <c r="X109" s="39" t="n">
        <f aca="false">IFERROR(IF($C109="","",IF($D109="","",IFERROR(ROUND($D109*INDEX('🔖 배합비 참조'!$B$2:$CE$83,MATCH("냉동쑥(국내산)",'🔖 배합비 참조'!$A$2:$A$83,0),MATCH($C109,'🔖 배합비 참조'!$B$1:$CE$1,0))/100,0),""))),"")</f>
        <v>0</v>
      </c>
      <c r="Y109" s="39" t="n">
        <f aca="false">IFERROR(IF($C109="","",IF($D109="","",IFERROR(ROUND($D109*INDEX('🔖 배합비 참조'!$B$2:$CE$83,MATCH("냉동증숙고구마(중국산)",'🔖 배합비 참조'!$A$2:$A$83,0),MATCH($C109,'🔖 배합비 참조'!$B$1:$CE$1,0))/100,0),""))),"")</f>
        <v>0</v>
      </c>
      <c r="Z109" s="39" t="n">
        <f aca="false">IFERROR(IF($C109="","",IF($D109="","",IFERROR(ROUND($D109*INDEX('🔖 배합비 참조'!$B$2:$CE$83,MATCH("녹차가루",'🔖 배합비 참조'!$A$2:$A$83,0),MATCH($C109,'🔖 배합비 참조'!$B$1:$CE$1,0))/100,0),""))),"")</f>
        <v>0</v>
      </c>
      <c r="AA109" s="39" t="n">
        <f aca="false">IFERROR(IF($C109="","",IF($D109="","",IFERROR(ROUND($D109*INDEX('🔖 배합비 참조'!$B$2:$CE$83,MATCH("다크초콜릿 컴파운드칩",'🔖 배합비 참조'!$A$2:$A$83,0),MATCH($C109,'🔖 배합비 참조'!$B$1:$CE$1,0))/100,0),""))),"")</f>
        <v>0</v>
      </c>
      <c r="AB109" s="39" t="n">
        <f aca="false">IFERROR(IF($C109="","",IF($D109="","",IFERROR(ROUND($D109*INDEX('🔖 배합비 참조'!$B$2:$CE$83,MATCH("단호박분말(중국산)",'🔖 배합비 참조'!$A$2:$A$83,0),MATCH($C109,'🔖 배합비 참조'!$B$1:$CE$1,0))/100,0),""))),"")</f>
        <v>0</v>
      </c>
      <c r="AC109" s="39" t="n">
        <f aca="false">IFERROR(IF($C109="","",IF($D109="","",IFERROR(ROUND($D109*INDEX('🔖 배합비 참조'!$B$2:$CE$83,MATCH("당류가공품(단호박농축액)",'🔖 배합비 참조'!$A$2:$A$83,0),MATCH($C109,'🔖 배합비 참조'!$B$1:$CE$1,0))/100,0),""))),"")</f>
        <v>0</v>
      </c>
      <c r="AD109" s="39" t="n">
        <f aca="false">IFERROR(IF($C109="","",IF($D109="","",IFERROR(ROUND($D109*INDEX('🔖 배합비 참조'!$B$2:$CE$83,MATCH("당류가공품(알룰로스,에리스리톨,스테비올배당체혼합)",'🔖 배합비 참조'!$A$2:$A$83,0),MATCH($C109,'🔖 배합비 참조'!$B$1:$CE$1,0))/100,0),""))),"")</f>
        <v>0</v>
      </c>
      <c r="AE109" s="39" t="n">
        <f aca="false">IFERROR(IF($C109="","",IF($D109="","",IFERROR(ROUND($D109*INDEX('🔖 배합비 참조'!$B$2:$CE$83,MATCH("당류가공품(알룰로스제로파우더)",'🔖 배합비 참조'!$A$2:$A$83,0),MATCH($C109,'🔖 배합비 참조'!$B$1:$CE$1,0))/100,0),""))),"")</f>
        <v>0</v>
      </c>
      <c r="AF109" s="39" t="n">
        <f aca="false">IFERROR(IF($C109="","",IF($D109="","",IFERROR(ROUND($D109*INDEX('🔖 배합비 참조'!$B$2:$CE$83,MATCH("당절임(완두배기)",'🔖 배합비 참조'!$A$2:$A$83,0),MATCH($C109,'🔖 배합비 참조'!$B$1:$CE$1,0))/100,0),""))),"")</f>
        <v>0</v>
      </c>
      <c r="AG109" s="39" t="n">
        <f aca="false">IFERROR(IF($C109="","",IF($D109="","",IFERROR(ROUND($D109*INDEX('🔖 배합비 참조'!$B$2:$CE$83,MATCH("대추농축액",'🔖 배합비 참조'!$A$2:$A$83,0),MATCH($C109,'🔖 배합비 참조'!$B$1:$CE$1,0))/100,0),""))),"")</f>
        <v>0</v>
      </c>
      <c r="AH109" s="39" t="n">
        <f aca="false">IFERROR(IF($C109="","",IF($D109="","",IFERROR(ROUND($D109*INDEX('🔖 배합비 참조'!$B$2:$CE$83,MATCH("대추채(국내산)",'🔖 배합비 참조'!$A$2:$A$83,0),MATCH($C109,'🔖 배합비 참조'!$B$1:$CE$1,0))/100,0),""))),"")</f>
        <v>0</v>
      </c>
      <c r="AI109" s="39" t="n">
        <f aca="false">IFERROR(IF($C109="","",IF($D109="","",IFERROR(ROUND($D109*INDEX('🔖 배합비 참조'!$B$2:$CE$83,MATCH("동부(미얀마산)",'🔖 배합비 참조'!$A$2:$A$83,0),MATCH($C109,'🔖 배합비 참조'!$B$1:$CE$1,0))/100,0),""))),"")</f>
        <v>6</v>
      </c>
      <c r="AJ109" s="39" t="n">
        <f aca="false">IFERROR(IF($C109="","",IF($D109="","",IFERROR(ROUND($D109*INDEX('🔖 배합비 참조'!$B$2:$CE$83,MATCH("두류가공품(백옥앙금)",'🔖 배합비 참조'!$A$2:$A$83,0),MATCH($C109,'🔖 배합비 참조'!$B$1:$CE$1,0))/100,0),""))),"")</f>
        <v>0</v>
      </c>
      <c r="AK109" s="39" t="n">
        <f aca="false">IFERROR(IF($C109="","",IF($D109="","",IFERROR(ROUND($D109*INDEX('🔖 배합비 참조'!$B$2:$CE$83,MATCH("두류가공품(콩고물)",'🔖 배합비 참조'!$A$2:$A$83,0),MATCH($C109,'🔖 배합비 참조'!$B$1:$CE$1,0))/100,0),""))),"")</f>
        <v>0</v>
      </c>
      <c r="AL109" s="39" t="n">
        <f aca="false">IFERROR(IF($C109="","",IF($D109="","",IFERROR(ROUND($D109*INDEX('🔖 배합비 참조'!$B$2:$CE$83,MATCH("두류가공품(통팥고물)",'🔖 배합비 참조'!$A$2:$A$83,0),MATCH($C109,'🔖 배합비 참조'!$B$1:$CE$1,0))/100,0),""))),"")</f>
        <v>0</v>
      </c>
      <c r="AM109" s="39" t="n">
        <f aca="false">IFERROR(IF($C109="","",IF($D109="","",IFERROR(ROUND($D109*INDEX('🔖 배합비 참조'!$B$2:$CE$83,MATCH("딸기레진",'🔖 배합비 참조'!$A$2:$A$83,0),MATCH($C109,'🔖 배합비 참조'!$B$1:$CE$1,0))/100,0),""))),"")</f>
        <v>0</v>
      </c>
      <c r="AN109" s="39" t="n">
        <f aca="false">IFERROR(IF($C109="","",IF($D109="","",IFERROR(ROUND($D109*INDEX('🔖 배합비 참조'!$B$2:$CE$83,MATCH("딸기분말(스트로우베리에이드(분말))",'🔖 배합비 참조'!$A$2:$A$83,0),MATCH($C109,'🔖 배합비 참조'!$B$1:$CE$1,0))/100,0),""))),"")</f>
        <v>0</v>
      </c>
      <c r="AO109" s="39" t="n">
        <f aca="false">IFERROR(IF($C109="","",IF($D109="","",IFERROR(ROUND($D109*INDEX('🔖 배합비 참조'!$B$2:$CE$83,MATCH("마스카포네치즈",'🔖 배합비 참조'!$A$2:$A$83,0),MATCH($C109,'🔖 배합비 참조'!$B$1:$CE$1,0))/100,0),""))),"")</f>
        <v>0</v>
      </c>
      <c r="AP109" s="39" t="n">
        <f aca="false">IFERROR(IF($C109="","",IF($D109="","",IFERROR(ROUND($D109*INDEX('🔖 배합비 참조'!$B$2:$CE$83,MATCH("마카다미아분태(호주산)",'🔖 배합비 참조'!$A$2:$A$83,0),MATCH($C109,'🔖 배합비 참조'!$B$1:$CE$1,0))/100,0),""))),"")</f>
        <v>0</v>
      </c>
      <c r="AQ109" s="39" t="n">
        <f aca="false">IFERROR(IF($C109="","",IF($D109="","",IFERROR(ROUND($D109*INDEX('🔖 배합비 참조'!$B$2:$CE$83,MATCH("멥쌀(국내산)",'🔖 배합비 참조'!$A$2:$A$83,0),MATCH($C109,'🔖 배합비 참조'!$B$1:$CE$1,0))/100,0),""))),"")</f>
        <v>0</v>
      </c>
      <c r="AR109" s="39" t="n">
        <f aca="false">IFERROR(IF($C109="","",IF($D109="","",IFERROR(ROUND($D109*INDEX('🔖 배합비 참조'!$B$2:$CE$83,MATCH("모시잎(국내산)",'🔖 배합비 참조'!$A$2:$A$83,0),MATCH($C109,'🔖 배합비 참조'!$B$1:$CE$1,0))/100,0),""))),"")</f>
        <v>0</v>
      </c>
      <c r="AS109" s="39" t="n">
        <f aca="false">IFERROR(IF($C109="","",IF($D109="","",IFERROR(ROUND($D109*INDEX('🔖 배합비 참조'!$B$2:$CE$83,MATCH("물엿(저당물엿)",'🔖 배합비 참조'!$A$2:$A$83,0),MATCH($C109,'🔖 배합비 참조'!$B$1:$CE$1,0))/100,0),""))),"")</f>
        <v>2</v>
      </c>
      <c r="AT109" s="39" t="n">
        <f aca="false">IFERROR(IF($C109="","",IF($D109="","",IFERROR(ROUND($D109*INDEX('🔖 배합비 참조'!$B$2:$CE$83,MATCH("밤다이스",'🔖 배합비 참조'!$A$2:$A$83,0),MATCH($C109,'🔖 배합비 참조'!$B$1:$CE$1,0))/100,0),""))),"")</f>
        <v>0</v>
      </c>
      <c r="AU109" s="39" t="n">
        <f aca="false">IFERROR(IF($C109="","",IF($D109="","",IFERROR(ROUND($D109*INDEX('🔖 배합비 참조'!$B$2:$CE$83,MATCH("변성전분(타피오카전분)",'🔖 배합비 참조'!$A$2:$A$83,0),MATCH($C109,'🔖 배합비 참조'!$B$1:$CE$1,0))/100,0),""))),"")</f>
        <v>0</v>
      </c>
      <c r="AV109" s="39" t="n">
        <f aca="false">IFERROR(IF($C109="","",IF($D109="","",IFERROR(ROUND($D109*INDEX('🔖 배합비 참조'!$B$2:$CE$83,MATCH("복음땅콩분태",'🔖 배합비 참조'!$A$2:$A$83,0),MATCH($C109,'🔖 배합비 참조'!$B$1:$CE$1,0))/100,0),""))),"")</f>
        <v>0</v>
      </c>
      <c r="AW109" s="39" t="n">
        <f aca="false">IFERROR(IF($C109="","",IF($D109="","",IFERROR(ROUND($D109*INDEX('🔖 배합비 참조'!$B$2:$CE$83,MATCH("사양벌꿀(국내산)",'🔖 배합비 참조'!$A$2:$A$83,0),MATCH($C109,'🔖 배합비 참조'!$B$1:$CE$1,0))/100,0),""))),"")</f>
        <v>0</v>
      </c>
      <c r="AX109" s="39" t="n">
        <f aca="false">IFERROR(IF($C109="","",IF($D109="","",IFERROR(ROUND($D109*INDEX('🔖 배합비 참조'!$B$2:$CE$83,MATCH("생크림",'🔖 배합비 참조'!$A$2:$A$83,0),MATCH($C109,'🔖 배합비 참조'!$B$1:$CE$1,0))/100,0),""))),"")</f>
        <v>0</v>
      </c>
      <c r="AY109" s="39" t="n">
        <f aca="false">IFERROR(IF($C109="","",IF($D109="","",IFERROR(ROUND($D109*INDEX('🔖 배합비 참조'!$B$2:$CE$83,MATCH("서양호박(국내산,뉴질랜드산)",'🔖 배합비 참조'!$A$2:$A$83,0),MATCH($C109,'🔖 배합비 참조'!$B$1:$CE$1,0))/100,0),""))),"")</f>
        <v>0</v>
      </c>
      <c r="AZ109" s="39" t="n">
        <f aca="false">IFERROR(IF($C109="","",IF($D109="","",IFERROR(ROUND($D109*INDEX('🔖 배합비 참조'!$B$2:$CE$83,MATCH("설탕",'🔖 배합비 참조'!$A$2:$A$83,0),MATCH($C109,'🔖 배합비 참조'!$B$1:$CE$1,0))/100,0),""))),"")</f>
        <v>2</v>
      </c>
      <c r="BA109" s="39" t="n">
        <f aca="false">IFERROR(IF($C109="","",IF($D109="","",IFERROR(ROUND($D109*INDEX('🔖 배합비 참조'!$B$2:$CE$83,MATCH("스트로우베리 에이드 후레쉬",'🔖 배합비 참조'!$A$2:$A$83,0),MATCH($C109,'🔖 배합비 참조'!$B$1:$CE$1,0))/100,0),""))),"")</f>
        <v>0</v>
      </c>
      <c r="BB109" s="39" t="n">
        <f aca="false">IFERROR(IF($C109="","",IF($D109="","",IFERROR(ROUND($D109*INDEX('🔖 배합비 참조'!$B$2:$CE$83,MATCH("식물성기름혼합제제(분홍)",'🔖 배합비 참조'!$A$2:$A$83,0),MATCH($C109,'🔖 배합비 참조'!$B$1:$CE$1,0))/100,0),""))),"")</f>
        <v>0</v>
      </c>
      <c r="BC109" s="39" t="n">
        <f aca="false">IFERROR(IF($C109="","",IF($D109="","",IFERROR(ROUND($D109*INDEX('🔖 배합비 참조'!$B$2:$CE$83,MATCH("식물성기름혼합제제(초록)",'🔖 배합비 참조'!$A$2:$A$83,0),MATCH($C109,'🔖 배합비 참조'!$B$1:$CE$1,0))/100,0),""))),"")</f>
        <v>0</v>
      </c>
      <c r="BD109" s="39" t="n">
        <f aca="false">IFERROR(IF($C109="","",IF($D109="","",IFERROR(ROUND($D109*INDEX('🔖 배합비 참조'!$B$2:$CE$83,MATCH("식물성기름혼합제제(황색)",'🔖 배합비 참조'!$A$2:$A$83,0),MATCH($C109,'🔖 배합비 참조'!$B$1:$CE$1,0))/100,0),""))),"")</f>
        <v>0</v>
      </c>
      <c r="BE109" s="39" t="n">
        <f aca="false">IFERROR(IF($C109="","",IF($D109="","",IFERROR(ROUND($D109*INDEX('🔖 배합비 참조'!$B$2:$CE$83,MATCH("쑥가루(국내산)",'🔖 배합비 참조'!$A$2:$A$83,0),MATCH($C109,'🔖 배합비 참조'!$B$1:$CE$1,0))/100,0),""))),"")</f>
        <v>0</v>
      </c>
      <c r="BF109" s="39" t="n">
        <f aca="false">IFERROR(IF($C109="","",IF($D109="","",IFERROR(ROUND($D109*INDEX('🔖 배합비 참조'!$B$2:$CE$83,MATCH("아몬드슬라이스",'🔖 배합비 참조'!$A$2:$A$83,0),MATCH($C109,'🔖 배합비 참조'!$B$1:$CE$1,0))/100,0),""))),"")</f>
        <v>0</v>
      </c>
      <c r="BG109" s="39" t="n">
        <f aca="false">IFERROR(IF($C109="","",IF($D109="","",IFERROR(ROUND($D109*INDEX('🔖 배합비 참조'!$B$2:$CE$83,MATCH("알룰로오스(국내산)",'🔖 배합비 참조'!$A$2:$A$83,0),MATCH($C109,'🔖 배합비 참조'!$B$1:$CE$1,0))/100,0),""))),"")</f>
        <v>0</v>
      </c>
      <c r="BH109" s="39" t="n">
        <f aca="false">IFERROR(IF($C109="","",IF($D109="","",IFERROR(ROUND($D109*INDEX('🔖 배합비 참조'!$B$2:$CE$83,MATCH("연유",'🔖 배합비 참조'!$A$2:$A$83,0),MATCH($C109,'🔖 배합비 참조'!$B$1:$CE$1,0))/100,0),""))),"")</f>
        <v>0</v>
      </c>
      <c r="BI109" s="39" t="n">
        <f aca="false">IFERROR(IF($C109="","",IF($D109="","",IFERROR(ROUND($D109*INDEX('🔖 배합비 참조'!$B$2:$CE$83,MATCH("옥수수전분",'🔖 배합비 참조'!$A$2:$A$83,0),MATCH($C109,'🔖 배합비 참조'!$B$1:$CE$1,0))/100,0),""))),"")</f>
        <v>0</v>
      </c>
      <c r="BJ109" s="39" t="n">
        <f aca="false">IFERROR(IF($C109="","",IF($D109="","",IFERROR(ROUND($D109*INDEX('🔖 배합비 참조'!$B$2:$CE$83,MATCH("완두배기",'🔖 배합비 참조'!$A$2:$A$83,0),MATCH($C109,'🔖 배합비 참조'!$B$1:$CE$1,0))/100,0),""))),"")</f>
        <v>0</v>
      </c>
      <c r="BK109" s="39" t="n">
        <f aca="false">IFERROR(IF($C109="","",IF($D109="","",IFERROR(ROUND($D109*INDEX('🔖 배합비 참조'!$B$2:$CE$83,MATCH("우유(국내산)",'🔖 배합비 참조'!$A$2:$A$83,0),MATCH($C109,'🔖 배합비 참조'!$B$1:$CE$1,0))/100,0),""))),"")</f>
        <v>0</v>
      </c>
      <c r="BL109" s="39" t="n">
        <f aca="false">IFERROR(IF($C109="","",IF($D109="","",IFERROR(ROUND($D109*INDEX('🔖 배합비 참조'!$B$2:$CE$83,MATCH("자색고구마가루(중국산)",'🔖 배합비 참조'!$A$2:$A$83,0),MATCH($C109,'🔖 배합비 참조'!$B$1:$CE$1,0))/100,0),""))),"")</f>
        <v>0</v>
      </c>
      <c r="BM109" s="39" t="n">
        <f aca="false">IFERROR(IF($C109="","",IF($D109="","",IFERROR(ROUND($D109*INDEX('🔖 배합비 참조'!$B$2:$CE$83,MATCH("자연치즈(체다치즈)",'🔖 배합비 참조'!$A$2:$A$83,0),MATCH($C109,'🔖 배합비 참조'!$B$1:$CE$1,0))/100,0),""))),"")</f>
        <v>0</v>
      </c>
      <c r="BN109" s="39" t="n">
        <f aca="false">IFERROR(IF($C109="","",IF($D109="","",IFERROR(ROUND($D109*INDEX('🔖 배합비 참조'!$B$2:$CE$83,MATCH("정제수",'🔖 배합비 참조'!$A$2:$A$83,0),MATCH($C109,'🔖 배합비 참조'!$B$1:$CE$1,0))/100,0),""))),"")</f>
        <v>11</v>
      </c>
      <c r="BO109" s="39" t="n">
        <f aca="false">IFERROR(IF($C109="","",IF($D109="","",IFERROR(ROUND($D109*INDEX('🔖 배합비 참조'!$B$2:$CE$83,MATCH("젤라틴",'🔖 배합비 참조'!$A$2:$A$83,0),MATCH($C109,'🔖 배합비 참조'!$B$1:$CE$1,0))/100,0),""))),"")</f>
        <v>0</v>
      </c>
      <c r="BP109" s="39" t="n">
        <f aca="false">IFERROR(IF($C109="","",IF($D109="","",IFERROR(ROUND($D109*INDEX('🔖 배합비 참조'!$B$2:$CE$83,MATCH("조림류(백옥앙금)",'🔖 배합비 참조'!$A$2:$A$83,0),MATCH($C109,'🔖 배합비 참조'!$B$1:$CE$1,0))/100,0),""))),"")</f>
        <v>23</v>
      </c>
      <c r="BQ109" s="39" t="n">
        <f aca="false">IFERROR(IF($C109="","",IF($D109="","",IFERROR(ROUND($D109*INDEX('🔖 배합비 참조'!$B$2:$CE$83,MATCH("조림류(통팥앙금)",'🔖 배합비 참조'!$A$2:$A$83,0),MATCH($C109,'🔖 배합비 참조'!$B$1:$CE$1,0))/100,0),""))),"")</f>
        <v>0</v>
      </c>
      <c r="BR109" s="39" t="n">
        <f aca="false">IFERROR(IF($C109="","",IF($D109="","",IFERROR(ROUND($D109*INDEX('🔖 배합비 참조'!$B$2:$CE$83,MATCH("준초콜릿(외국산)",'🔖 배합비 참조'!$A$2:$A$83,0),MATCH($C109,'🔖 배합비 참조'!$B$1:$CE$1,0))/100,0),""))),"")</f>
        <v>0</v>
      </c>
      <c r="BS109" s="39" t="n">
        <f aca="false">IFERROR(IF($C109="","",IF($D109="","",IFERROR(ROUND($D109*INDEX('🔖 배합비 참조'!$B$2:$CE$83,MATCH("중력분",'🔖 배합비 참조'!$A$2:$A$83,0),MATCH($C109,'🔖 배합비 참조'!$B$1:$CE$1,0))/100,0),""))),"")</f>
        <v>0</v>
      </c>
      <c r="BT109" s="39" t="n">
        <f aca="false">IFERROR(IF($C109="","",IF($D109="","",IFERROR(ROUND($D109*INDEX('🔖 배합비 참조'!$B$2:$CE$83,MATCH("참깨(인도산,나이지리아산,탄자니아산,미얀마산)",'🔖 배합비 참조'!$A$2:$A$83,0),MATCH($C109,'🔖 배합비 참조'!$B$1:$CE$1,0))/100,0),""))),"")</f>
        <v>0</v>
      </c>
      <c r="BU109" s="39" t="n">
        <f aca="false">IFERROR(IF($C109="","",IF($D109="","",IFERROR(ROUND($D109*INDEX('🔖 배합비 참조'!$B$2:$CE$83,MATCH("찹쌀(국내산)",'🔖 배합비 참조'!$A$2:$A$83,0),MATCH($C109,'🔖 배합비 참조'!$B$1:$CE$1,0))/100,0),""))),"")</f>
        <v>21</v>
      </c>
      <c r="BV109" s="39" t="n">
        <f aca="false">IFERROR(IF($C109="","",IF($D109="","",IFERROR(ROUND($D109*INDEX('🔖 배합비 참조'!$B$2:$CE$83,MATCH("천일염",'🔖 배합비 참조'!$A$2:$A$83,0),MATCH($C109,'🔖 배합비 참조'!$B$1:$CE$1,0))/100,0),""))),"")</f>
        <v>0</v>
      </c>
      <c r="BW109" s="39" t="n">
        <f aca="false">IFERROR(IF($C109="","",IF($D109="","",IFERROR(ROUND($D109*INDEX('🔖 배합비 참조'!$B$2:$CE$83,MATCH("치즈 [크림치즈]",'🔖 배합비 참조'!$A$2:$A$83,0),MATCH($C109,'🔖 배합비 참조'!$B$1:$CE$1,0))/100,0),""))),"")</f>
        <v>0</v>
      </c>
      <c r="BX109" s="39" t="n">
        <f aca="false">IFERROR(IF($C109="","",IF($D109="","",IFERROR(ROUND($D109*INDEX('🔖 배합비 참조'!$B$2:$CE$83,MATCH("코코아가공품류(코코아분말)",'🔖 배합비 참조'!$A$2:$A$83,0),MATCH($C109,'🔖 배합비 참조'!$B$1:$CE$1,0))/100,0),""))),"")</f>
        <v>0</v>
      </c>
      <c r="BY109" s="39" t="n">
        <f aca="false">IFERROR(IF($C109="","",IF($D109="","",IFERROR(ROUND($D109*INDEX('🔖 배합비 참조'!$B$2:$CE$83,MATCH("콩기름(대두유)",'🔖 배합비 참조'!$A$2:$A$83,0),MATCH($C109,'🔖 배합비 참조'!$B$1:$CE$1,0))/100,0),""))),"")</f>
        <v>0</v>
      </c>
      <c r="BZ109" s="39" t="n">
        <f aca="false">IFERROR(IF($C109="","",IF($D109="","",IFERROR(ROUND($D109*INDEX('🔖 배합비 참조'!$B$2:$CE$83,MATCH("해바라기씨앗",'🔖 배합비 참조'!$A$2:$A$83,0),MATCH($C109,'🔖 배합비 참조'!$B$1:$CE$1,0))/100,0),""))),"")</f>
        <v>0</v>
      </c>
      <c r="CA109" s="39" t="n">
        <f aca="false">IFERROR(IF($C109="","",IF($D109="","",IFERROR(ROUND($D109*INDEX('🔖 배합비 참조'!$B$2:$CE$83,MATCH("현미(국내산)",'🔖 배합비 참조'!$A$2:$A$83,0),MATCH($C109,'🔖 배합비 참조'!$B$1:$CE$1,0))/100,0),""))),"")</f>
        <v>0</v>
      </c>
      <c r="CB109" s="39" t="n">
        <f aca="false">IFERROR(IF($C109="","",IF($D109="","",IFERROR(ROUND($D109*INDEX('🔖 배합비 참조'!$B$2:$CE$83,MATCH("현미멥쌀(국내산)",'🔖 배합비 참조'!$A$2:$A$83,0),MATCH($C109,'🔖 배합비 참조'!$B$1:$CE$1,0))/100,0),""))),"")</f>
        <v>0</v>
      </c>
      <c r="CC109" s="39" t="n">
        <f aca="false">IFERROR(IF($C109="","",IF($D109="","",IFERROR(ROUND($D109*INDEX('🔖 배합비 참조'!$B$2:$CE$83,MATCH("호두분태(미국산)",'🔖 배합비 참조'!$A$2:$A$83,0),MATCH($C109,'🔖 배합비 참조'!$B$1:$CE$1,0))/100,0),""))),"")</f>
        <v>0</v>
      </c>
      <c r="CD109" s="39" t="n">
        <f aca="false">IFERROR(IF($C109="","",IF($D109="","",IFERROR(ROUND($D109*INDEX('🔖 배합비 참조'!$B$2:$CE$83,MATCH("호박씨앗(외국산)",'🔖 배합비 참조'!$A$2:$A$83,0),MATCH($C109,'🔖 배합비 참조'!$B$1:$CE$1,0))/100,0),""))),"")</f>
        <v>0</v>
      </c>
      <c r="CE109" s="39" t="n">
        <f aca="false">IFERROR(IF($C109="","",IF($D109="","",IFERROR(ROUND($D109*INDEX('🔖 배합비 참조'!$B$2:$CE$83,MATCH("혼합제제(떡용에스텔)",'🔖 배합비 참조'!$A$2:$A$83,0),MATCH($C109,'🔖 배합비 참조'!$B$1:$CE$1,0))/100,0),""))),"")</f>
        <v>0</v>
      </c>
      <c r="CF109" s="39" t="n">
        <f aca="false">IFERROR(IF($C109="","",IF($D109="","",IFERROR(ROUND($D109*INDEX('🔖 배합비 참조'!$B$2:$CE$83,MATCH("혼합제제(스테비아)",'🔖 배합비 참조'!$A$2:$A$83,0),MATCH($C109,'🔖 배합비 참조'!$B$1:$CE$1,0))/100,0),""))),"")</f>
        <v>0</v>
      </c>
      <c r="CG109" s="39" t="n">
        <f aca="false">IFERROR(IF($C109="","",IF($D109="","",IFERROR(ROUND($D109*INDEX('🔖 배합비 참조'!$B$2:$CE$83,MATCH("화이트초콜릿",'🔖 배합비 참조'!$A$2:$A$83,0),MATCH($C109,'🔖 배합비 참조'!$B$1:$CE$1,0))/100,0),""))),"")</f>
        <v>0</v>
      </c>
      <c r="CH109" s="39" t="n">
        <f aca="false">IFERROR(IF($C109="","",IF($D109="","",IFERROR(ROUND($D109*INDEX('🔖 배합비 참조'!$B$2:$CE$83,MATCH("흑미찹쌀(국내산)",'🔖 배합비 참조'!$A$2:$A$83,0),MATCH($C109,'🔖 배합비 참조'!$B$1:$CE$1,0))/100,0),""))),"")</f>
        <v>0</v>
      </c>
      <c r="CI109" s="39" t="n">
        <f aca="false">IFERROR(IF($C109="","",IF($D109="","",IFERROR(ROUND($D109*INDEX('🔖 배합비 참조'!$B$2:$CE$83,MATCH("찰옥수수전분(미국산)",'🔖 배합비 참조'!$A$2:$A$83,0),MATCH($C109,'🔖 배합비 참조'!$B$1:$CE$1,0))/100,0),""))),"")</f>
        <v>0</v>
      </c>
      <c r="CJ109" s="40"/>
      <c r="CL109" s="1" t="s">
        <v>239</v>
      </c>
    </row>
    <row r="110" customFormat="false" ht="18" hidden="false" customHeight="true" outlineLevel="0" collapsed="false">
      <c r="A110" s="41" t="n">
        <v>106</v>
      </c>
      <c r="B110" s="36" t="n">
        <v>45999</v>
      </c>
      <c r="C110" s="37" t="s">
        <v>143</v>
      </c>
      <c r="D110" s="38" t="n">
        <v>107.5</v>
      </c>
      <c r="E110" s="17"/>
      <c r="F110" s="17"/>
      <c r="G110" s="42" t="n">
        <f aca="false">IFERROR(IF($C110="","",IF($D110="","",IFERROR(ROUND($D110*INDEX('🔖 배합비 참조'!$B$2:$CE$83,MATCH("간장",'🔖 배합비 참조'!$A$2:$A$83,0),MATCH($C110,'🔖 배합비 참조'!$B$1:$CE$1,0))/100,0),""))),"")</f>
        <v>0</v>
      </c>
      <c r="H110" s="42" t="n">
        <f aca="false">IFERROR(IF($C110="","",IF($D110="","",IFERROR(ROUND($D110*INDEX('🔖 배합비 참조'!$B$2:$CE$83,MATCH("강낭콩((울타리콩))",'🔖 배합비 참조'!$A$2:$A$83,0),MATCH($C110,'🔖 배합비 참조'!$B$1:$CE$1,0))/100,0),""))),"")</f>
        <v>0</v>
      </c>
      <c r="I110" s="42" t="n">
        <f aca="false">IFERROR(IF($C110="","",IF($D110="","",IFERROR(ROUND($D110*INDEX('🔖 배합비 참조'!$B$2:$CE$83,MATCH("건조딸기다이스(외국산)",'🔖 배합비 참조'!$A$2:$A$83,0),MATCH($C110,'🔖 배합비 참조'!$B$1:$CE$1,0))/100,0),""))),"")</f>
        <v>0</v>
      </c>
      <c r="J110" s="42" t="n">
        <f aca="false">IFERROR(IF($C110="","",IF($D110="","",IFERROR(ROUND($D110*INDEX('🔖 배합비 참조'!$B$2:$CE$83,MATCH("건포도",'🔖 배합비 참조'!$A$2:$A$83,0),MATCH($C110,'🔖 배합비 참조'!$B$1:$CE$1,0))/100,0),""))),"")</f>
        <v>0</v>
      </c>
      <c r="K110" s="42" t="n">
        <f aca="false">IFERROR(IF($C110="","",IF($D110="","",IFERROR(ROUND($D110*INDEX('🔖 배합비 참조'!$B$2:$CE$83,MATCH("건호박채(중국산)",'🔖 배합비 참조'!$A$2:$A$83,0),MATCH($C110,'🔖 배합비 참조'!$B$1:$CE$1,0))/100,0),""))),"")</f>
        <v>0</v>
      </c>
      <c r="L110" s="42" t="n">
        <f aca="false">IFERROR(IF($C110="","",IF($D110="","",IFERROR(ROUND($D110*INDEX('🔖 배합비 참조'!$B$2:$CE$83,MATCH("검정깨(흑임자)",'🔖 배합비 참조'!$A$2:$A$83,0),MATCH($C110,'🔖 배합비 참조'!$B$1:$CE$1,0))/100,0),""))),"")</f>
        <v>0</v>
      </c>
      <c r="M110" s="42" t="n">
        <f aca="false">IFERROR(IF($C110="","",IF($D110="","",IFERROR(ROUND($D110*INDEX('🔖 배합비 참조'!$B$2:$CE$83,MATCH("검정콩",'🔖 배합비 참조'!$A$2:$A$83,0),MATCH($C110,'🔖 배합비 참조'!$B$1:$CE$1,0))/100,0),""))),"")</f>
        <v>0</v>
      </c>
      <c r="N110" s="42" t="n">
        <f aca="false">IFERROR(IF($C110="","",IF($D110="","",IFERROR(ROUND($D110*INDEX('🔖 배합비 참조'!$B$2:$CE$83,MATCH("계피가루",'🔖 배합비 참조'!$A$2:$A$83,0),MATCH($C110,'🔖 배합비 참조'!$B$1:$CE$1,0))/100,0),""))),"")</f>
        <v>0</v>
      </c>
      <c r="O110" s="42" t="n">
        <f aca="false">IFERROR(IF($C110="","",IF($D110="","",IFERROR(ROUND($D110*INDEX('🔖 배합비 참조'!$B$2:$CE$83,MATCH("고구마가루",'🔖 배합비 참조'!$A$2:$A$83,0),MATCH($C110,'🔖 배합비 참조'!$B$1:$CE$1,0))/100,0),""))),"")</f>
        <v>0</v>
      </c>
      <c r="P110" s="42" t="n">
        <f aca="false">IFERROR(IF($C110="","",IF($D110="","",IFERROR(ROUND($D110*INDEX('🔖 배합비 참조'!$B$2:$CE$83,MATCH("고구마무스",'🔖 배합비 참조'!$A$2:$A$83,0),MATCH($C110,'🔖 배합비 참조'!$B$1:$CE$1,0))/100,0),""))),"")</f>
        <v>0</v>
      </c>
      <c r="Q110" s="42" t="n">
        <f aca="false">IFERROR(IF($C110="","",IF($D110="","",IFERROR(ROUND($D110*INDEX('🔖 배합비 참조'!$B$2:$CE$83,MATCH("고려엉겅퀴((곤드레)국내산)",'🔖 배합비 참조'!$A$2:$A$83,0),MATCH($C110,'🔖 배합비 참조'!$B$1:$CE$1,0))/100,0),""))),"")</f>
        <v>0</v>
      </c>
      <c r="R110" s="42" t="n">
        <f aca="false">IFERROR(IF($C110="","",IF($D110="","",IFERROR(ROUND($D110*INDEX('🔖 배합비 참조'!$B$2:$CE$83,MATCH("기타가공품(복분자가루)",'🔖 배합비 참조'!$A$2:$A$83,0),MATCH($C110,'🔖 배합비 참조'!$B$1:$CE$1,0))/100,0),""))),"")</f>
        <v>0</v>
      </c>
      <c r="S110" s="42" t="n">
        <f aca="false">IFERROR(IF($C110="","",IF($D110="","",IFERROR(ROUND($D110*INDEX('🔖 배합비 참조'!$B$2:$CE$83,MATCH("기타가공품(슈퍼소프트엠)",'🔖 배합비 참조'!$A$2:$A$83,0),MATCH($C110,'🔖 배합비 참조'!$B$1:$CE$1,0))/100,0),""))),"")</f>
        <v>0</v>
      </c>
      <c r="T110" s="42" t="n">
        <f aca="false">IFERROR(IF($C110="","",IF($D110="","",IFERROR(ROUND($D110*INDEX('🔖 배합비 참조'!$B$2:$CE$83,MATCH("기타가공품(파인소프트 E-티)",'🔖 배합비 참조'!$A$2:$A$83,0),MATCH($C110,'🔖 배합비 참조'!$B$1:$CE$1,0))/100,0),""))),"")</f>
        <v>0</v>
      </c>
      <c r="U110" s="42" t="n">
        <f aca="false">IFERROR(IF($C110="","",IF($D110="","",IFERROR(ROUND($D110*INDEX('🔖 배합비 참조'!$B$2:$CE$83,MATCH("기타가공품(프리미엄카스테라가루)",'🔖 배합비 참조'!$A$2:$A$83,0),MATCH($C110,'🔖 배합비 참조'!$B$1:$CE$1,0))/100,0),""))),"")</f>
        <v>0</v>
      </c>
      <c r="V110" s="42" t="n">
        <f aca="false">IFERROR(IF($C110="","",IF($D110="","",IFERROR(ROUND($D110*INDEX('🔖 배합비 참조'!$B$2:$CE$83,MATCH("기타가공품(흑임자가루)",'🔖 배합비 참조'!$A$2:$A$83,0),MATCH($C110,'🔖 배합비 참조'!$B$1:$CE$1,0))/100,0),""))),"")</f>
        <v>0</v>
      </c>
      <c r="W110" s="42" t="n">
        <f aca="false">IFERROR(IF($C110="","",IF($D110="","",IFERROR(ROUND($D110*INDEX('🔖 배합비 참조'!$B$2:$CE$83,MATCH("기타설탕(흑설탕)",'🔖 배합비 참조'!$A$2:$A$83,0),MATCH($C110,'🔖 배합비 참조'!$B$1:$CE$1,0))/100,0),""))),"")</f>
        <v>9</v>
      </c>
      <c r="X110" s="42" t="n">
        <f aca="false">IFERROR(IF($C110="","",IF($D110="","",IFERROR(ROUND($D110*INDEX('🔖 배합비 참조'!$B$2:$CE$83,MATCH("냉동쑥(국내산)",'🔖 배합비 참조'!$A$2:$A$83,0),MATCH($C110,'🔖 배합비 참조'!$B$1:$CE$1,0))/100,0),""))),"")</f>
        <v>0</v>
      </c>
      <c r="Y110" s="42" t="n">
        <f aca="false">IFERROR(IF($C110="","",IF($D110="","",IFERROR(ROUND($D110*INDEX('🔖 배합비 참조'!$B$2:$CE$83,MATCH("냉동증숙고구마(중국산)",'🔖 배합비 참조'!$A$2:$A$83,0),MATCH($C110,'🔖 배합비 참조'!$B$1:$CE$1,0))/100,0),""))),"")</f>
        <v>0</v>
      </c>
      <c r="Z110" s="42" t="n">
        <f aca="false">IFERROR(IF($C110="","",IF($D110="","",IFERROR(ROUND($D110*INDEX('🔖 배합비 참조'!$B$2:$CE$83,MATCH("녹차가루",'🔖 배합비 참조'!$A$2:$A$83,0),MATCH($C110,'🔖 배합비 참조'!$B$1:$CE$1,0))/100,0),""))),"")</f>
        <v>0</v>
      </c>
      <c r="AA110" s="42" t="n">
        <f aca="false">IFERROR(IF($C110="","",IF($D110="","",IFERROR(ROUND($D110*INDEX('🔖 배합비 참조'!$B$2:$CE$83,MATCH("다크초콜릿 컴파운드칩",'🔖 배합비 참조'!$A$2:$A$83,0),MATCH($C110,'🔖 배합비 참조'!$B$1:$CE$1,0))/100,0),""))),"")</f>
        <v>0</v>
      </c>
      <c r="AB110" s="42" t="n">
        <f aca="false">IFERROR(IF($C110="","",IF($D110="","",IFERROR(ROUND($D110*INDEX('🔖 배합비 참조'!$B$2:$CE$83,MATCH("단호박분말(중국산)",'🔖 배합비 참조'!$A$2:$A$83,0),MATCH($C110,'🔖 배합비 참조'!$B$1:$CE$1,0))/100,0),""))),"")</f>
        <v>0</v>
      </c>
      <c r="AC110" s="42" t="n">
        <f aca="false">IFERROR(IF($C110="","",IF($D110="","",IFERROR(ROUND($D110*INDEX('🔖 배합비 참조'!$B$2:$CE$83,MATCH("당류가공품(단호박농축액)",'🔖 배합비 참조'!$A$2:$A$83,0),MATCH($C110,'🔖 배합비 참조'!$B$1:$CE$1,0))/100,0),""))),"")</f>
        <v>0</v>
      </c>
      <c r="AD110" s="42" t="n">
        <f aca="false">IFERROR(IF($C110="","",IF($D110="","",IFERROR(ROUND($D110*INDEX('🔖 배합비 참조'!$B$2:$CE$83,MATCH("당류가공품(알룰로스,에리스리톨,스테비올배당체혼합)",'🔖 배합비 참조'!$A$2:$A$83,0),MATCH($C110,'🔖 배합비 참조'!$B$1:$CE$1,0))/100,0),""))),"")</f>
        <v>0</v>
      </c>
      <c r="AE110" s="42" t="n">
        <f aca="false">IFERROR(IF($C110="","",IF($D110="","",IFERROR(ROUND($D110*INDEX('🔖 배합비 참조'!$B$2:$CE$83,MATCH("당류가공품(알룰로스제로파우더)",'🔖 배합비 참조'!$A$2:$A$83,0),MATCH($C110,'🔖 배합비 참조'!$B$1:$CE$1,0))/100,0),""))),"")</f>
        <v>0</v>
      </c>
      <c r="AF110" s="42" t="n">
        <f aca="false">IFERROR(IF($C110="","",IF($D110="","",IFERROR(ROUND($D110*INDEX('🔖 배합비 참조'!$B$2:$CE$83,MATCH("당절임(완두배기)",'🔖 배합비 참조'!$A$2:$A$83,0),MATCH($C110,'🔖 배합비 참조'!$B$1:$CE$1,0))/100,0),""))),"")</f>
        <v>0</v>
      </c>
      <c r="AG110" s="42" t="n">
        <f aca="false">IFERROR(IF($C110="","",IF($D110="","",IFERROR(ROUND($D110*INDEX('🔖 배합비 참조'!$B$2:$CE$83,MATCH("대추농축액",'🔖 배합비 참조'!$A$2:$A$83,0),MATCH($C110,'🔖 배합비 참조'!$B$1:$CE$1,0))/100,0),""))),"")</f>
        <v>0</v>
      </c>
      <c r="AH110" s="42" t="n">
        <f aca="false">IFERROR(IF($C110="","",IF($D110="","",IFERROR(ROUND($D110*INDEX('🔖 배합비 참조'!$B$2:$CE$83,MATCH("대추채(국내산)",'🔖 배합비 참조'!$A$2:$A$83,0),MATCH($C110,'🔖 배합비 참조'!$B$1:$CE$1,0))/100,0),""))),"")</f>
        <v>0</v>
      </c>
      <c r="AI110" s="42" t="n">
        <f aca="false">IFERROR(IF($C110="","",IF($D110="","",IFERROR(ROUND($D110*INDEX('🔖 배합비 참조'!$B$2:$CE$83,MATCH("동부(미얀마산)",'🔖 배합비 참조'!$A$2:$A$83,0),MATCH($C110,'🔖 배합비 참조'!$B$1:$CE$1,0))/100,0),""))),"")</f>
        <v>0</v>
      </c>
      <c r="AJ110" s="42" t="n">
        <f aca="false">IFERROR(IF($C110="","",IF($D110="","",IFERROR(ROUND($D110*INDEX('🔖 배합비 참조'!$B$2:$CE$83,MATCH("두류가공품(백옥앙금)",'🔖 배합비 참조'!$A$2:$A$83,0),MATCH($C110,'🔖 배합비 참조'!$B$1:$CE$1,0))/100,0),""))),"")</f>
        <v>0</v>
      </c>
      <c r="AK110" s="42" t="n">
        <f aca="false">IFERROR(IF($C110="","",IF($D110="","",IFERROR(ROUND($D110*INDEX('🔖 배합비 참조'!$B$2:$CE$83,MATCH("두류가공품(콩고물)",'🔖 배합비 참조'!$A$2:$A$83,0),MATCH($C110,'🔖 배합비 참조'!$B$1:$CE$1,0))/100,0),""))),"")</f>
        <v>0</v>
      </c>
      <c r="AL110" s="42" t="n">
        <f aca="false">IFERROR(IF($C110="","",IF($D110="","",IFERROR(ROUND($D110*INDEX('🔖 배합비 참조'!$B$2:$CE$83,MATCH("두류가공품(통팥고물)",'🔖 배합비 참조'!$A$2:$A$83,0),MATCH($C110,'🔖 배합비 참조'!$B$1:$CE$1,0))/100,0),""))),"")</f>
        <v>0</v>
      </c>
      <c r="AM110" s="42" t="n">
        <f aca="false">IFERROR(IF($C110="","",IF($D110="","",IFERROR(ROUND($D110*INDEX('🔖 배합비 참조'!$B$2:$CE$83,MATCH("딸기레진",'🔖 배합비 참조'!$A$2:$A$83,0),MATCH($C110,'🔖 배합비 참조'!$B$1:$CE$1,0))/100,0),""))),"")</f>
        <v>0</v>
      </c>
      <c r="AN110" s="42" t="n">
        <f aca="false">IFERROR(IF($C110="","",IF($D110="","",IFERROR(ROUND($D110*INDEX('🔖 배합비 참조'!$B$2:$CE$83,MATCH("딸기분말(스트로우베리에이드(분말))",'🔖 배합비 참조'!$A$2:$A$83,0),MATCH($C110,'🔖 배합비 참조'!$B$1:$CE$1,0))/100,0),""))),"")</f>
        <v>0</v>
      </c>
      <c r="AO110" s="42" t="n">
        <f aca="false">IFERROR(IF($C110="","",IF($D110="","",IFERROR(ROUND($D110*INDEX('🔖 배합비 참조'!$B$2:$CE$83,MATCH("마스카포네치즈",'🔖 배합비 참조'!$A$2:$A$83,0),MATCH($C110,'🔖 배합비 참조'!$B$1:$CE$1,0))/100,0),""))),"")</f>
        <v>0</v>
      </c>
      <c r="AP110" s="42" t="n">
        <f aca="false">IFERROR(IF($C110="","",IF($D110="","",IFERROR(ROUND($D110*INDEX('🔖 배합비 참조'!$B$2:$CE$83,MATCH("마카다미아분태(호주산)",'🔖 배합비 참조'!$A$2:$A$83,0),MATCH($C110,'🔖 배합비 참조'!$B$1:$CE$1,0))/100,0),""))),"")</f>
        <v>0</v>
      </c>
      <c r="AQ110" s="42" t="n">
        <f aca="false">IFERROR(IF($C110="","",IF($D110="","",IFERROR(ROUND($D110*INDEX('🔖 배합비 참조'!$B$2:$CE$83,MATCH("멥쌀(국내산)",'🔖 배합비 참조'!$A$2:$A$83,0),MATCH($C110,'🔖 배합비 참조'!$B$1:$CE$1,0))/100,0),""))),"")</f>
        <v>72</v>
      </c>
      <c r="AR110" s="42" t="n">
        <f aca="false">IFERROR(IF($C110="","",IF($D110="","",IFERROR(ROUND($D110*INDEX('🔖 배합비 참조'!$B$2:$CE$83,MATCH("모시잎(국내산)",'🔖 배합비 참조'!$A$2:$A$83,0),MATCH($C110,'🔖 배합비 참조'!$B$1:$CE$1,0))/100,0),""))),"")</f>
        <v>0</v>
      </c>
      <c r="AS110" s="42" t="n">
        <f aca="false">IFERROR(IF($C110="","",IF($D110="","",IFERROR(ROUND($D110*INDEX('🔖 배합비 참조'!$B$2:$CE$83,MATCH("물엿(저당물엿)",'🔖 배합비 참조'!$A$2:$A$83,0),MATCH($C110,'🔖 배합비 참조'!$B$1:$CE$1,0))/100,0),""))),"")</f>
        <v>0</v>
      </c>
      <c r="AT110" s="42" t="n">
        <f aca="false">IFERROR(IF($C110="","",IF($D110="","",IFERROR(ROUND($D110*INDEX('🔖 배합비 참조'!$B$2:$CE$83,MATCH("밤다이스",'🔖 배합비 참조'!$A$2:$A$83,0),MATCH($C110,'🔖 배합비 참조'!$B$1:$CE$1,0))/100,0),""))),"")</f>
        <v>0</v>
      </c>
      <c r="AU110" s="42" t="n">
        <f aca="false">IFERROR(IF($C110="","",IF($D110="","",IFERROR(ROUND($D110*INDEX('🔖 배합비 참조'!$B$2:$CE$83,MATCH("변성전분(타피오카전분)",'🔖 배합비 참조'!$A$2:$A$83,0),MATCH($C110,'🔖 배합비 참조'!$B$1:$CE$1,0))/100,0),""))),"")</f>
        <v>0</v>
      </c>
      <c r="AV110" s="42" t="n">
        <f aca="false">IFERROR(IF($C110="","",IF($D110="","",IFERROR(ROUND($D110*INDEX('🔖 배합비 참조'!$B$2:$CE$83,MATCH("복음땅콩분태",'🔖 배합비 참조'!$A$2:$A$83,0),MATCH($C110,'🔖 배합비 참조'!$B$1:$CE$1,0))/100,0),""))),"")</f>
        <v>0</v>
      </c>
      <c r="AW110" s="42" t="n">
        <f aca="false">IFERROR(IF($C110="","",IF($D110="","",IFERROR(ROUND($D110*INDEX('🔖 배합비 참조'!$B$2:$CE$83,MATCH("사양벌꿀(국내산)",'🔖 배합비 참조'!$A$2:$A$83,0),MATCH($C110,'🔖 배합비 참조'!$B$1:$CE$1,0))/100,0),""))),"")</f>
        <v>2</v>
      </c>
      <c r="AX110" s="42" t="n">
        <f aca="false">IFERROR(IF($C110="","",IF($D110="","",IFERROR(ROUND($D110*INDEX('🔖 배합비 참조'!$B$2:$CE$83,MATCH("생크림",'🔖 배합비 참조'!$A$2:$A$83,0),MATCH($C110,'🔖 배합비 참조'!$B$1:$CE$1,0))/100,0),""))),"")</f>
        <v>0</v>
      </c>
      <c r="AY110" s="42" t="n">
        <f aca="false">IFERROR(IF($C110="","",IF($D110="","",IFERROR(ROUND($D110*INDEX('🔖 배합비 참조'!$B$2:$CE$83,MATCH("서양호박(국내산,뉴질랜드산)",'🔖 배합비 참조'!$A$2:$A$83,0),MATCH($C110,'🔖 배합비 참조'!$B$1:$CE$1,0))/100,0),""))),"")</f>
        <v>0</v>
      </c>
      <c r="AZ110" s="42" t="n">
        <f aca="false">IFERROR(IF($C110="","",IF($D110="","",IFERROR(ROUND($D110*INDEX('🔖 배합비 참조'!$B$2:$CE$83,MATCH("설탕",'🔖 배합비 참조'!$A$2:$A$83,0),MATCH($C110,'🔖 배합비 참조'!$B$1:$CE$1,0))/100,0),""))),"")</f>
        <v>9</v>
      </c>
      <c r="BA110" s="42" t="n">
        <f aca="false">IFERROR(IF($C110="","",IF($D110="","",IFERROR(ROUND($D110*INDEX('🔖 배합비 참조'!$B$2:$CE$83,MATCH("스트로우베리 에이드 후레쉬",'🔖 배합비 참조'!$A$2:$A$83,0),MATCH($C110,'🔖 배합비 참조'!$B$1:$CE$1,0))/100,0),""))),"")</f>
        <v>0</v>
      </c>
      <c r="BB110" s="42" t="n">
        <f aca="false">IFERROR(IF($C110="","",IF($D110="","",IFERROR(ROUND($D110*INDEX('🔖 배합비 참조'!$B$2:$CE$83,MATCH("식물성기름혼합제제(분홍)",'🔖 배합비 참조'!$A$2:$A$83,0),MATCH($C110,'🔖 배합비 참조'!$B$1:$CE$1,0))/100,0),""))),"")</f>
        <v>0</v>
      </c>
      <c r="BC110" s="42" t="n">
        <f aca="false">IFERROR(IF($C110="","",IF($D110="","",IFERROR(ROUND($D110*INDEX('🔖 배합비 참조'!$B$2:$CE$83,MATCH("식물성기름혼합제제(초록)",'🔖 배합비 참조'!$A$2:$A$83,0),MATCH($C110,'🔖 배합비 참조'!$B$1:$CE$1,0))/100,0),""))),"")</f>
        <v>0</v>
      </c>
      <c r="BD110" s="42" t="n">
        <f aca="false">IFERROR(IF($C110="","",IF($D110="","",IFERROR(ROUND($D110*INDEX('🔖 배합비 참조'!$B$2:$CE$83,MATCH("식물성기름혼합제제(황색)",'🔖 배합비 참조'!$A$2:$A$83,0),MATCH($C110,'🔖 배합비 참조'!$B$1:$CE$1,0))/100,0),""))),"")</f>
        <v>0</v>
      </c>
      <c r="BE110" s="42" t="n">
        <f aca="false">IFERROR(IF($C110="","",IF($D110="","",IFERROR(ROUND($D110*INDEX('🔖 배합비 참조'!$B$2:$CE$83,MATCH("쑥가루(국내산)",'🔖 배합비 참조'!$A$2:$A$83,0),MATCH($C110,'🔖 배합비 참조'!$B$1:$CE$1,0))/100,0),""))),"")</f>
        <v>0</v>
      </c>
      <c r="BF110" s="42" t="n">
        <f aca="false">IFERROR(IF($C110="","",IF($D110="","",IFERROR(ROUND($D110*INDEX('🔖 배합비 참조'!$B$2:$CE$83,MATCH("아몬드슬라이스",'🔖 배합비 참조'!$A$2:$A$83,0),MATCH($C110,'🔖 배합비 참조'!$B$1:$CE$1,0))/100,0),""))),"")</f>
        <v>0</v>
      </c>
      <c r="BG110" s="42" t="n">
        <f aca="false">IFERROR(IF($C110="","",IF($D110="","",IFERROR(ROUND($D110*INDEX('🔖 배합비 참조'!$B$2:$CE$83,MATCH("알룰로오스(국내산)",'🔖 배합비 참조'!$A$2:$A$83,0),MATCH($C110,'🔖 배합비 참조'!$B$1:$CE$1,0))/100,0),""))),"")</f>
        <v>0</v>
      </c>
      <c r="BH110" s="42" t="n">
        <f aca="false">IFERROR(IF($C110="","",IF($D110="","",IFERROR(ROUND($D110*INDEX('🔖 배합비 참조'!$B$2:$CE$83,MATCH("연유",'🔖 배합비 참조'!$A$2:$A$83,0),MATCH($C110,'🔖 배합비 참조'!$B$1:$CE$1,0))/100,0),""))),"")</f>
        <v>0</v>
      </c>
      <c r="BI110" s="42" t="n">
        <f aca="false">IFERROR(IF($C110="","",IF($D110="","",IFERROR(ROUND($D110*INDEX('🔖 배합비 참조'!$B$2:$CE$83,MATCH("옥수수전분",'🔖 배합비 참조'!$A$2:$A$83,0),MATCH($C110,'🔖 배합비 참조'!$B$1:$CE$1,0))/100,0),""))),"")</f>
        <v>0</v>
      </c>
      <c r="BJ110" s="42" t="n">
        <f aca="false">IFERROR(IF($C110="","",IF($D110="","",IFERROR(ROUND($D110*INDEX('🔖 배합비 참조'!$B$2:$CE$83,MATCH("완두배기",'🔖 배합비 참조'!$A$2:$A$83,0),MATCH($C110,'🔖 배합비 참조'!$B$1:$CE$1,0))/100,0),""))),"")</f>
        <v>0</v>
      </c>
      <c r="BK110" s="42" t="n">
        <f aca="false">IFERROR(IF($C110="","",IF($D110="","",IFERROR(ROUND($D110*INDEX('🔖 배합비 참조'!$B$2:$CE$83,MATCH("우유(국내산)",'🔖 배합비 참조'!$A$2:$A$83,0),MATCH($C110,'🔖 배합비 참조'!$B$1:$CE$1,0))/100,0),""))),"")</f>
        <v>0</v>
      </c>
      <c r="BL110" s="42" t="n">
        <f aca="false">IFERROR(IF($C110="","",IF($D110="","",IFERROR(ROUND($D110*INDEX('🔖 배합비 참조'!$B$2:$CE$83,MATCH("자색고구마가루(중국산)",'🔖 배합비 참조'!$A$2:$A$83,0),MATCH($C110,'🔖 배합비 참조'!$B$1:$CE$1,0))/100,0),""))),"")</f>
        <v>0</v>
      </c>
      <c r="BM110" s="42" t="n">
        <f aca="false">IFERROR(IF($C110="","",IF($D110="","",IFERROR(ROUND($D110*INDEX('🔖 배합비 참조'!$B$2:$CE$83,MATCH("자연치즈(체다치즈)",'🔖 배합비 참조'!$A$2:$A$83,0),MATCH($C110,'🔖 배합비 참조'!$B$1:$CE$1,0))/100,0),""))),"")</f>
        <v>0</v>
      </c>
      <c r="BN110" s="42" t="n">
        <f aca="false">IFERROR(IF($C110="","",IF($D110="","",IFERROR(ROUND($D110*INDEX('🔖 배합비 참조'!$B$2:$CE$83,MATCH("정제수",'🔖 배합비 참조'!$A$2:$A$83,0),MATCH($C110,'🔖 배합비 참조'!$B$1:$CE$1,0))/100,0),""))),"")</f>
        <v>14</v>
      </c>
      <c r="BO110" s="42" t="n">
        <f aca="false">IFERROR(IF($C110="","",IF($D110="","",IFERROR(ROUND($D110*INDEX('🔖 배합비 참조'!$B$2:$CE$83,MATCH("젤라틴",'🔖 배합비 참조'!$A$2:$A$83,0),MATCH($C110,'🔖 배합비 참조'!$B$1:$CE$1,0))/100,0),""))),"")</f>
        <v>0</v>
      </c>
      <c r="BP110" s="42" t="n">
        <f aca="false">IFERROR(IF($C110="","",IF($D110="","",IFERROR(ROUND($D110*INDEX('🔖 배합비 참조'!$B$2:$CE$83,MATCH("조림류(백옥앙금)",'🔖 배합비 참조'!$A$2:$A$83,0),MATCH($C110,'🔖 배합비 참조'!$B$1:$CE$1,0))/100,0),""))),"")</f>
        <v>0</v>
      </c>
      <c r="BQ110" s="42" t="n">
        <f aca="false">IFERROR(IF($C110="","",IF($D110="","",IFERROR(ROUND($D110*INDEX('🔖 배합비 참조'!$B$2:$CE$83,MATCH("조림류(통팥앙금)",'🔖 배합비 참조'!$A$2:$A$83,0),MATCH($C110,'🔖 배합비 참조'!$B$1:$CE$1,0))/100,0),""))),"")</f>
        <v>0</v>
      </c>
      <c r="BR110" s="42" t="n">
        <f aca="false">IFERROR(IF($C110="","",IF($D110="","",IFERROR(ROUND($D110*INDEX('🔖 배합비 참조'!$B$2:$CE$83,MATCH("준초콜릿(외국산)",'🔖 배합비 참조'!$A$2:$A$83,0),MATCH($C110,'🔖 배합비 참조'!$B$1:$CE$1,0))/100,0),""))),"")</f>
        <v>0</v>
      </c>
      <c r="BS110" s="42" t="n">
        <f aca="false">IFERROR(IF($C110="","",IF($D110="","",IFERROR(ROUND($D110*INDEX('🔖 배합비 참조'!$B$2:$CE$83,MATCH("중력분",'🔖 배합비 참조'!$A$2:$A$83,0),MATCH($C110,'🔖 배합비 참조'!$B$1:$CE$1,0))/100,0),""))),"")</f>
        <v>0</v>
      </c>
      <c r="BT110" s="42" t="n">
        <f aca="false">IFERROR(IF($C110="","",IF($D110="","",IFERROR(ROUND($D110*INDEX('🔖 배합비 참조'!$B$2:$CE$83,MATCH("참깨(인도산,나이지리아산,탄자니아산,미얀마산)",'🔖 배합비 참조'!$A$2:$A$83,0),MATCH($C110,'🔖 배합비 참조'!$B$1:$CE$1,0))/100,0),""))),"")</f>
        <v>0</v>
      </c>
      <c r="BU110" s="42" t="n">
        <f aca="false">IFERROR(IF($C110="","",IF($D110="","",IFERROR(ROUND($D110*INDEX('🔖 배합비 참조'!$B$2:$CE$83,MATCH("찹쌀(국내산)",'🔖 배합비 참조'!$A$2:$A$83,0),MATCH($C110,'🔖 배합비 참조'!$B$1:$CE$1,0))/100,0),""))),"")</f>
        <v>0</v>
      </c>
      <c r="BV110" s="42" t="n">
        <f aca="false">IFERROR(IF($C110="","",IF($D110="","",IFERROR(ROUND($D110*INDEX('🔖 배합비 참조'!$B$2:$CE$83,MATCH("천일염",'🔖 배합비 참조'!$A$2:$A$83,0),MATCH($C110,'🔖 배합비 참조'!$B$1:$CE$1,0))/100,0),""))),"")</f>
        <v>1</v>
      </c>
      <c r="BW110" s="42" t="n">
        <f aca="false">IFERROR(IF($C110="","",IF($D110="","",IFERROR(ROUND($D110*INDEX('🔖 배합비 참조'!$B$2:$CE$83,MATCH("치즈 [크림치즈]",'🔖 배합비 참조'!$A$2:$A$83,0),MATCH($C110,'🔖 배합비 참조'!$B$1:$CE$1,0))/100,0),""))),"")</f>
        <v>0</v>
      </c>
      <c r="BX110" s="42" t="n">
        <f aca="false">IFERROR(IF($C110="","",IF($D110="","",IFERROR(ROUND($D110*INDEX('🔖 배합비 참조'!$B$2:$CE$83,MATCH("코코아가공품류(코코아분말)",'🔖 배합비 참조'!$A$2:$A$83,0),MATCH($C110,'🔖 배합비 참조'!$B$1:$CE$1,0))/100,0),""))),"")</f>
        <v>0</v>
      </c>
      <c r="BY110" s="42" t="n">
        <f aca="false">IFERROR(IF($C110="","",IF($D110="","",IFERROR(ROUND($D110*INDEX('🔖 배합비 참조'!$B$2:$CE$83,MATCH("콩기름(대두유)",'🔖 배합비 참조'!$A$2:$A$83,0),MATCH($C110,'🔖 배합비 참조'!$B$1:$CE$1,0))/100,0),""))),"")</f>
        <v>0</v>
      </c>
      <c r="BZ110" s="42" t="n">
        <f aca="false">IFERROR(IF($C110="","",IF($D110="","",IFERROR(ROUND($D110*INDEX('🔖 배합비 참조'!$B$2:$CE$83,MATCH("해바라기씨앗",'🔖 배합비 참조'!$A$2:$A$83,0),MATCH($C110,'🔖 배합비 참조'!$B$1:$CE$1,0))/100,0),""))),"")</f>
        <v>0</v>
      </c>
      <c r="CA110" s="42" t="n">
        <f aca="false">IFERROR(IF($C110="","",IF($D110="","",IFERROR(ROUND($D110*INDEX('🔖 배합비 참조'!$B$2:$CE$83,MATCH("현미(국내산)",'🔖 배합비 참조'!$A$2:$A$83,0),MATCH($C110,'🔖 배합비 참조'!$B$1:$CE$1,0))/100,0),""))),"")</f>
        <v>0</v>
      </c>
      <c r="CB110" s="42" t="n">
        <f aca="false">IFERROR(IF($C110="","",IF($D110="","",IFERROR(ROUND($D110*INDEX('🔖 배합비 참조'!$B$2:$CE$83,MATCH("현미멥쌀(국내산)",'🔖 배합비 참조'!$A$2:$A$83,0),MATCH($C110,'🔖 배합비 참조'!$B$1:$CE$1,0))/100,0),""))),"")</f>
        <v>0</v>
      </c>
      <c r="CC110" s="42" t="n">
        <f aca="false">IFERROR(IF($C110="","",IF($D110="","",IFERROR(ROUND($D110*INDEX('🔖 배합비 참조'!$B$2:$CE$83,MATCH("호두분태(미국산)",'🔖 배합비 참조'!$A$2:$A$83,0),MATCH($C110,'🔖 배합비 참조'!$B$1:$CE$1,0))/100,0),""))),"")</f>
        <v>0</v>
      </c>
      <c r="CD110" s="42" t="n">
        <f aca="false">IFERROR(IF($C110="","",IF($D110="","",IFERROR(ROUND($D110*INDEX('🔖 배합비 참조'!$B$2:$CE$83,MATCH("호박씨앗(외국산)",'🔖 배합비 참조'!$A$2:$A$83,0),MATCH($C110,'🔖 배합비 참조'!$B$1:$CE$1,0))/100,0),""))),"")</f>
        <v>0</v>
      </c>
      <c r="CE110" s="42" t="n">
        <f aca="false">IFERROR(IF($C110="","",IF($D110="","",IFERROR(ROUND($D110*INDEX('🔖 배합비 참조'!$B$2:$CE$83,MATCH("혼합제제(떡용에스텔)",'🔖 배합비 참조'!$A$2:$A$83,0),MATCH($C110,'🔖 배합비 참조'!$B$1:$CE$1,0))/100,0),""))),"")</f>
        <v>0</v>
      </c>
      <c r="CF110" s="42" t="n">
        <f aca="false">IFERROR(IF($C110="","",IF($D110="","",IFERROR(ROUND($D110*INDEX('🔖 배합비 참조'!$B$2:$CE$83,MATCH("혼합제제(스테비아)",'🔖 배합비 참조'!$A$2:$A$83,0),MATCH($C110,'🔖 배합비 참조'!$B$1:$CE$1,0))/100,0),""))),"")</f>
        <v>0</v>
      </c>
      <c r="CG110" s="42" t="n">
        <f aca="false">IFERROR(IF($C110="","",IF($D110="","",IFERROR(ROUND($D110*INDEX('🔖 배합비 참조'!$B$2:$CE$83,MATCH("화이트초콜릿",'🔖 배합비 참조'!$A$2:$A$83,0),MATCH($C110,'🔖 배합비 참조'!$B$1:$CE$1,0))/100,0),""))),"")</f>
        <v>0</v>
      </c>
      <c r="CH110" s="42" t="n">
        <f aca="false">IFERROR(IF($C110="","",IF($D110="","",IFERROR(ROUND($D110*INDEX('🔖 배합비 참조'!$B$2:$CE$83,MATCH("흑미찹쌀(국내산)",'🔖 배합비 참조'!$A$2:$A$83,0),MATCH($C110,'🔖 배합비 참조'!$B$1:$CE$1,0))/100,0),""))),"")</f>
        <v>0</v>
      </c>
      <c r="CI110" s="42" t="n">
        <f aca="false">IFERROR(IF($C110="","",IF($D110="","",IFERROR(ROUND($D110*INDEX('🔖 배합비 참조'!$B$2:$CE$83,MATCH("찰옥수수전분(미국산)",'🔖 배합비 참조'!$A$2:$A$83,0),MATCH($C110,'🔖 배합비 참조'!$B$1:$CE$1,0))/100,0),""))),"")</f>
        <v>0</v>
      </c>
      <c r="CJ110" s="40"/>
      <c r="CL110" s="1" t="s">
        <v>239</v>
      </c>
    </row>
    <row r="111" customFormat="false" ht="18" hidden="false" customHeight="true" outlineLevel="0" collapsed="false">
      <c r="A111" s="35" t="n">
        <v>107</v>
      </c>
      <c r="B111" s="36" t="n">
        <v>45999</v>
      </c>
      <c r="C111" s="37" t="s">
        <v>146</v>
      </c>
      <c r="D111" s="38" t="n">
        <v>18</v>
      </c>
      <c r="E111" s="13"/>
      <c r="F111" s="13"/>
      <c r="G111" s="39" t="n">
        <f aca="false">IFERROR(IF($C111="","",IF($D111="","",IFERROR(ROUND($D111*INDEX('🔖 배합비 참조'!$B$2:$CE$83,MATCH("간장",'🔖 배합비 참조'!$A$2:$A$83,0),MATCH($C111,'🔖 배합비 참조'!$B$1:$CE$1,0))/100,0),""))),"")</f>
        <v>0</v>
      </c>
      <c r="H111" s="39" t="n">
        <f aca="false">IFERROR(IF($C111="","",IF($D111="","",IFERROR(ROUND($D111*INDEX('🔖 배합비 참조'!$B$2:$CE$83,MATCH("강낭콩((울타리콩))",'🔖 배합비 참조'!$A$2:$A$83,0),MATCH($C111,'🔖 배합비 참조'!$B$1:$CE$1,0))/100,0),""))),"")</f>
        <v>0</v>
      </c>
      <c r="I111" s="39" t="n">
        <f aca="false">IFERROR(IF($C111="","",IF($D111="","",IFERROR(ROUND($D111*INDEX('🔖 배합비 참조'!$B$2:$CE$83,MATCH("건조딸기다이스(외국산)",'🔖 배합비 참조'!$A$2:$A$83,0),MATCH($C111,'🔖 배합비 참조'!$B$1:$CE$1,0))/100,0),""))),"")</f>
        <v>0</v>
      </c>
      <c r="J111" s="39" t="n">
        <f aca="false">IFERROR(IF($C111="","",IF($D111="","",IFERROR(ROUND($D111*INDEX('🔖 배합비 참조'!$B$2:$CE$83,MATCH("건포도",'🔖 배합비 참조'!$A$2:$A$83,0),MATCH($C111,'🔖 배합비 참조'!$B$1:$CE$1,0))/100,0),""))),"")</f>
        <v>0</v>
      </c>
      <c r="K111" s="39" t="n">
        <f aca="false">IFERROR(IF($C111="","",IF($D111="","",IFERROR(ROUND($D111*INDEX('🔖 배합비 참조'!$B$2:$CE$83,MATCH("건호박채(중국산)",'🔖 배합비 참조'!$A$2:$A$83,0),MATCH($C111,'🔖 배합비 참조'!$B$1:$CE$1,0))/100,0),""))),"")</f>
        <v>0</v>
      </c>
      <c r="L111" s="39" t="n">
        <f aca="false">IFERROR(IF($C111="","",IF($D111="","",IFERROR(ROUND($D111*INDEX('🔖 배합비 참조'!$B$2:$CE$83,MATCH("검정깨(흑임자)",'🔖 배합비 참조'!$A$2:$A$83,0),MATCH($C111,'🔖 배합비 참조'!$B$1:$CE$1,0))/100,0),""))),"")</f>
        <v>0</v>
      </c>
      <c r="M111" s="39" t="n">
        <f aca="false">IFERROR(IF($C111="","",IF($D111="","",IFERROR(ROUND($D111*INDEX('🔖 배합비 참조'!$B$2:$CE$83,MATCH("검정콩",'🔖 배합비 참조'!$A$2:$A$83,0),MATCH($C111,'🔖 배합비 참조'!$B$1:$CE$1,0))/100,0),""))),"")</f>
        <v>0</v>
      </c>
      <c r="N111" s="39" t="n">
        <f aca="false">IFERROR(IF($C111="","",IF($D111="","",IFERROR(ROUND($D111*INDEX('🔖 배합비 참조'!$B$2:$CE$83,MATCH("계피가루",'🔖 배합비 참조'!$A$2:$A$83,0),MATCH($C111,'🔖 배합비 참조'!$B$1:$CE$1,0))/100,0),""))),"")</f>
        <v>0</v>
      </c>
      <c r="O111" s="39" t="n">
        <f aca="false">IFERROR(IF($C111="","",IF($D111="","",IFERROR(ROUND($D111*INDEX('🔖 배합비 참조'!$B$2:$CE$83,MATCH("고구마가루",'🔖 배합비 참조'!$A$2:$A$83,0),MATCH($C111,'🔖 배합비 참조'!$B$1:$CE$1,0))/100,0),""))),"")</f>
        <v>0</v>
      </c>
      <c r="P111" s="39" t="n">
        <f aca="false">IFERROR(IF($C111="","",IF($D111="","",IFERROR(ROUND($D111*INDEX('🔖 배합비 참조'!$B$2:$CE$83,MATCH("고구마무스",'🔖 배합비 참조'!$A$2:$A$83,0),MATCH($C111,'🔖 배합비 참조'!$B$1:$CE$1,0))/100,0),""))),"")</f>
        <v>0</v>
      </c>
      <c r="Q111" s="39" t="n">
        <f aca="false">IFERROR(IF($C111="","",IF($D111="","",IFERROR(ROUND($D111*INDEX('🔖 배합비 참조'!$B$2:$CE$83,MATCH("고려엉겅퀴((곤드레)국내산)",'🔖 배합비 참조'!$A$2:$A$83,0),MATCH($C111,'🔖 배합비 참조'!$B$1:$CE$1,0))/100,0),""))),"")</f>
        <v>0</v>
      </c>
      <c r="R111" s="39" t="n">
        <f aca="false">IFERROR(IF($C111="","",IF($D111="","",IFERROR(ROUND($D111*INDEX('🔖 배합비 참조'!$B$2:$CE$83,MATCH("기타가공품(복분자가루)",'🔖 배합비 참조'!$A$2:$A$83,0),MATCH($C111,'🔖 배합비 참조'!$B$1:$CE$1,0))/100,0),""))),"")</f>
        <v>0</v>
      </c>
      <c r="S111" s="39" t="n">
        <f aca="false">IFERROR(IF($C111="","",IF($D111="","",IFERROR(ROUND($D111*INDEX('🔖 배합비 참조'!$B$2:$CE$83,MATCH("기타가공품(슈퍼소프트엠)",'🔖 배합비 참조'!$A$2:$A$83,0),MATCH($C111,'🔖 배합비 참조'!$B$1:$CE$1,0))/100,0),""))),"")</f>
        <v>0</v>
      </c>
      <c r="T111" s="39" t="n">
        <f aca="false">IFERROR(IF($C111="","",IF($D111="","",IFERROR(ROUND($D111*INDEX('🔖 배합비 참조'!$B$2:$CE$83,MATCH("기타가공품(파인소프트 E-티)",'🔖 배합비 참조'!$A$2:$A$83,0),MATCH($C111,'🔖 배합비 참조'!$B$1:$CE$1,0))/100,0),""))),"")</f>
        <v>0</v>
      </c>
      <c r="U111" s="39" t="n">
        <f aca="false">IFERROR(IF($C111="","",IF($D111="","",IFERROR(ROUND($D111*INDEX('🔖 배합비 참조'!$B$2:$CE$83,MATCH("기타가공품(프리미엄카스테라가루)",'🔖 배합비 참조'!$A$2:$A$83,0),MATCH($C111,'🔖 배합비 참조'!$B$1:$CE$1,0))/100,0),""))),"")</f>
        <v>0</v>
      </c>
      <c r="V111" s="39" t="n">
        <f aca="false">IFERROR(IF($C111="","",IF($D111="","",IFERROR(ROUND($D111*INDEX('🔖 배합비 참조'!$B$2:$CE$83,MATCH("기타가공품(흑임자가루)",'🔖 배합비 참조'!$A$2:$A$83,0),MATCH($C111,'🔖 배합비 참조'!$B$1:$CE$1,0))/100,0),""))),"")</f>
        <v>0</v>
      </c>
      <c r="W111" s="39" t="n">
        <f aca="false">IFERROR(IF($C111="","",IF($D111="","",IFERROR(ROUND($D111*INDEX('🔖 배합비 참조'!$B$2:$CE$83,MATCH("기타설탕(흑설탕)",'🔖 배합비 참조'!$A$2:$A$83,0),MATCH($C111,'🔖 배합비 참조'!$B$1:$CE$1,0))/100,0),""))),"")</f>
        <v>0</v>
      </c>
      <c r="X111" s="39" t="n">
        <f aca="false">IFERROR(IF($C111="","",IF($D111="","",IFERROR(ROUND($D111*INDEX('🔖 배합비 참조'!$B$2:$CE$83,MATCH("냉동쑥(국내산)",'🔖 배합비 참조'!$A$2:$A$83,0),MATCH($C111,'🔖 배합비 참조'!$B$1:$CE$1,0))/100,0),""))),"")</f>
        <v>0</v>
      </c>
      <c r="Y111" s="39" t="n">
        <f aca="false">IFERROR(IF($C111="","",IF($D111="","",IFERROR(ROUND($D111*INDEX('🔖 배합비 참조'!$B$2:$CE$83,MATCH("냉동증숙고구마(중국산)",'🔖 배합비 참조'!$A$2:$A$83,0),MATCH($C111,'🔖 배합비 참조'!$B$1:$CE$1,0))/100,0),""))),"")</f>
        <v>0</v>
      </c>
      <c r="Z111" s="39" t="n">
        <f aca="false">IFERROR(IF($C111="","",IF($D111="","",IFERROR(ROUND($D111*INDEX('🔖 배합비 참조'!$B$2:$CE$83,MATCH("녹차가루",'🔖 배합비 참조'!$A$2:$A$83,0),MATCH($C111,'🔖 배합비 참조'!$B$1:$CE$1,0))/100,0),""))),"")</f>
        <v>0</v>
      </c>
      <c r="AA111" s="39" t="n">
        <f aca="false">IFERROR(IF($C111="","",IF($D111="","",IFERROR(ROUND($D111*INDEX('🔖 배합비 참조'!$B$2:$CE$83,MATCH("다크초콜릿 컴파운드칩",'🔖 배합비 참조'!$A$2:$A$83,0),MATCH($C111,'🔖 배합비 참조'!$B$1:$CE$1,0))/100,0),""))),"")</f>
        <v>0</v>
      </c>
      <c r="AB111" s="39" t="n">
        <f aca="false">IFERROR(IF($C111="","",IF($D111="","",IFERROR(ROUND($D111*INDEX('🔖 배합비 참조'!$B$2:$CE$83,MATCH("단호박분말(중국산)",'🔖 배합비 참조'!$A$2:$A$83,0),MATCH($C111,'🔖 배합비 참조'!$B$1:$CE$1,0))/100,0),""))),"")</f>
        <v>0</v>
      </c>
      <c r="AC111" s="39" t="n">
        <f aca="false">IFERROR(IF($C111="","",IF($D111="","",IFERROR(ROUND($D111*INDEX('🔖 배합비 참조'!$B$2:$CE$83,MATCH("당류가공품(단호박농축액)",'🔖 배합비 참조'!$A$2:$A$83,0),MATCH($C111,'🔖 배합비 참조'!$B$1:$CE$1,0))/100,0),""))),"")</f>
        <v>0</v>
      </c>
      <c r="AD111" s="39" t="n">
        <f aca="false">IFERROR(IF($C111="","",IF($D111="","",IFERROR(ROUND($D111*INDEX('🔖 배합비 참조'!$B$2:$CE$83,MATCH("당류가공품(알룰로스,에리스리톨,스테비올배당체혼합)",'🔖 배합비 참조'!$A$2:$A$83,0),MATCH($C111,'🔖 배합비 참조'!$B$1:$CE$1,0))/100,0),""))),"")</f>
        <v>0</v>
      </c>
      <c r="AE111" s="39" t="n">
        <f aca="false">IFERROR(IF($C111="","",IF($D111="","",IFERROR(ROUND($D111*INDEX('🔖 배합비 참조'!$B$2:$CE$83,MATCH("당류가공품(알룰로스제로파우더)",'🔖 배합비 참조'!$A$2:$A$83,0),MATCH($C111,'🔖 배합비 참조'!$B$1:$CE$1,0))/100,0),""))),"")</f>
        <v>0</v>
      </c>
      <c r="AF111" s="39" t="n">
        <f aca="false">IFERROR(IF($C111="","",IF($D111="","",IFERROR(ROUND($D111*INDEX('🔖 배합비 참조'!$B$2:$CE$83,MATCH("당절임(완두배기)",'🔖 배합비 참조'!$A$2:$A$83,0),MATCH($C111,'🔖 배합비 참조'!$B$1:$CE$1,0))/100,0),""))),"")</f>
        <v>0</v>
      </c>
      <c r="AG111" s="39" t="n">
        <f aca="false">IFERROR(IF($C111="","",IF($D111="","",IFERROR(ROUND($D111*INDEX('🔖 배합비 참조'!$B$2:$CE$83,MATCH("대추농축액",'🔖 배합비 참조'!$A$2:$A$83,0),MATCH($C111,'🔖 배합비 참조'!$B$1:$CE$1,0))/100,0),""))),"")</f>
        <v>0</v>
      </c>
      <c r="AH111" s="39" t="n">
        <f aca="false">IFERROR(IF($C111="","",IF($D111="","",IFERROR(ROUND($D111*INDEX('🔖 배합비 참조'!$B$2:$CE$83,MATCH("대추채(국내산)",'🔖 배합비 참조'!$A$2:$A$83,0),MATCH($C111,'🔖 배합비 참조'!$B$1:$CE$1,0))/100,0),""))),"")</f>
        <v>0</v>
      </c>
      <c r="AI111" s="39" t="n">
        <f aca="false">IFERROR(IF($C111="","",IF($D111="","",IFERROR(ROUND($D111*INDEX('🔖 배합비 참조'!$B$2:$CE$83,MATCH("동부(미얀마산)",'🔖 배합비 참조'!$A$2:$A$83,0),MATCH($C111,'🔖 배합비 참조'!$B$1:$CE$1,0))/100,0),""))),"")</f>
        <v>0</v>
      </c>
      <c r="AJ111" s="39" t="n">
        <f aca="false">IFERROR(IF($C111="","",IF($D111="","",IFERROR(ROUND($D111*INDEX('🔖 배합비 참조'!$B$2:$CE$83,MATCH("두류가공품(백옥앙금)",'🔖 배합비 참조'!$A$2:$A$83,0),MATCH($C111,'🔖 배합비 참조'!$B$1:$CE$1,0))/100,0),""))),"")</f>
        <v>0</v>
      </c>
      <c r="AK111" s="39" t="n">
        <f aca="false">IFERROR(IF($C111="","",IF($D111="","",IFERROR(ROUND($D111*INDEX('🔖 배합비 참조'!$B$2:$CE$83,MATCH("두류가공품(콩고물)",'🔖 배합비 참조'!$A$2:$A$83,0),MATCH($C111,'🔖 배합비 참조'!$B$1:$CE$1,0))/100,0),""))),"")</f>
        <v>0</v>
      </c>
      <c r="AL111" s="39" t="n">
        <f aca="false">IFERROR(IF($C111="","",IF($D111="","",IFERROR(ROUND($D111*INDEX('🔖 배합비 참조'!$B$2:$CE$83,MATCH("두류가공품(통팥고물)",'🔖 배합비 참조'!$A$2:$A$83,0),MATCH($C111,'🔖 배합비 참조'!$B$1:$CE$1,0))/100,0),""))),"")</f>
        <v>0</v>
      </c>
      <c r="AM111" s="39" t="n">
        <f aca="false">IFERROR(IF($C111="","",IF($D111="","",IFERROR(ROUND($D111*INDEX('🔖 배합비 참조'!$B$2:$CE$83,MATCH("딸기레진",'🔖 배합비 참조'!$A$2:$A$83,0),MATCH($C111,'🔖 배합비 참조'!$B$1:$CE$1,0))/100,0),""))),"")</f>
        <v>0</v>
      </c>
      <c r="AN111" s="39" t="n">
        <f aca="false">IFERROR(IF($C111="","",IF($D111="","",IFERROR(ROUND($D111*INDEX('🔖 배합비 참조'!$B$2:$CE$83,MATCH("딸기분말(스트로우베리에이드(분말))",'🔖 배합비 참조'!$A$2:$A$83,0),MATCH($C111,'🔖 배합비 참조'!$B$1:$CE$1,0))/100,0),""))),"")</f>
        <v>0</v>
      </c>
      <c r="AO111" s="39" t="n">
        <f aca="false">IFERROR(IF($C111="","",IF($D111="","",IFERROR(ROUND($D111*INDEX('🔖 배합비 참조'!$B$2:$CE$83,MATCH("마스카포네치즈",'🔖 배합비 참조'!$A$2:$A$83,0),MATCH($C111,'🔖 배합비 참조'!$B$1:$CE$1,0))/100,0),""))),"")</f>
        <v>0</v>
      </c>
      <c r="AP111" s="39" t="n">
        <f aca="false">IFERROR(IF($C111="","",IF($D111="","",IFERROR(ROUND($D111*INDEX('🔖 배합비 참조'!$B$2:$CE$83,MATCH("마카다미아분태(호주산)",'🔖 배합비 참조'!$A$2:$A$83,0),MATCH($C111,'🔖 배합비 참조'!$B$1:$CE$1,0))/100,0),""))),"")</f>
        <v>0</v>
      </c>
      <c r="AQ111" s="39" t="n">
        <f aca="false">IFERROR(IF($C111="","",IF($D111="","",IFERROR(ROUND($D111*INDEX('🔖 배합비 참조'!$B$2:$CE$83,MATCH("멥쌀(국내산)",'🔖 배합비 참조'!$A$2:$A$83,0),MATCH($C111,'🔖 배합비 참조'!$B$1:$CE$1,0))/100,0),""))),"")</f>
        <v>0</v>
      </c>
      <c r="AR111" s="39" t="n">
        <f aca="false">IFERROR(IF($C111="","",IF($D111="","",IFERROR(ROUND($D111*INDEX('🔖 배합비 참조'!$B$2:$CE$83,MATCH("모시잎(국내산)",'🔖 배합비 참조'!$A$2:$A$83,0),MATCH($C111,'🔖 배합비 참조'!$B$1:$CE$1,0))/100,0),""))),"")</f>
        <v>0</v>
      </c>
      <c r="AS111" s="39" t="n">
        <f aca="false">IFERROR(IF($C111="","",IF($D111="","",IFERROR(ROUND($D111*INDEX('🔖 배합비 참조'!$B$2:$CE$83,MATCH("물엿(저당물엿)",'🔖 배합비 참조'!$A$2:$A$83,0),MATCH($C111,'🔖 배합비 참조'!$B$1:$CE$1,0))/100,0),""))),"")</f>
        <v>0</v>
      </c>
      <c r="AT111" s="39" t="n">
        <f aca="false">IFERROR(IF($C111="","",IF($D111="","",IFERROR(ROUND($D111*INDEX('🔖 배합비 참조'!$B$2:$CE$83,MATCH("밤다이스",'🔖 배합비 참조'!$A$2:$A$83,0),MATCH($C111,'🔖 배합비 참조'!$B$1:$CE$1,0))/100,0),""))),"")</f>
        <v>1</v>
      </c>
      <c r="AU111" s="39" t="n">
        <f aca="false">IFERROR(IF($C111="","",IF($D111="","",IFERROR(ROUND($D111*INDEX('🔖 배합비 참조'!$B$2:$CE$83,MATCH("변성전분(타피오카전분)",'🔖 배합비 참조'!$A$2:$A$83,0),MATCH($C111,'🔖 배합비 참조'!$B$1:$CE$1,0))/100,0),""))),"")</f>
        <v>0</v>
      </c>
      <c r="AV111" s="39" t="n">
        <f aca="false">IFERROR(IF($C111="","",IF($D111="","",IFERROR(ROUND($D111*INDEX('🔖 배합비 참조'!$B$2:$CE$83,MATCH("복음땅콩분태",'🔖 배합비 참조'!$A$2:$A$83,0),MATCH($C111,'🔖 배합비 참조'!$B$1:$CE$1,0))/100,0),""))),"")</f>
        <v>0</v>
      </c>
      <c r="AW111" s="39" t="n">
        <f aca="false">IFERROR(IF($C111="","",IF($D111="","",IFERROR(ROUND($D111*INDEX('🔖 배합비 참조'!$B$2:$CE$83,MATCH("사양벌꿀(국내산)",'🔖 배합비 참조'!$A$2:$A$83,0),MATCH($C111,'🔖 배합비 참조'!$B$1:$CE$1,0))/100,0),""))),"")</f>
        <v>0</v>
      </c>
      <c r="AX111" s="39" t="n">
        <f aca="false">IFERROR(IF($C111="","",IF($D111="","",IFERROR(ROUND($D111*INDEX('🔖 배합비 참조'!$B$2:$CE$83,MATCH("생크림",'🔖 배합비 참조'!$A$2:$A$83,0),MATCH($C111,'🔖 배합비 참조'!$B$1:$CE$1,0))/100,0),""))),"")</f>
        <v>0</v>
      </c>
      <c r="AY111" s="39" t="n">
        <f aca="false">IFERROR(IF($C111="","",IF($D111="","",IFERROR(ROUND($D111*INDEX('🔖 배합비 참조'!$B$2:$CE$83,MATCH("서양호박(국내산,뉴질랜드산)",'🔖 배합비 참조'!$A$2:$A$83,0),MATCH($C111,'🔖 배합비 참조'!$B$1:$CE$1,0))/100,0),""))),"")</f>
        <v>0</v>
      </c>
      <c r="AZ111" s="39" t="n">
        <f aca="false">IFERROR(IF($C111="","",IF($D111="","",IFERROR(ROUND($D111*INDEX('🔖 배합비 참조'!$B$2:$CE$83,MATCH("설탕",'🔖 배합비 참조'!$A$2:$A$83,0),MATCH($C111,'🔖 배합비 참조'!$B$1:$CE$1,0))/100,0),""))),"")</f>
        <v>2</v>
      </c>
      <c r="BA111" s="39" t="n">
        <f aca="false">IFERROR(IF($C111="","",IF($D111="","",IFERROR(ROUND($D111*INDEX('🔖 배합비 참조'!$B$2:$CE$83,MATCH("스트로우베리 에이드 후레쉬",'🔖 배합비 참조'!$A$2:$A$83,0),MATCH($C111,'🔖 배합비 참조'!$B$1:$CE$1,0))/100,0),""))),"")</f>
        <v>0</v>
      </c>
      <c r="BB111" s="39" t="n">
        <f aca="false">IFERROR(IF($C111="","",IF($D111="","",IFERROR(ROUND($D111*INDEX('🔖 배합비 참조'!$B$2:$CE$83,MATCH("식물성기름혼합제제(분홍)",'🔖 배합비 참조'!$A$2:$A$83,0),MATCH($C111,'🔖 배합비 참조'!$B$1:$CE$1,0))/100,0),""))),"")</f>
        <v>0</v>
      </c>
      <c r="BC111" s="39" t="n">
        <f aca="false">IFERROR(IF($C111="","",IF($D111="","",IFERROR(ROUND($D111*INDEX('🔖 배합비 참조'!$B$2:$CE$83,MATCH("식물성기름혼합제제(초록)",'🔖 배합비 참조'!$A$2:$A$83,0),MATCH($C111,'🔖 배합비 참조'!$B$1:$CE$1,0))/100,0),""))),"")</f>
        <v>0</v>
      </c>
      <c r="BD111" s="39" t="n">
        <f aca="false">IFERROR(IF($C111="","",IF($D111="","",IFERROR(ROUND($D111*INDEX('🔖 배합비 참조'!$B$2:$CE$83,MATCH("식물성기름혼합제제(황색)",'🔖 배합비 참조'!$A$2:$A$83,0),MATCH($C111,'🔖 배합비 참조'!$B$1:$CE$1,0))/100,0),""))),"")</f>
        <v>0</v>
      </c>
      <c r="BE111" s="39" t="n">
        <f aca="false">IFERROR(IF($C111="","",IF($D111="","",IFERROR(ROUND($D111*INDEX('🔖 배합비 참조'!$B$2:$CE$83,MATCH("쑥가루(국내산)",'🔖 배합비 참조'!$A$2:$A$83,0),MATCH($C111,'🔖 배합비 참조'!$B$1:$CE$1,0))/100,0),""))),"")</f>
        <v>0</v>
      </c>
      <c r="BF111" s="39" t="n">
        <f aca="false">IFERROR(IF($C111="","",IF($D111="","",IFERROR(ROUND($D111*INDEX('🔖 배합비 참조'!$B$2:$CE$83,MATCH("아몬드슬라이스",'🔖 배합비 참조'!$A$2:$A$83,0),MATCH($C111,'🔖 배합비 참조'!$B$1:$CE$1,0))/100,0),""))),"")</f>
        <v>0</v>
      </c>
      <c r="BG111" s="39" t="n">
        <f aca="false">IFERROR(IF($C111="","",IF($D111="","",IFERROR(ROUND($D111*INDEX('🔖 배합비 참조'!$B$2:$CE$83,MATCH("알룰로오스(국내산)",'🔖 배합비 참조'!$A$2:$A$83,0),MATCH($C111,'🔖 배합비 참조'!$B$1:$CE$1,0))/100,0),""))),"")</f>
        <v>0</v>
      </c>
      <c r="BH111" s="39" t="n">
        <f aca="false">IFERROR(IF($C111="","",IF($D111="","",IFERROR(ROUND($D111*INDEX('🔖 배합비 참조'!$B$2:$CE$83,MATCH("연유",'🔖 배합비 참조'!$A$2:$A$83,0),MATCH($C111,'🔖 배합비 참조'!$B$1:$CE$1,0))/100,0),""))),"")</f>
        <v>0</v>
      </c>
      <c r="BI111" s="39" t="n">
        <f aca="false">IFERROR(IF($C111="","",IF($D111="","",IFERROR(ROUND($D111*INDEX('🔖 배합비 참조'!$B$2:$CE$83,MATCH("옥수수전분",'🔖 배합비 참조'!$A$2:$A$83,0),MATCH($C111,'🔖 배합비 참조'!$B$1:$CE$1,0))/100,0),""))),"")</f>
        <v>0</v>
      </c>
      <c r="BJ111" s="39" t="n">
        <f aca="false">IFERROR(IF($C111="","",IF($D111="","",IFERROR(ROUND($D111*INDEX('🔖 배합비 참조'!$B$2:$CE$83,MATCH("완두배기",'🔖 배합비 참조'!$A$2:$A$83,0),MATCH($C111,'🔖 배합비 참조'!$B$1:$CE$1,0))/100,0),""))),"")</f>
        <v>0</v>
      </c>
      <c r="BK111" s="39" t="n">
        <f aca="false">IFERROR(IF($C111="","",IF($D111="","",IFERROR(ROUND($D111*INDEX('🔖 배합비 참조'!$B$2:$CE$83,MATCH("우유(국내산)",'🔖 배합비 참조'!$A$2:$A$83,0),MATCH($C111,'🔖 배합비 참조'!$B$1:$CE$1,0))/100,0),""))),"")</f>
        <v>0</v>
      </c>
      <c r="BL111" s="39" t="n">
        <f aca="false">IFERROR(IF($C111="","",IF($D111="","",IFERROR(ROUND($D111*INDEX('🔖 배합비 참조'!$B$2:$CE$83,MATCH("자색고구마가루(중국산)",'🔖 배합비 참조'!$A$2:$A$83,0),MATCH($C111,'🔖 배합비 참조'!$B$1:$CE$1,0))/100,0),""))),"")</f>
        <v>0</v>
      </c>
      <c r="BM111" s="39" t="n">
        <f aca="false">IFERROR(IF($C111="","",IF($D111="","",IFERROR(ROUND($D111*INDEX('🔖 배합비 참조'!$B$2:$CE$83,MATCH("자연치즈(체다치즈)",'🔖 배합비 참조'!$A$2:$A$83,0),MATCH($C111,'🔖 배합비 참조'!$B$1:$CE$1,0))/100,0),""))),"")</f>
        <v>0</v>
      </c>
      <c r="BN111" s="39" t="n">
        <f aca="false">IFERROR(IF($C111="","",IF($D111="","",IFERROR(ROUND($D111*INDEX('🔖 배합비 참조'!$B$2:$CE$83,MATCH("정제수",'🔖 배합비 참조'!$A$2:$A$83,0),MATCH($C111,'🔖 배합비 참조'!$B$1:$CE$1,0))/100,0),""))),"")</f>
        <v>3</v>
      </c>
      <c r="BO111" s="39" t="n">
        <f aca="false">IFERROR(IF($C111="","",IF($D111="","",IFERROR(ROUND($D111*INDEX('🔖 배합비 참조'!$B$2:$CE$83,MATCH("젤라틴",'🔖 배합비 참조'!$A$2:$A$83,0),MATCH($C111,'🔖 배합비 참조'!$B$1:$CE$1,0))/100,0),""))),"")</f>
        <v>0</v>
      </c>
      <c r="BP111" s="39" t="n">
        <f aca="false">IFERROR(IF($C111="","",IF($D111="","",IFERROR(ROUND($D111*INDEX('🔖 배합비 참조'!$B$2:$CE$83,MATCH("조림류(백옥앙금)",'🔖 배합비 참조'!$A$2:$A$83,0),MATCH($C111,'🔖 배합비 참조'!$B$1:$CE$1,0))/100,0),""))),"")</f>
        <v>0</v>
      </c>
      <c r="BQ111" s="39" t="n">
        <f aca="false">IFERROR(IF($C111="","",IF($D111="","",IFERROR(ROUND($D111*INDEX('🔖 배합비 참조'!$B$2:$CE$83,MATCH("조림류(통팥앙금)",'🔖 배합비 참조'!$A$2:$A$83,0),MATCH($C111,'🔖 배합비 참조'!$B$1:$CE$1,0))/100,0),""))),"")</f>
        <v>0</v>
      </c>
      <c r="BR111" s="39" t="n">
        <f aca="false">IFERROR(IF($C111="","",IF($D111="","",IFERROR(ROUND($D111*INDEX('🔖 배합비 참조'!$B$2:$CE$83,MATCH("준초콜릿(외국산)",'🔖 배합비 참조'!$A$2:$A$83,0),MATCH($C111,'🔖 배합비 참조'!$B$1:$CE$1,0))/100,0),""))),"")</f>
        <v>0</v>
      </c>
      <c r="BS111" s="39" t="n">
        <f aca="false">IFERROR(IF($C111="","",IF($D111="","",IFERROR(ROUND($D111*INDEX('🔖 배합비 참조'!$B$2:$CE$83,MATCH("중력분",'🔖 배합비 참조'!$A$2:$A$83,0),MATCH($C111,'🔖 배합비 참조'!$B$1:$CE$1,0))/100,0),""))),"")</f>
        <v>0</v>
      </c>
      <c r="BT111" s="39" t="n">
        <f aca="false">IFERROR(IF($C111="","",IF($D111="","",IFERROR(ROUND($D111*INDEX('🔖 배합비 참조'!$B$2:$CE$83,MATCH("참깨(인도산,나이지리아산,탄자니아산,미얀마산)",'🔖 배합비 참조'!$A$2:$A$83,0),MATCH($C111,'🔖 배합비 참조'!$B$1:$CE$1,0))/100,0),""))),"")</f>
        <v>0</v>
      </c>
      <c r="BU111" s="39" t="n">
        <f aca="false">IFERROR(IF($C111="","",IF($D111="","",IFERROR(ROUND($D111*INDEX('🔖 배합비 참조'!$B$2:$CE$83,MATCH("찹쌀(국내산)",'🔖 배합비 참조'!$A$2:$A$83,0),MATCH($C111,'🔖 배합비 참조'!$B$1:$CE$1,0))/100,0),""))),"")</f>
        <v>10</v>
      </c>
      <c r="BV111" s="39" t="n">
        <f aca="false">IFERROR(IF($C111="","",IF($D111="","",IFERROR(ROUND($D111*INDEX('🔖 배합비 참조'!$B$2:$CE$83,MATCH("천일염",'🔖 배합비 참조'!$A$2:$A$83,0),MATCH($C111,'🔖 배합비 참조'!$B$1:$CE$1,0))/100,0),""))),"")</f>
        <v>0</v>
      </c>
      <c r="BW111" s="39" t="n">
        <f aca="false">IFERROR(IF($C111="","",IF($D111="","",IFERROR(ROUND($D111*INDEX('🔖 배합비 참조'!$B$2:$CE$83,MATCH("치즈 [크림치즈]",'🔖 배합비 참조'!$A$2:$A$83,0),MATCH($C111,'🔖 배합비 참조'!$B$1:$CE$1,0))/100,0),""))),"")</f>
        <v>0</v>
      </c>
      <c r="BX111" s="39" t="n">
        <f aca="false">IFERROR(IF($C111="","",IF($D111="","",IFERROR(ROUND($D111*INDEX('🔖 배합비 참조'!$B$2:$CE$83,MATCH("코코아가공품류(코코아분말)",'🔖 배합비 참조'!$A$2:$A$83,0),MATCH($C111,'🔖 배합비 참조'!$B$1:$CE$1,0))/100,0),""))),"")</f>
        <v>0</v>
      </c>
      <c r="BY111" s="39" t="n">
        <f aca="false">IFERROR(IF($C111="","",IF($D111="","",IFERROR(ROUND($D111*INDEX('🔖 배합비 참조'!$B$2:$CE$83,MATCH("콩기름(대두유)",'🔖 배합비 참조'!$A$2:$A$83,0),MATCH($C111,'🔖 배합비 참조'!$B$1:$CE$1,0))/100,0),""))),"")</f>
        <v>0</v>
      </c>
      <c r="BZ111" s="39" t="n">
        <f aca="false">IFERROR(IF($C111="","",IF($D111="","",IFERROR(ROUND($D111*INDEX('🔖 배합비 참조'!$B$2:$CE$83,MATCH("해바라기씨앗",'🔖 배합비 참조'!$A$2:$A$83,0),MATCH($C111,'🔖 배합비 참조'!$B$1:$CE$1,0))/100,0),""))),"")</f>
        <v>0</v>
      </c>
      <c r="CA111" s="39" t="n">
        <f aca="false">IFERROR(IF($C111="","",IF($D111="","",IFERROR(ROUND($D111*INDEX('🔖 배합비 참조'!$B$2:$CE$83,MATCH("현미(국내산)",'🔖 배합비 참조'!$A$2:$A$83,0),MATCH($C111,'🔖 배합비 참조'!$B$1:$CE$1,0))/100,0),""))),"")</f>
        <v>0</v>
      </c>
      <c r="CB111" s="39" t="n">
        <f aca="false">IFERROR(IF($C111="","",IF($D111="","",IFERROR(ROUND($D111*INDEX('🔖 배합비 참조'!$B$2:$CE$83,MATCH("현미멥쌀(국내산)",'🔖 배합비 참조'!$A$2:$A$83,0),MATCH($C111,'🔖 배합비 참조'!$B$1:$CE$1,0))/100,0),""))),"")</f>
        <v>0</v>
      </c>
      <c r="CC111" s="39" t="n">
        <f aca="false">IFERROR(IF($C111="","",IF($D111="","",IFERROR(ROUND($D111*INDEX('🔖 배합비 참조'!$B$2:$CE$83,MATCH("호두분태(미국산)",'🔖 배합비 참조'!$A$2:$A$83,0),MATCH($C111,'🔖 배합비 참조'!$B$1:$CE$1,0))/100,0),""))),"")</f>
        <v>0</v>
      </c>
      <c r="CD111" s="39" t="n">
        <f aca="false">IFERROR(IF($C111="","",IF($D111="","",IFERROR(ROUND($D111*INDEX('🔖 배합비 참조'!$B$2:$CE$83,MATCH("호박씨앗(외국산)",'🔖 배합비 참조'!$A$2:$A$83,0),MATCH($C111,'🔖 배합비 참조'!$B$1:$CE$1,0))/100,0),""))),"")</f>
        <v>0</v>
      </c>
      <c r="CE111" s="39" t="n">
        <f aca="false">IFERROR(IF($C111="","",IF($D111="","",IFERROR(ROUND($D111*INDEX('🔖 배합비 참조'!$B$2:$CE$83,MATCH("혼합제제(떡용에스텔)",'🔖 배합비 참조'!$A$2:$A$83,0),MATCH($C111,'🔖 배합비 참조'!$B$1:$CE$1,0))/100,0),""))),"")</f>
        <v>0</v>
      </c>
      <c r="CF111" s="39" t="n">
        <f aca="false">IFERROR(IF($C111="","",IF($D111="","",IFERROR(ROUND($D111*INDEX('🔖 배합비 참조'!$B$2:$CE$83,MATCH("혼합제제(스테비아)",'🔖 배합비 참조'!$A$2:$A$83,0),MATCH($C111,'🔖 배합비 참조'!$B$1:$CE$1,0))/100,0),""))),"")</f>
        <v>0</v>
      </c>
      <c r="CG111" s="39" t="n">
        <f aca="false">IFERROR(IF($C111="","",IF($D111="","",IFERROR(ROUND($D111*INDEX('🔖 배합비 참조'!$B$2:$CE$83,MATCH("화이트초콜릿",'🔖 배합비 참조'!$A$2:$A$83,0),MATCH($C111,'🔖 배합비 참조'!$B$1:$CE$1,0))/100,0),""))),"")</f>
        <v>0</v>
      </c>
      <c r="CH111" s="39" t="n">
        <f aca="false">IFERROR(IF($C111="","",IF($D111="","",IFERROR(ROUND($D111*INDEX('🔖 배합비 참조'!$B$2:$CE$83,MATCH("흑미찹쌀(국내산)",'🔖 배합비 참조'!$A$2:$A$83,0),MATCH($C111,'🔖 배합비 참조'!$B$1:$CE$1,0))/100,0),""))),"")</f>
        <v>0</v>
      </c>
      <c r="CI111" s="39" t="n">
        <f aca="false">IFERROR(IF($C111="","",IF($D111="","",IFERROR(ROUND($D111*INDEX('🔖 배합비 참조'!$B$2:$CE$83,MATCH("찰옥수수전분(미국산)",'🔖 배합비 참조'!$A$2:$A$83,0),MATCH($C111,'🔖 배합비 참조'!$B$1:$CE$1,0))/100,0),""))),"")</f>
        <v>0</v>
      </c>
      <c r="CJ111" s="40"/>
      <c r="CL111" s="1" t="s">
        <v>239</v>
      </c>
    </row>
    <row r="112" customFormat="false" ht="18" hidden="false" customHeight="true" outlineLevel="0" collapsed="false">
      <c r="A112" s="41" t="n">
        <v>108</v>
      </c>
      <c r="B112" s="36" t="n">
        <v>45999</v>
      </c>
      <c r="C112" s="37" t="s">
        <v>147</v>
      </c>
      <c r="D112" s="38" t="n">
        <v>18</v>
      </c>
      <c r="E112" s="17"/>
      <c r="F112" s="17"/>
      <c r="G112" s="42" t="n">
        <f aca="false">IFERROR(IF($C112="","",IF($D112="","",IFERROR(ROUND($D112*INDEX('🔖 배합비 참조'!$B$2:$CE$83,MATCH("간장",'🔖 배합비 참조'!$A$2:$A$83,0),MATCH($C112,'🔖 배합비 참조'!$B$1:$CE$1,0))/100,0),""))),"")</f>
        <v>0</v>
      </c>
      <c r="H112" s="42" t="n">
        <f aca="false">IFERROR(IF($C112="","",IF($D112="","",IFERROR(ROUND($D112*INDEX('🔖 배합비 참조'!$B$2:$CE$83,MATCH("강낭콩((울타리콩))",'🔖 배합비 참조'!$A$2:$A$83,0),MATCH($C112,'🔖 배합비 참조'!$B$1:$CE$1,0))/100,0),""))),"")</f>
        <v>0</v>
      </c>
      <c r="I112" s="42" t="n">
        <f aca="false">IFERROR(IF($C112="","",IF($D112="","",IFERROR(ROUND($D112*INDEX('🔖 배합비 참조'!$B$2:$CE$83,MATCH("건조딸기다이스(외국산)",'🔖 배합비 참조'!$A$2:$A$83,0),MATCH($C112,'🔖 배합비 참조'!$B$1:$CE$1,0))/100,0),""))),"")</f>
        <v>0</v>
      </c>
      <c r="J112" s="42" t="n">
        <f aca="false">IFERROR(IF($C112="","",IF($D112="","",IFERROR(ROUND($D112*INDEX('🔖 배합비 참조'!$B$2:$CE$83,MATCH("건포도",'🔖 배합비 참조'!$A$2:$A$83,0),MATCH($C112,'🔖 배합비 참조'!$B$1:$CE$1,0))/100,0),""))),"")</f>
        <v>0</v>
      </c>
      <c r="K112" s="42" t="n">
        <f aca="false">IFERROR(IF($C112="","",IF($D112="","",IFERROR(ROUND($D112*INDEX('🔖 배합비 참조'!$B$2:$CE$83,MATCH("건호박채(중국산)",'🔖 배합비 참조'!$A$2:$A$83,0),MATCH($C112,'🔖 배합비 참조'!$B$1:$CE$1,0))/100,0),""))),"")</f>
        <v>0</v>
      </c>
      <c r="L112" s="42" t="n">
        <f aca="false">IFERROR(IF($C112="","",IF($D112="","",IFERROR(ROUND($D112*INDEX('🔖 배합비 참조'!$B$2:$CE$83,MATCH("검정깨(흑임자)",'🔖 배합비 참조'!$A$2:$A$83,0),MATCH($C112,'🔖 배합비 참조'!$B$1:$CE$1,0))/100,0),""))),"")</f>
        <v>0</v>
      </c>
      <c r="M112" s="42" t="n">
        <f aca="false">IFERROR(IF($C112="","",IF($D112="","",IFERROR(ROUND($D112*INDEX('🔖 배합비 참조'!$B$2:$CE$83,MATCH("검정콩",'🔖 배합비 참조'!$A$2:$A$83,0),MATCH($C112,'🔖 배합비 참조'!$B$1:$CE$1,0))/100,0),""))),"")</f>
        <v>0</v>
      </c>
      <c r="N112" s="42" t="n">
        <f aca="false">IFERROR(IF($C112="","",IF($D112="","",IFERROR(ROUND($D112*INDEX('🔖 배합비 참조'!$B$2:$CE$83,MATCH("계피가루",'🔖 배합비 참조'!$A$2:$A$83,0),MATCH($C112,'🔖 배합비 참조'!$B$1:$CE$1,0))/100,0),""))),"")</f>
        <v>0</v>
      </c>
      <c r="O112" s="42" t="n">
        <f aca="false">IFERROR(IF($C112="","",IF($D112="","",IFERROR(ROUND($D112*INDEX('🔖 배합비 참조'!$B$2:$CE$83,MATCH("고구마가루",'🔖 배합비 참조'!$A$2:$A$83,0),MATCH($C112,'🔖 배합비 참조'!$B$1:$CE$1,0))/100,0),""))),"")</f>
        <v>0</v>
      </c>
      <c r="P112" s="42" t="n">
        <f aca="false">IFERROR(IF($C112="","",IF($D112="","",IFERROR(ROUND($D112*INDEX('🔖 배합비 참조'!$B$2:$CE$83,MATCH("고구마무스",'🔖 배합비 참조'!$A$2:$A$83,0),MATCH($C112,'🔖 배합비 참조'!$B$1:$CE$1,0))/100,0),""))),"")</f>
        <v>0</v>
      </c>
      <c r="Q112" s="42" t="n">
        <f aca="false">IFERROR(IF($C112="","",IF($D112="","",IFERROR(ROUND($D112*INDEX('🔖 배합비 참조'!$B$2:$CE$83,MATCH("고려엉겅퀴((곤드레)국내산)",'🔖 배합비 참조'!$A$2:$A$83,0),MATCH($C112,'🔖 배합비 참조'!$B$1:$CE$1,0))/100,0),""))),"")</f>
        <v>0</v>
      </c>
      <c r="R112" s="42" t="n">
        <f aca="false">IFERROR(IF($C112="","",IF($D112="","",IFERROR(ROUND($D112*INDEX('🔖 배합비 참조'!$B$2:$CE$83,MATCH("기타가공품(복분자가루)",'🔖 배합비 참조'!$A$2:$A$83,0),MATCH($C112,'🔖 배합비 참조'!$B$1:$CE$1,0))/100,0),""))),"")</f>
        <v>0</v>
      </c>
      <c r="S112" s="42" t="n">
        <f aca="false">IFERROR(IF($C112="","",IF($D112="","",IFERROR(ROUND($D112*INDEX('🔖 배합비 참조'!$B$2:$CE$83,MATCH("기타가공품(슈퍼소프트엠)",'🔖 배합비 참조'!$A$2:$A$83,0),MATCH($C112,'🔖 배합비 참조'!$B$1:$CE$1,0))/100,0),""))),"")</f>
        <v>0</v>
      </c>
      <c r="T112" s="42" t="n">
        <f aca="false">IFERROR(IF($C112="","",IF($D112="","",IFERROR(ROUND($D112*INDEX('🔖 배합비 참조'!$B$2:$CE$83,MATCH("기타가공품(파인소프트 E-티)",'🔖 배합비 참조'!$A$2:$A$83,0),MATCH($C112,'🔖 배합비 참조'!$B$1:$CE$1,0))/100,0),""))),"")</f>
        <v>0</v>
      </c>
      <c r="U112" s="42" t="n">
        <f aca="false">IFERROR(IF($C112="","",IF($D112="","",IFERROR(ROUND($D112*INDEX('🔖 배합비 참조'!$B$2:$CE$83,MATCH("기타가공품(프리미엄카스테라가루)",'🔖 배합비 참조'!$A$2:$A$83,0),MATCH($C112,'🔖 배합비 참조'!$B$1:$CE$1,0))/100,0),""))),"")</f>
        <v>0</v>
      </c>
      <c r="V112" s="42" t="n">
        <f aca="false">IFERROR(IF($C112="","",IF($D112="","",IFERROR(ROUND($D112*INDEX('🔖 배합비 참조'!$B$2:$CE$83,MATCH("기타가공품(흑임자가루)",'🔖 배합비 참조'!$A$2:$A$83,0),MATCH($C112,'🔖 배합비 참조'!$B$1:$CE$1,0))/100,0),""))),"")</f>
        <v>0</v>
      </c>
      <c r="W112" s="42" t="n">
        <f aca="false">IFERROR(IF($C112="","",IF($D112="","",IFERROR(ROUND($D112*INDEX('🔖 배합비 참조'!$B$2:$CE$83,MATCH("기타설탕(흑설탕)",'🔖 배합비 참조'!$A$2:$A$83,0),MATCH($C112,'🔖 배합비 참조'!$B$1:$CE$1,0))/100,0),""))),"")</f>
        <v>0</v>
      </c>
      <c r="X112" s="42" t="n">
        <f aca="false">IFERROR(IF($C112="","",IF($D112="","",IFERROR(ROUND($D112*INDEX('🔖 배합비 참조'!$B$2:$CE$83,MATCH("냉동쑥(국내산)",'🔖 배합비 참조'!$A$2:$A$83,0),MATCH($C112,'🔖 배합비 참조'!$B$1:$CE$1,0))/100,0),""))),"")</f>
        <v>0</v>
      </c>
      <c r="Y112" s="42" t="n">
        <f aca="false">IFERROR(IF($C112="","",IF($D112="","",IFERROR(ROUND($D112*INDEX('🔖 배합비 참조'!$B$2:$CE$83,MATCH("냉동증숙고구마(중국산)",'🔖 배합비 참조'!$A$2:$A$83,0),MATCH($C112,'🔖 배합비 참조'!$B$1:$CE$1,0))/100,0),""))),"")</f>
        <v>0</v>
      </c>
      <c r="Z112" s="42" t="n">
        <f aca="false">IFERROR(IF($C112="","",IF($D112="","",IFERROR(ROUND($D112*INDEX('🔖 배합비 참조'!$B$2:$CE$83,MATCH("녹차가루",'🔖 배합비 참조'!$A$2:$A$83,0),MATCH($C112,'🔖 배합비 참조'!$B$1:$CE$1,0))/100,0),""))),"")</f>
        <v>0</v>
      </c>
      <c r="AA112" s="42" t="n">
        <f aca="false">IFERROR(IF($C112="","",IF($D112="","",IFERROR(ROUND($D112*INDEX('🔖 배합비 참조'!$B$2:$CE$83,MATCH("다크초콜릿 컴파운드칩",'🔖 배합비 참조'!$A$2:$A$83,0),MATCH($C112,'🔖 배합비 참조'!$B$1:$CE$1,0))/100,0),""))),"")</f>
        <v>0</v>
      </c>
      <c r="AB112" s="42" t="n">
        <f aca="false">IFERROR(IF($C112="","",IF($D112="","",IFERROR(ROUND($D112*INDEX('🔖 배합비 참조'!$B$2:$CE$83,MATCH("단호박분말(중국산)",'🔖 배합비 참조'!$A$2:$A$83,0),MATCH($C112,'🔖 배합비 참조'!$B$1:$CE$1,0))/100,0),""))),"")</f>
        <v>0</v>
      </c>
      <c r="AC112" s="42" t="n">
        <f aca="false">IFERROR(IF($C112="","",IF($D112="","",IFERROR(ROUND($D112*INDEX('🔖 배합비 참조'!$B$2:$CE$83,MATCH("당류가공품(단호박농축액)",'🔖 배합비 참조'!$A$2:$A$83,0),MATCH($C112,'🔖 배합비 참조'!$B$1:$CE$1,0))/100,0),""))),"")</f>
        <v>0</v>
      </c>
      <c r="AD112" s="42" t="n">
        <f aca="false">IFERROR(IF($C112="","",IF($D112="","",IFERROR(ROUND($D112*INDEX('🔖 배합비 참조'!$B$2:$CE$83,MATCH("당류가공품(알룰로스,에리스리톨,스테비올배당체혼합)",'🔖 배합비 참조'!$A$2:$A$83,0),MATCH($C112,'🔖 배합비 참조'!$B$1:$CE$1,0))/100,0),""))),"")</f>
        <v>0</v>
      </c>
      <c r="AE112" s="42" t="n">
        <f aca="false">IFERROR(IF($C112="","",IF($D112="","",IFERROR(ROUND($D112*INDEX('🔖 배합비 참조'!$B$2:$CE$83,MATCH("당류가공품(알룰로스제로파우더)",'🔖 배합비 참조'!$A$2:$A$83,0),MATCH($C112,'🔖 배합비 참조'!$B$1:$CE$1,0))/100,0),""))),"")</f>
        <v>0</v>
      </c>
      <c r="AF112" s="42" t="n">
        <f aca="false">IFERROR(IF($C112="","",IF($D112="","",IFERROR(ROUND($D112*INDEX('🔖 배합비 참조'!$B$2:$CE$83,MATCH("당절임(완두배기)",'🔖 배합비 참조'!$A$2:$A$83,0),MATCH($C112,'🔖 배합비 참조'!$B$1:$CE$1,0))/100,0),""))),"")</f>
        <v>0</v>
      </c>
      <c r="AG112" s="42" t="n">
        <f aca="false">IFERROR(IF($C112="","",IF($D112="","",IFERROR(ROUND($D112*INDEX('🔖 배합비 참조'!$B$2:$CE$83,MATCH("대추농축액",'🔖 배합비 참조'!$A$2:$A$83,0),MATCH($C112,'🔖 배합비 참조'!$B$1:$CE$1,0))/100,0),""))),"")</f>
        <v>1</v>
      </c>
      <c r="AH112" s="42" t="n">
        <f aca="false">IFERROR(IF($C112="","",IF($D112="","",IFERROR(ROUND($D112*INDEX('🔖 배합비 참조'!$B$2:$CE$83,MATCH("대추채(국내산)",'🔖 배합비 참조'!$A$2:$A$83,0),MATCH($C112,'🔖 배합비 참조'!$B$1:$CE$1,0))/100,0),""))),"")</f>
        <v>0</v>
      </c>
      <c r="AI112" s="42" t="n">
        <f aca="false">IFERROR(IF($C112="","",IF($D112="","",IFERROR(ROUND($D112*INDEX('🔖 배합비 참조'!$B$2:$CE$83,MATCH("동부(미얀마산)",'🔖 배합비 참조'!$A$2:$A$83,0),MATCH($C112,'🔖 배합비 참조'!$B$1:$CE$1,0))/100,0),""))),"")</f>
        <v>0</v>
      </c>
      <c r="AJ112" s="42" t="n">
        <f aca="false">IFERROR(IF($C112="","",IF($D112="","",IFERROR(ROUND($D112*INDEX('🔖 배합비 참조'!$B$2:$CE$83,MATCH("두류가공품(백옥앙금)",'🔖 배합비 참조'!$A$2:$A$83,0),MATCH($C112,'🔖 배합비 참조'!$B$1:$CE$1,0))/100,0),""))),"")</f>
        <v>0</v>
      </c>
      <c r="AK112" s="42" t="n">
        <f aca="false">IFERROR(IF($C112="","",IF($D112="","",IFERROR(ROUND($D112*INDEX('🔖 배합비 참조'!$B$2:$CE$83,MATCH("두류가공품(콩고물)",'🔖 배합비 참조'!$A$2:$A$83,0),MATCH($C112,'🔖 배합비 참조'!$B$1:$CE$1,0))/100,0),""))),"")</f>
        <v>0</v>
      </c>
      <c r="AL112" s="42" t="n">
        <f aca="false">IFERROR(IF($C112="","",IF($D112="","",IFERROR(ROUND($D112*INDEX('🔖 배합비 참조'!$B$2:$CE$83,MATCH("두류가공품(통팥고물)",'🔖 배합비 참조'!$A$2:$A$83,0),MATCH($C112,'🔖 배합비 참조'!$B$1:$CE$1,0))/100,0),""))),"")</f>
        <v>0</v>
      </c>
      <c r="AM112" s="42" t="n">
        <f aca="false">IFERROR(IF($C112="","",IF($D112="","",IFERROR(ROUND($D112*INDEX('🔖 배합비 참조'!$B$2:$CE$83,MATCH("딸기레진",'🔖 배합비 참조'!$A$2:$A$83,0),MATCH($C112,'🔖 배합비 참조'!$B$1:$CE$1,0))/100,0),""))),"")</f>
        <v>0</v>
      </c>
      <c r="AN112" s="42" t="n">
        <f aca="false">IFERROR(IF($C112="","",IF($D112="","",IFERROR(ROUND($D112*INDEX('🔖 배합비 참조'!$B$2:$CE$83,MATCH("딸기분말(스트로우베리에이드(분말))",'🔖 배합비 참조'!$A$2:$A$83,0),MATCH($C112,'🔖 배합비 참조'!$B$1:$CE$1,0))/100,0),""))),"")</f>
        <v>0</v>
      </c>
      <c r="AO112" s="42" t="n">
        <f aca="false">IFERROR(IF($C112="","",IF($D112="","",IFERROR(ROUND($D112*INDEX('🔖 배합비 참조'!$B$2:$CE$83,MATCH("마스카포네치즈",'🔖 배합비 참조'!$A$2:$A$83,0),MATCH($C112,'🔖 배합비 참조'!$B$1:$CE$1,0))/100,0),""))),"")</f>
        <v>0</v>
      </c>
      <c r="AP112" s="42" t="n">
        <f aca="false">IFERROR(IF($C112="","",IF($D112="","",IFERROR(ROUND($D112*INDEX('🔖 배합비 참조'!$B$2:$CE$83,MATCH("마카다미아분태(호주산)",'🔖 배합비 참조'!$A$2:$A$83,0),MATCH($C112,'🔖 배합비 참조'!$B$1:$CE$1,0))/100,0),""))),"")</f>
        <v>0</v>
      </c>
      <c r="AQ112" s="42" t="n">
        <f aca="false">IFERROR(IF($C112="","",IF($D112="","",IFERROR(ROUND($D112*INDEX('🔖 배합비 참조'!$B$2:$CE$83,MATCH("멥쌀(국내산)",'🔖 배합비 참조'!$A$2:$A$83,0),MATCH($C112,'🔖 배합비 참조'!$B$1:$CE$1,0))/100,0),""))),"")</f>
        <v>0</v>
      </c>
      <c r="AR112" s="42" t="n">
        <f aca="false">IFERROR(IF($C112="","",IF($D112="","",IFERROR(ROUND($D112*INDEX('🔖 배합비 참조'!$B$2:$CE$83,MATCH("모시잎(국내산)",'🔖 배합비 참조'!$A$2:$A$83,0),MATCH($C112,'🔖 배합비 참조'!$B$1:$CE$1,0))/100,0),""))),"")</f>
        <v>0</v>
      </c>
      <c r="AS112" s="42" t="n">
        <f aca="false">IFERROR(IF($C112="","",IF($D112="","",IFERROR(ROUND($D112*INDEX('🔖 배합비 참조'!$B$2:$CE$83,MATCH("물엿(저당물엿)",'🔖 배합비 참조'!$A$2:$A$83,0),MATCH($C112,'🔖 배합비 참조'!$B$1:$CE$1,0))/100,0),""))),"")</f>
        <v>0</v>
      </c>
      <c r="AT112" s="42" t="n">
        <f aca="false">IFERROR(IF($C112="","",IF($D112="","",IFERROR(ROUND($D112*INDEX('🔖 배합비 참조'!$B$2:$CE$83,MATCH("밤다이스",'🔖 배합비 참조'!$A$2:$A$83,0),MATCH($C112,'🔖 배합비 참조'!$B$1:$CE$1,0))/100,0),""))),"")</f>
        <v>1</v>
      </c>
      <c r="AU112" s="42" t="n">
        <f aca="false">IFERROR(IF($C112="","",IF($D112="","",IFERROR(ROUND($D112*INDEX('🔖 배합비 참조'!$B$2:$CE$83,MATCH("변성전분(타피오카전분)",'🔖 배합비 참조'!$A$2:$A$83,0),MATCH($C112,'🔖 배합비 참조'!$B$1:$CE$1,0))/100,0),""))),"")</f>
        <v>0</v>
      </c>
      <c r="AV112" s="42" t="n">
        <f aca="false">IFERROR(IF($C112="","",IF($D112="","",IFERROR(ROUND($D112*INDEX('🔖 배합비 참조'!$B$2:$CE$83,MATCH("복음땅콩분태",'🔖 배합비 참조'!$A$2:$A$83,0),MATCH($C112,'🔖 배합비 참조'!$B$1:$CE$1,0))/100,0),""))),"")</f>
        <v>0</v>
      </c>
      <c r="AW112" s="42" t="n">
        <f aca="false">IFERROR(IF($C112="","",IF($D112="","",IFERROR(ROUND($D112*INDEX('🔖 배합비 참조'!$B$2:$CE$83,MATCH("사양벌꿀(국내산)",'🔖 배합비 참조'!$A$2:$A$83,0),MATCH($C112,'🔖 배합비 참조'!$B$1:$CE$1,0))/100,0),""))),"")</f>
        <v>0</v>
      </c>
      <c r="AX112" s="42" t="n">
        <f aca="false">IFERROR(IF($C112="","",IF($D112="","",IFERROR(ROUND($D112*INDEX('🔖 배합비 참조'!$B$2:$CE$83,MATCH("생크림",'🔖 배합비 참조'!$A$2:$A$83,0),MATCH($C112,'🔖 배합비 참조'!$B$1:$CE$1,0))/100,0),""))),"")</f>
        <v>0</v>
      </c>
      <c r="AY112" s="42" t="n">
        <f aca="false">IFERROR(IF($C112="","",IF($D112="","",IFERROR(ROUND($D112*INDEX('🔖 배합비 참조'!$B$2:$CE$83,MATCH("서양호박(국내산,뉴질랜드산)",'🔖 배합비 참조'!$A$2:$A$83,0),MATCH($C112,'🔖 배합비 참조'!$B$1:$CE$1,0))/100,0),""))),"")</f>
        <v>0</v>
      </c>
      <c r="AZ112" s="42" t="n">
        <f aca="false">IFERROR(IF($C112="","",IF($D112="","",IFERROR(ROUND($D112*INDEX('🔖 배합비 참조'!$B$2:$CE$83,MATCH("설탕",'🔖 배합비 참조'!$A$2:$A$83,0),MATCH($C112,'🔖 배합비 참조'!$B$1:$CE$1,0))/100,0),""))),"")</f>
        <v>2</v>
      </c>
      <c r="BA112" s="42" t="n">
        <f aca="false">IFERROR(IF($C112="","",IF($D112="","",IFERROR(ROUND($D112*INDEX('🔖 배합비 참조'!$B$2:$CE$83,MATCH("스트로우베리 에이드 후레쉬",'🔖 배합비 참조'!$A$2:$A$83,0),MATCH($C112,'🔖 배합비 참조'!$B$1:$CE$1,0))/100,0),""))),"")</f>
        <v>0</v>
      </c>
      <c r="BB112" s="42" t="n">
        <f aca="false">IFERROR(IF($C112="","",IF($D112="","",IFERROR(ROUND($D112*INDEX('🔖 배합비 참조'!$B$2:$CE$83,MATCH("식물성기름혼합제제(분홍)",'🔖 배합비 참조'!$A$2:$A$83,0),MATCH($C112,'🔖 배합비 참조'!$B$1:$CE$1,0))/100,0),""))),"")</f>
        <v>0</v>
      </c>
      <c r="BC112" s="42" t="n">
        <f aca="false">IFERROR(IF($C112="","",IF($D112="","",IFERROR(ROUND($D112*INDEX('🔖 배합비 참조'!$B$2:$CE$83,MATCH("식물성기름혼합제제(초록)",'🔖 배합비 참조'!$A$2:$A$83,0),MATCH($C112,'🔖 배합비 참조'!$B$1:$CE$1,0))/100,0),""))),"")</f>
        <v>0</v>
      </c>
      <c r="BD112" s="42" t="n">
        <f aca="false">IFERROR(IF($C112="","",IF($D112="","",IFERROR(ROUND($D112*INDEX('🔖 배합비 참조'!$B$2:$CE$83,MATCH("식물성기름혼합제제(황색)",'🔖 배합비 참조'!$A$2:$A$83,0),MATCH($C112,'🔖 배합비 참조'!$B$1:$CE$1,0))/100,0),""))),"")</f>
        <v>0</v>
      </c>
      <c r="BE112" s="42" t="n">
        <f aca="false">IFERROR(IF($C112="","",IF($D112="","",IFERROR(ROUND($D112*INDEX('🔖 배합비 참조'!$B$2:$CE$83,MATCH("쑥가루(국내산)",'🔖 배합비 참조'!$A$2:$A$83,0),MATCH($C112,'🔖 배합비 참조'!$B$1:$CE$1,0))/100,0),""))),"")</f>
        <v>0</v>
      </c>
      <c r="BF112" s="42" t="n">
        <f aca="false">IFERROR(IF($C112="","",IF($D112="","",IFERROR(ROUND($D112*INDEX('🔖 배합비 참조'!$B$2:$CE$83,MATCH("아몬드슬라이스",'🔖 배합비 참조'!$A$2:$A$83,0),MATCH($C112,'🔖 배합비 참조'!$B$1:$CE$1,0))/100,0),""))),"")</f>
        <v>0</v>
      </c>
      <c r="BG112" s="42" t="n">
        <f aca="false">IFERROR(IF($C112="","",IF($D112="","",IFERROR(ROUND($D112*INDEX('🔖 배합비 참조'!$B$2:$CE$83,MATCH("알룰로오스(국내산)",'🔖 배합비 참조'!$A$2:$A$83,0),MATCH($C112,'🔖 배합비 참조'!$B$1:$CE$1,0))/100,0),""))),"")</f>
        <v>0</v>
      </c>
      <c r="BH112" s="42" t="n">
        <f aca="false">IFERROR(IF($C112="","",IF($D112="","",IFERROR(ROUND($D112*INDEX('🔖 배합비 참조'!$B$2:$CE$83,MATCH("연유",'🔖 배합비 참조'!$A$2:$A$83,0),MATCH($C112,'🔖 배합비 참조'!$B$1:$CE$1,0))/100,0),""))),"")</f>
        <v>0</v>
      </c>
      <c r="BI112" s="42" t="n">
        <f aca="false">IFERROR(IF($C112="","",IF($D112="","",IFERROR(ROUND($D112*INDEX('🔖 배합비 참조'!$B$2:$CE$83,MATCH("옥수수전분",'🔖 배합비 참조'!$A$2:$A$83,0),MATCH($C112,'🔖 배합비 참조'!$B$1:$CE$1,0))/100,0),""))),"")</f>
        <v>0</v>
      </c>
      <c r="BJ112" s="42" t="n">
        <f aca="false">IFERROR(IF($C112="","",IF($D112="","",IFERROR(ROUND($D112*INDEX('🔖 배합비 참조'!$B$2:$CE$83,MATCH("완두배기",'🔖 배합비 참조'!$A$2:$A$83,0),MATCH($C112,'🔖 배합비 참조'!$B$1:$CE$1,0))/100,0),""))),"")</f>
        <v>0</v>
      </c>
      <c r="BK112" s="42" t="n">
        <f aca="false">IFERROR(IF($C112="","",IF($D112="","",IFERROR(ROUND($D112*INDEX('🔖 배합비 참조'!$B$2:$CE$83,MATCH("우유(국내산)",'🔖 배합비 참조'!$A$2:$A$83,0),MATCH($C112,'🔖 배합비 참조'!$B$1:$CE$1,0))/100,0),""))),"")</f>
        <v>0</v>
      </c>
      <c r="BL112" s="42" t="n">
        <f aca="false">IFERROR(IF($C112="","",IF($D112="","",IFERROR(ROUND($D112*INDEX('🔖 배합비 참조'!$B$2:$CE$83,MATCH("자색고구마가루(중국산)",'🔖 배합비 참조'!$A$2:$A$83,0),MATCH($C112,'🔖 배합비 참조'!$B$1:$CE$1,0))/100,0),""))),"")</f>
        <v>0</v>
      </c>
      <c r="BM112" s="42" t="n">
        <f aca="false">IFERROR(IF($C112="","",IF($D112="","",IFERROR(ROUND($D112*INDEX('🔖 배합비 참조'!$B$2:$CE$83,MATCH("자연치즈(체다치즈)",'🔖 배합비 참조'!$A$2:$A$83,0),MATCH($C112,'🔖 배합비 참조'!$B$1:$CE$1,0))/100,0),""))),"")</f>
        <v>0</v>
      </c>
      <c r="BN112" s="42" t="n">
        <f aca="false">IFERROR(IF($C112="","",IF($D112="","",IFERROR(ROUND($D112*INDEX('🔖 배합비 참조'!$B$2:$CE$83,MATCH("정제수",'🔖 배합비 참조'!$A$2:$A$83,0),MATCH($C112,'🔖 배합비 참조'!$B$1:$CE$1,0))/100,0),""))),"")</f>
        <v>3</v>
      </c>
      <c r="BO112" s="42" t="n">
        <f aca="false">IFERROR(IF($C112="","",IF($D112="","",IFERROR(ROUND($D112*INDEX('🔖 배합비 참조'!$B$2:$CE$83,MATCH("젤라틴",'🔖 배합비 참조'!$A$2:$A$83,0),MATCH($C112,'🔖 배합비 참조'!$B$1:$CE$1,0))/100,0),""))),"")</f>
        <v>0</v>
      </c>
      <c r="BP112" s="42" t="n">
        <f aca="false">IFERROR(IF($C112="","",IF($D112="","",IFERROR(ROUND($D112*INDEX('🔖 배합비 참조'!$B$2:$CE$83,MATCH("조림류(백옥앙금)",'🔖 배합비 참조'!$A$2:$A$83,0),MATCH($C112,'🔖 배합비 참조'!$B$1:$CE$1,0))/100,0),""))),"")</f>
        <v>0</v>
      </c>
      <c r="BQ112" s="42" t="n">
        <f aca="false">IFERROR(IF($C112="","",IF($D112="","",IFERROR(ROUND($D112*INDEX('🔖 배합비 참조'!$B$2:$CE$83,MATCH("조림류(통팥앙금)",'🔖 배합비 참조'!$A$2:$A$83,0),MATCH($C112,'🔖 배합비 참조'!$B$1:$CE$1,0))/100,0),""))),"")</f>
        <v>0</v>
      </c>
      <c r="BR112" s="42" t="n">
        <f aca="false">IFERROR(IF($C112="","",IF($D112="","",IFERROR(ROUND($D112*INDEX('🔖 배합비 참조'!$B$2:$CE$83,MATCH("준초콜릿(외국산)",'🔖 배합비 참조'!$A$2:$A$83,0),MATCH($C112,'🔖 배합비 참조'!$B$1:$CE$1,0))/100,0),""))),"")</f>
        <v>0</v>
      </c>
      <c r="BS112" s="42" t="n">
        <f aca="false">IFERROR(IF($C112="","",IF($D112="","",IFERROR(ROUND($D112*INDEX('🔖 배합비 참조'!$B$2:$CE$83,MATCH("중력분",'🔖 배합비 참조'!$A$2:$A$83,0),MATCH($C112,'🔖 배합비 참조'!$B$1:$CE$1,0))/100,0),""))),"")</f>
        <v>0</v>
      </c>
      <c r="BT112" s="42" t="n">
        <f aca="false">IFERROR(IF($C112="","",IF($D112="","",IFERROR(ROUND($D112*INDEX('🔖 배합비 참조'!$B$2:$CE$83,MATCH("참깨(인도산,나이지리아산,탄자니아산,미얀마산)",'🔖 배합비 참조'!$A$2:$A$83,0),MATCH($C112,'🔖 배합비 참조'!$B$1:$CE$1,0))/100,0),""))),"")</f>
        <v>0</v>
      </c>
      <c r="BU112" s="42" t="n">
        <f aca="false">IFERROR(IF($C112="","",IF($D112="","",IFERROR(ROUND($D112*INDEX('🔖 배합비 참조'!$B$2:$CE$83,MATCH("찹쌀(국내산)",'🔖 배합비 참조'!$A$2:$A$83,0),MATCH($C112,'🔖 배합비 참조'!$B$1:$CE$1,0))/100,0),""))),"")</f>
        <v>10</v>
      </c>
      <c r="BV112" s="42" t="n">
        <f aca="false">IFERROR(IF($C112="","",IF($D112="","",IFERROR(ROUND($D112*INDEX('🔖 배합비 참조'!$B$2:$CE$83,MATCH("천일염",'🔖 배합비 참조'!$A$2:$A$83,0),MATCH($C112,'🔖 배합비 참조'!$B$1:$CE$1,0))/100,0),""))),"")</f>
        <v>0</v>
      </c>
      <c r="BW112" s="42" t="n">
        <f aca="false">IFERROR(IF($C112="","",IF($D112="","",IFERROR(ROUND($D112*INDEX('🔖 배합비 참조'!$B$2:$CE$83,MATCH("치즈 [크림치즈]",'🔖 배합비 참조'!$A$2:$A$83,0),MATCH($C112,'🔖 배합비 참조'!$B$1:$CE$1,0))/100,0),""))),"")</f>
        <v>0</v>
      </c>
      <c r="BX112" s="42" t="n">
        <f aca="false">IFERROR(IF($C112="","",IF($D112="","",IFERROR(ROUND($D112*INDEX('🔖 배합비 참조'!$B$2:$CE$83,MATCH("코코아가공품류(코코아분말)",'🔖 배합비 참조'!$A$2:$A$83,0),MATCH($C112,'🔖 배합비 참조'!$B$1:$CE$1,0))/100,0),""))),"")</f>
        <v>0</v>
      </c>
      <c r="BY112" s="42" t="n">
        <f aca="false">IFERROR(IF($C112="","",IF($D112="","",IFERROR(ROUND($D112*INDEX('🔖 배합비 참조'!$B$2:$CE$83,MATCH("콩기름(대두유)",'🔖 배합비 참조'!$A$2:$A$83,0),MATCH($C112,'🔖 배합비 참조'!$B$1:$CE$1,0))/100,0),""))),"")</f>
        <v>0</v>
      </c>
      <c r="BZ112" s="42" t="n">
        <f aca="false">IFERROR(IF($C112="","",IF($D112="","",IFERROR(ROUND($D112*INDEX('🔖 배합비 참조'!$B$2:$CE$83,MATCH("해바라기씨앗",'🔖 배합비 참조'!$A$2:$A$83,0),MATCH($C112,'🔖 배합비 참조'!$B$1:$CE$1,0))/100,0),""))),"")</f>
        <v>0</v>
      </c>
      <c r="CA112" s="42" t="n">
        <f aca="false">IFERROR(IF($C112="","",IF($D112="","",IFERROR(ROUND($D112*INDEX('🔖 배합비 참조'!$B$2:$CE$83,MATCH("현미(국내산)",'🔖 배합비 참조'!$A$2:$A$83,0),MATCH($C112,'🔖 배합비 참조'!$B$1:$CE$1,0))/100,0),""))),"")</f>
        <v>0</v>
      </c>
      <c r="CB112" s="42" t="n">
        <f aca="false">IFERROR(IF($C112="","",IF($D112="","",IFERROR(ROUND($D112*INDEX('🔖 배합비 참조'!$B$2:$CE$83,MATCH("현미멥쌀(국내산)",'🔖 배합비 참조'!$A$2:$A$83,0),MATCH($C112,'🔖 배합비 참조'!$B$1:$CE$1,0))/100,0),""))),"")</f>
        <v>0</v>
      </c>
      <c r="CC112" s="42" t="n">
        <f aca="false">IFERROR(IF($C112="","",IF($D112="","",IFERROR(ROUND($D112*INDEX('🔖 배합비 참조'!$B$2:$CE$83,MATCH("호두분태(미국산)",'🔖 배합비 참조'!$A$2:$A$83,0),MATCH($C112,'🔖 배합비 참조'!$B$1:$CE$1,0))/100,0),""))),"")</f>
        <v>0</v>
      </c>
      <c r="CD112" s="42" t="n">
        <f aca="false">IFERROR(IF($C112="","",IF($D112="","",IFERROR(ROUND($D112*INDEX('🔖 배합비 참조'!$B$2:$CE$83,MATCH("호박씨앗(외국산)",'🔖 배합비 참조'!$A$2:$A$83,0),MATCH($C112,'🔖 배합비 참조'!$B$1:$CE$1,0))/100,0),""))),"")</f>
        <v>0</v>
      </c>
      <c r="CE112" s="42" t="n">
        <f aca="false">IFERROR(IF($C112="","",IF($D112="","",IFERROR(ROUND($D112*INDEX('🔖 배합비 참조'!$B$2:$CE$83,MATCH("혼합제제(떡용에스텔)",'🔖 배합비 참조'!$A$2:$A$83,0),MATCH($C112,'🔖 배합비 참조'!$B$1:$CE$1,0))/100,0),""))),"")</f>
        <v>0</v>
      </c>
      <c r="CF112" s="42" t="n">
        <f aca="false">IFERROR(IF($C112="","",IF($D112="","",IFERROR(ROUND($D112*INDEX('🔖 배합비 참조'!$B$2:$CE$83,MATCH("혼합제제(스테비아)",'🔖 배합비 참조'!$A$2:$A$83,0),MATCH($C112,'🔖 배합비 참조'!$B$1:$CE$1,0))/100,0),""))),"")</f>
        <v>0</v>
      </c>
      <c r="CG112" s="42" t="n">
        <f aca="false">IFERROR(IF($C112="","",IF($D112="","",IFERROR(ROUND($D112*INDEX('🔖 배합비 참조'!$B$2:$CE$83,MATCH("화이트초콜릿",'🔖 배합비 참조'!$A$2:$A$83,0),MATCH($C112,'🔖 배합비 참조'!$B$1:$CE$1,0))/100,0),""))),"")</f>
        <v>0</v>
      </c>
      <c r="CH112" s="42" t="n">
        <f aca="false">IFERROR(IF($C112="","",IF($D112="","",IFERROR(ROUND($D112*INDEX('🔖 배합비 참조'!$B$2:$CE$83,MATCH("흑미찹쌀(국내산)",'🔖 배합비 참조'!$A$2:$A$83,0),MATCH($C112,'🔖 배합비 참조'!$B$1:$CE$1,0))/100,0),""))),"")</f>
        <v>0</v>
      </c>
      <c r="CI112" s="42" t="n">
        <f aca="false">IFERROR(IF($C112="","",IF($D112="","",IFERROR(ROUND($D112*INDEX('🔖 배합비 참조'!$B$2:$CE$83,MATCH("찰옥수수전분(미국산)",'🔖 배합비 참조'!$A$2:$A$83,0),MATCH($C112,'🔖 배합비 참조'!$B$1:$CE$1,0))/100,0),""))),"")</f>
        <v>0</v>
      </c>
      <c r="CJ112" s="40"/>
      <c r="CL112" s="1" t="s">
        <v>239</v>
      </c>
    </row>
    <row r="113" customFormat="false" ht="18" hidden="false" customHeight="true" outlineLevel="0" collapsed="false">
      <c r="A113" s="35" t="n">
        <v>109</v>
      </c>
      <c r="B113" s="36" t="n">
        <v>45999</v>
      </c>
      <c r="C113" s="37" t="s">
        <v>184</v>
      </c>
      <c r="D113" s="38" t="n">
        <v>75</v>
      </c>
      <c r="E113" s="13"/>
      <c r="F113" s="13"/>
      <c r="G113" s="39" t="n">
        <f aca="false">IFERROR(IF($C113="","",IF($D113="","",IFERROR(ROUND($D113*INDEX('🔖 배합비 참조'!$B$2:$CE$83,MATCH("간장",'🔖 배합비 참조'!$A$2:$A$83,0),MATCH($C113,'🔖 배합비 참조'!$B$1:$CE$1,0))/100,0),""))),"")</f>
        <v>0</v>
      </c>
      <c r="H113" s="39" t="n">
        <f aca="false">IFERROR(IF($C113="","",IF($D113="","",IFERROR(ROUND($D113*INDEX('🔖 배합비 참조'!$B$2:$CE$83,MATCH("강낭콩((울타리콩))",'🔖 배합비 참조'!$A$2:$A$83,0),MATCH($C113,'🔖 배합비 참조'!$B$1:$CE$1,0))/100,0),""))),"")</f>
        <v>0</v>
      </c>
      <c r="I113" s="39" t="n">
        <f aca="false">IFERROR(IF($C113="","",IF($D113="","",IFERROR(ROUND($D113*INDEX('🔖 배합비 참조'!$B$2:$CE$83,MATCH("건조딸기다이스(외국산)",'🔖 배합비 참조'!$A$2:$A$83,0),MATCH($C113,'🔖 배합비 참조'!$B$1:$CE$1,0))/100,0),""))),"")</f>
        <v>0</v>
      </c>
      <c r="J113" s="39" t="n">
        <f aca="false">IFERROR(IF($C113="","",IF($D113="","",IFERROR(ROUND($D113*INDEX('🔖 배합비 참조'!$B$2:$CE$83,MATCH("건포도",'🔖 배합비 참조'!$A$2:$A$83,0),MATCH($C113,'🔖 배합비 참조'!$B$1:$CE$1,0))/100,0),""))),"")</f>
        <v>0</v>
      </c>
      <c r="K113" s="39" t="n">
        <f aca="false">IFERROR(IF($C113="","",IF($D113="","",IFERROR(ROUND($D113*INDEX('🔖 배합비 참조'!$B$2:$CE$83,MATCH("건호박채(중국산)",'🔖 배합비 참조'!$A$2:$A$83,0),MATCH($C113,'🔖 배합비 참조'!$B$1:$CE$1,0))/100,0),""))),"")</f>
        <v>0</v>
      </c>
      <c r="L113" s="39" t="n">
        <f aca="false">IFERROR(IF($C113="","",IF($D113="","",IFERROR(ROUND($D113*INDEX('🔖 배합비 참조'!$B$2:$CE$83,MATCH("검정깨(흑임자)",'🔖 배합비 참조'!$A$2:$A$83,0),MATCH($C113,'🔖 배합비 참조'!$B$1:$CE$1,0))/100,0),""))),"")</f>
        <v>0</v>
      </c>
      <c r="M113" s="39" t="n">
        <f aca="false">IFERROR(IF($C113="","",IF($D113="","",IFERROR(ROUND($D113*INDEX('🔖 배합비 참조'!$B$2:$CE$83,MATCH("검정콩",'🔖 배합비 참조'!$A$2:$A$83,0),MATCH($C113,'🔖 배합비 참조'!$B$1:$CE$1,0))/100,0),""))),"")</f>
        <v>0</v>
      </c>
      <c r="N113" s="39" t="n">
        <f aca="false">IFERROR(IF($C113="","",IF($D113="","",IFERROR(ROUND($D113*INDEX('🔖 배합비 참조'!$B$2:$CE$83,MATCH("계피가루",'🔖 배합비 참조'!$A$2:$A$83,0),MATCH($C113,'🔖 배합비 참조'!$B$1:$CE$1,0))/100,0),""))),"")</f>
        <v>0</v>
      </c>
      <c r="O113" s="39" t="n">
        <f aca="false">IFERROR(IF($C113="","",IF($D113="","",IFERROR(ROUND($D113*INDEX('🔖 배합비 참조'!$B$2:$CE$83,MATCH("고구마가루",'🔖 배합비 참조'!$A$2:$A$83,0),MATCH($C113,'🔖 배합비 참조'!$B$1:$CE$1,0))/100,0),""))),"")</f>
        <v>0</v>
      </c>
      <c r="P113" s="39" t="n">
        <f aca="false">IFERROR(IF($C113="","",IF($D113="","",IFERROR(ROUND($D113*INDEX('🔖 배합비 참조'!$B$2:$CE$83,MATCH("고구마무스",'🔖 배합비 참조'!$A$2:$A$83,0),MATCH($C113,'🔖 배합비 참조'!$B$1:$CE$1,0))/100,0),""))),"")</f>
        <v>0</v>
      </c>
      <c r="Q113" s="39" t="n">
        <f aca="false">IFERROR(IF($C113="","",IF($D113="","",IFERROR(ROUND($D113*INDEX('🔖 배합비 참조'!$B$2:$CE$83,MATCH("고려엉겅퀴((곤드레)국내산)",'🔖 배합비 참조'!$A$2:$A$83,0),MATCH($C113,'🔖 배합비 참조'!$B$1:$CE$1,0))/100,0),""))),"")</f>
        <v>0</v>
      </c>
      <c r="R113" s="39" t="n">
        <f aca="false">IFERROR(IF($C113="","",IF($D113="","",IFERROR(ROUND($D113*INDEX('🔖 배합비 참조'!$B$2:$CE$83,MATCH("기타가공품(복분자가루)",'🔖 배합비 참조'!$A$2:$A$83,0),MATCH($C113,'🔖 배합비 참조'!$B$1:$CE$1,0))/100,0),""))),"")</f>
        <v>0</v>
      </c>
      <c r="S113" s="39" t="n">
        <f aca="false">IFERROR(IF($C113="","",IF($D113="","",IFERROR(ROUND($D113*INDEX('🔖 배합비 참조'!$B$2:$CE$83,MATCH("기타가공품(슈퍼소프트엠)",'🔖 배합비 참조'!$A$2:$A$83,0),MATCH($C113,'🔖 배합비 참조'!$B$1:$CE$1,0))/100,0),""))),"")</f>
        <v>0</v>
      </c>
      <c r="T113" s="39" t="n">
        <f aca="false">IFERROR(IF($C113="","",IF($D113="","",IFERROR(ROUND($D113*INDEX('🔖 배합비 참조'!$B$2:$CE$83,MATCH("기타가공품(파인소프트 E-티)",'🔖 배합비 참조'!$A$2:$A$83,0),MATCH($C113,'🔖 배합비 참조'!$B$1:$CE$1,0))/100,0),""))),"")</f>
        <v>0</v>
      </c>
      <c r="U113" s="39" t="n">
        <f aca="false">IFERROR(IF($C113="","",IF($D113="","",IFERROR(ROUND($D113*INDEX('🔖 배합비 참조'!$B$2:$CE$83,MATCH("기타가공품(프리미엄카스테라가루)",'🔖 배합비 참조'!$A$2:$A$83,0),MATCH($C113,'🔖 배합비 참조'!$B$1:$CE$1,0))/100,0),""))),"")</f>
        <v>0</v>
      </c>
      <c r="V113" s="39" t="n">
        <f aca="false">IFERROR(IF($C113="","",IF($D113="","",IFERROR(ROUND($D113*INDEX('🔖 배합비 참조'!$B$2:$CE$83,MATCH("기타가공품(흑임자가루)",'🔖 배합비 참조'!$A$2:$A$83,0),MATCH($C113,'🔖 배합비 참조'!$B$1:$CE$1,0))/100,0),""))),"")</f>
        <v>0</v>
      </c>
      <c r="W113" s="39" t="n">
        <f aca="false">IFERROR(IF($C113="","",IF($D113="","",IFERROR(ROUND($D113*INDEX('🔖 배합비 참조'!$B$2:$CE$83,MATCH("기타설탕(흑설탕)",'🔖 배합비 참조'!$A$2:$A$83,0),MATCH($C113,'🔖 배합비 참조'!$B$1:$CE$1,0))/100,0),""))),"")</f>
        <v>0</v>
      </c>
      <c r="X113" s="39" t="n">
        <f aca="false">IFERROR(IF($C113="","",IF($D113="","",IFERROR(ROUND($D113*INDEX('🔖 배합비 참조'!$B$2:$CE$83,MATCH("냉동쑥(국내산)",'🔖 배합비 참조'!$A$2:$A$83,0),MATCH($C113,'🔖 배합비 참조'!$B$1:$CE$1,0))/100,0),""))),"")</f>
        <v>0</v>
      </c>
      <c r="Y113" s="39" t="n">
        <f aca="false">IFERROR(IF($C113="","",IF($D113="","",IFERROR(ROUND($D113*INDEX('🔖 배합비 참조'!$B$2:$CE$83,MATCH("냉동증숙고구마(중국산)",'🔖 배합비 참조'!$A$2:$A$83,0),MATCH($C113,'🔖 배합비 참조'!$B$1:$CE$1,0))/100,0),""))),"")</f>
        <v>0</v>
      </c>
      <c r="Z113" s="39" t="n">
        <f aca="false">IFERROR(IF($C113="","",IF($D113="","",IFERROR(ROUND($D113*INDEX('🔖 배합비 참조'!$B$2:$CE$83,MATCH("녹차가루",'🔖 배합비 참조'!$A$2:$A$83,0),MATCH($C113,'🔖 배합비 참조'!$B$1:$CE$1,0))/100,0),""))),"")</f>
        <v>0</v>
      </c>
      <c r="AA113" s="39" t="n">
        <f aca="false">IFERROR(IF($C113="","",IF($D113="","",IFERROR(ROUND($D113*INDEX('🔖 배합비 참조'!$B$2:$CE$83,MATCH("다크초콜릿 컴파운드칩",'🔖 배합비 참조'!$A$2:$A$83,0),MATCH($C113,'🔖 배합비 참조'!$B$1:$CE$1,0))/100,0),""))),"")</f>
        <v>0</v>
      </c>
      <c r="AB113" s="39" t="n">
        <f aca="false">IFERROR(IF($C113="","",IF($D113="","",IFERROR(ROUND($D113*INDEX('🔖 배합비 참조'!$B$2:$CE$83,MATCH("단호박분말(중국산)",'🔖 배합비 참조'!$A$2:$A$83,0),MATCH($C113,'🔖 배합비 참조'!$B$1:$CE$1,0))/100,0),""))),"")</f>
        <v>0</v>
      </c>
      <c r="AC113" s="39" t="n">
        <f aca="false">IFERROR(IF($C113="","",IF($D113="","",IFERROR(ROUND($D113*INDEX('🔖 배합비 참조'!$B$2:$CE$83,MATCH("당류가공품(단호박농축액)",'🔖 배합비 참조'!$A$2:$A$83,0),MATCH($C113,'🔖 배합비 참조'!$B$1:$CE$1,0))/100,0),""))),"")</f>
        <v>0</v>
      </c>
      <c r="AD113" s="39" t="n">
        <f aca="false">IFERROR(IF($C113="","",IF($D113="","",IFERROR(ROUND($D113*INDEX('🔖 배합비 참조'!$B$2:$CE$83,MATCH("당류가공품(알룰로스,에리스리톨,스테비올배당체혼합)",'🔖 배합비 참조'!$A$2:$A$83,0),MATCH($C113,'🔖 배합비 참조'!$B$1:$CE$1,0))/100,0),""))),"")</f>
        <v>0</v>
      </c>
      <c r="AE113" s="39" t="n">
        <f aca="false">IFERROR(IF($C113="","",IF($D113="","",IFERROR(ROUND($D113*INDEX('🔖 배합비 참조'!$B$2:$CE$83,MATCH("당류가공품(알룰로스제로파우더)",'🔖 배합비 참조'!$A$2:$A$83,0),MATCH($C113,'🔖 배합비 참조'!$B$1:$CE$1,0))/100,0),""))),"")</f>
        <v>0</v>
      </c>
      <c r="AF113" s="39" t="n">
        <f aca="false">IFERROR(IF($C113="","",IF($D113="","",IFERROR(ROUND($D113*INDEX('🔖 배합비 참조'!$B$2:$CE$83,MATCH("당절임(완두배기)",'🔖 배합비 참조'!$A$2:$A$83,0),MATCH($C113,'🔖 배합비 참조'!$B$1:$CE$1,0))/100,0),""))),"")</f>
        <v>0</v>
      </c>
      <c r="AG113" s="39" t="n">
        <f aca="false">IFERROR(IF($C113="","",IF($D113="","",IFERROR(ROUND($D113*INDEX('🔖 배합비 참조'!$B$2:$CE$83,MATCH("대추농축액",'🔖 배합비 참조'!$A$2:$A$83,0),MATCH($C113,'🔖 배합비 참조'!$B$1:$CE$1,0))/100,0),""))),"")</f>
        <v>0</v>
      </c>
      <c r="AH113" s="39" t="n">
        <f aca="false">IFERROR(IF($C113="","",IF($D113="","",IFERROR(ROUND($D113*INDEX('🔖 배합비 참조'!$B$2:$CE$83,MATCH("대추채(국내산)",'🔖 배합비 참조'!$A$2:$A$83,0),MATCH($C113,'🔖 배합비 참조'!$B$1:$CE$1,0))/100,0),""))),"")</f>
        <v>0</v>
      </c>
      <c r="AI113" s="39" t="n">
        <f aca="false">IFERROR(IF($C113="","",IF($D113="","",IFERROR(ROUND($D113*INDEX('🔖 배합비 참조'!$B$2:$CE$83,MATCH("동부(미얀마산)",'🔖 배합비 참조'!$A$2:$A$83,0),MATCH($C113,'🔖 배합비 참조'!$B$1:$CE$1,0))/100,0),""))),"")</f>
        <v>0</v>
      </c>
      <c r="AJ113" s="39" t="n">
        <f aca="false">IFERROR(IF($C113="","",IF($D113="","",IFERROR(ROUND($D113*INDEX('🔖 배합비 참조'!$B$2:$CE$83,MATCH("두류가공품(백옥앙금)",'🔖 배합비 참조'!$A$2:$A$83,0),MATCH($C113,'🔖 배합비 참조'!$B$1:$CE$1,0))/100,0),""))),"")</f>
        <v>0</v>
      </c>
      <c r="AK113" s="39" t="n">
        <f aca="false">IFERROR(IF($C113="","",IF($D113="","",IFERROR(ROUND($D113*INDEX('🔖 배합비 참조'!$B$2:$CE$83,MATCH("두류가공품(콩고물)",'🔖 배합비 참조'!$A$2:$A$83,0),MATCH($C113,'🔖 배합비 참조'!$B$1:$CE$1,0))/100,0),""))),"")</f>
        <v>0</v>
      </c>
      <c r="AL113" s="39" t="n">
        <f aca="false">IFERROR(IF($C113="","",IF($D113="","",IFERROR(ROUND($D113*INDEX('🔖 배합비 참조'!$B$2:$CE$83,MATCH("두류가공품(통팥고물)",'🔖 배합비 참조'!$A$2:$A$83,0),MATCH($C113,'🔖 배합비 참조'!$B$1:$CE$1,0))/100,0),""))),"")</f>
        <v>0</v>
      </c>
      <c r="AM113" s="39" t="n">
        <f aca="false">IFERROR(IF($C113="","",IF($D113="","",IFERROR(ROUND($D113*INDEX('🔖 배합비 참조'!$B$2:$CE$83,MATCH("딸기레진",'🔖 배합비 참조'!$A$2:$A$83,0),MATCH($C113,'🔖 배합비 참조'!$B$1:$CE$1,0))/100,0),""))),"")</f>
        <v>0</v>
      </c>
      <c r="AN113" s="39" t="n">
        <f aca="false">IFERROR(IF($C113="","",IF($D113="","",IFERROR(ROUND($D113*INDEX('🔖 배합비 참조'!$B$2:$CE$83,MATCH("딸기분말(스트로우베리에이드(분말))",'🔖 배합비 참조'!$A$2:$A$83,0),MATCH($C113,'🔖 배합비 참조'!$B$1:$CE$1,0))/100,0),""))),"")</f>
        <v>0</v>
      </c>
      <c r="AO113" s="39" t="n">
        <f aca="false">IFERROR(IF($C113="","",IF($D113="","",IFERROR(ROUND($D113*INDEX('🔖 배합비 참조'!$B$2:$CE$83,MATCH("마스카포네치즈",'🔖 배합비 참조'!$A$2:$A$83,0),MATCH($C113,'🔖 배합비 참조'!$B$1:$CE$1,0))/100,0),""))),"")</f>
        <v>0</v>
      </c>
      <c r="AP113" s="39" t="n">
        <f aca="false">IFERROR(IF($C113="","",IF($D113="","",IFERROR(ROUND($D113*INDEX('🔖 배합비 참조'!$B$2:$CE$83,MATCH("마카다미아분태(호주산)",'🔖 배합비 참조'!$A$2:$A$83,0),MATCH($C113,'🔖 배합비 참조'!$B$1:$CE$1,0))/100,0),""))),"")</f>
        <v>0</v>
      </c>
      <c r="AQ113" s="39" t="n">
        <f aca="false">IFERROR(IF($C113="","",IF($D113="","",IFERROR(ROUND($D113*INDEX('🔖 배합비 참조'!$B$2:$CE$83,MATCH("멥쌀(국내산)",'🔖 배합비 참조'!$A$2:$A$83,0),MATCH($C113,'🔖 배합비 참조'!$B$1:$CE$1,0))/100,0),""))),"")</f>
        <v>52</v>
      </c>
      <c r="AR113" s="39" t="n">
        <f aca="false">IFERROR(IF($C113="","",IF($D113="","",IFERROR(ROUND($D113*INDEX('🔖 배합비 참조'!$B$2:$CE$83,MATCH("모시잎(국내산)",'🔖 배합비 참조'!$A$2:$A$83,0),MATCH($C113,'🔖 배합비 참조'!$B$1:$CE$1,0))/100,0),""))),"")</f>
        <v>0</v>
      </c>
      <c r="AS113" s="39" t="n">
        <f aca="false">IFERROR(IF($C113="","",IF($D113="","",IFERROR(ROUND($D113*INDEX('🔖 배합비 참조'!$B$2:$CE$83,MATCH("물엿(저당물엿)",'🔖 배합비 참조'!$A$2:$A$83,0),MATCH($C113,'🔖 배합비 참조'!$B$1:$CE$1,0))/100,0),""))),"")</f>
        <v>0</v>
      </c>
      <c r="AT113" s="39" t="n">
        <f aca="false">IFERROR(IF($C113="","",IF($D113="","",IFERROR(ROUND($D113*INDEX('🔖 배합비 참조'!$B$2:$CE$83,MATCH("밤다이스",'🔖 배합비 참조'!$A$2:$A$83,0),MATCH($C113,'🔖 배합비 참조'!$B$1:$CE$1,0))/100,0),""))),"")</f>
        <v>0</v>
      </c>
      <c r="AU113" s="39" t="n">
        <f aca="false">IFERROR(IF($C113="","",IF($D113="","",IFERROR(ROUND($D113*INDEX('🔖 배합비 참조'!$B$2:$CE$83,MATCH("변성전분(타피오카전분)",'🔖 배합비 참조'!$A$2:$A$83,0),MATCH($C113,'🔖 배합비 참조'!$B$1:$CE$1,0))/100,0),""))),"")</f>
        <v>0</v>
      </c>
      <c r="AV113" s="39" t="n">
        <f aca="false">IFERROR(IF($C113="","",IF($D113="","",IFERROR(ROUND($D113*INDEX('🔖 배합비 참조'!$B$2:$CE$83,MATCH("복음땅콩분태",'🔖 배합비 참조'!$A$2:$A$83,0),MATCH($C113,'🔖 배합비 참조'!$B$1:$CE$1,0))/100,0),""))),"")</f>
        <v>0</v>
      </c>
      <c r="AW113" s="39" t="n">
        <f aca="false">IFERROR(IF($C113="","",IF($D113="","",IFERROR(ROUND($D113*INDEX('🔖 배합비 참조'!$B$2:$CE$83,MATCH("사양벌꿀(국내산)",'🔖 배합비 참조'!$A$2:$A$83,0),MATCH($C113,'🔖 배합비 참조'!$B$1:$CE$1,0))/100,0),""))),"")</f>
        <v>0</v>
      </c>
      <c r="AX113" s="39" t="n">
        <f aca="false">IFERROR(IF($C113="","",IF($D113="","",IFERROR(ROUND($D113*INDEX('🔖 배합비 참조'!$B$2:$CE$83,MATCH("생크림",'🔖 배합비 참조'!$A$2:$A$83,0),MATCH($C113,'🔖 배합비 참조'!$B$1:$CE$1,0))/100,0),""))),"")</f>
        <v>0</v>
      </c>
      <c r="AY113" s="39" t="n">
        <f aca="false">IFERROR(IF($C113="","",IF($D113="","",IFERROR(ROUND($D113*INDEX('🔖 배합비 참조'!$B$2:$CE$83,MATCH("서양호박(국내산,뉴질랜드산)",'🔖 배합비 참조'!$A$2:$A$83,0),MATCH($C113,'🔖 배합비 참조'!$B$1:$CE$1,0))/100,0),""))),"")</f>
        <v>0</v>
      </c>
      <c r="AZ113" s="39" t="n">
        <f aca="false">IFERROR(IF($C113="","",IF($D113="","",IFERROR(ROUND($D113*INDEX('🔖 배합비 참조'!$B$2:$CE$83,MATCH("설탕",'🔖 배합비 참조'!$A$2:$A$83,0),MATCH($C113,'🔖 배합비 참조'!$B$1:$CE$1,0))/100,0),""))),"")</f>
        <v>8</v>
      </c>
      <c r="BA113" s="39" t="n">
        <f aca="false">IFERROR(IF($C113="","",IF($D113="","",IFERROR(ROUND($D113*INDEX('🔖 배합비 참조'!$B$2:$CE$83,MATCH("스트로우베리 에이드 후레쉬",'🔖 배합비 참조'!$A$2:$A$83,0),MATCH($C113,'🔖 배합비 참조'!$B$1:$CE$1,0))/100,0),""))),"")</f>
        <v>0</v>
      </c>
      <c r="BB113" s="39" t="n">
        <f aca="false">IFERROR(IF($C113="","",IF($D113="","",IFERROR(ROUND($D113*INDEX('🔖 배합비 참조'!$B$2:$CE$83,MATCH("식물성기름혼합제제(분홍)",'🔖 배합비 참조'!$A$2:$A$83,0),MATCH($C113,'🔖 배합비 참조'!$B$1:$CE$1,0))/100,0),""))),"")</f>
        <v>0</v>
      </c>
      <c r="BC113" s="39" t="n">
        <f aca="false">IFERROR(IF($C113="","",IF($D113="","",IFERROR(ROUND($D113*INDEX('🔖 배합비 참조'!$B$2:$CE$83,MATCH("식물성기름혼합제제(초록)",'🔖 배합비 참조'!$A$2:$A$83,0),MATCH($C113,'🔖 배합비 참조'!$B$1:$CE$1,0))/100,0),""))),"")</f>
        <v>0</v>
      </c>
      <c r="BD113" s="39" t="n">
        <f aca="false">IFERROR(IF($C113="","",IF($D113="","",IFERROR(ROUND($D113*INDEX('🔖 배합비 참조'!$B$2:$CE$83,MATCH("식물성기름혼합제제(황색)",'🔖 배합비 참조'!$A$2:$A$83,0),MATCH($C113,'🔖 배합비 참조'!$B$1:$CE$1,0))/100,0),""))),"")</f>
        <v>0</v>
      </c>
      <c r="BE113" s="39" t="n">
        <f aca="false">IFERROR(IF($C113="","",IF($D113="","",IFERROR(ROUND($D113*INDEX('🔖 배합비 참조'!$B$2:$CE$83,MATCH("쑥가루(국내산)",'🔖 배합비 참조'!$A$2:$A$83,0),MATCH($C113,'🔖 배합비 참조'!$B$1:$CE$1,0))/100,0),""))),"")</f>
        <v>0</v>
      </c>
      <c r="BF113" s="39" t="n">
        <f aca="false">IFERROR(IF($C113="","",IF($D113="","",IFERROR(ROUND($D113*INDEX('🔖 배합비 참조'!$B$2:$CE$83,MATCH("아몬드슬라이스",'🔖 배합비 참조'!$A$2:$A$83,0),MATCH($C113,'🔖 배합비 참조'!$B$1:$CE$1,0))/100,0),""))),"")</f>
        <v>0</v>
      </c>
      <c r="BG113" s="39" t="n">
        <f aca="false">IFERROR(IF($C113="","",IF($D113="","",IFERROR(ROUND($D113*INDEX('🔖 배합비 참조'!$B$2:$CE$83,MATCH("알룰로오스(국내산)",'🔖 배합비 참조'!$A$2:$A$83,0),MATCH($C113,'🔖 배합비 참조'!$B$1:$CE$1,0))/100,0),""))),"")</f>
        <v>0</v>
      </c>
      <c r="BH113" s="39" t="n">
        <f aca="false">IFERROR(IF($C113="","",IF($D113="","",IFERROR(ROUND($D113*INDEX('🔖 배합비 참조'!$B$2:$CE$83,MATCH("연유",'🔖 배합비 참조'!$A$2:$A$83,0),MATCH($C113,'🔖 배합비 참조'!$B$1:$CE$1,0))/100,0),""))),"")</f>
        <v>0</v>
      </c>
      <c r="BI113" s="39" t="n">
        <f aca="false">IFERROR(IF($C113="","",IF($D113="","",IFERROR(ROUND($D113*INDEX('🔖 배합비 참조'!$B$2:$CE$83,MATCH("옥수수전분",'🔖 배합비 참조'!$A$2:$A$83,0),MATCH($C113,'🔖 배합비 참조'!$B$1:$CE$1,0))/100,0),""))),"")</f>
        <v>0</v>
      </c>
      <c r="BJ113" s="39" t="n">
        <f aca="false">IFERROR(IF($C113="","",IF($D113="","",IFERROR(ROUND($D113*INDEX('🔖 배합비 참조'!$B$2:$CE$83,MATCH("완두배기",'🔖 배합비 참조'!$A$2:$A$83,0),MATCH($C113,'🔖 배합비 참조'!$B$1:$CE$1,0))/100,0),""))),"")</f>
        <v>0</v>
      </c>
      <c r="BK113" s="39" t="n">
        <f aca="false">IFERROR(IF($C113="","",IF($D113="","",IFERROR(ROUND($D113*INDEX('🔖 배합비 참조'!$B$2:$CE$83,MATCH("우유(국내산)",'🔖 배합비 참조'!$A$2:$A$83,0),MATCH($C113,'🔖 배합비 참조'!$B$1:$CE$1,0))/100,0),""))),"")</f>
        <v>7</v>
      </c>
      <c r="BL113" s="39" t="n">
        <f aca="false">IFERROR(IF($C113="","",IF($D113="","",IFERROR(ROUND($D113*INDEX('🔖 배합비 참조'!$B$2:$CE$83,MATCH("자색고구마가루(중국산)",'🔖 배합비 참조'!$A$2:$A$83,0),MATCH($C113,'🔖 배합비 참조'!$B$1:$CE$1,0))/100,0),""))),"")</f>
        <v>0</v>
      </c>
      <c r="BM113" s="39" t="n">
        <f aca="false">IFERROR(IF($C113="","",IF($D113="","",IFERROR(ROUND($D113*INDEX('🔖 배합비 참조'!$B$2:$CE$83,MATCH("자연치즈(체다치즈)",'🔖 배합비 참조'!$A$2:$A$83,0),MATCH($C113,'🔖 배합비 참조'!$B$1:$CE$1,0))/100,0),""))),"")</f>
        <v>0</v>
      </c>
      <c r="BN113" s="39" t="n">
        <f aca="false">IFERROR(IF($C113="","",IF($D113="","",IFERROR(ROUND($D113*INDEX('🔖 배합비 참조'!$B$2:$CE$83,MATCH("정제수",'🔖 배합비 참조'!$A$2:$A$83,0),MATCH($C113,'🔖 배합비 참조'!$B$1:$CE$1,0))/100,0),""))),"")</f>
        <v>7</v>
      </c>
      <c r="BO113" s="39" t="n">
        <f aca="false">IFERROR(IF($C113="","",IF($D113="","",IFERROR(ROUND($D113*INDEX('🔖 배합비 참조'!$B$2:$CE$83,MATCH("젤라틴",'🔖 배합비 참조'!$A$2:$A$83,0),MATCH($C113,'🔖 배합비 참조'!$B$1:$CE$1,0))/100,0),""))),"")</f>
        <v>0</v>
      </c>
      <c r="BP113" s="39" t="n">
        <f aca="false">IFERROR(IF($C113="","",IF($D113="","",IFERROR(ROUND($D113*INDEX('🔖 배합비 참조'!$B$2:$CE$83,MATCH("조림류(백옥앙금)",'🔖 배합비 참조'!$A$2:$A$83,0),MATCH($C113,'🔖 배합비 참조'!$B$1:$CE$1,0))/100,0),""))),"")</f>
        <v>0</v>
      </c>
      <c r="BQ113" s="39" t="n">
        <f aca="false">IFERROR(IF($C113="","",IF($D113="","",IFERROR(ROUND($D113*INDEX('🔖 배합비 참조'!$B$2:$CE$83,MATCH("조림류(통팥앙금)",'🔖 배합비 참조'!$A$2:$A$83,0),MATCH($C113,'🔖 배합비 참조'!$B$1:$CE$1,0))/100,0),""))),"")</f>
        <v>0</v>
      </c>
      <c r="BR113" s="39" t="n">
        <f aca="false">IFERROR(IF($C113="","",IF($D113="","",IFERROR(ROUND($D113*INDEX('🔖 배합비 참조'!$B$2:$CE$83,MATCH("준초콜릿(외국산)",'🔖 배합비 참조'!$A$2:$A$83,0),MATCH($C113,'🔖 배합비 참조'!$B$1:$CE$1,0))/100,0),""))),"")</f>
        <v>0</v>
      </c>
      <c r="BS113" s="39" t="n">
        <f aca="false">IFERROR(IF($C113="","",IF($D113="","",IFERROR(ROUND($D113*INDEX('🔖 배합비 참조'!$B$2:$CE$83,MATCH("중력분",'🔖 배합비 참조'!$A$2:$A$83,0),MATCH($C113,'🔖 배합비 참조'!$B$1:$CE$1,0))/100,0),""))),"")</f>
        <v>0</v>
      </c>
      <c r="BT113" s="39" t="n">
        <f aca="false">IFERROR(IF($C113="","",IF($D113="","",IFERROR(ROUND($D113*INDEX('🔖 배합비 참조'!$B$2:$CE$83,MATCH("참깨(인도산,나이지리아산,탄자니아산,미얀마산)",'🔖 배합비 참조'!$A$2:$A$83,0),MATCH($C113,'🔖 배합비 참조'!$B$1:$CE$1,0))/100,0),""))),"")</f>
        <v>0</v>
      </c>
      <c r="BU113" s="39" t="n">
        <f aca="false">IFERROR(IF($C113="","",IF($D113="","",IFERROR(ROUND($D113*INDEX('🔖 배합비 참조'!$B$2:$CE$83,MATCH("찹쌀(국내산)",'🔖 배합비 참조'!$A$2:$A$83,0),MATCH($C113,'🔖 배합비 참조'!$B$1:$CE$1,0))/100,0),""))),"")</f>
        <v>0</v>
      </c>
      <c r="BV113" s="39" t="n">
        <f aca="false">IFERROR(IF($C113="","",IF($D113="","",IFERROR(ROUND($D113*INDEX('🔖 배합비 참조'!$B$2:$CE$83,MATCH("천일염",'🔖 배합비 참조'!$A$2:$A$83,0),MATCH($C113,'🔖 배합비 참조'!$B$1:$CE$1,0))/100,0),""))),"")</f>
        <v>1</v>
      </c>
      <c r="BW113" s="39" t="n">
        <f aca="false">IFERROR(IF($C113="","",IF($D113="","",IFERROR(ROUND($D113*INDEX('🔖 배합비 참조'!$B$2:$CE$83,MATCH("치즈 [크림치즈]",'🔖 배합비 참조'!$A$2:$A$83,0),MATCH($C113,'🔖 배합비 참조'!$B$1:$CE$1,0))/100,0),""))),"")</f>
        <v>0</v>
      </c>
      <c r="BX113" s="39" t="n">
        <f aca="false">IFERROR(IF($C113="","",IF($D113="","",IFERROR(ROUND($D113*INDEX('🔖 배합비 참조'!$B$2:$CE$83,MATCH("코코아가공품류(코코아분말)",'🔖 배합비 참조'!$A$2:$A$83,0),MATCH($C113,'🔖 배합비 참조'!$B$1:$CE$1,0))/100,0),""))),"")</f>
        <v>0</v>
      </c>
      <c r="BY113" s="39" t="n">
        <f aca="false">IFERROR(IF($C113="","",IF($D113="","",IFERROR(ROUND($D113*INDEX('🔖 배합비 참조'!$B$2:$CE$83,MATCH("콩기름(대두유)",'🔖 배합비 참조'!$A$2:$A$83,0),MATCH($C113,'🔖 배합비 참조'!$B$1:$CE$1,0))/100,0),""))),"")</f>
        <v>0</v>
      </c>
      <c r="BZ113" s="39" t="n">
        <f aca="false">IFERROR(IF($C113="","",IF($D113="","",IFERROR(ROUND($D113*INDEX('🔖 배합비 참조'!$B$2:$CE$83,MATCH("해바라기씨앗",'🔖 배합비 참조'!$A$2:$A$83,0),MATCH($C113,'🔖 배합비 참조'!$B$1:$CE$1,0))/100,0),""))),"")</f>
        <v>0</v>
      </c>
      <c r="CA113" s="39" t="n">
        <f aca="false">IFERROR(IF($C113="","",IF($D113="","",IFERROR(ROUND($D113*INDEX('🔖 배합비 참조'!$B$2:$CE$83,MATCH("현미(국내산)",'🔖 배합비 참조'!$A$2:$A$83,0),MATCH($C113,'🔖 배합비 참조'!$B$1:$CE$1,0))/100,0),""))),"")</f>
        <v>0</v>
      </c>
      <c r="CB113" s="39" t="n">
        <f aca="false">IFERROR(IF($C113="","",IF($D113="","",IFERROR(ROUND($D113*INDEX('🔖 배합비 참조'!$B$2:$CE$83,MATCH("현미멥쌀(국내산)",'🔖 배합비 참조'!$A$2:$A$83,0),MATCH($C113,'🔖 배합비 참조'!$B$1:$CE$1,0))/100,0),""))),"")</f>
        <v>0</v>
      </c>
      <c r="CC113" s="39" t="n">
        <f aca="false">IFERROR(IF($C113="","",IF($D113="","",IFERROR(ROUND($D113*INDEX('🔖 배합비 참조'!$B$2:$CE$83,MATCH("호두분태(미국산)",'🔖 배합비 참조'!$A$2:$A$83,0),MATCH($C113,'🔖 배합비 참조'!$B$1:$CE$1,0))/100,0),""))),"")</f>
        <v>0</v>
      </c>
      <c r="CD113" s="39" t="n">
        <f aca="false">IFERROR(IF($C113="","",IF($D113="","",IFERROR(ROUND($D113*INDEX('🔖 배합비 참조'!$B$2:$CE$83,MATCH("호박씨앗(외국산)",'🔖 배합비 참조'!$A$2:$A$83,0),MATCH($C113,'🔖 배합비 참조'!$B$1:$CE$1,0))/100,0),""))),"")</f>
        <v>0</v>
      </c>
      <c r="CE113" s="39" t="n">
        <f aca="false">IFERROR(IF($C113="","",IF($D113="","",IFERROR(ROUND($D113*INDEX('🔖 배합비 참조'!$B$2:$CE$83,MATCH("혼합제제(떡용에스텔)",'🔖 배합비 참조'!$A$2:$A$83,0),MATCH($C113,'🔖 배합비 참조'!$B$1:$CE$1,0))/100,0),""))),"")</f>
        <v>0</v>
      </c>
      <c r="CF113" s="39" t="n">
        <f aca="false">IFERROR(IF($C113="","",IF($D113="","",IFERROR(ROUND($D113*INDEX('🔖 배합비 참조'!$B$2:$CE$83,MATCH("혼합제제(스테비아)",'🔖 배합비 참조'!$A$2:$A$83,0),MATCH($C113,'🔖 배합비 참조'!$B$1:$CE$1,0))/100,0),""))),"")</f>
        <v>0</v>
      </c>
      <c r="CG113" s="39" t="n">
        <f aca="false">IFERROR(IF($C113="","",IF($D113="","",IFERROR(ROUND($D113*INDEX('🔖 배합비 참조'!$B$2:$CE$83,MATCH("화이트초콜릿",'🔖 배합비 참조'!$A$2:$A$83,0),MATCH($C113,'🔖 배합비 참조'!$B$1:$CE$1,0))/100,0),""))),"")</f>
        <v>0</v>
      </c>
      <c r="CH113" s="39" t="n">
        <f aca="false">IFERROR(IF($C113="","",IF($D113="","",IFERROR(ROUND($D113*INDEX('🔖 배합비 참조'!$B$2:$CE$83,MATCH("흑미찹쌀(국내산)",'🔖 배합비 참조'!$A$2:$A$83,0),MATCH($C113,'🔖 배합비 참조'!$B$1:$CE$1,0))/100,0),""))),"")</f>
        <v>0</v>
      </c>
      <c r="CI113" s="39" t="n">
        <f aca="false">IFERROR(IF($C113="","",IF($D113="","",IFERROR(ROUND($D113*INDEX('🔖 배합비 참조'!$B$2:$CE$83,MATCH("찰옥수수전분(미국산)",'🔖 배합비 참조'!$A$2:$A$83,0),MATCH($C113,'🔖 배합비 참조'!$B$1:$CE$1,0))/100,0),""))),"")</f>
        <v>0</v>
      </c>
      <c r="CJ113" s="40"/>
      <c r="CL113" s="1" t="s">
        <v>239</v>
      </c>
    </row>
    <row r="114" customFormat="false" ht="18" hidden="false" customHeight="true" outlineLevel="0" collapsed="false">
      <c r="A114" s="41" t="n">
        <v>110</v>
      </c>
      <c r="B114" s="36" t="n">
        <v>46000</v>
      </c>
      <c r="C114" s="37" t="s">
        <v>144</v>
      </c>
      <c r="D114" s="38" t="n">
        <v>140</v>
      </c>
      <c r="E114" s="17"/>
      <c r="F114" s="17"/>
      <c r="G114" s="42" t="n">
        <f aca="false">IFERROR(IF($C114="","",IF($D114="","",IFERROR(ROUND($D114*INDEX('🔖 배합비 참조'!$B$2:$CE$83,MATCH("간장",'🔖 배합비 참조'!$A$2:$A$83,0),MATCH($C114,'🔖 배합비 참조'!$B$1:$CE$1,0))/100,0),""))),"")</f>
        <v>0</v>
      </c>
      <c r="H114" s="42" t="n">
        <f aca="false">IFERROR(IF($C114="","",IF($D114="","",IFERROR(ROUND($D114*INDEX('🔖 배합비 참조'!$B$2:$CE$83,MATCH("강낭콩((울타리콩))",'🔖 배합비 참조'!$A$2:$A$83,0),MATCH($C114,'🔖 배합비 참조'!$B$1:$CE$1,0))/100,0),""))),"")</f>
        <v>0</v>
      </c>
      <c r="I114" s="42" t="n">
        <f aca="false">IFERROR(IF($C114="","",IF($D114="","",IFERROR(ROUND($D114*INDEX('🔖 배합비 참조'!$B$2:$CE$83,MATCH("건조딸기다이스(외국산)",'🔖 배합비 참조'!$A$2:$A$83,0),MATCH($C114,'🔖 배합비 참조'!$B$1:$CE$1,0))/100,0),""))),"")</f>
        <v>0</v>
      </c>
      <c r="J114" s="42" t="n">
        <f aca="false">IFERROR(IF($C114="","",IF($D114="","",IFERROR(ROUND($D114*INDEX('🔖 배합비 참조'!$B$2:$CE$83,MATCH("건포도",'🔖 배합비 참조'!$A$2:$A$83,0),MATCH($C114,'🔖 배합비 참조'!$B$1:$CE$1,0))/100,0),""))),"")</f>
        <v>0</v>
      </c>
      <c r="K114" s="42" t="n">
        <f aca="false">IFERROR(IF($C114="","",IF($D114="","",IFERROR(ROUND($D114*INDEX('🔖 배합비 참조'!$B$2:$CE$83,MATCH("건호박채(중국산)",'🔖 배합비 참조'!$A$2:$A$83,0),MATCH($C114,'🔖 배합비 참조'!$B$1:$CE$1,0))/100,0),""))),"")</f>
        <v>0</v>
      </c>
      <c r="L114" s="42" t="n">
        <f aca="false">IFERROR(IF($C114="","",IF($D114="","",IFERROR(ROUND($D114*INDEX('🔖 배합비 참조'!$B$2:$CE$83,MATCH("검정깨(흑임자)",'🔖 배합비 참조'!$A$2:$A$83,0),MATCH($C114,'🔖 배합비 참조'!$B$1:$CE$1,0))/100,0),""))),"")</f>
        <v>0</v>
      </c>
      <c r="M114" s="42" t="n">
        <f aca="false">IFERROR(IF($C114="","",IF($D114="","",IFERROR(ROUND($D114*INDEX('🔖 배합비 참조'!$B$2:$CE$83,MATCH("검정콩",'🔖 배합비 참조'!$A$2:$A$83,0),MATCH($C114,'🔖 배합비 참조'!$B$1:$CE$1,0))/100,0),""))),"")</f>
        <v>0</v>
      </c>
      <c r="N114" s="42" t="n">
        <f aca="false">IFERROR(IF($C114="","",IF($D114="","",IFERROR(ROUND($D114*INDEX('🔖 배합비 참조'!$B$2:$CE$83,MATCH("계피가루",'🔖 배합비 참조'!$A$2:$A$83,0),MATCH($C114,'🔖 배합비 참조'!$B$1:$CE$1,0))/100,0),""))),"")</f>
        <v>0</v>
      </c>
      <c r="O114" s="42" t="n">
        <f aca="false">IFERROR(IF($C114="","",IF($D114="","",IFERROR(ROUND($D114*INDEX('🔖 배합비 참조'!$B$2:$CE$83,MATCH("고구마가루",'🔖 배합비 참조'!$A$2:$A$83,0),MATCH($C114,'🔖 배합비 참조'!$B$1:$CE$1,0))/100,0),""))),"")</f>
        <v>0</v>
      </c>
      <c r="P114" s="42" t="n">
        <f aca="false">IFERROR(IF($C114="","",IF($D114="","",IFERROR(ROUND($D114*INDEX('🔖 배합비 참조'!$B$2:$CE$83,MATCH("고구마무스",'🔖 배합비 참조'!$A$2:$A$83,0),MATCH($C114,'🔖 배합비 참조'!$B$1:$CE$1,0))/100,0),""))),"")</f>
        <v>0</v>
      </c>
      <c r="Q114" s="42" t="n">
        <f aca="false">IFERROR(IF($C114="","",IF($D114="","",IFERROR(ROUND($D114*INDEX('🔖 배합비 참조'!$B$2:$CE$83,MATCH("고려엉겅퀴((곤드레)국내산)",'🔖 배합비 참조'!$A$2:$A$83,0),MATCH($C114,'🔖 배합비 참조'!$B$1:$CE$1,0))/100,0),""))),"")</f>
        <v>0</v>
      </c>
      <c r="R114" s="42" t="n">
        <f aca="false">IFERROR(IF($C114="","",IF($D114="","",IFERROR(ROUND($D114*INDEX('🔖 배합비 참조'!$B$2:$CE$83,MATCH("기타가공품(복분자가루)",'🔖 배합비 참조'!$A$2:$A$83,0),MATCH($C114,'🔖 배합비 참조'!$B$1:$CE$1,0))/100,0),""))),"")</f>
        <v>0</v>
      </c>
      <c r="S114" s="42" t="n">
        <f aca="false">IFERROR(IF($C114="","",IF($D114="","",IFERROR(ROUND($D114*INDEX('🔖 배합비 참조'!$B$2:$CE$83,MATCH("기타가공품(슈퍼소프트엠)",'🔖 배합비 참조'!$A$2:$A$83,0),MATCH($C114,'🔖 배합비 참조'!$B$1:$CE$1,0))/100,0),""))),"")</f>
        <v>0</v>
      </c>
      <c r="T114" s="42" t="n">
        <f aca="false">IFERROR(IF($C114="","",IF($D114="","",IFERROR(ROUND($D114*INDEX('🔖 배합비 참조'!$B$2:$CE$83,MATCH("기타가공품(파인소프트 E-티)",'🔖 배합비 참조'!$A$2:$A$83,0),MATCH($C114,'🔖 배합비 참조'!$B$1:$CE$1,0))/100,0),""))),"")</f>
        <v>0</v>
      </c>
      <c r="U114" s="42" t="n">
        <f aca="false">IFERROR(IF($C114="","",IF($D114="","",IFERROR(ROUND($D114*INDEX('🔖 배합비 참조'!$B$2:$CE$83,MATCH("기타가공품(프리미엄카스테라가루)",'🔖 배합비 참조'!$A$2:$A$83,0),MATCH($C114,'🔖 배합비 참조'!$B$1:$CE$1,0))/100,0),""))),"")</f>
        <v>0</v>
      </c>
      <c r="V114" s="42" t="n">
        <f aca="false">IFERROR(IF($C114="","",IF($D114="","",IFERROR(ROUND($D114*INDEX('🔖 배합비 참조'!$B$2:$CE$83,MATCH("기타가공품(흑임자가루)",'🔖 배합비 참조'!$A$2:$A$83,0),MATCH($C114,'🔖 배합비 참조'!$B$1:$CE$1,0))/100,0),""))),"")</f>
        <v>0</v>
      </c>
      <c r="W114" s="42" t="n">
        <f aca="false">IFERROR(IF($C114="","",IF($D114="","",IFERROR(ROUND($D114*INDEX('🔖 배합비 참조'!$B$2:$CE$83,MATCH("기타설탕(흑설탕)",'🔖 배합비 참조'!$A$2:$A$83,0),MATCH($C114,'🔖 배합비 참조'!$B$1:$CE$1,0))/100,0),""))),"")</f>
        <v>0</v>
      </c>
      <c r="X114" s="42" t="n">
        <f aca="false">IFERROR(IF($C114="","",IF($D114="","",IFERROR(ROUND($D114*INDEX('🔖 배합비 참조'!$B$2:$CE$83,MATCH("냉동쑥(국내산)",'🔖 배합비 참조'!$A$2:$A$83,0),MATCH($C114,'🔖 배합비 참조'!$B$1:$CE$1,0))/100,0),""))),"")</f>
        <v>0</v>
      </c>
      <c r="Y114" s="42" t="n">
        <f aca="false">IFERROR(IF($C114="","",IF($D114="","",IFERROR(ROUND($D114*INDEX('🔖 배합비 참조'!$B$2:$CE$83,MATCH("냉동증숙고구마(중국산)",'🔖 배합비 참조'!$A$2:$A$83,0),MATCH($C114,'🔖 배합비 참조'!$B$1:$CE$1,0))/100,0),""))),"")</f>
        <v>0</v>
      </c>
      <c r="Z114" s="42" t="n">
        <f aca="false">IFERROR(IF($C114="","",IF($D114="","",IFERROR(ROUND($D114*INDEX('🔖 배합비 참조'!$B$2:$CE$83,MATCH("녹차가루",'🔖 배합비 참조'!$A$2:$A$83,0),MATCH($C114,'🔖 배합비 참조'!$B$1:$CE$1,0))/100,0),""))),"")</f>
        <v>0</v>
      </c>
      <c r="AA114" s="42" t="n">
        <f aca="false">IFERROR(IF($C114="","",IF($D114="","",IFERROR(ROUND($D114*INDEX('🔖 배합비 참조'!$B$2:$CE$83,MATCH("다크초콜릿 컴파운드칩",'🔖 배합비 참조'!$A$2:$A$83,0),MATCH($C114,'🔖 배합비 참조'!$B$1:$CE$1,0))/100,0),""))),"")</f>
        <v>0</v>
      </c>
      <c r="AB114" s="42" t="n">
        <f aca="false">IFERROR(IF($C114="","",IF($D114="","",IFERROR(ROUND($D114*INDEX('🔖 배합비 참조'!$B$2:$CE$83,MATCH("단호박분말(중국산)",'🔖 배합비 참조'!$A$2:$A$83,0),MATCH($C114,'🔖 배합비 참조'!$B$1:$CE$1,0))/100,0),""))),"")</f>
        <v>0</v>
      </c>
      <c r="AC114" s="42" t="n">
        <f aca="false">IFERROR(IF($C114="","",IF($D114="","",IFERROR(ROUND($D114*INDEX('🔖 배합비 참조'!$B$2:$CE$83,MATCH("당류가공품(단호박농축액)",'🔖 배합비 참조'!$A$2:$A$83,0),MATCH($C114,'🔖 배합비 참조'!$B$1:$CE$1,0))/100,0),""))),"")</f>
        <v>0</v>
      </c>
      <c r="AD114" s="42" t="n">
        <f aca="false">IFERROR(IF($C114="","",IF($D114="","",IFERROR(ROUND($D114*INDEX('🔖 배합비 참조'!$B$2:$CE$83,MATCH("당류가공품(알룰로스,에리스리톨,스테비올배당체혼합)",'🔖 배합비 참조'!$A$2:$A$83,0),MATCH($C114,'🔖 배합비 참조'!$B$1:$CE$1,0))/100,0),""))),"")</f>
        <v>0</v>
      </c>
      <c r="AE114" s="42" t="n">
        <f aca="false">IFERROR(IF($C114="","",IF($D114="","",IFERROR(ROUND($D114*INDEX('🔖 배합비 참조'!$B$2:$CE$83,MATCH("당류가공품(알룰로스제로파우더)",'🔖 배합비 참조'!$A$2:$A$83,0),MATCH($C114,'🔖 배합비 참조'!$B$1:$CE$1,0))/100,0),""))),"")</f>
        <v>0</v>
      </c>
      <c r="AF114" s="42" t="n">
        <f aca="false">IFERROR(IF($C114="","",IF($D114="","",IFERROR(ROUND($D114*INDEX('🔖 배합비 참조'!$B$2:$CE$83,MATCH("당절임(완두배기)",'🔖 배합비 참조'!$A$2:$A$83,0),MATCH($C114,'🔖 배합비 참조'!$B$1:$CE$1,0))/100,0),""))),"")</f>
        <v>0</v>
      </c>
      <c r="AG114" s="42" t="n">
        <f aca="false">IFERROR(IF($C114="","",IF($D114="","",IFERROR(ROUND($D114*INDEX('🔖 배합비 참조'!$B$2:$CE$83,MATCH("대추농축액",'🔖 배합비 참조'!$A$2:$A$83,0),MATCH($C114,'🔖 배합비 참조'!$B$1:$CE$1,0))/100,0),""))),"")</f>
        <v>0</v>
      </c>
      <c r="AH114" s="42" t="n">
        <f aca="false">IFERROR(IF($C114="","",IF($D114="","",IFERROR(ROUND($D114*INDEX('🔖 배합비 참조'!$B$2:$CE$83,MATCH("대추채(국내산)",'🔖 배합비 참조'!$A$2:$A$83,0),MATCH($C114,'🔖 배합비 참조'!$B$1:$CE$1,0))/100,0),""))),"")</f>
        <v>0</v>
      </c>
      <c r="AI114" s="42" t="n">
        <f aca="false">IFERROR(IF($C114="","",IF($D114="","",IFERROR(ROUND($D114*INDEX('🔖 배합비 참조'!$B$2:$CE$83,MATCH("동부(미얀마산)",'🔖 배합비 참조'!$A$2:$A$83,0),MATCH($C114,'🔖 배합비 참조'!$B$1:$CE$1,0))/100,0),""))),"")</f>
        <v>0</v>
      </c>
      <c r="AJ114" s="42" t="n">
        <f aca="false">IFERROR(IF($C114="","",IF($D114="","",IFERROR(ROUND($D114*INDEX('🔖 배합비 참조'!$B$2:$CE$83,MATCH("두류가공품(백옥앙금)",'🔖 배합비 참조'!$A$2:$A$83,0),MATCH($C114,'🔖 배합비 참조'!$B$1:$CE$1,0))/100,0),""))),"")</f>
        <v>0</v>
      </c>
      <c r="AK114" s="42" t="n">
        <f aca="false">IFERROR(IF($C114="","",IF($D114="","",IFERROR(ROUND($D114*INDEX('🔖 배합비 참조'!$B$2:$CE$83,MATCH("두류가공품(콩고물)",'🔖 배합비 참조'!$A$2:$A$83,0),MATCH($C114,'🔖 배합비 참조'!$B$1:$CE$1,0))/100,0),""))),"")</f>
        <v>4</v>
      </c>
      <c r="AL114" s="42" t="n">
        <f aca="false">IFERROR(IF($C114="","",IF($D114="","",IFERROR(ROUND($D114*INDEX('🔖 배합비 참조'!$B$2:$CE$83,MATCH("두류가공품(통팥고물)",'🔖 배합비 참조'!$A$2:$A$83,0),MATCH($C114,'🔖 배합비 참조'!$B$1:$CE$1,0))/100,0),""))),"")</f>
        <v>0</v>
      </c>
      <c r="AM114" s="42" t="n">
        <f aca="false">IFERROR(IF($C114="","",IF($D114="","",IFERROR(ROUND($D114*INDEX('🔖 배합비 참조'!$B$2:$CE$83,MATCH("딸기레진",'🔖 배합비 참조'!$A$2:$A$83,0),MATCH($C114,'🔖 배합비 참조'!$B$1:$CE$1,0))/100,0),""))),"")</f>
        <v>0</v>
      </c>
      <c r="AN114" s="42" t="n">
        <f aca="false">IFERROR(IF($C114="","",IF($D114="","",IFERROR(ROUND($D114*INDEX('🔖 배합비 참조'!$B$2:$CE$83,MATCH("딸기분말(스트로우베리에이드(분말))",'🔖 배합비 참조'!$A$2:$A$83,0),MATCH($C114,'🔖 배합비 참조'!$B$1:$CE$1,0))/100,0),""))),"")</f>
        <v>0</v>
      </c>
      <c r="AO114" s="42" t="n">
        <f aca="false">IFERROR(IF($C114="","",IF($D114="","",IFERROR(ROUND($D114*INDEX('🔖 배합비 참조'!$B$2:$CE$83,MATCH("마스카포네치즈",'🔖 배합비 참조'!$A$2:$A$83,0),MATCH($C114,'🔖 배합비 참조'!$B$1:$CE$1,0))/100,0),""))),"")</f>
        <v>0</v>
      </c>
      <c r="AP114" s="42" t="n">
        <f aca="false">IFERROR(IF($C114="","",IF($D114="","",IFERROR(ROUND($D114*INDEX('🔖 배합비 참조'!$B$2:$CE$83,MATCH("마카다미아분태(호주산)",'🔖 배합비 참조'!$A$2:$A$83,0),MATCH($C114,'🔖 배합비 참조'!$B$1:$CE$1,0))/100,0),""))),"")</f>
        <v>0</v>
      </c>
      <c r="AQ114" s="42" t="n">
        <f aca="false">IFERROR(IF($C114="","",IF($D114="","",IFERROR(ROUND($D114*INDEX('🔖 배합비 참조'!$B$2:$CE$83,MATCH("멥쌀(국내산)",'🔖 배합비 참조'!$A$2:$A$83,0),MATCH($C114,'🔖 배합비 참조'!$B$1:$CE$1,0))/100,0),""))),"")</f>
        <v>0</v>
      </c>
      <c r="AR114" s="42" t="n">
        <f aca="false">IFERROR(IF($C114="","",IF($D114="","",IFERROR(ROUND($D114*INDEX('🔖 배합비 참조'!$B$2:$CE$83,MATCH("모시잎(국내산)",'🔖 배합비 참조'!$A$2:$A$83,0),MATCH($C114,'🔖 배합비 참조'!$B$1:$CE$1,0))/100,0),""))),"")</f>
        <v>0</v>
      </c>
      <c r="AS114" s="42" t="n">
        <f aca="false">IFERROR(IF($C114="","",IF($D114="","",IFERROR(ROUND($D114*INDEX('🔖 배합비 참조'!$B$2:$CE$83,MATCH("물엿(저당물엿)",'🔖 배합비 참조'!$A$2:$A$83,0),MATCH($C114,'🔖 배합비 참조'!$B$1:$CE$1,0))/100,0),""))),"")</f>
        <v>7</v>
      </c>
      <c r="AT114" s="42" t="n">
        <f aca="false">IFERROR(IF($C114="","",IF($D114="","",IFERROR(ROUND($D114*INDEX('🔖 배합비 참조'!$B$2:$CE$83,MATCH("밤다이스",'🔖 배합비 참조'!$A$2:$A$83,0),MATCH($C114,'🔖 배합비 참조'!$B$1:$CE$1,0))/100,0),""))),"")</f>
        <v>0</v>
      </c>
      <c r="AU114" s="42" t="n">
        <f aca="false">IFERROR(IF($C114="","",IF($D114="","",IFERROR(ROUND($D114*INDEX('🔖 배합비 참조'!$B$2:$CE$83,MATCH("변성전분(타피오카전분)",'🔖 배합비 참조'!$A$2:$A$83,0),MATCH($C114,'🔖 배합비 참조'!$B$1:$CE$1,0))/100,0),""))),"")</f>
        <v>0</v>
      </c>
      <c r="AV114" s="42" t="n">
        <f aca="false">IFERROR(IF($C114="","",IF($D114="","",IFERROR(ROUND($D114*INDEX('🔖 배합비 참조'!$B$2:$CE$83,MATCH("복음땅콩분태",'🔖 배합비 참조'!$A$2:$A$83,0),MATCH($C114,'🔖 배합비 참조'!$B$1:$CE$1,0))/100,0),""))),"")</f>
        <v>0</v>
      </c>
      <c r="AW114" s="42" t="n">
        <f aca="false">IFERROR(IF($C114="","",IF($D114="","",IFERROR(ROUND($D114*INDEX('🔖 배합비 참조'!$B$2:$CE$83,MATCH("사양벌꿀(국내산)",'🔖 배합비 참조'!$A$2:$A$83,0),MATCH($C114,'🔖 배합비 참조'!$B$1:$CE$1,0))/100,0),""))),"")</f>
        <v>0</v>
      </c>
      <c r="AX114" s="42" t="n">
        <f aca="false">IFERROR(IF($C114="","",IF($D114="","",IFERROR(ROUND($D114*INDEX('🔖 배합비 참조'!$B$2:$CE$83,MATCH("생크림",'🔖 배합비 참조'!$A$2:$A$83,0),MATCH($C114,'🔖 배합비 참조'!$B$1:$CE$1,0))/100,0),""))),"")</f>
        <v>0</v>
      </c>
      <c r="AY114" s="42" t="n">
        <f aca="false">IFERROR(IF($C114="","",IF($D114="","",IFERROR(ROUND($D114*INDEX('🔖 배합비 참조'!$B$2:$CE$83,MATCH("서양호박(국내산,뉴질랜드산)",'🔖 배합비 참조'!$A$2:$A$83,0),MATCH($C114,'🔖 배합비 참조'!$B$1:$CE$1,0))/100,0),""))),"")</f>
        <v>0</v>
      </c>
      <c r="AZ114" s="42" t="n">
        <f aca="false">IFERROR(IF($C114="","",IF($D114="","",IFERROR(ROUND($D114*INDEX('🔖 배합비 참조'!$B$2:$CE$83,MATCH("설탕",'🔖 배합비 참조'!$A$2:$A$83,0),MATCH($C114,'🔖 배합비 참조'!$B$1:$CE$1,0))/100,0),""))),"")</f>
        <v>7</v>
      </c>
      <c r="BA114" s="42" t="n">
        <f aca="false">IFERROR(IF($C114="","",IF($D114="","",IFERROR(ROUND($D114*INDEX('🔖 배합비 참조'!$B$2:$CE$83,MATCH("스트로우베리 에이드 후레쉬",'🔖 배합비 참조'!$A$2:$A$83,0),MATCH($C114,'🔖 배합비 참조'!$B$1:$CE$1,0))/100,0),""))),"")</f>
        <v>0</v>
      </c>
      <c r="BB114" s="42" t="n">
        <f aca="false">IFERROR(IF($C114="","",IF($D114="","",IFERROR(ROUND($D114*INDEX('🔖 배합비 참조'!$B$2:$CE$83,MATCH("식물성기름혼합제제(분홍)",'🔖 배합비 참조'!$A$2:$A$83,0),MATCH($C114,'🔖 배합비 참조'!$B$1:$CE$1,0))/100,0),""))),"")</f>
        <v>0</v>
      </c>
      <c r="BC114" s="42" t="n">
        <f aca="false">IFERROR(IF($C114="","",IF($D114="","",IFERROR(ROUND($D114*INDEX('🔖 배합비 참조'!$B$2:$CE$83,MATCH("식물성기름혼합제제(초록)",'🔖 배합비 참조'!$A$2:$A$83,0),MATCH($C114,'🔖 배합비 참조'!$B$1:$CE$1,0))/100,0),""))),"")</f>
        <v>0</v>
      </c>
      <c r="BD114" s="42" t="n">
        <f aca="false">IFERROR(IF($C114="","",IF($D114="","",IFERROR(ROUND($D114*INDEX('🔖 배합비 참조'!$B$2:$CE$83,MATCH("식물성기름혼합제제(황색)",'🔖 배합비 참조'!$A$2:$A$83,0),MATCH($C114,'🔖 배합비 참조'!$B$1:$CE$1,0))/100,0),""))),"")</f>
        <v>0</v>
      </c>
      <c r="BE114" s="42" t="n">
        <f aca="false">IFERROR(IF($C114="","",IF($D114="","",IFERROR(ROUND($D114*INDEX('🔖 배합비 참조'!$B$2:$CE$83,MATCH("쑥가루(국내산)",'🔖 배합비 참조'!$A$2:$A$83,0),MATCH($C114,'🔖 배합비 참조'!$B$1:$CE$1,0))/100,0),""))),"")</f>
        <v>0</v>
      </c>
      <c r="BF114" s="42" t="n">
        <f aca="false">IFERROR(IF($C114="","",IF($D114="","",IFERROR(ROUND($D114*INDEX('🔖 배합비 참조'!$B$2:$CE$83,MATCH("아몬드슬라이스",'🔖 배합비 참조'!$A$2:$A$83,0),MATCH($C114,'🔖 배합비 참조'!$B$1:$CE$1,0))/100,0),""))),"")</f>
        <v>0</v>
      </c>
      <c r="BG114" s="42" t="n">
        <f aca="false">IFERROR(IF($C114="","",IF($D114="","",IFERROR(ROUND($D114*INDEX('🔖 배합비 참조'!$B$2:$CE$83,MATCH("알룰로오스(국내산)",'🔖 배합비 참조'!$A$2:$A$83,0),MATCH($C114,'🔖 배합비 참조'!$B$1:$CE$1,0))/100,0),""))),"")</f>
        <v>0</v>
      </c>
      <c r="BH114" s="42" t="n">
        <f aca="false">IFERROR(IF($C114="","",IF($D114="","",IFERROR(ROUND($D114*INDEX('🔖 배합비 참조'!$B$2:$CE$83,MATCH("연유",'🔖 배합비 참조'!$A$2:$A$83,0),MATCH($C114,'🔖 배합비 참조'!$B$1:$CE$1,0))/100,0),""))),"")</f>
        <v>0</v>
      </c>
      <c r="BI114" s="42" t="n">
        <f aca="false">IFERROR(IF($C114="","",IF($D114="","",IFERROR(ROUND($D114*INDEX('🔖 배합비 참조'!$B$2:$CE$83,MATCH("옥수수전분",'🔖 배합비 참조'!$A$2:$A$83,0),MATCH($C114,'🔖 배합비 참조'!$B$1:$CE$1,0))/100,0),""))),"")</f>
        <v>0</v>
      </c>
      <c r="BJ114" s="42" t="n">
        <f aca="false">IFERROR(IF($C114="","",IF($D114="","",IFERROR(ROUND($D114*INDEX('🔖 배합비 참조'!$B$2:$CE$83,MATCH("완두배기",'🔖 배합비 참조'!$A$2:$A$83,0),MATCH($C114,'🔖 배합비 참조'!$B$1:$CE$1,0))/100,0),""))),"")</f>
        <v>0</v>
      </c>
      <c r="BK114" s="42" t="n">
        <f aca="false">IFERROR(IF($C114="","",IF($D114="","",IFERROR(ROUND($D114*INDEX('🔖 배합비 참조'!$B$2:$CE$83,MATCH("우유(국내산)",'🔖 배합비 참조'!$A$2:$A$83,0),MATCH($C114,'🔖 배합비 참조'!$B$1:$CE$1,0))/100,0),""))),"")</f>
        <v>0</v>
      </c>
      <c r="BL114" s="42" t="n">
        <f aca="false">IFERROR(IF($C114="","",IF($D114="","",IFERROR(ROUND($D114*INDEX('🔖 배합비 참조'!$B$2:$CE$83,MATCH("자색고구마가루(중국산)",'🔖 배합비 참조'!$A$2:$A$83,0),MATCH($C114,'🔖 배합비 참조'!$B$1:$CE$1,0))/100,0),""))),"")</f>
        <v>0</v>
      </c>
      <c r="BM114" s="42" t="n">
        <f aca="false">IFERROR(IF($C114="","",IF($D114="","",IFERROR(ROUND($D114*INDEX('🔖 배합비 참조'!$B$2:$CE$83,MATCH("자연치즈(체다치즈)",'🔖 배합비 참조'!$A$2:$A$83,0),MATCH($C114,'🔖 배합비 참조'!$B$1:$CE$1,0))/100,0),""))),"")</f>
        <v>0</v>
      </c>
      <c r="BN114" s="42" t="n">
        <f aca="false">IFERROR(IF($C114="","",IF($D114="","",IFERROR(ROUND($D114*INDEX('🔖 배합비 참조'!$B$2:$CE$83,MATCH("정제수",'🔖 배합비 참조'!$A$2:$A$83,0),MATCH($C114,'🔖 배합비 참조'!$B$1:$CE$1,0))/100,0),""))),"")</f>
        <v>53</v>
      </c>
      <c r="BO114" s="42" t="n">
        <f aca="false">IFERROR(IF($C114="","",IF($D114="","",IFERROR(ROUND($D114*INDEX('🔖 배합비 참조'!$B$2:$CE$83,MATCH("젤라틴",'🔖 배합비 참조'!$A$2:$A$83,0),MATCH($C114,'🔖 배합비 참조'!$B$1:$CE$1,0))/100,0),""))),"")</f>
        <v>0</v>
      </c>
      <c r="BP114" s="42" t="n">
        <f aca="false">IFERROR(IF($C114="","",IF($D114="","",IFERROR(ROUND($D114*INDEX('🔖 배합비 참조'!$B$2:$CE$83,MATCH("조림류(백옥앙금)",'🔖 배합비 참조'!$A$2:$A$83,0),MATCH($C114,'🔖 배합비 참조'!$B$1:$CE$1,0))/100,0),""))),"")</f>
        <v>0</v>
      </c>
      <c r="BQ114" s="42" t="n">
        <f aca="false">IFERROR(IF($C114="","",IF($D114="","",IFERROR(ROUND($D114*INDEX('🔖 배합비 참조'!$B$2:$CE$83,MATCH("조림류(통팥앙금)",'🔖 배합비 참조'!$A$2:$A$83,0),MATCH($C114,'🔖 배합비 참조'!$B$1:$CE$1,0))/100,0),""))),"")</f>
        <v>0</v>
      </c>
      <c r="BR114" s="42" t="n">
        <f aca="false">IFERROR(IF($C114="","",IF($D114="","",IFERROR(ROUND($D114*INDEX('🔖 배합비 참조'!$B$2:$CE$83,MATCH("준초콜릿(외국산)",'🔖 배합비 참조'!$A$2:$A$83,0),MATCH($C114,'🔖 배합비 참조'!$B$1:$CE$1,0))/100,0),""))),"")</f>
        <v>0</v>
      </c>
      <c r="BS114" s="42" t="n">
        <f aca="false">IFERROR(IF($C114="","",IF($D114="","",IFERROR(ROUND($D114*INDEX('🔖 배합비 참조'!$B$2:$CE$83,MATCH("중력분",'🔖 배합비 참조'!$A$2:$A$83,0),MATCH($C114,'🔖 배합비 참조'!$B$1:$CE$1,0))/100,0),""))),"")</f>
        <v>1</v>
      </c>
      <c r="BT114" s="42" t="n">
        <f aca="false">IFERROR(IF($C114="","",IF($D114="","",IFERROR(ROUND($D114*INDEX('🔖 배합비 참조'!$B$2:$CE$83,MATCH("참깨(인도산,나이지리아산,탄자니아산,미얀마산)",'🔖 배합비 참조'!$A$2:$A$83,0),MATCH($C114,'🔖 배합비 참조'!$B$1:$CE$1,0))/100,0),""))),"")</f>
        <v>0</v>
      </c>
      <c r="BU114" s="42" t="n">
        <f aca="false">IFERROR(IF($C114="","",IF($D114="","",IFERROR(ROUND($D114*INDEX('🔖 배합비 참조'!$B$2:$CE$83,MATCH("찹쌀(국내산)",'🔖 배합비 참조'!$A$2:$A$83,0),MATCH($C114,'🔖 배합비 참조'!$B$1:$CE$1,0))/100,0),""))),"")</f>
        <v>67</v>
      </c>
      <c r="BV114" s="42" t="n">
        <f aca="false">IFERROR(IF($C114="","",IF($D114="","",IFERROR(ROUND($D114*INDEX('🔖 배합비 참조'!$B$2:$CE$83,MATCH("천일염",'🔖 배합비 참조'!$A$2:$A$83,0),MATCH($C114,'🔖 배합비 참조'!$B$1:$CE$1,0))/100,0),""))),"")</f>
        <v>1</v>
      </c>
      <c r="BW114" s="42" t="n">
        <f aca="false">IFERROR(IF($C114="","",IF($D114="","",IFERROR(ROUND($D114*INDEX('🔖 배합비 참조'!$B$2:$CE$83,MATCH("치즈 [크림치즈]",'🔖 배합비 참조'!$A$2:$A$83,0),MATCH($C114,'🔖 배합비 참조'!$B$1:$CE$1,0))/100,0),""))),"")</f>
        <v>0</v>
      </c>
      <c r="BX114" s="42" t="n">
        <f aca="false">IFERROR(IF($C114="","",IF($D114="","",IFERROR(ROUND($D114*INDEX('🔖 배합비 참조'!$B$2:$CE$83,MATCH("코코아가공품류(코코아분말)",'🔖 배합비 참조'!$A$2:$A$83,0),MATCH($C114,'🔖 배합비 참조'!$B$1:$CE$1,0))/100,0),""))),"")</f>
        <v>0</v>
      </c>
      <c r="BY114" s="42" t="n">
        <f aca="false">IFERROR(IF($C114="","",IF($D114="","",IFERROR(ROUND($D114*INDEX('🔖 배합비 참조'!$B$2:$CE$83,MATCH("콩기름(대두유)",'🔖 배합비 참조'!$A$2:$A$83,0),MATCH($C114,'🔖 배합비 참조'!$B$1:$CE$1,0))/100,0),""))),"")</f>
        <v>0</v>
      </c>
      <c r="BZ114" s="42" t="n">
        <f aca="false">IFERROR(IF($C114="","",IF($D114="","",IFERROR(ROUND($D114*INDEX('🔖 배합비 참조'!$B$2:$CE$83,MATCH("해바라기씨앗",'🔖 배합비 참조'!$A$2:$A$83,0),MATCH($C114,'🔖 배합비 참조'!$B$1:$CE$1,0))/100,0),""))),"")</f>
        <v>0</v>
      </c>
      <c r="CA114" s="42" t="n">
        <f aca="false">IFERROR(IF($C114="","",IF($D114="","",IFERROR(ROUND($D114*INDEX('🔖 배합비 참조'!$B$2:$CE$83,MATCH("현미(국내산)",'🔖 배합비 참조'!$A$2:$A$83,0),MATCH($C114,'🔖 배합비 참조'!$B$1:$CE$1,0))/100,0),""))),"")</f>
        <v>0</v>
      </c>
      <c r="CB114" s="42" t="n">
        <f aca="false">IFERROR(IF($C114="","",IF($D114="","",IFERROR(ROUND($D114*INDEX('🔖 배합비 참조'!$B$2:$CE$83,MATCH("현미멥쌀(국내산)",'🔖 배합비 참조'!$A$2:$A$83,0),MATCH($C114,'🔖 배합비 참조'!$B$1:$CE$1,0))/100,0),""))),"")</f>
        <v>0</v>
      </c>
      <c r="CC114" s="42" t="n">
        <f aca="false">IFERROR(IF($C114="","",IF($D114="","",IFERROR(ROUND($D114*INDEX('🔖 배합비 참조'!$B$2:$CE$83,MATCH("호두분태(미국산)",'🔖 배합비 참조'!$A$2:$A$83,0),MATCH($C114,'🔖 배합비 참조'!$B$1:$CE$1,0))/100,0),""))),"")</f>
        <v>0</v>
      </c>
      <c r="CD114" s="42" t="n">
        <f aca="false">IFERROR(IF($C114="","",IF($D114="","",IFERROR(ROUND($D114*INDEX('🔖 배합비 참조'!$B$2:$CE$83,MATCH("호박씨앗(외국산)",'🔖 배합비 참조'!$A$2:$A$83,0),MATCH($C114,'🔖 배합비 참조'!$B$1:$CE$1,0))/100,0),""))),"")</f>
        <v>0</v>
      </c>
      <c r="CE114" s="42" t="n">
        <f aca="false">IFERROR(IF($C114="","",IF($D114="","",IFERROR(ROUND($D114*INDEX('🔖 배합비 참조'!$B$2:$CE$83,MATCH("혼합제제(떡용에스텔)",'🔖 배합비 참조'!$A$2:$A$83,0),MATCH($C114,'🔖 배합비 참조'!$B$1:$CE$1,0))/100,0),""))),"")</f>
        <v>1</v>
      </c>
      <c r="CF114" s="42" t="n">
        <f aca="false">IFERROR(IF($C114="","",IF($D114="","",IFERROR(ROUND($D114*INDEX('🔖 배합비 참조'!$B$2:$CE$83,MATCH("혼합제제(스테비아)",'🔖 배합비 참조'!$A$2:$A$83,0),MATCH($C114,'🔖 배합비 참조'!$B$1:$CE$1,0))/100,0),""))),"")</f>
        <v>0</v>
      </c>
      <c r="CG114" s="42" t="n">
        <f aca="false">IFERROR(IF($C114="","",IF($D114="","",IFERROR(ROUND($D114*INDEX('🔖 배합비 참조'!$B$2:$CE$83,MATCH("화이트초콜릿",'🔖 배합비 참조'!$A$2:$A$83,0),MATCH($C114,'🔖 배합비 참조'!$B$1:$CE$1,0))/100,0),""))),"")</f>
        <v>0</v>
      </c>
      <c r="CH114" s="42" t="n">
        <f aca="false">IFERROR(IF($C114="","",IF($D114="","",IFERROR(ROUND($D114*INDEX('🔖 배합비 참조'!$B$2:$CE$83,MATCH("흑미찹쌀(국내산)",'🔖 배합비 참조'!$A$2:$A$83,0),MATCH($C114,'🔖 배합비 참조'!$B$1:$CE$1,0))/100,0),""))),"")</f>
        <v>0</v>
      </c>
      <c r="CI114" s="42" t="n">
        <f aca="false">IFERROR(IF($C114="","",IF($D114="","",IFERROR(ROUND($D114*INDEX('🔖 배합비 참조'!$B$2:$CE$83,MATCH("찰옥수수전분(미국산)",'🔖 배합비 참조'!$A$2:$A$83,0),MATCH($C114,'🔖 배합비 참조'!$B$1:$CE$1,0))/100,0),""))),"")</f>
        <v>0</v>
      </c>
      <c r="CJ114" s="40"/>
      <c r="CL114" s="1" t="s">
        <v>239</v>
      </c>
    </row>
    <row r="115" customFormat="false" ht="18" hidden="false" customHeight="true" outlineLevel="0" collapsed="false">
      <c r="A115" s="35" t="n">
        <v>111</v>
      </c>
      <c r="B115" s="36" t="n">
        <v>46000</v>
      </c>
      <c r="C115" s="37" t="s">
        <v>222</v>
      </c>
      <c r="D115" s="38" t="n">
        <v>70</v>
      </c>
      <c r="E115" s="13"/>
      <c r="F115" s="13"/>
      <c r="G115" s="39" t="n">
        <f aca="false">IFERROR(IF($C115="","",IF($D115="","",IFERROR(ROUND($D115*INDEX('🔖 배합비 참조'!$B$2:$CE$83,MATCH("간장",'🔖 배합비 참조'!$A$2:$A$83,0),MATCH($C115,'🔖 배합비 참조'!$B$1:$CE$1,0))/100,0),""))),"")</f>
        <v>0</v>
      </c>
      <c r="H115" s="39" t="n">
        <f aca="false">IFERROR(IF($C115="","",IF($D115="","",IFERROR(ROUND($D115*INDEX('🔖 배합비 참조'!$B$2:$CE$83,MATCH("강낭콩((울타리콩))",'🔖 배합비 참조'!$A$2:$A$83,0),MATCH($C115,'🔖 배합비 참조'!$B$1:$CE$1,0))/100,0),""))),"")</f>
        <v>0</v>
      </c>
      <c r="I115" s="39" t="n">
        <f aca="false">IFERROR(IF($C115="","",IF($D115="","",IFERROR(ROUND($D115*INDEX('🔖 배합비 참조'!$B$2:$CE$83,MATCH("건조딸기다이스(외국산)",'🔖 배합비 참조'!$A$2:$A$83,0),MATCH($C115,'🔖 배합비 참조'!$B$1:$CE$1,0))/100,0),""))),"")</f>
        <v>0</v>
      </c>
      <c r="J115" s="39" t="n">
        <f aca="false">IFERROR(IF($C115="","",IF($D115="","",IFERROR(ROUND($D115*INDEX('🔖 배합비 참조'!$B$2:$CE$83,MATCH("건포도",'🔖 배합비 참조'!$A$2:$A$83,0),MATCH($C115,'🔖 배합비 참조'!$B$1:$CE$1,0))/100,0),""))),"")</f>
        <v>0</v>
      </c>
      <c r="K115" s="39" t="n">
        <f aca="false">IFERROR(IF($C115="","",IF($D115="","",IFERROR(ROUND($D115*INDEX('🔖 배합비 참조'!$B$2:$CE$83,MATCH("건호박채(중국산)",'🔖 배합비 참조'!$A$2:$A$83,0),MATCH($C115,'🔖 배합비 참조'!$B$1:$CE$1,0))/100,0),""))),"")</f>
        <v>0</v>
      </c>
      <c r="L115" s="39" t="n">
        <f aca="false">IFERROR(IF($C115="","",IF($D115="","",IFERROR(ROUND($D115*INDEX('🔖 배합비 참조'!$B$2:$CE$83,MATCH("검정깨(흑임자)",'🔖 배합비 참조'!$A$2:$A$83,0),MATCH($C115,'🔖 배합비 참조'!$B$1:$CE$1,0))/100,0),""))),"")</f>
        <v>0</v>
      </c>
      <c r="M115" s="39" t="n">
        <f aca="false">IFERROR(IF($C115="","",IF($D115="","",IFERROR(ROUND($D115*INDEX('🔖 배합비 참조'!$B$2:$CE$83,MATCH("검정콩",'🔖 배합비 참조'!$A$2:$A$83,0),MATCH($C115,'🔖 배합비 참조'!$B$1:$CE$1,0))/100,0),""))),"")</f>
        <v>0</v>
      </c>
      <c r="N115" s="39" t="n">
        <f aca="false">IFERROR(IF($C115="","",IF($D115="","",IFERROR(ROUND($D115*INDEX('🔖 배합비 참조'!$B$2:$CE$83,MATCH("계피가루",'🔖 배합비 참조'!$A$2:$A$83,0),MATCH($C115,'🔖 배합비 참조'!$B$1:$CE$1,0))/100,0),""))),"")</f>
        <v>0</v>
      </c>
      <c r="O115" s="39" t="n">
        <f aca="false">IFERROR(IF($C115="","",IF($D115="","",IFERROR(ROUND($D115*INDEX('🔖 배합비 참조'!$B$2:$CE$83,MATCH("고구마가루",'🔖 배합비 참조'!$A$2:$A$83,0),MATCH($C115,'🔖 배합비 참조'!$B$1:$CE$1,0))/100,0),""))),"")</f>
        <v>0</v>
      </c>
      <c r="P115" s="39" t="n">
        <f aca="false">IFERROR(IF($C115="","",IF($D115="","",IFERROR(ROUND($D115*INDEX('🔖 배합비 참조'!$B$2:$CE$83,MATCH("고구마무스",'🔖 배합비 참조'!$A$2:$A$83,0),MATCH($C115,'🔖 배합비 참조'!$B$1:$CE$1,0))/100,0),""))),"")</f>
        <v>0</v>
      </c>
      <c r="Q115" s="39" t="n">
        <f aca="false">IFERROR(IF($C115="","",IF($D115="","",IFERROR(ROUND($D115*INDEX('🔖 배합비 참조'!$B$2:$CE$83,MATCH("고려엉겅퀴((곤드레)국내산)",'🔖 배합비 참조'!$A$2:$A$83,0),MATCH($C115,'🔖 배합비 참조'!$B$1:$CE$1,0))/100,0),""))),"")</f>
        <v>0</v>
      </c>
      <c r="R115" s="39" t="n">
        <f aca="false">IFERROR(IF($C115="","",IF($D115="","",IFERROR(ROUND($D115*INDEX('🔖 배합비 참조'!$B$2:$CE$83,MATCH("기타가공품(복분자가루)",'🔖 배합비 참조'!$A$2:$A$83,0),MATCH($C115,'🔖 배합비 참조'!$B$1:$CE$1,0))/100,0),""))),"")</f>
        <v>0</v>
      </c>
      <c r="S115" s="39" t="n">
        <f aca="false">IFERROR(IF($C115="","",IF($D115="","",IFERROR(ROUND($D115*INDEX('🔖 배합비 참조'!$B$2:$CE$83,MATCH("기타가공품(슈퍼소프트엠)",'🔖 배합비 참조'!$A$2:$A$83,0),MATCH($C115,'🔖 배합비 참조'!$B$1:$CE$1,0))/100,0),""))),"")</f>
        <v>0</v>
      </c>
      <c r="T115" s="39" t="n">
        <f aca="false">IFERROR(IF($C115="","",IF($D115="","",IFERROR(ROUND($D115*INDEX('🔖 배합비 참조'!$B$2:$CE$83,MATCH("기타가공품(파인소프트 E-티)",'🔖 배합비 참조'!$A$2:$A$83,0),MATCH($C115,'🔖 배합비 참조'!$B$1:$CE$1,0))/100,0),""))),"")</f>
        <v>0</v>
      </c>
      <c r="U115" s="39" t="n">
        <f aca="false">IFERROR(IF($C115="","",IF($D115="","",IFERROR(ROUND($D115*INDEX('🔖 배합비 참조'!$B$2:$CE$83,MATCH("기타가공품(프리미엄카스테라가루)",'🔖 배합비 참조'!$A$2:$A$83,0),MATCH($C115,'🔖 배합비 참조'!$B$1:$CE$1,0))/100,0),""))),"")</f>
        <v>5</v>
      </c>
      <c r="V115" s="39" t="n">
        <f aca="false">IFERROR(IF($C115="","",IF($D115="","",IFERROR(ROUND($D115*INDEX('🔖 배합비 참조'!$B$2:$CE$83,MATCH("기타가공품(흑임자가루)",'🔖 배합비 참조'!$A$2:$A$83,0),MATCH($C115,'🔖 배합비 참조'!$B$1:$CE$1,0))/100,0),""))),"")</f>
        <v>0</v>
      </c>
      <c r="W115" s="39" t="n">
        <f aca="false">IFERROR(IF($C115="","",IF($D115="","",IFERROR(ROUND($D115*INDEX('🔖 배합비 참조'!$B$2:$CE$83,MATCH("기타설탕(흑설탕)",'🔖 배합비 참조'!$A$2:$A$83,0),MATCH($C115,'🔖 배합비 참조'!$B$1:$CE$1,0))/100,0),""))),"")</f>
        <v>0</v>
      </c>
      <c r="X115" s="39" t="n">
        <f aca="false">IFERROR(IF($C115="","",IF($D115="","",IFERROR(ROUND($D115*INDEX('🔖 배합비 참조'!$B$2:$CE$83,MATCH("냉동쑥(국내산)",'🔖 배합비 참조'!$A$2:$A$83,0),MATCH($C115,'🔖 배합비 참조'!$B$1:$CE$1,0))/100,0),""))),"")</f>
        <v>4</v>
      </c>
      <c r="Y115" s="39" t="n">
        <f aca="false">IFERROR(IF($C115="","",IF($D115="","",IFERROR(ROUND($D115*INDEX('🔖 배합비 참조'!$B$2:$CE$83,MATCH("냉동증숙고구마(중국산)",'🔖 배합비 참조'!$A$2:$A$83,0),MATCH($C115,'🔖 배합비 참조'!$B$1:$CE$1,0))/100,0),""))),"")</f>
        <v>0</v>
      </c>
      <c r="Z115" s="39" t="n">
        <f aca="false">IFERROR(IF($C115="","",IF($D115="","",IFERROR(ROUND($D115*INDEX('🔖 배합비 참조'!$B$2:$CE$83,MATCH("녹차가루",'🔖 배합비 참조'!$A$2:$A$83,0),MATCH($C115,'🔖 배합비 참조'!$B$1:$CE$1,0))/100,0),""))),"")</f>
        <v>0</v>
      </c>
      <c r="AA115" s="39" t="n">
        <f aca="false">IFERROR(IF($C115="","",IF($D115="","",IFERROR(ROUND($D115*INDEX('🔖 배합비 참조'!$B$2:$CE$83,MATCH("다크초콜릿 컴파운드칩",'🔖 배합비 참조'!$A$2:$A$83,0),MATCH($C115,'🔖 배합비 참조'!$B$1:$CE$1,0))/100,0),""))),"")</f>
        <v>0</v>
      </c>
      <c r="AB115" s="39" t="n">
        <f aca="false">IFERROR(IF($C115="","",IF($D115="","",IFERROR(ROUND($D115*INDEX('🔖 배합비 참조'!$B$2:$CE$83,MATCH("단호박분말(중국산)",'🔖 배합비 참조'!$A$2:$A$83,0),MATCH($C115,'🔖 배합비 참조'!$B$1:$CE$1,0))/100,0),""))),"")</f>
        <v>0</v>
      </c>
      <c r="AC115" s="39" t="n">
        <f aca="false">IFERROR(IF($C115="","",IF($D115="","",IFERROR(ROUND($D115*INDEX('🔖 배합비 참조'!$B$2:$CE$83,MATCH("당류가공품(단호박농축액)",'🔖 배합비 참조'!$A$2:$A$83,0),MATCH($C115,'🔖 배합비 참조'!$B$1:$CE$1,0))/100,0),""))),"")</f>
        <v>0</v>
      </c>
      <c r="AD115" s="39" t="n">
        <f aca="false">IFERROR(IF($C115="","",IF($D115="","",IFERROR(ROUND($D115*INDEX('🔖 배합비 참조'!$B$2:$CE$83,MATCH("당류가공품(알룰로스,에리스리톨,스테비올배당체혼합)",'🔖 배합비 참조'!$A$2:$A$83,0),MATCH($C115,'🔖 배합비 참조'!$B$1:$CE$1,0))/100,0),""))),"")</f>
        <v>0</v>
      </c>
      <c r="AE115" s="39" t="n">
        <f aca="false">IFERROR(IF($C115="","",IF($D115="","",IFERROR(ROUND($D115*INDEX('🔖 배합비 참조'!$B$2:$CE$83,MATCH("당류가공품(알룰로스제로파우더)",'🔖 배합비 참조'!$A$2:$A$83,0),MATCH($C115,'🔖 배합비 참조'!$B$1:$CE$1,0))/100,0),""))),"")</f>
        <v>0</v>
      </c>
      <c r="AF115" s="39" t="n">
        <f aca="false">IFERROR(IF($C115="","",IF($D115="","",IFERROR(ROUND($D115*INDEX('🔖 배합비 참조'!$B$2:$CE$83,MATCH("당절임(완두배기)",'🔖 배합비 참조'!$A$2:$A$83,0),MATCH($C115,'🔖 배합비 참조'!$B$1:$CE$1,0))/100,0),""))),"")</f>
        <v>0</v>
      </c>
      <c r="AG115" s="39" t="n">
        <f aca="false">IFERROR(IF($C115="","",IF($D115="","",IFERROR(ROUND($D115*INDEX('🔖 배합비 참조'!$B$2:$CE$83,MATCH("대추농축액",'🔖 배합비 참조'!$A$2:$A$83,0),MATCH($C115,'🔖 배합비 참조'!$B$1:$CE$1,0))/100,0),""))),"")</f>
        <v>0</v>
      </c>
      <c r="AH115" s="39" t="n">
        <f aca="false">IFERROR(IF($C115="","",IF($D115="","",IFERROR(ROUND($D115*INDEX('🔖 배합비 참조'!$B$2:$CE$83,MATCH("대추채(국내산)",'🔖 배합비 참조'!$A$2:$A$83,0),MATCH($C115,'🔖 배합비 참조'!$B$1:$CE$1,0))/100,0),""))),"")</f>
        <v>0</v>
      </c>
      <c r="AI115" s="39" t="n">
        <f aca="false">IFERROR(IF($C115="","",IF($D115="","",IFERROR(ROUND($D115*INDEX('🔖 배합비 참조'!$B$2:$CE$83,MATCH("동부(미얀마산)",'🔖 배합비 참조'!$A$2:$A$83,0),MATCH($C115,'🔖 배합비 참조'!$B$1:$CE$1,0))/100,0),""))),"")</f>
        <v>5</v>
      </c>
      <c r="AJ115" s="39" t="n">
        <f aca="false">IFERROR(IF($C115="","",IF($D115="","",IFERROR(ROUND($D115*INDEX('🔖 배합비 참조'!$B$2:$CE$83,MATCH("두류가공품(백옥앙금)",'🔖 배합비 참조'!$A$2:$A$83,0),MATCH($C115,'🔖 배합비 참조'!$B$1:$CE$1,0))/100,0),""))),"")</f>
        <v>0</v>
      </c>
      <c r="AK115" s="39" t="n">
        <f aca="false">IFERROR(IF($C115="","",IF($D115="","",IFERROR(ROUND($D115*INDEX('🔖 배합비 참조'!$B$2:$CE$83,MATCH("두류가공품(콩고물)",'🔖 배합비 참조'!$A$2:$A$83,0),MATCH($C115,'🔖 배합비 참조'!$B$1:$CE$1,0))/100,0),""))),"")</f>
        <v>0</v>
      </c>
      <c r="AL115" s="39" t="n">
        <f aca="false">IFERROR(IF($C115="","",IF($D115="","",IFERROR(ROUND($D115*INDEX('🔖 배합비 참조'!$B$2:$CE$83,MATCH("두류가공품(통팥고물)",'🔖 배합비 참조'!$A$2:$A$83,0),MATCH($C115,'🔖 배합비 참조'!$B$1:$CE$1,0))/100,0),""))),"")</f>
        <v>0</v>
      </c>
      <c r="AM115" s="39" t="n">
        <f aca="false">IFERROR(IF($C115="","",IF($D115="","",IFERROR(ROUND($D115*INDEX('🔖 배합비 참조'!$B$2:$CE$83,MATCH("딸기레진",'🔖 배합비 참조'!$A$2:$A$83,0),MATCH($C115,'🔖 배합비 참조'!$B$1:$CE$1,0))/100,0),""))),"")</f>
        <v>0</v>
      </c>
      <c r="AN115" s="39" t="n">
        <f aca="false">IFERROR(IF($C115="","",IF($D115="","",IFERROR(ROUND($D115*INDEX('🔖 배합비 참조'!$B$2:$CE$83,MATCH("딸기분말(스트로우베리에이드(분말))",'🔖 배합비 참조'!$A$2:$A$83,0),MATCH($C115,'🔖 배합비 참조'!$B$1:$CE$1,0))/100,0),""))),"")</f>
        <v>0</v>
      </c>
      <c r="AO115" s="39" t="n">
        <f aca="false">IFERROR(IF($C115="","",IF($D115="","",IFERROR(ROUND($D115*INDEX('🔖 배합비 참조'!$B$2:$CE$83,MATCH("마스카포네치즈",'🔖 배합비 참조'!$A$2:$A$83,0),MATCH($C115,'🔖 배합비 참조'!$B$1:$CE$1,0))/100,0),""))),"")</f>
        <v>0</v>
      </c>
      <c r="AP115" s="39" t="n">
        <f aca="false">IFERROR(IF($C115="","",IF($D115="","",IFERROR(ROUND($D115*INDEX('🔖 배합비 참조'!$B$2:$CE$83,MATCH("마카다미아분태(호주산)",'🔖 배합비 참조'!$A$2:$A$83,0),MATCH($C115,'🔖 배합비 참조'!$B$1:$CE$1,0))/100,0),""))),"")</f>
        <v>0</v>
      </c>
      <c r="AQ115" s="39" t="n">
        <f aca="false">IFERROR(IF($C115="","",IF($D115="","",IFERROR(ROUND($D115*INDEX('🔖 배합비 참조'!$B$2:$CE$83,MATCH("멥쌀(국내산)",'🔖 배합비 참조'!$A$2:$A$83,0),MATCH($C115,'🔖 배합비 참조'!$B$1:$CE$1,0))/100,0),""))),"")</f>
        <v>0</v>
      </c>
      <c r="AR115" s="39" t="n">
        <f aca="false">IFERROR(IF($C115="","",IF($D115="","",IFERROR(ROUND($D115*INDEX('🔖 배합비 참조'!$B$2:$CE$83,MATCH("모시잎(국내산)",'🔖 배합비 참조'!$A$2:$A$83,0),MATCH($C115,'🔖 배합비 참조'!$B$1:$CE$1,0))/100,0),""))),"")</f>
        <v>0</v>
      </c>
      <c r="AS115" s="39" t="n">
        <f aca="false">IFERROR(IF($C115="","",IF($D115="","",IFERROR(ROUND($D115*INDEX('🔖 배합비 참조'!$B$2:$CE$83,MATCH("물엿(저당물엿)",'🔖 배합비 참조'!$A$2:$A$83,0),MATCH($C115,'🔖 배합비 참조'!$B$1:$CE$1,0))/100,0),""))),"")</f>
        <v>2</v>
      </c>
      <c r="AT115" s="39" t="n">
        <f aca="false">IFERROR(IF($C115="","",IF($D115="","",IFERROR(ROUND($D115*INDEX('🔖 배합비 참조'!$B$2:$CE$83,MATCH("밤다이스",'🔖 배합비 참조'!$A$2:$A$83,0),MATCH($C115,'🔖 배합비 참조'!$B$1:$CE$1,0))/100,0),""))),"")</f>
        <v>0</v>
      </c>
      <c r="AU115" s="39" t="n">
        <f aca="false">IFERROR(IF($C115="","",IF($D115="","",IFERROR(ROUND($D115*INDEX('🔖 배합비 참조'!$B$2:$CE$83,MATCH("변성전분(타피오카전분)",'🔖 배합비 참조'!$A$2:$A$83,0),MATCH($C115,'🔖 배합비 참조'!$B$1:$CE$1,0))/100,0),""))),"")</f>
        <v>0</v>
      </c>
      <c r="AV115" s="39" t="n">
        <f aca="false">IFERROR(IF($C115="","",IF($D115="","",IFERROR(ROUND($D115*INDEX('🔖 배합비 참조'!$B$2:$CE$83,MATCH("복음땅콩분태",'🔖 배합비 참조'!$A$2:$A$83,0),MATCH($C115,'🔖 배합비 참조'!$B$1:$CE$1,0))/100,0),""))),"")</f>
        <v>0</v>
      </c>
      <c r="AW115" s="39" t="n">
        <f aca="false">IFERROR(IF($C115="","",IF($D115="","",IFERROR(ROUND($D115*INDEX('🔖 배합비 참조'!$B$2:$CE$83,MATCH("사양벌꿀(국내산)",'🔖 배합비 참조'!$A$2:$A$83,0),MATCH($C115,'🔖 배합비 참조'!$B$1:$CE$1,0))/100,0),""))),"")</f>
        <v>0</v>
      </c>
      <c r="AX115" s="39" t="n">
        <f aca="false">IFERROR(IF($C115="","",IF($D115="","",IFERROR(ROUND($D115*INDEX('🔖 배합비 참조'!$B$2:$CE$83,MATCH("생크림",'🔖 배합비 참조'!$A$2:$A$83,0),MATCH($C115,'🔖 배합비 참조'!$B$1:$CE$1,0))/100,0),""))),"")</f>
        <v>0</v>
      </c>
      <c r="AY115" s="39" t="n">
        <f aca="false">IFERROR(IF($C115="","",IF($D115="","",IFERROR(ROUND($D115*INDEX('🔖 배합비 참조'!$B$2:$CE$83,MATCH("서양호박(국내산,뉴질랜드산)",'🔖 배합비 참조'!$A$2:$A$83,0),MATCH($C115,'🔖 배합비 참조'!$B$1:$CE$1,0))/100,0),""))),"")</f>
        <v>0</v>
      </c>
      <c r="AZ115" s="39" t="n">
        <f aca="false">IFERROR(IF($C115="","",IF($D115="","",IFERROR(ROUND($D115*INDEX('🔖 배합비 참조'!$B$2:$CE$83,MATCH("설탕",'🔖 배합비 참조'!$A$2:$A$83,0),MATCH($C115,'🔖 배합비 참조'!$B$1:$CE$1,0))/100,0),""))),"")</f>
        <v>2</v>
      </c>
      <c r="BA115" s="39" t="n">
        <f aca="false">IFERROR(IF($C115="","",IF($D115="","",IFERROR(ROUND($D115*INDEX('🔖 배합비 참조'!$B$2:$CE$83,MATCH("스트로우베리 에이드 후레쉬",'🔖 배합비 참조'!$A$2:$A$83,0),MATCH($C115,'🔖 배합비 참조'!$B$1:$CE$1,0))/100,0),""))),"")</f>
        <v>0</v>
      </c>
      <c r="BB115" s="39" t="n">
        <f aca="false">IFERROR(IF($C115="","",IF($D115="","",IFERROR(ROUND($D115*INDEX('🔖 배합비 참조'!$B$2:$CE$83,MATCH("식물성기름혼합제제(분홍)",'🔖 배합비 참조'!$A$2:$A$83,0),MATCH($C115,'🔖 배합비 참조'!$B$1:$CE$1,0))/100,0),""))),"")</f>
        <v>0</v>
      </c>
      <c r="BC115" s="39" t="n">
        <f aca="false">IFERROR(IF($C115="","",IF($D115="","",IFERROR(ROUND($D115*INDEX('🔖 배합비 참조'!$B$2:$CE$83,MATCH("식물성기름혼합제제(초록)",'🔖 배합비 참조'!$A$2:$A$83,0),MATCH($C115,'🔖 배합비 참조'!$B$1:$CE$1,0))/100,0),""))),"")</f>
        <v>0</v>
      </c>
      <c r="BD115" s="39" t="n">
        <f aca="false">IFERROR(IF($C115="","",IF($D115="","",IFERROR(ROUND($D115*INDEX('🔖 배합비 참조'!$B$2:$CE$83,MATCH("식물성기름혼합제제(황색)",'🔖 배합비 참조'!$A$2:$A$83,0),MATCH($C115,'🔖 배합비 참조'!$B$1:$CE$1,0))/100,0),""))),"")</f>
        <v>0</v>
      </c>
      <c r="BE115" s="39" t="n">
        <f aca="false">IFERROR(IF($C115="","",IF($D115="","",IFERROR(ROUND($D115*INDEX('🔖 배합비 참조'!$B$2:$CE$83,MATCH("쑥가루(국내산)",'🔖 배합비 참조'!$A$2:$A$83,0),MATCH($C115,'🔖 배합비 참조'!$B$1:$CE$1,0))/100,0),""))),"")</f>
        <v>2</v>
      </c>
      <c r="BF115" s="39" t="n">
        <f aca="false">IFERROR(IF($C115="","",IF($D115="","",IFERROR(ROUND($D115*INDEX('🔖 배합비 참조'!$B$2:$CE$83,MATCH("아몬드슬라이스",'🔖 배합비 참조'!$A$2:$A$83,0),MATCH($C115,'🔖 배합비 참조'!$B$1:$CE$1,0))/100,0),""))),"")</f>
        <v>0</v>
      </c>
      <c r="BG115" s="39" t="n">
        <f aca="false">IFERROR(IF($C115="","",IF($D115="","",IFERROR(ROUND($D115*INDEX('🔖 배합비 참조'!$B$2:$CE$83,MATCH("알룰로오스(국내산)",'🔖 배합비 참조'!$A$2:$A$83,0),MATCH($C115,'🔖 배합비 참조'!$B$1:$CE$1,0))/100,0),""))),"")</f>
        <v>0</v>
      </c>
      <c r="BH115" s="39" t="n">
        <f aca="false">IFERROR(IF($C115="","",IF($D115="","",IFERROR(ROUND($D115*INDEX('🔖 배합비 참조'!$B$2:$CE$83,MATCH("연유",'🔖 배합비 참조'!$A$2:$A$83,0),MATCH($C115,'🔖 배합비 참조'!$B$1:$CE$1,0))/100,0),""))),"")</f>
        <v>0</v>
      </c>
      <c r="BI115" s="39" t="n">
        <f aca="false">IFERROR(IF($C115="","",IF($D115="","",IFERROR(ROUND($D115*INDEX('🔖 배합비 참조'!$B$2:$CE$83,MATCH("옥수수전분",'🔖 배합비 참조'!$A$2:$A$83,0),MATCH($C115,'🔖 배합비 참조'!$B$1:$CE$1,0))/100,0),""))),"")</f>
        <v>0</v>
      </c>
      <c r="BJ115" s="39" t="n">
        <f aca="false">IFERROR(IF($C115="","",IF($D115="","",IFERROR(ROUND($D115*INDEX('🔖 배합비 참조'!$B$2:$CE$83,MATCH("완두배기",'🔖 배합비 참조'!$A$2:$A$83,0),MATCH($C115,'🔖 배합비 참조'!$B$1:$CE$1,0))/100,0),""))),"")</f>
        <v>0</v>
      </c>
      <c r="BK115" s="39" t="n">
        <f aca="false">IFERROR(IF($C115="","",IF($D115="","",IFERROR(ROUND($D115*INDEX('🔖 배합비 참조'!$B$2:$CE$83,MATCH("우유(국내산)",'🔖 배합비 참조'!$A$2:$A$83,0),MATCH($C115,'🔖 배합비 참조'!$B$1:$CE$1,0))/100,0),""))),"")</f>
        <v>0</v>
      </c>
      <c r="BL115" s="39" t="n">
        <f aca="false">IFERROR(IF($C115="","",IF($D115="","",IFERROR(ROUND($D115*INDEX('🔖 배합비 참조'!$B$2:$CE$83,MATCH("자색고구마가루(중국산)",'🔖 배합비 참조'!$A$2:$A$83,0),MATCH($C115,'🔖 배합비 참조'!$B$1:$CE$1,0))/100,0),""))),"")</f>
        <v>0</v>
      </c>
      <c r="BM115" s="39" t="n">
        <f aca="false">IFERROR(IF($C115="","",IF($D115="","",IFERROR(ROUND($D115*INDEX('🔖 배합비 참조'!$B$2:$CE$83,MATCH("자연치즈(체다치즈)",'🔖 배합비 참조'!$A$2:$A$83,0),MATCH($C115,'🔖 배합비 참조'!$B$1:$CE$1,0))/100,0),""))),"")</f>
        <v>0</v>
      </c>
      <c r="BN115" s="39" t="n">
        <f aca="false">IFERROR(IF($C115="","",IF($D115="","",IFERROR(ROUND($D115*INDEX('🔖 배합비 참조'!$B$2:$CE$83,MATCH("정제수",'🔖 배합비 참조'!$A$2:$A$83,0),MATCH($C115,'🔖 배합비 참조'!$B$1:$CE$1,0))/100,0),""))),"")</f>
        <v>8</v>
      </c>
      <c r="BO115" s="39" t="n">
        <f aca="false">IFERROR(IF($C115="","",IF($D115="","",IFERROR(ROUND($D115*INDEX('🔖 배합비 참조'!$B$2:$CE$83,MATCH("젤라틴",'🔖 배합비 참조'!$A$2:$A$83,0),MATCH($C115,'🔖 배합비 참조'!$B$1:$CE$1,0))/100,0),""))),"")</f>
        <v>0</v>
      </c>
      <c r="BP115" s="39" t="n">
        <f aca="false">IFERROR(IF($C115="","",IF($D115="","",IFERROR(ROUND($D115*INDEX('🔖 배합비 참조'!$B$2:$CE$83,MATCH("조림류(백옥앙금)",'🔖 배합비 참조'!$A$2:$A$83,0),MATCH($C115,'🔖 배합비 참조'!$B$1:$CE$1,0))/100,0),""))),"")</f>
        <v>21</v>
      </c>
      <c r="BQ115" s="39" t="n">
        <f aca="false">IFERROR(IF($C115="","",IF($D115="","",IFERROR(ROUND($D115*INDEX('🔖 배합비 참조'!$B$2:$CE$83,MATCH("조림류(통팥앙금)",'🔖 배합비 참조'!$A$2:$A$83,0),MATCH($C115,'🔖 배합비 참조'!$B$1:$CE$1,0))/100,0),""))),"")</f>
        <v>0</v>
      </c>
      <c r="BR115" s="39" t="n">
        <f aca="false">IFERROR(IF($C115="","",IF($D115="","",IFERROR(ROUND($D115*INDEX('🔖 배합비 참조'!$B$2:$CE$83,MATCH("준초콜릿(외국산)",'🔖 배합비 참조'!$A$2:$A$83,0),MATCH($C115,'🔖 배합비 참조'!$B$1:$CE$1,0))/100,0),""))),"")</f>
        <v>0</v>
      </c>
      <c r="BS115" s="39" t="n">
        <f aca="false">IFERROR(IF($C115="","",IF($D115="","",IFERROR(ROUND($D115*INDEX('🔖 배합비 참조'!$B$2:$CE$83,MATCH("중력분",'🔖 배합비 참조'!$A$2:$A$83,0),MATCH($C115,'🔖 배합비 참조'!$B$1:$CE$1,0))/100,0),""))),"")</f>
        <v>0</v>
      </c>
      <c r="BT115" s="39" t="n">
        <f aca="false">IFERROR(IF($C115="","",IF($D115="","",IFERROR(ROUND($D115*INDEX('🔖 배합비 참조'!$B$2:$CE$83,MATCH("참깨(인도산,나이지리아산,탄자니아산,미얀마산)",'🔖 배합비 참조'!$A$2:$A$83,0),MATCH($C115,'🔖 배합비 참조'!$B$1:$CE$1,0))/100,0),""))),"")</f>
        <v>0</v>
      </c>
      <c r="BU115" s="39" t="n">
        <f aca="false">IFERROR(IF($C115="","",IF($D115="","",IFERROR(ROUND($D115*INDEX('🔖 배합비 참조'!$B$2:$CE$83,MATCH("찹쌀(국내산)",'🔖 배합비 참조'!$A$2:$A$83,0),MATCH($C115,'🔖 배합비 참조'!$B$1:$CE$1,0))/100,0),""))),"")</f>
        <v>19</v>
      </c>
      <c r="BV115" s="39" t="n">
        <f aca="false">IFERROR(IF($C115="","",IF($D115="","",IFERROR(ROUND($D115*INDEX('🔖 배합비 참조'!$B$2:$CE$83,MATCH("천일염",'🔖 배합비 참조'!$A$2:$A$83,0),MATCH($C115,'🔖 배합비 참조'!$B$1:$CE$1,0))/100,0),""))),"")</f>
        <v>0</v>
      </c>
      <c r="BW115" s="39" t="n">
        <f aca="false">IFERROR(IF($C115="","",IF($D115="","",IFERROR(ROUND($D115*INDEX('🔖 배합비 참조'!$B$2:$CE$83,MATCH("치즈 [크림치즈]",'🔖 배합비 참조'!$A$2:$A$83,0),MATCH($C115,'🔖 배합비 참조'!$B$1:$CE$1,0))/100,0),""))),"")</f>
        <v>0</v>
      </c>
      <c r="BX115" s="39" t="n">
        <f aca="false">IFERROR(IF($C115="","",IF($D115="","",IFERROR(ROUND($D115*INDEX('🔖 배합비 참조'!$B$2:$CE$83,MATCH("코코아가공품류(코코아분말)",'🔖 배합비 참조'!$A$2:$A$83,0),MATCH($C115,'🔖 배합비 참조'!$B$1:$CE$1,0))/100,0),""))),"")</f>
        <v>0</v>
      </c>
      <c r="BY115" s="39" t="n">
        <f aca="false">IFERROR(IF($C115="","",IF($D115="","",IFERROR(ROUND($D115*INDEX('🔖 배합비 참조'!$B$2:$CE$83,MATCH("콩기름(대두유)",'🔖 배합비 참조'!$A$2:$A$83,0),MATCH($C115,'🔖 배합비 참조'!$B$1:$CE$1,0))/100,0),""))),"")</f>
        <v>0</v>
      </c>
      <c r="BZ115" s="39" t="n">
        <f aca="false">IFERROR(IF($C115="","",IF($D115="","",IFERROR(ROUND($D115*INDEX('🔖 배합비 참조'!$B$2:$CE$83,MATCH("해바라기씨앗",'🔖 배합비 참조'!$A$2:$A$83,0),MATCH($C115,'🔖 배합비 참조'!$B$1:$CE$1,0))/100,0),""))),"")</f>
        <v>0</v>
      </c>
      <c r="CA115" s="39" t="n">
        <f aca="false">IFERROR(IF($C115="","",IF($D115="","",IFERROR(ROUND($D115*INDEX('🔖 배합비 참조'!$B$2:$CE$83,MATCH("현미(국내산)",'🔖 배합비 참조'!$A$2:$A$83,0),MATCH($C115,'🔖 배합비 참조'!$B$1:$CE$1,0))/100,0),""))),"")</f>
        <v>0</v>
      </c>
      <c r="CB115" s="39" t="n">
        <f aca="false">IFERROR(IF($C115="","",IF($D115="","",IFERROR(ROUND($D115*INDEX('🔖 배합비 참조'!$B$2:$CE$83,MATCH("현미멥쌀(국내산)",'🔖 배합비 참조'!$A$2:$A$83,0),MATCH($C115,'🔖 배합비 참조'!$B$1:$CE$1,0))/100,0),""))),"")</f>
        <v>0</v>
      </c>
      <c r="CC115" s="39" t="n">
        <f aca="false">IFERROR(IF($C115="","",IF($D115="","",IFERROR(ROUND($D115*INDEX('🔖 배합비 참조'!$B$2:$CE$83,MATCH("호두분태(미국산)",'🔖 배합비 참조'!$A$2:$A$83,0),MATCH($C115,'🔖 배합비 참조'!$B$1:$CE$1,0))/100,0),""))),"")</f>
        <v>0</v>
      </c>
      <c r="CD115" s="39" t="n">
        <f aca="false">IFERROR(IF($C115="","",IF($D115="","",IFERROR(ROUND($D115*INDEX('🔖 배합비 참조'!$B$2:$CE$83,MATCH("호박씨앗(외국산)",'🔖 배합비 참조'!$A$2:$A$83,0),MATCH($C115,'🔖 배합비 참조'!$B$1:$CE$1,0))/100,0),""))),"")</f>
        <v>0</v>
      </c>
      <c r="CE115" s="39" t="n">
        <f aca="false">IFERROR(IF($C115="","",IF($D115="","",IFERROR(ROUND($D115*INDEX('🔖 배합비 참조'!$B$2:$CE$83,MATCH("혼합제제(떡용에스텔)",'🔖 배합비 참조'!$A$2:$A$83,0),MATCH($C115,'🔖 배합비 참조'!$B$1:$CE$1,0))/100,0),""))),"")</f>
        <v>0</v>
      </c>
      <c r="CF115" s="39" t="n">
        <f aca="false">IFERROR(IF($C115="","",IF($D115="","",IFERROR(ROUND($D115*INDEX('🔖 배합비 참조'!$B$2:$CE$83,MATCH("혼합제제(스테비아)",'🔖 배합비 참조'!$A$2:$A$83,0),MATCH($C115,'🔖 배합비 참조'!$B$1:$CE$1,0))/100,0),""))),"")</f>
        <v>0</v>
      </c>
      <c r="CG115" s="39" t="n">
        <f aca="false">IFERROR(IF($C115="","",IF($D115="","",IFERROR(ROUND($D115*INDEX('🔖 배합비 참조'!$B$2:$CE$83,MATCH("화이트초콜릿",'🔖 배합비 참조'!$A$2:$A$83,0),MATCH($C115,'🔖 배합비 참조'!$B$1:$CE$1,0))/100,0),""))),"")</f>
        <v>0</v>
      </c>
      <c r="CH115" s="39" t="n">
        <f aca="false">IFERROR(IF($C115="","",IF($D115="","",IFERROR(ROUND($D115*INDEX('🔖 배합비 참조'!$B$2:$CE$83,MATCH("흑미찹쌀(국내산)",'🔖 배합비 참조'!$A$2:$A$83,0),MATCH($C115,'🔖 배합비 참조'!$B$1:$CE$1,0))/100,0),""))),"")</f>
        <v>0</v>
      </c>
      <c r="CI115" s="39" t="n">
        <f aca="false">IFERROR(IF($C115="","",IF($D115="","",IFERROR(ROUND($D115*INDEX('🔖 배합비 참조'!$B$2:$CE$83,MATCH("찰옥수수전분(미국산)",'🔖 배합비 참조'!$A$2:$A$83,0),MATCH($C115,'🔖 배합비 참조'!$B$1:$CE$1,0))/100,0),""))),"")</f>
        <v>0</v>
      </c>
      <c r="CJ115" s="40"/>
      <c r="CL115" s="1" t="s">
        <v>239</v>
      </c>
    </row>
    <row r="116" customFormat="false" ht="18" hidden="false" customHeight="true" outlineLevel="0" collapsed="false">
      <c r="A116" s="41" t="n">
        <v>112</v>
      </c>
      <c r="B116" s="36" t="n">
        <v>46000</v>
      </c>
      <c r="C116" s="37" t="s">
        <v>236</v>
      </c>
      <c r="D116" s="38" t="n">
        <v>140</v>
      </c>
      <c r="E116" s="17"/>
      <c r="F116" s="17"/>
      <c r="G116" s="42" t="n">
        <f aca="false">IFERROR(IF($C116="","",IF($D116="","",IFERROR(ROUND($D116*INDEX('🔖 배합비 참조'!$B$2:$CE$83,MATCH("간장",'🔖 배합비 참조'!$A$2:$A$83,0),MATCH($C116,'🔖 배합비 참조'!$B$1:$CE$1,0))/100,0),""))),"")</f>
        <v>0</v>
      </c>
      <c r="H116" s="42" t="n">
        <f aca="false">IFERROR(IF($C116="","",IF($D116="","",IFERROR(ROUND($D116*INDEX('🔖 배합비 참조'!$B$2:$CE$83,MATCH("강낭콩((울타리콩))",'🔖 배합비 참조'!$A$2:$A$83,0),MATCH($C116,'🔖 배합비 참조'!$B$1:$CE$1,0))/100,0),""))),"")</f>
        <v>0</v>
      </c>
      <c r="I116" s="42" t="n">
        <f aca="false">IFERROR(IF($C116="","",IF($D116="","",IFERROR(ROUND($D116*INDEX('🔖 배합비 참조'!$B$2:$CE$83,MATCH("건조딸기다이스(외국산)",'🔖 배합비 참조'!$A$2:$A$83,0),MATCH($C116,'🔖 배합비 참조'!$B$1:$CE$1,0))/100,0),""))),"")</f>
        <v>0</v>
      </c>
      <c r="J116" s="42" t="n">
        <f aca="false">IFERROR(IF($C116="","",IF($D116="","",IFERROR(ROUND($D116*INDEX('🔖 배합비 참조'!$B$2:$CE$83,MATCH("건포도",'🔖 배합비 참조'!$A$2:$A$83,0),MATCH($C116,'🔖 배합비 참조'!$B$1:$CE$1,0))/100,0),""))),"")</f>
        <v>0</v>
      </c>
      <c r="K116" s="42" t="n">
        <f aca="false">IFERROR(IF($C116="","",IF($D116="","",IFERROR(ROUND($D116*INDEX('🔖 배합비 참조'!$B$2:$CE$83,MATCH("건호박채(중국산)",'🔖 배합비 참조'!$A$2:$A$83,0),MATCH($C116,'🔖 배합비 참조'!$B$1:$CE$1,0))/100,0),""))),"")</f>
        <v>0</v>
      </c>
      <c r="L116" s="42" t="n">
        <f aca="false">IFERROR(IF($C116="","",IF($D116="","",IFERROR(ROUND($D116*INDEX('🔖 배합비 참조'!$B$2:$CE$83,MATCH("검정깨(흑임자)",'🔖 배합비 참조'!$A$2:$A$83,0),MATCH($C116,'🔖 배합비 참조'!$B$1:$CE$1,0))/100,0),""))),"")</f>
        <v>0</v>
      </c>
      <c r="M116" s="42" t="n">
        <f aca="false">IFERROR(IF($C116="","",IF($D116="","",IFERROR(ROUND($D116*INDEX('🔖 배합비 참조'!$B$2:$CE$83,MATCH("검정콩",'🔖 배합비 참조'!$A$2:$A$83,0),MATCH($C116,'🔖 배합비 참조'!$B$1:$CE$1,0))/100,0),""))),"")</f>
        <v>0</v>
      </c>
      <c r="N116" s="42" t="n">
        <f aca="false">IFERROR(IF($C116="","",IF($D116="","",IFERROR(ROUND($D116*INDEX('🔖 배합비 참조'!$B$2:$CE$83,MATCH("계피가루",'🔖 배합비 참조'!$A$2:$A$83,0),MATCH($C116,'🔖 배합비 참조'!$B$1:$CE$1,0))/100,0),""))),"")</f>
        <v>0</v>
      </c>
      <c r="O116" s="42" t="n">
        <f aca="false">IFERROR(IF($C116="","",IF($D116="","",IFERROR(ROUND($D116*INDEX('🔖 배합비 참조'!$B$2:$CE$83,MATCH("고구마가루",'🔖 배합비 참조'!$A$2:$A$83,0),MATCH($C116,'🔖 배합비 참조'!$B$1:$CE$1,0))/100,0),""))),"")</f>
        <v>0</v>
      </c>
      <c r="P116" s="42" t="n">
        <f aca="false">IFERROR(IF($C116="","",IF($D116="","",IFERROR(ROUND($D116*INDEX('🔖 배합비 참조'!$B$2:$CE$83,MATCH("고구마무스",'🔖 배합비 참조'!$A$2:$A$83,0),MATCH($C116,'🔖 배합비 참조'!$B$1:$CE$1,0))/100,0),""))),"")</f>
        <v>0</v>
      </c>
      <c r="Q116" s="42" t="n">
        <f aca="false">IFERROR(IF($C116="","",IF($D116="","",IFERROR(ROUND($D116*INDEX('🔖 배합비 참조'!$B$2:$CE$83,MATCH("고려엉겅퀴((곤드레)국내산)",'🔖 배합비 참조'!$A$2:$A$83,0),MATCH($C116,'🔖 배합비 참조'!$B$1:$CE$1,0))/100,0),""))),"")</f>
        <v>0</v>
      </c>
      <c r="R116" s="42" t="n">
        <f aca="false">IFERROR(IF($C116="","",IF($D116="","",IFERROR(ROUND($D116*INDEX('🔖 배합비 참조'!$B$2:$CE$83,MATCH("기타가공품(복분자가루)",'🔖 배합비 참조'!$A$2:$A$83,0),MATCH($C116,'🔖 배합비 참조'!$B$1:$CE$1,0))/100,0),""))),"")</f>
        <v>0</v>
      </c>
      <c r="S116" s="42" t="n">
        <f aca="false">IFERROR(IF($C116="","",IF($D116="","",IFERROR(ROUND($D116*INDEX('🔖 배합비 참조'!$B$2:$CE$83,MATCH("기타가공품(슈퍼소프트엠)",'🔖 배합비 참조'!$A$2:$A$83,0),MATCH($C116,'🔖 배합비 참조'!$B$1:$CE$1,0))/100,0),""))),"")</f>
        <v>0</v>
      </c>
      <c r="T116" s="42" t="n">
        <f aca="false">IFERROR(IF($C116="","",IF($D116="","",IFERROR(ROUND($D116*INDEX('🔖 배합비 참조'!$B$2:$CE$83,MATCH("기타가공품(파인소프트 E-티)",'🔖 배합비 참조'!$A$2:$A$83,0),MATCH($C116,'🔖 배합비 참조'!$B$1:$CE$1,0))/100,0),""))),"")</f>
        <v>0</v>
      </c>
      <c r="U116" s="42" t="n">
        <f aca="false">IFERROR(IF($C116="","",IF($D116="","",IFERROR(ROUND($D116*INDEX('🔖 배합비 참조'!$B$2:$CE$83,MATCH("기타가공품(프리미엄카스테라가루)",'🔖 배합비 참조'!$A$2:$A$83,0),MATCH($C116,'🔖 배합비 참조'!$B$1:$CE$1,0))/100,0),""))),"")</f>
        <v>0</v>
      </c>
      <c r="V116" s="42" t="n">
        <f aca="false">IFERROR(IF($C116="","",IF($D116="","",IFERROR(ROUND($D116*INDEX('🔖 배합비 참조'!$B$2:$CE$83,MATCH("기타가공품(흑임자가루)",'🔖 배합비 참조'!$A$2:$A$83,0),MATCH($C116,'🔖 배합비 참조'!$B$1:$CE$1,0))/100,0),""))),"")</f>
        <v>0</v>
      </c>
      <c r="W116" s="42" t="n">
        <f aca="false">IFERROR(IF($C116="","",IF($D116="","",IFERROR(ROUND($D116*INDEX('🔖 배합비 참조'!$B$2:$CE$83,MATCH("기타설탕(흑설탕)",'🔖 배합비 참조'!$A$2:$A$83,0),MATCH($C116,'🔖 배합비 참조'!$B$1:$CE$1,0))/100,0),""))),"")</f>
        <v>0</v>
      </c>
      <c r="X116" s="42" t="n">
        <f aca="false">IFERROR(IF($C116="","",IF($D116="","",IFERROR(ROUND($D116*INDEX('🔖 배합비 참조'!$B$2:$CE$83,MATCH("냉동쑥(국내산)",'🔖 배합비 참조'!$A$2:$A$83,0),MATCH($C116,'🔖 배합비 참조'!$B$1:$CE$1,0))/100,0),""))),"")</f>
        <v>3</v>
      </c>
      <c r="Y116" s="42" t="n">
        <f aca="false">IFERROR(IF($C116="","",IF($D116="","",IFERROR(ROUND($D116*INDEX('🔖 배합비 참조'!$B$2:$CE$83,MATCH("냉동증숙고구마(중국산)",'🔖 배합비 참조'!$A$2:$A$83,0),MATCH($C116,'🔖 배합비 참조'!$B$1:$CE$1,0))/100,0),""))),"")</f>
        <v>0</v>
      </c>
      <c r="Z116" s="42" t="n">
        <f aca="false">IFERROR(IF($C116="","",IF($D116="","",IFERROR(ROUND($D116*INDEX('🔖 배합비 참조'!$B$2:$CE$83,MATCH("녹차가루",'🔖 배합비 참조'!$A$2:$A$83,0),MATCH($C116,'🔖 배합비 참조'!$B$1:$CE$1,0))/100,0),""))),"")</f>
        <v>0</v>
      </c>
      <c r="AA116" s="42" t="n">
        <f aca="false">IFERROR(IF($C116="","",IF($D116="","",IFERROR(ROUND($D116*INDEX('🔖 배합비 참조'!$B$2:$CE$83,MATCH("다크초콜릿 컴파운드칩",'🔖 배합비 참조'!$A$2:$A$83,0),MATCH($C116,'🔖 배합비 참조'!$B$1:$CE$1,0))/100,0),""))),"")</f>
        <v>0</v>
      </c>
      <c r="AB116" s="42" t="n">
        <f aca="false">IFERROR(IF($C116="","",IF($D116="","",IFERROR(ROUND($D116*INDEX('🔖 배합비 참조'!$B$2:$CE$83,MATCH("단호박분말(중국산)",'🔖 배합비 참조'!$A$2:$A$83,0),MATCH($C116,'🔖 배합비 참조'!$B$1:$CE$1,0))/100,0),""))),"")</f>
        <v>0</v>
      </c>
      <c r="AC116" s="42" t="n">
        <f aca="false">IFERROR(IF($C116="","",IF($D116="","",IFERROR(ROUND($D116*INDEX('🔖 배합비 참조'!$B$2:$CE$83,MATCH("당류가공품(단호박농축액)",'🔖 배합비 참조'!$A$2:$A$83,0),MATCH($C116,'🔖 배합비 참조'!$B$1:$CE$1,0))/100,0),""))),"")</f>
        <v>0</v>
      </c>
      <c r="AD116" s="42" t="n">
        <f aca="false">IFERROR(IF($C116="","",IF($D116="","",IFERROR(ROUND($D116*INDEX('🔖 배합비 참조'!$B$2:$CE$83,MATCH("당류가공품(알룰로스,에리스리톨,스테비올배당체혼합)",'🔖 배합비 참조'!$A$2:$A$83,0),MATCH($C116,'🔖 배합비 참조'!$B$1:$CE$1,0))/100,0),""))),"")</f>
        <v>0</v>
      </c>
      <c r="AE116" s="42" t="n">
        <f aca="false">IFERROR(IF($C116="","",IF($D116="","",IFERROR(ROUND($D116*INDEX('🔖 배합비 참조'!$B$2:$CE$83,MATCH("당류가공품(알룰로스제로파우더)",'🔖 배합비 참조'!$A$2:$A$83,0),MATCH($C116,'🔖 배합비 참조'!$B$1:$CE$1,0))/100,0),""))),"")</f>
        <v>0</v>
      </c>
      <c r="AF116" s="42" t="n">
        <f aca="false">IFERROR(IF($C116="","",IF($D116="","",IFERROR(ROUND($D116*INDEX('🔖 배합비 참조'!$B$2:$CE$83,MATCH("당절임(완두배기)",'🔖 배합비 참조'!$A$2:$A$83,0),MATCH($C116,'🔖 배합비 참조'!$B$1:$CE$1,0))/100,0),""))),"")</f>
        <v>0</v>
      </c>
      <c r="AG116" s="42" t="n">
        <f aca="false">IFERROR(IF($C116="","",IF($D116="","",IFERROR(ROUND($D116*INDEX('🔖 배합비 참조'!$B$2:$CE$83,MATCH("대추농축액",'🔖 배합비 참조'!$A$2:$A$83,0),MATCH($C116,'🔖 배합비 참조'!$B$1:$CE$1,0))/100,0),""))),"")</f>
        <v>0</v>
      </c>
      <c r="AH116" s="42" t="n">
        <f aca="false">IFERROR(IF($C116="","",IF($D116="","",IFERROR(ROUND($D116*INDEX('🔖 배합비 참조'!$B$2:$CE$83,MATCH("대추채(국내산)",'🔖 배합비 참조'!$A$2:$A$83,0),MATCH($C116,'🔖 배합비 참조'!$B$1:$CE$1,0))/100,0),""))),"")</f>
        <v>0</v>
      </c>
      <c r="AI116" s="42" t="n">
        <f aca="false">IFERROR(IF($C116="","",IF($D116="","",IFERROR(ROUND($D116*INDEX('🔖 배합비 참조'!$B$2:$CE$83,MATCH("동부(미얀마산)",'🔖 배합비 참조'!$A$2:$A$83,0),MATCH($C116,'🔖 배합비 참조'!$B$1:$CE$1,0))/100,0),""))),"")</f>
        <v>17</v>
      </c>
      <c r="AJ116" s="42" t="n">
        <f aca="false">IFERROR(IF($C116="","",IF($D116="","",IFERROR(ROUND($D116*INDEX('🔖 배합비 참조'!$B$2:$CE$83,MATCH("두류가공품(백옥앙금)",'🔖 배합비 참조'!$A$2:$A$83,0),MATCH($C116,'🔖 배합비 참조'!$B$1:$CE$1,0))/100,0),""))),"")</f>
        <v>0</v>
      </c>
      <c r="AK116" s="42" t="n">
        <f aca="false">IFERROR(IF($C116="","",IF($D116="","",IFERROR(ROUND($D116*INDEX('🔖 배합비 참조'!$B$2:$CE$83,MATCH("두류가공품(콩고물)",'🔖 배합비 참조'!$A$2:$A$83,0),MATCH($C116,'🔖 배합비 참조'!$B$1:$CE$1,0))/100,0),""))),"")</f>
        <v>4</v>
      </c>
      <c r="AL116" s="42" t="n">
        <f aca="false">IFERROR(IF($C116="","",IF($D116="","",IFERROR(ROUND($D116*INDEX('🔖 배합비 참조'!$B$2:$CE$83,MATCH("두류가공품(통팥고물)",'🔖 배합비 참조'!$A$2:$A$83,0),MATCH($C116,'🔖 배합비 참조'!$B$1:$CE$1,0))/100,0),""))),"")</f>
        <v>0</v>
      </c>
      <c r="AM116" s="42" t="n">
        <f aca="false">IFERROR(IF($C116="","",IF($D116="","",IFERROR(ROUND($D116*INDEX('🔖 배합비 참조'!$B$2:$CE$83,MATCH("딸기레진",'🔖 배합비 참조'!$A$2:$A$83,0),MATCH($C116,'🔖 배합비 참조'!$B$1:$CE$1,0))/100,0),""))),"")</f>
        <v>0</v>
      </c>
      <c r="AN116" s="42" t="n">
        <f aca="false">IFERROR(IF($C116="","",IF($D116="","",IFERROR(ROUND($D116*INDEX('🔖 배합비 참조'!$B$2:$CE$83,MATCH("딸기분말(스트로우베리에이드(분말))",'🔖 배합비 참조'!$A$2:$A$83,0),MATCH($C116,'🔖 배합비 참조'!$B$1:$CE$1,0))/100,0),""))),"")</f>
        <v>0</v>
      </c>
      <c r="AO116" s="42" t="n">
        <f aca="false">IFERROR(IF($C116="","",IF($D116="","",IFERROR(ROUND($D116*INDEX('🔖 배합비 참조'!$B$2:$CE$83,MATCH("마스카포네치즈",'🔖 배합비 참조'!$A$2:$A$83,0),MATCH($C116,'🔖 배합비 참조'!$B$1:$CE$1,0))/100,0),""))),"")</f>
        <v>0</v>
      </c>
      <c r="AP116" s="42" t="n">
        <f aca="false">IFERROR(IF($C116="","",IF($D116="","",IFERROR(ROUND($D116*INDEX('🔖 배합비 참조'!$B$2:$CE$83,MATCH("마카다미아분태(호주산)",'🔖 배합비 참조'!$A$2:$A$83,0),MATCH($C116,'🔖 배합비 참조'!$B$1:$CE$1,0))/100,0),""))),"")</f>
        <v>0</v>
      </c>
      <c r="AQ116" s="42" t="n">
        <f aca="false">IFERROR(IF($C116="","",IF($D116="","",IFERROR(ROUND($D116*INDEX('🔖 배합비 참조'!$B$2:$CE$83,MATCH("멥쌀(국내산)",'🔖 배합비 참조'!$A$2:$A$83,0),MATCH($C116,'🔖 배합비 참조'!$B$1:$CE$1,0))/100,0),""))),"")</f>
        <v>0</v>
      </c>
      <c r="AR116" s="42" t="n">
        <f aca="false">IFERROR(IF($C116="","",IF($D116="","",IFERROR(ROUND($D116*INDEX('🔖 배합비 참조'!$B$2:$CE$83,MATCH("모시잎(국내산)",'🔖 배합비 참조'!$A$2:$A$83,0),MATCH($C116,'🔖 배합비 참조'!$B$1:$CE$1,0))/100,0),""))),"")</f>
        <v>0</v>
      </c>
      <c r="AS116" s="42" t="n">
        <f aca="false">IFERROR(IF($C116="","",IF($D116="","",IFERROR(ROUND($D116*INDEX('🔖 배합비 참조'!$B$2:$CE$83,MATCH("물엿(저당물엿)",'🔖 배합비 참조'!$A$2:$A$83,0),MATCH($C116,'🔖 배합비 참조'!$B$1:$CE$1,0))/100,0),""))),"")</f>
        <v>3</v>
      </c>
      <c r="AT116" s="42" t="n">
        <f aca="false">IFERROR(IF($C116="","",IF($D116="","",IFERROR(ROUND($D116*INDEX('🔖 배합비 참조'!$B$2:$CE$83,MATCH("밤다이스",'🔖 배합비 참조'!$A$2:$A$83,0),MATCH($C116,'🔖 배합비 참조'!$B$1:$CE$1,0))/100,0),""))),"")</f>
        <v>0</v>
      </c>
      <c r="AU116" s="42" t="n">
        <f aca="false">IFERROR(IF($C116="","",IF($D116="","",IFERROR(ROUND($D116*INDEX('🔖 배합비 참조'!$B$2:$CE$83,MATCH("변성전분(타피오카전분)",'🔖 배합비 참조'!$A$2:$A$83,0),MATCH($C116,'🔖 배합비 참조'!$B$1:$CE$1,0))/100,0),""))),"")</f>
        <v>0</v>
      </c>
      <c r="AV116" s="42" t="n">
        <f aca="false">IFERROR(IF($C116="","",IF($D116="","",IFERROR(ROUND($D116*INDEX('🔖 배합비 참조'!$B$2:$CE$83,MATCH("복음땅콩분태",'🔖 배합비 참조'!$A$2:$A$83,0),MATCH($C116,'🔖 배합비 참조'!$B$1:$CE$1,0))/100,0),""))),"")</f>
        <v>0</v>
      </c>
      <c r="AW116" s="42" t="n">
        <f aca="false">IFERROR(IF($C116="","",IF($D116="","",IFERROR(ROUND($D116*INDEX('🔖 배합비 참조'!$B$2:$CE$83,MATCH("사양벌꿀(국내산)",'🔖 배합비 참조'!$A$2:$A$83,0),MATCH($C116,'🔖 배합비 참조'!$B$1:$CE$1,0))/100,0),""))),"")</f>
        <v>0</v>
      </c>
      <c r="AX116" s="42" t="n">
        <f aca="false">IFERROR(IF($C116="","",IF($D116="","",IFERROR(ROUND($D116*INDEX('🔖 배합비 참조'!$B$2:$CE$83,MATCH("생크림",'🔖 배합비 참조'!$A$2:$A$83,0),MATCH($C116,'🔖 배합비 참조'!$B$1:$CE$1,0))/100,0),""))),"")</f>
        <v>0</v>
      </c>
      <c r="AY116" s="42" t="n">
        <f aca="false">IFERROR(IF($C116="","",IF($D116="","",IFERROR(ROUND($D116*INDEX('🔖 배합비 참조'!$B$2:$CE$83,MATCH("서양호박(국내산,뉴질랜드산)",'🔖 배합비 참조'!$A$2:$A$83,0),MATCH($C116,'🔖 배합비 참조'!$B$1:$CE$1,0))/100,0),""))),"")</f>
        <v>0</v>
      </c>
      <c r="AZ116" s="42" t="n">
        <f aca="false">IFERROR(IF($C116="","",IF($D116="","",IFERROR(ROUND($D116*INDEX('🔖 배합비 참조'!$B$2:$CE$83,MATCH("설탕",'🔖 배합비 참조'!$A$2:$A$83,0),MATCH($C116,'🔖 배합비 참조'!$B$1:$CE$1,0))/100,0),""))),"")</f>
        <v>3</v>
      </c>
      <c r="BA116" s="42" t="n">
        <f aca="false">IFERROR(IF($C116="","",IF($D116="","",IFERROR(ROUND($D116*INDEX('🔖 배합비 참조'!$B$2:$CE$83,MATCH("스트로우베리 에이드 후레쉬",'🔖 배합비 참조'!$A$2:$A$83,0),MATCH($C116,'🔖 배합비 참조'!$B$1:$CE$1,0))/100,0),""))),"")</f>
        <v>0</v>
      </c>
      <c r="BB116" s="42" t="n">
        <f aca="false">IFERROR(IF($C116="","",IF($D116="","",IFERROR(ROUND($D116*INDEX('🔖 배합비 참조'!$B$2:$CE$83,MATCH("식물성기름혼합제제(분홍)",'🔖 배합비 참조'!$A$2:$A$83,0),MATCH($C116,'🔖 배합비 참조'!$B$1:$CE$1,0))/100,0),""))),"")</f>
        <v>0</v>
      </c>
      <c r="BC116" s="42" t="n">
        <f aca="false">IFERROR(IF($C116="","",IF($D116="","",IFERROR(ROUND($D116*INDEX('🔖 배합비 참조'!$B$2:$CE$83,MATCH("식물성기름혼합제제(초록)",'🔖 배합비 참조'!$A$2:$A$83,0),MATCH($C116,'🔖 배합비 참조'!$B$1:$CE$1,0))/100,0),""))),"")</f>
        <v>0</v>
      </c>
      <c r="BD116" s="42" t="n">
        <f aca="false">IFERROR(IF($C116="","",IF($D116="","",IFERROR(ROUND($D116*INDEX('🔖 배합비 참조'!$B$2:$CE$83,MATCH("식물성기름혼합제제(황색)",'🔖 배합비 참조'!$A$2:$A$83,0),MATCH($C116,'🔖 배합비 참조'!$B$1:$CE$1,0))/100,0),""))),"")</f>
        <v>0</v>
      </c>
      <c r="BE116" s="42" t="n">
        <f aca="false">IFERROR(IF($C116="","",IF($D116="","",IFERROR(ROUND($D116*INDEX('🔖 배합비 참조'!$B$2:$CE$83,MATCH("쑥가루(국내산)",'🔖 배합비 참조'!$A$2:$A$83,0),MATCH($C116,'🔖 배합비 참조'!$B$1:$CE$1,0))/100,0),""))),"")</f>
        <v>1</v>
      </c>
      <c r="BF116" s="42" t="n">
        <f aca="false">IFERROR(IF($C116="","",IF($D116="","",IFERROR(ROUND($D116*INDEX('🔖 배합비 참조'!$B$2:$CE$83,MATCH("아몬드슬라이스",'🔖 배합비 참조'!$A$2:$A$83,0),MATCH($C116,'🔖 배합비 참조'!$B$1:$CE$1,0))/100,0),""))),"")</f>
        <v>0</v>
      </c>
      <c r="BG116" s="42" t="n">
        <f aca="false">IFERROR(IF($C116="","",IF($D116="","",IFERROR(ROUND($D116*INDEX('🔖 배합비 참조'!$B$2:$CE$83,MATCH("알룰로오스(국내산)",'🔖 배합비 참조'!$A$2:$A$83,0),MATCH($C116,'🔖 배합비 참조'!$B$1:$CE$1,0))/100,0),""))),"")</f>
        <v>0</v>
      </c>
      <c r="BH116" s="42" t="n">
        <f aca="false">IFERROR(IF($C116="","",IF($D116="","",IFERROR(ROUND($D116*INDEX('🔖 배합비 참조'!$B$2:$CE$83,MATCH("연유",'🔖 배합비 참조'!$A$2:$A$83,0),MATCH($C116,'🔖 배합비 참조'!$B$1:$CE$1,0))/100,0),""))),"")</f>
        <v>0</v>
      </c>
      <c r="BI116" s="42" t="n">
        <f aca="false">IFERROR(IF($C116="","",IF($D116="","",IFERROR(ROUND($D116*INDEX('🔖 배합비 참조'!$B$2:$CE$83,MATCH("옥수수전분",'🔖 배합비 참조'!$A$2:$A$83,0),MATCH($C116,'🔖 배합비 참조'!$B$1:$CE$1,0))/100,0),""))),"")</f>
        <v>0</v>
      </c>
      <c r="BJ116" s="42" t="n">
        <f aca="false">IFERROR(IF($C116="","",IF($D116="","",IFERROR(ROUND($D116*INDEX('🔖 배합비 참조'!$B$2:$CE$83,MATCH("완두배기",'🔖 배합비 참조'!$A$2:$A$83,0),MATCH($C116,'🔖 배합비 참조'!$B$1:$CE$1,0))/100,0),""))),"")</f>
        <v>0</v>
      </c>
      <c r="BK116" s="42" t="n">
        <f aca="false">IFERROR(IF($C116="","",IF($D116="","",IFERROR(ROUND($D116*INDEX('🔖 배합비 참조'!$B$2:$CE$83,MATCH("우유(국내산)",'🔖 배합비 참조'!$A$2:$A$83,0),MATCH($C116,'🔖 배합비 참조'!$B$1:$CE$1,0))/100,0),""))),"")</f>
        <v>0</v>
      </c>
      <c r="BL116" s="42" t="n">
        <f aca="false">IFERROR(IF($C116="","",IF($D116="","",IFERROR(ROUND($D116*INDEX('🔖 배합비 참조'!$B$2:$CE$83,MATCH("자색고구마가루(중국산)",'🔖 배합비 참조'!$A$2:$A$83,0),MATCH($C116,'🔖 배합비 참조'!$B$1:$CE$1,0))/100,0),""))),"")</f>
        <v>0</v>
      </c>
      <c r="BM116" s="42" t="n">
        <f aca="false">IFERROR(IF($C116="","",IF($D116="","",IFERROR(ROUND($D116*INDEX('🔖 배합비 참조'!$B$2:$CE$83,MATCH("자연치즈(체다치즈)",'🔖 배합비 참조'!$A$2:$A$83,0),MATCH($C116,'🔖 배합비 참조'!$B$1:$CE$1,0))/100,0),""))),"")</f>
        <v>0</v>
      </c>
      <c r="BN116" s="42" t="n">
        <f aca="false">IFERROR(IF($C116="","",IF($D116="","",IFERROR(ROUND($D116*INDEX('🔖 배합비 참조'!$B$2:$CE$83,MATCH("정제수",'🔖 배합비 참조'!$A$2:$A$83,0),MATCH($C116,'🔖 배합비 참조'!$B$1:$CE$1,0))/100,0),""))),"")</f>
        <v>16</v>
      </c>
      <c r="BO116" s="42" t="n">
        <f aca="false">IFERROR(IF($C116="","",IF($D116="","",IFERROR(ROUND($D116*INDEX('🔖 배합비 참조'!$B$2:$CE$83,MATCH("젤라틴",'🔖 배합비 참조'!$A$2:$A$83,0),MATCH($C116,'🔖 배합비 참조'!$B$1:$CE$1,0))/100,0),""))),"")</f>
        <v>0</v>
      </c>
      <c r="BP116" s="42" t="n">
        <f aca="false">IFERROR(IF($C116="","",IF($D116="","",IFERROR(ROUND($D116*INDEX('🔖 배합비 참조'!$B$2:$CE$83,MATCH("조림류(백옥앙금)",'🔖 배합비 참조'!$A$2:$A$83,0),MATCH($C116,'🔖 배합비 참조'!$B$1:$CE$1,0))/100,0),""))),"")</f>
        <v>35</v>
      </c>
      <c r="BQ116" s="42" t="n">
        <f aca="false">IFERROR(IF($C116="","",IF($D116="","",IFERROR(ROUND($D116*INDEX('🔖 배합비 참조'!$B$2:$CE$83,MATCH("조림류(통팥앙금)",'🔖 배합비 참조'!$A$2:$A$83,0),MATCH($C116,'🔖 배합비 참조'!$B$1:$CE$1,0))/100,0),""))),"")</f>
        <v>0</v>
      </c>
      <c r="BR116" s="42" t="n">
        <f aca="false">IFERROR(IF($C116="","",IF($D116="","",IFERROR(ROUND($D116*INDEX('🔖 배합비 참조'!$B$2:$CE$83,MATCH("준초콜릿(외국산)",'🔖 배합비 참조'!$A$2:$A$83,0),MATCH($C116,'🔖 배합비 참조'!$B$1:$CE$1,0))/100,0),""))),"")</f>
        <v>0</v>
      </c>
      <c r="BS116" s="42" t="n">
        <f aca="false">IFERROR(IF($C116="","",IF($D116="","",IFERROR(ROUND($D116*INDEX('🔖 배합비 참조'!$B$2:$CE$83,MATCH("중력분",'🔖 배합비 참조'!$A$2:$A$83,0),MATCH($C116,'🔖 배합비 참조'!$B$1:$CE$1,0))/100,0),""))),"")</f>
        <v>1</v>
      </c>
      <c r="BT116" s="42" t="n">
        <f aca="false">IFERROR(IF($C116="","",IF($D116="","",IFERROR(ROUND($D116*INDEX('🔖 배합비 참조'!$B$2:$CE$83,MATCH("참깨(인도산,나이지리아산,탄자니아산,미얀마산)",'🔖 배합비 참조'!$A$2:$A$83,0),MATCH($C116,'🔖 배합비 참조'!$B$1:$CE$1,0))/100,0),""))),"")</f>
        <v>0</v>
      </c>
      <c r="BU116" s="42" t="n">
        <f aca="false">IFERROR(IF($C116="","",IF($D116="","",IFERROR(ROUND($D116*INDEX('🔖 배합비 참조'!$B$2:$CE$83,MATCH("찹쌀(국내산)",'🔖 배합비 참조'!$A$2:$A$83,0),MATCH($C116,'🔖 배합비 참조'!$B$1:$CE$1,0))/100,0),""))),"")</f>
        <v>55</v>
      </c>
      <c r="BV116" s="42" t="n">
        <f aca="false">IFERROR(IF($C116="","",IF($D116="","",IFERROR(ROUND($D116*INDEX('🔖 배합비 참조'!$B$2:$CE$83,MATCH("천일염",'🔖 배합비 참조'!$A$2:$A$83,0),MATCH($C116,'🔖 배합비 참조'!$B$1:$CE$1,0))/100,0),""))),"")</f>
        <v>1</v>
      </c>
      <c r="BW116" s="42" t="n">
        <f aca="false">IFERROR(IF($C116="","",IF($D116="","",IFERROR(ROUND($D116*INDEX('🔖 배합비 참조'!$B$2:$CE$83,MATCH("치즈 [크림치즈]",'🔖 배합비 참조'!$A$2:$A$83,0),MATCH($C116,'🔖 배합비 참조'!$B$1:$CE$1,0))/100,0),""))),"")</f>
        <v>0</v>
      </c>
      <c r="BX116" s="42" t="n">
        <f aca="false">IFERROR(IF($C116="","",IF($D116="","",IFERROR(ROUND($D116*INDEX('🔖 배합비 참조'!$B$2:$CE$83,MATCH("코코아가공품류(코코아분말)",'🔖 배합비 참조'!$A$2:$A$83,0),MATCH($C116,'🔖 배합비 참조'!$B$1:$CE$1,0))/100,0),""))),"")</f>
        <v>0</v>
      </c>
      <c r="BY116" s="42" t="n">
        <f aca="false">IFERROR(IF($C116="","",IF($D116="","",IFERROR(ROUND($D116*INDEX('🔖 배합비 참조'!$B$2:$CE$83,MATCH("콩기름(대두유)",'🔖 배합비 참조'!$A$2:$A$83,0),MATCH($C116,'🔖 배합비 참조'!$B$1:$CE$1,0))/100,0),""))),"")</f>
        <v>0</v>
      </c>
      <c r="BZ116" s="42" t="n">
        <f aca="false">IFERROR(IF($C116="","",IF($D116="","",IFERROR(ROUND($D116*INDEX('🔖 배합비 참조'!$B$2:$CE$83,MATCH("해바라기씨앗",'🔖 배합비 참조'!$A$2:$A$83,0),MATCH($C116,'🔖 배합비 참조'!$B$1:$CE$1,0))/100,0),""))),"")</f>
        <v>0</v>
      </c>
      <c r="CA116" s="42" t="n">
        <f aca="false">IFERROR(IF($C116="","",IF($D116="","",IFERROR(ROUND($D116*INDEX('🔖 배합비 참조'!$B$2:$CE$83,MATCH("현미(국내산)",'🔖 배합비 참조'!$A$2:$A$83,0),MATCH($C116,'🔖 배합비 참조'!$B$1:$CE$1,0))/100,0),""))),"")</f>
        <v>0</v>
      </c>
      <c r="CB116" s="42" t="n">
        <f aca="false">IFERROR(IF($C116="","",IF($D116="","",IFERROR(ROUND($D116*INDEX('🔖 배합비 참조'!$B$2:$CE$83,MATCH("현미멥쌀(국내산)",'🔖 배합비 참조'!$A$2:$A$83,0),MATCH($C116,'🔖 배합비 참조'!$B$1:$CE$1,0))/100,0),""))),"")</f>
        <v>0</v>
      </c>
      <c r="CC116" s="42" t="n">
        <f aca="false">IFERROR(IF($C116="","",IF($D116="","",IFERROR(ROUND($D116*INDEX('🔖 배합비 참조'!$B$2:$CE$83,MATCH("호두분태(미국산)",'🔖 배합비 참조'!$A$2:$A$83,0),MATCH($C116,'🔖 배합비 참조'!$B$1:$CE$1,0))/100,0),""))),"")</f>
        <v>0</v>
      </c>
      <c r="CD116" s="42" t="n">
        <f aca="false">IFERROR(IF($C116="","",IF($D116="","",IFERROR(ROUND($D116*INDEX('🔖 배합비 참조'!$B$2:$CE$83,MATCH("호박씨앗(외국산)",'🔖 배합비 참조'!$A$2:$A$83,0),MATCH($C116,'🔖 배합비 참조'!$B$1:$CE$1,0))/100,0),""))),"")</f>
        <v>0</v>
      </c>
      <c r="CE116" s="42" t="n">
        <f aca="false">IFERROR(IF($C116="","",IF($D116="","",IFERROR(ROUND($D116*INDEX('🔖 배합비 참조'!$B$2:$CE$83,MATCH("혼합제제(떡용에스텔)",'🔖 배합비 참조'!$A$2:$A$83,0),MATCH($C116,'🔖 배합비 참조'!$B$1:$CE$1,0))/100,0),""))),"")</f>
        <v>0</v>
      </c>
      <c r="CF116" s="42" t="n">
        <f aca="false">IFERROR(IF($C116="","",IF($D116="","",IFERROR(ROUND($D116*INDEX('🔖 배합비 참조'!$B$2:$CE$83,MATCH("혼합제제(스테비아)",'🔖 배합비 참조'!$A$2:$A$83,0),MATCH($C116,'🔖 배합비 참조'!$B$1:$CE$1,0))/100,0),""))),"")</f>
        <v>0</v>
      </c>
      <c r="CG116" s="42" t="n">
        <f aca="false">IFERROR(IF($C116="","",IF($D116="","",IFERROR(ROUND($D116*INDEX('🔖 배합비 참조'!$B$2:$CE$83,MATCH("화이트초콜릿",'🔖 배합비 참조'!$A$2:$A$83,0),MATCH($C116,'🔖 배합비 참조'!$B$1:$CE$1,0))/100,0),""))),"")</f>
        <v>0</v>
      </c>
      <c r="CH116" s="42" t="n">
        <f aca="false">IFERROR(IF($C116="","",IF($D116="","",IFERROR(ROUND($D116*INDEX('🔖 배합비 참조'!$B$2:$CE$83,MATCH("흑미찹쌀(국내산)",'🔖 배합비 참조'!$A$2:$A$83,0),MATCH($C116,'🔖 배합비 참조'!$B$1:$CE$1,0))/100,0),""))),"")</f>
        <v>0</v>
      </c>
      <c r="CI116" s="42" t="n">
        <f aca="false">IFERROR(IF($C116="","",IF($D116="","",IFERROR(ROUND($D116*INDEX('🔖 배합비 참조'!$B$2:$CE$83,MATCH("찰옥수수전분(미국산)",'🔖 배합비 참조'!$A$2:$A$83,0),MATCH($C116,'🔖 배합비 참조'!$B$1:$CE$1,0))/100,0),""))),"")</f>
        <v>0</v>
      </c>
      <c r="CJ116" s="40"/>
      <c r="CL116" s="1" t="s">
        <v>239</v>
      </c>
    </row>
    <row r="117" customFormat="false" ht="18" hidden="false" customHeight="true" outlineLevel="0" collapsed="false">
      <c r="A117" s="35" t="n">
        <v>113</v>
      </c>
      <c r="B117" s="36" t="n">
        <v>46002</v>
      </c>
      <c r="C117" s="37" t="s">
        <v>155</v>
      </c>
      <c r="D117" s="38" t="n">
        <v>35</v>
      </c>
      <c r="E117" s="13"/>
      <c r="F117" s="13"/>
      <c r="G117" s="39" t="n">
        <f aca="false">IFERROR(IF($C117="","",IF($D117="","",IFERROR(ROUND($D117*INDEX('🔖 배합비 참조'!$B$2:$CE$83,MATCH("간장",'🔖 배합비 참조'!$A$2:$A$83,0),MATCH($C117,'🔖 배합비 참조'!$B$1:$CE$1,0))/100,0),""))),"")</f>
        <v>0</v>
      </c>
      <c r="H117" s="39" t="n">
        <f aca="false">IFERROR(IF($C117="","",IF($D117="","",IFERROR(ROUND($D117*INDEX('🔖 배합비 참조'!$B$2:$CE$83,MATCH("강낭콩((울타리콩))",'🔖 배합비 참조'!$A$2:$A$83,0),MATCH($C117,'🔖 배합비 참조'!$B$1:$CE$1,0))/100,0),""))),"")</f>
        <v>0</v>
      </c>
      <c r="I117" s="39" t="n">
        <f aca="false">IFERROR(IF($C117="","",IF($D117="","",IFERROR(ROUND($D117*INDEX('🔖 배합비 참조'!$B$2:$CE$83,MATCH("건조딸기다이스(외국산)",'🔖 배합비 참조'!$A$2:$A$83,0),MATCH($C117,'🔖 배합비 참조'!$B$1:$CE$1,0))/100,0),""))),"")</f>
        <v>0</v>
      </c>
      <c r="J117" s="39" t="n">
        <f aca="false">IFERROR(IF($C117="","",IF($D117="","",IFERROR(ROUND($D117*INDEX('🔖 배합비 참조'!$B$2:$CE$83,MATCH("건포도",'🔖 배합비 참조'!$A$2:$A$83,0),MATCH($C117,'🔖 배합비 참조'!$B$1:$CE$1,0))/100,0),""))),"")</f>
        <v>0</v>
      </c>
      <c r="K117" s="39" t="n">
        <f aca="false">IFERROR(IF($C117="","",IF($D117="","",IFERROR(ROUND($D117*INDEX('🔖 배합비 참조'!$B$2:$CE$83,MATCH("건호박채(중국산)",'🔖 배합비 참조'!$A$2:$A$83,0),MATCH($C117,'🔖 배합비 참조'!$B$1:$CE$1,0))/100,0),""))),"")</f>
        <v>0</v>
      </c>
      <c r="L117" s="39" t="n">
        <f aca="false">IFERROR(IF($C117="","",IF($D117="","",IFERROR(ROUND($D117*INDEX('🔖 배합비 참조'!$B$2:$CE$83,MATCH("검정깨(흑임자)",'🔖 배합비 참조'!$A$2:$A$83,0),MATCH($C117,'🔖 배합비 참조'!$B$1:$CE$1,0))/100,0),""))),"")</f>
        <v>0</v>
      </c>
      <c r="M117" s="39" t="n">
        <f aca="false">IFERROR(IF($C117="","",IF($D117="","",IFERROR(ROUND($D117*INDEX('🔖 배합비 참조'!$B$2:$CE$83,MATCH("검정콩",'🔖 배합비 참조'!$A$2:$A$83,0),MATCH($C117,'🔖 배합비 참조'!$B$1:$CE$1,0))/100,0),""))),"")</f>
        <v>0</v>
      </c>
      <c r="N117" s="39" t="n">
        <f aca="false">IFERROR(IF($C117="","",IF($D117="","",IFERROR(ROUND($D117*INDEX('🔖 배합비 참조'!$B$2:$CE$83,MATCH("계피가루",'🔖 배합비 참조'!$A$2:$A$83,0),MATCH($C117,'🔖 배합비 참조'!$B$1:$CE$1,0))/100,0),""))),"")</f>
        <v>0</v>
      </c>
      <c r="O117" s="39" t="n">
        <f aca="false">IFERROR(IF($C117="","",IF($D117="","",IFERROR(ROUND($D117*INDEX('🔖 배합비 참조'!$B$2:$CE$83,MATCH("고구마가루",'🔖 배합비 참조'!$A$2:$A$83,0),MATCH($C117,'🔖 배합비 참조'!$B$1:$CE$1,0))/100,0),""))),"")</f>
        <v>0</v>
      </c>
      <c r="P117" s="39" t="n">
        <f aca="false">IFERROR(IF($C117="","",IF($D117="","",IFERROR(ROUND($D117*INDEX('🔖 배합비 참조'!$B$2:$CE$83,MATCH("고구마무스",'🔖 배합비 참조'!$A$2:$A$83,0),MATCH($C117,'🔖 배합비 참조'!$B$1:$CE$1,0))/100,0),""))),"")</f>
        <v>0</v>
      </c>
      <c r="Q117" s="39" t="n">
        <f aca="false">IFERROR(IF($C117="","",IF($D117="","",IFERROR(ROUND($D117*INDEX('🔖 배합비 참조'!$B$2:$CE$83,MATCH("고려엉겅퀴((곤드레)국내산)",'🔖 배합비 참조'!$A$2:$A$83,0),MATCH($C117,'🔖 배합비 참조'!$B$1:$CE$1,0))/100,0),""))),"")</f>
        <v>0</v>
      </c>
      <c r="R117" s="39" t="n">
        <f aca="false">IFERROR(IF($C117="","",IF($D117="","",IFERROR(ROUND($D117*INDEX('🔖 배합비 참조'!$B$2:$CE$83,MATCH("기타가공품(복분자가루)",'🔖 배합비 참조'!$A$2:$A$83,0),MATCH($C117,'🔖 배합비 참조'!$B$1:$CE$1,0))/100,0),""))),"")</f>
        <v>0</v>
      </c>
      <c r="S117" s="39" t="n">
        <f aca="false">IFERROR(IF($C117="","",IF($D117="","",IFERROR(ROUND($D117*INDEX('🔖 배합비 참조'!$B$2:$CE$83,MATCH("기타가공품(슈퍼소프트엠)",'🔖 배합비 참조'!$A$2:$A$83,0),MATCH($C117,'🔖 배합비 참조'!$B$1:$CE$1,0))/100,0),""))),"")</f>
        <v>0</v>
      </c>
      <c r="T117" s="39" t="n">
        <f aca="false">IFERROR(IF($C117="","",IF($D117="","",IFERROR(ROUND($D117*INDEX('🔖 배합비 참조'!$B$2:$CE$83,MATCH("기타가공품(파인소프트 E-티)",'🔖 배합비 참조'!$A$2:$A$83,0),MATCH($C117,'🔖 배합비 참조'!$B$1:$CE$1,0))/100,0),""))),"")</f>
        <v>0</v>
      </c>
      <c r="U117" s="39" t="n">
        <f aca="false">IFERROR(IF($C117="","",IF($D117="","",IFERROR(ROUND($D117*INDEX('🔖 배합비 참조'!$B$2:$CE$83,MATCH("기타가공품(프리미엄카스테라가루)",'🔖 배합비 참조'!$A$2:$A$83,0),MATCH($C117,'🔖 배합비 참조'!$B$1:$CE$1,0))/100,0),""))),"")</f>
        <v>0</v>
      </c>
      <c r="V117" s="39" t="n">
        <f aca="false">IFERROR(IF($C117="","",IF($D117="","",IFERROR(ROUND($D117*INDEX('🔖 배합비 참조'!$B$2:$CE$83,MATCH("기타가공품(흑임자가루)",'🔖 배합비 참조'!$A$2:$A$83,0),MATCH($C117,'🔖 배합비 참조'!$B$1:$CE$1,0))/100,0),""))),"")</f>
        <v>0</v>
      </c>
      <c r="W117" s="39" t="n">
        <f aca="false">IFERROR(IF($C117="","",IF($D117="","",IFERROR(ROUND($D117*INDEX('🔖 배합비 참조'!$B$2:$CE$83,MATCH("기타설탕(흑설탕)",'🔖 배합비 참조'!$A$2:$A$83,0),MATCH($C117,'🔖 배합비 참조'!$B$1:$CE$1,0))/100,0),""))),"")</f>
        <v>0</v>
      </c>
      <c r="X117" s="39" t="n">
        <f aca="false">IFERROR(IF($C117="","",IF($D117="","",IFERROR(ROUND($D117*INDEX('🔖 배합비 참조'!$B$2:$CE$83,MATCH("냉동쑥(국내산)",'🔖 배합비 참조'!$A$2:$A$83,0),MATCH($C117,'🔖 배합비 참조'!$B$1:$CE$1,0))/100,0),""))),"")</f>
        <v>0</v>
      </c>
      <c r="Y117" s="39" t="n">
        <f aca="false">IFERROR(IF($C117="","",IF($D117="","",IFERROR(ROUND($D117*INDEX('🔖 배합비 참조'!$B$2:$CE$83,MATCH("냉동증숙고구마(중국산)",'🔖 배합비 참조'!$A$2:$A$83,0),MATCH($C117,'🔖 배합비 참조'!$B$1:$CE$1,0))/100,0),""))),"")</f>
        <v>0</v>
      </c>
      <c r="Z117" s="39" t="n">
        <f aca="false">IFERROR(IF($C117="","",IF($D117="","",IFERROR(ROUND($D117*INDEX('🔖 배합비 참조'!$B$2:$CE$83,MATCH("녹차가루",'🔖 배합비 참조'!$A$2:$A$83,0),MATCH($C117,'🔖 배합비 참조'!$B$1:$CE$1,0))/100,0),""))),"")</f>
        <v>0</v>
      </c>
      <c r="AA117" s="39" t="n">
        <f aca="false">IFERROR(IF($C117="","",IF($D117="","",IFERROR(ROUND($D117*INDEX('🔖 배합비 참조'!$B$2:$CE$83,MATCH("다크초콜릿 컴파운드칩",'🔖 배합비 참조'!$A$2:$A$83,0),MATCH($C117,'🔖 배합비 참조'!$B$1:$CE$1,0))/100,0),""))),"")</f>
        <v>0</v>
      </c>
      <c r="AB117" s="39" t="n">
        <f aca="false">IFERROR(IF($C117="","",IF($D117="","",IFERROR(ROUND($D117*INDEX('🔖 배합비 참조'!$B$2:$CE$83,MATCH("단호박분말(중국산)",'🔖 배합비 참조'!$A$2:$A$83,0),MATCH($C117,'🔖 배합비 참조'!$B$1:$CE$1,0))/100,0),""))),"")</f>
        <v>0</v>
      </c>
      <c r="AC117" s="39" t="n">
        <f aca="false">IFERROR(IF($C117="","",IF($D117="","",IFERROR(ROUND($D117*INDEX('🔖 배합비 참조'!$B$2:$CE$83,MATCH("당류가공품(단호박농축액)",'🔖 배합비 참조'!$A$2:$A$83,0),MATCH($C117,'🔖 배합비 참조'!$B$1:$CE$1,0))/100,0),""))),"")</f>
        <v>0</v>
      </c>
      <c r="AD117" s="39" t="n">
        <f aca="false">IFERROR(IF($C117="","",IF($D117="","",IFERROR(ROUND($D117*INDEX('🔖 배합비 참조'!$B$2:$CE$83,MATCH("당류가공품(알룰로스,에리스리톨,스테비올배당체혼합)",'🔖 배합비 참조'!$A$2:$A$83,0),MATCH($C117,'🔖 배합비 참조'!$B$1:$CE$1,0))/100,0),""))),"")</f>
        <v>0</v>
      </c>
      <c r="AE117" s="39" t="n">
        <f aca="false">IFERROR(IF($C117="","",IF($D117="","",IFERROR(ROUND($D117*INDEX('🔖 배합비 참조'!$B$2:$CE$83,MATCH("당류가공품(알룰로스제로파우더)",'🔖 배합비 참조'!$A$2:$A$83,0),MATCH($C117,'🔖 배합비 참조'!$B$1:$CE$1,0))/100,0),""))),"")</f>
        <v>0</v>
      </c>
      <c r="AF117" s="39" t="n">
        <f aca="false">IFERROR(IF($C117="","",IF($D117="","",IFERROR(ROUND($D117*INDEX('🔖 배합비 참조'!$B$2:$CE$83,MATCH("당절임(완두배기)",'🔖 배합비 참조'!$A$2:$A$83,0),MATCH($C117,'🔖 배합비 참조'!$B$1:$CE$1,0))/100,0),""))),"")</f>
        <v>0</v>
      </c>
      <c r="AG117" s="39" t="n">
        <f aca="false">IFERROR(IF($C117="","",IF($D117="","",IFERROR(ROUND($D117*INDEX('🔖 배합비 참조'!$B$2:$CE$83,MATCH("대추농축액",'🔖 배합비 참조'!$A$2:$A$83,0),MATCH($C117,'🔖 배합비 참조'!$B$1:$CE$1,0))/100,0),""))),"")</f>
        <v>0</v>
      </c>
      <c r="AH117" s="39" t="n">
        <f aca="false">IFERROR(IF($C117="","",IF($D117="","",IFERROR(ROUND($D117*INDEX('🔖 배합비 참조'!$B$2:$CE$83,MATCH("대추채(국내산)",'🔖 배합비 참조'!$A$2:$A$83,0),MATCH($C117,'🔖 배합비 참조'!$B$1:$CE$1,0))/100,0),""))),"")</f>
        <v>0</v>
      </c>
      <c r="AI117" s="39" t="n">
        <f aca="false">IFERROR(IF($C117="","",IF($D117="","",IFERROR(ROUND($D117*INDEX('🔖 배합비 참조'!$B$2:$CE$83,MATCH("동부(미얀마산)",'🔖 배합비 참조'!$A$2:$A$83,0),MATCH($C117,'🔖 배합비 참조'!$B$1:$CE$1,0))/100,0),""))),"")</f>
        <v>0</v>
      </c>
      <c r="AJ117" s="39" t="n">
        <f aca="false">IFERROR(IF($C117="","",IF($D117="","",IFERROR(ROUND($D117*INDEX('🔖 배합비 참조'!$B$2:$CE$83,MATCH("두류가공품(백옥앙금)",'🔖 배합비 참조'!$A$2:$A$83,0),MATCH($C117,'🔖 배합비 참조'!$B$1:$CE$1,0))/100,0),""))),"")</f>
        <v>0</v>
      </c>
      <c r="AK117" s="39" t="n">
        <f aca="false">IFERROR(IF($C117="","",IF($D117="","",IFERROR(ROUND($D117*INDEX('🔖 배합비 참조'!$B$2:$CE$83,MATCH("두류가공품(콩고물)",'🔖 배합비 참조'!$A$2:$A$83,0),MATCH($C117,'🔖 배합비 참조'!$B$1:$CE$1,0))/100,0),""))),"")</f>
        <v>0</v>
      </c>
      <c r="AL117" s="39" t="n">
        <f aca="false">IFERROR(IF($C117="","",IF($D117="","",IFERROR(ROUND($D117*INDEX('🔖 배합비 참조'!$B$2:$CE$83,MATCH("두류가공품(통팥고물)",'🔖 배합비 참조'!$A$2:$A$83,0),MATCH($C117,'🔖 배합비 참조'!$B$1:$CE$1,0))/100,0),""))),"")</f>
        <v>0</v>
      </c>
      <c r="AM117" s="39" t="n">
        <f aca="false">IFERROR(IF($C117="","",IF($D117="","",IFERROR(ROUND($D117*INDEX('🔖 배합비 참조'!$B$2:$CE$83,MATCH("딸기레진",'🔖 배합비 참조'!$A$2:$A$83,0),MATCH($C117,'🔖 배합비 참조'!$B$1:$CE$1,0))/100,0),""))),"")</f>
        <v>0</v>
      </c>
      <c r="AN117" s="39" t="n">
        <f aca="false">IFERROR(IF($C117="","",IF($D117="","",IFERROR(ROUND($D117*INDEX('🔖 배합비 참조'!$B$2:$CE$83,MATCH("딸기분말(스트로우베리에이드(분말))",'🔖 배합비 참조'!$A$2:$A$83,0),MATCH($C117,'🔖 배합비 참조'!$B$1:$CE$1,0))/100,0),""))),"")</f>
        <v>0</v>
      </c>
      <c r="AO117" s="39" t="n">
        <f aca="false">IFERROR(IF($C117="","",IF($D117="","",IFERROR(ROUND($D117*INDEX('🔖 배합비 참조'!$B$2:$CE$83,MATCH("마스카포네치즈",'🔖 배합비 참조'!$A$2:$A$83,0),MATCH($C117,'🔖 배합비 참조'!$B$1:$CE$1,0))/100,0),""))),"")</f>
        <v>0</v>
      </c>
      <c r="AP117" s="39" t="n">
        <f aca="false">IFERROR(IF($C117="","",IF($D117="","",IFERROR(ROUND($D117*INDEX('🔖 배합비 참조'!$B$2:$CE$83,MATCH("마카다미아분태(호주산)",'🔖 배합비 참조'!$A$2:$A$83,0),MATCH($C117,'🔖 배합비 참조'!$B$1:$CE$1,0))/100,0),""))),"")</f>
        <v>2</v>
      </c>
      <c r="AQ117" s="39" t="n">
        <f aca="false">IFERROR(IF($C117="","",IF($D117="","",IFERROR(ROUND($D117*INDEX('🔖 배합비 참조'!$B$2:$CE$83,MATCH("멥쌀(국내산)",'🔖 배합비 참조'!$A$2:$A$83,0),MATCH($C117,'🔖 배합비 참조'!$B$1:$CE$1,0))/100,0),""))),"")</f>
        <v>0</v>
      </c>
      <c r="AR117" s="39" t="n">
        <f aca="false">IFERROR(IF($C117="","",IF($D117="","",IFERROR(ROUND($D117*INDEX('🔖 배합비 참조'!$B$2:$CE$83,MATCH("모시잎(국내산)",'🔖 배합비 참조'!$A$2:$A$83,0),MATCH($C117,'🔖 배합비 참조'!$B$1:$CE$1,0))/100,0),""))),"")</f>
        <v>0</v>
      </c>
      <c r="AS117" s="39" t="n">
        <f aca="false">IFERROR(IF($C117="","",IF($D117="","",IFERROR(ROUND($D117*INDEX('🔖 배합비 참조'!$B$2:$CE$83,MATCH("물엿(저당물엿)",'🔖 배합비 참조'!$A$2:$A$83,0),MATCH($C117,'🔖 배합비 참조'!$B$1:$CE$1,0))/100,0),""))),"")</f>
        <v>1</v>
      </c>
      <c r="AT117" s="39" t="n">
        <f aca="false">IFERROR(IF($C117="","",IF($D117="","",IFERROR(ROUND($D117*INDEX('🔖 배합비 참조'!$B$2:$CE$83,MATCH("밤다이스",'🔖 배합비 참조'!$A$2:$A$83,0),MATCH($C117,'🔖 배합비 참조'!$B$1:$CE$1,0))/100,0),""))),"")</f>
        <v>0</v>
      </c>
      <c r="AU117" s="39" t="n">
        <f aca="false">IFERROR(IF($C117="","",IF($D117="","",IFERROR(ROUND($D117*INDEX('🔖 배합비 참조'!$B$2:$CE$83,MATCH("변성전분(타피오카전분)",'🔖 배합비 참조'!$A$2:$A$83,0),MATCH($C117,'🔖 배합비 참조'!$B$1:$CE$1,0))/100,0),""))),"")</f>
        <v>0</v>
      </c>
      <c r="AV117" s="39" t="n">
        <f aca="false">IFERROR(IF($C117="","",IF($D117="","",IFERROR(ROUND($D117*INDEX('🔖 배합비 참조'!$B$2:$CE$83,MATCH("복음땅콩분태",'🔖 배합비 참조'!$A$2:$A$83,0),MATCH($C117,'🔖 배합비 참조'!$B$1:$CE$1,0))/100,0),""))),"")</f>
        <v>0</v>
      </c>
      <c r="AW117" s="39" t="n">
        <f aca="false">IFERROR(IF($C117="","",IF($D117="","",IFERROR(ROUND($D117*INDEX('🔖 배합비 참조'!$B$2:$CE$83,MATCH("사양벌꿀(국내산)",'🔖 배합비 참조'!$A$2:$A$83,0),MATCH($C117,'🔖 배합비 참조'!$B$1:$CE$1,0))/100,0),""))),"")</f>
        <v>0</v>
      </c>
      <c r="AX117" s="39" t="n">
        <f aca="false">IFERROR(IF($C117="","",IF($D117="","",IFERROR(ROUND($D117*INDEX('🔖 배합비 참조'!$B$2:$CE$83,MATCH("생크림",'🔖 배합비 참조'!$A$2:$A$83,0),MATCH($C117,'🔖 배합비 참조'!$B$1:$CE$1,0))/100,0),""))),"")</f>
        <v>0</v>
      </c>
      <c r="AY117" s="39" t="n">
        <f aca="false">IFERROR(IF($C117="","",IF($D117="","",IFERROR(ROUND($D117*INDEX('🔖 배합비 참조'!$B$2:$CE$83,MATCH("서양호박(국내산,뉴질랜드산)",'🔖 배합비 참조'!$A$2:$A$83,0),MATCH($C117,'🔖 배합비 참조'!$B$1:$CE$1,0))/100,0),""))),"")</f>
        <v>0</v>
      </c>
      <c r="AZ117" s="39" t="n">
        <f aca="false">IFERROR(IF($C117="","",IF($D117="","",IFERROR(ROUND($D117*INDEX('🔖 배합비 참조'!$B$2:$CE$83,MATCH("설탕",'🔖 배합비 참조'!$A$2:$A$83,0),MATCH($C117,'🔖 배합비 참조'!$B$1:$CE$1,0))/100,0),""))),"")</f>
        <v>1</v>
      </c>
      <c r="BA117" s="39" t="n">
        <f aca="false">IFERROR(IF($C117="","",IF($D117="","",IFERROR(ROUND($D117*INDEX('🔖 배합비 참조'!$B$2:$CE$83,MATCH("스트로우베리 에이드 후레쉬",'🔖 배합비 참조'!$A$2:$A$83,0),MATCH($C117,'🔖 배합비 참조'!$B$1:$CE$1,0))/100,0),""))),"")</f>
        <v>0</v>
      </c>
      <c r="BB117" s="39" t="n">
        <f aca="false">IFERROR(IF($C117="","",IF($D117="","",IFERROR(ROUND($D117*INDEX('🔖 배합비 참조'!$B$2:$CE$83,MATCH("식물성기름혼합제제(분홍)",'🔖 배합비 참조'!$A$2:$A$83,0),MATCH($C117,'🔖 배합비 참조'!$B$1:$CE$1,0))/100,0),""))),"")</f>
        <v>0</v>
      </c>
      <c r="BC117" s="39" t="n">
        <f aca="false">IFERROR(IF($C117="","",IF($D117="","",IFERROR(ROUND($D117*INDEX('🔖 배합비 참조'!$B$2:$CE$83,MATCH("식물성기름혼합제제(초록)",'🔖 배합비 참조'!$A$2:$A$83,0),MATCH($C117,'🔖 배합비 참조'!$B$1:$CE$1,0))/100,0),""))),"")</f>
        <v>0</v>
      </c>
      <c r="BD117" s="39" t="n">
        <f aca="false">IFERROR(IF($C117="","",IF($D117="","",IFERROR(ROUND($D117*INDEX('🔖 배합비 참조'!$B$2:$CE$83,MATCH("식물성기름혼합제제(황색)",'🔖 배합비 참조'!$A$2:$A$83,0),MATCH($C117,'🔖 배합비 참조'!$B$1:$CE$1,0))/100,0),""))),"")</f>
        <v>0</v>
      </c>
      <c r="BE117" s="39" t="n">
        <f aca="false">IFERROR(IF($C117="","",IF($D117="","",IFERROR(ROUND($D117*INDEX('🔖 배합비 참조'!$B$2:$CE$83,MATCH("쑥가루(국내산)",'🔖 배합비 참조'!$A$2:$A$83,0),MATCH($C117,'🔖 배합비 참조'!$B$1:$CE$1,0))/100,0),""))),"")</f>
        <v>0</v>
      </c>
      <c r="BF117" s="39" t="n">
        <f aca="false">IFERROR(IF($C117="","",IF($D117="","",IFERROR(ROUND($D117*INDEX('🔖 배합비 참조'!$B$2:$CE$83,MATCH("아몬드슬라이스",'🔖 배합비 참조'!$A$2:$A$83,0),MATCH($C117,'🔖 배합비 참조'!$B$1:$CE$1,0))/100,0),""))),"")</f>
        <v>0</v>
      </c>
      <c r="BG117" s="39" t="n">
        <f aca="false">IFERROR(IF($C117="","",IF($D117="","",IFERROR(ROUND($D117*INDEX('🔖 배합비 참조'!$B$2:$CE$83,MATCH("알룰로오스(국내산)",'🔖 배합비 참조'!$A$2:$A$83,0),MATCH($C117,'🔖 배합비 참조'!$B$1:$CE$1,0))/100,0),""))),"")</f>
        <v>0</v>
      </c>
      <c r="BH117" s="39" t="n">
        <f aca="false">IFERROR(IF($C117="","",IF($D117="","",IFERROR(ROUND($D117*INDEX('🔖 배합비 참조'!$B$2:$CE$83,MATCH("연유",'🔖 배합비 참조'!$A$2:$A$83,0),MATCH($C117,'🔖 배합비 참조'!$B$1:$CE$1,0))/100,0),""))),"")</f>
        <v>0</v>
      </c>
      <c r="BI117" s="39" t="n">
        <f aca="false">IFERROR(IF($C117="","",IF($D117="","",IFERROR(ROUND($D117*INDEX('🔖 배합비 참조'!$B$2:$CE$83,MATCH("옥수수전분",'🔖 배합비 참조'!$A$2:$A$83,0),MATCH($C117,'🔖 배합비 참조'!$B$1:$CE$1,0))/100,0),""))),"")</f>
        <v>1</v>
      </c>
      <c r="BJ117" s="39" t="n">
        <f aca="false">IFERROR(IF($C117="","",IF($D117="","",IFERROR(ROUND($D117*INDEX('🔖 배합비 참조'!$B$2:$CE$83,MATCH("완두배기",'🔖 배합비 참조'!$A$2:$A$83,0),MATCH($C117,'🔖 배합비 참조'!$B$1:$CE$1,0))/100,0),""))),"")</f>
        <v>0</v>
      </c>
      <c r="BK117" s="39" t="n">
        <f aca="false">IFERROR(IF($C117="","",IF($D117="","",IFERROR(ROUND($D117*INDEX('🔖 배합비 참조'!$B$2:$CE$83,MATCH("우유(국내산)",'🔖 배합비 참조'!$A$2:$A$83,0),MATCH($C117,'🔖 배합비 참조'!$B$1:$CE$1,0))/100,0),""))),"")</f>
        <v>0</v>
      </c>
      <c r="BL117" s="39" t="n">
        <f aca="false">IFERROR(IF($C117="","",IF($D117="","",IFERROR(ROUND($D117*INDEX('🔖 배합비 참조'!$B$2:$CE$83,MATCH("자색고구마가루(중국산)",'🔖 배합비 참조'!$A$2:$A$83,0),MATCH($C117,'🔖 배합비 참조'!$B$1:$CE$1,0))/100,0),""))),"")</f>
        <v>0</v>
      </c>
      <c r="BM117" s="39" t="n">
        <f aca="false">IFERROR(IF($C117="","",IF($D117="","",IFERROR(ROUND($D117*INDEX('🔖 배합비 참조'!$B$2:$CE$83,MATCH("자연치즈(체다치즈)",'🔖 배합비 참조'!$A$2:$A$83,0),MATCH($C117,'🔖 배합비 참조'!$B$1:$CE$1,0))/100,0),""))),"")</f>
        <v>0</v>
      </c>
      <c r="BN117" s="39" t="n">
        <f aca="false">IFERROR(IF($C117="","",IF($D117="","",IFERROR(ROUND($D117*INDEX('🔖 배합비 참조'!$B$2:$CE$83,MATCH("정제수",'🔖 배합비 참조'!$A$2:$A$83,0),MATCH($C117,'🔖 배합비 참조'!$B$1:$CE$1,0))/100,0),""))),"")</f>
        <v>0</v>
      </c>
      <c r="BO117" s="39" t="n">
        <f aca="false">IFERROR(IF($C117="","",IF($D117="","",IFERROR(ROUND($D117*INDEX('🔖 배합비 참조'!$B$2:$CE$83,MATCH("젤라틴",'🔖 배합비 참조'!$A$2:$A$83,0),MATCH($C117,'🔖 배합비 참조'!$B$1:$CE$1,0))/100,0),""))),"")</f>
        <v>0</v>
      </c>
      <c r="BP117" s="39" t="n">
        <f aca="false">IFERROR(IF($C117="","",IF($D117="","",IFERROR(ROUND($D117*INDEX('🔖 배합비 참조'!$B$2:$CE$83,MATCH("조림류(백옥앙금)",'🔖 배합비 참조'!$A$2:$A$83,0),MATCH($C117,'🔖 배합비 참조'!$B$1:$CE$1,0))/100,0),""))),"")</f>
        <v>0</v>
      </c>
      <c r="BQ117" s="39" t="n">
        <f aca="false">IFERROR(IF($C117="","",IF($D117="","",IFERROR(ROUND($D117*INDEX('🔖 배합비 참조'!$B$2:$CE$83,MATCH("조림류(통팥앙금)",'🔖 배합비 참조'!$A$2:$A$83,0),MATCH($C117,'🔖 배합비 참조'!$B$1:$CE$1,0))/100,0),""))),"")</f>
        <v>14</v>
      </c>
      <c r="BR117" s="39" t="n">
        <f aca="false">IFERROR(IF($C117="","",IF($D117="","",IFERROR(ROUND($D117*INDEX('🔖 배합비 참조'!$B$2:$CE$83,MATCH("준초콜릿(외국산)",'🔖 배합비 참조'!$A$2:$A$83,0),MATCH($C117,'🔖 배합비 참조'!$B$1:$CE$1,0))/100,0),""))),"")</f>
        <v>0</v>
      </c>
      <c r="BS117" s="39" t="n">
        <f aca="false">IFERROR(IF($C117="","",IF($D117="","",IFERROR(ROUND($D117*INDEX('🔖 배합비 참조'!$B$2:$CE$83,MATCH("중력분",'🔖 배합비 참조'!$A$2:$A$83,0),MATCH($C117,'🔖 배합비 참조'!$B$1:$CE$1,0))/100,0),""))),"")</f>
        <v>0</v>
      </c>
      <c r="BT117" s="39" t="n">
        <f aca="false">IFERROR(IF($C117="","",IF($D117="","",IFERROR(ROUND($D117*INDEX('🔖 배합비 참조'!$B$2:$CE$83,MATCH("참깨(인도산,나이지리아산,탄자니아산,미얀마산)",'🔖 배합비 참조'!$A$2:$A$83,0),MATCH($C117,'🔖 배합비 참조'!$B$1:$CE$1,0))/100,0),""))),"")</f>
        <v>0</v>
      </c>
      <c r="BU117" s="39" t="n">
        <f aca="false">IFERROR(IF($C117="","",IF($D117="","",IFERROR(ROUND($D117*INDEX('🔖 배합비 참조'!$B$2:$CE$83,MATCH("찹쌀(국내산)",'🔖 배합비 참조'!$A$2:$A$83,0),MATCH($C117,'🔖 배합비 참조'!$B$1:$CE$1,0))/100,0),""))),"")</f>
        <v>15</v>
      </c>
      <c r="BV117" s="39" t="n">
        <f aca="false">IFERROR(IF($C117="","",IF($D117="","",IFERROR(ROUND($D117*INDEX('🔖 배합비 참조'!$B$2:$CE$83,MATCH("천일염",'🔖 배합비 참조'!$A$2:$A$83,0),MATCH($C117,'🔖 배합비 참조'!$B$1:$CE$1,0))/100,0),""))),"")</f>
        <v>0</v>
      </c>
      <c r="BW117" s="39" t="n">
        <f aca="false">IFERROR(IF($C117="","",IF($D117="","",IFERROR(ROUND($D117*INDEX('🔖 배합비 참조'!$B$2:$CE$83,MATCH("치즈 [크림치즈]",'🔖 배합비 참조'!$A$2:$A$83,0),MATCH($C117,'🔖 배합비 참조'!$B$1:$CE$1,0))/100,0),""))),"")</f>
        <v>0</v>
      </c>
      <c r="BX117" s="39" t="n">
        <f aca="false">IFERROR(IF($C117="","",IF($D117="","",IFERROR(ROUND($D117*INDEX('🔖 배합비 참조'!$B$2:$CE$83,MATCH("코코아가공품류(코코아분말)",'🔖 배합비 참조'!$A$2:$A$83,0),MATCH($C117,'🔖 배합비 참조'!$B$1:$CE$1,0))/100,0),""))),"")</f>
        <v>0</v>
      </c>
      <c r="BY117" s="39" t="n">
        <f aca="false">IFERROR(IF($C117="","",IF($D117="","",IFERROR(ROUND($D117*INDEX('🔖 배합비 참조'!$B$2:$CE$83,MATCH("콩기름(대두유)",'🔖 배합비 참조'!$A$2:$A$83,0),MATCH($C117,'🔖 배합비 참조'!$B$1:$CE$1,0))/100,0),""))),"")</f>
        <v>0</v>
      </c>
      <c r="BZ117" s="39" t="n">
        <f aca="false">IFERROR(IF($C117="","",IF($D117="","",IFERROR(ROUND($D117*INDEX('🔖 배합비 참조'!$B$2:$CE$83,MATCH("해바라기씨앗",'🔖 배합비 참조'!$A$2:$A$83,0),MATCH($C117,'🔖 배합비 참조'!$B$1:$CE$1,0))/100,0),""))),"")</f>
        <v>0</v>
      </c>
      <c r="CA117" s="39" t="n">
        <f aca="false">IFERROR(IF($C117="","",IF($D117="","",IFERROR(ROUND($D117*INDEX('🔖 배합비 참조'!$B$2:$CE$83,MATCH("현미(국내산)",'🔖 배합비 참조'!$A$2:$A$83,0),MATCH($C117,'🔖 배합비 참조'!$B$1:$CE$1,0))/100,0),""))),"")</f>
        <v>0</v>
      </c>
      <c r="CB117" s="39" t="n">
        <f aca="false">IFERROR(IF($C117="","",IF($D117="","",IFERROR(ROUND($D117*INDEX('🔖 배합비 참조'!$B$2:$CE$83,MATCH("현미멥쌀(국내산)",'🔖 배합비 참조'!$A$2:$A$83,0),MATCH($C117,'🔖 배합비 참조'!$B$1:$CE$1,0))/100,0),""))),"")</f>
        <v>0</v>
      </c>
      <c r="CC117" s="39" t="n">
        <f aca="false">IFERROR(IF($C117="","",IF($D117="","",IFERROR(ROUND($D117*INDEX('🔖 배합비 참조'!$B$2:$CE$83,MATCH("호두분태(미국산)",'🔖 배합비 참조'!$A$2:$A$83,0),MATCH($C117,'🔖 배합비 참조'!$B$1:$CE$1,0))/100,0),""))),"")</f>
        <v>1</v>
      </c>
      <c r="CD117" s="39" t="n">
        <f aca="false">IFERROR(IF($C117="","",IF($D117="","",IFERROR(ROUND($D117*INDEX('🔖 배합비 참조'!$B$2:$CE$83,MATCH("호박씨앗(외국산)",'🔖 배합비 참조'!$A$2:$A$83,0),MATCH($C117,'🔖 배합비 참조'!$B$1:$CE$1,0))/100,0),""))),"")</f>
        <v>0</v>
      </c>
      <c r="CE117" s="39" t="n">
        <f aca="false">IFERROR(IF($C117="","",IF($D117="","",IFERROR(ROUND($D117*INDEX('🔖 배합비 참조'!$B$2:$CE$83,MATCH("혼합제제(떡용에스텔)",'🔖 배합비 참조'!$A$2:$A$83,0),MATCH($C117,'🔖 배합비 참조'!$B$1:$CE$1,0))/100,0),""))),"")</f>
        <v>0</v>
      </c>
      <c r="CF117" s="39" t="n">
        <f aca="false">IFERROR(IF($C117="","",IF($D117="","",IFERROR(ROUND($D117*INDEX('🔖 배합비 참조'!$B$2:$CE$83,MATCH("혼합제제(스테비아)",'🔖 배합비 참조'!$A$2:$A$83,0),MATCH($C117,'🔖 배합비 참조'!$B$1:$CE$1,0))/100,0),""))),"")</f>
        <v>0</v>
      </c>
      <c r="CG117" s="39" t="n">
        <f aca="false">IFERROR(IF($C117="","",IF($D117="","",IFERROR(ROUND($D117*INDEX('🔖 배합비 참조'!$B$2:$CE$83,MATCH("화이트초콜릿",'🔖 배합비 참조'!$A$2:$A$83,0),MATCH($C117,'🔖 배합비 참조'!$B$1:$CE$1,0))/100,0),""))),"")</f>
        <v>0</v>
      </c>
      <c r="CH117" s="39" t="n">
        <f aca="false">IFERROR(IF($C117="","",IF($D117="","",IFERROR(ROUND($D117*INDEX('🔖 배합비 참조'!$B$2:$CE$83,MATCH("흑미찹쌀(국내산)",'🔖 배합비 참조'!$A$2:$A$83,0),MATCH($C117,'🔖 배합비 참조'!$B$1:$CE$1,0))/100,0),""))),"")</f>
        <v>0</v>
      </c>
      <c r="CI117" s="39" t="n">
        <f aca="false">IFERROR(IF($C117="","",IF($D117="","",IFERROR(ROUND($D117*INDEX('🔖 배합비 참조'!$B$2:$CE$83,MATCH("찰옥수수전분(미국산)",'🔖 배합비 참조'!$A$2:$A$83,0),MATCH($C117,'🔖 배합비 참조'!$B$1:$CE$1,0))/100,0),""))),"")</f>
        <v>0</v>
      </c>
      <c r="CJ117" s="40"/>
      <c r="CL117" s="1" t="s">
        <v>239</v>
      </c>
    </row>
    <row r="118" customFormat="false" ht="18" hidden="false" customHeight="true" outlineLevel="0" collapsed="false">
      <c r="A118" s="41" t="n">
        <v>114</v>
      </c>
      <c r="B118" s="36" t="n">
        <v>46002</v>
      </c>
      <c r="C118" s="37" t="s">
        <v>190</v>
      </c>
      <c r="D118" s="38" t="n">
        <v>35</v>
      </c>
      <c r="E118" s="17"/>
      <c r="F118" s="17"/>
      <c r="G118" s="42" t="n">
        <f aca="false">IFERROR(IF($C118="","",IF($D118="","",IFERROR(ROUND($D118*INDEX('🔖 배합비 참조'!$B$2:$CE$83,MATCH("간장",'🔖 배합비 참조'!$A$2:$A$83,0),MATCH($C118,'🔖 배합비 참조'!$B$1:$CE$1,0))/100,0),""))),"")</f>
        <v>0</v>
      </c>
      <c r="H118" s="42" t="n">
        <f aca="false">IFERROR(IF($C118="","",IF($D118="","",IFERROR(ROUND($D118*INDEX('🔖 배합비 참조'!$B$2:$CE$83,MATCH("강낭콩((울타리콩))",'🔖 배합비 참조'!$A$2:$A$83,0),MATCH($C118,'🔖 배합비 참조'!$B$1:$CE$1,0))/100,0),""))),"")</f>
        <v>0</v>
      </c>
      <c r="I118" s="42" t="n">
        <f aca="false">IFERROR(IF($C118="","",IF($D118="","",IFERROR(ROUND($D118*INDEX('🔖 배합비 참조'!$B$2:$CE$83,MATCH("건조딸기다이스(외국산)",'🔖 배합비 참조'!$A$2:$A$83,0),MATCH($C118,'🔖 배합비 참조'!$B$1:$CE$1,0))/100,0),""))),"")</f>
        <v>0</v>
      </c>
      <c r="J118" s="42" t="n">
        <f aca="false">IFERROR(IF($C118="","",IF($D118="","",IFERROR(ROUND($D118*INDEX('🔖 배합비 참조'!$B$2:$CE$83,MATCH("건포도",'🔖 배합비 참조'!$A$2:$A$83,0),MATCH($C118,'🔖 배합비 참조'!$B$1:$CE$1,0))/100,0),""))),"")</f>
        <v>0</v>
      </c>
      <c r="K118" s="42" t="n">
        <f aca="false">IFERROR(IF($C118="","",IF($D118="","",IFERROR(ROUND($D118*INDEX('🔖 배합비 참조'!$B$2:$CE$83,MATCH("건호박채(중국산)",'🔖 배합비 참조'!$A$2:$A$83,0),MATCH($C118,'🔖 배합비 참조'!$B$1:$CE$1,0))/100,0),""))),"")</f>
        <v>0</v>
      </c>
      <c r="L118" s="42" t="n">
        <f aca="false">IFERROR(IF($C118="","",IF($D118="","",IFERROR(ROUND($D118*INDEX('🔖 배합비 참조'!$B$2:$CE$83,MATCH("검정깨(흑임자)",'🔖 배합비 참조'!$A$2:$A$83,0),MATCH($C118,'🔖 배합비 참조'!$B$1:$CE$1,0))/100,0),""))),"")</f>
        <v>0</v>
      </c>
      <c r="M118" s="42" t="n">
        <f aca="false">IFERROR(IF($C118="","",IF($D118="","",IFERROR(ROUND($D118*INDEX('🔖 배합비 참조'!$B$2:$CE$83,MATCH("검정콩",'🔖 배합비 참조'!$A$2:$A$83,0),MATCH($C118,'🔖 배합비 참조'!$B$1:$CE$1,0))/100,0),""))),"")</f>
        <v>0</v>
      </c>
      <c r="N118" s="42" t="n">
        <f aca="false">IFERROR(IF($C118="","",IF($D118="","",IFERROR(ROUND($D118*INDEX('🔖 배합비 참조'!$B$2:$CE$83,MATCH("계피가루",'🔖 배합비 참조'!$A$2:$A$83,0),MATCH($C118,'🔖 배합비 참조'!$B$1:$CE$1,0))/100,0),""))),"")</f>
        <v>0</v>
      </c>
      <c r="O118" s="42" t="n">
        <f aca="false">IFERROR(IF($C118="","",IF($D118="","",IFERROR(ROUND($D118*INDEX('🔖 배합비 참조'!$B$2:$CE$83,MATCH("고구마가루",'🔖 배합비 참조'!$A$2:$A$83,0),MATCH($C118,'🔖 배합비 참조'!$B$1:$CE$1,0))/100,0),""))),"")</f>
        <v>0</v>
      </c>
      <c r="P118" s="42" t="n">
        <f aca="false">IFERROR(IF($C118="","",IF($D118="","",IFERROR(ROUND($D118*INDEX('🔖 배합비 참조'!$B$2:$CE$83,MATCH("고구마무스",'🔖 배합비 참조'!$A$2:$A$83,0),MATCH($C118,'🔖 배합비 참조'!$B$1:$CE$1,0))/100,0),""))),"")</f>
        <v>0</v>
      </c>
      <c r="Q118" s="42" t="n">
        <f aca="false">IFERROR(IF($C118="","",IF($D118="","",IFERROR(ROUND($D118*INDEX('🔖 배합비 참조'!$B$2:$CE$83,MATCH("고려엉겅퀴((곤드레)국내산)",'🔖 배합비 참조'!$A$2:$A$83,0),MATCH($C118,'🔖 배합비 참조'!$B$1:$CE$1,0))/100,0),""))),"")</f>
        <v>0</v>
      </c>
      <c r="R118" s="42" t="n">
        <f aca="false">IFERROR(IF($C118="","",IF($D118="","",IFERROR(ROUND($D118*INDEX('🔖 배합비 참조'!$B$2:$CE$83,MATCH("기타가공품(복분자가루)",'🔖 배합비 참조'!$A$2:$A$83,0),MATCH($C118,'🔖 배합비 참조'!$B$1:$CE$1,0))/100,0),""))),"")</f>
        <v>0</v>
      </c>
      <c r="S118" s="42" t="n">
        <f aca="false">IFERROR(IF($C118="","",IF($D118="","",IFERROR(ROUND($D118*INDEX('🔖 배합비 참조'!$B$2:$CE$83,MATCH("기타가공품(슈퍼소프트엠)",'🔖 배합비 참조'!$A$2:$A$83,0),MATCH($C118,'🔖 배합비 참조'!$B$1:$CE$1,0))/100,0),""))),"")</f>
        <v>0</v>
      </c>
      <c r="T118" s="42" t="n">
        <f aca="false">IFERROR(IF($C118="","",IF($D118="","",IFERROR(ROUND($D118*INDEX('🔖 배합비 참조'!$B$2:$CE$83,MATCH("기타가공품(파인소프트 E-티)",'🔖 배합비 참조'!$A$2:$A$83,0),MATCH($C118,'🔖 배합비 참조'!$B$1:$CE$1,0))/100,0),""))),"")</f>
        <v>0</v>
      </c>
      <c r="U118" s="42" t="n">
        <f aca="false">IFERROR(IF($C118="","",IF($D118="","",IFERROR(ROUND($D118*INDEX('🔖 배합비 참조'!$B$2:$CE$83,MATCH("기타가공품(프리미엄카스테라가루)",'🔖 배합비 참조'!$A$2:$A$83,0),MATCH($C118,'🔖 배합비 참조'!$B$1:$CE$1,0))/100,0),""))),"")</f>
        <v>0</v>
      </c>
      <c r="V118" s="42" t="n">
        <f aca="false">IFERROR(IF($C118="","",IF($D118="","",IFERROR(ROUND($D118*INDEX('🔖 배합비 참조'!$B$2:$CE$83,MATCH("기타가공품(흑임자가루)",'🔖 배합비 참조'!$A$2:$A$83,0),MATCH($C118,'🔖 배합비 참조'!$B$1:$CE$1,0))/100,0),""))),"")</f>
        <v>0</v>
      </c>
      <c r="W118" s="42" t="n">
        <f aca="false">IFERROR(IF($C118="","",IF($D118="","",IFERROR(ROUND($D118*INDEX('🔖 배합비 참조'!$B$2:$CE$83,MATCH("기타설탕(흑설탕)",'🔖 배합비 참조'!$A$2:$A$83,0),MATCH($C118,'🔖 배합비 참조'!$B$1:$CE$1,0))/100,0),""))),"")</f>
        <v>0</v>
      </c>
      <c r="X118" s="42" t="n">
        <f aca="false">IFERROR(IF($C118="","",IF($D118="","",IFERROR(ROUND($D118*INDEX('🔖 배합비 참조'!$B$2:$CE$83,MATCH("냉동쑥(국내산)",'🔖 배합비 참조'!$A$2:$A$83,0),MATCH($C118,'🔖 배합비 참조'!$B$1:$CE$1,0))/100,0),""))),"")</f>
        <v>0</v>
      </c>
      <c r="Y118" s="42" t="n">
        <f aca="false">IFERROR(IF($C118="","",IF($D118="","",IFERROR(ROUND($D118*INDEX('🔖 배합비 참조'!$B$2:$CE$83,MATCH("냉동증숙고구마(중국산)",'🔖 배합비 참조'!$A$2:$A$83,0),MATCH($C118,'🔖 배합비 참조'!$B$1:$CE$1,0))/100,0),""))),"")</f>
        <v>0</v>
      </c>
      <c r="Z118" s="42" t="n">
        <f aca="false">IFERROR(IF($C118="","",IF($D118="","",IFERROR(ROUND($D118*INDEX('🔖 배합비 참조'!$B$2:$CE$83,MATCH("녹차가루",'🔖 배합비 참조'!$A$2:$A$83,0),MATCH($C118,'🔖 배합비 참조'!$B$1:$CE$1,0))/100,0),""))),"")</f>
        <v>0</v>
      </c>
      <c r="AA118" s="42" t="n">
        <f aca="false">IFERROR(IF($C118="","",IF($D118="","",IFERROR(ROUND($D118*INDEX('🔖 배합비 참조'!$B$2:$CE$83,MATCH("다크초콜릿 컴파운드칩",'🔖 배합비 참조'!$A$2:$A$83,0),MATCH($C118,'🔖 배합비 참조'!$B$1:$CE$1,0))/100,0),""))),"")</f>
        <v>0</v>
      </c>
      <c r="AB118" s="42" t="n">
        <f aca="false">IFERROR(IF($C118="","",IF($D118="","",IFERROR(ROUND($D118*INDEX('🔖 배합비 참조'!$B$2:$CE$83,MATCH("단호박분말(중국산)",'🔖 배합비 참조'!$A$2:$A$83,0),MATCH($C118,'🔖 배합비 참조'!$B$1:$CE$1,0))/100,0),""))),"")</f>
        <v>1</v>
      </c>
      <c r="AC118" s="42" t="n">
        <f aca="false">IFERROR(IF($C118="","",IF($D118="","",IFERROR(ROUND($D118*INDEX('🔖 배합비 참조'!$B$2:$CE$83,MATCH("당류가공품(단호박농축액)",'🔖 배합비 참조'!$A$2:$A$83,0),MATCH($C118,'🔖 배합비 참조'!$B$1:$CE$1,0))/100,0),""))),"")</f>
        <v>1</v>
      </c>
      <c r="AD118" s="42" t="n">
        <f aca="false">IFERROR(IF($C118="","",IF($D118="","",IFERROR(ROUND($D118*INDEX('🔖 배합비 참조'!$B$2:$CE$83,MATCH("당류가공품(알룰로스,에리스리톨,스테비올배당체혼합)",'🔖 배합비 참조'!$A$2:$A$83,0),MATCH($C118,'🔖 배합비 참조'!$B$1:$CE$1,0))/100,0),""))),"")</f>
        <v>0</v>
      </c>
      <c r="AE118" s="42" t="n">
        <f aca="false">IFERROR(IF($C118="","",IF($D118="","",IFERROR(ROUND($D118*INDEX('🔖 배합비 참조'!$B$2:$CE$83,MATCH("당류가공품(알룰로스제로파우더)",'🔖 배합비 참조'!$A$2:$A$83,0),MATCH($C118,'🔖 배합비 참조'!$B$1:$CE$1,0))/100,0),""))),"")</f>
        <v>0</v>
      </c>
      <c r="AF118" s="42" t="n">
        <f aca="false">IFERROR(IF($C118="","",IF($D118="","",IFERROR(ROUND($D118*INDEX('🔖 배합비 참조'!$B$2:$CE$83,MATCH("당절임(완두배기)",'🔖 배합비 참조'!$A$2:$A$83,0),MATCH($C118,'🔖 배합비 참조'!$B$1:$CE$1,0))/100,0),""))),"")</f>
        <v>0</v>
      </c>
      <c r="AG118" s="42" t="n">
        <f aca="false">IFERROR(IF($C118="","",IF($D118="","",IFERROR(ROUND($D118*INDEX('🔖 배합비 참조'!$B$2:$CE$83,MATCH("대추농축액",'🔖 배합비 참조'!$A$2:$A$83,0),MATCH($C118,'🔖 배합비 참조'!$B$1:$CE$1,0))/100,0),""))),"")</f>
        <v>0</v>
      </c>
      <c r="AH118" s="42" t="n">
        <f aca="false">IFERROR(IF($C118="","",IF($D118="","",IFERROR(ROUND($D118*INDEX('🔖 배합비 참조'!$B$2:$CE$83,MATCH("대추채(국내산)",'🔖 배합비 참조'!$A$2:$A$83,0),MATCH($C118,'🔖 배합비 참조'!$B$1:$CE$1,0))/100,0),""))),"")</f>
        <v>0</v>
      </c>
      <c r="AI118" s="42" t="n">
        <f aca="false">IFERROR(IF($C118="","",IF($D118="","",IFERROR(ROUND($D118*INDEX('🔖 배합비 참조'!$B$2:$CE$83,MATCH("동부(미얀마산)",'🔖 배합비 참조'!$A$2:$A$83,0),MATCH($C118,'🔖 배합비 참조'!$B$1:$CE$1,0))/100,0),""))),"")</f>
        <v>0</v>
      </c>
      <c r="AJ118" s="42" t="n">
        <f aca="false">IFERROR(IF($C118="","",IF($D118="","",IFERROR(ROUND($D118*INDEX('🔖 배합비 참조'!$B$2:$CE$83,MATCH("두류가공품(백옥앙금)",'🔖 배합비 참조'!$A$2:$A$83,0),MATCH($C118,'🔖 배합비 참조'!$B$1:$CE$1,0))/100,0),""))),"")</f>
        <v>0</v>
      </c>
      <c r="AK118" s="42" t="n">
        <f aca="false">IFERROR(IF($C118="","",IF($D118="","",IFERROR(ROUND($D118*INDEX('🔖 배합비 참조'!$B$2:$CE$83,MATCH("두류가공품(콩고물)",'🔖 배합비 참조'!$A$2:$A$83,0),MATCH($C118,'🔖 배합비 참조'!$B$1:$CE$1,0))/100,0),""))),"")</f>
        <v>0</v>
      </c>
      <c r="AL118" s="42" t="n">
        <f aca="false">IFERROR(IF($C118="","",IF($D118="","",IFERROR(ROUND($D118*INDEX('🔖 배합비 참조'!$B$2:$CE$83,MATCH("두류가공품(통팥고물)",'🔖 배합비 참조'!$A$2:$A$83,0),MATCH($C118,'🔖 배합비 참조'!$B$1:$CE$1,0))/100,0),""))),"")</f>
        <v>0</v>
      </c>
      <c r="AM118" s="42" t="n">
        <f aca="false">IFERROR(IF($C118="","",IF($D118="","",IFERROR(ROUND($D118*INDEX('🔖 배합비 참조'!$B$2:$CE$83,MATCH("딸기레진",'🔖 배합비 참조'!$A$2:$A$83,0),MATCH($C118,'🔖 배합비 참조'!$B$1:$CE$1,0))/100,0),""))),"")</f>
        <v>0</v>
      </c>
      <c r="AN118" s="42" t="n">
        <f aca="false">IFERROR(IF($C118="","",IF($D118="","",IFERROR(ROUND($D118*INDEX('🔖 배합비 참조'!$B$2:$CE$83,MATCH("딸기분말(스트로우베리에이드(분말))",'🔖 배합비 참조'!$A$2:$A$83,0),MATCH($C118,'🔖 배합비 참조'!$B$1:$CE$1,0))/100,0),""))),"")</f>
        <v>0</v>
      </c>
      <c r="AO118" s="42" t="n">
        <f aca="false">IFERROR(IF($C118="","",IF($D118="","",IFERROR(ROUND($D118*INDEX('🔖 배합비 참조'!$B$2:$CE$83,MATCH("마스카포네치즈",'🔖 배합비 참조'!$A$2:$A$83,0),MATCH($C118,'🔖 배합비 참조'!$B$1:$CE$1,0))/100,0),""))),"")</f>
        <v>0</v>
      </c>
      <c r="AP118" s="42" t="n">
        <f aca="false">IFERROR(IF($C118="","",IF($D118="","",IFERROR(ROUND($D118*INDEX('🔖 배합비 참조'!$B$2:$CE$83,MATCH("마카다미아분태(호주산)",'🔖 배합비 참조'!$A$2:$A$83,0),MATCH($C118,'🔖 배합비 참조'!$B$1:$CE$1,0))/100,0),""))),"")</f>
        <v>0</v>
      </c>
      <c r="AQ118" s="42" t="n">
        <f aca="false">IFERROR(IF($C118="","",IF($D118="","",IFERROR(ROUND($D118*INDEX('🔖 배합비 참조'!$B$2:$CE$83,MATCH("멥쌀(국내산)",'🔖 배합비 참조'!$A$2:$A$83,0),MATCH($C118,'🔖 배합비 참조'!$B$1:$CE$1,0))/100,0),""))),"")</f>
        <v>0</v>
      </c>
      <c r="AR118" s="42" t="n">
        <f aca="false">IFERROR(IF($C118="","",IF($D118="","",IFERROR(ROUND($D118*INDEX('🔖 배합비 참조'!$B$2:$CE$83,MATCH("모시잎(국내산)",'🔖 배합비 참조'!$A$2:$A$83,0),MATCH($C118,'🔖 배합비 참조'!$B$1:$CE$1,0))/100,0),""))),"")</f>
        <v>0</v>
      </c>
      <c r="AS118" s="42" t="n">
        <f aca="false">IFERROR(IF($C118="","",IF($D118="","",IFERROR(ROUND($D118*INDEX('🔖 배합비 참조'!$B$2:$CE$83,MATCH("물엿(저당물엿)",'🔖 배합비 참조'!$A$2:$A$83,0),MATCH($C118,'🔖 배합비 참조'!$B$1:$CE$1,0))/100,0),""))),"")</f>
        <v>0</v>
      </c>
      <c r="AT118" s="42" t="n">
        <f aca="false">IFERROR(IF($C118="","",IF($D118="","",IFERROR(ROUND($D118*INDEX('🔖 배합비 참조'!$B$2:$CE$83,MATCH("밤다이스",'🔖 배합비 참조'!$A$2:$A$83,0),MATCH($C118,'🔖 배합비 참조'!$B$1:$CE$1,0))/100,0),""))),"")</f>
        <v>0</v>
      </c>
      <c r="AU118" s="42" t="n">
        <f aca="false">IFERROR(IF($C118="","",IF($D118="","",IFERROR(ROUND($D118*INDEX('🔖 배합비 참조'!$B$2:$CE$83,MATCH("변성전분(타피오카전분)",'🔖 배합비 참조'!$A$2:$A$83,0),MATCH($C118,'🔖 배합비 참조'!$B$1:$CE$1,0))/100,0),""))),"")</f>
        <v>0</v>
      </c>
      <c r="AV118" s="42" t="n">
        <f aca="false">IFERROR(IF($C118="","",IF($D118="","",IFERROR(ROUND($D118*INDEX('🔖 배합비 참조'!$B$2:$CE$83,MATCH("복음땅콩분태",'🔖 배합비 참조'!$A$2:$A$83,0),MATCH($C118,'🔖 배합비 참조'!$B$1:$CE$1,0))/100,0),""))),"")</f>
        <v>0</v>
      </c>
      <c r="AW118" s="42" t="n">
        <f aca="false">IFERROR(IF($C118="","",IF($D118="","",IFERROR(ROUND($D118*INDEX('🔖 배합비 참조'!$B$2:$CE$83,MATCH("사양벌꿀(국내산)",'🔖 배합비 참조'!$A$2:$A$83,0),MATCH($C118,'🔖 배합비 참조'!$B$1:$CE$1,0))/100,0),""))),"")</f>
        <v>0</v>
      </c>
      <c r="AX118" s="42" t="n">
        <f aca="false">IFERROR(IF($C118="","",IF($D118="","",IFERROR(ROUND($D118*INDEX('🔖 배합비 참조'!$B$2:$CE$83,MATCH("생크림",'🔖 배합비 참조'!$A$2:$A$83,0),MATCH($C118,'🔖 배합비 참조'!$B$1:$CE$1,0))/100,0),""))),"")</f>
        <v>0</v>
      </c>
      <c r="AY118" s="42" t="n">
        <f aca="false">IFERROR(IF($C118="","",IF($D118="","",IFERROR(ROUND($D118*INDEX('🔖 배합비 참조'!$B$2:$CE$83,MATCH("서양호박(국내산,뉴질랜드산)",'🔖 배합비 참조'!$A$2:$A$83,0),MATCH($C118,'🔖 배합비 참조'!$B$1:$CE$1,0))/100,0),""))),"")</f>
        <v>0</v>
      </c>
      <c r="AZ118" s="42" t="n">
        <f aca="false">IFERROR(IF($C118="","",IF($D118="","",IFERROR(ROUND($D118*INDEX('🔖 배합비 참조'!$B$2:$CE$83,MATCH("설탕",'🔖 배합비 참조'!$A$2:$A$83,0),MATCH($C118,'🔖 배합비 참조'!$B$1:$CE$1,0))/100,0),""))),"")</f>
        <v>0</v>
      </c>
      <c r="BA118" s="42" t="n">
        <f aca="false">IFERROR(IF($C118="","",IF($D118="","",IFERROR(ROUND($D118*INDEX('🔖 배합비 참조'!$B$2:$CE$83,MATCH("스트로우베리 에이드 후레쉬",'🔖 배합비 참조'!$A$2:$A$83,0),MATCH($C118,'🔖 배합비 참조'!$B$1:$CE$1,0))/100,0),""))),"")</f>
        <v>0</v>
      </c>
      <c r="BB118" s="42" t="n">
        <f aca="false">IFERROR(IF($C118="","",IF($D118="","",IFERROR(ROUND($D118*INDEX('🔖 배합비 참조'!$B$2:$CE$83,MATCH("식물성기름혼합제제(분홍)",'🔖 배합비 참조'!$A$2:$A$83,0),MATCH($C118,'🔖 배합비 참조'!$B$1:$CE$1,0))/100,0),""))),"")</f>
        <v>0</v>
      </c>
      <c r="BC118" s="42" t="n">
        <f aca="false">IFERROR(IF($C118="","",IF($D118="","",IFERROR(ROUND($D118*INDEX('🔖 배합비 참조'!$B$2:$CE$83,MATCH("식물성기름혼합제제(초록)",'🔖 배합비 참조'!$A$2:$A$83,0),MATCH($C118,'🔖 배합비 참조'!$B$1:$CE$1,0))/100,0),""))),"")</f>
        <v>0</v>
      </c>
      <c r="BD118" s="42" t="n">
        <f aca="false">IFERROR(IF($C118="","",IF($D118="","",IFERROR(ROUND($D118*INDEX('🔖 배합비 참조'!$B$2:$CE$83,MATCH("식물성기름혼합제제(황색)",'🔖 배합비 참조'!$A$2:$A$83,0),MATCH($C118,'🔖 배합비 참조'!$B$1:$CE$1,0))/100,0),""))),"")</f>
        <v>0</v>
      </c>
      <c r="BE118" s="42" t="n">
        <f aca="false">IFERROR(IF($C118="","",IF($D118="","",IFERROR(ROUND($D118*INDEX('🔖 배합비 참조'!$B$2:$CE$83,MATCH("쑥가루(국내산)",'🔖 배합비 참조'!$A$2:$A$83,0),MATCH($C118,'🔖 배합비 참조'!$B$1:$CE$1,0))/100,0),""))),"")</f>
        <v>0</v>
      </c>
      <c r="BF118" s="42" t="n">
        <f aca="false">IFERROR(IF($C118="","",IF($D118="","",IFERROR(ROUND($D118*INDEX('🔖 배합비 참조'!$B$2:$CE$83,MATCH("아몬드슬라이스",'🔖 배합비 참조'!$A$2:$A$83,0),MATCH($C118,'🔖 배합비 참조'!$B$1:$CE$1,0))/100,0),""))),"")</f>
        <v>0</v>
      </c>
      <c r="BG118" s="42" t="n">
        <f aca="false">IFERROR(IF($C118="","",IF($D118="","",IFERROR(ROUND($D118*INDEX('🔖 배합비 참조'!$B$2:$CE$83,MATCH("알룰로오스(국내산)",'🔖 배합비 참조'!$A$2:$A$83,0),MATCH($C118,'🔖 배합비 참조'!$B$1:$CE$1,0))/100,0),""))),"")</f>
        <v>1</v>
      </c>
      <c r="BH118" s="42" t="n">
        <f aca="false">IFERROR(IF($C118="","",IF($D118="","",IFERROR(ROUND($D118*INDEX('🔖 배합비 참조'!$B$2:$CE$83,MATCH("연유",'🔖 배합비 참조'!$A$2:$A$83,0),MATCH($C118,'🔖 배합비 참조'!$B$1:$CE$1,0))/100,0),""))),"")</f>
        <v>0</v>
      </c>
      <c r="BI118" s="42" t="n">
        <f aca="false">IFERROR(IF($C118="","",IF($D118="","",IFERROR(ROUND($D118*INDEX('🔖 배합비 참조'!$B$2:$CE$83,MATCH("옥수수전분",'🔖 배합비 참조'!$A$2:$A$83,0),MATCH($C118,'🔖 배합비 참조'!$B$1:$CE$1,0))/100,0),""))),"")</f>
        <v>0</v>
      </c>
      <c r="BJ118" s="42" t="n">
        <f aca="false">IFERROR(IF($C118="","",IF($D118="","",IFERROR(ROUND($D118*INDEX('🔖 배합비 참조'!$B$2:$CE$83,MATCH("완두배기",'🔖 배합비 참조'!$A$2:$A$83,0),MATCH($C118,'🔖 배합비 참조'!$B$1:$CE$1,0))/100,0),""))),"")</f>
        <v>0</v>
      </c>
      <c r="BK118" s="42" t="n">
        <f aca="false">IFERROR(IF($C118="","",IF($D118="","",IFERROR(ROUND($D118*INDEX('🔖 배합비 참조'!$B$2:$CE$83,MATCH("우유(국내산)",'🔖 배합비 참조'!$A$2:$A$83,0),MATCH($C118,'🔖 배합비 참조'!$B$1:$CE$1,0))/100,0),""))),"")</f>
        <v>0</v>
      </c>
      <c r="BL118" s="42" t="n">
        <f aca="false">IFERROR(IF($C118="","",IF($D118="","",IFERROR(ROUND($D118*INDEX('🔖 배합비 참조'!$B$2:$CE$83,MATCH("자색고구마가루(중국산)",'🔖 배합비 참조'!$A$2:$A$83,0),MATCH($C118,'🔖 배합비 참조'!$B$1:$CE$1,0))/100,0),""))),"")</f>
        <v>0</v>
      </c>
      <c r="BM118" s="42" t="n">
        <f aca="false">IFERROR(IF($C118="","",IF($D118="","",IFERROR(ROUND($D118*INDEX('🔖 배합비 참조'!$B$2:$CE$83,MATCH("자연치즈(체다치즈)",'🔖 배합비 참조'!$A$2:$A$83,0),MATCH($C118,'🔖 배합비 참조'!$B$1:$CE$1,0))/100,0),""))),"")</f>
        <v>0</v>
      </c>
      <c r="BN118" s="42" t="n">
        <f aca="false">IFERROR(IF($C118="","",IF($D118="","",IFERROR(ROUND($D118*INDEX('🔖 배합비 참조'!$B$2:$CE$83,MATCH("정제수",'🔖 배합비 참조'!$A$2:$A$83,0),MATCH($C118,'🔖 배합비 참조'!$B$1:$CE$1,0))/100,0),""))),"")</f>
        <v>0</v>
      </c>
      <c r="BO118" s="42" t="n">
        <f aca="false">IFERROR(IF($C118="","",IF($D118="","",IFERROR(ROUND($D118*INDEX('🔖 배합비 참조'!$B$2:$CE$83,MATCH("젤라틴",'🔖 배합비 참조'!$A$2:$A$83,0),MATCH($C118,'🔖 배합비 참조'!$B$1:$CE$1,0))/100,0),""))),"")</f>
        <v>0</v>
      </c>
      <c r="BP118" s="42" t="n">
        <f aca="false">IFERROR(IF($C118="","",IF($D118="","",IFERROR(ROUND($D118*INDEX('🔖 배합비 참조'!$B$2:$CE$83,MATCH("조림류(백옥앙금)",'🔖 배합비 참조'!$A$2:$A$83,0),MATCH($C118,'🔖 배합비 참조'!$B$1:$CE$1,0))/100,0),""))),"")</f>
        <v>0</v>
      </c>
      <c r="BQ118" s="42" t="n">
        <f aca="false">IFERROR(IF($C118="","",IF($D118="","",IFERROR(ROUND($D118*INDEX('🔖 배합비 참조'!$B$2:$CE$83,MATCH("조림류(통팥앙금)",'🔖 배합비 참조'!$A$2:$A$83,0),MATCH($C118,'🔖 배합비 참조'!$B$1:$CE$1,0))/100,0),""))),"")</f>
        <v>0</v>
      </c>
      <c r="BR118" s="42" t="n">
        <f aca="false">IFERROR(IF($C118="","",IF($D118="","",IFERROR(ROUND($D118*INDEX('🔖 배합비 참조'!$B$2:$CE$83,MATCH("준초콜릿(외국산)",'🔖 배합비 참조'!$A$2:$A$83,0),MATCH($C118,'🔖 배합비 참조'!$B$1:$CE$1,0))/100,0),""))),"")</f>
        <v>0</v>
      </c>
      <c r="BS118" s="42" t="n">
        <f aca="false">IFERROR(IF($C118="","",IF($D118="","",IFERROR(ROUND($D118*INDEX('🔖 배합비 참조'!$B$2:$CE$83,MATCH("중력분",'🔖 배합비 참조'!$A$2:$A$83,0),MATCH($C118,'🔖 배합비 참조'!$B$1:$CE$1,0))/100,0),""))),"")</f>
        <v>0</v>
      </c>
      <c r="BT118" s="42" t="n">
        <f aca="false">IFERROR(IF($C118="","",IF($D118="","",IFERROR(ROUND($D118*INDEX('🔖 배합비 참조'!$B$2:$CE$83,MATCH("참깨(인도산,나이지리아산,탄자니아산,미얀마산)",'🔖 배합비 참조'!$A$2:$A$83,0),MATCH($C118,'🔖 배합비 참조'!$B$1:$CE$1,0))/100,0),""))),"")</f>
        <v>0</v>
      </c>
      <c r="BU118" s="42" t="n">
        <f aca="false">IFERROR(IF($C118="","",IF($D118="","",IFERROR(ROUND($D118*INDEX('🔖 배합비 참조'!$B$2:$CE$83,MATCH("찹쌀(국내산)",'🔖 배합비 참조'!$A$2:$A$83,0),MATCH($C118,'🔖 배합비 참조'!$B$1:$CE$1,0))/100,0),""))),"")</f>
        <v>28</v>
      </c>
      <c r="BV118" s="42" t="n">
        <f aca="false">IFERROR(IF($C118="","",IF($D118="","",IFERROR(ROUND($D118*INDEX('🔖 배합비 참조'!$B$2:$CE$83,MATCH("천일염",'🔖 배합비 참조'!$A$2:$A$83,0),MATCH($C118,'🔖 배합비 참조'!$B$1:$CE$1,0))/100,0),""))),"")</f>
        <v>0</v>
      </c>
      <c r="BW118" s="42" t="n">
        <f aca="false">IFERROR(IF($C118="","",IF($D118="","",IFERROR(ROUND($D118*INDEX('🔖 배합비 참조'!$B$2:$CE$83,MATCH("치즈 [크림치즈]",'🔖 배합비 참조'!$A$2:$A$83,0),MATCH($C118,'🔖 배합비 참조'!$B$1:$CE$1,0))/100,0),""))),"")</f>
        <v>0</v>
      </c>
      <c r="BX118" s="42" t="n">
        <f aca="false">IFERROR(IF($C118="","",IF($D118="","",IFERROR(ROUND($D118*INDEX('🔖 배합비 참조'!$B$2:$CE$83,MATCH("코코아가공품류(코코아분말)",'🔖 배합비 참조'!$A$2:$A$83,0),MATCH($C118,'🔖 배합비 참조'!$B$1:$CE$1,0))/100,0),""))),"")</f>
        <v>0</v>
      </c>
      <c r="BY118" s="42" t="n">
        <f aca="false">IFERROR(IF($C118="","",IF($D118="","",IFERROR(ROUND($D118*INDEX('🔖 배합비 참조'!$B$2:$CE$83,MATCH("콩기름(대두유)",'🔖 배합비 참조'!$A$2:$A$83,0),MATCH($C118,'🔖 배합비 참조'!$B$1:$CE$1,0))/100,0),""))),"")</f>
        <v>0</v>
      </c>
      <c r="BZ118" s="42" t="n">
        <f aca="false">IFERROR(IF($C118="","",IF($D118="","",IFERROR(ROUND($D118*INDEX('🔖 배합비 참조'!$B$2:$CE$83,MATCH("해바라기씨앗",'🔖 배합비 참조'!$A$2:$A$83,0),MATCH($C118,'🔖 배합비 참조'!$B$1:$CE$1,0))/100,0),""))),"")</f>
        <v>1</v>
      </c>
      <c r="CA118" s="42" t="n">
        <f aca="false">IFERROR(IF($C118="","",IF($D118="","",IFERROR(ROUND($D118*INDEX('🔖 배합비 참조'!$B$2:$CE$83,MATCH("현미(국내산)",'🔖 배합비 참조'!$A$2:$A$83,0),MATCH($C118,'🔖 배합비 참조'!$B$1:$CE$1,0))/100,0),""))),"")</f>
        <v>0</v>
      </c>
      <c r="CB118" s="42" t="n">
        <f aca="false">IFERROR(IF($C118="","",IF($D118="","",IFERROR(ROUND($D118*INDEX('🔖 배합비 참조'!$B$2:$CE$83,MATCH("현미멥쌀(국내산)",'🔖 배합비 참조'!$A$2:$A$83,0),MATCH($C118,'🔖 배합비 참조'!$B$1:$CE$1,0))/100,0),""))),"")</f>
        <v>0</v>
      </c>
      <c r="CC118" s="42" t="n">
        <f aca="false">IFERROR(IF($C118="","",IF($D118="","",IFERROR(ROUND($D118*INDEX('🔖 배합비 참조'!$B$2:$CE$83,MATCH("호두분태(미국산)",'🔖 배합비 참조'!$A$2:$A$83,0),MATCH($C118,'🔖 배합비 참조'!$B$1:$CE$1,0))/100,0),""))),"")</f>
        <v>1</v>
      </c>
      <c r="CD118" s="42" t="n">
        <f aca="false">IFERROR(IF($C118="","",IF($D118="","",IFERROR(ROUND($D118*INDEX('🔖 배합비 참조'!$B$2:$CE$83,MATCH("호박씨앗(외국산)",'🔖 배합비 참조'!$A$2:$A$83,0),MATCH($C118,'🔖 배합비 참조'!$B$1:$CE$1,0))/100,0),""))),"")</f>
        <v>1</v>
      </c>
      <c r="CE118" s="42" t="n">
        <f aca="false">IFERROR(IF($C118="","",IF($D118="","",IFERROR(ROUND($D118*INDEX('🔖 배합비 참조'!$B$2:$CE$83,MATCH("혼합제제(떡용에스텔)",'🔖 배합비 참조'!$A$2:$A$83,0),MATCH($C118,'🔖 배합비 참조'!$B$1:$CE$1,0))/100,0),""))),"")</f>
        <v>0</v>
      </c>
      <c r="CF118" s="42" t="n">
        <f aca="false">IFERROR(IF($C118="","",IF($D118="","",IFERROR(ROUND($D118*INDEX('🔖 배합비 참조'!$B$2:$CE$83,MATCH("혼합제제(스테비아)",'🔖 배합비 참조'!$A$2:$A$83,0),MATCH($C118,'🔖 배합비 참조'!$B$1:$CE$1,0))/100,0),""))),"")</f>
        <v>1</v>
      </c>
      <c r="CG118" s="42" t="n">
        <f aca="false">IFERROR(IF($C118="","",IF($D118="","",IFERROR(ROUND($D118*INDEX('🔖 배합비 참조'!$B$2:$CE$83,MATCH("화이트초콜릿",'🔖 배합비 참조'!$A$2:$A$83,0),MATCH($C118,'🔖 배합비 참조'!$B$1:$CE$1,0))/100,0),""))),"")</f>
        <v>0</v>
      </c>
      <c r="CH118" s="42" t="n">
        <f aca="false">IFERROR(IF($C118="","",IF($D118="","",IFERROR(ROUND($D118*INDEX('🔖 배합비 참조'!$B$2:$CE$83,MATCH("흑미찹쌀(국내산)",'🔖 배합비 참조'!$A$2:$A$83,0),MATCH($C118,'🔖 배합비 참조'!$B$1:$CE$1,0))/100,0),""))),"")</f>
        <v>0</v>
      </c>
      <c r="CI118" s="42" t="n">
        <f aca="false">IFERROR(IF($C118="","",IF($D118="","",IFERROR(ROUND($D118*INDEX('🔖 배합비 참조'!$B$2:$CE$83,MATCH("찰옥수수전분(미국산)",'🔖 배합비 참조'!$A$2:$A$83,0),MATCH($C118,'🔖 배합비 참조'!$B$1:$CE$1,0))/100,0),""))),"")</f>
        <v>0</v>
      </c>
      <c r="CJ118" s="40"/>
      <c r="CL118" s="1" t="s">
        <v>239</v>
      </c>
    </row>
    <row r="119" customFormat="false" ht="18" hidden="false" customHeight="true" outlineLevel="0" collapsed="false">
      <c r="A119" s="35" t="n">
        <v>115</v>
      </c>
      <c r="B119" s="36" t="n">
        <v>46002</v>
      </c>
      <c r="C119" s="37" t="s">
        <v>204</v>
      </c>
      <c r="D119" s="38" t="n">
        <v>70</v>
      </c>
      <c r="E119" s="13"/>
      <c r="F119" s="13"/>
      <c r="G119" s="39" t="n">
        <f aca="false">IFERROR(IF($C119="","",IF($D119="","",IFERROR(ROUND($D119*INDEX('🔖 배합비 참조'!$B$2:$CE$83,MATCH("간장",'🔖 배합비 참조'!$A$2:$A$83,0),MATCH($C119,'🔖 배합비 참조'!$B$1:$CE$1,0))/100,0),""))),"")</f>
        <v>0</v>
      </c>
      <c r="H119" s="39" t="n">
        <f aca="false">IFERROR(IF($C119="","",IF($D119="","",IFERROR(ROUND($D119*INDEX('🔖 배합비 참조'!$B$2:$CE$83,MATCH("강낭콩((울타리콩))",'🔖 배합비 참조'!$A$2:$A$83,0),MATCH($C119,'🔖 배합비 참조'!$B$1:$CE$1,0))/100,0),""))),"")</f>
        <v>0</v>
      </c>
      <c r="I119" s="39" t="n">
        <f aca="false">IFERROR(IF($C119="","",IF($D119="","",IFERROR(ROUND($D119*INDEX('🔖 배합비 참조'!$B$2:$CE$83,MATCH("건조딸기다이스(외국산)",'🔖 배합비 참조'!$A$2:$A$83,0),MATCH($C119,'🔖 배합비 참조'!$B$1:$CE$1,0))/100,0),""))),"")</f>
        <v>0</v>
      </c>
      <c r="J119" s="39" t="n">
        <f aca="false">IFERROR(IF($C119="","",IF($D119="","",IFERROR(ROUND($D119*INDEX('🔖 배합비 참조'!$B$2:$CE$83,MATCH("건포도",'🔖 배합비 참조'!$A$2:$A$83,0),MATCH($C119,'🔖 배합비 참조'!$B$1:$CE$1,0))/100,0),""))),"")</f>
        <v>0</v>
      </c>
      <c r="K119" s="39" t="n">
        <f aca="false">IFERROR(IF($C119="","",IF($D119="","",IFERROR(ROUND($D119*INDEX('🔖 배합비 참조'!$B$2:$CE$83,MATCH("건호박채(중국산)",'🔖 배합비 참조'!$A$2:$A$83,0),MATCH($C119,'🔖 배합비 참조'!$B$1:$CE$1,0))/100,0),""))),"")</f>
        <v>0</v>
      </c>
      <c r="L119" s="39" t="n">
        <f aca="false">IFERROR(IF($C119="","",IF($D119="","",IFERROR(ROUND($D119*INDEX('🔖 배합비 참조'!$B$2:$CE$83,MATCH("검정깨(흑임자)",'🔖 배합비 참조'!$A$2:$A$83,0),MATCH($C119,'🔖 배합비 참조'!$B$1:$CE$1,0))/100,0),""))),"")</f>
        <v>0</v>
      </c>
      <c r="M119" s="39" t="n">
        <f aca="false">IFERROR(IF($C119="","",IF($D119="","",IFERROR(ROUND($D119*INDEX('🔖 배합비 참조'!$B$2:$CE$83,MATCH("검정콩",'🔖 배합비 참조'!$A$2:$A$83,0),MATCH($C119,'🔖 배합비 참조'!$B$1:$CE$1,0))/100,0),""))),"")</f>
        <v>0</v>
      </c>
      <c r="N119" s="39" t="n">
        <f aca="false">IFERROR(IF($C119="","",IF($D119="","",IFERROR(ROUND($D119*INDEX('🔖 배합비 참조'!$B$2:$CE$83,MATCH("계피가루",'🔖 배합비 참조'!$A$2:$A$83,0),MATCH($C119,'🔖 배합비 참조'!$B$1:$CE$1,0))/100,0),""))),"")</f>
        <v>0</v>
      </c>
      <c r="O119" s="39" t="n">
        <f aca="false">IFERROR(IF($C119="","",IF($D119="","",IFERROR(ROUND($D119*INDEX('🔖 배합비 참조'!$B$2:$CE$83,MATCH("고구마가루",'🔖 배합비 참조'!$A$2:$A$83,0),MATCH($C119,'🔖 배합비 참조'!$B$1:$CE$1,0))/100,0),""))),"")</f>
        <v>0</v>
      </c>
      <c r="P119" s="39" t="n">
        <f aca="false">IFERROR(IF($C119="","",IF($D119="","",IFERROR(ROUND($D119*INDEX('🔖 배합비 참조'!$B$2:$CE$83,MATCH("고구마무스",'🔖 배합비 참조'!$A$2:$A$83,0),MATCH($C119,'🔖 배합비 참조'!$B$1:$CE$1,0))/100,0),""))),"")</f>
        <v>0</v>
      </c>
      <c r="Q119" s="39" t="n">
        <f aca="false">IFERROR(IF($C119="","",IF($D119="","",IFERROR(ROUND($D119*INDEX('🔖 배합비 참조'!$B$2:$CE$83,MATCH("고려엉겅퀴((곤드레)국내산)",'🔖 배합비 참조'!$A$2:$A$83,0),MATCH($C119,'🔖 배합비 참조'!$B$1:$CE$1,0))/100,0),""))),"")</f>
        <v>0</v>
      </c>
      <c r="R119" s="39" t="n">
        <f aca="false">IFERROR(IF($C119="","",IF($D119="","",IFERROR(ROUND($D119*INDEX('🔖 배합비 참조'!$B$2:$CE$83,MATCH("기타가공품(복분자가루)",'🔖 배합비 참조'!$A$2:$A$83,0),MATCH($C119,'🔖 배합비 참조'!$B$1:$CE$1,0))/100,0),""))),"")</f>
        <v>0</v>
      </c>
      <c r="S119" s="39" t="n">
        <f aca="false">IFERROR(IF($C119="","",IF($D119="","",IFERROR(ROUND($D119*INDEX('🔖 배합비 참조'!$B$2:$CE$83,MATCH("기타가공품(슈퍼소프트엠)",'🔖 배합비 참조'!$A$2:$A$83,0),MATCH($C119,'🔖 배합비 참조'!$B$1:$CE$1,0))/100,0),""))),"")</f>
        <v>0</v>
      </c>
      <c r="T119" s="39" t="n">
        <f aca="false">IFERROR(IF($C119="","",IF($D119="","",IFERROR(ROUND($D119*INDEX('🔖 배합비 참조'!$B$2:$CE$83,MATCH("기타가공품(파인소프트 E-티)",'🔖 배합비 참조'!$A$2:$A$83,0),MATCH($C119,'🔖 배합비 참조'!$B$1:$CE$1,0))/100,0),""))),"")</f>
        <v>0</v>
      </c>
      <c r="U119" s="39" t="n">
        <f aca="false">IFERROR(IF($C119="","",IF($D119="","",IFERROR(ROUND($D119*INDEX('🔖 배합비 참조'!$B$2:$CE$83,MATCH("기타가공품(프리미엄카스테라가루)",'🔖 배합비 참조'!$A$2:$A$83,0),MATCH($C119,'🔖 배합비 참조'!$B$1:$CE$1,0))/100,0),""))),"")</f>
        <v>0</v>
      </c>
      <c r="V119" s="39" t="n">
        <f aca="false">IFERROR(IF($C119="","",IF($D119="","",IFERROR(ROUND($D119*INDEX('🔖 배합비 참조'!$B$2:$CE$83,MATCH("기타가공품(흑임자가루)",'🔖 배합비 참조'!$A$2:$A$83,0),MATCH($C119,'🔖 배합비 참조'!$B$1:$CE$1,0))/100,0),""))),"")</f>
        <v>0</v>
      </c>
      <c r="W119" s="39" t="n">
        <f aca="false">IFERROR(IF($C119="","",IF($D119="","",IFERROR(ROUND($D119*INDEX('🔖 배합비 참조'!$B$2:$CE$83,MATCH("기타설탕(흑설탕)",'🔖 배합비 참조'!$A$2:$A$83,0),MATCH($C119,'🔖 배합비 참조'!$B$1:$CE$1,0))/100,0),""))),"")</f>
        <v>0</v>
      </c>
      <c r="X119" s="39" t="n">
        <f aca="false">IFERROR(IF($C119="","",IF($D119="","",IFERROR(ROUND($D119*INDEX('🔖 배합비 참조'!$B$2:$CE$83,MATCH("냉동쑥(국내산)",'🔖 배합비 참조'!$A$2:$A$83,0),MATCH($C119,'🔖 배합비 참조'!$B$1:$CE$1,0))/100,0),""))),"")</f>
        <v>2</v>
      </c>
      <c r="Y119" s="39" t="n">
        <f aca="false">IFERROR(IF($C119="","",IF($D119="","",IFERROR(ROUND($D119*INDEX('🔖 배합비 참조'!$B$2:$CE$83,MATCH("냉동증숙고구마(중국산)",'🔖 배합비 참조'!$A$2:$A$83,0),MATCH($C119,'🔖 배합비 참조'!$B$1:$CE$1,0))/100,0),""))),"")</f>
        <v>0</v>
      </c>
      <c r="Z119" s="39" t="n">
        <f aca="false">IFERROR(IF($C119="","",IF($D119="","",IFERROR(ROUND($D119*INDEX('🔖 배합비 참조'!$B$2:$CE$83,MATCH("녹차가루",'🔖 배합비 참조'!$A$2:$A$83,0),MATCH($C119,'🔖 배합비 참조'!$B$1:$CE$1,0))/100,0),""))),"")</f>
        <v>0</v>
      </c>
      <c r="AA119" s="39" t="n">
        <f aca="false">IFERROR(IF($C119="","",IF($D119="","",IFERROR(ROUND($D119*INDEX('🔖 배합비 참조'!$B$2:$CE$83,MATCH("다크초콜릿 컴파운드칩",'🔖 배합비 참조'!$A$2:$A$83,0),MATCH($C119,'🔖 배합비 참조'!$B$1:$CE$1,0))/100,0),""))),"")</f>
        <v>0</v>
      </c>
      <c r="AB119" s="39" t="n">
        <f aca="false">IFERROR(IF($C119="","",IF($D119="","",IFERROR(ROUND($D119*INDEX('🔖 배합비 참조'!$B$2:$CE$83,MATCH("단호박분말(중국산)",'🔖 배합비 참조'!$A$2:$A$83,0),MATCH($C119,'🔖 배합비 참조'!$B$1:$CE$1,0))/100,0),""))),"")</f>
        <v>0</v>
      </c>
      <c r="AC119" s="39" t="n">
        <f aca="false">IFERROR(IF($C119="","",IF($D119="","",IFERROR(ROUND($D119*INDEX('🔖 배합비 참조'!$B$2:$CE$83,MATCH("당류가공품(단호박농축액)",'🔖 배합비 참조'!$A$2:$A$83,0),MATCH($C119,'🔖 배합비 참조'!$B$1:$CE$1,0))/100,0),""))),"")</f>
        <v>0</v>
      </c>
      <c r="AD119" s="39" t="n">
        <f aca="false">IFERROR(IF($C119="","",IF($D119="","",IFERROR(ROUND($D119*INDEX('🔖 배합비 참조'!$B$2:$CE$83,MATCH("당류가공품(알룰로스,에리스리톨,스테비올배당체혼합)",'🔖 배합비 참조'!$A$2:$A$83,0),MATCH($C119,'🔖 배합비 참조'!$B$1:$CE$1,0))/100,0),""))),"")</f>
        <v>0</v>
      </c>
      <c r="AE119" s="39" t="n">
        <f aca="false">IFERROR(IF($C119="","",IF($D119="","",IFERROR(ROUND($D119*INDEX('🔖 배합비 참조'!$B$2:$CE$83,MATCH("당류가공품(알룰로스제로파우더)",'🔖 배합비 참조'!$A$2:$A$83,0),MATCH($C119,'🔖 배합비 참조'!$B$1:$CE$1,0))/100,0),""))),"")</f>
        <v>0</v>
      </c>
      <c r="AF119" s="39" t="n">
        <f aca="false">IFERROR(IF($C119="","",IF($D119="","",IFERROR(ROUND($D119*INDEX('🔖 배합비 참조'!$B$2:$CE$83,MATCH("당절임(완두배기)",'🔖 배합비 참조'!$A$2:$A$83,0),MATCH($C119,'🔖 배합비 참조'!$B$1:$CE$1,0))/100,0),""))),"")</f>
        <v>0</v>
      </c>
      <c r="AG119" s="39" t="n">
        <f aca="false">IFERROR(IF($C119="","",IF($D119="","",IFERROR(ROUND($D119*INDEX('🔖 배합비 참조'!$B$2:$CE$83,MATCH("대추농축액",'🔖 배합비 참조'!$A$2:$A$83,0),MATCH($C119,'🔖 배합비 참조'!$B$1:$CE$1,0))/100,0),""))),"")</f>
        <v>0</v>
      </c>
      <c r="AH119" s="39" t="n">
        <f aca="false">IFERROR(IF($C119="","",IF($D119="","",IFERROR(ROUND($D119*INDEX('🔖 배합비 참조'!$B$2:$CE$83,MATCH("대추채(국내산)",'🔖 배합비 참조'!$A$2:$A$83,0),MATCH($C119,'🔖 배합비 참조'!$B$1:$CE$1,0))/100,0),""))),"")</f>
        <v>0</v>
      </c>
      <c r="AI119" s="39" t="n">
        <f aca="false">IFERROR(IF($C119="","",IF($D119="","",IFERROR(ROUND($D119*INDEX('🔖 배합비 참조'!$B$2:$CE$83,MATCH("동부(미얀마산)",'🔖 배합비 참조'!$A$2:$A$83,0),MATCH($C119,'🔖 배합비 참조'!$B$1:$CE$1,0))/100,0),""))),"")</f>
        <v>0</v>
      </c>
      <c r="AJ119" s="39" t="n">
        <f aca="false">IFERROR(IF($C119="","",IF($D119="","",IFERROR(ROUND($D119*INDEX('🔖 배합비 참조'!$B$2:$CE$83,MATCH("두류가공품(백옥앙금)",'🔖 배합비 참조'!$A$2:$A$83,0),MATCH($C119,'🔖 배합비 참조'!$B$1:$CE$1,0))/100,0),""))),"")</f>
        <v>0</v>
      </c>
      <c r="AK119" s="39" t="n">
        <f aca="false">IFERROR(IF($C119="","",IF($D119="","",IFERROR(ROUND($D119*INDEX('🔖 배합비 참조'!$B$2:$CE$83,MATCH("두류가공품(콩고물)",'🔖 배합비 참조'!$A$2:$A$83,0),MATCH($C119,'🔖 배합비 참조'!$B$1:$CE$1,0))/100,0),""))),"")</f>
        <v>2</v>
      </c>
      <c r="AL119" s="39" t="n">
        <f aca="false">IFERROR(IF($C119="","",IF($D119="","",IFERROR(ROUND($D119*INDEX('🔖 배합비 참조'!$B$2:$CE$83,MATCH("두류가공품(통팥고물)",'🔖 배합비 참조'!$A$2:$A$83,0),MATCH($C119,'🔖 배합비 참조'!$B$1:$CE$1,0))/100,0),""))),"")</f>
        <v>0</v>
      </c>
      <c r="AM119" s="39" t="n">
        <f aca="false">IFERROR(IF($C119="","",IF($D119="","",IFERROR(ROUND($D119*INDEX('🔖 배합비 참조'!$B$2:$CE$83,MATCH("딸기레진",'🔖 배합비 참조'!$A$2:$A$83,0),MATCH($C119,'🔖 배합비 참조'!$B$1:$CE$1,0))/100,0),""))),"")</f>
        <v>0</v>
      </c>
      <c r="AN119" s="39" t="n">
        <f aca="false">IFERROR(IF($C119="","",IF($D119="","",IFERROR(ROUND($D119*INDEX('🔖 배합비 참조'!$B$2:$CE$83,MATCH("딸기분말(스트로우베리에이드(분말))",'🔖 배합비 참조'!$A$2:$A$83,0),MATCH($C119,'🔖 배합비 참조'!$B$1:$CE$1,0))/100,0),""))),"")</f>
        <v>0</v>
      </c>
      <c r="AO119" s="39" t="n">
        <f aca="false">IFERROR(IF($C119="","",IF($D119="","",IFERROR(ROUND($D119*INDEX('🔖 배합비 참조'!$B$2:$CE$83,MATCH("마스카포네치즈",'🔖 배합비 참조'!$A$2:$A$83,0),MATCH($C119,'🔖 배합비 참조'!$B$1:$CE$1,0))/100,0),""))),"")</f>
        <v>0</v>
      </c>
      <c r="AP119" s="39" t="n">
        <f aca="false">IFERROR(IF($C119="","",IF($D119="","",IFERROR(ROUND($D119*INDEX('🔖 배합비 참조'!$B$2:$CE$83,MATCH("마카다미아분태(호주산)",'🔖 배합비 참조'!$A$2:$A$83,0),MATCH($C119,'🔖 배합비 참조'!$B$1:$CE$1,0))/100,0),""))),"")</f>
        <v>0</v>
      </c>
      <c r="AQ119" s="39" t="n">
        <f aca="false">IFERROR(IF($C119="","",IF($D119="","",IFERROR(ROUND($D119*INDEX('🔖 배합비 참조'!$B$2:$CE$83,MATCH("멥쌀(국내산)",'🔖 배합비 참조'!$A$2:$A$83,0),MATCH($C119,'🔖 배합비 참조'!$B$1:$CE$1,0))/100,0),""))),"")</f>
        <v>0</v>
      </c>
      <c r="AR119" s="39" t="n">
        <f aca="false">IFERROR(IF($C119="","",IF($D119="","",IFERROR(ROUND($D119*INDEX('🔖 배합비 참조'!$B$2:$CE$83,MATCH("모시잎(국내산)",'🔖 배합비 참조'!$A$2:$A$83,0),MATCH($C119,'🔖 배합비 참조'!$B$1:$CE$1,0))/100,0),""))),"")</f>
        <v>0</v>
      </c>
      <c r="AS119" s="39" t="n">
        <f aca="false">IFERROR(IF($C119="","",IF($D119="","",IFERROR(ROUND($D119*INDEX('🔖 배합비 참조'!$B$2:$CE$83,MATCH("물엿(저당물엿)",'🔖 배합비 참조'!$A$2:$A$83,0),MATCH($C119,'🔖 배합비 참조'!$B$1:$CE$1,0))/100,0),""))),"")</f>
        <v>2</v>
      </c>
      <c r="AT119" s="39" t="n">
        <f aca="false">IFERROR(IF($C119="","",IF($D119="","",IFERROR(ROUND($D119*INDEX('🔖 배합비 참조'!$B$2:$CE$83,MATCH("밤다이스",'🔖 배합비 참조'!$A$2:$A$83,0),MATCH($C119,'🔖 배합비 참조'!$B$1:$CE$1,0))/100,0),""))),"")</f>
        <v>0</v>
      </c>
      <c r="AU119" s="39" t="n">
        <f aca="false">IFERROR(IF($C119="","",IF($D119="","",IFERROR(ROUND($D119*INDEX('🔖 배합비 참조'!$B$2:$CE$83,MATCH("변성전분(타피오카전분)",'🔖 배합비 참조'!$A$2:$A$83,0),MATCH($C119,'🔖 배합비 참조'!$B$1:$CE$1,0))/100,0),""))),"")</f>
        <v>0</v>
      </c>
      <c r="AV119" s="39" t="n">
        <f aca="false">IFERROR(IF($C119="","",IF($D119="","",IFERROR(ROUND($D119*INDEX('🔖 배합비 참조'!$B$2:$CE$83,MATCH("복음땅콩분태",'🔖 배합비 참조'!$A$2:$A$83,0),MATCH($C119,'🔖 배합비 참조'!$B$1:$CE$1,0))/100,0),""))),"")</f>
        <v>0</v>
      </c>
      <c r="AW119" s="39" t="n">
        <f aca="false">IFERROR(IF($C119="","",IF($D119="","",IFERROR(ROUND($D119*INDEX('🔖 배합비 참조'!$B$2:$CE$83,MATCH("사양벌꿀(국내산)",'🔖 배합비 참조'!$A$2:$A$83,0),MATCH($C119,'🔖 배합비 참조'!$B$1:$CE$1,0))/100,0),""))),"")</f>
        <v>0</v>
      </c>
      <c r="AX119" s="39" t="n">
        <f aca="false">IFERROR(IF($C119="","",IF($D119="","",IFERROR(ROUND($D119*INDEX('🔖 배합비 참조'!$B$2:$CE$83,MATCH("생크림",'🔖 배합비 참조'!$A$2:$A$83,0),MATCH($C119,'🔖 배합비 참조'!$B$1:$CE$1,0))/100,0),""))),"")</f>
        <v>0</v>
      </c>
      <c r="AY119" s="39" t="n">
        <f aca="false">IFERROR(IF($C119="","",IF($D119="","",IFERROR(ROUND($D119*INDEX('🔖 배합비 참조'!$B$2:$CE$83,MATCH("서양호박(국내산,뉴질랜드산)",'🔖 배합비 참조'!$A$2:$A$83,0),MATCH($C119,'🔖 배합비 참조'!$B$1:$CE$1,0))/100,0),""))),"")</f>
        <v>0</v>
      </c>
      <c r="AZ119" s="39" t="n">
        <f aca="false">IFERROR(IF($C119="","",IF($D119="","",IFERROR(ROUND($D119*INDEX('🔖 배합비 참조'!$B$2:$CE$83,MATCH("설탕",'🔖 배합비 참조'!$A$2:$A$83,0),MATCH($C119,'🔖 배합비 참조'!$B$1:$CE$1,0))/100,0),""))),"")</f>
        <v>2</v>
      </c>
      <c r="BA119" s="39" t="n">
        <f aca="false">IFERROR(IF($C119="","",IF($D119="","",IFERROR(ROUND($D119*INDEX('🔖 배합비 참조'!$B$2:$CE$83,MATCH("스트로우베리 에이드 후레쉬",'🔖 배합비 참조'!$A$2:$A$83,0),MATCH($C119,'🔖 배합비 참조'!$B$1:$CE$1,0))/100,0),""))),"")</f>
        <v>0</v>
      </c>
      <c r="BB119" s="39" t="n">
        <f aca="false">IFERROR(IF($C119="","",IF($D119="","",IFERROR(ROUND($D119*INDEX('🔖 배합비 참조'!$B$2:$CE$83,MATCH("식물성기름혼합제제(분홍)",'🔖 배합비 참조'!$A$2:$A$83,0),MATCH($C119,'🔖 배합비 참조'!$B$1:$CE$1,0))/100,0),""))),"")</f>
        <v>0</v>
      </c>
      <c r="BC119" s="39" t="n">
        <f aca="false">IFERROR(IF($C119="","",IF($D119="","",IFERROR(ROUND($D119*INDEX('🔖 배합비 참조'!$B$2:$CE$83,MATCH("식물성기름혼합제제(초록)",'🔖 배합비 참조'!$A$2:$A$83,0),MATCH($C119,'🔖 배합비 참조'!$B$1:$CE$1,0))/100,0),""))),"")</f>
        <v>0</v>
      </c>
      <c r="BD119" s="39" t="n">
        <f aca="false">IFERROR(IF($C119="","",IF($D119="","",IFERROR(ROUND($D119*INDEX('🔖 배합비 참조'!$B$2:$CE$83,MATCH("식물성기름혼합제제(황색)",'🔖 배합비 참조'!$A$2:$A$83,0),MATCH($C119,'🔖 배합비 참조'!$B$1:$CE$1,0))/100,0),""))),"")</f>
        <v>0</v>
      </c>
      <c r="BE119" s="39" t="n">
        <f aca="false">IFERROR(IF($C119="","",IF($D119="","",IFERROR(ROUND($D119*INDEX('🔖 배합비 참조'!$B$2:$CE$83,MATCH("쑥가루(국내산)",'🔖 배합비 참조'!$A$2:$A$83,0),MATCH($C119,'🔖 배합비 참조'!$B$1:$CE$1,0))/100,0),""))),"")</f>
        <v>1</v>
      </c>
      <c r="BF119" s="39" t="n">
        <f aca="false">IFERROR(IF($C119="","",IF($D119="","",IFERROR(ROUND($D119*INDEX('🔖 배합비 참조'!$B$2:$CE$83,MATCH("아몬드슬라이스",'🔖 배합비 참조'!$A$2:$A$83,0),MATCH($C119,'🔖 배합비 참조'!$B$1:$CE$1,0))/100,0),""))),"")</f>
        <v>0</v>
      </c>
      <c r="BG119" s="39" t="n">
        <f aca="false">IFERROR(IF($C119="","",IF($D119="","",IFERROR(ROUND($D119*INDEX('🔖 배합비 참조'!$B$2:$CE$83,MATCH("알룰로오스(국내산)",'🔖 배합비 참조'!$A$2:$A$83,0),MATCH($C119,'🔖 배합비 참조'!$B$1:$CE$1,0))/100,0),""))),"")</f>
        <v>0</v>
      </c>
      <c r="BH119" s="39" t="n">
        <f aca="false">IFERROR(IF($C119="","",IF($D119="","",IFERROR(ROUND($D119*INDEX('🔖 배합비 참조'!$B$2:$CE$83,MATCH("연유",'🔖 배합비 참조'!$A$2:$A$83,0),MATCH($C119,'🔖 배합비 참조'!$B$1:$CE$1,0))/100,0),""))),"")</f>
        <v>0</v>
      </c>
      <c r="BI119" s="39" t="n">
        <f aca="false">IFERROR(IF($C119="","",IF($D119="","",IFERROR(ROUND($D119*INDEX('🔖 배합비 참조'!$B$2:$CE$83,MATCH("옥수수전분",'🔖 배합비 참조'!$A$2:$A$83,0),MATCH($C119,'🔖 배합비 참조'!$B$1:$CE$1,0))/100,0),""))),"")</f>
        <v>0</v>
      </c>
      <c r="BJ119" s="39" t="n">
        <f aca="false">IFERROR(IF($C119="","",IF($D119="","",IFERROR(ROUND($D119*INDEX('🔖 배합비 참조'!$B$2:$CE$83,MATCH("완두배기",'🔖 배합비 참조'!$A$2:$A$83,0),MATCH($C119,'🔖 배합비 참조'!$B$1:$CE$1,0))/100,0),""))),"")</f>
        <v>0</v>
      </c>
      <c r="BK119" s="39" t="n">
        <f aca="false">IFERROR(IF($C119="","",IF($D119="","",IFERROR(ROUND($D119*INDEX('🔖 배합비 참조'!$B$2:$CE$83,MATCH("우유(국내산)",'🔖 배합비 참조'!$A$2:$A$83,0),MATCH($C119,'🔖 배합비 참조'!$B$1:$CE$1,0))/100,0),""))),"")</f>
        <v>0</v>
      </c>
      <c r="BL119" s="39" t="n">
        <f aca="false">IFERROR(IF($C119="","",IF($D119="","",IFERROR(ROUND($D119*INDEX('🔖 배합비 참조'!$B$2:$CE$83,MATCH("자색고구마가루(중국산)",'🔖 배합비 참조'!$A$2:$A$83,0),MATCH($C119,'🔖 배합비 참조'!$B$1:$CE$1,0))/100,0),""))),"")</f>
        <v>0</v>
      </c>
      <c r="BM119" s="39" t="n">
        <f aca="false">IFERROR(IF($C119="","",IF($D119="","",IFERROR(ROUND($D119*INDEX('🔖 배합비 참조'!$B$2:$CE$83,MATCH("자연치즈(체다치즈)",'🔖 배합비 참조'!$A$2:$A$83,0),MATCH($C119,'🔖 배합비 참조'!$B$1:$CE$1,0))/100,0),""))),"")</f>
        <v>0</v>
      </c>
      <c r="BN119" s="39" t="n">
        <f aca="false">IFERROR(IF($C119="","",IF($D119="","",IFERROR(ROUND($D119*INDEX('🔖 배합비 참조'!$B$2:$CE$83,MATCH("정제수",'🔖 배합비 참조'!$A$2:$A$83,0),MATCH($C119,'🔖 배합비 참조'!$B$1:$CE$1,0))/100,0),""))),"")</f>
        <v>0</v>
      </c>
      <c r="BO119" s="39" t="n">
        <f aca="false">IFERROR(IF($C119="","",IF($D119="","",IFERROR(ROUND($D119*INDEX('🔖 배합비 참조'!$B$2:$CE$83,MATCH("젤라틴",'🔖 배합비 참조'!$A$2:$A$83,0),MATCH($C119,'🔖 배합비 참조'!$B$1:$CE$1,0))/100,0),""))),"")</f>
        <v>0</v>
      </c>
      <c r="BP119" s="39" t="n">
        <f aca="false">IFERROR(IF($C119="","",IF($D119="","",IFERROR(ROUND($D119*INDEX('🔖 배합비 참조'!$B$2:$CE$83,MATCH("조림류(백옥앙금)",'🔖 배합비 참조'!$A$2:$A$83,0),MATCH($C119,'🔖 배합비 참조'!$B$1:$CE$1,0))/100,0),""))),"")</f>
        <v>0</v>
      </c>
      <c r="BQ119" s="39" t="n">
        <f aca="false">IFERROR(IF($C119="","",IF($D119="","",IFERROR(ROUND($D119*INDEX('🔖 배합비 참조'!$B$2:$CE$83,MATCH("조림류(통팥앙금)",'🔖 배합비 참조'!$A$2:$A$83,0),MATCH($C119,'🔖 배합비 참조'!$B$1:$CE$1,0))/100,0),""))),"")</f>
        <v>29</v>
      </c>
      <c r="BR119" s="39" t="n">
        <f aca="false">IFERROR(IF($C119="","",IF($D119="","",IFERROR(ROUND($D119*INDEX('🔖 배합비 참조'!$B$2:$CE$83,MATCH("준초콜릿(외국산)",'🔖 배합비 참조'!$A$2:$A$83,0),MATCH($C119,'🔖 배합비 참조'!$B$1:$CE$1,0))/100,0),""))),"")</f>
        <v>0</v>
      </c>
      <c r="BS119" s="39" t="n">
        <f aca="false">IFERROR(IF($C119="","",IF($D119="","",IFERROR(ROUND($D119*INDEX('🔖 배합비 참조'!$B$2:$CE$83,MATCH("중력분",'🔖 배합비 참조'!$A$2:$A$83,0),MATCH($C119,'🔖 배합비 참조'!$B$1:$CE$1,0))/100,0),""))),"")</f>
        <v>1</v>
      </c>
      <c r="BT119" s="39" t="n">
        <f aca="false">IFERROR(IF($C119="","",IF($D119="","",IFERROR(ROUND($D119*INDEX('🔖 배합비 참조'!$B$2:$CE$83,MATCH("참깨(인도산,나이지리아산,탄자니아산,미얀마산)",'🔖 배합비 참조'!$A$2:$A$83,0),MATCH($C119,'🔖 배합비 참조'!$B$1:$CE$1,0))/100,0),""))),"")</f>
        <v>0</v>
      </c>
      <c r="BU119" s="39" t="n">
        <f aca="false">IFERROR(IF($C119="","",IF($D119="","",IFERROR(ROUND($D119*INDEX('🔖 배합비 참조'!$B$2:$CE$83,MATCH("찹쌀(국내산)",'🔖 배합비 참조'!$A$2:$A$83,0),MATCH($C119,'🔖 배합비 참조'!$B$1:$CE$1,0))/100,0),""))),"")</f>
        <v>31</v>
      </c>
      <c r="BV119" s="39" t="n">
        <f aca="false">IFERROR(IF($C119="","",IF($D119="","",IFERROR(ROUND($D119*INDEX('🔖 배합비 참조'!$B$2:$CE$83,MATCH("천일염",'🔖 배합비 참조'!$A$2:$A$83,0),MATCH($C119,'🔖 배합비 참조'!$B$1:$CE$1,0))/100,0),""))),"")</f>
        <v>1</v>
      </c>
      <c r="BW119" s="39" t="n">
        <f aca="false">IFERROR(IF($C119="","",IF($D119="","",IFERROR(ROUND($D119*INDEX('🔖 배합비 참조'!$B$2:$CE$83,MATCH("치즈 [크림치즈]",'🔖 배합비 참조'!$A$2:$A$83,0),MATCH($C119,'🔖 배합비 참조'!$B$1:$CE$1,0))/100,0),""))),"")</f>
        <v>0</v>
      </c>
      <c r="BX119" s="39" t="n">
        <f aca="false">IFERROR(IF($C119="","",IF($D119="","",IFERROR(ROUND($D119*INDEX('🔖 배합비 참조'!$B$2:$CE$83,MATCH("코코아가공품류(코코아분말)",'🔖 배합비 참조'!$A$2:$A$83,0),MATCH($C119,'🔖 배합비 참조'!$B$1:$CE$1,0))/100,0),""))),"")</f>
        <v>0</v>
      </c>
      <c r="BY119" s="39" t="n">
        <f aca="false">IFERROR(IF($C119="","",IF($D119="","",IFERROR(ROUND($D119*INDEX('🔖 배합비 참조'!$B$2:$CE$83,MATCH("콩기름(대두유)",'🔖 배합비 참조'!$A$2:$A$83,0),MATCH($C119,'🔖 배합비 참조'!$B$1:$CE$1,0))/100,0),""))),"")</f>
        <v>0</v>
      </c>
      <c r="BZ119" s="39" t="n">
        <f aca="false">IFERROR(IF($C119="","",IF($D119="","",IFERROR(ROUND($D119*INDEX('🔖 배합비 참조'!$B$2:$CE$83,MATCH("해바라기씨앗",'🔖 배합비 참조'!$A$2:$A$83,0),MATCH($C119,'🔖 배합비 참조'!$B$1:$CE$1,0))/100,0),""))),"")</f>
        <v>0</v>
      </c>
      <c r="CA119" s="39" t="n">
        <f aca="false">IFERROR(IF($C119="","",IF($D119="","",IFERROR(ROUND($D119*INDEX('🔖 배합비 참조'!$B$2:$CE$83,MATCH("현미(국내산)",'🔖 배합비 참조'!$A$2:$A$83,0),MATCH($C119,'🔖 배합비 참조'!$B$1:$CE$1,0))/100,0),""))),"")</f>
        <v>0</v>
      </c>
      <c r="CB119" s="39" t="n">
        <f aca="false">IFERROR(IF($C119="","",IF($D119="","",IFERROR(ROUND($D119*INDEX('🔖 배합비 참조'!$B$2:$CE$83,MATCH("현미멥쌀(국내산)",'🔖 배합비 참조'!$A$2:$A$83,0),MATCH($C119,'🔖 배합비 참조'!$B$1:$CE$1,0))/100,0),""))),"")</f>
        <v>0</v>
      </c>
      <c r="CC119" s="39" t="n">
        <f aca="false">IFERROR(IF($C119="","",IF($D119="","",IFERROR(ROUND($D119*INDEX('🔖 배합비 참조'!$B$2:$CE$83,MATCH("호두분태(미국산)",'🔖 배합비 참조'!$A$2:$A$83,0),MATCH($C119,'🔖 배합비 참조'!$B$1:$CE$1,0))/100,0),""))),"")</f>
        <v>0</v>
      </c>
      <c r="CD119" s="39" t="n">
        <f aca="false">IFERROR(IF($C119="","",IF($D119="","",IFERROR(ROUND($D119*INDEX('🔖 배합비 참조'!$B$2:$CE$83,MATCH("호박씨앗(외국산)",'🔖 배합비 참조'!$A$2:$A$83,0),MATCH($C119,'🔖 배합비 참조'!$B$1:$CE$1,0))/100,0),""))),"")</f>
        <v>0</v>
      </c>
      <c r="CE119" s="39" t="n">
        <f aca="false">IFERROR(IF($C119="","",IF($D119="","",IFERROR(ROUND($D119*INDEX('🔖 배합비 참조'!$B$2:$CE$83,MATCH("혼합제제(떡용에스텔)",'🔖 배합비 참조'!$A$2:$A$83,0),MATCH($C119,'🔖 배합비 참조'!$B$1:$CE$1,0))/100,0),""))),"")</f>
        <v>0</v>
      </c>
      <c r="CF119" s="39" t="n">
        <f aca="false">IFERROR(IF($C119="","",IF($D119="","",IFERROR(ROUND($D119*INDEX('🔖 배합비 참조'!$B$2:$CE$83,MATCH("혼합제제(스테비아)",'🔖 배합비 참조'!$A$2:$A$83,0),MATCH($C119,'🔖 배합비 참조'!$B$1:$CE$1,0))/100,0),""))),"")</f>
        <v>0</v>
      </c>
      <c r="CG119" s="39" t="n">
        <f aca="false">IFERROR(IF($C119="","",IF($D119="","",IFERROR(ROUND($D119*INDEX('🔖 배합비 참조'!$B$2:$CE$83,MATCH("화이트초콜릿",'🔖 배합비 참조'!$A$2:$A$83,0),MATCH($C119,'🔖 배합비 참조'!$B$1:$CE$1,0))/100,0),""))),"")</f>
        <v>0</v>
      </c>
      <c r="CH119" s="39" t="n">
        <f aca="false">IFERROR(IF($C119="","",IF($D119="","",IFERROR(ROUND($D119*INDEX('🔖 배합비 참조'!$B$2:$CE$83,MATCH("흑미찹쌀(국내산)",'🔖 배합비 참조'!$A$2:$A$83,0),MATCH($C119,'🔖 배합비 참조'!$B$1:$CE$1,0))/100,0),""))),"")</f>
        <v>0</v>
      </c>
      <c r="CI119" s="39" t="n">
        <f aca="false">IFERROR(IF($C119="","",IF($D119="","",IFERROR(ROUND($D119*INDEX('🔖 배합비 참조'!$B$2:$CE$83,MATCH("찰옥수수전분(미국산)",'🔖 배합비 참조'!$A$2:$A$83,0),MATCH($C119,'🔖 배합비 참조'!$B$1:$CE$1,0))/100,0),""))),"")</f>
        <v>0</v>
      </c>
      <c r="CJ119" s="40"/>
      <c r="CL119" s="1" t="s">
        <v>239</v>
      </c>
    </row>
    <row r="120" customFormat="false" ht="18" hidden="false" customHeight="true" outlineLevel="0" collapsed="false">
      <c r="A120" s="41" t="n">
        <v>116</v>
      </c>
      <c r="B120" s="36" t="n">
        <v>46002</v>
      </c>
      <c r="C120" s="37" t="s">
        <v>206</v>
      </c>
      <c r="D120" s="38" t="n">
        <v>70</v>
      </c>
      <c r="E120" s="17"/>
      <c r="F120" s="17"/>
      <c r="G120" s="42" t="n">
        <f aca="false">IFERROR(IF($C120="","",IF($D120="","",IFERROR(ROUND($D120*INDEX('🔖 배합비 참조'!$B$2:$CE$83,MATCH("간장",'🔖 배합비 참조'!$A$2:$A$83,0),MATCH($C120,'🔖 배합비 참조'!$B$1:$CE$1,0))/100,0),""))),"")</f>
        <v>0</v>
      </c>
      <c r="H120" s="42" t="n">
        <f aca="false">IFERROR(IF($C120="","",IF($D120="","",IFERROR(ROUND($D120*INDEX('🔖 배합비 참조'!$B$2:$CE$83,MATCH("강낭콩((울타리콩))",'🔖 배합비 참조'!$A$2:$A$83,0),MATCH($C120,'🔖 배합비 참조'!$B$1:$CE$1,0))/100,0),""))),"")</f>
        <v>0</v>
      </c>
      <c r="I120" s="42" t="n">
        <f aca="false">IFERROR(IF($C120="","",IF($D120="","",IFERROR(ROUND($D120*INDEX('🔖 배합비 참조'!$B$2:$CE$83,MATCH("건조딸기다이스(외국산)",'🔖 배합비 참조'!$A$2:$A$83,0),MATCH($C120,'🔖 배합비 참조'!$B$1:$CE$1,0))/100,0),""))),"")</f>
        <v>0</v>
      </c>
      <c r="J120" s="42" t="n">
        <f aca="false">IFERROR(IF($C120="","",IF($D120="","",IFERROR(ROUND($D120*INDEX('🔖 배합비 참조'!$B$2:$CE$83,MATCH("건포도",'🔖 배합비 참조'!$A$2:$A$83,0),MATCH($C120,'🔖 배합비 참조'!$B$1:$CE$1,0))/100,0),""))),"")</f>
        <v>0</v>
      </c>
      <c r="K120" s="42" t="n">
        <f aca="false">IFERROR(IF($C120="","",IF($D120="","",IFERROR(ROUND($D120*INDEX('🔖 배합비 참조'!$B$2:$CE$83,MATCH("건호박채(중국산)",'🔖 배합비 참조'!$A$2:$A$83,0),MATCH($C120,'🔖 배합비 참조'!$B$1:$CE$1,0))/100,0),""))),"")</f>
        <v>0</v>
      </c>
      <c r="L120" s="42" t="n">
        <f aca="false">IFERROR(IF($C120="","",IF($D120="","",IFERROR(ROUND($D120*INDEX('🔖 배합비 참조'!$B$2:$CE$83,MATCH("검정깨(흑임자)",'🔖 배합비 참조'!$A$2:$A$83,0),MATCH($C120,'🔖 배합비 참조'!$B$1:$CE$1,0))/100,0),""))),"")</f>
        <v>0</v>
      </c>
      <c r="M120" s="42" t="n">
        <f aca="false">IFERROR(IF($C120="","",IF($D120="","",IFERROR(ROUND($D120*INDEX('🔖 배합비 참조'!$B$2:$CE$83,MATCH("검정콩",'🔖 배합비 참조'!$A$2:$A$83,0),MATCH($C120,'🔖 배합비 참조'!$B$1:$CE$1,0))/100,0),""))),"")</f>
        <v>0</v>
      </c>
      <c r="N120" s="42" t="n">
        <f aca="false">IFERROR(IF($C120="","",IF($D120="","",IFERROR(ROUND($D120*INDEX('🔖 배합비 참조'!$B$2:$CE$83,MATCH("계피가루",'🔖 배합비 참조'!$A$2:$A$83,0),MATCH($C120,'🔖 배합비 참조'!$B$1:$CE$1,0))/100,0),""))),"")</f>
        <v>0</v>
      </c>
      <c r="O120" s="42" t="n">
        <f aca="false">IFERROR(IF($C120="","",IF($D120="","",IFERROR(ROUND($D120*INDEX('🔖 배합비 참조'!$B$2:$CE$83,MATCH("고구마가루",'🔖 배합비 참조'!$A$2:$A$83,0),MATCH($C120,'🔖 배합비 참조'!$B$1:$CE$1,0))/100,0),""))),"")</f>
        <v>0</v>
      </c>
      <c r="P120" s="42" t="n">
        <f aca="false">IFERROR(IF($C120="","",IF($D120="","",IFERROR(ROUND($D120*INDEX('🔖 배합비 참조'!$B$2:$CE$83,MATCH("고구마무스",'🔖 배합비 참조'!$A$2:$A$83,0),MATCH($C120,'🔖 배합비 참조'!$B$1:$CE$1,0))/100,0),""))),"")</f>
        <v>0</v>
      </c>
      <c r="Q120" s="42" t="n">
        <f aca="false">IFERROR(IF($C120="","",IF($D120="","",IFERROR(ROUND($D120*INDEX('🔖 배합비 참조'!$B$2:$CE$83,MATCH("고려엉겅퀴((곤드레)국내산)",'🔖 배합비 참조'!$A$2:$A$83,0),MATCH($C120,'🔖 배합비 참조'!$B$1:$CE$1,0))/100,0),""))),"")</f>
        <v>0</v>
      </c>
      <c r="R120" s="42" t="n">
        <f aca="false">IFERROR(IF($C120="","",IF($D120="","",IFERROR(ROUND($D120*INDEX('🔖 배합비 참조'!$B$2:$CE$83,MATCH("기타가공품(복분자가루)",'🔖 배합비 참조'!$A$2:$A$83,0),MATCH($C120,'🔖 배합비 참조'!$B$1:$CE$1,0))/100,0),""))),"")</f>
        <v>0</v>
      </c>
      <c r="S120" s="42" t="n">
        <f aca="false">IFERROR(IF($C120="","",IF($D120="","",IFERROR(ROUND($D120*INDEX('🔖 배합비 참조'!$B$2:$CE$83,MATCH("기타가공품(슈퍼소프트엠)",'🔖 배합비 참조'!$A$2:$A$83,0),MATCH($C120,'🔖 배합비 참조'!$B$1:$CE$1,0))/100,0),""))),"")</f>
        <v>0</v>
      </c>
      <c r="T120" s="42" t="n">
        <f aca="false">IFERROR(IF($C120="","",IF($D120="","",IFERROR(ROUND($D120*INDEX('🔖 배합비 참조'!$B$2:$CE$83,MATCH("기타가공품(파인소프트 E-티)",'🔖 배합비 참조'!$A$2:$A$83,0),MATCH($C120,'🔖 배합비 참조'!$B$1:$CE$1,0))/100,0),""))),"")</f>
        <v>0</v>
      </c>
      <c r="U120" s="42" t="n">
        <f aca="false">IFERROR(IF($C120="","",IF($D120="","",IFERROR(ROUND($D120*INDEX('🔖 배합비 참조'!$B$2:$CE$83,MATCH("기타가공품(프리미엄카스테라가루)",'🔖 배합비 참조'!$A$2:$A$83,0),MATCH($C120,'🔖 배합비 참조'!$B$1:$CE$1,0))/100,0),""))),"")</f>
        <v>0</v>
      </c>
      <c r="V120" s="42" t="n">
        <f aca="false">IFERROR(IF($C120="","",IF($D120="","",IFERROR(ROUND($D120*INDEX('🔖 배합비 참조'!$B$2:$CE$83,MATCH("기타가공품(흑임자가루)",'🔖 배합비 참조'!$A$2:$A$83,0),MATCH($C120,'🔖 배합비 참조'!$B$1:$CE$1,0))/100,0),""))),"")</f>
        <v>0</v>
      </c>
      <c r="W120" s="42" t="n">
        <f aca="false">IFERROR(IF($C120="","",IF($D120="","",IFERROR(ROUND($D120*INDEX('🔖 배합비 참조'!$B$2:$CE$83,MATCH("기타설탕(흑설탕)",'🔖 배합비 참조'!$A$2:$A$83,0),MATCH($C120,'🔖 배합비 참조'!$B$1:$CE$1,0))/100,0),""))),"")</f>
        <v>0</v>
      </c>
      <c r="X120" s="42" t="n">
        <f aca="false">IFERROR(IF($C120="","",IF($D120="","",IFERROR(ROUND($D120*INDEX('🔖 배합비 참조'!$B$2:$CE$83,MATCH("냉동쑥(국내산)",'🔖 배합비 참조'!$A$2:$A$83,0),MATCH($C120,'🔖 배합비 참조'!$B$1:$CE$1,0))/100,0),""))),"")</f>
        <v>0</v>
      </c>
      <c r="Y120" s="42" t="n">
        <f aca="false">IFERROR(IF($C120="","",IF($D120="","",IFERROR(ROUND($D120*INDEX('🔖 배합비 참조'!$B$2:$CE$83,MATCH("냉동증숙고구마(중국산)",'🔖 배합비 참조'!$A$2:$A$83,0),MATCH($C120,'🔖 배합비 참조'!$B$1:$CE$1,0))/100,0),""))),"")</f>
        <v>0</v>
      </c>
      <c r="Z120" s="42" t="n">
        <f aca="false">IFERROR(IF($C120="","",IF($D120="","",IFERROR(ROUND($D120*INDEX('🔖 배합비 참조'!$B$2:$CE$83,MATCH("녹차가루",'🔖 배합비 참조'!$A$2:$A$83,0),MATCH($C120,'🔖 배합비 참조'!$B$1:$CE$1,0))/100,0),""))),"")</f>
        <v>0</v>
      </c>
      <c r="AA120" s="42" t="n">
        <f aca="false">IFERROR(IF($C120="","",IF($D120="","",IFERROR(ROUND($D120*INDEX('🔖 배합비 참조'!$B$2:$CE$83,MATCH("다크초콜릿 컴파운드칩",'🔖 배합비 참조'!$A$2:$A$83,0),MATCH($C120,'🔖 배합비 참조'!$B$1:$CE$1,0))/100,0),""))),"")</f>
        <v>0</v>
      </c>
      <c r="AB120" s="42" t="n">
        <f aca="false">IFERROR(IF($C120="","",IF($D120="","",IFERROR(ROUND($D120*INDEX('🔖 배합비 참조'!$B$2:$CE$83,MATCH("단호박분말(중국산)",'🔖 배합비 참조'!$A$2:$A$83,0),MATCH($C120,'🔖 배합비 참조'!$B$1:$CE$1,0))/100,0),""))),"")</f>
        <v>0</v>
      </c>
      <c r="AC120" s="42" t="n">
        <f aca="false">IFERROR(IF($C120="","",IF($D120="","",IFERROR(ROUND($D120*INDEX('🔖 배합비 참조'!$B$2:$CE$83,MATCH("당류가공품(단호박농축액)",'🔖 배합비 참조'!$A$2:$A$83,0),MATCH($C120,'🔖 배합비 참조'!$B$1:$CE$1,0))/100,0),""))),"")</f>
        <v>0</v>
      </c>
      <c r="AD120" s="42" t="n">
        <f aca="false">IFERROR(IF($C120="","",IF($D120="","",IFERROR(ROUND($D120*INDEX('🔖 배합비 참조'!$B$2:$CE$83,MATCH("당류가공품(알룰로스,에리스리톨,스테비올배당체혼합)",'🔖 배합비 참조'!$A$2:$A$83,0),MATCH($C120,'🔖 배합비 참조'!$B$1:$CE$1,0))/100,0),""))),"")</f>
        <v>0</v>
      </c>
      <c r="AE120" s="42" t="n">
        <f aca="false">IFERROR(IF($C120="","",IF($D120="","",IFERROR(ROUND($D120*INDEX('🔖 배합비 참조'!$B$2:$CE$83,MATCH("당류가공품(알룰로스제로파우더)",'🔖 배합비 참조'!$A$2:$A$83,0),MATCH($C120,'🔖 배합비 참조'!$B$1:$CE$1,0))/100,0),""))),"")</f>
        <v>0</v>
      </c>
      <c r="AF120" s="42" t="n">
        <f aca="false">IFERROR(IF($C120="","",IF($D120="","",IFERROR(ROUND($D120*INDEX('🔖 배합비 참조'!$B$2:$CE$83,MATCH("당절임(완두배기)",'🔖 배합비 참조'!$A$2:$A$83,0),MATCH($C120,'🔖 배합비 참조'!$B$1:$CE$1,0))/100,0),""))),"")</f>
        <v>0</v>
      </c>
      <c r="AG120" s="42" t="n">
        <f aca="false">IFERROR(IF($C120="","",IF($D120="","",IFERROR(ROUND($D120*INDEX('🔖 배합비 참조'!$B$2:$CE$83,MATCH("대추농축액",'🔖 배합비 참조'!$A$2:$A$83,0),MATCH($C120,'🔖 배합비 참조'!$B$1:$CE$1,0))/100,0),""))),"")</f>
        <v>0</v>
      </c>
      <c r="AH120" s="42" t="n">
        <f aca="false">IFERROR(IF($C120="","",IF($D120="","",IFERROR(ROUND($D120*INDEX('🔖 배합비 참조'!$B$2:$CE$83,MATCH("대추채(국내산)",'🔖 배합비 참조'!$A$2:$A$83,0),MATCH($C120,'🔖 배합비 참조'!$B$1:$CE$1,0))/100,0),""))),"")</f>
        <v>0</v>
      </c>
      <c r="AI120" s="42" t="n">
        <f aca="false">IFERROR(IF($C120="","",IF($D120="","",IFERROR(ROUND($D120*INDEX('🔖 배합비 참조'!$B$2:$CE$83,MATCH("동부(미얀마산)",'🔖 배합비 참조'!$A$2:$A$83,0),MATCH($C120,'🔖 배합비 참조'!$B$1:$CE$1,0))/100,0),""))),"")</f>
        <v>0</v>
      </c>
      <c r="AJ120" s="42" t="n">
        <f aca="false">IFERROR(IF($C120="","",IF($D120="","",IFERROR(ROUND($D120*INDEX('🔖 배합비 참조'!$B$2:$CE$83,MATCH("두류가공품(백옥앙금)",'🔖 배합비 참조'!$A$2:$A$83,0),MATCH($C120,'🔖 배합비 참조'!$B$1:$CE$1,0))/100,0),""))),"")</f>
        <v>0</v>
      </c>
      <c r="AK120" s="42" t="n">
        <f aca="false">IFERROR(IF($C120="","",IF($D120="","",IFERROR(ROUND($D120*INDEX('🔖 배합비 참조'!$B$2:$CE$83,MATCH("두류가공품(콩고물)",'🔖 배합비 참조'!$A$2:$A$83,0),MATCH($C120,'🔖 배합비 참조'!$B$1:$CE$1,0))/100,0),""))),"")</f>
        <v>0</v>
      </c>
      <c r="AL120" s="42" t="n">
        <f aca="false">IFERROR(IF($C120="","",IF($D120="","",IFERROR(ROUND($D120*INDEX('🔖 배합비 참조'!$B$2:$CE$83,MATCH("두류가공품(통팥고물)",'🔖 배합비 참조'!$A$2:$A$83,0),MATCH($C120,'🔖 배합비 참조'!$B$1:$CE$1,0))/100,0),""))),"")</f>
        <v>0</v>
      </c>
      <c r="AM120" s="42" t="n">
        <f aca="false">IFERROR(IF($C120="","",IF($D120="","",IFERROR(ROUND($D120*INDEX('🔖 배합비 참조'!$B$2:$CE$83,MATCH("딸기레진",'🔖 배합비 참조'!$A$2:$A$83,0),MATCH($C120,'🔖 배합비 참조'!$B$1:$CE$1,0))/100,0),""))),"")</f>
        <v>0</v>
      </c>
      <c r="AN120" s="42" t="n">
        <f aca="false">IFERROR(IF($C120="","",IF($D120="","",IFERROR(ROUND($D120*INDEX('🔖 배합비 참조'!$B$2:$CE$83,MATCH("딸기분말(스트로우베리에이드(분말))",'🔖 배합비 참조'!$A$2:$A$83,0),MATCH($C120,'🔖 배합비 참조'!$B$1:$CE$1,0))/100,0),""))),"")</f>
        <v>0</v>
      </c>
      <c r="AO120" s="42" t="n">
        <f aca="false">IFERROR(IF($C120="","",IF($D120="","",IFERROR(ROUND($D120*INDEX('🔖 배합비 참조'!$B$2:$CE$83,MATCH("마스카포네치즈",'🔖 배합비 참조'!$A$2:$A$83,0),MATCH($C120,'🔖 배합비 참조'!$B$1:$CE$1,0))/100,0),""))),"")</f>
        <v>0</v>
      </c>
      <c r="AP120" s="42" t="n">
        <f aca="false">IFERROR(IF($C120="","",IF($D120="","",IFERROR(ROUND($D120*INDEX('🔖 배합비 참조'!$B$2:$CE$83,MATCH("마카다미아분태(호주산)",'🔖 배합비 참조'!$A$2:$A$83,0),MATCH($C120,'🔖 배합비 참조'!$B$1:$CE$1,0))/100,0),""))),"")</f>
        <v>0</v>
      </c>
      <c r="AQ120" s="42" t="n">
        <f aca="false">IFERROR(IF($C120="","",IF($D120="","",IFERROR(ROUND($D120*INDEX('🔖 배합비 참조'!$B$2:$CE$83,MATCH("멥쌀(국내산)",'🔖 배합비 참조'!$A$2:$A$83,0),MATCH($C120,'🔖 배합비 참조'!$B$1:$CE$1,0))/100,0),""))),"")</f>
        <v>0</v>
      </c>
      <c r="AR120" s="42" t="n">
        <f aca="false">IFERROR(IF($C120="","",IF($D120="","",IFERROR(ROUND($D120*INDEX('🔖 배합비 참조'!$B$2:$CE$83,MATCH("모시잎(국내산)",'🔖 배합비 참조'!$A$2:$A$83,0),MATCH($C120,'🔖 배합비 참조'!$B$1:$CE$1,0))/100,0),""))),"")</f>
        <v>0</v>
      </c>
      <c r="AS120" s="42" t="n">
        <f aca="false">IFERROR(IF($C120="","",IF($D120="","",IFERROR(ROUND($D120*INDEX('🔖 배합비 참조'!$B$2:$CE$83,MATCH("물엿(저당물엿)",'🔖 배합비 참조'!$A$2:$A$83,0),MATCH($C120,'🔖 배합비 참조'!$B$1:$CE$1,0))/100,0),""))),"")</f>
        <v>3</v>
      </c>
      <c r="AT120" s="42" t="n">
        <f aca="false">IFERROR(IF($C120="","",IF($D120="","",IFERROR(ROUND($D120*INDEX('🔖 배합비 참조'!$B$2:$CE$83,MATCH("밤다이스",'🔖 배합비 참조'!$A$2:$A$83,0),MATCH($C120,'🔖 배합비 참조'!$B$1:$CE$1,0))/100,0),""))),"")</f>
        <v>0</v>
      </c>
      <c r="AU120" s="42" t="n">
        <f aca="false">IFERROR(IF($C120="","",IF($D120="","",IFERROR(ROUND($D120*INDEX('🔖 배합비 참조'!$B$2:$CE$83,MATCH("변성전분(타피오카전분)",'🔖 배합비 참조'!$A$2:$A$83,0),MATCH($C120,'🔖 배합비 참조'!$B$1:$CE$1,0))/100,0),""))),"")</f>
        <v>0</v>
      </c>
      <c r="AV120" s="42" t="n">
        <f aca="false">IFERROR(IF($C120="","",IF($D120="","",IFERROR(ROUND($D120*INDEX('🔖 배합비 참조'!$B$2:$CE$83,MATCH("복음땅콩분태",'🔖 배합비 참조'!$A$2:$A$83,0),MATCH($C120,'🔖 배합비 참조'!$B$1:$CE$1,0))/100,0),""))),"")</f>
        <v>0</v>
      </c>
      <c r="AW120" s="42" t="n">
        <f aca="false">IFERROR(IF($C120="","",IF($D120="","",IFERROR(ROUND($D120*INDEX('🔖 배합비 참조'!$B$2:$CE$83,MATCH("사양벌꿀(국내산)",'🔖 배합비 참조'!$A$2:$A$83,0),MATCH($C120,'🔖 배합비 참조'!$B$1:$CE$1,0))/100,0),""))),"")</f>
        <v>0</v>
      </c>
      <c r="AX120" s="42" t="n">
        <f aca="false">IFERROR(IF($C120="","",IF($D120="","",IFERROR(ROUND($D120*INDEX('🔖 배합비 참조'!$B$2:$CE$83,MATCH("생크림",'🔖 배합비 참조'!$A$2:$A$83,0),MATCH($C120,'🔖 배합비 참조'!$B$1:$CE$1,0))/100,0),""))),"")</f>
        <v>0</v>
      </c>
      <c r="AY120" s="42" t="n">
        <f aca="false">IFERROR(IF($C120="","",IF($D120="","",IFERROR(ROUND($D120*INDEX('🔖 배합비 참조'!$B$2:$CE$83,MATCH("서양호박(국내산,뉴질랜드산)",'🔖 배합비 참조'!$A$2:$A$83,0),MATCH($C120,'🔖 배합비 참조'!$B$1:$CE$1,0))/100,0),""))),"")</f>
        <v>0</v>
      </c>
      <c r="AZ120" s="42" t="n">
        <f aca="false">IFERROR(IF($C120="","",IF($D120="","",IFERROR(ROUND($D120*INDEX('🔖 배합비 참조'!$B$2:$CE$83,MATCH("설탕",'🔖 배합비 참조'!$A$2:$A$83,0),MATCH($C120,'🔖 배합비 참조'!$B$1:$CE$1,0))/100,0),""))),"")</f>
        <v>3</v>
      </c>
      <c r="BA120" s="42" t="n">
        <f aca="false">IFERROR(IF($C120="","",IF($D120="","",IFERROR(ROUND($D120*INDEX('🔖 배합비 참조'!$B$2:$CE$83,MATCH("스트로우베리 에이드 후레쉬",'🔖 배합비 참조'!$A$2:$A$83,0),MATCH($C120,'🔖 배합비 참조'!$B$1:$CE$1,0))/100,0),""))),"")</f>
        <v>0</v>
      </c>
      <c r="BB120" s="42" t="n">
        <f aca="false">IFERROR(IF($C120="","",IF($D120="","",IFERROR(ROUND($D120*INDEX('🔖 배합비 참조'!$B$2:$CE$83,MATCH("식물성기름혼합제제(분홍)",'🔖 배합비 참조'!$A$2:$A$83,0),MATCH($C120,'🔖 배합비 참조'!$B$1:$CE$1,0))/100,0),""))),"")</f>
        <v>0</v>
      </c>
      <c r="BC120" s="42" t="n">
        <f aca="false">IFERROR(IF($C120="","",IF($D120="","",IFERROR(ROUND($D120*INDEX('🔖 배합비 참조'!$B$2:$CE$83,MATCH("식물성기름혼합제제(초록)",'🔖 배합비 참조'!$A$2:$A$83,0),MATCH($C120,'🔖 배합비 참조'!$B$1:$CE$1,0))/100,0),""))),"")</f>
        <v>0</v>
      </c>
      <c r="BD120" s="42" t="n">
        <f aca="false">IFERROR(IF($C120="","",IF($D120="","",IFERROR(ROUND($D120*INDEX('🔖 배합비 참조'!$B$2:$CE$83,MATCH("식물성기름혼합제제(황색)",'🔖 배합비 참조'!$A$2:$A$83,0),MATCH($C120,'🔖 배합비 참조'!$B$1:$CE$1,0))/100,0),""))),"")</f>
        <v>0</v>
      </c>
      <c r="BE120" s="42" t="n">
        <f aca="false">IFERROR(IF($C120="","",IF($D120="","",IFERROR(ROUND($D120*INDEX('🔖 배합비 참조'!$B$2:$CE$83,MATCH("쑥가루(국내산)",'🔖 배합비 참조'!$A$2:$A$83,0),MATCH($C120,'🔖 배합비 참조'!$B$1:$CE$1,0))/100,0),""))),"")</f>
        <v>0</v>
      </c>
      <c r="BF120" s="42" t="n">
        <f aca="false">IFERROR(IF($C120="","",IF($D120="","",IFERROR(ROUND($D120*INDEX('🔖 배합비 참조'!$B$2:$CE$83,MATCH("아몬드슬라이스",'🔖 배합비 참조'!$A$2:$A$83,0),MATCH($C120,'🔖 배합비 참조'!$B$1:$CE$1,0))/100,0),""))),"")</f>
        <v>0</v>
      </c>
      <c r="BG120" s="42" t="n">
        <f aca="false">IFERROR(IF($C120="","",IF($D120="","",IFERROR(ROUND($D120*INDEX('🔖 배합비 참조'!$B$2:$CE$83,MATCH("알룰로오스(국내산)",'🔖 배합비 참조'!$A$2:$A$83,0),MATCH($C120,'🔖 배합비 참조'!$B$1:$CE$1,0))/100,0),""))),"")</f>
        <v>0</v>
      </c>
      <c r="BH120" s="42" t="n">
        <f aca="false">IFERROR(IF($C120="","",IF($D120="","",IFERROR(ROUND($D120*INDEX('🔖 배합비 참조'!$B$2:$CE$83,MATCH("연유",'🔖 배합비 참조'!$A$2:$A$83,0),MATCH($C120,'🔖 배합비 참조'!$B$1:$CE$1,0))/100,0),""))),"")</f>
        <v>0</v>
      </c>
      <c r="BI120" s="42" t="n">
        <f aca="false">IFERROR(IF($C120="","",IF($D120="","",IFERROR(ROUND($D120*INDEX('🔖 배합비 참조'!$B$2:$CE$83,MATCH("옥수수전분",'🔖 배합비 참조'!$A$2:$A$83,0),MATCH($C120,'🔖 배합비 참조'!$B$1:$CE$1,0))/100,0),""))),"")</f>
        <v>0</v>
      </c>
      <c r="BJ120" s="42" t="n">
        <f aca="false">IFERROR(IF($C120="","",IF($D120="","",IFERROR(ROUND($D120*INDEX('🔖 배합비 참조'!$B$2:$CE$83,MATCH("완두배기",'🔖 배합비 참조'!$A$2:$A$83,0),MATCH($C120,'🔖 배합비 참조'!$B$1:$CE$1,0))/100,0),""))),"")</f>
        <v>0</v>
      </c>
      <c r="BK120" s="42" t="n">
        <f aca="false">IFERROR(IF($C120="","",IF($D120="","",IFERROR(ROUND($D120*INDEX('🔖 배합비 참조'!$B$2:$CE$83,MATCH("우유(국내산)",'🔖 배합비 참조'!$A$2:$A$83,0),MATCH($C120,'🔖 배합비 참조'!$B$1:$CE$1,0))/100,0),""))),"")</f>
        <v>0</v>
      </c>
      <c r="BL120" s="42" t="n">
        <f aca="false">IFERROR(IF($C120="","",IF($D120="","",IFERROR(ROUND($D120*INDEX('🔖 배합비 참조'!$B$2:$CE$83,MATCH("자색고구마가루(중국산)",'🔖 배합비 참조'!$A$2:$A$83,0),MATCH($C120,'🔖 배합비 참조'!$B$1:$CE$1,0))/100,0),""))),"")</f>
        <v>0</v>
      </c>
      <c r="BM120" s="42" t="n">
        <f aca="false">IFERROR(IF($C120="","",IF($D120="","",IFERROR(ROUND($D120*INDEX('🔖 배합비 참조'!$B$2:$CE$83,MATCH("자연치즈(체다치즈)",'🔖 배합비 참조'!$A$2:$A$83,0),MATCH($C120,'🔖 배합비 참조'!$B$1:$CE$1,0))/100,0),""))),"")</f>
        <v>0</v>
      </c>
      <c r="BN120" s="42" t="n">
        <f aca="false">IFERROR(IF($C120="","",IF($D120="","",IFERROR(ROUND($D120*INDEX('🔖 배합비 참조'!$B$2:$CE$83,MATCH("정제수",'🔖 배합비 참조'!$A$2:$A$83,0),MATCH($C120,'🔖 배합비 참조'!$B$1:$CE$1,0))/100,0),""))),"")</f>
        <v>28</v>
      </c>
      <c r="BO120" s="42" t="n">
        <f aca="false">IFERROR(IF($C120="","",IF($D120="","",IFERROR(ROUND($D120*INDEX('🔖 배합비 참조'!$B$2:$CE$83,MATCH("젤라틴",'🔖 배합비 참조'!$A$2:$A$83,0),MATCH($C120,'🔖 배합비 참조'!$B$1:$CE$1,0))/100,0),""))),"")</f>
        <v>0</v>
      </c>
      <c r="BP120" s="42" t="n">
        <f aca="false">IFERROR(IF($C120="","",IF($D120="","",IFERROR(ROUND($D120*INDEX('🔖 배합비 참조'!$B$2:$CE$83,MATCH("조림류(백옥앙금)",'🔖 배합비 참조'!$A$2:$A$83,0),MATCH($C120,'🔖 배합비 참조'!$B$1:$CE$1,0))/100,0),""))),"")</f>
        <v>0</v>
      </c>
      <c r="BQ120" s="42" t="n">
        <f aca="false">IFERROR(IF($C120="","",IF($D120="","",IFERROR(ROUND($D120*INDEX('🔖 배합비 참조'!$B$2:$CE$83,MATCH("조림류(통팥앙금)",'🔖 배합비 참조'!$A$2:$A$83,0),MATCH($C120,'🔖 배합비 참조'!$B$1:$CE$1,0))/100,0),""))),"")</f>
        <v>0</v>
      </c>
      <c r="BR120" s="42" t="n">
        <f aca="false">IFERROR(IF($C120="","",IF($D120="","",IFERROR(ROUND($D120*INDEX('🔖 배합비 참조'!$B$2:$CE$83,MATCH("준초콜릿(외국산)",'🔖 배합비 참조'!$A$2:$A$83,0),MATCH($C120,'🔖 배합비 참조'!$B$1:$CE$1,0))/100,0),""))),"")</f>
        <v>0</v>
      </c>
      <c r="BS120" s="42" t="n">
        <f aca="false">IFERROR(IF($C120="","",IF($D120="","",IFERROR(ROUND($D120*INDEX('🔖 배합비 참조'!$B$2:$CE$83,MATCH("중력분",'🔖 배합비 참조'!$A$2:$A$83,0),MATCH($C120,'🔖 배합비 참조'!$B$1:$CE$1,0))/100,0),""))),"")</f>
        <v>1</v>
      </c>
      <c r="BT120" s="42" t="n">
        <f aca="false">IFERROR(IF($C120="","",IF($D120="","",IFERROR(ROUND($D120*INDEX('🔖 배합비 참조'!$B$2:$CE$83,MATCH("참깨(인도산,나이지리아산,탄자니아산,미얀마산)",'🔖 배합비 참조'!$A$2:$A$83,0),MATCH($C120,'🔖 배합비 참조'!$B$1:$CE$1,0))/100,0),""))),"")</f>
        <v>0</v>
      </c>
      <c r="BU120" s="42" t="n">
        <f aca="false">IFERROR(IF($C120="","",IF($D120="","",IFERROR(ROUND($D120*INDEX('🔖 배합비 참조'!$B$2:$CE$83,MATCH("찹쌀(국내산)",'🔖 배합비 참조'!$A$2:$A$83,0),MATCH($C120,'🔖 배합비 참조'!$B$1:$CE$1,0))/100,0),""))),"")</f>
        <v>33</v>
      </c>
      <c r="BV120" s="42" t="n">
        <f aca="false">IFERROR(IF($C120="","",IF($D120="","",IFERROR(ROUND($D120*INDEX('🔖 배합비 참조'!$B$2:$CE$83,MATCH("천일염",'🔖 배합비 참조'!$A$2:$A$83,0),MATCH($C120,'🔖 배합비 참조'!$B$1:$CE$1,0))/100,0),""))),"")</f>
        <v>1</v>
      </c>
      <c r="BW120" s="42" t="n">
        <f aca="false">IFERROR(IF($C120="","",IF($D120="","",IFERROR(ROUND($D120*INDEX('🔖 배합비 참조'!$B$2:$CE$83,MATCH("치즈 [크림치즈]",'🔖 배합비 참조'!$A$2:$A$83,0),MATCH($C120,'🔖 배합비 참조'!$B$1:$CE$1,0))/100,0),""))),"")</f>
        <v>0</v>
      </c>
      <c r="BX120" s="42" t="n">
        <f aca="false">IFERROR(IF($C120="","",IF($D120="","",IFERROR(ROUND($D120*INDEX('🔖 배합비 참조'!$B$2:$CE$83,MATCH("코코아가공품류(코코아분말)",'🔖 배합비 참조'!$A$2:$A$83,0),MATCH($C120,'🔖 배합비 참조'!$B$1:$CE$1,0))/100,0),""))),"")</f>
        <v>0</v>
      </c>
      <c r="BY120" s="42" t="n">
        <f aca="false">IFERROR(IF($C120="","",IF($D120="","",IFERROR(ROUND($D120*INDEX('🔖 배합비 참조'!$B$2:$CE$83,MATCH("콩기름(대두유)",'🔖 배합비 참조'!$A$2:$A$83,0),MATCH($C120,'🔖 배합비 참조'!$B$1:$CE$1,0))/100,0),""))),"")</f>
        <v>0</v>
      </c>
      <c r="BZ120" s="42" t="n">
        <f aca="false">IFERROR(IF($C120="","",IF($D120="","",IFERROR(ROUND($D120*INDEX('🔖 배합비 참조'!$B$2:$CE$83,MATCH("해바라기씨앗",'🔖 배합비 참조'!$A$2:$A$83,0),MATCH($C120,'🔖 배합비 참조'!$B$1:$CE$1,0))/100,0),""))),"")</f>
        <v>0</v>
      </c>
      <c r="CA120" s="42" t="n">
        <f aca="false">IFERROR(IF($C120="","",IF($D120="","",IFERROR(ROUND($D120*INDEX('🔖 배합비 참조'!$B$2:$CE$83,MATCH("현미(국내산)",'🔖 배합비 참조'!$A$2:$A$83,0),MATCH($C120,'🔖 배합비 참조'!$B$1:$CE$1,0))/100,0),""))),"")</f>
        <v>0</v>
      </c>
      <c r="CB120" s="42" t="n">
        <f aca="false">IFERROR(IF($C120="","",IF($D120="","",IFERROR(ROUND($D120*INDEX('🔖 배합비 참조'!$B$2:$CE$83,MATCH("현미멥쌀(국내산)",'🔖 배합비 참조'!$A$2:$A$83,0),MATCH($C120,'🔖 배합비 참조'!$B$1:$CE$1,0))/100,0),""))),"")</f>
        <v>0</v>
      </c>
      <c r="CC120" s="42" t="n">
        <f aca="false">IFERROR(IF($C120="","",IF($D120="","",IFERROR(ROUND($D120*INDEX('🔖 배합비 참조'!$B$2:$CE$83,MATCH("호두분태(미국산)",'🔖 배합비 참조'!$A$2:$A$83,0),MATCH($C120,'🔖 배합비 참조'!$B$1:$CE$1,0))/100,0),""))),"")</f>
        <v>0</v>
      </c>
      <c r="CD120" s="42" t="n">
        <f aca="false">IFERROR(IF($C120="","",IF($D120="","",IFERROR(ROUND($D120*INDEX('🔖 배합비 참조'!$B$2:$CE$83,MATCH("호박씨앗(외국산)",'🔖 배합비 참조'!$A$2:$A$83,0),MATCH($C120,'🔖 배합비 참조'!$B$1:$CE$1,0))/100,0),""))),"")</f>
        <v>0</v>
      </c>
      <c r="CE120" s="42" t="n">
        <f aca="false">IFERROR(IF($C120="","",IF($D120="","",IFERROR(ROUND($D120*INDEX('🔖 배합비 참조'!$B$2:$CE$83,MATCH("혼합제제(떡용에스텔)",'🔖 배합비 참조'!$A$2:$A$83,0),MATCH($C120,'🔖 배합비 참조'!$B$1:$CE$1,0))/100,0),""))),"")</f>
        <v>0</v>
      </c>
      <c r="CF120" s="42" t="n">
        <f aca="false">IFERROR(IF($C120="","",IF($D120="","",IFERROR(ROUND($D120*INDEX('🔖 배합비 참조'!$B$2:$CE$83,MATCH("혼합제제(스테비아)",'🔖 배합비 참조'!$A$2:$A$83,0),MATCH($C120,'🔖 배합비 참조'!$B$1:$CE$1,0))/100,0),""))),"")</f>
        <v>0</v>
      </c>
      <c r="CG120" s="42" t="n">
        <f aca="false">IFERROR(IF($C120="","",IF($D120="","",IFERROR(ROUND($D120*INDEX('🔖 배합비 참조'!$B$2:$CE$83,MATCH("화이트초콜릿",'🔖 배합비 참조'!$A$2:$A$83,0),MATCH($C120,'🔖 배합비 참조'!$B$1:$CE$1,0))/100,0),""))),"")</f>
        <v>0</v>
      </c>
      <c r="CH120" s="42" t="n">
        <f aca="false">IFERROR(IF($C120="","",IF($D120="","",IFERROR(ROUND($D120*INDEX('🔖 배합비 참조'!$B$2:$CE$83,MATCH("흑미찹쌀(국내산)",'🔖 배합비 참조'!$A$2:$A$83,0),MATCH($C120,'🔖 배합비 참조'!$B$1:$CE$1,0))/100,0),""))),"")</f>
        <v>0</v>
      </c>
      <c r="CI120" s="42" t="n">
        <f aca="false">IFERROR(IF($C120="","",IF($D120="","",IFERROR(ROUND($D120*INDEX('🔖 배합비 참조'!$B$2:$CE$83,MATCH("찰옥수수전분(미국산)",'🔖 배합비 참조'!$A$2:$A$83,0),MATCH($C120,'🔖 배합비 참조'!$B$1:$CE$1,0))/100,0),""))),"")</f>
        <v>0</v>
      </c>
      <c r="CJ120" s="40"/>
      <c r="CL120" s="1" t="s">
        <v>239</v>
      </c>
    </row>
    <row r="121" customFormat="false" ht="18" hidden="false" customHeight="true" outlineLevel="0" collapsed="false">
      <c r="A121" s="35" t="n">
        <v>117</v>
      </c>
      <c r="B121" s="36" t="n">
        <v>46002</v>
      </c>
      <c r="C121" s="37" t="s">
        <v>207</v>
      </c>
      <c r="D121" s="38" t="n">
        <v>70</v>
      </c>
      <c r="E121" s="13"/>
      <c r="F121" s="13"/>
      <c r="G121" s="39" t="n">
        <f aca="false">IFERROR(IF($C121="","",IF($D121="","",IFERROR(ROUND($D121*INDEX('🔖 배합비 참조'!$B$2:$CE$83,MATCH("간장",'🔖 배합비 참조'!$A$2:$A$83,0),MATCH($C121,'🔖 배합비 참조'!$B$1:$CE$1,0))/100,0),""))),"")</f>
        <v>0</v>
      </c>
      <c r="H121" s="39" t="n">
        <f aca="false">IFERROR(IF($C121="","",IF($D121="","",IFERROR(ROUND($D121*INDEX('🔖 배합비 참조'!$B$2:$CE$83,MATCH("강낭콩((울타리콩))",'🔖 배합비 참조'!$A$2:$A$83,0),MATCH($C121,'🔖 배합비 참조'!$B$1:$CE$1,0))/100,0),""))),"")</f>
        <v>0</v>
      </c>
      <c r="I121" s="39" t="n">
        <f aca="false">IFERROR(IF($C121="","",IF($D121="","",IFERROR(ROUND($D121*INDEX('🔖 배합비 참조'!$B$2:$CE$83,MATCH("건조딸기다이스(외국산)",'🔖 배합비 참조'!$A$2:$A$83,0),MATCH($C121,'🔖 배합비 참조'!$B$1:$CE$1,0))/100,0),""))),"")</f>
        <v>0</v>
      </c>
      <c r="J121" s="39" t="n">
        <f aca="false">IFERROR(IF($C121="","",IF($D121="","",IFERROR(ROUND($D121*INDEX('🔖 배합비 참조'!$B$2:$CE$83,MATCH("건포도",'🔖 배합비 참조'!$A$2:$A$83,0),MATCH($C121,'🔖 배합비 참조'!$B$1:$CE$1,0))/100,0),""))),"")</f>
        <v>0</v>
      </c>
      <c r="K121" s="39" t="n">
        <f aca="false">IFERROR(IF($C121="","",IF($D121="","",IFERROR(ROUND($D121*INDEX('🔖 배합비 참조'!$B$2:$CE$83,MATCH("건호박채(중국산)",'🔖 배합비 참조'!$A$2:$A$83,0),MATCH($C121,'🔖 배합비 참조'!$B$1:$CE$1,0))/100,0),""))),"")</f>
        <v>0</v>
      </c>
      <c r="L121" s="39" t="n">
        <f aca="false">IFERROR(IF($C121="","",IF($D121="","",IFERROR(ROUND($D121*INDEX('🔖 배합비 참조'!$B$2:$CE$83,MATCH("검정깨(흑임자)",'🔖 배합비 참조'!$A$2:$A$83,0),MATCH($C121,'🔖 배합비 참조'!$B$1:$CE$1,0))/100,0),""))),"")</f>
        <v>0</v>
      </c>
      <c r="M121" s="39" t="n">
        <f aca="false">IFERROR(IF($C121="","",IF($D121="","",IFERROR(ROUND($D121*INDEX('🔖 배합비 참조'!$B$2:$CE$83,MATCH("검정콩",'🔖 배합비 참조'!$A$2:$A$83,0),MATCH($C121,'🔖 배합비 참조'!$B$1:$CE$1,0))/100,0),""))),"")</f>
        <v>0</v>
      </c>
      <c r="N121" s="39" t="n">
        <f aca="false">IFERROR(IF($C121="","",IF($D121="","",IFERROR(ROUND($D121*INDEX('🔖 배합비 참조'!$B$2:$CE$83,MATCH("계피가루",'🔖 배합비 참조'!$A$2:$A$83,0),MATCH($C121,'🔖 배합비 참조'!$B$1:$CE$1,0))/100,0),""))),"")</f>
        <v>0</v>
      </c>
      <c r="O121" s="39" t="n">
        <f aca="false">IFERROR(IF($C121="","",IF($D121="","",IFERROR(ROUND($D121*INDEX('🔖 배합비 참조'!$B$2:$CE$83,MATCH("고구마가루",'🔖 배합비 참조'!$A$2:$A$83,0),MATCH($C121,'🔖 배합비 참조'!$B$1:$CE$1,0))/100,0),""))),"")</f>
        <v>0</v>
      </c>
      <c r="P121" s="39" t="n">
        <f aca="false">IFERROR(IF($C121="","",IF($D121="","",IFERROR(ROUND($D121*INDEX('🔖 배합비 참조'!$B$2:$CE$83,MATCH("고구마무스",'🔖 배합비 참조'!$A$2:$A$83,0),MATCH($C121,'🔖 배합비 참조'!$B$1:$CE$1,0))/100,0),""))),"")</f>
        <v>0</v>
      </c>
      <c r="Q121" s="39" t="n">
        <f aca="false">IFERROR(IF($C121="","",IF($D121="","",IFERROR(ROUND($D121*INDEX('🔖 배합비 참조'!$B$2:$CE$83,MATCH("고려엉겅퀴((곤드레)국내산)",'🔖 배합비 참조'!$A$2:$A$83,0),MATCH($C121,'🔖 배합비 참조'!$B$1:$CE$1,0))/100,0),""))),"")</f>
        <v>0</v>
      </c>
      <c r="R121" s="39" t="n">
        <f aca="false">IFERROR(IF($C121="","",IF($D121="","",IFERROR(ROUND($D121*INDEX('🔖 배합비 참조'!$B$2:$CE$83,MATCH("기타가공품(복분자가루)",'🔖 배합비 참조'!$A$2:$A$83,0),MATCH($C121,'🔖 배합비 참조'!$B$1:$CE$1,0))/100,0),""))),"")</f>
        <v>0</v>
      </c>
      <c r="S121" s="39" t="n">
        <f aca="false">IFERROR(IF($C121="","",IF($D121="","",IFERROR(ROUND($D121*INDEX('🔖 배합비 참조'!$B$2:$CE$83,MATCH("기타가공품(슈퍼소프트엠)",'🔖 배합비 참조'!$A$2:$A$83,0),MATCH($C121,'🔖 배합비 참조'!$B$1:$CE$1,0))/100,0),""))),"")</f>
        <v>0</v>
      </c>
      <c r="T121" s="39" t="n">
        <f aca="false">IFERROR(IF($C121="","",IF($D121="","",IFERROR(ROUND($D121*INDEX('🔖 배합비 참조'!$B$2:$CE$83,MATCH("기타가공품(파인소프트 E-티)",'🔖 배합비 참조'!$A$2:$A$83,0),MATCH($C121,'🔖 배합비 참조'!$B$1:$CE$1,0))/100,0),""))),"")</f>
        <v>0</v>
      </c>
      <c r="U121" s="39" t="n">
        <f aca="false">IFERROR(IF($C121="","",IF($D121="","",IFERROR(ROUND($D121*INDEX('🔖 배합비 참조'!$B$2:$CE$83,MATCH("기타가공품(프리미엄카스테라가루)",'🔖 배합비 참조'!$A$2:$A$83,0),MATCH($C121,'🔖 배합비 참조'!$B$1:$CE$1,0))/100,0),""))),"")</f>
        <v>0</v>
      </c>
      <c r="V121" s="39" t="n">
        <f aca="false">IFERROR(IF($C121="","",IF($D121="","",IFERROR(ROUND($D121*INDEX('🔖 배합비 참조'!$B$2:$CE$83,MATCH("기타가공품(흑임자가루)",'🔖 배합비 참조'!$A$2:$A$83,0),MATCH($C121,'🔖 배합비 참조'!$B$1:$CE$1,0))/100,0),""))),"")</f>
        <v>0</v>
      </c>
      <c r="W121" s="39" t="n">
        <f aca="false">IFERROR(IF($C121="","",IF($D121="","",IFERROR(ROUND($D121*INDEX('🔖 배합비 참조'!$B$2:$CE$83,MATCH("기타설탕(흑설탕)",'🔖 배합비 참조'!$A$2:$A$83,0),MATCH($C121,'🔖 배합비 참조'!$B$1:$CE$1,0))/100,0),""))),"")</f>
        <v>0</v>
      </c>
      <c r="X121" s="39" t="n">
        <f aca="false">IFERROR(IF($C121="","",IF($D121="","",IFERROR(ROUND($D121*INDEX('🔖 배합비 참조'!$B$2:$CE$83,MATCH("냉동쑥(국내산)",'🔖 배합비 참조'!$A$2:$A$83,0),MATCH($C121,'🔖 배합비 참조'!$B$1:$CE$1,0))/100,0),""))),"")</f>
        <v>0</v>
      </c>
      <c r="Y121" s="39" t="n">
        <f aca="false">IFERROR(IF($C121="","",IF($D121="","",IFERROR(ROUND($D121*INDEX('🔖 배합비 참조'!$B$2:$CE$83,MATCH("냉동증숙고구마(중국산)",'🔖 배합비 참조'!$A$2:$A$83,0),MATCH($C121,'🔖 배합비 참조'!$B$1:$CE$1,0))/100,0),""))),"")</f>
        <v>0</v>
      </c>
      <c r="Z121" s="39" t="n">
        <f aca="false">IFERROR(IF($C121="","",IF($D121="","",IFERROR(ROUND($D121*INDEX('🔖 배합비 참조'!$B$2:$CE$83,MATCH("녹차가루",'🔖 배합비 참조'!$A$2:$A$83,0),MATCH($C121,'🔖 배합비 참조'!$B$1:$CE$1,0))/100,0),""))),"")</f>
        <v>0</v>
      </c>
      <c r="AA121" s="39" t="n">
        <f aca="false">IFERROR(IF($C121="","",IF($D121="","",IFERROR(ROUND($D121*INDEX('🔖 배합비 참조'!$B$2:$CE$83,MATCH("다크초콜릿 컴파운드칩",'🔖 배합비 참조'!$A$2:$A$83,0),MATCH($C121,'🔖 배합비 참조'!$B$1:$CE$1,0))/100,0),""))),"")</f>
        <v>0</v>
      </c>
      <c r="AB121" s="39" t="n">
        <f aca="false">IFERROR(IF($C121="","",IF($D121="","",IFERROR(ROUND($D121*INDEX('🔖 배합비 참조'!$B$2:$CE$83,MATCH("단호박분말(중국산)",'🔖 배합비 참조'!$A$2:$A$83,0),MATCH($C121,'🔖 배합비 참조'!$B$1:$CE$1,0))/100,0),""))),"")</f>
        <v>0</v>
      </c>
      <c r="AC121" s="39" t="n">
        <f aca="false">IFERROR(IF($C121="","",IF($D121="","",IFERROR(ROUND($D121*INDEX('🔖 배합비 참조'!$B$2:$CE$83,MATCH("당류가공품(단호박농축액)",'🔖 배합비 참조'!$A$2:$A$83,0),MATCH($C121,'🔖 배합비 참조'!$B$1:$CE$1,0))/100,0),""))),"")</f>
        <v>0</v>
      </c>
      <c r="AD121" s="39" t="n">
        <f aca="false">IFERROR(IF($C121="","",IF($D121="","",IFERROR(ROUND($D121*INDEX('🔖 배합비 참조'!$B$2:$CE$83,MATCH("당류가공품(알룰로스,에리스리톨,스테비올배당체혼합)",'🔖 배합비 참조'!$A$2:$A$83,0),MATCH($C121,'🔖 배합비 참조'!$B$1:$CE$1,0))/100,0),""))),"")</f>
        <v>0</v>
      </c>
      <c r="AE121" s="39" t="n">
        <f aca="false">IFERROR(IF($C121="","",IF($D121="","",IFERROR(ROUND($D121*INDEX('🔖 배합비 참조'!$B$2:$CE$83,MATCH("당류가공품(알룰로스제로파우더)",'🔖 배합비 참조'!$A$2:$A$83,0),MATCH($C121,'🔖 배합비 참조'!$B$1:$CE$1,0))/100,0),""))),"")</f>
        <v>0</v>
      </c>
      <c r="AF121" s="39" t="n">
        <f aca="false">IFERROR(IF($C121="","",IF($D121="","",IFERROR(ROUND($D121*INDEX('🔖 배합비 참조'!$B$2:$CE$83,MATCH("당절임(완두배기)",'🔖 배합비 참조'!$A$2:$A$83,0),MATCH($C121,'🔖 배합비 참조'!$B$1:$CE$1,0))/100,0),""))),"")</f>
        <v>0</v>
      </c>
      <c r="AG121" s="39" t="n">
        <f aca="false">IFERROR(IF($C121="","",IF($D121="","",IFERROR(ROUND($D121*INDEX('🔖 배합비 참조'!$B$2:$CE$83,MATCH("대추농축액",'🔖 배합비 참조'!$A$2:$A$83,0),MATCH($C121,'🔖 배합비 참조'!$B$1:$CE$1,0))/100,0),""))),"")</f>
        <v>0</v>
      </c>
      <c r="AH121" s="39" t="n">
        <f aca="false">IFERROR(IF($C121="","",IF($D121="","",IFERROR(ROUND($D121*INDEX('🔖 배합비 참조'!$B$2:$CE$83,MATCH("대추채(국내산)",'🔖 배합비 참조'!$A$2:$A$83,0),MATCH($C121,'🔖 배합비 참조'!$B$1:$CE$1,0))/100,0),""))),"")</f>
        <v>0</v>
      </c>
      <c r="AI121" s="39" t="n">
        <f aca="false">IFERROR(IF($C121="","",IF($D121="","",IFERROR(ROUND($D121*INDEX('🔖 배합비 참조'!$B$2:$CE$83,MATCH("동부(미얀마산)",'🔖 배합비 참조'!$A$2:$A$83,0),MATCH($C121,'🔖 배합비 참조'!$B$1:$CE$1,0))/100,0),""))),"")</f>
        <v>0</v>
      </c>
      <c r="AJ121" s="39" t="n">
        <f aca="false">IFERROR(IF($C121="","",IF($D121="","",IFERROR(ROUND($D121*INDEX('🔖 배합비 참조'!$B$2:$CE$83,MATCH("두류가공품(백옥앙금)",'🔖 배합비 참조'!$A$2:$A$83,0),MATCH($C121,'🔖 배합비 참조'!$B$1:$CE$1,0))/100,0),""))),"")</f>
        <v>0</v>
      </c>
      <c r="AK121" s="39" t="n">
        <f aca="false">IFERROR(IF($C121="","",IF($D121="","",IFERROR(ROUND($D121*INDEX('🔖 배합비 참조'!$B$2:$CE$83,MATCH("두류가공품(콩고물)",'🔖 배합비 참조'!$A$2:$A$83,0),MATCH($C121,'🔖 배합비 참조'!$B$1:$CE$1,0))/100,0),""))),"")</f>
        <v>2</v>
      </c>
      <c r="AL121" s="39" t="n">
        <f aca="false">IFERROR(IF($C121="","",IF($D121="","",IFERROR(ROUND($D121*INDEX('🔖 배합비 참조'!$B$2:$CE$83,MATCH("두류가공품(통팥고물)",'🔖 배합비 참조'!$A$2:$A$83,0),MATCH($C121,'🔖 배합비 참조'!$B$1:$CE$1,0))/100,0),""))),"")</f>
        <v>0</v>
      </c>
      <c r="AM121" s="39" t="n">
        <f aca="false">IFERROR(IF($C121="","",IF($D121="","",IFERROR(ROUND($D121*INDEX('🔖 배합비 참조'!$B$2:$CE$83,MATCH("딸기레진",'🔖 배합비 참조'!$A$2:$A$83,0),MATCH($C121,'🔖 배합비 참조'!$B$1:$CE$1,0))/100,0),""))),"")</f>
        <v>0</v>
      </c>
      <c r="AN121" s="39" t="n">
        <f aca="false">IFERROR(IF($C121="","",IF($D121="","",IFERROR(ROUND($D121*INDEX('🔖 배합비 참조'!$B$2:$CE$83,MATCH("딸기분말(스트로우베리에이드(분말))",'🔖 배합비 참조'!$A$2:$A$83,0),MATCH($C121,'🔖 배합비 참조'!$B$1:$CE$1,0))/100,0),""))),"")</f>
        <v>0</v>
      </c>
      <c r="AO121" s="39" t="n">
        <f aca="false">IFERROR(IF($C121="","",IF($D121="","",IFERROR(ROUND($D121*INDEX('🔖 배합비 참조'!$B$2:$CE$83,MATCH("마스카포네치즈",'🔖 배합비 참조'!$A$2:$A$83,0),MATCH($C121,'🔖 배합비 참조'!$B$1:$CE$1,0))/100,0),""))),"")</f>
        <v>0</v>
      </c>
      <c r="AP121" s="39" t="n">
        <f aca="false">IFERROR(IF($C121="","",IF($D121="","",IFERROR(ROUND($D121*INDEX('🔖 배합비 참조'!$B$2:$CE$83,MATCH("마카다미아분태(호주산)",'🔖 배합비 참조'!$A$2:$A$83,0),MATCH($C121,'🔖 배합비 참조'!$B$1:$CE$1,0))/100,0),""))),"")</f>
        <v>0</v>
      </c>
      <c r="AQ121" s="39" t="n">
        <f aca="false">IFERROR(IF($C121="","",IF($D121="","",IFERROR(ROUND($D121*INDEX('🔖 배합비 참조'!$B$2:$CE$83,MATCH("멥쌀(국내산)",'🔖 배합비 참조'!$A$2:$A$83,0),MATCH($C121,'🔖 배합비 참조'!$B$1:$CE$1,0))/100,0),""))),"")</f>
        <v>0</v>
      </c>
      <c r="AR121" s="39" t="n">
        <f aca="false">IFERROR(IF($C121="","",IF($D121="","",IFERROR(ROUND($D121*INDEX('🔖 배합비 참조'!$B$2:$CE$83,MATCH("모시잎(국내산)",'🔖 배합비 참조'!$A$2:$A$83,0),MATCH($C121,'🔖 배합비 참조'!$B$1:$CE$1,0))/100,0),""))),"")</f>
        <v>0</v>
      </c>
      <c r="AS121" s="39" t="n">
        <f aca="false">IFERROR(IF($C121="","",IF($D121="","",IFERROR(ROUND($D121*INDEX('🔖 배합비 참조'!$B$2:$CE$83,MATCH("물엿(저당물엿)",'🔖 배합비 참조'!$A$2:$A$83,0),MATCH($C121,'🔖 배합비 참조'!$B$1:$CE$1,0))/100,0),""))),"")</f>
        <v>3</v>
      </c>
      <c r="AT121" s="39" t="n">
        <f aca="false">IFERROR(IF($C121="","",IF($D121="","",IFERROR(ROUND($D121*INDEX('🔖 배합비 참조'!$B$2:$CE$83,MATCH("밤다이스",'🔖 배합비 참조'!$A$2:$A$83,0),MATCH($C121,'🔖 배합비 참조'!$B$1:$CE$1,0))/100,0),""))),"")</f>
        <v>0</v>
      </c>
      <c r="AU121" s="39" t="n">
        <f aca="false">IFERROR(IF($C121="","",IF($D121="","",IFERROR(ROUND($D121*INDEX('🔖 배합비 참조'!$B$2:$CE$83,MATCH("변성전분(타피오카전분)",'🔖 배합비 참조'!$A$2:$A$83,0),MATCH($C121,'🔖 배합비 참조'!$B$1:$CE$1,0))/100,0),""))),"")</f>
        <v>0</v>
      </c>
      <c r="AV121" s="39" t="n">
        <f aca="false">IFERROR(IF($C121="","",IF($D121="","",IFERROR(ROUND($D121*INDEX('🔖 배합비 참조'!$B$2:$CE$83,MATCH("복음땅콩분태",'🔖 배합비 참조'!$A$2:$A$83,0),MATCH($C121,'🔖 배합비 참조'!$B$1:$CE$1,0))/100,0),""))),"")</f>
        <v>0</v>
      </c>
      <c r="AW121" s="39" t="n">
        <f aca="false">IFERROR(IF($C121="","",IF($D121="","",IFERROR(ROUND($D121*INDEX('🔖 배합비 참조'!$B$2:$CE$83,MATCH("사양벌꿀(국내산)",'🔖 배합비 참조'!$A$2:$A$83,0),MATCH($C121,'🔖 배합비 참조'!$B$1:$CE$1,0))/100,0),""))),"")</f>
        <v>0</v>
      </c>
      <c r="AX121" s="39" t="n">
        <f aca="false">IFERROR(IF($C121="","",IF($D121="","",IFERROR(ROUND($D121*INDEX('🔖 배합비 참조'!$B$2:$CE$83,MATCH("생크림",'🔖 배합비 참조'!$A$2:$A$83,0),MATCH($C121,'🔖 배합비 참조'!$B$1:$CE$1,0))/100,0),""))),"")</f>
        <v>0</v>
      </c>
      <c r="AY121" s="39" t="n">
        <f aca="false">IFERROR(IF($C121="","",IF($D121="","",IFERROR(ROUND($D121*INDEX('🔖 배합비 참조'!$B$2:$CE$83,MATCH("서양호박(국내산,뉴질랜드산)",'🔖 배합비 참조'!$A$2:$A$83,0),MATCH($C121,'🔖 배합비 참조'!$B$1:$CE$1,0))/100,0),""))),"")</f>
        <v>0</v>
      </c>
      <c r="AZ121" s="39" t="n">
        <f aca="false">IFERROR(IF($C121="","",IF($D121="","",IFERROR(ROUND($D121*INDEX('🔖 배합비 참조'!$B$2:$CE$83,MATCH("설탕",'🔖 배합비 참조'!$A$2:$A$83,0),MATCH($C121,'🔖 배합비 참조'!$B$1:$CE$1,0))/100,0),""))),"")</f>
        <v>3</v>
      </c>
      <c r="BA121" s="39" t="n">
        <f aca="false">IFERROR(IF($C121="","",IF($D121="","",IFERROR(ROUND($D121*INDEX('🔖 배합비 참조'!$B$2:$CE$83,MATCH("스트로우베리 에이드 후레쉬",'🔖 배합비 참조'!$A$2:$A$83,0),MATCH($C121,'🔖 배합비 참조'!$B$1:$CE$1,0))/100,0),""))),"")</f>
        <v>0</v>
      </c>
      <c r="BB121" s="39" t="n">
        <f aca="false">IFERROR(IF($C121="","",IF($D121="","",IFERROR(ROUND($D121*INDEX('🔖 배합비 참조'!$B$2:$CE$83,MATCH("식물성기름혼합제제(분홍)",'🔖 배합비 참조'!$A$2:$A$83,0),MATCH($C121,'🔖 배합비 참조'!$B$1:$CE$1,0))/100,0),""))),"")</f>
        <v>0</v>
      </c>
      <c r="BC121" s="39" t="n">
        <f aca="false">IFERROR(IF($C121="","",IF($D121="","",IFERROR(ROUND($D121*INDEX('🔖 배합비 참조'!$B$2:$CE$83,MATCH("식물성기름혼합제제(초록)",'🔖 배합비 참조'!$A$2:$A$83,0),MATCH($C121,'🔖 배합비 참조'!$B$1:$CE$1,0))/100,0),""))),"")</f>
        <v>0</v>
      </c>
      <c r="BD121" s="39" t="n">
        <f aca="false">IFERROR(IF($C121="","",IF($D121="","",IFERROR(ROUND($D121*INDEX('🔖 배합비 참조'!$B$2:$CE$83,MATCH("식물성기름혼합제제(황색)",'🔖 배합비 참조'!$A$2:$A$83,0),MATCH($C121,'🔖 배합비 참조'!$B$1:$CE$1,0))/100,0),""))),"")</f>
        <v>0</v>
      </c>
      <c r="BE121" s="39" t="n">
        <f aca="false">IFERROR(IF($C121="","",IF($D121="","",IFERROR(ROUND($D121*INDEX('🔖 배합비 참조'!$B$2:$CE$83,MATCH("쑥가루(국내산)",'🔖 배합비 참조'!$A$2:$A$83,0),MATCH($C121,'🔖 배합비 참조'!$B$1:$CE$1,0))/100,0),""))),"")</f>
        <v>0</v>
      </c>
      <c r="BF121" s="39" t="n">
        <f aca="false">IFERROR(IF($C121="","",IF($D121="","",IFERROR(ROUND($D121*INDEX('🔖 배합비 참조'!$B$2:$CE$83,MATCH("아몬드슬라이스",'🔖 배합비 참조'!$A$2:$A$83,0),MATCH($C121,'🔖 배합비 참조'!$B$1:$CE$1,0))/100,0),""))),"")</f>
        <v>0</v>
      </c>
      <c r="BG121" s="39" t="n">
        <f aca="false">IFERROR(IF($C121="","",IF($D121="","",IFERROR(ROUND($D121*INDEX('🔖 배합비 참조'!$B$2:$CE$83,MATCH("알룰로오스(국내산)",'🔖 배합비 참조'!$A$2:$A$83,0),MATCH($C121,'🔖 배합비 참조'!$B$1:$CE$1,0))/100,0),""))),"")</f>
        <v>0</v>
      </c>
      <c r="BH121" s="39" t="n">
        <f aca="false">IFERROR(IF($C121="","",IF($D121="","",IFERROR(ROUND($D121*INDEX('🔖 배합비 참조'!$B$2:$CE$83,MATCH("연유",'🔖 배합비 참조'!$A$2:$A$83,0),MATCH($C121,'🔖 배합비 참조'!$B$1:$CE$1,0))/100,0),""))),"")</f>
        <v>0</v>
      </c>
      <c r="BI121" s="39" t="n">
        <f aca="false">IFERROR(IF($C121="","",IF($D121="","",IFERROR(ROUND($D121*INDEX('🔖 배합비 참조'!$B$2:$CE$83,MATCH("옥수수전분",'🔖 배합비 참조'!$A$2:$A$83,0),MATCH($C121,'🔖 배합비 참조'!$B$1:$CE$1,0))/100,0),""))),"")</f>
        <v>0</v>
      </c>
      <c r="BJ121" s="39" t="n">
        <f aca="false">IFERROR(IF($C121="","",IF($D121="","",IFERROR(ROUND($D121*INDEX('🔖 배합비 참조'!$B$2:$CE$83,MATCH("완두배기",'🔖 배합비 참조'!$A$2:$A$83,0),MATCH($C121,'🔖 배합비 참조'!$B$1:$CE$1,0))/100,0),""))),"")</f>
        <v>0</v>
      </c>
      <c r="BK121" s="39" t="n">
        <f aca="false">IFERROR(IF($C121="","",IF($D121="","",IFERROR(ROUND($D121*INDEX('🔖 배합비 참조'!$B$2:$CE$83,MATCH("우유(국내산)",'🔖 배합비 참조'!$A$2:$A$83,0),MATCH($C121,'🔖 배합비 참조'!$B$1:$CE$1,0))/100,0),""))),"")</f>
        <v>0</v>
      </c>
      <c r="BL121" s="39" t="n">
        <f aca="false">IFERROR(IF($C121="","",IF($D121="","",IFERROR(ROUND($D121*INDEX('🔖 배합비 참조'!$B$2:$CE$83,MATCH("자색고구마가루(중국산)",'🔖 배합비 참조'!$A$2:$A$83,0),MATCH($C121,'🔖 배합비 참조'!$B$1:$CE$1,0))/100,0),""))),"")</f>
        <v>0</v>
      </c>
      <c r="BM121" s="39" t="n">
        <f aca="false">IFERROR(IF($C121="","",IF($D121="","",IFERROR(ROUND($D121*INDEX('🔖 배합비 참조'!$B$2:$CE$83,MATCH("자연치즈(체다치즈)",'🔖 배합비 참조'!$A$2:$A$83,0),MATCH($C121,'🔖 배합비 참조'!$B$1:$CE$1,0))/100,0),""))),"")</f>
        <v>0</v>
      </c>
      <c r="BN121" s="39" t="n">
        <f aca="false">IFERROR(IF($C121="","",IF($D121="","",IFERROR(ROUND($D121*INDEX('🔖 배합비 참조'!$B$2:$CE$83,MATCH("정제수",'🔖 배합비 참조'!$A$2:$A$83,0),MATCH($C121,'🔖 배합비 참조'!$B$1:$CE$1,0))/100,0),""))),"")</f>
        <v>27</v>
      </c>
      <c r="BO121" s="39" t="n">
        <f aca="false">IFERROR(IF($C121="","",IF($D121="","",IFERROR(ROUND($D121*INDEX('🔖 배합비 참조'!$B$2:$CE$83,MATCH("젤라틴",'🔖 배합비 참조'!$A$2:$A$83,0),MATCH($C121,'🔖 배합비 참조'!$B$1:$CE$1,0))/100,0),""))),"")</f>
        <v>0</v>
      </c>
      <c r="BP121" s="39" t="n">
        <f aca="false">IFERROR(IF($C121="","",IF($D121="","",IFERROR(ROUND($D121*INDEX('🔖 배합비 참조'!$B$2:$CE$83,MATCH("조림류(백옥앙금)",'🔖 배합비 참조'!$A$2:$A$83,0),MATCH($C121,'🔖 배합비 참조'!$B$1:$CE$1,0))/100,0),""))),"")</f>
        <v>0</v>
      </c>
      <c r="BQ121" s="39" t="n">
        <f aca="false">IFERROR(IF($C121="","",IF($D121="","",IFERROR(ROUND($D121*INDEX('🔖 배합비 참조'!$B$2:$CE$83,MATCH("조림류(통팥앙금)",'🔖 배합비 참조'!$A$2:$A$83,0),MATCH($C121,'🔖 배합비 참조'!$B$1:$CE$1,0))/100,0),""))),"")</f>
        <v>0</v>
      </c>
      <c r="BR121" s="39" t="n">
        <f aca="false">IFERROR(IF($C121="","",IF($D121="","",IFERROR(ROUND($D121*INDEX('🔖 배합비 참조'!$B$2:$CE$83,MATCH("준초콜릿(외국산)",'🔖 배합비 참조'!$A$2:$A$83,0),MATCH($C121,'🔖 배합비 참조'!$B$1:$CE$1,0))/100,0),""))),"")</f>
        <v>0</v>
      </c>
      <c r="BS121" s="39" t="n">
        <f aca="false">IFERROR(IF($C121="","",IF($D121="","",IFERROR(ROUND($D121*INDEX('🔖 배합비 참조'!$B$2:$CE$83,MATCH("중력분",'🔖 배합비 참조'!$A$2:$A$83,0),MATCH($C121,'🔖 배합비 참조'!$B$1:$CE$1,0))/100,0),""))),"")</f>
        <v>1</v>
      </c>
      <c r="BT121" s="39" t="n">
        <f aca="false">IFERROR(IF($C121="","",IF($D121="","",IFERROR(ROUND($D121*INDEX('🔖 배합비 참조'!$B$2:$CE$83,MATCH("참깨(인도산,나이지리아산,탄자니아산,미얀마산)",'🔖 배합비 참조'!$A$2:$A$83,0),MATCH($C121,'🔖 배합비 참조'!$B$1:$CE$1,0))/100,0),""))),"")</f>
        <v>0</v>
      </c>
      <c r="BU121" s="39" t="n">
        <f aca="false">IFERROR(IF($C121="","",IF($D121="","",IFERROR(ROUND($D121*INDEX('🔖 배합비 참조'!$B$2:$CE$83,MATCH("찹쌀(국내산)",'🔖 배합비 참조'!$A$2:$A$83,0),MATCH($C121,'🔖 배합비 참조'!$B$1:$CE$1,0))/100,0),""))),"")</f>
        <v>33</v>
      </c>
      <c r="BV121" s="39" t="n">
        <f aca="false">IFERROR(IF($C121="","",IF($D121="","",IFERROR(ROUND($D121*INDEX('🔖 배합비 참조'!$B$2:$CE$83,MATCH("천일염",'🔖 배합비 참조'!$A$2:$A$83,0),MATCH($C121,'🔖 배합비 참조'!$B$1:$CE$1,0))/100,0),""))),"")</f>
        <v>1</v>
      </c>
      <c r="BW121" s="39" t="n">
        <f aca="false">IFERROR(IF($C121="","",IF($D121="","",IFERROR(ROUND($D121*INDEX('🔖 배합비 참조'!$B$2:$CE$83,MATCH("치즈 [크림치즈]",'🔖 배합비 참조'!$A$2:$A$83,0),MATCH($C121,'🔖 배합비 참조'!$B$1:$CE$1,0))/100,0),""))),"")</f>
        <v>0</v>
      </c>
      <c r="BX121" s="39" t="n">
        <f aca="false">IFERROR(IF($C121="","",IF($D121="","",IFERROR(ROUND($D121*INDEX('🔖 배합비 참조'!$B$2:$CE$83,MATCH("코코아가공품류(코코아분말)",'🔖 배합비 참조'!$A$2:$A$83,0),MATCH($C121,'🔖 배합비 참조'!$B$1:$CE$1,0))/100,0),""))),"")</f>
        <v>0</v>
      </c>
      <c r="BY121" s="39" t="n">
        <f aca="false">IFERROR(IF($C121="","",IF($D121="","",IFERROR(ROUND($D121*INDEX('🔖 배합비 참조'!$B$2:$CE$83,MATCH("콩기름(대두유)",'🔖 배합비 참조'!$A$2:$A$83,0),MATCH($C121,'🔖 배합비 참조'!$B$1:$CE$1,0))/100,0),""))),"")</f>
        <v>0</v>
      </c>
      <c r="BZ121" s="39" t="n">
        <f aca="false">IFERROR(IF($C121="","",IF($D121="","",IFERROR(ROUND($D121*INDEX('🔖 배합비 참조'!$B$2:$CE$83,MATCH("해바라기씨앗",'🔖 배합비 참조'!$A$2:$A$83,0),MATCH($C121,'🔖 배합비 참조'!$B$1:$CE$1,0))/100,0),""))),"")</f>
        <v>0</v>
      </c>
      <c r="CA121" s="39" t="n">
        <f aca="false">IFERROR(IF($C121="","",IF($D121="","",IFERROR(ROUND($D121*INDEX('🔖 배합비 참조'!$B$2:$CE$83,MATCH("현미(국내산)",'🔖 배합비 참조'!$A$2:$A$83,0),MATCH($C121,'🔖 배합비 참조'!$B$1:$CE$1,0))/100,0),""))),"")</f>
        <v>0</v>
      </c>
      <c r="CB121" s="39" t="n">
        <f aca="false">IFERROR(IF($C121="","",IF($D121="","",IFERROR(ROUND($D121*INDEX('🔖 배합비 참조'!$B$2:$CE$83,MATCH("현미멥쌀(국내산)",'🔖 배합비 참조'!$A$2:$A$83,0),MATCH($C121,'🔖 배합비 참조'!$B$1:$CE$1,0))/100,0),""))),"")</f>
        <v>0</v>
      </c>
      <c r="CC121" s="39" t="n">
        <f aca="false">IFERROR(IF($C121="","",IF($D121="","",IFERROR(ROUND($D121*INDEX('🔖 배합비 참조'!$B$2:$CE$83,MATCH("호두분태(미국산)",'🔖 배합비 참조'!$A$2:$A$83,0),MATCH($C121,'🔖 배합비 참조'!$B$1:$CE$1,0))/100,0),""))),"")</f>
        <v>0</v>
      </c>
      <c r="CD121" s="39" t="n">
        <f aca="false">IFERROR(IF($C121="","",IF($D121="","",IFERROR(ROUND($D121*INDEX('🔖 배합비 참조'!$B$2:$CE$83,MATCH("호박씨앗(외국산)",'🔖 배합비 참조'!$A$2:$A$83,0),MATCH($C121,'🔖 배합비 참조'!$B$1:$CE$1,0))/100,0),""))),"")</f>
        <v>0</v>
      </c>
      <c r="CE121" s="39" t="n">
        <f aca="false">IFERROR(IF($C121="","",IF($D121="","",IFERROR(ROUND($D121*INDEX('🔖 배합비 참조'!$B$2:$CE$83,MATCH("혼합제제(떡용에스텔)",'🔖 배합비 참조'!$A$2:$A$83,0),MATCH($C121,'🔖 배합비 참조'!$B$1:$CE$1,0))/100,0),""))),"")</f>
        <v>0</v>
      </c>
      <c r="CF121" s="39" t="n">
        <f aca="false">IFERROR(IF($C121="","",IF($D121="","",IFERROR(ROUND($D121*INDEX('🔖 배합비 참조'!$B$2:$CE$83,MATCH("혼합제제(스테비아)",'🔖 배합비 참조'!$A$2:$A$83,0),MATCH($C121,'🔖 배합비 참조'!$B$1:$CE$1,0))/100,0),""))),"")</f>
        <v>0</v>
      </c>
      <c r="CG121" s="39" t="n">
        <f aca="false">IFERROR(IF($C121="","",IF($D121="","",IFERROR(ROUND($D121*INDEX('🔖 배합비 참조'!$B$2:$CE$83,MATCH("화이트초콜릿",'🔖 배합비 참조'!$A$2:$A$83,0),MATCH($C121,'🔖 배합비 참조'!$B$1:$CE$1,0))/100,0),""))),"")</f>
        <v>0</v>
      </c>
      <c r="CH121" s="39" t="n">
        <f aca="false">IFERROR(IF($C121="","",IF($D121="","",IFERROR(ROUND($D121*INDEX('🔖 배합비 참조'!$B$2:$CE$83,MATCH("흑미찹쌀(국내산)",'🔖 배합비 참조'!$A$2:$A$83,0),MATCH($C121,'🔖 배합비 참조'!$B$1:$CE$1,0))/100,0),""))),"")</f>
        <v>0</v>
      </c>
      <c r="CI121" s="39" t="n">
        <f aca="false">IFERROR(IF($C121="","",IF($D121="","",IFERROR(ROUND($D121*INDEX('🔖 배합비 참조'!$B$2:$CE$83,MATCH("찰옥수수전분(미국산)",'🔖 배합비 참조'!$A$2:$A$83,0),MATCH($C121,'🔖 배합비 참조'!$B$1:$CE$1,0))/100,0),""))),"")</f>
        <v>0</v>
      </c>
      <c r="CJ121" s="40"/>
      <c r="CL121" s="1" t="s">
        <v>239</v>
      </c>
    </row>
    <row r="122" customFormat="false" ht="18" hidden="false" customHeight="true" outlineLevel="0" collapsed="false">
      <c r="A122" s="41" t="n">
        <v>118</v>
      </c>
      <c r="B122" s="36" t="n">
        <v>46006</v>
      </c>
      <c r="C122" s="37" t="s">
        <v>179</v>
      </c>
      <c r="D122" s="38" t="n">
        <v>70</v>
      </c>
      <c r="E122" s="17"/>
      <c r="F122" s="17"/>
      <c r="G122" s="42" t="n">
        <f aca="false">IFERROR(IF($C122="","",IF($D122="","",IFERROR(ROUND($D122*INDEX('🔖 배합비 참조'!$B$2:$CE$83,MATCH("간장",'🔖 배합비 참조'!$A$2:$A$83,0),MATCH($C122,'🔖 배합비 참조'!$B$1:$CE$1,0))/100,0),""))),"")</f>
        <v>0</v>
      </c>
      <c r="H122" s="42" t="n">
        <f aca="false">IFERROR(IF($C122="","",IF($D122="","",IFERROR(ROUND($D122*INDEX('🔖 배합비 참조'!$B$2:$CE$83,MATCH("강낭콩((울타리콩))",'🔖 배합비 참조'!$A$2:$A$83,0),MATCH($C122,'🔖 배합비 참조'!$B$1:$CE$1,0))/100,0),""))),"")</f>
        <v>0</v>
      </c>
      <c r="I122" s="42" t="n">
        <f aca="false">IFERROR(IF($C122="","",IF($D122="","",IFERROR(ROUND($D122*INDEX('🔖 배합비 참조'!$B$2:$CE$83,MATCH("건조딸기다이스(외국산)",'🔖 배합비 참조'!$A$2:$A$83,0),MATCH($C122,'🔖 배합비 참조'!$B$1:$CE$1,0))/100,0),""))),"")</f>
        <v>0</v>
      </c>
      <c r="J122" s="42" t="n">
        <f aca="false">IFERROR(IF($C122="","",IF($D122="","",IFERROR(ROUND($D122*INDEX('🔖 배합비 참조'!$B$2:$CE$83,MATCH("건포도",'🔖 배합비 참조'!$A$2:$A$83,0),MATCH($C122,'🔖 배합비 참조'!$B$1:$CE$1,0))/100,0),""))),"")</f>
        <v>0</v>
      </c>
      <c r="K122" s="42" t="n">
        <f aca="false">IFERROR(IF($C122="","",IF($D122="","",IFERROR(ROUND($D122*INDEX('🔖 배합비 참조'!$B$2:$CE$83,MATCH("건호박채(중국산)",'🔖 배합비 참조'!$A$2:$A$83,0),MATCH($C122,'🔖 배합비 참조'!$B$1:$CE$1,0))/100,0),""))),"")</f>
        <v>0</v>
      </c>
      <c r="L122" s="42" t="n">
        <f aca="false">IFERROR(IF($C122="","",IF($D122="","",IFERROR(ROUND($D122*INDEX('🔖 배합비 참조'!$B$2:$CE$83,MATCH("검정깨(흑임자)",'🔖 배합비 참조'!$A$2:$A$83,0),MATCH($C122,'🔖 배합비 참조'!$B$1:$CE$1,0))/100,0),""))),"")</f>
        <v>0</v>
      </c>
      <c r="M122" s="42" t="n">
        <f aca="false">IFERROR(IF($C122="","",IF($D122="","",IFERROR(ROUND($D122*INDEX('🔖 배합비 참조'!$B$2:$CE$83,MATCH("검정콩",'🔖 배합비 참조'!$A$2:$A$83,0),MATCH($C122,'🔖 배합비 참조'!$B$1:$CE$1,0))/100,0),""))),"")</f>
        <v>0</v>
      </c>
      <c r="N122" s="42" t="n">
        <f aca="false">IFERROR(IF($C122="","",IF($D122="","",IFERROR(ROUND($D122*INDEX('🔖 배합비 참조'!$B$2:$CE$83,MATCH("계피가루",'🔖 배합비 참조'!$A$2:$A$83,0),MATCH($C122,'🔖 배합비 참조'!$B$1:$CE$1,0))/100,0),""))),"")</f>
        <v>0</v>
      </c>
      <c r="O122" s="42" t="n">
        <f aca="false">IFERROR(IF($C122="","",IF($D122="","",IFERROR(ROUND($D122*INDEX('🔖 배합비 참조'!$B$2:$CE$83,MATCH("고구마가루",'🔖 배합비 참조'!$A$2:$A$83,0),MATCH($C122,'🔖 배합비 참조'!$B$1:$CE$1,0))/100,0),""))),"")</f>
        <v>0</v>
      </c>
      <c r="P122" s="42" t="n">
        <f aca="false">IFERROR(IF($C122="","",IF($D122="","",IFERROR(ROUND($D122*INDEX('🔖 배합비 참조'!$B$2:$CE$83,MATCH("고구마무스",'🔖 배합비 참조'!$A$2:$A$83,0),MATCH($C122,'🔖 배합비 참조'!$B$1:$CE$1,0))/100,0),""))),"")</f>
        <v>0</v>
      </c>
      <c r="Q122" s="42" t="n">
        <f aca="false">IFERROR(IF($C122="","",IF($D122="","",IFERROR(ROUND($D122*INDEX('🔖 배합비 참조'!$B$2:$CE$83,MATCH("고려엉겅퀴((곤드레)국내산)",'🔖 배합비 참조'!$A$2:$A$83,0),MATCH($C122,'🔖 배합비 참조'!$B$1:$CE$1,0))/100,0),""))),"")</f>
        <v>0</v>
      </c>
      <c r="R122" s="42" t="n">
        <f aca="false">IFERROR(IF($C122="","",IF($D122="","",IFERROR(ROUND($D122*INDEX('🔖 배합비 참조'!$B$2:$CE$83,MATCH("기타가공품(복분자가루)",'🔖 배합비 참조'!$A$2:$A$83,0),MATCH($C122,'🔖 배합비 참조'!$B$1:$CE$1,0))/100,0),""))),"")</f>
        <v>0</v>
      </c>
      <c r="S122" s="42" t="n">
        <f aca="false">IFERROR(IF($C122="","",IF($D122="","",IFERROR(ROUND($D122*INDEX('🔖 배합비 참조'!$B$2:$CE$83,MATCH("기타가공품(슈퍼소프트엠)",'🔖 배합비 참조'!$A$2:$A$83,0),MATCH($C122,'🔖 배합비 참조'!$B$1:$CE$1,0))/100,0),""))),"")</f>
        <v>0</v>
      </c>
      <c r="T122" s="42" t="n">
        <f aca="false">IFERROR(IF($C122="","",IF($D122="","",IFERROR(ROUND($D122*INDEX('🔖 배합비 참조'!$B$2:$CE$83,MATCH("기타가공품(파인소프트 E-티)",'🔖 배합비 참조'!$A$2:$A$83,0),MATCH($C122,'🔖 배합비 참조'!$B$1:$CE$1,0))/100,0),""))),"")</f>
        <v>0</v>
      </c>
      <c r="U122" s="42" t="n">
        <f aca="false">IFERROR(IF($C122="","",IF($D122="","",IFERROR(ROUND($D122*INDEX('🔖 배합비 참조'!$B$2:$CE$83,MATCH("기타가공품(프리미엄카스테라가루)",'🔖 배합비 참조'!$A$2:$A$83,0),MATCH($C122,'🔖 배합비 참조'!$B$1:$CE$1,0))/100,0),""))),"")</f>
        <v>0</v>
      </c>
      <c r="V122" s="42" t="n">
        <f aca="false">IFERROR(IF($C122="","",IF($D122="","",IFERROR(ROUND($D122*INDEX('🔖 배합비 참조'!$B$2:$CE$83,MATCH("기타가공품(흑임자가루)",'🔖 배합비 참조'!$A$2:$A$83,0),MATCH($C122,'🔖 배합비 참조'!$B$1:$CE$1,0))/100,0),""))),"")</f>
        <v>0</v>
      </c>
      <c r="W122" s="42" t="n">
        <f aca="false">IFERROR(IF($C122="","",IF($D122="","",IFERROR(ROUND($D122*INDEX('🔖 배합비 참조'!$B$2:$CE$83,MATCH("기타설탕(흑설탕)",'🔖 배합비 참조'!$A$2:$A$83,0),MATCH($C122,'🔖 배합비 참조'!$B$1:$CE$1,0))/100,0),""))),"")</f>
        <v>0</v>
      </c>
      <c r="X122" s="42" t="n">
        <f aca="false">IFERROR(IF($C122="","",IF($D122="","",IFERROR(ROUND($D122*INDEX('🔖 배합비 참조'!$B$2:$CE$83,MATCH("냉동쑥(국내산)",'🔖 배합비 참조'!$A$2:$A$83,0),MATCH($C122,'🔖 배합비 참조'!$B$1:$CE$1,0))/100,0),""))),"")</f>
        <v>6</v>
      </c>
      <c r="Y122" s="42" t="n">
        <f aca="false">IFERROR(IF($C122="","",IF($D122="","",IFERROR(ROUND($D122*INDEX('🔖 배합비 참조'!$B$2:$CE$83,MATCH("냉동증숙고구마(중국산)",'🔖 배합비 참조'!$A$2:$A$83,0),MATCH($C122,'🔖 배합비 참조'!$B$1:$CE$1,0))/100,0),""))),"")</f>
        <v>0</v>
      </c>
      <c r="Z122" s="42" t="n">
        <f aca="false">IFERROR(IF($C122="","",IF($D122="","",IFERROR(ROUND($D122*INDEX('🔖 배합비 참조'!$B$2:$CE$83,MATCH("녹차가루",'🔖 배합비 참조'!$A$2:$A$83,0),MATCH($C122,'🔖 배합비 참조'!$B$1:$CE$1,0))/100,0),""))),"")</f>
        <v>0</v>
      </c>
      <c r="AA122" s="42" t="n">
        <f aca="false">IFERROR(IF($C122="","",IF($D122="","",IFERROR(ROUND($D122*INDEX('🔖 배합비 참조'!$B$2:$CE$83,MATCH("다크초콜릿 컴파운드칩",'🔖 배합비 참조'!$A$2:$A$83,0),MATCH($C122,'🔖 배합비 참조'!$B$1:$CE$1,0))/100,0),""))),"")</f>
        <v>0</v>
      </c>
      <c r="AB122" s="42" t="n">
        <f aca="false">IFERROR(IF($C122="","",IF($D122="","",IFERROR(ROUND($D122*INDEX('🔖 배합비 참조'!$B$2:$CE$83,MATCH("단호박분말(중국산)",'🔖 배합비 참조'!$A$2:$A$83,0),MATCH($C122,'🔖 배합비 참조'!$B$1:$CE$1,0))/100,0),""))),"")</f>
        <v>0</v>
      </c>
      <c r="AC122" s="42" t="n">
        <f aca="false">IFERROR(IF($C122="","",IF($D122="","",IFERROR(ROUND($D122*INDEX('🔖 배합비 참조'!$B$2:$CE$83,MATCH("당류가공품(단호박농축액)",'🔖 배합비 참조'!$A$2:$A$83,0),MATCH($C122,'🔖 배합비 참조'!$B$1:$CE$1,0))/100,0),""))),"")</f>
        <v>0</v>
      </c>
      <c r="AD122" s="42" t="n">
        <f aca="false">IFERROR(IF($C122="","",IF($D122="","",IFERROR(ROUND($D122*INDEX('🔖 배합비 참조'!$B$2:$CE$83,MATCH("당류가공품(알룰로스,에리스리톨,스테비올배당체혼합)",'🔖 배합비 참조'!$A$2:$A$83,0),MATCH($C122,'🔖 배합비 참조'!$B$1:$CE$1,0))/100,0),""))),"")</f>
        <v>0</v>
      </c>
      <c r="AE122" s="42" t="n">
        <f aca="false">IFERROR(IF($C122="","",IF($D122="","",IFERROR(ROUND($D122*INDEX('🔖 배합비 참조'!$B$2:$CE$83,MATCH("당류가공품(알룰로스제로파우더)",'🔖 배합비 참조'!$A$2:$A$83,0),MATCH($C122,'🔖 배합비 참조'!$B$1:$CE$1,0))/100,0),""))),"")</f>
        <v>0</v>
      </c>
      <c r="AF122" s="42" t="n">
        <f aca="false">IFERROR(IF($C122="","",IF($D122="","",IFERROR(ROUND($D122*INDEX('🔖 배합비 참조'!$B$2:$CE$83,MATCH("당절임(완두배기)",'🔖 배합비 참조'!$A$2:$A$83,0),MATCH($C122,'🔖 배합비 참조'!$B$1:$CE$1,0))/100,0),""))),"")</f>
        <v>0</v>
      </c>
      <c r="AG122" s="42" t="n">
        <f aca="false">IFERROR(IF($C122="","",IF($D122="","",IFERROR(ROUND($D122*INDEX('🔖 배합비 참조'!$B$2:$CE$83,MATCH("대추농축액",'🔖 배합비 참조'!$A$2:$A$83,0),MATCH($C122,'🔖 배합비 참조'!$B$1:$CE$1,0))/100,0),""))),"")</f>
        <v>0</v>
      </c>
      <c r="AH122" s="42" t="n">
        <f aca="false">IFERROR(IF($C122="","",IF($D122="","",IFERROR(ROUND($D122*INDEX('🔖 배합비 참조'!$B$2:$CE$83,MATCH("대추채(국내산)",'🔖 배합비 참조'!$A$2:$A$83,0),MATCH($C122,'🔖 배합비 참조'!$B$1:$CE$1,0))/100,0),""))),"")</f>
        <v>0</v>
      </c>
      <c r="AI122" s="42" t="n">
        <f aca="false">IFERROR(IF($C122="","",IF($D122="","",IFERROR(ROUND($D122*INDEX('🔖 배합비 참조'!$B$2:$CE$83,MATCH("동부(미얀마산)",'🔖 배합비 참조'!$A$2:$A$83,0),MATCH($C122,'🔖 배합비 참조'!$B$1:$CE$1,0))/100,0),""))),"")</f>
        <v>0</v>
      </c>
      <c r="AJ122" s="42" t="n">
        <f aca="false">IFERROR(IF($C122="","",IF($D122="","",IFERROR(ROUND($D122*INDEX('🔖 배합비 참조'!$B$2:$CE$83,MATCH("두류가공품(백옥앙금)",'🔖 배합비 참조'!$A$2:$A$83,0),MATCH($C122,'🔖 배합비 참조'!$B$1:$CE$1,0))/100,0),""))),"")</f>
        <v>0</v>
      </c>
      <c r="AK122" s="42" t="n">
        <f aca="false">IFERROR(IF($C122="","",IF($D122="","",IFERROR(ROUND($D122*INDEX('🔖 배합비 참조'!$B$2:$CE$83,MATCH("두류가공품(콩고물)",'🔖 배합비 참조'!$A$2:$A$83,0),MATCH($C122,'🔖 배합비 참조'!$B$1:$CE$1,0))/100,0),""))),"")</f>
        <v>0</v>
      </c>
      <c r="AL122" s="42" t="n">
        <f aca="false">IFERROR(IF($C122="","",IF($D122="","",IFERROR(ROUND($D122*INDEX('🔖 배합비 참조'!$B$2:$CE$83,MATCH("두류가공품(통팥고물)",'🔖 배합비 참조'!$A$2:$A$83,0),MATCH($C122,'🔖 배합비 참조'!$B$1:$CE$1,0))/100,0),""))),"")</f>
        <v>0</v>
      </c>
      <c r="AM122" s="42" t="n">
        <f aca="false">IFERROR(IF($C122="","",IF($D122="","",IFERROR(ROUND($D122*INDEX('🔖 배합비 참조'!$B$2:$CE$83,MATCH("딸기레진",'🔖 배합비 참조'!$A$2:$A$83,0),MATCH($C122,'🔖 배합비 참조'!$B$1:$CE$1,0))/100,0),""))),"")</f>
        <v>0</v>
      </c>
      <c r="AN122" s="42" t="n">
        <f aca="false">IFERROR(IF($C122="","",IF($D122="","",IFERROR(ROUND($D122*INDEX('🔖 배합비 참조'!$B$2:$CE$83,MATCH("딸기분말(스트로우베리에이드(분말))",'🔖 배합비 참조'!$A$2:$A$83,0),MATCH($C122,'🔖 배합비 참조'!$B$1:$CE$1,0))/100,0),""))),"")</f>
        <v>0</v>
      </c>
      <c r="AO122" s="42" t="n">
        <f aca="false">IFERROR(IF($C122="","",IF($D122="","",IFERROR(ROUND($D122*INDEX('🔖 배합비 참조'!$B$2:$CE$83,MATCH("마스카포네치즈",'🔖 배합비 참조'!$A$2:$A$83,0),MATCH($C122,'🔖 배합비 참조'!$B$1:$CE$1,0))/100,0),""))),"")</f>
        <v>0</v>
      </c>
      <c r="AP122" s="42" t="n">
        <f aca="false">IFERROR(IF($C122="","",IF($D122="","",IFERROR(ROUND($D122*INDEX('🔖 배합비 참조'!$B$2:$CE$83,MATCH("마카다미아분태(호주산)",'🔖 배합비 참조'!$A$2:$A$83,0),MATCH($C122,'🔖 배합비 참조'!$B$1:$CE$1,0))/100,0),""))),"")</f>
        <v>0</v>
      </c>
      <c r="AQ122" s="42" t="n">
        <f aca="false">IFERROR(IF($C122="","",IF($D122="","",IFERROR(ROUND($D122*INDEX('🔖 배합비 참조'!$B$2:$CE$83,MATCH("멥쌀(국내산)",'🔖 배합비 참조'!$A$2:$A$83,0),MATCH($C122,'🔖 배합비 참조'!$B$1:$CE$1,0))/100,0),""))),"")</f>
        <v>0</v>
      </c>
      <c r="AR122" s="42" t="n">
        <f aca="false">IFERROR(IF($C122="","",IF($D122="","",IFERROR(ROUND($D122*INDEX('🔖 배합비 참조'!$B$2:$CE$83,MATCH("모시잎(국내산)",'🔖 배합비 참조'!$A$2:$A$83,0),MATCH($C122,'🔖 배합비 참조'!$B$1:$CE$1,0))/100,0),""))),"")</f>
        <v>0</v>
      </c>
      <c r="AS122" s="42" t="n">
        <f aca="false">IFERROR(IF($C122="","",IF($D122="","",IFERROR(ROUND($D122*INDEX('🔖 배합비 참조'!$B$2:$CE$83,MATCH("물엿(저당물엿)",'🔖 배합비 참조'!$A$2:$A$83,0),MATCH($C122,'🔖 배합비 참조'!$B$1:$CE$1,0))/100,0),""))),"")</f>
        <v>3</v>
      </c>
      <c r="AT122" s="42" t="n">
        <f aca="false">IFERROR(IF($C122="","",IF($D122="","",IFERROR(ROUND($D122*INDEX('🔖 배합비 참조'!$B$2:$CE$83,MATCH("밤다이스",'🔖 배합비 참조'!$A$2:$A$83,0),MATCH($C122,'🔖 배합비 참조'!$B$1:$CE$1,0))/100,0),""))),"")</f>
        <v>0</v>
      </c>
      <c r="AU122" s="42" t="n">
        <f aca="false">IFERROR(IF($C122="","",IF($D122="","",IFERROR(ROUND($D122*INDEX('🔖 배합비 참조'!$B$2:$CE$83,MATCH("변성전분(타피오카전분)",'🔖 배합비 참조'!$A$2:$A$83,0),MATCH($C122,'🔖 배합비 참조'!$B$1:$CE$1,0))/100,0),""))),"")</f>
        <v>0</v>
      </c>
      <c r="AV122" s="42" t="n">
        <f aca="false">IFERROR(IF($C122="","",IF($D122="","",IFERROR(ROUND($D122*INDEX('🔖 배합비 참조'!$B$2:$CE$83,MATCH("복음땅콩분태",'🔖 배합비 참조'!$A$2:$A$83,0),MATCH($C122,'🔖 배합비 참조'!$B$1:$CE$1,0))/100,0),""))),"")</f>
        <v>0</v>
      </c>
      <c r="AW122" s="42" t="n">
        <f aca="false">IFERROR(IF($C122="","",IF($D122="","",IFERROR(ROUND($D122*INDEX('🔖 배합비 참조'!$B$2:$CE$83,MATCH("사양벌꿀(국내산)",'🔖 배합비 참조'!$A$2:$A$83,0),MATCH($C122,'🔖 배합비 참조'!$B$1:$CE$1,0))/100,0),""))),"")</f>
        <v>0</v>
      </c>
      <c r="AX122" s="42" t="n">
        <f aca="false">IFERROR(IF($C122="","",IF($D122="","",IFERROR(ROUND($D122*INDEX('🔖 배합비 참조'!$B$2:$CE$83,MATCH("생크림",'🔖 배합비 참조'!$A$2:$A$83,0),MATCH($C122,'🔖 배합비 참조'!$B$1:$CE$1,0))/100,0),""))),"")</f>
        <v>0</v>
      </c>
      <c r="AY122" s="42" t="n">
        <f aca="false">IFERROR(IF($C122="","",IF($D122="","",IFERROR(ROUND($D122*INDEX('🔖 배합비 참조'!$B$2:$CE$83,MATCH("서양호박(국내산,뉴질랜드산)",'🔖 배합비 참조'!$A$2:$A$83,0),MATCH($C122,'🔖 배합비 참조'!$B$1:$CE$1,0))/100,0),""))),"")</f>
        <v>0</v>
      </c>
      <c r="AZ122" s="42" t="n">
        <f aca="false">IFERROR(IF($C122="","",IF($D122="","",IFERROR(ROUND($D122*INDEX('🔖 배합비 참조'!$B$2:$CE$83,MATCH("설탕",'🔖 배합비 참조'!$A$2:$A$83,0),MATCH($C122,'🔖 배합비 참조'!$B$1:$CE$1,0))/100,0),""))),"")</f>
        <v>3</v>
      </c>
      <c r="BA122" s="42" t="n">
        <f aca="false">IFERROR(IF($C122="","",IF($D122="","",IFERROR(ROUND($D122*INDEX('🔖 배합비 참조'!$B$2:$CE$83,MATCH("스트로우베리 에이드 후레쉬",'🔖 배합비 참조'!$A$2:$A$83,0),MATCH($C122,'🔖 배합비 참조'!$B$1:$CE$1,0))/100,0),""))),"")</f>
        <v>0</v>
      </c>
      <c r="BB122" s="42" t="n">
        <f aca="false">IFERROR(IF($C122="","",IF($D122="","",IFERROR(ROUND($D122*INDEX('🔖 배합비 참조'!$B$2:$CE$83,MATCH("식물성기름혼합제제(분홍)",'🔖 배합비 참조'!$A$2:$A$83,0),MATCH($C122,'🔖 배합비 참조'!$B$1:$CE$1,0))/100,0),""))),"")</f>
        <v>0</v>
      </c>
      <c r="BC122" s="42" t="n">
        <f aca="false">IFERROR(IF($C122="","",IF($D122="","",IFERROR(ROUND($D122*INDEX('🔖 배합비 참조'!$B$2:$CE$83,MATCH("식물성기름혼합제제(초록)",'🔖 배합비 참조'!$A$2:$A$83,0),MATCH($C122,'🔖 배합비 참조'!$B$1:$CE$1,0))/100,0),""))),"")</f>
        <v>0</v>
      </c>
      <c r="BD122" s="42" t="n">
        <f aca="false">IFERROR(IF($C122="","",IF($D122="","",IFERROR(ROUND($D122*INDEX('🔖 배합비 참조'!$B$2:$CE$83,MATCH("식물성기름혼합제제(황색)",'🔖 배합비 참조'!$A$2:$A$83,0),MATCH($C122,'🔖 배합비 참조'!$B$1:$CE$1,0))/100,0),""))),"")</f>
        <v>0</v>
      </c>
      <c r="BE122" s="42" t="n">
        <f aca="false">IFERROR(IF($C122="","",IF($D122="","",IFERROR(ROUND($D122*INDEX('🔖 배합비 참조'!$B$2:$CE$83,MATCH("쑥가루(국내산)",'🔖 배합비 참조'!$A$2:$A$83,0),MATCH($C122,'🔖 배합비 참조'!$B$1:$CE$1,0))/100,0),""))),"")</f>
        <v>0</v>
      </c>
      <c r="BF122" s="42" t="n">
        <f aca="false">IFERROR(IF($C122="","",IF($D122="","",IFERROR(ROUND($D122*INDEX('🔖 배합비 참조'!$B$2:$CE$83,MATCH("아몬드슬라이스",'🔖 배합비 참조'!$A$2:$A$83,0),MATCH($C122,'🔖 배합비 참조'!$B$1:$CE$1,0))/100,0),""))),"")</f>
        <v>0</v>
      </c>
      <c r="BG122" s="42" t="n">
        <f aca="false">IFERROR(IF($C122="","",IF($D122="","",IFERROR(ROUND($D122*INDEX('🔖 배합비 참조'!$B$2:$CE$83,MATCH("알룰로오스(국내산)",'🔖 배합비 참조'!$A$2:$A$83,0),MATCH($C122,'🔖 배합비 참조'!$B$1:$CE$1,0))/100,0),""))),"")</f>
        <v>0</v>
      </c>
      <c r="BH122" s="42" t="n">
        <f aca="false">IFERROR(IF($C122="","",IF($D122="","",IFERROR(ROUND($D122*INDEX('🔖 배합비 참조'!$B$2:$CE$83,MATCH("연유",'🔖 배합비 참조'!$A$2:$A$83,0),MATCH($C122,'🔖 배합비 참조'!$B$1:$CE$1,0))/100,0),""))),"")</f>
        <v>0</v>
      </c>
      <c r="BI122" s="42" t="n">
        <f aca="false">IFERROR(IF($C122="","",IF($D122="","",IFERROR(ROUND($D122*INDEX('🔖 배합비 참조'!$B$2:$CE$83,MATCH("옥수수전분",'🔖 배합비 참조'!$A$2:$A$83,0),MATCH($C122,'🔖 배합비 참조'!$B$1:$CE$1,0))/100,0),""))),"")</f>
        <v>0</v>
      </c>
      <c r="BJ122" s="42" t="n">
        <f aca="false">IFERROR(IF($C122="","",IF($D122="","",IFERROR(ROUND($D122*INDEX('🔖 배합비 참조'!$B$2:$CE$83,MATCH("완두배기",'🔖 배합비 참조'!$A$2:$A$83,0),MATCH($C122,'🔖 배합비 참조'!$B$1:$CE$1,0))/100,0),""))),"")</f>
        <v>0</v>
      </c>
      <c r="BK122" s="42" t="n">
        <f aca="false">IFERROR(IF($C122="","",IF($D122="","",IFERROR(ROUND($D122*INDEX('🔖 배합비 참조'!$B$2:$CE$83,MATCH("우유(국내산)",'🔖 배합비 참조'!$A$2:$A$83,0),MATCH($C122,'🔖 배합비 참조'!$B$1:$CE$1,0))/100,0),""))),"")</f>
        <v>0</v>
      </c>
      <c r="BL122" s="42" t="n">
        <f aca="false">IFERROR(IF($C122="","",IF($D122="","",IFERROR(ROUND($D122*INDEX('🔖 배합비 참조'!$B$2:$CE$83,MATCH("자색고구마가루(중국산)",'🔖 배합비 참조'!$A$2:$A$83,0),MATCH($C122,'🔖 배합비 참조'!$B$1:$CE$1,0))/100,0),""))),"")</f>
        <v>0</v>
      </c>
      <c r="BM122" s="42" t="n">
        <f aca="false">IFERROR(IF($C122="","",IF($D122="","",IFERROR(ROUND($D122*INDEX('🔖 배합비 참조'!$B$2:$CE$83,MATCH("자연치즈(체다치즈)",'🔖 배합비 참조'!$A$2:$A$83,0),MATCH($C122,'🔖 배합비 참조'!$B$1:$CE$1,0))/100,0),""))),"")</f>
        <v>0</v>
      </c>
      <c r="BN122" s="42" t="n">
        <f aca="false">IFERROR(IF($C122="","",IF($D122="","",IFERROR(ROUND($D122*INDEX('🔖 배합비 참조'!$B$2:$CE$83,MATCH("정제수",'🔖 배합비 참조'!$A$2:$A$83,0),MATCH($C122,'🔖 배합비 참조'!$B$1:$CE$1,0))/100,0),""))),"")</f>
        <v>25</v>
      </c>
      <c r="BO122" s="42" t="n">
        <f aca="false">IFERROR(IF($C122="","",IF($D122="","",IFERROR(ROUND($D122*INDEX('🔖 배합비 참조'!$B$2:$CE$83,MATCH("젤라틴",'🔖 배합비 참조'!$A$2:$A$83,0),MATCH($C122,'🔖 배합비 참조'!$B$1:$CE$1,0))/100,0),""))),"")</f>
        <v>0</v>
      </c>
      <c r="BP122" s="42" t="n">
        <f aca="false">IFERROR(IF($C122="","",IF($D122="","",IFERROR(ROUND($D122*INDEX('🔖 배합비 참조'!$B$2:$CE$83,MATCH("조림류(백옥앙금)",'🔖 배합비 참조'!$A$2:$A$83,0),MATCH($C122,'🔖 배합비 참조'!$B$1:$CE$1,0))/100,0),""))),"")</f>
        <v>0</v>
      </c>
      <c r="BQ122" s="42" t="n">
        <f aca="false">IFERROR(IF($C122="","",IF($D122="","",IFERROR(ROUND($D122*INDEX('🔖 배합비 참조'!$B$2:$CE$83,MATCH("조림류(통팥앙금)",'🔖 배합비 참조'!$A$2:$A$83,0),MATCH($C122,'🔖 배합비 참조'!$B$1:$CE$1,0))/100,0),""))),"")</f>
        <v>0</v>
      </c>
      <c r="BR122" s="42" t="n">
        <f aca="false">IFERROR(IF($C122="","",IF($D122="","",IFERROR(ROUND($D122*INDEX('🔖 배합비 참조'!$B$2:$CE$83,MATCH("준초콜릿(외국산)",'🔖 배합비 참조'!$A$2:$A$83,0),MATCH($C122,'🔖 배합비 참조'!$B$1:$CE$1,0))/100,0),""))),"")</f>
        <v>0</v>
      </c>
      <c r="BS122" s="42" t="n">
        <f aca="false">IFERROR(IF($C122="","",IF($D122="","",IFERROR(ROUND($D122*INDEX('🔖 배합비 참조'!$B$2:$CE$83,MATCH("중력분",'🔖 배합비 참조'!$A$2:$A$83,0),MATCH($C122,'🔖 배합비 참조'!$B$1:$CE$1,0))/100,0),""))),"")</f>
        <v>1</v>
      </c>
      <c r="BT122" s="42" t="n">
        <f aca="false">IFERROR(IF($C122="","",IF($D122="","",IFERROR(ROUND($D122*INDEX('🔖 배합비 참조'!$B$2:$CE$83,MATCH("참깨(인도산,나이지리아산,탄자니아산,미얀마산)",'🔖 배합비 참조'!$A$2:$A$83,0),MATCH($C122,'🔖 배합비 참조'!$B$1:$CE$1,0))/100,0),""))),"")</f>
        <v>0</v>
      </c>
      <c r="BU122" s="42" t="n">
        <f aca="false">IFERROR(IF($C122="","",IF($D122="","",IFERROR(ROUND($D122*INDEX('🔖 배합비 참조'!$B$2:$CE$83,MATCH("찹쌀(국내산)",'🔖 배합비 참조'!$A$2:$A$83,0),MATCH($C122,'🔖 배합비 참조'!$B$1:$CE$1,0))/100,0),""))),"")</f>
        <v>31</v>
      </c>
      <c r="BV122" s="42" t="n">
        <f aca="false">IFERROR(IF($C122="","",IF($D122="","",IFERROR(ROUND($D122*INDEX('🔖 배합비 참조'!$B$2:$CE$83,MATCH("천일염",'🔖 배합비 참조'!$A$2:$A$83,0),MATCH($C122,'🔖 배합비 참조'!$B$1:$CE$1,0))/100,0),""))),"")</f>
        <v>1</v>
      </c>
      <c r="BW122" s="42" t="n">
        <f aca="false">IFERROR(IF($C122="","",IF($D122="","",IFERROR(ROUND($D122*INDEX('🔖 배합비 참조'!$B$2:$CE$83,MATCH("치즈 [크림치즈]",'🔖 배합비 참조'!$A$2:$A$83,0),MATCH($C122,'🔖 배합비 참조'!$B$1:$CE$1,0))/100,0),""))),"")</f>
        <v>0</v>
      </c>
      <c r="BX122" s="42" t="n">
        <f aca="false">IFERROR(IF($C122="","",IF($D122="","",IFERROR(ROUND($D122*INDEX('🔖 배합비 참조'!$B$2:$CE$83,MATCH("코코아가공품류(코코아분말)",'🔖 배합비 참조'!$A$2:$A$83,0),MATCH($C122,'🔖 배합비 참조'!$B$1:$CE$1,0))/100,0),""))),"")</f>
        <v>0</v>
      </c>
      <c r="BY122" s="42" t="n">
        <f aca="false">IFERROR(IF($C122="","",IF($D122="","",IFERROR(ROUND($D122*INDEX('🔖 배합비 참조'!$B$2:$CE$83,MATCH("콩기름(대두유)",'🔖 배합비 참조'!$A$2:$A$83,0),MATCH($C122,'🔖 배합비 참조'!$B$1:$CE$1,0))/100,0),""))),"")</f>
        <v>0</v>
      </c>
      <c r="BZ122" s="42" t="n">
        <f aca="false">IFERROR(IF($C122="","",IF($D122="","",IFERROR(ROUND($D122*INDEX('🔖 배합비 참조'!$B$2:$CE$83,MATCH("해바라기씨앗",'🔖 배합비 참조'!$A$2:$A$83,0),MATCH($C122,'🔖 배합비 참조'!$B$1:$CE$1,0))/100,0),""))),"")</f>
        <v>0</v>
      </c>
      <c r="CA122" s="42" t="n">
        <f aca="false">IFERROR(IF($C122="","",IF($D122="","",IFERROR(ROUND($D122*INDEX('🔖 배합비 참조'!$B$2:$CE$83,MATCH("현미(국내산)",'🔖 배합비 참조'!$A$2:$A$83,0),MATCH($C122,'🔖 배합비 참조'!$B$1:$CE$1,0))/100,0),""))),"")</f>
        <v>0</v>
      </c>
      <c r="CB122" s="42" t="n">
        <f aca="false">IFERROR(IF($C122="","",IF($D122="","",IFERROR(ROUND($D122*INDEX('🔖 배합비 참조'!$B$2:$CE$83,MATCH("현미멥쌀(국내산)",'🔖 배합비 참조'!$A$2:$A$83,0),MATCH($C122,'🔖 배합비 참조'!$B$1:$CE$1,0))/100,0),""))),"")</f>
        <v>0</v>
      </c>
      <c r="CC122" s="42" t="n">
        <f aca="false">IFERROR(IF($C122="","",IF($D122="","",IFERROR(ROUND($D122*INDEX('🔖 배합비 참조'!$B$2:$CE$83,MATCH("호두분태(미국산)",'🔖 배합비 참조'!$A$2:$A$83,0),MATCH($C122,'🔖 배합비 참조'!$B$1:$CE$1,0))/100,0),""))),"")</f>
        <v>0</v>
      </c>
      <c r="CD122" s="42" t="n">
        <f aca="false">IFERROR(IF($C122="","",IF($D122="","",IFERROR(ROUND($D122*INDEX('🔖 배합비 참조'!$B$2:$CE$83,MATCH("호박씨앗(외국산)",'🔖 배합비 참조'!$A$2:$A$83,0),MATCH($C122,'🔖 배합비 참조'!$B$1:$CE$1,0))/100,0),""))),"")</f>
        <v>0</v>
      </c>
      <c r="CE122" s="42" t="n">
        <f aca="false">IFERROR(IF($C122="","",IF($D122="","",IFERROR(ROUND($D122*INDEX('🔖 배합비 참조'!$B$2:$CE$83,MATCH("혼합제제(떡용에스텔)",'🔖 배합비 참조'!$A$2:$A$83,0),MATCH($C122,'🔖 배합비 참조'!$B$1:$CE$1,0))/100,0),""))),"")</f>
        <v>0</v>
      </c>
      <c r="CF122" s="42" t="n">
        <f aca="false">IFERROR(IF($C122="","",IF($D122="","",IFERROR(ROUND($D122*INDEX('🔖 배합비 참조'!$B$2:$CE$83,MATCH("혼합제제(스테비아)",'🔖 배합비 참조'!$A$2:$A$83,0),MATCH($C122,'🔖 배합비 참조'!$B$1:$CE$1,0))/100,0),""))),"")</f>
        <v>0</v>
      </c>
      <c r="CG122" s="42" t="n">
        <f aca="false">IFERROR(IF($C122="","",IF($D122="","",IFERROR(ROUND($D122*INDEX('🔖 배합비 참조'!$B$2:$CE$83,MATCH("화이트초콜릿",'🔖 배합비 참조'!$A$2:$A$83,0),MATCH($C122,'🔖 배합비 참조'!$B$1:$CE$1,0))/100,0),""))),"")</f>
        <v>0</v>
      </c>
      <c r="CH122" s="42" t="n">
        <f aca="false">IFERROR(IF($C122="","",IF($D122="","",IFERROR(ROUND($D122*INDEX('🔖 배합비 참조'!$B$2:$CE$83,MATCH("흑미찹쌀(국내산)",'🔖 배합비 참조'!$A$2:$A$83,0),MATCH($C122,'🔖 배합비 참조'!$B$1:$CE$1,0))/100,0),""))),"")</f>
        <v>0</v>
      </c>
      <c r="CI122" s="42" t="n">
        <f aca="false">IFERROR(IF($C122="","",IF($D122="","",IFERROR(ROUND($D122*INDEX('🔖 배합비 참조'!$B$2:$CE$83,MATCH("찰옥수수전분(미국산)",'🔖 배합비 참조'!$A$2:$A$83,0),MATCH($C122,'🔖 배합비 참조'!$B$1:$CE$1,0))/100,0),""))),"")</f>
        <v>0</v>
      </c>
      <c r="CJ122" s="40"/>
      <c r="CL122" s="1" t="s">
        <v>239</v>
      </c>
    </row>
    <row r="123" customFormat="false" ht="18" hidden="false" customHeight="true" outlineLevel="0" collapsed="false">
      <c r="A123" s="35" t="n">
        <v>119</v>
      </c>
      <c r="B123" s="36" t="n">
        <v>46006</v>
      </c>
      <c r="C123" s="37" t="s">
        <v>183</v>
      </c>
      <c r="D123" s="38" t="n">
        <v>70</v>
      </c>
      <c r="E123" s="13"/>
      <c r="F123" s="13"/>
      <c r="G123" s="39" t="n">
        <f aca="false">IFERROR(IF($C123="","",IF($D123="","",IFERROR(ROUND($D123*INDEX('🔖 배합비 참조'!$B$2:$CE$83,MATCH("간장",'🔖 배합비 참조'!$A$2:$A$83,0),MATCH($C123,'🔖 배합비 참조'!$B$1:$CE$1,0))/100,0),""))),"")</f>
        <v>0</v>
      </c>
      <c r="H123" s="39" t="n">
        <f aca="false">IFERROR(IF($C123="","",IF($D123="","",IFERROR(ROUND($D123*INDEX('🔖 배합비 참조'!$B$2:$CE$83,MATCH("강낭콩((울타리콩))",'🔖 배합비 참조'!$A$2:$A$83,0),MATCH($C123,'🔖 배합비 참조'!$B$1:$CE$1,0))/100,0),""))),"")</f>
        <v>0</v>
      </c>
      <c r="I123" s="39" t="n">
        <f aca="false">IFERROR(IF($C123="","",IF($D123="","",IFERROR(ROUND($D123*INDEX('🔖 배합비 참조'!$B$2:$CE$83,MATCH("건조딸기다이스(외국산)",'🔖 배합비 참조'!$A$2:$A$83,0),MATCH($C123,'🔖 배합비 참조'!$B$1:$CE$1,0))/100,0),""))),"")</f>
        <v>0</v>
      </c>
      <c r="J123" s="39" t="n">
        <f aca="false">IFERROR(IF($C123="","",IF($D123="","",IFERROR(ROUND($D123*INDEX('🔖 배합비 참조'!$B$2:$CE$83,MATCH("건포도",'🔖 배합비 참조'!$A$2:$A$83,0),MATCH($C123,'🔖 배합비 참조'!$B$1:$CE$1,0))/100,0),""))),"")</f>
        <v>0</v>
      </c>
      <c r="K123" s="39" t="n">
        <f aca="false">IFERROR(IF($C123="","",IF($D123="","",IFERROR(ROUND($D123*INDEX('🔖 배합비 참조'!$B$2:$CE$83,MATCH("건호박채(중국산)",'🔖 배합비 참조'!$A$2:$A$83,0),MATCH($C123,'🔖 배합비 참조'!$B$1:$CE$1,0))/100,0),""))),"")</f>
        <v>0</v>
      </c>
      <c r="L123" s="39" t="n">
        <f aca="false">IFERROR(IF($C123="","",IF($D123="","",IFERROR(ROUND($D123*INDEX('🔖 배합비 참조'!$B$2:$CE$83,MATCH("검정깨(흑임자)",'🔖 배합비 참조'!$A$2:$A$83,0),MATCH($C123,'🔖 배합비 참조'!$B$1:$CE$1,0))/100,0),""))),"")</f>
        <v>0</v>
      </c>
      <c r="M123" s="39" t="n">
        <f aca="false">IFERROR(IF($C123="","",IF($D123="","",IFERROR(ROUND($D123*INDEX('🔖 배합비 참조'!$B$2:$CE$83,MATCH("검정콩",'🔖 배합비 참조'!$A$2:$A$83,0),MATCH($C123,'🔖 배합비 참조'!$B$1:$CE$1,0))/100,0),""))),"")</f>
        <v>0</v>
      </c>
      <c r="N123" s="39" t="n">
        <f aca="false">IFERROR(IF($C123="","",IF($D123="","",IFERROR(ROUND($D123*INDEX('🔖 배합비 참조'!$B$2:$CE$83,MATCH("계피가루",'🔖 배합비 참조'!$A$2:$A$83,0),MATCH($C123,'🔖 배합비 참조'!$B$1:$CE$1,0))/100,0),""))),"")</f>
        <v>0</v>
      </c>
      <c r="O123" s="39" t="n">
        <f aca="false">IFERROR(IF($C123="","",IF($D123="","",IFERROR(ROUND($D123*INDEX('🔖 배합비 참조'!$B$2:$CE$83,MATCH("고구마가루",'🔖 배합비 참조'!$A$2:$A$83,0),MATCH($C123,'🔖 배합비 참조'!$B$1:$CE$1,0))/100,0),""))),"")</f>
        <v>0</v>
      </c>
      <c r="P123" s="39" t="n">
        <f aca="false">IFERROR(IF($C123="","",IF($D123="","",IFERROR(ROUND($D123*INDEX('🔖 배합비 참조'!$B$2:$CE$83,MATCH("고구마무스",'🔖 배합비 참조'!$A$2:$A$83,0),MATCH($C123,'🔖 배합비 참조'!$B$1:$CE$1,0))/100,0),""))),"")</f>
        <v>0</v>
      </c>
      <c r="Q123" s="39" t="n">
        <f aca="false">IFERROR(IF($C123="","",IF($D123="","",IFERROR(ROUND($D123*INDEX('🔖 배합비 참조'!$B$2:$CE$83,MATCH("고려엉겅퀴((곤드레)국내산)",'🔖 배합비 참조'!$A$2:$A$83,0),MATCH($C123,'🔖 배합비 참조'!$B$1:$CE$1,0))/100,0),""))),"")</f>
        <v>0</v>
      </c>
      <c r="R123" s="39" t="n">
        <f aca="false">IFERROR(IF($C123="","",IF($D123="","",IFERROR(ROUND($D123*INDEX('🔖 배합비 참조'!$B$2:$CE$83,MATCH("기타가공품(복분자가루)",'🔖 배합비 참조'!$A$2:$A$83,0),MATCH($C123,'🔖 배합비 참조'!$B$1:$CE$1,0))/100,0),""))),"")</f>
        <v>0</v>
      </c>
      <c r="S123" s="39" t="n">
        <f aca="false">IFERROR(IF($C123="","",IF($D123="","",IFERROR(ROUND($D123*INDEX('🔖 배합비 참조'!$B$2:$CE$83,MATCH("기타가공품(슈퍼소프트엠)",'🔖 배합비 참조'!$A$2:$A$83,0),MATCH($C123,'🔖 배합비 참조'!$B$1:$CE$1,0))/100,0),""))),"")</f>
        <v>0</v>
      </c>
      <c r="T123" s="39" t="n">
        <f aca="false">IFERROR(IF($C123="","",IF($D123="","",IFERROR(ROUND($D123*INDEX('🔖 배합비 참조'!$B$2:$CE$83,MATCH("기타가공품(파인소프트 E-티)",'🔖 배합비 참조'!$A$2:$A$83,0),MATCH($C123,'🔖 배합비 참조'!$B$1:$CE$1,0))/100,0),""))),"")</f>
        <v>0</v>
      </c>
      <c r="U123" s="39" t="n">
        <f aca="false">IFERROR(IF($C123="","",IF($D123="","",IFERROR(ROUND($D123*INDEX('🔖 배합비 참조'!$B$2:$CE$83,MATCH("기타가공품(프리미엄카스테라가루)",'🔖 배합비 참조'!$A$2:$A$83,0),MATCH($C123,'🔖 배합비 참조'!$B$1:$CE$1,0))/100,0),""))),"")</f>
        <v>0</v>
      </c>
      <c r="V123" s="39" t="n">
        <f aca="false">IFERROR(IF($C123="","",IF($D123="","",IFERROR(ROUND($D123*INDEX('🔖 배합비 참조'!$B$2:$CE$83,MATCH("기타가공품(흑임자가루)",'🔖 배합비 참조'!$A$2:$A$83,0),MATCH($C123,'🔖 배합비 참조'!$B$1:$CE$1,0))/100,0),""))),"")</f>
        <v>0</v>
      </c>
      <c r="W123" s="39" t="n">
        <f aca="false">IFERROR(IF($C123="","",IF($D123="","",IFERROR(ROUND($D123*INDEX('🔖 배합비 참조'!$B$2:$CE$83,MATCH("기타설탕(흑설탕)",'🔖 배합비 참조'!$A$2:$A$83,0),MATCH($C123,'🔖 배합비 참조'!$B$1:$CE$1,0))/100,0),""))),"")</f>
        <v>0</v>
      </c>
      <c r="X123" s="39" t="n">
        <f aca="false">IFERROR(IF($C123="","",IF($D123="","",IFERROR(ROUND($D123*INDEX('🔖 배합비 참조'!$B$2:$CE$83,MATCH("냉동쑥(국내산)",'🔖 배합비 참조'!$A$2:$A$83,0),MATCH($C123,'🔖 배합비 참조'!$B$1:$CE$1,0))/100,0),""))),"")</f>
        <v>0</v>
      </c>
      <c r="Y123" s="39" t="n">
        <f aca="false">IFERROR(IF($C123="","",IF($D123="","",IFERROR(ROUND($D123*INDEX('🔖 배합비 참조'!$B$2:$CE$83,MATCH("냉동증숙고구마(중국산)",'🔖 배합비 참조'!$A$2:$A$83,0),MATCH($C123,'🔖 배합비 참조'!$B$1:$CE$1,0))/100,0),""))),"")</f>
        <v>0</v>
      </c>
      <c r="Z123" s="39" t="n">
        <f aca="false">IFERROR(IF($C123="","",IF($D123="","",IFERROR(ROUND($D123*INDEX('🔖 배합비 참조'!$B$2:$CE$83,MATCH("녹차가루",'🔖 배합비 참조'!$A$2:$A$83,0),MATCH($C123,'🔖 배합비 참조'!$B$1:$CE$1,0))/100,0),""))),"")</f>
        <v>0</v>
      </c>
      <c r="AA123" s="39" t="n">
        <f aca="false">IFERROR(IF($C123="","",IF($D123="","",IFERROR(ROUND($D123*INDEX('🔖 배합비 참조'!$B$2:$CE$83,MATCH("다크초콜릿 컴파운드칩",'🔖 배합비 참조'!$A$2:$A$83,0),MATCH($C123,'🔖 배합비 참조'!$B$1:$CE$1,0))/100,0),""))),"")</f>
        <v>0</v>
      </c>
      <c r="AB123" s="39" t="n">
        <f aca="false">IFERROR(IF($C123="","",IF($D123="","",IFERROR(ROUND($D123*INDEX('🔖 배합비 참조'!$B$2:$CE$83,MATCH("단호박분말(중국산)",'🔖 배합비 참조'!$A$2:$A$83,0),MATCH($C123,'🔖 배합비 참조'!$B$1:$CE$1,0))/100,0),""))),"")</f>
        <v>0</v>
      </c>
      <c r="AC123" s="39" t="n">
        <f aca="false">IFERROR(IF($C123="","",IF($D123="","",IFERROR(ROUND($D123*INDEX('🔖 배합비 참조'!$B$2:$CE$83,MATCH("당류가공품(단호박농축액)",'🔖 배합비 참조'!$A$2:$A$83,0),MATCH($C123,'🔖 배합비 참조'!$B$1:$CE$1,0))/100,0),""))),"")</f>
        <v>0</v>
      </c>
      <c r="AD123" s="39" t="n">
        <f aca="false">IFERROR(IF($C123="","",IF($D123="","",IFERROR(ROUND($D123*INDEX('🔖 배합비 참조'!$B$2:$CE$83,MATCH("당류가공품(알룰로스,에리스리톨,스테비올배당체혼합)",'🔖 배합비 참조'!$A$2:$A$83,0),MATCH($C123,'🔖 배합비 참조'!$B$1:$CE$1,0))/100,0),""))),"")</f>
        <v>0</v>
      </c>
      <c r="AE123" s="39" t="n">
        <f aca="false">IFERROR(IF($C123="","",IF($D123="","",IFERROR(ROUND($D123*INDEX('🔖 배합비 참조'!$B$2:$CE$83,MATCH("당류가공품(알룰로스제로파우더)",'🔖 배합비 참조'!$A$2:$A$83,0),MATCH($C123,'🔖 배합비 참조'!$B$1:$CE$1,0))/100,0),""))),"")</f>
        <v>0</v>
      </c>
      <c r="AF123" s="39" t="n">
        <f aca="false">IFERROR(IF($C123="","",IF($D123="","",IFERROR(ROUND($D123*INDEX('🔖 배합비 참조'!$B$2:$CE$83,MATCH("당절임(완두배기)",'🔖 배합비 참조'!$A$2:$A$83,0),MATCH($C123,'🔖 배합비 참조'!$B$1:$CE$1,0))/100,0),""))),"")</f>
        <v>0</v>
      </c>
      <c r="AG123" s="39" t="n">
        <f aca="false">IFERROR(IF($C123="","",IF($D123="","",IFERROR(ROUND($D123*INDEX('🔖 배합비 참조'!$B$2:$CE$83,MATCH("대추농축액",'🔖 배합비 참조'!$A$2:$A$83,0),MATCH($C123,'🔖 배합비 참조'!$B$1:$CE$1,0))/100,0),""))),"")</f>
        <v>0</v>
      </c>
      <c r="AH123" s="39" t="n">
        <f aca="false">IFERROR(IF($C123="","",IF($D123="","",IFERROR(ROUND($D123*INDEX('🔖 배합비 참조'!$B$2:$CE$83,MATCH("대추채(국내산)",'🔖 배합비 참조'!$A$2:$A$83,0),MATCH($C123,'🔖 배합비 참조'!$B$1:$CE$1,0))/100,0),""))),"")</f>
        <v>0</v>
      </c>
      <c r="AI123" s="39" t="n">
        <f aca="false">IFERROR(IF($C123="","",IF($D123="","",IFERROR(ROUND($D123*INDEX('🔖 배합비 참조'!$B$2:$CE$83,MATCH("동부(미얀마산)",'🔖 배합비 참조'!$A$2:$A$83,0),MATCH($C123,'🔖 배합비 참조'!$B$1:$CE$1,0))/100,0),""))),"")</f>
        <v>0</v>
      </c>
      <c r="AJ123" s="39" t="n">
        <f aca="false">IFERROR(IF($C123="","",IF($D123="","",IFERROR(ROUND($D123*INDEX('🔖 배합비 참조'!$B$2:$CE$83,MATCH("두류가공품(백옥앙금)",'🔖 배합비 참조'!$A$2:$A$83,0),MATCH($C123,'🔖 배합비 참조'!$B$1:$CE$1,0))/100,0),""))),"")</f>
        <v>0</v>
      </c>
      <c r="AK123" s="39" t="n">
        <f aca="false">IFERROR(IF($C123="","",IF($D123="","",IFERROR(ROUND($D123*INDEX('🔖 배합비 참조'!$B$2:$CE$83,MATCH("두류가공품(콩고물)",'🔖 배합비 참조'!$A$2:$A$83,0),MATCH($C123,'🔖 배합비 참조'!$B$1:$CE$1,0))/100,0),""))),"")</f>
        <v>0</v>
      </c>
      <c r="AL123" s="39" t="n">
        <f aca="false">IFERROR(IF($C123="","",IF($D123="","",IFERROR(ROUND($D123*INDEX('🔖 배합비 참조'!$B$2:$CE$83,MATCH("두류가공품(통팥고물)",'🔖 배합비 참조'!$A$2:$A$83,0),MATCH($C123,'🔖 배합비 참조'!$B$1:$CE$1,0))/100,0),""))),"")</f>
        <v>0</v>
      </c>
      <c r="AM123" s="39" t="n">
        <f aca="false">IFERROR(IF($C123="","",IF($D123="","",IFERROR(ROUND($D123*INDEX('🔖 배합비 참조'!$B$2:$CE$83,MATCH("딸기레진",'🔖 배합비 참조'!$A$2:$A$83,0),MATCH($C123,'🔖 배합비 참조'!$B$1:$CE$1,0))/100,0),""))),"")</f>
        <v>0</v>
      </c>
      <c r="AN123" s="39" t="n">
        <f aca="false">IFERROR(IF($C123="","",IF($D123="","",IFERROR(ROUND($D123*INDEX('🔖 배합비 참조'!$B$2:$CE$83,MATCH("딸기분말(스트로우베리에이드(분말))",'🔖 배합비 참조'!$A$2:$A$83,0),MATCH($C123,'🔖 배합비 참조'!$B$1:$CE$1,0))/100,0),""))),"")</f>
        <v>0</v>
      </c>
      <c r="AO123" s="39" t="n">
        <f aca="false">IFERROR(IF($C123="","",IF($D123="","",IFERROR(ROUND($D123*INDEX('🔖 배합비 참조'!$B$2:$CE$83,MATCH("마스카포네치즈",'🔖 배합비 참조'!$A$2:$A$83,0),MATCH($C123,'🔖 배합비 참조'!$B$1:$CE$1,0))/100,0),""))),"")</f>
        <v>0</v>
      </c>
      <c r="AP123" s="39" t="n">
        <f aca="false">IFERROR(IF($C123="","",IF($D123="","",IFERROR(ROUND($D123*INDEX('🔖 배합비 참조'!$B$2:$CE$83,MATCH("마카다미아분태(호주산)",'🔖 배합비 참조'!$A$2:$A$83,0),MATCH($C123,'🔖 배합비 참조'!$B$1:$CE$1,0))/100,0),""))),"")</f>
        <v>0</v>
      </c>
      <c r="AQ123" s="39" t="n">
        <f aca="false">IFERROR(IF($C123="","",IF($D123="","",IFERROR(ROUND($D123*INDEX('🔖 배합비 참조'!$B$2:$CE$83,MATCH("멥쌀(국내산)",'🔖 배합비 참조'!$A$2:$A$83,0),MATCH($C123,'🔖 배합비 참조'!$B$1:$CE$1,0))/100,0),""))),"")</f>
        <v>0</v>
      </c>
      <c r="AR123" s="39" t="n">
        <f aca="false">IFERROR(IF($C123="","",IF($D123="","",IFERROR(ROUND($D123*INDEX('🔖 배합비 참조'!$B$2:$CE$83,MATCH("모시잎(국내산)",'🔖 배합비 참조'!$A$2:$A$83,0),MATCH($C123,'🔖 배합비 참조'!$B$1:$CE$1,0))/100,0),""))),"")</f>
        <v>0</v>
      </c>
      <c r="AS123" s="39" t="n">
        <f aca="false">IFERROR(IF($C123="","",IF($D123="","",IFERROR(ROUND($D123*INDEX('🔖 배합비 참조'!$B$2:$CE$83,MATCH("물엿(저당물엿)",'🔖 배합비 참조'!$A$2:$A$83,0),MATCH($C123,'🔖 배합비 참조'!$B$1:$CE$1,0))/100,0),""))),"")</f>
        <v>2</v>
      </c>
      <c r="AT123" s="39" t="n">
        <f aca="false">IFERROR(IF($C123="","",IF($D123="","",IFERROR(ROUND($D123*INDEX('🔖 배합비 참조'!$B$2:$CE$83,MATCH("밤다이스",'🔖 배합비 참조'!$A$2:$A$83,0),MATCH($C123,'🔖 배합비 참조'!$B$1:$CE$1,0))/100,0),""))),"")</f>
        <v>0</v>
      </c>
      <c r="AU123" s="39" t="n">
        <f aca="false">IFERROR(IF($C123="","",IF($D123="","",IFERROR(ROUND($D123*INDEX('🔖 배합비 참조'!$B$2:$CE$83,MATCH("변성전분(타피오카전분)",'🔖 배합비 참조'!$A$2:$A$83,0),MATCH($C123,'🔖 배합비 참조'!$B$1:$CE$1,0))/100,0),""))),"")</f>
        <v>0</v>
      </c>
      <c r="AV123" s="39" t="n">
        <f aca="false">IFERROR(IF($C123="","",IF($D123="","",IFERROR(ROUND($D123*INDEX('🔖 배합비 참조'!$B$2:$CE$83,MATCH("복음땅콩분태",'🔖 배합비 참조'!$A$2:$A$83,0),MATCH($C123,'🔖 배합비 참조'!$B$1:$CE$1,0))/100,0),""))),"")</f>
        <v>0</v>
      </c>
      <c r="AW123" s="39" t="n">
        <f aca="false">IFERROR(IF($C123="","",IF($D123="","",IFERROR(ROUND($D123*INDEX('🔖 배합비 참조'!$B$2:$CE$83,MATCH("사양벌꿀(국내산)",'🔖 배합비 참조'!$A$2:$A$83,0),MATCH($C123,'🔖 배합비 참조'!$B$1:$CE$1,0))/100,0),""))),"")</f>
        <v>0</v>
      </c>
      <c r="AX123" s="39" t="n">
        <f aca="false">IFERROR(IF($C123="","",IF($D123="","",IFERROR(ROUND($D123*INDEX('🔖 배합비 참조'!$B$2:$CE$83,MATCH("생크림",'🔖 배합비 참조'!$A$2:$A$83,0),MATCH($C123,'🔖 배합비 참조'!$B$1:$CE$1,0))/100,0),""))),"")</f>
        <v>0</v>
      </c>
      <c r="AY123" s="39" t="n">
        <f aca="false">IFERROR(IF($C123="","",IF($D123="","",IFERROR(ROUND($D123*INDEX('🔖 배합비 참조'!$B$2:$CE$83,MATCH("서양호박(국내산,뉴질랜드산)",'🔖 배합비 참조'!$A$2:$A$83,0),MATCH($C123,'🔖 배합비 참조'!$B$1:$CE$1,0))/100,0),""))),"")</f>
        <v>0</v>
      </c>
      <c r="AZ123" s="39" t="n">
        <f aca="false">IFERROR(IF($C123="","",IF($D123="","",IFERROR(ROUND($D123*INDEX('🔖 배합비 참조'!$B$2:$CE$83,MATCH("설탕",'🔖 배합비 참조'!$A$2:$A$83,0),MATCH($C123,'🔖 배합비 참조'!$B$1:$CE$1,0))/100,0),""))),"")</f>
        <v>2</v>
      </c>
      <c r="BA123" s="39" t="n">
        <f aca="false">IFERROR(IF($C123="","",IF($D123="","",IFERROR(ROUND($D123*INDEX('🔖 배합비 참조'!$B$2:$CE$83,MATCH("스트로우베리 에이드 후레쉬",'🔖 배합비 참조'!$A$2:$A$83,0),MATCH($C123,'🔖 배합비 참조'!$B$1:$CE$1,0))/100,0),""))),"")</f>
        <v>0</v>
      </c>
      <c r="BB123" s="39" t="n">
        <f aca="false">IFERROR(IF($C123="","",IF($D123="","",IFERROR(ROUND($D123*INDEX('🔖 배합비 참조'!$B$2:$CE$83,MATCH("식물성기름혼합제제(분홍)",'🔖 배합비 참조'!$A$2:$A$83,0),MATCH($C123,'🔖 배합비 참조'!$B$1:$CE$1,0))/100,0),""))),"")</f>
        <v>0</v>
      </c>
      <c r="BC123" s="39" t="n">
        <f aca="false">IFERROR(IF($C123="","",IF($D123="","",IFERROR(ROUND($D123*INDEX('🔖 배합비 참조'!$B$2:$CE$83,MATCH("식물성기름혼합제제(초록)",'🔖 배합비 참조'!$A$2:$A$83,0),MATCH($C123,'🔖 배합비 참조'!$B$1:$CE$1,0))/100,0),""))),"")</f>
        <v>0</v>
      </c>
      <c r="BD123" s="39" t="n">
        <f aca="false">IFERROR(IF($C123="","",IF($D123="","",IFERROR(ROUND($D123*INDEX('🔖 배합비 참조'!$B$2:$CE$83,MATCH("식물성기름혼합제제(황색)",'🔖 배합비 참조'!$A$2:$A$83,0),MATCH($C123,'🔖 배합비 참조'!$B$1:$CE$1,0))/100,0),""))),"")</f>
        <v>0</v>
      </c>
      <c r="BE123" s="39" t="n">
        <f aca="false">IFERROR(IF($C123="","",IF($D123="","",IFERROR(ROUND($D123*INDEX('🔖 배합비 참조'!$B$2:$CE$83,MATCH("쑥가루(국내산)",'🔖 배합비 참조'!$A$2:$A$83,0),MATCH($C123,'🔖 배합비 참조'!$B$1:$CE$1,0))/100,0),""))),"")</f>
        <v>0</v>
      </c>
      <c r="BF123" s="39" t="n">
        <f aca="false">IFERROR(IF($C123="","",IF($D123="","",IFERROR(ROUND($D123*INDEX('🔖 배합비 참조'!$B$2:$CE$83,MATCH("아몬드슬라이스",'🔖 배합비 참조'!$A$2:$A$83,0),MATCH($C123,'🔖 배합비 참조'!$B$1:$CE$1,0))/100,0),""))),"")</f>
        <v>0</v>
      </c>
      <c r="BG123" s="39" t="n">
        <f aca="false">IFERROR(IF($C123="","",IF($D123="","",IFERROR(ROUND($D123*INDEX('🔖 배합비 참조'!$B$2:$CE$83,MATCH("알룰로오스(국내산)",'🔖 배합비 참조'!$A$2:$A$83,0),MATCH($C123,'🔖 배합비 참조'!$B$1:$CE$1,0))/100,0),""))),"")</f>
        <v>0</v>
      </c>
      <c r="BH123" s="39" t="n">
        <f aca="false">IFERROR(IF($C123="","",IF($D123="","",IFERROR(ROUND($D123*INDEX('🔖 배합비 참조'!$B$2:$CE$83,MATCH("연유",'🔖 배합비 참조'!$A$2:$A$83,0),MATCH($C123,'🔖 배합비 참조'!$B$1:$CE$1,0))/100,0),""))),"")</f>
        <v>0</v>
      </c>
      <c r="BI123" s="39" t="n">
        <f aca="false">IFERROR(IF($C123="","",IF($D123="","",IFERROR(ROUND($D123*INDEX('🔖 배합비 참조'!$B$2:$CE$83,MATCH("옥수수전분",'🔖 배합비 참조'!$A$2:$A$83,0),MATCH($C123,'🔖 배합비 참조'!$B$1:$CE$1,0))/100,0),""))),"")</f>
        <v>1</v>
      </c>
      <c r="BJ123" s="39" t="n">
        <f aca="false">IFERROR(IF($C123="","",IF($D123="","",IFERROR(ROUND($D123*INDEX('🔖 배합비 참조'!$B$2:$CE$83,MATCH("완두배기",'🔖 배합비 참조'!$A$2:$A$83,0),MATCH($C123,'🔖 배합비 참조'!$B$1:$CE$1,0))/100,0),""))),"")</f>
        <v>0</v>
      </c>
      <c r="BK123" s="39" t="n">
        <f aca="false">IFERROR(IF($C123="","",IF($D123="","",IFERROR(ROUND($D123*INDEX('🔖 배합비 참조'!$B$2:$CE$83,MATCH("우유(국내산)",'🔖 배합비 참조'!$A$2:$A$83,0),MATCH($C123,'🔖 배합비 참조'!$B$1:$CE$1,0))/100,0),""))),"")</f>
        <v>0</v>
      </c>
      <c r="BL123" s="39" t="n">
        <f aca="false">IFERROR(IF($C123="","",IF($D123="","",IFERROR(ROUND($D123*INDEX('🔖 배합비 참조'!$B$2:$CE$83,MATCH("자색고구마가루(중국산)",'🔖 배합비 참조'!$A$2:$A$83,0),MATCH($C123,'🔖 배합비 참조'!$B$1:$CE$1,0))/100,0),""))),"")</f>
        <v>0</v>
      </c>
      <c r="BM123" s="39" t="n">
        <f aca="false">IFERROR(IF($C123="","",IF($D123="","",IFERROR(ROUND($D123*INDEX('🔖 배합비 참조'!$B$2:$CE$83,MATCH("자연치즈(체다치즈)",'🔖 배합비 참조'!$A$2:$A$83,0),MATCH($C123,'🔖 배합비 참조'!$B$1:$CE$1,0))/100,0),""))),"")</f>
        <v>0</v>
      </c>
      <c r="BN123" s="39" t="n">
        <f aca="false">IFERROR(IF($C123="","",IF($D123="","",IFERROR(ROUND($D123*INDEX('🔖 배합비 참조'!$B$2:$CE$83,MATCH("정제수",'🔖 배합비 참조'!$A$2:$A$83,0),MATCH($C123,'🔖 배합비 참조'!$B$1:$CE$1,0))/100,0),""))),"")</f>
        <v>0</v>
      </c>
      <c r="BO123" s="39" t="n">
        <f aca="false">IFERROR(IF($C123="","",IF($D123="","",IFERROR(ROUND($D123*INDEX('🔖 배합비 참조'!$B$2:$CE$83,MATCH("젤라틴",'🔖 배합비 참조'!$A$2:$A$83,0),MATCH($C123,'🔖 배합비 참조'!$B$1:$CE$1,0))/100,0),""))),"")</f>
        <v>0</v>
      </c>
      <c r="BP123" s="39" t="n">
        <f aca="false">IFERROR(IF($C123="","",IF($D123="","",IFERROR(ROUND($D123*INDEX('🔖 배합비 참조'!$B$2:$CE$83,MATCH("조림류(백옥앙금)",'🔖 배합비 참조'!$A$2:$A$83,0),MATCH($C123,'🔖 배합비 참조'!$B$1:$CE$1,0))/100,0),""))),"")</f>
        <v>0</v>
      </c>
      <c r="BQ123" s="39" t="n">
        <f aca="false">IFERROR(IF($C123="","",IF($D123="","",IFERROR(ROUND($D123*INDEX('🔖 배합비 참조'!$B$2:$CE$83,MATCH("조림류(통팥앙금)",'🔖 배합비 참조'!$A$2:$A$83,0),MATCH($C123,'🔖 배합비 참조'!$B$1:$CE$1,0))/100,0),""))),"")</f>
        <v>31</v>
      </c>
      <c r="BR123" s="39" t="n">
        <f aca="false">IFERROR(IF($C123="","",IF($D123="","",IFERROR(ROUND($D123*INDEX('🔖 배합비 참조'!$B$2:$CE$83,MATCH("준초콜릿(외국산)",'🔖 배합비 참조'!$A$2:$A$83,0),MATCH($C123,'🔖 배합비 참조'!$B$1:$CE$1,0))/100,0),""))),"")</f>
        <v>0</v>
      </c>
      <c r="BS123" s="39" t="n">
        <f aca="false">IFERROR(IF($C123="","",IF($D123="","",IFERROR(ROUND($D123*INDEX('🔖 배합비 참조'!$B$2:$CE$83,MATCH("중력분",'🔖 배합비 참조'!$A$2:$A$83,0),MATCH($C123,'🔖 배합비 참조'!$B$1:$CE$1,0))/100,0),""))),"")</f>
        <v>0</v>
      </c>
      <c r="BT123" s="39" t="n">
        <f aca="false">IFERROR(IF($C123="","",IF($D123="","",IFERROR(ROUND($D123*INDEX('🔖 배합비 참조'!$B$2:$CE$83,MATCH("참깨(인도산,나이지리아산,탄자니아산,미얀마산)",'🔖 배합비 참조'!$A$2:$A$83,0),MATCH($C123,'🔖 배합비 참조'!$B$1:$CE$1,0))/100,0),""))),"")</f>
        <v>0</v>
      </c>
      <c r="BU123" s="39" t="n">
        <f aca="false">IFERROR(IF($C123="","",IF($D123="","",IFERROR(ROUND($D123*INDEX('🔖 배합비 참조'!$B$2:$CE$83,MATCH("찹쌀(국내산)",'🔖 배합비 참조'!$A$2:$A$83,0),MATCH($C123,'🔖 배합비 참조'!$B$1:$CE$1,0))/100,0),""))),"")</f>
        <v>33</v>
      </c>
      <c r="BV123" s="39" t="n">
        <f aca="false">IFERROR(IF($C123="","",IF($D123="","",IFERROR(ROUND($D123*INDEX('🔖 배합비 참조'!$B$2:$CE$83,MATCH("천일염",'🔖 배합비 참조'!$A$2:$A$83,0),MATCH($C123,'🔖 배합비 참조'!$B$1:$CE$1,0))/100,0),""))),"")</f>
        <v>1</v>
      </c>
      <c r="BW123" s="39" t="n">
        <f aca="false">IFERROR(IF($C123="","",IF($D123="","",IFERROR(ROUND($D123*INDEX('🔖 배합비 참조'!$B$2:$CE$83,MATCH("치즈 [크림치즈]",'🔖 배합비 참조'!$A$2:$A$83,0),MATCH($C123,'🔖 배합비 참조'!$B$1:$CE$1,0))/100,0),""))),"")</f>
        <v>0</v>
      </c>
      <c r="BX123" s="39" t="n">
        <f aca="false">IFERROR(IF($C123="","",IF($D123="","",IFERROR(ROUND($D123*INDEX('🔖 배합비 참조'!$B$2:$CE$83,MATCH("코코아가공품류(코코아분말)",'🔖 배합비 참조'!$A$2:$A$83,0),MATCH($C123,'🔖 배합비 참조'!$B$1:$CE$1,0))/100,0),""))),"")</f>
        <v>0</v>
      </c>
      <c r="BY123" s="39" t="n">
        <f aca="false">IFERROR(IF($C123="","",IF($D123="","",IFERROR(ROUND($D123*INDEX('🔖 배합비 참조'!$B$2:$CE$83,MATCH("콩기름(대두유)",'🔖 배합비 참조'!$A$2:$A$83,0),MATCH($C123,'🔖 배합비 참조'!$B$1:$CE$1,0))/100,0),""))),"")</f>
        <v>0</v>
      </c>
      <c r="BZ123" s="39" t="n">
        <f aca="false">IFERROR(IF($C123="","",IF($D123="","",IFERROR(ROUND($D123*INDEX('🔖 배합비 참조'!$B$2:$CE$83,MATCH("해바라기씨앗",'🔖 배합비 참조'!$A$2:$A$83,0),MATCH($C123,'🔖 배합비 참조'!$B$1:$CE$1,0))/100,0),""))),"")</f>
        <v>0</v>
      </c>
      <c r="CA123" s="39" t="n">
        <f aca="false">IFERROR(IF($C123="","",IF($D123="","",IFERROR(ROUND($D123*INDEX('🔖 배합비 참조'!$B$2:$CE$83,MATCH("현미(국내산)",'🔖 배합비 참조'!$A$2:$A$83,0),MATCH($C123,'🔖 배합비 참조'!$B$1:$CE$1,0))/100,0),""))),"")</f>
        <v>0</v>
      </c>
      <c r="CB123" s="39" t="n">
        <f aca="false">IFERROR(IF($C123="","",IF($D123="","",IFERROR(ROUND($D123*INDEX('🔖 배합비 참조'!$B$2:$CE$83,MATCH("현미멥쌀(국내산)",'🔖 배합비 참조'!$A$2:$A$83,0),MATCH($C123,'🔖 배합비 참조'!$B$1:$CE$1,0))/100,0),""))),"")</f>
        <v>0</v>
      </c>
      <c r="CC123" s="39" t="n">
        <f aca="false">IFERROR(IF($C123="","",IF($D123="","",IFERROR(ROUND($D123*INDEX('🔖 배합비 참조'!$B$2:$CE$83,MATCH("호두분태(미국산)",'🔖 배합비 참조'!$A$2:$A$83,0),MATCH($C123,'🔖 배합비 참조'!$B$1:$CE$1,0))/100,0),""))),"")</f>
        <v>0</v>
      </c>
      <c r="CD123" s="39" t="n">
        <f aca="false">IFERROR(IF($C123="","",IF($D123="","",IFERROR(ROUND($D123*INDEX('🔖 배합비 참조'!$B$2:$CE$83,MATCH("호박씨앗(외국산)",'🔖 배합비 참조'!$A$2:$A$83,0),MATCH($C123,'🔖 배합비 참조'!$B$1:$CE$1,0))/100,0),""))),"")</f>
        <v>0</v>
      </c>
      <c r="CE123" s="39" t="n">
        <f aca="false">IFERROR(IF($C123="","",IF($D123="","",IFERROR(ROUND($D123*INDEX('🔖 배합비 참조'!$B$2:$CE$83,MATCH("혼합제제(떡용에스텔)",'🔖 배합비 참조'!$A$2:$A$83,0),MATCH($C123,'🔖 배합비 참조'!$B$1:$CE$1,0))/100,0),""))),"")</f>
        <v>0</v>
      </c>
      <c r="CF123" s="39" t="n">
        <f aca="false">IFERROR(IF($C123="","",IF($D123="","",IFERROR(ROUND($D123*INDEX('🔖 배합비 참조'!$B$2:$CE$83,MATCH("혼합제제(스테비아)",'🔖 배합비 참조'!$A$2:$A$83,0),MATCH($C123,'🔖 배합비 참조'!$B$1:$CE$1,0))/100,0),""))),"")</f>
        <v>0</v>
      </c>
      <c r="CG123" s="39" t="n">
        <f aca="false">IFERROR(IF($C123="","",IF($D123="","",IFERROR(ROUND($D123*INDEX('🔖 배합비 참조'!$B$2:$CE$83,MATCH("화이트초콜릿",'🔖 배합비 참조'!$A$2:$A$83,0),MATCH($C123,'🔖 배합비 참조'!$B$1:$CE$1,0))/100,0),""))),"")</f>
        <v>0</v>
      </c>
      <c r="CH123" s="39" t="n">
        <f aca="false">IFERROR(IF($C123="","",IF($D123="","",IFERROR(ROUND($D123*INDEX('🔖 배합비 참조'!$B$2:$CE$83,MATCH("흑미찹쌀(국내산)",'🔖 배합비 참조'!$A$2:$A$83,0),MATCH($C123,'🔖 배합비 참조'!$B$1:$CE$1,0))/100,0),""))),"")</f>
        <v>0</v>
      </c>
      <c r="CI123" s="39" t="n">
        <f aca="false">IFERROR(IF($C123="","",IF($D123="","",IFERROR(ROUND($D123*INDEX('🔖 배합비 참조'!$B$2:$CE$83,MATCH("찰옥수수전분(미국산)",'🔖 배합비 참조'!$A$2:$A$83,0),MATCH($C123,'🔖 배합비 참조'!$B$1:$CE$1,0))/100,0),""))),"")</f>
        <v>0</v>
      </c>
      <c r="CJ123" s="40"/>
      <c r="CL123" s="1" t="s">
        <v>239</v>
      </c>
    </row>
    <row r="124" customFormat="false" ht="18" hidden="false" customHeight="true" outlineLevel="0" collapsed="false">
      <c r="A124" s="41" t="n">
        <v>120</v>
      </c>
      <c r="B124" s="36" t="n">
        <v>46006</v>
      </c>
      <c r="C124" s="37" t="s">
        <v>206</v>
      </c>
      <c r="D124" s="38" t="n">
        <v>140</v>
      </c>
      <c r="E124" s="17"/>
      <c r="F124" s="17"/>
      <c r="G124" s="42" t="n">
        <f aca="false">IFERROR(IF($C124="","",IF($D124="","",IFERROR(ROUND($D124*INDEX('🔖 배합비 참조'!$B$2:$CE$83,MATCH("간장",'🔖 배합비 참조'!$A$2:$A$83,0),MATCH($C124,'🔖 배합비 참조'!$B$1:$CE$1,0))/100,0),""))),"")</f>
        <v>0</v>
      </c>
      <c r="H124" s="42" t="n">
        <f aca="false">IFERROR(IF($C124="","",IF($D124="","",IFERROR(ROUND($D124*INDEX('🔖 배합비 참조'!$B$2:$CE$83,MATCH("강낭콩((울타리콩))",'🔖 배합비 참조'!$A$2:$A$83,0),MATCH($C124,'🔖 배합비 참조'!$B$1:$CE$1,0))/100,0),""))),"")</f>
        <v>0</v>
      </c>
      <c r="I124" s="42" t="n">
        <f aca="false">IFERROR(IF($C124="","",IF($D124="","",IFERROR(ROUND($D124*INDEX('🔖 배합비 참조'!$B$2:$CE$83,MATCH("건조딸기다이스(외국산)",'🔖 배합비 참조'!$A$2:$A$83,0),MATCH($C124,'🔖 배합비 참조'!$B$1:$CE$1,0))/100,0),""))),"")</f>
        <v>0</v>
      </c>
      <c r="J124" s="42" t="n">
        <f aca="false">IFERROR(IF($C124="","",IF($D124="","",IFERROR(ROUND($D124*INDEX('🔖 배합비 참조'!$B$2:$CE$83,MATCH("건포도",'🔖 배합비 참조'!$A$2:$A$83,0),MATCH($C124,'🔖 배합비 참조'!$B$1:$CE$1,0))/100,0),""))),"")</f>
        <v>0</v>
      </c>
      <c r="K124" s="42" t="n">
        <f aca="false">IFERROR(IF($C124="","",IF($D124="","",IFERROR(ROUND($D124*INDEX('🔖 배합비 참조'!$B$2:$CE$83,MATCH("건호박채(중국산)",'🔖 배합비 참조'!$A$2:$A$83,0),MATCH($C124,'🔖 배합비 참조'!$B$1:$CE$1,0))/100,0),""))),"")</f>
        <v>0</v>
      </c>
      <c r="L124" s="42" t="n">
        <f aca="false">IFERROR(IF($C124="","",IF($D124="","",IFERROR(ROUND($D124*INDEX('🔖 배합비 참조'!$B$2:$CE$83,MATCH("검정깨(흑임자)",'🔖 배합비 참조'!$A$2:$A$83,0),MATCH($C124,'🔖 배합비 참조'!$B$1:$CE$1,0))/100,0),""))),"")</f>
        <v>0</v>
      </c>
      <c r="M124" s="42" t="n">
        <f aca="false">IFERROR(IF($C124="","",IF($D124="","",IFERROR(ROUND($D124*INDEX('🔖 배합비 참조'!$B$2:$CE$83,MATCH("검정콩",'🔖 배합비 참조'!$A$2:$A$83,0),MATCH($C124,'🔖 배합비 참조'!$B$1:$CE$1,0))/100,0),""))),"")</f>
        <v>0</v>
      </c>
      <c r="N124" s="42" t="n">
        <f aca="false">IFERROR(IF($C124="","",IF($D124="","",IFERROR(ROUND($D124*INDEX('🔖 배합비 참조'!$B$2:$CE$83,MATCH("계피가루",'🔖 배합비 참조'!$A$2:$A$83,0),MATCH($C124,'🔖 배합비 참조'!$B$1:$CE$1,0))/100,0),""))),"")</f>
        <v>0</v>
      </c>
      <c r="O124" s="42" t="n">
        <f aca="false">IFERROR(IF($C124="","",IF($D124="","",IFERROR(ROUND($D124*INDEX('🔖 배합비 참조'!$B$2:$CE$83,MATCH("고구마가루",'🔖 배합비 참조'!$A$2:$A$83,0),MATCH($C124,'🔖 배합비 참조'!$B$1:$CE$1,0))/100,0),""))),"")</f>
        <v>0</v>
      </c>
      <c r="P124" s="42" t="n">
        <f aca="false">IFERROR(IF($C124="","",IF($D124="","",IFERROR(ROUND($D124*INDEX('🔖 배합비 참조'!$B$2:$CE$83,MATCH("고구마무스",'🔖 배합비 참조'!$A$2:$A$83,0),MATCH($C124,'🔖 배합비 참조'!$B$1:$CE$1,0))/100,0),""))),"")</f>
        <v>0</v>
      </c>
      <c r="Q124" s="42" t="n">
        <f aca="false">IFERROR(IF($C124="","",IF($D124="","",IFERROR(ROUND($D124*INDEX('🔖 배합비 참조'!$B$2:$CE$83,MATCH("고려엉겅퀴((곤드레)국내산)",'🔖 배합비 참조'!$A$2:$A$83,0),MATCH($C124,'🔖 배합비 참조'!$B$1:$CE$1,0))/100,0),""))),"")</f>
        <v>0</v>
      </c>
      <c r="R124" s="42" t="n">
        <f aca="false">IFERROR(IF($C124="","",IF($D124="","",IFERROR(ROUND($D124*INDEX('🔖 배합비 참조'!$B$2:$CE$83,MATCH("기타가공품(복분자가루)",'🔖 배합비 참조'!$A$2:$A$83,0),MATCH($C124,'🔖 배합비 참조'!$B$1:$CE$1,0))/100,0),""))),"")</f>
        <v>0</v>
      </c>
      <c r="S124" s="42" t="n">
        <f aca="false">IFERROR(IF($C124="","",IF($D124="","",IFERROR(ROUND($D124*INDEX('🔖 배합비 참조'!$B$2:$CE$83,MATCH("기타가공품(슈퍼소프트엠)",'🔖 배합비 참조'!$A$2:$A$83,0),MATCH($C124,'🔖 배합비 참조'!$B$1:$CE$1,0))/100,0),""))),"")</f>
        <v>0</v>
      </c>
      <c r="T124" s="42" t="n">
        <f aca="false">IFERROR(IF($C124="","",IF($D124="","",IFERROR(ROUND($D124*INDEX('🔖 배합비 참조'!$B$2:$CE$83,MATCH("기타가공품(파인소프트 E-티)",'🔖 배합비 참조'!$A$2:$A$83,0),MATCH($C124,'🔖 배합비 참조'!$B$1:$CE$1,0))/100,0),""))),"")</f>
        <v>0</v>
      </c>
      <c r="U124" s="42" t="n">
        <f aca="false">IFERROR(IF($C124="","",IF($D124="","",IFERROR(ROUND($D124*INDEX('🔖 배합비 참조'!$B$2:$CE$83,MATCH("기타가공품(프리미엄카스테라가루)",'🔖 배합비 참조'!$A$2:$A$83,0),MATCH($C124,'🔖 배합비 참조'!$B$1:$CE$1,0))/100,0),""))),"")</f>
        <v>0</v>
      </c>
      <c r="V124" s="42" t="n">
        <f aca="false">IFERROR(IF($C124="","",IF($D124="","",IFERROR(ROUND($D124*INDEX('🔖 배합비 참조'!$B$2:$CE$83,MATCH("기타가공품(흑임자가루)",'🔖 배합비 참조'!$A$2:$A$83,0),MATCH($C124,'🔖 배합비 참조'!$B$1:$CE$1,0))/100,0),""))),"")</f>
        <v>0</v>
      </c>
      <c r="W124" s="42" t="n">
        <f aca="false">IFERROR(IF($C124="","",IF($D124="","",IFERROR(ROUND($D124*INDEX('🔖 배합비 참조'!$B$2:$CE$83,MATCH("기타설탕(흑설탕)",'🔖 배합비 참조'!$A$2:$A$83,0),MATCH($C124,'🔖 배합비 참조'!$B$1:$CE$1,0))/100,0),""))),"")</f>
        <v>0</v>
      </c>
      <c r="X124" s="42" t="n">
        <f aca="false">IFERROR(IF($C124="","",IF($D124="","",IFERROR(ROUND($D124*INDEX('🔖 배합비 참조'!$B$2:$CE$83,MATCH("냉동쑥(국내산)",'🔖 배합비 참조'!$A$2:$A$83,0),MATCH($C124,'🔖 배합비 참조'!$B$1:$CE$1,0))/100,0),""))),"")</f>
        <v>0</v>
      </c>
      <c r="Y124" s="42" t="n">
        <f aca="false">IFERROR(IF($C124="","",IF($D124="","",IFERROR(ROUND($D124*INDEX('🔖 배합비 참조'!$B$2:$CE$83,MATCH("냉동증숙고구마(중국산)",'🔖 배합비 참조'!$A$2:$A$83,0),MATCH($C124,'🔖 배합비 참조'!$B$1:$CE$1,0))/100,0),""))),"")</f>
        <v>0</v>
      </c>
      <c r="Z124" s="42" t="n">
        <f aca="false">IFERROR(IF($C124="","",IF($D124="","",IFERROR(ROUND($D124*INDEX('🔖 배합비 참조'!$B$2:$CE$83,MATCH("녹차가루",'🔖 배합비 참조'!$A$2:$A$83,0),MATCH($C124,'🔖 배합비 참조'!$B$1:$CE$1,0))/100,0),""))),"")</f>
        <v>0</v>
      </c>
      <c r="AA124" s="42" t="n">
        <f aca="false">IFERROR(IF($C124="","",IF($D124="","",IFERROR(ROUND($D124*INDEX('🔖 배합비 참조'!$B$2:$CE$83,MATCH("다크초콜릿 컴파운드칩",'🔖 배합비 참조'!$A$2:$A$83,0),MATCH($C124,'🔖 배합비 참조'!$B$1:$CE$1,0))/100,0),""))),"")</f>
        <v>0</v>
      </c>
      <c r="AB124" s="42" t="n">
        <f aca="false">IFERROR(IF($C124="","",IF($D124="","",IFERROR(ROUND($D124*INDEX('🔖 배합비 참조'!$B$2:$CE$83,MATCH("단호박분말(중국산)",'🔖 배합비 참조'!$A$2:$A$83,0),MATCH($C124,'🔖 배합비 참조'!$B$1:$CE$1,0))/100,0),""))),"")</f>
        <v>0</v>
      </c>
      <c r="AC124" s="42" t="n">
        <f aca="false">IFERROR(IF($C124="","",IF($D124="","",IFERROR(ROUND($D124*INDEX('🔖 배합비 참조'!$B$2:$CE$83,MATCH("당류가공품(단호박농축액)",'🔖 배합비 참조'!$A$2:$A$83,0),MATCH($C124,'🔖 배합비 참조'!$B$1:$CE$1,0))/100,0),""))),"")</f>
        <v>0</v>
      </c>
      <c r="AD124" s="42" t="n">
        <f aca="false">IFERROR(IF($C124="","",IF($D124="","",IFERROR(ROUND($D124*INDEX('🔖 배합비 참조'!$B$2:$CE$83,MATCH("당류가공품(알룰로스,에리스리톨,스테비올배당체혼합)",'🔖 배합비 참조'!$A$2:$A$83,0),MATCH($C124,'🔖 배합비 참조'!$B$1:$CE$1,0))/100,0),""))),"")</f>
        <v>0</v>
      </c>
      <c r="AE124" s="42" t="n">
        <f aca="false">IFERROR(IF($C124="","",IF($D124="","",IFERROR(ROUND($D124*INDEX('🔖 배합비 참조'!$B$2:$CE$83,MATCH("당류가공품(알룰로스제로파우더)",'🔖 배합비 참조'!$A$2:$A$83,0),MATCH($C124,'🔖 배합비 참조'!$B$1:$CE$1,0))/100,0),""))),"")</f>
        <v>0</v>
      </c>
      <c r="AF124" s="42" t="n">
        <f aca="false">IFERROR(IF($C124="","",IF($D124="","",IFERROR(ROUND($D124*INDEX('🔖 배합비 참조'!$B$2:$CE$83,MATCH("당절임(완두배기)",'🔖 배합비 참조'!$A$2:$A$83,0),MATCH($C124,'🔖 배합비 참조'!$B$1:$CE$1,0))/100,0),""))),"")</f>
        <v>0</v>
      </c>
      <c r="AG124" s="42" t="n">
        <f aca="false">IFERROR(IF($C124="","",IF($D124="","",IFERROR(ROUND($D124*INDEX('🔖 배합비 참조'!$B$2:$CE$83,MATCH("대추농축액",'🔖 배합비 참조'!$A$2:$A$83,0),MATCH($C124,'🔖 배합비 참조'!$B$1:$CE$1,0))/100,0),""))),"")</f>
        <v>0</v>
      </c>
      <c r="AH124" s="42" t="n">
        <f aca="false">IFERROR(IF($C124="","",IF($D124="","",IFERROR(ROUND($D124*INDEX('🔖 배합비 참조'!$B$2:$CE$83,MATCH("대추채(국내산)",'🔖 배합비 참조'!$A$2:$A$83,0),MATCH($C124,'🔖 배합비 참조'!$B$1:$CE$1,0))/100,0),""))),"")</f>
        <v>0</v>
      </c>
      <c r="AI124" s="42" t="n">
        <f aca="false">IFERROR(IF($C124="","",IF($D124="","",IFERROR(ROUND($D124*INDEX('🔖 배합비 참조'!$B$2:$CE$83,MATCH("동부(미얀마산)",'🔖 배합비 참조'!$A$2:$A$83,0),MATCH($C124,'🔖 배합비 참조'!$B$1:$CE$1,0))/100,0),""))),"")</f>
        <v>0</v>
      </c>
      <c r="AJ124" s="42" t="n">
        <f aca="false">IFERROR(IF($C124="","",IF($D124="","",IFERROR(ROUND($D124*INDEX('🔖 배합비 참조'!$B$2:$CE$83,MATCH("두류가공품(백옥앙금)",'🔖 배합비 참조'!$A$2:$A$83,0),MATCH($C124,'🔖 배합비 참조'!$B$1:$CE$1,0))/100,0),""))),"")</f>
        <v>0</v>
      </c>
      <c r="AK124" s="42" t="n">
        <f aca="false">IFERROR(IF($C124="","",IF($D124="","",IFERROR(ROUND($D124*INDEX('🔖 배합비 참조'!$B$2:$CE$83,MATCH("두류가공품(콩고물)",'🔖 배합비 참조'!$A$2:$A$83,0),MATCH($C124,'🔖 배합비 참조'!$B$1:$CE$1,0))/100,0),""))),"")</f>
        <v>0</v>
      </c>
      <c r="AL124" s="42" t="n">
        <f aca="false">IFERROR(IF($C124="","",IF($D124="","",IFERROR(ROUND($D124*INDEX('🔖 배합비 참조'!$B$2:$CE$83,MATCH("두류가공품(통팥고물)",'🔖 배합비 참조'!$A$2:$A$83,0),MATCH($C124,'🔖 배합비 참조'!$B$1:$CE$1,0))/100,0),""))),"")</f>
        <v>0</v>
      </c>
      <c r="AM124" s="42" t="n">
        <f aca="false">IFERROR(IF($C124="","",IF($D124="","",IFERROR(ROUND($D124*INDEX('🔖 배합비 참조'!$B$2:$CE$83,MATCH("딸기레진",'🔖 배합비 참조'!$A$2:$A$83,0),MATCH($C124,'🔖 배합비 참조'!$B$1:$CE$1,0))/100,0),""))),"")</f>
        <v>0</v>
      </c>
      <c r="AN124" s="42" t="n">
        <f aca="false">IFERROR(IF($C124="","",IF($D124="","",IFERROR(ROUND($D124*INDEX('🔖 배합비 참조'!$B$2:$CE$83,MATCH("딸기분말(스트로우베리에이드(분말))",'🔖 배합비 참조'!$A$2:$A$83,0),MATCH($C124,'🔖 배합비 참조'!$B$1:$CE$1,0))/100,0),""))),"")</f>
        <v>0</v>
      </c>
      <c r="AO124" s="42" t="n">
        <f aca="false">IFERROR(IF($C124="","",IF($D124="","",IFERROR(ROUND($D124*INDEX('🔖 배합비 참조'!$B$2:$CE$83,MATCH("마스카포네치즈",'🔖 배합비 참조'!$A$2:$A$83,0),MATCH($C124,'🔖 배합비 참조'!$B$1:$CE$1,0))/100,0),""))),"")</f>
        <v>0</v>
      </c>
      <c r="AP124" s="42" t="n">
        <f aca="false">IFERROR(IF($C124="","",IF($D124="","",IFERROR(ROUND($D124*INDEX('🔖 배합비 참조'!$B$2:$CE$83,MATCH("마카다미아분태(호주산)",'🔖 배합비 참조'!$A$2:$A$83,0),MATCH($C124,'🔖 배합비 참조'!$B$1:$CE$1,0))/100,0),""))),"")</f>
        <v>0</v>
      </c>
      <c r="AQ124" s="42" t="n">
        <f aca="false">IFERROR(IF($C124="","",IF($D124="","",IFERROR(ROUND($D124*INDEX('🔖 배합비 참조'!$B$2:$CE$83,MATCH("멥쌀(국내산)",'🔖 배합비 참조'!$A$2:$A$83,0),MATCH($C124,'🔖 배합비 참조'!$B$1:$CE$1,0))/100,0),""))),"")</f>
        <v>0</v>
      </c>
      <c r="AR124" s="42" t="n">
        <f aca="false">IFERROR(IF($C124="","",IF($D124="","",IFERROR(ROUND($D124*INDEX('🔖 배합비 참조'!$B$2:$CE$83,MATCH("모시잎(국내산)",'🔖 배합비 참조'!$A$2:$A$83,0),MATCH($C124,'🔖 배합비 참조'!$B$1:$CE$1,0))/100,0),""))),"")</f>
        <v>0</v>
      </c>
      <c r="AS124" s="42" t="n">
        <f aca="false">IFERROR(IF($C124="","",IF($D124="","",IFERROR(ROUND($D124*INDEX('🔖 배합비 참조'!$B$2:$CE$83,MATCH("물엿(저당물엿)",'🔖 배합비 참조'!$A$2:$A$83,0),MATCH($C124,'🔖 배합비 참조'!$B$1:$CE$1,0))/100,0),""))),"")</f>
        <v>7</v>
      </c>
      <c r="AT124" s="42" t="n">
        <f aca="false">IFERROR(IF($C124="","",IF($D124="","",IFERROR(ROUND($D124*INDEX('🔖 배합비 참조'!$B$2:$CE$83,MATCH("밤다이스",'🔖 배합비 참조'!$A$2:$A$83,0),MATCH($C124,'🔖 배합비 참조'!$B$1:$CE$1,0))/100,0),""))),"")</f>
        <v>0</v>
      </c>
      <c r="AU124" s="42" t="n">
        <f aca="false">IFERROR(IF($C124="","",IF($D124="","",IFERROR(ROUND($D124*INDEX('🔖 배합비 참조'!$B$2:$CE$83,MATCH("변성전분(타피오카전분)",'🔖 배합비 참조'!$A$2:$A$83,0),MATCH($C124,'🔖 배합비 참조'!$B$1:$CE$1,0))/100,0),""))),"")</f>
        <v>0</v>
      </c>
      <c r="AV124" s="42" t="n">
        <f aca="false">IFERROR(IF($C124="","",IF($D124="","",IFERROR(ROUND($D124*INDEX('🔖 배합비 참조'!$B$2:$CE$83,MATCH("복음땅콩분태",'🔖 배합비 참조'!$A$2:$A$83,0),MATCH($C124,'🔖 배합비 참조'!$B$1:$CE$1,0))/100,0),""))),"")</f>
        <v>0</v>
      </c>
      <c r="AW124" s="42" t="n">
        <f aca="false">IFERROR(IF($C124="","",IF($D124="","",IFERROR(ROUND($D124*INDEX('🔖 배합비 참조'!$B$2:$CE$83,MATCH("사양벌꿀(국내산)",'🔖 배합비 참조'!$A$2:$A$83,0),MATCH($C124,'🔖 배합비 참조'!$B$1:$CE$1,0))/100,0),""))),"")</f>
        <v>0</v>
      </c>
      <c r="AX124" s="42" t="n">
        <f aca="false">IFERROR(IF($C124="","",IF($D124="","",IFERROR(ROUND($D124*INDEX('🔖 배합비 참조'!$B$2:$CE$83,MATCH("생크림",'🔖 배합비 참조'!$A$2:$A$83,0),MATCH($C124,'🔖 배합비 참조'!$B$1:$CE$1,0))/100,0),""))),"")</f>
        <v>0</v>
      </c>
      <c r="AY124" s="42" t="n">
        <f aca="false">IFERROR(IF($C124="","",IF($D124="","",IFERROR(ROUND($D124*INDEX('🔖 배합비 참조'!$B$2:$CE$83,MATCH("서양호박(국내산,뉴질랜드산)",'🔖 배합비 참조'!$A$2:$A$83,0),MATCH($C124,'🔖 배합비 참조'!$B$1:$CE$1,0))/100,0),""))),"")</f>
        <v>0</v>
      </c>
      <c r="AZ124" s="42" t="n">
        <f aca="false">IFERROR(IF($C124="","",IF($D124="","",IFERROR(ROUND($D124*INDEX('🔖 배합비 참조'!$B$2:$CE$83,MATCH("설탕",'🔖 배합비 참조'!$A$2:$A$83,0),MATCH($C124,'🔖 배합비 참조'!$B$1:$CE$1,0))/100,0),""))),"")</f>
        <v>7</v>
      </c>
      <c r="BA124" s="42" t="n">
        <f aca="false">IFERROR(IF($C124="","",IF($D124="","",IFERROR(ROUND($D124*INDEX('🔖 배합비 참조'!$B$2:$CE$83,MATCH("스트로우베리 에이드 후레쉬",'🔖 배합비 참조'!$A$2:$A$83,0),MATCH($C124,'🔖 배합비 참조'!$B$1:$CE$1,0))/100,0),""))),"")</f>
        <v>0</v>
      </c>
      <c r="BB124" s="42" t="n">
        <f aca="false">IFERROR(IF($C124="","",IF($D124="","",IFERROR(ROUND($D124*INDEX('🔖 배합비 참조'!$B$2:$CE$83,MATCH("식물성기름혼합제제(분홍)",'🔖 배합비 참조'!$A$2:$A$83,0),MATCH($C124,'🔖 배합비 참조'!$B$1:$CE$1,0))/100,0),""))),"")</f>
        <v>0</v>
      </c>
      <c r="BC124" s="42" t="n">
        <f aca="false">IFERROR(IF($C124="","",IF($D124="","",IFERROR(ROUND($D124*INDEX('🔖 배합비 참조'!$B$2:$CE$83,MATCH("식물성기름혼합제제(초록)",'🔖 배합비 참조'!$A$2:$A$83,0),MATCH($C124,'🔖 배합비 참조'!$B$1:$CE$1,0))/100,0),""))),"")</f>
        <v>0</v>
      </c>
      <c r="BD124" s="42" t="n">
        <f aca="false">IFERROR(IF($C124="","",IF($D124="","",IFERROR(ROUND($D124*INDEX('🔖 배합비 참조'!$B$2:$CE$83,MATCH("식물성기름혼합제제(황색)",'🔖 배합비 참조'!$A$2:$A$83,0),MATCH($C124,'🔖 배합비 참조'!$B$1:$CE$1,0))/100,0),""))),"")</f>
        <v>0</v>
      </c>
      <c r="BE124" s="42" t="n">
        <f aca="false">IFERROR(IF($C124="","",IF($D124="","",IFERROR(ROUND($D124*INDEX('🔖 배합비 참조'!$B$2:$CE$83,MATCH("쑥가루(국내산)",'🔖 배합비 참조'!$A$2:$A$83,0),MATCH($C124,'🔖 배합비 참조'!$B$1:$CE$1,0))/100,0),""))),"")</f>
        <v>0</v>
      </c>
      <c r="BF124" s="42" t="n">
        <f aca="false">IFERROR(IF($C124="","",IF($D124="","",IFERROR(ROUND($D124*INDEX('🔖 배합비 참조'!$B$2:$CE$83,MATCH("아몬드슬라이스",'🔖 배합비 참조'!$A$2:$A$83,0),MATCH($C124,'🔖 배합비 참조'!$B$1:$CE$1,0))/100,0),""))),"")</f>
        <v>0</v>
      </c>
      <c r="BG124" s="42" t="n">
        <f aca="false">IFERROR(IF($C124="","",IF($D124="","",IFERROR(ROUND($D124*INDEX('🔖 배합비 참조'!$B$2:$CE$83,MATCH("알룰로오스(국내산)",'🔖 배합비 참조'!$A$2:$A$83,0),MATCH($C124,'🔖 배합비 참조'!$B$1:$CE$1,0))/100,0),""))),"")</f>
        <v>0</v>
      </c>
      <c r="BH124" s="42" t="n">
        <f aca="false">IFERROR(IF($C124="","",IF($D124="","",IFERROR(ROUND($D124*INDEX('🔖 배합비 참조'!$B$2:$CE$83,MATCH("연유",'🔖 배합비 참조'!$A$2:$A$83,0),MATCH($C124,'🔖 배합비 참조'!$B$1:$CE$1,0))/100,0),""))),"")</f>
        <v>0</v>
      </c>
      <c r="BI124" s="42" t="n">
        <f aca="false">IFERROR(IF($C124="","",IF($D124="","",IFERROR(ROUND($D124*INDEX('🔖 배합비 참조'!$B$2:$CE$83,MATCH("옥수수전분",'🔖 배합비 참조'!$A$2:$A$83,0),MATCH($C124,'🔖 배합비 참조'!$B$1:$CE$1,0))/100,0),""))),"")</f>
        <v>0</v>
      </c>
      <c r="BJ124" s="42" t="n">
        <f aca="false">IFERROR(IF($C124="","",IF($D124="","",IFERROR(ROUND($D124*INDEX('🔖 배합비 참조'!$B$2:$CE$83,MATCH("완두배기",'🔖 배합비 참조'!$A$2:$A$83,0),MATCH($C124,'🔖 배합비 참조'!$B$1:$CE$1,0))/100,0),""))),"")</f>
        <v>0</v>
      </c>
      <c r="BK124" s="42" t="n">
        <f aca="false">IFERROR(IF($C124="","",IF($D124="","",IFERROR(ROUND($D124*INDEX('🔖 배합비 참조'!$B$2:$CE$83,MATCH("우유(국내산)",'🔖 배합비 참조'!$A$2:$A$83,0),MATCH($C124,'🔖 배합비 참조'!$B$1:$CE$1,0))/100,0),""))),"")</f>
        <v>0</v>
      </c>
      <c r="BL124" s="42" t="n">
        <f aca="false">IFERROR(IF($C124="","",IF($D124="","",IFERROR(ROUND($D124*INDEX('🔖 배합비 참조'!$B$2:$CE$83,MATCH("자색고구마가루(중국산)",'🔖 배합비 참조'!$A$2:$A$83,0),MATCH($C124,'🔖 배합비 참조'!$B$1:$CE$1,0))/100,0),""))),"")</f>
        <v>0</v>
      </c>
      <c r="BM124" s="42" t="n">
        <f aca="false">IFERROR(IF($C124="","",IF($D124="","",IFERROR(ROUND($D124*INDEX('🔖 배합비 참조'!$B$2:$CE$83,MATCH("자연치즈(체다치즈)",'🔖 배합비 참조'!$A$2:$A$83,0),MATCH($C124,'🔖 배합비 참조'!$B$1:$CE$1,0))/100,0),""))),"")</f>
        <v>0</v>
      </c>
      <c r="BN124" s="42" t="n">
        <f aca="false">IFERROR(IF($C124="","",IF($D124="","",IFERROR(ROUND($D124*INDEX('🔖 배합비 참조'!$B$2:$CE$83,MATCH("정제수",'🔖 배합비 참조'!$A$2:$A$83,0),MATCH($C124,'🔖 배합비 참조'!$B$1:$CE$1,0))/100,0),""))),"")</f>
        <v>57</v>
      </c>
      <c r="BO124" s="42" t="n">
        <f aca="false">IFERROR(IF($C124="","",IF($D124="","",IFERROR(ROUND($D124*INDEX('🔖 배합비 참조'!$B$2:$CE$83,MATCH("젤라틴",'🔖 배합비 참조'!$A$2:$A$83,0),MATCH($C124,'🔖 배합비 참조'!$B$1:$CE$1,0))/100,0),""))),"")</f>
        <v>0</v>
      </c>
      <c r="BP124" s="42" t="n">
        <f aca="false">IFERROR(IF($C124="","",IF($D124="","",IFERROR(ROUND($D124*INDEX('🔖 배합비 참조'!$B$2:$CE$83,MATCH("조림류(백옥앙금)",'🔖 배합비 참조'!$A$2:$A$83,0),MATCH($C124,'🔖 배합비 참조'!$B$1:$CE$1,0))/100,0),""))),"")</f>
        <v>0</v>
      </c>
      <c r="BQ124" s="42" t="n">
        <f aca="false">IFERROR(IF($C124="","",IF($D124="","",IFERROR(ROUND($D124*INDEX('🔖 배합비 참조'!$B$2:$CE$83,MATCH("조림류(통팥앙금)",'🔖 배합비 참조'!$A$2:$A$83,0),MATCH($C124,'🔖 배합비 참조'!$B$1:$CE$1,0))/100,0),""))),"")</f>
        <v>0</v>
      </c>
      <c r="BR124" s="42" t="n">
        <f aca="false">IFERROR(IF($C124="","",IF($D124="","",IFERROR(ROUND($D124*INDEX('🔖 배합비 참조'!$B$2:$CE$83,MATCH("준초콜릿(외국산)",'🔖 배합비 참조'!$A$2:$A$83,0),MATCH($C124,'🔖 배합비 참조'!$B$1:$CE$1,0))/100,0),""))),"")</f>
        <v>0</v>
      </c>
      <c r="BS124" s="42" t="n">
        <f aca="false">IFERROR(IF($C124="","",IF($D124="","",IFERROR(ROUND($D124*INDEX('🔖 배합비 참조'!$B$2:$CE$83,MATCH("중력분",'🔖 배합비 참조'!$A$2:$A$83,0),MATCH($C124,'🔖 배합비 참조'!$B$1:$CE$1,0))/100,0),""))),"")</f>
        <v>1</v>
      </c>
      <c r="BT124" s="42" t="n">
        <f aca="false">IFERROR(IF($C124="","",IF($D124="","",IFERROR(ROUND($D124*INDEX('🔖 배합비 참조'!$B$2:$CE$83,MATCH("참깨(인도산,나이지리아산,탄자니아산,미얀마산)",'🔖 배합비 참조'!$A$2:$A$83,0),MATCH($C124,'🔖 배합비 참조'!$B$1:$CE$1,0))/100,0),""))),"")</f>
        <v>0</v>
      </c>
      <c r="BU124" s="42" t="n">
        <f aca="false">IFERROR(IF($C124="","",IF($D124="","",IFERROR(ROUND($D124*INDEX('🔖 배합비 참조'!$B$2:$CE$83,MATCH("찹쌀(국내산)",'🔖 배합비 참조'!$A$2:$A$83,0),MATCH($C124,'🔖 배합비 참조'!$B$1:$CE$1,0))/100,0),""))),"")</f>
        <v>67</v>
      </c>
      <c r="BV124" s="42" t="n">
        <f aca="false">IFERROR(IF($C124="","",IF($D124="","",IFERROR(ROUND($D124*INDEX('🔖 배합비 참조'!$B$2:$CE$83,MATCH("천일염",'🔖 배합비 참조'!$A$2:$A$83,0),MATCH($C124,'🔖 배합비 참조'!$B$1:$CE$1,0))/100,0),""))),"")</f>
        <v>1</v>
      </c>
      <c r="BW124" s="42" t="n">
        <f aca="false">IFERROR(IF($C124="","",IF($D124="","",IFERROR(ROUND($D124*INDEX('🔖 배합비 참조'!$B$2:$CE$83,MATCH("치즈 [크림치즈]",'🔖 배합비 참조'!$A$2:$A$83,0),MATCH($C124,'🔖 배합비 참조'!$B$1:$CE$1,0))/100,0),""))),"")</f>
        <v>0</v>
      </c>
      <c r="BX124" s="42" t="n">
        <f aca="false">IFERROR(IF($C124="","",IF($D124="","",IFERROR(ROUND($D124*INDEX('🔖 배합비 참조'!$B$2:$CE$83,MATCH("코코아가공품류(코코아분말)",'🔖 배합비 참조'!$A$2:$A$83,0),MATCH($C124,'🔖 배합비 참조'!$B$1:$CE$1,0))/100,0),""))),"")</f>
        <v>0</v>
      </c>
      <c r="BY124" s="42" t="n">
        <f aca="false">IFERROR(IF($C124="","",IF($D124="","",IFERROR(ROUND($D124*INDEX('🔖 배합비 참조'!$B$2:$CE$83,MATCH("콩기름(대두유)",'🔖 배합비 참조'!$A$2:$A$83,0),MATCH($C124,'🔖 배합비 참조'!$B$1:$CE$1,0))/100,0),""))),"")</f>
        <v>0</v>
      </c>
      <c r="BZ124" s="42" t="n">
        <f aca="false">IFERROR(IF($C124="","",IF($D124="","",IFERROR(ROUND($D124*INDEX('🔖 배합비 참조'!$B$2:$CE$83,MATCH("해바라기씨앗",'🔖 배합비 참조'!$A$2:$A$83,0),MATCH($C124,'🔖 배합비 참조'!$B$1:$CE$1,0))/100,0),""))),"")</f>
        <v>0</v>
      </c>
      <c r="CA124" s="42" t="n">
        <f aca="false">IFERROR(IF($C124="","",IF($D124="","",IFERROR(ROUND($D124*INDEX('🔖 배합비 참조'!$B$2:$CE$83,MATCH("현미(국내산)",'🔖 배합비 참조'!$A$2:$A$83,0),MATCH($C124,'🔖 배합비 참조'!$B$1:$CE$1,0))/100,0),""))),"")</f>
        <v>0</v>
      </c>
      <c r="CB124" s="42" t="n">
        <f aca="false">IFERROR(IF($C124="","",IF($D124="","",IFERROR(ROUND($D124*INDEX('🔖 배합비 참조'!$B$2:$CE$83,MATCH("현미멥쌀(국내산)",'🔖 배합비 참조'!$A$2:$A$83,0),MATCH($C124,'🔖 배합비 참조'!$B$1:$CE$1,0))/100,0),""))),"")</f>
        <v>0</v>
      </c>
      <c r="CC124" s="42" t="n">
        <f aca="false">IFERROR(IF($C124="","",IF($D124="","",IFERROR(ROUND($D124*INDEX('🔖 배합비 참조'!$B$2:$CE$83,MATCH("호두분태(미국산)",'🔖 배합비 참조'!$A$2:$A$83,0),MATCH($C124,'🔖 배합비 참조'!$B$1:$CE$1,0))/100,0),""))),"")</f>
        <v>0</v>
      </c>
      <c r="CD124" s="42" t="n">
        <f aca="false">IFERROR(IF($C124="","",IF($D124="","",IFERROR(ROUND($D124*INDEX('🔖 배합비 참조'!$B$2:$CE$83,MATCH("호박씨앗(외국산)",'🔖 배합비 참조'!$A$2:$A$83,0),MATCH($C124,'🔖 배합비 참조'!$B$1:$CE$1,0))/100,0),""))),"")</f>
        <v>0</v>
      </c>
      <c r="CE124" s="42" t="n">
        <f aca="false">IFERROR(IF($C124="","",IF($D124="","",IFERROR(ROUND($D124*INDEX('🔖 배합비 참조'!$B$2:$CE$83,MATCH("혼합제제(떡용에스텔)",'🔖 배합비 참조'!$A$2:$A$83,0),MATCH($C124,'🔖 배합비 참조'!$B$1:$CE$1,0))/100,0),""))),"")</f>
        <v>1</v>
      </c>
      <c r="CF124" s="42" t="n">
        <f aca="false">IFERROR(IF($C124="","",IF($D124="","",IFERROR(ROUND($D124*INDEX('🔖 배합비 참조'!$B$2:$CE$83,MATCH("혼합제제(스테비아)",'🔖 배합비 참조'!$A$2:$A$83,0),MATCH($C124,'🔖 배합비 참조'!$B$1:$CE$1,0))/100,0),""))),"")</f>
        <v>0</v>
      </c>
      <c r="CG124" s="42" t="n">
        <f aca="false">IFERROR(IF($C124="","",IF($D124="","",IFERROR(ROUND($D124*INDEX('🔖 배합비 참조'!$B$2:$CE$83,MATCH("화이트초콜릿",'🔖 배합비 참조'!$A$2:$A$83,0),MATCH($C124,'🔖 배합비 참조'!$B$1:$CE$1,0))/100,0),""))),"")</f>
        <v>0</v>
      </c>
      <c r="CH124" s="42" t="n">
        <f aca="false">IFERROR(IF($C124="","",IF($D124="","",IFERROR(ROUND($D124*INDEX('🔖 배합비 참조'!$B$2:$CE$83,MATCH("흑미찹쌀(국내산)",'🔖 배합비 참조'!$A$2:$A$83,0),MATCH($C124,'🔖 배합비 참조'!$B$1:$CE$1,0))/100,0),""))),"")</f>
        <v>0</v>
      </c>
      <c r="CI124" s="42" t="n">
        <f aca="false">IFERROR(IF($C124="","",IF($D124="","",IFERROR(ROUND($D124*INDEX('🔖 배합비 참조'!$B$2:$CE$83,MATCH("찰옥수수전분(미국산)",'🔖 배합비 참조'!$A$2:$A$83,0),MATCH($C124,'🔖 배합비 참조'!$B$1:$CE$1,0))/100,0),""))),"")</f>
        <v>0</v>
      </c>
      <c r="CJ124" s="40"/>
      <c r="CL124" s="1" t="s">
        <v>239</v>
      </c>
    </row>
    <row r="125" customFormat="false" ht="18" hidden="false" customHeight="true" outlineLevel="0" collapsed="false">
      <c r="A125" s="35" t="n">
        <v>121</v>
      </c>
      <c r="B125" s="36" t="n">
        <v>46007</v>
      </c>
      <c r="C125" s="37" t="s">
        <v>142</v>
      </c>
      <c r="D125" s="38" t="n">
        <v>18</v>
      </c>
      <c r="E125" s="13"/>
      <c r="F125" s="13"/>
      <c r="G125" s="39" t="n">
        <f aca="false">IFERROR(IF($C125="","",IF($D125="","",IFERROR(ROUND($D125*INDEX('🔖 배합비 참조'!$B$2:$CE$83,MATCH("간장",'🔖 배합비 참조'!$A$2:$A$83,0),MATCH($C125,'🔖 배합비 참조'!$B$1:$CE$1,0))/100,0),""))),"")</f>
        <v>0</v>
      </c>
      <c r="H125" s="39" t="n">
        <f aca="false">IFERROR(IF($C125="","",IF($D125="","",IFERROR(ROUND($D125*INDEX('🔖 배합비 참조'!$B$2:$CE$83,MATCH("강낭콩((울타리콩))",'🔖 배합비 참조'!$A$2:$A$83,0),MATCH($C125,'🔖 배합비 참조'!$B$1:$CE$1,0))/100,0),""))),"")</f>
        <v>1</v>
      </c>
      <c r="I125" s="39" t="n">
        <f aca="false">IFERROR(IF($C125="","",IF($D125="","",IFERROR(ROUND($D125*INDEX('🔖 배합비 참조'!$B$2:$CE$83,MATCH("건조딸기다이스(외국산)",'🔖 배합비 참조'!$A$2:$A$83,0),MATCH($C125,'🔖 배합비 참조'!$B$1:$CE$1,0))/100,0),""))),"")</f>
        <v>0</v>
      </c>
      <c r="J125" s="39" t="n">
        <f aca="false">IFERROR(IF($C125="","",IF($D125="","",IFERROR(ROUND($D125*INDEX('🔖 배합비 참조'!$B$2:$CE$83,MATCH("건포도",'🔖 배합비 참조'!$A$2:$A$83,0),MATCH($C125,'🔖 배합비 참조'!$B$1:$CE$1,0))/100,0),""))),"")</f>
        <v>0</v>
      </c>
      <c r="K125" s="39" t="n">
        <f aca="false">IFERROR(IF($C125="","",IF($D125="","",IFERROR(ROUND($D125*INDEX('🔖 배합비 참조'!$B$2:$CE$83,MATCH("건호박채(중국산)",'🔖 배합비 참조'!$A$2:$A$83,0),MATCH($C125,'🔖 배합비 참조'!$B$1:$CE$1,0))/100,0),""))),"")</f>
        <v>0</v>
      </c>
      <c r="L125" s="39" t="n">
        <f aca="false">IFERROR(IF($C125="","",IF($D125="","",IFERROR(ROUND($D125*INDEX('🔖 배합비 참조'!$B$2:$CE$83,MATCH("검정깨(흑임자)",'🔖 배합비 참조'!$A$2:$A$83,0),MATCH($C125,'🔖 배합비 참조'!$B$1:$CE$1,0))/100,0),""))),"")</f>
        <v>0</v>
      </c>
      <c r="M125" s="39" t="n">
        <f aca="false">IFERROR(IF($C125="","",IF($D125="","",IFERROR(ROUND($D125*INDEX('🔖 배합비 참조'!$B$2:$CE$83,MATCH("검정콩",'🔖 배합비 참조'!$A$2:$A$83,0),MATCH($C125,'🔖 배합비 참조'!$B$1:$CE$1,0))/100,0),""))),"")</f>
        <v>1</v>
      </c>
      <c r="N125" s="39" t="n">
        <f aca="false">IFERROR(IF($C125="","",IF($D125="","",IFERROR(ROUND($D125*INDEX('🔖 배합비 참조'!$B$2:$CE$83,MATCH("계피가루",'🔖 배합비 참조'!$A$2:$A$83,0),MATCH($C125,'🔖 배합비 참조'!$B$1:$CE$1,0))/100,0),""))),"")</f>
        <v>0</v>
      </c>
      <c r="O125" s="39" t="n">
        <f aca="false">IFERROR(IF($C125="","",IF($D125="","",IFERROR(ROUND($D125*INDEX('🔖 배합비 참조'!$B$2:$CE$83,MATCH("고구마가루",'🔖 배합비 참조'!$A$2:$A$83,0),MATCH($C125,'🔖 배합비 참조'!$B$1:$CE$1,0))/100,0),""))),"")</f>
        <v>0</v>
      </c>
      <c r="P125" s="39" t="n">
        <f aca="false">IFERROR(IF($C125="","",IF($D125="","",IFERROR(ROUND($D125*INDEX('🔖 배합비 참조'!$B$2:$CE$83,MATCH("고구마무스",'🔖 배합비 참조'!$A$2:$A$83,0),MATCH($C125,'🔖 배합비 참조'!$B$1:$CE$1,0))/100,0),""))),"")</f>
        <v>0</v>
      </c>
      <c r="Q125" s="39" t="n">
        <f aca="false">IFERROR(IF($C125="","",IF($D125="","",IFERROR(ROUND($D125*INDEX('🔖 배합비 참조'!$B$2:$CE$83,MATCH("고려엉겅퀴((곤드레)국내산)",'🔖 배합비 참조'!$A$2:$A$83,0),MATCH($C125,'🔖 배합비 참조'!$B$1:$CE$1,0))/100,0),""))),"")</f>
        <v>1</v>
      </c>
      <c r="R125" s="39" t="n">
        <f aca="false">IFERROR(IF($C125="","",IF($D125="","",IFERROR(ROUND($D125*INDEX('🔖 배합비 참조'!$B$2:$CE$83,MATCH("기타가공품(복분자가루)",'🔖 배합비 참조'!$A$2:$A$83,0),MATCH($C125,'🔖 배합비 참조'!$B$1:$CE$1,0))/100,0),""))),"")</f>
        <v>0</v>
      </c>
      <c r="S125" s="39" t="n">
        <f aca="false">IFERROR(IF($C125="","",IF($D125="","",IFERROR(ROUND($D125*INDEX('🔖 배합비 참조'!$B$2:$CE$83,MATCH("기타가공품(슈퍼소프트엠)",'🔖 배합비 참조'!$A$2:$A$83,0),MATCH($C125,'🔖 배합비 참조'!$B$1:$CE$1,0))/100,0),""))),"")</f>
        <v>0</v>
      </c>
      <c r="T125" s="39" t="n">
        <f aca="false">IFERROR(IF($C125="","",IF($D125="","",IFERROR(ROUND($D125*INDEX('🔖 배합비 참조'!$B$2:$CE$83,MATCH("기타가공품(파인소프트 E-티)",'🔖 배합비 참조'!$A$2:$A$83,0),MATCH($C125,'🔖 배합비 참조'!$B$1:$CE$1,0))/100,0),""))),"")</f>
        <v>0</v>
      </c>
      <c r="U125" s="39" t="n">
        <f aca="false">IFERROR(IF($C125="","",IF($D125="","",IFERROR(ROUND($D125*INDEX('🔖 배합비 참조'!$B$2:$CE$83,MATCH("기타가공품(프리미엄카스테라가루)",'🔖 배합비 참조'!$A$2:$A$83,0),MATCH($C125,'🔖 배합비 참조'!$B$1:$CE$1,0))/100,0),""))),"")</f>
        <v>0</v>
      </c>
      <c r="V125" s="39" t="n">
        <f aca="false">IFERROR(IF($C125="","",IF($D125="","",IFERROR(ROUND($D125*INDEX('🔖 배합비 참조'!$B$2:$CE$83,MATCH("기타가공품(흑임자가루)",'🔖 배합비 참조'!$A$2:$A$83,0),MATCH($C125,'🔖 배합비 참조'!$B$1:$CE$1,0))/100,0),""))),"")</f>
        <v>0</v>
      </c>
      <c r="W125" s="39" t="n">
        <f aca="false">IFERROR(IF($C125="","",IF($D125="","",IFERROR(ROUND($D125*INDEX('🔖 배합비 참조'!$B$2:$CE$83,MATCH("기타설탕(흑설탕)",'🔖 배합비 참조'!$A$2:$A$83,0),MATCH($C125,'🔖 배합비 참조'!$B$1:$CE$1,0))/100,0),""))),"")</f>
        <v>0</v>
      </c>
      <c r="X125" s="39" t="n">
        <f aca="false">IFERROR(IF($C125="","",IF($D125="","",IFERROR(ROUND($D125*INDEX('🔖 배합비 참조'!$B$2:$CE$83,MATCH("냉동쑥(국내산)",'🔖 배합비 참조'!$A$2:$A$83,0),MATCH($C125,'🔖 배합비 참조'!$B$1:$CE$1,0))/100,0),""))),"")</f>
        <v>0</v>
      </c>
      <c r="Y125" s="39" t="n">
        <f aca="false">IFERROR(IF($C125="","",IF($D125="","",IFERROR(ROUND($D125*INDEX('🔖 배합비 참조'!$B$2:$CE$83,MATCH("냉동증숙고구마(중국산)",'🔖 배합비 참조'!$A$2:$A$83,0),MATCH($C125,'🔖 배합비 참조'!$B$1:$CE$1,0))/100,0),""))),"")</f>
        <v>0</v>
      </c>
      <c r="Z125" s="39" t="n">
        <f aca="false">IFERROR(IF($C125="","",IF($D125="","",IFERROR(ROUND($D125*INDEX('🔖 배합비 참조'!$B$2:$CE$83,MATCH("녹차가루",'🔖 배합비 참조'!$A$2:$A$83,0),MATCH($C125,'🔖 배합비 참조'!$B$1:$CE$1,0))/100,0),""))),"")</f>
        <v>0</v>
      </c>
      <c r="AA125" s="39" t="n">
        <f aca="false">IFERROR(IF($C125="","",IF($D125="","",IFERROR(ROUND($D125*INDEX('🔖 배합비 참조'!$B$2:$CE$83,MATCH("다크초콜릿 컴파운드칩",'🔖 배합비 참조'!$A$2:$A$83,0),MATCH($C125,'🔖 배합비 참조'!$B$1:$CE$1,0))/100,0),""))),"")</f>
        <v>0</v>
      </c>
      <c r="AB125" s="39" t="n">
        <f aca="false">IFERROR(IF($C125="","",IF($D125="","",IFERROR(ROUND($D125*INDEX('🔖 배합비 참조'!$B$2:$CE$83,MATCH("단호박분말(중국산)",'🔖 배합비 참조'!$A$2:$A$83,0),MATCH($C125,'🔖 배합비 참조'!$B$1:$CE$1,0))/100,0),""))),"")</f>
        <v>0</v>
      </c>
      <c r="AC125" s="39" t="n">
        <f aca="false">IFERROR(IF($C125="","",IF($D125="","",IFERROR(ROUND($D125*INDEX('🔖 배합비 참조'!$B$2:$CE$83,MATCH("당류가공품(단호박농축액)",'🔖 배합비 참조'!$A$2:$A$83,0),MATCH($C125,'🔖 배합비 참조'!$B$1:$CE$1,0))/100,0),""))),"")</f>
        <v>0</v>
      </c>
      <c r="AD125" s="39" t="n">
        <f aca="false">IFERROR(IF($C125="","",IF($D125="","",IFERROR(ROUND($D125*INDEX('🔖 배합비 참조'!$B$2:$CE$83,MATCH("당류가공품(알룰로스,에리스리톨,스테비올배당체혼합)",'🔖 배합비 참조'!$A$2:$A$83,0),MATCH($C125,'🔖 배합비 참조'!$B$1:$CE$1,0))/100,0),""))),"")</f>
        <v>0</v>
      </c>
      <c r="AE125" s="39" t="n">
        <f aca="false">IFERROR(IF($C125="","",IF($D125="","",IFERROR(ROUND($D125*INDEX('🔖 배합비 참조'!$B$2:$CE$83,MATCH("당류가공품(알룰로스제로파우더)",'🔖 배합비 참조'!$A$2:$A$83,0),MATCH($C125,'🔖 배합비 참조'!$B$1:$CE$1,0))/100,0),""))),"")</f>
        <v>0</v>
      </c>
      <c r="AF125" s="39" t="n">
        <f aca="false">IFERROR(IF($C125="","",IF($D125="","",IFERROR(ROUND($D125*INDEX('🔖 배합비 참조'!$B$2:$CE$83,MATCH("당절임(완두배기)",'🔖 배합비 참조'!$A$2:$A$83,0),MATCH($C125,'🔖 배합비 참조'!$B$1:$CE$1,0))/100,0),""))),"")</f>
        <v>0</v>
      </c>
      <c r="AG125" s="39" t="n">
        <f aca="false">IFERROR(IF($C125="","",IF($D125="","",IFERROR(ROUND($D125*INDEX('🔖 배합비 참조'!$B$2:$CE$83,MATCH("대추농축액",'🔖 배합비 참조'!$A$2:$A$83,0),MATCH($C125,'🔖 배합비 참조'!$B$1:$CE$1,0))/100,0),""))),"")</f>
        <v>0</v>
      </c>
      <c r="AH125" s="39" t="n">
        <f aca="false">IFERROR(IF($C125="","",IF($D125="","",IFERROR(ROUND($D125*INDEX('🔖 배합비 참조'!$B$2:$CE$83,MATCH("대추채(국내산)",'🔖 배합비 참조'!$A$2:$A$83,0),MATCH($C125,'🔖 배합비 참조'!$B$1:$CE$1,0))/100,0),""))),"")</f>
        <v>0</v>
      </c>
      <c r="AI125" s="39" t="n">
        <f aca="false">IFERROR(IF($C125="","",IF($D125="","",IFERROR(ROUND($D125*INDEX('🔖 배합비 참조'!$B$2:$CE$83,MATCH("동부(미얀마산)",'🔖 배합비 참조'!$A$2:$A$83,0),MATCH($C125,'🔖 배합비 참조'!$B$1:$CE$1,0))/100,0),""))),"")</f>
        <v>0</v>
      </c>
      <c r="AJ125" s="39" t="n">
        <f aca="false">IFERROR(IF($C125="","",IF($D125="","",IFERROR(ROUND($D125*INDEX('🔖 배합비 참조'!$B$2:$CE$83,MATCH("두류가공품(백옥앙금)",'🔖 배합비 참조'!$A$2:$A$83,0),MATCH($C125,'🔖 배합비 참조'!$B$1:$CE$1,0))/100,0),""))),"")</f>
        <v>0</v>
      </c>
      <c r="AK125" s="39" t="n">
        <f aca="false">IFERROR(IF($C125="","",IF($D125="","",IFERROR(ROUND($D125*INDEX('🔖 배합비 참조'!$B$2:$CE$83,MATCH("두류가공품(콩고물)",'🔖 배합비 참조'!$A$2:$A$83,0),MATCH($C125,'🔖 배합비 참조'!$B$1:$CE$1,0))/100,0),""))),"")</f>
        <v>0</v>
      </c>
      <c r="AL125" s="39" t="n">
        <f aca="false">IFERROR(IF($C125="","",IF($D125="","",IFERROR(ROUND($D125*INDEX('🔖 배합비 참조'!$B$2:$CE$83,MATCH("두류가공품(통팥고물)",'🔖 배합비 참조'!$A$2:$A$83,0),MATCH($C125,'🔖 배합비 참조'!$B$1:$CE$1,0))/100,0),""))),"")</f>
        <v>0</v>
      </c>
      <c r="AM125" s="39" t="n">
        <f aca="false">IFERROR(IF($C125="","",IF($D125="","",IFERROR(ROUND($D125*INDEX('🔖 배합비 참조'!$B$2:$CE$83,MATCH("딸기레진",'🔖 배합비 참조'!$A$2:$A$83,0),MATCH($C125,'🔖 배합비 참조'!$B$1:$CE$1,0))/100,0),""))),"")</f>
        <v>0</v>
      </c>
      <c r="AN125" s="39" t="n">
        <f aca="false">IFERROR(IF($C125="","",IF($D125="","",IFERROR(ROUND($D125*INDEX('🔖 배합비 참조'!$B$2:$CE$83,MATCH("딸기분말(스트로우베리에이드(분말))",'🔖 배합비 참조'!$A$2:$A$83,0),MATCH($C125,'🔖 배합비 참조'!$B$1:$CE$1,0))/100,0),""))),"")</f>
        <v>0</v>
      </c>
      <c r="AO125" s="39" t="n">
        <f aca="false">IFERROR(IF($C125="","",IF($D125="","",IFERROR(ROUND($D125*INDEX('🔖 배합비 참조'!$B$2:$CE$83,MATCH("마스카포네치즈",'🔖 배합비 참조'!$A$2:$A$83,0),MATCH($C125,'🔖 배합비 참조'!$B$1:$CE$1,0))/100,0),""))),"")</f>
        <v>0</v>
      </c>
      <c r="AP125" s="39" t="n">
        <f aca="false">IFERROR(IF($C125="","",IF($D125="","",IFERROR(ROUND($D125*INDEX('🔖 배합비 참조'!$B$2:$CE$83,MATCH("마카다미아분태(호주산)",'🔖 배합비 참조'!$A$2:$A$83,0),MATCH($C125,'🔖 배합비 참조'!$B$1:$CE$1,0))/100,0),""))),"")</f>
        <v>0</v>
      </c>
      <c r="AQ125" s="39" t="n">
        <f aca="false">IFERROR(IF($C125="","",IF($D125="","",IFERROR(ROUND($D125*INDEX('🔖 배합비 참조'!$B$2:$CE$83,MATCH("멥쌀(국내산)",'🔖 배합비 참조'!$A$2:$A$83,0),MATCH($C125,'🔖 배합비 참조'!$B$1:$CE$1,0))/100,0),""))),"")</f>
        <v>0</v>
      </c>
      <c r="AR125" s="39" t="n">
        <f aca="false">IFERROR(IF($C125="","",IF($D125="","",IFERROR(ROUND($D125*INDEX('🔖 배합비 참조'!$B$2:$CE$83,MATCH("모시잎(국내산)",'🔖 배합비 참조'!$A$2:$A$83,0),MATCH($C125,'🔖 배합비 참조'!$B$1:$CE$1,0))/100,0),""))),"")</f>
        <v>0</v>
      </c>
      <c r="AS125" s="39" t="n">
        <f aca="false">IFERROR(IF($C125="","",IF($D125="","",IFERROR(ROUND($D125*INDEX('🔖 배합비 참조'!$B$2:$CE$83,MATCH("물엿(저당물엿)",'🔖 배합비 참조'!$A$2:$A$83,0),MATCH($C125,'🔖 배합비 참조'!$B$1:$CE$1,0))/100,0),""))),"")</f>
        <v>0</v>
      </c>
      <c r="AT125" s="39" t="n">
        <f aca="false">IFERROR(IF($C125="","",IF($D125="","",IFERROR(ROUND($D125*INDEX('🔖 배합비 참조'!$B$2:$CE$83,MATCH("밤다이스",'🔖 배합비 참조'!$A$2:$A$83,0),MATCH($C125,'🔖 배합비 참조'!$B$1:$CE$1,0))/100,0),""))),"")</f>
        <v>1</v>
      </c>
      <c r="AU125" s="39" t="n">
        <f aca="false">IFERROR(IF($C125="","",IF($D125="","",IFERROR(ROUND($D125*INDEX('🔖 배합비 참조'!$B$2:$CE$83,MATCH("변성전분(타피오카전분)",'🔖 배합비 참조'!$A$2:$A$83,0),MATCH($C125,'🔖 배합비 참조'!$B$1:$CE$1,0))/100,0),""))),"")</f>
        <v>0</v>
      </c>
      <c r="AV125" s="39" t="n">
        <f aca="false">IFERROR(IF($C125="","",IF($D125="","",IFERROR(ROUND($D125*INDEX('🔖 배합비 참조'!$B$2:$CE$83,MATCH("복음땅콩분태",'🔖 배합비 참조'!$A$2:$A$83,0),MATCH($C125,'🔖 배합비 참조'!$B$1:$CE$1,0))/100,0),""))),"")</f>
        <v>0</v>
      </c>
      <c r="AW125" s="39" t="n">
        <f aca="false">IFERROR(IF($C125="","",IF($D125="","",IFERROR(ROUND($D125*INDEX('🔖 배합비 참조'!$B$2:$CE$83,MATCH("사양벌꿀(국내산)",'🔖 배합비 참조'!$A$2:$A$83,0),MATCH($C125,'🔖 배합비 참조'!$B$1:$CE$1,0))/100,0),""))),"")</f>
        <v>0</v>
      </c>
      <c r="AX125" s="39" t="n">
        <f aca="false">IFERROR(IF($C125="","",IF($D125="","",IFERROR(ROUND($D125*INDEX('🔖 배합비 참조'!$B$2:$CE$83,MATCH("생크림",'🔖 배합비 참조'!$A$2:$A$83,0),MATCH($C125,'🔖 배합비 참조'!$B$1:$CE$1,0))/100,0),""))),"")</f>
        <v>0</v>
      </c>
      <c r="AY125" s="39" t="n">
        <f aca="false">IFERROR(IF($C125="","",IF($D125="","",IFERROR(ROUND($D125*INDEX('🔖 배합비 참조'!$B$2:$CE$83,MATCH("서양호박(국내산,뉴질랜드산)",'🔖 배합비 참조'!$A$2:$A$83,0),MATCH($C125,'🔖 배합비 참조'!$B$1:$CE$1,0))/100,0),""))),"")</f>
        <v>0</v>
      </c>
      <c r="AZ125" s="39" t="n">
        <f aca="false">IFERROR(IF($C125="","",IF($D125="","",IFERROR(ROUND($D125*INDEX('🔖 배합비 참조'!$B$2:$CE$83,MATCH("설탕",'🔖 배합비 참조'!$A$2:$A$83,0),MATCH($C125,'🔖 배합비 참조'!$B$1:$CE$1,0))/100,0),""))),"")</f>
        <v>1</v>
      </c>
      <c r="BA125" s="39" t="n">
        <f aca="false">IFERROR(IF($C125="","",IF($D125="","",IFERROR(ROUND($D125*INDEX('🔖 배합비 참조'!$B$2:$CE$83,MATCH("스트로우베리 에이드 후레쉬",'🔖 배합비 참조'!$A$2:$A$83,0),MATCH($C125,'🔖 배합비 참조'!$B$1:$CE$1,0))/100,0),""))),"")</f>
        <v>0</v>
      </c>
      <c r="BB125" s="39" t="n">
        <f aca="false">IFERROR(IF($C125="","",IF($D125="","",IFERROR(ROUND($D125*INDEX('🔖 배합비 참조'!$B$2:$CE$83,MATCH("식물성기름혼합제제(분홍)",'🔖 배합비 참조'!$A$2:$A$83,0),MATCH($C125,'🔖 배합비 참조'!$B$1:$CE$1,0))/100,0),""))),"")</f>
        <v>0</v>
      </c>
      <c r="BC125" s="39" t="n">
        <f aca="false">IFERROR(IF($C125="","",IF($D125="","",IFERROR(ROUND($D125*INDEX('🔖 배합비 참조'!$B$2:$CE$83,MATCH("식물성기름혼합제제(초록)",'🔖 배합비 참조'!$A$2:$A$83,0),MATCH($C125,'🔖 배합비 참조'!$B$1:$CE$1,0))/100,0),""))),"")</f>
        <v>0</v>
      </c>
      <c r="BD125" s="39" t="n">
        <f aca="false">IFERROR(IF($C125="","",IF($D125="","",IFERROR(ROUND($D125*INDEX('🔖 배합비 참조'!$B$2:$CE$83,MATCH("식물성기름혼합제제(황색)",'🔖 배합비 참조'!$A$2:$A$83,0),MATCH($C125,'🔖 배합비 참조'!$B$1:$CE$1,0))/100,0),""))),"")</f>
        <v>0</v>
      </c>
      <c r="BE125" s="39" t="n">
        <f aca="false">IFERROR(IF($C125="","",IF($D125="","",IFERROR(ROUND($D125*INDEX('🔖 배합비 참조'!$B$2:$CE$83,MATCH("쑥가루(국내산)",'🔖 배합비 참조'!$A$2:$A$83,0),MATCH($C125,'🔖 배합비 참조'!$B$1:$CE$1,0))/100,0),""))),"")</f>
        <v>0</v>
      </c>
      <c r="BF125" s="39" t="n">
        <f aca="false">IFERROR(IF($C125="","",IF($D125="","",IFERROR(ROUND($D125*INDEX('🔖 배합비 참조'!$B$2:$CE$83,MATCH("아몬드슬라이스",'🔖 배합비 참조'!$A$2:$A$83,0),MATCH($C125,'🔖 배합비 참조'!$B$1:$CE$1,0))/100,0),""))),"")</f>
        <v>0</v>
      </c>
      <c r="BG125" s="39" t="n">
        <f aca="false">IFERROR(IF($C125="","",IF($D125="","",IFERROR(ROUND($D125*INDEX('🔖 배합비 참조'!$B$2:$CE$83,MATCH("알룰로오스(국내산)",'🔖 배합비 참조'!$A$2:$A$83,0),MATCH($C125,'🔖 배합비 참조'!$B$1:$CE$1,0))/100,0),""))),"")</f>
        <v>0</v>
      </c>
      <c r="BH125" s="39" t="n">
        <f aca="false">IFERROR(IF($C125="","",IF($D125="","",IFERROR(ROUND($D125*INDEX('🔖 배합비 참조'!$B$2:$CE$83,MATCH("연유",'🔖 배합비 참조'!$A$2:$A$83,0),MATCH($C125,'🔖 배합비 참조'!$B$1:$CE$1,0))/100,0),""))),"")</f>
        <v>0</v>
      </c>
      <c r="BI125" s="39" t="n">
        <f aca="false">IFERROR(IF($C125="","",IF($D125="","",IFERROR(ROUND($D125*INDEX('🔖 배합비 참조'!$B$2:$CE$83,MATCH("옥수수전분",'🔖 배합비 참조'!$A$2:$A$83,0),MATCH($C125,'🔖 배합비 참조'!$B$1:$CE$1,0))/100,0),""))),"")</f>
        <v>0</v>
      </c>
      <c r="BJ125" s="39" t="n">
        <f aca="false">IFERROR(IF($C125="","",IF($D125="","",IFERROR(ROUND($D125*INDEX('🔖 배합비 참조'!$B$2:$CE$83,MATCH("완두배기",'🔖 배합비 참조'!$A$2:$A$83,0),MATCH($C125,'🔖 배합비 참조'!$B$1:$CE$1,0))/100,0),""))),"")</f>
        <v>0</v>
      </c>
      <c r="BK125" s="39" t="n">
        <f aca="false">IFERROR(IF($C125="","",IF($D125="","",IFERROR(ROUND($D125*INDEX('🔖 배합비 참조'!$B$2:$CE$83,MATCH("우유(국내산)",'🔖 배합비 참조'!$A$2:$A$83,0),MATCH($C125,'🔖 배합비 참조'!$B$1:$CE$1,0))/100,0),""))),"")</f>
        <v>0</v>
      </c>
      <c r="BL125" s="39" t="n">
        <f aca="false">IFERROR(IF($C125="","",IF($D125="","",IFERROR(ROUND($D125*INDEX('🔖 배합비 참조'!$B$2:$CE$83,MATCH("자색고구마가루(중국산)",'🔖 배합비 참조'!$A$2:$A$83,0),MATCH($C125,'🔖 배합비 참조'!$B$1:$CE$1,0))/100,0),""))),"")</f>
        <v>0</v>
      </c>
      <c r="BM125" s="39" t="n">
        <f aca="false">IFERROR(IF($C125="","",IF($D125="","",IFERROR(ROUND($D125*INDEX('🔖 배합비 참조'!$B$2:$CE$83,MATCH("자연치즈(체다치즈)",'🔖 배합비 참조'!$A$2:$A$83,0),MATCH($C125,'🔖 배합비 참조'!$B$1:$CE$1,0))/100,0),""))),"")</f>
        <v>0</v>
      </c>
      <c r="BN125" s="39" t="n">
        <f aca="false">IFERROR(IF($C125="","",IF($D125="","",IFERROR(ROUND($D125*INDEX('🔖 배합비 참조'!$B$2:$CE$83,MATCH("정제수",'🔖 배합비 참조'!$A$2:$A$83,0),MATCH($C125,'🔖 배합비 참조'!$B$1:$CE$1,0))/100,0),""))),"")</f>
        <v>3</v>
      </c>
      <c r="BO125" s="39" t="n">
        <f aca="false">IFERROR(IF($C125="","",IF($D125="","",IFERROR(ROUND($D125*INDEX('🔖 배합비 참조'!$B$2:$CE$83,MATCH("젤라틴",'🔖 배합비 참조'!$A$2:$A$83,0),MATCH($C125,'🔖 배합비 참조'!$B$1:$CE$1,0))/100,0),""))),"")</f>
        <v>0</v>
      </c>
      <c r="BP125" s="39" t="n">
        <f aca="false">IFERROR(IF($C125="","",IF($D125="","",IFERROR(ROUND($D125*INDEX('🔖 배합비 참조'!$B$2:$CE$83,MATCH("조림류(백옥앙금)",'🔖 배합비 참조'!$A$2:$A$83,0),MATCH($C125,'🔖 배합비 참조'!$B$1:$CE$1,0))/100,0),""))),"")</f>
        <v>0</v>
      </c>
      <c r="BQ125" s="39" t="n">
        <f aca="false">IFERROR(IF($C125="","",IF($D125="","",IFERROR(ROUND($D125*INDEX('🔖 배합비 참조'!$B$2:$CE$83,MATCH("조림류(통팥앙금)",'🔖 배합비 참조'!$A$2:$A$83,0),MATCH($C125,'🔖 배합비 참조'!$B$1:$CE$1,0))/100,0),""))),"")</f>
        <v>0</v>
      </c>
      <c r="BR125" s="39" t="n">
        <f aca="false">IFERROR(IF($C125="","",IF($D125="","",IFERROR(ROUND($D125*INDEX('🔖 배합비 참조'!$B$2:$CE$83,MATCH("준초콜릿(외국산)",'🔖 배합비 참조'!$A$2:$A$83,0),MATCH($C125,'🔖 배합비 참조'!$B$1:$CE$1,0))/100,0),""))),"")</f>
        <v>0</v>
      </c>
      <c r="BS125" s="39" t="n">
        <f aca="false">IFERROR(IF($C125="","",IF($D125="","",IFERROR(ROUND($D125*INDEX('🔖 배합비 참조'!$B$2:$CE$83,MATCH("중력분",'🔖 배합비 참조'!$A$2:$A$83,0),MATCH($C125,'🔖 배합비 참조'!$B$1:$CE$1,0))/100,0),""))),"")</f>
        <v>0</v>
      </c>
      <c r="BT125" s="39" t="n">
        <f aca="false">IFERROR(IF($C125="","",IF($D125="","",IFERROR(ROUND($D125*INDEX('🔖 배합비 참조'!$B$2:$CE$83,MATCH("참깨(인도산,나이지리아산,탄자니아산,미얀마산)",'🔖 배합비 참조'!$A$2:$A$83,0),MATCH($C125,'🔖 배합비 참조'!$B$1:$CE$1,0))/100,0),""))),"")</f>
        <v>0</v>
      </c>
      <c r="BU125" s="39" t="n">
        <f aca="false">IFERROR(IF($C125="","",IF($D125="","",IFERROR(ROUND($D125*INDEX('🔖 배합비 참조'!$B$2:$CE$83,MATCH("찹쌀(국내산)",'🔖 배합비 참조'!$A$2:$A$83,0),MATCH($C125,'🔖 배합비 참조'!$B$1:$CE$1,0))/100,0),""))),"")</f>
        <v>11</v>
      </c>
      <c r="BV125" s="39" t="n">
        <f aca="false">IFERROR(IF($C125="","",IF($D125="","",IFERROR(ROUND($D125*INDEX('🔖 배합비 참조'!$B$2:$CE$83,MATCH("천일염",'🔖 배합비 참조'!$A$2:$A$83,0),MATCH($C125,'🔖 배합비 참조'!$B$1:$CE$1,0))/100,0),""))),"")</f>
        <v>0</v>
      </c>
      <c r="BW125" s="39" t="n">
        <f aca="false">IFERROR(IF($C125="","",IF($D125="","",IFERROR(ROUND($D125*INDEX('🔖 배합비 참조'!$B$2:$CE$83,MATCH("치즈 [크림치즈]",'🔖 배합비 참조'!$A$2:$A$83,0),MATCH($C125,'🔖 배합비 참조'!$B$1:$CE$1,0))/100,0),""))),"")</f>
        <v>0</v>
      </c>
      <c r="BX125" s="39" t="n">
        <f aca="false">IFERROR(IF($C125="","",IF($D125="","",IFERROR(ROUND($D125*INDEX('🔖 배합비 참조'!$B$2:$CE$83,MATCH("코코아가공품류(코코아분말)",'🔖 배합비 참조'!$A$2:$A$83,0),MATCH($C125,'🔖 배합비 참조'!$B$1:$CE$1,0))/100,0),""))),"")</f>
        <v>0</v>
      </c>
      <c r="BY125" s="39" t="n">
        <f aca="false">IFERROR(IF($C125="","",IF($D125="","",IFERROR(ROUND($D125*INDEX('🔖 배합비 참조'!$B$2:$CE$83,MATCH("콩기름(대두유)",'🔖 배합비 참조'!$A$2:$A$83,0),MATCH($C125,'🔖 배합비 참조'!$B$1:$CE$1,0))/100,0),""))),"")</f>
        <v>0</v>
      </c>
      <c r="BZ125" s="39" t="n">
        <f aca="false">IFERROR(IF($C125="","",IF($D125="","",IFERROR(ROUND($D125*INDEX('🔖 배합비 참조'!$B$2:$CE$83,MATCH("해바라기씨앗",'🔖 배합비 참조'!$A$2:$A$83,0),MATCH($C125,'🔖 배합비 참조'!$B$1:$CE$1,0))/100,0),""))),"")</f>
        <v>0</v>
      </c>
      <c r="CA125" s="39" t="n">
        <f aca="false">IFERROR(IF($C125="","",IF($D125="","",IFERROR(ROUND($D125*INDEX('🔖 배합비 참조'!$B$2:$CE$83,MATCH("현미(국내산)",'🔖 배합비 참조'!$A$2:$A$83,0),MATCH($C125,'🔖 배합비 참조'!$B$1:$CE$1,0))/100,0),""))),"")</f>
        <v>0</v>
      </c>
      <c r="CB125" s="39" t="n">
        <f aca="false">IFERROR(IF($C125="","",IF($D125="","",IFERROR(ROUND($D125*INDEX('🔖 배합비 참조'!$B$2:$CE$83,MATCH("현미멥쌀(국내산)",'🔖 배합비 참조'!$A$2:$A$83,0),MATCH($C125,'🔖 배합비 참조'!$B$1:$CE$1,0))/100,0),""))),"")</f>
        <v>0</v>
      </c>
      <c r="CC125" s="39" t="n">
        <f aca="false">IFERROR(IF($C125="","",IF($D125="","",IFERROR(ROUND($D125*INDEX('🔖 배합비 참조'!$B$2:$CE$83,MATCH("호두분태(미국산)",'🔖 배합비 참조'!$A$2:$A$83,0),MATCH($C125,'🔖 배합비 참조'!$B$1:$CE$1,0))/100,0),""))),"")</f>
        <v>0</v>
      </c>
      <c r="CD125" s="39" t="n">
        <f aca="false">IFERROR(IF($C125="","",IF($D125="","",IFERROR(ROUND($D125*INDEX('🔖 배합비 참조'!$B$2:$CE$83,MATCH("호박씨앗(외국산)",'🔖 배합비 참조'!$A$2:$A$83,0),MATCH($C125,'🔖 배합비 참조'!$B$1:$CE$1,0))/100,0),""))),"")</f>
        <v>0</v>
      </c>
      <c r="CE125" s="39" t="n">
        <f aca="false">IFERROR(IF($C125="","",IF($D125="","",IFERROR(ROUND($D125*INDEX('🔖 배합비 참조'!$B$2:$CE$83,MATCH("혼합제제(떡용에스텔)",'🔖 배합비 참조'!$A$2:$A$83,0),MATCH($C125,'🔖 배합비 참조'!$B$1:$CE$1,0))/100,0),""))),"")</f>
        <v>0</v>
      </c>
      <c r="CF125" s="39" t="n">
        <f aca="false">IFERROR(IF($C125="","",IF($D125="","",IFERROR(ROUND($D125*INDEX('🔖 배합비 참조'!$B$2:$CE$83,MATCH("혼합제제(스테비아)",'🔖 배합비 참조'!$A$2:$A$83,0),MATCH($C125,'🔖 배합비 참조'!$B$1:$CE$1,0))/100,0),""))),"")</f>
        <v>0</v>
      </c>
      <c r="CG125" s="39" t="n">
        <f aca="false">IFERROR(IF($C125="","",IF($D125="","",IFERROR(ROUND($D125*INDEX('🔖 배합비 참조'!$B$2:$CE$83,MATCH("화이트초콜릿",'🔖 배합비 참조'!$A$2:$A$83,0),MATCH($C125,'🔖 배합비 참조'!$B$1:$CE$1,0))/100,0),""))),"")</f>
        <v>0</v>
      </c>
      <c r="CH125" s="39" t="n">
        <f aca="false">IFERROR(IF($C125="","",IF($D125="","",IFERROR(ROUND($D125*INDEX('🔖 배합비 참조'!$B$2:$CE$83,MATCH("흑미찹쌀(국내산)",'🔖 배합비 참조'!$A$2:$A$83,0),MATCH($C125,'🔖 배합비 참조'!$B$1:$CE$1,0))/100,0),""))),"")</f>
        <v>0</v>
      </c>
      <c r="CI125" s="39" t="n">
        <f aca="false">IFERROR(IF($C125="","",IF($D125="","",IFERROR(ROUND($D125*INDEX('🔖 배합비 참조'!$B$2:$CE$83,MATCH("찰옥수수전분(미국산)",'🔖 배합비 참조'!$A$2:$A$83,0),MATCH($C125,'🔖 배합비 참조'!$B$1:$CE$1,0))/100,0),""))),"")</f>
        <v>0</v>
      </c>
      <c r="CJ125" s="40"/>
      <c r="CL125" s="1" t="s">
        <v>239</v>
      </c>
    </row>
    <row r="126" customFormat="false" ht="18" hidden="false" customHeight="true" outlineLevel="0" collapsed="false">
      <c r="A126" s="41" t="n">
        <v>122</v>
      </c>
      <c r="B126" s="36" t="n">
        <v>46007</v>
      </c>
      <c r="C126" s="37" t="s">
        <v>179</v>
      </c>
      <c r="D126" s="38" t="n">
        <v>70</v>
      </c>
      <c r="E126" s="17"/>
      <c r="F126" s="17"/>
      <c r="G126" s="42" t="n">
        <f aca="false">IFERROR(IF($C126="","",IF($D126="","",IFERROR(ROUND($D126*INDEX('🔖 배합비 참조'!$B$2:$CE$83,MATCH("간장",'🔖 배합비 참조'!$A$2:$A$83,0),MATCH($C126,'🔖 배합비 참조'!$B$1:$CE$1,0))/100,0),""))),"")</f>
        <v>0</v>
      </c>
      <c r="H126" s="42" t="n">
        <f aca="false">IFERROR(IF($C126="","",IF($D126="","",IFERROR(ROUND($D126*INDEX('🔖 배합비 참조'!$B$2:$CE$83,MATCH("강낭콩((울타리콩))",'🔖 배합비 참조'!$A$2:$A$83,0),MATCH($C126,'🔖 배합비 참조'!$B$1:$CE$1,0))/100,0),""))),"")</f>
        <v>0</v>
      </c>
      <c r="I126" s="42" t="n">
        <f aca="false">IFERROR(IF($C126="","",IF($D126="","",IFERROR(ROUND($D126*INDEX('🔖 배합비 참조'!$B$2:$CE$83,MATCH("건조딸기다이스(외국산)",'🔖 배합비 참조'!$A$2:$A$83,0),MATCH($C126,'🔖 배합비 참조'!$B$1:$CE$1,0))/100,0),""))),"")</f>
        <v>0</v>
      </c>
      <c r="J126" s="42" t="n">
        <f aca="false">IFERROR(IF($C126="","",IF($D126="","",IFERROR(ROUND($D126*INDEX('🔖 배합비 참조'!$B$2:$CE$83,MATCH("건포도",'🔖 배합비 참조'!$A$2:$A$83,0),MATCH($C126,'🔖 배합비 참조'!$B$1:$CE$1,0))/100,0),""))),"")</f>
        <v>0</v>
      </c>
      <c r="K126" s="42" t="n">
        <f aca="false">IFERROR(IF($C126="","",IF($D126="","",IFERROR(ROUND($D126*INDEX('🔖 배합비 참조'!$B$2:$CE$83,MATCH("건호박채(중국산)",'🔖 배합비 참조'!$A$2:$A$83,0),MATCH($C126,'🔖 배합비 참조'!$B$1:$CE$1,0))/100,0),""))),"")</f>
        <v>0</v>
      </c>
      <c r="L126" s="42" t="n">
        <f aca="false">IFERROR(IF($C126="","",IF($D126="","",IFERROR(ROUND($D126*INDEX('🔖 배합비 참조'!$B$2:$CE$83,MATCH("검정깨(흑임자)",'🔖 배합비 참조'!$A$2:$A$83,0),MATCH($C126,'🔖 배합비 참조'!$B$1:$CE$1,0))/100,0),""))),"")</f>
        <v>0</v>
      </c>
      <c r="M126" s="42" t="n">
        <f aca="false">IFERROR(IF($C126="","",IF($D126="","",IFERROR(ROUND($D126*INDEX('🔖 배합비 참조'!$B$2:$CE$83,MATCH("검정콩",'🔖 배합비 참조'!$A$2:$A$83,0),MATCH($C126,'🔖 배합비 참조'!$B$1:$CE$1,0))/100,0),""))),"")</f>
        <v>0</v>
      </c>
      <c r="N126" s="42" t="n">
        <f aca="false">IFERROR(IF($C126="","",IF($D126="","",IFERROR(ROUND($D126*INDEX('🔖 배합비 참조'!$B$2:$CE$83,MATCH("계피가루",'🔖 배합비 참조'!$A$2:$A$83,0),MATCH($C126,'🔖 배합비 참조'!$B$1:$CE$1,0))/100,0),""))),"")</f>
        <v>0</v>
      </c>
      <c r="O126" s="42" t="n">
        <f aca="false">IFERROR(IF($C126="","",IF($D126="","",IFERROR(ROUND($D126*INDEX('🔖 배합비 참조'!$B$2:$CE$83,MATCH("고구마가루",'🔖 배합비 참조'!$A$2:$A$83,0),MATCH($C126,'🔖 배합비 참조'!$B$1:$CE$1,0))/100,0),""))),"")</f>
        <v>0</v>
      </c>
      <c r="P126" s="42" t="n">
        <f aca="false">IFERROR(IF($C126="","",IF($D126="","",IFERROR(ROUND($D126*INDEX('🔖 배합비 참조'!$B$2:$CE$83,MATCH("고구마무스",'🔖 배합비 참조'!$A$2:$A$83,0),MATCH($C126,'🔖 배합비 참조'!$B$1:$CE$1,0))/100,0),""))),"")</f>
        <v>0</v>
      </c>
      <c r="Q126" s="42" t="n">
        <f aca="false">IFERROR(IF($C126="","",IF($D126="","",IFERROR(ROUND($D126*INDEX('🔖 배합비 참조'!$B$2:$CE$83,MATCH("고려엉겅퀴((곤드레)국내산)",'🔖 배합비 참조'!$A$2:$A$83,0),MATCH($C126,'🔖 배합비 참조'!$B$1:$CE$1,0))/100,0),""))),"")</f>
        <v>0</v>
      </c>
      <c r="R126" s="42" t="n">
        <f aca="false">IFERROR(IF($C126="","",IF($D126="","",IFERROR(ROUND($D126*INDEX('🔖 배합비 참조'!$B$2:$CE$83,MATCH("기타가공품(복분자가루)",'🔖 배합비 참조'!$A$2:$A$83,0),MATCH($C126,'🔖 배합비 참조'!$B$1:$CE$1,0))/100,0),""))),"")</f>
        <v>0</v>
      </c>
      <c r="S126" s="42" t="n">
        <f aca="false">IFERROR(IF($C126="","",IF($D126="","",IFERROR(ROUND($D126*INDEX('🔖 배합비 참조'!$B$2:$CE$83,MATCH("기타가공품(슈퍼소프트엠)",'🔖 배합비 참조'!$A$2:$A$83,0),MATCH($C126,'🔖 배합비 참조'!$B$1:$CE$1,0))/100,0),""))),"")</f>
        <v>0</v>
      </c>
      <c r="T126" s="42" t="n">
        <f aca="false">IFERROR(IF($C126="","",IF($D126="","",IFERROR(ROUND($D126*INDEX('🔖 배합비 참조'!$B$2:$CE$83,MATCH("기타가공품(파인소프트 E-티)",'🔖 배합비 참조'!$A$2:$A$83,0),MATCH($C126,'🔖 배합비 참조'!$B$1:$CE$1,0))/100,0),""))),"")</f>
        <v>0</v>
      </c>
      <c r="U126" s="42" t="n">
        <f aca="false">IFERROR(IF($C126="","",IF($D126="","",IFERROR(ROUND($D126*INDEX('🔖 배합비 참조'!$B$2:$CE$83,MATCH("기타가공품(프리미엄카스테라가루)",'🔖 배합비 참조'!$A$2:$A$83,0),MATCH($C126,'🔖 배합비 참조'!$B$1:$CE$1,0))/100,0),""))),"")</f>
        <v>0</v>
      </c>
      <c r="V126" s="42" t="n">
        <f aca="false">IFERROR(IF($C126="","",IF($D126="","",IFERROR(ROUND($D126*INDEX('🔖 배합비 참조'!$B$2:$CE$83,MATCH("기타가공품(흑임자가루)",'🔖 배합비 참조'!$A$2:$A$83,0),MATCH($C126,'🔖 배합비 참조'!$B$1:$CE$1,0))/100,0),""))),"")</f>
        <v>0</v>
      </c>
      <c r="W126" s="42" t="n">
        <f aca="false">IFERROR(IF($C126="","",IF($D126="","",IFERROR(ROUND($D126*INDEX('🔖 배합비 참조'!$B$2:$CE$83,MATCH("기타설탕(흑설탕)",'🔖 배합비 참조'!$A$2:$A$83,0),MATCH($C126,'🔖 배합비 참조'!$B$1:$CE$1,0))/100,0),""))),"")</f>
        <v>0</v>
      </c>
      <c r="X126" s="42" t="n">
        <f aca="false">IFERROR(IF($C126="","",IF($D126="","",IFERROR(ROUND($D126*INDEX('🔖 배합비 참조'!$B$2:$CE$83,MATCH("냉동쑥(국내산)",'🔖 배합비 참조'!$A$2:$A$83,0),MATCH($C126,'🔖 배합비 참조'!$B$1:$CE$1,0))/100,0),""))),"")</f>
        <v>6</v>
      </c>
      <c r="Y126" s="42" t="n">
        <f aca="false">IFERROR(IF($C126="","",IF($D126="","",IFERROR(ROUND($D126*INDEX('🔖 배합비 참조'!$B$2:$CE$83,MATCH("냉동증숙고구마(중국산)",'🔖 배합비 참조'!$A$2:$A$83,0),MATCH($C126,'🔖 배합비 참조'!$B$1:$CE$1,0))/100,0),""))),"")</f>
        <v>0</v>
      </c>
      <c r="Z126" s="42" t="n">
        <f aca="false">IFERROR(IF($C126="","",IF($D126="","",IFERROR(ROUND($D126*INDEX('🔖 배합비 참조'!$B$2:$CE$83,MATCH("녹차가루",'🔖 배합비 참조'!$A$2:$A$83,0),MATCH($C126,'🔖 배합비 참조'!$B$1:$CE$1,0))/100,0),""))),"")</f>
        <v>0</v>
      </c>
      <c r="AA126" s="42" t="n">
        <f aca="false">IFERROR(IF($C126="","",IF($D126="","",IFERROR(ROUND($D126*INDEX('🔖 배합비 참조'!$B$2:$CE$83,MATCH("다크초콜릿 컴파운드칩",'🔖 배합비 참조'!$A$2:$A$83,0),MATCH($C126,'🔖 배합비 참조'!$B$1:$CE$1,0))/100,0),""))),"")</f>
        <v>0</v>
      </c>
      <c r="AB126" s="42" t="n">
        <f aca="false">IFERROR(IF($C126="","",IF($D126="","",IFERROR(ROUND($D126*INDEX('🔖 배합비 참조'!$B$2:$CE$83,MATCH("단호박분말(중국산)",'🔖 배합비 참조'!$A$2:$A$83,0),MATCH($C126,'🔖 배합비 참조'!$B$1:$CE$1,0))/100,0),""))),"")</f>
        <v>0</v>
      </c>
      <c r="AC126" s="42" t="n">
        <f aca="false">IFERROR(IF($C126="","",IF($D126="","",IFERROR(ROUND($D126*INDEX('🔖 배합비 참조'!$B$2:$CE$83,MATCH("당류가공품(단호박농축액)",'🔖 배합비 참조'!$A$2:$A$83,0),MATCH($C126,'🔖 배합비 참조'!$B$1:$CE$1,0))/100,0),""))),"")</f>
        <v>0</v>
      </c>
      <c r="AD126" s="42" t="n">
        <f aca="false">IFERROR(IF($C126="","",IF($D126="","",IFERROR(ROUND($D126*INDEX('🔖 배합비 참조'!$B$2:$CE$83,MATCH("당류가공품(알룰로스,에리스리톨,스테비올배당체혼합)",'🔖 배합비 참조'!$A$2:$A$83,0),MATCH($C126,'🔖 배합비 참조'!$B$1:$CE$1,0))/100,0),""))),"")</f>
        <v>0</v>
      </c>
      <c r="AE126" s="42" t="n">
        <f aca="false">IFERROR(IF($C126="","",IF($D126="","",IFERROR(ROUND($D126*INDEX('🔖 배합비 참조'!$B$2:$CE$83,MATCH("당류가공품(알룰로스제로파우더)",'🔖 배합비 참조'!$A$2:$A$83,0),MATCH($C126,'🔖 배합비 참조'!$B$1:$CE$1,0))/100,0),""))),"")</f>
        <v>0</v>
      </c>
      <c r="AF126" s="42" t="n">
        <f aca="false">IFERROR(IF($C126="","",IF($D126="","",IFERROR(ROUND($D126*INDEX('🔖 배합비 참조'!$B$2:$CE$83,MATCH("당절임(완두배기)",'🔖 배합비 참조'!$A$2:$A$83,0),MATCH($C126,'🔖 배합비 참조'!$B$1:$CE$1,0))/100,0),""))),"")</f>
        <v>0</v>
      </c>
      <c r="AG126" s="42" t="n">
        <f aca="false">IFERROR(IF($C126="","",IF($D126="","",IFERROR(ROUND($D126*INDEX('🔖 배합비 참조'!$B$2:$CE$83,MATCH("대추농축액",'🔖 배합비 참조'!$A$2:$A$83,0),MATCH($C126,'🔖 배합비 참조'!$B$1:$CE$1,0))/100,0),""))),"")</f>
        <v>0</v>
      </c>
      <c r="AH126" s="42" t="n">
        <f aca="false">IFERROR(IF($C126="","",IF($D126="","",IFERROR(ROUND($D126*INDEX('🔖 배합비 참조'!$B$2:$CE$83,MATCH("대추채(국내산)",'🔖 배합비 참조'!$A$2:$A$83,0),MATCH($C126,'🔖 배합비 참조'!$B$1:$CE$1,0))/100,0),""))),"")</f>
        <v>0</v>
      </c>
      <c r="AI126" s="42" t="n">
        <f aca="false">IFERROR(IF($C126="","",IF($D126="","",IFERROR(ROUND($D126*INDEX('🔖 배합비 참조'!$B$2:$CE$83,MATCH("동부(미얀마산)",'🔖 배합비 참조'!$A$2:$A$83,0),MATCH($C126,'🔖 배합비 참조'!$B$1:$CE$1,0))/100,0),""))),"")</f>
        <v>0</v>
      </c>
      <c r="AJ126" s="42" t="n">
        <f aca="false">IFERROR(IF($C126="","",IF($D126="","",IFERROR(ROUND($D126*INDEX('🔖 배합비 참조'!$B$2:$CE$83,MATCH("두류가공품(백옥앙금)",'🔖 배합비 참조'!$A$2:$A$83,0),MATCH($C126,'🔖 배합비 참조'!$B$1:$CE$1,0))/100,0),""))),"")</f>
        <v>0</v>
      </c>
      <c r="AK126" s="42" t="n">
        <f aca="false">IFERROR(IF($C126="","",IF($D126="","",IFERROR(ROUND($D126*INDEX('🔖 배합비 참조'!$B$2:$CE$83,MATCH("두류가공품(콩고물)",'🔖 배합비 참조'!$A$2:$A$83,0),MATCH($C126,'🔖 배합비 참조'!$B$1:$CE$1,0))/100,0),""))),"")</f>
        <v>0</v>
      </c>
      <c r="AL126" s="42" t="n">
        <f aca="false">IFERROR(IF($C126="","",IF($D126="","",IFERROR(ROUND($D126*INDEX('🔖 배합비 참조'!$B$2:$CE$83,MATCH("두류가공품(통팥고물)",'🔖 배합비 참조'!$A$2:$A$83,0),MATCH($C126,'🔖 배합비 참조'!$B$1:$CE$1,0))/100,0),""))),"")</f>
        <v>0</v>
      </c>
      <c r="AM126" s="42" t="n">
        <f aca="false">IFERROR(IF($C126="","",IF($D126="","",IFERROR(ROUND($D126*INDEX('🔖 배합비 참조'!$B$2:$CE$83,MATCH("딸기레진",'🔖 배합비 참조'!$A$2:$A$83,0),MATCH($C126,'🔖 배합비 참조'!$B$1:$CE$1,0))/100,0),""))),"")</f>
        <v>0</v>
      </c>
      <c r="AN126" s="42" t="n">
        <f aca="false">IFERROR(IF($C126="","",IF($D126="","",IFERROR(ROUND($D126*INDEX('🔖 배합비 참조'!$B$2:$CE$83,MATCH("딸기분말(스트로우베리에이드(분말))",'🔖 배합비 참조'!$A$2:$A$83,0),MATCH($C126,'🔖 배합비 참조'!$B$1:$CE$1,0))/100,0),""))),"")</f>
        <v>0</v>
      </c>
      <c r="AO126" s="42" t="n">
        <f aca="false">IFERROR(IF($C126="","",IF($D126="","",IFERROR(ROUND($D126*INDEX('🔖 배합비 참조'!$B$2:$CE$83,MATCH("마스카포네치즈",'🔖 배합비 참조'!$A$2:$A$83,0),MATCH($C126,'🔖 배합비 참조'!$B$1:$CE$1,0))/100,0),""))),"")</f>
        <v>0</v>
      </c>
      <c r="AP126" s="42" t="n">
        <f aca="false">IFERROR(IF($C126="","",IF($D126="","",IFERROR(ROUND($D126*INDEX('🔖 배합비 참조'!$B$2:$CE$83,MATCH("마카다미아분태(호주산)",'🔖 배합비 참조'!$A$2:$A$83,0),MATCH($C126,'🔖 배합비 참조'!$B$1:$CE$1,0))/100,0),""))),"")</f>
        <v>0</v>
      </c>
      <c r="AQ126" s="42" t="n">
        <f aca="false">IFERROR(IF($C126="","",IF($D126="","",IFERROR(ROUND($D126*INDEX('🔖 배합비 참조'!$B$2:$CE$83,MATCH("멥쌀(국내산)",'🔖 배합비 참조'!$A$2:$A$83,0),MATCH($C126,'🔖 배합비 참조'!$B$1:$CE$1,0))/100,0),""))),"")</f>
        <v>0</v>
      </c>
      <c r="AR126" s="42" t="n">
        <f aca="false">IFERROR(IF($C126="","",IF($D126="","",IFERROR(ROUND($D126*INDEX('🔖 배합비 참조'!$B$2:$CE$83,MATCH("모시잎(국내산)",'🔖 배합비 참조'!$A$2:$A$83,0),MATCH($C126,'🔖 배합비 참조'!$B$1:$CE$1,0))/100,0),""))),"")</f>
        <v>0</v>
      </c>
      <c r="AS126" s="42" t="n">
        <f aca="false">IFERROR(IF($C126="","",IF($D126="","",IFERROR(ROUND($D126*INDEX('🔖 배합비 참조'!$B$2:$CE$83,MATCH("물엿(저당물엿)",'🔖 배합비 참조'!$A$2:$A$83,0),MATCH($C126,'🔖 배합비 참조'!$B$1:$CE$1,0))/100,0),""))),"")</f>
        <v>3</v>
      </c>
      <c r="AT126" s="42" t="n">
        <f aca="false">IFERROR(IF($C126="","",IF($D126="","",IFERROR(ROUND($D126*INDEX('🔖 배합비 참조'!$B$2:$CE$83,MATCH("밤다이스",'🔖 배합비 참조'!$A$2:$A$83,0),MATCH($C126,'🔖 배합비 참조'!$B$1:$CE$1,0))/100,0),""))),"")</f>
        <v>0</v>
      </c>
      <c r="AU126" s="42" t="n">
        <f aca="false">IFERROR(IF($C126="","",IF($D126="","",IFERROR(ROUND($D126*INDEX('🔖 배합비 참조'!$B$2:$CE$83,MATCH("변성전분(타피오카전분)",'🔖 배합비 참조'!$A$2:$A$83,0),MATCH($C126,'🔖 배합비 참조'!$B$1:$CE$1,0))/100,0),""))),"")</f>
        <v>0</v>
      </c>
      <c r="AV126" s="42" t="n">
        <f aca="false">IFERROR(IF($C126="","",IF($D126="","",IFERROR(ROUND($D126*INDEX('🔖 배합비 참조'!$B$2:$CE$83,MATCH("복음땅콩분태",'🔖 배합비 참조'!$A$2:$A$83,0),MATCH($C126,'🔖 배합비 참조'!$B$1:$CE$1,0))/100,0),""))),"")</f>
        <v>0</v>
      </c>
      <c r="AW126" s="42" t="n">
        <f aca="false">IFERROR(IF($C126="","",IF($D126="","",IFERROR(ROUND($D126*INDEX('🔖 배합비 참조'!$B$2:$CE$83,MATCH("사양벌꿀(국내산)",'🔖 배합비 참조'!$A$2:$A$83,0),MATCH($C126,'🔖 배합비 참조'!$B$1:$CE$1,0))/100,0),""))),"")</f>
        <v>0</v>
      </c>
      <c r="AX126" s="42" t="n">
        <f aca="false">IFERROR(IF($C126="","",IF($D126="","",IFERROR(ROUND($D126*INDEX('🔖 배합비 참조'!$B$2:$CE$83,MATCH("생크림",'🔖 배합비 참조'!$A$2:$A$83,0),MATCH($C126,'🔖 배합비 참조'!$B$1:$CE$1,0))/100,0),""))),"")</f>
        <v>0</v>
      </c>
      <c r="AY126" s="42" t="n">
        <f aca="false">IFERROR(IF($C126="","",IF($D126="","",IFERROR(ROUND($D126*INDEX('🔖 배합비 참조'!$B$2:$CE$83,MATCH("서양호박(국내산,뉴질랜드산)",'🔖 배합비 참조'!$A$2:$A$83,0),MATCH($C126,'🔖 배합비 참조'!$B$1:$CE$1,0))/100,0),""))),"")</f>
        <v>0</v>
      </c>
      <c r="AZ126" s="42" t="n">
        <f aca="false">IFERROR(IF($C126="","",IF($D126="","",IFERROR(ROUND($D126*INDEX('🔖 배합비 참조'!$B$2:$CE$83,MATCH("설탕",'🔖 배합비 참조'!$A$2:$A$83,0),MATCH($C126,'🔖 배합비 참조'!$B$1:$CE$1,0))/100,0),""))),"")</f>
        <v>3</v>
      </c>
      <c r="BA126" s="42" t="n">
        <f aca="false">IFERROR(IF($C126="","",IF($D126="","",IFERROR(ROUND($D126*INDEX('🔖 배합비 참조'!$B$2:$CE$83,MATCH("스트로우베리 에이드 후레쉬",'🔖 배합비 참조'!$A$2:$A$83,0),MATCH($C126,'🔖 배합비 참조'!$B$1:$CE$1,0))/100,0),""))),"")</f>
        <v>0</v>
      </c>
      <c r="BB126" s="42" t="n">
        <f aca="false">IFERROR(IF($C126="","",IF($D126="","",IFERROR(ROUND($D126*INDEX('🔖 배합비 참조'!$B$2:$CE$83,MATCH("식물성기름혼합제제(분홍)",'🔖 배합비 참조'!$A$2:$A$83,0),MATCH($C126,'🔖 배합비 참조'!$B$1:$CE$1,0))/100,0),""))),"")</f>
        <v>0</v>
      </c>
      <c r="BC126" s="42" t="n">
        <f aca="false">IFERROR(IF($C126="","",IF($D126="","",IFERROR(ROUND($D126*INDEX('🔖 배합비 참조'!$B$2:$CE$83,MATCH("식물성기름혼합제제(초록)",'🔖 배합비 참조'!$A$2:$A$83,0),MATCH($C126,'🔖 배합비 참조'!$B$1:$CE$1,0))/100,0),""))),"")</f>
        <v>0</v>
      </c>
      <c r="BD126" s="42" t="n">
        <f aca="false">IFERROR(IF($C126="","",IF($D126="","",IFERROR(ROUND($D126*INDEX('🔖 배합비 참조'!$B$2:$CE$83,MATCH("식물성기름혼합제제(황색)",'🔖 배합비 참조'!$A$2:$A$83,0),MATCH($C126,'🔖 배합비 참조'!$B$1:$CE$1,0))/100,0),""))),"")</f>
        <v>0</v>
      </c>
      <c r="BE126" s="42" t="n">
        <f aca="false">IFERROR(IF($C126="","",IF($D126="","",IFERROR(ROUND($D126*INDEX('🔖 배합비 참조'!$B$2:$CE$83,MATCH("쑥가루(국내산)",'🔖 배합비 참조'!$A$2:$A$83,0),MATCH($C126,'🔖 배합비 참조'!$B$1:$CE$1,0))/100,0),""))),"")</f>
        <v>0</v>
      </c>
      <c r="BF126" s="42" t="n">
        <f aca="false">IFERROR(IF($C126="","",IF($D126="","",IFERROR(ROUND($D126*INDEX('🔖 배합비 참조'!$B$2:$CE$83,MATCH("아몬드슬라이스",'🔖 배합비 참조'!$A$2:$A$83,0),MATCH($C126,'🔖 배합비 참조'!$B$1:$CE$1,0))/100,0),""))),"")</f>
        <v>0</v>
      </c>
      <c r="BG126" s="42" t="n">
        <f aca="false">IFERROR(IF($C126="","",IF($D126="","",IFERROR(ROUND($D126*INDEX('🔖 배합비 참조'!$B$2:$CE$83,MATCH("알룰로오스(국내산)",'🔖 배합비 참조'!$A$2:$A$83,0),MATCH($C126,'🔖 배합비 참조'!$B$1:$CE$1,0))/100,0),""))),"")</f>
        <v>0</v>
      </c>
      <c r="BH126" s="42" t="n">
        <f aca="false">IFERROR(IF($C126="","",IF($D126="","",IFERROR(ROUND($D126*INDEX('🔖 배합비 참조'!$B$2:$CE$83,MATCH("연유",'🔖 배합비 참조'!$A$2:$A$83,0),MATCH($C126,'🔖 배합비 참조'!$B$1:$CE$1,0))/100,0),""))),"")</f>
        <v>0</v>
      </c>
      <c r="BI126" s="42" t="n">
        <f aca="false">IFERROR(IF($C126="","",IF($D126="","",IFERROR(ROUND($D126*INDEX('🔖 배합비 참조'!$B$2:$CE$83,MATCH("옥수수전분",'🔖 배합비 참조'!$A$2:$A$83,0),MATCH($C126,'🔖 배합비 참조'!$B$1:$CE$1,0))/100,0),""))),"")</f>
        <v>0</v>
      </c>
      <c r="BJ126" s="42" t="n">
        <f aca="false">IFERROR(IF($C126="","",IF($D126="","",IFERROR(ROUND($D126*INDEX('🔖 배합비 참조'!$B$2:$CE$83,MATCH("완두배기",'🔖 배합비 참조'!$A$2:$A$83,0),MATCH($C126,'🔖 배합비 참조'!$B$1:$CE$1,0))/100,0),""))),"")</f>
        <v>0</v>
      </c>
      <c r="BK126" s="42" t="n">
        <f aca="false">IFERROR(IF($C126="","",IF($D126="","",IFERROR(ROUND($D126*INDEX('🔖 배합비 참조'!$B$2:$CE$83,MATCH("우유(국내산)",'🔖 배합비 참조'!$A$2:$A$83,0),MATCH($C126,'🔖 배합비 참조'!$B$1:$CE$1,0))/100,0),""))),"")</f>
        <v>0</v>
      </c>
      <c r="BL126" s="42" t="n">
        <f aca="false">IFERROR(IF($C126="","",IF($D126="","",IFERROR(ROUND($D126*INDEX('🔖 배합비 참조'!$B$2:$CE$83,MATCH("자색고구마가루(중국산)",'🔖 배합비 참조'!$A$2:$A$83,0),MATCH($C126,'🔖 배합비 참조'!$B$1:$CE$1,0))/100,0),""))),"")</f>
        <v>0</v>
      </c>
      <c r="BM126" s="42" t="n">
        <f aca="false">IFERROR(IF($C126="","",IF($D126="","",IFERROR(ROUND($D126*INDEX('🔖 배합비 참조'!$B$2:$CE$83,MATCH("자연치즈(체다치즈)",'🔖 배합비 참조'!$A$2:$A$83,0),MATCH($C126,'🔖 배합비 참조'!$B$1:$CE$1,0))/100,0),""))),"")</f>
        <v>0</v>
      </c>
      <c r="BN126" s="42" t="n">
        <f aca="false">IFERROR(IF($C126="","",IF($D126="","",IFERROR(ROUND($D126*INDEX('🔖 배합비 참조'!$B$2:$CE$83,MATCH("정제수",'🔖 배합비 참조'!$A$2:$A$83,0),MATCH($C126,'🔖 배합비 참조'!$B$1:$CE$1,0))/100,0),""))),"")</f>
        <v>25</v>
      </c>
      <c r="BO126" s="42" t="n">
        <f aca="false">IFERROR(IF($C126="","",IF($D126="","",IFERROR(ROUND($D126*INDEX('🔖 배합비 참조'!$B$2:$CE$83,MATCH("젤라틴",'🔖 배합비 참조'!$A$2:$A$83,0),MATCH($C126,'🔖 배합비 참조'!$B$1:$CE$1,0))/100,0),""))),"")</f>
        <v>0</v>
      </c>
      <c r="BP126" s="42" t="n">
        <f aca="false">IFERROR(IF($C126="","",IF($D126="","",IFERROR(ROUND($D126*INDEX('🔖 배합비 참조'!$B$2:$CE$83,MATCH("조림류(백옥앙금)",'🔖 배합비 참조'!$A$2:$A$83,0),MATCH($C126,'🔖 배합비 참조'!$B$1:$CE$1,0))/100,0),""))),"")</f>
        <v>0</v>
      </c>
      <c r="BQ126" s="42" t="n">
        <f aca="false">IFERROR(IF($C126="","",IF($D126="","",IFERROR(ROUND($D126*INDEX('🔖 배합비 참조'!$B$2:$CE$83,MATCH("조림류(통팥앙금)",'🔖 배합비 참조'!$A$2:$A$83,0),MATCH($C126,'🔖 배합비 참조'!$B$1:$CE$1,0))/100,0),""))),"")</f>
        <v>0</v>
      </c>
      <c r="BR126" s="42" t="n">
        <f aca="false">IFERROR(IF($C126="","",IF($D126="","",IFERROR(ROUND($D126*INDEX('🔖 배합비 참조'!$B$2:$CE$83,MATCH("준초콜릿(외국산)",'🔖 배합비 참조'!$A$2:$A$83,0),MATCH($C126,'🔖 배합비 참조'!$B$1:$CE$1,0))/100,0),""))),"")</f>
        <v>0</v>
      </c>
      <c r="BS126" s="42" t="n">
        <f aca="false">IFERROR(IF($C126="","",IF($D126="","",IFERROR(ROUND($D126*INDEX('🔖 배합비 참조'!$B$2:$CE$83,MATCH("중력분",'🔖 배합비 참조'!$A$2:$A$83,0),MATCH($C126,'🔖 배합비 참조'!$B$1:$CE$1,0))/100,0),""))),"")</f>
        <v>1</v>
      </c>
      <c r="BT126" s="42" t="n">
        <f aca="false">IFERROR(IF($C126="","",IF($D126="","",IFERROR(ROUND($D126*INDEX('🔖 배합비 참조'!$B$2:$CE$83,MATCH("참깨(인도산,나이지리아산,탄자니아산,미얀마산)",'🔖 배합비 참조'!$A$2:$A$83,0),MATCH($C126,'🔖 배합비 참조'!$B$1:$CE$1,0))/100,0),""))),"")</f>
        <v>0</v>
      </c>
      <c r="BU126" s="42" t="n">
        <f aca="false">IFERROR(IF($C126="","",IF($D126="","",IFERROR(ROUND($D126*INDEX('🔖 배합비 참조'!$B$2:$CE$83,MATCH("찹쌀(국내산)",'🔖 배합비 참조'!$A$2:$A$83,0),MATCH($C126,'🔖 배합비 참조'!$B$1:$CE$1,0))/100,0),""))),"")</f>
        <v>31</v>
      </c>
      <c r="BV126" s="42" t="n">
        <f aca="false">IFERROR(IF($C126="","",IF($D126="","",IFERROR(ROUND($D126*INDEX('🔖 배합비 참조'!$B$2:$CE$83,MATCH("천일염",'🔖 배합비 참조'!$A$2:$A$83,0),MATCH($C126,'🔖 배합비 참조'!$B$1:$CE$1,0))/100,0),""))),"")</f>
        <v>1</v>
      </c>
      <c r="BW126" s="42" t="n">
        <f aca="false">IFERROR(IF($C126="","",IF($D126="","",IFERROR(ROUND($D126*INDEX('🔖 배합비 참조'!$B$2:$CE$83,MATCH("치즈 [크림치즈]",'🔖 배합비 참조'!$A$2:$A$83,0),MATCH($C126,'🔖 배합비 참조'!$B$1:$CE$1,0))/100,0),""))),"")</f>
        <v>0</v>
      </c>
      <c r="BX126" s="42" t="n">
        <f aca="false">IFERROR(IF($C126="","",IF($D126="","",IFERROR(ROUND($D126*INDEX('🔖 배합비 참조'!$B$2:$CE$83,MATCH("코코아가공품류(코코아분말)",'🔖 배합비 참조'!$A$2:$A$83,0),MATCH($C126,'🔖 배합비 참조'!$B$1:$CE$1,0))/100,0),""))),"")</f>
        <v>0</v>
      </c>
      <c r="BY126" s="42" t="n">
        <f aca="false">IFERROR(IF($C126="","",IF($D126="","",IFERROR(ROUND($D126*INDEX('🔖 배합비 참조'!$B$2:$CE$83,MATCH("콩기름(대두유)",'🔖 배합비 참조'!$A$2:$A$83,0),MATCH($C126,'🔖 배합비 참조'!$B$1:$CE$1,0))/100,0),""))),"")</f>
        <v>0</v>
      </c>
      <c r="BZ126" s="42" t="n">
        <f aca="false">IFERROR(IF($C126="","",IF($D126="","",IFERROR(ROUND($D126*INDEX('🔖 배합비 참조'!$B$2:$CE$83,MATCH("해바라기씨앗",'🔖 배합비 참조'!$A$2:$A$83,0),MATCH($C126,'🔖 배합비 참조'!$B$1:$CE$1,0))/100,0),""))),"")</f>
        <v>0</v>
      </c>
      <c r="CA126" s="42" t="n">
        <f aca="false">IFERROR(IF($C126="","",IF($D126="","",IFERROR(ROUND($D126*INDEX('🔖 배합비 참조'!$B$2:$CE$83,MATCH("현미(국내산)",'🔖 배합비 참조'!$A$2:$A$83,0),MATCH($C126,'🔖 배합비 참조'!$B$1:$CE$1,0))/100,0),""))),"")</f>
        <v>0</v>
      </c>
      <c r="CB126" s="42" t="n">
        <f aca="false">IFERROR(IF($C126="","",IF($D126="","",IFERROR(ROUND($D126*INDEX('🔖 배합비 참조'!$B$2:$CE$83,MATCH("현미멥쌀(국내산)",'🔖 배합비 참조'!$A$2:$A$83,0),MATCH($C126,'🔖 배합비 참조'!$B$1:$CE$1,0))/100,0),""))),"")</f>
        <v>0</v>
      </c>
      <c r="CC126" s="42" t="n">
        <f aca="false">IFERROR(IF($C126="","",IF($D126="","",IFERROR(ROUND($D126*INDEX('🔖 배합비 참조'!$B$2:$CE$83,MATCH("호두분태(미국산)",'🔖 배합비 참조'!$A$2:$A$83,0),MATCH($C126,'🔖 배합비 참조'!$B$1:$CE$1,0))/100,0),""))),"")</f>
        <v>0</v>
      </c>
      <c r="CD126" s="42" t="n">
        <f aca="false">IFERROR(IF($C126="","",IF($D126="","",IFERROR(ROUND($D126*INDEX('🔖 배합비 참조'!$B$2:$CE$83,MATCH("호박씨앗(외국산)",'🔖 배합비 참조'!$A$2:$A$83,0),MATCH($C126,'🔖 배합비 참조'!$B$1:$CE$1,0))/100,0),""))),"")</f>
        <v>0</v>
      </c>
      <c r="CE126" s="42" t="n">
        <f aca="false">IFERROR(IF($C126="","",IF($D126="","",IFERROR(ROUND($D126*INDEX('🔖 배합비 참조'!$B$2:$CE$83,MATCH("혼합제제(떡용에스텔)",'🔖 배합비 참조'!$A$2:$A$83,0),MATCH($C126,'🔖 배합비 참조'!$B$1:$CE$1,0))/100,0),""))),"")</f>
        <v>0</v>
      </c>
      <c r="CF126" s="42" t="n">
        <f aca="false">IFERROR(IF($C126="","",IF($D126="","",IFERROR(ROUND($D126*INDEX('🔖 배합비 참조'!$B$2:$CE$83,MATCH("혼합제제(스테비아)",'🔖 배합비 참조'!$A$2:$A$83,0),MATCH($C126,'🔖 배합비 참조'!$B$1:$CE$1,0))/100,0),""))),"")</f>
        <v>0</v>
      </c>
      <c r="CG126" s="42" t="n">
        <f aca="false">IFERROR(IF($C126="","",IF($D126="","",IFERROR(ROUND($D126*INDEX('🔖 배합비 참조'!$B$2:$CE$83,MATCH("화이트초콜릿",'🔖 배합비 참조'!$A$2:$A$83,0),MATCH($C126,'🔖 배합비 참조'!$B$1:$CE$1,0))/100,0),""))),"")</f>
        <v>0</v>
      </c>
      <c r="CH126" s="42" t="n">
        <f aca="false">IFERROR(IF($C126="","",IF($D126="","",IFERROR(ROUND($D126*INDEX('🔖 배합비 참조'!$B$2:$CE$83,MATCH("흑미찹쌀(국내산)",'🔖 배합비 참조'!$A$2:$A$83,0),MATCH($C126,'🔖 배합비 참조'!$B$1:$CE$1,0))/100,0),""))),"")</f>
        <v>0</v>
      </c>
      <c r="CI126" s="42" t="n">
        <f aca="false">IFERROR(IF($C126="","",IF($D126="","",IFERROR(ROUND($D126*INDEX('🔖 배합비 참조'!$B$2:$CE$83,MATCH("찰옥수수전분(미국산)",'🔖 배합비 참조'!$A$2:$A$83,0),MATCH($C126,'🔖 배합비 참조'!$B$1:$CE$1,0))/100,0),""))),"")</f>
        <v>0</v>
      </c>
      <c r="CJ126" s="40"/>
      <c r="CL126" s="1" t="s">
        <v>239</v>
      </c>
    </row>
    <row r="127" customFormat="false" ht="18" hidden="false" customHeight="true" outlineLevel="0" collapsed="false">
      <c r="A127" s="35" t="n">
        <v>123</v>
      </c>
      <c r="B127" s="36" t="n">
        <v>46007</v>
      </c>
      <c r="C127" s="37" t="s">
        <v>183</v>
      </c>
      <c r="D127" s="38" t="n">
        <v>140</v>
      </c>
      <c r="E127" s="13"/>
      <c r="F127" s="13"/>
      <c r="G127" s="39" t="n">
        <f aca="false">IFERROR(IF($C127="","",IF($D127="","",IFERROR(ROUND($D127*INDEX('🔖 배합비 참조'!$B$2:$CE$83,MATCH("간장",'🔖 배합비 참조'!$A$2:$A$83,0),MATCH($C127,'🔖 배합비 참조'!$B$1:$CE$1,0))/100,0),""))),"")</f>
        <v>0</v>
      </c>
      <c r="H127" s="39" t="n">
        <f aca="false">IFERROR(IF($C127="","",IF($D127="","",IFERROR(ROUND($D127*INDEX('🔖 배합비 참조'!$B$2:$CE$83,MATCH("강낭콩((울타리콩))",'🔖 배합비 참조'!$A$2:$A$83,0),MATCH($C127,'🔖 배합비 참조'!$B$1:$CE$1,0))/100,0),""))),"")</f>
        <v>0</v>
      </c>
      <c r="I127" s="39" t="n">
        <f aca="false">IFERROR(IF($C127="","",IF($D127="","",IFERROR(ROUND($D127*INDEX('🔖 배합비 참조'!$B$2:$CE$83,MATCH("건조딸기다이스(외국산)",'🔖 배합비 참조'!$A$2:$A$83,0),MATCH($C127,'🔖 배합비 참조'!$B$1:$CE$1,0))/100,0),""))),"")</f>
        <v>0</v>
      </c>
      <c r="J127" s="39" t="n">
        <f aca="false">IFERROR(IF($C127="","",IF($D127="","",IFERROR(ROUND($D127*INDEX('🔖 배합비 참조'!$B$2:$CE$83,MATCH("건포도",'🔖 배합비 참조'!$A$2:$A$83,0),MATCH($C127,'🔖 배합비 참조'!$B$1:$CE$1,0))/100,0),""))),"")</f>
        <v>0</v>
      </c>
      <c r="K127" s="39" t="n">
        <f aca="false">IFERROR(IF($C127="","",IF($D127="","",IFERROR(ROUND($D127*INDEX('🔖 배합비 참조'!$B$2:$CE$83,MATCH("건호박채(중국산)",'🔖 배합비 참조'!$A$2:$A$83,0),MATCH($C127,'🔖 배합비 참조'!$B$1:$CE$1,0))/100,0),""))),"")</f>
        <v>0</v>
      </c>
      <c r="L127" s="39" t="n">
        <f aca="false">IFERROR(IF($C127="","",IF($D127="","",IFERROR(ROUND($D127*INDEX('🔖 배합비 참조'!$B$2:$CE$83,MATCH("검정깨(흑임자)",'🔖 배합비 참조'!$A$2:$A$83,0),MATCH($C127,'🔖 배합비 참조'!$B$1:$CE$1,0))/100,0),""))),"")</f>
        <v>0</v>
      </c>
      <c r="M127" s="39" t="n">
        <f aca="false">IFERROR(IF($C127="","",IF($D127="","",IFERROR(ROUND($D127*INDEX('🔖 배합비 참조'!$B$2:$CE$83,MATCH("검정콩",'🔖 배합비 참조'!$A$2:$A$83,0),MATCH($C127,'🔖 배합비 참조'!$B$1:$CE$1,0))/100,0),""))),"")</f>
        <v>0</v>
      </c>
      <c r="N127" s="39" t="n">
        <f aca="false">IFERROR(IF($C127="","",IF($D127="","",IFERROR(ROUND($D127*INDEX('🔖 배합비 참조'!$B$2:$CE$83,MATCH("계피가루",'🔖 배합비 참조'!$A$2:$A$83,0),MATCH($C127,'🔖 배합비 참조'!$B$1:$CE$1,0))/100,0),""))),"")</f>
        <v>0</v>
      </c>
      <c r="O127" s="39" t="n">
        <f aca="false">IFERROR(IF($C127="","",IF($D127="","",IFERROR(ROUND($D127*INDEX('🔖 배합비 참조'!$B$2:$CE$83,MATCH("고구마가루",'🔖 배합비 참조'!$A$2:$A$83,0),MATCH($C127,'🔖 배합비 참조'!$B$1:$CE$1,0))/100,0),""))),"")</f>
        <v>0</v>
      </c>
      <c r="P127" s="39" t="n">
        <f aca="false">IFERROR(IF($C127="","",IF($D127="","",IFERROR(ROUND($D127*INDEX('🔖 배합비 참조'!$B$2:$CE$83,MATCH("고구마무스",'🔖 배합비 참조'!$A$2:$A$83,0),MATCH($C127,'🔖 배합비 참조'!$B$1:$CE$1,0))/100,0),""))),"")</f>
        <v>0</v>
      </c>
      <c r="Q127" s="39" t="n">
        <f aca="false">IFERROR(IF($C127="","",IF($D127="","",IFERROR(ROUND($D127*INDEX('🔖 배합비 참조'!$B$2:$CE$83,MATCH("고려엉겅퀴((곤드레)국내산)",'🔖 배합비 참조'!$A$2:$A$83,0),MATCH($C127,'🔖 배합비 참조'!$B$1:$CE$1,0))/100,0),""))),"")</f>
        <v>0</v>
      </c>
      <c r="R127" s="39" t="n">
        <f aca="false">IFERROR(IF($C127="","",IF($D127="","",IFERROR(ROUND($D127*INDEX('🔖 배합비 참조'!$B$2:$CE$83,MATCH("기타가공품(복분자가루)",'🔖 배합비 참조'!$A$2:$A$83,0),MATCH($C127,'🔖 배합비 참조'!$B$1:$CE$1,0))/100,0),""))),"")</f>
        <v>0</v>
      </c>
      <c r="S127" s="39" t="n">
        <f aca="false">IFERROR(IF($C127="","",IF($D127="","",IFERROR(ROUND($D127*INDEX('🔖 배합비 참조'!$B$2:$CE$83,MATCH("기타가공품(슈퍼소프트엠)",'🔖 배합비 참조'!$A$2:$A$83,0),MATCH($C127,'🔖 배합비 참조'!$B$1:$CE$1,0))/100,0),""))),"")</f>
        <v>0</v>
      </c>
      <c r="T127" s="39" t="n">
        <f aca="false">IFERROR(IF($C127="","",IF($D127="","",IFERROR(ROUND($D127*INDEX('🔖 배합비 참조'!$B$2:$CE$83,MATCH("기타가공품(파인소프트 E-티)",'🔖 배합비 참조'!$A$2:$A$83,0),MATCH($C127,'🔖 배합비 참조'!$B$1:$CE$1,0))/100,0),""))),"")</f>
        <v>0</v>
      </c>
      <c r="U127" s="39" t="n">
        <f aca="false">IFERROR(IF($C127="","",IF($D127="","",IFERROR(ROUND($D127*INDEX('🔖 배합비 참조'!$B$2:$CE$83,MATCH("기타가공품(프리미엄카스테라가루)",'🔖 배합비 참조'!$A$2:$A$83,0),MATCH($C127,'🔖 배합비 참조'!$B$1:$CE$1,0))/100,0),""))),"")</f>
        <v>0</v>
      </c>
      <c r="V127" s="39" t="n">
        <f aca="false">IFERROR(IF($C127="","",IF($D127="","",IFERROR(ROUND($D127*INDEX('🔖 배합비 참조'!$B$2:$CE$83,MATCH("기타가공품(흑임자가루)",'🔖 배합비 참조'!$A$2:$A$83,0),MATCH($C127,'🔖 배합비 참조'!$B$1:$CE$1,0))/100,0),""))),"")</f>
        <v>0</v>
      </c>
      <c r="W127" s="39" t="n">
        <f aca="false">IFERROR(IF($C127="","",IF($D127="","",IFERROR(ROUND($D127*INDEX('🔖 배합비 참조'!$B$2:$CE$83,MATCH("기타설탕(흑설탕)",'🔖 배합비 참조'!$A$2:$A$83,0),MATCH($C127,'🔖 배합비 참조'!$B$1:$CE$1,0))/100,0),""))),"")</f>
        <v>0</v>
      </c>
      <c r="X127" s="39" t="n">
        <f aca="false">IFERROR(IF($C127="","",IF($D127="","",IFERROR(ROUND($D127*INDEX('🔖 배합비 참조'!$B$2:$CE$83,MATCH("냉동쑥(국내산)",'🔖 배합비 참조'!$A$2:$A$83,0),MATCH($C127,'🔖 배합비 참조'!$B$1:$CE$1,0))/100,0),""))),"")</f>
        <v>0</v>
      </c>
      <c r="Y127" s="39" t="n">
        <f aca="false">IFERROR(IF($C127="","",IF($D127="","",IFERROR(ROUND($D127*INDEX('🔖 배합비 참조'!$B$2:$CE$83,MATCH("냉동증숙고구마(중국산)",'🔖 배합비 참조'!$A$2:$A$83,0),MATCH($C127,'🔖 배합비 참조'!$B$1:$CE$1,0))/100,0),""))),"")</f>
        <v>0</v>
      </c>
      <c r="Z127" s="39" t="n">
        <f aca="false">IFERROR(IF($C127="","",IF($D127="","",IFERROR(ROUND($D127*INDEX('🔖 배합비 참조'!$B$2:$CE$83,MATCH("녹차가루",'🔖 배합비 참조'!$A$2:$A$83,0),MATCH($C127,'🔖 배합비 참조'!$B$1:$CE$1,0))/100,0),""))),"")</f>
        <v>0</v>
      </c>
      <c r="AA127" s="39" t="n">
        <f aca="false">IFERROR(IF($C127="","",IF($D127="","",IFERROR(ROUND($D127*INDEX('🔖 배합비 참조'!$B$2:$CE$83,MATCH("다크초콜릿 컴파운드칩",'🔖 배합비 참조'!$A$2:$A$83,0),MATCH($C127,'🔖 배합비 참조'!$B$1:$CE$1,0))/100,0),""))),"")</f>
        <v>0</v>
      </c>
      <c r="AB127" s="39" t="n">
        <f aca="false">IFERROR(IF($C127="","",IF($D127="","",IFERROR(ROUND($D127*INDEX('🔖 배합비 참조'!$B$2:$CE$83,MATCH("단호박분말(중국산)",'🔖 배합비 참조'!$A$2:$A$83,0),MATCH($C127,'🔖 배합비 참조'!$B$1:$CE$1,0))/100,0),""))),"")</f>
        <v>0</v>
      </c>
      <c r="AC127" s="39" t="n">
        <f aca="false">IFERROR(IF($C127="","",IF($D127="","",IFERROR(ROUND($D127*INDEX('🔖 배합비 참조'!$B$2:$CE$83,MATCH("당류가공품(단호박농축액)",'🔖 배합비 참조'!$A$2:$A$83,0),MATCH($C127,'🔖 배합비 참조'!$B$1:$CE$1,0))/100,0),""))),"")</f>
        <v>0</v>
      </c>
      <c r="AD127" s="39" t="n">
        <f aca="false">IFERROR(IF($C127="","",IF($D127="","",IFERROR(ROUND($D127*INDEX('🔖 배합비 참조'!$B$2:$CE$83,MATCH("당류가공품(알룰로스,에리스리톨,스테비올배당체혼합)",'🔖 배합비 참조'!$A$2:$A$83,0),MATCH($C127,'🔖 배합비 참조'!$B$1:$CE$1,0))/100,0),""))),"")</f>
        <v>0</v>
      </c>
      <c r="AE127" s="39" t="n">
        <f aca="false">IFERROR(IF($C127="","",IF($D127="","",IFERROR(ROUND($D127*INDEX('🔖 배합비 참조'!$B$2:$CE$83,MATCH("당류가공품(알룰로스제로파우더)",'🔖 배합비 참조'!$A$2:$A$83,0),MATCH($C127,'🔖 배합비 참조'!$B$1:$CE$1,0))/100,0),""))),"")</f>
        <v>0</v>
      </c>
      <c r="AF127" s="39" t="n">
        <f aca="false">IFERROR(IF($C127="","",IF($D127="","",IFERROR(ROUND($D127*INDEX('🔖 배합비 참조'!$B$2:$CE$83,MATCH("당절임(완두배기)",'🔖 배합비 참조'!$A$2:$A$83,0),MATCH($C127,'🔖 배합비 참조'!$B$1:$CE$1,0))/100,0),""))),"")</f>
        <v>0</v>
      </c>
      <c r="AG127" s="39" t="n">
        <f aca="false">IFERROR(IF($C127="","",IF($D127="","",IFERROR(ROUND($D127*INDEX('🔖 배합비 참조'!$B$2:$CE$83,MATCH("대추농축액",'🔖 배합비 참조'!$A$2:$A$83,0),MATCH($C127,'🔖 배합비 참조'!$B$1:$CE$1,0))/100,0),""))),"")</f>
        <v>0</v>
      </c>
      <c r="AH127" s="39" t="n">
        <f aca="false">IFERROR(IF($C127="","",IF($D127="","",IFERROR(ROUND($D127*INDEX('🔖 배합비 참조'!$B$2:$CE$83,MATCH("대추채(국내산)",'🔖 배합비 참조'!$A$2:$A$83,0),MATCH($C127,'🔖 배합비 참조'!$B$1:$CE$1,0))/100,0),""))),"")</f>
        <v>0</v>
      </c>
      <c r="AI127" s="39" t="n">
        <f aca="false">IFERROR(IF($C127="","",IF($D127="","",IFERROR(ROUND($D127*INDEX('🔖 배합비 참조'!$B$2:$CE$83,MATCH("동부(미얀마산)",'🔖 배합비 참조'!$A$2:$A$83,0),MATCH($C127,'🔖 배합비 참조'!$B$1:$CE$1,0))/100,0),""))),"")</f>
        <v>0</v>
      </c>
      <c r="AJ127" s="39" t="n">
        <f aca="false">IFERROR(IF($C127="","",IF($D127="","",IFERROR(ROUND($D127*INDEX('🔖 배합비 참조'!$B$2:$CE$83,MATCH("두류가공품(백옥앙금)",'🔖 배합비 참조'!$A$2:$A$83,0),MATCH($C127,'🔖 배합비 참조'!$B$1:$CE$1,0))/100,0),""))),"")</f>
        <v>0</v>
      </c>
      <c r="AK127" s="39" t="n">
        <f aca="false">IFERROR(IF($C127="","",IF($D127="","",IFERROR(ROUND($D127*INDEX('🔖 배합비 참조'!$B$2:$CE$83,MATCH("두류가공품(콩고물)",'🔖 배합비 참조'!$A$2:$A$83,0),MATCH($C127,'🔖 배합비 참조'!$B$1:$CE$1,0))/100,0),""))),"")</f>
        <v>0</v>
      </c>
      <c r="AL127" s="39" t="n">
        <f aca="false">IFERROR(IF($C127="","",IF($D127="","",IFERROR(ROUND($D127*INDEX('🔖 배합비 참조'!$B$2:$CE$83,MATCH("두류가공품(통팥고물)",'🔖 배합비 참조'!$A$2:$A$83,0),MATCH($C127,'🔖 배합비 참조'!$B$1:$CE$1,0))/100,0),""))),"")</f>
        <v>0</v>
      </c>
      <c r="AM127" s="39" t="n">
        <f aca="false">IFERROR(IF($C127="","",IF($D127="","",IFERROR(ROUND($D127*INDEX('🔖 배합비 참조'!$B$2:$CE$83,MATCH("딸기레진",'🔖 배합비 참조'!$A$2:$A$83,0),MATCH($C127,'🔖 배합비 참조'!$B$1:$CE$1,0))/100,0),""))),"")</f>
        <v>0</v>
      </c>
      <c r="AN127" s="39" t="n">
        <f aca="false">IFERROR(IF($C127="","",IF($D127="","",IFERROR(ROUND($D127*INDEX('🔖 배합비 참조'!$B$2:$CE$83,MATCH("딸기분말(스트로우베리에이드(분말))",'🔖 배합비 참조'!$A$2:$A$83,0),MATCH($C127,'🔖 배합비 참조'!$B$1:$CE$1,0))/100,0),""))),"")</f>
        <v>0</v>
      </c>
      <c r="AO127" s="39" t="n">
        <f aca="false">IFERROR(IF($C127="","",IF($D127="","",IFERROR(ROUND($D127*INDEX('🔖 배합비 참조'!$B$2:$CE$83,MATCH("마스카포네치즈",'🔖 배합비 참조'!$A$2:$A$83,0),MATCH($C127,'🔖 배합비 참조'!$B$1:$CE$1,0))/100,0),""))),"")</f>
        <v>0</v>
      </c>
      <c r="AP127" s="39" t="n">
        <f aca="false">IFERROR(IF($C127="","",IF($D127="","",IFERROR(ROUND($D127*INDEX('🔖 배합비 참조'!$B$2:$CE$83,MATCH("마카다미아분태(호주산)",'🔖 배합비 참조'!$A$2:$A$83,0),MATCH($C127,'🔖 배합비 참조'!$B$1:$CE$1,0))/100,0),""))),"")</f>
        <v>0</v>
      </c>
      <c r="AQ127" s="39" t="n">
        <f aca="false">IFERROR(IF($C127="","",IF($D127="","",IFERROR(ROUND($D127*INDEX('🔖 배합비 참조'!$B$2:$CE$83,MATCH("멥쌀(국내산)",'🔖 배합비 참조'!$A$2:$A$83,0),MATCH($C127,'🔖 배합비 참조'!$B$1:$CE$1,0))/100,0),""))),"")</f>
        <v>0</v>
      </c>
      <c r="AR127" s="39" t="n">
        <f aca="false">IFERROR(IF($C127="","",IF($D127="","",IFERROR(ROUND($D127*INDEX('🔖 배합비 참조'!$B$2:$CE$83,MATCH("모시잎(국내산)",'🔖 배합비 참조'!$A$2:$A$83,0),MATCH($C127,'🔖 배합비 참조'!$B$1:$CE$1,0))/100,0),""))),"")</f>
        <v>0</v>
      </c>
      <c r="AS127" s="39" t="n">
        <f aca="false">IFERROR(IF($C127="","",IF($D127="","",IFERROR(ROUND($D127*INDEX('🔖 배합비 참조'!$B$2:$CE$83,MATCH("물엿(저당물엿)",'🔖 배합비 참조'!$A$2:$A$83,0),MATCH($C127,'🔖 배합비 참조'!$B$1:$CE$1,0))/100,0),""))),"")</f>
        <v>3</v>
      </c>
      <c r="AT127" s="39" t="n">
        <f aca="false">IFERROR(IF($C127="","",IF($D127="","",IFERROR(ROUND($D127*INDEX('🔖 배합비 참조'!$B$2:$CE$83,MATCH("밤다이스",'🔖 배합비 참조'!$A$2:$A$83,0),MATCH($C127,'🔖 배합비 참조'!$B$1:$CE$1,0))/100,0),""))),"")</f>
        <v>0</v>
      </c>
      <c r="AU127" s="39" t="n">
        <f aca="false">IFERROR(IF($C127="","",IF($D127="","",IFERROR(ROUND($D127*INDEX('🔖 배합비 참조'!$B$2:$CE$83,MATCH("변성전분(타피오카전분)",'🔖 배합비 참조'!$A$2:$A$83,0),MATCH($C127,'🔖 배합비 참조'!$B$1:$CE$1,0))/100,0),""))),"")</f>
        <v>0</v>
      </c>
      <c r="AV127" s="39" t="n">
        <f aca="false">IFERROR(IF($C127="","",IF($D127="","",IFERROR(ROUND($D127*INDEX('🔖 배합비 참조'!$B$2:$CE$83,MATCH("복음땅콩분태",'🔖 배합비 참조'!$A$2:$A$83,0),MATCH($C127,'🔖 배합비 참조'!$B$1:$CE$1,0))/100,0),""))),"")</f>
        <v>0</v>
      </c>
      <c r="AW127" s="39" t="n">
        <f aca="false">IFERROR(IF($C127="","",IF($D127="","",IFERROR(ROUND($D127*INDEX('🔖 배합비 참조'!$B$2:$CE$83,MATCH("사양벌꿀(국내산)",'🔖 배합비 참조'!$A$2:$A$83,0),MATCH($C127,'🔖 배합비 참조'!$B$1:$CE$1,0))/100,0),""))),"")</f>
        <v>0</v>
      </c>
      <c r="AX127" s="39" t="n">
        <f aca="false">IFERROR(IF($C127="","",IF($D127="","",IFERROR(ROUND($D127*INDEX('🔖 배합비 참조'!$B$2:$CE$83,MATCH("생크림",'🔖 배합비 참조'!$A$2:$A$83,0),MATCH($C127,'🔖 배합비 참조'!$B$1:$CE$1,0))/100,0),""))),"")</f>
        <v>0</v>
      </c>
      <c r="AY127" s="39" t="n">
        <f aca="false">IFERROR(IF($C127="","",IF($D127="","",IFERROR(ROUND($D127*INDEX('🔖 배합비 참조'!$B$2:$CE$83,MATCH("서양호박(국내산,뉴질랜드산)",'🔖 배합비 참조'!$A$2:$A$83,0),MATCH($C127,'🔖 배합비 참조'!$B$1:$CE$1,0))/100,0),""))),"")</f>
        <v>0</v>
      </c>
      <c r="AZ127" s="39" t="n">
        <f aca="false">IFERROR(IF($C127="","",IF($D127="","",IFERROR(ROUND($D127*INDEX('🔖 배합비 참조'!$B$2:$CE$83,MATCH("설탕",'🔖 배합비 참조'!$A$2:$A$83,0),MATCH($C127,'🔖 배합비 참조'!$B$1:$CE$1,0))/100,0),""))),"")</f>
        <v>3</v>
      </c>
      <c r="BA127" s="39" t="n">
        <f aca="false">IFERROR(IF($C127="","",IF($D127="","",IFERROR(ROUND($D127*INDEX('🔖 배합비 참조'!$B$2:$CE$83,MATCH("스트로우베리 에이드 후레쉬",'🔖 배합비 참조'!$A$2:$A$83,0),MATCH($C127,'🔖 배합비 참조'!$B$1:$CE$1,0))/100,0),""))),"")</f>
        <v>0</v>
      </c>
      <c r="BB127" s="39" t="n">
        <f aca="false">IFERROR(IF($C127="","",IF($D127="","",IFERROR(ROUND($D127*INDEX('🔖 배합비 참조'!$B$2:$CE$83,MATCH("식물성기름혼합제제(분홍)",'🔖 배합비 참조'!$A$2:$A$83,0),MATCH($C127,'🔖 배합비 참조'!$B$1:$CE$1,0))/100,0),""))),"")</f>
        <v>0</v>
      </c>
      <c r="BC127" s="39" t="n">
        <f aca="false">IFERROR(IF($C127="","",IF($D127="","",IFERROR(ROUND($D127*INDEX('🔖 배합비 참조'!$B$2:$CE$83,MATCH("식물성기름혼합제제(초록)",'🔖 배합비 참조'!$A$2:$A$83,0),MATCH($C127,'🔖 배합비 참조'!$B$1:$CE$1,0))/100,0),""))),"")</f>
        <v>0</v>
      </c>
      <c r="BD127" s="39" t="n">
        <f aca="false">IFERROR(IF($C127="","",IF($D127="","",IFERROR(ROUND($D127*INDEX('🔖 배합비 참조'!$B$2:$CE$83,MATCH("식물성기름혼합제제(황색)",'🔖 배합비 참조'!$A$2:$A$83,0),MATCH($C127,'🔖 배합비 참조'!$B$1:$CE$1,0))/100,0),""))),"")</f>
        <v>0</v>
      </c>
      <c r="BE127" s="39" t="n">
        <f aca="false">IFERROR(IF($C127="","",IF($D127="","",IFERROR(ROUND($D127*INDEX('🔖 배합비 참조'!$B$2:$CE$83,MATCH("쑥가루(국내산)",'🔖 배합비 참조'!$A$2:$A$83,0),MATCH($C127,'🔖 배합비 참조'!$B$1:$CE$1,0))/100,0),""))),"")</f>
        <v>0</v>
      </c>
      <c r="BF127" s="39" t="n">
        <f aca="false">IFERROR(IF($C127="","",IF($D127="","",IFERROR(ROUND($D127*INDEX('🔖 배합비 참조'!$B$2:$CE$83,MATCH("아몬드슬라이스",'🔖 배합비 참조'!$A$2:$A$83,0),MATCH($C127,'🔖 배합비 참조'!$B$1:$CE$1,0))/100,0),""))),"")</f>
        <v>0</v>
      </c>
      <c r="BG127" s="39" t="n">
        <f aca="false">IFERROR(IF($C127="","",IF($D127="","",IFERROR(ROUND($D127*INDEX('🔖 배합비 참조'!$B$2:$CE$83,MATCH("알룰로오스(국내산)",'🔖 배합비 참조'!$A$2:$A$83,0),MATCH($C127,'🔖 배합비 참조'!$B$1:$CE$1,0))/100,0),""))),"")</f>
        <v>0</v>
      </c>
      <c r="BH127" s="39" t="n">
        <f aca="false">IFERROR(IF($C127="","",IF($D127="","",IFERROR(ROUND($D127*INDEX('🔖 배합비 참조'!$B$2:$CE$83,MATCH("연유",'🔖 배합비 참조'!$A$2:$A$83,0),MATCH($C127,'🔖 배합비 참조'!$B$1:$CE$1,0))/100,0),""))),"")</f>
        <v>0</v>
      </c>
      <c r="BI127" s="39" t="n">
        <f aca="false">IFERROR(IF($C127="","",IF($D127="","",IFERROR(ROUND($D127*INDEX('🔖 배합비 참조'!$B$2:$CE$83,MATCH("옥수수전분",'🔖 배합비 참조'!$A$2:$A$83,0),MATCH($C127,'🔖 배합비 참조'!$B$1:$CE$1,0))/100,0),""))),"")</f>
        <v>2</v>
      </c>
      <c r="BJ127" s="39" t="n">
        <f aca="false">IFERROR(IF($C127="","",IF($D127="","",IFERROR(ROUND($D127*INDEX('🔖 배합비 참조'!$B$2:$CE$83,MATCH("완두배기",'🔖 배합비 참조'!$A$2:$A$83,0),MATCH($C127,'🔖 배합비 참조'!$B$1:$CE$1,0))/100,0),""))),"")</f>
        <v>0</v>
      </c>
      <c r="BK127" s="39" t="n">
        <f aca="false">IFERROR(IF($C127="","",IF($D127="","",IFERROR(ROUND($D127*INDEX('🔖 배합비 참조'!$B$2:$CE$83,MATCH("우유(국내산)",'🔖 배합비 참조'!$A$2:$A$83,0),MATCH($C127,'🔖 배합비 참조'!$B$1:$CE$1,0))/100,0),""))),"")</f>
        <v>0</v>
      </c>
      <c r="BL127" s="39" t="n">
        <f aca="false">IFERROR(IF($C127="","",IF($D127="","",IFERROR(ROUND($D127*INDEX('🔖 배합비 참조'!$B$2:$CE$83,MATCH("자색고구마가루(중국산)",'🔖 배합비 참조'!$A$2:$A$83,0),MATCH($C127,'🔖 배합비 참조'!$B$1:$CE$1,0))/100,0),""))),"")</f>
        <v>0</v>
      </c>
      <c r="BM127" s="39" t="n">
        <f aca="false">IFERROR(IF($C127="","",IF($D127="","",IFERROR(ROUND($D127*INDEX('🔖 배합비 참조'!$B$2:$CE$83,MATCH("자연치즈(체다치즈)",'🔖 배합비 참조'!$A$2:$A$83,0),MATCH($C127,'🔖 배합비 참조'!$B$1:$CE$1,0))/100,0),""))),"")</f>
        <v>0</v>
      </c>
      <c r="BN127" s="39" t="n">
        <f aca="false">IFERROR(IF($C127="","",IF($D127="","",IFERROR(ROUND($D127*INDEX('🔖 배합비 참조'!$B$2:$CE$83,MATCH("정제수",'🔖 배합비 참조'!$A$2:$A$83,0),MATCH($C127,'🔖 배합비 참조'!$B$1:$CE$1,0))/100,0),""))),"")</f>
        <v>0</v>
      </c>
      <c r="BO127" s="39" t="n">
        <f aca="false">IFERROR(IF($C127="","",IF($D127="","",IFERROR(ROUND($D127*INDEX('🔖 배합비 참조'!$B$2:$CE$83,MATCH("젤라틴",'🔖 배합비 참조'!$A$2:$A$83,0),MATCH($C127,'🔖 배합비 참조'!$B$1:$CE$1,0))/100,0),""))),"")</f>
        <v>0</v>
      </c>
      <c r="BP127" s="39" t="n">
        <f aca="false">IFERROR(IF($C127="","",IF($D127="","",IFERROR(ROUND($D127*INDEX('🔖 배합비 참조'!$B$2:$CE$83,MATCH("조림류(백옥앙금)",'🔖 배합비 참조'!$A$2:$A$83,0),MATCH($C127,'🔖 배합비 참조'!$B$1:$CE$1,0))/100,0),""))),"")</f>
        <v>0</v>
      </c>
      <c r="BQ127" s="39" t="n">
        <f aca="false">IFERROR(IF($C127="","",IF($D127="","",IFERROR(ROUND($D127*INDEX('🔖 배합비 참조'!$B$2:$CE$83,MATCH("조림류(통팥앙금)",'🔖 배합비 참조'!$A$2:$A$83,0),MATCH($C127,'🔖 배합비 참조'!$B$1:$CE$1,0))/100,0),""))),"")</f>
        <v>63</v>
      </c>
      <c r="BR127" s="39" t="n">
        <f aca="false">IFERROR(IF($C127="","",IF($D127="","",IFERROR(ROUND($D127*INDEX('🔖 배합비 참조'!$B$2:$CE$83,MATCH("준초콜릿(외국산)",'🔖 배합비 참조'!$A$2:$A$83,0),MATCH($C127,'🔖 배합비 참조'!$B$1:$CE$1,0))/100,0),""))),"")</f>
        <v>0</v>
      </c>
      <c r="BS127" s="39" t="n">
        <f aca="false">IFERROR(IF($C127="","",IF($D127="","",IFERROR(ROUND($D127*INDEX('🔖 배합비 참조'!$B$2:$CE$83,MATCH("중력분",'🔖 배합비 참조'!$A$2:$A$83,0),MATCH($C127,'🔖 배합비 참조'!$B$1:$CE$1,0))/100,0),""))),"")</f>
        <v>0</v>
      </c>
      <c r="BT127" s="39" t="n">
        <f aca="false">IFERROR(IF($C127="","",IF($D127="","",IFERROR(ROUND($D127*INDEX('🔖 배합비 참조'!$B$2:$CE$83,MATCH("참깨(인도산,나이지리아산,탄자니아산,미얀마산)",'🔖 배합비 참조'!$A$2:$A$83,0),MATCH($C127,'🔖 배합비 참조'!$B$1:$CE$1,0))/100,0),""))),"")</f>
        <v>0</v>
      </c>
      <c r="BU127" s="39" t="n">
        <f aca="false">IFERROR(IF($C127="","",IF($D127="","",IFERROR(ROUND($D127*INDEX('🔖 배합비 참조'!$B$2:$CE$83,MATCH("찹쌀(국내산)",'🔖 배합비 참조'!$A$2:$A$83,0),MATCH($C127,'🔖 배합비 참조'!$B$1:$CE$1,0))/100,0),""))),"")</f>
        <v>67</v>
      </c>
      <c r="BV127" s="39" t="n">
        <f aca="false">IFERROR(IF($C127="","",IF($D127="","",IFERROR(ROUND($D127*INDEX('🔖 배합비 참조'!$B$2:$CE$83,MATCH("천일염",'🔖 배합비 참조'!$A$2:$A$83,0),MATCH($C127,'🔖 배합비 참조'!$B$1:$CE$1,0))/100,0),""))),"")</f>
        <v>1</v>
      </c>
      <c r="BW127" s="39" t="n">
        <f aca="false">IFERROR(IF($C127="","",IF($D127="","",IFERROR(ROUND($D127*INDEX('🔖 배합비 참조'!$B$2:$CE$83,MATCH("치즈 [크림치즈]",'🔖 배합비 참조'!$A$2:$A$83,0),MATCH($C127,'🔖 배합비 참조'!$B$1:$CE$1,0))/100,0),""))),"")</f>
        <v>0</v>
      </c>
      <c r="BX127" s="39" t="n">
        <f aca="false">IFERROR(IF($C127="","",IF($D127="","",IFERROR(ROUND($D127*INDEX('🔖 배합비 참조'!$B$2:$CE$83,MATCH("코코아가공품류(코코아분말)",'🔖 배합비 참조'!$A$2:$A$83,0),MATCH($C127,'🔖 배합비 참조'!$B$1:$CE$1,0))/100,0),""))),"")</f>
        <v>0</v>
      </c>
      <c r="BY127" s="39" t="n">
        <f aca="false">IFERROR(IF($C127="","",IF($D127="","",IFERROR(ROUND($D127*INDEX('🔖 배합비 참조'!$B$2:$CE$83,MATCH("콩기름(대두유)",'🔖 배합비 참조'!$A$2:$A$83,0),MATCH($C127,'🔖 배합비 참조'!$B$1:$CE$1,0))/100,0),""))),"")</f>
        <v>0</v>
      </c>
      <c r="BZ127" s="39" t="n">
        <f aca="false">IFERROR(IF($C127="","",IF($D127="","",IFERROR(ROUND($D127*INDEX('🔖 배합비 참조'!$B$2:$CE$83,MATCH("해바라기씨앗",'🔖 배합비 참조'!$A$2:$A$83,0),MATCH($C127,'🔖 배합비 참조'!$B$1:$CE$1,0))/100,0),""))),"")</f>
        <v>0</v>
      </c>
      <c r="CA127" s="39" t="n">
        <f aca="false">IFERROR(IF($C127="","",IF($D127="","",IFERROR(ROUND($D127*INDEX('🔖 배합비 참조'!$B$2:$CE$83,MATCH("현미(국내산)",'🔖 배합비 참조'!$A$2:$A$83,0),MATCH($C127,'🔖 배합비 참조'!$B$1:$CE$1,0))/100,0),""))),"")</f>
        <v>0</v>
      </c>
      <c r="CB127" s="39" t="n">
        <f aca="false">IFERROR(IF($C127="","",IF($D127="","",IFERROR(ROUND($D127*INDEX('🔖 배합비 참조'!$B$2:$CE$83,MATCH("현미멥쌀(국내산)",'🔖 배합비 참조'!$A$2:$A$83,0),MATCH($C127,'🔖 배합비 참조'!$B$1:$CE$1,0))/100,0),""))),"")</f>
        <v>0</v>
      </c>
      <c r="CC127" s="39" t="n">
        <f aca="false">IFERROR(IF($C127="","",IF($D127="","",IFERROR(ROUND($D127*INDEX('🔖 배합비 참조'!$B$2:$CE$83,MATCH("호두분태(미국산)",'🔖 배합비 참조'!$A$2:$A$83,0),MATCH($C127,'🔖 배합비 참조'!$B$1:$CE$1,0))/100,0),""))),"")</f>
        <v>0</v>
      </c>
      <c r="CD127" s="39" t="n">
        <f aca="false">IFERROR(IF($C127="","",IF($D127="","",IFERROR(ROUND($D127*INDEX('🔖 배합비 참조'!$B$2:$CE$83,MATCH("호박씨앗(외국산)",'🔖 배합비 참조'!$A$2:$A$83,0),MATCH($C127,'🔖 배합비 참조'!$B$1:$CE$1,0))/100,0),""))),"")</f>
        <v>0</v>
      </c>
      <c r="CE127" s="39" t="n">
        <f aca="false">IFERROR(IF($C127="","",IF($D127="","",IFERROR(ROUND($D127*INDEX('🔖 배합비 참조'!$B$2:$CE$83,MATCH("혼합제제(떡용에스텔)",'🔖 배합비 참조'!$A$2:$A$83,0),MATCH($C127,'🔖 배합비 참조'!$B$1:$CE$1,0))/100,0),""))),"")</f>
        <v>1</v>
      </c>
      <c r="CF127" s="39" t="n">
        <f aca="false">IFERROR(IF($C127="","",IF($D127="","",IFERROR(ROUND($D127*INDEX('🔖 배합비 참조'!$B$2:$CE$83,MATCH("혼합제제(스테비아)",'🔖 배합비 참조'!$A$2:$A$83,0),MATCH($C127,'🔖 배합비 참조'!$B$1:$CE$1,0))/100,0),""))),"")</f>
        <v>0</v>
      </c>
      <c r="CG127" s="39" t="n">
        <f aca="false">IFERROR(IF($C127="","",IF($D127="","",IFERROR(ROUND($D127*INDEX('🔖 배합비 참조'!$B$2:$CE$83,MATCH("화이트초콜릿",'🔖 배합비 참조'!$A$2:$A$83,0),MATCH($C127,'🔖 배합비 참조'!$B$1:$CE$1,0))/100,0),""))),"")</f>
        <v>0</v>
      </c>
      <c r="CH127" s="39" t="n">
        <f aca="false">IFERROR(IF($C127="","",IF($D127="","",IFERROR(ROUND($D127*INDEX('🔖 배합비 참조'!$B$2:$CE$83,MATCH("흑미찹쌀(국내산)",'🔖 배합비 참조'!$A$2:$A$83,0),MATCH($C127,'🔖 배합비 참조'!$B$1:$CE$1,0))/100,0),""))),"")</f>
        <v>0</v>
      </c>
      <c r="CI127" s="39" t="n">
        <f aca="false">IFERROR(IF($C127="","",IF($D127="","",IFERROR(ROUND($D127*INDEX('🔖 배합비 참조'!$B$2:$CE$83,MATCH("찰옥수수전분(미국산)",'🔖 배합비 참조'!$A$2:$A$83,0),MATCH($C127,'🔖 배합비 참조'!$B$1:$CE$1,0))/100,0),""))),"")</f>
        <v>0</v>
      </c>
      <c r="CJ127" s="40"/>
      <c r="CL127" s="1" t="s">
        <v>239</v>
      </c>
    </row>
    <row r="128" customFormat="false" ht="18" hidden="false" customHeight="true" outlineLevel="0" collapsed="false">
      <c r="A128" s="41" t="n">
        <v>124</v>
      </c>
      <c r="B128" s="36" t="n">
        <v>46007</v>
      </c>
      <c r="C128" s="37" t="s">
        <v>206</v>
      </c>
      <c r="D128" s="38" t="n">
        <v>70</v>
      </c>
      <c r="E128" s="17"/>
      <c r="F128" s="17"/>
      <c r="G128" s="42" t="n">
        <f aca="false">IFERROR(IF($C128="","",IF($D128="","",IFERROR(ROUND($D128*INDEX('🔖 배합비 참조'!$B$2:$CE$83,MATCH("간장",'🔖 배합비 참조'!$A$2:$A$83,0),MATCH($C128,'🔖 배합비 참조'!$B$1:$CE$1,0))/100,0),""))),"")</f>
        <v>0</v>
      </c>
      <c r="H128" s="42" t="n">
        <f aca="false">IFERROR(IF($C128="","",IF($D128="","",IFERROR(ROUND($D128*INDEX('🔖 배합비 참조'!$B$2:$CE$83,MATCH("강낭콩((울타리콩))",'🔖 배합비 참조'!$A$2:$A$83,0),MATCH($C128,'🔖 배합비 참조'!$B$1:$CE$1,0))/100,0),""))),"")</f>
        <v>0</v>
      </c>
      <c r="I128" s="42" t="n">
        <f aca="false">IFERROR(IF($C128="","",IF($D128="","",IFERROR(ROUND($D128*INDEX('🔖 배합비 참조'!$B$2:$CE$83,MATCH("건조딸기다이스(외국산)",'🔖 배합비 참조'!$A$2:$A$83,0),MATCH($C128,'🔖 배합비 참조'!$B$1:$CE$1,0))/100,0),""))),"")</f>
        <v>0</v>
      </c>
      <c r="J128" s="42" t="n">
        <f aca="false">IFERROR(IF($C128="","",IF($D128="","",IFERROR(ROUND($D128*INDEX('🔖 배합비 참조'!$B$2:$CE$83,MATCH("건포도",'🔖 배합비 참조'!$A$2:$A$83,0),MATCH($C128,'🔖 배합비 참조'!$B$1:$CE$1,0))/100,0),""))),"")</f>
        <v>0</v>
      </c>
      <c r="K128" s="42" t="n">
        <f aca="false">IFERROR(IF($C128="","",IF($D128="","",IFERROR(ROUND($D128*INDEX('🔖 배합비 참조'!$B$2:$CE$83,MATCH("건호박채(중국산)",'🔖 배합비 참조'!$A$2:$A$83,0),MATCH($C128,'🔖 배합비 참조'!$B$1:$CE$1,0))/100,0),""))),"")</f>
        <v>0</v>
      </c>
      <c r="L128" s="42" t="n">
        <f aca="false">IFERROR(IF($C128="","",IF($D128="","",IFERROR(ROUND($D128*INDEX('🔖 배합비 참조'!$B$2:$CE$83,MATCH("검정깨(흑임자)",'🔖 배합비 참조'!$A$2:$A$83,0),MATCH($C128,'🔖 배합비 참조'!$B$1:$CE$1,0))/100,0),""))),"")</f>
        <v>0</v>
      </c>
      <c r="M128" s="42" t="n">
        <f aca="false">IFERROR(IF($C128="","",IF($D128="","",IFERROR(ROUND($D128*INDEX('🔖 배합비 참조'!$B$2:$CE$83,MATCH("검정콩",'🔖 배합비 참조'!$A$2:$A$83,0),MATCH($C128,'🔖 배합비 참조'!$B$1:$CE$1,0))/100,0),""))),"")</f>
        <v>0</v>
      </c>
      <c r="N128" s="42" t="n">
        <f aca="false">IFERROR(IF($C128="","",IF($D128="","",IFERROR(ROUND($D128*INDEX('🔖 배합비 참조'!$B$2:$CE$83,MATCH("계피가루",'🔖 배합비 참조'!$A$2:$A$83,0),MATCH($C128,'🔖 배합비 참조'!$B$1:$CE$1,0))/100,0),""))),"")</f>
        <v>0</v>
      </c>
      <c r="O128" s="42" t="n">
        <f aca="false">IFERROR(IF($C128="","",IF($D128="","",IFERROR(ROUND($D128*INDEX('🔖 배합비 참조'!$B$2:$CE$83,MATCH("고구마가루",'🔖 배합비 참조'!$A$2:$A$83,0),MATCH($C128,'🔖 배합비 참조'!$B$1:$CE$1,0))/100,0),""))),"")</f>
        <v>0</v>
      </c>
      <c r="P128" s="42" t="n">
        <f aca="false">IFERROR(IF($C128="","",IF($D128="","",IFERROR(ROUND($D128*INDEX('🔖 배합비 참조'!$B$2:$CE$83,MATCH("고구마무스",'🔖 배합비 참조'!$A$2:$A$83,0),MATCH($C128,'🔖 배합비 참조'!$B$1:$CE$1,0))/100,0),""))),"")</f>
        <v>0</v>
      </c>
      <c r="Q128" s="42" t="n">
        <f aca="false">IFERROR(IF($C128="","",IF($D128="","",IFERROR(ROUND($D128*INDEX('🔖 배합비 참조'!$B$2:$CE$83,MATCH("고려엉겅퀴((곤드레)국내산)",'🔖 배합비 참조'!$A$2:$A$83,0),MATCH($C128,'🔖 배합비 참조'!$B$1:$CE$1,0))/100,0),""))),"")</f>
        <v>0</v>
      </c>
      <c r="R128" s="42" t="n">
        <f aca="false">IFERROR(IF($C128="","",IF($D128="","",IFERROR(ROUND($D128*INDEX('🔖 배합비 참조'!$B$2:$CE$83,MATCH("기타가공품(복분자가루)",'🔖 배합비 참조'!$A$2:$A$83,0),MATCH($C128,'🔖 배합비 참조'!$B$1:$CE$1,0))/100,0),""))),"")</f>
        <v>0</v>
      </c>
      <c r="S128" s="42" t="n">
        <f aca="false">IFERROR(IF($C128="","",IF($D128="","",IFERROR(ROUND($D128*INDEX('🔖 배합비 참조'!$B$2:$CE$83,MATCH("기타가공품(슈퍼소프트엠)",'🔖 배합비 참조'!$A$2:$A$83,0),MATCH($C128,'🔖 배합비 참조'!$B$1:$CE$1,0))/100,0),""))),"")</f>
        <v>0</v>
      </c>
      <c r="T128" s="42" t="n">
        <f aca="false">IFERROR(IF($C128="","",IF($D128="","",IFERROR(ROUND($D128*INDEX('🔖 배합비 참조'!$B$2:$CE$83,MATCH("기타가공품(파인소프트 E-티)",'🔖 배합비 참조'!$A$2:$A$83,0),MATCH($C128,'🔖 배합비 참조'!$B$1:$CE$1,0))/100,0),""))),"")</f>
        <v>0</v>
      </c>
      <c r="U128" s="42" t="n">
        <f aca="false">IFERROR(IF($C128="","",IF($D128="","",IFERROR(ROUND($D128*INDEX('🔖 배합비 참조'!$B$2:$CE$83,MATCH("기타가공품(프리미엄카스테라가루)",'🔖 배합비 참조'!$A$2:$A$83,0),MATCH($C128,'🔖 배합비 참조'!$B$1:$CE$1,0))/100,0),""))),"")</f>
        <v>0</v>
      </c>
      <c r="V128" s="42" t="n">
        <f aca="false">IFERROR(IF($C128="","",IF($D128="","",IFERROR(ROUND($D128*INDEX('🔖 배합비 참조'!$B$2:$CE$83,MATCH("기타가공품(흑임자가루)",'🔖 배합비 참조'!$A$2:$A$83,0),MATCH($C128,'🔖 배합비 참조'!$B$1:$CE$1,0))/100,0),""))),"")</f>
        <v>0</v>
      </c>
      <c r="W128" s="42" t="n">
        <f aca="false">IFERROR(IF($C128="","",IF($D128="","",IFERROR(ROUND($D128*INDEX('🔖 배합비 참조'!$B$2:$CE$83,MATCH("기타설탕(흑설탕)",'🔖 배합비 참조'!$A$2:$A$83,0),MATCH($C128,'🔖 배합비 참조'!$B$1:$CE$1,0))/100,0),""))),"")</f>
        <v>0</v>
      </c>
      <c r="X128" s="42" t="n">
        <f aca="false">IFERROR(IF($C128="","",IF($D128="","",IFERROR(ROUND($D128*INDEX('🔖 배합비 참조'!$B$2:$CE$83,MATCH("냉동쑥(국내산)",'🔖 배합비 참조'!$A$2:$A$83,0),MATCH($C128,'🔖 배합비 참조'!$B$1:$CE$1,0))/100,0),""))),"")</f>
        <v>0</v>
      </c>
      <c r="Y128" s="42" t="n">
        <f aca="false">IFERROR(IF($C128="","",IF($D128="","",IFERROR(ROUND($D128*INDEX('🔖 배합비 참조'!$B$2:$CE$83,MATCH("냉동증숙고구마(중국산)",'🔖 배합비 참조'!$A$2:$A$83,0),MATCH($C128,'🔖 배합비 참조'!$B$1:$CE$1,0))/100,0),""))),"")</f>
        <v>0</v>
      </c>
      <c r="Z128" s="42" t="n">
        <f aca="false">IFERROR(IF($C128="","",IF($D128="","",IFERROR(ROUND($D128*INDEX('🔖 배합비 참조'!$B$2:$CE$83,MATCH("녹차가루",'🔖 배합비 참조'!$A$2:$A$83,0),MATCH($C128,'🔖 배합비 참조'!$B$1:$CE$1,0))/100,0),""))),"")</f>
        <v>0</v>
      </c>
      <c r="AA128" s="42" t="n">
        <f aca="false">IFERROR(IF($C128="","",IF($D128="","",IFERROR(ROUND($D128*INDEX('🔖 배합비 참조'!$B$2:$CE$83,MATCH("다크초콜릿 컴파운드칩",'🔖 배합비 참조'!$A$2:$A$83,0),MATCH($C128,'🔖 배합비 참조'!$B$1:$CE$1,0))/100,0),""))),"")</f>
        <v>0</v>
      </c>
      <c r="AB128" s="42" t="n">
        <f aca="false">IFERROR(IF($C128="","",IF($D128="","",IFERROR(ROUND($D128*INDEX('🔖 배합비 참조'!$B$2:$CE$83,MATCH("단호박분말(중국산)",'🔖 배합비 참조'!$A$2:$A$83,0),MATCH($C128,'🔖 배합비 참조'!$B$1:$CE$1,0))/100,0),""))),"")</f>
        <v>0</v>
      </c>
      <c r="AC128" s="42" t="n">
        <f aca="false">IFERROR(IF($C128="","",IF($D128="","",IFERROR(ROUND($D128*INDEX('🔖 배합비 참조'!$B$2:$CE$83,MATCH("당류가공품(단호박농축액)",'🔖 배합비 참조'!$A$2:$A$83,0),MATCH($C128,'🔖 배합비 참조'!$B$1:$CE$1,0))/100,0),""))),"")</f>
        <v>0</v>
      </c>
      <c r="AD128" s="42" t="n">
        <f aca="false">IFERROR(IF($C128="","",IF($D128="","",IFERROR(ROUND($D128*INDEX('🔖 배합비 참조'!$B$2:$CE$83,MATCH("당류가공품(알룰로스,에리스리톨,스테비올배당체혼합)",'🔖 배합비 참조'!$A$2:$A$83,0),MATCH($C128,'🔖 배합비 참조'!$B$1:$CE$1,0))/100,0),""))),"")</f>
        <v>0</v>
      </c>
      <c r="AE128" s="42" t="n">
        <f aca="false">IFERROR(IF($C128="","",IF($D128="","",IFERROR(ROUND($D128*INDEX('🔖 배합비 참조'!$B$2:$CE$83,MATCH("당류가공품(알룰로스제로파우더)",'🔖 배합비 참조'!$A$2:$A$83,0),MATCH($C128,'🔖 배합비 참조'!$B$1:$CE$1,0))/100,0),""))),"")</f>
        <v>0</v>
      </c>
      <c r="AF128" s="42" t="n">
        <f aca="false">IFERROR(IF($C128="","",IF($D128="","",IFERROR(ROUND($D128*INDEX('🔖 배합비 참조'!$B$2:$CE$83,MATCH("당절임(완두배기)",'🔖 배합비 참조'!$A$2:$A$83,0),MATCH($C128,'🔖 배합비 참조'!$B$1:$CE$1,0))/100,0),""))),"")</f>
        <v>0</v>
      </c>
      <c r="AG128" s="42" t="n">
        <f aca="false">IFERROR(IF($C128="","",IF($D128="","",IFERROR(ROUND($D128*INDEX('🔖 배합비 참조'!$B$2:$CE$83,MATCH("대추농축액",'🔖 배합비 참조'!$A$2:$A$83,0),MATCH($C128,'🔖 배합비 참조'!$B$1:$CE$1,0))/100,0),""))),"")</f>
        <v>0</v>
      </c>
      <c r="AH128" s="42" t="n">
        <f aca="false">IFERROR(IF($C128="","",IF($D128="","",IFERROR(ROUND($D128*INDEX('🔖 배합비 참조'!$B$2:$CE$83,MATCH("대추채(국내산)",'🔖 배합비 참조'!$A$2:$A$83,0),MATCH($C128,'🔖 배합비 참조'!$B$1:$CE$1,0))/100,0),""))),"")</f>
        <v>0</v>
      </c>
      <c r="AI128" s="42" t="n">
        <f aca="false">IFERROR(IF($C128="","",IF($D128="","",IFERROR(ROUND($D128*INDEX('🔖 배합비 참조'!$B$2:$CE$83,MATCH("동부(미얀마산)",'🔖 배합비 참조'!$A$2:$A$83,0),MATCH($C128,'🔖 배합비 참조'!$B$1:$CE$1,0))/100,0),""))),"")</f>
        <v>0</v>
      </c>
      <c r="AJ128" s="42" t="n">
        <f aca="false">IFERROR(IF($C128="","",IF($D128="","",IFERROR(ROUND($D128*INDEX('🔖 배합비 참조'!$B$2:$CE$83,MATCH("두류가공품(백옥앙금)",'🔖 배합비 참조'!$A$2:$A$83,0),MATCH($C128,'🔖 배합비 참조'!$B$1:$CE$1,0))/100,0),""))),"")</f>
        <v>0</v>
      </c>
      <c r="AK128" s="42" t="n">
        <f aca="false">IFERROR(IF($C128="","",IF($D128="","",IFERROR(ROUND($D128*INDEX('🔖 배합비 참조'!$B$2:$CE$83,MATCH("두류가공품(콩고물)",'🔖 배합비 참조'!$A$2:$A$83,0),MATCH($C128,'🔖 배합비 참조'!$B$1:$CE$1,0))/100,0),""))),"")</f>
        <v>0</v>
      </c>
      <c r="AL128" s="42" t="n">
        <f aca="false">IFERROR(IF($C128="","",IF($D128="","",IFERROR(ROUND($D128*INDEX('🔖 배합비 참조'!$B$2:$CE$83,MATCH("두류가공품(통팥고물)",'🔖 배합비 참조'!$A$2:$A$83,0),MATCH($C128,'🔖 배합비 참조'!$B$1:$CE$1,0))/100,0),""))),"")</f>
        <v>0</v>
      </c>
      <c r="AM128" s="42" t="n">
        <f aca="false">IFERROR(IF($C128="","",IF($D128="","",IFERROR(ROUND($D128*INDEX('🔖 배합비 참조'!$B$2:$CE$83,MATCH("딸기레진",'🔖 배합비 참조'!$A$2:$A$83,0),MATCH($C128,'🔖 배합비 참조'!$B$1:$CE$1,0))/100,0),""))),"")</f>
        <v>0</v>
      </c>
      <c r="AN128" s="42" t="n">
        <f aca="false">IFERROR(IF($C128="","",IF($D128="","",IFERROR(ROUND($D128*INDEX('🔖 배합비 참조'!$B$2:$CE$83,MATCH("딸기분말(스트로우베리에이드(분말))",'🔖 배합비 참조'!$A$2:$A$83,0),MATCH($C128,'🔖 배합비 참조'!$B$1:$CE$1,0))/100,0),""))),"")</f>
        <v>0</v>
      </c>
      <c r="AO128" s="42" t="n">
        <f aca="false">IFERROR(IF($C128="","",IF($D128="","",IFERROR(ROUND($D128*INDEX('🔖 배합비 참조'!$B$2:$CE$83,MATCH("마스카포네치즈",'🔖 배합비 참조'!$A$2:$A$83,0),MATCH($C128,'🔖 배합비 참조'!$B$1:$CE$1,0))/100,0),""))),"")</f>
        <v>0</v>
      </c>
      <c r="AP128" s="42" t="n">
        <f aca="false">IFERROR(IF($C128="","",IF($D128="","",IFERROR(ROUND($D128*INDEX('🔖 배합비 참조'!$B$2:$CE$83,MATCH("마카다미아분태(호주산)",'🔖 배합비 참조'!$A$2:$A$83,0),MATCH($C128,'🔖 배합비 참조'!$B$1:$CE$1,0))/100,0),""))),"")</f>
        <v>0</v>
      </c>
      <c r="AQ128" s="42" t="n">
        <f aca="false">IFERROR(IF($C128="","",IF($D128="","",IFERROR(ROUND($D128*INDEX('🔖 배합비 참조'!$B$2:$CE$83,MATCH("멥쌀(국내산)",'🔖 배합비 참조'!$A$2:$A$83,0),MATCH($C128,'🔖 배합비 참조'!$B$1:$CE$1,0))/100,0),""))),"")</f>
        <v>0</v>
      </c>
      <c r="AR128" s="42" t="n">
        <f aca="false">IFERROR(IF($C128="","",IF($D128="","",IFERROR(ROUND($D128*INDEX('🔖 배합비 참조'!$B$2:$CE$83,MATCH("모시잎(국내산)",'🔖 배합비 참조'!$A$2:$A$83,0),MATCH($C128,'🔖 배합비 참조'!$B$1:$CE$1,0))/100,0),""))),"")</f>
        <v>0</v>
      </c>
      <c r="AS128" s="42" t="n">
        <f aca="false">IFERROR(IF($C128="","",IF($D128="","",IFERROR(ROUND($D128*INDEX('🔖 배합비 참조'!$B$2:$CE$83,MATCH("물엿(저당물엿)",'🔖 배합비 참조'!$A$2:$A$83,0),MATCH($C128,'🔖 배합비 참조'!$B$1:$CE$1,0))/100,0),""))),"")</f>
        <v>3</v>
      </c>
      <c r="AT128" s="42" t="n">
        <f aca="false">IFERROR(IF($C128="","",IF($D128="","",IFERROR(ROUND($D128*INDEX('🔖 배합비 참조'!$B$2:$CE$83,MATCH("밤다이스",'🔖 배합비 참조'!$A$2:$A$83,0),MATCH($C128,'🔖 배합비 참조'!$B$1:$CE$1,0))/100,0),""))),"")</f>
        <v>0</v>
      </c>
      <c r="AU128" s="42" t="n">
        <f aca="false">IFERROR(IF($C128="","",IF($D128="","",IFERROR(ROUND($D128*INDEX('🔖 배합비 참조'!$B$2:$CE$83,MATCH("변성전분(타피오카전분)",'🔖 배합비 참조'!$A$2:$A$83,0),MATCH($C128,'🔖 배합비 참조'!$B$1:$CE$1,0))/100,0),""))),"")</f>
        <v>0</v>
      </c>
      <c r="AV128" s="42" t="n">
        <f aca="false">IFERROR(IF($C128="","",IF($D128="","",IFERROR(ROUND($D128*INDEX('🔖 배합비 참조'!$B$2:$CE$83,MATCH("복음땅콩분태",'🔖 배합비 참조'!$A$2:$A$83,0),MATCH($C128,'🔖 배합비 참조'!$B$1:$CE$1,0))/100,0),""))),"")</f>
        <v>0</v>
      </c>
      <c r="AW128" s="42" t="n">
        <f aca="false">IFERROR(IF($C128="","",IF($D128="","",IFERROR(ROUND($D128*INDEX('🔖 배합비 참조'!$B$2:$CE$83,MATCH("사양벌꿀(국내산)",'🔖 배합비 참조'!$A$2:$A$83,0),MATCH($C128,'🔖 배합비 참조'!$B$1:$CE$1,0))/100,0),""))),"")</f>
        <v>0</v>
      </c>
      <c r="AX128" s="42" t="n">
        <f aca="false">IFERROR(IF($C128="","",IF($D128="","",IFERROR(ROUND($D128*INDEX('🔖 배합비 참조'!$B$2:$CE$83,MATCH("생크림",'🔖 배합비 참조'!$A$2:$A$83,0),MATCH($C128,'🔖 배합비 참조'!$B$1:$CE$1,0))/100,0),""))),"")</f>
        <v>0</v>
      </c>
      <c r="AY128" s="42" t="n">
        <f aca="false">IFERROR(IF($C128="","",IF($D128="","",IFERROR(ROUND($D128*INDEX('🔖 배합비 참조'!$B$2:$CE$83,MATCH("서양호박(국내산,뉴질랜드산)",'🔖 배합비 참조'!$A$2:$A$83,0),MATCH($C128,'🔖 배합비 참조'!$B$1:$CE$1,0))/100,0),""))),"")</f>
        <v>0</v>
      </c>
      <c r="AZ128" s="42" t="n">
        <f aca="false">IFERROR(IF($C128="","",IF($D128="","",IFERROR(ROUND($D128*INDEX('🔖 배합비 참조'!$B$2:$CE$83,MATCH("설탕",'🔖 배합비 참조'!$A$2:$A$83,0),MATCH($C128,'🔖 배합비 참조'!$B$1:$CE$1,0))/100,0),""))),"")</f>
        <v>3</v>
      </c>
      <c r="BA128" s="42" t="n">
        <f aca="false">IFERROR(IF($C128="","",IF($D128="","",IFERROR(ROUND($D128*INDEX('🔖 배합비 참조'!$B$2:$CE$83,MATCH("스트로우베리 에이드 후레쉬",'🔖 배합비 참조'!$A$2:$A$83,0),MATCH($C128,'🔖 배합비 참조'!$B$1:$CE$1,0))/100,0),""))),"")</f>
        <v>0</v>
      </c>
      <c r="BB128" s="42" t="n">
        <f aca="false">IFERROR(IF($C128="","",IF($D128="","",IFERROR(ROUND($D128*INDEX('🔖 배합비 참조'!$B$2:$CE$83,MATCH("식물성기름혼합제제(분홍)",'🔖 배합비 참조'!$A$2:$A$83,0),MATCH($C128,'🔖 배합비 참조'!$B$1:$CE$1,0))/100,0),""))),"")</f>
        <v>0</v>
      </c>
      <c r="BC128" s="42" t="n">
        <f aca="false">IFERROR(IF($C128="","",IF($D128="","",IFERROR(ROUND($D128*INDEX('🔖 배합비 참조'!$B$2:$CE$83,MATCH("식물성기름혼합제제(초록)",'🔖 배합비 참조'!$A$2:$A$83,0),MATCH($C128,'🔖 배합비 참조'!$B$1:$CE$1,0))/100,0),""))),"")</f>
        <v>0</v>
      </c>
      <c r="BD128" s="42" t="n">
        <f aca="false">IFERROR(IF($C128="","",IF($D128="","",IFERROR(ROUND($D128*INDEX('🔖 배합비 참조'!$B$2:$CE$83,MATCH("식물성기름혼합제제(황색)",'🔖 배합비 참조'!$A$2:$A$83,0),MATCH($C128,'🔖 배합비 참조'!$B$1:$CE$1,0))/100,0),""))),"")</f>
        <v>0</v>
      </c>
      <c r="BE128" s="42" t="n">
        <f aca="false">IFERROR(IF($C128="","",IF($D128="","",IFERROR(ROUND($D128*INDEX('🔖 배합비 참조'!$B$2:$CE$83,MATCH("쑥가루(국내산)",'🔖 배합비 참조'!$A$2:$A$83,0),MATCH($C128,'🔖 배합비 참조'!$B$1:$CE$1,0))/100,0),""))),"")</f>
        <v>0</v>
      </c>
      <c r="BF128" s="42" t="n">
        <f aca="false">IFERROR(IF($C128="","",IF($D128="","",IFERROR(ROUND($D128*INDEX('🔖 배합비 참조'!$B$2:$CE$83,MATCH("아몬드슬라이스",'🔖 배합비 참조'!$A$2:$A$83,0),MATCH($C128,'🔖 배합비 참조'!$B$1:$CE$1,0))/100,0),""))),"")</f>
        <v>0</v>
      </c>
      <c r="BG128" s="42" t="n">
        <f aca="false">IFERROR(IF($C128="","",IF($D128="","",IFERROR(ROUND($D128*INDEX('🔖 배합비 참조'!$B$2:$CE$83,MATCH("알룰로오스(국내산)",'🔖 배합비 참조'!$A$2:$A$83,0),MATCH($C128,'🔖 배합비 참조'!$B$1:$CE$1,0))/100,0),""))),"")</f>
        <v>0</v>
      </c>
      <c r="BH128" s="42" t="n">
        <f aca="false">IFERROR(IF($C128="","",IF($D128="","",IFERROR(ROUND($D128*INDEX('🔖 배합비 참조'!$B$2:$CE$83,MATCH("연유",'🔖 배합비 참조'!$A$2:$A$83,0),MATCH($C128,'🔖 배합비 참조'!$B$1:$CE$1,0))/100,0),""))),"")</f>
        <v>0</v>
      </c>
      <c r="BI128" s="42" t="n">
        <f aca="false">IFERROR(IF($C128="","",IF($D128="","",IFERROR(ROUND($D128*INDEX('🔖 배합비 참조'!$B$2:$CE$83,MATCH("옥수수전분",'🔖 배합비 참조'!$A$2:$A$83,0),MATCH($C128,'🔖 배합비 참조'!$B$1:$CE$1,0))/100,0),""))),"")</f>
        <v>0</v>
      </c>
      <c r="BJ128" s="42" t="n">
        <f aca="false">IFERROR(IF($C128="","",IF($D128="","",IFERROR(ROUND($D128*INDEX('🔖 배합비 참조'!$B$2:$CE$83,MATCH("완두배기",'🔖 배합비 참조'!$A$2:$A$83,0),MATCH($C128,'🔖 배합비 참조'!$B$1:$CE$1,0))/100,0),""))),"")</f>
        <v>0</v>
      </c>
      <c r="BK128" s="42" t="n">
        <f aca="false">IFERROR(IF($C128="","",IF($D128="","",IFERROR(ROUND($D128*INDEX('🔖 배합비 참조'!$B$2:$CE$83,MATCH("우유(국내산)",'🔖 배합비 참조'!$A$2:$A$83,0),MATCH($C128,'🔖 배합비 참조'!$B$1:$CE$1,0))/100,0),""))),"")</f>
        <v>0</v>
      </c>
      <c r="BL128" s="42" t="n">
        <f aca="false">IFERROR(IF($C128="","",IF($D128="","",IFERROR(ROUND($D128*INDEX('🔖 배합비 참조'!$B$2:$CE$83,MATCH("자색고구마가루(중국산)",'🔖 배합비 참조'!$A$2:$A$83,0),MATCH($C128,'🔖 배합비 참조'!$B$1:$CE$1,0))/100,0),""))),"")</f>
        <v>0</v>
      </c>
      <c r="BM128" s="42" t="n">
        <f aca="false">IFERROR(IF($C128="","",IF($D128="","",IFERROR(ROUND($D128*INDEX('🔖 배합비 참조'!$B$2:$CE$83,MATCH("자연치즈(체다치즈)",'🔖 배합비 참조'!$A$2:$A$83,0),MATCH($C128,'🔖 배합비 참조'!$B$1:$CE$1,0))/100,0),""))),"")</f>
        <v>0</v>
      </c>
      <c r="BN128" s="42" t="n">
        <f aca="false">IFERROR(IF($C128="","",IF($D128="","",IFERROR(ROUND($D128*INDEX('🔖 배합비 참조'!$B$2:$CE$83,MATCH("정제수",'🔖 배합비 참조'!$A$2:$A$83,0),MATCH($C128,'🔖 배합비 참조'!$B$1:$CE$1,0))/100,0),""))),"")</f>
        <v>28</v>
      </c>
      <c r="BO128" s="42" t="n">
        <f aca="false">IFERROR(IF($C128="","",IF($D128="","",IFERROR(ROUND($D128*INDEX('🔖 배합비 참조'!$B$2:$CE$83,MATCH("젤라틴",'🔖 배합비 참조'!$A$2:$A$83,0),MATCH($C128,'🔖 배합비 참조'!$B$1:$CE$1,0))/100,0),""))),"")</f>
        <v>0</v>
      </c>
      <c r="BP128" s="42" t="n">
        <f aca="false">IFERROR(IF($C128="","",IF($D128="","",IFERROR(ROUND($D128*INDEX('🔖 배합비 참조'!$B$2:$CE$83,MATCH("조림류(백옥앙금)",'🔖 배합비 참조'!$A$2:$A$83,0),MATCH($C128,'🔖 배합비 참조'!$B$1:$CE$1,0))/100,0),""))),"")</f>
        <v>0</v>
      </c>
      <c r="BQ128" s="42" t="n">
        <f aca="false">IFERROR(IF($C128="","",IF($D128="","",IFERROR(ROUND($D128*INDEX('🔖 배합비 참조'!$B$2:$CE$83,MATCH("조림류(통팥앙금)",'🔖 배합비 참조'!$A$2:$A$83,0),MATCH($C128,'🔖 배합비 참조'!$B$1:$CE$1,0))/100,0),""))),"")</f>
        <v>0</v>
      </c>
      <c r="BR128" s="42" t="n">
        <f aca="false">IFERROR(IF($C128="","",IF($D128="","",IFERROR(ROUND($D128*INDEX('🔖 배합비 참조'!$B$2:$CE$83,MATCH("준초콜릿(외국산)",'🔖 배합비 참조'!$A$2:$A$83,0),MATCH($C128,'🔖 배합비 참조'!$B$1:$CE$1,0))/100,0),""))),"")</f>
        <v>0</v>
      </c>
      <c r="BS128" s="42" t="n">
        <f aca="false">IFERROR(IF($C128="","",IF($D128="","",IFERROR(ROUND($D128*INDEX('🔖 배합비 참조'!$B$2:$CE$83,MATCH("중력분",'🔖 배합비 참조'!$A$2:$A$83,0),MATCH($C128,'🔖 배합비 참조'!$B$1:$CE$1,0))/100,0),""))),"")</f>
        <v>1</v>
      </c>
      <c r="BT128" s="42" t="n">
        <f aca="false">IFERROR(IF($C128="","",IF($D128="","",IFERROR(ROUND($D128*INDEX('🔖 배합비 참조'!$B$2:$CE$83,MATCH("참깨(인도산,나이지리아산,탄자니아산,미얀마산)",'🔖 배합비 참조'!$A$2:$A$83,0),MATCH($C128,'🔖 배합비 참조'!$B$1:$CE$1,0))/100,0),""))),"")</f>
        <v>0</v>
      </c>
      <c r="BU128" s="42" t="n">
        <f aca="false">IFERROR(IF($C128="","",IF($D128="","",IFERROR(ROUND($D128*INDEX('🔖 배합비 참조'!$B$2:$CE$83,MATCH("찹쌀(국내산)",'🔖 배합비 참조'!$A$2:$A$83,0),MATCH($C128,'🔖 배합비 참조'!$B$1:$CE$1,0))/100,0),""))),"")</f>
        <v>33</v>
      </c>
      <c r="BV128" s="42" t="n">
        <f aca="false">IFERROR(IF($C128="","",IF($D128="","",IFERROR(ROUND($D128*INDEX('🔖 배합비 참조'!$B$2:$CE$83,MATCH("천일염",'🔖 배합비 참조'!$A$2:$A$83,0),MATCH($C128,'🔖 배합비 참조'!$B$1:$CE$1,0))/100,0),""))),"")</f>
        <v>1</v>
      </c>
      <c r="BW128" s="42" t="n">
        <f aca="false">IFERROR(IF($C128="","",IF($D128="","",IFERROR(ROUND($D128*INDEX('🔖 배합비 참조'!$B$2:$CE$83,MATCH("치즈 [크림치즈]",'🔖 배합비 참조'!$A$2:$A$83,0),MATCH($C128,'🔖 배합비 참조'!$B$1:$CE$1,0))/100,0),""))),"")</f>
        <v>0</v>
      </c>
      <c r="BX128" s="42" t="n">
        <f aca="false">IFERROR(IF($C128="","",IF($D128="","",IFERROR(ROUND($D128*INDEX('🔖 배합비 참조'!$B$2:$CE$83,MATCH("코코아가공품류(코코아분말)",'🔖 배합비 참조'!$A$2:$A$83,0),MATCH($C128,'🔖 배합비 참조'!$B$1:$CE$1,0))/100,0),""))),"")</f>
        <v>0</v>
      </c>
      <c r="BY128" s="42" t="n">
        <f aca="false">IFERROR(IF($C128="","",IF($D128="","",IFERROR(ROUND($D128*INDEX('🔖 배합비 참조'!$B$2:$CE$83,MATCH("콩기름(대두유)",'🔖 배합비 참조'!$A$2:$A$83,0),MATCH($C128,'🔖 배합비 참조'!$B$1:$CE$1,0))/100,0),""))),"")</f>
        <v>0</v>
      </c>
      <c r="BZ128" s="42" t="n">
        <f aca="false">IFERROR(IF($C128="","",IF($D128="","",IFERROR(ROUND($D128*INDEX('🔖 배합비 참조'!$B$2:$CE$83,MATCH("해바라기씨앗",'🔖 배합비 참조'!$A$2:$A$83,0),MATCH($C128,'🔖 배합비 참조'!$B$1:$CE$1,0))/100,0),""))),"")</f>
        <v>0</v>
      </c>
      <c r="CA128" s="42" t="n">
        <f aca="false">IFERROR(IF($C128="","",IF($D128="","",IFERROR(ROUND($D128*INDEX('🔖 배합비 참조'!$B$2:$CE$83,MATCH("현미(국내산)",'🔖 배합비 참조'!$A$2:$A$83,0),MATCH($C128,'🔖 배합비 참조'!$B$1:$CE$1,0))/100,0),""))),"")</f>
        <v>0</v>
      </c>
      <c r="CB128" s="42" t="n">
        <f aca="false">IFERROR(IF($C128="","",IF($D128="","",IFERROR(ROUND($D128*INDEX('🔖 배합비 참조'!$B$2:$CE$83,MATCH("현미멥쌀(국내산)",'🔖 배합비 참조'!$A$2:$A$83,0),MATCH($C128,'🔖 배합비 참조'!$B$1:$CE$1,0))/100,0),""))),"")</f>
        <v>0</v>
      </c>
      <c r="CC128" s="42" t="n">
        <f aca="false">IFERROR(IF($C128="","",IF($D128="","",IFERROR(ROUND($D128*INDEX('🔖 배합비 참조'!$B$2:$CE$83,MATCH("호두분태(미국산)",'🔖 배합비 참조'!$A$2:$A$83,0),MATCH($C128,'🔖 배합비 참조'!$B$1:$CE$1,0))/100,0),""))),"")</f>
        <v>0</v>
      </c>
      <c r="CD128" s="42" t="n">
        <f aca="false">IFERROR(IF($C128="","",IF($D128="","",IFERROR(ROUND($D128*INDEX('🔖 배합비 참조'!$B$2:$CE$83,MATCH("호박씨앗(외국산)",'🔖 배합비 참조'!$A$2:$A$83,0),MATCH($C128,'🔖 배합비 참조'!$B$1:$CE$1,0))/100,0),""))),"")</f>
        <v>0</v>
      </c>
      <c r="CE128" s="42" t="n">
        <f aca="false">IFERROR(IF($C128="","",IF($D128="","",IFERROR(ROUND($D128*INDEX('🔖 배합비 참조'!$B$2:$CE$83,MATCH("혼합제제(떡용에스텔)",'🔖 배합비 참조'!$A$2:$A$83,0),MATCH($C128,'🔖 배합비 참조'!$B$1:$CE$1,0))/100,0),""))),"")</f>
        <v>0</v>
      </c>
      <c r="CF128" s="42" t="n">
        <f aca="false">IFERROR(IF($C128="","",IF($D128="","",IFERROR(ROUND($D128*INDEX('🔖 배합비 참조'!$B$2:$CE$83,MATCH("혼합제제(스테비아)",'🔖 배합비 참조'!$A$2:$A$83,0),MATCH($C128,'🔖 배합비 참조'!$B$1:$CE$1,0))/100,0),""))),"")</f>
        <v>0</v>
      </c>
      <c r="CG128" s="42" t="n">
        <f aca="false">IFERROR(IF($C128="","",IF($D128="","",IFERROR(ROUND($D128*INDEX('🔖 배합비 참조'!$B$2:$CE$83,MATCH("화이트초콜릿",'🔖 배합비 참조'!$A$2:$A$83,0),MATCH($C128,'🔖 배합비 참조'!$B$1:$CE$1,0))/100,0),""))),"")</f>
        <v>0</v>
      </c>
      <c r="CH128" s="42" t="n">
        <f aca="false">IFERROR(IF($C128="","",IF($D128="","",IFERROR(ROUND($D128*INDEX('🔖 배합비 참조'!$B$2:$CE$83,MATCH("흑미찹쌀(국내산)",'🔖 배합비 참조'!$A$2:$A$83,0),MATCH($C128,'🔖 배합비 참조'!$B$1:$CE$1,0))/100,0),""))),"")</f>
        <v>0</v>
      </c>
      <c r="CI128" s="42" t="n">
        <f aca="false">IFERROR(IF($C128="","",IF($D128="","",IFERROR(ROUND($D128*INDEX('🔖 배합비 참조'!$B$2:$CE$83,MATCH("찰옥수수전분(미국산)",'🔖 배합비 참조'!$A$2:$A$83,0),MATCH($C128,'🔖 배합비 참조'!$B$1:$CE$1,0))/100,0),""))),"")</f>
        <v>0</v>
      </c>
      <c r="CJ128" s="40"/>
      <c r="CL128" s="1" t="s">
        <v>239</v>
      </c>
    </row>
    <row r="129" customFormat="false" ht="18" hidden="false" customHeight="true" outlineLevel="0" collapsed="false">
      <c r="A129" s="35" t="n">
        <v>125</v>
      </c>
      <c r="B129" s="36" t="n">
        <v>46007</v>
      </c>
      <c r="C129" s="37" t="s">
        <v>220</v>
      </c>
      <c r="D129" s="38" t="n">
        <v>18</v>
      </c>
      <c r="E129" s="13"/>
      <c r="F129" s="13"/>
      <c r="G129" s="39" t="n">
        <f aca="false">IFERROR(IF($C129="","",IF($D129="","",IFERROR(ROUND($D129*INDEX('🔖 배합비 참조'!$B$2:$CE$83,MATCH("간장",'🔖 배합비 참조'!$A$2:$A$83,0),MATCH($C129,'🔖 배합비 참조'!$B$1:$CE$1,0))/100,0),""))),"")</f>
        <v>0</v>
      </c>
      <c r="H129" s="39" t="n">
        <f aca="false">IFERROR(IF($C129="","",IF($D129="","",IFERROR(ROUND($D129*INDEX('🔖 배합비 참조'!$B$2:$CE$83,MATCH("강낭콩((울타리콩))",'🔖 배합비 참조'!$A$2:$A$83,0),MATCH($C129,'🔖 배합비 참조'!$B$1:$CE$1,0))/100,0),""))),"")</f>
        <v>0</v>
      </c>
      <c r="I129" s="39" t="n">
        <f aca="false">IFERROR(IF($C129="","",IF($D129="","",IFERROR(ROUND($D129*INDEX('🔖 배합비 참조'!$B$2:$CE$83,MATCH("건조딸기다이스(외국산)",'🔖 배합비 참조'!$A$2:$A$83,0),MATCH($C129,'🔖 배합비 참조'!$B$1:$CE$1,0))/100,0),""))),"")</f>
        <v>0</v>
      </c>
      <c r="J129" s="39" t="n">
        <f aca="false">IFERROR(IF($C129="","",IF($D129="","",IFERROR(ROUND($D129*INDEX('🔖 배합비 참조'!$B$2:$CE$83,MATCH("건포도",'🔖 배합비 참조'!$A$2:$A$83,0),MATCH($C129,'🔖 배합비 참조'!$B$1:$CE$1,0))/100,0),""))),"")</f>
        <v>0</v>
      </c>
      <c r="K129" s="39" t="n">
        <f aca="false">IFERROR(IF($C129="","",IF($D129="","",IFERROR(ROUND($D129*INDEX('🔖 배합비 참조'!$B$2:$CE$83,MATCH("건호박채(중국산)",'🔖 배합비 참조'!$A$2:$A$83,0),MATCH($C129,'🔖 배합비 참조'!$B$1:$CE$1,0))/100,0),""))),"")</f>
        <v>0</v>
      </c>
      <c r="L129" s="39" t="n">
        <f aca="false">IFERROR(IF($C129="","",IF($D129="","",IFERROR(ROUND($D129*INDEX('🔖 배합비 참조'!$B$2:$CE$83,MATCH("검정깨(흑임자)",'🔖 배합비 참조'!$A$2:$A$83,0),MATCH($C129,'🔖 배합비 참조'!$B$1:$CE$1,0))/100,0),""))),"")</f>
        <v>0</v>
      </c>
      <c r="M129" s="39" t="n">
        <f aca="false">IFERROR(IF($C129="","",IF($D129="","",IFERROR(ROUND($D129*INDEX('🔖 배합비 참조'!$B$2:$CE$83,MATCH("검정콩",'🔖 배합비 참조'!$A$2:$A$83,0),MATCH($C129,'🔖 배합비 참조'!$B$1:$CE$1,0))/100,0),""))),"")</f>
        <v>0</v>
      </c>
      <c r="N129" s="39" t="n">
        <f aca="false">IFERROR(IF($C129="","",IF($D129="","",IFERROR(ROUND($D129*INDEX('🔖 배합비 참조'!$B$2:$CE$83,MATCH("계피가루",'🔖 배합비 참조'!$A$2:$A$83,0),MATCH($C129,'🔖 배합비 참조'!$B$1:$CE$1,0))/100,0),""))),"")</f>
        <v>0</v>
      </c>
      <c r="O129" s="39" t="n">
        <f aca="false">IFERROR(IF($C129="","",IF($D129="","",IFERROR(ROUND($D129*INDEX('🔖 배합비 참조'!$B$2:$CE$83,MATCH("고구마가루",'🔖 배합비 참조'!$A$2:$A$83,0),MATCH($C129,'🔖 배합비 참조'!$B$1:$CE$1,0))/100,0),""))),"")</f>
        <v>0</v>
      </c>
      <c r="P129" s="39" t="n">
        <f aca="false">IFERROR(IF($C129="","",IF($D129="","",IFERROR(ROUND($D129*INDEX('🔖 배합비 참조'!$B$2:$CE$83,MATCH("고구마무스",'🔖 배합비 참조'!$A$2:$A$83,0),MATCH($C129,'🔖 배합비 참조'!$B$1:$CE$1,0))/100,0),""))),"")</f>
        <v>0</v>
      </c>
      <c r="Q129" s="39" t="n">
        <f aca="false">IFERROR(IF($C129="","",IF($D129="","",IFERROR(ROUND($D129*INDEX('🔖 배합비 참조'!$B$2:$CE$83,MATCH("고려엉겅퀴((곤드레)국내산)",'🔖 배합비 참조'!$A$2:$A$83,0),MATCH($C129,'🔖 배합비 참조'!$B$1:$CE$1,0))/100,0),""))),"")</f>
        <v>0</v>
      </c>
      <c r="R129" s="39" t="n">
        <f aca="false">IFERROR(IF($C129="","",IF($D129="","",IFERROR(ROUND($D129*INDEX('🔖 배합비 참조'!$B$2:$CE$83,MATCH("기타가공품(복분자가루)",'🔖 배합비 참조'!$A$2:$A$83,0),MATCH($C129,'🔖 배합비 참조'!$B$1:$CE$1,0))/100,0),""))),"")</f>
        <v>0</v>
      </c>
      <c r="S129" s="39" t="n">
        <f aca="false">IFERROR(IF($C129="","",IF($D129="","",IFERROR(ROUND($D129*INDEX('🔖 배합비 참조'!$B$2:$CE$83,MATCH("기타가공품(슈퍼소프트엠)",'🔖 배합비 참조'!$A$2:$A$83,0),MATCH($C129,'🔖 배합비 참조'!$B$1:$CE$1,0))/100,0),""))),"")</f>
        <v>0</v>
      </c>
      <c r="T129" s="39" t="n">
        <f aca="false">IFERROR(IF($C129="","",IF($D129="","",IFERROR(ROUND($D129*INDEX('🔖 배합비 참조'!$B$2:$CE$83,MATCH("기타가공품(파인소프트 E-티)",'🔖 배합비 참조'!$A$2:$A$83,0),MATCH($C129,'🔖 배합비 참조'!$B$1:$CE$1,0))/100,0),""))),"")</f>
        <v>0</v>
      </c>
      <c r="U129" s="39" t="n">
        <f aca="false">IFERROR(IF($C129="","",IF($D129="","",IFERROR(ROUND($D129*INDEX('🔖 배합비 참조'!$B$2:$CE$83,MATCH("기타가공품(프리미엄카스테라가루)",'🔖 배합비 참조'!$A$2:$A$83,0),MATCH($C129,'🔖 배합비 참조'!$B$1:$CE$1,0))/100,0),""))),"")</f>
        <v>0</v>
      </c>
      <c r="V129" s="39" t="n">
        <f aca="false">IFERROR(IF($C129="","",IF($D129="","",IFERROR(ROUND($D129*INDEX('🔖 배합비 참조'!$B$2:$CE$83,MATCH("기타가공품(흑임자가루)",'🔖 배합비 참조'!$A$2:$A$83,0),MATCH($C129,'🔖 배합비 참조'!$B$1:$CE$1,0))/100,0),""))),"")</f>
        <v>1</v>
      </c>
      <c r="W129" s="39" t="n">
        <f aca="false">IFERROR(IF($C129="","",IF($D129="","",IFERROR(ROUND($D129*INDEX('🔖 배합비 참조'!$B$2:$CE$83,MATCH("기타설탕(흑설탕)",'🔖 배합비 참조'!$A$2:$A$83,0),MATCH($C129,'🔖 배합비 참조'!$B$1:$CE$1,0))/100,0),""))),"")</f>
        <v>0</v>
      </c>
      <c r="X129" s="39" t="n">
        <f aca="false">IFERROR(IF($C129="","",IF($D129="","",IFERROR(ROUND($D129*INDEX('🔖 배합비 참조'!$B$2:$CE$83,MATCH("냉동쑥(국내산)",'🔖 배합비 참조'!$A$2:$A$83,0),MATCH($C129,'🔖 배합비 참조'!$B$1:$CE$1,0))/100,0),""))),"")</f>
        <v>0</v>
      </c>
      <c r="Y129" s="39" t="n">
        <f aca="false">IFERROR(IF($C129="","",IF($D129="","",IFERROR(ROUND($D129*INDEX('🔖 배합비 참조'!$B$2:$CE$83,MATCH("냉동증숙고구마(중국산)",'🔖 배합비 참조'!$A$2:$A$83,0),MATCH($C129,'🔖 배합비 참조'!$B$1:$CE$1,0))/100,0),""))),"")</f>
        <v>0</v>
      </c>
      <c r="Z129" s="39" t="n">
        <f aca="false">IFERROR(IF($C129="","",IF($D129="","",IFERROR(ROUND($D129*INDEX('🔖 배합비 참조'!$B$2:$CE$83,MATCH("녹차가루",'🔖 배합비 참조'!$A$2:$A$83,0),MATCH($C129,'🔖 배합비 참조'!$B$1:$CE$1,0))/100,0),""))),"")</f>
        <v>0</v>
      </c>
      <c r="AA129" s="39" t="n">
        <f aca="false">IFERROR(IF($C129="","",IF($D129="","",IFERROR(ROUND($D129*INDEX('🔖 배합비 참조'!$B$2:$CE$83,MATCH("다크초콜릿 컴파운드칩",'🔖 배합비 참조'!$A$2:$A$83,0),MATCH($C129,'🔖 배합비 참조'!$B$1:$CE$1,0))/100,0),""))),"")</f>
        <v>0</v>
      </c>
      <c r="AB129" s="39" t="n">
        <f aca="false">IFERROR(IF($C129="","",IF($D129="","",IFERROR(ROUND($D129*INDEX('🔖 배합비 참조'!$B$2:$CE$83,MATCH("단호박분말(중국산)",'🔖 배합비 참조'!$A$2:$A$83,0),MATCH($C129,'🔖 배합비 참조'!$B$1:$CE$1,0))/100,0),""))),"")</f>
        <v>0</v>
      </c>
      <c r="AC129" s="39" t="n">
        <f aca="false">IFERROR(IF($C129="","",IF($D129="","",IFERROR(ROUND($D129*INDEX('🔖 배합비 참조'!$B$2:$CE$83,MATCH("당류가공품(단호박농축액)",'🔖 배합비 참조'!$A$2:$A$83,0),MATCH($C129,'🔖 배합비 참조'!$B$1:$CE$1,0))/100,0),""))),"")</f>
        <v>0</v>
      </c>
      <c r="AD129" s="39" t="n">
        <f aca="false">IFERROR(IF($C129="","",IF($D129="","",IFERROR(ROUND($D129*INDEX('🔖 배합비 참조'!$B$2:$CE$83,MATCH("당류가공품(알룰로스,에리스리톨,스테비올배당체혼합)",'🔖 배합비 참조'!$A$2:$A$83,0),MATCH($C129,'🔖 배합비 참조'!$B$1:$CE$1,0))/100,0),""))),"")</f>
        <v>0</v>
      </c>
      <c r="AE129" s="39" t="n">
        <f aca="false">IFERROR(IF($C129="","",IF($D129="","",IFERROR(ROUND($D129*INDEX('🔖 배합비 참조'!$B$2:$CE$83,MATCH("당류가공품(알룰로스제로파우더)",'🔖 배합비 참조'!$A$2:$A$83,0),MATCH($C129,'🔖 배합비 참조'!$B$1:$CE$1,0))/100,0),""))),"")</f>
        <v>0</v>
      </c>
      <c r="AF129" s="39" t="n">
        <f aca="false">IFERROR(IF($C129="","",IF($D129="","",IFERROR(ROUND($D129*INDEX('🔖 배합비 참조'!$B$2:$CE$83,MATCH("당절임(완두배기)",'🔖 배합비 참조'!$A$2:$A$83,0),MATCH($C129,'🔖 배합비 참조'!$B$1:$CE$1,0))/100,0),""))),"")</f>
        <v>0</v>
      </c>
      <c r="AG129" s="39" t="n">
        <f aca="false">IFERROR(IF($C129="","",IF($D129="","",IFERROR(ROUND($D129*INDEX('🔖 배합비 참조'!$B$2:$CE$83,MATCH("대추농축액",'🔖 배합비 참조'!$A$2:$A$83,0),MATCH($C129,'🔖 배합비 참조'!$B$1:$CE$1,0))/100,0),""))),"")</f>
        <v>0</v>
      </c>
      <c r="AH129" s="39" t="n">
        <f aca="false">IFERROR(IF($C129="","",IF($D129="","",IFERROR(ROUND($D129*INDEX('🔖 배합비 참조'!$B$2:$CE$83,MATCH("대추채(국내산)",'🔖 배합비 참조'!$A$2:$A$83,0),MATCH($C129,'🔖 배합비 참조'!$B$1:$CE$1,0))/100,0),""))),"")</f>
        <v>0</v>
      </c>
      <c r="AI129" s="39" t="n">
        <f aca="false">IFERROR(IF($C129="","",IF($D129="","",IFERROR(ROUND($D129*INDEX('🔖 배합비 참조'!$B$2:$CE$83,MATCH("동부(미얀마산)",'🔖 배합비 참조'!$A$2:$A$83,0),MATCH($C129,'🔖 배합비 참조'!$B$1:$CE$1,0))/100,0),""))),"")</f>
        <v>0</v>
      </c>
      <c r="AJ129" s="39" t="n">
        <f aca="false">IFERROR(IF($C129="","",IF($D129="","",IFERROR(ROUND($D129*INDEX('🔖 배합비 참조'!$B$2:$CE$83,MATCH("두류가공품(백옥앙금)",'🔖 배합비 참조'!$A$2:$A$83,0),MATCH($C129,'🔖 배합비 참조'!$B$1:$CE$1,0))/100,0),""))),"")</f>
        <v>0</v>
      </c>
      <c r="AK129" s="39" t="n">
        <f aca="false">IFERROR(IF($C129="","",IF($D129="","",IFERROR(ROUND($D129*INDEX('🔖 배합비 참조'!$B$2:$CE$83,MATCH("두류가공품(콩고물)",'🔖 배합비 참조'!$A$2:$A$83,0),MATCH($C129,'🔖 배합비 참조'!$B$1:$CE$1,0))/100,0),""))),"")</f>
        <v>0</v>
      </c>
      <c r="AL129" s="39" t="n">
        <f aca="false">IFERROR(IF($C129="","",IF($D129="","",IFERROR(ROUND($D129*INDEX('🔖 배합비 참조'!$B$2:$CE$83,MATCH("두류가공품(통팥고물)",'🔖 배합비 참조'!$A$2:$A$83,0),MATCH($C129,'🔖 배합비 참조'!$B$1:$CE$1,0))/100,0),""))),"")</f>
        <v>0</v>
      </c>
      <c r="AM129" s="39" t="n">
        <f aca="false">IFERROR(IF($C129="","",IF($D129="","",IFERROR(ROUND($D129*INDEX('🔖 배합비 참조'!$B$2:$CE$83,MATCH("딸기레진",'🔖 배합비 참조'!$A$2:$A$83,0),MATCH($C129,'🔖 배합비 참조'!$B$1:$CE$1,0))/100,0),""))),"")</f>
        <v>0</v>
      </c>
      <c r="AN129" s="39" t="n">
        <f aca="false">IFERROR(IF($C129="","",IF($D129="","",IFERROR(ROUND($D129*INDEX('🔖 배합비 참조'!$B$2:$CE$83,MATCH("딸기분말(스트로우베리에이드(분말))",'🔖 배합비 참조'!$A$2:$A$83,0),MATCH($C129,'🔖 배합비 참조'!$B$1:$CE$1,0))/100,0),""))),"")</f>
        <v>0</v>
      </c>
      <c r="AO129" s="39" t="n">
        <f aca="false">IFERROR(IF($C129="","",IF($D129="","",IFERROR(ROUND($D129*INDEX('🔖 배합비 참조'!$B$2:$CE$83,MATCH("마스카포네치즈",'🔖 배합비 참조'!$A$2:$A$83,0),MATCH($C129,'🔖 배합비 참조'!$B$1:$CE$1,0))/100,0),""))),"")</f>
        <v>0</v>
      </c>
      <c r="AP129" s="39" t="n">
        <f aca="false">IFERROR(IF($C129="","",IF($D129="","",IFERROR(ROUND($D129*INDEX('🔖 배합비 참조'!$B$2:$CE$83,MATCH("마카다미아분태(호주산)",'🔖 배합비 참조'!$A$2:$A$83,0),MATCH($C129,'🔖 배합비 참조'!$B$1:$CE$1,0))/100,0),""))),"")</f>
        <v>0</v>
      </c>
      <c r="AQ129" s="39" t="n">
        <f aca="false">IFERROR(IF($C129="","",IF($D129="","",IFERROR(ROUND($D129*INDEX('🔖 배합비 참조'!$B$2:$CE$83,MATCH("멥쌀(국내산)",'🔖 배합비 참조'!$A$2:$A$83,0),MATCH($C129,'🔖 배합비 참조'!$B$1:$CE$1,0))/100,0),""))),"")</f>
        <v>0</v>
      </c>
      <c r="AR129" s="39" t="n">
        <f aca="false">IFERROR(IF($C129="","",IF($D129="","",IFERROR(ROUND($D129*INDEX('🔖 배합비 참조'!$B$2:$CE$83,MATCH("모시잎(국내산)",'🔖 배합비 참조'!$A$2:$A$83,0),MATCH($C129,'🔖 배합비 참조'!$B$1:$CE$1,0))/100,0),""))),"")</f>
        <v>0</v>
      </c>
      <c r="AS129" s="39" t="n">
        <f aca="false">IFERROR(IF($C129="","",IF($D129="","",IFERROR(ROUND($D129*INDEX('🔖 배합비 참조'!$B$2:$CE$83,MATCH("물엿(저당물엿)",'🔖 배합비 참조'!$A$2:$A$83,0),MATCH($C129,'🔖 배합비 참조'!$B$1:$CE$1,0))/100,0),""))),"")</f>
        <v>0</v>
      </c>
      <c r="AT129" s="39" t="n">
        <f aca="false">IFERROR(IF($C129="","",IF($D129="","",IFERROR(ROUND($D129*INDEX('🔖 배합비 참조'!$B$2:$CE$83,MATCH("밤다이스",'🔖 배합비 참조'!$A$2:$A$83,0),MATCH($C129,'🔖 배합비 참조'!$B$1:$CE$1,0))/100,0),""))),"")</f>
        <v>1</v>
      </c>
      <c r="AU129" s="39" t="n">
        <f aca="false">IFERROR(IF($C129="","",IF($D129="","",IFERROR(ROUND($D129*INDEX('🔖 배합비 참조'!$B$2:$CE$83,MATCH("변성전분(타피오카전분)",'🔖 배합비 참조'!$A$2:$A$83,0),MATCH($C129,'🔖 배합비 참조'!$B$1:$CE$1,0))/100,0),""))),"")</f>
        <v>0</v>
      </c>
      <c r="AV129" s="39" t="n">
        <f aca="false">IFERROR(IF($C129="","",IF($D129="","",IFERROR(ROUND($D129*INDEX('🔖 배합비 참조'!$B$2:$CE$83,MATCH("복음땅콩분태",'🔖 배합비 참조'!$A$2:$A$83,0),MATCH($C129,'🔖 배합비 참조'!$B$1:$CE$1,0))/100,0),""))),"")</f>
        <v>0</v>
      </c>
      <c r="AW129" s="39" t="n">
        <f aca="false">IFERROR(IF($C129="","",IF($D129="","",IFERROR(ROUND($D129*INDEX('🔖 배합비 참조'!$B$2:$CE$83,MATCH("사양벌꿀(국내산)",'🔖 배합비 참조'!$A$2:$A$83,0),MATCH($C129,'🔖 배합비 참조'!$B$1:$CE$1,0))/100,0),""))),"")</f>
        <v>0</v>
      </c>
      <c r="AX129" s="39" t="n">
        <f aca="false">IFERROR(IF($C129="","",IF($D129="","",IFERROR(ROUND($D129*INDEX('🔖 배합비 참조'!$B$2:$CE$83,MATCH("생크림",'🔖 배합비 참조'!$A$2:$A$83,0),MATCH($C129,'🔖 배합비 참조'!$B$1:$CE$1,0))/100,0),""))),"")</f>
        <v>0</v>
      </c>
      <c r="AY129" s="39" t="n">
        <f aca="false">IFERROR(IF($C129="","",IF($D129="","",IFERROR(ROUND($D129*INDEX('🔖 배합비 참조'!$B$2:$CE$83,MATCH("서양호박(국내산,뉴질랜드산)",'🔖 배합비 참조'!$A$2:$A$83,0),MATCH($C129,'🔖 배합비 참조'!$B$1:$CE$1,0))/100,0),""))),"")</f>
        <v>0</v>
      </c>
      <c r="AZ129" s="39" t="n">
        <f aca="false">IFERROR(IF($C129="","",IF($D129="","",IFERROR(ROUND($D129*INDEX('🔖 배합비 참조'!$B$2:$CE$83,MATCH("설탕",'🔖 배합비 참조'!$A$2:$A$83,0),MATCH($C129,'🔖 배합비 참조'!$B$1:$CE$1,0))/100,0),""))),"")</f>
        <v>2</v>
      </c>
      <c r="BA129" s="39" t="n">
        <f aca="false">IFERROR(IF($C129="","",IF($D129="","",IFERROR(ROUND($D129*INDEX('🔖 배합비 참조'!$B$2:$CE$83,MATCH("스트로우베리 에이드 후레쉬",'🔖 배합비 참조'!$A$2:$A$83,0),MATCH($C129,'🔖 배합비 참조'!$B$1:$CE$1,0))/100,0),""))),"")</f>
        <v>0</v>
      </c>
      <c r="BB129" s="39" t="n">
        <f aca="false">IFERROR(IF($C129="","",IF($D129="","",IFERROR(ROUND($D129*INDEX('🔖 배합비 참조'!$B$2:$CE$83,MATCH("식물성기름혼합제제(분홍)",'🔖 배합비 참조'!$A$2:$A$83,0),MATCH($C129,'🔖 배합비 참조'!$B$1:$CE$1,0))/100,0),""))),"")</f>
        <v>0</v>
      </c>
      <c r="BC129" s="39" t="n">
        <f aca="false">IFERROR(IF($C129="","",IF($D129="","",IFERROR(ROUND($D129*INDEX('🔖 배합비 참조'!$B$2:$CE$83,MATCH("식물성기름혼합제제(초록)",'🔖 배합비 참조'!$A$2:$A$83,0),MATCH($C129,'🔖 배합비 참조'!$B$1:$CE$1,0))/100,0),""))),"")</f>
        <v>0</v>
      </c>
      <c r="BD129" s="39" t="n">
        <f aca="false">IFERROR(IF($C129="","",IF($D129="","",IFERROR(ROUND($D129*INDEX('🔖 배합비 참조'!$B$2:$CE$83,MATCH("식물성기름혼합제제(황색)",'🔖 배합비 참조'!$A$2:$A$83,0),MATCH($C129,'🔖 배합비 참조'!$B$1:$CE$1,0))/100,0),""))),"")</f>
        <v>0</v>
      </c>
      <c r="BE129" s="39" t="n">
        <f aca="false">IFERROR(IF($C129="","",IF($D129="","",IFERROR(ROUND($D129*INDEX('🔖 배합비 참조'!$B$2:$CE$83,MATCH("쑥가루(국내산)",'🔖 배합비 참조'!$A$2:$A$83,0),MATCH($C129,'🔖 배합비 참조'!$B$1:$CE$1,0))/100,0),""))),"")</f>
        <v>0</v>
      </c>
      <c r="BF129" s="39" t="n">
        <f aca="false">IFERROR(IF($C129="","",IF($D129="","",IFERROR(ROUND($D129*INDEX('🔖 배합비 참조'!$B$2:$CE$83,MATCH("아몬드슬라이스",'🔖 배합비 참조'!$A$2:$A$83,0),MATCH($C129,'🔖 배합비 참조'!$B$1:$CE$1,0))/100,0),""))),"")</f>
        <v>0</v>
      </c>
      <c r="BG129" s="39" t="n">
        <f aca="false">IFERROR(IF($C129="","",IF($D129="","",IFERROR(ROUND($D129*INDEX('🔖 배합비 참조'!$B$2:$CE$83,MATCH("알룰로오스(국내산)",'🔖 배합비 참조'!$A$2:$A$83,0),MATCH($C129,'🔖 배합비 참조'!$B$1:$CE$1,0))/100,0),""))),"")</f>
        <v>0</v>
      </c>
      <c r="BH129" s="39" t="n">
        <f aca="false">IFERROR(IF($C129="","",IF($D129="","",IFERROR(ROUND($D129*INDEX('🔖 배합비 참조'!$B$2:$CE$83,MATCH("연유",'🔖 배합비 참조'!$A$2:$A$83,0),MATCH($C129,'🔖 배합비 참조'!$B$1:$CE$1,0))/100,0),""))),"")</f>
        <v>0</v>
      </c>
      <c r="BI129" s="39" t="n">
        <f aca="false">IFERROR(IF($C129="","",IF($D129="","",IFERROR(ROUND($D129*INDEX('🔖 배합비 참조'!$B$2:$CE$83,MATCH("옥수수전분",'🔖 배합비 참조'!$A$2:$A$83,0),MATCH($C129,'🔖 배합비 참조'!$B$1:$CE$1,0))/100,0),""))),"")</f>
        <v>0</v>
      </c>
      <c r="BJ129" s="39" t="n">
        <f aca="false">IFERROR(IF($C129="","",IF($D129="","",IFERROR(ROUND($D129*INDEX('🔖 배합비 참조'!$B$2:$CE$83,MATCH("완두배기",'🔖 배합비 참조'!$A$2:$A$83,0),MATCH($C129,'🔖 배합비 참조'!$B$1:$CE$1,0))/100,0),""))),"")</f>
        <v>0</v>
      </c>
      <c r="BK129" s="39" t="n">
        <f aca="false">IFERROR(IF($C129="","",IF($D129="","",IFERROR(ROUND($D129*INDEX('🔖 배합비 참조'!$B$2:$CE$83,MATCH("우유(국내산)",'🔖 배합비 참조'!$A$2:$A$83,0),MATCH($C129,'🔖 배합비 참조'!$B$1:$CE$1,0))/100,0),""))),"")</f>
        <v>0</v>
      </c>
      <c r="BL129" s="39" t="n">
        <f aca="false">IFERROR(IF($C129="","",IF($D129="","",IFERROR(ROUND($D129*INDEX('🔖 배합비 참조'!$B$2:$CE$83,MATCH("자색고구마가루(중국산)",'🔖 배합비 참조'!$A$2:$A$83,0),MATCH($C129,'🔖 배합비 참조'!$B$1:$CE$1,0))/100,0),""))),"")</f>
        <v>0</v>
      </c>
      <c r="BM129" s="39" t="n">
        <f aca="false">IFERROR(IF($C129="","",IF($D129="","",IFERROR(ROUND($D129*INDEX('🔖 배합비 참조'!$B$2:$CE$83,MATCH("자연치즈(체다치즈)",'🔖 배합비 참조'!$A$2:$A$83,0),MATCH($C129,'🔖 배합비 참조'!$B$1:$CE$1,0))/100,0),""))),"")</f>
        <v>0</v>
      </c>
      <c r="BN129" s="39" t="n">
        <f aca="false">IFERROR(IF($C129="","",IF($D129="","",IFERROR(ROUND($D129*INDEX('🔖 배합비 참조'!$B$2:$CE$83,MATCH("정제수",'🔖 배합비 참조'!$A$2:$A$83,0),MATCH($C129,'🔖 배합비 참조'!$B$1:$CE$1,0))/100,0),""))),"")</f>
        <v>3</v>
      </c>
      <c r="BO129" s="39" t="n">
        <f aca="false">IFERROR(IF($C129="","",IF($D129="","",IFERROR(ROUND($D129*INDEX('🔖 배합비 참조'!$B$2:$CE$83,MATCH("젤라틴",'🔖 배합비 참조'!$A$2:$A$83,0),MATCH($C129,'🔖 배합비 참조'!$B$1:$CE$1,0))/100,0),""))),"")</f>
        <v>0</v>
      </c>
      <c r="BP129" s="39" t="n">
        <f aca="false">IFERROR(IF($C129="","",IF($D129="","",IFERROR(ROUND($D129*INDEX('🔖 배합비 참조'!$B$2:$CE$83,MATCH("조림류(백옥앙금)",'🔖 배합비 참조'!$A$2:$A$83,0),MATCH($C129,'🔖 배합비 참조'!$B$1:$CE$1,0))/100,0),""))),"")</f>
        <v>0</v>
      </c>
      <c r="BQ129" s="39" t="n">
        <f aca="false">IFERROR(IF($C129="","",IF($D129="","",IFERROR(ROUND($D129*INDEX('🔖 배합비 참조'!$B$2:$CE$83,MATCH("조림류(통팥앙금)",'🔖 배합비 참조'!$A$2:$A$83,0),MATCH($C129,'🔖 배합비 참조'!$B$1:$CE$1,0))/100,0),""))),"")</f>
        <v>0</v>
      </c>
      <c r="BR129" s="39" t="n">
        <f aca="false">IFERROR(IF($C129="","",IF($D129="","",IFERROR(ROUND($D129*INDEX('🔖 배합비 참조'!$B$2:$CE$83,MATCH("준초콜릿(외국산)",'🔖 배합비 참조'!$A$2:$A$83,0),MATCH($C129,'🔖 배합비 참조'!$B$1:$CE$1,0))/100,0),""))),"")</f>
        <v>0</v>
      </c>
      <c r="BS129" s="39" t="n">
        <f aca="false">IFERROR(IF($C129="","",IF($D129="","",IFERROR(ROUND($D129*INDEX('🔖 배합비 참조'!$B$2:$CE$83,MATCH("중력분",'🔖 배합비 참조'!$A$2:$A$83,0),MATCH($C129,'🔖 배합비 참조'!$B$1:$CE$1,0))/100,0),""))),"")</f>
        <v>0</v>
      </c>
      <c r="BT129" s="39" t="n">
        <f aca="false">IFERROR(IF($C129="","",IF($D129="","",IFERROR(ROUND($D129*INDEX('🔖 배합비 참조'!$B$2:$CE$83,MATCH("참깨(인도산,나이지리아산,탄자니아산,미얀마산)",'🔖 배합비 참조'!$A$2:$A$83,0),MATCH($C129,'🔖 배합비 참조'!$B$1:$CE$1,0))/100,0),""))),"")</f>
        <v>0</v>
      </c>
      <c r="BU129" s="39" t="n">
        <f aca="false">IFERROR(IF($C129="","",IF($D129="","",IFERROR(ROUND($D129*INDEX('🔖 배합비 참조'!$B$2:$CE$83,MATCH("찹쌀(국내산)",'🔖 배합비 참조'!$A$2:$A$83,0),MATCH($C129,'🔖 배합비 참조'!$B$1:$CE$1,0))/100,0),""))),"")</f>
        <v>11</v>
      </c>
      <c r="BV129" s="39" t="n">
        <f aca="false">IFERROR(IF($C129="","",IF($D129="","",IFERROR(ROUND($D129*INDEX('🔖 배합비 참조'!$B$2:$CE$83,MATCH("천일염",'🔖 배합비 참조'!$A$2:$A$83,0),MATCH($C129,'🔖 배합비 참조'!$B$1:$CE$1,0))/100,0),""))),"")</f>
        <v>0</v>
      </c>
      <c r="BW129" s="39" t="n">
        <f aca="false">IFERROR(IF($C129="","",IF($D129="","",IFERROR(ROUND($D129*INDEX('🔖 배합비 참조'!$B$2:$CE$83,MATCH("치즈 [크림치즈]",'🔖 배합비 참조'!$A$2:$A$83,0),MATCH($C129,'🔖 배합비 참조'!$B$1:$CE$1,0))/100,0),""))),"")</f>
        <v>0</v>
      </c>
      <c r="BX129" s="39" t="n">
        <f aca="false">IFERROR(IF($C129="","",IF($D129="","",IFERROR(ROUND($D129*INDEX('🔖 배합비 참조'!$B$2:$CE$83,MATCH("코코아가공품류(코코아분말)",'🔖 배합비 참조'!$A$2:$A$83,0),MATCH($C129,'🔖 배합비 참조'!$B$1:$CE$1,0))/100,0),""))),"")</f>
        <v>0</v>
      </c>
      <c r="BY129" s="39" t="n">
        <f aca="false">IFERROR(IF($C129="","",IF($D129="","",IFERROR(ROUND($D129*INDEX('🔖 배합비 참조'!$B$2:$CE$83,MATCH("콩기름(대두유)",'🔖 배합비 참조'!$A$2:$A$83,0),MATCH($C129,'🔖 배합비 참조'!$B$1:$CE$1,0))/100,0),""))),"")</f>
        <v>0</v>
      </c>
      <c r="BZ129" s="39" t="n">
        <f aca="false">IFERROR(IF($C129="","",IF($D129="","",IFERROR(ROUND($D129*INDEX('🔖 배합비 참조'!$B$2:$CE$83,MATCH("해바라기씨앗",'🔖 배합비 참조'!$A$2:$A$83,0),MATCH($C129,'🔖 배합비 참조'!$B$1:$CE$1,0))/100,0),""))),"")</f>
        <v>0</v>
      </c>
      <c r="CA129" s="39" t="n">
        <f aca="false">IFERROR(IF($C129="","",IF($D129="","",IFERROR(ROUND($D129*INDEX('🔖 배합비 참조'!$B$2:$CE$83,MATCH("현미(국내산)",'🔖 배합비 참조'!$A$2:$A$83,0),MATCH($C129,'🔖 배합비 참조'!$B$1:$CE$1,0))/100,0),""))),"")</f>
        <v>0</v>
      </c>
      <c r="CB129" s="39" t="n">
        <f aca="false">IFERROR(IF($C129="","",IF($D129="","",IFERROR(ROUND($D129*INDEX('🔖 배합비 참조'!$B$2:$CE$83,MATCH("현미멥쌀(국내산)",'🔖 배합비 참조'!$A$2:$A$83,0),MATCH($C129,'🔖 배합비 참조'!$B$1:$CE$1,0))/100,0),""))),"")</f>
        <v>0</v>
      </c>
      <c r="CC129" s="39" t="n">
        <f aca="false">IFERROR(IF($C129="","",IF($D129="","",IFERROR(ROUND($D129*INDEX('🔖 배합비 참조'!$B$2:$CE$83,MATCH("호두분태(미국산)",'🔖 배합비 참조'!$A$2:$A$83,0),MATCH($C129,'🔖 배합비 참조'!$B$1:$CE$1,0))/100,0),""))),"")</f>
        <v>0</v>
      </c>
      <c r="CD129" s="39" t="n">
        <f aca="false">IFERROR(IF($C129="","",IF($D129="","",IFERROR(ROUND($D129*INDEX('🔖 배합비 참조'!$B$2:$CE$83,MATCH("호박씨앗(외국산)",'🔖 배합비 참조'!$A$2:$A$83,0),MATCH($C129,'🔖 배합비 참조'!$B$1:$CE$1,0))/100,0),""))),"")</f>
        <v>0</v>
      </c>
      <c r="CE129" s="39" t="n">
        <f aca="false">IFERROR(IF($C129="","",IF($D129="","",IFERROR(ROUND($D129*INDEX('🔖 배합비 참조'!$B$2:$CE$83,MATCH("혼합제제(떡용에스텔)",'🔖 배합비 참조'!$A$2:$A$83,0),MATCH($C129,'🔖 배합비 참조'!$B$1:$CE$1,0))/100,0),""))),"")</f>
        <v>0</v>
      </c>
      <c r="CF129" s="39" t="n">
        <f aca="false">IFERROR(IF($C129="","",IF($D129="","",IFERROR(ROUND($D129*INDEX('🔖 배합비 참조'!$B$2:$CE$83,MATCH("혼합제제(스테비아)",'🔖 배합비 참조'!$A$2:$A$83,0),MATCH($C129,'🔖 배합비 참조'!$B$1:$CE$1,0))/100,0),""))),"")</f>
        <v>0</v>
      </c>
      <c r="CG129" s="39" t="n">
        <f aca="false">IFERROR(IF($C129="","",IF($D129="","",IFERROR(ROUND($D129*INDEX('🔖 배합비 참조'!$B$2:$CE$83,MATCH("화이트초콜릿",'🔖 배합비 참조'!$A$2:$A$83,0),MATCH($C129,'🔖 배합비 참조'!$B$1:$CE$1,0))/100,0),""))),"")</f>
        <v>0</v>
      </c>
      <c r="CH129" s="39" t="n">
        <f aca="false">IFERROR(IF($C129="","",IF($D129="","",IFERROR(ROUND($D129*INDEX('🔖 배합비 참조'!$B$2:$CE$83,MATCH("흑미찹쌀(국내산)",'🔖 배합비 참조'!$A$2:$A$83,0),MATCH($C129,'🔖 배합비 참조'!$B$1:$CE$1,0))/100,0),""))),"")</f>
        <v>0</v>
      </c>
      <c r="CI129" s="39" t="n">
        <f aca="false">IFERROR(IF($C129="","",IF($D129="","",IFERROR(ROUND($D129*INDEX('🔖 배합비 참조'!$B$2:$CE$83,MATCH("찰옥수수전분(미국산)",'🔖 배합비 참조'!$A$2:$A$83,0),MATCH($C129,'🔖 배합비 참조'!$B$1:$CE$1,0))/100,0),""))),"")</f>
        <v>0</v>
      </c>
      <c r="CJ129" s="40"/>
      <c r="CL129" s="1" t="s">
        <v>239</v>
      </c>
    </row>
    <row r="130" customFormat="false" ht="18" hidden="false" customHeight="true" outlineLevel="0" collapsed="false">
      <c r="A130" s="41" t="n">
        <v>126</v>
      </c>
      <c r="B130" s="36" t="n">
        <v>46008</v>
      </c>
      <c r="C130" s="37" t="s">
        <v>155</v>
      </c>
      <c r="D130" s="38" t="n">
        <v>70</v>
      </c>
      <c r="E130" s="17"/>
      <c r="F130" s="17"/>
      <c r="G130" s="42" t="n">
        <f aca="false">IFERROR(IF($C130="","",IF($D130="","",IFERROR(ROUND($D130*INDEX('🔖 배합비 참조'!$B$2:$CE$83,MATCH("간장",'🔖 배합비 참조'!$A$2:$A$83,0),MATCH($C130,'🔖 배합비 참조'!$B$1:$CE$1,0))/100,0),""))),"")</f>
        <v>0</v>
      </c>
      <c r="H130" s="42" t="n">
        <f aca="false">IFERROR(IF($C130="","",IF($D130="","",IFERROR(ROUND($D130*INDEX('🔖 배합비 참조'!$B$2:$CE$83,MATCH("강낭콩((울타리콩))",'🔖 배합비 참조'!$A$2:$A$83,0),MATCH($C130,'🔖 배합비 참조'!$B$1:$CE$1,0))/100,0),""))),"")</f>
        <v>0</v>
      </c>
      <c r="I130" s="42" t="n">
        <f aca="false">IFERROR(IF($C130="","",IF($D130="","",IFERROR(ROUND($D130*INDEX('🔖 배합비 참조'!$B$2:$CE$83,MATCH("건조딸기다이스(외국산)",'🔖 배합비 참조'!$A$2:$A$83,0),MATCH($C130,'🔖 배합비 참조'!$B$1:$CE$1,0))/100,0),""))),"")</f>
        <v>0</v>
      </c>
      <c r="J130" s="42" t="n">
        <f aca="false">IFERROR(IF($C130="","",IF($D130="","",IFERROR(ROUND($D130*INDEX('🔖 배합비 참조'!$B$2:$CE$83,MATCH("건포도",'🔖 배합비 참조'!$A$2:$A$83,0),MATCH($C130,'🔖 배합비 참조'!$B$1:$CE$1,0))/100,0),""))),"")</f>
        <v>0</v>
      </c>
      <c r="K130" s="42" t="n">
        <f aca="false">IFERROR(IF($C130="","",IF($D130="","",IFERROR(ROUND($D130*INDEX('🔖 배합비 참조'!$B$2:$CE$83,MATCH("건호박채(중국산)",'🔖 배합비 참조'!$A$2:$A$83,0),MATCH($C130,'🔖 배합비 참조'!$B$1:$CE$1,0))/100,0),""))),"")</f>
        <v>0</v>
      </c>
      <c r="L130" s="42" t="n">
        <f aca="false">IFERROR(IF($C130="","",IF($D130="","",IFERROR(ROUND($D130*INDEX('🔖 배합비 참조'!$B$2:$CE$83,MATCH("검정깨(흑임자)",'🔖 배합비 참조'!$A$2:$A$83,0),MATCH($C130,'🔖 배합비 참조'!$B$1:$CE$1,0))/100,0),""))),"")</f>
        <v>0</v>
      </c>
      <c r="M130" s="42" t="n">
        <f aca="false">IFERROR(IF($C130="","",IF($D130="","",IFERROR(ROUND($D130*INDEX('🔖 배합비 참조'!$B$2:$CE$83,MATCH("검정콩",'🔖 배합비 참조'!$A$2:$A$83,0),MATCH($C130,'🔖 배합비 참조'!$B$1:$CE$1,0))/100,0),""))),"")</f>
        <v>0</v>
      </c>
      <c r="N130" s="42" t="n">
        <f aca="false">IFERROR(IF($C130="","",IF($D130="","",IFERROR(ROUND($D130*INDEX('🔖 배합비 참조'!$B$2:$CE$83,MATCH("계피가루",'🔖 배합비 참조'!$A$2:$A$83,0),MATCH($C130,'🔖 배합비 참조'!$B$1:$CE$1,0))/100,0),""))),"")</f>
        <v>0</v>
      </c>
      <c r="O130" s="42" t="n">
        <f aca="false">IFERROR(IF($C130="","",IF($D130="","",IFERROR(ROUND($D130*INDEX('🔖 배합비 참조'!$B$2:$CE$83,MATCH("고구마가루",'🔖 배합비 참조'!$A$2:$A$83,0),MATCH($C130,'🔖 배합비 참조'!$B$1:$CE$1,0))/100,0),""))),"")</f>
        <v>0</v>
      </c>
      <c r="P130" s="42" t="n">
        <f aca="false">IFERROR(IF($C130="","",IF($D130="","",IFERROR(ROUND($D130*INDEX('🔖 배합비 참조'!$B$2:$CE$83,MATCH("고구마무스",'🔖 배합비 참조'!$A$2:$A$83,0),MATCH($C130,'🔖 배합비 참조'!$B$1:$CE$1,0))/100,0),""))),"")</f>
        <v>0</v>
      </c>
      <c r="Q130" s="42" t="n">
        <f aca="false">IFERROR(IF($C130="","",IF($D130="","",IFERROR(ROUND($D130*INDEX('🔖 배합비 참조'!$B$2:$CE$83,MATCH("고려엉겅퀴((곤드레)국내산)",'🔖 배합비 참조'!$A$2:$A$83,0),MATCH($C130,'🔖 배합비 참조'!$B$1:$CE$1,0))/100,0),""))),"")</f>
        <v>0</v>
      </c>
      <c r="R130" s="42" t="n">
        <f aca="false">IFERROR(IF($C130="","",IF($D130="","",IFERROR(ROUND($D130*INDEX('🔖 배합비 참조'!$B$2:$CE$83,MATCH("기타가공품(복분자가루)",'🔖 배합비 참조'!$A$2:$A$83,0),MATCH($C130,'🔖 배합비 참조'!$B$1:$CE$1,0))/100,0),""))),"")</f>
        <v>0</v>
      </c>
      <c r="S130" s="42" t="n">
        <f aca="false">IFERROR(IF($C130="","",IF($D130="","",IFERROR(ROUND($D130*INDEX('🔖 배합비 참조'!$B$2:$CE$83,MATCH("기타가공품(슈퍼소프트엠)",'🔖 배합비 참조'!$A$2:$A$83,0),MATCH($C130,'🔖 배합비 참조'!$B$1:$CE$1,0))/100,0),""))),"")</f>
        <v>0</v>
      </c>
      <c r="T130" s="42" t="n">
        <f aca="false">IFERROR(IF($C130="","",IF($D130="","",IFERROR(ROUND($D130*INDEX('🔖 배합비 참조'!$B$2:$CE$83,MATCH("기타가공품(파인소프트 E-티)",'🔖 배합비 참조'!$A$2:$A$83,0),MATCH($C130,'🔖 배합비 참조'!$B$1:$CE$1,0))/100,0),""))),"")</f>
        <v>0</v>
      </c>
      <c r="U130" s="42" t="n">
        <f aca="false">IFERROR(IF($C130="","",IF($D130="","",IFERROR(ROUND($D130*INDEX('🔖 배합비 참조'!$B$2:$CE$83,MATCH("기타가공품(프리미엄카스테라가루)",'🔖 배합비 참조'!$A$2:$A$83,0),MATCH($C130,'🔖 배합비 참조'!$B$1:$CE$1,0))/100,0),""))),"")</f>
        <v>0</v>
      </c>
      <c r="V130" s="42" t="n">
        <f aca="false">IFERROR(IF($C130="","",IF($D130="","",IFERROR(ROUND($D130*INDEX('🔖 배합비 참조'!$B$2:$CE$83,MATCH("기타가공품(흑임자가루)",'🔖 배합비 참조'!$A$2:$A$83,0),MATCH($C130,'🔖 배합비 참조'!$B$1:$CE$1,0))/100,0),""))),"")</f>
        <v>0</v>
      </c>
      <c r="W130" s="42" t="n">
        <f aca="false">IFERROR(IF($C130="","",IF($D130="","",IFERROR(ROUND($D130*INDEX('🔖 배합비 참조'!$B$2:$CE$83,MATCH("기타설탕(흑설탕)",'🔖 배합비 참조'!$A$2:$A$83,0),MATCH($C130,'🔖 배합비 참조'!$B$1:$CE$1,0))/100,0),""))),"")</f>
        <v>0</v>
      </c>
      <c r="X130" s="42" t="n">
        <f aca="false">IFERROR(IF($C130="","",IF($D130="","",IFERROR(ROUND($D130*INDEX('🔖 배합비 참조'!$B$2:$CE$83,MATCH("냉동쑥(국내산)",'🔖 배합비 참조'!$A$2:$A$83,0),MATCH($C130,'🔖 배합비 참조'!$B$1:$CE$1,0))/100,0),""))),"")</f>
        <v>0</v>
      </c>
      <c r="Y130" s="42" t="n">
        <f aca="false">IFERROR(IF($C130="","",IF($D130="","",IFERROR(ROUND($D130*INDEX('🔖 배합비 참조'!$B$2:$CE$83,MATCH("냉동증숙고구마(중국산)",'🔖 배합비 참조'!$A$2:$A$83,0),MATCH($C130,'🔖 배합비 참조'!$B$1:$CE$1,0))/100,0),""))),"")</f>
        <v>0</v>
      </c>
      <c r="Z130" s="42" t="n">
        <f aca="false">IFERROR(IF($C130="","",IF($D130="","",IFERROR(ROUND($D130*INDEX('🔖 배합비 참조'!$B$2:$CE$83,MATCH("녹차가루",'🔖 배합비 참조'!$A$2:$A$83,0),MATCH($C130,'🔖 배합비 참조'!$B$1:$CE$1,0))/100,0),""))),"")</f>
        <v>0</v>
      </c>
      <c r="AA130" s="42" t="n">
        <f aca="false">IFERROR(IF($C130="","",IF($D130="","",IFERROR(ROUND($D130*INDEX('🔖 배합비 참조'!$B$2:$CE$83,MATCH("다크초콜릿 컴파운드칩",'🔖 배합비 참조'!$A$2:$A$83,0),MATCH($C130,'🔖 배합비 참조'!$B$1:$CE$1,0))/100,0),""))),"")</f>
        <v>0</v>
      </c>
      <c r="AB130" s="42" t="n">
        <f aca="false">IFERROR(IF($C130="","",IF($D130="","",IFERROR(ROUND($D130*INDEX('🔖 배합비 참조'!$B$2:$CE$83,MATCH("단호박분말(중국산)",'🔖 배합비 참조'!$A$2:$A$83,0),MATCH($C130,'🔖 배합비 참조'!$B$1:$CE$1,0))/100,0),""))),"")</f>
        <v>0</v>
      </c>
      <c r="AC130" s="42" t="n">
        <f aca="false">IFERROR(IF($C130="","",IF($D130="","",IFERROR(ROUND($D130*INDEX('🔖 배합비 참조'!$B$2:$CE$83,MATCH("당류가공품(단호박농축액)",'🔖 배합비 참조'!$A$2:$A$83,0),MATCH($C130,'🔖 배합비 참조'!$B$1:$CE$1,0))/100,0),""))),"")</f>
        <v>0</v>
      </c>
      <c r="AD130" s="42" t="n">
        <f aca="false">IFERROR(IF($C130="","",IF($D130="","",IFERROR(ROUND($D130*INDEX('🔖 배합비 참조'!$B$2:$CE$83,MATCH("당류가공품(알룰로스,에리스리톨,스테비올배당체혼합)",'🔖 배합비 참조'!$A$2:$A$83,0),MATCH($C130,'🔖 배합비 참조'!$B$1:$CE$1,0))/100,0),""))),"")</f>
        <v>0</v>
      </c>
      <c r="AE130" s="42" t="n">
        <f aca="false">IFERROR(IF($C130="","",IF($D130="","",IFERROR(ROUND($D130*INDEX('🔖 배합비 참조'!$B$2:$CE$83,MATCH("당류가공품(알룰로스제로파우더)",'🔖 배합비 참조'!$A$2:$A$83,0),MATCH($C130,'🔖 배합비 참조'!$B$1:$CE$1,0))/100,0),""))),"")</f>
        <v>0</v>
      </c>
      <c r="AF130" s="42" t="n">
        <f aca="false">IFERROR(IF($C130="","",IF($D130="","",IFERROR(ROUND($D130*INDEX('🔖 배합비 참조'!$B$2:$CE$83,MATCH("당절임(완두배기)",'🔖 배합비 참조'!$A$2:$A$83,0),MATCH($C130,'🔖 배합비 참조'!$B$1:$CE$1,0))/100,0),""))),"")</f>
        <v>0</v>
      </c>
      <c r="AG130" s="42" t="n">
        <f aca="false">IFERROR(IF($C130="","",IF($D130="","",IFERROR(ROUND($D130*INDEX('🔖 배합비 참조'!$B$2:$CE$83,MATCH("대추농축액",'🔖 배합비 참조'!$A$2:$A$83,0),MATCH($C130,'🔖 배합비 참조'!$B$1:$CE$1,0))/100,0),""))),"")</f>
        <v>0</v>
      </c>
      <c r="AH130" s="42" t="n">
        <f aca="false">IFERROR(IF($C130="","",IF($D130="","",IFERROR(ROUND($D130*INDEX('🔖 배합비 참조'!$B$2:$CE$83,MATCH("대추채(국내산)",'🔖 배합비 참조'!$A$2:$A$83,0),MATCH($C130,'🔖 배합비 참조'!$B$1:$CE$1,0))/100,0),""))),"")</f>
        <v>0</v>
      </c>
      <c r="AI130" s="42" t="n">
        <f aca="false">IFERROR(IF($C130="","",IF($D130="","",IFERROR(ROUND($D130*INDEX('🔖 배합비 참조'!$B$2:$CE$83,MATCH("동부(미얀마산)",'🔖 배합비 참조'!$A$2:$A$83,0),MATCH($C130,'🔖 배합비 참조'!$B$1:$CE$1,0))/100,0),""))),"")</f>
        <v>0</v>
      </c>
      <c r="AJ130" s="42" t="n">
        <f aca="false">IFERROR(IF($C130="","",IF($D130="","",IFERROR(ROUND($D130*INDEX('🔖 배합비 참조'!$B$2:$CE$83,MATCH("두류가공품(백옥앙금)",'🔖 배합비 참조'!$A$2:$A$83,0),MATCH($C130,'🔖 배합비 참조'!$B$1:$CE$1,0))/100,0),""))),"")</f>
        <v>0</v>
      </c>
      <c r="AK130" s="42" t="n">
        <f aca="false">IFERROR(IF($C130="","",IF($D130="","",IFERROR(ROUND($D130*INDEX('🔖 배합비 참조'!$B$2:$CE$83,MATCH("두류가공품(콩고물)",'🔖 배합비 참조'!$A$2:$A$83,0),MATCH($C130,'🔖 배합비 참조'!$B$1:$CE$1,0))/100,0),""))),"")</f>
        <v>0</v>
      </c>
      <c r="AL130" s="42" t="n">
        <f aca="false">IFERROR(IF($C130="","",IF($D130="","",IFERROR(ROUND($D130*INDEX('🔖 배합비 참조'!$B$2:$CE$83,MATCH("두류가공품(통팥고물)",'🔖 배합비 참조'!$A$2:$A$83,0),MATCH($C130,'🔖 배합비 참조'!$B$1:$CE$1,0))/100,0),""))),"")</f>
        <v>0</v>
      </c>
      <c r="AM130" s="42" t="n">
        <f aca="false">IFERROR(IF($C130="","",IF($D130="","",IFERROR(ROUND($D130*INDEX('🔖 배합비 참조'!$B$2:$CE$83,MATCH("딸기레진",'🔖 배합비 참조'!$A$2:$A$83,0),MATCH($C130,'🔖 배합비 참조'!$B$1:$CE$1,0))/100,0),""))),"")</f>
        <v>0</v>
      </c>
      <c r="AN130" s="42" t="n">
        <f aca="false">IFERROR(IF($C130="","",IF($D130="","",IFERROR(ROUND($D130*INDEX('🔖 배합비 참조'!$B$2:$CE$83,MATCH("딸기분말(스트로우베리에이드(분말))",'🔖 배합비 참조'!$A$2:$A$83,0),MATCH($C130,'🔖 배합비 참조'!$B$1:$CE$1,0))/100,0),""))),"")</f>
        <v>0</v>
      </c>
      <c r="AO130" s="42" t="n">
        <f aca="false">IFERROR(IF($C130="","",IF($D130="","",IFERROR(ROUND($D130*INDEX('🔖 배합비 참조'!$B$2:$CE$83,MATCH("마스카포네치즈",'🔖 배합비 참조'!$A$2:$A$83,0),MATCH($C130,'🔖 배합비 참조'!$B$1:$CE$1,0))/100,0),""))),"")</f>
        <v>0</v>
      </c>
      <c r="AP130" s="42" t="n">
        <f aca="false">IFERROR(IF($C130="","",IF($D130="","",IFERROR(ROUND($D130*INDEX('🔖 배합비 참조'!$B$2:$CE$83,MATCH("마카다미아분태(호주산)",'🔖 배합비 참조'!$A$2:$A$83,0),MATCH($C130,'🔖 배합비 참조'!$B$1:$CE$1,0))/100,0),""))),"")</f>
        <v>3</v>
      </c>
      <c r="AQ130" s="42" t="n">
        <f aca="false">IFERROR(IF($C130="","",IF($D130="","",IFERROR(ROUND($D130*INDEX('🔖 배합비 참조'!$B$2:$CE$83,MATCH("멥쌀(국내산)",'🔖 배합비 참조'!$A$2:$A$83,0),MATCH($C130,'🔖 배합비 참조'!$B$1:$CE$1,0))/100,0),""))),"")</f>
        <v>0</v>
      </c>
      <c r="AR130" s="42" t="n">
        <f aca="false">IFERROR(IF($C130="","",IF($D130="","",IFERROR(ROUND($D130*INDEX('🔖 배합비 참조'!$B$2:$CE$83,MATCH("모시잎(국내산)",'🔖 배합비 참조'!$A$2:$A$83,0),MATCH($C130,'🔖 배합비 참조'!$B$1:$CE$1,0))/100,0),""))),"")</f>
        <v>0</v>
      </c>
      <c r="AS130" s="42" t="n">
        <f aca="false">IFERROR(IF($C130="","",IF($D130="","",IFERROR(ROUND($D130*INDEX('🔖 배합비 참조'!$B$2:$CE$83,MATCH("물엿(저당물엿)",'🔖 배합비 참조'!$A$2:$A$83,0),MATCH($C130,'🔖 배합비 참조'!$B$1:$CE$1,0))/100,0),""))),"")</f>
        <v>1</v>
      </c>
      <c r="AT130" s="42" t="n">
        <f aca="false">IFERROR(IF($C130="","",IF($D130="","",IFERROR(ROUND($D130*INDEX('🔖 배합비 참조'!$B$2:$CE$83,MATCH("밤다이스",'🔖 배합비 참조'!$A$2:$A$83,0),MATCH($C130,'🔖 배합비 참조'!$B$1:$CE$1,0))/100,0),""))),"")</f>
        <v>1</v>
      </c>
      <c r="AU130" s="42" t="n">
        <f aca="false">IFERROR(IF($C130="","",IF($D130="","",IFERROR(ROUND($D130*INDEX('🔖 배합비 참조'!$B$2:$CE$83,MATCH("변성전분(타피오카전분)",'🔖 배합비 참조'!$A$2:$A$83,0),MATCH($C130,'🔖 배합비 참조'!$B$1:$CE$1,0))/100,0),""))),"")</f>
        <v>0</v>
      </c>
      <c r="AV130" s="42" t="n">
        <f aca="false">IFERROR(IF($C130="","",IF($D130="","",IFERROR(ROUND($D130*INDEX('🔖 배합비 참조'!$B$2:$CE$83,MATCH("복음땅콩분태",'🔖 배합비 참조'!$A$2:$A$83,0),MATCH($C130,'🔖 배합비 참조'!$B$1:$CE$1,0))/100,0),""))),"")</f>
        <v>0</v>
      </c>
      <c r="AW130" s="42" t="n">
        <f aca="false">IFERROR(IF($C130="","",IF($D130="","",IFERROR(ROUND($D130*INDEX('🔖 배합비 참조'!$B$2:$CE$83,MATCH("사양벌꿀(국내산)",'🔖 배합비 참조'!$A$2:$A$83,0),MATCH($C130,'🔖 배합비 참조'!$B$1:$CE$1,0))/100,0),""))),"")</f>
        <v>0</v>
      </c>
      <c r="AX130" s="42" t="n">
        <f aca="false">IFERROR(IF($C130="","",IF($D130="","",IFERROR(ROUND($D130*INDEX('🔖 배합비 참조'!$B$2:$CE$83,MATCH("생크림",'🔖 배합비 참조'!$A$2:$A$83,0),MATCH($C130,'🔖 배합비 참조'!$B$1:$CE$1,0))/100,0),""))),"")</f>
        <v>0</v>
      </c>
      <c r="AY130" s="42" t="n">
        <f aca="false">IFERROR(IF($C130="","",IF($D130="","",IFERROR(ROUND($D130*INDEX('🔖 배합비 참조'!$B$2:$CE$83,MATCH("서양호박(국내산,뉴질랜드산)",'🔖 배합비 참조'!$A$2:$A$83,0),MATCH($C130,'🔖 배합비 참조'!$B$1:$CE$1,0))/100,0),""))),"")</f>
        <v>0</v>
      </c>
      <c r="AZ130" s="42" t="n">
        <f aca="false">IFERROR(IF($C130="","",IF($D130="","",IFERROR(ROUND($D130*INDEX('🔖 배합비 참조'!$B$2:$CE$83,MATCH("설탕",'🔖 배합비 참조'!$A$2:$A$83,0),MATCH($C130,'🔖 배합비 참조'!$B$1:$CE$1,0))/100,0),""))),"")</f>
        <v>1</v>
      </c>
      <c r="BA130" s="42" t="n">
        <f aca="false">IFERROR(IF($C130="","",IF($D130="","",IFERROR(ROUND($D130*INDEX('🔖 배합비 참조'!$B$2:$CE$83,MATCH("스트로우베리 에이드 후레쉬",'🔖 배합비 참조'!$A$2:$A$83,0),MATCH($C130,'🔖 배합비 참조'!$B$1:$CE$1,0))/100,0),""))),"")</f>
        <v>0</v>
      </c>
      <c r="BB130" s="42" t="n">
        <f aca="false">IFERROR(IF($C130="","",IF($D130="","",IFERROR(ROUND($D130*INDEX('🔖 배합비 참조'!$B$2:$CE$83,MATCH("식물성기름혼합제제(분홍)",'🔖 배합비 참조'!$A$2:$A$83,0),MATCH($C130,'🔖 배합비 참조'!$B$1:$CE$1,0))/100,0),""))),"")</f>
        <v>0</v>
      </c>
      <c r="BC130" s="42" t="n">
        <f aca="false">IFERROR(IF($C130="","",IF($D130="","",IFERROR(ROUND($D130*INDEX('🔖 배합비 참조'!$B$2:$CE$83,MATCH("식물성기름혼합제제(초록)",'🔖 배합비 참조'!$A$2:$A$83,0),MATCH($C130,'🔖 배합비 참조'!$B$1:$CE$1,0))/100,0),""))),"")</f>
        <v>0</v>
      </c>
      <c r="BD130" s="42" t="n">
        <f aca="false">IFERROR(IF($C130="","",IF($D130="","",IFERROR(ROUND($D130*INDEX('🔖 배합비 참조'!$B$2:$CE$83,MATCH("식물성기름혼합제제(황색)",'🔖 배합비 참조'!$A$2:$A$83,0),MATCH($C130,'🔖 배합비 참조'!$B$1:$CE$1,0))/100,0),""))),"")</f>
        <v>0</v>
      </c>
      <c r="BE130" s="42" t="n">
        <f aca="false">IFERROR(IF($C130="","",IF($D130="","",IFERROR(ROUND($D130*INDEX('🔖 배합비 참조'!$B$2:$CE$83,MATCH("쑥가루(국내산)",'🔖 배합비 참조'!$A$2:$A$83,0),MATCH($C130,'🔖 배합비 참조'!$B$1:$CE$1,0))/100,0),""))),"")</f>
        <v>0</v>
      </c>
      <c r="BF130" s="42" t="n">
        <f aca="false">IFERROR(IF($C130="","",IF($D130="","",IFERROR(ROUND($D130*INDEX('🔖 배합비 참조'!$B$2:$CE$83,MATCH("아몬드슬라이스",'🔖 배합비 참조'!$A$2:$A$83,0),MATCH($C130,'🔖 배합비 참조'!$B$1:$CE$1,0))/100,0),""))),"")</f>
        <v>0</v>
      </c>
      <c r="BG130" s="42" t="n">
        <f aca="false">IFERROR(IF($C130="","",IF($D130="","",IFERROR(ROUND($D130*INDEX('🔖 배합비 참조'!$B$2:$CE$83,MATCH("알룰로오스(국내산)",'🔖 배합비 참조'!$A$2:$A$83,0),MATCH($C130,'🔖 배합비 참조'!$B$1:$CE$1,0))/100,0),""))),"")</f>
        <v>0</v>
      </c>
      <c r="BH130" s="42" t="n">
        <f aca="false">IFERROR(IF($C130="","",IF($D130="","",IFERROR(ROUND($D130*INDEX('🔖 배합비 참조'!$B$2:$CE$83,MATCH("연유",'🔖 배합비 참조'!$A$2:$A$83,0),MATCH($C130,'🔖 배합비 참조'!$B$1:$CE$1,0))/100,0),""))),"")</f>
        <v>0</v>
      </c>
      <c r="BI130" s="42" t="n">
        <f aca="false">IFERROR(IF($C130="","",IF($D130="","",IFERROR(ROUND($D130*INDEX('🔖 배합비 참조'!$B$2:$CE$83,MATCH("옥수수전분",'🔖 배합비 참조'!$A$2:$A$83,0),MATCH($C130,'🔖 배합비 참조'!$B$1:$CE$1,0))/100,0),""))),"")</f>
        <v>2</v>
      </c>
      <c r="BJ130" s="42" t="n">
        <f aca="false">IFERROR(IF($C130="","",IF($D130="","",IFERROR(ROUND($D130*INDEX('🔖 배합비 참조'!$B$2:$CE$83,MATCH("완두배기",'🔖 배합비 참조'!$A$2:$A$83,0),MATCH($C130,'🔖 배합비 참조'!$B$1:$CE$1,0))/100,0),""))),"")</f>
        <v>0</v>
      </c>
      <c r="BK130" s="42" t="n">
        <f aca="false">IFERROR(IF($C130="","",IF($D130="","",IFERROR(ROUND($D130*INDEX('🔖 배합비 참조'!$B$2:$CE$83,MATCH("우유(국내산)",'🔖 배합비 참조'!$A$2:$A$83,0),MATCH($C130,'🔖 배합비 참조'!$B$1:$CE$1,0))/100,0),""))),"")</f>
        <v>0</v>
      </c>
      <c r="BL130" s="42" t="n">
        <f aca="false">IFERROR(IF($C130="","",IF($D130="","",IFERROR(ROUND($D130*INDEX('🔖 배합비 참조'!$B$2:$CE$83,MATCH("자색고구마가루(중국산)",'🔖 배합비 참조'!$A$2:$A$83,0),MATCH($C130,'🔖 배합비 참조'!$B$1:$CE$1,0))/100,0),""))),"")</f>
        <v>0</v>
      </c>
      <c r="BM130" s="42" t="n">
        <f aca="false">IFERROR(IF($C130="","",IF($D130="","",IFERROR(ROUND($D130*INDEX('🔖 배합비 참조'!$B$2:$CE$83,MATCH("자연치즈(체다치즈)",'🔖 배합비 참조'!$A$2:$A$83,0),MATCH($C130,'🔖 배합비 참조'!$B$1:$CE$1,0))/100,0),""))),"")</f>
        <v>0</v>
      </c>
      <c r="BN130" s="42" t="n">
        <f aca="false">IFERROR(IF($C130="","",IF($D130="","",IFERROR(ROUND($D130*INDEX('🔖 배합비 참조'!$B$2:$CE$83,MATCH("정제수",'🔖 배합비 참조'!$A$2:$A$83,0),MATCH($C130,'🔖 배합비 참조'!$B$1:$CE$1,0))/100,0),""))),"")</f>
        <v>0</v>
      </c>
      <c r="BO130" s="42" t="n">
        <f aca="false">IFERROR(IF($C130="","",IF($D130="","",IFERROR(ROUND($D130*INDEX('🔖 배합비 참조'!$B$2:$CE$83,MATCH("젤라틴",'🔖 배합비 참조'!$A$2:$A$83,0),MATCH($C130,'🔖 배합비 참조'!$B$1:$CE$1,0))/100,0),""))),"")</f>
        <v>0</v>
      </c>
      <c r="BP130" s="42" t="n">
        <f aca="false">IFERROR(IF($C130="","",IF($D130="","",IFERROR(ROUND($D130*INDEX('🔖 배합비 참조'!$B$2:$CE$83,MATCH("조림류(백옥앙금)",'🔖 배합비 참조'!$A$2:$A$83,0),MATCH($C130,'🔖 배합비 참조'!$B$1:$CE$1,0))/100,0),""))),"")</f>
        <v>0</v>
      </c>
      <c r="BQ130" s="42" t="n">
        <f aca="false">IFERROR(IF($C130="","",IF($D130="","",IFERROR(ROUND($D130*INDEX('🔖 배합비 참조'!$B$2:$CE$83,MATCH("조림류(통팥앙금)",'🔖 배합비 참조'!$A$2:$A$83,0),MATCH($C130,'🔖 배합비 참조'!$B$1:$CE$1,0))/100,0),""))),"")</f>
        <v>28</v>
      </c>
      <c r="BR130" s="42" t="n">
        <f aca="false">IFERROR(IF($C130="","",IF($D130="","",IFERROR(ROUND($D130*INDEX('🔖 배합비 참조'!$B$2:$CE$83,MATCH("준초콜릿(외국산)",'🔖 배합비 참조'!$A$2:$A$83,0),MATCH($C130,'🔖 배합비 참조'!$B$1:$CE$1,0))/100,0),""))),"")</f>
        <v>0</v>
      </c>
      <c r="BS130" s="42" t="n">
        <f aca="false">IFERROR(IF($C130="","",IF($D130="","",IFERROR(ROUND($D130*INDEX('🔖 배합비 참조'!$B$2:$CE$83,MATCH("중력분",'🔖 배합비 참조'!$A$2:$A$83,0),MATCH($C130,'🔖 배합비 참조'!$B$1:$CE$1,0))/100,0),""))),"")</f>
        <v>0</v>
      </c>
      <c r="BT130" s="42" t="n">
        <f aca="false">IFERROR(IF($C130="","",IF($D130="","",IFERROR(ROUND($D130*INDEX('🔖 배합비 참조'!$B$2:$CE$83,MATCH("참깨(인도산,나이지리아산,탄자니아산,미얀마산)",'🔖 배합비 참조'!$A$2:$A$83,0),MATCH($C130,'🔖 배합비 참조'!$B$1:$CE$1,0))/100,0),""))),"")</f>
        <v>0</v>
      </c>
      <c r="BU130" s="42" t="n">
        <f aca="false">IFERROR(IF($C130="","",IF($D130="","",IFERROR(ROUND($D130*INDEX('🔖 배합비 참조'!$B$2:$CE$83,MATCH("찹쌀(국내산)",'🔖 배합비 참조'!$A$2:$A$83,0),MATCH($C130,'🔖 배합비 참조'!$B$1:$CE$1,0))/100,0),""))),"")</f>
        <v>30</v>
      </c>
      <c r="BV130" s="42" t="n">
        <f aca="false">IFERROR(IF($C130="","",IF($D130="","",IFERROR(ROUND($D130*INDEX('🔖 배합비 참조'!$B$2:$CE$83,MATCH("천일염",'🔖 배합비 참조'!$A$2:$A$83,0),MATCH($C130,'🔖 배합비 참조'!$B$1:$CE$1,0))/100,0),""))),"")</f>
        <v>0</v>
      </c>
      <c r="BW130" s="42" t="n">
        <f aca="false">IFERROR(IF($C130="","",IF($D130="","",IFERROR(ROUND($D130*INDEX('🔖 배합비 참조'!$B$2:$CE$83,MATCH("치즈 [크림치즈]",'🔖 배합비 참조'!$A$2:$A$83,0),MATCH($C130,'🔖 배합비 참조'!$B$1:$CE$1,0))/100,0),""))),"")</f>
        <v>0</v>
      </c>
      <c r="BX130" s="42" t="n">
        <f aca="false">IFERROR(IF($C130="","",IF($D130="","",IFERROR(ROUND($D130*INDEX('🔖 배합비 참조'!$B$2:$CE$83,MATCH("코코아가공품류(코코아분말)",'🔖 배합비 참조'!$A$2:$A$83,0),MATCH($C130,'🔖 배합비 참조'!$B$1:$CE$1,0))/100,0),""))),"")</f>
        <v>0</v>
      </c>
      <c r="BY130" s="42" t="n">
        <f aca="false">IFERROR(IF($C130="","",IF($D130="","",IFERROR(ROUND($D130*INDEX('🔖 배합비 참조'!$B$2:$CE$83,MATCH("콩기름(대두유)",'🔖 배합비 참조'!$A$2:$A$83,0),MATCH($C130,'🔖 배합비 참조'!$B$1:$CE$1,0))/100,0),""))),"")</f>
        <v>0</v>
      </c>
      <c r="BZ130" s="42" t="n">
        <f aca="false">IFERROR(IF($C130="","",IF($D130="","",IFERROR(ROUND($D130*INDEX('🔖 배합비 참조'!$B$2:$CE$83,MATCH("해바라기씨앗",'🔖 배합비 참조'!$A$2:$A$83,0),MATCH($C130,'🔖 배합비 참조'!$B$1:$CE$1,0))/100,0),""))),"")</f>
        <v>0</v>
      </c>
      <c r="CA130" s="42" t="n">
        <f aca="false">IFERROR(IF($C130="","",IF($D130="","",IFERROR(ROUND($D130*INDEX('🔖 배합비 참조'!$B$2:$CE$83,MATCH("현미(국내산)",'🔖 배합비 참조'!$A$2:$A$83,0),MATCH($C130,'🔖 배합비 참조'!$B$1:$CE$1,0))/100,0),""))),"")</f>
        <v>0</v>
      </c>
      <c r="CB130" s="42" t="n">
        <f aca="false">IFERROR(IF($C130="","",IF($D130="","",IFERROR(ROUND($D130*INDEX('🔖 배합비 참조'!$B$2:$CE$83,MATCH("현미멥쌀(국내산)",'🔖 배합비 참조'!$A$2:$A$83,0),MATCH($C130,'🔖 배합비 참조'!$B$1:$CE$1,0))/100,0),""))),"")</f>
        <v>0</v>
      </c>
      <c r="CC130" s="42" t="n">
        <f aca="false">IFERROR(IF($C130="","",IF($D130="","",IFERROR(ROUND($D130*INDEX('🔖 배합비 참조'!$B$2:$CE$83,MATCH("호두분태(미국산)",'🔖 배합비 참조'!$A$2:$A$83,0),MATCH($C130,'🔖 배합비 참조'!$B$1:$CE$1,0))/100,0),""))),"")</f>
        <v>2</v>
      </c>
      <c r="CD130" s="42" t="n">
        <f aca="false">IFERROR(IF($C130="","",IF($D130="","",IFERROR(ROUND($D130*INDEX('🔖 배합비 참조'!$B$2:$CE$83,MATCH("호박씨앗(외국산)",'🔖 배합비 참조'!$A$2:$A$83,0),MATCH($C130,'🔖 배합비 참조'!$B$1:$CE$1,0))/100,0),""))),"")</f>
        <v>0</v>
      </c>
      <c r="CE130" s="42" t="n">
        <f aca="false">IFERROR(IF($C130="","",IF($D130="","",IFERROR(ROUND($D130*INDEX('🔖 배합비 참조'!$B$2:$CE$83,MATCH("혼합제제(떡용에스텔)",'🔖 배합비 참조'!$A$2:$A$83,0),MATCH($C130,'🔖 배합비 참조'!$B$1:$CE$1,0))/100,0),""))),"")</f>
        <v>0</v>
      </c>
      <c r="CF130" s="42" t="n">
        <f aca="false">IFERROR(IF($C130="","",IF($D130="","",IFERROR(ROUND($D130*INDEX('🔖 배합비 참조'!$B$2:$CE$83,MATCH("혼합제제(스테비아)",'🔖 배합비 참조'!$A$2:$A$83,0),MATCH($C130,'🔖 배합비 참조'!$B$1:$CE$1,0))/100,0),""))),"")</f>
        <v>0</v>
      </c>
      <c r="CG130" s="42" t="n">
        <f aca="false">IFERROR(IF($C130="","",IF($D130="","",IFERROR(ROUND($D130*INDEX('🔖 배합비 참조'!$B$2:$CE$83,MATCH("화이트초콜릿",'🔖 배합비 참조'!$A$2:$A$83,0),MATCH($C130,'🔖 배합비 참조'!$B$1:$CE$1,0))/100,0),""))),"")</f>
        <v>0</v>
      </c>
      <c r="CH130" s="42" t="n">
        <f aca="false">IFERROR(IF($C130="","",IF($D130="","",IFERROR(ROUND($D130*INDEX('🔖 배합비 참조'!$B$2:$CE$83,MATCH("흑미찹쌀(국내산)",'🔖 배합비 참조'!$A$2:$A$83,0),MATCH($C130,'🔖 배합비 참조'!$B$1:$CE$1,0))/100,0),""))),"")</f>
        <v>0</v>
      </c>
      <c r="CI130" s="42" t="n">
        <f aca="false">IFERROR(IF($C130="","",IF($D130="","",IFERROR(ROUND($D130*INDEX('🔖 배합비 참조'!$B$2:$CE$83,MATCH("찰옥수수전분(미국산)",'🔖 배합비 참조'!$A$2:$A$83,0),MATCH($C130,'🔖 배합비 참조'!$B$1:$CE$1,0))/100,0),""))),"")</f>
        <v>0</v>
      </c>
      <c r="CJ130" s="40"/>
      <c r="CL130" s="1" t="s">
        <v>239</v>
      </c>
    </row>
    <row r="131" customFormat="false" ht="18" hidden="false" customHeight="true" outlineLevel="0" collapsed="false">
      <c r="A131" s="35" t="n">
        <v>127</v>
      </c>
      <c r="B131" s="36" t="n">
        <v>46008</v>
      </c>
      <c r="C131" s="37" t="s">
        <v>204</v>
      </c>
      <c r="D131" s="38" t="n">
        <v>140</v>
      </c>
      <c r="E131" s="13"/>
      <c r="F131" s="13"/>
      <c r="G131" s="39" t="n">
        <f aca="false">IFERROR(IF($C131="","",IF($D131="","",IFERROR(ROUND($D131*INDEX('🔖 배합비 참조'!$B$2:$CE$83,MATCH("간장",'🔖 배합비 참조'!$A$2:$A$83,0),MATCH($C131,'🔖 배합비 참조'!$B$1:$CE$1,0))/100,0),""))),"")</f>
        <v>0</v>
      </c>
      <c r="H131" s="39" t="n">
        <f aca="false">IFERROR(IF($C131="","",IF($D131="","",IFERROR(ROUND($D131*INDEX('🔖 배합비 참조'!$B$2:$CE$83,MATCH("강낭콩((울타리콩))",'🔖 배합비 참조'!$A$2:$A$83,0),MATCH($C131,'🔖 배합비 참조'!$B$1:$CE$1,0))/100,0),""))),"")</f>
        <v>0</v>
      </c>
      <c r="I131" s="39" t="n">
        <f aca="false">IFERROR(IF($C131="","",IF($D131="","",IFERROR(ROUND($D131*INDEX('🔖 배합비 참조'!$B$2:$CE$83,MATCH("건조딸기다이스(외국산)",'🔖 배합비 참조'!$A$2:$A$83,0),MATCH($C131,'🔖 배합비 참조'!$B$1:$CE$1,0))/100,0),""))),"")</f>
        <v>0</v>
      </c>
      <c r="J131" s="39" t="n">
        <f aca="false">IFERROR(IF($C131="","",IF($D131="","",IFERROR(ROUND($D131*INDEX('🔖 배합비 참조'!$B$2:$CE$83,MATCH("건포도",'🔖 배합비 참조'!$A$2:$A$83,0),MATCH($C131,'🔖 배합비 참조'!$B$1:$CE$1,0))/100,0),""))),"")</f>
        <v>0</v>
      </c>
      <c r="K131" s="39" t="n">
        <f aca="false">IFERROR(IF($C131="","",IF($D131="","",IFERROR(ROUND($D131*INDEX('🔖 배합비 참조'!$B$2:$CE$83,MATCH("건호박채(중국산)",'🔖 배합비 참조'!$A$2:$A$83,0),MATCH($C131,'🔖 배합비 참조'!$B$1:$CE$1,0))/100,0),""))),"")</f>
        <v>0</v>
      </c>
      <c r="L131" s="39" t="n">
        <f aca="false">IFERROR(IF($C131="","",IF($D131="","",IFERROR(ROUND($D131*INDEX('🔖 배합비 참조'!$B$2:$CE$83,MATCH("검정깨(흑임자)",'🔖 배합비 참조'!$A$2:$A$83,0),MATCH($C131,'🔖 배합비 참조'!$B$1:$CE$1,0))/100,0),""))),"")</f>
        <v>0</v>
      </c>
      <c r="M131" s="39" t="n">
        <f aca="false">IFERROR(IF($C131="","",IF($D131="","",IFERROR(ROUND($D131*INDEX('🔖 배합비 참조'!$B$2:$CE$83,MATCH("검정콩",'🔖 배합비 참조'!$A$2:$A$83,0),MATCH($C131,'🔖 배합비 참조'!$B$1:$CE$1,0))/100,0),""))),"")</f>
        <v>0</v>
      </c>
      <c r="N131" s="39" t="n">
        <f aca="false">IFERROR(IF($C131="","",IF($D131="","",IFERROR(ROUND($D131*INDEX('🔖 배합비 참조'!$B$2:$CE$83,MATCH("계피가루",'🔖 배합비 참조'!$A$2:$A$83,0),MATCH($C131,'🔖 배합비 참조'!$B$1:$CE$1,0))/100,0),""))),"")</f>
        <v>0</v>
      </c>
      <c r="O131" s="39" t="n">
        <f aca="false">IFERROR(IF($C131="","",IF($D131="","",IFERROR(ROUND($D131*INDEX('🔖 배합비 참조'!$B$2:$CE$83,MATCH("고구마가루",'🔖 배합비 참조'!$A$2:$A$83,0),MATCH($C131,'🔖 배합비 참조'!$B$1:$CE$1,0))/100,0),""))),"")</f>
        <v>0</v>
      </c>
      <c r="P131" s="39" t="n">
        <f aca="false">IFERROR(IF($C131="","",IF($D131="","",IFERROR(ROUND($D131*INDEX('🔖 배합비 참조'!$B$2:$CE$83,MATCH("고구마무스",'🔖 배합비 참조'!$A$2:$A$83,0),MATCH($C131,'🔖 배합비 참조'!$B$1:$CE$1,0))/100,0),""))),"")</f>
        <v>0</v>
      </c>
      <c r="Q131" s="39" t="n">
        <f aca="false">IFERROR(IF($C131="","",IF($D131="","",IFERROR(ROUND($D131*INDEX('🔖 배합비 참조'!$B$2:$CE$83,MATCH("고려엉겅퀴((곤드레)국내산)",'🔖 배합비 참조'!$A$2:$A$83,0),MATCH($C131,'🔖 배합비 참조'!$B$1:$CE$1,0))/100,0),""))),"")</f>
        <v>0</v>
      </c>
      <c r="R131" s="39" t="n">
        <f aca="false">IFERROR(IF($C131="","",IF($D131="","",IFERROR(ROUND($D131*INDEX('🔖 배합비 참조'!$B$2:$CE$83,MATCH("기타가공품(복분자가루)",'🔖 배합비 참조'!$A$2:$A$83,0),MATCH($C131,'🔖 배합비 참조'!$B$1:$CE$1,0))/100,0),""))),"")</f>
        <v>0</v>
      </c>
      <c r="S131" s="39" t="n">
        <f aca="false">IFERROR(IF($C131="","",IF($D131="","",IFERROR(ROUND($D131*INDEX('🔖 배합비 참조'!$B$2:$CE$83,MATCH("기타가공품(슈퍼소프트엠)",'🔖 배합비 참조'!$A$2:$A$83,0),MATCH($C131,'🔖 배합비 참조'!$B$1:$CE$1,0))/100,0),""))),"")</f>
        <v>0</v>
      </c>
      <c r="T131" s="39" t="n">
        <f aca="false">IFERROR(IF($C131="","",IF($D131="","",IFERROR(ROUND($D131*INDEX('🔖 배합비 참조'!$B$2:$CE$83,MATCH("기타가공품(파인소프트 E-티)",'🔖 배합비 참조'!$A$2:$A$83,0),MATCH($C131,'🔖 배합비 참조'!$B$1:$CE$1,0))/100,0),""))),"")</f>
        <v>0</v>
      </c>
      <c r="U131" s="39" t="n">
        <f aca="false">IFERROR(IF($C131="","",IF($D131="","",IFERROR(ROUND($D131*INDEX('🔖 배합비 참조'!$B$2:$CE$83,MATCH("기타가공품(프리미엄카스테라가루)",'🔖 배합비 참조'!$A$2:$A$83,0),MATCH($C131,'🔖 배합비 참조'!$B$1:$CE$1,0))/100,0),""))),"")</f>
        <v>0</v>
      </c>
      <c r="V131" s="39" t="n">
        <f aca="false">IFERROR(IF($C131="","",IF($D131="","",IFERROR(ROUND($D131*INDEX('🔖 배합비 참조'!$B$2:$CE$83,MATCH("기타가공품(흑임자가루)",'🔖 배합비 참조'!$A$2:$A$83,0),MATCH($C131,'🔖 배합비 참조'!$B$1:$CE$1,0))/100,0),""))),"")</f>
        <v>0</v>
      </c>
      <c r="W131" s="39" t="n">
        <f aca="false">IFERROR(IF($C131="","",IF($D131="","",IFERROR(ROUND($D131*INDEX('🔖 배합비 참조'!$B$2:$CE$83,MATCH("기타설탕(흑설탕)",'🔖 배합비 참조'!$A$2:$A$83,0),MATCH($C131,'🔖 배합비 참조'!$B$1:$CE$1,0))/100,0),""))),"")</f>
        <v>0</v>
      </c>
      <c r="X131" s="39" t="n">
        <f aca="false">IFERROR(IF($C131="","",IF($D131="","",IFERROR(ROUND($D131*INDEX('🔖 배합비 참조'!$B$2:$CE$83,MATCH("냉동쑥(국내산)",'🔖 배합비 참조'!$A$2:$A$83,0),MATCH($C131,'🔖 배합비 참조'!$B$1:$CE$1,0))/100,0),""))),"")</f>
        <v>5</v>
      </c>
      <c r="Y131" s="39" t="n">
        <f aca="false">IFERROR(IF($C131="","",IF($D131="","",IFERROR(ROUND($D131*INDEX('🔖 배합비 참조'!$B$2:$CE$83,MATCH("냉동증숙고구마(중국산)",'🔖 배합비 참조'!$A$2:$A$83,0),MATCH($C131,'🔖 배합비 참조'!$B$1:$CE$1,0))/100,0),""))),"")</f>
        <v>0</v>
      </c>
      <c r="Z131" s="39" t="n">
        <f aca="false">IFERROR(IF($C131="","",IF($D131="","",IFERROR(ROUND($D131*INDEX('🔖 배합비 참조'!$B$2:$CE$83,MATCH("녹차가루",'🔖 배합비 참조'!$A$2:$A$83,0),MATCH($C131,'🔖 배합비 참조'!$B$1:$CE$1,0))/100,0),""))),"")</f>
        <v>0</v>
      </c>
      <c r="AA131" s="39" t="n">
        <f aca="false">IFERROR(IF($C131="","",IF($D131="","",IFERROR(ROUND($D131*INDEX('🔖 배합비 참조'!$B$2:$CE$83,MATCH("다크초콜릿 컴파운드칩",'🔖 배합비 참조'!$A$2:$A$83,0),MATCH($C131,'🔖 배합비 참조'!$B$1:$CE$1,0))/100,0),""))),"")</f>
        <v>0</v>
      </c>
      <c r="AB131" s="39" t="n">
        <f aca="false">IFERROR(IF($C131="","",IF($D131="","",IFERROR(ROUND($D131*INDEX('🔖 배합비 참조'!$B$2:$CE$83,MATCH("단호박분말(중국산)",'🔖 배합비 참조'!$A$2:$A$83,0),MATCH($C131,'🔖 배합비 참조'!$B$1:$CE$1,0))/100,0),""))),"")</f>
        <v>0</v>
      </c>
      <c r="AC131" s="39" t="n">
        <f aca="false">IFERROR(IF($C131="","",IF($D131="","",IFERROR(ROUND($D131*INDEX('🔖 배합비 참조'!$B$2:$CE$83,MATCH("당류가공품(단호박농축액)",'🔖 배합비 참조'!$A$2:$A$83,0),MATCH($C131,'🔖 배합비 참조'!$B$1:$CE$1,0))/100,0),""))),"")</f>
        <v>0</v>
      </c>
      <c r="AD131" s="39" t="n">
        <f aca="false">IFERROR(IF($C131="","",IF($D131="","",IFERROR(ROUND($D131*INDEX('🔖 배합비 참조'!$B$2:$CE$83,MATCH("당류가공품(알룰로스,에리스리톨,스테비올배당체혼합)",'🔖 배합비 참조'!$A$2:$A$83,0),MATCH($C131,'🔖 배합비 참조'!$B$1:$CE$1,0))/100,0),""))),"")</f>
        <v>0</v>
      </c>
      <c r="AE131" s="39" t="n">
        <f aca="false">IFERROR(IF($C131="","",IF($D131="","",IFERROR(ROUND($D131*INDEX('🔖 배합비 참조'!$B$2:$CE$83,MATCH("당류가공품(알룰로스제로파우더)",'🔖 배합비 참조'!$A$2:$A$83,0),MATCH($C131,'🔖 배합비 참조'!$B$1:$CE$1,0))/100,0),""))),"")</f>
        <v>0</v>
      </c>
      <c r="AF131" s="39" t="n">
        <f aca="false">IFERROR(IF($C131="","",IF($D131="","",IFERROR(ROUND($D131*INDEX('🔖 배합비 참조'!$B$2:$CE$83,MATCH("당절임(완두배기)",'🔖 배합비 참조'!$A$2:$A$83,0),MATCH($C131,'🔖 배합비 참조'!$B$1:$CE$1,0))/100,0),""))),"")</f>
        <v>0</v>
      </c>
      <c r="AG131" s="39" t="n">
        <f aca="false">IFERROR(IF($C131="","",IF($D131="","",IFERROR(ROUND($D131*INDEX('🔖 배합비 참조'!$B$2:$CE$83,MATCH("대추농축액",'🔖 배합비 참조'!$A$2:$A$83,0),MATCH($C131,'🔖 배합비 참조'!$B$1:$CE$1,0))/100,0),""))),"")</f>
        <v>0</v>
      </c>
      <c r="AH131" s="39" t="n">
        <f aca="false">IFERROR(IF($C131="","",IF($D131="","",IFERROR(ROUND($D131*INDEX('🔖 배합비 참조'!$B$2:$CE$83,MATCH("대추채(국내산)",'🔖 배합비 참조'!$A$2:$A$83,0),MATCH($C131,'🔖 배합비 참조'!$B$1:$CE$1,0))/100,0),""))),"")</f>
        <v>0</v>
      </c>
      <c r="AI131" s="39" t="n">
        <f aca="false">IFERROR(IF($C131="","",IF($D131="","",IFERROR(ROUND($D131*INDEX('🔖 배합비 참조'!$B$2:$CE$83,MATCH("동부(미얀마산)",'🔖 배합비 참조'!$A$2:$A$83,0),MATCH($C131,'🔖 배합비 참조'!$B$1:$CE$1,0))/100,0),""))),"")</f>
        <v>0</v>
      </c>
      <c r="AJ131" s="39" t="n">
        <f aca="false">IFERROR(IF($C131="","",IF($D131="","",IFERROR(ROUND($D131*INDEX('🔖 배합비 참조'!$B$2:$CE$83,MATCH("두류가공품(백옥앙금)",'🔖 배합비 참조'!$A$2:$A$83,0),MATCH($C131,'🔖 배합비 참조'!$B$1:$CE$1,0))/100,0),""))),"")</f>
        <v>0</v>
      </c>
      <c r="AK131" s="39" t="n">
        <f aca="false">IFERROR(IF($C131="","",IF($D131="","",IFERROR(ROUND($D131*INDEX('🔖 배합비 참조'!$B$2:$CE$83,MATCH("두류가공품(콩고물)",'🔖 배합비 참조'!$A$2:$A$83,0),MATCH($C131,'🔖 배합비 참조'!$B$1:$CE$1,0))/100,0),""))),"")</f>
        <v>4</v>
      </c>
      <c r="AL131" s="39" t="n">
        <f aca="false">IFERROR(IF($C131="","",IF($D131="","",IFERROR(ROUND($D131*INDEX('🔖 배합비 참조'!$B$2:$CE$83,MATCH("두류가공품(통팥고물)",'🔖 배합비 참조'!$A$2:$A$83,0),MATCH($C131,'🔖 배합비 참조'!$B$1:$CE$1,0))/100,0),""))),"")</f>
        <v>0</v>
      </c>
      <c r="AM131" s="39" t="n">
        <f aca="false">IFERROR(IF($C131="","",IF($D131="","",IFERROR(ROUND($D131*INDEX('🔖 배합비 참조'!$B$2:$CE$83,MATCH("딸기레진",'🔖 배합비 참조'!$A$2:$A$83,0),MATCH($C131,'🔖 배합비 참조'!$B$1:$CE$1,0))/100,0),""))),"")</f>
        <v>0</v>
      </c>
      <c r="AN131" s="39" t="n">
        <f aca="false">IFERROR(IF($C131="","",IF($D131="","",IFERROR(ROUND($D131*INDEX('🔖 배합비 참조'!$B$2:$CE$83,MATCH("딸기분말(스트로우베리에이드(분말))",'🔖 배합비 참조'!$A$2:$A$83,0),MATCH($C131,'🔖 배합비 참조'!$B$1:$CE$1,0))/100,0),""))),"")</f>
        <v>0</v>
      </c>
      <c r="AO131" s="39" t="n">
        <f aca="false">IFERROR(IF($C131="","",IF($D131="","",IFERROR(ROUND($D131*INDEX('🔖 배합비 참조'!$B$2:$CE$83,MATCH("마스카포네치즈",'🔖 배합비 참조'!$A$2:$A$83,0),MATCH($C131,'🔖 배합비 참조'!$B$1:$CE$1,0))/100,0),""))),"")</f>
        <v>0</v>
      </c>
      <c r="AP131" s="39" t="n">
        <f aca="false">IFERROR(IF($C131="","",IF($D131="","",IFERROR(ROUND($D131*INDEX('🔖 배합비 참조'!$B$2:$CE$83,MATCH("마카다미아분태(호주산)",'🔖 배합비 참조'!$A$2:$A$83,0),MATCH($C131,'🔖 배합비 참조'!$B$1:$CE$1,0))/100,0),""))),"")</f>
        <v>0</v>
      </c>
      <c r="AQ131" s="39" t="n">
        <f aca="false">IFERROR(IF($C131="","",IF($D131="","",IFERROR(ROUND($D131*INDEX('🔖 배합비 참조'!$B$2:$CE$83,MATCH("멥쌀(국내산)",'🔖 배합비 참조'!$A$2:$A$83,0),MATCH($C131,'🔖 배합비 참조'!$B$1:$CE$1,0))/100,0),""))),"")</f>
        <v>0</v>
      </c>
      <c r="AR131" s="39" t="n">
        <f aca="false">IFERROR(IF($C131="","",IF($D131="","",IFERROR(ROUND($D131*INDEX('🔖 배합비 참조'!$B$2:$CE$83,MATCH("모시잎(국내산)",'🔖 배합비 참조'!$A$2:$A$83,0),MATCH($C131,'🔖 배합비 참조'!$B$1:$CE$1,0))/100,0),""))),"")</f>
        <v>0</v>
      </c>
      <c r="AS131" s="39" t="n">
        <f aca="false">IFERROR(IF($C131="","",IF($D131="","",IFERROR(ROUND($D131*INDEX('🔖 배합비 참조'!$B$2:$CE$83,MATCH("물엿(저당물엿)",'🔖 배합비 참조'!$A$2:$A$83,0),MATCH($C131,'🔖 배합비 참조'!$B$1:$CE$1,0))/100,0),""))),"")</f>
        <v>3</v>
      </c>
      <c r="AT131" s="39" t="n">
        <f aca="false">IFERROR(IF($C131="","",IF($D131="","",IFERROR(ROUND($D131*INDEX('🔖 배합비 참조'!$B$2:$CE$83,MATCH("밤다이스",'🔖 배합비 참조'!$A$2:$A$83,0),MATCH($C131,'🔖 배합비 참조'!$B$1:$CE$1,0))/100,0),""))),"")</f>
        <v>0</v>
      </c>
      <c r="AU131" s="39" t="n">
        <f aca="false">IFERROR(IF($C131="","",IF($D131="","",IFERROR(ROUND($D131*INDEX('🔖 배합비 참조'!$B$2:$CE$83,MATCH("변성전분(타피오카전분)",'🔖 배합비 참조'!$A$2:$A$83,0),MATCH($C131,'🔖 배합비 참조'!$B$1:$CE$1,0))/100,0),""))),"")</f>
        <v>0</v>
      </c>
      <c r="AV131" s="39" t="n">
        <f aca="false">IFERROR(IF($C131="","",IF($D131="","",IFERROR(ROUND($D131*INDEX('🔖 배합비 참조'!$B$2:$CE$83,MATCH("복음땅콩분태",'🔖 배합비 참조'!$A$2:$A$83,0),MATCH($C131,'🔖 배합비 참조'!$B$1:$CE$1,0))/100,0),""))),"")</f>
        <v>0</v>
      </c>
      <c r="AW131" s="39" t="n">
        <f aca="false">IFERROR(IF($C131="","",IF($D131="","",IFERROR(ROUND($D131*INDEX('🔖 배합비 참조'!$B$2:$CE$83,MATCH("사양벌꿀(국내산)",'🔖 배합비 참조'!$A$2:$A$83,0),MATCH($C131,'🔖 배합비 참조'!$B$1:$CE$1,0))/100,0),""))),"")</f>
        <v>0</v>
      </c>
      <c r="AX131" s="39" t="n">
        <f aca="false">IFERROR(IF($C131="","",IF($D131="","",IFERROR(ROUND($D131*INDEX('🔖 배합비 참조'!$B$2:$CE$83,MATCH("생크림",'🔖 배합비 참조'!$A$2:$A$83,0),MATCH($C131,'🔖 배합비 참조'!$B$1:$CE$1,0))/100,0),""))),"")</f>
        <v>0</v>
      </c>
      <c r="AY131" s="39" t="n">
        <f aca="false">IFERROR(IF($C131="","",IF($D131="","",IFERROR(ROUND($D131*INDEX('🔖 배합비 참조'!$B$2:$CE$83,MATCH("서양호박(국내산,뉴질랜드산)",'🔖 배합비 참조'!$A$2:$A$83,0),MATCH($C131,'🔖 배합비 참조'!$B$1:$CE$1,0))/100,0),""))),"")</f>
        <v>0</v>
      </c>
      <c r="AZ131" s="39" t="n">
        <f aca="false">IFERROR(IF($C131="","",IF($D131="","",IFERROR(ROUND($D131*INDEX('🔖 배합비 참조'!$B$2:$CE$83,MATCH("설탕",'🔖 배합비 참조'!$A$2:$A$83,0),MATCH($C131,'🔖 배합비 참조'!$B$1:$CE$1,0))/100,0),""))),"")</f>
        <v>3</v>
      </c>
      <c r="BA131" s="39" t="n">
        <f aca="false">IFERROR(IF($C131="","",IF($D131="","",IFERROR(ROUND($D131*INDEX('🔖 배합비 참조'!$B$2:$CE$83,MATCH("스트로우베리 에이드 후레쉬",'🔖 배합비 참조'!$A$2:$A$83,0),MATCH($C131,'🔖 배합비 참조'!$B$1:$CE$1,0))/100,0),""))),"")</f>
        <v>0</v>
      </c>
      <c r="BB131" s="39" t="n">
        <f aca="false">IFERROR(IF($C131="","",IF($D131="","",IFERROR(ROUND($D131*INDEX('🔖 배합비 참조'!$B$2:$CE$83,MATCH("식물성기름혼합제제(분홍)",'🔖 배합비 참조'!$A$2:$A$83,0),MATCH($C131,'🔖 배합비 참조'!$B$1:$CE$1,0))/100,0),""))),"")</f>
        <v>0</v>
      </c>
      <c r="BC131" s="39" t="n">
        <f aca="false">IFERROR(IF($C131="","",IF($D131="","",IFERROR(ROUND($D131*INDEX('🔖 배합비 참조'!$B$2:$CE$83,MATCH("식물성기름혼합제제(초록)",'🔖 배합비 참조'!$A$2:$A$83,0),MATCH($C131,'🔖 배합비 참조'!$B$1:$CE$1,0))/100,0),""))),"")</f>
        <v>0</v>
      </c>
      <c r="BD131" s="39" t="n">
        <f aca="false">IFERROR(IF($C131="","",IF($D131="","",IFERROR(ROUND($D131*INDEX('🔖 배합비 참조'!$B$2:$CE$83,MATCH("식물성기름혼합제제(황색)",'🔖 배합비 참조'!$A$2:$A$83,0),MATCH($C131,'🔖 배합비 참조'!$B$1:$CE$1,0))/100,0),""))),"")</f>
        <v>0</v>
      </c>
      <c r="BE131" s="39" t="n">
        <f aca="false">IFERROR(IF($C131="","",IF($D131="","",IFERROR(ROUND($D131*INDEX('🔖 배합비 참조'!$B$2:$CE$83,MATCH("쑥가루(국내산)",'🔖 배합비 참조'!$A$2:$A$83,0),MATCH($C131,'🔖 배합비 참조'!$B$1:$CE$1,0))/100,0),""))),"")</f>
        <v>2</v>
      </c>
      <c r="BF131" s="39" t="n">
        <f aca="false">IFERROR(IF($C131="","",IF($D131="","",IFERROR(ROUND($D131*INDEX('🔖 배합비 참조'!$B$2:$CE$83,MATCH("아몬드슬라이스",'🔖 배합비 참조'!$A$2:$A$83,0),MATCH($C131,'🔖 배합비 참조'!$B$1:$CE$1,0))/100,0),""))),"")</f>
        <v>0</v>
      </c>
      <c r="BG131" s="39" t="n">
        <f aca="false">IFERROR(IF($C131="","",IF($D131="","",IFERROR(ROUND($D131*INDEX('🔖 배합비 참조'!$B$2:$CE$83,MATCH("알룰로오스(국내산)",'🔖 배합비 참조'!$A$2:$A$83,0),MATCH($C131,'🔖 배합비 참조'!$B$1:$CE$1,0))/100,0),""))),"")</f>
        <v>0</v>
      </c>
      <c r="BH131" s="39" t="n">
        <f aca="false">IFERROR(IF($C131="","",IF($D131="","",IFERROR(ROUND($D131*INDEX('🔖 배합비 참조'!$B$2:$CE$83,MATCH("연유",'🔖 배합비 참조'!$A$2:$A$83,0),MATCH($C131,'🔖 배합비 참조'!$B$1:$CE$1,0))/100,0),""))),"")</f>
        <v>0</v>
      </c>
      <c r="BI131" s="39" t="n">
        <f aca="false">IFERROR(IF($C131="","",IF($D131="","",IFERROR(ROUND($D131*INDEX('🔖 배합비 참조'!$B$2:$CE$83,MATCH("옥수수전분",'🔖 배합비 참조'!$A$2:$A$83,0),MATCH($C131,'🔖 배합비 참조'!$B$1:$CE$1,0))/100,0),""))),"")</f>
        <v>0</v>
      </c>
      <c r="BJ131" s="39" t="n">
        <f aca="false">IFERROR(IF($C131="","",IF($D131="","",IFERROR(ROUND($D131*INDEX('🔖 배합비 참조'!$B$2:$CE$83,MATCH("완두배기",'🔖 배합비 참조'!$A$2:$A$83,0),MATCH($C131,'🔖 배합비 참조'!$B$1:$CE$1,0))/100,0),""))),"")</f>
        <v>0</v>
      </c>
      <c r="BK131" s="39" t="n">
        <f aca="false">IFERROR(IF($C131="","",IF($D131="","",IFERROR(ROUND($D131*INDEX('🔖 배합비 참조'!$B$2:$CE$83,MATCH("우유(국내산)",'🔖 배합비 참조'!$A$2:$A$83,0),MATCH($C131,'🔖 배합비 참조'!$B$1:$CE$1,0))/100,0),""))),"")</f>
        <v>0</v>
      </c>
      <c r="BL131" s="39" t="n">
        <f aca="false">IFERROR(IF($C131="","",IF($D131="","",IFERROR(ROUND($D131*INDEX('🔖 배합비 참조'!$B$2:$CE$83,MATCH("자색고구마가루(중국산)",'🔖 배합비 참조'!$A$2:$A$83,0),MATCH($C131,'🔖 배합비 참조'!$B$1:$CE$1,0))/100,0),""))),"")</f>
        <v>0</v>
      </c>
      <c r="BM131" s="39" t="n">
        <f aca="false">IFERROR(IF($C131="","",IF($D131="","",IFERROR(ROUND($D131*INDEX('🔖 배합비 참조'!$B$2:$CE$83,MATCH("자연치즈(체다치즈)",'🔖 배합비 참조'!$A$2:$A$83,0),MATCH($C131,'🔖 배합비 참조'!$B$1:$CE$1,0))/100,0),""))),"")</f>
        <v>0</v>
      </c>
      <c r="BN131" s="39" t="n">
        <f aca="false">IFERROR(IF($C131="","",IF($D131="","",IFERROR(ROUND($D131*INDEX('🔖 배합비 참조'!$B$2:$CE$83,MATCH("정제수",'🔖 배합비 참조'!$A$2:$A$83,0),MATCH($C131,'🔖 배합비 참조'!$B$1:$CE$1,0))/100,0),""))),"")</f>
        <v>0</v>
      </c>
      <c r="BO131" s="39" t="n">
        <f aca="false">IFERROR(IF($C131="","",IF($D131="","",IFERROR(ROUND($D131*INDEX('🔖 배합비 참조'!$B$2:$CE$83,MATCH("젤라틴",'🔖 배합비 참조'!$A$2:$A$83,0),MATCH($C131,'🔖 배합비 참조'!$B$1:$CE$1,0))/100,0),""))),"")</f>
        <v>0</v>
      </c>
      <c r="BP131" s="39" t="n">
        <f aca="false">IFERROR(IF($C131="","",IF($D131="","",IFERROR(ROUND($D131*INDEX('🔖 배합비 참조'!$B$2:$CE$83,MATCH("조림류(백옥앙금)",'🔖 배합비 참조'!$A$2:$A$83,0),MATCH($C131,'🔖 배합비 참조'!$B$1:$CE$1,0))/100,0),""))),"")</f>
        <v>0</v>
      </c>
      <c r="BQ131" s="39" t="n">
        <f aca="false">IFERROR(IF($C131="","",IF($D131="","",IFERROR(ROUND($D131*INDEX('🔖 배합비 참조'!$B$2:$CE$83,MATCH("조림류(통팥앙금)",'🔖 배합비 참조'!$A$2:$A$83,0),MATCH($C131,'🔖 배합비 참조'!$B$1:$CE$1,0))/100,0),""))),"")</f>
        <v>58</v>
      </c>
      <c r="BR131" s="39" t="n">
        <f aca="false">IFERROR(IF($C131="","",IF($D131="","",IFERROR(ROUND($D131*INDEX('🔖 배합비 참조'!$B$2:$CE$83,MATCH("준초콜릿(외국산)",'🔖 배합비 참조'!$A$2:$A$83,0),MATCH($C131,'🔖 배합비 참조'!$B$1:$CE$1,0))/100,0),""))),"")</f>
        <v>0</v>
      </c>
      <c r="BS131" s="39" t="n">
        <f aca="false">IFERROR(IF($C131="","",IF($D131="","",IFERROR(ROUND($D131*INDEX('🔖 배합비 참조'!$B$2:$CE$83,MATCH("중력분",'🔖 배합비 참조'!$A$2:$A$83,0),MATCH($C131,'🔖 배합비 참조'!$B$1:$CE$1,0))/100,0),""))),"")</f>
        <v>1</v>
      </c>
      <c r="BT131" s="39" t="n">
        <f aca="false">IFERROR(IF($C131="","",IF($D131="","",IFERROR(ROUND($D131*INDEX('🔖 배합비 참조'!$B$2:$CE$83,MATCH("참깨(인도산,나이지리아산,탄자니아산,미얀마산)",'🔖 배합비 참조'!$A$2:$A$83,0),MATCH($C131,'🔖 배합비 참조'!$B$1:$CE$1,0))/100,0),""))),"")</f>
        <v>0</v>
      </c>
      <c r="BU131" s="39" t="n">
        <f aca="false">IFERROR(IF($C131="","",IF($D131="","",IFERROR(ROUND($D131*INDEX('🔖 배합비 참조'!$B$2:$CE$83,MATCH("찹쌀(국내산)",'🔖 배합비 참조'!$A$2:$A$83,0),MATCH($C131,'🔖 배합비 참조'!$B$1:$CE$1,0))/100,0),""))),"")</f>
        <v>62</v>
      </c>
      <c r="BV131" s="39" t="n">
        <f aca="false">IFERROR(IF($C131="","",IF($D131="","",IFERROR(ROUND($D131*INDEX('🔖 배합비 참조'!$B$2:$CE$83,MATCH("천일염",'🔖 배합비 참조'!$A$2:$A$83,0),MATCH($C131,'🔖 배합비 참조'!$B$1:$CE$1,0))/100,0),""))),"")</f>
        <v>1</v>
      </c>
      <c r="BW131" s="39" t="n">
        <f aca="false">IFERROR(IF($C131="","",IF($D131="","",IFERROR(ROUND($D131*INDEX('🔖 배합비 참조'!$B$2:$CE$83,MATCH("치즈 [크림치즈]",'🔖 배합비 참조'!$A$2:$A$83,0),MATCH($C131,'🔖 배합비 참조'!$B$1:$CE$1,0))/100,0),""))),"")</f>
        <v>0</v>
      </c>
      <c r="BX131" s="39" t="n">
        <f aca="false">IFERROR(IF($C131="","",IF($D131="","",IFERROR(ROUND($D131*INDEX('🔖 배합비 참조'!$B$2:$CE$83,MATCH("코코아가공품류(코코아분말)",'🔖 배합비 참조'!$A$2:$A$83,0),MATCH($C131,'🔖 배합비 참조'!$B$1:$CE$1,0))/100,0),""))),"")</f>
        <v>0</v>
      </c>
      <c r="BY131" s="39" t="n">
        <f aca="false">IFERROR(IF($C131="","",IF($D131="","",IFERROR(ROUND($D131*INDEX('🔖 배합비 참조'!$B$2:$CE$83,MATCH("콩기름(대두유)",'🔖 배합비 참조'!$A$2:$A$83,0),MATCH($C131,'🔖 배합비 참조'!$B$1:$CE$1,0))/100,0),""))),"")</f>
        <v>0</v>
      </c>
      <c r="BZ131" s="39" t="n">
        <f aca="false">IFERROR(IF($C131="","",IF($D131="","",IFERROR(ROUND($D131*INDEX('🔖 배합비 참조'!$B$2:$CE$83,MATCH("해바라기씨앗",'🔖 배합비 참조'!$A$2:$A$83,0),MATCH($C131,'🔖 배합비 참조'!$B$1:$CE$1,0))/100,0),""))),"")</f>
        <v>0</v>
      </c>
      <c r="CA131" s="39" t="n">
        <f aca="false">IFERROR(IF($C131="","",IF($D131="","",IFERROR(ROUND($D131*INDEX('🔖 배합비 참조'!$B$2:$CE$83,MATCH("현미(국내산)",'🔖 배합비 참조'!$A$2:$A$83,0),MATCH($C131,'🔖 배합비 참조'!$B$1:$CE$1,0))/100,0),""))),"")</f>
        <v>0</v>
      </c>
      <c r="CB131" s="39" t="n">
        <f aca="false">IFERROR(IF($C131="","",IF($D131="","",IFERROR(ROUND($D131*INDEX('🔖 배합비 참조'!$B$2:$CE$83,MATCH("현미멥쌀(국내산)",'🔖 배합비 참조'!$A$2:$A$83,0),MATCH($C131,'🔖 배합비 참조'!$B$1:$CE$1,0))/100,0),""))),"")</f>
        <v>0</v>
      </c>
      <c r="CC131" s="39" t="n">
        <f aca="false">IFERROR(IF($C131="","",IF($D131="","",IFERROR(ROUND($D131*INDEX('🔖 배합비 참조'!$B$2:$CE$83,MATCH("호두분태(미국산)",'🔖 배합비 참조'!$A$2:$A$83,0),MATCH($C131,'🔖 배합비 참조'!$B$1:$CE$1,0))/100,0),""))),"")</f>
        <v>0</v>
      </c>
      <c r="CD131" s="39" t="n">
        <f aca="false">IFERROR(IF($C131="","",IF($D131="","",IFERROR(ROUND($D131*INDEX('🔖 배합비 참조'!$B$2:$CE$83,MATCH("호박씨앗(외국산)",'🔖 배합비 참조'!$A$2:$A$83,0),MATCH($C131,'🔖 배합비 참조'!$B$1:$CE$1,0))/100,0),""))),"")</f>
        <v>0</v>
      </c>
      <c r="CE131" s="39" t="n">
        <f aca="false">IFERROR(IF($C131="","",IF($D131="","",IFERROR(ROUND($D131*INDEX('🔖 배합비 참조'!$B$2:$CE$83,MATCH("혼합제제(떡용에스텔)",'🔖 배합비 참조'!$A$2:$A$83,0),MATCH($C131,'🔖 배합비 참조'!$B$1:$CE$1,0))/100,0),""))),"")</f>
        <v>1</v>
      </c>
      <c r="CF131" s="39" t="n">
        <f aca="false">IFERROR(IF($C131="","",IF($D131="","",IFERROR(ROUND($D131*INDEX('🔖 배합비 참조'!$B$2:$CE$83,MATCH("혼합제제(스테비아)",'🔖 배합비 참조'!$A$2:$A$83,0),MATCH($C131,'🔖 배합비 참조'!$B$1:$CE$1,0))/100,0),""))),"")</f>
        <v>0</v>
      </c>
      <c r="CG131" s="39" t="n">
        <f aca="false">IFERROR(IF($C131="","",IF($D131="","",IFERROR(ROUND($D131*INDEX('🔖 배합비 참조'!$B$2:$CE$83,MATCH("화이트초콜릿",'🔖 배합비 참조'!$A$2:$A$83,0),MATCH($C131,'🔖 배합비 참조'!$B$1:$CE$1,0))/100,0),""))),"")</f>
        <v>0</v>
      </c>
      <c r="CH131" s="39" t="n">
        <f aca="false">IFERROR(IF($C131="","",IF($D131="","",IFERROR(ROUND($D131*INDEX('🔖 배합비 참조'!$B$2:$CE$83,MATCH("흑미찹쌀(국내산)",'🔖 배합비 참조'!$A$2:$A$83,0),MATCH($C131,'🔖 배합비 참조'!$B$1:$CE$1,0))/100,0),""))),"")</f>
        <v>0</v>
      </c>
      <c r="CI131" s="39" t="n">
        <f aca="false">IFERROR(IF($C131="","",IF($D131="","",IFERROR(ROUND($D131*INDEX('🔖 배합비 참조'!$B$2:$CE$83,MATCH("찰옥수수전분(미국산)",'🔖 배합비 참조'!$A$2:$A$83,0),MATCH($C131,'🔖 배합비 참조'!$B$1:$CE$1,0))/100,0),""))),"")</f>
        <v>0</v>
      </c>
      <c r="CJ131" s="40"/>
      <c r="CL131" s="1" t="s">
        <v>239</v>
      </c>
    </row>
    <row r="132" customFormat="false" ht="18" hidden="false" customHeight="true" outlineLevel="0" collapsed="false">
      <c r="A132" s="41" t="n">
        <v>128</v>
      </c>
      <c r="B132" s="36" t="n">
        <v>46008</v>
      </c>
      <c r="C132" s="37" t="s">
        <v>209</v>
      </c>
      <c r="D132" s="38" t="n">
        <v>70</v>
      </c>
      <c r="E132" s="17"/>
      <c r="F132" s="17"/>
      <c r="G132" s="42" t="n">
        <f aca="false">IFERROR(IF($C132="","",IF($D132="","",IFERROR(ROUND($D132*INDEX('🔖 배합비 참조'!$B$2:$CE$83,MATCH("간장",'🔖 배합비 참조'!$A$2:$A$83,0),MATCH($C132,'🔖 배합비 참조'!$B$1:$CE$1,0))/100,0),""))),"")</f>
        <v>0</v>
      </c>
      <c r="H132" s="42" t="n">
        <f aca="false">IFERROR(IF($C132="","",IF($D132="","",IFERROR(ROUND($D132*INDEX('🔖 배합비 참조'!$B$2:$CE$83,MATCH("강낭콩((울타리콩))",'🔖 배합비 참조'!$A$2:$A$83,0),MATCH($C132,'🔖 배합비 참조'!$B$1:$CE$1,0))/100,0),""))),"")</f>
        <v>0</v>
      </c>
      <c r="I132" s="42" t="n">
        <f aca="false">IFERROR(IF($C132="","",IF($D132="","",IFERROR(ROUND($D132*INDEX('🔖 배합비 참조'!$B$2:$CE$83,MATCH("건조딸기다이스(외국산)",'🔖 배합비 참조'!$A$2:$A$83,0),MATCH($C132,'🔖 배합비 참조'!$B$1:$CE$1,0))/100,0),""))),"")</f>
        <v>0</v>
      </c>
      <c r="J132" s="42" t="n">
        <f aca="false">IFERROR(IF($C132="","",IF($D132="","",IFERROR(ROUND($D132*INDEX('🔖 배합비 참조'!$B$2:$CE$83,MATCH("건포도",'🔖 배합비 참조'!$A$2:$A$83,0),MATCH($C132,'🔖 배합비 참조'!$B$1:$CE$1,0))/100,0),""))),"")</f>
        <v>0</v>
      </c>
      <c r="K132" s="42" t="n">
        <f aca="false">IFERROR(IF($C132="","",IF($D132="","",IFERROR(ROUND($D132*INDEX('🔖 배합비 참조'!$B$2:$CE$83,MATCH("건호박채(중국산)",'🔖 배합비 참조'!$A$2:$A$83,0),MATCH($C132,'🔖 배합비 참조'!$B$1:$CE$1,0))/100,0),""))),"")</f>
        <v>0</v>
      </c>
      <c r="L132" s="42" t="n">
        <f aca="false">IFERROR(IF($C132="","",IF($D132="","",IFERROR(ROUND($D132*INDEX('🔖 배합비 참조'!$B$2:$CE$83,MATCH("검정깨(흑임자)",'🔖 배합비 참조'!$A$2:$A$83,0),MATCH($C132,'🔖 배합비 참조'!$B$1:$CE$1,0))/100,0),""))),"")</f>
        <v>0</v>
      </c>
      <c r="M132" s="42" t="n">
        <f aca="false">IFERROR(IF($C132="","",IF($D132="","",IFERROR(ROUND($D132*INDEX('🔖 배합비 참조'!$B$2:$CE$83,MATCH("검정콩",'🔖 배합비 참조'!$A$2:$A$83,0),MATCH($C132,'🔖 배합비 참조'!$B$1:$CE$1,0))/100,0),""))),"")</f>
        <v>0</v>
      </c>
      <c r="N132" s="42" t="n">
        <f aca="false">IFERROR(IF($C132="","",IF($D132="","",IFERROR(ROUND($D132*INDEX('🔖 배합비 참조'!$B$2:$CE$83,MATCH("계피가루",'🔖 배합비 참조'!$A$2:$A$83,0),MATCH($C132,'🔖 배합비 참조'!$B$1:$CE$1,0))/100,0),""))),"")</f>
        <v>0</v>
      </c>
      <c r="O132" s="42" t="n">
        <f aca="false">IFERROR(IF($C132="","",IF($D132="","",IFERROR(ROUND($D132*INDEX('🔖 배합비 참조'!$B$2:$CE$83,MATCH("고구마가루",'🔖 배합비 참조'!$A$2:$A$83,0),MATCH($C132,'🔖 배합비 참조'!$B$1:$CE$1,0))/100,0),""))),"")</f>
        <v>0</v>
      </c>
      <c r="P132" s="42" t="n">
        <f aca="false">IFERROR(IF($C132="","",IF($D132="","",IFERROR(ROUND($D132*INDEX('🔖 배합비 참조'!$B$2:$CE$83,MATCH("고구마무스",'🔖 배합비 참조'!$A$2:$A$83,0),MATCH($C132,'🔖 배합비 참조'!$B$1:$CE$1,0))/100,0),""))),"")</f>
        <v>0</v>
      </c>
      <c r="Q132" s="42" t="n">
        <f aca="false">IFERROR(IF($C132="","",IF($D132="","",IFERROR(ROUND($D132*INDEX('🔖 배합비 참조'!$B$2:$CE$83,MATCH("고려엉겅퀴((곤드레)국내산)",'🔖 배합비 참조'!$A$2:$A$83,0),MATCH($C132,'🔖 배합비 참조'!$B$1:$CE$1,0))/100,0),""))),"")</f>
        <v>0</v>
      </c>
      <c r="R132" s="42" t="n">
        <f aca="false">IFERROR(IF($C132="","",IF($D132="","",IFERROR(ROUND($D132*INDEX('🔖 배합비 참조'!$B$2:$CE$83,MATCH("기타가공품(복분자가루)",'🔖 배합비 참조'!$A$2:$A$83,0),MATCH($C132,'🔖 배합비 참조'!$B$1:$CE$1,0))/100,0),""))),"")</f>
        <v>0</v>
      </c>
      <c r="S132" s="42" t="n">
        <f aca="false">IFERROR(IF($C132="","",IF($D132="","",IFERROR(ROUND($D132*INDEX('🔖 배합비 참조'!$B$2:$CE$83,MATCH("기타가공품(슈퍼소프트엠)",'🔖 배합비 참조'!$A$2:$A$83,0),MATCH($C132,'🔖 배합비 참조'!$B$1:$CE$1,0))/100,0),""))),"")</f>
        <v>0</v>
      </c>
      <c r="T132" s="42" t="n">
        <f aca="false">IFERROR(IF($C132="","",IF($D132="","",IFERROR(ROUND($D132*INDEX('🔖 배합비 참조'!$B$2:$CE$83,MATCH("기타가공품(파인소프트 E-티)",'🔖 배합비 참조'!$A$2:$A$83,0),MATCH($C132,'🔖 배합비 참조'!$B$1:$CE$1,0))/100,0),""))),"")</f>
        <v>0</v>
      </c>
      <c r="U132" s="42" t="n">
        <f aca="false">IFERROR(IF($C132="","",IF($D132="","",IFERROR(ROUND($D132*INDEX('🔖 배합비 참조'!$B$2:$CE$83,MATCH("기타가공품(프리미엄카스테라가루)",'🔖 배합비 참조'!$A$2:$A$83,0),MATCH($C132,'🔖 배합비 참조'!$B$1:$CE$1,0))/100,0),""))),"")</f>
        <v>0</v>
      </c>
      <c r="V132" s="42" t="n">
        <f aca="false">IFERROR(IF($C132="","",IF($D132="","",IFERROR(ROUND($D132*INDEX('🔖 배합비 참조'!$B$2:$CE$83,MATCH("기타가공품(흑임자가루)",'🔖 배합비 참조'!$A$2:$A$83,0),MATCH($C132,'🔖 배합비 참조'!$B$1:$CE$1,0))/100,0),""))),"")</f>
        <v>0</v>
      </c>
      <c r="W132" s="42" t="n">
        <f aca="false">IFERROR(IF($C132="","",IF($D132="","",IFERROR(ROUND($D132*INDEX('🔖 배합비 참조'!$B$2:$CE$83,MATCH("기타설탕(흑설탕)",'🔖 배합비 참조'!$A$2:$A$83,0),MATCH($C132,'🔖 배합비 참조'!$B$1:$CE$1,0))/100,0),""))),"")</f>
        <v>0</v>
      </c>
      <c r="X132" s="42" t="n">
        <f aca="false">IFERROR(IF($C132="","",IF($D132="","",IFERROR(ROUND($D132*INDEX('🔖 배합비 참조'!$B$2:$CE$83,MATCH("냉동쑥(국내산)",'🔖 배합비 참조'!$A$2:$A$83,0),MATCH($C132,'🔖 배합비 참조'!$B$1:$CE$1,0))/100,0),""))),"")</f>
        <v>0</v>
      </c>
      <c r="Y132" s="42" t="n">
        <f aca="false">IFERROR(IF($C132="","",IF($D132="","",IFERROR(ROUND($D132*INDEX('🔖 배합비 참조'!$B$2:$CE$83,MATCH("냉동증숙고구마(중국산)",'🔖 배합비 참조'!$A$2:$A$83,0),MATCH($C132,'🔖 배합비 참조'!$B$1:$CE$1,0))/100,0),""))),"")</f>
        <v>0</v>
      </c>
      <c r="Z132" s="42" t="n">
        <f aca="false">IFERROR(IF($C132="","",IF($D132="","",IFERROR(ROUND($D132*INDEX('🔖 배합비 참조'!$B$2:$CE$83,MATCH("녹차가루",'🔖 배합비 참조'!$A$2:$A$83,0),MATCH($C132,'🔖 배합비 참조'!$B$1:$CE$1,0))/100,0),""))),"")</f>
        <v>0</v>
      </c>
      <c r="AA132" s="42" t="n">
        <f aca="false">IFERROR(IF($C132="","",IF($D132="","",IFERROR(ROUND($D132*INDEX('🔖 배합비 참조'!$B$2:$CE$83,MATCH("다크초콜릿 컴파운드칩",'🔖 배합비 참조'!$A$2:$A$83,0),MATCH($C132,'🔖 배합비 참조'!$B$1:$CE$1,0))/100,0),""))),"")</f>
        <v>0</v>
      </c>
      <c r="AB132" s="42" t="n">
        <f aca="false">IFERROR(IF($C132="","",IF($D132="","",IFERROR(ROUND($D132*INDEX('🔖 배합비 참조'!$B$2:$CE$83,MATCH("단호박분말(중국산)",'🔖 배합비 참조'!$A$2:$A$83,0),MATCH($C132,'🔖 배합비 참조'!$B$1:$CE$1,0))/100,0),""))),"")</f>
        <v>0</v>
      </c>
      <c r="AC132" s="42" t="n">
        <f aca="false">IFERROR(IF($C132="","",IF($D132="","",IFERROR(ROUND($D132*INDEX('🔖 배합비 참조'!$B$2:$CE$83,MATCH("당류가공품(단호박농축액)",'🔖 배합비 참조'!$A$2:$A$83,0),MATCH($C132,'🔖 배합비 참조'!$B$1:$CE$1,0))/100,0),""))),"")</f>
        <v>0</v>
      </c>
      <c r="AD132" s="42" t="n">
        <f aca="false">IFERROR(IF($C132="","",IF($D132="","",IFERROR(ROUND($D132*INDEX('🔖 배합비 참조'!$B$2:$CE$83,MATCH("당류가공품(알룰로스,에리스리톨,스테비올배당체혼합)",'🔖 배합비 참조'!$A$2:$A$83,0),MATCH($C132,'🔖 배합비 참조'!$B$1:$CE$1,0))/100,0),""))),"")</f>
        <v>0</v>
      </c>
      <c r="AE132" s="42" t="n">
        <f aca="false">IFERROR(IF($C132="","",IF($D132="","",IFERROR(ROUND($D132*INDEX('🔖 배합비 참조'!$B$2:$CE$83,MATCH("당류가공품(알룰로스제로파우더)",'🔖 배합비 참조'!$A$2:$A$83,0),MATCH($C132,'🔖 배합비 참조'!$B$1:$CE$1,0))/100,0),""))),"")</f>
        <v>0</v>
      </c>
      <c r="AF132" s="42" t="n">
        <f aca="false">IFERROR(IF($C132="","",IF($D132="","",IFERROR(ROUND($D132*INDEX('🔖 배합비 참조'!$B$2:$CE$83,MATCH("당절임(완두배기)",'🔖 배합비 참조'!$A$2:$A$83,0),MATCH($C132,'🔖 배합비 참조'!$B$1:$CE$1,0))/100,0),""))),"")</f>
        <v>0</v>
      </c>
      <c r="AG132" s="42" t="n">
        <f aca="false">IFERROR(IF($C132="","",IF($D132="","",IFERROR(ROUND($D132*INDEX('🔖 배합비 참조'!$B$2:$CE$83,MATCH("대추농축액",'🔖 배합비 참조'!$A$2:$A$83,0),MATCH($C132,'🔖 배합비 참조'!$B$1:$CE$1,0))/100,0),""))),"")</f>
        <v>0</v>
      </c>
      <c r="AH132" s="42" t="n">
        <f aca="false">IFERROR(IF($C132="","",IF($D132="","",IFERROR(ROUND($D132*INDEX('🔖 배합비 참조'!$B$2:$CE$83,MATCH("대추채(국내산)",'🔖 배합비 참조'!$A$2:$A$83,0),MATCH($C132,'🔖 배합비 참조'!$B$1:$CE$1,0))/100,0),""))),"")</f>
        <v>0</v>
      </c>
      <c r="AI132" s="42" t="n">
        <f aca="false">IFERROR(IF($C132="","",IF($D132="","",IFERROR(ROUND($D132*INDEX('🔖 배합비 참조'!$B$2:$CE$83,MATCH("동부(미얀마산)",'🔖 배합비 참조'!$A$2:$A$83,0),MATCH($C132,'🔖 배합비 참조'!$B$1:$CE$1,0))/100,0),""))),"")</f>
        <v>0</v>
      </c>
      <c r="AJ132" s="42" t="n">
        <f aca="false">IFERROR(IF($C132="","",IF($D132="","",IFERROR(ROUND($D132*INDEX('🔖 배합비 참조'!$B$2:$CE$83,MATCH("두류가공품(백옥앙금)",'🔖 배합비 참조'!$A$2:$A$83,0),MATCH($C132,'🔖 배합비 참조'!$B$1:$CE$1,0))/100,0),""))),"")</f>
        <v>0</v>
      </c>
      <c r="AK132" s="42" t="n">
        <f aca="false">IFERROR(IF($C132="","",IF($D132="","",IFERROR(ROUND($D132*INDEX('🔖 배합비 참조'!$B$2:$CE$83,MATCH("두류가공품(콩고물)",'🔖 배합비 참조'!$A$2:$A$83,0),MATCH($C132,'🔖 배합비 참조'!$B$1:$CE$1,0))/100,0),""))),"")</f>
        <v>0</v>
      </c>
      <c r="AL132" s="42" t="n">
        <f aca="false">IFERROR(IF($C132="","",IF($D132="","",IFERROR(ROUND($D132*INDEX('🔖 배합비 참조'!$B$2:$CE$83,MATCH("두류가공품(통팥고물)",'🔖 배합비 참조'!$A$2:$A$83,0),MATCH($C132,'🔖 배합비 참조'!$B$1:$CE$1,0))/100,0),""))),"")</f>
        <v>0</v>
      </c>
      <c r="AM132" s="42" t="n">
        <f aca="false">IFERROR(IF($C132="","",IF($D132="","",IFERROR(ROUND($D132*INDEX('🔖 배합비 참조'!$B$2:$CE$83,MATCH("딸기레진",'🔖 배합비 참조'!$A$2:$A$83,0),MATCH($C132,'🔖 배합비 참조'!$B$1:$CE$1,0))/100,0),""))),"")</f>
        <v>0</v>
      </c>
      <c r="AN132" s="42" t="n">
        <f aca="false">IFERROR(IF($C132="","",IF($D132="","",IFERROR(ROUND($D132*INDEX('🔖 배합비 참조'!$B$2:$CE$83,MATCH("딸기분말(스트로우베리에이드(분말))",'🔖 배합비 참조'!$A$2:$A$83,0),MATCH($C132,'🔖 배합비 참조'!$B$1:$CE$1,0))/100,0),""))),"")</f>
        <v>0</v>
      </c>
      <c r="AO132" s="42" t="n">
        <f aca="false">IFERROR(IF($C132="","",IF($D132="","",IFERROR(ROUND($D132*INDEX('🔖 배합비 참조'!$B$2:$CE$83,MATCH("마스카포네치즈",'🔖 배합비 참조'!$A$2:$A$83,0),MATCH($C132,'🔖 배합비 참조'!$B$1:$CE$1,0))/100,0),""))),"")</f>
        <v>0</v>
      </c>
      <c r="AP132" s="42" t="n">
        <f aca="false">IFERROR(IF($C132="","",IF($D132="","",IFERROR(ROUND($D132*INDEX('🔖 배합비 참조'!$B$2:$CE$83,MATCH("마카다미아분태(호주산)",'🔖 배합비 참조'!$A$2:$A$83,0),MATCH($C132,'🔖 배합비 참조'!$B$1:$CE$1,0))/100,0),""))),"")</f>
        <v>0</v>
      </c>
      <c r="AQ132" s="42" t="n">
        <f aca="false">IFERROR(IF($C132="","",IF($D132="","",IFERROR(ROUND($D132*INDEX('🔖 배합비 참조'!$B$2:$CE$83,MATCH("멥쌀(국내산)",'🔖 배합비 참조'!$A$2:$A$83,0),MATCH($C132,'🔖 배합비 참조'!$B$1:$CE$1,0))/100,0),""))),"")</f>
        <v>0</v>
      </c>
      <c r="AR132" s="42" t="n">
        <f aca="false">IFERROR(IF($C132="","",IF($D132="","",IFERROR(ROUND($D132*INDEX('🔖 배합비 참조'!$B$2:$CE$83,MATCH("모시잎(국내산)",'🔖 배합비 참조'!$A$2:$A$83,0),MATCH($C132,'🔖 배합비 참조'!$B$1:$CE$1,0))/100,0),""))),"")</f>
        <v>0</v>
      </c>
      <c r="AS132" s="42" t="n">
        <f aca="false">IFERROR(IF($C132="","",IF($D132="","",IFERROR(ROUND($D132*INDEX('🔖 배합비 참조'!$B$2:$CE$83,MATCH("물엿(저당물엿)",'🔖 배합비 참조'!$A$2:$A$83,0),MATCH($C132,'🔖 배합비 참조'!$B$1:$CE$1,0))/100,0),""))),"")</f>
        <v>2</v>
      </c>
      <c r="AT132" s="42" t="n">
        <f aca="false">IFERROR(IF($C132="","",IF($D132="","",IFERROR(ROUND($D132*INDEX('🔖 배합비 참조'!$B$2:$CE$83,MATCH("밤다이스",'🔖 배합비 참조'!$A$2:$A$83,0),MATCH($C132,'🔖 배합비 참조'!$B$1:$CE$1,0))/100,0),""))),"")</f>
        <v>0</v>
      </c>
      <c r="AU132" s="42" t="n">
        <f aca="false">IFERROR(IF($C132="","",IF($D132="","",IFERROR(ROUND($D132*INDEX('🔖 배합비 참조'!$B$2:$CE$83,MATCH("변성전분(타피오카전분)",'🔖 배합비 참조'!$A$2:$A$83,0),MATCH($C132,'🔖 배합비 참조'!$B$1:$CE$1,0))/100,0),""))),"")</f>
        <v>0</v>
      </c>
      <c r="AV132" s="42" t="n">
        <f aca="false">IFERROR(IF($C132="","",IF($D132="","",IFERROR(ROUND($D132*INDEX('🔖 배합비 참조'!$B$2:$CE$83,MATCH("복음땅콩분태",'🔖 배합비 참조'!$A$2:$A$83,0),MATCH($C132,'🔖 배합비 참조'!$B$1:$CE$1,0))/100,0),""))),"")</f>
        <v>0</v>
      </c>
      <c r="AW132" s="42" t="n">
        <f aca="false">IFERROR(IF($C132="","",IF($D132="","",IFERROR(ROUND($D132*INDEX('🔖 배합비 참조'!$B$2:$CE$83,MATCH("사양벌꿀(국내산)",'🔖 배합비 참조'!$A$2:$A$83,0),MATCH($C132,'🔖 배합비 참조'!$B$1:$CE$1,0))/100,0),""))),"")</f>
        <v>0</v>
      </c>
      <c r="AX132" s="42" t="n">
        <f aca="false">IFERROR(IF($C132="","",IF($D132="","",IFERROR(ROUND($D132*INDEX('🔖 배합비 참조'!$B$2:$CE$83,MATCH("생크림",'🔖 배합비 참조'!$A$2:$A$83,0),MATCH($C132,'🔖 배합비 참조'!$B$1:$CE$1,0))/100,0),""))),"")</f>
        <v>0</v>
      </c>
      <c r="AY132" s="42" t="n">
        <f aca="false">IFERROR(IF($C132="","",IF($D132="","",IFERROR(ROUND($D132*INDEX('🔖 배합비 참조'!$B$2:$CE$83,MATCH("서양호박(국내산,뉴질랜드산)",'🔖 배합비 참조'!$A$2:$A$83,0),MATCH($C132,'🔖 배합비 참조'!$B$1:$CE$1,0))/100,0),""))),"")</f>
        <v>0</v>
      </c>
      <c r="AZ132" s="42" t="n">
        <f aca="false">IFERROR(IF($C132="","",IF($D132="","",IFERROR(ROUND($D132*INDEX('🔖 배합비 참조'!$B$2:$CE$83,MATCH("설탕",'🔖 배합비 참조'!$A$2:$A$83,0),MATCH($C132,'🔖 배합비 참조'!$B$1:$CE$1,0))/100,0),""))),"")</f>
        <v>2</v>
      </c>
      <c r="BA132" s="42" t="n">
        <f aca="false">IFERROR(IF($C132="","",IF($D132="","",IFERROR(ROUND($D132*INDEX('🔖 배합비 참조'!$B$2:$CE$83,MATCH("스트로우베리 에이드 후레쉬",'🔖 배합비 참조'!$A$2:$A$83,0),MATCH($C132,'🔖 배합비 참조'!$B$1:$CE$1,0))/100,0),""))),"")</f>
        <v>0</v>
      </c>
      <c r="BB132" s="42" t="n">
        <f aca="false">IFERROR(IF($C132="","",IF($D132="","",IFERROR(ROUND($D132*INDEX('🔖 배합비 참조'!$B$2:$CE$83,MATCH("식물성기름혼합제제(분홍)",'🔖 배합비 참조'!$A$2:$A$83,0),MATCH($C132,'🔖 배합비 참조'!$B$1:$CE$1,0))/100,0),""))),"")</f>
        <v>0</v>
      </c>
      <c r="BC132" s="42" t="n">
        <f aca="false">IFERROR(IF($C132="","",IF($D132="","",IFERROR(ROUND($D132*INDEX('🔖 배합비 참조'!$B$2:$CE$83,MATCH("식물성기름혼합제제(초록)",'🔖 배합비 참조'!$A$2:$A$83,0),MATCH($C132,'🔖 배합비 참조'!$B$1:$CE$1,0))/100,0),""))),"")</f>
        <v>0</v>
      </c>
      <c r="BD132" s="42" t="n">
        <f aca="false">IFERROR(IF($C132="","",IF($D132="","",IFERROR(ROUND($D132*INDEX('🔖 배합비 참조'!$B$2:$CE$83,MATCH("식물성기름혼합제제(황색)",'🔖 배합비 참조'!$A$2:$A$83,0),MATCH($C132,'🔖 배합비 참조'!$B$1:$CE$1,0))/100,0),""))),"")</f>
        <v>0</v>
      </c>
      <c r="BE132" s="42" t="n">
        <f aca="false">IFERROR(IF($C132="","",IF($D132="","",IFERROR(ROUND($D132*INDEX('🔖 배합비 참조'!$B$2:$CE$83,MATCH("쑥가루(국내산)",'🔖 배합비 참조'!$A$2:$A$83,0),MATCH($C132,'🔖 배합비 참조'!$B$1:$CE$1,0))/100,0),""))),"")</f>
        <v>0</v>
      </c>
      <c r="BF132" s="42" t="n">
        <f aca="false">IFERROR(IF($C132="","",IF($D132="","",IFERROR(ROUND($D132*INDEX('🔖 배합비 참조'!$B$2:$CE$83,MATCH("아몬드슬라이스",'🔖 배합비 참조'!$A$2:$A$83,0),MATCH($C132,'🔖 배합비 참조'!$B$1:$CE$1,0))/100,0),""))),"")</f>
        <v>0</v>
      </c>
      <c r="BG132" s="42" t="n">
        <f aca="false">IFERROR(IF($C132="","",IF($D132="","",IFERROR(ROUND($D132*INDEX('🔖 배합비 참조'!$B$2:$CE$83,MATCH("알룰로오스(국내산)",'🔖 배합비 참조'!$A$2:$A$83,0),MATCH($C132,'🔖 배합비 참조'!$B$1:$CE$1,0))/100,0),""))),"")</f>
        <v>0</v>
      </c>
      <c r="BH132" s="42" t="n">
        <f aca="false">IFERROR(IF($C132="","",IF($D132="","",IFERROR(ROUND($D132*INDEX('🔖 배합비 참조'!$B$2:$CE$83,MATCH("연유",'🔖 배합비 참조'!$A$2:$A$83,0),MATCH($C132,'🔖 배합비 참조'!$B$1:$CE$1,0))/100,0),""))),"")</f>
        <v>0</v>
      </c>
      <c r="BI132" s="42" t="n">
        <f aca="false">IFERROR(IF($C132="","",IF($D132="","",IFERROR(ROUND($D132*INDEX('🔖 배합비 참조'!$B$2:$CE$83,MATCH("옥수수전분",'🔖 배합비 참조'!$A$2:$A$83,0),MATCH($C132,'🔖 배합비 참조'!$B$1:$CE$1,0))/100,0),""))),"")</f>
        <v>0</v>
      </c>
      <c r="BJ132" s="42" t="n">
        <f aca="false">IFERROR(IF($C132="","",IF($D132="","",IFERROR(ROUND($D132*INDEX('🔖 배합비 참조'!$B$2:$CE$83,MATCH("완두배기",'🔖 배합비 참조'!$A$2:$A$83,0),MATCH($C132,'🔖 배합비 참조'!$B$1:$CE$1,0))/100,0),""))),"")</f>
        <v>0</v>
      </c>
      <c r="BK132" s="42" t="n">
        <f aca="false">IFERROR(IF($C132="","",IF($D132="","",IFERROR(ROUND($D132*INDEX('🔖 배합비 참조'!$B$2:$CE$83,MATCH("우유(국내산)",'🔖 배합비 참조'!$A$2:$A$83,0),MATCH($C132,'🔖 배합비 참조'!$B$1:$CE$1,0))/100,0),""))),"")</f>
        <v>0</v>
      </c>
      <c r="BL132" s="42" t="n">
        <f aca="false">IFERROR(IF($C132="","",IF($D132="","",IFERROR(ROUND($D132*INDEX('🔖 배합비 참조'!$B$2:$CE$83,MATCH("자색고구마가루(중국산)",'🔖 배합비 참조'!$A$2:$A$83,0),MATCH($C132,'🔖 배합비 참조'!$B$1:$CE$1,0))/100,0),""))),"")</f>
        <v>0</v>
      </c>
      <c r="BM132" s="42" t="n">
        <f aca="false">IFERROR(IF($C132="","",IF($D132="","",IFERROR(ROUND($D132*INDEX('🔖 배합비 참조'!$B$2:$CE$83,MATCH("자연치즈(체다치즈)",'🔖 배합비 참조'!$A$2:$A$83,0),MATCH($C132,'🔖 배합비 참조'!$B$1:$CE$1,0))/100,0),""))),"")</f>
        <v>0</v>
      </c>
      <c r="BN132" s="42" t="n">
        <f aca="false">IFERROR(IF($C132="","",IF($D132="","",IFERROR(ROUND($D132*INDEX('🔖 배합비 참조'!$B$2:$CE$83,MATCH("정제수",'🔖 배합비 참조'!$A$2:$A$83,0),MATCH($C132,'🔖 배합비 참조'!$B$1:$CE$1,0))/100,0),""))),"")</f>
        <v>0</v>
      </c>
      <c r="BO132" s="42" t="n">
        <f aca="false">IFERROR(IF($C132="","",IF($D132="","",IFERROR(ROUND($D132*INDEX('🔖 배합비 참조'!$B$2:$CE$83,MATCH("젤라틴",'🔖 배합비 참조'!$A$2:$A$83,0),MATCH($C132,'🔖 배합비 참조'!$B$1:$CE$1,0))/100,0),""))),"")</f>
        <v>0</v>
      </c>
      <c r="BP132" s="42" t="n">
        <f aca="false">IFERROR(IF($C132="","",IF($D132="","",IFERROR(ROUND($D132*INDEX('🔖 배합비 참조'!$B$2:$CE$83,MATCH("조림류(백옥앙금)",'🔖 배합비 참조'!$A$2:$A$83,0),MATCH($C132,'🔖 배합비 참조'!$B$1:$CE$1,0))/100,0),""))),"")</f>
        <v>0</v>
      </c>
      <c r="BQ132" s="42" t="n">
        <f aca="false">IFERROR(IF($C132="","",IF($D132="","",IFERROR(ROUND($D132*INDEX('🔖 배합비 참조'!$B$2:$CE$83,MATCH("조림류(통팥앙금)",'🔖 배합비 참조'!$A$2:$A$83,0),MATCH($C132,'🔖 배합비 참조'!$B$1:$CE$1,0))/100,0),""))),"")</f>
        <v>24</v>
      </c>
      <c r="BR132" s="42" t="n">
        <f aca="false">IFERROR(IF($C132="","",IF($D132="","",IFERROR(ROUND($D132*INDEX('🔖 배합비 참조'!$B$2:$CE$83,MATCH("준초콜릿(외국산)",'🔖 배합비 참조'!$A$2:$A$83,0),MATCH($C132,'🔖 배합비 참조'!$B$1:$CE$1,0))/100,0),""))),"")</f>
        <v>0</v>
      </c>
      <c r="BS132" s="42" t="n">
        <f aca="false">IFERROR(IF($C132="","",IF($D132="","",IFERROR(ROUND($D132*INDEX('🔖 배합비 참조'!$B$2:$CE$83,MATCH("중력분",'🔖 배합비 참조'!$A$2:$A$83,0),MATCH($C132,'🔖 배합비 참조'!$B$1:$CE$1,0))/100,0),""))),"")</f>
        <v>1</v>
      </c>
      <c r="BT132" s="42" t="n">
        <f aca="false">IFERROR(IF($C132="","",IF($D132="","",IFERROR(ROUND($D132*INDEX('🔖 배합비 참조'!$B$2:$CE$83,MATCH("참깨(인도산,나이지리아산,탄자니아산,미얀마산)",'🔖 배합비 참조'!$A$2:$A$83,0),MATCH($C132,'🔖 배합비 참조'!$B$1:$CE$1,0))/100,0),""))),"")</f>
        <v>0</v>
      </c>
      <c r="BU132" s="42" t="n">
        <f aca="false">IFERROR(IF($C132="","",IF($D132="","",IFERROR(ROUND($D132*INDEX('🔖 배합비 참조'!$B$2:$CE$83,MATCH("찹쌀(국내산)",'🔖 배합비 참조'!$A$2:$A$83,0),MATCH($C132,'🔖 배합비 참조'!$B$1:$CE$1,0))/100,0),""))),"")</f>
        <v>38</v>
      </c>
      <c r="BV132" s="42" t="n">
        <f aca="false">IFERROR(IF($C132="","",IF($D132="","",IFERROR(ROUND($D132*INDEX('🔖 배합비 참조'!$B$2:$CE$83,MATCH("천일염",'🔖 배합비 참조'!$A$2:$A$83,0),MATCH($C132,'🔖 배합비 참조'!$B$1:$CE$1,0))/100,0),""))),"")</f>
        <v>1</v>
      </c>
      <c r="BW132" s="42" t="n">
        <f aca="false">IFERROR(IF($C132="","",IF($D132="","",IFERROR(ROUND($D132*INDEX('🔖 배합비 참조'!$B$2:$CE$83,MATCH("치즈 [크림치즈]",'🔖 배합비 참조'!$A$2:$A$83,0),MATCH($C132,'🔖 배합비 참조'!$B$1:$CE$1,0))/100,0),""))),"")</f>
        <v>0</v>
      </c>
      <c r="BX132" s="42" t="n">
        <f aca="false">IFERROR(IF($C132="","",IF($D132="","",IFERROR(ROUND($D132*INDEX('🔖 배합비 참조'!$B$2:$CE$83,MATCH("코코아가공품류(코코아분말)",'🔖 배합비 참조'!$A$2:$A$83,0),MATCH($C132,'🔖 배합비 참조'!$B$1:$CE$1,0))/100,0),""))),"")</f>
        <v>0</v>
      </c>
      <c r="BY132" s="42" t="n">
        <f aca="false">IFERROR(IF($C132="","",IF($D132="","",IFERROR(ROUND($D132*INDEX('🔖 배합비 참조'!$B$2:$CE$83,MATCH("콩기름(대두유)",'🔖 배합비 참조'!$A$2:$A$83,0),MATCH($C132,'🔖 배합비 참조'!$B$1:$CE$1,0))/100,0),""))),"")</f>
        <v>0</v>
      </c>
      <c r="BZ132" s="42" t="n">
        <f aca="false">IFERROR(IF($C132="","",IF($D132="","",IFERROR(ROUND($D132*INDEX('🔖 배합비 참조'!$B$2:$CE$83,MATCH("해바라기씨앗",'🔖 배합비 참조'!$A$2:$A$83,0),MATCH($C132,'🔖 배합비 참조'!$B$1:$CE$1,0))/100,0),""))),"")</f>
        <v>0</v>
      </c>
      <c r="CA132" s="42" t="n">
        <f aca="false">IFERROR(IF($C132="","",IF($D132="","",IFERROR(ROUND($D132*INDEX('🔖 배합비 참조'!$B$2:$CE$83,MATCH("현미(국내산)",'🔖 배합비 참조'!$A$2:$A$83,0),MATCH($C132,'🔖 배합비 참조'!$B$1:$CE$1,0))/100,0),""))),"")</f>
        <v>0</v>
      </c>
      <c r="CB132" s="42" t="n">
        <f aca="false">IFERROR(IF($C132="","",IF($D132="","",IFERROR(ROUND($D132*INDEX('🔖 배합비 참조'!$B$2:$CE$83,MATCH("현미멥쌀(국내산)",'🔖 배합비 참조'!$A$2:$A$83,0),MATCH($C132,'🔖 배합비 참조'!$B$1:$CE$1,0))/100,0),""))),"")</f>
        <v>0</v>
      </c>
      <c r="CC132" s="42" t="n">
        <f aca="false">IFERROR(IF($C132="","",IF($D132="","",IFERROR(ROUND($D132*INDEX('🔖 배합비 참조'!$B$2:$CE$83,MATCH("호두분태(미국산)",'🔖 배합비 참조'!$A$2:$A$83,0),MATCH($C132,'🔖 배합비 참조'!$B$1:$CE$1,0))/100,0),""))),"")</f>
        <v>3</v>
      </c>
      <c r="CD132" s="42" t="n">
        <f aca="false">IFERROR(IF($C132="","",IF($D132="","",IFERROR(ROUND($D132*INDEX('🔖 배합비 참조'!$B$2:$CE$83,MATCH("호박씨앗(외국산)",'🔖 배합비 참조'!$A$2:$A$83,0),MATCH($C132,'🔖 배합비 참조'!$B$1:$CE$1,0))/100,0),""))),"")</f>
        <v>0</v>
      </c>
      <c r="CE132" s="42" t="n">
        <f aca="false">IFERROR(IF($C132="","",IF($D132="","",IFERROR(ROUND($D132*INDEX('🔖 배합비 참조'!$B$2:$CE$83,MATCH("혼합제제(떡용에스텔)",'🔖 배합비 참조'!$A$2:$A$83,0),MATCH($C132,'🔖 배합비 참조'!$B$1:$CE$1,0))/100,0),""))),"")</f>
        <v>0</v>
      </c>
      <c r="CF132" s="42" t="n">
        <f aca="false">IFERROR(IF($C132="","",IF($D132="","",IFERROR(ROUND($D132*INDEX('🔖 배합비 참조'!$B$2:$CE$83,MATCH("혼합제제(스테비아)",'🔖 배합비 참조'!$A$2:$A$83,0),MATCH($C132,'🔖 배합비 참조'!$B$1:$CE$1,0))/100,0),""))),"")</f>
        <v>0</v>
      </c>
      <c r="CG132" s="42" t="n">
        <f aca="false">IFERROR(IF($C132="","",IF($D132="","",IFERROR(ROUND($D132*INDEX('🔖 배합비 참조'!$B$2:$CE$83,MATCH("화이트초콜릿",'🔖 배합비 참조'!$A$2:$A$83,0),MATCH($C132,'🔖 배합비 참조'!$B$1:$CE$1,0))/100,0),""))),"")</f>
        <v>0</v>
      </c>
      <c r="CH132" s="42" t="n">
        <f aca="false">IFERROR(IF($C132="","",IF($D132="","",IFERROR(ROUND($D132*INDEX('🔖 배합비 참조'!$B$2:$CE$83,MATCH("흑미찹쌀(국내산)",'🔖 배합비 참조'!$A$2:$A$83,0),MATCH($C132,'🔖 배합비 참조'!$B$1:$CE$1,0))/100,0),""))),"")</f>
        <v>0</v>
      </c>
      <c r="CI132" s="42" t="n">
        <f aca="false">IFERROR(IF($C132="","",IF($D132="","",IFERROR(ROUND($D132*INDEX('🔖 배합비 참조'!$B$2:$CE$83,MATCH("찰옥수수전분(미국산)",'🔖 배합비 참조'!$A$2:$A$83,0),MATCH($C132,'🔖 배합비 참조'!$B$1:$CE$1,0))/100,0),""))),"")</f>
        <v>0</v>
      </c>
      <c r="CJ132" s="40"/>
      <c r="CL132" s="1" t="s">
        <v>239</v>
      </c>
    </row>
    <row r="133" customFormat="false" ht="18" hidden="false" customHeight="true" outlineLevel="0" collapsed="false">
      <c r="A133" s="35" t="n">
        <v>129</v>
      </c>
      <c r="B133" s="36" t="n">
        <v>46009</v>
      </c>
      <c r="C133" s="37" t="s">
        <v>174</v>
      </c>
      <c r="D133" s="38" t="n">
        <v>255</v>
      </c>
      <c r="E133" s="13"/>
      <c r="F133" s="13"/>
      <c r="G133" s="39" t="n">
        <f aca="false">IFERROR(IF($C133="","",IF($D133="","",IFERROR(ROUND($D133*INDEX('🔖 배합비 참조'!$B$2:$CE$83,MATCH("간장",'🔖 배합비 참조'!$A$2:$A$83,0),MATCH($C133,'🔖 배합비 참조'!$B$1:$CE$1,0))/100,0),""))),"")</f>
        <v>0</v>
      </c>
      <c r="H133" s="39" t="n">
        <f aca="false">IFERROR(IF($C133="","",IF($D133="","",IFERROR(ROUND($D133*INDEX('🔖 배합비 참조'!$B$2:$CE$83,MATCH("강낭콩((울타리콩))",'🔖 배합비 참조'!$A$2:$A$83,0),MATCH($C133,'🔖 배합비 참조'!$B$1:$CE$1,0))/100,0),""))),"")</f>
        <v>0</v>
      </c>
      <c r="I133" s="39" t="n">
        <f aca="false">IFERROR(IF($C133="","",IF($D133="","",IFERROR(ROUND($D133*INDEX('🔖 배합비 참조'!$B$2:$CE$83,MATCH("건조딸기다이스(외국산)",'🔖 배합비 참조'!$A$2:$A$83,0),MATCH($C133,'🔖 배합비 참조'!$B$1:$CE$1,0))/100,0),""))),"")</f>
        <v>0</v>
      </c>
      <c r="J133" s="39" t="n">
        <f aca="false">IFERROR(IF($C133="","",IF($D133="","",IFERROR(ROUND($D133*INDEX('🔖 배합비 참조'!$B$2:$CE$83,MATCH("건포도",'🔖 배합비 참조'!$A$2:$A$83,0),MATCH($C133,'🔖 배합비 참조'!$B$1:$CE$1,0))/100,0),""))),"")</f>
        <v>0</v>
      </c>
      <c r="K133" s="39" t="n">
        <f aca="false">IFERROR(IF($C133="","",IF($D133="","",IFERROR(ROUND($D133*INDEX('🔖 배합비 참조'!$B$2:$CE$83,MATCH("건호박채(중국산)",'🔖 배합비 참조'!$A$2:$A$83,0),MATCH($C133,'🔖 배합비 참조'!$B$1:$CE$1,0))/100,0),""))),"")</f>
        <v>0</v>
      </c>
      <c r="L133" s="39" t="n">
        <f aca="false">IFERROR(IF($C133="","",IF($D133="","",IFERROR(ROUND($D133*INDEX('🔖 배합비 참조'!$B$2:$CE$83,MATCH("검정깨(흑임자)",'🔖 배합비 참조'!$A$2:$A$83,0),MATCH($C133,'🔖 배합비 참조'!$B$1:$CE$1,0))/100,0),""))),"")</f>
        <v>0</v>
      </c>
      <c r="M133" s="39" t="n">
        <f aca="false">IFERROR(IF($C133="","",IF($D133="","",IFERROR(ROUND($D133*INDEX('🔖 배합비 참조'!$B$2:$CE$83,MATCH("검정콩",'🔖 배합비 참조'!$A$2:$A$83,0),MATCH($C133,'🔖 배합비 참조'!$B$1:$CE$1,0))/100,0),""))),"")</f>
        <v>0</v>
      </c>
      <c r="N133" s="39" t="n">
        <f aca="false">IFERROR(IF($C133="","",IF($D133="","",IFERROR(ROUND($D133*INDEX('🔖 배합비 참조'!$B$2:$CE$83,MATCH("계피가루",'🔖 배합비 참조'!$A$2:$A$83,0),MATCH($C133,'🔖 배합비 참조'!$B$1:$CE$1,0))/100,0),""))),"")</f>
        <v>0</v>
      </c>
      <c r="O133" s="39" t="n">
        <f aca="false">IFERROR(IF($C133="","",IF($D133="","",IFERROR(ROUND($D133*INDEX('🔖 배합비 참조'!$B$2:$CE$83,MATCH("고구마가루",'🔖 배합비 참조'!$A$2:$A$83,0),MATCH($C133,'🔖 배합비 참조'!$B$1:$CE$1,0))/100,0),""))),"")</f>
        <v>0</v>
      </c>
      <c r="P133" s="39" t="n">
        <f aca="false">IFERROR(IF($C133="","",IF($D133="","",IFERROR(ROUND($D133*INDEX('🔖 배합비 참조'!$B$2:$CE$83,MATCH("고구마무스",'🔖 배합비 참조'!$A$2:$A$83,0),MATCH($C133,'🔖 배합비 참조'!$B$1:$CE$1,0))/100,0),""))),"")</f>
        <v>0</v>
      </c>
      <c r="Q133" s="39" t="n">
        <f aca="false">IFERROR(IF($C133="","",IF($D133="","",IFERROR(ROUND($D133*INDEX('🔖 배합비 참조'!$B$2:$CE$83,MATCH("고려엉겅퀴((곤드레)국내산)",'🔖 배합비 참조'!$A$2:$A$83,0),MATCH($C133,'🔖 배합비 참조'!$B$1:$CE$1,0))/100,0),""))),"")</f>
        <v>0</v>
      </c>
      <c r="R133" s="39" t="n">
        <f aca="false">IFERROR(IF($C133="","",IF($D133="","",IFERROR(ROUND($D133*INDEX('🔖 배합비 참조'!$B$2:$CE$83,MATCH("기타가공품(복분자가루)",'🔖 배합비 참조'!$A$2:$A$83,0),MATCH($C133,'🔖 배합비 참조'!$B$1:$CE$1,0))/100,0),""))),"")</f>
        <v>0</v>
      </c>
      <c r="S133" s="39" t="n">
        <f aca="false">IFERROR(IF($C133="","",IF($D133="","",IFERROR(ROUND($D133*INDEX('🔖 배합비 참조'!$B$2:$CE$83,MATCH("기타가공품(슈퍼소프트엠)",'🔖 배합비 참조'!$A$2:$A$83,0),MATCH($C133,'🔖 배합비 참조'!$B$1:$CE$1,0))/100,0),""))),"")</f>
        <v>0</v>
      </c>
      <c r="T133" s="39" t="n">
        <f aca="false">IFERROR(IF($C133="","",IF($D133="","",IFERROR(ROUND($D133*INDEX('🔖 배합비 참조'!$B$2:$CE$83,MATCH("기타가공품(파인소프트 E-티)",'🔖 배합비 참조'!$A$2:$A$83,0),MATCH($C133,'🔖 배합비 참조'!$B$1:$CE$1,0))/100,0),""))),"")</f>
        <v>0</v>
      </c>
      <c r="U133" s="39" t="n">
        <f aca="false">IFERROR(IF($C133="","",IF($D133="","",IFERROR(ROUND($D133*INDEX('🔖 배합비 참조'!$B$2:$CE$83,MATCH("기타가공품(프리미엄카스테라가루)",'🔖 배합비 참조'!$A$2:$A$83,0),MATCH($C133,'🔖 배합비 참조'!$B$1:$CE$1,0))/100,0),""))),"")</f>
        <v>0</v>
      </c>
      <c r="V133" s="39" t="n">
        <f aca="false">IFERROR(IF($C133="","",IF($D133="","",IFERROR(ROUND($D133*INDEX('🔖 배합비 참조'!$B$2:$CE$83,MATCH("기타가공품(흑임자가루)",'🔖 배합비 참조'!$A$2:$A$83,0),MATCH($C133,'🔖 배합비 참조'!$B$1:$CE$1,0))/100,0),""))),"")</f>
        <v>0</v>
      </c>
      <c r="W133" s="39" t="n">
        <f aca="false">IFERROR(IF($C133="","",IF($D133="","",IFERROR(ROUND($D133*INDEX('🔖 배합비 참조'!$B$2:$CE$83,MATCH("기타설탕(흑설탕)",'🔖 배합비 참조'!$A$2:$A$83,0),MATCH($C133,'🔖 배합비 참조'!$B$1:$CE$1,0))/100,0),""))),"")</f>
        <v>0</v>
      </c>
      <c r="X133" s="39" t="n">
        <f aca="false">IFERROR(IF($C133="","",IF($D133="","",IFERROR(ROUND($D133*INDEX('🔖 배합비 참조'!$B$2:$CE$83,MATCH("냉동쑥(국내산)",'🔖 배합비 참조'!$A$2:$A$83,0),MATCH($C133,'🔖 배합비 참조'!$B$1:$CE$1,0))/100,0),""))),"")</f>
        <v>31</v>
      </c>
      <c r="Y133" s="39" t="n">
        <f aca="false">IFERROR(IF($C133="","",IF($D133="","",IFERROR(ROUND($D133*INDEX('🔖 배합비 참조'!$B$2:$CE$83,MATCH("냉동증숙고구마(중국산)",'🔖 배합비 참조'!$A$2:$A$83,0),MATCH($C133,'🔖 배합비 참조'!$B$1:$CE$1,0))/100,0),""))),"")</f>
        <v>0</v>
      </c>
      <c r="Z133" s="39" t="n">
        <f aca="false">IFERROR(IF($C133="","",IF($D133="","",IFERROR(ROUND($D133*INDEX('🔖 배합비 참조'!$B$2:$CE$83,MATCH("녹차가루",'🔖 배합비 참조'!$A$2:$A$83,0),MATCH($C133,'🔖 배합비 참조'!$B$1:$CE$1,0))/100,0),""))),"")</f>
        <v>0</v>
      </c>
      <c r="AA133" s="39" t="n">
        <f aca="false">IFERROR(IF($C133="","",IF($D133="","",IFERROR(ROUND($D133*INDEX('🔖 배합비 참조'!$B$2:$CE$83,MATCH("다크초콜릿 컴파운드칩",'🔖 배합비 참조'!$A$2:$A$83,0),MATCH($C133,'🔖 배합비 참조'!$B$1:$CE$1,0))/100,0),""))),"")</f>
        <v>0</v>
      </c>
      <c r="AB133" s="39" t="n">
        <f aca="false">IFERROR(IF($C133="","",IF($D133="","",IFERROR(ROUND($D133*INDEX('🔖 배합비 참조'!$B$2:$CE$83,MATCH("단호박분말(중국산)",'🔖 배합비 참조'!$A$2:$A$83,0),MATCH($C133,'🔖 배합비 참조'!$B$1:$CE$1,0))/100,0),""))),"")</f>
        <v>0</v>
      </c>
      <c r="AC133" s="39" t="n">
        <f aca="false">IFERROR(IF($C133="","",IF($D133="","",IFERROR(ROUND($D133*INDEX('🔖 배합비 참조'!$B$2:$CE$83,MATCH("당류가공품(단호박농축액)",'🔖 배합비 참조'!$A$2:$A$83,0),MATCH($C133,'🔖 배합비 참조'!$B$1:$CE$1,0))/100,0),""))),"")</f>
        <v>0</v>
      </c>
      <c r="AD133" s="39" t="n">
        <f aca="false">IFERROR(IF($C133="","",IF($D133="","",IFERROR(ROUND($D133*INDEX('🔖 배합비 참조'!$B$2:$CE$83,MATCH("당류가공품(알룰로스,에리스리톨,스테비올배당체혼합)",'🔖 배합비 참조'!$A$2:$A$83,0),MATCH($C133,'🔖 배합비 참조'!$B$1:$CE$1,0))/100,0),""))),"")</f>
        <v>0</v>
      </c>
      <c r="AE133" s="39" t="n">
        <f aca="false">IFERROR(IF($C133="","",IF($D133="","",IFERROR(ROUND($D133*INDEX('🔖 배합비 참조'!$B$2:$CE$83,MATCH("당류가공품(알룰로스제로파우더)",'🔖 배합비 참조'!$A$2:$A$83,0),MATCH($C133,'🔖 배합비 참조'!$B$1:$CE$1,0))/100,0),""))),"")</f>
        <v>0</v>
      </c>
      <c r="AF133" s="39" t="n">
        <f aca="false">IFERROR(IF($C133="","",IF($D133="","",IFERROR(ROUND($D133*INDEX('🔖 배합비 참조'!$B$2:$CE$83,MATCH("당절임(완두배기)",'🔖 배합비 참조'!$A$2:$A$83,0),MATCH($C133,'🔖 배합비 참조'!$B$1:$CE$1,0))/100,0),""))),"")</f>
        <v>0</v>
      </c>
      <c r="AG133" s="39" t="n">
        <f aca="false">IFERROR(IF($C133="","",IF($D133="","",IFERROR(ROUND($D133*INDEX('🔖 배합비 참조'!$B$2:$CE$83,MATCH("대추농축액",'🔖 배합비 참조'!$A$2:$A$83,0),MATCH($C133,'🔖 배합비 참조'!$B$1:$CE$1,0))/100,0),""))),"")</f>
        <v>0</v>
      </c>
      <c r="AH133" s="39" t="n">
        <f aca="false">IFERROR(IF($C133="","",IF($D133="","",IFERROR(ROUND($D133*INDEX('🔖 배합비 참조'!$B$2:$CE$83,MATCH("대추채(국내산)",'🔖 배합비 참조'!$A$2:$A$83,0),MATCH($C133,'🔖 배합비 참조'!$B$1:$CE$1,0))/100,0),""))),"")</f>
        <v>0</v>
      </c>
      <c r="AI133" s="39" t="n">
        <f aca="false">IFERROR(IF($C133="","",IF($D133="","",IFERROR(ROUND($D133*INDEX('🔖 배합비 참조'!$B$2:$CE$83,MATCH("동부(미얀마산)",'🔖 배합비 참조'!$A$2:$A$83,0),MATCH($C133,'🔖 배합비 참조'!$B$1:$CE$1,0))/100,0),""))),"")</f>
        <v>0</v>
      </c>
      <c r="AJ133" s="39" t="n">
        <f aca="false">IFERROR(IF($C133="","",IF($D133="","",IFERROR(ROUND($D133*INDEX('🔖 배합비 참조'!$B$2:$CE$83,MATCH("두류가공품(백옥앙금)",'🔖 배합비 참조'!$A$2:$A$83,0),MATCH($C133,'🔖 배합비 참조'!$B$1:$CE$1,0))/100,0),""))),"")</f>
        <v>0</v>
      </c>
      <c r="AK133" s="39" t="n">
        <f aca="false">IFERROR(IF($C133="","",IF($D133="","",IFERROR(ROUND($D133*INDEX('🔖 배합비 참조'!$B$2:$CE$83,MATCH("두류가공품(콩고물)",'🔖 배합비 참조'!$A$2:$A$83,0),MATCH($C133,'🔖 배합비 참조'!$B$1:$CE$1,0))/100,0),""))),"")</f>
        <v>0</v>
      </c>
      <c r="AL133" s="39" t="n">
        <f aca="false">IFERROR(IF($C133="","",IF($D133="","",IFERROR(ROUND($D133*INDEX('🔖 배합비 참조'!$B$2:$CE$83,MATCH("두류가공품(통팥고물)",'🔖 배합비 참조'!$A$2:$A$83,0),MATCH($C133,'🔖 배합비 참조'!$B$1:$CE$1,0))/100,0),""))),"")</f>
        <v>0</v>
      </c>
      <c r="AM133" s="39" t="n">
        <f aca="false">IFERROR(IF($C133="","",IF($D133="","",IFERROR(ROUND($D133*INDEX('🔖 배합비 참조'!$B$2:$CE$83,MATCH("딸기레진",'🔖 배합비 참조'!$A$2:$A$83,0),MATCH($C133,'🔖 배합비 참조'!$B$1:$CE$1,0))/100,0),""))),"")</f>
        <v>0</v>
      </c>
      <c r="AN133" s="39" t="n">
        <f aca="false">IFERROR(IF($C133="","",IF($D133="","",IFERROR(ROUND($D133*INDEX('🔖 배합비 참조'!$B$2:$CE$83,MATCH("딸기분말(스트로우베리에이드(분말))",'🔖 배합비 참조'!$A$2:$A$83,0),MATCH($C133,'🔖 배합비 참조'!$B$1:$CE$1,0))/100,0),""))),"")</f>
        <v>0</v>
      </c>
      <c r="AO133" s="39" t="n">
        <f aca="false">IFERROR(IF($C133="","",IF($D133="","",IFERROR(ROUND($D133*INDEX('🔖 배합비 참조'!$B$2:$CE$83,MATCH("마스카포네치즈",'🔖 배합비 참조'!$A$2:$A$83,0),MATCH($C133,'🔖 배합비 참조'!$B$1:$CE$1,0))/100,0),""))),"")</f>
        <v>0</v>
      </c>
      <c r="AP133" s="39" t="n">
        <f aca="false">IFERROR(IF($C133="","",IF($D133="","",IFERROR(ROUND($D133*INDEX('🔖 배합비 참조'!$B$2:$CE$83,MATCH("마카다미아분태(호주산)",'🔖 배합비 참조'!$A$2:$A$83,0),MATCH($C133,'🔖 배합비 참조'!$B$1:$CE$1,0))/100,0),""))),"")</f>
        <v>0</v>
      </c>
      <c r="AQ133" s="39" t="n">
        <f aca="false">IFERROR(IF($C133="","",IF($D133="","",IFERROR(ROUND($D133*INDEX('🔖 배합비 참조'!$B$2:$CE$83,MATCH("멥쌀(국내산)",'🔖 배합비 참조'!$A$2:$A$83,0),MATCH($C133,'🔖 배합비 참조'!$B$1:$CE$1,0))/100,0),""))),"")</f>
        <v>123</v>
      </c>
      <c r="AR133" s="39" t="n">
        <f aca="false">IFERROR(IF($C133="","",IF($D133="","",IFERROR(ROUND($D133*INDEX('🔖 배합비 참조'!$B$2:$CE$83,MATCH("모시잎(국내산)",'🔖 배합비 참조'!$A$2:$A$83,0),MATCH($C133,'🔖 배합비 참조'!$B$1:$CE$1,0))/100,0),""))),"")</f>
        <v>0</v>
      </c>
      <c r="AS133" s="39" t="n">
        <f aca="false">IFERROR(IF($C133="","",IF($D133="","",IFERROR(ROUND($D133*INDEX('🔖 배합비 참조'!$B$2:$CE$83,MATCH("물엿(저당물엿)",'🔖 배합비 참조'!$A$2:$A$83,0),MATCH($C133,'🔖 배합비 참조'!$B$1:$CE$1,0))/100,0),""))),"")</f>
        <v>5</v>
      </c>
      <c r="AT133" s="39" t="n">
        <f aca="false">IFERROR(IF($C133="","",IF($D133="","",IFERROR(ROUND($D133*INDEX('🔖 배합비 참조'!$B$2:$CE$83,MATCH("밤다이스",'🔖 배합비 참조'!$A$2:$A$83,0),MATCH($C133,'🔖 배합비 참조'!$B$1:$CE$1,0))/100,0),""))),"")</f>
        <v>0</v>
      </c>
      <c r="AU133" s="39" t="n">
        <f aca="false">IFERROR(IF($C133="","",IF($D133="","",IFERROR(ROUND($D133*INDEX('🔖 배합비 참조'!$B$2:$CE$83,MATCH("변성전분(타피오카전분)",'🔖 배합비 참조'!$A$2:$A$83,0),MATCH($C133,'🔖 배합비 참조'!$B$1:$CE$1,0))/100,0),""))),"")</f>
        <v>3</v>
      </c>
      <c r="AV133" s="39" t="n">
        <f aca="false">IFERROR(IF($C133="","",IF($D133="","",IFERROR(ROUND($D133*INDEX('🔖 배합비 참조'!$B$2:$CE$83,MATCH("복음땅콩분태",'🔖 배합비 참조'!$A$2:$A$83,0),MATCH($C133,'🔖 배합비 참조'!$B$1:$CE$1,0))/100,0),""))),"")</f>
        <v>0</v>
      </c>
      <c r="AW133" s="39" t="n">
        <f aca="false">IFERROR(IF($C133="","",IF($D133="","",IFERROR(ROUND($D133*INDEX('🔖 배합비 참조'!$B$2:$CE$83,MATCH("사양벌꿀(국내산)",'🔖 배합비 참조'!$A$2:$A$83,0),MATCH($C133,'🔖 배합비 참조'!$B$1:$CE$1,0))/100,0),""))),"")</f>
        <v>0</v>
      </c>
      <c r="AX133" s="39" t="n">
        <f aca="false">IFERROR(IF($C133="","",IF($D133="","",IFERROR(ROUND($D133*INDEX('🔖 배합비 참조'!$B$2:$CE$83,MATCH("생크림",'🔖 배합비 참조'!$A$2:$A$83,0),MATCH($C133,'🔖 배합비 참조'!$B$1:$CE$1,0))/100,0),""))),"")</f>
        <v>0</v>
      </c>
      <c r="AY133" s="39" t="n">
        <f aca="false">IFERROR(IF($C133="","",IF($D133="","",IFERROR(ROUND($D133*INDEX('🔖 배합비 참조'!$B$2:$CE$83,MATCH("서양호박(국내산,뉴질랜드산)",'🔖 배합비 참조'!$A$2:$A$83,0),MATCH($C133,'🔖 배합비 참조'!$B$1:$CE$1,0))/100,0),""))),"")</f>
        <v>0</v>
      </c>
      <c r="AZ133" s="39" t="n">
        <f aca="false">IFERROR(IF($C133="","",IF($D133="","",IFERROR(ROUND($D133*INDEX('🔖 배합비 참조'!$B$2:$CE$83,MATCH("설탕",'🔖 배합비 참조'!$A$2:$A$83,0),MATCH($C133,'🔖 배합비 참조'!$B$1:$CE$1,0))/100,0),""))),"")</f>
        <v>0</v>
      </c>
      <c r="BA133" s="39" t="n">
        <f aca="false">IFERROR(IF($C133="","",IF($D133="","",IFERROR(ROUND($D133*INDEX('🔖 배합비 참조'!$B$2:$CE$83,MATCH("스트로우베리 에이드 후레쉬",'🔖 배합비 참조'!$A$2:$A$83,0),MATCH($C133,'🔖 배합비 참조'!$B$1:$CE$1,0))/100,0),""))),"")</f>
        <v>0</v>
      </c>
      <c r="BB133" s="39" t="n">
        <f aca="false">IFERROR(IF($C133="","",IF($D133="","",IFERROR(ROUND($D133*INDEX('🔖 배합비 참조'!$B$2:$CE$83,MATCH("식물성기름혼합제제(분홍)",'🔖 배합비 참조'!$A$2:$A$83,0),MATCH($C133,'🔖 배합비 참조'!$B$1:$CE$1,0))/100,0),""))),"")</f>
        <v>0</v>
      </c>
      <c r="BC133" s="39" t="n">
        <f aca="false">IFERROR(IF($C133="","",IF($D133="","",IFERROR(ROUND($D133*INDEX('🔖 배합비 참조'!$B$2:$CE$83,MATCH("식물성기름혼합제제(초록)",'🔖 배합비 참조'!$A$2:$A$83,0),MATCH($C133,'🔖 배합비 참조'!$B$1:$CE$1,0))/100,0),""))),"")</f>
        <v>0</v>
      </c>
      <c r="BD133" s="39" t="n">
        <f aca="false">IFERROR(IF($C133="","",IF($D133="","",IFERROR(ROUND($D133*INDEX('🔖 배합비 참조'!$B$2:$CE$83,MATCH("식물성기름혼합제제(황색)",'🔖 배합비 참조'!$A$2:$A$83,0),MATCH($C133,'🔖 배합비 참조'!$B$1:$CE$1,0))/100,0),""))),"")</f>
        <v>0</v>
      </c>
      <c r="BE133" s="39" t="n">
        <f aca="false">IFERROR(IF($C133="","",IF($D133="","",IFERROR(ROUND($D133*INDEX('🔖 배합비 참조'!$B$2:$CE$83,MATCH("쑥가루(국내산)",'🔖 배합비 참조'!$A$2:$A$83,0),MATCH($C133,'🔖 배합비 참조'!$B$1:$CE$1,0))/100,0),""))),"")</f>
        <v>2</v>
      </c>
      <c r="BF133" s="39" t="n">
        <f aca="false">IFERROR(IF($C133="","",IF($D133="","",IFERROR(ROUND($D133*INDEX('🔖 배합비 참조'!$B$2:$CE$83,MATCH("아몬드슬라이스",'🔖 배합비 참조'!$A$2:$A$83,0),MATCH($C133,'🔖 배합비 참조'!$B$1:$CE$1,0))/100,0),""))),"")</f>
        <v>0</v>
      </c>
      <c r="BG133" s="39" t="n">
        <f aca="false">IFERROR(IF($C133="","",IF($D133="","",IFERROR(ROUND($D133*INDEX('🔖 배합비 참조'!$B$2:$CE$83,MATCH("알룰로오스(국내산)",'🔖 배합비 참조'!$A$2:$A$83,0),MATCH($C133,'🔖 배합비 참조'!$B$1:$CE$1,0))/100,0),""))),"")</f>
        <v>0</v>
      </c>
      <c r="BH133" s="39" t="n">
        <f aca="false">IFERROR(IF($C133="","",IF($D133="","",IFERROR(ROUND($D133*INDEX('🔖 배합비 참조'!$B$2:$CE$83,MATCH("연유",'🔖 배합비 참조'!$A$2:$A$83,0),MATCH($C133,'🔖 배합비 참조'!$B$1:$CE$1,0))/100,0),""))),"")</f>
        <v>0</v>
      </c>
      <c r="BI133" s="39" t="n">
        <f aca="false">IFERROR(IF($C133="","",IF($D133="","",IFERROR(ROUND($D133*INDEX('🔖 배합비 참조'!$B$2:$CE$83,MATCH("옥수수전분",'🔖 배합비 참조'!$A$2:$A$83,0),MATCH($C133,'🔖 배합비 참조'!$B$1:$CE$1,0))/100,0),""))),"")</f>
        <v>0</v>
      </c>
      <c r="BJ133" s="39" t="n">
        <f aca="false">IFERROR(IF($C133="","",IF($D133="","",IFERROR(ROUND($D133*INDEX('🔖 배합비 참조'!$B$2:$CE$83,MATCH("완두배기",'🔖 배합비 참조'!$A$2:$A$83,0),MATCH($C133,'🔖 배합비 참조'!$B$1:$CE$1,0))/100,0),""))),"")</f>
        <v>0</v>
      </c>
      <c r="BK133" s="39" t="n">
        <f aca="false">IFERROR(IF($C133="","",IF($D133="","",IFERROR(ROUND($D133*INDEX('🔖 배합비 참조'!$B$2:$CE$83,MATCH("우유(국내산)",'🔖 배합비 참조'!$A$2:$A$83,0),MATCH($C133,'🔖 배합비 참조'!$B$1:$CE$1,0))/100,0),""))),"")</f>
        <v>0</v>
      </c>
      <c r="BL133" s="39" t="n">
        <f aca="false">IFERROR(IF($C133="","",IF($D133="","",IFERROR(ROUND($D133*INDEX('🔖 배합비 참조'!$B$2:$CE$83,MATCH("자색고구마가루(중국산)",'🔖 배합비 참조'!$A$2:$A$83,0),MATCH($C133,'🔖 배합비 참조'!$B$1:$CE$1,0))/100,0),""))),"")</f>
        <v>0</v>
      </c>
      <c r="BM133" s="39" t="n">
        <f aca="false">IFERROR(IF($C133="","",IF($D133="","",IFERROR(ROUND($D133*INDEX('🔖 배합비 참조'!$B$2:$CE$83,MATCH("자연치즈(체다치즈)",'🔖 배합비 참조'!$A$2:$A$83,0),MATCH($C133,'🔖 배합비 참조'!$B$1:$CE$1,0))/100,0),""))),"")</f>
        <v>0</v>
      </c>
      <c r="BN133" s="39" t="n">
        <f aca="false">IFERROR(IF($C133="","",IF($D133="","",IFERROR(ROUND($D133*INDEX('🔖 배합비 참조'!$B$2:$CE$83,MATCH("정제수",'🔖 배합비 참조'!$A$2:$A$83,0),MATCH($C133,'🔖 배합비 참조'!$B$1:$CE$1,0))/100,0),""))),"")</f>
        <v>85</v>
      </c>
      <c r="BO133" s="39" t="n">
        <f aca="false">IFERROR(IF($C133="","",IF($D133="","",IFERROR(ROUND($D133*INDEX('🔖 배합비 참조'!$B$2:$CE$83,MATCH("젤라틴",'🔖 배합비 참조'!$A$2:$A$83,0),MATCH($C133,'🔖 배합비 참조'!$B$1:$CE$1,0))/100,0),""))),"")</f>
        <v>0</v>
      </c>
      <c r="BP133" s="39" t="n">
        <f aca="false">IFERROR(IF($C133="","",IF($D133="","",IFERROR(ROUND($D133*INDEX('🔖 배합비 참조'!$B$2:$CE$83,MATCH("조림류(백옥앙금)",'🔖 배합비 참조'!$A$2:$A$83,0),MATCH($C133,'🔖 배합비 참조'!$B$1:$CE$1,0))/100,0),""))),"")</f>
        <v>0</v>
      </c>
      <c r="BQ133" s="39" t="n">
        <f aca="false">IFERROR(IF($C133="","",IF($D133="","",IFERROR(ROUND($D133*INDEX('🔖 배합비 참조'!$B$2:$CE$83,MATCH("조림류(통팥앙금)",'🔖 배합비 참조'!$A$2:$A$83,0),MATCH($C133,'🔖 배합비 참조'!$B$1:$CE$1,0))/100,0),""))),"")</f>
        <v>0</v>
      </c>
      <c r="BR133" s="39" t="n">
        <f aca="false">IFERROR(IF($C133="","",IF($D133="","",IFERROR(ROUND($D133*INDEX('🔖 배합비 참조'!$B$2:$CE$83,MATCH("준초콜릿(외국산)",'🔖 배합비 참조'!$A$2:$A$83,0),MATCH($C133,'🔖 배합비 참조'!$B$1:$CE$1,0))/100,0),""))),"")</f>
        <v>0</v>
      </c>
      <c r="BS133" s="39" t="n">
        <f aca="false">IFERROR(IF($C133="","",IF($D133="","",IFERROR(ROUND($D133*INDEX('🔖 배합비 참조'!$B$2:$CE$83,MATCH("중력분",'🔖 배합비 참조'!$A$2:$A$83,0),MATCH($C133,'🔖 배합비 참조'!$B$1:$CE$1,0))/100,0),""))),"")</f>
        <v>0</v>
      </c>
      <c r="BT133" s="39" t="n">
        <f aca="false">IFERROR(IF($C133="","",IF($D133="","",IFERROR(ROUND($D133*INDEX('🔖 배합비 참조'!$B$2:$CE$83,MATCH("참깨(인도산,나이지리아산,탄자니아산,미얀마산)",'🔖 배합비 참조'!$A$2:$A$83,0),MATCH($C133,'🔖 배합비 참조'!$B$1:$CE$1,0))/100,0),""))),"")</f>
        <v>0</v>
      </c>
      <c r="BU133" s="39" t="n">
        <f aca="false">IFERROR(IF($C133="","",IF($D133="","",IFERROR(ROUND($D133*INDEX('🔖 배합비 참조'!$B$2:$CE$83,MATCH("찹쌀(국내산)",'🔖 배합비 참조'!$A$2:$A$83,0),MATCH($C133,'🔖 배합비 참조'!$B$1:$CE$1,0))/100,0),""))),"")</f>
        <v>0</v>
      </c>
      <c r="BV133" s="39" t="n">
        <f aca="false">IFERROR(IF($C133="","",IF($D133="","",IFERROR(ROUND($D133*INDEX('🔖 배합비 참조'!$B$2:$CE$83,MATCH("천일염",'🔖 배합비 참조'!$A$2:$A$83,0),MATCH($C133,'🔖 배합비 참조'!$B$1:$CE$1,0))/100,0),""))),"")</f>
        <v>2</v>
      </c>
      <c r="BW133" s="39" t="n">
        <f aca="false">IFERROR(IF($C133="","",IF($D133="","",IFERROR(ROUND($D133*INDEX('🔖 배합비 참조'!$B$2:$CE$83,MATCH("치즈 [크림치즈]",'🔖 배합비 참조'!$A$2:$A$83,0),MATCH($C133,'🔖 배합비 참조'!$B$1:$CE$1,0))/100,0),""))),"")</f>
        <v>0</v>
      </c>
      <c r="BX133" s="39" t="n">
        <f aca="false">IFERROR(IF($C133="","",IF($D133="","",IFERROR(ROUND($D133*INDEX('🔖 배합비 참조'!$B$2:$CE$83,MATCH("코코아가공품류(코코아분말)",'🔖 배합비 참조'!$A$2:$A$83,0),MATCH($C133,'🔖 배합비 참조'!$B$1:$CE$1,0))/100,0),""))),"")</f>
        <v>0</v>
      </c>
      <c r="BY133" s="39" t="n">
        <f aca="false">IFERROR(IF($C133="","",IF($D133="","",IFERROR(ROUND($D133*INDEX('🔖 배합비 참조'!$B$2:$CE$83,MATCH("콩기름(대두유)",'🔖 배합비 참조'!$A$2:$A$83,0),MATCH($C133,'🔖 배합비 참조'!$B$1:$CE$1,0))/100,0),""))),"")</f>
        <v>3</v>
      </c>
      <c r="BZ133" s="39" t="n">
        <f aca="false">IFERROR(IF($C133="","",IF($D133="","",IFERROR(ROUND($D133*INDEX('🔖 배합비 참조'!$B$2:$CE$83,MATCH("해바라기씨앗",'🔖 배합비 참조'!$A$2:$A$83,0),MATCH($C133,'🔖 배합비 참조'!$B$1:$CE$1,0))/100,0),""))),"")</f>
        <v>0</v>
      </c>
      <c r="CA133" s="39" t="n">
        <f aca="false">IFERROR(IF($C133="","",IF($D133="","",IFERROR(ROUND($D133*INDEX('🔖 배합비 참조'!$B$2:$CE$83,MATCH("현미(국내산)",'🔖 배합비 참조'!$A$2:$A$83,0),MATCH($C133,'🔖 배합비 참조'!$B$1:$CE$1,0))/100,0),""))),"")</f>
        <v>0</v>
      </c>
      <c r="CB133" s="39" t="n">
        <f aca="false">IFERROR(IF($C133="","",IF($D133="","",IFERROR(ROUND($D133*INDEX('🔖 배합비 참조'!$B$2:$CE$83,MATCH("현미멥쌀(국내산)",'🔖 배합비 참조'!$A$2:$A$83,0),MATCH($C133,'🔖 배합비 참조'!$B$1:$CE$1,0))/100,0),""))),"")</f>
        <v>0</v>
      </c>
      <c r="CC133" s="39" t="n">
        <f aca="false">IFERROR(IF($C133="","",IF($D133="","",IFERROR(ROUND($D133*INDEX('🔖 배합비 참조'!$B$2:$CE$83,MATCH("호두분태(미국산)",'🔖 배합비 참조'!$A$2:$A$83,0),MATCH($C133,'🔖 배합비 참조'!$B$1:$CE$1,0))/100,0),""))),"")</f>
        <v>0</v>
      </c>
      <c r="CD133" s="39" t="n">
        <f aca="false">IFERROR(IF($C133="","",IF($D133="","",IFERROR(ROUND($D133*INDEX('🔖 배합비 참조'!$B$2:$CE$83,MATCH("호박씨앗(외국산)",'🔖 배합비 참조'!$A$2:$A$83,0),MATCH($C133,'🔖 배합비 참조'!$B$1:$CE$1,0))/100,0),""))),"")</f>
        <v>0</v>
      </c>
      <c r="CE133" s="39" t="n">
        <f aca="false">IFERROR(IF($C133="","",IF($D133="","",IFERROR(ROUND($D133*INDEX('🔖 배합비 참조'!$B$2:$CE$83,MATCH("혼합제제(떡용에스텔)",'🔖 배합비 참조'!$A$2:$A$83,0),MATCH($C133,'🔖 배합비 참조'!$B$1:$CE$1,0))/100,0),""))),"")</f>
        <v>0</v>
      </c>
      <c r="CF133" s="39" t="n">
        <f aca="false">IFERROR(IF($C133="","",IF($D133="","",IFERROR(ROUND($D133*INDEX('🔖 배합비 참조'!$B$2:$CE$83,MATCH("혼합제제(스테비아)",'🔖 배합비 참조'!$A$2:$A$83,0),MATCH($C133,'🔖 배합비 참조'!$B$1:$CE$1,0))/100,0),""))),"")</f>
        <v>0</v>
      </c>
      <c r="CG133" s="39" t="n">
        <f aca="false">IFERROR(IF($C133="","",IF($D133="","",IFERROR(ROUND($D133*INDEX('🔖 배합비 참조'!$B$2:$CE$83,MATCH("화이트초콜릿",'🔖 배합비 참조'!$A$2:$A$83,0),MATCH($C133,'🔖 배합비 참조'!$B$1:$CE$1,0))/100,0),""))),"")</f>
        <v>0</v>
      </c>
      <c r="CH133" s="39" t="n">
        <f aca="false">IFERROR(IF($C133="","",IF($D133="","",IFERROR(ROUND($D133*INDEX('🔖 배합비 참조'!$B$2:$CE$83,MATCH("흑미찹쌀(국내산)",'🔖 배합비 참조'!$A$2:$A$83,0),MATCH($C133,'🔖 배합비 참조'!$B$1:$CE$1,0))/100,0),""))),"")</f>
        <v>0</v>
      </c>
      <c r="CI133" s="39" t="n">
        <f aca="false">IFERROR(IF($C133="","",IF($D133="","",IFERROR(ROUND($D133*INDEX('🔖 배합비 참조'!$B$2:$CE$83,MATCH("찰옥수수전분(미국산)",'🔖 배합비 참조'!$A$2:$A$83,0),MATCH($C133,'🔖 배합비 참조'!$B$1:$CE$1,0))/100,0),""))),"")</f>
        <v>0</v>
      </c>
      <c r="CJ133" s="40"/>
      <c r="CL133" s="1" t="s">
        <v>239</v>
      </c>
    </row>
    <row r="134" customFormat="false" ht="18" hidden="false" customHeight="true" outlineLevel="0" collapsed="false">
      <c r="A134" s="41" t="n">
        <v>130</v>
      </c>
      <c r="B134" s="36" t="n">
        <v>46010</v>
      </c>
      <c r="C134" s="37" t="s">
        <v>143</v>
      </c>
      <c r="D134" s="38" t="n">
        <v>182.5</v>
      </c>
      <c r="E134" s="17"/>
      <c r="F134" s="17"/>
      <c r="G134" s="42" t="n">
        <f aca="false">IFERROR(IF($C134="","",IF($D134="","",IFERROR(ROUND($D134*INDEX('🔖 배합비 참조'!$B$2:$CE$83,MATCH("간장",'🔖 배합비 참조'!$A$2:$A$83,0),MATCH($C134,'🔖 배합비 참조'!$B$1:$CE$1,0))/100,0),""))),"")</f>
        <v>0</v>
      </c>
      <c r="H134" s="42" t="n">
        <f aca="false">IFERROR(IF($C134="","",IF($D134="","",IFERROR(ROUND($D134*INDEX('🔖 배합비 참조'!$B$2:$CE$83,MATCH("강낭콩((울타리콩))",'🔖 배합비 참조'!$A$2:$A$83,0),MATCH($C134,'🔖 배합비 참조'!$B$1:$CE$1,0))/100,0),""))),"")</f>
        <v>0</v>
      </c>
      <c r="I134" s="42" t="n">
        <f aca="false">IFERROR(IF($C134="","",IF($D134="","",IFERROR(ROUND($D134*INDEX('🔖 배합비 참조'!$B$2:$CE$83,MATCH("건조딸기다이스(외국산)",'🔖 배합비 참조'!$A$2:$A$83,0),MATCH($C134,'🔖 배합비 참조'!$B$1:$CE$1,0))/100,0),""))),"")</f>
        <v>0</v>
      </c>
      <c r="J134" s="42" t="n">
        <f aca="false">IFERROR(IF($C134="","",IF($D134="","",IFERROR(ROUND($D134*INDEX('🔖 배합비 참조'!$B$2:$CE$83,MATCH("건포도",'🔖 배합비 참조'!$A$2:$A$83,0),MATCH($C134,'🔖 배합비 참조'!$B$1:$CE$1,0))/100,0),""))),"")</f>
        <v>0</v>
      </c>
      <c r="K134" s="42" t="n">
        <f aca="false">IFERROR(IF($C134="","",IF($D134="","",IFERROR(ROUND($D134*INDEX('🔖 배합비 참조'!$B$2:$CE$83,MATCH("건호박채(중국산)",'🔖 배합비 참조'!$A$2:$A$83,0),MATCH($C134,'🔖 배합비 참조'!$B$1:$CE$1,0))/100,0),""))),"")</f>
        <v>0</v>
      </c>
      <c r="L134" s="42" t="n">
        <f aca="false">IFERROR(IF($C134="","",IF($D134="","",IFERROR(ROUND($D134*INDEX('🔖 배합비 참조'!$B$2:$CE$83,MATCH("검정깨(흑임자)",'🔖 배합비 참조'!$A$2:$A$83,0),MATCH($C134,'🔖 배합비 참조'!$B$1:$CE$1,0))/100,0),""))),"")</f>
        <v>0</v>
      </c>
      <c r="M134" s="42" t="n">
        <f aca="false">IFERROR(IF($C134="","",IF($D134="","",IFERROR(ROUND($D134*INDEX('🔖 배합비 참조'!$B$2:$CE$83,MATCH("검정콩",'🔖 배합비 참조'!$A$2:$A$83,0),MATCH($C134,'🔖 배합비 참조'!$B$1:$CE$1,0))/100,0),""))),"")</f>
        <v>0</v>
      </c>
      <c r="N134" s="42" t="n">
        <f aca="false">IFERROR(IF($C134="","",IF($D134="","",IFERROR(ROUND($D134*INDEX('🔖 배합비 참조'!$B$2:$CE$83,MATCH("계피가루",'🔖 배합비 참조'!$A$2:$A$83,0),MATCH($C134,'🔖 배합비 참조'!$B$1:$CE$1,0))/100,0),""))),"")</f>
        <v>0</v>
      </c>
      <c r="O134" s="42" t="n">
        <f aca="false">IFERROR(IF($C134="","",IF($D134="","",IFERROR(ROUND($D134*INDEX('🔖 배합비 참조'!$B$2:$CE$83,MATCH("고구마가루",'🔖 배합비 참조'!$A$2:$A$83,0),MATCH($C134,'🔖 배합비 참조'!$B$1:$CE$1,0))/100,0),""))),"")</f>
        <v>0</v>
      </c>
      <c r="P134" s="42" t="n">
        <f aca="false">IFERROR(IF($C134="","",IF($D134="","",IFERROR(ROUND($D134*INDEX('🔖 배합비 참조'!$B$2:$CE$83,MATCH("고구마무스",'🔖 배합비 참조'!$A$2:$A$83,0),MATCH($C134,'🔖 배합비 참조'!$B$1:$CE$1,0))/100,0),""))),"")</f>
        <v>0</v>
      </c>
      <c r="Q134" s="42" t="n">
        <f aca="false">IFERROR(IF($C134="","",IF($D134="","",IFERROR(ROUND($D134*INDEX('🔖 배합비 참조'!$B$2:$CE$83,MATCH("고려엉겅퀴((곤드레)국내산)",'🔖 배합비 참조'!$A$2:$A$83,0),MATCH($C134,'🔖 배합비 참조'!$B$1:$CE$1,0))/100,0),""))),"")</f>
        <v>0</v>
      </c>
      <c r="R134" s="42" t="n">
        <f aca="false">IFERROR(IF($C134="","",IF($D134="","",IFERROR(ROUND($D134*INDEX('🔖 배합비 참조'!$B$2:$CE$83,MATCH("기타가공품(복분자가루)",'🔖 배합비 참조'!$A$2:$A$83,0),MATCH($C134,'🔖 배합비 참조'!$B$1:$CE$1,0))/100,0),""))),"")</f>
        <v>0</v>
      </c>
      <c r="S134" s="42" t="n">
        <f aca="false">IFERROR(IF($C134="","",IF($D134="","",IFERROR(ROUND($D134*INDEX('🔖 배합비 참조'!$B$2:$CE$83,MATCH("기타가공품(슈퍼소프트엠)",'🔖 배합비 참조'!$A$2:$A$83,0),MATCH($C134,'🔖 배합비 참조'!$B$1:$CE$1,0))/100,0),""))),"")</f>
        <v>0</v>
      </c>
      <c r="T134" s="42" t="n">
        <f aca="false">IFERROR(IF($C134="","",IF($D134="","",IFERROR(ROUND($D134*INDEX('🔖 배합비 참조'!$B$2:$CE$83,MATCH("기타가공품(파인소프트 E-티)",'🔖 배합비 참조'!$A$2:$A$83,0),MATCH($C134,'🔖 배합비 참조'!$B$1:$CE$1,0))/100,0),""))),"")</f>
        <v>0</v>
      </c>
      <c r="U134" s="42" t="n">
        <f aca="false">IFERROR(IF($C134="","",IF($D134="","",IFERROR(ROUND($D134*INDEX('🔖 배합비 참조'!$B$2:$CE$83,MATCH("기타가공품(프리미엄카스테라가루)",'🔖 배합비 참조'!$A$2:$A$83,0),MATCH($C134,'🔖 배합비 참조'!$B$1:$CE$1,0))/100,0),""))),"")</f>
        <v>0</v>
      </c>
      <c r="V134" s="42" t="n">
        <f aca="false">IFERROR(IF($C134="","",IF($D134="","",IFERROR(ROUND($D134*INDEX('🔖 배합비 참조'!$B$2:$CE$83,MATCH("기타가공품(흑임자가루)",'🔖 배합비 참조'!$A$2:$A$83,0),MATCH($C134,'🔖 배합비 참조'!$B$1:$CE$1,0))/100,0),""))),"")</f>
        <v>0</v>
      </c>
      <c r="W134" s="42" t="n">
        <f aca="false">IFERROR(IF($C134="","",IF($D134="","",IFERROR(ROUND($D134*INDEX('🔖 배합비 참조'!$B$2:$CE$83,MATCH("기타설탕(흑설탕)",'🔖 배합비 참조'!$A$2:$A$83,0),MATCH($C134,'🔖 배합비 참조'!$B$1:$CE$1,0))/100,0),""))),"")</f>
        <v>15</v>
      </c>
      <c r="X134" s="42" t="n">
        <f aca="false">IFERROR(IF($C134="","",IF($D134="","",IFERROR(ROUND($D134*INDEX('🔖 배합비 참조'!$B$2:$CE$83,MATCH("냉동쑥(국내산)",'🔖 배합비 참조'!$A$2:$A$83,0),MATCH($C134,'🔖 배합비 참조'!$B$1:$CE$1,0))/100,0),""))),"")</f>
        <v>0</v>
      </c>
      <c r="Y134" s="42" t="n">
        <f aca="false">IFERROR(IF($C134="","",IF($D134="","",IFERROR(ROUND($D134*INDEX('🔖 배합비 참조'!$B$2:$CE$83,MATCH("냉동증숙고구마(중국산)",'🔖 배합비 참조'!$A$2:$A$83,0),MATCH($C134,'🔖 배합비 참조'!$B$1:$CE$1,0))/100,0),""))),"")</f>
        <v>0</v>
      </c>
      <c r="Z134" s="42" t="n">
        <f aca="false">IFERROR(IF($C134="","",IF($D134="","",IFERROR(ROUND($D134*INDEX('🔖 배합비 참조'!$B$2:$CE$83,MATCH("녹차가루",'🔖 배합비 참조'!$A$2:$A$83,0),MATCH($C134,'🔖 배합비 참조'!$B$1:$CE$1,0))/100,0),""))),"")</f>
        <v>0</v>
      </c>
      <c r="AA134" s="42" t="n">
        <f aca="false">IFERROR(IF($C134="","",IF($D134="","",IFERROR(ROUND($D134*INDEX('🔖 배합비 참조'!$B$2:$CE$83,MATCH("다크초콜릿 컴파운드칩",'🔖 배합비 참조'!$A$2:$A$83,0),MATCH($C134,'🔖 배합비 참조'!$B$1:$CE$1,0))/100,0),""))),"")</f>
        <v>0</v>
      </c>
      <c r="AB134" s="42" t="n">
        <f aca="false">IFERROR(IF($C134="","",IF($D134="","",IFERROR(ROUND($D134*INDEX('🔖 배합비 참조'!$B$2:$CE$83,MATCH("단호박분말(중국산)",'🔖 배합비 참조'!$A$2:$A$83,0),MATCH($C134,'🔖 배합비 참조'!$B$1:$CE$1,0))/100,0),""))),"")</f>
        <v>0</v>
      </c>
      <c r="AC134" s="42" t="n">
        <f aca="false">IFERROR(IF($C134="","",IF($D134="","",IFERROR(ROUND($D134*INDEX('🔖 배합비 참조'!$B$2:$CE$83,MATCH("당류가공품(단호박농축액)",'🔖 배합비 참조'!$A$2:$A$83,0),MATCH($C134,'🔖 배합비 참조'!$B$1:$CE$1,0))/100,0),""))),"")</f>
        <v>0</v>
      </c>
      <c r="AD134" s="42" t="n">
        <f aca="false">IFERROR(IF($C134="","",IF($D134="","",IFERROR(ROUND($D134*INDEX('🔖 배합비 참조'!$B$2:$CE$83,MATCH("당류가공품(알룰로스,에리스리톨,스테비올배당체혼합)",'🔖 배합비 참조'!$A$2:$A$83,0),MATCH($C134,'🔖 배합비 참조'!$B$1:$CE$1,0))/100,0),""))),"")</f>
        <v>0</v>
      </c>
      <c r="AE134" s="42" t="n">
        <f aca="false">IFERROR(IF($C134="","",IF($D134="","",IFERROR(ROUND($D134*INDEX('🔖 배합비 참조'!$B$2:$CE$83,MATCH("당류가공품(알룰로스제로파우더)",'🔖 배합비 참조'!$A$2:$A$83,0),MATCH($C134,'🔖 배합비 참조'!$B$1:$CE$1,0))/100,0),""))),"")</f>
        <v>0</v>
      </c>
      <c r="AF134" s="42" t="n">
        <f aca="false">IFERROR(IF($C134="","",IF($D134="","",IFERROR(ROUND($D134*INDEX('🔖 배합비 참조'!$B$2:$CE$83,MATCH("당절임(완두배기)",'🔖 배합비 참조'!$A$2:$A$83,0),MATCH($C134,'🔖 배합비 참조'!$B$1:$CE$1,0))/100,0),""))),"")</f>
        <v>0</v>
      </c>
      <c r="AG134" s="42" t="n">
        <f aca="false">IFERROR(IF($C134="","",IF($D134="","",IFERROR(ROUND($D134*INDEX('🔖 배합비 참조'!$B$2:$CE$83,MATCH("대추농축액",'🔖 배합비 참조'!$A$2:$A$83,0),MATCH($C134,'🔖 배합비 참조'!$B$1:$CE$1,0))/100,0),""))),"")</f>
        <v>0</v>
      </c>
      <c r="AH134" s="42" t="n">
        <f aca="false">IFERROR(IF($C134="","",IF($D134="","",IFERROR(ROUND($D134*INDEX('🔖 배합비 참조'!$B$2:$CE$83,MATCH("대추채(국내산)",'🔖 배합비 참조'!$A$2:$A$83,0),MATCH($C134,'🔖 배합비 참조'!$B$1:$CE$1,0))/100,0),""))),"")</f>
        <v>0</v>
      </c>
      <c r="AI134" s="42" t="n">
        <f aca="false">IFERROR(IF($C134="","",IF($D134="","",IFERROR(ROUND($D134*INDEX('🔖 배합비 참조'!$B$2:$CE$83,MATCH("동부(미얀마산)",'🔖 배합비 참조'!$A$2:$A$83,0),MATCH($C134,'🔖 배합비 참조'!$B$1:$CE$1,0))/100,0),""))),"")</f>
        <v>0</v>
      </c>
      <c r="AJ134" s="42" t="n">
        <f aca="false">IFERROR(IF($C134="","",IF($D134="","",IFERROR(ROUND($D134*INDEX('🔖 배합비 참조'!$B$2:$CE$83,MATCH("두류가공품(백옥앙금)",'🔖 배합비 참조'!$A$2:$A$83,0),MATCH($C134,'🔖 배합비 참조'!$B$1:$CE$1,0))/100,0),""))),"")</f>
        <v>0</v>
      </c>
      <c r="AK134" s="42" t="n">
        <f aca="false">IFERROR(IF($C134="","",IF($D134="","",IFERROR(ROUND($D134*INDEX('🔖 배합비 참조'!$B$2:$CE$83,MATCH("두류가공품(콩고물)",'🔖 배합비 참조'!$A$2:$A$83,0),MATCH($C134,'🔖 배합비 참조'!$B$1:$CE$1,0))/100,0),""))),"")</f>
        <v>0</v>
      </c>
      <c r="AL134" s="42" t="n">
        <f aca="false">IFERROR(IF($C134="","",IF($D134="","",IFERROR(ROUND($D134*INDEX('🔖 배합비 참조'!$B$2:$CE$83,MATCH("두류가공품(통팥고물)",'🔖 배합비 참조'!$A$2:$A$83,0),MATCH($C134,'🔖 배합비 참조'!$B$1:$CE$1,0))/100,0),""))),"")</f>
        <v>0</v>
      </c>
      <c r="AM134" s="42" t="n">
        <f aca="false">IFERROR(IF($C134="","",IF($D134="","",IFERROR(ROUND($D134*INDEX('🔖 배합비 참조'!$B$2:$CE$83,MATCH("딸기레진",'🔖 배합비 참조'!$A$2:$A$83,0),MATCH($C134,'🔖 배합비 참조'!$B$1:$CE$1,0))/100,0),""))),"")</f>
        <v>0</v>
      </c>
      <c r="AN134" s="42" t="n">
        <f aca="false">IFERROR(IF($C134="","",IF($D134="","",IFERROR(ROUND($D134*INDEX('🔖 배합비 참조'!$B$2:$CE$83,MATCH("딸기분말(스트로우베리에이드(분말))",'🔖 배합비 참조'!$A$2:$A$83,0),MATCH($C134,'🔖 배합비 참조'!$B$1:$CE$1,0))/100,0),""))),"")</f>
        <v>0</v>
      </c>
      <c r="AO134" s="42" t="n">
        <f aca="false">IFERROR(IF($C134="","",IF($D134="","",IFERROR(ROUND($D134*INDEX('🔖 배합비 참조'!$B$2:$CE$83,MATCH("마스카포네치즈",'🔖 배합비 참조'!$A$2:$A$83,0),MATCH($C134,'🔖 배합비 참조'!$B$1:$CE$1,0))/100,0),""))),"")</f>
        <v>0</v>
      </c>
      <c r="AP134" s="42" t="n">
        <f aca="false">IFERROR(IF($C134="","",IF($D134="","",IFERROR(ROUND($D134*INDEX('🔖 배합비 참조'!$B$2:$CE$83,MATCH("마카다미아분태(호주산)",'🔖 배합비 참조'!$A$2:$A$83,0),MATCH($C134,'🔖 배합비 참조'!$B$1:$CE$1,0))/100,0),""))),"")</f>
        <v>0</v>
      </c>
      <c r="AQ134" s="42" t="n">
        <f aca="false">IFERROR(IF($C134="","",IF($D134="","",IFERROR(ROUND($D134*INDEX('🔖 배합비 참조'!$B$2:$CE$83,MATCH("멥쌀(국내산)",'🔖 배합비 참조'!$A$2:$A$83,0),MATCH($C134,'🔖 배합비 참조'!$B$1:$CE$1,0))/100,0),""))),"")</f>
        <v>123</v>
      </c>
      <c r="AR134" s="42" t="n">
        <f aca="false">IFERROR(IF($C134="","",IF($D134="","",IFERROR(ROUND($D134*INDEX('🔖 배합비 참조'!$B$2:$CE$83,MATCH("모시잎(국내산)",'🔖 배합비 참조'!$A$2:$A$83,0),MATCH($C134,'🔖 배합비 참조'!$B$1:$CE$1,0))/100,0),""))),"")</f>
        <v>0</v>
      </c>
      <c r="AS134" s="42" t="n">
        <f aca="false">IFERROR(IF($C134="","",IF($D134="","",IFERROR(ROUND($D134*INDEX('🔖 배합비 참조'!$B$2:$CE$83,MATCH("물엿(저당물엿)",'🔖 배합비 참조'!$A$2:$A$83,0),MATCH($C134,'🔖 배합비 참조'!$B$1:$CE$1,0))/100,0),""))),"")</f>
        <v>0</v>
      </c>
      <c r="AT134" s="42" t="n">
        <f aca="false">IFERROR(IF($C134="","",IF($D134="","",IFERROR(ROUND($D134*INDEX('🔖 배합비 참조'!$B$2:$CE$83,MATCH("밤다이스",'🔖 배합비 참조'!$A$2:$A$83,0),MATCH($C134,'🔖 배합비 참조'!$B$1:$CE$1,0))/100,0),""))),"")</f>
        <v>0</v>
      </c>
      <c r="AU134" s="42" t="n">
        <f aca="false">IFERROR(IF($C134="","",IF($D134="","",IFERROR(ROUND($D134*INDEX('🔖 배합비 참조'!$B$2:$CE$83,MATCH("변성전분(타피오카전분)",'🔖 배합비 참조'!$A$2:$A$83,0),MATCH($C134,'🔖 배합비 참조'!$B$1:$CE$1,0))/100,0),""))),"")</f>
        <v>0</v>
      </c>
      <c r="AV134" s="42" t="n">
        <f aca="false">IFERROR(IF($C134="","",IF($D134="","",IFERROR(ROUND($D134*INDEX('🔖 배합비 참조'!$B$2:$CE$83,MATCH("복음땅콩분태",'🔖 배합비 참조'!$A$2:$A$83,0),MATCH($C134,'🔖 배합비 참조'!$B$1:$CE$1,0))/100,0),""))),"")</f>
        <v>0</v>
      </c>
      <c r="AW134" s="42" t="n">
        <f aca="false">IFERROR(IF($C134="","",IF($D134="","",IFERROR(ROUND($D134*INDEX('🔖 배합비 참조'!$B$2:$CE$83,MATCH("사양벌꿀(국내산)",'🔖 배합비 참조'!$A$2:$A$83,0),MATCH($C134,'🔖 배합비 참조'!$B$1:$CE$1,0))/100,0),""))),"")</f>
        <v>4</v>
      </c>
      <c r="AX134" s="42" t="n">
        <f aca="false">IFERROR(IF($C134="","",IF($D134="","",IFERROR(ROUND($D134*INDEX('🔖 배합비 참조'!$B$2:$CE$83,MATCH("생크림",'🔖 배합비 참조'!$A$2:$A$83,0),MATCH($C134,'🔖 배합비 참조'!$B$1:$CE$1,0))/100,0),""))),"")</f>
        <v>0</v>
      </c>
      <c r="AY134" s="42" t="n">
        <f aca="false">IFERROR(IF($C134="","",IF($D134="","",IFERROR(ROUND($D134*INDEX('🔖 배합비 참조'!$B$2:$CE$83,MATCH("서양호박(국내산,뉴질랜드산)",'🔖 배합비 참조'!$A$2:$A$83,0),MATCH($C134,'🔖 배합비 참조'!$B$1:$CE$1,0))/100,0),""))),"")</f>
        <v>0</v>
      </c>
      <c r="AZ134" s="42" t="n">
        <f aca="false">IFERROR(IF($C134="","",IF($D134="","",IFERROR(ROUND($D134*INDEX('🔖 배합비 참조'!$B$2:$CE$83,MATCH("설탕",'🔖 배합비 참조'!$A$2:$A$83,0),MATCH($C134,'🔖 배합비 참조'!$B$1:$CE$1,0))/100,0),""))),"")</f>
        <v>15</v>
      </c>
      <c r="BA134" s="42" t="n">
        <f aca="false">IFERROR(IF($C134="","",IF($D134="","",IFERROR(ROUND($D134*INDEX('🔖 배합비 참조'!$B$2:$CE$83,MATCH("스트로우베리 에이드 후레쉬",'🔖 배합비 참조'!$A$2:$A$83,0),MATCH($C134,'🔖 배합비 참조'!$B$1:$CE$1,0))/100,0),""))),"")</f>
        <v>0</v>
      </c>
      <c r="BB134" s="42" t="n">
        <f aca="false">IFERROR(IF($C134="","",IF($D134="","",IFERROR(ROUND($D134*INDEX('🔖 배합비 참조'!$B$2:$CE$83,MATCH("식물성기름혼합제제(분홍)",'🔖 배합비 참조'!$A$2:$A$83,0),MATCH($C134,'🔖 배합비 참조'!$B$1:$CE$1,0))/100,0),""))),"")</f>
        <v>0</v>
      </c>
      <c r="BC134" s="42" t="n">
        <f aca="false">IFERROR(IF($C134="","",IF($D134="","",IFERROR(ROUND($D134*INDEX('🔖 배합비 참조'!$B$2:$CE$83,MATCH("식물성기름혼합제제(초록)",'🔖 배합비 참조'!$A$2:$A$83,0),MATCH($C134,'🔖 배합비 참조'!$B$1:$CE$1,0))/100,0),""))),"")</f>
        <v>0</v>
      </c>
      <c r="BD134" s="42" t="n">
        <f aca="false">IFERROR(IF($C134="","",IF($D134="","",IFERROR(ROUND($D134*INDEX('🔖 배합비 참조'!$B$2:$CE$83,MATCH("식물성기름혼합제제(황색)",'🔖 배합비 참조'!$A$2:$A$83,0),MATCH($C134,'🔖 배합비 참조'!$B$1:$CE$1,0))/100,0),""))),"")</f>
        <v>0</v>
      </c>
      <c r="BE134" s="42" t="n">
        <f aca="false">IFERROR(IF($C134="","",IF($D134="","",IFERROR(ROUND($D134*INDEX('🔖 배합비 참조'!$B$2:$CE$83,MATCH("쑥가루(국내산)",'🔖 배합비 참조'!$A$2:$A$83,0),MATCH($C134,'🔖 배합비 참조'!$B$1:$CE$1,0))/100,0),""))),"")</f>
        <v>0</v>
      </c>
      <c r="BF134" s="42" t="n">
        <f aca="false">IFERROR(IF($C134="","",IF($D134="","",IFERROR(ROUND($D134*INDEX('🔖 배합비 참조'!$B$2:$CE$83,MATCH("아몬드슬라이스",'🔖 배합비 참조'!$A$2:$A$83,0),MATCH($C134,'🔖 배합비 참조'!$B$1:$CE$1,0))/100,0),""))),"")</f>
        <v>0</v>
      </c>
      <c r="BG134" s="42" t="n">
        <f aca="false">IFERROR(IF($C134="","",IF($D134="","",IFERROR(ROUND($D134*INDEX('🔖 배합비 참조'!$B$2:$CE$83,MATCH("알룰로오스(국내산)",'🔖 배합비 참조'!$A$2:$A$83,0),MATCH($C134,'🔖 배합비 참조'!$B$1:$CE$1,0))/100,0),""))),"")</f>
        <v>0</v>
      </c>
      <c r="BH134" s="42" t="n">
        <f aca="false">IFERROR(IF($C134="","",IF($D134="","",IFERROR(ROUND($D134*INDEX('🔖 배합비 참조'!$B$2:$CE$83,MATCH("연유",'🔖 배합비 참조'!$A$2:$A$83,0),MATCH($C134,'🔖 배합비 참조'!$B$1:$CE$1,0))/100,0),""))),"")</f>
        <v>0</v>
      </c>
      <c r="BI134" s="42" t="n">
        <f aca="false">IFERROR(IF($C134="","",IF($D134="","",IFERROR(ROUND($D134*INDEX('🔖 배합비 참조'!$B$2:$CE$83,MATCH("옥수수전분",'🔖 배합비 참조'!$A$2:$A$83,0),MATCH($C134,'🔖 배합비 참조'!$B$1:$CE$1,0))/100,0),""))),"")</f>
        <v>0</v>
      </c>
      <c r="BJ134" s="42" t="n">
        <f aca="false">IFERROR(IF($C134="","",IF($D134="","",IFERROR(ROUND($D134*INDEX('🔖 배합비 참조'!$B$2:$CE$83,MATCH("완두배기",'🔖 배합비 참조'!$A$2:$A$83,0),MATCH($C134,'🔖 배합비 참조'!$B$1:$CE$1,0))/100,0),""))),"")</f>
        <v>0</v>
      </c>
      <c r="BK134" s="42" t="n">
        <f aca="false">IFERROR(IF($C134="","",IF($D134="","",IFERROR(ROUND($D134*INDEX('🔖 배합비 참조'!$B$2:$CE$83,MATCH("우유(국내산)",'🔖 배합비 참조'!$A$2:$A$83,0),MATCH($C134,'🔖 배합비 참조'!$B$1:$CE$1,0))/100,0),""))),"")</f>
        <v>0</v>
      </c>
      <c r="BL134" s="42" t="n">
        <f aca="false">IFERROR(IF($C134="","",IF($D134="","",IFERROR(ROUND($D134*INDEX('🔖 배합비 참조'!$B$2:$CE$83,MATCH("자색고구마가루(중국산)",'🔖 배합비 참조'!$A$2:$A$83,0),MATCH($C134,'🔖 배합비 참조'!$B$1:$CE$1,0))/100,0),""))),"")</f>
        <v>0</v>
      </c>
      <c r="BM134" s="42" t="n">
        <f aca="false">IFERROR(IF($C134="","",IF($D134="","",IFERROR(ROUND($D134*INDEX('🔖 배합비 참조'!$B$2:$CE$83,MATCH("자연치즈(체다치즈)",'🔖 배합비 참조'!$A$2:$A$83,0),MATCH($C134,'🔖 배합비 참조'!$B$1:$CE$1,0))/100,0),""))),"")</f>
        <v>0</v>
      </c>
      <c r="BN134" s="42" t="n">
        <f aca="false">IFERROR(IF($C134="","",IF($D134="","",IFERROR(ROUND($D134*INDEX('🔖 배합비 참조'!$B$2:$CE$83,MATCH("정제수",'🔖 배합비 참조'!$A$2:$A$83,0),MATCH($C134,'🔖 배합비 참조'!$B$1:$CE$1,0))/100,0),""))),"")</f>
        <v>23</v>
      </c>
      <c r="BO134" s="42" t="n">
        <f aca="false">IFERROR(IF($C134="","",IF($D134="","",IFERROR(ROUND($D134*INDEX('🔖 배합비 참조'!$B$2:$CE$83,MATCH("젤라틴",'🔖 배합비 참조'!$A$2:$A$83,0),MATCH($C134,'🔖 배합비 참조'!$B$1:$CE$1,0))/100,0),""))),"")</f>
        <v>0</v>
      </c>
      <c r="BP134" s="42" t="n">
        <f aca="false">IFERROR(IF($C134="","",IF($D134="","",IFERROR(ROUND($D134*INDEX('🔖 배합비 참조'!$B$2:$CE$83,MATCH("조림류(백옥앙금)",'🔖 배합비 참조'!$A$2:$A$83,0),MATCH($C134,'🔖 배합비 참조'!$B$1:$CE$1,0))/100,0),""))),"")</f>
        <v>0</v>
      </c>
      <c r="BQ134" s="42" t="n">
        <f aca="false">IFERROR(IF($C134="","",IF($D134="","",IFERROR(ROUND($D134*INDEX('🔖 배합비 참조'!$B$2:$CE$83,MATCH("조림류(통팥앙금)",'🔖 배합비 참조'!$A$2:$A$83,0),MATCH($C134,'🔖 배합비 참조'!$B$1:$CE$1,0))/100,0),""))),"")</f>
        <v>0</v>
      </c>
      <c r="BR134" s="42" t="n">
        <f aca="false">IFERROR(IF($C134="","",IF($D134="","",IFERROR(ROUND($D134*INDEX('🔖 배합비 참조'!$B$2:$CE$83,MATCH("준초콜릿(외국산)",'🔖 배합비 참조'!$A$2:$A$83,0),MATCH($C134,'🔖 배합비 참조'!$B$1:$CE$1,0))/100,0),""))),"")</f>
        <v>0</v>
      </c>
      <c r="BS134" s="42" t="n">
        <f aca="false">IFERROR(IF($C134="","",IF($D134="","",IFERROR(ROUND($D134*INDEX('🔖 배합비 참조'!$B$2:$CE$83,MATCH("중력분",'🔖 배합비 참조'!$A$2:$A$83,0),MATCH($C134,'🔖 배합비 참조'!$B$1:$CE$1,0))/100,0),""))),"")</f>
        <v>0</v>
      </c>
      <c r="BT134" s="42" t="n">
        <f aca="false">IFERROR(IF($C134="","",IF($D134="","",IFERROR(ROUND($D134*INDEX('🔖 배합비 참조'!$B$2:$CE$83,MATCH("참깨(인도산,나이지리아산,탄자니아산,미얀마산)",'🔖 배합비 참조'!$A$2:$A$83,0),MATCH($C134,'🔖 배합비 참조'!$B$1:$CE$1,0))/100,0),""))),"")</f>
        <v>0</v>
      </c>
      <c r="BU134" s="42" t="n">
        <f aca="false">IFERROR(IF($C134="","",IF($D134="","",IFERROR(ROUND($D134*INDEX('🔖 배합비 참조'!$B$2:$CE$83,MATCH("찹쌀(국내산)",'🔖 배합비 참조'!$A$2:$A$83,0),MATCH($C134,'🔖 배합비 참조'!$B$1:$CE$1,0))/100,0),""))),"")</f>
        <v>0</v>
      </c>
      <c r="BV134" s="42" t="n">
        <f aca="false">IFERROR(IF($C134="","",IF($D134="","",IFERROR(ROUND($D134*INDEX('🔖 배합비 참조'!$B$2:$CE$83,MATCH("천일염",'🔖 배합비 참조'!$A$2:$A$83,0),MATCH($C134,'🔖 배합비 참조'!$B$1:$CE$1,0))/100,0),""))),"")</f>
        <v>2</v>
      </c>
      <c r="BW134" s="42" t="n">
        <f aca="false">IFERROR(IF($C134="","",IF($D134="","",IFERROR(ROUND($D134*INDEX('🔖 배합비 참조'!$B$2:$CE$83,MATCH("치즈 [크림치즈]",'🔖 배합비 참조'!$A$2:$A$83,0),MATCH($C134,'🔖 배합비 참조'!$B$1:$CE$1,0))/100,0),""))),"")</f>
        <v>0</v>
      </c>
      <c r="BX134" s="42" t="n">
        <f aca="false">IFERROR(IF($C134="","",IF($D134="","",IFERROR(ROUND($D134*INDEX('🔖 배합비 참조'!$B$2:$CE$83,MATCH("코코아가공품류(코코아분말)",'🔖 배합비 참조'!$A$2:$A$83,0),MATCH($C134,'🔖 배합비 참조'!$B$1:$CE$1,0))/100,0),""))),"")</f>
        <v>0</v>
      </c>
      <c r="BY134" s="42" t="n">
        <f aca="false">IFERROR(IF($C134="","",IF($D134="","",IFERROR(ROUND($D134*INDEX('🔖 배합비 참조'!$B$2:$CE$83,MATCH("콩기름(대두유)",'🔖 배합비 참조'!$A$2:$A$83,0),MATCH($C134,'🔖 배합비 참조'!$B$1:$CE$1,0))/100,0),""))),"")</f>
        <v>0</v>
      </c>
      <c r="BZ134" s="42" t="n">
        <f aca="false">IFERROR(IF($C134="","",IF($D134="","",IFERROR(ROUND($D134*INDEX('🔖 배합비 참조'!$B$2:$CE$83,MATCH("해바라기씨앗",'🔖 배합비 참조'!$A$2:$A$83,0),MATCH($C134,'🔖 배합비 참조'!$B$1:$CE$1,0))/100,0),""))),"")</f>
        <v>0</v>
      </c>
      <c r="CA134" s="42" t="n">
        <f aca="false">IFERROR(IF($C134="","",IF($D134="","",IFERROR(ROUND($D134*INDEX('🔖 배합비 참조'!$B$2:$CE$83,MATCH("현미(국내산)",'🔖 배합비 참조'!$A$2:$A$83,0),MATCH($C134,'🔖 배합비 참조'!$B$1:$CE$1,0))/100,0),""))),"")</f>
        <v>0</v>
      </c>
      <c r="CB134" s="42" t="n">
        <f aca="false">IFERROR(IF($C134="","",IF($D134="","",IFERROR(ROUND($D134*INDEX('🔖 배합비 참조'!$B$2:$CE$83,MATCH("현미멥쌀(국내산)",'🔖 배합비 참조'!$A$2:$A$83,0),MATCH($C134,'🔖 배합비 참조'!$B$1:$CE$1,0))/100,0),""))),"")</f>
        <v>0</v>
      </c>
      <c r="CC134" s="42" t="n">
        <f aca="false">IFERROR(IF($C134="","",IF($D134="","",IFERROR(ROUND($D134*INDEX('🔖 배합비 참조'!$B$2:$CE$83,MATCH("호두분태(미국산)",'🔖 배합비 참조'!$A$2:$A$83,0),MATCH($C134,'🔖 배합비 참조'!$B$1:$CE$1,0))/100,0),""))),"")</f>
        <v>0</v>
      </c>
      <c r="CD134" s="42" t="n">
        <f aca="false">IFERROR(IF($C134="","",IF($D134="","",IFERROR(ROUND($D134*INDEX('🔖 배합비 참조'!$B$2:$CE$83,MATCH("호박씨앗(외국산)",'🔖 배합비 참조'!$A$2:$A$83,0),MATCH($C134,'🔖 배합비 참조'!$B$1:$CE$1,0))/100,0),""))),"")</f>
        <v>0</v>
      </c>
      <c r="CE134" s="42" t="n">
        <f aca="false">IFERROR(IF($C134="","",IF($D134="","",IFERROR(ROUND($D134*INDEX('🔖 배합비 참조'!$B$2:$CE$83,MATCH("혼합제제(떡용에스텔)",'🔖 배합비 참조'!$A$2:$A$83,0),MATCH($C134,'🔖 배합비 참조'!$B$1:$CE$1,0))/100,0),""))),"")</f>
        <v>0</v>
      </c>
      <c r="CF134" s="42" t="n">
        <f aca="false">IFERROR(IF($C134="","",IF($D134="","",IFERROR(ROUND($D134*INDEX('🔖 배합비 참조'!$B$2:$CE$83,MATCH("혼합제제(스테비아)",'🔖 배합비 참조'!$A$2:$A$83,0),MATCH($C134,'🔖 배합비 참조'!$B$1:$CE$1,0))/100,0),""))),"")</f>
        <v>0</v>
      </c>
      <c r="CG134" s="42" t="n">
        <f aca="false">IFERROR(IF($C134="","",IF($D134="","",IFERROR(ROUND($D134*INDEX('🔖 배합비 참조'!$B$2:$CE$83,MATCH("화이트초콜릿",'🔖 배합비 참조'!$A$2:$A$83,0),MATCH($C134,'🔖 배합비 참조'!$B$1:$CE$1,0))/100,0),""))),"")</f>
        <v>0</v>
      </c>
      <c r="CH134" s="42" t="n">
        <f aca="false">IFERROR(IF($C134="","",IF($D134="","",IFERROR(ROUND($D134*INDEX('🔖 배합비 참조'!$B$2:$CE$83,MATCH("흑미찹쌀(국내산)",'🔖 배합비 참조'!$A$2:$A$83,0),MATCH($C134,'🔖 배합비 참조'!$B$1:$CE$1,0))/100,0),""))),"")</f>
        <v>0</v>
      </c>
      <c r="CI134" s="42" t="n">
        <f aca="false">IFERROR(IF($C134="","",IF($D134="","",IFERROR(ROUND($D134*INDEX('🔖 배합비 참조'!$B$2:$CE$83,MATCH("찰옥수수전분(미국산)",'🔖 배합비 참조'!$A$2:$A$83,0),MATCH($C134,'🔖 배합비 참조'!$B$1:$CE$1,0))/100,0),""))),"")</f>
        <v>0</v>
      </c>
      <c r="CJ134" s="40"/>
      <c r="CL134" s="1" t="s">
        <v>239</v>
      </c>
    </row>
    <row r="135" customFormat="false" ht="18" hidden="false" customHeight="true" outlineLevel="0" collapsed="false">
      <c r="A135" s="35" t="n">
        <v>131</v>
      </c>
      <c r="B135" s="36" t="n">
        <v>46013</v>
      </c>
      <c r="C135" s="37" t="s">
        <v>144</v>
      </c>
      <c r="D135" s="38" t="n">
        <v>140</v>
      </c>
      <c r="E135" s="13"/>
      <c r="F135" s="13"/>
      <c r="G135" s="39" t="n">
        <f aca="false">IFERROR(IF($C135="","",IF($D135="","",IFERROR(ROUND($D135*INDEX('🔖 배합비 참조'!$B$2:$CE$83,MATCH("간장",'🔖 배합비 참조'!$A$2:$A$83,0),MATCH($C135,'🔖 배합비 참조'!$B$1:$CE$1,0))/100,0),""))),"")</f>
        <v>0</v>
      </c>
      <c r="H135" s="39" t="n">
        <f aca="false">IFERROR(IF($C135="","",IF($D135="","",IFERROR(ROUND($D135*INDEX('🔖 배합비 참조'!$B$2:$CE$83,MATCH("강낭콩((울타리콩))",'🔖 배합비 참조'!$A$2:$A$83,0),MATCH($C135,'🔖 배합비 참조'!$B$1:$CE$1,0))/100,0),""))),"")</f>
        <v>0</v>
      </c>
      <c r="I135" s="39" t="n">
        <f aca="false">IFERROR(IF($C135="","",IF($D135="","",IFERROR(ROUND($D135*INDEX('🔖 배합비 참조'!$B$2:$CE$83,MATCH("건조딸기다이스(외국산)",'🔖 배합비 참조'!$A$2:$A$83,0),MATCH($C135,'🔖 배합비 참조'!$B$1:$CE$1,0))/100,0),""))),"")</f>
        <v>0</v>
      </c>
      <c r="J135" s="39" t="n">
        <f aca="false">IFERROR(IF($C135="","",IF($D135="","",IFERROR(ROUND($D135*INDEX('🔖 배합비 참조'!$B$2:$CE$83,MATCH("건포도",'🔖 배합비 참조'!$A$2:$A$83,0),MATCH($C135,'🔖 배합비 참조'!$B$1:$CE$1,0))/100,0),""))),"")</f>
        <v>0</v>
      </c>
      <c r="K135" s="39" t="n">
        <f aca="false">IFERROR(IF($C135="","",IF($D135="","",IFERROR(ROUND($D135*INDEX('🔖 배합비 참조'!$B$2:$CE$83,MATCH("건호박채(중국산)",'🔖 배합비 참조'!$A$2:$A$83,0),MATCH($C135,'🔖 배합비 참조'!$B$1:$CE$1,0))/100,0),""))),"")</f>
        <v>0</v>
      </c>
      <c r="L135" s="39" t="n">
        <f aca="false">IFERROR(IF($C135="","",IF($D135="","",IFERROR(ROUND($D135*INDEX('🔖 배합비 참조'!$B$2:$CE$83,MATCH("검정깨(흑임자)",'🔖 배합비 참조'!$A$2:$A$83,0),MATCH($C135,'🔖 배합비 참조'!$B$1:$CE$1,0))/100,0),""))),"")</f>
        <v>0</v>
      </c>
      <c r="M135" s="39" t="n">
        <f aca="false">IFERROR(IF($C135="","",IF($D135="","",IFERROR(ROUND($D135*INDEX('🔖 배합비 참조'!$B$2:$CE$83,MATCH("검정콩",'🔖 배합비 참조'!$A$2:$A$83,0),MATCH($C135,'🔖 배합비 참조'!$B$1:$CE$1,0))/100,0),""))),"")</f>
        <v>0</v>
      </c>
      <c r="N135" s="39" t="n">
        <f aca="false">IFERROR(IF($C135="","",IF($D135="","",IFERROR(ROUND($D135*INDEX('🔖 배합비 참조'!$B$2:$CE$83,MATCH("계피가루",'🔖 배합비 참조'!$A$2:$A$83,0),MATCH($C135,'🔖 배합비 참조'!$B$1:$CE$1,0))/100,0),""))),"")</f>
        <v>0</v>
      </c>
      <c r="O135" s="39" t="n">
        <f aca="false">IFERROR(IF($C135="","",IF($D135="","",IFERROR(ROUND($D135*INDEX('🔖 배합비 참조'!$B$2:$CE$83,MATCH("고구마가루",'🔖 배합비 참조'!$A$2:$A$83,0),MATCH($C135,'🔖 배합비 참조'!$B$1:$CE$1,0))/100,0),""))),"")</f>
        <v>0</v>
      </c>
      <c r="P135" s="39" t="n">
        <f aca="false">IFERROR(IF($C135="","",IF($D135="","",IFERROR(ROUND($D135*INDEX('🔖 배합비 참조'!$B$2:$CE$83,MATCH("고구마무스",'🔖 배합비 참조'!$A$2:$A$83,0),MATCH($C135,'🔖 배합비 참조'!$B$1:$CE$1,0))/100,0),""))),"")</f>
        <v>0</v>
      </c>
      <c r="Q135" s="39" t="n">
        <f aca="false">IFERROR(IF($C135="","",IF($D135="","",IFERROR(ROUND($D135*INDEX('🔖 배합비 참조'!$B$2:$CE$83,MATCH("고려엉겅퀴((곤드레)국내산)",'🔖 배합비 참조'!$A$2:$A$83,0),MATCH($C135,'🔖 배합비 참조'!$B$1:$CE$1,0))/100,0),""))),"")</f>
        <v>0</v>
      </c>
      <c r="R135" s="39" t="n">
        <f aca="false">IFERROR(IF($C135="","",IF($D135="","",IFERROR(ROUND($D135*INDEX('🔖 배합비 참조'!$B$2:$CE$83,MATCH("기타가공품(복분자가루)",'🔖 배합비 참조'!$A$2:$A$83,0),MATCH($C135,'🔖 배합비 참조'!$B$1:$CE$1,0))/100,0),""))),"")</f>
        <v>0</v>
      </c>
      <c r="S135" s="39" t="n">
        <f aca="false">IFERROR(IF($C135="","",IF($D135="","",IFERROR(ROUND($D135*INDEX('🔖 배합비 참조'!$B$2:$CE$83,MATCH("기타가공품(슈퍼소프트엠)",'🔖 배합비 참조'!$A$2:$A$83,0),MATCH($C135,'🔖 배합비 참조'!$B$1:$CE$1,0))/100,0),""))),"")</f>
        <v>0</v>
      </c>
      <c r="T135" s="39" t="n">
        <f aca="false">IFERROR(IF($C135="","",IF($D135="","",IFERROR(ROUND($D135*INDEX('🔖 배합비 참조'!$B$2:$CE$83,MATCH("기타가공품(파인소프트 E-티)",'🔖 배합비 참조'!$A$2:$A$83,0),MATCH($C135,'🔖 배합비 참조'!$B$1:$CE$1,0))/100,0),""))),"")</f>
        <v>0</v>
      </c>
      <c r="U135" s="39" t="n">
        <f aca="false">IFERROR(IF($C135="","",IF($D135="","",IFERROR(ROUND($D135*INDEX('🔖 배합비 참조'!$B$2:$CE$83,MATCH("기타가공품(프리미엄카스테라가루)",'🔖 배합비 참조'!$A$2:$A$83,0),MATCH($C135,'🔖 배합비 참조'!$B$1:$CE$1,0))/100,0),""))),"")</f>
        <v>0</v>
      </c>
      <c r="V135" s="39" t="n">
        <f aca="false">IFERROR(IF($C135="","",IF($D135="","",IFERROR(ROUND($D135*INDEX('🔖 배합비 참조'!$B$2:$CE$83,MATCH("기타가공품(흑임자가루)",'🔖 배합비 참조'!$A$2:$A$83,0),MATCH($C135,'🔖 배합비 참조'!$B$1:$CE$1,0))/100,0),""))),"")</f>
        <v>0</v>
      </c>
      <c r="W135" s="39" t="n">
        <f aca="false">IFERROR(IF($C135="","",IF($D135="","",IFERROR(ROUND($D135*INDEX('🔖 배합비 참조'!$B$2:$CE$83,MATCH("기타설탕(흑설탕)",'🔖 배합비 참조'!$A$2:$A$83,0),MATCH($C135,'🔖 배합비 참조'!$B$1:$CE$1,0))/100,0),""))),"")</f>
        <v>0</v>
      </c>
      <c r="X135" s="39" t="n">
        <f aca="false">IFERROR(IF($C135="","",IF($D135="","",IFERROR(ROUND($D135*INDEX('🔖 배합비 참조'!$B$2:$CE$83,MATCH("냉동쑥(국내산)",'🔖 배합비 참조'!$A$2:$A$83,0),MATCH($C135,'🔖 배합비 참조'!$B$1:$CE$1,0))/100,0),""))),"")</f>
        <v>0</v>
      </c>
      <c r="Y135" s="39" t="n">
        <f aca="false">IFERROR(IF($C135="","",IF($D135="","",IFERROR(ROUND($D135*INDEX('🔖 배합비 참조'!$B$2:$CE$83,MATCH("냉동증숙고구마(중국산)",'🔖 배합비 참조'!$A$2:$A$83,0),MATCH($C135,'🔖 배합비 참조'!$B$1:$CE$1,0))/100,0),""))),"")</f>
        <v>0</v>
      </c>
      <c r="Z135" s="39" t="n">
        <f aca="false">IFERROR(IF($C135="","",IF($D135="","",IFERROR(ROUND($D135*INDEX('🔖 배합비 참조'!$B$2:$CE$83,MATCH("녹차가루",'🔖 배합비 참조'!$A$2:$A$83,0),MATCH($C135,'🔖 배합비 참조'!$B$1:$CE$1,0))/100,0),""))),"")</f>
        <v>0</v>
      </c>
      <c r="AA135" s="39" t="n">
        <f aca="false">IFERROR(IF($C135="","",IF($D135="","",IFERROR(ROUND($D135*INDEX('🔖 배합비 참조'!$B$2:$CE$83,MATCH("다크초콜릿 컴파운드칩",'🔖 배합비 참조'!$A$2:$A$83,0),MATCH($C135,'🔖 배합비 참조'!$B$1:$CE$1,0))/100,0),""))),"")</f>
        <v>0</v>
      </c>
      <c r="AB135" s="39" t="n">
        <f aca="false">IFERROR(IF($C135="","",IF($D135="","",IFERROR(ROUND($D135*INDEX('🔖 배합비 참조'!$B$2:$CE$83,MATCH("단호박분말(중국산)",'🔖 배합비 참조'!$A$2:$A$83,0),MATCH($C135,'🔖 배합비 참조'!$B$1:$CE$1,0))/100,0),""))),"")</f>
        <v>0</v>
      </c>
      <c r="AC135" s="39" t="n">
        <f aca="false">IFERROR(IF($C135="","",IF($D135="","",IFERROR(ROUND($D135*INDEX('🔖 배합비 참조'!$B$2:$CE$83,MATCH("당류가공품(단호박농축액)",'🔖 배합비 참조'!$A$2:$A$83,0),MATCH($C135,'🔖 배합비 참조'!$B$1:$CE$1,0))/100,0),""))),"")</f>
        <v>0</v>
      </c>
      <c r="AD135" s="39" t="n">
        <f aca="false">IFERROR(IF($C135="","",IF($D135="","",IFERROR(ROUND($D135*INDEX('🔖 배합비 참조'!$B$2:$CE$83,MATCH("당류가공품(알룰로스,에리스리톨,스테비올배당체혼합)",'🔖 배합비 참조'!$A$2:$A$83,0),MATCH($C135,'🔖 배합비 참조'!$B$1:$CE$1,0))/100,0),""))),"")</f>
        <v>0</v>
      </c>
      <c r="AE135" s="39" t="n">
        <f aca="false">IFERROR(IF($C135="","",IF($D135="","",IFERROR(ROUND($D135*INDEX('🔖 배합비 참조'!$B$2:$CE$83,MATCH("당류가공품(알룰로스제로파우더)",'🔖 배합비 참조'!$A$2:$A$83,0),MATCH($C135,'🔖 배합비 참조'!$B$1:$CE$1,0))/100,0),""))),"")</f>
        <v>0</v>
      </c>
      <c r="AF135" s="39" t="n">
        <f aca="false">IFERROR(IF($C135="","",IF($D135="","",IFERROR(ROUND($D135*INDEX('🔖 배합비 참조'!$B$2:$CE$83,MATCH("당절임(완두배기)",'🔖 배합비 참조'!$A$2:$A$83,0),MATCH($C135,'🔖 배합비 참조'!$B$1:$CE$1,0))/100,0),""))),"")</f>
        <v>0</v>
      </c>
      <c r="AG135" s="39" t="n">
        <f aca="false">IFERROR(IF($C135="","",IF($D135="","",IFERROR(ROUND($D135*INDEX('🔖 배합비 참조'!$B$2:$CE$83,MATCH("대추농축액",'🔖 배합비 참조'!$A$2:$A$83,0),MATCH($C135,'🔖 배합비 참조'!$B$1:$CE$1,0))/100,0),""))),"")</f>
        <v>0</v>
      </c>
      <c r="AH135" s="39" t="n">
        <f aca="false">IFERROR(IF($C135="","",IF($D135="","",IFERROR(ROUND($D135*INDEX('🔖 배합비 참조'!$B$2:$CE$83,MATCH("대추채(국내산)",'🔖 배합비 참조'!$A$2:$A$83,0),MATCH($C135,'🔖 배합비 참조'!$B$1:$CE$1,0))/100,0),""))),"")</f>
        <v>0</v>
      </c>
      <c r="AI135" s="39" t="n">
        <f aca="false">IFERROR(IF($C135="","",IF($D135="","",IFERROR(ROUND($D135*INDEX('🔖 배합비 참조'!$B$2:$CE$83,MATCH("동부(미얀마산)",'🔖 배합비 참조'!$A$2:$A$83,0),MATCH($C135,'🔖 배합비 참조'!$B$1:$CE$1,0))/100,0),""))),"")</f>
        <v>0</v>
      </c>
      <c r="AJ135" s="39" t="n">
        <f aca="false">IFERROR(IF($C135="","",IF($D135="","",IFERROR(ROUND($D135*INDEX('🔖 배합비 참조'!$B$2:$CE$83,MATCH("두류가공품(백옥앙금)",'🔖 배합비 참조'!$A$2:$A$83,0),MATCH($C135,'🔖 배합비 참조'!$B$1:$CE$1,0))/100,0),""))),"")</f>
        <v>0</v>
      </c>
      <c r="AK135" s="39" t="n">
        <f aca="false">IFERROR(IF($C135="","",IF($D135="","",IFERROR(ROUND($D135*INDEX('🔖 배합비 참조'!$B$2:$CE$83,MATCH("두류가공품(콩고물)",'🔖 배합비 참조'!$A$2:$A$83,0),MATCH($C135,'🔖 배합비 참조'!$B$1:$CE$1,0))/100,0),""))),"")</f>
        <v>4</v>
      </c>
      <c r="AL135" s="39" t="n">
        <f aca="false">IFERROR(IF($C135="","",IF($D135="","",IFERROR(ROUND($D135*INDEX('🔖 배합비 참조'!$B$2:$CE$83,MATCH("두류가공품(통팥고물)",'🔖 배합비 참조'!$A$2:$A$83,0),MATCH($C135,'🔖 배합비 참조'!$B$1:$CE$1,0))/100,0),""))),"")</f>
        <v>0</v>
      </c>
      <c r="AM135" s="39" t="n">
        <f aca="false">IFERROR(IF($C135="","",IF($D135="","",IFERROR(ROUND($D135*INDEX('🔖 배합비 참조'!$B$2:$CE$83,MATCH("딸기레진",'🔖 배합비 참조'!$A$2:$A$83,0),MATCH($C135,'🔖 배합비 참조'!$B$1:$CE$1,0))/100,0),""))),"")</f>
        <v>0</v>
      </c>
      <c r="AN135" s="39" t="n">
        <f aca="false">IFERROR(IF($C135="","",IF($D135="","",IFERROR(ROUND($D135*INDEX('🔖 배합비 참조'!$B$2:$CE$83,MATCH("딸기분말(스트로우베리에이드(분말))",'🔖 배합비 참조'!$A$2:$A$83,0),MATCH($C135,'🔖 배합비 참조'!$B$1:$CE$1,0))/100,0),""))),"")</f>
        <v>0</v>
      </c>
      <c r="AO135" s="39" t="n">
        <f aca="false">IFERROR(IF($C135="","",IF($D135="","",IFERROR(ROUND($D135*INDEX('🔖 배합비 참조'!$B$2:$CE$83,MATCH("마스카포네치즈",'🔖 배합비 참조'!$A$2:$A$83,0),MATCH($C135,'🔖 배합비 참조'!$B$1:$CE$1,0))/100,0),""))),"")</f>
        <v>0</v>
      </c>
      <c r="AP135" s="39" t="n">
        <f aca="false">IFERROR(IF($C135="","",IF($D135="","",IFERROR(ROUND($D135*INDEX('🔖 배합비 참조'!$B$2:$CE$83,MATCH("마카다미아분태(호주산)",'🔖 배합비 참조'!$A$2:$A$83,0),MATCH($C135,'🔖 배합비 참조'!$B$1:$CE$1,0))/100,0),""))),"")</f>
        <v>0</v>
      </c>
      <c r="AQ135" s="39" t="n">
        <f aca="false">IFERROR(IF($C135="","",IF($D135="","",IFERROR(ROUND($D135*INDEX('🔖 배합비 참조'!$B$2:$CE$83,MATCH("멥쌀(국내산)",'🔖 배합비 참조'!$A$2:$A$83,0),MATCH($C135,'🔖 배합비 참조'!$B$1:$CE$1,0))/100,0),""))),"")</f>
        <v>0</v>
      </c>
      <c r="AR135" s="39" t="n">
        <f aca="false">IFERROR(IF($C135="","",IF($D135="","",IFERROR(ROUND($D135*INDEX('🔖 배합비 참조'!$B$2:$CE$83,MATCH("모시잎(국내산)",'🔖 배합비 참조'!$A$2:$A$83,0),MATCH($C135,'🔖 배합비 참조'!$B$1:$CE$1,0))/100,0),""))),"")</f>
        <v>0</v>
      </c>
      <c r="AS135" s="39" t="n">
        <f aca="false">IFERROR(IF($C135="","",IF($D135="","",IFERROR(ROUND($D135*INDEX('🔖 배합비 참조'!$B$2:$CE$83,MATCH("물엿(저당물엿)",'🔖 배합비 참조'!$A$2:$A$83,0),MATCH($C135,'🔖 배합비 참조'!$B$1:$CE$1,0))/100,0),""))),"")</f>
        <v>7</v>
      </c>
      <c r="AT135" s="39" t="n">
        <f aca="false">IFERROR(IF($C135="","",IF($D135="","",IFERROR(ROUND($D135*INDEX('🔖 배합비 참조'!$B$2:$CE$83,MATCH("밤다이스",'🔖 배합비 참조'!$A$2:$A$83,0),MATCH($C135,'🔖 배합비 참조'!$B$1:$CE$1,0))/100,0),""))),"")</f>
        <v>0</v>
      </c>
      <c r="AU135" s="39" t="n">
        <f aca="false">IFERROR(IF($C135="","",IF($D135="","",IFERROR(ROUND($D135*INDEX('🔖 배합비 참조'!$B$2:$CE$83,MATCH("변성전분(타피오카전분)",'🔖 배합비 참조'!$A$2:$A$83,0),MATCH($C135,'🔖 배합비 참조'!$B$1:$CE$1,0))/100,0),""))),"")</f>
        <v>0</v>
      </c>
      <c r="AV135" s="39" t="n">
        <f aca="false">IFERROR(IF($C135="","",IF($D135="","",IFERROR(ROUND($D135*INDEX('🔖 배합비 참조'!$B$2:$CE$83,MATCH("복음땅콩분태",'🔖 배합비 참조'!$A$2:$A$83,0),MATCH($C135,'🔖 배합비 참조'!$B$1:$CE$1,0))/100,0),""))),"")</f>
        <v>0</v>
      </c>
      <c r="AW135" s="39" t="n">
        <f aca="false">IFERROR(IF($C135="","",IF($D135="","",IFERROR(ROUND($D135*INDEX('🔖 배합비 참조'!$B$2:$CE$83,MATCH("사양벌꿀(국내산)",'🔖 배합비 참조'!$A$2:$A$83,0),MATCH($C135,'🔖 배합비 참조'!$B$1:$CE$1,0))/100,0),""))),"")</f>
        <v>0</v>
      </c>
      <c r="AX135" s="39" t="n">
        <f aca="false">IFERROR(IF($C135="","",IF($D135="","",IFERROR(ROUND($D135*INDEX('🔖 배합비 참조'!$B$2:$CE$83,MATCH("생크림",'🔖 배합비 참조'!$A$2:$A$83,0),MATCH($C135,'🔖 배합비 참조'!$B$1:$CE$1,0))/100,0),""))),"")</f>
        <v>0</v>
      </c>
      <c r="AY135" s="39" t="n">
        <f aca="false">IFERROR(IF($C135="","",IF($D135="","",IFERROR(ROUND($D135*INDEX('🔖 배합비 참조'!$B$2:$CE$83,MATCH("서양호박(국내산,뉴질랜드산)",'🔖 배합비 참조'!$A$2:$A$83,0),MATCH($C135,'🔖 배합비 참조'!$B$1:$CE$1,0))/100,0),""))),"")</f>
        <v>0</v>
      </c>
      <c r="AZ135" s="39" t="n">
        <f aca="false">IFERROR(IF($C135="","",IF($D135="","",IFERROR(ROUND($D135*INDEX('🔖 배합비 참조'!$B$2:$CE$83,MATCH("설탕",'🔖 배합비 참조'!$A$2:$A$83,0),MATCH($C135,'🔖 배합비 참조'!$B$1:$CE$1,0))/100,0),""))),"")</f>
        <v>7</v>
      </c>
      <c r="BA135" s="39" t="n">
        <f aca="false">IFERROR(IF($C135="","",IF($D135="","",IFERROR(ROUND($D135*INDEX('🔖 배합비 참조'!$B$2:$CE$83,MATCH("스트로우베리 에이드 후레쉬",'🔖 배합비 참조'!$A$2:$A$83,0),MATCH($C135,'🔖 배합비 참조'!$B$1:$CE$1,0))/100,0),""))),"")</f>
        <v>0</v>
      </c>
      <c r="BB135" s="39" t="n">
        <f aca="false">IFERROR(IF($C135="","",IF($D135="","",IFERROR(ROUND($D135*INDEX('🔖 배합비 참조'!$B$2:$CE$83,MATCH("식물성기름혼합제제(분홍)",'🔖 배합비 참조'!$A$2:$A$83,0),MATCH($C135,'🔖 배합비 참조'!$B$1:$CE$1,0))/100,0),""))),"")</f>
        <v>0</v>
      </c>
      <c r="BC135" s="39" t="n">
        <f aca="false">IFERROR(IF($C135="","",IF($D135="","",IFERROR(ROUND($D135*INDEX('🔖 배합비 참조'!$B$2:$CE$83,MATCH("식물성기름혼합제제(초록)",'🔖 배합비 참조'!$A$2:$A$83,0),MATCH($C135,'🔖 배합비 참조'!$B$1:$CE$1,0))/100,0),""))),"")</f>
        <v>0</v>
      </c>
      <c r="BD135" s="39" t="n">
        <f aca="false">IFERROR(IF($C135="","",IF($D135="","",IFERROR(ROUND($D135*INDEX('🔖 배합비 참조'!$B$2:$CE$83,MATCH("식물성기름혼합제제(황색)",'🔖 배합비 참조'!$A$2:$A$83,0),MATCH($C135,'🔖 배합비 참조'!$B$1:$CE$1,0))/100,0),""))),"")</f>
        <v>0</v>
      </c>
      <c r="BE135" s="39" t="n">
        <f aca="false">IFERROR(IF($C135="","",IF($D135="","",IFERROR(ROUND($D135*INDEX('🔖 배합비 참조'!$B$2:$CE$83,MATCH("쑥가루(국내산)",'🔖 배합비 참조'!$A$2:$A$83,0),MATCH($C135,'🔖 배합비 참조'!$B$1:$CE$1,0))/100,0),""))),"")</f>
        <v>0</v>
      </c>
      <c r="BF135" s="39" t="n">
        <f aca="false">IFERROR(IF($C135="","",IF($D135="","",IFERROR(ROUND($D135*INDEX('🔖 배합비 참조'!$B$2:$CE$83,MATCH("아몬드슬라이스",'🔖 배합비 참조'!$A$2:$A$83,0),MATCH($C135,'🔖 배합비 참조'!$B$1:$CE$1,0))/100,0),""))),"")</f>
        <v>0</v>
      </c>
      <c r="BG135" s="39" t="n">
        <f aca="false">IFERROR(IF($C135="","",IF($D135="","",IFERROR(ROUND($D135*INDEX('🔖 배합비 참조'!$B$2:$CE$83,MATCH("알룰로오스(국내산)",'🔖 배합비 참조'!$A$2:$A$83,0),MATCH($C135,'🔖 배합비 참조'!$B$1:$CE$1,0))/100,0),""))),"")</f>
        <v>0</v>
      </c>
      <c r="BH135" s="39" t="n">
        <f aca="false">IFERROR(IF($C135="","",IF($D135="","",IFERROR(ROUND($D135*INDEX('🔖 배합비 참조'!$B$2:$CE$83,MATCH("연유",'🔖 배합비 참조'!$A$2:$A$83,0),MATCH($C135,'🔖 배합비 참조'!$B$1:$CE$1,0))/100,0),""))),"")</f>
        <v>0</v>
      </c>
      <c r="BI135" s="39" t="n">
        <f aca="false">IFERROR(IF($C135="","",IF($D135="","",IFERROR(ROUND($D135*INDEX('🔖 배합비 참조'!$B$2:$CE$83,MATCH("옥수수전분",'🔖 배합비 참조'!$A$2:$A$83,0),MATCH($C135,'🔖 배합비 참조'!$B$1:$CE$1,0))/100,0),""))),"")</f>
        <v>0</v>
      </c>
      <c r="BJ135" s="39" t="n">
        <f aca="false">IFERROR(IF($C135="","",IF($D135="","",IFERROR(ROUND($D135*INDEX('🔖 배합비 참조'!$B$2:$CE$83,MATCH("완두배기",'🔖 배합비 참조'!$A$2:$A$83,0),MATCH($C135,'🔖 배합비 참조'!$B$1:$CE$1,0))/100,0),""))),"")</f>
        <v>0</v>
      </c>
      <c r="BK135" s="39" t="n">
        <f aca="false">IFERROR(IF($C135="","",IF($D135="","",IFERROR(ROUND($D135*INDEX('🔖 배합비 참조'!$B$2:$CE$83,MATCH("우유(국내산)",'🔖 배합비 참조'!$A$2:$A$83,0),MATCH($C135,'🔖 배합비 참조'!$B$1:$CE$1,0))/100,0),""))),"")</f>
        <v>0</v>
      </c>
      <c r="BL135" s="39" t="n">
        <f aca="false">IFERROR(IF($C135="","",IF($D135="","",IFERROR(ROUND($D135*INDEX('🔖 배합비 참조'!$B$2:$CE$83,MATCH("자색고구마가루(중국산)",'🔖 배합비 참조'!$A$2:$A$83,0),MATCH($C135,'🔖 배합비 참조'!$B$1:$CE$1,0))/100,0),""))),"")</f>
        <v>0</v>
      </c>
      <c r="BM135" s="39" t="n">
        <f aca="false">IFERROR(IF($C135="","",IF($D135="","",IFERROR(ROUND($D135*INDEX('🔖 배합비 참조'!$B$2:$CE$83,MATCH("자연치즈(체다치즈)",'🔖 배합비 참조'!$A$2:$A$83,0),MATCH($C135,'🔖 배합비 참조'!$B$1:$CE$1,0))/100,0),""))),"")</f>
        <v>0</v>
      </c>
      <c r="BN135" s="39" t="n">
        <f aca="false">IFERROR(IF($C135="","",IF($D135="","",IFERROR(ROUND($D135*INDEX('🔖 배합비 참조'!$B$2:$CE$83,MATCH("정제수",'🔖 배합비 참조'!$A$2:$A$83,0),MATCH($C135,'🔖 배합비 참조'!$B$1:$CE$1,0))/100,0),""))),"")</f>
        <v>53</v>
      </c>
      <c r="BO135" s="39" t="n">
        <f aca="false">IFERROR(IF($C135="","",IF($D135="","",IFERROR(ROUND($D135*INDEX('🔖 배합비 참조'!$B$2:$CE$83,MATCH("젤라틴",'🔖 배합비 참조'!$A$2:$A$83,0),MATCH($C135,'🔖 배합비 참조'!$B$1:$CE$1,0))/100,0),""))),"")</f>
        <v>0</v>
      </c>
      <c r="BP135" s="39" t="n">
        <f aca="false">IFERROR(IF($C135="","",IF($D135="","",IFERROR(ROUND($D135*INDEX('🔖 배합비 참조'!$B$2:$CE$83,MATCH("조림류(백옥앙금)",'🔖 배합비 참조'!$A$2:$A$83,0),MATCH($C135,'🔖 배합비 참조'!$B$1:$CE$1,0))/100,0),""))),"")</f>
        <v>0</v>
      </c>
      <c r="BQ135" s="39" t="n">
        <f aca="false">IFERROR(IF($C135="","",IF($D135="","",IFERROR(ROUND($D135*INDEX('🔖 배합비 참조'!$B$2:$CE$83,MATCH("조림류(통팥앙금)",'🔖 배합비 참조'!$A$2:$A$83,0),MATCH($C135,'🔖 배합비 참조'!$B$1:$CE$1,0))/100,0),""))),"")</f>
        <v>0</v>
      </c>
      <c r="BR135" s="39" t="n">
        <f aca="false">IFERROR(IF($C135="","",IF($D135="","",IFERROR(ROUND($D135*INDEX('🔖 배합비 참조'!$B$2:$CE$83,MATCH("준초콜릿(외국산)",'🔖 배합비 참조'!$A$2:$A$83,0),MATCH($C135,'🔖 배합비 참조'!$B$1:$CE$1,0))/100,0),""))),"")</f>
        <v>0</v>
      </c>
      <c r="BS135" s="39" t="n">
        <f aca="false">IFERROR(IF($C135="","",IF($D135="","",IFERROR(ROUND($D135*INDEX('🔖 배합비 참조'!$B$2:$CE$83,MATCH("중력분",'🔖 배합비 참조'!$A$2:$A$83,0),MATCH($C135,'🔖 배합비 참조'!$B$1:$CE$1,0))/100,0),""))),"")</f>
        <v>1</v>
      </c>
      <c r="BT135" s="39" t="n">
        <f aca="false">IFERROR(IF($C135="","",IF($D135="","",IFERROR(ROUND($D135*INDEX('🔖 배합비 참조'!$B$2:$CE$83,MATCH("참깨(인도산,나이지리아산,탄자니아산,미얀마산)",'🔖 배합비 참조'!$A$2:$A$83,0),MATCH($C135,'🔖 배합비 참조'!$B$1:$CE$1,0))/100,0),""))),"")</f>
        <v>0</v>
      </c>
      <c r="BU135" s="39" t="n">
        <f aca="false">IFERROR(IF($C135="","",IF($D135="","",IFERROR(ROUND($D135*INDEX('🔖 배합비 참조'!$B$2:$CE$83,MATCH("찹쌀(국내산)",'🔖 배합비 참조'!$A$2:$A$83,0),MATCH($C135,'🔖 배합비 참조'!$B$1:$CE$1,0))/100,0),""))),"")</f>
        <v>67</v>
      </c>
      <c r="BV135" s="39" t="n">
        <f aca="false">IFERROR(IF($C135="","",IF($D135="","",IFERROR(ROUND($D135*INDEX('🔖 배합비 참조'!$B$2:$CE$83,MATCH("천일염",'🔖 배합비 참조'!$A$2:$A$83,0),MATCH($C135,'🔖 배합비 참조'!$B$1:$CE$1,0))/100,0),""))),"")</f>
        <v>1</v>
      </c>
      <c r="BW135" s="39" t="n">
        <f aca="false">IFERROR(IF($C135="","",IF($D135="","",IFERROR(ROUND($D135*INDEX('🔖 배합비 참조'!$B$2:$CE$83,MATCH("치즈 [크림치즈]",'🔖 배합비 참조'!$A$2:$A$83,0),MATCH($C135,'🔖 배합비 참조'!$B$1:$CE$1,0))/100,0),""))),"")</f>
        <v>0</v>
      </c>
      <c r="BX135" s="39" t="n">
        <f aca="false">IFERROR(IF($C135="","",IF($D135="","",IFERROR(ROUND($D135*INDEX('🔖 배합비 참조'!$B$2:$CE$83,MATCH("코코아가공품류(코코아분말)",'🔖 배합비 참조'!$A$2:$A$83,0),MATCH($C135,'🔖 배합비 참조'!$B$1:$CE$1,0))/100,0),""))),"")</f>
        <v>0</v>
      </c>
      <c r="BY135" s="39" t="n">
        <f aca="false">IFERROR(IF($C135="","",IF($D135="","",IFERROR(ROUND($D135*INDEX('🔖 배합비 참조'!$B$2:$CE$83,MATCH("콩기름(대두유)",'🔖 배합비 참조'!$A$2:$A$83,0),MATCH($C135,'🔖 배합비 참조'!$B$1:$CE$1,0))/100,0),""))),"")</f>
        <v>0</v>
      </c>
      <c r="BZ135" s="39" t="n">
        <f aca="false">IFERROR(IF($C135="","",IF($D135="","",IFERROR(ROUND($D135*INDEX('🔖 배합비 참조'!$B$2:$CE$83,MATCH("해바라기씨앗",'🔖 배합비 참조'!$A$2:$A$83,0),MATCH($C135,'🔖 배합비 참조'!$B$1:$CE$1,0))/100,0),""))),"")</f>
        <v>0</v>
      </c>
      <c r="CA135" s="39" t="n">
        <f aca="false">IFERROR(IF($C135="","",IF($D135="","",IFERROR(ROUND($D135*INDEX('🔖 배합비 참조'!$B$2:$CE$83,MATCH("현미(국내산)",'🔖 배합비 참조'!$A$2:$A$83,0),MATCH($C135,'🔖 배합비 참조'!$B$1:$CE$1,0))/100,0),""))),"")</f>
        <v>0</v>
      </c>
      <c r="CB135" s="39" t="n">
        <f aca="false">IFERROR(IF($C135="","",IF($D135="","",IFERROR(ROUND($D135*INDEX('🔖 배합비 참조'!$B$2:$CE$83,MATCH("현미멥쌀(국내산)",'🔖 배합비 참조'!$A$2:$A$83,0),MATCH($C135,'🔖 배합비 참조'!$B$1:$CE$1,0))/100,0),""))),"")</f>
        <v>0</v>
      </c>
      <c r="CC135" s="39" t="n">
        <f aca="false">IFERROR(IF($C135="","",IF($D135="","",IFERROR(ROUND($D135*INDEX('🔖 배합비 참조'!$B$2:$CE$83,MATCH("호두분태(미국산)",'🔖 배합비 참조'!$A$2:$A$83,0),MATCH($C135,'🔖 배합비 참조'!$B$1:$CE$1,0))/100,0),""))),"")</f>
        <v>0</v>
      </c>
      <c r="CD135" s="39" t="n">
        <f aca="false">IFERROR(IF($C135="","",IF($D135="","",IFERROR(ROUND($D135*INDEX('🔖 배합비 참조'!$B$2:$CE$83,MATCH("호박씨앗(외국산)",'🔖 배합비 참조'!$A$2:$A$83,0),MATCH($C135,'🔖 배합비 참조'!$B$1:$CE$1,0))/100,0),""))),"")</f>
        <v>0</v>
      </c>
      <c r="CE135" s="39" t="n">
        <f aca="false">IFERROR(IF($C135="","",IF($D135="","",IFERROR(ROUND($D135*INDEX('🔖 배합비 참조'!$B$2:$CE$83,MATCH("혼합제제(떡용에스텔)",'🔖 배합비 참조'!$A$2:$A$83,0),MATCH($C135,'🔖 배합비 참조'!$B$1:$CE$1,0))/100,0),""))),"")</f>
        <v>1</v>
      </c>
      <c r="CF135" s="39" t="n">
        <f aca="false">IFERROR(IF($C135="","",IF($D135="","",IFERROR(ROUND($D135*INDEX('🔖 배합비 참조'!$B$2:$CE$83,MATCH("혼합제제(스테비아)",'🔖 배합비 참조'!$A$2:$A$83,0),MATCH($C135,'🔖 배합비 참조'!$B$1:$CE$1,0))/100,0),""))),"")</f>
        <v>0</v>
      </c>
      <c r="CG135" s="39" t="n">
        <f aca="false">IFERROR(IF($C135="","",IF($D135="","",IFERROR(ROUND($D135*INDEX('🔖 배합비 참조'!$B$2:$CE$83,MATCH("화이트초콜릿",'🔖 배합비 참조'!$A$2:$A$83,0),MATCH($C135,'🔖 배합비 참조'!$B$1:$CE$1,0))/100,0),""))),"")</f>
        <v>0</v>
      </c>
      <c r="CH135" s="39" t="n">
        <f aca="false">IFERROR(IF($C135="","",IF($D135="","",IFERROR(ROUND($D135*INDEX('🔖 배합비 참조'!$B$2:$CE$83,MATCH("흑미찹쌀(국내산)",'🔖 배합비 참조'!$A$2:$A$83,0),MATCH($C135,'🔖 배합비 참조'!$B$1:$CE$1,0))/100,0),""))),"")</f>
        <v>0</v>
      </c>
      <c r="CI135" s="39" t="n">
        <f aca="false">IFERROR(IF($C135="","",IF($D135="","",IFERROR(ROUND($D135*INDEX('🔖 배합비 참조'!$B$2:$CE$83,MATCH("찰옥수수전분(미국산)",'🔖 배합비 참조'!$A$2:$A$83,0),MATCH($C135,'🔖 배합비 참조'!$B$1:$CE$1,0))/100,0),""))),"")</f>
        <v>0</v>
      </c>
      <c r="CJ135" s="40"/>
      <c r="CL135" s="1" t="s">
        <v>239</v>
      </c>
    </row>
    <row r="136" customFormat="false" ht="18" hidden="false" customHeight="true" outlineLevel="0" collapsed="false">
      <c r="A136" s="41" t="n">
        <v>132</v>
      </c>
      <c r="B136" s="36" t="n">
        <v>46013</v>
      </c>
      <c r="C136" s="37" t="s">
        <v>183</v>
      </c>
      <c r="D136" s="38" t="n">
        <v>140</v>
      </c>
      <c r="E136" s="17"/>
      <c r="F136" s="17"/>
      <c r="G136" s="42" t="n">
        <f aca="false">IFERROR(IF($C136="","",IF($D136="","",IFERROR(ROUND($D136*INDEX('🔖 배합비 참조'!$B$2:$CE$83,MATCH("간장",'🔖 배합비 참조'!$A$2:$A$83,0),MATCH($C136,'🔖 배합비 참조'!$B$1:$CE$1,0))/100,0),""))),"")</f>
        <v>0</v>
      </c>
      <c r="H136" s="42" t="n">
        <f aca="false">IFERROR(IF($C136="","",IF($D136="","",IFERROR(ROUND($D136*INDEX('🔖 배합비 참조'!$B$2:$CE$83,MATCH("강낭콩((울타리콩))",'🔖 배합비 참조'!$A$2:$A$83,0),MATCH($C136,'🔖 배합비 참조'!$B$1:$CE$1,0))/100,0),""))),"")</f>
        <v>0</v>
      </c>
      <c r="I136" s="42" t="n">
        <f aca="false">IFERROR(IF($C136="","",IF($D136="","",IFERROR(ROUND($D136*INDEX('🔖 배합비 참조'!$B$2:$CE$83,MATCH("건조딸기다이스(외국산)",'🔖 배합비 참조'!$A$2:$A$83,0),MATCH($C136,'🔖 배합비 참조'!$B$1:$CE$1,0))/100,0),""))),"")</f>
        <v>0</v>
      </c>
      <c r="J136" s="42" t="n">
        <f aca="false">IFERROR(IF($C136="","",IF($D136="","",IFERROR(ROUND($D136*INDEX('🔖 배합비 참조'!$B$2:$CE$83,MATCH("건포도",'🔖 배합비 참조'!$A$2:$A$83,0),MATCH($C136,'🔖 배합비 참조'!$B$1:$CE$1,0))/100,0),""))),"")</f>
        <v>0</v>
      </c>
      <c r="K136" s="42" t="n">
        <f aca="false">IFERROR(IF($C136="","",IF($D136="","",IFERROR(ROUND($D136*INDEX('🔖 배합비 참조'!$B$2:$CE$83,MATCH("건호박채(중국산)",'🔖 배합비 참조'!$A$2:$A$83,0),MATCH($C136,'🔖 배합비 참조'!$B$1:$CE$1,0))/100,0),""))),"")</f>
        <v>0</v>
      </c>
      <c r="L136" s="42" t="n">
        <f aca="false">IFERROR(IF($C136="","",IF($D136="","",IFERROR(ROUND($D136*INDEX('🔖 배합비 참조'!$B$2:$CE$83,MATCH("검정깨(흑임자)",'🔖 배합비 참조'!$A$2:$A$83,0),MATCH($C136,'🔖 배합비 참조'!$B$1:$CE$1,0))/100,0),""))),"")</f>
        <v>0</v>
      </c>
      <c r="M136" s="42" t="n">
        <f aca="false">IFERROR(IF($C136="","",IF($D136="","",IFERROR(ROUND($D136*INDEX('🔖 배합비 참조'!$B$2:$CE$83,MATCH("검정콩",'🔖 배합비 참조'!$A$2:$A$83,0),MATCH($C136,'🔖 배합비 참조'!$B$1:$CE$1,0))/100,0),""))),"")</f>
        <v>0</v>
      </c>
      <c r="N136" s="42" t="n">
        <f aca="false">IFERROR(IF($C136="","",IF($D136="","",IFERROR(ROUND($D136*INDEX('🔖 배합비 참조'!$B$2:$CE$83,MATCH("계피가루",'🔖 배합비 참조'!$A$2:$A$83,0),MATCH($C136,'🔖 배합비 참조'!$B$1:$CE$1,0))/100,0),""))),"")</f>
        <v>0</v>
      </c>
      <c r="O136" s="42" t="n">
        <f aca="false">IFERROR(IF($C136="","",IF($D136="","",IFERROR(ROUND($D136*INDEX('🔖 배합비 참조'!$B$2:$CE$83,MATCH("고구마가루",'🔖 배합비 참조'!$A$2:$A$83,0),MATCH($C136,'🔖 배합비 참조'!$B$1:$CE$1,0))/100,0),""))),"")</f>
        <v>0</v>
      </c>
      <c r="P136" s="42" t="n">
        <f aca="false">IFERROR(IF($C136="","",IF($D136="","",IFERROR(ROUND($D136*INDEX('🔖 배합비 참조'!$B$2:$CE$83,MATCH("고구마무스",'🔖 배합비 참조'!$A$2:$A$83,0),MATCH($C136,'🔖 배합비 참조'!$B$1:$CE$1,0))/100,0),""))),"")</f>
        <v>0</v>
      </c>
      <c r="Q136" s="42" t="n">
        <f aca="false">IFERROR(IF($C136="","",IF($D136="","",IFERROR(ROUND($D136*INDEX('🔖 배합비 참조'!$B$2:$CE$83,MATCH("고려엉겅퀴((곤드레)국내산)",'🔖 배합비 참조'!$A$2:$A$83,0),MATCH($C136,'🔖 배합비 참조'!$B$1:$CE$1,0))/100,0),""))),"")</f>
        <v>0</v>
      </c>
      <c r="R136" s="42" t="n">
        <f aca="false">IFERROR(IF($C136="","",IF($D136="","",IFERROR(ROUND($D136*INDEX('🔖 배합비 참조'!$B$2:$CE$83,MATCH("기타가공품(복분자가루)",'🔖 배합비 참조'!$A$2:$A$83,0),MATCH($C136,'🔖 배합비 참조'!$B$1:$CE$1,0))/100,0),""))),"")</f>
        <v>0</v>
      </c>
      <c r="S136" s="42" t="n">
        <f aca="false">IFERROR(IF($C136="","",IF($D136="","",IFERROR(ROUND($D136*INDEX('🔖 배합비 참조'!$B$2:$CE$83,MATCH("기타가공품(슈퍼소프트엠)",'🔖 배합비 참조'!$A$2:$A$83,0),MATCH($C136,'🔖 배합비 참조'!$B$1:$CE$1,0))/100,0),""))),"")</f>
        <v>0</v>
      </c>
      <c r="T136" s="42" t="n">
        <f aca="false">IFERROR(IF($C136="","",IF($D136="","",IFERROR(ROUND($D136*INDEX('🔖 배합비 참조'!$B$2:$CE$83,MATCH("기타가공품(파인소프트 E-티)",'🔖 배합비 참조'!$A$2:$A$83,0),MATCH($C136,'🔖 배합비 참조'!$B$1:$CE$1,0))/100,0),""))),"")</f>
        <v>0</v>
      </c>
      <c r="U136" s="42" t="n">
        <f aca="false">IFERROR(IF($C136="","",IF($D136="","",IFERROR(ROUND($D136*INDEX('🔖 배합비 참조'!$B$2:$CE$83,MATCH("기타가공품(프리미엄카스테라가루)",'🔖 배합비 참조'!$A$2:$A$83,0),MATCH($C136,'🔖 배합비 참조'!$B$1:$CE$1,0))/100,0),""))),"")</f>
        <v>0</v>
      </c>
      <c r="V136" s="42" t="n">
        <f aca="false">IFERROR(IF($C136="","",IF($D136="","",IFERROR(ROUND($D136*INDEX('🔖 배합비 참조'!$B$2:$CE$83,MATCH("기타가공품(흑임자가루)",'🔖 배합비 참조'!$A$2:$A$83,0),MATCH($C136,'🔖 배합비 참조'!$B$1:$CE$1,0))/100,0),""))),"")</f>
        <v>0</v>
      </c>
      <c r="W136" s="42" t="n">
        <f aca="false">IFERROR(IF($C136="","",IF($D136="","",IFERROR(ROUND($D136*INDEX('🔖 배합비 참조'!$B$2:$CE$83,MATCH("기타설탕(흑설탕)",'🔖 배합비 참조'!$A$2:$A$83,0),MATCH($C136,'🔖 배합비 참조'!$B$1:$CE$1,0))/100,0),""))),"")</f>
        <v>0</v>
      </c>
      <c r="X136" s="42" t="n">
        <f aca="false">IFERROR(IF($C136="","",IF($D136="","",IFERROR(ROUND($D136*INDEX('🔖 배합비 참조'!$B$2:$CE$83,MATCH("냉동쑥(국내산)",'🔖 배합비 참조'!$A$2:$A$83,0),MATCH($C136,'🔖 배합비 참조'!$B$1:$CE$1,0))/100,0),""))),"")</f>
        <v>0</v>
      </c>
      <c r="Y136" s="42" t="n">
        <f aca="false">IFERROR(IF($C136="","",IF($D136="","",IFERROR(ROUND($D136*INDEX('🔖 배합비 참조'!$B$2:$CE$83,MATCH("냉동증숙고구마(중국산)",'🔖 배합비 참조'!$A$2:$A$83,0),MATCH($C136,'🔖 배합비 참조'!$B$1:$CE$1,0))/100,0),""))),"")</f>
        <v>0</v>
      </c>
      <c r="Z136" s="42" t="n">
        <f aca="false">IFERROR(IF($C136="","",IF($D136="","",IFERROR(ROUND($D136*INDEX('🔖 배합비 참조'!$B$2:$CE$83,MATCH("녹차가루",'🔖 배합비 참조'!$A$2:$A$83,0),MATCH($C136,'🔖 배합비 참조'!$B$1:$CE$1,0))/100,0),""))),"")</f>
        <v>0</v>
      </c>
      <c r="AA136" s="42" t="n">
        <f aca="false">IFERROR(IF($C136="","",IF($D136="","",IFERROR(ROUND($D136*INDEX('🔖 배합비 참조'!$B$2:$CE$83,MATCH("다크초콜릿 컴파운드칩",'🔖 배합비 참조'!$A$2:$A$83,0),MATCH($C136,'🔖 배합비 참조'!$B$1:$CE$1,0))/100,0),""))),"")</f>
        <v>0</v>
      </c>
      <c r="AB136" s="42" t="n">
        <f aca="false">IFERROR(IF($C136="","",IF($D136="","",IFERROR(ROUND($D136*INDEX('🔖 배합비 참조'!$B$2:$CE$83,MATCH("단호박분말(중국산)",'🔖 배합비 참조'!$A$2:$A$83,0),MATCH($C136,'🔖 배합비 참조'!$B$1:$CE$1,0))/100,0),""))),"")</f>
        <v>0</v>
      </c>
      <c r="AC136" s="42" t="n">
        <f aca="false">IFERROR(IF($C136="","",IF($D136="","",IFERROR(ROUND($D136*INDEX('🔖 배합비 참조'!$B$2:$CE$83,MATCH("당류가공품(단호박농축액)",'🔖 배합비 참조'!$A$2:$A$83,0),MATCH($C136,'🔖 배합비 참조'!$B$1:$CE$1,0))/100,0),""))),"")</f>
        <v>0</v>
      </c>
      <c r="AD136" s="42" t="n">
        <f aca="false">IFERROR(IF($C136="","",IF($D136="","",IFERROR(ROUND($D136*INDEX('🔖 배합비 참조'!$B$2:$CE$83,MATCH("당류가공품(알룰로스,에리스리톨,스테비올배당체혼합)",'🔖 배합비 참조'!$A$2:$A$83,0),MATCH($C136,'🔖 배합비 참조'!$B$1:$CE$1,0))/100,0),""))),"")</f>
        <v>0</v>
      </c>
      <c r="AE136" s="42" t="n">
        <f aca="false">IFERROR(IF($C136="","",IF($D136="","",IFERROR(ROUND($D136*INDEX('🔖 배합비 참조'!$B$2:$CE$83,MATCH("당류가공품(알룰로스제로파우더)",'🔖 배합비 참조'!$A$2:$A$83,0),MATCH($C136,'🔖 배합비 참조'!$B$1:$CE$1,0))/100,0),""))),"")</f>
        <v>0</v>
      </c>
      <c r="AF136" s="42" t="n">
        <f aca="false">IFERROR(IF($C136="","",IF($D136="","",IFERROR(ROUND($D136*INDEX('🔖 배합비 참조'!$B$2:$CE$83,MATCH("당절임(완두배기)",'🔖 배합비 참조'!$A$2:$A$83,0),MATCH($C136,'🔖 배합비 참조'!$B$1:$CE$1,0))/100,0),""))),"")</f>
        <v>0</v>
      </c>
      <c r="AG136" s="42" t="n">
        <f aca="false">IFERROR(IF($C136="","",IF($D136="","",IFERROR(ROUND($D136*INDEX('🔖 배합비 참조'!$B$2:$CE$83,MATCH("대추농축액",'🔖 배합비 참조'!$A$2:$A$83,0),MATCH($C136,'🔖 배합비 참조'!$B$1:$CE$1,0))/100,0),""))),"")</f>
        <v>0</v>
      </c>
      <c r="AH136" s="42" t="n">
        <f aca="false">IFERROR(IF($C136="","",IF($D136="","",IFERROR(ROUND($D136*INDEX('🔖 배합비 참조'!$B$2:$CE$83,MATCH("대추채(국내산)",'🔖 배합비 참조'!$A$2:$A$83,0),MATCH($C136,'🔖 배합비 참조'!$B$1:$CE$1,0))/100,0),""))),"")</f>
        <v>0</v>
      </c>
      <c r="AI136" s="42" t="n">
        <f aca="false">IFERROR(IF($C136="","",IF($D136="","",IFERROR(ROUND($D136*INDEX('🔖 배합비 참조'!$B$2:$CE$83,MATCH("동부(미얀마산)",'🔖 배합비 참조'!$A$2:$A$83,0),MATCH($C136,'🔖 배합비 참조'!$B$1:$CE$1,0))/100,0),""))),"")</f>
        <v>0</v>
      </c>
      <c r="AJ136" s="42" t="n">
        <f aca="false">IFERROR(IF($C136="","",IF($D136="","",IFERROR(ROUND($D136*INDEX('🔖 배합비 참조'!$B$2:$CE$83,MATCH("두류가공품(백옥앙금)",'🔖 배합비 참조'!$A$2:$A$83,0),MATCH($C136,'🔖 배합비 참조'!$B$1:$CE$1,0))/100,0),""))),"")</f>
        <v>0</v>
      </c>
      <c r="AK136" s="42" t="n">
        <f aca="false">IFERROR(IF($C136="","",IF($D136="","",IFERROR(ROUND($D136*INDEX('🔖 배합비 참조'!$B$2:$CE$83,MATCH("두류가공품(콩고물)",'🔖 배합비 참조'!$A$2:$A$83,0),MATCH($C136,'🔖 배합비 참조'!$B$1:$CE$1,0))/100,0),""))),"")</f>
        <v>0</v>
      </c>
      <c r="AL136" s="42" t="n">
        <f aca="false">IFERROR(IF($C136="","",IF($D136="","",IFERROR(ROUND($D136*INDEX('🔖 배합비 참조'!$B$2:$CE$83,MATCH("두류가공품(통팥고물)",'🔖 배합비 참조'!$A$2:$A$83,0),MATCH($C136,'🔖 배합비 참조'!$B$1:$CE$1,0))/100,0),""))),"")</f>
        <v>0</v>
      </c>
      <c r="AM136" s="42" t="n">
        <f aca="false">IFERROR(IF($C136="","",IF($D136="","",IFERROR(ROUND($D136*INDEX('🔖 배합비 참조'!$B$2:$CE$83,MATCH("딸기레진",'🔖 배합비 참조'!$A$2:$A$83,0),MATCH($C136,'🔖 배합비 참조'!$B$1:$CE$1,0))/100,0),""))),"")</f>
        <v>0</v>
      </c>
      <c r="AN136" s="42" t="n">
        <f aca="false">IFERROR(IF($C136="","",IF($D136="","",IFERROR(ROUND($D136*INDEX('🔖 배합비 참조'!$B$2:$CE$83,MATCH("딸기분말(스트로우베리에이드(분말))",'🔖 배합비 참조'!$A$2:$A$83,0),MATCH($C136,'🔖 배합비 참조'!$B$1:$CE$1,0))/100,0),""))),"")</f>
        <v>0</v>
      </c>
      <c r="AO136" s="42" t="n">
        <f aca="false">IFERROR(IF($C136="","",IF($D136="","",IFERROR(ROUND($D136*INDEX('🔖 배합비 참조'!$B$2:$CE$83,MATCH("마스카포네치즈",'🔖 배합비 참조'!$A$2:$A$83,0),MATCH($C136,'🔖 배합비 참조'!$B$1:$CE$1,0))/100,0),""))),"")</f>
        <v>0</v>
      </c>
      <c r="AP136" s="42" t="n">
        <f aca="false">IFERROR(IF($C136="","",IF($D136="","",IFERROR(ROUND($D136*INDEX('🔖 배합비 참조'!$B$2:$CE$83,MATCH("마카다미아분태(호주산)",'🔖 배합비 참조'!$A$2:$A$83,0),MATCH($C136,'🔖 배합비 참조'!$B$1:$CE$1,0))/100,0),""))),"")</f>
        <v>0</v>
      </c>
      <c r="AQ136" s="42" t="n">
        <f aca="false">IFERROR(IF($C136="","",IF($D136="","",IFERROR(ROUND($D136*INDEX('🔖 배합비 참조'!$B$2:$CE$83,MATCH("멥쌀(국내산)",'🔖 배합비 참조'!$A$2:$A$83,0),MATCH($C136,'🔖 배합비 참조'!$B$1:$CE$1,0))/100,0),""))),"")</f>
        <v>0</v>
      </c>
      <c r="AR136" s="42" t="n">
        <f aca="false">IFERROR(IF($C136="","",IF($D136="","",IFERROR(ROUND($D136*INDEX('🔖 배합비 참조'!$B$2:$CE$83,MATCH("모시잎(국내산)",'🔖 배합비 참조'!$A$2:$A$83,0),MATCH($C136,'🔖 배합비 참조'!$B$1:$CE$1,0))/100,0),""))),"")</f>
        <v>0</v>
      </c>
      <c r="AS136" s="42" t="n">
        <f aca="false">IFERROR(IF($C136="","",IF($D136="","",IFERROR(ROUND($D136*INDEX('🔖 배합비 참조'!$B$2:$CE$83,MATCH("물엿(저당물엿)",'🔖 배합비 참조'!$A$2:$A$83,0),MATCH($C136,'🔖 배합비 참조'!$B$1:$CE$1,0))/100,0),""))),"")</f>
        <v>3</v>
      </c>
      <c r="AT136" s="42" t="n">
        <f aca="false">IFERROR(IF($C136="","",IF($D136="","",IFERROR(ROUND($D136*INDEX('🔖 배합비 참조'!$B$2:$CE$83,MATCH("밤다이스",'🔖 배합비 참조'!$A$2:$A$83,0),MATCH($C136,'🔖 배합비 참조'!$B$1:$CE$1,0))/100,0),""))),"")</f>
        <v>0</v>
      </c>
      <c r="AU136" s="42" t="n">
        <f aca="false">IFERROR(IF($C136="","",IF($D136="","",IFERROR(ROUND($D136*INDEX('🔖 배합비 참조'!$B$2:$CE$83,MATCH("변성전분(타피오카전분)",'🔖 배합비 참조'!$A$2:$A$83,0),MATCH($C136,'🔖 배합비 참조'!$B$1:$CE$1,0))/100,0),""))),"")</f>
        <v>0</v>
      </c>
      <c r="AV136" s="42" t="n">
        <f aca="false">IFERROR(IF($C136="","",IF($D136="","",IFERROR(ROUND($D136*INDEX('🔖 배합비 참조'!$B$2:$CE$83,MATCH("복음땅콩분태",'🔖 배합비 참조'!$A$2:$A$83,0),MATCH($C136,'🔖 배합비 참조'!$B$1:$CE$1,0))/100,0),""))),"")</f>
        <v>0</v>
      </c>
      <c r="AW136" s="42" t="n">
        <f aca="false">IFERROR(IF($C136="","",IF($D136="","",IFERROR(ROUND($D136*INDEX('🔖 배합비 참조'!$B$2:$CE$83,MATCH("사양벌꿀(국내산)",'🔖 배합비 참조'!$A$2:$A$83,0),MATCH($C136,'🔖 배합비 참조'!$B$1:$CE$1,0))/100,0),""))),"")</f>
        <v>0</v>
      </c>
      <c r="AX136" s="42" t="n">
        <f aca="false">IFERROR(IF($C136="","",IF($D136="","",IFERROR(ROUND($D136*INDEX('🔖 배합비 참조'!$B$2:$CE$83,MATCH("생크림",'🔖 배합비 참조'!$A$2:$A$83,0),MATCH($C136,'🔖 배합비 참조'!$B$1:$CE$1,0))/100,0),""))),"")</f>
        <v>0</v>
      </c>
      <c r="AY136" s="42" t="n">
        <f aca="false">IFERROR(IF($C136="","",IF($D136="","",IFERROR(ROUND($D136*INDEX('🔖 배합비 참조'!$B$2:$CE$83,MATCH("서양호박(국내산,뉴질랜드산)",'🔖 배합비 참조'!$A$2:$A$83,0),MATCH($C136,'🔖 배합비 참조'!$B$1:$CE$1,0))/100,0),""))),"")</f>
        <v>0</v>
      </c>
      <c r="AZ136" s="42" t="n">
        <f aca="false">IFERROR(IF($C136="","",IF($D136="","",IFERROR(ROUND($D136*INDEX('🔖 배합비 참조'!$B$2:$CE$83,MATCH("설탕",'🔖 배합비 참조'!$A$2:$A$83,0),MATCH($C136,'🔖 배합비 참조'!$B$1:$CE$1,0))/100,0),""))),"")</f>
        <v>3</v>
      </c>
      <c r="BA136" s="42" t="n">
        <f aca="false">IFERROR(IF($C136="","",IF($D136="","",IFERROR(ROUND($D136*INDEX('🔖 배합비 참조'!$B$2:$CE$83,MATCH("스트로우베리 에이드 후레쉬",'🔖 배합비 참조'!$A$2:$A$83,0),MATCH($C136,'🔖 배합비 참조'!$B$1:$CE$1,0))/100,0),""))),"")</f>
        <v>0</v>
      </c>
      <c r="BB136" s="42" t="n">
        <f aca="false">IFERROR(IF($C136="","",IF($D136="","",IFERROR(ROUND($D136*INDEX('🔖 배합비 참조'!$B$2:$CE$83,MATCH("식물성기름혼합제제(분홍)",'🔖 배합비 참조'!$A$2:$A$83,0),MATCH($C136,'🔖 배합비 참조'!$B$1:$CE$1,0))/100,0),""))),"")</f>
        <v>0</v>
      </c>
      <c r="BC136" s="42" t="n">
        <f aca="false">IFERROR(IF($C136="","",IF($D136="","",IFERROR(ROUND($D136*INDEX('🔖 배합비 참조'!$B$2:$CE$83,MATCH("식물성기름혼합제제(초록)",'🔖 배합비 참조'!$A$2:$A$83,0),MATCH($C136,'🔖 배합비 참조'!$B$1:$CE$1,0))/100,0),""))),"")</f>
        <v>0</v>
      </c>
      <c r="BD136" s="42" t="n">
        <f aca="false">IFERROR(IF($C136="","",IF($D136="","",IFERROR(ROUND($D136*INDEX('🔖 배합비 참조'!$B$2:$CE$83,MATCH("식물성기름혼합제제(황색)",'🔖 배합비 참조'!$A$2:$A$83,0),MATCH($C136,'🔖 배합비 참조'!$B$1:$CE$1,0))/100,0),""))),"")</f>
        <v>0</v>
      </c>
      <c r="BE136" s="42" t="n">
        <f aca="false">IFERROR(IF($C136="","",IF($D136="","",IFERROR(ROUND($D136*INDEX('🔖 배합비 참조'!$B$2:$CE$83,MATCH("쑥가루(국내산)",'🔖 배합비 참조'!$A$2:$A$83,0),MATCH($C136,'🔖 배합비 참조'!$B$1:$CE$1,0))/100,0),""))),"")</f>
        <v>0</v>
      </c>
      <c r="BF136" s="42" t="n">
        <f aca="false">IFERROR(IF($C136="","",IF($D136="","",IFERROR(ROUND($D136*INDEX('🔖 배합비 참조'!$B$2:$CE$83,MATCH("아몬드슬라이스",'🔖 배합비 참조'!$A$2:$A$83,0),MATCH($C136,'🔖 배합비 참조'!$B$1:$CE$1,0))/100,0),""))),"")</f>
        <v>0</v>
      </c>
      <c r="BG136" s="42" t="n">
        <f aca="false">IFERROR(IF($C136="","",IF($D136="","",IFERROR(ROUND($D136*INDEX('🔖 배합비 참조'!$B$2:$CE$83,MATCH("알룰로오스(국내산)",'🔖 배합비 참조'!$A$2:$A$83,0),MATCH($C136,'🔖 배합비 참조'!$B$1:$CE$1,0))/100,0),""))),"")</f>
        <v>0</v>
      </c>
      <c r="BH136" s="42" t="n">
        <f aca="false">IFERROR(IF($C136="","",IF($D136="","",IFERROR(ROUND($D136*INDEX('🔖 배합비 참조'!$B$2:$CE$83,MATCH("연유",'🔖 배합비 참조'!$A$2:$A$83,0),MATCH($C136,'🔖 배합비 참조'!$B$1:$CE$1,0))/100,0),""))),"")</f>
        <v>0</v>
      </c>
      <c r="BI136" s="42" t="n">
        <f aca="false">IFERROR(IF($C136="","",IF($D136="","",IFERROR(ROUND($D136*INDEX('🔖 배합비 참조'!$B$2:$CE$83,MATCH("옥수수전분",'🔖 배합비 참조'!$A$2:$A$83,0),MATCH($C136,'🔖 배합비 참조'!$B$1:$CE$1,0))/100,0),""))),"")</f>
        <v>2</v>
      </c>
      <c r="BJ136" s="42" t="n">
        <f aca="false">IFERROR(IF($C136="","",IF($D136="","",IFERROR(ROUND($D136*INDEX('🔖 배합비 참조'!$B$2:$CE$83,MATCH("완두배기",'🔖 배합비 참조'!$A$2:$A$83,0),MATCH($C136,'🔖 배합비 참조'!$B$1:$CE$1,0))/100,0),""))),"")</f>
        <v>0</v>
      </c>
      <c r="BK136" s="42" t="n">
        <f aca="false">IFERROR(IF($C136="","",IF($D136="","",IFERROR(ROUND($D136*INDEX('🔖 배합비 참조'!$B$2:$CE$83,MATCH("우유(국내산)",'🔖 배합비 참조'!$A$2:$A$83,0),MATCH($C136,'🔖 배합비 참조'!$B$1:$CE$1,0))/100,0),""))),"")</f>
        <v>0</v>
      </c>
      <c r="BL136" s="42" t="n">
        <f aca="false">IFERROR(IF($C136="","",IF($D136="","",IFERROR(ROUND($D136*INDEX('🔖 배합비 참조'!$B$2:$CE$83,MATCH("자색고구마가루(중국산)",'🔖 배합비 참조'!$A$2:$A$83,0),MATCH($C136,'🔖 배합비 참조'!$B$1:$CE$1,0))/100,0),""))),"")</f>
        <v>0</v>
      </c>
      <c r="BM136" s="42" t="n">
        <f aca="false">IFERROR(IF($C136="","",IF($D136="","",IFERROR(ROUND($D136*INDEX('🔖 배합비 참조'!$B$2:$CE$83,MATCH("자연치즈(체다치즈)",'🔖 배합비 참조'!$A$2:$A$83,0),MATCH($C136,'🔖 배합비 참조'!$B$1:$CE$1,0))/100,0),""))),"")</f>
        <v>0</v>
      </c>
      <c r="BN136" s="42" t="n">
        <f aca="false">IFERROR(IF($C136="","",IF($D136="","",IFERROR(ROUND($D136*INDEX('🔖 배합비 참조'!$B$2:$CE$83,MATCH("정제수",'🔖 배합비 참조'!$A$2:$A$83,0),MATCH($C136,'🔖 배합비 참조'!$B$1:$CE$1,0))/100,0),""))),"")</f>
        <v>0</v>
      </c>
      <c r="BO136" s="42" t="n">
        <f aca="false">IFERROR(IF($C136="","",IF($D136="","",IFERROR(ROUND($D136*INDEX('🔖 배합비 참조'!$B$2:$CE$83,MATCH("젤라틴",'🔖 배합비 참조'!$A$2:$A$83,0),MATCH($C136,'🔖 배합비 참조'!$B$1:$CE$1,0))/100,0),""))),"")</f>
        <v>0</v>
      </c>
      <c r="BP136" s="42" t="n">
        <f aca="false">IFERROR(IF($C136="","",IF($D136="","",IFERROR(ROUND($D136*INDEX('🔖 배합비 참조'!$B$2:$CE$83,MATCH("조림류(백옥앙금)",'🔖 배합비 참조'!$A$2:$A$83,0),MATCH($C136,'🔖 배합비 참조'!$B$1:$CE$1,0))/100,0),""))),"")</f>
        <v>0</v>
      </c>
      <c r="BQ136" s="42" t="n">
        <f aca="false">IFERROR(IF($C136="","",IF($D136="","",IFERROR(ROUND($D136*INDEX('🔖 배합비 참조'!$B$2:$CE$83,MATCH("조림류(통팥앙금)",'🔖 배합비 참조'!$A$2:$A$83,0),MATCH($C136,'🔖 배합비 참조'!$B$1:$CE$1,0))/100,0),""))),"")</f>
        <v>63</v>
      </c>
      <c r="BR136" s="42" t="n">
        <f aca="false">IFERROR(IF($C136="","",IF($D136="","",IFERROR(ROUND($D136*INDEX('🔖 배합비 참조'!$B$2:$CE$83,MATCH("준초콜릿(외국산)",'🔖 배합비 참조'!$A$2:$A$83,0),MATCH($C136,'🔖 배합비 참조'!$B$1:$CE$1,0))/100,0),""))),"")</f>
        <v>0</v>
      </c>
      <c r="BS136" s="42" t="n">
        <f aca="false">IFERROR(IF($C136="","",IF($D136="","",IFERROR(ROUND($D136*INDEX('🔖 배합비 참조'!$B$2:$CE$83,MATCH("중력분",'🔖 배합비 참조'!$A$2:$A$83,0),MATCH($C136,'🔖 배합비 참조'!$B$1:$CE$1,0))/100,0),""))),"")</f>
        <v>0</v>
      </c>
      <c r="BT136" s="42" t="n">
        <f aca="false">IFERROR(IF($C136="","",IF($D136="","",IFERROR(ROUND($D136*INDEX('🔖 배합비 참조'!$B$2:$CE$83,MATCH("참깨(인도산,나이지리아산,탄자니아산,미얀마산)",'🔖 배합비 참조'!$A$2:$A$83,0),MATCH($C136,'🔖 배합비 참조'!$B$1:$CE$1,0))/100,0),""))),"")</f>
        <v>0</v>
      </c>
      <c r="BU136" s="42" t="n">
        <f aca="false">IFERROR(IF($C136="","",IF($D136="","",IFERROR(ROUND($D136*INDEX('🔖 배합비 참조'!$B$2:$CE$83,MATCH("찹쌀(국내산)",'🔖 배합비 참조'!$A$2:$A$83,0),MATCH($C136,'🔖 배합비 참조'!$B$1:$CE$1,0))/100,0),""))),"")</f>
        <v>67</v>
      </c>
      <c r="BV136" s="42" t="n">
        <f aca="false">IFERROR(IF($C136="","",IF($D136="","",IFERROR(ROUND($D136*INDEX('🔖 배합비 참조'!$B$2:$CE$83,MATCH("천일염",'🔖 배합비 참조'!$A$2:$A$83,0),MATCH($C136,'🔖 배합비 참조'!$B$1:$CE$1,0))/100,0),""))),"")</f>
        <v>1</v>
      </c>
      <c r="BW136" s="42" t="n">
        <f aca="false">IFERROR(IF($C136="","",IF($D136="","",IFERROR(ROUND($D136*INDEX('🔖 배합비 참조'!$B$2:$CE$83,MATCH("치즈 [크림치즈]",'🔖 배합비 참조'!$A$2:$A$83,0),MATCH($C136,'🔖 배합비 참조'!$B$1:$CE$1,0))/100,0),""))),"")</f>
        <v>0</v>
      </c>
      <c r="BX136" s="42" t="n">
        <f aca="false">IFERROR(IF($C136="","",IF($D136="","",IFERROR(ROUND($D136*INDEX('🔖 배합비 참조'!$B$2:$CE$83,MATCH("코코아가공품류(코코아분말)",'🔖 배합비 참조'!$A$2:$A$83,0),MATCH($C136,'🔖 배합비 참조'!$B$1:$CE$1,0))/100,0),""))),"")</f>
        <v>0</v>
      </c>
      <c r="BY136" s="42" t="n">
        <f aca="false">IFERROR(IF($C136="","",IF($D136="","",IFERROR(ROUND($D136*INDEX('🔖 배합비 참조'!$B$2:$CE$83,MATCH("콩기름(대두유)",'🔖 배합비 참조'!$A$2:$A$83,0),MATCH($C136,'🔖 배합비 참조'!$B$1:$CE$1,0))/100,0),""))),"")</f>
        <v>0</v>
      </c>
      <c r="BZ136" s="42" t="n">
        <f aca="false">IFERROR(IF($C136="","",IF($D136="","",IFERROR(ROUND($D136*INDEX('🔖 배합비 참조'!$B$2:$CE$83,MATCH("해바라기씨앗",'🔖 배합비 참조'!$A$2:$A$83,0),MATCH($C136,'🔖 배합비 참조'!$B$1:$CE$1,0))/100,0),""))),"")</f>
        <v>0</v>
      </c>
      <c r="CA136" s="42" t="n">
        <f aca="false">IFERROR(IF($C136="","",IF($D136="","",IFERROR(ROUND($D136*INDEX('🔖 배합비 참조'!$B$2:$CE$83,MATCH("현미(국내산)",'🔖 배합비 참조'!$A$2:$A$83,0),MATCH($C136,'🔖 배합비 참조'!$B$1:$CE$1,0))/100,0),""))),"")</f>
        <v>0</v>
      </c>
      <c r="CB136" s="42" t="n">
        <f aca="false">IFERROR(IF($C136="","",IF($D136="","",IFERROR(ROUND($D136*INDEX('🔖 배합비 참조'!$B$2:$CE$83,MATCH("현미멥쌀(국내산)",'🔖 배합비 참조'!$A$2:$A$83,0),MATCH($C136,'🔖 배합비 참조'!$B$1:$CE$1,0))/100,0),""))),"")</f>
        <v>0</v>
      </c>
      <c r="CC136" s="42" t="n">
        <f aca="false">IFERROR(IF($C136="","",IF($D136="","",IFERROR(ROUND($D136*INDEX('🔖 배합비 참조'!$B$2:$CE$83,MATCH("호두분태(미국산)",'🔖 배합비 참조'!$A$2:$A$83,0),MATCH($C136,'🔖 배합비 참조'!$B$1:$CE$1,0))/100,0),""))),"")</f>
        <v>0</v>
      </c>
      <c r="CD136" s="42" t="n">
        <f aca="false">IFERROR(IF($C136="","",IF($D136="","",IFERROR(ROUND($D136*INDEX('🔖 배합비 참조'!$B$2:$CE$83,MATCH("호박씨앗(외국산)",'🔖 배합비 참조'!$A$2:$A$83,0),MATCH($C136,'🔖 배합비 참조'!$B$1:$CE$1,0))/100,0),""))),"")</f>
        <v>0</v>
      </c>
      <c r="CE136" s="42" t="n">
        <f aca="false">IFERROR(IF($C136="","",IF($D136="","",IFERROR(ROUND($D136*INDEX('🔖 배합비 참조'!$B$2:$CE$83,MATCH("혼합제제(떡용에스텔)",'🔖 배합비 참조'!$A$2:$A$83,0),MATCH($C136,'🔖 배합비 참조'!$B$1:$CE$1,0))/100,0),""))),"")</f>
        <v>1</v>
      </c>
      <c r="CF136" s="42" t="n">
        <f aca="false">IFERROR(IF($C136="","",IF($D136="","",IFERROR(ROUND($D136*INDEX('🔖 배합비 참조'!$B$2:$CE$83,MATCH("혼합제제(스테비아)",'🔖 배합비 참조'!$A$2:$A$83,0),MATCH($C136,'🔖 배합비 참조'!$B$1:$CE$1,0))/100,0),""))),"")</f>
        <v>0</v>
      </c>
      <c r="CG136" s="42" t="n">
        <f aca="false">IFERROR(IF($C136="","",IF($D136="","",IFERROR(ROUND($D136*INDEX('🔖 배합비 참조'!$B$2:$CE$83,MATCH("화이트초콜릿",'🔖 배합비 참조'!$A$2:$A$83,0),MATCH($C136,'🔖 배합비 참조'!$B$1:$CE$1,0))/100,0),""))),"")</f>
        <v>0</v>
      </c>
      <c r="CH136" s="42" t="n">
        <f aca="false">IFERROR(IF($C136="","",IF($D136="","",IFERROR(ROUND($D136*INDEX('🔖 배합비 참조'!$B$2:$CE$83,MATCH("흑미찹쌀(국내산)",'🔖 배합비 참조'!$A$2:$A$83,0),MATCH($C136,'🔖 배합비 참조'!$B$1:$CE$1,0))/100,0),""))),"")</f>
        <v>0</v>
      </c>
      <c r="CI136" s="42" t="n">
        <f aca="false">IFERROR(IF($C136="","",IF($D136="","",IFERROR(ROUND($D136*INDEX('🔖 배합비 참조'!$B$2:$CE$83,MATCH("찰옥수수전분(미국산)",'🔖 배합비 참조'!$A$2:$A$83,0),MATCH($C136,'🔖 배합비 참조'!$B$1:$CE$1,0))/100,0),""))),"")</f>
        <v>0</v>
      </c>
      <c r="CJ136" s="40"/>
      <c r="CL136" s="1" t="s">
        <v>239</v>
      </c>
    </row>
    <row r="137" customFormat="false" ht="18" hidden="false" customHeight="true" outlineLevel="0" collapsed="false">
      <c r="A137" s="35" t="n">
        <v>133</v>
      </c>
      <c r="B137" s="36" t="n">
        <v>46014</v>
      </c>
      <c r="C137" s="37" t="s">
        <v>240</v>
      </c>
      <c r="D137" s="38" t="n">
        <v>70</v>
      </c>
      <c r="E137" s="13"/>
      <c r="F137" s="13"/>
      <c r="G137" s="39" t="n">
        <f aca="false">IFERROR(IF($C137="","",IF($D137="","",IFERROR(ROUND($D137*INDEX('🔖 배합비 참조'!$B$2:$CE$83,MATCH("간장",'🔖 배합비 참조'!$A$2:$A$83,0),MATCH($C137,'🔖 배합비 참조'!$B$1:$CE$1,0))/100,0),""))),"")</f>
        <v>0</v>
      </c>
      <c r="H137" s="39" t="n">
        <f aca="false">IFERROR(IF($C137="","",IF($D137="","",IFERROR(ROUND($D137*INDEX('🔖 배합비 참조'!$B$2:$CE$83,MATCH("강낭콩((울타리콩))",'🔖 배합비 참조'!$A$2:$A$83,0),MATCH($C137,'🔖 배합비 참조'!$B$1:$CE$1,0))/100,0),""))),"")</f>
        <v>0</v>
      </c>
      <c r="I137" s="39" t="n">
        <f aca="false">IFERROR(IF($C137="","",IF($D137="","",IFERROR(ROUND($D137*INDEX('🔖 배합비 참조'!$B$2:$CE$83,MATCH("건조딸기다이스(외국산)",'🔖 배합비 참조'!$A$2:$A$83,0),MATCH($C137,'🔖 배합비 참조'!$B$1:$CE$1,0))/100,0),""))),"")</f>
        <v>0</v>
      </c>
      <c r="J137" s="39" t="n">
        <f aca="false">IFERROR(IF($C137="","",IF($D137="","",IFERROR(ROUND($D137*INDEX('🔖 배합비 참조'!$B$2:$CE$83,MATCH("건포도",'🔖 배합비 참조'!$A$2:$A$83,0),MATCH($C137,'🔖 배합비 참조'!$B$1:$CE$1,0))/100,0),""))),"")</f>
        <v>0</v>
      </c>
      <c r="K137" s="39" t="n">
        <f aca="false">IFERROR(IF($C137="","",IF($D137="","",IFERROR(ROUND($D137*INDEX('🔖 배합비 참조'!$B$2:$CE$83,MATCH("건호박채(중국산)",'🔖 배합비 참조'!$A$2:$A$83,0),MATCH($C137,'🔖 배합비 참조'!$B$1:$CE$1,0))/100,0),""))),"")</f>
        <v>0</v>
      </c>
      <c r="L137" s="39" t="n">
        <f aca="false">IFERROR(IF($C137="","",IF($D137="","",IFERROR(ROUND($D137*INDEX('🔖 배합비 참조'!$B$2:$CE$83,MATCH("검정깨(흑임자)",'🔖 배합비 참조'!$A$2:$A$83,0),MATCH($C137,'🔖 배합비 참조'!$B$1:$CE$1,0))/100,0),""))),"")</f>
        <v>0</v>
      </c>
      <c r="M137" s="39" t="n">
        <f aca="false">IFERROR(IF($C137="","",IF($D137="","",IFERROR(ROUND($D137*INDEX('🔖 배합비 참조'!$B$2:$CE$83,MATCH("검정콩",'🔖 배합비 참조'!$A$2:$A$83,0),MATCH($C137,'🔖 배합비 참조'!$B$1:$CE$1,0))/100,0),""))),"")</f>
        <v>0</v>
      </c>
      <c r="N137" s="39" t="n">
        <f aca="false">IFERROR(IF($C137="","",IF($D137="","",IFERROR(ROUND($D137*INDEX('🔖 배합비 참조'!$B$2:$CE$83,MATCH("계피가루",'🔖 배합비 참조'!$A$2:$A$83,0),MATCH($C137,'🔖 배합비 참조'!$B$1:$CE$1,0))/100,0),""))),"")</f>
        <v>0</v>
      </c>
      <c r="O137" s="39" t="n">
        <f aca="false">IFERROR(IF($C137="","",IF($D137="","",IFERROR(ROUND($D137*INDEX('🔖 배합비 참조'!$B$2:$CE$83,MATCH("고구마가루",'🔖 배합비 참조'!$A$2:$A$83,0),MATCH($C137,'🔖 배합비 참조'!$B$1:$CE$1,0))/100,0),""))),"")</f>
        <v>0</v>
      </c>
      <c r="P137" s="39" t="n">
        <f aca="false">IFERROR(IF($C137="","",IF($D137="","",IFERROR(ROUND($D137*INDEX('🔖 배합비 참조'!$B$2:$CE$83,MATCH("고구마무스",'🔖 배합비 참조'!$A$2:$A$83,0),MATCH($C137,'🔖 배합비 참조'!$B$1:$CE$1,0))/100,0),""))),"")</f>
        <v>0</v>
      </c>
      <c r="Q137" s="39" t="n">
        <f aca="false">IFERROR(IF($C137="","",IF($D137="","",IFERROR(ROUND($D137*INDEX('🔖 배합비 참조'!$B$2:$CE$83,MATCH("고려엉겅퀴((곤드레)국내산)",'🔖 배합비 참조'!$A$2:$A$83,0),MATCH($C137,'🔖 배합비 참조'!$B$1:$CE$1,0))/100,0),""))),"")</f>
        <v>0</v>
      </c>
      <c r="R137" s="39" t="n">
        <f aca="false">IFERROR(IF($C137="","",IF($D137="","",IFERROR(ROUND($D137*INDEX('🔖 배합비 참조'!$B$2:$CE$83,MATCH("기타가공품(복분자가루)",'🔖 배합비 참조'!$A$2:$A$83,0),MATCH($C137,'🔖 배합비 참조'!$B$1:$CE$1,0))/100,0),""))),"")</f>
        <v>0</v>
      </c>
      <c r="S137" s="39" t="n">
        <f aca="false">IFERROR(IF($C137="","",IF($D137="","",IFERROR(ROUND($D137*INDEX('🔖 배합비 참조'!$B$2:$CE$83,MATCH("기타가공품(슈퍼소프트엠)",'🔖 배합비 참조'!$A$2:$A$83,0),MATCH($C137,'🔖 배합비 참조'!$B$1:$CE$1,0))/100,0),""))),"")</f>
        <v>0</v>
      </c>
      <c r="T137" s="39" t="n">
        <f aca="false">IFERROR(IF($C137="","",IF($D137="","",IFERROR(ROUND($D137*INDEX('🔖 배합비 참조'!$B$2:$CE$83,MATCH("기타가공품(파인소프트 E-티)",'🔖 배합비 참조'!$A$2:$A$83,0),MATCH($C137,'🔖 배합비 참조'!$B$1:$CE$1,0))/100,0),""))),"")</f>
        <v>0</v>
      </c>
      <c r="U137" s="39" t="n">
        <f aca="false">IFERROR(IF($C137="","",IF($D137="","",IFERROR(ROUND($D137*INDEX('🔖 배합비 참조'!$B$2:$CE$83,MATCH("기타가공품(프리미엄카스테라가루)",'🔖 배합비 참조'!$A$2:$A$83,0),MATCH($C137,'🔖 배합비 참조'!$B$1:$CE$1,0))/100,0),""))),"")</f>
        <v>2</v>
      </c>
      <c r="V137" s="39" t="n">
        <f aca="false">IFERROR(IF($C137="","",IF($D137="","",IFERROR(ROUND($D137*INDEX('🔖 배합비 참조'!$B$2:$CE$83,MATCH("기타가공품(흑임자가루)",'🔖 배합비 참조'!$A$2:$A$83,0),MATCH($C137,'🔖 배합비 참조'!$B$1:$CE$1,0))/100,0),""))),"")</f>
        <v>0</v>
      </c>
      <c r="W137" s="39" t="n">
        <f aca="false">IFERROR(IF($C137="","",IF($D137="","",IFERROR(ROUND($D137*INDEX('🔖 배합비 참조'!$B$2:$CE$83,MATCH("기타설탕(흑설탕)",'🔖 배합비 참조'!$A$2:$A$83,0),MATCH($C137,'🔖 배합비 참조'!$B$1:$CE$1,0))/100,0),""))),"")</f>
        <v>0</v>
      </c>
      <c r="X137" s="39" t="n">
        <f aca="false">IFERROR(IF($C137="","",IF($D137="","",IFERROR(ROUND($D137*INDEX('🔖 배합비 참조'!$B$2:$CE$83,MATCH("냉동쑥(국내산)",'🔖 배합비 참조'!$A$2:$A$83,0),MATCH($C137,'🔖 배합비 참조'!$B$1:$CE$1,0))/100,0),""))),"")</f>
        <v>0</v>
      </c>
      <c r="Y137" s="39" t="n">
        <f aca="false">IFERROR(IF($C137="","",IF($D137="","",IFERROR(ROUND($D137*INDEX('🔖 배합비 참조'!$B$2:$CE$83,MATCH("냉동증숙고구마(중국산)",'🔖 배합비 참조'!$A$2:$A$83,0),MATCH($C137,'🔖 배합비 참조'!$B$1:$CE$1,0))/100,0),""))),"")</f>
        <v>0</v>
      </c>
      <c r="Z137" s="39" t="n">
        <f aca="false">IFERROR(IF($C137="","",IF($D137="","",IFERROR(ROUND($D137*INDEX('🔖 배합비 참조'!$B$2:$CE$83,MATCH("녹차가루",'🔖 배합비 참조'!$A$2:$A$83,0),MATCH($C137,'🔖 배합비 참조'!$B$1:$CE$1,0))/100,0),""))),"")</f>
        <v>0</v>
      </c>
      <c r="AA137" s="39" t="n">
        <f aca="false">IFERROR(IF($C137="","",IF($D137="","",IFERROR(ROUND($D137*INDEX('🔖 배합비 참조'!$B$2:$CE$83,MATCH("다크초콜릿 컴파운드칩",'🔖 배합비 참조'!$A$2:$A$83,0),MATCH($C137,'🔖 배합비 참조'!$B$1:$CE$1,0))/100,0),""))),"")</f>
        <v>0</v>
      </c>
      <c r="AB137" s="39" t="n">
        <f aca="false">IFERROR(IF($C137="","",IF($D137="","",IFERROR(ROUND($D137*INDEX('🔖 배합비 참조'!$B$2:$CE$83,MATCH("단호박분말(중국산)",'🔖 배합비 참조'!$A$2:$A$83,0),MATCH($C137,'🔖 배합비 참조'!$B$1:$CE$1,0))/100,0),""))),"")</f>
        <v>0</v>
      </c>
      <c r="AC137" s="39" t="n">
        <f aca="false">IFERROR(IF($C137="","",IF($D137="","",IFERROR(ROUND($D137*INDEX('🔖 배합비 참조'!$B$2:$CE$83,MATCH("당류가공품(단호박농축액)",'🔖 배합비 참조'!$A$2:$A$83,0),MATCH($C137,'🔖 배합비 참조'!$B$1:$CE$1,0))/100,0),""))),"")</f>
        <v>0</v>
      </c>
      <c r="AD137" s="39" t="n">
        <f aca="false">IFERROR(IF($C137="","",IF($D137="","",IFERROR(ROUND($D137*INDEX('🔖 배합비 참조'!$B$2:$CE$83,MATCH("당류가공품(알룰로스,에리스리톨,스테비올배당체혼합)",'🔖 배합비 참조'!$A$2:$A$83,0),MATCH($C137,'🔖 배합비 참조'!$B$1:$CE$1,0))/100,0),""))),"")</f>
        <v>0</v>
      </c>
      <c r="AE137" s="39" t="n">
        <f aca="false">IFERROR(IF($C137="","",IF($D137="","",IFERROR(ROUND($D137*INDEX('🔖 배합비 참조'!$B$2:$CE$83,MATCH("당류가공품(알룰로스제로파우더)",'🔖 배합비 참조'!$A$2:$A$83,0),MATCH($C137,'🔖 배합비 참조'!$B$1:$CE$1,0))/100,0),""))),"")</f>
        <v>0</v>
      </c>
      <c r="AF137" s="39" t="n">
        <f aca="false">IFERROR(IF($C137="","",IF($D137="","",IFERROR(ROUND($D137*INDEX('🔖 배합비 참조'!$B$2:$CE$83,MATCH("당절임(완두배기)",'🔖 배합비 참조'!$A$2:$A$83,0),MATCH($C137,'🔖 배합비 참조'!$B$1:$CE$1,0))/100,0),""))),"")</f>
        <v>0</v>
      </c>
      <c r="AG137" s="39" t="n">
        <f aca="false">IFERROR(IF($C137="","",IF($D137="","",IFERROR(ROUND($D137*INDEX('🔖 배합비 참조'!$B$2:$CE$83,MATCH("대추농축액",'🔖 배합비 참조'!$A$2:$A$83,0),MATCH($C137,'🔖 배합비 참조'!$B$1:$CE$1,0))/100,0),""))),"")</f>
        <v>0</v>
      </c>
      <c r="AH137" s="39" t="n">
        <f aca="false">IFERROR(IF($C137="","",IF($D137="","",IFERROR(ROUND($D137*INDEX('🔖 배합비 참조'!$B$2:$CE$83,MATCH("대추채(국내산)",'🔖 배합비 참조'!$A$2:$A$83,0),MATCH($C137,'🔖 배합비 참조'!$B$1:$CE$1,0))/100,0),""))),"")</f>
        <v>0</v>
      </c>
      <c r="AI137" s="39" t="n">
        <f aca="false">IFERROR(IF($C137="","",IF($D137="","",IFERROR(ROUND($D137*INDEX('🔖 배합비 참조'!$B$2:$CE$83,MATCH("동부(미얀마산)",'🔖 배합비 참조'!$A$2:$A$83,0),MATCH($C137,'🔖 배합비 참조'!$B$1:$CE$1,0))/100,0),""))),"")</f>
        <v>0</v>
      </c>
      <c r="AJ137" s="39" t="n">
        <f aca="false">IFERROR(IF($C137="","",IF($D137="","",IFERROR(ROUND($D137*INDEX('🔖 배합비 참조'!$B$2:$CE$83,MATCH("두류가공품(백옥앙금)",'🔖 배합비 참조'!$A$2:$A$83,0),MATCH($C137,'🔖 배합비 참조'!$B$1:$CE$1,0))/100,0),""))),"")</f>
        <v>0</v>
      </c>
      <c r="AK137" s="39" t="n">
        <f aca="false">IFERROR(IF($C137="","",IF($D137="","",IFERROR(ROUND($D137*INDEX('🔖 배합비 참조'!$B$2:$CE$83,MATCH("두류가공품(콩고물)",'🔖 배합비 참조'!$A$2:$A$83,0),MATCH($C137,'🔖 배합비 참조'!$B$1:$CE$1,0))/100,0),""))),"")</f>
        <v>0</v>
      </c>
      <c r="AL137" s="39" t="n">
        <f aca="false">IFERROR(IF($C137="","",IF($D137="","",IFERROR(ROUND($D137*INDEX('🔖 배합비 참조'!$B$2:$CE$83,MATCH("두류가공품(통팥고물)",'🔖 배합비 참조'!$A$2:$A$83,0),MATCH($C137,'🔖 배합비 참조'!$B$1:$CE$1,0))/100,0),""))),"")</f>
        <v>0</v>
      </c>
      <c r="AM137" s="39" t="n">
        <f aca="false">IFERROR(IF($C137="","",IF($D137="","",IFERROR(ROUND($D137*INDEX('🔖 배합비 참조'!$B$2:$CE$83,MATCH("딸기레진",'🔖 배합비 참조'!$A$2:$A$83,0),MATCH($C137,'🔖 배합비 참조'!$B$1:$CE$1,0))/100,0),""))),"")</f>
        <v>2</v>
      </c>
      <c r="AN137" s="39" t="n">
        <f aca="false">IFERROR(IF($C137="","",IF($D137="","",IFERROR(ROUND($D137*INDEX('🔖 배합비 참조'!$B$2:$CE$83,MATCH("딸기분말(스트로우베리에이드(분말))",'🔖 배합비 참조'!$A$2:$A$83,0),MATCH($C137,'🔖 배합비 참조'!$B$1:$CE$1,0))/100,0),""))),"")</f>
        <v>0</v>
      </c>
      <c r="AO137" s="39" t="n">
        <f aca="false">IFERROR(IF($C137="","",IF($D137="","",IFERROR(ROUND($D137*INDEX('🔖 배합비 참조'!$B$2:$CE$83,MATCH("마스카포네치즈",'🔖 배합비 참조'!$A$2:$A$83,0),MATCH($C137,'🔖 배합비 참조'!$B$1:$CE$1,0))/100,0),""))),"")</f>
        <v>0</v>
      </c>
      <c r="AP137" s="39" t="n">
        <f aca="false">IFERROR(IF($C137="","",IF($D137="","",IFERROR(ROUND($D137*INDEX('🔖 배합비 참조'!$B$2:$CE$83,MATCH("마카다미아분태(호주산)",'🔖 배합비 참조'!$A$2:$A$83,0),MATCH($C137,'🔖 배합비 참조'!$B$1:$CE$1,0))/100,0),""))),"")</f>
        <v>0</v>
      </c>
      <c r="AQ137" s="39" t="n">
        <f aca="false">IFERROR(IF($C137="","",IF($D137="","",IFERROR(ROUND($D137*INDEX('🔖 배합비 참조'!$B$2:$CE$83,MATCH("멥쌀(국내산)",'🔖 배합비 참조'!$A$2:$A$83,0),MATCH($C137,'🔖 배합비 참조'!$B$1:$CE$1,0))/100,0),""))),"")</f>
        <v>0</v>
      </c>
      <c r="AR137" s="39" t="n">
        <f aca="false">IFERROR(IF($C137="","",IF($D137="","",IFERROR(ROUND($D137*INDEX('🔖 배합비 참조'!$B$2:$CE$83,MATCH("모시잎(국내산)",'🔖 배합비 참조'!$A$2:$A$83,0),MATCH($C137,'🔖 배합비 참조'!$B$1:$CE$1,0))/100,0),""))),"")</f>
        <v>0</v>
      </c>
      <c r="AS137" s="39" t="n">
        <f aca="false">IFERROR(IF($C137="","",IF($D137="","",IFERROR(ROUND($D137*INDEX('🔖 배합비 참조'!$B$2:$CE$83,MATCH("물엿(저당물엿)",'🔖 배합비 참조'!$A$2:$A$83,0),MATCH($C137,'🔖 배합비 참조'!$B$1:$CE$1,0))/100,0),""))),"")</f>
        <v>4</v>
      </c>
      <c r="AT137" s="39" t="n">
        <f aca="false">IFERROR(IF($C137="","",IF($D137="","",IFERROR(ROUND($D137*INDEX('🔖 배합비 참조'!$B$2:$CE$83,MATCH("밤다이스",'🔖 배합비 참조'!$A$2:$A$83,0),MATCH($C137,'🔖 배합비 참조'!$B$1:$CE$1,0))/100,0),""))),"")</f>
        <v>0</v>
      </c>
      <c r="AU137" s="39" t="n">
        <f aca="false">IFERROR(IF($C137="","",IF($D137="","",IFERROR(ROUND($D137*INDEX('🔖 배합비 참조'!$B$2:$CE$83,MATCH("변성전분(타피오카전분)",'🔖 배합비 참조'!$A$2:$A$83,0),MATCH($C137,'🔖 배합비 참조'!$B$1:$CE$1,0))/100,0),""))),"")</f>
        <v>0</v>
      </c>
      <c r="AV137" s="39" t="n">
        <f aca="false">IFERROR(IF($C137="","",IF($D137="","",IFERROR(ROUND($D137*INDEX('🔖 배합비 참조'!$B$2:$CE$83,MATCH("복음땅콩분태",'🔖 배합비 참조'!$A$2:$A$83,0),MATCH($C137,'🔖 배합비 참조'!$B$1:$CE$1,0))/100,0),""))),"")</f>
        <v>0</v>
      </c>
      <c r="AW137" s="39" t="n">
        <f aca="false">IFERROR(IF($C137="","",IF($D137="","",IFERROR(ROUND($D137*INDEX('🔖 배합비 참조'!$B$2:$CE$83,MATCH("사양벌꿀(국내산)",'🔖 배합비 참조'!$A$2:$A$83,0),MATCH($C137,'🔖 배합비 참조'!$B$1:$CE$1,0))/100,0),""))),"")</f>
        <v>0</v>
      </c>
      <c r="AX137" s="39" t="n">
        <f aca="false">IFERROR(IF($C137="","",IF($D137="","",IFERROR(ROUND($D137*INDEX('🔖 배합비 참조'!$B$2:$CE$83,MATCH("생크림",'🔖 배합비 참조'!$A$2:$A$83,0),MATCH($C137,'🔖 배합비 참조'!$B$1:$CE$1,0))/100,0),""))),"")</f>
        <v>5</v>
      </c>
      <c r="AY137" s="39" t="n">
        <f aca="false">IFERROR(IF($C137="","",IF($D137="","",IFERROR(ROUND($D137*INDEX('🔖 배합비 참조'!$B$2:$CE$83,MATCH("서양호박(국내산,뉴질랜드산)",'🔖 배합비 참조'!$A$2:$A$83,0),MATCH($C137,'🔖 배합비 참조'!$B$1:$CE$1,0))/100,0),""))),"")</f>
        <v>0</v>
      </c>
      <c r="AZ137" s="39" t="n">
        <f aca="false">IFERROR(IF($C137="","",IF($D137="","",IFERROR(ROUND($D137*INDEX('🔖 배합비 참조'!$B$2:$CE$83,MATCH("설탕",'🔖 배합비 참조'!$A$2:$A$83,0),MATCH($C137,'🔖 배합비 참조'!$B$1:$CE$1,0))/100,0),""))),"")</f>
        <v>1</v>
      </c>
      <c r="BA137" s="39" t="n">
        <f aca="false">IFERROR(IF($C137="","",IF($D137="","",IFERROR(ROUND($D137*INDEX('🔖 배합비 참조'!$B$2:$CE$83,MATCH("스트로우베리 에이드 후레쉬",'🔖 배합비 참조'!$A$2:$A$83,0),MATCH($C137,'🔖 배합비 참조'!$B$1:$CE$1,0))/100,0),""))),"")</f>
        <v>2</v>
      </c>
      <c r="BB137" s="39" t="n">
        <f aca="false">IFERROR(IF($C137="","",IF($D137="","",IFERROR(ROUND($D137*INDEX('🔖 배합비 참조'!$B$2:$CE$83,MATCH("식물성기름혼합제제(분홍)",'🔖 배합비 참조'!$A$2:$A$83,0),MATCH($C137,'🔖 배합비 참조'!$B$1:$CE$1,0))/100,0),""))),"")</f>
        <v>0</v>
      </c>
      <c r="BC137" s="39" t="n">
        <f aca="false">IFERROR(IF($C137="","",IF($D137="","",IFERROR(ROUND($D137*INDEX('🔖 배합비 참조'!$B$2:$CE$83,MATCH("식물성기름혼합제제(초록)",'🔖 배합비 참조'!$A$2:$A$83,0),MATCH($C137,'🔖 배합비 참조'!$B$1:$CE$1,0))/100,0),""))),"")</f>
        <v>0</v>
      </c>
      <c r="BD137" s="39" t="n">
        <f aca="false">IFERROR(IF($C137="","",IF($D137="","",IFERROR(ROUND($D137*INDEX('🔖 배합비 참조'!$B$2:$CE$83,MATCH("식물성기름혼합제제(황색)",'🔖 배합비 참조'!$A$2:$A$83,0),MATCH($C137,'🔖 배합비 참조'!$B$1:$CE$1,0))/100,0),""))),"")</f>
        <v>0</v>
      </c>
      <c r="BE137" s="39" t="n">
        <f aca="false">IFERROR(IF($C137="","",IF($D137="","",IFERROR(ROUND($D137*INDEX('🔖 배합비 참조'!$B$2:$CE$83,MATCH("쑥가루(국내산)",'🔖 배합비 참조'!$A$2:$A$83,0),MATCH($C137,'🔖 배합비 참조'!$B$1:$CE$1,0))/100,0),""))),"")</f>
        <v>0</v>
      </c>
      <c r="BF137" s="39" t="n">
        <f aca="false">IFERROR(IF($C137="","",IF($D137="","",IFERROR(ROUND($D137*INDEX('🔖 배합비 참조'!$B$2:$CE$83,MATCH("아몬드슬라이스",'🔖 배합비 참조'!$A$2:$A$83,0),MATCH($C137,'🔖 배합비 참조'!$B$1:$CE$1,0))/100,0),""))),"")</f>
        <v>0</v>
      </c>
      <c r="BG137" s="39" t="n">
        <f aca="false">IFERROR(IF($C137="","",IF($D137="","",IFERROR(ROUND($D137*INDEX('🔖 배합비 참조'!$B$2:$CE$83,MATCH("알룰로오스(국내산)",'🔖 배합비 참조'!$A$2:$A$83,0),MATCH($C137,'🔖 배합비 참조'!$B$1:$CE$1,0))/100,0),""))),"")</f>
        <v>0</v>
      </c>
      <c r="BH137" s="39" t="n">
        <f aca="false">IFERROR(IF($C137="","",IF($D137="","",IFERROR(ROUND($D137*INDEX('🔖 배합비 참조'!$B$2:$CE$83,MATCH("연유",'🔖 배합비 참조'!$A$2:$A$83,0),MATCH($C137,'🔖 배합비 참조'!$B$1:$CE$1,0))/100,0),""))),"")</f>
        <v>0</v>
      </c>
      <c r="BI137" s="39" t="n">
        <f aca="false">IFERROR(IF($C137="","",IF($D137="","",IFERROR(ROUND($D137*INDEX('🔖 배합비 참조'!$B$2:$CE$83,MATCH("옥수수전분",'🔖 배합비 참조'!$A$2:$A$83,0),MATCH($C137,'🔖 배합비 참조'!$B$1:$CE$1,0))/100,0),""))),"")</f>
        <v>0</v>
      </c>
      <c r="BJ137" s="39" t="n">
        <f aca="false">IFERROR(IF($C137="","",IF($D137="","",IFERROR(ROUND($D137*INDEX('🔖 배합비 참조'!$B$2:$CE$83,MATCH("완두배기",'🔖 배합비 참조'!$A$2:$A$83,0),MATCH($C137,'🔖 배합비 참조'!$B$1:$CE$1,0))/100,0),""))),"")</f>
        <v>0</v>
      </c>
      <c r="BK137" s="39" t="n">
        <f aca="false">IFERROR(IF($C137="","",IF($D137="","",IFERROR(ROUND($D137*INDEX('🔖 배합비 참조'!$B$2:$CE$83,MATCH("우유(국내산)",'🔖 배합비 참조'!$A$2:$A$83,0),MATCH($C137,'🔖 배합비 참조'!$B$1:$CE$1,0))/100,0),""))),"")</f>
        <v>0</v>
      </c>
      <c r="BL137" s="39" t="n">
        <f aca="false">IFERROR(IF($C137="","",IF($D137="","",IFERROR(ROUND($D137*INDEX('🔖 배합비 참조'!$B$2:$CE$83,MATCH("자색고구마가루(중국산)",'🔖 배합비 참조'!$A$2:$A$83,0),MATCH($C137,'🔖 배합비 참조'!$B$1:$CE$1,0))/100,0),""))),"")</f>
        <v>0</v>
      </c>
      <c r="BM137" s="39" t="n">
        <f aca="false">IFERROR(IF($C137="","",IF($D137="","",IFERROR(ROUND($D137*INDEX('🔖 배합비 참조'!$B$2:$CE$83,MATCH("자연치즈(체다치즈)",'🔖 배합비 참조'!$A$2:$A$83,0),MATCH($C137,'🔖 배합비 참조'!$B$1:$CE$1,0))/100,0),""))),"")</f>
        <v>0</v>
      </c>
      <c r="BN137" s="39" t="n">
        <f aca="false">IFERROR(IF($C137="","",IF($D137="","",IFERROR(ROUND($D137*INDEX('🔖 배합비 참조'!$B$2:$CE$83,MATCH("정제수",'🔖 배합비 참조'!$A$2:$A$83,0),MATCH($C137,'🔖 배합비 참조'!$B$1:$CE$1,0))/100,0),""))),"")</f>
        <v>2</v>
      </c>
      <c r="BO137" s="39" t="n">
        <f aca="false">IFERROR(IF($C137="","",IF($D137="","",IFERROR(ROUND($D137*INDEX('🔖 배합비 참조'!$B$2:$CE$83,MATCH("젤라틴",'🔖 배합비 참조'!$A$2:$A$83,0),MATCH($C137,'🔖 배합비 참조'!$B$1:$CE$1,0))/100,0),""))),"")</f>
        <v>0</v>
      </c>
      <c r="BP137" s="39" t="n">
        <f aca="false">IFERROR(IF($C137="","",IF($D137="","",IFERROR(ROUND($D137*INDEX('🔖 배합비 참조'!$B$2:$CE$83,MATCH("조림류(백옥앙금)",'🔖 배합비 참조'!$A$2:$A$83,0),MATCH($C137,'🔖 배합비 참조'!$B$1:$CE$1,0))/100,0),""))),"")</f>
        <v>7</v>
      </c>
      <c r="BQ137" s="39" t="n">
        <f aca="false">IFERROR(IF($C137="","",IF($D137="","",IFERROR(ROUND($D137*INDEX('🔖 배합비 참조'!$B$2:$CE$83,MATCH("조림류(통팥앙금)",'🔖 배합비 참조'!$A$2:$A$83,0),MATCH($C137,'🔖 배합비 참조'!$B$1:$CE$1,0))/100,0),""))),"")</f>
        <v>0</v>
      </c>
      <c r="BR137" s="39" t="n">
        <f aca="false">IFERROR(IF($C137="","",IF($D137="","",IFERROR(ROUND($D137*INDEX('🔖 배합비 참조'!$B$2:$CE$83,MATCH("준초콜릿(외국산)",'🔖 배합비 참조'!$A$2:$A$83,0),MATCH($C137,'🔖 배합비 참조'!$B$1:$CE$1,0))/100,0),""))),"")</f>
        <v>0</v>
      </c>
      <c r="BS137" s="39" t="n">
        <f aca="false">IFERROR(IF($C137="","",IF($D137="","",IFERROR(ROUND($D137*INDEX('🔖 배합비 참조'!$B$2:$CE$83,MATCH("중력분",'🔖 배합비 참조'!$A$2:$A$83,0),MATCH($C137,'🔖 배합비 참조'!$B$1:$CE$1,0))/100,0),""))),"")</f>
        <v>0</v>
      </c>
      <c r="BT137" s="39" t="n">
        <f aca="false">IFERROR(IF($C137="","",IF($D137="","",IFERROR(ROUND($D137*INDEX('🔖 배합비 참조'!$B$2:$CE$83,MATCH("참깨(인도산,나이지리아산,탄자니아산,미얀마산)",'🔖 배합비 참조'!$A$2:$A$83,0),MATCH($C137,'🔖 배합비 참조'!$B$1:$CE$1,0))/100,0),""))),"")</f>
        <v>0</v>
      </c>
      <c r="BU137" s="39" t="n">
        <f aca="false">IFERROR(IF($C137="","",IF($D137="","",IFERROR(ROUND($D137*INDEX('🔖 배합비 참조'!$B$2:$CE$83,MATCH("찹쌀(국내산)",'🔖 배합비 참조'!$A$2:$A$83,0),MATCH($C137,'🔖 배합비 참조'!$B$1:$CE$1,0))/100,0),""))),"")</f>
        <v>37</v>
      </c>
      <c r="BV137" s="39" t="n">
        <f aca="false">IFERROR(IF($C137="","",IF($D137="","",IFERROR(ROUND($D137*INDEX('🔖 배합비 참조'!$B$2:$CE$83,MATCH("천일염",'🔖 배합비 참조'!$A$2:$A$83,0),MATCH($C137,'🔖 배합비 참조'!$B$1:$CE$1,0))/100,0),""))),"")</f>
        <v>0</v>
      </c>
      <c r="BW137" s="39" t="n">
        <f aca="false">IFERROR(IF($C137="","",IF($D137="","",IFERROR(ROUND($D137*INDEX('🔖 배합비 참조'!$B$2:$CE$83,MATCH("치즈 [크림치즈]",'🔖 배합비 참조'!$A$2:$A$83,0),MATCH($C137,'🔖 배합비 참조'!$B$1:$CE$1,0))/100,0),""))),"")</f>
        <v>5</v>
      </c>
      <c r="BX137" s="39" t="n">
        <f aca="false">IFERROR(IF($C137="","",IF($D137="","",IFERROR(ROUND($D137*INDEX('🔖 배합비 참조'!$B$2:$CE$83,MATCH("코코아가공품류(코코아분말)",'🔖 배합비 참조'!$A$2:$A$83,0),MATCH($C137,'🔖 배합비 참조'!$B$1:$CE$1,0))/100,0),""))),"")</f>
        <v>0</v>
      </c>
      <c r="BY137" s="39" t="n">
        <f aca="false">IFERROR(IF($C137="","",IF($D137="","",IFERROR(ROUND($D137*INDEX('🔖 배합비 참조'!$B$2:$CE$83,MATCH("콩기름(대두유)",'🔖 배합비 참조'!$A$2:$A$83,0),MATCH($C137,'🔖 배합비 참조'!$B$1:$CE$1,0))/100,0),""))),"")</f>
        <v>0</v>
      </c>
      <c r="BZ137" s="39" t="n">
        <f aca="false">IFERROR(IF($C137="","",IF($D137="","",IFERROR(ROUND($D137*INDEX('🔖 배합비 참조'!$B$2:$CE$83,MATCH("해바라기씨앗",'🔖 배합비 참조'!$A$2:$A$83,0),MATCH($C137,'🔖 배합비 참조'!$B$1:$CE$1,0))/100,0),""))),"")</f>
        <v>0</v>
      </c>
      <c r="CA137" s="39" t="n">
        <f aca="false">IFERROR(IF($C137="","",IF($D137="","",IFERROR(ROUND($D137*INDEX('🔖 배합비 참조'!$B$2:$CE$83,MATCH("현미(국내산)",'🔖 배합비 참조'!$A$2:$A$83,0),MATCH($C137,'🔖 배합비 참조'!$B$1:$CE$1,0))/100,0),""))),"")</f>
        <v>0</v>
      </c>
      <c r="CB137" s="39" t="n">
        <f aca="false">IFERROR(IF($C137="","",IF($D137="","",IFERROR(ROUND($D137*INDEX('🔖 배합비 참조'!$B$2:$CE$83,MATCH("현미멥쌀(국내산)",'🔖 배합비 참조'!$A$2:$A$83,0),MATCH($C137,'🔖 배합비 참조'!$B$1:$CE$1,0))/100,0),""))),"")</f>
        <v>0</v>
      </c>
      <c r="CC137" s="39" t="n">
        <f aca="false">IFERROR(IF($C137="","",IF($D137="","",IFERROR(ROUND($D137*INDEX('🔖 배합비 참조'!$B$2:$CE$83,MATCH("호두분태(미국산)",'🔖 배합비 참조'!$A$2:$A$83,0),MATCH($C137,'🔖 배합비 참조'!$B$1:$CE$1,0))/100,0),""))),"")</f>
        <v>0</v>
      </c>
      <c r="CD137" s="39" t="n">
        <f aca="false">IFERROR(IF($C137="","",IF($D137="","",IFERROR(ROUND($D137*INDEX('🔖 배합비 참조'!$B$2:$CE$83,MATCH("호박씨앗(외국산)",'🔖 배합비 참조'!$A$2:$A$83,0),MATCH($C137,'🔖 배합비 참조'!$B$1:$CE$1,0))/100,0),""))),"")</f>
        <v>0</v>
      </c>
      <c r="CE137" s="39" t="n">
        <f aca="false">IFERROR(IF($C137="","",IF($D137="","",IFERROR(ROUND($D137*INDEX('🔖 배합비 참조'!$B$2:$CE$83,MATCH("혼합제제(떡용에스텔)",'🔖 배합비 참조'!$A$2:$A$83,0),MATCH($C137,'🔖 배합비 참조'!$B$1:$CE$1,0))/100,0),""))),"")</f>
        <v>0</v>
      </c>
      <c r="CF137" s="39" t="n">
        <f aca="false">IFERROR(IF($C137="","",IF($D137="","",IFERROR(ROUND($D137*INDEX('🔖 배합비 참조'!$B$2:$CE$83,MATCH("혼합제제(스테비아)",'🔖 배합비 참조'!$A$2:$A$83,0),MATCH($C137,'🔖 배합비 참조'!$B$1:$CE$1,0))/100,0),""))),"")</f>
        <v>0</v>
      </c>
      <c r="CG137" s="39" t="n">
        <f aca="false">IFERROR(IF($C137="","",IF($D137="","",IFERROR(ROUND($D137*INDEX('🔖 배합비 참조'!$B$2:$CE$83,MATCH("화이트초콜릿",'🔖 배합비 참조'!$A$2:$A$83,0),MATCH($C137,'🔖 배합비 참조'!$B$1:$CE$1,0))/100,0),""))),"")</f>
        <v>2</v>
      </c>
      <c r="CH137" s="39" t="n">
        <f aca="false">IFERROR(IF($C137="","",IF($D137="","",IFERROR(ROUND($D137*INDEX('🔖 배합비 참조'!$B$2:$CE$83,MATCH("흑미찹쌀(국내산)",'🔖 배합비 참조'!$A$2:$A$83,0),MATCH($C137,'🔖 배합비 참조'!$B$1:$CE$1,0))/100,0),""))),"")</f>
        <v>0</v>
      </c>
      <c r="CI137" s="39" t="n">
        <f aca="false">IFERROR(IF($C137="","",IF($D137="","",IFERROR(ROUND($D137*INDEX('🔖 배합비 참조'!$B$2:$CE$83,MATCH("찰옥수수전분(미국산)",'🔖 배합비 참조'!$A$2:$A$83,0),MATCH($C137,'🔖 배합비 참조'!$B$1:$CE$1,0))/100,0),""))),"")</f>
        <v>0</v>
      </c>
      <c r="CJ137" s="40"/>
      <c r="CL137" s="1" t="s">
        <v>239</v>
      </c>
    </row>
    <row r="138" customFormat="false" ht="18" hidden="false" customHeight="true" outlineLevel="0" collapsed="false">
      <c r="A138" s="41" t="n">
        <v>134</v>
      </c>
      <c r="B138" s="36" t="n">
        <v>46014</v>
      </c>
      <c r="C138" s="37" t="s">
        <v>241</v>
      </c>
      <c r="D138" s="38" t="n">
        <v>70</v>
      </c>
      <c r="E138" s="17"/>
      <c r="F138" s="17"/>
      <c r="G138" s="42" t="n">
        <f aca="false">IFERROR(IF($C138="","",IF($D138="","",IFERROR(ROUND($D138*INDEX('🔖 배합비 참조'!$B$2:$CE$83,MATCH("간장",'🔖 배합비 참조'!$A$2:$A$83,0),MATCH($C138,'🔖 배합비 참조'!$B$1:$CE$1,0))/100,0),""))),"")</f>
        <v>0</v>
      </c>
      <c r="H138" s="42" t="n">
        <f aca="false">IFERROR(IF($C138="","",IF($D138="","",IFERROR(ROUND($D138*INDEX('🔖 배합비 참조'!$B$2:$CE$83,MATCH("강낭콩((울타리콩))",'🔖 배합비 참조'!$A$2:$A$83,0),MATCH($C138,'🔖 배합비 참조'!$B$1:$CE$1,0))/100,0),""))),"")</f>
        <v>0</v>
      </c>
      <c r="I138" s="42" t="n">
        <f aca="false">IFERROR(IF($C138="","",IF($D138="","",IFERROR(ROUND($D138*INDEX('🔖 배합비 참조'!$B$2:$CE$83,MATCH("건조딸기다이스(외국산)",'🔖 배합비 참조'!$A$2:$A$83,0),MATCH($C138,'🔖 배합비 참조'!$B$1:$CE$1,0))/100,0),""))),"")</f>
        <v>0</v>
      </c>
      <c r="J138" s="42" t="n">
        <f aca="false">IFERROR(IF($C138="","",IF($D138="","",IFERROR(ROUND($D138*INDEX('🔖 배합비 참조'!$B$2:$CE$83,MATCH("건포도",'🔖 배합비 참조'!$A$2:$A$83,0),MATCH($C138,'🔖 배합비 참조'!$B$1:$CE$1,0))/100,0),""))),"")</f>
        <v>0</v>
      </c>
      <c r="K138" s="42" t="n">
        <f aca="false">IFERROR(IF($C138="","",IF($D138="","",IFERROR(ROUND($D138*INDEX('🔖 배합비 참조'!$B$2:$CE$83,MATCH("건호박채(중국산)",'🔖 배합비 참조'!$A$2:$A$83,0),MATCH($C138,'🔖 배합비 참조'!$B$1:$CE$1,0))/100,0),""))),"")</f>
        <v>0</v>
      </c>
      <c r="L138" s="42" t="n">
        <f aca="false">IFERROR(IF($C138="","",IF($D138="","",IFERROR(ROUND($D138*INDEX('🔖 배합비 참조'!$B$2:$CE$83,MATCH("검정깨(흑임자)",'🔖 배합비 참조'!$A$2:$A$83,0),MATCH($C138,'🔖 배합비 참조'!$B$1:$CE$1,0))/100,0),""))),"")</f>
        <v>0</v>
      </c>
      <c r="M138" s="42" t="n">
        <f aca="false">IFERROR(IF($C138="","",IF($D138="","",IFERROR(ROUND($D138*INDEX('🔖 배합비 참조'!$B$2:$CE$83,MATCH("검정콩",'🔖 배합비 참조'!$A$2:$A$83,0),MATCH($C138,'🔖 배합비 참조'!$B$1:$CE$1,0))/100,0),""))),"")</f>
        <v>0</v>
      </c>
      <c r="N138" s="42" t="n">
        <f aca="false">IFERROR(IF($C138="","",IF($D138="","",IFERROR(ROUND($D138*INDEX('🔖 배합비 참조'!$B$2:$CE$83,MATCH("계피가루",'🔖 배합비 참조'!$A$2:$A$83,0),MATCH($C138,'🔖 배합비 참조'!$B$1:$CE$1,0))/100,0),""))),"")</f>
        <v>0</v>
      </c>
      <c r="O138" s="42" t="n">
        <f aca="false">IFERROR(IF($C138="","",IF($D138="","",IFERROR(ROUND($D138*INDEX('🔖 배합비 참조'!$B$2:$CE$83,MATCH("고구마가루",'🔖 배합비 참조'!$A$2:$A$83,0),MATCH($C138,'🔖 배합비 참조'!$B$1:$CE$1,0))/100,0),""))),"")</f>
        <v>0</v>
      </c>
      <c r="P138" s="42" t="n">
        <f aca="false">IFERROR(IF($C138="","",IF($D138="","",IFERROR(ROUND($D138*INDEX('🔖 배합비 참조'!$B$2:$CE$83,MATCH("고구마무스",'🔖 배합비 참조'!$A$2:$A$83,0),MATCH($C138,'🔖 배합비 참조'!$B$1:$CE$1,0))/100,0),""))),"")</f>
        <v>0</v>
      </c>
      <c r="Q138" s="42" t="n">
        <f aca="false">IFERROR(IF($C138="","",IF($D138="","",IFERROR(ROUND($D138*INDEX('🔖 배합비 참조'!$B$2:$CE$83,MATCH("고려엉겅퀴((곤드레)국내산)",'🔖 배합비 참조'!$A$2:$A$83,0),MATCH($C138,'🔖 배합비 참조'!$B$1:$CE$1,0))/100,0),""))),"")</f>
        <v>0</v>
      </c>
      <c r="R138" s="42" t="n">
        <f aca="false">IFERROR(IF($C138="","",IF($D138="","",IFERROR(ROUND($D138*INDEX('🔖 배합비 참조'!$B$2:$CE$83,MATCH("기타가공품(복분자가루)",'🔖 배합비 참조'!$A$2:$A$83,0),MATCH($C138,'🔖 배합비 참조'!$B$1:$CE$1,0))/100,0),""))),"")</f>
        <v>0</v>
      </c>
      <c r="S138" s="42" t="n">
        <f aca="false">IFERROR(IF($C138="","",IF($D138="","",IFERROR(ROUND($D138*INDEX('🔖 배합비 참조'!$B$2:$CE$83,MATCH("기타가공품(슈퍼소프트엠)",'🔖 배합비 참조'!$A$2:$A$83,0),MATCH($C138,'🔖 배합비 참조'!$B$1:$CE$1,0))/100,0),""))),"")</f>
        <v>0</v>
      </c>
      <c r="T138" s="42" t="n">
        <f aca="false">IFERROR(IF($C138="","",IF($D138="","",IFERROR(ROUND($D138*INDEX('🔖 배합비 참조'!$B$2:$CE$83,MATCH("기타가공품(파인소프트 E-티)",'🔖 배합비 참조'!$A$2:$A$83,0),MATCH($C138,'🔖 배합비 참조'!$B$1:$CE$1,0))/100,0),""))),"")</f>
        <v>0</v>
      </c>
      <c r="U138" s="42" t="n">
        <f aca="false">IFERROR(IF($C138="","",IF($D138="","",IFERROR(ROUND($D138*INDEX('🔖 배합비 참조'!$B$2:$CE$83,MATCH("기타가공품(프리미엄카스테라가루)",'🔖 배합비 참조'!$A$2:$A$83,0),MATCH($C138,'🔖 배합비 참조'!$B$1:$CE$1,0))/100,0),""))),"")</f>
        <v>2</v>
      </c>
      <c r="V138" s="42" t="n">
        <f aca="false">IFERROR(IF($C138="","",IF($D138="","",IFERROR(ROUND($D138*INDEX('🔖 배합비 참조'!$B$2:$CE$83,MATCH("기타가공품(흑임자가루)",'🔖 배합비 참조'!$A$2:$A$83,0),MATCH($C138,'🔖 배합비 참조'!$B$1:$CE$1,0))/100,0),""))),"")</f>
        <v>0</v>
      </c>
      <c r="W138" s="42" t="n">
        <f aca="false">IFERROR(IF($C138="","",IF($D138="","",IFERROR(ROUND($D138*INDEX('🔖 배합비 참조'!$B$2:$CE$83,MATCH("기타설탕(흑설탕)",'🔖 배합비 참조'!$A$2:$A$83,0),MATCH($C138,'🔖 배합비 참조'!$B$1:$CE$1,0))/100,0),""))),"")</f>
        <v>0</v>
      </c>
      <c r="X138" s="42" t="n">
        <f aca="false">IFERROR(IF($C138="","",IF($D138="","",IFERROR(ROUND($D138*INDEX('🔖 배합비 참조'!$B$2:$CE$83,MATCH("냉동쑥(국내산)",'🔖 배합비 참조'!$A$2:$A$83,0),MATCH($C138,'🔖 배합비 참조'!$B$1:$CE$1,0))/100,0),""))),"")</f>
        <v>0</v>
      </c>
      <c r="Y138" s="42" t="n">
        <f aca="false">IFERROR(IF($C138="","",IF($D138="","",IFERROR(ROUND($D138*INDEX('🔖 배합비 참조'!$B$2:$CE$83,MATCH("냉동증숙고구마(중국산)",'🔖 배합비 참조'!$A$2:$A$83,0),MATCH($C138,'🔖 배합비 참조'!$B$1:$CE$1,0))/100,0),""))),"")</f>
        <v>0</v>
      </c>
      <c r="Z138" s="42" t="n">
        <f aca="false">IFERROR(IF($C138="","",IF($D138="","",IFERROR(ROUND($D138*INDEX('🔖 배합비 참조'!$B$2:$CE$83,MATCH("녹차가루",'🔖 배합비 참조'!$A$2:$A$83,0),MATCH($C138,'🔖 배합비 참조'!$B$1:$CE$1,0))/100,0),""))),"")</f>
        <v>5</v>
      </c>
      <c r="AA138" s="42" t="n">
        <f aca="false">IFERROR(IF($C138="","",IF($D138="","",IFERROR(ROUND($D138*INDEX('🔖 배합비 참조'!$B$2:$CE$83,MATCH("다크초콜릿 컴파운드칩",'🔖 배합비 참조'!$A$2:$A$83,0),MATCH($C138,'🔖 배합비 참조'!$B$1:$CE$1,0))/100,0),""))),"")</f>
        <v>0</v>
      </c>
      <c r="AB138" s="42" t="n">
        <f aca="false">IFERROR(IF($C138="","",IF($D138="","",IFERROR(ROUND($D138*INDEX('🔖 배합비 참조'!$B$2:$CE$83,MATCH("단호박분말(중국산)",'🔖 배합비 참조'!$A$2:$A$83,0),MATCH($C138,'🔖 배합비 참조'!$B$1:$CE$1,0))/100,0),""))),"")</f>
        <v>0</v>
      </c>
      <c r="AC138" s="42" t="n">
        <f aca="false">IFERROR(IF($C138="","",IF($D138="","",IFERROR(ROUND($D138*INDEX('🔖 배합비 참조'!$B$2:$CE$83,MATCH("당류가공품(단호박농축액)",'🔖 배합비 참조'!$A$2:$A$83,0),MATCH($C138,'🔖 배합비 참조'!$B$1:$CE$1,0))/100,0),""))),"")</f>
        <v>0</v>
      </c>
      <c r="AD138" s="42" t="n">
        <f aca="false">IFERROR(IF($C138="","",IF($D138="","",IFERROR(ROUND($D138*INDEX('🔖 배합비 참조'!$B$2:$CE$83,MATCH("당류가공품(알룰로스,에리스리톨,스테비올배당체혼합)",'🔖 배합비 참조'!$A$2:$A$83,0),MATCH($C138,'🔖 배합비 참조'!$B$1:$CE$1,0))/100,0),""))),"")</f>
        <v>0</v>
      </c>
      <c r="AE138" s="42" t="n">
        <f aca="false">IFERROR(IF($C138="","",IF($D138="","",IFERROR(ROUND($D138*INDEX('🔖 배합비 참조'!$B$2:$CE$83,MATCH("당류가공품(알룰로스제로파우더)",'🔖 배합비 참조'!$A$2:$A$83,0),MATCH($C138,'🔖 배합비 참조'!$B$1:$CE$1,0))/100,0),""))),"")</f>
        <v>0</v>
      </c>
      <c r="AF138" s="42" t="n">
        <f aca="false">IFERROR(IF($C138="","",IF($D138="","",IFERROR(ROUND($D138*INDEX('🔖 배합비 참조'!$B$2:$CE$83,MATCH("당절임(완두배기)",'🔖 배합비 참조'!$A$2:$A$83,0),MATCH($C138,'🔖 배합비 참조'!$B$1:$CE$1,0))/100,0),""))),"")</f>
        <v>0</v>
      </c>
      <c r="AG138" s="42" t="n">
        <f aca="false">IFERROR(IF($C138="","",IF($D138="","",IFERROR(ROUND($D138*INDEX('🔖 배합비 참조'!$B$2:$CE$83,MATCH("대추농축액",'🔖 배합비 참조'!$A$2:$A$83,0),MATCH($C138,'🔖 배합비 참조'!$B$1:$CE$1,0))/100,0),""))),"")</f>
        <v>0</v>
      </c>
      <c r="AH138" s="42" t="n">
        <f aca="false">IFERROR(IF($C138="","",IF($D138="","",IFERROR(ROUND($D138*INDEX('🔖 배합비 참조'!$B$2:$CE$83,MATCH("대추채(국내산)",'🔖 배합비 참조'!$A$2:$A$83,0),MATCH($C138,'🔖 배합비 참조'!$B$1:$CE$1,0))/100,0),""))),"")</f>
        <v>0</v>
      </c>
      <c r="AI138" s="42" t="n">
        <f aca="false">IFERROR(IF($C138="","",IF($D138="","",IFERROR(ROUND($D138*INDEX('🔖 배합비 참조'!$B$2:$CE$83,MATCH("동부(미얀마산)",'🔖 배합비 참조'!$A$2:$A$83,0),MATCH($C138,'🔖 배합비 참조'!$B$1:$CE$1,0))/100,0),""))),"")</f>
        <v>0</v>
      </c>
      <c r="AJ138" s="42" t="n">
        <f aca="false">IFERROR(IF($C138="","",IF($D138="","",IFERROR(ROUND($D138*INDEX('🔖 배합비 참조'!$B$2:$CE$83,MATCH("두류가공품(백옥앙금)",'🔖 배합비 참조'!$A$2:$A$83,0),MATCH($C138,'🔖 배합비 참조'!$B$1:$CE$1,0))/100,0),""))),"")</f>
        <v>0</v>
      </c>
      <c r="AK138" s="42" t="n">
        <f aca="false">IFERROR(IF($C138="","",IF($D138="","",IFERROR(ROUND($D138*INDEX('🔖 배합비 참조'!$B$2:$CE$83,MATCH("두류가공품(콩고물)",'🔖 배합비 참조'!$A$2:$A$83,0),MATCH($C138,'🔖 배합비 참조'!$B$1:$CE$1,0))/100,0),""))),"")</f>
        <v>0</v>
      </c>
      <c r="AL138" s="42" t="n">
        <f aca="false">IFERROR(IF($C138="","",IF($D138="","",IFERROR(ROUND($D138*INDEX('🔖 배합비 참조'!$B$2:$CE$83,MATCH("두류가공품(통팥고물)",'🔖 배합비 참조'!$A$2:$A$83,0),MATCH($C138,'🔖 배합비 참조'!$B$1:$CE$1,0))/100,0),""))),"")</f>
        <v>0</v>
      </c>
      <c r="AM138" s="42" t="n">
        <f aca="false">IFERROR(IF($C138="","",IF($D138="","",IFERROR(ROUND($D138*INDEX('🔖 배합비 참조'!$B$2:$CE$83,MATCH("딸기레진",'🔖 배합비 참조'!$A$2:$A$83,0),MATCH($C138,'🔖 배합비 참조'!$B$1:$CE$1,0))/100,0),""))),"")</f>
        <v>0</v>
      </c>
      <c r="AN138" s="42" t="n">
        <f aca="false">IFERROR(IF($C138="","",IF($D138="","",IFERROR(ROUND($D138*INDEX('🔖 배합비 참조'!$B$2:$CE$83,MATCH("딸기분말(스트로우베리에이드(분말))",'🔖 배합비 참조'!$A$2:$A$83,0),MATCH($C138,'🔖 배합비 참조'!$B$1:$CE$1,0))/100,0),""))),"")</f>
        <v>0</v>
      </c>
      <c r="AO138" s="42" t="n">
        <f aca="false">IFERROR(IF($C138="","",IF($D138="","",IFERROR(ROUND($D138*INDEX('🔖 배합비 참조'!$B$2:$CE$83,MATCH("마스카포네치즈",'🔖 배합비 참조'!$A$2:$A$83,0),MATCH($C138,'🔖 배합비 참조'!$B$1:$CE$1,0))/100,0),""))),"")</f>
        <v>0</v>
      </c>
      <c r="AP138" s="42" t="n">
        <f aca="false">IFERROR(IF($C138="","",IF($D138="","",IFERROR(ROUND($D138*INDEX('🔖 배합비 참조'!$B$2:$CE$83,MATCH("마카다미아분태(호주산)",'🔖 배합비 참조'!$A$2:$A$83,0),MATCH($C138,'🔖 배합비 참조'!$B$1:$CE$1,0))/100,0),""))),"")</f>
        <v>0</v>
      </c>
      <c r="AQ138" s="42" t="n">
        <f aca="false">IFERROR(IF($C138="","",IF($D138="","",IFERROR(ROUND($D138*INDEX('🔖 배합비 참조'!$B$2:$CE$83,MATCH("멥쌀(국내산)",'🔖 배합비 참조'!$A$2:$A$83,0),MATCH($C138,'🔖 배합비 참조'!$B$1:$CE$1,0))/100,0),""))),"")</f>
        <v>0</v>
      </c>
      <c r="AR138" s="42" t="n">
        <f aca="false">IFERROR(IF($C138="","",IF($D138="","",IFERROR(ROUND($D138*INDEX('🔖 배합비 참조'!$B$2:$CE$83,MATCH("모시잎(국내산)",'🔖 배합비 참조'!$A$2:$A$83,0),MATCH($C138,'🔖 배합비 참조'!$B$1:$CE$1,0))/100,0),""))),"")</f>
        <v>0</v>
      </c>
      <c r="AS138" s="42" t="n">
        <f aca="false">IFERROR(IF($C138="","",IF($D138="","",IFERROR(ROUND($D138*INDEX('🔖 배합비 참조'!$B$2:$CE$83,MATCH("물엿(저당물엿)",'🔖 배합비 참조'!$A$2:$A$83,0),MATCH($C138,'🔖 배합비 참조'!$B$1:$CE$1,0))/100,0),""))),"")</f>
        <v>4</v>
      </c>
      <c r="AT138" s="42" t="n">
        <f aca="false">IFERROR(IF($C138="","",IF($D138="","",IFERROR(ROUND($D138*INDEX('🔖 배합비 참조'!$B$2:$CE$83,MATCH("밤다이스",'🔖 배합비 참조'!$A$2:$A$83,0),MATCH($C138,'🔖 배합비 참조'!$B$1:$CE$1,0))/100,0),""))),"")</f>
        <v>0</v>
      </c>
      <c r="AU138" s="42" t="n">
        <f aca="false">IFERROR(IF($C138="","",IF($D138="","",IFERROR(ROUND($D138*INDEX('🔖 배합비 참조'!$B$2:$CE$83,MATCH("변성전분(타피오카전분)",'🔖 배합비 참조'!$A$2:$A$83,0),MATCH($C138,'🔖 배합비 참조'!$B$1:$CE$1,0))/100,0),""))),"")</f>
        <v>0</v>
      </c>
      <c r="AV138" s="42" t="n">
        <f aca="false">IFERROR(IF($C138="","",IF($D138="","",IFERROR(ROUND($D138*INDEX('🔖 배합비 참조'!$B$2:$CE$83,MATCH("복음땅콩분태",'🔖 배합비 참조'!$A$2:$A$83,0),MATCH($C138,'🔖 배합비 참조'!$B$1:$CE$1,0))/100,0),""))),"")</f>
        <v>0</v>
      </c>
      <c r="AW138" s="42" t="n">
        <f aca="false">IFERROR(IF($C138="","",IF($D138="","",IFERROR(ROUND($D138*INDEX('🔖 배합비 참조'!$B$2:$CE$83,MATCH("사양벌꿀(국내산)",'🔖 배합비 참조'!$A$2:$A$83,0),MATCH($C138,'🔖 배합비 참조'!$B$1:$CE$1,0))/100,0),""))),"")</f>
        <v>0</v>
      </c>
      <c r="AX138" s="42" t="n">
        <f aca="false">IFERROR(IF($C138="","",IF($D138="","",IFERROR(ROUND($D138*INDEX('🔖 배합비 참조'!$B$2:$CE$83,MATCH("생크림",'🔖 배합비 참조'!$A$2:$A$83,0),MATCH($C138,'🔖 배합비 참조'!$B$1:$CE$1,0))/100,0),""))),"")</f>
        <v>5</v>
      </c>
      <c r="AY138" s="42" t="n">
        <f aca="false">IFERROR(IF($C138="","",IF($D138="","",IFERROR(ROUND($D138*INDEX('🔖 배합비 참조'!$B$2:$CE$83,MATCH("서양호박(국내산,뉴질랜드산)",'🔖 배합비 참조'!$A$2:$A$83,0),MATCH($C138,'🔖 배합비 참조'!$B$1:$CE$1,0))/100,0),""))),"")</f>
        <v>0</v>
      </c>
      <c r="AZ138" s="42" t="n">
        <f aca="false">IFERROR(IF($C138="","",IF($D138="","",IFERROR(ROUND($D138*INDEX('🔖 배합비 참조'!$B$2:$CE$83,MATCH("설탕",'🔖 배합비 참조'!$A$2:$A$83,0),MATCH($C138,'🔖 배합비 참조'!$B$1:$CE$1,0))/100,0),""))),"")</f>
        <v>1</v>
      </c>
      <c r="BA138" s="42" t="n">
        <f aca="false">IFERROR(IF($C138="","",IF($D138="","",IFERROR(ROUND($D138*INDEX('🔖 배합비 참조'!$B$2:$CE$83,MATCH("스트로우베리 에이드 후레쉬",'🔖 배합비 참조'!$A$2:$A$83,0),MATCH($C138,'🔖 배합비 참조'!$B$1:$CE$1,0))/100,0),""))),"")</f>
        <v>0</v>
      </c>
      <c r="BB138" s="42" t="n">
        <f aca="false">IFERROR(IF($C138="","",IF($D138="","",IFERROR(ROUND($D138*INDEX('🔖 배합비 참조'!$B$2:$CE$83,MATCH("식물성기름혼합제제(분홍)",'🔖 배합비 참조'!$A$2:$A$83,0),MATCH($C138,'🔖 배합비 참조'!$B$1:$CE$1,0))/100,0),""))),"")</f>
        <v>0</v>
      </c>
      <c r="BC138" s="42" t="n">
        <f aca="false">IFERROR(IF($C138="","",IF($D138="","",IFERROR(ROUND($D138*INDEX('🔖 배합비 참조'!$B$2:$CE$83,MATCH("식물성기름혼합제제(초록)",'🔖 배합비 참조'!$A$2:$A$83,0),MATCH($C138,'🔖 배합비 참조'!$B$1:$CE$1,0))/100,0),""))),"")</f>
        <v>0</v>
      </c>
      <c r="BD138" s="42" t="n">
        <f aca="false">IFERROR(IF($C138="","",IF($D138="","",IFERROR(ROUND($D138*INDEX('🔖 배합비 참조'!$B$2:$CE$83,MATCH("식물성기름혼합제제(황색)",'🔖 배합비 참조'!$A$2:$A$83,0),MATCH($C138,'🔖 배합비 참조'!$B$1:$CE$1,0))/100,0),""))),"")</f>
        <v>0</v>
      </c>
      <c r="BE138" s="42" t="n">
        <f aca="false">IFERROR(IF($C138="","",IF($D138="","",IFERROR(ROUND($D138*INDEX('🔖 배합비 참조'!$B$2:$CE$83,MATCH("쑥가루(국내산)",'🔖 배합비 참조'!$A$2:$A$83,0),MATCH($C138,'🔖 배합비 참조'!$B$1:$CE$1,0))/100,0),""))),"")</f>
        <v>0</v>
      </c>
      <c r="BF138" s="42" t="n">
        <f aca="false">IFERROR(IF($C138="","",IF($D138="","",IFERROR(ROUND($D138*INDEX('🔖 배합비 참조'!$B$2:$CE$83,MATCH("아몬드슬라이스",'🔖 배합비 참조'!$A$2:$A$83,0),MATCH($C138,'🔖 배합비 참조'!$B$1:$CE$1,0))/100,0),""))),"")</f>
        <v>0</v>
      </c>
      <c r="BG138" s="42" t="n">
        <f aca="false">IFERROR(IF($C138="","",IF($D138="","",IFERROR(ROUND($D138*INDEX('🔖 배합비 참조'!$B$2:$CE$83,MATCH("알룰로오스(국내산)",'🔖 배합비 참조'!$A$2:$A$83,0),MATCH($C138,'🔖 배합비 참조'!$B$1:$CE$1,0))/100,0),""))),"")</f>
        <v>0</v>
      </c>
      <c r="BH138" s="42" t="n">
        <f aca="false">IFERROR(IF($C138="","",IF($D138="","",IFERROR(ROUND($D138*INDEX('🔖 배합비 참조'!$B$2:$CE$83,MATCH("연유",'🔖 배합비 참조'!$A$2:$A$83,0),MATCH($C138,'🔖 배합비 참조'!$B$1:$CE$1,0))/100,0),""))),"")</f>
        <v>0</v>
      </c>
      <c r="BI138" s="42" t="n">
        <f aca="false">IFERROR(IF($C138="","",IF($D138="","",IFERROR(ROUND($D138*INDEX('🔖 배합비 참조'!$B$2:$CE$83,MATCH("옥수수전분",'🔖 배합비 참조'!$A$2:$A$83,0),MATCH($C138,'🔖 배합비 참조'!$B$1:$CE$1,0))/100,0),""))),"")</f>
        <v>0</v>
      </c>
      <c r="BJ138" s="42" t="n">
        <f aca="false">IFERROR(IF($C138="","",IF($D138="","",IFERROR(ROUND($D138*INDEX('🔖 배합비 참조'!$B$2:$CE$83,MATCH("완두배기",'🔖 배합비 참조'!$A$2:$A$83,0),MATCH($C138,'🔖 배합비 참조'!$B$1:$CE$1,0))/100,0),""))),"")</f>
        <v>0</v>
      </c>
      <c r="BK138" s="42" t="n">
        <f aca="false">IFERROR(IF($C138="","",IF($D138="","",IFERROR(ROUND($D138*INDEX('🔖 배합비 참조'!$B$2:$CE$83,MATCH("우유(국내산)",'🔖 배합비 참조'!$A$2:$A$83,0),MATCH($C138,'🔖 배합비 참조'!$B$1:$CE$1,0))/100,0),""))),"")</f>
        <v>0</v>
      </c>
      <c r="BL138" s="42" t="n">
        <f aca="false">IFERROR(IF($C138="","",IF($D138="","",IFERROR(ROUND($D138*INDEX('🔖 배합비 참조'!$B$2:$CE$83,MATCH("자색고구마가루(중국산)",'🔖 배합비 참조'!$A$2:$A$83,0),MATCH($C138,'🔖 배합비 참조'!$B$1:$CE$1,0))/100,0),""))),"")</f>
        <v>0</v>
      </c>
      <c r="BM138" s="42" t="n">
        <f aca="false">IFERROR(IF($C138="","",IF($D138="","",IFERROR(ROUND($D138*INDEX('🔖 배합비 참조'!$B$2:$CE$83,MATCH("자연치즈(체다치즈)",'🔖 배합비 참조'!$A$2:$A$83,0),MATCH($C138,'🔖 배합비 참조'!$B$1:$CE$1,0))/100,0),""))),"")</f>
        <v>0</v>
      </c>
      <c r="BN138" s="42" t="n">
        <f aca="false">IFERROR(IF($C138="","",IF($D138="","",IFERROR(ROUND($D138*INDEX('🔖 배합비 참조'!$B$2:$CE$83,MATCH("정제수",'🔖 배합비 참조'!$A$2:$A$83,0),MATCH($C138,'🔖 배합비 참조'!$B$1:$CE$1,0))/100,0),""))),"")</f>
        <v>2</v>
      </c>
      <c r="BO138" s="42" t="n">
        <f aca="false">IFERROR(IF($C138="","",IF($D138="","",IFERROR(ROUND($D138*INDEX('🔖 배합비 참조'!$B$2:$CE$83,MATCH("젤라틴",'🔖 배합비 참조'!$A$2:$A$83,0),MATCH($C138,'🔖 배합비 참조'!$B$1:$CE$1,0))/100,0),""))),"")</f>
        <v>0</v>
      </c>
      <c r="BP138" s="42" t="n">
        <f aca="false">IFERROR(IF($C138="","",IF($D138="","",IFERROR(ROUND($D138*INDEX('🔖 배합비 참조'!$B$2:$CE$83,MATCH("조림류(백옥앙금)",'🔖 배합비 참조'!$A$2:$A$83,0),MATCH($C138,'🔖 배합비 참조'!$B$1:$CE$1,0))/100,0),""))),"")</f>
        <v>7</v>
      </c>
      <c r="BQ138" s="42" t="n">
        <f aca="false">IFERROR(IF($C138="","",IF($D138="","",IFERROR(ROUND($D138*INDEX('🔖 배합비 참조'!$B$2:$CE$83,MATCH("조림류(통팥앙금)",'🔖 배합비 참조'!$A$2:$A$83,0),MATCH($C138,'🔖 배합비 참조'!$B$1:$CE$1,0))/100,0),""))),"")</f>
        <v>0</v>
      </c>
      <c r="BR138" s="42" t="n">
        <f aca="false">IFERROR(IF($C138="","",IF($D138="","",IFERROR(ROUND($D138*INDEX('🔖 배합비 참조'!$B$2:$CE$83,MATCH("준초콜릿(외국산)",'🔖 배합비 참조'!$A$2:$A$83,0),MATCH($C138,'🔖 배합비 참조'!$B$1:$CE$1,0))/100,0),""))),"")</f>
        <v>0</v>
      </c>
      <c r="BS138" s="42" t="n">
        <f aca="false">IFERROR(IF($C138="","",IF($D138="","",IFERROR(ROUND($D138*INDEX('🔖 배합비 참조'!$B$2:$CE$83,MATCH("중력분",'🔖 배합비 참조'!$A$2:$A$83,0),MATCH($C138,'🔖 배합비 참조'!$B$1:$CE$1,0))/100,0),""))),"")</f>
        <v>0</v>
      </c>
      <c r="BT138" s="42" t="n">
        <f aca="false">IFERROR(IF($C138="","",IF($D138="","",IFERROR(ROUND($D138*INDEX('🔖 배합비 참조'!$B$2:$CE$83,MATCH("참깨(인도산,나이지리아산,탄자니아산,미얀마산)",'🔖 배합비 참조'!$A$2:$A$83,0),MATCH($C138,'🔖 배합비 참조'!$B$1:$CE$1,0))/100,0),""))),"")</f>
        <v>0</v>
      </c>
      <c r="BU138" s="42" t="n">
        <f aca="false">IFERROR(IF($C138="","",IF($D138="","",IFERROR(ROUND($D138*INDEX('🔖 배합비 참조'!$B$2:$CE$83,MATCH("찹쌀(국내산)",'🔖 배합비 참조'!$A$2:$A$83,0),MATCH($C138,'🔖 배합비 참조'!$B$1:$CE$1,0))/100,0),""))),"")</f>
        <v>37</v>
      </c>
      <c r="BV138" s="42" t="n">
        <f aca="false">IFERROR(IF($C138="","",IF($D138="","",IFERROR(ROUND($D138*INDEX('🔖 배합비 참조'!$B$2:$CE$83,MATCH("천일염",'🔖 배합비 참조'!$A$2:$A$83,0),MATCH($C138,'🔖 배합비 참조'!$B$1:$CE$1,0))/100,0),""))),"")</f>
        <v>0</v>
      </c>
      <c r="BW138" s="42" t="n">
        <f aca="false">IFERROR(IF($C138="","",IF($D138="","",IFERROR(ROUND($D138*INDEX('🔖 배합비 참조'!$B$2:$CE$83,MATCH("치즈 [크림치즈]",'🔖 배합비 참조'!$A$2:$A$83,0),MATCH($C138,'🔖 배합비 참조'!$B$1:$CE$1,0))/100,0),""))),"")</f>
        <v>5</v>
      </c>
      <c r="BX138" s="42" t="n">
        <f aca="false">IFERROR(IF($C138="","",IF($D138="","",IFERROR(ROUND($D138*INDEX('🔖 배합비 참조'!$B$2:$CE$83,MATCH("코코아가공품류(코코아분말)",'🔖 배합비 참조'!$A$2:$A$83,0),MATCH($C138,'🔖 배합비 참조'!$B$1:$CE$1,0))/100,0),""))),"")</f>
        <v>0</v>
      </c>
      <c r="BY138" s="42" t="n">
        <f aca="false">IFERROR(IF($C138="","",IF($D138="","",IFERROR(ROUND($D138*INDEX('🔖 배합비 참조'!$B$2:$CE$83,MATCH("콩기름(대두유)",'🔖 배합비 참조'!$A$2:$A$83,0),MATCH($C138,'🔖 배합비 참조'!$B$1:$CE$1,0))/100,0),""))),"")</f>
        <v>0</v>
      </c>
      <c r="BZ138" s="42" t="n">
        <f aca="false">IFERROR(IF($C138="","",IF($D138="","",IFERROR(ROUND($D138*INDEX('🔖 배합비 참조'!$B$2:$CE$83,MATCH("해바라기씨앗",'🔖 배합비 참조'!$A$2:$A$83,0),MATCH($C138,'🔖 배합비 참조'!$B$1:$CE$1,0))/100,0),""))),"")</f>
        <v>0</v>
      </c>
      <c r="CA138" s="42" t="n">
        <f aca="false">IFERROR(IF($C138="","",IF($D138="","",IFERROR(ROUND($D138*INDEX('🔖 배합비 참조'!$B$2:$CE$83,MATCH("현미(국내산)",'🔖 배합비 참조'!$A$2:$A$83,0),MATCH($C138,'🔖 배합비 참조'!$B$1:$CE$1,0))/100,0),""))),"")</f>
        <v>0</v>
      </c>
      <c r="CB138" s="42" t="n">
        <f aca="false">IFERROR(IF($C138="","",IF($D138="","",IFERROR(ROUND($D138*INDEX('🔖 배합비 참조'!$B$2:$CE$83,MATCH("현미멥쌀(국내산)",'🔖 배합비 참조'!$A$2:$A$83,0),MATCH($C138,'🔖 배합비 참조'!$B$1:$CE$1,0))/100,0),""))),"")</f>
        <v>0</v>
      </c>
      <c r="CC138" s="42" t="n">
        <f aca="false">IFERROR(IF($C138="","",IF($D138="","",IFERROR(ROUND($D138*INDEX('🔖 배합비 참조'!$B$2:$CE$83,MATCH("호두분태(미국산)",'🔖 배합비 참조'!$A$2:$A$83,0),MATCH($C138,'🔖 배합비 참조'!$B$1:$CE$1,0))/100,0),""))),"")</f>
        <v>0</v>
      </c>
      <c r="CD138" s="42" t="n">
        <f aca="false">IFERROR(IF($C138="","",IF($D138="","",IFERROR(ROUND($D138*INDEX('🔖 배합비 참조'!$B$2:$CE$83,MATCH("호박씨앗(외국산)",'🔖 배합비 참조'!$A$2:$A$83,0),MATCH($C138,'🔖 배합비 참조'!$B$1:$CE$1,0))/100,0),""))),"")</f>
        <v>0</v>
      </c>
      <c r="CE138" s="42" t="n">
        <f aca="false">IFERROR(IF($C138="","",IF($D138="","",IFERROR(ROUND($D138*INDEX('🔖 배합비 참조'!$B$2:$CE$83,MATCH("혼합제제(떡용에스텔)",'🔖 배합비 참조'!$A$2:$A$83,0),MATCH($C138,'🔖 배합비 참조'!$B$1:$CE$1,0))/100,0),""))),"")</f>
        <v>0</v>
      </c>
      <c r="CF138" s="42" t="n">
        <f aca="false">IFERROR(IF($C138="","",IF($D138="","",IFERROR(ROUND($D138*INDEX('🔖 배합비 참조'!$B$2:$CE$83,MATCH("혼합제제(스테비아)",'🔖 배합비 참조'!$A$2:$A$83,0),MATCH($C138,'🔖 배합비 참조'!$B$1:$CE$1,0))/100,0),""))),"")</f>
        <v>0</v>
      </c>
      <c r="CG138" s="42" t="n">
        <f aca="false">IFERROR(IF($C138="","",IF($D138="","",IFERROR(ROUND($D138*INDEX('🔖 배합비 참조'!$B$2:$CE$83,MATCH("화이트초콜릿",'🔖 배합비 참조'!$A$2:$A$83,0),MATCH($C138,'🔖 배합비 참조'!$B$1:$CE$1,0))/100,0),""))),"")</f>
        <v>2</v>
      </c>
      <c r="CH138" s="42" t="n">
        <f aca="false">IFERROR(IF($C138="","",IF($D138="","",IFERROR(ROUND($D138*INDEX('🔖 배합비 참조'!$B$2:$CE$83,MATCH("흑미찹쌀(국내산)",'🔖 배합비 참조'!$A$2:$A$83,0),MATCH($C138,'🔖 배합비 참조'!$B$1:$CE$1,0))/100,0),""))),"")</f>
        <v>0</v>
      </c>
      <c r="CI138" s="42" t="n">
        <f aca="false">IFERROR(IF($C138="","",IF($D138="","",IFERROR(ROUND($D138*INDEX('🔖 배합비 참조'!$B$2:$CE$83,MATCH("찰옥수수전분(미국산)",'🔖 배합비 참조'!$A$2:$A$83,0),MATCH($C138,'🔖 배합비 참조'!$B$1:$CE$1,0))/100,0),""))),"")</f>
        <v>0</v>
      </c>
      <c r="CJ138" s="40"/>
      <c r="CL138" s="1" t="s">
        <v>239</v>
      </c>
    </row>
    <row r="139" customFormat="false" ht="18" hidden="false" customHeight="true" outlineLevel="0" collapsed="false">
      <c r="A139" s="35" t="n">
        <v>135</v>
      </c>
      <c r="B139" s="36" t="n">
        <v>46015</v>
      </c>
      <c r="C139" s="37" t="s">
        <v>242</v>
      </c>
      <c r="D139" s="38" t="n">
        <v>70</v>
      </c>
      <c r="E139" s="13"/>
      <c r="F139" s="13"/>
      <c r="G139" s="39" t="n">
        <f aca="false">IFERROR(IF($C139="","",IF($D139="","",IFERROR(ROUND($D139*INDEX('🔖 배합비 참조'!$B$2:$CE$83,MATCH("간장",'🔖 배합비 참조'!$A$2:$A$83,0),MATCH($C139,'🔖 배합비 참조'!$B$1:$CE$1,0))/100,0),""))),"")</f>
        <v>0</v>
      </c>
      <c r="H139" s="39" t="n">
        <f aca="false">IFERROR(IF($C139="","",IF($D139="","",IFERROR(ROUND($D139*INDEX('🔖 배합비 참조'!$B$2:$CE$83,MATCH("강낭콩((울타리콩))",'🔖 배합비 참조'!$A$2:$A$83,0),MATCH($C139,'🔖 배합비 참조'!$B$1:$CE$1,0))/100,0),""))),"")</f>
        <v>0</v>
      </c>
      <c r="I139" s="39" t="n">
        <f aca="false">IFERROR(IF($C139="","",IF($D139="","",IFERROR(ROUND($D139*INDEX('🔖 배합비 참조'!$B$2:$CE$83,MATCH("건조딸기다이스(외국산)",'🔖 배합비 참조'!$A$2:$A$83,0),MATCH($C139,'🔖 배합비 참조'!$B$1:$CE$1,0))/100,0),""))),"")</f>
        <v>0</v>
      </c>
      <c r="J139" s="39" t="n">
        <f aca="false">IFERROR(IF($C139="","",IF($D139="","",IFERROR(ROUND($D139*INDEX('🔖 배합비 참조'!$B$2:$CE$83,MATCH("건포도",'🔖 배합비 참조'!$A$2:$A$83,0),MATCH($C139,'🔖 배합비 참조'!$B$1:$CE$1,0))/100,0),""))),"")</f>
        <v>0</v>
      </c>
      <c r="K139" s="39" t="n">
        <f aca="false">IFERROR(IF($C139="","",IF($D139="","",IFERROR(ROUND($D139*INDEX('🔖 배합비 참조'!$B$2:$CE$83,MATCH("건호박채(중국산)",'🔖 배합비 참조'!$A$2:$A$83,0),MATCH($C139,'🔖 배합비 참조'!$B$1:$CE$1,0))/100,0),""))),"")</f>
        <v>0</v>
      </c>
      <c r="L139" s="39" t="n">
        <f aca="false">IFERROR(IF($C139="","",IF($D139="","",IFERROR(ROUND($D139*INDEX('🔖 배합비 참조'!$B$2:$CE$83,MATCH("검정깨(흑임자)",'🔖 배합비 참조'!$A$2:$A$83,0),MATCH($C139,'🔖 배합비 참조'!$B$1:$CE$1,0))/100,0),""))),"")</f>
        <v>0</v>
      </c>
      <c r="M139" s="39" t="n">
        <f aca="false">IFERROR(IF($C139="","",IF($D139="","",IFERROR(ROUND($D139*INDEX('🔖 배합비 참조'!$B$2:$CE$83,MATCH("검정콩",'🔖 배합비 참조'!$A$2:$A$83,0),MATCH($C139,'🔖 배합비 참조'!$B$1:$CE$1,0))/100,0),""))),"")</f>
        <v>0</v>
      </c>
      <c r="N139" s="39" t="n">
        <f aca="false">IFERROR(IF($C139="","",IF($D139="","",IFERROR(ROUND($D139*INDEX('🔖 배합비 참조'!$B$2:$CE$83,MATCH("계피가루",'🔖 배합비 참조'!$A$2:$A$83,0),MATCH($C139,'🔖 배합비 참조'!$B$1:$CE$1,0))/100,0),""))),"")</f>
        <v>0</v>
      </c>
      <c r="O139" s="39" t="n">
        <f aca="false">IFERROR(IF($C139="","",IF($D139="","",IFERROR(ROUND($D139*INDEX('🔖 배합비 참조'!$B$2:$CE$83,MATCH("고구마가루",'🔖 배합비 참조'!$A$2:$A$83,0),MATCH($C139,'🔖 배합비 참조'!$B$1:$CE$1,0))/100,0),""))),"")</f>
        <v>2</v>
      </c>
      <c r="P139" s="39" t="n">
        <f aca="false">IFERROR(IF($C139="","",IF($D139="","",IFERROR(ROUND($D139*INDEX('🔖 배합비 참조'!$B$2:$CE$83,MATCH("고구마무스",'🔖 배합비 참조'!$A$2:$A$83,0),MATCH($C139,'🔖 배합비 참조'!$B$1:$CE$1,0))/100,0),""))),"")</f>
        <v>3</v>
      </c>
      <c r="Q139" s="39" t="n">
        <f aca="false">IFERROR(IF($C139="","",IF($D139="","",IFERROR(ROUND($D139*INDEX('🔖 배합비 참조'!$B$2:$CE$83,MATCH("고려엉겅퀴((곤드레)국내산)",'🔖 배합비 참조'!$A$2:$A$83,0),MATCH($C139,'🔖 배합비 참조'!$B$1:$CE$1,0))/100,0),""))),"")</f>
        <v>0</v>
      </c>
      <c r="R139" s="39" t="n">
        <f aca="false">IFERROR(IF($C139="","",IF($D139="","",IFERROR(ROUND($D139*INDEX('🔖 배합비 참조'!$B$2:$CE$83,MATCH("기타가공품(복분자가루)",'🔖 배합비 참조'!$A$2:$A$83,0),MATCH($C139,'🔖 배합비 참조'!$B$1:$CE$1,0))/100,0),""))),"")</f>
        <v>0</v>
      </c>
      <c r="S139" s="39" t="n">
        <f aca="false">IFERROR(IF($C139="","",IF($D139="","",IFERROR(ROUND($D139*INDEX('🔖 배합비 참조'!$B$2:$CE$83,MATCH("기타가공품(슈퍼소프트엠)",'🔖 배합비 참조'!$A$2:$A$83,0),MATCH($C139,'🔖 배합비 참조'!$B$1:$CE$1,0))/100,0),""))),"")</f>
        <v>0</v>
      </c>
      <c r="T139" s="39" t="n">
        <f aca="false">IFERROR(IF($C139="","",IF($D139="","",IFERROR(ROUND($D139*INDEX('🔖 배합비 참조'!$B$2:$CE$83,MATCH("기타가공품(파인소프트 E-티)",'🔖 배합비 참조'!$A$2:$A$83,0),MATCH($C139,'🔖 배합비 참조'!$B$1:$CE$1,0))/100,0),""))),"")</f>
        <v>0</v>
      </c>
      <c r="U139" s="39" t="n">
        <f aca="false">IFERROR(IF($C139="","",IF($D139="","",IFERROR(ROUND($D139*INDEX('🔖 배합비 참조'!$B$2:$CE$83,MATCH("기타가공품(프리미엄카스테라가루)",'🔖 배합비 참조'!$A$2:$A$83,0),MATCH($C139,'🔖 배합비 참조'!$B$1:$CE$1,0))/100,0),""))),"")</f>
        <v>2</v>
      </c>
      <c r="V139" s="39" t="n">
        <f aca="false">IFERROR(IF($C139="","",IF($D139="","",IFERROR(ROUND($D139*INDEX('🔖 배합비 참조'!$B$2:$CE$83,MATCH("기타가공품(흑임자가루)",'🔖 배합비 참조'!$A$2:$A$83,0),MATCH($C139,'🔖 배합비 참조'!$B$1:$CE$1,0))/100,0),""))),"")</f>
        <v>0</v>
      </c>
      <c r="W139" s="39" t="n">
        <f aca="false">IFERROR(IF($C139="","",IF($D139="","",IFERROR(ROUND($D139*INDEX('🔖 배합비 참조'!$B$2:$CE$83,MATCH("기타설탕(흑설탕)",'🔖 배합비 참조'!$A$2:$A$83,0),MATCH($C139,'🔖 배합비 참조'!$B$1:$CE$1,0))/100,0),""))),"")</f>
        <v>0</v>
      </c>
      <c r="X139" s="39" t="n">
        <f aca="false">IFERROR(IF($C139="","",IF($D139="","",IFERROR(ROUND($D139*INDEX('🔖 배합비 참조'!$B$2:$CE$83,MATCH("냉동쑥(국내산)",'🔖 배합비 참조'!$A$2:$A$83,0),MATCH($C139,'🔖 배합비 참조'!$B$1:$CE$1,0))/100,0),""))),"")</f>
        <v>0</v>
      </c>
      <c r="Y139" s="39" t="n">
        <f aca="false">IFERROR(IF($C139="","",IF($D139="","",IFERROR(ROUND($D139*INDEX('🔖 배합비 참조'!$B$2:$CE$83,MATCH("냉동증숙고구마(중국산)",'🔖 배합비 참조'!$A$2:$A$83,0),MATCH($C139,'🔖 배합비 참조'!$B$1:$CE$1,0))/100,0),""))),"")</f>
        <v>0</v>
      </c>
      <c r="Z139" s="39" t="n">
        <f aca="false">IFERROR(IF($C139="","",IF($D139="","",IFERROR(ROUND($D139*INDEX('🔖 배합비 참조'!$B$2:$CE$83,MATCH("녹차가루",'🔖 배합비 참조'!$A$2:$A$83,0),MATCH($C139,'🔖 배합비 참조'!$B$1:$CE$1,0))/100,0),""))),"")</f>
        <v>0</v>
      </c>
      <c r="AA139" s="39" t="n">
        <f aca="false">IFERROR(IF($C139="","",IF($D139="","",IFERROR(ROUND($D139*INDEX('🔖 배합비 참조'!$B$2:$CE$83,MATCH("다크초콜릿 컴파운드칩",'🔖 배합비 참조'!$A$2:$A$83,0),MATCH($C139,'🔖 배합비 참조'!$B$1:$CE$1,0))/100,0),""))),"")</f>
        <v>0</v>
      </c>
      <c r="AB139" s="39" t="n">
        <f aca="false">IFERROR(IF($C139="","",IF($D139="","",IFERROR(ROUND($D139*INDEX('🔖 배합비 참조'!$B$2:$CE$83,MATCH("단호박분말(중국산)",'🔖 배합비 참조'!$A$2:$A$83,0),MATCH($C139,'🔖 배합비 참조'!$B$1:$CE$1,0))/100,0),""))),"")</f>
        <v>0</v>
      </c>
      <c r="AC139" s="39" t="n">
        <f aca="false">IFERROR(IF($C139="","",IF($D139="","",IFERROR(ROUND($D139*INDEX('🔖 배합비 참조'!$B$2:$CE$83,MATCH("당류가공품(단호박농축액)",'🔖 배합비 참조'!$A$2:$A$83,0),MATCH($C139,'🔖 배합비 참조'!$B$1:$CE$1,0))/100,0),""))),"")</f>
        <v>0</v>
      </c>
      <c r="AD139" s="39" t="n">
        <f aca="false">IFERROR(IF($C139="","",IF($D139="","",IFERROR(ROUND($D139*INDEX('🔖 배합비 참조'!$B$2:$CE$83,MATCH("당류가공품(알룰로스,에리스리톨,스테비올배당체혼합)",'🔖 배합비 참조'!$A$2:$A$83,0),MATCH($C139,'🔖 배합비 참조'!$B$1:$CE$1,0))/100,0),""))),"")</f>
        <v>0</v>
      </c>
      <c r="AE139" s="39" t="n">
        <f aca="false">IFERROR(IF($C139="","",IF($D139="","",IFERROR(ROUND($D139*INDEX('🔖 배합비 참조'!$B$2:$CE$83,MATCH("당류가공품(알룰로스제로파우더)",'🔖 배합비 참조'!$A$2:$A$83,0),MATCH($C139,'🔖 배합비 참조'!$B$1:$CE$1,0))/100,0),""))),"")</f>
        <v>0</v>
      </c>
      <c r="AF139" s="39" t="n">
        <f aca="false">IFERROR(IF($C139="","",IF($D139="","",IFERROR(ROUND($D139*INDEX('🔖 배합비 참조'!$B$2:$CE$83,MATCH("당절임(완두배기)",'🔖 배합비 참조'!$A$2:$A$83,0),MATCH($C139,'🔖 배합비 참조'!$B$1:$CE$1,0))/100,0),""))),"")</f>
        <v>0</v>
      </c>
      <c r="AG139" s="39" t="n">
        <f aca="false">IFERROR(IF($C139="","",IF($D139="","",IFERROR(ROUND($D139*INDEX('🔖 배합비 참조'!$B$2:$CE$83,MATCH("대추농축액",'🔖 배합비 참조'!$A$2:$A$83,0),MATCH($C139,'🔖 배합비 참조'!$B$1:$CE$1,0))/100,0),""))),"")</f>
        <v>0</v>
      </c>
      <c r="AH139" s="39" t="n">
        <f aca="false">IFERROR(IF($C139="","",IF($D139="","",IFERROR(ROUND($D139*INDEX('🔖 배합비 참조'!$B$2:$CE$83,MATCH("대추채(국내산)",'🔖 배합비 참조'!$A$2:$A$83,0),MATCH($C139,'🔖 배합비 참조'!$B$1:$CE$1,0))/100,0),""))),"")</f>
        <v>0</v>
      </c>
      <c r="AI139" s="39" t="n">
        <f aca="false">IFERROR(IF($C139="","",IF($D139="","",IFERROR(ROUND($D139*INDEX('🔖 배합비 참조'!$B$2:$CE$83,MATCH("동부(미얀마산)",'🔖 배합비 참조'!$A$2:$A$83,0),MATCH($C139,'🔖 배합비 참조'!$B$1:$CE$1,0))/100,0),""))),"")</f>
        <v>0</v>
      </c>
      <c r="AJ139" s="39" t="n">
        <f aca="false">IFERROR(IF($C139="","",IF($D139="","",IFERROR(ROUND($D139*INDEX('🔖 배합비 참조'!$B$2:$CE$83,MATCH("두류가공품(백옥앙금)",'🔖 배합비 참조'!$A$2:$A$83,0),MATCH($C139,'🔖 배합비 참조'!$B$1:$CE$1,0))/100,0),""))),"")</f>
        <v>0</v>
      </c>
      <c r="AK139" s="39" t="n">
        <f aca="false">IFERROR(IF($C139="","",IF($D139="","",IFERROR(ROUND($D139*INDEX('🔖 배합비 참조'!$B$2:$CE$83,MATCH("두류가공품(콩고물)",'🔖 배합비 참조'!$A$2:$A$83,0),MATCH($C139,'🔖 배합비 참조'!$B$1:$CE$1,0))/100,0),""))),"")</f>
        <v>0</v>
      </c>
      <c r="AL139" s="39" t="n">
        <f aca="false">IFERROR(IF($C139="","",IF($D139="","",IFERROR(ROUND($D139*INDEX('🔖 배합비 참조'!$B$2:$CE$83,MATCH("두류가공품(통팥고물)",'🔖 배합비 참조'!$A$2:$A$83,0),MATCH($C139,'🔖 배합비 참조'!$B$1:$CE$1,0))/100,0),""))),"")</f>
        <v>0</v>
      </c>
      <c r="AM139" s="39" t="n">
        <f aca="false">IFERROR(IF($C139="","",IF($D139="","",IFERROR(ROUND($D139*INDEX('🔖 배합비 참조'!$B$2:$CE$83,MATCH("딸기레진",'🔖 배합비 참조'!$A$2:$A$83,0),MATCH($C139,'🔖 배합비 참조'!$B$1:$CE$1,0))/100,0),""))),"")</f>
        <v>0</v>
      </c>
      <c r="AN139" s="39" t="n">
        <f aca="false">IFERROR(IF($C139="","",IF($D139="","",IFERROR(ROUND($D139*INDEX('🔖 배합비 참조'!$B$2:$CE$83,MATCH("딸기분말(스트로우베리에이드(분말))",'🔖 배합비 참조'!$A$2:$A$83,0),MATCH($C139,'🔖 배합비 참조'!$B$1:$CE$1,0))/100,0),""))),"")</f>
        <v>0</v>
      </c>
      <c r="AO139" s="39" t="n">
        <f aca="false">IFERROR(IF($C139="","",IF($D139="","",IFERROR(ROUND($D139*INDEX('🔖 배합비 참조'!$B$2:$CE$83,MATCH("마스카포네치즈",'🔖 배합비 참조'!$A$2:$A$83,0),MATCH($C139,'🔖 배합비 참조'!$B$1:$CE$1,0))/100,0),""))),"")</f>
        <v>0</v>
      </c>
      <c r="AP139" s="39" t="n">
        <f aca="false">IFERROR(IF($C139="","",IF($D139="","",IFERROR(ROUND($D139*INDEX('🔖 배합비 참조'!$B$2:$CE$83,MATCH("마카다미아분태(호주산)",'🔖 배합비 참조'!$A$2:$A$83,0),MATCH($C139,'🔖 배합비 참조'!$B$1:$CE$1,0))/100,0),""))),"")</f>
        <v>0</v>
      </c>
      <c r="AQ139" s="39" t="n">
        <f aca="false">IFERROR(IF($C139="","",IF($D139="","",IFERROR(ROUND($D139*INDEX('🔖 배합비 참조'!$B$2:$CE$83,MATCH("멥쌀(국내산)",'🔖 배합비 참조'!$A$2:$A$83,0),MATCH($C139,'🔖 배합비 참조'!$B$1:$CE$1,0))/100,0),""))),"")</f>
        <v>0</v>
      </c>
      <c r="AR139" s="39" t="n">
        <f aca="false">IFERROR(IF($C139="","",IF($D139="","",IFERROR(ROUND($D139*INDEX('🔖 배합비 참조'!$B$2:$CE$83,MATCH("모시잎(국내산)",'🔖 배합비 참조'!$A$2:$A$83,0),MATCH($C139,'🔖 배합비 참조'!$B$1:$CE$1,0))/100,0),""))),"")</f>
        <v>0</v>
      </c>
      <c r="AS139" s="39" t="n">
        <f aca="false">IFERROR(IF($C139="","",IF($D139="","",IFERROR(ROUND($D139*INDEX('🔖 배합비 참조'!$B$2:$CE$83,MATCH("물엿(저당물엿)",'🔖 배합비 참조'!$A$2:$A$83,0),MATCH($C139,'🔖 배합비 참조'!$B$1:$CE$1,0))/100,0),""))),"")</f>
        <v>4</v>
      </c>
      <c r="AT139" s="39" t="n">
        <f aca="false">IFERROR(IF($C139="","",IF($D139="","",IFERROR(ROUND($D139*INDEX('🔖 배합비 참조'!$B$2:$CE$83,MATCH("밤다이스",'🔖 배합비 참조'!$A$2:$A$83,0),MATCH($C139,'🔖 배합비 참조'!$B$1:$CE$1,0))/100,0),""))),"")</f>
        <v>0</v>
      </c>
      <c r="AU139" s="39" t="n">
        <f aca="false">IFERROR(IF($C139="","",IF($D139="","",IFERROR(ROUND($D139*INDEX('🔖 배합비 참조'!$B$2:$CE$83,MATCH("변성전분(타피오카전분)",'🔖 배합비 참조'!$A$2:$A$83,0),MATCH($C139,'🔖 배합비 참조'!$B$1:$CE$1,0))/100,0),""))),"")</f>
        <v>0</v>
      </c>
      <c r="AV139" s="39" t="n">
        <f aca="false">IFERROR(IF($C139="","",IF($D139="","",IFERROR(ROUND($D139*INDEX('🔖 배합비 참조'!$B$2:$CE$83,MATCH("복음땅콩분태",'🔖 배합비 참조'!$A$2:$A$83,0),MATCH($C139,'🔖 배합비 참조'!$B$1:$CE$1,0))/100,0),""))),"")</f>
        <v>0</v>
      </c>
      <c r="AW139" s="39" t="n">
        <f aca="false">IFERROR(IF($C139="","",IF($D139="","",IFERROR(ROUND($D139*INDEX('🔖 배합비 참조'!$B$2:$CE$83,MATCH("사양벌꿀(국내산)",'🔖 배합비 참조'!$A$2:$A$83,0),MATCH($C139,'🔖 배합비 참조'!$B$1:$CE$1,0))/100,0),""))),"")</f>
        <v>0</v>
      </c>
      <c r="AX139" s="39" t="n">
        <f aca="false">IFERROR(IF($C139="","",IF($D139="","",IFERROR(ROUND($D139*INDEX('🔖 배합비 참조'!$B$2:$CE$83,MATCH("생크림",'🔖 배합비 참조'!$A$2:$A$83,0),MATCH($C139,'🔖 배합비 참조'!$B$1:$CE$1,0))/100,0),""))),"")</f>
        <v>5</v>
      </c>
      <c r="AY139" s="39" t="n">
        <f aca="false">IFERROR(IF($C139="","",IF($D139="","",IFERROR(ROUND($D139*INDEX('🔖 배합비 참조'!$B$2:$CE$83,MATCH("서양호박(국내산,뉴질랜드산)",'🔖 배합비 참조'!$A$2:$A$83,0),MATCH($C139,'🔖 배합비 참조'!$B$1:$CE$1,0))/100,0),""))),"")</f>
        <v>0</v>
      </c>
      <c r="AZ139" s="39" t="n">
        <f aca="false">IFERROR(IF($C139="","",IF($D139="","",IFERROR(ROUND($D139*INDEX('🔖 배합비 참조'!$B$2:$CE$83,MATCH("설탕",'🔖 배합비 참조'!$A$2:$A$83,0),MATCH($C139,'🔖 배합비 참조'!$B$1:$CE$1,0))/100,0),""))),"")</f>
        <v>1</v>
      </c>
      <c r="BA139" s="39" t="n">
        <f aca="false">IFERROR(IF($C139="","",IF($D139="","",IFERROR(ROUND($D139*INDEX('🔖 배합비 참조'!$B$2:$CE$83,MATCH("스트로우베리 에이드 후레쉬",'🔖 배합비 참조'!$A$2:$A$83,0),MATCH($C139,'🔖 배합비 참조'!$B$1:$CE$1,0))/100,0),""))),"")</f>
        <v>0</v>
      </c>
      <c r="BB139" s="39" t="n">
        <f aca="false">IFERROR(IF($C139="","",IF($D139="","",IFERROR(ROUND($D139*INDEX('🔖 배합비 참조'!$B$2:$CE$83,MATCH("식물성기름혼합제제(분홍)",'🔖 배합비 참조'!$A$2:$A$83,0),MATCH($C139,'🔖 배합비 참조'!$B$1:$CE$1,0))/100,0),""))),"")</f>
        <v>0</v>
      </c>
      <c r="BC139" s="39" t="n">
        <f aca="false">IFERROR(IF($C139="","",IF($D139="","",IFERROR(ROUND($D139*INDEX('🔖 배합비 참조'!$B$2:$CE$83,MATCH("식물성기름혼합제제(초록)",'🔖 배합비 참조'!$A$2:$A$83,0),MATCH($C139,'🔖 배합비 참조'!$B$1:$CE$1,0))/100,0),""))),"")</f>
        <v>0</v>
      </c>
      <c r="BD139" s="39" t="n">
        <f aca="false">IFERROR(IF($C139="","",IF($D139="","",IFERROR(ROUND($D139*INDEX('🔖 배합비 참조'!$B$2:$CE$83,MATCH("식물성기름혼합제제(황색)",'🔖 배합비 참조'!$A$2:$A$83,0),MATCH($C139,'🔖 배합비 참조'!$B$1:$CE$1,0))/100,0),""))),"")</f>
        <v>0</v>
      </c>
      <c r="BE139" s="39" t="n">
        <f aca="false">IFERROR(IF($C139="","",IF($D139="","",IFERROR(ROUND($D139*INDEX('🔖 배합비 참조'!$B$2:$CE$83,MATCH("쑥가루(국내산)",'🔖 배합비 참조'!$A$2:$A$83,0),MATCH($C139,'🔖 배합비 참조'!$B$1:$CE$1,0))/100,0),""))),"")</f>
        <v>0</v>
      </c>
      <c r="BF139" s="39" t="n">
        <f aca="false">IFERROR(IF($C139="","",IF($D139="","",IFERROR(ROUND($D139*INDEX('🔖 배합비 참조'!$B$2:$CE$83,MATCH("아몬드슬라이스",'🔖 배합비 참조'!$A$2:$A$83,0),MATCH($C139,'🔖 배합비 참조'!$B$1:$CE$1,0))/100,0),""))),"")</f>
        <v>0</v>
      </c>
      <c r="BG139" s="39" t="n">
        <f aca="false">IFERROR(IF($C139="","",IF($D139="","",IFERROR(ROUND($D139*INDEX('🔖 배합비 참조'!$B$2:$CE$83,MATCH("알룰로오스(국내산)",'🔖 배합비 참조'!$A$2:$A$83,0),MATCH($C139,'🔖 배합비 참조'!$B$1:$CE$1,0))/100,0),""))),"")</f>
        <v>0</v>
      </c>
      <c r="BH139" s="39" t="n">
        <f aca="false">IFERROR(IF($C139="","",IF($D139="","",IFERROR(ROUND($D139*INDEX('🔖 배합비 참조'!$B$2:$CE$83,MATCH("연유",'🔖 배합비 참조'!$A$2:$A$83,0),MATCH($C139,'🔖 배합비 참조'!$B$1:$CE$1,0))/100,0),""))),"")</f>
        <v>0</v>
      </c>
      <c r="BI139" s="39" t="n">
        <f aca="false">IFERROR(IF($C139="","",IF($D139="","",IFERROR(ROUND($D139*INDEX('🔖 배합비 참조'!$B$2:$CE$83,MATCH("옥수수전분",'🔖 배합비 참조'!$A$2:$A$83,0),MATCH($C139,'🔖 배합비 참조'!$B$1:$CE$1,0))/100,0),""))),"")</f>
        <v>0</v>
      </c>
      <c r="BJ139" s="39" t="n">
        <f aca="false">IFERROR(IF($C139="","",IF($D139="","",IFERROR(ROUND($D139*INDEX('🔖 배합비 참조'!$B$2:$CE$83,MATCH("완두배기",'🔖 배합비 참조'!$A$2:$A$83,0),MATCH($C139,'🔖 배합비 참조'!$B$1:$CE$1,0))/100,0),""))),"")</f>
        <v>0</v>
      </c>
      <c r="BK139" s="39" t="n">
        <f aca="false">IFERROR(IF($C139="","",IF($D139="","",IFERROR(ROUND($D139*INDEX('🔖 배합비 참조'!$B$2:$CE$83,MATCH("우유(국내산)",'🔖 배합비 참조'!$A$2:$A$83,0),MATCH($C139,'🔖 배합비 참조'!$B$1:$CE$1,0))/100,0),""))),"")</f>
        <v>0</v>
      </c>
      <c r="BL139" s="39" t="n">
        <f aca="false">IFERROR(IF($C139="","",IF($D139="","",IFERROR(ROUND($D139*INDEX('🔖 배합비 참조'!$B$2:$CE$83,MATCH("자색고구마가루(중국산)",'🔖 배합비 참조'!$A$2:$A$83,0),MATCH($C139,'🔖 배합비 참조'!$B$1:$CE$1,0))/100,0),""))),"")</f>
        <v>0</v>
      </c>
      <c r="BM139" s="39" t="n">
        <f aca="false">IFERROR(IF($C139="","",IF($D139="","",IFERROR(ROUND($D139*INDEX('🔖 배합비 참조'!$B$2:$CE$83,MATCH("자연치즈(체다치즈)",'🔖 배합비 참조'!$A$2:$A$83,0),MATCH($C139,'🔖 배합비 참조'!$B$1:$CE$1,0))/100,0),""))),"")</f>
        <v>0</v>
      </c>
      <c r="BN139" s="39" t="n">
        <f aca="false">IFERROR(IF($C139="","",IF($D139="","",IFERROR(ROUND($D139*INDEX('🔖 배합비 참조'!$B$2:$CE$83,MATCH("정제수",'🔖 배합비 참조'!$A$2:$A$83,0),MATCH($C139,'🔖 배합비 참조'!$B$1:$CE$1,0))/100,0),""))),"")</f>
        <v>2</v>
      </c>
      <c r="BO139" s="39" t="n">
        <f aca="false">IFERROR(IF($C139="","",IF($D139="","",IFERROR(ROUND($D139*INDEX('🔖 배합비 참조'!$B$2:$CE$83,MATCH("젤라틴",'🔖 배합비 참조'!$A$2:$A$83,0),MATCH($C139,'🔖 배합비 참조'!$B$1:$CE$1,0))/100,0),""))),"")</f>
        <v>0</v>
      </c>
      <c r="BP139" s="39" t="n">
        <f aca="false">IFERROR(IF($C139="","",IF($D139="","",IFERROR(ROUND($D139*INDEX('🔖 배합비 참조'!$B$2:$CE$83,MATCH("조림류(백옥앙금)",'🔖 배합비 참조'!$A$2:$A$83,0),MATCH($C139,'🔖 배합비 참조'!$B$1:$CE$1,0))/100,0),""))),"")</f>
        <v>7</v>
      </c>
      <c r="BQ139" s="39" t="n">
        <f aca="false">IFERROR(IF($C139="","",IF($D139="","",IFERROR(ROUND($D139*INDEX('🔖 배합비 참조'!$B$2:$CE$83,MATCH("조림류(통팥앙금)",'🔖 배합비 참조'!$A$2:$A$83,0),MATCH($C139,'🔖 배합비 참조'!$B$1:$CE$1,0))/100,0),""))),"")</f>
        <v>0</v>
      </c>
      <c r="BR139" s="39" t="n">
        <f aca="false">IFERROR(IF($C139="","",IF($D139="","",IFERROR(ROUND($D139*INDEX('🔖 배합비 참조'!$B$2:$CE$83,MATCH("준초콜릿(외국산)",'🔖 배합비 참조'!$A$2:$A$83,0),MATCH($C139,'🔖 배합비 참조'!$B$1:$CE$1,0))/100,0),""))),"")</f>
        <v>0</v>
      </c>
      <c r="BS139" s="39" t="n">
        <f aca="false">IFERROR(IF($C139="","",IF($D139="","",IFERROR(ROUND($D139*INDEX('🔖 배합비 참조'!$B$2:$CE$83,MATCH("중력분",'🔖 배합비 참조'!$A$2:$A$83,0),MATCH($C139,'🔖 배합비 참조'!$B$1:$CE$1,0))/100,0),""))),"")</f>
        <v>0</v>
      </c>
      <c r="BT139" s="39" t="n">
        <f aca="false">IFERROR(IF($C139="","",IF($D139="","",IFERROR(ROUND($D139*INDEX('🔖 배합비 참조'!$B$2:$CE$83,MATCH("참깨(인도산,나이지리아산,탄자니아산,미얀마산)",'🔖 배합비 참조'!$A$2:$A$83,0),MATCH($C139,'🔖 배합비 참조'!$B$1:$CE$1,0))/100,0),""))),"")</f>
        <v>0</v>
      </c>
      <c r="BU139" s="39" t="n">
        <f aca="false">IFERROR(IF($C139="","",IF($D139="","",IFERROR(ROUND($D139*INDEX('🔖 배합비 참조'!$B$2:$CE$83,MATCH("찹쌀(국내산)",'🔖 배합비 참조'!$A$2:$A$83,0),MATCH($C139,'🔖 배합비 참조'!$B$1:$CE$1,0))/100,0),""))),"")</f>
        <v>37</v>
      </c>
      <c r="BV139" s="39" t="n">
        <f aca="false">IFERROR(IF($C139="","",IF($D139="","",IFERROR(ROUND($D139*INDEX('🔖 배합비 참조'!$B$2:$CE$83,MATCH("천일염",'🔖 배합비 참조'!$A$2:$A$83,0),MATCH($C139,'🔖 배합비 참조'!$B$1:$CE$1,0))/100,0),""))),"")</f>
        <v>0</v>
      </c>
      <c r="BW139" s="39" t="n">
        <f aca="false">IFERROR(IF($C139="","",IF($D139="","",IFERROR(ROUND($D139*INDEX('🔖 배합비 참조'!$B$2:$CE$83,MATCH("치즈 [크림치즈]",'🔖 배합비 참조'!$A$2:$A$83,0),MATCH($C139,'🔖 배합비 참조'!$B$1:$CE$1,0))/100,0),""))),"")</f>
        <v>5</v>
      </c>
      <c r="BX139" s="39" t="n">
        <f aca="false">IFERROR(IF($C139="","",IF($D139="","",IFERROR(ROUND($D139*INDEX('🔖 배합비 참조'!$B$2:$CE$83,MATCH("코코아가공품류(코코아분말)",'🔖 배합비 참조'!$A$2:$A$83,0),MATCH($C139,'🔖 배합비 참조'!$B$1:$CE$1,0))/100,0),""))),"")</f>
        <v>0</v>
      </c>
      <c r="BY139" s="39" t="n">
        <f aca="false">IFERROR(IF($C139="","",IF($D139="","",IFERROR(ROUND($D139*INDEX('🔖 배합비 참조'!$B$2:$CE$83,MATCH("콩기름(대두유)",'🔖 배합비 참조'!$A$2:$A$83,0),MATCH($C139,'🔖 배합비 참조'!$B$1:$CE$1,0))/100,0),""))),"")</f>
        <v>0</v>
      </c>
      <c r="BZ139" s="39" t="n">
        <f aca="false">IFERROR(IF($C139="","",IF($D139="","",IFERROR(ROUND($D139*INDEX('🔖 배합비 참조'!$B$2:$CE$83,MATCH("해바라기씨앗",'🔖 배합비 참조'!$A$2:$A$83,0),MATCH($C139,'🔖 배합비 참조'!$B$1:$CE$1,0))/100,0),""))),"")</f>
        <v>0</v>
      </c>
      <c r="CA139" s="39" t="n">
        <f aca="false">IFERROR(IF($C139="","",IF($D139="","",IFERROR(ROUND($D139*INDEX('🔖 배합비 참조'!$B$2:$CE$83,MATCH("현미(국내산)",'🔖 배합비 참조'!$A$2:$A$83,0),MATCH($C139,'🔖 배합비 참조'!$B$1:$CE$1,0))/100,0),""))),"")</f>
        <v>0</v>
      </c>
      <c r="CB139" s="39" t="n">
        <f aca="false">IFERROR(IF($C139="","",IF($D139="","",IFERROR(ROUND($D139*INDEX('🔖 배합비 참조'!$B$2:$CE$83,MATCH("현미멥쌀(국내산)",'🔖 배합비 참조'!$A$2:$A$83,0),MATCH($C139,'🔖 배합비 참조'!$B$1:$CE$1,0))/100,0),""))),"")</f>
        <v>0</v>
      </c>
      <c r="CC139" s="39" t="n">
        <f aca="false">IFERROR(IF($C139="","",IF($D139="","",IFERROR(ROUND($D139*INDEX('🔖 배합비 참조'!$B$2:$CE$83,MATCH("호두분태(미국산)",'🔖 배합비 참조'!$A$2:$A$83,0),MATCH($C139,'🔖 배합비 참조'!$B$1:$CE$1,0))/100,0),""))),"")</f>
        <v>0</v>
      </c>
      <c r="CD139" s="39" t="n">
        <f aca="false">IFERROR(IF($C139="","",IF($D139="","",IFERROR(ROUND($D139*INDEX('🔖 배합비 참조'!$B$2:$CE$83,MATCH("호박씨앗(외국산)",'🔖 배합비 참조'!$A$2:$A$83,0),MATCH($C139,'🔖 배합비 참조'!$B$1:$CE$1,0))/100,0),""))),"")</f>
        <v>0</v>
      </c>
      <c r="CE139" s="39" t="n">
        <f aca="false">IFERROR(IF($C139="","",IF($D139="","",IFERROR(ROUND($D139*INDEX('🔖 배합비 참조'!$B$2:$CE$83,MATCH("혼합제제(떡용에스텔)",'🔖 배합비 참조'!$A$2:$A$83,0),MATCH($C139,'🔖 배합비 참조'!$B$1:$CE$1,0))/100,0),""))),"")</f>
        <v>0</v>
      </c>
      <c r="CF139" s="39" t="n">
        <f aca="false">IFERROR(IF($C139="","",IF($D139="","",IFERROR(ROUND($D139*INDEX('🔖 배합비 참조'!$B$2:$CE$83,MATCH("혼합제제(스테비아)",'🔖 배합비 참조'!$A$2:$A$83,0),MATCH($C139,'🔖 배합비 참조'!$B$1:$CE$1,0))/100,0),""))),"")</f>
        <v>0</v>
      </c>
      <c r="CG139" s="39" t="n">
        <f aca="false">IFERROR(IF($C139="","",IF($D139="","",IFERROR(ROUND($D139*INDEX('🔖 배합비 참조'!$B$2:$CE$83,MATCH("화이트초콜릿",'🔖 배합비 참조'!$A$2:$A$83,0),MATCH($C139,'🔖 배합비 참조'!$B$1:$CE$1,0))/100,0),""))),"")</f>
        <v>2</v>
      </c>
      <c r="CH139" s="39" t="n">
        <f aca="false">IFERROR(IF($C139="","",IF($D139="","",IFERROR(ROUND($D139*INDEX('🔖 배합비 참조'!$B$2:$CE$83,MATCH("흑미찹쌀(국내산)",'🔖 배합비 참조'!$A$2:$A$83,0),MATCH($C139,'🔖 배합비 참조'!$B$1:$CE$1,0))/100,0),""))),"")</f>
        <v>0</v>
      </c>
      <c r="CI139" s="39" t="n">
        <f aca="false">IFERROR(IF($C139="","",IF($D139="","",IFERROR(ROUND($D139*INDEX('🔖 배합비 참조'!$B$2:$CE$83,MATCH("찰옥수수전분(미국산)",'🔖 배합비 참조'!$A$2:$A$83,0),MATCH($C139,'🔖 배합비 참조'!$B$1:$CE$1,0))/100,0),""))),"")</f>
        <v>0</v>
      </c>
      <c r="CJ139" s="40"/>
      <c r="CL139" s="1" t="s">
        <v>239</v>
      </c>
    </row>
    <row r="140" customFormat="false" ht="18" hidden="false" customHeight="true" outlineLevel="0" collapsed="false">
      <c r="A140" s="41" t="n">
        <v>136</v>
      </c>
      <c r="B140" s="36" t="n">
        <v>46015</v>
      </c>
      <c r="C140" s="37" t="s">
        <v>243</v>
      </c>
      <c r="D140" s="38" t="n">
        <v>70</v>
      </c>
      <c r="E140" s="17"/>
      <c r="F140" s="17"/>
      <c r="G140" s="42" t="n">
        <f aca="false">IFERROR(IF($C140="","",IF($D140="","",IFERROR(ROUND($D140*INDEX('🔖 배합비 참조'!$B$2:$CE$83,MATCH("간장",'🔖 배합비 참조'!$A$2:$A$83,0),MATCH($C140,'🔖 배합비 참조'!$B$1:$CE$1,0))/100,0),""))),"")</f>
        <v>0</v>
      </c>
      <c r="H140" s="42" t="n">
        <f aca="false">IFERROR(IF($C140="","",IF($D140="","",IFERROR(ROUND($D140*INDEX('🔖 배합비 참조'!$B$2:$CE$83,MATCH("강낭콩((울타리콩))",'🔖 배합비 참조'!$A$2:$A$83,0),MATCH($C140,'🔖 배합비 참조'!$B$1:$CE$1,0))/100,0),""))),"")</f>
        <v>0</v>
      </c>
      <c r="I140" s="42" t="n">
        <f aca="false">IFERROR(IF($C140="","",IF($D140="","",IFERROR(ROUND($D140*INDEX('🔖 배합비 참조'!$B$2:$CE$83,MATCH("건조딸기다이스(외국산)",'🔖 배합비 참조'!$A$2:$A$83,0),MATCH($C140,'🔖 배합비 참조'!$B$1:$CE$1,0))/100,0),""))),"")</f>
        <v>0</v>
      </c>
      <c r="J140" s="42" t="n">
        <f aca="false">IFERROR(IF($C140="","",IF($D140="","",IFERROR(ROUND($D140*INDEX('🔖 배합비 참조'!$B$2:$CE$83,MATCH("건포도",'🔖 배합비 참조'!$A$2:$A$83,0),MATCH($C140,'🔖 배합비 참조'!$B$1:$CE$1,0))/100,0),""))),"")</f>
        <v>0</v>
      </c>
      <c r="K140" s="42" t="n">
        <f aca="false">IFERROR(IF($C140="","",IF($D140="","",IFERROR(ROUND($D140*INDEX('🔖 배합비 참조'!$B$2:$CE$83,MATCH("건호박채(중국산)",'🔖 배합비 참조'!$A$2:$A$83,0),MATCH($C140,'🔖 배합비 참조'!$B$1:$CE$1,0))/100,0),""))),"")</f>
        <v>0</v>
      </c>
      <c r="L140" s="42" t="n">
        <f aca="false">IFERROR(IF($C140="","",IF($D140="","",IFERROR(ROUND($D140*INDEX('🔖 배합비 참조'!$B$2:$CE$83,MATCH("검정깨(흑임자)",'🔖 배합비 참조'!$A$2:$A$83,0),MATCH($C140,'🔖 배합비 참조'!$B$1:$CE$1,0))/100,0),""))),"")</f>
        <v>0</v>
      </c>
      <c r="M140" s="42" t="n">
        <f aca="false">IFERROR(IF($C140="","",IF($D140="","",IFERROR(ROUND($D140*INDEX('🔖 배합비 참조'!$B$2:$CE$83,MATCH("검정콩",'🔖 배합비 참조'!$A$2:$A$83,0),MATCH($C140,'🔖 배합비 참조'!$B$1:$CE$1,0))/100,0),""))),"")</f>
        <v>0</v>
      </c>
      <c r="N140" s="42" t="n">
        <f aca="false">IFERROR(IF($C140="","",IF($D140="","",IFERROR(ROUND($D140*INDEX('🔖 배합비 참조'!$B$2:$CE$83,MATCH("계피가루",'🔖 배합비 참조'!$A$2:$A$83,0),MATCH($C140,'🔖 배합비 참조'!$B$1:$CE$1,0))/100,0),""))),"")</f>
        <v>0</v>
      </c>
      <c r="O140" s="42" t="n">
        <f aca="false">IFERROR(IF($C140="","",IF($D140="","",IFERROR(ROUND($D140*INDEX('🔖 배합비 참조'!$B$2:$CE$83,MATCH("고구마가루",'🔖 배합비 참조'!$A$2:$A$83,0),MATCH($C140,'🔖 배합비 참조'!$B$1:$CE$1,0))/100,0),""))),"")</f>
        <v>0</v>
      </c>
      <c r="P140" s="42" t="n">
        <f aca="false">IFERROR(IF($C140="","",IF($D140="","",IFERROR(ROUND($D140*INDEX('🔖 배합비 참조'!$B$2:$CE$83,MATCH("고구마무스",'🔖 배합비 참조'!$A$2:$A$83,0),MATCH($C140,'🔖 배합비 참조'!$B$1:$CE$1,0))/100,0),""))),"")</f>
        <v>0</v>
      </c>
      <c r="Q140" s="42" t="n">
        <f aca="false">IFERROR(IF($C140="","",IF($D140="","",IFERROR(ROUND($D140*INDEX('🔖 배합비 참조'!$B$2:$CE$83,MATCH("고려엉겅퀴((곤드레)국내산)",'🔖 배합비 참조'!$A$2:$A$83,0),MATCH($C140,'🔖 배합비 참조'!$B$1:$CE$1,0))/100,0),""))),"")</f>
        <v>0</v>
      </c>
      <c r="R140" s="42" t="n">
        <f aca="false">IFERROR(IF($C140="","",IF($D140="","",IFERROR(ROUND($D140*INDEX('🔖 배합비 참조'!$B$2:$CE$83,MATCH("기타가공품(복분자가루)",'🔖 배합비 참조'!$A$2:$A$83,0),MATCH($C140,'🔖 배합비 참조'!$B$1:$CE$1,0))/100,0),""))),"")</f>
        <v>0</v>
      </c>
      <c r="S140" s="42" t="n">
        <f aca="false">IFERROR(IF($C140="","",IF($D140="","",IFERROR(ROUND($D140*INDEX('🔖 배합비 참조'!$B$2:$CE$83,MATCH("기타가공품(슈퍼소프트엠)",'🔖 배합비 참조'!$A$2:$A$83,0),MATCH($C140,'🔖 배합비 참조'!$B$1:$CE$1,0))/100,0),""))),"")</f>
        <v>0</v>
      </c>
      <c r="T140" s="42" t="n">
        <f aca="false">IFERROR(IF($C140="","",IF($D140="","",IFERROR(ROUND($D140*INDEX('🔖 배합비 참조'!$B$2:$CE$83,MATCH("기타가공품(파인소프트 E-티)",'🔖 배합비 참조'!$A$2:$A$83,0),MATCH($C140,'🔖 배합비 참조'!$B$1:$CE$1,0))/100,0),""))),"")</f>
        <v>0</v>
      </c>
      <c r="U140" s="42" t="n">
        <f aca="false">IFERROR(IF($C140="","",IF($D140="","",IFERROR(ROUND($D140*INDEX('🔖 배합비 참조'!$B$2:$CE$83,MATCH("기타가공품(프리미엄카스테라가루)",'🔖 배합비 참조'!$A$2:$A$83,0),MATCH($C140,'🔖 배합비 참조'!$B$1:$CE$1,0))/100,0),""))),"")</f>
        <v>2</v>
      </c>
      <c r="V140" s="42" t="n">
        <f aca="false">IFERROR(IF($C140="","",IF($D140="","",IFERROR(ROUND($D140*INDEX('🔖 배합비 참조'!$B$2:$CE$83,MATCH("기타가공품(흑임자가루)",'🔖 배합비 참조'!$A$2:$A$83,0),MATCH($C140,'🔖 배합비 참조'!$B$1:$CE$1,0))/100,0),""))),"")</f>
        <v>0</v>
      </c>
      <c r="W140" s="42" t="n">
        <f aca="false">IFERROR(IF($C140="","",IF($D140="","",IFERROR(ROUND($D140*INDEX('🔖 배합비 참조'!$B$2:$CE$83,MATCH("기타설탕(흑설탕)",'🔖 배합비 참조'!$A$2:$A$83,0),MATCH($C140,'🔖 배합비 참조'!$B$1:$CE$1,0))/100,0),""))),"")</f>
        <v>0</v>
      </c>
      <c r="X140" s="42" t="n">
        <f aca="false">IFERROR(IF($C140="","",IF($D140="","",IFERROR(ROUND($D140*INDEX('🔖 배합비 참조'!$B$2:$CE$83,MATCH("냉동쑥(국내산)",'🔖 배합비 참조'!$A$2:$A$83,0),MATCH($C140,'🔖 배합비 참조'!$B$1:$CE$1,0))/100,0),""))),"")</f>
        <v>0</v>
      </c>
      <c r="Y140" s="42" t="n">
        <f aca="false">IFERROR(IF($C140="","",IF($D140="","",IFERROR(ROUND($D140*INDEX('🔖 배합비 참조'!$B$2:$CE$83,MATCH("냉동증숙고구마(중국산)",'🔖 배합비 참조'!$A$2:$A$83,0),MATCH($C140,'🔖 배합비 참조'!$B$1:$CE$1,0))/100,0),""))),"")</f>
        <v>0</v>
      </c>
      <c r="Z140" s="42" t="n">
        <f aca="false">IFERROR(IF($C140="","",IF($D140="","",IFERROR(ROUND($D140*INDEX('🔖 배합비 참조'!$B$2:$CE$83,MATCH("녹차가루",'🔖 배합비 참조'!$A$2:$A$83,0),MATCH($C140,'🔖 배합비 참조'!$B$1:$CE$1,0))/100,0),""))),"")</f>
        <v>0</v>
      </c>
      <c r="AA140" s="42" t="n">
        <f aca="false">IFERROR(IF($C140="","",IF($D140="","",IFERROR(ROUND($D140*INDEX('🔖 배합비 참조'!$B$2:$CE$83,MATCH("다크초콜릿 컴파운드칩",'🔖 배합비 참조'!$A$2:$A$83,0),MATCH($C140,'🔖 배합비 참조'!$B$1:$CE$1,0))/100,0),""))),"")</f>
        <v>0</v>
      </c>
      <c r="AB140" s="42" t="n">
        <f aca="false">IFERROR(IF($C140="","",IF($D140="","",IFERROR(ROUND($D140*INDEX('🔖 배합비 참조'!$B$2:$CE$83,MATCH("단호박분말(중국산)",'🔖 배합비 참조'!$A$2:$A$83,0),MATCH($C140,'🔖 배합비 참조'!$B$1:$CE$1,0))/100,0),""))),"")</f>
        <v>0</v>
      </c>
      <c r="AC140" s="42" t="n">
        <f aca="false">IFERROR(IF($C140="","",IF($D140="","",IFERROR(ROUND($D140*INDEX('🔖 배합비 참조'!$B$2:$CE$83,MATCH("당류가공품(단호박농축액)",'🔖 배합비 참조'!$A$2:$A$83,0),MATCH($C140,'🔖 배합비 참조'!$B$1:$CE$1,0))/100,0),""))),"")</f>
        <v>0</v>
      </c>
      <c r="AD140" s="42" t="n">
        <f aca="false">IFERROR(IF($C140="","",IF($D140="","",IFERROR(ROUND($D140*INDEX('🔖 배합비 참조'!$B$2:$CE$83,MATCH("당류가공품(알룰로스,에리스리톨,스테비올배당체혼합)",'🔖 배합비 참조'!$A$2:$A$83,0),MATCH($C140,'🔖 배합비 참조'!$B$1:$CE$1,0))/100,0),""))),"")</f>
        <v>0</v>
      </c>
      <c r="AE140" s="42" t="n">
        <f aca="false">IFERROR(IF($C140="","",IF($D140="","",IFERROR(ROUND($D140*INDEX('🔖 배합비 참조'!$B$2:$CE$83,MATCH("당류가공품(알룰로스제로파우더)",'🔖 배합비 참조'!$A$2:$A$83,0),MATCH($C140,'🔖 배합비 참조'!$B$1:$CE$1,0))/100,0),""))),"")</f>
        <v>0</v>
      </c>
      <c r="AF140" s="42" t="n">
        <f aca="false">IFERROR(IF($C140="","",IF($D140="","",IFERROR(ROUND($D140*INDEX('🔖 배합비 참조'!$B$2:$CE$83,MATCH("당절임(완두배기)",'🔖 배합비 참조'!$A$2:$A$83,0),MATCH($C140,'🔖 배합비 참조'!$B$1:$CE$1,0))/100,0),""))),"")</f>
        <v>0</v>
      </c>
      <c r="AG140" s="42" t="n">
        <f aca="false">IFERROR(IF($C140="","",IF($D140="","",IFERROR(ROUND($D140*INDEX('🔖 배합비 참조'!$B$2:$CE$83,MATCH("대추농축액",'🔖 배합비 참조'!$A$2:$A$83,0),MATCH($C140,'🔖 배합비 참조'!$B$1:$CE$1,0))/100,0),""))),"")</f>
        <v>0</v>
      </c>
      <c r="AH140" s="42" t="n">
        <f aca="false">IFERROR(IF($C140="","",IF($D140="","",IFERROR(ROUND($D140*INDEX('🔖 배합비 참조'!$B$2:$CE$83,MATCH("대추채(국내산)",'🔖 배합비 참조'!$A$2:$A$83,0),MATCH($C140,'🔖 배합비 참조'!$B$1:$CE$1,0))/100,0),""))),"")</f>
        <v>0</v>
      </c>
      <c r="AI140" s="42" t="n">
        <f aca="false">IFERROR(IF($C140="","",IF($D140="","",IFERROR(ROUND($D140*INDEX('🔖 배합비 참조'!$B$2:$CE$83,MATCH("동부(미얀마산)",'🔖 배합비 참조'!$A$2:$A$83,0),MATCH($C140,'🔖 배합비 참조'!$B$1:$CE$1,0))/100,0),""))),"")</f>
        <v>0</v>
      </c>
      <c r="AJ140" s="42" t="n">
        <f aca="false">IFERROR(IF($C140="","",IF($D140="","",IFERROR(ROUND($D140*INDEX('🔖 배합비 참조'!$B$2:$CE$83,MATCH("두류가공품(백옥앙금)",'🔖 배합비 참조'!$A$2:$A$83,0),MATCH($C140,'🔖 배합비 참조'!$B$1:$CE$1,0))/100,0),""))),"")</f>
        <v>0</v>
      </c>
      <c r="AK140" s="42" t="n">
        <f aca="false">IFERROR(IF($C140="","",IF($D140="","",IFERROR(ROUND($D140*INDEX('🔖 배합비 참조'!$B$2:$CE$83,MATCH("두류가공품(콩고물)",'🔖 배합비 참조'!$A$2:$A$83,0),MATCH($C140,'🔖 배합비 참조'!$B$1:$CE$1,0))/100,0),""))),"")</f>
        <v>0</v>
      </c>
      <c r="AL140" s="42" t="n">
        <f aca="false">IFERROR(IF($C140="","",IF($D140="","",IFERROR(ROUND($D140*INDEX('🔖 배합비 참조'!$B$2:$CE$83,MATCH("두류가공품(통팥고물)",'🔖 배합비 참조'!$A$2:$A$83,0),MATCH($C140,'🔖 배합비 참조'!$B$1:$CE$1,0))/100,0),""))),"")</f>
        <v>0</v>
      </c>
      <c r="AM140" s="42" t="n">
        <f aca="false">IFERROR(IF($C140="","",IF($D140="","",IFERROR(ROUND($D140*INDEX('🔖 배합비 참조'!$B$2:$CE$83,MATCH("딸기레진",'🔖 배합비 참조'!$A$2:$A$83,0),MATCH($C140,'🔖 배합비 참조'!$B$1:$CE$1,0))/100,0),""))),"")</f>
        <v>0</v>
      </c>
      <c r="AN140" s="42" t="n">
        <f aca="false">IFERROR(IF($C140="","",IF($D140="","",IFERROR(ROUND($D140*INDEX('🔖 배합비 참조'!$B$2:$CE$83,MATCH("딸기분말(스트로우베리에이드(분말))",'🔖 배합비 참조'!$A$2:$A$83,0),MATCH($C140,'🔖 배합비 참조'!$B$1:$CE$1,0))/100,0),""))),"")</f>
        <v>0</v>
      </c>
      <c r="AO140" s="42" t="n">
        <f aca="false">IFERROR(IF($C140="","",IF($D140="","",IFERROR(ROUND($D140*INDEX('🔖 배합비 참조'!$B$2:$CE$83,MATCH("마스카포네치즈",'🔖 배합비 참조'!$A$2:$A$83,0),MATCH($C140,'🔖 배합비 참조'!$B$1:$CE$1,0))/100,0),""))),"")</f>
        <v>5</v>
      </c>
      <c r="AP140" s="42" t="n">
        <f aca="false">IFERROR(IF($C140="","",IF($D140="","",IFERROR(ROUND($D140*INDEX('🔖 배합비 참조'!$B$2:$CE$83,MATCH("마카다미아분태(호주산)",'🔖 배합비 참조'!$A$2:$A$83,0),MATCH($C140,'🔖 배합비 참조'!$B$1:$CE$1,0))/100,0),""))),"")</f>
        <v>0</v>
      </c>
      <c r="AQ140" s="42" t="n">
        <f aca="false">IFERROR(IF($C140="","",IF($D140="","",IFERROR(ROUND($D140*INDEX('🔖 배합비 참조'!$B$2:$CE$83,MATCH("멥쌀(국내산)",'🔖 배합비 참조'!$A$2:$A$83,0),MATCH($C140,'🔖 배합비 참조'!$B$1:$CE$1,0))/100,0),""))),"")</f>
        <v>0</v>
      </c>
      <c r="AR140" s="42" t="n">
        <f aca="false">IFERROR(IF($C140="","",IF($D140="","",IFERROR(ROUND($D140*INDEX('🔖 배합비 참조'!$B$2:$CE$83,MATCH("모시잎(국내산)",'🔖 배합비 참조'!$A$2:$A$83,0),MATCH($C140,'🔖 배합비 참조'!$B$1:$CE$1,0))/100,0),""))),"")</f>
        <v>0</v>
      </c>
      <c r="AS140" s="42" t="n">
        <f aca="false">IFERROR(IF($C140="","",IF($D140="","",IFERROR(ROUND($D140*INDEX('🔖 배합비 참조'!$B$2:$CE$83,MATCH("물엿(저당물엿)",'🔖 배합비 참조'!$A$2:$A$83,0),MATCH($C140,'🔖 배합비 참조'!$B$1:$CE$1,0))/100,0),""))),"")</f>
        <v>4</v>
      </c>
      <c r="AT140" s="42" t="n">
        <f aca="false">IFERROR(IF($C140="","",IF($D140="","",IFERROR(ROUND($D140*INDEX('🔖 배합비 참조'!$B$2:$CE$83,MATCH("밤다이스",'🔖 배합비 참조'!$A$2:$A$83,0),MATCH($C140,'🔖 배합비 참조'!$B$1:$CE$1,0))/100,0),""))),"")</f>
        <v>0</v>
      </c>
      <c r="AU140" s="42" t="n">
        <f aca="false">IFERROR(IF($C140="","",IF($D140="","",IFERROR(ROUND($D140*INDEX('🔖 배합비 참조'!$B$2:$CE$83,MATCH("변성전분(타피오카전분)",'🔖 배합비 참조'!$A$2:$A$83,0),MATCH($C140,'🔖 배합비 참조'!$B$1:$CE$1,0))/100,0),""))),"")</f>
        <v>0</v>
      </c>
      <c r="AV140" s="42" t="n">
        <f aca="false">IFERROR(IF($C140="","",IF($D140="","",IFERROR(ROUND($D140*INDEX('🔖 배합비 참조'!$B$2:$CE$83,MATCH("복음땅콩분태",'🔖 배합비 참조'!$A$2:$A$83,0),MATCH($C140,'🔖 배합비 참조'!$B$1:$CE$1,0))/100,0),""))),"")</f>
        <v>0</v>
      </c>
      <c r="AW140" s="42" t="n">
        <f aca="false">IFERROR(IF($C140="","",IF($D140="","",IFERROR(ROUND($D140*INDEX('🔖 배합비 참조'!$B$2:$CE$83,MATCH("사양벌꿀(국내산)",'🔖 배합비 참조'!$A$2:$A$83,0),MATCH($C140,'🔖 배합비 참조'!$B$1:$CE$1,0))/100,0),""))),"")</f>
        <v>0</v>
      </c>
      <c r="AX140" s="42" t="n">
        <f aca="false">IFERROR(IF($C140="","",IF($D140="","",IFERROR(ROUND($D140*INDEX('🔖 배합비 참조'!$B$2:$CE$83,MATCH("생크림",'🔖 배합비 참조'!$A$2:$A$83,0),MATCH($C140,'🔖 배합비 참조'!$B$1:$CE$1,0))/100,0),""))),"")</f>
        <v>5</v>
      </c>
      <c r="AY140" s="42" t="n">
        <f aca="false">IFERROR(IF($C140="","",IF($D140="","",IFERROR(ROUND($D140*INDEX('🔖 배합비 참조'!$B$2:$CE$83,MATCH("서양호박(국내산,뉴질랜드산)",'🔖 배합비 참조'!$A$2:$A$83,0),MATCH($C140,'🔖 배합비 참조'!$B$1:$CE$1,0))/100,0),""))),"")</f>
        <v>0</v>
      </c>
      <c r="AZ140" s="42" t="n">
        <f aca="false">IFERROR(IF($C140="","",IF($D140="","",IFERROR(ROUND($D140*INDEX('🔖 배합비 참조'!$B$2:$CE$83,MATCH("설탕",'🔖 배합비 참조'!$A$2:$A$83,0),MATCH($C140,'🔖 배합비 참조'!$B$1:$CE$1,0))/100,0),""))),"")</f>
        <v>1</v>
      </c>
      <c r="BA140" s="42" t="n">
        <f aca="false">IFERROR(IF($C140="","",IF($D140="","",IFERROR(ROUND($D140*INDEX('🔖 배합비 참조'!$B$2:$CE$83,MATCH("스트로우베리 에이드 후레쉬",'🔖 배합비 참조'!$A$2:$A$83,0),MATCH($C140,'🔖 배합비 참조'!$B$1:$CE$1,0))/100,0),""))),"")</f>
        <v>0</v>
      </c>
      <c r="BB140" s="42" t="n">
        <f aca="false">IFERROR(IF($C140="","",IF($D140="","",IFERROR(ROUND($D140*INDEX('🔖 배합비 참조'!$B$2:$CE$83,MATCH("식물성기름혼합제제(분홍)",'🔖 배합비 참조'!$A$2:$A$83,0),MATCH($C140,'🔖 배합비 참조'!$B$1:$CE$1,0))/100,0),""))),"")</f>
        <v>0</v>
      </c>
      <c r="BC140" s="42" t="n">
        <f aca="false">IFERROR(IF($C140="","",IF($D140="","",IFERROR(ROUND($D140*INDEX('🔖 배합비 참조'!$B$2:$CE$83,MATCH("식물성기름혼합제제(초록)",'🔖 배합비 참조'!$A$2:$A$83,0),MATCH($C140,'🔖 배합비 참조'!$B$1:$CE$1,0))/100,0),""))),"")</f>
        <v>0</v>
      </c>
      <c r="BD140" s="42" t="n">
        <f aca="false">IFERROR(IF($C140="","",IF($D140="","",IFERROR(ROUND($D140*INDEX('🔖 배합비 참조'!$B$2:$CE$83,MATCH("식물성기름혼합제제(황색)",'🔖 배합비 참조'!$A$2:$A$83,0),MATCH($C140,'🔖 배합비 참조'!$B$1:$CE$1,0))/100,0),""))),"")</f>
        <v>0</v>
      </c>
      <c r="BE140" s="42" t="n">
        <f aca="false">IFERROR(IF($C140="","",IF($D140="","",IFERROR(ROUND($D140*INDEX('🔖 배합비 참조'!$B$2:$CE$83,MATCH("쑥가루(국내산)",'🔖 배합비 참조'!$A$2:$A$83,0),MATCH($C140,'🔖 배합비 참조'!$B$1:$CE$1,0))/100,0),""))),"")</f>
        <v>0</v>
      </c>
      <c r="BF140" s="42" t="n">
        <f aca="false">IFERROR(IF($C140="","",IF($D140="","",IFERROR(ROUND($D140*INDEX('🔖 배합비 참조'!$B$2:$CE$83,MATCH("아몬드슬라이스",'🔖 배합비 참조'!$A$2:$A$83,0),MATCH($C140,'🔖 배합비 참조'!$B$1:$CE$1,0))/100,0),""))),"")</f>
        <v>0</v>
      </c>
      <c r="BG140" s="42" t="n">
        <f aca="false">IFERROR(IF($C140="","",IF($D140="","",IFERROR(ROUND($D140*INDEX('🔖 배합비 참조'!$B$2:$CE$83,MATCH("알룰로오스(국내산)",'🔖 배합비 참조'!$A$2:$A$83,0),MATCH($C140,'🔖 배합비 참조'!$B$1:$CE$1,0))/100,0),""))),"")</f>
        <v>0</v>
      </c>
      <c r="BH140" s="42" t="n">
        <f aca="false">IFERROR(IF($C140="","",IF($D140="","",IFERROR(ROUND($D140*INDEX('🔖 배합비 참조'!$B$2:$CE$83,MATCH("연유",'🔖 배합비 참조'!$A$2:$A$83,0),MATCH($C140,'🔖 배합비 참조'!$B$1:$CE$1,0))/100,0),""))),"")</f>
        <v>0</v>
      </c>
      <c r="BI140" s="42" t="n">
        <f aca="false">IFERROR(IF($C140="","",IF($D140="","",IFERROR(ROUND($D140*INDEX('🔖 배합비 참조'!$B$2:$CE$83,MATCH("옥수수전분",'🔖 배합비 참조'!$A$2:$A$83,0),MATCH($C140,'🔖 배합비 참조'!$B$1:$CE$1,0))/100,0),""))),"")</f>
        <v>0</v>
      </c>
      <c r="BJ140" s="42" t="n">
        <f aca="false">IFERROR(IF($C140="","",IF($D140="","",IFERROR(ROUND($D140*INDEX('🔖 배합비 참조'!$B$2:$CE$83,MATCH("완두배기",'🔖 배합비 참조'!$A$2:$A$83,0),MATCH($C140,'🔖 배합비 참조'!$B$1:$CE$1,0))/100,0),""))),"")</f>
        <v>0</v>
      </c>
      <c r="BK140" s="42" t="n">
        <f aca="false">IFERROR(IF($C140="","",IF($D140="","",IFERROR(ROUND($D140*INDEX('🔖 배합비 참조'!$B$2:$CE$83,MATCH("우유(국내산)",'🔖 배합비 참조'!$A$2:$A$83,0),MATCH($C140,'🔖 배합비 참조'!$B$1:$CE$1,0))/100,0),""))),"")</f>
        <v>0</v>
      </c>
      <c r="BL140" s="42" t="n">
        <f aca="false">IFERROR(IF($C140="","",IF($D140="","",IFERROR(ROUND($D140*INDEX('🔖 배합비 참조'!$B$2:$CE$83,MATCH("자색고구마가루(중국산)",'🔖 배합비 참조'!$A$2:$A$83,0),MATCH($C140,'🔖 배합비 참조'!$B$1:$CE$1,0))/100,0),""))),"")</f>
        <v>0</v>
      </c>
      <c r="BM140" s="42" t="n">
        <f aca="false">IFERROR(IF($C140="","",IF($D140="","",IFERROR(ROUND($D140*INDEX('🔖 배합비 참조'!$B$2:$CE$83,MATCH("자연치즈(체다치즈)",'🔖 배합비 참조'!$A$2:$A$83,0),MATCH($C140,'🔖 배합비 참조'!$B$1:$CE$1,0))/100,0),""))),"")</f>
        <v>0</v>
      </c>
      <c r="BN140" s="42" t="n">
        <f aca="false">IFERROR(IF($C140="","",IF($D140="","",IFERROR(ROUND($D140*INDEX('🔖 배합비 참조'!$B$2:$CE$83,MATCH("정제수",'🔖 배합비 참조'!$A$2:$A$83,0),MATCH($C140,'🔖 배합비 참조'!$B$1:$CE$1,0))/100,0),""))),"")</f>
        <v>2</v>
      </c>
      <c r="BO140" s="42" t="n">
        <f aca="false">IFERROR(IF($C140="","",IF($D140="","",IFERROR(ROUND($D140*INDEX('🔖 배합비 참조'!$B$2:$CE$83,MATCH("젤라틴",'🔖 배합비 참조'!$A$2:$A$83,0),MATCH($C140,'🔖 배합비 참조'!$B$1:$CE$1,0))/100,0),""))),"")</f>
        <v>0</v>
      </c>
      <c r="BP140" s="42" t="n">
        <f aca="false">IFERROR(IF($C140="","",IF($D140="","",IFERROR(ROUND($D140*INDEX('🔖 배합비 참조'!$B$2:$CE$83,MATCH("조림류(백옥앙금)",'🔖 배합비 참조'!$A$2:$A$83,0),MATCH($C140,'🔖 배합비 참조'!$B$1:$CE$1,0))/100,0),""))),"")</f>
        <v>7</v>
      </c>
      <c r="BQ140" s="42" t="n">
        <f aca="false">IFERROR(IF($C140="","",IF($D140="","",IFERROR(ROUND($D140*INDEX('🔖 배합비 참조'!$B$2:$CE$83,MATCH("조림류(통팥앙금)",'🔖 배합비 참조'!$A$2:$A$83,0),MATCH($C140,'🔖 배합비 참조'!$B$1:$CE$1,0))/100,0),""))),"")</f>
        <v>0</v>
      </c>
      <c r="BR140" s="42" t="n">
        <f aca="false">IFERROR(IF($C140="","",IF($D140="","",IFERROR(ROUND($D140*INDEX('🔖 배합비 참조'!$B$2:$CE$83,MATCH("준초콜릿(외국산)",'🔖 배합비 참조'!$A$2:$A$83,0),MATCH($C140,'🔖 배합비 참조'!$B$1:$CE$1,0))/100,0),""))),"")</f>
        <v>0</v>
      </c>
      <c r="BS140" s="42" t="n">
        <f aca="false">IFERROR(IF($C140="","",IF($D140="","",IFERROR(ROUND($D140*INDEX('🔖 배합비 참조'!$B$2:$CE$83,MATCH("중력분",'🔖 배합비 참조'!$A$2:$A$83,0),MATCH($C140,'🔖 배합비 참조'!$B$1:$CE$1,0))/100,0),""))),"")</f>
        <v>0</v>
      </c>
      <c r="BT140" s="42" t="n">
        <f aca="false">IFERROR(IF($C140="","",IF($D140="","",IFERROR(ROUND($D140*INDEX('🔖 배합비 참조'!$B$2:$CE$83,MATCH("참깨(인도산,나이지리아산,탄자니아산,미얀마산)",'🔖 배합비 참조'!$A$2:$A$83,0),MATCH($C140,'🔖 배합비 참조'!$B$1:$CE$1,0))/100,0),""))),"")</f>
        <v>0</v>
      </c>
      <c r="BU140" s="42" t="n">
        <f aca="false">IFERROR(IF($C140="","",IF($D140="","",IFERROR(ROUND($D140*INDEX('🔖 배합비 참조'!$B$2:$CE$83,MATCH("찹쌀(국내산)",'🔖 배합비 참조'!$A$2:$A$83,0),MATCH($C140,'🔖 배합비 참조'!$B$1:$CE$1,0))/100,0),""))),"")</f>
        <v>37</v>
      </c>
      <c r="BV140" s="42" t="n">
        <f aca="false">IFERROR(IF($C140="","",IF($D140="","",IFERROR(ROUND($D140*INDEX('🔖 배합비 참조'!$B$2:$CE$83,MATCH("천일염",'🔖 배합비 참조'!$A$2:$A$83,0),MATCH($C140,'🔖 배합비 참조'!$B$1:$CE$1,0))/100,0),""))),"")</f>
        <v>0</v>
      </c>
      <c r="BW140" s="42" t="n">
        <f aca="false">IFERROR(IF($C140="","",IF($D140="","",IFERROR(ROUND($D140*INDEX('🔖 배합비 참조'!$B$2:$CE$83,MATCH("치즈 [크림치즈]",'🔖 배합비 참조'!$A$2:$A$83,0),MATCH($C140,'🔖 배합비 참조'!$B$1:$CE$1,0))/100,0),""))),"")</f>
        <v>5</v>
      </c>
      <c r="BX140" s="42" t="n">
        <f aca="false">IFERROR(IF($C140="","",IF($D140="","",IFERROR(ROUND($D140*INDEX('🔖 배합비 참조'!$B$2:$CE$83,MATCH("코코아가공품류(코코아분말)",'🔖 배합비 참조'!$A$2:$A$83,0),MATCH($C140,'🔖 배합비 참조'!$B$1:$CE$1,0))/100,0),""))),"")</f>
        <v>0</v>
      </c>
      <c r="BY140" s="42" t="n">
        <f aca="false">IFERROR(IF($C140="","",IF($D140="","",IFERROR(ROUND($D140*INDEX('🔖 배합비 참조'!$B$2:$CE$83,MATCH("콩기름(대두유)",'🔖 배합비 참조'!$A$2:$A$83,0),MATCH($C140,'🔖 배합비 참조'!$B$1:$CE$1,0))/100,0),""))),"")</f>
        <v>0</v>
      </c>
      <c r="BZ140" s="42" t="n">
        <f aca="false">IFERROR(IF($C140="","",IF($D140="","",IFERROR(ROUND($D140*INDEX('🔖 배합비 참조'!$B$2:$CE$83,MATCH("해바라기씨앗",'🔖 배합비 참조'!$A$2:$A$83,0),MATCH($C140,'🔖 배합비 참조'!$B$1:$CE$1,0))/100,0),""))),"")</f>
        <v>0</v>
      </c>
      <c r="CA140" s="42" t="n">
        <f aca="false">IFERROR(IF($C140="","",IF($D140="","",IFERROR(ROUND($D140*INDEX('🔖 배합비 참조'!$B$2:$CE$83,MATCH("현미(국내산)",'🔖 배합비 참조'!$A$2:$A$83,0),MATCH($C140,'🔖 배합비 참조'!$B$1:$CE$1,0))/100,0),""))),"")</f>
        <v>0</v>
      </c>
      <c r="CB140" s="42" t="n">
        <f aca="false">IFERROR(IF($C140="","",IF($D140="","",IFERROR(ROUND($D140*INDEX('🔖 배합비 참조'!$B$2:$CE$83,MATCH("현미멥쌀(국내산)",'🔖 배합비 참조'!$A$2:$A$83,0),MATCH($C140,'🔖 배합비 참조'!$B$1:$CE$1,0))/100,0),""))),"")</f>
        <v>0</v>
      </c>
      <c r="CC140" s="42" t="n">
        <f aca="false">IFERROR(IF($C140="","",IF($D140="","",IFERROR(ROUND($D140*INDEX('🔖 배합비 참조'!$B$2:$CE$83,MATCH("호두분태(미국산)",'🔖 배합비 참조'!$A$2:$A$83,0),MATCH($C140,'🔖 배합비 참조'!$B$1:$CE$1,0))/100,0),""))),"")</f>
        <v>0</v>
      </c>
      <c r="CD140" s="42" t="n">
        <f aca="false">IFERROR(IF($C140="","",IF($D140="","",IFERROR(ROUND($D140*INDEX('🔖 배합비 참조'!$B$2:$CE$83,MATCH("호박씨앗(외국산)",'🔖 배합비 참조'!$A$2:$A$83,0),MATCH($C140,'🔖 배합비 참조'!$B$1:$CE$1,0))/100,0),""))),"")</f>
        <v>0</v>
      </c>
      <c r="CE140" s="42" t="n">
        <f aca="false">IFERROR(IF($C140="","",IF($D140="","",IFERROR(ROUND($D140*INDEX('🔖 배합비 참조'!$B$2:$CE$83,MATCH("혼합제제(떡용에스텔)",'🔖 배합비 참조'!$A$2:$A$83,0),MATCH($C140,'🔖 배합비 참조'!$B$1:$CE$1,0))/100,0),""))),"")</f>
        <v>0</v>
      </c>
      <c r="CF140" s="42" t="n">
        <f aca="false">IFERROR(IF($C140="","",IF($D140="","",IFERROR(ROUND($D140*INDEX('🔖 배합비 참조'!$B$2:$CE$83,MATCH("혼합제제(스테비아)",'🔖 배합비 참조'!$A$2:$A$83,0),MATCH($C140,'🔖 배합비 참조'!$B$1:$CE$1,0))/100,0),""))),"")</f>
        <v>0</v>
      </c>
      <c r="CG140" s="42" t="n">
        <f aca="false">IFERROR(IF($C140="","",IF($D140="","",IFERROR(ROUND($D140*INDEX('🔖 배합비 참조'!$B$2:$CE$83,MATCH("화이트초콜릿",'🔖 배합비 참조'!$A$2:$A$83,0),MATCH($C140,'🔖 배합비 참조'!$B$1:$CE$1,0))/100,0),""))),"")</f>
        <v>2</v>
      </c>
      <c r="CH140" s="42" t="n">
        <f aca="false">IFERROR(IF($C140="","",IF($D140="","",IFERROR(ROUND($D140*INDEX('🔖 배합비 참조'!$B$2:$CE$83,MATCH("흑미찹쌀(국내산)",'🔖 배합비 참조'!$A$2:$A$83,0),MATCH($C140,'🔖 배합비 참조'!$B$1:$CE$1,0))/100,0),""))),"")</f>
        <v>0</v>
      </c>
      <c r="CI140" s="42" t="n">
        <f aca="false">IFERROR(IF($C140="","",IF($D140="","",IFERROR(ROUND($D140*INDEX('🔖 배합비 참조'!$B$2:$CE$83,MATCH("찰옥수수전분(미국산)",'🔖 배합비 참조'!$A$2:$A$83,0),MATCH($C140,'🔖 배합비 참조'!$B$1:$CE$1,0))/100,0),""))),"")</f>
        <v>0</v>
      </c>
      <c r="CJ140" s="40"/>
      <c r="CL140" s="1" t="s">
        <v>239</v>
      </c>
    </row>
    <row r="141" customFormat="false" ht="18" hidden="false" customHeight="true" outlineLevel="0" collapsed="false">
      <c r="A141" s="35" t="n">
        <v>137</v>
      </c>
      <c r="B141" s="36" t="n">
        <v>46015</v>
      </c>
      <c r="C141" s="37" t="s">
        <v>244</v>
      </c>
      <c r="D141" s="38" t="n">
        <v>70</v>
      </c>
      <c r="E141" s="13"/>
      <c r="F141" s="13"/>
      <c r="G141" s="39" t="n">
        <f aca="false">IFERROR(IF($C141="","",IF($D141="","",IFERROR(ROUND($D141*INDEX('🔖 배합비 참조'!$B$2:$CE$83,MATCH("간장",'🔖 배합비 참조'!$A$2:$A$83,0),MATCH($C141,'🔖 배합비 참조'!$B$1:$CE$1,0))/100,0),""))),"")</f>
        <v>0</v>
      </c>
      <c r="H141" s="39" t="n">
        <f aca="false">IFERROR(IF($C141="","",IF($D141="","",IFERROR(ROUND($D141*INDEX('🔖 배합비 참조'!$B$2:$CE$83,MATCH("강낭콩((울타리콩))",'🔖 배합비 참조'!$A$2:$A$83,0),MATCH($C141,'🔖 배합비 참조'!$B$1:$CE$1,0))/100,0),""))),"")</f>
        <v>0</v>
      </c>
      <c r="I141" s="39" t="n">
        <f aca="false">IFERROR(IF($C141="","",IF($D141="","",IFERROR(ROUND($D141*INDEX('🔖 배합비 참조'!$B$2:$CE$83,MATCH("건조딸기다이스(외국산)",'🔖 배합비 참조'!$A$2:$A$83,0),MATCH($C141,'🔖 배합비 참조'!$B$1:$CE$1,0))/100,0),""))),"")</f>
        <v>0</v>
      </c>
      <c r="J141" s="39" t="n">
        <f aca="false">IFERROR(IF($C141="","",IF($D141="","",IFERROR(ROUND($D141*INDEX('🔖 배합비 참조'!$B$2:$CE$83,MATCH("건포도",'🔖 배합비 참조'!$A$2:$A$83,0),MATCH($C141,'🔖 배합비 참조'!$B$1:$CE$1,0))/100,0),""))),"")</f>
        <v>0</v>
      </c>
      <c r="K141" s="39" t="n">
        <f aca="false">IFERROR(IF($C141="","",IF($D141="","",IFERROR(ROUND($D141*INDEX('🔖 배합비 참조'!$B$2:$CE$83,MATCH("건호박채(중국산)",'🔖 배합비 참조'!$A$2:$A$83,0),MATCH($C141,'🔖 배합비 참조'!$B$1:$CE$1,0))/100,0),""))),"")</f>
        <v>0</v>
      </c>
      <c r="L141" s="39" t="n">
        <f aca="false">IFERROR(IF($C141="","",IF($D141="","",IFERROR(ROUND($D141*INDEX('🔖 배합비 참조'!$B$2:$CE$83,MATCH("검정깨(흑임자)",'🔖 배합비 참조'!$A$2:$A$83,0),MATCH($C141,'🔖 배합비 참조'!$B$1:$CE$1,0))/100,0),""))),"")</f>
        <v>0</v>
      </c>
      <c r="M141" s="39" t="n">
        <f aca="false">IFERROR(IF($C141="","",IF($D141="","",IFERROR(ROUND($D141*INDEX('🔖 배합비 참조'!$B$2:$CE$83,MATCH("검정콩",'🔖 배합비 참조'!$A$2:$A$83,0),MATCH($C141,'🔖 배합비 참조'!$B$1:$CE$1,0))/100,0),""))),"")</f>
        <v>0</v>
      </c>
      <c r="N141" s="39" t="n">
        <f aca="false">IFERROR(IF($C141="","",IF($D141="","",IFERROR(ROUND($D141*INDEX('🔖 배합비 참조'!$B$2:$CE$83,MATCH("계피가루",'🔖 배합비 참조'!$A$2:$A$83,0),MATCH($C141,'🔖 배합비 참조'!$B$1:$CE$1,0))/100,0),""))),"")</f>
        <v>0</v>
      </c>
      <c r="O141" s="39" t="n">
        <f aca="false">IFERROR(IF($C141="","",IF($D141="","",IFERROR(ROUND($D141*INDEX('🔖 배합비 참조'!$B$2:$CE$83,MATCH("고구마가루",'🔖 배합비 참조'!$A$2:$A$83,0),MATCH($C141,'🔖 배합비 참조'!$B$1:$CE$1,0))/100,0),""))),"")</f>
        <v>0</v>
      </c>
      <c r="P141" s="39" t="n">
        <f aca="false">IFERROR(IF($C141="","",IF($D141="","",IFERROR(ROUND($D141*INDEX('🔖 배합비 참조'!$B$2:$CE$83,MATCH("고구마무스",'🔖 배합비 참조'!$A$2:$A$83,0),MATCH($C141,'🔖 배합비 참조'!$B$1:$CE$1,0))/100,0),""))),"")</f>
        <v>0</v>
      </c>
      <c r="Q141" s="39" t="n">
        <f aca="false">IFERROR(IF($C141="","",IF($D141="","",IFERROR(ROUND($D141*INDEX('🔖 배합비 참조'!$B$2:$CE$83,MATCH("고려엉겅퀴((곤드레)국내산)",'🔖 배합비 참조'!$A$2:$A$83,0),MATCH($C141,'🔖 배합비 참조'!$B$1:$CE$1,0))/100,0),""))),"")</f>
        <v>0</v>
      </c>
      <c r="R141" s="39" t="n">
        <f aca="false">IFERROR(IF($C141="","",IF($D141="","",IFERROR(ROUND($D141*INDEX('🔖 배합비 참조'!$B$2:$CE$83,MATCH("기타가공품(복분자가루)",'🔖 배합비 참조'!$A$2:$A$83,0),MATCH($C141,'🔖 배합비 참조'!$B$1:$CE$1,0))/100,0),""))),"")</f>
        <v>0</v>
      </c>
      <c r="S141" s="39" t="n">
        <f aca="false">IFERROR(IF($C141="","",IF($D141="","",IFERROR(ROUND($D141*INDEX('🔖 배합비 참조'!$B$2:$CE$83,MATCH("기타가공품(슈퍼소프트엠)",'🔖 배합비 참조'!$A$2:$A$83,0),MATCH($C141,'🔖 배합비 참조'!$B$1:$CE$1,0))/100,0),""))),"")</f>
        <v>0</v>
      </c>
      <c r="T141" s="39" t="n">
        <f aca="false">IFERROR(IF($C141="","",IF($D141="","",IFERROR(ROUND($D141*INDEX('🔖 배합비 참조'!$B$2:$CE$83,MATCH("기타가공품(파인소프트 E-티)",'🔖 배합비 참조'!$A$2:$A$83,0),MATCH($C141,'🔖 배합비 참조'!$B$1:$CE$1,0))/100,0),""))),"")</f>
        <v>0</v>
      </c>
      <c r="U141" s="39" t="n">
        <f aca="false">IFERROR(IF($C141="","",IF($D141="","",IFERROR(ROUND($D141*INDEX('🔖 배합비 참조'!$B$2:$CE$83,MATCH("기타가공품(프리미엄카스테라가루)",'🔖 배합비 참조'!$A$2:$A$83,0),MATCH($C141,'🔖 배합비 참조'!$B$1:$CE$1,0))/100,0),""))),"")</f>
        <v>2</v>
      </c>
      <c r="V141" s="39" t="n">
        <f aca="false">IFERROR(IF($C141="","",IF($D141="","",IFERROR(ROUND($D141*INDEX('🔖 배합비 참조'!$B$2:$CE$83,MATCH("기타가공품(흑임자가루)",'🔖 배합비 참조'!$A$2:$A$83,0),MATCH($C141,'🔖 배합비 참조'!$B$1:$CE$1,0))/100,0),""))),"")</f>
        <v>5</v>
      </c>
      <c r="W141" s="39" t="n">
        <f aca="false">IFERROR(IF($C141="","",IF($D141="","",IFERROR(ROUND($D141*INDEX('🔖 배합비 참조'!$B$2:$CE$83,MATCH("기타설탕(흑설탕)",'🔖 배합비 참조'!$A$2:$A$83,0),MATCH($C141,'🔖 배합비 참조'!$B$1:$CE$1,0))/100,0),""))),"")</f>
        <v>0</v>
      </c>
      <c r="X141" s="39" t="n">
        <f aca="false">IFERROR(IF($C141="","",IF($D141="","",IFERROR(ROUND($D141*INDEX('🔖 배합비 참조'!$B$2:$CE$83,MATCH("냉동쑥(국내산)",'🔖 배합비 참조'!$A$2:$A$83,0),MATCH($C141,'🔖 배합비 참조'!$B$1:$CE$1,0))/100,0),""))),"")</f>
        <v>0</v>
      </c>
      <c r="Y141" s="39" t="n">
        <f aca="false">IFERROR(IF($C141="","",IF($D141="","",IFERROR(ROUND($D141*INDEX('🔖 배합비 참조'!$B$2:$CE$83,MATCH("냉동증숙고구마(중국산)",'🔖 배합비 참조'!$A$2:$A$83,0),MATCH($C141,'🔖 배합비 참조'!$B$1:$CE$1,0))/100,0),""))),"")</f>
        <v>0</v>
      </c>
      <c r="Z141" s="39" t="n">
        <f aca="false">IFERROR(IF($C141="","",IF($D141="","",IFERROR(ROUND($D141*INDEX('🔖 배합비 참조'!$B$2:$CE$83,MATCH("녹차가루",'🔖 배합비 참조'!$A$2:$A$83,0),MATCH($C141,'🔖 배합비 참조'!$B$1:$CE$1,0))/100,0),""))),"")</f>
        <v>0</v>
      </c>
      <c r="AA141" s="39" t="n">
        <f aca="false">IFERROR(IF($C141="","",IF($D141="","",IFERROR(ROUND($D141*INDEX('🔖 배합비 참조'!$B$2:$CE$83,MATCH("다크초콜릿 컴파운드칩",'🔖 배합비 참조'!$A$2:$A$83,0),MATCH($C141,'🔖 배합비 참조'!$B$1:$CE$1,0))/100,0),""))),"")</f>
        <v>0</v>
      </c>
      <c r="AB141" s="39" t="n">
        <f aca="false">IFERROR(IF($C141="","",IF($D141="","",IFERROR(ROUND($D141*INDEX('🔖 배합비 참조'!$B$2:$CE$83,MATCH("단호박분말(중국산)",'🔖 배합비 참조'!$A$2:$A$83,0),MATCH($C141,'🔖 배합비 참조'!$B$1:$CE$1,0))/100,0),""))),"")</f>
        <v>0</v>
      </c>
      <c r="AC141" s="39" t="n">
        <f aca="false">IFERROR(IF($C141="","",IF($D141="","",IFERROR(ROUND($D141*INDEX('🔖 배합비 참조'!$B$2:$CE$83,MATCH("당류가공품(단호박농축액)",'🔖 배합비 참조'!$A$2:$A$83,0),MATCH($C141,'🔖 배합비 참조'!$B$1:$CE$1,0))/100,0),""))),"")</f>
        <v>0</v>
      </c>
      <c r="AD141" s="39" t="n">
        <f aca="false">IFERROR(IF($C141="","",IF($D141="","",IFERROR(ROUND($D141*INDEX('🔖 배합비 참조'!$B$2:$CE$83,MATCH("당류가공품(알룰로스,에리스리톨,스테비올배당체혼합)",'🔖 배합비 참조'!$A$2:$A$83,0),MATCH($C141,'🔖 배합비 참조'!$B$1:$CE$1,0))/100,0),""))),"")</f>
        <v>0</v>
      </c>
      <c r="AE141" s="39" t="n">
        <f aca="false">IFERROR(IF($C141="","",IF($D141="","",IFERROR(ROUND($D141*INDEX('🔖 배합비 참조'!$B$2:$CE$83,MATCH("당류가공품(알룰로스제로파우더)",'🔖 배합비 참조'!$A$2:$A$83,0),MATCH($C141,'🔖 배합비 참조'!$B$1:$CE$1,0))/100,0),""))),"")</f>
        <v>0</v>
      </c>
      <c r="AF141" s="39" t="n">
        <f aca="false">IFERROR(IF($C141="","",IF($D141="","",IFERROR(ROUND($D141*INDEX('🔖 배합비 참조'!$B$2:$CE$83,MATCH("당절임(완두배기)",'🔖 배합비 참조'!$A$2:$A$83,0),MATCH($C141,'🔖 배합비 참조'!$B$1:$CE$1,0))/100,0),""))),"")</f>
        <v>0</v>
      </c>
      <c r="AG141" s="39" t="n">
        <f aca="false">IFERROR(IF($C141="","",IF($D141="","",IFERROR(ROUND($D141*INDEX('🔖 배합비 참조'!$B$2:$CE$83,MATCH("대추농축액",'🔖 배합비 참조'!$A$2:$A$83,0),MATCH($C141,'🔖 배합비 참조'!$B$1:$CE$1,0))/100,0),""))),"")</f>
        <v>0</v>
      </c>
      <c r="AH141" s="39" t="n">
        <f aca="false">IFERROR(IF($C141="","",IF($D141="","",IFERROR(ROUND($D141*INDEX('🔖 배합비 참조'!$B$2:$CE$83,MATCH("대추채(국내산)",'🔖 배합비 참조'!$A$2:$A$83,0),MATCH($C141,'🔖 배합비 참조'!$B$1:$CE$1,0))/100,0),""))),"")</f>
        <v>0</v>
      </c>
      <c r="AI141" s="39" t="n">
        <f aca="false">IFERROR(IF($C141="","",IF($D141="","",IFERROR(ROUND($D141*INDEX('🔖 배합비 참조'!$B$2:$CE$83,MATCH("동부(미얀마산)",'🔖 배합비 참조'!$A$2:$A$83,0),MATCH($C141,'🔖 배합비 참조'!$B$1:$CE$1,0))/100,0),""))),"")</f>
        <v>0</v>
      </c>
      <c r="AJ141" s="39" t="n">
        <f aca="false">IFERROR(IF($C141="","",IF($D141="","",IFERROR(ROUND($D141*INDEX('🔖 배합비 참조'!$B$2:$CE$83,MATCH("두류가공품(백옥앙금)",'🔖 배합비 참조'!$A$2:$A$83,0),MATCH($C141,'🔖 배합비 참조'!$B$1:$CE$1,0))/100,0),""))),"")</f>
        <v>0</v>
      </c>
      <c r="AK141" s="39" t="n">
        <f aca="false">IFERROR(IF($C141="","",IF($D141="","",IFERROR(ROUND($D141*INDEX('🔖 배합비 참조'!$B$2:$CE$83,MATCH("두류가공품(콩고물)",'🔖 배합비 참조'!$A$2:$A$83,0),MATCH($C141,'🔖 배합비 참조'!$B$1:$CE$1,0))/100,0),""))),"")</f>
        <v>0</v>
      </c>
      <c r="AL141" s="39" t="n">
        <f aca="false">IFERROR(IF($C141="","",IF($D141="","",IFERROR(ROUND($D141*INDEX('🔖 배합비 참조'!$B$2:$CE$83,MATCH("두류가공품(통팥고물)",'🔖 배합비 참조'!$A$2:$A$83,0),MATCH($C141,'🔖 배합비 참조'!$B$1:$CE$1,0))/100,0),""))),"")</f>
        <v>0</v>
      </c>
      <c r="AM141" s="39" t="n">
        <f aca="false">IFERROR(IF($C141="","",IF($D141="","",IFERROR(ROUND($D141*INDEX('🔖 배합비 참조'!$B$2:$CE$83,MATCH("딸기레진",'🔖 배합비 참조'!$A$2:$A$83,0),MATCH($C141,'🔖 배합비 참조'!$B$1:$CE$1,0))/100,0),""))),"")</f>
        <v>0</v>
      </c>
      <c r="AN141" s="39" t="n">
        <f aca="false">IFERROR(IF($C141="","",IF($D141="","",IFERROR(ROUND($D141*INDEX('🔖 배합비 참조'!$B$2:$CE$83,MATCH("딸기분말(스트로우베리에이드(분말))",'🔖 배합비 참조'!$A$2:$A$83,0),MATCH($C141,'🔖 배합비 참조'!$B$1:$CE$1,0))/100,0),""))),"")</f>
        <v>0</v>
      </c>
      <c r="AO141" s="39" t="n">
        <f aca="false">IFERROR(IF($C141="","",IF($D141="","",IFERROR(ROUND($D141*INDEX('🔖 배합비 참조'!$B$2:$CE$83,MATCH("마스카포네치즈",'🔖 배합비 참조'!$A$2:$A$83,0),MATCH($C141,'🔖 배합비 참조'!$B$1:$CE$1,0))/100,0),""))),"")</f>
        <v>0</v>
      </c>
      <c r="AP141" s="39" t="n">
        <f aca="false">IFERROR(IF($C141="","",IF($D141="","",IFERROR(ROUND($D141*INDEX('🔖 배합비 참조'!$B$2:$CE$83,MATCH("마카다미아분태(호주산)",'🔖 배합비 참조'!$A$2:$A$83,0),MATCH($C141,'🔖 배합비 참조'!$B$1:$CE$1,0))/100,0),""))),"")</f>
        <v>0</v>
      </c>
      <c r="AQ141" s="39" t="n">
        <f aca="false">IFERROR(IF($C141="","",IF($D141="","",IFERROR(ROUND($D141*INDEX('🔖 배합비 참조'!$B$2:$CE$83,MATCH("멥쌀(국내산)",'🔖 배합비 참조'!$A$2:$A$83,0),MATCH($C141,'🔖 배합비 참조'!$B$1:$CE$1,0))/100,0),""))),"")</f>
        <v>0</v>
      </c>
      <c r="AR141" s="39" t="n">
        <f aca="false">IFERROR(IF($C141="","",IF($D141="","",IFERROR(ROUND($D141*INDEX('🔖 배합비 참조'!$B$2:$CE$83,MATCH("모시잎(국내산)",'🔖 배합비 참조'!$A$2:$A$83,0),MATCH($C141,'🔖 배합비 참조'!$B$1:$CE$1,0))/100,0),""))),"")</f>
        <v>0</v>
      </c>
      <c r="AS141" s="39" t="n">
        <f aca="false">IFERROR(IF($C141="","",IF($D141="","",IFERROR(ROUND($D141*INDEX('🔖 배합비 참조'!$B$2:$CE$83,MATCH("물엿(저당물엿)",'🔖 배합비 참조'!$A$2:$A$83,0),MATCH($C141,'🔖 배합비 참조'!$B$1:$CE$1,0))/100,0),""))),"")</f>
        <v>4</v>
      </c>
      <c r="AT141" s="39" t="n">
        <f aca="false">IFERROR(IF($C141="","",IF($D141="","",IFERROR(ROUND($D141*INDEX('🔖 배합비 참조'!$B$2:$CE$83,MATCH("밤다이스",'🔖 배합비 참조'!$A$2:$A$83,0),MATCH($C141,'🔖 배합비 참조'!$B$1:$CE$1,0))/100,0),""))),"")</f>
        <v>0</v>
      </c>
      <c r="AU141" s="39" t="n">
        <f aca="false">IFERROR(IF($C141="","",IF($D141="","",IFERROR(ROUND($D141*INDEX('🔖 배합비 참조'!$B$2:$CE$83,MATCH("변성전분(타피오카전분)",'🔖 배합비 참조'!$A$2:$A$83,0),MATCH($C141,'🔖 배합비 참조'!$B$1:$CE$1,0))/100,0),""))),"")</f>
        <v>0</v>
      </c>
      <c r="AV141" s="39" t="n">
        <f aca="false">IFERROR(IF($C141="","",IF($D141="","",IFERROR(ROUND($D141*INDEX('🔖 배합비 참조'!$B$2:$CE$83,MATCH("복음땅콩분태",'🔖 배합비 참조'!$A$2:$A$83,0),MATCH($C141,'🔖 배합비 참조'!$B$1:$CE$1,0))/100,0),""))),"")</f>
        <v>0</v>
      </c>
      <c r="AW141" s="39" t="n">
        <f aca="false">IFERROR(IF($C141="","",IF($D141="","",IFERROR(ROUND($D141*INDEX('🔖 배합비 참조'!$B$2:$CE$83,MATCH("사양벌꿀(국내산)",'🔖 배합비 참조'!$A$2:$A$83,0),MATCH($C141,'🔖 배합비 참조'!$B$1:$CE$1,0))/100,0),""))),"")</f>
        <v>0</v>
      </c>
      <c r="AX141" s="39" t="n">
        <f aca="false">IFERROR(IF($C141="","",IF($D141="","",IFERROR(ROUND($D141*INDEX('🔖 배합비 참조'!$B$2:$CE$83,MATCH("생크림",'🔖 배합비 참조'!$A$2:$A$83,0),MATCH($C141,'🔖 배합비 참조'!$B$1:$CE$1,0))/100,0),""))),"")</f>
        <v>5</v>
      </c>
      <c r="AY141" s="39" t="n">
        <f aca="false">IFERROR(IF($C141="","",IF($D141="","",IFERROR(ROUND($D141*INDEX('🔖 배합비 참조'!$B$2:$CE$83,MATCH("서양호박(국내산,뉴질랜드산)",'🔖 배합비 참조'!$A$2:$A$83,0),MATCH($C141,'🔖 배합비 참조'!$B$1:$CE$1,0))/100,0),""))),"")</f>
        <v>0</v>
      </c>
      <c r="AZ141" s="39" t="n">
        <f aca="false">IFERROR(IF($C141="","",IF($D141="","",IFERROR(ROUND($D141*INDEX('🔖 배합비 참조'!$B$2:$CE$83,MATCH("설탕",'🔖 배합비 참조'!$A$2:$A$83,0),MATCH($C141,'🔖 배합비 참조'!$B$1:$CE$1,0))/100,0),""))),"")</f>
        <v>1</v>
      </c>
      <c r="BA141" s="39" t="n">
        <f aca="false">IFERROR(IF($C141="","",IF($D141="","",IFERROR(ROUND($D141*INDEX('🔖 배합비 참조'!$B$2:$CE$83,MATCH("스트로우베리 에이드 후레쉬",'🔖 배합비 참조'!$A$2:$A$83,0),MATCH($C141,'🔖 배합비 참조'!$B$1:$CE$1,0))/100,0),""))),"")</f>
        <v>0</v>
      </c>
      <c r="BB141" s="39" t="n">
        <f aca="false">IFERROR(IF($C141="","",IF($D141="","",IFERROR(ROUND($D141*INDEX('🔖 배합비 참조'!$B$2:$CE$83,MATCH("식물성기름혼합제제(분홍)",'🔖 배합비 참조'!$A$2:$A$83,0),MATCH($C141,'🔖 배합비 참조'!$B$1:$CE$1,0))/100,0),""))),"")</f>
        <v>0</v>
      </c>
      <c r="BC141" s="39" t="n">
        <f aca="false">IFERROR(IF($C141="","",IF($D141="","",IFERROR(ROUND($D141*INDEX('🔖 배합비 참조'!$B$2:$CE$83,MATCH("식물성기름혼합제제(초록)",'🔖 배합비 참조'!$A$2:$A$83,0),MATCH($C141,'🔖 배합비 참조'!$B$1:$CE$1,0))/100,0),""))),"")</f>
        <v>0</v>
      </c>
      <c r="BD141" s="39" t="n">
        <f aca="false">IFERROR(IF($C141="","",IF($D141="","",IFERROR(ROUND($D141*INDEX('🔖 배합비 참조'!$B$2:$CE$83,MATCH("식물성기름혼합제제(황색)",'🔖 배합비 참조'!$A$2:$A$83,0),MATCH($C141,'🔖 배합비 참조'!$B$1:$CE$1,0))/100,0),""))),"")</f>
        <v>0</v>
      </c>
      <c r="BE141" s="39" t="n">
        <f aca="false">IFERROR(IF($C141="","",IF($D141="","",IFERROR(ROUND($D141*INDEX('🔖 배합비 참조'!$B$2:$CE$83,MATCH("쑥가루(국내산)",'🔖 배합비 참조'!$A$2:$A$83,0),MATCH($C141,'🔖 배합비 참조'!$B$1:$CE$1,0))/100,0),""))),"")</f>
        <v>0</v>
      </c>
      <c r="BF141" s="39" t="n">
        <f aca="false">IFERROR(IF($C141="","",IF($D141="","",IFERROR(ROUND($D141*INDEX('🔖 배합비 참조'!$B$2:$CE$83,MATCH("아몬드슬라이스",'🔖 배합비 참조'!$A$2:$A$83,0),MATCH($C141,'🔖 배합비 참조'!$B$1:$CE$1,0))/100,0),""))),"")</f>
        <v>0</v>
      </c>
      <c r="BG141" s="39" t="n">
        <f aca="false">IFERROR(IF($C141="","",IF($D141="","",IFERROR(ROUND($D141*INDEX('🔖 배합비 참조'!$B$2:$CE$83,MATCH("알룰로오스(국내산)",'🔖 배합비 참조'!$A$2:$A$83,0),MATCH($C141,'🔖 배합비 참조'!$B$1:$CE$1,0))/100,0),""))),"")</f>
        <v>0</v>
      </c>
      <c r="BH141" s="39" t="n">
        <f aca="false">IFERROR(IF($C141="","",IF($D141="","",IFERROR(ROUND($D141*INDEX('🔖 배합비 참조'!$B$2:$CE$83,MATCH("연유",'🔖 배합비 참조'!$A$2:$A$83,0),MATCH($C141,'🔖 배합비 참조'!$B$1:$CE$1,0))/100,0),""))),"")</f>
        <v>0</v>
      </c>
      <c r="BI141" s="39" t="n">
        <f aca="false">IFERROR(IF($C141="","",IF($D141="","",IFERROR(ROUND($D141*INDEX('🔖 배합비 참조'!$B$2:$CE$83,MATCH("옥수수전분",'🔖 배합비 참조'!$A$2:$A$83,0),MATCH($C141,'🔖 배합비 참조'!$B$1:$CE$1,0))/100,0),""))),"")</f>
        <v>0</v>
      </c>
      <c r="BJ141" s="39" t="n">
        <f aca="false">IFERROR(IF($C141="","",IF($D141="","",IFERROR(ROUND($D141*INDEX('🔖 배합비 참조'!$B$2:$CE$83,MATCH("완두배기",'🔖 배합비 참조'!$A$2:$A$83,0),MATCH($C141,'🔖 배합비 참조'!$B$1:$CE$1,0))/100,0),""))),"")</f>
        <v>0</v>
      </c>
      <c r="BK141" s="39" t="n">
        <f aca="false">IFERROR(IF($C141="","",IF($D141="","",IFERROR(ROUND($D141*INDEX('🔖 배합비 참조'!$B$2:$CE$83,MATCH("우유(국내산)",'🔖 배합비 참조'!$A$2:$A$83,0),MATCH($C141,'🔖 배합비 참조'!$B$1:$CE$1,0))/100,0),""))),"")</f>
        <v>0</v>
      </c>
      <c r="BL141" s="39" t="n">
        <f aca="false">IFERROR(IF($C141="","",IF($D141="","",IFERROR(ROUND($D141*INDEX('🔖 배합비 참조'!$B$2:$CE$83,MATCH("자색고구마가루(중국산)",'🔖 배합비 참조'!$A$2:$A$83,0),MATCH($C141,'🔖 배합비 참조'!$B$1:$CE$1,0))/100,0),""))),"")</f>
        <v>0</v>
      </c>
      <c r="BM141" s="39" t="n">
        <f aca="false">IFERROR(IF($C141="","",IF($D141="","",IFERROR(ROUND($D141*INDEX('🔖 배합비 참조'!$B$2:$CE$83,MATCH("자연치즈(체다치즈)",'🔖 배합비 참조'!$A$2:$A$83,0),MATCH($C141,'🔖 배합비 참조'!$B$1:$CE$1,0))/100,0),""))),"")</f>
        <v>0</v>
      </c>
      <c r="BN141" s="39" t="n">
        <f aca="false">IFERROR(IF($C141="","",IF($D141="","",IFERROR(ROUND($D141*INDEX('🔖 배합비 참조'!$B$2:$CE$83,MATCH("정제수",'🔖 배합비 참조'!$A$2:$A$83,0),MATCH($C141,'🔖 배합비 참조'!$B$1:$CE$1,0))/100,0),""))),"")</f>
        <v>2</v>
      </c>
      <c r="BO141" s="39" t="n">
        <f aca="false">IFERROR(IF($C141="","",IF($D141="","",IFERROR(ROUND($D141*INDEX('🔖 배합비 참조'!$B$2:$CE$83,MATCH("젤라틴",'🔖 배합비 참조'!$A$2:$A$83,0),MATCH($C141,'🔖 배합비 참조'!$B$1:$CE$1,0))/100,0),""))),"")</f>
        <v>0</v>
      </c>
      <c r="BP141" s="39" t="n">
        <f aca="false">IFERROR(IF($C141="","",IF($D141="","",IFERROR(ROUND($D141*INDEX('🔖 배합비 참조'!$B$2:$CE$83,MATCH("조림류(백옥앙금)",'🔖 배합비 참조'!$A$2:$A$83,0),MATCH($C141,'🔖 배합비 참조'!$B$1:$CE$1,0))/100,0),""))),"")</f>
        <v>7</v>
      </c>
      <c r="BQ141" s="39" t="n">
        <f aca="false">IFERROR(IF($C141="","",IF($D141="","",IFERROR(ROUND($D141*INDEX('🔖 배합비 참조'!$B$2:$CE$83,MATCH("조림류(통팥앙금)",'🔖 배합비 참조'!$A$2:$A$83,0),MATCH($C141,'🔖 배합비 참조'!$B$1:$CE$1,0))/100,0),""))),"")</f>
        <v>0</v>
      </c>
      <c r="BR141" s="39" t="n">
        <f aca="false">IFERROR(IF($C141="","",IF($D141="","",IFERROR(ROUND($D141*INDEX('🔖 배합비 참조'!$B$2:$CE$83,MATCH("준초콜릿(외국산)",'🔖 배합비 참조'!$A$2:$A$83,0),MATCH($C141,'🔖 배합비 참조'!$B$1:$CE$1,0))/100,0),""))),"")</f>
        <v>0</v>
      </c>
      <c r="BS141" s="39" t="n">
        <f aca="false">IFERROR(IF($C141="","",IF($D141="","",IFERROR(ROUND($D141*INDEX('🔖 배합비 참조'!$B$2:$CE$83,MATCH("중력분",'🔖 배합비 참조'!$A$2:$A$83,0),MATCH($C141,'🔖 배합비 참조'!$B$1:$CE$1,0))/100,0),""))),"")</f>
        <v>0</v>
      </c>
      <c r="BT141" s="39" t="n">
        <f aca="false">IFERROR(IF($C141="","",IF($D141="","",IFERROR(ROUND($D141*INDEX('🔖 배합비 참조'!$B$2:$CE$83,MATCH("참깨(인도산,나이지리아산,탄자니아산,미얀마산)",'🔖 배합비 참조'!$A$2:$A$83,0),MATCH($C141,'🔖 배합비 참조'!$B$1:$CE$1,0))/100,0),""))),"")</f>
        <v>0</v>
      </c>
      <c r="BU141" s="39" t="n">
        <f aca="false">IFERROR(IF($C141="","",IF($D141="","",IFERROR(ROUND($D141*INDEX('🔖 배합비 참조'!$B$2:$CE$83,MATCH("찹쌀(국내산)",'🔖 배합비 참조'!$A$2:$A$83,0),MATCH($C141,'🔖 배합비 참조'!$B$1:$CE$1,0))/100,0),""))),"")</f>
        <v>37</v>
      </c>
      <c r="BV141" s="39" t="n">
        <f aca="false">IFERROR(IF($C141="","",IF($D141="","",IFERROR(ROUND($D141*INDEX('🔖 배합비 참조'!$B$2:$CE$83,MATCH("천일염",'🔖 배합비 참조'!$A$2:$A$83,0),MATCH($C141,'🔖 배합비 참조'!$B$1:$CE$1,0))/100,0),""))),"")</f>
        <v>0</v>
      </c>
      <c r="BW141" s="39" t="n">
        <f aca="false">IFERROR(IF($C141="","",IF($D141="","",IFERROR(ROUND($D141*INDEX('🔖 배합비 참조'!$B$2:$CE$83,MATCH("치즈 [크림치즈]",'🔖 배합비 참조'!$A$2:$A$83,0),MATCH($C141,'🔖 배합비 참조'!$B$1:$CE$1,0))/100,0),""))),"")</f>
        <v>5</v>
      </c>
      <c r="BX141" s="39" t="n">
        <f aca="false">IFERROR(IF($C141="","",IF($D141="","",IFERROR(ROUND($D141*INDEX('🔖 배합비 참조'!$B$2:$CE$83,MATCH("코코아가공품류(코코아분말)",'🔖 배합비 참조'!$A$2:$A$83,0),MATCH($C141,'🔖 배합비 참조'!$B$1:$CE$1,0))/100,0),""))),"")</f>
        <v>0</v>
      </c>
      <c r="BY141" s="39" t="n">
        <f aca="false">IFERROR(IF($C141="","",IF($D141="","",IFERROR(ROUND($D141*INDEX('🔖 배합비 참조'!$B$2:$CE$83,MATCH("콩기름(대두유)",'🔖 배합비 참조'!$A$2:$A$83,0),MATCH($C141,'🔖 배합비 참조'!$B$1:$CE$1,0))/100,0),""))),"")</f>
        <v>0</v>
      </c>
      <c r="BZ141" s="39" t="n">
        <f aca="false">IFERROR(IF($C141="","",IF($D141="","",IFERROR(ROUND($D141*INDEX('🔖 배합비 참조'!$B$2:$CE$83,MATCH("해바라기씨앗",'🔖 배합비 참조'!$A$2:$A$83,0),MATCH($C141,'🔖 배합비 참조'!$B$1:$CE$1,0))/100,0),""))),"")</f>
        <v>0</v>
      </c>
      <c r="CA141" s="39" t="n">
        <f aca="false">IFERROR(IF($C141="","",IF($D141="","",IFERROR(ROUND($D141*INDEX('🔖 배합비 참조'!$B$2:$CE$83,MATCH("현미(국내산)",'🔖 배합비 참조'!$A$2:$A$83,0),MATCH($C141,'🔖 배합비 참조'!$B$1:$CE$1,0))/100,0),""))),"")</f>
        <v>0</v>
      </c>
      <c r="CB141" s="39" t="n">
        <f aca="false">IFERROR(IF($C141="","",IF($D141="","",IFERROR(ROUND($D141*INDEX('🔖 배합비 참조'!$B$2:$CE$83,MATCH("현미멥쌀(국내산)",'🔖 배합비 참조'!$A$2:$A$83,0),MATCH($C141,'🔖 배합비 참조'!$B$1:$CE$1,0))/100,0),""))),"")</f>
        <v>0</v>
      </c>
      <c r="CC141" s="39" t="n">
        <f aca="false">IFERROR(IF($C141="","",IF($D141="","",IFERROR(ROUND($D141*INDEX('🔖 배합비 참조'!$B$2:$CE$83,MATCH("호두분태(미국산)",'🔖 배합비 참조'!$A$2:$A$83,0),MATCH($C141,'🔖 배합비 참조'!$B$1:$CE$1,0))/100,0),""))),"")</f>
        <v>0</v>
      </c>
      <c r="CD141" s="39" t="n">
        <f aca="false">IFERROR(IF($C141="","",IF($D141="","",IFERROR(ROUND($D141*INDEX('🔖 배합비 참조'!$B$2:$CE$83,MATCH("호박씨앗(외국산)",'🔖 배합비 참조'!$A$2:$A$83,0),MATCH($C141,'🔖 배합비 참조'!$B$1:$CE$1,0))/100,0),""))),"")</f>
        <v>0</v>
      </c>
      <c r="CE141" s="39" t="n">
        <f aca="false">IFERROR(IF($C141="","",IF($D141="","",IFERROR(ROUND($D141*INDEX('🔖 배합비 참조'!$B$2:$CE$83,MATCH("혼합제제(떡용에스텔)",'🔖 배합비 참조'!$A$2:$A$83,0),MATCH($C141,'🔖 배합비 참조'!$B$1:$CE$1,0))/100,0),""))),"")</f>
        <v>0</v>
      </c>
      <c r="CF141" s="39" t="n">
        <f aca="false">IFERROR(IF($C141="","",IF($D141="","",IFERROR(ROUND($D141*INDEX('🔖 배합비 참조'!$B$2:$CE$83,MATCH("혼합제제(스테비아)",'🔖 배합비 참조'!$A$2:$A$83,0),MATCH($C141,'🔖 배합비 참조'!$B$1:$CE$1,0))/100,0),""))),"")</f>
        <v>0</v>
      </c>
      <c r="CG141" s="39" t="n">
        <f aca="false">IFERROR(IF($C141="","",IF($D141="","",IFERROR(ROUND($D141*INDEX('🔖 배합비 참조'!$B$2:$CE$83,MATCH("화이트초콜릿",'🔖 배합비 참조'!$A$2:$A$83,0),MATCH($C141,'🔖 배합비 참조'!$B$1:$CE$1,0))/100,0),""))),"")</f>
        <v>2</v>
      </c>
      <c r="CH141" s="39" t="n">
        <f aca="false">IFERROR(IF($C141="","",IF($D141="","",IFERROR(ROUND($D141*INDEX('🔖 배합비 참조'!$B$2:$CE$83,MATCH("흑미찹쌀(국내산)",'🔖 배합비 참조'!$A$2:$A$83,0),MATCH($C141,'🔖 배합비 참조'!$B$1:$CE$1,0))/100,0),""))),"")</f>
        <v>0</v>
      </c>
      <c r="CI141" s="39" t="n">
        <f aca="false">IFERROR(IF($C141="","",IF($D141="","",IFERROR(ROUND($D141*INDEX('🔖 배합비 참조'!$B$2:$CE$83,MATCH("찰옥수수전분(미국산)",'🔖 배합비 참조'!$A$2:$A$83,0),MATCH($C141,'🔖 배합비 참조'!$B$1:$CE$1,0))/100,0),""))),"")</f>
        <v>0</v>
      </c>
      <c r="CJ141" s="40"/>
      <c r="CL141" s="1" t="s">
        <v>239</v>
      </c>
    </row>
    <row r="142" customFormat="false" ht="18" hidden="false" customHeight="true" outlineLevel="0" collapsed="false">
      <c r="A142" s="41" t="n">
        <v>138</v>
      </c>
      <c r="B142" s="36" t="n">
        <v>46020</v>
      </c>
      <c r="C142" s="37" t="s">
        <v>204</v>
      </c>
      <c r="D142" s="38" t="n">
        <v>140</v>
      </c>
      <c r="E142" s="17"/>
      <c r="F142" s="17"/>
      <c r="G142" s="42" t="n">
        <f aca="false">IFERROR(IF($C142="","",IF($D142="","",IFERROR(ROUND($D142*INDEX('🔖 배합비 참조'!$B$2:$CE$83,MATCH("간장",'🔖 배합비 참조'!$A$2:$A$83,0),MATCH($C142,'🔖 배합비 참조'!$B$1:$CE$1,0))/100,0),""))),"")</f>
        <v>0</v>
      </c>
      <c r="H142" s="42" t="n">
        <f aca="false">IFERROR(IF($C142="","",IF($D142="","",IFERROR(ROUND($D142*INDEX('🔖 배합비 참조'!$B$2:$CE$83,MATCH("강낭콩((울타리콩))",'🔖 배합비 참조'!$A$2:$A$83,0),MATCH($C142,'🔖 배합비 참조'!$B$1:$CE$1,0))/100,0),""))),"")</f>
        <v>0</v>
      </c>
      <c r="I142" s="42" t="n">
        <f aca="false">IFERROR(IF($C142="","",IF($D142="","",IFERROR(ROUND($D142*INDEX('🔖 배합비 참조'!$B$2:$CE$83,MATCH("건조딸기다이스(외국산)",'🔖 배합비 참조'!$A$2:$A$83,0),MATCH($C142,'🔖 배합비 참조'!$B$1:$CE$1,0))/100,0),""))),"")</f>
        <v>0</v>
      </c>
      <c r="J142" s="42" t="n">
        <f aca="false">IFERROR(IF($C142="","",IF($D142="","",IFERROR(ROUND($D142*INDEX('🔖 배합비 참조'!$B$2:$CE$83,MATCH("건포도",'🔖 배합비 참조'!$A$2:$A$83,0),MATCH($C142,'🔖 배합비 참조'!$B$1:$CE$1,0))/100,0),""))),"")</f>
        <v>0</v>
      </c>
      <c r="K142" s="42" t="n">
        <f aca="false">IFERROR(IF($C142="","",IF($D142="","",IFERROR(ROUND($D142*INDEX('🔖 배합비 참조'!$B$2:$CE$83,MATCH("건호박채(중국산)",'🔖 배합비 참조'!$A$2:$A$83,0),MATCH($C142,'🔖 배합비 참조'!$B$1:$CE$1,0))/100,0),""))),"")</f>
        <v>0</v>
      </c>
      <c r="L142" s="42" t="n">
        <f aca="false">IFERROR(IF($C142="","",IF($D142="","",IFERROR(ROUND($D142*INDEX('🔖 배합비 참조'!$B$2:$CE$83,MATCH("검정깨(흑임자)",'🔖 배합비 참조'!$A$2:$A$83,0),MATCH($C142,'🔖 배합비 참조'!$B$1:$CE$1,0))/100,0),""))),"")</f>
        <v>0</v>
      </c>
      <c r="M142" s="42" t="n">
        <f aca="false">IFERROR(IF($C142="","",IF($D142="","",IFERROR(ROUND($D142*INDEX('🔖 배합비 참조'!$B$2:$CE$83,MATCH("검정콩",'🔖 배합비 참조'!$A$2:$A$83,0),MATCH($C142,'🔖 배합비 참조'!$B$1:$CE$1,0))/100,0),""))),"")</f>
        <v>0</v>
      </c>
      <c r="N142" s="42" t="n">
        <f aca="false">IFERROR(IF($C142="","",IF($D142="","",IFERROR(ROUND($D142*INDEX('🔖 배합비 참조'!$B$2:$CE$83,MATCH("계피가루",'🔖 배합비 참조'!$A$2:$A$83,0),MATCH($C142,'🔖 배합비 참조'!$B$1:$CE$1,0))/100,0),""))),"")</f>
        <v>0</v>
      </c>
      <c r="O142" s="42" t="n">
        <f aca="false">IFERROR(IF($C142="","",IF($D142="","",IFERROR(ROUND($D142*INDEX('🔖 배합비 참조'!$B$2:$CE$83,MATCH("고구마가루",'🔖 배합비 참조'!$A$2:$A$83,0),MATCH($C142,'🔖 배합비 참조'!$B$1:$CE$1,0))/100,0),""))),"")</f>
        <v>0</v>
      </c>
      <c r="P142" s="42" t="n">
        <f aca="false">IFERROR(IF($C142="","",IF($D142="","",IFERROR(ROUND($D142*INDEX('🔖 배합비 참조'!$B$2:$CE$83,MATCH("고구마무스",'🔖 배합비 참조'!$A$2:$A$83,0),MATCH($C142,'🔖 배합비 참조'!$B$1:$CE$1,0))/100,0),""))),"")</f>
        <v>0</v>
      </c>
      <c r="Q142" s="42" t="n">
        <f aca="false">IFERROR(IF($C142="","",IF($D142="","",IFERROR(ROUND($D142*INDEX('🔖 배합비 참조'!$B$2:$CE$83,MATCH("고려엉겅퀴((곤드레)국내산)",'🔖 배합비 참조'!$A$2:$A$83,0),MATCH($C142,'🔖 배합비 참조'!$B$1:$CE$1,0))/100,0),""))),"")</f>
        <v>0</v>
      </c>
      <c r="R142" s="42" t="n">
        <f aca="false">IFERROR(IF($C142="","",IF($D142="","",IFERROR(ROUND($D142*INDEX('🔖 배합비 참조'!$B$2:$CE$83,MATCH("기타가공품(복분자가루)",'🔖 배합비 참조'!$A$2:$A$83,0),MATCH($C142,'🔖 배합비 참조'!$B$1:$CE$1,0))/100,0),""))),"")</f>
        <v>0</v>
      </c>
      <c r="S142" s="42" t="n">
        <f aca="false">IFERROR(IF($C142="","",IF($D142="","",IFERROR(ROUND($D142*INDEX('🔖 배합비 참조'!$B$2:$CE$83,MATCH("기타가공품(슈퍼소프트엠)",'🔖 배합비 참조'!$A$2:$A$83,0),MATCH($C142,'🔖 배합비 참조'!$B$1:$CE$1,0))/100,0),""))),"")</f>
        <v>0</v>
      </c>
      <c r="T142" s="42" t="n">
        <f aca="false">IFERROR(IF($C142="","",IF($D142="","",IFERROR(ROUND($D142*INDEX('🔖 배합비 참조'!$B$2:$CE$83,MATCH("기타가공품(파인소프트 E-티)",'🔖 배합비 참조'!$A$2:$A$83,0),MATCH($C142,'🔖 배합비 참조'!$B$1:$CE$1,0))/100,0),""))),"")</f>
        <v>0</v>
      </c>
      <c r="U142" s="42" t="n">
        <f aca="false">IFERROR(IF($C142="","",IF($D142="","",IFERROR(ROUND($D142*INDEX('🔖 배합비 참조'!$B$2:$CE$83,MATCH("기타가공품(프리미엄카스테라가루)",'🔖 배합비 참조'!$A$2:$A$83,0),MATCH($C142,'🔖 배합비 참조'!$B$1:$CE$1,0))/100,0),""))),"")</f>
        <v>0</v>
      </c>
      <c r="V142" s="42" t="n">
        <f aca="false">IFERROR(IF($C142="","",IF($D142="","",IFERROR(ROUND($D142*INDEX('🔖 배합비 참조'!$B$2:$CE$83,MATCH("기타가공품(흑임자가루)",'🔖 배합비 참조'!$A$2:$A$83,0),MATCH($C142,'🔖 배합비 참조'!$B$1:$CE$1,0))/100,0),""))),"")</f>
        <v>0</v>
      </c>
      <c r="W142" s="42" t="n">
        <f aca="false">IFERROR(IF($C142="","",IF($D142="","",IFERROR(ROUND($D142*INDEX('🔖 배합비 참조'!$B$2:$CE$83,MATCH("기타설탕(흑설탕)",'🔖 배합비 참조'!$A$2:$A$83,0),MATCH($C142,'🔖 배합비 참조'!$B$1:$CE$1,0))/100,0),""))),"")</f>
        <v>0</v>
      </c>
      <c r="X142" s="42" t="n">
        <f aca="false">IFERROR(IF($C142="","",IF($D142="","",IFERROR(ROUND($D142*INDEX('🔖 배합비 참조'!$B$2:$CE$83,MATCH("냉동쑥(국내산)",'🔖 배합비 참조'!$A$2:$A$83,0),MATCH($C142,'🔖 배합비 참조'!$B$1:$CE$1,0))/100,0),""))),"")</f>
        <v>5</v>
      </c>
      <c r="Y142" s="42" t="n">
        <f aca="false">IFERROR(IF($C142="","",IF($D142="","",IFERROR(ROUND($D142*INDEX('🔖 배합비 참조'!$B$2:$CE$83,MATCH("냉동증숙고구마(중국산)",'🔖 배합비 참조'!$A$2:$A$83,0),MATCH($C142,'🔖 배합비 참조'!$B$1:$CE$1,0))/100,0),""))),"")</f>
        <v>0</v>
      </c>
      <c r="Z142" s="42" t="n">
        <f aca="false">IFERROR(IF($C142="","",IF($D142="","",IFERROR(ROUND($D142*INDEX('🔖 배합비 참조'!$B$2:$CE$83,MATCH("녹차가루",'🔖 배합비 참조'!$A$2:$A$83,0),MATCH($C142,'🔖 배합비 참조'!$B$1:$CE$1,0))/100,0),""))),"")</f>
        <v>0</v>
      </c>
      <c r="AA142" s="42" t="n">
        <f aca="false">IFERROR(IF($C142="","",IF($D142="","",IFERROR(ROUND($D142*INDEX('🔖 배합비 참조'!$B$2:$CE$83,MATCH("다크초콜릿 컴파운드칩",'🔖 배합비 참조'!$A$2:$A$83,0),MATCH($C142,'🔖 배합비 참조'!$B$1:$CE$1,0))/100,0),""))),"")</f>
        <v>0</v>
      </c>
      <c r="AB142" s="42" t="n">
        <f aca="false">IFERROR(IF($C142="","",IF($D142="","",IFERROR(ROUND($D142*INDEX('🔖 배합비 참조'!$B$2:$CE$83,MATCH("단호박분말(중국산)",'🔖 배합비 참조'!$A$2:$A$83,0),MATCH($C142,'🔖 배합비 참조'!$B$1:$CE$1,0))/100,0),""))),"")</f>
        <v>0</v>
      </c>
      <c r="AC142" s="42" t="n">
        <f aca="false">IFERROR(IF($C142="","",IF($D142="","",IFERROR(ROUND($D142*INDEX('🔖 배합비 참조'!$B$2:$CE$83,MATCH("당류가공품(단호박농축액)",'🔖 배합비 참조'!$A$2:$A$83,0),MATCH($C142,'🔖 배합비 참조'!$B$1:$CE$1,0))/100,0),""))),"")</f>
        <v>0</v>
      </c>
      <c r="AD142" s="42" t="n">
        <f aca="false">IFERROR(IF($C142="","",IF($D142="","",IFERROR(ROUND($D142*INDEX('🔖 배합비 참조'!$B$2:$CE$83,MATCH("당류가공품(알룰로스,에리스리톨,스테비올배당체혼합)",'🔖 배합비 참조'!$A$2:$A$83,0),MATCH($C142,'🔖 배합비 참조'!$B$1:$CE$1,0))/100,0),""))),"")</f>
        <v>0</v>
      </c>
      <c r="AE142" s="42" t="n">
        <f aca="false">IFERROR(IF($C142="","",IF($D142="","",IFERROR(ROUND($D142*INDEX('🔖 배합비 참조'!$B$2:$CE$83,MATCH("당류가공품(알룰로스제로파우더)",'🔖 배합비 참조'!$A$2:$A$83,0),MATCH($C142,'🔖 배합비 참조'!$B$1:$CE$1,0))/100,0),""))),"")</f>
        <v>0</v>
      </c>
      <c r="AF142" s="42" t="n">
        <f aca="false">IFERROR(IF($C142="","",IF($D142="","",IFERROR(ROUND($D142*INDEX('🔖 배합비 참조'!$B$2:$CE$83,MATCH("당절임(완두배기)",'🔖 배합비 참조'!$A$2:$A$83,0),MATCH($C142,'🔖 배합비 참조'!$B$1:$CE$1,0))/100,0),""))),"")</f>
        <v>0</v>
      </c>
      <c r="AG142" s="42" t="n">
        <f aca="false">IFERROR(IF($C142="","",IF($D142="","",IFERROR(ROUND($D142*INDEX('🔖 배합비 참조'!$B$2:$CE$83,MATCH("대추농축액",'🔖 배합비 참조'!$A$2:$A$83,0),MATCH($C142,'🔖 배합비 참조'!$B$1:$CE$1,0))/100,0),""))),"")</f>
        <v>0</v>
      </c>
      <c r="AH142" s="42" t="n">
        <f aca="false">IFERROR(IF($C142="","",IF($D142="","",IFERROR(ROUND($D142*INDEX('🔖 배합비 참조'!$B$2:$CE$83,MATCH("대추채(국내산)",'🔖 배합비 참조'!$A$2:$A$83,0),MATCH($C142,'🔖 배합비 참조'!$B$1:$CE$1,0))/100,0),""))),"")</f>
        <v>0</v>
      </c>
      <c r="AI142" s="42" t="n">
        <f aca="false">IFERROR(IF($C142="","",IF($D142="","",IFERROR(ROUND($D142*INDEX('🔖 배합비 참조'!$B$2:$CE$83,MATCH("동부(미얀마산)",'🔖 배합비 참조'!$A$2:$A$83,0),MATCH($C142,'🔖 배합비 참조'!$B$1:$CE$1,0))/100,0),""))),"")</f>
        <v>0</v>
      </c>
      <c r="AJ142" s="42" t="n">
        <f aca="false">IFERROR(IF($C142="","",IF($D142="","",IFERROR(ROUND($D142*INDEX('🔖 배합비 참조'!$B$2:$CE$83,MATCH("두류가공품(백옥앙금)",'🔖 배합비 참조'!$A$2:$A$83,0),MATCH($C142,'🔖 배합비 참조'!$B$1:$CE$1,0))/100,0),""))),"")</f>
        <v>0</v>
      </c>
      <c r="AK142" s="42" t="n">
        <f aca="false">IFERROR(IF($C142="","",IF($D142="","",IFERROR(ROUND($D142*INDEX('🔖 배합비 참조'!$B$2:$CE$83,MATCH("두류가공품(콩고물)",'🔖 배합비 참조'!$A$2:$A$83,0),MATCH($C142,'🔖 배합비 참조'!$B$1:$CE$1,0))/100,0),""))),"")</f>
        <v>4</v>
      </c>
      <c r="AL142" s="42" t="n">
        <f aca="false">IFERROR(IF($C142="","",IF($D142="","",IFERROR(ROUND($D142*INDEX('🔖 배합비 참조'!$B$2:$CE$83,MATCH("두류가공품(통팥고물)",'🔖 배합비 참조'!$A$2:$A$83,0),MATCH($C142,'🔖 배합비 참조'!$B$1:$CE$1,0))/100,0),""))),"")</f>
        <v>0</v>
      </c>
      <c r="AM142" s="42" t="n">
        <f aca="false">IFERROR(IF($C142="","",IF($D142="","",IFERROR(ROUND($D142*INDEX('🔖 배합비 참조'!$B$2:$CE$83,MATCH("딸기레진",'🔖 배합비 참조'!$A$2:$A$83,0),MATCH($C142,'🔖 배합비 참조'!$B$1:$CE$1,0))/100,0),""))),"")</f>
        <v>0</v>
      </c>
      <c r="AN142" s="42" t="n">
        <f aca="false">IFERROR(IF($C142="","",IF($D142="","",IFERROR(ROUND($D142*INDEX('🔖 배합비 참조'!$B$2:$CE$83,MATCH("딸기분말(스트로우베리에이드(분말))",'🔖 배합비 참조'!$A$2:$A$83,0),MATCH($C142,'🔖 배합비 참조'!$B$1:$CE$1,0))/100,0),""))),"")</f>
        <v>0</v>
      </c>
      <c r="AO142" s="42" t="n">
        <f aca="false">IFERROR(IF($C142="","",IF($D142="","",IFERROR(ROUND($D142*INDEX('🔖 배합비 참조'!$B$2:$CE$83,MATCH("마스카포네치즈",'🔖 배합비 참조'!$A$2:$A$83,0),MATCH($C142,'🔖 배합비 참조'!$B$1:$CE$1,0))/100,0),""))),"")</f>
        <v>0</v>
      </c>
      <c r="AP142" s="42" t="n">
        <f aca="false">IFERROR(IF($C142="","",IF($D142="","",IFERROR(ROUND($D142*INDEX('🔖 배합비 참조'!$B$2:$CE$83,MATCH("마카다미아분태(호주산)",'🔖 배합비 참조'!$A$2:$A$83,0),MATCH($C142,'🔖 배합비 참조'!$B$1:$CE$1,0))/100,0),""))),"")</f>
        <v>0</v>
      </c>
      <c r="AQ142" s="42" t="n">
        <f aca="false">IFERROR(IF($C142="","",IF($D142="","",IFERROR(ROUND($D142*INDEX('🔖 배합비 참조'!$B$2:$CE$83,MATCH("멥쌀(국내산)",'🔖 배합비 참조'!$A$2:$A$83,0),MATCH($C142,'🔖 배합비 참조'!$B$1:$CE$1,0))/100,0),""))),"")</f>
        <v>0</v>
      </c>
      <c r="AR142" s="42" t="n">
        <f aca="false">IFERROR(IF($C142="","",IF($D142="","",IFERROR(ROUND($D142*INDEX('🔖 배합비 참조'!$B$2:$CE$83,MATCH("모시잎(국내산)",'🔖 배합비 참조'!$A$2:$A$83,0),MATCH($C142,'🔖 배합비 참조'!$B$1:$CE$1,0))/100,0),""))),"")</f>
        <v>0</v>
      </c>
      <c r="AS142" s="42" t="n">
        <f aca="false">IFERROR(IF($C142="","",IF($D142="","",IFERROR(ROUND($D142*INDEX('🔖 배합비 참조'!$B$2:$CE$83,MATCH("물엿(저당물엿)",'🔖 배합비 참조'!$A$2:$A$83,0),MATCH($C142,'🔖 배합비 참조'!$B$1:$CE$1,0))/100,0),""))),"")</f>
        <v>3</v>
      </c>
      <c r="AT142" s="42" t="n">
        <f aca="false">IFERROR(IF($C142="","",IF($D142="","",IFERROR(ROUND($D142*INDEX('🔖 배합비 참조'!$B$2:$CE$83,MATCH("밤다이스",'🔖 배합비 참조'!$A$2:$A$83,0),MATCH($C142,'🔖 배합비 참조'!$B$1:$CE$1,0))/100,0),""))),"")</f>
        <v>0</v>
      </c>
      <c r="AU142" s="42" t="n">
        <f aca="false">IFERROR(IF($C142="","",IF($D142="","",IFERROR(ROUND($D142*INDEX('🔖 배합비 참조'!$B$2:$CE$83,MATCH("변성전분(타피오카전분)",'🔖 배합비 참조'!$A$2:$A$83,0),MATCH($C142,'🔖 배합비 참조'!$B$1:$CE$1,0))/100,0),""))),"")</f>
        <v>0</v>
      </c>
      <c r="AV142" s="42" t="n">
        <f aca="false">IFERROR(IF($C142="","",IF($D142="","",IFERROR(ROUND($D142*INDEX('🔖 배합비 참조'!$B$2:$CE$83,MATCH("복음땅콩분태",'🔖 배합비 참조'!$A$2:$A$83,0),MATCH($C142,'🔖 배합비 참조'!$B$1:$CE$1,0))/100,0),""))),"")</f>
        <v>0</v>
      </c>
      <c r="AW142" s="42" t="n">
        <f aca="false">IFERROR(IF($C142="","",IF($D142="","",IFERROR(ROUND($D142*INDEX('🔖 배합비 참조'!$B$2:$CE$83,MATCH("사양벌꿀(국내산)",'🔖 배합비 참조'!$A$2:$A$83,0),MATCH($C142,'🔖 배합비 참조'!$B$1:$CE$1,0))/100,0),""))),"")</f>
        <v>0</v>
      </c>
      <c r="AX142" s="42" t="n">
        <f aca="false">IFERROR(IF($C142="","",IF($D142="","",IFERROR(ROUND($D142*INDEX('🔖 배합비 참조'!$B$2:$CE$83,MATCH("생크림",'🔖 배합비 참조'!$A$2:$A$83,0),MATCH($C142,'🔖 배합비 참조'!$B$1:$CE$1,0))/100,0),""))),"")</f>
        <v>0</v>
      </c>
      <c r="AY142" s="42" t="n">
        <f aca="false">IFERROR(IF($C142="","",IF($D142="","",IFERROR(ROUND($D142*INDEX('🔖 배합비 참조'!$B$2:$CE$83,MATCH("서양호박(국내산,뉴질랜드산)",'🔖 배합비 참조'!$A$2:$A$83,0),MATCH($C142,'🔖 배합비 참조'!$B$1:$CE$1,0))/100,0),""))),"")</f>
        <v>0</v>
      </c>
      <c r="AZ142" s="42" t="n">
        <f aca="false">IFERROR(IF($C142="","",IF($D142="","",IFERROR(ROUND($D142*INDEX('🔖 배합비 참조'!$B$2:$CE$83,MATCH("설탕",'🔖 배합비 참조'!$A$2:$A$83,0),MATCH($C142,'🔖 배합비 참조'!$B$1:$CE$1,0))/100,0),""))),"")</f>
        <v>3</v>
      </c>
      <c r="BA142" s="42" t="n">
        <f aca="false">IFERROR(IF($C142="","",IF($D142="","",IFERROR(ROUND($D142*INDEX('🔖 배합비 참조'!$B$2:$CE$83,MATCH("스트로우베리 에이드 후레쉬",'🔖 배합비 참조'!$A$2:$A$83,0),MATCH($C142,'🔖 배합비 참조'!$B$1:$CE$1,0))/100,0),""))),"")</f>
        <v>0</v>
      </c>
      <c r="BB142" s="42" t="n">
        <f aca="false">IFERROR(IF($C142="","",IF($D142="","",IFERROR(ROUND($D142*INDEX('🔖 배합비 참조'!$B$2:$CE$83,MATCH("식물성기름혼합제제(분홍)",'🔖 배합비 참조'!$A$2:$A$83,0),MATCH($C142,'🔖 배합비 참조'!$B$1:$CE$1,0))/100,0),""))),"")</f>
        <v>0</v>
      </c>
      <c r="BC142" s="42" t="n">
        <f aca="false">IFERROR(IF($C142="","",IF($D142="","",IFERROR(ROUND($D142*INDEX('🔖 배합비 참조'!$B$2:$CE$83,MATCH("식물성기름혼합제제(초록)",'🔖 배합비 참조'!$A$2:$A$83,0),MATCH($C142,'🔖 배합비 참조'!$B$1:$CE$1,0))/100,0),""))),"")</f>
        <v>0</v>
      </c>
      <c r="BD142" s="42" t="n">
        <f aca="false">IFERROR(IF($C142="","",IF($D142="","",IFERROR(ROUND($D142*INDEX('🔖 배합비 참조'!$B$2:$CE$83,MATCH("식물성기름혼합제제(황색)",'🔖 배합비 참조'!$A$2:$A$83,0),MATCH($C142,'🔖 배합비 참조'!$B$1:$CE$1,0))/100,0),""))),"")</f>
        <v>0</v>
      </c>
      <c r="BE142" s="42" t="n">
        <f aca="false">IFERROR(IF($C142="","",IF($D142="","",IFERROR(ROUND($D142*INDEX('🔖 배합비 참조'!$B$2:$CE$83,MATCH("쑥가루(국내산)",'🔖 배합비 참조'!$A$2:$A$83,0),MATCH($C142,'🔖 배합비 참조'!$B$1:$CE$1,0))/100,0),""))),"")</f>
        <v>2</v>
      </c>
      <c r="BF142" s="42" t="n">
        <f aca="false">IFERROR(IF($C142="","",IF($D142="","",IFERROR(ROUND($D142*INDEX('🔖 배합비 참조'!$B$2:$CE$83,MATCH("아몬드슬라이스",'🔖 배합비 참조'!$A$2:$A$83,0),MATCH($C142,'🔖 배합비 참조'!$B$1:$CE$1,0))/100,0),""))),"")</f>
        <v>0</v>
      </c>
      <c r="BG142" s="42" t="n">
        <f aca="false">IFERROR(IF($C142="","",IF($D142="","",IFERROR(ROUND($D142*INDEX('🔖 배합비 참조'!$B$2:$CE$83,MATCH("알룰로오스(국내산)",'🔖 배합비 참조'!$A$2:$A$83,0),MATCH($C142,'🔖 배합비 참조'!$B$1:$CE$1,0))/100,0),""))),"")</f>
        <v>0</v>
      </c>
      <c r="BH142" s="42" t="n">
        <f aca="false">IFERROR(IF($C142="","",IF($D142="","",IFERROR(ROUND($D142*INDEX('🔖 배합비 참조'!$B$2:$CE$83,MATCH("연유",'🔖 배합비 참조'!$A$2:$A$83,0),MATCH($C142,'🔖 배합비 참조'!$B$1:$CE$1,0))/100,0),""))),"")</f>
        <v>0</v>
      </c>
      <c r="BI142" s="42" t="n">
        <f aca="false">IFERROR(IF($C142="","",IF($D142="","",IFERROR(ROUND($D142*INDEX('🔖 배합비 참조'!$B$2:$CE$83,MATCH("옥수수전분",'🔖 배합비 참조'!$A$2:$A$83,0),MATCH($C142,'🔖 배합비 참조'!$B$1:$CE$1,0))/100,0),""))),"")</f>
        <v>0</v>
      </c>
      <c r="BJ142" s="42" t="n">
        <f aca="false">IFERROR(IF($C142="","",IF($D142="","",IFERROR(ROUND($D142*INDEX('🔖 배합비 참조'!$B$2:$CE$83,MATCH("완두배기",'🔖 배합비 참조'!$A$2:$A$83,0),MATCH($C142,'🔖 배합비 참조'!$B$1:$CE$1,0))/100,0),""))),"")</f>
        <v>0</v>
      </c>
      <c r="BK142" s="42" t="n">
        <f aca="false">IFERROR(IF($C142="","",IF($D142="","",IFERROR(ROUND($D142*INDEX('🔖 배합비 참조'!$B$2:$CE$83,MATCH("우유(국내산)",'🔖 배합비 참조'!$A$2:$A$83,0),MATCH($C142,'🔖 배합비 참조'!$B$1:$CE$1,0))/100,0),""))),"")</f>
        <v>0</v>
      </c>
      <c r="BL142" s="42" t="n">
        <f aca="false">IFERROR(IF($C142="","",IF($D142="","",IFERROR(ROUND($D142*INDEX('🔖 배합비 참조'!$B$2:$CE$83,MATCH("자색고구마가루(중국산)",'🔖 배합비 참조'!$A$2:$A$83,0),MATCH($C142,'🔖 배합비 참조'!$B$1:$CE$1,0))/100,0),""))),"")</f>
        <v>0</v>
      </c>
      <c r="BM142" s="42" t="n">
        <f aca="false">IFERROR(IF($C142="","",IF($D142="","",IFERROR(ROUND($D142*INDEX('🔖 배합비 참조'!$B$2:$CE$83,MATCH("자연치즈(체다치즈)",'🔖 배합비 참조'!$A$2:$A$83,0),MATCH($C142,'🔖 배합비 참조'!$B$1:$CE$1,0))/100,0),""))),"")</f>
        <v>0</v>
      </c>
      <c r="BN142" s="42" t="n">
        <f aca="false">IFERROR(IF($C142="","",IF($D142="","",IFERROR(ROUND($D142*INDEX('🔖 배합비 참조'!$B$2:$CE$83,MATCH("정제수",'🔖 배합비 참조'!$A$2:$A$83,0),MATCH($C142,'🔖 배합비 참조'!$B$1:$CE$1,0))/100,0),""))),"")</f>
        <v>0</v>
      </c>
      <c r="BO142" s="42" t="n">
        <f aca="false">IFERROR(IF($C142="","",IF($D142="","",IFERROR(ROUND($D142*INDEX('🔖 배합비 참조'!$B$2:$CE$83,MATCH("젤라틴",'🔖 배합비 참조'!$A$2:$A$83,0),MATCH($C142,'🔖 배합비 참조'!$B$1:$CE$1,0))/100,0),""))),"")</f>
        <v>0</v>
      </c>
      <c r="BP142" s="42" t="n">
        <f aca="false">IFERROR(IF($C142="","",IF($D142="","",IFERROR(ROUND($D142*INDEX('🔖 배합비 참조'!$B$2:$CE$83,MATCH("조림류(백옥앙금)",'🔖 배합비 참조'!$A$2:$A$83,0),MATCH($C142,'🔖 배합비 참조'!$B$1:$CE$1,0))/100,0),""))),"")</f>
        <v>0</v>
      </c>
      <c r="BQ142" s="42" t="n">
        <f aca="false">IFERROR(IF($C142="","",IF($D142="","",IFERROR(ROUND($D142*INDEX('🔖 배합비 참조'!$B$2:$CE$83,MATCH("조림류(통팥앙금)",'🔖 배합비 참조'!$A$2:$A$83,0),MATCH($C142,'🔖 배합비 참조'!$B$1:$CE$1,0))/100,0),""))),"")</f>
        <v>58</v>
      </c>
      <c r="BR142" s="42" t="n">
        <f aca="false">IFERROR(IF($C142="","",IF($D142="","",IFERROR(ROUND($D142*INDEX('🔖 배합비 참조'!$B$2:$CE$83,MATCH("준초콜릿(외국산)",'🔖 배합비 참조'!$A$2:$A$83,0),MATCH($C142,'🔖 배합비 참조'!$B$1:$CE$1,0))/100,0),""))),"")</f>
        <v>0</v>
      </c>
      <c r="BS142" s="42" t="n">
        <f aca="false">IFERROR(IF($C142="","",IF($D142="","",IFERROR(ROUND($D142*INDEX('🔖 배합비 참조'!$B$2:$CE$83,MATCH("중력분",'🔖 배합비 참조'!$A$2:$A$83,0),MATCH($C142,'🔖 배합비 참조'!$B$1:$CE$1,0))/100,0),""))),"")</f>
        <v>1</v>
      </c>
      <c r="BT142" s="42" t="n">
        <f aca="false">IFERROR(IF($C142="","",IF($D142="","",IFERROR(ROUND($D142*INDEX('🔖 배합비 참조'!$B$2:$CE$83,MATCH("참깨(인도산,나이지리아산,탄자니아산,미얀마산)",'🔖 배합비 참조'!$A$2:$A$83,0),MATCH($C142,'🔖 배합비 참조'!$B$1:$CE$1,0))/100,0),""))),"")</f>
        <v>0</v>
      </c>
      <c r="BU142" s="42" t="n">
        <f aca="false">IFERROR(IF($C142="","",IF($D142="","",IFERROR(ROUND($D142*INDEX('🔖 배합비 참조'!$B$2:$CE$83,MATCH("찹쌀(국내산)",'🔖 배합비 참조'!$A$2:$A$83,0),MATCH($C142,'🔖 배합비 참조'!$B$1:$CE$1,0))/100,0),""))),"")</f>
        <v>62</v>
      </c>
      <c r="BV142" s="42" t="n">
        <f aca="false">IFERROR(IF($C142="","",IF($D142="","",IFERROR(ROUND($D142*INDEX('🔖 배합비 참조'!$B$2:$CE$83,MATCH("천일염",'🔖 배합비 참조'!$A$2:$A$83,0),MATCH($C142,'🔖 배합비 참조'!$B$1:$CE$1,0))/100,0),""))),"")</f>
        <v>1</v>
      </c>
      <c r="BW142" s="42" t="n">
        <f aca="false">IFERROR(IF($C142="","",IF($D142="","",IFERROR(ROUND($D142*INDEX('🔖 배합비 참조'!$B$2:$CE$83,MATCH("치즈 [크림치즈]",'🔖 배합비 참조'!$A$2:$A$83,0),MATCH($C142,'🔖 배합비 참조'!$B$1:$CE$1,0))/100,0),""))),"")</f>
        <v>0</v>
      </c>
      <c r="BX142" s="42" t="n">
        <f aca="false">IFERROR(IF($C142="","",IF($D142="","",IFERROR(ROUND($D142*INDEX('🔖 배합비 참조'!$B$2:$CE$83,MATCH("코코아가공품류(코코아분말)",'🔖 배합비 참조'!$A$2:$A$83,0),MATCH($C142,'🔖 배합비 참조'!$B$1:$CE$1,0))/100,0),""))),"")</f>
        <v>0</v>
      </c>
      <c r="BY142" s="42" t="n">
        <f aca="false">IFERROR(IF($C142="","",IF($D142="","",IFERROR(ROUND($D142*INDEX('🔖 배합비 참조'!$B$2:$CE$83,MATCH("콩기름(대두유)",'🔖 배합비 참조'!$A$2:$A$83,0),MATCH($C142,'🔖 배합비 참조'!$B$1:$CE$1,0))/100,0),""))),"")</f>
        <v>0</v>
      </c>
      <c r="BZ142" s="42" t="n">
        <f aca="false">IFERROR(IF($C142="","",IF($D142="","",IFERROR(ROUND($D142*INDEX('🔖 배합비 참조'!$B$2:$CE$83,MATCH("해바라기씨앗",'🔖 배합비 참조'!$A$2:$A$83,0),MATCH($C142,'🔖 배합비 참조'!$B$1:$CE$1,0))/100,0),""))),"")</f>
        <v>0</v>
      </c>
      <c r="CA142" s="42" t="n">
        <f aca="false">IFERROR(IF($C142="","",IF($D142="","",IFERROR(ROUND($D142*INDEX('🔖 배합비 참조'!$B$2:$CE$83,MATCH("현미(국내산)",'🔖 배합비 참조'!$A$2:$A$83,0),MATCH($C142,'🔖 배합비 참조'!$B$1:$CE$1,0))/100,0),""))),"")</f>
        <v>0</v>
      </c>
      <c r="CB142" s="42" t="n">
        <f aca="false">IFERROR(IF($C142="","",IF($D142="","",IFERROR(ROUND($D142*INDEX('🔖 배합비 참조'!$B$2:$CE$83,MATCH("현미멥쌀(국내산)",'🔖 배합비 참조'!$A$2:$A$83,0),MATCH($C142,'🔖 배합비 참조'!$B$1:$CE$1,0))/100,0),""))),"")</f>
        <v>0</v>
      </c>
      <c r="CC142" s="42" t="n">
        <f aca="false">IFERROR(IF($C142="","",IF($D142="","",IFERROR(ROUND($D142*INDEX('🔖 배합비 참조'!$B$2:$CE$83,MATCH("호두분태(미국산)",'🔖 배합비 참조'!$A$2:$A$83,0),MATCH($C142,'🔖 배합비 참조'!$B$1:$CE$1,0))/100,0),""))),"")</f>
        <v>0</v>
      </c>
      <c r="CD142" s="42" t="n">
        <f aca="false">IFERROR(IF($C142="","",IF($D142="","",IFERROR(ROUND($D142*INDEX('🔖 배합비 참조'!$B$2:$CE$83,MATCH("호박씨앗(외국산)",'🔖 배합비 참조'!$A$2:$A$83,0),MATCH($C142,'🔖 배합비 참조'!$B$1:$CE$1,0))/100,0),""))),"")</f>
        <v>0</v>
      </c>
      <c r="CE142" s="42" t="n">
        <f aca="false">IFERROR(IF($C142="","",IF($D142="","",IFERROR(ROUND($D142*INDEX('🔖 배합비 참조'!$B$2:$CE$83,MATCH("혼합제제(떡용에스텔)",'🔖 배합비 참조'!$A$2:$A$83,0),MATCH($C142,'🔖 배합비 참조'!$B$1:$CE$1,0))/100,0),""))),"")</f>
        <v>1</v>
      </c>
      <c r="CF142" s="42" t="n">
        <f aca="false">IFERROR(IF($C142="","",IF($D142="","",IFERROR(ROUND($D142*INDEX('🔖 배합비 참조'!$B$2:$CE$83,MATCH("혼합제제(스테비아)",'🔖 배합비 참조'!$A$2:$A$83,0),MATCH($C142,'🔖 배합비 참조'!$B$1:$CE$1,0))/100,0),""))),"")</f>
        <v>0</v>
      </c>
      <c r="CG142" s="42" t="n">
        <f aca="false">IFERROR(IF($C142="","",IF($D142="","",IFERROR(ROUND($D142*INDEX('🔖 배합비 참조'!$B$2:$CE$83,MATCH("화이트초콜릿",'🔖 배합비 참조'!$A$2:$A$83,0),MATCH($C142,'🔖 배합비 참조'!$B$1:$CE$1,0))/100,0),""))),"")</f>
        <v>0</v>
      </c>
      <c r="CH142" s="42" t="n">
        <f aca="false">IFERROR(IF($C142="","",IF($D142="","",IFERROR(ROUND($D142*INDEX('🔖 배합비 참조'!$B$2:$CE$83,MATCH("흑미찹쌀(국내산)",'🔖 배합비 참조'!$A$2:$A$83,0),MATCH($C142,'🔖 배합비 참조'!$B$1:$CE$1,0))/100,0),""))),"")</f>
        <v>0</v>
      </c>
      <c r="CI142" s="42" t="n">
        <f aca="false">IFERROR(IF($C142="","",IF($D142="","",IFERROR(ROUND($D142*INDEX('🔖 배합비 참조'!$B$2:$CE$83,MATCH("찰옥수수전분(미국산)",'🔖 배합비 참조'!$A$2:$A$83,0),MATCH($C142,'🔖 배합비 참조'!$B$1:$CE$1,0))/100,0),""))),"")</f>
        <v>0</v>
      </c>
      <c r="CJ142" s="40"/>
      <c r="CL142" s="1" t="s">
        <v>239</v>
      </c>
    </row>
    <row r="143" customFormat="false" ht="18" hidden="false" customHeight="true" outlineLevel="0" collapsed="false">
      <c r="A143" s="35" t="n">
        <v>139</v>
      </c>
      <c r="B143" s="36" t="n">
        <v>46020</v>
      </c>
      <c r="C143" s="37" t="s">
        <v>236</v>
      </c>
      <c r="D143" s="38" t="n">
        <v>210</v>
      </c>
      <c r="E143" s="13"/>
      <c r="F143" s="13"/>
      <c r="G143" s="39" t="n">
        <f aca="false">IFERROR(IF($C143="","",IF($D143="","",IFERROR(ROUND($D143*INDEX('🔖 배합비 참조'!$B$2:$CE$83,MATCH("간장",'🔖 배합비 참조'!$A$2:$A$83,0),MATCH($C143,'🔖 배합비 참조'!$B$1:$CE$1,0))/100,0),""))),"")</f>
        <v>0</v>
      </c>
      <c r="H143" s="39" t="n">
        <f aca="false">IFERROR(IF($C143="","",IF($D143="","",IFERROR(ROUND($D143*INDEX('🔖 배합비 참조'!$B$2:$CE$83,MATCH("강낭콩((울타리콩))",'🔖 배합비 참조'!$A$2:$A$83,0),MATCH($C143,'🔖 배합비 참조'!$B$1:$CE$1,0))/100,0),""))),"")</f>
        <v>0</v>
      </c>
      <c r="I143" s="39" t="n">
        <f aca="false">IFERROR(IF($C143="","",IF($D143="","",IFERROR(ROUND($D143*INDEX('🔖 배합비 참조'!$B$2:$CE$83,MATCH("건조딸기다이스(외국산)",'🔖 배합비 참조'!$A$2:$A$83,0),MATCH($C143,'🔖 배합비 참조'!$B$1:$CE$1,0))/100,0),""))),"")</f>
        <v>0</v>
      </c>
      <c r="J143" s="39" t="n">
        <f aca="false">IFERROR(IF($C143="","",IF($D143="","",IFERROR(ROUND($D143*INDEX('🔖 배합비 참조'!$B$2:$CE$83,MATCH("건포도",'🔖 배합비 참조'!$A$2:$A$83,0),MATCH($C143,'🔖 배합비 참조'!$B$1:$CE$1,0))/100,0),""))),"")</f>
        <v>0</v>
      </c>
      <c r="K143" s="39" t="n">
        <f aca="false">IFERROR(IF($C143="","",IF($D143="","",IFERROR(ROUND($D143*INDEX('🔖 배합비 참조'!$B$2:$CE$83,MATCH("건호박채(중국산)",'🔖 배합비 참조'!$A$2:$A$83,0),MATCH($C143,'🔖 배합비 참조'!$B$1:$CE$1,0))/100,0),""))),"")</f>
        <v>0</v>
      </c>
      <c r="L143" s="39" t="n">
        <f aca="false">IFERROR(IF($C143="","",IF($D143="","",IFERROR(ROUND($D143*INDEX('🔖 배합비 참조'!$B$2:$CE$83,MATCH("검정깨(흑임자)",'🔖 배합비 참조'!$A$2:$A$83,0),MATCH($C143,'🔖 배합비 참조'!$B$1:$CE$1,0))/100,0),""))),"")</f>
        <v>0</v>
      </c>
      <c r="M143" s="39" t="n">
        <f aca="false">IFERROR(IF($C143="","",IF($D143="","",IFERROR(ROUND($D143*INDEX('🔖 배합비 참조'!$B$2:$CE$83,MATCH("검정콩",'🔖 배합비 참조'!$A$2:$A$83,0),MATCH($C143,'🔖 배합비 참조'!$B$1:$CE$1,0))/100,0),""))),"")</f>
        <v>0</v>
      </c>
      <c r="N143" s="39" t="n">
        <f aca="false">IFERROR(IF($C143="","",IF($D143="","",IFERROR(ROUND($D143*INDEX('🔖 배합비 참조'!$B$2:$CE$83,MATCH("계피가루",'🔖 배합비 참조'!$A$2:$A$83,0),MATCH($C143,'🔖 배합비 참조'!$B$1:$CE$1,0))/100,0),""))),"")</f>
        <v>0</v>
      </c>
      <c r="O143" s="39" t="n">
        <f aca="false">IFERROR(IF($C143="","",IF($D143="","",IFERROR(ROUND($D143*INDEX('🔖 배합비 참조'!$B$2:$CE$83,MATCH("고구마가루",'🔖 배합비 참조'!$A$2:$A$83,0),MATCH($C143,'🔖 배합비 참조'!$B$1:$CE$1,0))/100,0),""))),"")</f>
        <v>0</v>
      </c>
      <c r="P143" s="39" t="n">
        <f aca="false">IFERROR(IF($C143="","",IF($D143="","",IFERROR(ROUND($D143*INDEX('🔖 배합비 참조'!$B$2:$CE$83,MATCH("고구마무스",'🔖 배합비 참조'!$A$2:$A$83,0),MATCH($C143,'🔖 배합비 참조'!$B$1:$CE$1,0))/100,0),""))),"")</f>
        <v>0</v>
      </c>
      <c r="Q143" s="39" t="n">
        <f aca="false">IFERROR(IF($C143="","",IF($D143="","",IFERROR(ROUND($D143*INDEX('🔖 배합비 참조'!$B$2:$CE$83,MATCH("고려엉겅퀴((곤드레)국내산)",'🔖 배합비 참조'!$A$2:$A$83,0),MATCH($C143,'🔖 배합비 참조'!$B$1:$CE$1,0))/100,0),""))),"")</f>
        <v>0</v>
      </c>
      <c r="R143" s="39" t="n">
        <f aca="false">IFERROR(IF($C143="","",IF($D143="","",IFERROR(ROUND($D143*INDEX('🔖 배합비 참조'!$B$2:$CE$83,MATCH("기타가공품(복분자가루)",'🔖 배합비 참조'!$A$2:$A$83,0),MATCH($C143,'🔖 배합비 참조'!$B$1:$CE$1,0))/100,0),""))),"")</f>
        <v>0</v>
      </c>
      <c r="S143" s="39" t="n">
        <f aca="false">IFERROR(IF($C143="","",IF($D143="","",IFERROR(ROUND($D143*INDEX('🔖 배합비 참조'!$B$2:$CE$83,MATCH("기타가공품(슈퍼소프트엠)",'🔖 배합비 참조'!$A$2:$A$83,0),MATCH($C143,'🔖 배합비 참조'!$B$1:$CE$1,0))/100,0),""))),"")</f>
        <v>0</v>
      </c>
      <c r="T143" s="39" t="n">
        <f aca="false">IFERROR(IF($C143="","",IF($D143="","",IFERROR(ROUND($D143*INDEX('🔖 배합비 참조'!$B$2:$CE$83,MATCH("기타가공품(파인소프트 E-티)",'🔖 배합비 참조'!$A$2:$A$83,0),MATCH($C143,'🔖 배합비 참조'!$B$1:$CE$1,0))/100,0),""))),"")</f>
        <v>0</v>
      </c>
      <c r="U143" s="39" t="n">
        <f aca="false">IFERROR(IF($C143="","",IF($D143="","",IFERROR(ROUND($D143*INDEX('🔖 배합비 참조'!$B$2:$CE$83,MATCH("기타가공품(프리미엄카스테라가루)",'🔖 배합비 참조'!$A$2:$A$83,0),MATCH($C143,'🔖 배합비 참조'!$B$1:$CE$1,0))/100,0),""))),"")</f>
        <v>0</v>
      </c>
      <c r="V143" s="39" t="n">
        <f aca="false">IFERROR(IF($C143="","",IF($D143="","",IFERROR(ROUND($D143*INDEX('🔖 배합비 참조'!$B$2:$CE$83,MATCH("기타가공품(흑임자가루)",'🔖 배합비 참조'!$A$2:$A$83,0),MATCH($C143,'🔖 배합비 참조'!$B$1:$CE$1,0))/100,0),""))),"")</f>
        <v>0</v>
      </c>
      <c r="W143" s="39" t="n">
        <f aca="false">IFERROR(IF($C143="","",IF($D143="","",IFERROR(ROUND($D143*INDEX('🔖 배합비 참조'!$B$2:$CE$83,MATCH("기타설탕(흑설탕)",'🔖 배합비 참조'!$A$2:$A$83,0),MATCH($C143,'🔖 배합비 참조'!$B$1:$CE$1,0))/100,0),""))),"")</f>
        <v>0</v>
      </c>
      <c r="X143" s="39" t="n">
        <f aca="false">IFERROR(IF($C143="","",IF($D143="","",IFERROR(ROUND($D143*INDEX('🔖 배합비 참조'!$B$2:$CE$83,MATCH("냉동쑥(국내산)",'🔖 배합비 참조'!$A$2:$A$83,0),MATCH($C143,'🔖 배합비 참조'!$B$1:$CE$1,0))/100,0),""))),"")</f>
        <v>4</v>
      </c>
      <c r="Y143" s="39" t="n">
        <f aca="false">IFERROR(IF($C143="","",IF($D143="","",IFERROR(ROUND($D143*INDEX('🔖 배합비 참조'!$B$2:$CE$83,MATCH("냉동증숙고구마(중국산)",'🔖 배합비 참조'!$A$2:$A$83,0),MATCH($C143,'🔖 배합비 참조'!$B$1:$CE$1,0))/100,0),""))),"")</f>
        <v>0</v>
      </c>
      <c r="Z143" s="39" t="n">
        <f aca="false">IFERROR(IF($C143="","",IF($D143="","",IFERROR(ROUND($D143*INDEX('🔖 배합비 참조'!$B$2:$CE$83,MATCH("녹차가루",'🔖 배합비 참조'!$A$2:$A$83,0),MATCH($C143,'🔖 배합비 참조'!$B$1:$CE$1,0))/100,0),""))),"")</f>
        <v>0</v>
      </c>
      <c r="AA143" s="39" t="n">
        <f aca="false">IFERROR(IF($C143="","",IF($D143="","",IFERROR(ROUND($D143*INDEX('🔖 배합비 참조'!$B$2:$CE$83,MATCH("다크초콜릿 컴파운드칩",'🔖 배합비 참조'!$A$2:$A$83,0),MATCH($C143,'🔖 배합비 참조'!$B$1:$CE$1,0))/100,0),""))),"")</f>
        <v>0</v>
      </c>
      <c r="AB143" s="39" t="n">
        <f aca="false">IFERROR(IF($C143="","",IF($D143="","",IFERROR(ROUND($D143*INDEX('🔖 배합비 참조'!$B$2:$CE$83,MATCH("단호박분말(중국산)",'🔖 배합비 참조'!$A$2:$A$83,0),MATCH($C143,'🔖 배합비 참조'!$B$1:$CE$1,0))/100,0),""))),"")</f>
        <v>0</v>
      </c>
      <c r="AC143" s="39" t="n">
        <f aca="false">IFERROR(IF($C143="","",IF($D143="","",IFERROR(ROUND($D143*INDEX('🔖 배합비 참조'!$B$2:$CE$83,MATCH("당류가공품(단호박농축액)",'🔖 배합비 참조'!$A$2:$A$83,0),MATCH($C143,'🔖 배합비 참조'!$B$1:$CE$1,0))/100,0),""))),"")</f>
        <v>0</v>
      </c>
      <c r="AD143" s="39" t="n">
        <f aca="false">IFERROR(IF($C143="","",IF($D143="","",IFERROR(ROUND($D143*INDEX('🔖 배합비 참조'!$B$2:$CE$83,MATCH("당류가공품(알룰로스,에리스리톨,스테비올배당체혼합)",'🔖 배합비 참조'!$A$2:$A$83,0),MATCH($C143,'🔖 배합비 참조'!$B$1:$CE$1,0))/100,0),""))),"")</f>
        <v>0</v>
      </c>
      <c r="AE143" s="39" t="n">
        <f aca="false">IFERROR(IF($C143="","",IF($D143="","",IFERROR(ROUND($D143*INDEX('🔖 배합비 참조'!$B$2:$CE$83,MATCH("당류가공품(알룰로스제로파우더)",'🔖 배합비 참조'!$A$2:$A$83,0),MATCH($C143,'🔖 배합비 참조'!$B$1:$CE$1,0))/100,0),""))),"")</f>
        <v>0</v>
      </c>
      <c r="AF143" s="39" t="n">
        <f aca="false">IFERROR(IF($C143="","",IF($D143="","",IFERROR(ROUND($D143*INDEX('🔖 배합비 참조'!$B$2:$CE$83,MATCH("당절임(완두배기)",'🔖 배합비 참조'!$A$2:$A$83,0),MATCH($C143,'🔖 배합비 참조'!$B$1:$CE$1,0))/100,0),""))),"")</f>
        <v>0</v>
      </c>
      <c r="AG143" s="39" t="n">
        <f aca="false">IFERROR(IF($C143="","",IF($D143="","",IFERROR(ROUND($D143*INDEX('🔖 배합비 참조'!$B$2:$CE$83,MATCH("대추농축액",'🔖 배합비 참조'!$A$2:$A$83,0),MATCH($C143,'🔖 배합비 참조'!$B$1:$CE$1,0))/100,0),""))),"")</f>
        <v>0</v>
      </c>
      <c r="AH143" s="39" t="n">
        <f aca="false">IFERROR(IF($C143="","",IF($D143="","",IFERROR(ROUND($D143*INDEX('🔖 배합비 참조'!$B$2:$CE$83,MATCH("대추채(국내산)",'🔖 배합비 참조'!$A$2:$A$83,0),MATCH($C143,'🔖 배합비 참조'!$B$1:$CE$1,0))/100,0),""))),"")</f>
        <v>0</v>
      </c>
      <c r="AI143" s="39" t="n">
        <f aca="false">IFERROR(IF($C143="","",IF($D143="","",IFERROR(ROUND($D143*INDEX('🔖 배합비 참조'!$B$2:$CE$83,MATCH("동부(미얀마산)",'🔖 배합비 참조'!$A$2:$A$83,0),MATCH($C143,'🔖 배합비 참조'!$B$1:$CE$1,0))/100,0),""))),"")</f>
        <v>26</v>
      </c>
      <c r="AJ143" s="39" t="n">
        <f aca="false">IFERROR(IF($C143="","",IF($D143="","",IFERROR(ROUND($D143*INDEX('🔖 배합비 참조'!$B$2:$CE$83,MATCH("두류가공품(백옥앙금)",'🔖 배합비 참조'!$A$2:$A$83,0),MATCH($C143,'🔖 배합비 참조'!$B$1:$CE$1,0))/100,0),""))),"")</f>
        <v>0</v>
      </c>
      <c r="AK143" s="39" t="n">
        <f aca="false">IFERROR(IF($C143="","",IF($D143="","",IFERROR(ROUND($D143*INDEX('🔖 배합비 참조'!$B$2:$CE$83,MATCH("두류가공품(콩고물)",'🔖 배합비 참조'!$A$2:$A$83,0),MATCH($C143,'🔖 배합비 참조'!$B$1:$CE$1,0))/100,0),""))),"")</f>
        <v>6</v>
      </c>
      <c r="AL143" s="39" t="n">
        <f aca="false">IFERROR(IF($C143="","",IF($D143="","",IFERROR(ROUND($D143*INDEX('🔖 배합비 참조'!$B$2:$CE$83,MATCH("두류가공품(통팥고물)",'🔖 배합비 참조'!$A$2:$A$83,0),MATCH($C143,'🔖 배합비 참조'!$B$1:$CE$1,0))/100,0),""))),"")</f>
        <v>0</v>
      </c>
      <c r="AM143" s="39" t="n">
        <f aca="false">IFERROR(IF($C143="","",IF($D143="","",IFERROR(ROUND($D143*INDEX('🔖 배합비 참조'!$B$2:$CE$83,MATCH("딸기레진",'🔖 배합비 참조'!$A$2:$A$83,0),MATCH($C143,'🔖 배합비 참조'!$B$1:$CE$1,0))/100,0),""))),"")</f>
        <v>0</v>
      </c>
      <c r="AN143" s="39" t="n">
        <f aca="false">IFERROR(IF($C143="","",IF($D143="","",IFERROR(ROUND($D143*INDEX('🔖 배합비 참조'!$B$2:$CE$83,MATCH("딸기분말(스트로우베리에이드(분말))",'🔖 배합비 참조'!$A$2:$A$83,0),MATCH($C143,'🔖 배합비 참조'!$B$1:$CE$1,0))/100,0),""))),"")</f>
        <v>0</v>
      </c>
      <c r="AO143" s="39" t="n">
        <f aca="false">IFERROR(IF($C143="","",IF($D143="","",IFERROR(ROUND($D143*INDEX('🔖 배합비 참조'!$B$2:$CE$83,MATCH("마스카포네치즈",'🔖 배합비 참조'!$A$2:$A$83,0),MATCH($C143,'🔖 배합비 참조'!$B$1:$CE$1,0))/100,0),""))),"")</f>
        <v>0</v>
      </c>
      <c r="AP143" s="39" t="n">
        <f aca="false">IFERROR(IF($C143="","",IF($D143="","",IFERROR(ROUND($D143*INDEX('🔖 배합비 참조'!$B$2:$CE$83,MATCH("마카다미아분태(호주산)",'🔖 배합비 참조'!$A$2:$A$83,0),MATCH($C143,'🔖 배합비 참조'!$B$1:$CE$1,0))/100,0),""))),"")</f>
        <v>0</v>
      </c>
      <c r="AQ143" s="39" t="n">
        <f aca="false">IFERROR(IF($C143="","",IF($D143="","",IFERROR(ROUND($D143*INDEX('🔖 배합비 참조'!$B$2:$CE$83,MATCH("멥쌀(국내산)",'🔖 배합비 참조'!$A$2:$A$83,0),MATCH($C143,'🔖 배합비 참조'!$B$1:$CE$1,0))/100,0),""))),"")</f>
        <v>0</v>
      </c>
      <c r="AR143" s="39" t="n">
        <f aca="false">IFERROR(IF($C143="","",IF($D143="","",IFERROR(ROUND($D143*INDEX('🔖 배합비 참조'!$B$2:$CE$83,MATCH("모시잎(국내산)",'🔖 배합비 참조'!$A$2:$A$83,0),MATCH($C143,'🔖 배합비 참조'!$B$1:$CE$1,0))/100,0),""))),"")</f>
        <v>0</v>
      </c>
      <c r="AS143" s="39" t="n">
        <f aca="false">IFERROR(IF($C143="","",IF($D143="","",IFERROR(ROUND($D143*INDEX('🔖 배합비 참조'!$B$2:$CE$83,MATCH("물엿(저당물엿)",'🔖 배합비 참조'!$A$2:$A$83,0),MATCH($C143,'🔖 배합비 참조'!$B$1:$CE$1,0))/100,0),""))),"")</f>
        <v>4</v>
      </c>
      <c r="AT143" s="39" t="n">
        <f aca="false">IFERROR(IF($C143="","",IF($D143="","",IFERROR(ROUND($D143*INDEX('🔖 배합비 참조'!$B$2:$CE$83,MATCH("밤다이스",'🔖 배합비 참조'!$A$2:$A$83,0),MATCH($C143,'🔖 배합비 참조'!$B$1:$CE$1,0))/100,0),""))),"")</f>
        <v>0</v>
      </c>
      <c r="AU143" s="39" t="n">
        <f aca="false">IFERROR(IF($C143="","",IF($D143="","",IFERROR(ROUND($D143*INDEX('🔖 배합비 참조'!$B$2:$CE$83,MATCH("변성전분(타피오카전분)",'🔖 배합비 참조'!$A$2:$A$83,0),MATCH($C143,'🔖 배합비 참조'!$B$1:$CE$1,0))/100,0),""))),"")</f>
        <v>0</v>
      </c>
      <c r="AV143" s="39" t="n">
        <f aca="false">IFERROR(IF($C143="","",IF($D143="","",IFERROR(ROUND($D143*INDEX('🔖 배합비 참조'!$B$2:$CE$83,MATCH("복음땅콩분태",'🔖 배합비 참조'!$A$2:$A$83,0),MATCH($C143,'🔖 배합비 참조'!$B$1:$CE$1,0))/100,0),""))),"")</f>
        <v>0</v>
      </c>
      <c r="AW143" s="39" t="n">
        <f aca="false">IFERROR(IF($C143="","",IF($D143="","",IFERROR(ROUND($D143*INDEX('🔖 배합비 참조'!$B$2:$CE$83,MATCH("사양벌꿀(국내산)",'🔖 배합비 참조'!$A$2:$A$83,0),MATCH($C143,'🔖 배합비 참조'!$B$1:$CE$1,0))/100,0),""))),"")</f>
        <v>0</v>
      </c>
      <c r="AX143" s="39" t="n">
        <f aca="false">IFERROR(IF($C143="","",IF($D143="","",IFERROR(ROUND($D143*INDEX('🔖 배합비 참조'!$B$2:$CE$83,MATCH("생크림",'🔖 배합비 참조'!$A$2:$A$83,0),MATCH($C143,'🔖 배합비 참조'!$B$1:$CE$1,0))/100,0),""))),"")</f>
        <v>0</v>
      </c>
      <c r="AY143" s="39" t="n">
        <f aca="false">IFERROR(IF($C143="","",IF($D143="","",IFERROR(ROUND($D143*INDEX('🔖 배합비 참조'!$B$2:$CE$83,MATCH("서양호박(국내산,뉴질랜드산)",'🔖 배합비 참조'!$A$2:$A$83,0),MATCH($C143,'🔖 배합비 참조'!$B$1:$CE$1,0))/100,0),""))),"")</f>
        <v>0</v>
      </c>
      <c r="AZ143" s="39" t="n">
        <f aca="false">IFERROR(IF($C143="","",IF($D143="","",IFERROR(ROUND($D143*INDEX('🔖 배합비 참조'!$B$2:$CE$83,MATCH("설탕",'🔖 배합비 참조'!$A$2:$A$83,0),MATCH($C143,'🔖 배합비 참조'!$B$1:$CE$1,0))/100,0),""))),"")</f>
        <v>4</v>
      </c>
      <c r="BA143" s="39" t="n">
        <f aca="false">IFERROR(IF($C143="","",IF($D143="","",IFERROR(ROUND($D143*INDEX('🔖 배합비 참조'!$B$2:$CE$83,MATCH("스트로우베리 에이드 후레쉬",'🔖 배합비 참조'!$A$2:$A$83,0),MATCH($C143,'🔖 배합비 참조'!$B$1:$CE$1,0))/100,0),""))),"")</f>
        <v>0</v>
      </c>
      <c r="BB143" s="39" t="n">
        <f aca="false">IFERROR(IF($C143="","",IF($D143="","",IFERROR(ROUND($D143*INDEX('🔖 배합비 참조'!$B$2:$CE$83,MATCH("식물성기름혼합제제(분홍)",'🔖 배합비 참조'!$A$2:$A$83,0),MATCH($C143,'🔖 배합비 참조'!$B$1:$CE$1,0))/100,0),""))),"")</f>
        <v>0</v>
      </c>
      <c r="BC143" s="39" t="n">
        <f aca="false">IFERROR(IF($C143="","",IF($D143="","",IFERROR(ROUND($D143*INDEX('🔖 배합비 참조'!$B$2:$CE$83,MATCH("식물성기름혼합제제(초록)",'🔖 배합비 참조'!$A$2:$A$83,0),MATCH($C143,'🔖 배합비 참조'!$B$1:$CE$1,0))/100,0),""))),"")</f>
        <v>0</v>
      </c>
      <c r="BD143" s="39" t="n">
        <f aca="false">IFERROR(IF($C143="","",IF($D143="","",IFERROR(ROUND($D143*INDEX('🔖 배합비 참조'!$B$2:$CE$83,MATCH("식물성기름혼합제제(황색)",'🔖 배합비 참조'!$A$2:$A$83,0),MATCH($C143,'🔖 배합비 참조'!$B$1:$CE$1,0))/100,0),""))),"")</f>
        <v>0</v>
      </c>
      <c r="BE143" s="39" t="n">
        <f aca="false">IFERROR(IF($C143="","",IF($D143="","",IFERROR(ROUND($D143*INDEX('🔖 배합비 참조'!$B$2:$CE$83,MATCH("쑥가루(국내산)",'🔖 배합비 참조'!$A$2:$A$83,0),MATCH($C143,'🔖 배합비 참조'!$B$1:$CE$1,0))/100,0),""))),"")</f>
        <v>2</v>
      </c>
      <c r="BF143" s="39" t="n">
        <f aca="false">IFERROR(IF($C143="","",IF($D143="","",IFERROR(ROUND($D143*INDEX('🔖 배합비 참조'!$B$2:$CE$83,MATCH("아몬드슬라이스",'🔖 배합비 참조'!$A$2:$A$83,0),MATCH($C143,'🔖 배합비 참조'!$B$1:$CE$1,0))/100,0),""))),"")</f>
        <v>0</v>
      </c>
      <c r="BG143" s="39" t="n">
        <f aca="false">IFERROR(IF($C143="","",IF($D143="","",IFERROR(ROUND($D143*INDEX('🔖 배합비 참조'!$B$2:$CE$83,MATCH("알룰로오스(국내산)",'🔖 배합비 참조'!$A$2:$A$83,0),MATCH($C143,'🔖 배합비 참조'!$B$1:$CE$1,0))/100,0),""))),"")</f>
        <v>0</v>
      </c>
      <c r="BH143" s="39" t="n">
        <f aca="false">IFERROR(IF($C143="","",IF($D143="","",IFERROR(ROUND($D143*INDEX('🔖 배합비 참조'!$B$2:$CE$83,MATCH("연유",'🔖 배합비 참조'!$A$2:$A$83,0),MATCH($C143,'🔖 배합비 참조'!$B$1:$CE$1,0))/100,0),""))),"")</f>
        <v>0</v>
      </c>
      <c r="BI143" s="39" t="n">
        <f aca="false">IFERROR(IF($C143="","",IF($D143="","",IFERROR(ROUND($D143*INDEX('🔖 배합비 참조'!$B$2:$CE$83,MATCH("옥수수전분",'🔖 배합비 참조'!$A$2:$A$83,0),MATCH($C143,'🔖 배합비 참조'!$B$1:$CE$1,0))/100,0),""))),"")</f>
        <v>0</v>
      </c>
      <c r="BJ143" s="39" t="n">
        <f aca="false">IFERROR(IF($C143="","",IF($D143="","",IFERROR(ROUND($D143*INDEX('🔖 배합비 참조'!$B$2:$CE$83,MATCH("완두배기",'🔖 배합비 참조'!$A$2:$A$83,0),MATCH($C143,'🔖 배합비 참조'!$B$1:$CE$1,0))/100,0),""))),"")</f>
        <v>0</v>
      </c>
      <c r="BK143" s="39" t="n">
        <f aca="false">IFERROR(IF($C143="","",IF($D143="","",IFERROR(ROUND($D143*INDEX('🔖 배합비 참조'!$B$2:$CE$83,MATCH("우유(국내산)",'🔖 배합비 참조'!$A$2:$A$83,0),MATCH($C143,'🔖 배합비 참조'!$B$1:$CE$1,0))/100,0),""))),"")</f>
        <v>0</v>
      </c>
      <c r="BL143" s="39" t="n">
        <f aca="false">IFERROR(IF($C143="","",IF($D143="","",IFERROR(ROUND($D143*INDEX('🔖 배합비 참조'!$B$2:$CE$83,MATCH("자색고구마가루(중국산)",'🔖 배합비 참조'!$A$2:$A$83,0),MATCH($C143,'🔖 배합비 참조'!$B$1:$CE$1,0))/100,0),""))),"")</f>
        <v>0</v>
      </c>
      <c r="BM143" s="39" t="n">
        <f aca="false">IFERROR(IF($C143="","",IF($D143="","",IFERROR(ROUND($D143*INDEX('🔖 배합비 참조'!$B$2:$CE$83,MATCH("자연치즈(체다치즈)",'🔖 배합비 참조'!$A$2:$A$83,0),MATCH($C143,'🔖 배합비 참조'!$B$1:$CE$1,0))/100,0),""))),"")</f>
        <v>0</v>
      </c>
      <c r="BN143" s="39" t="n">
        <f aca="false">IFERROR(IF($C143="","",IF($D143="","",IFERROR(ROUND($D143*INDEX('🔖 배합비 참조'!$B$2:$CE$83,MATCH("정제수",'🔖 배합비 참조'!$A$2:$A$83,0),MATCH($C143,'🔖 배합비 참조'!$B$1:$CE$1,0))/100,0),""))),"")</f>
        <v>24</v>
      </c>
      <c r="BO143" s="39" t="n">
        <f aca="false">IFERROR(IF($C143="","",IF($D143="","",IFERROR(ROUND($D143*INDEX('🔖 배합비 참조'!$B$2:$CE$83,MATCH("젤라틴",'🔖 배합비 참조'!$A$2:$A$83,0),MATCH($C143,'🔖 배합비 참조'!$B$1:$CE$1,0))/100,0),""))),"")</f>
        <v>0</v>
      </c>
      <c r="BP143" s="39" t="n">
        <f aca="false">IFERROR(IF($C143="","",IF($D143="","",IFERROR(ROUND($D143*INDEX('🔖 배합비 참조'!$B$2:$CE$83,MATCH("조림류(백옥앙금)",'🔖 배합비 참조'!$A$2:$A$83,0),MATCH($C143,'🔖 배합비 참조'!$B$1:$CE$1,0))/100,0),""))),"")</f>
        <v>52</v>
      </c>
      <c r="BQ143" s="39" t="n">
        <f aca="false">IFERROR(IF($C143="","",IF($D143="","",IFERROR(ROUND($D143*INDEX('🔖 배합비 참조'!$B$2:$CE$83,MATCH("조림류(통팥앙금)",'🔖 배합비 참조'!$A$2:$A$83,0),MATCH($C143,'🔖 배합비 참조'!$B$1:$CE$1,0))/100,0),""))),"")</f>
        <v>0</v>
      </c>
      <c r="BR143" s="39" t="n">
        <f aca="false">IFERROR(IF($C143="","",IF($D143="","",IFERROR(ROUND($D143*INDEX('🔖 배합비 참조'!$B$2:$CE$83,MATCH("준초콜릿(외국산)",'🔖 배합비 참조'!$A$2:$A$83,0),MATCH($C143,'🔖 배합비 참조'!$B$1:$CE$1,0))/100,0),""))),"")</f>
        <v>0</v>
      </c>
      <c r="BS143" s="39" t="n">
        <f aca="false">IFERROR(IF($C143="","",IF($D143="","",IFERROR(ROUND($D143*INDEX('🔖 배합비 참조'!$B$2:$CE$83,MATCH("중력분",'🔖 배합비 참조'!$A$2:$A$83,0),MATCH($C143,'🔖 배합비 참조'!$B$1:$CE$1,0))/100,0),""))),"")</f>
        <v>2</v>
      </c>
      <c r="BT143" s="39" t="n">
        <f aca="false">IFERROR(IF($C143="","",IF($D143="","",IFERROR(ROUND($D143*INDEX('🔖 배합비 참조'!$B$2:$CE$83,MATCH("참깨(인도산,나이지리아산,탄자니아산,미얀마산)",'🔖 배합비 참조'!$A$2:$A$83,0),MATCH($C143,'🔖 배합비 참조'!$B$1:$CE$1,0))/100,0),""))),"")</f>
        <v>0</v>
      </c>
      <c r="BU143" s="39" t="n">
        <f aca="false">IFERROR(IF($C143="","",IF($D143="","",IFERROR(ROUND($D143*INDEX('🔖 배합비 참조'!$B$2:$CE$83,MATCH("찹쌀(국내산)",'🔖 배합비 참조'!$A$2:$A$83,0),MATCH($C143,'🔖 배합비 참조'!$B$1:$CE$1,0))/100,0),""))),"")</f>
        <v>83</v>
      </c>
      <c r="BV143" s="39" t="n">
        <f aca="false">IFERROR(IF($C143="","",IF($D143="","",IFERROR(ROUND($D143*INDEX('🔖 배합비 참조'!$B$2:$CE$83,MATCH("천일염",'🔖 배합비 참조'!$A$2:$A$83,0),MATCH($C143,'🔖 배합비 참조'!$B$1:$CE$1,0))/100,0),""))),"")</f>
        <v>1</v>
      </c>
      <c r="BW143" s="39" t="n">
        <f aca="false">IFERROR(IF($C143="","",IF($D143="","",IFERROR(ROUND($D143*INDEX('🔖 배합비 참조'!$B$2:$CE$83,MATCH("치즈 [크림치즈]",'🔖 배합비 참조'!$A$2:$A$83,0),MATCH($C143,'🔖 배합비 참조'!$B$1:$CE$1,0))/100,0),""))),"")</f>
        <v>0</v>
      </c>
      <c r="BX143" s="39" t="n">
        <f aca="false">IFERROR(IF($C143="","",IF($D143="","",IFERROR(ROUND($D143*INDEX('🔖 배합비 참조'!$B$2:$CE$83,MATCH("코코아가공품류(코코아분말)",'🔖 배합비 참조'!$A$2:$A$83,0),MATCH($C143,'🔖 배합비 참조'!$B$1:$CE$1,0))/100,0),""))),"")</f>
        <v>0</v>
      </c>
      <c r="BY143" s="39" t="n">
        <f aca="false">IFERROR(IF($C143="","",IF($D143="","",IFERROR(ROUND($D143*INDEX('🔖 배합비 참조'!$B$2:$CE$83,MATCH("콩기름(대두유)",'🔖 배합비 참조'!$A$2:$A$83,0),MATCH($C143,'🔖 배합비 참조'!$B$1:$CE$1,0))/100,0),""))),"")</f>
        <v>0</v>
      </c>
      <c r="BZ143" s="39" t="n">
        <f aca="false">IFERROR(IF($C143="","",IF($D143="","",IFERROR(ROUND($D143*INDEX('🔖 배합비 참조'!$B$2:$CE$83,MATCH("해바라기씨앗",'🔖 배합비 참조'!$A$2:$A$83,0),MATCH($C143,'🔖 배합비 참조'!$B$1:$CE$1,0))/100,0),""))),"")</f>
        <v>0</v>
      </c>
      <c r="CA143" s="39" t="n">
        <f aca="false">IFERROR(IF($C143="","",IF($D143="","",IFERROR(ROUND($D143*INDEX('🔖 배합비 참조'!$B$2:$CE$83,MATCH("현미(국내산)",'🔖 배합비 참조'!$A$2:$A$83,0),MATCH($C143,'🔖 배합비 참조'!$B$1:$CE$1,0))/100,0),""))),"")</f>
        <v>0</v>
      </c>
      <c r="CB143" s="39" t="n">
        <f aca="false">IFERROR(IF($C143="","",IF($D143="","",IFERROR(ROUND($D143*INDEX('🔖 배합비 참조'!$B$2:$CE$83,MATCH("현미멥쌀(국내산)",'🔖 배합비 참조'!$A$2:$A$83,0),MATCH($C143,'🔖 배합비 참조'!$B$1:$CE$1,0))/100,0),""))),"")</f>
        <v>0</v>
      </c>
      <c r="CC143" s="39" t="n">
        <f aca="false">IFERROR(IF($C143="","",IF($D143="","",IFERROR(ROUND($D143*INDEX('🔖 배합비 참조'!$B$2:$CE$83,MATCH("호두분태(미국산)",'🔖 배합비 참조'!$A$2:$A$83,0),MATCH($C143,'🔖 배합비 참조'!$B$1:$CE$1,0))/100,0),""))),"")</f>
        <v>0</v>
      </c>
      <c r="CD143" s="39" t="n">
        <f aca="false">IFERROR(IF($C143="","",IF($D143="","",IFERROR(ROUND($D143*INDEX('🔖 배합비 참조'!$B$2:$CE$83,MATCH("호박씨앗(외국산)",'🔖 배합비 참조'!$A$2:$A$83,0),MATCH($C143,'🔖 배합비 참조'!$B$1:$CE$1,0))/100,0),""))),"")</f>
        <v>0</v>
      </c>
      <c r="CE143" s="39" t="n">
        <f aca="false">IFERROR(IF($C143="","",IF($D143="","",IFERROR(ROUND($D143*INDEX('🔖 배합비 참조'!$B$2:$CE$83,MATCH("혼합제제(떡용에스텔)",'🔖 배합비 참조'!$A$2:$A$83,0),MATCH($C143,'🔖 배합비 참조'!$B$1:$CE$1,0))/100,0),""))),"")</f>
        <v>1</v>
      </c>
      <c r="CF143" s="39" t="n">
        <f aca="false">IFERROR(IF($C143="","",IF($D143="","",IFERROR(ROUND($D143*INDEX('🔖 배합비 참조'!$B$2:$CE$83,MATCH("혼합제제(스테비아)",'🔖 배합비 참조'!$A$2:$A$83,0),MATCH($C143,'🔖 배합비 참조'!$B$1:$CE$1,0))/100,0),""))),"")</f>
        <v>0</v>
      </c>
      <c r="CG143" s="39" t="n">
        <f aca="false">IFERROR(IF($C143="","",IF($D143="","",IFERROR(ROUND($D143*INDEX('🔖 배합비 참조'!$B$2:$CE$83,MATCH("화이트초콜릿",'🔖 배합비 참조'!$A$2:$A$83,0),MATCH($C143,'🔖 배합비 참조'!$B$1:$CE$1,0))/100,0),""))),"")</f>
        <v>0</v>
      </c>
      <c r="CH143" s="39" t="n">
        <f aca="false">IFERROR(IF($C143="","",IF($D143="","",IFERROR(ROUND($D143*INDEX('🔖 배합비 참조'!$B$2:$CE$83,MATCH("흑미찹쌀(국내산)",'🔖 배합비 참조'!$A$2:$A$83,0),MATCH($C143,'🔖 배합비 참조'!$B$1:$CE$1,0))/100,0),""))),"")</f>
        <v>0</v>
      </c>
      <c r="CI143" s="39" t="n">
        <f aca="false">IFERROR(IF($C143="","",IF($D143="","",IFERROR(ROUND($D143*INDEX('🔖 배합비 참조'!$B$2:$CE$83,MATCH("찰옥수수전분(미국산)",'🔖 배합비 참조'!$A$2:$A$83,0),MATCH($C143,'🔖 배합비 참조'!$B$1:$CE$1,0))/100,0),""))),"")</f>
        <v>0</v>
      </c>
      <c r="CJ143" s="40"/>
      <c r="CL143" s="1" t="s">
        <v>239</v>
      </c>
    </row>
    <row r="144" customFormat="false" ht="18" hidden="false" customHeight="true" outlineLevel="0" collapsed="false">
      <c r="A144" s="41" t="n">
        <v>140</v>
      </c>
      <c r="B144" s="36" t="n">
        <v>46021</v>
      </c>
      <c r="C144" s="37" t="s">
        <v>159</v>
      </c>
      <c r="D144" s="38" t="n">
        <v>35</v>
      </c>
      <c r="E144" s="17"/>
      <c r="F144" s="17"/>
      <c r="G144" s="42" t="n">
        <f aca="false">IFERROR(IF($C144="","",IF($D144="","",IFERROR(ROUND($D144*INDEX('🔖 배합비 참조'!$B$2:$CE$83,MATCH("간장",'🔖 배합비 참조'!$A$2:$A$83,0),MATCH($C144,'🔖 배합비 참조'!$B$1:$CE$1,0))/100,0),""))),"")</f>
        <v>0</v>
      </c>
      <c r="H144" s="42" t="n">
        <f aca="false">IFERROR(IF($C144="","",IF($D144="","",IFERROR(ROUND($D144*INDEX('🔖 배합비 참조'!$B$2:$CE$83,MATCH("강낭콩((울타리콩))",'🔖 배합비 참조'!$A$2:$A$83,0),MATCH($C144,'🔖 배합비 참조'!$B$1:$CE$1,0))/100,0),""))),"")</f>
        <v>1</v>
      </c>
      <c r="I144" s="42" t="n">
        <f aca="false">IFERROR(IF($C144="","",IF($D144="","",IFERROR(ROUND($D144*INDEX('🔖 배합비 참조'!$B$2:$CE$83,MATCH("건조딸기다이스(외국산)",'🔖 배합비 참조'!$A$2:$A$83,0),MATCH($C144,'🔖 배합비 참조'!$B$1:$CE$1,0))/100,0),""))),"")</f>
        <v>0</v>
      </c>
      <c r="J144" s="42" t="n">
        <f aca="false">IFERROR(IF($C144="","",IF($D144="","",IFERROR(ROUND($D144*INDEX('🔖 배합비 참조'!$B$2:$CE$83,MATCH("건포도",'🔖 배합비 참조'!$A$2:$A$83,0),MATCH($C144,'🔖 배합비 참조'!$B$1:$CE$1,0))/100,0),""))),"")</f>
        <v>0</v>
      </c>
      <c r="K144" s="42" t="n">
        <f aca="false">IFERROR(IF($C144="","",IF($D144="","",IFERROR(ROUND($D144*INDEX('🔖 배합비 참조'!$B$2:$CE$83,MATCH("건호박채(중국산)",'🔖 배합비 참조'!$A$2:$A$83,0),MATCH($C144,'🔖 배합비 참조'!$B$1:$CE$1,0))/100,0),""))),"")</f>
        <v>1</v>
      </c>
      <c r="L144" s="42" t="n">
        <f aca="false">IFERROR(IF($C144="","",IF($D144="","",IFERROR(ROUND($D144*INDEX('🔖 배합비 참조'!$B$2:$CE$83,MATCH("검정깨(흑임자)",'🔖 배합비 참조'!$A$2:$A$83,0),MATCH($C144,'🔖 배합비 참조'!$B$1:$CE$1,0))/100,0),""))),"")</f>
        <v>0</v>
      </c>
      <c r="M144" s="42" t="n">
        <f aca="false">IFERROR(IF($C144="","",IF($D144="","",IFERROR(ROUND($D144*INDEX('🔖 배합비 참조'!$B$2:$CE$83,MATCH("검정콩",'🔖 배합비 참조'!$A$2:$A$83,0),MATCH($C144,'🔖 배합비 참조'!$B$1:$CE$1,0))/100,0),""))),"")</f>
        <v>1</v>
      </c>
      <c r="N144" s="42" t="n">
        <f aca="false">IFERROR(IF($C144="","",IF($D144="","",IFERROR(ROUND($D144*INDEX('🔖 배합비 참조'!$B$2:$CE$83,MATCH("계피가루",'🔖 배합비 참조'!$A$2:$A$83,0),MATCH($C144,'🔖 배합비 참조'!$B$1:$CE$1,0))/100,0),""))),"")</f>
        <v>0</v>
      </c>
      <c r="O144" s="42" t="n">
        <f aca="false">IFERROR(IF($C144="","",IF($D144="","",IFERROR(ROUND($D144*INDEX('🔖 배합비 참조'!$B$2:$CE$83,MATCH("고구마가루",'🔖 배합비 참조'!$A$2:$A$83,0),MATCH($C144,'🔖 배합비 참조'!$B$1:$CE$1,0))/100,0),""))),"")</f>
        <v>0</v>
      </c>
      <c r="P144" s="42" t="n">
        <f aca="false">IFERROR(IF($C144="","",IF($D144="","",IFERROR(ROUND($D144*INDEX('🔖 배합비 참조'!$B$2:$CE$83,MATCH("고구마무스",'🔖 배합비 참조'!$A$2:$A$83,0),MATCH($C144,'🔖 배합비 참조'!$B$1:$CE$1,0))/100,0),""))),"")</f>
        <v>0</v>
      </c>
      <c r="Q144" s="42" t="n">
        <f aca="false">IFERROR(IF($C144="","",IF($D144="","",IFERROR(ROUND($D144*INDEX('🔖 배합비 참조'!$B$2:$CE$83,MATCH("고려엉겅퀴((곤드레)국내산)",'🔖 배합비 참조'!$A$2:$A$83,0),MATCH($C144,'🔖 배합비 참조'!$B$1:$CE$1,0))/100,0),""))),"")</f>
        <v>0</v>
      </c>
      <c r="R144" s="42" t="n">
        <f aca="false">IFERROR(IF($C144="","",IF($D144="","",IFERROR(ROUND($D144*INDEX('🔖 배합비 참조'!$B$2:$CE$83,MATCH("기타가공품(복분자가루)",'🔖 배합비 참조'!$A$2:$A$83,0),MATCH($C144,'🔖 배합비 참조'!$B$1:$CE$1,0))/100,0),""))),"")</f>
        <v>0</v>
      </c>
      <c r="S144" s="42" t="n">
        <f aca="false">IFERROR(IF($C144="","",IF($D144="","",IFERROR(ROUND($D144*INDEX('🔖 배합비 참조'!$B$2:$CE$83,MATCH("기타가공품(슈퍼소프트엠)",'🔖 배합비 참조'!$A$2:$A$83,0),MATCH($C144,'🔖 배합비 참조'!$B$1:$CE$1,0))/100,0),""))),"")</f>
        <v>0</v>
      </c>
      <c r="T144" s="42" t="n">
        <f aca="false">IFERROR(IF($C144="","",IF($D144="","",IFERROR(ROUND($D144*INDEX('🔖 배합비 참조'!$B$2:$CE$83,MATCH("기타가공품(파인소프트 E-티)",'🔖 배합비 참조'!$A$2:$A$83,0),MATCH($C144,'🔖 배합비 참조'!$B$1:$CE$1,0))/100,0),""))),"")</f>
        <v>0</v>
      </c>
      <c r="U144" s="42" t="n">
        <f aca="false">IFERROR(IF($C144="","",IF($D144="","",IFERROR(ROUND($D144*INDEX('🔖 배합비 참조'!$B$2:$CE$83,MATCH("기타가공품(프리미엄카스테라가루)",'🔖 배합비 참조'!$A$2:$A$83,0),MATCH($C144,'🔖 배합비 참조'!$B$1:$CE$1,0))/100,0),""))),"")</f>
        <v>0</v>
      </c>
      <c r="V144" s="42" t="n">
        <f aca="false">IFERROR(IF($C144="","",IF($D144="","",IFERROR(ROUND($D144*INDEX('🔖 배합비 참조'!$B$2:$CE$83,MATCH("기타가공품(흑임자가루)",'🔖 배합비 참조'!$A$2:$A$83,0),MATCH($C144,'🔖 배합비 참조'!$B$1:$CE$1,0))/100,0),""))),"")</f>
        <v>0</v>
      </c>
      <c r="W144" s="42" t="n">
        <f aca="false">IFERROR(IF($C144="","",IF($D144="","",IFERROR(ROUND($D144*INDEX('🔖 배합비 참조'!$B$2:$CE$83,MATCH("기타설탕(흑설탕)",'🔖 배합비 참조'!$A$2:$A$83,0),MATCH($C144,'🔖 배합비 참조'!$B$1:$CE$1,0))/100,0),""))),"")</f>
        <v>0</v>
      </c>
      <c r="X144" s="42" t="n">
        <f aca="false">IFERROR(IF($C144="","",IF($D144="","",IFERROR(ROUND($D144*INDEX('🔖 배합비 참조'!$B$2:$CE$83,MATCH("냉동쑥(국내산)",'🔖 배합비 참조'!$A$2:$A$83,0),MATCH($C144,'🔖 배합비 참조'!$B$1:$CE$1,0))/100,0),""))),"")</f>
        <v>0</v>
      </c>
      <c r="Y144" s="42" t="n">
        <f aca="false">IFERROR(IF($C144="","",IF($D144="","",IFERROR(ROUND($D144*INDEX('🔖 배합비 참조'!$B$2:$CE$83,MATCH("냉동증숙고구마(중국산)",'🔖 배합비 참조'!$A$2:$A$83,0),MATCH($C144,'🔖 배합비 참조'!$B$1:$CE$1,0))/100,0),""))),"")</f>
        <v>0</v>
      </c>
      <c r="Z144" s="42" t="n">
        <f aca="false">IFERROR(IF($C144="","",IF($D144="","",IFERROR(ROUND($D144*INDEX('🔖 배합비 참조'!$B$2:$CE$83,MATCH("녹차가루",'🔖 배합비 참조'!$A$2:$A$83,0),MATCH($C144,'🔖 배합비 참조'!$B$1:$CE$1,0))/100,0),""))),"")</f>
        <v>0</v>
      </c>
      <c r="AA144" s="42" t="n">
        <f aca="false">IFERROR(IF($C144="","",IF($D144="","",IFERROR(ROUND($D144*INDEX('🔖 배합비 참조'!$B$2:$CE$83,MATCH("다크초콜릿 컴파운드칩",'🔖 배합비 참조'!$A$2:$A$83,0),MATCH($C144,'🔖 배합비 참조'!$B$1:$CE$1,0))/100,0),""))),"")</f>
        <v>0</v>
      </c>
      <c r="AB144" s="42" t="n">
        <f aca="false">IFERROR(IF($C144="","",IF($D144="","",IFERROR(ROUND($D144*INDEX('🔖 배합비 참조'!$B$2:$CE$83,MATCH("단호박분말(중국산)",'🔖 배합비 참조'!$A$2:$A$83,0),MATCH($C144,'🔖 배합비 참조'!$B$1:$CE$1,0))/100,0),""))),"")</f>
        <v>0</v>
      </c>
      <c r="AC144" s="42" t="n">
        <f aca="false">IFERROR(IF($C144="","",IF($D144="","",IFERROR(ROUND($D144*INDEX('🔖 배합비 참조'!$B$2:$CE$83,MATCH("당류가공품(단호박농축액)",'🔖 배합비 참조'!$A$2:$A$83,0),MATCH($C144,'🔖 배합비 참조'!$B$1:$CE$1,0))/100,0),""))),"")</f>
        <v>0</v>
      </c>
      <c r="AD144" s="42" t="n">
        <f aca="false">IFERROR(IF($C144="","",IF($D144="","",IFERROR(ROUND($D144*INDEX('🔖 배합비 참조'!$B$2:$CE$83,MATCH("당류가공품(알룰로스,에리스리톨,스테비올배당체혼합)",'🔖 배합비 참조'!$A$2:$A$83,0),MATCH($C144,'🔖 배합비 참조'!$B$1:$CE$1,0))/100,0),""))),"")</f>
        <v>0</v>
      </c>
      <c r="AE144" s="42" t="n">
        <f aca="false">IFERROR(IF($C144="","",IF($D144="","",IFERROR(ROUND($D144*INDEX('🔖 배합비 참조'!$B$2:$CE$83,MATCH("당류가공품(알룰로스제로파우더)",'🔖 배합비 참조'!$A$2:$A$83,0),MATCH($C144,'🔖 배합비 참조'!$B$1:$CE$1,0))/100,0),""))),"")</f>
        <v>0</v>
      </c>
      <c r="AF144" s="42" t="n">
        <f aca="false">IFERROR(IF($C144="","",IF($D144="","",IFERROR(ROUND($D144*INDEX('🔖 배합비 참조'!$B$2:$CE$83,MATCH("당절임(완두배기)",'🔖 배합비 참조'!$A$2:$A$83,0),MATCH($C144,'🔖 배합비 참조'!$B$1:$CE$1,0))/100,0),""))),"")</f>
        <v>0</v>
      </c>
      <c r="AG144" s="42" t="n">
        <f aca="false">IFERROR(IF($C144="","",IF($D144="","",IFERROR(ROUND($D144*INDEX('🔖 배합비 참조'!$B$2:$CE$83,MATCH("대추농축액",'🔖 배합비 참조'!$A$2:$A$83,0),MATCH($C144,'🔖 배합비 참조'!$B$1:$CE$1,0))/100,0),""))),"")</f>
        <v>0</v>
      </c>
      <c r="AH144" s="42" t="n">
        <f aca="false">IFERROR(IF($C144="","",IF($D144="","",IFERROR(ROUND($D144*INDEX('🔖 배합비 참조'!$B$2:$CE$83,MATCH("대추채(국내산)",'🔖 배합비 참조'!$A$2:$A$83,0),MATCH($C144,'🔖 배합비 참조'!$B$1:$CE$1,0))/100,0),""))),"")</f>
        <v>0</v>
      </c>
      <c r="AI144" s="42" t="n">
        <f aca="false">IFERROR(IF($C144="","",IF($D144="","",IFERROR(ROUND($D144*INDEX('🔖 배합비 참조'!$B$2:$CE$83,MATCH("동부(미얀마산)",'🔖 배합비 참조'!$A$2:$A$83,0),MATCH($C144,'🔖 배합비 참조'!$B$1:$CE$1,0))/100,0),""))),"")</f>
        <v>0</v>
      </c>
      <c r="AJ144" s="42" t="n">
        <f aca="false">IFERROR(IF($C144="","",IF($D144="","",IFERROR(ROUND($D144*INDEX('🔖 배합비 참조'!$B$2:$CE$83,MATCH("두류가공품(백옥앙금)",'🔖 배합비 참조'!$A$2:$A$83,0),MATCH($C144,'🔖 배합비 참조'!$B$1:$CE$1,0))/100,0),""))),"")</f>
        <v>0</v>
      </c>
      <c r="AK144" s="42" t="n">
        <f aca="false">IFERROR(IF($C144="","",IF($D144="","",IFERROR(ROUND($D144*INDEX('🔖 배합비 참조'!$B$2:$CE$83,MATCH("두류가공품(콩고물)",'🔖 배합비 참조'!$A$2:$A$83,0),MATCH($C144,'🔖 배합비 참조'!$B$1:$CE$1,0))/100,0),""))),"")</f>
        <v>0</v>
      </c>
      <c r="AL144" s="42" t="n">
        <f aca="false">IFERROR(IF($C144="","",IF($D144="","",IFERROR(ROUND($D144*INDEX('🔖 배합비 참조'!$B$2:$CE$83,MATCH("두류가공품(통팥고물)",'🔖 배합비 참조'!$A$2:$A$83,0),MATCH($C144,'🔖 배합비 참조'!$B$1:$CE$1,0))/100,0),""))),"")</f>
        <v>0</v>
      </c>
      <c r="AM144" s="42" t="n">
        <f aca="false">IFERROR(IF($C144="","",IF($D144="","",IFERROR(ROUND($D144*INDEX('🔖 배합비 참조'!$B$2:$CE$83,MATCH("딸기레진",'🔖 배합비 참조'!$A$2:$A$83,0),MATCH($C144,'🔖 배합비 참조'!$B$1:$CE$1,0))/100,0),""))),"")</f>
        <v>0</v>
      </c>
      <c r="AN144" s="42" t="n">
        <f aca="false">IFERROR(IF($C144="","",IF($D144="","",IFERROR(ROUND($D144*INDEX('🔖 배합비 참조'!$B$2:$CE$83,MATCH("딸기분말(스트로우베리에이드(분말))",'🔖 배합비 참조'!$A$2:$A$83,0),MATCH($C144,'🔖 배합비 참조'!$B$1:$CE$1,0))/100,0),""))),"")</f>
        <v>0</v>
      </c>
      <c r="AO144" s="42" t="n">
        <f aca="false">IFERROR(IF($C144="","",IF($D144="","",IFERROR(ROUND($D144*INDEX('🔖 배합비 참조'!$B$2:$CE$83,MATCH("마스카포네치즈",'🔖 배합비 참조'!$A$2:$A$83,0),MATCH($C144,'🔖 배합비 참조'!$B$1:$CE$1,0))/100,0),""))),"")</f>
        <v>0</v>
      </c>
      <c r="AP144" s="42" t="n">
        <f aca="false">IFERROR(IF($C144="","",IF($D144="","",IFERROR(ROUND($D144*INDEX('🔖 배합비 참조'!$B$2:$CE$83,MATCH("마카다미아분태(호주산)",'🔖 배합비 참조'!$A$2:$A$83,0),MATCH($C144,'🔖 배합비 참조'!$B$1:$CE$1,0))/100,0),""))),"")</f>
        <v>0</v>
      </c>
      <c r="AQ144" s="42" t="n">
        <f aca="false">IFERROR(IF($C144="","",IF($D144="","",IFERROR(ROUND($D144*INDEX('🔖 배합비 참조'!$B$2:$CE$83,MATCH("멥쌀(국내산)",'🔖 배합비 참조'!$A$2:$A$83,0),MATCH($C144,'🔖 배합비 참조'!$B$1:$CE$1,0))/100,0),""))),"")</f>
        <v>22</v>
      </c>
      <c r="AR144" s="42" t="n">
        <f aca="false">IFERROR(IF($C144="","",IF($D144="","",IFERROR(ROUND($D144*INDEX('🔖 배합비 참조'!$B$2:$CE$83,MATCH("모시잎(국내산)",'🔖 배합비 참조'!$A$2:$A$83,0),MATCH($C144,'🔖 배합비 참조'!$B$1:$CE$1,0))/100,0),""))),"")</f>
        <v>0</v>
      </c>
      <c r="AS144" s="42" t="n">
        <f aca="false">IFERROR(IF($C144="","",IF($D144="","",IFERROR(ROUND($D144*INDEX('🔖 배합비 참조'!$B$2:$CE$83,MATCH("물엿(저당물엿)",'🔖 배합비 참조'!$A$2:$A$83,0),MATCH($C144,'🔖 배합비 참조'!$B$1:$CE$1,0))/100,0),""))),"")</f>
        <v>0</v>
      </c>
      <c r="AT144" s="42" t="n">
        <f aca="false">IFERROR(IF($C144="","",IF($D144="","",IFERROR(ROUND($D144*INDEX('🔖 배합비 참조'!$B$2:$CE$83,MATCH("밤다이스",'🔖 배합비 참조'!$A$2:$A$83,0),MATCH($C144,'🔖 배합비 참조'!$B$1:$CE$1,0))/100,0),""))),"")</f>
        <v>1</v>
      </c>
      <c r="AU144" s="42" t="n">
        <f aca="false">IFERROR(IF($C144="","",IF($D144="","",IFERROR(ROUND($D144*INDEX('🔖 배합비 참조'!$B$2:$CE$83,MATCH("변성전분(타피오카전분)",'🔖 배합비 참조'!$A$2:$A$83,0),MATCH($C144,'🔖 배합비 참조'!$B$1:$CE$1,0))/100,0),""))),"")</f>
        <v>0</v>
      </c>
      <c r="AV144" s="42" t="n">
        <f aca="false">IFERROR(IF($C144="","",IF($D144="","",IFERROR(ROUND($D144*INDEX('🔖 배합비 참조'!$B$2:$CE$83,MATCH("복음땅콩분태",'🔖 배합비 참조'!$A$2:$A$83,0),MATCH($C144,'🔖 배합비 참조'!$B$1:$CE$1,0))/100,0),""))),"")</f>
        <v>0</v>
      </c>
      <c r="AW144" s="42" t="n">
        <f aca="false">IFERROR(IF($C144="","",IF($D144="","",IFERROR(ROUND($D144*INDEX('🔖 배합비 참조'!$B$2:$CE$83,MATCH("사양벌꿀(국내산)",'🔖 배합비 참조'!$A$2:$A$83,0),MATCH($C144,'🔖 배합비 참조'!$B$1:$CE$1,0))/100,0),""))),"")</f>
        <v>0</v>
      </c>
      <c r="AX144" s="42" t="n">
        <f aca="false">IFERROR(IF($C144="","",IF($D144="","",IFERROR(ROUND($D144*INDEX('🔖 배합비 참조'!$B$2:$CE$83,MATCH("생크림",'🔖 배합비 참조'!$A$2:$A$83,0),MATCH($C144,'🔖 배합비 참조'!$B$1:$CE$1,0))/100,0),""))),"")</f>
        <v>0</v>
      </c>
      <c r="AY144" s="42" t="n">
        <f aca="false">IFERROR(IF($C144="","",IF($D144="","",IFERROR(ROUND($D144*INDEX('🔖 배합비 참조'!$B$2:$CE$83,MATCH("서양호박(국내산,뉴질랜드산)",'🔖 배합비 참조'!$A$2:$A$83,0),MATCH($C144,'🔖 배합비 참조'!$B$1:$CE$1,0))/100,0),""))),"")</f>
        <v>0</v>
      </c>
      <c r="AZ144" s="42" t="n">
        <f aca="false">IFERROR(IF($C144="","",IF($D144="","",IFERROR(ROUND($D144*INDEX('🔖 배합비 참조'!$B$2:$CE$83,MATCH("설탕",'🔖 배합비 참조'!$A$2:$A$83,0),MATCH($C144,'🔖 배합비 참조'!$B$1:$CE$1,0))/100,0),""))),"")</f>
        <v>4</v>
      </c>
      <c r="BA144" s="42" t="n">
        <f aca="false">IFERROR(IF($C144="","",IF($D144="","",IFERROR(ROUND($D144*INDEX('🔖 배합비 참조'!$B$2:$CE$83,MATCH("스트로우베리 에이드 후레쉬",'🔖 배합비 참조'!$A$2:$A$83,0),MATCH($C144,'🔖 배합비 참조'!$B$1:$CE$1,0))/100,0),""))),"")</f>
        <v>0</v>
      </c>
      <c r="BB144" s="42" t="n">
        <f aca="false">IFERROR(IF($C144="","",IF($D144="","",IFERROR(ROUND($D144*INDEX('🔖 배합비 참조'!$B$2:$CE$83,MATCH("식물성기름혼합제제(분홍)",'🔖 배합비 참조'!$A$2:$A$83,0),MATCH($C144,'🔖 배합비 참조'!$B$1:$CE$1,0))/100,0),""))),"")</f>
        <v>0</v>
      </c>
      <c r="BC144" s="42" t="n">
        <f aca="false">IFERROR(IF($C144="","",IF($D144="","",IFERROR(ROUND($D144*INDEX('🔖 배합비 참조'!$B$2:$CE$83,MATCH("식물성기름혼합제제(초록)",'🔖 배합비 참조'!$A$2:$A$83,0),MATCH($C144,'🔖 배합비 참조'!$B$1:$CE$1,0))/100,0),""))),"")</f>
        <v>0</v>
      </c>
      <c r="BD144" s="42" t="n">
        <f aca="false">IFERROR(IF($C144="","",IF($D144="","",IFERROR(ROUND($D144*INDEX('🔖 배합비 참조'!$B$2:$CE$83,MATCH("식물성기름혼합제제(황색)",'🔖 배합비 참조'!$A$2:$A$83,0),MATCH($C144,'🔖 배합비 참조'!$B$1:$CE$1,0))/100,0),""))),"")</f>
        <v>0</v>
      </c>
      <c r="BE144" s="42" t="n">
        <f aca="false">IFERROR(IF($C144="","",IF($D144="","",IFERROR(ROUND($D144*INDEX('🔖 배합비 참조'!$B$2:$CE$83,MATCH("쑥가루(국내산)",'🔖 배합비 참조'!$A$2:$A$83,0),MATCH($C144,'🔖 배합비 참조'!$B$1:$CE$1,0))/100,0),""))),"")</f>
        <v>0</v>
      </c>
      <c r="BF144" s="42" t="n">
        <f aca="false">IFERROR(IF($C144="","",IF($D144="","",IFERROR(ROUND($D144*INDEX('🔖 배합비 참조'!$B$2:$CE$83,MATCH("아몬드슬라이스",'🔖 배합비 참조'!$A$2:$A$83,0),MATCH($C144,'🔖 배합비 참조'!$B$1:$CE$1,0))/100,0),""))),"")</f>
        <v>0</v>
      </c>
      <c r="BG144" s="42" t="n">
        <f aca="false">IFERROR(IF($C144="","",IF($D144="","",IFERROR(ROUND($D144*INDEX('🔖 배합비 참조'!$B$2:$CE$83,MATCH("알룰로오스(국내산)",'🔖 배합비 참조'!$A$2:$A$83,0),MATCH($C144,'🔖 배합비 참조'!$B$1:$CE$1,0))/100,0),""))),"")</f>
        <v>0</v>
      </c>
      <c r="BH144" s="42" t="n">
        <f aca="false">IFERROR(IF($C144="","",IF($D144="","",IFERROR(ROUND($D144*INDEX('🔖 배합비 참조'!$B$2:$CE$83,MATCH("연유",'🔖 배합비 참조'!$A$2:$A$83,0),MATCH($C144,'🔖 배합비 참조'!$B$1:$CE$1,0))/100,0),""))),"")</f>
        <v>0</v>
      </c>
      <c r="BI144" s="42" t="n">
        <f aca="false">IFERROR(IF($C144="","",IF($D144="","",IFERROR(ROUND($D144*INDEX('🔖 배합비 참조'!$B$2:$CE$83,MATCH("옥수수전분",'🔖 배합비 참조'!$A$2:$A$83,0),MATCH($C144,'🔖 배합비 참조'!$B$1:$CE$1,0))/100,0),""))),"")</f>
        <v>0</v>
      </c>
      <c r="BJ144" s="42" t="n">
        <f aca="false">IFERROR(IF($C144="","",IF($D144="","",IFERROR(ROUND($D144*INDEX('🔖 배합비 참조'!$B$2:$CE$83,MATCH("완두배기",'🔖 배합비 참조'!$A$2:$A$83,0),MATCH($C144,'🔖 배합비 참조'!$B$1:$CE$1,0))/100,0),""))),"")</f>
        <v>0</v>
      </c>
      <c r="BK144" s="42" t="n">
        <f aca="false">IFERROR(IF($C144="","",IF($D144="","",IFERROR(ROUND($D144*INDEX('🔖 배합비 참조'!$B$2:$CE$83,MATCH("우유(국내산)",'🔖 배합비 참조'!$A$2:$A$83,0),MATCH($C144,'🔖 배합비 참조'!$B$1:$CE$1,0))/100,0),""))),"")</f>
        <v>0</v>
      </c>
      <c r="BL144" s="42" t="n">
        <f aca="false">IFERROR(IF($C144="","",IF($D144="","",IFERROR(ROUND($D144*INDEX('🔖 배합비 참조'!$B$2:$CE$83,MATCH("자색고구마가루(중국산)",'🔖 배합비 참조'!$A$2:$A$83,0),MATCH($C144,'🔖 배합비 참조'!$B$1:$CE$1,0))/100,0),""))),"")</f>
        <v>0</v>
      </c>
      <c r="BM144" s="42" t="n">
        <f aca="false">IFERROR(IF($C144="","",IF($D144="","",IFERROR(ROUND($D144*INDEX('🔖 배합비 참조'!$B$2:$CE$83,MATCH("자연치즈(체다치즈)",'🔖 배합비 참조'!$A$2:$A$83,0),MATCH($C144,'🔖 배합비 참조'!$B$1:$CE$1,0))/100,0),""))),"")</f>
        <v>0</v>
      </c>
      <c r="BN144" s="42" t="n">
        <f aca="false">IFERROR(IF($C144="","",IF($D144="","",IFERROR(ROUND($D144*INDEX('🔖 배합비 참조'!$B$2:$CE$83,MATCH("정제수",'🔖 배합비 참조'!$A$2:$A$83,0),MATCH($C144,'🔖 배합비 참조'!$B$1:$CE$1,0))/100,0),""))),"")</f>
        <v>6</v>
      </c>
      <c r="BO144" s="42" t="n">
        <f aca="false">IFERROR(IF($C144="","",IF($D144="","",IFERROR(ROUND($D144*INDEX('🔖 배합비 참조'!$B$2:$CE$83,MATCH("젤라틴",'🔖 배합비 참조'!$A$2:$A$83,0),MATCH($C144,'🔖 배합비 참조'!$B$1:$CE$1,0))/100,0),""))),"")</f>
        <v>0</v>
      </c>
      <c r="BP144" s="42" t="n">
        <f aca="false">IFERROR(IF($C144="","",IF($D144="","",IFERROR(ROUND($D144*INDEX('🔖 배합비 참조'!$B$2:$CE$83,MATCH("조림류(백옥앙금)",'🔖 배합비 참조'!$A$2:$A$83,0),MATCH($C144,'🔖 배합비 참조'!$B$1:$CE$1,0))/100,0),""))),"")</f>
        <v>0</v>
      </c>
      <c r="BQ144" s="42" t="n">
        <f aca="false">IFERROR(IF($C144="","",IF($D144="","",IFERROR(ROUND($D144*INDEX('🔖 배합비 참조'!$B$2:$CE$83,MATCH("조림류(통팥앙금)",'🔖 배합비 참조'!$A$2:$A$83,0),MATCH($C144,'🔖 배합비 참조'!$B$1:$CE$1,0))/100,0),""))),"")</f>
        <v>0</v>
      </c>
      <c r="BR144" s="42" t="n">
        <f aca="false">IFERROR(IF($C144="","",IF($D144="","",IFERROR(ROUND($D144*INDEX('🔖 배합비 참조'!$B$2:$CE$83,MATCH("준초콜릿(외국산)",'🔖 배합비 참조'!$A$2:$A$83,0),MATCH($C144,'🔖 배합비 참조'!$B$1:$CE$1,0))/100,0),""))),"")</f>
        <v>0</v>
      </c>
      <c r="BS144" s="42" t="n">
        <f aca="false">IFERROR(IF($C144="","",IF($D144="","",IFERROR(ROUND($D144*INDEX('🔖 배합비 참조'!$B$2:$CE$83,MATCH("중력분",'🔖 배합비 참조'!$A$2:$A$83,0),MATCH($C144,'🔖 배합비 참조'!$B$1:$CE$1,0))/100,0),""))),"")</f>
        <v>0</v>
      </c>
      <c r="BT144" s="42" t="n">
        <f aca="false">IFERROR(IF($C144="","",IF($D144="","",IFERROR(ROUND($D144*INDEX('🔖 배합비 참조'!$B$2:$CE$83,MATCH("참깨(인도산,나이지리아산,탄자니아산,미얀마산)",'🔖 배합비 참조'!$A$2:$A$83,0),MATCH($C144,'🔖 배합비 참조'!$B$1:$CE$1,0))/100,0),""))),"")</f>
        <v>0</v>
      </c>
      <c r="BU144" s="42" t="n">
        <f aca="false">IFERROR(IF($C144="","",IF($D144="","",IFERROR(ROUND($D144*INDEX('🔖 배합비 참조'!$B$2:$CE$83,MATCH("찹쌀(국내산)",'🔖 배합비 참조'!$A$2:$A$83,0),MATCH($C144,'🔖 배합비 참조'!$B$1:$CE$1,0))/100,0),""))),"")</f>
        <v>0</v>
      </c>
      <c r="BV144" s="42" t="n">
        <f aca="false">IFERROR(IF($C144="","",IF($D144="","",IFERROR(ROUND($D144*INDEX('🔖 배합비 참조'!$B$2:$CE$83,MATCH("천일염",'🔖 배합비 참조'!$A$2:$A$83,0),MATCH($C144,'🔖 배합비 참조'!$B$1:$CE$1,0))/100,0),""))),"")</f>
        <v>0</v>
      </c>
      <c r="BW144" s="42" t="n">
        <f aca="false">IFERROR(IF($C144="","",IF($D144="","",IFERROR(ROUND($D144*INDEX('🔖 배합비 참조'!$B$2:$CE$83,MATCH("치즈 [크림치즈]",'🔖 배합비 참조'!$A$2:$A$83,0),MATCH($C144,'🔖 배합비 참조'!$B$1:$CE$1,0))/100,0),""))),"")</f>
        <v>0</v>
      </c>
      <c r="BX144" s="42" t="n">
        <f aca="false">IFERROR(IF($C144="","",IF($D144="","",IFERROR(ROUND($D144*INDEX('🔖 배합비 참조'!$B$2:$CE$83,MATCH("코코아가공품류(코코아분말)",'🔖 배합비 참조'!$A$2:$A$83,0),MATCH($C144,'🔖 배합비 참조'!$B$1:$CE$1,0))/100,0),""))),"")</f>
        <v>0</v>
      </c>
      <c r="BY144" s="42" t="n">
        <f aca="false">IFERROR(IF($C144="","",IF($D144="","",IFERROR(ROUND($D144*INDEX('🔖 배합비 참조'!$B$2:$CE$83,MATCH("콩기름(대두유)",'🔖 배합비 참조'!$A$2:$A$83,0),MATCH($C144,'🔖 배합비 참조'!$B$1:$CE$1,0))/100,0),""))),"")</f>
        <v>0</v>
      </c>
      <c r="BZ144" s="42" t="n">
        <f aca="false">IFERROR(IF($C144="","",IF($D144="","",IFERROR(ROUND($D144*INDEX('🔖 배합비 참조'!$B$2:$CE$83,MATCH("해바라기씨앗",'🔖 배합비 참조'!$A$2:$A$83,0),MATCH($C144,'🔖 배합비 참조'!$B$1:$CE$1,0))/100,0),""))),"")</f>
        <v>0</v>
      </c>
      <c r="CA144" s="42" t="n">
        <f aca="false">IFERROR(IF($C144="","",IF($D144="","",IFERROR(ROUND($D144*INDEX('🔖 배합비 참조'!$B$2:$CE$83,MATCH("현미(국내산)",'🔖 배합비 참조'!$A$2:$A$83,0),MATCH($C144,'🔖 배합비 참조'!$B$1:$CE$1,0))/100,0),""))),"")</f>
        <v>0</v>
      </c>
      <c r="CB144" s="42" t="n">
        <f aca="false">IFERROR(IF($C144="","",IF($D144="","",IFERROR(ROUND($D144*INDEX('🔖 배합비 참조'!$B$2:$CE$83,MATCH("현미멥쌀(국내산)",'🔖 배합비 참조'!$A$2:$A$83,0),MATCH($C144,'🔖 배합비 참조'!$B$1:$CE$1,0))/100,0),""))),"")</f>
        <v>0</v>
      </c>
      <c r="CC144" s="42" t="n">
        <f aca="false">IFERROR(IF($C144="","",IF($D144="","",IFERROR(ROUND($D144*INDEX('🔖 배합비 참조'!$B$2:$CE$83,MATCH("호두분태(미국산)",'🔖 배합비 참조'!$A$2:$A$83,0),MATCH($C144,'🔖 배합비 참조'!$B$1:$CE$1,0))/100,0),""))),"")</f>
        <v>0</v>
      </c>
      <c r="CD144" s="42" t="n">
        <f aca="false">IFERROR(IF($C144="","",IF($D144="","",IFERROR(ROUND($D144*INDEX('🔖 배합비 참조'!$B$2:$CE$83,MATCH("호박씨앗(외국산)",'🔖 배합비 참조'!$A$2:$A$83,0),MATCH($C144,'🔖 배합비 참조'!$B$1:$CE$1,0))/100,0),""))),"")</f>
        <v>0</v>
      </c>
      <c r="CE144" s="42" t="n">
        <f aca="false">IFERROR(IF($C144="","",IF($D144="","",IFERROR(ROUND($D144*INDEX('🔖 배합비 참조'!$B$2:$CE$83,MATCH("혼합제제(떡용에스텔)",'🔖 배합비 참조'!$A$2:$A$83,0),MATCH($C144,'🔖 배합비 참조'!$B$1:$CE$1,0))/100,0),""))),"")</f>
        <v>0</v>
      </c>
      <c r="CF144" s="42" t="n">
        <f aca="false">IFERROR(IF($C144="","",IF($D144="","",IFERROR(ROUND($D144*INDEX('🔖 배합비 참조'!$B$2:$CE$83,MATCH("혼합제제(스테비아)",'🔖 배합비 참조'!$A$2:$A$83,0),MATCH($C144,'🔖 배합비 참조'!$B$1:$CE$1,0))/100,0),""))),"")</f>
        <v>0</v>
      </c>
      <c r="CG144" s="42" t="n">
        <f aca="false">IFERROR(IF($C144="","",IF($D144="","",IFERROR(ROUND($D144*INDEX('🔖 배합비 참조'!$B$2:$CE$83,MATCH("화이트초콜릿",'🔖 배합비 참조'!$A$2:$A$83,0),MATCH($C144,'🔖 배합비 참조'!$B$1:$CE$1,0))/100,0),""))),"")</f>
        <v>0</v>
      </c>
      <c r="CH144" s="42" t="n">
        <f aca="false">IFERROR(IF($C144="","",IF($D144="","",IFERROR(ROUND($D144*INDEX('🔖 배합비 참조'!$B$2:$CE$83,MATCH("흑미찹쌀(국내산)",'🔖 배합비 참조'!$A$2:$A$83,0),MATCH($C144,'🔖 배합비 참조'!$B$1:$CE$1,0))/100,0),""))),"")</f>
        <v>0</v>
      </c>
      <c r="CI144" s="42" t="n">
        <f aca="false">IFERROR(IF($C144="","",IF($D144="","",IFERROR(ROUND($D144*INDEX('🔖 배합비 참조'!$B$2:$CE$83,MATCH("찰옥수수전분(미국산)",'🔖 배합비 참조'!$A$2:$A$83,0),MATCH($C144,'🔖 배합비 참조'!$B$1:$CE$1,0))/100,0),""))),"")</f>
        <v>0</v>
      </c>
      <c r="CJ144" s="40"/>
      <c r="CL144" s="1" t="s">
        <v>239</v>
      </c>
    </row>
    <row r="145" customFormat="false" ht="18" hidden="false" customHeight="true" outlineLevel="0" collapsed="false">
      <c r="A145" s="35" t="n">
        <v>141</v>
      </c>
      <c r="B145" s="36" t="n">
        <v>46021</v>
      </c>
      <c r="C145" s="37" t="s">
        <v>193</v>
      </c>
      <c r="D145" s="38" t="n">
        <v>15</v>
      </c>
      <c r="E145" s="13"/>
      <c r="F145" s="13"/>
      <c r="G145" s="39" t="n">
        <f aca="false">IFERROR(IF($C145="","",IF($D145="","",IFERROR(ROUND($D145*INDEX('🔖 배합비 참조'!$B$2:$CE$83,MATCH("간장",'🔖 배합비 참조'!$A$2:$A$83,0),MATCH($C145,'🔖 배합비 참조'!$B$1:$CE$1,0))/100,0),""))),"")</f>
        <v>0</v>
      </c>
      <c r="H145" s="39" t="n">
        <f aca="false">IFERROR(IF($C145="","",IF($D145="","",IFERROR(ROUND($D145*INDEX('🔖 배합비 참조'!$B$2:$CE$83,MATCH("강낭콩((울타리콩))",'🔖 배합비 참조'!$A$2:$A$83,0),MATCH($C145,'🔖 배합비 참조'!$B$1:$CE$1,0))/100,0),""))),"")</f>
        <v>0</v>
      </c>
      <c r="I145" s="39" t="n">
        <f aca="false">IFERROR(IF($C145="","",IF($D145="","",IFERROR(ROUND($D145*INDEX('🔖 배합비 참조'!$B$2:$CE$83,MATCH("건조딸기다이스(외국산)",'🔖 배합비 참조'!$A$2:$A$83,0),MATCH($C145,'🔖 배합비 참조'!$B$1:$CE$1,0))/100,0),""))),"")</f>
        <v>0</v>
      </c>
      <c r="J145" s="39" t="n">
        <f aca="false">IFERROR(IF($C145="","",IF($D145="","",IFERROR(ROUND($D145*INDEX('🔖 배합비 참조'!$B$2:$CE$83,MATCH("건포도",'🔖 배합비 참조'!$A$2:$A$83,0),MATCH($C145,'🔖 배합비 참조'!$B$1:$CE$1,0))/100,0),""))),"")</f>
        <v>0</v>
      </c>
      <c r="K145" s="39" t="n">
        <f aca="false">IFERROR(IF($C145="","",IF($D145="","",IFERROR(ROUND($D145*INDEX('🔖 배합비 참조'!$B$2:$CE$83,MATCH("건호박채(중국산)",'🔖 배합비 참조'!$A$2:$A$83,0),MATCH($C145,'🔖 배합비 참조'!$B$1:$CE$1,0))/100,0),""))),"")</f>
        <v>0</v>
      </c>
      <c r="L145" s="39" t="n">
        <f aca="false">IFERROR(IF($C145="","",IF($D145="","",IFERROR(ROUND($D145*INDEX('🔖 배합비 참조'!$B$2:$CE$83,MATCH("검정깨(흑임자)",'🔖 배합비 참조'!$A$2:$A$83,0),MATCH($C145,'🔖 배합비 참조'!$B$1:$CE$1,0))/100,0),""))),"")</f>
        <v>0</v>
      </c>
      <c r="M145" s="39" t="n">
        <f aca="false">IFERROR(IF($C145="","",IF($D145="","",IFERROR(ROUND($D145*INDEX('🔖 배합비 참조'!$B$2:$CE$83,MATCH("검정콩",'🔖 배합비 참조'!$A$2:$A$83,0),MATCH($C145,'🔖 배합비 참조'!$B$1:$CE$1,0))/100,0),""))),"")</f>
        <v>0</v>
      </c>
      <c r="N145" s="39" t="n">
        <f aca="false">IFERROR(IF($C145="","",IF($D145="","",IFERROR(ROUND($D145*INDEX('🔖 배합비 참조'!$B$2:$CE$83,MATCH("계피가루",'🔖 배합비 참조'!$A$2:$A$83,0),MATCH($C145,'🔖 배합비 참조'!$B$1:$CE$1,0))/100,0),""))),"")</f>
        <v>0</v>
      </c>
      <c r="O145" s="39" t="n">
        <f aca="false">IFERROR(IF($C145="","",IF($D145="","",IFERROR(ROUND($D145*INDEX('🔖 배합비 참조'!$B$2:$CE$83,MATCH("고구마가루",'🔖 배합비 참조'!$A$2:$A$83,0),MATCH($C145,'🔖 배합비 참조'!$B$1:$CE$1,0))/100,0),""))),"")</f>
        <v>0</v>
      </c>
      <c r="P145" s="39" t="n">
        <f aca="false">IFERROR(IF($C145="","",IF($D145="","",IFERROR(ROUND($D145*INDEX('🔖 배합비 참조'!$B$2:$CE$83,MATCH("고구마무스",'🔖 배합비 참조'!$A$2:$A$83,0),MATCH($C145,'🔖 배합비 참조'!$B$1:$CE$1,0))/100,0),""))),"")</f>
        <v>0</v>
      </c>
      <c r="Q145" s="39" t="n">
        <f aca="false">IFERROR(IF($C145="","",IF($D145="","",IFERROR(ROUND($D145*INDEX('🔖 배합비 참조'!$B$2:$CE$83,MATCH("고려엉겅퀴((곤드레)국내산)",'🔖 배합비 참조'!$A$2:$A$83,0),MATCH($C145,'🔖 배합비 참조'!$B$1:$CE$1,0))/100,0),""))),"")</f>
        <v>0</v>
      </c>
      <c r="R145" s="39" t="n">
        <f aca="false">IFERROR(IF($C145="","",IF($D145="","",IFERROR(ROUND($D145*INDEX('🔖 배합비 참조'!$B$2:$CE$83,MATCH("기타가공품(복분자가루)",'🔖 배합비 참조'!$A$2:$A$83,0),MATCH($C145,'🔖 배합비 참조'!$B$1:$CE$1,0))/100,0),""))),"")</f>
        <v>0</v>
      </c>
      <c r="S145" s="39" t="n">
        <f aca="false">IFERROR(IF($C145="","",IF($D145="","",IFERROR(ROUND($D145*INDEX('🔖 배합비 참조'!$B$2:$CE$83,MATCH("기타가공품(슈퍼소프트엠)",'🔖 배합비 참조'!$A$2:$A$83,0),MATCH($C145,'🔖 배합비 참조'!$B$1:$CE$1,0))/100,0),""))),"")</f>
        <v>0</v>
      </c>
      <c r="T145" s="39" t="n">
        <f aca="false">IFERROR(IF($C145="","",IF($D145="","",IFERROR(ROUND($D145*INDEX('🔖 배합비 참조'!$B$2:$CE$83,MATCH("기타가공품(파인소프트 E-티)",'🔖 배합비 참조'!$A$2:$A$83,0),MATCH($C145,'🔖 배합비 참조'!$B$1:$CE$1,0))/100,0),""))),"")</f>
        <v>0</v>
      </c>
      <c r="U145" s="39" t="n">
        <f aca="false">IFERROR(IF($C145="","",IF($D145="","",IFERROR(ROUND($D145*INDEX('🔖 배합비 참조'!$B$2:$CE$83,MATCH("기타가공품(프리미엄카스테라가루)",'🔖 배합비 참조'!$A$2:$A$83,0),MATCH($C145,'🔖 배합비 참조'!$B$1:$CE$1,0))/100,0),""))),"")</f>
        <v>0</v>
      </c>
      <c r="V145" s="39" t="n">
        <f aca="false">IFERROR(IF($C145="","",IF($D145="","",IFERROR(ROUND($D145*INDEX('🔖 배합비 참조'!$B$2:$CE$83,MATCH("기타가공품(흑임자가루)",'🔖 배합비 참조'!$A$2:$A$83,0),MATCH($C145,'🔖 배합비 참조'!$B$1:$CE$1,0))/100,0),""))),"")</f>
        <v>0</v>
      </c>
      <c r="W145" s="39" t="n">
        <f aca="false">IFERROR(IF($C145="","",IF($D145="","",IFERROR(ROUND($D145*INDEX('🔖 배합비 참조'!$B$2:$CE$83,MATCH("기타설탕(흑설탕)",'🔖 배합비 참조'!$A$2:$A$83,0),MATCH($C145,'🔖 배합비 참조'!$B$1:$CE$1,0))/100,0),""))),"")</f>
        <v>0</v>
      </c>
      <c r="X145" s="39" t="n">
        <f aca="false">IFERROR(IF($C145="","",IF($D145="","",IFERROR(ROUND($D145*INDEX('🔖 배합비 참조'!$B$2:$CE$83,MATCH("냉동쑥(국내산)",'🔖 배합비 참조'!$A$2:$A$83,0),MATCH($C145,'🔖 배합비 참조'!$B$1:$CE$1,0))/100,0),""))),"")</f>
        <v>0</v>
      </c>
      <c r="Y145" s="39" t="n">
        <f aca="false">IFERROR(IF($C145="","",IF($D145="","",IFERROR(ROUND($D145*INDEX('🔖 배합비 참조'!$B$2:$CE$83,MATCH("냉동증숙고구마(중국산)",'🔖 배합비 참조'!$A$2:$A$83,0),MATCH($C145,'🔖 배합비 참조'!$B$1:$CE$1,0))/100,0),""))),"")</f>
        <v>0</v>
      </c>
      <c r="Z145" s="39" t="n">
        <f aca="false">IFERROR(IF($C145="","",IF($D145="","",IFERROR(ROUND($D145*INDEX('🔖 배합비 참조'!$B$2:$CE$83,MATCH("녹차가루",'🔖 배합비 참조'!$A$2:$A$83,0),MATCH($C145,'🔖 배합비 참조'!$B$1:$CE$1,0))/100,0),""))),"")</f>
        <v>0</v>
      </c>
      <c r="AA145" s="39" t="n">
        <f aca="false">IFERROR(IF($C145="","",IF($D145="","",IFERROR(ROUND($D145*INDEX('🔖 배합비 참조'!$B$2:$CE$83,MATCH("다크초콜릿 컴파운드칩",'🔖 배합비 참조'!$A$2:$A$83,0),MATCH($C145,'🔖 배합비 참조'!$B$1:$CE$1,0))/100,0),""))),"")</f>
        <v>0</v>
      </c>
      <c r="AB145" s="39" t="n">
        <f aca="false">IFERROR(IF($C145="","",IF($D145="","",IFERROR(ROUND($D145*INDEX('🔖 배합비 참조'!$B$2:$CE$83,MATCH("단호박분말(중국산)",'🔖 배합비 참조'!$A$2:$A$83,0),MATCH($C145,'🔖 배합비 참조'!$B$1:$CE$1,0))/100,0),""))),"")</f>
        <v>0</v>
      </c>
      <c r="AC145" s="39" t="n">
        <f aca="false">IFERROR(IF($C145="","",IF($D145="","",IFERROR(ROUND($D145*INDEX('🔖 배합비 참조'!$B$2:$CE$83,MATCH("당류가공품(단호박농축액)",'🔖 배합비 참조'!$A$2:$A$83,0),MATCH($C145,'🔖 배합비 참조'!$B$1:$CE$1,0))/100,0),""))),"")</f>
        <v>0</v>
      </c>
      <c r="AD145" s="39" t="n">
        <f aca="false">IFERROR(IF($C145="","",IF($D145="","",IFERROR(ROUND($D145*INDEX('🔖 배합비 참조'!$B$2:$CE$83,MATCH("당류가공품(알룰로스,에리스리톨,스테비올배당체혼합)",'🔖 배합비 참조'!$A$2:$A$83,0),MATCH($C145,'🔖 배합비 참조'!$B$1:$CE$1,0))/100,0),""))),"")</f>
        <v>0</v>
      </c>
      <c r="AE145" s="39" t="n">
        <f aca="false">IFERROR(IF($C145="","",IF($D145="","",IFERROR(ROUND($D145*INDEX('🔖 배합비 참조'!$B$2:$CE$83,MATCH("당류가공품(알룰로스제로파우더)",'🔖 배합비 참조'!$A$2:$A$83,0),MATCH($C145,'🔖 배합비 참조'!$B$1:$CE$1,0))/100,0),""))),"")</f>
        <v>0</v>
      </c>
      <c r="AF145" s="39" t="n">
        <f aca="false">IFERROR(IF($C145="","",IF($D145="","",IFERROR(ROUND($D145*INDEX('🔖 배합비 참조'!$B$2:$CE$83,MATCH("당절임(완두배기)",'🔖 배합비 참조'!$A$2:$A$83,0),MATCH($C145,'🔖 배합비 참조'!$B$1:$CE$1,0))/100,0),""))),"")</f>
        <v>0</v>
      </c>
      <c r="AG145" s="39" t="n">
        <f aca="false">IFERROR(IF($C145="","",IF($D145="","",IFERROR(ROUND($D145*INDEX('🔖 배합비 참조'!$B$2:$CE$83,MATCH("대추농축액",'🔖 배합비 참조'!$A$2:$A$83,0),MATCH($C145,'🔖 배합비 참조'!$B$1:$CE$1,0))/100,0),""))),"")</f>
        <v>0</v>
      </c>
      <c r="AH145" s="39" t="n">
        <f aca="false">IFERROR(IF($C145="","",IF($D145="","",IFERROR(ROUND($D145*INDEX('🔖 배합비 참조'!$B$2:$CE$83,MATCH("대추채(국내산)",'🔖 배합비 참조'!$A$2:$A$83,0),MATCH($C145,'🔖 배합비 참조'!$B$1:$CE$1,0))/100,0),""))),"")</f>
        <v>0</v>
      </c>
      <c r="AI145" s="39" t="n">
        <f aca="false">IFERROR(IF($C145="","",IF($D145="","",IFERROR(ROUND($D145*INDEX('🔖 배합비 참조'!$B$2:$CE$83,MATCH("동부(미얀마산)",'🔖 배합비 참조'!$A$2:$A$83,0),MATCH($C145,'🔖 배합비 참조'!$B$1:$CE$1,0))/100,0),""))),"")</f>
        <v>0</v>
      </c>
      <c r="AJ145" s="39" t="n">
        <f aca="false">IFERROR(IF($C145="","",IF($D145="","",IFERROR(ROUND($D145*INDEX('🔖 배합비 참조'!$B$2:$CE$83,MATCH("두류가공품(백옥앙금)",'🔖 배합비 참조'!$A$2:$A$83,0),MATCH($C145,'🔖 배합비 참조'!$B$1:$CE$1,0))/100,0),""))),"")</f>
        <v>0</v>
      </c>
      <c r="AK145" s="39" t="n">
        <f aca="false">IFERROR(IF($C145="","",IF($D145="","",IFERROR(ROUND($D145*INDEX('🔖 배합비 참조'!$B$2:$CE$83,MATCH("두류가공품(콩고물)",'🔖 배합비 참조'!$A$2:$A$83,0),MATCH($C145,'🔖 배합비 참조'!$B$1:$CE$1,0))/100,0),""))),"")</f>
        <v>0</v>
      </c>
      <c r="AL145" s="39" t="n">
        <f aca="false">IFERROR(IF($C145="","",IF($D145="","",IFERROR(ROUND($D145*INDEX('🔖 배합비 참조'!$B$2:$CE$83,MATCH("두류가공품(통팥고물)",'🔖 배합비 참조'!$A$2:$A$83,0),MATCH($C145,'🔖 배합비 참조'!$B$1:$CE$1,0))/100,0),""))),"")</f>
        <v>0</v>
      </c>
      <c r="AM145" s="39" t="n">
        <f aca="false">IFERROR(IF($C145="","",IF($D145="","",IFERROR(ROUND($D145*INDEX('🔖 배합비 참조'!$B$2:$CE$83,MATCH("딸기레진",'🔖 배합비 참조'!$A$2:$A$83,0),MATCH($C145,'🔖 배합비 참조'!$B$1:$CE$1,0))/100,0),""))),"")</f>
        <v>0</v>
      </c>
      <c r="AN145" s="39" t="n">
        <f aca="false">IFERROR(IF($C145="","",IF($D145="","",IFERROR(ROUND($D145*INDEX('🔖 배합비 참조'!$B$2:$CE$83,MATCH("딸기분말(스트로우베리에이드(분말))",'🔖 배합비 참조'!$A$2:$A$83,0),MATCH($C145,'🔖 배합비 참조'!$B$1:$CE$1,0))/100,0),""))),"")</f>
        <v>0</v>
      </c>
      <c r="AO145" s="39" t="n">
        <f aca="false">IFERROR(IF($C145="","",IF($D145="","",IFERROR(ROUND($D145*INDEX('🔖 배합비 참조'!$B$2:$CE$83,MATCH("마스카포네치즈",'🔖 배합비 참조'!$A$2:$A$83,0),MATCH($C145,'🔖 배합비 참조'!$B$1:$CE$1,0))/100,0),""))),"")</f>
        <v>0</v>
      </c>
      <c r="AP145" s="39" t="n">
        <f aca="false">IFERROR(IF($C145="","",IF($D145="","",IFERROR(ROUND($D145*INDEX('🔖 배합비 참조'!$B$2:$CE$83,MATCH("마카다미아분태(호주산)",'🔖 배합비 참조'!$A$2:$A$83,0),MATCH($C145,'🔖 배합비 참조'!$B$1:$CE$1,0))/100,0),""))),"")</f>
        <v>0</v>
      </c>
      <c r="AQ145" s="39" t="n">
        <f aca="false">IFERROR(IF($C145="","",IF($D145="","",IFERROR(ROUND($D145*INDEX('🔖 배합비 참조'!$B$2:$CE$83,MATCH("멥쌀(국내산)",'🔖 배합비 참조'!$A$2:$A$83,0),MATCH($C145,'🔖 배합비 참조'!$B$1:$CE$1,0))/100,0),""))),"")</f>
        <v>9</v>
      </c>
      <c r="AR145" s="39" t="n">
        <f aca="false">IFERROR(IF($C145="","",IF($D145="","",IFERROR(ROUND($D145*INDEX('🔖 배합비 참조'!$B$2:$CE$83,MATCH("모시잎(국내산)",'🔖 배합비 참조'!$A$2:$A$83,0),MATCH($C145,'🔖 배합비 참조'!$B$1:$CE$1,0))/100,0),""))),"")</f>
        <v>0</v>
      </c>
      <c r="AS145" s="39" t="n">
        <f aca="false">IFERROR(IF($C145="","",IF($D145="","",IFERROR(ROUND($D145*INDEX('🔖 배합비 참조'!$B$2:$CE$83,MATCH("물엿(저당물엿)",'🔖 배합비 참조'!$A$2:$A$83,0),MATCH($C145,'🔖 배합비 참조'!$B$1:$CE$1,0))/100,0),""))),"")</f>
        <v>0</v>
      </c>
      <c r="AT145" s="39" t="n">
        <f aca="false">IFERROR(IF($C145="","",IF($D145="","",IFERROR(ROUND($D145*INDEX('🔖 배합비 참조'!$B$2:$CE$83,MATCH("밤다이스",'🔖 배합비 참조'!$A$2:$A$83,0),MATCH($C145,'🔖 배합비 참조'!$B$1:$CE$1,0))/100,0),""))),"")</f>
        <v>0</v>
      </c>
      <c r="AU145" s="39" t="n">
        <f aca="false">IFERROR(IF($C145="","",IF($D145="","",IFERROR(ROUND($D145*INDEX('🔖 배합비 참조'!$B$2:$CE$83,MATCH("변성전분(타피오카전분)",'🔖 배합비 참조'!$A$2:$A$83,0),MATCH($C145,'🔖 배합비 참조'!$B$1:$CE$1,0))/100,0),""))),"")</f>
        <v>0</v>
      </c>
      <c r="AV145" s="39" t="n">
        <f aca="false">IFERROR(IF($C145="","",IF($D145="","",IFERROR(ROUND($D145*INDEX('🔖 배합비 참조'!$B$2:$CE$83,MATCH("복음땅콩분태",'🔖 배합비 참조'!$A$2:$A$83,0),MATCH($C145,'🔖 배합비 참조'!$B$1:$CE$1,0))/100,0),""))),"")</f>
        <v>0</v>
      </c>
      <c r="AW145" s="39" t="n">
        <f aca="false">IFERROR(IF($C145="","",IF($D145="","",IFERROR(ROUND($D145*INDEX('🔖 배합비 참조'!$B$2:$CE$83,MATCH("사양벌꿀(국내산)",'🔖 배합비 참조'!$A$2:$A$83,0),MATCH($C145,'🔖 배합비 참조'!$B$1:$CE$1,0))/100,0),""))),"")</f>
        <v>0</v>
      </c>
      <c r="AX145" s="39" t="n">
        <f aca="false">IFERROR(IF($C145="","",IF($D145="","",IFERROR(ROUND($D145*INDEX('🔖 배합비 참조'!$B$2:$CE$83,MATCH("생크림",'🔖 배합비 참조'!$A$2:$A$83,0),MATCH($C145,'🔖 배합비 참조'!$B$1:$CE$1,0))/100,0),""))),"")</f>
        <v>0</v>
      </c>
      <c r="AY145" s="39" t="n">
        <f aca="false">IFERROR(IF($C145="","",IF($D145="","",IFERROR(ROUND($D145*INDEX('🔖 배합비 참조'!$B$2:$CE$83,MATCH("서양호박(국내산,뉴질랜드산)",'🔖 배합비 참조'!$A$2:$A$83,0),MATCH($C145,'🔖 배합비 참조'!$B$1:$CE$1,0))/100,0),""))),"")</f>
        <v>0</v>
      </c>
      <c r="AZ145" s="39" t="n">
        <f aca="false">IFERROR(IF($C145="","",IF($D145="","",IFERROR(ROUND($D145*INDEX('🔖 배합비 참조'!$B$2:$CE$83,MATCH("설탕",'🔖 배합비 참조'!$A$2:$A$83,0),MATCH($C145,'🔖 배합비 참조'!$B$1:$CE$1,0))/100,0),""))),"")</f>
        <v>2</v>
      </c>
      <c r="BA145" s="39" t="n">
        <f aca="false">IFERROR(IF($C145="","",IF($D145="","",IFERROR(ROUND($D145*INDEX('🔖 배합비 참조'!$B$2:$CE$83,MATCH("스트로우베리 에이드 후레쉬",'🔖 배합비 참조'!$A$2:$A$83,0),MATCH($C145,'🔖 배합비 참조'!$B$1:$CE$1,0))/100,0),""))),"")</f>
        <v>0</v>
      </c>
      <c r="BB145" s="39" t="n">
        <f aca="false">IFERROR(IF($C145="","",IF($D145="","",IFERROR(ROUND($D145*INDEX('🔖 배합비 참조'!$B$2:$CE$83,MATCH("식물성기름혼합제제(분홍)",'🔖 배합비 참조'!$A$2:$A$83,0),MATCH($C145,'🔖 배합비 참조'!$B$1:$CE$1,0))/100,0),""))),"")</f>
        <v>0</v>
      </c>
      <c r="BC145" s="39" t="n">
        <f aca="false">IFERROR(IF($C145="","",IF($D145="","",IFERROR(ROUND($D145*INDEX('🔖 배합비 참조'!$B$2:$CE$83,MATCH("식물성기름혼합제제(초록)",'🔖 배합비 참조'!$A$2:$A$83,0),MATCH($C145,'🔖 배합비 참조'!$B$1:$CE$1,0))/100,0),""))),"")</f>
        <v>0</v>
      </c>
      <c r="BD145" s="39" t="n">
        <f aca="false">IFERROR(IF($C145="","",IF($D145="","",IFERROR(ROUND($D145*INDEX('🔖 배합비 참조'!$B$2:$CE$83,MATCH("식물성기름혼합제제(황색)",'🔖 배합비 참조'!$A$2:$A$83,0),MATCH($C145,'🔖 배합비 참조'!$B$1:$CE$1,0))/100,0),""))),"")</f>
        <v>0</v>
      </c>
      <c r="BE145" s="39" t="n">
        <f aca="false">IFERROR(IF($C145="","",IF($D145="","",IFERROR(ROUND($D145*INDEX('🔖 배합비 참조'!$B$2:$CE$83,MATCH("쑥가루(국내산)",'🔖 배합비 참조'!$A$2:$A$83,0),MATCH($C145,'🔖 배합비 참조'!$B$1:$CE$1,0))/100,0),""))),"")</f>
        <v>0</v>
      </c>
      <c r="BF145" s="39" t="n">
        <f aca="false">IFERROR(IF($C145="","",IF($D145="","",IFERROR(ROUND($D145*INDEX('🔖 배합비 참조'!$B$2:$CE$83,MATCH("아몬드슬라이스",'🔖 배합비 참조'!$A$2:$A$83,0),MATCH($C145,'🔖 배합비 참조'!$B$1:$CE$1,0))/100,0),""))),"")</f>
        <v>0</v>
      </c>
      <c r="BG145" s="39" t="n">
        <f aca="false">IFERROR(IF($C145="","",IF($D145="","",IFERROR(ROUND($D145*INDEX('🔖 배합비 참조'!$B$2:$CE$83,MATCH("알룰로오스(국내산)",'🔖 배합비 참조'!$A$2:$A$83,0),MATCH($C145,'🔖 배합비 참조'!$B$1:$CE$1,0))/100,0),""))),"")</f>
        <v>0</v>
      </c>
      <c r="BH145" s="39" t="n">
        <f aca="false">IFERROR(IF($C145="","",IF($D145="","",IFERROR(ROUND($D145*INDEX('🔖 배합비 참조'!$B$2:$CE$83,MATCH("연유",'🔖 배합비 참조'!$A$2:$A$83,0),MATCH($C145,'🔖 배합비 참조'!$B$1:$CE$1,0))/100,0),""))),"")</f>
        <v>0</v>
      </c>
      <c r="BI145" s="39" t="n">
        <f aca="false">IFERROR(IF($C145="","",IF($D145="","",IFERROR(ROUND($D145*INDEX('🔖 배합비 참조'!$B$2:$CE$83,MATCH("옥수수전분",'🔖 배합비 참조'!$A$2:$A$83,0),MATCH($C145,'🔖 배합비 참조'!$B$1:$CE$1,0))/100,0),""))),"")</f>
        <v>0</v>
      </c>
      <c r="BJ145" s="39" t="n">
        <f aca="false">IFERROR(IF($C145="","",IF($D145="","",IFERROR(ROUND($D145*INDEX('🔖 배합비 참조'!$B$2:$CE$83,MATCH("완두배기",'🔖 배합비 참조'!$A$2:$A$83,0),MATCH($C145,'🔖 배합비 참조'!$B$1:$CE$1,0))/100,0),""))),"")</f>
        <v>0</v>
      </c>
      <c r="BK145" s="39" t="n">
        <f aca="false">IFERROR(IF($C145="","",IF($D145="","",IFERROR(ROUND($D145*INDEX('🔖 배합비 참조'!$B$2:$CE$83,MATCH("우유(국내산)",'🔖 배합비 참조'!$A$2:$A$83,0),MATCH($C145,'🔖 배합비 참조'!$B$1:$CE$1,0))/100,0),""))),"")</f>
        <v>0</v>
      </c>
      <c r="BL145" s="39" t="n">
        <f aca="false">IFERROR(IF($C145="","",IF($D145="","",IFERROR(ROUND($D145*INDEX('🔖 배합비 참조'!$B$2:$CE$83,MATCH("자색고구마가루(중국산)",'🔖 배합비 참조'!$A$2:$A$83,0),MATCH($C145,'🔖 배합비 참조'!$B$1:$CE$1,0))/100,0),""))),"")</f>
        <v>0</v>
      </c>
      <c r="BM145" s="39" t="n">
        <f aca="false">IFERROR(IF($C145="","",IF($D145="","",IFERROR(ROUND($D145*INDEX('🔖 배합비 참조'!$B$2:$CE$83,MATCH("자연치즈(체다치즈)",'🔖 배합비 참조'!$A$2:$A$83,0),MATCH($C145,'🔖 배합비 참조'!$B$1:$CE$1,0))/100,0),""))),"")</f>
        <v>2</v>
      </c>
      <c r="BN145" s="39" t="n">
        <f aca="false">IFERROR(IF($C145="","",IF($D145="","",IFERROR(ROUND($D145*INDEX('🔖 배합비 참조'!$B$2:$CE$83,MATCH("정제수",'🔖 배합비 참조'!$A$2:$A$83,0),MATCH($C145,'🔖 배합비 참조'!$B$1:$CE$1,0))/100,0),""))),"")</f>
        <v>2</v>
      </c>
      <c r="BO145" s="39" t="n">
        <f aca="false">IFERROR(IF($C145="","",IF($D145="","",IFERROR(ROUND($D145*INDEX('🔖 배합비 참조'!$B$2:$CE$83,MATCH("젤라틴",'🔖 배합비 참조'!$A$2:$A$83,0),MATCH($C145,'🔖 배합비 참조'!$B$1:$CE$1,0))/100,0),""))),"")</f>
        <v>0</v>
      </c>
      <c r="BP145" s="39" t="n">
        <f aca="false">IFERROR(IF($C145="","",IF($D145="","",IFERROR(ROUND($D145*INDEX('🔖 배합비 참조'!$B$2:$CE$83,MATCH("조림류(백옥앙금)",'🔖 배합비 참조'!$A$2:$A$83,0),MATCH($C145,'🔖 배합비 참조'!$B$1:$CE$1,0))/100,0),""))),"")</f>
        <v>0</v>
      </c>
      <c r="BQ145" s="39" t="n">
        <f aca="false">IFERROR(IF($C145="","",IF($D145="","",IFERROR(ROUND($D145*INDEX('🔖 배합비 참조'!$B$2:$CE$83,MATCH("조림류(통팥앙금)",'🔖 배합비 참조'!$A$2:$A$83,0),MATCH($C145,'🔖 배합비 참조'!$B$1:$CE$1,0))/100,0),""))),"")</f>
        <v>0</v>
      </c>
      <c r="BR145" s="39" t="n">
        <f aca="false">IFERROR(IF($C145="","",IF($D145="","",IFERROR(ROUND($D145*INDEX('🔖 배합비 참조'!$B$2:$CE$83,MATCH("준초콜릿(외국산)",'🔖 배합비 참조'!$A$2:$A$83,0),MATCH($C145,'🔖 배합비 참조'!$B$1:$CE$1,0))/100,0),""))),"")</f>
        <v>0</v>
      </c>
      <c r="BS145" s="39" t="n">
        <f aca="false">IFERROR(IF($C145="","",IF($D145="","",IFERROR(ROUND($D145*INDEX('🔖 배합비 참조'!$B$2:$CE$83,MATCH("중력분",'🔖 배합비 참조'!$A$2:$A$83,0),MATCH($C145,'🔖 배합비 참조'!$B$1:$CE$1,0))/100,0),""))),"")</f>
        <v>0</v>
      </c>
      <c r="BT145" s="39" t="n">
        <f aca="false">IFERROR(IF($C145="","",IF($D145="","",IFERROR(ROUND($D145*INDEX('🔖 배합비 참조'!$B$2:$CE$83,MATCH("참깨(인도산,나이지리아산,탄자니아산,미얀마산)",'🔖 배합비 참조'!$A$2:$A$83,0),MATCH($C145,'🔖 배합비 참조'!$B$1:$CE$1,0))/100,0),""))),"")</f>
        <v>0</v>
      </c>
      <c r="BU145" s="39" t="n">
        <f aca="false">IFERROR(IF($C145="","",IF($D145="","",IFERROR(ROUND($D145*INDEX('🔖 배합비 참조'!$B$2:$CE$83,MATCH("찹쌀(국내산)",'🔖 배합비 참조'!$A$2:$A$83,0),MATCH($C145,'🔖 배합비 참조'!$B$1:$CE$1,0))/100,0),""))),"")</f>
        <v>0</v>
      </c>
      <c r="BV145" s="39" t="n">
        <f aca="false">IFERROR(IF($C145="","",IF($D145="","",IFERROR(ROUND($D145*INDEX('🔖 배합비 참조'!$B$2:$CE$83,MATCH("천일염",'🔖 배합비 참조'!$A$2:$A$83,0),MATCH($C145,'🔖 배합비 참조'!$B$1:$CE$1,0))/100,0),""))),"")</f>
        <v>0</v>
      </c>
      <c r="BW145" s="39" t="n">
        <f aca="false">IFERROR(IF($C145="","",IF($D145="","",IFERROR(ROUND($D145*INDEX('🔖 배합비 참조'!$B$2:$CE$83,MATCH("치즈 [크림치즈]",'🔖 배합비 참조'!$A$2:$A$83,0),MATCH($C145,'🔖 배합비 참조'!$B$1:$CE$1,0))/100,0),""))),"")</f>
        <v>0</v>
      </c>
      <c r="BX145" s="39" t="n">
        <f aca="false">IFERROR(IF($C145="","",IF($D145="","",IFERROR(ROUND($D145*INDEX('🔖 배합비 참조'!$B$2:$CE$83,MATCH("코코아가공품류(코코아분말)",'🔖 배합비 참조'!$A$2:$A$83,0),MATCH($C145,'🔖 배합비 참조'!$B$1:$CE$1,0))/100,0),""))),"")</f>
        <v>0</v>
      </c>
      <c r="BY145" s="39" t="n">
        <f aca="false">IFERROR(IF($C145="","",IF($D145="","",IFERROR(ROUND($D145*INDEX('🔖 배합비 참조'!$B$2:$CE$83,MATCH("콩기름(대두유)",'🔖 배합비 참조'!$A$2:$A$83,0),MATCH($C145,'🔖 배합비 참조'!$B$1:$CE$1,0))/100,0),""))),"")</f>
        <v>0</v>
      </c>
      <c r="BZ145" s="39" t="n">
        <f aca="false">IFERROR(IF($C145="","",IF($D145="","",IFERROR(ROUND($D145*INDEX('🔖 배합비 참조'!$B$2:$CE$83,MATCH("해바라기씨앗",'🔖 배합비 참조'!$A$2:$A$83,0),MATCH($C145,'🔖 배합비 참조'!$B$1:$CE$1,0))/100,0),""))),"")</f>
        <v>0</v>
      </c>
      <c r="CA145" s="39" t="n">
        <f aca="false">IFERROR(IF($C145="","",IF($D145="","",IFERROR(ROUND($D145*INDEX('🔖 배합비 참조'!$B$2:$CE$83,MATCH("현미(국내산)",'🔖 배합비 참조'!$A$2:$A$83,0),MATCH($C145,'🔖 배합비 참조'!$B$1:$CE$1,0))/100,0),""))),"")</f>
        <v>0</v>
      </c>
      <c r="CB145" s="39" t="n">
        <f aca="false">IFERROR(IF($C145="","",IF($D145="","",IFERROR(ROUND($D145*INDEX('🔖 배합비 참조'!$B$2:$CE$83,MATCH("현미멥쌀(국내산)",'🔖 배합비 참조'!$A$2:$A$83,0),MATCH($C145,'🔖 배합비 참조'!$B$1:$CE$1,0))/100,0),""))),"")</f>
        <v>0</v>
      </c>
      <c r="CC145" s="39" t="n">
        <f aca="false">IFERROR(IF($C145="","",IF($D145="","",IFERROR(ROUND($D145*INDEX('🔖 배합비 참조'!$B$2:$CE$83,MATCH("호두분태(미국산)",'🔖 배합비 참조'!$A$2:$A$83,0),MATCH($C145,'🔖 배합비 참조'!$B$1:$CE$1,0))/100,0),""))),"")</f>
        <v>0</v>
      </c>
      <c r="CD145" s="39" t="n">
        <f aca="false">IFERROR(IF($C145="","",IF($D145="","",IFERROR(ROUND($D145*INDEX('🔖 배합비 참조'!$B$2:$CE$83,MATCH("호박씨앗(외국산)",'🔖 배합비 참조'!$A$2:$A$83,0),MATCH($C145,'🔖 배합비 참조'!$B$1:$CE$1,0))/100,0),""))),"")</f>
        <v>0</v>
      </c>
      <c r="CE145" s="39" t="n">
        <f aca="false">IFERROR(IF($C145="","",IF($D145="","",IFERROR(ROUND($D145*INDEX('🔖 배합비 참조'!$B$2:$CE$83,MATCH("혼합제제(떡용에스텔)",'🔖 배합비 참조'!$A$2:$A$83,0),MATCH($C145,'🔖 배합비 참조'!$B$1:$CE$1,0))/100,0),""))),"")</f>
        <v>0</v>
      </c>
      <c r="CF145" s="39" t="n">
        <f aca="false">IFERROR(IF($C145="","",IF($D145="","",IFERROR(ROUND($D145*INDEX('🔖 배합비 참조'!$B$2:$CE$83,MATCH("혼합제제(스테비아)",'🔖 배합비 참조'!$A$2:$A$83,0),MATCH($C145,'🔖 배합비 참조'!$B$1:$CE$1,0))/100,0),""))),"")</f>
        <v>0</v>
      </c>
      <c r="CG145" s="39" t="n">
        <f aca="false">IFERROR(IF($C145="","",IF($D145="","",IFERROR(ROUND($D145*INDEX('🔖 배합비 참조'!$B$2:$CE$83,MATCH("화이트초콜릿",'🔖 배합비 참조'!$A$2:$A$83,0),MATCH($C145,'🔖 배합비 참조'!$B$1:$CE$1,0))/100,0),""))),"")</f>
        <v>0</v>
      </c>
      <c r="CH145" s="39" t="n">
        <f aca="false">IFERROR(IF($C145="","",IF($D145="","",IFERROR(ROUND($D145*INDEX('🔖 배합비 참조'!$B$2:$CE$83,MATCH("흑미찹쌀(국내산)",'🔖 배합비 참조'!$A$2:$A$83,0),MATCH($C145,'🔖 배합비 참조'!$B$1:$CE$1,0))/100,0),""))),"")</f>
        <v>0</v>
      </c>
      <c r="CI145" s="39" t="n">
        <f aca="false">IFERROR(IF($C145="","",IF($D145="","",IFERROR(ROUND($D145*INDEX('🔖 배합비 참조'!$B$2:$CE$83,MATCH("찰옥수수전분(미국산)",'🔖 배합비 참조'!$A$2:$A$83,0),MATCH($C145,'🔖 배합비 참조'!$B$1:$CE$1,0))/100,0),""))),"")</f>
        <v>0</v>
      </c>
      <c r="CJ145" s="40"/>
      <c r="CL145" s="1" t="s">
        <v>239</v>
      </c>
    </row>
    <row r="146" customFormat="false" ht="18" hidden="false" customHeight="true" outlineLevel="0" collapsed="false">
      <c r="A146" s="41" t="n">
        <v>142</v>
      </c>
      <c r="B146" s="36" t="n">
        <v>46021</v>
      </c>
      <c r="C146" s="37" t="s">
        <v>195</v>
      </c>
      <c r="D146" s="38" t="n">
        <v>25</v>
      </c>
      <c r="E146" s="17"/>
      <c r="F146" s="17"/>
      <c r="G146" s="42" t="n">
        <f aca="false">IFERROR(IF($C146="","",IF($D146="","",IFERROR(ROUND($D146*INDEX('🔖 배합비 참조'!$B$2:$CE$83,MATCH("간장",'🔖 배합비 참조'!$A$2:$A$83,0),MATCH($C146,'🔖 배합비 참조'!$B$1:$CE$1,0))/100,0),""))),"")</f>
        <v>0</v>
      </c>
      <c r="H146" s="42" t="n">
        <f aca="false">IFERROR(IF($C146="","",IF($D146="","",IFERROR(ROUND($D146*INDEX('🔖 배합비 참조'!$B$2:$CE$83,MATCH("강낭콩((울타리콩))",'🔖 배합비 참조'!$A$2:$A$83,0),MATCH($C146,'🔖 배합비 참조'!$B$1:$CE$1,0))/100,0),""))),"")</f>
        <v>0</v>
      </c>
      <c r="I146" s="42" t="n">
        <f aca="false">IFERROR(IF($C146="","",IF($D146="","",IFERROR(ROUND($D146*INDEX('🔖 배합비 참조'!$B$2:$CE$83,MATCH("건조딸기다이스(외국산)",'🔖 배합비 참조'!$A$2:$A$83,0),MATCH($C146,'🔖 배합비 참조'!$B$1:$CE$1,0))/100,0),""))),"")</f>
        <v>0</v>
      </c>
      <c r="J146" s="42" t="n">
        <f aca="false">IFERROR(IF($C146="","",IF($D146="","",IFERROR(ROUND($D146*INDEX('🔖 배합비 참조'!$B$2:$CE$83,MATCH("건포도",'🔖 배합비 참조'!$A$2:$A$83,0),MATCH($C146,'🔖 배합비 참조'!$B$1:$CE$1,0))/100,0),""))),"")</f>
        <v>0</v>
      </c>
      <c r="K146" s="42" t="n">
        <f aca="false">IFERROR(IF($C146="","",IF($D146="","",IFERROR(ROUND($D146*INDEX('🔖 배합비 참조'!$B$2:$CE$83,MATCH("건호박채(중국산)",'🔖 배합비 참조'!$A$2:$A$83,0),MATCH($C146,'🔖 배합비 참조'!$B$1:$CE$1,0))/100,0),""))),"")</f>
        <v>0</v>
      </c>
      <c r="L146" s="42" t="n">
        <f aca="false">IFERROR(IF($C146="","",IF($D146="","",IFERROR(ROUND($D146*INDEX('🔖 배합비 참조'!$B$2:$CE$83,MATCH("검정깨(흑임자)",'🔖 배합비 참조'!$A$2:$A$83,0),MATCH($C146,'🔖 배합비 참조'!$B$1:$CE$1,0))/100,0),""))),"")</f>
        <v>0</v>
      </c>
      <c r="M146" s="42" t="n">
        <f aca="false">IFERROR(IF($C146="","",IF($D146="","",IFERROR(ROUND($D146*INDEX('🔖 배합비 참조'!$B$2:$CE$83,MATCH("검정콩",'🔖 배합비 참조'!$A$2:$A$83,0),MATCH($C146,'🔖 배합비 참조'!$B$1:$CE$1,0))/100,0),""))),"")</f>
        <v>0</v>
      </c>
      <c r="N146" s="42" t="n">
        <f aca="false">IFERROR(IF($C146="","",IF($D146="","",IFERROR(ROUND($D146*INDEX('🔖 배합비 참조'!$B$2:$CE$83,MATCH("계피가루",'🔖 배합비 참조'!$A$2:$A$83,0),MATCH($C146,'🔖 배합비 참조'!$B$1:$CE$1,0))/100,0),""))),"")</f>
        <v>0</v>
      </c>
      <c r="O146" s="42" t="n">
        <f aca="false">IFERROR(IF($C146="","",IF($D146="","",IFERROR(ROUND($D146*INDEX('🔖 배합비 참조'!$B$2:$CE$83,MATCH("고구마가루",'🔖 배합비 참조'!$A$2:$A$83,0),MATCH($C146,'🔖 배합비 참조'!$B$1:$CE$1,0))/100,0),""))),"")</f>
        <v>0</v>
      </c>
      <c r="P146" s="42" t="n">
        <f aca="false">IFERROR(IF($C146="","",IF($D146="","",IFERROR(ROUND($D146*INDEX('🔖 배합비 참조'!$B$2:$CE$83,MATCH("고구마무스",'🔖 배합비 참조'!$A$2:$A$83,0),MATCH($C146,'🔖 배합비 참조'!$B$1:$CE$1,0))/100,0),""))),"")</f>
        <v>0</v>
      </c>
      <c r="Q146" s="42" t="n">
        <f aca="false">IFERROR(IF($C146="","",IF($D146="","",IFERROR(ROUND($D146*INDEX('🔖 배합비 참조'!$B$2:$CE$83,MATCH("고려엉겅퀴((곤드레)국내산)",'🔖 배합비 참조'!$A$2:$A$83,0),MATCH($C146,'🔖 배합비 참조'!$B$1:$CE$1,0))/100,0),""))),"")</f>
        <v>0</v>
      </c>
      <c r="R146" s="42" t="n">
        <f aca="false">IFERROR(IF($C146="","",IF($D146="","",IFERROR(ROUND($D146*INDEX('🔖 배합비 참조'!$B$2:$CE$83,MATCH("기타가공품(복분자가루)",'🔖 배합비 참조'!$A$2:$A$83,0),MATCH($C146,'🔖 배합비 참조'!$B$1:$CE$1,0))/100,0),""))),"")</f>
        <v>0</v>
      </c>
      <c r="S146" s="42" t="n">
        <f aca="false">IFERROR(IF($C146="","",IF($D146="","",IFERROR(ROUND($D146*INDEX('🔖 배합비 참조'!$B$2:$CE$83,MATCH("기타가공품(슈퍼소프트엠)",'🔖 배합비 참조'!$A$2:$A$83,0),MATCH($C146,'🔖 배합비 참조'!$B$1:$CE$1,0))/100,0),""))),"")</f>
        <v>0</v>
      </c>
      <c r="T146" s="42" t="n">
        <f aca="false">IFERROR(IF($C146="","",IF($D146="","",IFERROR(ROUND($D146*INDEX('🔖 배합비 참조'!$B$2:$CE$83,MATCH("기타가공품(파인소프트 E-티)",'🔖 배합비 참조'!$A$2:$A$83,0),MATCH($C146,'🔖 배합비 참조'!$B$1:$CE$1,0))/100,0),""))),"")</f>
        <v>0</v>
      </c>
      <c r="U146" s="42" t="n">
        <f aca="false">IFERROR(IF($C146="","",IF($D146="","",IFERROR(ROUND($D146*INDEX('🔖 배합비 참조'!$B$2:$CE$83,MATCH("기타가공품(프리미엄카스테라가루)",'🔖 배합비 참조'!$A$2:$A$83,0),MATCH($C146,'🔖 배합비 참조'!$B$1:$CE$1,0))/100,0),""))),"")</f>
        <v>4</v>
      </c>
      <c r="V146" s="42" t="n">
        <f aca="false">IFERROR(IF($C146="","",IF($D146="","",IFERROR(ROUND($D146*INDEX('🔖 배합비 참조'!$B$2:$CE$83,MATCH("기타가공품(흑임자가루)",'🔖 배합비 참조'!$A$2:$A$83,0),MATCH($C146,'🔖 배합비 참조'!$B$1:$CE$1,0))/100,0),""))),"")</f>
        <v>0</v>
      </c>
      <c r="W146" s="42" t="n">
        <f aca="false">IFERROR(IF($C146="","",IF($D146="","",IFERROR(ROUND($D146*INDEX('🔖 배합비 참조'!$B$2:$CE$83,MATCH("기타설탕(흑설탕)",'🔖 배합비 참조'!$A$2:$A$83,0),MATCH($C146,'🔖 배합비 참조'!$B$1:$CE$1,0))/100,0),""))),"")</f>
        <v>0</v>
      </c>
      <c r="X146" s="42" t="n">
        <f aca="false">IFERROR(IF($C146="","",IF($D146="","",IFERROR(ROUND($D146*INDEX('🔖 배합비 참조'!$B$2:$CE$83,MATCH("냉동쑥(국내산)",'🔖 배합비 참조'!$A$2:$A$83,0),MATCH($C146,'🔖 배합비 참조'!$B$1:$CE$1,0))/100,0),""))),"")</f>
        <v>0</v>
      </c>
      <c r="Y146" s="42" t="n">
        <f aca="false">IFERROR(IF($C146="","",IF($D146="","",IFERROR(ROUND($D146*INDEX('🔖 배합비 참조'!$B$2:$CE$83,MATCH("냉동증숙고구마(중국산)",'🔖 배합비 참조'!$A$2:$A$83,0),MATCH($C146,'🔖 배합비 참조'!$B$1:$CE$1,0))/100,0),""))),"")</f>
        <v>0</v>
      </c>
      <c r="Z146" s="42" t="n">
        <f aca="false">IFERROR(IF($C146="","",IF($D146="","",IFERROR(ROUND($D146*INDEX('🔖 배합비 참조'!$B$2:$CE$83,MATCH("녹차가루",'🔖 배합비 참조'!$A$2:$A$83,0),MATCH($C146,'🔖 배합비 참조'!$B$1:$CE$1,0))/100,0),""))),"")</f>
        <v>0</v>
      </c>
      <c r="AA146" s="42" t="n">
        <f aca="false">IFERROR(IF($C146="","",IF($D146="","",IFERROR(ROUND($D146*INDEX('🔖 배합비 참조'!$B$2:$CE$83,MATCH("다크초콜릿 컴파운드칩",'🔖 배합비 참조'!$A$2:$A$83,0),MATCH($C146,'🔖 배합비 참조'!$B$1:$CE$1,0))/100,0),""))),"")</f>
        <v>0</v>
      </c>
      <c r="AB146" s="42" t="n">
        <f aca="false">IFERROR(IF($C146="","",IF($D146="","",IFERROR(ROUND($D146*INDEX('🔖 배합비 참조'!$B$2:$CE$83,MATCH("단호박분말(중국산)",'🔖 배합비 참조'!$A$2:$A$83,0),MATCH($C146,'🔖 배합비 참조'!$B$1:$CE$1,0))/100,0),""))),"")</f>
        <v>0</v>
      </c>
      <c r="AC146" s="42" t="n">
        <f aca="false">IFERROR(IF($C146="","",IF($D146="","",IFERROR(ROUND($D146*INDEX('🔖 배합비 참조'!$B$2:$CE$83,MATCH("당류가공품(단호박농축액)",'🔖 배합비 참조'!$A$2:$A$83,0),MATCH($C146,'🔖 배합비 참조'!$B$1:$CE$1,0))/100,0),""))),"")</f>
        <v>0</v>
      </c>
      <c r="AD146" s="42" t="n">
        <f aca="false">IFERROR(IF($C146="","",IF($D146="","",IFERROR(ROUND($D146*INDEX('🔖 배합비 참조'!$B$2:$CE$83,MATCH("당류가공품(알룰로스,에리스리톨,스테비올배당체혼합)",'🔖 배합비 참조'!$A$2:$A$83,0),MATCH($C146,'🔖 배합비 참조'!$B$1:$CE$1,0))/100,0),""))),"")</f>
        <v>0</v>
      </c>
      <c r="AE146" s="42" t="n">
        <f aca="false">IFERROR(IF($C146="","",IF($D146="","",IFERROR(ROUND($D146*INDEX('🔖 배합비 참조'!$B$2:$CE$83,MATCH("당류가공품(알룰로스제로파우더)",'🔖 배합비 참조'!$A$2:$A$83,0),MATCH($C146,'🔖 배합비 참조'!$B$1:$CE$1,0))/100,0),""))),"")</f>
        <v>0</v>
      </c>
      <c r="AF146" s="42" t="n">
        <f aca="false">IFERROR(IF($C146="","",IF($D146="","",IFERROR(ROUND($D146*INDEX('🔖 배합비 참조'!$B$2:$CE$83,MATCH("당절임(완두배기)",'🔖 배합비 참조'!$A$2:$A$83,0),MATCH($C146,'🔖 배합비 참조'!$B$1:$CE$1,0))/100,0),""))),"")</f>
        <v>0</v>
      </c>
      <c r="AG146" s="42" t="n">
        <f aca="false">IFERROR(IF($C146="","",IF($D146="","",IFERROR(ROUND($D146*INDEX('🔖 배합비 참조'!$B$2:$CE$83,MATCH("대추농축액",'🔖 배합비 참조'!$A$2:$A$83,0),MATCH($C146,'🔖 배합비 참조'!$B$1:$CE$1,0))/100,0),""))),"")</f>
        <v>0</v>
      </c>
      <c r="AH146" s="42" t="n">
        <f aca="false">IFERROR(IF($C146="","",IF($D146="","",IFERROR(ROUND($D146*INDEX('🔖 배합비 참조'!$B$2:$CE$83,MATCH("대추채(국내산)",'🔖 배합비 참조'!$A$2:$A$83,0),MATCH($C146,'🔖 배합비 참조'!$B$1:$CE$1,0))/100,0),""))),"")</f>
        <v>0</v>
      </c>
      <c r="AI146" s="42" t="n">
        <f aca="false">IFERROR(IF($C146="","",IF($D146="","",IFERROR(ROUND($D146*INDEX('🔖 배합비 참조'!$B$2:$CE$83,MATCH("동부(미얀마산)",'🔖 배합비 참조'!$A$2:$A$83,0),MATCH($C146,'🔖 배합비 참조'!$B$1:$CE$1,0))/100,0),""))),"")</f>
        <v>0</v>
      </c>
      <c r="AJ146" s="42" t="n">
        <f aca="false">IFERROR(IF($C146="","",IF($D146="","",IFERROR(ROUND($D146*INDEX('🔖 배합비 참조'!$B$2:$CE$83,MATCH("두류가공품(백옥앙금)",'🔖 배합비 참조'!$A$2:$A$83,0),MATCH($C146,'🔖 배합비 참조'!$B$1:$CE$1,0))/100,0),""))),"")</f>
        <v>0</v>
      </c>
      <c r="AK146" s="42" t="n">
        <f aca="false">IFERROR(IF($C146="","",IF($D146="","",IFERROR(ROUND($D146*INDEX('🔖 배합비 참조'!$B$2:$CE$83,MATCH("두류가공품(콩고물)",'🔖 배합비 참조'!$A$2:$A$83,0),MATCH($C146,'🔖 배합비 참조'!$B$1:$CE$1,0))/100,0),""))),"")</f>
        <v>0</v>
      </c>
      <c r="AL146" s="42" t="n">
        <f aca="false">IFERROR(IF($C146="","",IF($D146="","",IFERROR(ROUND($D146*INDEX('🔖 배합비 참조'!$B$2:$CE$83,MATCH("두류가공품(통팥고물)",'🔖 배합비 참조'!$A$2:$A$83,0),MATCH($C146,'🔖 배합비 참조'!$B$1:$CE$1,0))/100,0),""))),"")</f>
        <v>0</v>
      </c>
      <c r="AM146" s="42" t="n">
        <f aca="false">IFERROR(IF($C146="","",IF($D146="","",IFERROR(ROUND($D146*INDEX('🔖 배합비 참조'!$B$2:$CE$83,MATCH("딸기레진",'🔖 배합비 참조'!$A$2:$A$83,0),MATCH($C146,'🔖 배합비 참조'!$B$1:$CE$1,0))/100,0),""))),"")</f>
        <v>0</v>
      </c>
      <c r="AN146" s="42" t="n">
        <f aca="false">IFERROR(IF($C146="","",IF($D146="","",IFERROR(ROUND($D146*INDEX('🔖 배합비 참조'!$B$2:$CE$83,MATCH("딸기분말(스트로우베리에이드(분말))",'🔖 배합비 참조'!$A$2:$A$83,0),MATCH($C146,'🔖 배합비 참조'!$B$1:$CE$1,0))/100,0),""))),"")</f>
        <v>0</v>
      </c>
      <c r="AO146" s="42" t="n">
        <f aca="false">IFERROR(IF($C146="","",IF($D146="","",IFERROR(ROUND($D146*INDEX('🔖 배합비 참조'!$B$2:$CE$83,MATCH("마스카포네치즈",'🔖 배합비 참조'!$A$2:$A$83,0),MATCH($C146,'🔖 배합비 참조'!$B$1:$CE$1,0))/100,0),""))),"")</f>
        <v>0</v>
      </c>
      <c r="AP146" s="42" t="n">
        <f aca="false">IFERROR(IF($C146="","",IF($D146="","",IFERROR(ROUND($D146*INDEX('🔖 배합비 참조'!$B$2:$CE$83,MATCH("마카다미아분태(호주산)",'🔖 배합비 참조'!$A$2:$A$83,0),MATCH($C146,'🔖 배합비 참조'!$B$1:$CE$1,0))/100,0),""))),"")</f>
        <v>0</v>
      </c>
      <c r="AQ146" s="42" t="n">
        <f aca="false">IFERROR(IF($C146="","",IF($D146="","",IFERROR(ROUND($D146*INDEX('🔖 배합비 참조'!$B$2:$CE$83,MATCH("멥쌀(국내산)",'🔖 배합비 참조'!$A$2:$A$83,0),MATCH($C146,'🔖 배합비 참조'!$B$1:$CE$1,0))/100,0),""))),"")</f>
        <v>15</v>
      </c>
      <c r="AR146" s="42" t="n">
        <f aca="false">IFERROR(IF($C146="","",IF($D146="","",IFERROR(ROUND($D146*INDEX('🔖 배합비 참조'!$B$2:$CE$83,MATCH("모시잎(국내산)",'🔖 배합비 참조'!$A$2:$A$83,0),MATCH($C146,'🔖 배합비 참조'!$B$1:$CE$1,0))/100,0),""))),"")</f>
        <v>0</v>
      </c>
      <c r="AS146" s="42" t="n">
        <f aca="false">IFERROR(IF($C146="","",IF($D146="","",IFERROR(ROUND($D146*INDEX('🔖 배합비 참조'!$B$2:$CE$83,MATCH("물엿(저당물엿)",'🔖 배합비 참조'!$A$2:$A$83,0),MATCH($C146,'🔖 배합비 참조'!$B$1:$CE$1,0))/100,0),""))),"")</f>
        <v>0</v>
      </c>
      <c r="AT146" s="42" t="n">
        <f aca="false">IFERROR(IF($C146="","",IF($D146="","",IFERROR(ROUND($D146*INDEX('🔖 배합비 참조'!$B$2:$CE$83,MATCH("밤다이스",'🔖 배합비 참조'!$A$2:$A$83,0),MATCH($C146,'🔖 배합비 참조'!$B$1:$CE$1,0))/100,0),""))),"")</f>
        <v>0</v>
      </c>
      <c r="AU146" s="42" t="n">
        <f aca="false">IFERROR(IF($C146="","",IF($D146="","",IFERROR(ROUND($D146*INDEX('🔖 배합비 참조'!$B$2:$CE$83,MATCH("변성전분(타피오카전분)",'🔖 배합비 참조'!$A$2:$A$83,0),MATCH($C146,'🔖 배합비 참조'!$B$1:$CE$1,0))/100,0),""))),"")</f>
        <v>0</v>
      </c>
      <c r="AV146" s="42" t="n">
        <f aca="false">IFERROR(IF($C146="","",IF($D146="","",IFERROR(ROUND($D146*INDEX('🔖 배합비 참조'!$B$2:$CE$83,MATCH("복음땅콩분태",'🔖 배합비 참조'!$A$2:$A$83,0),MATCH($C146,'🔖 배합비 참조'!$B$1:$CE$1,0))/100,0),""))),"")</f>
        <v>0</v>
      </c>
      <c r="AW146" s="42" t="n">
        <f aca="false">IFERROR(IF($C146="","",IF($D146="","",IFERROR(ROUND($D146*INDEX('🔖 배합비 참조'!$B$2:$CE$83,MATCH("사양벌꿀(국내산)",'🔖 배합비 참조'!$A$2:$A$83,0),MATCH($C146,'🔖 배합비 참조'!$B$1:$CE$1,0))/100,0),""))),"")</f>
        <v>0</v>
      </c>
      <c r="AX146" s="42" t="n">
        <f aca="false">IFERROR(IF($C146="","",IF($D146="","",IFERROR(ROUND($D146*INDEX('🔖 배합비 참조'!$B$2:$CE$83,MATCH("생크림",'🔖 배합비 참조'!$A$2:$A$83,0),MATCH($C146,'🔖 배합비 참조'!$B$1:$CE$1,0))/100,0),""))),"")</f>
        <v>0</v>
      </c>
      <c r="AY146" s="42" t="n">
        <f aca="false">IFERROR(IF($C146="","",IF($D146="","",IFERROR(ROUND($D146*INDEX('🔖 배합비 참조'!$B$2:$CE$83,MATCH("서양호박(국내산,뉴질랜드산)",'🔖 배합비 참조'!$A$2:$A$83,0),MATCH($C146,'🔖 배합비 참조'!$B$1:$CE$1,0))/100,0),""))),"")</f>
        <v>0</v>
      </c>
      <c r="AZ146" s="42" t="n">
        <f aca="false">IFERROR(IF($C146="","",IF($D146="","",IFERROR(ROUND($D146*INDEX('🔖 배합비 참조'!$B$2:$CE$83,MATCH("설탕",'🔖 배합비 참조'!$A$2:$A$83,0),MATCH($C146,'🔖 배합비 참조'!$B$1:$CE$1,0))/100,0),""))),"")</f>
        <v>2</v>
      </c>
      <c r="BA146" s="42" t="n">
        <f aca="false">IFERROR(IF($C146="","",IF($D146="","",IFERROR(ROUND($D146*INDEX('🔖 배합비 참조'!$B$2:$CE$83,MATCH("스트로우베리 에이드 후레쉬",'🔖 배합비 참조'!$A$2:$A$83,0),MATCH($C146,'🔖 배합비 참조'!$B$1:$CE$1,0))/100,0),""))),"")</f>
        <v>0</v>
      </c>
      <c r="BB146" s="42" t="n">
        <f aca="false">IFERROR(IF($C146="","",IF($D146="","",IFERROR(ROUND($D146*INDEX('🔖 배합비 참조'!$B$2:$CE$83,MATCH("식물성기름혼합제제(분홍)",'🔖 배합비 참조'!$A$2:$A$83,0),MATCH($C146,'🔖 배합비 참조'!$B$1:$CE$1,0))/100,0),""))),"")</f>
        <v>0</v>
      </c>
      <c r="BC146" s="42" t="n">
        <f aca="false">IFERROR(IF($C146="","",IF($D146="","",IFERROR(ROUND($D146*INDEX('🔖 배합비 참조'!$B$2:$CE$83,MATCH("식물성기름혼합제제(초록)",'🔖 배합비 참조'!$A$2:$A$83,0),MATCH($C146,'🔖 배합비 참조'!$B$1:$CE$1,0))/100,0),""))),"")</f>
        <v>0</v>
      </c>
      <c r="BD146" s="42" t="n">
        <f aca="false">IFERROR(IF($C146="","",IF($D146="","",IFERROR(ROUND($D146*INDEX('🔖 배합비 참조'!$B$2:$CE$83,MATCH("식물성기름혼합제제(황색)",'🔖 배합비 참조'!$A$2:$A$83,0),MATCH($C146,'🔖 배합비 참조'!$B$1:$CE$1,0))/100,0),""))),"")</f>
        <v>0</v>
      </c>
      <c r="BE146" s="42" t="n">
        <f aca="false">IFERROR(IF($C146="","",IF($D146="","",IFERROR(ROUND($D146*INDEX('🔖 배합비 참조'!$B$2:$CE$83,MATCH("쑥가루(국내산)",'🔖 배합비 참조'!$A$2:$A$83,0),MATCH($C146,'🔖 배합비 참조'!$B$1:$CE$1,0))/100,0),""))),"")</f>
        <v>0</v>
      </c>
      <c r="BF146" s="42" t="n">
        <f aca="false">IFERROR(IF($C146="","",IF($D146="","",IFERROR(ROUND($D146*INDEX('🔖 배합비 참조'!$B$2:$CE$83,MATCH("아몬드슬라이스",'🔖 배합비 참조'!$A$2:$A$83,0),MATCH($C146,'🔖 배합비 참조'!$B$1:$CE$1,0))/100,0),""))),"")</f>
        <v>0</v>
      </c>
      <c r="BG146" s="42" t="n">
        <f aca="false">IFERROR(IF($C146="","",IF($D146="","",IFERROR(ROUND($D146*INDEX('🔖 배합비 참조'!$B$2:$CE$83,MATCH("알룰로오스(국내산)",'🔖 배합비 참조'!$A$2:$A$83,0),MATCH($C146,'🔖 배합비 참조'!$B$1:$CE$1,0))/100,0),""))),"")</f>
        <v>0</v>
      </c>
      <c r="BH146" s="42" t="n">
        <f aca="false">IFERROR(IF($C146="","",IF($D146="","",IFERROR(ROUND($D146*INDEX('🔖 배합비 참조'!$B$2:$CE$83,MATCH("연유",'🔖 배합비 참조'!$A$2:$A$83,0),MATCH($C146,'🔖 배합비 참조'!$B$1:$CE$1,0))/100,0),""))),"")</f>
        <v>0</v>
      </c>
      <c r="BI146" s="42" t="n">
        <f aca="false">IFERROR(IF($C146="","",IF($D146="","",IFERROR(ROUND($D146*INDEX('🔖 배합비 참조'!$B$2:$CE$83,MATCH("옥수수전분",'🔖 배합비 참조'!$A$2:$A$83,0),MATCH($C146,'🔖 배합비 참조'!$B$1:$CE$1,0))/100,0),""))),"")</f>
        <v>0</v>
      </c>
      <c r="BJ146" s="42" t="n">
        <f aca="false">IFERROR(IF($C146="","",IF($D146="","",IFERROR(ROUND($D146*INDEX('🔖 배합비 참조'!$B$2:$CE$83,MATCH("완두배기",'🔖 배합비 참조'!$A$2:$A$83,0),MATCH($C146,'🔖 배합비 참조'!$B$1:$CE$1,0))/100,0),""))),"")</f>
        <v>0</v>
      </c>
      <c r="BK146" s="42" t="n">
        <f aca="false">IFERROR(IF($C146="","",IF($D146="","",IFERROR(ROUND($D146*INDEX('🔖 배합비 참조'!$B$2:$CE$83,MATCH("우유(국내산)",'🔖 배합비 참조'!$A$2:$A$83,0),MATCH($C146,'🔖 배합비 참조'!$B$1:$CE$1,0))/100,0),""))),"")</f>
        <v>0</v>
      </c>
      <c r="BL146" s="42" t="n">
        <f aca="false">IFERROR(IF($C146="","",IF($D146="","",IFERROR(ROUND($D146*INDEX('🔖 배합비 참조'!$B$2:$CE$83,MATCH("자색고구마가루(중국산)",'🔖 배합비 참조'!$A$2:$A$83,0),MATCH($C146,'🔖 배합비 참조'!$B$1:$CE$1,0))/100,0),""))),"")</f>
        <v>0</v>
      </c>
      <c r="BM146" s="42" t="n">
        <f aca="false">IFERROR(IF($C146="","",IF($D146="","",IFERROR(ROUND($D146*INDEX('🔖 배합비 참조'!$B$2:$CE$83,MATCH("자연치즈(체다치즈)",'🔖 배합비 참조'!$A$2:$A$83,0),MATCH($C146,'🔖 배합비 참조'!$B$1:$CE$1,0))/100,0),""))),"")</f>
        <v>0</v>
      </c>
      <c r="BN146" s="42" t="n">
        <f aca="false">IFERROR(IF($C146="","",IF($D146="","",IFERROR(ROUND($D146*INDEX('🔖 배합비 참조'!$B$2:$CE$83,MATCH("정제수",'🔖 배합비 참조'!$A$2:$A$83,0),MATCH($C146,'🔖 배합비 참조'!$B$1:$CE$1,0))/100,0),""))),"")</f>
        <v>4</v>
      </c>
      <c r="BO146" s="42" t="n">
        <f aca="false">IFERROR(IF($C146="","",IF($D146="","",IFERROR(ROUND($D146*INDEX('🔖 배합비 참조'!$B$2:$CE$83,MATCH("젤라틴",'🔖 배합비 참조'!$A$2:$A$83,0),MATCH($C146,'🔖 배합비 참조'!$B$1:$CE$1,0))/100,0),""))),"")</f>
        <v>0</v>
      </c>
      <c r="BP146" s="42" t="n">
        <f aca="false">IFERROR(IF($C146="","",IF($D146="","",IFERROR(ROUND($D146*INDEX('🔖 배합비 참조'!$B$2:$CE$83,MATCH("조림류(백옥앙금)",'🔖 배합비 참조'!$A$2:$A$83,0),MATCH($C146,'🔖 배합비 참조'!$B$1:$CE$1,0))/100,0),""))),"")</f>
        <v>0</v>
      </c>
      <c r="BQ146" s="42" t="n">
        <f aca="false">IFERROR(IF($C146="","",IF($D146="","",IFERROR(ROUND($D146*INDEX('🔖 배합비 참조'!$B$2:$CE$83,MATCH("조림류(통팥앙금)",'🔖 배합비 참조'!$A$2:$A$83,0),MATCH($C146,'🔖 배합비 참조'!$B$1:$CE$1,0))/100,0),""))),"")</f>
        <v>0</v>
      </c>
      <c r="BR146" s="42" t="n">
        <f aca="false">IFERROR(IF($C146="","",IF($D146="","",IFERROR(ROUND($D146*INDEX('🔖 배합비 참조'!$B$2:$CE$83,MATCH("준초콜릿(외국산)",'🔖 배합비 참조'!$A$2:$A$83,0),MATCH($C146,'🔖 배합비 참조'!$B$1:$CE$1,0))/100,0),""))),"")</f>
        <v>0</v>
      </c>
      <c r="BS146" s="42" t="n">
        <f aca="false">IFERROR(IF($C146="","",IF($D146="","",IFERROR(ROUND($D146*INDEX('🔖 배합비 참조'!$B$2:$CE$83,MATCH("중력분",'🔖 배합비 참조'!$A$2:$A$83,0),MATCH($C146,'🔖 배합비 참조'!$B$1:$CE$1,0))/100,0),""))),"")</f>
        <v>0</v>
      </c>
      <c r="BT146" s="42" t="n">
        <f aca="false">IFERROR(IF($C146="","",IF($D146="","",IFERROR(ROUND($D146*INDEX('🔖 배합비 참조'!$B$2:$CE$83,MATCH("참깨(인도산,나이지리아산,탄자니아산,미얀마산)",'🔖 배합비 참조'!$A$2:$A$83,0),MATCH($C146,'🔖 배합비 참조'!$B$1:$CE$1,0))/100,0),""))),"")</f>
        <v>0</v>
      </c>
      <c r="BU146" s="42" t="n">
        <f aca="false">IFERROR(IF($C146="","",IF($D146="","",IFERROR(ROUND($D146*INDEX('🔖 배합비 참조'!$B$2:$CE$83,MATCH("찹쌀(국내산)",'🔖 배합비 참조'!$A$2:$A$83,0),MATCH($C146,'🔖 배합비 참조'!$B$1:$CE$1,0))/100,0),""))),"")</f>
        <v>0</v>
      </c>
      <c r="BV146" s="42" t="n">
        <f aca="false">IFERROR(IF($C146="","",IF($D146="","",IFERROR(ROUND($D146*INDEX('🔖 배합비 참조'!$B$2:$CE$83,MATCH("천일염",'🔖 배합비 참조'!$A$2:$A$83,0),MATCH($C146,'🔖 배합비 참조'!$B$1:$CE$1,0))/100,0),""))),"")</f>
        <v>0</v>
      </c>
      <c r="BW146" s="42" t="n">
        <f aca="false">IFERROR(IF($C146="","",IF($D146="","",IFERROR(ROUND($D146*INDEX('🔖 배합비 참조'!$B$2:$CE$83,MATCH("치즈 [크림치즈]",'🔖 배합비 참조'!$A$2:$A$83,0),MATCH($C146,'🔖 배합비 참조'!$B$1:$CE$1,0))/100,0),""))),"")</f>
        <v>0</v>
      </c>
      <c r="BX146" s="42" t="n">
        <f aca="false">IFERROR(IF($C146="","",IF($D146="","",IFERROR(ROUND($D146*INDEX('🔖 배합비 참조'!$B$2:$CE$83,MATCH("코코아가공품류(코코아분말)",'🔖 배합비 참조'!$A$2:$A$83,0),MATCH($C146,'🔖 배합비 참조'!$B$1:$CE$1,0))/100,0),""))),"")</f>
        <v>0</v>
      </c>
      <c r="BY146" s="42" t="n">
        <f aca="false">IFERROR(IF($C146="","",IF($D146="","",IFERROR(ROUND($D146*INDEX('🔖 배합비 참조'!$B$2:$CE$83,MATCH("콩기름(대두유)",'🔖 배합비 참조'!$A$2:$A$83,0),MATCH($C146,'🔖 배합비 참조'!$B$1:$CE$1,0))/100,0),""))),"")</f>
        <v>0</v>
      </c>
      <c r="BZ146" s="42" t="n">
        <f aca="false">IFERROR(IF($C146="","",IF($D146="","",IFERROR(ROUND($D146*INDEX('🔖 배합비 참조'!$B$2:$CE$83,MATCH("해바라기씨앗",'🔖 배합비 참조'!$A$2:$A$83,0),MATCH($C146,'🔖 배합비 참조'!$B$1:$CE$1,0))/100,0),""))),"")</f>
        <v>0</v>
      </c>
      <c r="CA146" s="42" t="n">
        <f aca="false">IFERROR(IF($C146="","",IF($D146="","",IFERROR(ROUND($D146*INDEX('🔖 배합비 참조'!$B$2:$CE$83,MATCH("현미(국내산)",'🔖 배합비 참조'!$A$2:$A$83,0),MATCH($C146,'🔖 배합비 참조'!$B$1:$CE$1,0))/100,0),""))),"")</f>
        <v>0</v>
      </c>
      <c r="CB146" s="42" t="n">
        <f aca="false">IFERROR(IF($C146="","",IF($D146="","",IFERROR(ROUND($D146*INDEX('🔖 배합비 참조'!$B$2:$CE$83,MATCH("현미멥쌀(국내산)",'🔖 배합비 참조'!$A$2:$A$83,0),MATCH($C146,'🔖 배합비 참조'!$B$1:$CE$1,0))/100,0),""))),"")</f>
        <v>0</v>
      </c>
      <c r="CC146" s="42" t="n">
        <f aca="false">IFERROR(IF($C146="","",IF($D146="","",IFERROR(ROUND($D146*INDEX('🔖 배합비 참조'!$B$2:$CE$83,MATCH("호두분태(미국산)",'🔖 배합비 참조'!$A$2:$A$83,0),MATCH($C146,'🔖 배합비 참조'!$B$1:$CE$1,0))/100,0),""))),"")</f>
        <v>0</v>
      </c>
      <c r="CD146" s="42" t="n">
        <f aca="false">IFERROR(IF($C146="","",IF($D146="","",IFERROR(ROUND($D146*INDEX('🔖 배합비 참조'!$B$2:$CE$83,MATCH("호박씨앗(외국산)",'🔖 배합비 참조'!$A$2:$A$83,0),MATCH($C146,'🔖 배합비 참조'!$B$1:$CE$1,0))/100,0),""))),"")</f>
        <v>0</v>
      </c>
      <c r="CE146" s="42" t="n">
        <f aca="false">IFERROR(IF($C146="","",IF($D146="","",IFERROR(ROUND($D146*INDEX('🔖 배합비 참조'!$B$2:$CE$83,MATCH("혼합제제(떡용에스텔)",'🔖 배합비 참조'!$A$2:$A$83,0),MATCH($C146,'🔖 배합비 참조'!$B$1:$CE$1,0))/100,0),""))),"")</f>
        <v>0</v>
      </c>
      <c r="CF146" s="42" t="n">
        <f aca="false">IFERROR(IF($C146="","",IF($D146="","",IFERROR(ROUND($D146*INDEX('🔖 배합비 참조'!$B$2:$CE$83,MATCH("혼합제제(스테비아)",'🔖 배합비 참조'!$A$2:$A$83,0),MATCH($C146,'🔖 배합비 참조'!$B$1:$CE$1,0))/100,0),""))),"")</f>
        <v>0</v>
      </c>
      <c r="CG146" s="42" t="n">
        <f aca="false">IFERROR(IF($C146="","",IF($D146="","",IFERROR(ROUND($D146*INDEX('🔖 배합비 참조'!$B$2:$CE$83,MATCH("화이트초콜릿",'🔖 배합비 참조'!$A$2:$A$83,0),MATCH($C146,'🔖 배합비 참조'!$B$1:$CE$1,0))/100,0),""))),"")</f>
        <v>0</v>
      </c>
      <c r="CH146" s="42" t="n">
        <f aca="false">IFERROR(IF($C146="","",IF($D146="","",IFERROR(ROUND($D146*INDEX('🔖 배합비 참조'!$B$2:$CE$83,MATCH("흑미찹쌀(국내산)",'🔖 배합비 참조'!$A$2:$A$83,0),MATCH($C146,'🔖 배합비 참조'!$B$1:$CE$1,0))/100,0),""))),"")</f>
        <v>0</v>
      </c>
      <c r="CI146" s="42" t="n">
        <f aca="false">IFERROR(IF($C146="","",IF($D146="","",IFERROR(ROUND($D146*INDEX('🔖 배합비 참조'!$B$2:$CE$83,MATCH("찰옥수수전분(미국산)",'🔖 배합비 참조'!$A$2:$A$83,0),MATCH($C146,'🔖 배합비 참조'!$B$1:$CE$1,0))/100,0),""))),"")</f>
        <v>0</v>
      </c>
      <c r="CJ146" s="40"/>
      <c r="CL146" s="1" t="s">
        <v>239</v>
      </c>
    </row>
    <row r="147" customFormat="false" ht="18" hidden="false" customHeight="true" outlineLevel="0" collapsed="false">
      <c r="A147" s="35" t="n">
        <v>143</v>
      </c>
      <c r="B147" s="36" t="n">
        <v>46021</v>
      </c>
      <c r="C147" s="37" t="s">
        <v>206</v>
      </c>
      <c r="D147" s="38" t="n">
        <v>140</v>
      </c>
      <c r="E147" s="13"/>
      <c r="F147" s="13"/>
      <c r="G147" s="39" t="n">
        <f aca="false">IFERROR(IF($C147="","",IF($D147="","",IFERROR(ROUND($D147*INDEX('🔖 배합비 참조'!$B$2:$CE$83,MATCH("간장",'🔖 배합비 참조'!$A$2:$A$83,0),MATCH($C147,'🔖 배합비 참조'!$B$1:$CE$1,0))/100,0),""))),"")</f>
        <v>0</v>
      </c>
      <c r="H147" s="39" t="n">
        <f aca="false">IFERROR(IF($C147="","",IF($D147="","",IFERROR(ROUND($D147*INDEX('🔖 배합비 참조'!$B$2:$CE$83,MATCH("강낭콩((울타리콩))",'🔖 배합비 참조'!$A$2:$A$83,0),MATCH($C147,'🔖 배합비 참조'!$B$1:$CE$1,0))/100,0),""))),"")</f>
        <v>0</v>
      </c>
      <c r="I147" s="39" t="n">
        <f aca="false">IFERROR(IF($C147="","",IF($D147="","",IFERROR(ROUND($D147*INDEX('🔖 배합비 참조'!$B$2:$CE$83,MATCH("건조딸기다이스(외국산)",'🔖 배합비 참조'!$A$2:$A$83,0),MATCH($C147,'🔖 배합비 참조'!$B$1:$CE$1,0))/100,0),""))),"")</f>
        <v>0</v>
      </c>
      <c r="J147" s="39" t="n">
        <f aca="false">IFERROR(IF($C147="","",IF($D147="","",IFERROR(ROUND($D147*INDEX('🔖 배합비 참조'!$B$2:$CE$83,MATCH("건포도",'🔖 배합비 참조'!$A$2:$A$83,0),MATCH($C147,'🔖 배합비 참조'!$B$1:$CE$1,0))/100,0),""))),"")</f>
        <v>0</v>
      </c>
      <c r="K147" s="39" t="n">
        <f aca="false">IFERROR(IF($C147="","",IF($D147="","",IFERROR(ROUND($D147*INDEX('🔖 배합비 참조'!$B$2:$CE$83,MATCH("건호박채(중국산)",'🔖 배합비 참조'!$A$2:$A$83,0),MATCH($C147,'🔖 배합비 참조'!$B$1:$CE$1,0))/100,0),""))),"")</f>
        <v>0</v>
      </c>
      <c r="L147" s="39" t="n">
        <f aca="false">IFERROR(IF($C147="","",IF($D147="","",IFERROR(ROUND($D147*INDEX('🔖 배합비 참조'!$B$2:$CE$83,MATCH("검정깨(흑임자)",'🔖 배합비 참조'!$A$2:$A$83,0),MATCH($C147,'🔖 배합비 참조'!$B$1:$CE$1,0))/100,0),""))),"")</f>
        <v>0</v>
      </c>
      <c r="M147" s="39" t="n">
        <f aca="false">IFERROR(IF($C147="","",IF($D147="","",IFERROR(ROUND($D147*INDEX('🔖 배합비 참조'!$B$2:$CE$83,MATCH("검정콩",'🔖 배합비 참조'!$A$2:$A$83,0),MATCH($C147,'🔖 배합비 참조'!$B$1:$CE$1,0))/100,0),""))),"")</f>
        <v>0</v>
      </c>
      <c r="N147" s="39" t="n">
        <f aca="false">IFERROR(IF($C147="","",IF($D147="","",IFERROR(ROUND($D147*INDEX('🔖 배합비 참조'!$B$2:$CE$83,MATCH("계피가루",'🔖 배합비 참조'!$A$2:$A$83,0),MATCH($C147,'🔖 배합비 참조'!$B$1:$CE$1,0))/100,0),""))),"")</f>
        <v>0</v>
      </c>
      <c r="O147" s="39" t="n">
        <f aca="false">IFERROR(IF($C147="","",IF($D147="","",IFERROR(ROUND($D147*INDEX('🔖 배합비 참조'!$B$2:$CE$83,MATCH("고구마가루",'🔖 배합비 참조'!$A$2:$A$83,0),MATCH($C147,'🔖 배합비 참조'!$B$1:$CE$1,0))/100,0),""))),"")</f>
        <v>0</v>
      </c>
      <c r="P147" s="39" t="n">
        <f aca="false">IFERROR(IF($C147="","",IF($D147="","",IFERROR(ROUND($D147*INDEX('🔖 배합비 참조'!$B$2:$CE$83,MATCH("고구마무스",'🔖 배합비 참조'!$A$2:$A$83,0),MATCH($C147,'🔖 배합비 참조'!$B$1:$CE$1,0))/100,0),""))),"")</f>
        <v>0</v>
      </c>
      <c r="Q147" s="39" t="n">
        <f aca="false">IFERROR(IF($C147="","",IF($D147="","",IFERROR(ROUND($D147*INDEX('🔖 배합비 참조'!$B$2:$CE$83,MATCH("고려엉겅퀴((곤드레)국내산)",'🔖 배합비 참조'!$A$2:$A$83,0),MATCH($C147,'🔖 배합비 참조'!$B$1:$CE$1,0))/100,0),""))),"")</f>
        <v>0</v>
      </c>
      <c r="R147" s="39" t="n">
        <f aca="false">IFERROR(IF($C147="","",IF($D147="","",IFERROR(ROUND($D147*INDEX('🔖 배합비 참조'!$B$2:$CE$83,MATCH("기타가공품(복분자가루)",'🔖 배합비 참조'!$A$2:$A$83,0),MATCH($C147,'🔖 배합비 참조'!$B$1:$CE$1,0))/100,0),""))),"")</f>
        <v>0</v>
      </c>
      <c r="S147" s="39" t="n">
        <f aca="false">IFERROR(IF($C147="","",IF($D147="","",IFERROR(ROUND($D147*INDEX('🔖 배합비 참조'!$B$2:$CE$83,MATCH("기타가공품(슈퍼소프트엠)",'🔖 배합비 참조'!$A$2:$A$83,0),MATCH($C147,'🔖 배합비 참조'!$B$1:$CE$1,0))/100,0),""))),"")</f>
        <v>0</v>
      </c>
      <c r="T147" s="39" t="n">
        <f aca="false">IFERROR(IF($C147="","",IF($D147="","",IFERROR(ROUND($D147*INDEX('🔖 배합비 참조'!$B$2:$CE$83,MATCH("기타가공품(파인소프트 E-티)",'🔖 배합비 참조'!$A$2:$A$83,0),MATCH($C147,'🔖 배합비 참조'!$B$1:$CE$1,0))/100,0),""))),"")</f>
        <v>0</v>
      </c>
      <c r="U147" s="39" t="n">
        <f aca="false">IFERROR(IF($C147="","",IF($D147="","",IFERROR(ROUND($D147*INDEX('🔖 배합비 참조'!$B$2:$CE$83,MATCH("기타가공품(프리미엄카스테라가루)",'🔖 배합비 참조'!$A$2:$A$83,0),MATCH($C147,'🔖 배합비 참조'!$B$1:$CE$1,0))/100,0),""))),"")</f>
        <v>0</v>
      </c>
      <c r="V147" s="39" t="n">
        <f aca="false">IFERROR(IF($C147="","",IF($D147="","",IFERROR(ROUND($D147*INDEX('🔖 배합비 참조'!$B$2:$CE$83,MATCH("기타가공품(흑임자가루)",'🔖 배합비 참조'!$A$2:$A$83,0),MATCH($C147,'🔖 배합비 참조'!$B$1:$CE$1,0))/100,0),""))),"")</f>
        <v>0</v>
      </c>
      <c r="W147" s="39" t="n">
        <f aca="false">IFERROR(IF($C147="","",IF($D147="","",IFERROR(ROUND($D147*INDEX('🔖 배합비 참조'!$B$2:$CE$83,MATCH("기타설탕(흑설탕)",'🔖 배합비 참조'!$A$2:$A$83,0),MATCH($C147,'🔖 배합비 참조'!$B$1:$CE$1,0))/100,0),""))),"")</f>
        <v>0</v>
      </c>
      <c r="X147" s="39" t="n">
        <f aca="false">IFERROR(IF($C147="","",IF($D147="","",IFERROR(ROUND($D147*INDEX('🔖 배합비 참조'!$B$2:$CE$83,MATCH("냉동쑥(국내산)",'🔖 배합비 참조'!$A$2:$A$83,0),MATCH($C147,'🔖 배합비 참조'!$B$1:$CE$1,0))/100,0),""))),"")</f>
        <v>0</v>
      </c>
      <c r="Y147" s="39" t="n">
        <f aca="false">IFERROR(IF($C147="","",IF($D147="","",IFERROR(ROUND($D147*INDEX('🔖 배합비 참조'!$B$2:$CE$83,MATCH("냉동증숙고구마(중국산)",'🔖 배합비 참조'!$A$2:$A$83,0),MATCH($C147,'🔖 배합비 참조'!$B$1:$CE$1,0))/100,0),""))),"")</f>
        <v>0</v>
      </c>
      <c r="Z147" s="39" t="n">
        <f aca="false">IFERROR(IF($C147="","",IF($D147="","",IFERROR(ROUND($D147*INDEX('🔖 배합비 참조'!$B$2:$CE$83,MATCH("녹차가루",'🔖 배합비 참조'!$A$2:$A$83,0),MATCH($C147,'🔖 배합비 참조'!$B$1:$CE$1,0))/100,0),""))),"")</f>
        <v>0</v>
      </c>
      <c r="AA147" s="39" t="n">
        <f aca="false">IFERROR(IF($C147="","",IF($D147="","",IFERROR(ROUND($D147*INDEX('🔖 배합비 참조'!$B$2:$CE$83,MATCH("다크초콜릿 컴파운드칩",'🔖 배합비 참조'!$A$2:$A$83,0),MATCH($C147,'🔖 배합비 참조'!$B$1:$CE$1,0))/100,0),""))),"")</f>
        <v>0</v>
      </c>
      <c r="AB147" s="39" t="n">
        <f aca="false">IFERROR(IF($C147="","",IF($D147="","",IFERROR(ROUND($D147*INDEX('🔖 배합비 참조'!$B$2:$CE$83,MATCH("단호박분말(중국산)",'🔖 배합비 참조'!$A$2:$A$83,0),MATCH($C147,'🔖 배합비 참조'!$B$1:$CE$1,0))/100,0),""))),"")</f>
        <v>0</v>
      </c>
      <c r="AC147" s="39" t="n">
        <f aca="false">IFERROR(IF($C147="","",IF($D147="","",IFERROR(ROUND($D147*INDEX('🔖 배합비 참조'!$B$2:$CE$83,MATCH("당류가공품(단호박농축액)",'🔖 배합비 참조'!$A$2:$A$83,0),MATCH($C147,'🔖 배합비 참조'!$B$1:$CE$1,0))/100,0),""))),"")</f>
        <v>0</v>
      </c>
      <c r="AD147" s="39" t="n">
        <f aca="false">IFERROR(IF($C147="","",IF($D147="","",IFERROR(ROUND($D147*INDEX('🔖 배합비 참조'!$B$2:$CE$83,MATCH("당류가공품(알룰로스,에리스리톨,스테비올배당체혼합)",'🔖 배합비 참조'!$A$2:$A$83,0),MATCH($C147,'🔖 배합비 참조'!$B$1:$CE$1,0))/100,0),""))),"")</f>
        <v>0</v>
      </c>
      <c r="AE147" s="39" t="n">
        <f aca="false">IFERROR(IF($C147="","",IF($D147="","",IFERROR(ROUND($D147*INDEX('🔖 배합비 참조'!$B$2:$CE$83,MATCH("당류가공품(알룰로스제로파우더)",'🔖 배합비 참조'!$A$2:$A$83,0),MATCH($C147,'🔖 배합비 참조'!$B$1:$CE$1,0))/100,0),""))),"")</f>
        <v>0</v>
      </c>
      <c r="AF147" s="39" t="n">
        <f aca="false">IFERROR(IF($C147="","",IF($D147="","",IFERROR(ROUND($D147*INDEX('🔖 배합비 참조'!$B$2:$CE$83,MATCH("당절임(완두배기)",'🔖 배합비 참조'!$A$2:$A$83,0),MATCH($C147,'🔖 배합비 참조'!$B$1:$CE$1,0))/100,0),""))),"")</f>
        <v>0</v>
      </c>
      <c r="AG147" s="39" t="n">
        <f aca="false">IFERROR(IF($C147="","",IF($D147="","",IFERROR(ROUND($D147*INDEX('🔖 배합비 참조'!$B$2:$CE$83,MATCH("대추농축액",'🔖 배합비 참조'!$A$2:$A$83,0),MATCH($C147,'🔖 배합비 참조'!$B$1:$CE$1,0))/100,0),""))),"")</f>
        <v>0</v>
      </c>
      <c r="AH147" s="39" t="n">
        <f aca="false">IFERROR(IF($C147="","",IF($D147="","",IFERROR(ROUND($D147*INDEX('🔖 배합비 참조'!$B$2:$CE$83,MATCH("대추채(국내산)",'🔖 배합비 참조'!$A$2:$A$83,0),MATCH($C147,'🔖 배합비 참조'!$B$1:$CE$1,0))/100,0),""))),"")</f>
        <v>0</v>
      </c>
      <c r="AI147" s="39" t="n">
        <f aca="false">IFERROR(IF($C147="","",IF($D147="","",IFERROR(ROUND($D147*INDEX('🔖 배합비 참조'!$B$2:$CE$83,MATCH("동부(미얀마산)",'🔖 배합비 참조'!$A$2:$A$83,0),MATCH($C147,'🔖 배합비 참조'!$B$1:$CE$1,0))/100,0),""))),"")</f>
        <v>0</v>
      </c>
      <c r="AJ147" s="39" t="n">
        <f aca="false">IFERROR(IF($C147="","",IF($D147="","",IFERROR(ROUND($D147*INDEX('🔖 배합비 참조'!$B$2:$CE$83,MATCH("두류가공품(백옥앙금)",'🔖 배합비 참조'!$A$2:$A$83,0),MATCH($C147,'🔖 배합비 참조'!$B$1:$CE$1,0))/100,0),""))),"")</f>
        <v>0</v>
      </c>
      <c r="AK147" s="39" t="n">
        <f aca="false">IFERROR(IF($C147="","",IF($D147="","",IFERROR(ROUND($D147*INDEX('🔖 배합비 참조'!$B$2:$CE$83,MATCH("두류가공품(콩고물)",'🔖 배합비 참조'!$A$2:$A$83,0),MATCH($C147,'🔖 배합비 참조'!$B$1:$CE$1,0))/100,0),""))),"")</f>
        <v>0</v>
      </c>
      <c r="AL147" s="39" t="n">
        <f aca="false">IFERROR(IF($C147="","",IF($D147="","",IFERROR(ROUND($D147*INDEX('🔖 배합비 참조'!$B$2:$CE$83,MATCH("두류가공품(통팥고물)",'🔖 배합비 참조'!$A$2:$A$83,0),MATCH($C147,'🔖 배합비 참조'!$B$1:$CE$1,0))/100,0),""))),"")</f>
        <v>0</v>
      </c>
      <c r="AM147" s="39" t="n">
        <f aca="false">IFERROR(IF($C147="","",IF($D147="","",IFERROR(ROUND($D147*INDEX('🔖 배합비 참조'!$B$2:$CE$83,MATCH("딸기레진",'🔖 배합비 참조'!$A$2:$A$83,0),MATCH($C147,'🔖 배합비 참조'!$B$1:$CE$1,0))/100,0),""))),"")</f>
        <v>0</v>
      </c>
      <c r="AN147" s="39" t="n">
        <f aca="false">IFERROR(IF($C147="","",IF($D147="","",IFERROR(ROUND($D147*INDEX('🔖 배합비 참조'!$B$2:$CE$83,MATCH("딸기분말(스트로우베리에이드(분말))",'🔖 배합비 참조'!$A$2:$A$83,0),MATCH($C147,'🔖 배합비 참조'!$B$1:$CE$1,0))/100,0),""))),"")</f>
        <v>0</v>
      </c>
      <c r="AO147" s="39" t="n">
        <f aca="false">IFERROR(IF($C147="","",IF($D147="","",IFERROR(ROUND($D147*INDEX('🔖 배합비 참조'!$B$2:$CE$83,MATCH("마스카포네치즈",'🔖 배합비 참조'!$A$2:$A$83,0),MATCH($C147,'🔖 배합비 참조'!$B$1:$CE$1,0))/100,0),""))),"")</f>
        <v>0</v>
      </c>
      <c r="AP147" s="39" t="n">
        <f aca="false">IFERROR(IF($C147="","",IF($D147="","",IFERROR(ROUND($D147*INDEX('🔖 배합비 참조'!$B$2:$CE$83,MATCH("마카다미아분태(호주산)",'🔖 배합비 참조'!$A$2:$A$83,0),MATCH($C147,'🔖 배합비 참조'!$B$1:$CE$1,0))/100,0),""))),"")</f>
        <v>0</v>
      </c>
      <c r="AQ147" s="39" t="n">
        <f aca="false">IFERROR(IF($C147="","",IF($D147="","",IFERROR(ROUND($D147*INDEX('🔖 배합비 참조'!$B$2:$CE$83,MATCH("멥쌀(국내산)",'🔖 배합비 참조'!$A$2:$A$83,0),MATCH($C147,'🔖 배합비 참조'!$B$1:$CE$1,0))/100,0),""))),"")</f>
        <v>0</v>
      </c>
      <c r="AR147" s="39" t="n">
        <f aca="false">IFERROR(IF($C147="","",IF($D147="","",IFERROR(ROUND($D147*INDEX('🔖 배합비 참조'!$B$2:$CE$83,MATCH("모시잎(국내산)",'🔖 배합비 참조'!$A$2:$A$83,0),MATCH($C147,'🔖 배합비 참조'!$B$1:$CE$1,0))/100,0),""))),"")</f>
        <v>0</v>
      </c>
      <c r="AS147" s="39" t="n">
        <f aca="false">IFERROR(IF($C147="","",IF($D147="","",IFERROR(ROUND($D147*INDEX('🔖 배합비 참조'!$B$2:$CE$83,MATCH("물엿(저당물엿)",'🔖 배합비 참조'!$A$2:$A$83,0),MATCH($C147,'🔖 배합비 참조'!$B$1:$CE$1,0))/100,0),""))),"")</f>
        <v>7</v>
      </c>
      <c r="AT147" s="39" t="n">
        <f aca="false">IFERROR(IF($C147="","",IF($D147="","",IFERROR(ROUND($D147*INDEX('🔖 배합비 참조'!$B$2:$CE$83,MATCH("밤다이스",'🔖 배합비 참조'!$A$2:$A$83,0),MATCH($C147,'🔖 배합비 참조'!$B$1:$CE$1,0))/100,0),""))),"")</f>
        <v>0</v>
      </c>
      <c r="AU147" s="39" t="n">
        <f aca="false">IFERROR(IF($C147="","",IF($D147="","",IFERROR(ROUND($D147*INDEX('🔖 배합비 참조'!$B$2:$CE$83,MATCH("변성전분(타피오카전분)",'🔖 배합비 참조'!$A$2:$A$83,0),MATCH($C147,'🔖 배합비 참조'!$B$1:$CE$1,0))/100,0),""))),"")</f>
        <v>0</v>
      </c>
      <c r="AV147" s="39" t="n">
        <f aca="false">IFERROR(IF($C147="","",IF($D147="","",IFERROR(ROUND($D147*INDEX('🔖 배합비 참조'!$B$2:$CE$83,MATCH("복음땅콩분태",'🔖 배합비 참조'!$A$2:$A$83,0),MATCH($C147,'🔖 배합비 참조'!$B$1:$CE$1,0))/100,0),""))),"")</f>
        <v>0</v>
      </c>
      <c r="AW147" s="39" t="n">
        <f aca="false">IFERROR(IF($C147="","",IF($D147="","",IFERROR(ROUND($D147*INDEX('🔖 배합비 참조'!$B$2:$CE$83,MATCH("사양벌꿀(국내산)",'🔖 배합비 참조'!$A$2:$A$83,0),MATCH($C147,'🔖 배합비 참조'!$B$1:$CE$1,0))/100,0),""))),"")</f>
        <v>0</v>
      </c>
      <c r="AX147" s="39" t="n">
        <f aca="false">IFERROR(IF($C147="","",IF($D147="","",IFERROR(ROUND($D147*INDEX('🔖 배합비 참조'!$B$2:$CE$83,MATCH("생크림",'🔖 배합비 참조'!$A$2:$A$83,0),MATCH($C147,'🔖 배합비 참조'!$B$1:$CE$1,0))/100,0),""))),"")</f>
        <v>0</v>
      </c>
      <c r="AY147" s="39" t="n">
        <f aca="false">IFERROR(IF($C147="","",IF($D147="","",IFERROR(ROUND($D147*INDEX('🔖 배합비 참조'!$B$2:$CE$83,MATCH("서양호박(국내산,뉴질랜드산)",'🔖 배합비 참조'!$A$2:$A$83,0),MATCH($C147,'🔖 배합비 참조'!$B$1:$CE$1,0))/100,0),""))),"")</f>
        <v>0</v>
      </c>
      <c r="AZ147" s="39" t="n">
        <f aca="false">IFERROR(IF($C147="","",IF($D147="","",IFERROR(ROUND($D147*INDEX('🔖 배합비 참조'!$B$2:$CE$83,MATCH("설탕",'🔖 배합비 참조'!$A$2:$A$83,0),MATCH($C147,'🔖 배합비 참조'!$B$1:$CE$1,0))/100,0),""))),"")</f>
        <v>7</v>
      </c>
      <c r="BA147" s="39" t="n">
        <f aca="false">IFERROR(IF($C147="","",IF($D147="","",IFERROR(ROUND($D147*INDEX('🔖 배합비 참조'!$B$2:$CE$83,MATCH("스트로우베리 에이드 후레쉬",'🔖 배합비 참조'!$A$2:$A$83,0),MATCH($C147,'🔖 배합비 참조'!$B$1:$CE$1,0))/100,0),""))),"")</f>
        <v>0</v>
      </c>
      <c r="BB147" s="39" t="n">
        <f aca="false">IFERROR(IF($C147="","",IF($D147="","",IFERROR(ROUND($D147*INDEX('🔖 배합비 참조'!$B$2:$CE$83,MATCH("식물성기름혼합제제(분홍)",'🔖 배합비 참조'!$A$2:$A$83,0),MATCH($C147,'🔖 배합비 참조'!$B$1:$CE$1,0))/100,0),""))),"")</f>
        <v>0</v>
      </c>
      <c r="BC147" s="39" t="n">
        <f aca="false">IFERROR(IF($C147="","",IF($D147="","",IFERROR(ROUND($D147*INDEX('🔖 배합비 참조'!$B$2:$CE$83,MATCH("식물성기름혼합제제(초록)",'🔖 배합비 참조'!$A$2:$A$83,0),MATCH($C147,'🔖 배합비 참조'!$B$1:$CE$1,0))/100,0),""))),"")</f>
        <v>0</v>
      </c>
      <c r="BD147" s="39" t="n">
        <f aca="false">IFERROR(IF($C147="","",IF($D147="","",IFERROR(ROUND($D147*INDEX('🔖 배합비 참조'!$B$2:$CE$83,MATCH("식물성기름혼합제제(황색)",'🔖 배합비 참조'!$A$2:$A$83,0),MATCH($C147,'🔖 배합비 참조'!$B$1:$CE$1,0))/100,0),""))),"")</f>
        <v>0</v>
      </c>
      <c r="BE147" s="39" t="n">
        <f aca="false">IFERROR(IF($C147="","",IF($D147="","",IFERROR(ROUND($D147*INDEX('🔖 배합비 참조'!$B$2:$CE$83,MATCH("쑥가루(국내산)",'🔖 배합비 참조'!$A$2:$A$83,0),MATCH($C147,'🔖 배합비 참조'!$B$1:$CE$1,0))/100,0),""))),"")</f>
        <v>0</v>
      </c>
      <c r="BF147" s="39" t="n">
        <f aca="false">IFERROR(IF($C147="","",IF($D147="","",IFERROR(ROUND($D147*INDEX('🔖 배합비 참조'!$B$2:$CE$83,MATCH("아몬드슬라이스",'🔖 배합비 참조'!$A$2:$A$83,0),MATCH($C147,'🔖 배합비 참조'!$B$1:$CE$1,0))/100,0),""))),"")</f>
        <v>0</v>
      </c>
      <c r="BG147" s="39" t="n">
        <f aca="false">IFERROR(IF($C147="","",IF($D147="","",IFERROR(ROUND($D147*INDEX('🔖 배합비 참조'!$B$2:$CE$83,MATCH("알룰로오스(국내산)",'🔖 배합비 참조'!$A$2:$A$83,0),MATCH($C147,'🔖 배합비 참조'!$B$1:$CE$1,0))/100,0),""))),"")</f>
        <v>0</v>
      </c>
      <c r="BH147" s="39" t="n">
        <f aca="false">IFERROR(IF($C147="","",IF($D147="","",IFERROR(ROUND($D147*INDEX('🔖 배합비 참조'!$B$2:$CE$83,MATCH("연유",'🔖 배합비 참조'!$A$2:$A$83,0),MATCH($C147,'🔖 배합비 참조'!$B$1:$CE$1,0))/100,0),""))),"")</f>
        <v>0</v>
      </c>
      <c r="BI147" s="39" t="n">
        <f aca="false">IFERROR(IF($C147="","",IF($D147="","",IFERROR(ROUND($D147*INDEX('🔖 배합비 참조'!$B$2:$CE$83,MATCH("옥수수전분",'🔖 배합비 참조'!$A$2:$A$83,0),MATCH($C147,'🔖 배합비 참조'!$B$1:$CE$1,0))/100,0),""))),"")</f>
        <v>0</v>
      </c>
      <c r="BJ147" s="39" t="n">
        <f aca="false">IFERROR(IF($C147="","",IF($D147="","",IFERROR(ROUND($D147*INDEX('🔖 배합비 참조'!$B$2:$CE$83,MATCH("완두배기",'🔖 배합비 참조'!$A$2:$A$83,0),MATCH($C147,'🔖 배합비 참조'!$B$1:$CE$1,0))/100,0),""))),"")</f>
        <v>0</v>
      </c>
      <c r="BK147" s="39" t="n">
        <f aca="false">IFERROR(IF($C147="","",IF($D147="","",IFERROR(ROUND($D147*INDEX('🔖 배합비 참조'!$B$2:$CE$83,MATCH("우유(국내산)",'🔖 배합비 참조'!$A$2:$A$83,0),MATCH($C147,'🔖 배합비 참조'!$B$1:$CE$1,0))/100,0),""))),"")</f>
        <v>0</v>
      </c>
      <c r="BL147" s="39" t="n">
        <f aca="false">IFERROR(IF($C147="","",IF($D147="","",IFERROR(ROUND($D147*INDEX('🔖 배합비 참조'!$B$2:$CE$83,MATCH("자색고구마가루(중국산)",'🔖 배합비 참조'!$A$2:$A$83,0),MATCH($C147,'🔖 배합비 참조'!$B$1:$CE$1,0))/100,0),""))),"")</f>
        <v>0</v>
      </c>
      <c r="BM147" s="39" t="n">
        <f aca="false">IFERROR(IF($C147="","",IF($D147="","",IFERROR(ROUND($D147*INDEX('🔖 배합비 참조'!$B$2:$CE$83,MATCH("자연치즈(체다치즈)",'🔖 배합비 참조'!$A$2:$A$83,0),MATCH($C147,'🔖 배합비 참조'!$B$1:$CE$1,0))/100,0),""))),"")</f>
        <v>0</v>
      </c>
      <c r="BN147" s="39" t="n">
        <f aca="false">IFERROR(IF($C147="","",IF($D147="","",IFERROR(ROUND($D147*INDEX('🔖 배합비 참조'!$B$2:$CE$83,MATCH("정제수",'🔖 배합비 참조'!$A$2:$A$83,0),MATCH($C147,'🔖 배합비 참조'!$B$1:$CE$1,0))/100,0),""))),"")</f>
        <v>57</v>
      </c>
      <c r="BO147" s="39" t="n">
        <f aca="false">IFERROR(IF($C147="","",IF($D147="","",IFERROR(ROUND($D147*INDEX('🔖 배합비 참조'!$B$2:$CE$83,MATCH("젤라틴",'🔖 배합비 참조'!$A$2:$A$83,0),MATCH($C147,'🔖 배합비 참조'!$B$1:$CE$1,0))/100,0),""))),"")</f>
        <v>0</v>
      </c>
      <c r="BP147" s="39" t="n">
        <f aca="false">IFERROR(IF($C147="","",IF($D147="","",IFERROR(ROUND($D147*INDEX('🔖 배합비 참조'!$B$2:$CE$83,MATCH("조림류(백옥앙금)",'🔖 배합비 참조'!$A$2:$A$83,0),MATCH($C147,'🔖 배합비 참조'!$B$1:$CE$1,0))/100,0),""))),"")</f>
        <v>0</v>
      </c>
      <c r="BQ147" s="39" t="n">
        <f aca="false">IFERROR(IF($C147="","",IF($D147="","",IFERROR(ROUND($D147*INDEX('🔖 배합비 참조'!$B$2:$CE$83,MATCH("조림류(통팥앙금)",'🔖 배합비 참조'!$A$2:$A$83,0),MATCH($C147,'🔖 배합비 참조'!$B$1:$CE$1,0))/100,0),""))),"")</f>
        <v>0</v>
      </c>
      <c r="BR147" s="39" t="n">
        <f aca="false">IFERROR(IF($C147="","",IF($D147="","",IFERROR(ROUND($D147*INDEX('🔖 배합비 참조'!$B$2:$CE$83,MATCH("준초콜릿(외국산)",'🔖 배합비 참조'!$A$2:$A$83,0),MATCH($C147,'🔖 배합비 참조'!$B$1:$CE$1,0))/100,0),""))),"")</f>
        <v>0</v>
      </c>
      <c r="BS147" s="39" t="n">
        <f aca="false">IFERROR(IF($C147="","",IF($D147="","",IFERROR(ROUND($D147*INDEX('🔖 배합비 참조'!$B$2:$CE$83,MATCH("중력분",'🔖 배합비 참조'!$A$2:$A$83,0),MATCH($C147,'🔖 배합비 참조'!$B$1:$CE$1,0))/100,0),""))),"")</f>
        <v>1</v>
      </c>
      <c r="BT147" s="39" t="n">
        <f aca="false">IFERROR(IF($C147="","",IF($D147="","",IFERROR(ROUND($D147*INDEX('🔖 배합비 참조'!$B$2:$CE$83,MATCH("참깨(인도산,나이지리아산,탄자니아산,미얀마산)",'🔖 배합비 참조'!$A$2:$A$83,0),MATCH($C147,'🔖 배합비 참조'!$B$1:$CE$1,0))/100,0),""))),"")</f>
        <v>0</v>
      </c>
      <c r="BU147" s="39" t="n">
        <f aca="false">IFERROR(IF($C147="","",IF($D147="","",IFERROR(ROUND($D147*INDEX('🔖 배합비 참조'!$B$2:$CE$83,MATCH("찹쌀(국내산)",'🔖 배합비 참조'!$A$2:$A$83,0),MATCH($C147,'🔖 배합비 참조'!$B$1:$CE$1,0))/100,0),""))),"")</f>
        <v>67</v>
      </c>
      <c r="BV147" s="39" t="n">
        <f aca="false">IFERROR(IF($C147="","",IF($D147="","",IFERROR(ROUND($D147*INDEX('🔖 배합비 참조'!$B$2:$CE$83,MATCH("천일염",'🔖 배합비 참조'!$A$2:$A$83,0),MATCH($C147,'🔖 배합비 참조'!$B$1:$CE$1,0))/100,0),""))),"")</f>
        <v>1</v>
      </c>
      <c r="BW147" s="39" t="n">
        <f aca="false">IFERROR(IF($C147="","",IF($D147="","",IFERROR(ROUND($D147*INDEX('🔖 배합비 참조'!$B$2:$CE$83,MATCH("치즈 [크림치즈]",'🔖 배합비 참조'!$A$2:$A$83,0),MATCH($C147,'🔖 배합비 참조'!$B$1:$CE$1,0))/100,0),""))),"")</f>
        <v>0</v>
      </c>
      <c r="BX147" s="39" t="n">
        <f aca="false">IFERROR(IF($C147="","",IF($D147="","",IFERROR(ROUND($D147*INDEX('🔖 배합비 참조'!$B$2:$CE$83,MATCH("코코아가공품류(코코아분말)",'🔖 배합비 참조'!$A$2:$A$83,0),MATCH($C147,'🔖 배합비 참조'!$B$1:$CE$1,0))/100,0),""))),"")</f>
        <v>0</v>
      </c>
      <c r="BY147" s="39" t="n">
        <f aca="false">IFERROR(IF($C147="","",IF($D147="","",IFERROR(ROUND($D147*INDEX('🔖 배합비 참조'!$B$2:$CE$83,MATCH("콩기름(대두유)",'🔖 배합비 참조'!$A$2:$A$83,0),MATCH($C147,'🔖 배합비 참조'!$B$1:$CE$1,0))/100,0),""))),"")</f>
        <v>0</v>
      </c>
      <c r="BZ147" s="39" t="n">
        <f aca="false">IFERROR(IF($C147="","",IF($D147="","",IFERROR(ROUND($D147*INDEX('🔖 배합비 참조'!$B$2:$CE$83,MATCH("해바라기씨앗",'🔖 배합비 참조'!$A$2:$A$83,0),MATCH($C147,'🔖 배합비 참조'!$B$1:$CE$1,0))/100,0),""))),"")</f>
        <v>0</v>
      </c>
      <c r="CA147" s="39" t="n">
        <f aca="false">IFERROR(IF($C147="","",IF($D147="","",IFERROR(ROUND($D147*INDEX('🔖 배합비 참조'!$B$2:$CE$83,MATCH("현미(국내산)",'🔖 배합비 참조'!$A$2:$A$83,0),MATCH($C147,'🔖 배합비 참조'!$B$1:$CE$1,0))/100,0),""))),"")</f>
        <v>0</v>
      </c>
      <c r="CB147" s="39" t="n">
        <f aca="false">IFERROR(IF($C147="","",IF($D147="","",IFERROR(ROUND($D147*INDEX('🔖 배합비 참조'!$B$2:$CE$83,MATCH("현미멥쌀(국내산)",'🔖 배합비 참조'!$A$2:$A$83,0),MATCH($C147,'🔖 배합비 참조'!$B$1:$CE$1,0))/100,0),""))),"")</f>
        <v>0</v>
      </c>
      <c r="CC147" s="39" t="n">
        <f aca="false">IFERROR(IF($C147="","",IF($D147="","",IFERROR(ROUND($D147*INDEX('🔖 배합비 참조'!$B$2:$CE$83,MATCH("호두분태(미국산)",'🔖 배합비 참조'!$A$2:$A$83,0),MATCH($C147,'🔖 배합비 참조'!$B$1:$CE$1,0))/100,0),""))),"")</f>
        <v>0</v>
      </c>
      <c r="CD147" s="39" t="n">
        <f aca="false">IFERROR(IF($C147="","",IF($D147="","",IFERROR(ROUND($D147*INDEX('🔖 배합비 참조'!$B$2:$CE$83,MATCH("호박씨앗(외국산)",'🔖 배합비 참조'!$A$2:$A$83,0),MATCH($C147,'🔖 배합비 참조'!$B$1:$CE$1,0))/100,0),""))),"")</f>
        <v>0</v>
      </c>
      <c r="CE147" s="39" t="n">
        <f aca="false">IFERROR(IF($C147="","",IF($D147="","",IFERROR(ROUND($D147*INDEX('🔖 배합비 참조'!$B$2:$CE$83,MATCH("혼합제제(떡용에스텔)",'🔖 배합비 참조'!$A$2:$A$83,0),MATCH($C147,'🔖 배합비 참조'!$B$1:$CE$1,0))/100,0),""))),"")</f>
        <v>1</v>
      </c>
      <c r="CF147" s="39" t="n">
        <f aca="false">IFERROR(IF($C147="","",IF($D147="","",IFERROR(ROUND($D147*INDEX('🔖 배합비 참조'!$B$2:$CE$83,MATCH("혼합제제(스테비아)",'🔖 배합비 참조'!$A$2:$A$83,0),MATCH($C147,'🔖 배합비 참조'!$B$1:$CE$1,0))/100,0),""))),"")</f>
        <v>0</v>
      </c>
      <c r="CG147" s="39" t="n">
        <f aca="false">IFERROR(IF($C147="","",IF($D147="","",IFERROR(ROUND($D147*INDEX('🔖 배합비 참조'!$B$2:$CE$83,MATCH("화이트초콜릿",'🔖 배합비 참조'!$A$2:$A$83,0),MATCH($C147,'🔖 배합비 참조'!$B$1:$CE$1,0))/100,0),""))),"")</f>
        <v>0</v>
      </c>
      <c r="CH147" s="39" t="n">
        <f aca="false">IFERROR(IF($C147="","",IF($D147="","",IFERROR(ROUND($D147*INDEX('🔖 배합비 참조'!$B$2:$CE$83,MATCH("흑미찹쌀(국내산)",'🔖 배합비 참조'!$A$2:$A$83,0),MATCH($C147,'🔖 배합비 참조'!$B$1:$CE$1,0))/100,0),""))),"")</f>
        <v>0</v>
      </c>
      <c r="CI147" s="39" t="n">
        <f aca="false">IFERROR(IF($C147="","",IF($D147="","",IFERROR(ROUND($D147*INDEX('🔖 배합비 참조'!$B$2:$CE$83,MATCH("찰옥수수전분(미국산)",'🔖 배합비 참조'!$A$2:$A$83,0),MATCH($C147,'🔖 배합비 참조'!$B$1:$CE$1,0))/100,0),""))),"")</f>
        <v>0</v>
      </c>
      <c r="CJ147" s="40"/>
      <c r="CL147" s="1" t="s">
        <v>239</v>
      </c>
    </row>
    <row r="148" customFormat="false" ht="18" hidden="false" customHeight="true" outlineLevel="0" collapsed="false">
      <c r="A148" s="41" t="n">
        <v>144</v>
      </c>
      <c r="B148" s="36" t="n">
        <v>46021</v>
      </c>
      <c r="C148" s="37" t="s">
        <v>219</v>
      </c>
      <c r="D148" s="38" t="n">
        <v>20</v>
      </c>
      <c r="E148" s="17"/>
      <c r="F148" s="17"/>
      <c r="G148" s="42" t="n">
        <f aca="false">IFERROR(IF($C148="","",IF($D148="","",IFERROR(ROUND($D148*INDEX('🔖 배합비 참조'!$B$2:$CE$83,MATCH("간장",'🔖 배합비 참조'!$A$2:$A$83,0),MATCH($C148,'🔖 배합비 참조'!$B$1:$CE$1,0))/100,0),""))),"")</f>
        <v>0</v>
      </c>
      <c r="H148" s="42" t="n">
        <f aca="false">IFERROR(IF($C148="","",IF($D148="","",IFERROR(ROUND($D148*INDEX('🔖 배합비 참조'!$B$2:$CE$83,MATCH("강낭콩((울타리콩))",'🔖 배합비 참조'!$A$2:$A$83,0),MATCH($C148,'🔖 배합비 참조'!$B$1:$CE$1,0))/100,0),""))),"")</f>
        <v>0</v>
      </c>
      <c r="I148" s="42" t="n">
        <f aca="false">IFERROR(IF($C148="","",IF($D148="","",IFERROR(ROUND($D148*INDEX('🔖 배합비 참조'!$B$2:$CE$83,MATCH("건조딸기다이스(외국산)",'🔖 배합비 참조'!$A$2:$A$83,0),MATCH($C148,'🔖 배합비 참조'!$B$1:$CE$1,0))/100,0),""))),"")</f>
        <v>0</v>
      </c>
      <c r="J148" s="42" t="n">
        <f aca="false">IFERROR(IF($C148="","",IF($D148="","",IFERROR(ROUND($D148*INDEX('🔖 배합비 참조'!$B$2:$CE$83,MATCH("건포도",'🔖 배합비 참조'!$A$2:$A$83,0),MATCH($C148,'🔖 배합비 참조'!$B$1:$CE$1,0))/100,0),""))),"")</f>
        <v>0</v>
      </c>
      <c r="K148" s="42" t="n">
        <f aca="false">IFERROR(IF($C148="","",IF($D148="","",IFERROR(ROUND($D148*INDEX('🔖 배합비 참조'!$B$2:$CE$83,MATCH("건호박채(중국산)",'🔖 배합비 참조'!$A$2:$A$83,0),MATCH($C148,'🔖 배합비 참조'!$B$1:$CE$1,0))/100,0),""))),"")</f>
        <v>0</v>
      </c>
      <c r="L148" s="42" t="n">
        <f aca="false">IFERROR(IF($C148="","",IF($D148="","",IFERROR(ROUND($D148*INDEX('🔖 배합비 참조'!$B$2:$CE$83,MATCH("검정깨(흑임자)",'🔖 배합비 참조'!$A$2:$A$83,0),MATCH($C148,'🔖 배합비 참조'!$B$1:$CE$1,0))/100,0),""))),"")</f>
        <v>0</v>
      </c>
      <c r="M148" s="42" t="n">
        <f aca="false">IFERROR(IF($C148="","",IF($D148="","",IFERROR(ROUND($D148*INDEX('🔖 배합비 참조'!$B$2:$CE$83,MATCH("검정콩",'🔖 배합비 참조'!$A$2:$A$83,0),MATCH($C148,'🔖 배합비 참조'!$B$1:$CE$1,0))/100,0),""))),"")</f>
        <v>0</v>
      </c>
      <c r="N148" s="42" t="n">
        <f aca="false">IFERROR(IF($C148="","",IF($D148="","",IFERROR(ROUND($D148*INDEX('🔖 배합비 참조'!$B$2:$CE$83,MATCH("계피가루",'🔖 배합비 참조'!$A$2:$A$83,0),MATCH($C148,'🔖 배합비 참조'!$B$1:$CE$1,0))/100,0),""))),"")</f>
        <v>0</v>
      </c>
      <c r="O148" s="42" t="n">
        <f aca="false">IFERROR(IF($C148="","",IF($D148="","",IFERROR(ROUND($D148*INDEX('🔖 배합비 참조'!$B$2:$CE$83,MATCH("고구마가루",'🔖 배합비 참조'!$A$2:$A$83,0),MATCH($C148,'🔖 배합비 참조'!$B$1:$CE$1,0))/100,0),""))),"")</f>
        <v>0</v>
      </c>
      <c r="P148" s="42" t="n">
        <f aca="false">IFERROR(IF($C148="","",IF($D148="","",IFERROR(ROUND($D148*INDEX('🔖 배합비 참조'!$B$2:$CE$83,MATCH("고구마무스",'🔖 배합비 참조'!$A$2:$A$83,0),MATCH($C148,'🔖 배합비 참조'!$B$1:$CE$1,0))/100,0),""))),"")</f>
        <v>0</v>
      </c>
      <c r="Q148" s="42" t="n">
        <f aca="false">IFERROR(IF($C148="","",IF($D148="","",IFERROR(ROUND($D148*INDEX('🔖 배합비 참조'!$B$2:$CE$83,MATCH("고려엉겅퀴((곤드레)국내산)",'🔖 배합비 참조'!$A$2:$A$83,0),MATCH($C148,'🔖 배합비 참조'!$B$1:$CE$1,0))/100,0),""))),"")</f>
        <v>0</v>
      </c>
      <c r="R148" s="42" t="n">
        <f aca="false">IFERROR(IF($C148="","",IF($D148="","",IFERROR(ROUND($D148*INDEX('🔖 배합비 참조'!$B$2:$CE$83,MATCH("기타가공품(복분자가루)",'🔖 배합비 참조'!$A$2:$A$83,0),MATCH($C148,'🔖 배합비 참조'!$B$1:$CE$1,0))/100,0),""))),"")</f>
        <v>0</v>
      </c>
      <c r="S148" s="42" t="n">
        <f aca="false">IFERROR(IF($C148="","",IF($D148="","",IFERROR(ROUND($D148*INDEX('🔖 배합비 참조'!$B$2:$CE$83,MATCH("기타가공품(슈퍼소프트엠)",'🔖 배합비 참조'!$A$2:$A$83,0),MATCH($C148,'🔖 배합비 참조'!$B$1:$CE$1,0))/100,0),""))),"")</f>
        <v>0</v>
      </c>
      <c r="T148" s="42" t="n">
        <f aca="false">IFERROR(IF($C148="","",IF($D148="","",IFERROR(ROUND($D148*INDEX('🔖 배합비 참조'!$B$2:$CE$83,MATCH("기타가공품(파인소프트 E-티)",'🔖 배합비 참조'!$A$2:$A$83,0),MATCH($C148,'🔖 배합비 참조'!$B$1:$CE$1,0))/100,0),""))),"")</f>
        <v>0</v>
      </c>
      <c r="U148" s="42" t="n">
        <f aca="false">IFERROR(IF($C148="","",IF($D148="","",IFERROR(ROUND($D148*INDEX('🔖 배합비 참조'!$B$2:$CE$83,MATCH("기타가공품(프리미엄카스테라가루)",'🔖 배합비 참조'!$A$2:$A$83,0),MATCH($C148,'🔖 배합비 참조'!$B$1:$CE$1,0))/100,0),""))),"")</f>
        <v>0</v>
      </c>
      <c r="V148" s="42" t="n">
        <f aca="false">IFERROR(IF($C148="","",IF($D148="","",IFERROR(ROUND($D148*INDEX('🔖 배합비 참조'!$B$2:$CE$83,MATCH("기타가공품(흑임자가루)",'🔖 배합비 참조'!$A$2:$A$83,0),MATCH($C148,'🔖 배합비 참조'!$B$1:$CE$1,0))/100,0),""))),"")</f>
        <v>0</v>
      </c>
      <c r="W148" s="42" t="n">
        <f aca="false">IFERROR(IF($C148="","",IF($D148="","",IFERROR(ROUND($D148*INDEX('🔖 배합비 참조'!$B$2:$CE$83,MATCH("기타설탕(흑설탕)",'🔖 배합비 참조'!$A$2:$A$83,0),MATCH($C148,'🔖 배합비 참조'!$B$1:$CE$1,0))/100,0),""))),"")</f>
        <v>0</v>
      </c>
      <c r="X148" s="42" t="n">
        <f aca="false">IFERROR(IF($C148="","",IF($D148="","",IFERROR(ROUND($D148*INDEX('🔖 배합비 참조'!$B$2:$CE$83,MATCH("냉동쑥(국내산)",'🔖 배합비 참조'!$A$2:$A$83,0),MATCH($C148,'🔖 배합비 참조'!$B$1:$CE$1,0))/100,0),""))),"")</f>
        <v>0</v>
      </c>
      <c r="Y148" s="42" t="n">
        <f aca="false">IFERROR(IF($C148="","",IF($D148="","",IFERROR(ROUND($D148*INDEX('🔖 배합비 참조'!$B$2:$CE$83,MATCH("냉동증숙고구마(중국산)",'🔖 배합비 참조'!$A$2:$A$83,0),MATCH($C148,'🔖 배합비 참조'!$B$1:$CE$1,0))/100,0),""))),"")</f>
        <v>0</v>
      </c>
      <c r="Z148" s="42" t="n">
        <f aca="false">IFERROR(IF($C148="","",IF($D148="","",IFERROR(ROUND($D148*INDEX('🔖 배합비 참조'!$B$2:$CE$83,MATCH("녹차가루",'🔖 배합비 참조'!$A$2:$A$83,0),MATCH($C148,'🔖 배합비 참조'!$B$1:$CE$1,0))/100,0),""))),"")</f>
        <v>0</v>
      </c>
      <c r="AA148" s="42" t="n">
        <f aca="false">IFERROR(IF($C148="","",IF($D148="","",IFERROR(ROUND($D148*INDEX('🔖 배합비 참조'!$B$2:$CE$83,MATCH("다크초콜릿 컴파운드칩",'🔖 배합비 참조'!$A$2:$A$83,0),MATCH($C148,'🔖 배합비 참조'!$B$1:$CE$1,0))/100,0),""))),"")</f>
        <v>0</v>
      </c>
      <c r="AB148" s="42" t="n">
        <f aca="false">IFERROR(IF($C148="","",IF($D148="","",IFERROR(ROUND($D148*INDEX('🔖 배합비 참조'!$B$2:$CE$83,MATCH("단호박분말(중국산)",'🔖 배합비 참조'!$A$2:$A$83,0),MATCH($C148,'🔖 배합비 참조'!$B$1:$CE$1,0))/100,0),""))),"")</f>
        <v>0</v>
      </c>
      <c r="AC148" s="42" t="n">
        <f aca="false">IFERROR(IF($C148="","",IF($D148="","",IFERROR(ROUND($D148*INDEX('🔖 배합비 참조'!$B$2:$CE$83,MATCH("당류가공품(단호박농축액)",'🔖 배합비 참조'!$A$2:$A$83,0),MATCH($C148,'🔖 배합비 참조'!$B$1:$CE$1,0))/100,0),""))),"")</f>
        <v>0</v>
      </c>
      <c r="AD148" s="42" t="n">
        <f aca="false">IFERROR(IF($C148="","",IF($D148="","",IFERROR(ROUND($D148*INDEX('🔖 배합비 참조'!$B$2:$CE$83,MATCH("당류가공품(알룰로스,에리스리톨,스테비올배당체혼합)",'🔖 배합비 참조'!$A$2:$A$83,0),MATCH($C148,'🔖 배합비 참조'!$B$1:$CE$1,0))/100,0),""))),"")</f>
        <v>0</v>
      </c>
      <c r="AE148" s="42" t="n">
        <f aca="false">IFERROR(IF($C148="","",IF($D148="","",IFERROR(ROUND($D148*INDEX('🔖 배합비 참조'!$B$2:$CE$83,MATCH("당류가공품(알룰로스제로파우더)",'🔖 배합비 참조'!$A$2:$A$83,0),MATCH($C148,'🔖 배합비 참조'!$B$1:$CE$1,0))/100,0),""))),"")</f>
        <v>0</v>
      </c>
      <c r="AF148" s="42" t="n">
        <f aca="false">IFERROR(IF($C148="","",IF($D148="","",IFERROR(ROUND($D148*INDEX('🔖 배합비 참조'!$B$2:$CE$83,MATCH("당절임(완두배기)",'🔖 배합비 참조'!$A$2:$A$83,0),MATCH($C148,'🔖 배합비 참조'!$B$1:$CE$1,0))/100,0),""))),"")</f>
        <v>0</v>
      </c>
      <c r="AG148" s="42" t="n">
        <f aca="false">IFERROR(IF($C148="","",IF($D148="","",IFERROR(ROUND($D148*INDEX('🔖 배합비 참조'!$B$2:$CE$83,MATCH("대추농축액",'🔖 배합비 참조'!$A$2:$A$83,0),MATCH($C148,'🔖 배합비 참조'!$B$1:$CE$1,0))/100,0),""))),"")</f>
        <v>0</v>
      </c>
      <c r="AH148" s="42" t="n">
        <f aca="false">IFERROR(IF($C148="","",IF($D148="","",IFERROR(ROUND($D148*INDEX('🔖 배합비 참조'!$B$2:$CE$83,MATCH("대추채(국내산)",'🔖 배합비 참조'!$A$2:$A$83,0),MATCH($C148,'🔖 배합비 참조'!$B$1:$CE$1,0))/100,0),""))),"")</f>
        <v>0</v>
      </c>
      <c r="AI148" s="42" t="n">
        <f aca="false">IFERROR(IF($C148="","",IF($D148="","",IFERROR(ROUND($D148*INDEX('🔖 배합비 참조'!$B$2:$CE$83,MATCH("동부(미얀마산)",'🔖 배합비 참조'!$A$2:$A$83,0),MATCH($C148,'🔖 배합비 참조'!$B$1:$CE$1,0))/100,0),""))),"")</f>
        <v>0</v>
      </c>
      <c r="AJ148" s="42" t="n">
        <f aca="false">IFERROR(IF($C148="","",IF($D148="","",IFERROR(ROUND($D148*INDEX('🔖 배합비 참조'!$B$2:$CE$83,MATCH("두류가공품(백옥앙금)",'🔖 배합비 참조'!$A$2:$A$83,0),MATCH($C148,'🔖 배합비 참조'!$B$1:$CE$1,0))/100,0),""))),"")</f>
        <v>0</v>
      </c>
      <c r="AK148" s="42" t="n">
        <f aca="false">IFERROR(IF($C148="","",IF($D148="","",IFERROR(ROUND($D148*INDEX('🔖 배합비 참조'!$B$2:$CE$83,MATCH("두류가공품(콩고물)",'🔖 배합비 참조'!$A$2:$A$83,0),MATCH($C148,'🔖 배합비 참조'!$B$1:$CE$1,0))/100,0),""))),"")</f>
        <v>0</v>
      </c>
      <c r="AL148" s="42" t="n">
        <f aca="false">IFERROR(IF($C148="","",IF($D148="","",IFERROR(ROUND($D148*INDEX('🔖 배합비 참조'!$B$2:$CE$83,MATCH("두류가공품(통팥고물)",'🔖 배합비 참조'!$A$2:$A$83,0),MATCH($C148,'🔖 배합비 참조'!$B$1:$CE$1,0))/100,0),""))),"")</f>
        <v>0</v>
      </c>
      <c r="AM148" s="42" t="n">
        <f aca="false">IFERROR(IF($C148="","",IF($D148="","",IFERROR(ROUND($D148*INDEX('🔖 배합비 참조'!$B$2:$CE$83,MATCH("딸기레진",'🔖 배합비 참조'!$A$2:$A$83,0),MATCH($C148,'🔖 배합비 참조'!$B$1:$CE$1,0))/100,0),""))),"")</f>
        <v>0</v>
      </c>
      <c r="AN148" s="42" t="n">
        <f aca="false">IFERROR(IF($C148="","",IF($D148="","",IFERROR(ROUND($D148*INDEX('🔖 배합비 참조'!$B$2:$CE$83,MATCH("딸기분말(스트로우베리에이드(분말))",'🔖 배합비 참조'!$A$2:$A$83,0),MATCH($C148,'🔖 배합비 참조'!$B$1:$CE$1,0))/100,0),""))),"")</f>
        <v>0</v>
      </c>
      <c r="AO148" s="42" t="n">
        <f aca="false">IFERROR(IF($C148="","",IF($D148="","",IFERROR(ROUND($D148*INDEX('🔖 배합비 참조'!$B$2:$CE$83,MATCH("마스카포네치즈",'🔖 배합비 참조'!$A$2:$A$83,0),MATCH($C148,'🔖 배합비 참조'!$B$1:$CE$1,0))/100,0),""))),"")</f>
        <v>0</v>
      </c>
      <c r="AP148" s="42" t="n">
        <f aca="false">IFERROR(IF($C148="","",IF($D148="","",IFERROR(ROUND($D148*INDEX('🔖 배합비 참조'!$B$2:$CE$83,MATCH("마카다미아분태(호주산)",'🔖 배합비 참조'!$A$2:$A$83,0),MATCH($C148,'🔖 배합비 참조'!$B$1:$CE$1,0))/100,0),""))),"")</f>
        <v>0</v>
      </c>
      <c r="AQ148" s="42" t="n">
        <f aca="false">IFERROR(IF($C148="","",IF($D148="","",IFERROR(ROUND($D148*INDEX('🔖 배합비 참조'!$B$2:$CE$83,MATCH("멥쌀(국내산)",'🔖 배합비 참조'!$A$2:$A$83,0),MATCH($C148,'🔖 배합비 참조'!$B$1:$CE$1,0))/100,0),""))),"")</f>
        <v>13</v>
      </c>
      <c r="AR148" s="42" t="n">
        <f aca="false">IFERROR(IF($C148="","",IF($D148="","",IFERROR(ROUND($D148*INDEX('🔖 배합비 참조'!$B$2:$CE$83,MATCH("모시잎(국내산)",'🔖 배합비 참조'!$A$2:$A$83,0),MATCH($C148,'🔖 배합비 참조'!$B$1:$CE$1,0))/100,0),""))),"")</f>
        <v>0</v>
      </c>
      <c r="AS148" s="42" t="n">
        <f aca="false">IFERROR(IF($C148="","",IF($D148="","",IFERROR(ROUND($D148*INDEX('🔖 배합비 참조'!$B$2:$CE$83,MATCH("물엿(저당물엿)",'🔖 배합비 참조'!$A$2:$A$83,0),MATCH($C148,'🔖 배합비 참조'!$B$1:$CE$1,0))/100,0),""))),"")</f>
        <v>0</v>
      </c>
      <c r="AT148" s="42" t="n">
        <f aca="false">IFERROR(IF($C148="","",IF($D148="","",IFERROR(ROUND($D148*INDEX('🔖 배합비 참조'!$B$2:$CE$83,MATCH("밤다이스",'🔖 배합비 참조'!$A$2:$A$83,0),MATCH($C148,'🔖 배합비 참조'!$B$1:$CE$1,0))/100,0),""))),"")</f>
        <v>0</v>
      </c>
      <c r="AU148" s="42" t="n">
        <f aca="false">IFERROR(IF($C148="","",IF($D148="","",IFERROR(ROUND($D148*INDEX('🔖 배합비 참조'!$B$2:$CE$83,MATCH("변성전분(타피오카전분)",'🔖 배합비 참조'!$A$2:$A$83,0),MATCH($C148,'🔖 배합비 참조'!$B$1:$CE$1,0))/100,0),""))),"")</f>
        <v>0</v>
      </c>
      <c r="AV148" s="42" t="n">
        <f aca="false">IFERROR(IF($C148="","",IF($D148="","",IFERROR(ROUND($D148*INDEX('🔖 배합비 참조'!$B$2:$CE$83,MATCH("복음땅콩분태",'🔖 배합비 참조'!$A$2:$A$83,0),MATCH($C148,'🔖 배합비 참조'!$B$1:$CE$1,0))/100,0),""))),"")</f>
        <v>0</v>
      </c>
      <c r="AW148" s="42" t="n">
        <f aca="false">IFERROR(IF($C148="","",IF($D148="","",IFERROR(ROUND($D148*INDEX('🔖 배합비 참조'!$B$2:$CE$83,MATCH("사양벌꿀(국내산)",'🔖 배합비 참조'!$A$2:$A$83,0),MATCH($C148,'🔖 배합비 참조'!$B$1:$CE$1,0))/100,0),""))),"")</f>
        <v>0</v>
      </c>
      <c r="AX148" s="42" t="n">
        <f aca="false">IFERROR(IF($C148="","",IF($D148="","",IFERROR(ROUND($D148*INDEX('🔖 배합비 참조'!$B$2:$CE$83,MATCH("생크림",'🔖 배합비 참조'!$A$2:$A$83,0),MATCH($C148,'🔖 배합비 참조'!$B$1:$CE$1,0))/100,0),""))),"")</f>
        <v>0</v>
      </c>
      <c r="AY148" s="42" t="n">
        <f aca="false">IFERROR(IF($C148="","",IF($D148="","",IFERROR(ROUND($D148*INDEX('🔖 배합비 참조'!$B$2:$CE$83,MATCH("서양호박(국내산,뉴질랜드산)",'🔖 배합비 참조'!$A$2:$A$83,0),MATCH($C148,'🔖 배합비 참조'!$B$1:$CE$1,0))/100,0),""))),"")</f>
        <v>0</v>
      </c>
      <c r="AZ148" s="42" t="n">
        <f aca="false">IFERROR(IF($C148="","",IF($D148="","",IFERROR(ROUND($D148*INDEX('🔖 배합비 참조'!$B$2:$CE$83,MATCH("설탕",'🔖 배합비 참조'!$A$2:$A$83,0),MATCH($C148,'🔖 배합비 참조'!$B$1:$CE$1,0))/100,0),""))),"")</f>
        <v>2</v>
      </c>
      <c r="BA148" s="42" t="n">
        <f aca="false">IFERROR(IF($C148="","",IF($D148="","",IFERROR(ROUND($D148*INDEX('🔖 배합비 참조'!$B$2:$CE$83,MATCH("스트로우베리 에이드 후레쉬",'🔖 배합비 참조'!$A$2:$A$83,0),MATCH($C148,'🔖 배합비 참조'!$B$1:$CE$1,0))/100,0),""))),"")</f>
        <v>0</v>
      </c>
      <c r="BB148" s="42" t="n">
        <f aca="false">IFERROR(IF($C148="","",IF($D148="","",IFERROR(ROUND($D148*INDEX('🔖 배합비 참조'!$B$2:$CE$83,MATCH("식물성기름혼합제제(분홍)",'🔖 배합비 참조'!$A$2:$A$83,0),MATCH($C148,'🔖 배합비 참조'!$B$1:$CE$1,0))/100,0),""))),"")</f>
        <v>0</v>
      </c>
      <c r="BC148" s="42" t="n">
        <f aca="false">IFERROR(IF($C148="","",IF($D148="","",IFERROR(ROUND($D148*INDEX('🔖 배합비 참조'!$B$2:$CE$83,MATCH("식물성기름혼합제제(초록)",'🔖 배합비 참조'!$A$2:$A$83,0),MATCH($C148,'🔖 배합비 참조'!$B$1:$CE$1,0))/100,0),""))),"")</f>
        <v>0</v>
      </c>
      <c r="BD148" s="42" t="n">
        <f aca="false">IFERROR(IF($C148="","",IF($D148="","",IFERROR(ROUND($D148*INDEX('🔖 배합비 참조'!$B$2:$CE$83,MATCH("식물성기름혼합제제(황색)",'🔖 배합비 참조'!$A$2:$A$83,0),MATCH($C148,'🔖 배합비 참조'!$B$1:$CE$1,0))/100,0),""))),"")</f>
        <v>0</v>
      </c>
      <c r="BE148" s="42" t="n">
        <f aca="false">IFERROR(IF($C148="","",IF($D148="","",IFERROR(ROUND($D148*INDEX('🔖 배합비 참조'!$B$2:$CE$83,MATCH("쑥가루(국내산)",'🔖 배합비 참조'!$A$2:$A$83,0),MATCH($C148,'🔖 배합비 참조'!$B$1:$CE$1,0))/100,0),""))),"")</f>
        <v>0</v>
      </c>
      <c r="BF148" s="42" t="n">
        <f aca="false">IFERROR(IF($C148="","",IF($D148="","",IFERROR(ROUND($D148*INDEX('🔖 배합비 참조'!$B$2:$CE$83,MATCH("아몬드슬라이스",'🔖 배합비 참조'!$A$2:$A$83,0),MATCH($C148,'🔖 배합비 참조'!$B$1:$CE$1,0))/100,0),""))),"")</f>
        <v>0</v>
      </c>
      <c r="BG148" s="42" t="n">
        <f aca="false">IFERROR(IF($C148="","",IF($D148="","",IFERROR(ROUND($D148*INDEX('🔖 배합비 참조'!$B$2:$CE$83,MATCH("알룰로오스(국내산)",'🔖 배합비 참조'!$A$2:$A$83,0),MATCH($C148,'🔖 배합비 참조'!$B$1:$CE$1,0))/100,0),""))),"")</f>
        <v>0</v>
      </c>
      <c r="BH148" s="42" t="n">
        <f aca="false">IFERROR(IF($C148="","",IF($D148="","",IFERROR(ROUND($D148*INDEX('🔖 배합비 참조'!$B$2:$CE$83,MATCH("연유",'🔖 배합비 참조'!$A$2:$A$83,0),MATCH($C148,'🔖 배합비 참조'!$B$1:$CE$1,0))/100,0),""))),"")</f>
        <v>0</v>
      </c>
      <c r="BI148" s="42" t="n">
        <f aca="false">IFERROR(IF($C148="","",IF($D148="","",IFERROR(ROUND($D148*INDEX('🔖 배합비 참조'!$B$2:$CE$83,MATCH("옥수수전분",'🔖 배합비 참조'!$A$2:$A$83,0),MATCH($C148,'🔖 배합비 참조'!$B$1:$CE$1,0))/100,0),""))),"")</f>
        <v>0</v>
      </c>
      <c r="BJ148" s="42" t="n">
        <f aca="false">IFERROR(IF($C148="","",IF($D148="","",IFERROR(ROUND($D148*INDEX('🔖 배합비 참조'!$B$2:$CE$83,MATCH("완두배기",'🔖 배합비 참조'!$A$2:$A$83,0),MATCH($C148,'🔖 배합비 참조'!$B$1:$CE$1,0))/100,0),""))),"")</f>
        <v>1</v>
      </c>
      <c r="BK148" s="42" t="n">
        <f aca="false">IFERROR(IF($C148="","",IF($D148="","",IFERROR(ROUND($D148*INDEX('🔖 배합비 참조'!$B$2:$CE$83,MATCH("우유(국내산)",'🔖 배합비 참조'!$A$2:$A$83,0),MATCH($C148,'🔖 배합비 참조'!$B$1:$CE$1,0))/100,0),""))),"")</f>
        <v>0</v>
      </c>
      <c r="BL148" s="42" t="n">
        <f aca="false">IFERROR(IF($C148="","",IF($D148="","",IFERROR(ROUND($D148*INDEX('🔖 배합비 참조'!$B$2:$CE$83,MATCH("자색고구마가루(중국산)",'🔖 배합비 참조'!$A$2:$A$83,0),MATCH($C148,'🔖 배합비 참조'!$B$1:$CE$1,0))/100,0),""))),"")</f>
        <v>0</v>
      </c>
      <c r="BM148" s="42" t="n">
        <f aca="false">IFERROR(IF($C148="","",IF($D148="","",IFERROR(ROUND($D148*INDEX('🔖 배합비 참조'!$B$2:$CE$83,MATCH("자연치즈(체다치즈)",'🔖 배합비 참조'!$A$2:$A$83,0),MATCH($C148,'🔖 배합비 참조'!$B$1:$CE$1,0))/100,0),""))),"")</f>
        <v>0</v>
      </c>
      <c r="BN148" s="42" t="n">
        <f aca="false">IFERROR(IF($C148="","",IF($D148="","",IFERROR(ROUND($D148*INDEX('🔖 배합비 참조'!$B$2:$CE$83,MATCH("정제수",'🔖 배합비 참조'!$A$2:$A$83,0),MATCH($C148,'🔖 배합비 참조'!$B$1:$CE$1,0))/100,0),""))),"")</f>
        <v>3</v>
      </c>
      <c r="BO148" s="42" t="n">
        <f aca="false">IFERROR(IF($C148="","",IF($D148="","",IFERROR(ROUND($D148*INDEX('🔖 배합비 참조'!$B$2:$CE$83,MATCH("젤라틴",'🔖 배합비 참조'!$A$2:$A$83,0),MATCH($C148,'🔖 배합비 참조'!$B$1:$CE$1,0))/100,0),""))),"")</f>
        <v>0</v>
      </c>
      <c r="BP148" s="42" t="n">
        <f aca="false">IFERROR(IF($C148="","",IF($D148="","",IFERROR(ROUND($D148*INDEX('🔖 배합비 참조'!$B$2:$CE$83,MATCH("조림류(백옥앙금)",'🔖 배합비 참조'!$A$2:$A$83,0),MATCH($C148,'🔖 배합비 참조'!$B$1:$CE$1,0))/100,0),""))),"")</f>
        <v>0</v>
      </c>
      <c r="BQ148" s="42" t="n">
        <f aca="false">IFERROR(IF($C148="","",IF($D148="","",IFERROR(ROUND($D148*INDEX('🔖 배합비 참조'!$B$2:$CE$83,MATCH("조림류(통팥앙금)",'🔖 배합비 참조'!$A$2:$A$83,0),MATCH($C148,'🔖 배합비 참조'!$B$1:$CE$1,0))/100,0),""))),"")</f>
        <v>0</v>
      </c>
      <c r="BR148" s="42" t="n">
        <f aca="false">IFERROR(IF($C148="","",IF($D148="","",IFERROR(ROUND($D148*INDEX('🔖 배합비 참조'!$B$2:$CE$83,MATCH("준초콜릿(외국산)",'🔖 배합비 참조'!$A$2:$A$83,0),MATCH($C148,'🔖 배합비 참조'!$B$1:$CE$1,0))/100,0),""))),"")</f>
        <v>0</v>
      </c>
      <c r="BS148" s="42" t="n">
        <f aca="false">IFERROR(IF($C148="","",IF($D148="","",IFERROR(ROUND($D148*INDEX('🔖 배합비 참조'!$B$2:$CE$83,MATCH("중력분",'🔖 배합비 참조'!$A$2:$A$83,0),MATCH($C148,'🔖 배합비 참조'!$B$1:$CE$1,0))/100,0),""))),"")</f>
        <v>0</v>
      </c>
      <c r="BT148" s="42" t="n">
        <f aca="false">IFERROR(IF($C148="","",IF($D148="","",IFERROR(ROUND($D148*INDEX('🔖 배합비 참조'!$B$2:$CE$83,MATCH("참깨(인도산,나이지리아산,탄자니아산,미얀마산)",'🔖 배합비 참조'!$A$2:$A$83,0),MATCH($C148,'🔖 배합비 참조'!$B$1:$CE$1,0))/100,0),""))),"")</f>
        <v>0</v>
      </c>
      <c r="BU148" s="42" t="n">
        <f aca="false">IFERROR(IF($C148="","",IF($D148="","",IFERROR(ROUND($D148*INDEX('🔖 배합비 참조'!$B$2:$CE$83,MATCH("찹쌀(국내산)",'🔖 배합비 참조'!$A$2:$A$83,0),MATCH($C148,'🔖 배합비 참조'!$B$1:$CE$1,0))/100,0),""))),"")</f>
        <v>0</v>
      </c>
      <c r="BV148" s="42" t="n">
        <f aca="false">IFERROR(IF($C148="","",IF($D148="","",IFERROR(ROUND($D148*INDEX('🔖 배합비 참조'!$B$2:$CE$83,MATCH("천일염",'🔖 배합비 참조'!$A$2:$A$83,0),MATCH($C148,'🔖 배합비 참조'!$B$1:$CE$1,0))/100,0),""))),"")</f>
        <v>0</v>
      </c>
      <c r="BW148" s="42" t="n">
        <f aca="false">IFERROR(IF($C148="","",IF($D148="","",IFERROR(ROUND($D148*INDEX('🔖 배합비 참조'!$B$2:$CE$83,MATCH("치즈 [크림치즈]",'🔖 배합비 참조'!$A$2:$A$83,0),MATCH($C148,'🔖 배합비 참조'!$B$1:$CE$1,0))/100,0),""))),"")</f>
        <v>0</v>
      </c>
      <c r="BX148" s="42" t="n">
        <f aca="false">IFERROR(IF($C148="","",IF($D148="","",IFERROR(ROUND($D148*INDEX('🔖 배합비 참조'!$B$2:$CE$83,MATCH("코코아가공품류(코코아분말)",'🔖 배합비 참조'!$A$2:$A$83,0),MATCH($C148,'🔖 배합비 참조'!$B$1:$CE$1,0))/100,0),""))),"")</f>
        <v>0</v>
      </c>
      <c r="BY148" s="42" t="n">
        <f aca="false">IFERROR(IF($C148="","",IF($D148="","",IFERROR(ROUND($D148*INDEX('🔖 배합비 참조'!$B$2:$CE$83,MATCH("콩기름(대두유)",'🔖 배합비 참조'!$A$2:$A$83,0),MATCH($C148,'🔖 배합비 참조'!$B$1:$CE$1,0))/100,0),""))),"")</f>
        <v>0</v>
      </c>
      <c r="BZ148" s="42" t="n">
        <f aca="false">IFERROR(IF($C148="","",IF($D148="","",IFERROR(ROUND($D148*INDEX('🔖 배합비 참조'!$B$2:$CE$83,MATCH("해바라기씨앗",'🔖 배합비 참조'!$A$2:$A$83,0),MATCH($C148,'🔖 배합비 참조'!$B$1:$CE$1,0))/100,0),""))),"")</f>
        <v>0</v>
      </c>
      <c r="CA148" s="42" t="n">
        <f aca="false">IFERROR(IF($C148="","",IF($D148="","",IFERROR(ROUND($D148*INDEX('🔖 배합비 참조'!$B$2:$CE$83,MATCH("현미(국내산)",'🔖 배합비 참조'!$A$2:$A$83,0),MATCH($C148,'🔖 배합비 참조'!$B$1:$CE$1,0))/100,0),""))),"")</f>
        <v>0</v>
      </c>
      <c r="CB148" s="42" t="n">
        <f aca="false">IFERROR(IF($C148="","",IF($D148="","",IFERROR(ROUND($D148*INDEX('🔖 배합비 참조'!$B$2:$CE$83,MATCH("현미멥쌀(국내산)",'🔖 배합비 참조'!$A$2:$A$83,0),MATCH($C148,'🔖 배합비 참조'!$B$1:$CE$1,0))/100,0),""))),"")</f>
        <v>0</v>
      </c>
      <c r="CC148" s="42" t="n">
        <f aca="false">IFERROR(IF($C148="","",IF($D148="","",IFERROR(ROUND($D148*INDEX('🔖 배합비 참조'!$B$2:$CE$83,MATCH("호두분태(미국산)",'🔖 배합비 참조'!$A$2:$A$83,0),MATCH($C148,'🔖 배합비 참조'!$B$1:$CE$1,0))/100,0),""))),"")</f>
        <v>0</v>
      </c>
      <c r="CD148" s="42" t="n">
        <f aca="false">IFERROR(IF($C148="","",IF($D148="","",IFERROR(ROUND($D148*INDEX('🔖 배합비 참조'!$B$2:$CE$83,MATCH("호박씨앗(외국산)",'🔖 배합비 참조'!$A$2:$A$83,0),MATCH($C148,'🔖 배합비 참조'!$B$1:$CE$1,0))/100,0),""))),"")</f>
        <v>0</v>
      </c>
      <c r="CE148" s="42" t="n">
        <f aca="false">IFERROR(IF($C148="","",IF($D148="","",IFERROR(ROUND($D148*INDEX('🔖 배합비 참조'!$B$2:$CE$83,MATCH("혼합제제(떡용에스텔)",'🔖 배합비 참조'!$A$2:$A$83,0),MATCH($C148,'🔖 배합비 참조'!$B$1:$CE$1,0))/100,0),""))),"")</f>
        <v>0</v>
      </c>
      <c r="CF148" s="42" t="n">
        <f aca="false">IFERROR(IF($C148="","",IF($D148="","",IFERROR(ROUND($D148*INDEX('🔖 배합비 참조'!$B$2:$CE$83,MATCH("혼합제제(스테비아)",'🔖 배합비 참조'!$A$2:$A$83,0),MATCH($C148,'🔖 배합비 참조'!$B$1:$CE$1,0))/100,0),""))),"")</f>
        <v>0</v>
      </c>
      <c r="CG148" s="42" t="n">
        <f aca="false">IFERROR(IF($C148="","",IF($D148="","",IFERROR(ROUND($D148*INDEX('🔖 배합비 참조'!$B$2:$CE$83,MATCH("화이트초콜릿",'🔖 배합비 참조'!$A$2:$A$83,0),MATCH($C148,'🔖 배합비 참조'!$B$1:$CE$1,0))/100,0),""))),"")</f>
        <v>0</v>
      </c>
      <c r="CH148" s="42" t="n">
        <f aca="false">IFERROR(IF($C148="","",IF($D148="","",IFERROR(ROUND($D148*INDEX('🔖 배합비 참조'!$B$2:$CE$83,MATCH("흑미찹쌀(국내산)",'🔖 배합비 참조'!$A$2:$A$83,0),MATCH($C148,'🔖 배합비 참조'!$B$1:$CE$1,0))/100,0),""))),"")</f>
        <v>0</v>
      </c>
      <c r="CI148" s="42" t="n">
        <f aca="false">IFERROR(IF($C148="","",IF($D148="","",IFERROR(ROUND($D148*INDEX('🔖 배합비 참조'!$B$2:$CE$83,MATCH("찰옥수수전분(미국산)",'🔖 배합비 참조'!$A$2:$A$83,0),MATCH($C148,'🔖 배합비 참조'!$B$1:$CE$1,0))/100,0),""))),"")</f>
        <v>0</v>
      </c>
      <c r="CJ148" s="40"/>
      <c r="CL148" s="1" t="s">
        <v>239</v>
      </c>
    </row>
    <row r="149" customFormat="false" ht="18" hidden="false" customHeight="true" outlineLevel="0" collapsed="false">
      <c r="A149" s="35" t="n">
        <v>145</v>
      </c>
      <c r="B149" s="36" t="n">
        <v>46024</v>
      </c>
      <c r="C149" s="37" t="s">
        <v>143</v>
      </c>
      <c r="D149" s="38" t="n">
        <v>195</v>
      </c>
      <c r="E149" s="13"/>
      <c r="F149" s="13"/>
      <c r="G149" s="39" t="n">
        <f aca="false">IFERROR(IF($C149="","",IF($D149="","",IFERROR(ROUND($D149*INDEX('🔖 배합비 참조'!$B$2:$CE$83,MATCH("간장",'🔖 배합비 참조'!$A$2:$A$83,0),MATCH($C149,'🔖 배합비 참조'!$B$1:$CE$1,0))/100,0),""))),"")</f>
        <v>0</v>
      </c>
      <c r="H149" s="39" t="n">
        <f aca="false">IFERROR(IF($C149="","",IF($D149="","",IFERROR(ROUND($D149*INDEX('🔖 배합비 참조'!$B$2:$CE$83,MATCH("강낭콩((울타리콩))",'🔖 배합비 참조'!$A$2:$A$83,0),MATCH($C149,'🔖 배합비 참조'!$B$1:$CE$1,0))/100,0),""))),"")</f>
        <v>0</v>
      </c>
      <c r="I149" s="39" t="n">
        <f aca="false">IFERROR(IF($C149="","",IF($D149="","",IFERROR(ROUND($D149*INDEX('🔖 배합비 참조'!$B$2:$CE$83,MATCH("건조딸기다이스(외국산)",'🔖 배합비 참조'!$A$2:$A$83,0),MATCH($C149,'🔖 배합비 참조'!$B$1:$CE$1,0))/100,0),""))),"")</f>
        <v>0</v>
      </c>
      <c r="J149" s="39" t="n">
        <f aca="false">IFERROR(IF($C149="","",IF($D149="","",IFERROR(ROUND($D149*INDEX('🔖 배합비 참조'!$B$2:$CE$83,MATCH("건포도",'🔖 배합비 참조'!$A$2:$A$83,0),MATCH($C149,'🔖 배합비 참조'!$B$1:$CE$1,0))/100,0),""))),"")</f>
        <v>0</v>
      </c>
      <c r="K149" s="39" t="n">
        <f aca="false">IFERROR(IF($C149="","",IF($D149="","",IFERROR(ROUND($D149*INDEX('🔖 배합비 참조'!$B$2:$CE$83,MATCH("건호박채(중국산)",'🔖 배합비 참조'!$A$2:$A$83,0),MATCH($C149,'🔖 배합비 참조'!$B$1:$CE$1,0))/100,0),""))),"")</f>
        <v>0</v>
      </c>
      <c r="L149" s="39" t="n">
        <f aca="false">IFERROR(IF($C149="","",IF($D149="","",IFERROR(ROUND($D149*INDEX('🔖 배합비 참조'!$B$2:$CE$83,MATCH("검정깨(흑임자)",'🔖 배합비 참조'!$A$2:$A$83,0),MATCH($C149,'🔖 배합비 참조'!$B$1:$CE$1,0))/100,0),""))),"")</f>
        <v>0</v>
      </c>
      <c r="M149" s="39" t="n">
        <f aca="false">IFERROR(IF($C149="","",IF($D149="","",IFERROR(ROUND($D149*INDEX('🔖 배합비 참조'!$B$2:$CE$83,MATCH("검정콩",'🔖 배합비 참조'!$A$2:$A$83,0),MATCH($C149,'🔖 배합비 참조'!$B$1:$CE$1,0))/100,0),""))),"")</f>
        <v>0</v>
      </c>
      <c r="N149" s="39" t="n">
        <f aca="false">IFERROR(IF($C149="","",IF($D149="","",IFERROR(ROUND($D149*INDEX('🔖 배합비 참조'!$B$2:$CE$83,MATCH("계피가루",'🔖 배합비 참조'!$A$2:$A$83,0),MATCH($C149,'🔖 배합비 참조'!$B$1:$CE$1,0))/100,0),""))),"")</f>
        <v>0</v>
      </c>
      <c r="O149" s="39" t="n">
        <f aca="false">IFERROR(IF($C149="","",IF($D149="","",IFERROR(ROUND($D149*INDEX('🔖 배합비 참조'!$B$2:$CE$83,MATCH("고구마가루",'🔖 배합비 참조'!$A$2:$A$83,0),MATCH($C149,'🔖 배합비 참조'!$B$1:$CE$1,0))/100,0),""))),"")</f>
        <v>0</v>
      </c>
      <c r="P149" s="39" t="n">
        <f aca="false">IFERROR(IF($C149="","",IF($D149="","",IFERROR(ROUND($D149*INDEX('🔖 배합비 참조'!$B$2:$CE$83,MATCH("고구마무스",'🔖 배합비 참조'!$A$2:$A$83,0),MATCH($C149,'🔖 배합비 참조'!$B$1:$CE$1,0))/100,0),""))),"")</f>
        <v>0</v>
      </c>
      <c r="Q149" s="39" t="n">
        <f aca="false">IFERROR(IF($C149="","",IF($D149="","",IFERROR(ROUND($D149*INDEX('🔖 배합비 참조'!$B$2:$CE$83,MATCH("고려엉겅퀴((곤드레)국내산)",'🔖 배합비 참조'!$A$2:$A$83,0),MATCH($C149,'🔖 배합비 참조'!$B$1:$CE$1,0))/100,0),""))),"")</f>
        <v>0</v>
      </c>
      <c r="R149" s="39" t="n">
        <f aca="false">IFERROR(IF($C149="","",IF($D149="","",IFERROR(ROUND($D149*INDEX('🔖 배합비 참조'!$B$2:$CE$83,MATCH("기타가공품(복분자가루)",'🔖 배합비 참조'!$A$2:$A$83,0),MATCH($C149,'🔖 배합비 참조'!$B$1:$CE$1,0))/100,0),""))),"")</f>
        <v>0</v>
      </c>
      <c r="S149" s="39" t="n">
        <f aca="false">IFERROR(IF($C149="","",IF($D149="","",IFERROR(ROUND($D149*INDEX('🔖 배합비 참조'!$B$2:$CE$83,MATCH("기타가공품(슈퍼소프트엠)",'🔖 배합비 참조'!$A$2:$A$83,0),MATCH($C149,'🔖 배합비 참조'!$B$1:$CE$1,0))/100,0),""))),"")</f>
        <v>0</v>
      </c>
      <c r="T149" s="39" t="n">
        <f aca="false">IFERROR(IF($C149="","",IF($D149="","",IFERROR(ROUND($D149*INDEX('🔖 배합비 참조'!$B$2:$CE$83,MATCH("기타가공품(파인소프트 E-티)",'🔖 배합비 참조'!$A$2:$A$83,0),MATCH($C149,'🔖 배합비 참조'!$B$1:$CE$1,0))/100,0),""))),"")</f>
        <v>0</v>
      </c>
      <c r="U149" s="39" t="n">
        <f aca="false">IFERROR(IF($C149="","",IF($D149="","",IFERROR(ROUND($D149*INDEX('🔖 배합비 참조'!$B$2:$CE$83,MATCH("기타가공품(프리미엄카스테라가루)",'🔖 배합비 참조'!$A$2:$A$83,0),MATCH($C149,'🔖 배합비 참조'!$B$1:$CE$1,0))/100,0),""))),"")</f>
        <v>0</v>
      </c>
      <c r="V149" s="39" t="n">
        <f aca="false">IFERROR(IF($C149="","",IF($D149="","",IFERROR(ROUND($D149*INDEX('🔖 배합비 참조'!$B$2:$CE$83,MATCH("기타가공품(흑임자가루)",'🔖 배합비 참조'!$A$2:$A$83,0),MATCH($C149,'🔖 배합비 참조'!$B$1:$CE$1,0))/100,0),""))),"")</f>
        <v>0</v>
      </c>
      <c r="W149" s="39" t="n">
        <f aca="false">IFERROR(IF($C149="","",IF($D149="","",IFERROR(ROUND($D149*INDEX('🔖 배합비 참조'!$B$2:$CE$83,MATCH("기타설탕(흑설탕)",'🔖 배합비 참조'!$A$2:$A$83,0),MATCH($C149,'🔖 배합비 참조'!$B$1:$CE$1,0))/100,0),""))),"")</f>
        <v>16</v>
      </c>
      <c r="X149" s="39" t="n">
        <f aca="false">IFERROR(IF($C149="","",IF($D149="","",IFERROR(ROUND($D149*INDEX('🔖 배합비 참조'!$B$2:$CE$83,MATCH("냉동쑥(국내산)",'🔖 배합비 참조'!$A$2:$A$83,0),MATCH($C149,'🔖 배합비 참조'!$B$1:$CE$1,0))/100,0),""))),"")</f>
        <v>0</v>
      </c>
      <c r="Y149" s="39" t="n">
        <f aca="false">IFERROR(IF($C149="","",IF($D149="","",IFERROR(ROUND($D149*INDEX('🔖 배합비 참조'!$B$2:$CE$83,MATCH("냉동증숙고구마(중국산)",'🔖 배합비 참조'!$A$2:$A$83,0),MATCH($C149,'🔖 배합비 참조'!$B$1:$CE$1,0))/100,0),""))),"")</f>
        <v>0</v>
      </c>
      <c r="Z149" s="39" t="n">
        <f aca="false">IFERROR(IF($C149="","",IF($D149="","",IFERROR(ROUND($D149*INDEX('🔖 배합비 참조'!$B$2:$CE$83,MATCH("녹차가루",'🔖 배합비 참조'!$A$2:$A$83,0),MATCH($C149,'🔖 배합비 참조'!$B$1:$CE$1,0))/100,0),""))),"")</f>
        <v>0</v>
      </c>
      <c r="AA149" s="39" t="n">
        <f aca="false">IFERROR(IF($C149="","",IF($D149="","",IFERROR(ROUND($D149*INDEX('🔖 배합비 참조'!$B$2:$CE$83,MATCH("다크초콜릿 컴파운드칩",'🔖 배합비 참조'!$A$2:$A$83,0),MATCH($C149,'🔖 배합비 참조'!$B$1:$CE$1,0))/100,0),""))),"")</f>
        <v>0</v>
      </c>
      <c r="AB149" s="39" t="n">
        <f aca="false">IFERROR(IF($C149="","",IF($D149="","",IFERROR(ROUND($D149*INDEX('🔖 배합비 참조'!$B$2:$CE$83,MATCH("단호박분말(중국산)",'🔖 배합비 참조'!$A$2:$A$83,0),MATCH($C149,'🔖 배합비 참조'!$B$1:$CE$1,0))/100,0),""))),"")</f>
        <v>0</v>
      </c>
      <c r="AC149" s="39" t="n">
        <f aca="false">IFERROR(IF($C149="","",IF($D149="","",IFERROR(ROUND($D149*INDEX('🔖 배합비 참조'!$B$2:$CE$83,MATCH("당류가공품(단호박농축액)",'🔖 배합비 참조'!$A$2:$A$83,0),MATCH($C149,'🔖 배합비 참조'!$B$1:$CE$1,0))/100,0),""))),"")</f>
        <v>0</v>
      </c>
      <c r="AD149" s="39" t="n">
        <f aca="false">IFERROR(IF($C149="","",IF($D149="","",IFERROR(ROUND($D149*INDEX('🔖 배합비 참조'!$B$2:$CE$83,MATCH("당류가공품(알룰로스,에리스리톨,스테비올배당체혼합)",'🔖 배합비 참조'!$A$2:$A$83,0),MATCH($C149,'🔖 배합비 참조'!$B$1:$CE$1,0))/100,0),""))),"")</f>
        <v>0</v>
      </c>
      <c r="AE149" s="39" t="n">
        <f aca="false">IFERROR(IF($C149="","",IF($D149="","",IFERROR(ROUND($D149*INDEX('🔖 배합비 참조'!$B$2:$CE$83,MATCH("당류가공품(알룰로스제로파우더)",'🔖 배합비 참조'!$A$2:$A$83,0),MATCH($C149,'🔖 배합비 참조'!$B$1:$CE$1,0))/100,0),""))),"")</f>
        <v>0</v>
      </c>
      <c r="AF149" s="39" t="n">
        <f aca="false">IFERROR(IF($C149="","",IF($D149="","",IFERROR(ROUND($D149*INDEX('🔖 배합비 참조'!$B$2:$CE$83,MATCH("당절임(완두배기)",'🔖 배합비 참조'!$A$2:$A$83,0),MATCH($C149,'🔖 배합비 참조'!$B$1:$CE$1,0))/100,0),""))),"")</f>
        <v>0</v>
      </c>
      <c r="AG149" s="39" t="n">
        <f aca="false">IFERROR(IF($C149="","",IF($D149="","",IFERROR(ROUND($D149*INDEX('🔖 배합비 참조'!$B$2:$CE$83,MATCH("대추농축액",'🔖 배합비 참조'!$A$2:$A$83,0),MATCH($C149,'🔖 배합비 참조'!$B$1:$CE$1,0))/100,0),""))),"")</f>
        <v>0</v>
      </c>
      <c r="AH149" s="39" t="n">
        <f aca="false">IFERROR(IF($C149="","",IF($D149="","",IFERROR(ROUND($D149*INDEX('🔖 배합비 참조'!$B$2:$CE$83,MATCH("대추채(국내산)",'🔖 배합비 참조'!$A$2:$A$83,0),MATCH($C149,'🔖 배합비 참조'!$B$1:$CE$1,0))/100,0),""))),"")</f>
        <v>0</v>
      </c>
      <c r="AI149" s="39" t="n">
        <f aca="false">IFERROR(IF($C149="","",IF($D149="","",IFERROR(ROUND($D149*INDEX('🔖 배합비 참조'!$B$2:$CE$83,MATCH("동부(미얀마산)",'🔖 배합비 참조'!$A$2:$A$83,0),MATCH($C149,'🔖 배합비 참조'!$B$1:$CE$1,0))/100,0),""))),"")</f>
        <v>0</v>
      </c>
      <c r="AJ149" s="39" t="n">
        <f aca="false">IFERROR(IF($C149="","",IF($D149="","",IFERROR(ROUND($D149*INDEX('🔖 배합비 참조'!$B$2:$CE$83,MATCH("두류가공품(백옥앙금)",'🔖 배합비 참조'!$A$2:$A$83,0),MATCH($C149,'🔖 배합비 참조'!$B$1:$CE$1,0))/100,0),""))),"")</f>
        <v>0</v>
      </c>
      <c r="AK149" s="39" t="n">
        <f aca="false">IFERROR(IF($C149="","",IF($D149="","",IFERROR(ROUND($D149*INDEX('🔖 배합비 참조'!$B$2:$CE$83,MATCH("두류가공품(콩고물)",'🔖 배합비 참조'!$A$2:$A$83,0),MATCH($C149,'🔖 배합비 참조'!$B$1:$CE$1,0))/100,0),""))),"")</f>
        <v>0</v>
      </c>
      <c r="AL149" s="39" t="n">
        <f aca="false">IFERROR(IF($C149="","",IF($D149="","",IFERROR(ROUND($D149*INDEX('🔖 배합비 참조'!$B$2:$CE$83,MATCH("두류가공품(통팥고물)",'🔖 배합비 참조'!$A$2:$A$83,0),MATCH($C149,'🔖 배합비 참조'!$B$1:$CE$1,0))/100,0),""))),"")</f>
        <v>0</v>
      </c>
      <c r="AM149" s="39" t="n">
        <f aca="false">IFERROR(IF($C149="","",IF($D149="","",IFERROR(ROUND($D149*INDEX('🔖 배합비 참조'!$B$2:$CE$83,MATCH("딸기레진",'🔖 배합비 참조'!$A$2:$A$83,0),MATCH($C149,'🔖 배합비 참조'!$B$1:$CE$1,0))/100,0),""))),"")</f>
        <v>0</v>
      </c>
      <c r="AN149" s="39" t="n">
        <f aca="false">IFERROR(IF($C149="","",IF($D149="","",IFERROR(ROUND($D149*INDEX('🔖 배합비 참조'!$B$2:$CE$83,MATCH("딸기분말(스트로우베리에이드(분말))",'🔖 배합비 참조'!$A$2:$A$83,0),MATCH($C149,'🔖 배합비 참조'!$B$1:$CE$1,0))/100,0),""))),"")</f>
        <v>0</v>
      </c>
      <c r="AO149" s="39" t="n">
        <f aca="false">IFERROR(IF($C149="","",IF($D149="","",IFERROR(ROUND($D149*INDEX('🔖 배합비 참조'!$B$2:$CE$83,MATCH("마스카포네치즈",'🔖 배합비 참조'!$A$2:$A$83,0),MATCH($C149,'🔖 배합비 참조'!$B$1:$CE$1,0))/100,0),""))),"")</f>
        <v>0</v>
      </c>
      <c r="AP149" s="39" t="n">
        <f aca="false">IFERROR(IF($C149="","",IF($D149="","",IFERROR(ROUND($D149*INDEX('🔖 배합비 참조'!$B$2:$CE$83,MATCH("마카다미아분태(호주산)",'🔖 배합비 참조'!$A$2:$A$83,0),MATCH($C149,'🔖 배합비 참조'!$B$1:$CE$1,0))/100,0),""))),"")</f>
        <v>0</v>
      </c>
      <c r="AQ149" s="39" t="n">
        <f aca="false">IFERROR(IF($C149="","",IF($D149="","",IFERROR(ROUND($D149*INDEX('🔖 배합비 참조'!$B$2:$CE$83,MATCH("멥쌀(국내산)",'🔖 배합비 참조'!$A$2:$A$83,0),MATCH($C149,'🔖 배합비 참조'!$B$1:$CE$1,0))/100,0),""))),"")</f>
        <v>131</v>
      </c>
      <c r="AR149" s="39" t="n">
        <f aca="false">IFERROR(IF($C149="","",IF($D149="","",IFERROR(ROUND($D149*INDEX('🔖 배합비 참조'!$B$2:$CE$83,MATCH("모시잎(국내산)",'🔖 배합비 참조'!$A$2:$A$83,0),MATCH($C149,'🔖 배합비 참조'!$B$1:$CE$1,0))/100,0),""))),"")</f>
        <v>0</v>
      </c>
      <c r="AS149" s="39" t="n">
        <f aca="false">IFERROR(IF($C149="","",IF($D149="","",IFERROR(ROUND($D149*INDEX('🔖 배합비 참조'!$B$2:$CE$83,MATCH("물엿(저당물엿)",'🔖 배합비 참조'!$A$2:$A$83,0),MATCH($C149,'🔖 배합비 참조'!$B$1:$CE$1,0))/100,0),""))),"")</f>
        <v>0</v>
      </c>
      <c r="AT149" s="39" t="n">
        <f aca="false">IFERROR(IF($C149="","",IF($D149="","",IFERROR(ROUND($D149*INDEX('🔖 배합비 참조'!$B$2:$CE$83,MATCH("밤다이스",'🔖 배합비 참조'!$A$2:$A$83,0),MATCH($C149,'🔖 배합비 참조'!$B$1:$CE$1,0))/100,0),""))),"")</f>
        <v>0</v>
      </c>
      <c r="AU149" s="39" t="n">
        <f aca="false">IFERROR(IF($C149="","",IF($D149="","",IFERROR(ROUND($D149*INDEX('🔖 배합비 참조'!$B$2:$CE$83,MATCH("변성전분(타피오카전분)",'🔖 배합비 참조'!$A$2:$A$83,0),MATCH($C149,'🔖 배합비 참조'!$B$1:$CE$1,0))/100,0),""))),"")</f>
        <v>0</v>
      </c>
      <c r="AV149" s="39" t="n">
        <f aca="false">IFERROR(IF($C149="","",IF($D149="","",IFERROR(ROUND($D149*INDEX('🔖 배합비 참조'!$B$2:$CE$83,MATCH("복음땅콩분태",'🔖 배합비 참조'!$A$2:$A$83,0),MATCH($C149,'🔖 배합비 참조'!$B$1:$CE$1,0))/100,0),""))),"")</f>
        <v>0</v>
      </c>
      <c r="AW149" s="39" t="n">
        <f aca="false">IFERROR(IF($C149="","",IF($D149="","",IFERROR(ROUND($D149*INDEX('🔖 배합비 참조'!$B$2:$CE$83,MATCH("사양벌꿀(국내산)",'🔖 배합비 참조'!$A$2:$A$83,0),MATCH($C149,'🔖 배합비 참조'!$B$1:$CE$1,0))/100,0),""))),"")</f>
        <v>4</v>
      </c>
      <c r="AX149" s="39" t="n">
        <f aca="false">IFERROR(IF($C149="","",IF($D149="","",IFERROR(ROUND($D149*INDEX('🔖 배합비 참조'!$B$2:$CE$83,MATCH("생크림",'🔖 배합비 참조'!$A$2:$A$83,0),MATCH($C149,'🔖 배합비 참조'!$B$1:$CE$1,0))/100,0),""))),"")</f>
        <v>0</v>
      </c>
      <c r="AY149" s="39" t="n">
        <f aca="false">IFERROR(IF($C149="","",IF($D149="","",IFERROR(ROUND($D149*INDEX('🔖 배합비 참조'!$B$2:$CE$83,MATCH("서양호박(국내산,뉴질랜드산)",'🔖 배합비 참조'!$A$2:$A$83,0),MATCH($C149,'🔖 배합비 참조'!$B$1:$CE$1,0))/100,0),""))),"")</f>
        <v>0</v>
      </c>
      <c r="AZ149" s="39" t="n">
        <f aca="false">IFERROR(IF($C149="","",IF($D149="","",IFERROR(ROUND($D149*INDEX('🔖 배합비 참조'!$B$2:$CE$83,MATCH("설탕",'🔖 배합비 참조'!$A$2:$A$83,0),MATCH($C149,'🔖 배합비 참조'!$B$1:$CE$1,0))/100,0),""))),"")</f>
        <v>16</v>
      </c>
      <c r="BA149" s="39" t="n">
        <f aca="false">IFERROR(IF($C149="","",IF($D149="","",IFERROR(ROUND($D149*INDEX('🔖 배합비 참조'!$B$2:$CE$83,MATCH("스트로우베리 에이드 후레쉬",'🔖 배합비 참조'!$A$2:$A$83,0),MATCH($C149,'🔖 배합비 참조'!$B$1:$CE$1,0))/100,0),""))),"")</f>
        <v>0</v>
      </c>
      <c r="BB149" s="39" t="n">
        <f aca="false">IFERROR(IF($C149="","",IF($D149="","",IFERROR(ROUND($D149*INDEX('🔖 배합비 참조'!$B$2:$CE$83,MATCH("식물성기름혼합제제(분홍)",'🔖 배합비 참조'!$A$2:$A$83,0),MATCH($C149,'🔖 배합비 참조'!$B$1:$CE$1,0))/100,0),""))),"")</f>
        <v>0</v>
      </c>
      <c r="BC149" s="39" t="n">
        <f aca="false">IFERROR(IF($C149="","",IF($D149="","",IFERROR(ROUND($D149*INDEX('🔖 배합비 참조'!$B$2:$CE$83,MATCH("식물성기름혼합제제(초록)",'🔖 배합비 참조'!$A$2:$A$83,0),MATCH($C149,'🔖 배합비 참조'!$B$1:$CE$1,0))/100,0),""))),"")</f>
        <v>0</v>
      </c>
      <c r="BD149" s="39" t="n">
        <f aca="false">IFERROR(IF($C149="","",IF($D149="","",IFERROR(ROUND($D149*INDEX('🔖 배합비 참조'!$B$2:$CE$83,MATCH("식물성기름혼합제제(황색)",'🔖 배합비 참조'!$A$2:$A$83,0),MATCH($C149,'🔖 배합비 참조'!$B$1:$CE$1,0))/100,0),""))),"")</f>
        <v>0</v>
      </c>
      <c r="BE149" s="39" t="n">
        <f aca="false">IFERROR(IF($C149="","",IF($D149="","",IFERROR(ROUND($D149*INDEX('🔖 배합비 참조'!$B$2:$CE$83,MATCH("쑥가루(국내산)",'🔖 배합비 참조'!$A$2:$A$83,0),MATCH($C149,'🔖 배합비 참조'!$B$1:$CE$1,0))/100,0),""))),"")</f>
        <v>0</v>
      </c>
      <c r="BF149" s="39" t="n">
        <f aca="false">IFERROR(IF($C149="","",IF($D149="","",IFERROR(ROUND($D149*INDEX('🔖 배합비 참조'!$B$2:$CE$83,MATCH("아몬드슬라이스",'🔖 배합비 참조'!$A$2:$A$83,0),MATCH($C149,'🔖 배합비 참조'!$B$1:$CE$1,0))/100,0),""))),"")</f>
        <v>0</v>
      </c>
      <c r="BG149" s="39" t="n">
        <f aca="false">IFERROR(IF($C149="","",IF($D149="","",IFERROR(ROUND($D149*INDEX('🔖 배합비 참조'!$B$2:$CE$83,MATCH("알룰로오스(국내산)",'🔖 배합비 참조'!$A$2:$A$83,0),MATCH($C149,'🔖 배합비 참조'!$B$1:$CE$1,0))/100,0),""))),"")</f>
        <v>0</v>
      </c>
      <c r="BH149" s="39" t="n">
        <f aca="false">IFERROR(IF($C149="","",IF($D149="","",IFERROR(ROUND($D149*INDEX('🔖 배합비 참조'!$B$2:$CE$83,MATCH("연유",'🔖 배합비 참조'!$A$2:$A$83,0),MATCH($C149,'🔖 배합비 참조'!$B$1:$CE$1,0))/100,0),""))),"")</f>
        <v>0</v>
      </c>
      <c r="BI149" s="39" t="n">
        <f aca="false">IFERROR(IF($C149="","",IF($D149="","",IFERROR(ROUND($D149*INDEX('🔖 배합비 참조'!$B$2:$CE$83,MATCH("옥수수전분",'🔖 배합비 참조'!$A$2:$A$83,0),MATCH($C149,'🔖 배합비 참조'!$B$1:$CE$1,0))/100,0),""))),"")</f>
        <v>0</v>
      </c>
      <c r="BJ149" s="39" t="n">
        <f aca="false">IFERROR(IF($C149="","",IF($D149="","",IFERROR(ROUND($D149*INDEX('🔖 배합비 참조'!$B$2:$CE$83,MATCH("완두배기",'🔖 배합비 참조'!$A$2:$A$83,0),MATCH($C149,'🔖 배합비 참조'!$B$1:$CE$1,0))/100,0),""))),"")</f>
        <v>0</v>
      </c>
      <c r="BK149" s="39" t="n">
        <f aca="false">IFERROR(IF($C149="","",IF($D149="","",IFERROR(ROUND($D149*INDEX('🔖 배합비 참조'!$B$2:$CE$83,MATCH("우유(국내산)",'🔖 배합비 참조'!$A$2:$A$83,0),MATCH($C149,'🔖 배합비 참조'!$B$1:$CE$1,0))/100,0),""))),"")</f>
        <v>0</v>
      </c>
      <c r="BL149" s="39" t="n">
        <f aca="false">IFERROR(IF($C149="","",IF($D149="","",IFERROR(ROUND($D149*INDEX('🔖 배합비 참조'!$B$2:$CE$83,MATCH("자색고구마가루(중국산)",'🔖 배합비 참조'!$A$2:$A$83,0),MATCH($C149,'🔖 배합비 참조'!$B$1:$CE$1,0))/100,0),""))),"")</f>
        <v>0</v>
      </c>
      <c r="BM149" s="39" t="n">
        <f aca="false">IFERROR(IF($C149="","",IF($D149="","",IFERROR(ROUND($D149*INDEX('🔖 배합비 참조'!$B$2:$CE$83,MATCH("자연치즈(체다치즈)",'🔖 배합비 참조'!$A$2:$A$83,0),MATCH($C149,'🔖 배합비 참조'!$B$1:$CE$1,0))/100,0),""))),"")</f>
        <v>0</v>
      </c>
      <c r="BN149" s="39" t="n">
        <f aca="false">IFERROR(IF($C149="","",IF($D149="","",IFERROR(ROUND($D149*INDEX('🔖 배합비 참조'!$B$2:$CE$83,MATCH("정제수",'🔖 배합비 참조'!$A$2:$A$83,0),MATCH($C149,'🔖 배합비 참조'!$B$1:$CE$1,0))/100,0),""))),"")</f>
        <v>25</v>
      </c>
      <c r="BO149" s="39" t="n">
        <f aca="false">IFERROR(IF($C149="","",IF($D149="","",IFERROR(ROUND($D149*INDEX('🔖 배합비 참조'!$B$2:$CE$83,MATCH("젤라틴",'🔖 배합비 참조'!$A$2:$A$83,0),MATCH($C149,'🔖 배합비 참조'!$B$1:$CE$1,0))/100,0),""))),"")</f>
        <v>0</v>
      </c>
      <c r="BP149" s="39" t="n">
        <f aca="false">IFERROR(IF($C149="","",IF($D149="","",IFERROR(ROUND($D149*INDEX('🔖 배합비 참조'!$B$2:$CE$83,MATCH("조림류(백옥앙금)",'🔖 배합비 참조'!$A$2:$A$83,0),MATCH($C149,'🔖 배합비 참조'!$B$1:$CE$1,0))/100,0),""))),"")</f>
        <v>0</v>
      </c>
      <c r="BQ149" s="39" t="n">
        <f aca="false">IFERROR(IF($C149="","",IF($D149="","",IFERROR(ROUND($D149*INDEX('🔖 배합비 참조'!$B$2:$CE$83,MATCH("조림류(통팥앙금)",'🔖 배합비 참조'!$A$2:$A$83,0),MATCH($C149,'🔖 배합비 참조'!$B$1:$CE$1,0))/100,0),""))),"")</f>
        <v>0</v>
      </c>
      <c r="BR149" s="39" t="n">
        <f aca="false">IFERROR(IF($C149="","",IF($D149="","",IFERROR(ROUND($D149*INDEX('🔖 배합비 참조'!$B$2:$CE$83,MATCH("준초콜릿(외국산)",'🔖 배합비 참조'!$A$2:$A$83,0),MATCH($C149,'🔖 배합비 참조'!$B$1:$CE$1,0))/100,0),""))),"")</f>
        <v>0</v>
      </c>
      <c r="BS149" s="39" t="n">
        <f aca="false">IFERROR(IF($C149="","",IF($D149="","",IFERROR(ROUND($D149*INDEX('🔖 배합비 참조'!$B$2:$CE$83,MATCH("중력분",'🔖 배합비 참조'!$A$2:$A$83,0),MATCH($C149,'🔖 배합비 참조'!$B$1:$CE$1,0))/100,0),""))),"")</f>
        <v>0</v>
      </c>
      <c r="BT149" s="39" t="n">
        <f aca="false">IFERROR(IF($C149="","",IF($D149="","",IFERROR(ROUND($D149*INDEX('🔖 배합비 참조'!$B$2:$CE$83,MATCH("참깨(인도산,나이지리아산,탄자니아산,미얀마산)",'🔖 배합비 참조'!$A$2:$A$83,0),MATCH($C149,'🔖 배합비 참조'!$B$1:$CE$1,0))/100,0),""))),"")</f>
        <v>0</v>
      </c>
      <c r="BU149" s="39" t="n">
        <f aca="false">IFERROR(IF($C149="","",IF($D149="","",IFERROR(ROUND($D149*INDEX('🔖 배합비 참조'!$B$2:$CE$83,MATCH("찹쌀(국내산)",'🔖 배합비 참조'!$A$2:$A$83,0),MATCH($C149,'🔖 배합비 참조'!$B$1:$CE$1,0))/100,0),""))),"")</f>
        <v>0</v>
      </c>
      <c r="BV149" s="39" t="n">
        <f aca="false">IFERROR(IF($C149="","",IF($D149="","",IFERROR(ROUND($D149*INDEX('🔖 배합비 참조'!$B$2:$CE$83,MATCH("천일염",'🔖 배합비 참조'!$A$2:$A$83,0),MATCH($C149,'🔖 배합비 참조'!$B$1:$CE$1,0))/100,0),""))),"")</f>
        <v>2</v>
      </c>
      <c r="BW149" s="39" t="n">
        <f aca="false">IFERROR(IF($C149="","",IF($D149="","",IFERROR(ROUND($D149*INDEX('🔖 배합비 참조'!$B$2:$CE$83,MATCH("치즈 [크림치즈]",'🔖 배합비 참조'!$A$2:$A$83,0),MATCH($C149,'🔖 배합비 참조'!$B$1:$CE$1,0))/100,0),""))),"")</f>
        <v>0</v>
      </c>
      <c r="BX149" s="39" t="n">
        <f aca="false">IFERROR(IF($C149="","",IF($D149="","",IFERROR(ROUND($D149*INDEX('🔖 배합비 참조'!$B$2:$CE$83,MATCH("코코아가공품류(코코아분말)",'🔖 배합비 참조'!$A$2:$A$83,0),MATCH($C149,'🔖 배합비 참조'!$B$1:$CE$1,0))/100,0),""))),"")</f>
        <v>0</v>
      </c>
      <c r="BY149" s="39" t="n">
        <f aca="false">IFERROR(IF($C149="","",IF($D149="","",IFERROR(ROUND($D149*INDEX('🔖 배합비 참조'!$B$2:$CE$83,MATCH("콩기름(대두유)",'🔖 배합비 참조'!$A$2:$A$83,0),MATCH($C149,'🔖 배합비 참조'!$B$1:$CE$1,0))/100,0),""))),"")</f>
        <v>0</v>
      </c>
      <c r="BZ149" s="39" t="n">
        <f aca="false">IFERROR(IF($C149="","",IF($D149="","",IFERROR(ROUND($D149*INDEX('🔖 배합비 참조'!$B$2:$CE$83,MATCH("해바라기씨앗",'🔖 배합비 참조'!$A$2:$A$83,0),MATCH($C149,'🔖 배합비 참조'!$B$1:$CE$1,0))/100,0),""))),"")</f>
        <v>0</v>
      </c>
      <c r="CA149" s="39" t="n">
        <f aca="false">IFERROR(IF($C149="","",IF($D149="","",IFERROR(ROUND($D149*INDEX('🔖 배합비 참조'!$B$2:$CE$83,MATCH("현미(국내산)",'🔖 배합비 참조'!$A$2:$A$83,0),MATCH($C149,'🔖 배합비 참조'!$B$1:$CE$1,0))/100,0),""))),"")</f>
        <v>0</v>
      </c>
      <c r="CB149" s="39" t="n">
        <f aca="false">IFERROR(IF($C149="","",IF($D149="","",IFERROR(ROUND($D149*INDEX('🔖 배합비 참조'!$B$2:$CE$83,MATCH("현미멥쌀(국내산)",'🔖 배합비 참조'!$A$2:$A$83,0),MATCH($C149,'🔖 배합비 참조'!$B$1:$CE$1,0))/100,0),""))),"")</f>
        <v>0</v>
      </c>
      <c r="CC149" s="39" t="n">
        <f aca="false">IFERROR(IF($C149="","",IF($D149="","",IFERROR(ROUND($D149*INDEX('🔖 배합비 참조'!$B$2:$CE$83,MATCH("호두분태(미국산)",'🔖 배합비 참조'!$A$2:$A$83,0),MATCH($C149,'🔖 배합비 참조'!$B$1:$CE$1,0))/100,0),""))),"")</f>
        <v>0</v>
      </c>
      <c r="CD149" s="39" t="n">
        <f aca="false">IFERROR(IF($C149="","",IF($D149="","",IFERROR(ROUND($D149*INDEX('🔖 배합비 참조'!$B$2:$CE$83,MATCH("호박씨앗(외국산)",'🔖 배합비 참조'!$A$2:$A$83,0),MATCH($C149,'🔖 배합비 참조'!$B$1:$CE$1,0))/100,0),""))),"")</f>
        <v>0</v>
      </c>
      <c r="CE149" s="39" t="n">
        <f aca="false">IFERROR(IF($C149="","",IF($D149="","",IFERROR(ROUND($D149*INDEX('🔖 배합비 참조'!$B$2:$CE$83,MATCH("혼합제제(떡용에스텔)",'🔖 배합비 참조'!$A$2:$A$83,0),MATCH($C149,'🔖 배합비 참조'!$B$1:$CE$1,0))/100,0),""))),"")</f>
        <v>0</v>
      </c>
      <c r="CF149" s="39" t="n">
        <f aca="false">IFERROR(IF($C149="","",IF($D149="","",IFERROR(ROUND($D149*INDEX('🔖 배합비 참조'!$B$2:$CE$83,MATCH("혼합제제(스테비아)",'🔖 배합비 참조'!$A$2:$A$83,0),MATCH($C149,'🔖 배합비 참조'!$B$1:$CE$1,0))/100,0),""))),"")</f>
        <v>0</v>
      </c>
      <c r="CG149" s="39" t="n">
        <f aca="false">IFERROR(IF($C149="","",IF($D149="","",IFERROR(ROUND($D149*INDEX('🔖 배합비 참조'!$B$2:$CE$83,MATCH("화이트초콜릿",'🔖 배합비 참조'!$A$2:$A$83,0),MATCH($C149,'🔖 배합비 참조'!$B$1:$CE$1,0))/100,0),""))),"")</f>
        <v>0</v>
      </c>
      <c r="CH149" s="39" t="n">
        <f aca="false">IFERROR(IF($C149="","",IF($D149="","",IFERROR(ROUND($D149*INDEX('🔖 배합비 참조'!$B$2:$CE$83,MATCH("흑미찹쌀(국내산)",'🔖 배합비 참조'!$A$2:$A$83,0),MATCH($C149,'🔖 배합비 참조'!$B$1:$CE$1,0))/100,0),""))),"")</f>
        <v>0</v>
      </c>
      <c r="CI149" s="39" t="n">
        <f aca="false">IFERROR(IF($C149="","",IF($D149="","",IFERROR(ROUND($D149*INDEX('🔖 배합비 참조'!$B$2:$CE$83,MATCH("찰옥수수전분(미국산)",'🔖 배합비 참조'!$A$2:$A$83,0),MATCH($C149,'🔖 배합비 참조'!$B$1:$CE$1,0))/100,0),""))),"")</f>
        <v>0</v>
      </c>
      <c r="CJ149" s="40"/>
      <c r="CL149" s="1" t="s">
        <v>245</v>
      </c>
    </row>
    <row r="150" customFormat="false" ht="18" hidden="false" customHeight="true" outlineLevel="0" collapsed="false">
      <c r="A150" s="41" t="n">
        <v>146</v>
      </c>
      <c r="B150" s="36" t="n">
        <v>46024</v>
      </c>
      <c r="C150" s="37" t="s">
        <v>215</v>
      </c>
      <c r="D150" s="38" t="n">
        <v>45</v>
      </c>
      <c r="E150" s="17"/>
      <c r="F150" s="17"/>
      <c r="G150" s="42" t="n">
        <f aca="false">IFERROR(IF($C150="","",IF($D150="","",IFERROR(ROUND($D150*INDEX('🔖 배합비 참조'!$B$2:$CE$83,MATCH("간장",'🔖 배합비 참조'!$A$2:$A$83,0),MATCH($C150,'🔖 배합비 참조'!$B$1:$CE$1,0))/100,0),""))),"")</f>
        <v>0</v>
      </c>
      <c r="H150" s="42" t="n">
        <f aca="false">IFERROR(IF($C150="","",IF($D150="","",IFERROR(ROUND($D150*INDEX('🔖 배합비 참조'!$B$2:$CE$83,MATCH("강낭콩((울타리콩))",'🔖 배합비 참조'!$A$2:$A$83,0),MATCH($C150,'🔖 배합비 참조'!$B$1:$CE$1,0))/100,0),""))),"")</f>
        <v>0</v>
      </c>
      <c r="I150" s="42" t="n">
        <f aca="false">IFERROR(IF($C150="","",IF($D150="","",IFERROR(ROUND($D150*INDEX('🔖 배합비 참조'!$B$2:$CE$83,MATCH("건조딸기다이스(외국산)",'🔖 배합비 참조'!$A$2:$A$83,0),MATCH($C150,'🔖 배합비 참조'!$B$1:$CE$1,0))/100,0),""))),"")</f>
        <v>0</v>
      </c>
      <c r="J150" s="42" t="n">
        <f aca="false">IFERROR(IF($C150="","",IF($D150="","",IFERROR(ROUND($D150*INDEX('🔖 배합비 참조'!$B$2:$CE$83,MATCH("건포도",'🔖 배합비 참조'!$A$2:$A$83,0),MATCH($C150,'🔖 배합비 참조'!$B$1:$CE$1,0))/100,0),""))),"")</f>
        <v>0</v>
      </c>
      <c r="K150" s="42" t="n">
        <f aca="false">IFERROR(IF($C150="","",IF($D150="","",IFERROR(ROUND($D150*INDEX('🔖 배합비 참조'!$B$2:$CE$83,MATCH("건호박채(중국산)",'🔖 배합비 참조'!$A$2:$A$83,0),MATCH($C150,'🔖 배합비 참조'!$B$1:$CE$1,0))/100,0),""))),"")</f>
        <v>0</v>
      </c>
      <c r="L150" s="42" t="n">
        <f aca="false">IFERROR(IF($C150="","",IF($D150="","",IFERROR(ROUND($D150*INDEX('🔖 배합비 참조'!$B$2:$CE$83,MATCH("검정깨(흑임자)",'🔖 배합비 참조'!$A$2:$A$83,0),MATCH($C150,'🔖 배합비 참조'!$B$1:$CE$1,0))/100,0),""))),"")</f>
        <v>0</v>
      </c>
      <c r="M150" s="42" t="n">
        <f aca="false">IFERROR(IF($C150="","",IF($D150="","",IFERROR(ROUND($D150*INDEX('🔖 배합비 참조'!$B$2:$CE$83,MATCH("검정콩",'🔖 배합비 참조'!$A$2:$A$83,0),MATCH($C150,'🔖 배합비 참조'!$B$1:$CE$1,0))/100,0),""))),"")</f>
        <v>0</v>
      </c>
      <c r="N150" s="42" t="n">
        <f aca="false">IFERROR(IF($C150="","",IF($D150="","",IFERROR(ROUND($D150*INDEX('🔖 배합비 참조'!$B$2:$CE$83,MATCH("계피가루",'🔖 배합비 참조'!$A$2:$A$83,0),MATCH($C150,'🔖 배합비 참조'!$B$1:$CE$1,0))/100,0),""))),"")</f>
        <v>0</v>
      </c>
      <c r="O150" s="42" t="n">
        <f aca="false">IFERROR(IF($C150="","",IF($D150="","",IFERROR(ROUND($D150*INDEX('🔖 배합비 참조'!$B$2:$CE$83,MATCH("고구마가루",'🔖 배합비 참조'!$A$2:$A$83,0),MATCH($C150,'🔖 배합비 참조'!$B$1:$CE$1,0))/100,0),""))),"")</f>
        <v>0</v>
      </c>
      <c r="P150" s="42" t="n">
        <f aca="false">IFERROR(IF($C150="","",IF($D150="","",IFERROR(ROUND($D150*INDEX('🔖 배합비 참조'!$B$2:$CE$83,MATCH("고구마무스",'🔖 배합비 참조'!$A$2:$A$83,0),MATCH($C150,'🔖 배합비 참조'!$B$1:$CE$1,0))/100,0),""))),"")</f>
        <v>0</v>
      </c>
      <c r="Q150" s="42" t="n">
        <f aca="false">IFERROR(IF($C150="","",IF($D150="","",IFERROR(ROUND($D150*INDEX('🔖 배합비 참조'!$B$2:$CE$83,MATCH("고려엉겅퀴((곤드레)국내산)",'🔖 배합비 참조'!$A$2:$A$83,0),MATCH($C150,'🔖 배합비 참조'!$B$1:$CE$1,0))/100,0),""))),"")</f>
        <v>0</v>
      </c>
      <c r="R150" s="42" t="n">
        <f aca="false">IFERROR(IF($C150="","",IF($D150="","",IFERROR(ROUND($D150*INDEX('🔖 배합비 참조'!$B$2:$CE$83,MATCH("기타가공품(복분자가루)",'🔖 배합비 참조'!$A$2:$A$83,0),MATCH($C150,'🔖 배합비 참조'!$B$1:$CE$1,0))/100,0),""))),"")</f>
        <v>0</v>
      </c>
      <c r="S150" s="42" t="n">
        <f aca="false">IFERROR(IF($C150="","",IF($D150="","",IFERROR(ROUND($D150*INDEX('🔖 배합비 참조'!$B$2:$CE$83,MATCH("기타가공품(슈퍼소프트엠)",'🔖 배합비 참조'!$A$2:$A$83,0),MATCH($C150,'🔖 배합비 참조'!$B$1:$CE$1,0))/100,0),""))),"")</f>
        <v>0</v>
      </c>
      <c r="T150" s="42" t="n">
        <f aca="false">IFERROR(IF($C150="","",IF($D150="","",IFERROR(ROUND($D150*INDEX('🔖 배합비 참조'!$B$2:$CE$83,MATCH("기타가공품(파인소프트 E-티)",'🔖 배합비 참조'!$A$2:$A$83,0),MATCH($C150,'🔖 배합비 참조'!$B$1:$CE$1,0))/100,0),""))),"")</f>
        <v>0</v>
      </c>
      <c r="U150" s="42" t="n">
        <f aca="false">IFERROR(IF($C150="","",IF($D150="","",IFERROR(ROUND($D150*INDEX('🔖 배합비 참조'!$B$2:$CE$83,MATCH("기타가공품(프리미엄카스테라가루)",'🔖 배합비 참조'!$A$2:$A$83,0),MATCH($C150,'🔖 배합비 참조'!$B$1:$CE$1,0))/100,0),""))),"")</f>
        <v>0</v>
      </c>
      <c r="V150" s="42" t="n">
        <f aca="false">IFERROR(IF($C150="","",IF($D150="","",IFERROR(ROUND($D150*INDEX('🔖 배합비 참조'!$B$2:$CE$83,MATCH("기타가공품(흑임자가루)",'🔖 배합비 참조'!$A$2:$A$83,0),MATCH($C150,'🔖 배합비 참조'!$B$1:$CE$1,0))/100,0),""))),"")</f>
        <v>0</v>
      </c>
      <c r="W150" s="42" t="n">
        <f aca="false">IFERROR(IF($C150="","",IF($D150="","",IFERROR(ROUND($D150*INDEX('🔖 배합비 참조'!$B$2:$CE$83,MATCH("기타설탕(흑설탕)",'🔖 배합비 참조'!$A$2:$A$83,0),MATCH($C150,'🔖 배합비 참조'!$B$1:$CE$1,0))/100,0),""))),"")</f>
        <v>0</v>
      </c>
      <c r="X150" s="42" t="n">
        <f aca="false">IFERROR(IF($C150="","",IF($D150="","",IFERROR(ROUND($D150*INDEX('🔖 배합비 참조'!$B$2:$CE$83,MATCH("냉동쑥(국내산)",'🔖 배합비 참조'!$A$2:$A$83,0),MATCH($C150,'🔖 배합비 참조'!$B$1:$CE$1,0))/100,0),""))),"")</f>
        <v>0</v>
      </c>
      <c r="Y150" s="42" t="n">
        <f aca="false">IFERROR(IF($C150="","",IF($D150="","",IFERROR(ROUND($D150*INDEX('🔖 배합비 참조'!$B$2:$CE$83,MATCH("냉동증숙고구마(중국산)",'🔖 배합비 참조'!$A$2:$A$83,0),MATCH($C150,'🔖 배합비 참조'!$B$1:$CE$1,0))/100,0),""))),"")</f>
        <v>0</v>
      </c>
      <c r="Z150" s="42" t="n">
        <f aca="false">IFERROR(IF($C150="","",IF($D150="","",IFERROR(ROUND($D150*INDEX('🔖 배합비 참조'!$B$2:$CE$83,MATCH("녹차가루",'🔖 배합비 참조'!$A$2:$A$83,0),MATCH($C150,'🔖 배합비 참조'!$B$1:$CE$1,0))/100,0),""))),"")</f>
        <v>0</v>
      </c>
      <c r="AA150" s="42" t="n">
        <f aca="false">IFERROR(IF($C150="","",IF($D150="","",IFERROR(ROUND($D150*INDEX('🔖 배합비 참조'!$B$2:$CE$83,MATCH("다크초콜릿 컴파운드칩",'🔖 배합비 참조'!$A$2:$A$83,0),MATCH($C150,'🔖 배합비 참조'!$B$1:$CE$1,0))/100,0),""))),"")</f>
        <v>0</v>
      </c>
      <c r="AB150" s="42" t="n">
        <f aca="false">IFERROR(IF($C150="","",IF($D150="","",IFERROR(ROUND($D150*INDEX('🔖 배합비 참조'!$B$2:$CE$83,MATCH("단호박분말(중국산)",'🔖 배합비 참조'!$A$2:$A$83,0),MATCH($C150,'🔖 배합비 참조'!$B$1:$CE$1,0))/100,0),""))),"")</f>
        <v>1</v>
      </c>
      <c r="AC150" s="42" t="n">
        <f aca="false">IFERROR(IF($C150="","",IF($D150="","",IFERROR(ROUND($D150*INDEX('🔖 배합비 참조'!$B$2:$CE$83,MATCH("당류가공품(단호박농축액)",'🔖 배합비 참조'!$A$2:$A$83,0),MATCH($C150,'🔖 배합비 참조'!$B$1:$CE$1,0))/100,0),""))),"")</f>
        <v>0</v>
      </c>
      <c r="AD150" s="42" t="n">
        <f aca="false">IFERROR(IF($C150="","",IF($D150="","",IFERROR(ROUND($D150*INDEX('🔖 배합비 참조'!$B$2:$CE$83,MATCH("당류가공품(알룰로스,에리스리톨,스테비올배당체혼합)",'🔖 배합비 참조'!$A$2:$A$83,0),MATCH($C150,'🔖 배합비 참조'!$B$1:$CE$1,0))/100,0),""))),"")</f>
        <v>0</v>
      </c>
      <c r="AE150" s="42" t="n">
        <f aca="false">IFERROR(IF($C150="","",IF($D150="","",IFERROR(ROUND($D150*INDEX('🔖 배합비 참조'!$B$2:$CE$83,MATCH("당류가공품(알룰로스제로파우더)",'🔖 배합비 참조'!$A$2:$A$83,0),MATCH($C150,'🔖 배합비 참조'!$B$1:$CE$1,0))/100,0),""))),"")</f>
        <v>0</v>
      </c>
      <c r="AF150" s="42" t="n">
        <f aca="false">IFERROR(IF($C150="","",IF($D150="","",IFERROR(ROUND($D150*INDEX('🔖 배합비 참조'!$B$2:$CE$83,MATCH("당절임(완두배기)",'🔖 배합비 참조'!$A$2:$A$83,0),MATCH($C150,'🔖 배합비 참조'!$B$1:$CE$1,0))/100,0),""))),"")</f>
        <v>0</v>
      </c>
      <c r="AG150" s="42" t="n">
        <f aca="false">IFERROR(IF($C150="","",IF($D150="","",IFERROR(ROUND($D150*INDEX('🔖 배합비 참조'!$B$2:$CE$83,MATCH("대추농축액",'🔖 배합비 참조'!$A$2:$A$83,0),MATCH($C150,'🔖 배합비 참조'!$B$1:$CE$1,0))/100,0),""))),"")</f>
        <v>0</v>
      </c>
      <c r="AH150" s="42" t="n">
        <f aca="false">IFERROR(IF($C150="","",IF($D150="","",IFERROR(ROUND($D150*INDEX('🔖 배합비 참조'!$B$2:$CE$83,MATCH("대추채(국내산)",'🔖 배합비 참조'!$A$2:$A$83,0),MATCH($C150,'🔖 배합비 참조'!$B$1:$CE$1,0))/100,0),""))),"")</f>
        <v>0</v>
      </c>
      <c r="AI150" s="42" t="n">
        <f aca="false">IFERROR(IF($C150="","",IF($D150="","",IFERROR(ROUND($D150*INDEX('🔖 배합비 참조'!$B$2:$CE$83,MATCH("동부(미얀마산)",'🔖 배합비 참조'!$A$2:$A$83,0),MATCH($C150,'🔖 배합비 참조'!$B$1:$CE$1,0))/100,0),""))),"")</f>
        <v>0</v>
      </c>
      <c r="AJ150" s="42" t="n">
        <f aca="false">IFERROR(IF($C150="","",IF($D150="","",IFERROR(ROUND($D150*INDEX('🔖 배합비 참조'!$B$2:$CE$83,MATCH("두류가공품(백옥앙금)",'🔖 배합비 참조'!$A$2:$A$83,0),MATCH($C150,'🔖 배합비 참조'!$B$1:$CE$1,0))/100,0),""))),"")</f>
        <v>0</v>
      </c>
      <c r="AK150" s="42" t="n">
        <f aca="false">IFERROR(IF($C150="","",IF($D150="","",IFERROR(ROUND($D150*INDEX('🔖 배합비 참조'!$B$2:$CE$83,MATCH("두류가공품(콩고물)",'🔖 배합비 참조'!$A$2:$A$83,0),MATCH($C150,'🔖 배합비 참조'!$B$1:$CE$1,0))/100,0),""))),"")</f>
        <v>0</v>
      </c>
      <c r="AL150" s="42" t="n">
        <f aca="false">IFERROR(IF($C150="","",IF($D150="","",IFERROR(ROUND($D150*INDEX('🔖 배합비 참조'!$B$2:$CE$83,MATCH("두류가공품(통팥고물)",'🔖 배합비 참조'!$A$2:$A$83,0),MATCH($C150,'🔖 배합비 참조'!$B$1:$CE$1,0))/100,0),""))),"")</f>
        <v>0</v>
      </c>
      <c r="AM150" s="42" t="n">
        <f aca="false">IFERROR(IF($C150="","",IF($D150="","",IFERROR(ROUND($D150*INDEX('🔖 배합비 참조'!$B$2:$CE$83,MATCH("딸기레진",'🔖 배합비 참조'!$A$2:$A$83,0),MATCH($C150,'🔖 배합비 참조'!$B$1:$CE$1,0))/100,0),""))),"")</f>
        <v>0</v>
      </c>
      <c r="AN150" s="42" t="n">
        <f aca="false">IFERROR(IF($C150="","",IF($D150="","",IFERROR(ROUND($D150*INDEX('🔖 배합비 참조'!$B$2:$CE$83,MATCH("딸기분말(스트로우베리에이드(분말))",'🔖 배합비 참조'!$A$2:$A$83,0),MATCH($C150,'🔖 배합비 참조'!$B$1:$CE$1,0))/100,0),""))),"")</f>
        <v>0</v>
      </c>
      <c r="AO150" s="42" t="n">
        <f aca="false">IFERROR(IF($C150="","",IF($D150="","",IFERROR(ROUND($D150*INDEX('🔖 배합비 참조'!$B$2:$CE$83,MATCH("마스카포네치즈",'🔖 배합비 참조'!$A$2:$A$83,0),MATCH($C150,'🔖 배합비 참조'!$B$1:$CE$1,0))/100,0),""))),"")</f>
        <v>0</v>
      </c>
      <c r="AP150" s="42" t="n">
        <f aca="false">IFERROR(IF($C150="","",IF($D150="","",IFERROR(ROUND($D150*INDEX('🔖 배합비 참조'!$B$2:$CE$83,MATCH("마카다미아분태(호주산)",'🔖 배합비 참조'!$A$2:$A$83,0),MATCH($C150,'🔖 배합비 참조'!$B$1:$CE$1,0))/100,0),""))),"")</f>
        <v>0</v>
      </c>
      <c r="AQ150" s="42" t="n">
        <f aca="false">IFERROR(IF($C150="","",IF($D150="","",IFERROR(ROUND($D150*INDEX('🔖 배합비 참조'!$B$2:$CE$83,MATCH("멥쌀(국내산)",'🔖 배합비 참조'!$A$2:$A$83,0),MATCH($C150,'🔖 배합비 참조'!$B$1:$CE$1,0))/100,0),""))),"")</f>
        <v>30</v>
      </c>
      <c r="AR150" s="42" t="n">
        <f aca="false">IFERROR(IF($C150="","",IF($D150="","",IFERROR(ROUND($D150*INDEX('🔖 배합비 참조'!$B$2:$CE$83,MATCH("모시잎(국내산)",'🔖 배합비 참조'!$A$2:$A$83,0),MATCH($C150,'🔖 배합비 참조'!$B$1:$CE$1,0))/100,0),""))),"")</f>
        <v>0</v>
      </c>
      <c r="AS150" s="42" t="n">
        <f aca="false">IFERROR(IF($C150="","",IF($D150="","",IFERROR(ROUND($D150*INDEX('🔖 배합비 참조'!$B$2:$CE$83,MATCH("물엿(저당물엿)",'🔖 배합비 참조'!$A$2:$A$83,0),MATCH($C150,'🔖 배합비 참조'!$B$1:$CE$1,0))/100,0),""))),"")</f>
        <v>0</v>
      </c>
      <c r="AT150" s="42" t="n">
        <f aca="false">IFERROR(IF($C150="","",IF($D150="","",IFERROR(ROUND($D150*INDEX('🔖 배합비 참조'!$B$2:$CE$83,MATCH("밤다이스",'🔖 배합비 참조'!$A$2:$A$83,0),MATCH($C150,'🔖 배합비 참조'!$B$1:$CE$1,0))/100,0),""))),"")</f>
        <v>0</v>
      </c>
      <c r="AU150" s="42" t="n">
        <f aca="false">IFERROR(IF($C150="","",IF($D150="","",IFERROR(ROUND($D150*INDEX('🔖 배합비 참조'!$B$2:$CE$83,MATCH("변성전분(타피오카전분)",'🔖 배합비 참조'!$A$2:$A$83,0),MATCH($C150,'🔖 배합비 참조'!$B$1:$CE$1,0))/100,0),""))),"")</f>
        <v>0</v>
      </c>
      <c r="AV150" s="42" t="n">
        <f aca="false">IFERROR(IF($C150="","",IF($D150="","",IFERROR(ROUND($D150*INDEX('🔖 배합비 참조'!$B$2:$CE$83,MATCH("복음땅콩분태",'🔖 배합비 참조'!$A$2:$A$83,0),MATCH($C150,'🔖 배합비 참조'!$B$1:$CE$1,0))/100,0),""))),"")</f>
        <v>0</v>
      </c>
      <c r="AW150" s="42" t="n">
        <f aca="false">IFERROR(IF($C150="","",IF($D150="","",IFERROR(ROUND($D150*INDEX('🔖 배합비 참조'!$B$2:$CE$83,MATCH("사양벌꿀(국내산)",'🔖 배합비 참조'!$A$2:$A$83,0),MATCH($C150,'🔖 배합비 참조'!$B$1:$CE$1,0))/100,0),""))),"")</f>
        <v>0</v>
      </c>
      <c r="AX150" s="42" t="n">
        <f aca="false">IFERROR(IF($C150="","",IF($D150="","",IFERROR(ROUND($D150*INDEX('🔖 배합비 참조'!$B$2:$CE$83,MATCH("생크림",'🔖 배합비 참조'!$A$2:$A$83,0),MATCH($C150,'🔖 배합비 참조'!$B$1:$CE$1,0))/100,0),""))),"")</f>
        <v>0</v>
      </c>
      <c r="AY150" s="42" t="n">
        <f aca="false">IFERROR(IF($C150="","",IF($D150="","",IFERROR(ROUND($D150*INDEX('🔖 배합비 참조'!$B$2:$CE$83,MATCH("서양호박(국내산,뉴질랜드산)",'🔖 배합비 참조'!$A$2:$A$83,0),MATCH($C150,'🔖 배합비 참조'!$B$1:$CE$1,0))/100,0),""))),"")</f>
        <v>4</v>
      </c>
      <c r="AZ150" s="42" t="n">
        <f aca="false">IFERROR(IF($C150="","",IF($D150="","",IFERROR(ROUND($D150*INDEX('🔖 배합비 참조'!$B$2:$CE$83,MATCH("설탕",'🔖 배합비 참조'!$A$2:$A$83,0),MATCH($C150,'🔖 배합비 참조'!$B$1:$CE$1,0))/100,0),""))),"")</f>
        <v>4</v>
      </c>
      <c r="BA150" s="42" t="n">
        <f aca="false">IFERROR(IF($C150="","",IF($D150="","",IFERROR(ROUND($D150*INDEX('🔖 배합비 참조'!$B$2:$CE$83,MATCH("스트로우베리 에이드 후레쉬",'🔖 배합비 참조'!$A$2:$A$83,0),MATCH($C150,'🔖 배합비 참조'!$B$1:$CE$1,0))/100,0),""))),"")</f>
        <v>0</v>
      </c>
      <c r="BB150" s="42" t="n">
        <f aca="false">IFERROR(IF($C150="","",IF($D150="","",IFERROR(ROUND($D150*INDEX('🔖 배합비 참조'!$B$2:$CE$83,MATCH("식물성기름혼합제제(분홍)",'🔖 배합비 참조'!$A$2:$A$83,0),MATCH($C150,'🔖 배합비 참조'!$B$1:$CE$1,0))/100,0),""))),"")</f>
        <v>0</v>
      </c>
      <c r="BC150" s="42" t="n">
        <f aca="false">IFERROR(IF($C150="","",IF($D150="","",IFERROR(ROUND($D150*INDEX('🔖 배합비 참조'!$B$2:$CE$83,MATCH("식물성기름혼합제제(초록)",'🔖 배합비 참조'!$A$2:$A$83,0),MATCH($C150,'🔖 배합비 참조'!$B$1:$CE$1,0))/100,0),""))),"")</f>
        <v>0</v>
      </c>
      <c r="BD150" s="42" t="n">
        <f aca="false">IFERROR(IF($C150="","",IF($D150="","",IFERROR(ROUND($D150*INDEX('🔖 배합비 참조'!$B$2:$CE$83,MATCH("식물성기름혼합제제(황색)",'🔖 배합비 참조'!$A$2:$A$83,0),MATCH($C150,'🔖 배합비 참조'!$B$1:$CE$1,0))/100,0),""))),"")</f>
        <v>0</v>
      </c>
      <c r="BE150" s="42" t="n">
        <f aca="false">IFERROR(IF($C150="","",IF($D150="","",IFERROR(ROUND($D150*INDEX('🔖 배합비 참조'!$B$2:$CE$83,MATCH("쑥가루(국내산)",'🔖 배합비 참조'!$A$2:$A$83,0),MATCH($C150,'🔖 배합비 참조'!$B$1:$CE$1,0))/100,0),""))),"")</f>
        <v>0</v>
      </c>
      <c r="BF150" s="42" t="n">
        <f aca="false">IFERROR(IF($C150="","",IF($D150="","",IFERROR(ROUND($D150*INDEX('🔖 배합비 참조'!$B$2:$CE$83,MATCH("아몬드슬라이스",'🔖 배합비 참조'!$A$2:$A$83,0),MATCH($C150,'🔖 배합비 참조'!$B$1:$CE$1,0))/100,0),""))),"")</f>
        <v>0</v>
      </c>
      <c r="BG150" s="42" t="n">
        <f aca="false">IFERROR(IF($C150="","",IF($D150="","",IFERROR(ROUND($D150*INDEX('🔖 배합비 참조'!$B$2:$CE$83,MATCH("알룰로오스(국내산)",'🔖 배합비 참조'!$A$2:$A$83,0),MATCH($C150,'🔖 배합비 참조'!$B$1:$CE$1,0))/100,0),""))),"")</f>
        <v>0</v>
      </c>
      <c r="BH150" s="42" t="n">
        <f aca="false">IFERROR(IF($C150="","",IF($D150="","",IFERROR(ROUND($D150*INDEX('🔖 배합비 참조'!$B$2:$CE$83,MATCH("연유",'🔖 배합비 참조'!$A$2:$A$83,0),MATCH($C150,'🔖 배합비 참조'!$B$1:$CE$1,0))/100,0),""))),"")</f>
        <v>0</v>
      </c>
      <c r="BI150" s="42" t="n">
        <f aca="false">IFERROR(IF($C150="","",IF($D150="","",IFERROR(ROUND($D150*INDEX('🔖 배합비 참조'!$B$2:$CE$83,MATCH("옥수수전분",'🔖 배합비 참조'!$A$2:$A$83,0),MATCH($C150,'🔖 배합비 참조'!$B$1:$CE$1,0))/100,0),""))),"")</f>
        <v>0</v>
      </c>
      <c r="BJ150" s="42" t="n">
        <f aca="false">IFERROR(IF($C150="","",IF($D150="","",IFERROR(ROUND($D150*INDEX('🔖 배합비 참조'!$B$2:$CE$83,MATCH("완두배기",'🔖 배합비 참조'!$A$2:$A$83,0),MATCH($C150,'🔖 배합비 참조'!$B$1:$CE$1,0))/100,0),""))),"")</f>
        <v>0</v>
      </c>
      <c r="BK150" s="42" t="n">
        <f aca="false">IFERROR(IF($C150="","",IF($D150="","",IFERROR(ROUND($D150*INDEX('🔖 배합비 참조'!$B$2:$CE$83,MATCH("우유(국내산)",'🔖 배합비 참조'!$A$2:$A$83,0),MATCH($C150,'🔖 배합비 참조'!$B$1:$CE$1,0))/100,0),""))),"")</f>
        <v>0</v>
      </c>
      <c r="BL150" s="42" t="n">
        <f aca="false">IFERROR(IF($C150="","",IF($D150="","",IFERROR(ROUND($D150*INDEX('🔖 배합비 참조'!$B$2:$CE$83,MATCH("자색고구마가루(중국산)",'🔖 배합비 참조'!$A$2:$A$83,0),MATCH($C150,'🔖 배합비 참조'!$B$1:$CE$1,0))/100,0),""))),"")</f>
        <v>0</v>
      </c>
      <c r="BM150" s="42" t="n">
        <f aca="false">IFERROR(IF($C150="","",IF($D150="","",IFERROR(ROUND($D150*INDEX('🔖 배합비 참조'!$B$2:$CE$83,MATCH("자연치즈(체다치즈)",'🔖 배합비 참조'!$A$2:$A$83,0),MATCH($C150,'🔖 배합비 참조'!$B$1:$CE$1,0))/100,0),""))),"")</f>
        <v>0</v>
      </c>
      <c r="BN150" s="42" t="n">
        <f aca="false">IFERROR(IF($C150="","",IF($D150="","",IFERROR(ROUND($D150*INDEX('🔖 배합비 참조'!$B$2:$CE$83,MATCH("정제수",'🔖 배합비 참조'!$A$2:$A$83,0),MATCH($C150,'🔖 배합비 참조'!$B$1:$CE$1,0))/100,0),""))),"")</f>
        <v>6</v>
      </c>
      <c r="BO150" s="42" t="n">
        <f aca="false">IFERROR(IF($C150="","",IF($D150="","",IFERROR(ROUND($D150*INDEX('🔖 배합비 참조'!$B$2:$CE$83,MATCH("젤라틴",'🔖 배합비 참조'!$A$2:$A$83,0),MATCH($C150,'🔖 배합비 참조'!$B$1:$CE$1,0))/100,0),""))),"")</f>
        <v>0</v>
      </c>
      <c r="BP150" s="42" t="n">
        <f aca="false">IFERROR(IF($C150="","",IF($D150="","",IFERROR(ROUND($D150*INDEX('🔖 배합비 참조'!$B$2:$CE$83,MATCH("조림류(백옥앙금)",'🔖 배합비 참조'!$A$2:$A$83,0),MATCH($C150,'🔖 배합비 참조'!$B$1:$CE$1,0))/100,0),""))),"")</f>
        <v>0</v>
      </c>
      <c r="BQ150" s="42" t="n">
        <f aca="false">IFERROR(IF($C150="","",IF($D150="","",IFERROR(ROUND($D150*INDEX('🔖 배합비 참조'!$B$2:$CE$83,MATCH("조림류(통팥앙금)",'🔖 배합비 참조'!$A$2:$A$83,0),MATCH($C150,'🔖 배합비 참조'!$B$1:$CE$1,0))/100,0),""))),"")</f>
        <v>0</v>
      </c>
      <c r="BR150" s="42" t="n">
        <f aca="false">IFERROR(IF($C150="","",IF($D150="","",IFERROR(ROUND($D150*INDEX('🔖 배합비 참조'!$B$2:$CE$83,MATCH("준초콜릿(외국산)",'🔖 배합비 참조'!$A$2:$A$83,0),MATCH($C150,'🔖 배합비 참조'!$B$1:$CE$1,0))/100,0),""))),"")</f>
        <v>0</v>
      </c>
      <c r="BS150" s="42" t="n">
        <f aca="false">IFERROR(IF($C150="","",IF($D150="","",IFERROR(ROUND($D150*INDEX('🔖 배합비 참조'!$B$2:$CE$83,MATCH("중력분",'🔖 배합비 참조'!$A$2:$A$83,0),MATCH($C150,'🔖 배합비 참조'!$B$1:$CE$1,0))/100,0),""))),"")</f>
        <v>0</v>
      </c>
      <c r="BT150" s="42" t="n">
        <f aca="false">IFERROR(IF($C150="","",IF($D150="","",IFERROR(ROUND($D150*INDEX('🔖 배합비 참조'!$B$2:$CE$83,MATCH("참깨(인도산,나이지리아산,탄자니아산,미얀마산)",'🔖 배합비 참조'!$A$2:$A$83,0),MATCH($C150,'🔖 배합비 참조'!$B$1:$CE$1,0))/100,0),""))),"")</f>
        <v>0</v>
      </c>
      <c r="BU150" s="42" t="n">
        <f aca="false">IFERROR(IF($C150="","",IF($D150="","",IFERROR(ROUND($D150*INDEX('🔖 배합비 참조'!$B$2:$CE$83,MATCH("찹쌀(국내산)",'🔖 배합비 참조'!$A$2:$A$83,0),MATCH($C150,'🔖 배합비 참조'!$B$1:$CE$1,0))/100,0),""))),"")</f>
        <v>0</v>
      </c>
      <c r="BV150" s="42" t="n">
        <f aca="false">IFERROR(IF($C150="","",IF($D150="","",IFERROR(ROUND($D150*INDEX('🔖 배합비 참조'!$B$2:$CE$83,MATCH("천일염",'🔖 배합비 참조'!$A$2:$A$83,0),MATCH($C150,'🔖 배합비 참조'!$B$1:$CE$1,0))/100,0),""))),"")</f>
        <v>0</v>
      </c>
      <c r="BW150" s="42" t="n">
        <f aca="false">IFERROR(IF($C150="","",IF($D150="","",IFERROR(ROUND($D150*INDEX('🔖 배합비 참조'!$B$2:$CE$83,MATCH("치즈 [크림치즈]",'🔖 배합비 참조'!$A$2:$A$83,0),MATCH($C150,'🔖 배합비 참조'!$B$1:$CE$1,0))/100,0),""))),"")</f>
        <v>0</v>
      </c>
      <c r="BX150" s="42" t="n">
        <f aca="false">IFERROR(IF($C150="","",IF($D150="","",IFERROR(ROUND($D150*INDEX('🔖 배합비 참조'!$B$2:$CE$83,MATCH("코코아가공품류(코코아분말)",'🔖 배합비 참조'!$A$2:$A$83,0),MATCH($C150,'🔖 배합비 참조'!$B$1:$CE$1,0))/100,0),""))),"")</f>
        <v>0</v>
      </c>
      <c r="BY150" s="42" t="n">
        <f aca="false">IFERROR(IF($C150="","",IF($D150="","",IFERROR(ROUND($D150*INDEX('🔖 배합비 참조'!$B$2:$CE$83,MATCH("콩기름(대두유)",'🔖 배합비 참조'!$A$2:$A$83,0),MATCH($C150,'🔖 배합비 참조'!$B$1:$CE$1,0))/100,0),""))),"")</f>
        <v>0</v>
      </c>
      <c r="BZ150" s="42" t="n">
        <f aca="false">IFERROR(IF($C150="","",IF($D150="","",IFERROR(ROUND($D150*INDEX('🔖 배합비 참조'!$B$2:$CE$83,MATCH("해바라기씨앗",'🔖 배합비 참조'!$A$2:$A$83,0),MATCH($C150,'🔖 배합비 참조'!$B$1:$CE$1,0))/100,0),""))),"")</f>
        <v>0</v>
      </c>
      <c r="CA150" s="42" t="n">
        <f aca="false">IFERROR(IF($C150="","",IF($D150="","",IFERROR(ROUND($D150*INDEX('🔖 배합비 참조'!$B$2:$CE$83,MATCH("현미(국내산)",'🔖 배합비 참조'!$A$2:$A$83,0),MATCH($C150,'🔖 배합비 참조'!$B$1:$CE$1,0))/100,0),""))),"")</f>
        <v>0</v>
      </c>
      <c r="CB150" s="42" t="n">
        <f aca="false">IFERROR(IF($C150="","",IF($D150="","",IFERROR(ROUND($D150*INDEX('🔖 배합비 참조'!$B$2:$CE$83,MATCH("현미멥쌀(국내산)",'🔖 배합비 참조'!$A$2:$A$83,0),MATCH($C150,'🔖 배합비 참조'!$B$1:$CE$1,0))/100,0),""))),"")</f>
        <v>0</v>
      </c>
      <c r="CC150" s="42" t="n">
        <f aca="false">IFERROR(IF($C150="","",IF($D150="","",IFERROR(ROUND($D150*INDEX('🔖 배합비 참조'!$B$2:$CE$83,MATCH("호두분태(미국산)",'🔖 배합비 참조'!$A$2:$A$83,0),MATCH($C150,'🔖 배합비 참조'!$B$1:$CE$1,0))/100,0),""))),"")</f>
        <v>0</v>
      </c>
      <c r="CD150" s="42" t="n">
        <f aca="false">IFERROR(IF($C150="","",IF($D150="","",IFERROR(ROUND($D150*INDEX('🔖 배합비 참조'!$B$2:$CE$83,MATCH("호박씨앗(외국산)",'🔖 배합비 참조'!$A$2:$A$83,0),MATCH($C150,'🔖 배합비 참조'!$B$1:$CE$1,0))/100,0),""))),"")</f>
        <v>0</v>
      </c>
      <c r="CE150" s="42" t="n">
        <f aca="false">IFERROR(IF($C150="","",IF($D150="","",IFERROR(ROUND($D150*INDEX('🔖 배합비 참조'!$B$2:$CE$83,MATCH("혼합제제(떡용에스텔)",'🔖 배합비 참조'!$A$2:$A$83,0),MATCH($C150,'🔖 배합비 참조'!$B$1:$CE$1,0))/100,0),""))),"")</f>
        <v>0</v>
      </c>
      <c r="CF150" s="42" t="n">
        <f aca="false">IFERROR(IF($C150="","",IF($D150="","",IFERROR(ROUND($D150*INDEX('🔖 배합비 참조'!$B$2:$CE$83,MATCH("혼합제제(스테비아)",'🔖 배합비 참조'!$A$2:$A$83,0),MATCH($C150,'🔖 배합비 참조'!$B$1:$CE$1,0))/100,0),""))),"")</f>
        <v>0</v>
      </c>
      <c r="CG150" s="42" t="n">
        <f aca="false">IFERROR(IF($C150="","",IF($D150="","",IFERROR(ROUND($D150*INDEX('🔖 배합비 참조'!$B$2:$CE$83,MATCH("화이트초콜릿",'🔖 배합비 참조'!$A$2:$A$83,0),MATCH($C150,'🔖 배합비 참조'!$B$1:$CE$1,0))/100,0),""))),"")</f>
        <v>0</v>
      </c>
      <c r="CH150" s="42" t="n">
        <f aca="false">IFERROR(IF($C150="","",IF($D150="","",IFERROR(ROUND($D150*INDEX('🔖 배합비 참조'!$B$2:$CE$83,MATCH("흑미찹쌀(국내산)",'🔖 배합비 참조'!$A$2:$A$83,0),MATCH($C150,'🔖 배합비 참조'!$B$1:$CE$1,0))/100,0),""))),"")</f>
        <v>0</v>
      </c>
      <c r="CI150" s="42" t="n">
        <f aca="false">IFERROR(IF($C150="","",IF($D150="","",IFERROR(ROUND($D150*INDEX('🔖 배합비 참조'!$B$2:$CE$83,MATCH("찰옥수수전분(미국산)",'🔖 배합비 참조'!$A$2:$A$83,0),MATCH($C150,'🔖 배합비 참조'!$B$1:$CE$1,0))/100,0),""))),"")</f>
        <v>0</v>
      </c>
      <c r="CJ150" s="40"/>
      <c r="CL150" s="1" t="s">
        <v>245</v>
      </c>
    </row>
    <row r="151" customFormat="false" ht="18" hidden="false" customHeight="true" outlineLevel="0" collapsed="false">
      <c r="A151" s="35" t="n">
        <v>147</v>
      </c>
      <c r="B151" s="36" t="n">
        <v>46027</v>
      </c>
      <c r="C151" s="37" t="s">
        <v>144</v>
      </c>
      <c r="D151" s="38" t="n">
        <v>70</v>
      </c>
      <c r="E151" s="13"/>
      <c r="F151" s="13"/>
      <c r="G151" s="39" t="n">
        <f aca="false">IFERROR(IF($C151="","",IF($D151="","",IFERROR(ROUND($D151*INDEX('🔖 배합비 참조'!$B$2:$CE$83,MATCH("간장",'🔖 배합비 참조'!$A$2:$A$83,0),MATCH($C151,'🔖 배합비 참조'!$B$1:$CE$1,0))/100,0),""))),"")</f>
        <v>0</v>
      </c>
      <c r="H151" s="39" t="n">
        <f aca="false">IFERROR(IF($C151="","",IF($D151="","",IFERROR(ROUND($D151*INDEX('🔖 배합비 참조'!$B$2:$CE$83,MATCH("강낭콩((울타리콩))",'🔖 배합비 참조'!$A$2:$A$83,0),MATCH($C151,'🔖 배합비 참조'!$B$1:$CE$1,0))/100,0),""))),"")</f>
        <v>0</v>
      </c>
      <c r="I151" s="39" t="n">
        <f aca="false">IFERROR(IF($C151="","",IF($D151="","",IFERROR(ROUND($D151*INDEX('🔖 배합비 참조'!$B$2:$CE$83,MATCH("건조딸기다이스(외국산)",'🔖 배합비 참조'!$A$2:$A$83,0),MATCH($C151,'🔖 배합비 참조'!$B$1:$CE$1,0))/100,0),""))),"")</f>
        <v>0</v>
      </c>
      <c r="J151" s="39" t="n">
        <f aca="false">IFERROR(IF($C151="","",IF($D151="","",IFERROR(ROUND($D151*INDEX('🔖 배합비 참조'!$B$2:$CE$83,MATCH("건포도",'🔖 배합비 참조'!$A$2:$A$83,0),MATCH($C151,'🔖 배합비 참조'!$B$1:$CE$1,0))/100,0),""))),"")</f>
        <v>0</v>
      </c>
      <c r="K151" s="39" t="n">
        <f aca="false">IFERROR(IF($C151="","",IF($D151="","",IFERROR(ROUND($D151*INDEX('🔖 배합비 참조'!$B$2:$CE$83,MATCH("건호박채(중국산)",'🔖 배합비 참조'!$A$2:$A$83,0),MATCH($C151,'🔖 배합비 참조'!$B$1:$CE$1,0))/100,0),""))),"")</f>
        <v>0</v>
      </c>
      <c r="L151" s="39" t="n">
        <f aca="false">IFERROR(IF($C151="","",IF($D151="","",IFERROR(ROUND($D151*INDEX('🔖 배합비 참조'!$B$2:$CE$83,MATCH("검정깨(흑임자)",'🔖 배합비 참조'!$A$2:$A$83,0),MATCH($C151,'🔖 배합비 참조'!$B$1:$CE$1,0))/100,0),""))),"")</f>
        <v>0</v>
      </c>
      <c r="M151" s="39" t="n">
        <f aca="false">IFERROR(IF($C151="","",IF($D151="","",IFERROR(ROUND($D151*INDEX('🔖 배합비 참조'!$B$2:$CE$83,MATCH("검정콩",'🔖 배합비 참조'!$A$2:$A$83,0),MATCH($C151,'🔖 배합비 참조'!$B$1:$CE$1,0))/100,0),""))),"")</f>
        <v>0</v>
      </c>
      <c r="N151" s="39" t="n">
        <f aca="false">IFERROR(IF($C151="","",IF($D151="","",IFERROR(ROUND($D151*INDEX('🔖 배합비 참조'!$B$2:$CE$83,MATCH("계피가루",'🔖 배합비 참조'!$A$2:$A$83,0),MATCH($C151,'🔖 배합비 참조'!$B$1:$CE$1,0))/100,0),""))),"")</f>
        <v>0</v>
      </c>
      <c r="O151" s="39" t="n">
        <f aca="false">IFERROR(IF($C151="","",IF($D151="","",IFERROR(ROUND($D151*INDEX('🔖 배합비 참조'!$B$2:$CE$83,MATCH("고구마가루",'🔖 배합비 참조'!$A$2:$A$83,0),MATCH($C151,'🔖 배합비 참조'!$B$1:$CE$1,0))/100,0),""))),"")</f>
        <v>0</v>
      </c>
      <c r="P151" s="39" t="n">
        <f aca="false">IFERROR(IF($C151="","",IF($D151="","",IFERROR(ROUND($D151*INDEX('🔖 배합비 참조'!$B$2:$CE$83,MATCH("고구마무스",'🔖 배합비 참조'!$A$2:$A$83,0),MATCH($C151,'🔖 배합비 참조'!$B$1:$CE$1,0))/100,0),""))),"")</f>
        <v>0</v>
      </c>
      <c r="Q151" s="39" t="n">
        <f aca="false">IFERROR(IF($C151="","",IF($D151="","",IFERROR(ROUND($D151*INDEX('🔖 배합비 참조'!$B$2:$CE$83,MATCH("고려엉겅퀴((곤드레)국내산)",'🔖 배합비 참조'!$A$2:$A$83,0),MATCH($C151,'🔖 배합비 참조'!$B$1:$CE$1,0))/100,0),""))),"")</f>
        <v>0</v>
      </c>
      <c r="R151" s="39" t="n">
        <f aca="false">IFERROR(IF($C151="","",IF($D151="","",IFERROR(ROUND($D151*INDEX('🔖 배합비 참조'!$B$2:$CE$83,MATCH("기타가공품(복분자가루)",'🔖 배합비 참조'!$A$2:$A$83,0),MATCH($C151,'🔖 배합비 참조'!$B$1:$CE$1,0))/100,0),""))),"")</f>
        <v>0</v>
      </c>
      <c r="S151" s="39" t="n">
        <f aca="false">IFERROR(IF($C151="","",IF($D151="","",IFERROR(ROUND($D151*INDEX('🔖 배합비 참조'!$B$2:$CE$83,MATCH("기타가공품(슈퍼소프트엠)",'🔖 배합비 참조'!$A$2:$A$83,0),MATCH($C151,'🔖 배합비 참조'!$B$1:$CE$1,0))/100,0),""))),"")</f>
        <v>0</v>
      </c>
      <c r="T151" s="39" t="n">
        <f aca="false">IFERROR(IF($C151="","",IF($D151="","",IFERROR(ROUND($D151*INDEX('🔖 배합비 참조'!$B$2:$CE$83,MATCH("기타가공품(파인소프트 E-티)",'🔖 배합비 참조'!$A$2:$A$83,0),MATCH($C151,'🔖 배합비 참조'!$B$1:$CE$1,0))/100,0),""))),"")</f>
        <v>0</v>
      </c>
      <c r="U151" s="39" t="n">
        <f aca="false">IFERROR(IF($C151="","",IF($D151="","",IFERROR(ROUND($D151*INDEX('🔖 배합비 참조'!$B$2:$CE$83,MATCH("기타가공품(프리미엄카스테라가루)",'🔖 배합비 참조'!$A$2:$A$83,0),MATCH($C151,'🔖 배합비 참조'!$B$1:$CE$1,0))/100,0),""))),"")</f>
        <v>0</v>
      </c>
      <c r="V151" s="39" t="n">
        <f aca="false">IFERROR(IF($C151="","",IF($D151="","",IFERROR(ROUND($D151*INDEX('🔖 배합비 참조'!$B$2:$CE$83,MATCH("기타가공품(흑임자가루)",'🔖 배합비 참조'!$A$2:$A$83,0),MATCH($C151,'🔖 배합비 참조'!$B$1:$CE$1,0))/100,0),""))),"")</f>
        <v>0</v>
      </c>
      <c r="W151" s="39" t="n">
        <f aca="false">IFERROR(IF($C151="","",IF($D151="","",IFERROR(ROUND($D151*INDEX('🔖 배합비 참조'!$B$2:$CE$83,MATCH("기타설탕(흑설탕)",'🔖 배합비 참조'!$A$2:$A$83,0),MATCH($C151,'🔖 배합비 참조'!$B$1:$CE$1,0))/100,0),""))),"")</f>
        <v>0</v>
      </c>
      <c r="X151" s="39" t="n">
        <f aca="false">IFERROR(IF($C151="","",IF($D151="","",IFERROR(ROUND($D151*INDEX('🔖 배합비 참조'!$B$2:$CE$83,MATCH("냉동쑥(국내산)",'🔖 배합비 참조'!$A$2:$A$83,0),MATCH($C151,'🔖 배합비 참조'!$B$1:$CE$1,0))/100,0),""))),"")</f>
        <v>0</v>
      </c>
      <c r="Y151" s="39" t="n">
        <f aca="false">IFERROR(IF($C151="","",IF($D151="","",IFERROR(ROUND($D151*INDEX('🔖 배합비 참조'!$B$2:$CE$83,MATCH("냉동증숙고구마(중국산)",'🔖 배합비 참조'!$A$2:$A$83,0),MATCH($C151,'🔖 배합비 참조'!$B$1:$CE$1,0))/100,0),""))),"")</f>
        <v>0</v>
      </c>
      <c r="Z151" s="39" t="n">
        <f aca="false">IFERROR(IF($C151="","",IF($D151="","",IFERROR(ROUND($D151*INDEX('🔖 배합비 참조'!$B$2:$CE$83,MATCH("녹차가루",'🔖 배합비 참조'!$A$2:$A$83,0),MATCH($C151,'🔖 배합비 참조'!$B$1:$CE$1,0))/100,0),""))),"")</f>
        <v>0</v>
      </c>
      <c r="AA151" s="39" t="n">
        <f aca="false">IFERROR(IF($C151="","",IF($D151="","",IFERROR(ROUND($D151*INDEX('🔖 배합비 참조'!$B$2:$CE$83,MATCH("다크초콜릿 컴파운드칩",'🔖 배합비 참조'!$A$2:$A$83,0),MATCH($C151,'🔖 배합비 참조'!$B$1:$CE$1,0))/100,0),""))),"")</f>
        <v>0</v>
      </c>
      <c r="AB151" s="39" t="n">
        <f aca="false">IFERROR(IF($C151="","",IF($D151="","",IFERROR(ROUND($D151*INDEX('🔖 배합비 참조'!$B$2:$CE$83,MATCH("단호박분말(중국산)",'🔖 배합비 참조'!$A$2:$A$83,0),MATCH($C151,'🔖 배합비 참조'!$B$1:$CE$1,0))/100,0),""))),"")</f>
        <v>0</v>
      </c>
      <c r="AC151" s="39" t="n">
        <f aca="false">IFERROR(IF($C151="","",IF($D151="","",IFERROR(ROUND($D151*INDEX('🔖 배합비 참조'!$B$2:$CE$83,MATCH("당류가공품(단호박농축액)",'🔖 배합비 참조'!$A$2:$A$83,0),MATCH($C151,'🔖 배합비 참조'!$B$1:$CE$1,0))/100,0),""))),"")</f>
        <v>0</v>
      </c>
      <c r="AD151" s="39" t="n">
        <f aca="false">IFERROR(IF($C151="","",IF($D151="","",IFERROR(ROUND($D151*INDEX('🔖 배합비 참조'!$B$2:$CE$83,MATCH("당류가공품(알룰로스,에리스리톨,스테비올배당체혼합)",'🔖 배합비 참조'!$A$2:$A$83,0),MATCH($C151,'🔖 배합비 참조'!$B$1:$CE$1,0))/100,0),""))),"")</f>
        <v>0</v>
      </c>
      <c r="AE151" s="39" t="n">
        <f aca="false">IFERROR(IF($C151="","",IF($D151="","",IFERROR(ROUND($D151*INDEX('🔖 배합비 참조'!$B$2:$CE$83,MATCH("당류가공품(알룰로스제로파우더)",'🔖 배합비 참조'!$A$2:$A$83,0),MATCH($C151,'🔖 배합비 참조'!$B$1:$CE$1,0))/100,0),""))),"")</f>
        <v>0</v>
      </c>
      <c r="AF151" s="39" t="n">
        <f aca="false">IFERROR(IF($C151="","",IF($D151="","",IFERROR(ROUND($D151*INDEX('🔖 배합비 참조'!$B$2:$CE$83,MATCH("당절임(완두배기)",'🔖 배합비 참조'!$A$2:$A$83,0),MATCH($C151,'🔖 배합비 참조'!$B$1:$CE$1,0))/100,0),""))),"")</f>
        <v>0</v>
      </c>
      <c r="AG151" s="39" t="n">
        <f aca="false">IFERROR(IF($C151="","",IF($D151="","",IFERROR(ROUND($D151*INDEX('🔖 배합비 참조'!$B$2:$CE$83,MATCH("대추농축액",'🔖 배합비 참조'!$A$2:$A$83,0),MATCH($C151,'🔖 배합비 참조'!$B$1:$CE$1,0))/100,0),""))),"")</f>
        <v>0</v>
      </c>
      <c r="AH151" s="39" t="n">
        <f aca="false">IFERROR(IF($C151="","",IF($D151="","",IFERROR(ROUND($D151*INDEX('🔖 배합비 참조'!$B$2:$CE$83,MATCH("대추채(국내산)",'🔖 배합비 참조'!$A$2:$A$83,0),MATCH($C151,'🔖 배합비 참조'!$B$1:$CE$1,0))/100,0),""))),"")</f>
        <v>0</v>
      </c>
      <c r="AI151" s="39" t="n">
        <f aca="false">IFERROR(IF($C151="","",IF($D151="","",IFERROR(ROUND($D151*INDEX('🔖 배합비 참조'!$B$2:$CE$83,MATCH("동부(미얀마산)",'🔖 배합비 참조'!$A$2:$A$83,0),MATCH($C151,'🔖 배합비 참조'!$B$1:$CE$1,0))/100,0),""))),"")</f>
        <v>0</v>
      </c>
      <c r="AJ151" s="39" t="n">
        <f aca="false">IFERROR(IF($C151="","",IF($D151="","",IFERROR(ROUND($D151*INDEX('🔖 배합비 참조'!$B$2:$CE$83,MATCH("두류가공품(백옥앙금)",'🔖 배합비 참조'!$A$2:$A$83,0),MATCH($C151,'🔖 배합비 참조'!$B$1:$CE$1,0))/100,0),""))),"")</f>
        <v>0</v>
      </c>
      <c r="AK151" s="39" t="n">
        <f aca="false">IFERROR(IF($C151="","",IF($D151="","",IFERROR(ROUND($D151*INDEX('🔖 배합비 참조'!$B$2:$CE$83,MATCH("두류가공품(콩고물)",'🔖 배합비 참조'!$A$2:$A$83,0),MATCH($C151,'🔖 배합비 참조'!$B$1:$CE$1,0))/100,0),""))),"")</f>
        <v>2</v>
      </c>
      <c r="AL151" s="39" t="n">
        <f aca="false">IFERROR(IF($C151="","",IF($D151="","",IFERROR(ROUND($D151*INDEX('🔖 배합비 참조'!$B$2:$CE$83,MATCH("두류가공품(통팥고물)",'🔖 배합비 참조'!$A$2:$A$83,0),MATCH($C151,'🔖 배합비 참조'!$B$1:$CE$1,0))/100,0),""))),"")</f>
        <v>0</v>
      </c>
      <c r="AM151" s="39" t="n">
        <f aca="false">IFERROR(IF($C151="","",IF($D151="","",IFERROR(ROUND($D151*INDEX('🔖 배합비 참조'!$B$2:$CE$83,MATCH("딸기레진",'🔖 배합비 참조'!$A$2:$A$83,0),MATCH($C151,'🔖 배합비 참조'!$B$1:$CE$1,0))/100,0),""))),"")</f>
        <v>0</v>
      </c>
      <c r="AN151" s="39" t="n">
        <f aca="false">IFERROR(IF($C151="","",IF($D151="","",IFERROR(ROUND($D151*INDEX('🔖 배합비 참조'!$B$2:$CE$83,MATCH("딸기분말(스트로우베리에이드(분말))",'🔖 배합비 참조'!$A$2:$A$83,0),MATCH($C151,'🔖 배합비 참조'!$B$1:$CE$1,0))/100,0),""))),"")</f>
        <v>0</v>
      </c>
      <c r="AO151" s="39" t="n">
        <f aca="false">IFERROR(IF($C151="","",IF($D151="","",IFERROR(ROUND($D151*INDEX('🔖 배합비 참조'!$B$2:$CE$83,MATCH("마스카포네치즈",'🔖 배합비 참조'!$A$2:$A$83,0),MATCH($C151,'🔖 배합비 참조'!$B$1:$CE$1,0))/100,0),""))),"")</f>
        <v>0</v>
      </c>
      <c r="AP151" s="39" t="n">
        <f aca="false">IFERROR(IF($C151="","",IF($D151="","",IFERROR(ROUND($D151*INDEX('🔖 배합비 참조'!$B$2:$CE$83,MATCH("마카다미아분태(호주산)",'🔖 배합비 참조'!$A$2:$A$83,0),MATCH($C151,'🔖 배합비 참조'!$B$1:$CE$1,0))/100,0),""))),"")</f>
        <v>0</v>
      </c>
      <c r="AQ151" s="39" t="n">
        <f aca="false">IFERROR(IF($C151="","",IF($D151="","",IFERROR(ROUND($D151*INDEX('🔖 배합비 참조'!$B$2:$CE$83,MATCH("멥쌀(국내산)",'🔖 배합비 참조'!$A$2:$A$83,0),MATCH($C151,'🔖 배합비 참조'!$B$1:$CE$1,0))/100,0),""))),"")</f>
        <v>0</v>
      </c>
      <c r="AR151" s="39" t="n">
        <f aca="false">IFERROR(IF($C151="","",IF($D151="","",IFERROR(ROUND($D151*INDEX('🔖 배합비 참조'!$B$2:$CE$83,MATCH("모시잎(국내산)",'🔖 배합비 참조'!$A$2:$A$83,0),MATCH($C151,'🔖 배합비 참조'!$B$1:$CE$1,0))/100,0),""))),"")</f>
        <v>0</v>
      </c>
      <c r="AS151" s="39" t="n">
        <f aca="false">IFERROR(IF($C151="","",IF($D151="","",IFERROR(ROUND($D151*INDEX('🔖 배합비 참조'!$B$2:$CE$83,MATCH("물엿(저당물엿)",'🔖 배합비 참조'!$A$2:$A$83,0),MATCH($C151,'🔖 배합비 참조'!$B$1:$CE$1,0))/100,0),""))),"")</f>
        <v>3</v>
      </c>
      <c r="AT151" s="39" t="n">
        <f aca="false">IFERROR(IF($C151="","",IF($D151="","",IFERROR(ROUND($D151*INDEX('🔖 배합비 참조'!$B$2:$CE$83,MATCH("밤다이스",'🔖 배합비 참조'!$A$2:$A$83,0),MATCH($C151,'🔖 배합비 참조'!$B$1:$CE$1,0))/100,0),""))),"")</f>
        <v>0</v>
      </c>
      <c r="AU151" s="39" t="n">
        <f aca="false">IFERROR(IF($C151="","",IF($D151="","",IFERROR(ROUND($D151*INDEX('🔖 배합비 참조'!$B$2:$CE$83,MATCH("변성전분(타피오카전분)",'🔖 배합비 참조'!$A$2:$A$83,0),MATCH($C151,'🔖 배합비 참조'!$B$1:$CE$1,0))/100,0),""))),"")</f>
        <v>0</v>
      </c>
      <c r="AV151" s="39" t="n">
        <f aca="false">IFERROR(IF($C151="","",IF($D151="","",IFERROR(ROUND($D151*INDEX('🔖 배합비 참조'!$B$2:$CE$83,MATCH("복음땅콩분태",'🔖 배합비 참조'!$A$2:$A$83,0),MATCH($C151,'🔖 배합비 참조'!$B$1:$CE$1,0))/100,0),""))),"")</f>
        <v>0</v>
      </c>
      <c r="AW151" s="39" t="n">
        <f aca="false">IFERROR(IF($C151="","",IF($D151="","",IFERROR(ROUND($D151*INDEX('🔖 배합비 참조'!$B$2:$CE$83,MATCH("사양벌꿀(국내산)",'🔖 배합비 참조'!$A$2:$A$83,0),MATCH($C151,'🔖 배합비 참조'!$B$1:$CE$1,0))/100,0),""))),"")</f>
        <v>0</v>
      </c>
      <c r="AX151" s="39" t="n">
        <f aca="false">IFERROR(IF($C151="","",IF($D151="","",IFERROR(ROUND($D151*INDEX('🔖 배합비 참조'!$B$2:$CE$83,MATCH("생크림",'🔖 배합비 참조'!$A$2:$A$83,0),MATCH($C151,'🔖 배합비 참조'!$B$1:$CE$1,0))/100,0),""))),"")</f>
        <v>0</v>
      </c>
      <c r="AY151" s="39" t="n">
        <f aca="false">IFERROR(IF($C151="","",IF($D151="","",IFERROR(ROUND($D151*INDEX('🔖 배합비 참조'!$B$2:$CE$83,MATCH("서양호박(국내산,뉴질랜드산)",'🔖 배합비 참조'!$A$2:$A$83,0),MATCH($C151,'🔖 배합비 참조'!$B$1:$CE$1,0))/100,0),""))),"")</f>
        <v>0</v>
      </c>
      <c r="AZ151" s="39" t="n">
        <f aca="false">IFERROR(IF($C151="","",IF($D151="","",IFERROR(ROUND($D151*INDEX('🔖 배합비 참조'!$B$2:$CE$83,MATCH("설탕",'🔖 배합비 참조'!$A$2:$A$83,0),MATCH($C151,'🔖 배합비 참조'!$B$1:$CE$1,0))/100,0),""))),"")</f>
        <v>3</v>
      </c>
      <c r="BA151" s="39" t="n">
        <f aca="false">IFERROR(IF($C151="","",IF($D151="","",IFERROR(ROUND($D151*INDEX('🔖 배합비 참조'!$B$2:$CE$83,MATCH("스트로우베리 에이드 후레쉬",'🔖 배합비 참조'!$A$2:$A$83,0),MATCH($C151,'🔖 배합비 참조'!$B$1:$CE$1,0))/100,0),""))),"")</f>
        <v>0</v>
      </c>
      <c r="BB151" s="39" t="n">
        <f aca="false">IFERROR(IF($C151="","",IF($D151="","",IFERROR(ROUND($D151*INDEX('🔖 배합비 참조'!$B$2:$CE$83,MATCH("식물성기름혼합제제(분홍)",'🔖 배합비 참조'!$A$2:$A$83,0),MATCH($C151,'🔖 배합비 참조'!$B$1:$CE$1,0))/100,0),""))),"")</f>
        <v>0</v>
      </c>
      <c r="BC151" s="39" t="n">
        <f aca="false">IFERROR(IF($C151="","",IF($D151="","",IFERROR(ROUND($D151*INDEX('🔖 배합비 참조'!$B$2:$CE$83,MATCH("식물성기름혼합제제(초록)",'🔖 배합비 참조'!$A$2:$A$83,0),MATCH($C151,'🔖 배합비 참조'!$B$1:$CE$1,0))/100,0),""))),"")</f>
        <v>0</v>
      </c>
      <c r="BD151" s="39" t="n">
        <f aca="false">IFERROR(IF($C151="","",IF($D151="","",IFERROR(ROUND($D151*INDEX('🔖 배합비 참조'!$B$2:$CE$83,MATCH("식물성기름혼합제제(황색)",'🔖 배합비 참조'!$A$2:$A$83,0),MATCH($C151,'🔖 배합비 참조'!$B$1:$CE$1,0))/100,0),""))),"")</f>
        <v>0</v>
      </c>
      <c r="BE151" s="39" t="n">
        <f aca="false">IFERROR(IF($C151="","",IF($D151="","",IFERROR(ROUND($D151*INDEX('🔖 배합비 참조'!$B$2:$CE$83,MATCH("쑥가루(국내산)",'🔖 배합비 참조'!$A$2:$A$83,0),MATCH($C151,'🔖 배합비 참조'!$B$1:$CE$1,0))/100,0),""))),"")</f>
        <v>0</v>
      </c>
      <c r="BF151" s="39" t="n">
        <f aca="false">IFERROR(IF($C151="","",IF($D151="","",IFERROR(ROUND($D151*INDEX('🔖 배합비 참조'!$B$2:$CE$83,MATCH("아몬드슬라이스",'🔖 배합비 참조'!$A$2:$A$83,0),MATCH($C151,'🔖 배합비 참조'!$B$1:$CE$1,0))/100,0),""))),"")</f>
        <v>0</v>
      </c>
      <c r="BG151" s="39" t="n">
        <f aca="false">IFERROR(IF($C151="","",IF($D151="","",IFERROR(ROUND($D151*INDEX('🔖 배합비 참조'!$B$2:$CE$83,MATCH("알룰로오스(국내산)",'🔖 배합비 참조'!$A$2:$A$83,0),MATCH($C151,'🔖 배합비 참조'!$B$1:$CE$1,0))/100,0),""))),"")</f>
        <v>0</v>
      </c>
      <c r="BH151" s="39" t="n">
        <f aca="false">IFERROR(IF($C151="","",IF($D151="","",IFERROR(ROUND($D151*INDEX('🔖 배합비 참조'!$B$2:$CE$83,MATCH("연유",'🔖 배합비 참조'!$A$2:$A$83,0),MATCH($C151,'🔖 배합비 참조'!$B$1:$CE$1,0))/100,0),""))),"")</f>
        <v>0</v>
      </c>
      <c r="BI151" s="39" t="n">
        <f aca="false">IFERROR(IF($C151="","",IF($D151="","",IFERROR(ROUND($D151*INDEX('🔖 배합비 참조'!$B$2:$CE$83,MATCH("옥수수전분",'🔖 배합비 참조'!$A$2:$A$83,0),MATCH($C151,'🔖 배합비 참조'!$B$1:$CE$1,0))/100,0),""))),"")</f>
        <v>0</v>
      </c>
      <c r="BJ151" s="39" t="n">
        <f aca="false">IFERROR(IF($C151="","",IF($D151="","",IFERROR(ROUND($D151*INDEX('🔖 배합비 참조'!$B$2:$CE$83,MATCH("완두배기",'🔖 배합비 참조'!$A$2:$A$83,0),MATCH($C151,'🔖 배합비 참조'!$B$1:$CE$1,0))/100,0),""))),"")</f>
        <v>0</v>
      </c>
      <c r="BK151" s="39" t="n">
        <f aca="false">IFERROR(IF($C151="","",IF($D151="","",IFERROR(ROUND($D151*INDEX('🔖 배합비 참조'!$B$2:$CE$83,MATCH("우유(국내산)",'🔖 배합비 참조'!$A$2:$A$83,0),MATCH($C151,'🔖 배합비 참조'!$B$1:$CE$1,0))/100,0),""))),"")</f>
        <v>0</v>
      </c>
      <c r="BL151" s="39" t="n">
        <f aca="false">IFERROR(IF($C151="","",IF($D151="","",IFERROR(ROUND($D151*INDEX('🔖 배합비 참조'!$B$2:$CE$83,MATCH("자색고구마가루(중국산)",'🔖 배합비 참조'!$A$2:$A$83,0),MATCH($C151,'🔖 배합비 참조'!$B$1:$CE$1,0))/100,0),""))),"")</f>
        <v>0</v>
      </c>
      <c r="BM151" s="39" t="n">
        <f aca="false">IFERROR(IF($C151="","",IF($D151="","",IFERROR(ROUND($D151*INDEX('🔖 배합비 참조'!$B$2:$CE$83,MATCH("자연치즈(체다치즈)",'🔖 배합비 참조'!$A$2:$A$83,0),MATCH($C151,'🔖 배합비 참조'!$B$1:$CE$1,0))/100,0),""))),"")</f>
        <v>0</v>
      </c>
      <c r="BN151" s="39" t="n">
        <f aca="false">IFERROR(IF($C151="","",IF($D151="","",IFERROR(ROUND($D151*INDEX('🔖 배합비 참조'!$B$2:$CE$83,MATCH("정제수",'🔖 배합비 참조'!$A$2:$A$83,0),MATCH($C151,'🔖 배합비 참조'!$B$1:$CE$1,0))/100,0),""))),"")</f>
        <v>27</v>
      </c>
      <c r="BO151" s="39" t="n">
        <f aca="false">IFERROR(IF($C151="","",IF($D151="","",IFERROR(ROUND($D151*INDEX('🔖 배합비 참조'!$B$2:$CE$83,MATCH("젤라틴",'🔖 배합비 참조'!$A$2:$A$83,0),MATCH($C151,'🔖 배합비 참조'!$B$1:$CE$1,0))/100,0),""))),"")</f>
        <v>0</v>
      </c>
      <c r="BP151" s="39" t="n">
        <f aca="false">IFERROR(IF($C151="","",IF($D151="","",IFERROR(ROUND($D151*INDEX('🔖 배합비 참조'!$B$2:$CE$83,MATCH("조림류(백옥앙금)",'🔖 배합비 참조'!$A$2:$A$83,0),MATCH($C151,'🔖 배합비 참조'!$B$1:$CE$1,0))/100,0),""))),"")</f>
        <v>0</v>
      </c>
      <c r="BQ151" s="39" t="n">
        <f aca="false">IFERROR(IF($C151="","",IF($D151="","",IFERROR(ROUND($D151*INDEX('🔖 배합비 참조'!$B$2:$CE$83,MATCH("조림류(통팥앙금)",'🔖 배합비 참조'!$A$2:$A$83,0),MATCH($C151,'🔖 배합비 참조'!$B$1:$CE$1,0))/100,0),""))),"")</f>
        <v>0</v>
      </c>
      <c r="BR151" s="39" t="n">
        <f aca="false">IFERROR(IF($C151="","",IF($D151="","",IFERROR(ROUND($D151*INDEX('🔖 배합비 참조'!$B$2:$CE$83,MATCH("준초콜릿(외국산)",'🔖 배합비 참조'!$A$2:$A$83,0),MATCH($C151,'🔖 배합비 참조'!$B$1:$CE$1,0))/100,0),""))),"")</f>
        <v>0</v>
      </c>
      <c r="BS151" s="39" t="n">
        <f aca="false">IFERROR(IF($C151="","",IF($D151="","",IFERROR(ROUND($D151*INDEX('🔖 배합비 참조'!$B$2:$CE$83,MATCH("중력분",'🔖 배합비 참조'!$A$2:$A$83,0),MATCH($C151,'🔖 배합비 참조'!$B$1:$CE$1,0))/100,0),""))),"")</f>
        <v>1</v>
      </c>
      <c r="BT151" s="39" t="n">
        <f aca="false">IFERROR(IF($C151="","",IF($D151="","",IFERROR(ROUND($D151*INDEX('🔖 배합비 참조'!$B$2:$CE$83,MATCH("참깨(인도산,나이지리아산,탄자니아산,미얀마산)",'🔖 배합비 참조'!$A$2:$A$83,0),MATCH($C151,'🔖 배합비 참조'!$B$1:$CE$1,0))/100,0),""))),"")</f>
        <v>0</v>
      </c>
      <c r="BU151" s="39" t="n">
        <f aca="false">IFERROR(IF($C151="","",IF($D151="","",IFERROR(ROUND($D151*INDEX('🔖 배합비 참조'!$B$2:$CE$83,MATCH("찹쌀(국내산)",'🔖 배합비 참조'!$A$2:$A$83,0),MATCH($C151,'🔖 배합비 참조'!$B$1:$CE$1,0))/100,0),""))),"")</f>
        <v>33</v>
      </c>
      <c r="BV151" s="39" t="n">
        <f aca="false">IFERROR(IF($C151="","",IF($D151="","",IFERROR(ROUND($D151*INDEX('🔖 배합비 참조'!$B$2:$CE$83,MATCH("천일염",'🔖 배합비 참조'!$A$2:$A$83,0),MATCH($C151,'🔖 배합비 참조'!$B$1:$CE$1,0))/100,0),""))),"")</f>
        <v>1</v>
      </c>
      <c r="BW151" s="39" t="n">
        <f aca="false">IFERROR(IF($C151="","",IF($D151="","",IFERROR(ROUND($D151*INDEX('🔖 배합비 참조'!$B$2:$CE$83,MATCH("치즈 [크림치즈]",'🔖 배합비 참조'!$A$2:$A$83,0),MATCH($C151,'🔖 배합비 참조'!$B$1:$CE$1,0))/100,0),""))),"")</f>
        <v>0</v>
      </c>
      <c r="BX151" s="39" t="n">
        <f aca="false">IFERROR(IF($C151="","",IF($D151="","",IFERROR(ROUND($D151*INDEX('🔖 배합비 참조'!$B$2:$CE$83,MATCH("코코아가공품류(코코아분말)",'🔖 배합비 참조'!$A$2:$A$83,0),MATCH($C151,'🔖 배합비 참조'!$B$1:$CE$1,0))/100,0),""))),"")</f>
        <v>0</v>
      </c>
      <c r="BY151" s="39" t="n">
        <f aca="false">IFERROR(IF($C151="","",IF($D151="","",IFERROR(ROUND($D151*INDEX('🔖 배합비 참조'!$B$2:$CE$83,MATCH("콩기름(대두유)",'🔖 배합비 참조'!$A$2:$A$83,0),MATCH($C151,'🔖 배합비 참조'!$B$1:$CE$1,0))/100,0),""))),"")</f>
        <v>0</v>
      </c>
      <c r="BZ151" s="39" t="n">
        <f aca="false">IFERROR(IF($C151="","",IF($D151="","",IFERROR(ROUND($D151*INDEX('🔖 배합비 참조'!$B$2:$CE$83,MATCH("해바라기씨앗",'🔖 배합비 참조'!$A$2:$A$83,0),MATCH($C151,'🔖 배합비 참조'!$B$1:$CE$1,0))/100,0),""))),"")</f>
        <v>0</v>
      </c>
      <c r="CA151" s="39" t="n">
        <f aca="false">IFERROR(IF($C151="","",IF($D151="","",IFERROR(ROUND($D151*INDEX('🔖 배합비 참조'!$B$2:$CE$83,MATCH("현미(국내산)",'🔖 배합비 참조'!$A$2:$A$83,0),MATCH($C151,'🔖 배합비 참조'!$B$1:$CE$1,0))/100,0),""))),"")</f>
        <v>0</v>
      </c>
      <c r="CB151" s="39" t="n">
        <f aca="false">IFERROR(IF($C151="","",IF($D151="","",IFERROR(ROUND($D151*INDEX('🔖 배합비 참조'!$B$2:$CE$83,MATCH("현미멥쌀(국내산)",'🔖 배합비 참조'!$A$2:$A$83,0),MATCH($C151,'🔖 배합비 참조'!$B$1:$CE$1,0))/100,0),""))),"")</f>
        <v>0</v>
      </c>
      <c r="CC151" s="39" t="n">
        <f aca="false">IFERROR(IF($C151="","",IF($D151="","",IFERROR(ROUND($D151*INDEX('🔖 배합비 참조'!$B$2:$CE$83,MATCH("호두분태(미국산)",'🔖 배합비 참조'!$A$2:$A$83,0),MATCH($C151,'🔖 배합비 참조'!$B$1:$CE$1,0))/100,0),""))),"")</f>
        <v>0</v>
      </c>
      <c r="CD151" s="39" t="n">
        <f aca="false">IFERROR(IF($C151="","",IF($D151="","",IFERROR(ROUND($D151*INDEX('🔖 배합비 참조'!$B$2:$CE$83,MATCH("호박씨앗(외국산)",'🔖 배합비 참조'!$A$2:$A$83,0),MATCH($C151,'🔖 배합비 참조'!$B$1:$CE$1,0))/100,0),""))),"")</f>
        <v>0</v>
      </c>
      <c r="CE151" s="39" t="n">
        <f aca="false">IFERROR(IF($C151="","",IF($D151="","",IFERROR(ROUND($D151*INDEX('🔖 배합비 참조'!$B$2:$CE$83,MATCH("혼합제제(떡용에스텔)",'🔖 배합비 참조'!$A$2:$A$83,0),MATCH($C151,'🔖 배합비 참조'!$B$1:$CE$1,0))/100,0),""))),"")</f>
        <v>0</v>
      </c>
      <c r="CF151" s="39" t="n">
        <f aca="false">IFERROR(IF($C151="","",IF($D151="","",IFERROR(ROUND($D151*INDEX('🔖 배합비 참조'!$B$2:$CE$83,MATCH("혼합제제(스테비아)",'🔖 배합비 참조'!$A$2:$A$83,0),MATCH($C151,'🔖 배합비 참조'!$B$1:$CE$1,0))/100,0),""))),"")</f>
        <v>0</v>
      </c>
      <c r="CG151" s="39" t="n">
        <f aca="false">IFERROR(IF($C151="","",IF($D151="","",IFERROR(ROUND($D151*INDEX('🔖 배합비 참조'!$B$2:$CE$83,MATCH("화이트초콜릿",'🔖 배합비 참조'!$A$2:$A$83,0),MATCH($C151,'🔖 배합비 참조'!$B$1:$CE$1,0))/100,0),""))),"")</f>
        <v>0</v>
      </c>
      <c r="CH151" s="39" t="n">
        <f aca="false">IFERROR(IF($C151="","",IF($D151="","",IFERROR(ROUND($D151*INDEX('🔖 배합비 참조'!$B$2:$CE$83,MATCH("흑미찹쌀(국내산)",'🔖 배합비 참조'!$A$2:$A$83,0),MATCH($C151,'🔖 배합비 참조'!$B$1:$CE$1,0))/100,0),""))),"")</f>
        <v>0</v>
      </c>
      <c r="CI151" s="39" t="n">
        <f aca="false">IFERROR(IF($C151="","",IF($D151="","",IFERROR(ROUND($D151*INDEX('🔖 배합비 참조'!$B$2:$CE$83,MATCH("찰옥수수전분(미국산)",'🔖 배합비 참조'!$A$2:$A$83,0),MATCH($C151,'🔖 배합비 참조'!$B$1:$CE$1,0))/100,0),""))),"")</f>
        <v>0</v>
      </c>
      <c r="CJ151" s="40"/>
      <c r="CL151" s="1" t="s">
        <v>245</v>
      </c>
    </row>
    <row r="152" customFormat="false" ht="18" hidden="false" customHeight="true" outlineLevel="0" collapsed="false">
      <c r="A152" s="41" t="n">
        <v>148</v>
      </c>
      <c r="B152" s="36" t="n">
        <v>46027</v>
      </c>
      <c r="C152" s="37" t="s">
        <v>179</v>
      </c>
      <c r="D152" s="38" t="n">
        <v>70</v>
      </c>
      <c r="E152" s="17"/>
      <c r="F152" s="17"/>
      <c r="G152" s="42" t="n">
        <f aca="false">IFERROR(IF($C152="","",IF($D152="","",IFERROR(ROUND($D152*INDEX('🔖 배합비 참조'!$B$2:$CE$83,MATCH("간장",'🔖 배합비 참조'!$A$2:$A$83,0),MATCH($C152,'🔖 배합비 참조'!$B$1:$CE$1,0))/100,0),""))),"")</f>
        <v>0</v>
      </c>
      <c r="H152" s="42" t="n">
        <f aca="false">IFERROR(IF($C152="","",IF($D152="","",IFERROR(ROUND($D152*INDEX('🔖 배합비 참조'!$B$2:$CE$83,MATCH("강낭콩((울타리콩))",'🔖 배합비 참조'!$A$2:$A$83,0),MATCH($C152,'🔖 배합비 참조'!$B$1:$CE$1,0))/100,0),""))),"")</f>
        <v>0</v>
      </c>
      <c r="I152" s="42" t="n">
        <f aca="false">IFERROR(IF($C152="","",IF($D152="","",IFERROR(ROUND($D152*INDEX('🔖 배합비 참조'!$B$2:$CE$83,MATCH("건조딸기다이스(외국산)",'🔖 배합비 참조'!$A$2:$A$83,0),MATCH($C152,'🔖 배합비 참조'!$B$1:$CE$1,0))/100,0),""))),"")</f>
        <v>0</v>
      </c>
      <c r="J152" s="42" t="n">
        <f aca="false">IFERROR(IF($C152="","",IF($D152="","",IFERROR(ROUND($D152*INDEX('🔖 배합비 참조'!$B$2:$CE$83,MATCH("건포도",'🔖 배합비 참조'!$A$2:$A$83,0),MATCH($C152,'🔖 배합비 참조'!$B$1:$CE$1,0))/100,0),""))),"")</f>
        <v>0</v>
      </c>
      <c r="K152" s="42" t="n">
        <f aca="false">IFERROR(IF($C152="","",IF($D152="","",IFERROR(ROUND($D152*INDEX('🔖 배합비 참조'!$B$2:$CE$83,MATCH("건호박채(중국산)",'🔖 배합비 참조'!$A$2:$A$83,0),MATCH($C152,'🔖 배합비 참조'!$B$1:$CE$1,0))/100,0),""))),"")</f>
        <v>0</v>
      </c>
      <c r="L152" s="42" t="n">
        <f aca="false">IFERROR(IF($C152="","",IF($D152="","",IFERROR(ROUND($D152*INDEX('🔖 배합비 참조'!$B$2:$CE$83,MATCH("검정깨(흑임자)",'🔖 배합비 참조'!$A$2:$A$83,0),MATCH($C152,'🔖 배합비 참조'!$B$1:$CE$1,0))/100,0),""))),"")</f>
        <v>0</v>
      </c>
      <c r="M152" s="42" t="n">
        <f aca="false">IFERROR(IF($C152="","",IF($D152="","",IFERROR(ROUND($D152*INDEX('🔖 배합비 참조'!$B$2:$CE$83,MATCH("검정콩",'🔖 배합비 참조'!$A$2:$A$83,0),MATCH($C152,'🔖 배합비 참조'!$B$1:$CE$1,0))/100,0),""))),"")</f>
        <v>0</v>
      </c>
      <c r="N152" s="42" t="n">
        <f aca="false">IFERROR(IF($C152="","",IF($D152="","",IFERROR(ROUND($D152*INDEX('🔖 배합비 참조'!$B$2:$CE$83,MATCH("계피가루",'🔖 배합비 참조'!$A$2:$A$83,0),MATCH($C152,'🔖 배합비 참조'!$B$1:$CE$1,0))/100,0),""))),"")</f>
        <v>0</v>
      </c>
      <c r="O152" s="42" t="n">
        <f aca="false">IFERROR(IF($C152="","",IF($D152="","",IFERROR(ROUND($D152*INDEX('🔖 배합비 참조'!$B$2:$CE$83,MATCH("고구마가루",'🔖 배합비 참조'!$A$2:$A$83,0),MATCH($C152,'🔖 배합비 참조'!$B$1:$CE$1,0))/100,0),""))),"")</f>
        <v>0</v>
      </c>
      <c r="P152" s="42" t="n">
        <f aca="false">IFERROR(IF($C152="","",IF($D152="","",IFERROR(ROUND($D152*INDEX('🔖 배합비 참조'!$B$2:$CE$83,MATCH("고구마무스",'🔖 배합비 참조'!$A$2:$A$83,0),MATCH($C152,'🔖 배합비 참조'!$B$1:$CE$1,0))/100,0),""))),"")</f>
        <v>0</v>
      </c>
      <c r="Q152" s="42" t="n">
        <f aca="false">IFERROR(IF($C152="","",IF($D152="","",IFERROR(ROUND($D152*INDEX('🔖 배합비 참조'!$B$2:$CE$83,MATCH("고려엉겅퀴((곤드레)국내산)",'🔖 배합비 참조'!$A$2:$A$83,0),MATCH($C152,'🔖 배합비 참조'!$B$1:$CE$1,0))/100,0),""))),"")</f>
        <v>0</v>
      </c>
      <c r="R152" s="42" t="n">
        <f aca="false">IFERROR(IF($C152="","",IF($D152="","",IFERROR(ROUND($D152*INDEX('🔖 배합비 참조'!$B$2:$CE$83,MATCH("기타가공품(복분자가루)",'🔖 배합비 참조'!$A$2:$A$83,0),MATCH($C152,'🔖 배합비 참조'!$B$1:$CE$1,0))/100,0),""))),"")</f>
        <v>0</v>
      </c>
      <c r="S152" s="42" t="n">
        <f aca="false">IFERROR(IF($C152="","",IF($D152="","",IFERROR(ROUND($D152*INDEX('🔖 배합비 참조'!$B$2:$CE$83,MATCH("기타가공품(슈퍼소프트엠)",'🔖 배합비 참조'!$A$2:$A$83,0),MATCH($C152,'🔖 배합비 참조'!$B$1:$CE$1,0))/100,0),""))),"")</f>
        <v>0</v>
      </c>
      <c r="T152" s="42" t="n">
        <f aca="false">IFERROR(IF($C152="","",IF($D152="","",IFERROR(ROUND($D152*INDEX('🔖 배합비 참조'!$B$2:$CE$83,MATCH("기타가공품(파인소프트 E-티)",'🔖 배합비 참조'!$A$2:$A$83,0),MATCH($C152,'🔖 배합비 참조'!$B$1:$CE$1,0))/100,0),""))),"")</f>
        <v>0</v>
      </c>
      <c r="U152" s="42" t="n">
        <f aca="false">IFERROR(IF($C152="","",IF($D152="","",IFERROR(ROUND($D152*INDEX('🔖 배합비 참조'!$B$2:$CE$83,MATCH("기타가공품(프리미엄카스테라가루)",'🔖 배합비 참조'!$A$2:$A$83,0),MATCH($C152,'🔖 배합비 참조'!$B$1:$CE$1,0))/100,0),""))),"")</f>
        <v>0</v>
      </c>
      <c r="V152" s="42" t="n">
        <f aca="false">IFERROR(IF($C152="","",IF($D152="","",IFERROR(ROUND($D152*INDEX('🔖 배합비 참조'!$B$2:$CE$83,MATCH("기타가공품(흑임자가루)",'🔖 배합비 참조'!$A$2:$A$83,0),MATCH($C152,'🔖 배합비 참조'!$B$1:$CE$1,0))/100,0),""))),"")</f>
        <v>0</v>
      </c>
      <c r="W152" s="42" t="n">
        <f aca="false">IFERROR(IF($C152="","",IF($D152="","",IFERROR(ROUND($D152*INDEX('🔖 배합비 참조'!$B$2:$CE$83,MATCH("기타설탕(흑설탕)",'🔖 배합비 참조'!$A$2:$A$83,0),MATCH($C152,'🔖 배합비 참조'!$B$1:$CE$1,0))/100,0),""))),"")</f>
        <v>0</v>
      </c>
      <c r="X152" s="42" t="n">
        <f aca="false">IFERROR(IF($C152="","",IF($D152="","",IFERROR(ROUND($D152*INDEX('🔖 배합비 참조'!$B$2:$CE$83,MATCH("냉동쑥(국내산)",'🔖 배합비 참조'!$A$2:$A$83,0),MATCH($C152,'🔖 배합비 참조'!$B$1:$CE$1,0))/100,0),""))),"")</f>
        <v>6</v>
      </c>
      <c r="Y152" s="42" t="n">
        <f aca="false">IFERROR(IF($C152="","",IF($D152="","",IFERROR(ROUND($D152*INDEX('🔖 배합비 참조'!$B$2:$CE$83,MATCH("냉동증숙고구마(중국산)",'🔖 배합비 참조'!$A$2:$A$83,0),MATCH($C152,'🔖 배합비 참조'!$B$1:$CE$1,0))/100,0),""))),"")</f>
        <v>0</v>
      </c>
      <c r="Z152" s="42" t="n">
        <f aca="false">IFERROR(IF($C152="","",IF($D152="","",IFERROR(ROUND($D152*INDEX('🔖 배합비 참조'!$B$2:$CE$83,MATCH("녹차가루",'🔖 배합비 참조'!$A$2:$A$83,0),MATCH($C152,'🔖 배합비 참조'!$B$1:$CE$1,0))/100,0),""))),"")</f>
        <v>0</v>
      </c>
      <c r="AA152" s="42" t="n">
        <f aca="false">IFERROR(IF($C152="","",IF($D152="","",IFERROR(ROUND($D152*INDEX('🔖 배합비 참조'!$B$2:$CE$83,MATCH("다크초콜릿 컴파운드칩",'🔖 배합비 참조'!$A$2:$A$83,0),MATCH($C152,'🔖 배합비 참조'!$B$1:$CE$1,0))/100,0),""))),"")</f>
        <v>0</v>
      </c>
      <c r="AB152" s="42" t="n">
        <f aca="false">IFERROR(IF($C152="","",IF($D152="","",IFERROR(ROUND($D152*INDEX('🔖 배합비 참조'!$B$2:$CE$83,MATCH("단호박분말(중국산)",'🔖 배합비 참조'!$A$2:$A$83,0),MATCH($C152,'🔖 배합비 참조'!$B$1:$CE$1,0))/100,0),""))),"")</f>
        <v>0</v>
      </c>
      <c r="AC152" s="42" t="n">
        <f aca="false">IFERROR(IF($C152="","",IF($D152="","",IFERROR(ROUND($D152*INDEX('🔖 배합비 참조'!$B$2:$CE$83,MATCH("당류가공품(단호박농축액)",'🔖 배합비 참조'!$A$2:$A$83,0),MATCH($C152,'🔖 배합비 참조'!$B$1:$CE$1,0))/100,0),""))),"")</f>
        <v>0</v>
      </c>
      <c r="AD152" s="42" t="n">
        <f aca="false">IFERROR(IF($C152="","",IF($D152="","",IFERROR(ROUND($D152*INDEX('🔖 배합비 참조'!$B$2:$CE$83,MATCH("당류가공품(알룰로스,에리스리톨,스테비올배당체혼합)",'🔖 배합비 참조'!$A$2:$A$83,0),MATCH($C152,'🔖 배합비 참조'!$B$1:$CE$1,0))/100,0),""))),"")</f>
        <v>0</v>
      </c>
      <c r="AE152" s="42" t="n">
        <f aca="false">IFERROR(IF($C152="","",IF($D152="","",IFERROR(ROUND($D152*INDEX('🔖 배합비 참조'!$B$2:$CE$83,MATCH("당류가공품(알룰로스제로파우더)",'🔖 배합비 참조'!$A$2:$A$83,0),MATCH($C152,'🔖 배합비 참조'!$B$1:$CE$1,0))/100,0),""))),"")</f>
        <v>0</v>
      </c>
      <c r="AF152" s="42" t="n">
        <f aca="false">IFERROR(IF($C152="","",IF($D152="","",IFERROR(ROUND($D152*INDEX('🔖 배합비 참조'!$B$2:$CE$83,MATCH("당절임(완두배기)",'🔖 배합비 참조'!$A$2:$A$83,0),MATCH($C152,'🔖 배합비 참조'!$B$1:$CE$1,0))/100,0),""))),"")</f>
        <v>0</v>
      </c>
      <c r="AG152" s="42" t="n">
        <f aca="false">IFERROR(IF($C152="","",IF($D152="","",IFERROR(ROUND($D152*INDEX('🔖 배합비 참조'!$B$2:$CE$83,MATCH("대추농축액",'🔖 배합비 참조'!$A$2:$A$83,0),MATCH($C152,'🔖 배합비 참조'!$B$1:$CE$1,0))/100,0),""))),"")</f>
        <v>0</v>
      </c>
      <c r="AH152" s="42" t="n">
        <f aca="false">IFERROR(IF($C152="","",IF($D152="","",IFERROR(ROUND($D152*INDEX('🔖 배합비 참조'!$B$2:$CE$83,MATCH("대추채(국내산)",'🔖 배합비 참조'!$A$2:$A$83,0),MATCH($C152,'🔖 배합비 참조'!$B$1:$CE$1,0))/100,0),""))),"")</f>
        <v>0</v>
      </c>
      <c r="AI152" s="42" t="n">
        <f aca="false">IFERROR(IF($C152="","",IF($D152="","",IFERROR(ROUND($D152*INDEX('🔖 배합비 참조'!$B$2:$CE$83,MATCH("동부(미얀마산)",'🔖 배합비 참조'!$A$2:$A$83,0),MATCH($C152,'🔖 배합비 참조'!$B$1:$CE$1,0))/100,0),""))),"")</f>
        <v>0</v>
      </c>
      <c r="AJ152" s="42" t="n">
        <f aca="false">IFERROR(IF($C152="","",IF($D152="","",IFERROR(ROUND($D152*INDEX('🔖 배합비 참조'!$B$2:$CE$83,MATCH("두류가공품(백옥앙금)",'🔖 배합비 참조'!$A$2:$A$83,0),MATCH($C152,'🔖 배합비 참조'!$B$1:$CE$1,0))/100,0),""))),"")</f>
        <v>0</v>
      </c>
      <c r="AK152" s="42" t="n">
        <f aca="false">IFERROR(IF($C152="","",IF($D152="","",IFERROR(ROUND($D152*INDEX('🔖 배합비 참조'!$B$2:$CE$83,MATCH("두류가공품(콩고물)",'🔖 배합비 참조'!$A$2:$A$83,0),MATCH($C152,'🔖 배합비 참조'!$B$1:$CE$1,0))/100,0),""))),"")</f>
        <v>0</v>
      </c>
      <c r="AL152" s="42" t="n">
        <f aca="false">IFERROR(IF($C152="","",IF($D152="","",IFERROR(ROUND($D152*INDEX('🔖 배합비 참조'!$B$2:$CE$83,MATCH("두류가공품(통팥고물)",'🔖 배합비 참조'!$A$2:$A$83,0),MATCH($C152,'🔖 배합비 참조'!$B$1:$CE$1,0))/100,0),""))),"")</f>
        <v>0</v>
      </c>
      <c r="AM152" s="42" t="n">
        <f aca="false">IFERROR(IF($C152="","",IF($D152="","",IFERROR(ROUND($D152*INDEX('🔖 배합비 참조'!$B$2:$CE$83,MATCH("딸기레진",'🔖 배합비 참조'!$A$2:$A$83,0),MATCH($C152,'🔖 배합비 참조'!$B$1:$CE$1,0))/100,0),""))),"")</f>
        <v>0</v>
      </c>
      <c r="AN152" s="42" t="n">
        <f aca="false">IFERROR(IF($C152="","",IF($D152="","",IFERROR(ROUND($D152*INDEX('🔖 배합비 참조'!$B$2:$CE$83,MATCH("딸기분말(스트로우베리에이드(분말))",'🔖 배합비 참조'!$A$2:$A$83,0),MATCH($C152,'🔖 배합비 참조'!$B$1:$CE$1,0))/100,0),""))),"")</f>
        <v>0</v>
      </c>
      <c r="AO152" s="42" t="n">
        <f aca="false">IFERROR(IF($C152="","",IF($D152="","",IFERROR(ROUND($D152*INDEX('🔖 배합비 참조'!$B$2:$CE$83,MATCH("마스카포네치즈",'🔖 배합비 참조'!$A$2:$A$83,0),MATCH($C152,'🔖 배합비 참조'!$B$1:$CE$1,0))/100,0),""))),"")</f>
        <v>0</v>
      </c>
      <c r="AP152" s="42" t="n">
        <f aca="false">IFERROR(IF($C152="","",IF($D152="","",IFERROR(ROUND($D152*INDEX('🔖 배합비 참조'!$B$2:$CE$83,MATCH("마카다미아분태(호주산)",'🔖 배합비 참조'!$A$2:$A$83,0),MATCH($C152,'🔖 배합비 참조'!$B$1:$CE$1,0))/100,0),""))),"")</f>
        <v>0</v>
      </c>
      <c r="AQ152" s="42" t="n">
        <f aca="false">IFERROR(IF($C152="","",IF($D152="","",IFERROR(ROUND($D152*INDEX('🔖 배합비 참조'!$B$2:$CE$83,MATCH("멥쌀(국내산)",'🔖 배합비 참조'!$A$2:$A$83,0),MATCH($C152,'🔖 배합비 참조'!$B$1:$CE$1,0))/100,0),""))),"")</f>
        <v>0</v>
      </c>
      <c r="AR152" s="42" t="n">
        <f aca="false">IFERROR(IF($C152="","",IF($D152="","",IFERROR(ROUND($D152*INDEX('🔖 배합비 참조'!$B$2:$CE$83,MATCH("모시잎(국내산)",'🔖 배합비 참조'!$A$2:$A$83,0),MATCH($C152,'🔖 배합비 참조'!$B$1:$CE$1,0))/100,0),""))),"")</f>
        <v>0</v>
      </c>
      <c r="AS152" s="42" t="n">
        <f aca="false">IFERROR(IF($C152="","",IF($D152="","",IFERROR(ROUND($D152*INDEX('🔖 배합비 참조'!$B$2:$CE$83,MATCH("물엿(저당물엿)",'🔖 배합비 참조'!$A$2:$A$83,0),MATCH($C152,'🔖 배합비 참조'!$B$1:$CE$1,0))/100,0),""))),"")</f>
        <v>3</v>
      </c>
      <c r="AT152" s="42" t="n">
        <f aca="false">IFERROR(IF($C152="","",IF($D152="","",IFERROR(ROUND($D152*INDEX('🔖 배합비 참조'!$B$2:$CE$83,MATCH("밤다이스",'🔖 배합비 참조'!$A$2:$A$83,0),MATCH($C152,'🔖 배합비 참조'!$B$1:$CE$1,0))/100,0),""))),"")</f>
        <v>0</v>
      </c>
      <c r="AU152" s="42" t="n">
        <f aca="false">IFERROR(IF($C152="","",IF($D152="","",IFERROR(ROUND($D152*INDEX('🔖 배합비 참조'!$B$2:$CE$83,MATCH("변성전분(타피오카전분)",'🔖 배합비 참조'!$A$2:$A$83,0),MATCH($C152,'🔖 배합비 참조'!$B$1:$CE$1,0))/100,0),""))),"")</f>
        <v>0</v>
      </c>
      <c r="AV152" s="42" t="n">
        <f aca="false">IFERROR(IF($C152="","",IF($D152="","",IFERROR(ROUND($D152*INDEX('🔖 배합비 참조'!$B$2:$CE$83,MATCH("복음땅콩분태",'🔖 배합비 참조'!$A$2:$A$83,0),MATCH($C152,'🔖 배합비 참조'!$B$1:$CE$1,0))/100,0),""))),"")</f>
        <v>0</v>
      </c>
      <c r="AW152" s="42" t="n">
        <f aca="false">IFERROR(IF($C152="","",IF($D152="","",IFERROR(ROUND($D152*INDEX('🔖 배합비 참조'!$B$2:$CE$83,MATCH("사양벌꿀(국내산)",'🔖 배합비 참조'!$A$2:$A$83,0),MATCH($C152,'🔖 배합비 참조'!$B$1:$CE$1,0))/100,0),""))),"")</f>
        <v>0</v>
      </c>
      <c r="AX152" s="42" t="n">
        <f aca="false">IFERROR(IF($C152="","",IF($D152="","",IFERROR(ROUND($D152*INDEX('🔖 배합비 참조'!$B$2:$CE$83,MATCH("생크림",'🔖 배합비 참조'!$A$2:$A$83,0),MATCH($C152,'🔖 배합비 참조'!$B$1:$CE$1,0))/100,0),""))),"")</f>
        <v>0</v>
      </c>
      <c r="AY152" s="42" t="n">
        <f aca="false">IFERROR(IF($C152="","",IF($D152="","",IFERROR(ROUND($D152*INDEX('🔖 배합비 참조'!$B$2:$CE$83,MATCH("서양호박(국내산,뉴질랜드산)",'🔖 배합비 참조'!$A$2:$A$83,0),MATCH($C152,'🔖 배합비 참조'!$B$1:$CE$1,0))/100,0),""))),"")</f>
        <v>0</v>
      </c>
      <c r="AZ152" s="42" t="n">
        <f aca="false">IFERROR(IF($C152="","",IF($D152="","",IFERROR(ROUND($D152*INDEX('🔖 배합비 참조'!$B$2:$CE$83,MATCH("설탕",'🔖 배합비 참조'!$A$2:$A$83,0),MATCH($C152,'🔖 배합비 참조'!$B$1:$CE$1,0))/100,0),""))),"")</f>
        <v>3</v>
      </c>
      <c r="BA152" s="42" t="n">
        <f aca="false">IFERROR(IF($C152="","",IF($D152="","",IFERROR(ROUND($D152*INDEX('🔖 배합비 참조'!$B$2:$CE$83,MATCH("스트로우베리 에이드 후레쉬",'🔖 배합비 참조'!$A$2:$A$83,0),MATCH($C152,'🔖 배합비 참조'!$B$1:$CE$1,0))/100,0),""))),"")</f>
        <v>0</v>
      </c>
      <c r="BB152" s="42" t="n">
        <f aca="false">IFERROR(IF($C152="","",IF($D152="","",IFERROR(ROUND($D152*INDEX('🔖 배합비 참조'!$B$2:$CE$83,MATCH("식물성기름혼합제제(분홍)",'🔖 배합비 참조'!$A$2:$A$83,0),MATCH($C152,'🔖 배합비 참조'!$B$1:$CE$1,0))/100,0),""))),"")</f>
        <v>0</v>
      </c>
      <c r="BC152" s="42" t="n">
        <f aca="false">IFERROR(IF($C152="","",IF($D152="","",IFERROR(ROUND($D152*INDEX('🔖 배합비 참조'!$B$2:$CE$83,MATCH("식물성기름혼합제제(초록)",'🔖 배합비 참조'!$A$2:$A$83,0),MATCH($C152,'🔖 배합비 참조'!$B$1:$CE$1,0))/100,0),""))),"")</f>
        <v>0</v>
      </c>
      <c r="BD152" s="42" t="n">
        <f aca="false">IFERROR(IF($C152="","",IF($D152="","",IFERROR(ROUND($D152*INDEX('🔖 배합비 참조'!$B$2:$CE$83,MATCH("식물성기름혼합제제(황색)",'🔖 배합비 참조'!$A$2:$A$83,0),MATCH($C152,'🔖 배합비 참조'!$B$1:$CE$1,0))/100,0),""))),"")</f>
        <v>0</v>
      </c>
      <c r="BE152" s="42" t="n">
        <f aca="false">IFERROR(IF($C152="","",IF($D152="","",IFERROR(ROUND($D152*INDEX('🔖 배합비 참조'!$B$2:$CE$83,MATCH("쑥가루(국내산)",'🔖 배합비 참조'!$A$2:$A$83,0),MATCH($C152,'🔖 배합비 참조'!$B$1:$CE$1,0))/100,0),""))),"")</f>
        <v>0</v>
      </c>
      <c r="BF152" s="42" t="n">
        <f aca="false">IFERROR(IF($C152="","",IF($D152="","",IFERROR(ROUND($D152*INDEX('🔖 배합비 참조'!$B$2:$CE$83,MATCH("아몬드슬라이스",'🔖 배합비 참조'!$A$2:$A$83,0),MATCH($C152,'🔖 배합비 참조'!$B$1:$CE$1,0))/100,0),""))),"")</f>
        <v>0</v>
      </c>
      <c r="BG152" s="42" t="n">
        <f aca="false">IFERROR(IF($C152="","",IF($D152="","",IFERROR(ROUND($D152*INDEX('🔖 배합비 참조'!$B$2:$CE$83,MATCH("알룰로오스(국내산)",'🔖 배합비 참조'!$A$2:$A$83,0),MATCH($C152,'🔖 배합비 참조'!$B$1:$CE$1,0))/100,0),""))),"")</f>
        <v>0</v>
      </c>
      <c r="BH152" s="42" t="n">
        <f aca="false">IFERROR(IF($C152="","",IF($D152="","",IFERROR(ROUND($D152*INDEX('🔖 배합비 참조'!$B$2:$CE$83,MATCH("연유",'🔖 배합비 참조'!$A$2:$A$83,0),MATCH($C152,'🔖 배합비 참조'!$B$1:$CE$1,0))/100,0),""))),"")</f>
        <v>0</v>
      </c>
      <c r="BI152" s="42" t="n">
        <f aca="false">IFERROR(IF($C152="","",IF($D152="","",IFERROR(ROUND($D152*INDEX('🔖 배합비 참조'!$B$2:$CE$83,MATCH("옥수수전분",'🔖 배합비 참조'!$A$2:$A$83,0),MATCH($C152,'🔖 배합비 참조'!$B$1:$CE$1,0))/100,0),""))),"")</f>
        <v>0</v>
      </c>
      <c r="BJ152" s="42" t="n">
        <f aca="false">IFERROR(IF($C152="","",IF($D152="","",IFERROR(ROUND($D152*INDEX('🔖 배합비 참조'!$B$2:$CE$83,MATCH("완두배기",'🔖 배합비 참조'!$A$2:$A$83,0),MATCH($C152,'🔖 배합비 참조'!$B$1:$CE$1,0))/100,0),""))),"")</f>
        <v>0</v>
      </c>
      <c r="BK152" s="42" t="n">
        <f aca="false">IFERROR(IF($C152="","",IF($D152="","",IFERROR(ROUND($D152*INDEX('🔖 배합비 참조'!$B$2:$CE$83,MATCH("우유(국내산)",'🔖 배합비 참조'!$A$2:$A$83,0),MATCH($C152,'🔖 배합비 참조'!$B$1:$CE$1,0))/100,0),""))),"")</f>
        <v>0</v>
      </c>
      <c r="BL152" s="42" t="n">
        <f aca="false">IFERROR(IF($C152="","",IF($D152="","",IFERROR(ROUND($D152*INDEX('🔖 배합비 참조'!$B$2:$CE$83,MATCH("자색고구마가루(중국산)",'🔖 배합비 참조'!$A$2:$A$83,0),MATCH($C152,'🔖 배합비 참조'!$B$1:$CE$1,0))/100,0),""))),"")</f>
        <v>0</v>
      </c>
      <c r="BM152" s="42" t="n">
        <f aca="false">IFERROR(IF($C152="","",IF($D152="","",IFERROR(ROUND($D152*INDEX('🔖 배합비 참조'!$B$2:$CE$83,MATCH("자연치즈(체다치즈)",'🔖 배합비 참조'!$A$2:$A$83,0),MATCH($C152,'🔖 배합비 참조'!$B$1:$CE$1,0))/100,0),""))),"")</f>
        <v>0</v>
      </c>
      <c r="BN152" s="42" t="n">
        <f aca="false">IFERROR(IF($C152="","",IF($D152="","",IFERROR(ROUND($D152*INDEX('🔖 배합비 참조'!$B$2:$CE$83,MATCH("정제수",'🔖 배합비 참조'!$A$2:$A$83,0),MATCH($C152,'🔖 배합비 참조'!$B$1:$CE$1,0))/100,0),""))),"")</f>
        <v>25</v>
      </c>
      <c r="BO152" s="42" t="n">
        <f aca="false">IFERROR(IF($C152="","",IF($D152="","",IFERROR(ROUND($D152*INDEX('🔖 배합비 참조'!$B$2:$CE$83,MATCH("젤라틴",'🔖 배합비 참조'!$A$2:$A$83,0),MATCH($C152,'🔖 배합비 참조'!$B$1:$CE$1,0))/100,0),""))),"")</f>
        <v>0</v>
      </c>
      <c r="BP152" s="42" t="n">
        <f aca="false">IFERROR(IF($C152="","",IF($D152="","",IFERROR(ROUND($D152*INDEX('🔖 배합비 참조'!$B$2:$CE$83,MATCH("조림류(백옥앙금)",'🔖 배합비 참조'!$A$2:$A$83,0),MATCH($C152,'🔖 배합비 참조'!$B$1:$CE$1,0))/100,0),""))),"")</f>
        <v>0</v>
      </c>
      <c r="BQ152" s="42" t="n">
        <f aca="false">IFERROR(IF($C152="","",IF($D152="","",IFERROR(ROUND($D152*INDEX('🔖 배합비 참조'!$B$2:$CE$83,MATCH("조림류(통팥앙금)",'🔖 배합비 참조'!$A$2:$A$83,0),MATCH($C152,'🔖 배합비 참조'!$B$1:$CE$1,0))/100,0),""))),"")</f>
        <v>0</v>
      </c>
      <c r="BR152" s="42" t="n">
        <f aca="false">IFERROR(IF($C152="","",IF($D152="","",IFERROR(ROUND($D152*INDEX('🔖 배합비 참조'!$B$2:$CE$83,MATCH("준초콜릿(외국산)",'🔖 배합비 참조'!$A$2:$A$83,0),MATCH($C152,'🔖 배합비 참조'!$B$1:$CE$1,0))/100,0),""))),"")</f>
        <v>0</v>
      </c>
      <c r="BS152" s="42" t="n">
        <f aca="false">IFERROR(IF($C152="","",IF($D152="","",IFERROR(ROUND($D152*INDEX('🔖 배합비 참조'!$B$2:$CE$83,MATCH("중력분",'🔖 배합비 참조'!$A$2:$A$83,0),MATCH($C152,'🔖 배합비 참조'!$B$1:$CE$1,0))/100,0),""))),"")</f>
        <v>1</v>
      </c>
      <c r="BT152" s="42" t="n">
        <f aca="false">IFERROR(IF($C152="","",IF($D152="","",IFERROR(ROUND($D152*INDEX('🔖 배합비 참조'!$B$2:$CE$83,MATCH("참깨(인도산,나이지리아산,탄자니아산,미얀마산)",'🔖 배합비 참조'!$A$2:$A$83,0),MATCH($C152,'🔖 배합비 참조'!$B$1:$CE$1,0))/100,0),""))),"")</f>
        <v>0</v>
      </c>
      <c r="BU152" s="42" t="n">
        <f aca="false">IFERROR(IF($C152="","",IF($D152="","",IFERROR(ROUND($D152*INDEX('🔖 배합비 참조'!$B$2:$CE$83,MATCH("찹쌀(국내산)",'🔖 배합비 참조'!$A$2:$A$83,0),MATCH($C152,'🔖 배합비 참조'!$B$1:$CE$1,0))/100,0),""))),"")</f>
        <v>31</v>
      </c>
      <c r="BV152" s="42" t="n">
        <f aca="false">IFERROR(IF($C152="","",IF($D152="","",IFERROR(ROUND($D152*INDEX('🔖 배합비 참조'!$B$2:$CE$83,MATCH("천일염",'🔖 배합비 참조'!$A$2:$A$83,0),MATCH($C152,'🔖 배합비 참조'!$B$1:$CE$1,0))/100,0),""))),"")</f>
        <v>1</v>
      </c>
      <c r="BW152" s="42" t="n">
        <f aca="false">IFERROR(IF($C152="","",IF($D152="","",IFERROR(ROUND($D152*INDEX('🔖 배합비 참조'!$B$2:$CE$83,MATCH("치즈 [크림치즈]",'🔖 배합비 참조'!$A$2:$A$83,0),MATCH($C152,'🔖 배합비 참조'!$B$1:$CE$1,0))/100,0),""))),"")</f>
        <v>0</v>
      </c>
      <c r="BX152" s="42" t="n">
        <f aca="false">IFERROR(IF($C152="","",IF($D152="","",IFERROR(ROUND($D152*INDEX('🔖 배합비 참조'!$B$2:$CE$83,MATCH("코코아가공품류(코코아분말)",'🔖 배합비 참조'!$A$2:$A$83,0),MATCH($C152,'🔖 배합비 참조'!$B$1:$CE$1,0))/100,0),""))),"")</f>
        <v>0</v>
      </c>
      <c r="BY152" s="42" t="n">
        <f aca="false">IFERROR(IF($C152="","",IF($D152="","",IFERROR(ROUND($D152*INDEX('🔖 배합비 참조'!$B$2:$CE$83,MATCH("콩기름(대두유)",'🔖 배합비 참조'!$A$2:$A$83,0),MATCH($C152,'🔖 배합비 참조'!$B$1:$CE$1,0))/100,0),""))),"")</f>
        <v>0</v>
      </c>
      <c r="BZ152" s="42" t="n">
        <f aca="false">IFERROR(IF($C152="","",IF($D152="","",IFERROR(ROUND($D152*INDEX('🔖 배합비 참조'!$B$2:$CE$83,MATCH("해바라기씨앗",'🔖 배합비 참조'!$A$2:$A$83,0),MATCH($C152,'🔖 배합비 참조'!$B$1:$CE$1,0))/100,0),""))),"")</f>
        <v>0</v>
      </c>
      <c r="CA152" s="42" t="n">
        <f aca="false">IFERROR(IF($C152="","",IF($D152="","",IFERROR(ROUND($D152*INDEX('🔖 배합비 참조'!$B$2:$CE$83,MATCH("현미(국내산)",'🔖 배합비 참조'!$A$2:$A$83,0),MATCH($C152,'🔖 배합비 참조'!$B$1:$CE$1,0))/100,0),""))),"")</f>
        <v>0</v>
      </c>
      <c r="CB152" s="42" t="n">
        <f aca="false">IFERROR(IF($C152="","",IF($D152="","",IFERROR(ROUND($D152*INDEX('🔖 배합비 참조'!$B$2:$CE$83,MATCH("현미멥쌀(국내산)",'🔖 배합비 참조'!$A$2:$A$83,0),MATCH($C152,'🔖 배합비 참조'!$B$1:$CE$1,0))/100,0),""))),"")</f>
        <v>0</v>
      </c>
      <c r="CC152" s="42" t="n">
        <f aca="false">IFERROR(IF($C152="","",IF($D152="","",IFERROR(ROUND($D152*INDEX('🔖 배합비 참조'!$B$2:$CE$83,MATCH("호두분태(미국산)",'🔖 배합비 참조'!$A$2:$A$83,0),MATCH($C152,'🔖 배합비 참조'!$B$1:$CE$1,0))/100,0),""))),"")</f>
        <v>0</v>
      </c>
      <c r="CD152" s="42" t="n">
        <f aca="false">IFERROR(IF($C152="","",IF($D152="","",IFERROR(ROUND($D152*INDEX('🔖 배합비 참조'!$B$2:$CE$83,MATCH("호박씨앗(외국산)",'🔖 배합비 참조'!$A$2:$A$83,0),MATCH($C152,'🔖 배합비 참조'!$B$1:$CE$1,0))/100,0),""))),"")</f>
        <v>0</v>
      </c>
      <c r="CE152" s="42" t="n">
        <f aca="false">IFERROR(IF($C152="","",IF($D152="","",IFERROR(ROUND($D152*INDEX('🔖 배합비 참조'!$B$2:$CE$83,MATCH("혼합제제(떡용에스텔)",'🔖 배합비 참조'!$A$2:$A$83,0),MATCH($C152,'🔖 배합비 참조'!$B$1:$CE$1,0))/100,0),""))),"")</f>
        <v>0</v>
      </c>
      <c r="CF152" s="42" t="n">
        <f aca="false">IFERROR(IF($C152="","",IF($D152="","",IFERROR(ROUND($D152*INDEX('🔖 배합비 참조'!$B$2:$CE$83,MATCH("혼합제제(스테비아)",'🔖 배합비 참조'!$A$2:$A$83,0),MATCH($C152,'🔖 배합비 참조'!$B$1:$CE$1,0))/100,0),""))),"")</f>
        <v>0</v>
      </c>
      <c r="CG152" s="42" t="n">
        <f aca="false">IFERROR(IF($C152="","",IF($D152="","",IFERROR(ROUND($D152*INDEX('🔖 배합비 참조'!$B$2:$CE$83,MATCH("화이트초콜릿",'🔖 배합비 참조'!$A$2:$A$83,0),MATCH($C152,'🔖 배합비 참조'!$B$1:$CE$1,0))/100,0),""))),"")</f>
        <v>0</v>
      </c>
      <c r="CH152" s="42" t="n">
        <f aca="false">IFERROR(IF($C152="","",IF($D152="","",IFERROR(ROUND($D152*INDEX('🔖 배합비 참조'!$B$2:$CE$83,MATCH("흑미찹쌀(국내산)",'🔖 배합비 참조'!$A$2:$A$83,0),MATCH($C152,'🔖 배합비 참조'!$B$1:$CE$1,0))/100,0),""))),"")</f>
        <v>0</v>
      </c>
      <c r="CI152" s="42" t="n">
        <f aca="false">IFERROR(IF($C152="","",IF($D152="","",IFERROR(ROUND($D152*INDEX('🔖 배합비 참조'!$B$2:$CE$83,MATCH("찰옥수수전분(미국산)",'🔖 배합비 참조'!$A$2:$A$83,0),MATCH($C152,'🔖 배합비 참조'!$B$1:$CE$1,0))/100,0),""))),"")</f>
        <v>0</v>
      </c>
      <c r="CJ152" s="40"/>
      <c r="CL152" s="1" t="s">
        <v>245</v>
      </c>
    </row>
    <row r="153" customFormat="false" ht="18" hidden="false" customHeight="true" outlineLevel="0" collapsed="false">
      <c r="A153" s="35" t="n">
        <v>149</v>
      </c>
      <c r="B153" s="36" t="n">
        <v>46027</v>
      </c>
      <c r="C153" s="37" t="s">
        <v>183</v>
      </c>
      <c r="D153" s="38" t="n">
        <v>140</v>
      </c>
      <c r="E153" s="13"/>
      <c r="F153" s="13"/>
      <c r="G153" s="39" t="n">
        <f aca="false">IFERROR(IF($C153="","",IF($D153="","",IFERROR(ROUND($D153*INDEX('🔖 배합비 참조'!$B$2:$CE$83,MATCH("간장",'🔖 배합비 참조'!$A$2:$A$83,0),MATCH($C153,'🔖 배합비 참조'!$B$1:$CE$1,0))/100,0),""))),"")</f>
        <v>0</v>
      </c>
      <c r="H153" s="39" t="n">
        <f aca="false">IFERROR(IF($C153="","",IF($D153="","",IFERROR(ROUND($D153*INDEX('🔖 배합비 참조'!$B$2:$CE$83,MATCH("강낭콩((울타리콩))",'🔖 배합비 참조'!$A$2:$A$83,0),MATCH($C153,'🔖 배합비 참조'!$B$1:$CE$1,0))/100,0),""))),"")</f>
        <v>0</v>
      </c>
      <c r="I153" s="39" t="n">
        <f aca="false">IFERROR(IF($C153="","",IF($D153="","",IFERROR(ROUND($D153*INDEX('🔖 배합비 참조'!$B$2:$CE$83,MATCH("건조딸기다이스(외국산)",'🔖 배합비 참조'!$A$2:$A$83,0),MATCH($C153,'🔖 배합비 참조'!$B$1:$CE$1,0))/100,0),""))),"")</f>
        <v>0</v>
      </c>
      <c r="J153" s="39" t="n">
        <f aca="false">IFERROR(IF($C153="","",IF($D153="","",IFERROR(ROUND($D153*INDEX('🔖 배합비 참조'!$B$2:$CE$83,MATCH("건포도",'🔖 배합비 참조'!$A$2:$A$83,0),MATCH($C153,'🔖 배합비 참조'!$B$1:$CE$1,0))/100,0),""))),"")</f>
        <v>0</v>
      </c>
      <c r="K153" s="39" t="n">
        <f aca="false">IFERROR(IF($C153="","",IF($D153="","",IFERROR(ROUND($D153*INDEX('🔖 배합비 참조'!$B$2:$CE$83,MATCH("건호박채(중국산)",'🔖 배합비 참조'!$A$2:$A$83,0),MATCH($C153,'🔖 배합비 참조'!$B$1:$CE$1,0))/100,0),""))),"")</f>
        <v>0</v>
      </c>
      <c r="L153" s="39" t="n">
        <f aca="false">IFERROR(IF($C153="","",IF($D153="","",IFERROR(ROUND($D153*INDEX('🔖 배합비 참조'!$B$2:$CE$83,MATCH("검정깨(흑임자)",'🔖 배합비 참조'!$A$2:$A$83,0),MATCH($C153,'🔖 배합비 참조'!$B$1:$CE$1,0))/100,0),""))),"")</f>
        <v>0</v>
      </c>
      <c r="M153" s="39" t="n">
        <f aca="false">IFERROR(IF($C153="","",IF($D153="","",IFERROR(ROUND($D153*INDEX('🔖 배합비 참조'!$B$2:$CE$83,MATCH("검정콩",'🔖 배합비 참조'!$A$2:$A$83,0),MATCH($C153,'🔖 배합비 참조'!$B$1:$CE$1,0))/100,0),""))),"")</f>
        <v>0</v>
      </c>
      <c r="N153" s="39" t="n">
        <f aca="false">IFERROR(IF($C153="","",IF($D153="","",IFERROR(ROUND($D153*INDEX('🔖 배합비 참조'!$B$2:$CE$83,MATCH("계피가루",'🔖 배합비 참조'!$A$2:$A$83,0),MATCH($C153,'🔖 배합비 참조'!$B$1:$CE$1,0))/100,0),""))),"")</f>
        <v>0</v>
      </c>
      <c r="O153" s="39" t="n">
        <f aca="false">IFERROR(IF($C153="","",IF($D153="","",IFERROR(ROUND($D153*INDEX('🔖 배합비 참조'!$B$2:$CE$83,MATCH("고구마가루",'🔖 배합비 참조'!$A$2:$A$83,0),MATCH($C153,'🔖 배합비 참조'!$B$1:$CE$1,0))/100,0),""))),"")</f>
        <v>0</v>
      </c>
      <c r="P153" s="39" t="n">
        <f aca="false">IFERROR(IF($C153="","",IF($D153="","",IFERROR(ROUND($D153*INDEX('🔖 배합비 참조'!$B$2:$CE$83,MATCH("고구마무스",'🔖 배합비 참조'!$A$2:$A$83,0),MATCH($C153,'🔖 배합비 참조'!$B$1:$CE$1,0))/100,0),""))),"")</f>
        <v>0</v>
      </c>
      <c r="Q153" s="39" t="n">
        <f aca="false">IFERROR(IF($C153="","",IF($D153="","",IFERROR(ROUND($D153*INDEX('🔖 배합비 참조'!$B$2:$CE$83,MATCH("고려엉겅퀴((곤드레)국내산)",'🔖 배합비 참조'!$A$2:$A$83,0),MATCH($C153,'🔖 배합비 참조'!$B$1:$CE$1,0))/100,0),""))),"")</f>
        <v>0</v>
      </c>
      <c r="R153" s="39" t="n">
        <f aca="false">IFERROR(IF($C153="","",IF($D153="","",IFERROR(ROUND($D153*INDEX('🔖 배합비 참조'!$B$2:$CE$83,MATCH("기타가공품(복분자가루)",'🔖 배합비 참조'!$A$2:$A$83,0),MATCH($C153,'🔖 배합비 참조'!$B$1:$CE$1,0))/100,0),""))),"")</f>
        <v>0</v>
      </c>
      <c r="S153" s="39" t="n">
        <f aca="false">IFERROR(IF($C153="","",IF($D153="","",IFERROR(ROUND($D153*INDEX('🔖 배합비 참조'!$B$2:$CE$83,MATCH("기타가공품(슈퍼소프트엠)",'🔖 배합비 참조'!$A$2:$A$83,0),MATCH($C153,'🔖 배합비 참조'!$B$1:$CE$1,0))/100,0),""))),"")</f>
        <v>0</v>
      </c>
      <c r="T153" s="39" t="n">
        <f aca="false">IFERROR(IF($C153="","",IF($D153="","",IFERROR(ROUND($D153*INDEX('🔖 배합비 참조'!$B$2:$CE$83,MATCH("기타가공품(파인소프트 E-티)",'🔖 배합비 참조'!$A$2:$A$83,0),MATCH($C153,'🔖 배합비 참조'!$B$1:$CE$1,0))/100,0),""))),"")</f>
        <v>0</v>
      </c>
      <c r="U153" s="39" t="n">
        <f aca="false">IFERROR(IF($C153="","",IF($D153="","",IFERROR(ROUND($D153*INDEX('🔖 배합비 참조'!$B$2:$CE$83,MATCH("기타가공품(프리미엄카스테라가루)",'🔖 배합비 참조'!$A$2:$A$83,0),MATCH($C153,'🔖 배합비 참조'!$B$1:$CE$1,0))/100,0),""))),"")</f>
        <v>0</v>
      </c>
      <c r="V153" s="39" t="n">
        <f aca="false">IFERROR(IF($C153="","",IF($D153="","",IFERROR(ROUND($D153*INDEX('🔖 배합비 참조'!$B$2:$CE$83,MATCH("기타가공품(흑임자가루)",'🔖 배합비 참조'!$A$2:$A$83,0),MATCH($C153,'🔖 배합비 참조'!$B$1:$CE$1,0))/100,0),""))),"")</f>
        <v>0</v>
      </c>
      <c r="W153" s="39" t="n">
        <f aca="false">IFERROR(IF($C153="","",IF($D153="","",IFERROR(ROUND($D153*INDEX('🔖 배합비 참조'!$B$2:$CE$83,MATCH("기타설탕(흑설탕)",'🔖 배합비 참조'!$A$2:$A$83,0),MATCH($C153,'🔖 배합비 참조'!$B$1:$CE$1,0))/100,0),""))),"")</f>
        <v>0</v>
      </c>
      <c r="X153" s="39" t="n">
        <f aca="false">IFERROR(IF($C153="","",IF($D153="","",IFERROR(ROUND($D153*INDEX('🔖 배합비 참조'!$B$2:$CE$83,MATCH("냉동쑥(국내산)",'🔖 배합비 참조'!$A$2:$A$83,0),MATCH($C153,'🔖 배합비 참조'!$B$1:$CE$1,0))/100,0),""))),"")</f>
        <v>0</v>
      </c>
      <c r="Y153" s="39" t="n">
        <f aca="false">IFERROR(IF($C153="","",IF($D153="","",IFERROR(ROUND($D153*INDEX('🔖 배합비 참조'!$B$2:$CE$83,MATCH("냉동증숙고구마(중국산)",'🔖 배합비 참조'!$A$2:$A$83,0),MATCH($C153,'🔖 배합비 참조'!$B$1:$CE$1,0))/100,0),""))),"")</f>
        <v>0</v>
      </c>
      <c r="Z153" s="39" t="n">
        <f aca="false">IFERROR(IF($C153="","",IF($D153="","",IFERROR(ROUND($D153*INDEX('🔖 배합비 참조'!$B$2:$CE$83,MATCH("녹차가루",'🔖 배합비 참조'!$A$2:$A$83,0),MATCH($C153,'🔖 배합비 참조'!$B$1:$CE$1,0))/100,0),""))),"")</f>
        <v>0</v>
      </c>
      <c r="AA153" s="39" t="n">
        <f aca="false">IFERROR(IF($C153="","",IF($D153="","",IFERROR(ROUND($D153*INDEX('🔖 배합비 참조'!$B$2:$CE$83,MATCH("다크초콜릿 컴파운드칩",'🔖 배합비 참조'!$A$2:$A$83,0),MATCH($C153,'🔖 배합비 참조'!$B$1:$CE$1,0))/100,0),""))),"")</f>
        <v>0</v>
      </c>
      <c r="AB153" s="39" t="n">
        <f aca="false">IFERROR(IF($C153="","",IF($D153="","",IFERROR(ROUND($D153*INDEX('🔖 배합비 참조'!$B$2:$CE$83,MATCH("단호박분말(중국산)",'🔖 배합비 참조'!$A$2:$A$83,0),MATCH($C153,'🔖 배합비 참조'!$B$1:$CE$1,0))/100,0),""))),"")</f>
        <v>0</v>
      </c>
      <c r="AC153" s="39" t="n">
        <f aca="false">IFERROR(IF($C153="","",IF($D153="","",IFERROR(ROUND($D153*INDEX('🔖 배합비 참조'!$B$2:$CE$83,MATCH("당류가공품(단호박농축액)",'🔖 배합비 참조'!$A$2:$A$83,0),MATCH($C153,'🔖 배합비 참조'!$B$1:$CE$1,0))/100,0),""))),"")</f>
        <v>0</v>
      </c>
      <c r="AD153" s="39" t="n">
        <f aca="false">IFERROR(IF($C153="","",IF($D153="","",IFERROR(ROUND($D153*INDEX('🔖 배합비 참조'!$B$2:$CE$83,MATCH("당류가공품(알룰로스,에리스리톨,스테비올배당체혼합)",'🔖 배합비 참조'!$A$2:$A$83,0),MATCH($C153,'🔖 배합비 참조'!$B$1:$CE$1,0))/100,0),""))),"")</f>
        <v>0</v>
      </c>
      <c r="AE153" s="39" t="n">
        <f aca="false">IFERROR(IF($C153="","",IF($D153="","",IFERROR(ROUND($D153*INDEX('🔖 배합비 참조'!$B$2:$CE$83,MATCH("당류가공품(알룰로스제로파우더)",'🔖 배합비 참조'!$A$2:$A$83,0),MATCH($C153,'🔖 배합비 참조'!$B$1:$CE$1,0))/100,0),""))),"")</f>
        <v>0</v>
      </c>
      <c r="AF153" s="39" t="n">
        <f aca="false">IFERROR(IF($C153="","",IF($D153="","",IFERROR(ROUND($D153*INDEX('🔖 배합비 참조'!$B$2:$CE$83,MATCH("당절임(완두배기)",'🔖 배합비 참조'!$A$2:$A$83,0),MATCH($C153,'🔖 배합비 참조'!$B$1:$CE$1,0))/100,0),""))),"")</f>
        <v>0</v>
      </c>
      <c r="AG153" s="39" t="n">
        <f aca="false">IFERROR(IF($C153="","",IF($D153="","",IFERROR(ROUND($D153*INDEX('🔖 배합비 참조'!$B$2:$CE$83,MATCH("대추농축액",'🔖 배합비 참조'!$A$2:$A$83,0),MATCH($C153,'🔖 배합비 참조'!$B$1:$CE$1,0))/100,0),""))),"")</f>
        <v>0</v>
      </c>
      <c r="AH153" s="39" t="n">
        <f aca="false">IFERROR(IF($C153="","",IF($D153="","",IFERROR(ROUND($D153*INDEX('🔖 배합비 참조'!$B$2:$CE$83,MATCH("대추채(국내산)",'🔖 배합비 참조'!$A$2:$A$83,0),MATCH($C153,'🔖 배합비 참조'!$B$1:$CE$1,0))/100,0),""))),"")</f>
        <v>0</v>
      </c>
      <c r="AI153" s="39" t="n">
        <f aca="false">IFERROR(IF($C153="","",IF($D153="","",IFERROR(ROUND($D153*INDEX('🔖 배합비 참조'!$B$2:$CE$83,MATCH("동부(미얀마산)",'🔖 배합비 참조'!$A$2:$A$83,0),MATCH($C153,'🔖 배합비 참조'!$B$1:$CE$1,0))/100,0),""))),"")</f>
        <v>0</v>
      </c>
      <c r="AJ153" s="39" t="n">
        <f aca="false">IFERROR(IF($C153="","",IF($D153="","",IFERROR(ROUND($D153*INDEX('🔖 배합비 참조'!$B$2:$CE$83,MATCH("두류가공품(백옥앙금)",'🔖 배합비 참조'!$A$2:$A$83,0),MATCH($C153,'🔖 배합비 참조'!$B$1:$CE$1,0))/100,0),""))),"")</f>
        <v>0</v>
      </c>
      <c r="AK153" s="39" t="n">
        <f aca="false">IFERROR(IF($C153="","",IF($D153="","",IFERROR(ROUND($D153*INDEX('🔖 배합비 참조'!$B$2:$CE$83,MATCH("두류가공품(콩고물)",'🔖 배합비 참조'!$A$2:$A$83,0),MATCH($C153,'🔖 배합비 참조'!$B$1:$CE$1,0))/100,0),""))),"")</f>
        <v>0</v>
      </c>
      <c r="AL153" s="39" t="n">
        <f aca="false">IFERROR(IF($C153="","",IF($D153="","",IFERROR(ROUND($D153*INDEX('🔖 배합비 참조'!$B$2:$CE$83,MATCH("두류가공품(통팥고물)",'🔖 배합비 참조'!$A$2:$A$83,0),MATCH($C153,'🔖 배합비 참조'!$B$1:$CE$1,0))/100,0),""))),"")</f>
        <v>0</v>
      </c>
      <c r="AM153" s="39" t="n">
        <f aca="false">IFERROR(IF($C153="","",IF($D153="","",IFERROR(ROUND($D153*INDEX('🔖 배합비 참조'!$B$2:$CE$83,MATCH("딸기레진",'🔖 배합비 참조'!$A$2:$A$83,0),MATCH($C153,'🔖 배합비 참조'!$B$1:$CE$1,0))/100,0),""))),"")</f>
        <v>0</v>
      </c>
      <c r="AN153" s="39" t="n">
        <f aca="false">IFERROR(IF($C153="","",IF($D153="","",IFERROR(ROUND($D153*INDEX('🔖 배합비 참조'!$B$2:$CE$83,MATCH("딸기분말(스트로우베리에이드(분말))",'🔖 배합비 참조'!$A$2:$A$83,0),MATCH($C153,'🔖 배합비 참조'!$B$1:$CE$1,0))/100,0),""))),"")</f>
        <v>0</v>
      </c>
      <c r="AO153" s="39" t="n">
        <f aca="false">IFERROR(IF($C153="","",IF($D153="","",IFERROR(ROUND($D153*INDEX('🔖 배합비 참조'!$B$2:$CE$83,MATCH("마스카포네치즈",'🔖 배합비 참조'!$A$2:$A$83,0),MATCH($C153,'🔖 배합비 참조'!$B$1:$CE$1,0))/100,0),""))),"")</f>
        <v>0</v>
      </c>
      <c r="AP153" s="39" t="n">
        <f aca="false">IFERROR(IF($C153="","",IF($D153="","",IFERROR(ROUND($D153*INDEX('🔖 배합비 참조'!$B$2:$CE$83,MATCH("마카다미아분태(호주산)",'🔖 배합비 참조'!$A$2:$A$83,0),MATCH($C153,'🔖 배합비 참조'!$B$1:$CE$1,0))/100,0),""))),"")</f>
        <v>0</v>
      </c>
      <c r="AQ153" s="39" t="n">
        <f aca="false">IFERROR(IF($C153="","",IF($D153="","",IFERROR(ROUND($D153*INDEX('🔖 배합비 참조'!$B$2:$CE$83,MATCH("멥쌀(국내산)",'🔖 배합비 참조'!$A$2:$A$83,0),MATCH($C153,'🔖 배합비 참조'!$B$1:$CE$1,0))/100,0),""))),"")</f>
        <v>0</v>
      </c>
      <c r="AR153" s="39" t="n">
        <f aca="false">IFERROR(IF($C153="","",IF($D153="","",IFERROR(ROUND($D153*INDEX('🔖 배합비 참조'!$B$2:$CE$83,MATCH("모시잎(국내산)",'🔖 배합비 참조'!$A$2:$A$83,0),MATCH($C153,'🔖 배합비 참조'!$B$1:$CE$1,0))/100,0),""))),"")</f>
        <v>0</v>
      </c>
      <c r="AS153" s="39" t="n">
        <f aca="false">IFERROR(IF($C153="","",IF($D153="","",IFERROR(ROUND($D153*INDEX('🔖 배합비 참조'!$B$2:$CE$83,MATCH("물엿(저당물엿)",'🔖 배합비 참조'!$A$2:$A$83,0),MATCH($C153,'🔖 배합비 참조'!$B$1:$CE$1,0))/100,0),""))),"")</f>
        <v>3</v>
      </c>
      <c r="AT153" s="39" t="n">
        <f aca="false">IFERROR(IF($C153="","",IF($D153="","",IFERROR(ROUND($D153*INDEX('🔖 배합비 참조'!$B$2:$CE$83,MATCH("밤다이스",'🔖 배합비 참조'!$A$2:$A$83,0),MATCH($C153,'🔖 배합비 참조'!$B$1:$CE$1,0))/100,0),""))),"")</f>
        <v>0</v>
      </c>
      <c r="AU153" s="39" t="n">
        <f aca="false">IFERROR(IF($C153="","",IF($D153="","",IFERROR(ROUND($D153*INDEX('🔖 배합비 참조'!$B$2:$CE$83,MATCH("변성전분(타피오카전분)",'🔖 배합비 참조'!$A$2:$A$83,0),MATCH($C153,'🔖 배합비 참조'!$B$1:$CE$1,0))/100,0),""))),"")</f>
        <v>0</v>
      </c>
      <c r="AV153" s="39" t="n">
        <f aca="false">IFERROR(IF($C153="","",IF($D153="","",IFERROR(ROUND($D153*INDEX('🔖 배합비 참조'!$B$2:$CE$83,MATCH("복음땅콩분태",'🔖 배합비 참조'!$A$2:$A$83,0),MATCH($C153,'🔖 배합비 참조'!$B$1:$CE$1,0))/100,0),""))),"")</f>
        <v>0</v>
      </c>
      <c r="AW153" s="39" t="n">
        <f aca="false">IFERROR(IF($C153="","",IF($D153="","",IFERROR(ROUND($D153*INDEX('🔖 배합비 참조'!$B$2:$CE$83,MATCH("사양벌꿀(국내산)",'🔖 배합비 참조'!$A$2:$A$83,0),MATCH($C153,'🔖 배합비 참조'!$B$1:$CE$1,0))/100,0),""))),"")</f>
        <v>0</v>
      </c>
      <c r="AX153" s="39" t="n">
        <f aca="false">IFERROR(IF($C153="","",IF($D153="","",IFERROR(ROUND($D153*INDEX('🔖 배합비 참조'!$B$2:$CE$83,MATCH("생크림",'🔖 배합비 참조'!$A$2:$A$83,0),MATCH($C153,'🔖 배합비 참조'!$B$1:$CE$1,0))/100,0),""))),"")</f>
        <v>0</v>
      </c>
      <c r="AY153" s="39" t="n">
        <f aca="false">IFERROR(IF($C153="","",IF($D153="","",IFERROR(ROUND($D153*INDEX('🔖 배합비 참조'!$B$2:$CE$83,MATCH("서양호박(국내산,뉴질랜드산)",'🔖 배합비 참조'!$A$2:$A$83,0),MATCH($C153,'🔖 배합비 참조'!$B$1:$CE$1,0))/100,0),""))),"")</f>
        <v>0</v>
      </c>
      <c r="AZ153" s="39" t="n">
        <f aca="false">IFERROR(IF($C153="","",IF($D153="","",IFERROR(ROUND($D153*INDEX('🔖 배합비 참조'!$B$2:$CE$83,MATCH("설탕",'🔖 배합비 참조'!$A$2:$A$83,0),MATCH($C153,'🔖 배합비 참조'!$B$1:$CE$1,0))/100,0),""))),"")</f>
        <v>3</v>
      </c>
      <c r="BA153" s="39" t="n">
        <f aca="false">IFERROR(IF($C153="","",IF($D153="","",IFERROR(ROUND($D153*INDEX('🔖 배합비 참조'!$B$2:$CE$83,MATCH("스트로우베리 에이드 후레쉬",'🔖 배합비 참조'!$A$2:$A$83,0),MATCH($C153,'🔖 배합비 참조'!$B$1:$CE$1,0))/100,0),""))),"")</f>
        <v>0</v>
      </c>
      <c r="BB153" s="39" t="n">
        <f aca="false">IFERROR(IF($C153="","",IF($D153="","",IFERROR(ROUND($D153*INDEX('🔖 배합비 참조'!$B$2:$CE$83,MATCH("식물성기름혼합제제(분홍)",'🔖 배합비 참조'!$A$2:$A$83,0),MATCH($C153,'🔖 배합비 참조'!$B$1:$CE$1,0))/100,0),""))),"")</f>
        <v>0</v>
      </c>
      <c r="BC153" s="39" t="n">
        <f aca="false">IFERROR(IF($C153="","",IF($D153="","",IFERROR(ROUND($D153*INDEX('🔖 배합비 참조'!$B$2:$CE$83,MATCH("식물성기름혼합제제(초록)",'🔖 배합비 참조'!$A$2:$A$83,0),MATCH($C153,'🔖 배합비 참조'!$B$1:$CE$1,0))/100,0),""))),"")</f>
        <v>0</v>
      </c>
      <c r="BD153" s="39" t="n">
        <f aca="false">IFERROR(IF($C153="","",IF($D153="","",IFERROR(ROUND($D153*INDEX('🔖 배합비 참조'!$B$2:$CE$83,MATCH("식물성기름혼합제제(황색)",'🔖 배합비 참조'!$A$2:$A$83,0),MATCH($C153,'🔖 배합비 참조'!$B$1:$CE$1,0))/100,0),""))),"")</f>
        <v>0</v>
      </c>
      <c r="BE153" s="39" t="n">
        <f aca="false">IFERROR(IF($C153="","",IF($D153="","",IFERROR(ROUND($D153*INDEX('🔖 배합비 참조'!$B$2:$CE$83,MATCH("쑥가루(국내산)",'🔖 배합비 참조'!$A$2:$A$83,0),MATCH($C153,'🔖 배합비 참조'!$B$1:$CE$1,0))/100,0),""))),"")</f>
        <v>0</v>
      </c>
      <c r="BF153" s="39" t="n">
        <f aca="false">IFERROR(IF($C153="","",IF($D153="","",IFERROR(ROUND($D153*INDEX('🔖 배합비 참조'!$B$2:$CE$83,MATCH("아몬드슬라이스",'🔖 배합비 참조'!$A$2:$A$83,0),MATCH($C153,'🔖 배합비 참조'!$B$1:$CE$1,0))/100,0),""))),"")</f>
        <v>0</v>
      </c>
      <c r="BG153" s="39" t="n">
        <f aca="false">IFERROR(IF($C153="","",IF($D153="","",IFERROR(ROUND($D153*INDEX('🔖 배합비 참조'!$B$2:$CE$83,MATCH("알룰로오스(국내산)",'🔖 배합비 참조'!$A$2:$A$83,0),MATCH($C153,'🔖 배합비 참조'!$B$1:$CE$1,0))/100,0),""))),"")</f>
        <v>0</v>
      </c>
      <c r="BH153" s="39" t="n">
        <f aca="false">IFERROR(IF($C153="","",IF($D153="","",IFERROR(ROUND($D153*INDEX('🔖 배합비 참조'!$B$2:$CE$83,MATCH("연유",'🔖 배합비 참조'!$A$2:$A$83,0),MATCH($C153,'🔖 배합비 참조'!$B$1:$CE$1,0))/100,0),""))),"")</f>
        <v>0</v>
      </c>
      <c r="BI153" s="39" t="n">
        <f aca="false">IFERROR(IF($C153="","",IF($D153="","",IFERROR(ROUND($D153*INDEX('🔖 배합비 참조'!$B$2:$CE$83,MATCH("옥수수전분",'🔖 배합비 참조'!$A$2:$A$83,0),MATCH($C153,'🔖 배합비 참조'!$B$1:$CE$1,0))/100,0),""))),"")</f>
        <v>2</v>
      </c>
      <c r="BJ153" s="39" t="n">
        <f aca="false">IFERROR(IF($C153="","",IF($D153="","",IFERROR(ROUND($D153*INDEX('🔖 배합비 참조'!$B$2:$CE$83,MATCH("완두배기",'🔖 배합비 참조'!$A$2:$A$83,0),MATCH($C153,'🔖 배합비 참조'!$B$1:$CE$1,0))/100,0),""))),"")</f>
        <v>0</v>
      </c>
      <c r="BK153" s="39" t="n">
        <f aca="false">IFERROR(IF($C153="","",IF($D153="","",IFERROR(ROUND($D153*INDEX('🔖 배합비 참조'!$B$2:$CE$83,MATCH("우유(국내산)",'🔖 배합비 참조'!$A$2:$A$83,0),MATCH($C153,'🔖 배합비 참조'!$B$1:$CE$1,0))/100,0),""))),"")</f>
        <v>0</v>
      </c>
      <c r="BL153" s="39" t="n">
        <f aca="false">IFERROR(IF($C153="","",IF($D153="","",IFERROR(ROUND($D153*INDEX('🔖 배합비 참조'!$B$2:$CE$83,MATCH("자색고구마가루(중국산)",'🔖 배합비 참조'!$A$2:$A$83,0),MATCH($C153,'🔖 배합비 참조'!$B$1:$CE$1,0))/100,0),""))),"")</f>
        <v>0</v>
      </c>
      <c r="BM153" s="39" t="n">
        <f aca="false">IFERROR(IF($C153="","",IF($D153="","",IFERROR(ROUND($D153*INDEX('🔖 배합비 참조'!$B$2:$CE$83,MATCH("자연치즈(체다치즈)",'🔖 배합비 참조'!$A$2:$A$83,0),MATCH($C153,'🔖 배합비 참조'!$B$1:$CE$1,0))/100,0),""))),"")</f>
        <v>0</v>
      </c>
      <c r="BN153" s="39" t="n">
        <f aca="false">IFERROR(IF($C153="","",IF($D153="","",IFERROR(ROUND($D153*INDEX('🔖 배합비 참조'!$B$2:$CE$83,MATCH("정제수",'🔖 배합비 참조'!$A$2:$A$83,0),MATCH($C153,'🔖 배합비 참조'!$B$1:$CE$1,0))/100,0),""))),"")</f>
        <v>0</v>
      </c>
      <c r="BO153" s="39" t="n">
        <f aca="false">IFERROR(IF($C153="","",IF($D153="","",IFERROR(ROUND($D153*INDEX('🔖 배합비 참조'!$B$2:$CE$83,MATCH("젤라틴",'🔖 배합비 참조'!$A$2:$A$83,0),MATCH($C153,'🔖 배합비 참조'!$B$1:$CE$1,0))/100,0),""))),"")</f>
        <v>0</v>
      </c>
      <c r="BP153" s="39" t="n">
        <f aca="false">IFERROR(IF($C153="","",IF($D153="","",IFERROR(ROUND($D153*INDEX('🔖 배합비 참조'!$B$2:$CE$83,MATCH("조림류(백옥앙금)",'🔖 배합비 참조'!$A$2:$A$83,0),MATCH($C153,'🔖 배합비 참조'!$B$1:$CE$1,0))/100,0),""))),"")</f>
        <v>0</v>
      </c>
      <c r="BQ153" s="39" t="n">
        <f aca="false">IFERROR(IF($C153="","",IF($D153="","",IFERROR(ROUND($D153*INDEX('🔖 배합비 참조'!$B$2:$CE$83,MATCH("조림류(통팥앙금)",'🔖 배합비 참조'!$A$2:$A$83,0),MATCH($C153,'🔖 배합비 참조'!$B$1:$CE$1,0))/100,0),""))),"")</f>
        <v>63</v>
      </c>
      <c r="BR153" s="39" t="n">
        <f aca="false">IFERROR(IF($C153="","",IF($D153="","",IFERROR(ROUND($D153*INDEX('🔖 배합비 참조'!$B$2:$CE$83,MATCH("준초콜릿(외국산)",'🔖 배합비 참조'!$A$2:$A$83,0),MATCH($C153,'🔖 배합비 참조'!$B$1:$CE$1,0))/100,0),""))),"")</f>
        <v>0</v>
      </c>
      <c r="BS153" s="39" t="n">
        <f aca="false">IFERROR(IF($C153="","",IF($D153="","",IFERROR(ROUND($D153*INDEX('🔖 배합비 참조'!$B$2:$CE$83,MATCH("중력분",'🔖 배합비 참조'!$A$2:$A$83,0),MATCH($C153,'🔖 배합비 참조'!$B$1:$CE$1,0))/100,0),""))),"")</f>
        <v>0</v>
      </c>
      <c r="BT153" s="39" t="n">
        <f aca="false">IFERROR(IF($C153="","",IF($D153="","",IFERROR(ROUND($D153*INDEX('🔖 배합비 참조'!$B$2:$CE$83,MATCH("참깨(인도산,나이지리아산,탄자니아산,미얀마산)",'🔖 배합비 참조'!$A$2:$A$83,0),MATCH($C153,'🔖 배합비 참조'!$B$1:$CE$1,0))/100,0),""))),"")</f>
        <v>0</v>
      </c>
      <c r="BU153" s="39" t="n">
        <f aca="false">IFERROR(IF($C153="","",IF($D153="","",IFERROR(ROUND($D153*INDEX('🔖 배합비 참조'!$B$2:$CE$83,MATCH("찹쌀(국내산)",'🔖 배합비 참조'!$A$2:$A$83,0),MATCH($C153,'🔖 배합비 참조'!$B$1:$CE$1,0))/100,0),""))),"")</f>
        <v>67</v>
      </c>
      <c r="BV153" s="39" t="n">
        <f aca="false">IFERROR(IF($C153="","",IF($D153="","",IFERROR(ROUND($D153*INDEX('🔖 배합비 참조'!$B$2:$CE$83,MATCH("천일염",'🔖 배합비 참조'!$A$2:$A$83,0),MATCH($C153,'🔖 배합비 참조'!$B$1:$CE$1,0))/100,0),""))),"")</f>
        <v>1</v>
      </c>
      <c r="BW153" s="39" t="n">
        <f aca="false">IFERROR(IF($C153="","",IF($D153="","",IFERROR(ROUND($D153*INDEX('🔖 배합비 참조'!$B$2:$CE$83,MATCH("치즈 [크림치즈]",'🔖 배합비 참조'!$A$2:$A$83,0),MATCH($C153,'🔖 배합비 참조'!$B$1:$CE$1,0))/100,0),""))),"")</f>
        <v>0</v>
      </c>
      <c r="BX153" s="39" t="n">
        <f aca="false">IFERROR(IF($C153="","",IF($D153="","",IFERROR(ROUND($D153*INDEX('🔖 배합비 참조'!$B$2:$CE$83,MATCH("코코아가공품류(코코아분말)",'🔖 배합비 참조'!$A$2:$A$83,0),MATCH($C153,'🔖 배합비 참조'!$B$1:$CE$1,0))/100,0),""))),"")</f>
        <v>0</v>
      </c>
      <c r="BY153" s="39" t="n">
        <f aca="false">IFERROR(IF($C153="","",IF($D153="","",IFERROR(ROUND($D153*INDEX('🔖 배합비 참조'!$B$2:$CE$83,MATCH("콩기름(대두유)",'🔖 배합비 참조'!$A$2:$A$83,0),MATCH($C153,'🔖 배합비 참조'!$B$1:$CE$1,0))/100,0),""))),"")</f>
        <v>0</v>
      </c>
      <c r="BZ153" s="39" t="n">
        <f aca="false">IFERROR(IF($C153="","",IF($D153="","",IFERROR(ROUND($D153*INDEX('🔖 배합비 참조'!$B$2:$CE$83,MATCH("해바라기씨앗",'🔖 배합비 참조'!$A$2:$A$83,0),MATCH($C153,'🔖 배합비 참조'!$B$1:$CE$1,0))/100,0),""))),"")</f>
        <v>0</v>
      </c>
      <c r="CA153" s="39" t="n">
        <f aca="false">IFERROR(IF($C153="","",IF($D153="","",IFERROR(ROUND($D153*INDEX('🔖 배합비 참조'!$B$2:$CE$83,MATCH("현미(국내산)",'🔖 배합비 참조'!$A$2:$A$83,0),MATCH($C153,'🔖 배합비 참조'!$B$1:$CE$1,0))/100,0),""))),"")</f>
        <v>0</v>
      </c>
      <c r="CB153" s="39" t="n">
        <f aca="false">IFERROR(IF($C153="","",IF($D153="","",IFERROR(ROUND($D153*INDEX('🔖 배합비 참조'!$B$2:$CE$83,MATCH("현미멥쌀(국내산)",'🔖 배합비 참조'!$A$2:$A$83,0),MATCH($C153,'🔖 배합비 참조'!$B$1:$CE$1,0))/100,0),""))),"")</f>
        <v>0</v>
      </c>
      <c r="CC153" s="39" t="n">
        <f aca="false">IFERROR(IF($C153="","",IF($D153="","",IFERROR(ROUND($D153*INDEX('🔖 배합비 참조'!$B$2:$CE$83,MATCH("호두분태(미국산)",'🔖 배합비 참조'!$A$2:$A$83,0),MATCH($C153,'🔖 배합비 참조'!$B$1:$CE$1,0))/100,0),""))),"")</f>
        <v>0</v>
      </c>
      <c r="CD153" s="39" t="n">
        <f aca="false">IFERROR(IF($C153="","",IF($D153="","",IFERROR(ROUND($D153*INDEX('🔖 배합비 참조'!$B$2:$CE$83,MATCH("호박씨앗(외국산)",'🔖 배합비 참조'!$A$2:$A$83,0),MATCH($C153,'🔖 배합비 참조'!$B$1:$CE$1,0))/100,0),""))),"")</f>
        <v>0</v>
      </c>
      <c r="CE153" s="39" t="n">
        <f aca="false">IFERROR(IF($C153="","",IF($D153="","",IFERROR(ROUND($D153*INDEX('🔖 배합비 참조'!$B$2:$CE$83,MATCH("혼합제제(떡용에스텔)",'🔖 배합비 참조'!$A$2:$A$83,0),MATCH($C153,'🔖 배합비 참조'!$B$1:$CE$1,0))/100,0),""))),"")</f>
        <v>1</v>
      </c>
      <c r="CF153" s="39" t="n">
        <f aca="false">IFERROR(IF($C153="","",IF($D153="","",IFERROR(ROUND($D153*INDEX('🔖 배합비 참조'!$B$2:$CE$83,MATCH("혼합제제(스테비아)",'🔖 배합비 참조'!$A$2:$A$83,0),MATCH($C153,'🔖 배합비 참조'!$B$1:$CE$1,0))/100,0),""))),"")</f>
        <v>0</v>
      </c>
      <c r="CG153" s="39" t="n">
        <f aca="false">IFERROR(IF($C153="","",IF($D153="","",IFERROR(ROUND($D153*INDEX('🔖 배합비 참조'!$B$2:$CE$83,MATCH("화이트초콜릿",'🔖 배합비 참조'!$A$2:$A$83,0),MATCH($C153,'🔖 배합비 참조'!$B$1:$CE$1,0))/100,0),""))),"")</f>
        <v>0</v>
      </c>
      <c r="CH153" s="39" t="n">
        <f aca="false">IFERROR(IF($C153="","",IF($D153="","",IFERROR(ROUND($D153*INDEX('🔖 배합비 참조'!$B$2:$CE$83,MATCH("흑미찹쌀(국내산)",'🔖 배합비 참조'!$A$2:$A$83,0),MATCH($C153,'🔖 배합비 참조'!$B$1:$CE$1,0))/100,0),""))),"")</f>
        <v>0</v>
      </c>
      <c r="CI153" s="39" t="n">
        <f aca="false">IFERROR(IF($C153="","",IF($D153="","",IFERROR(ROUND($D153*INDEX('🔖 배합비 참조'!$B$2:$CE$83,MATCH("찰옥수수전분(미국산)",'🔖 배합비 참조'!$A$2:$A$83,0),MATCH($C153,'🔖 배합비 참조'!$B$1:$CE$1,0))/100,0),""))),"")</f>
        <v>0</v>
      </c>
      <c r="CJ153" s="40"/>
      <c r="CL153" s="1" t="s">
        <v>245</v>
      </c>
    </row>
    <row r="154" customFormat="false" ht="18" hidden="false" customHeight="true" outlineLevel="0" collapsed="false">
      <c r="A154" s="41" t="n">
        <v>150</v>
      </c>
      <c r="B154" s="36" t="n">
        <v>46028</v>
      </c>
      <c r="C154" s="37" t="s">
        <v>148</v>
      </c>
      <c r="D154" s="38" t="n">
        <v>27.5</v>
      </c>
      <c r="E154" s="17"/>
      <c r="F154" s="17"/>
      <c r="G154" s="42" t="n">
        <f aca="false">IFERROR(IF($C154="","",IF($D154="","",IFERROR(ROUND($D154*INDEX('🔖 배합비 참조'!$B$2:$CE$83,MATCH("간장",'🔖 배합비 참조'!$A$2:$A$83,0),MATCH($C154,'🔖 배합비 참조'!$B$1:$CE$1,0))/100,0),""))),"")</f>
        <v>0</v>
      </c>
      <c r="H154" s="42" t="n">
        <f aca="false">IFERROR(IF($C154="","",IF($D154="","",IFERROR(ROUND($D154*INDEX('🔖 배합비 참조'!$B$2:$CE$83,MATCH("강낭콩((울타리콩))",'🔖 배합비 참조'!$A$2:$A$83,0),MATCH($C154,'🔖 배합비 참조'!$B$1:$CE$1,0))/100,0),""))),"")</f>
        <v>0</v>
      </c>
      <c r="I154" s="42" t="n">
        <f aca="false">IFERROR(IF($C154="","",IF($D154="","",IFERROR(ROUND($D154*INDEX('🔖 배합비 참조'!$B$2:$CE$83,MATCH("건조딸기다이스(외국산)",'🔖 배합비 참조'!$A$2:$A$83,0),MATCH($C154,'🔖 배합비 참조'!$B$1:$CE$1,0))/100,0),""))),"")</f>
        <v>0</v>
      </c>
      <c r="J154" s="42" t="n">
        <f aca="false">IFERROR(IF($C154="","",IF($D154="","",IFERROR(ROUND($D154*INDEX('🔖 배합비 참조'!$B$2:$CE$83,MATCH("건포도",'🔖 배합비 참조'!$A$2:$A$83,0),MATCH($C154,'🔖 배합비 참조'!$B$1:$CE$1,0))/100,0),""))),"")</f>
        <v>0</v>
      </c>
      <c r="K154" s="42" t="n">
        <f aca="false">IFERROR(IF($C154="","",IF($D154="","",IFERROR(ROUND($D154*INDEX('🔖 배합비 참조'!$B$2:$CE$83,MATCH("건호박채(중국산)",'🔖 배합비 참조'!$A$2:$A$83,0),MATCH($C154,'🔖 배합비 참조'!$B$1:$CE$1,0))/100,0),""))),"")</f>
        <v>0</v>
      </c>
      <c r="L154" s="42" t="n">
        <f aca="false">IFERROR(IF($C154="","",IF($D154="","",IFERROR(ROUND($D154*INDEX('🔖 배합비 참조'!$B$2:$CE$83,MATCH("검정깨(흑임자)",'🔖 배합비 참조'!$A$2:$A$83,0),MATCH($C154,'🔖 배합비 참조'!$B$1:$CE$1,0))/100,0),""))),"")</f>
        <v>0</v>
      </c>
      <c r="M154" s="42" t="n">
        <f aca="false">IFERROR(IF($C154="","",IF($D154="","",IFERROR(ROUND($D154*INDEX('🔖 배합비 참조'!$B$2:$CE$83,MATCH("검정콩",'🔖 배합비 참조'!$A$2:$A$83,0),MATCH($C154,'🔖 배합비 참조'!$B$1:$CE$1,0))/100,0),""))),"")</f>
        <v>0</v>
      </c>
      <c r="N154" s="42" t="n">
        <f aca="false">IFERROR(IF($C154="","",IF($D154="","",IFERROR(ROUND($D154*INDEX('🔖 배합비 참조'!$B$2:$CE$83,MATCH("계피가루",'🔖 배합비 참조'!$A$2:$A$83,0),MATCH($C154,'🔖 배합비 참조'!$B$1:$CE$1,0))/100,0),""))),"")</f>
        <v>0</v>
      </c>
      <c r="O154" s="42" t="n">
        <f aca="false">IFERROR(IF($C154="","",IF($D154="","",IFERROR(ROUND($D154*INDEX('🔖 배합비 참조'!$B$2:$CE$83,MATCH("고구마가루",'🔖 배합비 참조'!$A$2:$A$83,0),MATCH($C154,'🔖 배합비 참조'!$B$1:$CE$1,0))/100,0),""))),"")</f>
        <v>0</v>
      </c>
      <c r="P154" s="42" t="n">
        <f aca="false">IFERROR(IF($C154="","",IF($D154="","",IFERROR(ROUND($D154*INDEX('🔖 배합비 참조'!$B$2:$CE$83,MATCH("고구마무스",'🔖 배합비 참조'!$A$2:$A$83,0),MATCH($C154,'🔖 배합비 참조'!$B$1:$CE$1,0))/100,0),""))),"")</f>
        <v>0</v>
      </c>
      <c r="Q154" s="42" t="n">
        <f aca="false">IFERROR(IF($C154="","",IF($D154="","",IFERROR(ROUND($D154*INDEX('🔖 배합비 참조'!$B$2:$CE$83,MATCH("고려엉겅퀴((곤드레)국내산)",'🔖 배합비 참조'!$A$2:$A$83,0),MATCH($C154,'🔖 배합비 참조'!$B$1:$CE$1,0))/100,0),""))),"")</f>
        <v>0</v>
      </c>
      <c r="R154" s="42" t="n">
        <f aca="false">IFERROR(IF($C154="","",IF($D154="","",IFERROR(ROUND($D154*INDEX('🔖 배합비 참조'!$B$2:$CE$83,MATCH("기타가공품(복분자가루)",'🔖 배합비 참조'!$A$2:$A$83,0),MATCH($C154,'🔖 배합비 참조'!$B$1:$CE$1,0))/100,0),""))),"")</f>
        <v>0</v>
      </c>
      <c r="S154" s="42" t="n">
        <f aca="false">IFERROR(IF($C154="","",IF($D154="","",IFERROR(ROUND($D154*INDEX('🔖 배합비 참조'!$B$2:$CE$83,MATCH("기타가공품(슈퍼소프트엠)",'🔖 배합비 참조'!$A$2:$A$83,0),MATCH($C154,'🔖 배합비 참조'!$B$1:$CE$1,0))/100,0),""))),"")</f>
        <v>0</v>
      </c>
      <c r="T154" s="42" t="n">
        <f aca="false">IFERROR(IF($C154="","",IF($D154="","",IFERROR(ROUND($D154*INDEX('🔖 배합비 참조'!$B$2:$CE$83,MATCH("기타가공품(파인소프트 E-티)",'🔖 배합비 참조'!$A$2:$A$83,0),MATCH($C154,'🔖 배합비 참조'!$B$1:$CE$1,0))/100,0),""))),"")</f>
        <v>0</v>
      </c>
      <c r="U154" s="42" t="n">
        <f aca="false">IFERROR(IF($C154="","",IF($D154="","",IFERROR(ROUND($D154*INDEX('🔖 배합비 참조'!$B$2:$CE$83,MATCH("기타가공품(프리미엄카스테라가루)",'🔖 배합비 참조'!$A$2:$A$83,0),MATCH($C154,'🔖 배합비 참조'!$B$1:$CE$1,0))/100,0),""))),"")</f>
        <v>0</v>
      </c>
      <c r="V154" s="42" t="n">
        <f aca="false">IFERROR(IF($C154="","",IF($D154="","",IFERROR(ROUND($D154*INDEX('🔖 배합비 참조'!$B$2:$CE$83,MATCH("기타가공품(흑임자가루)",'🔖 배합비 참조'!$A$2:$A$83,0),MATCH($C154,'🔖 배합비 참조'!$B$1:$CE$1,0))/100,0),""))),"")</f>
        <v>0</v>
      </c>
      <c r="W154" s="42" t="n">
        <f aca="false">IFERROR(IF($C154="","",IF($D154="","",IFERROR(ROUND($D154*INDEX('🔖 배합비 참조'!$B$2:$CE$83,MATCH("기타설탕(흑설탕)",'🔖 배합비 참조'!$A$2:$A$83,0),MATCH($C154,'🔖 배합비 참조'!$B$1:$CE$1,0))/100,0),""))),"")</f>
        <v>0</v>
      </c>
      <c r="X154" s="42" t="n">
        <f aca="false">IFERROR(IF($C154="","",IF($D154="","",IFERROR(ROUND($D154*INDEX('🔖 배합비 참조'!$B$2:$CE$83,MATCH("냉동쑥(국내산)",'🔖 배합비 참조'!$A$2:$A$83,0),MATCH($C154,'🔖 배합비 참조'!$B$1:$CE$1,0))/100,0),""))),"")</f>
        <v>0</v>
      </c>
      <c r="Y154" s="42" t="n">
        <f aca="false">IFERROR(IF($C154="","",IF($D154="","",IFERROR(ROUND($D154*INDEX('🔖 배합비 참조'!$B$2:$CE$83,MATCH("냉동증숙고구마(중국산)",'🔖 배합비 참조'!$A$2:$A$83,0),MATCH($C154,'🔖 배합비 참조'!$B$1:$CE$1,0))/100,0),""))),"")</f>
        <v>0</v>
      </c>
      <c r="Z154" s="42" t="n">
        <f aca="false">IFERROR(IF($C154="","",IF($D154="","",IFERROR(ROUND($D154*INDEX('🔖 배합비 참조'!$B$2:$CE$83,MATCH("녹차가루",'🔖 배합비 참조'!$A$2:$A$83,0),MATCH($C154,'🔖 배합비 참조'!$B$1:$CE$1,0))/100,0),""))),"")</f>
        <v>0</v>
      </c>
      <c r="AA154" s="42" t="n">
        <f aca="false">IFERROR(IF($C154="","",IF($D154="","",IFERROR(ROUND($D154*INDEX('🔖 배합비 참조'!$B$2:$CE$83,MATCH("다크초콜릿 컴파운드칩",'🔖 배합비 참조'!$A$2:$A$83,0),MATCH($C154,'🔖 배합비 참조'!$B$1:$CE$1,0))/100,0),""))),"")</f>
        <v>0</v>
      </c>
      <c r="AB154" s="42" t="n">
        <f aca="false">IFERROR(IF($C154="","",IF($D154="","",IFERROR(ROUND($D154*INDEX('🔖 배합비 참조'!$B$2:$CE$83,MATCH("단호박분말(중국산)",'🔖 배합비 참조'!$A$2:$A$83,0),MATCH($C154,'🔖 배합비 참조'!$B$1:$CE$1,0))/100,0),""))),"")</f>
        <v>0</v>
      </c>
      <c r="AC154" s="42" t="n">
        <f aca="false">IFERROR(IF($C154="","",IF($D154="","",IFERROR(ROUND($D154*INDEX('🔖 배합비 참조'!$B$2:$CE$83,MATCH("당류가공품(단호박농축액)",'🔖 배합비 참조'!$A$2:$A$83,0),MATCH($C154,'🔖 배합비 참조'!$B$1:$CE$1,0))/100,0),""))),"")</f>
        <v>0</v>
      </c>
      <c r="AD154" s="42" t="n">
        <f aca="false">IFERROR(IF($C154="","",IF($D154="","",IFERROR(ROUND($D154*INDEX('🔖 배합비 참조'!$B$2:$CE$83,MATCH("당류가공품(알룰로스,에리스리톨,스테비올배당체혼합)",'🔖 배합비 참조'!$A$2:$A$83,0),MATCH($C154,'🔖 배합비 참조'!$B$1:$CE$1,0))/100,0),""))),"")</f>
        <v>0</v>
      </c>
      <c r="AE154" s="42" t="n">
        <f aca="false">IFERROR(IF($C154="","",IF($D154="","",IFERROR(ROUND($D154*INDEX('🔖 배합비 참조'!$B$2:$CE$83,MATCH("당류가공품(알룰로스제로파우더)",'🔖 배합비 참조'!$A$2:$A$83,0),MATCH($C154,'🔖 배합비 참조'!$B$1:$CE$1,0))/100,0),""))),"")</f>
        <v>0</v>
      </c>
      <c r="AF154" s="42" t="n">
        <f aca="false">IFERROR(IF($C154="","",IF($D154="","",IFERROR(ROUND($D154*INDEX('🔖 배합비 참조'!$B$2:$CE$83,MATCH("당절임(완두배기)",'🔖 배합비 참조'!$A$2:$A$83,0),MATCH($C154,'🔖 배합비 참조'!$B$1:$CE$1,0))/100,0),""))),"")</f>
        <v>0</v>
      </c>
      <c r="AG154" s="42" t="n">
        <f aca="false">IFERROR(IF($C154="","",IF($D154="","",IFERROR(ROUND($D154*INDEX('🔖 배합비 참조'!$B$2:$CE$83,MATCH("대추농축액",'🔖 배합비 참조'!$A$2:$A$83,0),MATCH($C154,'🔖 배합비 참조'!$B$1:$CE$1,0))/100,0),""))),"")</f>
        <v>0</v>
      </c>
      <c r="AH154" s="42" t="n">
        <f aca="false">IFERROR(IF($C154="","",IF($D154="","",IFERROR(ROUND($D154*INDEX('🔖 배합비 참조'!$B$2:$CE$83,MATCH("대추채(국내산)",'🔖 배합비 참조'!$A$2:$A$83,0),MATCH($C154,'🔖 배합비 참조'!$B$1:$CE$1,0))/100,0),""))),"")</f>
        <v>0</v>
      </c>
      <c r="AI154" s="42" t="n">
        <f aca="false">IFERROR(IF($C154="","",IF($D154="","",IFERROR(ROUND($D154*INDEX('🔖 배합비 참조'!$B$2:$CE$83,MATCH("동부(미얀마산)",'🔖 배합비 참조'!$A$2:$A$83,0),MATCH($C154,'🔖 배합비 참조'!$B$1:$CE$1,0))/100,0),""))),"")</f>
        <v>0</v>
      </c>
      <c r="AJ154" s="42" t="n">
        <f aca="false">IFERROR(IF($C154="","",IF($D154="","",IFERROR(ROUND($D154*INDEX('🔖 배합비 참조'!$B$2:$CE$83,MATCH("두류가공품(백옥앙금)",'🔖 배합비 참조'!$A$2:$A$83,0),MATCH($C154,'🔖 배합비 참조'!$B$1:$CE$1,0))/100,0),""))),"")</f>
        <v>0</v>
      </c>
      <c r="AK154" s="42" t="n">
        <f aca="false">IFERROR(IF($C154="","",IF($D154="","",IFERROR(ROUND($D154*INDEX('🔖 배합비 참조'!$B$2:$CE$83,MATCH("두류가공품(콩고물)",'🔖 배합비 참조'!$A$2:$A$83,0),MATCH($C154,'🔖 배합비 참조'!$B$1:$CE$1,0))/100,0),""))),"")</f>
        <v>0</v>
      </c>
      <c r="AL154" s="42" t="n">
        <f aca="false">IFERROR(IF($C154="","",IF($D154="","",IFERROR(ROUND($D154*INDEX('🔖 배합비 참조'!$B$2:$CE$83,MATCH("두류가공품(통팥고물)",'🔖 배합비 참조'!$A$2:$A$83,0),MATCH($C154,'🔖 배합비 참조'!$B$1:$CE$1,0))/100,0),""))),"")</f>
        <v>0</v>
      </c>
      <c r="AM154" s="42" t="n">
        <f aca="false">IFERROR(IF($C154="","",IF($D154="","",IFERROR(ROUND($D154*INDEX('🔖 배합비 참조'!$B$2:$CE$83,MATCH("딸기레진",'🔖 배합비 참조'!$A$2:$A$83,0),MATCH($C154,'🔖 배합비 참조'!$B$1:$CE$1,0))/100,0),""))),"")</f>
        <v>0</v>
      </c>
      <c r="AN154" s="42" t="n">
        <f aca="false">IFERROR(IF($C154="","",IF($D154="","",IFERROR(ROUND($D154*INDEX('🔖 배합비 참조'!$B$2:$CE$83,MATCH("딸기분말(스트로우베리에이드(분말))",'🔖 배합비 참조'!$A$2:$A$83,0),MATCH($C154,'🔖 배합비 참조'!$B$1:$CE$1,0))/100,0),""))),"")</f>
        <v>0</v>
      </c>
      <c r="AO154" s="42" t="n">
        <f aca="false">IFERROR(IF($C154="","",IF($D154="","",IFERROR(ROUND($D154*INDEX('🔖 배합비 참조'!$B$2:$CE$83,MATCH("마스카포네치즈",'🔖 배합비 참조'!$A$2:$A$83,0),MATCH($C154,'🔖 배합비 참조'!$B$1:$CE$1,0))/100,0),""))),"")</f>
        <v>0</v>
      </c>
      <c r="AP154" s="42" t="n">
        <f aca="false">IFERROR(IF($C154="","",IF($D154="","",IFERROR(ROUND($D154*INDEX('🔖 배합비 참조'!$B$2:$CE$83,MATCH("마카다미아분태(호주산)",'🔖 배합비 참조'!$A$2:$A$83,0),MATCH($C154,'🔖 배합비 참조'!$B$1:$CE$1,0))/100,0),""))),"")</f>
        <v>0</v>
      </c>
      <c r="AQ154" s="42" t="n">
        <f aca="false">IFERROR(IF($C154="","",IF($D154="","",IFERROR(ROUND($D154*INDEX('🔖 배합비 참조'!$B$2:$CE$83,MATCH("멥쌀(국내산)",'🔖 배합비 참조'!$A$2:$A$83,0),MATCH($C154,'🔖 배합비 참조'!$B$1:$CE$1,0))/100,0),""))),"")</f>
        <v>19</v>
      </c>
      <c r="AR154" s="42" t="n">
        <f aca="false">IFERROR(IF($C154="","",IF($D154="","",IFERROR(ROUND($D154*INDEX('🔖 배합비 참조'!$B$2:$CE$83,MATCH("모시잎(국내산)",'🔖 배합비 참조'!$A$2:$A$83,0),MATCH($C154,'🔖 배합비 참조'!$B$1:$CE$1,0))/100,0),""))),"")</f>
        <v>0</v>
      </c>
      <c r="AS154" s="42" t="n">
        <f aca="false">IFERROR(IF($C154="","",IF($D154="","",IFERROR(ROUND($D154*INDEX('🔖 배합비 참조'!$B$2:$CE$83,MATCH("물엿(저당물엿)",'🔖 배합비 참조'!$A$2:$A$83,0),MATCH($C154,'🔖 배합비 참조'!$B$1:$CE$1,0))/100,0),""))),"")</f>
        <v>0</v>
      </c>
      <c r="AT154" s="42" t="n">
        <f aca="false">IFERROR(IF($C154="","",IF($D154="","",IFERROR(ROUND($D154*INDEX('🔖 배합비 참조'!$B$2:$CE$83,MATCH("밤다이스",'🔖 배합비 참조'!$A$2:$A$83,0),MATCH($C154,'🔖 배합비 참조'!$B$1:$CE$1,0))/100,0),""))),"")</f>
        <v>0</v>
      </c>
      <c r="AU154" s="42" t="n">
        <f aca="false">IFERROR(IF($C154="","",IF($D154="","",IFERROR(ROUND($D154*INDEX('🔖 배합비 참조'!$B$2:$CE$83,MATCH("변성전분(타피오카전분)",'🔖 배합비 참조'!$A$2:$A$83,0),MATCH($C154,'🔖 배합비 참조'!$B$1:$CE$1,0))/100,0),""))),"")</f>
        <v>0</v>
      </c>
      <c r="AV154" s="42" t="n">
        <f aca="false">IFERROR(IF($C154="","",IF($D154="","",IFERROR(ROUND($D154*INDEX('🔖 배합비 참조'!$B$2:$CE$83,MATCH("복음땅콩분태",'🔖 배합비 참조'!$A$2:$A$83,0),MATCH($C154,'🔖 배합비 참조'!$B$1:$CE$1,0))/100,0),""))),"")</f>
        <v>0</v>
      </c>
      <c r="AW154" s="42" t="n">
        <f aca="false">IFERROR(IF($C154="","",IF($D154="","",IFERROR(ROUND($D154*INDEX('🔖 배합비 참조'!$B$2:$CE$83,MATCH("사양벌꿀(국내산)",'🔖 배합비 참조'!$A$2:$A$83,0),MATCH($C154,'🔖 배합비 참조'!$B$1:$CE$1,0))/100,0),""))),"")</f>
        <v>0</v>
      </c>
      <c r="AX154" s="42" t="n">
        <f aca="false">IFERROR(IF($C154="","",IF($D154="","",IFERROR(ROUND($D154*INDEX('🔖 배합비 참조'!$B$2:$CE$83,MATCH("생크림",'🔖 배합비 참조'!$A$2:$A$83,0),MATCH($C154,'🔖 배합비 참조'!$B$1:$CE$1,0))/100,0),""))),"")</f>
        <v>0</v>
      </c>
      <c r="AY154" s="42" t="n">
        <f aca="false">IFERROR(IF($C154="","",IF($D154="","",IFERROR(ROUND($D154*INDEX('🔖 배합비 참조'!$B$2:$CE$83,MATCH("서양호박(국내산,뉴질랜드산)",'🔖 배합비 참조'!$A$2:$A$83,0),MATCH($C154,'🔖 배합비 참조'!$B$1:$CE$1,0))/100,0),""))),"")</f>
        <v>0</v>
      </c>
      <c r="AZ154" s="42" t="n">
        <f aca="false">IFERROR(IF($C154="","",IF($D154="","",IFERROR(ROUND($D154*INDEX('🔖 배합비 참조'!$B$2:$CE$83,MATCH("설탕",'🔖 배합비 참조'!$A$2:$A$83,0),MATCH($C154,'🔖 배합비 참조'!$B$1:$CE$1,0))/100,0),""))),"")</f>
        <v>3</v>
      </c>
      <c r="BA154" s="42" t="n">
        <f aca="false">IFERROR(IF($C154="","",IF($D154="","",IFERROR(ROUND($D154*INDEX('🔖 배합비 참조'!$B$2:$CE$83,MATCH("스트로우베리 에이드 후레쉬",'🔖 배합비 참조'!$A$2:$A$83,0),MATCH($C154,'🔖 배합비 참조'!$B$1:$CE$1,0))/100,0),""))),"")</f>
        <v>0</v>
      </c>
      <c r="BB154" s="42" t="n">
        <f aca="false">IFERROR(IF($C154="","",IF($D154="","",IFERROR(ROUND($D154*INDEX('🔖 배합비 참조'!$B$2:$CE$83,MATCH("식물성기름혼합제제(분홍)",'🔖 배합비 참조'!$A$2:$A$83,0),MATCH($C154,'🔖 배합비 참조'!$B$1:$CE$1,0))/100,0),""))),"")</f>
        <v>0</v>
      </c>
      <c r="BC154" s="42" t="n">
        <f aca="false">IFERROR(IF($C154="","",IF($D154="","",IFERROR(ROUND($D154*INDEX('🔖 배합비 참조'!$B$2:$CE$83,MATCH("식물성기름혼합제제(초록)",'🔖 배합비 참조'!$A$2:$A$83,0),MATCH($C154,'🔖 배합비 참조'!$B$1:$CE$1,0))/100,0),""))),"")</f>
        <v>0</v>
      </c>
      <c r="BD154" s="42" t="n">
        <f aca="false">IFERROR(IF($C154="","",IF($D154="","",IFERROR(ROUND($D154*INDEX('🔖 배합비 참조'!$B$2:$CE$83,MATCH("식물성기름혼합제제(황색)",'🔖 배합비 참조'!$A$2:$A$83,0),MATCH($C154,'🔖 배합비 참조'!$B$1:$CE$1,0))/100,0),""))),"")</f>
        <v>0</v>
      </c>
      <c r="BE154" s="42" t="n">
        <f aca="false">IFERROR(IF($C154="","",IF($D154="","",IFERROR(ROUND($D154*INDEX('🔖 배합비 참조'!$B$2:$CE$83,MATCH("쑥가루(국내산)",'🔖 배합비 참조'!$A$2:$A$83,0),MATCH($C154,'🔖 배합비 참조'!$B$1:$CE$1,0))/100,0),""))),"")</f>
        <v>0</v>
      </c>
      <c r="BF154" s="42" t="n">
        <f aca="false">IFERROR(IF($C154="","",IF($D154="","",IFERROR(ROUND($D154*INDEX('🔖 배합비 참조'!$B$2:$CE$83,MATCH("아몬드슬라이스",'🔖 배합비 참조'!$A$2:$A$83,0),MATCH($C154,'🔖 배합비 참조'!$B$1:$CE$1,0))/100,0),""))),"")</f>
        <v>0</v>
      </c>
      <c r="BG154" s="42" t="n">
        <f aca="false">IFERROR(IF($C154="","",IF($D154="","",IFERROR(ROUND($D154*INDEX('🔖 배합비 참조'!$B$2:$CE$83,MATCH("알룰로오스(국내산)",'🔖 배합비 참조'!$A$2:$A$83,0),MATCH($C154,'🔖 배합비 참조'!$B$1:$CE$1,0))/100,0),""))),"")</f>
        <v>0</v>
      </c>
      <c r="BH154" s="42" t="n">
        <f aca="false">IFERROR(IF($C154="","",IF($D154="","",IFERROR(ROUND($D154*INDEX('🔖 배합비 참조'!$B$2:$CE$83,MATCH("연유",'🔖 배합비 참조'!$A$2:$A$83,0),MATCH($C154,'🔖 배합비 참조'!$B$1:$CE$1,0))/100,0),""))),"")</f>
        <v>0</v>
      </c>
      <c r="BI154" s="42" t="n">
        <f aca="false">IFERROR(IF($C154="","",IF($D154="","",IFERROR(ROUND($D154*INDEX('🔖 배합비 참조'!$B$2:$CE$83,MATCH("옥수수전분",'🔖 배합비 참조'!$A$2:$A$83,0),MATCH($C154,'🔖 배합비 참조'!$B$1:$CE$1,0))/100,0),""))),"")</f>
        <v>0</v>
      </c>
      <c r="BJ154" s="42" t="n">
        <f aca="false">IFERROR(IF($C154="","",IF($D154="","",IFERROR(ROUND($D154*INDEX('🔖 배합비 참조'!$B$2:$CE$83,MATCH("완두배기",'🔖 배합비 참조'!$A$2:$A$83,0),MATCH($C154,'🔖 배합비 참조'!$B$1:$CE$1,0))/100,0),""))),"")</f>
        <v>0</v>
      </c>
      <c r="BK154" s="42" t="n">
        <f aca="false">IFERROR(IF($C154="","",IF($D154="","",IFERROR(ROUND($D154*INDEX('🔖 배합비 참조'!$B$2:$CE$83,MATCH("우유(국내산)",'🔖 배합비 참조'!$A$2:$A$83,0),MATCH($C154,'🔖 배합비 참조'!$B$1:$CE$1,0))/100,0),""))),"")</f>
        <v>0</v>
      </c>
      <c r="BL154" s="42" t="n">
        <f aca="false">IFERROR(IF($C154="","",IF($D154="","",IFERROR(ROUND($D154*INDEX('🔖 배합비 참조'!$B$2:$CE$83,MATCH("자색고구마가루(중국산)",'🔖 배합비 참조'!$A$2:$A$83,0),MATCH($C154,'🔖 배합비 참조'!$B$1:$CE$1,0))/100,0),""))),"")</f>
        <v>0</v>
      </c>
      <c r="BM154" s="42" t="n">
        <f aca="false">IFERROR(IF($C154="","",IF($D154="","",IFERROR(ROUND($D154*INDEX('🔖 배합비 참조'!$B$2:$CE$83,MATCH("자연치즈(체다치즈)",'🔖 배합비 참조'!$A$2:$A$83,0),MATCH($C154,'🔖 배합비 참조'!$B$1:$CE$1,0))/100,0),""))),"")</f>
        <v>0</v>
      </c>
      <c r="BN154" s="42" t="n">
        <f aca="false">IFERROR(IF($C154="","",IF($D154="","",IFERROR(ROUND($D154*INDEX('🔖 배합비 참조'!$B$2:$CE$83,MATCH("정제수",'🔖 배합비 참조'!$A$2:$A$83,0),MATCH($C154,'🔖 배합비 참조'!$B$1:$CE$1,0))/100,0),""))),"")</f>
        <v>5</v>
      </c>
      <c r="BO154" s="42" t="n">
        <f aca="false">IFERROR(IF($C154="","",IF($D154="","",IFERROR(ROUND($D154*INDEX('🔖 배합비 참조'!$B$2:$CE$83,MATCH("젤라틴",'🔖 배합비 참조'!$A$2:$A$83,0),MATCH($C154,'🔖 배합비 참조'!$B$1:$CE$1,0))/100,0),""))),"")</f>
        <v>0</v>
      </c>
      <c r="BP154" s="42" t="n">
        <f aca="false">IFERROR(IF($C154="","",IF($D154="","",IFERROR(ROUND($D154*INDEX('🔖 배합비 참조'!$B$2:$CE$83,MATCH("조림류(백옥앙금)",'🔖 배합비 참조'!$A$2:$A$83,0),MATCH($C154,'🔖 배합비 참조'!$B$1:$CE$1,0))/100,0),""))),"")</f>
        <v>0</v>
      </c>
      <c r="BQ154" s="42" t="n">
        <f aca="false">IFERROR(IF($C154="","",IF($D154="","",IFERROR(ROUND($D154*INDEX('🔖 배합비 참조'!$B$2:$CE$83,MATCH("조림류(통팥앙금)",'🔖 배합비 참조'!$A$2:$A$83,0),MATCH($C154,'🔖 배합비 참조'!$B$1:$CE$1,0))/100,0),""))),"")</f>
        <v>0</v>
      </c>
      <c r="BR154" s="42" t="n">
        <f aca="false">IFERROR(IF($C154="","",IF($D154="","",IFERROR(ROUND($D154*INDEX('🔖 배합비 참조'!$B$2:$CE$83,MATCH("준초콜릿(외국산)",'🔖 배합비 참조'!$A$2:$A$83,0),MATCH($C154,'🔖 배합비 참조'!$B$1:$CE$1,0))/100,0),""))),"")</f>
        <v>0</v>
      </c>
      <c r="BS154" s="42" t="n">
        <f aca="false">IFERROR(IF($C154="","",IF($D154="","",IFERROR(ROUND($D154*INDEX('🔖 배합비 참조'!$B$2:$CE$83,MATCH("중력분",'🔖 배합비 참조'!$A$2:$A$83,0),MATCH($C154,'🔖 배합비 참조'!$B$1:$CE$1,0))/100,0),""))),"")</f>
        <v>0</v>
      </c>
      <c r="BT154" s="42" t="n">
        <f aca="false">IFERROR(IF($C154="","",IF($D154="","",IFERROR(ROUND($D154*INDEX('🔖 배합비 참조'!$B$2:$CE$83,MATCH("참깨(인도산,나이지리아산,탄자니아산,미얀마산)",'🔖 배합비 참조'!$A$2:$A$83,0),MATCH($C154,'🔖 배합비 참조'!$B$1:$CE$1,0))/100,0),""))),"")</f>
        <v>0</v>
      </c>
      <c r="BU154" s="42" t="n">
        <f aca="false">IFERROR(IF($C154="","",IF($D154="","",IFERROR(ROUND($D154*INDEX('🔖 배합비 참조'!$B$2:$CE$83,MATCH("찹쌀(국내산)",'🔖 배합비 참조'!$A$2:$A$83,0),MATCH($C154,'🔖 배합비 참조'!$B$1:$CE$1,0))/100,0),""))),"")</f>
        <v>0</v>
      </c>
      <c r="BV154" s="42" t="n">
        <f aca="false">IFERROR(IF($C154="","",IF($D154="","",IFERROR(ROUND($D154*INDEX('🔖 배합비 참조'!$B$2:$CE$83,MATCH("천일염",'🔖 배합비 참조'!$A$2:$A$83,0),MATCH($C154,'🔖 배합비 참조'!$B$1:$CE$1,0))/100,0),""))),"")</f>
        <v>0</v>
      </c>
      <c r="BW154" s="42" t="n">
        <f aca="false">IFERROR(IF($C154="","",IF($D154="","",IFERROR(ROUND($D154*INDEX('🔖 배합비 참조'!$B$2:$CE$83,MATCH("치즈 [크림치즈]",'🔖 배합비 참조'!$A$2:$A$83,0),MATCH($C154,'🔖 배합비 참조'!$B$1:$CE$1,0))/100,0),""))),"")</f>
        <v>0</v>
      </c>
      <c r="BX154" s="42" t="n">
        <f aca="false">IFERROR(IF($C154="","",IF($D154="","",IFERROR(ROUND($D154*INDEX('🔖 배합비 참조'!$B$2:$CE$83,MATCH("코코아가공품류(코코아분말)",'🔖 배합비 참조'!$A$2:$A$83,0),MATCH($C154,'🔖 배합비 참조'!$B$1:$CE$1,0))/100,0),""))),"")</f>
        <v>0</v>
      </c>
      <c r="BY154" s="42" t="n">
        <f aca="false">IFERROR(IF($C154="","",IF($D154="","",IFERROR(ROUND($D154*INDEX('🔖 배합비 참조'!$B$2:$CE$83,MATCH("콩기름(대두유)",'🔖 배합비 참조'!$A$2:$A$83,0),MATCH($C154,'🔖 배합비 참조'!$B$1:$CE$1,0))/100,0),""))),"")</f>
        <v>0</v>
      </c>
      <c r="BZ154" s="42" t="n">
        <f aca="false">IFERROR(IF($C154="","",IF($D154="","",IFERROR(ROUND($D154*INDEX('🔖 배합비 참조'!$B$2:$CE$83,MATCH("해바라기씨앗",'🔖 배합비 참조'!$A$2:$A$83,0),MATCH($C154,'🔖 배합비 참조'!$B$1:$CE$1,0))/100,0),""))),"")</f>
        <v>0</v>
      </c>
      <c r="CA154" s="42" t="n">
        <f aca="false">IFERROR(IF($C154="","",IF($D154="","",IFERROR(ROUND($D154*INDEX('🔖 배합비 참조'!$B$2:$CE$83,MATCH("현미(국내산)",'🔖 배합비 참조'!$A$2:$A$83,0),MATCH($C154,'🔖 배합비 참조'!$B$1:$CE$1,0))/100,0),""))),"")</f>
        <v>0</v>
      </c>
      <c r="CB154" s="42" t="n">
        <f aca="false">IFERROR(IF($C154="","",IF($D154="","",IFERROR(ROUND($D154*INDEX('🔖 배합비 참조'!$B$2:$CE$83,MATCH("현미멥쌀(국내산)",'🔖 배합비 참조'!$A$2:$A$83,0),MATCH($C154,'🔖 배합비 참조'!$B$1:$CE$1,0))/100,0),""))),"")</f>
        <v>0</v>
      </c>
      <c r="CC154" s="42" t="n">
        <f aca="false">IFERROR(IF($C154="","",IF($D154="","",IFERROR(ROUND($D154*INDEX('🔖 배합비 참조'!$B$2:$CE$83,MATCH("호두분태(미국산)",'🔖 배합비 참조'!$A$2:$A$83,0),MATCH($C154,'🔖 배합비 참조'!$B$1:$CE$1,0))/100,0),""))),"")</f>
        <v>0</v>
      </c>
      <c r="CD154" s="42" t="n">
        <f aca="false">IFERROR(IF($C154="","",IF($D154="","",IFERROR(ROUND($D154*INDEX('🔖 배합비 참조'!$B$2:$CE$83,MATCH("호박씨앗(외국산)",'🔖 배합비 참조'!$A$2:$A$83,0),MATCH($C154,'🔖 배합비 참조'!$B$1:$CE$1,0))/100,0),""))),"")</f>
        <v>0</v>
      </c>
      <c r="CE154" s="42" t="n">
        <f aca="false">IFERROR(IF($C154="","",IF($D154="","",IFERROR(ROUND($D154*INDEX('🔖 배합비 참조'!$B$2:$CE$83,MATCH("혼합제제(떡용에스텔)",'🔖 배합비 참조'!$A$2:$A$83,0),MATCH($C154,'🔖 배합비 참조'!$B$1:$CE$1,0))/100,0),""))),"")</f>
        <v>0</v>
      </c>
      <c r="CF154" s="42" t="n">
        <f aca="false">IFERROR(IF($C154="","",IF($D154="","",IFERROR(ROUND($D154*INDEX('🔖 배합비 참조'!$B$2:$CE$83,MATCH("혼합제제(스테비아)",'🔖 배합비 참조'!$A$2:$A$83,0),MATCH($C154,'🔖 배합비 참조'!$B$1:$CE$1,0))/100,0),""))),"")</f>
        <v>0</v>
      </c>
      <c r="CG154" s="42" t="n">
        <f aca="false">IFERROR(IF($C154="","",IF($D154="","",IFERROR(ROUND($D154*INDEX('🔖 배합비 참조'!$B$2:$CE$83,MATCH("화이트초콜릿",'🔖 배합비 참조'!$A$2:$A$83,0),MATCH($C154,'🔖 배합비 참조'!$B$1:$CE$1,0))/100,0),""))),"")</f>
        <v>0</v>
      </c>
      <c r="CH154" s="42" t="n">
        <f aca="false">IFERROR(IF($C154="","",IF($D154="","",IFERROR(ROUND($D154*INDEX('🔖 배합비 참조'!$B$2:$CE$83,MATCH("흑미찹쌀(국내산)",'🔖 배합비 참조'!$A$2:$A$83,0),MATCH($C154,'🔖 배합비 참조'!$B$1:$CE$1,0))/100,0),""))),"")</f>
        <v>0</v>
      </c>
      <c r="CI154" s="42" t="n">
        <f aca="false">IFERROR(IF($C154="","",IF($D154="","",IFERROR(ROUND($D154*INDEX('🔖 배합비 참조'!$B$2:$CE$83,MATCH("찰옥수수전분(미국산)",'🔖 배합비 참조'!$A$2:$A$83,0),MATCH($C154,'🔖 배합비 참조'!$B$1:$CE$1,0))/100,0),""))),"")</f>
        <v>0</v>
      </c>
      <c r="CJ154" s="40"/>
      <c r="CL154" s="1" t="s">
        <v>245</v>
      </c>
    </row>
    <row r="155" customFormat="false" ht="18" hidden="false" customHeight="true" outlineLevel="0" collapsed="false">
      <c r="A155" s="35" t="n">
        <v>151</v>
      </c>
      <c r="B155" s="36" t="n">
        <v>46028</v>
      </c>
      <c r="C155" s="37" t="s">
        <v>159</v>
      </c>
      <c r="D155" s="38" t="n">
        <v>77.5</v>
      </c>
      <c r="E155" s="13"/>
      <c r="F155" s="13"/>
      <c r="G155" s="39" t="n">
        <f aca="false">IFERROR(IF($C155="","",IF($D155="","",IFERROR(ROUND($D155*INDEX('🔖 배합비 참조'!$B$2:$CE$83,MATCH("간장",'🔖 배합비 참조'!$A$2:$A$83,0),MATCH($C155,'🔖 배합비 참조'!$B$1:$CE$1,0))/100,0),""))),"")</f>
        <v>0</v>
      </c>
      <c r="H155" s="39" t="n">
        <f aca="false">IFERROR(IF($C155="","",IF($D155="","",IFERROR(ROUND($D155*INDEX('🔖 배합비 참조'!$B$2:$CE$83,MATCH("강낭콩((울타리콩))",'🔖 배합비 참조'!$A$2:$A$83,0),MATCH($C155,'🔖 배합비 참조'!$B$1:$CE$1,0))/100,0),""))),"")</f>
        <v>2</v>
      </c>
      <c r="I155" s="39" t="n">
        <f aca="false">IFERROR(IF($C155="","",IF($D155="","",IFERROR(ROUND($D155*INDEX('🔖 배합비 참조'!$B$2:$CE$83,MATCH("건조딸기다이스(외국산)",'🔖 배합비 참조'!$A$2:$A$83,0),MATCH($C155,'🔖 배합비 참조'!$B$1:$CE$1,0))/100,0),""))),"")</f>
        <v>0</v>
      </c>
      <c r="J155" s="39" t="n">
        <f aca="false">IFERROR(IF($C155="","",IF($D155="","",IFERROR(ROUND($D155*INDEX('🔖 배합비 참조'!$B$2:$CE$83,MATCH("건포도",'🔖 배합비 참조'!$A$2:$A$83,0),MATCH($C155,'🔖 배합비 참조'!$B$1:$CE$1,0))/100,0),""))),"")</f>
        <v>0</v>
      </c>
      <c r="K155" s="39" t="n">
        <f aca="false">IFERROR(IF($C155="","",IF($D155="","",IFERROR(ROUND($D155*INDEX('🔖 배합비 참조'!$B$2:$CE$83,MATCH("건호박채(중국산)",'🔖 배합비 참조'!$A$2:$A$83,0),MATCH($C155,'🔖 배합비 참조'!$B$1:$CE$1,0))/100,0),""))),"")</f>
        <v>1</v>
      </c>
      <c r="L155" s="39" t="n">
        <f aca="false">IFERROR(IF($C155="","",IF($D155="","",IFERROR(ROUND($D155*INDEX('🔖 배합비 참조'!$B$2:$CE$83,MATCH("검정깨(흑임자)",'🔖 배합비 참조'!$A$2:$A$83,0),MATCH($C155,'🔖 배합비 참조'!$B$1:$CE$1,0))/100,0),""))),"")</f>
        <v>0</v>
      </c>
      <c r="M155" s="39" t="n">
        <f aca="false">IFERROR(IF($C155="","",IF($D155="","",IFERROR(ROUND($D155*INDEX('🔖 배합비 참조'!$B$2:$CE$83,MATCH("검정콩",'🔖 배합비 참조'!$A$2:$A$83,0),MATCH($C155,'🔖 배합비 참조'!$B$1:$CE$1,0))/100,0),""))),"")</f>
        <v>2</v>
      </c>
      <c r="N155" s="39" t="n">
        <f aca="false">IFERROR(IF($C155="","",IF($D155="","",IFERROR(ROUND($D155*INDEX('🔖 배합비 참조'!$B$2:$CE$83,MATCH("계피가루",'🔖 배합비 참조'!$A$2:$A$83,0),MATCH($C155,'🔖 배합비 참조'!$B$1:$CE$1,0))/100,0),""))),"")</f>
        <v>0</v>
      </c>
      <c r="O155" s="39" t="n">
        <f aca="false">IFERROR(IF($C155="","",IF($D155="","",IFERROR(ROUND($D155*INDEX('🔖 배합비 참조'!$B$2:$CE$83,MATCH("고구마가루",'🔖 배합비 참조'!$A$2:$A$83,0),MATCH($C155,'🔖 배합비 참조'!$B$1:$CE$1,0))/100,0),""))),"")</f>
        <v>0</v>
      </c>
      <c r="P155" s="39" t="n">
        <f aca="false">IFERROR(IF($C155="","",IF($D155="","",IFERROR(ROUND($D155*INDEX('🔖 배합비 참조'!$B$2:$CE$83,MATCH("고구마무스",'🔖 배합비 참조'!$A$2:$A$83,0),MATCH($C155,'🔖 배합비 참조'!$B$1:$CE$1,0))/100,0),""))),"")</f>
        <v>0</v>
      </c>
      <c r="Q155" s="39" t="n">
        <f aca="false">IFERROR(IF($C155="","",IF($D155="","",IFERROR(ROUND($D155*INDEX('🔖 배합비 참조'!$B$2:$CE$83,MATCH("고려엉겅퀴((곤드레)국내산)",'🔖 배합비 참조'!$A$2:$A$83,0),MATCH($C155,'🔖 배합비 참조'!$B$1:$CE$1,0))/100,0),""))),"")</f>
        <v>0</v>
      </c>
      <c r="R155" s="39" t="n">
        <f aca="false">IFERROR(IF($C155="","",IF($D155="","",IFERROR(ROUND($D155*INDEX('🔖 배합비 참조'!$B$2:$CE$83,MATCH("기타가공품(복분자가루)",'🔖 배합비 참조'!$A$2:$A$83,0),MATCH($C155,'🔖 배합비 참조'!$B$1:$CE$1,0))/100,0),""))),"")</f>
        <v>0</v>
      </c>
      <c r="S155" s="39" t="n">
        <f aca="false">IFERROR(IF($C155="","",IF($D155="","",IFERROR(ROUND($D155*INDEX('🔖 배합비 참조'!$B$2:$CE$83,MATCH("기타가공품(슈퍼소프트엠)",'🔖 배합비 참조'!$A$2:$A$83,0),MATCH($C155,'🔖 배합비 참조'!$B$1:$CE$1,0))/100,0),""))),"")</f>
        <v>0</v>
      </c>
      <c r="T155" s="39" t="n">
        <f aca="false">IFERROR(IF($C155="","",IF($D155="","",IFERROR(ROUND($D155*INDEX('🔖 배합비 참조'!$B$2:$CE$83,MATCH("기타가공품(파인소프트 E-티)",'🔖 배합비 참조'!$A$2:$A$83,0),MATCH($C155,'🔖 배합비 참조'!$B$1:$CE$1,0))/100,0),""))),"")</f>
        <v>0</v>
      </c>
      <c r="U155" s="39" t="n">
        <f aca="false">IFERROR(IF($C155="","",IF($D155="","",IFERROR(ROUND($D155*INDEX('🔖 배합비 참조'!$B$2:$CE$83,MATCH("기타가공품(프리미엄카스테라가루)",'🔖 배합비 참조'!$A$2:$A$83,0),MATCH($C155,'🔖 배합비 참조'!$B$1:$CE$1,0))/100,0),""))),"")</f>
        <v>0</v>
      </c>
      <c r="V155" s="39" t="n">
        <f aca="false">IFERROR(IF($C155="","",IF($D155="","",IFERROR(ROUND($D155*INDEX('🔖 배합비 참조'!$B$2:$CE$83,MATCH("기타가공품(흑임자가루)",'🔖 배합비 참조'!$A$2:$A$83,0),MATCH($C155,'🔖 배합비 참조'!$B$1:$CE$1,0))/100,0),""))),"")</f>
        <v>0</v>
      </c>
      <c r="W155" s="39" t="n">
        <f aca="false">IFERROR(IF($C155="","",IF($D155="","",IFERROR(ROUND($D155*INDEX('🔖 배합비 참조'!$B$2:$CE$83,MATCH("기타설탕(흑설탕)",'🔖 배합비 참조'!$A$2:$A$83,0),MATCH($C155,'🔖 배합비 참조'!$B$1:$CE$1,0))/100,0),""))),"")</f>
        <v>0</v>
      </c>
      <c r="X155" s="39" t="n">
        <f aca="false">IFERROR(IF($C155="","",IF($D155="","",IFERROR(ROUND($D155*INDEX('🔖 배합비 참조'!$B$2:$CE$83,MATCH("냉동쑥(국내산)",'🔖 배합비 참조'!$A$2:$A$83,0),MATCH($C155,'🔖 배합비 참조'!$B$1:$CE$1,0))/100,0),""))),"")</f>
        <v>0</v>
      </c>
      <c r="Y155" s="39" t="n">
        <f aca="false">IFERROR(IF($C155="","",IF($D155="","",IFERROR(ROUND($D155*INDEX('🔖 배합비 참조'!$B$2:$CE$83,MATCH("냉동증숙고구마(중국산)",'🔖 배합비 참조'!$A$2:$A$83,0),MATCH($C155,'🔖 배합비 참조'!$B$1:$CE$1,0))/100,0),""))),"")</f>
        <v>0</v>
      </c>
      <c r="Z155" s="39" t="n">
        <f aca="false">IFERROR(IF($C155="","",IF($D155="","",IFERROR(ROUND($D155*INDEX('🔖 배합비 참조'!$B$2:$CE$83,MATCH("녹차가루",'🔖 배합비 참조'!$A$2:$A$83,0),MATCH($C155,'🔖 배합비 참조'!$B$1:$CE$1,0))/100,0),""))),"")</f>
        <v>0</v>
      </c>
      <c r="AA155" s="39" t="n">
        <f aca="false">IFERROR(IF($C155="","",IF($D155="","",IFERROR(ROUND($D155*INDEX('🔖 배합비 참조'!$B$2:$CE$83,MATCH("다크초콜릿 컴파운드칩",'🔖 배합비 참조'!$A$2:$A$83,0),MATCH($C155,'🔖 배합비 참조'!$B$1:$CE$1,0))/100,0),""))),"")</f>
        <v>0</v>
      </c>
      <c r="AB155" s="39" t="n">
        <f aca="false">IFERROR(IF($C155="","",IF($D155="","",IFERROR(ROUND($D155*INDEX('🔖 배합비 참조'!$B$2:$CE$83,MATCH("단호박분말(중국산)",'🔖 배합비 참조'!$A$2:$A$83,0),MATCH($C155,'🔖 배합비 참조'!$B$1:$CE$1,0))/100,0),""))),"")</f>
        <v>0</v>
      </c>
      <c r="AC155" s="39" t="n">
        <f aca="false">IFERROR(IF($C155="","",IF($D155="","",IFERROR(ROUND($D155*INDEX('🔖 배합비 참조'!$B$2:$CE$83,MATCH("당류가공품(단호박농축액)",'🔖 배합비 참조'!$A$2:$A$83,0),MATCH($C155,'🔖 배합비 참조'!$B$1:$CE$1,0))/100,0),""))),"")</f>
        <v>0</v>
      </c>
      <c r="AD155" s="39" t="n">
        <f aca="false">IFERROR(IF($C155="","",IF($D155="","",IFERROR(ROUND($D155*INDEX('🔖 배합비 참조'!$B$2:$CE$83,MATCH("당류가공품(알룰로스,에리스리톨,스테비올배당체혼합)",'🔖 배합비 참조'!$A$2:$A$83,0),MATCH($C155,'🔖 배합비 참조'!$B$1:$CE$1,0))/100,0),""))),"")</f>
        <v>0</v>
      </c>
      <c r="AE155" s="39" t="n">
        <f aca="false">IFERROR(IF($C155="","",IF($D155="","",IFERROR(ROUND($D155*INDEX('🔖 배합비 참조'!$B$2:$CE$83,MATCH("당류가공품(알룰로스제로파우더)",'🔖 배합비 참조'!$A$2:$A$83,0),MATCH($C155,'🔖 배합비 참조'!$B$1:$CE$1,0))/100,0),""))),"")</f>
        <v>0</v>
      </c>
      <c r="AF155" s="39" t="n">
        <f aca="false">IFERROR(IF($C155="","",IF($D155="","",IFERROR(ROUND($D155*INDEX('🔖 배합비 참조'!$B$2:$CE$83,MATCH("당절임(완두배기)",'🔖 배합비 참조'!$A$2:$A$83,0),MATCH($C155,'🔖 배합비 참조'!$B$1:$CE$1,0))/100,0),""))),"")</f>
        <v>0</v>
      </c>
      <c r="AG155" s="39" t="n">
        <f aca="false">IFERROR(IF($C155="","",IF($D155="","",IFERROR(ROUND($D155*INDEX('🔖 배합비 참조'!$B$2:$CE$83,MATCH("대추농축액",'🔖 배합비 참조'!$A$2:$A$83,0),MATCH($C155,'🔖 배합비 참조'!$B$1:$CE$1,0))/100,0),""))),"")</f>
        <v>0</v>
      </c>
      <c r="AH155" s="39" t="n">
        <f aca="false">IFERROR(IF($C155="","",IF($D155="","",IFERROR(ROUND($D155*INDEX('🔖 배합비 참조'!$B$2:$CE$83,MATCH("대추채(국내산)",'🔖 배합비 참조'!$A$2:$A$83,0),MATCH($C155,'🔖 배합비 참조'!$B$1:$CE$1,0))/100,0),""))),"")</f>
        <v>0</v>
      </c>
      <c r="AI155" s="39" t="n">
        <f aca="false">IFERROR(IF($C155="","",IF($D155="","",IFERROR(ROUND($D155*INDEX('🔖 배합비 참조'!$B$2:$CE$83,MATCH("동부(미얀마산)",'🔖 배합비 참조'!$A$2:$A$83,0),MATCH($C155,'🔖 배합비 참조'!$B$1:$CE$1,0))/100,0),""))),"")</f>
        <v>0</v>
      </c>
      <c r="AJ155" s="39" t="n">
        <f aca="false">IFERROR(IF($C155="","",IF($D155="","",IFERROR(ROUND($D155*INDEX('🔖 배합비 참조'!$B$2:$CE$83,MATCH("두류가공품(백옥앙금)",'🔖 배합비 참조'!$A$2:$A$83,0),MATCH($C155,'🔖 배합비 참조'!$B$1:$CE$1,0))/100,0),""))),"")</f>
        <v>0</v>
      </c>
      <c r="AK155" s="39" t="n">
        <f aca="false">IFERROR(IF($C155="","",IF($D155="","",IFERROR(ROUND($D155*INDEX('🔖 배합비 참조'!$B$2:$CE$83,MATCH("두류가공품(콩고물)",'🔖 배합비 참조'!$A$2:$A$83,0),MATCH($C155,'🔖 배합비 참조'!$B$1:$CE$1,0))/100,0),""))),"")</f>
        <v>0</v>
      </c>
      <c r="AL155" s="39" t="n">
        <f aca="false">IFERROR(IF($C155="","",IF($D155="","",IFERROR(ROUND($D155*INDEX('🔖 배합비 참조'!$B$2:$CE$83,MATCH("두류가공품(통팥고물)",'🔖 배합비 참조'!$A$2:$A$83,0),MATCH($C155,'🔖 배합비 참조'!$B$1:$CE$1,0))/100,0),""))),"")</f>
        <v>0</v>
      </c>
      <c r="AM155" s="39" t="n">
        <f aca="false">IFERROR(IF($C155="","",IF($D155="","",IFERROR(ROUND($D155*INDEX('🔖 배합비 참조'!$B$2:$CE$83,MATCH("딸기레진",'🔖 배합비 참조'!$A$2:$A$83,0),MATCH($C155,'🔖 배합비 참조'!$B$1:$CE$1,0))/100,0),""))),"")</f>
        <v>0</v>
      </c>
      <c r="AN155" s="39" t="n">
        <f aca="false">IFERROR(IF($C155="","",IF($D155="","",IFERROR(ROUND($D155*INDEX('🔖 배합비 참조'!$B$2:$CE$83,MATCH("딸기분말(스트로우베리에이드(분말))",'🔖 배합비 참조'!$A$2:$A$83,0),MATCH($C155,'🔖 배합비 참조'!$B$1:$CE$1,0))/100,0),""))),"")</f>
        <v>0</v>
      </c>
      <c r="AO155" s="39" t="n">
        <f aca="false">IFERROR(IF($C155="","",IF($D155="","",IFERROR(ROUND($D155*INDEX('🔖 배합비 참조'!$B$2:$CE$83,MATCH("마스카포네치즈",'🔖 배합비 참조'!$A$2:$A$83,0),MATCH($C155,'🔖 배합비 참조'!$B$1:$CE$1,0))/100,0),""))),"")</f>
        <v>0</v>
      </c>
      <c r="AP155" s="39" t="n">
        <f aca="false">IFERROR(IF($C155="","",IF($D155="","",IFERROR(ROUND($D155*INDEX('🔖 배합비 참조'!$B$2:$CE$83,MATCH("마카다미아분태(호주산)",'🔖 배합비 참조'!$A$2:$A$83,0),MATCH($C155,'🔖 배합비 참조'!$B$1:$CE$1,0))/100,0),""))),"")</f>
        <v>0</v>
      </c>
      <c r="AQ155" s="39" t="n">
        <f aca="false">IFERROR(IF($C155="","",IF($D155="","",IFERROR(ROUND($D155*INDEX('🔖 배합비 참조'!$B$2:$CE$83,MATCH("멥쌀(국내산)",'🔖 배합비 참조'!$A$2:$A$83,0),MATCH($C155,'🔖 배합비 참조'!$B$1:$CE$1,0))/100,0),""))),"")</f>
        <v>49</v>
      </c>
      <c r="AR155" s="39" t="n">
        <f aca="false">IFERROR(IF($C155="","",IF($D155="","",IFERROR(ROUND($D155*INDEX('🔖 배합비 참조'!$B$2:$CE$83,MATCH("모시잎(국내산)",'🔖 배합비 참조'!$A$2:$A$83,0),MATCH($C155,'🔖 배합비 참조'!$B$1:$CE$1,0))/100,0),""))),"")</f>
        <v>0</v>
      </c>
      <c r="AS155" s="39" t="n">
        <f aca="false">IFERROR(IF($C155="","",IF($D155="","",IFERROR(ROUND($D155*INDEX('🔖 배합비 참조'!$B$2:$CE$83,MATCH("물엿(저당물엿)",'🔖 배합비 참조'!$A$2:$A$83,0),MATCH($C155,'🔖 배합비 참조'!$B$1:$CE$1,0))/100,0),""))),"")</f>
        <v>0</v>
      </c>
      <c r="AT155" s="39" t="n">
        <f aca="false">IFERROR(IF($C155="","",IF($D155="","",IFERROR(ROUND($D155*INDEX('🔖 배합비 참조'!$B$2:$CE$83,MATCH("밤다이스",'🔖 배합비 참조'!$A$2:$A$83,0),MATCH($C155,'🔖 배합비 참조'!$B$1:$CE$1,0))/100,0),""))),"")</f>
        <v>2</v>
      </c>
      <c r="AU155" s="39" t="n">
        <f aca="false">IFERROR(IF($C155="","",IF($D155="","",IFERROR(ROUND($D155*INDEX('🔖 배합비 참조'!$B$2:$CE$83,MATCH("변성전분(타피오카전분)",'🔖 배합비 참조'!$A$2:$A$83,0),MATCH($C155,'🔖 배합비 참조'!$B$1:$CE$1,0))/100,0),""))),"")</f>
        <v>0</v>
      </c>
      <c r="AV155" s="39" t="n">
        <f aca="false">IFERROR(IF($C155="","",IF($D155="","",IFERROR(ROUND($D155*INDEX('🔖 배합비 참조'!$B$2:$CE$83,MATCH("복음땅콩분태",'🔖 배합비 참조'!$A$2:$A$83,0),MATCH($C155,'🔖 배합비 참조'!$B$1:$CE$1,0))/100,0),""))),"")</f>
        <v>0</v>
      </c>
      <c r="AW155" s="39" t="n">
        <f aca="false">IFERROR(IF($C155="","",IF($D155="","",IFERROR(ROUND($D155*INDEX('🔖 배합비 참조'!$B$2:$CE$83,MATCH("사양벌꿀(국내산)",'🔖 배합비 참조'!$A$2:$A$83,0),MATCH($C155,'🔖 배합비 참조'!$B$1:$CE$1,0))/100,0),""))),"")</f>
        <v>0</v>
      </c>
      <c r="AX155" s="39" t="n">
        <f aca="false">IFERROR(IF($C155="","",IF($D155="","",IFERROR(ROUND($D155*INDEX('🔖 배합비 참조'!$B$2:$CE$83,MATCH("생크림",'🔖 배합비 참조'!$A$2:$A$83,0),MATCH($C155,'🔖 배합비 참조'!$B$1:$CE$1,0))/100,0),""))),"")</f>
        <v>0</v>
      </c>
      <c r="AY155" s="39" t="n">
        <f aca="false">IFERROR(IF($C155="","",IF($D155="","",IFERROR(ROUND($D155*INDEX('🔖 배합비 참조'!$B$2:$CE$83,MATCH("서양호박(국내산,뉴질랜드산)",'🔖 배합비 참조'!$A$2:$A$83,0),MATCH($C155,'🔖 배합비 참조'!$B$1:$CE$1,0))/100,0),""))),"")</f>
        <v>0</v>
      </c>
      <c r="AZ155" s="39" t="n">
        <f aca="false">IFERROR(IF($C155="","",IF($D155="","",IFERROR(ROUND($D155*INDEX('🔖 배합비 참조'!$B$2:$CE$83,MATCH("설탕",'🔖 배합비 참조'!$A$2:$A$83,0),MATCH($C155,'🔖 배합비 참조'!$B$1:$CE$1,0))/100,0),""))),"")</f>
        <v>8</v>
      </c>
      <c r="BA155" s="39" t="n">
        <f aca="false">IFERROR(IF($C155="","",IF($D155="","",IFERROR(ROUND($D155*INDEX('🔖 배합비 참조'!$B$2:$CE$83,MATCH("스트로우베리 에이드 후레쉬",'🔖 배합비 참조'!$A$2:$A$83,0),MATCH($C155,'🔖 배합비 참조'!$B$1:$CE$1,0))/100,0),""))),"")</f>
        <v>0</v>
      </c>
      <c r="BB155" s="39" t="n">
        <f aca="false">IFERROR(IF($C155="","",IF($D155="","",IFERROR(ROUND($D155*INDEX('🔖 배합비 참조'!$B$2:$CE$83,MATCH("식물성기름혼합제제(분홍)",'🔖 배합비 참조'!$A$2:$A$83,0),MATCH($C155,'🔖 배합비 참조'!$B$1:$CE$1,0))/100,0),""))),"")</f>
        <v>0</v>
      </c>
      <c r="BC155" s="39" t="n">
        <f aca="false">IFERROR(IF($C155="","",IF($D155="","",IFERROR(ROUND($D155*INDEX('🔖 배합비 참조'!$B$2:$CE$83,MATCH("식물성기름혼합제제(초록)",'🔖 배합비 참조'!$A$2:$A$83,0),MATCH($C155,'🔖 배합비 참조'!$B$1:$CE$1,0))/100,0),""))),"")</f>
        <v>0</v>
      </c>
      <c r="BD155" s="39" t="n">
        <f aca="false">IFERROR(IF($C155="","",IF($D155="","",IFERROR(ROUND($D155*INDEX('🔖 배합비 참조'!$B$2:$CE$83,MATCH("식물성기름혼합제제(황색)",'🔖 배합비 참조'!$A$2:$A$83,0),MATCH($C155,'🔖 배합비 참조'!$B$1:$CE$1,0))/100,0),""))),"")</f>
        <v>0</v>
      </c>
      <c r="BE155" s="39" t="n">
        <f aca="false">IFERROR(IF($C155="","",IF($D155="","",IFERROR(ROUND($D155*INDEX('🔖 배합비 참조'!$B$2:$CE$83,MATCH("쑥가루(국내산)",'🔖 배합비 참조'!$A$2:$A$83,0),MATCH($C155,'🔖 배합비 참조'!$B$1:$CE$1,0))/100,0),""))),"")</f>
        <v>0</v>
      </c>
      <c r="BF155" s="39" t="n">
        <f aca="false">IFERROR(IF($C155="","",IF($D155="","",IFERROR(ROUND($D155*INDEX('🔖 배합비 참조'!$B$2:$CE$83,MATCH("아몬드슬라이스",'🔖 배합비 참조'!$A$2:$A$83,0),MATCH($C155,'🔖 배합비 참조'!$B$1:$CE$1,0))/100,0),""))),"")</f>
        <v>0</v>
      </c>
      <c r="BG155" s="39" t="n">
        <f aca="false">IFERROR(IF($C155="","",IF($D155="","",IFERROR(ROUND($D155*INDEX('🔖 배합비 참조'!$B$2:$CE$83,MATCH("알룰로오스(국내산)",'🔖 배합비 참조'!$A$2:$A$83,0),MATCH($C155,'🔖 배합비 참조'!$B$1:$CE$1,0))/100,0),""))),"")</f>
        <v>0</v>
      </c>
      <c r="BH155" s="39" t="n">
        <f aca="false">IFERROR(IF($C155="","",IF($D155="","",IFERROR(ROUND($D155*INDEX('🔖 배합비 참조'!$B$2:$CE$83,MATCH("연유",'🔖 배합비 참조'!$A$2:$A$83,0),MATCH($C155,'🔖 배합비 참조'!$B$1:$CE$1,0))/100,0),""))),"")</f>
        <v>0</v>
      </c>
      <c r="BI155" s="39" t="n">
        <f aca="false">IFERROR(IF($C155="","",IF($D155="","",IFERROR(ROUND($D155*INDEX('🔖 배합비 참조'!$B$2:$CE$83,MATCH("옥수수전분",'🔖 배합비 참조'!$A$2:$A$83,0),MATCH($C155,'🔖 배합비 참조'!$B$1:$CE$1,0))/100,0),""))),"")</f>
        <v>0</v>
      </c>
      <c r="BJ155" s="39" t="n">
        <f aca="false">IFERROR(IF($C155="","",IF($D155="","",IFERROR(ROUND($D155*INDEX('🔖 배합비 참조'!$B$2:$CE$83,MATCH("완두배기",'🔖 배합비 참조'!$A$2:$A$83,0),MATCH($C155,'🔖 배합비 참조'!$B$1:$CE$1,0))/100,0),""))),"")</f>
        <v>0</v>
      </c>
      <c r="BK155" s="39" t="n">
        <f aca="false">IFERROR(IF($C155="","",IF($D155="","",IFERROR(ROUND($D155*INDEX('🔖 배합비 참조'!$B$2:$CE$83,MATCH("우유(국내산)",'🔖 배합비 참조'!$A$2:$A$83,0),MATCH($C155,'🔖 배합비 참조'!$B$1:$CE$1,0))/100,0),""))),"")</f>
        <v>0</v>
      </c>
      <c r="BL155" s="39" t="n">
        <f aca="false">IFERROR(IF($C155="","",IF($D155="","",IFERROR(ROUND($D155*INDEX('🔖 배합비 참조'!$B$2:$CE$83,MATCH("자색고구마가루(중국산)",'🔖 배합비 참조'!$A$2:$A$83,0),MATCH($C155,'🔖 배합비 참조'!$B$1:$CE$1,0))/100,0),""))),"")</f>
        <v>0</v>
      </c>
      <c r="BM155" s="39" t="n">
        <f aca="false">IFERROR(IF($C155="","",IF($D155="","",IFERROR(ROUND($D155*INDEX('🔖 배합비 참조'!$B$2:$CE$83,MATCH("자연치즈(체다치즈)",'🔖 배합비 참조'!$A$2:$A$83,0),MATCH($C155,'🔖 배합비 참조'!$B$1:$CE$1,0))/100,0),""))),"")</f>
        <v>0</v>
      </c>
      <c r="BN155" s="39" t="n">
        <f aca="false">IFERROR(IF($C155="","",IF($D155="","",IFERROR(ROUND($D155*INDEX('🔖 배합비 참조'!$B$2:$CE$83,MATCH("정제수",'🔖 배합비 참조'!$A$2:$A$83,0),MATCH($C155,'🔖 배합비 참조'!$B$1:$CE$1,0))/100,0),""))),"")</f>
        <v>13</v>
      </c>
      <c r="BO155" s="39" t="n">
        <f aca="false">IFERROR(IF($C155="","",IF($D155="","",IFERROR(ROUND($D155*INDEX('🔖 배합비 참조'!$B$2:$CE$83,MATCH("젤라틴",'🔖 배합비 참조'!$A$2:$A$83,0),MATCH($C155,'🔖 배합비 참조'!$B$1:$CE$1,0))/100,0),""))),"")</f>
        <v>0</v>
      </c>
      <c r="BP155" s="39" t="n">
        <f aca="false">IFERROR(IF($C155="","",IF($D155="","",IFERROR(ROUND($D155*INDEX('🔖 배합비 참조'!$B$2:$CE$83,MATCH("조림류(백옥앙금)",'🔖 배합비 참조'!$A$2:$A$83,0),MATCH($C155,'🔖 배합비 참조'!$B$1:$CE$1,0))/100,0),""))),"")</f>
        <v>0</v>
      </c>
      <c r="BQ155" s="39" t="n">
        <f aca="false">IFERROR(IF($C155="","",IF($D155="","",IFERROR(ROUND($D155*INDEX('🔖 배합비 참조'!$B$2:$CE$83,MATCH("조림류(통팥앙금)",'🔖 배합비 참조'!$A$2:$A$83,0),MATCH($C155,'🔖 배합비 참조'!$B$1:$CE$1,0))/100,0),""))),"")</f>
        <v>0</v>
      </c>
      <c r="BR155" s="39" t="n">
        <f aca="false">IFERROR(IF($C155="","",IF($D155="","",IFERROR(ROUND($D155*INDEX('🔖 배합비 참조'!$B$2:$CE$83,MATCH("준초콜릿(외국산)",'🔖 배합비 참조'!$A$2:$A$83,0),MATCH($C155,'🔖 배합비 참조'!$B$1:$CE$1,0))/100,0),""))),"")</f>
        <v>0</v>
      </c>
      <c r="BS155" s="39" t="n">
        <f aca="false">IFERROR(IF($C155="","",IF($D155="","",IFERROR(ROUND($D155*INDEX('🔖 배합비 참조'!$B$2:$CE$83,MATCH("중력분",'🔖 배합비 참조'!$A$2:$A$83,0),MATCH($C155,'🔖 배합비 참조'!$B$1:$CE$1,0))/100,0),""))),"")</f>
        <v>0</v>
      </c>
      <c r="BT155" s="39" t="n">
        <f aca="false">IFERROR(IF($C155="","",IF($D155="","",IFERROR(ROUND($D155*INDEX('🔖 배합비 참조'!$B$2:$CE$83,MATCH("참깨(인도산,나이지리아산,탄자니아산,미얀마산)",'🔖 배합비 참조'!$A$2:$A$83,0),MATCH($C155,'🔖 배합비 참조'!$B$1:$CE$1,0))/100,0),""))),"")</f>
        <v>0</v>
      </c>
      <c r="BU155" s="39" t="n">
        <f aca="false">IFERROR(IF($C155="","",IF($D155="","",IFERROR(ROUND($D155*INDEX('🔖 배합비 참조'!$B$2:$CE$83,MATCH("찹쌀(국내산)",'🔖 배합비 참조'!$A$2:$A$83,0),MATCH($C155,'🔖 배합비 참조'!$B$1:$CE$1,0))/100,0),""))),"")</f>
        <v>0</v>
      </c>
      <c r="BV155" s="39" t="n">
        <f aca="false">IFERROR(IF($C155="","",IF($D155="","",IFERROR(ROUND($D155*INDEX('🔖 배합비 참조'!$B$2:$CE$83,MATCH("천일염",'🔖 배합비 참조'!$A$2:$A$83,0),MATCH($C155,'🔖 배합비 참조'!$B$1:$CE$1,0))/100,0),""))),"")</f>
        <v>1</v>
      </c>
      <c r="BW155" s="39" t="n">
        <f aca="false">IFERROR(IF($C155="","",IF($D155="","",IFERROR(ROUND($D155*INDEX('🔖 배합비 참조'!$B$2:$CE$83,MATCH("치즈 [크림치즈]",'🔖 배합비 참조'!$A$2:$A$83,0),MATCH($C155,'🔖 배합비 참조'!$B$1:$CE$1,0))/100,0),""))),"")</f>
        <v>0</v>
      </c>
      <c r="BX155" s="39" t="n">
        <f aca="false">IFERROR(IF($C155="","",IF($D155="","",IFERROR(ROUND($D155*INDEX('🔖 배합비 참조'!$B$2:$CE$83,MATCH("코코아가공품류(코코아분말)",'🔖 배합비 참조'!$A$2:$A$83,0),MATCH($C155,'🔖 배합비 참조'!$B$1:$CE$1,0))/100,0),""))),"")</f>
        <v>0</v>
      </c>
      <c r="BY155" s="39" t="n">
        <f aca="false">IFERROR(IF($C155="","",IF($D155="","",IFERROR(ROUND($D155*INDEX('🔖 배합비 참조'!$B$2:$CE$83,MATCH("콩기름(대두유)",'🔖 배합비 참조'!$A$2:$A$83,0),MATCH($C155,'🔖 배합비 참조'!$B$1:$CE$1,0))/100,0),""))),"")</f>
        <v>0</v>
      </c>
      <c r="BZ155" s="39" t="n">
        <f aca="false">IFERROR(IF($C155="","",IF($D155="","",IFERROR(ROUND($D155*INDEX('🔖 배합비 참조'!$B$2:$CE$83,MATCH("해바라기씨앗",'🔖 배합비 참조'!$A$2:$A$83,0),MATCH($C155,'🔖 배합비 참조'!$B$1:$CE$1,0))/100,0),""))),"")</f>
        <v>0</v>
      </c>
      <c r="CA155" s="39" t="n">
        <f aca="false">IFERROR(IF($C155="","",IF($D155="","",IFERROR(ROUND($D155*INDEX('🔖 배합비 참조'!$B$2:$CE$83,MATCH("현미(국내산)",'🔖 배합비 참조'!$A$2:$A$83,0),MATCH($C155,'🔖 배합비 참조'!$B$1:$CE$1,0))/100,0),""))),"")</f>
        <v>0</v>
      </c>
      <c r="CB155" s="39" t="n">
        <f aca="false">IFERROR(IF($C155="","",IF($D155="","",IFERROR(ROUND($D155*INDEX('🔖 배합비 참조'!$B$2:$CE$83,MATCH("현미멥쌀(국내산)",'🔖 배합비 참조'!$A$2:$A$83,0),MATCH($C155,'🔖 배합비 참조'!$B$1:$CE$1,0))/100,0),""))),"")</f>
        <v>0</v>
      </c>
      <c r="CC155" s="39" t="n">
        <f aca="false">IFERROR(IF($C155="","",IF($D155="","",IFERROR(ROUND($D155*INDEX('🔖 배합비 참조'!$B$2:$CE$83,MATCH("호두분태(미국산)",'🔖 배합비 참조'!$A$2:$A$83,0),MATCH($C155,'🔖 배합비 참조'!$B$1:$CE$1,0))/100,0),""))),"")</f>
        <v>0</v>
      </c>
      <c r="CD155" s="39" t="n">
        <f aca="false">IFERROR(IF($C155="","",IF($D155="","",IFERROR(ROUND($D155*INDEX('🔖 배합비 참조'!$B$2:$CE$83,MATCH("호박씨앗(외국산)",'🔖 배합비 참조'!$A$2:$A$83,0),MATCH($C155,'🔖 배합비 참조'!$B$1:$CE$1,0))/100,0),""))),"")</f>
        <v>0</v>
      </c>
      <c r="CE155" s="39" t="n">
        <f aca="false">IFERROR(IF($C155="","",IF($D155="","",IFERROR(ROUND($D155*INDEX('🔖 배합비 참조'!$B$2:$CE$83,MATCH("혼합제제(떡용에스텔)",'🔖 배합비 참조'!$A$2:$A$83,0),MATCH($C155,'🔖 배합비 참조'!$B$1:$CE$1,0))/100,0),""))),"")</f>
        <v>0</v>
      </c>
      <c r="CF155" s="39" t="n">
        <f aca="false">IFERROR(IF($C155="","",IF($D155="","",IFERROR(ROUND($D155*INDEX('🔖 배합비 참조'!$B$2:$CE$83,MATCH("혼합제제(스테비아)",'🔖 배합비 참조'!$A$2:$A$83,0),MATCH($C155,'🔖 배합비 참조'!$B$1:$CE$1,0))/100,0),""))),"")</f>
        <v>0</v>
      </c>
      <c r="CG155" s="39" t="n">
        <f aca="false">IFERROR(IF($C155="","",IF($D155="","",IFERROR(ROUND($D155*INDEX('🔖 배합비 참조'!$B$2:$CE$83,MATCH("화이트초콜릿",'🔖 배합비 참조'!$A$2:$A$83,0),MATCH($C155,'🔖 배합비 참조'!$B$1:$CE$1,0))/100,0),""))),"")</f>
        <v>0</v>
      </c>
      <c r="CH155" s="39" t="n">
        <f aca="false">IFERROR(IF($C155="","",IF($D155="","",IFERROR(ROUND($D155*INDEX('🔖 배합비 참조'!$B$2:$CE$83,MATCH("흑미찹쌀(국내산)",'🔖 배합비 참조'!$A$2:$A$83,0),MATCH($C155,'🔖 배합비 참조'!$B$1:$CE$1,0))/100,0),""))),"")</f>
        <v>0</v>
      </c>
      <c r="CI155" s="39" t="n">
        <f aca="false">IFERROR(IF($C155="","",IF($D155="","",IFERROR(ROUND($D155*INDEX('🔖 배합비 참조'!$B$2:$CE$83,MATCH("찰옥수수전분(미국산)",'🔖 배합비 참조'!$A$2:$A$83,0),MATCH($C155,'🔖 배합비 참조'!$B$1:$CE$1,0))/100,0),""))),"")</f>
        <v>0</v>
      </c>
      <c r="CJ155" s="40"/>
      <c r="CL155" s="1" t="s">
        <v>245</v>
      </c>
    </row>
    <row r="156" customFormat="false" ht="18" hidden="false" customHeight="true" outlineLevel="0" collapsed="false">
      <c r="A156" s="41" t="n">
        <v>152</v>
      </c>
      <c r="B156" s="36" t="n">
        <v>46028</v>
      </c>
      <c r="C156" s="37" t="s">
        <v>160</v>
      </c>
      <c r="D156" s="38" t="n">
        <v>20</v>
      </c>
      <c r="E156" s="17"/>
      <c r="F156" s="17"/>
      <c r="G156" s="42" t="n">
        <f aca="false">IFERROR(IF($C156="","",IF($D156="","",IFERROR(ROUND($D156*INDEX('🔖 배합비 참조'!$B$2:$CE$83,MATCH("간장",'🔖 배합비 참조'!$A$2:$A$83,0),MATCH($C156,'🔖 배합비 참조'!$B$1:$CE$1,0))/100,0),""))),"")</f>
        <v>0</v>
      </c>
      <c r="H156" s="42" t="n">
        <f aca="false">IFERROR(IF($C156="","",IF($D156="","",IFERROR(ROUND($D156*INDEX('🔖 배합비 참조'!$B$2:$CE$83,MATCH("강낭콩((울타리콩))",'🔖 배합비 참조'!$A$2:$A$83,0),MATCH($C156,'🔖 배합비 참조'!$B$1:$CE$1,0))/100,0),""))),"")</f>
        <v>2</v>
      </c>
      <c r="I156" s="42" t="n">
        <f aca="false">IFERROR(IF($C156="","",IF($D156="","",IFERROR(ROUND($D156*INDEX('🔖 배합비 참조'!$B$2:$CE$83,MATCH("건조딸기다이스(외국산)",'🔖 배합비 참조'!$A$2:$A$83,0),MATCH($C156,'🔖 배합비 참조'!$B$1:$CE$1,0))/100,0),""))),"")</f>
        <v>0</v>
      </c>
      <c r="J156" s="42" t="n">
        <f aca="false">IFERROR(IF($C156="","",IF($D156="","",IFERROR(ROUND($D156*INDEX('🔖 배합비 참조'!$B$2:$CE$83,MATCH("건포도",'🔖 배합비 참조'!$A$2:$A$83,0),MATCH($C156,'🔖 배합비 참조'!$B$1:$CE$1,0))/100,0),""))),"")</f>
        <v>0</v>
      </c>
      <c r="K156" s="42" t="n">
        <f aca="false">IFERROR(IF($C156="","",IF($D156="","",IFERROR(ROUND($D156*INDEX('🔖 배합비 참조'!$B$2:$CE$83,MATCH("건호박채(중국산)",'🔖 배합비 참조'!$A$2:$A$83,0),MATCH($C156,'🔖 배합비 참조'!$B$1:$CE$1,0))/100,0),""))),"")</f>
        <v>1</v>
      </c>
      <c r="L156" s="42" t="n">
        <f aca="false">IFERROR(IF($C156="","",IF($D156="","",IFERROR(ROUND($D156*INDEX('🔖 배합비 참조'!$B$2:$CE$83,MATCH("검정깨(흑임자)",'🔖 배합비 참조'!$A$2:$A$83,0),MATCH($C156,'🔖 배합비 참조'!$B$1:$CE$1,0))/100,0),""))),"")</f>
        <v>0</v>
      </c>
      <c r="M156" s="42" t="n">
        <f aca="false">IFERROR(IF($C156="","",IF($D156="","",IFERROR(ROUND($D156*INDEX('🔖 배합비 참조'!$B$2:$CE$83,MATCH("검정콩",'🔖 배합비 참조'!$A$2:$A$83,0),MATCH($C156,'🔖 배합비 참조'!$B$1:$CE$1,0))/100,0),""))),"")</f>
        <v>1</v>
      </c>
      <c r="N156" s="42" t="n">
        <f aca="false">IFERROR(IF($C156="","",IF($D156="","",IFERROR(ROUND($D156*INDEX('🔖 배합비 참조'!$B$2:$CE$83,MATCH("계피가루",'🔖 배합비 참조'!$A$2:$A$83,0),MATCH($C156,'🔖 배합비 참조'!$B$1:$CE$1,0))/100,0),""))),"")</f>
        <v>0</v>
      </c>
      <c r="O156" s="42" t="n">
        <f aca="false">IFERROR(IF($C156="","",IF($D156="","",IFERROR(ROUND($D156*INDEX('🔖 배합비 참조'!$B$2:$CE$83,MATCH("고구마가루",'🔖 배합비 참조'!$A$2:$A$83,0),MATCH($C156,'🔖 배합비 참조'!$B$1:$CE$1,0))/100,0),""))),"")</f>
        <v>0</v>
      </c>
      <c r="P156" s="42" t="n">
        <f aca="false">IFERROR(IF($C156="","",IF($D156="","",IFERROR(ROUND($D156*INDEX('🔖 배합비 참조'!$B$2:$CE$83,MATCH("고구마무스",'🔖 배합비 참조'!$A$2:$A$83,0),MATCH($C156,'🔖 배합비 참조'!$B$1:$CE$1,0))/100,0),""))),"")</f>
        <v>0</v>
      </c>
      <c r="Q156" s="42" t="n">
        <f aca="false">IFERROR(IF($C156="","",IF($D156="","",IFERROR(ROUND($D156*INDEX('🔖 배합비 참조'!$B$2:$CE$83,MATCH("고려엉겅퀴((곤드레)국내산)",'🔖 배합비 참조'!$A$2:$A$83,0),MATCH($C156,'🔖 배합비 참조'!$B$1:$CE$1,0))/100,0),""))),"")</f>
        <v>0</v>
      </c>
      <c r="R156" s="42" t="n">
        <f aca="false">IFERROR(IF($C156="","",IF($D156="","",IFERROR(ROUND($D156*INDEX('🔖 배합비 참조'!$B$2:$CE$83,MATCH("기타가공품(복분자가루)",'🔖 배합비 참조'!$A$2:$A$83,0),MATCH($C156,'🔖 배합비 참조'!$B$1:$CE$1,0))/100,0),""))),"")</f>
        <v>0</v>
      </c>
      <c r="S156" s="42" t="n">
        <f aca="false">IFERROR(IF($C156="","",IF($D156="","",IFERROR(ROUND($D156*INDEX('🔖 배합비 참조'!$B$2:$CE$83,MATCH("기타가공품(슈퍼소프트엠)",'🔖 배합비 참조'!$A$2:$A$83,0),MATCH($C156,'🔖 배합비 참조'!$B$1:$CE$1,0))/100,0),""))),"")</f>
        <v>0</v>
      </c>
      <c r="T156" s="42" t="n">
        <f aca="false">IFERROR(IF($C156="","",IF($D156="","",IFERROR(ROUND($D156*INDEX('🔖 배합비 참조'!$B$2:$CE$83,MATCH("기타가공품(파인소프트 E-티)",'🔖 배합비 참조'!$A$2:$A$83,0),MATCH($C156,'🔖 배합비 참조'!$B$1:$CE$1,0))/100,0),""))),"")</f>
        <v>0</v>
      </c>
      <c r="U156" s="42" t="n">
        <f aca="false">IFERROR(IF($C156="","",IF($D156="","",IFERROR(ROUND($D156*INDEX('🔖 배합비 참조'!$B$2:$CE$83,MATCH("기타가공품(프리미엄카스테라가루)",'🔖 배합비 참조'!$A$2:$A$83,0),MATCH($C156,'🔖 배합비 참조'!$B$1:$CE$1,0))/100,0),""))),"")</f>
        <v>0</v>
      </c>
      <c r="V156" s="42" t="n">
        <f aca="false">IFERROR(IF($C156="","",IF($D156="","",IFERROR(ROUND($D156*INDEX('🔖 배합비 참조'!$B$2:$CE$83,MATCH("기타가공품(흑임자가루)",'🔖 배합비 참조'!$A$2:$A$83,0),MATCH($C156,'🔖 배합비 참조'!$B$1:$CE$1,0))/100,0),""))),"")</f>
        <v>0</v>
      </c>
      <c r="W156" s="42" t="n">
        <f aca="false">IFERROR(IF($C156="","",IF($D156="","",IFERROR(ROUND($D156*INDEX('🔖 배합비 참조'!$B$2:$CE$83,MATCH("기타설탕(흑설탕)",'🔖 배합비 참조'!$A$2:$A$83,0),MATCH($C156,'🔖 배합비 참조'!$B$1:$CE$1,0))/100,0),""))),"")</f>
        <v>0</v>
      </c>
      <c r="X156" s="42" t="n">
        <f aca="false">IFERROR(IF($C156="","",IF($D156="","",IFERROR(ROUND($D156*INDEX('🔖 배합비 참조'!$B$2:$CE$83,MATCH("냉동쑥(국내산)",'🔖 배합비 참조'!$A$2:$A$83,0),MATCH($C156,'🔖 배합비 참조'!$B$1:$CE$1,0))/100,0),""))),"")</f>
        <v>0</v>
      </c>
      <c r="Y156" s="42" t="n">
        <f aca="false">IFERROR(IF($C156="","",IF($D156="","",IFERROR(ROUND($D156*INDEX('🔖 배합비 참조'!$B$2:$CE$83,MATCH("냉동증숙고구마(중국산)",'🔖 배합비 참조'!$A$2:$A$83,0),MATCH($C156,'🔖 배합비 참조'!$B$1:$CE$1,0))/100,0),""))),"")</f>
        <v>0</v>
      </c>
      <c r="Z156" s="42" t="n">
        <f aca="false">IFERROR(IF($C156="","",IF($D156="","",IFERROR(ROUND($D156*INDEX('🔖 배합비 참조'!$B$2:$CE$83,MATCH("녹차가루",'🔖 배합비 참조'!$A$2:$A$83,0),MATCH($C156,'🔖 배합비 참조'!$B$1:$CE$1,0))/100,0),""))),"")</f>
        <v>0</v>
      </c>
      <c r="AA156" s="42" t="n">
        <f aca="false">IFERROR(IF($C156="","",IF($D156="","",IFERROR(ROUND($D156*INDEX('🔖 배합비 참조'!$B$2:$CE$83,MATCH("다크초콜릿 컴파운드칩",'🔖 배합비 참조'!$A$2:$A$83,0),MATCH($C156,'🔖 배합비 참조'!$B$1:$CE$1,0))/100,0),""))),"")</f>
        <v>0</v>
      </c>
      <c r="AB156" s="42" t="n">
        <f aca="false">IFERROR(IF($C156="","",IF($D156="","",IFERROR(ROUND($D156*INDEX('🔖 배합비 참조'!$B$2:$CE$83,MATCH("단호박분말(중국산)",'🔖 배합비 참조'!$A$2:$A$83,0),MATCH($C156,'🔖 배합비 참조'!$B$1:$CE$1,0))/100,0),""))),"")</f>
        <v>0</v>
      </c>
      <c r="AC156" s="42" t="n">
        <f aca="false">IFERROR(IF($C156="","",IF($D156="","",IFERROR(ROUND($D156*INDEX('🔖 배합비 참조'!$B$2:$CE$83,MATCH("당류가공품(단호박농축액)",'🔖 배합비 참조'!$A$2:$A$83,0),MATCH($C156,'🔖 배합비 참조'!$B$1:$CE$1,0))/100,0),""))),"")</f>
        <v>0</v>
      </c>
      <c r="AD156" s="42" t="n">
        <f aca="false">IFERROR(IF($C156="","",IF($D156="","",IFERROR(ROUND($D156*INDEX('🔖 배합비 참조'!$B$2:$CE$83,MATCH("당류가공품(알룰로스,에리스리톨,스테비올배당체혼합)",'🔖 배합비 참조'!$A$2:$A$83,0),MATCH($C156,'🔖 배합비 참조'!$B$1:$CE$1,0))/100,0),""))),"")</f>
        <v>0</v>
      </c>
      <c r="AE156" s="42" t="n">
        <f aca="false">IFERROR(IF($C156="","",IF($D156="","",IFERROR(ROUND($D156*INDEX('🔖 배합비 참조'!$B$2:$CE$83,MATCH("당류가공품(알룰로스제로파우더)",'🔖 배합비 참조'!$A$2:$A$83,0),MATCH($C156,'🔖 배합비 참조'!$B$1:$CE$1,0))/100,0),""))),"")</f>
        <v>0</v>
      </c>
      <c r="AF156" s="42" t="n">
        <f aca="false">IFERROR(IF($C156="","",IF($D156="","",IFERROR(ROUND($D156*INDEX('🔖 배합비 참조'!$B$2:$CE$83,MATCH("당절임(완두배기)",'🔖 배합비 참조'!$A$2:$A$83,0),MATCH($C156,'🔖 배합비 참조'!$B$1:$CE$1,0))/100,0),""))),"")</f>
        <v>0</v>
      </c>
      <c r="AG156" s="42" t="n">
        <f aca="false">IFERROR(IF($C156="","",IF($D156="","",IFERROR(ROUND($D156*INDEX('🔖 배합비 참조'!$B$2:$CE$83,MATCH("대추농축액",'🔖 배합비 참조'!$A$2:$A$83,0),MATCH($C156,'🔖 배합비 참조'!$B$1:$CE$1,0))/100,0),""))),"")</f>
        <v>0</v>
      </c>
      <c r="AH156" s="42" t="n">
        <f aca="false">IFERROR(IF($C156="","",IF($D156="","",IFERROR(ROUND($D156*INDEX('🔖 배합비 참조'!$B$2:$CE$83,MATCH("대추채(국내산)",'🔖 배합비 참조'!$A$2:$A$83,0),MATCH($C156,'🔖 배합비 참조'!$B$1:$CE$1,0))/100,0),""))),"")</f>
        <v>0</v>
      </c>
      <c r="AI156" s="42" t="n">
        <f aca="false">IFERROR(IF($C156="","",IF($D156="","",IFERROR(ROUND($D156*INDEX('🔖 배합비 참조'!$B$2:$CE$83,MATCH("동부(미얀마산)",'🔖 배합비 참조'!$A$2:$A$83,0),MATCH($C156,'🔖 배합비 참조'!$B$1:$CE$1,0))/100,0),""))),"")</f>
        <v>0</v>
      </c>
      <c r="AJ156" s="42" t="n">
        <f aca="false">IFERROR(IF($C156="","",IF($D156="","",IFERROR(ROUND($D156*INDEX('🔖 배합비 참조'!$B$2:$CE$83,MATCH("두류가공품(백옥앙금)",'🔖 배합비 참조'!$A$2:$A$83,0),MATCH($C156,'🔖 배합비 참조'!$B$1:$CE$1,0))/100,0),""))),"")</f>
        <v>0</v>
      </c>
      <c r="AK156" s="42" t="n">
        <f aca="false">IFERROR(IF($C156="","",IF($D156="","",IFERROR(ROUND($D156*INDEX('🔖 배합비 참조'!$B$2:$CE$83,MATCH("두류가공품(콩고물)",'🔖 배합비 참조'!$A$2:$A$83,0),MATCH($C156,'🔖 배합비 참조'!$B$1:$CE$1,0))/100,0),""))),"")</f>
        <v>0</v>
      </c>
      <c r="AL156" s="42" t="n">
        <f aca="false">IFERROR(IF($C156="","",IF($D156="","",IFERROR(ROUND($D156*INDEX('🔖 배합비 참조'!$B$2:$CE$83,MATCH("두류가공품(통팥고물)",'🔖 배합비 참조'!$A$2:$A$83,0),MATCH($C156,'🔖 배합비 참조'!$B$1:$CE$1,0))/100,0),""))),"")</f>
        <v>0</v>
      </c>
      <c r="AM156" s="42" t="n">
        <f aca="false">IFERROR(IF($C156="","",IF($D156="","",IFERROR(ROUND($D156*INDEX('🔖 배합비 참조'!$B$2:$CE$83,MATCH("딸기레진",'🔖 배합비 참조'!$A$2:$A$83,0),MATCH($C156,'🔖 배합비 참조'!$B$1:$CE$1,0))/100,0),""))),"")</f>
        <v>0</v>
      </c>
      <c r="AN156" s="42" t="n">
        <f aca="false">IFERROR(IF($C156="","",IF($D156="","",IFERROR(ROUND($D156*INDEX('🔖 배합비 참조'!$B$2:$CE$83,MATCH("딸기분말(스트로우베리에이드(분말))",'🔖 배합비 참조'!$A$2:$A$83,0),MATCH($C156,'🔖 배합비 참조'!$B$1:$CE$1,0))/100,0),""))),"")</f>
        <v>0</v>
      </c>
      <c r="AO156" s="42" t="n">
        <f aca="false">IFERROR(IF($C156="","",IF($D156="","",IFERROR(ROUND($D156*INDEX('🔖 배합비 참조'!$B$2:$CE$83,MATCH("마스카포네치즈",'🔖 배합비 참조'!$A$2:$A$83,0),MATCH($C156,'🔖 배합비 참조'!$B$1:$CE$1,0))/100,0),""))),"")</f>
        <v>0</v>
      </c>
      <c r="AP156" s="42" t="n">
        <f aca="false">IFERROR(IF($C156="","",IF($D156="","",IFERROR(ROUND($D156*INDEX('🔖 배합비 참조'!$B$2:$CE$83,MATCH("마카다미아분태(호주산)",'🔖 배합비 참조'!$A$2:$A$83,0),MATCH($C156,'🔖 배합비 참조'!$B$1:$CE$1,0))/100,0),""))),"")</f>
        <v>0</v>
      </c>
      <c r="AQ156" s="42" t="n">
        <f aca="false">IFERROR(IF($C156="","",IF($D156="","",IFERROR(ROUND($D156*INDEX('🔖 배합비 참조'!$B$2:$CE$83,MATCH("멥쌀(국내산)",'🔖 배합비 참조'!$A$2:$A$83,0),MATCH($C156,'🔖 배합비 참조'!$B$1:$CE$1,0))/100,0),""))),"")</f>
        <v>0</v>
      </c>
      <c r="AR156" s="42" t="n">
        <f aca="false">IFERROR(IF($C156="","",IF($D156="","",IFERROR(ROUND($D156*INDEX('🔖 배합비 참조'!$B$2:$CE$83,MATCH("모시잎(국내산)",'🔖 배합비 참조'!$A$2:$A$83,0),MATCH($C156,'🔖 배합비 참조'!$B$1:$CE$1,0))/100,0),""))),"")</f>
        <v>0</v>
      </c>
      <c r="AS156" s="42" t="n">
        <f aca="false">IFERROR(IF($C156="","",IF($D156="","",IFERROR(ROUND($D156*INDEX('🔖 배합비 참조'!$B$2:$CE$83,MATCH("물엿(저당물엿)",'🔖 배합비 참조'!$A$2:$A$83,0),MATCH($C156,'🔖 배합비 참조'!$B$1:$CE$1,0))/100,0),""))),"")</f>
        <v>0</v>
      </c>
      <c r="AT156" s="42" t="n">
        <f aca="false">IFERROR(IF($C156="","",IF($D156="","",IFERROR(ROUND($D156*INDEX('🔖 배합비 참조'!$B$2:$CE$83,MATCH("밤다이스",'🔖 배합비 참조'!$A$2:$A$83,0),MATCH($C156,'🔖 배합비 참조'!$B$1:$CE$1,0))/100,0),""))),"")</f>
        <v>1</v>
      </c>
      <c r="AU156" s="42" t="n">
        <f aca="false">IFERROR(IF($C156="","",IF($D156="","",IFERROR(ROUND($D156*INDEX('🔖 배합비 참조'!$B$2:$CE$83,MATCH("변성전분(타피오카전분)",'🔖 배합비 참조'!$A$2:$A$83,0),MATCH($C156,'🔖 배합비 참조'!$B$1:$CE$1,0))/100,0),""))),"")</f>
        <v>0</v>
      </c>
      <c r="AV156" s="42" t="n">
        <f aca="false">IFERROR(IF($C156="","",IF($D156="","",IFERROR(ROUND($D156*INDEX('🔖 배합비 참조'!$B$2:$CE$83,MATCH("복음땅콩분태",'🔖 배합비 참조'!$A$2:$A$83,0),MATCH($C156,'🔖 배합비 참조'!$B$1:$CE$1,0))/100,0),""))),"")</f>
        <v>0</v>
      </c>
      <c r="AW156" s="42" t="n">
        <f aca="false">IFERROR(IF($C156="","",IF($D156="","",IFERROR(ROUND($D156*INDEX('🔖 배합비 참조'!$B$2:$CE$83,MATCH("사양벌꿀(국내산)",'🔖 배합비 참조'!$A$2:$A$83,0),MATCH($C156,'🔖 배합비 참조'!$B$1:$CE$1,0))/100,0),""))),"")</f>
        <v>0</v>
      </c>
      <c r="AX156" s="42" t="n">
        <f aca="false">IFERROR(IF($C156="","",IF($D156="","",IFERROR(ROUND($D156*INDEX('🔖 배합비 참조'!$B$2:$CE$83,MATCH("생크림",'🔖 배합비 참조'!$A$2:$A$83,0),MATCH($C156,'🔖 배합비 참조'!$B$1:$CE$1,0))/100,0),""))),"")</f>
        <v>0</v>
      </c>
      <c r="AY156" s="42" t="n">
        <f aca="false">IFERROR(IF($C156="","",IF($D156="","",IFERROR(ROUND($D156*INDEX('🔖 배합비 참조'!$B$2:$CE$83,MATCH("서양호박(국내산,뉴질랜드산)",'🔖 배합비 참조'!$A$2:$A$83,0),MATCH($C156,'🔖 배합비 참조'!$B$1:$CE$1,0))/100,0),""))),"")</f>
        <v>0</v>
      </c>
      <c r="AZ156" s="42" t="n">
        <f aca="false">IFERROR(IF($C156="","",IF($D156="","",IFERROR(ROUND($D156*INDEX('🔖 배합비 참조'!$B$2:$CE$83,MATCH("설탕",'🔖 배합비 참조'!$A$2:$A$83,0),MATCH($C156,'🔖 배합비 참조'!$B$1:$CE$1,0))/100,0),""))),"")</f>
        <v>2</v>
      </c>
      <c r="BA156" s="42" t="n">
        <f aca="false">IFERROR(IF($C156="","",IF($D156="","",IFERROR(ROUND($D156*INDEX('🔖 배합비 참조'!$B$2:$CE$83,MATCH("스트로우베리 에이드 후레쉬",'🔖 배합비 참조'!$A$2:$A$83,0),MATCH($C156,'🔖 배합비 참조'!$B$1:$CE$1,0))/100,0),""))),"")</f>
        <v>0</v>
      </c>
      <c r="BB156" s="42" t="n">
        <f aca="false">IFERROR(IF($C156="","",IF($D156="","",IFERROR(ROUND($D156*INDEX('🔖 배합비 참조'!$B$2:$CE$83,MATCH("식물성기름혼합제제(분홍)",'🔖 배합비 참조'!$A$2:$A$83,0),MATCH($C156,'🔖 배합비 참조'!$B$1:$CE$1,0))/100,0),""))),"")</f>
        <v>0</v>
      </c>
      <c r="BC156" s="42" t="n">
        <f aca="false">IFERROR(IF($C156="","",IF($D156="","",IFERROR(ROUND($D156*INDEX('🔖 배합비 참조'!$B$2:$CE$83,MATCH("식물성기름혼합제제(초록)",'🔖 배합비 참조'!$A$2:$A$83,0),MATCH($C156,'🔖 배합비 참조'!$B$1:$CE$1,0))/100,0),""))),"")</f>
        <v>0</v>
      </c>
      <c r="BD156" s="42" t="n">
        <f aca="false">IFERROR(IF($C156="","",IF($D156="","",IFERROR(ROUND($D156*INDEX('🔖 배합비 참조'!$B$2:$CE$83,MATCH("식물성기름혼합제제(황색)",'🔖 배합비 참조'!$A$2:$A$83,0),MATCH($C156,'🔖 배합비 참조'!$B$1:$CE$1,0))/100,0),""))),"")</f>
        <v>0</v>
      </c>
      <c r="BE156" s="42" t="n">
        <f aca="false">IFERROR(IF($C156="","",IF($D156="","",IFERROR(ROUND($D156*INDEX('🔖 배합비 참조'!$B$2:$CE$83,MATCH("쑥가루(국내산)",'🔖 배합비 참조'!$A$2:$A$83,0),MATCH($C156,'🔖 배합비 참조'!$B$1:$CE$1,0))/100,0),""))),"")</f>
        <v>0</v>
      </c>
      <c r="BF156" s="42" t="n">
        <f aca="false">IFERROR(IF($C156="","",IF($D156="","",IFERROR(ROUND($D156*INDEX('🔖 배합비 참조'!$B$2:$CE$83,MATCH("아몬드슬라이스",'🔖 배합비 참조'!$A$2:$A$83,0),MATCH($C156,'🔖 배합비 참조'!$B$1:$CE$1,0))/100,0),""))),"")</f>
        <v>0</v>
      </c>
      <c r="BG156" s="42" t="n">
        <f aca="false">IFERROR(IF($C156="","",IF($D156="","",IFERROR(ROUND($D156*INDEX('🔖 배합비 참조'!$B$2:$CE$83,MATCH("알룰로오스(국내산)",'🔖 배합비 참조'!$A$2:$A$83,0),MATCH($C156,'🔖 배합비 참조'!$B$1:$CE$1,0))/100,0),""))),"")</f>
        <v>0</v>
      </c>
      <c r="BH156" s="42" t="n">
        <f aca="false">IFERROR(IF($C156="","",IF($D156="","",IFERROR(ROUND($D156*INDEX('🔖 배합비 참조'!$B$2:$CE$83,MATCH("연유",'🔖 배합비 참조'!$A$2:$A$83,0),MATCH($C156,'🔖 배합비 참조'!$B$1:$CE$1,0))/100,0),""))),"")</f>
        <v>0</v>
      </c>
      <c r="BI156" s="42" t="n">
        <f aca="false">IFERROR(IF($C156="","",IF($D156="","",IFERROR(ROUND($D156*INDEX('🔖 배합비 참조'!$B$2:$CE$83,MATCH("옥수수전분",'🔖 배합비 참조'!$A$2:$A$83,0),MATCH($C156,'🔖 배합비 참조'!$B$1:$CE$1,0))/100,0),""))),"")</f>
        <v>0</v>
      </c>
      <c r="BJ156" s="42" t="n">
        <f aca="false">IFERROR(IF($C156="","",IF($D156="","",IFERROR(ROUND($D156*INDEX('🔖 배합비 참조'!$B$2:$CE$83,MATCH("완두배기",'🔖 배합비 참조'!$A$2:$A$83,0),MATCH($C156,'🔖 배합비 참조'!$B$1:$CE$1,0))/100,0),""))),"")</f>
        <v>0</v>
      </c>
      <c r="BK156" s="42" t="n">
        <f aca="false">IFERROR(IF($C156="","",IF($D156="","",IFERROR(ROUND($D156*INDEX('🔖 배합비 참조'!$B$2:$CE$83,MATCH("우유(국내산)",'🔖 배합비 참조'!$A$2:$A$83,0),MATCH($C156,'🔖 배합비 참조'!$B$1:$CE$1,0))/100,0),""))),"")</f>
        <v>0</v>
      </c>
      <c r="BL156" s="42" t="n">
        <f aca="false">IFERROR(IF($C156="","",IF($D156="","",IFERROR(ROUND($D156*INDEX('🔖 배합비 참조'!$B$2:$CE$83,MATCH("자색고구마가루(중국산)",'🔖 배합비 참조'!$A$2:$A$83,0),MATCH($C156,'🔖 배합비 참조'!$B$1:$CE$1,0))/100,0),""))),"")</f>
        <v>0</v>
      </c>
      <c r="BM156" s="42" t="n">
        <f aca="false">IFERROR(IF($C156="","",IF($D156="","",IFERROR(ROUND($D156*INDEX('🔖 배합비 참조'!$B$2:$CE$83,MATCH("자연치즈(체다치즈)",'🔖 배합비 참조'!$A$2:$A$83,0),MATCH($C156,'🔖 배합비 참조'!$B$1:$CE$1,0))/100,0),""))),"")</f>
        <v>0</v>
      </c>
      <c r="BN156" s="42" t="n">
        <f aca="false">IFERROR(IF($C156="","",IF($D156="","",IFERROR(ROUND($D156*INDEX('🔖 배합비 참조'!$B$2:$CE$83,MATCH("정제수",'🔖 배합비 참조'!$A$2:$A$83,0),MATCH($C156,'🔖 배합비 참조'!$B$1:$CE$1,0))/100,0),""))),"")</f>
        <v>3</v>
      </c>
      <c r="BO156" s="42" t="n">
        <f aca="false">IFERROR(IF($C156="","",IF($D156="","",IFERROR(ROUND($D156*INDEX('🔖 배합비 참조'!$B$2:$CE$83,MATCH("젤라틴",'🔖 배합비 참조'!$A$2:$A$83,0),MATCH($C156,'🔖 배합비 참조'!$B$1:$CE$1,0))/100,0),""))),"")</f>
        <v>0</v>
      </c>
      <c r="BP156" s="42" t="n">
        <f aca="false">IFERROR(IF($C156="","",IF($D156="","",IFERROR(ROUND($D156*INDEX('🔖 배합비 참조'!$B$2:$CE$83,MATCH("조림류(백옥앙금)",'🔖 배합비 참조'!$A$2:$A$83,0),MATCH($C156,'🔖 배합비 참조'!$B$1:$CE$1,0))/100,0),""))),"")</f>
        <v>0</v>
      </c>
      <c r="BQ156" s="42" t="n">
        <f aca="false">IFERROR(IF($C156="","",IF($D156="","",IFERROR(ROUND($D156*INDEX('🔖 배합비 참조'!$B$2:$CE$83,MATCH("조림류(통팥앙금)",'🔖 배합비 참조'!$A$2:$A$83,0),MATCH($C156,'🔖 배합비 참조'!$B$1:$CE$1,0))/100,0),""))),"")</f>
        <v>0</v>
      </c>
      <c r="BR156" s="42" t="n">
        <f aca="false">IFERROR(IF($C156="","",IF($D156="","",IFERROR(ROUND($D156*INDEX('🔖 배합비 참조'!$B$2:$CE$83,MATCH("준초콜릿(외국산)",'🔖 배합비 참조'!$A$2:$A$83,0),MATCH($C156,'🔖 배합비 참조'!$B$1:$CE$1,0))/100,0),""))),"")</f>
        <v>0</v>
      </c>
      <c r="BS156" s="42" t="n">
        <f aca="false">IFERROR(IF($C156="","",IF($D156="","",IFERROR(ROUND($D156*INDEX('🔖 배합비 참조'!$B$2:$CE$83,MATCH("중력분",'🔖 배합비 참조'!$A$2:$A$83,0),MATCH($C156,'🔖 배합비 참조'!$B$1:$CE$1,0))/100,0),""))),"")</f>
        <v>0</v>
      </c>
      <c r="BT156" s="42" t="n">
        <f aca="false">IFERROR(IF($C156="","",IF($D156="","",IFERROR(ROUND($D156*INDEX('🔖 배합비 참조'!$B$2:$CE$83,MATCH("참깨(인도산,나이지리아산,탄자니아산,미얀마산)",'🔖 배합비 참조'!$A$2:$A$83,0),MATCH($C156,'🔖 배합비 참조'!$B$1:$CE$1,0))/100,0),""))),"")</f>
        <v>0</v>
      </c>
      <c r="BU156" s="42" t="n">
        <f aca="false">IFERROR(IF($C156="","",IF($D156="","",IFERROR(ROUND($D156*INDEX('🔖 배합비 참조'!$B$2:$CE$83,MATCH("찹쌀(국내산)",'🔖 배합비 참조'!$A$2:$A$83,0),MATCH($C156,'🔖 배합비 참조'!$B$1:$CE$1,0))/100,0),""))),"")</f>
        <v>11</v>
      </c>
      <c r="BV156" s="42" t="n">
        <f aca="false">IFERROR(IF($C156="","",IF($D156="","",IFERROR(ROUND($D156*INDEX('🔖 배합비 참조'!$B$2:$CE$83,MATCH("천일염",'🔖 배합비 참조'!$A$2:$A$83,0),MATCH($C156,'🔖 배합비 참조'!$B$1:$CE$1,0))/100,0),""))),"")</f>
        <v>0</v>
      </c>
      <c r="BW156" s="42" t="n">
        <f aca="false">IFERROR(IF($C156="","",IF($D156="","",IFERROR(ROUND($D156*INDEX('🔖 배합비 참조'!$B$2:$CE$83,MATCH("치즈 [크림치즈]",'🔖 배합비 참조'!$A$2:$A$83,0),MATCH($C156,'🔖 배합비 참조'!$B$1:$CE$1,0))/100,0),""))),"")</f>
        <v>0</v>
      </c>
      <c r="BX156" s="42" t="n">
        <f aca="false">IFERROR(IF($C156="","",IF($D156="","",IFERROR(ROUND($D156*INDEX('🔖 배합비 참조'!$B$2:$CE$83,MATCH("코코아가공품류(코코아분말)",'🔖 배합비 참조'!$A$2:$A$83,0),MATCH($C156,'🔖 배합비 참조'!$B$1:$CE$1,0))/100,0),""))),"")</f>
        <v>0</v>
      </c>
      <c r="BY156" s="42" t="n">
        <f aca="false">IFERROR(IF($C156="","",IF($D156="","",IFERROR(ROUND($D156*INDEX('🔖 배합비 참조'!$B$2:$CE$83,MATCH("콩기름(대두유)",'🔖 배합비 참조'!$A$2:$A$83,0),MATCH($C156,'🔖 배합비 참조'!$B$1:$CE$1,0))/100,0),""))),"")</f>
        <v>0</v>
      </c>
      <c r="BZ156" s="42" t="n">
        <f aca="false">IFERROR(IF($C156="","",IF($D156="","",IFERROR(ROUND($D156*INDEX('🔖 배합비 참조'!$B$2:$CE$83,MATCH("해바라기씨앗",'🔖 배합비 참조'!$A$2:$A$83,0),MATCH($C156,'🔖 배합비 참조'!$B$1:$CE$1,0))/100,0),""))),"")</f>
        <v>0</v>
      </c>
      <c r="CA156" s="42" t="n">
        <f aca="false">IFERROR(IF($C156="","",IF($D156="","",IFERROR(ROUND($D156*INDEX('🔖 배합비 참조'!$B$2:$CE$83,MATCH("현미(국내산)",'🔖 배합비 참조'!$A$2:$A$83,0),MATCH($C156,'🔖 배합비 참조'!$B$1:$CE$1,0))/100,0),""))),"")</f>
        <v>0</v>
      </c>
      <c r="CB156" s="42" t="n">
        <f aca="false">IFERROR(IF($C156="","",IF($D156="","",IFERROR(ROUND($D156*INDEX('🔖 배합비 참조'!$B$2:$CE$83,MATCH("현미멥쌀(국내산)",'🔖 배합비 참조'!$A$2:$A$83,0),MATCH($C156,'🔖 배합비 참조'!$B$1:$CE$1,0))/100,0),""))),"")</f>
        <v>0</v>
      </c>
      <c r="CC156" s="42" t="n">
        <f aca="false">IFERROR(IF($C156="","",IF($D156="","",IFERROR(ROUND($D156*INDEX('🔖 배합비 참조'!$B$2:$CE$83,MATCH("호두분태(미국산)",'🔖 배합비 참조'!$A$2:$A$83,0),MATCH($C156,'🔖 배합비 참조'!$B$1:$CE$1,0))/100,0),""))),"")</f>
        <v>0</v>
      </c>
      <c r="CD156" s="42" t="n">
        <f aca="false">IFERROR(IF($C156="","",IF($D156="","",IFERROR(ROUND($D156*INDEX('🔖 배합비 참조'!$B$2:$CE$83,MATCH("호박씨앗(외국산)",'🔖 배합비 참조'!$A$2:$A$83,0),MATCH($C156,'🔖 배합비 참조'!$B$1:$CE$1,0))/100,0),""))),"")</f>
        <v>0</v>
      </c>
      <c r="CE156" s="42" t="n">
        <f aca="false">IFERROR(IF($C156="","",IF($D156="","",IFERROR(ROUND($D156*INDEX('🔖 배합비 참조'!$B$2:$CE$83,MATCH("혼합제제(떡용에스텔)",'🔖 배합비 참조'!$A$2:$A$83,0),MATCH($C156,'🔖 배합비 참조'!$B$1:$CE$1,0))/100,0),""))),"")</f>
        <v>0</v>
      </c>
      <c r="CF156" s="42" t="n">
        <f aca="false">IFERROR(IF($C156="","",IF($D156="","",IFERROR(ROUND($D156*INDEX('🔖 배합비 참조'!$B$2:$CE$83,MATCH("혼합제제(스테비아)",'🔖 배합비 참조'!$A$2:$A$83,0),MATCH($C156,'🔖 배합비 참조'!$B$1:$CE$1,0))/100,0),""))),"")</f>
        <v>0</v>
      </c>
      <c r="CG156" s="42" t="n">
        <f aca="false">IFERROR(IF($C156="","",IF($D156="","",IFERROR(ROUND($D156*INDEX('🔖 배합비 참조'!$B$2:$CE$83,MATCH("화이트초콜릿",'🔖 배합비 참조'!$A$2:$A$83,0),MATCH($C156,'🔖 배합비 참조'!$B$1:$CE$1,0))/100,0),""))),"")</f>
        <v>0</v>
      </c>
      <c r="CH156" s="42" t="n">
        <f aca="false">IFERROR(IF($C156="","",IF($D156="","",IFERROR(ROUND($D156*INDEX('🔖 배합비 참조'!$B$2:$CE$83,MATCH("흑미찹쌀(국내산)",'🔖 배합비 참조'!$A$2:$A$83,0),MATCH($C156,'🔖 배합비 참조'!$B$1:$CE$1,0))/100,0),""))),"")</f>
        <v>0</v>
      </c>
      <c r="CI156" s="42" t="n">
        <f aca="false">IFERROR(IF($C156="","",IF($D156="","",IFERROR(ROUND($D156*INDEX('🔖 배합비 참조'!$B$2:$CE$83,MATCH("찰옥수수전분(미국산)",'🔖 배합비 참조'!$A$2:$A$83,0),MATCH($C156,'🔖 배합비 참조'!$B$1:$CE$1,0))/100,0),""))),"")</f>
        <v>0</v>
      </c>
      <c r="CJ156" s="40"/>
      <c r="CL156" s="1" t="s">
        <v>245</v>
      </c>
    </row>
    <row r="157" customFormat="false" ht="18" hidden="false" customHeight="true" outlineLevel="0" collapsed="false">
      <c r="A157" s="35" t="n">
        <v>153</v>
      </c>
      <c r="B157" s="36" t="n">
        <v>46028</v>
      </c>
      <c r="C157" s="37" t="s">
        <v>193</v>
      </c>
      <c r="D157" s="38" t="n">
        <v>45</v>
      </c>
      <c r="E157" s="13"/>
      <c r="F157" s="13"/>
      <c r="G157" s="39" t="n">
        <f aca="false">IFERROR(IF($C157="","",IF($D157="","",IFERROR(ROUND($D157*INDEX('🔖 배합비 참조'!$B$2:$CE$83,MATCH("간장",'🔖 배합비 참조'!$A$2:$A$83,0),MATCH($C157,'🔖 배합비 참조'!$B$1:$CE$1,0))/100,0),""))),"")</f>
        <v>0</v>
      </c>
      <c r="H157" s="39" t="n">
        <f aca="false">IFERROR(IF($C157="","",IF($D157="","",IFERROR(ROUND($D157*INDEX('🔖 배합비 참조'!$B$2:$CE$83,MATCH("강낭콩((울타리콩))",'🔖 배합비 참조'!$A$2:$A$83,0),MATCH($C157,'🔖 배합비 참조'!$B$1:$CE$1,0))/100,0),""))),"")</f>
        <v>0</v>
      </c>
      <c r="I157" s="39" t="n">
        <f aca="false">IFERROR(IF($C157="","",IF($D157="","",IFERROR(ROUND($D157*INDEX('🔖 배합비 참조'!$B$2:$CE$83,MATCH("건조딸기다이스(외국산)",'🔖 배합비 참조'!$A$2:$A$83,0),MATCH($C157,'🔖 배합비 참조'!$B$1:$CE$1,0))/100,0),""))),"")</f>
        <v>0</v>
      </c>
      <c r="J157" s="39" t="n">
        <f aca="false">IFERROR(IF($C157="","",IF($D157="","",IFERROR(ROUND($D157*INDEX('🔖 배합비 참조'!$B$2:$CE$83,MATCH("건포도",'🔖 배합비 참조'!$A$2:$A$83,0),MATCH($C157,'🔖 배합비 참조'!$B$1:$CE$1,0))/100,0),""))),"")</f>
        <v>0</v>
      </c>
      <c r="K157" s="39" t="n">
        <f aca="false">IFERROR(IF($C157="","",IF($D157="","",IFERROR(ROUND($D157*INDEX('🔖 배합비 참조'!$B$2:$CE$83,MATCH("건호박채(중국산)",'🔖 배합비 참조'!$A$2:$A$83,0),MATCH($C157,'🔖 배합비 참조'!$B$1:$CE$1,0))/100,0),""))),"")</f>
        <v>0</v>
      </c>
      <c r="L157" s="39" t="n">
        <f aca="false">IFERROR(IF($C157="","",IF($D157="","",IFERROR(ROUND($D157*INDEX('🔖 배합비 참조'!$B$2:$CE$83,MATCH("검정깨(흑임자)",'🔖 배합비 참조'!$A$2:$A$83,0),MATCH($C157,'🔖 배합비 참조'!$B$1:$CE$1,0))/100,0),""))),"")</f>
        <v>0</v>
      </c>
      <c r="M157" s="39" t="n">
        <f aca="false">IFERROR(IF($C157="","",IF($D157="","",IFERROR(ROUND($D157*INDEX('🔖 배합비 참조'!$B$2:$CE$83,MATCH("검정콩",'🔖 배합비 참조'!$A$2:$A$83,0),MATCH($C157,'🔖 배합비 참조'!$B$1:$CE$1,0))/100,0),""))),"")</f>
        <v>0</v>
      </c>
      <c r="N157" s="39" t="n">
        <f aca="false">IFERROR(IF($C157="","",IF($D157="","",IFERROR(ROUND($D157*INDEX('🔖 배합비 참조'!$B$2:$CE$83,MATCH("계피가루",'🔖 배합비 참조'!$A$2:$A$83,0),MATCH($C157,'🔖 배합비 참조'!$B$1:$CE$1,0))/100,0),""))),"")</f>
        <v>0</v>
      </c>
      <c r="O157" s="39" t="n">
        <f aca="false">IFERROR(IF($C157="","",IF($D157="","",IFERROR(ROUND($D157*INDEX('🔖 배합비 참조'!$B$2:$CE$83,MATCH("고구마가루",'🔖 배합비 참조'!$A$2:$A$83,0),MATCH($C157,'🔖 배합비 참조'!$B$1:$CE$1,0))/100,0),""))),"")</f>
        <v>0</v>
      </c>
      <c r="P157" s="39" t="n">
        <f aca="false">IFERROR(IF($C157="","",IF($D157="","",IFERROR(ROUND($D157*INDEX('🔖 배합비 참조'!$B$2:$CE$83,MATCH("고구마무스",'🔖 배합비 참조'!$A$2:$A$83,0),MATCH($C157,'🔖 배합비 참조'!$B$1:$CE$1,0))/100,0),""))),"")</f>
        <v>0</v>
      </c>
      <c r="Q157" s="39" t="n">
        <f aca="false">IFERROR(IF($C157="","",IF($D157="","",IFERROR(ROUND($D157*INDEX('🔖 배합비 참조'!$B$2:$CE$83,MATCH("고려엉겅퀴((곤드레)국내산)",'🔖 배합비 참조'!$A$2:$A$83,0),MATCH($C157,'🔖 배합비 참조'!$B$1:$CE$1,0))/100,0),""))),"")</f>
        <v>0</v>
      </c>
      <c r="R157" s="39" t="n">
        <f aca="false">IFERROR(IF($C157="","",IF($D157="","",IFERROR(ROUND($D157*INDEX('🔖 배합비 참조'!$B$2:$CE$83,MATCH("기타가공품(복분자가루)",'🔖 배합비 참조'!$A$2:$A$83,0),MATCH($C157,'🔖 배합비 참조'!$B$1:$CE$1,0))/100,0),""))),"")</f>
        <v>0</v>
      </c>
      <c r="S157" s="39" t="n">
        <f aca="false">IFERROR(IF($C157="","",IF($D157="","",IFERROR(ROUND($D157*INDEX('🔖 배합비 참조'!$B$2:$CE$83,MATCH("기타가공품(슈퍼소프트엠)",'🔖 배합비 참조'!$A$2:$A$83,0),MATCH($C157,'🔖 배합비 참조'!$B$1:$CE$1,0))/100,0),""))),"")</f>
        <v>0</v>
      </c>
      <c r="T157" s="39" t="n">
        <f aca="false">IFERROR(IF($C157="","",IF($D157="","",IFERROR(ROUND($D157*INDEX('🔖 배합비 참조'!$B$2:$CE$83,MATCH("기타가공품(파인소프트 E-티)",'🔖 배합비 참조'!$A$2:$A$83,0),MATCH($C157,'🔖 배합비 참조'!$B$1:$CE$1,0))/100,0),""))),"")</f>
        <v>0</v>
      </c>
      <c r="U157" s="39" t="n">
        <f aca="false">IFERROR(IF($C157="","",IF($D157="","",IFERROR(ROUND($D157*INDEX('🔖 배합비 참조'!$B$2:$CE$83,MATCH("기타가공품(프리미엄카스테라가루)",'🔖 배합비 참조'!$A$2:$A$83,0),MATCH($C157,'🔖 배합비 참조'!$B$1:$CE$1,0))/100,0),""))),"")</f>
        <v>0</v>
      </c>
      <c r="V157" s="39" t="n">
        <f aca="false">IFERROR(IF($C157="","",IF($D157="","",IFERROR(ROUND($D157*INDEX('🔖 배합비 참조'!$B$2:$CE$83,MATCH("기타가공품(흑임자가루)",'🔖 배합비 참조'!$A$2:$A$83,0),MATCH($C157,'🔖 배합비 참조'!$B$1:$CE$1,0))/100,0),""))),"")</f>
        <v>0</v>
      </c>
      <c r="W157" s="39" t="n">
        <f aca="false">IFERROR(IF($C157="","",IF($D157="","",IFERROR(ROUND($D157*INDEX('🔖 배합비 참조'!$B$2:$CE$83,MATCH("기타설탕(흑설탕)",'🔖 배합비 참조'!$A$2:$A$83,0),MATCH($C157,'🔖 배합비 참조'!$B$1:$CE$1,0))/100,0),""))),"")</f>
        <v>0</v>
      </c>
      <c r="X157" s="39" t="n">
        <f aca="false">IFERROR(IF($C157="","",IF($D157="","",IFERROR(ROUND($D157*INDEX('🔖 배합비 참조'!$B$2:$CE$83,MATCH("냉동쑥(국내산)",'🔖 배합비 참조'!$A$2:$A$83,0),MATCH($C157,'🔖 배합비 참조'!$B$1:$CE$1,0))/100,0),""))),"")</f>
        <v>0</v>
      </c>
      <c r="Y157" s="39" t="n">
        <f aca="false">IFERROR(IF($C157="","",IF($D157="","",IFERROR(ROUND($D157*INDEX('🔖 배합비 참조'!$B$2:$CE$83,MATCH("냉동증숙고구마(중국산)",'🔖 배합비 참조'!$A$2:$A$83,0),MATCH($C157,'🔖 배합비 참조'!$B$1:$CE$1,0))/100,0),""))),"")</f>
        <v>0</v>
      </c>
      <c r="Z157" s="39" t="n">
        <f aca="false">IFERROR(IF($C157="","",IF($D157="","",IFERROR(ROUND($D157*INDEX('🔖 배합비 참조'!$B$2:$CE$83,MATCH("녹차가루",'🔖 배합비 참조'!$A$2:$A$83,0),MATCH($C157,'🔖 배합비 참조'!$B$1:$CE$1,0))/100,0),""))),"")</f>
        <v>0</v>
      </c>
      <c r="AA157" s="39" t="n">
        <f aca="false">IFERROR(IF($C157="","",IF($D157="","",IFERROR(ROUND($D157*INDEX('🔖 배합비 참조'!$B$2:$CE$83,MATCH("다크초콜릿 컴파운드칩",'🔖 배합비 참조'!$A$2:$A$83,0),MATCH($C157,'🔖 배합비 참조'!$B$1:$CE$1,0))/100,0),""))),"")</f>
        <v>0</v>
      </c>
      <c r="AB157" s="39" t="n">
        <f aca="false">IFERROR(IF($C157="","",IF($D157="","",IFERROR(ROUND($D157*INDEX('🔖 배합비 참조'!$B$2:$CE$83,MATCH("단호박분말(중국산)",'🔖 배합비 참조'!$A$2:$A$83,0),MATCH($C157,'🔖 배합비 참조'!$B$1:$CE$1,0))/100,0),""))),"")</f>
        <v>0</v>
      </c>
      <c r="AC157" s="39" t="n">
        <f aca="false">IFERROR(IF($C157="","",IF($D157="","",IFERROR(ROUND($D157*INDEX('🔖 배합비 참조'!$B$2:$CE$83,MATCH("당류가공품(단호박농축액)",'🔖 배합비 참조'!$A$2:$A$83,0),MATCH($C157,'🔖 배합비 참조'!$B$1:$CE$1,0))/100,0),""))),"")</f>
        <v>0</v>
      </c>
      <c r="AD157" s="39" t="n">
        <f aca="false">IFERROR(IF($C157="","",IF($D157="","",IFERROR(ROUND($D157*INDEX('🔖 배합비 참조'!$B$2:$CE$83,MATCH("당류가공품(알룰로스,에리스리톨,스테비올배당체혼합)",'🔖 배합비 참조'!$A$2:$A$83,0),MATCH($C157,'🔖 배합비 참조'!$B$1:$CE$1,0))/100,0),""))),"")</f>
        <v>0</v>
      </c>
      <c r="AE157" s="39" t="n">
        <f aca="false">IFERROR(IF($C157="","",IF($D157="","",IFERROR(ROUND($D157*INDEX('🔖 배합비 참조'!$B$2:$CE$83,MATCH("당류가공품(알룰로스제로파우더)",'🔖 배합비 참조'!$A$2:$A$83,0),MATCH($C157,'🔖 배합비 참조'!$B$1:$CE$1,0))/100,0),""))),"")</f>
        <v>0</v>
      </c>
      <c r="AF157" s="39" t="n">
        <f aca="false">IFERROR(IF($C157="","",IF($D157="","",IFERROR(ROUND($D157*INDEX('🔖 배합비 참조'!$B$2:$CE$83,MATCH("당절임(완두배기)",'🔖 배합비 참조'!$A$2:$A$83,0),MATCH($C157,'🔖 배합비 참조'!$B$1:$CE$1,0))/100,0),""))),"")</f>
        <v>0</v>
      </c>
      <c r="AG157" s="39" t="n">
        <f aca="false">IFERROR(IF($C157="","",IF($D157="","",IFERROR(ROUND($D157*INDEX('🔖 배합비 참조'!$B$2:$CE$83,MATCH("대추농축액",'🔖 배합비 참조'!$A$2:$A$83,0),MATCH($C157,'🔖 배합비 참조'!$B$1:$CE$1,0))/100,0),""))),"")</f>
        <v>0</v>
      </c>
      <c r="AH157" s="39" t="n">
        <f aca="false">IFERROR(IF($C157="","",IF($D157="","",IFERROR(ROUND($D157*INDEX('🔖 배합비 참조'!$B$2:$CE$83,MATCH("대추채(국내산)",'🔖 배합비 참조'!$A$2:$A$83,0),MATCH($C157,'🔖 배합비 참조'!$B$1:$CE$1,0))/100,0),""))),"")</f>
        <v>0</v>
      </c>
      <c r="AI157" s="39" t="n">
        <f aca="false">IFERROR(IF($C157="","",IF($D157="","",IFERROR(ROUND($D157*INDEX('🔖 배합비 참조'!$B$2:$CE$83,MATCH("동부(미얀마산)",'🔖 배합비 참조'!$A$2:$A$83,0),MATCH($C157,'🔖 배합비 참조'!$B$1:$CE$1,0))/100,0),""))),"")</f>
        <v>0</v>
      </c>
      <c r="AJ157" s="39" t="n">
        <f aca="false">IFERROR(IF($C157="","",IF($D157="","",IFERROR(ROUND($D157*INDEX('🔖 배합비 참조'!$B$2:$CE$83,MATCH("두류가공품(백옥앙금)",'🔖 배합비 참조'!$A$2:$A$83,0),MATCH($C157,'🔖 배합비 참조'!$B$1:$CE$1,0))/100,0),""))),"")</f>
        <v>0</v>
      </c>
      <c r="AK157" s="39" t="n">
        <f aca="false">IFERROR(IF($C157="","",IF($D157="","",IFERROR(ROUND($D157*INDEX('🔖 배합비 참조'!$B$2:$CE$83,MATCH("두류가공품(콩고물)",'🔖 배합비 참조'!$A$2:$A$83,0),MATCH($C157,'🔖 배합비 참조'!$B$1:$CE$1,0))/100,0),""))),"")</f>
        <v>0</v>
      </c>
      <c r="AL157" s="39" t="n">
        <f aca="false">IFERROR(IF($C157="","",IF($D157="","",IFERROR(ROUND($D157*INDEX('🔖 배합비 참조'!$B$2:$CE$83,MATCH("두류가공품(통팥고물)",'🔖 배합비 참조'!$A$2:$A$83,0),MATCH($C157,'🔖 배합비 참조'!$B$1:$CE$1,0))/100,0),""))),"")</f>
        <v>0</v>
      </c>
      <c r="AM157" s="39" t="n">
        <f aca="false">IFERROR(IF($C157="","",IF($D157="","",IFERROR(ROUND($D157*INDEX('🔖 배합비 참조'!$B$2:$CE$83,MATCH("딸기레진",'🔖 배합비 참조'!$A$2:$A$83,0),MATCH($C157,'🔖 배합비 참조'!$B$1:$CE$1,0))/100,0),""))),"")</f>
        <v>0</v>
      </c>
      <c r="AN157" s="39" t="n">
        <f aca="false">IFERROR(IF($C157="","",IF($D157="","",IFERROR(ROUND($D157*INDEX('🔖 배합비 참조'!$B$2:$CE$83,MATCH("딸기분말(스트로우베리에이드(분말))",'🔖 배합비 참조'!$A$2:$A$83,0),MATCH($C157,'🔖 배합비 참조'!$B$1:$CE$1,0))/100,0),""))),"")</f>
        <v>0</v>
      </c>
      <c r="AO157" s="39" t="n">
        <f aca="false">IFERROR(IF($C157="","",IF($D157="","",IFERROR(ROUND($D157*INDEX('🔖 배합비 참조'!$B$2:$CE$83,MATCH("마스카포네치즈",'🔖 배합비 참조'!$A$2:$A$83,0),MATCH($C157,'🔖 배합비 참조'!$B$1:$CE$1,0))/100,0),""))),"")</f>
        <v>0</v>
      </c>
      <c r="AP157" s="39" t="n">
        <f aca="false">IFERROR(IF($C157="","",IF($D157="","",IFERROR(ROUND($D157*INDEX('🔖 배합비 참조'!$B$2:$CE$83,MATCH("마카다미아분태(호주산)",'🔖 배합비 참조'!$A$2:$A$83,0),MATCH($C157,'🔖 배합비 참조'!$B$1:$CE$1,0))/100,0),""))),"")</f>
        <v>0</v>
      </c>
      <c r="AQ157" s="39" t="n">
        <f aca="false">IFERROR(IF($C157="","",IF($D157="","",IFERROR(ROUND($D157*INDEX('🔖 배합비 참조'!$B$2:$CE$83,MATCH("멥쌀(국내산)",'🔖 배합비 참조'!$A$2:$A$83,0),MATCH($C157,'🔖 배합비 참조'!$B$1:$CE$1,0))/100,0),""))),"")</f>
        <v>28</v>
      </c>
      <c r="AR157" s="39" t="n">
        <f aca="false">IFERROR(IF($C157="","",IF($D157="","",IFERROR(ROUND($D157*INDEX('🔖 배합비 참조'!$B$2:$CE$83,MATCH("모시잎(국내산)",'🔖 배합비 참조'!$A$2:$A$83,0),MATCH($C157,'🔖 배합비 참조'!$B$1:$CE$1,0))/100,0),""))),"")</f>
        <v>0</v>
      </c>
      <c r="AS157" s="39" t="n">
        <f aca="false">IFERROR(IF($C157="","",IF($D157="","",IFERROR(ROUND($D157*INDEX('🔖 배합비 참조'!$B$2:$CE$83,MATCH("물엿(저당물엿)",'🔖 배합비 참조'!$A$2:$A$83,0),MATCH($C157,'🔖 배합비 참조'!$B$1:$CE$1,0))/100,0),""))),"")</f>
        <v>0</v>
      </c>
      <c r="AT157" s="39" t="n">
        <f aca="false">IFERROR(IF($C157="","",IF($D157="","",IFERROR(ROUND($D157*INDEX('🔖 배합비 참조'!$B$2:$CE$83,MATCH("밤다이스",'🔖 배합비 참조'!$A$2:$A$83,0),MATCH($C157,'🔖 배합비 참조'!$B$1:$CE$1,0))/100,0),""))),"")</f>
        <v>0</v>
      </c>
      <c r="AU157" s="39" t="n">
        <f aca="false">IFERROR(IF($C157="","",IF($D157="","",IFERROR(ROUND($D157*INDEX('🔖 배합비 참조'!$B$2:$CE$83,MATCH("변성전분(타피오카전분)",'🔖 배합비 참조'!$A$2:$A$83,0),MATCH($C157,'🔖 배합비 참조'!$B$1:$CE$1,0))/100,0),""))),"")</f>
        <v>0</v>
      </c>
      <c r="AV157" s="39" t="n">
        <f aca="false">IFERROR(IF($C157="","",IF($D157="","",IFERROR(ROUND($D157*INDEX('🔖 배합비 참조'!$B$2:$CE$83,MATCH("복음땅콩분태",'🔖 배합비 참조'!$A$2:$A$83,0),MATCH($C157,'🔖 배합비 참조'!$B$1:$CE$1,0))/100,0),""))),"")</f>
        <v>0</v>
      </c>
      <c r="AW157" s="39" t="n">
        <f aca="false">IFERROR(IF($C157="","",IF($D157="","",IFERROR(ROUND($D157*INDEX('🔖 배합비 참조'!$B$2:$CE$83,MATCH("사양벌꿀(국내산)",'🔖 배합비 참조'!$A$2:$A$83,0),MATCH($C157,'🔖 배합비 참조'!$B$1:$CE$1,0))/100,0),""))),"")</f>
        <v>0</v>
      </c>
      <c r="AX157" s="39" t="n">
        <f aca="false">IFERROR(IF($C157="","",IF($D157="","",IFERROR(ROUND($D157*INDEX('🔖 배합비 참조'!$B$2:$CE$83,MATCH("생크림",'🔖 배합비 참조'!$A$2:$A$83,0),MATCH($C157,'🔖 배합비 참조'!$B$1:$CE$1,0))/100,0),""))),"")</f>
        <v>0</v>
      </c>
      <c r="AY157" s="39" t="n">
        <f aca="false">IFERROR(IF($C157="","",IF($D157="","",IFERROR(ROUND($D157*INDEX('🔖 배합비 참조'!$B$2:$CE$83,MATCH("서양호박(국내산,뉴질랜드산)",'🔖 배합비 참조'!$A$2:$A$83,0),MATCH($C157,'🔖 배합비 참조'!$B$1:$CE$1,0))/100,0),""))),"")</f>
        <v>0</v>
      </c>
      <c r="AZ157" s="39" t="n">
        <f aca="false">IFERROR(IF($C157="","",IF($D157="","",IFERROR(ROUND($D157*INDEX('🔖 배합비 참조'!$B$2:$CE$83,MATCH("설탕",'🔖 배합비 참조'!$A$2:$A$83,0),MATCH($C157,'🔖 배합비 참조'!$B$1:$CE$1,0))/100,0),""))),"")</f>
        <v>5</v>
      </c>
      <c r="BA157" s="39" t="n">
        <f aca="false">IFERROR(IF($C157="","",IF($D157="","",IFERROR(ROUND($D157*INDEX('🔖 배합비 참조'!$B$2:$CE$83,MATCH("스트로우베리 에이드 후레쉬",'🔖 배합비 참조'!$A$2:$A$83,0),MATCH($C157,'🔖 배합비 참조'!$B$1:$CE$1,0))/100,0),""))),"")</f>
        <v>0</v>
      </c>
      <c r="BB157" s="39" t="n">
        <f aca="false">IFERROR(IF($C157="","",IF($D157="","",IFERROR(ROUND($D157*INDEX('🔖 배합비 참조'!$B$2:$CE$83,MATCH("식물성기름혼합제제(분홍)",'🔖 배합비 참조'!$A$2:$A$83,0),MATCH($C157,'🔖 배합비 참조'!$B$1:$CE$1,0))/100,0),""))),"")</f>
        <v>0</v>
      </c>
      <c r="BC157" s="39" t="n">
        <f aca="false">IFERROR(IF($C157="","",IF($D157="","",IFERROR(ROUND($D157*INDEX('🔖 배합비 참조'!$B$2:$CE$83,MATCH("식물성기름혼합제제(초록)",'🔖 배합비 참조'!$A$2:$A$83,0),MATCH($C157,'🔖 배합비 참조'!$B$1:$CE$1,0))/100,0),""))),"")</f>
        <v>0</v>
      </c>
      <c r="BD157" s="39" t="n">
        <f aca="false">IFERROR(IF($C157="","",IF($D157="","",IFERROR(ROUND($D157*INDEX('🔖 배합비 참조'!$B$2:$CE$83,MATCH("식물성기름혼합제제(황색)",'🔖 배합비 참조'!$A$2:$A$83,0),MATCH($C157,'🔖 배합비 참조'!$B$1:$CE$1,0))/100,0),""))),"")</f>
        <v>0</v>
      </c>
      <c r="BE157" s="39" t="n">
        <f aca="false">IFERROR(IF($C157="","",IF($D157="","",IFERROR(ROUND($D157*INDEX('🔖 배합비 참조'!$B$2:$CE$83,MATCH("쑥가루(국내산)",'🔖 배합비 참조'!$A$2:$A$83,0),MATCH($C157,'🔖 배합비 참조'!$B$1:$CE$1,0))/100,0),""))),"")</f>
        <v>0</v>
      </c>
      <c r="BF157" s="39" t="n">
        <f aca="false">IFERROR(IF($C157="","",IF($D157="","",IFERROR(ROUND($D157*INDEX('🔖 배합비 참조'!$B$2:$CE$83,MATCH("아몬드슬라이스",'🔖 배합비 참조'!$A$2:$A$83,0),MATCH($C157,'🔖 배합비 참조'!$B$1:$CE$1,0))/100,0),""))),"")</f>
        <v>0</v>
      </c>
      <c r="BG157" s="39" t="n">
        <f aca="false">IFERROR(IF($C157="","",IF($D157="","",IFERROR(ROUND($D157*INDEX('🔖 배합비 참조'!$B$2:$CE$83,MATCH("알룰로오스(국내산)",'🔖 배합비 참조'!$A$2:$A$83,0),MATCH($C157,'🔖 배합비 참조'!$B$1:$CE$1,0))/100,0),""))),"")</f>
        <v>0</v>
      </c>
      <c r="BH157" s="39" t="n">
        <f aca="false">IFERROR(IF($C157="","",IF($D157="","",IFERROR(ROUND($D157*INDEX('🔖 배합비 참조'!$B$2:$CE$83,MATCH("연유",'🔖 배합비 참조'!$A$2:$A$83,0),MATCH($C157,'🔖 배합비 참조'!$B$1:$CE$1,0))/100,0),""))),"")</f>
        <v>0</v>
      </c>
      <c r="BI157" s="39" t="n">
        <f aca="false">IFERROR(IF($C157="","",IF($D157="","",IFERROR(ROUND($D157*INDEX('🔖 배합비 참조'!$B$2:$CE$83,MATCH("옥수수전분",'🔖 배합비 참조'!$A$2:$A$83,0),MATCH($C157,'🔖 배합비 참조'!$B$1:$CE$1,0))/100,0),""))),"")</f>
        <v>0</v>
      </c>
      <c r="BJ157" s="39" t="n">
        <f aca="false">IFERROR(IF($C157="","",IF($D157="","",IFERROR(ROUND($D157*INDEX('🔖 배합비 참조'!$B$2:$CE$83,MATCH("완두배기",'🔖 배합비 참조'!$A$2:$A$83,0),MATCH($C157,'🔖 배합비 참조'!$B$1:$CE$1,0))/100,0),""))),"")</f>
        <v>0</v>
      </c>
      <c r="BK157" s="39" t="n">
        <f aca="false">IFERROR(IF($C157="","",IF($D157="","",IFERROR(ROUND($D157*INDEX('🔖 배합비 참조'!$B$2:$CE$83,MATCH("우유(국내산)",'🔖 배합비 참조'!$A$2:$A$83,0),MATCH($C157,'🔖 배합비 참조'!$B$1:$CE$1,0))/100,0),""))),"")</f>
        <v>0</v>
      </c>
      <c r="BL157" s="39" t="n">
        <f aca="false">IFERROR(IF($C157="","",IF($D157="","",IFERROR(ROUND($D157*INDEX('🔖 배합비 참조'!$B$2:$CE$83,MATCH("자색고구마가루(중국산)",'🔖 배합비 참조'!$A$2:$A$83,0),MATCH($C157,'🔖 배합비 참조'!$B$1:$CE$1,0))/100,0),""))),"")</f>
        <v>0</v>
      </c>
      <c r="BM157" s="39" t="n">
        <f aca="false">IFERROR(IF($C157="","",IF($D157="","",IFERROR(ROUND($D157*INDEX('🔖 배합비 참조'!$B$2:$CE$83,MATCH("자연치즈(체다치즈)",'🔖 배합비 참조'!$A$2:$A$83,0),MATCH($C157,'🔖 배합비 참조'!$B$1:$CE$1,0))/100,0),""))),"")</f>
        <v>5</v>
      </c>
      <c r="BN157" s="39" t="n">
        <f aca="false">IFERROR(IF($C157="","",IF($D157="","",IFERROR(ROUND($D157*INDEX('🔖 배합비 참조'!$B$2:$CE$83,MATCH("정제수",'🔖 배합비 참조'!$A$2:$A$83,0),MATCH($C157,'🔖 배합비 참조'!$B$1:$CE$1,0))/100,0),""))),"")</f>
        <v>7</v>
      </c>
      <c r="BO157" s="39" t="n">
        <f aca="false">IFERROR(IF($C157="","",IF($D157="","",IFERROR(ROUND($D157*INDEX('🔖 배합비 참조'!$B$2:$CE$83,MATCH("젤라틴",'🔖 배합비 참조'!$A$2:$A$83,0),MATCH($C157,'🔖 배합비 참조'!$B$1:$CE$1,0))/100,0),""))),"")</f>
        <v>0</v>
      </c>
      <c r="BP157" s="39" t="n">
        <f aca="false">IFERROR(IF($C157="","",IF($D157="","",IFERROR(ROUND($D157*INDEX('🔖 배합비 참조'!$B$2:$CE$83,MATCH("조림류(백옥앙금)",'🔖 배합비 참조'!$A$2:$A$83,0),MATCH($C157,'🔖 배합비 참조'!$B$1:$CE$1,0))/100,0),""))),"")</f>
        <v>0</v>
      </c>
      <c r="BQ157" s="39" t="n">
        <f aca="false">IFERROR(IF($C157="","",IF($D157="","",IFERROR(ROUND($D157*INDEX('🔖 배합비 참조'!$B$2:$CE$83,MATCH("조림류(통팥앙금)",'🔖 배합비 참조'!$A$2:$A$83,0),MATCH($C157,'🔖 배합비 참조'!$B$1:$CE$1,0))/100,0),""))),"")</f>
        <v>0</v>
      </c>
      <c r="BR157" s="39" t="n">
        <f aca="false">IFERROR(IF($C157="","",IF($D157="","",IFERROR(ROUND($D157*INDEX('🔖 배합비 참조'!$B$2:$CE$83,MATCH("준초콜릿(외국산)",'🔖 배합비 참조'!$A$2:$A$83,0),MATCH($C157,'🔖 배합비 참조'!$B$1:$CE$1,0))/100,0),""))),"")</f>
        <v>0</v>
      </c>
      <c r="BS157" s="39" t="n">
        <f aca="false">IFERROR(IF($C157="","",IF($D157="","",IFERROR(ROUND($D157*INDEX('🔖 배합비 참조'!$B$2:$CE$83,MATCH("중력분",'🔖 배합비 참조'!$A$2:$A$83,0),MATCH($C157,'🔖 배합비 참조'!$B$1:$CE$1,0))/100,0),""))),"")</f>
        <v>0</v>
      </c>
      <c r="BT157" s="39" t="n">
        <f aca="false">IFERROR(IF($C157="","",IF($D157="","",IFERROR(ROUND($D157*INDEX('🔖 배합비 참조'!$B$2:$CE$83,MATCH("참깨(인도산,나이지리아산,탄자니아산,미얀마산)",'🔖 배합비 참조'!$A$2:$A$83,0),MATCH($C157,'🔖 배합비 참조'!$B$1:$CE$1,0))/100,0),""))),"")</f>
        <v>0</v>
      </c>
      <c r="BU157" s="39" t="n">
        <f aca="false">IFERROR(IF($C157="","",IF($D157="","",IFERROR(ROUND($D157*INDEX('🔖 배합비 참조'!$B$2:$CE$83,MATCH("찹쌀(국내산)",'🔖 배합비 참조'!$A$2:$A$83,0),MATCH($C157,'🔖 배합비 참조'!$B$1:$CE$1,0))/100,0),""))),"")</f>
        <v>0</v>
      </c>
      <c r="BV157" s="39" t="n">
        <f aca="false">IFERROR(IF($C157="","",IF($D157="","",IFERROR(ROUND($D157*INDEX('🔖 배합비 참조'!$B$2:$CE$83,MATCH("천일염",'🔖 배합비 참조'!$A$2:$A$83,0),MATCH($C157,'🔖 배합비 참조'!$B$1:$CE$1,0))/100,0),""))),"")</f>
        <v>0</v>
      </c>
      <c r="BW157" s="39" t="n">
        <f aca="false">IFERROR(IF($C157="","",IF($D157="","",IFERROR(ROUND($D157*INDEX('🔖 배합비 참조'!$B$2:$CE$83,MATCH("치즈 [크림치즈]",'🔖 배합비 참조'!$A$2:$A$83,0),MATCH($C157,'🔖 배합비 참조'!$B$1:$CE$1,0))/100,0),""))),"")</f>
        <v>0</v>
      </c>
      <c r="BX157" s="39" t="n">
        <f aca="false">IFERROR(IF($C157="","",IF($D157="","",IFERROR(ROUND($D157*INDEX('🔖 배합비 참조'!$B$2:$CE$83,MATCH("코코아가공품류(코코아분말)",'🔖 배합비 참조'!$A$2:$A$83,0),MATCH($C157,'🔖 배합비 참조'!$B$1:$CE$1,0))/100,0),""))),"")</f>
        <v>0</v>
      </c>
      <c r="BY157" s="39" t="n">
        <f aca="false">IFERROR(IF($C157="","",IF($D157="","",IFERROR(ROUND($D157*INDEX('🔖 배합비 참조'!$B$2:$CE$83,MATCH("콩기름(대두유)",'🔖 배합비 참조'!$A$2:$A$83,0),MATCH($C157,'🔖 배합비 참조'!$B$1:$CE$1,0))/100,0),""))),"")</f>
        <v>0</v>
      </c>
      <c r="BZ157" s="39" t="n">
        <f aca="false">IFERROR(IF($C157="","",IF($D157="","",IFERROR(ROUND($D157*INDEX('🔖 배합비 참조'!$B$2:$CE$83,MATCH("해바라기씨앗",'🔖 배합비 참조'!$A$2:$A$83,0),MATCH($C157,'🔖 배합비 참조'!$B$1:$CE$1,0))/100,0),""))),"")</f>
        <v>0</v>
      </c>
      <c r="CA157" s="39" t="n">
        <f aca="false">IFERROR(IF($C157="","",IF($D157="","",IFERROR(ROUND($D157*INDEX('🔖 배합비 참조'!$B$2:$CE$83,MATCH("현미(국내산)",'🔖 배합비 참조'!$A$2:$A$83,0),MATCH($C157,'🔖 배합비 참조'!$B$1:$CE$1,0))/100,0),""))),"")</f>
        <v>0</v>
      </c>
      <c r="CB157" s="39" t="n">
        <f aca="false">IFERROR(IF($C157="","",IF($D157="","",IFERROR(ROUND($D157*INDEX('🔖 배합비 참조'!$B$2:$CE$83,MATCH("현미멥쌀(국내산)",'🔖 배합비 참조'!$A$2:$A$83,0),MATCH($C157,'🔖 배합비 참조'!$B$1:$CE$1,0))/100,0),""))),"")</f>
        <v>0</v>
      </c>
      <c r="CC157" s="39" t="n">
        <f aca="false">IFERROR(IF($C157="","",IF($D157="","",IFERROR(ROUND($D157*INDEX('🔖 배합비 참조'!$B$2:$CE$83,MATCH("호두분태(미국산)",'🔖 배합비 참조'!$A$2:$A$83,0),MATCH($C157,'🔖 배합비 참조'!$B$1:$CE$1,0))/100,0),""))),"")</f>
        <v>0</v>
      </c>
      <c r="CD157" s="39" t="n">
        <f aca="false">IFERROR(IF($C157="","",IF($D157="","",IFERROR(ROUND($D157*INDEX('🔖 배합비 참조'!$B$2:$CE$83,MATCH("호박씨앗(외국산)",'🔖 배합비 참조'!$A$2:$A$83,0),MATCH($C157,'🔖 배합비 참조'!$B$1:$CE$1,0))/100,0),""))),"")</f>
        <v>0</v>
      </c>
      <c r="CE157" s="39" t="n">
        <f aca="false">IFERROR(IF($C157="","",IF($D157="","",IFERROR(ROUND($D157*INDEX('🔖 배합비 참조'!$B$2:$CE$83,MATCH("혼합제제(떡용에스텔)",'🔖 배합비 참조'!$A$2:$A$83,0),MATCH($C157,'🔖 배합비 참조'!$B$1:$CE$1,0))/100,0),""))),"")</f>
        <v>0</v>
      </c>
      <c r="CF157" s="39" t="n">
        <f aca="false">IFERROR(IF($C157="","",IF($D157="","",IFERROR(ROUND($D157*INDEX('🔖 배합비 참조'!$B$2:$CE$83,MATCH("혼합제제(스테비아)",'🔖 배합비 참조'!$A$2:$A$83,0),MATCH($C157,'🔖 배합비 참조'!$B$1:$CE$1,0))/100,0),""))),"")</f>
        <v>0</v>
      </c>
      <c r="CG157" s="39" t="n">
        <f aca="false">IFERROR(IF($C157="","",IF($D157="","",IFERROR(ROUND($D157*INDEX('🔖 배합비 참조'!$B$2:$CE$83,MATCH("화이트초콜릿",'🔖 배합비 참조'!$A$2:$A$83,0),MATCH($C157,'🔖 배합비 참조'!$B$1:$CE$1,0))/100,0),""))),"")</f>
        <v>0</v>
      </c>
      <c r="CH157" s="39" t="n">
        <f aca="false">IFERROR(IF($C157="","",IF($D157="","",IFERROR(ROUND($D157*INDEX('🔖 배합비 참조'!$B$2:$CE$83,MATCH("흑미찹쌀(국내산)",'🔖 배합비 참조'!$A$2:$A$83,0),MATCH($C157,'🔖 배합비 참조'!$B$1:$CE$1,0))/100,0),""))),"")</f>
        <v>0</v>
      </c>
      <c r="CI157" s="39" t="n">
        <f aca="false">IFERROR(IF($C157="","",IF($D157="","",IFERROR(ROUND($D157*INDEX('🔖 배합비 참조'!$B$2:$CE$83,MATCH("찰옥수수전분(미국산)",'🔖 배합비 참조'!$A$2:$A$83,0),MATCH($C157,'🔖 배합비 참조'!$B$1:$CE$1,0))/100,0),""))),"")</f>
        <v>0</v>
      </c>
      <c r="CJ157" s="40"/>
      <c r="CL157" s="1" t="s">
        <v>245</v>
      </c>
    </row>
    <row r="158" customFormat="false" ht="18" hidden="false" customHeight="true" outlineLevel="0" collapsed="false">
      <c r="A158" s="41" t="n">
        <v>154</v>
      </c>
      <c r="B158" s="36" t="n">
        <v>46029</v>
      </c>
      <c r="C158" s="37" t="s">
        <v>145</v>
      </c>
      <c r="D158" s="38" t="n">
        <v>50</v>
      </c>
      <c r="E158" s="17"/>
      <c r="F158" s="17"/>
      <c r="G158" s="42" t="n">
        <f aca="false">IFERROR(IF($C158="","",IF($D158="","",IFERROR(ROUND($D158*INDEX('🔖 배합비 참조'!$B$2:$CE$83,MATCH("간장",'🔖 배합비 참조'!$A$2:$A$83,0),MATCH($C158,'🔖 배합비 참조'!$B$1:$CE$1,0))/100,0),""))),"")</f>
        <v>0</v>
      </c>
      <c r="H158" s="42" t="n">
        <f aca="false">IFERROR(IF($C158="","",IF($D158="","",IFERROR(ROUND($D158*INDEX('🔖 배합비 참조'!$B$2:$CE$83,MATCH("강낭콩((울타리콩))",'🔖 배합비 참조'!$A$2:$A$83,0),MATCH($C158,'🔖 배합비 참조'!$B$1:$CE$1,0))/100,0),""))),"")</f>
        <v>0</v>
      </c>
      <c r="I158" s="42" t="n">
        <f aca="false">IFERROR(IF($C158="","",IF($D158="","",IFERROR(ROUND($D158*INDEX('🔖 배합비 참조'!$B$2:$CE$83,MATCH("건조딸기다이스(외국산)",'🔖 배합비 참조'!$A$2:$A$83,0),MATCH($C158,'🔖 배합비 참조'!$B$1:$CE$1,0))/100,0),""))),"")</f>
        <v>0</v>
      </c>
      <c r="J158" s="42" t="n">
        <f aca="false">IFERROR(IF($C158="","",IF($D158="","",IFERROR(ROUND($D158*INDEX('🔖 배합비 참조'!$B$2:$CE$83,MATCH("건포도",'🔖 배합비 참조'!$A$2:$A$83,0),MATCH($C158,'🔖 배합비 참조'!$B$1:$CE$1,0))/100,0),""))),"")</f>
        <v>0</v>
      </c>
      <c r="K158" s="42" t="n">
        <f aca="false">IFERROR(IF($C158="","",IF($D158="","",IFERROR(ROUND($D158*INDEX('🔖 배합비 참조'!$B$2:$CE$83,MATCH("건호박채(중국산)",'🔖 배합비 참조'!$A$2:$A$83,0),MATCH($C158,'🔖 배합비 참조'!$B$1:$CE$1,0))/100,0),""))),"")</f>
        <v>1</v>
      </c>
      <c r="L158" s="42" t="n">
        <f aca="false">IFERROR(IF($C158="","",IF($D158="","",IFERROR(ROUND($D158*INDEX('🔖 배합비 참조'!$B$2:$CE$83,MATCH("검정깨(흑임자)",'🔖 배합비 참조'!$A$2:$A$83,0),MATCH($C158,'🔖 배합비 참조'!$B$1:$CE$1,0))/100,0),""))),"")</f>
        <v>0</v>
      </c>
      <c r="M158" s="42" t="n">
        <f aca="false">IFERROR(IF($C158="","",IF($D158="","",IFERROR(ROUND($D158*INDEX('🔖 배합비 참조'!$B$2:$CE$83,MATCH("검정콩",'🔖 배합비 참조'!$A$2:$A$83,0),MATCH($C158,'🔖 배합비 참조'!$B$1:$CE$1,0))/100,0),""))),"")</f>
        <v>0</v>
      </c>
      <c r="N158" s="42" t="n">
        <f aca="false">IFERROR(IF($C158="","",IF($D158="","",IFERROR(ROUND($D158*INDEX('🔖 배합비 참조'!$B$2:$CE$83,MATCH("계피가루",'🔖 배합비 참조'!$A$2:$A$83,0),MATCH($C158,'🔖 배합비 참조'!$B$1:$CE$1,0))/100,0),""))),"")</f>
        <v>0</v>
      </c>
      <c r="O158" s="42" t="n">
        <f aca="false">IFERROR(IF($C158="","",IF($D158="","",IFERROR(ROUND($D158*INDEX('🔖 배합비 참조'!$B$2:$CE$83,MATCH("고구마가루",'🔖 배합비 참조'!$A$2:$A$83,0),MATCH($C158,'🔖 배합비 참조'!$B$1:$CE$1,0))/100,0),""))),"")</f>
        <v>0</v>
      </c>
      <c r="P158" s="42" t="n">
        <f aca="false">IFERROR(IF($C158="","",IF($D158="","",IFERROR(ROUND($D158*INDEX('🔖 배합비 참조'!$B$2:$CE$83,MATCH("고구마무스",'🔖 배합비 참조'!$A$2:$A$83,0),MATCH($C158,'🔖 배합비 참조'!$B$1:$CE$1,0))/100,0),""))),"")</f>
        <v>0</v>
      </c>
      <c r="Q158" s="42" t="n">
        <f aca="false">IFERROR(IF($C158="","",IF($D158="","",IFERROR(ROUND($D158*INDEX('🔖 배합비 참조'!$B$2:$CE$83,MATCH("고려엉겅퀴((곤드레)국내산)",'🔖 배합비 참조'!$A$2:$A$83,0),MATCH($C158,'🔖 배합비 참조'!$B$1:$CE$1,0))/100,0),""))),"")</f>
        <v>0</v>
      </c>
      <c r="R158" s="42" t="n">
        <f aca="false">IFERROR(IF($C158="","",IF($D158="","",IFERROR(ROUND($D158*INDEX('🔖 배합비 참조'!$B$2:$CE$83,MATCH("기타가공품(복분자가루)",'🔖 배합비 참조'!$A$2:$A$83,0),MATCH($C158,'🔖 배합비 참조'!$B$1:$CE$1,0))/100,0),""))),"")</f>
        <v>0</v>
      </c>
      <c r="S158" s="42" t="n">
        <f aca="false">IFERROR(IF($C158="","",IF($D158="","",IFERROR(ROUND($D158*INDEX('🔖 배합비 참조'!$B$2:$CE$83,MATCH("기타가공품(슈퍼소프트엠)",'🔖 배합비 참조'!$A$2:$A$83,0),MATCH($C158,'🔖 배합비 참조'!$B$1:$CE$1,0))/100,0),""))),"")</f>
        <v>0</v>
      </c>
      <c r="T158" s="42" t="n">
        <f aca="false">IFERROR(IF($C158="","",IF($D158="","",IFERROR(ROUND($D158*INDEX('🔖 배합비 참조'!$B$2:$CE$83,MATCH("기타가공품(파인소프트 E-티)",'🔖 배합비 참조'!$A$2:$A$83,0),MATCH($C158,'🔖 배합비 참조'!$B$1:$CE$1,0))/100,0),""))),"")</f>
        <v>0</v>
      </c>
      <c r="U158" s="42" t="n">
        <f aca="false">IFERROR(IF($C158="","",IF($D158="","",IFERROR(ROUND($D158*INDEX('🔖 배합비 참조'!$B$2:$CE$83,MATCH("기타가공품(프리미엄카스테라가루)",'🔖 배합비 참조'!$A$2:$A$83,0),MATCH($C158,'🔖 배합비 참조'!$B$1:$CE$1,0))/100,0),""))),"")</f>
        <v>0</v>
      </c>
      <c r="V158" s="42" t="n">
        <f aca="false">IFERROR(IF($C158="","",IF($D158="","",IFERROR(ROUND($D158*INDEX('🔖 배합비 참조'!$B$2:$CE$83,MATCH("기타가공품(흑임자가루)",'🔖 배합비 참조'!$A$2:$A$83,0),MATCH($C158,'🔖 배합비 참조'!$B$1:$CE$1,0))/100,0),""))),"")</f>
        <v>0</v>
      </c>
      <c r="W158" s="42" t="n">
        <f aca="false">IFERROR(IF($C158="","",IF($D158="","",IFERROR(ROUND($D158*INDEX('🔖 배합비 참조'!$B$2:$CE$83,MATCH("기타설탕(흑설탕)",'🔖 배합비 참조'!$A$2:$A$83,0),MATCH($C158,'🔖 배합비 참조'!$B$1:$CE$1,0))/100,0),""))),"")</f>
        <v>0</v>
      </c>
      <c r="X158" s="42" t="n">
        <f aca="false">IFERROR(IF($C158="","",IF($D158="","",IFERROR(ROUND($D158*INDEX('🔖 배합비 참조'!$B$2:$CE$83,MATCH("냉동쑥(국내산)",'🔖 배합비 참조'!$A$2:$A$83,0),MATCH($C158,'🔖 배합비 참조'!$B$1:$CE$1,0))/100,0),""))),"")</f>
        <v>0</v>
      </c>
      <c r="Y158" s="42" t="n">
        <f aca="false">IFERROR(IF($C158="","",IF($D158="","",IFERROR(ROUND($D158*INDEX('🔖 배합비 참조'!$B$2:$CE$83,MATCH("냉동증숙고구마(중국산)",'🔖 배합비 참조'!$A$2:$A$83,0),MATCH($C158,'🔖 배합비 참조'!$B$1:$CE$1,0))/100,0),""))),"")</f>
        <v>0</v>
      </c>
      <c r="Z158" s="42" t="n">
        <f aca="false">IFERROR(IF($C158="","",IF($D158="","",IFERROR(ROUND($D158*INDEX('🔖 배합비 참조'!$B$2:$CE$83,MATCH("녹차가루",'🔖 배합비 참조'!$A$2:$A$83,0),MATCH($C158,'🔖 배합비 참조'!$B$1:$CE$1,0))/100,0),""))),"")</f>
        <v>0</v>
      </c>
      <c r="AA158" s="42" t="n">
        <f aca="false">IFERROR(IF($C158="","",IF($D158="","",IFERROR(ROUND($D158*INDEX('🔖 배합비 참조'!$B$2:$CE$83,MATCH("다크초콜릿 컴파운드칩",'🔖 배합비 참조'!$A$2:$A$83,0),MATCH($C158,'🔖 배합비 참조'!$B$1:$CE$1,0))/100,0),""))),"")</f>
        <v>0</v>
      </c>
      <c r="AB158" s="42" t="n">
        <f aca="false">IFERROR(IF($C158="","",IF($D158="","",IFERROR(ROUND($D158*INDEX('🔖 배합비 참조'!$B$2:$CE$83,MATCH("단호박분말(중국산)",'🔖 배합비 참조'!$A$2:$A$83,0),MATCH($C158,'🔖 배합비 참조'!$B$1:$CE$1,0))/100,0),""))),"")</f>
        <v>0</v>
      </c>
      <c r="AC158" s="42" t="n">
        <f aca="false">IFERROR(IF($C158="","",IF($D158="","",IFERROR(ROUND($D158*INDEX('🔖 배합비 참조'!$B$2:$CE$83,MATCH("당류가공품(단호박농축액)",'🔖 배합비 참조'!$A$2:$A$83,0),MATCH($C158,'🔖 배합비 참조'!$B$1:$CE$1,0))/100,0),""))),"")</f>
        <v>0</v>
      </c>
      <c r="AD158" s="42" t="n">
        <f aca="false">IFERROR(IF($C158="","",IF($D158="","",IFERROR(ROUND($D158*INDEX('🔖 배합비 참조'!$B$2:$CE$83,MATCH("당류가공품(알룰로스,에리스리톨,스테비올배당체혼합)",'🔖 배합비 참조'!$A$2:$A$83,0),MATCH($C158,'🔖 배합비 참조'!$B$1:$CE$1,0))/100,0),""))),"")</f>
        <v>0</v>
      </c>
      <c r="AE158" s="42" t="n">
        <f aca="false">IFERROR(IF($C158="","",IF($D158="","",IFERROR(ROUND($D158*INDEX('🔖 배합비 참조'!$B$2:$CE$83,MATCH("당류가공품(알룰로스제로파우더)",'🔖 배합비 참조'!$A$2:$A$83,0),MATCH($C158,'🔖 배합비 참조'!$B$1:$CE$1,0))/100,0),""))),"")</f>
        <v>0</v>
      </c>
      <c r="AF158" s="42" t="n">
        <f aca="false">IFERROR(IF($C158="","",IF($D158="","",IFERROR(ROUND($D158*INDEX('🔖 배합비 참조'!$B$2:$CE$83,MATCH("당절임(완두배기)",'🔖 배합비 참조'!$A$2:$A$83,0),MATCH($C158,'🔖 배합비 참조'!$B$1:$CE$1,0))/100,0),""))),"")</f>
        <v>0</v>
      </c>
      <c r="AG158" s="42" t="n">
        <f aca="false">IFERROR(IF($C158="","",IF($D158="","",IFERROR(ROUND($D158*INDEX('🔖 배합비 참조'!$B$2:$CE$83,MATCH("대추농축액",'🔖 배합비 참조'!$A$2:$A$83,0),MATCH($C158,'🔖 배합비 참조'!$B$1:$CE$1,0))/100,0),""))),"")</f>
        <v>0</v>
      </c>
      <c r="AH158" s="42" t="n">
        <f aca="false">IFERROR(IF($C158="","",IF($D158="","",IFERROR(ROUND($D158*INDEX('🔖 배합비 참조'!$B$2:$CE$83,MATCH("대추채(국내산)",'🔖 배합비 참조'!$A$2:$A$83,0),MATCH($C158,'🔖 배합비 참조'!$B$1:$CE$1,0))/100,0),""))),"")</f>
        <v>0</v>
      </c>
      <c r="AI158" s="42" t="n">
        <f aca="false">IFERROR(IF($C158="","",IF($D158="","",IFERROR(ROUND($D158*INDEX('🔖 배합비 참조'!$B$2:$CE$83,MATCH("동부(미얀마산)",'🔖 배합비 참조'!$A$2:$A$83,0),MATCH($C158,'🔖 배합비 참조'!$B$1:$CE$1,0))/100,0),""))),"")</f>
        <v>0</v>
      </c>
      <c r="AJ158" s="42" t="n">
        <f aca="false">IFERROR(IF($C158="","",IF($D158="","",IFERROR(ROUND($D158*INDEX('🔖 배합비 참조'!$B$2:$CE$83,MATCH("두류가공품(백옥앙금)",'🔖 배합비 참조'!$A$2:$A$83,0),MATCH($C158,'🔖 배합비 참조'!$B$1:$CE$1,0))/100,0),""))),"")</f>
        <v>0</v>
      </c>
      <c r="AK158" s="42" t="n">
        <f aca="false">IFERROR(IF($C158="","",IF($D158="","",IFERROR(ROUND($D158*INDEX('🔖 배합비 참조'!$B$2:$CE$83,MATCH("두류가공품(콩고물)",'🔖 배합비 참조'!$A$2:$A$83,0),MATCH($C158,'🔖 배합비 참조'!$B$1:$CE$1,0))/100,0),""))),"")</f>
        <v>0</v>
      </c>
      <c r="AL158" s="42" t="n">
        <f aca="false">IFERROR(IF($C158="","",IF($D158="","",IFERROR(ROUND($D158*INDEX('🔖 배합비 참조'!$B$2:$CE$83,MATCH("두류가공품(통팥고물)",'🔖 배합비 참조'!$A$2:$A$83,0),MATCH($C158,'🔖 배합비 참조'!$B$1:$CE$1,0))/100,0),""))),"")</f>
        <v>0</v>
      </c>
      <c r="AM158" s="42" t="n">
        <f aca="false">IFERROR(IF($C158="","",IF($D158="","",IFERROR(ROUND($D158*INDEX('🔖 배합비 참조'!$B$2:$CE$83,MATCH("딸기레진",'🔖 배합비 참조'!$A$2:$A$83,0),MATCH($C158,'🔖 배합비 참조'!$B$1:$CE$1,0))/100,0),""))),"")</f>
        <v>0</v>
      </c>
      <c r="AN158" s="42" t="n">
        <f aca="false">IFERROR(IF($C158="","",IF($D158="","",IFERROR(ROUND($D158*INDEX('🔖 배합비 참조'!$B$2:$CE$83,MATCH("딸기분말(스트로우베리에이드(분말))",'🔖 배합비 참조'!$A$2:$A$83,0),MATCH($C158,'🔖 배합비 참조'!$B$1:$CE$1,0))/100,0),""))),"")</f>
        <v>0</v>
      </c>
      <c r="AO158" s="42" t="n">
        <f aca="false">IFERROR(IF($C158="","",IF($D158="","",IFERROR(ROUND($D158*INDEX('🔖 배합비 참조'!$B$2:$CE$83,MATCH("마스카포네치즈",'🔖 배합비 참조'!$A$2:$A$83,0),MATCH($C158,'🔖 배합비 참조'!$B$1:$CE$1,0))/100,0),""))),"")</f>
        <v>0</v>
      </c>
      <c r="AP158" s="42" t="n">
        <f aca="false">IFERROR(IF($C158="","",IF($D158="","",IFERROR(ROUND($D158*INDEX('🔖 배합비 참조'!$B$2:$CE$83,MATCH("마카다미아분태(호주산)",'🔖 배합비 참조'!$A$2:$A$83,0),MATCH($C158,'🔖 배합비 참조'!$B$1:$CE$1,0))/100,0),""))),"")</f>
        <v>0</v>
      </c>
      <c r="AQ158" s="42" t="n">
        <f aca="false">IFERROR(IF($C158="","",IF($D158="","",IFERROR(ROUND($D158*INDEX('🔖 배합비 참조'!$B$2:$CE$83,MATCH("멥쌀(국내산)",'🔖 배합비 참조'!$A$2:$A$83,0),MATCH($C158,'🔖 배합비 참조'!$B$1:$CE$1,0))/100,0),""))),"")</f>
        <v>31</v>
      </c>
      <c r="AR158" s="42" t="n">
        <f aca="false">IFERROR(IF($C158="","",IF($D158="","",IFERROR(ROUND($D158*INDEX('🔖 배합비 참조'!$B$2:$CE$83,MATCH("모시잎(국내산)",'🔖 배합비 참조'!$A$2:$A$83,0),MATCH($C158,'🔖 배합비 참조'!$B$1:$CE$1,0))/100,0),""))),"")</f>
        <v>0</v>
      </c>
      <c r="AS158" s="42" t="n">
        <f aca="false">IFERROR(IF($C158="","",IF($D158="","",IFERROR(ROUND($D158*INDEX('🔖 배합비 참조'!$B$2:$CE$83,MATCH("물엿(저당물엿)",'🔖 배합비 참조'!$A$2:$A$83,0),MATCH($C158,'🔖 배합비 참조'!$B$1:$CE$1,0))/100,0),""))),"")</f>
        <v>0</v>
      </c>
      <c r="AT158" s="42" t="n">
        <f aca="false">IFERROR(IF($C158="","",IF($D158="","",IFERROR(ROUND($D158*INDEX('🔖 배합비 참조'!$B$2:$CE$83,MATCH("밤다이스",'🔖 배합비 참조'!$A$2:$A$83,0),MATCH($C158,'🔖 배합비 참조'!$B$1:$CE$1,0))/100,0),""))),"")</f>
        <v>1</v>
      </c>
      <c r="AU158" s="42" t="n">
        <f aca="false">IFERROR(IF($C158="","",IF($D158="","",IFERROR(ROUND($D158*INDEX('🔖 배합비 참조'!$B$2:$CE$83,MATCH("변성전분(타피오카전분)",'🔖 배합비 참조'!$A$2:$A$83,0),MATCH($C158,'🔖 배합비 참조'!$B$1:$CE$1,0))/100,0),""))),"")</f>
        <v>0</v>
      </c>
      <c r="AV158" s="42" t="n">
        <f aca="false">IFERROR(IF($C158="","",IF($D158="","",IFERROR(ROUND($D158*INDEX('🔖 배합비 참조'!$B$2:$CE$83,MATCH("복음땅콩분태",'🔖 배합비 참조'!$A$2:$A$83,0),MATCH($C158,'🔖 배합비 참조'!$B$1:$CE$1,0))/100,0),""))),"")</f>
        <v>0</v>
      </c>
      <c r="AW158" s="42" t="n">
        <f aca="false">IFERROR(IF($C158="","",IF($D158="","",IFERROR(ROUND($D158*INDEX('🔖 배합비 참조'!$B$2:$CE$83,MATCH("사양벌꿀(국내산)",'🔖 배합비 참조'!$A$2:$A$83,0),MATCH($C158,'🔖 배합비 참조'!$B$1:$CE$1,0))/100,0),""))),"")</f>
        <v>0</v>
      </c>
      <c r="AX158" s="42" t="n">
        <f aca="false">IFERROR(IF($C158="","",IF($D158="","",IFERROR(ROUND($D158*INDEX('🔖 배합비 참조'!$B$2:$CE$83,MATCH("생크림",'🔖 배합비 참조'!$A$2:$A$83,0),MATCH($C158,'🔖 배합비 참조'!$B$1:$CE$1,0))/100,0),""))),"")</f>
        <v>0</v>
      </c>
      <c r="AY158" s="42" t="n">
        <f aca="false">IFERROR(IF($C158="","",IF($D158="","",IFERROR(ROUND($D158*INDEX('🔖 배합비 참조'!$B$2:$CE$83,MATCH("서양호박(국내산,뉴질랜드산)",'🔖 배합비 참조'!$A$2:$A$83,0),MATCH($C158,'🔖 배합비 참조'!$B$1:$CE$1,0))/100,0),""))),"")</f>
        <v>2</v>
      </c>
      <c r="AZ158" s="42" t="n">
        <f aca="false">IFERROR(IF($C158="","",IF($D158="","",IFERROR(ROUND($D158*INDEX('🔖 배합비 참조'!$B$2:$CE$83,MATCH("설탕",'🔖 배합비 참조'!$A$2:$A$83,0),MATCH($C158,'🔖 배합비 참조'!$B$1:$CE$1,0))/100,0),""))),"")</f>
        <v>5</v>
      </c>
      <c r="BA158" s="42" t="n">
        <f aca="false">IFERROR(IF($C158="","",IF($D158="","",IFERROR(ROUND($D158*INDEX('🔖 배합비 참조'!$B$2:$CE$83,MATCH("스트로우베리 에이드 후레쉬",'🔖 배합비 참조'!$A$2:$A$83,0),MATCH($C158,'🔖 배합비 참조'!$B$1:$CE$1,0))/100,0),""))),"")</f>
        <v>0</v>
      </c>
      <c r="BB158" s="42" t="n">
        <f aca="false">IFERROR(IF($C158="","",IF($D158="","",IFERROR(ROUND($D158*INDEX('🔖 배합비 참조'!$B$2:$CE$83,MATCH("식물성기름혼합제제(분홍)",'🔖 배합비 참조'!$A$2:$A$83,0),MATCH($C158,'🔖 배합비 참조'!$B$1:$CE$1,0))/100,0),""))),"")</f>
        <v>0</v>
      </c>
      <c r="BC158" s="42" t="n">
        <f aca="false">IFERROR(IF($C158="","",IF($D158="","",IFERROR(ROUND($D158*INDEX('🔖 배합비 참조'!$B$2:$CE$83,MATCH("식물성기름혼합제제(초록)",'🔖 배합비 참조'!$A$2:$A$83,0),MATCH($C158,'🔖 배합비 참조'!$B$1:$CE$1,0))/100,0),""))),"")</f>
        <v>0</v>
      </c>
      <c r="BD158" s="42" t="n">
        <f aca="false">IFERROR(IF($C158="","",IF($D158="","",IFERROR(ROUND($D158*INDEX('🔖 배합비 참조'!$B$2:$CE$83,MATCH("식물성기름혼합제제(황색)",'🔖 배합비 참조'!$A$2:$A$83,0),MATCH($C158,'🔖 배합비 참조'!$B$1:$CE$1,0))/100,0),""))),"")</f>
        <v>0</v>
      </c>
      <c r="BE158" s="42" t="n">
        <f aca="false">IFERROR(IF($C158="","",IF($D158="","",IFERROR(ROUND($D158*INDEX('🔖 배합비 참조'!$B$2:$CE$83,MATCH("쑥가루(국내산)",'🔖 배합비 참조'!$A$2:$A$83,0),MATCH($C158,'🔖 배합비 참조'!$B$1:$CE$1,0))/100,0),""))),"")</f>
        <v>0</v>
      </c>
      <c r="BF158" s="42" t="n">
        <f aca="false">IFERROR(IF($C158="","",IF($D158="","",IFERROR(ROUND($D158*INDEX('🔖 배합비 참조'!$B$2:$CE$83,MATCH("아몬드슬라이스",'🔖 배합비 참조'!$A$2:$A$83,0),MATCH($C158,'🔖 배합비 참조'!$B$1:$CE$1,0))/100,0),""))),"")</f>
        <v>1</v>
      </c>
      <c r="BG158" s="42" t="n">
        <f aca="false">IFERROR(IF($C158="","",IF($D158="","",IFERROR(ROUND($D158*INDEX('🔖 배합비 참조'!$B$2:$CE$83,MATCH("알룰로오스(국내산)",'🔖 배합비 참조'!$A$2:$A$83,0),MATCH($C158,'🔖 배합비 참조'!$B$1:$CE$1,0))/100,0),""))),"")</f>
        <v>0</v>
      </c>
      <c r="BH158" s="42" t="n">
        <f aca="false">IFERROR(IF($C158="","",IF($D158="","",IFERROR(ROUND($D158*INDEX('🔖 배합비 참조'!$B$2:$CE$83,MATCH("연유",'🔖 배합비 참조'!$A$2:$A$83,0),MATCH($C158,'🔖 배합비 참조'!$B$1:$CE$1,0))/100,0),""))),"")</f>
        <v>0</v>
      </c>
      <c r="BI158" s="42" t="n">
        <f aca="false">IFERROR(IF($C158="","",IF($D158="","",IFERROR(ROUND($D158*INDEX('🔖 배합비 참조'!$B$2:$CE$83,MATCH("옥수수전분",'🔖 배합비 참조'!$A$2:$A$83,0),MATCH($C158,'🔖 배합비 참조'!$B$1:$CE$1,0))/100,0),""))),"")</f>
        <v>0</v>
      </c>
      <c r="BJ158" s="42" t="n">
        <f aca="false">IFERROR(IF($C158="","",IF($D158="","",IFERROR(ROUND($D158*INDEX('🔖 배합비 참조'!$B$2:$CE$83,MATCH("완두배기",'🔖 배합비 참조'!$A$2:$A$83,0),MATCH($C158,'🔖 배합비 참조'!$B$1:$CE$1,0))/100,0),""))),"")</f>
        <v>0</v>
      </c>
      <c r="BK158" s="42" t="n">
        <f aca="false">IFERROR(IF($C158="","",IF($D158="","",IFERROR(ROUND($D158*INDEX('🔖 배합비 참조'!$B$2:$CE$83,MATCH("우유(국내산)",'🔖 배합비 참조'!$A$2:$A$83,0),MATCH($C158,'🔖 배합비 참조'!$B$1:$CE$1,0))/100,0),""))),"")</f>
        <v>0</v>
      </c>
      <c r="BL158" s="42" t="n">
        <f aca="false">IFERROR(IF($C158="","",IF($D158="","",IFERROR(ROUND($D158*INDEX('🔖 배합비 참조'!$B$2:$CE$83,MATCH("자색고구마가루(중국산)",'🔖 배합비 참조'!$A$2:$A$83,0),MATCH($C158,'🔖 배합비 참조'!$B$1:$CE$1,0))/100,0),""))),"")</f>
        <v>0</v>
      </c>
      <c r="BM158" s="42" t="n">
        <f aca="false">IFERROR(IF($C158="","",IF($D158="","",IFERROR(ROUND($D158*INDEX('🔖 배합비 참조'!$B$2:$CE$83,MATCH("자연치즈(체다치즈)",'🔖 배합비 참조'!$A$2:$A$83,0),MATCH($C158,'🔖 배합비 참조'!$B$1:$CE$1,0))/100,0),""))),"")</f>
        <v>0</v>
      </c>
      <c r="BN158" s="42" t="n">
        <f aca="false">IFERROR(IF($C158="","",IF($D158="","",IFERROR(ROUND($D158*INDEX('🔖 배합비 참조'!$B$2:$CE$83,MATCH("정제수",'🔖 배합비 참조'!$A$2:$A$83,0),MATCH($C158,'🔖 배합비 참조'!$B$1:$CE$1,0))/100,0),""))),"")</f>
        <v>8</v>
      </c>
      <c r="BO158" s="42" t="n">
        <f aca="false">IFERROR(IF($C158="","",IF($D158="","",IFERROR(ROUND($D158*INDEX('🔖 배합비 참조'!$B$2:$CE$83,MATCH("젤라틴",'🔖 배합비 참조'!$A$2:$A$83,0),MATCH($C158,'🔖 배합비 참조'!$B$1:$CE$1,0))/100,0),""))),"")</f>
        <v>0</v>
      </c>
      <c r="BP158" s="42" t="n">
        <f aca="false">IFERROR(IF($C158="","",IF($D158="","",IFERROR(ROUND($D158*INDEX('🔖 배합비 참조'!$B$2:$CE$83,MATCH("조림류(백옥앙금)",'🔖 배합비 참조'!$A$2:$A$83,0),MATCH($C158,'🔖 배합비 참조'!$B$1:$CE$1,0))/100,0),""))),"")</f>
        <v>0</v>
      </c>
      <c r="BQ158" s="42" t="n">
        <f aca="false">IFERROR(IF($C158="","",IF($D158="","",IFERROR(ROUND($D158*INDEX('🔖 배합비 참조'!$B$2:$CE$83,MATCH("조림류(통팥앙금)",'🔖 배합비 참조'!$A$2:$A$83,0),MATCH($C158,'🔖 배합비 참조'!$B$1:$CE$1,0))/100,0),""))),"")</f>
        <v>0</v>
      </c>
      <c r="BR158" s="42" t="n">
        <f aca="false">IFERROR(IF($C158="","",IF($D158="","",IFERROR(ROUND($D158*INDEX('🔖 배합비 참조'!$B$2:$CE$83,MATCH("준초콜릿(외국산)",'🔖 배합비 참조'!$A$2:$A$83,0),MATCH($C158,'🔖 배합비 참조'!$B$1:$CE$1,0))/100,0),""))),"")</f>
        <v>0</v>
      </c>
      <c r="BS158" s="42" t="n">
        <f aca="false">IFERROR(IF($C158="","",IF($D158="","",IFERROR(ROUND($D158*INDEX('🔖 배합비 참조'!$B$2:$CE$83,MATCH("중력분",'🔖 배합비 참조'!$A$2:$A$83,0),MATCH($C158,'🔖 배합비 참조'!$B$1:$CE$1,0))/100,0),""))),"")</f>
        <v>0</v>
      </c>
      <c r="BT158" s="42" t="n">
        <f aca="false">IFERROR(IF($C158="","",IF($D158="","",IFERROR(ROUND($D158*INDEX('🔖 배합비 참조'!$B$2:$CE$83,MATCH("참깨(인도산,나이지리아산,탄자니아산,미얀마산)",'🔖 배합비 참조'!$A$2:$A$83,0),MATCH($C158,'🔖 배합비 참조'!$B$1:$CE$1,0))/100,0),""))),"")</f>
        <v>0</v>
      </c>
      <c r="BU158" s="42" t="n">
        <f aca="false">IFERROR(IF($C158="","",IF($D158="","",IFERROR(ROUND($D158*INDEX('🔖 배합비 참조'!$B$2:$CE$83,MATCH("찹쌀(국내산)",'🔖 배합비 참조'!$A$2:$A$83,0),MATCH($C158,'🔖 배합비 참조'!$B$1:$CE$1,0))/100,0),""))),"")</f>
        <v>0</v>
      </c>
      <c r="BV158" s="42" t="n">
        <f aca="false">IFERROR(IF($C158="","",IF($D158="","",IFERROR(ROUND($D158*INDEX('🔖 배합비 참조'!$B$2:$CE$83,MATCH("천일염",'🔖 배합비 참조'!$A$2:$A$83,0),MATCH($C158,'🔖 배합비 참조'!$B$1:$CE$1,0))/100,0),""))),"")</f>
        <v>1</v>
      </c>
      <c r="BW158" s="42" t="n">
        <f aca="false">IFERROR(IF($C158="","",IF($D158="","",IFERROR(ROUND($D158*INDEX('🔖 배합비 참조'!$B$2:$CE$83,MATCH("치즈 [크림치즈]",'🔖 배합비 참조'!$A$2:$A$83,0),MATCH($C158,'🔖 배합비 참조'!$B$1:$CE$1,0))/100,0),""))),"")</f>
        <v>0</v>
      </c>
      <c r="BX158" s="42" t="n">
        <f aca="false">IFERROR(IF($C158="","",IF($D158="","",IFERROR(ROUND($D158*INDEX('🔖 배합비 참조'!$B$2:$CE$83,MATCH("코코아가공품류(코코아분말)",'🔖 배합비 참조'!$A$2:$A$83,0),MATCH($C158,'🔖 배합비 참조'!$B$1:$CE$1,0))/100,0),""))),"")</f>
        <v>0</v>
      </c>
      <c r="BY158" s="42" t="n">
        <f aca="false">IFERROR(IF($C158="","",IF($D158="","",IFERROR(ROUND($D158*INDEX('🔖 배합비 참조'!$B$2:$CE$83,MATCH("콩기름(대두유)",'🔖 배합비 참조'!$A$2:$A$83,0),MATCH($C158,'🔖 배합비 참조'!$B$1:$CE$1,0))/100,0),""))),"")</f>
        <v>0</v>
      </c>
      <c r="BZ158" s="42" t="n">
        <f aca="false">IFERROR(IF($C158="","",IF($D158="","",IFERROR(ROUND($D158*INDEX('🔖 배합비 참조'!$B$2:$CE$83,MATCH("해바라기씨앗",'🔖 배합비 참조'!$A$2:$A$83,0),MATCH($C158,'🔖 배합비 참조'!$B$1:$CE$1,0))/100,0),""))),"")</f>
        <v>0</v>
      </c>
      <c r="CA158" s="42" t="n">
        <f aca="false">IFERROR(IF($C158="","",IF($D158="","",IFERROR(ROUND($D158*INDEX('🔖 배합비 참조'!$B$2:$CE$83,MATCH("현미(국내산)",'🔖 배합비 참조'!$A$2:$A$83,0),MATCH($C158,'🔖 배합비 참조'!$B$1:$CE$1,0))/100,0),""))),"")</f>
        <v>0</v>
      </c>
      <c r="CB158" s="42" t="n">
        <f aca="false">IFERROR(IF($C158="","",IF($D158="","",IFERROR(ROUND($D158*INDEX('🔖 배합비 참조'!$B$2:$CE$83,MATCH("현미멥쌀(국내산)",'🔖 배합비 참조'!$A$2:$A$83,0),MATCH($C158,'🔖 배합비 참조'!$B$1:$CE$1,0))/100,0),""))),"")</f>
        <v>0</v>
      </c>
      <c r="CC158" s="42" t="n">
        <f aca="false">IFERROR(IF($C158="","",IF($D158="","",IFERROR(ROUND($D158*INDEX('🔖 배합비 참조'!$B$2:$CE$83,MATCH("호두분태(미국산)",'🔖 배합비 참조'!$A$2:$A$83,0),MATCH($C158,'🔖 배합비 참조'!$B$1:$CE$1,0))/100,0),""))),"")</f>
        <v>0</v>
      </c>
      <c r="CD158" s="42" t="n">
        <f aca="false">IFERROR(IF($C158="","",IF($D158="","",IFERROR(ROUND($D158*INDEX('🔖 배합비 참조'!$B$2:$CE$83,MATCH("호박씨앗(외국산)",'🔖 배합비 참조'!$A$2:$A$83,0),MATCH($C158,'🔖 배합비 참조'!$B$1:$CE$1,0))/100,0),""))),"")</f>
        <v>0</v>
      </c>
      <c r="CE158" s="42" t="n">
        <f aca="false">IFERROR(IF($C158="","",IF($D158="","",IFERROR(ROUND($D158*INDEX('🔖 배합비 참조'!$B$2:$CE$83,MATCH("혼합제제(떡용에스텔)",'🔖 배합비 참조'!$A$2:$A$83,0),MATCH($C158,'🔖 배합비 참조'!$B$1:$CE$1,0))/100,0),""))),"")</f>
        <v>0</v>
      </c>
      <c r="CF158" s="42" t="n">
        <f aca="false">IFERROR(IF($C158="","",IF($D158="","",IFERROR(ROUND($D158*INDEX('🔖 배합비 참조'!$B$2:$CE$83,MATCH("혼합제제(스테비아)",'🔖 배합비 참조'!$A$2:$A$83,0),MATCH($C158,'🔖 배합비 참조'!$B$1:$CE$1,0))/100,0),""))),"")</f>
        <v>0</v>
      </c>
      <c r="CG158" s="42" t="n">
        <f aca="false">IFERROR(IF($C158="","",IF($D158="","",IFERROR(ROUND($D158*INDEX('🔖 배합비 참조'!$B$2:$CE$83,MATCH("화이트초콜릿",'🔖 배합비 참조'!$A$2:$A$83,0),MATCH($C158,'🔖 배합비 참조'!$B$1:$CE$1,0))/100,0),""))),"")</f>
        <v>0</v>
      </c>
      <c r="CH158" s="42" t="n">
        <f aca="false">IFERROR(IF($C158="","",IF($D158="","",IFERROR(ROUND($D158*INDEX('🔖 배합비 참조'!$B$2:$CE$83,MATCH("흑미찹쌀(국내산)",'🔖 배합비 참조'!$A$2:$A$83,0),MATCH($C158,'🔖 배합비 참조'!$B$1:$CE$1,0))/100,0),""))),"")</f>
        <v>0</v>
      </c>
      <c r="CI158" s="42" t="n">
        <f aca="false">IFERROR(IF($C158="","",IF($D158="","",IFERROR(ROUND($D158*INDEX('🔖 배합비 참조'!$B$2:$CE$83,MATCH("찰옥수수전분(미국산)",'🔖 배합비 참조'!$A$2:$A$83,0),MATCH($C158,'🔖 배합비 참조'!$B$1:$CE$1,0))/100,0),""))),"")</f>
        <v>0</v>
      </c>
      <c r="CJ158" s="40"/>
      <c r="CL158" s="1" t="s">
        <v>245</v>
      </c>
    </row>
    <row r="159" customFormat="false" ht="18" hidden="false" customHeight="true" outlineLevel="0" collapsed="false">
      <c r="A159" s="35" t="n">
        <v>155</v>
      </c>
      <c r="B159" s="36" t="n">
        <v>46029</v>
      </c>
      <c r="C159" s="37" t="s">
        <v>192</v>
      </c>
      <c r="D159" s="38" t="n">
        <v>25</v>
      </c>
      <c r="E159" s="13"/>
      <c r="F159" s="13"/>
      <c r="G159" s="39" t="n">
        <f aca="false">IFERROR(IF($C159="","",IF($D159="","",IFERROR(ROUND($D159*INDEX('🔖 배합비 참조'!$B$2:$CE$83,MATCH("간장",'🔖 배합비 참조'!$A$2:$A$83,0),MATCH($C159,'🔖 배합비 참조'!$B$1:$CE$1,0))/100,0),""))),"")</f>
        <v>0</v>
      </c>
      <c r="H159" s="39" t="n">
        <f aca="false">IFERROR(IF($C159="","",IF($D159="","",IFERROR(ROUND($D159*INDEX('🔖 배합비 참조'!$B$2:$CE$83,MATCH("강낭콩((울타리콩))",'🔖 배합비 참조'!$A$2:$A$83,0),MATCH($C159,'🔖 배합비 참조'!$B$1:$CE$1,0))/100,0),""))),"")</f>
        <v>0</v>
      </c>
      <c r="I159" s="39" t="n">
        <f aca="false">IFERROR(IF($C159="","",IF($D159="","",IFERROR(ROUND($D159*INDEX('🔖 배합비 참조'!$B$2:$CE$83,MATCH("건조딸기다이스(외국산)",'🔖 배합비 참조'!$A$2:$A$83,0),MATCH($C159,'🔖 배합비 참조'!$B$1:$CE$1,0))/100,0),""))),"")</f>
        <v>0</v>
      </c>
      <c r="J159" s="39" t="n">
        <f aca="false">IFERROR(IF($C159="","",IF($D159="","",IFERROR(ROUND($D159*INDEX('🔖 배합비 참조'!$B$2:$CE$83,MATCH("건포도",'🔖 배합비 참조'!$A$2:$A$83,0),MATCH($C159,'🔖 배합비 참조'!$B$1:$CE$1,0))/100,0),""))),"")</f>
        <v>0</v>
      </c>
      <c r="K159" s="39" t="n">
        <f aca="false">IFERROR(IF($C159="","",IF($D159="","",IFERROR(ROUND($D159*INDEX('🔖 배합비 참조'!$B$2:$CE$83,MATCH("건호박채(중국산)",'🔖 배합비 참조'!$A$2:$A$83,0),MATCH($C159,'🔖 배합비 참조'!$B$1:$CE$1,0))/100,0),""))),"")</f>
        <v>0</v>
      </c>
      <c r="L159" s="39" t="n">
        <f aca="false">IFERROR(IF($C159="","",IF($D159="","",IFERROR(ROUND($D159*INDEX('🔖 배합비 참조'!$B$2:$CE$83,MATCH("검정깨(흑임자)",'🔖 배합비 참조'!$A$2:$A$83,0),MATCH($C159,'🔖 배합비 참조'!$B$1:$CE$1,0))/100,0),""))),"")</f>
        <v>0</v>
      </c>
      <c r="M159" s="39" t="n">
        <f aca="false">IFERROR(IF($C159="","",IF($D159="","",IFERROR(ROUND($D159*INDEX('🔖 배합비 참조'!$B$2:$CE$83,MATCH("검정콩",'🔖 배합비 참조'!$A$2:$A$83,0),MATCH($C159,'🔖 배합비 참조'!$B$1:$CE$1,0))/100,0),""))),"")</f>
        <v>0</v>
      </c>
      <c r="N159" s="39" t="n">
        <f aca="false">IFERROR(IF($C159="","",IF($D159="","",IFERROR(ROUND($D159*INDEX('🔖 배합비 참조'!$B$2:$CE$83,MATCH("계피가루",'🔖 배합비 참조'!$A$2:$A$83,0),MATCH($C159,'🔖 배합비 참조'!$B$1:$CE$1,0))/100,0),""))),"")</f>
        <v>0</v>
      </c>
      <c r="O159" s="39" t="n">
        <f aca="false">IFERROR(IF($C159="","",IF($D159="","",IFERROR(ROUND($D159*INDEX('🔖 배합비 참조'!$B$2:$CE$83,MATCH("고구마가루",'🔖 배합비 참조'!$A$2:$A$83,0),MATCH($C159,'🔖 배합비 참조'!$B$1:$CE$1,0))/100,0),""))),"")</f>
        <v>0</v>
      </c>
      <c r="P159" s="39" t="n">
        <f aca="false">IFERROR(IF($C159="","",IF($D159="","",IFERROR(ROUND($D159*INDEX('🔖 배합비 참조'!$B$2:$CE$83,MATCH("고구마무스",'🔖 배합비 참조'!$A$2:$A$83,0),MATCH($C159,'🔖 배합비 참조'!$B$1:$CE$1,0))/100,0),""))),"")</f>
        <v>0</v>
      </c>
      <c r="Q159" s="39" t="n">
        <f aca="false">IFERROR(IF($C159="","",IF($D159="","",IFERROR(ROUND($D159*INDEX('🔖 배합비 참조'!$B$2:$CE$83,MATCH("고려엉겅퀴((곤드레)국내산)",'🔖 배합비 참조'!$A$2:$A$83,0),MATCH($C159,'🔖 배합비 참조'!$B$1:$CE$1,0))/100,0),""))),"")</f>
        <v>0</v>
      </c>
      <c r="R159" s="39" t="n">
        <f aca="false">IFERROR(IF($C159="","",IF($D159="","",IFERROR(ROUND($D159*INDEX('🔖 배합비 참조'!$B$2:$CE$83,MATCH("기타가공품(복분자가루)",'🔖 배합비 참조'!$A$2:$A$83,0),MATCH($C159,'🔖 배합비 참조'!$B$1:$CE$1,0))/100,0),""))),"")</f>
        <v>0</v>
      </c>
      <c r="S159" s="39" t="n">
        <f aca="false">IFERROR(IF($C159="","",IF($D159="","",IFERROR(ROUND($D159*INDEX('🔖 배합비 참조'!$B$2:$CE$83,MATCH("기타가공품(슈퍼소프트엠)",'🔖 배합비 참조'!$A$2:$A$83,0),MATCH($C159,'🔖 배합비 참조'!$B$1:$CE$1,0))/100,0),""))),"")</f>
        <v>0</v>
      </c>
      <c r="T159" s="39" t="n">
        <f aca="false">IFERROR(IF($C159="","",IF($D159="","",IFERROR(ROUND($D159*INDEX('🔖 배합비 참조'!$B$2:$CE$83,MATCH("기타가공품(파인소프트 E-티)",'🔖 배합비 참조'!$A$2:$A$83,0),MATCH($C159,'🔖 배합비 참조'!$B$1:$CE$1,0))/100,0),""))),"")</f>
        <v>0</v>
      </c>
      <c r="U159" s="39" t="n">
        <f aca="false">IFERROR(IF($C159="","",IF($D159="","",IFERROR(ROUND($D159*INDEX('🔖 배합비 참조'!$B$2:$CE$83,MATCH("기타가공품(프리미엄카스테라가루)",'🔖 배합비 참조'!$A$2:$A$83,0),MATCH($C159,'🔖 배합비 참조'!$B$1:$CE$1,0))/100,0),""))),"")</f>
        <v>0</v>
      </c>
      <c r="V159" s="39" t="n">
        <f aca="false">IFERROR(IF($C159="","",IF($D159="","",IFERROR(ROUND($D159*INDEX('🔖 배합비 참조'!$B$2:$CE$83,MATCH("기타가공품(흑임자가루)",'🔖 배합비 참조'!$A$2:$A$83,0),MATCH($C159,'🔖 배합비 참조'!$B$1:$CE$1,0))/100,0),""))),"")</f>
        <v>0</v>
      </c>
      <c r="W159" s="39" t="n">
        <f aca="false">IFERROR(IF($C159="","",IF($D159="","",IFERROR(ROUND($D159*INDEX('🔖 배합비 참조'!$B$2:$CE$83,MATCH("기타설탕(흑설탕)",'🔖 배합비 참조'!$A$2:$A$83,0),MATCH($C159,'🔖 배합비 참조'!$B$1:$CE$1,0))/100,0),""))),"")</f>
        <v>0</v>
      </c>
      <c r="X159" s="39" t="n">
        <f aca="false">IFERROR(IF($C159="","",IF($D159="","",IFERROR(ROUND($D159*INDEX('🔖 배합비 참조'!$B$2:$CE$83,MATCH("냉동쑥(국내산)",'🔖 배합비 참조'!$A$2:$A$83,0),MATCH($C159,'🔖 배합비 참조'!$B$1:$CE$1,0))/100,0),""))),"")</f>
        <v>0</v>
      </c>
      <c r="Y159" s="39" t="n">
        <f aca="false">IFERROR(IF($C159="","",IF($D159="","",IFERROR(ROUND($D159*INDEX('🔖 배합비 참조'!$B$2:$CE$83,MATCH("냉동증숙고구마(중국산)",'🔖 배합비 참조'!$A$2:$A$83,0),MATCH($C159,'🔖 배합비 참조'!$B$1:$CE$1,0))/100,0),""))),"")</f>
        <v>0</v>
      </c>
      <c r="Z159" s="39" t="n">
        <f aca="false">IFERROR(IF($C159="","",IF($D159="","",IFERROR(ROUND($D159*INDEX('🔖 배합비 참조'!$B$2:$CE$83,MATCH("녹차가루",'🔖 배합비 참조'!$A$2:$A$83,0),MATCH($C159,'🔖 배합비 참조'!$B$1:$CE$1,0))/100,0),""))),"")</f>
        <v>0</v>
      </c>
      <c r="AA159" s="39" t="n">
        <f aca="false">IFERROR(IF($C159="","",IF($D159="","",IFERROR(ROUND($D159*INDEX('🔖 배합비 참조'!$B$2:$CE$83,MATCH("다크초콜릿 컴파운드칩",'🔖 배합비 참조'!$A$2:$A$83,0),MATCH($C159,'🔖 배합비 참조'!$B$1:$CE$1,0))/100,0),""))),"")</f>
        <v>0</v>
      </c>
      <c r="AB159" s="39" t="n">
        <f aca="false">IFERROR(IF($C159="","",IF($D159="","",IFERROR(ROUND($D159*INDEX('🔖 배합비 참조'!$B$2:$CE$83,MATCH("단호박분말(중국산)",'🔖 배합비 참조'!$A$2:$A$83,0),MATCH($C159,'🔖 배합비 참조'!$B$1:$CE$1,0))/100,0),""))),"")</f>
        <v>0</v>
      </c>
      <c r="AC159" s="39" t="n">
        <f aca="false">IFERROR(IF($C159="","",IF($D159="","",IFERROR(ROUND($D159*INDEX('🔖 배합비 참조'!$B$2:$CE$83,MATCH("당류가공품(단호박농축액)",'🔖 배합비 참조'!$A$2:$A$83,0),MATCH($C159,'🔖 배합비 참조'!$B$1:$CE$1,0))/100,0),""))),"")</f>
        <v>0</v>
      </c>
      <c r="AD159" s="39" t="n">
        <f aca="false">IFERROR(IF($C159="","",IF($D159="","",IFERROR(ROUND($D159*INDEX('🔖 배합비 참조'!$B$2:$CE$83,MATCH("당류가공품(알룰로스,에리스리톨,스테비올배당체혼합)",'🔖 배합비 참조'!$A$2:$A$83,0),MATCH($C159,'🔖 배합비 참조'!$B$1:$CE$1,0))/100,0),""))),"")</f>
        <v>0</v>
      </c>
      <c r="AE159" s="39" t="n">
        <f aca="false">IFERROR(IF($C159="","",IF($D159="","",IFERROR(ROUND($D159*INDEX('🔖 배합비 참조'!$B$2:$CE$83,MATCH("당류가공품(알룰로스제로파우더)",'🔖 배합비 참조'!$A$2:$A$83,0),MATCH($C159,'🔖 배합비 참조'!$B$1:$CE$1,0))/100,0),""))),"")</f>
        <v>0</v>
      </c>
      <c r="AF159" s="39" t="n">
        <f aca="false">IFERROR(IF($C159="","",IF($D159="","",IFERROR(ROUND($D159*INDEX('🔖 배합비 참조'!$B$2:$CE$83,MATCH("당절임(완두배기)",'🔖 배합비 참조'!$A$2:$A$83,0),MATCH($C159,'🔖 배합비 참조'!$B$1:$CE$1,0))/100,0),""))),"")</f>
        <v>0</v>
      </c>
      <c r="AG159" s="39" t="n">
        <f aca="false">IFERROR(IF($C159="","",IF($D159="","",IFERROR(ROUND($D159*INDEX('🔖 배합비 참조'!$B$2:$CE$83,MATCH("대추농축액",'🔖 배합비 참조'!$A$2:$A$83,0),MATCH($C159,'🔖 배합비 참조'!$B$1:$CE$1,0))/100,0),""))),"")</f>
        <v>0</v>
      </c>
      <c r="AH159" s="39" t="n">
        <f aca="false">IFERROR(IF($C159="","",IF($D159="","",IFERROR(ROUND($D159*INDEX('🔖 배합비 참조'!$B$2:$CE$83,MATCH("대추채(국내산)",'🔖 배합비 참조'!$A$2:$A$83,0),MATCH($C159,'🔖 배합비 참조'!$B$1:$CE$1,0))/100,0),""))),"")</f>
        <v>0</v>
      </c>
      <c r="AI159" s="39" t="n">
        <f aca="false">IFERROR(IF($C159="","",IF($D159="","",IFERROR(ROUND($D159*INDEX('🔖 배합비 참조'!$B$2:$CE$83,MATCH("동부(미얀마산)",'🔖 배합비 참조'!$A$2:$A$83,0),MATCH($C159,'🔖 배합비 참조'!$B$1:$CE$1,0))/100,0),""))),"")</f>
        <v>0</v>
      </c>
      <c r="AJ159" s="39" t="n">
        <f aca="false">IFERROR(IF($C159="","",IF($D159="","",IFERROR(ROUND($D159*INDEX('🔖 배합비 참조'!$B$2:$CE$83,MATCH("두류가공품(백옥앙금)",'🔖 배합비 참조'!$A$2:$A$83,0),MATCH($C159,'🔖 배합비 참조'!$B$1:$CE$1,0))/100,0),""))),"")</f>
        <v>0</v>
      </c>
      <c r="AK159" s="39" t="n">
        <f aca="false">IFERROR(IF($C159="","",IF($D159="","",IFERROR(ROUND($D159*INDEX('🔖 배합비 참조'!$B$2:$CE$83,MATCH("두류가공품(콩고물)",'🔖 배합비 참조'!$A$2:$A$83,0),MATCH($C159,'🔖 배합비 참조'!$B$1:$CE$1,0))/100,0),""))),"")</f>
        <v>0</v>
      </c>
      <c r="AL159" s="39" t="n">
        <f aca="false">IFERROR(IF($C159="","",IF($D159="","",IFERROR(ROUND($D159*INDEX('🔖 배합비 참조'!$B$2:$CE$83,MATCH("두류가공품(통팥고물)",'🔖 배합비 참조'!$A$2:$A$83,0),MATCH($C159,'🔖 배합비 참조'!$B$1:$CE$1,0))/100,0),""))),"")</f>
        <v>0</v>
      </c>
      <c r="AM159" s="39" t="n">
        <f aca="false">IFERROR(IF($C159="","",IF($D159="","",IFERROR(ROUND($D159*INDEX('🔖 배합비 참조'!$B$2:$CE$83,MATCH("딸기레진",'🔖 배합비 참조'!$A$2:$A$83,0),MATCH($C159,'🔖 배합비 참조'!$B$1:$CE$1,0))/100,0),""))),"")</f>
        <v>0</v>
      </c>
      <c r="AN159" s="39" t="n">
        <f aca="false">IFERROR(IF($C159="","",IF($D159="","",IFERROR(ROUND($D159*INDEX('🔖 배합비 참조'!$B$2:$CE$83,MATCH("딸기분말(스트로우베리에이드(분말))",'🔖 배합비 참조'!$A$2:$A$83,0),MATCH($C159,'🔖 배합비 참조'!$B$1:$CE$1,0))/100,0),""))),"")</f>
        <v>0</v>
      </c>
      <c r="AO159" s="39" t="n">
        <f aca="false">IFERROR(IF($C159="","",IF($D159="","",IFERROR(ROUND($D159*INDEX('🔖 배합비 참조'!$B$2:$CE$83,MATCH("마스카포네치즈",'🔖 배합비 참조'!$A$2:$A$83,0),MATCH($C159,'🔖 배합비 참조'!$B$1:$CE$1,0))/100,0),""))),"")</f>
        <v>0</v>
      </c>
      <c r="AP159" s="39" t="n">
        <f aca="false">IFERROR(IF($C159="","",IF($D159="","",IFERROR(ROUND($D159*INDEX('🔖 배합비 참조'!$B$2:$CE$83,MATCH("마카다미아분태(호주산)",'🔖 배합비 참조'!$A$2:$A$83,0),MATCH($C159,'🔖 배합비 참조'!$B$1:$CE$1,0))/100,0),""))),"")</f>
        <v>0</v>
      </c>
      <c r="AQ159" s="39" t="n">
        <f aca="false">IFERROR(IF($C159="","",IF($D159="","",IFERROR(ROUND($D159*INDEX('🔖 배합비 참조'!$B$2:$CE$83,MATCH("멥쌀(국내산)",'🔖 배합비 참조'!$A$2:$A$83,0),MATCH($C159,'🔖 배합비 참조'!$B$1:$CE$1,0))/100,0),""))),"")</f>
        <v>17</v>
      </c>
      <c r="AR159" s="39" t="n">
        <f aca="false">IFERROR(IF($C159="","",IF($D159="","",IFERROR(ROUND($D159*INDEX('🔖 배합비 참조'!$B$2:$CE$83,MATCH("모시잎(국내산)",'🔖 배합비 참조'!$A$2:$A$83,0),MATCH($C159,'🔖 배합비 참조'!$B$1:$CE$1,0))/100,0),""))),"")</f>
        <v>0</v>
      </c>
      <c r="AS159" s="39" t="n">
        <f aca="false">IFERROR(IF($C159="","",IF($D159="","",IFERROR(ROUND($D159*INDEX('🔖 배합비 참조'!$B$2:$CE$83,MATCH("물엿(저당물엿)",'🔖 배합비 참조'!$A$2:$A$83,0),MATCH($C159,'🔖 배합비 참조'!$B$1:$CE$1,0))/100,0),""))),"")</f>
        <v>0</v>
      </c>
      <c r="AT159" s="39" t="n">
        <f aca="false">IFERROR(IF($C159="","",IF($D159="","",IFERROR(ROUND($D159*INDEX('🔖 배합비 참조'!$B$2:$CE$83,MATCH("밤다이스",'🔖 배합비 참조'!$A$2:$A$83,0),MATCH($C159,'🔖 배합비 참조'!$B$1:$CE$1,0))/100,0),""))),"")</f>
        <v>0</v>
      </c>
      <c r="AU159" s="39" t="n">
        <f aca="false">IFERROR(IF($C159="","",IF($D159="","",IFERROR(ROUND($D159*INDEX('🔖 배합비 참조'!$B$2:$CE$83,MATCH("변성전분(타피오카전분)",'🔖 배합비 참조'!$A$2:$A$83,0),MATCH($C159,'🔖 배합비 참조'!$B$1:$CE$1,0))/100,0),""))),"")</f>
        <v>0</v>
      </c>
      <c r="AV159" s="39" t="n">
        <f aca="false">IFERROR(IF($C159="","",IF($D159="","",IFERROR(ROUND($D159*INDEX('🔖 배합비 참조'!$B$2:$CE$83,MATCH("복음땅콩분태",'🔖 배합비 참조'!$A$2:$A$83,0),MATCH($C159,'🔖 배합비 참조'!$B$1:$CE$1,0))/100,0),""))),"")</f>
        <v>0</v>
      </c>
      <c r="AW159" s="39" t="n">
        <f aca="false">IFERROR(IF($C159="","",IF($D159="","",IFERROR(ROUND($D159*INDEX('🔖 배합비 참조'!$B$2:$CE$83,MATCH("사양벌꿀(국내산)",'🔖 배합비 참조'!$A$2:$A$83,0),MATCH($C159,'🔖 배합비 참조'!$B$1:$CE$1,0))/100,0),""))),"")</f>
        <v>0</v>
      </c>
      <c r="AX159" s="39" t="n">
        <f aca="false">IFERROR(IF($C159="","",IF($D159="","",IFERROR(ROUND($D159*INDEX('🔖 배합비 참조'!$B$2:$CE$83,MATCH("생크림",'🔖 배합비 참조'!$A$2:$A$83,0),MATCH($C159,'🔖 배합비 참조'!$B$1:$CE$1,0))/100,0),""))),"")</f>
        <v>0</v>
      </c>
      <c r="AY159" s="39" t="n">
        <f aca="false">IFERROR(IF($C159="","",IF($D159="","",IFERROR(ROUND($D159*INDEX('🔖 배합비 참조'!$B$2:$CE$83,MATCH("서양호박(국내산,뉴질랜드산)",'🔖 배합비 참조'!$A$2:$A$83,0),MATCH($C159,'🔖 배합비 참조'!$B$1:$CE$1,0))/100,0),""))),"")</f>
        <v>0</v>
      </c>
      <c r="AZ159" s="39" t="n">
        <f aca="false">IFERROR(IF($C159="","",IF($D159="","",IFERROR(ROUND($D159*INDEX('🔖 배합비 참조'!$B$2:$CE$83,MATCH("설탕",'🔖 배합비 참조'!$A$2:$A$83,0),MATCH($C159,'🔖 배합비 참조'!$B$1:$CE$1,0))/100,0),""))),"")</f>
        <v>3</v>
      </c>
      <c r="BA159" s="39" t="n">
        <f aca="false">IFERROR(IF($C159="","",IF($D159="","",IFERROR(ROUND($D159*INDEX('🔖 배합비 참조'!$B$2:$CE$83,MATCH("스트로우베리 에이드 후레쉬",'🔖 배합비 참조'!$A$2:$A$83,0),MATCH($C159,'🔖 배합비 참조'!$B$1:$CE$1,0))/100,0),""))),"")</f>
        <v>0</v>
      </c>
      <c r="BB159" s="39" t="n">
        <f aca="false">IFERROR(IF($C159="","",IF($D159="","",IFERROR(ROUND($D159*INDEX('🔖 배합비 참조'!$B$2:$CE$83,MATCH("식물성기름혼합제제(분홍)",'🔖 배합비 참조'!$A$2:$A$83,0),MATCH($C159,'🔖 배합비 참조'!$B$1:$CE$1,0))/100,0),""))),"")</f>
        <v>0</v>
      </c>
      <c r="BC159" s="39" t="n">
        <f aca="false">IFERROR(IF($C159="","",IF($D159="","",IFERROR(ROUND($D159*INDEX('🔖 배합비 참조'!$B$2:$CE$83,MATCH("식물성기름혼합제제(초록)",'🔖 배합비 참조'!$A$2:$A$83,0),MATCH($C159,'🔖 배합비 참조'!$B$1:$CE$1,0))/100,0),""))),"")</f>
        <v>0</v>
      </c>
      <c r="BD159" s="39" t="n">
        <f aca="false">IFERROR(IF($C159="","",IF($D159="","",IFERROR(ROUND($D159*INDEX('🔖 배합비 참조'!$B$2:$CE$83,MATCH("식물성기름혼합제제(황색)",'🔖 배합비 참조'!$A$2:$A$83,0),MATCH($C159,'🔖 배합비 참조'!$B$1:$CE$1,0))/100,0),""))),"")</f>
        <v>0</v>
      </c>
      <c r="BE159" s="39" t="n">
        <f aca="false">IFERROR(IF($C159="","",IF($D159="","",IFERROR(ROUND($D159*INDEX('🔖 배합비 참조'!$B$2:$CE$83,MATCH("쑥가루(국내산)",'🔖 배합비 참조'!$A$2:$A$83,0),MATCH($C159,'🔖 배합비 참조'!$B$1:$CE$1,0))/100,0),""))),"")</f>
        <v>0</v>
      </c>
      <c r="BF159" s="39" t="n">
        <f aca="false">IFERROR(IF($C159="","",IF($D159="","",IFERROR(ROUND($D159*INDEX('🔖 배합비 참조'!$B$2:$CE$83,MATCH("아몬드슬라이스",'🔖 배합비 참조'!$A$2:$A$83,0),MATCH($C159,'🔖 배합비 참조'!$B$1:$CE$1,0))/100,0),""))),"")</f>
        <v>0</v>
      </c>
      <c r="BG159" s="39" t="n">
        <f aca="false">IFERROR(IF($C159="","",IF($D159="","",IFERROR(ROUND($D159*INDEX('🔖 배합비 참조'!$B$2:$CE$83,MATCH("알룰로오스(국내산)",'🔖 배합비 참조'!$A$2:$A$83,0),MATCH($C159,'🔖 배합비 참조'!$B$1:$CE$1,0))/100,0),""))),"")</f>
        <v>0</v>
      </c>
      <c r="BH159" s="39" t="n">
        <f aca="false">IFERROR(IF($C159="","",IF($D159="","",IFERROR(ROUND($D159*INDEX('🔖 배합비 참조'!$B$2:$CE$83,MATCH("연유",'🔖 배합비 참조'!$A$2:$A$83,0),MATCH($C159,'🔖 배합비 참조'!$B$1:$CE$1,0))/100,0),""))),"")</f>
        <v>0</v>
      </c>
      <c r="BI159" s="39" t="n">
        <f aca="false">IFERROR(IF($C159="","",IF($D159="","",IFERROR(ROUND($D159*INDEX('🔖 배합비 참조'!$B$2:$CE$83,MATCH("옥수수전분",'🔖 배합비 참조'!$A$2:$A$83,0),MATCH($C159,'🔖 배합비 참조'!$B$1:$CE$1,0))/100,0),""))),"")</f>
        <v>0</v>
      </c>
      <c r="BJ159" s="39" t="n">
        <f aca="false">IFERROR(IF($C159="","",IF($D159="","",IFERROR(ROUND($D159*INDEX('🔖 배합비 참조'!$B$2:$CE$83,MATCH("완두배기",'🔖 배합비 참조'!$A$2:$A$83,0),MATCH($C159,'🔖 배합비 참조'!$B$1:$CE$1,0))/100,0),""))),"")</f>
        <v>0</v>
      </c>
      <c r="BK159" s="39" t="n">
        <f aca="false">IFERROR(IF($C159="","",IF($D159="","",IFERROR(ROUND($D159*INDEX('🔖 배합비 참조'!$B$2:$CE$83,MATCH("우유(국내산)",'🔖 배합비 참조'!$A$2:$A$83,0),MATCH($C159,'🔖 배합비 참조'!$B$1:$CE$1,0))/100,0),""))),"")</f>
        <v>0</v>
      </c>
      <c r="BL159" s="39" t="n">
        <f aca="false">IFERROR(IF($C159="","",IF($D159="","",IFERROR(ROUND($D159*INDEX('🔖 배합비 참조'!$B$2:$CE$83,MATCH("자색고구마가루(중국산)",'🔖 배합비 참조'!$A$2:$A$83,0),MATCH($C159,'🔖 배합비 참조'!$B$1:$CE$1,0))/100,0),""))),"")</f>
        <v>0</v>
      </c>
      <c r="BM159" s="39" t="n">
        <f aca="false">IFERROR(IF($C159="","",IF($D159="","",IFERROR(ROUND($D159*INDEX('🔖 배합비 참조'!$B$2:$CE$83,MATCH("자연치즈(체다치즈)",'🔖 배합비 참조'!$A$2:$A$83,0),MATCH($C159,'🔖 배합비 참조'!$B$1:$CE$1,0))/100,0),""))),"")</f>
        <v>0</v>
      </c>
      <c r="BN159" s="39" t="n">
        <f aca="false">IFERROR(IF($C159="","",IF($D159="","",IFERROR(ROUND($D159*INDEX('🔖 배합비 참조'!$B$2:$CE$83,MATCH("정제수",'🔖 배합비 참조'!$A$2:$A$83,0),MATCH($C159,'🔖 배합비 참조'!$B$1:$CE$1,0))/100,0),""))),"")</f>
        <v>4</v>
      </c>
      <c r="BO159" s="39" t="n">
        <f aca="false">IFERROR(IF($C159="","",IF($D159="","",IFERROR(ROUND($D159*INDEX('🔖 배합비 참조'!$B$2:$CE$83,MATCH("젤라틴",'🔖 배합비 참조'!$A$2:$A$83,0),MATCH($C159,'🔖 배합비 참조'!$B$1:$CE$1,0))/100,0),""))),"")</f>
        <v>0</v>
      </c>
      <c r="BP159" s="39" t="n">
        <f aca="false">IFERROR(IF($C159="","",IF($D159="","",IFERROR(ROUND($D159*INDEX('🔖 배합비 참조'!$B$2:$CE$83,MATCH("조림류(백옥앙금)",'🔖 배합비 참조'!$A$2:$A$83,0),MATCH($C159,'🔖 배합비 참조'!$B$1:$CE$1,0))/100,0),""))),"")</f>
        <v>0</v>
      </c>
      <c r="BQ159" s="39" t="n">
        <f aca="false">IFERROR(IF($C159="","",IF($D159="","",IFERROR(ROUND($D159*INDEX('🔖 배합비 참조'!$B$2:$CE$83,MATCH("조림류(통팥앙금)",'🔖 배합비 참조'!$A$2:$A$83,0),MATCH($C159,'🔖 배합비 참조'!$B$1:$CE$1,0))/100,0),""))),"")</f>
        <v>0</v>
      </c>
      <c r="BR159" s="39" t="n">
        <f aca="false">IFERROR(IF($C159="","",IF($D159="","",IFERROR(ROUND($D159*INDEX('🔖 배합비 참조'!$B$2:$CE$83,MATCH("준초콜릿(외국산)",'🔖 배합비 참조'!$A$2:$A$83,0),MATCH($C159,'🔖 배합비 참조'!$B$1:$CE$1,0))/100,0),""))),"")</f>
        <v>1</v>
      </c>
      <c r="BS159" s="39" t="n">
        <f aca="false">IFERROR(IF($C159="","",IF($D159="","",IFERROR(ROUND($D159*INDEX('🔖 배합비 참조'!$B$2:$CE$83,MATCH("중력분",'🔖 배합비 참조'!$A$2:$A$83,0),MATCH($C159,'🔖 배합비 참조'!$B$1:$CE$1,0))/100,0),""))),"")</f>
        <v>0</v>
      </c>
      <c r="BT159" s="39" t="n">
        <f aca="false">IFERROR(IF($C159="","",IF($D159="","",IFERROR(ROUND($D159*INDEX('🔖 배합비 참조'!$B$2:$CE$83,MATCH("참깨(인도산,나이지리아산,탄자니아산,미얀마산)",'🔖 배합비 참조'!$A$2:$A$83,0),MATCH($C159,'🔖 배합비 참조'!$B$1:$CE$1,0))/100,0),""))),"")</f>
        <v>0</v>
      </c>
      <c r="BU159" s="39" t="n">
        <f aca="false">IFERROR(IF($C159="","",IF($D159="","",IFERROR(ROUND($D159*INDEX('🔖 배합비 참조'!$B$2:$CE$83,MATCH("찹쌀(국내산)",'🔖 배합비 참조'!$A$2:$A$83,0),MATCH($C159,'🔖 배합비 참조'!$B$1:$CE$1,0))/100,0),""))),"")</f>
        <v>0</v>
      </c>
      <c r="BV159" s="39" t="n">
        <f aca="false">IFERROR(IF($C159="","",IF($D159="","",IFERROR(ROUND($D159*INDEX('🔖 배합비 참조'!$B$2:$CE$83,MATCH("천일염",'🔖 배합비 참조'!$A$2:$A$83,0),MATCH($C159,'🔖 배합비 참조'!$B$1:$CE$1,0))/100,0),""))),"")</f>
        <v>0</v>
      </c>
      <c r="BW159" s="39" t="n">
        <f aca="false">IFERROR(IF($C159="","",IF($D159="","",IFERROR(ROUND($D159*INDEX('🔖 배합비 참조'!$B$2:$CE$83,MATCH("치즈 [크림치즈]",'🔖 배합비 참조'!$A$2:$A$83,0),MATCH($C159,'🔖 배합비 참조'!$B$1:$CE$1,0))/100,0),""))),"")</f>
        <v>0</v>
      </c>
      <c r="BX159" s="39" t="n">
        <f aca="false">IFERROR(IF($C159="","",IF($D159="","",IFERROR(ROUND($D159*INDEX('🔖 배합비 참조'!$B$2:$CE$83,MATCH("코코아가공품류(코코아분말)",'🔖 배합비 참조'!$A$2:$A$83,0),MATCH($C159,'🔖 배합비 참조'!$B$1:$CE$1,0))/100,0),""))),"")</f>
        <v>0</v>
      </c>
      <c r="BY159" s="39" t="n">
        <f aca="false">IFERROR(IF($C159="","",IF($D159="","",IFERROR(ROUND($D159*INDEX('🔖 배합비 참조'!$B$2:$CE$83,MATCH("콩기름(대두유)",'🔖 배합비 참조'!$A$2:$A$83,0),MATCH($C159,'🔖 배합비 참조'!$B$1:$CE$1,0))/100,0),""))),"")</f>
        <v>0</v>
      </c>
      <c r="BZ159" s="39" t="n">
        <f aca="false">IFERROR(IF($C159="","",IF($D159="","",IFERROR(ROUND($D159*INDEX('🔖 배합비 참조'!$B$2:$CE$83,MATCH("해바라기씨앗",'🔖 배합비 참조'!$A$2:$A$83,0),MATCH($C159,'🔖 배합비 참조'!$B$1:$CE$1,0))/100,0),""))),"")</f>
        <v>0</v>
      </c>
      <c r="CA159" s="39" t="n">
        <f aca="false">IFERROR(IF($C159="","",IF($D159="","",IFERROR(ROUND($D159*INDEX('🔖 배합비 참조'!$B$2:$CE$83,MATCH("현미(국내산)",'🔖 배합비 참조'!$A$2:$A$83,0),MATCH($C159,'🔖 배합비 참조'!$B$1:$CE$1,0))/100,0),""))),"")</f>
        <v>0</v>
      </c>
      <c r="CB159" s="39" t="n">
        <f aca="false">IFERROR(IF($C159="","",IF($D159="","",IFERROR(ROUND($D159*INDEX('🔖 배합비 참조'!$B$2:$CE$83,MATCH("현미멥쌀(국내산)",'🔖 배합비 참조'!$A$2:$A$83,0),MATCH($C159,'🔖 배합비 참조'!$B$1:$CE$1,0))/100,0),""))),"")</f>
        <v>0</v>
      </c>
      <c r="CC159" s="39" t="n">
        <f aca="false">IFERROR(IF($C159="","",IF($D159="","",IFERROR(ROUND($D159*INDEX('🔖 배합비 참조'!$B$2:$CE$83,MATCH("호두분태(미국산)",'🔖 배합비 참조'!$A$2:$A$83,0),MATCH($C159,'🔖 배합비 참조'!$B$1:$CE$1,0))/100,0),""))),"")</f>
        <v>0</v>
      </c>
      <c r="CD159" s="39" t="n">
        <f aca="false">IFERROR(IF($C159="","",IF($D159="","",IFERROR(ROUND($D159*INDEX('🔖 배합비 참조'!$B$2:$CE$83,MATCH("호박씨앗(외국산)",'🔖 배합비 참조'!$A$2:$A$83,0),MATCH($C159,'🔖 배합비 참조'!$B$1:$CE$1,0))/100,0),""))),"")</f>
        <v>0</v>
      </c>
      <c r="CE159" s="39" t="n">
        <f aca="false">IFERROR(IF($C159="","",IF($D159="","",IFERROR(ROUND($D159*INDEX('🔖 배합비 참조'!$B$2:$CE$83,MATCH("혼합제제(떡용에스텔)",'🔖 배합비 참조'!$A$2:$A$83,0),MATCH($C159,'🔖 배합비 참조'!$B$1:$CE$1,0))/100,0),""))),"")</f>
        <v>0</v>
      </c>
      <c r="CF159" s="39" t="n">
        <f aca="false">IFERROR(IF($C159="","",IF($D159="","",IFERROR(ROUND($D159*INDEX('🔖 배합비 참조'!$B$2:$CE$83,MATCH("혼합제제(스테비아)",'🔖 배합비 참조'!$A$2:$A$83,0),MATCH($C159,'🔖 배합비 참조'!$B$1:$CE$1,0))/100,0),""))),"")</f>
        <v>0</v>
      </c>
      <c r="CG159" s="39" t="n">
        <f aca="false">IFERROR(IF($C159="","",IF($D159="","",IFERROR(ROUND($D159*INDEX('🔖 배합비 참조'!$B$2:$CE$83,MATCH("화이트초콜릿",'🔖 배합비 참조'!$A$2:$A$83,0),MATCH($C159,'🔖 배합비 참조'!$B$1:$CE$1,0))/100,0),""))),"")</f>
        <v>0</v>
      </c>
      <c r="CH159" s="39" t="n">
        <f aca="false">IFERROR(IF($C159="","",IF($D159="","",IFERROR(ROUND($D159*INDEX('🔖 배합비 참조'!$B$2:$CE$83,MATCH("흑미찹쌀(국내산)",'🔖 배합비 참조'!$A$2:$A$83,0),MATCH($C159,'🔖 배합비 참조'!$B$1:$CE$1,0))/100,0),""))),"")</f>
        <v>0</v>
      </c>
      <c r="CI159" s="39" t="n">
        <f aca="false">IFERROR(IF($C159="","",IF($D159="","",IFERROR(ROUND($D159*INDEX('🔖 배합비 참조'!$B$2:$CE$83,MATCH("찰옥수수전분(미국산)",'🔖 배합비 참조'!$A$2:$A$83,0),MATCH($C159,'🔖 배합비 참조'!$B$1:$CE$1,0))/100,0),""))),"")</f>
        <v>0</v>
      </c>
      <c r="CJ159" s="40"/>
      <c r="CL159" s="1" t="s">
        <v>245</v>
      </c>
    </row>
    <row r="160" customFormat="false" ht="18" hidden="false" customHeight="true" outlineLevel="0" collapsed="false">
      <c r="A160" s="41" t="n">
        <v>156</v>
      </c>
      <c r="B160" s="36" t="n">
        <v>46029</v>
      </c>
      <c r="C160" s="37" t="s">
        <v>195</v>
      </c>
      <c r="D160" s="38" t="n">
        <v>50</v>
      </c>
      <c r="E160" s="17"/>
      <c r="F160" s="17"/>
      <c r="G160" s="42" t="n">
        <f aca="false">IFERROR(IF($C160="","",IF($D160="","",IFERROR(ROUND($D160*INDEX('🔖 배합비 참조'!$B$2:$CE$83,MATCH("간장",'🔖 배합비 참조'!$A$2:$A$83,0),MATCH($C160,'🔖 배합비 참조'!$B$1:$CE$1,0))/100,0),""))),"")</f>
        <v>0</v>
      </c>
      <c r="H160" s="42" t="n">
        <f aca="false">IFERROR(IF($C160="","",IF($D160="","",IFERROR(ROUND($D160*INDEX('🔖 배합비 참조'!$B$2:$CE$83,MATCH("강낭콩((울타리콩))",'🔖 배합비 참조'!$A$2:$A$83,0),MATCH($C160,'🔖 배합비 참조'!$B$1:$CE$1,0))/100,0),""))),"")</f>
        <v>0</v>
      </c>
      <c r="I160" s="42" t="n">
        <f aca="false">IFERROR(IF($C160="","",IF($D160="","",IFERROR(ROUND($D160*INDEX('🔖 배합비 참조'!$B$2:$CE$83,MATCH("건조딸기다이스(외국산)",'🔖 배합비 참조'!$A$2:$A$83,0),MATCH($C160,'🔖 배합비 참조'!$B$1:$CE$1,0))/100,0),""))),"")</f>
        <v>0</v>
      </c>
      <c r="J160" s="42" t="n">
        <f aca="false">IFERROR(IF($C160="","",IF($D160="","",IFERROR(ROUND($D160*INDEX('🔖 배합비 참조'!$B$2:$CE$83,MATCH("건포도",'🔖 배합비 참조'!$A$2:$A$83,0),MATCH($C160,'🔖 배합비 참조'!$B$1:$CE$1,0))/100,0),""))),"")</f>
        <v>0</v>
      </c>
      <c r="K160" s="42" t="n">
        <f aca="false">IFERROR(IF($C160="","",IF($D160="","",IFERROR(ROUND($D160*INDEX('🔖 배합비 참조'!$B$2:$CE$83,MATCH("건호박채(중국산)",'🔖 배합비 참조'!$A$2:$A$83,0),MATCH($C160,'🔖 배합비 참조'!$B$1:$CE$1,0))/100,0),""))),"")</f>
        <v>0</v>
      </c>
      <c r="L160" s="42" t="n">
        <f aca="false">IFERROR(IF($C160="","",IF($D160="","",IFERROR(ROUND($D160*INDEX('🔖 배합비 참조'!$B$2:$CE$83,MATCH("검정깨(흑임자)",'🔖 배합비 참조'!$A$2:$A$83,0),MATCH($C160,'🔖 배합비 참조'!$B$1:$CE$1,0))/100,0),""))),"")</f>
        <v>0</v>
      </c>
      <c r="M160" s="42" t="n">
        <f aca="false">IFERROR(IF($C160="","",IF($D160="","",IFERROR(ROUND($D160*INDEX('🔖 배합비 참조'!$B$2:$CE$83,MATCH("검정콩",'🔖 배합비 참조'!$A$2:$A$83,0),MATCH($C160,'🔖 배합비 참조'!$B$1:$CE$1,0))/100,0),""))),"")</f>
        <v>0</v>
      </c>
      <c r="N160" s="42" t="n">
        <f aca="false">IFERROR(IF($C160="","",IF($D160="","",IFERROR(ROUND($D160*INDEX('🔖 배합비 참조'!$B$2:$CE$83,MATCH("계피가루",'🔖 배합비 참조'!$A$2:$A$83,0),MATCH($C160,'🔖 배합비 참조'!$B$1:$CE$1,0))/100,0),""))),"")</f>
        <v>0</v>
      </c>
      <c r="O160" s="42" t="n">
        <f aca="false">IFERROR(IF($C160="","",IF($D160="","",IFERROR(ROUND($D160*INDEX('🔖 배합비 참조'!$B$2:$CE$83,MATCH("고구마가루",'🔖 배합비 참조'!$A$2:$A$83,0),MATCH($C160,'🔖 배합비 참조'!$B$1:$CE$1,0))/100,0),""))),"")</f>
        <v>0</v>
      </c>
      <c r="P160" s="42" t="n">
        <f aca="false">IFERROR(IF($C160="","",IF($D160="","",IFERROR(ROUND($D160*INDEX('🔖 배합비 참조'!$B$2:$CE$83,MATCH("고구마무스",'🔖 배합비 참조'!$A$2:$A$83,0),MATCH($C160,'🔖 배합비 참조'!$B$1:$CE$1,0))/100,0),""))),"")</f>
        <v>0</v>
      </c>
      <c r="Q160" s="42" t="n">
        <f aca="false">IFERROR(IF($C160="","",IF($D160="","",IFERROR(ROUND($D160*INDEX('🔖 배합비 참조'!$B$2:$CE$83,MATCH("고려엉겅퀴((곤드레)국내산)",'🔖 배합비 참조'!$A$2:$A$83,0),MATCH($C160,'🔖 배합비 참조'!$B$1:$CE$1,0))/100,0),""))),"")</f>
        <v>0</v>
      </c>
      <c r="R160" s="42" t="n">
        <f aca="false">IFERROR(IF($C160="","",IF($D160="","",IFERROR(ROUND($D160*INDEX('🔖 배합비 참조'!$B$2:$CE$83,MATCH("기타가공품(복분자가루)",'🔖 배합비 참조'!$A$2:$A$83,0),MATCH($C160,'🔖 배합비 참조'!$B$1:$CE$1,0))/100,0),""))),"")</f>
        <v>0</v>
      </c>
      <c r="S160" s="42" t="n">
        <f aca="false">IFERROR(IF($C160="","",IF($D160="","",IFERROR(ROUND($D160*INDEX('🔖 배합비 참조'!$B$2:$CE$83,MATCH("기타가공품(슈퍼소프트엠)",'🔖 배합비 참조'!$A$2:$A$83,0),MATCH($C160,'🔖 배합비 참조'!$B$1:$CE$1,0))/100,0),""))),"")</f>
        <v>0</v>
      </c>
      <c r="T160" s="42" t="n">
        <f aca="false">IFERROR(IF($C160="","",IF($D160="","",IFERROR(ROUND($D160*INDEX('🔖 배합비 참조'!$B$2:$CE$83,MATCH("기타가공품(파인소프트 E-티)",'🔖 배합비 참조'!$A$2:$A$83,0),MATCH($C160,'🔖 배합비 참조'!$B$1:$CE$1,0))/100,0),""))),"")</f>
        <v>0</v>
      </c>
      <c r="U160" s="42" t="n">
        <f aca="false">IFERROR(IF($C160="","",IF($D160="","",IFERROR(ROUND($D160*INDEX('🔖 배합비 참조'!$B$2:$CE$83,MATCH("기타가공품(프리미엄카스테라가루)",'🔖 배합비 참조'!$A$2:$A$83,0),MATCH($C160,'🔖 배합비 참조'!$B$1:$CE$1,0))/100,0),""))),"")</f>
        <v>8</v>
      </c>
      <c r="V160" s="42" t="n">
        <f aca="false">IFERROR(IF($C160="","",IF($D160="","",IFERROR(ROUND($D160*INDEX('🔖 배합비 참조'!$B$2:$CE$83,MATCH("기타가공품(흑임자가루)",'🔖 배합비 참조'!$A$2:$A$83,0),MATCH($C160,'🔖 배합비 참조'!$B$1:$CE$1,0))/100,0),""))),"")</f>
        <v>0</v>
      </c>
      <c r="W160" s="42" t="n">
        <f aca="false">IFERROR(IF($C160="","",IF($D160="","",IFERROR(ROUND($D160*INDEX('🔖 배합비 참조'!$B$2:$CE$83,MATCH("기타설탕(흑설탕)",'🔖 배합비 참조'!$A$2:$A$83,0),MATCH($C160,'🔖 배합비 참조'!$B$1:$CE$1,0))/100,0),""))),"")</f>
        <v>0</v>
      </c>
      <c r="X160" s="42" t="n">
        <f aca="false">IFERROR(IF($C160="","",IF($D160="","",IFERROR(ROUND($D160*INDEX('🔖 배합비 참조'!$B$2:$CE$83,MATCH("냉동쑥(국내산)",'🔖 배합비 참조'!$A$2:$A$83,0),MATCH($C160,'🔖 배합비 참조'!$B$1:$CE$1,0))/100,0),""))),"")</f>
        <v>0</v>
      </c>
      <c r="Y160" s="42" t="n">
        <f aca="false">IFERROR(IF($C160="","",IF($D160="","",IFERROR(ROUND($D160*INDEX('🔖 배합비 참조'!$B$2:$CE$83,MATCH("냉동증숙고구마(중국산)",'🔖 배합비 참조'!$A$2:$A$83,0),MATCH($C160,'🔖 배합비 참조'!$B$1:$CE$1,0))/100,0),""))),"")</f>
        <v>0</v>
      </c>
      <c r="Z160" s="42" t="n">
        <f aca="false">IFERROR(IF($C160="","",IF($D160="","",IFERROR(ROUND($D160*INDEX('🔖 배합비 참조'!$B$2:$CE$83,MATCH("녹차가루",'🔖 배합비 참조'!$A$2:$A$83,0),MATCH($C160,'🔖 배합비 참조'!$B$1:$CE$1,0))/100,0),""))),"")</f>
        <v>0</v>
      </c>
      <c r="AA160" s="42" t="n">
        <f aca="false">IFERROR(IF($C160="","",IF($D160="","",IFERROR(ROUND($D160*INDEX('🔖 배합비 참조'!$B$2:$CE$83,MATCH("다크초콜릿 컴파운드칩",'🔖 배합비 참조'!$A$2:$A$83,0),MATCH($C160,'🔖 배합비 참조'!$B$1:$CE$1,0))/100,0),""))),"")</f>
        <v>0</v>
      </c>
      <c r="AB160" s="42" t="n">
        <f aca="false">IFERROR(IF($C160="","",IF($D160="","",IFERROR(ROUND($D160*INDEX('🔖 배합비 참조'!$B$2:$CE$83,MATCH("단호박분말(중국산)",'🔖 배합비 참조'!$A$2:$A$83,0),MATCH($C160,'🔖 배합비 참조'!$B$1:$CE$1,0))/100,0),""))),"")</f>
        <v>0</v>
      </c>
      <c r="AC160" s="42" t="n">
        <f aca="false">IFERROR(IF($C160="","",IF($D160="","",IFERROR(ROUND($D160*INDEX('🔖 배합비 참조'!$B$2:$CE$83,MATCH("당류가공품(단호박농축액)",'🔖 배합비 참조'!$A$2:$A$83,0),MATCH($C160,'🔖 배합비 참조'!$B$1:$CE$1,0))/100,0),""))),"")</f>
        <v>0</v>
      </c>
      <c r="AD160" s="42" t="n">
        <f aca="false">IFERROR(IF($C160="","",IF($D160="","",IFERROR(ROUND($D160*INDEX('🔖 배합비 참조'!$B$2:$CE$83,MATCH("당류가공품(알룰로스,에리스리톨,스테비올배당체혼합)",'🔖 배합비 참조'!$A$2:$A$83,0),MATCH($C160,'🔖 배합비 참조'!$B$1:$CE$1,0))/100,0),""))),"")</f>
        <v>0</v>
      </c>
      <c r="AE160" s="42" t="n">
        <f aca="false">IFERROR(IF($C160="","",IF($D160="","",IFERROR(ROUND($D160*INDEX('🔖 배합비 참조'!$B$2:$CE$83,MATCH("당류가공품(알룰로스제로파우더)",'🔖 배합비 참조'!$A$2:$A$83,0),MATCH($C160,'🔖 배합비 참조'!$B$1:$CE$1,0))/100,0),""))),"")</f>
        <v>0</v>
      </c>
      <c r="AF160" s="42" t="n">
        <f aca="false">IFERROR(IF($C160="","",IF($D160="","",IFERROR(ROUND($D160*INDEX('🔖 배합비 참조'!$B$2:$CE$83,MATCH("당절임(완두배기)",'🔖 배합비 참조'!$A$2:$A$83,0),MATCH($C160,'🔖 배합비 참조'!$B$1:$CE$1,0))/100,0),""))),"")</f>
        <v>0</v>
      </c>
      <c r="AG160" s="42" t="n">
        <f aca="false">IFERROR(IF($C160="","",IF($D160="","",IFERROR(ROUND($D160*INDEX('🔖 배합비 참조'!$B$2:$CE$83,MATCH("대추농축액",'🔖 배합비 참조'!$A$2:$A$83,0),MATCH($C160,'🔖 배합비 참조'!$B$1:$CE$1,0))/100,0),""))),"")</f>
        <v>0</v>
      </c>
      <c r="AH160" s="42" t="n">
        <f aca="false">IFERROR(IF($C160="","",IF($D160="","",IFERROR(ROUND($D160*INDEX('🔖 배합비 참조'!$B$2:$CE$83,MATCH("대추채(국내산)",'🔖 배합비 참조'!$A$2:$A$83,0),MATCH($C160,'🔖 배합비 참조'!$B$1:$CE$1,0))/100,0),""))),"")</f>
        <v>0</v>
      </c>
      <c r="AI160" s="42" t="n">
        <f aca="false">IFERROR(IF($C160="","",IF($D160="","",IFERROR(ROUND($D160*INDEX('🔖 배합비 참조'!$B$2:$CE$83,MATCH("동부(미얀마산)",'🔖 배합비 참조'!$A$2:$A$83,0),MATCH($C160,'🔖 배합비 참조'!$B$1:$CE$1,0))/100,0),""))),"")</f>
        <v>0</v>
      </c>
      <c r="AJ160" s="42" t="n">
        <f aca="false">IFERROR(IF($C160="","",IF($D160="","",IFERROR(ROUND($D160*INDEX('🔖 배합비 참조'!$B$2:$CE$83,MATCH("두류가공품(백옥앙금)",'🔖 배합비 참조'!$A$2:$A$83,0),MATCH($C160,'🔖 배합비 참조'!$B$1:$CE$1,0))/100,0),""))),"")</f>
        <v>0</v>
      </c>
      <c r="AK160" s="42" t="n">
        <f aca="false">IFERROR(IF($C160="","",IF($D160="","",IFERROR(ROUND($D160*INDEX('🔖 배합비 참조'!$B$2:$CE$83,MATCH("두류가공품(콩고물)",'🔖 배합비 참조'!$A$2:$A$83,0),MATCH($C160,'🔖 배합비 참조'!$B$1:$CE$1,0))/100,0),""))),"")</f>
        <v>0</v>
      </c>
      <c r="AL160" s="42" t="n">
        <f aca="false">IFERROR(IF($C160="","",IF($D160="","",IFERROR(ROUND($D160*INDEX('🔖 배합비 참조'!$B$2:$CE$83,MATCH("두류가공품(통팥고물)",'🔖 배합비 참조'!$A$2:$A$83,0),MATCH($C160,'🔖 배합비 참조'!$B$1:$CE$1,0))/100,0),""))),"")</f>
        <v>0</v>
      </c>
      <c r="AM160" s="42" t="n">
        <f aca="false">IFERROR(IF($C160="","",IF($D160="","",IFERROR(ROUND($D160*INDEX('🔖 배합비 참조'!$B$2:$CE$83,MATCH("딸기레진",'🔖 배합비 참조'!$A$2:$A$83,0),MATCH($C160,'🔖 배합비 참조'!$B$1:$CE$1,0))/100,0),""))),"")</f>
        <v>0</v>
      </c>
      <c r="AN160" s="42" t="n">
        <f aca="false">IFERROR(IF($C160="","",IF($D160="","",IFERROR(ROUND($D160*INDEX('🔖 배합비 참조'!$B$2:$CE$83,MATCH("딸기분말(스트로우베리에이드(분말))",'🔖 배합비 참조'!$A$2:$A$83,0),MATCH($C160,'🔖 배합비 참조'!$B$1:$CE$1,0))/100,0),""))),"")</f>
        <v>0</v>
      </c>
      <c r="AO160" s="42" t="n">
        <f aca="false">IFERROR(IF($C160="","",IF($D160="","",IFERROR(ROUND($D160*INDEX('🔖 배합비 참조'!$B$2:$CE$83,MATCH("마스카포네치즈",'🔖 배합비 참조'!$A$2:$A$83,0),MATCH($C160,'🔖 배합비 참조'!$B$1:$CE$1,0))/100,0),""))),"")</f>
        <v>0</v>
      </c>
      <c r="AP160" s="42" t="n">
        <f aca="false">IFERROR(IF($C160="","",IF($D160="","",IFERROR(ROUND($D160*INDEX('🔖 배합비 참조'!$B$2:$CE$83,MATCH("마카다미아분태(호주산)",'🔖 배합비 참조'!$A$2:$A$83,0),MATCH($C160,'🔖 배합비 참조'!$B$1:$CE$1,0))/100,0),""))),"")</f>
        <v>0</v>
      </c>
      <c r="AQ160" s="42" t="n">
        <f aca="false">IFERROR(IF($C160="","",IF($D160="","",IFERROR(ROUND($D160*INDEX('🔖 배합비 참조'!$B$2:$CE$83,MATCH("멥쌀(국내산)",'🔖 배합비 참조'!$A$2:$A$83,0),MATCH($C160,'🔖 배합비 참조'!$B$1:$CE$1,0))/100,0),""))),"")</f>
        <v>29</v>
      </c>
      <c r="AR160" s="42" t="n">
        <f aca="false">IFERROR(IF($C160="","",IF($D160="","",IFERROR(ROUND($D160*INDEX('🔖 배합비 참조'!$B$2:$CE$83,MATCH("모시잎(국내산)",'🔖 배합비 참조'!$A$2:$A$83,0),MATCH($C160,'🔖 배합비 참조'!$B$1:$CE$1,0))/100,0),""))),"")</f>
        <v>0</v>
      </c>
      <c r="AS160" s="42" t="n">
        <f aca="false">IFERROR(IF($C160="","",IF($D160="","",IFERROR(ROUND($D160*INDEX('🔖 배합비 참조'!$B$2:$CE$83,MATCH("물엿(저당물엿)",'🔖 배합비 참조'!$A$2:$A$83,0),MATCH($C160,'🔖 배합비 참조'!$B$1:$CE$1,0))/100,0),""))),"")</f>
        <v>0</v>
      </c>
      <c r="AT160" s="42" t="n">
        <f aca="false">IFERROR(IF($C160="","",IF($D160="","",IFERROR(ROUND($D160*INDEX('🔖 배합비 참조'!$B$2:$CE$83,MATCH("밤다이스",'🔖 배합비 참조'!$A$2:$A$83,0),MATCH($C160,'🔖 배합비 참조'!$B$1:$CE$1,0))/100,0),""))),"")</f>
        <v>0</v>
      </c>
      <c r="AU160" s="42" t="n">
        <f aca="false">IFERROR(IF($C160="","",IF($D160="","",IFERROR(ROUND($D160*INDEX('🔖 배합비 참조'!$B$2:$CE$83,MATCH("변성전분(타피오카전분)",'🔖 배합비 참조'!$A$2:$A$83,0),MATCH($C160,'🔖 배합비 참조'!$B$1:$CE$1,0))/100,0),""))),"")</f>
        <v>0</v>
      </c>
      <c r="AV160" s="42" t="n">
        <f aca="false">IFERROR(IF($C160="","",IF($D160="","",IFERROR(ROUND($D160*INDEX('🔖 배합비 참조'!$B$2:$CE$83,MATCH("복음땅콩분태",'🔖 배합비 참조'!$A$2:$A$83,0),MATCH($C160,'🔖 배합비 참조'!$B$1:$CE$1,0))/100,0),""))),"")</f>
        <v>0</v>
      </c>
      <c r="AW160" s="42" t="n">
        <f aca="false">IFERROR(IF($C160="","",IF($D160="","",IFERROR(ROUND($D160*INDEX('🔖 배합비 참조'!$B$2:$CE$83,MATCH("사양벌꿀(국내산)",'🔖 배합비 참조'!$A$2:$A$83,0),MATCH($C160,'🔖 배합비 참조'!$B$1:$CE$1,0))/100,0),""))),"")</f>
        <v>0</v>
      </c>
      <c r="AX160" s="42" t="n">
        <f aca="false">IFERROR(IF($C160="","",IF($D160="","",IFERROR(ROUND($D160*INDEX('🔖 배합비 참조'!$B$2:$CE$83,MATCH("생크림",'🔖 배합비 참조'!$A$2:$A$83,0),MATCH($C160,'🔖 배합비 참조'!$B$1:$CE$1,0))/100,0),""))),"")</f>
        <v>0</v>
      </c>
      <c r="AY160" s="42" t="n">
        <f aca="false">IFERROR(IF($C160="","",IF($D160="","",IFERROR(ROUND($D160*INDEX('🔖 배합비 참조'!$B$2:$CE$83,MATCH("서양호박(국내산,뉴질랜드산)",'🔖 배합비 참조'!$A$2:$A$83,0),MATCH($C160,'🔖 배합비 참조'!$B$1:$CE$1,0))/100,0),""))),"")</f>
        <v>0</v>
      </c>
      <c r="AZ160" s="42" t="n">
        <f aca="false">IFERROR(IF($C160="","",IF($D160="","",IFERROR(ROUND($D160*INDEX('🔖 배합비 참조'!$B$2:$CE$83,MATCH("설탕",'🔖 배합비 참조'!$A$2:$A$83,0),MATCH($C160,'🔖 배합비 참조'!$B$1:$CE$1,0))/100,0),""))),"")</f>
        <v>5</v>
      </c>
      <c r="BA160" s="42" t="n">
        <f aca="false">IFERROR(IF($C160="","",IF($D160="","",IFERROR(ROUND($D160*INDEX('🔖 배합비 참조'!$B$2:$CE$83,MATCH("스트로우베리 에이드 후레쉬",'🔖 배합비 참조'!$A$2:$A$83,0),MATCH($C160,'🔖 배합비 참조'!$B$1:$CE$1,0))/100,0),""))),"")</f>
        <v>0</v>
      </c>
      <c r="BB160" s="42" t="n">
        <f aca="false">IFERROR(IF($C160="","",IF($D160="","",IFERROR(ROUND($D160*INDEX('🔖 배합비 참조'!$B$2:$CE$83,MATCH("식물성기름혼합제제(분홍)",'🔖 배합비 참조'!$A$2:$A$83,0),MATCH($C160,'🔖 배합비 참조'!$B$1:$CE$1,0))/100,0),""))),"")</f>
        <v>0</v>
      </c>
      <c r="BC160" s="42" t="n">
        <f aca="false">IFERROR(IF($C160="","",IF($D160="","",IFERROR(ROUND($D160*INDEX('🔖 배합비 참조'!$B$2:$CE$83,MATCH("식물성기름혼합제제(초록)",'🔖 배합비 참조'!$A$2:$A$83,0),MATCH($C160,'🔖 배합비 참조'!$B$1:$CE$1,0))/100,0),""))),"")</f>
        <v>0</v>
      </c>
      <c r="BD160" s="42" t="n">
        <f aca="false">IFERROR(IF($C160="","",IF($D160="","",IFERROR(ROUND($D160*INDEX('🔖 배합비 참조'!$B$2:$CE$83,MATCH("식물성기름혼합제제(황색)",'🔖 배합비 참조'!$A$2:$A$83,0),MATCH($C160,'🔖 배합비 참조'!$B$1:$CE$1,0))/100,0),""))),"")</f>
        <v>0</v>
      </c>
      <c r="BE160" s="42" t="n">
        <f aca="false">IFERROR(IF($C160="","",IF($D160="","",IFERROR(ROUND($D160*INDEX('🔖 배합비 참조'!$B$2:$CE$83,MATCH("쑥가루(국내산)",'🔖 배합비 참조'!$A$2:$A$83,0),MATCH($C160,'🔖 배합비 참조'!$B$1:$CE$1,0))/100,0),""))),"")</f>
        <v>0</v>
      </c>
      <c r="BF160" s="42" t="n">
        <f aca="false">IFERROR(IF($C160="","",IF($D160="","",IFERROR(ROUND($D160*INDEX('🔖 배합비 참조'!$B$2:$CE$83,MATCH("아몬드슬라이스",'🔖 배합비 참조'!$A$2:$A$83,0),MATCH($C160,'🔖 배합비 참조'!$B$1:$CE$1,0))/100,0),""))),"")</f>
        <v>1</v>
      </c>
      <c r="BG160" s="42" t="n">
        <f aca="false">IFERROR(IF($C160="","",IF($D160="","",IFERROR(ROUND($D160*INDEX('🔖 배합비 참조'!$B$2:$CE$83,MATCH("알룰로오스(국내산)",'🔖 배합비 참조'!$A$2:$A$83,0),MATCH($C160,'🔖 배합비 참조'!$B$1:$CE$1,0))/100,0),""))),"")</f>
        <v>0</v>
      </c>
      <c r="BH160" s="42" t="n">
        <f aca="false">IFERROR(IF($C160="","",IF($D160="","",IFERROR(ROUND($D160*INDEX('🔖 배합비 참조'!$B$2:$CE$83,MATCH("연유",'🔖 배합비 참조'!$A$2:$A$83,0),MATCH($C160,'🔖 배합비 참조'!$B$1:$CE$1,0))/100,0),""))),"")</f>
        <v>0</v>
      </c>
      <c r="BI160" s="42" t="n">
        <f aca="false">IFERROR(IF($C160="","",IF($D160="","",IFERROR(ROUND($D160*INDEX('🔖 배합비 참조'!$B$2:$CE$83,MATCH("옥수수전분",'🔖 배합비 참조'!$A$2:$A$83,0),MATCH($C160,'🔖 배합비 참조'!$B$1:$CE$1,0))/100,0),""))),"")</f>
        <v>0</v>
      </c>
      <c r="BJ160" s="42" t="n">
        <f aca="false">IFERROR(IF($C160="","",IF($D160="","",IFERROR(ROUND($D160*INDEX('🔖 배합비 참조'!$B$2:$CE$83,MATCH("완두배기",'🔖 배합비 참조'!$A$2:$A$83,0),MATCH($C160,'🔖 배합비 참조'!$B$1:$CE$1,0))/100,0),""))),"")</f>
        <v>0</v>
      </c>
      <c r="BK160" s="42" t="n">
        <f aca="false">IFERROR(IF($C160="","",IF($D160="","",IFERROR(ROUND($D160*INDEX('🔖 배합비 참조'!$B$2:$CE$83,MATCH("우유(국내산)",'🔖 배합비 참조'!$A$2:$A$83,0),MATCH($C160,'🔖 배합비 참조'!$B$1:$CE$1,0))/100,0),""))),"")</f>
        <v>0</v>
      </c>
      <c r="BL160" s="42" t="n">
        <f aca="false">IFERROR(IF($C160="","",IF($D160="","",IFERROR(ROUND($D160*INDEX('🔖 배합비 참조'!$B$2:$CE$83,MATCH("자색고구마가루(중국산)",'🔖 배합비 참조'!$A$2:$A$83,0),MATCH($C160,'🔖 배합비 참조'!$B$1:$CE$1,0))/100,0),""))),"")</f>
        <v>0</v>
      </c>
      <c r="BM160" s="42" t="n">
        <f aca="false">IFERROR(IF($C160="","",IF($D160="","",IFERROR(ROUND($D160*INDEX('🔖 배합비 참조'!$B$2:$CE$83,MATCH("자연치즈(체다치즈)",'🔖 배합비 참조'!$A$2:$A$83,0),MATCH($C160,'🔖 배합비 참조'!$B$1:$CE$1,0))/100,0),""))),"")</f>
        <v>0</v>
      </c>
      <c r="BN160" s="42" t="n">
        <f aca="false">IFERROR(IF($C160="","",IF($D160="","",IFERROR(ROUND($D160*INDEX('🔖 배합비 참조'!$B$2:$CE$83,MATCH("정제수",'🔖 배합비 참조'!$A$2:$A$83,0),MATCH($C160,'🔖 배합비 참조'!$B$1:$CE$1,0))/100,0),""))),"")</f>
        <v>8</v>
      </c>
      <c r="BO160" s="42" t="n">
        <f aca="false">IFERROR(IF($C160="","",IF($D160="","",IFERROR(ROUND($D160*INDEX('🔖 배합비 참조'!$B$2:$CE$83,MATCH("젤라틴",'🔖 배합비 참조'!$A$2:$A$83,0),MATCH($C160,'🔖 배합비 참조'!$B$1:$CE$1,0))/100,0),""))),"")</f>
        <v>0</v>
      </c>
      <c r="BP160" s="42" t="n">
        <f aca="false">IFERROR(IF($C160="","",IF($D160="","",IFERROR(ROUND($D160*INDEX('🔖 배합비 참조'!$B$2:$CE$83,MATCH("조림류(백옥앙금)",'🔖 배합비 참조'!$A$2:$A$83,0),MATCH($C160,'🔖 배합비 참조'!$B$1:$CE$1,0))/100,0),""))),"")</f>
        <v>0</v>
      </c>
      <c r="BQ160" s="42" t="n">
        <f aca="false">IFERROR(IF($C160="","",IF($D160="","",IFERROR(ROUND($D160*INDEX('🔖 배합비 참조'!$B$2:$CE$83,MATCH("조림류(통팥앙금)",'🔖 배합비 참조'!$A$2:$A$83,0),MATCH($C160,'🔖 배합비 참조'!$B$1:$CE$1,0))/100,0),""))),"")</f>
        <v>0</v>
      </c>
      <c r="BR160" s="42" t="n">
        <f aca="false">IFERROR(IF($C160="","",IF($D160="","",IFERROR(ROUND($D160*INDEX('🔖 배합비 참조'!$B$2:$CE$83,MATCH("준초콜릿(외국산)",'🔖 배합비 참조'!$A$2:$A$83,0),MATCH($C160,'🔖 배합비 참조'!$B$1:$CE$1,0))/100,0),""))),"")</f>
        <v>0</v>
      </c>
      <c r="BS160" s="42" t="n">
        <f aca="false">IFERROR(IF($C160="","",IF($D160="","",IFERROR(ROUND($D160*INDEX('🔖 배합비 참조'!$B$2:$CE$83,MATCH("중력분",'🔖 배합비 참조'!$A$2:$A$83,0),MATCH($C160,'🔖 배합비 참조'!$B$1:$CE$1,0))/100,0),""))),"")</f>
        <v>0</v>
      </c>
      <c r="BT160" s="42" t="n">
        <f aca="false">IFERROR(IF($C160="","",IF($D160="","",IFERROR(ROUND($D160*INDEX('🔖 배합비 참조'!$B$2:$CE$83,MATCH("참깨(인도산,나이지리아산,탄자니아산,미얀마산)",'🔖 배합비 참조'!$A$2:$A$83,0),MATCH($C160,'🔖 배합비 참조'!$B$1:$CE$1,0))/100,0),""))),"")</f>
        <v>0</v>
      </c>
      <c r="BU160" s="42" t="n">
        <f aca="false">IFERROR(IF($C160="","",IF($D160="","",IFERROR(ROUND($D160*INDEX('🔖 배합비 참조'!$B$2:$CE$83,MATCH("찹쌀(국내산)",'🔖 배합비 참조'!$A$2:$A$83,0),MATCH($C160,'🔖 배합비 참조'!$B$1:$CE$1,0))/100,0),""))),"")</f>
        <v>0</v>
      </c>
      <c r="BV160" s="42" t="n">
        <f aca="false">IFERROR(IF($C160="","",IF($D160="","",IFERROR(ROUND($D160*INDEX('🔖 배합비 참조'!$B$2:$CE$83,MATCH("천일염",'🔖 배합비 참조'!$A$2:$A$83,0),MATCH($C160,'🔖 배합비 참조'!$B$1:$CE$1,0))/100,0),""))),"")</f>
        <v>1</v>
      </c>
      <c r="BW160" s="42" t="n">
        <f aca="false">IFERROR(IF($C160="","",IF($D160="","",IFERROR(ROUND($D160*INDEX('🔖 배합비 참조'!$B$2:$CE$83,MATCH("치즈 [크림치즈]",'🔖 배합비 참조'!$A$2:$A$83,0),MATCH($C160,'🔖 배합비 참조'!$B$1:$CE$1,0))/100,0),""))),"")</f>
        <v>0</v>
      </c>
      <c r="BX160" s="42" t="n">
        <f aca="false">IFERROR(IF($C160="","",IF($D160="","",IFERROR(ROUND($D160*INDEX('🔖 배합비 참조'!$B$2:$CE$83,MATCH("코코아가공품류(코코아분말)",'🔖 배합비 참조'!$A$2:$A$83,0),MATCH($C160,'🔖 배합비 참조'!$B$1:$CE$1,0))/100,0),""))),"")</f>
        <v>0</v>
      </c>
      <c r="BY160" s="42" t="n">
        <f aca="false">IFERROR(IF($C160="","",IF($D160="","",IFERROR(ROUND($D160*INDEX('🔖 배합비 참조'!$B$2:$CE$83,MATCH("콩기름(대두유)",'🔖 배합비 참조'!$A$2:$A$83,0),MATCH($C160,'🔖 배합비 참조'!$B$1:$CE$1,0))/100,0),""))),"")</f>
        <v>0</v>
      </c>
      <c r="BZ160" s="42" t="n">
        <f aca="false">IFERROR(IF($C160="","",IF($D160="","",IFERROR(ROUND($D160*INDEX('🔖 배합비 참조'!$B$2:$CE$83,MATCH("해바라기씨앗",'🔖 배합비 참조'!$A$2:$A$83,0),MATCH($C160,'🔖 배합비 참조'!$B$1:$CE$1,0))/100,0),""))),"")</f>
        <v>0</v>
      </c>
      <c r="CA160" s="42" t="n">
        <f aca="false">IFERROR(IF($C160="","",IF($D160="","",IFERROR(ROUND($D160*INDEX('🔖 배합비 참조'!$B$2:$CE$83,MATCH("현미(국내산)",'🔖 배합비 참조'!$A$2:$A$83,0),MATCH($C160,'🔖 배합비 참조'!$B$1:$CE$1,0))/100,0),""))),"")</f>
        <v>0</v>
      </c>
      <c r="CB160" s="42" t="n">
        <f aca="false">IFERROR(IF($C160="","",IF($D160="","",IFERROR(ROUND($D160*INDEX('🔖 배합비 참조'!$B$2:$CE$83,MATCH("현미멥쌀(국내산)",'🔖 배합비 참조'!$A$2:$A$83,0),MATCH($C160,'🔖 배합비 참조'!$B$1:$CE$1,0))/100,0),""))),"")</f>
        <v>0</v>
      </c>
      <c r="CC160" s="42" t="n">
        <f aca="false">IFERROR(IF($C160="","",IF($D160="","",IFERROR(ROUND($D160*INDEX('🔖 배합비 참조'!$B$2:$CE$83,MATCH("호두분태(미국산)",'🔖 배합비 참조'!$A$2:$A$83,0),MATCH($C160,'🔖 배합비 참조'!$B$1:$CE$1,0))/100,0),""))),"")</f>
        <v>0</v>
      </c>
      <c r="CD160" s="42" t="n">
        <f aca="false">IFERROR(IF($C160="","",IF($D160="","",IFERROR(ROUND($D160*INDEX('🔖 배합비 참조'!$B$2:$CE$83,MATCH("호박씨앗(외국산)",'🔖 배합비 참조'!$A$2:$A$83,0),MATCH($C160,'🔖 배합비 참조'!$B$1:$CE$1,0))/100,0),""))),"")</f>
        <v>0</v>
      </c>
      <c r="CE160" s="42" t="n">
        <f aca="false">IFERROR(IF($C160="","",IF($D160="","",IFERROR(ROUND($D160*INDEX('🔖 배합비 참조'!$B$2:$CE$83,MATCH("혼합제제(떡용에스텔)",'🔖 배합비 참조'!$A$2:$A$83,0),MATCH($C160,'🔖 배합비 참조'!$B$1:$CE$1,0))/100,0),""))),"")</f>
        <v>0</v>
      </c>
      <c r="CF160" s="42" t="n">
        <f aca="false">IFERROR(IF($C160="","",IF($D160="","",IFERROR(ROUND($D160*INDEX('🔖 배합비 참조'!$B$2:$CE$83,MATCH("혼합제제(스테비아)",'🔖 배합비 참조'!$A$2:$A$83,0),MATCH($C160,'🔖 배합비 참조'!$B$1:$CE$1,0))/100,0),""))),"")</f>
        <v>0</v>
      </c>
      <c r="CG160" s="42" t="n">
        <f aca="false">IFERROR(IF($C160="","",IF($D160="","",IFERROR(ROUND($D160*INDEX('🔖 배합비 참조'!$B$2:$CE$83,MATCH("화이트초콜릿",'🔖 배합비 참조'!$A$2:$A$83,0),MATCH($C160,'🔖 배합비 참조'!$B$1:$CE$1,0))/100,0),""))),"")</f>
        <v>0</v>
      </c>
      <c r="CH160" s="42" t="n">
        <f aca="false">IFERROR(IF($C160="","",IF($D160="","",IFERROR(ROUND($D160*INDEX('🔖 배합비 참조'!$B$2:$CE$83,MATCH("흑미찹쌀(국내산)",'🔖 배합비 참조'!$A$2:$A$83,0),MATCH($C160,'🔖 배합비 참조'!$B$1:$CE$1,0))/100,0),""))),"")</f>
        <v>0</v>
      </c>
      <c r="CI160" s="42" t="n">
        <f aca="false">IFERROR(IF($C160="","",IF($D160="","",IFERROR(ROUND($D160*INDEX('🔖 배합비 참조'!$B$2:$CE$83,MATCH("찰옥수수전분(미국산)",'🔖 배합비 참조'!$A$2:$A$83,0),MATCH($C160,'🔖 배합비 참조'!$B$1:$CE$1,0))/100,0),""))),"")</f>
        <v>0</v>
      </c>
      <c r="CJ160" s="40"/>
      <c r="CL160" s="1" t="s">
        <v>245</v>
      </c>
    </row>
    <row r="161" customFormat="false" ht="18" hidden="false" customHeight="true" outlineLevel="0" collapsed="false">
      <c r="A161" s="35" t="n">
        <v>157</v>
      </c>
      <c r="B161" s="36" t="n">
        <v>46029</v>
      </c>
      <c r="C161" s="37" t="s">
        <v>219</v>
      </c>
      <c r="D161" s="38" t="n">
        <v>37.5</v>
      </c>
      <c r="E161" s="13"/>
      <c r="F161" s="13"/>
      <c r="G161" s="39" t="n">
        <f aca="false">IFERROR(IF($C161="","",IF($D161="","",IFERROR(ROUND($D161*INDEX('🔖 배합비 참조'!$B$2:$CE$83,MATCH("간장",'🔖 배합비 참조'!$A$2:$A$83,0),MATCH($C161,'🔖 배합비 참조'!$B$1:$CE$1,0))/100,0),""))),"")</f>
        <v>0</v>
      </c>
      <c r="H161" s="39" t="n">
        <f aca="false">IFERROR(IF($C161="","",IF($D161="","",IFERROR(ROUND($D161*INDEX('🔖 배합비 참조'!$B$2:$CE$83,MATCH("강낭콩((울타리콩))",'🔖 배합비 참조'!$A$2:$A$83,0),MATCH($C161,'🔖 배합비 참조'!$B$1:$CE$1,0))/100,0),""))),"")</f>
        <v>0</v>
      </c>
      <c r="I161" s="39" t="n">
        <f aca="false">IFERROR(IF($C161="","",IF($D161="","",IFERROR(ROUND($D161*INDEX('🔖 배합비 참조'!$B$2:$CE$83,MATCH("건조딸기다이스(외국산)",'🔖 배합비 참조'!$A$2:$A$83,0),MATCH($C161,'🔖 배합비 참조'!$B$1:$CE$1,0))/100,0),""))),"")</f>
        <v>0</v>
      </c>
      <c r="J161" s="39" t="n">
        <f aca="false">IFERROR(IF($C161="","",IF($D161="","",IFERROR(ROUND($D161*INDEX('🔖 배합비 참조'!$B$2:$CE$83,MATCH("건포도",'🔖 배합비 참조'!$A$2:$A$83,0),MATCH($C161,'🔖 배합비 참조'!$B$1:$CE$1,0))/100,0),""))),"")</f>
        <v>0</v>
      </c>
      <c r="K161" s="39" t="n">
        <f aca="false">IFERROR(IF($C161="","",IF($D161="","",IFERROR(ROUND($D161*INDEX('🔖 배합비 참조'!$B$2:$CE$83,MATCH("건호박채(중국산)",'🔖 배합비 참조'!$A$2:$A$83,0),MATCH($C161,'🔖 배합비 참조'!$B$1:$CE$1,0))/100,0),""))),"")</f>
        <v>0</v>
      </c>
      <c r="L161" s="39" t="n">
        <f aca="false">IFERROR(IF($C161="","",IF($D161="","",IFERROR(ROUND($D161*INDEX('🔖 배합비 참조'!$B$2:$CE$83,MATCH("검정깨(흑임자)",'🔖 배합비 참조'!$A$2:$A$83,0),MATCH($C161,'🔖 배합비 참조'!$B$1:$CE$1,0))/100,0),""))),"")</f>
        <v>1</v>
      </c>
      <c r="M161" s="39" t="n">
        <f aca="false">IFERROR(IF($C161="","",IF($D161="","",IFERROR(ROUND($D161*INDEX('🔖 배합비 참조'!$B$2:$CE$83,MATCH("검정콩",'🔖 배합비 참조'!$A$2:$A$83,0),MATCH($C161,'🔖 배합비 참조'!$B$1:$CE$1,0))/100,0),""))),"")</f>
        <v>0</v>
      </c>
      <c r="N161" s="39" t="n">
        <f aca="false">IFERROR(IF($C161="","",IF($D161="","",IFERROR(ROUND($D161*INDEX('🔖 배합비 참조'!$B$2:$CE$83,MATCH("계피가루",'🔖 배합비 참조'!$A$2:$A$83,0),MATCH($C161,'🔖 배합비 참조'!$B$1:$CE$1,0))/100,0),""))),"")</f>
        <v>0</v>
      </c>
      <c r="O161" s="39" t="n">
        <f aca="false">IFERROR(IF($C161="","",IF($D161="","",IFERROR(ROUND($D161*INDEX('🔖 배합비 참조'!$B$2:$CE$83,MATCH("고구마가루",'🔖 배합비 참조'!$A$2:$A$83,0),MATCH($C161,'🔖 배합비 참조'!$B$1:$CE$1,0))/100,0),""))),"")</f>
        <v>0</v>
      </c>
      <c r="P161" s="39" t="n">
        <f aca="false">IFERROR(IF($C161="","",IF($D161="","",IFERROR(ROUND($D161*INDEX('🔖 배합비 참조'!$B$2:$CE$83,MATCH("고구마무스",'🔖 배합비 참조'!$A$2:$A$83,0),MATCH($C161,'🔖 배합비 참조'!$B$1:$CE$1,0))/100,0),""))),"")</f>
        <v>0</v>
      </c>
      <c r="Q161" s="39" t="n">
        <f aca="false">IFERROR(IF($C161="","",IF($D161="","",IFERROR(ROUND($D161*INDEX('🔖 배합비 참조'!$B$2:$CE$83,MATCH("고려엉겅퀴((곤드레)국내산)",'🔖 배합비 참조'!$A$2:$A$83,0),MATCH($C161,'🔖 배합비 참조'!$B$1:$CE$1,0))/100,0),""))),"")</f>
        <v>0</v>
      </c>
      <c r="R161" s="39" t="n">
        <f aca="false">IFERROR(IF($C161="","",IF($D161="","",IFERROR(ROUND($D161*INDEX('🔖 배합비 참조'!$B$2:$CE$83,MATCH("기타가공품(복분자가루)",'🔖 배합비 참조'!$A$2:$A$83,0),MATCH($C161,'🔖 배합비 참조'!$B$1:$CE$1,0))/100,0),""))),"")</f>
        <v>0</v>
      </c>
      <c r="S161" s="39" t="n">
        <f aca="false">IFERROR(IF($C161="","",IF($D161="","",IFERROR(ROUND($D161*INDEX('🔖 배합비 참조'!$B$2:$CE$83,MATCH("기타가공품(슈퍼소프트엠)",'🔖 배합비 참조'!$A$2:$A$83,0),MATCH($C161,'🔖 배합비 참조'!$B$1:$CE$1,0))/100,0),""))),"")</f>
        <v>0</v>
      </c>
      <c r="T161" s="39" t="n">
        <f aca="false">IFERROR(IF($C161="","",IF($D161="","",IFERROR(ROUND($D161*INDEX('🔖 배합비 참조'!$B$2:$CE$83,MATCH("기타가공품(파인소프트 E-티)",'🔖 배합비 참조'!$A$2:$A$83,0),MATCH($C161,'🔖 배합비 참조'!$B$1:$CE$1,0))/100,0),""))),"")</f>
        <v>0</v>
      </c>
      <c r="U161" s="39" t="n">
        <f aca="false">IFERROR(IF($C161="","",IF($D161="","",IFERROR(ROUND($D161*INDEX('🔖 배합비 참조'!$B$2:$CE$83,MATCH("기타가공품(프리미엄카스테라가루)",'🔖 배합비 참조'!$A$2:$A$83,0),MATCH($C161,'🔖 배합비 참조'!$B$1:$CE$1,0))/100,0),""))),"")</f>
        <v>0</v>
      </c>
      <c r="V161" s="39" t="n">
        <f aca="false">IFERROR(IF($C161="","",IF($D161="","",IFERROR(ROUND($D161*INDEX('🔖 배합비 참조'!$B$2:$CE$83,MATCH("기타가공품(흑임자가루)",'🔖 배합비 참조'!$A$2:$A$83,0),MATCH($C161,'🔖 배합비 참조'!$B$1:$CE$1,0))/100,0),""))),"")</f>
        <v>1</v>
      </c>
      <c r="W161" s="39" t="n">
        <f aca="false">IFERROR(IF($C161="","",IF($D161="","",IFERROR(ROUND($D161*INDEX('🔖 배합비 참조'!$B$2:$CE$83,MATCH("기타설탕(흑설탕)",'🔖 배합비 참조'!$A$2:$A$83,0),MATCH($C161,'🔖 배합비 참조'!$B$1:$CE$1,0))/100,0),""))),"")</f>
        <v>0</v>
      </c>
      <c r="X161" s="39" t="n">
        <f aca="false">IFERROR(IF($C161="","",IF($D161="","",IFERROR(ROUND($D161*INDEX('🔖 배합비 참조'!$B$2:$CE$83,MATCH("냉동쑥(국내산)",'🔖 배합비 참조'!$A$2:$A$83,0),MATCH($C161,'🔖 배합비 참조'!$B$1:$CE$1,0))/100,0),""))),"")</f>
        <v>0</v>
      </c>
      <c r="Y161" s="39" t="n">
        <f aca="false">IFERROR(IF($C161="","",IF($D161="","",IFERROR(ROUND($D161*INDEX('🔖 배합비 참조'!$B$2:$CE$83,MATCH("냉동증숙고구마(중국산)",'🔖 배합비 참조'!$A$2:$A$83,0),MATCH($C161,'🔖 배합비 참조'!$B$1:$CE$1,0))/100,0),""))),"")</f>
        <v>0</v>
      </c>
      <c r="Z161" s="39" t="n">
        <f aca="false">IFERROR(IF($C161="","",IF($D161="","",IFERROR(ROUND($D161*INDEX('🔖 배합비 참조'!$B$2:$CE$83,MATCH("녹차가루",'🔖 배합비 참조'!$A$2:$A$83,0),MATCH($C161,'🔖 배합비 참조'!$B$1:$CE$1,0))/100,0),""))),"")</f>
        <v>0</v>
      </c>
      <c r="AA161" s="39" t="n">
        <f aca="false">IFERROR(IF($C161="","",IF($D161="","",IFERROR(ROUND($D161*INDEX('🔖 배합비 참조'!$B$2:$CE$83,MATCH("다크초콜릿 컴파운드칩",'🔖 배합비 참조'!$A$2:$A$83,0),MATCH($C161,'🔖 배합비 참조'!$B$1:$CE$1,0))/100,0),""))),"")</f>
        <v>0</v>
      </c>
      <c r="AB161" s="39" t="n">
        <f aca="false">IFERROR(IF($C161="","",IF($D161="","",IFERROR(ROUND($D161*INDEX('🔖 배합비 참조'!$B$2:$CE$83,MATCH("단호박분말(중국산)",'🔖 배합비 참조'!$A$2:$A$83,0),MATCH($C161,'🔖 배합비 참조'!$B$1:$CE$1,0))/100,0),""))),"")</f>
        <v>0</v>
      </c>
      <c r="AC161" s="39" t="n">
        <f aca="false">IFERROR(IF($C161="","",IF($D161="","",IFERROR(ROUND($D161*INDEX('🔖 배합비 참조'!$B$2:$CE$83,MATCH("당류가공품(단호박농축액)",'🔖 배합비 참조'!$A$2:$A$83,0),MATCH($C161,'🔖 배합비 참조'!$B$1:$CE$1,0))/100,0),""))),"")</f>
        <v>0</v>
      </c>
      <c r="AD161" s="39" t="n">
        <f aca="false">IFERROR(IF($C161="","",IF($D161="","",IFERROR(ROUND($D161*INDEX('🔖 배합비 참조'!$B$2:$CE$83,MATCH("당류가공품(알룰로스,에리스리톨,스테비올배당체혼합)",'🔖 배합비 참조'!$A$2:$A$83,0),MATCH($C161,'🔖 배합비 참조'!$B$1:$CE$1,0))/100,0),""))),"")</f>
        <v>0</v>
      </c>
      <c r="AE161" s="39" t="n">
        <f aca="false">IFERROR(IF($C161="","",IF($D161="","",IFERROR(ROUND($D161*INDEX('🔖 배합비 참조'!$B$2:$CE$83,MATCH("당류가공품(알룰로스제로파우더)",'🔖 배합비 참조'!$A$2:$A$83,0),MATCH($C161,'🔖 배합비 참조'!$B$1:$CE$1,0))/100,0),""))),"")</f>
        <v>0</v>
      </c>
      <c r="AF161" s="39" t="n">
        <f aca="false">IFERROR(IF($C161="","",IF($D161="","",IFERROR(ROUND($D161*INDEX('🔖 배합비 참조'!$B$2:$CE$83,MATCH("당절임(완두배기)",'🔖 배합비 참조'!$A$2:$A$83,0),MATCH($C161,'🔖 배합비 참조'!$B$1:$CE$1,0))/100,0),""))),"")</f>
        <v>0</v>
      </c>
      <c r="AG161" s="39" t="n">
        <f aca="false">IFERROR(IF($C161="","",IF($D161="","",IFERROR(ROUND($D161*INDEX('🔖 배합비 참조'!$B$2:$CE$83,MATCH("대추농축액",'🔖 배합비 참조'!$A$2:$A$83,0),MATCH($C161,'🔖 배합비 참조'!$B$1:$CE$1,0))/100,0),""))),"")</f>
        <v>0</v>
      </c>
      <c r="AH161" s="39" t="n">
        <f aca="false">IFERROR(IF($C161="","",IF($D161="","",IFERROR(ROUND($D161*INDEX('🔖 배합비 참조'!$B$2:$CE$83,MATCH("대추채(국내산)",'🔖 배합비 참조'!$A$2:$A$83,0),MATCH($C161,'🔖 배합비 참조'!$B$1:$CE$1,0))/100,0),""))),"")</f>
        <v>0</v>
      </c>
      <c r="AI161" s="39" t="n">
        <f aca="false">IFERROR(IF($C161="","",IF($D161="","",IFERROR(ROUND($D161*INDEX('🔖 배합비 참조'!$B$2:$CE$83,MATCH("동부(미얀마산)",'🔖 배합비 참조'!$A$2:$A$83,0),MATCH($C161,'🔖 배합비 참조'!$B$1:$CE$1,0))/100,0),""))),"")</f>
        <v>0</v>
      </c>
      <c r="AJ161" s="39" t="n">
        <f aca="false">IFERROR(IF($C161="","",IF($D161="","",IFERROR(ROUND($D161*INDEX('🔖 배합비 참조'!$B$2:$CE$83,MATCH("두류가공품(백옥앙금)",'🔖 배합비 참조'!$A$2:$A$83,0),MATCH($C161,'🔖 배합비 참조'!$B$1:$CE$1,0))/100,0),""))),"")</f>
        <v>0</v>
      </c>
      <c r="AK161" s="39" t="n">
        <f aca="false">IFERROR(IF($C161="","",IF($D161="","",IFERROR(ROUND($D161*INDEX('🔖 배합비 참조'!$B$2:$CE$83,MATCH("두류가공품(콩고물)",'🔖 배합비 참조'!$A$2:$A$83,0),MATCH($C161,'🔖 배합비 참조'!$B$1:$CE$1,0))/100,0),""))),"")</f>
        <v>0</v>
      </c>
      <c r="AL161" s="39" t="n">
        <f aca="false">IFERROR(IF($C161="","",IF($D161="","",IFERROR(ROUND($D161*INDEX('🔖 배합비 참조'!$B$2:$CE$83,MATCH("두류가공품(통팥고물)",'🔖 배합비 참조'!$A$2:$A$83,0),MATCH($C161,'🔖 배합비 참조'!$B$1:$CE$1,0))/100,0),""))),"")</f>
        <v>0</v>
      </c>
      <c r="AM161" s="39" t="n">
        <f aca="false">IFERROR(IF($C161="","",IF($D161="","",IFERROR(ROUND($D161*INDEX('🔖 배합비 참조'!$B$2:$CE$83,MATCH("딸기레진",'🔖 배합비 참조'!$A$2:$A$83,0),MATCH($C161,'🔖 배합비 참조'!$B$1:$CE$1,0))/100,0),""))),"")</f>
        <v>0</v>
      </c>
      <c r="AN161" s="39" t="n">
        <f aca="false">IFERROR(IF($C161="","",IF($D161="","",IFERROR(ROUND($D161*INDEX('🔖 배합비 참조'!$B$2:$CE$83,MATCH("딸기분말(스트로우베리에이드(분말))",'🔖 배합비 참조'!$A$2:$A$83,0),MATCH($C161,'🔖 배합비 참조'!$B$1:$CE$1,0))/100,0),""))),"")</f>
        <v>0</v>
      </c>
      <c r="AO161" s="39" t="n">
        <f aca="false">IFERROR(IF($C161="","",IF($D161="","",IFERROR(ROUND($D161*INDEX('🔖 배합비 참조'!$B$2:$CE$83,MATCH("마스카포네치즈",'🔖 배합비 참조'!$A$2:$A$83,0),MATCH($C161,'🔖 배합비 참조'!$B$1:$CE$1,0))/100,0),""))),"")</f>
        <v>0</v>
      </c>
      <c r="AP161" s="39" t="n">
        <f aca="false">IFERROR(IF($C161="","",IF($D161="","",IFERROR(ROUND($D161*INDEX('🔖 배합비 참조'!$B$2:$CE$83,MATCH("마카다미아분태(호주산)",'🔖 배합비 참조'!$A$2:$A$83,0),MATCH($C161,'🔖 배합비 참조'!$B$1:$CE$1,0))/100,0),""))),"")</f>
        <v>0</v>
      </c>
      <c r="AQ161" s="39" t="n">
        <f aca="false">IFERROR(IF($C161="","",IF($D161="","",IFERROR(ROUND($D161*INDEX('🔖 배합비 참조'!$B$2:$CE$83,MATCH("멥쌀(국내산)",'🔖 배합비 참조'!$A$2:$A$83,0),MATCH($C161,'🔖 배합비 참조'!$B$1:$CE$1,0))/100,0),""))),"")</f>
        <v>24</v>
      </c>
      <c r="AR161" s="39" t="n">
        <f aca="false">IFERROR(IF($C161="","",IF($D161="","",IFERROR(ROUND($D161*INDEX('🔖 배합비 참조'!$B$2:$CE$83,MATCH("모시잎(국내산)",'🔖 배합비 참조'!$A$2:$A$83,0),MATCH($C161,'🔖 배합비 참조'!$B$1:$CE$1,0))/100,0),""))),"")</f>
        <v>0</v>
      </c>
      <c r="AS161" s="39" t="n">
        <f aca="false">IFERROR(IF($C161="","",IF($D161="","",IFERROR(ROUND($D161*INDEX('🔖 배합비 참조'!$B$2:$CE$83,MATCH("물엿(저당물엿)",'🔖 배합비 참조'!$A$2:$A$83,0),MATCH($C161,'🔖 배합비 참조'!$B$1:$CE$1,0))/100,0),""))),"")</f>
        <v>0</v>
      </c>
      <c r="AT161" s="39" t="n">
        <f aca="false">IFERROR(IF($C161="","",IF($D161="","",IFERROR(ROUND($D161*INDEX('🔖 배합비 참조'!$B$2:$CE$83,MATCH("밤다이스",'🔖 배합비 참조'!$A$2:$A$83,0),MATCH($C161,'🔖 배합비 참조'!$B$1:$CE$1,0))/100,0),""))),"")</f>
        <v>1</v>
      </c>
      <c r="AU161" s="39" t="n">
        <f aca="false">IFERROR(IF($C161="","",IF($D161="","",IFERROR(ROUND($D161*INDEX('🔖 배합비 참조'!$B$2:$CE$83,MATCH("변성전분(타피오카전분)",'🔖 배합비 참조'!$A$2:$A$83,0),MATCH($C161,'🔖 배합비 참조'!$B$1:$CE$1,0))/100,0),""))),"")</f>
        <v>0</v>
      </c>
      <c r="AV161" s="39" t="n">
        <f aca="false">IFERROR(IF($C161="","",IF($D161="","",IFERROR(ROUND($D161*INDEX('🔖 배합비 참조'!$B$2:$CE$83,MATCH("복음땅콩분태",'🔖 배합비 참조'!$A$2:$A$83,0),MATCH($C161,'🔖 배합비 참조'!$B$1:$CE$1,0))/100,0),""))),"")</f>
        <v>0</v>
      </c>
      <c r="AW161" s="39" t="n">
        <f aca="false">IFERROR(IF($C161="","",IF($D161="","",IFERROR(ROUND($D161*INDEX('🔖 배합비 참조'!$B$2:$CE$83,MATCH("사양벌꿀(국내산)",'🔖 배합비 참조'!$A$2:$A$83,0),MATCH($C161,'🔖 배합비 참조'!$B$1:$CE$1,0))/100,0),""))),"")</f>
        <v>0</v>
      </c>
      <c r="AX161" s="39" t="n">
        <f aca="false">IFERROR(IF($C161="","",IF($D161="","",IFERROR(ROUND($D161*INDEX('🔖 배합비 참조'!$B$2:$CE$83,MATCH("생크림",'🔖 배합비 참조'!$A$2:$A$83,0),MATCH($C161,'🔖 배합비 참조'!$B$1:$CE$1,0))/100,0),""))),"")</f>
        <v>0</v>
      </c>
      <c r="AY161" s="39" t="n">
        <f aca="false">IFERROR(IF($C161="","",IF($D161="","",IFERROR(ROUND($D161*INDEX('🔖 배합비 참조'!$B$2:$CE$83,MATCH("서양호박(국내산,뉴질랜드산)",'🔖 배합비 참조'!$A$2:$A$83,0),MATCH($C161,'🔖 배합비 참조'!$B$1:$CE$1,0))/100,0),""))),"")</f>
        <v>0</v>
      </c>
      <c r="AZ161" s="39" t="n">
        <f aca="false">IFERROR(IF($C161="","",IF($D161="","",IFERROR(ROUND($D161*INDEX('🔖 배합비 참조'!$B$2:$CE$83,MATCH("설탕",'🔖 배합비 참조'!$A$2:$A$83,0),MATCH($C161,'🔖 배합비 참조'!$B$1:$CE$1,0))/100,0),""))),"")</f>
        <v>4</v>
      </c>
      <c r="BA161" s="39" t="n">
        <f aca="false">IFERROR(IF($C161="","",IF($D161="","",IFERROR(ROUND($D161*INDEX('🔖 배합비 참조'!$B$2:$CE$83,MATCH("스트로우베리 에이드 후레쉬",'🔖 배합비 참조'!$A$2:$A$83,0),MATCH($C161,'🔖 배합비 참조'!$B$1:$CE$1,0))/100,0),""))),"")</f>
        <v>0</v>
      </c>
      <c r="BB161" s="39" t="n">
        <f aca="false">IFERROR(IF($C161="","",IF($D161="","",IFERROR(ROUND($D161*INDEX('🔖 배합비 참조'!$B$2:$CE$83,MATCH("식물성기름혼합제제(분홍)",'🔖 배합비 참조'!$A$2:$A$83,0),MATCH($C161,'🔖 배합비 참조'!$B$1:$CE$1,0))/100,0),""))),"")</f>
        <v>0</v>
      </c>
      <c r="BC161" s="39" t="n">
        <f aca="false">IFERROR(IF($C161="","",IF($D161="","",IFERROR(ROUND($D161*INDEX('🔖 배합비 참조'!$B$2:$CE$83,MATCH("식물성기름혼합제제(초록)",'🔖 배합비 참조'!$A$2:$A$83,0),MATCH($C161,'🔖 배합비 참조'!$B$1:$CE$1,0))/100,0),""))),"")</f>
        <v>0</v>
      </c>
      <c r="BD161" s="39" t="n">
        <f aca="false">IFERROR(IF($C161="","",IF($D161="","",IFERROR(ROUND($D161*INDEX('🔖 배합비 참조'!$B$2:$CE$83,MATCH("식물성기름혼합제제(황색)",'🔖 배합비 참조'!$A$2:$A$83,0),MATCH($C161,'🔖 배합비 참조'!$B$1:$CE$1,0))/100,0),""))),"")</f>
        <v>0</v>
      </c>
      <c r="BE161" s="39" t="n">
        <f aca="false">IFERROR(IF($C161="","",IF($D161="","",IFERROR(ROUND($D161*INDEX('🔖 배합비 참조'!$B$2:$CE$83,MATCH("쑥가루(국내산)",'🔖 배합비 참조'!$A$2:$A$83,0),MATCH($C161,'🔖 배합비 참조'!$B$1:$CE$1,0))/100,0),""))),"")</f>
        <v>0</v>
      </c>
      <c r="BF161" s="39" t="n">
        <f aca="false">IFERROR(IF($C161="","",IF($D161="","",IFERROR(ROUND($D161*INDEX('🔖 배합비 참조'!$B$2:$CE$83,MATCH("아몬드슬라이스",'🔖 배합비 참조'!$A$2:$A$83,0),MATCH($C161,'🔖 배합비 참조'!$B$1:$CE$1,0))/100,0),""))),"")</f>
        <v>0</v>
      </c>
      <c r="BG161" s="39" t="n">
        <f aca="false">IFERROR(IF($C161="","",IF($D161="","",IFERROR(ROUND($D161*INDEX('🔖 배합비 참조'!$B$2:$CE$83,MATCH("알룰로오스(국내산)",'🔖 배합비 참조'!$A$2:$A$83,0),MATCH($C161,'🔖 배합비 참조'!$B$1:$CE$1,0))/100,0),""))),"")</f>
        <v>0</v>
      </c>
      <c r="BH161" s="39" t="n">
        <f aca="false">IFERROR(IF($C161="","",IF($D161="","",IFERROR(ROUND($D161*INDEX('🔖 배합비 참조'!$B$2:$CE$83,MATCH("연유",'🔖 배합비 참조'!$A$2:$A$83,0),MATCH($C161,'🔖 배합비 참조'!$B$1:$CE$1,0))/100,0),""))),"")</f>
        <v>0</v>
      </c>
      <c r="BI161" s="39" t="n">
        <f aca="false">IFERROR(IF($C161="","",IF($D161="","",IFERROR(ROUND($D161*INDEX('🔖 배합비 참조'!$B$2:$CE$83,MATCH("옥수수전분",'🔖 배합비 참조'!$A$2:$A$83,0),MATCH($C161,'🔖 배합비 참조'!$B$1:$CE$1,0))/100,0),""))),"")</f>
        <v>0</v>
      </c>
      <c r="BJ161" s="39" t="n">
        <f aca="false">IFERROR(IF($C161="","",IF($D161="","",IFERROR(ROUND($D161*INDEX('🔖 배합비 참조'!$B$2:$CE$83,MATCH("완두배기",'🔖 배합비 참조'!$A$2:$A$83,0),MATCH($C161,'🔖 배합비 참조'!$B$1:$CE$1,0))/100,0),""))),"")</f>
        <v>1</v>
      </c>
      <c r="BK161" s="39" t="n">
        <f aca="false">IFERROR(IF($C161="","",IF($D161="","",IFERROR(ROUND($D161*INDEX('🔖 배합비 참조'!$B$2:$CE$83,MATCH("우유(국내산)",'🔖 배합비 참조'!$A$2:$A$83,0),MATCH($C161,'🔖 배합비 참조'!$B$1:$CE$1,0))/100,0),""))),"")</f>
        <v>0</v>
      </c>
      <c r="BL161" s="39" t="n">
        <f aca="false">IFERROR(IF($C161="","",IF($D161="","",IFERROR(ROUND($D161*INDEX('🔖 배합비 참조'!$B$2:$CE$83,MATCH("자색고구마가루(중국산)",'🔖 배합비 참조'!$A$2:$A$83,0),MATCH($C161,'🔖 배합비 참조'!$B$1:$CE$1,0))/100,0),""))),"")</f>
        <v>0</v>
      </c>
      <c r="BM161" s="39" t="n">
        <f aca="false">IFERROR(IF($C161="","",IF($D161="","",IFERROR(ROUND($D161*INDEX('🔖 배합비 참조'!$B$2:$CE$83,MATCH("자연치즈(체다치즈)",'🔖 배합비 참조'!$A$2:$A$83,0),MATCH($C161,'🔖 배합비 참조'!$B$1:$CE$1,0))/100,0),""))),"")</f>
        <v>0</v>
      </c>
      <c r="BN161" s="39" t="n">
        <f aca="false">IFERROR(IF($C161="","",IF($D161="","",IFERROR(ROUND($D161*INDEX('🔖 배합비 참조'!$B$2:$CE$83,MATCH("정제수",'🔖 배합비 참조'!$A$2:$A$83,0),MATCH($C161,'🔖 배합비 참조'!$B$1:$CE$1,0))/100,0),""))),"")</f>
        <v>6</v>
      </c>
      <c r="BO161" s="39" t="n">
        <f aca="false">IFERROR(IF($C161="","",IF($D161="","",IFERROR(ROUND($D161*INDEX('🔖 배합비 참조'!$B$2:$CE$83,MATCH("젤라틴",'🔖 배합비 참조'!$A$2:$A$83,0),MATCH($C161,'🔖 배합비 참조'!$B$1:$CE$1,0))/100,0),""))),"")</f>
        <v>0</v>
      </c>
      <c r="BP161" s="39" t="n">
        <f aca="false">IFERROR(IF($C161="","",IF($D161="","",IFERROR(ROUND($D161*INDEX('🔖 배합비 참조'!$B$2:$CE$83,MATCH("조림류(백옥앙금)",'🔖 배합비 참조'!$A$2:$A$83,0),MATCH($C161,'🔖 배합비 참조'!$B$1:$CE$1,0))/100,0),""))),"")</f>
        <v>0</v>
      </c>
      <c r="BQ161" s="39" t="n">
        <f aca="false">IFERROR(IF($C161="","",IF($D161="","",IFERROR(ROUND($D161*INDEX('🔖 배합비 참조'!$B$2:$CE$83,MATCH("조림류(통팥앙금)",'🔖 배합비 참조'!$A$2:$A$83,0),MATCH($C161,'🔖 배합비 참조'!$B$1:$CE$1,0))/100,0),""))),"")</f>
        <v>0</v>
      </c>
      <c r="BR161" s="39" t="n">
        <f aca="false">IFERROR(IF($C161="","",IF($D161="","",IFERROR(ROUND($D161*INDEX('🔖 배합비 참조'!$B$2:$CE$83,MATCH("준초콜릿(외국산)",'🔖 배합비 참조'!$A$2:$A$83,0),MATCH($C161,'🔖 배합비 참조'!$B$1:$CE$1,0))/100,0),""))),"")</f>
        <v>0</v>
      </c>
      <c r="BS161" s="39" t="n">
        <f aca="false">IFERROR(IF($C161="","",IF($D161="","",IFERROR(ROUND($D161*INDEX('🔖 배합비 참조'!$B$2:$CE$83,MATCH("중력분",'🔖 배합비 참조'!$A$2:$A$83,0),MATCH($C161,'🔖 배합비 참조'!$B$1:$CE$1,0))/100,0),""))),"")</f>
        <v>0</v>
      </c>
      <c r="BT161" s="39" t="n">
        <f aca="false">IFERROR(IF($C161="","",IF($D161="","",IFERROR(ROUND($D161*INDEX('🔖 배합비 참조'!$B$2:$CE$83,MATCH("참깨(인도산,나이지리아산,탄자니아산,미얀마산)",'🔖 배합비 참조'!$A$2:$A$83,0),MATCH($C161,'🔖 배합비 참조'!$B$1:$CE$1,0))/100,0),""))),"")</f>
        <v>0</v>
      </c>
      <c r="BU161" s="39" t="n">
        <f aca="false">IFERROR(IF($C161="","",IF($D161="","",IFERROR(ROUND($D161*INDEX('🔖 배합비 참조'!$B$2:$CE$83,MATCH("찹쌀(국내산)",'🔖 배합비 참조'!$A$2:$A$83,0),MATCH($C161,'🔖 배합비 참조'!$B$1:$CE$1,0))/100,0),""))),"")</f>
        <v>0</v>
      </c>
      <c r="BV161" s="39" t="n">
        <f aca="false">IFERROR(IF($C161="","",IF($D161="","",IFERROR(ROUND($D161*INDEX('🔖 배합비 참조'!$B$2:$CE$83,MATCH("천일염",'🔖 배합비 참조'!$A$2:$A$83,0),MATCH($C161,'🔖 배합비 참조'!$B$1:$CE$1,0))/100,0),""))),"")</f>
        <v>0</v>
      </c>
      <c r="BW161" s="39" t="n">
        <f aca="false">IFERROR(IF($C161="","",IF($D161="","",IFERROR(ROUND($D161*INDEX('🔖 배합비 참조'!$B$2:$CE$83,MATCH("치즈 [크림치즈]",'🔖 배합비 참조'!$A$2:$A$83,0),MATCH($C161,'🔖 배합비 참조'!$B$1:$CE$1,0))/100,0),""))),"")</f>
        <v>0</v>
      </c>
      <c r="BX161" s="39" t="n">
        <f aca="false">IFERROR(IF($C161="","",IF($D161="","",IFERROR(ROUND($D161*INDEX('🔖 배합비 참조'!$B$2:$CE$83,MATCH("코코아가공품류(코코아분말)",'🔖 배합비 참조'!$A$2:$A$83,0),MATCH($C161,'🔖 배합비 참조'!$B$1:$CE$1,0))/100,0),""))),"")</f>
        <v>0</v>
      </c>
      <c r="BY161" s="39" t="n">
        <f aca="false">IFERROR(IF($C161="","",IF($D161="","",IFERROR(ROUND($D161*INDEX('🔖 배합비 참조'!$B$2:$CE$83,MATCH("콩기름(대두유)",'🔖 배합비 참조'!$A$2:$A$83,0),MATCH($C161,'🔖 배합비 참조'!$B$1:$CE$1,0))/100,0),""))),"")</f>
        <v>0</v>
      </c>
      <c r="BZ161" s="39" t="n">
        <f aca="false">IFERROR(IF($C161="","",IF($D161="","",IFERROR(ROUND($D161*INDEX('🔖 배합비 참조'!$B$2:$CE$83,MATCH("해바라기씨앗",'🔖 배합비 참조'!$A$2:$A$83,0),MATCH($C161,'🔖 배합비 참조'!$B$1:$CE$1,0))/100,0),""))),"")</f>
        <v>0</v>
      </c>
      <c r="CA161" s="39" t="n">
        <f aca="false">IFERROR(IF($C161="","",IF($D161="","",IFERROR(ROUND($D161*INDEX('🔖 배합비 참조'!$B$2:$CE$83,MATCH("현미(국내산)",'🔖 배합비 참조'!$A$2:$A$83,0),MATCH($C161,'🔖 배합비 참조'!$B$1:$CE$1,0))/100,0),""))),"")</f>
        <v>0</v>
      </c>
      <c r="CB161" s="39" t="n">
        <f aca="false">IFERROR(IF($C161="","",IF($D161="","",IFERROR(ROUND($D161*INDEX('🔖 배합비 참조'!$B$2:$CE$83,MATCH("현미멥쌀(국내산)",'🔖 배합비 참조'!$A$2:$A$83,0),MATCH($C161,'🔖 배합비 참조'!$B$1:$CE$1,0))/100,0),""))),"")</f>
        <v>0</v>
      </c>
      <c r="CC161" s="39" t="n">
        <f aca="false">IFERROR(IF($C161="","",IF($D161="","",IFERROR(ROUND($D161*INDEX('🔖 배합비 참조'!$B$2:$CE$83,MATCH("호두분태(미국산)",'🔖 배합비 참조'!$A$2:$A$83,0),MATCH($C161,'🔖 배합비 참조'!$B$1:$CE$1,0))/100,0),""))),"")</f>
        <v>0</v>
      </c>
      <c r="CD161" s="39" t="n">
        <f aca="false">IFERROR(IF($C161="","",IF($D161="","",IFERROR(ROUND($D161*INDEX('🔖 배합비 참조'!$B$2:$CE$83,MATCH("호박씨앗(외국산)",'🔖 배합비 참조'!$A$2:$A$83,0),MATCH($C161,'🔖 배합비 참조'!$B$1:$CE$1,0))/100,0),""))),"")</f>
        <v>0</v>
      </c>
      <c r="CE161" s="39" t="n">
        <f aca="false">IFERROR(IF($C161="","",IF($D161="","",IFERROR(ROUND($D161*INDEX('🔖 배합비 참조'!$B$2:$CE$83,MATCH("혼합제제(떡용에스텔)",'🔖 배합비 참조'!$A$2:$A$83,0),MATCH($C161,'🔖 배합비 참조'!$B$1:$CE$1,0))/100,0),""))),"")</f>
        <v>0</v>
      </c>
      <c r="CF161" s="39" t="n">
        <f aca="false">IFERROR(IF($C161="","",IF($D161="","",IFERROR(ROUND($D161*INDEX('🔖 배합비 참조'!$B$2:$CE$83,MATCH("혼합제제(스테비아)",'🔖 배합비 참조'!$A$2:$A$83,0),MATCH($C161,'🔖 배합비 참조'!$B$1:$CE$1,0))/100,0),""))),"")</f>
        <v>0</v>
      </c>
      <c r="CG161" s="39" t="n">
        <f aca="false">IFERROR(IF($C161="","",IF($D161="","",IFERROR(ROUND($D161*INDEX('🔖 배합비 참조'!$B$2:$CE$83,MATCH("화이트초콜릿",'🔖 배합비 참조'!$A$2:$A$83,0),MATCH($C161,'🔖 배합비 참조'!$B$1:$CE$1,0))/100,0),""))),"")</f>
        <v>0</v>
      </c>
      <c r="CH161" s="39" t="n">
        <f aca="false">IFERROR(IF($C161="","",IF($D161="","",IFERROR(ROUND($D161*INDEX('🔖 배합비 참조'!$B$2:$CE$83,MATCH("흑미찹쌀(국내산)",'🔖 배합비 참조'!$A$2:$A$83,0),MATCH($C161,'🔖 배합비 참조'!$B$1:$CE$1,0))/100,0),""))),"")</f>
        <v>0</v>
      </c>
      <c r="CI161" s="39" t="n">
        <f aca="false">IFERROR(IF($C161="","",IF($D161="","",IFERROR(ROUND($D161*INDEX('🔖 배합비 참조'!$B$2:$CE$83,MATCH("찰옥수수전분(미국산)",'🔖 배합비 참조'!$A$2:$A$83,0),MATCH($C161,'🔖 배합비 참조'!$B$1:$CE$1,0))/100,0),""))),"")</f>
        <v>0</v>
      </c>
      <c r="CJ161" s="40"/>
      <c r="CL161" s="1" t="s">
        <v>245</v>
      </c>
    </row>
    <row r="162" customFormat="false" ht="18" hidden="false" customHeight="true" outlineLevel="0" collapsed="false">
      <c r="A162" s="41" t="n">
        <v>158</v>
      </c>
      <c r="B162" s="36" t="n">
        <v>46031</v>
      </c>
      <c r="C162" s="37" t="s">
        <v>212</v>
      </c>
      <c r="D162" s="38" t="n">
        <v>127.5</v>
      </c>
      <c r="E162" s="17"/>
      <c r="F162" s="17"/>
      <c r="G162" s="42" t="n">
        <f aca="false">IFERROR(IF($C162="","",IF($D162="","",IFERROR(ROUND($D162*INDEX('🔖 배합비 참조'!$B$2:$CE$83,MATCH("간장",'🔖 배합비 참조'!$A$2:$A$83,0),MATCH($C162,'🔖 배합비 참조'!$B$1:$CE$1,0))/100,0),""))),"")</f>
        <v>0</v>
      </c>
      <c r="H162" s="42" t="n">
        <f aca="false">IFERROR(IF($C162="","",IF($D162="","",IFERROR(ROUND($D162*INDEX('🔖 배합비 참조'!$B$2:$CE$83,MATCH("강낭콩((울타리콩))",'🔖 배합비 참조'!$A$2:$A$83,0),MATCH($C162,'🔖 배합비 참조'!$B$1:$CE$1,0))/100,0),""))),"")</f>
        <v>0</v>
      </c>
      <c r="I162" s="42" t="n">
        <f aca="false">IFERROR(IF($C162="","",IF($D162="","",IFERROR(ROUND($D162*INDEX('🔖 배합비 참조'!$B$2:$CE$83,MATCH("건조딸기다이스(외국산)",'🔖 배합비 참조'!$A$2:$A$83,0),MATCH($C162,'🔖 배합비 참조'!$B$1:$CE$1,0))/100,0),""))),"")</f>
        <v>0</v>
      </c>
      <c r="J162" s="42" t="n">
        <f aca="false">IFERROR(IF($C162="","",IF($D162="","",IFERROR(ROUND($D162*INDEX('🔖 배합비 참조'!$B$2:$CE$83,MATCH("건포도",'🔖 배합비 참조'!$A$2:$A$83,0),MATCH($C162,'🔖 배합비 참조'!$B$1:$CE$1,0))/100,0),""))),"")</f>
        <v>0</v>
      </c>
      <c r="K162" s="42" t="n">
        <f aca="false">IFERROR(IF($C162="","",IF($D162="","",IFERROR(ROUND($D162*INDEX('🔖 배합비 참조'!$B$2:$CE$83,MATCH("건호박채(중국산)",'🔖 배합비 참조'!$A$2:$A$83,0),MATCH($C162,'🔖 배합비 참조'!$B$1:$CE$1,0))/100,0),""))),"")</f>
        <v>0</v>
      </c>
      <c r="L162" s="42" t="n">
        <f aca="false">IFERROR(IF($C162="","",IF($D162="","",IFERROR(ROUND($D162*INDEX('🔖 배합비 참조'!$B$2:$CE$83,MATCH("검정깨(흑임자)",'🔖 배합비 참조'!$A$2:$A$83,0),MATCH($C162,'🔖 배합비 참조'!$B$1:$CE$1,0))/100,0),""))),"")</f>
        <v>0</v>
      </c>
      <c r="M162" s="42" t="n">
        <f aca="false">IFERROR(IF($C162="","",IF($D162="","",IFERROR(ROUND($D162*INDEX('🔖 배합비 참조'!$B$2:$CE$83,MATCH("검정콩",'🔖 배합비 참조'!$A$2:$A$83,0),MATCH($C162,'🔖 배합비 참조'!$B$1:$CE$1,0))/100,0),""))),"")</f>
        <v>0</v>
      </c>
      <c r="N162" s="42" t="n">
        <f aca="false">IFERROR(IF($C162="","",IF($D162="","",IFERROR(ROUND($D162*INDEX('🔖 배합비 참조'!$B$2:$CE$83,MATCH("계피가루",'🔖 배합비 참조'!$A$2:$A$83,0),MATCH($C162,'🔖 배합비 참조'!$B$1:$CE$1,0))/100,0),""))),"")</f>
        <v>0</v>
      </c>
      <c r="O162" s="42" t="n">
        <f aca="false">IFERROR(IF($C162="","",IF($D162="","",IFERROR(ROUND($D162*INDEX('🔖 배합비 참조'!$B$2:$CE$83,MATCH("고구마가루",'🔖 배합비 참조'!$A$2:$A$83,0),MATCH($C162,'🔖 배합비 참조'!$B$1:$CE$1,0))/100,0),""))),"")</f>
        <v>0</v>
      </c>
      <c r="P162" s="42" t="n">
        <f aca="false">IFERROR(IF($C162="","",IF($D162="","",IFERROR(ROUND($D162*INDEX('🔖 배합비 참조'!$B$2:$CE$83,MATCH("고구마무스",'🔖 배합비 참조'!$A$2:$A$83,0),MATCH($C162,'🔖 배합비 참조'!$B$1:$CE$1,0))/100,0),""))),"")</f>
        <v>0</v>
      </c>
      <c r="Q162" s="42" t="n">
        <f aca="false">IFERROR(IF($C162="","",IF($D162="","",IFERROR(ROUND($D162*INDEX('🔖 배합비 참조'!$B$2:$CE$83,MATCH("고려엉겅퀴((곤드레)국내산)",'🔖 배합비 참조'!$A$2:$A$83,0),MATCH($C162,'🔖 배합비 참조'!$B$1:$CE$1,0))/100,0),""))),"")</f>
        <v>0</v>
      </c>
      <c r="R162" s="42" t="n">
        <f aca="false">IFERROR(IF($C162="","",IF($D162="","",IFERROR(ROUND($D162*INDEX('🔖 배합비 참조'!$B$2:$CE$83,MATCH("기타가공품(복분자가루)",'🔖 배합비 참조'!$A$2:$A$83,0),MATCH($C162,'🔖 배합비 참조'!$B$1:$CE$1,0))/100,0),""))),"")</f>
        <v>0</v>
      </c>
      <c r="S162" s="42" t="n">
        <f aca="false">IFERROR(IF($C162="","",IF($D162="","",IFERROR(ROUND($D162*INDEX('🔖 배합비 참조'!$B$2:$CE$83,MATCH("기타가공품(슈퍼소프트엠)",'🔖 배합비 참조'!$A$2:$A$83,0),MATCH($C162,'🔖 배합비 참조'!$B$1:$CE$1,0))/100,0),""))),"")</f>
        <v>0</v>
      </c>
      <c r="T162" s="42" t="n">
        <f aca="false">IFERROR(IF($C162="","",IF($D162="","",IFERROR(ROUND($D162*INDEX('🔖 배합비 참조'!$B$2:$CE$83,MATCH("기타가공품(파인소프트 E-티)",'🔖 배합비 참조'!$A$2:$A$83,0),MATCH($C162,'🔖 배합비 참조'!$B$1:$CE$1,0))/100,0),""))),"")</f>
        <v>0</v>
      </c>
      <c r="U162" s="42" t="n">
        <f aca="false">IFERROR(IF($C162="","",IF($D162="","",IFERROR(ROUND($D162*INDEX('🔖 배합비 참조'!$B$2:$CE$83,MATCH("기타가공품(프리미엄카스테라가루)",'🔖 배합비 참조'!$A$2:$A$83,0),MATCH($C162,'🔖 배합비 참조'!$B$1:$CE$1,0))/100,0),""))),"")</f>
        <v>0</v>
      </c>
      <c r="V162" s="42" t="n">
        <f aca="false">IFERROR(IF($C162="","",IF($D162="","",IFERROR(ROUND($D162*INDEX('🔖 배합비 참조'!$B$2:$CE$83,MATCH("기타가공품(흑임자가루)",'🔖 배합비 참조'!$A$2:$A$83,0),MATCH($C162,'🔖 배합비 참조'!$B$1:$CE$1,0))/100,0),""))),"")</f>
        <v>0</v>
      </c>
      <c r="W162" s="42" t="n">
        <f aca="false">IFERROR(IF($C162="","",IF($D162="","",IFERROR(ROUND($D162*INDEX('🔖 배합비 참조'!$B$2:$CE$83,MATCH("기타설탕(흑설탕)",'🔖 배합비 참조'!$A$2:$A$83,0),MATCH($C162,'🔖 배합비 참조'!$B$1:$CE$1,0))/100,0),""))),"")</f>
        <v>10</v>
      </c>
      <c r="X162" s="42" t="n">
        <f aca="false">IFERROR(IF($C162="","",IF($D162="","",IFERROR(ROUND($D162*INDEX('🔖 배합비 참조'!$B$2:$CE$83,MATCH("냉동쑥(국내산)",'🔖 배합비 참조'!$A$2:$A$83,0),MATCH($C162,'🔖 배합비 참조'!$B$1:$CE$1,0))/100,0),""))),"")</f>
        <v>0</v>
      </c>
      <c r="Y162" s="42" t="n">
        <f aca="false">IFERROR(IF($C162="","",IF($D162="","",IFERROR(ROUND($D162*INDEX('🔖 배합비 참조'!$B$2:$CE$83,MATCH("냉동증숙고구마(중국산)",'🔖 배합비 참조'!$A$2:$A$83,0),MATCH($C162,'🔖 배합비 참조'!$B$1:$CE$1,0))/100,0),""))),"")</f>
        <v>0</v>
      </c>
      <c r="Z162" s="42" t="n">
        <f aca="false">IFERROR(IF($C162="","",IF($D162="","",IFERROR(ROUND($D162*INDEX('🔖 배합비 참조'!$B$2:$CE$83,MATCH("녹차가루",'🔖 배합비 참조'!$A$2:$A$83,0),MATCH($C162,'🔖 배합비 참조'!$B$1:$CE$1,0))/100,0),""))),"")</f>
        <v>0</v>
      </c>
      <c r="AA162" s="42" t="n">
        <f aca="false">IFERROR(IF($C162="","",IF($D162="","",IFERROR(ROUND($D162*INDEX('🔖 배합비 참조'!$B$2:$CE$83,MATCH("다크초콜릿 컴파운드칩",'🔖 배합비 참조'!$A$2:$A$83,0),MATCH($C162,'🔖 배합비 참조'!$B$1:$CE$1,0))/100,0),""))),"")</f>
        <v>0</v>
      </c>
      <c r="AB162" s="42" t="n">
        <f aca="false">IFERROR(IF($C162="","",IF($D162="","",IFERROR(ROUND($D162*INDEX('🔖 배합비 참조'!$B$2:$CE$83,MATCH("단호박분말(중국산)",'🔖 배합비 참조'!$A$2:$A$83,0),MATCH($C162,'🔖 배합비 참조'!$B$1:$CE$1,0))/100,0),""))),"")</f>
        <v>2</v>
      </c>
      <c r="AC162" s="42" t="n">
        <f aca="false">IFERROR(IF($C162="","",IF($D162="","",IFERROR(ROUND($D162*INDEX('🔖 배합비 참조'!$B$2:$CE$83,MATCH("당류가공품(단호박농축액)",'🔖 배합비 참조'!$A$2:$A$83,0),MATCH($C162,'🔖 배합비 참조'!$B$1:$CE$1,0))/100,0),""))),"")</f>
        <v>0</v>
      </c>
      <c r="AD162" s="42" t="n">
        <f aca="false">IFERROR(IF($C162="","",IF($D162="","",IFERROR(ROUND($D162*INDEX('🔖 배합비 참조'!$B$2:$CE$83,MATCH("당류가공품(알룰로스,에리스리톨,스테비올배당체혼합)",'🔖 배합비 참조'!$A$2:$A$83,0),MATCH($C162,'🔖 배합비 참조'!$B$1:$CE$1,0))/100,0),""))),"")</f>
        <v>0</v>
      </c>
      <c r="AE162" s="42" t="n">
        <f aca="false">IFERROR(IF($C162="","",IF($D162="","",IFERROR(ROUND($D162*INDEX('🔖 배합비 참조'!$B$2:$CE$83,MATCH("당류가공품(알룰로스제로파우더)",'🔖 배합비 참조'!$A$2:$A$83,0),MATCH($C162,'🔖 배합비 참조'!$B$1:$CE$1,0))/100,0),""))),"")</f>
        <v>0</v>
      </c>
      <c r="AF162" s="42" t="n">
        <f aca="false">IFERROR(IF($C162="","",IF($D162="","",IFERROR(ROUND($D162*INDEX('🔖 배합비 참조'!$B$2:$CE$83,MATCH("당절임(완두배기)",'🔖 배합비 참조'!$A$2:$A$83,0),MATCH($C162,'🔖 배합비 참조'!$B$1:$CE$1,0))/100,0),""))),"")</f>
        <v>0</v>
      </c>
      <c r="AG162" s="42" t="n">
        <f aca="false">IFERROR(IF($C162="","",IF($D162="","",IFERROR(ROUND($D162*INDEX('🔖 배합비 참조'!$B$2:$CE$83,MATCH("대추농축액",'🔖 배합비 참조'!$A$2:$A$83,0),MATCH($C162,'🔖 배합비 참조'!$B$1:$CE$1,0))/100,0),""))),"")</f>
        <v>0</v>
      </c>
      <c r="AH162" s="42" t="n">
        <f aca="false">IFERROR(IF($C162="","",IF($D162="","",IFERROR(ROUND($D162*INDEX('🔖 배합비 참조'!$B$2:$CE$83,MATCH("대추채(국내산)",'🔖 배합비 참조'!$A$2:$A$83,0),MATCH($C162,'🔖 배합비 참조'!$B$1:$CE$1,0))/100,0),""))),"")</f>
        <v>0</v>
      </c>
      <c r="AI162" s="42" t="n">
        <f aca="false">IFERROR(IF($C162="","",IF($D162="","",IFERROR(ROUND($D162*INDEX('🔖 배합비 참조'!$B$2:$CE$83,MATCH("동부(미얀마산)",'🔖 배합비 참조'!$A$2:$A$83,0),MATCH($C162,'🔖 배합비 참조'!$B$1:$CE$1,0))/100,0),""))),"")</f>
        <v>0</v>
      </c>
      <c r="AJ162" s="42" t="n">
        <f aca="false">IFERROR(IF($C162="","",IF($D162="","",IFERROR(ROUND($D162*INDEX('🔖 배합비 참조'!$B$2:$CE$83,MATCH("두류가공품(백옥앙금)",'🔖 배합비 참조'!$A$2:$A$83,0),MATCH($C162,'🔖 배합비 참조'!$B$1:$CE$1,0))/100,0),""))),"")</f>
        <v>0</v>
      </c>
      <c r="AK162" s="42" t="n">
        <f aca="false">IFERROR(IF($C162="","",IF($D162="","",IFERROR(ROUND($D162*INDEX('🔖 배합비 참조'!$B$2:$CE$83,MATCH("두류가공품(콩고물)",'🔖 배합비 참조'!$A$2:$A$83,0),MATCH($C162,'🔖 배합비 참조'!$B$1:$CE$1,0))/100,0),""))),"")</f>
        <v>0</v>
      </c>
      <c r="AL162" s="42" t="n">
        <f aca="false">IFERROR(IF($C162="","",IF($D162="","",IFERROR(ROUND($D162*INDEX('🔖 배합비 참조'!$B$2:$CE$83,MATCH("두류가공품(통팥고물)",'🔖 배합비 참조'!$A$2:$A$83,0),MATCH($C162,'🔖 배합비 참조'!$B$1:$CE$1,0))/100,0),""))),"")</f>
        <v>0</v>
      </c>
      <c r="AM162" s="42" t="n">
        <f aca="false">IFERROR(IF($C162="","",IF($D162="","",IFERROR(ROUND($D162*INDEX('🔖 배합비 참조'!$B$2:$CE$83,MATCH("딸기레진",'🔖 배합비 참조'!$A$2:$A$83,0),MATCH($C162,'🔖 배합비 참조'!$B$1:$CE$1,0))/100,0),""))),"")</f>
        <v>0</v>
      </c>
      <c r="AN162" s="42" t="n">
        <f aca="false">IFERROR(IF($C162="","",IF($D162="","",IFERROR(ROUND($D162*INDEX('🔖 배합비 참조'!$B$2:$CE$83,MATCH("딸기분말(스트로우베리에이드(분말))",'🔖 배합비 참조'!$A$2:$A$83,0),MATCH($C162,'🔖 배합비 참조'!$B$1:$CE$1,0))/100,0),""))),"")</f>
        <v>0</v>
      </c>
      <c r="AO162" s="42" t="n">
        <f aca="false">IFERROR(IF($C162="","",IF($D162="","",IFERROR(ROUND($D162*INDEX('🔖 배합비 참조'!$B$2:$CE$83,MATCH("마스카포네치즈",'🔖 배합비 참조'!$A$2:$A$83,0),MATCH($C162,'🔖 배합비 참조'!$B$1:$CE$1,0))/100,0),""))),"")</f>
        <v>0</v>
      </c>
      <c r="AP162" s="42" t="n">
        <f aca="false">IFERROR(IF($C162="","",IF($D162="","",IFERROR(ROUND($D162*INDEX('🔖 배합비 참조'!$B$2:$CE$83,MATCH("마카다미아분태(호주산)",'🔖 배합비 참조'!$A$2:$A$83,0),MATCH($C162,'🔖 배합비 참조'!$B$1:$CE$1,0))/100,0),""))),"")</f>
        <v>0</v>
      </c>
      <c r="AQ162" s="42" t="n">
        <f aca="false">IFERROR(IF($C162="","",IF($D162="","",IFERROR(ROUND($D162*INDEX('🔖 배합비 참조'!$B$2:$CE$83,MATCH("멥쌀(국내산)",'🔖 배합비 참조'!$A$2:$A$83,0),MATCH($C162,'🔖 배합비 참조'!$B$1:$CE$1,0))/100,0),""))),"")</f>
        <v>77</v>
      </c>
      <c r="AR162" s="42" t="n">
        <f aca="false">IFERROR(IF($C162="","",IF($D162="","",IFERROR(ROUND($D162*INDEX('🔖 배합비 참조'!$B$2:$CE$83,MATCH("모시잎(국내산)",'🔖 배합비 참조'!$A$2:$A$83,0),MATCH($C162,'🔖 배합비 참조'!$B$1:$CE$1,0))/100,0),""))),"")</f>
        <v>0</v>
      </c>
      <c r="AS162" s="42" t="n">
        <f aca="false">IFERROR(IF($C162="","",IF($D162="","",IFERROR(ROUND($D162*INDEX('🔖 배합비 참조'!$B$2:$CE$83,MATCH("물엿(저당물엿)",'🔖 배합비 참조'!$A$2:$A$83,0),MATCH($C162,'🔖 배합비 참조'!$B$1:$CE$1,0))/100,0),""))),"")</f>
        <v>0</v>
      </c>
      <c r="AT162" s="42" t="n">
        <f aca="false">IFERROR(IF($C162="","",IF($D162="","",IFERROR(ROUND($D162*INDEX('🔖 배합비 참조'!$B$2:$CE$83,MATCH("밤다이스",'🔖 배합비 참조'!$A$2:$A$83,0),MATCH($C162,'🔖 배합비 참조'!$B$1:$CE$1,0))/100,0),""))),"")</f>
        <v>0</v>
      </c>
      <c r="AU162" s="42" t="n">
        <f aca="false">IFERROR(IF($C162="","",IF($D162="","",IFERROR(ROUND($D162*INDEX('🔖 배합비 참조'!$B$2:$CE$83,MATCH("변성전분(타피오카전분)",'🔖 배합비 참조'!$A$2:$A$83,0),MATCH($C162,'🔖 배합비 참조'!$B$1:$CE$1,0))/100,0),""))),"")</f>
        <v>0</v>
      </c>
      <c r="AV162" s="42" t="n">
        <f aca="false">IFERROR(IF($C162="","",IF($D162="","",IFERROR(ROUND($D162*INDEX('🔖 배합비 참조'!$B$2:$CE$83,MATCH("복음땅콩분태",'🔖 배합비 참조'!$A$2:$A$83,0),MATCH($C162,'🔖 배합비 참조'!$B$1:$CE$1,0))/100,0),""))),"")</f>
        <v>0</v>
      </c>
      <c r="AW162" s="42" t="n">
        <f aca="false">IFERROR(IF($C162="","",IF($D162="","",IFERROR(ROUND($D162*INDEX('🔖 배합비 참조'!$B$2:$CE$83,MATCH("사양벌꿀(국내산)",'🔖 배합비 참조'!$A$2:$A$83,0),MATCH($C162,'🔖 배합비 참조'!$B$1:$CE$1,0))/100,0),""))),"")</f>
        <v>2</v>
      </c>
      <c r="AX162" s="42" t="n">
        <f aca="false">IFERROR(IF($C162="","",IF($D162="","",IFERROR(ROUND($D162*INDEX('🔖 배합비 참조'!$B$2:$CE$83,MATCH("생크림",'🔖 배합비 참조'!$A$2:$A$83,0),MATCH($C162,'🔖 배합비 참조'!$B$1:$CE$1,0))/100,0),""))),"")</f>
        <v>0</v>
      </c>
      <c r="AY162" s="42" t="n">
        <f aca="false">IFERROR(IF($C162="","",IF($D162="","",IFERROR(ROUND($D162*INDEX('🔖 배합비 참조'!$B$2:$CE$83,MATCH("서양호박(국내산,뉴질랜드산)",'🔖 배합비 참조'!$A$2:$A$83,0),MATCH($C162,'🔖 배합비 참조'!$B$1:$CE$1,0))/100,0),""))),"")</f>
        <v>10</v>
      </c>
      <c r="AZ162" s="42" t="n">
        <f aca="false">IFERROR(IF($C162="","",IF($D162="","",IFERROR(ROUND($D162*INDEX('🔖 배합비 참조'!$B$2:$CE$83,MATCH("설탕",'🔖 배합비 참조'!$A$2:$A$83,0),MATCH($C162,'🔖 배합비 참조'!$B$1:$CE$1,0))/100,0),""))),"")</f>
        <v>10</v>
      </c>
      <c r="BA162" s="42" t="n">
        <f aca="false">IFERROR(IF($C162="","",IF($D162="","",IFERROR(ROUND($D162*INDEX('🔖 배합비 참조'!$B$2:$CE$83,MATCH("스트로우베리 에이드 후레쉬",'🔖 배합비 참조'!$A$2:$A$83,0),MATCH($C162,'🔖 배합비 참조'!$B$1:$CE$1,0))/100,0),""))),"")</f>
        <v>0</v>
      </c>
      <c r="BB162" s="42" t="n">
        <f aca="false">IFERROR(IF($C162="","",IF($D162="","",IFERROR(ROUND($D162*INDEX('🔖 배합비 참조'!$B$2:$CE$83,MATCH("식물성기름혼합제제(분홍)",'🔖 배합비 참조'!$A$2:$A$83,0),MATCH($C162,'🔖 배합비 참조'!$B$1:$CE$1,0))/100,0),""))),"")</f>
        <v>0</v>
      </c>
      <c r="BC162" s="42" t="n">
        <f aca="false">IFERROR(IF($C162="","",IF($D162="","",IFERROR(ROUND($D162*INDEX('🔖 배합비 참조'!$B$2:$CE$83,MATCH("식물성기름혼합제제(초록)",'🔖 배합비 참조'!$A$2:$A$83,0),MATCH($C162,'🔖 배합비 참조'!$B$1:$CE$1,0))/100,0),""))),"")</f>
        <v>0</v>
      </c>
      <c r="BD162" s="42" t="n">
        <f aca="false">IFERROR(IF($C162="","",IF($D162="","",IFERROR(ROUND($D162*INDEX('🔖 배합비 참조'!$B$2:$CE$83,MATCH("식물성기름혼합제제(황색)",'🔖 배합비 참조'!$A$2:$A$83,0),MATCH($C162,'🔖 배합비 참조'!$B$1:$CE$1,0))/100,0),""))),"")</f>
        <v>0</v>
      </c>
      <c r="BE162" s="42" t="n">
        <f aca="false">IFERROR(IF($C162="","",IF($D162="","",IFERROR(ROUND($D162*INDEX('🔖 배합비 참조'!$B$2:$CE$83,MATCH("쑥가루(국내산)",'🔖 배합비 참조'!$A$2:$A$83,0),MATCH($C162,'🔖 배합비 참조'!$B$1:$CE$1,0))/100,0),""))),"")</f>
        <v>0</v>
      </c>
      <c r="BF162" s="42" t="n">
        <f aca="false">IFERROR(IF($C162="","",IF($D162="","",IFERROR(ROUND($D162*INDEX('🔖 배합비 참조'!$B$2:$CE$83,MATCH("아몬드슬라이스",'🔖 배합비 참조'!$A$2:$A$83,0),MATCH($C162,'🔖 배합비 참조'!$B$1:$CE$1,0))/100,0),""))),"")</f>
        <v>0</v>
      </c>
      <c r="BG162" s="42" t="n">
        <f aca="false">IFERROR(IF($C162="","",IF($D162="","",IFERROR(ROUND($D162*INDEX('🔖 배합비 참조'!$B$2:$CE$83,MATCH("알룰로오스(국내산)",'🔖 배합비 참조'!$A$2:$A$83,0),MATCH($C162,'🔖 배합비 참조'!$B$1:$CE$1,0))/100,0),""))),"")</f>
        <v>0</v>
      </c>
      <c r="BH162" s="42" t="n">
        <f aca="false">IFERROR(IF($C162="","",IF($D162="","",IFERROR(ROUND($D162*INDEX('🔖 배합비 참조'!$B$2:$CE$83,MATCH("연유",'🔖 배합비 참조'!$A$2:$A$83,0),MATCH($C162,'🔖 배합비 참조'!$B$1:$CE$1,0))/100,0),""))),"")</f>
        <v>0</v>
      </c>
      <c r="BI162" s="42" t="n">
        <f aca="false">IFERROR(IF($C162="","",IF($D162="","",IFERROR(ROUND($D162*INDEX('🔖 배합비 참조'!$B$2:$CE$83,MATCH("옥수수전분",'🔖 배합비 참조'!$A$2:$A$83,0),MATCH($C162,'🔖 배합비 참조'!$B$1:$CE$1,0))/100,0),""))),"")</f>
        <v>0</v>
      </c>
      <c r="BJ162" s="42" t="n">
        <f aca="false">IFERROR(IF($C162="","",IF($D162="","",IFERROR(ROUND($D162*INDEX('🔖 배합비 참조'!$B$2:$CE$83,MATCH("완두배기",'🔖 배합비 참조'!$A$2:$A$83,0),MATCH($C162,'🔖 배합비 참조'!$B$1:$CE$1,0))/100,0),""))),"")</f>
        <v>0</v>
      </c>
      <c r="BK162" s="42" t="n">
        <f aca="false">IFERROR(IF($C162="","",IF($D162="","",IFERROR(ROUND($D162*INDEX('🔖 배합비 참조'!$B$2:$CE$83,MATCH("우유(국내산)",'🔖 배합비 참조'!$A$2:$A$83,0),MATCH($C162,'🔖 배합비 참조'!$B$1:$CE$1,0))/100,0),""))),"")</f>
        <v>0</v>
      </c>
      <c r="BL162" s="42" t="n">
        <f aca="false">IFERROR(IF($C162="","",IF($D162="","",IFERROR(ROUND($D162*INDEX('🔖 배합비 참조'!$B$2:$CE$83,MATCH("자색고구마가루(중국산)",'🔖 배합비 참조'!$A$2:$A$83,0),MATCH($C162,'🔖 배합비 참조'!$B$1:$CE$1,0))/100,0),""))),"")</f>
        <v>0</v>
      </c>
      <c r="BM162" s="42" t="n">
        <f aca="false">IFERROR(IF($C162="","",IF($D162="","",IFERROR(ROUND($D162*INDEX('🔖 배합비 참조'!$B$2:$CE$83,MATCH("자연치즈(체다치즈)",'🔖 배합비 참조'!$A$2:$A$83,0),MATCH($C162,'🔖 배합비 참조'!$B$1:$CE$1,0))/100,0),""))),"")</f>
        <v>0</v>
      </c>
      <c r="BN162" s="42" t="n">
        <f aca="false">IFERROR(IF($C162="","",IF($D162="","",IFERROR(ROUND($D162*INDEX('🔖 배합비 참조'!$B$2:$CE$83,MATCH("정제수",'🔖 배합비 참조'!$A$2:$A$83,0),MATCH($C162,'🔖 배합비 참조'!$B$1:$CE$1,0))/100,0),""))),"")</f>
        <v>15</v>
      </c>
      <c r="BO162" s="42" t="n">
        <f aca="false">IFERROR(IF($C162="","",IF($D162="","",IFERROR(ROUND($D162*INDEX('🔖 배합비 참조'!$B$2:$CE$83,MATCH("젤라틴",'🔖 배합비 참조'!$A$2:$A$83,0),MATCH($C162,'🔖 배합비 참조'!$B$1:$CE$1,0))/100,0),""))),"")</f>
        <v>0</v>
      </c>
      <c r="BP162" s="42" t="n">
        <f aca="false">IFERROR(IF($C162="","",IF($D162="","",IFERROR(ROUND($D162*INDEX('🔖 배합비 참조'!$B$2:$CE$83,MATCH("조림류(백옥앙금)",'🔖 배합비 참조'!$A$2:$A$83,0),MATCH($C162,'🔖 배합비 참조'!$B$1:$CE$1,0))/100,0),""))),"")</f>
        <v>0</v>
      </c>
      <c r="BQ162" s="42" t="n">
        <f aca="false">IFERROR(IF($C162="","",IF($D162="","",IFERROR(ROUND($D162*INDEX('🔖 배합비 참조'!$B$2:$CE$83,MATCH("조림류(통팥앙금)",'🔖 배합비 참조'!$A$2:$A$83,0),MATCH($C162,'🔖 배합비 참조'!$B$1:$CE$1,0))/100,0),""))),"")</f>
        <v>0</v>
      </c>
      <c r="BR162" s="42" t="n">
        <f aca="false">IFERROR(IF($C162="","",IF($D162="","",IFERROR(ROUND($D162*INDEX('🔖 배합비 참조'!$B$2:$CE$83,MATCH("준초콜릿(외국산)",'🔖 배합비 참조'!$A$2:$A$83,0),MATCH($C162,'🔖 배합비 참조'!$B$1:$CE$1,0))/100,0),""))),"")</f>
        <v>0</v>
      </c>
      <c r="BS162" s="42" t="n">
        <f aca="false">IFERROR(IF($C162="","",IF($D162="","",IFERROR(ROUND($D162*INDEX('🔖 배합비 참조'!$B$2:$CE$83,MATCH("중력분",'🔖 배합비 참조'!$A$2:$A$83,0),MATCH($C162,'🔖 배합비 참조'!$B$1:$CE$1,0))/100,0),""))),"")</f>
        <v>0</v>
      </c>
      <c r="BT162" s="42" t="n">
        <f aca="false">IFERROR(IF($C162="","",IF($D162="","",IFERROR(ROUND($D162*INDEX('🔖 배합비 참조'!$B$2:$CE$83,MATCH("참깨(인도산,나이지리아산,탄자니아산,미얀마산)",'🔖 배합비 참조'!$A$2:$A$83,0),MATCH($C162,'🔖 배합비 참조'!$B$1:$CE$1,0))/100,0),""))),"")</f>
        <v>0</v>
      </c>
      <c r="BU162" s="42" t="n">
        <f aca="false">IFERROR(IF($C162="","",IF($D162="","",IFERROR(ROUND($D162*INDEX('🔖 배합비 참조'!$B$2:$CE$83,MATCH("찹쌀(국내산)",'🔖 배합비 참조'!$A$2:$A$83,0),MATCH($C162,'🔖 배합비 참조'!$B$1:$CE$1,0))/100,0),""))),"")</f>
        <v>0</v>
      </c>
      <c r="BV162" s="42" t="n">
        <f aca="false">IFERROR(IF($C162="","",IF($D162="","",IFERROR(ROUND($D162*INDEX('🔖 배합비 참조'!$B$2:$CE$83,MATCH("천일염",'🔖 배합비 참조'!$A$2:$A$83,0),MATCH($C162,'🔖 배합비 참조'!$B$1:$CE$1,0))/100,0),""))),"")</f>
        <v>1</v>
      </c>
      <c r="BW162" s="42" t="n">
        <f aca="false">IFERROR(IF($C162="","",IF($D162="","",IFERROR(ROUND($D162*INDEX('🔖 배합비 참조'!$B$2:$CE$83,MATCH("치즈 [크림치즈]",'🔖 배합비 참조'!$A$2:$A$83,0),MATCH($C162,'🔖 배합비 참조'!$B$1:$CE$1,0))/100,0),""))),"")</f>
        <v>0</v>
      </c>
      <c r="BX162" s="42" t="n">
        <f aca="false">IFERROR(IF($C162="","",IF($D162="","",IFERROR(ROUND($D162*INDEX('🔖 배합비 참조'!$B$2:$CE$83,MATCH("코코아가공품류(코코아분말)",'🔖 배합비 참조'!$A$2:$A$83,0),MATCH($C162,'🔖 배합비 참조'!$B$1:$CE$1,0))/100,0),""))),"")</f>
        <v>0</v>
      </c>
      <c r="BY162" s="42" t="n">
        <f aca="false">IFERROR(IF($C162="","",IF($D162="","",IFERROR(ROUND($D162*INDEX('🔖 배합비 참조'!$B$2:$CE$83,MATCH("콩기름(대두유)",'🔖 배합비 참조'!$A$2:$A$83,0),MATCH($C162,'🔖 배합비 참조'!$B$1:$CE$1,0))/100,0),""))),"")</f>
        <v>0</v>
      </c>
      <c r="BZ162" s="42" t="n">
        <f aca="false">IFERROR(IF($C162="","",IF($D162="","",IFERROR(ROUND($D162*INDEX('🔖 배합비 참조'!$B$2:$CE$83,MATCH("해바라기씨앗",'🔖 배합비 참조'!$A$2:$A$83,0),MATCH($C162,'🔖 배합비 참조'!$B$1:$CE$1,0))/100,0),""))),"")</f>
        <v>0</v>
      </c>
      <c r="CA162" s="42" t="n">
        <f aca="false">IFERROR(IF($C162="","",IF($D162="","",IFERROR(ROUND($D162*INDEX('🔖 배합비 참조'!$B$2:$CE$83,MATCH("현미(국내산)",'🔖 배합비 참조'!$A$2:$A$83,0),MATCH($C162,'🔖 배합비 참조'!$B$1:$CE$1,0))/100,0),""))),"")</f>
        <v>0</v>
      </c>
      <c r="CB162" s="42" t="n">
        <f aca="false">IFERROR(IF($C162="","",IF($D162="","",IFERROR(ROUND($D162*INDEX('🔖 배합비 참조'!$B$2:$CE$83,MATCH("현미멥쌀(국내산)",'🔖 배합비 참조'!$A$2:$A$83,0),MATCH($C162,'🔖 배합비 참조'!$B$1:$CE$1,0))/100,0),""))),"")</f>
        <v>0</v>
      </c>
      <c r="CC162" s="42" t="n">
        <f aca="false">IFERROR(IF($C162="","",IF($D162="","",IFERROR(ROUND($D162*INDEX('🔖 배합비 참조'!$B$2:$CE$83,MATCH("호두분태(미국산)",'🔖 배합비 참조'!$A$2:$A$83,0),MATCH($C162,'🔖 배합비 참조'!$B$1:$CE$1,0))/100,0),""))),"")</f>
        <v>0</v>
      </c>
      <c r="CD162" s="42" t="n">
        <f aca="false">IFERROR(IF($C162="","",IF($D162="","",IFERROR(ROUND($D162*INDEX('🔖 배합비 참조'!$B$2:$CE$83,MATCH("호박씨앗(외국산)",'🔖 배합비 참조'!$A$2:$A$83,0),MATCH($C162,'🔖 배합비 참조'!$B$1:$CE$1,0))/100,0),""))),"")</f>
        <v>0</v>
      </c>
      <c r="CE162" s="42" t="n">
        <f aca="false">IFERROR(IF($C162="","",IF($D162="","",IFERROR(ROUND($D162*INDEX('🔖 배합비 참조'!$B$2:$CE$83,MATCH("혼합제제(떡용에스텔)",'🔖 배합비 참조'!$A$2:$A$83,0),MATCH($C162,'🔖 배합비 참조'!$B$1:$CE$1,0))/100,0),""))),"")</f>
        <v>0</v>
      </c>
      <c r="CF162" s="42" t="n">
        <f aca="false">IFERROR(IF($C162="","",IF($D162="","",IFERROR(ROUND($D162*INDEX('🔖 배합비 참조'!$B$2:$CE$83,MATCH("혼합제제(스테비아)",'🔖 배합비 참조'!$A$2:$A$83,0),MATCH($C162,'🔖 배합비 참조'!$B$1:$CE$1,0))/100,0),""))),"")</f>
        <v>0</v>
      </c>
      <c r="CG162" s="42" t="n">
        <f aca="false">IFERROR(IF($C162="","",IF($D162="","",IFERROR(ROUND($D162*INDEX('🔖 배합비 참조'!$B$2:$CE$83,MATCH("화이트초콜릿",'🔖 배합비 참조'!$A$2:$A$83,0),MATCH($C162,'🔖 배합비 참조'!$B$1:$CE$1,0))/100,0),""))),"")</f>
        <v>0</v>
      </c>
      <c r="CH162" s="42" t="n">
        <f aca="false">IFERROR(IF($C162="","",IF($D162="","",IFERROR(ROUND($D162*INDEX('🔖 배합비 참조'!$B$2:$CE$83,MATCH("흑미찹쌀(국내산)",'🔖 배합비 참조'!$A$2:$A$83,0),MATCH($C162,'🔖 배합비 참조'!$B$1:$CE$1,0))/100,0),""))),"")</f>
        <v>0</v>
      </c>
      <c r="CI162" s="42" t="n">
        <f aca="false">IFERROR(IF($C162="","",IF($D162="","",IFERROR(ROUND($D162*INDEX('🔖 배합비 참조'!$B$2:$CE$83,MATCH("찰옥수수전분(미국산)",'🔖 배합비 참조'!$A$2:$A$83,0),MATCH($C162,'🔖 배합비 참조'!$B$1:$CE$1,0))/100,0),""))),"")</f>
        <v>0</v>
      </c>
      <c r="CJ162" s="40"/>
      <c r="CL162" s="1" t="s">
        <v>245</v>
      </c>
    </row>
    <row r="163" customFormat="false" ht="18" hidden="false" customHeight="true" outlineLevel="0" collapsed="false">
      <c r="A163" s="35" t="n">
        <v>159</v>
      </c>
      <c r="B163" s="36" t="n">
        <v>46034</v>
      </c>
      <c r="C163" s="37" t="s">
        <v>183</v>
      </c>
      <c r="D163" s="38" t="n">
        <v>140</v>
      </c>
      <c r="E163" s="13"/>
      <c r="F163" s="13"/>
      <c r="G163" s="39" t="n">
        <f aca="false">IFERROR(IF($C163="","",IF($D163="","",IFERROR(ROUND($D163*INDEX('🔖 배합비 참조'!$B$2:$CE$83,MATCH("간장",'🔖 배합비 참조'!$A$2:$A$83,0),MATCH($C163,'🔖 배합비 참조'!$B$1:$CE$1,0))/100,0),""))),"")</f>
        <v>0</v>
      </c>
      <c r="H163" s="39" t="n">
        <f aca="false">IFERROR(IF($C163="","",IF($D163="","",IFERROR(ROUND($D163*INDEX('🔖 배합비 참조'!$B$2:$CE$83,MATCH("강낭콩((울타리콩))",'🔖 배합비 참조'!$A$2:$A$83,0),MATCH($C163,'🔖 배합비 참조'!$B$1:$CE$1,0))/100,0),""))),"")</f>
        <v>0</v>
      </c>
      <c r="I163" s="39" t="n">
        <f aca="false">IFERROR(IF($C163="","",IF($D163="","",IFERROR(ROUND($D163*INDEX('🔖 배합비 참조'!$B$2:$CE$83,MATCH("건조딸기다이스(외국산)",'🔖 배합비 참조'!$A$2:$A$83,0),MATCH($C163,'🔖 배합비 참조'!$B$1:$CE$1,0))/100,0),""))),"")</f>
        <v>0</v>
      </c>
      <c r="J163" s="39" t="n">
        <f aca="false">IFERROR(IF($C163="","",IF($D163="","",IFERROR(ROUND($D163*INDEX('🔖 배합비 참조'!$B$2:$CE$83,MATCH("건포도",'🔖 배합비 참조'!$A$2:$A$83,0),MATCH($C163,'🔖 배합비 참조'!$B$1:$CE$1,0))/100,0),""))),"")</f>
        <v>0</v>
      </c>
      <c r="K163" s="39" t="n">
        <f aca="false">IFERROR(IF($C163="","",IF($D163="","",IFERROR(ROUND($D163*INDEX('🔖 배합비 참조'!$B$2:$CE$83,MATCH("건호박채(중국산)",'🔖 배합비 참조'!$A$2:$A$83,0),MATCH($C163,'🔖 배합비 참조'!$B$1:$CE$1,0))/100,0),""))),"")</f>
        <v>0</v>
      </c>
      <c r="L163" s="39" t="n">
        <f aca="false">IFERROR(IF($C163="","",IF($D163="","",IFERROR(ROUND($D163*INDEX('🔖 배합비 참조'!$B$2:$CE$83,MATCH("검정깨(흑임자)",'🔖 배합비 참조'!$A$2:$A$83,0),MATCH($C163,'🔖 배합비 참조'!$B$1:$CE$1,0))/100,0),""))),"")</f>
        <v>0</v>
      </c>
      <c r="M163" s="39" t="n">
        <f aca="false">IFERROR(IF($C163="","",IF($D163="","",IFERROR(ROUND($D163*INDEX('🔖 배합비 참조'!$B$2:$CE$83,MATCH("검정콩",'🔖 배합비 참조'!$A$2:$A$83,0),MATCH($C163,'🔖 배합비 참조'!$B$1:$CE$1,0))/100,0),""))),"")</f>
        <v>0</v>
      </c>
      <c r="N163" s="39" t="n">
        <f aca="false">IFERROR(IF($C163="","",IF($D163="","",IFERROR(ROUND($D163*INDEX('🔖 배합비 참조'!$B$2:$CE$83,MATCH("계피가루",'🔖 배합비 참조'!$A$2:$A$83,0),MATCH($C163,'🔖 배합비 참조'!$B$1:$CE$1,0))/100,0),""))),"")</f>
        <v>0</v>
      </c>
      <c r="O163" s="39" t="n">
        <f aca="false">IFERROR(IF($C163="","",IF($D163="","",IFERROR(ROUND($D163*INDEX('🔖 배합비 참조'!$B$2:$CE$83,MATCH("고구마가루",'🔖 배합비 참조'!$A$2:$A$83,0),MATCH($C163,'🔖 배합비 참조'!$B$1:$CE$1,0))/100,0),""))),"")</f>
        <v>0</v>
      </c>
      <c r="P163" s="39" t="n">
        <f aca="false">IFERROR(IF($C163="","",IF($D163="","",IFERROR(ROUND($D163*INDEX('🔖 배합비 참조'!$B$2:$CE$83,MATCH("고구마무스",'🔖 배합비 참조'!$A$2:$A$83,0),MATCH($C163,'🔖 배합비 참조'!$B$1:$CE$1,0))/100,0),""))),"")</f>
        <v>0</v>
      </c>
      <c r="Q163" s="39" t="n">
        <f aca="false">IFERROR(IF($C163="","",IF($D163="","",IFERROR(ROUND($D163*INDEX('🔖 배합비 참조'!$B$2:$CE$83,MATCH("고려엉겅퀴((곤드레)국내산)",'🔖 배합비 참조'!$A$2:$A$83,0),MATCH($C163,'🔖 배합비 참조'!$B$1:$CE$1,0))/100,0),""))),"")</f>
        <v>0</v>
      </c>
      <c r="R163" s="39" t="n">
        <f aca="false">IFERROR(IF($C163="","",IF($D163="","",IFERROR(ROUND($D163*INDEX('🔖 배합비 참조'!$B$2:$CE$83,MATCH("기타가공품(복분자가루)",'🔖 배합비 참조'!$A$2:$A$83,0),MATCH($C163,'🔖 배합비 참조'!$B$1:$CE$1,0))/100,0),""))),"")</f>
        <v>0</v>
      </c>
      <c r="S163" s="39" t="n">
        <f aca="false">IFERROR(IF($C163="","",IF($D163="","",IFERROR(ROUND($D163*INDEX('🔖 배합비 참조'!$B$2:$CE$83,MATCH("기타가공품(슈퍼소프트엠)",'🔖 배합비 참조'!$A$2:$A$83,0),MATCH($C163,'🔖 배합비 참조'!$B$1:$CE$1,0))/100,0),""))),"")</f>
        <v>0</v>
      </c>
      <c r="T163" s="39" t="n">
        <f aca="false">IFERROR(IF($C163="","",IF($D163="","",IFERROR(ROUND($D163*INDEX('🔖 배합비 참조'!$B$2:$CE$83,MATCH("기타가공품(파인소프트 E-티)",'🔖 배합비 참조'!$A$2:$A$83,0),MATCH($C163,'🔖 배합비 참조'!$B$1:$CE$1,0))/100,0),""))),"")</f>
        <v>0</v>
      </c>
      <c r="U163" s="39" t="n">
        <f aca="false">IFERROR(IF($C163="","",IF($D163="","",IFERROR(ROUND($D163*INDEX('🔖 배합비 참조'!$B$2:$CE$83,MATCH("기타가공품(프리미엄카스테라가루)",'🔖 배합비 참조'!$A$2:$A$83,0),MATCH($C163,'🔖 배합비 참조'!$B$1:$CE$1,0))/100,0),""))),"")</f>
        <v>0</v>
      </c>
      <c r="V163" s="39" t="n">
        <f aca="false">IFERROR(IF($C163="","",IF($D163="","",IFERROR(ROUND($D163*INDEX('🔖 배합비 참조'!$B$2:$CE$83,MATCH("기타가공품(흑임자가루)",'🔖 배합비 참조'!$A$2:$A$83,0),MATCH($C163,'🔖 배합비 참조'!$B$1:$CE$1,0))/100,0),""))),"")</f>
        <v>0</v>
      </c>
      <c r="W163" s="39" t="n">
        <f aca="false">IFERROR(IF($C163="","",IF($D163="","",IFERROR(ROUND($D163*INDEX('🔖 배합비 참조'!$B$2:$CE$83,MATCH("기타설탕(흑설탕)",'🔖 배합비 참조'!$A$2:$A$83,0),MATCH($C163,'🔖 배합비 참조'!$B$1:$CE$1,0))/100,0),""))),"")</f>
        <v>0</v>
      </c>
      <c r="X163" s="39" t="n">
        <f aca="false">IFERROR(IF($C163="","",IF($D163="","",IFERROR(ROUND($D163*INDEX('🔖 배합비 참조'!$B$2:$CE$83,MATCH("냉동쑥(국내산)",'🔖 배합비 참조'!$A$2:$A$83,0),MATCH($C163,'🔖 배합비 참조'!$B$1:$CE$1,0))/100,0),""))),"")</f>
        <v>0</v>
      </c>
      <c r="Y163" s="39" t="n">
        <f aca="false">IFERROR(IF($C163="","",IF($D163="","",IFERROR(ROUND($D163*INDEX('🔖 배합비 참조'!$B$2:$CE$83,MATCH("냉동증숙고구마(중국산)",'🔖 배합비 참조'!$A$2:$A$83,0),MATCH($C163,'🔖 배합비 참조'!$B$1:$CE$1,0))/100,0),""))),"")</f>
        <v>0</v>
      </c>
      <c r="Z163" s="39" t="n">
        <f aca="false">IFERROR(IF($C163="","",IF($D163="","",IFERROR(ROUND($D163*INDEX('🔖 배합비 참조'!$B$2:$CE$83,MATCH("녹차가루",'🔖 배합비 참조'!$A$2:$A$83,0),MATCH($C163,'🔖 배합비 참조'!$B$1:$CE$1,0))/100,0),""))),"")</f>
        <v>0</v>
      </c>
      <c r="AA163" s="39" t="n">
        <f aca="false">IFERROR(IF($C163="","",IF($D163="","",IFERROR(ROUND($D163*INDEX('🔖 배합비 참조'!$B$2:$CE$83,MATCH("다크초콜릿 컴파운드칩",'🔖 배합비 참조'!$A$2:$A$83,0),MATCH($C163,'🔖 배합비 참조'!$B$1:$CE$1,0))/100,0),""))),"")</f>
        <v>0</v>
      </c>
      <c r="AB163" s="39" t="n">
        <f aca="false">IFERROR(IF($C163="","",IF($D163="","",IFERROR(ROUND($D163*INDEX('🔖 배합비 참조'!$B$2:$CE$83,MATCH("단호박분말(중국산)",'🔖 배합비 참조'!$A$2:$A$83,0),MATCH($C163,'🔖 배합비 참조'!$B$1:$CE$1,0))/100,0),""))),"")</f>
        <v>0</v>
      </c>
      <c r="AC163" s="39" t="n">
        <f aca="false">IFERROR(IF($C163="","",IF($D163="","",IFERROR(ROUND($D163*INDEX('🔖 배합비 참조'!$B$2:$CE$83,MATCH("당류가공품(단호박농축액)",'🔖 배합비 참조'!$A$2:$A$83,0),MATCH($C163,'🔖 배합비 참조'!$B$1:$CE$1,0))/100,0),""))),"")</f>
        <v>0</v>
      </c>
      <c r="AD163" s="39" t="n">
        <f aca="false">IFERROR(IF($C163="","",IF($D163="","",IFERROR(ROUND($D163*INDEX('🔖 배합비 참조'!$B$2:$CE$83,MATCH("당류가공품(알룰로스,에리스리톨,스테비올배당체혼합)",'🔖 배합비 참조'!$A$2:$A$83,0),MATCH($C163,'🔖 배합비 참조'!$B$1:$CE$1,0))/100,0),""))),"")</f>
        <v>0</v>
      </c>
      <c r="AE163" s="39" t="n">
        <f aca="false">IFERROR(IF($C163="","",IF($D163="","",IFERROR(ROUND($D163*INDEX('🔖 배합비 참조'!$B$2:$CE$83,MATCH("당류가공품(알룰로스제로파우더)",'🔖 배합비 참조'!$A$2:$A$83,0),MATCH($C163,'🔖 배합비 참조'!$B$1:$CE$1,0))/100,0),""))),"")</f>
        <v>0</v>
      </c>
      <c r="AF163" s="39" t="n">
        <f aca="false">IFERROR(IF($C163="","",IF($D163="","",IFERROR(ROUND($D163*INDEX('🔖 배합비 참조'!$B$2:$CE$83,MATCH("당절임(완두배기)",'🔖 배합비 참조'!$A$2:$A$83,0),MATCH($C163,'🔖 배합비 참조'!$B$1:$CE$1,0))/100,0),""))),"")</f>
        <v>0</v>
      </c>
      <c r="AG163" s="39" t="n">
        <f aca="false">IFERROR(IF($C163="","",IF($D163="","",IFERROR(ROUND($D163*INDEX('🔖 배합비 참조'!$B$2:$CE$83,MATCH("대추농축액",'🔖 배합비 참조'!$A$2:$A$83,0),MATCH($C163,'🔖 배합비 참조'!$B$1:$CE$1,0))/100,0),""))),"")</f>
        <v>0</v>
      </c>
      <c r="AH163" s="39" t="n">
        <f aca="false">IFERROR(IF($C163="","",IF($D163="","",IFERROR(ROUND($D163*INDEX('🔖 배합비 참조'!$B$2:$CE$83,MATCH("대추채(국내산)",'🔖 배합비 참조'!$A$2:$A$83,0),MATCH($C163,'🔖 배합비 참조'!$B$1:$CE$1,0))/100,0),""))),"")</f>
        <v>0</v>
      </c>
      <c r="AI163" s="39" t="n">
        <f aca="false">IFERROR(IF($C163="","",IF($D163="","",IFERROR(ROUND($D163*INDEX('🔖 배합비 참조'!$B$2:$CE$83,MATCH("동부(미얀마산)",'🔖 배합비 참조'!$A$2:$A$83,0),MATCH($C163,'🔖 배합비 참조'!$B$1:$CE$1,0))/100,0),""))),"")</f>
        <v>0</v>
      </c>
      <c r="AJ163" s="39" t="n">
        <f aca="false">IFERROR(IF($C163="","",IF($D163="","",IFERROR(ROUND($D163*INDEX('🔖 배합비 참조'!$B$2:$CE$83,MATCH("두류가공품(백옥앙금)",'🔖 배합비 참조'!$A$2:$A$83,0),MATCH($C163,'🔖 배합비 참조'!$B$1:$CE$1,0))/100,0),""))),"")</f>
        <v>0</v>
      </c>
      <c r="AK163" s="39" t="n">
        <f aca="false">IFERROR(IF($C163="","",IF($D163="","",IFERROR(ROUND($D163*INDEX('🔖 배합비 참조'!$B$2:$CE$83,MATCH("두류가공품(콩고물)",'🔖 배합비 참조'!$A$2:$A$83,0),MATCH($C163,'🔖 배합비 참조'!$B$1:$CE$1,0))/100,0),""))),"")</f>
        <v>0</v>
      </c>
      <c r="AL163" s="39" t="n">
        <f aca="false">IFERROR(IF($C163="","",IF($D163="","",IFERROR(ROUND($D163*INDEX('🔖 배합비 참조'!$B$2:$CE$83,MATCH("두류가공품(통팥고물)",'🔖 배합비 참조'!$A$2:$A$83,0),MATCH($C163,'🔖 배합비 참조'!$B$1:$CE$1,0))/100,0),""))),"")</f>
        <v>0</v>
      </c>
      <c r="AM163" s="39" t="n">
        <f aca="false">IFERROR(IF($C163="","",IF($D163="","",IFERROR(ROUND($D163*INDEX('🔖 배합비 참조'!$B$2:$CE$83,MATCH("딸기레진",'🔖 배합비 참조'!$A$2:$A$83,0),MATCH($C163,'🔖 배합비 참조'!$B$1:$CE$1,0))/100,0),""))),"")</f>
        <v>0</v>
      </c>
      <c r="AN163" s="39" t="n">
        <f aca="false">IFERROR(IF($C163="","",IF($D163="","",IFERROR(ROUND($D163*INDEX('🔖 배합비 참조'!$B$2:$CE$83,MATCH("딸기분말(스트로우베리에이드(분말))",'🔖 배합비 참조'!$A$2:$A$83,0),MATCH($C163,'🔖 배합비 참조'!$B$1:$CE$1,0))/100,0),""))),"")</f>
        <v>0</v>
      </c>
      <c r="AO163" s="39" t="n">
        <f aca="false">IFERROR(IF($C163="","",IF($D163="","",IFERROR(ROUND($D163*INDEX('🔖 배합비 참조'!$B$2:$CE$83,MATCH("마스카포네치즈",'🔖 배합비 참조'!$A$2:$A$83,0),MATCH($C163,'🔖 배합비 참조'!$B$1:$CE$1,0))/100,0),""))),"")</f>
        <v>0</v>
      </c>
      <c r="AP163" s="39" t="n">
        <f aca="false">IFERROR(IF($C163="","",IF($D163="","",IFERROR(ROUND($D163*INDEX('🔖 배합비 참조'!$B$2:$CE$83,MATCH("마카다미아분태(호주산)",'🔖 배합비 참조'!$A$2:$A$83,0),MATCH($C163,'🔖 배합비 참조'!$B$1:$CE$1,0))/100,0),""))),"")</f>
        <v>0</v>
      </c>
      <c r="AQ163" s="39" t="n">
        <f aca="false">IFERROR(IF($C163="","",IF($D163="","",IFERROR(ROUND($D163*INDEX('🔖 배합비 참조'!$B$2:$CE$83,MATCH("멥쌀(국내산)",'🔖 배합비 참조'!$A$2:$A$83,0),MATCH($C163,'🔖 배합비 참조'!$B$1:$CE$1,0))/100,0),""))),"")</f>
        <v>0</v>
      </c>
      <c r="AR163" s="39" t="n">
        <f aca="false">IFERROR(IF($C163="","",IF($D163="","",IFERROR(ROUND($D163*INDEX('🔖 배합비 참조'!$B$2:$CE$83,MATCH("모시잎(국내산)",'🔖 배합비 참조'!$A$2:$A$83,0),MATCH($C163,'🔖 배합비 참조'!$B$1:$CE$1,0))/100,0),""))),"")</f>
        <v>0</v>
      </c>
      <c r="AS163" s="39" t="n">
        <f aca="false">IFERROR(IF($C163="","",IF($D163="","",IFERROR(ROUND($D163*INDEX('🔖 배합비 참조'!$B$2:$CE$83,MATCH("물엿(저당물엿)",'🔖 배합비 참조'!$A$2:$A$83,0),MATCH($C163,'🔖 배합비 참조'!$B$1:$CE$1,0))/100,0),""))),"")</f>
        <v>3</v>
      </c>
      <c r="AT163" s="39" t="n">
        <f aca="false">IFERROR(IF($C163="","",IF($D163="","",IFERROR(ROUND($D163*INDEX('🔖 배합비 참조'!$B$2:$CE$83,MATCH("밤다이스",'🔖 배합비 참조'!$A$2:$A$83,0),MATCH($C163,'🔖 배합비 참조'!$B$1:$CE$1,0))/100,0),""))),"")</f>
        <v>0</v>
      </c>
      <c r="AU163" s="39" t="n">
        <f aca="false">IFERROR(IF($C163="","",IF($D163="","",IFERROR(ROUND($D163*INDEX('🔖 배합비 참조'!$B$2:$CE$83,MATCH("변성전분(타피오카전분)",'🔖 배합비 참조'!$A$2:$A$83,0),MATCH($C163,'🔖 배합비 참조'!$B$1:$CE$1,0))/100,0),""))),"")</f>
        <v>0</v>
      </c>
      <c r="AV163" s="39" t="n">
        <f aca="false">IFERROR(IF($C163="","",IF($D163="","",IFERROR(ROUND($D163*INDEX('🔖 배합비 참조'!$B$2:$CE$83,MATCH("복음땅콩분태",'🔖 배합비 참조'!$A$2:$A$83,0),MATCH($C163,'🔖 배합비 참조'!$B$1:$CE$1,0))/100,0),""))),"")</f>
        <v>0</v>
      </c>
      <c r="AW163" s="39" t="n">
        <f aca="false">IFERROR(IF($C163="","",IF($D163="","",IFERROR(ROUND($D163*INDEX('🔖 배합비 참조'!$B$2:$CE$83,MATCH("사양벌꿀(국내산)",'🔖 배합비 참조'!$A$2:$A$83,0),MATCH($C163,'🔖 배합비 참조'!$B$1:$CE$1,0))/100,0),""))),"")</f>
        <v>0</v>
      </c>
      <c r="AX163" s="39" t="n">
        <f aca="false">IFERROR(IF($C163="","",IF($D163="","",IFERROR(ROUND($D163*INDEX('🔖 배합비 참조'!$B$2:$CE$83,MATCH("생크림",'🔖 배합비 참조'!$A$2:$A$83,0),MATCH($C163,'🔖 배합비 참조'!$B$1:$CE$1,0))/100,0),""))),"")</f>
        <v>0</v>
      </c>
      <c r="AY163" s="39" t="n">
        <f aca="false">IFERROR(IF($C163="","",IF($D163="","",IFERROR(ROUND($D163*INDEX('🔖 배합비 참조'!$B$2:$CE$83,MATCH("서양호박(국내산,뉴질랜드산)",'🔖 배합비 참조'!$A$2:$A$83,0),MATCH($C163,'🔖 배합비 참조'!$B$1:$CE$1,0))/100,0),""))),"")</f>
        <v>0</v>
      </c>
      <c r="AZ163" s="39" t="n">
        <f aca="false">IFERROR(IF($C163="","",IF($D163="","",IFERROR(ROUND($D163*INDEX('🔖 배합비 참조'!$B$2:$CE$83,MATCH("설탕",'🔖 배합비 참조'!$A$2:$A$83,0),MATCH($C163,'🔖 배합비 참조'!$B$1:$CE$1,0))/100,0),""))),"")</f>
        <v>3</v>
      </c>
      <c r="BA163" s="39" t="n">
        <f aca="false">IFERROR(IF($C163="","",IF($D163="","",IFERROR(ROUND($D163*INDEX('🔖 배합비 참조'!$B$2:$CE$83,MATCH("스트로우베리 에이드 후레쉬",'🔖 배합비 참조'!$A$2:$A$83,0),MATCH($C163,'🔖 배합비 참조'!$B$1:$CE$1,0))/100,0),""))),"")</f>
        <v>0</v>
      </c>
      <c r="BB163" s="39" t="n">
        <f aca="false">IFERROR(IF($C163="","",IF($D163="","",IFERROR(ROUND($D163*INDEX('🔖 배합비 참조'!$B$2:$CE$83,MATCH("식물성기름혼합제제(분홍)",'🔖 배합비 참조'!$A$2:$A$83,0),MATCH($C163,'🔖 배합비 참조'!$B$1:$CE$1,0))/100,0),""))),"")</f>
        <v>0</v>
      </c>
      <c r="BC163" s="39" t="n">
        <f aca="false">IFERROR(IF($C163="","",IF($D163="","",IFERROR(ROUND($D163*INDEX('🔖 배합비 참조'!$B$2:$CE$83,MATCH("식물성기름혼합제제(초록)",'🔖 배합비 참조'!$A$2:$A$83,0),MATCH($C163,'🔖 배합비 참조'!$B$1:$CE$1,0))/100,0),""))),"")</f>
        <v>0</v>
      </c>
      <c r="BD163" s="39" t="n">
        <f aca="false">IFERROR(IF($C163="","",IF($D163="","",IFERROR(ROUND($D163*INDEX('🔖 배합비 참조'!$B$2:$CE$83,MATCH("식물성기름혼합제제(황색)",'🔖 배합비 참조'!$A$2:$A$83,0),MATCH($C163,'🔖 배합비 참조'!$B$1:$CE$1,0))/100,0),""))),"")</f>
        <v>0</v>
      </c>
      <c r="BE163" s="39" t="n">
        <f aca="false">IFERROR(IF($C163="","",IF($D163="","",IFERROR(ROUND($D163*INDEX('🔖 배합비 참조'!$B$2:$CE$83,MATCH("쑥가루(국내산)",'🔖 배합비 참조'!$A$2:$A$83,0),MATCH($C163,'🔖 배합비 참조'!$B$1:$CE$1,0))/100,0),""))),"")</f>
        <v>0</v>
      </c>
      <c r="BF163" s="39" t="n">
        <f aca="false">IFERROR(IF($C163="","",IF($D163="","",IFERROR(ROUND($D163*INDEX('🔖 배합비 참조'!$B$2:$CE$83,MATCH("아몬드슬라이스",'🔖 배합비 참조'!$A$2:$A$83,0),MATCH($C163,'🔖 배합비 참조'!$B$1:$CE$1,0))/100,0),""))),"")</f>
        <v>0</v>
      </c>
      <c r="BG163" s="39" t="n">
        <f aca="false">IFERROR(IF($C163="","",IF($D163="","",IFERROR(ROUND($D163*INDEX('🔖 배합비 참조'!$B$2:$CE$83,MATCH("알룰로오스(국내산)",'🔖 배합비 참조'!$A$2:$A$83,0),MATCH($C163,'🔖 배합비 참조'!$B$1:$CE$1,0))/100,0),""))),"")</f>
        <v>0</v>
      </c>
      <c r="BH163" s="39" t="n">
        <f aca="false">IFERROR(IF($C163="","",IF($D163="","",IFERROR(ROUND($D163*INDEX('🔖 배합비 참조'!$B$2:$CE$83,MATCH("연유",'🔖 배합비 참조'!$A$2:$A$83,0),MATCH($C163,'🔖 배합비 참조'!$B$1:$CE$1,0))/100,0),""))),"")</f>
        <v>0</v>
      </c>
      <c r="BI163" s="39" t="n">
        <f aca="false">IFERROR(IF($C163="","",IF($D163="","",IFERROR(ROUND($D163*INDEX('🔖 배합비 참조'!$B$2:$CE$83,MATCH("옥수수전분",'🔖 배합비 참조'!$A$2:$A$83,0),MATCH($C163,'🔖 배합비 참조'!$B$1:$CE$1,0))/100,0),""))),"")</f>
        <v>2</v>
      </c>
      <c r="BJ163" s="39" t="n">
        <f aca="false">IFERROR(IF($C163="","",IF($D163="","",IFERROR(ROUND($D163*INDEX('🔖 배합비 참조'!$B$2:$CE$83,MATCH("완두배기",'🔖 배합비 참조'!$A$2:$A$83,0),MATCH($C163,'🔖 배합비 참조'!$B$1:$CE$1,0))/100,0),""))),"")</f>
        <v>0</v>
      </c>
      <c r="BK163" s="39" t="n">
        <f aca="false">IFERROR(IF($C163="","",IF($D163="","",IFERROR(ROUND($D163*INDEX('🔖 배합비 참조'!$B$2:$CE$83,MATCH("우유(국내산)",'🔖 배합비 참조'!$A$2:$A$83,0),MATCH($C163,'🔖 배합비 참조'!$B$1:$CE$1,0))/100,0),""))),"")</f>
        <v>0</v>
      </c>
      <c r="BL163" s="39" t="n">
        <f aca="false">IFERROR(IF($C163="","",IF($D163="","",IFERROR(ROUND($D163*INDEX('🔖 배합비 참조'!$B$2:$CE$83,MATCH("자색고구마가루(중국산)",'🔖 배합비 참조'!$A$2:$A$83,0),MATCH($C163,'🔖 배합비 참조'!$B$1:$CE$1,0))/100,0),""))),"")</f>
        <v>0</v>
      </c>
      <c r="BM163" s="39" t="n">
        <f aca="false">IFERROR(IF($C163="","",IF($D163="","",IFERROR(ROUND($D163*INDEX('🔖 배합비 참조'!$B$2:$CE$83,MATCH("자연치즈(체다치즈)",'🔖 배합비 참조'!$A$2:$A$83,0),MATCH($C163,'🔖 배합비 참조'!$B$1:$CE$1,0))/100,0),""))),"")</f>
        <v>0</v>
      </c>
      <c r="BN163" s="39" t="n">
        <f aca="false">IFERROR(IF($C163="","",IF($D163="","",IFERROR(ROUND($D163*INDEX('🔖 배합비 참조'!$B$2:$CE$83,MATCH("정제수",'🔖 배합비 참조'!$A$2:$A$83,0),MATCH($C163,'🔖 배합비 참조'!$B$1:$CE$1,0))/100,0),""))),"")</f>
        <v>0</v>
      </c>
      <c r="BO163" s="39" t="n">
        <f aca="false">IFERROR(IF($C163="","",IF($D163="","",IFERROR(ROUND($D163*INDEX('🔖 배합비 참조'!$B$2:$CE$83,MATCH("젤라틴",'🔖 배합비 참조'!$A$2:$A$83,0),MATCH($C163,'🔖 배합비 참조'!$B$1:$CE$1,0))/100,0),""))),"")</f>
        <v>0</v>
      </c>
      <c r="BP163" s="39" t="n">
        <f aca="false">IFERROR(IF($C163="","",IF($D163="","",IFERROR(ROUND($D163*INDEX('🔖 배합비 참조'!$B$2:$CE$83,MATCH("조림류(백옥앙금)",'🔖 배합비 참조'!$A$2:$A$83,0),MATCH($C163,'🔖 배합비 참조'!$B$1:$CE$1,0))/100,0),""))),"")</f>
        <v>0</v>
      </c>
      <c r="BQ163" s="39" t="n">
        <f aca="false">IFERROR(IF($C163="","",IF($D163="","",IFERROR(ROUND($D163*INDEX('🔖 배합비 참조'!$B$2:$CE$83,MATCH("조림류(통팥앙금)",'🔖 배합비 참조'!$A$2:$A$83,0),MATCH($C163,'🔖 배합비 참조'!$B$1:$CE$1,0))/100,0),""))),"")</f>
        <v>63</v>
      </c>
      <c r="BR163" s="39" t="n">
        <f aca="false">IFERROR(IF($C163="","",IF($D163="","",IFERROR(ROUND($D163*INDEX('🔖 배합비 참조'!$B$2:$CE$83,MATCH("준초콜릿(외국산)",'🔖 배합비 참조'!$A$2:$A$83,0),MATCH($C163,'🔖 배합비 참조'!$B$1:$CE$1,0))/100,0),""))),"")</f>
        <v>0</v>
      </c>
      <c r="BS163" s="39" t="n">
        <f aca="false">IFERROR(IF($C163="","",IF($D163="","",IFERROR(ROUND($D163*INDEX('🔖 배합비 참조'!$B$2:$CE$83,MATCH("중력분",'🔖 배합비 참조'!$A$2:$A$83,0),MATCH($C163,'🔖 배합비 참조'!$B$1:$CE$1,0))/100,0),""))),"")</f>
        <v>0</v>
      </c>
      <c r="BT163" s="39" t="n">
        <f aca="false">IFERROR(IF($C163="","",IF($D163="","",IFERROR(ROUND($D163*INDEX('🔖 배합비 참조'!$B$2:$CE$83,MATCH("참깨(인도산,나이지리아산,탄자니아산,미얀마산)",'🔖 배합비 참조'!$A$2:$A$83,0),MATCH($C163,'🔖 배합비 참조'!$B$1:$CE$1,0))/100,0),""))),"")</f>
        <v>0</v>
      </c>
      <c r="BU163" s="39" t="n">
        <f aca="false">IFERROR(IF($C163="","",IF($D163="","",IFERROR(ROUND($D163*INDEX('🔖 배합비 참조'!$B$2:$CE$83,MATCH("찹쌀(국내산)",'🔖 배합비 참조'!$A$2:$A$83,0),MATCH($C163,'🔖 배합비 참조'!$B$1:$CE$1,0))/100,0),""))),"")</f>
        <v>67</v>
      </c>
      <c r="BV163" s="39" t="n">
        <f aca="false">IFERROR(IF($C163="","",IF($D163="","",IFERROR(ROUND($D163*INDEX('🔖 배합비 참조'!$B$2:$CE$83,MATCH("천일염",'🔖 배합비 참조'!$A$2:$A$83,0),MATCH($C163,'🔖 배합비 참조'!$B$1:$CE$1,0))/100,0),""))),"")</f>
        <v>1</v>
      </c>
      <c r="BW163" s="39" t="n">
        <f aca="false">IFERROR(IF($C163="","",IF($D163="","",IFERROR(ROUND($D163*INDEX('🔖 배합비 참조'!$B$2:$CE$83,MATCH("치즈 [크림치즈]",'🔖 배합비 참조'!$A$2:$A$83,0),MATCH($C163,'🔖 배합비 참조'!$B$1:$CE$1,0))/100,0),""))),"")</f>
        <v>0</v>
      </c>
      <c r="BX163" s="39" t="n">
        <f aca="false">IFERROR(IF($C163="","",IF($D163="","",IFERROR(ROUND($D163*INDEX('🔖 배합비 참조'!$B$2:$CE$83,MATCH("코코아가공품류(코코아분말)",'🔖 배합비 참조'!$A$2:$A$83,0),MATCH($C163,'🔖 배합비 참조'!$B$1:$CE$1,0))/100,0),""))),"")</f>
        <v>0</v>
      </c>
      <c r="BY163" s="39" t="n">
        <f aca="false">IFERROR(IF($C163="","",IF($D163="","",IFERROR(ROUND($D163*INDEX('🔖 배합비 참조'!$B$2:$CE$83,MATCH("콩기름(대두유)",'🔖 배합비 참조'!$A$2:$A$83,0),MATCH($C163,'🔖 배합비 참조'!$B$1:$CE$1,0))/100,0),""))),"")</f>
        <v>0</v>
      </c>
      <c r="BZ163" s="39" t="n">
        <f aca="false">IFERROR(IF($C163="","",IF($D163="","",IFERROR(ROUND($D163*INDEX('🔖 배합비 참조'!$B$2:$CE$83,MATCH("해바라기씨앗",'🔖 배합비 참조'!$A$2:$A$83,0),MATCH($C163,'🔖 배합비 참조'!$B$1:$CE$1,0))/100,0),""))),"")</f>
        <v>0</v>
      </c>
      <c r="CA163" s="39" t="n">
        <f aca="false">IFERROR(IF($C163="","",IF($D163="","",IFERROR(ROUND($D163*INDEX('🔖 배합비 참조'!$B$2:$CE$83,MATCH("현미(국내산)",'🔖 배합비 참조'!$A$2:$A$83,0),MATCH($C163,'🔖 배합비 참조'!$B$1:$CE$1,0))/100,0),""))),"")</f>
        <v>0</v>
      </c>
      <c r="CB163" s="39" t="n">
        <f aca="false">IFERROR(IF($C163="","",IF($D163="","",IFERROR(ROUND($D163*INDEX('🔖 배합비 참조'!$B$2:$CE$83,MATCH("현미멥쌀(국내산)",'🔖 배합비 참조'!$A$2:$A$83,0),MATCH($C163,'🔖 배합비 참조'!$B$1:$CE$1,0))/100,0),""))),"")</f>
        <v>0</v>
      </c>
      <c r="CC163" s="39" t="n">
        <f aca="false">IFERROR(IF($C163="","",IF($D163="","",IFERROR(ROUND($D163*INDEX('🔖 배합비 참조'!$B$2:$CE$83,MATCH("호두분태(미국산)",'🔖 배합비 참조'!$A$2:$A$83,0),MATCH($C163,'🔖 배합비 참조'!$B$1:$CE$1,0))/100,0),""))),"")</f>
        <v>0</v>
      </c>
      <c r="CD163" s="39" t="n">
        <f aca="false">IFERROR(IF($C163="","",IF($D163="","",IFERROR(ROUND($D163*INDEX('🔖 배합비 참조'!$B$2:$CE$83,MATCH("호박씨앗(외국산)",'🔖 배합비 참조'!$A$2:$A$83,0),MATCH($C163,'🔖 배합비 참조'!$B$1:$CE$1,0))/100,0),""))),"")</f>
        <v>0</v>
      </c>
      <c r="CE163" s="39" t="n">
        <f aca="false">IFERROR(IF($C163="","",IF($D163="","",IFERROR(ROUND($D163*INDEX('🔖 배합비 참조'!$B$2:$CE$83,MATCH("혼합제제(떡용에스텔)",'🔖 배합비 참조'!$A$2:$A$83,0),MATCH($C163,'🔖 배합비 참조'!$B$1:$CE$1,0))/100,0),""))),"")</f>
        <v>1</v>
      </c>
      <c r="CF163" s="39" t="n">
        <f aca="false">IFERROR(IF($C163="","",IF($D163="","",IFERROR(ROUND($D163*INDEX('🔖 배합비 참조'!$B$2:$CE$83,MATCH("혼합제제(스테비아)",'🔖 배합비 참조'!$A$2:$A$83,0),MATCH($C163,'🔖 배합비 참조'!$B$1:$CE$1,0))/100,0),""))),"")</f>
        <v>0</v>
      </c>
      <c r="CG163" s="39" t="n">
        <f aca="false">IFERROR(IF($C163="","",IF($D163="","",IFERROR(ROUND($D163*INDEX('🔖 배합비 참조'!$B$2:$CE$83,MATCH("화이트초콜릿",'🔖 배합비 참조'!$A$2:$A$83,0),MATCH($C163,'🔖 배합비 참조'!$B$1:$CE$1,0))/100,0),""))),"")</f>
        <v>0</v>
      </c>
      <c r="CH163" s="39" t="n">
        <f aca="false">IFERROR(IF($C163="","",IF($D163="","",IFERROR(ROUND($D163*INDEX('🔖 배합비 참조'!$B$2:$CE$83,MATCH("흑미찹쌀(국내산)",'🔖 배합비 참조'!$A$2:$A$83,0),MATCH($C163,'🔖 배합비 참조'!$B$1:$CE$1,0))/100,0),""))),"")</f>
        <v>0</v>
      </c>
      <c r="CI163" s="39" t="n">
        <f aca="false">IFERROR(IF($C163="","",IF($D163="","",IFERROR(ROUND($D163*INDEX('🔖 배합비 참조'!$B$2:$CE$83,MATCH("찰옥수수전분(미국산)",'🔖 배합비 참조'!$A$2:$A$83,0),MATCH($C163,'🔖 배합비 참조'!$B$1:$CE$1,0))/100,0),""))),"")</f>
        <v>0</v>
      </c>
      <c r="CJ163" s="40"/>
      <c r="CL163" s="1" t="s">
        <v>245</v>
      </c>
    </row>
    <row r="164" customFormat="false" ht="18" hidden="false" customHeight="true" outlineLevel="0" collapsed="false">
      <c r="A164" s="41" t="n">
        <v>160</v>
      </c>
      <c r="B164" s="36" t="n">
        <v>46034</v>
      </c>
      <c r="C164" s="37" t="s">
        <v>204</v>
      </c>
      <c r="D164" s="38" t="n">
        <v>210</v>
      </c>
      <c r="E164" s="17"/>
      <c r="F164" s="17"/>
      <c r="G164" s="42" t="n">
        <f aca="false">IFERROR(IF($C164="","",IF($D164="","",IFERROR(ROUND($D164*INDEX('🔖 배합비 참조'!$B$2:$CE$83,MATCH("간장",'🔖 배합비 참조'!$A$2:$A$83,0),MATCH($C164,'🔖 배합비 참조'!$B$1:$CE$1,0))/100,0),""))),"")</f>
        <v>0</v>
      </c>
      <c r="H164" s="42" t="n">
        <f aca="false">IFERROR(IF($C164="","",IF($D164="","",IFERROR(ROUND($D164*INDEX('🔖 배합비 참조'!$B$2:$CE$83,MATCH("강낭콩((울타리콩))",'🔖 배합비 참조'!$A$2:$A$83,0),MATCH($C164,'🔖 배합비 참조'!$B$1:$CE$1,0))/100,0),""))),"")</f>
        <v>0</v>
      </c>
      <c r="I164" s="42" t="n">
        <f aca="false">IFERROR(IF($C164="","",IF($D164="","",IFERROR(ROUND($D164*INDEX('🔖 배합비 참조'!$B$2:$CE$83,MATCH("건조딸기다이스(외국산)",'🔖 배합비 참조'!$A$2:$A$83,0),MATCH($C164,'🔖 배합비 참조'!$B$1:$CE$1,0))/100,0),""))),"")</f>
        <v>0</v>
      </c>
      <c r="J164" s="42" t="n">
        <f aca="false">IFERROR(IF($C164="","",IF($D164="","",IFERROR(ROUND($D164*INDEX('🔖 배합비 참조'!$B$2:$CE$83,MATCH("건포도",'🔖 배합비 참조'!$A$2:$A$83,0),MATCH($C164,'🔖 배합비 참조'!$B$1:$CE$1,0))/100,0),""))),"")</f>
        <v>0</v>
      </c>
      <c r="K164" s="42" t="n">
        <f aca="false">IFERROR(IF($C164="","",IF($D164="","",IFERROR(ROUND($D164*INDEX('🔖 배합비 참조'!$B$2:$CE$83,MATCH("건호박채(중국산)",'🔖 배합비 참조'!$A$2:$A$83,0),MATCH($C164,'🔖 배합비 참조'!$B$1:$CE$1,0))/100,0),""))),"")</f>
        <v>0</v>
      </c>
      <c r="L164" s="42" t="n">
        <f aca="false">IFERROR(IF($C164="","",IF($D164="","",IFERROR(ROUND($D164*INDEX('🔖 배합비 참조'!$B$2:$CE$83,MATCH("검정깨(흑임자)",'🔖 배합비 참조'!$A$2:$A$83,0),MATCH($C164,'🔖 배합비 참조'!$B$1:$CE$1,0))/100,0),""))),"")</f>
        <v>0</v>
      </c>
      <c r="M164" s="42" t="n">
        <f aca="false">IFERROR(IF($C164="","",IF($D164="","",IFERROR(ROUND($D164*INDEX('🔖 배합비 참조'!$B$2:$CE$83,MATCH("검정콩",'🔖 배합비 참조'!$A$2:$A$83,0),MATCH($C164,'🔖 배합비 참조'!$B$1:$CE$1,0))/100,0),""))),"")</f>
        <v>0</v>
      </c>
      <c r="N164" s="42" t="n">
        <f aca="false">IFERROR(IF($C164="","",IF($D164="","",IFERROR(ROUND($D164*INDEX('🔖 배합비 참조'!$B$2:$CE$83,MATCH("계피가루",'🔖 배합비 참조'!$A$2:$A$83,0),MATCH($C164,'🔖 배합비 참조'!$B$1:$CE$1,0))/100,0),""))),"")</f>
        <v>0</v>
      </c>
      <c r="O164" s="42" t="n">
        <f aca="false">IFERROR(IF($C164="","",IF($D164="","",IFERROR(ROUND($D164*INDEX('🔖 배합비 참조'!$B$2:$CE$83,MATCH("고구마가루",'🔖 배합비 참조'!$A$2:$A$83,0),MATCH($C164,'🔖 배합비 참조'!$B$1:$CE$1,0))/100,0),""))),"")</f>
        <v>0</v>
      </c>
      <c r="P164" s="42" t="n">
        <f aca="false">IFERROR(IF($C164="","",IF($D164="","",IFERROR(ROUND($D164*INDEX('🔖 배합비 참조'!$B$2:$CE$83,MATCH("고구마무스",'🔖 배합비 참조'!$A$2:$A$83,0),MATCH($C164,'🔖 배합비 참조'!$B$1:$CE$1,0))/100,0),""))),"")</f>
        <v>0</v>
      </c>
      <c r="Q164" s="42" t="n">
        <f aca="false">IFERROR(IF($C164="","",IF($D164="","",IFERROR(ROUND($D164*INDEX('🔖 배합비 참조'!$B$2:$CE$83,MATCH("고려엉겅퀴((곤드레)국내산)",'🔖 배합비 참조'!$A$2:$A$83,0),MATCH($C164,'🔖 배합비 참조'!$B$1:$CE$1,0))/100,0),""))),"")</f>
        <v>0</v>
      </c>
      <c r="R164" s="42" t="n">
        <f aca="false">IFERROR(IF($C164="","",IF($D164="","",IFERROR(ROUND($D164*INDEX('🔖 배합비 참조'!$B$2:$CE$83,MATCH("기타가공품(복분자가루)",'🔖 배합비 참조'!$A$2:$A$83,0),MATCH($C164,'🔖 배합비 참조'!$B$1:$CE$1,0))/100,0),""))),"")</f>
        <v>0</v>
      </c>
      <c r="S164" s="42" t="n">
        <f aca="false">IFERROR(IF($C164="","",IF($D164="","",IFERROR(ROUND($D164*INDEX('🔖 배합비 참조'!$B$2:$CE$83,MATCH("기타가공품(슈퍼소프트엠)",'🔖 배합비 참조'!$A$2:$A$83,0),MATCH($C164,'🔖 배합비 참조'!$B$1:$CE$1,0))/100,0),""))),"")</f>
        <v>0</v>
      </c>
      <c r="T164" s="42" t="n">
        <f aca="false">IFERROR(IF($C164="","",IF($D164="","",IFERROR(ROUND($D164*INDEX('🔖 배합비 참조'!$B$2:$CE$83,MATCH("기타가공품(파인소프트 E-티)",'🔖 배합비 참조'!$A$2:$A$83,0),MATCH($C164,'🔖 배합비 참조'!$B$1:$CE$1,0))/100,0),""))),"")</f>
        <v>0</v>
      </c>
      <c r="U164" s="42" t="n">
        <f aca="false">IFERROR(IF($C164="","",IF($D164="","",IFERROR(ROUND($D164*INDEX('🔖 배합비 참조'!$B$2:$CE$83,MATCH("기타가공품(프리미엄카스테라가루)",'🔖 배합비 참조'!$A$2:$A$83,0),MATCH($C164,'🔖 배합비 참조'!$B$1:$CE$1,0))/100,0),""))),"")</f>
        <v>0</v>
      </c>
      <c r="V164" s="42" t="n">
        <f aca="false">IFERROR(IF($C164="","",IF($D164="","",IFERROR(ROUND($D164*INDEX('🔖 배합비 참조'!$B$2:$CE$83,MATCH("기타가공품(흑임자가루)",'🔖 배합비 참조'!$A$2:$A$83,0),MATCH($C164,'🔖 배합비 참조'!$B$1:$CE$1,0))/100,0),""))),"")</f>
        <v>0</v>
      </c>
      <c r="W164" s="42" t="n">
        <f aca="false">IFERROR(IF($C164="","",IF($D164="","",IFERROR(ROUND($D164*INDEX('🔖 배합비 참조'!$B$2:$CE$83,MATCH("기타설탕(흑설탕)",'🔖 배합비 참조'!$A$2:$A$83,0),MATCH($C164,'🔖 배합비 참조'!$B$1:$CE$1,0))/100,0),""))),"")</f>
        <v>0</v>
      </c>
      <c r="X164" s="42" t="n">
        <f aca="false">IFERROR(IF($C164="","",IF($D164="","",IFERROR(ROUND($D164*INDEX('🔖 배합비 참조'!$B$2:$CE$83,MATCH("냉동쑥(국내산)",'🔖 배합비 참조'!$A$2:$A$83,0),MATCH($C164,'🔖 배합비 참조'!$B$1:$CE$1,0))/100,0),""))),"")</f>
        <v>7</v>
      </c>
      <c r="Y164" s="42" t="n">
        <f aca="false">IFERROR(IF($C164="","",IF($D164="","",IFERROR(ROUND($D164*INDEX('🔖 배합비 참조'!$B$2:$CE$83,MATCH("냉동증숙고구마(중국산)",'🔖 배합비 참조'!$A$2:$A$83,0),MATCH($C164,'🔖 배합비 참조'!$B$1:$CE$1,0))/100,0),""))),"")</f>
        <v>0</v>
      </c>
      <c r="Z164" s="42" t="n">
        <f aca="false">IFERROR(IF($C164="","",IF($D164="","",IFERROR(ROUND($D164*INDEX('🔖 배합비 참조'!$B$2:$CE$83,MATCH("녹차가루",'🔖 배합비 참조'!$A$2:$A$83,0),MATCH($C164,'🔖 배합비 참조'!$B$1:$CE$1,0))/100,0),""))),"")</f>
        <v>0</v>
      </c>
      <c r="AA164" s="42" t="n">
        <f aca="false">IFERROR(IF($C164="","",IF($D164="","",IFERROR(ROUND($D164*INDEX('🔖 배합비 참조'!$B$2:$CE$83,MATCH("다크초콜릿 컴파운드칩",'🔖 배합비 참조'!$A$2:$A$83,0),MATCH($C164,'🔖 배합비 참조'!$B$1:$CE$1,0))/100,0),""))),"")</f>
        <v>0</v>
      </c>
      <c r="AB164" s="42" t="n">
        <f aca="false">IFERROR(IF($C164="","",IF($D164="","",IFERROR(ROUND($D164*INDEX('🔖 배합비 참조'!$B$2:$CE$83,MATCH("단호박분말(중국산)",'🔖 배합비 참조'!$A$2:$A$83,0),MATCH($C164,'🔖 배합비 참조'!$B$1:$CE$1,0))/100,0),""))),"")</f>
        <v>0</v>
      </c>
      <c r="AC164" s="42" t="n">
        <f aca="false">IFERROR(IF($C164="","",IF($D164="","",IFERROR(ROUND($D164*INDEX('🔖 배합비 참조'!$B$2:$CE$83,MATCH("당류가공품(단호박농축액)",'🔖 배합비 참조'!$A$2:$A$83,0),MATCH($C164,'🔖 배합비 참조'!$B$1:$CE$1,0))/100,0),""))),"")</f>
        <v>0</v>
      </c>
      <c r="AD164" s="42" t="n">
        <f aca="false">IFERROR(IF($C164="","",IF($D164="","",IFERROR(ROUND($D164*INDEX('🔖 배합비 참조'!$B$2:$CE$83,MATCH("당류가공품(알룰로스,에리스리톨,스테비올배당체혼합)",'🔖 배합비 참조'!$A$2:$A$83,0),MATCH($C164,'🔖 배합비 참조'!$B$1:$CE$1,0))/100,0),""))),"")</f>
        <v>0</v>
      </c>
      <c r="AE164" s="42" t="n">
        <f aca="false">IFERROR(IF($C164="","",IF($D164="","",IFERROR(ROUND($D164*INDEX('🔖 배합비 참조'!$B$2:$CE$83,MATCH("당류가공품(알룰로스제로파우더)",'🔖 배합비 참조'!$A$2:$A$83,0),MATCH($C164,'🔖 배합비 참조'!$B$1:$CE$1,0))/100,0),""))),"")</f>
        <v>0</v>
      </c>
      <c r="AF164" s="42" t="n">
        <f aca="false">IFERROR(IF($C164="","",IF($D164="","",IFERROR(ROUND($D164*INDEX('🔖 배합비 참조'!$B$2:$CE$83,MATCH("당절임(완두배기)",'🔖 배합비 참조'!$A$2:$A$83,0),MATCH($C164,'🔖 배합비 참조'!$B$1:$CE$1,0))/100,0),""))),"")</f>
        <v>0</v>
      </c>
      <c r="AG164" s="42" t="n">
        <f aca="false">IFERROR(IF($C164="","",IF($D164="","",IFERROR(ROUND($D164*INDEX('🔖 배합비 참조'!$B$2:$CE$83,MATCH("대추농축액",'🔖 배합비 참조'!$A$2:$A$83,0),MATCH($C164,'🔖 배합비 참조'!$B$1:$CE$1,0))/100,0),""))),"")</f>
        <v>0</v>
      </c>
      <c r="AH164" s="42" t="n">
        <f aca="false">IFERROR(IF($C164="","",IF($D164="","",IFERROR(ROUND($D164*INDEX('🔖 배합비 참조'!$B$2:$CE$83,MATCH("대추채(국내산)",'🔖 배합비 참조'!$A$2:$A$83,0),MATCH($C164,'🔖 배합비 참조'!$B$1:$CE$1,0))/100,0),""))),"")</f>
        <v>0</v>
      </c>
      <c r="AI164" s="42" t="n">
        <f aca="false">IFERROR(IF($C164="","",IF($D164="","",IFERROR(ROUND($D164*INDEX('🔖 배합비 참조'!$B$2:$CE$83,MATCH("동부(미얀마산)",'🔖 배합비 참조'!$A$2:$A$83,0),MATCH($C164,'🔖 배합비 참조'!$B$1:$CE$1,0))/100,0),""))),"")</f>
        <v>0</v>
      </c>
      <c r="AJ164" s="42" t="n">
        <f aca="false">IFERROR(IF($C164="","",IF($D164="","",IFERROR(ROUND($D164*INDEX('🔖 배합비 참조'!$B$2:$CE$83,MATCH("두류가공품(백옥앙금)",'🔖 배합비 참조'!$A$2:$A$83,0),MATCH($C164,'🔖 배합비 참조'!$B$1:$CE$1,0))/100,0),""))),"")</f>
        <v>0</v>
      </c>
      <c r="AK164" s="42" t="n">
        <f aca="false">IFERROR(IF($C164="","",IF($D164="","",IFERROR(ROUND($D164*INDEX('🔖 배합비 참조'!$B$2:$CE$83,MATCH("두류가공품(콩고물)",'🔖 배합비 참조'!$A$2:$A$83,0),MATCH($C164,'🔖 배합비 참조'!$B$1:$CE$1,0))/100,0),""))),"")</f>
        <v>6</v>
      </c>
      <c r="AL164" s="42" t="n">
        <f aca="false">IFERROR(IF($C164="","",IF($D164="","",IFERROR(ROUND($D164*INDEX('🔖 배합비 참조'!$B$2:$CE$83,MATCH("두류가공품(통팥고물)",'🔖 배합비 참조'!$A$2:$A$83,0),MATCH($C164,'🔖 배합비 참조'!$B$1:$CE$1,0))/100,0),""))),"")</f>
        <v>0</v>
      </c>
      <c r="AM164" s="42" t="n">
        <f aca="false">IFERROR(IF($C164="","",IF($D164="","",IFERROR(ROUND($D164*INDEX('🔖 배합비 참조'!$B$2:$CE$83,MATCH("딸기레진",'🔖 배합비 참조'!$A$2:$A$83,0),MATCH($C164,'🔖 배합비 참조'!$B$1:$CE$1,0))/100,0),""))),"")</f>
        <v>0</v>
      </c>
      <c r="AN164" s="42" t="n">
        <f aca="false">IFERROR(IF($C164="","",IF($D164="","",IFERROR(ROUND($D164*INDEX('🔖 배합비 참조'!$B$2:$CE$83,MATCH("딸기분말(스트로우베리에이드(분말))",'🔖 배합비 참조'!$A$2:$A$83,0),MATCH($C164,'🔖 배합비 참조'!$B$1:$CE$1,0))/100,0),""))),"")</f>
        <v>0</v>
      </c>
      <c r="AO164" s="42" t="n">
        <f aca="false">IFERROR(IF($C164="","",IF($D164="","",IFERROR(ROUND($D164*INDEX('🔖 배합비 참조'!$B$2:$CE$83,MATCH("마스카포네치즈",'🔖 배합비 참조'!$A$2:$A$83,0),MATCH($C164,'🔖 배합비 참조'!$B$1:$CE$1,0))/100,0),""))),"")</f>
        <v>0</v>
      </c>
      <c r="AP164" s="42" t="n">
        <f aca="false">IFERROR(IF($C164="","",IF($D164="","",IFERROR(ROUND($D164*INDEX('🔖 배합비 참조'!$B$2:$CE$83,MATCH("마카다미아분태(호주산)",'🔖 배합비 참조'!$A$2:$A$83,0),MATCH($C164,'🔖 배합비 참조'!$B$1:$CE$1,0))/100,0),""))),"")</f>
        <v>0</v>
      </c>
      <c r="AQ164" s="42" t="n">
        <f aca="false">IFERROR(IF($C164="","",IF($D164="","",IFERROR(ROUND($D164*INDEX('🔖 배합비 참조'!$B$2:$CE$83,MATCH("멥쌀(국내산)",'🔖 배합비 참조'!$A$2:$A$83,0),MATCH($C164,'🔖 배합비 참조'!$B$1:$CE$1,0))/100,0),""))),"")</f>
        <v>0</v>
      </c>
      <c r="AR164" s="42" t="n">
        <f aca="false">IFERROR(IF($C164="","",IF($D164="","",IFERROR(ROUND($D164*INDEX('🔖 배합비 참조'!$B$2:$CE$83,MATCH("모시잎(국내산)",'🔖 배합비 참조'!$A$2:$A$83,0),MATCH($C164,'🔖 배합비 참조'!$B$1:$CE$1,0))/100,0),""))),"")</f>
        <v>0</v>
      </c>
      <c r="AS164" s="42" t="n">
        <f aca="false">IFERROR(IF($C164="","",IF($D164="","",IFERROR(ROUND($D164*INDEX('🔖 배합비 참조'!$B$2:$CE$83,MATCH("물엿(저당물엿)",'🔖 배합비 참조'!$A$2:$A$83,0),MATCH($C164,'🔖 배합비 참조'!$B$1:$CE$1,0))/100,0),""))),"")</f>
        <v>5</v>
      </c>
      <c r="AT164" s="42" t="n">
        <f aca="false">IFERROR(IF($C164="","",IF($D164="","",IFERROR(ROUND($D164*INDEX('🔖 배합비 참조'!$B$2:$CE$83,MATCH("밤다이스",'🔖 배합비 참조'!$A$2:$A$83,0),MATCH($C164,'🔖 배합비 참조'!$B$1:$CE$1,0))/100,0),""))),"")</f>
        <v>0</v>
      </c>
      <c r="AU164" s="42" t="n">
        <f aca="false">IFERROR(IF($C164="","",IF($D164="","",IFERROR(ROUND($D164*INDEX('🔖 배합비 참조'!$B$2:$CE$83,MATCH("변성전분(타피오카전분)",'🔖 배합비 참조'!$A$2:$A$83,0),MATCH($C164,'🔖 배합비 참조'!$B$1:$CE$1,0))/100,0),""))),"")</f>
        <v>0</v>
      </c>
      <c r="AV164" s="42" t="n">
        <f aca="false">IFERROR(IF($C164="","",IF($D164="","",IFERROR(ROUND($D164*INDEX('🔖 배합비 참조'!$B$2:$CE$83,MATCH("복음땅콩분태",'🔖 배합비 참조'!$A$2:$A$83,0),MATCH($C164,'🔖 배합비 참조'!$B$1:$CE$1,0))/100,0),""))),"")</f>
        <v>0</v>
      </c>
      <c r="AW164" s="42" t="n">
        <f aca="false">IFERROR(IF($C164="","",IF($D164="","",IFERROR(ROUND($D164*INDEX('🔖 배합비 참조'!$B$2:$CE$83,MATCH("사양벌꿀(국내산)",'🔖 배합비 참조'!$A$2:$A$83,0),MATCH($C164,'🔖 배합비 참조'!$B$1:$CE$1,0))/100,0),""))),"")</f>
        <v>0</v>
      </c>
      <c r="AX164" s="42" t="n">
        <f aca="false">IFERROR(IF($C164="","",IF($D164="","",IFERROR(ROUND($D164*INDEX('🔖 배합비 참조'!$B$2:$CE$83,MATCH("생크림",'🔖 배합비 참조'!$A$2:$A$83,0),MATCH($C164,'🔖 배합비 참조'!$B$1:$CE$1,0))/100,0),""))),"")</f>
        <v>0</v>
      </c>
      <c r="AY164" s="42" t="n">
        <f aca="false">IFERROR(IF($C164="","",IF($D164="","",IFERROR(ROUND($D164*INDEX('🔖 배합비 참조'!$B$2:$CE$83,MATCH("서양호박(국내산,뉴질랜드산)",'🔖 배합비 참조'!$A$2:$A$83,0),MATCH($C164,'🔖 배합비 참조'!$B$1:$CE$1,0))/100,0),""))),"")</f>
        <v>0</v>
      </c>
      <c r="AZ164" s="42" t="n">
        <f aca="false">IFERROR(IF($C164="","",IF($D164="","",IFERROR(ROUND($D164*INDEX('🔖 배합비 참조'!$B$2:$CE$83,MATCH("설탕",'🔖 배합비 참조'!$A$2:$A$83,0),MATCH($C164,'🔖 배합비 참조'!$B$1:$CE$1,0))/100,0),""))),"")</f>
        <v>5</v>
      </c>
      <c r="BA164" s="42" t="n">
        <f aca="false">IFERROR(IF($C164="","",IF($D164="","",IFERROR(ROUND($D164*INDEX('🔖 배합비 참조'!$B$2:$CE$83,MATCH("스트로우베리 에이드 후레쉬",'🔖 배합비 참조'!$A$2:$A$83,0),MATCH($C164,'🔖 배합비 참조'!$B$1:$CE$1,0))/100,0),""))),"")</f>
        <v>0</v>
      </c>
      <c r="BB164" s="42" t="n">
        <f aca="false">IFERROR(IF($C164="","",IF($D164="","",IFERROR(ROUND($D164*INDEX('🔖 배합비 참조'!$B$2:$CE$83,MATCH("식물성기름혼합제제(분홍)",'🔖 배합비 참조'!$A$2:$A$83,0),MATCH($C164,'🔖 배합비 참조'!$B$1:$CE$1,0))/100,0),""))),"")</f>
        <v>0</v>
      </c>
      <c r="BC164" s="42" t="n">
        <f aca="false">IFERROR(IF($C164="","",IF($D164="","",IFERROR(ROUND($D164*INDEX('🔖 배합비 참조'!$B$2:$CE$83,MATCH("식물성기름혼합제제(초록)",'🔖 배합비 참조'!$A$2:$A$83,0),MATCH($C164,'🔖 배합비 참조'!$B$1:$CE$1,0))/100,0),""))),"")</f>
        <v>0</v>
      </c>
      <c r="BD164" s="42" t="n">
        <f aca="false">IFERROR(IF($C164="","",IF($D164="","",IFERROR(ROUND($D164*INDEX('🔖 배합비 참조'!$B$2:$CE$83,MATCH("식물성기름혼합제제(황색)",'🔖 배합비 참조'!$A$2:$A$83,0),MATCH($C164,'🔖 배합비 참조'!$B$1:$CE$1,0))/100,0),""))),"")</f>
        <v>0</v>
      </c>
      <c r="BE164" s="42" t="n">
        <f aca="false">IFERROR(IF($C164="","",IF($D164="","",IFERROR(ROUND($D164*INDEX('🔖 배합비 참조'!$B$2:$CE$83,MATCH("쑥가루(국내산)",'🔖 배합비 참조'!$A$2:$A$83,0),MATCH($C164,'🔖 배합비 참조'!$B$1:$CE$1,0))/100,0),""))),"")</f>
        <v>2</v>
      </c>
      <c r="BF164" s="42" t="n">
        <f aca="false">IFERROR(IF($C164="","",IF($D164="","",IFERROR(ROUND($D164*INDEX('🔖 배합비 참조'!$B$2:$CE$83,MATCH("아몬드슬라이스",'🔖 배합비 참조'!$A$2:$A$83,0),MATCH($C164,'🔖 배합비 참조'!$B$1:$CE$1,0))/100,0),""))),"")</f>
        <v>0</v>
      </c>
      <c r="BG164" s="42" t="n">
        <f aca="false">IFERROR(IF($C164="","",IF($D164="","",IFERROR(ROUND($D164*INDEX('🔖 배합비 참조'!$B$2:$CE$83,MATCH("알룰로오스(국내산)",'🔖 배합비 참조'!$A$2:$A$83,0),MATCH($C164,'🔖 배합비 참조'!$B$1:$CE$1,0))/100,0),""))),"")</f>
        <v>0</v>
      </c>
      <c r="BH164" s="42" t="n">
        <f aca="false">IFERROR(IF($C164="","",IF($D164="","",IFERROR(ROUND($D164*INDEX('🔖 배합비 참조'!$B$2:$CE$83,MATCH("연유",'🔖 배합비 참조'!$A$2:$A$83,0),MATCH($C164,'🔖 배합비 참조'!$B$1:$CE$1,0))/100,0),""))),"")</f>
        <v>0</v>
      </c>
      <c r="BI164" s="42" t="n">
        <f aca="false">IFERROR(IF($C164="","",IF($D164="","",IFERROR(ROUND($D164*INDEX('🔖 배합비 참조'!$B$2:$CE$83,MATCH("옥수수전분",'🔖 배합비 참조'!$A$2:$A$83,0),MATCH($C164,'🔖 배합비 참조'!$B$1:$CE$1,0))/100,0),""))),"")</f>
        <v>0</v>
      </c>
      <c r="BJ164" s="42" t="n">
        <f aca="false">IFERROR(IF($C164="","",IF($D164="","",IFERROR(ROUND($D164*INDEX('🔖 배합비 참조'!$B$2:$CE$83,MATCH("완두배기",'🔖 배합비 참조'!$A$2:$A$83,0),MATCH($C164,'🔖 배합비 참조'!$B$1:$CE$1,0))/100,0),""))),"")</f>
        <v>0</v>
      </c>
      <c r="BK164" s="42" t="n">
        <f aca="false">IFERROR(IF($C164="","",IF($D164="","",IFERROR(ROUND($D164*INDEX('🔖 배합비 참조'!$B$2:$CE$83,MATCH("우유(국내산)",'🔖 배합비 참조'!$A$2:$A$83,0),MATCH($C164,'🔖 배합비 참조'!$B$1:$CE$1,0))/100,0),""))),"")</f>
        <v>0</v>
      </c>
      <c r="BL164" s="42" t="n">
        <f aca="false">IFERROR(IF($C164="","",IF($D164="","",IFERROR(ROUND($D164*INDEX('🔖 배합비 참조'!$B$2:$CE$83,MATCH("자색고구마가루(중국산)",'🔖 배합비 참조'!$A$2:$A$83,0),MATCH($C164,'🔖 배합비 참조'!$B$1:$CE$1,0))/100,0),""))),"")</f>
        <v>0</v>
      </c>
      <c r="BM164" s="42" t="n">
        <f aca="false">IFERROR(IF($C164="","",IF($D164="","",IFERROR(ROUND($D164*INDEX('🔖 배합비 참조'!$B$2:$CE$83,MATCH("자연치즈(체다치즈)",'🔖 배합비 참조'!$A$2:$A$83,0),MATCH($C164,'🔖 배합비 참조'!$B$1:$CE$1,0))/100,0),""))),"")</f>
        <v>0</v>
      </c>
      <c r="BN164" s="42" t="n">
        <f aca="false">IFERROR(IF($C164="","",IF($D164="","",IFERROR(ROUND($D164*INDEX('🔖 배합비 참조'!$B$2:$CE$83,MATCH("정제수",'🔖 배합비 참조'!$A$2:$A$83,0),MATCH($C164,'🔖 배합비 참조'!$B$1:$CE$1,0))/100,0),""))),"")</f>
        <v>0</v>
      </c>
      <c r="BO164" s="42" t="n">
        <f aca="false">IFERROR(IF($C164="","",IF($D164="","",IFERROR(ROUND($D164*INDEX('🔖 배합비 참조'!$B$2:$CE$83,MATCH("젤라틴",'🔖 배합비 참조'!$A$2:$A$83,0),MATCH($C164,'🔖 배합비 참조'!$B$1:$CE$1,0))/100,0),""))),"")</f>
        <v>0</v>
      </c>
      <c r="BP164" s="42" t="n">
        <f aca="false">IFERROR(IF($C164="","",IF($D164="","",IFERROR(ROUND($D164*INDEX('🔖 배합비 참조'!$B$2:$CE$83,MATCH("조림류(백옥앙금)",'🔖 배합비 참조'!$A$2:$A$83,0),MATCH($C164,'🔖 배합비 참조'!$B$1:$CE$1,0))/100,0),""))),"")</f>
        <v>0</v>
      </c>
      <c r="BQ164" s="42" t="n">
        <f aca="false">IFERROR(IF($C164="","",IF($D164="","",IFERROR(ROUND($D164*INDEX('🔖 배합비 참조'!$B$2:$CE$83,MATCH("조림류(통팥앙금)",'🔖 배합비 참조'!$A$2:$A$83,0),MATCH($C164,'🔖 배합비 참조'!$B$1:$CE$1,0))/100,0),""))),"")</f>
        <v>87</v>
      </c>
      <c r="BR164" s="42" t="n">
        <f aca="false">IFERROR(IF($C164="","",IF($D164="","",IFERROR(ROUND($D164*INDEX('🔖 배합비 참조'!$B$2:$CE$83,MATCH("준초콜릿(외국산)",'🔖 배합비 참조'!$A$2:$A$83,0),MATCH($C164,'🔖 배합비 참조'!$B$1:$CE$1,0))/100,0),""))),"")</f>
        <v>0</v>
      </c>
      <c r="BS164" s="42" t="n">
        <f aca="false">IFERROR(IF($C164="","",IF($D164="","",IFERROR(ROUND($D164*INDEX('🔖 배합비 참조'!$B$2:$CE$83,MATCH("중력분",'🔖 배합비 참조'!$A$2:$A$83,0),MATCH($C164,'🔖 배합비 참조'!$B$1:$CE$1,0))/100,0),""))),"")</f>
        <v>2</v>
      </c>
      <c r="BT164" s="42" t="n">
        <f aca="false">IFERROR(IF($C164="","",IF($D164="","",IFERROR(ROUND($D164*INDEX('🔖 배합비 참조'!$B$2:$CE$83,MATCH("참깨(인도산,나이지리아산,탄자니아산,미얀마산)",'🔖 배합비 참조'!$A$2:$A$83,0),MATCH($C164,'🔖 배합비 참조'!$B$1:$CE$1,0))/100,0),""))),"")</f>
        <v>0</v>
      </c>
      <c r="BU164" s="42" t="n">
        <f aca="false">IFERROR(IF($C164="","",IF($D164="","",IFERROR(ROUND($D164*INDEX('🔖 배합비 참조'!$B$2:$CE$83,MATCH("찹쌀(국내산)",'🔖 배합비 참조'!$A$2:$A$83,0),MATCH($C164,'🔖 배합비 참조'!$B$1:$CE$1,0))/100,0),""))),"")</f>
        <v>93</v>
      </c>
      <c r="BV164" s="42" t="n">
        <f aca="false">IFERROR(IF($C164="","",IF($D164="","",IFERROR(ROUND($D164*INDEX('🔖 배합비 참조'!$B$2:$CE$83,MATCH("천일염",'🔖 배합비 참조'!$A$2:$A$83,0),MATCH($C164,'🔖 배합비 참조'!$B$1:$CE$1,0))/100,0),""))),"")</f>
        <v>2</v>
      </c>
      <c r="BW164" s="42" t="n">
        <f aca="false">IFERROR(IF($C164="","",IF($D164="","",IFERROR(ROUND($D164*INDEX('🔖 배합비 참조'!$B$2:$CE$83,MATCH("치즈 [크림치즈]",'🔖 배합비 참조'!$A$2:$A$83,0),MATCH($C164,'🔖 배합비 참조'!$B$1:$CE$1,0))/100,0),""))),"")</f>
        <v>0</v>
      </c>
      <c r="BX164" s="42" t="n">
        <f aca="false">IFERROR(IF($C164="","",IF($D164="","",IFERROR(ROUND($D164*INDEX('🔖 배합비 참조'!$B$2:$CE$83,MATCH("코코아가공품류(코코아분말)",'🔖 배합비 참조'!$A$2:$A$83,0),MATCH($C164,'🔖 배합비 참조'!$B$1:$CE$1,0))/100,0),""))),"")</f>
        <v>0</v>
      </c>
      <c r="BY164" s="42" t="n">
        <f aca="false">IFERROR(IF($C164="","",IF($D164="","",IFERROR(ROUND($D164*INDEX('🔖 배합비 참조'!$B$2:$CE$83,MATCH("콩기름(대두유)",'🔖 배합비 참조'!$A$2:$A$83,0),MATCH($C164,'🔖 배합비 참조'!$B$1:$CE$1,0))/100,0),""))),"")</f>
        <v>0</v>
      </c>
      <c r="BZ164" s="42" t="n">
        <f aca="false">IFERROR(IF($C164="","",IF($D164="","",IFERROR(ROUND($D164*INDEX('🔖 배합비 참조'!$B$2:$CE$83,MATCH("해바라기씨앗",'🔖 배합비 참조'!$A$2:$A$83,0),MATCH($C164,'🔖 배합비 참조'!$B$1:$CE$1,0))/100,0),""))),"")</f>
        <v>0</v>
      </c>
      <c r="CA164" s="42" t="n">
        <f aca="false">IFERROR(IF($C164="","",IF($D164="","",IFERROR(ROUND($D164*INDEX('🔖 배합비 참조'!$B$2:$CE$83,MATCH("현미(국내산)",'🔖 배합비 참조'!$A$2:$A$83,0),MATCH($C164,'🔖 배합비 참조'!$B$1:$CE$1,0))/100,0),""))),"")</f>
        <v>0</v>
      </c>
      <c r="CB164" s="42" t="n">
        <f aca="false">IFERROR(IF($C164="","",IF($D164="","",IFERROR(ROUND($D164*INDEX('🔖 배합비 참조'!$B$2:$CE$83,MATCH("현미멥쌀(국내산)",'🔖 배합비 참조'!$A$2:$A$83,0),MATCH($C164,'🔖 배합비 참조'!$B$1:$CE$1,0))/100,0),""))),"")</f>
        <v>0</v>
      </c>
      <c r="CC164" s="42" t="n">
        <f aca="false">IFERROR(IF($C164="","",IF($D164="","",IFERROR(ROUND($D164*INDEX('🔖 배합비 참조'!$B$2:$CE$83,MATCH("호두분태(미국산)",'🔖 배합비 참조'!$A$2:$A$83,0),MATCH($C164,'🔖 배합비 참조'!$B$1:$CE$1,0))/100,0),""))),"")</f>
        <v>0</v>
      </c>
      <c r="CD164" s="42" t="n">
        <f aca="false">IFERROR(IF($C164="","",IF($D164="","",IFERROR(ROUND($D164*INDEX('🔖 배합비 참조'!$B$2:$CE$83,MATCH("호박씨앗(외국산)",'🔖 배합비 참조'!$A$2:$A$83,0),MATCH($C164,'🔖 배합비 참조'!$B$1:$CE$1,0))/100,0),""))),"")</f>
        <v>0</v>
      </c>
      <c r="CE164" s="42" t="n">
        <f aca="false">IFERROR(IF($C164="","",IF($D164="","",IFERROR(ROUND($D164*INDEX('🔖 배합비 참조'!$B$2:$CE$83,MATCH("혼합제제(떡용에스텔)",'🔖 배합비 참조'!$A$2:$A$83,0),MATCH($C164,'🔖 배합비 참조'!$B$1:$CE$1,0))/100,0),""))),"")</f>
        <v>1</v>
      </c>
      <c r="CF164" s="42" t="n">
        <f aca="false">IFERROR(IF($C164="","",IF($D164="","",IFERROR(ROUND($D164*INDEX('🔖 배합비 참조'!$B$2:$CE$83,MATCH("혼합제제(스테비아)",'🔖 배합비 참조'!$A$2:$A$83,0),MATCH($C164,'🔖 배합비 참조'!$B$1:$CE$1,0))/100,0),""))),"")</f>
        <v>0</v>
      </c>
      <c r="CG164" s="42" t="n">
        <f aca="false">IFERROR(IF($C164="","",IF($D164="","",IFERROR(ROUND($D164*INDEX('🔖 배합비 참조'!$B$2:$CE$83,MATCH("화이트초콜릿",'🔖 배합비 참조'!$A$2:$A$83,0),MATCH($C164,'🔖 배합비 참조'!$B$1:$CE$1,0))/100,0),""))),"")</f>
        <v>0</v>
      </c>
      <c r="CH164" s="42" t="n">
        <f aca="false">IFERROR(IF($C164="","",IF($D164="","",IFERROR(ROUND($D164*INDEX('🔖 배합비 참조'!$B$2:$CE$83,MATCH("흑미찹쌀(국내산)",'🔖 배합비 참조'!$A$2:$A$83,0),MATCH($C164,'🔖 배합비 참조'!$B$1:$CE$1,0))/100,0),""))),"")</f>
        <v>0</v>
      </c>
      <c r="CI164" s="42" t="n">
        <f aca="false">IFERROR(IF($C164="","",IF($D164="","",IFERROR(ROUND($D164*INDEX('🔖 배합비 참조'!$B$2:$CE$83,MATCH("찰옥수수전분(미국산)",'🔖 배합비 참조'!$A$2:$A$83,0),MATCH($C164,'🔖 배합비 참조'!$B$1:$CE$1,0))/100,0),""))),"")</f>
        <v>0</v>
      </c>
      <c r="CJ164" s="40"/>
      <c r="CL164" s="1" t="s">
        <v>245</v>
      </c>
    </row>
    <row r="165" customFormat="false" ht="18" hidden="false" customHeight="true" outlineLevel="0" collapsed="false">
      <c r="A165" s="35" t="n">
        <v>161</v>
      </c>
      <c r="B165" s="36" t="n">
        <v>46035</v>
      </c>
      <c r="C165" s="37" t="s">
        <v>144</v>
      </c>
      <c r="D165" s="38" t="n">
        <v>70</v>
      </c>
      <c r="E165" s="13"/>
      <c r="F165" s="13"/>
      <c r="G165" s="39" t="n">
        <f aca="false">IFERROR(IF($C165="","",IF($D165="","",IFERROR(ROUND($D165*INDEX('🔖 배합비 참조'!$B$2:$CE$83,MATCH("간장",'🔖 배합비 참조'!$A$2:$A$83,0),MATCH($C165,'🔖 배합비 참조'!$B$1:$CE$1,0))/100,0),""))),"")</f>
        <v>0</v>
      </c>
      <c r="H165" s="39" t="n">
        <f aca="false">IFERROR(IF($C165="","",IF($D165="","",IFERROR(ROUND($D165*INDEX('🔖 배합비 참조'!$B$2:$CE$83,MATCH("강낭콩((울타리콩))",'🔖 배합비 참조'!$A$2:$A$83,0),MATCH($C165,'🔖 배합비 참조'!$B$1:$CE$1,0))/100,0),""))),"")</f>
        <v>0</v>
      </c>
      <c r="I165" s="39" t="n">
        <f aca="false">IFERROR(IF($C165="","",IF($D165="","",IFERROR(ROUND($D165*INDEX('🔖 배합비 참조'!$B$2:$CE$83,MATCH("건조딸기다이스(외국산)",'🔖 배합비 참조'!$A$2:$A$83,0),MATCH($C165,'🔖 배합비 참조'!$B$1:$CE$1,0))/100,0),""))),"")</f>
        <v>0</v>
      </c>
      <c r="J165" s="39" t="n">
        <f aca="false">IFERROR(IF($C165="","",IF($D165="","",IFERROR(ROUND($D165*INDEX('🔖 배합비 참조'!$B$2:$CE$83,MATCH("건포도",'🔖 배합비 참조'!$A$2:$A$83,0),MATCH($C165,'🔖 배합비 참조'!$B$1:$CE$1,0))/100,0),""))),"")</f>
        <v>0</v>
      </c>
      <c r="K165" s="39" t="n">
        <f aca="false">IFERROR(IF($C165="","",IF($D165="","",IFERROR(ROUND($D165*INDEX('🔖 배합비 참조'!$B$2:$CE$83,MATCH("건호박채(중국산)",'🔖 배합비 참조'!$A$2:$A$83,0),MATCH($C165,'🔖 배합비 참조'!$B$1:$CE$1,0))/100,0),""))),"")</f>
        <v>0</v>
      </c>
      <c r="L165" s="39" t="n">
        <f aca="false">IFERROR(IF($C165="","",IF($D165="","",IFERROR(ROUND($D165*INDEX('🔖 배합비 참조'!$B$2:$CE$83,MATCH("검정깨(흑임자)",'🔖 배합비 참조'!$A$2:$A$83,0),MATCH($C165,'🔖 배합비 참조'!$B$1:$CE$1,0))/100,0),""))),"")</f>
        <v>0</v>
      </c>
      <c r="M165" s="39" t="n">
        <f aca="false">IFERROR(IF($C165="","",IF($D165="","",IFERROR(ROUND($D165*INDEX('🔖 배합비 참조'!$B$2:$CE$83,MATCH("검정콩",'🔖 배합비 참조'!$A$2:$A$83,0),MATCH($C165,'🔖 배합비 참조'!$B$1:$CE$1,0))/100,0),""))),"")</f>
        <v>0</v>
      </c>
      <c r="N165" s="39" t="n">
        <f aca="false">IFERROR(IF($C165="","",IF($D165="","",IFERROR(ROUND($D165*INDEX('🔖 배합비 참조'!$B$2:$CE$83,MATCH("계피가루",'🔖 배합비 참조'!$A$2:$A$83,0),MATCH($C165,'🔖 배합비 참조'!$B$1:$CE$1,0))/100,0),""))),"")</f>
        <v>0</v>
      </c>
      <c r="O165" s="39" t="n">
        <f aca="false">IFERROR(IF($C165="","",IF($D165="","",IFERROR(ROUND($D165*INDEX('🔖 배합비 참조'!$B$2:$CE$83,MATCH("고구마가루",'🔖 배합비 참조'!$A$2:$A$83,0),MATCH($C165,'🔖 배합비 참조'!$B$1:$CE$1,0))/100,0),""))),"")</f>
        <v>0</v>
      </c>
      <c r="P165" s="39" t="n">
        <f aca="false">IFERROR(IF($C165="","",IF($D165="","",IFERROR(ROUND($D165*INDEX('🔖 배합비 참조'!$B$2:$CE$83,MATCH("고구마무스",'🔖 배합비 참조'!$A$2:$A$83,0),MATCH($C165,'🔖 배합비 참조'!$B$1:$CE$1,0))/100,0),""))),"")</f>
        <v>0</v>
      </c>
      <c r="Q165" s="39" t="n">
        <f aca="false">IFERROR(IF($C165="","",IF($D165="","",IFERROR(ROUND($D165*INDEX('🔖 배합비 참조'!$B$2:$CE$83,MATCH("고려엉겅퀴((곤드레)국내산)",'🔖 배합비 참조'!$A$2:$A$83,0),MATCH($C165,'🔖 배합비 참조'!$B$1:$CE$1,0))/100,0),""))),"")</f>
        <v>0</v>
      </c>
      <c r="R165" s="39" t="n">
        <f aca="false">IFERROR(IF($C165="","",IF($D165="","",IFERROR(ROUND($D165*INDEX('🔖 배합비 참조'!$B$2:$CE$83,MATCH("기타가공품(복분자가루)",'🔖 배합비 참조'!$A$2:$A$83,0),MATCH($C165,'🔖 배합비 참조'!$B$1:$CE$1,0))/100,0),""))),"")</f>
        <v>0</v>
      </c>
      <c r="S165" s="39" t="n">
        <f aca="false">IFERROR(IF($C165="","",IF($D165="","",IFERROR(ROUND($D165*INDEX('🔖 배합비 참조'!$B$2:$CE$83,MATCH("기타가공품(슈퍼소프트엠)",'🔖 배합비 참조'!$A$2:$A$83,0),MATCH($C165,'🔖 배합비 참조'!$B$1:$CE$1,0))/100,0),""))),"")</f>
        <v>0</v>
      </c>
      <c r="T165" s="39" t="n">
        <f aca="false">IFERROR(IF($C165="","",IF($D165="","",IFERROR(ROUND($D165*INDEX('🔖 배합비 참조'!$B$2:$CE$83,MATCH("기타가공품(파인소프트 E-티)",'🔖 배합비 참조'!$A$2:$A$83,0),MATCH($C165,'🔖 배합비 참조'!$B$1:$CE$1,0))/100,0),""))),"")</f>
        <v>0</v>
      </c>
      <c r="U165" s="39" t="n">
        <f aca="false">IFERROR(IF($C165="","",IF($D165="","",IFERROR(ROUND($D165*INDEX('🔖 배합비 참조'!$B$2:$CE$83,MATCH("기타가공품(프리미엄카스테라가루)",'🔖 배합비 참조'!$A$2:$A$83,0),MATCH($C165,'🔖 배합비 참조'!$B$1:$CE$1,0))/100,0),""))),"")</f>
        <v>0</v>
      </c>
      <c r="V165" s="39" t="n">
        <f aca="false">IFERROR(IF($C165="","",IF($D165="","",IFERROR(ROUND($D165*INDEX('🔖 배합비 참조'!$B$2:$CE$83,MATCH("기타가공품(흑임자가루)",'🔖 배합비 참조'!$A$2:$A$83,0),MATCH($C165,'🔖 배합비 참조'!$B$1:$CE$1,0))/100,0),""))),"")</f>
        <v>0</v>
      </c>
      <c r="W165" s="39" t="n">
        <f aca="false">IFERROR(IF($C165="","",IF($D165="","",IFERROR(ROUND($D165*INDEX('🔖 배합비 참조'!$B$2:$CE$83,MATCH("기타설탕(흑설탕)",'🔖 배합비 참조'!$A$2:$A$83,0),MATCH($C165,'🔖 배합비 참조'!$B$1:$CE$1,0))/100,0),""))),"")</f>
        <v>0</v>
      </c>
      <c r="X165" s="39" t="n">
        <f aca="false">IFERROR(IF($C165="","",IF($D165="","",IFERROR(ROUND($D165*INDEX('🔖 배합비 참조'!$B$2:$CE$83,MATCH("냉동쑥(국내산)",'🔖 배합비 참조'!$A$2:$A$83,0),MATCH($C165,'🔖 배합비 참조'!$B$1:$CE$1,0))/100,0),""))),"")</f>
        <v>0</v>
      </c>
      <c r="Y165" s="39" t="n">
        <f aca="false">IFERROR(IF($C165="","",IF($D165="","",IFERROR(ROUND($D165*INDEX('🔖 배합비 참조'!$B$2:$CE$83,MATCH("냉동증숙고구마(중국산)",'🔖 배합비 참조'!$A$2:$A$83,0),MATCH($C165,'🔖 배합비 참조'!$B$1:$CE$1,0))/100,0),""))),"")</f>
        <v>0</v>
      </c>
      <c r="Z165" s="39" t="n">
        <f aca="false">IFERROR(IF($C165="","",IF($D165="","",IFERROR(ROUND($D165*INDEX('🔖 배합비 참조'!$B$2:$CE$83,MATCH("녹차가루",'🔖 배합비 참조'!$A$2:$A$83,0),MATCH($C165,'🔖 배합비 참조'!$B$1:$CE$1,0))/100,0),""))),"")</f>
        <v>0</v>
      </c>
      <c r="AA165" s="39" t="n">
        <f aca="false">IFERROR(IF($C165="","",IF($D165="","",IFERROR(ROUND($D165*INDEX('🔖 배합비 참조'!$B$2:$CE$83,MATCH("다크초콜릿 컴파운드칩",'🔖 배합비 참조'!$A$2:$A$83,0),MATCH($C165,'🔖 배합비 참조'!$B$1:$CE$1,0))/100,0),""))),"")</f>
        <v>0</v>
      </c>
      <c r="AB165" s="39" t="n">
        <f aca="false">IFERROR(IF($C165="","",IF($D165="","",IFERROR(ROUND($D165*INDEX('🔖 배합비 참조'!$B$2:$CE$83,MATCH("단호박분말(중국산)",'🔖 배합비 참조'!$A$2:$A$83,0),MATCH($C165,'🔖 배합비 참조'!$B$1:$CE$1,0))/100,0),""))),"")</f>
        <v>0</v>
      </c>
      <c r="AC165" s="39" t="n">
        <f aca="false">IFERROR(IF($C165="","",IF($D165="","",IFERROR(ROUND($D165*INDEX('🔖 배합비 참조'!$B$2:$CE$83,MATCH("당류가공품(단호박농축액)",'🔖 배합비 참조'!$A$2:$A$83,0),MATCH($C165,'🔖 배합비 참조'!$B$1:$CE$1,0))/100,0),""))),"")</f>
        <v>0</v>
      </c>
      <c r="AD165" s="39" t="n">
        <f aca="false">IFERROR(IF($C165="","",IF($D165="","",IFERROR(ROUND($D165*INDEX('🔖 배합비 참조'!$B$2:$CE$83,MATCH("당류가공품(알룰로스,에리스리톨,스테비올배당체혼합)",'🔖 배합비 참조'!$A$2:$A$83,0),MATCH($C165,'🔖 배합비 참조'!$B$1:$CE$1,0))/100,0),""))),"")</f>
        <v>0</v>
      </c>
      <c r="AE165" s="39" t="n">
        <f aca="false">IFERROR(IF($C165="","",IF($D165="","",IFERROR(ROUND($D165*INDEX('🔖 배합비 참조'!$B$2:$CE$83,MATCH("당류가공품(알룰로스제로파우더)",'🔖 배합비 참조'!$A$2:$A$83,0),MATCH($C165,'🔖 배합비 참조'!$B$1:$CE$1,0))/100,0),""))),"")</f>
        <v>0</v>
      </c>
      <c r="AF165" s="39" t="n">
        <f aca="false">IFERROR(IF($C165="","",IF($D165="","",IFERROR(ROUND($D165*INDEX('🔖 배합비 참조'!$B$2:$CE$83,MATCH("당절임(완두배기)",'🔖 배합비 참조'!$A$2:$A$83,0),MATCH($C165,'🔖 배합비 참조'!$B$1:$CE$1,0))/100,0),""))),"")</f>
        <v>0</v>
      </c>
      <c r="AG165" s="39" t="n">
        <f aca="false">IFERROR(IF($C165="","",IF($D165="","",IFERROR(ROUND($D165*INDEX('🔖 배합비 참조'!$B$2:$CE$83,MATCH("대추농축액",'🔖 배합비 참조'!$A$2:$A$83,0),MATCH($C165,'🔖 배합비 참조'!$B$1:$CE$1,0))/100,0),""))),"")</f>
        <v>0</v>
      </c>
      <c r="AH165" s="39" t="n">
        <f aca="false">IFERROR(IF($C165="","",IF($D165="","",IFERROR(ROUND($D165*INDEX('🔖 배합비 참조'!$B$2:$CE$83,MATCH("대추채(국내산)",'🔖 배합비 참조'!$A$2:$A$83,0),MATCH($C165,'🔖 배합비 참조'!$B$1:$CE$1,0))/100,0),""))),"")</f>
        <v>0</v>
      </c>
      <c r="AI165" s="39" t="n">
        <f aca="false">IFERROR(IF($C165="","",IF($D165="","",IFERROR(ROUND($D165*INDEX('🔖 배합비 참조'!$B$2:$CE$83,MATCH("동부(미얀마산)",'🔖 배합비 참조'!$A$2:$A$83,0),MATCH($C165,'🔖 배합비 참조'!$B$1:$CE$1,0))/100,0),""))),"")</f>
        <v>0</v>
      </c>
      <c r="AJ165" s="39" t="n">
        <f aca="false">IFERROR(IF($C165="","",IF($D165="","",IFERROR(ROUND($D165*INDEX('🔖 배합비 참조'!$B$2:$CE$83,MATCH("두류가공품(백옥앙금)",'🔖 배합비 참조'!$A$2:$A$83,0),MATCH($C165,'🔖 배합비 참조'!$B$1:$CE$1,0))/100,0),""))),"")</f>
        <v>0</v>
      </c>
      <c r="AK165" s="39" t="n">
        <f aca="false">IFERROR(IF($C165="","",IF($D165="","",IFERROR(ROUND($D165*INDEX('🔖 배합비 참조'!$B$2:$CE$83,MATCH("두류가공품(콩고물)",'🔖 배합비 참조'!$A$2:$A$83,0),MATCH($C165,'🔖 배합비 참조'!$B$1:$CE$1,0))/100,0),""))),"")</f>
        <v>2</v>
      </c>
      <c r="AL165" s="39" t="n">
        <f aca="false">IFERROR(IF($C165="","",IF($D165="","",IFERROR(ROUND($D165*INDEX('🔖 배합비 참조'!$B$2:$CE$83,MATCH("두류가공품(통팥고물)",'🔖 배합비 참조'!$A$2:$A$83,0),MATCH($C165,'🔖 배합비 참조'!$B$1:$CE$1,0))/100,0),""))),"")</f>
        <v>0</v>
      </c>
      <c r="AM165" s="39" t="n">
        <f aca="false">IFERROR(IF($C165="","",IF($D165="","",IFERROR(ROUND($D165*INDEX('🔖 배합비 참조'!$B$2:$CE$83,MATCH("딸기레진",'🔖 배합비 참조'!$A$2:$A$83,0),MATCH($C165,'🔖 배합비 참조'!$B$1:$CE$1,0))/100,0),""))),"")</f>
        <v>0</v>
      </c>
      <c r="AN165" s="39" t="n">
        <f aca="false">IFERROR(IF($C165="","",IF($D165="","",IFERROR(ROUND($D165*INDEX('🔖 배합비 참조'!$B$2:$CE$83,MATCH("딸기분말(스트로우베리에이드(분말))",'🔖 배합비 참조'!$A$2:$A$83,0),MATCH($C165,'🔖 배합비 참조'!$B$1:$CE$1,0))/100,0),""))),"")</f>
        <v>0</v>
      </c>
      <c r="AO165" s="39" t="n">
        <f aca="false">IFERROR(IF($C165="","",IF($D165="","",IFERROR(ROUND($D165*INDEX('🔖 배합비 참조'!$B$2:$CE$83,MATCH("마스카포네치즈",'🔖 배합비 참조'!$A$2:$A$83,0),MATCH($C165,'🔖 배합비 참조'!$B$1:$CE$1,0))/100,0),""))),"")</f>
        <v>0</v>
      </c>
      <c r="AP165" s="39" t="n">
        <f aca="false">IFERROR(IF($C165="","",IF($D165="","",IFERROR(ROUND($D165*INDEX('🔖 배합비 참조'!$B$2:$CE$83,MATCH("마카다미아분태(호주산)",'🔖 배합비 참조'!$A$2:$A$83,0),MATCH($C165,'🔖 배합비 참조'!$B$1:$CE$1,0))/100,0),""))),"")</f>
        <v>0</v>
      </c>
      <c r="AQ165" s="39" t="n">
        <f aca="false">IFERROR(IF($C165="","",IF($D165="","",IFERROR(ROUND($D165*INDEX('🔖 배합비 참조'!$B$2:$CE$83,MATCH("멥쌀(국내산)",'🔖 배합비 참조'!$A$2:$A$83,0),MATCH($C165,'🔖 배합비 참조'!$B$1:$CE$1,0))/100,0),""))),"")</f>
        <v>0</v>
      </c>
      <c r="AR165" s="39" t="n">
        <f aca="false">IFERROR(IF($C165="","",IF($D165="","",IFERROR(ROUND($D165*INDEX('🔖 배합비 참조'!$B$2:$CE$83,MATCH("모시잎(국내산)",'🔖 배합비 참조'!$A$2:$A$83,0),MATCH($C165,'🔖 배합비 참조'!$B$1:$CE$1,0))/100,0),""))),"")</f>
        <v>0</v>
      </c>
      <c r="AS165" s="39" t="n">
        <f aca="false">IFERROR(IF($C165="","",IF($D165="","",IFERROR(ROUND($D165*INDEX('🔖 배합비 참조'!$B$2:$CE$83,MATCH("물엿(저당물엿)",'🔖 배합비 참조'!$A$2:$A$83,0),MATCH($C165,'🔖 배합비 참조'!$B$1:$CE$1,0))/100,0),""))),"")</f>
        <v>3</v>
      </c>
      <c r="AT165" s="39" t="n">
        <f aca="false">IFERROR(IF($C165="","",IF($D165="","",IFERROR(ROUND($D165*INDEX('🔖 배합비 참조'!$B$2:$CE$83,MATCH("밤다이스",'🔖 배합비 참조'!$A$2:$A$83,0),MATCH($C165,'🔖 배합비 참조'!$B$1:$CE$1,0))/100,0),""))),"")</f>
        <v>0</v>
      </c>
      <c r="AU165" s="39" t="n">
        <f aca="false">IFERROR(IF($C165="","",IF($D165="","",IFERROR(ROUND($D165*INDEX('🔖 배합비 참조'!$B$2:$CE$83,MATCH("변성전분(타피오카전분)",'🔖 배합비 참조'!$A$2:$A$83,0),MATCH($C165,'🔖 배합비 참조'!$B$1:$CE$1,0))/100,0),""))),"")</f>
        <v>0</v>
      </c>
      <c r="AV165" s="39" t="n">
        <f aca="false">IFERROR(IF($C165="","",IF($D165="","",IFERROR(ROUND($D165*INDEX('🔖 배합비 참조'!$B$2:$CE$83,MATCH("복음땅콩분태",'🔖 배합비 참조'!$A$2:$A$83,0),MATCH($C165,'🔖 배합비 참조'!$B$1:$CE$1,0))/100,0),""))),"")</f>
        <v>0</v>
      </c>
      <c r="AW165" s="39" t="n">
        <f aca="false">IFERROR(IF($C165="","",IF($D165="","",IFERROR(ROUND($D165*INDEX('🔖 배합비 참조'!$B$2:$CE$83,MATCH("사양벌꿀(국내산)",'🔖 배합비 참조'!$A$2:$A$83,0),MATCH($C165,'🔖 배합비 참조'!$B$1:$CE$1,0))/100,0),""))),"")</f>
        <v>0</v>
      </c>
      <c r="AX165" s="39" t="n">
        <f aca="false">IFERROR(IF($C165="","",IF($D165="","",IFERROR(ROUND($D165*INDEX('🔖 배합비 참조'!$B$2:$CE$83,MATCH("생크림",'🔖 배합비 참조'!$A$2:$A$83,0),MATCH($C165,'🔖 배합비 참조'!$B$1:$CE$1,0))/100,0),""))),"")</f>
        <v>0</v>
      </c>
      <c r="AY165" s="39" t="n">
        <f aca="false">IFERROR(IF($C165="","",IF($D165="","",IFERROR(ROUND($D165*INDEX('🔖 배합비 참조'!$B$2:$CE$83,MATCH("서양호박(국내산,뉴질랜드산)",'🔖 배합비 참조'!$A$2:$A$83,0),MATCH($C165,'🔖 배합비 참조'!$B$1:$CE$1,0))/100,0),""))),"")</f>
        <v>0</v>
      </c>
      <c r="AZ165" s="39" t="n">
        <f aca="false">IFERROR(IF($C165="","",IF($D165="","",IFERROR(ROUND($D165*INDEX('🔖 배합비 참조'!$B$2:$CE$83,MATCH("설탕",'🔖 배합비 참조'!$A$2:$A$83,0),MATCH($C165,'🔖 배합비 참조'!$B$1:$CE$1,0))/100,0),""))),"")</f>
        <v>3</v>
      </c>
      <c r="BA165" s="39" t="n">
        <f aca="false">IFERROR(IF($C165="","",IF($D165="","",IFERROR(ROUND($D165*INDEX('🔖 배합비 참조'!$B$2:$CE$83,MATCH("스트로우베리 에이드 후레쉬",'🔖 배합비 참조'!$A$2:$A$83,0),MATCH($C165,'🔖 배합비 참조'!$B$1:$CE$1,0))/100,0),""))),"")</f>
        <v>0</v>
      </c>
      <c r="BB165" s="39" t="n">
        <f aca="false">IFERROR(IF($C165="","",IF($D165="","",IFERROR(ROUND($D165*INDEX('🔖 배합비 참조'!$B$2:$CE$83,MATCH("식물성기름혼합제제(분홍)",'🔖 배합비 참조'!$A$2:$A$83,0),MATCH($C165,'🔖 배합비 참조'!$B$1:$CE$1,0))/100,0),""))),"")</f>
        <v>0</v>
      </c>
      <c r="BC165" s="39" t="n">
        <f aca="false">IFERROR(IF($C165="","",IF($D165="","",IFERROR(ROUND($D165*INDEX('🔖 배합비 참조'!$B$2:$CE$83,MATCH("식물성기름혼합제제(초록)",'🔖 배합비 참조'!$A$2:$A$83,0),MATCH($C165,'🔖 배합비 참조'!$B$1:$CE$1,0))/100,0),""))),"")</f>
        <v>0</v>
      </c>
      <c r="BD165" s="39" t="n">
        <f aca="false">IFERROR(IF($C165="","",IF($D165="","",IFERROR(ROUND($D165*INDEX('🔖 배합비 참조'!$B$2:$CE$83,MATCH("식물성기름혼합제제(황색)",'🔖 배합비 참조'!$A$2:$A$83,0),MATCH($C165,'🔖 배합비 참조'!$B$1:$CE$1,0))/100,0),""))),"")</f>
        <v>0</v>
      </c>
      <c r="BE165" s="39" t="n">
        <f aca="false">IFERROR(IF($C165="","",IF($D165="","",IFERROR(ROUND($D165*INDEX('🔖 배합비 참조'!$B$2:$CE$83,MATCH("쑥가루(국내산)",'🔖 배합비 참조'!$A$2:$A$83,0),MATCH($C165,'🔖 배합비 참조'!$B$1:$CE$1,0))/100,0),""))),"")</f>
        <v>0</v>
      </c>
      <c r="BF165" s="39" t="n">
        <f aca="false">IFERROR(IF($C165="","",IF($D165="","",IFERROR(ROUND($D165*INDEX('🔖 배합비 참조'!$B$2:$CE$83,MATCH("아몬드슬라이스",'🔖 배합비 참조'!$A$2:$A$83,0),MATCH($C165,'🔖 배합비 참조'!$B$1:$CE$1,0))/100,0),""))),"")</f>
        <v>0</v>
      </c>
      <c r="BG165" s="39" t="n">
        <f aca="false">IFERROR(IF($C165="","",IF($D165="","",IFERROR(ROUND($D165*INDEX('🔖 배합비 참조'!$B$2:$CE$83,MATCH("알룰로오스(국내산)",'🔖 배합비 참조'!$A$2:$A$83,0),MATCH($C165,'🔖 배합비 참조'!$B$1:$CE$1,0))/100,0),""))),"")</f>
        <v>0</v>
      </c>
      <c r="BH165" s="39" t="n">
        <f aca="false">IFERROR(IF($C165="","",IF($D165="","",IFERROR(ROUND($D165*INDEX('🔖 배합비 참조'!$B$2:$CE$83,MATCH("연유",'🔖 배합비 참조'!$A$2:$A$83,0),MATCH($C165,'🔖 배합비 참조'!$B$1:$CE$1,0))/100,0),""))),"")</f>
        <v>0</v>
      </c>
      <c r="BI165" s="39" t="n">
        <f aca="false">IFERROR(IF($C165="","",IF($D165="","",IFERROR(ROUND($D165*INDEX('🔖 배합비 참조'!$B$2:$CE$83,MATCH("옥수수전분",'🔖 배합비 참조'!$A$2:$A$83,0),MATCH($C165,'🔖 배합비 참조'!$B$1:$CE$1,0))/100,0),""))),"")</f>
        <v>0</v>
      </c>
      <c r="BJ165" s="39" t="n">
        <f aca="false">IFERROR(IF($C165="","",IF($D165="","",IFERROR(ROUND($D165*INDEX('🔖 배합비 참조'!$B$2:$CE$83,MATCH("완두배기",'🔖 배합비 참조'!$A$2:$A$83,0),MATCH($C165,'🔖 배합비 참조'!$B$1:$CE$1,0))/100,0),""))),"")</f>
        <v>0</v>
      </c>
      <c r="BK165" s="39" t="n">
        <f aca="false">IFERROR(IF($C165="","",IF($D165="","",IFERROR(ROUND($D165*INDEX('🔖 배합비 참조'!$B$2:$CE$83,MATCH("우유(국내산)",'🔖 배합비 참조'!$A$2:$A$83,0),MATCH($C165,'🔖 배합비 참조'!$B$1:$CE$1,0))/100,0),""))),"")</f>
        <v>0</v>
      </c>
      <c r="BL165" s="39" t="n">
        <f aca="false">IFERROR(IF($C165="","",IF($D165="","",IFERROR(ROUND($D165*INDEX('🔖 배합비 참조'!$B$2:$CE$83,MATCH("자색고구마가루(중국산)",'🔖 배합비 참조'!$A$2:$A$83,0),MATCH($C165,'🔖 배합비 참조'!$B$1:$CE$1,0))/100,0),""))),"")</f>
        <v>0</v>
      </c>
      <c r="BM165" s="39" t="n">
        <f aca="false">IFERROR(IF($C165="","",IF($D165="","",IFERROR(ROUND($D165*INDEX('🔖 배합비 참조'!$B$2:$CE$83,MATCH("자연치즈(체다치즈)",'🔖 배합비 참조'!$A$2:$A$83,0),MATCH($C165,'🔖 배합비 참조'!$B$1:$CE$1,0))/100,0),""))),"")</f>
        <v>0</v>
      </c>
      <c r="BN165" s="39" t="n">
        <f aca="false">IFERROR(IF($C165="","",IF($D165="","",IFERROR(ROUND($D165*INDEX('🔖 배합비 참조'!$B$2:$CE$83,MATCH("정제수",'🔖 배합비 참조'!$A$2:$A$83,0),MATCH($C165,'🔖 배합비 참조'!$B$1:$CE$1,0))/100,0),""))),"")</f>
        <v>27</v>
      </c>
      <c r="BO165" s="39" t="n">
        <f aca="false">IFERROR(IF($C165="","",IF($D165="","",IFERROR(ROUND($D165*INDEX('🔖 배합비 참조'!$B$2:$CE$83,MATCH("젤라틴",'🔖 배합비 참조'!$A$2:$A$83,0),MATCH($C165,'🔖 배합비 참조'!$B$1:$CE$1,0))/100,0),""))),"")</f>
        <v>0</v>
      </c>
      <c r="BP165" s="39" t="n">
        <f aca="false">IFERROR(IF($C165="","",IF($D165="","",IFERROR(ROUND($D165*INDEX('🔖 배합비 참조'!$B$2:$CE$83,MATCH("조림류(백옥앙금)",'🔖 배합비 참조'!$A$2:$A$83,0),MATCH($C165,'🔖 배합비 참조'!$B$1:$CE$1,0))/100,0),""))),"")</f>
        <v>0</v>
      </c>
      <c r="BQ165" s="39" t="n">
        <f aca="false">IFERROR(IF($C165="","",IF($D165="","",IFERROR(ROUND($D165*INDEX('🔖 배합비 참조'!$B$2:$CE$83,MATCH("조림류(통팥앙금)",'🔖 배합비 참조'!$A$2:$A$83,0),MATCH($C165,'🔖 배합비 참조'!$B$1:$CE$1,0))/100,0),""))),"")</f>
        <v>0</v>
      </c>
      <c r="BR165" s="39" t="n">
        <f aca="false">IFERROR(IF($C165="","",IF($D165="","",IFERROR(ROUND($D165*INDEX('🔖 배합비 참조'!$B$2:$CE$83,MATCH("준초콜릿(외국산)",'🔖 배합비 참조'!$A$2:$A$83,0),MATCH($C165,'🔖 배합비 참조'!$B$1:$CE$1,0))/100,0),""))),"")</f>
        <v>0</v>
      </c>
      <c r="BS165" s="39" t="n">
        <f aca="false">IFERROR(IF($C165="","",IF($D165="","",IFERROR(ROUND($D165*INDEX('🔖 배합비 참조'!$B$2:$CE$83,MATCH("중력분",'🔖 배합비 참조'!$A$2:$A$83,0),MATCH($C165,'🔖 배합비 참조'!$B$1:$CE$1,0))/100,0),""))),"")</f>
        <v>1</v>
      </c>
      <c r="BT165" s="39" t="n">
        <f aca="false">IFERROR(IF($C165="","",IF($D165="","",IFERROR(ROUND($D165*INDEX('🔖 배합비 참조'!$B$2:$CE$83,MATCH("참깨(인도산,나이지리아산,탄자니아산,미얀마산)",'🔖 배합비 참조'!$A$2:$A$83,0),MATCH($C165,'🔖 배합비 참조'!$B$1:$CE$1,0))/100,0),""))),"")</f>
        <v>0</v>
      </c>
      <c r="BU165" s="39" t="n">
        <f aca="false">IFERROR(IF($C165="","",IF($D165="","",IFERROR(ROUND($D165*INDEX('🔖 배합비 참조'!$B$2:$CE$83,MATCH("찹쌀(국내산)",'🔖 배합비 참조'!$A$2:$A$83,0),MATCH($C165,'🔖 배합비 참조'!$B$1:$CE$1,0))/100,0),""))),"")</f>
        <v>33</v>
      </c>
      <c r="BV165" s="39" t="n">
        <f aca="false">IFERROR(IF($C165="","",IF($D165="","",IFERROR(ROUND($D165*INDEX('🔖 배합비 참조'!$B$2:$CE$83,MATCH("천일염",'🔖 배합비 참조'!$A$2:$A$83,0),MATCH($C165,'🔖 배합비 참조'!$B$1:$CE$1,0))/100,0),""))),"")</f>
        <v>1</v>
      </c>
      <c r="BW165" s="39" t="n">
        <f aca="false">IFERROR(IF($C165="","",IF($D165="","",IFERROR(ROUND($D165*INDEX('🔖 배합비 참조'!$B$2:$CE$83,MATCH("치즈 [크림치즈]",'🔖 배합비 참조'!$A$2:$A$83,0),MATCH($C165,'🔖 배합비 참조'!$B$1:$CE$1,0))/100,0),""))),"")</f>
        <v>0</v>
      </c>
      <c r="BX165" s="39" t="n">
        <f aca="false">IFERROR(IF($C165="","",IF($D165="","",IFERROR(ROUND($D165*INDEX('🔖 배합비 참조'!$B$2:$CE$83,MATCH("코코아가공품류(코코아분말)",'🔖 배합비 참조'!$A$2:$A$83,0),MATCH($C165,'🔖 배합비 참조'!$B$1:$CE$1,0))/100,0),""))),"")</f>
        <v>0</v>
      </c>
      <c r="BY165" s="39" t="n">
        <f aca="false">IFERROR(IF($C165="","",IF($D165="","",IFERROR(ROUND($D165*INDEX('🔖 배합비 참조'!$B$2:$CE$83,MATCH("콩기름(대두유)",'🔖 배합비 참조'!$A$2:$A$83,0),MATCH($C165,'🔖 배합비 참조'!$B$1:$CE$1,0))/100,0),""))),"")</f>
        <v>0</v>
      </c>
      <c r="BZ165" s="39" t="n">
        <f aca="false">IFERROR(IF($C165="","",IF($D165="","",IFERROR(ROUND($D165*INDEX('🔖 배합비 참조'!$B$2:$CE$83,MATCH("해바라기씨앗",'🔖 배합비 참조'!$A$2:$A$83,0),MATCH($C165,'🔖 배합비 참조'!$B$1:$CE$1,0))/100,0),""))),"")</f>
        <v>0</v>
      </c>
      <c r="CA165" s="39" t="n">
        <f aca="false">IFERROR(IF($C165="","",IF($D165="","",IFERROR(ROUND($D165*INDEX('🔖 배합비 참조'!$B$2:$CE$83,MATCH("현미(국내산)",'🔖 배합비 참조'!$A$2:$A$83,0),MATCH($C165,'🔖 배합비 참조'!$B$1:$CE$1,0))/100,0),""))),"")</f>
        <v>0</v>
      </c>
      <c r="CB165" s="39" t="n">
        <f aca="false">IFERROR(IF($C165="","",IF($D165="","",IFERROR(ROUND($D165*INDEX('🔖 배합비 참조'!$B$2:$CE$83,MATCH("현미멥쌀(국내산)",'🔖 배합비 참조'!$A$2:$A$83,0),MATCH($C165,'🔖 배합비 참조'!$B$1:$CE$1,0))/100,0),""))),"")</f>
        <v>0</v>
      </c>
      <c r="CC165" s="39" t="n">
        <f aca="false">IFERROR(IF($C165="","",IF($D165="","",IFERROR(ROUND($D165*INDEX('🔖 배합비 참조'!$B$2:$CE$83,MATCH("호두분태(미국산)",'🔖 배합비 참조'!$A$2:$A$83,0),MATCH($C165,'🔖 배합비 참조'!$B$1:$CE$1,0))/100,0),""))),"")</f>
        <v>0</v>
      </c>
      <c r="CD165" s="39" t="n">
        <f aca="false">IFERROR(IF($C165="","",IF($D165="","",IFERROR(ROUND($D165*INDEX('🔖 배합비 참조'!$B$2:$CE$83,MATCH("호박씨앗(외국산)",'🔖 배합비 참조'!$A$2:$A$83,0),MATCH($C165,'🔖 배합비 참조'!$B$1:$CE$1,0))/100,0),""))),"")</f>
        <v>0</v>
      </c>
      <c r="CE165" s="39" t="n">
        <f aca="false">IFERROR(IF($C165="","",IF($D165="","",IFERROR(ROUND($D165*INDEX('🔖 배합비 참조'!$B$2:$CE$83,MATCH("혼합제제(떡용에스텔)",'🔖 배합비 참조'!$A$2:$A$83,0),MATCH($C165,'🔖 배합비 참조'!$B$1:$CE$1,0))/100,0),""))),"")</f>
        <v>0</v>
      </c>
      <c r="CF165" s="39" t="n">
        <f aca="false">IFERROR(IF($C165="","",IF($D165="","",IFERROR(ROUND($D165*INDEX('🔖 배합비 참조'!$B$2:$CE$83,MATCH("혼합제제(스테비아)",'🔖 배합비 참조'!$A$2:$A$83,0),MATCH($C165,'🔖 배합비 참조'!$B$1:$CE$1,0))/100,0),""))),"")</f>
        <v>0</v>
      </c>
      <c r="CG165" s="39" t="n">
        <f aca="false">IFERROR(IF($C165="","",IF($D165="","",IFERROR(ROUND($D165*INDEX('🔖 배합비 참조'!$B$2:$CE$83,MATCH("화이트초콜릿",'🔖 배합비 참조'!$A$2:$A$83,0),MATCH($C165,'🔖 배합비 참조'!$B$1:$CE$1,0))/100,0),""))),"")</f>
        <v>0</v>
      </c>
      <c r="CH165" s="39" t="n">
        <f aca="false">IFERROR(IF($C165="","",IF($D165="","",IFERROR(ROUND($D165*INDEX('🔖 배합비 참조'!$B$2:$CE$83,MATCH("흑미찹쌀(국내산)",'🔖 배합비 참조'!$A$2:$A$83,0),MATCH($C165,'🔖 배합비 참조'!$B$1:$CE$1,0))/100,0),""))),"")</f>
        <v>0</v>
      </c>
      <c r="CI165" s="39" t="n">
        <f aca="false">IFERROR(IF($C165="","",IF($D165="","",IFERROR(ROUND($D165*INDEX('🔖 배합비 참조'!$B$2:$CE$83,MATCH("찰옥수수전분(미국산)",'🔖 배합비 참조'!$A$2:$A$83,0),MATCH($C165,'🔖 배합비 참조'!$B$1:$CE$1,0))/100,0),""))),"")</f>
        <v>0</v>
      </c>
      <c r="CJ165" s="40"/>
      <c r="CL165" s="1" t="s">
        <v>245</v>
      </c>
    </row>
    <row r="166" customFormat="false" ht="18" hidden="false" customHeight="true" outlineLevel="0" collapsed="false">
      <c r="A166" s="41" t="n">
        <v>162</v>
      </c>
      <c r="B166" s="36" t="n">
        <v>46035</v>
      </c>
      <c r="C166" s="37" t="s">
        <v>183</v>
      </c>
      <c r="D166" s="38" t="n">
        <v>70</v>
      </c>
      <c r="E166" s="17"/>
      <c r="F166" s="17"/>
      <c r="G166" s="42" t="n">
        <f aca="false">IFERROR(IF($C166="","",IF($D166="","",IFERROR(ROUND($D166*INDEX('🔖 배합비 참조'!$B$2:$CE$83,MATCH("간장",'🔖 배합비 참조'!$A$2:$A$83,0),MATCH($C166,'🔖 배합비 참조'!$B$1:$CE$1,0))/100,0),""))),"")</f>
        <v>0</v>
      </c>
      <c r="H166" s="42" t="n">
        <f aca="false">IFERROR(IF($C166="","",IF($D166="","",IFERROR(ROUND($D166*INDEX('🔖 배합비 참조'!$B$2:$CE$83,MATCH("강낭콩((울타리콩))",'🔖 배합비 참조'!$A$2:$A$83,0),MATCH($C166,'🔖 배합비 참조'!$B$1:$CE$1,0))/100,0),""))),"")</f>
        <v>0</v>
      </c>
      <c r="I166" s="42" t="n">
        <f aca="false">IFERROR(IF($C166="","",IF($D166="","",IFERROR(ROUND($D166*INDEX('🔖 배합비 참조'!$B$2:$CE$83,MATCH("건조딸기다이스(외국산)",'🔖 배합비 참조'!$A$2:$A$83,0),MATCH($C166,'🔖 배합비 참조'!$B$1:$CE$1,0))/100,0),""))),"")</f>
        <v>0</v>
      </c>
      <c r="J166" s="42" t="n">
        <f aca="false">IFERROR(IF($C166="","",IF($D166="","",IFERROR(ROUND($D166*INDEX('🔖 배합비 참조'!$B$2:$CE$83,MATCH("건포도",'🔖 배합비 참조'!$A$2:$A$83,0),MATCH($C166,'🔖 배합비 참조'!$B$1:$CE$1,0))/100,0),""))),"")</f>
        <v>0</v>
      </c>
      <c r="K166" s="42" t="n">
        <f aca="false">IFERROR(IF($C166="","",IF($D166="","",IFERROR(ROUND($D166*INDEX('🔖 배합비 참조'!$B$2:$CE$83,MATCH("건호박채(중국산)",'🔖 배합비 참조'!$A$2:$A$83,0),MATCH($C166,'🔖 배합비 참조'!$B$1:$CE$1,0))/100,0),""))),"")</f>
        <v>0</v>
      </c>
      <c r="L166" s="42" t="n">
        <f aca="false">IFERROR(IF($C166="","",IF($D166="","",IFERROR(ROUND($D166*INDEX('🔖 배합비 참조'!$B$2:$CE$83,MATCH("검정깨(흑임자)",'🔖 배합비 참조'!$A$2:$A$83,0),MATCH($C166,'🔖 배합비 참조'!$B$1:$CE$1,0))/100,0),""))),"")</f>
        <v>0</v>
      </c>
      <c r="M166" s="42" t="n">
        <f aca="false">IFERROR(IF($C166="","",IF($D166="","",IFERROR(ROUND($D166*INDEX('🔖 배합비 참조'!$B$2:$CE$83,MATCH("검정콩",'🔖 배합비 참조'!$A$2:$A$83,0),MATCH($C166,'🔖 배합비 참조'!$B$1:$CE$1,0))/100,0),""))),"")</f>
        <v>0</v>
      </c>
      <c r="N166" s="42" t="n">
        <f aca="false">IFERROR(IF($C166="","",IF($D166="","",IFERROR(ROUND($D166*INDEX('🔖 배합비 참조'!$B$2:$CE$83,MATCH("계피가루",'🔖 배합비 참조'!$A$2:$A$83,0),MATCH($C166,'🔖 배합비 참조'!$B$1:$CE$1,0))/100,0),""))),"")</f>
        <v>0</v>
      </c>
      <c r="O166" s="42" t="n">
        <f aca="false">IFERROR(IF($C166="","",IF($D166="","",IFERROR(ROUND($D166*INDEX('🔖 배합비 참조'!$B$2:$CE$83,MATCH("고구마가루",'🔖 배합비 참조'!$A$2:$A$83,0),MATCH($C166,'🔖 배합비 참조'!$B$1:$CE$1,0))/100,0),""))),"")</f>
        <v>0</v>
      </c>
      <c r="P166" s="42" t="n">
        <f aca="false">IFERROR(IF($C166="","",IF($D166="","",IFERROR(ROUND($D166*INDEX('🔖 배합비 참조'!$B$2:$CE$83,MATCH("고구마무스",'🔖 배합비 참조'!$A$2:$A$83,0),MATCH($C166,'🔖 배합비 참조'!$B$1:$CE$1,0))/100,0),""))),"")</f>
        <v>0</v>
      </c>
      <c r="Q166" s="42" t="n">
        <f aca="false">IFERROR(IF($C166="","",IF($D166="","",IFERROR(ROUND($D166*INDEX('🔖 배합비 참조'!$B$2:$CE$83,MATCH("고려엉겅퀴((곤드레)국내산)",'🔖 배합비 참조'!$A$2:$A$83,0),MATCH($C166,'🔖 배합비 참조'!$B$1:$CE$1,0))/100,0),""))),"")</f>
        <v>0</v>
      </c>
      <c r="R166" s="42" t="n">
        <f aca="false">IFERROR(IF($C166="","",IF($D166="","",IFERROR(ROUND($D166*INDEX('🔖 배합비 참조'!$B$2:$CE$83,MATCH("기타가공품(복분자가루)",'🔖 배합비 참조'!$A$2:$A$83,0),MATCH($C166,'🔖 배합비 참조'!$B$1:$CE$1,0))/100,0),""))),"")</f>
        <v>0</v>
      </c>
      <c r="S166" s="42" t="n">
        <f aca="false">IFERROR(IF($C166="","",IF($D166="","",IFERROR(ROUND($D166*INDEX('🔖 배합비 참조'!$B$2:$CE$83,MATCH("기타가공품(슈퍼소프트엠)",'🔖 배합비 참조'!$A$2:$A$83,0),MATCH($C166,'🔖 배합비 참조'!$B$1:$CE$1,0))/100,0),""))),"")</f>
        <v>0</v>
      </c>
      <c r="T166" s="42" t="n">
        <f aca="false">IFERROR(IF($C166="","",IF($D166="","",IFERROR(ROUND($D166*INDEX('🔖 배합비 참조'!$B$2:$CE$83,MATCH("기타가공품(파인소프트 E-티)",'🔖 배합비 참조'!$A$2:$A$83,0),MATCH($C166,'🔖 배합비 참조'!$B$1:$CE$1,0))/100,0),""))),"")</f>
        <v>0</v>
      </c>
      <c r="U166" s="42" t="n">
        <f aca="false">IFERROR(IF($C166="","",IF($D166="","",IFERROR(ROUND($D166*INDEX('🔖 배합비 참조'!$B$2:$CE$83,MATCH("기타가공품(프리미엄카스테라가루)",'🔖 배합비 참조'!$A$2:$A$83,0),MATCH($C166,'🔖 배합비 참조'!$B$1:$CE$1,0))/100,0),""))),"")</f>
        <v>0</v>
      </c>
      <c r="V166" s="42" t="n">
        <f aca="false">IFERROR(IF($C166="","",IF($D166="","",IFERROR(ROUND($D166*INDEX('🔖 배합비 참조'!$B$2:$CE$83,MATCH("기타가공품(흑임자가루)",'🔖 배합비 참조'!$A$2:$A$83,0),MATCH($C166,'🔖 배합비 참조'!$B$1:$CE$1,0))/100,0),""))),"")</f>
        <v>0</v>
      </c>
      <c r="W166" s="42" t="n">
        <f aca="false">IFERROR(IF($C166="","",IF($D166="","",IFERROR(ROUND($D166*INDEX('🔖 배합비 참조'!$B$2:$CE$83,MATCH("기타설탕(흑설탕)",'🔖 배합비 참조'!$A$2:$A$83,0),MATCH($C166,'🔖 배합비 참조'!$B$1:$CE$1,0))/100,0),""))),"")</f>
        <v>0</v>
      </c>
      <c r="X166" s="42" t="n">
        <f aca="false">IFERROR(IF($C166="","",IF($D166="","",IFERROR(ROUND($D166*INDEX('🔖 배합비 참조'!$B$2:$CE$83,MATCH("냉동쑥(국내산)",'🔖 배합비 참조'!$A$2:$A$83,0),MATCH($C166,'🔖 배합비 참조'!$B$1:$CE$1,0))/100,0),""))),"")</f>
        <v>0</v>
      </c>
      <c r="Y166" s="42" t="n">
        <f aca="false">IFERROR(IF($C166="","",IF($D166="","",IFERROR(ROUND($D166*INDEX('🔖 배합비 참조'!$B$2:$CE$83,MATCH("냉동증숙고구마(중국산)",'🔖 배합비 참조'!$A$2:$A$83,0),MATCH($C166,'🔖 배합비 참조'!$B$1:$CE$1,0))/100,0),""))),"")</f>
        <v>0</v>
      </c>
      <c r="Z166" s="42" t="n">
        <f aca="false">IFERROR(IF($C166="","",IF($D166="","",IFERROR(ROUND($D166*INDEX('🔖 배합비 참조'!$B$2:$CE$83,MATCH("녹차가루",'🔖 배합비 참조'!$A$2:$A$83,0),MATCH($C166,'🔖 배합비 참조'!$B$1:$CE$1,0))/100,0),""))),"")</f>
        <v>0</v>
      </c>
      <c r="AA166" s="42" t="n">
        <f aca="false">IFERROR(IF($C166="","",IF($D166="","",IFERROR(ROUND($D166*INDEX('🔖 배합비 참조'!$B$2:$CE$83,MATCH("다크초콜릿 컴파운드칩",'🔖 배합비 참조'!$A$2:$A$83,0),MATCH($C166,'🔖 배합비 참조'!$B$1:$CE$1,0))/100,0),""))),"")</f>
        <v>0</v>
      </c>
      <c r="AB166" s="42" t="n">
        <f aca="false">IFERROR(IF($C166="","",IF($D166="","",IFERROR(ROUND($D166*INDEX('🔖 배합비 참조'!$B$2:$CE$83,MATCH("단호박분말(중국산)",'🔖 배합비 참조'!$A$2:$A$83,0),MATCH($C166,'🔖 배합비 참조'!$B$1:$CE$1,0))/100,0),""))),"")</f>
        <v>0</v>
      </c>
      <c r="AC166" s="42" t="n">
        <f aca="false">IFERROR(IF($C166="","",IF($D166="","",IFERROR(ROUND($D166*INDEX('🔖 배합비 참조'!$B$2:$CE$83,MATCH("당류가공품(단호박농축액)",'🔖 배합비 참조'!$A$2:$A$83,0),MATCH($C166,'🔖 배합비 참조'!$B$1:$CE$1,0))/100,0),""))),"")</f>
        <v>0</v>
      </c>
      <c r="AD166" s="42" t="n">
        <f aca="false">IFERROR(IF($C166="","",IF($D166="","",IFERROR(ROUND($D166*INDEX('🔖 배합비 참조'!$B$2:$CE$83,MATCH("당류가공품(알룰로스,에리스리톨,스테비올배당체혼합)",'🔖 배합비 참조'!$A$2:$A$83,0),MATCH($C166,'🔖 배합비 참조'!$B$1:$CE$1,0))/100,0),""))),"")</f>
        <v>0</v>
      </c>
      <c r="AE166" s="42" t="n">
        <f aca="false">IFERROR(IF($C166="","",IF($D166="","",IFERROR(ROUND($D166*INDEX('🔖 배합비 참조'!$B$2:$CE$83,MATCH("당류가공품(알룰로스제로파우더)",'🔖 배합비 참조'!$A$2:$A$83,0),MATCH($C166,'🔖 배합비 참조'!$B$1:$CE$1,0))/100,0),""))),"")</f>
        <v>0</v>
      </c>
      <c r="AF166" s="42" t="n">
        <f aca="false">IFERROR(IF($C166="","",IF($D166="","",IFERROR(ROUND($D166*INDEX('🔖 배합비 참조'!$B$2:$CE$83,MATCH("당절임(완두배기)",'🔖 배합비 참조'!$A$2:$A$83,0),MATCH($C166,'🔖 배합비 참조'!$B$1:$CE$1,0))/100,0),""))),"")</f>
        <v>0</v>
      </c>
      <c r="AG166" s="42" t="n">
        <f aca="false">IFERROR(IF($C166="","",IF($D166="","",IFERROR(ROUND($D166*INDEX('🔖 배합비 참조'!$B$2:$CE$83,MATCH("대추농축액",'🔖 배합비 참조'!$A$2:$A$83,0),MATCH($C166,'🔖 배합비 참조'!$B$1:$CE$1,0))/100,0),""))),"")</f>
        <v>0</v>
      </c>
      <c r="AH166" s="42" t="n">
        <f aca="false">IFERROR(IF($C166="","",IF($D166="","",IFERROR(ROUND($D166*INDEX('🔖 배합비 참조'!$B$2:$CE$83,MATCH("대추채(국내산)",'🔖 배합비 참조'!$A$2:$A$83,0),MATCH($C166,'🔖 배합비 참조'!$B$1:$CE$1,0))/100,0),""))),"")</f>
        <v>0</v>
      </c>
      <c r="AI166" s="42" t="n">
        <f aca="false">IFERROR(IF($C166="","",IF($D166="","",IFERROR(ROUND($D166*INDEX('🔖 배합비 참조'!$B$2:$CE$83,MATCH("동부(미얀마산)",'🔖 배합비 참조'!$A$2:$A$83,0),MATCH($C166,'🔖 배합비 참조'!$B$1:$CE$1,0))/100,0),""))),"")</f>
        <v>0</v>
      </c>
      <c r="AJ166" s="42" t="n">
        <f aca="false">IFERROR(IF($C166="","",IF($D166="","",IFERROR(ROUND($D166*INDEX('🔖 배합비 참조'!$B$2:$CE$83,MATCH("두류가공품(백옥앙금)",'🔖 배합비 참조'!$A$2:$A$83,0),MATCH($C166,'🔖 배합비 참조'!$B$1:$CE$1,0))/100,0),""))),"")</f>
        <v>0</v>
      </c>
      <c r="AK166" s="42" t="n">
        <f aca="false">IFERROR(IF($C166="","",IF($D166="","",IFERROR(ROUND($D166*INDEX('🔖 배합비 참조'!$B$2:$CE$83,MATCH("두류가공품(콩고물)",'🔖 배합비 참조'!$A$2:$A$83,0),MATCH($C166,'🔖 배합비 참조'!$B$1:$CE$1,0))/100,0),""))),"")</f>
        <v>0</v>
      </c>
      <c r="AL166" s="42" t="n">
        <f aca="false">IFERROR(IF($C166="","",IF($D166="","",IFERROR(ROUND($D166*INDEX('🔖 배합비 참조'!$B$2:$CE$83,MATCH("두류가공품(통팥고물)",'🔖 배합비 참조'!$A$2:$A$83,0),MATCH($C166,'🔖 배합비 참조'!$B$1:$CE$1,0))/100,0),""))),"")</f>
        <v>0</v>
      </c>
      <c r="AM166" s="42" t="n">
        <f aca="false">IFERROR(IF($C166="","",IF($D166="","",IFERROR(ROUND($D166*INDEX('🔖 배합비 참조'!$B$2:$CE$83,MATCH("딸기레진",'🔖 배합비 참조'!$A$2:$A$83,0),MATCH($C166,'🔖 배합비 참조'!$B$1:$CE$1,0))/100,0),""))),"")</f>
        <v>0</v>
      </c>
      <c r="AN166" s="42" t="n">
        <f aca="false">IFERROR(IF($C166="","",IF($D166="","",IFERROR(ROUND($D166*INDEX('🔖 배합비 참조'!$B$2:$CE$83,MATCH("딸기분말(스트로우베리에이드(분말))",'🔖 배합비 참조'!$A$2:$A$83,0),MATCH($C166,'🔖 배합비 참조'!$B$1:$CE$1,0))/100,0),""))),"")</f>
        <v>0</v>
      </c>
      <c r="AO166" s="42" t="n">
        <f aca="false">IFERROR(IF($C166="","",IF($D166="","",IFERROR(ROUND($D166*INDEX('🔖 배합비 참조'!$B$2:$CE$83,MATCH("마스카포네치즈",'🔖 배합비 참조'!$A$2:$A$83,0),MATCH($C166,'🔖 배합비 참조'!$B$1:$CE$1,0))/100,0),""))),"")</f>
        <v>0</v>
      </c>
      <c r="AP166" s="42" t="n">
        <f aca="false">IFERROR(IF($C166="","",IF($D166="","",IFERROR(ROUND($D166*INDEX('🔖 배합비 참조'!$B$2:$CE$83,MATCH("마카다미아분태(호주산)",'🔖 배합비 참조'!$A$2:$A$83,0),MATCH($C166,'🔖 배합비 참조'!$B$1:$CE$1,0))/100,0),""))),"")</f>
        <v>0</v>
      </c>
      <c r="AQ166" s="42" t="n">
        <f aca="false">IFERROR(IF($C166="","",IF($D166="","",IFERROR(ROUND($D166*INDEX('🔖 배합비 참조'!$B$2:$CE$83,MATCH("멥쌀(국내산)",'🔖 배합비 참조'!$A$2:$A$83,0),MATCH($C166,'🔖 배합비 참조'!$B$1:$CE$1,0))/100,0),""))),"")</f>
        <v>0</v>
      </c>
      <c r="AR166" s="42" t="n">
        <f aca="false">IFERROR(IF($C166="","",IF($D166="","",IFERROR(ROUND($D166*INDEX('🔖 배합비 참조'!$B$2:$CE$83,MATCH("모시잎(국내산)",'🔖 배합비 참조'!$A$2:$A$83,0),MATCH($C166,'🔖 배합비 참조'!$B$1:$CE$1,0))/100,0),""))),"")</f>
        <v>0</v>
      </c>
      <c r="AS166" s="42" t="n">
        <f aca="false">IFERROR(IF($C166="","",IF($D166="","",IFERROR(ROUND($D166*INDEX('🔖 배합비 참조'!$B$2:$CE$83,MATCH("물엿(저당물엿)",'🔖 배합비 참조'!$A$2:$A$83,0),MATCH($C166,'🔖 배합비 참조'!$B$1:$CE$1,0))/100,0),""))),"")</f>
        <v>2</v>
      </c>
      <c r="AT166" s="42" t="n">
        <f aca="false">IFERROR(IF($C166="","",IF($D166="","",IFERROR(ROUND($D166*INDEX('🔖 배합비 참조'!$B$2:$CE$83,MATCH("밤다이스",'🔖 배합비 참조'!$A$2:$A$83,0),MATCH($C166,'🔖 배합비 참조'!$B$1:$CE$1,0))/100,0),""))),"")</f>
        <v>0</v>
      </c>
      <c r="AU166" s="42" t="n">
        <f aca="false">IFERROR(IF($C166="","",IF($D166="","",IFERROR(ROUND($D166*INDEX('🔖 배합비 참조'!$B$2:$CE$83,MATCH("변성전분(타피오카전분)",'🔖 배합비 참조'!$A$2:$A$83,0),MATCH($C166,'🔖 배합비 참조'!$B$1:$CE$1,0))/100,0),""))),"")</f>
        <v>0</v>
      </c>
      <c r="AV166" s="42" t="n">
        <f aca="false">IFERROR(IF($C166="","",IF($D166="","",IFERROR(ROUND($D166*INDEX('🔖 배합비 참조'!$B$2:$CE$83,MATCH("복음땅콩분태",'🔖 배합비 참조'!$A$2:$A$83,0),MATCH($C166,'🔖 배합비 참조'!$B$1:$CE$1,0))/100,0),""))),"")</f>
        <v>0</v>
      </c>
      <c r="AW166" s="42" t="n">
        <f aca="false">IFERROR(IF($C166="","",IF($D166="","",IFERROR(ROUND($D166*INDEX('🔖 배합비 참조'!$B$2:$CE$83,MATCH("사양벌꿀(국내산)",'🔖 배합비 참조'!$A$2:$A$83,0),MATCH($C166,'🔖 배합비 참조'!$B$1:$CE$1,0))/100,0),""))),"")</f>
        <v>0</v>
      </c>
      <c r="AX166" s="42" t="n">
        <f aca="false">IFERROR(IF($C166="","",IF($D166="","",IFERROR(ROUND($D166*INDEX('🔖 배합비 참조'!$B$2:$CE$83,MATCH("생크림",'🔖 배합비 참조'!$A$2:$A$83,0),MATCH($C166,'🔖 배합비 참조'!$B$1:$CE$1,0))/100,0),""))),"")</f>
        <v>0</v>
      </c>
      <c r="AY166" s="42" t="n">
        <f aca="false">IFERROR(IF($C166="","",IF($D166="","",IFERROR(ROUND($D166*INDEX('🔖 배합비 참조'!$B$2:$CE$83,MATCH("서양호박(국내산,뉴질랜드산)",'🔖 배합비 참조'!$A$2:$A$83,0),MATCH($C166,'🔖 배합비 참조'!$B$1:$CE$1,0))/100,0),""))),"")</f>
        <v>0</v>
      </c>
      <c r="AZ166" s="42" t="n">
        <f aca="false">IFERROR(IF($C166="","",IF($D166="","",IFERROR(ROUND($D166*INDEX('🔖 배합비 참조'!$B$2:$CE$83,MATCH("설탕",'🔖 배합비 참조'!$A$2:$A$83,0),MATCH($C166,'🔖 배합비 참조'!$B$1:$CE$1,0))/100,0),""))),"")</f>
        <v>2</v>
      </c>
      <c r="BA166" s="42" t="n">
        <f aca="false">IFERROR(IF($C166="","",IF($D166="","",IFERROR(ROUND($D166*INDEX('🔖 배합비 참조'!$B$2:$CE$83,MATCH("스트로우베리 에이드 후레쉬",'🔖 배합비 참조'!$A$2:$A$83,0),MATCH($C166,'🔖 배합비 참조'!$B$1:$CE$1,0))/100,0),""))),"")</f>
        <v>0</v>
      </c>
      <c r="BB166" s="42" t="n">
        <f aca="false">IFERROR(IF($C166="","",IF($D166="","",IFERROR(ROUND($D166*INDEX('🔖 배합비 참조'!$B$2:$CE$83,MATCH("식물성기름혼합제제(분홍)",'🔖 배합비 참조'!$A$2:$A$83,0),MATCH($C166,'🔖 배합비 참조'!$B$1:$CE$1,0))/100,0),""))),"")</f>
        <v>0</v>
      </c>
      <c r="BC166" s="42" t="n">
        <f aca="false">IFERROR(IF($C166="","",IF($D166="","",IFERROR(ROUND($D166*INDEX('🔖 배합비 참조'!$B$2:$CE$83,MATCH("식물성기름혼합제제(초록)",'🔖 배합비 참조'!$A$2:$A$83,0),MATCH($C166,'🔖 배합비 참조'!$B$1:$CE$1,0))/100,0),""))),"")</f>
        <v>0</v>
      </c>
      <c r="BD166" s="42" t="n">
        <f aca="false">IFERROR(IF($C166="","",IF($D166="","",IFERROR(ROUND($D166*INDEX('🔖 배합비 참조'!$B$2:$CE$83,MATCH("식물성기름혼합제제(황색)",'🔖 배합비 참조'!$A$2:$A$83,0),MATCH($C166,'🔖 배합비 참조'!$B$1:$CE$1,0))/100,0),""))),"")</f>
        <v>0</v>
      </c>
      <c r="BE166" s="42" t="n">
        <f aca="false">IFERROR(IF($C166="","",IF($D166="","",IFERROR(ROUND($D166*INDEX('🔖 배합비 참조'!$B$2:$CE$83,MATCH("쑥가루(국내산)",'🔖 배합비 참조'!$A$2:$A$83,0),MATCH($C166,'🔖 배합비 참조'!$B$1:$CE$1,0))/100,0),""))),"")</f>
        <v>0</v>
      </c>
      <c r="BF166" s="42" t="n">
        <f aca="false">IFERROR(IF($C166="","",IF($D166="","",IFERROR(ROUND($D166*INDEX('🔖 배합비 참조'!$B$2:$CE$83,MATCH("아몬드슬라이스",'🔖 배합비 참조'!$A$2:$A$83,0),MATCH($C166,'🔖 배합비 참조'!$B$1:$CE$1,0))/100,0),""))),"")</f>
        <v>0</v>
      </c>
      <c r="BG166" s="42" t="n">
        <f aca="false">IFERROR(IF($C166="","",IF($D166="","",IFERROR(ROUND($D166*INDEX('🔖 배합비 참조'!$B$2:$CE$83,MATCH("알룰로오스(국내산)",'🔖 배합비 참조'!$A$2:$A$83,0),MATCH($C166,'🔖 배합비 참조'!$B$1:$CE$1,0))/100,0),""))),"")</f>
        <v>0</v>
      </c>
      <c r="BH166" s="42" t="n">
        <f aca="false">IFERROR(IF($C166="","",IF($D166="","",IFERROR(ROUND($D166*INDEX('🔖 배합비 참조'!$B$2:$CE$83,MATCH("연유",'🔖 배합비 참조'!$A$2:$A$83,0),MATCH($C166,'🔖 배합비 참조'!$B$1:$CE$1,0))/100,0),""))),"")</f>
        <v>0</v>
      </c>
      <c r="BI166" s="42" t="n">
        <f aca="false">IFERROR(IF($C166="","",IF($D166="","",IFERROR(ROUND($D166*INDEX('🔖 배합비 참조'!$B$2:$CE$83,MATCH("옥수수전분",'🔖 배합비 참조'!$A$2:$A$83,0),MATCH($C166,'🔖 배합비 참조'!$B$1:$CE$1,0))/100,0),""))),"")</f>
        <v>1</v>
      </c>
      <c r="BJ166" s="42" t="n">
        <f aca="false">IFERROR(IF($C166="","",IF($D166="","",IFERROR(ROUND($D166*INDEX('🔖 배합비 참조'!$B$2:$CE$83,MATCH("완두배기",'🔖 배합비 참조'!$A$2:$A$83,0),MATCH($C166,'🔖 배합비 참조'!$B$1:$CE$1,0))/100,0),""))),"")</f>
        <v>0</v>
      </c>
      <c r="BK166" s="42" t="n">
        <f aca="false">IFERROR(IF($C166="","",IF($D166="","",IFERROR(ROUND($D166*INDEX('🔖 배합비 참조'!$B$2:$CE$83,MATCH("우유(국내산)",'🔖 배합비 참조'!$A$2:$A$83,0),MATCH($C166,'🔖 배합비 참조'!$B$1:$CE$1,0))/100,0),""))),"")</f>
        <v>0</v>
      </c>
      <c r="BL166" s="42" t="n">
        <f aca="false">IFERROR(IF($C166="","",IF($D166="","",IFERROR(ROUND($D166*INDEX('🔖 배합비 참조'!$B$2:$CE$83,MATCH("자색고구마가루(중국산)",'🔖 배합비 참조'!$A$2:$A$83,0),MATCH($C166,'🔖 배합비 참조'!$B$1:$CE$1,0))/100,0),""))),"")</f>
        <v>0</v>
      </c>
      <c r="BM166" s="42" t="n">
        <f aca="false">IFERROR(IF($C166="","",IF($D166="","",IFERROR(ROUND($D166*INDEX('🔖 배합비 참조'!$B$2:$CE$83,MATCH("자연치즈(체다치즈)",'🔖 배합비 참조'!$A$2:$A$83,0),MATCH($C166,'🔖 배합비 참조'!$B$1:$CE$1,0))/100,0),""))),"")</f>
        <v>0</v>
      </c>
      <c r="BN166" s="42" t="n">
        <f aca="false">IFERROR(IF($C166="","",IF($D166="","",IFERROR(ROUND($D166*INDEX('🔖 배합비 참조'!$B$2:$CE$83,MATCH("정제수",'🔖 배합비 참조'!$A$2:$A$83,0),MATCH($C166,'🔖 배합비 참조'!$B$1:$CE$1,0))/100,0),""))),"")</f>
        <v>0</v>
      </c>
      <c r="BO166" s="42" t="n">
        <f aca="false">IFERROR(IF($C166="","",IF($D166="","",IFERROR(ROUND($D166*INDEX('🔖 배합비 참조'!$B$2:$CE$83,MATCH("젤라틴",'🔖 배합비 참조'!$A$2:$A$83,0),MATCH($C166,'🔖 배합비 참조'!$B$1:$CE$1,0))/100,0),""))),"")</f>
        <v>0</v>
      </c>
      <c r="BP166" s="42" t="n">
        <f aca="false">IFERROR(IF($C166="","",IF($D166="","",IFERROR(ROUND($D166*INDEX('🔖 배합비 참조'!$B$2:$CE$83,MATCH("조림류(백옥앙금)",'🔖 배합비 참조'!$A$2:$A$83,0),MATCH($C166,'🔖 배합비 참조'!$B$1:$CE$1,0))/100,0),""))),"")</f>
        <v>0</v>
      </c>
      <c r="BQ166" s="42" t="n">
        <f aca="false">IFERROR(IF($C166="","",IF($D166="","",IFERROR(ROUND($D166*INDEX('🔖 배합비 참조'!$B$2:$CE$83,MATCH("조림류(통팥앙금)",'🔖 배합비 참조'!$A$2:$A$83,0),MATCH($C166,'🔖 배합비 참조'!$B$1:$CE$1,0))/100,0),""))),"")</f>
        <v>31</v>
      </c>
      <c r="BR166" s="42" t="n">
        <f aca="false">IFERROR(IF($C166="","",IF($D166="","",IFERROR(ROUND($D166*INDEX('🔖 배합비 참조'!$B$2:$CE$83,MATCH("준초콜릿(외국산)",'🔖 배합비 참조'!$A$2:$A$83,0),MATCH($C166,'🔖 배합비 참조'!$B$1:$CE$1,0))/100,0),""))),"")</f>
        <v>0</v>
      </c>
      <c r="BS166" s="42" t="n">
        <f aca="false">IFERROR(IF($C166="","",IF($D166="","",IFERROR(ROUND($D166*INDEX('🔖 배합비 참조'!$B$2:$CE$83,MATCH("중력분",'🔖 배합비 참조'!$A$2:$A$83,0),MATCH($C166,'🔖 배합비 참조'!$B$1:$CE$1,0))/100,0),""))),"")</f>
        <v>0</v>
      </c>
      <c r="BT166" s="42" t="n">
        <f aca="false">IFERROR(IF($C166="","",IF($D166="","",IFERROR(ROUND($D166*INDEX('🔖 배합비 참조'!$B$2:$CE$83,MATCH("참깨(인도산,나이지리아산,탄자니아산,미얀마산)",'🔖 배합비 참조'!$A$2:$A$83,0),MATCH($C166,'🔖 배합비 참조'!$B$1:$CE$1,0))/100,0),""))),"")</f>
        <v>0</v>
      </c>
      <c r="BU166" s="42" t="n">
        <f aca="false">IFERROR(IF($C166="","",IF($D166="","",IFERROR(ROUND($D166*INDEX('🔖 배합비 참조'!$B$2:$CE$83,MATCH("찹쌀(국내산)",'🔖 배합비 참조'!$A$2:$A$83,0),MATCH($C166,'🔖 배합비 참조'!$B$1:$CE$1,0))/100,0),""))),"")</f>
        <v>33</v>
      </c>
      <c r="BV166" s="42" t="n">
        <f aca="false">IFERROR(IF($C166="","",IF($D166="","",IFERROR(ROUND($D166*INDEX('🔖 배합비 참조'!$B$2:$CE$83,MATCH("천일염",'🔖 배합비 참조'!$A$2:$A$83,0),MATCH($C166,'🔖 배합비 참조'!$B$1:$CE$1,0))/100,0),""))),"")</f>
        <v>1</v>
      </c>
      <c r="BW166" s="42" t="n">
        <f aca="false">IFERROR(IF($C166="","",IF($D166="","",IFERROR(ROUND($D166*INDEX('🔖 배합비 참조'!$B$2:$CE$83,MATCH("치즈 [크림치즈]",'🔖 배합비 참조'!$A$2:$A$83,0),MATCH($C166,'🔖 배합비 참조'!$B$1:$CE$1,0))/100,0),""))),"")</f>
        <v>0</v>
      </c>
      <c r="BX166" s="42" t="n">
        <f aca="false">IFERROR(IF($C166="","",IF($D166="","",IFERROR(ROUND($D166*INDEX('🔖 배합비 참조'!$B$2:$CE$83,MATCH("코코아가공품류(코코아분말)",'🔖 배합비 참조'!$A$2:$A$83,0),MATCH($C166,'🔖 배합비 참조'!$B$1:$CE$1,0))/100,0),""))),"")</f>
        <v>0</v>
      </c>
      <c r="BY166" s="42" t="n">
        <f aca="false">IFERROR(IF($C166="","",IF($D166="","",IFERROR(ROUND($D166*INDEX('🔖 배합비 참조'!$B$2:$CE$83,MATCH("콩기름(대두유)",'🔖 배합비 참조'!$A$2:$A$83,0),MATCH($C166,'🔖 배합비 참조'!$B$1:$CE$1,0))/100,0),""))),"")</f>
        <v>0</v>
      </c>
      <c r="BZ166" s="42" t="n">
        <f aca="false">IFERROR(IF($C166="","",IF($D166="","",IFERROR(ROUND($D166*INDEX('🔖 배합비 참조'!$B$2:$CE$83,MATCH("해바라기씨앗",'🔖 배합비 참조'!$A$2:$A$83,0),MATCH($C166,'🔖 배합비 참조'!$B$1:$CE$1,0))/100,0),""))),"")</f>
        <v>0</v>
      </c>
      <c r="CA166" s="42" t="n">
        <f aca="false">IFERROR(IF($C166="","",IF($D166="","",IFERROR(ROUND($D166*INDEX('🔖 배합비 참조'!$B$2:$CE$83,MATCH("현미(국내산)",'🔖 배합비 참조'!$A$2:$A$83,0),MATCH($C166,'🔖 배합비 참조'!$B$1:$CE$1,0))/100,0),""))),"")</f>
        <v>0</v>
      </c>
      <c r="CB166" s="42" t="n">
        <f aca="false">IFERROR(IF($C166="","",IF($D166="","",IFERROR(ROUND($D166*INDEX('🔖 배합비 참조'!$B$2:$CE$83,MATCH("현미멥쌀(국내산)",'🔖 배합비 참조'!$A$2:$A$83,0),MATCH($C166,'🔖 배합비 참조'!$B$1:$CE$1,0))/100,0),""))),"")</f>
        <v>0</v>
      </c>
      <c r="CC166" s="42" t="n">
        <f aca="false">IFERROR(IF($C166="","",IF($D166="","",IFERROR(ROUND($D166*INDEX('🔖 배합비 참조'!$B$2:$CE$83,MATCH("호두분태(미국산)",'🔖 배합비 참조'!$A$2:$A$83,0),MATCH($C166,'🔖 배합비 참조'!$B$1:$CE$1,0))/100,0),""))),"")</f>
        <v>0</v>
      </c>
      <c r="CD166" s="42" t="n">
        <f aca="false">IFERROR(IF($C166="","",IF($D166="","",IFERROR(ROUND($D166*INDEX('🔖 배합비 참조'!$B$2:$CE$83,MATCH("호박씨앗(외국산)",'🔖 배합비 참조'!$A$2:$A$83,0),MATCH($C166,'🔖 배합비 참조'!$B$1:$CE$1,0))/100,0),""))),"")</f>
        <v>0</v>
      </c>
      <c r="CE166" s="42" t="n">
        <f aca="false">IFERROR(IF($C166="","",IF($D166="","",IFERROR(ROUND($D166*INDEX('🔖 배합비 참조'!$B$2:$CE$83,MATCH("혼합제제(떡용에스텔)",'🔖 배합비 참조'!$A$2:$A$83,0),MATCH($C166,'🔖 배합비 참조'!$B$1:$CE$1,0))/100,0),""))),"")</f>
        <v>0</v>
      </c>
      <c r="CF166" s="42" t="n">
        <f aca="false">IFERROR(IF($C166="","",IF($D166="","",IFERROR(ROUND($D166*INDEX('🔖 배합비 참조'!$B$2:$CE$83,MATCH("혼합제제(스테비아)",'🔖 배합비 참조'!$A$2:$A$83,0),MATCH($C166,'🔖 배합비 참조'!$B$1:$CE$1,0))/100,0),""))),"")</f>
        <v>0</v>
      </c>
      <c r="CG166" s="42" t="n">
        <f aca="false">IFERROR(IF($C166="","",IF($D166="","",IFERROR(ROUND($D166*INDEX('🔖 배합비 참조'!$B$2:$CE$83,MATCH("화이트초콜릿",'🔖 배합비 참조'!$A$2:$A$83,0),MATCH($C166,'🔖 배합비 참조'!$B$1:$CE$1,0))/100,0),""))),"")</f>
        <v>0</v>
      </c>
      <c r="CH166" s="42" t="n">
        <f aca="false">IFERROR(IF($C166="","",IF($D166="","",IFERROR(ROUND($D166*INDEX('🔖 배합비 참조'!$B$2:$CE$83,MATCH("흑미찹쌀(국내산)",'🔖 배합비 참조'!$A$2:$A$83,0),MATCH($C166,'🔖 배합비 참조'!$B$1:$CE$1,0))/100,0),""))),"")</f>
        <v>0</v>
      </c>
      <c r="CI166" s="42" t="n">
        <f aca="false">IFERROR(IF($C166="","",IF($D166="","",IFERROR(ROUND($D166*INDEX('🔖 배합비 참조'!$B$2:$CE$83,MATCH("찰옥수수전분(미국산)",'🔖 배합비 참조'!$A$2:$A$83,0),MATCH($C166,'🔖 배합비 참조'!$B$1:$CE$1,0))/100,0),""))),"")</f>
        <v>0</v>
      </c>
      <c r="CJ166" s="40"/>
      <c r="CL166" s="1" t="s">
        <v>245</v>
      </c>
    </row>
    <row r="167" customFormat="false" ht="18" hidden="false" customHeight="true" outlineLevel="0" collapsed="false">
      <c r="A167" s="35" t="n">
        <v>163</v>
      </c>
      <c r="B167" s="36" t="n">
        <v>46035</v>
      </c>
      <c r="C167" s="37" t="s">
        <v>186</v>
      </c>
      <c r="D167" s="38" t="n">
        <v>37.5</v>
      </c>
      <c r="E167" s="13"/>
      <c r="F167" s="13"/>
      <c r="G167" s="39" t="n">
        <f aca="false">IFERROR(IF($C167="","",IF($D167="","",IFERROR(ROUND($D167*INDEX('🔖 배합비 참조'!$B$2:$CE$83,MATCH("간장",'🔖 배합비 참조'!$A$2:$A$83,0),MATCH($C167,'🔖 배합비 참조'!$B$1:$CE$1,0))/100,0),""))),"")</f>
        <v>0</v>
      </c>
      <c r="H167" s="39" t="n">
        <f aca="false">IFERROR(IF($C167="","",IF($D167="","",IFERROR(ROUND($D167*INDEX('🔖 배합비 참조'!$B$2:$CE$83,MATCH("강낭콩((울타리콩))",'🔖 배합비 참조'!$A$2:$A$83,0),MATCH($C167,'🔖 배합비 참조'!$B$1:$CE$1,0))/100,0),""))),"")</f>
        <v>0</v>
      </c>
      <c r="I167" s="39" t="n">
        <f aca="false">IFERROR(IF($C167="","",IF($D167="","",IFERROR(ROUND($D167*INDEX('🔖 배합비 참조'!$B$2:$CE$83,MATCH("건조딸기다이스(외국산)",'🔖 배합비 참조'!$A$2:$A$83,0),MATCH($C167,'🔖 배합비 참조'!$B$1:$CE$1,0))/100,0),""))),"")</f>
        <v>0</v>
      </c>
      <c r="J167" s="39" t="n">
        <f aca="false">IFERROR(IF($C167="","",IF($D167="","",IFERROR(ROUND($D167*INDEX('🔖 배합비 참조'!$B$2:$CE$83,MATCH("건포도",'🔖 배합비 참조'!$A$2:$A$83,0),MATCH($C167,'🔖 배합비 참조'!$B$1:$CE$1,0))/100,0),""))),"")</f>
        <v>0</v>
      </c>
      <c r="K167" s="39" t="n">
        <f aca="false">IFERROR(IF($C167="","",IF($D167="","",IFERROR(ROUND($D167*INDEX('🔖 배합비 참조'!$B$2:$CE$83,MATCH("건호박채(중국산)",'🔖 배합비 참조'!$A$2:$A$83,0),MATCH($C167,'🔖 배합비 참조'!$B$1:$CE$1,0))/100,0),""))),"")</f>
        <v>0</v>
      </c>
      <c r="L167" s="39" t="n">
        <f aca="false">IFERROR(IF($C167="","",IF($D167="","",IFERROR(ROUND($D167*INDEX('🔖 배합비 참조'!$B$2:$CE$83,MATCH("검정깨(흑임자)",'🔖 배합비 참조'!$A$2:$A$83,0),MATCH($C167,'🔖 배합비 참조'!$B$1:$CE$1,0))/100,0),""))),"")</f>
        <v>0</v>
      </c>
      <c r="M167" s="39" t="n">
        <f aca="false">IFERROR(IF($C167="","",IF($D167="","",IFERROR(ROUND($D167*INDEX('🔖 배합비 참조'!$B$2:$CE$83,MATCH("검정콩",'🔖 배합비 참조'!$A$2:$A$83,0),MATCH($C167,'🔖 배합비 참조'!$B$1:$CE$1,0))/100,0),""))),"")</f>
        <v>0</v>
      </c>
      <c r="N167" s="39" t="n">
        <f aca="false">IFERROR(IF($C167="","",IF($D167="","",IFERROR(ROUND($D167*INDEX('🔖 배합비 참조'!$B$2:$CE$83,MATCH("계피가루",'🔖 배합비 참조'!$A$2:$A$83,0),MATCH($C167,'🔖 배합비 참조'!$B$1:$CE$1,0))/100,0),""))),"")</f>
        <v>0</v>
      </c>
      <c r="O167" s="39" t="n">
        <f aca="false">IFERROR(IF($C167="","",IF($D167="","",IFERROR(ROUND($D167*INDEX('🔖 배합비 참조'!$B$2:$CE$83,MATCH("고구마가루",'🔖 배합비 참조'!$A$2:$A$83,0),MATCH($C167,'🔖 배합비 참조'!$B$1:$CE$1,0))/100,0),""))),"")</f>
        <v>0</v>
      </c>
      <c r="P167" s="39" t="n">
        <f aca="false">IFERROR(IF($C167="","",IF($D167="","",IFERROR(ROUND($D167*INDEX('🔖 배합비 참조'!$B$2:$CE$83,MATCH("고구마무스",'🔖 배합비 참조'!$A$2:$A$83,0),MATCH($C167,'🔖 배합비 참조'!$B$1:$CE$1,0))/100,0),""))),"")</f>
        <v>0</v>
      </c>
      <c r="Q167" s="39" t="n">
        <f aca="false">IFERROR(IF($C167="","",IF($D167="","",IFERROR(ROUND($D167*INDEX('🔖 배합비 참조'!$B$2:$CE$83,MATCH("고려엉겅퀴((곤드레)국내산)",'🔖 배합비 참조'!$A$2:$A$83,0),MATCH($C167,'🔖 배합비 참조'!$B$1:$CE$1,0))/100,0),""))),"")</f>
        <v>0</v>
      </c>
      <c r="R167" s="39" t="n">
        <f aca="false">IFERROR(IF($C167="","",IF($D167="","",IFERROR(ROUND($D167*INDEX('🔖 배합비 참조'!$B$2:$CE$83,MATCH("기타가공품(복분자가루)",'🔖 배합비 참조'!$A$2:$A$83,0),MATCH($C167,'🔖 배합비 참조'!$B$1:$CE$1,0))/100,0),""))),"")</f>
        <v>0</v>
      </c>
      <c r="S167" s="39" t="n">
        <f aca="false">IFERROR(IF($C167="","",IF($D167="","",IFERROR(ROUND($D167*INDEX('🔖 배합비 참조'!$B$2:$CE$83,MATCH("기타가공품(슈퍼소프트엠)",'🔖 배합비 참조'!$A$2:$A$83,0),MATCH($C167,'🔖 배합비 참조'!$B$1:$CE$1,0))/100,0),""))),"")</f>
        <v>0</v>
      </c>
      <c r="T167" s="39" t="n">
        <f aca="false">IFERROR(IF($C167="","",IF($D167="","",IFERROR(ROUND($D167*INDEX('🔖 배합비 참조'!$B$2:$CE$83,MATCH("기타가공품(파인소프트 E-티)",'🔖 배합비 참조'!$A$2:$A$83,0),MATCH($C167,'🔖 배합비 참조'!$B$1:$CE$1,0))/100,0),""))),"")</f>
        <v>0</v>
      </c>
      <c r="U167" s="39" t="n">
        <f aca="false">IFERROR(IF($C167="","",IF($D167="","",IFERROR(ROUND($D167*INDEX('🔖 배합비 참조'!$B$2:$CE$83,MATCH("기타가공품(프리미엄카스테라가루)",'🔖 배합비 참조'!$A$2:$A$83,0),MATCH($C167,'🔖 배합비 참조'!$B$1:$CE$1,0))/100,0),""))),"")</f>
        <v>0</v>
      </c>
      <c r="V167" s="39" t="n">
        <f aca="false">IFERROR(IF($C167="","",IF($D167="","",IFERROR(ROUND($D167*INDEX('🔖 배합비 참조'!$B$2:$CE$83,MATCH("기타가공품(흑임자가루)",'🔖 배합비 참조'!$A$2:$A$83,0),MATCH($C167,'🔖 배합비 참조'!$B$1:$CE$1,0))/100,0),""))),"")</f>
        <v>0</v>
      </c>
      <c r="W167" s="39" t="n">
        <f aca="false">IFERROR(IF($C167="","",IF($D167="","",IFERROR(ROUND($D167*INDEX('🔖 배합비 참조'!$B$2:$CE$83,MATCH("기타설탕(흑설탕)",'🔖 배합비 참조'!$A$2:$A$83,0),MATCH($C167,'🔖 배합비 참조'!$B$1:$CE$1,0))/100,0),""))),"")</f>
        <v>0</v>
      </c>
      <c r="X167" s="39" t="n">
        <f aca="false">IFERROR(IF($C167="","",IF($D167="","",IFERROR(ROUND($D167*INDEX('🔖 배합비 참조'!$B$2:$CE$83,MATCH("냉동쑥(국내산)",'🔖 배합비 참조'!$A$2:$A$83,0),MATCH($C167,'🔖 배합비 참조'!$B$1:$CE$1,0))/100,0),""))),"")</f>
        <v>0</v>
      </c>
      <c r="Y167" s="39" t="n">
        <f aca="false">IFERROR(IF($C167="","",IF($D167="","",IFERROR(ROUND($D167*INDEX('🔖 배합비 참조'!$B$2:$CE$83,MATCH("냉동증숙고구마(중국산)",'🔖 배합비 참조'!$A$2:$A$83,0),MATCH($C167,'🔖 배합비 참조'!$B$1:$CE$1,0))/100,0),""))),"")</f>
        <v>2</v>
      </c>
      <c r="Z167" s="39" t="n">
        <f aca="false">IFERROR(IF($C167="","",IF($D167="","",IFERROR(ROUND($D167*INDEX('🔖 배합비 참조'!$B$2:$CE$83,MATCH("녹차가루",'🔖 배합비 참조'!$A$2:$A$83,0),MATCH($C167,'🔖 배합비 참조'!$B$1:$CE$1,0))/100,0),""))),"")</f>
        <v>0</v>
      </c>
      <c r="AA167" s="39" t="n">
        <f aca="false">IFERROR(IF($C167="","",IF($D167="","",IFERROR(ROUND($D167*INDEX('🔖 배합비 참조'!$B$2:$CE$83,MATCH("다크초콜릿 컴파운드칩",'🔖 배합비 참조'!$A$2:$A$83,0),MATCH($C167,'🔖 배합비 참조'!$B$1:$CE$1,0))/100,0),""))),"")</f>
        <v>0</v>
      </c>
      <c r="AB167" s="39" t="n">
        <f aca="false">IFERROR(IF($C167="","",IF($D167="","",IFERROR(ROUND($D167*INDEX('🔖 배합비 참조'!$B$2:$CE$83,MATCH("단호박분말(중국산)",'🔖 배합비 참조'!$A$2:$A$83,0),MATCH($C167,'🔖 배합비 참조'!$B$1:$CE$1,0))/100,0),""))),"")</f>
        <v>0</v>
      </c>
      <c r="AC167" s="39" t="n">
        <f aca="false">IFERROR(IF($C167="","",IF($D167="","",IFERROR(ROUND($D167*INDEX('🔖 배합비 참조'!$B$2:$CE$83,MATCH("당류가공품(단호박농축액)",'🔖 배합비 참조'!$A$2:$A$83,0),MATCH($C167,'🔖 배합비 참조'!$B$1:$CE$1,0))/100,0),""))),"")</f>
        <v>0</v>
      </c>
      <c r="AD167" s="39" t="n">
        <f aca="false">IFERROR(IF($C167="","",IF($D167="","",IFERROR(ROUND($D167*INDEX('🔖 배합비 참조'!$B$2:$CE$83,MATCH("당류가공품(알룰로스,에리스리톨,스테비올배당체혼합)",'🔖 배합비 참조'!$A$2:$A$83,0),MATCH($C167,'🔖 배합비 참조'!$B$1:$CE$1,0))/100,0),""))),"")</f>
        <v>0</v>
      </c>
      <c r="AE167" s="39" t="n">
        <f aca="false">IFERROR(IF($C167="","",IF($D167="","",IFERROR(ROUND($D167*INDEX('🔖 배합비 참조'!$B$2:$CE$83,MATCH("당류가공품(알룰로스제로파우더)",'🔖 배합비 참조'!$A$2:$A$83,0),MATCH($C167,'🔖 배합비 참조'!$B$1:$CE$1,0))/100,0),""))),"")</f>
        <v>0</v>
      </c>
      <c r="AF167" s="39" t="n">
        <f aca="false">IFERROR(IF($C167="","",IF($D167="","",IFERROR(ROUND($D167*INDEX('🔖 배합비 참조'!$B$2:$CE$83,MATCH("당절임(완두배기)",'🔖 배합비 참조'!$A$2:$A$83,0),MATCH($C167,'🔖 배합비 참조'!$B$1:$CE$1,0))/100,0),""))),"")</f>
        <v>0</v>
      </c>
      <c r="AG167" s="39" t="n">
        <f aca="false">IFERROR(IF($C167="","",IF($D167="","",IFERROR(ROUND($D167*INDEX('🔖 배합비 참조'!$B$2:$CE$83,MATCH("대추농축액",'🔖 배합비 참조'!$A$2:$A$83,0),MATCH($C167,'🔖 배합비 참조'!$B$1:$CE$1,0))/100,0),""))),"")</f>
        <v>0</v>
      </c>
      <c r="AH167" s="39" t="n">
        <f aca="false">IFERROR(IF($C167="","",IF($D167="","",IFERROR(ROUND($D167*INDEX('🔖 배합비 참조'!$B$2:$CE$83,MATCH("대추채(국내산)",'🔖 배합비 참조'!$A$2:$A$83,0),MATCH($C167,'🔖 배합비 참조'!$B$1:$CE$1,0))/100,0),""))),"")</f>
        <v>0</v>
      </c>
      <c r="AI167" s="39" t="n">
        <f aca="false">IFERROR(IF($C167="","",IF($D167="","",IFERROR(ROUND($D167*INDEX('🔖 배합비 참조'!$B$2:$CE$83,MATCH("동부(미얀마산)",'🔖 배합비 참조'!$A$2:$A$83,0),MATCH($C167,'🔖 배합비 참조'!$B$1:$CE$1,0))/100,0),""))),"")</f>
        <v>0</v>
      </c>
      <c r="AJ167" s="39" t="n">
        <f aca="false">IFERROR(IF($C167="","",IF($D167="","",IFERROR(ROUND($D167*INDEX('🔖 배합비 참조'!$B$2:$CE$83,MATCH("두류가공품(백옥앙금)",'🔖 배합비 참조'!$A$2:$A$83,0),MATCH($C167,'🔖 배합비 참조'!$B$1:$CE$1,0))/100,0),""))),"")</f>
        <v>0</v>
      </c>
      <c r="AK167" s="39" t="n">
        <f aca="false">IFERROR(IF($C167="","",IF($D167="","",IFERROR(ROUND($D167*INDEX('🔖 배합비 참조'!$B$2:$CE$83,MATCH("두류가공품(콩고물)",'🔖 배합비 참조'!$A$2:$A$83,0),MATCH($C167,'🔖 배합비 참조'!$B$1:$CE$1,0))/100,0),""))),"")</f>
        <v>0</v>
      </c>
      <c r="AL167" s="39" t="n">
        <f aca="false">IFERROR(IF($C167="","",IF($D167="","",IFERROR(ROUND($D167*INDEX('🔖 배합비 참조'!$B$2:$CE$83,MATCH("두류가공품(통팥고물)",'🔖 배합비 참조'!$A$2:$A$83,0),MATCH($C167,'🔖 배합비 참조'!$B$1:$CE$1,0))/100,0),""))),"")</f>
        <v>0</v>
      </c>
      <c r="AM167" s="39" t="n">
        <f aca="false">IFERROR(IF($C167="","",IF($D167="","",IFERROR(ROUND($D167*INDEX('🔖 배합비 참조'!$B$2:$CE$83,MATCH("딸기레진",'🔖 배합비 참조'!$A$2:$A$83,0),MATCH($C167,'🔖 배합비 참조'!$B$1:$CE$1,0))/100,0),""))),"")</f>
        <v>0</v>
      </c>
      <c r="AN167" s="39" t="n">
        <f aca="false">IFERROR(IF($C167="","",IF($D167="","",IFERROR(ROUND($D167*INDEX('🔖 배합비 참조'!$B$2:$CE$83,MATCH("딸기분말(스트로우베리에이드(분말))",'🔖 배합비 참조'!$A$2:$A$83,0),MATCH($C167,'🔖 배합비 참조'!$B$1:$CE$1,0))/100,0),""))),"")</f>
        <v>0</v>
      </c>
      <c r="AO167" s="39" t="n">
        <f aca="false">IFERROR(IF($C167="","",IF($D167="","",IFERROR(ROUND($D167*INDEX('🔖 배합비 참조'!$B$2:$CE$83,MATCH("마스카포네치즈",'🔖 배합비 참조'!$A$2:$A$83,0),MATCH($C167,'🔖 배합비 참조'!$B$1:$CE$1,0))/100,0),""))),"")</f>
        <v>0</v>
      </c>
      <c r="AP167" s="39" t="n">
        <f aca="false">IFERROR(IF($C167="","",IF($D167="","",IFERROR(ROUND($D167*INDEX('🔖 배합비 참조'!$B$2:$CE$83,MATCH("마카다미아분태(호주산)",'🔖 배합비 참조'!$A$2:$A$83,0),MATCH($C167,'🔖 배합비 참조'!$B$1:$CE$1,0))/100,0),""))),"")</f>
        <v>0</v>
      </c>
      <c r="AQ167" s="39" t="n">
        <f aca="false">IFERROR(IF($C167="","",IF($D167="","",IFERROR(ROUND($D167*INDEX('🔖 배합비 참조'!$B$2:$CE$83,MATCH("멥쌀(국내산)",'🔖 배합비 참조'!$A$2:$A$83,0),MATCH($C167,'🔖 배합비 참조'!$B$1:$CE$1,0))/100,0),""))),"")</f>
        <v>23</v>
      </c>
      <c r="AR167" s="39" t="n">
        <f aca="false">IFERROR(IF($C167="","",IF($D167="","",IFERROR(ROUND($D167*INDEX('🔖 배합비 참조'!$B$2:$CE$83,MATCH("모시잎(국내산)",'🔖 배합비 참조'!$A$2:$A$83,0),MATCH($C167,'🔖 배합비 참조'!$B$1:$CE$1,0))/100,0),""))),"")</f>
        <v>0</v>
      </c>
      <c r="AS167" s="39" t="n">
        <f aca="false">IFERROR(IF($C167="","",IF($D167="","",IFERROR(ROUND($D167*INDEX('🔖 배합비 참조'!$B$2:$CE$83,MATCH("물엿(저당물엿)",'🔖 배합비 참조'!$A$2:$A$83,0),MATCH($C167,'🔖 배합비 참조'!$B$1:$CE$1,0))/100,0),""))),"")</f>
        <v>0</v>
      </c>
      <c r="AT167" s="39" t="n">
        <f aca="false">IFERROR(IF($C167="","",IF($D167="","",IFERROR(ROUND($D167*INDEX('🔖 배합비 참조'!$B$2:$CE$83,MATCH("밤다이스",'🔖 배합비 참조'!$A$2:$A$83,0),MATCH($C167,'🔖 배합비 참조'!$B$1:$CE$1,0))/100,0),""))),"")</f>
        <v>1</v>
      </c>
      <c r="AU167" s="39" t="n">
        <f aca="false">IFERROR(IF($C167="","",IF($D167="","",IFERROR(ROUND($D167*INDEX('🔖 배합비 참조'!$B$2:$CE$83,MATCH("변성전분(타피오카전분)",'🔖 배합비 참조'!$A$2:$A$83,0),MATCH($C167,'🔖 배합비 참조'!$B$1:$CE$1,0))/100,0),""))),"")</f>
        <v>0</v>
      </c>
      <c r="AV167" s="39" t="n">
        <f aca="false">IFERROR(IF($C167="","",IF($D167="","",IFERROR(ROUND($D167*INDEX('🔖 배합비 참조'!$B$2:$CE$83,MATCH("복음땅콩분태",'🔖 배합비 참조'!$A$2:$A$83,0),MATCH($C167,'🔖 배합비 참조'!$B$1:$CE$1,0))/100,0),""))),"")</f>
        <v>0</v>
      </c>
      <c r="AW167" s="39" t="n">
        <f aca="false">IFERROR(IF($C167="","",IF($D167="","",IFERROR(ROUND($D167*INDEX('🔖 배합비 참조'!$B$2:$CE$83,MATCH("사양벌꿀(국내산)",'🔖 배합비 참조'!$A$2:$A$83,0),MATCH($C167,'🔖 배합비 참조'!$B$1:$CE$1,0))/100,0),""))),"")</f>
        <v>0</v>
      </c>
      <c r="AX167" s="39" t="n">
        <f aca="false">IFERROR(IF($C167="","",IF($D167="","",IFERROR(ROUND($D167*INDEX('🔖 배합비 참조'!$B$2:$CE$83,MATCH("생크림",'🔖 배합비 참조'!$A$2:$A$83,0),MATCH($C167,'🔖 배합비 참조'!$B$1:$CE$1,0))/100,0),""))),"")</f>
        <v>0</v>
      </c>
      <c r="AY167" s="39" t="n">
        <f aca="false">IFERROR(IF($C167="","",IF($D167="","",IFERROR(ROUND($D167*INDEX('🔖 배합비 참조'!$B$2:$CE$83,MATCH("서양호박(국내산,뉴질랜드산)",'🔖 배합비 참조'!$A$2:$A$83,0),MATCH($C167,'🔖 배합비 참조'!$B$1:$CE$1,0))/100,0),""))),"")</f>
        <v>0</v>
      </c>
      <c r="AZ167" s="39" t="n">
        <f aca="false">IFERROR(IF($C167="","",IF($D167="","",IFERROR(ROUND($D167*INDEX('🔖 배합비 참조'!$B$2:$CE$83,MATCH("설탕",'🔖 배합비 참조'!$A$2:$A$83,0),MATCH($C167,'🔖 배합비 참조'!$B$1:$CE$1,0))/100,0),""))),"")</f>
        <v>4</v>
      </c>
      <c r="BA167" s="39" t="n">
        <f aca="false">IFERROR(IF($C167="","",IF($D167="","",IFERROR(ROUND($D167*INDEX('🔖 배합비 참조'!$B$2:$CE$83,MATCH("스트로우베리 에이드 후레쉬",'🔖 배합비 참조'!$A$2:$A$83,0),MATCH($C167,'🔖 배합비 참조'!$B$1:$CE$1,0))/100,0),""))),"")</f>
        <v>0</v>
      </c>
      <c r="BB167" s="39" t="n">
        <f aca="false">IFERROR(IF($C167="","",IF($D167="","",IFERROR(ROUND($D167*INDEX('🔖 배합비 참조'!$B$2:$CE$83,MATCH("식물성기름혼합제제(분홍)",'🔖 배합비 참조'!$A$2:$A$83,0),MATCH($C167,'🔖 배합비 참조'!$B$1:$CE$1,0))/100,0),""))),"")</f>
        <v>0</v>
      </c>
      <c r="BC167" s="39" t="n">
        <f aca="false">IFERROR(IF($C167="","",IF($D167="","",IFERROR(ROUND($D167*INDEX('🔖 배합비 참조'!$B$2:$CE$83,MATCH("식물성기름혼합제제(초록)",'🔖 배합비 참조'!$A$2:$A$83,0),MATCH($C167,'🔖 배합비 참조'!$B$1:$CE$1,0))/100,0),""))),"")</f>
        <v>0</v>
      </c>
      <c r="BD167" s="39" t="n">
        <f aca="false">IFERROR(IF($C167="","",IF($D167="","",IFERROR(ROUND($D167*INDEX('🔖 배합비 참조'!$B$2:$CE$83,MATCH("식물성기름혼합제제(황색)",'🔖 배합비 참조'!$A$2:$A$83,0),MATCH($C167,'🔖 배합비 참조'!$B$1:$CE$1,0))/100,0),""))),"")</f>
        <v>0</v>
      </c>
      <c r="BE167" s="39" t="n">
        <f aca="false">IFERROR(IF($C167="","",IF($D167="","",IFERROR(ROUND($D167*INDEX('🔖 배합비 참조'!$B$2:$CE$83,MATCH("쑥가루(국내산)",'🔖 배합비 참조'!$A$2:$A$83,0),MATCH($C167,'🔖 배합비 참조'!$B$1:$CE$1,0))/100,0),""))),"")</f>
        <v>0</v>
      </c>
      <c r="BF167" s="39" t="n">
        <f aca="false">IFERROR(IF($C167="","",IF($D167="","",IFERROR(ROUND($D167*INDEX('🔖 배합비 참조'!$B$2:$CE$83,MATCH("아몬드슬라이스",'🔖 배합비 참조'!$A$2:$A$83,0),MATCH($C167,'🔖 배합비 참조'!$B$1:$CE$1,0))/100,0),""))),"")</f>
        <v>0</v>
      </c>
      <c r="BG167" s="39" t="n">
        <f aca="false">IFERROR(IF($C167="","",IF($D167="","",IFERROR(ROUND($D167*INDEX('🔖 배합비 참조'!$B$2:$CE$83,MATCH("알룰로오스(국내산)",'🔖 배합비 참조'!$A$2:$A$83,0),MATCH($C167,'🔖 배합비 참조'!$B$1:$CE$1,0))/100,0),""))),"")</f>
        <v>0</v>
      </c>
      <c r="BH167" s="39" t="n">
        <f aca="false">IFERROR(IF($C167="","",IF($D167="","",IFERROR(ROUND($D167*INDEX('🔖 배합비 참조'!$B$2:$CE$83,MATCH("연유",'🔖 배합비 참조'!$A$2:$A$83,0),MATCH($C167,'🔖 배합비 참조'!$B$1:$CE$1,0))/100,0),""))),"")</f>
        <v>0</v>
      </c>
      <c r="BI167" s="39" t="n">
        <f aca="false">IFERROR(IF($C167="","",IF($D167="","",IFERROR(ROUND($D167*INDEX('🔖 배합비 참조'!$B$2:$CE$83,MATCH("옥수수전분",'🔖 배합비 참조'!$A$2:$A$83,0),MATCH($C167,'🔖 배합비 참조'!$B$1:$CE$1,0))/100,0),""))),"")</f>
        <v>0</v>
      </c>
      <c r="BJ167" s="39" t="n">
        <f aca="false">IFERROR(IF($C167="","",IF($D167="","",IFERROR(ROUND($D167*INDEX('🔖 배합비 참조'!$B$2:$CE$83,MATCH("완두배기",'🔖 배합비 참조'!$A$2:$A$83,0),MATCH($C167,'🔖 배합비 참조'!$B$1:$CE$1,0))/100,0),""))),"")</f>
        <v>0</v>
      </c>
      <c r="BK167" s="39" t="n">
        <f aca="false">IFERROR(IF($C167="","",IF($D167="","",IFERROR(ROUND($D167*INDEX('🔖 배합비 참조'!$B$2:$CE$83,MATCH("우유(국내산)",'🔖 배합비 참조'!$A$2:$A$83,0),MATCH($C167,'🔖 배합비 참조'!$B$1:$CE$1,0))/100,0),""))),"")</f>
        <v>0</v>
      </c>
      <c r="BL167" s="39" t="n">
        <f aca="false">IFERROR(IF($C167="","",IF($D167="","",IFERROR(ROUND($D167*INDEX('🔖 배합비 참조'!$B$2:$CE$83,MATCH("자색고구마가루(중국산)",'🔖 배합비 참조'!$A$2:$A$83,0),MATCH($C167,'🔖 배합비 참조'!$B$1:$CE$1,0))/100,0),""))),"")</f>
        <v>0</v>
      </c>
      <c r="BM167" s="39" t="n">
        <f aca="false">IFERROR(IF($C167="","",IF($D167="","",IFERROR(ROUND($D167*INDEX('🔖 배합비 참조'!$B$2:$CE$83,MATCH("자연치즈(체다치즈)",'🔖 배합비 참조'!$A$2:$A$83,0),MATCH($C167,'🔖 배합비 참조'!$B$1:$CE$1,0))/100,0),""))),"")</f>
        <v>0</v>
      </c>
      <c r="BN167" s="39" t="n">
        <f aca="false">IFERROR(IF($C167="","",IF($D167="","",IFERROR(ROUND($D167*INDEX('🔖 배합비 참조'!$B$2:$CE$83,MATCH("정제수",'🔖 배합비 참조'!$A$2:$A$83,0),MATCH($C167,'🔖 배합비 참조'!$B$1:$CE$1,0))/100,0),""))),"")</f>
        <v>6</v>
      </c>
      <c r="BO167" s="39" t="n">
        <f aca="false">IFERROR(IF($C167="","",IF($D167="","",IFERROR(ROUND($D167*INDEX('🔖 배합비 참조'!$B$2:$CE$83,MATCH("젤라틴",'🔖 배합비 참조'!$A$2:$A$83,0),MATCH($C167,'🔖 배합비 참조'!$B$1:$CE$1,0))/100,0),""))),"")</f>
        <v>0</v>
      </c>
      <c r="BP167" s="39" t="n">
        <f aca="false">IFERROR(IF($C167="","",IF($D167="","",IFERROR(ROUND($D167*INDEX('🔖 배합비 참조'!$B$2:$CE$83,MATCH("조림류(백옥앙금)",'🔖 배합비 참조'!$A$2:$A$83,0),MATCH($C167,'🔖 배합비 참조'!$B$1:$CE$1,0))/100,0),""))),"")</f>
        <v>0</v>
      </c>
      <c r="BQ167" s="39" t="n">
        <f aca="false">IFERROR(IF($C167="","",IF($D167="","",IFERROR(ROUND($D167*INDEX('🔖 배합비 참조'!$B$2:$CE$83,MATCH("조림류(통팥앙금)",'🔖 배합비 참조'!$A$2:$A$83,0),MATCH($C167,'🔖 배합비 참조'!$B$1:$CE$1,0))/100,0),""))),"")</f>
        <v>0</v>
      </c>
      <c r="BR167" s="39" t="n">
        <f aca="false">IFERROR(IF($C167="","",IF($D167="","",IFERROR(ROUND($D167*INDEX('🔖 배합비 참조'!$B$2:$CE$83,MATCH("준초콜릿(외국산)",'🔖 배합비 참조'!$A$2:$A$83,0),MATCH($C167,'🔖 배합비 참조'!$B$1:$CE$1,0))/100,0),""))),"")</f>
        <v>0</v>
      </c>
      <c r="BS167" s="39" t="n">
        <f aca="false">IFERROR(IF($C167="","",IF($D167="","",IFERROR(ROUND($D167*INDEX('🔖 배합비 참조'!$B$2:$CE$83,MATCH("중력분",'🔖 배합비 참조'!$A$2:$A$83,0),MATCH($C167,'🔖 배합비 참조'!$B$1:$CE$1,0))/100,0),""))),"")</f>
        <v>0</v>
      </c>
      <c r="BT167" s="39" t="n">
        <f aca="false">IFERROR(IF($C167="","",IF($D167="","",IFERROR(ROUND($D167*INDEX('🔖 배합비 참조'!$B$2:$CE$83,MATCH("참깨(인도산,나이지리아산,탄자니아산,미얀마산)",'🔖 배합비 참조'!$A$2:$A$83,0),MATCH($C167,'🔖 배합비 참조'!$B$1:$CE$1,0))/100,0),""))),"")</f>
        <v>0</v>
      </c>
      <c r="BU167" s="39" t="n">
        <f aca="false">IFERROR(IF($C167="","",IF($D167="","",IFERROR(ROUND($D167*INDEX('🔖 배합비 참조'!$B$2:$CE$83,MATCH("찹쌀(국내산)",'🔖 배합비 참조'!$A$2:$A$83,0),MATCH($C167,'🔖 배합비 참조'!$B$1:$CE$1,0))/100,0),""))),"")</f>
        <v>0</v>
      </c>
      <c r="BV167" s="39" t="n">
        <f aca="false">IFERROR(IF($C167="","",IF($D167="","",IFERROR(ROUND($D167*INDEX('🔖 배합비 참조'!$B$2:$CE$83,MATCH("천일염",'🔖 배합비 참조'!$A$2:$A$83,0),MATCH($C167,'🔖 배합비 참조'!$B$1:$CE$1,0))/100,0),""))),"")</f>
        <v>0</v>
      </c>
      <c r="BW167" s="39" t="n">
        <f aca="false">IFERROR(IF($C167="","",IF($D167="","",IFERROR(ROUND($D167*INDEX('🔖 배합비 참조'!$B$2:$CE$83,MATCH("치즈 [크림치즈]",'🔖 배합비 참조'!$A$2:$A$83,0),MATCH($C167,'🔖 배합비 참조'!$B$1:$CE$1,0))/100,0),""))),"")</f>
        <v>0</v>
      </c>
      <c r="BX167" s="39" t="n">
        <f aca="false">IFERROR(IF($C167="","",IF($D167="","",IFERROR(ROUND($D167*INDEX('🔖 배합비 참조'!$B$2:$CE$83,MATCH("코코아가공품류(코코아분말)",'🔖 배합비 참조'!$A$2:$A$83,0),MATCH($C167,'🔖 배합비 참조'!$B$1:$CE$1,0))/100,0),""))),"")</f>
        <v>0</v>
      </c>
      <c r="BY167" s="39" t="n">
        <f aca="false">IFERROR(IF($C167="","",IF($D167="","",IFERROR(ROUND($D167*INDEX('🔖 배합비 참조'!$B$2:$CE$83,MATCH("콩기름(대두유)",'🔖 배합비 참조'!$A$2:$A$83,0),MATCH($C167,'🔖 배합비 참조'!$B$1:$CE$1,0))/100,0),""))),"")</f>
        <v>0</v>
      </c>
      <c r="BZ167" s="39" t="n">
        <f aca="false">IFERROR(IF($C167="","",IF($D167="","",IFERROR(ROUND($D167*INDEX('🔖 배합비 참조'!$B$2:$CE$83,MATCH("해바라기씨앗",'🔖 배합비 참조'!$A$2:$A$83,0),MATCH($C167,'🔖 배합비 참조'!$B$1:$CE$1,0))/100,0),""))),"")</f>
        <v>0</v>
      </c>
      <c r="CA167" s="39" t="n">
        <f aca="false">IFERROR(IF($C167="","",IF($D167="","",IFERROR(ROUND($D167*INDEX('🔖 배합비 참조'!$B$2:$CE$83,MATCH("현미(국내산)",'🔖 배합비 참조'!$A$2:$A$83,0),MATCH($C167,'🔖 배합비 참조'!$B$1:$CE$1,0))/100,0),""))),"")</f>
        <v>0</v>
      </c>
      <c r="CB167" s="39" t="n">
        <f aca="false">IFERROR(IF($C167="","",IF($D167="","",IFERROR(ROUND($D167*INDEX('🔖 배합비 참조'!$B$2:$CE$83,MATCH("현미멥쌀(국내산)",'🔖 배합비 참조'!$A$2:$A$83,0),MATCH($C167,'🔖 배합비 참조'!$B$1:$CE$1,0))/100,0),""))),"")</f>
        <v>0</v>
      </c>
      <c r="CC167" s="39" t="n">
        <f aca="false">IFERROR(IF($C167="","",IF($D167="","",IFERROR(ROUND($D167*INDEX('🔖 배합비 참조'!$B$2:$CE$83,MATCH("호두분태(미국산)",'🔖 배합비 참조'!$A$2:$A$83,0),MATCH($C167,'🔖 배합비 참조'!$B$1:$CE$1,0))/100,0),""))),"")</f>
        <v>0</v>
      </c>
      <c r="CD167" s="39" t="n">
        <f aca="false">IFERROR(IF($C167="","",IF($D167="","",IFERROR(ROUND($D167*INDEX('🔖 배합비 참조'!$B$2:$CE$83,MATCH("호박씨앗(외국산)",'🔖 배합비 참조'!$A$2:$A$83,0),MATCH($C167,'🔖 배합비 참조'!$B$1:$CE$1,0))/100,0),""))),"")</f>
        <v>0</v>
      </c>
      <c r="CE167" s="39" t="n">
        <f aca="false">IFERROR(IF($C167="","",IF($D167="","",IFERROR(ROUND($D167*INDEX('🔖 배합비 참조'!$B$2:$CE$83,MATCH("혼합제제(떡용에스텔)",'🔖 배합비 참조'!$A$2:$A$83,0),MATCH($C167,'🔖 배합비 참조'!$B$1:$CE$1,0))/100,0),""))),"")</f>
        <v>0</v>
      </c>
      <c r="CF167" s="39" t="n">
        <f aca="false">IFERROR(IF($C167="","",IF($D167="","",IFERROR(ROUND($D167*INDEX('🔖 배합비 참조'!$B$2:$CE$83,MATCH("혼합제제(스테비아)",'🔖 배합비 참조'!$A$2:$A$83,0),MATCH($C167,'🔖 배합비 참조'!$B$1:$CE$1,0))/100,0),""))),"")</f>
        <v>0</v>
      </c>
      <c r="CG167" s="39" t="n">
        <f aca="false">IFERROR(IF($C167="","",IF($D167="","",IFERROR(ROUND($D167*INDEX('🔖 배합비 참조'!$B$2:$CE$83,MATCH("화이트초콜릿",'🔖 배합비 참조'!$A$2:$A$83,0),MATCH($C167,'🔖 배합비 참조'!$B$1:$CE$1,0))/100,0),""))),"")</f>
        <v>0</v>
      </c>
      <c r="CH167" s="39" t="n">
        <f aca="false">IFERROR(IF($C167="","",IF($D167="","",IFERROR(ROUND($D167*INDEX('🔖 배합비 참조'!$B$2:$CE$83,MATCH("흑미찹쌀(국내산)",'🔖 배합비 참조'!$A$2:$A$83,0),MATCH($C167,'🔖 배합비 참조'!$B$1:$CE$1,0))/100,0),""))),"")</f>
        <v>0</v>
      </c>
      <c r="CI167" s="39" t="n">
        <f aca="false">IFERROR(IF($C167="","",IF($D167="","",IFERROR(ROUND($D167*INDEX('🔖 배합비 참조'!$B$2:$CE$83,MATCH("찰옥수수전분(미국산)",'🔖 배합비 참조'!$A$2:$A$83,0),MATCH($C167,'🔖 배합비 참조'!$B$1:$CE$1,0))/100,0),""))),"")</f>
        <v>0</v>
      </c>
      <c r="CJ167" s="40"/>
      <c r="CL167" s="1" t="s">
        <v>245</v>
      </c>
    </row>
    <row r="168" customFormat="false" ht="18" hidden="false" customHeight="true" outlineLevel="0" collapsed="false">
      <c r="A168" s="41" t="n">
        <v>164</v>
      </c>
      <c r="B168" s="36" t="n">
        <v>46036</v>
      </c>
      <c r="C168" s="37" t="s">
        <v>147</v>
      </c>
      <c r="D168" s="38" t="n">
        <v>40</v>
      </c>
      <c r="E168" s="17"/>
      <c r="F168" s="17"/>
      <c r="G168" s="42" t="n">
        <f aca="false">IFERROR(IF($C168="","",IF($D168="","",IFERROR(ROUND($D168*INDEX('🔖 배합비 참조'!$B$2:$CE$83,MATCH("간장",'🔖 배합비 참조'!$A$2:$A$83,0),MATCH($C168,'🔖 배합비 참조'!$B$1:$CE$1,0))/100,0),""))),"")</f>
        <v>1</v>
      </c>
      <c r="H168" s="42" t="n">
        <f aca="false">IFERROR(IF($C168="","",IF($D168="","",IFERROR(ROUND($D168*INDEX('🔖 배합비 참조'!$B$2:$CE$83,MATCH("강낭콩((울타리콩))",'🔖 배합비 참조'!$A$2:$A$83,0),MATCH($C168,'🔖 배합비 참조'!$B$1:$CE$1,0))/100,0),""))),"")</f>
        <v>0</v>
      </c>
      <c r="I168" s="42" t="n">
        <f aca="false">IFERROR(IF($C168="","",IF($D168="","",IFERROR(ROUND($D168*INDEX('🔖 배합비 참조'!$B$2:$CE$83,MATCH("건조딸기다이스(외국산)",'🔖 배합비 참조'!$A$2:$A$83,0),MATCH($C168,'🔖 배합비 참조'!$B$1:$CE$1,0))/100,0),""))),"")</f>
        <v>0</v>
      </c>
      <c r="J168" s="42" t="n">
        <f aca="false">IFERROR(IF($C168="","",IF($D168="","",IFERROR(ROUND($D168*INDEX('🔖 배합비 참조'!$B$2:$CE$83,MATCH("건포도",'🔖 배합비 참조'!$A$2:$A$83,0),MATCH($C168,'🔖 배합비 참조'!$B$1:$CE$1,0))/100,0),""))),"")</f>
        <v>1</v>
      </c>
      <c r="K168" s="42" t="n">
        <f aca="false">IFERROR(IF($C168="","",IF($D168="","",IFERROR(ROUND($D168*INDEX('🔖 배합비 참조'!$B$2:$CE$83,MATCH("건호박채(중국산)",'🔖 배합비 참조'!$A$2:$A$83,0),MATCH($C168,'🔖 배합비 참조'!$B$1:$CE$1,0))/100,0),""))),"")</f>
        <v>0</v>
      </c>
      <c r="L168" s="42" t="n">
        <f aca="false">IFERROR(IF($C168="","",IF($D168="","",IFERROR(ROUND($D168*INDEX('🔖 배합비 참조'!$B$2:$CE$83,MATCH("검정깨(흑임자)",'🔖 배합비 참조'!$A$2:$A$83,0),MATCH($C168,'🔖 배합비 참조'!$B$1:$CE$1,0))/100,0),""))),"")</f>
        <v>0</v>
      </c>
      <c r="M168" s="42" t="n">
        <f aca="false">IFERROR(IF($C168="","",IF($D168="","",IFERROR(ROUND($D168*INDEX('🔖 배합비 참조'!$B$2:$CE$83,MATCH("검정콩",'🔖 배합비 참조'!$A$2:$A$83,0),MATCH($C168,'🔖 배합비 참조'!$B$1:$CE$1,0))/100,0),""))),"")</f>
        <v>0</v>
      </c>
      <c r="N168" s="42" t="n">
        <f aca="false">IFERROR(IF($C168="","",IF($D168="","",IFERROR(ROUND($D168*INDEX('🔖 배합비 참조'!$B$2:$CE$83,MATCH("계피가루",'🔖 배합비 참조'!$A$2:$A$83,0),MATCH($C168,'🔖 배합비 참조'!$B$1:$CE$1,0))/100,0),""))),"")</f>
        <v>0</v>
      </c>
      <c r="O168" s="42" t="n">
        <f aca="false">IFERROR(IF($C168="","",IF($D168="","",IFERROR(ROUND($D168*INDEX('🔖 배합비 참조'!$B$2:$CE$83,MATCH("고구마가루",'🔖 배합비 참조'!$A$2:$A$83,0),MATCH($C168,'🔖 배합비 참조'!$B$1:$CE$1,0))/100,0),""))),"")</f>
        <v>0</v>
      </c>
      <c r="P168" s="42" t="n">
        <f aca="false">IFERROR(IF($C168="","",IF($D168="","",IFERROR(ROUND($D168*INDEX('🔖 배합비 참조'!$B$2:$CE$83,MATCH("고구마무스",'🔖 배합비 참조'!$A$2:$A$83,0),MATCH($C168,'🔖 배합비 참조'!$B$1:$CE$1,0))/100,0),""))),"")</f>
        <v>0</v>
      </c>
      <c r="Q168" s="42" t="n">
        <f aca="false">IFERROR(IF($C168="","",IF($D168="","",IFERROR(ROUND($D168*INDEX('🔖 배합비 참조'!$B$2:$CE$83,MATCH("고려엉겅퀴((곤드레)국내산)",'🔖 배합비 참조'!$A$2:$A$83,0),MATCH($C168,'🔖 배합비 참조'!$B$1:$CE$1,0))/100,0),""))),"")</f>
        <v>0</v>
      </c>
      <c r="R168" s="42" t="n">
        <f aca="false">IFERROR(IF($C168="","",IF($D168="","",IFERROR(ROUND($D168*INDEX('🔖 배합비 참조'!$B$2:$CE$83,MATCH("기타가공품(복분자가루)",'🔖 배합비 참조'!$A$2:$A$83,0),MATCH($C168,'🔖 배합비 참조'!$B$1:$CE$1,0))/100,0),""))),"")</f>
        <v>0</v>
      </c>
      <c r="S168" s="42" t="n">
        <f aca="false">IFERROR(IF($C168="","",IF($D168="","",IFERROR(ROUND($D168*INDEX('🔖 배합비 참조'!$B$2:$CE$83,MATCH("기타가공품(슈퍼소프트엠)",'🔖 배합비 참조'!$A$2:$A$83,0),MATCH($C168,'🔖 배합비 참조'!$B$1:$CE$1,0))/100,0),""))),"")</f>
        <v>0</v>
      </c>
      <c r="T168" s="42" t="n">
        <f aca="false">IFERROR(IF($C168="","",IF($D168="","",IFERROR(ROUND($D168*INDEX('🔖 배합비 참조'!$B$2:$CE$83,MATCH("기타가공품(파인소프트 E-티)",'🔖 배합비 참조'!$A$2:$A$83,0),MATCH($C168,'🔖 배합비 참조'!$B$1:$CE$1,0))/100,0),""))),"")</f>
        <v>0</v>
      </c>
      <c r="U168" s="42" t="n">
        <f aca="false">IFERROR(IF($C168="","",IF($D168="","",IFERROR(ROUND($D168*INDEX('🔖 배합비 참조'!$B$2:$CE$83,MATCH("기타가공품(프리미엄카스테라가루)",'🔖 배합비 참조'!$A$2:$A$83,0),MATCH($C168,'🔖 배합비 참조'!$B$1:$CE$1,0))/100,0),""))),"")</f>
        <v>0</v>
      </c>
      <c r="V168" s="42" t="n">
        <f aca="false">IFERROR(IF($C168="","",IF($D168="","",IFERROR(ROUND($D168*INDEX('🔖 배합비 참조'!$B$2:$CE$83,MATCH("기타가공품(흑임자가루)",'🔖 배합비 참조'!$A$2:$A$83,0),MATCH($C168,'🔖 배합비 참조'!$B$1:$CE$1,0))/100,0),""))),"")</f>
        <v>0</v>
      </c>
      <c r="W168" s="42" t="n">
        <f aca="false">IFERROR(IF($C168="","",IF($D168="","",IFERROR(ROUND($D168*INDEX('🔖 배합비 참조'!$B$2:$CE$83,MATCH("기타설탕(흑설탕)",'🔖 배합비 참조'!$A$2:$A$83,0),MATCH($C168,'🔖 배합비 참조'!$B$1:$CE$1,0))/100,0),""))),"")</f>
        <v>0</v>
      </c>
      <c r="X168" s="42" t="n">
        <f aca="false">IFERROR(IF($C168="","",IF($D168="","",IFERROR(ROUND($D168*INDEX('🔖 배합비 참조'!$B$2:$CE$83,MATCH("냉동쑥(국내산)",'🔖 배합비 참조'!$A$2:$A$83,0),MATCH($C168,'🔖 배합비 참조'!$B$1:$CE$1,0))/100,0),""))),"")</f>
        <v>0</v>
      </c>
      <c r="Y168" s="42" t="n">
        <f aca="false">IFERROR(IF($C168="","",IF($D168="","",IFERROR(ROUND($D168*INDEX('🔖 배합비 참조'!$B$2:$CE$83,MATCH("냉동증숙고구마(중국산)",'🔖 배합비 참조'!$A$2:$A$83,0),MATCH($C168,'🔖 배합비 참조'!$B$1:$CE$1,0))/100,0),""))),"")</f>
        <v>0</v>
      </c>
      <c r="Z168" s="42" t="n">
        <f aca="false">IFERROR(IF($C168="","",IF($D168="","",IFERROR(ROUND($D168*INDEX('🔖 배합비 참조'!$B$2:$CE$83,MATCH("녹차가루",'🔖 배합비 참조'!$A$2:$A$83,0),MATCH($C168,'🔖 배합비 참조'!$B$1:$CE$1,0))/100,0),""))),"")</f>
        <v>0</v>
      </c>
      <c r="AA168" s="42" t="n">
        <f aca="false">IFERROR(IF($C168="","",IF($D168="","",IFERROR(ROUND($D168*INDEX('🔖 배합비 참조'!$B$2:$CE$83,MATCH("다크초콜릿 컴파운드칩",'🔖 배합비 참조'!$A$2:$A$83,0),MATCH($C168,'🔖 배합비 참조'!$B$1:$CE$1,0))/100,0),""))),"")</f>
        <v>0</v>
      </c>
      <c r="AB168" s="42" t="n">
        <f aca="false">IFERROR(IF($C168="","",IF($D168="","",IFERROR(ROUND($D168*INDEX('🔖 배합비 참조'!$B$2:$CE$83,MATCH("단호박분말(중국산)",'🔖 배합비 참조'!$A$2:$A$83,0),MATCH($C168,'🔖 배합비 참조'!$B$1:$CE$1,0))/100,0),""))),"")</f>
        <v>0</v>
      </c>
      <c r="AC168" s="42" t="n">
        <f aca="false">IFERROR(IF($C168="","",IF($D168="","",IFERROR(ROUND($D168*INDEX('🔖 배합비 참조'!$B$2:$CE$83,MATCH("당류가공품(단호박농축액)",'🔖 배합비 참조'!$A$2:$A$83,0),MATCH($C168,'🔖 배합비 참조'!$B$1:$CE$1,0))/100,0),""))),"")</f>
        <v>0</v>
      </c>
      <c r="AD168" s="42" t="n">
        <f aca="false">IFERROR(IF($C168="","",IF($D168="","",IFERROR(ROUND($D168*INDEX('🔖 배합비 참조'!$B$2:$CE$83,MATCH("당류가공품(알룰로스,에리스리톨,스테비올배당체혼합)",'🔖 배합비 참조'!$A$2:$A$83,0),MATCH($C168,'🔖 배합비 참조'!$B$1:$CE$1,0))/100,0),""))),"")</f>
        <v>0</v>
      </c>
      <c r="AE168" s="42" t="n">
        <f aca="false">IFERROR(IF($C168="","",IF($D168="","",IFERROR(ROUND($D168*INDEX('🔖 배합비 참조'!$B$2:$CE$83,MATCH("당류가공품(알룰로스제로파우더)",'🔖 배합비 참조'!$A$2:$A$83,0),MATCH($C168,'🔖 배합비 참조'!$B$1:$CE$1,0))/100,0),""))),"")</f>
        <v>0</v>
      </c>
      <c r="AF168" s="42" t="n">
        <f aca="false">IFERROR(IF($C168="","",IF($D168="","",IFERROR(ROUND($D168*INDEX('🔖 배합비 참조'!$B$2:$CE$83,MATCH("당절임(완두배기)",'🔖 배합비 참조'!$A$2:$A$83,0),MATCH($C168,'🔖 배합비 참조'!$B$1:$CE$1,0))/100,0),""))),"")</f>
        <v>0</v>
      </c>
      <c r="AG168" s="42" t="n">
        <f aca="false">IFERROR(IF($C168="","",IF($D168="","",IFERROR(ROUND($D168*INDEX('🔖 배합비 참조'!$B$2:$CE$83,MATCH("대추농축액",'🔖 배합비 참조'!$A$2:$A$83,0),MATCH($C168,'🔖 배합비 참조'!$B$1:$CE$1,0))/100,0),""))),"")</f>
        <v>1</v>
      </c>
      <c r="AH168" s="42" t="n">
        <f aca="false">IFERROR(IF($C168="","",IF($D168="","",IFERROR(ROUND($D168*INDEX('🔖 배합비 참조'!$B$2:$CE$83,MATCH("대추채(국내산)",'🔖 배합비 참조'!$A$2:$A$83,0),MATCH($C168,'🔖 배합비 참조'!$B$1:$CE$1,0))/100,0),""))),"")</f>
        <v>0</v>
      </c>
      <c r="AI168" s="42" t="n">
        <f aca="false">IFERROR(IF($C168="","",IF($D168="","",IFERROR(ROUND($D168*INDEX('🔖 배합비 참조'!$B$2:$CE$83,MATCH("동부(미얀마산)",'🔖 배합비 참조'!$A$2:$A$83,0),MATCH($C168,'🔖 배합비 참조'!$B$1:$CE$1,0))/100,0),""))),"")</f>
        <v>0</v>
      </c>
      <c r="AJ168" s="42" t="n">
        <f aca="false">IFERROR(IF($C168="","",IF($D168="","",IFERROR(ROUND($D168*INDEX('🔖 배합비 참조'!$B$2:$CE$83,MATCH("두류가공품(백옥앙금)",'🔖 배합비 참조'!$A$2:$A$83,0),MATCH($C168,'🔖 배합비 참조'!$B$1:$CE$1,0))/100,0),""))),"")</f>
        <v>0</v>
      </c>
      <c r="AK168" s="42" t="n">
        <f aca="false">IFERROR(IF($C168="","",IF($D168="","",IFERROR(ROUND($D168*INDEX('🔖 배합비 참조'!$B$2:$CE$83,MATCH("두류가공품(콩고물)",'🔖 배합비 참조'!$A$2:$A$83,0),MATCH($C168,'🔖 배합비 참조'!$B$1:$CE$1,0))/100,0),""))),"")</f>
        <v>0</v>
      </c>
      <c r="AL168" s="42" t="n">
        <f aca="false">IFERROR(IF($C168="","",IF($D168="","",IFERROR(ROUND($D168*INDEX('🔖 배합비 참조'!$B$2:$CE$83,MATCH("두류가공품(통팥고물)",'🔖 배합비 참조'!$A$2:$A$83,0),MATCH($C168,'🔖 배합비 참조'!$B$1:$CE$1,0))/100,0),""))),"")</f>
        <v>0</v>
      </c>
      <c r="AM168" s="42" t="n">
        <f aca="false">IFERROR(IF($C168="","",IF($D168="","",IFERROR(ROUND($D168*INDEX('🔖 배합비 참조'!$B$2:$CE$83,MATCH("딸기레진",'🔖 배합비 참조'!$A$2:$A$83,0),MATCH($C168,'🔖 배합비 참조'!$B$1:$CE$1,0))/100,0),""))),"")</f>
        <v>0</v>
      </c>
      <c r="AN168" s="42" t="n">
        <f aca="false">IFERROR(IF($C168="","",IF($D168="","",IFERROR(ROUND($D168*INDEX('🔖 배합비 참조'!$B$2:$CE$83,MATCH("딸기분말(스트로우베리에이드(분말))",'🔖 배합비 참조'!$A$2:$A$83,0),MATCH($C168,'🔖 배합비 참조'!$B$1:$CE$1,0))/100,0),""))),"")</f>
        <v>0</v>
      </c>
      <c r="AO168" s="42" t="n">
        <f aca="false">IFERROR(IF($C168="","",IF($D168="","",IFERROR(ROUND($D168*INDEX('🔖 배합비 참조'!$B$2:$CE$83,MATCH("마스카포네치즈",'🔖 배합비 참조'!$A$2:$A$83,0),MATCH($C168,'🔖 배합비 참조'!$B$1:$CE$1,0))/100,0),""))),"")</f>
        <v>0</v>
      </c>
      <c r="AP168" s="42" t="n">
        <f aca="false">IFERROR(IF($C168="","",IF($D168="","",IFERROR(ROUND($D168*INDEX('🔖 배합비 참조'!$B$2:$CE$83,MATCH("마카다미아분태(호주산)",'🔖 배합비 참조'!$A$2:$A$83,0),MATCH($C168,'🔖 배합비 참조'!$B$1:$CE$1,0))/100,0),""))),"")</f>
        <v>0</v>
      </c>
      <c r="AQ168" s="42" t="n">
        <f aca="false">IFERROR(IF($C168="","",IF($D168="","",IFERROR(ROUND($D168*INDEX('🔖 배합비 참조'!$B$2:$CE$83,MATCH("멥쌀(국내산)",'🔖 배합비 참조'!$A$2:$A$83,0),MATCH($C168,'🔖 배합비 참조'!$B$1:$CE$1,0))/100,0),""))),"")</f>
        <v>0</v>
      </c>
      <c r="AR168" s="42" t="n">
        <f aca="false">IFERROR(IF($C168="","",IF($D168="","",IFERROR(ROUND($D168*INDEX('🔖 배합비 참조'!$B$2:$CE$83,MATCH("모시잎(국내산)",'🔖 배합비 참조'!$A$2:$A$83,0),MATCH($C168,'🔖 배합비 참조'!$B$1:$CE$1,0))/100,0),""))),"")</f>
        <v>0</v>
      </c>
      <c r="AS168" s="42" t="n">
        <f aca="false">IFERROR(IF($C168="","",IF($D168="","",IFERROR(ROUND($D168*INDEX('🔖 배합비 참조'!$B$2:$CE$83,MATCH("물엿(저당물엿)",'🔖 배합비 참조'!$A$2:$A$83,0),MATCH($C168,'🔖 배합비 참조'!$B$1:$CE$1,0))/100,0),""))),"")</f>
        <v>0</v>
      </c>
      <c r="AT168" s="42" t="n">
        <f aca="false">IFERROR(IF($C168="","",IF($D168="","",IFERROR(ROUND($D168*INDEX('🔖 배합비 참조'!$B$2:$CE$83,MATCH("밤다이스",'🔖 배합비 참조'!$A$2:$A$83,0),MATCH($C168,'🔖 배합비 참조'!$B$1:$CE$1,0))/100,0),""))),"")</f>
        <v>2</v>
      </c>
      <c r="AU168" s="42" t="n">
        <f aca="false">IFERROR(IF($C168="","",IF($D168="","",IFERROR(ROUND($D168*INDEX('🔖 배합비 참조'!$B$2:$CE$83,MATCH("변성전분(타피오카전분)",'🔖 배합비 참조'!$A$2:$A$83,0),MATCH($C168,'🔖 배합비 참조'!$B$1:$CE$1,0))/100,0),""))),"")</f>
        <v>0</v>
      </c>
      <c r="AV168" s="42" t="n">
        <f aca="false">IFERROR(IF($C168="","",IF($D168="","",IFERROR(ROUND($D168*INDEX('🔖 배합비 참조'!$B$2:$CE$83,MATCH("복음땅콩분태",'🔖 배합비 참조'!$A$2:$A$83,0),MATCH($C168,'🔖 배합비 참조'!$B$1:$CE$1,0))/100,0),""))),"")</f>
        <v>0</v>
      </c>
      <c r="AW168" s="42" t="n">
        <f aca="false">IFERROR(IF($C168="","",IF($D168="","",IFERROR(ROUND($D168*INDEX('🔖 배합비 참조'!$B$2:$CE$83,MATCH("사양벌꿀(국내산)",'🔖 배합비 참조'!$A$2:$A$83,0),MATCH($C168,'🔖 배합비 참조'!$B$1:$CE$1,0))/100,0),""))),"")</f>
        <v>0</v>
      </c>
      <c r="AX168" s="42" t="n">
        <f aca="false">IFERROR(IF($C168="","",IF($D168="","",IFERROR(ROUND($D168*INDEX('🔖 배합비 참조'!$B$2:$CE$83,MATCH("생크림",'🔖 배합비 참조'!$A$2:$A$83,0),MATCH($C168,'🔖 배합비 참조'!$B$1:$CE$1,0))/100,0),""))),"")</f>
        <v>0</v>
      </c>
      <c r="AY168" s="42" t="n">
        <f aca="false">IFERROR(IF($C168="","",IF($D168="","",IFERROR(ROUND($D168*INDEX('🔖 배합비 참조'!$B$2:$CE$83,MATCH("서양호박(국내산,뉴질랜드산)",'🔖 배합비 참조'!$A$2:$A$83,0),MATCH($C168,'🔖 배합비 참조'!$B$1:$CE$1,0))/100,0),""))),"")</f>
        <v>0</v>
      </c>
      <c r="AZ168" s="42" t="n">
        <f aca="false">IFERROR(IF($C168="","",IF($D168="","",IFERROR(ROUND($D168*INDEX('🔖 배합비 참조'!$B$2:$CE$83,MATCH("설탕",'🔖 배합비 참조'!$A$2:$A$83,0),MATCH($C168,'🔖 배합비 참조'!$B$1:$CE$1,0))/100,0),""))),"")</f>
        <v>3</v>
      </c>
      <c r="BA168" s="42" t="n">
        <f aca="false">IFERROR(IF($C168="","",IF($D168="","",IFERROR(ROUND($D168*INDEX('🔖 배합비 참조'!$B$2:$CE$83,MATCH("스트로우베리 에이드 후레쉬",'🔖 배합비 참조'!$A$2:$A$83,0),MATCH($C168,'🔖 배합비 참조'!$B$1:$CE$1,0))/100,0),""))),"")</f>
        <v>0</v>
      </c>
      <c r="BB168" s="42" t="n">
        <f aca="false">IFERROR(IF($C168="","",IF($D168="","",IFERROR(ROUND($D168*INDEX('🔖 배합비 참조'!$B$2:$CE$83,MATCH("식물성기름혼합제제(분홍)",'🔖 배합비 참조'!$A$2:$A$83,0),MATCH($C168,'🔖 배합비 참조'!$B$1:$CE$1,0))/100,0),""))),"")</f>
        <v>0</v>
      </c>
      <c r="BC168" s="42" t="n">
        <f aca="false">IFERROR(IF($C168="","",IF($D168="","",IFERROR(ROUND($D168*INDEX('🔖 배합비 참조'!$B$2:$CE$83,MATCH("식물성기름혼합제제(초록)",'🔖 배합비 참조'!$A$2:$A$83,0),MATCH($C168,'🔖 배합비 참조'!$B$1:$CE$1,0))/100,0),""))),"")</f>
        <v>0</v>
      </c>
      <c r="BD168" s="42" t="n">
        <f aca="false">IFERROR(IF($C168="","",IF($D168="","",IFERROR(ROUND($D168*INDEX('🔖 배합비 참조'!$B$2:$CE$83,MATCH("식물성기름혼합제제(황색)",'🔖 배합비 참조'!$A$2:$A$83,0),MATCH($C168,'🔖 배합비 참조'!$B$1:$CE$1,0))/100,0),""))),"")</f>
        <v>0</v>
      </c>
      <c r="BE168" s="42" t="n">
        <f aca="false">IFERROR(IF($C168="","",IF($D168="","",IFERROR(ROUND($D168*INDEX('🔖 배합비 참조'!$B$2:$CE$83,MATCH("쑥가루(국내산)",'🔖 배합비 참조'!$A$2:$A$83,0),MATCH($C168,'🔖 배합비 참조'!$B$1:$CE$1,0))/100,0),""))),"")</f>
        <v>0</v>
      </c>
      <c r="BF168" s="42" t="n">
        <f aca="false">IFERROR(IF($C168="","",IF($D168="","",IFERROR(ROUND($D168*INDEX('🔖 배합비 참조'!$B$2:$CE$83,MATCH("아몬드슬라이스",'🔖 배합비 참조'!$A$2:$A$83,0),MATCH($C168,'🔖 배합비 참조'!$B$1:$CE$1,0))/100,0),""))),"")</f>
        <v>0</v>
      </c>
      <c r="BG168" s="42" t="n">
        <f aca="false">IFERROR(IF($C168="","",IF($D168="","",IFERROR(ROUND($D168*INDEX('🔖 배합비 참조'!$B$2:$CE$83,MATCH("알룰로오스(국내산)",'🔖 배합비 참조'!$A$2:$A$83,0),MATCH($C168,'🔖 배합비 참조'!$B$1:$CE$1,0))/100,0),""))),"")</f>
        <v>0</v>
      </c>
      <c r="BH168" s="42" t="n">
        <f aca="false">IFERROR(IF($C168="","",IF($D168="","",IFERROR(ROUND($D168*INDEX('🔖 배합비 참조'!$B$2:$CE$83,MATCH("연유",'🔖 배합비 참조'!$A$2:$A$83,0),MATCH($C168,'🔖 배합비 참조'!$B$1:$CE$1,0))/100,0),""))),"")</f>
        <v>0</v>
      </c>
      <c r="BI168" s="42" t="n">
        <f aca="false">IFERROR(IF($C168="","",IF($D168="","",IFERROR(ROUND($D168*INDEX('🔖 배합비 참조'!$B$2:$CE$83,MATCH("옥수수전분",'🔖 배합비 참조'!$A$2:$A$83,0),MATCH($C168,'🔖 배합비 참조'!$B$1:$CE$1,0))/100,0),""))),"")</f>
        <v>0</v>
      </c>
      <c r="BJ168" s="42" t="n">
        <f aca="false">IFERROR(IF($C168="","",IF($D168="","",IFERROR(ROUND($D168*INDEX('🔖 배합비 참조'!$B$2:$CE$83,MATCH("완두배기",'🔖 배합비 참조'!$A$2:$A$83,0),MATCH($C168,'🔖 배합비 참조'!$B$1:$CE$1,0))/100,0),""))),"")</f>
        <v>0</v>
      </c>
      <c r="BK168" s="42" t="n">
        <f aca="false">IFERROR(IF($C168="","",IF($D168="","",IFERROR(ROUND($D168*INDEX('🔖 배합비 참조'!$B$2:$CE$83,MATCH("우유(국내산)",'🔖 배합비 참조'!$A$2:$A$83,0),MATCH($C168,'🔖 배합비 참조'!$B$1:$CE$1,0))/100,0),""))),"")</f>
        <v>0</v>
      </c>
      <c r="BL168" s="42" t="n">
        <f aca="false">IFERROR(IF($C168="","",IF($D168="","",IFERROR(ROUND($D168*INDEX('🔖 배합비 참조'!$B$2:$CE$83,MATCH("자색고구마가루(중국산)",'🔖 배합비 참조'!$A$2:$A$83,0),MATCH($C168,'🔖 배합비 참조'!$B$1:$CE$1,0))/100,0),""))),"")</f>
        <v>0</v>
      </c>
      <c r="BM168" s="42" t="n">
        <f aca="false">IFERROR(IF($C168="","",IF($D168="","",IFERROR(ROUND($D168*INDEX('🔖 배합비 참조'!$B$2:$CE$83,MATCH("자연치즈(체다치즈)",'🔖 배합비 참조'!$A$2:$A$83,0),MATCH($C168,'🔖 배합비 참조'!$B$1:$CE$1,0))/100,0),""))),"")</f>
        <v>0</v>
      </c>
      <c r="BN168" s="42" t="n">
        <f aca="false">IFERROR(IF($C168="","",IF($D168="","",IFERROR(ROUND($D168*INDEX('🔖 배합비 참조'!$B$2:$CE$83,MATCH("정제수",'🔖 배합비 참조'!$A$2:$A$83,0),MATCH($C168,'🔖 배합비 참조'!$B$1:$CE$1,0))/100,0),""))),"")</f>
        <v>7</v>
      </c>
      <c r="BO168" s="42" t="n">
        <f aca="false">IFERROR(IF($C168="","",IF($D168="","",IFERROR(ROUND($D168*INDEX('🔖 배합비 참조'!$B$2:$CE$83,MATCH("젤라틴",'🔖 배합비 참조'!$A$2:$A$83,0),MATCH($C168,'🔖 배합비 참조'!$B$1:$CE$1,0))/100,0),""))),"")</f>
        <v>0</v>
      </c>
      <c r="BP168" s="42" t="n">
        <f aca="false">IFERROR(IF($C168="","",IF($D168="","",IFERROR(ROUND($D168*INDEX('🔖 배합비 참조'!$B$2:$CE$83,MATCH("조림류(백옥앙금)",'🔖 배합비 참조'!$A$2:$A$83,0),MATCH($C168,'🔖 배합비 참조'!$B$1:$CE$1,0))/100,0),""))),"")</f>
        <v>0</v>
      </c>
      <c r="BQ168" s="42" t="n">
        <f aca="false">IFERROR(IF($C168="","",IF($D168="","",IFERROR(ROUND($D168*INDEX('🔖 배합비 참조'!$B$2:$CE$83,MATCH("조림류(통팥앙금)",'🔖 배합비 참조'!$A$2:$A$83,0),MATCH($C168,'🔖 배합비 참조'!$B$1:$CE$1,0))/100,0),""))),"")</f>
        <v>0</v>
      </c>
      <c r="BR168" s="42" t="n">
        <f aca="false">IFERROR(IF($C168="","",IF($D168="","",IFERROR(ROUND($D168*INDEX('🔖 배합비 참조'!$B$2:$CE$83,MATCH("준초콜릿(외국산)",'🔖 배합비 참조'!$A$2:$A$83,0),MATCH($C168,'🔖 배합비 참조'!$B$1:$CE$1,0))/100,0),""))),"")</f>
        <v>0</v>
      </c>
      <c r="BS168" s="42" t="n">
        <f aca="false">IFERROR(IF($C168="","",IF($D168="","",IFERROR(ROUND($D168*INDEX('🔖 배합비 참조'!$B$2:$CE$83,MATCH("중력분",'🔖 배합비 참조'!$A$2:$A$83,0),MATCH($C168,'🔖 배합비 참조'!$B$1:$CE$1,0))/100,0),""))),"")</f>
        <v>0</v>
      </c>
      <c r="BT168" s="42" t="n">
        <f aca="false">IFERROR(IF($C168="","",IF($D168="","",IFERROR(ROUND($D168*INDEX('🔖 배합비 참조'!$B$2:$CE$83,MATCH("참깨(인도산,나이지리아산,탄자니아산,미얀마산)",'🔖 배합비 참조'!$A$2:$A$83,0),MATCH($C168,'🔖 배합비 참조'!$B$1:$CE$1,0))/100,0),""))),"")</f>
        <v>0</v>
      </c>
      <c r="BU168" s="42" t="n">
        <f aca="false">IFERROR(IF($C168="","",IF($D168="","",IFERROR(ROUND($D168*INDEX('🔖 배합비 참조'!$B$2:$CE$83,MATCH("찹쌀(국내산)",'🔖 배합비 참조'!$A$2:$A$83,0),MATCH($C168,'🔖 배합비 참조'!$B$1:$CE$1,0))/100,0),""))),"")</f>
        <v>23</v>
      </c>
      <c r="BV168" s="42" t="n">
        <f aca="false">IFERROR(IF($C168="","",IF($D168="","",IFERROR(ROUND($D168*INDEX('🔖 배합비 참조'!$B$2:$CE$83,MATCH("천일염",'🔖 배합비 참조'!$A$2:$A$83,0),MATCH($C168,'🔖 배합비 참조'!$B$1:$CE$1,0))/100,0),""))),"")</f>
        <v>0</v>
      </c>
      <c r="BW168" s="42" t="n">
        <f aca="false">IFERROR(IF($C168="","",IF($D168="","",IFERROR(ROUND($D168*INDEX('🔖 배합비 참조'!$B$2:$CE$83,MATCH("치즈 [크림치즈]",'🔖 배합비 참조'!$A$2:$A$83,0),MATCH($C168,'🔖 배합비 참조'!$B$1:$CE$1,0))/100,0),""))),"")</f>
        <v>0</v>
      </c>
      <c r="BX168" s="42" t="n">
        <f aca="false">IFERROR(IF($C168="","",IF($D168="","",IFERROR(ROUND($D168*INDEX('🔖 배합비 참조'!$B$2:$CE$83,MATCH("코코아가공품류(코코아분말)",'🔖 배합비 참조'!$A$2:$A$83,0),MATCH($C168,'🔖 배합비 참조'!$B$1:$CE$1,0))/100,0),""))),"")</f>
        <v>0</v>
      </c>
      <c r="BY168" s="42" t="n">
        <f aca="false">IFERROR(IF($C168="","",IF($D168="","",IFERROR(ROUND($D168*INDEX('🔖 배합비 참조'!$B$2:$CE$83,MATCH("콩기름(대두유)",'🔖 배합비 참조'!$A$2:$A$83,0),MATCH($C168,'🔖 배합비 참조'!$B$1:$CE$1,0))/100,0),""))),"")</f>
        <v>0</v>
      </c>
      <c r="BZ168" s="42" t="n">
        <f aca="false">IFERROR(IF($C168="","",IF($D168="","",IFERROR(ROUND($D168*INDEX('🔖 배합비 참조'!$B$2:$CE$83,MATCH("해바라기씨앗",'🔖 배합비 참조'!$A$2:$A$83,0),MATCH($C168,'🔖 배합비 참조'!$B$1:$CE$1,0))/100,0),""))),"")</f>
        <v>0</v>
      </c>
      <c r="CA168" s="42" t="n">
        <f aca="false">IFERROR(IF($C168="","",IF($D168="","",IFERROR(ROUND($D168*INDEX('🔖 배합비 참조'!$B$2:$CE$83,MATCH("현미(국내산)",'🔖 배합비 참조'!$A$2:$A$83,0),MATCH($C168,'🔖 배합비 참조'!$B$1:$CE$1,0))/100,0),""))),"")</f>
        <v>0</v>
      </c>
      <c r="CB168" s="42" t="n">
        <f aca="false">IFERROR(IF($C168="","",IF($D168="","",IFERROR(ROUND($D168*INDEX('🔖 배합비 참조'!$B$2:$CE$83,MATCH("현미멥쌀(국내산)",'🔖 배합비 참조'!$A$2:$A$83,0),MATCH($C168,'🔖 배합비 참조'!$B$1:$CE$1,0))/100,0),""))),"")</f>
        <v>0</v>
      </c>
      <c r="CC168" s="42" t="n">
        <f aca="false">IFERROR(IF($C168="","",IF($D168="","",IFERROR(ROUND($D168*INDEX('🔖 배합비 참조'!$B$2:$CE$83,MATCH("호두분태(미국산)",'🔖 배합비 참조'!$A$2:$A$83,0),MATCH($C168,'🔖 배합비 참조'!$B$1:$CE$1,0))/100,0),""))),"")</f>
        <v>0</v>
      </c>
      <c r="CD168" s="42" t="n">
        <f aca="false">IFERROR(IF($C168="","",IF($D168="","",IFERROR(ROUND($D168*INDEX('🔖 배합비 참조'!$B$2:$CE$83,MATCH("호박씨앗(외국산)",'🔖 배합비 참조'!$A$2:$A$83,0),MATCH($C168,'🔖 배합비 참조'!$B$1:$CE$1,0))/100,0),""))),"")</f>
        <v>0</v>
      </c>
      <c r="CE168" s="42" t="n">
        <f aca="false">IFERROR(IF($C168="","",IF($D168="","",IFERROR(ROUND($D168*INDEX('🔖 배합비 참조'!$B$2:$CE$83,MATCH("혼합제제(떡용에스텔)",'🔖 배합비 참조'!$A$2:$A$83,0),MATCH($C168,'🔖 배합비 참조'!$B$1:$CE$1,0))/100,0),""))),"")</f>
        <v>0</v>
      </c>
      <c r="CF168" s="42" t="n">
        <f aca="false">IFERROR(IF($C168="","",IF($D168="","",IFERROR(ROUND($D168*INDEX('🔖 배합비 참조'!$B$2:$CE$83,MATCH("혼합제제(스테비아)",'🔖 배합비 참조'!$A$2:$A$83,0),MATCH($C168,'🔖 배합비 참조'!$B$1:$CE$1,0))/100,0),""))),"")</f>
        <v>0</v>
      </c>
      <c r="CG168" s="42" t="n">
        <f aca="false">IFERROR(IF($C168="","",IF($D168="","",IFERROR(ROUND($D168*INDEX('🔖 배합비 참조'!$B$2:$CE$83,MATCH("화이트초콜릿",'🔖 배합비 참조'!$A$2:$A$83,0),MATCH($C168,'🔖 배합비 참조'!$B$1:$CE$1,0))/100,0),""))),"")</f>
        <v>0</v>
      </c>
      <c r="CH168" s="42" t="n">
        <f aca="false">IFERROR(IF($C168="","",IF($D168="","",IFERROR(ROUND($D168*INDEX('🔖 배합비 참조'!$B$2:$CE$83,MATCH("흑미찹쌀(국내산)",'🔖 배합비 참조'!$A$2:$A$83,0),MATCH($C168,'🔖 배합비 참조'!$B$1:$CE$1,0))/100,0),""))),"")</f>
        <v>0</v>
      </c>
      <c r="CI168" s="42" t="n">
        <f aca="false">IFERROR(IF($C168="","",IF($D168="","",IFERROR(ROUND($D168*INDEX('🔖 배합비 참조'!$B$2:$CE$83,MATCH("찰옥수수전분(미국산)",'🔖 배합비 참조'!$A$2:$A$83,0),MATCH($C168,'🔖 배합비 참조'!$B$1:$CE$1,0))/100,0),""))),"")</f>
        <v>0</v>
      </c>
      <c r="CJ168" s="40"/>
      <c r="CL168" s="1" t="s">
        <v>245</v>
      </c>
    </row>
    <row r="169" customFormat="false" ht="18" hidden="false" customHeight="true" outlineLevel="0" collapsed="false">
      <c r="A169" s="35" t="n">
        <v>165</v>
      </c>
      <c r="B169" s="36" t="n">
        <v>46036</v>
      </c>
      <c r="C169" s="37" t="s">
        <v>156</v>
      </c>
      <c r="D169" s="38" t="n">
        <v>70</v>
      </c>
      <c r="E169" s="13"/>
      <c r="F169" s="13"/>
      <c r="G169" s="39" t="n">
        <f aca="false">IFERROR(IF($C169="","",IF($D169="","",IFERROR(ROUND($D169*INDEX('🔖 배합비 참조'!$B$2:$CE$83,MATCH("간장",'🔖 배합비 참조'!$A$2:$A$83,0),MATCH($C169,'🔖 배합비 참조'!$B$1:$CE$1,0))/100,0),""))),"")</f>
        <v>0</v>
      </c>
      <c r="H169" s="39" t="n">
        <f aca="false">IFERROR(IF($C169="","",IF($D169="","",IFERROR(ROUND($D169*INDEX('🔖 배합비 참조'!$B$2:$CE$83,MATCH("강낭콩((울타리콩))",'🔖 배합비 참조'!$A$2:$A$83,0),MATCH($C169,'🔖 배합비 참조'!$B$1:$CE$1,0))/100,0),""))),"")</f>
        <v>0</v>
      </c>
      <c r="I169" s="39" t="n">
        <f aca="false">IFERROR(IF($C169="","",IF($D169="","",IFERROR(ROUND($D169*INDEX('🔖 배합비 참조'!$B$2:$CE$83,MATCH("건조딸기다이스(외국산)",'🔖 배합비 참조'!$A$2:$A$83,0),MATCH($C169,'🔖 배합비 참조'!$B$1:$CE$1,0))/100,0),""))),"")</f>
        <v>0</v>
      </c>
      <c r="J169" s="39" t="n">
        <f aca="false">IFERROR(IF($C169="","",IF($D169="","",IFERROR(ROUND($D169*INDEX('🔖 배합비 참조'!$B$2:$CE$83,MATCH("건포도",'🔖 배합비 참조'!$A$2:$A$83,0),MATCH($C169,'🔖 배합비 참조'!$B$1:$CE$1,0))/100,0),""))),"")</f>
        <v>0</v>
      </c>
      <c r="K169" s="39" t="n">
        <f aca="false">IFERROR(IF($C169="","",IF($D169="","",IFERROR(ROUND($D169*INDEX('🔖 배합비 참조'!$B$2:$CE$83,MATCH("건호박채(중국산)",'🔖 배합비 참조'!$A$2:$A$83,0),MATCH($C169,'🔖 배합비 참조'!$B$1:$CE$1,0))/100,0),""))),"")</f>
        <v>0</v>
      </c>
      <c r="L169" s="39" t="n">
        <f aca="false">IFERROR(IF($C169="","",IF($D169="","",IFERROR(ROUND($D169*INDEX('🔖 배합비 참조'!$B$2:$CE$83,MATCH("검정깨(흑임자)",'🔖 배합비 참조'!$A$2:$A$83,0),MATCH($C169,'🔖 배합비 참조'!$B$1:$CE$1,0))/100,0),""))),"")</f>
        <v>0</v>
      </c>
      <c r="M169" s="39" t="n">
        <f aca="false">IFERROR(IF($C169="","",IF($D169="","",IFERROR(ROUND($D169*INDEX('🔖 배합비 참조'!$B$2:$CE$83,MATCH("검정콩",'🔖 배합비 참조'!$A$2:$A$83,0),MATCH($C169,'🔖 배합비 참조'!$B$1:$CE$1,0))/100,0),""))),"")</f>
        <v>0</v>
      </c>
      <c r="N169" s="39" t="n">
        <f aca="false">IFERROR(IF($C169="","",IF($D169="","",IFERROR(ROUND($D169*INDEX('🔖 배합비 참조'!$B$2:$CE$83,MATCH("계피가루",'🔖 배합비 참조'!$A$2:$A$83,0),MATCH($C169,'🔖 배합비 참조'!$B$1:$CE$1,0))/100,0),""))),"")</f>
        <v>0</v>
      </c>
      <c r="O169" s="39" t="n">
        <f aca="false">IFERROR(IF($C169="","",IF($D169="","",IFERROR(ROUND($D169*INDEX('🔖 배합비 참조'!$B$2:$CE$83,MATCH("고구마가루",'🔖 배합비 참조'!$A$2:$A$83,0),MATCH($C169,'🔖 배합비 참조'!$B$1:$CE$1,0))/100,0),""))),"")</f>
        <v>0</v>
      </c>
      <c r="P169" s="39" t="n">
        <f aca="false">IFERROR(IF($C169="","",IF($D169="","",IFERROR(ROUND($D169*INDEX('🔖 배합비 참조'!$B$2:$CE$83,MATCH("고구마무스",'🔖 배합비 참조'!$A$2:$A$83,0),MATCH($C169,'🔖 배합비 참조'!$B$1:$CE$1,0))/100,0),""))),"")</f>
        <v>0</v>
      </c>
      <c r="Q169" s="39" t="n">
        <f aca="false">IFERROR(IF($C169="","",IF($D169="","",IFERROR(ROUND($D169*INDEX('🔖 배합비 참조'!$B$2:$CE$83,MATCH("고려엉겅퀴((곤드레)국내산)",'🔖 배합비 참조'!$A$2:$A$83,0),MATCH($C169,'🔖 배합비 참조'!$B$1:$CE$1,0))/100,0),""))),"")</f>
        <v>0</v>
      </c>
      <c r="R169" s="39" t="n">
        <f aca="false">IFERROR(IF($C169="","",IF($D169="","",IFERROR(ROUND($D169*INDEX('🔖 배합비 참조'!$B$2:$CE$83,MATCH("기타가공품(복분자가루)",'🔖 배합비 참조'!$A$2:$A$83,0),MATCH($C169,'🔖 배합비 참조'!$B$1:$CE$1,0))/100,0),""))),"")</f>
        <v>0</v>
      </c>
      <c r="S169" s="39" t="n">
        <f aca="false">IFERROR(IF($C169="","",IF($D169="","",IFERROR(ROUND($D169*INDEX('🔖 배합비 참조'!$B$2:$CE$83,MATCH("기타가공품(슈퍼소프트엠)",'🔖 배합비 참조'!$A$2:$A$83,0),MATCH($C169,'🔖 배합비 참조'!$B$1:$CE$1,0))/100,0),""))),"")</f>
        <v>0</v>
      </c>
      <c r="T169" s="39" t="n">
        <f aca="false">IFERROR(IF($C169="","",IF($D169="","",IFERROR(ROUND($D169*INDEX('🔖 배합비 참조'!$B$2:$CE$83,MATCH("기타가공품(파인소프트 E-티)",'🔖 배합비 참조'!$A$2:$A$83,0),MATCH($C169,'🔖 배합비 참조'!$B$1:$CE$1,0))/100,0),""))),"")</f>
        <v>0</v>
      </c>
      <c r="U169" s="39" t="n">
        <f aca="false">IFERROR(IF($C169="","",IF($D169="","",IFERROR(ROUND($D169*INDEX('🔖 배합비 참조'!$B$2:$CE$83,MATCH("기타가공품(프리미엄카스테라가루)",'🔖 배합비 참조'!$A$2:$A$83,0),MATCH($C169,'🔖 배합비 참조'!$B$1:$CE$1,0))/100,0),""))),"")</f>
        <v>0</v>
      </c>
      <c r="V169" s="39" t="n">
        <f aca="false">IFERROR(IF($C169="","",IF($D169="","",IFERROR(ROUND($D169*INDEX('🔖 배합비 참조'!$B$2:$CE$83,MATCH("기타가공품(흑임자가루)",'🔖 배합비 참조'!$A$2:$A$83,0),MATCH($C169,'🔖 배합비 참조'!$B$1:$CE$1,0))/100,0),""))),"")</f>
        <v>0</v>
      </c>
      <c r="W169" s="39" t="n">
        <f aca="false">IFERROR(IF($C169="","",IF($D169="","",IFERROR(ROUND($D169*INDEX('🔖 배합비 참조'!$B$2:$CE$83,MATCH("기타설탕(흑설탕)",'🔖 배합비 참조'!$A$2:$A$83,0),MATCH($C169,'🔖 배합비 참조'!$B$1:$CE$1,0))/100,0),""))),"")</f>
        <v>0</v>
      </c>
      <c r="X169" s="39" t="n">
        <f aca="false">IFERROR(IF($C169="","",IF($D169="","",IFERROR(ROUND($D169*INDEX('🔖 배합비 참조'!$B$2:$CE$83,MATCH("냉동쑥(국내산)",'🔖 배합비 참조'!$A$2:$A$83,0),MATCH($C169,'🔖 배합비 참조'!$B$1:$CE$1,0))/100,0),""))),"")</f>
        <v>0</v>
      </c>
      <c r="Y169" s="39" t="n">
        <f aca="false">IFERROR(IF($C169="","",IF($D169="","",IFERROR(ROUND($D169*INDEX('🔖 배합비 참조'!$B$2:$CE$83,MATCH("냉동증숙고구마(중국산)",'🔖 배합비 참조'!$A$2:$A$83,0),MATCH($C169,'🔖 배합비 참조'!$B$1:$CE$1,0))/100,0),""))),"")</f>
        <v>0</v>
      </c>
      <c r="Z169" s="39" t="n">
        <f aca="false">IFERROR(IF($C169="","",IF($D169="","",IFERROR(ROUND($D169*INDEX('🔖 배합비 참조'!$B$2:$CE$83,MATCH("녹차가루",'🔖 배합비 참조'!$A$2:$A$83,0),MATCH($C169,'🔖 배합비 참조'!$B$1:$CE$1,0))/100,0),""))),"")</f>
        <v>0</v>
      </c>
      <c r="AA169" s="39" t="n">
        <f aca="false">IFERROR(IF($C169="","",IF($D169="","",IFERROR(ROUND($D169*INDEX('🔖 배합비 참조'!$B$2:$CE$83,MATCH("다크초콜릿 컴파운드칩",'🔖 배합비 참조'!$A$2:$A$83,0),MATCH($C169,'🔖 배합비 참조'!$B$1:$CE$1,0))/100,0),""))),"")</f>
        <v>0</v>
      </c>
      <c r="AB169" s="39" t="n">
        <f aca="false">IFERROR(IF($C169="","",IF($D169="","",IFERROR(ROUND($D169*INDEX('🔖 배합비 참조'!$B$2:$CE$83,MATCH("단호박분말(중국산)",'🔖 배합비 참조'!$A$2:$A$83,0),MATCH($C169,'🔖 배합비 참조'!$B$1:$CE$1,0))/100,0),""))),"")</f>
        <v>1</v>
      </c>
      <c r="AC169" s="39" t="n">
        <f aca="false">IFERROR(IF($C169="","",IF($D169="","",IFERROR(ROUND($D169*INDEX('🔖 배합비 참조'!$B$2:$CE$83,MATCH("당류가공품(단호박농축액)",'🔖 배합비 참조'!$A$2:$A$83,0),MATCH($C169,'🔖 배합비 참조'!$B$1:$CE$1,0))/100,0),""))),"")</f>
        <v>0</v>
      </c>
      <c r="AD169" s="39" t="n">
        <f aca="false">IFERROR(IF($C169="","",IF($D169="","",IFERROR(ROUND($D169*INDEX('🔖 배합비 참조'!$B$2:$CE$83,MATCH("당류가공품(알룰로스,에리스리톨,스테비올배당체혼합)",'🔖 배합비 참조'!$A$2:$A$83,0),MATCH($C169,'🔖 배합비 참조'!$B$1:$CE$1,0))/100,0),""))),"")</f>
        <v>0</v>
      </c>
      <c r="AE169" s="39" t="n">
        <f aca="false">IFERROR(IF($C169="","",IF($D169="","",IFERROR(ROUND($D169*INDEX('🔖 배합비 참조'!$B$2:$CE$83,MATCH("당류가공품(알룰로스제로파우더)",'🔖 배합비 참조'!$A$2:$A$83,0),MATCH($C169,'🔖 배합비 참조'!$B$1:$CE$1,0))/100,0),""))),"")</f>
        <v>0</v>
      </c>
      <c r="AF169" s="39" t="n">
        <f aca="false">IFERROR(IF($C169="","",IF($D169="","",IFERROR(ROUND($D169*INDEX('🔖 배합비 참조'!$B$2:$CE$83,MATCH("당절임(완두배기)",'🔖 배합비 참조'!$A$2:$A$83,0),MATCH($C169,'🔖 배합비 참조'!$B$1:$CE$1,0))/100,0),""))),"")</f>
        <v>0</v>
      </c>
      <c r="AG169" s="39" t="n">
        <f aca="false">IFERROR(IF($C169="","",IF($D169="","",IFERROR(ROUND($D169*INDEX('🔖 배합비 참조'!$B$2:$CE$83,MATCH("대추농축액",'🔖 배합비 참조'!$A$2:$A$83,0),MATCH($C169,'🔖 배합비 참조'!$B$1:$CE$1,0))/100,0),""))),"")</f>
        <v>0</v>
      </c>
      <c r="AH169" s="39" t="n">
        <f aca="false">IFERROR(IF($C169="","",IF($D169="","",IFERROR(ROUND($D169*INDEX('🔖 배합비 참조'!$B$2:$CE$83,MATCH("대추채(국내산)",'🔖 배합비 참조'!$A$2:$A$83,0),MATCH($C169,'🔖 배합비 참조'!$B$1:$CE$1,0))/100,0),""))),"")</f>
        <v>0</v>
      </c>
      <c r="AI169" s="39" t="n">
        <f aca="false">IFERROR(IF($C169="","",IF($D169="","",IFERROR(ROUND($D169*INDEX('🔖 배합비 참조'!$B$2:$CE$83,MATCH("동부(미얀마산)",'🔖 배합비 참조'!$A$2:$A$83,0),MATCH($C169,'🔖 배합비 참조'!$B$1:$CE$1,0))/100,0),""))),"")</f>
        <v>0</v>
      </c>
      <c r="AJ169" s="39" t="n">
        <f aca="false">IFERROR(IF($C169="","",IF($D169="","",IFERROR(ROUND($D169*INDEX('🔖 배합비 참조'!$B$2:$CE$83,MATCH("두류가공품(백옥앙금)",'🔖 배합비 참조'!$A$2:$A$83,0),MATCH($C169,'🔖 배합비 참조'!$B$1:$CE$1,0))/100,0),""))),"")</f>
        <v>0</v>
      </c>
      <c r="AK169" s="39" t="n">
        <f aca="false">IFERROR(IF($C169="","",IF($D169="","",IFERROR(ROUND($D169*INDEX('🔖 배합비 참조'!$B$2:$CE$83,MATCH("두류가공품(콩고물)",'🔖 배합비 참조'!$A$2:$A$83,0),MATCH($C169,'🔖 배합비 참조'!$B$1:$CE$1,0))/100,0),""))),"")</f>
        <v>0</v>
      </c>
      <c r="AL169" s="39" t="n">
        <f aca="false">IFERROR(IF($C169="","",IF($D169="","",IFERROR(ROUND($D169*INDEX('🔖 배합비 참조'!$B$2:$CE$83,MATCH("두류가공품(통팥고물)",'🔖 배합비 참조'!$A$2:$A$83,0),MATCH($C169,'🔖 배합비 참조'!$B$1:$CE$1,0))/100,0),""))),"")</f>
        <v>0</v>
      </c>
      <c r="AM169" s="39" t="n">
        <f aca="false">IFERROR(IF($C169="","",IF($D169="","",IFERROR(ROUND($D169*INDEX('🔖 배합비 참조'!$B$2:$CE$83,MATCH("딸기레진",'🔖 배합비 참조'!$A$2:$A$83,0),MATCH($C169,'🔖 배합비 참조'!$B$1:$CE$1,0))/100,0),""))),"")</f>
        <v>0</v>
      </c>
      <c r="AN169" s="39" t="n">
        <f aca="false">IFERROR(IF($C169="","",IF($D169="","",IFERROR(ROUND($D169*INDEX('🔖 배합비 참조'!$B$2:$CE$83,MATCH("딸기분말(스트로우베리에이드(분말))",'🔖 배합비 참조'!$A$2:$A$83,0),MATCH($C169,'🔖 배합비 참조'!$B$1:$CE$1,0))/100,0),""))),"")</f>
        <v>0</v>
      </c>
      <c r="AO169" s="39" t="n">
        <f aca="false">IFERROR(IF($C169="","",IF($D169="","",IFERROR(ROUND($D169*INDEX('🔖 배합비 참조'!$B$2:$CE$83,MATCH("마스카포네치즈",'🔖 배합비 참조'!$A$2:$A$83,0),MATCH($C169,'🔖 배합비 참조'!$B$1:$CE$1,0))/100,0),""))),"")</f>
        <v>0</v>
      </c>
      <c r="AP169" s="39" t="n">
        <f aca="false">IFERROR(IF($C169="","",IF($D169="","",IFERROR(ROUND($D169*INDEX('🔖 배합비 참조'!$B$2:$CE$83,MATCH("마카다미아분태(호주산)",'🔖 배합비 참조'!$A$2:$A$83,0),MATCH($C169,'🔖 배합비 참조'!$B$1:$CE$1,0))/100,0),""))),"")</f>
        <v>3</v>
      </c>
      <c r="AQ169" s="39" t="n">
        <f aca="false">IFERROR(IF($C169="","",IF($D169="","",IFERROR(ROUND($D169*INDEX('🔖 배합비 참조'!$B$2:$CE$83,MATCH("멥쌀(국내산)",'🔖 배합비 참조'!$A$2:$A$83,0),MATCH($C169,'🔖 배합비 참조'!$B$1:$CE$1,0))/100,0),""))),"")</f>
        <v>0</v>
      </c>
      <c r="AR169" s="39" t="n">
        <f aca="false">IFERROR(IF($C169="","",IF($D169="","",IFERROR(ROUND($D169*INDEX('🔖 배합비 참조'!$B$2:$CE$83,MATCH("모시잎(국내산)",'🔖 배합비 참조'!$A$2:$A$83,0),MATCH($C169,'🔖 배합비 참조'!$B$1:$CE$1,0))/100,0),""))),"")</f>
        <v>0</v>
      </c>
      <c r="AS169" s="39" t="n">
        <f aca="false">IFERROR(IF($C169="","",IF($D169="","",IFERROR(ROUND($D169*INDEX('🔖 배합비 참조'!$B$2:$CE$83,MATCH("물엿(저당물엿)",'🔖 배합비 참조'!$A$2:$A$83,0),MATCH($C169,'🔖 배합비 참조'!$B$1:$CE$1,0))/100,0),""))),"")</f>
        <v>0</v>
      </c>
      <c r="AT169" s="39" t="n">
        <f aca="false">IFERROR(IF($C169="","",IF($D169="","",IFERROR(ROUND($D169*INDEX('🔖 배합비 참조'!$B$2:$CE$83,MATCH("밤다이스",'🔖 배합비 참조'!$A$2:$A$83,0),MATCH($C169,'🔖 배합비 참조'!$B$1:$CE$1,0))/100,0),""))),"")</f>
        <v>1</v>
      </c>
      <c r="AU169" s="39" t="n">
        <f aca="false">IFERROR(IF($C169="","",IF($D169="","",IFERROR(ROUND($D169*INDEX('🔖 배합비 참조'!$B$2:$CE$83,MATCH("변성전분(타피오카전분)",'🔖 배합비 참조'!$A$2:$A$83,0),MATCH($C169,'🔖 배합비 참조'!$B$1:$CE$1,0))/100,0),""))),"")</f>
        <v>0</v>
      </c>
      <c r="AV169" s="39" t="n">
        <f aca="false">IFERROR(IF($C169="","",IF($D169="","",IFERROR(ROUND($D169*INDEX('🔖 배합비 참조'!$B$2:$CE$83,MATCH("복음땅콩분태",'🔖 배합비 참조'!$A$2:$A$83,0),MATCH($C169,'🔖 배합비 참조'!$B$1:$CE$1,0))/100,0),""))),"")</f>
        <v>0</v>
      </c>
      <c r="AW169" s="39" t="n">
        <f aca="false">IFERROR(IF($C169="","",IF($D169="","",IFERROR(ROUND($D169*INDEX('🔖 배합비 참조'!$B$2:$CE$83,MATCH("사양벌꿀(국내산)",'🔖 배합비 참조'!$A$2:$A$83,0),MATCH($C169,'🔖 배합비 참조'!$B$1:$CE$1,0))/100,0),""))),"")</f>
        <v>0</v>
      </c>
      <c r="AX169" s="39" t="n">
        <f aca="false">IFERROR(IF($C169="","",IF($D169="","",IFERROR(ROUND($D169*INDEX('🔖 배합비 참조'!$B$2:$CE$83,MATCH("생크림",'🔖 배합비 참조'!$A$2:$A$83,0),MATCH($C169,'🔖 배합비 참조'!$B$1:$CE$1,0))/100,0),""))),"")</f>
        <v>0</v>
      </c>
      <c r="AY169" s="39" t="n">
        <f aca="false">IFERROR(IF($C169="","",IF($D169="","",IFERROR(ROUND($D169*INDEX('🔖 배합비 참조'!$B$2:$CE$83,MATCH("서양호박(국내산,뉴질랜드산)",'🔖 배합비 참조'!$A$2:$A$83,0),MATCH($C169,'🔖 배합비 참조'!$B$1:$CE$1,0))/100,0),""))),"")</f>
        <v>0</v>
      </c>
      <c r="AZ169" s="39" t="n">
        <f aca="false">IFERROR(IF($C169="","",IF($D169="","",IFERROR(ROUND($D169*INDEX('🔖 배합비 참조'!$B$2:$CE$83,MATCH("설탕",'🔖 배합비 참조'!$A$2:$A$83,0),MATCH($C169,'🔖 배합비 참조'!$B$1:$CE$1,0))/100,0),""))),"")</f>
        <v>1</v>
      </c>
      <c r="BA169" s="39" t="n">
        <f aca="false">IFERROR(IF($C169="","",IF($D169="","",IFERROR(ROUND($D169*INDEX('🔖 배합비 참조'!$B$2:$CE$83,MATCH("스트로우베리 에이드 후레쉬",'🔖 배합비 참조'!$A$2:$A$83,0),MATCH($C169,'🔖 배합비 참조'!$B$1:$CE$1,0))/100,0),""))),"")</f>
        <v>0</v>
      </c>
      <c r="BB169" s="39" t="n">
        <f aca="false">IFERROR(IF($C169="","",IF($D169="","",IFERROR(ROUND($D169*INDEX('🔖 배합비 참조'!$B$2:$CE$83,MATCH("식물성기름혼합제제(분홍)",'🔖 배합비 참조'!$A$2:$A$83,0),MATCH($C169,'🔖 배합비 참조'!$B$1:$CE$1,0))/100,0),""))),"")</f>
        <v>0</v>
      </c>
      <c r="BC169" s="39" t="n">
        <f aca="false">IFERROR(IF($C169="","",IF($D169="","",IFERROR(ROUND($D169*INDEX('🔖 배합비 참조'!$B$2:$CE$83,MATCH("식물성기름혼합제제(초록)",'🔖 배합비 참조'!$A$2:$A$83,0),MATCH($C169,'🔖 배합비 참조'!$B$1:$CE$1,0))/100,0),""))),"")</f>
        <v>0</v>
      </c>
      <c r="BD169" s="39" t="n">
        <f aca="false">IFERROR(IF($C169="","",IF($D169="","",IFERROR(ROUND($D169*INDEX('🔖 배합비 참조'!$B$2:$CE$83,MATCH("식물성기름혼합제제(황색)",'🔖 배합비 참조'!$A$2:$A$83,0),MATCH($C169,'🔖 배합비 참조'!$B$1:$CE$1,0))/100,0),""))),"")</f>
        <v>0</v>
      </c>
      <c r="BE169" s="39" t="n">
        <f aca="false">IFERROR(IF($C169="","",IF($D169="","",IFERROR(ROUND($D169*INDEX('🔖 배합비 참조'!$B$2:$CE$83,MATCH("쑥가루(국내산)",'🔖 배합비 참조'!$A$2:$A$83,0),MATCH($C169,'🔖 배합비 참조'!$B$1:$CE$1,0))/100,0),""))),"")</f>
        <v>0</v>
      </c>
      <c r="BF169" s="39" t="n">
        <f aca="false">IFERROR(IF($C169="","",IF($D169="","",IFERROR(ROUND($D169*INDEX('🔖 배합비 참조'!$B$2:$CE$83,MATCH("아몬드슬라이스",'🔖 배합비 참조'!$A$2:$A$83,0),MATCH($C169,'🔖 배합비 참조'!$B$1:$CE$1,0))/100,0),""))),"")</f>
        <v>0</v>
      </c>
      <c r="BG169" s="39" t="n">
        <f aca="false">IFERROR(IF($C169="","",IF($D169="","",IFERROR(ROUND($D169*INDEX('🔖 배합비 참조'!$B$2:$CE$83,MATCH("알룰로오스(국내산)",'🔖 배합비 참조'!$A$2:$A$83,0),MATCH($C169,'🔖 배합비 참조'!$B$1:$CE$1,0))/100,0),""))),"")</f>
        <v>0</v>
      </c>
      <c r="BH169" s="39" t="n">
        <f aca="false">IFERROR(IF($C169="","",IF($D169="","",IFERROR(ROUND($D169*INDEX('🔖 배합비 참조'!$B$2:$CE$83,MATCH("연유",'🔖 배합비 참조'!$A$2:$A$83,0),MATCH($C169,'🔖 배합비 참조'!$B$1:$CE$1,0))/100,0),""))),"")</f>
        <v>0</v>
      </c>
      <c r="BI169" s="39" t="n">
        <f aca="false">IFERROR(IF($C169="","",IF($D169="","",IFERROR(ROUND($D169*INDEX('🔖 배합비 참조'!$B$2:$CE$83,MATCH("옥수수전분",'🔖 배합비 참조'!$A$2:$A$83,0),MATCH($C169,'🔖 배합비 참조'!$B$1:$CE$1,0))/100,0),""))),"")</f>
        <v>1</v>
      </c>
      <c r="BJ169" s="39" t="n">
        <f aca="false">IFERROR(IF($C169="","",IF($D169="","",IFERROR(ROUND($D169*INDEX('🔖 배합비 참조'!$B$2:$CE$83,MATCH("완두배기",'🔖 배합비 참조'!$A$2:$A$83,0),MATCH($C169,'🔖 배합비 참조'!$B$1:$CE$1,0))/100,0),""))),"")</f>
        <v>0</v>
      </c>
      <c r="BK169" s="39" t="n">
        <f aca="false">IFERROR(IF($C169="","",IF($D169="","",IFERROR(ROUND($D169*INDEX('🔖 배합비 참조'!$B$2:$CE$83,MATCH("우유(국내산)",'🔖 배합비 참조'!$A$2:$A$83,0),MATCH($C169,'🔖 배합비 참조'!$B$1:$CE$1,0))/100,0),""))),"")</f>
        <v>0</v>
      </c>
      <c r="BL169" s="39" t="n">
        <f aca="false">IFERROR(IF($C169="","",IF($D169="","",IFERROR(ROUND($D169*INDEX('🔖 배합비 참조'!$B$2:$CE$83,MATCH("자색고구마가루(중국산)",'🔖 배합비 참조'!$A$2:$A$83,0),MATCH($C169,'🔖 배합비 참조'!$B$1:$CE$1,0))/100,0),""))),"")</f>
        <v>0</v>
      </c>
      <c r="BM169" s="39" t="n">
        <f aca="false">IFERROR(IF($C169="","",IF($D169="","",IFERROR(ROUND($D169*INDEX('🔖 배합비 참조'!$B$2:$CE$83,MATCH("자연치즈(체다치즈)",'🔖 배합비 참조'!$A$2:$A$83,0),MATCH($C169,'🔖 배합비 참조'!$B$1:$CE$1,0))/100,0),""))),"")</f>
        <v>0</v>
      </c>
      <c r="BN169" s="39" t="n">
        <f aca="false">IFERROR(IF($C169="","",IF($D169="","",IFERROR(ROUND($D169*INDEX('🔖 배합비 참조'!$B$2:$CE$83,MATCH("정제수",'🔖 배합비 참조'!$A$2:$A$83,0),MATCH($C169,'🔖 배합비 참조'!$B$1:$CE$1,0))/100,0),""))),"")</f>
        <v>12</v>
      </c>
      <c r="BO169" s="39" t="n">
        <f aca="false">IFERROR(IF($C169="","",IF($D169="","",IFERROR(ROUND($D169*INDEX('🔖 배합비 참조'!$B$2:$CE$83,MATCH("젤라틴",'🔖 배합비 참조'!$A$2:$A$83,0),MATCH($C169,'🔖 배합비 참조'!$B$1:$CE$1,0))/100,0),""))),"")</f>
        <v>0</v>
      </c>
      <c r="BP169" s="39" t="n">
        <f aca="false">IFERROR(IF($C169="","",IF($D169="","",IFERROR(ROUND($D169*INDEX('🔖 배합비 참조'!$B$2:$CE$83,MATCH("조림류(백옥앙금)",'🔖 배합비 참조'!$A$2:$A$83,0),MATCH($C169,'🔖 배합비 참조'!$B$1:$CE$1,0))/100,0),""))),"")</f>
        <v>0</v>
      </c>
      <c r="BQ169" s="39" t="n">
        <f aca="false">IFERROR(IF($C169="","",IF($D169="","",IFERROR(ROUND($D169*INDEX('🔖 배합비 참조'!$B$2:$CE$83,MATCH("조림류(통팥앙금)",'🔖 배합비 참조'!$A$2:$A$83,0),MATCH($C169,'🔖 배합비 참조'!$B$1:$CE$1,0))/100,0),""))),"")</f>
        <v>23</v>
      </c>
      <c r="BR169" s="39" t="n">
        <f aca="false">IFERROR(IF($C169="","",IF($D169="","",IFERROR(ROUND($D169*INDEX('🔖 배합비 참조'!$B$2:$CE$83,MATCH("준초콜릿(외국산)",'🔖 배합비 참조'!$A$2:$A$83,0),MATCH($C169,'🔖 배합비 참조'!$B$1:$CE$1,0))/100,0),""))),"")</f>
        <v>0</v>
      </c>
      <c r="BS169" s="39" t="n">
        <f aca="false">IFERROR(IF($C169="","",IF($D169="","",IFERROR(ROUND($D169*INDEX('🔖 배합비 참조'!$B$2:$CE$83,MATCH("중력분",'🔖 배합비 참조'!$A$2:$A$83,0),MATCH($C169,'🔖 배합비 참조'!$B$1:$CE$1,0))/100,0),""))),"")</f>
        <v>0</v>
      </c>
      <c r="BT169" s="39" t="n">
        <f aca="false">IFERROR(IF($C169="","",IF($D169="","",IFERROR(ROUND($D169*INDEX('🔖 배합비 참조'!$B$2:$CE$83,MATCH("참깨(인도산,나이지리아산,탄자니아산,미얀마산)",'🔖 배합비 참조'!$A$2:$A$83,0),MATCH($C169,'🔖 배합비 참조'!$B$1:$CE$1,0))/100,0),""))),"")</f>
        <v>0</v>
      </c>
      <c r="BU169" s="39" t="n">
        <f aca="false">IFERROR(IF($C169="","",IF($D169="","",IFERROR(ROUND($D169*INDEX('🔖 배합비 참조'!$B$2:$CE$83,MATCH("찹쌀(국내산)",'🔖 배합비 참조'!$A$2:$A$83,0),MATCH($C169,'🔖 배합비 참조'!$B$1:$CE$1,0))/100,0),""))),"")</f>
        <v>25</v>
      </c>
      <c r="BV169" s="39" t="n">
        <f aca="false">IFERROR(IF($C169="","",IF($D169="","",IFERROR(ROUND($D169*INDEX('🔖 배합비 참조'!$B$2:$CE$83,MATCH("천일염",'🔖 배합비 참조'!$A$2:$A$83,0),MATCH($C169,'🔖 배합비 참조'!$B$1:$CE$1,0))/100,0),""))),"")</f>
        <v>1</v>
      </c>
      <c r="BW169" s="39" t="n">
        <f aca="false">IFERROR(IF($C169="","",IF($D169="","",IFERROR(ROUND($D169*INDEX('🔖 배합비 참조'!$B$2:$CE$83,MATCH("치즈 [크림치즈]",'🔖 배합비 참조'!$A$2:$A$83,0),MATCH($C169,'🔖 배합비 참조'!$B$1:$CE$1,0))/100,0),""))),"")</f>
        <v>0</v>
      </c>
      <c r="BX169" s="39" t="n">
        <f aca="false">IFERROR(IF($C169="","",IF($D169="","",IFERROR(ROUND($D169*INDEX('🔖 배합비 참조'!$B$2:$CE$83,MATCH("코코아가공품류(코코아분말)",'🔖 배합비 참조'!$A$2:$A$83,0),MATCH($C169,'🔖 배합비 참조'!$B$1:$CE$1,0))/100,0),""))),"")</f>
        <v>0</v>
      </c>
      <c r="BY169" s="39" t="n">
        <f aca="false">IFERROR(IF($C169="","",IF($D169="","",IFERROR(ROUND($D169*INDEX('🔖 배합비 참조'!$B$2:$CE$83,MATCH("콩기름(대두유)",'🔖 배합비 참조'!$A$2:$A$83,0),MATCH($C169,'🔖 배합비 참조'!$B$1:$CE$1,0))/100,0),""))),"")</f>
        <v>0</v>
      </c>
      <c r="BZ169" s="39" t="n">
        <f aca="false">IFERROR(IF($C169="","",IF($D169="","",IFERROR(ROUND($D169*INDEX('🔖 배합비 참조'!$B$2:$CE$83,MATCH("해바라기씨앗",'🔖 배합비 참조'!$A$2:$A$83,0),MATCH($C169,'🔖 배합비 참조'!$B$1:$CE$1,0))/100,0),""))),"")</f>
        <v>0</v>
      </c>
      <c r="CA169" s="39" t="n">
        <f aca="false">IFERROR(IF($C169="","",IF($D169="","",IFERROR(ROUND($D169*INDEX('🔖 배합비 참조'!$B$2:$CE$83,MATCH("현미(국내산)",'🔖 배합비 참조'!$A$2:$A$83,0),MATCH($C169,'🔖 배합비 참조'!$B$1:$CE$1,0))/100,0),""))),"")</f>
        <v>0</v>
      </c>
      <c r="CB169" s="39" t="n">
        <f aca="false">IFERROR(IF($C169="","",IF($D169="","",IFERROR(ROUND($D169*INDEX('🔖 배합비 참조'!$B$2:$CE$83,MATCH("현미멥쌀(국내산)",'🔖 배합비 참조'!$A$2:$A$83,0),MATCH($C169,'🔖 배합비 참조'!$B$1:$CE$1,0))/100,0),""))),"")</f>
        <v>0</v>
      </c>
      <c r="CC169" s="39" t="n">
        <f aca="false">IFERROR(IF($C169="","",IF($D169="","",IFERROR(ROUND($D169*INDEX('🔖 배합비 참조'!$B$2:$CE$83,MATCH("호두분태(미국산)",'🔖 배합비 참조'!$A$2:$A$83,0),MATCH($C169,'🔖 배합비 참조'!$B$1:$CE$1,0))/100,0),""))),"")</f>
        <v>2</v>
      </c>
      <c r="CD169" s="39" t="n">
        <f aca="false">IFERROR(IF($C169="","",IF($D169="","",IFERROR(ROUND($D169*INDEX('🔖 배합비 참조'!$B$2:$CE$83,MATCH("호박씨앗(외국산)",'🔖 배합비 참조'!$A$2:$A$83,0),MATCH($C169,'🔖 배합비 참조'!$B$1:$CE$1,0))/100,0),""))),"")</f>
        <v>0</v>
      </c>
      <c r="CE169" s="39" t="n">
        <f aca="false">IFERROR(IF($C169="","",IF($D169="","",IFERROR(ROUND($D169*INDEX('🔖 배합비 참조'!$B$2:$CE$83,MATCH("혼합제제(떡용에스텔)",'🔖 배합비 참조'!$A$2:$A$83,0),MATCH($C169,'🔖 배합비 참조'!$B$1:$CE$1,0))/100,0),""))),"")</f>
        <v>0</v>
      </c>
      <c r="CF169" s="39" t="n">
        <f aca="false">IFERROR(IF($C169="","",IF($D169="","",IFERROR(ROUND($D169*INDEX('🔖 배합비 참조'!$B$2:$CE$83,MATCH("혼합제제(스테비아)",'🔖 배합비 참조'!$A$2:$A$83,0),MATCH($C169,'🔖 배합비 참조'!$B$1:$CE$1,0))/100,0),""))),"")</f>
        <v>0</v>
      </c>
      <c r="CG169" s="39" t="n">
        <f aca="false">IFERROR(IF($C169="","",IF($D169="","",IFERROR(ROUND($D169*INDEX('🔖 배합비 참조'!$B$2:$CE$83,MATCH("화이트초콜릿",'🔖 배합비 참조'!$A$2:$A$83,0),MATCH($C169,'🔖 배합비 참조'!$B$1:$CE$1,0))/100,0),""))),"")</f>
        <v>0</v>
      </c>
      <c r="CH169" s="39" t="n">
        <f aca="false">IFERROR(IF($C169="","",IF($D169="","",IFERROR(ROUND($D169*INDEX('🔖 배합비 참조'!$B$2:$CE$83,MATCH("흑미찹쌀(국내산)",'🔖 배합비 참조'!$A$2:$A$83,0),MATCH($C169,'🔖 배합비 참조'!$B$1:$CE$1,0))/100,0),""))),"")</f>
        <v>0</v>
      </c>
      <c r="CI169" s="39" t="n">
        <f aca="false">IFERROR(IF($C169="","",IF($D169="","",IFERROR(ROUND($D169*INDEX('🔖 배합비 참조'!$B$2:$CE$83,MATCH("찰옥수수전분(미국산)",'🔖 배합비 참조'!$A$2:$A$83,0),MATCH($C169,'🔖 배합비 참조'!$B$1:$CE$1,0))/100,0),""))),"")</f>
        <v>0</v>
      </c>
      <c r="CJ169" s="40"/>
      <c r="CL169" s="1" t="s">
        <v>245</v>
      </c>
    </row>
    <row r="170" customFormat="false" ht="18" hidden="false" customHeight="true" outlineLevel="0" collapsed="false">
      <c r="A170" s="41" t="n">
        <v>166</v>
      </c>
      <c r="B170" s="36" t="n">
        <v>46036</v>
      </c>
      <c r="C170" s="37" t="s">
        <v>157</v>
      </c>
      <c r="D170" s="38" t="n">
        <v>70</v>
      </c>
      <c r="E170" s="17"/>
      <c r="F170" s="17"/>
      <c r="G170" s="42" t="n">
        <f aca="false">IFERROR(IF($C170="","",IF($D170="","",IFERROR(ROUND($D170*INDEX('🔖 배합비 참조'!$B$2:$CE$83,MATCH("간장",'🔖 배합비 참조'!$A$2:$A$83,0),MATCH($C170,'🔖 배합비 참조'!$B$1:$CE$1,0))/100,0),""))),"")</f>
        <v>0</v>
      </c>
      <c r="H170" s="42" t="n">
        <f aca="false">IFERROR(IF($C170="","",IF($D170="","",IFERROR(ROUND($D170*INDEX('🔖 배합비 참조'!$B$2:$CE$83,MATCH("강낭콩((울타리콩))",'🔖 배합비 참조'!$A$2:$A$83,0),MATCH($C170,'🔖 배합비 참조'!$B$1:$CE$1,0))/100,0),""))),"")</f>
        <v>0</v>
      </c>
      <c r="I170" s="42" t="n">
        <f aca="false">IFERROR(IF($C170="","",IF($D170="","",IFERROR(ROUND($D170*INDEX('🔖 배합비 참조'!$B$2:$CE$83,MATCH("건조딸기다이스(외국산)",'🔖 배합비 참조'!$A$2:$A$83,0),MATCH($C170,'🔖 배합비 참조'!$B$1:$CE$1,0))/100,0),""))),"")</f>
        <v>0</v>
      </c>
      <c r="J170" s="42" t="n">
        <f aca="false">IFERROR(IF($C170="","",IF($D170="","",IFERROR(ROUND($D170*INDEX('🔖 배합비 참조'!$B$2:$CE$83,MATCH("건포도",'🔖 배합비 참조'!$A$2:$A$83,0),MATCH($C170,'🔖 배합비 참조'!$B$1:$CE$1,0))/100,0),""))),"")</f>
        <v>0</v>
      </c>
      <c r="K170" s="42" t="n">
        <f aca="false">IFERROR(IF($C170="","",IF($D170="","",IFERROR(ROUND($D170*INDEX('🔖 배합비 참조'!$B$2:$CE$83,MATCH("건호박채(중국산)",'🔖 배합비 참조'!$A$2:$A$83,0),MATCH($C170,'🔖 배합비 참조'!$B$1:$CE$1,0))/100,0),""))),"")</f>
        <v>0</v>
      </c>
      <c r="L170" s="42" t="n">
        <f aca="false">IFERROR(IF($C170="","",IF($D170="","",IFERROR(ROUND($D170*INDEX('🔖 배합비 참조'!$B$2:$CE$83,MATCH("검정깨(흑임자)",'🔖 배합비 참조'!$A$2:$A$83,0),MATCH($C170,'🔖 배합비 참조'!$B$1:$CE$1,0))/100,0),""))),"")</f>
        <v>0</v>
      </c>
      <c r="M170" s="42" t="n">
        <f aca="false">IFERROR(IF($C170="","",IF($D170="","",IFERROR(ROUND($D170*INDEX('🔖 배합비 참조'!$B$2:$CE$83,MATCH("검정콩",'🔖 배합비 참조'!$A$2:$A$83,0),MATCH($C170,'🔖 배합비 참조'!$B$1:$CE$1,0))/100,0),""))),"")</f>
        <v>0</v>
      </c>
      <c r="N170" s="42" t="n">
        <f aca="false">IFERROR(IF($C170="","",IF($D170="","",IFERROR(ROUND($D170*INDEX('🔖 배합비 참조'!$B$2:$CE$83,MATCH("계피가루",'🔖 배합비 참조'!$A$2:$A$83,0),MATCH($C170,'🔖 배합비 참조'!$B$1:$CE$1,0))/100,0),""))),"")</f>
        <v>0</v>
      </c>
      <c r="O170" s="42" t="n">
        <f aca="false">IFERROR(IF($C170="","",IF($D170="","",IFERROR(ROUND($D170*INDEX('🔖 배합비 참조'!$B$2:$CE$83,MATCH("고구마가루",'🔖 배합비 참조'!$A$2:$A$83,0),MATCH($C170,'🔖 배합비 참조'!$B$1:$CE$1,0))/100,0),""))),"")</f>
        <v>0</v>
      </c>
      <c r="P170" s="42" t="n">
        <f aca="false">IFERROR(IF($C170="","",IF($D170="","",IFERROR(ROUND($D170*INDEX('🔖 배합비 참조'!$B$2:$CE$83,MATCH("고구마무스",'🔖 배합비 참조'!$A$2:$A$83,0),MATCH($C170,'🔖 배합비 참조'!$B$1:$CE$1,0))/100,0),""))),"")</f>
        <v>0</v>
      </c>
      <c r="Q170" s="42" t="n">
        <f aca="false">IFERROR(IF($C170="","",IF($D170="","",IFERROR(ROUND($D170*INDEX('🔖 배합비 참조'!$B$2:$CE$83,MATCH("고려엉겅퀴((곤드레)국내산)",'🔖 배합비 참조'!$A$2:$A$83,0),MATCH($C170,'🔖 배합비 참조'!$B$1:$CE$1,0))/100,0),""))),"")</f>
        <v>0</v>
      </c>
      <c r="R170" s="42" t="n">
        <f aca="false">IFERROR(IF($C170="","",IF($D170="","",IFERROR(ROUND($D170*INDEX('🔖 배합비 참조'!$B$2:$CE$83,MATCH("기타가공품(복분자가루)",'🔖 배합비 참조'!$A$2:$A$83,0),MATCH($C170,'🔖 배합비 참조'!$B$1:$CE$1,0))/100,0),""))),"")</f>
        <v>1</v>
      </c>
      <c r="S170" s="42" t="n">
        <f aca="false">IFERROR(IF($C170="","",IF($D170="","",IFERROR(ROUND($D170*INDEX('🔖 배합비 참조'!$B$2:$CE$83,MATCH("기타가공품(슈퍼소프트엠)",'🔖 배합비 참조'!$A$2:$A$83,0),MATCH($C170,'🔖 배합비 참조'!$B$1:$CE$1,0))/100,0),""))),"")</f>
        <v>0</v>
      </c>
      <c r="T170" s="42" t="n">
        <f aca="false">IFERROR(IF($C170="","",IF($D170="","",IFERROR(ROUND($D170*INDEX('🔖 배합비 참조'!$B$2:$CE$83,MATCH("기타가공품(파인소프트 E-티)",'🔖 배합비 참조'!$A$2:$A$83,0),MATCH($C170,'🔖 배합비 참조'!$B$1:$CE$1,0))/100,0),""))),"")</f>
        <v>0</v>
      </c>
      <c r="U170" s="42" t="n">
        <f aca="false">IFERROR(IF($C170="","",IF($D170="","",IFERROR(ROUND($D170*INDEX('🔖 배합비 참조'!$B$2:$CE$83,MATCH("기타가공품(프리미엄카스테라가루)",'🔖 배합비 참조'!$A$2:$A$83,0),MATCH($C170,'🔖 배합비 참조'!$B$1:$CE$1,0))/100,0),""))),"")</f>
        <v>0</v>
      </c>
      <c r="V170" s="42" t="n">
        <f aca="false">IFERROR(IF($C170="","",IF($D170="","",IFERROR(ROUND($D170*INDEX('🔖 배합비 참조'!$B$2:$CE$83,MATCH("기타가공품(흑임자가루)",'🔖 배합비 참조'!$A$2:$A$83,0),MATCH($C170,'🔖 배합비 참조'!$B$1:$CE$1,0))/100,0),""))),"")</f>
        <v>0</v>
      </c>
      <c r="W170" s="42" t="n">
        <f aca="false">IFERROR(IF($C170="","",IF($D170="","",IFERROR(ROUND($D170*INDEX('🔖 배합비 참조'!$B$2:$CE$83,MATCH("기타설탕(흑설탕)",'🔖 배합비 참조'!$A$2:$A$83,0),MATCH($C170,'🔖 배합비 참조'!$B$1:$CE$1,0))/100,0),""))),"")</f>
        <v>0</v>
      </c>
      <c r="X170" s="42" t="n">
        <f aca="false">IFERROR(IF($C170="","",IF($D170="","",IFERROR(ROUND($D170*INDEX('🔖 배합비 참조'!$B$2:$CE$83,MATCH("냉동쑥(국내산)",'🔖 배합비 참조'!$A$2:$A$83,0),MATCH($C170,'🔖 배합비 참조'!$B$1:$CE$1,0))/100,0),""))),"")</f>
        <v>0</v>
      </c>
      <c r="Y170" s="42" t="n">
        <f aca="false">IFERROR(IF($C170="","",IF($D170="","",IFERROR(ROUND($D170*INDEX('🔖 배합비 참조'!$B$2:$CE$83,MATCH("냉동증숙고구마(중국산)",'🔖 배합비 참조'!$A$2:$A$83,0),MATCH($C170,'🔖 배합비 참조'!$B$1:$CE$1,0))/100,0),""))),"")</f>
        <v>0</v>
      </c>
      <c r="Z170" s="42" t="n">
        <f aca="false">IFERROR(IF($C170="","",IF($D170="","",IFERROR(ROUND($D170*INDEX('🔖 배합비 참조'!$B$2:$CE$83,MATCH("녹차가루",'🔖 배합비 참조'!$A$2:$A$83,0),MATCH($C170,'🔖 배합비 참조'!$B$1:$CE$1,0))/100,0),""))),"")</f>
        <v>0</v>
      </c>
      <c r="AA170" s="42" t="n">
        <f aca="false">IFERROR(IF($C170="","",IF($D170="","",IFERROR(ROUND($D170*INDEX('🔖 배합비 참조'!$B$2:$CE$83,MATCH("다크초콜릿 컴파운드칩",'🔖 배합비 참조'!$A$2:$A$83,0),MATCH($C170,'🔖 배합비 참조'!$B$1:$CE$1,0))/100,0),""))),"")</f>
        <v>0</v>
      </c>
      <c r="AB170" s="42" t="n">
        <f aca="false">IFERROR(IF($C170="","",IF($D170="","",IFERROR(ROUND($D170*INDEX('🔖 배합비 참조'!$B$2:$CE$83,MATCH("단호박분말(중국산)",'🔖 배합비 참조'!$A$2:$A$83,0),MATCH($C170,'🔖 배합비 참조'!$B$1:$CE$1,0))/100,0),""))),"")</f>
        <v>0</v>
      </c>
      <c r="AC170" s="42" t="n">
        <f aca="false">IFERROR(IF($C170="","",IF($D170="","",IFERROR(ROUND($D170*INDEX('🔖 배합비 참조'!$B$2:$CE$83,MATCH("당류가공품(단호박농축액)",'🔖 배합비 참조'!$A$2:$A$83,0),MATCH($C170,'🔖 배합비 참조'!$B$1:$CE$1,0))/100,0),""))),"")</f>
        <v>0</v>
      </c>
      <c r="AD170" s="42" t="n">
        <f aca="false">IFERROR(IF($C170="","",IF($D170="","",IFERROR(ROUND($D170*INDEX('🔖 배합비 참조'!$B$2:$CE$83,MATCH("당류가공품(알룰로스,에리스리톨,스테비올배당체혼합)",'🔖 배합비 참조'!$A$2:$A$83,0),MATCH($C170,'🔖 배합비 참조'!$B$1:$CE$1,0))/100,0),""))),"")</f>
        <v>0</v>
      </c>
      <c r="AE170" s="42" t="n">
        <f aca="false">IFERROR(IF($C170="","",IF($D170="","",IFERROR(ROUND($D170*INDEX('🔖 배합비 참조'!$B$2:$CE$83,MATCH("당류가공품(알룰로스제로파우더)",'🔖 배합비 참조'!$A$2:$A$83,0),MATCH($C170,'🔖 배합비 참조'!$B$1:$CE$1,0))/100,0),""))),"")</f>
        <v>0</v>
      </c>
      <c r="AF170" s="42" t="n">
        <f aca="false">IFERROR(IF($C170="","",IF($D170="","",IFERROR(ROUND($D170*INDEX('🔖 배합비 참조'!$B$2:$CE$83,MATCH("당절임(완두배기)",'🔖 배합비 참조'!$A$2:$A$83,0),MATCH($C170,'🔖 배합비 참조'!$B$1:$CE$1,0))/100,0),""))),"")</f>
        <v>0</v>
      </c>
      <c r="AG170" s="42" t="n">
        <f aca="false">IFERROR(IF($C170="","",IF($D170="","",IFERROR(ROUND($D170*INDEX('🔖 배합비 참조'!$B$2:$CE$83,MATCH("대추농축액",'🔖 배합비 참조'!$A$2:$A$83,0),MATCH($C170,'🔖 배합비 참조'!$B$1:$CE$1,0))/100,0),""))),"")</f>
        <v>0</v>
      </c>
      <c r="AH170" s="42" t="n">
        <f aca="false">IFERROR(IF($C170="","",IF($D170="","",IFERROR(ROUND($D170*INDEX('🔖 배합비 참조'!$B$2:$CE$83,MATCH("대추채(국내산)",'🔖 배합비 참조'!$A$2:$A$83,0),MATCH($C170,'🔖 배합비 참조'!$B$1:$CE$1,0))/100,0),""))),"")</f>
        <v>0</v>
      </c>
      <c r="AI170" s="42" t="n">
        <f aca="false">IFERROR(IF($C170="","",IF($D170="","",IFERROR(ROUND($D170*INDEX('🔖 배합비 참조'!$B$2:$CE$83,MATCH("동부(미얀마산)",'🔖 배합비 참조'!$A$2:$A$83,0),MATCH($C170,'🔖 배합비 참조'!$B$1:$CE$1,0))/100,0),""))),"")</f>
        <v>0</v>
      </c>
      <c r="AJ170" s="42" t="n">
        <f aca="false">IFERROR(IF($C170="","",IF($D170="","",IFERROR(ROUND($D170*INDEX('🔖 배합비 참조'!$B$2:$CE$83,MATCH("두류가공품(백옥앙금)",'🔖 배합비 참조'!$A$2:$A$83,0),MATCH($C170,'🔖 배합비 참조'!$B$1:$CE$1,0))/100,0),""))),"")</f>
        <v>0</v>
      </c>
      <c r="AK170" s="42" t="n">
        <f aca="false">IFERROR(IF($C170="","",IF($D170="","",IFERROR(ROUND($D170*INDEX('🔖 배합비 참조'!$B$2:$CE$83,MATCH("두류가공품(콩고물)",'🔖 배합비 참조'!$A$2:$A$83,0),MATCH($C170,'🔖 배합비 참조'!$B$1:$CE$1,0))/100,0),""))),"")</f>
        <v>0</v>
      </c>
      <c r="AL170" s="42" t="n">
        <f aca="false">IFERROR(IF($C170="","",IF($D170="","",IFERROR(ROUND($D170*INDEX('🔖 배합비 참조'!$B$2:$CE$83,MATCH("두류가공품(통팥고물)",'🔖 배합비 참조'!$A$2:$A$83,0),MATCH($C170,'🔖 배합비 참조'!$B$1:$CE$1,0))/100,0),""))),"")</f>
        <v>0</v>
      </c>
      <c r="AM170" s="42" t="n">
        <f aca="false">IFERROR(IF($C170="","",IF($D170="","",IFERROR(ROUND($D170*INDEX('🔖 배합비 참조'!$B$2:$CE$83,MATCH("딸기레진",'🔖 배합비 참조'!$A$2:$A$83,0),MATCH($C170,'🔖 배합비 참조'!$B$1:$CE$1,0))/100,0),""))),"")</f>
        <v>0</v>
      </c>
      <c r="AN170" s="42" t="n">
        <f aca="false">IFERROR(IF($C170="","",IF($D170="","",IFERROR(ROUND($D170*INDEX('🔖 배합비 참조'!$B$2:$CE$83,MATCH("딸기분말(스트로우베리에이드(분말))",'🔖 배합비 참조'!$A$2:$A$83,0),MATCH($C170,'🔖 배합비 참조'!$B$1:$CE$1,0))/100,0),""))),"")</f>
        <v>0</v>
      </c>
      <c r="AO170" s="42" t="n">
        <f aca="false">IFERROR(IF($C170="","",IF($D170="","",IFERROR(ROUND($D170*INDEX('🔖 배합비 참조'!$B$2:$CE$83,MATCH("마스카포네치즈",'🔖 배합비 참조'!$A$2:$A$83,0),MATCH($C170,'🔖 배합비 참조'!$B$1:$CE$1,0))/100,0),""))),"")</f>
        <v>0</v>
      </c>
      <c r="AP170" s="42" t="n">
        <f aca="false">IFERROR(IF($C170="","",IF($D170="","",IFERROR(ROUND($D170*INDEX('🔖 배합비 참조'!$B$2:$CE$83,MATCH("마카다미아분태(호주산)",'🔖 배합비 참조'!$A$2:$A$83,0),MATCH($C170,'🔖 배합비 참조'!$B$1:$CE$1,0))/100,0),""))),"")</f>
        <v>3</v>
      </c>
      <c r="AQ170" s="42" t="n">
        <f aca="false">IFERROR(IF($C170="","",IF($D170="","",IFERROR(ROUND($D170*INDEX('🔖 배합비 참조'!$B$2:$CE$83,MATCH("멥쌀(국내산)",'🔖 배합비 참조'!$A$2:$A$83,0),MATCH($C170,'🔖 배합비 참조'!$B$1:$CE$1,0))/100,0),""))),"")</f>
        <v>0</v>
      </c>
      <c r="AR170" s="42" t="n">
        <f aca="false">IFERROR(IF($C170="","",IF($D170="","",IFERROR(ROUND($D170*INDEX('🔖 배합비 참조'!$B$2:$CE$83,MATCH("모시잎(국내산)",'🔖 배합비 참조'!$A$2:$A$83,0),MATCH($C170,'🔖 배합비 참조'!$B$1:$CE$1,0))/100,0),""))),"")</f>
        <v>0</v>
      </c>
      <c r="AS170" s="42" t="n">
        <f aca="false">IFERROR(IF($C170="","",IF($D170="","",IFERROR(ROUND($D170*INDEX('🔖 배합비 참조'!$B$2:$CE$83,MATCH("물엿(저당물엿)",'🔖 배합비 참조'!$A$2:$A$83,0),MATCH($C170,'🔖 배합비 참조'!$B$1:$CE$1,0))/100,0),""))),"")</f>
        <v>0</v>
      </c>
      <c r="AT170" s="42" t="n">
        <f aca="false">IFERROR(IF($C170="","",IF($D170="","",IFERROR(ROUND($D170*INDEX('🔖 배합비 참조'!$B$2:$CE$83,MATCH("밤다이스",'🔖 배합비 참조'!$A$2:$A$83,0),MATCH($C170,'🔖 배합비 참조'!$B$1:$CE$1,0))/100,0),""))),"")</f>
        <v>1</v>
      </c>
      <c r="AU170" s="42" t="n">
        <f aca="false">IFERROR(IF($C170="","",IF($D170="","",IFERROR(ROUND($D170*INDEX('🔖 배합비 참조'!$B$2:$CE$83,MATCH("변성전분(타피오카전분)",'🔖 배합비 참조'!$A$2:$A$83,0),MATCH($C170,'🔖 배합비 참조'!$B$1:$CE$1,0))/100,0),""))),"")</f>
        <v>0</v>
      </c>
      <c r="AV170" s="42" t="n">
        <f aca="false">IFERROR(IF($C170="","",IF($D170="","",IFERROR(ROUND($D170*INDEX('🔖 배합비 참조'!$B$2:$CE$83,MATCH("복음땅콩분태",'🔖 배합비 참조'!$A$2:$A$83,0),MATCH($C170,'🔖 배합비 참조'!$B$1:$CE$1,0))/100,0),""))),"")</f>
        <v>0</v>
      </c>
      <c r="AW170" s="42" t="n">
        <f aca="false">IFERROR(IF($C170="","",IF($D170="","",IFERROR(ROUND($D170*INDEX('🔖 배합비 참조'!$B$2:$CE$83,MATCH("사양벌꿀(국내산)",'🔖 배합비 참조'!$A$2:$A$83,0),MATCH($C170,'🔖 배합비 참조'!$B$1:$CE$1,0))/100,0),""))),"")</f>
        <v>0</v>
      </c>
      <c r="AX170" s="42" t="n">
        <f aca="false">IFERROR(IF($C170="","",IF($D170="","",IFERROR(ROUND($D170*INDEX('🔖 배합비 참조'!$B$2:$CE$83,MATCH("생크림",'🔖 배합비 참조'!$A$2:$A$83,0),MATCH($C170,'🔖 배합비 참조'!$B$1:$CE$1,0))/100,0),""))),"")</f>
        <v>0</v>
      </c>
      <c r="AY170" s="42" t="n">
        <f aca="false">IFERROR(IF($C170="","",IF($D170="","",IFERROR(ROUND($D170*INDEX('🔖 배합비 참조'!$B$2:$CE$83,MATCH("서양호박(국내산,뉴질랜드산)",'🔖 배합비 참조'!$A$2:$A$83,0),MATCH($C170,'🔖 배합비 참조'!$B$1:$CE$1,0))/100,0),""))),"")</f>
        <v>0</v>
      </c>
      <c r="AZ170" s="42" t="n">
        <f aca="false">IFERROR(IF($C170="","",IF($D170="","",IFERROR(ROUND($D170*INDEX('🔖 배합비 참조'!$B$2:$CE$83,MATCH("설탕",'🔖 배합비 참조'!$A$2:$A$83,0),MATCH($C170,'🔖 배합비 참조'!$B$1:$CE$1,0))/100,0),""))),"")</f>
        <v>1</v>
      </c>
      <c r="BA170" s="42" t="n">
        <f aca="false">IFERROR(IF($C170="","",IF($D170="","",IFERROR(ROUND($D170*INDEX('🔖 배합비 참조'!$B$2:$CE$83,MATCH("스트로우베리 에이드 후레쉬",'🔖 배합비 참조'!$A$2:$A$83,0),MATCH($C170,'🔖 배합비 참조'!$B$1:$CE$1,0))/100,0),""))),"")</f>
        <v>0</v>
      </c>
      <c r="BB170" s="42" t="n">
        <f aca="false">IFERROR(IF($C170="","",IF($D170="","",IFERROR(ROUND($D170*INDEX('🔖 배합비 참조'!$B$2:$CE$83,MATCH("식물성기름혼합제제(분홍)",'🔖 배합비 참조'!$A$2:$A$83,0),MATCH($C170,'🔖 배합비 참조'!$B$1:$CE$1,0))/100,0),""))),"")</f>
        <v>0</v>
      </c>
      <c r="BC170" s="42" t="n">
        <f aca="false">IFERROR(IF($C170="","",IF($D170="","",IFERROR(ROUND($D170*INDEX('🔖 배합비 참조'!$B$2:$CE$83,MATCH("식물성기름혼합제제(초록)",'🔖 배합비 참조'!$A$2:$A$83,0),MATCH($C170,'🔖 배합비 참조'!$B$1:$CE$1,0))/100,0),""))),"")</f>
        <v>0</v>
      </c>
      <c r="BD170" s="42" t="n">
        <f aca="false">IFERROR(IF($C170="","",IF($D170="","",IFERROR(ROUND($D170*INDEX('🔖 배합비 참조'!$B$2:$CE$83,MATCH("식물성기름혼합제제(황색)",'🔖 배합비 참조'!$A$2:$A$83,0),MATCH($C170,'🔖 배합비 참조'!$B$1:$CE$1,0))/100,0),""))),"")</f>
        <v>0</v>
      </c>
      <c r="BE170" s="42" t="n">
        <f aca="false">IFERROR(IF($C170="","",IF($D170="","",IFERROR(ROUND($D170*INDEX('🔖 배합비 참조'!$B$2:$CE$83,MATCH("쑥가루(국내산)",'🔖 배합비 참조'!$A$2:$A$83,0),MATCH($C170,'🔖 배합비 참조'!$B$1:$CE$1,0))/100,0),""))),"")</f>
        <v>0</v>
      </c>
      <c r="BF170" s="42" t="n">
        <f aca="false">IFERROR(IF($C170="","",IF($D170="","",IFERROR(ROUND($D170*INDEX('🔖 배합비 참조'!$B$2:$CE$83,MATCH("아몬드슬라이스",'🔖 배합비 참조'!$A$2:$A$83,0),MATCH($C170,'🔖 배합비 참조'!$B$1:$CE$1,0))/100,0),""))),"")</f>
        <v>0</v>
      </c>
      <c r="BG170" s="42" t="n">
        <f aca="false">IFERROR(IF($C170="","",IF($D170="","",IFERROR(ROUND($D170*INDEX('🔖 배합비 참조'!$B$2:$CE$83,MATCH("알룰로오스(국내산)",'🔖 배합비 참조'!$A$2:$A$83,0),MATCH($C170,'🔖 배합비 참조'!$B$1:$CE$1,0))/100,0),""))),"")</f>
        <v>0</v>
      </c>
      <c r="BH170" s="42" t="n">
        <f aca="false">IFERROR(IF($C170="","",IF($D170="","",IFERROR(ROUND($D170*INDEX('🔖 배합비 참조'!$B$2:$CE$83,MATCH("연유",'🔖 배합비 참조'!$A$2:$A$83,0),MATCH($C170,'🔖 배합비 참조'!$B$1:$CE$1,0))/100,0),""))),"")</f>
        <v>0</v>
      </c>
      <c r="BI170" s="42" t="n">
        <f aca="false">IFERROR(IF($C170="","",IF($D170="","",IFERROR(ROUND($D170*INDEX('🔖 배합비 참조'!$B$2:$CE$83,MATCH("옥수수전분",'🔖 배합비 참조'!$A$2:$A$83,0),MATCH($C170,'🔖 배합비 참조'!$B$1:$CE$1,0))/100,0),""))),"")</f>
        <v>1</v>
      </c>
      <c r="BJ170" s="42" t="n">
        <f aca="false">IFERROR(IF($C170="","",IF($D170="","",IFERROR(ROUND($D170*INDEX('🔖 배합비 참조'!$B$2:$CE$83,MATCH("완두배기",'🔖 배합비 참조'!$A$2:$A$83,0),MATCH($C170,'🔖 배합비 참조'!$B$1:$CE$1,0))/100,0),""))),"")</f>
        <v>0</v>
      </c>
      <c r="BK170" s="42" t="n">
        <f aca="false">IFERROR(IF($C170="","",IF($D170="","",IFERROR(ROUND($D170*INDEX('🔖 배합비 참조'!$B$2:$CE$83,MATCH("우유(국내산)",'🔖 배합비 참조'!$A$2:$A$83,0),MATCH($C170,'🔖 배합비 참조'!$B$1:$CE$1,0))/100,0),""))),"")</f>
        <v>0</v>
      </c>
      <c r="BL170" s="42" t="n">
        <f aca="false">IFERROR(IF($C170="","",IF($D170="","",IFERROR(ROUND($D170*INDEX('🔖 배합비 참조'!$B$2:$CE$83,MATCH("자색고구마가루(중국산)",'🔖 배합비 참조'!$A$2:$A$83,0),MATCH($C170,'🔖 배합비 참조'!$B$1:$CE$1,0))/100,0),""))),"")</f>
        <v>0</v>
      </c>
      <c r="BM170" s="42" t="n">
        <f aca="false">IFERROR(IF($C170="","",IF($D170="","",IFERROR(ROUND($D170*INDEX('🔖 배합비 참조'!$B$2:$CE$83,MATCH("자연치즈(체다치즈)",'🔖 배합비 참조'!$A$2:$A$83,0),MATCH($C170,'🔖 배합비 참조'!$B$1:$CE$1,0))/100,0),""))),"")</f>
        <v>0</v>
      </c>
      <c r="BN170" s="42" t="n">
        <f aca="false">IFERROR(IF($C170="","",IF($D170="","",IFERROR(ROUND($D170*INDEX('🔖 배합비 참조'!$B$2:$CE$83,MATCH("정제수",'🔖 배합비 참조'!$A$2:$A$83,0),MATCH($C170,'🔖 배합비 참조'!$B$1:$CE$1,0))/100,0),""))),"")</f>
        <v>12</v>
      </c>
      <c r="BO170" s="42" t="n">
        <f aca="false">IFERROR(IF($C170="","",IF($D170="","",IFERROR(ROUND($D170*INDEX('🔖 배합비 참조'!$B$2:$CE$83,MATCH("젤라틴",'🔖 배합비 참조'!$A$2:$A$83,0),MATCH($C170,'🔖 배합비 참조'!$B$1:$CE$1,0))/100,0),""))),"")</f>
        <v>0</v>
      </c>
      <c r="BP170" s="42" t="n">
        <f aca="false">IFERROR(IF($C170="","",IF($D170="","",IFERROR(ROUND($D170*INDEX('🔖 배합비 참조'!$B$2:$CE$83,MATCH("조림류(백옥앙금)",'🔖 배합비 참조'!$A$2:$A$83,0),MATCH($C170,'🔖 배합비 참조'!$B$1:$CE$1,0))/100,0),""))),"")</f>
        <v>0</v>
      </c>
      <c r="BQ170" s="42" t="n">
        <f aca="false">IFERROR(IF($C170="","",IF($D170="","",IFERROR(ROUND($D170*INDEX('🔖 배합비 참조'!$B$2:$CE$83,MATCH("조림류(통팥앙금)",'🔖 배합비 참조'!$A$2:$A$83,0),MATCH($C170,'🔖 배합비 참조'!$B$1:$CE$1,0))/100,0),""))),"")</f>
        <v>23</v>
      </c>
      <c r="BR170" s="42" t="n">
        <f aca="false">IFERROR(IF($C170="","",IF($D170="","",IFERROR(ROUND($D170*INDEX('🔖 배합비 참조'!$B$2:$CE$83,MATCH("준초콜릿(외국산)",'🔖 배합비 참조'!$A$2:$A$83,0),MATCH($C170,'🔖 배합비 참조'!$B$1:$CE$1,0))/100,0),""))),"")</f>
        <v>0</v>
      </c>
      <c r="BS170" s="42" t="n">
        <f aca="false">IFERROR(IF($C170="","",IF($D170="","",IFERROR(ROUND($D170*INDEX('🔖 배합비 참조'!$B$2:$CE$83,MATCH("중력분",'🔖 배합비 참조'!$A$2:$A$83,0),MATCH($C170,'🔖 배합비 참조'!$B$1:$CE$1,0))/100,0),""))),"")</f>
        <v>0</v>
      </c>
      <c r="BT170" s="42" t="n">
        <f aca="false">IFERROR(IF($C170="","",IF($D170="","",IFERROR(ROUND($D170*INDEX('🔖 배합비 참조'!$B$2:$CE$83,MATCH("참깨(인도산,나이지리아산,탄자니아산,미얀마산)",'🔖 배합비 참조'!$A$2:$A$83,0),MATCH($C170,'🔖 배합비 참조'!$B$1:$CE$1,0))/100,0),""))),"")</f>
        <v>0</v>
      </c>
      <c r="BU170" s="42" t="n">
        <f aca="false">IFERROR(IF($C170="","",IF($D170="","",IFERROR(ROUND($D170*INDEX('🔖 배합비 참조'!$B$2:$CE$83,MATCH("찹쌀(국내산)",'🔖 배합비 참조'!$A$2:$A$83,0),MATCH($C170,'🔖 배합비 참조'!$B$1:$CE$1,0))/100,0),""))),"")</f>
        <v>25</v>
      </c>
      <c r="BV170" s="42" t="n">
        <f aca="false">IFERROR(IF($C170="","",IF($D170="","",IFERROR(ROUND($D170*INDEX('🔖 배합비 참조'!$B$2:$CE$83,MATCH("천일염",'🔖 배합비 참조'!$A$2:$A$83,0),MATCH($C170,'🔖 배합비 참조'!$B$1:$CE$1,0))/100,0),""))),"")</f>
        <v>1</v>
      </c>
      <c r="BW170" s="42" t="n">
        <f aca="false">IFERROR(IF($C170="","",IF($D170="","",IFERROR(ROUND($D170*INDEX('🔖 배합비 참조'!$B$2:$CE$83,MATCH("치즈 [크림치즈]",'🔖 배합비 참조'!$A$2:$A$83,0),MATCH($C170,'🔖 배합비 참조'!$B$1:$CE$1,0))/100,0),""))),"")</f>
        <v>0</v>
      </c>
      <c r="BX170" s="42" t="n">
        <f aca="false">IFERROR(IF($C170="","",IF($D170="","",IFERROR(ROUND($D170*INDEX('🔖 배합비 참조'!$B$2:$CE$83,MATCH("코코아가공품류(코코아분말)",'🔖 배합비 참조'!$A$2:$A$83,0),MATCH($C170,'🔖 배합비 참조'!$B$1:$CE$1,0))/100,0),""))),"")</f>
        <v>0</v>
      </c>
      <c r="BY170" s="42" t="n">
        <f aca="false">IFERROR(IF($C170="","",IF($D170="","",IFERROR(ROUND($D170*INDEX('🔖 배합비 참조'!$B$2:$CE$83,MATCH("콩기름(대두유)",'🔖 배합비 참조'!$A$2:$A$83,0),MATCH($C170,'🔖 배합비 참조'!$B$1:$CE$1,0))/100,0),""))),"")</f>
        <v>0</v>
      </c>
      <c r="BZ170" s="42" t="n">
        <f aca="false">IFERROR(IF($C170="","",IF($D170="","",IFERROR(ROUND($D170*INDEX('🔖 배합비 참조'!$B$2:$CE$83,MATCH("해바라기씨앗",'🔖 배합비 참조'!$A$2:$A$83,0),MATCH($C170,'🔖 배합비 참조'!$B$1:$CE$1,0))/100,0),""))),"")</f>
        <v>0</v>
      </c>
      <c r="CA170" s="42" t="n">
        <f aca="false">IFERROR(IF($C170="","",IF($D170="","",IFERROR(ROUND($D170*INDEX('🔖 배합비 참조'!$B$2:$CE$83,MATCH("현미(국내산)",'🔖 배합비 참조'!$A$2:$A$83,0),MATCH($C170,'🔖 배합비 참조'!$B$1:$CE$1,0))/100,0),""))),"")</f>
        <v>0</v>
      </c>
      <c r="CB170" s="42" t="n">
        <f aca="false">IFERROR(IF($C170="","",IF($D170="","",IFERROR(ROUND($D170*INDEX('🔖 배합비 참조'!$B$2:$CE$83,MATCH("현미멥쌀(국내산)",'🔖 배합비 참조'!$A$2:$A$83,0),MATCH($C170,'🔖 배합비 참조'!$B$1:$CE$1,0))/100,0),""))),"")</f>
        <v>0</v>
      </c>
      <c r="CC170" s="42" t="n">
        <f aca="false">IFERROR(IF($C170="","",IF($D170="","",IFERROR(ROUND($D170*INDEX('🔖 배합비 참조'!$B$2:$CE$83,MATCH("호두분태(미국산)",'🔖 배합비 참조'!$A$2:$A$83,0),MATCH($C170,'🔖 배합비 참조'!$B$1:$CE$1,0))/100,0),""))),"")</f>
        <v>2</v>
      </c>
      <c r="CD170" s="42" t="n">
        <f aca="false">IFERROR(IF($C170="","",IF($D170="","",IFERROR(ROUND($D170*INDEX('🔖 배합비 참조'!$B$2:$CE$83,MATCH("호박씨앗(외국산)",'🔖 배합비 참조'!$A$2:$A$83,0),MATCH($C170,'🔖 배합비 참조'!$B$1:$CE$1,0))/100,0),""))),"")</f>
        <v>0</v>
      </c>
      <c r="CE170" s="42" t="n">
        <f aca="false">IFERROR(IF($C170="","",IF($D170="","",IFERROR(ROUND($D170*INDEX('🔖 배합비 참조'!$B$2:$CE$83,MATCH("혼합제제(떡용에스텔)",'🔖 배합비 참조'!$A$2:$A$83,0),MATCH($C170,'🔖 배합비 참조'!$B$1:$CE$1,0))/100,0),""))),"")</f>
        <v>0</v>
      </c>
      <c r="CF170" s="42" t="n">
        <f aca="false">IFERROR(IF($C170="","",IF($D170="","",IFERROR(ROUND($D170*INDEX('🔖 배합비 참조'!$B$2:$CE$83,MATCH("혼합제제(스테비아)",'🔖 배합비 참조'!$A$2:$A$83,0),MATCH($C170,'🔖 배합비 참조'!$B$1:$CE$1,0))/100,0),""))),"")</f>
        <v>0</v>
      </c>
      <c r="CG170" s="42" t="n">
        <f aca="false">IFERROR(IF($C170="","",IF($D170="","",IFERROR(ROUND($D170*INDEX('🔖 배합비 참조'!$B$2:$CE$83,MATCH("화이트초콜릿",'🔖 배합비 참조'!$A$2:$A$83,0),MATCH($C170,'🔖 배합비 참조'!$B$1:$CE$1,0))/100,0),""))),"")</f>
        <v>0</v>
      </c>
      <c r="CH170" s="42" t="n">
        <f aca="false">IFERROR(IF($C170="","",IF($D170="","",IFERROR(ROUND($D170*INDEX('🔖 배합비 참조'!$B$2:$CE$83,MATCH("흑미찹쌀(국내산)",'🔖 배합비 참조'!$A$2:$A$83,0),MATCH($C170,'🔖 배합비 참조'!$B$1:$CE$1,0))/100,0),""))),"")</f>
        <v>0</v>
      </c>
      <c r="CI170" s="42" t="n">
        <f aca="false">IFERROR(IF($C170="","",IF($D170="","",IFERROR(ROUND($D170*INDEX('🔖 배합비 참조'!$B$2:$CE$83,MATCH("찰옥수수전분(미국산)",'🔖 배합비 참조'!$A$2:$A$83,0),MATCH($C170,'🔖 배합비 참조'!$B$1:$CE$1,0))/100,0),""))),"")</f>
        <v>0</v>
      </c>
      <c r="CJ170" s="40"/>
      <c r="CL170" s="1" t="s">
        <v>245</v>
      </c>
    </row>
    <row r="171" customFormat="false" ht="18" hidden="false" customHeight="true" outlineLevel="0" collapsed="false">
      <c r="A171" s="35" t="n">
        <v>167</v>
      </c>
      <c r="B171" s="36" t="n">
        <v>46036</v>
      </c>
      <c r="C171" s="37" t="s">
        <v>158</v>
      </c>
      <c r="D171" s="38" t="n">
        <v>70</v>
      </c>
      <c r="E171" s="13"/>
      <c r="F171" s="13"/>
      <c r="G171" s="39" t="n">
        <f aca="false">IFERROR(IF($C171="","",IF($D171="","",IFERROR(ROUND($D171*INDEX('🔖 배합비 참조'!$B$2:$CE$83,MATCH("간장",'🔖 배합비 참조'!$A$2:$A$83,0),MATCH($C171,'🔖 배합비 참조'!$B$1:$CE$1,0))/100,0),""))),"")</f>
        <v>0</v>
      </c>
      <c r="H171" s="39" t="n">
        <f aca="false">IFERROR(IF($C171="","",IF($D171="","",IFERROR(ROUND($D171*INDEX('🔖 배합비 참조'!$B$2:$CE$83,MATCH("강낭콩((울타리콩))",'🔖 배합비 참조'!$A$2:$A$83,0),MATCH($C171,'🔖 배합비 참조'!$B$1:$CE$1,0))/100,0),""))),"")</f>
        <v>0</v>
      </c>
      <c r="I171" s="39" t="n">
        <f aca="false">IFERROR(IF($C171="","",IF($D171="","",IFERROR(ROUND($D171*INDEX('🔖 배합비 참조'!$B$2:$CE$83,MATCH("건조딸기다이스(외국산)",'🔖 배합비 참조'!$A$2:$A$83,0),MATCH($C171,'🔖 배합비 참조'!$B$1:$CE$1,0))/100,0),""))),"")</f>
        <v>0</v>
      </c>
      <c r="J171" s="39" t="n">
        <f aca="false">IFERROR(IF($C171="","",IF($D171="","",IFERROR(ROUND($D171*INDEX('🔖 배합비 참조'!$B$2:$CE$83,MATCH("건포도",'🔖 배합비 참조'!$A$2:$A$83,0),MATCH($C171,'🔖 배합비 참조'!$B$1:$CE$1,0))/100,0),""))),"")</f>
        <v>0</v>
      </c>
      <c r="K171" s="39" t="n">
        <f aca="false">IFERROR(IF($C171="","",IF($D171="","",IFERROR(ROUND($D171*INDEX('🔖 배합비 참조'!$B$2:$CE$83,MATCH("건호박채(중국산)",'🔖 배합비 참조'!$A$2:$A$83,0),MATCH($C171,'🔖 배합비 참조'!$B$1:$CE$1,0))/100,0),""))),"")</f>
        <v>0</v>
      </c>
      <c r="L171" s="39" t="n">
        <f aca="false">IFERROR(IF($C171="","",IF($D171="","",IFERROR(ROUND($D171*INDEX('🔖 배합비 참조'!$B$2:$CE$83,MATCH("검정깨(흑임자)",'🔖 배합비 참조'!$A$2:$A$83,0),MATCH($C171,'🔖 배합비 참조'!$B$1:$CE$1,0))/100,0),""))),"")</f>
        <v>0</v>
      </c>
      <c r="M171" s="39" t="n">
        <f aca="false">IFERROR(IF($C171="","",IF($D171="","",IFERROR(ROUND($D171*INDEX('🔖 배합비 참조'!$B$2:$CE$83,MATCH("검정콩",'🔖 배합비 참조'!$A$2:$A$83,0),MATCH($C171,'🔖 배합비 참조'!$B$1:$CE$1,0))/100,0),""))),"")</f>
        <v>0</v>
      </c>
      <c r="N171" s="39" t="n">
        <f aca="false">IFERROR(IF($C171="","",IF($D171="","",IFERROR(ROUND($D171*INDEX('🔖 배합비 참조'!$B$2:$CE$83,MATCH("계피가루",'🔖 배합비 참조'!$A$2:$A$83,0),MATCH($C171,'🔖 배합비 참조'!$B$1:$CE$1,0))/100,0),""))),"")</f>
        <v>0</v>
      </c>
      <c r="O171" s="39" t="n">
        <f aca="false">IFERROR(IF($C171="","",IF($D171="","",IFERROR(ROUND($D171*INDEX('🔖 배합비 참조'!$B$2:$CE$83,MATCH("고구마가루",'🔖 배합비 참조'!$A$2:$A$83,0),MATCH($C171,'🔖 배합비 참조'!$B$1:$CE$1,0))/100,0),""))),"")</f>
        <v>0</v>
      </c>
      <c r="P171" s="39" t="n">
        <f aca="false">IFERROR(IF($C171="","",IF($D171="","",IFERROR(ROUND($D171*INDEX('🔖 배합비 참조'!$B$2:$CE$83,MATCH("고구마무스",'🔖 배합비 참조'!$A$2:$A$83,0),MATCH($C171,'🔖 배합비 참조'!$B$1:$CE$1,0))/100,0),""))),"")</f>
        <v>0</v>
      </c>
      <c r="Q171" s="39" t="n">
        <f aca="false">IFERROR(IF($C171="","",IF($D171="","",IFERROR(ROUND($D171*INDEX('🔖 배합비 참조'!$B$2:$CE$83,MATCH("고려엉겅퀴((곤드레)국내산)",'🔖 배합비 참조'!$A$2:$A$83,0),MATCH($C171,'🔖 배합비 참조'!$B$1:$CE$1,0))/100,0),""))),"")</f>
        <v>0</v>
      </c>
      <c r="R171" s="39" t="n">
        <f aca="false">IFERROR(IF($C171="","",IF($D171="","",IFERROR(ROUND($D171*INDEX('🔖 배합비 참조'!$B$2:$CE$83,MATCH("기타가공품(복분자가루)",'🔖 배합비 참조'!$A$2:$A$83,0),MATCH($C171,'🔖 배합비 참조'!$B$1:$CE$1,0))/100,0),""))),"")</f>
        <v>0</v>
      </c>
      <c r="S171" s="39" t="n">
        <f aca="false">IFERROR(IF($C171="","",IF($D171="","",IFERROR(ROUND($D171*INDEX('🔖 배합비 참조'!$B$2:$CE$83,MATCH("기타가공품(슈퍼소프트엠)",'🔖 배합비 참조'!$A$2:$A$83,0),MATCH($C171,'🔖 배합비 참조'!$B$1:$CE$1,0))/100,0),""))),"")</f>
        <v>0</v>
      </c>
      <c r="T171" s="39" t="n">
        <f aca="false">IFERROR(IF($C171="","",IF($D171="","",IFERROR(ROUND($D171*INDEX('🔖 배합비 참조'!$B$2:$CE$83,MATCH("기타가공품(파인소프트 E-티)",'🔖 배합비 참조'!$A$2:$A$83,0),MATCH($C171,'🔖 배합비 참조'!$B$1:$CE$1,0))/100,0),""))),"")</f>
        <v>0</v>
      </c>
      <c r="U171" s="39" t="n">
        <f aca="false">IFERROR(IF($C171="","",IF($D171="","",IFERROR(ROUND($D171*INDEX('🔖 배합비 참조'!$B$2:$CE$83,MATCH("기타가공품(프리미엄카스테라가루)",'🔖 배합비 참조'!$A$2:$A$83,0),MATCH($C171,'🔖 배합비 참조'!$B$1:$CE$1,0))/100,0),""))),"")</f>
        <v>0</v>
      </c>
      <c r="V171" s="39" t="n">
        <f aca="false">IFERROR(IF($C171="","",IF($D171="","",IFERROR(ROUND($D171*INDEX('🔖 배합비 참조'!$B$2:$CE$83,MATCH("기타가공품(흑임자가루)",'🔖 배합비 참조'!$A$2:$A$83,0),MATCH($C171,'🔖 배합비 참조'!$B$1:$CE$1,0))/100,0),""))),"")</f>
        <v>0</v>
      </c>
      <c r="W171" s="39" t="n">
        <f aca="false">IFERROR(IF($C171="","",IF($D171="","",IFERROR(ROUND($D171*INDEX('🔖 배합비 참조'!$B$2:$CE$83,MATCH("기타설탕(흑설탕)",'🔖 배합비 참조'!$A$2:$A$83,0),MATCH($C171,'🔖 배합비 참조'!$B$1:$CE$1,0))/100,0),""))),"")</f>
        <v>0</v>
      </c>
      <c r="X171" s="39" t="n">
        <f aca="false">IFERROR(IF($C171="","",IF($D171="","",IFERROR(ROUND($D171*INDEX('🔖 배합비 참조'!$B$2:$CE$83,MATCH("냉동쑥(국내산)",'🔖 배합비 참조'!$A$2:$A$83,0),MATCH($C171,'🔖 배합비 참조'!$B$1:$CE$1,0))/100,0),""))),"")</f>
        <v>0</v>
      </c>
      <c r="Y171" s="39" t="n">
        <f aca="false">IFERROR(IF($C171="","",IF($D171="","",IFERROR(ROUND($D171*INDEX('🔖 배합비 참조'!$B$2:$CE$83,MATCH("냉동증숙고구마(중국산)",'🔖 배합비 참조'!$A$2:$A$83,0),MATCH($C171,'🔖 배합비 참조'!$B$1:$CE$1,0))/100,0),""))),"")</f>
        <v>0</v>
      </c>
      <c r="Z171" s="39" t="n">
        <f aca="false">IFERROR(IF($C171="","",IF($D171="","",IFERROR(ROUND($D171*INDEX('🔖 배합비 참조'!$B$2:$CE$83,MATCH("녹차가루",'🔖 배합비 참조'!$A$2:$A$83,0),MATCH($C171,'🔖 배합비 참조'!$B$1:$CE$1,0))/100,0),""))),"")</f>
        <v>0</v>
      </c>
      <c r="AA171" s="39" t="n">
        <f aca="false">IFERROR(IF($C171="","",IF($D171="","",IFERROR(ROUND($D171*INDEX('🔖 배합비 참조'!$B$2:$CE$83,MATCH("다크초콜릿 컴파운드칩",'🔖 배합비 참조'!$A$2:$A$83,0),MATCH($C171,'🔖 배합비 참조'!$B$1:$CE$1,0))/100,0),""))),"")</f>
        <v>0</v>
      </c>
      <c r="AB171" s="39" t="n">
        <f aca="false">IFERROR(IF($C171="","",IF($D171="","",IFERROR(ROUND($D171*INDEX('🔖 배합비 참조'!$B$2:$CE$83,MATCH("단호박분말(중국산)",'🔖 배합비 참조'!$A$2:$A$83,0),MATCH($C171,'🔖 배합비 참조'!$B$1:$CE$1,0))/100,0),""))),"")</f>
        <v>0</v>
      </c>
      <c r="AC171" s="39" t="n">
        <f aca="false">IFERROR(IF($C171="","",IF($D171="","",IFERROR(ROUND($D171*INDEX('🔖 배합비 참조'!$B$2:$CE$83,MATCH("당류가공품(단호박농축액)",'🔖 배합비 참조'!$A$2:$A$83,0),MATCH($C171,'🔖 배합비 참조'!$B$1:$CE$1,0))/100,0),""))),"")</f>
        <v>0</v>
      </c>
      <c r="AD171" s="39" t="n">
        <f aca="false">IFERROR(IF($C171="","",IF($D171="","",IFERROR(ROUND($D171*INDEX('🔖 배합비 참조'!$B$2:$CE$83,MATCH("당류가공품(알룰로스,에리스리톨,스테비올배당체혼합)",'🔖 배합비 참조'!$A$2:$A$83,0),MATCH($C171,'🔖 배합비 참조'!$B$1:$CE$1,0))/100,0),""))),"")</f>
        <v>0</v>
      </c>
      <c r="AE171" s="39" t="n">
        <f aca="false">IFERROR(IF($C171="","",IF($D171="","",IFERROR(ROUND($D171*INDEX('🔖 배합비 참조'!$B$2:$CE$83,MATCH("당류가공품(알룰로스제로파우더)",'🔖 배합비 참조'!$A$2:$A$83,0),MATCH($C171,'🔖 배합비 참조'!$B$1:$CE$1,0))/100,0),""))),"")</f>
        <v>0</v>
      </c>
      <c r="AF171" s="39" t="n">
        <f aca="false">IFERROR(IF($C171="","",IF($D171="","",IFERROR(ROUND($D171*INDEX('🔖 배합비 참조'!$B$2:$CE$83,MATCH("당절임(완두배기)",'🔖 배합비 참조'!$A$2:$A$83,0),MATCH($C171,'🔖 배합비 참조'!$B$1:$CE$1,0))/100,0),""))),"")</f>
        <v>0</v>
      </c>
      <c r="AG171" s="39" t="n">
        <f aca="false">IFERROR(IF($C171="","",IF($D171="","",IFERROR(ROUND($D171*INDEX('🔖 배합비 참조'!$B$2:$CE$83,MATCH("대추농축액",'🔖 배합비 참조'!$A$2:$A$83,0),MATCH($C171,'🔖 배합비 참조'!$B$1:$CE$1,0))/100,0),""))),"")</f>
        <v>0</v>
      </c>
      <c r="AH171" s="39" t="n">
        <f aca="false">IFERROR(IF($C171="","",IF($D171="","",IFERROR(ROUND($D171*INDEX('🔖 배합비 참조'!$B$2:$CE$83,MATCH("대추채(국내산)",'🔖 배합비 참조'!$A$2:$A$83,0),MATCH($C171,'🔖 배합비 참조'!$B$1:$CE$1,0))/100,0),""))),"")</f>
        <v>0</v>
      </c>
      <c r="AI171" s="39" t="n">
        <f aca="false">IFERROR(IF($C171="","",IF($D171="","",IFERROR(ROUND($D171*INDEX('🔖 배합비 참조'!$B$2:$CE$83,MATCH("동부(미얀마산)",'🔖 배합비 참조'!$A$2:$A$83,0),MATCH($C171,'🔖 배합비 참조'!$B$1:$CE$1,0))/100,0),""))),"")</f>
        <v>0</v>
      </c>
      <c r="AJ171" s="39" t="n">
        <f aca="false">IFERROR(IF($C171="","",IF($D171="","",IFERROR(ROUND($D171*INDEX('🔖 배합비 참조'!$B$2:$CE$83,MATCH("두류가공품(백옥앙금)",'🔖 배합비 참조'!$A$2:$A$83,0),MATCH($C171,'🔖 배합비 참조'!$B$1:$CE$1,0))/100,0),""))),"")</f>
        <v>0</v>
      </c>
      <c r="AK171" s="39" t="n">
        <f aca="false">IFERROR(IF($C171="","",IF($D171="","",IFERROR(ROUND($D171*INDEX('🔖 배합비 참조'!$B$2:$CE$83,MATCH("두류가공품(콩고물)",'🔖 배합비 참조'!$A$2:$A$83,0),MATCH($C171,'🔖 배합비 참조'!$B$1:$CE$1,0))/100,0),""))),"")</f>
        <v>0</v>
      </c>
      <c r="AL171" s="39" t="n">
        <f aca="false">IFERROR(IF($C171="","",IF($D171="","",IFERROR(ROUND($D171*INDEX('🔖 배합비 참조'!$B$2:$CE$83,MATCH("두류가공품(통팥고물)",'🔖 배합비 참조'!$A$2:$A$83,0),MATCH($C171,'🔖 배합비 참조'!$B$1:$CE$1,0))/100,0),""))),"")</f>
        <v>0</v>
      </c>
      <c r="AM171" s="39" t="n">
        <f aca="false">IFERROR(IF($C171="","",IF($D171="","",IFERROR(ROUND($D171*INDEX('🔖 배합비 참조'!$B$2:$CE$83,MATCH("딸기레진",'🔖 배합비 참조'!$A$2:$A$83,0),MATCH($C171,'🔖 배합비 참조'!$B$1:$CE$1,0))/100,0),""))),"")</f>
        <v>0</v>
      </c>
      <c r="AN171" s="39" t="n">
        <f aca="false">IFERROR(IF($C171="","",IF($D171="","",IFERROR(ROUND($D171*INDEX('🔖 배합비 참조'!$B$2:$CE$83,MATCH("딸기분말(스트로우베리에이드(분말))",'🔖 배합비 참조'!$A$2:$A$83,0),MATCH($C171,'🔖 배합비 참조'!$B$1:$CE$1,0))/100,0),""))),"")</f>
        <v>0</v>
      </c>
      <c r="AO171" s="39" t="n">
        <f aca="false">IFERROR(IF($C171="","",IF($D171="","",IFERROR(ROUND($D171*INDEX('🔖 배합비 참조'!$B$2:$CE$83,MATCH("마스카포네치즈",'🔖 배합비 참조'!$A$2:$A$83,0),MATCH($C171,'🔖 배합비 참조'!$B$1:$CE$1,0))/100,0),""))),"")</f>
        <v>0</v>
      </c>
      <c r="AP171" s="39" t="n">
        <f aca="false">IFERROR(IF($C171="","",IF($D171="","",IFERROR(ROUND($D171*INDEX('🔖 배합비 참조'!$B$2:$CE$83,MATCH("마카다미아분태(호주산)",'🔖 배합비 참조'!$A$2:$A$83,0),MATCH($C171,'🔖 배합비 참조'!$B$1:$CE$1,0))/100,0),""))),"")</f>
        <v>3</v>
      </c>
      <c r="AQ171" s="39" t="n">
        <f aca="false">IFERROR(IF($C171="","",IF($D171="","",IFERROR(ROUND($D171*INDEX('🔖 배합비 참조'!$B$2:$CE$83,MATCH("멥쌀(국내산)",'🔖 배합비 참조'!$A$2:$A$83,0),MATCH($C171,'🔖 배합비 참조'!$B$1:$CE$1,0))/100,0),""))),"")</f>
        <v>0</v>
      </c>
      <c r="AR171" s="39" t="n">
        <f aca="false">IFERROR(IF($C171="","",IF($D171="","",IFERROR(ROUND($D171*INDEX('🔖 배합비 참조'!$B$2:$CE$83,MATCH("모시잎(국내산)",'🔖 배합비 참조'!$A$2:$A$83,0),MATCH($C171,'🔖 배합비 참조'!$B$1:$CE$1,0))/100,0),""))),"")</f>
        <v>0</v>
      </c>
      <c r="AS171" s="39" t="n">
        <f aca="false">IFERROR(IF($C171="","",IF($D171="","",IFERROR(ROUND($D171*INDEX('🔖 배합비 참조'!$B$2:$CE$83,MATCH("물엿(저당물엿)",'🔖 배합비 참조'!$A$2:$A$83,0),MATCH($C171,'🔖 배합비 참조'!$B$1:$CE$1,0))/100,0),""))),"")</f>
        <v>0</v>
      </c>
      <c r="AT171" s="39" t="n">
        <f aca="false">IFERROR(IF($C171="","",IF($D171="","",IFERROR(ROUND($D171*INDEX('🔖 배합비 참조'!$B$2:$CE$83,MATCH("밤다이스",'🔖 배합비 참조'!$A$2:$A$83,0),MATCH($C171,'🔖 배합비 참조'!$B$1:$CE$1,0))/100,0),""))),"")</f>
        <v>1</v>
      </c>
      <c r="AU171" s="39" t="n">
        <f aca="false">IFERROR(IF($C171="","",IF($D171="","",IFERROR(ROUND($D171*INDEX('🔖 배합비 참조'!$B$2:$CE$83,MATCH("변성전분(타피오카전분)",'🔖 배합비 참조'!$A$2:$A$83,0),MATCH($C171,'🔖 배합비 참조'!$B$1:$CE$1,0))/100,0),""))),"")</f>
        <v>0</v>
      </c>
      <c r="AV171" s="39" t="n">
        <f aca="false">IFERROR(IF($C171="","",IF($D171="","",IFERROR(ROUND($D171*INDEX('🔖 배합비 참조'!$B$2:$CE$83,MATCH("복음땅콩분태",'🔖 배합비 참조'!$A$2:$A$83,0),MATCH($C171,'🔖 배합비 참조'!$B$1:$CE$1,0))/100,0),""))),"")</f>
        <v>0</v>
      </c>
      <c r="AW171" s="39" t="n">
        <f aca="false">IFERROR(IF($C171="","",IF($D171="","",IFERROR(ROUND($D171*INDEX('🔖 배합비 참조'!$B$2:$CE$83,MATCH("사양벌꿀(국내산)",'🔖 배합비 참조'!$A$2:$A$83,0),MATCH($C171,'🔖 배합비 참조'!$B$1:$CE$1,0))/100,0),""))),"")</f>
        <v>0</v>
      </c>
      <c r="AX171" s="39" t="n">
        <f aca="false">IFERROR(IF($C171="","",IF($D171="","",IFERROR(ROUND($D171*INDEX('🔖 배합비 참조'!$B$2:$CE$83,MATCH("생크림",'🔖 배합비 참조'!$A$2:$A$83,0),MATCH($C171,'🔖 배합비 참조'!$B$1:$CE$1,0))/100,0),""))),"")</f>
        <v>0</v>
      </c>
      <c r="AY171" s="39" t="n">
        <f aca="false">IFERROR(IF($C171="","",IF($D171="","",IFERROR(ROUND($D171*INDEX('🔖 배합비 참조'!$B$2:$CE$83,MATCH("서양호박(국내산,뉴질랜드산)",'🔖 배합비 참조'!$A$2:$A$83,0),MATCH($C171,'🔖 배합비 참조'!$B$1:$CE$1,0))/100,0),""))),"")</f>
        <v>0</v>
      </c>
      <c r="AZ171" s="39" t="n">
        <f aca="false">IFERROR(IF($C171="","",IF($D171="","",IFERROR(ROUND($D171*INDEX('🔖 배합비 참조'!$B$2:$CE$83,MATCH("설탕",'🔖 배합비 참조'!$A$2:$A$83,0),MATCH($C171,'🔖 배합비 참조'!$B$1:$CE$1,0))/100,0),""))),"")</f>
        <v>1</v>
      </c>
      <c r="BA171" s="39" t="n">
        <f aca="false">IFERROR(IF($C171="","",IF($D171="","",IFERROR(ROUND($D171*INDEX('🔖 배합비 참조'!$B$2:$CE$83,MATCH("스트로우베리 에이드 후레쉬",'🔖 배합비 참조'!$A$2:$A$83,0),MATCH($C171,'🔖 배합비 참조'!$B$1:$CE$1,0))/100,0),""))),"")</f>
        <v>0</v>
      </c>
      <c r="BB171" s="39" t="n">
        <f aca="false">IFERROR(IF($C171="","",IF($D171="","",IFERROR(ROUND($D171*INDEX('🔖 배합비 참조'!$B$2:$CE$83,MATCH("식물성기름혼합제제(분홍)",'🔖 배합비 참조'!$A$2:$A$83,0),MATCH($C171,'🔖 배합비 참조'!$B$1:$CE$1,0))/100,0),""))),"")</f>
        <v>0</v>
      </c>
      <c r="BC171" s="39" t="n">
        <f aca="false">IFERROR(IF($C171="","",IF($D171="","",IFERROR(ROUND($D171*INDEX('🔖 배합비 참조'!$B$2:$CE$83,MATCH("식물성기름혼합제제(초록)",'🔖 배합비 참조'!$A$2:$A$83,0),MATCH($C171,'🔖 배합비 참조'!$B$1:$CE$1,0))/100,0),""))),"")</f>
        <v>0</v>
      </c>
      <c r="BD171" s="39" t="n">
        <f aca="false">IFERROR(IF($C171="","",IF($D171="","",IFERROR(ROUND($D171*INDEX('🔖 배합비 참조'!$B$2:$CE$83,MATCH("식물성기름혼합제제(황색)",'🔖 배합비 참조'!$A$2:$A$83,0),MATCH($C171,'🔖 배합비 참조'!$B$1:$CE$1,0))/100,0),""))),"")</f>
        <v>0</v>
      </c>
      <c r="BE171" s="39" t="n">
        <f aca="false">IFERROR(IF($C171="","",IF($D171="","",IFERROR(ROUND($D171*INDEX('🔖 배합비 참조'!$B$2:$CE$83,MATCH("쑥가루(국내산)",'🔖 배합비 참조'!$A$2:$A$83,0),MATCH($C171,'🔖 배합비 참조'!$B$1:$CE$1,0))/100,0),""))),"")</f>
        <v>1</v>
      </c>
      <c r="BF171" s="39" t="n">
        <f aca="false">IFERROR(IF($C171="","",IF($D171="","",IFERROR(ROUND($D171*INDEX('🔖 배합비 참조'!$B$2:$CE$83,MATCH("아몬드슬라이스",'🔖 배합비 참조'!$A$2:$A$83,0),MATCH($C171,'🔖 배합비 참조'!$B$1:$CE$1,0))/100,0),""))),"")</f>
        <v>0</v>
      </c>
      <c r="BG171" s="39" t="n">
        <f aca="false">IFERROR(IF($C171="","",IF($D171="","",IFERROR(ROUND($D171*INDEX('🔖 배합비 참조'!$B$2:$CE$83,MATCH("알룰로오스(국내산)",'🔖 배합비 참조'!$A$2:$A$83,0),MATCH($C171,'🔖 배합비 참조'!$B$1:$CE$1,0))/100,0),""))),"")</f>
        <v>0</v>
      </c>
      <c r="BH171" s="39" t="n">
        <f aca="false">IFERROR(IF($C171="","",IF($D171="","",IFERROR(ROUND($D171*INDEX('🔖 배합비 참조'!$B$2:$CE$83,MATCH("연유",'🔖 배합비 참조'!$A$2:$A$83,0),MATCH($C171,'🔖 배합비 참조'!$B$1:$CE$1,0))/100,0),""))),"")</f>
        <v>0</v>
      </c>
      <c r="BI171" s="39" t="n">
        <f aca="false">IFERROR(IF($C171="","",IF($D171="","",IFERROR(ROUND($D171*INDEX('🔖 배합비 참조'!$B$2:$CE$83,MATCH("옥수수전분",'🔖 배합비 참조'!$A$2:$A$83,0),MATCH($C171,'🔖 배합비 참조'!$B$1:$CE$1,0))/100,0),""))),"")</f>
        <v>1</v>
      </c>
      <c r="BJ171" s="39" t="n">
        <f aca="false">IFERROR(IF($C171="","",IF($D171="","",IFERROR(ROUND($D171*INDEX('🔖 배합비 참조'!$B$2:$CE$83,MATCH("완두배기",'🔖 배합비 참조'!$A$2:$A$83,0),MATCH($C171,'🔖 배합비 참조'!$B$1:$CE$1,0))/100,0),""))),"")</f>
        <v>0</v>
      </c>
      <c r="BK171" s="39" t="n">
        <f aca="false">IFERROR(IF($C171="","",IF($D171="","",IFERROR(ROUND($D171*INDEX('🔖 배합비 참조'!$B$2:$CE$83,MATCH("우유(국내산)",'🔖 배합비 참조'!$A$2:$A$83,0),MATCH($C171,'🔖 배합비 참조'!$B$1:$CE$1,0))/100,0),""))),"")</f>
        <v>0</v>
      </c>
      <c r="BL171" s="39" t="n">
        <f aca="false">IFERROR(IF($C171="","",IF($D171="","",IFERROR(ROUND($D171*INDEX('🔖 배합비 참조'!$B$2:$CE$83,MATCH("자색고구마가루(중국산)",'🔖 배합비 참조'!$A$2:$A$83,0),MATCH($C171,'🔖 배합비 참조'!$B$1:$CE$1,0))/100,0),""))),"")</f>
        <v>0</v>
      </c>
      <c r="BM171" s="39" t="n">
        <f aca="false">IFERROR(IF($C171="","",IF($D171="","",IFERROR(ROUND($D171*INDEX('🔖 배합비 참조'!$B$2:$CE$83,MATCH("자연치즈(체다치즈)",'🔖 배합비 참조'!$A$2:$A$83,0),MATCH($C171,'🔖 배합비 참조'!$B$1:$CE$1,0))/100,0),""))),"")</f>
        <v>0</v>
      </c>
      <c r="BN171" s="39" t="n">
        <f aca="false">IFERROR(IF($C171="","",IF($D171="","",IFERROR(ROUND($D171*INDEX('🔖 배합비 참조'!$B$2:$CE$83,MATCH("정제수",'🔖 배합비 참조'!$A$2:$A$83,0),MATCH($C171,'🔖 배합비 참조'!$B$1:$CE$1,0))/100,0),""))),"")</f>
        <v>12</v>
      </c>
      <c r="BO171" s="39" t="n">
        <f aca="false">IFERROR(IF($C171="","",IF($D171="","",IFERROR(ROUND($D171*INDEX('🔖 배합비 참조'!$B$2:$CE$83,MATCH("젤라틴",'🔖 배합비 참조'!$A$2:$A$83,0),MATCH($C171,'🔖 배합비 참조'!$B$1:$CE$1,0))/100,0),""))),"")</f>
        <v>0</v>
      </c>
      <c r="BP171" s="39" t="n">
        <f aca="false">IFERROR(IF($C171="","",IF($D171="","",IFERROR(ROUND($D171*INDEX('🔖 배합비 참조'!$B$2:$CE$83,MATCH("조림류(백옥앙금)",'🔖 배합비 참조'!$A$2:$A$83,0),MATCH($C171,'🔖 배합비 참조'!$B$1:$CE$1,0))/100,0),""))),"")</f>
        <v>0</v>
      </c>
      <c r="BQ171" s="39" t="n">
        <f aca="false">IFERROR(IF($C171="","",IF($D171="","",IFERROR(ROUND($D171*INDEX('🔖 배합비 참조'!$B$2:$CE$83,MATCH("조림류(통팥앙금)",'🔖 배합비 참조'!$A$2:$A$83,0),MATCH($C171,'🔖 배합비 참조'!$B$1:$CE$1,0))/100,0),""))),"")</f>
        <v>23</v>
      </c>
      <c r="BR171" s="39" t="n">
        <f aca="false">IFERROR(IF($C171="","",IF($D171="","",IFERROR(ROUND($D171*INDEX('🔖 배합비 참조'!$B$2:$CE$83,MATCH("준초콜릿(외국산)",'🔖 배합비 참조'!$A$2:$A$83,0),MATCH($C171,'🔖 배합비 참조'!$B$1:$CE$1,0))/100,0),""))),"")</f>
        <v>0</v>
      </c>
      <c r="BS171" s="39" t="n">
        <f aca="false">IFERROR(IF($C171="","",IF($D171="","",IFERROR(ROUND($D171*INDEX('🔖 배합비 참조'!$B$2:$CE$83,MATCH("중력분",'🔖 배합비 참조'!$A$2:$A$83,0),MATCH($C171,'🔖 배합비 참조'!$B$1:$CE$1,0))/100,0),""))),"")</f>
        <v>0</v>
      </c>
      <c r="BT171" s="39" t="n">
        <f aca="false">IFERROR(IF($C171="","",IF($D171="","",IFERROR(ROUND($D171*INDEX('🔖 배합비 참조'!$B$2:$CE$83,MATCH("참깨(인도산,나이지리아산,탄자니아산,미얀마산)",'🔖 배합비 참조'!$A$2:$A$83,0),MATCH($C171,'🔖 배합비 참조'!$B$1:$CE$1,0))/100,0),""))),"")</f>
        <v>0</v>
      </c>
      <c r="BU171" s="39" t="n">
        <f aca="false">IFERROR(IF($C171="","",IF($D171="","",IFERROR(ROUND($D171*INDEX('🔖 배합비 참조'!$B$2:$CE$83,MATCH("찹쌀(국내산)",'🔖 배합비 참조'!$A$2:$A$83,0),MATCH($C171,'🔖 배합비 참조'!$B$1:$CE$1,0))/100,0),""))),"")</f>
        <v>25</v>
      </c>
      <c r="BV171" s="39" t="n">
        <f aca="false">IFERROR(IF($C171="","",IF($D171="","",IFERROR(ROUND($D171*INDEX('🔖 배합비 참조'!$B$2:$CE$83,MATCH("천일염",'🔖 배합비 참조'!$A$2:$A$83,0),MATCH($C171,'🔖 배합비 참조'!$B$1:$CE$1,0))/100,0),""))),"")</f>
        <v>1</v>
      </c>
      <c r="BW171" s="39" t="n">
        <f aca="false">IFERROR(IF($C171="","",IF($D171="","",IFERROR(ROUND($D171*INDEX('🔖 배합비 참조'!$B$2:$CE$83,MATCH("치즈 [크림치즈]",'🔖 배합비 참조'!$A$2:$A$83,0),MATCH($C171,'🔖 배합비 참조'!$B$1:$CE$1,0))/100,0),""))),"")</f>
        <v>0</v>
      </c>
      <c r="BX171" s="39" t="n">
        <f aca="false">IFERROR(IF($C171="","",IF($D171="","",IFERROR(ROUND($D171*INDEX('🔖 배합비 참조'!$B$2:$CE$83,MATCH("코코아가공품류(코코아분말)",'🔖 배합비 참조'!$A$2:$A$83,0),MATCH($C171,'🔖 배합비 참조'!$B$1:$CE$1,0))/100,0),""))),"")</f>
        <v>0</v>
      </c>
      <c r="BY171" s="39" t="n">
        <f aca="false">IFERROR(IF($C171="","",IF($D171="","",IFERROR(ROUND($D171*INDEX('🔖 배합비 참조'!$B$2:$CE$83,MATCH("콩기름(대두유)",'🔖 배합비 참조'!$A$2:$A$83,0),MATCH($C171,'🔖 배합비 참조'!$B$1:$CE$1,0))/100,0),""))),"")</f>
        <v>0</v>
      </c>
      <c r="BZ171" s="39" t="n">
        <f aca="false">IFERROR(IF($C171="","",IF($D171="","",IFERROR(ROUND($D171*INDEX('🔖 배합비 참조'!$B$2:$CE$83,MATCH("해바라기씨앗",'🔖 배합비 참조'!$A$2:$A$83,0),MATCH($C171,'🔖 배합비 참조'!$B$1:$CE$1,0))/100,0),""))),"")</f>
        <v>0</v>
      </c>
      <c r="CA171" s="39" t="n">
        <f aca="false">IFERROR(IF($C171="","",IF($D171="","",IFERROR(ROUND($D171*INDEX('🔖 배합비 참조'!$B$2:$CE$83,MATCH("현미(국내산)",'🔖 배합비 참조'!$A$2:$A$83,0),MATCH($C171,'🔖 배합비 참조'!$B$1:$CE$1,0))/100,0),""))),"")</f>
        <v>0</v>
      </c>
      <c r="CB171" s="39" t="n">
        <f aca="false">IFERROR(IF($C171="","",IF($D171="","",IFERROR(ROUND($D171*INDEX('🔖 배합비 참조'!$B$2:$CE$83,MATCH("현미멥쌀(국내산)",'🔖 배합비 참조'!$A$2:$A$83,0),MATCH($C171,'🔖 배합비 참조'!$B$1:$CE$1,0))/100,0),""))),"")</f>
        <v>0</v>
      </c>
      <c r="CC171" s="39" t="n">
        <f aca="false">IFERROR(IF($C171="","",IF($D171="","",IFERROR(ROUND($D171*INDEX('🔖 배합비 참조'!$B$2:$CE$83,MATCH("호두분태(미국산)",'🔖 배합비 참조'!$A$2:$A$83,0),MATCH($C171,'🔖 배합비 참조'!$B$1:$CE$1,0))/100,0),""))),"")</f>
        <v>2</v>
      </c>
      <c r="CD171" s="39" t="n">
        <f aca="false">IFERROR(IF($C171="","",IF($D171="","",IFERROR(ROUND($D171*INDEX('🔖 배합비 참조'!$B$2:$CE$83,MATCH("호박씨앗(외국산)",'🔖 배합비 참조'!$A$2:$A$83,0),MATCH($C171,'🔖 배합비 참조'!$B$1:$CE$1,0))/100,0),""))),"")</f>
        <v>0</v>
      </c>
      <c r="CE171" s="39" t="n">
        <f aca="false">IFERROR(IF($C171="","",IF($D171="","",IFERROR(ROUND($D171*INDEX('🔖 배합비 참조'!$B$2:$CE$83,MATCH("혼합제제(떡용에스텔)",'🔖 배합비 참조'!$A$2:$A$83,0),MATCH($C171,'🔖 배합비 참조'!$B$1:$CE$1,0))/100,0),""))),"")</f>
        <v>0</v>
      </c>
      <c r="CF171" s="39" t="n">
        <f aca="false">IFERROR(IF($C171="","",IF($D171="","",IFERROR(ROUND($D171*INDEX('🔖 배합비 참조'!$B$2:$CE$83,MATCH("혼합제제(스테비아)",'🔖 배합비 참조'!$A$2:$A$83,0),MATCH($C171,'🔖 배합비 참조'!$B$1:$CE$1,0))/100,0),""))),"")</f>
        <v>0</v>
      </c>
      <c r="CG171" s="39" t="n">
        <f aca="false">IFERROR(IF($C171="","",IF($D171="","",IFERROR(ROUND($D171*INDEX('🔖 배합비 참조'!$B$2:$CE$83,MATCH("화이트초콜릿",'🔖 배합비 참조'!$A$2:$A$83,0),MATCH($C171,'🔖 배합비 참조'!$B$1:$CE$1,0))/100,0),""))),"")</f>
        <v>0</v>
      </c>
      <c r="CH171" s="39" t="n">
        <f aca="false">IFERROR(IF($C171="","",IF($D171="","",IFERROR(ROUND($D171*INDEX('🔖 배합비 참조'!$B$2:$CE$83,MATCH("흑미찹쌀(국내산)",'🔖 배합비 참조'!$A$2:$A$83,0),MATCH($C171,'🔖 배합비 참조'!$B$1:$CE$1,0))/100,0),""))),"")</f>
        <v>0</v>
      </c>
      <c r="CI171" s="39" t="n">
        <f aca="false">IFERROR(IF($C171="","",IF($D171="","",IFERROR(ROUND($D171*INDEX('🔖 배합비 참조'!$B$2:$CE$83,MATCH("찰옥수수전분(미국산)",'🔖 배합비 참조'!$A$2:$A$83,0),MATCH($C171,'🔖 배합비 참조'!$B$1:$CE$1,0))/100,0),""))),"")</f>
        <v>0</v>
      </c>
      <c r="CJ171" s="40"/>
      <c r="CL171" s="1" t="s">
        <v>245</v>
      </c>
    </row>
    <row r="172" customFormat="false" ht="18" hidden="false" customHeight="true" outlineLevel="0" collapsed="false">
      <c r="A172" s="41" t="n">
        <v>168</v>
      </c>
      <c r="B172" s="36" t="n">
        <v>46037</v>
      </c>
      <c r="C172" s="37" t="s">
        <v>183</v>
      </c>
      <c r="D172" s="38" t="n">
        <v>70</v>
      </c>
      <c r="E172" s="17"/>
      <c r="F172" s="17"/>
      <c r="G172" s="42" t="n">
        <f aca="false">IFERROR(IF($C172="","",IF($D172="","",IFERROR(ROUND($D172*INDEX('🔖 배합비 참조'!$B$2:$CE$83,MATCH("간장",'🔖 배합비 참조'!$A$2:$A$83,0),MATCH($C172,'🔖 배합비 참조'!$B$1:$CE$1,0))/100,0),""))),"")</f>
        <v>0</v>
      </c>
      <c r="H172" s="42" t="n">
        <f aca="false">IFERROR(IF($C172="","",IF($D172="","",IFERROR(ROUND($D172*INDEX('🔖 배합비 참조'!$B$2:$CE$83,MATCH("강낭콩((울타리콩))",'🔖 배합비 참조'!$A$2:$A$83,0),MATCH($C172,'🔖 배합비 참조'!$B$1:$CE$1,0))/100,0),""))),"")</f>
        <v>0</v>
      </c>
      <c r="I172" s="42" t="n">
        <f aca="false">IFERROR(IF($C172="","",IF($D172="","",IFERROR(ROUND($D172*INDEX('🔖 배합비 참조'!$B$2:$CE$83,MATCH("건조딸기다이스(외국산)",'🔖 배합비 참조'!$A$2:$A$83,0),MATCH($C172,'🔖 배합비 참조'!$B$1:$CE$1,0))/100,0),""))),"")</f>
        <v>0</v>
      </c>
      <c r="J172" s="42" t="n">
        <f aca="false">IFERROR(IF($C172="","",IF($D172="","",IFERROR(ROUND($D172*INDEX('🔖 배합비 참조'!$B$2:$CE$83,MATCH("건포도",'🔖 배합비 참조'!$A$2:$A$83,0),MATCH($C172,'🔖 배합비 참조'!$B$1:$CE$1,0))/100,0),""))),"")</f>
        <v>0</v>
      </c>
      <c r="K172" s="42" t="n">
        <f aca="false">IFERROR(IF($C172="","",IF($D172="","",IFERROR(ROUND($D172*INDEX('🔖 배합비 참조'!$B$2:$CE$83,MATCH("건호박채(중국산)",'🔖 배합비 참조'!$A$2:$A$83,0),MATCH($C172,'🔖 배합비 참조'!$B$1:$CE$1,0))/100,0),""))),"")</f>
        <v>0</v>
      </c>
      <c r="L172" s="42" t="n">
        <f aca="false">IFERROR(IF($C172="","",IF($D172="","",IFERROR(ROUND($D172*INDEX('🔖 배합비 참조'!$B$2:$CE$83,MATCH("검정깨(흑임자)",'🔖 배합비 참조'!$A$2:$A$83,0),MATCH($C172,'🔖 배합비 참조'!$B$1:$CE$1,0))/100,0),""))),"")</f>
        <v>0</v>
      </c>
      <c r="M172" s="42" t="n">
        <f aca="false">IFERROR(IF($C172="","",IF($D172="","",IFERROR(ROUND($D172*INDEX('🔖 배합비 참조'!$B$2:$CE$83,MATCH("검정콩",'🔖 배합비 참조'!$A$2:$A$83,0),MATCH($C172,'🔖 배합비 참조'!$B$1:$CE$1,0))/100,0),""))),"")</f>
        <v>0</v>
      </c>
      <c r="N172" s="42" t="n">
        <f aca="false">IFERROR(IF($C172="","",IF($D172="","",IFERROR(ROUND($D172*INDEX('🔖 배합비 참조'!$B$2:$CE$83,MATCH("계피가루",'🔖 배합비 참조'!$A$2:$A$83,0),MATCH($C172,'🔖 배합비 참조'!$B$1:$CE$1,0))/100,0),""))),"")</f>
        <v>0</v>
      </c>
      <c r="O172" s="42" t="n">
        <f aca="false">IFERROR(IF($C172="","",IF($D172="","",IFERROR(ROUND($D172*INDEX('🔖 배합비 참조'!$B$2:$CE$83,MATCH("고구마가루",'🔖 배합비 참조'!$A$2:$A$83,0),MATCH($C172,'🔖 배합비 참조'!$B$1:$CE$1,0))/100,0),""))),"")</f>
        <v>0</v>
      </c>
      <c r="P172" s="42" t="n">
        <f aca="false">IFERROR(IF($C172="","",IF($D172="","",IFERROR(ROUND($D172*INDEX('🔖 배합비 참조'!$B$2:$CE$83,MATCH("고구마무스",'🔖 배합비 참조'!$A$2:$A$83,0),MATCH($C172,'🔖 배합비 참조'!$B$1:$CE$1,0))/100,0),""))),"")</f>
        <v>0</v>
      </c>
      <c r="Q172" s="42" t="n">
        <f aca="false">IFERROR(IF($C172="","",IF($D172="","",IFERROR(ROUND($D172*INDEX('🔖 배합비 참조'!$B$2:$CE$83,MATCH("고려엉겅퀴((곤드레)국내산)",'🔖 배합비 참조'!$A$2:$A$83,0),MATCH($C172,'🔖 배합비 참조'!$B$1:$CE$1,0))/100,0),""))),"")</f>
        <v>0</v>
      </c>
      <c r="R172" s="42" t="n">
        <f aca="false">IFERROR(IF($C172="","",IF($D172="","",IFERROR(ROUND($D172*INDEX('🔖 배합비 참조'!$B$2:$CE$83,MATCH("기타가공품(복분자가루)",'🔖 배합비 참조'!$A$2:$A$83,0),MATCH($C172,'🔖 배합비 참조'!$B$1:$CE$1,0))/100,0),""))),"")</f>
        <v>0</v>
      </c>
      <c r="S172" s="42" t="n">
        <f aca="false">IFERROR(IF($C172="","",IF($D172="","",IFERROR(ROUND($D172*INDEX('🔖 배합비 참조'!$B$2:$CE$83,MATCH("기타가공품(슈퍼소프트엠)",'🔖 배합비 참조'!$A$2:$A$83,0),MATCH($C172,'🔖 배합비 참조'!$B$1:$CE$1,0))/100,0),""))),"")</f>
        <v>0</v>
      </c>
      <c r="T172" s="42" t="n">
        <f aca="false">IFERROR(IF($C172="","",IF($D172="","",IFERROR(ROUND($D172*INDEX('🔖 배합비 참조'!$B$2:$CE$83,MATCH("기타가공품(파인소프트 E-티)",'🔖 배합비 참조'!$A$2:$A$83,0),MATCH($C172,'🔖 배합비 참조'!$B$1:$CE$1,0))/100,0),""))),"")</f>
        <v>0</v>
      </c>
      <c r="U172" s="42" t="n">
        <f aca="false">IFERROR(IF($C172="","",IF($D172="","",IFERROR(ROUND($D172*INDEX('🔖 배합비 참조'!$B$2:$CE$83,MATCH("기타가공품(프리미엄카스테라가루)",'🔖 배합비 참조'!$A$2:$A$83,0),MATCH($C172,'🔖 배합비 참조'!$B$1:$CE$1,0))/100,0),""))),"")</f>
        <v>0</v>
      </c>
      <c r="V172" s="42" t="n">
        <f aca="false">IFERROR(IF($C172="","",IF($D172="","",IFERROR(ROUND($D172*INDEX('🔖 배합비 참조'!$B$2:$CE$83,MATCH("기타가공품(흑임자가루)",'🔖 배합비 참조'!$A$2:$A$83,0),MATCH($C172,'🔖 배합비 참조'!$B$1:$CE$1,0))/100,0),""))),"")</f>
        <v>0</v>
      </c>
      <c r="W172" s="42" t="n">
        <f aca="false">IFERROR(IF($C172="","",IF($D172="","",IFERROR(ROUND($D172*INDEX('🔖 배합비 참조'!$B$2:$CE$83,MATCH("기타설탕(흑설탕)",'🔖 배합비 참조'!$A$2:$A$83,0),MATCH($C172,'🔖 배합비 참조'!$B$1:$CE$1,0))/100,0),""))),"")</f>
        <v>0</v>
      </c>
      <c r="X172" s="42" t="n">
        <f aca="false">IFERROR(IF($C172="","",IF($D172="","",IFERROR(ROUND($D172*INDEX('🔖 배합비 참조'!$B$2:$CE$83,MATCH("냉동쑥(국내산)",'🔖 배합비 참조'!$A$2:$A$83,0),MATCH($C172,'🔖 배합비 참조'!$B$1:$CE$1,0))/100,0),""))),"")</f>
        <v>0</v>
      </c>
      <c r="Y172" s="42" t="n">
        <f aca="false">IFERROR(IF($C172="","",IF($D172="","",IFERROR(ROUND($D172*INDEX('🔖 배합비 참조'!$B$2:$CE$83,MATCH("냉동증숙고구마(중국산)",'🔖 배합비 참조'!$A$2:$A$83,0),MATCH($C172,'🔖 배합비 참조'!$B$1:$CE$1,0))/100,0),""))),"")</f>
        <v>0</v>
      </c>
      <c r="Z172" s="42" t="n">
        <f aca="false">IFERROR(IF($C172="","",IF($D172="","",IFERROR(ROUND($D172*INDEX('🔖 배합비 참조'!$B$2:$CE$83,MATCH("녹차가루",'🔖 배합비 참조'!$A$2:$A$83,0),MATCH($C172,'🔖 배합비 참조'!$B$1:$CE$1,0))/100,0),""))),"")</f>
        <v>0</v>
      </c>
      <c r="AA172" s="42" t="n">
        <f aca="false">IFERROR(IF($C172="","",IF($D172="","",IFERROR(ROUND($D172*INDEX('🔖 배합비 참조'!$B$2:$CE$83,MATCH("다크초콜릿 컴파운드칩",'🔖 배합비 참조'!$A$2:$A$83,0),MATCH($C172,'🔖 배합비 참조'!$B$1:$CE$1,0))/100,0),""))),"")</f>
        <v>0</v>
      </c>
      <c r="AB172" s="42" t="n">
        <f aca="false">IFERROR(IF($C172="","",IF($D172="","",IFERROR(ROUND($D172*INDEX('🔖 배합비 참조'!$B$2:$CE$83,MATCH("단호박분말(중국산)",'🔖 배합비 참조'!$A$2:$A$83,0),MATCH($C172,'🔖 배합비 참조'!$B$1:$CE$1,0))/100,0),""))),"")</f>
        <v>0</v>
      </c>
      <c r="AC172" s="42" t="n">
        <f aca="false">IFERROR(IF($C172="","",IF($D172="","",IFERROR(ROUND($D172*INDEX('🔖 배합비 참조'!$B$2:$CE$83,MATCH("당류가공품(단호박농축액)",'🔖 배합비 참조'!$A$2:$A$83,0),MATCH($C172,'🔖 배합비 참조'!$B$1:$CE$1,0))/100,0),""))),"")</f>
        <v>0</v>
      </c>
      <c r="AD172" s="42" t="n">
        <f aca="false">IFERROR(IF($C172="","",IF($D172="","",IFERROR(ROUND($D172*INDEX('🔖 배합비 참조'!$B$2:$CE$83,MATCH("당류가공품(알룰로스,에리스리톨,스테비올배당체혼합)",'🔖 배합비 참조'!$A$2:$A$83,0),MATCH($C172,'🔖 배합비 참조'!$B$1:$CE$1,0))/100,0),""))),"")</f>
        <v>0</v>
      </c>
      <c r="AE172" s="42" t="n">
        <f aca="false">IFERROR(IF($C172="","",IF($D172="","",IFERROR(ROUND($D172*INDEX('🔖 배합비 참조'!$B$2:$CE$83,MATCH("당류가공품(알룰로스제로파우더)",'🔖 배합비 참조'!$A$2:$A$83,0),MATCH($C172,'🔖 배합비 참조'!$B$1:$CE$1,0))/100,0),""))),"")</f>
        <v>0</v>
      </c>
      <c r="AF172" s="42" t="n">
        <f aca="false">IFERROR(IF($C172="","",IF($D172="","",IFERROR(ROUND($D172*INDEX('🔖 배합비 참조'!$B$2:$CE$83,MATCH("당절임(완두배기)",'🔖 배합비 참조'!$A$2:$A$83,0),MATCH($C172,'🔖 배합비 참조'!$B$1:$CE$1,0))/100,0),""))),"")</f>
        <v>0</v>
      </c>
      <c r="AG172" s="42" t="n">
        <f aca="false">IFERROR(IF($C172="","",IF($D172="","",IFERROR(ROUND($D172*INDEX('🔖 배합비 참조'!$B$2:$CE$83,MATCH("대추농축액",'🔖 배합비 참조'!$A$2:$A$83,0),MATCH($C172,'🔖 배합비 참조'!$B$1:$CE$1,0))/100,0),""))),"")</f>
        <v>0</v>
      </c>
      <c r="AH172" s="42" t="n">
        <f aca="false">IFERROR(IF($C172="","",IF($D172="","",IFERROR(ROUND($D172*INDEX('🔖 배합비 참조'!$B$2:$CE$83,MATCH("대추채(국내산)",'🔖 배합비 참조'!$A$2:$A$83,0),MATCH($C172,'🔖 배합비 참조'!$B$1:$CE$1,0))/100,0),""))),"")</f>
        <v>0</v>
      </c>
      <c r="AI172" s="42" t="n">
        <f aca="false">IFERROR(IF($C172="","",IF($D172="","",IFERROR(ROUND($D172*INDEX('🔖 배합비 참조'!$B$2:$CE$83,MATCH("동부(미얀마산)",'🔖 배합비 참조'!$A$2:$A$83,0),MATCH($C172,'🔖 배합비 참조'!$B$1:$CE$1,0))/100,0),""))),"")</f>
        <v>0</v>
      </c>
      <c r="AJ172" s="42" t="n">
        <f aca="false">IFERROR(IF($C172="","",IF($D172="","",IFERROR(ROUND($D172*INDEX('🔖 배합비 참조'!$B$2:$CE$83,MATCH("두류가공품(백옥앙금)",'🔖 배합비 참조'!$A$2:$A$83,0),MATCH($C172,'🔖 배합비 참조'!$B$1:$CE$1,0))/100,0),""))),"")</f>
        <v>0</v>
      </c>
      <c r="AK172" s="42" t="n">
        <f aca="false">IFERROR(IF($C172="","",IF($D172="","",IFERROR(ROUND($D172*INDEX('🔖 배합비 참조'!$B$2:$CE$83,MATCH("두류가공품(콩고물)",'🔖 배합비 참조'!$A$2:$A$83,0),MATCH($C172,'🔖 배합비 참조'!$B$1:$CE$1,0))/100,0),""))),"")</f>
        <v>0</v>
      </c>
      <c r="AL172" s="42" t="n">
        <f aca="false">IFERROR(IF($C172="","",IF($D172="","",IFERROR(ROUND($D172*INDEX('🔖 배합비 참조'!$B$2:$CE$83,MATCH("두류가공품(통팥고물)",'🔖 배합비 참조'!$A$2:$A$83,0),MATCH($C172,'🔖 배합비 참조'!$B$1:$CE$1,0))/100,0),""))),"")</f>
        <v>0</v>
      </c>
      <c r="AM172" s="42" t="n">
        <f aca="false">IFERROR(IF($C172="","",IF($D172="","",IFERROR(ROUND($D172*INDEX('🔖 배합비 참조'!$B$2:$CE$83,MATCH("딸기레진",'🔖 배합비 참조'!$A$2:$A$83,0),MATCH($C172,'🔖 배합비 참조'!$B$1:$CE$1,0))/100,0),""))),"")</f>
        <v>0</v>
      </c>
      <c r="AN172" s="42" t="n">
        <f aca="false">IFERROR(IF($C172="","",IF($D172="","",IFERROR(ROUND($D172*INDEX('🔖 배합비 참조'!$B$2:$CE$83,MATCH("딸기분말(스트로우베리에이드(분말))",'🔖 배합비 참조'!$A$2:$A$83,0),MATCH($C172,'🔖 배합비 참조'!$B$1:$CE$1,0))/100,0),""))),"")</f>
        <v>0</v>
      </c>
      <c r="AO172" s="42" t="n">
        <f aca="false">IFERROR(IF($C172="","",IF($D172="","",IFERROR(ROUND($D172*INDEX('🔖 배합비 참조'!$B$2:$CE$83,MATCH("마스카포네치즈",'🔖 배합비 참조'!$A$2:$A$83,0),MATCH($C172,'🔖 배합비 참조'!$B$1:$CE$1,0))/100,0),""))),"")</f>
        <v>0</v>
      </c>
      <c r="AP172" s="42" t="n">
        <f aca="false">IFERROR(IF($C172="","",IF($D172="","",IFERROR(ROUND($D172*INDEX('🔖 배합비 참조'!$B$2:$CE$83,MATCH("마카다미아분태(호주산)",'🔖 배합비 참조'!$A$2:$A$83,0),MATCH($C172,'🔖 배합비 참조'!$B$1:$CE$1,0))/100,0),""))),"")</f>
        <v>0</v>
      </c>
      <c r="AQ172" s="42" t="n">
        <f aca="false">IFERROR(IF($C172="","",IF($D172="","",IFERROR(ROUND($D172*INDEX('🔖 배합비 참조'!$B$2:$CE$83,MATCH("멥쌀(국내산)",'🔖 배합비 참조'!$A$2:$A$83,0),MATCH($C172,'🔖 배합비 참조'!$B$1:$CE$1,0))/100,0),""))),"")</f>
        <v>0</v>
      </c>
      <c r="AR172" s="42" t="n">
        <f aca="false">IFERROR(IF($C172="","",IF($D172="","",IFERROR(ROUND($D172*INDEX('🔖 배합비 참조'!$B$2:$CE$83,MATCH("모시잎(국내산)",'🔖 배합비 참조'!$A$2:$A$83,0),MATCH($C172,'🔖 배합비 참조'!$B$1:$CE$1,0))/100,0),""))),"")</f>
        <v>0</v>
      </c>
      <c r="AS172" s="42" t="n">
        <f aca="false">IFERROR(IF($C172="","",IF($D172="","",IFERROR(ROUND($D172*INDEX('🔖 배합비 참조'!$B$2:$CE$83,MATCH("물엿(저당물엿)",'🔖 배합비 참조'!$A$2:$A$83,0),MATCH($C172,'🔖 배합비 참조'!$B$1:$CE$1,0))/100,0),""))),"")</f>
        <v>2</v>
      </c>
      <c r="AT172" s="42" t="n">
        <f aca="false">IFERROR(IF($C172="","",IF($D172="","",IFERROR(ROUND($D172*INDEX('🔖 배합비 참조'!$B$2:$CE$83,MATCH("밤다이스",'🔖 배합비 참조'!$A$2:$A$83,0),MATCH($C172,'🔖 배합비 참조'!$B$1:$CE$1,0))/100,0),""))),"")</f>
        <v>0</v>
      </c>
      <c r="AU172" s="42" t="n">
        <f aca="false">IFERROR(IF($C172="","",IF($D172="","",IFERROR(ROUND($D172*INDEX('🔖 배합비 참조'!$B$2:$CE$83,MATCH("변성전분(타피오카전분)",'🔖 배합비 참조'!$A$2:$A$83,0),MATCH($C172,'🔖 배합비 참조'!$B$1:$CE$1,0))/100,0),""))),"")</f>
        <v>0</v>
      </c>
      <c r="AV172" s="42" t="n">
        <f aca="false">IFERROR(IF($C172="","",IF($D172="","",IFERROR(ROUND($D172*INDEX('🔖 배합비 참조'!$B$2:$CE$83,MATCH("복음땅콩분태",'🔖 배합비 참조'!$A$2:$A$83,0),MATCH($C172,'🔖 배합비 참조'!$B$1:$CE$1,0))/100,0),""))),"")</f>
        <v>0</v>
      </c>
      <c r="AW172" s="42" t="n">
        <f aca="false">IFERROR(IF($C172="","",IF($D172="","",IFERROR(ROUND($D172*INDEX('🔖 배합비 참조'!$B$2:$CE$83,MATCH("사양벌꿀(국내산)",'🔖 배합비 참조'!$A$2:$A$83,0),MATCH($C172,'🔖 배합비 참조'!$B$1:$CE$1,0))/100,0),""))),"")</f>
        <v>0</v>
      </c>
      <c r="AX172" s="42" t="n">
        <f aca="false">IFERROR(IF($C172="","",IF($D172="","",IFERROR(ROUND($D172*INDEX('🔖 배합비 참조'!$B$2:$CE$83,MATCH("생크림",'🔖 배합비 참조'!$A$2:$A$83,0),MATCH($C172,'🔖 배합비 참조'!$B$1:$CE$1,0))/100,0),""))),"")</f>
        <v>0</v>
      </c>
      <c r="AY172" s="42" t="n">
        <f aca="false">IFERROR(IF($C172="","",IF($D172="","",IFERROR(ROUND($D172*INDEX('🔖 배합비 참조'!$B$2:$CE$83,MATCH("서양호박(국내산,뉴질랜드산)",'🔖 배합비 참조'!$A$2:$A$83,0),MATCH($C172,'🔖 배합비 참조'!$B$1:$CE$1,0))/100,0),""))),"")</f>
        <v>0</v>
      </c>
      <c r="AZ172" s="42" t="n">
        <f aca="false">IFERROR(IF($C172="","",IF($D172="","",IFERROR(ROUND($D172*INDEX('🔖 배합비 참조'!$B$2:$CE$83,MATCH("설탕",'🔖 배합비 참조'!$A$2:$A$83,0),MATCH($C172,'🔖 배합비 참조'!$B$1:$CE$1,0))/100,0),""))),"")</f>
        <v>2</v>
      </c>
      <c r="BA172" s="42" t="n">
        <f aca="false">IFERROR(IF($C172="","",IF($D172="","",IFERROR(ROUND($D172*INDEX('🔖 배합비 참조'!$B$2:$CE$83,MATCH("스트로우베리 에이드 후레쉬",'🔖 배합비 참조'!$A$2:$A$83,0),MATCH($C172,'🔖 배합비 참조'!$B$1:$CE$1,0))/100,0),""))),"")</f>
        <v>0</v>
      </c>
      <c r="BB172" s="42" t="n">
        <f aca="false">IFERROR(IF($C172="","",IF($D172="","",IFERROR(ROUND($D172*INDEX('🔖 배합비 참조'!$B$2:$CE$83,MATCH("식물성기름혼합제제(분홍)",'🔖 배합비 참조'!$A$2:$A$83,0),MATCH($C172,'🔖 배합비 참조'!$B$1:$CE$1,0))/100,0),""))),"")</f>
        <v>0</v>
      </c>
      <c r="BC172" s="42" t="n">
        <f aca="false">IFERROR(IF($C172="","",IF($D172="","",IFERROR(ROUND($D172*INDEX('🔖 배합비 참조'!$B$2:$CE$83,MATCH("식물성기름혼합제제(초록)",'🔖 배합비 참조'!$A$2:$A$83,0),MATCH($C172,'🔖 배합비 참조'!$B$1:$CE$1,0))/100,0),""))),"")</f>
        <v>0</v>
      </c>
      <c r="BD172" s="42" t="n">
        <f aca="false">IFERROR(IF($C172="","",IF($D172="","",IFERROR(ROUND($D172*INDEX('🔖 배합비 참조'!$B$2:$CE$83,MATCH("식물성기름혼합제제(황색)",'🔖 배합비 참조'!$A$2:$A$83,0),MATCH($C172,'🔖 배합비 참조'!$B$1:$CE$1,0))/100,0),""))),"")</f>
        <v>0</v>
      </c>
      <c r="BE172" s="42" t="n">
        <f aca="false">IFERROR(IF($C172="","",IF($D172="","",IFERROR(ROUND($D172*INDEX('🔖 배합비 참조'!$B$2:$CE$83,MATCH("쑥가루(국내산)",'🔖 배합비 참조'!$A$2:$A$83,0),MATCH($C172,'🔖 배합비 참조'!$B$1:$CE$1,0))/100,0),""))),"")</f>
        <v>0</v>
      </c>
      <c r="BF172" s="42" t="n">
        <f aca="false">IFERROR(IF($C172="","",IF($D172="","",IFERROR(ROUND($D172*INDEX('🔖 배합비 참조'!$B$2:$CE$83,MATCH("아몬드슬라이스",'🔖 배합비 참조'!$A$2:$A$83,0),MATCH($C172,'🔖 배합비 참조'!$B$1:$CE$1,0))/100,0),""))),"")</f>
        <v>0</v>
      </c>
      <c r="BG172" s="42" t="n">
        <f aca="false">IFERROR(IF($C172="","",IF($D172="","",IFERROR(ROUND($D172*INDEX('🔖 배합비 참조'!$B$2:$CE$83,MATCH("알룰로오스(국내산)",'🔖 배합비 참조'!$A$2:$A$83,0),MATCH($C172,'🔖 배합비 참조'!$B$1:$CE$1,0))/100,0),""))),"")</f>
        <v>0</v>
      </c>
      <c r="BH172" s="42" t="n">
        <f aca="false">IFERROR(IF($C172="","",IF($D172="","",IFERROR(ROUND($D172*INDEX('🔖 배합비 참조'!$B$2:$CE$83,MATCH("연유",'🔖 배합비 참조'!$A$2:$A$83,0),MATCH($C172,'🔖 배합비 참조'!$B$1:$CE$1,0))/100,0),""))),"")</f>
        <v>0</v>
      </c>
      <c r="BI172" s="42" t="n">
        <f aca="false">IFERROR(IF($C172="","",IF($D172="","",IFERROR(ROUND($D172*INDEX('🔖 배합비 참조'!$B$2:$CE$83,MATCH("옥수수전분",'🔖 배합비 참조'!$A$2:$A$83,0),MATCH($C172,'🔖 배합비 참조'!$B$1:$CE$1,0))/100,0),""))),"")</f>
        <v>1</v>
      </c>
      <c r="BJ172" s="42" t="n">
        <f aca="false">IFERROR(IF($C172="","",IF($D172="","",IFERROR(ROUND($D172*INDEX('🔖 배합비 참조'!$B$2:$CE$83,MATCH("완두배기",'🔖 배합비 참조'!$A$2:$A$83,0),MATCH($C172,'🔖 배합비 참조'!$B$1:$CE$1,0))/100,0),""))),"")</f>
        <v>0</v>
      </c>
      <c r="BK172" s="42" t="n">
        <f aca="false">IFERROR(IF($C172="","",IF($D172="","",IFERROR(ROUND($D172*INDEX('🔖 배합비 참조'!$B$2:$CE$83,MATCH("우유(국내산)",'🔖 배합비 참조'!$A$2:$A$83,0),MATCH($C172,'🔖 배합비 참조'!$B$1:$CE$1,0))/100,0),""))),"")</f>
        <v>0</v>
      </c>
      <c r="BL172" s="42" t="n">
        <f aca="false">IFERROR(IF($C172="","",IF($D172="","",IFERROR(ROUND($D172*INDEX('🔖 배합비 참조'!$B$2:$CE$83,MATCH("자색고구마가루(중국산)",'🔖 배합비 참조'!$A$2:$A$83,0),MATCH($C172,'🔖 배합비 참조'!$B$1:$CE$1,0))/100,0),""))),"")</f>
        <v>0</v>
      </c>
      <c r="BM172" s="42" t="n">
        <f aca="false">IFERROR(IF($C172="","",IF($D172="","",IFERROR(ROUND($D172*INDEX('🔖 배합비 참조'!$B$2:$CE$83,MATCH("자연치즈(체다치즈)",'🔖 배합비 참조'!$A$2:$A$83,0),MATCH($C172,'🔖 배합비 참조'!$B$1:$CE$1,0))/100,0),""))),"")</f>
        <v>0</v>
      </c>
      <c r="BN172" s="42" t="n">
        <f aca="false">IFERROR(IF($C172="","",IF($D172="","",IFERROR(ROUND($D172*INDEX('🔖 배합비 참조'!$B$2:$CE$83,MATCH("정제수",'🔖 배합비 참조'!$A$2:$A$83,0),MATCH($C172,'🔖 배합비 참조'!$B$1:$CE$1,0))/100,0),""))),"")</f>
        <v>0</v>
      </c>
      <c r="BO172" s="42" t="n">
        <f aca="false">IFERROR(IF($C172="","",IF($D172="","",IFERROR(ROUND($D172*INDEX('🔖 배합비 참조'!$B$2:$CE$83,MATCH("젤라틴",'🔖 배합비 참조'!$A$2:$A$83,0),MATCH($C172,'🔖 배합비 참조'!$B$1:$CE$1,0))/100,0),""))),"")</f>
        <v>0</v>
      </c>
      <c r="BP172" s="42" t="n">
        <f aca="false">IFERROR(IF($C172="","",IF($D172="","",IFERROR(ROUND($D172*INDEX('🔖 배합비 참조'!$B$2:$CE$83,MATCH("조림류(백옥앙금)",'🔖 배합비 참조'!$A$2:$A$83,0),MATCH($C172,'🔖 배합비 참조'!$B$1:$CE$1,0))/100,0),""))),"")</f>
        <v>0</v>
      </c>
      <c r="BQ172" s="42" t="n">
        <f aca="false">IFERROR(IF($C172="","",IF($D172="","",IFERROR(ROUND($D172*INDEX('🔖 배합비 참조'!$B$2:$CE$83,MATCH("조림류(통팥앙금)",'🔖 배합비 참조'!$A$2:$A$83,0),MATCH($C172,'🔖 배합비 참조'!$B$1:$CE$1,0))/100,0),""))),"")</f>
        <v>31</v>
      </c>
      <c r="BR172" s="42" t="n">
        <f aca="false">IFERROR(IF($C172="","",IF($D172="","",IFERROR(ROUND($D172*INDEX('🔖 배합비 참조'!$B$2:$CE$83,MATCH("준초콜릿(외국산)",'🔖 배합비 참조'!$A$2:$A$83,0),MATCH($C172,'🔖 배합비 참조'!$B$1:$CE$1,0))/100,0),""))),"")</f>
        <v>0</v>
      </c>
      <c r="BS172" s="42" t="n">
        <f aca="false">IFERROR(IF($C172="","",IF($D172="","",IFERROR(ROUND($D172*INDEX('🔖 배합비 참조'!$B$2:$CE$83,MATCH("중력분",'🔖 배합비 참조'!$A$2:$A$83,0),MATCH($C172,'🔖 배합비 참조'!$B$1:$CE$1,0))/100,0),""))),"")</f>
        <v>0</v>
      </c>
      <c r="BT172" s="42" t="n">
        <f aca="false">IFERROR(IF($C172="","",IF($D172="","",IFERROR(ROUND($D172*INDEX('🔖 배합비 참조'!$B$2:$CE$83,MATCH("참깨(인도산,나이지리아산,탄자니아산,미얀마산)",'🔖 배합비 참조'!$A$2:$A$83,0),MATCH($C172,'🔖 배합비 참조'!$B$1:$CE$1,0))/100,0),""))),"")</f>
        <v>0</v>
      </c>
      <c r="BU172" s="42" t="n">
        <f aca="false">IFERROR(IF($C172="","",IF($D172="","",IFERROR(ROUND($D172*INDEX('🔖 배합비 참조'!$B$2:$CE$83,MATCH("찹쌀(국내산)",'🔖 배합비 참조'!$A$2:$A$83,0),MATCH($C172,'🔖 배합비 참조'!$B$1:$CE$1,0))/100,0),""))),"")</f>
        <v>33</v>
      </c>
      <c r="BV172" s="42" t="n">
        <f aca="false">IFERROR(IF($C172="","",IF($D172="","",IFERROR(ROUND($D172*INDEX('🔖 배합비 참조'!$B$2:$CE$83,MATCH("천일염",'🔖 배합비 참조'!$A$2:$A$83,0),MATCH($C172,'🔖 배합비 참조'!$B$1:$CE$1,0))/100,0),""))),"")</f>
        <v>1</v>
      </c>
      <c r="BW172" s="42" t="n">
        <f aca="false">IFERROR(IF($C172="","",IF($D172="","",IFERROR(ROUND($D172*INDEX('🔖 배합비 참조'!$B$2:$CE$83,MATCH("치즈 [크림치즈]",'🔖 배합비 참조'!$A$2:$A$83,0),MATCH($C172,'🔖 배합비 참조'!$B$1:$CE$1,0))/100,0),""))),"")</f>
        <v>0</v>
      </c>
      <c r="BX172" s="42" t="n">
        <f aca="false">IFERROR(IF($C172="","",IF($D172="","",IFERROR(ROUND($D172*INDEX('🔖 배합비 참조'!$B$2:$CE$83,MATCH("코코아가공품류(코코아분말)",'🔖 배합비 참조'!$A$2:$A$83,0),MATCH($C172,'🔖 배합비 참조'!$B$1:$CE$1,0))/100,0),""))),"")</f>
        <v>0</v>
      </c>
      <c r="BY172" s="42" t="n">
        <f aca="false">IFERROR(IF($C172="","",IF($D172="","",IFERROR(ROUND($D172*INDEX('🔖 배합비 참조'!$B$2:$CE$83,MATCH("콩기름(대두유)",'🔖 배합비 참조'!$A$2:$A$83,0),MATCH($C172,'🔖 배합비 참조'!$B$1:$CE$1,0))/100,0),""))),"")</f>
        <v>0</v>
      </c>
      <c r="BZ172" s="42" t="n">
        <f aca="false">IFERROR(IF($C172="","",IF($D172="","",IFERROR(ROUND($D172*INDEX('🔖 배합비 참조'!$B$2:$CE$83,MATCH("해바라기씨앗",'🔖 배합비 참조'!$A$2:$A$83,0),MATCH($C172,'🔖 배합비 참조'!$B$1:$CE$1,0))/100,0),""))),"")</f>
        <v>0</v>
      </c>
      <c r="CA172" s="42" t="n">
        <f aca="false">IFERROR(IF($C172="","",IF($D172="","",IFERROR(ROUND($D172*INDEX('🔖 배합비 참조'!$B$2:$CE$83,MATCH("현미(국내산)",'🔖 배합비 참조'!$A$2:$A$83,0),MATCH($C172,'🔖 배합비 참조'!$B$1:$CE$1,0))/100,0),""))),"")</f>
        <v>0</v>
      </c>
      <c r="CB172" s="42" t="n">
        <f aca="false">IFERROR(IF($C172="","",IF($D172="","",IFERROR(ROUND($D172*INDEX('🔖 배합비 참조'!$B$2:$CE$83,MATCH("현미멥쌀(국내산)",'🔖 배합비 참조'!$A$2:$A$83,0),MATCH($C172,'🔖 배합비 참조'!$B$1:$CE$1,0))/100,0),""))),"")</f>
        <v>0</v>
      </c>
      <c r="CC172" s="42" t="n">
        <f aca="false">IFERROR(IF($C172="","",IF($D172="","",IFERROR(ROUND($D172*INDEX('🔖 배합비 참조'!$B$2:$CE$83,MATCH("호두분태(미국산)",'🔖 배합비 참조'!$A$2:$A$83,0),MATCH($C172,'🔖 배합비 참조'!$B$1:$CE$1,0))/100,0),""))),"")</f>
        <v>0</v>
      </c>
      <c r="CD172" s="42" t="n">
        <f aca="false">IFERROR(IF($C172="","",IF($D172="","",IFERROR(ROUND($D172*INDEX('🔖 배합비 참조'!$B$2:$CE$83,MATCH("호박씨앗(외국산)",'🔖 배합비 참조'!$A$2:$A$83,0),MATCH($C172,'🔖 배합비 참조'!$B$1:$CE$1,0))/100,0),""))),"")</f>
        <v>0</v>
      </c>
      <c r="CE172" s="42" t="n">
        <f aca="false">IFERROR(IF($C172="","",IF($D172="","",IFERROR(ROUND($D172*INDEX('🔖 배합비 참조'!$B$2:$CE$83,MATCH("혼합제제(떡용에스텔)",'🔖 배합비 참조'!$A$2:$A$83,0),MATCH($C172,'🔖 배합비 참조'!$B$1:$CE$1,0))/100,0),""))),"")</f>
        <v>0</v>
      </c>
      <c r="CF172" s="42" t="n">
        <f aca="false">IFERROR(IF($C172="","",IF($D172="","",IFERROR(ROUND($D172*INDEX('🔖 배합비 참조'!$B$2:$CE$83,MATCH("혼합제제(스테비아)",'🔖 배합비 참조'!$A$2:$A$83,0),MATCH($C172,'🔖 배합비 참조'!$B$1:$CE$1,0))/100,0),""))),"")</f>
        <v>0</v>
      </c>
      <c r="CG172" s="42" t="n">
        <f aca="false">IFERROR(IF($C172="","",IF($D172="","",IFERROR(ROUND($D172*INDEX('🔖 배합비 참조'!$B$2:$CE$83,MATCH("화이트초콜릿",'🔖 배합비 참조'!$A$2:$A$83,0),MATCH($C172,'🔖 배합비 참조'!$B$1:$CE$1,0))/100,0),""))),"")</f>
        <v>0</v>
      </c>
      <c r="CH172" s="42" t="n">
        <f aca="false">IFERROR(IF($C172="","",IF($D172="","",IFERROR(ROUND($D172*INDEX('🔖 배합비 참조'!$B$2:$CE$83,MATCH("흑미찹쌀(국내산)",'🔖 배합비 참조'!$A$2:$A$83,0),MATCH($C172,'🔖 배합비 참조'!$B$1:$CE$1,0))/100,0),""))),"")</f>
        <v>0</v>
      </c>
      <c r="CI172" s="42" t="n">
        <f aca="false">IFERROR(IF($C172="","",IF($D172="","",IFERROR(ROUND($D172*INDEX('🔖 배합비 참조'!$B$2:$CE$83,MATCH("찰옥수수전분(미국산)",'🔖 배합비 참조'!$A$2:$A$83,0),MATCH($C172,'🔖 배합비 참조'!$B$1:$CE$1,0))/100,0),""))),"")</f>
        <v>0</v>
      </c>
      <c r="CJ172" s="40"/>
      <c r="CL172" s="1" t="s">
        <v>245</v>
      </c>
    </row>
    <row r="173" customFormat="false" ht="18" hidden="false" customHeight="true" outlineLevel="0" collapsed="false">
      <c r="A173" s="35" t="n">
        <v>169</v>
      </c>
      <c r="B173" s="36" t="n">
        <v>46038</v>
      </c>
      <c r="C173" s="37" t="s">
        <v>179</v>
      </c>
      <c r="D173" s="38" t="n">
        <v>70</v>
      </c>
      <c r="E173" s="13"/>
      <c r="F173" s="13"/>
      <c r="G173" s="39" t="n">
        <f aca="false">IFERROR(IF($C173="","",IF($D173="","",IFERROR(ROUND($D173*INDEX('🔖 배합비 참조'!$B$2:$CE$83,MATCH("간장",'🔖 배합비 참조'!$A$2:$A$83,0),MATCH($C173,'🔖 배합비 참조'!$B$1:$CE$1,0))/100,0),""))),"")</f>
        <v>0</v>
      </c>
      <c r="H173" s="39" t="n">
        <f aca="false">IFERROR(IF($C173="","",IF($D173="","",IFERROR(ROUND($D173*INDEX('🔖 배합비 참조'!$B$2:$CE$83,MATCH("강낭콩((울타리콩))",'🔖 배합비 참조'!$A$2:$A$83,0),MATCH($C173,'🔖 배합비 참조'!$B$1:$CE$1,0))/100,0),""))),"")</f>
        <v>0</v>
      </c>
      <c r="I173" s="39" t="n">
        <f aca="false">IFERROR(IF($C173="","",IF($D173="","",IFERROR(ROUND($D173*INDEX('🔖 배합비 참조'!$B$2:$CE$83,MATCH("건조딸기다이스(외국산)",'🔖 배합비 참조'!$A$2:$A$83,0),MATCH($C173,'🔖 배합비 참조'!$B$1:$CE$1,0))/100,0),""))),"")</f>
        <v>0</v>
      </c>
      <c r="J173" s="39" t="n">
        <f aca="false">IFERROR(IF($C173="","",IF($D173="","",IFERROR(ROUND($D173*INDEX('🔖 배합비 참조'!$B$2:$CE$83,MATCH("건포도",'🔖 배합비 참조'!$A$2:$A$83,0),MATCH($C173,'🔖 배합비 참조'!$B$1:$CE$1,0))/100,0),""))),"")</f>
        <v>0</v>
      </c>
      <c r="K173" s="39" t="n">
        <f aca="false">IFERROR(IF($C173="","",IF($D173="","",IFERROR(ROUND($D173*INDEX('🔖 배합비 참조'!$B$2:$CE$83,MATCH("건호박채(중국산)",'🔖 배합비 참조'!$A$2:$A$83,0),MATCH($C173,'🔖 배합비 참조'!$B$1:$CE$1,0))/100,0),""))),"")</f>
        <v>0</v>
      </c>
      <c r="L173" s="39" t="n">
        <f aca="false">IFERROR(IF($C173="","",IF($D173="","",IFERROR(ROUND($D173*INDEX('🔖 배합비 참조'!$B$2:$CE$83,MATCH("검정깨(흑임자)",'🔖 배합비 참조'!$A$2:$A$83,0),MATCH($C173,'🔖 배합비 참조'!$B$1:$CE$1,0))/100,0),""))),"")</f>
        <v>0</v>
      </c>
      <c r="M173" s="39" t="n">
        <f aca="false">IFERROR(IF($C173="","",IF($D173="","",IFERROR(ROUND($D173*INDEX('🔖 배합비 참조'!$B$2:$CE$83,MATCH("검정콩",'🔖 배합비 참조'!$A$2:$A$83,0),MATCH($C173,'🔖 배합비 참조'!$B$1:$CE$1,0))/100,0),""))),"")</f>
        <v>0</v>
      </c>
      <c r="N173" s="39" t="n">
        <f aca="false">IFERROR(IF($C173="","",IF($D173="","",IFERROR(ROUND($D173*INDEX('🔖 배합비 참조'!$B$2:$CE$83,MATCH("계피가루",'🔖 배합비 참조'!$A$2:$A$83,0),MATCH($C173,'🔖 배합비 참조'!$B$1:$CE$1,0))/100,0),""))),"")</f>
        <v>0</v>
      </c>
      <c r="O173" s="39" t="n">
        <f aca="false">IFERROR(IF($C173="","",IF($D173="","",IFERROR(ROUND($D173*INDEX('🔖 배합비 참조'!$B$2:$CE$83,MATCH("고구마가루",'🔖 배합비 참조'!$A$2:$A$83,0),MATCH($C173,'🔖 배합비 참조'!$B$1:$CE$1,0))/100,0),""))),"")</f>
        <v>0</v>
      </c>
      <c r="P173" s="39" t="n">
        <f aca="false">IFERROR(IF($C173="","",IF($D173="","",IFERROR(ROUND($D173*INDEX('🔖 배합비 참조'!$B$2:$CE$83,MATCH("고구마무스",'🔖 배합비 참조'!$A$2:$A$83,0),MATCH($C173,'🔖 배합비 참조'!$B$1:$CE$1,0))/100,0),""))),"")</f>
        <v>0</v>
      </c>
      <c r="Q173" s="39" t="n">
        <f aca="false">IFERROR(IF($C173="","",IF($D173="","",IFERROR(ROUND($D173*INDEX('🔖 배합비 참조'!$B$2:$CE$83,MATCH("고려엉겅퀴((곤드레)국내산)",'🔖 배합비 참조'!$A$2:$A$83,0),MATCH($C173,'🔖 배합비 참조'!$B$1:$CE$1,0))/100,0),""))),"")</f>
        <v>0</v>
      </c>
      <c r="R173" s="39" t="n">
        <f aca="false">IFERROR(IF($C173="","",IF($D173="","",IFERROR(ROUND($D173*INDEX('🔖 배합비 참조'!$B$2:$CE$83,MATCH("기타가공품(복분자가루)",'🔖 배합비 참조'!$A$2:$A$83,0),MATCH($C173,'🔖 배합비 참조'!$B$1:$CE$1,0))/100,0),""))),"")</f>
        <v>0</v>
      </c>
      <c r="S173" s="39" t="n">
        <f aca="false">IFERROR(IF($C173="","",IF($D173="","",IFERROR(ROUND($D173*INDEX('🔖 배합비 참조'!$B$2:$CE$83,MATCH("기타가공품(슈퍼소프트엠)",'🔖 배합비 참조'!$A$2:$A$83,0),MATCH($C173,'🔖 배합비 참조'!$B$1:$CE$1,0))/100,0),""))),"")</f>
        <v>0</v>
      </c>
      <c r="T173" s="39" t="n">
        <f aca="false">IFERROR(IF($C173="","",IF($D173="","",IFERROR(ROUND($D173*INDEX('🔖 배합비 참조'!$B$2:$CE$83,MATCH("기타가공품(파인소프트 E-티)",'🔖 배합비 참조'!$A$2:$A$83,0),MATCH($C173,'🔖 배합비 참조'!$B$1:$CE$1,0))/100,0),""))),"")</f>
        <v>0</v>
      </c>
      <c r="U173" s="39" t="n">
        <f aca="false">IFERROR(IF($C173="","",IF($D173="","",IFERROR(ROUND($D173*INDEX('🔖 배합비 참조'!$B$2:$CE$83,MATCH("기타가공품(프리미엄카스테라가루)",'🔖 배합비 참조'!$A$2:$A$83,0),MATCH($C173,'🔖 배합비 참조'!$B$1:$CE$1,0))/100,0),""))),"")</f>
        <v>0</v>
      </c>
      <c r="V173" s="39" t="n">
        <f aca="false">IFERROR(IF($C173="","",IF($D173="","",IFERROR(ROUND($D173*INDEX('🔖 배합비 참조'!$B$2:$CE$83,MATCH("기타가공품(흑임자가루)",'🔖 배합비 참조'!$A$2:$A$83,0),MATCH($C173,'🔖 배합비 참조'!$B$1:$CE$1,0))/100,0),""))),"")</f>
        <v>0</v>
      </c>
      <c r="W173" s="39" t="n">
        <f aca="false">IFERROR(IF($C173="","",IF($D173="","",IFERROR(ROUND($D173*INDEX('🔖 배합비 참조'!$B$2:$CE$83,MATCH("기타설탕(흑설탕)",'🔖 배합비 참조'!$A$2:$A$83,0),MATCH($C173,'🔖 배합비 참조'!$B$1:$CE$1,0))/100,0),""))),"")</f>
        <v>0</v>
      </c>
      <c r="X173" s="39" t="n">
        <f aca="false">IFERROR(IF($C173="","",IF($D173="","",IFERROR(ROUND($D173*INDEX('🔖 배합비 참조'!$B$2:$CE$83,MATCH("냉동쑥(국내산)",'🔖 배합비 참조'!$A$2:$A$83,0),MATCH($C173,'🔖 배합비 참조'!$B$1:$CE$1,0))/100,0),""))),"")</f>
        <v>6</v>
      </c>
      <c r="Y173" s="39" t="n">
        <f aca="false">IFERROR(IF($C173="","",IF($D173="","",IFERROR(ROUND($D173*INDEX('🔖 배합비 참조'!$B$2:$CE$83,MATCH("냉동증숙고구마(중국산)",'🔖 배합비 참조'!$A$2:$A$83,0),MATCH($C173,'🔖 배합비 참조'!$B$1:$CE$1,0))/100,0),""))),"")</f>
        <v>0</v>
      </c>
      <c r="Z173" s="39" t="n">
        <f aca="false">IFERROR(IF($C173="","",IF($D173="","",IFERROR(ROUND($D173*INDEX('🔖 배합비 참조'!$B$2:$CE$83,MATCH("녹차가루",'🔖 배합비 참조'!$A$2:$A$83,0),MATCH($C173,'🔖 배합비 참조'!$B$1:$CE$1,0))/100,0),""))),"")</f>
        <v>0</v>
      </c>
      <c r="AA173" s="39" t="n">
        <f aca="false">IFERROR(IF($C173="","",IF($D173="","",IFERROR(ROUND($D173*INDEX('🔖 배합비 참조'!$B$2:$CE$83,MATCH("다크초콜릿 컴파운드칩",'🔖 배합비 참조'!$A$2:$A$83,0),MATCH($C173,'🔖 배합비 참조'!$B$1:$CE$1,0))/100,0),""))),"")</f>
        <v>0</v>
      </c>
      <c r="AB173" s="39" t="n">
        <f aca="false">IFERROR(IF($C173="","",IF($D173="","",IFERROR(ROUND($D173*INDEX('🔖 배합비 참조'!$B$2:$CE$83,MATCH("단호박분말(중국산)",'🔖 배합비 참조'!$A$2:$A$83,0),MATCH($C173,'🔖 배합비 참조'!$B$1:$CE$1,0))/100,0),""))),"")</f>
        <v>0</v>
      </c>
      <c r="AC173" s="39" t="n">
        <f aca="false">IFERROR(IF($C173="","",IF($D173="","",IFERROR(ROUND($D173*INDEX('🔖 배합비 참조'!$B$2:$CE$83,MATCH("당류가공품(단호박농축액)",'🔖 배합비 참조'!$A$2:$A$83,0),MATCH($C173,'🔖 배합비 참조'!$B$1:$CE$1,0))/100,0),""))),"")</f>
        <v>0</v>
      </c>
      <c r="AD173" s="39" t="n">
        <f aca="false">IFERROR(IF($C173="","",IF($D173="","",IFERROR(ROUND($D173*INDEX('🔖 배합비 참조'!$B$2:$CE$83,MATCH("당류가공품(알룰로스,에리스리톨,스테비올배당체혼합)",'🔖 배합비 참조'!$A$2:$A$83,0),MATCH($C173,'🔖 배합비 참조'!$B$1:$CE$1,0))/100,0),""))),"")</f>
        <v>0</v>
      </c>
      <c r="AE173" s="39" t="n">
        <f aca="false">IFERROR(IF($C173="","",IF($D173="","",IFERROR(ROUND($D173*INDEX('🔖 배합비 참조'!$B$2:$CE$83,MATCH("당류가공품(알룰로스제로파우더)",'🔖 배합비 참조'!$A$2:$A$83,0),MATCH($C173,'🔖 배합비 참조'!$B$1:$CE$1,0))/100,0),""))),"")</f>
        <v>0</v>
      </c>
      <c r="AF173" s="39" t="n">
        <f aca="false">IFERROR(IF($C173="","",IF($D173="","",IFERROR(ROUND($D173*INDEX('🔖 배합비 참조'!$B$2:$CE$83,MATCH("당절임(완두배기)",'🔖 배합비 참조'!$A$2:$A$83,0),MATCH($C173,'🔖 배합비 참조'!$B$1:$CE$1,0))/100,0),""))),"")</f>
        <v>0</v>
      </c>
      <c r="AG173" s="39" t="n">
        <f aca="false">IFERROR(IF($C173="","",IF($D173="","",IFERROR(ROUND($D173*INDEX('🔖 배합비 참조'!$B$2:$CE$83,MATCH("대추농축액",'🔖 배합비 참조'!$A$2:$A$83,0),MATCH($C173,'🔖 배합비 참조'!$B$1:$CE$1,0))/100,0),""))),"")</f>
        <v>0</v>
      </c>
      <c r="AH173" s="39" t="n">
        <f aca="false">IFERROR(IF($C173="","",IF($D173="","",IFERROR(ROUND($D173*INDEX('🔖 배합비 참조'!$B$2:$CE$83,MATCH("대추채(국내산)",'🔖 배합비 참조'!$A$2:$A$83,0),MATCH($C173,'🔖 배합비 참조'!$B$1:$CE$1,0))/100,0),""))),"")</f>
        <v>0</v>
      </c>
      <c r="AI173" s="39" t="n">
        <f aca="false">IFERROR(IF($C173="","",IF($D173="","",IFERROR(ROUND($D173*INDEX('🔖 배합비 참조'!$B$2:$CE$83,MATCH("동부(미얀마산)",'🔖 배합비 참조'!$A$2:$A$83,0),MATCH($C173,'🔖 배합비 참조'!$B$1:$CE$1,0))/100,0),""))),"")</f>
        <v>0</v>
      </c>
      <c r="AJ173" s="39" t="n">
        <f aca="false">IFERROR(IF($C173="","",IF($D173="","",IFERROR(ROUND($D173*INDEX('🔖 배합비 참조'!$B$2:$CE$83,MATCH("두류가공품(백옥앙금)",'🔖 배합비 참조'!$A$2:$A$83,0),MATCH($C173,'🔖 배합비 참조'!$B$1:$CE$1,0))/100,0),""))),"")</f>
        <v>0</v>
      </c>
      <c r="AK173" s="39" t="n">
        <f aca="false">IFERROR(IF($C173="","",IF($D173="","",IFERROR(ROUND($D173*INDEX('🔖 배합비 참조'!$B$2:$CE$83,MATCH("두류가공품(콩고물)",'🔖 배합비 참조'!$A$2:$A$83,0),MATCH($C173,'🔖 배합비 참조'!$B$1:$CE$1,0))/100,0),""))),"")</f>
        <v>0</v>
      </c>
      <c r="AL173" s="39" t="n">
        <f aca="false">IFERROR(IF($C173="","",IF($D173="","",IFERROR(ROUND($D173*INDEX('🔖 배합비 참조'!$B$2:$CE$83,MATCH("두류가공품(통팥고물)",'🔖 배합비 참조'!$A$2:$A$83,0),MATCH($C173,'🔖 배합비 참조'!$B$1:$CE$1,0))/100,0),""))),"")</f>
        <v>0</v>
      </c>
      <c r="AM173" s="39" t="n">
        <f aca="false">IFERROR(IF($C173="","",IF($D173="","",IFERROR(ROUND($D173*INDEX('🔖 배합비 참조'!$B$2:$CE$83,MATCH("딸기레진",'🔖 배합비 참조'!$A$2:$A$83,0),MATCH($C173,'🔖 배합비 참조'!$B$1:$CE$1,0))/100,0),""))),"")</f>
        <v>0</v>
      </c>
      <c r="AN173" s="39" t="n">
        <f aca="false">IFERROR(IF($C173="","",IF($D173="","",IFERROR(ROUND($D173*INDEX('🔖 배합비 참조'!$B$2:$CE$83,MATCH("딸기분말(스트로우베리에이드(분말))",'🔖 배합비 참조'!$A$2:$A$83,0),MATCH($C173,'🔖 배합비 참조'!$B$1:$CE$1,0))/100,0),""))),"")</f>
        <v>0</v>
      </c>
      <c r="AO173" s="39" t="n">
        <f aca="false">IFERROR(IF($C173="","",IF($D173="","",IFERROR(ROUND($D173*INDEX('🔖 배합비 참조'!$B$2:$CE$83,MATCH("마스카포네치즈",'🔖 배합비 참조'!$A$2:$A$83,0),MATCH($C173,'🔖 배합비 참조'!$B$1:$CE$1,0))/100,0),""))),"")</f>
        <v>0</v>
      </c>
      <c r="AP173" s="39" t="n">
        <f aca="false">IFERROR(IF($C173="","",IF($D173="","",IFERROR(ROUND($D173*INDEX('🔖 배합비 참조'!$B$2:$CE$83,MATCH("마카다미아분태(호주산)",'🔖 배합비 참조'!$A$2:$A$83,0),MATCH($C173,'🔖 배합비 참조'!$B$1:$CE$1,0))/100,0),""))),"")</f>
        <v>0</v>
      </c>
      <c r="AQ173" s="39" t="n">
        <f aca="false">IFERROR(IF($C173="","",IF($D173="","",IFERROR(ROUND($D173*INDEX('🔖 배합비 참조'!$B$2:$CE$83,MATCH("멥쌀(국내산)",'🔖 배합비 참조'!$A$2:$A$83,0),MATCH($C173,'🔖 배합비 참조'!$B$1:$CE$1,0))/100,0),""))),"")</f>
        <v>0</v>
      </c>
      <c r="AR173" s="39" t="n">
        <f aca="false">IFERROR(IF($C173="","",IF($D173="","",IFERROR(ROUND($D173*INDEX('🔖 배합비 참조'!$B$2:$CE$83,MATCH("모시잎(국내산)",'🔖 배합비 참조'!$A$2:$A$83,0),MATCH($C173,'🔖 배합비 참조'!$B$1:$CE$1,0))/100,0),""))),"")</f>
        <v>0</v>
      </c>
      <c r="AS173" s="39" t="n">
        <f aca="false">IFERROR(IF($C173="","",IF($D173="","",IFERROR(ROUND($D173*INDEX('🔖 배합비 참조'!$B$2:$CE$83,MATCH("물엿(저당물엿)",'🔖 배합비 참조'!$A$2:$A$83,0),MATCH($C173,'🔖 배합비 참조'!$B$1:$CE$1,0))/100,0),""))),"")</f>
        <v>3</v>
      </c>
      <c r="AT173" s="39" t="n">
        <f aca="false">IFERROR(IF($C173="","",IF($D173="","",IFERROR(ROUND($D173*INDEX('🔖 배합비 참조'!$B$2:$CE$83,MATCH("밤다이스",'🔖 배합비 참조'!$A$2:$A$83,0),MATCH($C173,'🔖 배합비 참조'!$B$1:$CE$1,0))/100,0),""))),"")</f>
        <v>0</v>
      </c>
      <c r="AU173" s="39" t="n">
        <f aca="false">IFERROR(IF($C173="","",IF($D173="","",IFERROR(ROUND($D173*INDEX('🔖 배합비 참조'!$B$2:$CE$83,MATCH("변성전분(타피오카전분)",'🔖 배합비 참조'!$A$2:$A$83,0),MATCH($C173,'🔖 배합비 참조'!$B$1:$CE$1,0))/100,0),""))),"")</f>
        <v>0</v>
      </c>
      <c r="AV173" s="39" t="n">
        <f aca="false">IFERROR(IF($C173="","",IF($D173="","",IFERROR(ROUND($D173*INDEX('🔖 배합비 참조'!$B$2:$CE$83,MATCH("복음땅콩분태",'🔖 배합비 참조'!$A$2:$A$83,0),MATCH($C173,'🔖 배합비 참조'!$B$1:$CE$1,0))/100,0),""))),"")</f>
        <v>0</v>
      </c>
      <c r="AW173" s="39" t="n">
        <f aca="false">IFERROR(IF($C173="","",IF($D173="","",IFERROR(ROUND($D173*INDEX('🔖 배합비 참조'!$B$2:$CE$83,MATCH("사양벌꿀(국내산)",'🔖 배합비 참조'!$A$2:$A$83,0),MATCH($C173,'🔖 배합비 참조'!$B$1:$CE$1,0))/100,0),""))),"")</f>
        <v>0</v>
      </c>
      <c r="AX173" s="39" t="n">
        <f aca="false">IFERROR(IF($C173="","",IF($D173="","",IFERROR(ROUND($D173*INDEX('🔖 배합비 참조'!$B$2:$CE$83,MATCH("생크림",'🔖 배합비 참조'!$A$2:$A$83,0),MATCH($C173,'🔖 배합비 참조'!$B$1:$CE$1,0))/100,0),""))),"")</f>
        <v>0</v>
      </c>
      <c r="AY173" s="39" t="n">
        <f aca="false">IFERROR(IF($C173="","",IF($D173="","",IFERROR(ROUND($D173*INDEX('🔖 배합비 참조'!$B$2:$CE$83,MATCH("서양호박(국내산,뉴질랜드산)",'🔖 배합비 참조'!$A$2:$A$83,0),MATCH($C173,'🔖 배합비 참조'!$B$1:$CE$1,0))/100,0),""))),"")</f>
        <v>0</v>
      </c>
      <c r="AZ173" s="39" t="n">
        <f aca="false">IFERROR(IF($C173="","",IF($D173="","",IFERROR(ROUND($D173*INDEX('🔖 배합비 참조'!$B$2:$CE$83,MATCH("설탕",'🔖 배합비 참조'!$A$2:$A$83,0),MATCH($C173,'🔖 배합비 참조'!$B$1:$CE$1,0))/100,0),""))),"")</f>
        <v>3</v>
      </c>
      <c r="BA173" s="39" t="n">
        <f aca="false">IFERROR(IF($C173="","",IF($D173="","",IFERROR(ROUND($D173*INDEX('🔖 배합비 참조'!$B$2:$CE$83,MATCH("스트로우베리 에이드 후레쉬",'🔖 배합비 참조'!$A$2:$A$83,0),MATCH($C173,'🔖 배합비 참조'!$B$1:$CE$1,0))/100,0),""))),"")</f>
        <v>0</v>
      </c>
      <c r="BB173" s="39" t="n">
        <f aca="false">IFERROR(IF($C173="","",IF($D173="","",IFERROR(ROUND($D173*INDEX('🔖 배합비 참조'!$B$2:$CE$83,MATCH("식물성기름혼합제제(분홍)",'🔖 배합비 참조'!$A$2:$A$83,0),MATCH($C173,'🔖 배합비 참조'!$B$1:$CE$1,0))/100,0),""))),"")</f>
        <v>0</v>
      </c>
      <c r="BC173" s="39" t="n">
        <f aca="false">IFERROR(IF($C173="","",IF($D173="","",IFERROR(ROUND($D173*INDEX('🔖 배합비 참조'!$B$2:$CE$83,MATCH("식물성기름혼합제제(초록)",'🔖 배합비 참조'!$A$2:$A$83,0),MATCH($C173,'🔖 배합비 참조'!$B$1:$CE$1,0))/100,0),""))),"")</f>
        <v>0</v>
      </c>
      <c r="BD173" s="39" t="n">
        <f aca="false">IFERROR(IF($C173="","",IF($D173="","",IFERROR(ROUND($D173*INDEX('🔖 배합비 참조'!$B$2:$CE$83,MATCH("식물성기름혼합제제(황색)",'🔖 배합비 참조'!$A$2:$A$83,0),MATCH($C173,'🔖 배합비 참조'!$B$1:$CE$1,0))/100,0),""))),"")</f>
        <v>0</v>
      </c>
      <c r="BE173" s="39" t="n">
        <f aca="false">IFERROR(IF($C173="","",IF($D173="","",IFERROR(ROUND($D173*INDEX('🔖 배합비 참조'!$B$2:$CE$83,MATCH("쑥가루(국내산)",'🔖 배합비 참조'!$A$2:$A$83,0),MATCH($C173,'🔖 배합비 참조'!$B$1:$CE$1,0))/100,0),""))),"")</f>
        <v>0</v>
      </c>
      <c r="BF173" s="39" t="n">
        <f aca="false">IFERROR(IF($C173="","",IF($D173="","",IFERROR(ROUND($D173*INDEX('🔖 배합비 참조'!$B$2:$CE$83,MATCH("아몬드슬라이스",'🔖 배합비 참조'!$A$2:$A$83,0),MATCH($C173,'🔖 배합비 참조'!$B$1:$CE$1,0))/100,0),""))),"")</f>
        <v>0</v>
      </c>
      <c r="BG173" s="39" t="n">
        <f aca="false">IFERROR(IF($C173="","",IF($D173="","",IFERROR(ROUND($D173*INDEX('🔖 배합비 참조'!$B$2:$CE$83,MATCH("알룰로오스(국내산)",'🔖 배합비 참조'!$A$2:$A$83,0),MATCH($C173,'🔖 배합비 참조'!$B$1:$CE$1,0))/100,0),""))),"")</f>
        <v>0</v>
      </c>
      <c r="BH173" s="39" t="n">
        <f aca="false">IFERROR(IF($C173="","",IF($D173="","",IFERROR(ROUND($D173*INDEX('🔖 배합비 참조'!$B$2:$CE$83,MATCH("연유",'🔖 배합비 참조'!$A$2:$A$83,0),MATCH($C173,'🔖 배합비 참조'!$B$1:$CE$1,0))/100,0),""))),"")</f>
        <v>0</v>
      </c>
      <c r="BI173" s="39" t="n">
        <f aca="false">IFERROR(IF($C173="","",IF($D173="","",IFERROR(ROUND($D173*INDEX('🔖 배합비 참조'!$B$2:$CE$83,MATCH("옥수수전분",'🔖 배합비 참조'!$A$2:$A$83,0),MATCH($C173,'🔖 배합비 참조'!$B$1:$CE$1,0))/100,0),""))),"")</f>
        <v>0</v>
      </c>
      <c r="BJ173" s="39" t="n">
        <f aca="false">IFERROR(IF($C173="","",IF($D173="","",IFERROR(ROUND($D173*INDEX('🔖 배합비 참조'!$B$2:$CE$83,MATCH("완두배기",'🔖 배합비 참조'!$A$2:$A$83,0),MATCH($C173,'🔖 배합비 참조'!$B$1:$CE$1,0))/100,0),""))),"")</f>
        <v>0</v>
      </c>
      <c r="BK173" s="39" t="n">
        <f aca="false">IFERROR(IF($C173="","",IF($D173="","",IFERROR(ROUND($D173*INDEX('🔖 배합비 참조'!$B$2:$CE$83,MATCH("우유(국내산)",'🔖 배합비 참조'!$A$2:$A$83,0),MATCH($C173,'🔖 배합비 참조'!$B$1:$CE$1,0))/100,0),""))),"")</f>
        <v>0</v>
      </c>
      <c r="BL173" s="39" t="n">
        <f aca="false">IFERROR(IF($C173="","",IF($D173="","",IFERROR(ROUND($D173*INDEX('🔖 배합비 참조'!$B$2:$CE$83,MATCH("자색고구마가루(중국산)",'🔖 배합비 참조'!$A$2:$A$83,0),MATCH($C173,'🔖 배합비 참조'!$B$1:$CE$1,0))/100,0),""))),"")</f>
        <v>0</v>
      </c>
      <c r="BM173" s="39" t="n">
        <f aca="false">IFERROR(IF($C173="","",IF($D173="","",IFERROR(ROUND($D173*INDEX('🔖 배합비 참조'!$B$2:$CE$83,MATCH("자연치즈(체다치즈)",'🔖 배합비 참조'!$A$2:$A$83,0),MATCH($C173,'🔖 배합비 참조'!$B$1:$CE$1,0))/100,0),""))),"")</f>
        <v>0</v>
      </c>
      <c r="BN173" s="39" t="n">
        <f aca="false">IFERROR(IF($C173="","",IF($D173="","",IFERROR(ROUND($D173*INDEX('🔖 배합비 참조'!$B$2:$CE$83,MATCH("정제수",'🔖 배합비 참조'!$A$2:$A$83,0),MATCH($C173,'🔖 배합비 참조'!$B$1:$CE$1,0))/100,0),""))),"")</f>
        <v>25</v>
      </c>
      <c r="BO173" s="39" t="n">
        <f aca="false">IFERROR(IF($C173="","",IF($D173="","",IFERROR(ROUND($D173*INDEX('🔖 배합비 참조'!$B$2:$CE$83,MATCH("젤라틴",'🔖 배합비 참조'!$A$2:$A$83,0),MATCH($C173,'🔖 배합비 참조'!$B$1:$CE$1,0))/100,0),""))),"")</f>
        <v>0</v>
      </c>
      <c r="BP173" s="39" t="n">
        <f aca="false">IFERROR(IF($C173="","",IF($D173="","",IFERROR(ROUND($D173*INDEX('🔖 배합비 참조'!$B$2:$CE$83,MATCH("조림류(백옥앙금)",'🔖 배합비 참조'!$A$2:$A$83,0),MATCH($C173,'🔖 배합비 참조'!$B$1:$CE$1,0))/100,0),""))),"")</f>
        <v>0</v>
      </c>
      <c r="BQ173" s="39" t="n">
        <f aca="false">IFERROR(IF($C173="","",IF($D173="","",IFERROR(ROUND($D173*INDEX('🔖 배합비 참조'!$B$2:$CE$83,MATCH("조림류(통팥앙금)",'🔖 배합비 참조'!$A$2:$A$83,0),MATCH($C173,'🔖 배합비 참조'!$B$1:$CE$1,0))/100,0),""))),"")</f>
        <v>0</v>
      </c>
      <c r="BR173" s="39" t="n">
        <f aca="false">IFERROR(IF($C173="","",IF($D173="","",IFERROR(ROUND($D173*INDEX('🔖 배합비 참조'!$B$2:$CE$83,MATCH("준초콜릿(외국산)",'🔖 배합비 참조'!$A$2:$A$83,0),MATCH($C173,'🔖 배합비 참조'!$B$1:$CE$1,0))/100,0),""))),"")</f>
        <v>0</v>
      </c>
      <c r="BS173" s="39" t="n">
        <f aca="false">IFERROR(IF($C173="","",IF($D173="","",IFERROR(ROUND($D173*INDEX('🔖 배합비 참조'!$B$2:$CE$83,MATCH("중력분",'🔖 배합비 참조'!$A$2:$A$83,0),MATCH($C173,'🔖 배합비 참조'!$B$1:$CE$1,0))/100,0),""))),"")</f>
        <v>1</v>
      </c>
      <c r="BT173" s="39" t="n">
        <f aca="false">IFERROR(IF($C173="","",IF($D173="","",IFERROR(ROUND($D173*INDEX('🔖 배합비 참조'!$B$2:$CE$83,MATCH("참깨(인도산,나이지리아산,탄자니아산,미얀마산)",'🔖 배합비 참조'!$A$2:$A$83,0),MATCH($C173,'🔖 배합비 참조'!$B$1:$CE$1,0))/100,0),""))),"")</f>
        <v>0</v>
      </c>
      <c r="BU173" s="39" t="n">
        <f aca="false">IFERROR(IF($C173="","",IF($D173="","",IFERROR(ROUND($D173*INDEX('🔖 배합비 참조'!$B$2:$CE$83,MATCH("찹쌀(국내산)",'🔖 배합비 참조'!$A$2:$A$83,0),MATCH($C173,'🔖 배합비 참조'!$B$1:$CE$1,0))/100,0),""))),"")</f>
        <v>31</v>
      </c>
      <c r="BV173" s="39" t="n">
        <f aca="false">IFERROR(IF($C173="","",IF($D173="","",IFERROR(ROUND($D173*INDEX('🔖 배합비 참조'!$B$2:$CE$83,MATCH("천일염",'🔖 배합비 참조'!$A$2:$A$83,0),MATCH($C173,'🔖 배합비 참조'!$B$1:$CE$1,0))/100,0),""))),"")</f>
        <v>1</v>
      </c>
      <c r="BW173" s="39" t="n">
        <f aca="false">IFERROR(IF($C173="","",IF($D173="","",IFERROR(ROUND($D173*INDEX('🔖 배합비 참조'!$B$2:$CE$83,MATCH("치즈 [크림치즈]",'🔖 배합비 참조'!$A$2:$A$83,0),MATCH($C173,'🔖 배합비 참조'!$B$1:$CE$1,0))/100,0),""))),"")</f>
        <v>0</v>
      </c>
      <c r="BX173" s="39" t="n">
        <f aca="false">IFERROR(IF($C173="","",IF($D173="","",IFERROR(ROUND($D173*INDEX('🔖 배합비 참조'!$B$2:$CE$83,MATCH("코코아가공품류(코코아분말)",'🔖 배합비 참조'!$A$2:$A$83,0),MATCH($C173,'🔖 배합비 참조'!$B$1:$CE$1,0))/100,0),""))),"")</f>
        <v>0</v>
      </c>
      <c r="BY173" s="39" t="n">
        <f aca="false">IFERROR(IF($C173="","",IF($D173="","",IFERROR(ROUND($D173*INDEX('🔖 배합비 참조'!$B$2:$CE$83,MATCH("콩기름(대두유)",'🔖 배합비 참조'!$A$2:$A$83,0),MATCH($C173,'🔖 배합비 참조'!$B$1:$CE$1,0))/100,0),""))),"")</f>
        <v>0</v>
      </c>
      <c r="BZ173" s="39" t="n">
        <f aca="false">IFERROR(IF($C173="","",IF($D173="","",IFERROR(ROUND($D173*INDEX('🔖 배합비 참조'!$B$2:$CE$83,MATCH("해바라기씨앗",'🔖 배합비 참조'!$A$2:$A$83,0),MATCH($C173,'🔖 배합비 참조'!$B$1:$CE$1,0))/100,0),""))),"")</f>
        <v>0</v>
      </c>
      <c r="CA173" s="39" t="n">
        <f aca="false">IFERROR(IF($C173="","",IF($D173="","",IFERROR(ROUND($D173*INDEX('🔖 배합비 참조'!$B$2:$CE$83,MATCH("현미(국내산)",'🔖 배합비 참조'!$A$2:$A$83,0),MATCH($C173,'🔖 배합비 참조'!$B$1:$CE$1,0))/100,0),""))),"")</f>
        <v>0</v>
      </c>
      <c r="CB173" s="39" t="n">
        <f aca="false">IFERROR(IF($C173="","",IF($D173="","",IFERROR(ROUND($D173*INDEX('🔖 배합비 참조'!$B$2:$CE$83,MATCH("현미멥쌀(국내산)",'🔖 배합비 참조'!$A$2:$A$83,0),MATCH($C173,'🔖 배합비 참조'!$B$1:$CE$1,0))/100,0),""))),"")</f>
        <v>0</v>
      </c>
      <c r="CC173" s="39" t="n">
        <f aca="false">IFERROR(IF($C173="","",IF($D173="","",IFERROR(ROUND($D173*INDEX('🔖 배합비 참조'!$B$2:$CE$83,MATCH("호두분태(미국산)",'🔖 배합비 참조'!$A$2:$A$83,0),MATCH($C173,'🔖 배합비 참조'!$B$1:$CE$1,0))/100,0),""))),"")</f>
        <v>0</v>
      </c>
      <c r="CD173" s="39" t="n">
        <f aca="false">IFERROR(IF($C173="","",IF($D173="","",IFERROR(ROUND($D173*INDEX('🔖 배합비 참조'!$B$2:$CE$83,MATCH("호박씨앗(외국산)",'🔖 배합비 참조'!$A$2:$A$83,0),MATCH($C173,'🔖 배합비 참조'!$B$1:$CE$1,0))/100,0),""))),"")</f>
        <v>0</v>
      </c>
      <c r="CE173" s="39" t="n">
        <f aca="false">IFERROR(IF($C173="","",IF($D173="","",IFERROR(ROUND($D173*INDEX('🔖 배합비 참조'!$B$2:$CE$83,MATCH("혼합제제(떡용에스텔)",'🔖 배합비 참조'!$A$2:$A$83,0),MATCH($C173,'🔖 배합비 참조'!$B$1:$CE$1,0))/100,0),""))),"")</f>
        <v>0</v>
      </c>
      <c r="CF173" s="39" t="n">
        <f aca="false">IFERROR(IF($C173="","",IF($D173="","",IFERROR(ROUND($D173*INDEX('🔖 배합비 참조'!$B$2:$CE$83,MATCH("혼합제제(스테비아)",'🔖 배합비 참조'!$A$2:$A$83,0),MATCH($C173,'🔖 배합비 참조'!$B$1:$CE$1,0))/100,0),""))),"")</f>
        <v>0</v>
      </c>
      <c r="CG173" s="39" t="n">
        <f aca="false">IFERROR(IF($C173="","",IF($D173="","",IFERROR(ROUND($D173*INDEX('🔖 배합비 참조'!$B$2:$CE$83,MATCH("화이트초콜릿",'🔖 배합비 참조'!$A$2:$A$83,0),MATCH($C173,'🔖 배합비 참조'!$B$1:$CE$1,0))/100,0),""))),"")</f>
        <v>0</v>
      </c>
      <c r="CH173" s="39" t="n">
        <f aca="false">IFERROR(IF($C173="","",IF($D173="","",IFERROR(ROUND($D173*INDEX('🔖 배합비 참조'!$B$2:$CE$83,MATCH("흑미찹쌀(국내산)",'🔖 배합비 참조'!$A$2:$A$83,0),MATCH($C173,'🔖 배합비 참조'!$B$1:$CE$1,0))/100,0),""))),"")</f>
        <v>0</v>
      </c>
      <c r="CI173" s="39" t="n">
        <f aca="false">IFERROR(IF($C173="","",IF($D173="","",IFERROR(ROUND($D173*INDEX('🔖 배합비 참조'!$B$2:$CE$83,MATCH("찰옥수수전분(미국산)",'🔖 배합비 참조'!$A$2:$A$83,0),MATCH($C173,'🔖 배합비 참조'!$B$1:$CE$1,0))/100,0),""))),"")</f>
        <v>0</v>
      </c>
      <c r="CJ173" s="40"/>
      <c r="CL173" s="1" t="s">
        <v>245</v>
      </c>
    </row>
    <row r="174" customFormat="false" ht="18" hidden="false" customHeight="true" outlineLevel="0" collapsed="false">
      <c r="A174" s="41" t="n">
        <v>170</v>
      </c>
      <c r="B174" s="36" t="n">
        <v>46038</v>
      </c>
      <c r="C174" s="37" t="s">
        <v>206</v>
      </c>
      <c r="D174" s="38" t="n">
        <v>140</v>
      </c>
      <c r="E174" s="17"/>
      <c r="F174" s="17"/>
      <c r="G174" s="42" t="n">
        <f aca="false">IFERROR(IF($C174="","",IF($D174="","",IFERROR(ROUND($D174*INDEX('🔖 배합비 참조'!$B$2:$CE$83,MATCH("간장",'🔖 배합비 참조'!$A$2:$A$83,0),MATCH($C174,'🔖 배합비 참조'!$B$1:$CE$1,0))/100,0),""))),"")</f>
        <v>0</v>
      </c>
      <c r="H174" s="42" t="n">
        <f aca="false">IFERROR(IF($C174="","",IF($D174="","",IFERROR(ROUND($D174*INDEX('🔖 배합비 참조'!$B$2:$CE$83,MATCH("강낭콩((울타리콩))",'🔖 배합비 참조'!$A$2:$A$83,0),MATCH($C174,'🔖 배합비 참조'!$B$1:$CE$1,0))/100,0),""))),"")</f>
        <v>0</v>
      </c>
      <c r="I174" s="42" t="n">
        <f aca="false">IFERROR(IF($C174="","",IF($D174="","",IFERROR(ROUND($D174*INDEX('🔖 배합비 참조'!$B$2:$CE$83,MATCH("건조딸기다이스(외국산)",'🔖 배합비 참조'!$A$2:$A$83,0),MATCH($C174,'🔖 배합비 참조'!$B$1:$CE$1,0))/100,0),""))),"")</f>
        <v>0</v>
      </c>
      <c r="J174" s="42" t="n">
        <f aca="false">IFERROR(IF($C174="","",IF($D174="","",IFERROR(ROUND($D174*INDEX('🔖 배합비 참조'!$B$2:$CE$83,MATCH("건포도",'🔖 배합비 참조'!$A$2:$A$83,0),MATCH($C174,'🔖 배합비 참조'!$B$1:$CE$1,0))/100,0),""))),"")</f>
        <v>0</v>
      </c>
      <c r="K174" s="42" t="n">
        <f aca="false">IFERROR(IF($C174="","",IF($D174="","",IFERROR(ROUND($D174*INDEX('🔖 배합비 참조'!$B$2:$CE$83,MATCH("건호박채(중국산)",'🔖 배합비 참조'!$A$2:$A$83,0),MATCH($C174,'🔖 배합비 참조'!$B$1:$CE$1,0))/100,0),""))),"")</f>
        <v>0</v>
      </c>
      <c r="L174" s="42" t="n">
        <f aca="false">IFERROR(IF($C174="","",IF($D174="","",IFERROR(ROUND($D174*INDEX('🔖 배합비 참조'!$B$2:$CE$83,MATCH("검정깨(흑임자)",'🔖 배합비 참조'!$A$2:$A$83,0),MATCH($C174,'🔖 배합비 참조'!$B$1:$CE$1,0))/100,0),""))),"")</f>
        <v>0</v>
      </c>
      <c r="M174" s="42" t="n">
        <f aca="false">IFERROR(IF($C174="","",IF($D174="","",IFERROR(ROUND($D174*INDEX('🔖 배합비 참조'!$B$2:$CE$83,MATCH("검정콩",'🔖 배합비 참조'!$A$2:$A$83,0),MATCH($C174,'🔖 배합비 참조'!$B$1:$CE$1,0))/100,0),""))),"")</f>
        <v>0</v>
      </c>
      <c r="N174" s="42" t="n">
        <f aca="false">IFERROR(IF($C174="","",IF($D174="","",IFERROR(ROUND($D174*INDEX('🔖 배합비 참조'!$B$2:$CE$83,MATCH("계피가루",'🔖 배합비 참조'!$A$2:$A$83,0),MATCH($C174,'🔖 배합비 참조'!$B$1:$CE$1,0))/100,0),""))),"")</f>
        <v>0</v>
      </c>
      <c r="O174" s="42" t="n">
        <f aca="false">IFERROR(IF($C174="","",IF($D174="","",IFERROR(ROUND($D174*INDEX('🔖 배합비 참조'!$B$2:$CE$83,MATCH("고구마가루",'🔖 배합비 참조'!$A$2:$A$83,0),MATCH($C174,'🔖 배합비 참조'!$B$1:$CE$1,0))/100,0),""))),"")</f>
        <v>0</v>
      </c>
      <c r="P174" s="42" t="n">
        <f aca="false">IFERROR(IF($C174="","",IF($D174="","",IFERROR(ROUND($D174*INDEX('🔖 배합비 참조'!$B$2:$CE$83,MATCH("고구마무스",'🔖 배합비 참조'!$A$2:$A$83,0),MATCH($C174,'🔖 배합비 참조'!$B$1:$CE$1,0))/100,0),""))),"")</f>
        <v>0</v>
      </c>
      <c r="Q174" s="42" t="n">
        <f aca="false">IFERROR(IF($C174="","",IF($D174="","",IFERROR(ROUND($D174*INDEX('🔖 배합비 참조'!$B$2:$CE$83,MATCH("고려엉겅퀴((곤드레)국내산)",'🔖 배합비 참조'!$A$2:$A$83,0),MATCH($C174,'🔖 배합비 참조'!$B$1:$CE$1,0))/100,0),""))),"")</f>
        <v>0</v>
      </c>
      <c r="R174" s="42" t="n">
        <f aca="false">IFERROR(IF($C174="","",IF($D174="","",IFERROR(ROUND($D174*INDEX('🔖 배합비 참조'!$B$2:$CE$83,MATCH("기타가공품(복분자가루)",'🔖 배합비 참조'!$A$2:$A$83,0),MATCH($C174,'🔖 배합비 참조'!$B$1:$CE$1,0))/100,0),""))),"")</f>
        <v>0</v>
      </c>
      <c r="S174" s="42" t="n">
        <f aca="false">IFERROR(IF($C174="","",IF($D174="","",IFERROR(ROUND($D174*INDEX('🔖 배합비 참조'!$B$2:$CE$83,MATCH("기타가공품(슈퍼소프트엠)",'🔖 배합비 참조'!$A$2:$A$83,0),MATCH($C174,'🔖 배합비 참조'!$B$1:$CE$1,0))/100,0),""))),"")</f>
        <v>0</v>
      </c>
      <c r="T174" s="42" t="n">
        <f aca="false">IFERROR(IF($C174="","",IF($D174="","",IFERROR(ROUND($D174*INDEX('🔖 배합비 참조'!$B$2:$CE$83,MATCH("기타가공품(파인소프트 E-티)",'🔖 배합비 참조'!$A$2:$A$83,0),MATCH($C174,'🔖 배합비 참조'!$B$1:$CE$1,0))/100,0),""))),"")</f>
        <v>0</v>
      </c>
      <c r="U174" s="42" t="n">
        <f aca="false">IFERROR(IF($C174="","",IF($D174="","",IFERROR(ROUND($D174*INDEX('🔖 배합비 참조'!$B$2:$CE$83,MATCH("기타가공품(프리미엄카스테라가루)",'🔖 배합비 참조'!$A$2:$A$83,0),MATCH($C174,'🔖 배합비 참조'!$B$1:$CE$1,0))/100,0),""))),"")</f>
        <v>0</v>
      </c>
      <c r="V174" s="42" t="n">
        <f aca="false">IFERROR(IF($C174="","",IF($D174="","",IFERROR(ROUND($D174*INDEX('🔖 배합비 참조'!$B$2:$CE$83,MATCH("기타가공품(흑임자가루)",'🔖 배합비 참조'!$A$2:$A$83,0),MATCH($C174,'🔖 배합비 참조'!$B$1:$CE$1,0))/100,0),""))),"")</f>
        <v>0</v>
      </c>
      <c r="W174" s="42" t="n">
        <f aca="false">IFERROR(IF($C174="","",IF($D174="","",IFERROR(ROUND($D174*INDEX('🔖 배합비 참조'!$B$2:$CE$83,MATCH("기타설탕(흑설탕)",'🔖 배합비 참조'!$A$2:$A$83,0),MATCH($C174,'🔖 배합비 참조'!$B$1:$CE$1,0))/100,0),""))),"")</f>
        <v>0</v>
      </c>
      <c r="X174" s="42" t="n">
        <f aca="false">IFERROR(IF($C174="","",IF($D174="","",IFERROR(ROUND($D174*INDEX('🔖 배합비 참조'!$B$2:$CE$83,MATCH("냉동쑥(국내산)",'🔖 배합비 참조'!$A$2:$A$83,0),MATCH($C174,'🔖 배합비 참조'!$B$1:$CE$1,0))/100,0),""))),"")</f>
        <v>0</v>
      </c>
      <c r="Y174" s="42" t="n">
        <f aca="false">IFERROR(IF($C174="","",IF($D174="","",IFERROR(ROUND($D174*INDEX('🔖 배합비 참조'!$B$2:$CE$83,MATCH("냉동증숙고구마(중국산)",'🔖 배합비 참조'!$A$2:$A$83,0),MATCH($C174,'🔖 배합비 참조'!$B$1:$CE$1,0))/100,0),""))),"")</f>
        <v>0</v>
      </c>
      <c r="Z174" s="42" t="n">
        <f aca="false">IFERROR(IF($C174="","",IF($D174="","",IFERROR(ROUND($D174*INDEX('🔖 배합비 참조'!$B$2:$CE$83,MATCH("녹차가루",'🔖 배합비 참조'!$A$2:$A$83,0),MATCH($C174,'🔖 배합비 참조'!$B$1:$CE$1,0))/100,0),""))),"")</f>
        <v>0</v>
      </c>
      <c r="AA174" s="42" t="n">
        <f aca="false">IFERROR(IF($C174="","",IF($D174="","",IFERROR(ROUND($D174*INDEX('🔖 배합비 참조'!$B$2:$CE$83,MATCH("다크초콜릿 컴파운드칩",'🔖 배합비 참조'!$A$2:$A$83,0),MATCH($C174,'🔖 배합비 참조'!$B$1:$CE$1,0))/100,0),""))),"")</f>
        <v>0</v>
      </c>
      <c r="AB174" s="42" t="n">
        <f aca="false">IFERROR(IF($C174="","",IF($D174="","",IFERROR(ROUND($D174*INDEX('🔖 배합비 참조'!$B$2:$CE$83,MATCH("단호박분말(중국산)",'🔖 배합비 참조'!$A$2:$A$83,0),MATCH($C174,'🔖 배합비 참조'!$B$1:$CE$1,0))/100,0),""))),"")</f>
        <v>0</v>
      </c>
      <c r="AC174" s="42" t="n">
        <f aca="false">IFERROR(IF($C174="","",IF($D174="","",IFERROR(ROUND($D174*INDEX('🔖 배합비 참조'!$B$2:$CE$83,MATCH("당류가공품(단호박농축액)",'🔖 배합비 참조'!$A$2:$A$83,0),MATCH($C174,'🔖 배합비 참조'!$B$1:$CE$1,0))/100,0),""))),"")</f>
        <v>0</v>
      </c>
      <c r="AD174" s="42" t="n">
        <f aca="false">IFERROR(IF($C174="","",IF($D174="","",IFERROR(ROUND($D174*INDEX('🔖 배합비 참조'!$B$2:$CE$83,MATCH("당류가공품(알룰로스,에리스리톨,스테비올배당체혼합)",'🔖 배합비 참조'!$A$2:$A$83,0),MATCH($C174,'🔖 배합비 참조'!$B$1:$CE$1,0))/100,0),""))),"")</f>
        <v>0</v>
      </c>
      <c r="AE174" s="42" t="n">
        <f aca="false">IFERROR(IF($C174="","",IF($D174="","",IFERROR(ROUND($D174*INDEX('🔖 배합비 참조'!$B$2:$CE$83,MATCH("당류가공품(알룰로스제로파우더)",'🔖 배합비 참조'!$A$2:$A$83,0),MATCH($C174,'🔖 배합비 참조'!$B$1:$CE$1,0))/100,0),""))),"")</f>
        <v>0</v>
      </c>
      <c r="AF174" s="42" t="n">
        <f aca="false">IFERROR(IF($C174="","",IF($D174="","",IFERROR(ROUND($D174*INDEX('🔖 배합비 참조'!$B$2:$CE$83,MATCH("당절임(완두배기)",'🔖 배합비 참조'!$A$2:$A$83,0),MATCH($C174,'🔖 배합비 참조'!$B$1:$CE$1,0))/100,0),""))),"")</f>
        <v>0</v>
      </c>
      <c r="AG174" s="42" t="n">
        <f aca="false">IFERROR(IF($C174="","",IF($D174="","",IFERROR(ROUND($D174*INDEX('🔖 배합비 참조'!$B$2:$CE$83,MATCH("대추농축액",'🔖 배합비 참조'!$A$2:$A$83,0),MATCH($C174,'🔖 배합비 참조'!$B$1:$CE$1,0))/100,0),""))),"")</f>
        <v>0</v>
      </c>
      <c r="AH174" s="42" t="n">
        <f aca="false">IFERROR(IF($C174="","",IF($D174="","",IFERROR(ROUND($D174*INDEX('🔖 배합비 참조'!$B$2:$CE$83,MATCH("대추채(국내산)",'🔖 배합비 참조'!$A$2:$A$83,0),MATCH($C174,'🔖 배합비 참조'!$B$1:$CE$1,0))/100,0),""))),"")</f>
        <v>0</v>
      </c>
      <c r="AI174" s="42" t="n">
        <f aca="false">IFERROR(IF($C174="","",IF($D174="","",IFERROR(ROUND($D174*INDEX('🔖 배합비 참조'!$B$2:$CE$83,MATCH("동부(미얀마산)",'🔖 배합비 참조'!$A$2:$A$83,0),MATCH($C174,'🔖 배합비 참조'!$B$1:$CE$1,0))/100,0),""))),"")</f>
        <v>0</v>
      </c>
      <c r="AJ174" s="42" t="n">
        <f aca="false">IFERROR(IF($C174="","",IF($D174="","",IFERROR(ROUND($D174*INDEX('🔖 배합비 참조'!$B$2:$CE$83,MATCH("두류가공품(백옥앙금)",'🔖 배합비 참조'!$A$2:$A$83,0),MATCH($C174,'🔖 배합비 참조'!$B$1:$CE$1,0))/100,0),""))),"")</f>
        <v>0</v>
      </c>
      <c r="AK174" s="42" t="n">
        <f aca="false">IFERROR(IF($C174="","",IF($D174="","",IFERROR(ROUND($D174*INDEX('🔖 배합비 참조'!$B$2:$CE$83,MATCH("두류가공품(콩고물)",'🔖 배합비 참조'!$A$2:$A$83,0),MATCH($C174,'🔖 배합비 참조'!$B$1:$CE$1,0))/100,0),""))),"")</f>
        <v>0</v>
      </c>
      <c r="AL174" s="42" t="n">
        <f aca="false">IFERROR(IF($C174="","",IF($D174="","",IFERROR(ROUND($D174*INDEX('🔖 배합비 참조'!$B$2:$CE$83,MATCH("두류가공품(통팥고물)",'🔖 배합비 참조'!$A$2:$A$83,0),MATCH($C174,'🔖 배합비 참조'!$B$1:$CE$1,0))/100,0),""))),"")</f>
        <v>0</v>
      </c>
      <c r="AM174" s="42" t="n">
        <f aca="false">IFERROR(IF($C174="","",IF($D174="","",IFERROR(ROUND($D174*INDEX('🔖 배합비 참조'!$B$2:$CE$83,MATCH("딸기레진",'🔖 배합비 참조'!$A$2:$A$83,0),MATCH($C174,'🔖 배합비 참조'!$B$1:$CE$1,0))/100,0),""))),"")</f>
        <v>0</v>
      </c>
      <c r="AN174" s="42" t="n">
        <f aca="false">IFERROR(IF($C174="","",IF($D174="","",IFERROR(ROUND($D174*INDEX('🔖 배합비 참조'!$B$2:$CE$83,MATCH("딸기분말(스트로우베리에이드(분말))",'🔖 배합비 참조'!$A$2:$A$83,0),MATCH($C174,'🔖 배합비 참조'!$B$1:$CE$1,0))/100,0),""))),"")</f>
        <v>0</v>
      </c>
      <c r="AO174" s="42" t="n">
        <f aca="false">IFERROR(IF($C174="","",IF($D174="","",IFERROR(ROUND($D174*INDEX('🔖 배합비 참조'!$B$2:$CE$83,MATCH("마스카포네치즈",'🔖 배합비 참조'!$A$2:$A$83,0),MATCH($C174,'🔖 배합비 참조'!$B$1:$CE$1,0))/100,0),""))),"")</f>
        <v>0</v>
      </c>
      <c r="AP174" s="42" t="n">
        <f aca="false">IFERROR(IF($C174="","",IF($D174="","",IFERROR(ROUND($D174*INDEX('🔖 배합비 참조'!$B$2:$CE$83,MATCH("마카다미아분태(호주산)",'🔖 배합비 참조'!$A$2:$A$83,0),MATCH($C174,'🔖 배합비 참조'!$B$1:$CE$1,0))/100,0),""))),"")</f>
        <v>0</v>
      </c>
      <c r="AQ174" s="42" t="n">
        <f aca="false">IFERROR(IF($C174="","",IF($D174="","",IFERROR(ROUND($D174*INDEX('🔖 배합비 참조'!$B$2:$CE$83,MATCH("멥쌀(국내산)",'🔖 배합비 참조'!$A$2:$A$83,0),MATCH($C174,'🔖 배합비 참조'!$B$1:$CE$1,0))/100,0),""))),"")</f>
        <v>0</v>
      </c>
      <c r="AR174" s="42" t="n">
        <f aca="false">IFERROR(IF($C174="","",IF($D174="","",IFERROR(ROUND($D174*INDEX('🔖 배합비 참조'!$B$2:$CE$83,MATCH("모시잎(국내산)",'🔖 배합비 참조'!$A$2:$A$83,0),MATCH($C174,'🔖 배합비 참조'!$B$1:$CE$1,0))/100,0),""))),"")</f>
        <v>0</v>
      </c>
      <c r="AS174" s="42" t="n">
        <f aca="false">IFERROR(IF($C174="","",IF($D174="","",IFERROR(ROUND($D174*INDEX('🔖 배합비 참조'!$B$2:$CE$83,MATCH("물엿(저당물엿)",'🔖 배합비 참조'!$A$2:$A$83,0),MATCH($C174,'🔖 배합비 참조'!$B$1:$CE$1,0))/100,0),""))),"")</f>
        <v>7</v>
      </c>
      <c r="AT174" s="42" t="n">
        <f aca="false">IFERROR(IF($C174="","",IF($D174="","",IFERROR(ROUND($D174*INDEX('🔖 배합비 참조'!$B$2:$CE$83,MATCH("밤다이스",'🔖 배합비 참조'!$A$2:$A$83,0),MATCH($C174,'🔖 배합비 참조'!$B$1:$CE$1,0))/100,0),""))),"")</f>
        <v>0</v>
      </c>
      <c r="AU174" s="42" t="n">
        <f aca="false">IFERROR(IF($C174="","",IF($D174="","",IFERROR(ROUND($D174*INDEX('🔖 배합비 참조'!$B$2:$CE$83,MATCH("변성전분(타피오카전분)",'🔖 배합비 참조'!$A$2:$A$83,0),MATCH($C174,'🔖 배합비 참조'!$B$1:$CE$1,0))/100,0),""))),"")</f>
        <v>0</v>
      </c>
      <c r="AV174" s="42" t="n">
        <f aca="false">IFERROR(IF($C174="","",IF($D174="","",IFERROR(ROUND($D174*INDEX('🔖 배합비 참조'!$B$2:$CE$83,MATCH("복음땅콩분태",'🔖 배합비 참조'!$A$2:$A$83,0),MATCH($C174,'🔖 배합비 참조'!$B$1:$CE$1,0))/100,0),""))),"")</f>
        <v>0</v>
      </c>
      <c r="AW174" s="42" t="n">
        <f aca="false">IFERROR(IF($C174="","",IF($D174="","",IFERROR(ROUND($D174*INDEX('🔖 배합비 참조'!$B$2:$CE$83,MATCH("사양벌꿀(국내산)",'🔖 배합비 참조'!$A$2:$A$83,0),MATCH($C174,'🔖 배합비 참조'!$B$1:$CE$1,0))/100,0),""))),"")</f>
        <v>0</v>
      </c>
      <c r="AX174" s="42" t="n">
        <f aca="false">IFERROR(IF($C174="","",IF($D174="","",IFERROR(ROUND($D174*INDEX('🔖 배합비 참조'!$B$2:$CE$83,MATCH("생크림",'🔖 배합비 참조'!$A$2:$A$83,0),MATCH($C174,'🔖 배합비 참조'!$B$1:$CE$1,0))/100,0),""))),"")</f>
        <v>0</v>
      </c>
      <c r="AY174" s="42" t="n">
        <f aca="false">IFERROR(IF($C174="","",IF($D174="","",IFERROR(ROUND($D174*INDEX('🔖 배합비 참조'!$B$2:$CE$83,MATCH("서양호박(국내산,뉴질랜드산)",'🔖 배합비 참조'!$A$2:$A$83,0),MATCH($C174,'🔖 배합비 참조'!$B$1:$CE$1,0))/100,0),""))),"")</f>
        <v>0</v>
      </c>
      <c r="AZ174" s="42" t="n">
        <f aca="false">IFERROR(IF($C174="","",IF($D174="","",IFERROR(ROUND($D174*INDEX('🔖 배합비 참조'!$B$2:$CE$83,MATCH("설탕",'🔖 배합비 참조'!$A$2:$A$83,0),MATCH($C174,'🔖 배합비 참조'!$B$1:$CE$1,0))/100,0),""))),"")</f>
        <v>7</v>
      </c>
      <c r="BA174" s="42" t="n">
        <f aca="false">IFERROR(IF($C174="","",IF($D174="","",IFERROR(ROUND($D174*INDEX('🔖 배합비 참조'!$B$2:$CE$83,MATCH("스트로우베리 에이드 후레쉬",'🔖 배합비 참조'!$A$2:$A$83,0),MATCH($C174,'🔖 배합비 참조'!$B$1:$CE$1,0))/100,0),""))),"")</f>
        <v>0</v>
      </c>
      <c r="BB174" s="42" t="n">
        <f aca="false">IFERROR(IF($C174="","",IF($D174="","",IFERROR(ROUND($D174*INDEX('🔖 배합비 참조'!$B$2:$CE$83,MATCH("식물성기름혼합제제(분홍)",'🔖 배합비 참조'!$A$2:$A$83,0),MATCH($C174,'🔖 배합비 참조'!$B$1:$CE$1,0))/100,0),""))),"")</f>
        <v>0</v>
      </c>
      <c r="BC174" s="42" t="n">
        <f aca="false">IFERROR(IF($C174="","",IF($D174="","",IFERROR(ROUND($D174*INDEX('🔖 배합비 참조'!$B$2:$CE$83,MATCH("식물성기름혼합제제(초록)",'🔖 배합비 참조'!$A$2:$A$83,0),MATCH($C174,'🔖 배합비 참조'!$B$1:$CE$1,0))/100,0),""))),"")</f>
        <v>0</v>
      </c>
      <c r="BD174" s="42" t="n">
        <f aca="false">IFERROR(IF($C174="","",IF($D174="","",IFERROR(ROUND($D174*INDEX('🔖 배합비 참조'!$B$2:$CE$83,MATCH("식물성기름혼합제제(황색)",'🔖 배합비 참조'!$A$2:$A$83,0),MATCH($C174,'🔖 배합비 참조'!$B$1:$CE$1,0))/100,0),""))),"")</f>
        <v>0</v>
      </c>
      <c r="BE174" s="42" t="n">
        <f aca="false">IFERROR(IF($C174="","",IF($D174="","",IFERROR(ROUND($D174*INDEX('🔖 배합비 참조'!$B$2:$CE$83,MATCH("쑥가루(국내산)",'🔖 배합비 참조'!$A$2:$A$83,0),MATCH($C174,'🔖 배합비 참조'!$B$1:$CE$1,0))/100,0),""))),"")</f>
        <v>0</v>
      </c>
      <c r="BF174" s="42" t="n">
        <f aca="false">IFERROR(IF($C174="","",IF($D174="","",IFERROR(ROUND($D174*INDEX('🔖 배합비 참조'!$B$2:$CE$83,MATCH("아몬드슬라이스",'🔖 배합비 참조'!$A$2:$A$83,0),MATCH($C174,'🔖 배합비 참조'!$B$1:$CE$1,0))/100,0),""))),"")</f>
        <v>0</v>
      </c>
      <c r="BG174" s="42" t="n">
        <f aca="false">IFERROR(IF($C174="","",IF($D174="","",IFERROR(ROUND($D174*INDEX('🔖 배합비 참조'!$B$2:$CE$83,MATCH("알룰로오스(국내산)",'🔖 배합비 참조'!$A$2:$A$83,0),MATCH($C174,'🔖 배합비 참조'!$B$1:$CE$1,0))/100,0),""))),"")</f>
        <v>0</v>
      </c>
      <c r="BH174" s="42" t="n">
        <f aca="false">IFERROR(IF($C174="","",IF($D174="","",IFERROR(ROUND($D174*INDEX('🔖 배합비 참조'!$B$2:$CE$83,MATCH("연유",'🔖 배합비 참조'!$A$2:$A$83,0),MATCH($C174,'🔖 배합비 참조'!$B$1:$CE$1,0))/100,0),""))),"")</f>
        <v>0</v>
      </c>
      <c r="BI174" s="42" t="n">
        <f aca="false">IFERROR(IF($C174="","",IF($D174="","",IFERROR(ROUND($D174*INDEX('🔖 배합비 참조'!$B$2:$CE$83,MATCH("옥수수전분",'🔖 배합비 참조'!$A$2:$A$83,0),MATCH($C174,'🔖 배합비 참조'!$B$1:$CE$1,0))/100,0),""))),"")</f>
        <v>0</v>
      </c>
      <c r="BJ174" s="42" t="n">
        <f aca="false">IFERROR(IF($C174="","",IF($D174="","",IFERROR(ROUND($D174*INDEX('🔖 배합비 참조'!$B$2:$CE$83,MATCH("완두배기",'🔖 배합비 참조'!$A$2:$A$83,0),MATCH($C174,'🔖 배합비 참조'!$B$1:$CE$1,0))/100,0),""))),"")</f>
        <v>0</v>
      </c>
      <c r="BK174" s="42" t="n">
        <f aca="false">IFERROR(IF($C174="","",IF($D174="","",IFERROR(ROUND($D174*INDEX('🔖 배합비 참조'!$B$2:$CE$83,MATCH("우유(국내산)",'🔖 배합비 참조'!$A$2:$A$83,0),MATCH($C174,'🔖 배합비 참조'!$B$1:$CE$1,0))/100,0),""))),"")</f>
        <v>0</v>
      </c>
      <c r="BL174" s="42" t="n">
        <f aca="false">IFERROR(IF($C174="","",IF($D174="","",IFERROR(ROUND($D174*INDEX('🔖 배합비 참조'!$B$2:$CE$83,MATCH("자색고구마가루(중국산)",'🔖 배합비 참조'!$A$2:$A$83,0),MATCH($C174,'🔖 배합비 참조'!$B$1:$CE$1,0))/100,0),""))),"")</f>
        <v>0</v>
      </c>
      <c r="BM174" s="42" t="n">
        <f aca="false">IFERROR(IF($C174="","",IF($D174="","",IFERROR(ROUND($D174*INDEX('🔖 배합비 참조'!$B$2:$CE$83,MATCH("자연치즈(체다치즈)",'🔖 배합비 참조'!$A$2:$A$83,0),MATCH($C174,'🔖 배합비 참조'!$B$1:$CE$1,0))/100,0),""))),"")</f>
        <v>0</v>
      </c>
      <c r="BN174" s="42" t="n">
        <f aca="false">IFERROR(IF($C174="","",IF($D174="","",IFERROR(ROUND($D174*INDEX('🔖 배합비 참조'!$B$2:$CE$83,MATCH("정제수",'🔖 배합비 참조'!$A$2:$A$83,0),MATCH($C174,'🔖 배합비 참조'!$B$1:$CE$1,0))/100,0),""))),"")</f>
        <v>57</v>
      </c>
      <c r="BO174" s="42" t="n">
        <f aca="false">IFERROR(IF($C174="","",IF($D174="","",IFERROR(ROUND($D174*INDEX('🔖 배합비 참조'!$B$2:$CE$83,MATCH("젤라틴",'🔖 배합비 참조'!$A$2:$A$83,0),MATCH($C174,'🔖 배합비 참조'!$B$1:$CE$1,0))/100,0),""))),"")</f>
        <v>0</v>
      </c>
      <c r="BP174" s="42" t="n">
        <f aca="false">IFERROR(IF($C174="","",IF($D174="","",IFERROR(ROUND($D174*INDEX('🔖 배합비 참조'!$B$2:$CE$83,MATCH("조림류(백옥앙금)",'🔖 배합비 참조'!$A$2:$A$83,0),MATCH($C174,'🔖 배합비 참조'!$B$1:$CE$1,0))/100,0),""))),"")</f>
        <v>0</v>
      </c>
      <c r="BQ174" s="42" t="n">
        <f aca="false">IFERROR(IF($C174="","",IF($D174="","",IFERROR(ROUND($D174*INDEX('🔖 배합비 참조'!$B$2:$CE$83,MATCH("조림류(통팥앙금)",'🔖 배합비 참조'!$A$2:$A$83,0),MATCH($C174,'🔖 배합비 참조'!$B$1:$CE$1,0))/100,0),""))),"")</f>
        <v>0</v>
      </c>
      <c r="BR174" s="42" t="n">
        <f aca="false">IFERROR(IF($C174="","",IF($D174="","",IFERROR(ROUND($D174*INDEX('🔖 배합비 참조'!$B$2:$CE$83,MATCH("준초콜릿(외국산)",'🔖 배합비 참조'!$A$2:$A$83,0),MATCH($C174,'🔖 배합비 참조'!$B$1:$CE$1,0))/100,0),""))),"")</f>
        <v>0</v>
      </c>
      <c r="BS174" s="42" t="n">
        <f aca="false">IFERROR(IF($C174="","",IF($D174="","",IFERROR(ROUND($D174*INDEX('🔖 배합비 참조'!$B$2:$CE$83,MATCH("중력분",'🔖 배합비 참조'!$A$2:$A$83,0),MATCH($C174,'🔖 배합비 참조'!$B$1:$CE$1,0))/100,0),""))),"")</f>
        <v>1</v>
      </c>
      <c r="BT174" s="42" t="n">
        <f aca="false">IFERROR(IF($C174="","",IF($D174="","",IFERROR(ROUND($D174*INDEX('🔖 배합비 참조'!$B$2:$CE$83,MATCH("참깨(인도산,나이지리아산,탄자니아산,미얀마산)",'🔖 배합비 참조'!$A$2:$A$83,0),MATCH($C174,'🔖 배합비 참조'!$B$1:$CE$1,0))/100,0),""))),"")</f>
        <v>0</v>
      </c>
      <c r="BU174" s="42" t="n">
        <f aca="false">IFERROR(IF($C174="","",IF($D174="","",IFERROR(ROUND($D174*INDEX('🔖 배합비 참조'!$B$2:$CE$83,MATCH("찹쌀(국내산)",'🔖 배합비 참조'!$A$2:$A$83,0),MATCH($C174,'🔖 배합비 참조'!$B$1:$CE$1,0))/100,0),""))),"")</f>
        <v>67</v>
      </c>
      <c r="BV174" s="42" t="n">
        <f aca="false">IFERROR(IF($C174="","",IF($D174="","",IFERROR(ROUND($D174*INDEX('🔖 배합비 참조'!$B$2:$CE$83,MATCH("천일염",'🔖 배합비 참조'!$A$2:$A$83,0),MATCH($C174,'🔖 배합비 참조'!$B$1:$CE$1,0))/100,0),""))),"")</f>
        <v>1</v>
      </c>
      <c r="BW174" s="42" t="n">
        <f aca="false">IFERROR(IF($C174="","",IF($D174="","",IFERROR(ROUND($D174*INDEX('🔖 배합비 참조'!$B$2:$CE$83,MATCH("치즈 [크림치즈]",'🔖 배합비 참조'!$A$2:$A$83,0),MATCH($C174,'🔖 배합비 참조'!$B$1:$CE$1,0))/100,0),""))),"")</f>
        <v>0</v>
      </c>
      <c r="BX174" s="42" t="n">
        <f aca="false">IFERROR(IF($C174="","",IF($D174="","",IFERROR(ROUND($D174*INDEX('🔖 배합비 참조'!$B$2:$CE$83,MATCH("코코아가공품류(코코아분말)",'🔖 배합비 참조'!$A$2:$A$83,0),MATCH($C174,'🔖 배합비 참조'!$B$1:$CE$1,0))/100,0),""))),"")</f>
        <v>0</v>
      </c>
      <c r="BY174" s="42" t="n">
        <f aca="false">IFERROR(IF($C174="","",IF($D174="","",IFERROR(ROUND($D174*INDEX('🔖 배합비 참조'!$B$2:$CE$83,MATCH("콩기름(대두유)",'🔖 배합비 참조'!$A$2:$A$83,0),MATCH($C174,'🔖 배합비 참조'!$B$1:$CE$1,0))/100,0),""))),"")</f>
        <v>0</v>
      </c>
      <c r="BZ174" s="42" t="n">
        <f aca="false">IFERROR(IF($C174="","",IF($D174="","",IFERROR(ROUND($D174*INDEX('🔖 배합비 참조'!$B$2:$CE$83,MATCH("해바라기씨앗",'🔖 배합비 참조'!$A$2:$A$83,0),MATCH($C174,'🔖 배합비 참조'!$B$1:$CE$1,0))/100,0),""))),"")</f>
        <v>0</v>
      </c>
      <c r="CA174" s="42" t="n">
        <f aca="false">IFERROR(IF($C174="","",IF($D174="","",IFERROR(ROUND($D174*INDEX('🔖 배합비 참조'!$B$2:$CE$83,MATCH("현미(국내산)",'🔖 배합비 참조'!$A$2:$A$83,0),MATCH($C174,'🔖 배합비 참조'!$B$1:$CE$1,0))/100,0),""))),"")</f>
        <v>0</v>
      </c>
      <c r="CB174" s="42" t="n">
        <f aca="false">IFERROR(IF($C174="","",IF($D174="","",IFERROR(ROUND($D174*INDEX('🔖 배합비 참조'!$B$2:$CE$83,MATCH("현미멥쌀(국내산)",'🔖 배합비 참조'!$A$2:$A$83,0),MATCH($C174,'🔖 배합비 참조'!$B$1:$CE$1,0))/100,0),""))),"")</f>
        <v>0</v>
      </c>
      <c r="CC174" s="42" t="n">
        <f aca="false">IFERROR(IF($C174="","",IF($D174="","",IFERROR(ROUND($D174*INDEX('🔖 배합비 참조'!$B$2:$CE$83,MATCH("호두분태(미국산)",'🔖 배합비 참조'!$A$2:$A$83,0),MATCH($C174,'🔖 배합비 참조'!$B$1:$CE$1,0))/100,0),""))),"")</f>
        <v>0</v>
      </c>
      <c r="CD174" s="42" t="n">
        <f aca="false">IFERROR(IF($C174="","",IF($D174="","",IFERROR(ROUND($D174*INDEX('🔖 배합비 참조'!$B$2:$CE$83,MATCH("호박씨앗(외국산)",'🔖 배합비 참조'!$A$2:$A$83,0),MATCH($C174,'🔖 배합비 참조'!$B$1:$CE$1,0))/100,0),""))),"")</f>
        <v>0</v>
      </c>
      <c r="CE174" s="42" t="n">
        <f aca="false">IFERROR(IF($C174="","",IF($D174="","",IFERROR(ROUND($D174*INDEX('🔖 배합비 참조'!$B$2:$CE$83,MATCH("혼합제제(떡용에스텔)",'🔖 배합비 참조'!$A$2:$A$83,0),MATCH($C174,'🔖 배합비 참조'!$B$1:$CE$1,0))/100,0),""))),"")</f>
        <v>1</v>
      </c>
      <c r="CF174" s="42" t="n">
        <f aca="false">IFERROR(IF($C174="","",IF($D174="","",IFERROR(ROUND($D174*INDEX('🔖 배합비 참조'!$B$2:$CE$83,MATCH("혼합제제(스테비아)",'🔖 배합비 참조'!$A$2:$A$83,0),MATCH($C174,'🔖 배합비 참조'!$B$1:$CE$1,0))/100,0),""))),"")</f>
        <v>0</v>
      </c>
      <c r="CG174" s="42" t="n">
        <f aca="false">IFERROR(IF($C174="","",IF($D174="","",IFERROR(ROUND($D174*INDEX('🔖 배합비 참조'!$B$2:$CE$83,MATCH("화이트초콜릿",'🔖 배합비 참조'!$A$2:$A$83,0),MATCH($C174,'🔖 배합비 참조'!$B$1:$CE$1,0))/100,0),""))),"")</f>
        <v>0</v>
      </c>
      <c r="CH174" s="42" t="n">
        <f aca="false">IFERROR(IF($C174="","",IF($D174="","",IFERROR(ROUND($D174*INDEX('🔖 배합비 참조'!$B$2:$CE$83,MATCH("흑미찹쌀(국내산)",'🔖 배합비 참조'!$A$2:$A$83,0),MATCH($C174,'🔖 배합비 참조'!$B$1:$CE$1,0))/100,0),""))),"")</f>
        <v>0</v>
      </c>
      <c r="CI174" s="42" t="n">
        <f aca="false">IFERROR(IF($C174="","",IF($D174="","",IFERROR(ROUND($D174*INDEX('🔖 배합비 참조'!$B$2:$CE$83,MATCH("찰옥수수전분(미국산)",'🔖 배합비 참조'!$A$2:$A$83,0),MATCH($C174,'🔖 배합비 참조'!$B$1:$CE$1,0))/100,0),""))),"")</f>
        <v>0</v>
      </c>
      <c r="CJ174" s="40"/>
      <c r="CL174" s="1" t="s">
        <v>245</v>
      </c>
    </row>
    <row r="175" customFormat="false" ht="18" hidden="false" customHeight="true" outlineLevel="0" collapsed="false">
      <c r="A175" s="35" t="n">
        <v>171</v>
      </c>
      <c r="B175" s="36" t="n">
        <v>46041</v>
      </c>
      <c r="C175" s="37" t="s">
        <v>242</v>
      </c>
      <c r="D175" s="38" t="n">
        <v>220</v>
      </c>
      <c r="E175" s="13"/>
      <c r="F175" s="13"/>
      <c r="G175" s="39" t="n">
        <f aca="false">IFERROR(IF($C175="","",IF($D175="","",IFERROR(ROUND($D175*INDEX('🔖 배합비 참조'!$B$2:$CE$83,MATCH("간장",'🔖 배합비 참조'!$A$2:$A$83,0),MATCH($C175,'🔖 배합비 참조'!$B$1:$CE$1,0))/100,0),""))),"")</f>
        <v>0</v>
      </c>
      <c r="H175" s="39" t="n">
        <f aca="false">IFERROR(IF($C175="","",IF($D175="","",IFERROR(ROUND($D175*INDEX('🔖 배합비 참조'!$B$2:$CE$83,MATCH("강낭콩((울타리콩))",'🔖 배합비 참조'!$A$2:$A$83,0),MATCH($C175,'🔖 배합비 참조'!$B$1:$CE$1,0))/100,0),""))),"")</f>
        <v>0</v>
      </c>
      <c r="I175" s="39" t="n">
        <f aca="false">IFERROR(IF($C175="","",IF($D175="","",IFERROR(ROUND($D175*INDEX('🔖 배합비 참조'!$B$2:$CE$83,MATCH("건조딸기다이스(외국산)",'🔖 배합비 참조'!$A$2:$A$83,0),MATCH($C175,'🔖 배합비 참조'!$B$1:$CE$1,0))/100,0),""))),"")</f>
        <v>0</v>
      </c>
      <c r="J175" s="39" t="n">
        <f aca="false">IFERROR(IF($C175="","",IF($D175="","",IFERROR(ROUND($D175*INDEX('🔖 배합비 참조'!$B$2:$CE$83,MATCH("건포도",'🔖 배합비 참조'!$A$2:$A$83,0),MATCH($C175,'🔖 배합비 참조'!$B$1:$CE$1,0))/100,0),""))),"")</f>
        <v>0</v>
      </c>
      <c r="K175" s="39" t="n">
        <f aca="false">IFERROR(IF($C175="","",IF($D175="","",IFERROR(ROUND($D175*INDEX('🔖 배합비 참조'!$B$2:$CE$83,MATCH("건호박채(중국산)",'🔖 배합비 참조'!$A$2:$A$83,0),MATCH($C175,'🔖 배합비 참조'!$B$1:$CE$1,0))/100,0),""))),"")</f>
        <v>0</v>
      </c>
      <c r="L175" s="39" t="n">
        <f aca="false">IFERROR(IF($C175="","",IF($D175="","",IFERROR(ROUND($D175*INDEX('🔖 배합비 참조'!$B$2:$CE$83,MATCH("검정깨(흑임자)",'🔖 배합비 참조'!$A$2:$A$83,0),MATCH($C175,'🔖 배합비 참조'!$B$1:$CE$1,0))/100,0),""))),"")</f>
        <v>0</v>
      </c>
      <c r="M175" s="39" t="n">
        <f aca="false">IFERROR(IF($C175="","",IF($D175="","",IFERROR(ROUND($D175*INDEX('🔖 배합비 참조'!$B$2:$CE$83,MATCH("검정콩",'🔖 배합비 참조'!$A$2:$A$83,0),MATCH($C175,'🔖 배합비 참조'!$B$1:$CE$1,0))/100,0),""))),"")</f>
        <v>0</v>
      </c>
      <c r="N175" s="39" t="n">
        <f aca="false">IFERROR(IF($C175="","",IF($D175="","",IFERROR(ROUND($D175*INDEX('🔖 배합비 참조'!$B$2:$CE$83,MATCH("계피가루",'🔖 배합비 참조'!$A$2:$A$83,0),MATCH($C175,'🔖 배합비 참조'!$B$1:$CE$1,0))/100,0),""))),"")</f>
        <v>0</v>
      </c>
      <c r="O175" s="39" t="n">
        <f aca="false">IFERROR(IF($C175="","",IF($D175="","",IFERROR(ROUND($D175*INDEX('🔖 배합비 참조'!$B$2:$CE$83,MATCH("고구마가루",'🔖 배합비 참조'!$A$2:$A$83,0),MATCH($C175,'🔖 배합비 참조'!$B$1:$CE$1,0))/100,0),""))),"")</f>
        <v>6</v>
      </c>
      <c r="P175" s="39" t="n">
        <f aca="false">IFERROR(IF($C175="","",IF($D175="","",IFERROR(ROUND($D175*INDEX('🔖 배합비 참조'!$B$2:$CE$83,MATCH("고구마무스",'🔖 배합비 참조'!$A$2:$A$83,0),MATCH($C175,'🔖 배합비 참조'!$B$1:$CE$1,0))/100,0),""))),"")</f>
        <v>10</v>
      </c>
      <c r="Q175" s="39" t="n">
        <f aca="false">IFERROR(IF($C175="","",IF($D175="","",IFERROR(ROUND($D175*INDEX('🔖 배합비 참조'!$B$2:$CE$83,MATCH("고려엉겅퀴((곤드레)국내산)",'🔖 배합비 참조'!$A$2:$A$83,0),MATCH($C175,'🔖 배합비 참조'!$B$1:$CE$1,0))/100,0),""))),"")</f>
        <v>0</v>
      </c>
      <c r="R175" s="39" t="n">
        <f aca="false">IFERROR(IF($C175="","",IF($D175="","",IFERROR(ROUND($D175*INDEX('🔖 배합비 참조'!$B$2:$CE$83,MATCH("기타가공품(복분자가루)",'🔖 배합비 참조'!$A$2:$A$83,0),MATCH($C175,'🔖 배합비 참조'!$B$1:$CE$1,0))/100,0),""))),"")</f>
        <v>0</v>
      </c>
      <c r="S175" s="39" t="n">
        <f aca="false">IFERROR(IF($C175="","",IF($D175="","",IFERROR(ROUND($D175*INDEX('🔖 배합비 참조'!$B$2:$CE$83,MATCH("기타가공품(슈퍼소프트엠)",'🔖 배합비 참조'!$A$2:$A$83,0),MATCH($C175,'🔖 배합비 참조'!$B$1:$CE$1,0))/100,0),""))),"")</f>
        <v>0</v>
      </c>
      <c r="T175" s="39" t="n">
        <f aca="false">IFERROR(IF($C175="","",IF($D175="","",IFERROR(ROUND($D175*INDEX('🔖 배합비 참조'!$B$2:$CE$83,MATCH("기타가공품(파인소프트 E-티)",'🔖 배합비 참조'!$A$2:$A$83,0),MATCH($C175,'🔖 배합비 참조'!$B$1:$CE$1,0))/100,0),""))),"")</f>
        <v>0</v>
      </c>
      <c r="U175" s="39" t="n">
        <f aca="false">IFERROR(IF($C175="","",IF($D175="","",IFERROR(ROUND($D175*INDEX('🔖 배합비 참조'!$B$2:$CE$83,MATCH("기타가공품(프리미엄카스테라가루)",'🔖 배합비 참조'!$A$2:$A$83,0),MATCH($C175,'🔖 배합비 참조'!$B$1:$CE$1,0))/100,0),""))),"")</f>
        <v>7</v>
      </c>
      <c r="V175" s="39" t="n">
        <f aca="false">IFERROR(IF($C175="","",IF($D175="","",IFERROR(ROUND($D175*INDEX('🔖 배합비 참조'!$B$2:$CE$83,MATCH("기타가공품(흑임자가루)",'🔖 배합비 참조'!$A$2:$A$83,0),MATCH($C175,'🔖 배합비 참조'!$B$1:$CE$1,0))/100,0),""))),"")</f>
        <v>0</v>
      </c>
      <c r="W175" s="39" t="n">
        <f aca="false">IFERROR(IF($C175="","",IF($D175="","",IFERROR(ROUND($D175*INDEX('🔖 배합비 참조'!$B$2:$CE$83,MATCH("기타설탕(흑설탕)",'🔖 배합비 참조'!$A$2:$A$83,0),MATCH($C175,'🔖 배합비 참조'!$B$1:$CE$1,0))/100,0),""))),"")</f>
        <v>0</v>
      </c>
      <c r="X175" s="39" t="n">
        <f aca="false">IFERROR(IF($C175="","",IF($D175="","",IFERROR(ROUND($D175*INDEX('🔖 배합비 참조'!$B$2:$CE$83,MATCH("냉동쑥(국내산)",'🔖 배합비 참조'!$A$2:$A$83,0),MATCH($C175,'🔖 배합비 참조'!$B$1:$CE$1,0))/100,0),""))),"")</f>
        <v>0</v>
      </c>
      <c r="Y175" s="39" t="n">
        <f aca="false">IFERROR(IF($C175="","",IF($D175="","",IFERROR(ROUND($D175*INDEX('🔖 배합비 참조'!$B$2:$CE$83,MATCH("냉동증숙고구마(중국산)",'🔖 배합비 참조'!$A$2:$A$83,0),MATCH($C175,'🔖 배합비 참조'!$B$1:$CE$1,0))/100,0),""))),"")</f>
        <v>0</v>
      </c>
      <c r="Z175" s="39" t="n">
        <f aca="false">IFERROR(IF($C175="","",IF($D175="","",IFERROR(ROUND($D175*INDEX('🔖 배합비 참조'!$B$2:$CE$83,MATCH("녹차가루",'🔖 배합비 참조'!$A$2:$A$83,0),MATCH($C175,'🔖 배합비 참조'!$B$1:$CE$1,0))/100,0),""))),"")</f>
        <v>0</v>
      </c>
      <c r="AA175" s="39" t="n">
        <f aca="false">IFERROR(IF($C175="","",IF($D175="","",IFERROR(ROUND($D175*INDEX('🔖 배합비 참조'!$B$2:$CE$83,MATCH("다크초콜릿 컴파운드칩",'🔖 배합비 참조'!$A$2:$A$83,0),MATCH($C175,'🔖 배합비 참조'!$B$1:$CE$1,0))/100,0),""))),"")</f>
        <v>0</v>
      </c>
      <c r="AB175" s="39" t="n">
        <f aca="false">IFERROR(IF($C175="","",IF($D175="","",IFERROR(ROUND($D175*INDEX('🔖 배합비 참조'!$B$2:$CE$83,MATCH("단호박분말(중국산)",'🔖 배합비 참조'!$A$2:$A$83,0),MATCH($C175,'🔖 배합비 참조'!$B$1:$CE$1,0))/100,0),""))),"")</f>
        <v>0</v>
      </c>
      <c r="AC175" s="39" t="n">
        <f aca="false">IFERROR(IF($C175="","",IF($D175="","",IFERROR(ROUND($D175*INDEX('🔖 배합비 참조'!$B$2:$CE$83,MATCH("당류가공품(단호박농축액)",'🔖 배합비 참조'!$A$2:$A$83,0),MATCH($C175,'🔖 배합비 참조'!$B$1:$CE$1,0))/100,0),""))),"")</f>
        <v>0</v>
      </c>
      <c r="AD175" s="39" t="n">
        <f aca="false">IFERROR(IF($C175="","",IF($D175="","",IFERROR(ROUND($D175*INDEX('🔖 배합비 참조'!$B$2:$CE$83,MATCH("당류가공품(알룰로스,에리스리톨,스테비올배당체혼합)",'🔖 배합비 참조'!$A$2:$A$83,0),MATCH($C175,'🔖 배합비 참조'!$B$1:$CE$1,0))/100,0),""))),"")</f>
        <v>0</v>
      </c>
      <c r="AE175" s="39" t="n">
        <f aca="false">IFERROR(IF($C175="","",IF($D175="","",IFERROR(ROUND($D175*INDEX('🔖 배합비 참조'!$B$2:$CE$83,MATCH("당류가공품(알룰로스제로파우더)",'🔖 배합비 참조'!$A$2:$A$83,0),MATCH($C175,'🔖 배합비 참조'!$B$1:$CE$1,0))/100,0),""))),"")</f>
        <v>0</v>
      </c>
      <c r="AF175" s="39" t="n">
        <f aca="false">IFERROR(IF($C175="","",IF($D175="","",IFERROR(ROUND($D175*INDEX('🔖 배합비 참조'!$B$2:$CE$83,MATCH("당절임(완두배기)",'🔖 배합비 참조'!$A$2:$A$83,0),MATCH($C175,'🔖 배합비 참조'!$B$1:$CE$1,0))/100,0),""))),"")</f>
        <v>0</v>
      </c>
      <c r="AG175" s="39" t="n">
        <f aca="false">IFERROR(IF($C175="","",IF($D175="","",IFERROR(ROUND($D175*INDEX('🔖 배합비 참조'!$B$2:$CE$83,MATCH("대추농축액",'🔖 배합비 참조'!$A$2:$A$83,0),MATCH($C175,'🔖 배합비 참조'!$B$1:$CE$1,0))/100,0),""))),"")</f>
        <v>0</v>
      </c>
      <c r="AH175" s="39" t="n">
        <f aca="false">IFERROR(IF($C175="","",IF($D175="","",IFERROR(ROUND($D175*INDEX('🔖 배합비 참조'!$B$2:$CE$83,MATCH("대추채(국내산)",'🔖 배합비 참조'!$A$2:$A$83,0),MATCH($C175,'🔖 배합비 참조'!$B$1:$CE$1,0))/100,0),""))),"")</f>
        <v>0</v>
      </c>
      <c r="AI175" s="39" t="n">
        <f aca="false">IFERROR(IF($C175="","",IF($D175="","",IFERROR(ROUND($D175*INDEX('🔖 배합비 참조'!$B$2:$CE$83,MATCH("동부(미얀마산)",'🔖 배합비 참조'!$A$2:$A$83,0),MATCH($C175,'🔖 배합비 참조'!$B$1:$CE$1,0))/100,0),""))),"")</f>
        <v>0</v>
      </c>
      <c r="AJ175" s="39" t="n">
        <f aca="false">IFERROR(IF($C175="","",IF($D175="","",IFERROR(ROUND($D175*INDEX('🔖 배합비 참조'!$B$2:$CE$83,MATCH("두류가공품(백옥앙금)",'🔖 배합비 참조'!$A$2:$A$83,0),MATCH($C175,'🔖 배합비 참조'!$B$1:$CE$1,0))/100,0),""))),"")</f>
        <v>0</v>
      </c>
      <c r="AK175" s="39" t="n">
        <f aca="false">IFERROR(IF($C175="","",IF($D175="","",IFERROR(ROUND($D175*INDEX('🔖 배합비 참조'!$B$2:$CE$83,MATCH("두류가공품(콩고물)",'🔖 배합비 참조'!$A$2:$A$83,0),MATCH($C175,'🔖 배합비 참조'!$B$1:$CE$1,0))/100,0),""))),"")</f>
        <v>0</v>
      </c>
      <c r="AL175" s="39" t="n">
        <f aca="false">IFERROR(IF($C175="","",IF($D175="","",IFERROR(ROUND($D175*INDEX('🔖 배합비 참조'!$B$2:$CE$83,MATCH("두류가공품(통팥고물)",'🔖 배합비 참조'!$A$2:$A$83,0),MATCH($C175,'🔖 배합비 참조'!$B$1:$CE$1,0))/100,0),""))),"")</f>
        <v>0</v>
      </c>
      <c r="AM175" s="39" t="n">
        <f aca="false">IFERROR(IF($C175="","",IF($D175="","",IFERROR(ROUND($D175*INDEX('🔖 배합비 참조'!$B$2:$CE$83,MATCH("딸기레진",'🔖 배합비 참조'!$A$2:$A$83,0),MATCH($C175,'🔖 배합비 참조'!$B$1:$CE$1,0))/100,0),""))),"")</f>
        <v>0</v>
      </c>
      <c r="AN175" s="39" t="n">
        <f aca="false">IFERROR(IF($C175="","",IF($D175="","",IFERROR(ROUND($D175*INDEX('🔖 배합비 참조'!$B$2:$CE$83,MATCH("딸기분말(스트로우베리에이드(분말))",'🔖 배합비 참조'!$A$2:$A$83,0),MATCH($C175,'🔖 배합비 참조'!$B$1:$CE$1,0))/100,0),""))),"")</f>
        <v>0</v>
      </c>
      <c r="AO175" s="39" t="n">
        <f aca="false">IFERROR(IF($C175="","",IF($D175="","",IFERROR(ROUND($D175*INDEX('🔖 배합비 참조'!$B$2:$CE$83,MATCH("마스카포네치즈",'🔖 배합비 참조'!$A$2:$A$83,0),MATCH($C175,'🔖 배합비 참조'!$B$1:$CE$1,0))/100,0),""))),"")</f>
        <v>0</v>
      </c>
      <c r="AP175" s="39" t="n">
        <f aca="false">IFERROR(IF($C175="","",IF($D175="","",IFERROR(ROUND($D175*INDEX('🔖 배합비 참조'!$B$2:$CE$83,MATCH("마카다미아분태(호주산)",'🔖 배합비 참조'!$A$2:$A$83,0),MATCH($C175,'🔖 배합비 참조'!$B$1:$CE$1,0))/100,0),""))),"")</f>
        <v>0</v>
      </c>
      <c r="AQ175" s="39" t="n">
        <f aca="false">IFERROR(IF($C175="","",IF($D175="","",IFERROR(ROUND($D175*INDEX('🔖 배합비 참조'!$B$2:$CE$83,MATCH("멥쌀(국내산)",'🔖 배합비 참조'!$A$2:$A$83,0),MATCH($C175,'🔖 배합비 참조'!$B$1:$CE$1,0))/100,0),""))),"")</f>
        <v>0</v>
      </c>
      <c r="AR175" s="39" t="n">
        <f aca="false">IFERROR(IF($C175="","",IF($D175="","",IFERROR(ROUND($D175*INDEX('🔖 배합비 참조'!$B$2:$CE$83,MATCH("모시잎(국내산)",'🔖 배합비 참조'!$A$2:$A$83,0),MATCH($C175,'🔖 배합비 참조'!$B$1:$CE$1,0))/100,0),""))),"")</f>
        <v>0</v>
      </c>
      <c r="AS175" s="39" t="n">
        <f aca="false">IFERROR(IF($C175="","",IF($D175="","",IFERROR(ROUND($D175*INDEX('🔖 배합비 참조'!$B$2:$CE$83,MATCH("물엿(저당물엿)",'🔖 배합비 참조'!$A$2:$A$83,0),MATCH($C175,'🔖 배합비 참조'!$B$1:$CE$1,0))/100,0),""))),"")</f>
        <v>12</v>
      </c>
      <c r="AT175" s="39" t="n">
        <f aca="false">IFERROR(IF($C175="","",IF($D175="","",IFERROR(ROUND($D175*INDEX('🔖 배합비 참조'!$B$2:$CE$83,MATCH("밤다이스",'🔖 배합비 참조'!$A$2:$A$83,0),MATCH($C175,'🔖 배합비 참조'!$B$1:$CE$1,0))/100,0),""))),"")</f>
        <v>0</v>
      </c>
      <c r="AU175" s="39" t="n">
        <f aca="false">IFERROR(IF($C175="","",IF($D175="","",IFERROR(ROUND($D175*INDEX('🔖 배합비 참조'!$B$2:$CE$83,MATCH("변성전분(타피오카전분)",'🔖 배합비 참조'!$A$2:$A$83,0),MATCH($C175,'🔖 배합비 참조'!$B$1:$CE$1,0))/100,0),""))),"")</f>
        <v>0</v>
      </c>
      <c r="AV175" s="39" t="n">
        <f aca="false">IFERROR(IF($C175="","",IF($D175="","",IFERROR(ROUND($D175*INDEX('🔖 배합비 참조'!$B$2:$CE$83,MATCH("복음땅콩분태",'🔖 배합비 참조'!$A$2:$A$83,0),MATCH($C175,'🔖 배합비 참조'!$B$1:$CE$1,0))/100,0),""))),"")</f>
        <v>0</v>
      </c>
      <c r="AW175" s="39" t="n">
        <f aca="false">IFERROR(IF($C175="","",IF($D175="","",IFERROR(ROUND($D175*INDEX('🔖 배합비 참조'!$B$2:$CE$83,MATCH("사양벌꿀(국내산)",'🔖 배합비 참조'!$A$2:$A$83,0),MATCH($C175,'🔖 배합비 참조'!$B$1:$CE$1,0))/100,0),""))),"")</f>
        <v>0</v>
      </c>
      <c r="AX175" s="39" t="n">
        <f aca="false">IFERROR(IF($C175="","",IF($D175="","",IFERROR(ROUND($D175*INDEX('🔖 배합비 참조'!$B$2:$CE$83,MATCH("생크림",'🔖 배합비 참조'!$A$2:$A$83,0),MATCH($C175,'🔖 배합비 참조'!$B$1:$CE$1,0))/100,0),""))),"")</f>
        <v>15</v>
      </c>
      <c r="AY175" s="39" t="n">
        <f aca="false">IFERROR(IF($C175="","",IF($D175="","",IFERROR(ROUND($D175*INDEX('🔖 배합비 참조'!$B$2:$CE$83,MATCH("서양호박(국내산,뉴질랜드산)",'🔖 배합비 참조'!$A$2:$A$83,0),MATCH($C175,'🔖 배합비 참조'!$B$1:$CE$1,0))/100,0),""))),"")</f>
        <v>0</v>
      </c>
      <c r="AZ175" s="39" t="n">
        <f aca="false">IFERROR(IF($C175="","",IF($D175="","",IFERROR(ROUND($D175*INDEX('🔖 배합비 참조'!$B$2:$CE$83,MATCH("설탕",'🔖 배합비 참조'!$A$2:$A$83,0),MATCH($C175,'🔖 배합비 참조'!$B$1:$CE$1,0))/100,0),""))),"")</f>
        <v>3</v>
      </c>
      <c r="BA175" s="39" t="n">
        <f aca="false">IFERROR(IF($C175="","",IF($D175="","",IFERROR(ROUND($D175*INDEX('🔖 배합비 참조'!$B$2:$CE$83,MATCH("스트로우베리 에이드 후레쉬",'🔖 배합비 참조'!$A$2:$A$83,0),MATCH($C175,'🔖 배합비 참조'!$B$1:$CE$1,0))/100,0),""))),"")</f>
        <v>0</v>
      </c>
      <c r="BB175" s="39" t="n">
        <f aca="false">IFERROR(IF($C175="","",IF($D175="","",IFERROR(ROUND($D175*INDEX('🔖 배합비 참조'!$B$2:$CE$83,MATCH("식물성기름혼합제제(분홍)",'🔖 배합비 참조'!$A$2:$A$83,0),MATCH($C175,'🔖 배합비 참조'!$B$1:$CE$1,0))/100,0),""))),"")</f>
        <v>0</v>
      </c>
      <c r="BC175" s="39" t="n">
        <f aca="false">IFERROR(IF($C175="","",IF($D175="","",IFERROR(ROUND($D175*INDEX('🔖 배합비 참조'!$B$2:$CE$83,MATCH("식물성기름혼합제제(초록)",'🔖 배합비 참조'!$A$2:$A$83,0),MATCH($C175,'🔖 배합비 참조'!$B$1:$CE$1,0))/100,0),""))),"")</f>
        <v>0</v>
      </c>
      <c r="BD175" s="39" t="n">
        <f aca="false">IFERROR(IF($C175="","",IF($D175="","",IFERROR(ROUND($D175*INDEX('🔖 배합비 참조'!$B$2:$CE$83,MATCH("식물성기름혼합제제(황색)",'🔖 배합비 참조'!$A$2:$A$83,0),MATCH($C175,'🔖 배합비 참조'!$B$1:$CE$1,0))/100,0),""))),"")</f>
        <v>0</v>
      </c>
      <c r="BE175" s="39" t="n">
        <f aca="false">IFERROR(IF($C175="","",IF($D175="","",IFERROR(ROUND($D175*INDEX('🔖 배합비 참조'!$B$2:$CE$83,MATCH("쑥가루(국내산)",'🔖 배합비 참조'!$A$2:$A$83,0),MATCH($C175,'🔖 배합비 참조'!$B$1:$CE$1,0))/100,0),""))),"")</f>
        <v>0</v>
      </c>
      <c r="BF175" s="39" t="n">
        <f aca="false">IFERROR(IF($C175="","",IF($D175="","",IFERROR(ROUND($D175*INDEX('🔖 배합비 참조'!$B$2:$CE$83,MATCH("아몬드슬라이스",'🔖 배합비 참조'!$A$2:$A$83,0),MATCH($C175,'🔖 배합비 참조'!$B$1:$CE$1,0))/100,0),""))),"")</f>
        <v>0</v>
      </c>
      <c r="BG175" s="39" t="n">
        <f aca="false">IFERROR(IF($C175="","",IF($D175="","",IFERROR(ROUND($D175*INDEX('🔖 배합비 참조'!$B$2:$CE$83,MATCH("알룰로오스(국내산)",'🔖 배합비 참조'!$A$2:$A$83,0),MATCH($C175,'🔖 배합비 참조'!$B$1:$CE$1,0))/100,0),""))),"")</f>
        <v>0</v>
      </c>
      <c r="BH175" s="39" t="n">
        <f aca="false">IFERROR(IF($C175="","",IF($D175="","",IFERROR(ROUND($D175*INDEX('🔖 배합비 참조'!$B$2:$CE$83,MATCH("연유",'🔖 배합비 참조'!$A$2:$A$83,0),MATCH($C175,'🔖 배합비 참조'!$B$1:$CE$1,0))/100,0),""))),"")</f>
        <v>1</v>
      </c>
      <c r="BI175" s="39" t="n">
        <f aca="false">IFERROR(IF($C175="","",IF($D175="","",IFERROR(ROUND($D175*INDEX('🔖 배합비 참조'!$B$2:$CE$83,MATCH("옥수수전분",'🔖 배합비 참조'!$A$2:$A$83,0),MATCH($C175,'🔖 배합비 참조'!$B$1:$CE$1,0))/100,0),""))),"")</f>
        <v>0</v>
      </c>
      <c r="BJ175" s="39" t="n">
        <f aca="false">IFERROR(IF($C175="","",IF($D175="","",IFERROR(ROUND($D175*INDEX('🔖 배합비 참조'!$B$2:$CE$83,MATCH("완두배기",'🔖 배합비 참조'!$A$2:$A$83,0),MATCH($C175,'🔖 배합비 참조'!$B$1:$CE$1,0))/100,0),""))),"")</f>
        <v>0</v>
      </c>
      <c r="BK175" s="39" t="n">
        <f aca="false">IFERROR(IF($C175="","",IF($D175="","",IFERROR(ROUND($D175*INDEX('🔖 배합비 참조'!$B$2:$CE$83,MATCH("우유(국내산)",'🔖 배합비 참조'!$A$2:$A$83,0),MATCH($C175,'🔖 배합비 참조'!$B$1:$CE$1,0))/100,0),""))),"")</f>
        <v>0</v>
      </c>
      <c r="BL175" s="39" t="n">
        <f aca="false">IFERROR(IF($C175="","",IF($D175="","",IFERROR(ROUND($D175*INDEX('🔖 배합비 참조'!$B$2:$CE$83,MATCH("자색고구마가루(중국산)",'🔖 배합비 참조'!$A$2:$A$83,0),MATCH($C175,'🔖 배합비 참조'!$B$1:$CE$1,0))/100,0),""))),"")</f>
        <v>0</v>
      </c>
      <c r="BM175" s="39" t="n">
        <f aca="false">IFERROR(IF($C175="","",IF($D175="","",IFERROR(ROUND($D175*INDEX('🔖 배합비 참조'!$B$2:$CE$83,MATCH("자연치즈(체다치즈)",'🔖 배합비 참조'!$A$2:$A$83,0),MATCH($C175,'🔖 배합비 참조'!$B$1:$CE$1,0))/100,0),""))),"")</f>
        <v>0</v>
      </c>
      <c r="BN175" s="39" t="n">
        <f aca="false">IFERROR(IF($C175="","",IF($D175="","",IFERROR(ROUND($D175*INDEX('🔖 배합비 참조'!$B$2:$CE$83,MATCH("정제수",'🔖 배합비 참조'!$A$2:$A$83,0),MATCH($C175,'🔖 배합비 참조'!$B$1:$CE$1,0))/100,0),""))),"")</f>
        <v>7</v>
      </c>
      <c r="BO175" s="39" t="n">
        <f aca="false">IFERROR(IF($C175="","",IF($D175="","",IFERROR(ROUND($D175*INDEX('🔖 배합비 참조'!$B$2:$CE$83,MATCH("젤라틴",'🔖 배합비 참조'!$A$2:$A$83,0),MATCH($C175,'🔖 배합비 참조'!$B$1:$CE$1,0))/100,0),""))),"")</f>
        <v>1</v>
      </c>
      <c r="BP175" s="39" t="n">
        <f aca="false">IFERROR(IF($C175="","",IF($D175="","",IFERROR(ROUND($D175*INDEX('🔖 배합비 참조'!$B$2:$CE$83,MATCH("조림류(백옥앙금)",'🔖 배합비 참조'!$A$2:$A$83,0),MATCH($C175,'🔖 배합비 참조'!$B$1:$CE$1,0))/100,0),""))),"")</f>
        <v>22</v>
      </c>
      <c r="BQ175" s="39" t="n">
        <f aca="false">IFERROR(IF($C175="","",IF($D175="","",IFERROR(ROUND($D175*INDEX('🔖 배합비 참조'!$B$2:$CE$83,MATCH("조림류(통팥앙금)",'🔖 배합비 참조'!$A$2:$A$83,0),MATCH($C175,'🔖 배합비 참조'!$B$1:$CE$1,0))/100,0),""))),"")</f>
        <v>0</v>
      </c>
      <c r="BR175" s="39" t="n">
        <f aca="false">IFERROR(IF($C175="","",IF($D175="","",IFERROR(ROUND($D175*INDEX('🔖 배합비 참조'!$B$2:$CE$83,MATCH("준초콜릿(외국산)",'🔖 배합비 참조'!$A$2:$A$83,0),MATCH($C175,'🔖 배합비 참조'!$B$1:$CE$1,0))/100,0),""))),"")</f>
        <v>0</v>
      </c>
      <c r="BS175" s="39" t="n">
        <f aca="false">IFERROR(IF($C175="","",IF($D175="","",IFERROR(ROUND($D175*INDEX('🔖 배합비 참조'!$B$2:$CE$83,MATCH("중력분",'🔖 배합비 참조'!$A$2:$A$83,0),MATCH($C175,'🔖 배합비 참조'!$B$1:$CE$1,0))/100,0),""))),"")</f>
        <v>1</v>
      </c>
      <c r="BT175" s="39" t="n">
        <f aca="false">IFERROR(IF($C175="","",IF($D175="","",IFERROR(ROUND($D175*INDEX('🔖 배합비 참조'!$B$2:$CE$83,MATCH("참깨(인도산,나이지리아산,탄자니아산,미얀마산)",'🔖 배합비 참조'!$A$2:$A$83,0),MATCH($C175,'🔖 배합비 참조'!$B$1:$CE$1,0))/100,0),""))),"")</f>
        <v>0</v>
      </c>
      <c r="BU175" s="39" t="n">
        <f aca="false">IFERROR(IF($C175="","",IF($D175="","",IFERROR(ROUND($D175*INDEX('🔖 배합비 참조'!$B$2:$CE$83,MATCH("찹쌀(국내산)",'🔖 배합비 참조'!$A$2:$A$83,0),MATCH($C175,'🔖 배합비 참조'!$B$1:$CE$1,0))/100,0),""))),"")</f>
        <v>117</v>
      </c>
      <c r="BV175" s="39" t="n">
        <f aca="false">IFERROR(IF($C175="","",IF($D175="","",IFERROR(ROUND($D175*INDEX('🔖 배합비 참조'!$B$2:$CE$83,MATCH("천일염",'🔖 배합비 참조'!$A$2:$A$83,0),MATCH($C175,'🔖 배합비 참조'!$B$1:$CE$1,0))/100,0),""))),"")</f>
        <v>0</v>
      </c>
      <c r="BW175" s="39" t="n">
        <f aca="false">IFERROR(IF($C175="","",IF($D175="","",IFERROR(ROUND($D175*INDEX('🔖 배합비 참조'!$B$2:$CE$83,MATCH("치즈 [크림치즈]",'🔖 배합비 참조'!$A$2:$A$83,0),MATCH($C175,'🔖 배합비 참조'!$B$1:$CE$1,0))/100,0),""))),"")</f>
        <v>15</v>
      </c>
      <c r="BX175" s="39" t="n">
        <f aca="false">IFERROR(IF($C175="","",IF($D175="","",IFERROR(ROUND($D175*INDEX('🔖 배합비 참조'!$B$2:$CE$83,MATCH("코코아가공품류(코코아분말)",'🔖 배합비 참조'!$A$2:$A$83,0),MATCH($C175,'🔖 배합비 참조'!$B$1:$CE$1,0))/100,0),""))),"")</f>
        <v>0</v>
      </c>
      <c r="BY175" s="39" t="n">
        <f aca="false">IFERROR(IF($C175="","",IF($D175="","",IFERROR(ROUND($D175*INDEX('🔖 배합비 참조'!$B$2:$CE$83,MATCH("콩기름(대두유)",'🔖 배합비 참조'!$A$2:$A$83,0),MATCH($C175,'🔖 배합비 참조'!$B$1:$CE$1,0))/100,0),""))),"")</f>
        <v>0</v>
      </c>
      <c r="BZ175" s="39" t="n">
        <f aca="false">IFERROR(IF($C175="","",IF($D175="","",IFERROR(ROUND($D175*INDEX('🔖 배합비 참조'!$B$2:$CE$83,MATCH("해바라기씨앗",'🔖 배합비 참조'!$A$2:$A$83,0),MATCH($C175,'🔖 배합비 참조'!$B$1:$CE$1,0))/100,0),""))),"")</f>
        <v>0</v>
      </c>
      <c r="CA175" s="39" t="n">
        <f aca="false">IFERROR(IF($C175="","",IF($D175="","",IFERROR(ROUND($D175*INDEX('🔖 배합비 참조'!$B$2:$CE$83,MATCH("현미(국내산)",'🔖 배합비 참조'!$A$2:$A$83,0),MATCH($C175,'🔖 배합비 참조'!$B$1:$CE$1,0))/100,0),""))),"")</f>
        <v>0</v>
      </c>
      <c r="CB175" s="39" t="n">
        <f aca="false">IFERROR(IF($C175="","",IF($D175="","",IFERROR(ROUND($D175*INDEX('🔖 배합비 참조'!$B$2:$CE$83,MATCH("현미멥쌀(국내산)",'🔖 배합비 참조'!$A$2:$A$83,0),MATCH($C175,'🔖 배합비 참조'!$B$1:$CE$1,0))/100,0),""))),"")</f>
        <v>0</v>
      </c>
      <c r="CC175" s="39" t="n">
        <f aca="false">IFERROR(IF($C175="","",IF($D175="","",IFERROR(ROUND($D175*INDEX('🔖 배합비 참조'!$B$2:$CE$83,MATCH("호두분태(미국산)",'🔖 배합비 참조'!$A$2:$A$83,0),MATCH($C175,'🔖 배합비 참조'!$B$1:$CE$1,0))/100,0),""))),"")</f>
        <v>0</v>
      </c>
      <c r="CD175" s="39" t="n">
        <f aca="false">IFERROR(IF($C175="","",IF($D175="","",IFERROR(ROUND($D175*INDEX('🔖 배합비 참조'!$B$2:$CE$83,MATCH("호박씨앗(외국산)",'🔖 배합비 참조'!$A$2:$A$83,0),MATCH($C175,'🔖 배합비 참조'!$B$1:$CE$1,0))/100,0),""))),"")</f>
        <v>0</v>
      </c>
      <c r="CE175" s="39" t="n">
        <f aca="false">IFERROR(IF($C175="","",IF($D175="","",IFERROR(ROUND($D175*INDEX('🔖 배합비 참조'!$B$2:$CE$83,MATCH("혼합제제(떡용에스텔)",'🔖 배합비 참조'!$A$2:$A$83,0),MATCH($C175,'🔖 배합비 참조'!$B$1:$CE$1,0))/100,0),""))),"")</f>
        <v>0</v>
      </c>
      <c r="CF175" s="39" t="n">
        <f aca="false">IFERROR(IF($C175="","",IF($D175="","",IFERROR(ROUND($D175*INDEX('🔖 배합비 참조'!$B$2:$CE$83,MATCH("혼합제제(스테비아)",'🔖 배합비 참조'!$A$2:$A$83,0),MATCH($C175,'🔖 배합비 참조'!$B$1:$CE$1,0))/100,0),""))),"")</f>
        <v>0</v>
      </c>
      <c r="CG175" s="39" t="n">
        <f aca="false">IFERROR(IF($C175="","",IF($D175="","",IFERROR(ROUND($D175*INDEX('🔖 배합비 참조'!$B$2:$CE$83,MATCH("화이트초콜릿",'🔖 배합비 참조'!$A$2:$A$83,0),MATCH($C175,'🔖 배합비 참조'!$B$1:$CE$1,0))/100,0),""))),"")</f>
        <v>5</v>
      </c>
      <c r="CH175" s="39" t="n">
        <f aca="false">IFERROR(IF($C175="","",IF($D175="","",IFERROR(ROUND($D175*INDEX('🔖 배합비 참조'!$B$2:$CE$83,MATCH("흑미찹쌀(국내산)",'🔖 배합비 참조'!$A$2:$A$83,0),MATCH($C175,'🔖 배합비 참조'!$B$1:$CE$1,0))/100,0),""))),"")</f>
        <v>0</v>
      </c>
      <c r="CI175" s="39" t="n">
        <f aca="false">IFERROR(IF($C175="","",IF($D175="","",IFERROR(ROUND($D175*INDEX('🔖 배합비 참조'!$B$2:$CE$83,MATCH("찰옥수수전분(미국산)",'🔖 배합비 참조'!$A$2:$A$83,0),MATCH($C175,'🔖 배합비 참조'!$B$1:$CE$1,0))/100,0),""))),"")</f>
        <v>0</v>
      </c>
      <c r="CJ175" s="40"/>
      <c r="CL175" s="1" t="s">
        <v>245</v>
      </c>
    </row>
    <row r="176" customFormat="false" ht="18" hidden="false" customHeight="true" outlineLevel="0" collapsed="false">
      <c r="A176" s="41" t="n">
        <v>172</v>
      </c>
      <c r="B176" s="36" t="n">
        <v>46041</v>
      </c>
      <c r="C176" s="37" t="s">
        <v>246</v>
      </c>
      <c r="D176" s="38" t="n">
        <v>220</v>
      </c>
      <c r="E176" s="17"/>
      <c r="F176" s="17"/>
      <c r="G176" s="42" t="n">
        <f aca="false">IFERROR(IF($C176="","",IF($D176="","",IFERROR(ROUND($D176*INDEX('🔖 배합비 참조'!$B$2:$CE$83,MATCH("간장",'🔖 배합비 참조'!$A$2:$A$83,0),MATCH($C176,'🔖 배합비 참조'!$B$1:$CE$1,0))/100,0),""))),"")</f>
        <v>0</v>
      </c>
      <c r="H176" s="42" t="n">
        <f aca="false">IFERROR(IF($C176="","",IF($D176="","",IFERROR(ROUND($D176*INDEX('🔖 배합비 참조'!$B$2:$CE$83,MATCH("강낭콩((울타리콩))",'🔖 배합비 참조'!$A$2:$A$83,0),MATCH($C176,'🔖 배합비 참조'!$B$1:$CE$1,0))/100,0),""))),"")</f>
        <v>0</v>
      </c>
      <c r="I176" s="42" t="n">
        <f aca="false">IFERROR(IF($C176="","",IF($D176="","",IFERROR(ROUND($D176*INDEX('🔖 배합비 참조'!$B$2:$CE$83,MATCH("건조딸기다이스(외국산)",'🔖 배합비 참조'!$A$2:$A$83,0),MATCH($C176,'🔖 배합비 참조'!$B$1:$CE$1,0))/100,0),""))),"")</f>
        <v>0</v>
      </c>
      <c r="J176" s="42" t="n">
        <f aca="false">IFERROR(IF($C176="","",IF($D176="","",IFERROR(ROUND($D176*INDEX('🔖 배합비 참조'!$B$2:$CE$83,MATCH("건포도",'🔖 배합비 참조'!$A$2:$A$83,0),MATCH($C176,'🔖 배합비 참조'!$B$1:$CE$1,0))/100,0),""))),"")</f>
        <v>0</v>
      </c>
      <c r="K176" s="42" t="n">
        <f aca="false">IFERROR(IF($C176="","",IF($D176="","",IFERROR(ROUND($D176*INDEX('🔖 배합비 참조'!$B$2:$CE$83,MATCH("건호박채(중국산)",'🔖 배합비 참조'!$A$2:$A$83,0),MATCH($C176,'🔖 배합비 참조'!$B$1:$CE$1,0))/100,0),""))),"")</f>
        <v>0</v>
      </c>
      <c r="L176" s="42" t="n">
        <f aca="false">IFERROR(IF($C176="","",IF($D176="","",IFERROR(ROUND($D176*INDEX('🔖 배합비 참조'!$B$2:$CE$83,MATCH("검정깨(흑임자)",'🔖 배합비 참조'!$A$2:$A$83,0),MATCH($C176,'🔖 배합비 참조'!$B$1:$CE$1,0))/100,0),""))),"")</f>
        <v>0</v>
      </c>
      <c r="M176" s="42" t="n">
        <f aca="false">IFERROR(IF($C176="","",IF($D176="","",IFERROR(ROUND($D176*INDEX('🔖 배합비 참조'!$B$2:$CE$83,MATCH("검정콩",'🔖 배합비 참조'!$A$2:$A$83,0),MATCH($C176,'🔖 배합비 참조'!$B$1:$CE$1,0))/100,0),""))),"")</f>
        <v>0</v>
      </c>
      <c r="N176" s="42" t="n">
        <f aca="false">IFERROR(IF($C176="","",IF($D176="","",IFERROR(ROUND($D176*INDEX('🔖 배합비 참조'!$B$2:$CE$83,MATCH("계피가루",'🔖 배합비 참조'!$A$2:$A$83,0),MATCH($C176,'🔖 배합비 참조'!$B$1:$CE$1,0))/100,0),""))),"")</f>
        <v>0</v>
      </c>
      <c r="O176" s="42" t="n">
        <f aca="false">IFERROR(IF($C176="","",IF($D176="","",IFERROR(ROUND($D176*INDEX('🔖 배합비 참조'!$B$2:$CE$83,MATCH("고구마가루",'🔖 배합비 참조'!$A$2:$A$83,0),MATCH($C176,'🔖 배합비 참조'!$B$1:$CE$1,0))/100,0),""))),"")</f>
        <v>0</v>
      </c>
      <c r="P176" s="42" t="n">
        <f aca="false">IFERROR(IF($C176="","",IF($D176="","",IFERROR(ROUND($D176*INDEX('🔖 배합비 참조'!$B$2:$CE$83,MATCH("고구마무스",'🔖 배합비 참조'!$A$2:$A$83,0),MATCH($C176,'🔖 배합비 참조'!$B$1:$CE$1,0))/100,0),""))),"")</f>
        <v>0</v>
      </c>
      <c r="Q176" s="42" t="n">
        <f aca="false">IFERROR(IF($C176="","",IF($D176="","",IFERROR(ROUND($D176*INDEX('🔖 배합비 참조'!$B$2:$CE$83,MATCH("고려엉겅퀴((곤드레)국내산)",'🔖 배합비 참조'!$A$2:$A$83,0),MATCH($C176,'🔖 배합비 참조'!$B$1:$CE$1,0))/100,0),""))),"")</f>
        <v>0</v>
      </c>
      <c r="R176" s="42" t="n">
        <f aca="false">IFERROR(IF($C176="","",IF($D176="","",IFERROR(ROUND($D176*INDEX('🔖 배합비 참조'!$B$2:$CE$83,MATCH("기타가공품(복분자가루)",'🔖 배합비 참조'!$A$2:$A$83,0),MATCH($C176,'🔖 배합비 참조'!$B$1:$CE$1,0))/100,0),""))),"")</f>
        <v>0</v>
      </c>
      <c r="S176" s="42" t="n">
        <f aca="false">IFERROR(IF($C176="","",IF($D176="","",IFERROR(ROUND($D176*INDEX('🔖 배합비 참조'!$B$2:$CE$83,MATCH("기타가공품(슈퍼소프트엠)",'🔖 배합비 참조'!$A$2:$A$83,0),MATCH($C176,'🔖 배합비 참조'!$B$1:$CE$1,0))/100,0),""))),"")</f>
        <v>0</v>
      </c>
      <c r="T176" s="42" t="n">
        <f aca="false">IFERROR(IF($C176="","",IF($D176="","",IFERROR(ROUND($D176*INDEX('🔖 배합비 참조'!$B$2:$CE$83,MATCH("기타가공품(파인소프트 E-티)",'🔖 배합비 참조'!$A$2:$A$83,0),MATCH($C176,'🔖 배합비 참조'!$B$1:$CE$1,0))/100,0),""))),"")</f>
        <v>0</v>
      </c>
      <c r="U176" s="42" t="n">
        <f aca="false">IFERROR(IF($C176="","",IF($D176="","",IFERROR(ROUND($D176*INDEX('🔖 배합비 참조'!$B$2:$CE$83,MATCH("기타가공품(프리미엄카스테라가루)",'🔖 배합비 참조'!$A$2:$A$83,0),MATCH($C176,'🔖 배합비 참조'!$B$1:$CE$1,0))/100,0),""))),"")</f>
        <v>7</v>
      </c>
      <c r="V176" s="42" t="n">
        <f aca="false">IFERROR(IF($C176="","",IF($D176="","",IFERROR(ROUND($D176*INDEX('🔖 배합비 참조'!$B$2:$CE$83,MATCH("기타가공품(흑임자가루)",'🔖 배합비 참조'!$A$2:$A$83,0),MATCH($C176,'🔖 배합비 참조'!$B$1:$CE$1,0))/100,0),""))),"")</f>
        <v>0</v>
      </c>
      <c r="W176" s="42" t="n">
        <f aca="false">IFERROR(IF($C176="","",IF($D176="","",IFERROR(ROUND($D176*INDEX('🔖 배합비 참조'!$B$2:$CE$83,MATCH("기타설탕(흑설탕)",'🔖 배합비 참조'!$A$2:$A$83,0),MATCH($C176,'🔖 배합비 참조'!$B$1:$CE$1,0))/100,0),""))),"")</f>
        <v>0</v>
      </c>
      <c r="X176" s="42" t="n">
        <f aca="false">IFERROR(IF($C176="","",IF($D176="","",IFERROR(ROUND($D176*INDEX('🔖 배합비 참조'!$B$2:$CE$83,MATCH("냉동쑥(국내산)",'🔖 배합비 참조'!$A$2:$A$83,0),MATCH($C176,'🔖 배합비 참조'!$B$1:$CE$1,0))/100,0),""))),"")</f>
        <v>0</v>
      </c>
      <c r="Y176" s="42" t="n">
        <f aca="false">IFERROR(IF($C176="","",IF($D176="","",IFERROR(ROUND($D176*INDEX('🔖 배합비 참조'!$B$2:$CE$83,MATCH("냉동증숙고구마(중국산)",'🔖 배합비 참조'!$A$2:$A$83,0),MATCH($C176,'🔖 배합비 참조'!$B$1:$CE$1,0))/100,0),""))),"")</f>
        <v>0</v>
      </c>
      <c r="Z176" s="42" t="n">
        <f aca="false">IFERROR(IF($C176="","",IF($D176="","",IFERROR(ROUND($D176*INDEX('🔖 배합비 참조'!$B$2:$CE$83,MATCH("녹차가루",'🔖 배합비 참조'!$A$2:$A$83,0),MATCH($C176,'🔖 배합비 참조'!$B$1:$CE$1,0))/100,0),""))),"")</f>
        <v>0</v>
      </c>
      <c r="AA176" s="42" t="n">
        <f aca="false">IFERROR(IF($C176="","",IF($D176="","",IFERROR(ROUND($D176*INDEX('🔖 배합비 참조'!$B$2:$CE$83,MATCH("다크초콜릿 컴파운드칩",'🔖 배합비 참조'!$A$2:$A$83,0),MATCH($C176,'🔖 배합비 참조'!$B$1:$CE$1,0))/100,0),""))),"")</f>
        <v>8</v>
      </c>
      <c r="AB176" s="42" t="n">
        <f aca="false">IFERROR(IF($C176="","",IF($D176="","",IFERROR(ROUND($D176*INDEX('🔖 배합비 참조'!$B$2:$CE$83,MATCH("단호박분말(중국산)",'🔖 배합비 참조'!$A$2:$A$83,0),MATCH($C176,'🔖 배합비 참조'!$B$1:$CE$1,0))/100,0),""))),"")</f>
        <v>0</v>
      </c>
      <c r="AC176" s="42" t="n">
        <f aca="false">IFERROR(IF($C176="","",IF($D176="","",IFERROR(ROUND($D176*INDEX('🔖 배합비 참조'!$B$2:$CE$83,MATCH("당류가공품(단호박농축액)",'🔖 배합비 참조'!$A$2:$A$83,0),MATCH($C176,'🔖 배합비 참조'!$B$1:$CE$1,0))/100,0),""))),"")</f>
        <v>0</v>
      </c>
      <c r="AD176" s="42" t="n">
        <f aca="false">IFERROR(IF($C176="","",IF($D176="","",IFERROR(ROUND($D176*INDEX('🔖 배합비 참조'!$B$2:$CE$83,MATCH("당류가공품(알룰로스,에리스리톨,스테비올배당체혼합)",'🔖 배합비 참조'!$A$2:$A$83,0),MATCH($C176,'🔖 배합비 참조'!$B$1:$CE$1,0))/100,0),""))),"")</f>
        <v>0</v>
      </c>
      <c r="AE176" s="42" t="n">
        <f aca="false">IFERROR(IF($C176="","",IF($D176="","",IFERROR(ROUND($D176*INDEX('🔖 배합비 참조'!$B$2:$CE$83,MATCH("당류가공품(알룰로스제로파우더)",'🔖 배합비 참조'!$A$2:$A$83,0),MATCH($C176,'🔖 배합비 참조'!$B$1:$CE$1,0))/100,0),""))),"")</f>
        <v>0</v>
      </c>
      <c r="AF176" s="42" t="n">
        <f aca="false">IFERROR(IF($C176="","",IF($D176="","",IFERROR(ROUND($D176*INDEX('🔖 배합비 참조'!$B$2:$CE$83,MATCH("당절임(완두배기)",'🔖 배합비 참조'!$A$2:$A$83,0),MATCH($C176,'🔖 배합비 참조'!$B$1:$CE$1,0))/100,0),""))),"")</f>
        <v>0</v>
      </c>
      <c r="AG176" s="42" t="n">
        <f aca="false">IFERROR(IF($C176="","",IF($D176="","",IFERROR(ROUND($D176*INDEX('🔖 배합비 참조'!$B$2:$CE$83,MATCH("대추농축액",'🔖 배합비 참조'!$A$2:$A$83,0),MATCH($C176,'🔖 배합비 참조'!$B$1:$CE$1,0))/100,0),""))),"")</f>
        <v>0</v>
      </c>
      <c r="AH176" s="42" t="n">
        <f aca="false">IFERROR(IF($C176="","",IF($D176="","",IFERROR(ROUND($D176*INDEX('🔖 배합비 참조'!$B$2:$CE$83,MATCH("대추채(국내산)",'🔖 배합비 참조'!$A$2:$A$83,0),MATCH($C176,'🔖 배합비 참조'!$B$1:$CE$1,0))/100,0),""))),"")</f>
        <v>0</v>
      </c>
      <c r="AI176" s="42" t="n">
        <f aca="false">IFERROR(IF($C176="","",IF($D176="","",IFERROR(ROUND($D176*INDEX('🔖 배합비 참조'!$B$2:$CE$83,MATCH("동부(미얀마산)",'🔖 배합비 참조'!$A$2:$A$83,0),MATCH($C176,'🔖 배합비 참조'!$B$1:$CE$1,0))/100,0),""))),"")</f>
        <v>0</v>
      </c>
      <c r="AJ176" s="42" t="n">
        <f aca="false">IFERROR(IF($C176="","",IF($D176="","",IFERROR(ROUND($D176*INDEX('🔖 배합비 참조'!$B$2:$CE$83,MATCH("두류가공품(백옥앙금)",'🔖 배합비 참조'!$A$2:$A$83,0),MATCH($C176,'🔖 배합비 참조'!$B$1:$CE$1,0))/100,0),""))),"")</f>
        <v>0</v>
      </c>
      <c r="AK176" s="42" t="n">
        <f aca="false">IFERROR(IF($C176="","",IF($D176="","",IFERROR(ROUND($D176*INDEX('🔖 배합비 참조'!$B$2:$CE$83,MATCH("두류가공품(콩고물)",'🔖 배합비 참조'!$A$2:$A$83,0),MATCH($C176,'🔖 배합비 참조'!$B$1:$CE$1,0))/100,0),""))),"")</f>
        <v>0</v>
      </c>
      <c r="AL176" s="42" t="n">
        <f aca="false">IFERROR(IF($C176="","",IF($D176="","",IFERROR(ROUND($D176*INDEX('🔖 배합비 참조'!$B$2:$CE$83,MATCH("두류가공품(통팥고물)",'🔖 배합비 참조'!$A$2:$A$83,0),MATCH($C176,'🔖 배합비 참조'!$B$1:$CE$1,0))/100,0),""))),"")</f>
        <v>0</v>
      </c>
      <c r="AM176" s="42" t="n">
        <f aca="false">IFERROR(IF($C176="","",IF($D176="","",IFERROR(ROUND($D176*INDEX('🔖 배합비 참조'!$B$2:$CE$83,MATCH("딸기레진",'🔖 배합비 참조'!$A$2:$A$83,0),MATCH($C176,'🔖 배합비 참조'!$B$1:$CE$1,0))/100,0),""))),"")</f>
        <v>0</v>
      </c>
      <c r="AN176" s="42" t="n">
        <f aca="false">IFERROR(IF($C176="","",IF($D176="","",IFERROR(ROUND($D176*INDEX('🔖 배합비 참조'!$B$2:$CE$83,MATCH("딸기분말(스트로우베리에이드(분말))",'🔖 배합비 참조'!$A$2:$A$83,0),MATCH($C176,'🔖 배합비 참조'!$B$1:$CE$1,0))/100,0),""))),"")</f>
        <v>0</v>
      </c>
      <c r="AO176" s="42" t="n">
        <f aca="false">IFERROR(IF($C176="","",IF($D176="","",IFERROR(ROUND($D176*INDEX('🔖 배합비 참조'!$B$2:$CE$83,MATCH("마스카포네치즈",'🔖 배합비 참조'!$A$2:$A$83,0),MATCH($C176,'🔖 배합비 참조'!$B$1:$CE$1,0))/100,0),""))),"")</f>
        <v>0</v>
      </c>
      <c r="AP176" s="42" t="n">
        <f aca="false">IFERROR(IF($C176="","",IF($D176="","",IFERROR(ROUND($D176*INDEX('🔖 배합비 참조'!$B$2:$CE$83,MATCH("마카다미아분태(호주산)",'🔖 배합비 참조'!$A$2:$A$83,0),MATCH($C176,'🔖 배합비 참조'!$B$1:$CE$1,0))/100,0),""))),"")</f>
        <v>0</v>
      </c>
      <c r="AQ176" s="42" t="n">
        <f aca="false">IFERROR(IF($C176="","",IF($D176="","",IFERROR(ROUND($D176*INDEX('🔖 배합비 참조'!$B$2:$CE$83,MATCH("멥쌀(국내산)",'🔖 배합비 참조'!$A$2:$A$83,0),MATCH($C176,'🔖 배합비 참조'!$B$1:$CE$1,0))/100,0),""))),"")</f>
        <v>0</v>
      </c>
      <c r="AR176" s="42" t="n">
        <f aca="false">IFERROR(IF($C176="","",IF($D176="","",IFERROR(ROUND($D176*INDEX('🔖 배합비 참조'!$B$2:$CE$83,MATCH("모시잎(국내산)",'🔖 배합비 참조'!$A$2:$A$83,0),MATCH($C176,'🔖 배합비 참조'!$B$1:$CE$1,0))/100,0),""))),"")</f>
        <v>0</v>
      </c>
      <c r="AS176" s="42" t="n">
        <f aca="false">IFERROR(IF($C176="","",IF($D176="","",IFERROR(ROUND($D176*INDEX('🔖 배합비 참조'!$B$2:$CE$83,MATCH("물엿(저당물엿)",'🔖 배합비 참조'!$A$2:$A$83,0),MATCH($C176,'🔖 배합비 참조'!$B$1:$CE$1,0))/100,0),""))),"")</f>
        <v>12</v>
      </c>
      <c r="AT176" s="42" t="n">
        <f aca="false">IFERROR(IF($C176="","",IF($D176="","",IFERROR(ROUND($D176*INDEX('🔖 배합비 참조'!$B$2:$CE$83,MATCH("밤다이스",'🔖 배합비 참조'!$A$2:$A$83,0),MATCH($C176,'🔖 배합비 참조'!$B$1:$CE$1,0))/100,0),""))),"")</f>
        <v>0</v>
      </c>
      <c r="AU176" s="42" t="n">
        <f aca="false">IFERROR(IF($C176="","",IF($D176="","",IFERROR(ROUND($D176*INDEX('🔖 배합비 참조'!$B$2:$CE$83,MATCH("변성전분(타피오카전분)",'🔖 배합비 참조'!$A$2:$A$83,0),MATCH($C176,'🔖 배합비 참조'!$B$1:$CE$1,0))/100,0),""))),"")</f>
        <v>0</v>
      </c>
      <c r="AV176" s="42" t="n">
        <f aca="false">IFERROR(IF($C176="","",IF($D176="","",IFERROR(ROUND($D176*INDEX('🔖 배합비 참조'!$B$2:$CE$83,MATCH("복음땅콩분태",'🔖 배합비 참조'!$A$2:$A$83,0),MATCH($C176,'🔖 배합비 참조'!$B$1:$CE$1,0))/100,0),""))),"")</f>
        <v>0</v>
      </c>
      <c r="AW176" s="42" t="n">
        <f aca="false">IFERROR(IF($C176="","",IF($D176="","",IFERROR(ROUND($D176*INDEX('🔖 배합비 참조'!$B$2:$CE$83,MATCH("사양벌꿀(국내산)",'🔖 배합비 참조'!$A$2:$A$83,0),MATCH($C176,'🔖 배합비 참조'!$B$1:$CE$1,0))/100,0),""))),"")</f>
        <v>0</v>
      </c>
      <c r="AX176" s="42" t="n">
        <f aca="false">IFERROR(IF($C176="","",IF($D176="","",IFERROR(ROUND($D176*INDEX('🔖 배합비 참조'!$B$2:$CE$83,MATCH("생크림",'🔖 배합비 참조'!$A$2:$A$83,0),MATCH($C176,'🔖 배합비 참조'!$B$1:$CE$1,0))/100,0),""))),"")</f>
        <v>15</v>
      </c>
      <c r="AY176" s="42" t="n">
        <f aca="false">IFERROR(IF($C176="","",IF($D176="","",IFERROR(ROUND($D176*INDEX('🔖 배합비 참조'!$B$2:$CE$83,MATCH("서양호박(국내산,뉴질랜드산)",'🔖 배합비 참조'!$A$2:$A$83,0),MATCH($C176,'🔖 배합비 참조'!$B$1:$CE$1,0))/100,0),""))),"")</f>
        <v>0</v>
      </c>
      <c r="AZ176" s="42" t="n">
        <f aca="false">IFERROR(IF($C176="","",IF($D176="","",IFERROR(ROUND($D176*INDEX('🔖 배합비 참조'!$B$2:$CE$83,MATCH("설탕",'🔖 배합비 참조'!$A$2:$A$83,0),MATCH($C176,'🔖 배합비 참조'!$B$1:$CE$1,0))/100,0),""))),"")</f>
        <v>3</v>
      </c>
      <c r="BA176" s="42" t="n">
        <f aca="false">IFERROR(IF($C176="","",IF($D176="","",IFERROR(ROUND($D176*INDEX('🔖 배합비 참조'!$B$2:$CE$83,MATCH("스트로우베리 에이드 후레쉬",'🔖 배합비 참조'!$A$2:$A$83,0),MATCH($C176,'🔖 배합비 참조'!$B$1:$CE$1,0))/100,0),""))),"")</f>
        <v>0</v>
      </c>
      <c r="BB176" s="42" t="n">
        <f aca="false">IFERROR(IF($C176="","",IF($D176="","",IFERROR(ROUND($D176*INDEX('🔖 배합비 참조'!$B$2:$CE$83,MATCH("식물성기름혼합제제(분홍)",'🔖 배합비 참조'!$A$2:$A$83,0),MATCH($C176,'🔖 배합비 참조'!$B$1:$CE$1,0))/100,0),""))),"")</f>
        <v>0</v>
      </c>
      <c r="BC176" s="42" t="n">
        <f aca="false">IFERROR(IF($C176="","",IF($D176="","",IFERROR(ROUND($D176*INDEX('🔖 배합비 참조'!$B$2:$CE$83,MATCH("식물성기름혼합제제(초록)",'🔖 배합비 참조'!$A$2:$A$83,0),MATCH($C176,'🔖 배합비 참조'!$B$1:$CE$1,0))/100,0),""))),"")</f>
        <v>0</v>
      </c>
      <c r="BD176" s="42" t="n">
        <f aca="false">IFERROR(IF($C176="","",IF($D176="","",IFERROR(ROUND($D176*INDEX('🔖 배합비 참조'!$B$2:$CE$83,MATCH("식물성기름혼합제제(황색)",'🔖 배합비 참조'!$A$2:$A$83,0),MATCH($C176,'🔖 배합비 참조'!$B$1:$CE$1,0))/100,0),""))),"")</f>
        <v>0</v>
      </c>
      <c r="BE176" s="42" t="n">
        <f aca="false">IFERROR(IF($C176="","",IF($D176="","",IFERROR(ROUND($D176*INDEX('🔖 배합비 참조'!$B$2:$CE$83,MATCH("쑥가루(국내산)",'🔖 배합비 참조'!$A$2:$A$83,0),MATCH($C176,'🔖 배합비 참조'!$B$1:$CE$1,0))/100,0),""))),"")</f>
        <v>0</v>
      </c>
      <c r="BF176" s="42" t="n">
        <f aca="false">IFERROR(IF($C176="","",IF($D176="","",IFERROR(ROUND($D176*INDEX('🔖 배합비 참조'!$B$2:$CE$83,MATCH("아몬드슬라이스",'🔖 배합비 참조'!$A$2:$A$83,0),MATCH($C176,'🔖 배합비 참조'!$B$1:$CE$1,0))/100,0),""))),"")</f>
        <v>0</v>
      </c>
      <c r="BG176" s="42" t="n">
        <f aca="false">IFERROR(IF($C176="","",IF($D176="","",IFERROR(ROUND($D176*INDEX('🔖 배합비 참조'!$B$2:$CE$83,MATCH("알룰로오스(국내산)",'🔖 배합비 참조'!$A$2:$A$83,0),MATCH($C176,'🔖 배합비 참조'!$B$1:$CE$1,0))/100,0),""))),"")</f>
        <v>0</v>
      </c>
      <c r="BH176" s="42" t="n">
        <f aca="false">IFERROR(IF($C176="","",IF($D176="","",IFERROR(ROUND($D176*INDEX('🔖 배합비 참조'!$B$2:$CE$83,MATCH("연유",'🔖 배합비 참조'!$A$2:$A$83,0),MATCH($C176,'🔖 배합비 참조'!$B$1:$CE$1,0))/100,0),""))),"")</f>
        <v>1</v>
      </c>
      <c r="BI176" s="42" t="n">
        <f aca="false">IFERROR(IF($C176="","",IF($D176="","",IFERROR(ROUND($D176*INDEX('🔖 배합비 참조'!$B$2:$CE$83,MATCH("옥수수전분",'🔖 배합비 참조'!$A$2:$A$83,0),MATCH($C176,'🔖 배합비 참조'!$B$1:$CE$1,0))/100,0),""))),"")</f>
        <v>0</v>
      </c>
      <c r="BJ176" s="42" t="n">
        <f aca="false">IFERROR(IF($C176="","",IF($D176="","",IFERROR(ROUND($D176*INDEX('🔖 배합비 참조'!$B$2:$CE$83,MATCH("완두배기",'🔖 배합비 참조'!$A$2:$A$83,0),MATCH($C176,'🔖 배합비 참조'!$B$1:$CE$1,0))/100,0),""))),"")</f>
        <v>0</v>
      </c>
      <c r="BK176" s="42" t="n">
        <f aca="false">IFERROR(IF($C176="","",IF($D176="","",IFERROR(ROUND($D176*INDEX('🔖 배합비 참조'!$B$2:$CE$83,MATCH("우유(국내산)",'🔖 배합비 참조'!$A$2:$A$83,0),MATCH($C176,'🔖 배합비 참조'!$B$1:$CE$1,0))/100,0),""))),"")</f>
        <v>0</v>
      </c>
      <c r="BL176" s="42" t="n">
        <f aca="false">IFERROR(IF($C176="","",IF($D176="","",IFERROR(ROUND($D176*INDEX('🔖 배합비 참조'!$B$2:$CE$83,MATCH("자색고구마가루(중국산)",'🔖 배합비 참조'!$A$2:$A$83,0),MATCH($C176,'🔖 배합비 참조'!$B$1:$CE$1,0))/100,0),""))),"")</f>
        <v>0</v>
      </c>
      <c r="BM176" s="42" t="n">
        <f aca="false">IFERROR(IF($C176="","",IF($D176="","",IFERROR(ROUND($D176*INDEX('🔖 배합비 참조'!$B$2:$CE$83,MATCH("자연치즈(체다치즈)",'🔖 배합비 참조'!$A$2:$A$83,0),MATCH($C176,'🔖 배합비 참조'!$B$1:$CE$1,0))/100,0),""))),"")</f>
        <v>0</v>
      </c>
      <c r="BN176" s="42" t="n">
        <f aca="false">IFERROR(IF($C176="","",IF($D176="","",IFERROR(ROUND($D176*INDEX('🔖 배합비 참조'!$B$2:$CE$83,MATCH("정제수",'🔖 배합비 참조'!$A$2:$A$83,0),MATCH($C176,'🔖 배합비 참조'!$B$1:$CE$1,0))/100,0),""))),"")</f>
        <v>7</v>
      </c>
      <c r="BO176" s="42" t="n">
        <f aca="false">IFERROR(IF($C176="","",IF($D176="","",IFERROR(ROUND($D176*INDEX('🔖 배합비 참조'!$B$2:$CE$83,MATCH("젤라틴",'🔖 배합비 참조'!$A$2:$A$83,0),MATCH($C176,'🔖 배합비 참조'!$B$1:$CE$1,0))/100,0),""))),"")</f>
        <v>1</v>
      </c>
      <c r="BP176" s="42" t="n">
        <f aca="false">IFERROR(IF($C176="","",IF($D176="","",IFERROR(ROUND($D176*INDEX('🔖 배합비 참조'!$B$2:$CE$83,MATCH("조림류(백옥앙금)",'🔖 배합비 참조'!$A$2:$A$83,0),MATCH($C176,'🔖 배합비 참조'!$B$1:$CE$1,0))/100,0),""))),"")</f>
        <v>22</v>
      </c>
      <c r="BQ176" s="42" t="n">
        <f aca="false">IFERROR(IF($C176="","",IF($D176="","",IFERROR(ROUND($D176*INDEX('🔖 배합비 참조'!$B$2:$CE$83,MATCH("조림류(통팥앙금)",'🔖 배합비 참조'!$A$2:$A$83,0),MATCH($C176,'🔖 배합비 참조'!$B$1:$CE$1,0))/100,0),""))),"")</f>
        <v>0</v>
      </c>
      <c r="BR176" s="42" t="n">
        <f aca="false">IFERROR(IF($C176="","",IF($D176="","",IFERROR(ROUND($D176*INDEX('🔖 배합비 참조'!$B$2:$CE$83,MATCH("준초콜릿(외국산)",'🔖 배합비 참조'!$A$2:$A$83,0),MATCH($C176,'🔖 배합비 참조'!$B$1:$CE$1,0))/100,0),""))),"")</f>
        <v>0</v>
      </c>
      <c r="BS176" s="42" t="n">
        <f aca="false">IFERROR(IF($C176="","",IF($D176="","",IFERROR(ROUND($D176*INDEX('🔖 배합비 참조'!$B$2:$CE$83,MATCH("중력분",'🔖 배합비 참조'!$A$2:$A$83,0),MATCH($C176,'🔖 배합비 참조'!$B$1:$CE$1,0))/100,0),""))),"")</f>
        <v>1</v>
      </c>
      <c r="BT176" s="42" t="n">
        <f aca="false">IFERROR(IF($C176="","",IF($D176="","",IFERROR(ROUND($D176*INDEX('🔖 배합비 참조'!$B$2:$CE$83,MATCH("참깨(인도산,나이지리아산,탄자니아산,미얀마산)",'🔖 배합비 참조'!$A$2:$A$83,0),MATCH($C176,'🔖 배합비 참조'!$B$1:$CE$1,0))/100,0),""))),"")</f>
        <v>0</v>
      </c>
      <c r="BU176" s="42" t="n">
        <f aca="false">IFERROR(IF($C176="","",IF($D176="","",IFERROR(ROUND($D176*INDEX('🔖 배합비 참조'!$B$2:$CE$83,MATCH("찹쌀(국내산)",'🔖 배합비 참조'!$A$2:$A$83,0),MATCH($C176,'🔖 배합비 참조'!$B$1:$CE$1,0))/100,0),""))),"")</f>
        <v>117</v>
      </c>
      <c r="BV176" s="42" t="n">
        <f aca="false">IFERROR(IF($C176="","",IF($D176="","",IFERROR(ROUND($D176*INDEX('🔖 배합비 참조'!$B$2:$CE$83,MATCH("천일염",'🔖 배합비 참조'!$A$2:$A$83,0),MATCH($C176,'🔖 배합비 참조'!$B$1:$CE$1,0))/100,0),""))),"")</f>
        <v>0</v>
      </c>
      <c r="BW176" s="42" t="n">
        <f aca="false">IFERROR(IF($C176="","",IF($D176="","",IFERROR(ROUND($D176*INDEX('🔖 배합비 참조'!$B$2:$CE$83,MATCH("치즈 [크림치즈]",'🔖 배합비 참조'!$A$2:$A$83,0),MATCH($C176,'🔖 배합비 참조'!$B$1:$CE$1,0))/100,0),""))),"")</f>
        <v>15</v>
      </c>
      <c r="BX176" s="42" t="n">
        <f aca="false">IFERROR(IF($C176="","",IF($D176="","",IFERROR(ROUND($D176*INDEX('🔖 배합비 참조'!$B$2:$CE$83,MATCH("코코아가공품류(코코아분말)",'🔖 배합비 참조'!$A$2:$A$83,0),MATCH($C176,'🔖 배합비 참조'!$B$1:$CE$1,0))/100,0),""))),"")</f>
        <v>8</v>
      </c>
      <c r="BY176" s="42" t="n">
        <f aca="false">IFERROR(IF($C176="","",IF($D176="","",IFERROR(ROUND($D176*INDEX('🔖 배합비 참조'!$B$2:$CE$83,MATCH("콩기름(대두유)",'🔖 배합비 참조'!$A$2:$A$83,0),MATCH($C176,'🔖 배합비 참조'!$B$1:$CE$1,0))/100,0),""))),"")</f>
        <v>0</v>
      </c>
      <c r="BZ176" s="42" t="n">
        <f aca="false">IFERROR(IF($C176="","",IF($D176="","",IFERROR(ROUND($D176*INDEX('🔖 배합비 참조'!$B$2:$CE$83,MATCH("해바라기씨앗",'🔖 배합비 참조'!$A$2:$A$83,0),MATCH($C176,'🔖 배합비 참조'!$B$1:$CE$1,0))/100,0),""))),"")</f>
        <v>0</v>
      </c>
      <c r="CA176" s="42" t="n">
        <f aca="false">IFERROR(IF($C176="","",IF($D176="","",IFERROR(ROUND($D176*INDEX('🔖 배합비 참조'!$B$2:$CE$83,MATCH("현미(국내산)",'🔖 배합비 참조'!$A$2:$A$83,0),MATCH($C176,'🔖 배합비 참조'!$B$1:$CE$1,0))/100,0),""))),"")</f>
        <v>0</v>
      </c>
      <c r="CB176" s="42" t="n">
        <f aca="false">IFERROR(IF($C176="","",IF($D176="","",IFERROR(ROUND($D176*INDEX('🔖 배합비 참조'!$B$2:$CE$83,MATCH("현미멥쌀(국내산)",'🔖 배합비 참조'!$A$2:$A$83,0),MATCH($C176,'🔖 배합비 참조'!$B$1:$CE$1,0))/100,0),""))),"")</f>
        <v>0</v>
      </c>
      <c r="CC176" s="42" t="n">
        <f aca="false">IFERROR(IF($C176="","",IF($D176="","",IFERROR(ROUND($D176*INDEX('🔖 배합비 참조'!$B$2:$CE$83,MATCH("호두분태(미국산)",'🔖 배합비 참조'!$A$2:$A$83,0),MATCH($C176,'🔖 배합비 참조'!$B$1:$CE$1,0))/100,0),""))),"")</f>
        <v>0</v>
      </c>
      <c r="CD176" s="42" t="n">
        <f aca="false">IFERROR(IF($C176="","",IF($D176="","",IFERROR(ROUND($D176*INDEX('🔖 배합비 참조'!$B$2:$CE$83,MATCH("호박씨앗(외국산)",'🔖 배합비 참조'!$A$2:$A$83,0),MATCH($C176,'🔖 배합비 참조'!$B$1:$CE$1,0))/100,0),""))),"")</f>
        <v>0</v>
      </c>
      <c r="CE176" s="42" t="n">
        <f aca="false">IFERROR(IF($C176="","",IF($D176="","",IFERROR(ROUND($D176*INDEX('🔖 배합비 참조'!$B$2:$CE$83,MATCH("혼합제제(떡용에스텔)",'🔖 배합비 참조'!$A$2:$A$83,0),MATCH($C176,'🔖 배합비 참조'!$B$1:$CE$1,0))/100,0),""))),"")</f>
        <v>0</v>
      </c>
      <c r="CF176" s="42" t="n">
        <f aca="false">IFERROR(IF($C176="","",IF($D176="","",IFERROR(ROUND($D176*INDEX('🔖 배합비 참조'!$B$2:$CE$83,MATCH("혼합제제(스테비아)",'🔖 배합비 참조'!$A$2:$A$83,0),MATCH($C176,'🔖 배합비 참조'!$B$1:$CE$1,0))/100,0),""))),"")</f>
        <v>0</v>
      </c>
      <c r="CG176" s="42" t="n">
        <f aca="false">IFERROR(IF($C176="","",IF($D176="","",IFERROR(ROUND($D176*INDEX('🔖 배합비 참조'!$B$2:$CE$83,MATCH("화이트초콜릿",'🔖 배합비 참조'!$A$2:$A$83,0),MATCH($C176,'🔖 배합비 참조'!$B$1:$CE$1,0))/100,0),""))),"")</f>
        <v>5</v>
      </c>
      <c r="CH176" s="42" t="n">
        <f aca="false">IFERROR(IF($C176="","",IF($D176="","",IFERROR(ROUND($D176*INDEX('🔖 배합비 참조'!$B$2:$CE$83,MATCH("흑미찹쌀(국내산)",'🔖 배합비 참조'!$A$2:$A$83,0),MATCH($C176,'🔖 배합비 참조'!$B$1:$CE$1,0))/100,0),""))),"")</f>
        <v>0</v>
      </c>
      <c r="CI176" s="42" t="n">
        <f aca="false">IFERROR(IF($C176="","",IF($D176="","",IFERROR(ROUND($D176*INDEX('🔖 배합비 참조'!$B$2:$CE$83,MATCH("찰옥수수전분(미국산)",'🔖 배합비 참조'!$A$2:$A$83,0),MATCH($C176,'🔖 배합비 참조'!$B$1:$CE$1,0))/100,0),""))),"")</f>
        <v>0</v>
      </c>
      <c r="CJ176" s="40"/>
      <c r="CL176" s="1" t="s">
        <v>245</v>
      </c>
    </row>
    <row r="177" customFormat="false" ht="18" hidden="false" customHeight="true" outlineLevel="0" collapsed="false">
      <c r="A177" s="35" t="n">
        <v>173</v>
      </c>
      <c r="B177" s="36" t="n">
        <v>46041</v>
      </c>
      <c r="C177" s="37" t="s">
        <v>243</v>
      </c>
      <c r="D177" s="38" t="n">
        <v>220</v>
      </c>
      <c r="E177" s="13"/>
      <c r="F177" s="13"/>
      <c r="G177" s="39" t="n">
        <f aca="false">IFERROR(IF($C177="","",IF($D177="","",IFERROR(ROUND($D177*INDEX('🔖 배합비 참조'!$B$2:$CE$83,MATCH("간장",'🔖 배합비 참조'!$A$2:$A$83,0),MATCH($C177,'🔖 배합비 참조'!$B$1:$CE$1,0))/100,0),""))),"")</f>
        <v>0</v>
      </c>
      <c r="H177" s="39" t="n">
        <f aca="false">IFERROR(IF($C177="","",IF($D177="","",IFERROR(ROUND($D177*INDEX('🔖 배합비 참조'!$B$2:$CE$83,MATCH("강낭콩((울타리콩))",'🔖 배합비 참조'!$A$2:$A$83,0),MATCH($C177,'🔖 배합비 참조'!$B$1:$CE$1,0))/100,0),""))),"")</f>
        <v>0</v>
      </c>
      <c r="I177" s="39" t="n">
        <f aca="false">IFERROR(IF($C177="","",IF($D177="","",IFERROR(ROUND($D177*INDEX('🔖 배합비 참조'!$B$2:$CE$83,MATCH("건조딸기다이스(외국산)",'🔖 배합비 참조'!$A$2:$A$83,0),MATCH($C177,'🔖 배합비 참조'!$B$1:$CE$1,0))/100,0),""))),"")</f>
        <v>0</v>
      </c>
      <c r="J177" s="39" t="n">
        <f aca="false">IFERROR(IF($C177="","",IF($D177="","",IFERROR(ROUND($D177*INDEX('🔖 배합비 참조'!$B$2:$CE$83,MATCH("건포도",'🔖 배합비 참조'!$A$2:$A$83,0),MATCH($C177,'🔖 배합비 참조'!$B$1:$CE$1,0))/100,0),""))),"")</f>
        <v>0</v>
      </c>
      <c r="K177" s="39" t="n">
        <f aca="false">IFERROR(IF($C177="","",IF($D177="","",IFERROR(ROUND($D177*INDEX('🔖 배합비 참조'!$B$2:$CE$83,MATCH("건호박채(중국산)",'🔖 배합비 참조'!$A$2:$A$83,0),MATCH($C177,'🔖 배합비 참조'!$B$1:$CE$1,0))/100,0),""))),"")</f>
        <v>0</v>
      </c>
      <c r="L177" s="39" t="n">
        <f aca="false">IFERROR(IF($C177="","",IF($D177="","",IFERROR(ROUND($D177*INDEX('🔖 배합비 참조'!$B$2:$CE$83,MATCH("검정깨(흑임자)",'🔖 배합비 참조'!$A$2:$A$83,0),MATCH($C177,'🔖 배합비 참조'!$B$1:$CE$1,0))/100,0),""))),"")</f>
        <v>0</v>
      </c>
      <c r="M177" s="39" t="n">
        <f aca="false">IFERROR(IF($C177="","",IF($D177="","",IFERROR(ROUND($D177*INDEX('🔖 배합비 참조'!$B$2:$CE$83,MATCH("검정콩",'🔖 배합비 참조'!$A$2:$A$83,0),MATCH($C177,'🔖 배합비 참조'!$B$1:$CE$1,0))/100,0),""))),"")</f>
        <v>0</v>
      </c>
      <c r="N177" s="39" t="n">
        <f aca="false">IFERROR(IF($C177="","",IF($D177="","",IFERROR(ROUND($D177*INDEX('🔖 배합비 참조'!$B$2:$CE$83,MATCH("계피가루",'🔖 배합비 참조'!$A$2:$A$83,0),MATCH($C177,'🔖 배합비 참조'!$B$1:$CE$1,0))/100,0),""))),"")</f>
        <v>0</v>
      </c>
      <c r="O177" s="39" t="n">
        <f aca="false">IFERROR(IF($C177="","",IF($D177="","",IFERROR(ROUND($D177*INDEX('🔖 배합비 참조'!$B$2:$CE$83,MATCH("고구마가루",'🔖 배합비 참조'!$A$2:$A$83,0),MATCH($C177,'🔖 배합비 참조'!$B$1:$CE$1,0))/100,0),""))),"")</f>
        <v>0</v>
      </c>
      <c r="P177" s="39" t="n">
        <f aca="false">IFERROR(IF($C177="","",IF($D177="","",IFERROR(ROUND($D177*INDEX('🔖 배합비 참조'!$B$2:$CE$83,MATCH("고구마무스",'🔖 배합비 참조'!$A$2:$A$83,0),MATCH($C177,'🔖 배합비 참조'!$B$1:$CE$1,0))/100,0),""))),"")</f>
        <v>0</v>
      </c>
      <c r="Q177" s="39" t="n">
        <f aca="false">IFERROR(IF($C177="","",IF($D177="","",IFERROR(ROUND($D177*INDEX('🔖 배합비 참조'!$B$2:$CE$83,MATCH("고려엉겅퀴((곤드레)국내산)",'🔖 배합비 참조'!$A$2:$A$83,0),MATCH($C177,'🔖 배합비 참조'!$B$1:$CE$1,0))/100,0),""))),"")</f>
        <v>0</v>
      </c>
      <c r="R177" s="39" t="n">
        <f aca="false">IFERROR(IF($C177="","",IF($D177="","",IFERROR(ROUND($D177*INDEX('🔖 배합비 참조'!$B$2:$CE$83,MATCH("기타가공품(복분자가루)",'🔖 배합비 참조'!$A$2:$A$83,0),MATCH($C177,'🔖 배합비 참조'!$B$1:$CE$1,0))/100,0),""))),"")</f>
        <v>0</v>
      </c>
      <c r="S177" s="39" t="n">
        <f aca="false">IFERROR(IF($C177="","",IF($D177="","",IFERROR(ROUND($D177*INDEX('🔖 배합비 참조'!$B$2:$CE$83,MATCH("기타가공품(슈퍼소프트엠)",'🔖 배합비 참조'!$A$2:$A$83,0),MATCH($C177,'🔖 배합비 참조'!$B$1:$CE$1,0))/100,0),""))),"")</f>
        <v>0</v>
      </c>
      <c r="T177" s="39" t="n">
        <f aca="false">IFERROR(IF($C177="","",IF($D177="","",IFERROR(ROUND($D177*INDEX('🔖 배합비 참조'!$B$2:$CE$83,MATCH("기타가공품(파인소프트 E-티)",'🔖 배합비 참조'!$A$2:$A$83,0),MATCH($C177,'🔖 배합비 참조'!$B$1:$CE$1,0))/100,0),""))),"")</f>
        <v>0</v>
      </c>
      <c r="U177" s="39" t="n">
        <f aca="false">IFERROR(IF($C177="","",IF($D177="","",IFERROR(ROUND($D177*INDEX('🔖 배합비 참조'!$B$2:$CE$83,MATCH("기타가공품(프리미엄카스테라가루)",'🔖 배합비 참조'!$A$2:$A$83,0),MATCH($C177,'🔖 배합비 참조'!$B$1:$CE$1,0))/100,0),""))),"")</f>
        <v>7</v>
      </c>
      <c r="V177" s="39" t="n">
        <f aca="false">IFERROR(IF($C177="","",IF($D177="","",IFERROR(ROUND($D177*INDEX('🔖 배합비 참조'!$B$2:$CE$83,MATCH("기타가공품(흑임자가루)",'🔖 배합비 참조'!$A$2:$A$83,0),MATCH($C177,'🔖 배합비 참조'!$B$1:$CE$1,0))/100,0),""))),"")</f>
        <v>0</v>
      </c>
      <c r="W177" s="39" t="n">
        <f aca="false">IFERROR(IF($C177="","",IF($D177="","",IFERROR(ROUND($D177*INDEX('🔖 배합비 참조'!$B$2:$CE$83,MATCH("기타설탕(흑설탕)",'🔖 배합비 참조'!$A$2:$A$83,0),MATCH($C177,'🔖 배합비 참조'!$B$1:$CE$1,0))/100,0),""))),"")</f>
        <v>0</v>
      </c>
      <c r="X177" s="39" t="n">
        <f aca="false">IFERROR(IF($C177="","",IF($D177="","",IFERROR(ROUND($D177*INDEX('🔖 배합비 참조'!$B$2:$CE$83,MATCH("냉동쑥(국내산)",'🔖 배합비 참조'!$A$2:$A$83,0),MATCH($C177,'🔖 배합비 참조'!$B$1:$CE$1,0))/100,0),""))),"")</f>
        <v>0</v>
      </c>
      <c r="Y177" s="39" t="n">
        <f aca="false">IFERROR(IF($C177="","",IF($D177="","",IFERROR(ROUND($D177*INDEX('🔖 배합비 참조'!$B$2:$CE$83,MATCH("냉동증숙고구마(중국산)",'🔖 배합비 참조'!$A$2:$A$83,0),MATCH($C177,'🔖 배합비 참조'!$B$1:$CE$1,0))/100,0),""))),"")</f>
        <v>0</v>
      </c>
      <c r="Z177" s="39" t="n">
        <f aca="false">IFERROR(IF($C177="","",IF($D177="","",IFERROR(ROUND($D177*INDEX('🔖 배합비 참조'!$B$2:$CE$83,MATCH("녹차가루",'🔖 배합비 참조'!$A$2:$A$83,0),MATCH($C177,'🔖 배합비 참조'!$B$1:$CE$1,0))/100,0),""))),"")</f>
        <v>0</v>
      </c>
      <c r="AA177" s="39" t="n">
        <f aca="false">IFERROR(IF($C177="","",IF($D177="","",IFERROR(ROUND($D177*INDEX('🔖 배합비 참조'!$B$2:$CE$83,MATCH("다크초콜릿 컴파운드칩",'🔖 배합비 참조'!$A$2:$A$83,0),MATCH($C177,'🔖 배합비 참조'!$B$1:$CE$1,0))/100,0),""))),"")</f>
        <v>0</v>
      </c>
      <c r="AB177" s="39" t="n">
        <f aca="false">IFERROR(IF($C177="","",IF($D177="","",IFERROR(ROUND($D177*INDEX('🔖 배합비 참조'!$B$2:$CE$83,MATCH("단호박분말(중국산)",'🔖 배합비 참조'!$A$2:$A$83,0),MATCH($C177,'🔖 배합비 참조'!$B$1:$CE$1,0))/100,0),""))),"")</f>
        <v>0</v>
      </c>
      <c r="AC177" s="39" t="n">
        <f aca="false">IFERROR(IF($C177="","",IF($D177="","",IFERROR(ROUND($D177*INDEX('🔖 배합비 참조'!$B$2:$CE$83,MATCH("당류가공품(단호박농축액)",'🔖 배합비 참조'!$A$2:$A$83,0),MATCH($C177,'🔖 배합비 참조'!$B$1:$CE$1,0))/100,0),""))),"")</f>
        <v>0</v>
      </c>
      <c r="AD177" s="39" t="n">
        <f aca="false">IFERROR(IF($C177="","",IF($D177="","",IFERROR(ROUND($D177*INDEX('🔖 배합비 참조'!$B$2:$CE$83,MATCH("당류가공품(알룰로스,에리스리톨,스테비올배당체혼합)",'🔖 배합비 참조'!$A$2:$A$83,0),MATCH($C177,'🔖 배합비 참조'!$B$1:$CE$1,0))/100,0),""))),"")</f>
        <v>0</v>
      </c>
      <c r="AE177" s="39" t="n">
        <f aca="false">IFERROR(IF($C177="","",IF($D177="","",IFERROR(ROUND($D177*INDEX('🔖 배합비 참조'!$B$2:$CE$83,MATCH("당류가공품(알룰로스제로파우더)",'🔖 배합비 참조'!$A$2:$A$83,0),MATCH($C177,'🔖 배합비 참조'!$B$1:$CE$1,0))/100,0),""))),"")</f>
        <v>0</v>
      </c>
      <c r="AF177" s="39" t="n">
        <f aca="false">IFERROR(IF($C177="","",IF($D177="","",IFERROR(ROUND($D177*INDEX('🔖 배합비 참조'!$B$2:$CE$83,MATCH("당절임(완두배기)",'🔖 배합비 참조'!$A$2:$A$83,0),MATCH($C177,'🔖 배합비 참조'!$B$1:$CE$1,0))/100,0),""))),"")</f>
        <v>0</v>
      </c>
      <c r="AG177" s="39" t="n">
        <f aca="false">IFERROR(IF($C177="","",IF($D177="","",IFERROR(ROUND($D177*INDEX('🔖 배합비 참조'!$B$2:$CE$83,MATCH("대추농축액",'🔖 배합비 참조'!$A$2:$A$83,0),MATCH($C177,'🔖 배합비 참조'!$B$1:$CE$1,0))/100,0),""))),"")</f>
        <v>0</v>
      </c>
      <c r="AH177" s="39" t="n">
        <f aca="false">IFERROR(IF($C177="","",IF($D177="","",IFERROR(ROUND($D177*INDEX('🔖 배합비 참조'!$B$2:$CE$83,MATCH("대추채(국내산)",'🔖 배합비 참조'!$A$2:$A$83,0),MATCH($C177,'🔖 배합비 참조'!$B$1:$CE$1,0))/100,0),""))),"")</f>
        <v>0</v>
      </c>
      <c r="AI177" s="39" t="n">
        <f aca="false">IFERROR(IF($C177="","",IF($D177="","",IFERROR(ROUND($D177*INDEX('🔖 배합비 참조'!$B$2:$CE$83,MATCH("동부(미얀마산)",'🔖 배합비 참조'!$A$2:$A$83,0),MATCH($C177,'🔖 배합비 참조'!$B$1:$CE$1,0))/100,0),""))),"")</f>
        <v>0</v>
      </c>
      <c r="AJ177" s="39" t="n">
        <f aca="false">IFERROR(IF($C177="","",IF($D177="","",IFERROR(ROUND($D177*INDEX('🔖 배합비 참조'!$B$2:$CE$83,MATCH("두류가공품(백옥앙금)",'🔖 배합비 참조'!$A$2:$A$83,0),MATCH($C177,'🔖 배합비 참조'!$B$1:$CE$1,0))/100,0),""))),"")</f>
        <v>0</v>
      </c>
      <c r="AK177" s="39" t="n">
        <f aca="false">IFERROR(IF($C177="","",IF($D177="","",IFERROR(ROUND($D177*INDEX('🔖 배합비 참조'!$B$2:$CE$83,MATCH("두류가공품(콩고물)",'🔖 배합비 참조'!$A$2:$A$83,0),MATCH($C177,'🔖 배합비 참조'!$B$1:$CE$1,0))/100,0),""))),"")</f>
        <v>0</v>
      </c>
      <c r="AL177" s="39" t="n">
        <f aca="false">IFERROR(IF($C177="","",IF($D177="","",IFERROR(ROUND($D177*INDEX('🔖 배합비 참조'!$B$2:$CE$83,MATCH("두류가공품(통팥고물)",'🔖 배합비 참조'!$A$2:$A$83,0),MATCH($C177,'🔖 배합비 참조'!$B$1:$CE$1,0))/100,0),""))),"")</f>
        <v>0</v>
      </c>
      <c r="AM177" s="39" t="n">
        <f aca="false">IFERROR(IF($C177="","",IF($D177="","",IFERROR(ROUND($D177*INDEX('🔖 배합비 참조'!$B$2:$CE$83,MATCH("딸기레진",'🔖 배합비 참조'!$A$2:$A$83,0),MATCH($C177,'🔖 배합비 참조'!$B$1:$CE$1,0))/100,0),""))),"")</f>
        <v>0</v>
      </c>
      <c r="AN177" s="39" t="n">
        <f aca="false">IFERROR(IF($C177="","",IF($D177="","",IFERROR(ROUND($D177*INDEX('🔖 배합비 참조'!$B$2:$CE$83,MATCH("딸기분말(스트로우베리에이드(분말))",'🔖 배합비 참조'!$A$2:$A$83,0),MATCH($C177,'🔖 배합비 참조'!$B$1:$CE$1,0))/100,0),""))),"")</f>
        <v>0</v>
      </c>
      <c r="AO177" s="39" t="n">
        <f aca="false">IFERROR(IF($C177="","",IF($D177="","",IFERROR(ROUND($D177*INDEX('🔖 배합비 참조'!$B$2:$CE$83,MATCH("마스카포네치즈",'🔖 배합비 참조'!$A$2:$A$83,0),MATCH($C177,'🔖 배합비 참조'!$B$1:$CE$1,0))/100,0),""))),"")</f>
        <v>16</v>
      </c>
      <c r="AP177" s="39" t="n">
        <f aca="false">IFERROR(IF($C177="","",IF($D177="","",IFERROR(ROUND($D177*INDEX('🔖 배합비 참조'!$B$2:$CE$83,MATCH("마카다미아분태(호주산)",'🔖 배합비 참조'!$A$2:$A$83,0),MATCH($C177,'🔖 배합비 참조'!$B$1:$CE$1,0))/100,0),""))),"")</f>
        <v>0</v>
      </c>
      <c r="AQ177" s="39" t="n">
        <f aca="false">IFERROR(IF($C177="","",IF($D177="","",IFERROR(ROUND($D177*INDEX('🔖 배합비 참조'!$B$2:$CE$83,MATCH("멥쌀(국내산)",'🔖 배합비 참조'!$A$2:$A$83,0),MATCH($C177,'🔖 배합비 참조'!$B$1:$CE$1,0))/100,0),""))),"")</f>
        <v>0</v>
      </c>
      <c r="AR177" s="39" t="n">
        <f aca="false">IFERROR(IF($C177="","",IF($D177="","",IFERROR(ROUND($D177*INDEX('🔖 배합비 참조'!$B$2:$CE$83,MATCH("모시잎(국내산)",'🔖 배합비 참조'!$A$2:$A$83,0),MATCH($C177,'🔖 배합비 참조'!$B$1:$CE$1,0))/100,0),""))),"")</f>
        <v>0</v>
      </c>
      <c r="AS177" s="39" t="n">
        <f aca="false">IFERROR(IF($C177="","",IF($D177="","",IFERROR(ROUND($D177*INDEX('🔖 배합비 참조'!$B$2:$CE$83,MATCH("물엿(저당물엿)",'🔖 배합비 참조'!$A$2:$A$83,0),MATCH($C177,'🔖 배합비 참조'!$B$1:$CE$1,0))/100,0),""))),"")</f>
        <v>12</v>
      </c>
      <c r="AT177" s="39" t="n">
        <f aca="false">IFERROR(IF($C177="","",IF($D177="","",IFERROR(ROUND($D177*INDEX('🔖 배합비 참조'!$B$2:$CE$83,MATCH("밤다이스",'🔖 배합비 참조'!$A$2:$A$83,0),MATCH($C177,'🔖 배합비 참조'!$B$1:$CE$1,0))/100,0),""))),"")</f>
        <v>0</v>
      </c>
      <c r="AU177" s="39" t="n">
        <f aca="false">IFERROR(IF($C177="","",IF($D177="","",IFERROR(ROUND($D177*INDEX('🔖 배합비 참조'!$B$2:$CE$83,MATCH("변성전분(타피오카전분)",'🔖 배합비 참조'!$A$2:$A$83,0),MATCH($C177,'🔖 배합비 참조'!$B$1:$CE$1,0))/100,0),""))),"")</f>
        <v>0</v>
      </c>
      <c r="AV177" s="39" t="n">
        <f aca="false">IFERROR(IF($C177="","",IF($D177="","",IFERROR(ROUND($D177*INDEX('🔖 배합비 참조'!$B$2:$CE$83,MATCH("복음땅콩분태",'🔖 배합비 참조'!$A$2:$A$83,0),MATCH($C177,'🔖 배합비 참조'!$B$1:$CE$1,0))/100,0),""))),"")</f>
        <v>0</v>
      </c>
      <c r="AW177" s="39" t="n">
        <f aca="false">IFERROR(IF($C177="","",IF($D177="","",IFERROR(ROUND($D177*INDEX('🔖 배합비 참조'!$B$2:$CE$83,MATCH("사양벌꿀(국내산)",'🔖 배합비 참조'!$A$2:$A$83,0),MATCH($C177,'🔖 배합비 참조'!$B$1:$CE$1,0))/100,0),""))),"")</f>
        <v>0</v>
      </c>
      <c r="AX177" s="39" t="n">
        <f aca="false">IFERROR(IF($C177="","",IF($D177="","",IFERROR(ROUND($D177*INDEX('🔖 배합비 참조'!$B$2:$CE$83,MATCH("생크림",'🔖 배합비 참조'!$A$2:$A$83,0),MATCH($C177,'🔖 배합비 참조'!$B$1:$CE$1,0))/100,0),""))),"")</f>
        <v>15</v>
      </c>
      <c r="AY177" s="39" t="n">
        <f aca="false">IFERROR(IF($C177="","",IF($D177="","",IFERROR(ROUND($D177*INDEX('🔖 배합비 참조'!$B$2:$CE$83,MATCH("서양호박(국내산,뉴질랜드산)",'🔖 배합비 참조'!$A$2:$A$83,0),MATCH($C177,'🔖 배합비 참조'!$B$1:$CE$1,0))/100,0),""))),"")</f>
        <v>0</v>
      </c>
      <c r="AZ177" s="39" t="n">
        <f aca="false">IFERROR(IF($C177="","",IF($D177="","",IFERROR(ROUND($D177*INDEX('🔖 배합비 참조'!$B$2:$CE$83,MATCH("설탕",'🔖 배합비 참조'!$A$2:$A$83,0),MATCH($C177,'🔖 배합비 참조'!$B$1:$CE$1,0))/100,0),""))),"")</f>
        <v>3</v>
      </c>
      <c r="BA177" s="39" t="n">
        <f aca="false">IFERROR(IF($C177="","",IF($D177="","",IFERROR(ROUND($D177*INDEX('🔖 배합비 참조'!$B$2:$CE$83,MATCH("스트로우베리 에이드 후레쉬",'🔖 배합비 참조'!$A$2:$A$83,0),MATCH($C177,'🔖 배합비 참조'!$B$1:$CE$1,0))/100,0),""))),"")</f>
        <v>0</v>
      </c>
      <c r="BB177" s="39" t="n">
        <f aca="false">IFERROR(IF($C177="","",IF($D177="","",IFERROR(ROUND($D177*INDEX('🔖 배합비 참조'!$B$2:$CE$83,MATCH("식물성기름혼합제제(분홍)",'🔖 배합비 참조'!$A$2:$A$83,0),MATCH($C177,'🔖 배합비 참조'!$B$1:$CE$1,0))/100,0),""))),"")</f>
        <v>0</v>
      </c>
      <c r="BC177" s="39" t="n">
        <f aca="false">IFERROR(IF($C177="","",IF($D177="","",IFERROR(ROUND($D177*INDEX('🔖 배합비 참조'!$B$2:$CE$83,MATCH("식물성기름혼합제제(초록)",'🔖 배합비 참조'!$A$2:$A$83,0),MATCH($C177,'🔖 배합비 참조'!$B$1:$CE$1,0))/100,0),""))),"")</f>
        <v>0</v>
      </c>
      <c r="BD177" s="39" t="n">
        <f aca="false">IFERROR(IF($C177="","",IF($D177="","",IFERROR(ROUND($D177*INDEX('🔖 배합비 참조'!$B$2:$CE$83,MATCH("식물성기름혼합제제(황색)",'🔖 배합비 참조'!$A$2:$A$83,0),MATCH($C177,'🔖 배합비 참조'!$B$1:$CE$1,0))/100,0),""))),"")</f>
        <v>0</v>
      </c>
      <c r="BE177" s="39" t="n">
        <f aca="false">IFERROR(IF($C177="","",IF($D177="","",IFERROR(ROUND($D177*INDEX('🔖 배합비 참조'!$B$2:$CE$83,MATCH("쑥가루(국내산)",'🔖 배합비 참조'!$A$2:$A$83,0),MATCH($C177,'🔖 배합비 참조'!$B$1:$CE$1,0))/100,0),""))),"")</f>
        <v>0</v>
      </c>
      <c r="BF177" s="39" t="n">
        <f aca="false">IFERROR(IF($C177="","",IF($D177="","",IFERROR(ROUND($D177*INDEX('🔖 배합비 참조'!$B$2:$CE$83,MATCH("아몬드슬라이스",'🔖 배합비 참조'!$A$2:$A$83,0),MATCH($C177,'🔖 배합비 참조'!$B$1:$CE$1,0))/100,0),""))),"")</f>
        <v>0</v>
      </c>
      <c r="BG177" s="39" t="n">
        <f aca="false">IFERROR(IF($C177="","",IF($D177="","",IFERROR(ROUND($D177*INDEX('🔖 배합비 참조'!$B$2:$CE$83,MATCH("알룰로오스(국내산)",'🔖 배합비 참조'!$A$2:$A$83,0),MATCH($C177,'🔖 배합비 참조'!$B$1:$CE$1,0))/100,0),""))),"")</f>
        <v>0</v>
      </c>
      <c r="BH177" s="39" t="n">
        <f aca="false">IFERROR(IF($C177="","",IF($D177="","",IFERROR(ROUND($D177*INDEX('🔖 배합비 참조'!$B$2:$CE$83,MATCH("연유",'🔖 배합비 참조'!$A$2:$A$83,0),MATCH($C177,'🔖 배합비 참조'!$B$1:$CE$1,0))/100,0),""))),"")</f>
        <v>1</v>
      </c>
      <c r="BI177" s="39" t="n">
        <f aca="false">IFERROR(IF($C177="","",IF($D177="","",IFERROR(ROUND($D177*INDEX('🔖 배합비 참조'!$B$2:$CE$83,MATCH("옥수수전분",'🔖 배합비 참조'!$A$2:$A$83,0),MATCH($C177,'🔖 배합비 참조'!$B$1:$CE$1,0))/100,0),""))),"")</f>
        <v>0</v>
      </c>
      <c r="BJ177" s="39" t="n">
        <f aca="false">IFERROR(IF($C177="","",IF($D177="","",IFERROR(ROUND($D177*INDEX('🔖 배합비 참조'!$B$2:$CE$83,MATCH("완두배기",'🔖 배합비 참조'!$A$2:$A$83,0),MATCH($C177,'🔖 배합비 참조'!$B$1:$CE$1,0))/100,0),""))),"")</f>
        <v>0</v>
      </c>
      <c r="BK177" s="39" t="n">
        <f aca="false">IFERROR(IF($C177="","",IF($D177="","",IFERROR(ROUND($D177*INDEX('🔖 배합비 참조'!$B$2:$CE$83,MATCH("우유(국내산)",'🔖 배합비 참조'!$A$2:$A$83,0),MATCH($C177,'🔖 배합비 참조'!$B$1:$CE$1,0))/100,0),""))),"")</f>
        <v>0</v>
      </c>
      <c r="BL177" s="39" t="n">
        <f aca="false">IFERROR(IF($C177="","",IF($D177="","",IFERROR(ROUND($D177*INDEX('🔖 배합비 참조'!$B$2:$CE$83,MATCH("자색고구마가루(중국산)",'🔖 배합비 참조'!$A$2:$A$83,0),MATCH($C177,'🔖 배합비 참조'!$B$1:$CE$1,0))/100,0),""))),"")</f>
        <v>0</v>
      </c>
      <c r="BM177" s="39" t="n">
        <f aca="false">IFERROR(IF($C177="","",IF($D177="","",IFERROR(ROUND($D177*INDEX('🔖 배합비 참조'!$B$2:$CE$83,MATCH("자연치즈(체다치즈)",'🔖 배합비 참조'!$A$2:$A$83,0),MATCH($C177,'🔖 배합비 참조'!$B$1:$CE$1,0))/100,0),""))),"")</f>
        <v>0</v>
      </c>
      <c r="BN177" s="39" t="n">
        <f aca="false">IFERROR(IF($C177="","",IF($D177="","",IFERROR(ROUND($D177*INDEX('🔖 배합비 참조'!$B$2:$CE$83,MATCH("정제수",'🔖 배합비 참조'!$A$2:$A$83,0),MATCH($C177,'🔖 배합비 참조'!$B$1:$CE$1,0))/100,0),""))),"")</f>
        <v>7</v>
      </c>
      <c r="BO177" s="39" t="n">
        <f aca="false">IFERROR(IF($C177="","",IF($D177="","",IFERROR(ROUND($D177*INDEX('🔖 배합비 참조'!$B$2:$CE$83,MATCH("젤라틴",'🔖 배합비 참조'!$A$2:$A$83,0),MATCH($C177,'🔖 배합비 참조'!$B$1:$CE$1,0))/100,0),""))),"")</f>
        <v>1</v>
      </c>
      <c r="BP177" s="39" t="n">
        <f aca="false">IFERROR(IF($C177="","",IF($D177="","",IFERROR(ROUND($D177*INDEX('🔖 배합비 참조'!$B$2:$CE$83,MATCH("조림류(백옥앙금)",'🔖 배합비 참조'!$A$2:$A$83,0),MATCH($C177,'🔖 배합비 참조'!$B$1:$CE$1,0))/100,0),""))),"")</f>
        <v>22</v>
      </c>
      <c r="BQ177" s="39" t="n">
        <f aca="false">IFERROR(IF($C177="","",IF($D177="","",IFERROR(ROUND($D177*INDEX('🔖 배합비 참조'!$B$2:$CE$83,MATCH("조림류(통팥앙금)",'🔖 배합비 참조'!$A$2:$A$83,0),MATCH($C177,'🔖 배합비 참조'!$B$1:$CE$1,0))/100,0),""))),"")</f>
        <v>0</v>
      </c>
      <c r="BR177" s="39" t="n">
        <f aca="false">IFERROR(IF($C177="","",IF($D177="","",IFERROR(ROUND($D177*INDEX('🔖 배합비 참조'!$B$2:$CE$83,MATCH("준초콜릿(외국산)",'🔖 배합비 참조'!$A$2:$A$83,0),MATCH($C177,'🔖 배합비 참조'!$B$1:$CE$1,0))/100,0),""))),"")</f>
        <v>0</v>
      </c>
      <c r="BS177" s="39" t="n">
        <f aca="false">IFERROR(IF($C177="","",IF($D177="","",IFERROR(ROUND($D177*INDEX('🔖 배합비 참조'!$B$2:$CE$83,MATCH("중력분",'🔖 배합비 참조'!$A$2:$A$83,0),MATCH($C177,'🔖 배합비 참조'!$B$1:$CE$1,0))/100,0),""))),"")</f>
        <v>1</v>
      </c>
      <c r="BT177" s="39" t="n">
        <f aca="false">IFERROR(IF($C177="","",IF($D177="","",IFERROR(ROUND($D177*INDEX('🔖 배합비 참조'!$B$2:$CE$83,MATCH("참깨(인도산,나이지리아산,탄자니아산,미얀마산)",'🔖 배합비 참조'!$A$2:$A$83,0),MATCH($C177,'🔖 배합비 참조'!$B$1:$CE$1,0))/100,0),""))),"")</f>
        <v>0</v>
      </c>
      <c r="BU177" s="39" t="n">
        <f aca="false">IFERROR(IF($C177="","",IF($D177="","",IFERROR(ROUND($D177*INDEX('🔖 배합비 참조'!$B$2:$CE$83,MATCH("찹쌀(국내산)",'🔖 배합비 참조'!$A$2:$A$83,0),MATCH($C177,'🔖 배합비 참조'!$B$1:$CE$1,0))/100,0),""))),"")</f>
        <v>117</v>
      </c>
      <c r="BV177" s="39" t="n">
        <f aca="false">IFERROR(IF($C177="","",IF($D177="","",IFERROR(ROUND($D177*INDEX('🔖 배합비 참조'!$B$2:$CE$83,MATCH("천일염",'🔖 배합비 참조'!$A$2:$A$83,0),MATCH($C177,'🔖 배합비 참조'!$B$1:$CE$1,0))/100,0),""))),"")</f>
        <v>0</v>
      </c>
      <c r="BW177" s="39" t="n">
        <f aca="false">IFERROR(IF($C177="","",IF($D177="","",IFERROR(ROUND($D177*INDEX('🔖 배합비 참조'!$B$2:$CE$83,MATCH("치즈 [크림치즈]",'🔖 배합비 참조'!$A$2:$A$83,0),MATCH($C177,'🔖 배합비 참조'!$B$1:$CE$1,0))/100,0),""))),"")</f>
        <v>15</v>
      </c>
      <c r="BX177" s="39" t="n">
        <f aca="false">IFERROR(IF($C177="","",IF($D177="","",IFERROR(ROUND($D177*INDEX('🔖 배합비 참조'!$B$2:$CE$83,MATCH("코코아가공품류(코코아분말)",'🔖 배합비 참조'!$A$2:$A$83,0),MATCH($C177,'🔖 배합비 참조'!$B$1:$CE$1,0))/100,0),""))),"")</f>
        <v>0</v>
      </c>
      <c r="BY177" s="39" t="n">
        <f aca="false">IFERROR(IF($C177="","",IF($D177="","",IFERROR(ROUND($D177*INDEX('🔖 배합비 참조'!$B$2:$CE$83,MATCH("콩기름(대두유)",'🔖 배합비 참조'!$A$2:$A$83,0),MATCH($C177,'🔖 배합비 참조'!$B$1:$CE$1,0))/100,0),""))),"")</f>
        <v>0</v>
      </c>
      <c r="BZ177" s="39" t="n">
        <f aca="false">IFERROR(IF($C177="","",IF($D177="","",IFERROR(ROUND($D177*INDEX('🔖 배합비 참조'!$B$2:$CE$83,MATCH("해바라기씨앗",'🔖 배합비 참조'!$A$2:$A$83,0),MATCH($C177,'🔖 배합비 참조'!$B$1:$CE$1,0))/100,0),""))),"")</f>
        <v>0</v>
      </c>
      <c r="CA177" s="39" t="n">
        <f aca="false">IFERROR(IF($C177="","",IF($D177="","",IFERROR(ROUND($D177*INDEX('🔖 배합비 참조'!$B$2:$CE$83,MATCH("현미(국내산)",'🔖 배합비 참조'!$A$2:$A$83,0),MATCH($C177,'🔖 배합비 참조'!$B$1:$CE$1,0))/100,0),""))),"")</f>
        <v>0</v>
      </c>
      <c r="CB177" s="39" t="n">
        <f aca="false">IFERROR(IF($C177="","",IF($D177="","",IFERROR(ROUND($D177*INDEX('🔖 배합비 참조'!$B$2:$CE$83,MATCH("현미멥쌀(국내산)",'🔖 배합비 참조'!$A$2:$A$83,0),MATCH($C177,'🔖 배합비 참조'!$B$1:$CE$1,0))/100,0),""))),"")</f>
        <v>0</v>
      </c>
      <c r="CC177" s="39" t="n">
        <f aca="false">IFERROR(IF($C177="","",IF($D177="","",IFERROR(ROUND($D177*INDEX('🔖 배합비 참조'!$B$2:$CE$83,MATCH("호두분태(미국산)",'🔖 배합비 참조'!$A$2:$A$83,0),MATCH($C177,'🔖 배합비 참조'!$B$1:$CE$1,0))/100,0),""))),"")</f>
        <v>0</v>
      </c>
      <c r="CD177" s="39" t="n">
        <f aca="false">IFERROR(IF($C177="","",IF($D177="","",IFERROR(ROUND($D177*INDEX('🔖 배합비 참조'!$B$2:$CE$83,MATCH("호박씨앗(외국산)",'🔖 배합비 참조'!$A$2:$A$83,0),MATCH($C177,'🔖 배합비 참조'!$B$1:$CE$1,0))/100,0),""))),"")</f>
        <v>0</v>
      </c>
      <c r="CE177" s="39" t="n">
        <f aca="false">IFERROR(IF($C177="","",IF($D177="","",IFERROR(ROUND($D177*INDEX('🔖 배합비 참조'!$B$2:$CE$83,MATCH("혼합제제(떡용에스텔)",'🔖 배합비 참조'!$A$2:$A$83,0),MATCH($C177,'🔖 배합비 참조'!$B$1:$CE$1,0))/100,0),""))),"")</f>
        <v>0</v>
      </c>
      <c r="CF177" s="39" t="n">
        <f aca="false">IFERROR(IF($C177="","",IF($D177="","",IFERROR(ROUND($D177*INDEX('🔖 배합비 참조'!$B$2:$CE$83,MATCH("혼합제제(스테비아)",'🔖 배합비 참조'!$A$2:$A$83,0),MATCH($C177,'🔖 배합비 참조'!$B$1:$CE$1,0))/100,0),""))),"")</f>
        <v>0</v>
      </c>
      <c r="CG177" s="39" t="n">
        <f aca="false">IFERROR(IF($C177="","",IF($D177="","",IFERROR(ROUND($D177*INDEX('🔖 배합비 참조'!$B$2:$CE$83,MATCH("화이트초콜릿",'🔖 배합비 참조'!$A$2:$A$83,0),MATCH($C177,'🔖 배합비 참조'!$B$1:$CE$1,0))/100,0),""))),"")</f>
        <v>5</v>
      </c>
      <c r="CH177" s="39" t="n">
        <f aca="false">IFERROR(IF($C177="","",IF($D177="","",IFERROR(ROUND($D177*INDEX('🔖 배합비 참조'!$B$2:$CE$83,MATCH("흑미찹쌀(국내산)",'🔖 배합비 참조'!$A$2:$A$83,0),MATCH($C177,'🔖 배합비 참조'!$B$1:$CE$1,0))/100,0),""))),"")</f>
        <v>0</v>
      </c>
      <c r="CI177" s="39" t="n">
        <f aca="false">IFERROR(IF($C177="","",IF($D177="","",IFERROR(ROUND($D177*INDEX('🔖 배합비 참조'!$B$2:$CE$83,MATCH("찰옥수수전분(미국산)",'🔖 배합비 참조'!$A$2:$A$83,0),MATCH($C177,'🔖 배합비 참조'!$B$1:$CE$1,0))/100,0),""))),"")</f>
        <v>0</v>
      </c>
      <c r="CJ177" s="40"/>
      <c r="CL177" s="1" t="s">
        <v>245</v>
      </c>
    </row>
    <row r="178" customFormat="false" ht="18" hidden="false" customHeight="true" outlineLevel="0" collapsed="false">
      <c r="A178" s="41" t="n">
        <v>174</v>
      </c>
      <c r="B178" s="36" t="n">
        <v>46042</v>
      </c>
      <c r="C178" s="37" t="s">
        <v>240</v>
      </c>
      <c r="D178" s="38" t="n">
        <v>220</v>
      </c>
      <c r="E178" s="17"/>
      <c r="F178" s="17"/>
      <c r="G178" s="42" t="n">
        <f aca="false">IFERROR(IF($C178="","",IF($D178="","",IFERROR(ROUND($D178*INDEX('🔖 배합비 참조'!$B$2:$CE$83,MATCH("간장",'🔖 배합비 참조'!$A$2:$A$83,0),MATCH($C178,'🔖 배합비 참조'!$B$1:$CE$1,0))/100,0),""))),"")</f>
        <v>0</v>
      </c>
      <c r="H178" s="42" t="n">
        <f aca="false">IFERROR(IF($C178="","",IF($D178="","",IFERROR(ROUND($D178*INDEX('🔖 배합비 참조'!$B$2:$CE$83,MATCH("강낭콩((울타리콩))",'🔖 배합비 참조'!$A$2:$A$83,0),MATCH($C178,'🔖 배합비 참조'!$B$1:$CE$1,0))/100,0),""))),"")</f>
        <v>0</v>
      </c>
      <c r="I178" s="42" t="n">
        <f aca="false">IFERROR(IF($C178="","",IF($D178="","",IFERROR(ROUND($D178*INDEX('🔖 배합비 참조'!$B$2:$CE$83,MATCH("건조딸기다이스(외국산)",'🔖 배합비 참조'!$A$2:$A$83,0),MATCH($C178,'🔖 배합비 참조'!$B$1:$CE$1,0))/100,0),""))),"")</f>
        <v>0</v>
      </c>
      <c r="J178" s="42" t="n">
        <f aca="false">IFERROR(IF($C178="","",IF($D178="","",IFERROR(ROUND($D178*INDEX('🔖 배합비 참조'!$B$2:$CE$83,MATCH("건포도",'🔖 배합비 참조'!$A$2:$A$83,0),MATCH($C178,'🔖 배합비 참조'!$B$1:$CE$1,0))/100,0),""))),"")</f>
        <v>0</v>
      </c>
      <c r="K178" s="42" t="n">
        <f aca="false">IFERROR(IF($C178="","",IF($D178="","",IFERROR(ROUND($D178*INDEX('🔖 배합비 참조'!$B$2:$CE$83,MATCH("건호박채(중국산)",'🔖 배합비 참조'!$A$2:$A$83,0),MATCH($C178,'🔖 배합비 참조'!$B$1:$CE$1,0))/100,0),""))),"")</f>
        <v>0</v>
      </c>
      <c r="L178" s="42" t="n">
        <f aca="false">IFERROR(IF($C178="","",IF($D178="","",IFERROR(ROUND($D178*INDEX('🔖 배합비 참조'!$B$2:$CE$83,MATCH("검정깨(흑임자)",'🔖 배합비 참조'!$A$2:$A$83,0),MATCH($C178,'🔖 배합비 참조'!$B$1:$CE$1,0))/100,0),""))),"")</f>
        <v>0</v>
      </c>
      <c r="M178" s="42" t="n">
        <f aca="false">IFERROR(IF($C178="","",IF($D178="","",IFERROR(ROUND($D178*INDEX('🔖 배합비 참조'!$B$2:$CE$83,MATCH("검정콩",'🔖 배합비 참조'!$A$2:$A$83,0),MATCH($C178,'🔖 배합비 참조'!$B$1:$CE$1,0))/100,0),""))),"")</f>
        <v>0</v>
      </c>
      <c r="N178" s="42" t="n">
        <f aca="false">IFERROR(IF($C178="","",IF($D178="","",IFERROR(ROUND($D178*INDEX('🔖 배합비 참조'!$B$2:$CE$83,MATCH("계피가루",'🔖 배합비 참조'!$A$2:$A$83,0),MATCH($C178,'🔖 배합비 참조'!$B$1:$CE$1,0))/100,0),""))),"")</f>
        <v>0</v>
      </c>
      <c r="O178" s="42" t="n">
        <f aca="false">IFERROR(IF($C178="","",IF($D178="","",IFERROR(ROUND($D178*INDEX('🔖 배합비 참조'!$B$2:$CE$83,MATCH("고구마가루",'🔖 배합비 참조'!$A$2:$A$83,0),MATCH($C178,'🔖 배합비 참조'!$B$1:$CE$1,0))/100,0),""))),"")</f>
        <v>0</v>
      </c>
      <c r="P178" s="42" t="n">
        <f aca="false">IFERROR(IF($C178="","",IF($D178="","",IFERROR(ROUND($D178*INDEX('🔖 배합비 참조'!$B$2:$CE$83,MATCH("고구마무스",'🔖 배합비 참조'!$A$2:$A$83,0),MATCH($C178,'🔖 배합비 참조'!$B$1:$CE$1,0))/100,0),""))),"")</f>
        <v>0</v>
      </c>
      <c r="Q178" s="42" t="n">
        <f aca="false">IFERROR(IF($C178="","",IF($D178="","",IFERROR(ROUND($D178*INDEX('🔖 배합비 참조'!$B$2:$CE$83,MATCH("고려엉겅퀴((곤드레)국내산)",'🔖 배합비 참조'!$A$2:$A$83,0),MATCH($C178,'🔖 배합비 참조'!$B$1:$CE$1,0))/100,0),""))),"")</f>
        <v>0</v>
      </c>
      <c r="R178" s="42" t="n">
        <f aca="false">IFERROR(IF($C178="","",IF($D178="","",IFERROR(ROUND($D178*INDEX('🔖 배합비 참조'!$B$2:$CE$83,MATCH("기타가공품(복분자가루)",'🔖 배합비 참조'!$A$2:$A$83,0),MATCH($C178,'🔖 배합비 참조'!$B$1:$CE$1,0))/100,0),""))),"")</f>
        <v>0</v>
      </c>
      <c r="S178" s="42" t="n">
        <f aca="false">IFERROR(IF($C178="","",IF($D178="","",IFERROR(ROUND($D178*INDEX('🔖 배합비 참조'!$B$2:$CE$83,MATCH("기타가공품(슈퍼소프트엠)",'🔖 배합비 참조'!$A$2:$A$83,0),MATCH($C178,'🔖 배합비 참조'!$B$1:$CE$1,0))/100,0),""))),"")</f>
        <v>0</v>
      </c>
      <c r="T178" s="42" t="n">
        <f aca="false">IFERROR(IF($C178="","",IF($D178="","",IFERROR(ROUND($D178*INDEX('🔖 배합비 참조'!$B$2:$CE$83,MATCH("기타가공품(파인소프트 E-티)",'🔖 배합비 참조'!$A$2:$A$83,0),MATCH($C178,'🔖 배합비 참조'!$B$1:$CE$1,0))/100,0),""))),"")</f>
        <v>0</v>
      </c>
      <c r="U178" s="42" t="n">
        <f aca="false">IFERROR(IF($C178="","",IF($D178="","",IFERROR(ROUND($D178*INDEX('🔖 배합비 참조'!$B$2:$CE$83,MATCH("기타가공품(프리미엄카스테라가루)",'🔖 배합비 참조'!$A$2:$A$83,0),MATCH($C178,'🔖 배합비 참조'!$B$1:$CE$1,0))/100,0),""))),"")</f>
        <v>7</v>
      </c>
      <c r="V178" s="42" t="n">
        <f aca="false">IFERROR(IF($C178="","",IF($D178="","",IFERROR(ROUND($D178*INDEX('🔖 배합비 참조'!$B$2:$CE$83,MATCH("기타가공품(흑임자가루)",'🔖 배합비 참조'!$A$2:$A$83,0),MATCH($C178,'🔖 배합비 참조'!$B$1:$CE$1,0))/100,0),""))),"")</f>
        <v>0</v>
      </c>
      <c r="W178" s="42" t="n">
        <f aca="false">IFERROR(IF($C178="","",IF($D178="","",IFERROR(ROUND($D178*INDEX('🔖 배합비 참조'!$B$2:$CE$83,MATCH("기타설탕(흑설탕)",'🔖 배합비 참조'!$A$2:$A$83,0),MATCH($C178,'🔖 배합비 참조'!$B$1:$CE$1,0))/100,0),""))),"")</f>
        <v>0</v>
      </c>
      <c r="X178" s="42" t="n">
        <f aca="false">IFERROR(IF($C178="","",IF($D178="","",IFERROR(ROUND($D178*INDEX('🔖 배합비 참조'!$B$2:$CE$83,MATCH("냉동쑥(국내산)",'🔖 배합비 참조'!$A$2:$A$83,0),MATCH($C178,'🔖 배합비 참조'!$B$1:$CE$1,0))/100,0),""))),"")</f>
        <v>0</v>
      </c>
      <c r="Y178" s="42" t="n">
        <f aca="false">IFERROR(IF($C178="","",IF($D178="","",IFERROR(ROUND($D178*INDEX('🔖 배합비 참조'!$B$2:$CE$83,MATCH("냉동증숙고구마(중국산)",'🔖 배합비 참조'!$A$2:$A$83,0),MATCH($C178,'🔖 배합비 참조'!$B$1:$CE$1,0))/100,0),""))),"")</f>
        <v>0</v>
      </c>
      <c r="Z178" s="42" t="n">
        <f aca="false">IFERROR(IF($C178="","",IF($D178="","",IFERROR(ROUND($D178*INDEX('🔖 배합비 참조'!$B$2:$CE$83,MATCH("녹차가루",'🔖 배합비 참조'!$A$2:$A$83,0),MATCH($C178,'🔖 배합비 참조'!$B$1:$CE$1,0))/100,0),""))),"")</f>
        <v>0</v>
      </c>
      <c r="AA178" s="42" t="n">
        <f aca="false">IFERROR(IF($C178="","",IF($D178="","",IFERROR(ROUND($D178*INDEX('🔖 배합비 참조'!$B$2:$CE$83,MATCH("다크초콜릿 컴파운드칩",'🔖 배합비 참조'!$A$2:$A$83,0),MATCH($C178,'🔖 배합비 참조'!$B$1:$CE$1,0))/100,0),""))),"")</f>
        <v>0</v>
      </c>
      <c r="AB178" s="42" t="n">
        <f aca="false">IFERROR(IF($C178="","",IF($D178="","",IFERROR(ROUND($D178*INDEX('🔖 배합비 참조'!$B$2:$CE$83,MATCH("단호박분말(중국산)",'🔖 배합비 참조'!$A$2:$A$83,0),MATCH($C178,'🔖 배합비 참조'!$B$1:$CE$1,0))/100,0),""))),"")</f>
        <v>0</v>
      </c>
      <c r="AC178" s="42" t="n">
        <f aca="false">IFERROR(IF($C178="","",IF($D178="","",IFERROR(ROUND($D178*INDEX('🔖 배합비 참조'!$B$2:$CE$83,MATCH("당류가공품(단호박농축액)",'🔖 배합비 참조'!$A$2:$A$83,0),MATCH($C178,'🔖 배합비 참조'!$B$1:$CE$1,0))/100,0),""))),"")</f>
        <v>0</v>
      </c>
      <c r="AD178" s="42" t="n">
        <f aca="false">IFERROR(IF($C178="","",IF($D178="","",IFERROR(ROUND($D178*INDEX('🔖 배합비 참조'!$B$2:$CE$83,MATCH("당류가공품(알룰로스,에리스리톨,스테비올배당체혼합)",'🔖 배합비 참조'!$A$2:$A$83,0),MATCH($C178,'🔖 배합비 참조'!$B$1:$CE$1,0))/100,0),""))),"")</f>
        <v>0</v>
      </c>
      <c r="AE178" s="42" t="n">
        <f aca="false">IFERROR(IF($C178="","",IF($D178="","",IFERROR(ROUND($D178*INDEX('🔖 배합비 참조'!$B$2:$CE$83,MATCH("당류가공품(알룰로스제로파우더)",'🔖 배합비 참조'!$A$2:$A$83,0),MATCH($C178,'🔖 배합비 참조'!$B$1:$CE$1,0))/100,0),""))),"")</f>
        <v>0</v>
      </c>
      <c r="AF178" s="42" t="n">
        <f aca="false">IFERROR(IF($C178="","",IF($D178="","",IFERROR(ROUND($D178*INDEX('🔖 배합비 참조'!$B$2:$CE$83,MATCH("당절임(완두배기)",'🔖 배합비 참조'!$A$2:$A$83,0),MATCH($C178,'🔖 배합비 참조'!$B$1:$CE$1,0))/100,0),""))),"")</f>
        <v>0</v>
      </c>
      <c r="AG178" s="42" t="n">
        <f aca="false">IFERROR(IF($C178="","",IF($D178="","",IFERROR(ROUND($D178*INDEX('🔖 배합비 참조'!$B$2:$CE$83,MATCH("대추농축액",'🔖 배합비 참조'!$A$2:$A$83,0),MATCH($C178,'🔖 배합비 참조'!$B$1:$CE$1,0))/100,0),""))),"")</f>
        <v>0</v>
      </c>
      <c r="AH178" s="42" t="n">
        <f aca="false">IFERROR(IF($C178="","",IF($D178="","",IFERROR(ROUND($D178*INDEX('🔖 배합비 참조'!$B$2:$CE$83,MATCH("대추채(국내산)",'🔖 배합비 참조'!$A$2:$A$83,0),MATCH($C178,'🔖 배합비 참조'!$B$1:$CE$1,0))/100,0),""))),"")</f>
        <v>0</v>
      </c>
      <c r="AI178" s="42" t="n">
        <f aca="false">IFERROR(IF($C178="","",IF($D178="","",IFERROR(ROUND($D178*INDEX('🔖 배합비 참조'!$B$2:$CE$83,MATCH("동부(미얀마산)",'🔖 배합비 참조'!$A$2:$A$83,0),MATCH($C178,'🔖 배합비 참조'!$B$1:$CE$1,0))/100,0),""))),"")</f>
        <v>0</v>
      </c>
      <c r="AJ178" s="42" t="n">
        <f aca="false">IFERROR(IF($C178="","",IF($D178="","",IFERROR(ROUND($D178*INDEX('🔖 배합비 참조'!$B$2:$CE$83,MATCH("두류가공품(백옥앙금)",'🔖 배합비 참조'!$A$2:$A$83,0),MATCH($C178,'🔖 배합비 참조'!$B$1:$CE$1,0))/100,0),""))),"")</f>
        <v>0</v>
      </c>
      <c r="AK178" s="42" t="n">
        <f aca="false">IFERROR(IF($C178="","",IF($D178="","",IFERROR(ROUND($D178*INDEX('🔖 배합비 참조'!$B$2:$CE$83,MATCH("두류가공품(콩고물)",'🔖 배합비 참조'!$A$2:$A$83,0),MATCH($C178,'🔖 배합비 참조'!$B$1:$CE$1,0))/100,0),""))),"")</f>
        <v>0</v>
      </c>
      <c r="AL178" s="42" t="n">
        <f aca="false">IFERROR(IF($C178="","",IF($D178="","",IFERROR(ROUND($D178*INDEX('🔖 배합비 참조'!$B$2:$CE$83,MATCH("두류가공품(통팥고물)",'🔖 배합비 참조'!$A$2:$A$83,0),MATCH($C178,'🔖 배합비 참조'!$B$1:$CE$1,0))/100,0),""))),"")</f>
        <v>0</v>
      </c>
      <c r="AM178" s="42" t="n">
        <f aca="false">IFERROR(IF($C178="","",IF($D178="","",IFERROR(ROUND($D178*INDEX('🔖 배합비 참조'!$B$2:$CE$83,MATCH("딸기레진",'🔖 배합비 참조'!$A$2:$A$83,0),MATCH($C178,'🔖 배합비 참조'!$B$1:$CE$1,0))/100,0),""))),"")</f>
        <v>8</v>
      </c>
      <c r="AN178" s="42" t="n">
        <f aca="false">IFERROR(IF($C178="","",IF($D178="","",IFERROR(ROUND($D178*INDEX('🔖 배합비 참조'!$B$2:$CE$83,MATCH("딸기분말(스트로우베리에이드(분말))",'🔖 배합비 참조'!$A$2:$A$83,0),MATCH($C178,'🔖 배합비 참조'!$B$1:$CE$1,0))/100,0),""))),"")</f>
        <v>0</v>
      </c>
      <c r="AO178" s="42" t="n">
        <f aca="false">IFERROR(IF($C178="","",IF($D178="","",IFERROR(ROUND($D178*INDEX('🔖 배합비 참조'!$B$2:$CE$83,MATCH("마스카포네치즈",'🔖 배합비 참조'!$A$2:$A$83,0),MATCH($C178,'🔖 배합비 참조'!$B$1:$CE$1,0))/100,0),""))),"")</f>
        <v>0</v>
      </c>
      <c r="AP178" s="42" t="n">
        <f aca="false">IFERROR(IF($C178="","",IF($D178="","",IFERROR(ROUND($D178*INDEX('🔖 배합비 참조'!$B$2:$CE$83,MATCH("마카다미아분태(호주산)",'🔖 배합비 참조'!$A$2:$A$83,0),MATCH($C178,'🔖 배합비 참조'!$B$1:$CE$1,0))/100,0),""))),"")</f>
        <v>0</v>
      </c>
      <c r="AQ178" s="42" t="n">
        <f aca="false">IFERROR(IF($C178="","",IF($D178="","",IFERROR(ROUND($D178*INDEX('🔖 배합비 참조'!$B$2:$CE$83,MATCH("멥쌀(국내산)",'🔖 배합비 참조'!$A$2:$A$83,0),MATCH($C178,'🔖 배합비 참조'!$B$1:$CE$1,0))/100,0),""))),"")</f>
        <v>0</v>
      </c>
      <c r="AR178" s="42" t="n">
        <f aca="false">IFERROR(IF($C178="","",IF($D178="","",IFERROR(ROUND($D178*INDEX('🔖 배합비 참조'!$B$2:$CE$83,MATCH("모시잎(국내산)",'🔖 배합비 참조'!$A$2:$A$83,0),MATCH($C178,'🔖 배합비 참조'!$B$1:$CE$1,0))/100,0),""))),"")</f>
        <v>0</v>
      </c>
      <c r="AS178" s="42" t="n">
        <f aca="false">IFERROR(IF($C178="","",IF($D178="","",IFERROR(ROUND($D178*INDEX('🔖 배합비 참조'!$B$2:$CE$83,MATCH("물엿(저당물엿)",'🔖 배합비 참조'!$A$2:$A$83,0),MATCH($C178,'🔖 배합비 참조'!$B$1:$CE$1,0))/100,0),""))),"")</f>
        <v>12</v>
      </c>
      <c r="AT178" s="42" t="n">
        <f aca="false">IFERROR(IF($C178="","",IF($D178="","",IFERROR(ROUND($D178*INDEX('🔖 배합비 참조'!$B$2:$CE$83,MATCH("밤다이스",'🔖 배합비 참조'!$A$2:$A$83,0),MATCH($C178,'🔖 배합비 참조'!$B$1:$CE$1,0))/100,0),""))),"")</f>
        <v>0</v>
      </c>
      <c r="AU178" s="42" t="n">
        <f aca="false">IFERROR(IF($C178="","",IF($D178="","",IFERROR(ROUND($D178*INDEX('🔖 배합비 참조'!$B$2:$CE$83,MATCH("변성전분(타피오카전분)",'🔖 배합비 참조'!$A$2:$A$83,0),MATCH($C178,'🔖 배합비 참조'!$B$1:$CE$1,0))/100,0),""))),"")</f>
        <v>0</v>
      </c>
      <c r="AV178" s="42" t="n">
        <f aca="false">IFERROR(IF($C178="","",IF($D178="","",IFERROR(ROUND($D178*INDEX('🔖 배합비 참조'!$B$2:$CE$83,MATCH("복음땅콩분태",'🔖 배합비 참조'!$A$2:$A$83,0),MATCH($C178,'🔖 배합비 참조'!$B$1:$CE$1,0))/100,0),""))),"")</f>
        <v>0</v>
      </c>
      <c r="AW178" s="42" t="n">
        <f aca="false">IFERROR(IF($C178="","",IF($D178="","",IFERROR(ROUND($D178*INDEX('🔖 배합비 참조'!$B$2:$CE$83,MATCH("사양벌꿀(국내산)",'🔖 배합비 참조'!$A$2:$A$83,0),MATCH($C178,'🔖 배합비 참조'!$B$1:$CE$1,0))/100,0),""))),"")</f>
        <v>0</v>
      </c>
      <c r="AX178" s="42" t="n">
        <f aca="false">IFERROR(IF($C178="","",IF($D178="","",IFERROR(ROUND($D178*INDEX('🔖 배합비 참조'!$B$2:$CE$83,MATCH("생크림",'🔖 배합비 참조'!$A$2:$A$83,0),MATCH($C178,'🔖 배합비 참조'!$B$1:$CE$1,0))/100,0),""))),"")</f>
        <v>15</v>
      </c>
      <c r="AY178" s="42" t="n">
        <f aca="false">IFERROR(IF($C178="","",IF($D178="","",IFERROR(ROUND($D178*INDEX('🔖 배합비 참조'!$B$2:$CE$83,MATCH("서양호박(국내산,뉴질랜드산)",'🔖 배합비 참조'!$A$2:$A$83,0),MATCH($C178,'🔖 배합비 참조'!$B$1:$CE$1,0))/100,0),""))),"")</f>
        <v>0</v>
      </c>
      <c r="AZ178" s="42" t="n">
        <f aca="false">IFERROR(IF($C178="","",IF($D178="","",IFERROR(ROUND($D178*INDEX('🔖 배합비 참조'!$B$2:$CE$83,MATCH("설탕",'🔖 배합비 참조'!$A$2:$A$83,0),MATCH($C178,'🔖 배합비 참조'!$B$1:$CE$1,0))/100,0),""))),"")</f>
        <v>3</v>
      </c>
      <c r="BA178" s="42" t="n">
        <f aca="false">IFERROR(IF($C178="","",IF($D178="","",IFERROR(ROUND($D178*INDEX('🔖 배합비 참조'!$B$2:$CE$83,MATCH("스트로우베리 에이드 후레쉬",'🔖 배합비 참조'!$A$2:$A$83,0),MATCH($C178,'🔖 배합비 참조'!$B$1:$CE$1,0))/100,0),""))),"")</f>
        <v>8</v>
      </c>
      <c r="BB178" s="42" t="n">
        <f aca="false">IFERROR(IF($C178="","",IF($D178="","",IFERROR(ROUND($D178*INDEX('🔖 배합비 참조'!$B$2:$CE$83,MATCH("식물성기름혼합제제(분홍)",'🔖 배합비 참조'!$A$2:$A$83,0),MATCH($C178,'🔖 배합비 참조'!$B$1:$CE$1,0))/100,0),""))),"")</f>
        <v>0</v>
      </c>
      <c r="BC178" s="42" t="n">
        <f aca="false">IFERROR(IF($C178="","",IF($D178="","",IFERROR(ROUND($D178*INDEX('🔖 배합비 참조'!$B$2:$CE$83,MATCH("식물성기름혼합제제(초록)",'🔖 배합비 참조'!$A$2:$A$83,0),MATCH($C178,'🔖 배합비 참조'!$B$1:$CE$1,0))/100,0),""))),"")</f>
        <v>0</v>
      </c>
      <c r="BD178" s="42" t="n">
        <f aca="false">IFERROR(IF($C178="","",IF($D178="","",IFERROR(ROUND($D178*INDEX('🔖 배합비 참조'!$B$2:$CE$83,MATCH("식물성기름혼합제제(황색)",'🔖 배합비 참조'!$A$2:$A$83,0),MATCH($C178,'🔖 배합비 참조'!$B$1:$CE$1,0))/100,0),""))),"")</f>
        <v>0</v>
      </c>
      <c r="BE178" s="42" t="n">
        <f aca="false">IFERROR(IF($C178="","",IF($D178="","",IFERROR(ROUND($D178*INDEX('🔖 배합비 참조'!$B$2:$CE$83,MATCH("쑥가루(국내산)",'🔖 배합비 참조'!$A$2:$A$83,0),MATCH($C178,'🔖 배합비 참조'!$B$1:$CE$1,0))/100,0),""))),"")</f>
        <v>0</v>
      </c>
      <c r="BF178" s="42" t="n">
        <f aca="false">IFERROR(IF($C178="","",IF($D178="","",IFERROR(ROUND($D178*INDEX('🔖 배합비 참조'!$B$2:$CE$83,MATCH("아몬드슬라이스",'🔖 배합비 참조'!$A$2:$A$83,0),MATCH($C178,'🔖 배합비 참조'!$B$1:$CE$1,0))/100,0),""))),"")</f>
        <v>0</v>
      </c>
      <c r="BG178" s="42" t="n">
        <f aca="false">IFERROR(IF($C178="","",IF($D178="","",IFERROR(ROUND($D178*INDEX('🔖 배합비 참조'!$B$2:$CE$83,MATCH("알룰로오스(국내산)",'🔖 배합비 참조'!$A$2:$A$83,0),MATCH($C178,'🔖 배합비 참조'!$B$1:$CE$1,0))/100,0),""))),"")</f>
        <v>0</v>
      </c>
      <c r="BH178" s="42" t="n">
        <f aca="false">IFERROR(IF($C178="","",IF($D178="","",IFERROR(ROUND($D178*INDEX('🔖 배합비 참조'!$B$2:$CE$83,MATCH("연유",'🔖 배합비 참조'!$A$2:$A$83,0),MATCH($C178,'🔖 배합비 참조'!$B$1:$CE$1,0))/100,0),""))),"")</f>
        <v>1</v>
      </c>
      <c r="BI178" s="42" t="n">
        <f aca="false">IFERROR(IF($C178="","",IF($D178="","",IFERROR(ROUND($D178*INDEX('🔖 배합비 참조'!$B$2:$CE$83,MATCH("옥수수전분",'🔖 배합비 참조'!$A$2:$A$83,0),MATCH($C178,'🔖 배합비 참조'!$B$1:$CE$1,0))/100,0),""))),"")</f>
        <v>0</v>
      </c>
      <c r="BJ178" s="42" t="n">
        <f aca="false">IFERROR(IF($C178="","",IF($D178="","",IFERROR(ROUND($D178*INDEX('🔖 배합비 참조'!$B$2:$CE$83,MATCH("완두배기",'🔖 배합비 참조'!$A$2:$A$83,0),MATCH($C178,'🔖 배합비 참조'!$B$1:$CE$1,0))/100,0),""))),"")</f>
        <v>0</v>
      </c>
      <c r="BK178" s="42" t="n">
        <f aca="false">IFERROR(IF($C178="","",IF($D178="","",IFERROR(ROUND($D178*INDEX('🔖 배합비 참조'!$B$2:$CE$83,MATCH("우유(국내산)",'🔖 배합비 참조'!$A$2:$A$83,0),MATCH($C178,'🔖 배합비 참조'!$B$1:$CE$1,0))/100,0),""))),"")</f>
        <v>0</v>
      </c>
      <c r="BL178" s="42" t="n">
        <f aca="false">IFERROR(IF($C178="","",IF($D178="","",IFERROR(ROUND($D178*INDEX('🔖 배합비 참조'!$B$2:$CE$83,MATCH("자색고구마가루(중국산)",'🔖 배합비 참조'!$A$2:$A$83,0),MATCH($C178,'🔖 배합비 참조'!$B$1:$CE$1,0))/100,0),""))),"")</f>
        <v>0</v>
      </c>
      <c r="BM178" s="42" t="n">
        <f aca="false">IFERROR(IF($C178="","",IF($D178="","",IFERROR(ROUND($D178*INDEX('🔖 배합비 참조'!$B$2:$CE$83,MATCH("자연치즈(체다치즈)",'🔖 배합비 참조'!$A$2:$A$83,0),MATCH($C178,'🔖 배합비 참조'!$B$1:$CE$1,0))/100,0),""))),"")</f>
        <v>0</v>
      </c>
      <c r="BN178" s="42" t="n">
        <f aca="false">IFERROR(IF($C178="","",IF($D178="","",IFERROR(ROUND($D178*INDEX('🔖 배합비 참조'!$B$2:$CE$83,MATCH("정제수",'🔖 배합비 참조'!$A$2:$A$83,0),MATCH($C178,'🔖 배합비 참조'!$B$1:$CE$1,0))/100,0),""))),"")</f>
        <v>7</v>
      </c>
      <c r="BO178" s="42" t="n">
        <f aca="false">IFERROR(IF($C178="","",IF($D178="","",IFERROR(ROUND($D178*INDEX('🔖 배합비 참조'!$B$2:$CE$83,MATCH("젤라틴",'🔖 배합비 참조'!$A$2:$A$83,0),MATCH($C178,'🔖 배합비 참조'!$B$1:$CE$1,0))/100,0),""))),"")</f>
        <v>1</v>
      </c>
      <c r="BP178" s="42" t="n">
        <f aca="false">IFERROR(IF($C178="","",IF($D178="","",IFERROR(ROUND($D178*INDEX('🔖 배합비 참조'!$B$2:$CE$83,MATCH("조림류(백옥앙금)",'🔖 배합비 참조'!$A$2:$A$83,0),MATCH($C178,'🔖 배합비 참조'!$B$1:$CE$1,0))/100,0),""))),"")</f>
        <v>22</v>
      </c>
      <c r="BQ178" s="42" t="n">
        <f aca="false">IFERROR(IF($C178="","",IF($D178="","",IFERROR(ROUND($D178*INDEX('🔖 배합비 참조'!$B$2:$CE$83,MATCH("조림류(통팥앙금)",'🔖 배합비 참조'!$A$2:$A$83,0),MATCH($C178,'🔖 배합비 참조'!$B$1:$CE$1,0))/100,0),""))),"")</f>
        <v>0</v>
      </c>
      <c r="BR178" s="42" t="n">
        <f aca="false">IFERROR(IF($C178="","",IF($D178="","",IFERROR(ROUND($D178*INDEX('🔖 배합비 참조'!$B$2:$CE$83,MATCH("준초콜릿(외국산)",'🔖 배합비 참조'!$A$2:$A$83,0),MATCH($C178,'🔖 배합비 참조'!$B$1:$CE$1,0))/100,0),""))),"")</f>
        <v>0</v>
      </c>
      <c r="BS178" s="42" t="n">
        <f aca="false">IFERROR(IF($C178="","",IF($D178="","",IFERROR(ROUND($D178*INDEX('🔖 배합비 참조'!$B$2:$CE$83,MATCH("중력분",'🔖 배합비 참조'!$A$2:$A$83,0),MATCH($C178,'🔖 배합비 참조'!$B$1:$CE$1,0))/100,0),""))),"")</f>
        <v>1</v>
      </c>
      <c r="BT178" s="42" t="n">
        <f aca="false">IFERROR(IF($C178="","",IF($D178="","",IFERROR(ROUND($D178*INDEX('🔖 배합비 참조'!$B$2:$CE$83,MATCH("참깨(인도산,나이지리아산,탄자니아산,미얀마산)",'🔖 배합비 참조'!$A$2:$A$83,0),MATCH($C178,'🔖 배합비 참조'!$B$1:$CE$1,0))/100,0),""))),"")</f>
        <v>0</v>
      </c>
      <c r="BU178" s="42" t="n">
        <f aca="false">IFERROR(IF($C178="","",IF($D178="","",IFERROR(ROUND($D178*INDEX('🔖 배합비 참조'!$B$2:$CE$83,MATCH("찹쌀(국내산)",'🔖 배합비 참조'!$A$2:$A$83,0),MATCH($C178,'🔖 배합비 참조'!$B$1:$CE$1,0))/100,0),""))),"")</f>
        <v>117</v>
      </c>
      <c r="BV178" s="42" t="n">
        <f aca="false">IFERROR(IF($C178="","",IF($D178="","",IFERROR(ROUND($D178*INDEX('🔖 배합비 참조'!$B$2:$CE$83,MATCH("천일염",'🔖 배합비 참조'!$A$2:$A$83,0),MATCH($C178,'🔖 배합비 참조'!$B$1:$CE$1,0))/100,0),""))),"")</f>
        <v>0</v>
      </c>
      <c r="BW178" s="42" t="n">
        <f aca="false">IFERROR(IF($C178="","",IF($D178="","",IFERROR(ROUND($D178*INDEX('🔖 배합비 참조'!$B$2:$CE$83,MATCH("치즈 [크림치즈]",'🔖 배합비 참조'!$A$2:$A$83,0),MATCH($C178,'🔖 배합비 참조'!$B$1:$CE$1,0))/100,0),""))),"")</f>
        <v>15</v>
      </c>
      <c r="BX178" s="42" t="n">
        <f aca="false">IFERROR(IF($C178="","",IF($D178="","",IFERROR(ROUND($D178*INDEX('🔖 배합비 참조'!$B$2:$CE$83,MATCH("코코아가공품류(코코아분말)",'🔖 배합비 참조'!$A$2:$A$83,0),MATCH($C178,'🔖 배합비 참조'!$B$1:$CE$1,0))/100,0),""))),"")</f>
        <v>0</v>
      </c>
      <c r="BY178" s="42" t="n">
        <f aca="false">IFERROR(IF($C178="","",IF($D178="","",IFERROR(ROUND($D178*INDEX('🔖 배합비 참조'!$B$2:$CE$83,MATCH("콩기름(대두유)",'🔖 배합비 참조'!$A$2:$A$83,0),MATCH($C178,'🔖 배합비 참조'!$B$1:$CE$1,0))/100,0),""))),"")</f>
        <v>0</v>
      </c>
      <c r="BZ178" s="42" t="n">
        <f aca="false">IFERROR(IF($C178="","",IF($D178="","",IFERROR(ROUND($D178*INDEX('🔖 배합비 참조'!$B$2:$CE$83,MATCH("해바라기씨앗",'🔖 배합비 참조'!$A$2:$A$83,0),MATCH($C178,'🔖 배합비 참조'!$B$1:$CE$1,0))/100,0),""))),"")</f>
        <v>0</v>
      </c>
      <c r="CA178" s="42" t="n">
        <f aca="false">IFERROR(IF($C178="","",IF($D178="","",IFERROR(ROUND($D178*INDEX('🔖 배합비 참조'!$B$2:$CE$83,MATCH("현미(국내산)",'🔖 배합비 참조'!$A$2:$A$83,0),MATCH($C178,'🔖 배합비 참조'!$B$1:$CE$1,0))/100,0),""))),"")</f>
        <v>0</v>
      </c>
      <c r="CB178" s="42" t="n">
        <f aca="false">IFERROR(IF($C178="","",IF($D178="","",IFERROR(ROUND($D178*INDEX('🔖 배합비 참조'!$B$2:$CE$83,MATCH("현미멥쌀(국내산)",'🔖 배합비 참조'!$A$2:$A$83,0),MATCH($C178,'🔖 배합비 참조'!$B$1:$CE$1,0))/100,0),""))),"")</f>
        <v>0</v>
      </c>
      <c r="CC178" s="42" t="n">
        <f aca="false">IFERROR(IF($C178="","",IF($D178="","",IFERROR(ROUND($D178*INDEX('🔖 배합비 참조'!$B$2:$CE$83,MATCH("호두분태(미국산)",'🔖 배합비 참조'!$A$2:$A$83,0),MATCH($C178,'🔖 배합비 참조'!$B$1:$CE$1,0))/100,0),""))),"")</f>
        <v>0</v>
      </c>
      <c r="CD178" s="42" t="n">
        <f aca="false">IFERROR(IF($C178="","",IF($D178="","",IFERROR(ROUND($D178*INDEX('🔖 배합비 참조'!$B$2:$CE$83,MATCH("호박씨앗(외국산)",'🔖 배합비 참조'!$A$2:$A$83,0),MATCH($C178,'🔖 배합비 참조'!$B$1:$CE$1,0))/100,0),""))),"")</f>
        <v>0</v>
      </c>
      <c r="CE178" s="42" t="n">
        <f aca="false">IFERROR(IF($C178="","",IF($D178="","",IFERROR(ROUND($D178*INDEX('🔖 배합비 참조'!$B$2:$CE$83,MATCH("혼합제제(떡용에스텔)",'🔖 배합비 참조'!$A$2:$A$83,0),MATCH($C178,'🔖 배합비 참조'!$B$1:$CE$1,0))/100,0),""))),"")</f>
        <v>0</v>
      </c>
      <c r="CF178" s="42" t="n">
        <f aca="false">IFERROR(IF($C178="","",IF($D178="","",IFERROR(ROUND($D178*INDEX('🔖 배합비 참조'!$B$2:$CE$83,MATCH("혼합제제(스테비아)",'🔖 배합비 참조'!$A$2:$A$83,0),MATCH($C178,'🔖 배합비 참조'!$B$1:$CE$1,0))/100,0),""))),"")</f>
        <v>0</v>
      </c>
      <c r="CG178" s="42" t="n">
        <f aca="false">IFERROR(IF($C178="","",IF($D178="","",IFERROR(ROUND($D178*INDEX('🔖 배합비 참조'!$B$2:$CE$83,MATCH("화이트초콜릿",'🔖 배합비 참조'!$A$2:$A$83,0),MATCH($C178,'🔖 배합비 참조'!$B$1:$CE$1,0))/100,0),""))),"")</f>
        <v>5</v>
      </c>
      <c r="CH178" s="42" t="n">
        <f aca="false">IFERROR(IF($C178="","",IF($D178="","",IFERROR(ROUND($D178*INDEX('🔖 배합비 참조'!$B$2:$CE$83,MATCH("흑미찹쌀(국내산)",'🔖 배합비 참조'!$A$2:$A$83,0),MATCH($C178,'🔖 배합비 참조'!$B$1:$CE$1,0))/100,0),""))),"")</f>
        <v>0</v>
      </c>
      <c r="CI178" s="42" t="n">
        <f aca="false">IFERROR(IF($C178="","",IF($D178="","",IFERROR(ROUND($D178*INDEX('🔖 배합비 참조'!$B$2:$CE$83,MATCH("찰옥수수전분(미국산)",'🔖 배합비 참조'!$A$2:$A$83,0),MATCH($C178,'🔖 배합비 참조'!$B$1:$CE$1,0))/100,0),""))),"")</f>
        <v>0</v>
      </c>
      <c r="CJ178" s="40"/>
      <c r="CL178" s="1" t="s">
        <v>245</v>
      </c>
    </row>
    <row r="179" customFormat="false" ht="18" hidden="false" customHeight="true" outlineLevel="0" collapsed="false">
      <c r="A179" s="35" t="n">
        <v>175</v>
      </c>
      <c r="B179" s="36" t="n">
        <v>46042</v>
      </c>
      <c r="C179" s="37" t="s">
        <v>241</v>
      </c>
      <c r="D179" s="38" t="n">
        <v>220</v>
      </c>
      <c r="E179" s="13"/>
      <c r="F179" s="13"/>
      <c r="G179" s="39" t="n">
        <f aca="false">IFERROR(IF($C179="","",IF($D179="","",IFERROR(ROUND($D179*INDEX('🔖 배합비 참조'!$B$2:$CE$83,MATCH("간장",'🔖 배합비 참조'!$A$2:$A$83,0),MATCH($C179,'🔖 배합비 참조'!$B$1:$CE$1,0))/100,0),""))),"")</f>
        <v>0</v>
      </c>
      <c r="H179" s="39" t="n">
        <f aca="false">IFERROR(IF($C179="","",IF($D179="","",IFERROR(ROUND($D179*INDEX('🔖 배합비 참조'!$B$2:$CE$83,MATCH("강낭콩((울타리콩))",'🔖 배합비 참조'!$A$2:$A$83,0),MATCH($C179,'🔖 배합비 참조'!$B$1:$CE$1,0))/100,0),""))),"")</f>
        <v>0</v>
      </c>
      <c r="I179" s="39" t="n">
        <f aca="false">IFERROR(IF($C179="","",IF($D179="","",IFERROR(ROUND($D179*INDEX('🔖 배합비 참조'!$B$2:$CE$83,MATCH("건조딸기다이스(외국산)",'🔖 배합비 참조'!$A$2:$A$83,0),MATCH($C179,'🔖 배합비 참조'!$B$1:$CE$1,0))/100,0),""))),"")</f>
        <v>0</v>
      </c>
      <c r="J179" s="39" t="n">
        <f aca="false">IFERROR(IF($C179="","",IF($D179="","",IFERROR(ROUND($D179*INDEX('🔖 배합비 참조'!$B$2:$CE$83,MATCH("건포도",'🔖 배합비 참조'!$A$2:$A$83,0),MATCH($C179,'🔖 배합비 참조'!$B$1:$CE$1,0))/100,0),""))),"")</f>
        <v>0</v>
      </c>
      <c r="K179" s="39" t="n">
        <f aca="false">IFERROR(IF($C179="","",IF($D179="","",IFERROR(ROUND($D179*INDEX('🔖 배합비 참조'!$B$2:$CE$83,MATCH("건호박채(중국산)",'🔖 배합비 참조'!$A$2:$A$83,0),MATCH($C179,'🔖 배합비 참조'!$B$1:$CE$1,0))/100,0),""))),"")</f>
        <v>0</v>
      </c>
      <c r="L179" s="39" t="n">
        <f aca="false">IFERROR(IF($C179="","",IF($D179="","",IFERROR(ROUND($D179*INDEX('🔖 배합비 참조'!$B$2:$CE$83,MATCH("검정깨(흑임자)",'🔖 배합비 참조'!$A$2:$A$83,0),MATCH($C179,'🔖 배합비 참조'!$B$1:$CE$1,0))/100,0),""))),"")</f>
        <v>0</v>
      </c>
      <c r="M179" s="39" t="n">
        <f aca="false">IFERROR(IF($C179="","",IF($D179="","",IFERROR(ROUND($D179*INDEX('🔖 배합비 참조'!$B$2:$CE$83,MATCH("검정콩",'🔖 배합비 참조'!$A$2:$A$83,0),MATCH($C179,'🔖 배합비 참조'!$B$1:$CE$1,0))/100,0),""))),"")</f>
        <v>0</v>
      </c>
      <c r="N179" s="39" t="n">
        <f aca="false">IFERROR(IF($C179="","",IF($D179="","",IFERROR(ROUND($D179*INDEX('🔖 배합비 참조'!$B$2:$CE$83,MATCH("계피가루",'🔖 배합비 참조'!$A$2:$A$83,0),MATCH($C179,'🔖 배합비 참조'!$B$1:$CE$1,0))/100,0),""))),"")</f>
        <v>0</v>
      </c>
      <c r="O179" s="39" t="n">
        <f aca="false">IFERROR(IF($C179="","",IF($D179="","",IFERROR(ROUND($D179*INDEX('🔖 배합비 참조'!$B$2:$CE$83,MATCH("고구마가루",'🔖 배합비 참조'!$A$2:$A$83,0),MATCH($C179,'🔖 배합비 참조'!$B$1:$CE$1,0))/100,0),""))),"")</f>
        <v>0</v>
      </c>
      <c r="P179" s="39" t="n">
        <f aca="false">IFERROR(IF($C179="","",IF($D179="","",IFERROR(ROUND($D179*INDEX('🔖 배합비 참조'!$B$2:$CE$83,MATCH("고구마무스",'🔖 배합비 참조'!$A$2:$A$83,0),MATCH($C179,'🔖 배합비 참조'!$B$1:$CE$1,0))/100,0),""))),"")</f>
        <v>0</v>
      </c>
      <c r="Q179" s="39" t="n">
        <f aca="false">IFERROR(IF($C179="","",IF($D179="","",IFERROR(ROUND($D179*INDEX('🔖 배합비 참조'!$B$2:$CE$83,MATCH("고려엉겅퀴((곤드레)국내산)",'🔖 배합비 참조'!$A$2:$A$83,0),MATCH($C179,'🔖 배합비 참조'!$B$1:$CE$1,0))/100,0),""))),"")</f>
        <v>0</v>
      </c>
      <c r="R179" s="39" t="n">
        <f aca="false">IFERROR(IF($C179="","",IF($D179="","",IFERROR(ROUND($D179*INDEX('🔖 배합비 참조'!$B$2:$CE$83,MATCH("기타가공품(복분자가루)",'🔖 배합비 참조'!$A$2:$A$83,0),MATCH($C179,'🔖 배합비 참조'!$B$1:$CE$1,0))/100,0),""))),"")</f>
        <v>0</v>
      </c>
      <c r="S179" s="39" t="n">
        <f aca="false">IFERROR(IF($C179="","",IF($D179="","",IFERROR(ROUND($D179*INDEX('🔖 배합비 참조'!$B$2:$CE$83,MATCH("기타가공품(슈퍼소프트엠)",'🔖 배합비 참조'!$A$2:$A$83,0),MATCH($C179,'🔖 배합비 참조'!$B$1:$CE$1,0))/100,0),""))),"")</f>
        <v>0</v>
      </c>
      <c r="T179" s="39" t="n">
        <f aca="false">IFERROR(IF($C179="","",IF($D179="","",IFERROR(ROUND($D179*INDEX('🔖 배합비 참조'!$B$2:$CE$83,MATCH("기타가공품(파인소프트 E-티)",'🔖 배합비 참조'!$A$2:$A$83,0),MATCH($C179,'🔖 배합비 참조'!$B$1:$CE$1,0))/100,0),""))),"")</f>
        <v>0</v>
      </c>
      <c r="U179" s="39" t="n">
        <f aca="false">IFERROR(IF($C179="","",IF($D179="","",IFERROR(ROUND($D179*INDEX('🔖 배합비 참조'!$B$2:$CE$83,MATCH("기타가공품(프리미엄카스테라가루)",'🔖 배합비 참조'!$A$2:$A$83,0),MATCH($C179,'🔖 배합비 참조'!$B$1:$CE$1,0))/100,0),""))),"")</f>
        <v>7</v>
      </c>
      <c r="V179" s="39" t="n">
        <f aca="false">IFERROR(IF($C179="","",IF($D179="","",IFERROR(ROUND($D179*INDEX('🔖 배합비 참조'!$B$2:$CE$83,MATCH("기타가공품(흑임자가루)",'🔖 배합비 참조'!$A$2:$A$83,0),MATCH($C179,'🔖 배합비 참조'!$B$1:$CE$1,0))/100,0),""))),"")</f>
        <v>0</v>
      </c>
      <c r="W179" s="39" t="n">
        <f aca="false">IFERROR(IF($C179="","",IF($D179="","",IFERROR(ROUND($D179*INDEX('🔖 배합비 참조'!$B$2:$CE$83,MATCH("기타설탕(흑설탕)",'🔖 배합비 참조'!$A$2:$A$83,0),MATCH($C179,'🔖 배합비 참조'!$B$1:$CE$1,0))/100,0),""))),"")</f>
        <v>0</v>
      </c>
      <c r="X179" s="39" t="n">
        <f aca="false">IFERROR(IF($C179="","",IF($D179="","",IFERROR(ROUND($D179*INDEX('🔖 배합비 참조'!$B$2:$CE$83,MATCH("냉동쑥(국내산)",'🔖 배합비 참조'!$A$2:$A$83,0),MATCH($C179,'🔖 배합비 참조'!$B$1:$CE$1,0))/100,0),""))),"")</f>
        <v>0</v>
      </c>
      <c r="Y179" s="39" t="n">
        <f aca="false">IFERROR(IF($C179="","",IF($D179="","",IFERROR(ROUND($D179*INDEX('🔖 배합비 참조'!$B$2:$CE$83,MATCH("냉동증숙고구마(중국산)",'🔖 배합비 참조'!$A$2:$A$83,0),MATCH($C179,'🔖 배합비 참조'!$B$1:$CE$1,0))/100,0),""))),"")</f>
        <v>0</v>
      </c>
      <c r="Z179" s="39" t="n">
        <f aca="false">IFERROR(IF($C179="","",IF($D179="","",IFERROR(ROUND($D179*INDEX('🔖 배합비 참조'!$B$2:$CE$83,MATCH("녹차가루",'🔖 배합비 참조'!$A$2:$A$83,0),MATCH($C179,'🔖 배합비 참조'!$B$1:$CE$1,0))/100,0),""))),"")</f>
        <v>16</v>
      </c>
      <c r="AA179" s="39" t="n">
        <f aca="false">IFERROR(IF($C179="","",IF($D179="","",IFERROR(ROUND($D179*INDEX('🔖 배합비 참조'!$B$2:$CE$83,MATCH("다크초콜릿 컴파운드칩",'🔖 배합비 참조'!$A$2:$A$83,0),MATCH($C179,'🔖 배합비 참조'!$B$1:$CE$1,0))/100,0),""))),"")</f>
        <v>0</v>
      </c>
      <c r="AB179" s="39" t="n">
        <f aca="false">IFERROR(IF($C179="","",IF($D179="","",IFERROR(ROUND($D179*INDEX('🔖 배합비 참조'!$B$2:$CE$83,MATCH("단호박분말(중국산)",'🔖 배합비 참조'!$A$2:$A$83,0),MATCH($C179,'🔖 배합비 참조'!$B$1:$CE$1,0))/100,0),""))),"")</f>
        <v>0</v>
      </c>
      <c r="AC179" s="39" t="n">
        <f aca="false">IFERROR(IF($C179="","",IF($D179="","",IFERROR(ROUND($D179*INDEX('🔖 배합비 참조'!$B$2:$CE$83,MATCH("당류가공품(단호박농축액)",'🔖 배합비 참조'!$A$2:$A$83,0),MATCH($C179,'🔖 배합비 참조'!$B$1:$CE$1,0))/100,0),""))),"")</f>
        <v>0</v>
      </c>
      <c r="AD179" s="39" t="n">
        <f aca="false">IFERROR(IF($C179="","",IF($D179="","",IFERROR(ROUND($D179*INDEX('🔖 배합비 참조'!$B$2:$CE$83,MATCH("당류가공품(알룰로스,에리스리톨,스테비올배당체혼합)",'🔖 배합비 참조'!$A$2:$A$83,0),MATCH($C179,'🔖 배합비 참조'!$B$1:$CE$1,0))/100,0),""))),"")</f>
        <v>0</v>
      </c>
      <c r="AE179" s="39" t="n">
        <f aca="false">IFERROR(IF($C179="","",IF($D179="","",IFERROR(ROUND($D179*INDEX('🔖 배합비 참조'!$B$2:$CE$83,MATCH("당류가공품(알룰로스제로파우더)",'🔖 배합비 참조'!$A$2:$A$83,0),MATCH($C179,'🔖 배합비 참조'!$B$1:$CE$1,0))/100,0),""))),"")</f>
        <v>0</v>
      </c>
      <c r="AF179" s="39" t="n">
        <f aca="false">IFERROR(IF($C179="","",IF($D179="","",IFERROR(ROUND($D179*INDEX('🔖 배합비 참조'!$B$2:$CE$83,MATCH("당절임(완두배기)",'🔖 배합비 참조'!$A$2:$A$83,0),MATCH($C179,'🔖 배합비 참조'!$B$1:$CE$1,0))/100,0),""))),"")</f>
        <v>0</v>
      </c>
      <c r="AG179" s="39" t="n">
        <f aca="false">IFERROR(IF($C179="","",IF($D179="","",IFERROR(ROUND($D179*INDEX('🔖 배합비 참조'!$B$2:$CE$83,MATCH("대추농축액",'🔖 배합비 참조'!$A$2:$A$83,0),MATCH($C179,'🔖 배합비 참조'!$B$1:$CE$1,0))/100,0),""))),"")</f>
        <v>0</v>
      </c>
      <c r="AH179" s="39" t="n">
        <f aca="false">IFERROR(IF($C179="","",IF($D179="","",IFERROR(ROUND($D179*INDEX('🔖 배합비 참조'!$B$2:$CE$83,MATCH("대추채(국내산)",'🔖 배합비 참조'!$A$2:$A$83,0),MATCH($C179,'🔖 배합비 참조'!$B$1:$CE$1,0))/100,0),""))),"")</f>
        <v>0</v>
      </c>
      <c r="AI179" s="39" t="n">
        <f aca="false">IFERROR(IF($C179="","",IF($D179="","",IFERROR(ROUND($D179*INDEX('🔖 배합비 참조'!$B$2:$CE$83,MATCH("동부(미얀마산)",'🔖 배합비 참조'!$A$2:$A$83,0),MATCH($C179,'🔖 배합비 참조'!$B$1:$CE$1,0))/100,0),""))),"")</f>
        <v>0</v>
      </c>
      <c r="AJ179" s="39" t="n">
        <f aca="false">IFERROR(IF($C179="","",IF($D179="","",IFERROR(ROUND($D179*INDEX('🔖 배합비 참조'!$B$2:$CE$83,MATCH("두류가공품(백옥앙금)",'🔖 배합비 참조'!$A$2:$A$83,0),MATCH($C179,'🔖 배합비 참조'!$B$1:$CE$1,0))/100,0),""))),"")</f>
        <v>0</v>
      </c>
      <c r="AK179" s="39" t="n">
        <f aca="false">IFERROR(IF($C179="","",IF($D179="","",IFERROR(ROUND($D179*INDEX('🔖 배합비 참조'!$B$2:$CE$83,MATCH("두류가공품(콩고물)",'🔖 배합비 참조'!$A$2:$A$83,0),MATCH($C179,'🔖 배합비 참조'!$B$1:$CE$1,0))/100,0),""))),"")</f>
        <v>0</v>
      </c>
      <c r="AL179" s="39" t="n">
        <f aca="false">IFERROR(IF($C179="","",IF($D179="","",IFERROR(ROUND($D179*INDEX('🔖 배합비 참조'!$B$2:$CE$83,MATCH("두류가공품(통팥고물)",'🔖 배합비 참조'!$A$2:$A$83,0),MATCH($C179,'🔖 배합비 참조'!$B$1:$CE$1,0))/100,0),""))),"")</f>
        <v>0</v>
      </c>
      <c r="AM179" s="39" t="n">
        <f aca="false">IFERROR(IF($C179="","",IF($D179="","",IFERROR(ROUND($D179*INDEX('🔖 배합비 참조'!$B$2:$CE$83,MATCH("딸기레진",'🔖 배합비 참조'!$A$2:$A$83,0),MATCH($C179,'🔖 배합비 참조'!$B$1:$CE$1,0))/100,0),""))),"")</f>
        <v>0</v>
      </c>
      <c r="AN179" s="39" t="n">
        <f aca="false">IFERROR(IF($C179="","",IF($D179="","",IFERROR(ROUND($D179*INDEX('🔖 배합비 참조'!$B$2:$CE$83,MATCH("딸기분말(스트로우베리에이드(분말))",'🔖 배합비 참조'!$A$2:$A$83,0),MATCH($C179,'🔖 배합비 참조'!$B$1:$CE$1,0))/100,0),""))),"")</f>
        <v>0</v>
      </c>
      <c r="AO179" s="39" t="n">
        <f aca="false">IFERROR(IF($C179="","",IF($D179="","",IFERROR(ROUND($D179*INDEX('🔖 배합비 참조'!$B$2:$CE$83,MATCH("마스카포네치즈",'🔖 배합비 참조'!$A$2:$A$83,0),MATCH($C179,'🔖 배합비 참조'!$B$1:$CE$1,0))/100,0),""))),"")</f>
        <v>0</v>
      </c>
      <c r="AP179" s="39" t="n">
        <f aca="false">IFERROR(IF($C179="","",IF($D179="","",IFERROR(ROUND($D179*INDEX('🔖 배합비 참조'!$B$2:$CE$83,MATCH("마카다미아분태(호주산)",'🔖 배합비 참조'!$A$2:$A$83,0),MATCH($C179,'🔖 배합비 참조'!$B$1:$CE$1,0))/100,0),""))),"")</f>
        <v>0</v>
      </c>
      <c r="AQ179" s="39" t="n">
        <f aca="false">IFERROR(IF($C179="","",IF($D179="","",IFERROR(ROUND($D179*INDEX('🔖 배합비 참조'!$B$2:$CE$83,MATCH("멥쌀(국내산)",'🔖 배합비 참조'!$A$2:$A$83,0),MATCH($C179,'🔖 배합비 참조'!$B$1:$CE$1,0))/100,0),""))),"")</f>
        <v>0</v>
      </c>
      <c r="AR179" s="39" t="n">
        <f aca="false">IFERROR(IF($C179="","",IF($D179="","",IFERROR(ROUND($D179*INDEX('🔖 배합비 참조'!$B$2:$CE$83,MATCH("모시잎(국내산)",'🔖 배합비 참조'!$A$2:$A$83,0),MATCH($C179,'🔖 배합비 참조'!$B$1:$CE$1,0))/100,0),""))),"")</f>
        <v>0</v>
      </c>
      <c r="AS179" s="39" t="n">
        <f aca="false">IFERROR(IF($C179="","",IF($D179="","",IFERROR(ROUND($D179*INDEX('🔖 배합비 참조'!$B$2:$CE$83,MATCH("물엿(저당물엿)",'🔖 배합비 참조'!$A$2:$A$83,0),MATCH($C179,'🔖 배합비 참조'!$B$1:$CE$1,0))/100,0),""))),"")</f>
        <v>12</v>
      </c>
      <c r="AT179" s="39" t="n">
        <f aca="false">IFERROR(IF($C179="","",IF($D179="","",IFERROR(ROUND($D179*INDEX('🔖 배합비 참조'!$B$2:$CE$83,MATCH("밤다이스",'🔖 배합비 참조'!$A$2:$A$83,0),MATCH($C179,'🔖 배합비 참조'!$B$1:$CE$1,0))/100,0),""))),"")</f>
        <v>0</v>
      </c>
      <c r="AU179" s="39" t="n">
        <f aca="false">IFERROR(IF($C179="","",IF($D179="","",IFERROR(ROUND($D179*INDEX('🔖 배합비 참조'!$B$2:$CE$83,MATCH("변성전분(타피오카전분)",'🔖 배합비 참조'!$A$2:$A$83,0),MATCH($C179,'🔖 배합비 참조'!$B$1:$CE$1,0))/100,0),""))),"")</f>
        <v>0</v>
      </c>
      <c r="AV179" s="39" t="n">
        <f aca="false">IFERROR(IF($C179="","",IF($D179="","",IFERROR(ROUND($D179*INDEX('🔖 배합비 참조'!$B$2:$CE$83,MATCH("복음땅콩분태",'🔖 배합비 참조'!$A$2:$A$83,0),MATCH($C179,'🔖 배합비 참조'!$B$1:$CE$1,0))/100,0),""))),"")</f>
        <v>0</v>
      </c>
      <c r="AW179" s="39" t="n">
        <f aca="false">IFERROR(IF($C179="","",IF($D179="","",IFERROR(ROUND($D179*INDEX('🔖 배합비 참조'!$B$2:$CE$83,MATCH("사양벌꿀(국내산)",'🔖 배합비 참조'!$A$2:$A$83,0),MATCH($C179,'🔖 배합비 참조'!$B$1:$CE$1,0))/100,0),""))),"")</f>
        <v>0</v>
      </c>
      <c r="AX179" s="39" t="n">
        <f aca="false">IFERROR(IF($C179="","",IF($D179="","",IFERROR(ROUND($D179*INDEX('🔖 배합비 참조'!$B$2:$CE$83,MATCH("생크림",'🔖 배합비 참조'!$A$2:$A$83,0),MATCH($C179,'🔖 배합비 참조'!$B$1:$CE$1,0))/100,0),""))),"")</f>
        <v>15</v>
      </c>
      <c r="AY179" s="39" t="n">
        <f aca="false">IFERROR(IF($C179="","",IF($D179="","",IFERROR(ROUND($D179*INDEX('🔖 배합비 참조'!$B$2:$CE$83,MATCH("서양호박(국내산,뉴질랜드산)",'🔖 배합비 참조'!$A$2:$A$83,0),MATCH($C179,'🔖 배합비 참조'!$B$1:$CE$1,0))/100,0),""))),"")</f>
        <v>0</v>
      </c>
      <c r="AZ179" s="39" t="n">
        <f aca="false">IFERROR(IF($C179="","",IF($D179="","",IFERROR(ROUND($D179*INDEX('🔖 배합비 참조'!$B$2:$CE$83,MATCH("설탕",'🔖 배합비 참조'!$A$2:$A$83,0),MATCH($C179,'🔖 배합비 참조'!$B$1:$CE$1,0))/100,0),""))),"")</f>
        <v>3</v>
      </c>
      <c r="BA179" s="39" t="n">
        <f aca="false">IFERROR(IF($C179="","",IF($D179="","",IFERROR(ROUND($D179*INDEX('🔖 배합비 참조'!$B$2:$CE$83,MATCH("스트로우베리 에이드 후레쉬",'🔖 배합비 참조'!$A$2:$A$83,0),MATCH($C179,'🔖 배합비 참조'!$B$1:$CE$1,0))/100,0),""))),"")</f>
        <v>0</v>
      </c>
      <c r="BB179" s="39" t="n">
        <f aca="false">IFERROR(IF($C179="","",IF($D179="","",IFERROR(ROUND($D179*INDEX('🔖 배합비 참조'!$B$2:$CE$83,MATCH("식물성기름혼합제제(분홍)",'🔖 배합비 참조'!$A$2:$A$83,0),MATCH($C179,'🔖 배합비 참조'!$B$1:$CE$1,0))/100,0),""))),"")</f>
        <v>0</v>
      </c>
      <c r="BC179" s="39" t="n">
        <f aca="false">IFERROR(IF($C179="","",IF($D179="","",IFERROR(ROUND($D179*INDEX('🔖 배합비 참조'!$B$2:$CE$83,MATCH("식물성기름혼합제제(초록)",'🔖 배합비 참조'!$A$2:$A$83,0),MATCH($C179,'🔖 배합비 참조'!$B$1:$CE$1,0))/100,0),""))),"")</f>
        <v>0</v>
      </c>
      <c r="BD179" s="39" t="n">
        <f aca="false">IFERROR(IF($C179="","",IF($D179="","",IFERROR(ROUND($D179*INDEX('🔖 배합비 참조'!$B$2:$CE$83,MATCH("식물성기름혼합제제(황색)",'🔖 배합비 참조'!$A$2:$A$83,0),MATCH($C179,'🔖 배합비 참조'!$B$1:$CE$1,0))/100,0),""))),"")</f>
        <v>0</v>
      </c>
      <c r="BE179" s="39" t="n">
        <f aca="false">IFERROR(IF($C179="","",IF($D179="","",IFERROR(ROUND($D179*INDEX('🔖 배합비 참조'!$B$2:$CE$83,MATCH("쑥가루(국내산)",'🔖 배합비 참조'!$A$2:$A$83,0),MATCH($C179,'🔖 배합비 참조'!$B$1:$CE$1,0))/100,0),""))),"")</f>
        <v>0</v>
      </c>
      <c r="BF179" s="39" t="n">
        <f aca="false">IFERROR(IF($C179="","",IF($D179="","",IFERROR(ROUND($D179*INDEX('🔖 배합비 참조'!$B$2:$CE$83,MATCH("아몬드슬라이스",'🔖 배합비 참조'!$A$2:$A$83,0),MATCH($C179,'🔖 배합비 참조'!$B$1:$CE$1,0))/100,0),""))),"")</f>
        <v>0</v>
      </c>
      <c r="BG179" s="39" t="n">
        <f aca="false">IFERROR(IF($C179="","",IF($D179="","",IFERROR(ROUND($D179*INDEX('🔖 배합비 참조'!$B$2:$CE$83,MATCH("알룰로오스(국내산)",'🔖 배합비 참조'!$A$2:$A$83,0),MATCH($C179,'🔖 배합비 참조'!$B$1:$CE$1,0))/100,0),""))),"")</f>
        <v>0</v>
      </c>
      <c r="BH179" s="39" t="n">
        <f aca="false">IFERROR(IF($C179="","",IF($D179="","",IFERROR(ROUND($D179*INDEX('🔖 배합비 참조'!$B$2:$CE$83,MATCH("연유",'🔖 배합비 참조'!$A$2:$A$83,0),MATCH($C179,'🔖 배합비 참조'!$B$1:$CE$1,0))/100,0),""))),"")</f>
        <v>1</v>
      </c>
      <c r="BI179" s="39" t="n">
        <f aca="false">IFERROR(IF($C179="","",IF($D179="","",IFERROR(ROUND($D179*INDEX('🔖 배합비 참조'!$B$2:$CE$83,MATCH("옥수수전분",'🔖 배합비 참조'!$A$2:$A$83,0),MATCH($C179,'🔖 배합비 참조'!$B$1:$CE$1,0))/100,0),""))),"")</f>
        <v>0</v>
      </c>
      <c r="BJ179" s="39" t="n">
        <f aca="false">IFERROR(IF($C179="","",IF($D179="","",IFERROR(ROUND($D179*INDEX('🔖 배합비 참조'!$B$2:$CE$83,MATCH("완두배기",'🔖 배합비 참조'!$A$2:$A$83,0),MATCH($C179,'🔖 배합비 참조'!$B$1:$CE$1,0))/100,0),""))),"")</f>
        <v>0</v>
      </c>
      <c r="BK179" s="39" t="n">
        <f aca="false">IFERROR(IF($C179="","",IF($D179="","",IFERROR(ROUND($D179*INDEX('🔖 배합비 참조'!$B$2:$CE$83,MATCH("우유(국내산)",'🔖 배합비 참조'!$A$2:$A$83,0),MATCH($C179,'🔖 배합비 참조'!$B$1:$CE$1,0))/100,0),""))),"")</f>
        <v>0</v>
      </c>
      <c r="BL179" s="39" t="n">
        <f aca="false">IFERROR(IF($C179="","",IF($D179="","",IFERROR(ROUND($D179*INDEX('🔖 배합비 참조'!$B$2:$CE$83,MATCH("자색고구마가루(중국산)",'🔖 배합비 참조'!$A$2:$A$83,0),MATCH($C179,'🔖 배합비 참조'!$B$1:$CE$1,0))/100,0),""))),"")</f>
        <v>0</v>
      </c>
      <c r="BM179" s="39" t="n">
        <f aca="false">IFERROR(IF($C179="","",IF($D179="","",IFERROR(ROUND($D179*INDEX('🔖 배합비 참조'!$B$2:$CE$83,MATCH("자연치즈(체다치즈)",'🔖 배합비 참조'!$A$2:$A$83,0),MATCH($C179,'🔖 배합비 참조'!$B$1:$CE$1,0))/100,0),""))),"")</f>
        <v>0</v>
      </c>
      <c r="BN179" s="39" t="n">
        <f aca="false">IFERROR(IF($C179="","",IF($D179="","",IFERROR(ROUND($D179*INDEX('🔖 배합비 참조'!$B$2:$CE$83,MATCH("정제수",'🔖 배합비 참조'!$A$2:$A$83,0),MATCH($C179,'🔖 배합비 참조'!$B$1:$CE$1,0))/100,0),""))),"")</f>
        <v>7</v>
      </c>
      <c r="BO179" s="39" t="n">
        <f aca="false">IFERROR(IF($C179="","",IF($D179="","",IFERROR(ROUND($D179*INDEX('🔖 배합비 참조'!$B$2:$CE$83,MATCH("젤라틴",'🔖 배합비 참조'!$A$2:$A$83,0),MATCH($C179,'🔖 배합비 참조'!$B$1:$CE$1,0))/100,0),""))),"")</f>
        <v>1</v>
      </c>
      <c r="BP179" s="39" t="n">
        <f aca="false">IFERROR(IF($C179="","",IF($D179="","",IFERROR(ROUND($D179*INDEX('🔖 배합비 참조'!$B$2:$CE$83,MATCH("조림류(백옥앙금)",'🔖 배합비 참조'!$A$2:$A$83,0),MATCH($C179,'🔖 배합비 참조'!$B$1:$CE$1,0))/100,0),""))),"")</f>
        <v>22</v>
      </c>
      <c r="BQ179" s="39" t="n">
        <f aca="false">IFERROR(IF($C179="","",IF($D179="","",IFERROR(ROUND($D179*INDEX('🔖 배합비 참조'!$B$2:$CE$83,MATCH("조림류(통팥앙금)",'🔖 배합비 참조'!$A$2:$A$83,0),MATCH($C179,'🔖 배합비 참조'!$B$1:$CE$1,0))/100,0),""))),"")</f>
        <v>0</v>
      </c>
      <c r="BR179" s="39" t="n">
        <f aca="false">IFERROR(IF($C179="","",IF($D179="","",IFERROR(ROUND($D179*INDEX('🔖 배합비 참조'!$B$2:$CE$83,MATCH("준초콜릿(외국산)",'🔖 배합비 참조'!$A$2:$A$83,0),MATCH($C179,'🔖 배합비 참조'!$B$1:$CE$1,0))/100,0),""))),"")</f>
        <v>0</v>
      </c>
      <c r="BS179" s="39" t="n">
        <f aca="false">IFERROR(IF($C179="","",IF($D179="","",IFERROR(ROUND($D179*INDEX('🔖 배합비 참조'!$B$2:$CE$83,MATCH("중력분",'🔖 배합비 참조'!$A$2:$A$83,0),MATCH($C179,'🔖 배합비 참조'!$B$1:$CE$1,0))/100,0),""))),"")</f>
        <v>1</v>
      </c>
      <c r="BT179" s="39" t="n">
        <f aca="false">IFERROR(IF($C179="","",IF($D179="","",IFERROR(ROUND($D179*INDEX('🔖 배합비 참조'!$B$2:$CE$83,MATCH("참깨(인도산,나이지리아산,탄자니아산,미얀마산)",'🔖 배합비 참조'!$A$2:$A$83,0),MATCH($C179,'🔖 배합비 참조'!$B$1:$CE$1,0))/100,0),""))),"")</f>
        <v>0</v>
      </c>
      <c r="BU179" s="39" t="n">
        <f aca="false">IFERROR(IF($C179="","",IF($D179="","",IFERROR(ROUND($D179*INDEX('🔖 배합비 참조'!$B$2:$CE$83,MATCH("찹쌀(국내산)",'🔖 배합비 참조'!$A$2:$A$83,0),MATCH($C179,'🔖 배합비 참조'!$B$1:$CE$1,0))/100,0),""))),"")</f>
        <v>117</v>
      </c>
      <c r="BV179" s="39" t="n">
        <f aca="false">IFERROR(IF($C179="","",IF($D179="","",IFERROR(ROUND($D179*INDEX('🔖 배합비 참조'!$B$2:$CE$83,MATCH("천일염",'🔖 배합비 참조'!$A$2:$A$83,0),MATCH($C179,'🔖 배합비 참조'!$B$1:$CE$1,0))/100,0),""))),"")</f>
        <v>0</v>
      </c>
      <c r="BW179" s="39" t="n">
        <f aca="false">IFERROR(IF($C179="","",IF($D179="","",IFERROR(ROUND($D179*INDEX('🔖 배합비 참조'!$B$2:$CE$83,MATCH("치즈 [크림치즈]",'🔖 배합비 참조'!$A$2:$A$83,0),MATCH($C179,'🔖 배합비 참조'!$B$1:$CE$1,0))/100,0),""))),"")</f>
        <v>15</v>
      </c>
      <c r="BX179" s="39" t="n">
        <f aca="false">IFERROR(IF($C179="","",IF($D179="","",IFERROR(ROUND($D179*INDEX('🔖 배합비 참조'!$B$2:$CE$83,MATCH("코코아가공품류(코코아분말)",'🔖 배합비 참조'!$A$2:$A$83,0),MATCH($C179,'🔖 배합비 참조'!$B$1:$CE$1,0))/100,0),""))),"")</f>
        <v>0</v>
      </c>
      <c r="BY179" s="39" t="n">
        <f aca="false">IFERROR(IF($C179="","",IF($D179="","",IFERROR(ROUND($D179*INDEX('🔖 배합비 참조'!$B$2:$CE$83,MATCH("콩기름(대두유)",'🔖 배합비 참조'!$A$2:$A$83,0),MATCH($C179,'🔖 배합비 참조'!$B$1:$CE$1,0))/100,0),""))),"")</f>
        <v>0</v>
      </c>
      <c r="BZ179" s="39" t="n">
        <f aca="false">IFERROR(IF($C179="","",IF($D179="","",IFERROR(ROUND($D179*INDEX('🔖 배합비 참조'!$B$2:$CE$83,MATCH("해바라기씨앗",'🔖 배합비 참조'!$A$2:$A$83,0),MATCH($C179,'🔖 배합비 참조'!$B$1:$CE$1,0))/100,0),""))),"")</f>
        <v>0</v>
      </c>
      <c r="CA179" s="39" t="n">
        <f aca="false">IFERROR(IF($C179="","",IF($D179="","",IFERROR(ROUND($D179*INDEX('🔖 배합비 참조'!$B$2:$CE$83,MATCH("현미(국내산)",'🔖 배합비 참조'!$A$2:$A$83,0),MATCH($C179,'🔖 배합비 참조'!$B$1:$CE$1,0))/100,0),""))),"")</f>
        <v>0</v>
      </c>
      <c r="CB179" s="39" t="n">
        <f aca="false">IFERROR(IF($C179="","",IF($D179="","",IFERROR(ROUND($D179*INDEX('🔖 배합비 참조'!$B$2:$CE$83,MATCH("현미멥쌀(국내산)",'🔖 배합비 참조'!$A$2:$A$83,0),MATCH($C179,'🔖 배합비 참조'!$B$1:$CE$1,0))/100,0),""))),"")</f>
        <v>0</v>
      </c>
      <c r="CC179" s="39" t="n">
        <f aca="false">IFERROR(IF($C179="","",IF($D179="","",IFERROR(ROUND($D179*INDEX('🔖 배합비 참조'!$B$2:$CE$83,MATCH("호두분태(미국산)",'🔖 배합비 참조'!$A$2:$A$83,0),MATCH($C179,'🔖 배합비 참조'!$B$1:$CE$1,0))/100,0),""))),"")</f>
        <v>0</v>
      </c>
      <c r="CD179" s="39" t="n">
        <f aca="false">IFERROR(IF($C179="","",IF($D179="","",IFERROR(ROUND($D179*INDEX('🔖 배합비 참조'!$B$2:$CE$83,MATCH("호박씨앗(외국산)",'🔖 배합비 참조'!$A$2:$A$83,0),MATCH($C179,'🔖 배합비 참조'!$B$1:$CE$1,0))/100,0),""))),"")</f>
        <v>0</v>
      </c>
      <c r="CE179" s="39" t="n">
        <f aca="false">IFERROR(IF($C179="","",IF($D179="","",IFERROR(ROUND($D179*INDEX('🔖 배합비 참조'!$B$2:$CE$83,MATCH("혼합제제(떡용에스텔)",'🔖 배합비 참조'!$A$2:$A$83,0),MATCH($C179,'🔖 배합비 참조'!$B$1:$CE$1,0))/100,0),""))),"")</f>
        <v>0</v>
      </c>
      <c r="CF179" s="39" t="n">
        <f aca="false">IFERROR(IF($C179="","",IF($D179="","",IFERROR(ROUND($D179*INDEX('🔖 배합비 참조'!$B$2:$CE$83,MATCH("혼합제제(스테비아)",'🔖 배합비 참조'!$A$2:$A$83,0),MATCH($C179,'🔖 배합비 참조'!$B$1:$CE$1,0))/100,0),""))),"")</f>
        <v>0</v>
      </c>
      <c r="CG179" s="39" t="n">
        <f aca="false">IFERROR(IF($C179="","",IF($D179="","",IFERROR(ROUND($D179*INDEX('🔖 배합비 참조'!$B$2:$CE$83,MATCH("화이트초콜릿",'🔖 배합비 참조'!$A$2:$A$83,0),MATCH($C179,'🔖 배합비 참조'!$B$1:$CE$1,0))/100,0),""))),"")</f>
        <v>5</v>
      </c>
      <c r="CH179" s="39" t="n">
        <f aca="false">IFERROR(IF($C179="","",IF($D179="","",IFERROR(ROUND($D179*INDEX('🔖 배합비 참조'!$B$2:$CE$83,MATCH("흑미찹쌀(국내산)",'🔖 배합비 참조'!$A$2:$A$83,0),MATCH($C179,'🔖 배합비 참조'!$B$1:$CE$1,0))/100,0),""))),"")</f>
        <v>0</v>
      </c>
      <c r="CI179" s="39" t="n">
        <f aca="false">IFERROR(IF($C179="","",IF($D179="","",IFERROR(ROUND($D179*INDEX('🔖 배합비 참조'!$B$2:$CE$83,MATCH("찰옥수수전분(미국산)",'🔖 배합비 참조'!$A$2:$A$83,0),MATCH($C179,'🔖 배합비 참조'!$B$1:$CE$1,0))/100,0),""))),"")</f>
        <v>0</v>
      </c>
      <c r="CJ179" s="40"/>
      <c r="CL179" s="1" t="s">
        <v>245</v>
      </c>
    </row>
    <row r="180" customFormat="false" ht="18" hidden="false" customHeight="true" outlineLevel="0" collapsed="false">
      <c r="A180" s="41" t="n">
        <v>176</v>
      </c>
      <c r="B180" s="36" t="n">
        <v>46042</v>
      </c>
      <c r="C180" s="37" t="s">
        <v>244</v>
      </c>
      <c r="D180" s="38" t="n">
        <v>220</v>
      </c>
      <c r="E180" s="17"/>
      <c r="F180" s="17"/>
      <c r="G180" s="42" t="n">
        <f aca="false">IFERROR(IF($C180="","",IF($D180="","",IFERROR(ROUND($D180*INDEX('🔖 배합비 참조'!$B$2:$CE$83,MATCH("간장",'🔖 배합비 참조'!$A$2:$A$83,0),MATCH($C180,'🔖 배합비 참조'!$B$1:$CE$1,0))/100,0),""))),"")</f>
        <v>0</v>
      </c>
      <c r="H180" s="42" t="n">
        <f aca="false">IFERROR(IF($C180="","",IF($D180="","",IFERROR(ROUND($D180*INDEX('🔖 배합비 참조'!$B$2:$CE$83,MATCH("강낭콩((울타리콩))",'🔖 배합비 참조'!$A$2:$A$83,0),MATCH($C180,'🔖 배합비 참조'!$B$1:$CE$1,0))/100,0),""))),"")</f>
        <v>0</v>
      </c>
      <c r="I180" s="42" t="n">
        <f aca="false">IFERROR(IF($C180="","",IF($D180="","",IFERROR(ROUND($D180*INDEX('🔖 배합비 참조'!$B$2:$CE$83,MATCH("건조딸기다이스(외국산)",'🔖 배합비 참조'!$A$2:$A$83,0),MATCH($C180,'🔖 배합비 참조'!$B$1:$CE$1,0))/100,0),""))),"")</f>
        <v>0</v>
      </c>
      <c r="J180" s="42" t="n">
        <f aca="false">IFERROR(IF($C180="","",IF($D180="","",IFERROR(ROUND($D180*INDEX('🔖 배합비 참조'!$B$2:$CE$83,MATCH("건포도",'🔖 배합비 참조'!$A$2:$A$83,0),MATCH($C180,'🔖 배합비 참조'!$B$1:$CE$1,0))/100,0),""))),"")</f>
        <v>0</v>
      </c>
      <c r="K180" s="42" t="n">
        <f aca="false">IFERROR(IF($C180="","",IF($D180="","",IFERROR(ROUND($D180*INDEX('🔖 배합비 참조'!$B$2:$CE$83,MATCH("건호박채(중국산)",'🔖 배합비 참조'!$A$2:$A$83,0),MATCH($C180,'🔖 배합비 참조'!$B$1:$CE$1,0))/100,0),""))),"")</f>
        <v>0</v>
      </c>
      <c r="L180" s="42" t="n">
        <f aca="false">IFERROR(IF($C180="","",IF($D180="","",IFERROR(ROUND($D180*INDEX('🔖 배합비 참조'!$B$2:$CE$83,MATCH("검정깨(흑임자)",'🔖 배합비 참조'!$A$2:$A$83,0),MATCH($C180,'🔖 배합비 참조'!$B$1:$CE$1,0))/100,0),""))),"")</f>
        <v>0</v>
      </c>
      <c r="M180" s="42" t="n">
        <f aca="false">IFERROR(IF($C180="","",IF($D180="","",IFERROR(ROUND($D180*INDEX('🔖 배합비 참조'!$B$2:$CE$83,MATCH("검정콩",'🔖 배합비 참조'!$A$2:$A$83,0),MATCH($C180,'🔖 배합비 참조'!$B$1:$CE$1,0))/100,0),""))),"")</f>
        <v>0</v>
      </c>
      <c r="N180" s="42" t="n">
        <f aca="false">IFERROR(IF($C180="","",IF($D180="","",IFERROR(ROUND($D180*INDEX('🔖 배합비 참조'!$B$2:$CE$83,MATCH("계피가루",'🔖 배합비 참조'!$A$2:$A$83,0),MATCH($C180,'🔖 배합비 참조'!$B$1:$CE$1,0))/100,0),""))),"")</f>
        <v>0</v>
      </c>
      <c r="O180" s="42" t="n">
        <f aca="false">IFERROR(IF($C180="","",IF($D180="","",IFERROR(ROUND($D180*INDEX('🔖 배합비 참조'!$B$2:$CE$83,MATCH("고구마가루",'🔖 배합비 참조'!$A$2:$A$83,0),MATCH($C180,'🔖 배합비 참조'!$B$1:$CE$1,0))/100,0),""))),"")</f>
        <v>0</v>
      </c>
      <c r="P180" s="42" t="n">
        <f aca="false">IFERROR(IF($C180="","",IF($D180="","",IFERROR(ROUND($D180*INDEX('🔖 배합비 참조'!$B$2:$CE$83,MATCH("고구마무스",'🔖 배합비 참조'!$A$2:$A$83,0),MATCH($C180,'🔖 배합비 참조'!$B$1:$CE$1,0))/100,0),""))),"")</f>
        <v>0</v>
      </c>
      <c r="Q180" s="42" t="n">
        <f aca="false">IFERROR(IF($C180="","",IF($D180="","",IFERROR(ROUND($D180*INDEX('🔖 배합비 참조'!$B$2:$CE$83,MATCH("고려엉겅퀴((곤드레)국내산)",'🔖 배합비 참조'!$A$2:$A$83,0),MATCH($C180,'🔖 배합비 참조'!$B$1:$CE$1,0))/100,0),""))),"")</f>
        <v>0</v>
      </c>
      <c r="R180" s="42" t="n">
        <f aca="false">IFERROR(IF($C180="","",IF($D180="","",IFERROR(ROUND($D180*INDEX('🔖 배합비 참조'!$B$2:$CE$83,MATCH("기타가공품(복분자가루)",'🔖 배합비 참조'!$A$2:$A$83,0),MATCH($C180,'🔖 배합비 참조'!$B$1:$CE$1,0))/100,0),""))),"")</f>
        <v>0</v>
      </c>
      <c r="S180" s="42" t="n">
        <f aca="false">IFERROR(IF($C180="","",IF($D180="","",IFERROR(ROUND($D180*INDEX('🔖 배합비 참조'!$B$2:$CE$83,MATCH("기타가공품(슈퍼소프트엠)",'🔖 배합비 참조'!$A$2:$A$83,0),MATCH($C180,'🔖 배합비 참조'!$B$1:$CE$1,0))/100,0),""))),"")</f>
        <v>0</v>
      </c>
      <c r="T180" s="42" t="n">
        <f aca="false">IFERROR(IF($C180="","",IF($D180="","",IFERROR(ROUND($D180*INDEX('🔖 배합비 참조'!$B$2:$CE$83,MATCH("기타가공품(파인소프트 E-티)",'🔖 배합비 참조'!$A$2:$A$83,0),MATCH($C180,'🔖 배합비 참조'!$B$1:$CE$1,0))/100,0),""))),"")</f>
        <v>0</v>
      </c>
      <c r="U180" s="42" t="n">
        <f aca="false">IFERROR(IF($C180="","",IF($D180="","",IFERROR(ROUND($D180*INDEX('🔖 배합비 참조'!$B$2:$CE$83,MATCH("기타가공품(프리미엄카스테라가루)",'🔖 배합비 참조'!$A$2:$A$83,0),MATCH($C180,'🔖 배합비 참조'!$B$1:$CE$1,0))/100,0),""))),"")</f>
        <v>7</v>
      </c>
      <c r="V180" s="42" t="n">
        <f aca="false">IFERROR(IF($C180="","",IF($D180="","",IFERROR(ROUND($D180*INDEX('🔖 배합비 참조'!$B$2:$CE$83,MATCH("기타가공품(흑임자가루)",'🔖 배합비 참조'!$A$2:$A$83,0),MATCH($C180,'🔖 배합비 참조'!$B$1:$CE$1,0))/100,0),""))),"")</f>
        <v>16</v>
      </c>
      <c r="W180" s="42" t="n">
        <f aca="false">IFERROR(IF($C180="","",IF($D180="","",IFERROR(ROUND($D180*INDEX('🔖 배합비 참조'!$B$2:$CE$83,MATCH("기타설탕(흑설탕)",'🔖 배합비 참조'!$A$2:$A$83,0),MATCH($C180,'🔖 배합비 참조'!$B$1:$CE$1,0))/100,0),""))),"")</f>
        <v>0</v>
      </c>
      <c r="X180" s="42" t="n">
        <f aca="false">IFERROR(IF($C180="","",IF($D180="","",IFERROR(ROUND($D180*INDEX('🔖 배합비 참조'!$B$2:$CE$83,MATCH("냉동쑥(국내산)",'🔖 배합비 참조'!$A$2:$A$83,0),MATCH($C180,'🔖 배합비 참조'!$B$1:$CE$1,0))/100,0),""))),"")</f>
        <v>0</v>
      </c>
      <c r="Y180" s="42" t="n">
        <f aca="false">IFERROR(IF($C180="","",IF($D180="","",IFERROR(ROUND($D180*INDEX('🔖 배합비 참조'!$B$2:$CE$83,MATCH("냉동증숙고구마(중국산)",'🔖 배합비 참조'!$A$2:$A$83,0),MATCH($C180,'🔖 배합비 참조'!$B$1:$CE$1,0))/100,0),""))),"")</f>
        <v>0</v>
      </c>
      <c r="Z180" s="42" t="n">
        <f aca="false">IFERROR(IF($C180="","",IF($D180="","",IFERROR(ROUND($D180*INDEX('🔖 배합비 참조'!$B$2:$CE$83,MATCH("녹차가루",'🔖 배합비 참조'!$A$2:$A$83,0),MATCH($C180,'🔖 배합비 참조'!$B$1:$CE$1,0))/100,0),""))),"")</f>
        <v>0</v>
      </c>
      <c r="AA180" s="42" t="n">
        <f aca="false">IFERROR(IF($C180="","",IF($D180="","",IFERROR(ROUND($D180*INDEX('🔖 배합비 참조'!$B$2:$CE$83,MATCH("다크초콜릿 컴파운드칩",'🔖 배합비 참조'!$A$2:$A$83,0),MATCH($C180,'🔖 배합비 참조'!$B$1:$CE$1,0))/100,0),""))),"")</f>
        <v>0</v>
      </c>
      <c r="AB180" s="42" t="n">
        <f aca="false">IFERROR(IF($C180="","",IF($D180="","",IFERROR(ROUND($D180*INDEX('🔖 배합비 참조'!$B$2:$CE$83,MATCH("단호박분말(중국산)",'🔖 배합비 참조'!$A$2:$A$83,0),MATCH($C180,'🔖 배합비 참조'!$B$1:$CE$1,0))/100,0),""))),"")</f>
        <v>0</v>
      </c>
      <c r="AC180" s="42" t="n">
        <f aca="false">IFERROR(IF($C180="","",IF($D180="","",IFERROR(ROUND($D180*INDEX('🔖 배합비 참조'!$B$2:$CE$83,MATCH("당류가공품(단호박농축액)",'🔖 배합비 참조'!$A$2:$A$83,0),MATCH($C180,'🔖 배합비 참조'!$B$1:$CE$1,0))/100,0),""))),"")</f>
        <v>0</v>
      </c>
      <c r="AD180" s="42" t="n">
        <f aca="false">IFERROR(IF($C180="","",IF($D180="","",IFERROR(ROUND($D180*INDEX('🔖 배합비 참조'!$B$2:$CE$83,MATCH("당류가공품(알룰로스,에리스리톨,스테비올배당체혼합)",'🔖 배합비 참조'!$A$2:$A$83,0),MATCH($C180,'🔖 배합비 참조'!$B$1:$CE$1,0))/100,0),""))),"")</f>
        <v>0</v>
      </c>
      <c r="AE180" s="42" t="n">
        <f aca="false">IFERROR(IF($C180="","",IF($D180="","",IFERROR(ROUND($D180*INDEX('🔖 배합비 참조'!$B$2:$CE$83,MATCH("당류가공품(알룰로스제로파우더)",'🔖 배합비 참조'!$A$2:$A$83,0),MATCH($C180,'🔖 배합비 참조'!$B$1:$CE$1,0))/100,0),""))),"")</f>
        <v>0</v>
      </c>
      <c r="AF180" s="42" t="n">
        <f aca="false">IFERROR(IF($C180="","",IF($D180="","",IFERROR(ROUND($D180*INDEX('🔖 배합비 참조'!$B$2:$CE$83,MATCH("당절임(완두배기)",'🔖 배합비 참조'!$A$2:$A$83,0),MATCH($C180,'🔖 배합비 참조'!$B$1:$CE$1,0))/100,0),""))),"")</f>
        <v>0</v>
      </c>
      <c r="AG180" s="42" t="n">
        <f aca="false">IFERROR(IF($C180="","",IF($D180="","",IFERROR(ROUND($D180*INDEX('🔖 배합비 참조'!$B$2:$CE$83,MATCH("대추농축액",'🔖 배합비 참조'!$A$2:$A$83,0),MATCH($C180,'🔖 배합비 참조'!$B$1:$CE$1,0))/100,0),""))),"")</f>
        <v>0</v>
      </c>
      <c r="AH180" s="42" t="n">
        <f aca="false">IFERROR(IF($C180="","",IF($D180="","",IFERROR(ROUND($D180*INDEX('🔖 배합비 참조'!$B$2:$CE$83,MATCH("대추채(국내산)",'🔖 배합비 참조'!$A$2:$A$83,0),MATCH($C180,'🔖 배합비 참조'!$B$1:$CE$1,0))/100,0),""))),"")</f>
        <v>0</v>
      </c>
      <c r="AI180" s="42" t="n">
        <f aca="false">IFERROR(IF($C180="","",IF($D180="","",IFERROR(ROUND($D180*INDEX('🔖 배합비 참조'!$B$2:$CE$83,MATCH("동부(미얀마산)",'🔖 배합비 참조'!$A$2:$A$83,0),MATCH($C180,'🔖 배합비 참조'!$B$1:$CE$1,0))/100,0),""))),"")</f>
        <v>0</v>
      </c>
      <c r="AJ180" s="42" t="n">
        <f aca="false">IFERROR(IF($C180="","",IF($D180="","",IFERROR(ROUND($D180*INDEX('🔖 배합비 참조'!$B$2:$CE$83,MATCH("두류가공품(백옥앙금)",'🔖 배합비 참조'!$A$2:$A$83,0),MATCH($C180,'🔖 배합비 참조'!$B$1:$CE$1,0))/100,0),""))),"")</f>
        <v>0</v>
      </c>
      <c r="AK180" s="42" t="n">
        <f aca="false">IFERROR(IF($C180="","",IF($D180="","",IFERROR(ROUND($D180*INDEX('🔖 배합비 참조'!$B$2:$CE$83,MATCH("두류가공품(콩고물)",'🔖 배합비 참조'!$A$2:$A$83,0),MATCH($C180,'🔖 배합비 참조'!$B$1:$CE$1,0))/100,0),""))),"")</f>
        <v>0</v>
      </c>
      <c r="AL180" s="42" t="n">
        <f aca="false">IFERROR(IF($C180="","",IF($D180="","",IFERROR(ROUND($D180*INDEX('🔖 배합비 참조'!$B$2:$CE$83,MATCH("두류가공품(통팥고물)",'🔖 배합비 참조'!$A$2:$A$83,0),MATCH($C180,'🔖 배합비 참조'!$B$1:$CE$1,0))/100,0),""))),"")</f>
        <v>0</v>
      </c>
      <c r="AM180" s="42" t="n">
        <f aca="false">IFERROR(IF($C180="","",IF($D180="","",IFERROR(ROUND($D180*INDEX('🔖 배합비 참조'!$B$2:$CE$83,MATCH("딸기레진",'🔖 배합비 참조'!$A$2:$A$83,0),MATCH($C180,'🔖 배합비 참조'!$B$1:$CE$1,0))/100,0),""))),"")</f>
        <v>0</v>
      </c>
      <c r="AN180" s="42" t="n">
        <f aca="false">IFERROR(IF($C180="","",IF($D180="","",IFERROR(ROUND($D180*INDEX('🔖 배합비 참조'!$B$2:$CE$83,MATCH("딸기분말(스트로우베리에이드(분말))",'🔖 배합비 참조'!$A$2:$A$83,0),MATCH($C180,'🔖 배합비 참조'!$B$1:$CE$1,0))/100,0),""))),"")</f>
        <v>0</v>
      </c>
      <c r="AO180" s="42" t="n">
        <f aca="false">IFERROR(IF($C180="","",IF($D180="","",IFERROR(ROUND($D180*INDEX('🔖 배합비 참조'!$B$2:$CE$83,MATCH("마스카포네치즈",'🔖 배합비 참조'!$A$2:$A$83,0),MATCH($C180,'🔖 배합비 참조'!$B$1:$CE$1,0))/100,0),""))),"")</f>
        <v>0</v>
      </c>
      <c r="AP180" s="42" t="n">
        <f aca="false">IFERROR(IF($C180="","",IF($D180="","",IFERROR(ROUND($D180*INDEX('🔖 배합비 참조'!$B$2:$CE$83,MATCH("마카다미아분태(호주산)",'🔖 배합비 참조'!$A$2:$A$83,0),MATCH($C180,'🔖 배합비 참조'!$B$1:$CE$1,0))/100,0),""))),"")</f>
        <v>0</v>
      </c>
      <c r="AQ180" s="42" t="n">
        <f aca="false">IFERROR(IF($C180="","",IF($D180="","",IFERROR(ROUND($D180*INDEX('🔖 배합비 참조'!$B$2:$CE$83,MATCH("멥쌀(국내산)",'🔖 배합비 참조'!$A$2:$A$83,0),MATCH($C180,'🔖 배합비 참조'!$B$1:$CE$1,0))/100,0),""))),"")</f>
        <v>0</v>
      </c>
      <c r="AR180" s="42" t="n">
        <f aca="false">IFERROR(IF($C180="","",IF($D180="","",IFERROR(ROUND($D180*INDEX('🔖 배합비 참조'!$B$2:$CE$83,MATCH("모시잎(국내산)",'🔖 배합비 참조'!$A$2:$A$83,0),MATCH($C180,'🔖 배합비 참조'!$B$1:$CE$1,0))/100,0),""))),"")</f>
        <v>0</v>
      </c>
      <c r="AS180" s="42" t="n">
        <f aca="false">IFERROR(IF($C180="","",IF($D180="","",IFERROR(ROUND($D180*INDEX('🔖 배합비 참조'!$B$2:$CE$83,MATCH("물엿(저당물엿)",'🔖 배합비 참조'!$A$2:$A$83,0),MATCH($C180,'🔖 배합비 참조'!$B$1:$CE$1,0))/100,0),""))),"")</f>
        <v>12</v>
      </c>
      <c r="AT180" s="42" t="n">
        <f aca="false">IFERROR(IF($C180="","",IF($D180="","",IFERROR(ROUND($D180*INDEX('🔖 배합비 참조'!$B$2:$CE$83,MATCH("밤다이스",'🔖 배합비 참조'!$A$2:$A$83,0),MATCH($C180,'🔖 배합비 참조'!$B$1:$CE$1,0))/100,0),""))),"")</f>
        <v>0</v>
      </c>
      <c r="AU180" s="42" t="n">
        <f aca="false">IFERROR(IF($C180="","",IF($D180="","",IFERROR(ROUND($D180*INDEX('🔖 배합비 참조'!$B$2:$CE$83,MATCH("변성전분(타피오카전분)",'🔖 배합비 참조'!$A$2:$A$83,0),MATCH($C180,'🔖 배합비 참조'!$B$1:$CE$1,0))/100,0),""))),"")</f>
        <v>0</v>
      </c>
      <c r="AV180" s="42" t="n">
        <f aca="false">IFERROR(IF($C180="","",IF($D180="","",IFERROR(ROUND($D180*INDEX('🔖 배합비 참조'!$B$2:$CE$83,MATCH("복음땅콩분태",'🔖 배합비 참조'!$A$2:$A$83,0),MATCH($C180,'🔖 배합비 참조'!$B$1:$CE$1,0))/100,0),""))),"")</f>
        <v>0</v>
      </c>
      <c r="AW180" s="42" t="n">
        <f aca="false">IFERROR(IF($C180="","",IF($D180="","",IFERROR(ROUND($D180*INDEX('🔖 배합비 참조'!$B$2:$CE$83,MATCH("사양벌꿀(국내산)",'🔖 배합비 참조'!$A$2:$A$83,0),MATCH($C180,'🔖 배합비 참조'!$B$1:$CE$1,0))/100,0),""))),"")</f>
        <v>0</v>
      </c>
      <c r="AX180" s="42" t="n">
        <f aca="false">IFERROR(IF($C180="","",IF($D180="","",IFERROR(ROUND($D180*INDEX('🔖 배합비 참조'!$B$2:$CE$83,MATCH("생크림",'🔖 배합비 참조'!$A$2:$A$83,0),MATCH($C180,'🔖 배합비 참조'!$B$1:$CE$1,0))/100,0),""))),"")</f>
        <v>15</v>
      </c>
      <c r="AY180" s="42" t="n">
        <f aca="false">IFERROR(IF($C180="","",IF($D180="","",IFERROR(ROUND($D180*INDEX('🔖 배합비 참조'!$B$2:$CE$83,MATCH("서양호박(국내산,뉴질랜드산)",'🔖 배합비 참조'!$A$2:$A$83,0),MATCH($C180,'🔖 배합비 참조'!$B$1:$CE$1,0))/100,0),""))),"")</f>
        <v>0</v>
      </c>
      <c r="AZ180" s="42" t="n">
        <f aca="false">IFERROR(IF($C180="","",IF($D180="","",IFERROR(ROUND($D180*INDEX('🔖 배합비 참조'!$B$2:$CE$83,MATCH("설탕",'🔖 배합비 참조'!$A$2:$A$83,0),MATCH($C180,'🔖 배합비 참조'!$B$1:$CE$1,0))/100,0),""))),"")</f>
        <v>3</v>
      </c>
      <c r="BA180" s="42" t="n">
        <f aca="false">IFERROR(IF($C180="","",IF($D180="","",IFERROR(ROUND($D180*INDEX('🔖 배합비 참조'!$B$2:$CE$83,MATCH("스트로우베리 에이드 후레쉬",'🔖 배합비 참조'!$A$2:$A$83,0),MATCH($C180,'🔖 배합비 참조'!$B$1:$CE$1,0))/100,0),""))),"")</f>
        <v>0</v>
      </c>
      <c r="BB180" s="42" t="n">
        <f aca="false">IFERROR(IF($C180="","",IF($D180="","",IFERROR(ROUND($D180*INDEX('🔖 배합비 참조'!$B$2:$CE$83,MATCH("식물성기름혼합제제(분홍)",'🔖 배합비 참조'!$A$2:$A$83,0),MATCH($C180,'🔖 배합비 참조'!$B$1:$CE$1,0))/100,0),""))),"")</f>
        <v>0</v>
      </c>
      <c r="BC180" s="42" t="n">
        <f aca="false">IFERROR(IF($C180="","",IF($D180="","",IFERROR(ROUND($D180*INDEX('🔖 배합비 참조'!$B$2:$CE$83,MATCH("식물성기름혼합제제(초록)",'🔖 배합비 참조'!$A$2:$A$83,0),MATCH($C180,'🔖 배합비 참조'!$B$1:$CE$1,0))/100,0),""))),"")</f>
        <v>0</v>
      </c>
      <c r="BD180" s="42" t="n">
        <f aca="false">IFERROR(IF($C180="","",IF($D180="","",IFERROR(ROUND($D180*INDEX('🔖 배합비 참조'!$B$2:$CE$83,MATCH("식물성기름혼합제제(황색)",'🔖 배합비 참조'!$A$2:$A$83,0),MATCH($C180,'🔖 배합비 참조'!$B$1:$CE$1,0))/100,0),""))),"")</f>
        <v>0</v>
      </c>
      <c r="BE180" s="42" t="n">
        <f aca="false">IFERROR(IF($C180="","",IF($D180="","",IFERROR(ROUND($D180*INDEX('🔖 배합비 참조'!$B$2:$CE$83,MATCH("쑥가루(국내산)",'🔖 배합비 참조'!$A$2:$A$83,0),MATCH($C180,'🔖 배합비 참조'!$B$1:$CE$1,0))/100,0),""))),"")</f>
        <v>0</v>
      </c>
      <c r="BF180" s="42" t="n">
        <f aca="false">IFERROR(IF($C180="","",IF($D180="","",IFERROR(ROUND($D180*INDEX('🔖 배합비 참조'!$B$2:$CE$83,MATCH("아몬드슬라이스",'🔖 배합비 참조'!$A$2:$A$83,0),MATCH($C180,'🔖 배합비 참조'!$B$1:$CE$1,0))/100,0),""))),"")</f>
        <v>0</v>
      </c>
      <c r="BG180" s="42" t="n">
        <f aca="false">IFERROR(IF($C180="","",IF($D180="","",IFERROR(ROUND($D180*INDEX('🔖 배합비 참조'!$B$2:$CE$83,MATCH("알룰로오스(국내산)",'🔖 배합비 참조'!$A$2:$A$83,0),MATCH($C180,'🔖 배합비 참조'!$B$1:$CE$1,0))/100,0),""))),"")</f>
        <v>0</v>
      </c>
      <c r="BH180" s="42" t="n">
        <f aca="false">IFERROR(IF($C180="","",IF($D180="","",IFERROR(ROUND($D180*INDEX('🔖 배합비 참조'!$B$2:$CE$83,MATCH("연유",'🔖 배합비 참조'!$A$2:$A$83,0),MATCH($C180,'🔖 배합비 참조'!$B$1:$CE$1,0))/100,0),""))),"")</f>
        <v>1</v>
      </c>
      <c r="BI180" s="42" t="n">
        <f aca="false">IFERROR(IF($C180="","",IF($D180="","",IFERROR(ROUND($D180*INDEX('🔖 배합비 참조'!$B$2:$CE$83,MATCH("옥수수전분",'🔖 배합비 참조'!$A$2:$A$83,0),MATCH($C180,'🔖 배합비 참조'!$B$1:$CE$1,0))/100,0),""))),"")</f>
        <v>0</v>
      </c>
      <c r="BJ180" s="42" t="n">
        <f aca="false">IFERROR(IF($C180="","",IF($D180="","",IFERROR(ROUND($D180*INDEX('🔖 배합비 참조'!$B$2:$CE$83,MATCH("완두배기",'🔖 배합비 참조'!$A$2:$A$83,0),MATCH($C180,'🔖 배합비 참조'!$B$1:$CE$1,0))/100,0),""))),"")</f>
        <v>0</v>
      </c>
      <c r="BK180" s="42" t="n">
        <f aca="false">IFERROR(IF($C180="","",IF($D180="","",IFERROR(ROUND($D180*INDEX('🔖 배합비 참조'!$B$2:$CE$83,MATCH("우유(국내산)",'🔖 배합비 참조'!$A$2:$A$83,0),MATCH($C180,'🔖 배합비 참조'!$B$1:$CE$1,0))/100,0),""))),"")</f>
        <v>0</v>
      </c>
      <c r="BL180" s="42" t="n">
        <f aca="false">IFERROR(IF($C180="","",IF($D180="","",IFERROR(ROUND($D180*INDEX('🔖 배합비 참조'!$B$2:$CE$83,MATCH("자색고구마가루(중국산)",'🔖 배합비 참조'!$A$2:$A$83,0),MATCH($C180,'🔖 배합비 참조'!$B$1:$CE$1,0))/100,0),""))),"")</f>
        <v>0</v>
      </c>
      <c r="BM180" s="42" t="n">
        <f aca="false">IFERROR(IF($C180="","",IF($D180="","",IFERROR(ROUND($D180*INDEX('🔖 배합비 참조'!$B$2:$CE$83,MATCH("자연치즈(체다치즈)",'🔖 배합비 참조'!$A$2:$A$83,0),MATCH($C180,'🔖 배합비 참조'!$B$1:$CE$1,0))/100,0),""))),"")</f>
        <v>0</v>
      </c>
      <c r="BN180" s="42" t="n">
        <f aca="false">IFERROR(IF($C180="","",IF($D180="","",IFERROR(ROUND($D180*INDEX('🔖 배합비 참조'!$B$2:$CE$83,MATCH("정제수",'🔖 배합비 참조'!$A$2:$A$83,0),MATCH($C180,'🔖 배합비 참조'!$B$1:$CE$1,0))/100,0),""))),"")</f>
        <v>7</v>
      </c>
      <c r="BO180" s="42" t="n">
        <f aca="false">IFERROR(IF($C180="","",IF($D180="","",IFERROR(ROUND($D180*INDEX('🔖 배합비 참조'!$B$2:$CE$83,MATCH("젤라틴",'🔖 배합비 참조'!$A$2:$A$83,0),MATCH($C180,'🔖 배합비 참조'!$B$1:$CE$1,0))/100,0),""))),"")</f>
        <v>1</v>
      </c>
      <c r="BP180" s="42" t="n">
        <f aca="false">IFERROR(IF($C180="","",IF($D180="","",IFERROR(ROUND($D180*INDEX('🔖 배합비 참조'!$B$2:$CE$83,MATCH("조림류(백옥앙금)",'🔖 배합비 참조'!$A$2:$A$83,0),MATCH($C180,'🔖 배합비 참조'!$B$1:$CE$1,0))/100,0),""))),"")</f>
        <v>22</v>
      </c>
      <c r="BQ180" s="42" t="n">
        <f aca="false">IFERROR(IF($C180="","",IF($D180="","",IFERROR(ROUND($D180*INDEX('🔖 배합비 참조'!$B$2:$CE$83,MATCH("조림류(통팥앙금)",'🔖 배합비 참조'!$A$2:$A$83,0),MATCH($C180,'🔖 배합비 참조'!$B$1:$CE$1,0))/100,0),""))),"")</f>
        <v>0</v>
      </c>
      <c r="BR180" s="42" t="n">
        <f aca="false">IFERROR(IF($C180="","",IF($D180="","",IFERROR(ROUND($D180*INDEX('🔖 배합비 참조'!$B$2:$CE$83,MATCH("준초콜릿(외국산)",'🔖 배합비 참조'!$A$2:$A$83,0),MATCH($C180,'🔖 배합비 참조'!$B$1:$CE$1,0))/100,0),""))),"")</f>
        <v>0</v>
      </c>
      <c r="BS180" s="42" t="n">
        <f aca="false">IFERROR(IF($C180="","",IF($D180="","",IFERROR(ROUND($D180*INDEX('🔖 배합비 참조'!$B$2:$CE$83,MATCH("중력분",'🔖 배합비 참조'!$A$2:$A$83,0),MATCH($C180,'🔖 배합비 참조'!$B$1:$CE$1,0))/100,0),""))),"")</f>
        <v>1</v>
      </c>
      <c r="BT180" s="42" t="n">
        <f aca="false">IFERROR(IF($C180="","",IF($D180="","",IFERROR(ROUND($D180*INDEX('🔖 배합비 참조'!$B$2:$CE$83,MATCH("참깨(인도산,나이지리아산,탄자니아산,미얀마산)",'🔖 배합비 참조'!$A$2:$A$83,0),MATCH($C180,'🔖 배합비 참조'!$B$1:$CE$1,0))/100,0),""))),"")</f>
        <v>0</v>
      </c>
      <c r="BU180" s="42" t="n">
        <f aca="false">IFERROR(IF($C180="","",IF($D180="","",IFERROR(ROUND($D180*INDEX('🔖 배합비 참조'!$B$2:$CE$83,MATCH("찹쌀(국내산)",'🔖 배합비 참조'!$A$2:$A$83,0),MATCH($C180,'🔖 배합비 참조'!$B$1:$CE$1,0))/100,0),""))),"")</f>
        <v>117</v>
      </c>
      <c r="BV180" s="42" t="n">
        <f aca="false">IFERROR(IF($C180="","",IF($D180="","",IFERROR(ROUND($D180*INDEX('🔖 배합비 참조'!$B$2:$CE$83,MATCH("천일염",'🔖 배합비 참조'!$A$2:$A$83,0),MATCH($C180,'🔖 배합비 참조'!$B$1:$CE$1,0))/100,0),""))),"")</f>
        <v>0</v>
      </c>
      <c r="BW180" s="42" t="n">
        <f aca="false">IFERROR(IF($C180="","",IF($D180="","",IFERROR(ROUND($D180*INDEX('🔖 배합비 참조'!$B$2:$CE$83,MATCH("치즈 [크림치즈]",'🔖 배합비 참조'!$A$2:$A$83,0),MATCH($C180,'🔖 배합비 참조'!$B$1:$CE$1,0))/100,0),""))),"")</f>
        <v>15</v>
      </c>
      <c r="BX180" s="42" t="n">
        <f aca="false">IFERROR(IF($C180="","",IF($D180="","",IFERROR(ROUND($D180*INDEX('🔖 배합비 참조'!$B$2:$CE$83,MATCH("코코아가공품류(코코아분말)",'🔖 배합비 참조'!$A$2:$A$83,0),MATCH($C180,'🔖 배합비 참조'!$B$1:$CE$1,0))/100,0),""))),"")</f>
        <v>0</v>
      </c>
      <c r="BY180" s="42" t="n">
        <f aca="false">IFERROR(IF($C180="","",IF($D180="","",IFERROR(ROUND($D180*INDEX('🔖 배합비 참조'!$B$2:$CE$83,MATCH("콩기름(대두유)",'🔖 배합비 참조'!$A$2:$A$83,0),MATCH($C180,'🔖 배합비 참조'!$B$1:$CE$1,0))/100,0),""))),"")</f>
        <v>0</v>
      </c>
      <c r="BZ180" s="42" t="n">
        <f aca="false">IFERROR(IF($C180="","",IF($D180="","",IFERROR(ROUND($D180*INDEX('🔖 배합비 참조'!$B$2:$CE$83,MATCH("해바라기씨앗",'🔖 배합비 참조'!$A$2:$A$83,0),MATCH($C180,'🔖 배합비 참조'!$B$1:$CE$1,0))/100,0),""))),"")</f>
        <v>0</v>
      </c>
      <c r="CA180" s="42" t="n">
        <f aca="false">IFERROR(IF($C180="","",IF($D180="","",IFERROR(ROUND($D180*INDEX('🔖 배합비 참조'!$B$2:$CE$83,MATCH("현미(국내산)",'🔖 배합비 참조'!$A$2:$A$83,0),MATCH($C180,'🔖 배합비 참조'!$B$1:$CE$1,0))/100,0),""))),"")</f>
        <v>0</v>
      </c>
      <c r="CB180" s="42" t="n">
        <f aca="false">IFERROR(IF($C180="","",IF($D180="","",IFERROR(ROUND($D180*INDEX('🔖 배합비 참조'!$B$2:$CE$83,MATCH("현미멥쌀(국내산)",'🔖 배합비 참조'!$A$2:$A$83,0),MATCH($C180,'🔖 배합비 참조'!$B$1:$CE$1,0))/100,0),""))),"")</f>
        <v>0</v>
      </c>
      <c r="CC180" s="42" t="n">
        <f aca="false">IFERROR(IF($C180="","",IF($D180="","",IFERROR(ROUND($D180*INDEX('🔖 배합비 참조'!$B$2:$CE$83,MATCH("호두분태(미국산)",'🔖 배합비 참조'!$A$2:$A$83,0),MATCH($C180,'🔖 배합비 참조'!$B$1:$CE$1,0))/100,0),""))),"")</f>
        <v>0</v>
      </c>
      <c r="CD180" s="42" t="n">
        <f aca="false">IFERROR(IF($C180="","",IF($D180="","",IFERROR(ROUND($D180*INDEX('🔖 배합비 참조'!$B$2:$CE$83,MATCH("호박씨앗(외국산)",'🔖 배합비 참조'!$A$2:$A$83,0),MATCH($C180,'🔖 배합비 참조'!$B$1:$CE$1,0))/100,0),""))),"")</f>
        <v>0</v>
      </c>
      <c r="CE180" s="42" t="n">
        <f aca="false">IFERROR(IF($C180="","",IF($D180="","",IFERROR(ROUND($D180*INDEX('🔖 배합비 참조'!$B$2:$CE$83,MATCH("혼합제제(떡용에스텔)",'🔖 배합비 참조'!$A$2:$A$83,0),MATCH($C180,'🔖 배합비 참조'!$B$1:$CE$1,0))/100,0),""))),"")</f>
        <v>0</v>
      </c>
      <c r="CF180" s="42" t="n">
        <f aca="false">IFERROR(IF($C180="","",IF($D180="","",IFERROR(ROUND($D180*INDEX('🔖 배합비 참조'!$B$2:$CE$83,MATCH("혼합제제(스테비아)",'🔖 배합비 참조'!$A$2:$A$83,0),MATCH($C180,'🔖 배합비 참조'!$B$1:$CE$1,0))/100,0),""))),"")</f>
        <v>0</v>
      </c>
      <c r="CG180" s="42" t="n">
        <f aca="false">IFERROR(IF($C180="","",IF($D180="","",IFERROR(ROUND($D180*INDEX('🔖 배합비 참조'!$B$2:$CE$83,MATCH("화이트초콜릿",'🔖 배합비 참조'!$A$2:$A$83,0),MATCH($C180,'🔖 배합비 참조'!$B$1:$CE$1,0))/100,0),""))),"")</f>
        <v>5</v>
      </c>
      <c r="CH180" s="42" t="n">
        <f aca="false">IFERROR(IF($C180="","",IF($D180="","",IFERROR(ROUND($D180*INDEX('🔖 배합비 참조'!$B$2:$CE$83,MATCH("흑미찹쌀(국내산)",'🔖 배합비 참조'!$A$2:$A$83,0),MATCH($C180,'🔖 배합비 참조'!$B$1:$CE$1,0))/100,0),""))),"")</f>
        <v>0</v>
      </c>
      <c r="CI180" s="42" t="n">
        <f aca="false">IFERROR(IF($C180="","",IF($D180="","",IFERROR(ROUND($D180*INDEX('🔖 배합비 참조'!$B$2:$CE$83,MATCH("찰옥수수전분(미국산)",'🔖 배합비 참조'!$A$2:$A$83,0),MATCH($C180,'🔖 배합비 참조'!$B$1:$CE$1,0))/100,0),""))),"")</f>
        <v>0</v>
      </c>
      <c r="CJ180" s="40"/>
      <c r="CL180" s="1" t="s">
        <v>245</v>
      </c>
    </row>
    <row r="181" customFormat="false" ht="18" hidden="false" customHeight="true" outlineLevel="0" collapsed="false">
      <c r="A181" s="35" t="n">
        <v>177</v>
      </c>
      <c r="B181" s="36" t="n">
        <v>46044</v>
      </c>
      <c r="C181" s="37" t="s">
        <v>144</v>
      </c>
      <c r="D181" s="38" t="n">
        <v>140</v>
      </c>
      <c r="E181" s="13"/>
      <c r="F181" s="13"/>
      <c r="G181" s="39" t="n">
        <f aca="false">IFERROR(IF($C181="","",IF($D181="","",IFERROR(ROUND($D181*INDEX('🔖 배합비 참조'!$B$2:$CE$83,MATCH("간장",'🔖 배합비 참조'!$A$2:$A$83,0),MATCH($C181,'🔖 배합비 참조'!$B$1:$CE$1,0))/100,0),""))),"")</f>
        <v>0</v>
      </c>
      <c r="H181" s="39" t="n">
        <f aca="false">IFERROR(IF($C181="","",IF($D181="","",IFERROR(ROUND($D181*INDEX('🔖 배합비 참조'!$B$2:$CE$83,MATCH("강낭콩((울타리콩))",'🔖 배합비 참조'!$A$2:$A$83,0),MATCH($C181,'🔖 배합비 참조'!$B$1:$CE$1,0))/100,0),""))),"")</f>
        <v>0</v>
      </c>
      <c r="I181" s="39" t="n">
        <f aca="false">IFERROR(IF($C181="","",IF($D181="","",IFERROR(ROUND($D181*INDEX('🔖 배합비 참조'!$B$2:$CE$83,MATCH("건조딸기다이스(외국산)",'🔖 배합비 참조'!$A$2:$A$83,0),MATCH($C181,'🔖 배합비 참조'!$B$1:$CE$1,0))/100,0),""))),"")</f>
        <v>0</v>
      </c>
      <c r="J181" s="39" t="n">
        <f aca="false">IFERROR(IF($C181="","",IF($D181="","",IFERROR(ROUND($D181*INDEX('🔖 배합비 참조'!$B$2:$CE$83,MATCH("건포도",'🔖 배합비 참조'!$A$2:$A$83,0),MATCH($C181,'🔖 배합비 참조'!$B$1:$CE$1,0))/100,0),""))),"")</f>
        <v>0</v>
      </c>
      <c r="K181" s="39" t="n">
        <f aca="false">IFERROR(IF($C181="","",IF($D181="","",IFERROR(ROUND($D181*INDEX('🔖 배합비 참조'!$B$2:$CE$83,MATCH("건호박채(중국산)",'🔖 배합비 참조'!$A$2:$A$83,0),MATCH($C181,'🔖 배합비 참조'!$B$1:$CE$1,0))/100,0),""))),"")</f>
        <v>0</v>
      </c>
      <c r="L181" s="39" t="n">
        <f aca="false">IFERROR(IF($C181="","",IF($D181="","",IFERROR(ROUND($D181*INDEX('🔖 배합비 참조'!$B$2:$CE$83,MATCH("검정깨(흑임자)",'🔖 배합비 참조'!$A$2:$A$83,0),MATCH($C181,'🔖 배합비 참조'!$B$1:$CE$1,0))/100,0),""))),"")</f>
        <v>0</v>
      </c>
      <c r="M181" s="39" t="n">
        <f aca="false">IFERROR(IF($C181="","",IF($D181="","",IFERROR(ROUND($D181*INDEX('🔖 배합비 참조'!$B$2:$CE$83,MATCH("검정콩",'🔖 배합비 참조'!$A$2:$A$83,0),MATCH($C181,'🔖 배합비 참조'!$B$1:$CE$1,0))/100,0),""))),"")</f>
        <v>0</v>
      </c>
      <c r="N181" s="39" t="n">
        <f aca="false">IFERROR(IF($C181="","",IF($D181="","",IFERROR(ROUND($D181*INDEX('🔖 배합비 참조'!$B$2:$CE$83,MATCH("계피가루",'🔖 배합비 참조'!$A$2:$A$83,0),MATCH($C181,'🔖 배합비 참조'!$B$1:$CE$1,0))/100,0),""))),"")</f>
        <v>0</v>
      </c>
      <c r="O181" s="39" t="n">
        <f aca="false">IFERROR(IF($C181="","",IF($D181="","",IFERROR(ROUND($D181*INDEX('🔖 배합비 참조'!$B$2:$CE$83,MATCH("고구마가루",'🔖 배합비 참조'!$A$2:$A$83,0),MATCH($C181,'🔖 배합비 참조'!$B$1:$CE$1,0))/100,0),""))),"")</f>
        <v>0</v>
      </c>
      <c r="P181" s="39" t="n">
        <f aca="false">IFERROR(IF($C181="","",IF($D181="","",IFERROR(ROUND($D181*INDEX('🔖 배합비 참조'!$B$2:$CE$83,MATCH("고구마무스",'🔖 배합비 참조'!$A$2:$A$83,0),MATCH($C181,'🔖 배합비 참조'!$B$1:$CE$1,0))/100,0),""))),"")</f>
        <v>0</v>
      </c>
      <c r="Q181" s="39" t="n">
        <f aca="false">IFERROR(IF($C181="","",IF($D181="","",IFERROR(ROUND($D181*INDEX('🔖 배합비 참조'!$B$2:$CE$83,MATCH("고려엉겅퀴((곤드레)국내산)",'🔖 배합비 참조'!$A$2:$A$83,0),MATCH($C181,'🔖 배합비 참조'!$B$1:$CE$1,0))/100,0),""))),"")</f>
        <v>0</v>
      </c>
      <c r="R181" s="39" t="n">
        <f aca="false">IFERROR(IF($C181="","",IF($D181="","",IFERROR(ROUND($D181*INDEX('🔖 배합비 참조'!$B$2:$CE$83,MATCH("기타가공품(복분자가루)",'🔖 배합비 참조'!$A$2:$A$83,0),MATCH($C181,'🔖 배합비 참조'!$B$1:$CE$1,0))/100,0),""))),"")</f>
        <v>0</v>
      </c>
      <c r="S181" s="39" t="n">
        <f aca="false">IFERROR(IF($C181="","",IF($D181="","",IFERROR(ROUND($D181*INDEX('🔖 배합비 참조'!$B$2:$CE$83,MATCH("기타가공품(슈퍼소프트엠)",'🔖 배합비 참조'!$A$2:$A$83,0),MATCH($C181,'🔖 배합비 참조'!$B$1:$CE$1,0))/100,0),""))),"")</f>
        <v>0</v>
      </c>
      <c r="T181" s="39" t="n">
        <f aca="false">IFERROR(IF($C181="","",IF($D181="","",IFERROR(ROUND($D181*INDEX('🔖 배합비 참조'!$B$2:$CE$83,MATCH("기타가공품(파인소프트 E-티)",'🔖 배합비 참조'!$A$2:$A$83,0),MATCH($C181,'🔖 배합비 참조'!$B$1:$CE$1,0))/100,0),""))),"")</f>
        <v>0</v>
      </c>
      <c r="U181" s="39" t="n">
        <f aca="false">IFERROR(IF($C181="","",IF($D181="","",IFERROR(ROUND($D181*INDEX('🔖 배합비 참조'!$B$2:$CE$83,MATCH("기타가공품(프리미엄카스테라가루)",'🔖 배합비 참조'!$A$2:$A$83,0),MATCH($C181,'🔖 배합비 참조'!$B$1:$CE$1,0))/100,0),""))),"")</f>
        <v>0</v>
      </c>
      <c r="V181" s="39" t="n">
        <f aca="false">IFERROR(IF($C181="","",IF($D181="","",IFERROR(ROUND($D181*INDEX('🔖 배합비 참조'!$B$2:$CE$83,MATCH("기타가공품(흑임자가루)",'🔖 배합비 참조'!$A$2:$A$83,0),MATCH($C181,'🔖 배합비 참조'!$B$1:$CE$1,0))/100,0),""))),"")</f>
        <v>0</v>
      </c>
      <c r="W181" s="39" t="n">
        <f aca="false">IFERROR(IF($C181="","",IF($D181="","",IFERROR(ROUND($D181*INDEX('🔖 배합비 참조'!$B$2:$CE$83,MATCH("기타설탕(흑설탕)",'🔖 배합비 참조'!$A$2:$A$83,0),MATCH($C181,'🔖 배합비 참조'!$B$1:$CE$1,0))/100,0),""))),"")</f>
        <v>0</v>
      </c>
      <c r="X181" s="39" t="n">
        <f aca="false">IFERROR(IF($C181="","",IF($D181="","",IFERROR(ROUND($D181*INDEX('🔖 배합비 참조'!$B$2:$CE$83,MATCH("냉동쑥(국내산)",'🔖 배합비 참조'!$A$2:$A$83,0),MATCH($C181,'🔖 배합비 참조'!$B$1:$CE$1,0))/100,0),""))),"")</f>
        <v>0</v>
      </c>
      <c r="Y181" s="39" t="n">
        <f aca="false">IFERROR(IF($C181="","",IF($D181="","",IFERROR(ROUND($D181*INDEX('🔖 배합비 참조'!$B$2:$CE$83,MATCH("냉동증숙고구마(중국산)",'🔖 배합비 참조'!$A$2:$A$83,0),MATCH($C181,'🔖 배합비 참조'!$B$1:$CE$1,0))/100,0),""))),"")</f>
        <v>0</v>
      </c>
      <c r="Z181" s="39" t="n">
        <f aca="false">IFERROR(IF($C181="","",IF($D181="","",IFERROR(ROUND($D181*INDEX('🔖 배합비 참조'!$B$2:$CE$83,MATCH("녹차가루",'🔖 배합비 참조'!$A$2:$A$83,0),MATCH($C181,'🔖 배합비 참조'!$B$1:$CE$1,0))/100,0),""))),"")</f>
        <v>0</v>
      </c>
      <c r="AA181" s="39" t="n">
        <f aca="false">IFERROR(IF($C181="","",IF($D181="","",IFERROR(ROUND($D181*INDEX('🔖 배합비 참조'!$B$2:$CE$83,MATCH("다크초콜릿 컴파운드칩",'🔖 배합비 참조'!$A$2:$A$83,0),MATCH($C181,'🔖 배합비 참조'!$B$1:$CE$1,0))/100,0),""))),"")</f>
        <v>0</v>
      </c>
      <c r="AB181" s="39" t="n">
        <f aca="false">IFERROR(IF($C181="","",IF($D181="","",IFERROR(ROUND($D181*INDEX('🔖 배합비 참조'!$B$2:$CE$83,MATCH("단호박분말(중국산)",'🔖 배합비 참조'!$A$2:$A$83,0),MATCH($C181,'🔖 배합비 참조'!$B$1:$CE$1,0))/100,0),""))),"")</f>
        <v>0</v>
      </c>
      <c r="AC181" s="39" t="n">
        <f aca="false">IFERROR(IF($C181="","",IF($D181="","",IFERROR(ROUND($D181*INDEX('🔖 배합비 참조'!$B$2:$CE$83,MATCH("당류가공품(단호박농축액)",'🔖 배합비 참조'!$A$2:$A$83,0),MATCH($C181,'🔖 배합비 참조'!$B$1:$CE$1,0))/100,0),""))),"")</f>
        <v>0</v>
      </c>
      <c r="AD181" s="39" t="n">
        <f aca="false">IFERROR(IF($C181="","",IF($D181="","",IFERROR(ROUND($D181*INDEX('🔖 배합비 참조'!$B$2:$CE$83,MATCH("당류가공품(알룰로스,에리스리톨,스테비올배당체혼합)",'🔖 배합비 참조'!$A$2:$A$83,0),MATCH($C181,'🔖 배합비 참조'!$B$1:$CE$1,0))/100,0),""))),"")</f>
        <v>0</v>
      </c>
      <c r="AE181" s="39" t="n">
        <f aca="false">IFERROR(IF($C181="","",IF($D181="","",IFERROR(ROUND($D181*INDEX('🔖 배합비 참조'!$B$2:$CE$83,MATCH("당류가공품(알룰로스제로파우더)",'🔖 배합비 참조'!$A$2:$A$83,0),MATCH($C181,'🔖 배합비 참조'!$B$1:$CE$1,0))/100,0),""))),"")</f>
        <v>0</v>
      </c>
      <c r="AF181" s="39" t="n">
        <f aca="false">IFERROR(IF($C181="","",IF($D181="","",IFERROR(ROUND($D181*INDEX('🔖 배합비 참조'!$B$2:$CE$83,MATCH("당절임(완두배기)",'🔖 배합비 참조'!$A$2:$A$83,0),MATCH($C181,'🔖 배합비 참조'!$B$1:$CE$1,0))/100,0),""))),"")</f>
        <v>0</v>
      </c>
      <c r="AG181" s="39" t="n">
        <f aca="false">IFERROR(IF($C181="","",IF($D181="","",IFERROR(ROUND($D181*INDEX('🔖 배합비 참조'!$B$2:$CE$83,MATCH("대추농축액",'🔖 배합비 참조'!$A$2:$A$83,0),MATCH($C181,'🔖 배합비 참조'!$B$1:$CE$1,0))/100,0),""))),"")</f>
        <v>0</v>
      </c>
      <c r="AH181" s="39" t="n">
        <f aca="false">IFERROR(IF($C181="","",IF($D181="","",IFERROR(ROUND($D181*INDEX('🔖 배합비 참조'!$B$2:$CE$83,MATCH("대추채(국내산)",'🔖 배합비 참조'!$A$2:$A$83,0),MATCH($C181,'🔖 배합비 참조'!$B$1:$CE$1,0))/100,0),""))),"")</f>
        <v>0</v>
      </c>
      <c r="AI181" s="39" t="n">
        <f aca="false">IFERROR(IF($C181="","",IF($D181="","",IFERROR(ROUND($D181*INDEX('🔖 배합비 참조'!$B$2:$CE$83,MATCH("동부(미얀마산)",'🔖 배합비 참조'!$A$2:$A$83,0),MATCH($C181,'🔖 배합비 참조'!$B$1:$CE$1,0))/100,0),""))),"")</f>
        <v>0</v>
      </c>
      <c r="AJ181" s="39" t="n">
        <f aca="false">IFERROR(IF($C181="","",IF($D181="","",IFERROR(ROUND($D181*INDEX('🔖 배합비 참조'!$B$2:$CE$83,MATCH("두류가공품(백옥앙금)",'🔖 배합비 참조'!$A$2:$A$83,0),MATCH($C181,'🔖 배합비 참조'!$B$1:$CE$1,0))/100,0),""))),"")</f>
        <v>0</v>
      </c>
      <c r="AK181" s="39" t="n">
        <f aca="false">IFERROR(IF($C181="","",IF($D181="","",IFERROR(ROUND($D181*INDEX('🔖 배합비 참조'!$B$2:$CE$83,MATCH("두류가공품(콩고물)",'🔖 배합비 참조'!$A$2:$A$83,0),MATCH($C181,'🔖 배합비 참조'!$B$1:$CE$1,0))/100,0),""))),"")</f>
        <v>4</v>
      </c>
      <c r="AL181" s="39" t="n">
        <f aca="false">IFERROR(IF($C181="","",IF($D181="","",IFERROR(ROUND($D181*INDEX('🔖 배합비 참조'!$B$2:$CE$83,MATCH("두류가공품(통팥고물)",'🔖 배합비 참조'!$A$2:$A$83,0),MATCH($C181,'🔖 배합비 참조'!$B$1:$CE$1,0))/100,0),""))),"")</f>
        <v>0</v>
      </c>
      <c r="AM181" s="39" t="n">
        <f aca="false">IFERROR(IF($C181="","",IF($D181="","",IFERROR(ROUND($D181*INDEX('🔖 배합비 참조'!$B$2:$CE$83,MATCH("딸기레진",'🔖 배합비 참조'!$A$2:$A$83,0),MATCH($C181,'🔖 배합비 참조'!$B$1:$CE$1,0))/100,0),""))),"")</f>
        <v>0</v>
      </c>
      <c r="AN181" s="39" t="n">
        <f aca="false">IFERROR(IF($C181="","",IF($D181="","",IFERROR(ROUND($D181*INDEX('🔖 배합비 참조'!$B$2:$CE$83,MATCH("딸기분말(스트로우베리에이드(분말))",'🔖 배합비 참조'!$A$2:$A$83,0),MATCH($C181,'🔖 배합비 참조'!$B$1:$CE$1,0))/100,0),""))),"")</f>
        <v>0</v>
      </c>
      <c r="AO181" s="39" t="n">
        <f aca="false">IFERROR(IF($C181="","",IF($D181="","",IFERROR(ROUND($D181*INDEX('🔖 배합비 참조'!$B$2:$CE$83,MATCH("마스카포네치즈",'🔖 배합비 참조'!$A$2:$A$83,0),MATCH($C181,'🔖 배합비 참조'!$B$1:$CE$1,0))/100,0),""))),"")</f>
        <v>0</v>
      </c>
      <c r="AP181" s="39" t="n">
        <f aca="false">IFERROR(IF($C181="","",IF($D181="","",IFERROR(ROUND($D181*INDEX('🔖 배합비 참조'!$B$2:$CE$83,MATCH("마카다미아분태(호주산)",'🔖 배합비 참조'!$A$2:$A$83,0),MATCH($C181,'🔖 배합비 참조'!$B$1:$CE$1,0))/100,0),""))),"")</f>
        <v>0</v>
      </c>
      <c r="AQ181" s="39" t="n">
        <f aca="false">IFERROR(IF($C181="","",IF($D181="","",IFERROR(ROUND($D181*INDEX('🔖 배합비 참조'!$B$2:$CE$83,MATCH("멥쌀(국내산)",'🔖 배합비 참조'!$A$2:$A$83,0),MATCH($C181,'🔖 배합비 참조'!$B$1:$CE$1,0))/100,0),""))),"")</f>
        <v>0</v>
      </c>
      <c r="AR181" s="39" t="n">
        <f aca="false">IFERROR(IF($C181="","",IF($D181="","",IFERROR(ROUND($D181*INDEX('🔖 배합비 참조'!$B$2:$CE$83,MATCH("모시잎(국내산)",'🔖 배합비 참조'!$A$2:$A$83,0),MATCH($C181,'🔖 배합비 참조'!$B$1:$CE$1,0))/100,0),""))),"")</f>
        <v>0</v>
      </c>
      <c r="AS181" s="39" t="n">
        <f aca="false">IFERROR(IF($C181="","",IF($D181="","",IFERROR(ROUND($D181*INDEX('🔖 배합비 참조'!$B$2:$CE$83,MATCH("물엿(저당물엿)",'🔖 배합비 참조'!$A$2:$A$83,0),MATCH($C181,'🔖 배합비 참조'!$B$1:$CE$1,0))/100,0),""))),"")</f>
        <v>7</v>
      </c>
      <c r="AT181" s="39" t="n">
        <f aca="false">IFERROR(IF($C181="","",IF($D181="","",IFERROR(ROUND($D181*INDEX('🔖 배합비 참조'!$B$2:$CE$83,MATCH("밤다이스",'🔖 배합비 참조'!$A$2:$A$83,0),MATCH($C181,'🔖 배합비 참조'!$B$1:$CE$1,0))/100,0),""))),"")</f>
        <v>0</v>
      </c>
      <c r="AU181" s="39" t="n">
        <f aca="false">IFERROR(IF($C181="","",IF($D181="","",IFERROR(ROUND($D181*INDEX('🔖 배합비 참조'!$B$2:$CE$83,MATCH("변성전분(타피오카전분)",'🔖 배합비 참조'!$A$2:$A$83,0),MATCH($C181,'🔖 배합비 참조'!$B$1:$CE$1,0))/100,0),""))),"")</f>
        <v>0</v>
      </c>
      <c r="AV181" s="39" t="n">
        <f aca="false">IFERROR(IF($C181="","",IF($D181="","",IFERROR(ROUND($D181*INDEX('🔖 배합비 참조'!$B$2:$CE$83,MATCH("복음땅콩분태",'🔖 배합비 참조'!$A$2:$A$83,0),MATCH($C181,'🔖 배합비 참조'!$B$1:$CE$1,0))/100,0),""))),"")</f>
        <v>0</v>
      </c>
      <c r="AW181" s="39" t="n">
        <f aca="false">IFERROR(IF($C181="","",IF($D181="","",IFERROR(ROUND($D181*INDEX('🔖 배합비 참조'!$B$2:$CE$83,MATCH("사양벌꿀(국내산)",'🔖 배합비 참조'!$A$2:$A$83,0),MATCH($C181,'🔖 배합비 참조'!$B$1:$CE$1,0))/100,0),""))),"")</f>
        <v>0</v>
      </c>
      <c r="AX181" s="39" t="n">
        <f aca="false">IFERROR(IF($C181="","",IF($D181="","",IFERROR(ROUND($D181*INDEX('🔖 배합비 참조'!$B$2:$CE$83,MATCH("생크림",'🔖 배합비 참조'!$A$2:$A$83,0),MATCH($C181,'🔖 배합비 참조'!$B$1:$CE$1,0))/100,0),""))),"")</f>
        <v>0</v>
      </c>
      <c r="AY181" s="39" t="n">
        <f aca="false">IFERROR(IF($C181="","",IF($D181="","",IFERROR(ROUND($D181*INDEX('🔖 배합비 참조'!$B$2:$CE$83,MATCH("서양호박(국내산,뉴질랜드산)",'🔖 배합비 참조'!$A$2:$A$83,0),MATCH($C181,'🔖 배합비 참조'!$B$1:$CE$1,0))/100,0),""))),"")</f>
        <v>0</v>
      </c>
      <c r="AZ181" s="39" t="n">
        <f aca="false">IFERROR(IF($C181="","",IF($D181="","",IFERROR(ROUND($D181*INDEX('🔖 배합비 참조'!$B$2:$CE$83,MATCH("설탕",'🔖 배합비 참조'!$A$2:$A$83,0),MATCH($C181,'🔖 배합비 참조'!$B$1:$CE$1,0))/100,0),""))),"")</f>
        <v>7</v>
      </c>
      <c r="BA181" s="39" t="n">
        <f aca="false">IFERROR(IF($C181="","",IF($D181="","",IFERROR(ROUND($D181*INDEX('🔖 배합비 참조'!$B$2:$CE$83,MATCH("스트로우베리 에이드 후레쉬",'🔖 배합비 참조'!$A$2:$A$83,0),MATCH($C181,'🔖 배합비 참조'!$B$1:$CE$1,0))/100,0),""))),"")</f>
        <v>0</v>
      </c>
      <c r="BB181" s="39" t="n">
        <f aca="false">IFERROR(IF($C181="","",IF($D181="","",IFERROR(ROUND($D181*INDEX('🔖 배합비 참조'!$B$2:$CE$83,MATCH("식물성기름혼합제제(분홍)",'🔖 배합비 참조'!$A$2:$A$83,0),MATCH($C181,'🔖 배합비 참조'!$B$1:$CE$1,0))/100,0),""))),"")</f>
        <v>0</v>
      </c>
      <c r="BC181" s="39" t="n">
        <f aca="false">IFERROR(IF($C181="","",IF($D181="","",IFERROR(ROUND($D181*INDEX('🔖 배합비 참조'!$B$2:$CE$83,MATCH("식물성기름혼합제제(초록)",'🔖 배합비 참조'!$A$2:$A$83,0),MATCH($C181,'🔖 배합비 참조'!$B$1:$CE$1,0))/100,0),""))),"")</f>
        <v>0</v>
      </c>
      <c r="BD181" s="39" t="n">
        <f aca="false">IFERROR(IF($C181="","",IF($D181="","",IFERROR(ROUND($D181*INDEX('🔖 배합비 참조'!$B$2:$CE$83,MATCH("식물성기름혼합제제(황색)",'🔖 배합비 참조'!$A$2:$A$83,0),MATCH($C181,'🔖 배합비 참조'!$B$1:$CE$1,0))/100,0),""))),"")</f>
        <v>0</v>
      </c>
      <c r="BE181" s="39" t="n">
        <f aca="false">IFERROR(IF($C181="","",IF($D181="","",IFERROR(ROUND($D181*INDEX('🔖 배합비 참조'!$B$2:$CE$83,MATCH("쑥가루(국내산)",'🔖 배합비 참조'!$A$2:$A$83,0),MATCH($C181,'🔖 배합비 참조'!$B$1:$CE$1,0))/100,0),""))),"")</f>
        <v>0</v>
      </c>
      <c r="BF181" s="39" t="n">
        <f aca="false">IFERROR(IF($C181="","",IF($D181="","",IFERROR(ROUND($D181*INDEX('🔖 배합비 참조'!$B$2:$CE$83,MATCH("아몬드슬라이스",'🔖 배합비 참조'!$A$2:$A$83,0),MATCH($C181,'🔖 배합비 참조'!$B$1:$CE$1,0))/100,0),""))),"")</f>
        <v>0</v>
      </c>
      <c r="BG181" s="39" t="n">
        <f aca="false">IFERROR(IF($C181="","",IF($D181="","",IFERROR(ROUND($D181*INDEX('🔖 배합비 참조'!$B$2:$CE$83,MATCH("알룰로오스(국내산)",'🔖 배합비 참조'!$A$2:$A$83,0),MATCH($C181,'🔖 배합비 참조'!$B$1:$CE$1,0))/100,0),""))),"")</f>
        <v>0</v>
      </c>
      <c r="BH181" s="39" t="n">
        <f aca="false">IFERROR(IF($C181="","",IF($D181="","",IFERROR(ROUND($D181*INDEX('🔖 배합비 참조'!$B$2:$CE$83,MATCH("연유",'🔖 배합비 참조'!$A$2:$A$83,0),MATCH($C181,'🔖 배합비 참조'!$B$1:$CE$1,0))/100,0),""))),"")</f>
        <v>0</v>
      </c>
      <c r="BI181" s="39" t="n">
        <f aca="false">IFERROR(IF($C181="","",IF($D181="","",IFERROR(ROUND($D181*INDEX('🔖 배합비 참조'!$B$2:$CE$83,MATCH("옥수수전분",'🔖 배합비 참조'!$A$2:$A$83,0),MATCH($C181,'🔖 배합비 참조'!$B$1:$CE$1,0))/100,0),""))),"")</f>
        <v>0</v>
      </c>
      <c r="BJ181" s="39" t="n">
        <f aca="false">IFERROR(IF($C181="","",IF($D181="","",IFERROR(ROUND($D181*INDEX('🔖 배합비 참조'!$B$2:$CE$83,MATCH("완두배기",'🔖 배합비 참조'!$A$2:$A$83,0),MATCH($C181,'🔖 배합비 참조'!$B$1:$CE$1,0))/100,0),""))),"")</f>
        <v>0</v>
      </c>
      <c r="BK181" s="39" t="n">
        <f aca="false">IFERROR(IF($C181="","",IF($D181="","",IFERROR(ROUND($D181*INDEX('🔖 배합비 참조'!$B$2:$CE$83,MATCH("우유(국내산)",'🔖 배합비 참조'!$A$2:$A$83,0),MATCH($C181,'🔖 배합비 참조'!$B$1:$CE$1,0))/100,0),""))),"")</f>
        <v>0</v>
      </c>
      <c r="BL181" s="39" t="n">
        <f aca="false">IFERROR(IF($C181="","",IF($D181="","",IFERROR(ROUND($D181*INDEX('🔖 배합비 참조'!$B$2:$CE$83,MATCH("자색고구마가루(중국산)",'🔖 배합비 참조'!$A$2:$A$83,0),MATCH($C181,'🔖 배합비 참조'!$B$1:$CE$1,0))/100,0),""))),"")</f>
        <v>0</v>
      </c>
      <c r="BM181" s="39" t="n">
        <f aca="false">IFERROR(IF($C181="","",IF($D181="","",IFERROR(ROUND($D181*INDEX('🔖 배합비 참조'!$B$2:$CE$83,MATCH("자연치즈(체다치즈)",'🔖 배합비 참조'!$A$2:$A$83,0),MATCH($C181,'🔖 배합비 참조'!$B$1:$CE$1,0))/100,0),""))),"")</f>
        <v>0</v>
      </c>
      <c r="BN181" s="39" t="n">
        <f aca="false">IFERROR(IF($C181="","",IF($D181="","",IFERROR(ROUND($D181*INDEX('🔖 배합비 참조'!$B$2:$CE$83,MATCH("정제수",'🔖 배합비 참조'!$A$2:$A$83,0),MATCH($C181,'🔖 배합비 참조'!$B$1:$CE$1,0))/100,0),""))),"")</f>
        <v>53</v>
      </c>
      <c r="BO181" s="39" t="n">
        <f aca="false">IFERROR(IF($C181="","",IF($D181="","",IFERROR(ROUND($D181*INDEX('🔖 배합비 참조'!$B$2:$CE$83,MATCH("젤라틴",'🔖 배합비 참조'!$A$2:$A$83,0),MATCH($C181,'🔖 배합비 참조'!$B$1:$CE$1,0))/100,0),""))),"")</f>
        <v>0</v>
      </c>
      <c r="BP181" s="39" t="n">
        <f aca="false">IFERROR(IF($C181="","",IF($D181="","",IFERROR(ROUND($D181*INDEX('🔖 배합비 참조'!$B$2:$CE$83,MATCH("조림류(백옥앙금)",'🔖 배합비 참조'!$A$2:$A$83,0),MATCH($C181,'🔖 배합비 참조'!$B$1:$CE$1,0))/100,0),""))),"")</f>
        <v>0</v>
      </c>
      <c r="BQ181" s="39" t="n">
        <f aca="false">IFERROR(IF($C181="","",IF($D181="","",IFERROR(ROUND($D181*INDEX('🔖 배합비 참조'!$B$2:$CE$83,MATCH("조림류(통팥앙금)",'🔖 배합비 참조'!$A$2:$A$83,0),MATCH($C181,'🔖 배합비 참조'!$B$1:$CE$1,0))/100,0),""))),"")</f>
        <v>0</v>
      </c>
      <c r="BR181" s="39" t="n">
        <f aca="false">IFERROR(IF($C181="","",IF($D181="","",IFERROR(ROUND($D181*INDEX('🔖 배합비 참조'!$B$2:$CE$83,MATCH("준초콜릿(외국산)",'🔖 배합비 참조'!$A$2:$A$83,0),MATCH($C181,'🔖 배합비 참조'!$B$1:$CE$1,0))/100,0),""))),"")</f>
        <v>0</v>
      </c>
      <c r="BS181" s="39" t="n">
        <f aca="false">IFERROR(IF($C181="","",IF($D181="","",IFERROR(ROUND($D181*INDEX('🔖 배합비 참조'!$B$2:$CE$83,MATCH("중력분",'🔖 배합비 참조'!$A$2:$A$83,0),MATCH($C181,'🔖 배합비 참조'!$B$1:$CE$1,0))/100,0),""))),"")</f>
        <v>1</v>
      </c>
      <c r="BT181" s="39" t="n">
        <f aca="false">IFERROR(IF($C181="","",IF($D181="","",IFERROR(ROUND($D181*INDEX('🔖 배합비 참조'!$B$2:$CE$83,MATCH("참깨(인도산,나이지리아산,탄자니아산,미얀마산)",'🔖 배합비 참조'!$A$2:$A$83,0),MATCH($C181,'🔖 배합비 참조'!$B$1:$CE$1,0))/100,0),""))),"")</f>
        <v>0</v>
      </c>
      <c r="BU181" s="39" t="n">
        <f aca="false">IFERROR(IF($C181="","",IF($D181="","",IFERROR(ROUND($D181*INDEX('🔖 배합비 참조'!$B$2:$CE$83,MATCH("찹쌀(국내산)",'🔖 배합비 참조'!$A$2:$A$83,0),MATCH($C181,'🔖 배합비 참조'!$B$1:$CE$1,0))/100,0),""))),"")</f>
        <v>67</v>
      </c>
      <c r="BV181" s="39" t="n">
        <f aca="false">IFERROR(IF($C181="","",IF($D181="","",IFERROR(ROUND($D181*INDEX('🔖 배합비 참조'!$B$2:$CE$83,MATCH("천일염",'🔖 배합비 참조'!$A$2:$A$83,0),MATCH($C181,'🔖 배합비 참조'!$B$1:$CE$1,0))/100,0),""))),"")</f>
        <v>1</v>
      </c>
      <c r="BW181" s="39" t="n">
        <f aca="false">IFERROR(IF($C181="","",IF($D181="","",IFERROR(ROUND($D181*INDEX('🔖 배합비 참조'!$B$2:$CE$83,MATCH("치즈 [크림치즈]",'🔖 배합비 참조'!$A$2:$A$83,0),MATCH($C181,'🔖 배합비 참조'!$B$1:$CE$1,0))/100,0),""))),"")</f>
        <v>0</v>
      </c>
      <c r="BX181" s="39" t="n">
        <f aca="false">IFERROR(IF($C181="","",IF($D181="","",IFERROR(ROUND($D181*INDEX('🔖 배합비 참조'!$B$2:$CE$83,MATCH("코코아가공품류(코코아분말)",'🔖 배합비 참조'!$A$2:$A$83,0),MATCH($C181,'🔖 배합비 참조'!$B$1:$CE$1,0))/100,0),""))),"")</f>
        <v>0</v>
      </c>
      <c r="BY181" s="39" t="n">
        <f aca="false">IFERROR(IF($C181="","",IF($D181="","",IFERROR(ROUND($D181*INDEX('🔖 배합비 참조'!$B$2:$CE$83,MATCH("콩기름(대두유)",'🔖 배합비 참조'!$A$2:$A$83,0),MATCH($C181,'🔖 배합비 참조'!$B$1:$CE$1,0))/100,0),""))),"")</f>
        <v>0</v>
      </c>
      <c r="BZ181" s="39" t="n">
        <f aca="false">IFERROR(IF($C181="","",IF($D181="","",IFERROR(ROUND($D181*INDEX('🔖 배합비 참조'!$B$2:$CE$83,MATCH("해바라기씨앗",'🔖 배합비 참조'!$A$2:$A$83,0),MATCH($C181,'🔖 배합비 참조'!$B$1:$CE$1,0))/100,0),""))),"")</f>
        <v>0</v>
      </c>
      <c r="CA181" s="39" t="n">
        <f aca="false">IFERROR(IF($C181="","",IF($D181="","",IFERROR(ROUND($D181*INDEX('🔖 배합비 참조'!$B$2:$CE$83,MATCH("현미(국내산)",'🔖 배합비 참조'!$A$2:$A$83,0),MATCH($C181,'🔖 배합비 참조'!$B$1:$CE$1,0))/100,0),""))),"")</f>
        <v>0</v>
      </c>
      <c r="CB181" s="39" t="n">
        <f aca="false">IFERROR(IF($C181="","",IF($D181="","",IFERROR(ROUND($D181*INDEX('🔖 배합비 참조'!$B$2:$CE$83,MATCH("현미멥쌀(국내산)",'🔖 배합비 참조'!$A$2:$A$83,0),MATCH($C181,'🔖 배합비 참조'!$B$1:$CE$1,0))/100,0),""))),"")</f>
        <v>0</v>
      </c>
      <c r="CC181" s="39" t="n">
        <f aca="false">IFERROR(IF($C181="","",IF($D181="","",IFERROR(ROUND($D181*INDEX('🔖 배합비 참조'!$B$2:$CE$83,MATCH("호두분태(미국산)",'🔖 배합비 참조'!$A$2:$A$83,0),MATCH($C181,'🔖 배합비 참조'!$B$1:$CE$1,0))/100,0),""))),"")</f>
        <v>0</v>
      </c>
      <c r="CD181" s="39" t="n">
        <f aca="false">IFERROR(IF($C181="","",IF($D181="","",IFERROR(ROUND($D181*INDEX('🔖 배합비 참조'!$B$2:$CE$83,MATCH("호박씨앗(외국산)",'🔖 배합비 참조'!$A$2:$A$83,0),MATCH($C181,'🔖 배합비 참조'!$B$1:$CE$1,0))/100,0),""))),"")</f>
        <v>0</v>
      </c>
      <c r="CE181" s="39" t="n">
        <f aca="false">IFERROR(IF($C181="","",IF($D181="","",IFERROR(ROUND($D181*INDEX('🔖 배합비 참조'!$B$2:$CE$83,MATCH("혼합제제(떡용에스텔)",'🔖 배합비 참조'!$A$2:$A$83,0),MATCH($C181,'🔖 배합비 참조'!$B$1:$CE$1,0))/100,0),""))),"")</f>
        <v>1</v>
      </c>
      <c r="CF181" s="39" t="n">
        <f aca="false">IFERROR(IF($C181="","",IF($D181="","",IFERROR(ROUND($D181*INDEX('🔖 배합비 참조'!$B$2:$CE$83,MATCH("혼합제제(스테비아)",'🔖 배합비 참조'!$A$2:$A$83,0),MATCH($C181,'🔖 배합비 참조'!$B$1:$CE$1,0))/100,0),""))),"")</f>
        <v>0</v>
      </c>
      <c r="CG181" s="39" t="n">
        <f aca="false">IFERROR(IF($C181="","",IF($D181="","",IFERROR(ROUND($D181*INDEX('🔖 배합비 참조'!$B$2:$CE$83,MATCH("화이트초콜릿",'🔖 배합비 참조'!$A$2:$A$83,0),MATCH($C181,'🔖 배합비 참조'!$B$1:$CE$1,0))/100,0),""))),"")</f>
        <v>0</v>
      </c>
      <c r="CH181" s="39" t="n">
        <f aca="false">IFERROR(IF($C181="","",IF($D181="","",IFERROR(ROUND($D181*INDEX('🔖 배합비 참조'!$B$2:$CE$83,MATCH("흑미찹쌀(국내산)",'🔖 배합비 참조'!$A$2:$A$83,0),MATCH($C181,'🔖 배합비 참조'!$B$1:$CE$1,0))/100,0),""))),"")</f>
        <v>0</v>
      </c>
      <c r="CI181" s="39" t="n">
        <f aca="false">IFERROR(IF($C181="","",IF($D181="","",IFERROR(ROUND($D181*INDEX('🔖 배합비 참조'!$B$2:$CE$83,MATCH("찰옥수수전분(미국산)",'🔖 배합비 참조'!$A$2:$A$83,0),MATCH($C181,'🔖 배합비 참조'!$B$1:$CE$1,0))/100,0),""))),"")</f>
        <v>0</v>
      </c>
      <c r="CJ181" s="40"/>
      <c r="CL181" s="1" t="s">
        <v>245</v>
      </c>
    </row>
    <row r="182" customFormat="false" ht="18" hidden="false" customHeight="true" outlineLevel="0" collapsed="false">
      <c r="A182" s="41" t="n">
        <v>178</v>
      </c>
      <c r="B182" s="36" t="n">
        <v>46044</v>
      </c>
      <c r="C182" s="37" t="s">
        <v>191</v>
      </c>
      <c r="D182" s="38" t="n">
        <v>550</v>
      </c>
      <c r="E182" s="17"/>
      <c r="F182" s="17"/>
      <c r="G182" s="42" t="n">
        <f aca="false">IFERROR(IF($C182="","",IF($D182="","",IFERROR(ROUND($D182*INDEX('🔖 배합비 참조'!$B$2:$CE$83,MATCH("간장",'🔖 배합비 참조'!$A$2:$A$83,0),MATCH($C182,'🔖 배합비 참조'!$B$1:$CE$1,0))/100,0),""))),"")</f>
        <v>0</v>
      </c>
      <c r="H182" s="42" t="n">
        <f aca="false">IFERROR(IF($C182="","",IF($D182="","",IFERROR(ROUND($D182*INDEX('🔖 배합비 참조'!$B$2:$CE$83,MATCH("강낭콩((울타리콩))",'🔖 배합비 참조'!$A$2:$A$83,0),MATCH($C182,'🔖 배합비 참조'!$B$1:$CE$1,0))/100,0),""))),"")</f>
        <v>0</v>
      </c>
      <c r="I182" s="42" t="n">
        <f aca="false">IFERROR(IF($C182="","",IF($D182="","",IFERROR(ROUND($D182*INDEX('🔖 배합비 참조'!$B$2:$CE$83,MATCH("건조딸기다이스(외국산)",'🔖 배합비 참조'!$A$2:$A$83,0),MATCH($C182,'🔖 배합비 참조'!$B$1:$CE$1,0))/100,0),""))),"")</f>
        <v>0</v>
      </c>
      <c r="J182" s="42" t="n">
        <f aca="false">IFERROR(IF($C182="","",IF($D182="","",IFERROR(ROUND($D182*INDEX('🔖 배합비 참조'!$B$2:$CE$83,MATCH("건포도",'🔖 배합비 참조'!$A$2:$A$83,0),MATCH($C182,'🔖 배합비 참조'!$B$1:$CE$1,0))/100,0),""))),"")</f>
        <v>0</v>
      </c>
      <c r="K182" s="42" t="n">
        <f aca="false">IFERROR(IF($C182="","",IF($D182="","",IFERROR(ROUND($D182*INDEX('🔖 배합비 참조'!$B$2:$CE$83,MATCH("건호박채(중국산)",'🔖 배합비 참조'!$A$2:$A$83,0),MATCH($C182,'🔖 배합비 참조'!$B$1:$CE$1,0))/100,0),""))),"")</f>
        <v>0</v>
      </c>
      <c r="L182" s="42" t="n">
        <f aca="false">IFERROR(IF($C182="","",IF($D182="","",IFERROR(ROUND($D182*INDEX('🔖 배합비 참조'!$B$2:$CE$83,MATCH("검정깨(흑임자)",'🔖 배합비 참조'!$A$2:$A$83,0),MATCH($C182,'🔖 배합비 참조'!$B$1:$CE$1,0))/100,0),""))),"")</f>
        <v>0</v>
      </c>
      <c r="M182" s="42" t="n">
        <f aca="false">IFERROR(IF($C182="","",IF($D182="","",IFERROR(ROUND($D182*INDEX('🔖 배합비 참조'!$B$2:$CE$83,MATCH("검정콩",'🔖 배합비 참조'!$A$2:$A$83,0),MATCH($C182,'🔖 배합비 참조'!$B$1:$CE$1,0))/100,0),""))),"")</f>
        <v>0</v>
      </c>
      <c r="N182" s="42" t="n">
        <f aca="false">IFERROR(IF($C182="","",IF($D182="","",IFERROR(ROUND($D182*INDEX('🔖 배합비 참조'!$B$2:$CE$83,MATCH("계피가루",'🔖 배합비 참조'!$A$2:$A$83,0),MATCH($C182,'🔖 배합비 참조'!$B$1:$CE$1,0))/100,0),""))),"")</f>
        <v>0</v>
      </c>
      <c r="O182" s="42" t="n">
        <f aca="false">IFERROR(IF($C182="","",IF($D182="","",IFERROR(ROUND($D182*INDEX('🔖 배합비 참조'!$B$2:$CE$83,MATCH("고구마가루",'🔖 배합비 참조'!$A$2:$A$83,0),MATCH($C182,'🔖 배합비 참조'!$B$1:$CE$1,0))/100,0),""))),"")</f>
        <v>0</v>
      </c>
      <c r="P182" s="42" t="n">
        <f aca="false">IFERROR(IF($C182="","",IF($D182="","",IFERROR(ROUND($D182*INDEX('🔖 배합비 참조'!$B$2:$CE$83,MATCH("고구마무스",'🔖 배합비 참조'!$A$2:$A$83,0),MATCH($C182,'🔖 배합비 참조'!$B$1:$CE$1,0))/100,0),""))),"")</f>
        <v>0</v>
      </c>
      <c r="Q182" s="42" t="n">
        <f aca="false">IFERROR(IF($C182="","",IF($D182="","",IFERROR(ROUND($D182*INDEX('🔖 배합비 참조'!$B$2:$CE$83,MATCH("고려엉겅퀴((곤드레)국내산)",'🔖 배합비 참조'!$A$2:$A$83,0),MATCH($C182,'🔖 배합비 참조'!$B$1:$CE$1,0))/100,0),""))),"")</f>
        <v>0</v>
      </c>
      <c r="R182" s="42" t="n">
        <f aca="false">IFERROR(IF($C182="","",IF($D182="","",IFERROR(ROUND($D182*INDEX('🔖 배합비 참조'!$B$2:$CE$83,MATCH("기타가공품(복분자가루)",'🔖 배합비 참조'!$A$2:$A$83,0),MATCH($C182,'🔖 배합비 참조'!$B$1:$CE$1,0))/100,0),""))),"")</f>
        <v>0</v>
      </c>
      <c r="S182" s="42" t="n">
        <f aca="false">IFERROR(IF($C182="","",IF($D182="","",IFERROR(ROUND($D182*INDEX('🔖 배합비 참조'!$B$2:$CE$83,MATCH("기타가공품(슈퍼소프트엠)",'🔖 배합비 참조'!$A$2:$A$83,0),MATCH($C182,'🔖 배합비 참조'!$B$1:$CE$1,0))/100,0),""))),"")</f>
        <v>0</v>
      </c>
      <c r="T182" s="42" t="n">
        <f aca="false">IFERROR(IF($C182="","",IF($D182="","",IFERROR(ROUND($D182*INDEX('🔖 배합비 참조'!$B$2:$CE$83,MATCH("기타가공품(파인소프트 E-티)",'🔖 배합비 참조'!$A$2:$A$83,0),MATCH($C182,'🔖 배합비 참조'!$B$1:$CE$1,0))/100,0),""))),"")</f>
        <v>0</v>
      </c>
      <c r="U182" s="42" t="n">
        <f aca="false">IFERROR(IF($C182="","",IF($D182="","",IFERROR(ROUND($D182*INDEX('🔖 배합비 참조'!$B$2:$CE$83,MATCH("기타가공품(프리미엄카스테라가루)",'🔖 배합비 참조'!$A$2:$A$83,0),MATCH($C182,'🔖 배합비 참조'!$B$1:$CE$1,0))/100,0),""))),"")</f>
        <v>0</v>
      </c>
      <c r="V182" s="42" t="n">
        <f aca="false">IFERROR(IF($C182="","",IF($D182="","",IFERROR(ROUND($D182*INDEX('🔖 배합비 참조'!$B$2:$CE$83,MATCH("기타가공품(흑임자가루)",'🔖 배합비 참조'!$A$2:$A$83,0),MATCH($C182,'🔖 배합비 참조'!$B$1:$CE$1,0))/100,0),""))),"")</f>
        <v>0</v>
      </c>
      <c r="W182" s="42" t="n">
        <f aca="false">IFERROR(IF($C182="","",IF($D182="","",IFERROR(ROUND($D182*INDEX('🔖 배합비 참조'!$B$2:$CE$83,MATCH("기타설탕(흑설탕)",'🔖 배합비 참조'!$A$2:$A$83,0),MATCH($C182,'🔖 배합비 참조'!$B$1:$CE$1,0))/100,0),""))),"")</f>
        <v>0</v>
      </c>
      <c r="X182" s="42" t="n">
        <f aca="false">IFERROR(IF($C182="","",IF($D182="","",IFERROR(ROUND($D182*INDEX('🔖 배합비 참조'!$B$2:$CE$83,MATCH("냉동쑥(국내산)",'🔖 배합비 참조'!$A$2:$A$83,0),MATCH($C182,'🔖 배합비 참조'!$B$1:$CE$1,0))/100,0),""))),"")</f>
        <v>0</v>
      </c>
      <c r="Y182" s="42" t="n">
        <f aca="false">IFERROR(IF($C182="","",IF($D182="","",IFERROR(ROUND($D182*INDEX('🔖 배합비 참조'!$B$2:$CE$83,MATCH("냉동증숙고구마(중국산)",'🔖 배합비 참조'!$A$2:$A$83,0),MATCH($C182,'🔖 배합비 참조'!$B$1:$CE$1,0))/100,0),""))),"")</f>
        <v>0</v>
      </c>
      <c r="Z182" s="42" t="n">
        <f aca="false">IFERROR(IF($C182="","",IF($D182="","",IFERROR(ROUND($D182*INDEX('🔖 배합비 참조'!$B$2:$CE$83,MATCH("녹차가루",'🔖 배합비 참조'!$A$2:$A$83,0),MATCH($C182,'🔖 배합비 참조'!$B$1:$CE$1,0))/100,0),""))),"")</f>
        <v>0</v>
      </c>
      <c r="AA182" s="42" t="n">
        <f aca="false">IFERROR(IF($C182="","",IF($D182="","",IFERROR(ROUND($D182*INDEX('🔖 배합비 참조'!$B$2:$CE$83,MATCH("다크초콜릿 컴파운드칩",'🔖 배합비 참조'!$A$2:$A$83,0),MATCH($C182,'🔖 배합비 참조'!$B$1:$CE$1,0))/100,0),""))),"")</f>
        <v>0</v>
      </c>
      <c r="AB182" s="42" t="n">
        <f aca="false">IFERROR(IF($C182="","",IF($D182="","",IFERROR(ROUND($D182*INDEX('🔖 배합비 참조'!$B$2:$CE$83,MATCH("단호박분말(중국산)",'🔖 배합비 참조'!$A$2:$A$83,0),MATCH($C182,'🔖 배합비 참조'!$B$1:$CE$1,0))/100,0),""))),"")</f>
        <v>0</v>
      </c>
      <c r="AC182" s="42" t="n">
        <f aca="false">IFERROR(IF($C182="","",IF($D182="","",IFERROR(ROUND($D182*INDEX('🔖 배합비 참조'!$B$2:$CE$83,MATCH("당류가공품(단호박농축액)",'🔖 배합비 참조'!$A$2:$A$83,0),MATCH($C182,'🔖 배합비 참조'!$B$1:$CE$1,0))/100,0),""))),"")</f>
        <v>0</v>
      </c>
      <c r="AD182" s="42" t="n">
        <f aca="false">IFERROR(IF($C182="","",IF($D182="","",IFERROR(ROUND($D182*INDEX('🔖 배합비 참조'!$B$2:$CE$83,MATCH("당류가공품(알룰로스,에리스리톨,스테비올배당체혼합)",'🔖 배합비 참조'!$A$2:$A$83,0),MATCH($C182,'🔖 배합비 참조'!$B$1:$CE$1,0))/100,0),""))),"")</f>
        <v>0</v>
      </c>
      <c r="AE182" s="42" t="n">
        <f aca="false">IFERROR(IF($C182="","",IF($D182="","",IFERROR(ROUND($D182*INDEX('🔖 배합비 참조'!$B$2:$CE$83,MATCH("당류가공품(알룰로스제로파우더)",'🔖 배합비 참조'!$A$2:$A$83,0),MATCH($C182,'🔖 배합비 참조'!$B$1:$CE$1,0))/100,0),""))),"")</f>
        <v>0</v>
      </c>
      <c r="AF182" s="42" t="n">
        <f aca="false">IFERROR(IF($C182="","",IF($D182="","",IFERROR(ROUND($D182*INDEX('🔖 배합비 참조'!$B$2:$CE$83,MATCH("당절임(완두배기)",'🔖 배합비 참조'!$A$2:$A$83,0),MATCH($C182,'🔖 배합비 참조'!$B$1:$CE$1,0))/100,0),""))),"")</f>
        <v>0</v>
      </c>
      <c r="AG182" s="42" t="n">
        <f aca="false">IFERROR(IF($C182="","",IF($D182="","",IFERROR(ROUND($D182*INDEX('🔖 배합비 참조'!$B$2:$CE$83,MATCH("대추농축액",'🔖 배합비 참조'!$A$2:$A$83,0),MATCH($C182,'🔖 배합비 참조'!$B$1:$CE$1,0))/100,0),""))),"")</f>
        <v>0</v>
      </c>
      <c r="AH182" s="42" t="n">
        <f aca="false">IFERROR(IF($C182="","",IF($D182="","",IFERROR(ROUND($D182*INDEX('🔖 배합비 참조'!$B$2:$CE$83,MATCH("대추채(국내산)",'🔖 배합비 참조'!$A$2:$A$83,0),MATCH($C182,'🔖 배합비 참조'!$B$1:$CE$1,0))/100,0),""))),"")</f>
        <v>0</v>
      </c>
      <c r="AI182" s="42" t="n">
        <f aca="false">IFERROR(IF($C182="","",IF($D182="","",IFERROR(ROUND($D182*INDEX('🔖 배합비 참조'!$B$2:$CE$83,MATCH("동부(미얀마산)",'🔖 배합비 참조'!$A$2:$A$83,0),MATCH($C182,'🔖 배합비 참조'!$B$1:$CE$1,0))/100,0),""))),"")</f>
        <v>0</v>
      </c>
      <c r="AJ182" s="42" t="n">
        <f aca="false">IFERROR(IF($C182="","",IF($D182="","",IFERROR(ROUND($D182*INDEX('🔖 배합비 참조'!$B$2:$CE$83,MATCH("두류가공품(백옥앙금)",'🔖 배합비 참조'!$A$2:$A$83,0),MATCH($C182,'🔖 배합비 참조'!$B$1:$CE$1,0))/100,0),""))),"")</f>
        <v>0</v>
      </c>
      <c r="AK182" s="42" t="n">
        <f aca="false">IFERROR(IF($C182="","",IF($D182="","",IFERROR(ROUND($D182*INDEX('🔖 배합비 참조'!$B$2:$CE$83,MATCH("두류가공품(콩고물)",'🔖 배합비 참조'!$A$2:$A$83,0),MATCH($C182,'🔖 배합비 참조'!$B$1:$CE$1,0))/100,0),""))),"")</f>
        <v>0</v>
      </c>
      <c r="AL182" s="42" t="n">
        <f aca="false">IFERROR(IF($C182="","",IF($D182="","",IFERROR(ROUND($D182*INDEX('🔖 배합비 참조'!$B$2:$CE$83,MATCH("두류가공품(통팥고물)",'🔖 배합비 참조'!$A$2:$A$83,0),MATCH($C182,'🔖 배합비 참조'!$B$1:$CE$1,0))/100,0),""))),"")</f>
        <v>0</v>
      </c>
      <c r="AM182" s="42" t="n">
        <f aca="false">IFERROR(IF($C182="","",IF($D182="","",IFERROR(ROUND($D182*INDEX('🔖 배합비 참조'!$B$2:$CE$83,MATCH("딸기레진",'🔖 배합비 참조'!$A$2:$A$83,0),MATCH($C182,'🔖 배합비 참조'!$B$1:$CE$1,0))/100,0),""))),"")</f>
        <v>0</v>
      </c>
      <c r="AN182" s="42" t="n">
        <f aca="false">IFERROR(IF($C182="","",IF($D182="","",IFERROR(ROUND($D182*INDEX('🔖 배합비 참조'!$B$2:$CE$83,MATCH("딸기분말(스트로우베리에이드(분말))",'🔖 배합비 참조'!$A$2:$A$83,0),MATCH($C182,'🔖 배합비 참조'!$B$1:$CE$1,0))/100,0),""))),"")</f>
        <v>0</v>
      </c>
      <c r="AO182" s="42" t="n">
        <f aca="false">IFERROR(IF($C182="","",IF($D182="","",IFERROR(ROUND($D182*INDEX('🔖 배합비 참조'!$B$2:$CE$83,MATCH("마스카포네치즈",'🔖 배합비 참조'!$A$2:$A$83,0),MATCH($C182,'🔖 배합비 참조'!$B$1:$CE$1,0))/100,0),""))),"")</f>
        <v>0</v>
      </c>
      <c r="AP182" s="42" t="n">
        <f aca="false">IFERROR(IF($C182="","",IF($D182="","",IFERROR(ROUND($D182*INDEX('🔖 배합비 참조'!$B$2:$CE$83,MATCH("마카다미아분태(호주산)",'🔖 배합비 참조'!$A$2:$A$83,0),MATCH($C182,'🔖 배합비 참조'!$B$1:$CE$1,0))/100,0),""))),"")</f>
        <v>0</v>
      </c>
      <c r="AQ182" s="42" t="n">
        <f aca="false">IFERROR(IF($C182="","",IF($D182="","",IFERROR(ROUND($D182*INDEX('🔖 배합비 참조'!$B$2:$CE$83,MATCH("멥쌀(국내산)",'🔖 배합비 참조'!$A$2:$A$83,0),MATCH($C182,'🔖 배합비 참조'!$B$1:$CE$1,0))/100,0),""))),"")</f>
        <v>11</v>
      </c>
      <c r="AR182" s="42" t="n">
        <f aca="false">IFERROR(IF($C182="","",IF($D182="","",IFERROR(ROUND($D182*INDEX('🔖 배합비 참조'!$B$2:$CE$83,MATCH("모시잎(국내산)",'🔖 배합비 참조'!$A$2:$A$83,0),MATCH($C182,'🔖 배합비 참조'!$B$1:$CE$1,0))/100,0),""))),"")</f>
        <v>0</v>
      </c>
      <c r="AS182" s="42" t="n">
        <f aca="false">IFERROR(IF($C182="","",IF($D182="","",IFERROR(ROUND($D182*INDEX('🔖 배합비 참조'!$B$2:$CE$83,MATCH("물엿(저당물엿)",'🔖 배합비 참조'!$A$2:$A$83,0),MATCH($C182,'🔖 배합비 참조'!$B$1:$CE$1,0))/100,0),""))),"")</f>
        <v>0</v>
      </c>
      <c r="AT182" s="42" t="n">
        <f aca="false">IFERROR(IF($C182="","",IF($D182="","",IFERROR(ROUND($D182*INDEX('🔖 배합비 참조'!$B$2:$CE$83,MATCH("밤다이스",'🔖 배합비 참조'!$A$2:$A$83,0),MATCH($C182,'🔖 배합비 참조'!$B$1:$CE$1,0))/100,0),""))),"")</f>
        <v>0</v>
      </c>
      <c r="AU182" s="42" t="n">
        <f aca="false">IFERROR(IF($C182="","",IF($D182="","",IFERROR(ROUND($D182*INDEX('🔖 배합비 참조'!$B$2:$CE$83,MATCH("변성전분(타피오카전분)",'🔖 배합비 참조'!$A$2:$A$83,0),MATCH($C182,'🔖 배합비 참조'!$B$1:$CE$1,0))/100,0),""))),"")</f>
        <v>0</v>
      </c>
      <c r="AV182" s="42" t="n">
        <f aca="false">IFERROR(IF($C182="","",IF($D182="","",IFERROR(ROUND($D182*INDEX('🔖 배합비 참조'!$B$2:$CE$83,MATCH("복음땅콩분태",'🔖 배합비 참조'!$A$2:$A$83,0),MATCH($C182,'🔖 배합비 참조'!$B$1:$CE$1,0))/100,0),""))),"")</f>
        <v>0</v>
      </c>
      <c r="AW182" s="42" t="n">
        <f aca="false">IFERROR(IF($C182="","",IF($D182="","",IFERROR(ROUND($D182*INDEX('🔖 배합비 참조'!$B$2:$CE$83,MATCH("사양벌꿀(국내산)",'🔖 배합비 참조'!$A$2:$A$83,0),MATCH($C182,'🔖 배합비 참조'!$B$1:$CE$1,0))/100,0),""))),"")</f>
        <v>0</v>
      </c>
      <c r="AX182" s="42" t="n">
        <f aca="false">IFERROR(IF($C182="","",IF($D182="","",IFERROR(ROUND($D182*INDEX('🔖 배합비 참조'!$B$2:$CE$83,MATCH("생크림",'🔖 배합비 참조'!$A$2:$A$83,0),MATCH($C182,'🔖 배합비 참조'!$B$1:$CE$1,0))/100,0),""))),"")</f>
        <v>0</v>
      </c>
      <c r="AY182" s="42" t="n">
        <f aca="false">IFERROR(IF($C182="","",IF($D182="","",IFERROR(ROUND($D182*INDEX('🔖 배합비 참조'!$B$2:$CE$83,MATCH("서양호박(국내산,뉴질랜드산)",'🔖 배합비 참조'!$A$2:$A$83,0),MATCH($C182,'🔖 배합비 참조'!$B$1:$CE$1,0))/100,0),""))),"")</f>
        <v>0</v>
      </c>
      <c r="AZ182" s="42" t="n">
        <f aca="false">IFERROR(IF($C182="","",IF($D182="","",IFERROR(ROUND($D182*INDEX('🔖 배합비 참조'!$B$2:$CE$83,MATCH("설탕",'🔖 배합비 참조'!$A$2:$A$83,0),MATCH($C182,'🔖 배합비 참조'!$B$1:$CE$1,0))/100,0),""))),"")</f>
        <v>105</v>
      </c>
      <c r="BA182" s="42" t="n">
        <f aca="false">IFERROR(IF($C182="","",IF($D182="","",IFERROR(ROUND($D182*INDEX('🔖 배합비 참조'!$B$2:$CE$83,MATCH("스트로우베리 에이드 후레쉬",'🔖 배합비 참조'!$A$2:$A$83,0),MATCH($C182,'🔖 배합비 참조'!$B$1:$CE$1,0))/100,0),""))),"")</f>
        <v>0</v>
      </c>
      <c r="BB182" s="42" t="n">
        <f aca="false">IFERROR(IF($C182="","",IF($D182="","",IFERROR(ROUND($D182*INDEX('🔖 배합비 참조'!$B$2:$CE$83,MATCH("식물성기름혼합제제(분홍)",'🔖 배합비 참조'!$A$2:$A$83,0),MATCH($C182,'🔖 배합비 참조'!$B$1:$CE$1,0))/100,0),""))),"")</f>
        <v>0</v>
      </c>
      <c r="BC182" s="42" t="n">
        <f aca="false">IFERROR(IF($C182="","",IF($D182="","",IFERROR(ROUND($D182*INDEX('🔖 배합비 참조'!$B$2:$CE$83,MATCH("식물성기름혼합제제(초록)",'🔖 배합비 참조'!$A$2:$A$83,0),MATCH($C182,'🔖 배합비 참조'!$B$1:$CE$1,0))/100,0),""))),"")</f>
        <v>0</v>
      </c>
      <c r="BD182" s="42" t="n">
        <f aca="false">IFERROR(IF($C182="","",IF($D182="","",IFERROR(ROUND($D182*INDEX('🔖 배합비 참조'!$B$2:$CE$83,MATCH("식물성기름혼합제제(황색)",'🔖 배합비 참조'!$A$2:$A$83,0),MATCH($C182,'🔖 배합비 참조'!$B$1:$CE$1,0))/100,0),""))),"")</f>
        <v>0</v>
      </c>
      <c r="BE182" s="42" t="n">
        <f aca="false">IFERROR(IF($C182="","",IF($D182="","",IFERROR(ROUND($D182*INDEX('🔖 배합비 참조'!$B$2:$CE$83,MATCH("쑥가루(국내산)",'🔖 배합비 참조'!$A$2:$A$83,0),MATCH($C182,'🔖 배합비 참조'!$B$1:$CE$1,0))/100,0),""))),"")</f>
        <v>0</v>
      </c>
      <c r="BF182" s="42" t="n">
        <f aca="false">IFERROR(IF($C182="","",IF($D182="","",IFERROR(ROUND($D182*INDEX('🔖 배합비 참조'!$B$2:$CE$83,MATCH("아몬드슬라이스",'🔖 배합비 참조'!$A$2:$A$83,0),MATCH($C182,'🔖 배합비 참조'!$B$1:$CE$1,0))/100,0),""))),"")</f>
        <v>0</v>
      </c>
      <c r="BG182" s="42" t="n">
        <f aca="false">IFERROR(IF($C182="","",IF($D182="","",IFERROR(ROUND($D182*INDEX('🔖 배합비 참조'!$B$2:$CE$83,MATCH("알룰로오스(국내산)",'🔖 배합비 참조'!$A$2:$A$83,0),MATCH($C182,'🔖 배합비 참조'!$B$1:$CE$1,0))/100,0),""))),"")</f>
        <v>0</v>
      </c>
      <c r="BH182" s="42" t="n">
        <f aca="false">IFERROR(IF($C182="","",IF($D182="","",IFERROR(ROUND($D182*INDEX('🔖 배합비 참조'!$B$2:$CE$83,MATCH("연유",'🔖 배합비 참조'!$A$2:$A$83,0),MATCH($C182,'🔖 배합비 참조'!$B$1:$CE$1,0))/100,0),""))),"")</f>
        <v>0</v>
      </c>
      <c r="BI182" s="42" t="n">
        <f aca="false">IFERROR(IF($C182="","",IF($D182="","",IFERROR(ROUND($D182*INDEX('🔖 배합비 참조'!$B$2:$CE$83,MATCH("옥수수전분",'🔖 배합비 참조'!$A$2:$A$83,0),MATCH($C182,'🔖 배합비 참조'!$B$1:$CE$1,0))/100,0),""))),"")</f>
        <v>0</v>
      </c>
      <c r="BJ182" s="42" t="n">
        <f aca="false">IFERROR(IF($C182="","",IF($D182="","",IFERROR(ROUND($D182*INDEX('🔖 배합비 참조'!$B$2:$CE$83,MATCH("완두배기",'🔖 배합비 참조'!$A$2:$A$83,0),MATCH($C182,'🔖 배합비 참조'!$B$1:$CE$1,0))/100,0),""))),"")</f>
        <v>0</v>
      </c>
      <c r="BK182" s="42" t="n">
        <f aca="false">IFERROR(IF($C182="","",IF($D182="","",IFERROR(ROUND($D182*INDEX('🔖 배합비 참조'!$B$2:$CE$83,MATCH("우유(국내산)",'🔖 배합비 참조'!$A$2:$A$83,0),MATCH($C182,'🔖 배합비 참조'!$B$1:$CE$1,0))/100,0),""))),"")</f>
        <v>0</v>
      </c>
      <c r="BL182" s="42" t="n">
        <f aca="false">IFERROR(IF($C182="","",IF($D182="","",IFERROR(ROUND($D182*INDEX('🔖 배합비 참조'!$B$2:$CE$83,MATCH("자색고구마가루(중국산)",'🔖 배합비 참조'!$A$2:$A$83,0),MATCH($C182,'🔖 배합비 참조'!$B$1:$CE$1,0))/100,0),""))),"")</f>
        <v>0</v>
      </c>
      <c r="BM182" s="42" t="n">
        <f aca="false">IFERROR(IF($C182="","",IF($D182="","",IFERROR(ROUND($D182*INDEX('🔖 배합비 참조'!$B$2:$CE$83,MATCH("자연치즈(체다치즈)",'🔖 배합비 참조'!$A$2:$A$83,0),MATCH($C182,'🔖 배합비 참조'!$B$1:$CE$1,0))/100,0),""))),"")</f>
        <v>0</v>
      </c>
      <c r="BN182" s="42" t="n">
        <f aca="false">IFERROR(IF($C182="","",IF($D182="","",IFERROR(ROUND($D182*INDEX('🔖 배합비 참조'!$B$2:$CE$83,MATCH("정제수",'🔖 배합비 참조'!$A$2:$A$83,0),MATCH($C182,'🔖 배합비 참조'!$B$1:$CE$1,0))/100,0),""))),"")</f>
        <v>17</v>
      </c>
      <c r="BO182" s="42" t="n">
        <f aca="false">IFERROR(IF($C182="","",IF($D182="","",IFERROR(ROUND($D182*INDEX('🔖 배합비 참조'!$B$2:$CE$83,MATCH("젤라틴",'🔖 배합비 참조'!$A$2:$A$83,0),MATCH($C182,'🔖 배합비 참조'!$B$1:$CE$1,0))/100,0),""))),"")</f>
        <v>0</v>
      </c>
      <c r="BP182" s="42" t="n">
        <f aca="false">IFERROR(IF($C182="","",IF($D182="","",IFERROR(ROUND($D182*INDEX('🔖 배합비 참조'!$B$2:$CE$83,MATCH("조림류(백옥앙금)",'🔖 배합비 참조'!$A$2:$A$83,0),MATCH($C182,'🔖 배합비 참조'!$B$1:$CE$1,0))/100,0),""))),"")</f>
        <v>0</v>
      </c>
      <c r="BQ182" s="42" t="n">
        <f aca="false">IFERROR(IF($C182="","",IF($D182="","",IFERROR(ROUND($D182*INDEX('🔖 배합비 참조'!$B$2:$CE$83,MATCH("조림류(통팥앙금)",'🔖 배합비 참조'!$A$2:$A$83,0),MATCH($C182,'🔖 배합비 참조'!$B$1:$CE$1,0))/100,0),""))),"")</f>
        <v>99</v>
      </c>
      <c r="BR182" s="42" t="n">
        <f aca="false">IFERROR(IF($C182="","",IF($D182="","",IFERROR(ROUND($D182*INDEX('🔖 배합비 참조'!$B$2:$CE$83,MATCH("준초콜릿(외국산)",'🔖 배합비 참조'!$A$2:$A$83,0),MATCH($C182,'🔖 배합비 참조'!$B$1:$CE$1,0))/100,0),""))),"")</f>
        <v>0</v>
      </c>
      <c r="BS182" s="42" t="n">
        <f aca="false">IFERROR(IF($C182="","",IF($D182="","",IFERROR(ROUND($D182*INDEX('🔖 배합비 참조'!$B$2:$CE$83,MATCH("중력분",'🔖 배합비 참조'!$A$2:$A$83,0),MATCH($C182,'🔖 배합비 참조'!$B$1:$CE$1,0))/100,0),""))),"")</f>
        <v>11</v>
      </c>
      <c r="BT182" s="42" t="n">
        <f aca="false">IFERROR(IF($C182="","",IF($D182="","",IFERROR(ROUND($D182*INDEX('🔖 배합비 참조'!$B$2:$CE$83,MATCH("참깨(인도산,나이지리아산,탄자니아산,미얀마산)",'🔖 배합비 참조'!$A$2:$A$83,0),MATCH($C182,'🔖 배합비 참조'!$B$1:$CE$1,0))/100,0),""))),"")</f>
        <v>0</v>
      </c>
      <c r="BU182" s="42" t="n">
        <f aca="false">IFERROR(IF($C182="","",IF($D182="","",IFERROR(ROUND($D182*INDEX('🔖 배합비 참조'!$B$2:$CE$83,MATCH("찹쌀(국내산)",'🔖 배합비 참조'!$A$2:$A$83,0),MATCH($C182,'🔖 배합비 참조'!$B$1:$CE$1,0))/100,0),""))),"")</f>
        <v>237</v>
      </c>
      <c r="BV182" s="42" t="n">
        <f aca="false">IFERROR(IF($C182="","",IF($D182="","",IFERROR(ROUND($D182*INDEX('🔖 배합비 참조'!$B$2:$CE$83,MATCH("천일염",'🔖 배합비 참조'!$A$2:$A$83,0),MATCH($C182,'🔖 배합비 참조'!$B$1:$CE$1,0))/100,0),""))),"")</f>
        <v>11</v>
      </c>
      <c r="BW182" s="42" t="n">
        <f aca="false">IFERROR(IF($C182="","",IF($D182="","",IFERROR(ROUND($D182*INDEX('🔖 배합비 참조'!$B$2:$CE$83,MATCH("치즈 [크림치즈]",'🔖 배합비 참조'!$A$2:$A$83,0),MATCH($C182,'🔖 배합비 참조'!$B$1:$CE$1,0))/100,0),""))),"")</f>
        <v>0</v>
      </c>
      <c r="BX182" s="42" t="n">
        <f aca="false">IFERROR(IF($C182="","",IF($D182="","",IFERROR(ROUND($D182*INDEX('🔖 배합비 참조'!$B$2:$CE$83,MATCH("코코아가공품류(코코아분말)",'🔖 배합비 참조'!$A$2:$A$83,0),MATCH($C182,'🔖 배합비 참조'!$B$1:$CE$1,0))/100,0),""))),"")</f>
        <v>0</v>
      </c>
      <c r="BY182" s="42" t="n">
        <f aca="false">IFERROR(IF($C182="","",IF($D182="","",IFERROR(ROUND($D182*INDEX('🔖 배합비 참조'!$B$2:$CE$83,MATCH("콩기름(대두유)",'🔖 배합비 참조'!$A$2:$A$83,0),MATCH($C182,'🔖 배합비 참조'!$B$1:$CE$1,0))/100,0),""))),"")</f>
        <v>0</v>
      </c>
      <c r="BZ182" s="42" t="n">
        <f aca="false">IFERROR(IF($C182="","",IF($D182="","",IFERROR(ROUND($D182*INDEX('🔖 배합비 참조'!$B$2:$CE$83,MATCH("해바라기씨앗",'🔖 배합비 참조'!$A$2:$A$83,0),MATCH($C182,'🔖 배합비 참조'!$B$1:$CE$1,0))/100,0),""))),"")</f>
        <v>0</v>
      </c>
      <c r="CA182" s="42" t="n">
        <f aca="false">IFERROR(IF($C182="","",IF($D182="","",IFERROR(ROUND($D182*INDEX('🔖 배합비 참조'!$B$2:$CE$83,MATCH("현미(국내산)",'🔖 배합비 참조'!$A$2:$A$83,0),MATCH($C182,'🔖 배합비 참조'!$B$1:$CE$1,0))/100,0),""))),"")</f>
        <v>0</v>
      </c>
      <c r="CB182" s="42" t="n">
        <f aca="false">IFERROR(IF($C182="","",IF($D182="","",IFERROR(ROUND($D182*INDEX('🔖 배합비 참조'!$B$2:$CE$83,MATCH("현미멥쌀(국내산)",'🔖 배합비 참조'!$A$2:$A$83,0),MATCH($C182,'🔖 배합비 참조'!$B$1:$CE$1,0))/100,0),""))),"")</f>
        <v>0</v>
      </c>
      <c r="CC182" s="42" t="n">
        <f aca="false">IFERROR(IF($C182="","",IF($D182="","",IFERROR(ROUND($D182*INDEX('🔖 배합비 참조'!$B$2:$CE$83,MATCH("호두분태(미국산)",'🔖 배합비 참조'!$A$2:$A$83,0),MATCH($C182,'🔖 배합비 참조'!$B$1:$CE$1,0))/100,0),""))),"")</f>
        <v>0</v>
      </c>
      <c r="CD182" s="42" t="n">
        <f aca="false">IFERROR(IF($C182="","",IF($D182="","",IFERROR(ROUND($D182*INDEX('🔖 배합비 참조'!$B$2:$CE$83,MATCH("호박씨앗(외국산)",'🔖 배합비 참조'!$A$2:$A$83,0),MATCH($C182,'🔖 배합비 참조'!$B$1:$CE$1,0))/100,0),""))),"")</f>
        <v>0</v>
      </c>
      <c r="CE182" s="42" t="n">
        <f aca="false">IFERROR(IF($C182="","",IF($D182="","",IFERROR(ROUND($D182*INDEX('🔖 배합비 참조'!$B$2:$CE$83,MATCH("혼합제제(떡용에스텔)",'🔖 배합비 참조'!$A$2:$A$83,0),MATCH($C182,'🔖 배합비 참조'!$B$1:$CE$1,0))/100,0),""))),"")</f>
        <v>11</v>
      </c>
      <c r="CF182" s="42" t="n">
        <f aca="false">IFERROR(IF($C182="","",IF($D182="","",IFERROR(ROUND($D182*INDEX('🔖 배합비 참조'!$B$2:$CE$83,MATCH("혼합제제(스테비아)",'🔖 배합비 참조'!$A$2:$A$83,0),MATCH($C182,'🔖 배합비 참조'!$B$1:$CE$1,0))/100,0),""))),"")</f>
        <v>0</v>
      </c>
      <c r="CG182" s="42" t="n">
        <f aca="false">IFERROR(IF($C182="","",IF($D182="","",IFERROR(ROUND($D182*INDEX('🔖 배합비 참조'!$B$2:$CE$83,MATCH("화이트초콜릿",'🔖 배합비 참조'!$A$2:$A$83,0),MATCH($C182,'🔖 배합비 참조'!$B$1:$CE$1,0))/100,0),""))),"")</f>
        <v>0</v>
      </c>
      <c r="CH182" s="42" t="n">
        <f aca="false">IFERROR(IF($C182="","",IF($D182="","",IFERROR(ROUND($D182*INDEX('🔖 배합비 참조'!$B$2:$CE$83,MATCH("흑미찹쌀(국내산)",'🔖 배합비 참조'!$A$2:$A$83,0),MATCH($C182,'🔖 배합비 참조'!$B$1:$CE$1,0))/100,0),""))),"")</f>
        <v>0</v>
      </c>
      <c r="CI182" s="42" t="n">
        <f aca="false">IFERROR(IF($C182="","",IF($D182="","",IFERROR(ROUND($D182*INDEX('🔖 배합비 참조'!$B$2:$CE$83,MATCH("찰옥수수전분(미국산)",'🔖 배합비 참조'!$A$2:$A$83,0),MATCH($C182,'🔖 배합비 참조'!$B$1:$CE$1,0))/100,0),""))),"")</f>
        <v>50</v>
      </c>
      <c r="CJ182" s="40"/>
      <c r="CL182" s="1" t="s">
        <v>245</v>
      </c>
    </row>
    <row r="183" customFormat="false" ht="18" hidden="false" customHeight="true" outlineLevel="0" collapsed="false">
      <c r="A183" s="35" t="n">
        <v>179</v>
      </c>
      <c r="B183" s="36" t="n">
        <v>46045</v>
      </c>
      <c r="C183" s="37" t="s">
        <v>191</v>
      </c>
      <c r="D183" s="38" t="n">
        <v>550</v>
      </c>
      <c r="E183" s="13"/>
      <c r="F183" s="13"/>
      <c r="G183" s="39" t="n">
        <f aca="false">IFERROR(IF($C183="","",IF($D183="","",IFERROR(ROUND($D183*INDEX('🔖 배합비 참조'!$B$2:$CE$83,MATCH("간장",'🔖 배합비 참조'!$A$2:$A$83,0),MATCH($C183,'🔖 배합비 참조'!$B$1:$CE$1,0))/100,0),""))),"")</f>
        <v>0</v>
      </c>
      <c r="H183" s="39" t="n">
        <f aca="false">IFERROR(IF($C183="","",IF($D183="","",IFERROR(ROUND($D183*INDEX('🔖 배합비 참조'!$B$2:$CE$83,MATCH("강낭콩((울타리콩))",'🔖 배합비 참조'!$A$2:$A$83,0),MATCH($C183,'🔖 배합비 참조'!$B$1:$CE$1,0))/100,0),""))),"")</f>
        <v>0</v>
      </c>
      <c r="I183" s="39" t="n">
        <f aca="false">IFERROR(IF($C183="","",IF($D183="","",IFERROR(ROUND($D183*INDEX('🔖 배합비 참조'!$B$2:$CE$83,MATCH("건조딸기다이스(외국산)",'🔖 배합비 참조'!$A$2:$A$83,0),MATCH($C183,'🔖 배합비 참조'!$B$1:$CE$1,0))/100,0),""))),"")</f>
        <v>0</v>
      </c>
      <c r="J183" s="39" t="n">
        <f aca="false">IFERROR(IF($C183="","",IF($D183="","",IFERROR(ROUND($D183*INDEX('🔖 배합비 참조'!$B$2:$CE$83,MATCH("건포도",'🔖 배합비 참조'!$A$2:$A$83,0),MATCH($C183,'🔖 배합비 참조'!$B$1:$CE$1,0))/100,0),""))),"")</f>
        <v>0</v>
      </c>
      <c r="K183" s="39" t="n">
        <f aca="false">IFERROR(IF($C183="","",IF($D183="","",IFERROR(ROUND($D183*INDEX('🔖 배합비 참조'!$B$2:$CE$83,MATCH("건호박채(중국산)",'🔖 배합비 참조'!$A$2:$A$83,0),MATCH($C183,'🔖 배합비 참조'!$B$1:$CE$1,0))/100,0),""))),"")</f>
        <v>0</v>
      </c>
      <c r="L183" s="39" t="n">
        <f aca="false">IFERROR(IF($C183="","",IF($D183="","",IFERROR(ROUND($D183*INDEX('🔖 배합비 참조'!$B$2:$CE$83,MATCH("검정깨(흑임자)",'🔖 배합비 참조'!$A$2:$A$83,0),MATCH($C183,'🔖 배합비 참조'!$B$1:$CE$1,0))/100,0),""))),"")</f>
        <v>0</v>
      </c>
      <c r="M183" s="39" t="n">
        <f aca="false">IFERROR(IF($C183="","",IF($D183="","",IFERROR(ROUND($D183*INDEX('🔖 배합비 참조'!$B$2:$CE$83,MATCH("검정콩",'🔖 배합비 참조'!$A$2:$A$83,0),MATCH($C183,'🔖 배합비 참조'!$B$1:$CE$1,0))/100,0),""))),"")</f>
        <v>0</v>
      </c>
      <c r="N183" s="39" t="n">
        <f aca="false">IFERROR(IF($C183="","",IF($D183="","",IFERROR(ROUND($D183*INDEX('🔖 배합비 참조'!$B$2:$CE$83,MATCH("계피가루",'🔖 배합비 참조'!$A$2:$A$83,0),MATCH($C183,'🔖 배합비 참조'!$B$1:$CE$1,0))/100,0),""))),"")</f>
        <v>0</v>
      </c>
      <c r="O183" s="39" t="n">
        <f aca="false">IFERROR(IF($C183="","",IF($D183="","",IFERROR(ROUND($D183*INDEX('🔖 배합비 참조'!$B$2:$CE$83,MATCH("고구마가루",'🔖 배합비 참조'!$A$2:$A$83,0),MATCH($C183,'🔖 배합비 참조'!$B$1:$CE$1,0))/100,0),""))),"")</f>
        <v>0</v>
      </c>
      <c r="P183" s="39" t="n">
        <f aca="false">IFERROR(IF($C183="","",IF($D183="","",IFERROR(ROUND($D183*INDEX('🔖 배합비 참조'!$B$2:$CE$83,MATCH("고구마무스",'🔖 배합비 참조'!$A$2:$A$83,0),MATCH($C183,'🔖 배합비 참조'!$B$1:$CE$1,0))/100,0),""))),"")</f>
        <v>0</v>
      </c>
      <c r="Q183" s="39" t="n">
        <f aca="false">IFERROR(IF($C183="","",IF($D183="","",IFERROR(ROUND($D183*INDEX('🔖 배합비 참조'!$B$2:$CE$83,MATCH("고려엉겅퀴((곤드레)국내산)",'🔖 배합비 참조'!$A$2:$A$83,0),MATCH($C183,'🔖 배합비 참조'!$B$1:$CE$1,0))/100,0),""))),"")</f>
        <v>0</v>
      </c>
      <c r="R183" s="39" t="n">
        <f aca="false">IFERROR(IF($C183="","",IF($D183="","",IFERROR(ROUND($D183*INDEX('🔖 배합비 참조'!$B$2:$CE$83,MATCH("기타가공품(복분자가루)",'🔖 배합비 참조'!$A$2:$A$83,0),MATCH($C183,'🔖 배합비 참조'!$B$1:$CE$1,0))/100,0),""))),"")</f>
        <v>0</v>
      </c>
      <c r="S183" s="39" t="n">
        <f aca="false">IFERROR(IF($C183="","",IF($D183="","",IFERROR(ROUND($D183*INDEX('🔖 배합비 참조'!$B$2:$CE$83,MATCH("기타가공품(슈퍼소프트엠)",'🔖 배합비 참조'!$A$2:$A$83,0),MATCH($C183,'🔖 배합비 참조'!$B$1:$CE$1,0))/100,0),""))),"")</f>
        <v>0</v>
      </c>
      <c r="T183" s="39" t="n">
        <f aca="false">IFERROR(IF($C183="","",IF($D183="","",IFERROR(ROUND($D183*INDEX('🔖 배합비 참조'!$B$2:$CE$83,MATCH("기타가공품(파인소프트 E-티)",'🔖 배합비 참조'!$A$2:$A$83,0),MATCH($C183,'🔖 배합비 참조'!$B$1:$CE$1,0))/100,0),""))),"")</f>
        <v>0</v>
      </c>
      <c r="U183" s="39" t="n">
        <f aca="false">IFERROR(IF($C183="","",IF($D183="","",IFERROR(ROUND($D183*INDEX('🔖 배합비 참조'!$B$2:$CE$83,MATCH("기타가공품(프리미엄카스테라가루)",'🔖 배합비 참조'!$A$2:$A$83,0),MATCH($C183,'🔖 배합비 참조'!$B$1:$CE$1,0))/100,0),""))),"")</f>
        <v>0</v>
      </c>
      <c r="V183" s="39" t="n">
        <f aca="false">IFERROR(IF($C183="","",IF($D183="","",IFERROR(ROUND($D183*INDEX('🔖 배합비 참조'!$B$2:$CE$83,MATCH("기타가공품(흑임자가루)",'🔖 배합비 참조'!$A$2:$A$83,0),MATCH($C183,'🔖 배합비 참조'!$B$1:$CE$1,0))/100,0),""))),"")</f>
        <v>0</v>
      </c>
      <c r="W183" s="39" t="n">
        <f aca="false">IFERROR(IF($C183="","",IF($D183="","",IFERROR(ROUND($D183*INDEX('🔖 배합비 참조'!$B$2:$CE$83,MATCH("기타설탕(흑설탕)",'🔖 배합비 참조'!$A$2:$A$83,0),MATCH($C183,'🔖 배합비 참조'!$B$1:$CE$1,0))/100,0),""))),"")</f>
        <v>0</v>
      </c>
      <c r="X183" s="39" t="n">
        <f aca="false">IFERROR(IF($C183="","",IF($D183="","",IFERROR(ROUND($D183*INDEX('🔖 배합비 참조'!$B$2:$CE$83,MATCH("냉동쑥(국내산)",'🔖 배합비 참조'!$A$2:$A$83,0),MATCH($C183,'🔖 배합비 참조'!$B$1:$CE$1,0))/100,0),""))),"")</f>
        <v>0</v>
      </c>
      <c r="Y183" s="39" t="n">
        <f aca="false">IFERROR(IF($C183="","",IF($D183="","",IFERROR(ROUND($D183*INDEX('🔖 배합비 참조'!$B$2:$CE$83,MATCH("냉동증숙고구마(중국산)",'🔖 배합비 참조'!$A$2:$A$83,0),MATCH($C183,'🔖 배합비 참조'!$B$1:$CE$1,0))/100,0),""))),"")</f>
        <v>0</v>
      </c>
      <c r="Z183" s="39" t="n">
        <f aca="false">IFERROR(IF($C183="","",IF($D183="","",IFERROR(ROUND($D183*INDEX('🔖 배합비 참조'!$B$2:$CE$83,MATCH("녹차가루",'🔖 배합비 참조'!$A$2:$A$83,0),MATCH($C183,'🔖 배합비 참조'!$B$1:$CE$1,0))/100,0),""))),"")</f>
        <v>0</v>
      </c>
      <c r="AA183" s="39" t="n">
        <f aca="false">IFERROR(IF($C183="","",IF($D183="","",IFERROR(ROUND($D183*INDEX('🔖 배합비 참조'!$B$2:$CE$83,MATCH("다크초콜릿 컴파운드칩",'🔖 배합비 참조'!$A$2:$A$83,0),MATCH($C183,'🔖 배합비 참조'!$B$1:$CE$1,0))/100,0),""))),"")</f>
        <v>0</v>
      </c>
      <c r="AB183" s="39" t="n">
        <f aca="false">IFERROR(IF($C183="","",IF($D183="","",IFERROR(ROUND($D183*INDEX('🔖 배합비 참조'!$B$2:$CE$83,MATCH("단호박분말(중국산)",'🔖 배합비 참조'!$A$2:$A$83,0),MATCH($C183,'🔖 배합비 참조'!$B$1:$CE$1,0))/100,0),""))),"")</f>
        <v>0</v>
      </c>
      <c r="AC183" s="39" t="n">
        <f aca="false">IFERROR(IF($C183="","",IF($D183="","",IFERROR(ROUND($D183*INDEX('🔖 배합비 참조'!$B$2:$CE$83,MATCH("당류가공품(단호박농축액)",'🔖 배합비 참조'!$A$2:$A$83,0),MATCH($C183,'🔖 배합비 참조'!$B$1:$CE$1,0))/100,0),""))),"")</f>
        <v>0</v>
      </c>
      <c r="AD183" s="39" t="n">
        <f aca="false">IFERROR(IF($C183="","",IF($D183="","",IFERROR(ROUND($D183*INDEX('🔖 배합비 참조'!$B$2:$CE$83,MATCH("당류가공품(알룰로스,에리스리톨,스테비올배당체혼합)",'🔖 배합비 참조'!$A$2:$A$83,0),MATCH($C183,'🔖 배합비 참조'!$B$1:$CE$1,0))/100,0),""))),"")</f>
        <v>0</v>
      </c>
      <c r="AE183" s="39" t="n">
        <f aca="false">IFERROR(IF($C183="","",IF($D183="","",IFERROR(ROUND($D183*INDEX('🔖 배합비 참조'!$B$2:$CE$83,MATCH("당류가공품(알룰로스제로파우더)",'🔖 배합비 참조'!$A$2:$A$83,0),MATCH($C183,'🔖 배합비 참조'!$B$1:$CE$1,0))/100,0),""))),"")</f>
        <v>0</v>
      </c>
      <c r="AF183" s="39" t="n">
        <f aca="false">IFERROR(IF($C183="","",IF($D183="","",IFERROR(ROUND($D183*INDEX('🔖 배합비 참조'!$B$2:$CE$83,MATCH("당절임(완두배기)",'🔖 배합비 참조'!$A$2:$A$83,0),MATCH($C183,'🔖 배합비 참조'!$B$1:$CE$1,0))/100,0),""))),"")</f>
        <v>0</v>
      </c>
      <c r="AG183" s="39" t="n">
        <f aca="false">IFERROR(IF($C183="","",IF($D183="","",IFERROR(ROUND($D183*INDEX('🔖 배합비 참조'!$B$2:$CE$83,MATCH("대추농축액",'🔖 배합비 참조'!$A$2:$A$83,0),MATCH($C183,'🔖 배합비 참조'!$B$1:$CE$1,0))/100,0),""))),"")</f>
        <v>0</v>
      </c>
      <c r="AH183" s="39" t="n">
        <f aca="false">IFERROR(IF($C183="","",IF($D183="","",IFERROR(ROUND($D183*INDEX('🔖 배합비 참조'!$B$2:$CE$83,MATCH("대추채(국내산)",'🔖 배합비 참조'!$A$2:$A$83,0),MATCH($C183,'🔖 배합비 참조'!$B$1:$CE$1,0))/100,0),""))),"")</f>
        <v>0</v>
      </c>
      <c r="AI183" s="39" t="n">
        <f aca="false">IFERROR(IF($C183="","",IF($D183="","",IFERROR(ROUND($D183*INDEX('🔖 배합비 참조'!$B$2:$CE$83,MATCH("동부(미얀마산)",'🔖 배합비 참조'!$A$2:$A$83,0),MATCH($C183,'🔖 배합비 참조'!$B$1:$CE$1,0))/100,0),""))),"")</f>
        <v>0</v>
      </c>
      <c r="AJ183" s="39" t="n">
        <f aca="false">IFERROR(IF($C183="","",IF($D183="","",IFERROR(ROUND($D183*INDEX('🔖 배합비 참조'!$B$2:$CE$83,MATCH("두류가공품(백옥앙금)",'🔖 배합비 참조'!$A$2:$A$83,0),MATCH($C183,'🔖 배합비 참조'!$B$1:$CE$1,0))/100,0),""))),"")</f>
        <v>0</v>
      </c>
      <c r="AK183" s="39" t="n">
        <f aca="false">IFERROR(IF($C183="","",IF($D183="","",IFERROR(ROUND($D183*INDEX('🔖 배합비 참조'!$B$2:$CE$83,MATCH("두류가공품(콩고물)",'🔖 배합비 참조'!$A$2:$A$83,0),MATCH($C183,'🔖 배합비 참조'!$B$1:$CE$1,0))/100,0),""))),"")</f>
        <v>0</v>
      </c>
      <c r="AL183" s="39" t="n">
        <f aca="false">IFERROR(IF($C183="","",IF($D183="","",IFERROR(ROUND($D183*INDEX('🔖 배합비 참조'!$B$2:$CE$83,MATCH("두류가공품(통팥고물)",'🔖 배합비 참조'!$A$2:$A$83,0),MATCH($C183,'🔖 배합비 참조'!$B$1:$CE$1,0))/100,0),""))),"")</f>
        <v>0</v>
      </c>
      <c r="AM183" s="39" t="n">
        <f aca="false">IFERROR(IF($C183="","",IF($D183="","",IFERROR(ROUND($D183*INDEX('🔖 배합비 참조'!$B$2:$CE$83,MATCH("딸기레진",'🔖 배합비 참조'!$A$2:$A$83,0),MATCH($C183,'🔖 배합비 참조'!$B$1:$CE$1,0))/100,0),""))),"")</f>
        <v>0</v>
      </c>
      <c r="AN183" s="39" t="n">
        <f aca="false">IFERROR(IF($C183="","",IF($D183="","",IFERROR(ROUND($D183*INDEX('🔖 배합비 참조'!$B$2:$CE$83,MATCH("딸기분말(스트로우베리에이드(분말))",'🔖 배합비 참조'!$A$2:$A$83,0),MATCH($C183,'🔖 배합비 참조'!$B$1:$CE$1,0))/100,0),""))),"")</f>
        <v>0</v>
      </c>
      <c r="AO183" s="39" t="n">
        <f aca="false">IFERROR(IF($C183="","",IF($D183="","",IFERROR(ROUND($D183*INDEX('🔖 배합비 참조'!$B$2:$CE$83,MATCH("마스카포네치즈",'🔖 배합비 참조'!$A$2:$A$83,0),MATCH($C183,'🔖 배합비 참조'!$B$1:$CE$1,0))/100,0),""))),"")</f>
        <v>0</v>
      </c>
      <c r="AP183" s="39" t="n">
        <f aca="false">IFERROR(IF($C183="","",IF($D183="","",IFERROR(ROUND($D183*INDEX('🔖 배합비 참조'!$B$2:$CE$83,MATCH("마카다미아분태(호주산)",'🔖 배합비 참조'!$A$2:$A$83,0),MATCH($C183,'🔖 배합비 참조'!$B$1:$CE$1,0))/100,0),""))),"")</f>
        <v>0</v>
      </c>
      <c r="AQ183" s="39" t="n">
        <f aca="false">IFERROR(IF($C183="","",IF($D183="","",IFERROR(ROUND($D183*INDEX('🔖 배합비 참조'!$B$2:$CE$83,MATCH("멥쌀(국내산)",'🔖 배합비 참조'!$A$2:$A$83,0),MATCH($C183,'🔖 배합비 참조'!$B$1:$CE$1,0))/100,0),""))),"")</f>
        <v>11</v>
      </c>
      <c r="AR183" s="39" t="n">
        <f aca="false">IFERROR(IF($C183="","",IF($D183="","",IFERROR(ROUND($D183*INDEX('🔖 배합비 참조'!$B$2:$CE$83,MATCH("모시잎(국내산)",'🔖 배합비 참조'!$A$2:$A$83,0),MATCH($C183,'🔖 배합비 참조'!$B$1:$CE$1,0))/100,0),""))),"")</f>
        <v>0</v>
      </c>
      <c r="AS183" s="39" t="n">
        <f aca="false">IFERROR(IF($C183="","",IF($D183="","",IFERROR(ROUND($D183*INDEX('🔖 배합비 참조'!$B$2:$CE$83,MATCH("물엿(저당물엿)",'🔖 배합비 참조'!$A$2:$A$83,0),MATCH($C183,'🔖 배합비 참조'!$B$1:$CE$1,0))/100,0),""))),"")</f>
        <v>0</v>
      </c>
      <c r="AT183" s="39" t="n">
        <f aca="false">IFERROR(IF($C183="","",IF($D183="","",IFERROR(ROUND($D183*INDEX('🔖 배합비 참조'!$B$2:$CE$83,MATCH("밤다이스",'🔖 배합비 참조'!$A$2:$A$83,0),MATCH($C183,'🔖 배합비 참조'!$B$1:$CE$1,0))/100,0),""))),"")</f>
        <v>0</v>
      </c>
      <c r="AU183" s="39" t="n">
        <f aca="false">IFERROR(IF($C183="","",IF($D183="","",IFERROR(ROUND($D183*INDEX('🔖 배합비 참조'!$B$2:$CE$83,MATCH("변성전분(타피오카전분)",'🔖 배합비 참조'!$A$2:$A$83,0),MATCH($C183,'🔖 배합비 참조'!$B$1:$CE$1,0))/100,0),""))),"")</f>
        <v>0</v>
      </c>
      <c r="AV183" s="39" t="n">
        <f aca="false">IFERROR(IF($C183="","",IF($D183="","",IFERROR(ROUND($D183*INDEX('🔖 배합비 참조'!$B$2:$CE$83,MATCH("복음땅콩분태",'🔖 배합비 참조'!$A$2:$A$83,0),MATCH($C183,'🔖 배합비 참조'!$B$1:$CE$1,0))/100,0),""))),"")</f>
        <v>0</v>
      </c>
      <c r="AW183" s="39" t="n">
        <f aca="false">IFERROR(IF($C183="","",IF($D183="","",IFERROR(ROUND($D183*INDEX('🔖 배합비 참조'!$B$2:$CE$83,MATCH("사양벌꿀(국내산)",'🔖 배합비 참조'!$A$2:$A$83,0),MATCH($C183,'🔖 배합비 참조'!$B$1:$CE$1,0))/100,0),""))),"")</f>
        <v>0</v>
      </c>
      <c r="AX183" s="39" t="n">
        <f aca="false">IFERROR(IF($C183="","",IF($D183="","",IFERROR(ROUND($D183*INDEX('🔖 배합비 참조'!$B$2:$CE$83,MATCH("생크림",'🔖 배합비 참조'!$A$2:$A$83,0),MATCH($C183,'🔖 배합비 참조'!$B$1:$CE$1,0))/100,0),""))),"")</f>
        <v>0</v>
      </c>
      <c r="AY183" s="39" t="n">
        <f aca="false">IFERROR(IF($C183="","",IF($D183="","",IFERROR(ROUND($D183*INDEX('🔖 배합비 참조'!$B$2:$CE$83,MATCH("서양호박(국내산,뉴질랜드산)",'🔖 배합비 참조'!$A$2:$A$83,0),MATCH($C183,'🔖 배합비 참조'!$B$1:$CE$1,0))/100,0),""))),"")</f>
        <v>0</v>
      </c>
      <c r="AZ183" s="39" t="n">
        <f aca="false">IFERROR(IF($C183="","",IF($D183="","",IFERROR(ROUND($D183*INDEX('🔖 배합비 참조'!$B$2:$CE$83,MATCH("설탕",'🔖 배합비 참조'!$A$2:$A$83,0),MATCH($C183,'🔖 배합비 참조'!$B$1:$CE$1,0))/100,0),""))),"")</f>
        <v>105</v>
      </c>
      <c r="BA183" s="39" t="n">
        <f aca="false">IFERROR(IF($C183="","",IF($D183="","",IFERROR(ROUND($D183*INDEX('🔖 배합비 참조'!$B$2:$CE$83,MATCH("스트로우베리 에이드 후레쉬",'🔖 배합비 참조'!$A$2:$A$83,0),MATCH($C183,'🔖 배합비 참조'!$B$1:$CE$1,0))/100,0),""))),"")</f>
        <v>0</v>
      </c>
      <c r="BB183" s="39" t="n">
        <f aca="false">IFERROR(IF($C183="","",IF($D183="","",IFERROR(ROUND($D183*INDEX('🔖 배합비 참조'!$B$2:$CE$83,MATCH("식물성기름혼합제제(분홍)",'🔖 배합비 참조'!$A$2:$A$83,0),MATCH($C183,'🔖 배합비 참조'!$B$1:$CE$1,0))/100,0),""))),"")</f>
        <v>0</v>
      </c>
      <c r="BC183" s="39" t="n">
        <f aca="false">IFERROR(IF($C183="","",IF($D183="","",IFERROR(ROUND($D183*INDEX('🔖 배합비 참조'!$B$2:$CE$83,MATCH("식물성기름혼합제제(초록)",'🔖 배합비 참조'!$A$2:$A$83,0),MATCH($C183,'🔖 배합비 참조'!$B$1:$CE$1,0))/100,0),""))),"")</f>
        <v>0</v>
      </c>
      <c r="BD183" s="39" t="n">
        <f aca="false">IFERROR(IF($C183="","",IF($D183="","",IFERROR(ROUND($D183*INDEX('🔖 배합비 참조'!$B$2:$CE$83,MATCH("식물성기름혼합제제(황색)",'🔖 배합비 참조'!$A$2:$A$83,0),MATCH($C183,'🔖 배합비 참조'!$B$1:$CE$1,0))/100,0),""))),"")</f>
        <v>0</v>
      </c>
      <c r="BE183" s="39" t="n">
        <f aca="false">IFERROR(IF($C183="","",IF($D183="","",IFERROR(ROUND($D183*INDEX('🔖 배합비 참조'!$B$2:$CE$83,MATCH("쑥가루(국내산)",'🔖 배합비 참조'!$A$2:$A$83,0),MATCH($C183,'🔖 배합비 참조'!$B$1:$CE$1,0))/100,0),""))),"")</f>
        <v>0</v>
      </c>
      <c r="BF183" s="39" t="n">
        <f aca="false">IFERROR(IF($C183="","",IF($D183="","",IFERROR(ROUND($D183*INDEX('🔖 배합비 참조'!$B$2:$CE$83,MATCH("아몬드슬라이스",'🔖 배합비 참조'!$A$2:$A$83,0),MATCH($C183,'🔖 배합비 참조'!$B$1:$CE$1,0))/100,0),""))),"")</f>
        <v>0</v>
      </c>
      <c r="BG183" s="39" t="n">
        <f aca="false">IFERROR(IF($C183="","",IF($D183="","",IFERROR(ROUND($D183*INDEX('🔖 배합비 참조'!$B$2:$CE$83,MATCH("알룰로오스(국내산)",'🔖 배합비 참조'!$A$2:$A$83,0),MATCH($C183,'🔖 배합비 참조'!$B$1:$CE$1,0))/100,0),""))),"")</f>
        <v>0</v>
      </c>
      <c r="BH183" s="39" t="n">
        <f aca="false">IFERROR(IF($C183="","",IF($D183="","",IFERROR(ROUND($D183*INDEX('🔖 배합비 참조'!$B$2:$CE$83,MATCH("연유",'🔖 배합비 참조'!$A$2:$A$83,0),MATCH($C183,'🔖 배합비 참조'!$B$1:$CE$1,0))/100,0),""))),"")</f>
        <v>0</v>
      </c>
      <c r="BI183" s="39" t="n">
        <f aca="false">IFERROR(IF($C183="","",IF($D183="","",IFERROR(ROUND($D183*INDEX('🔖 배합비 참조'!$B$2:$CE$83,MATCH("옥수수전분",'🔖 배합비 참조'!$A$2:$A$83,0),MATCH($C183,'🔖 배합비 참조'!$B$1:$CE$1,0))/100,0),""))),"")</f>
        <v>0</v>
      </c>
      <c r="BJ183" s="39" t="n">
        <f aca="false">IFERROR(IF($C183="","",IF($D183="","",IFERROR(ROUND($D183*INDEX('🔖 배합비 참조'!$B$2:$CE$83,MATCH("완두배기",'🔖 배합비 참조'!$A$2:$A$83,0),MATCH($C183,'🔖 배합비 참조'!$B$1:$CE$1,0))/100,0),""))),"")</f>
        <v>0</v>
      </c>
      <c r="BK183" s="39" t="n">
        <f aca="false">IFERROR(IF($C183="","",IF($D183="","",IFERROR(ROUND($D183*INDEX('🔖 배합비 참조'!$B$2:$CE$83,MATCH("우유(국내산)",'🔖 배합비 참조'!$A$2:$A$83,0),MATCH($C183,'🔖 배합비 참조'!$B$1:$CE$1,0))/100,0),""))),"")</f>
        <v>0</v>
      </c>
      <c r="BL183" s="39" t="n">
        <f aca="false">IFERROR(IF($C183="","",IF($D183="","",IFERROR(ROUND($D183*INDEX('🔖 배합비 참조'!$B$2:$CE$83,MATCH("자색고구마가루(중국산)",'🔖 배합비 참조'!$A$2:$A$83,0),MATCH($C183,'🔖 배합비 참조'!$B$1:$CE$1,0))/100,0),""))),"")</f>
        <v>0</v>
      </c>
      <c r="BM183" s="39" t="n">
        <f aca="false">IFERROR(IF($C183="","",IF($D183="","",IFERROR(ROUND($D183*INDEX('🔖 배합비 참조'!$B$2:$CE$83,MATCH("자연치즈(체다치즈)",'🔖 배합비 참조'!$A$2:$A$83,0),MATCH($C183,'🔖 배합비 참조'!$B$1:$CE$1,0))/100,0),""))),"")</f>
        <v>0</v>
      </c>
      <c r="BN183" s="39" t="n">
        <f aca="false">IFERROR(IF($C183="","",IF($D183="","",IFERROR(ROUND($D183*INDEX('🔖 배합비 참조'!$B$2:$CE$83,MATCH("정제수",'🔖 배합비 참조'!$A$2:$A$83,0),MATCH($C183,'🔖 배합비 참조'!$B$1:$CE$1,0))/100,0),""))),"")</f>
        <v>17</v>
      </c>
      <c r="BO183" s="39" t="n">
        <f aca="false">IFERROR(IF($C183="","",IF($D183="","",IFERROR(ROUND($D183*INDEX('🔖 배합비 참조'!$B$2:$CE$83,MATCH("젤라틴",'🔖 배합비 참조'!$A$2:$A$83,0),MATCH($C183,'🔖 배합비 참조'!$B$1:$CE$1,0))/100,0),""))),"")</f>
        <v>0</v>
      </c>
      <c r="BP183" s="39" t="n">
        <f aca="false">IFERROR(IF($C183="","",IF($D183="","",IFERROR(ROUND($D183*INDEX('🔖 배합비 참조'!$B$2:$CE$83,MATCH("조림류(백옥앙금)",'🔖 배합비 참조'!$A$2:$A$83,0),MATCH($C183,'🔖 배합비 참조'!$B$1:$CE$1,0))/100,0),""))),"")</f>
        <v>0</v>
      </c>
      <c r="BQ183" s="39" t="n">
        <f aca="false">IFERROR(IF($C183="","",IF($D183="","",IFERROR(ROUND($D183*INDEX('🔖 배합비 참조'!$B$2:$CE$83,MATCH("조림류(통팥앙금)",'🔖 배합비 참조'!$A$2:$A$83,0),MATCH($C183,'🔖 배합비 참조'!$B$1:$CE$1,0))/100,0),""))),"")</f>
        <v>99</v>
      </c>
      <c r="BR183" s="39" t="n">
        <f aca="false">IFERROR(IF($C183="","",IF($D183="","",IFERROR(ROUND($D183*INDEX('🔖 배합비 참조'!$B$2:$CE$83,MATCH("준초콜릿(외국산)",'🔖 배합비 참조'!$A$2:$A$83,0),MATCH($C183,'🔖 배합비 참조'!$B$1:$CE$1,0))/100,0),""))),"")</f>
        <v>0</v>
      </c>
      <c r="BS183" s="39" t="n">
        <f aca="false">IFERROR(IF($C183="","",IF($D183="","",IFERROR(ROUND($D183*INDEX('🔖 배합비 참조'!$B$2:$CE$83,MATCH("중력분",'🔖 배합비 참조'!$A$2:$A$83,0),MATCH($C183,'🔖 배합비 참조'!$B$1:$CE$1,0))/100,0),""))),"")</f>
        <v>11</v>
      </c>
      <c r="BT183" s="39" t="n">
        <f aca="false">IFERROR(IF($C183="","",IF($D183="","",IFERROR(ROUND($D183*INDEX('🔖 배합비 참조'!$B$2:$CE$83,MATCH("참깨(인도산,나이지리아산,탄자니아산,미얀마산)",'🔖 배합비 참조'!$A$2:$A$83,0),MATCH($C183,'🔖 배합비 참조'!$B$1:$CE$1,0))/100,0),""))),"")</f>
        <v>0</v>
      </c>
      <c r="BU183" s="39" t="n">
        <f aca="false">IFERROR(IF($C183="","",IF($D183="","",IFERROR(ROUND($D183*INDEX('🔖 배합비 참조'!$B$2:$CE$83,MATCH("찹쌀(국내산)",'🔖 배합비 참조'!$A$2:$A$83,0),MATCH($C183,'🔖 배합비 참조'!$B$1:$CE$1,0))/100,0),""))),"")</f>
        <v>237</v>
      </c>
      <c r="BV183" s="39" t="n">
        <f aca="false">IFERROR(IF($C183="","",IF($D183="","",IFERROR(ROUND($D183*INDEX('🔖 배합비 참조'!$B$2:$CE$83,MATCH("천일염",'🔖 배합비 참조'!$A$2:$A$83,0),MATCH($C183,'🔖 배합비 참조'!$B$1:$CE$1,0))/100,0),""))),"")</f>
        <v>11</v>
      </c>
      <c r="BW183" s="39" t="n">
        <f aca="false">IFERROR(IF($C183="","",IF($D183="","",IFERROR(ROUND($D183*INDEX('🔖 배합비 참조'!$B$2:$CE$83,MATCH("치즈 [크림치즈]",'🔖 배합비 참조'!$A$2:$A$83,0),MATCH($C183,'🔖 배합비 참조'!$B$1:$CE$1,0))/100,0),""))),"")</f>
        <v>0</v>
      </c>
      <c r="BX183" s="39" t="n">
        <f aca="false">IFERROR(IF($C183="","",IF($D183="","",IFERROR(ROUND($D183*INDEX('🔖 배합비 참조'!$B$2:$CE$83,MATCH("코코아가공품류(코코아분말)",'🔖 배합비 참조'!$A$2:$A$83,0),MATCH($C183,'🔖 배합비 참조'!$B$1:$CE$1,0))/100,0),""))),"")</f>
        <v>0</v>
      </c>
      <c r="BY183" s="39" t="n">
        <f aca="false">IFERROR(IF($C183="","",IF($D183="","",IFERROR(ROUND($D183*INDEX('🔖 배합비 참조'!$B$2:$CE$83,MATCH("콩기름(대두유)",'🔖 배합비 참조'!$A$2:$A$83,0),MATCH($C183,'🔖 배합비 참조'!$B$1:$CE$1,0))/100,0),""))),"")</f>
        <v>0</v>
      </c>
      <c r="BZ183" s="39" t="n">
        <f aca="false">IFERROR(IF($C183="","",IF($D183="","",IFERROR(ROUND($D183*INDEX('🔖 배합비 참조'!$B$2:$CE$83,MATCH("해바라기씨앗",'🔖 배합비 참조'!$A$2:$A$83,0),MATCH($C183,'🔖 배합비 참조'!$B$1:$CE$1,0))/100,0),""))),"")</f>
        <v>0</v>
      </c>
      <c r="CA183" s="39" t="n">
        <f aca="false">IFERROR(IF($C183="","",IF($D183="","",IFERROR(ROUND($D183*INDEX('🔖 배합비 참조'!$B$2:$CE$83,MATCH("현미(국내산)",'🔖 배합비 참조'!$A$2:$A$83,0),MATCH($C183,'🔖 배합비 참조'!$B$1:$CE$1,0))/100,0),""))),"")</f>
        <v>0</v>
      </c>
      <c r="CB183" s="39" t="n">
        <f aca="false">IFERROR(IF($C183="","",IF($D183="","",IFERROR(ROUND($D183*INDEX('🔖 배합비 참조'!$B$2:$CE$83,MATCH("현미멥쌀(국내산)",'🔖 배합비 참조'!$A$2:$A$83,0),MATCH($C183,'🔖 배합비 참조'!$B$1:$CE$1,0))/100,0),""))),"")</f>
        <v>0</v>
      </c>
      <c r="CC183" s="39" t="n">
        <f aca="false">IFERROR(IF($C183="","",IF($D183="","",IFERROR(ROUND($D183*INDEX('🔖 배합비 참조'!$B$2:$CE$83,MATCH("호두분태(미국산)",'🔖 배합비 참조'!$A$2:$A$83,0),MATCH($C183,'🔖 배합비 참조'!$B$1:$CE$1,0))/100,0),""))),"")</f>
        <v>0</v>
      </c>
      <c r="CD183" s="39" t="n">
        <f aca="false">IFERROR(IF($C183="","",IF($D183="","",IFERROR(ROUND($D183*INDEX('🔖 배합비 참조'!$B$2:$CE$83,MATCH("호박씨앗(외국산)",'🔖 배합비 참조'!$A$2:$A$83,0),MATCH($C183,'🔖 배합비 참조'!$B$1:$CE$1,0))/100,0),""))),"")</f>
        <v>0</v>
      </c>
      <c r="CE183" s="39" t="n">
        <f aca="false">IFERROR(IF($C183="","",IF($D183="","",IFERROR(ROUND($D183*INDEX('🔖 배합비 참조'!$B$2:$CE$83,MATCH("혼합제제(떡용에스텔)",'🔖 배합비 참조'!$A$2:$A$83,0),MATCH($C183,'🔖 배합비 참조'!$B$1:$CE$1,0))/100,0),""))),"")</f>
        <v>11</v>
      </c>
      <c r="CF183" s="39" t="n">
        <f aca="false">IFERROR(IF($C183="","",IF($D183="","",IFERROR(ROUND($D183*INDEX('🔖 배합비 참조'!$B$2:$CE$83,MATCH("혼합제제(스테비아)",'🔖 배합비 참조'!$A$2:$A$83,0),MATCH($C183,'🔖 배합비 참조'!$B$1:$CE$1,0))/100,0),""))),"")</f>
        <v>0</v>
      </c>
      <c r="CG183" s="39" t="n">
        <f aca="false">IFERROR(IF($C183="","",IF($D183="","",IFERROR(ROUND($D183*INDEX('🔖 배합비 참조'!$B$2:$CE$83,MATCH("화이트초콜릿",'🔖 배합비 참조'!$A$2:$A$83,0),MATCH($C183,'🔖 배합비 참조'!$B$1:$CE$1,0))/100,0),""))),"")</f>
        <v>0</v>
      </c>
      <c r="CH183" s="39" t="n">
        <f aca="false">IFERROR(IF($C183="","",IF($D183="","",IFERROR(ROUND($D183*INDEX('🔖 배합비 참조'!$B$2:$CE$83,MATCH("흑미찹쌀(국내산)",'🔖 배합비 참조'!$A$2:$A$83,0),MATCH($C183,'🔖 배합비 참조'!$B$1:$CE$1,0))/100,0),""))),"")</f>
        <v>0</v>
      </c>
      <c r="CI183" s="39" t="n">
        <f aca="false">IFERROR(IF($C183="","",IF($D183="","",IFERROR(ROUND($D183*INDEX('🔖 배합비 참조'!$B$2:$CE$83,MATCH("찰옥수수전분(미국산)",'🔖 배합비 참조'!$A$2:$A$83,0),MATCH($C183,'🔖 배합비 참조'!$B$1:$CE$1,0))/100,0),""))),"")</f>
        <v>50</v>
      </c>
      <c r="CJ183" s="40"/>
      <c r="CL183" s="1" t="s">
        <v>245</v>
      </c>
    </row>
    <row r="184" customFormat="false" ht="18" hidden="false" customHeight="true" outlineLevel="0" collapsed="false">
      <c r="A184" s="41" t="n">
        <v>180</v>
      </c>
      <c r="B184" s="36" t="n">
        <v>46048</v>
      </c>
      <c r="C184" s="37" t="s">
        <v>183</v>
      </c>
      <c r="D184" s="38" t="n">
        <v>220</v>
      </c>
      <c r="E184" s="17"/>
      <c r="F184" s="17"/>
      <c r="G184" s="42" t="n">
        <f aca="false">IFERROR(IF($C184="","",IF($D184="","",IFERROR(ROUND($D184*INDEX('🔖 배합비 참조'!$B$2:$CE$83,MATCH("간장",'🔖 배합비 참조'!$A$2:$A$83,0),MATCH($C184,'🔖 배합비 참조'!$B$1:$CE$1,0))/100,0),""))),"")</f>
        <v>0</v>
      </c>
      <c r="H184" s="42" t="n">
        <f aca="false">IFERROR(IF($C184="","",IF($D184="","",IFERROR(ROUND($D184*INDEX('🔖 배합비 참조'!$B$2:$CE$83,MATCH("강낭콩((울타리콩))",'🔖 배합비 참조'!$A$2:$A$83,0),MATCH($C184,'🔖 배합비 참조'!$B$1:$CE$1,0))/100,0),""))),"")</f>
        <v>0</v>
      </c>
      <c r="I184" s="42" t="n">
        <f aca="false">IFERROR(IF($C184="","",IF($D184="","",IFERROR(ROUND($D184*INDEX('🔖 배합비 참조'!$B$2:$CE$83,MATCH("건조딸기다이스(외국산)",'🔖 배합비 참조'!$A$2:$A$83,0),MATCH($C184,'🔖 배합비 참조'!$B$1:$CE$1,0))/100,0),""))),"")</f>
        <v>0</v>
      </c>
      <c r="J184" s="42" t="n">
        <f aca="false">IFERROR(IF($C184="","",IF($D184="","",IFERROR(ROUND($D184*INDEX('🔖 배합비 참조'!$B$2:$CE$83,MATCH("건포도",'🔖 배합비 참조'!$A$2:$A$83,0),MATCH($C184,'🔖 배합비 참조'!$B$1:$CE$1,0))/100,0),""))),"")</f>
        <v>0</v>
      </c>
      <c r="K184" s="42" t="n">
        <f aca="false">IFERROR(IF($C184="","",IF($D184="","",IFERROR(ROUND($D184*INDEX('🔖 배합비 참조'!$B$2:$CE$83,MATCH("건호박채(중국산)",'🔖 배합비 참조'!$A$2:$A$83,0),MATCH($C184,'🔖 배합비 참조'!$B$1:$CE$1,0))/100,0),""))),"")</f>
        <v>0</v>
      </c>
      <c r="L184" s="42" t="n">
        <f aca="false">IFERROR(IF($C184="","",IF($D184="","",IFERROR(ROUND($D184*INDEX('🔖 배합비 참조'!$B$2:$CE$83,MATCH("검정깨(흑임자)",'🔖 배합비 참조'!$A$2:$A$83,0),MATCH($C184,'🔖 배합비 참조'!$B$1:$CE$1,0))/100,0),""))),"")</f>
        <v>0</v>
      </c>
      <c r="M184" s="42" t="n">
        <f aca="false">IFERROR(IF($C184="","",IF($D184="","",IFERROR(ROUND($D184*INDEX('🔖 배합비 참조'!$B$2:$CE$83,MATCH("검정콩",'🔖 배합비 참조'!$A$2:$A$83,0),MATCH($C184,'🔖 배합비 참조'!$B$1:$CE$1,0))/100,0),""))),"")</f>
        <v>0</v>
      </c>
      <c r="N184" s="42" t="n">
        <f aca="false">IFERROR(IF($C184="","",IF($D184="","",IFERROR(ROUND($D184*INDEX('🔖 배합비 참조'!$B$2:$CE$83,MATCH("계피가루",'🔖 배합비 참조'!$A$2:$A$83,0),MATCH($C184,'🔖 배합비 참조'!$B$1:$CE$1,0))/100,0),""))),"")</f>
        <v>0</v>
      </c>
      <c r="O184" s="42" t="n">
        <f aca="false">IFERROR(IF($C184="","",IF($D184="","",IFERROR(ROUND($D184*INDEX('🔖 배합비 참조'!$B$2:$CE$83,MATCH("고구마가루",'🔖 배합비 참조'!$A$2:$A$83,0),MATCH($C184,'🔖 배합비 참조'!$B$1:$CE$1,0))/100,0),""))),"")</f>
        <v>0</v>
      </c>
      <c r="P184" s="42" t="n">
        <f aca="false">IFERROR(IF($C184="","",IF($D184="","",IFERROR(ROUND($D184*INDEX('🔖 배합비 참조'!$B$2:$CE$83,MATCH("고구마무스",'🔖 배합비 참조'!$A$2:$A$83,0),MATCH($C184,'🔖 배합비 참조'!$B$1:$CE$1,0))/100,0),""))),"")</f>
        <v>0</v>
      </c>
      <c r="Q184" s="42" t="n">
        <f aca="false">IFERROR(IF($C184="","",IF($D184="","",IFERROR(ROUND($D184*INDEX('🔖 배합비 참조'!$B$2:$CE$83,MATCH("고려엉겅퀴((곤드레)국내산)",'🔖 배합비 참조'!$A$2:$A$83,0),MATCH($C184,'🔖 배합비 참조'!$B$1:$CE$1,0))/100,0),""))),"")</f>
        <v>0</v>
      </c>
      <c r="R184" s="42" t="n">
        <f aca="false">IFERROR(IF($C184="","",IF($D184="","",IFERROR(ROUND($D184*INDEX('🔖 배합비 참조'!$B$2:$CE$83,MATCH("기타가공품(복분자가루)",'🔖 배합비 참조'!$A$2:$A$83,0),MATCH($C184,'🔖 배합비 참조'!$B$1:$CE$1,0))/100,0),""))),"")</f>
        <v>0</v>
      </c>
      <c r="S184" s="42" t="n">
        <f aca="false">IFERROR(IF($C184="","",IF($D184="","",IFERROR(ROUND($D184*INDEX('🔖 배합비 참조'!$B$2:$CE$83,MATCH("기타가공품(슈퍼소프트엠)",'🔖 배합비 참조'!$A$2:$A$83,0),MATCH($C184,'🔖 배합비 참조'!$B$1:$CE$1,0))/100,0),""))),"")</f>
        <v>0</v>
      </c>
      <c r="T184" s="42" t="n">
        <f aca="false">IFERROR(IF($C184="","",IF($D184="","",IFERROR(ROUND($D184*INDEX('🔖 배합비 참조'!$B$2:$CE$83,MATCH("기타가공품(파인소프트 E-티)",'🔖 배합비 참조'!$A$2:$A$83,0),MATCH($C184,'🔖 배합비 참조'!$B$1:$CE$1,0))/100,0),""))),"")</f>
        <v>0</v>
      </c>
      <c r="U184" s="42" t="n">
        <f aca="false">IFERROR(IF($C184="","",IF($D184="","",IFERROR(ROUND($D184*INDEX('🔖 배합비 참조'!$B$2:$CE$83,MATCH("기타가공품(프리미엄카스테라가루)",'🔖 배합비 참조'!$A$2:$A$83,0),MATCH($C184,'🔖 배합비 참조'!$B$1:$CE$1,0))/100,0),""))),"")</f>
        <v>0</v>
      </c>
      <c r="V184" s="42" t="n">
        <f aca="false">IFERROR(IF($C184="","",IF($D184="","",IFERROR(ROUND($D184*INDEX('🔖 배합비 참조'!$B$2:$CE$83,MATCH("기타가공품(흑임자가루)",'🔖 배합비 참조'!$A$2:$A$83,0),MATCH($C184,'🔖 배합비 참조'!$B$1:$CE$1,0))/100,0),""))),"")</f>
        <v>0</v>
      </c>
      <c r="W184" s="42" t="n">
        <f aca="false">IFERROR(IF($C184="","",IF($D184="","",IFERROR(ROUND($D184*INDEX('🔖 배합비 참조'!$B$2:$CE$83,MATCH("기타설탕(흑설탕)",'🔖 배합비 참조'!$A$2:$A$83,0),MATCH($C184,'🔖 배합비 참조'!$B$1:$CE$1,0))/100,0),""))),"")</f>
        <v>0</v>
      </c>
      <c r="X184" s="42" t="n">
        <f aca="false">IFERROR(IF($C184="","",IF($D184="","",IFERROR(ROUND($D184*INDEX('🔖 배합비 참조'!$B$2:$CE$83,MATCH("냉동쑥(국내산)",'🔖 배합비 참조'!$A$2:$A$83,0),MATCH($C184,'🔖 배합비 참조'!$B$1:$CE$1,0))/100,0),""))),"")</f>
        <v>0</v>
      </c>
      <c r="Y184" s="42" t="n">
        <f aca="false">IFERROR(IF($C184="","",IF($D184="","",IFERROR(ROUND($D184*INDEX('🔖 배합비 참조'!$B$2:$CE$83,MATCH("냉동증숙고구마(중국산)",'🔖 배합비 참조'!$A$2:$A$83,0),MATCH($C184,'🔖 배합비 참조'!$B$1:$CE$1,0))/100,0),""))),"")</f>
        <v>0</v>
      </c>
      <c r="Z184" s="42" t="n">
        <f aca="false">IFERROR(IF($C184="","",IF($D184="","",IFERROR(ROUND($D184*INDEX('🔖 배합비 참조'!$B$2:$CE$83,MATCH("녹차가루",'🔖 배합비 참조'!$A$2:$A$83,0),MATCH($C184,'🔖 배합비 참조'!$B$1:$CE$1,0))/100,0),""))),"")</f>
        <v>0</v>
      </c>
      <c r="AA184" s="42" t="n">
        <f aca="false">IFERROR(IF($C184="","",IF($D184="","",IFERROR(ROUND($D184*INDEX('🔖 배합비 참조'!$B$2:$CE$83,MATCH("다크초콜릿 컴파운드칩",'🔖 배합비 참조'!$A$2:$A$83,0),MATCH($C184,'🔖 배합비 참조'!$B$1:$CE$1,0))/100,0),""))),"")</f>
        <v>0</v>
      </c>
      <c r="AB184" s="42" t="n">
        <f aca="false">IFERROR(IF($C184="","",IF($D184="","",IFERROR(ROUND($D184*INDEX('🔖 배합비 참조'!$B$2:$CE$83,MATCH("단호박분말(중국산)",'🔖 배합비 참조'!$A$2:$A$83,0),MATCH($C184,'🔖 배합비 참조'!$B$1:$CE$1,0))/100,0),""))),"")</f>
        <v>0</v>
      </c>
      <c r="AC184" s="42" t="n">
        <f aca="false">IFERROR(IF($C184="","",IF($D184="","",IFERROR(ROUND($D184*INDEX('🔖 배합비 참조'!$B$2:$CE$83,MATCH("당류가공품(단호박농축액)",'🔖 배합비 참조'!$A$2:$A$83,0),MATCH($C184,'🔖 배합비 참조'!$B$1:$CE$1,0))/100,0),""))),"")</f>
        <v>0</v>
      </c>
      <c r="AD184" s="42" t="n">
        <f aca="false">IFERROR(IF($C184="","",IF($D184="","",IFERROR(ROUND($D184*INDEX('🔖 배합비 참조'!$B$2:$CE$83,MATCH("당류가공품(알룰로스,에리스리톨,스테비올배당체혼합)",'🔖 배합비 참조'!$A$2:$A$83,0),MATCH($C184,'🔖 배합비 참조'!$B$1:$CE$1,0))/100,0),""))),"")</f>
        <v>0</v>
      </c>
      <c r="AE184" s="42" t="n">
        <f aca="false">IFERROR(IF($C184="","",IF($D184="","",IFERROR(ROUND($D184*INDEX('🔖 배합비 참조'!$B$2:$CE$83,MATCH("당류가공품(알룰로스제로파우더)",'🔖 배합비 참조'!$A$2:$A$83,0),MATCH($C184,'🔖 배합비 참조'!$B$1:$CE$1,0))/100,0),""))),"")</f>
        <v>0</v>
      </c>
      <c r="AF184" s="42" t="n">
        <f aca="false">IFERROR(IF($C184="","",IF($D184="","",IFERROR(ROUND($D184*INDEX('🔖 배합비 참조'!$B$2:$CE$83,MATCH("당절임(완두배기)",'🔖 배합비 참조'!$A$2:$A$83,0),MATCH($C184,'🔖 배합비 참조'!$B$1:$CE$1,0))/100,0),""))),"")</f>
        <v>0</v>
      </c>
      <c r="AG184" s="42" t="n">
        <f aca="false">IFERROR(IF($C184="","",IF($D184="","",IFERROR(ROUND($D184*INDEX('🔖 배합비 참조'!$B$2:$CE$83,MATCH("대추농축액",'🔖 배합비 참조'!$A$2:$A$83,0),MATCH($C184,'🔖 배합비 참조'!$B$1:$CE$1,0))/100,0),""))),"")</f>
        <v>0</v>
      </c>
      <c r="AH184" s="42" t="n">
        <f aca="false">IFERROR(IF($C184="","",IF($D184="","",IFERROR(ROUND($D184*INDEX('🔖 배합비 참조'!$B$2:$CE$83,MATCH("대추채(국내산)",'🔖 배합비 참조'!$A$2:$A$83,0),MATCH($C184,'🔖 배합비 참조'!$B$1:$CE$1,0))/100,0),""))),"")</f>
        <v>0</v>
      </c>
      <c r="AI184" s="42" t="n">
        <f aca="false">IFERROR(IF($C184="","",IF($D184="","",IFERROR(ROUND($D184*INDEX('🔖 배합비 참조'!$B$2:$CE$83,MATCH("동부(미얀마산)",'🔖 배합비 참조'!$A$2:$A$83,0),MATCH($C184,'🔖 배합비 참조'!$B$1:$CE$1,0))/100,0),""))),"")</f>
        <v>0</v>
      </c>
      <c r="AJ184" s="42" t="n">
        <f aca="false">IFERROR(IF($C184="","",IF($D184="","",IFERROR(ROUND($D184*INDEX('🔖 배합비 참조'!$B$2:$CE$83,MATCH("두류가공품(백옥앙금)",'🔖 배합비 참조'!$A$2:$A$83,0),MATCH($C184,'🔖 배합비 참조'!$B$1:$CE$1,0))/100,0),""))),"")</f>
        <v>0</v>
      </c>
      <c r="AK184" s="42" t="n">
        <f aca="false">IFERROR(IF($C184="","",IF($D184="","",IFERROR(ROUND($D184*INDEX('🔖 배합비 참조'!$B$2:$CE$83,MATCH("두류가공품(콩고물)",'🔖 배합비 참조'!$A$2:$A$83,0),MATCH($C184,'🔖 배합비 참조'!$B$1:$CE$1,0))/100,0),""))),"")</f>
        <v>0</v>
      </c>
      <c r="AL184" s="42" t="n">
        <f aca="false">IFERROR(IF($C184="","",IF($D184="","",IFERROR(ROUND($D184*INDEX('🔖 배합비 참조'!$B$2:$CE$83,MATCH("두류가공품(통팥고물)",'🔖 배합비 참조'!$A$2:$A$83,0),MATCH($C184,'🔖 배합비 참조'!$B$1:$CE$1,0))/100,0),""))),"")</f>
        <v>0</v>
      </c>
      <c r="AM184" s="42" t="n">
        <f aca="false">IFERROR(IF($C184="","",IF($D184="","",IFERROR(ROUND($D184*INDEX('🔖 배합비 참조'!$B$2:$CE$83,MATCH("딸기레진",'🔖 배합비 참조'!$A$2:$A$83,0),MATCH($C184,'🔖 배합비 참조'!$B$1:$CE$1,0))/100,0),""))),"")</f>
        <v>0</v>
      </c>
      <c r="AN184" s="42" t="n">
        <f aca="false">IFERROR(IF($C184="","",IF($D184="","",IFERROR(ROUND($D184*INDEX('🔖 배합비 참조'!$B$2:$CE$83,MATCH("딸기분말(스트로우베리에이드(분말))",'🔖 배합비 참조'!$A$2:$A$83,0),MATCH($C184,'🔖 배합비 참조'!$B$1:$CE$1,0))/100,0),""))),"")</f>
        <v>0</v>
      </c>
      <c r="AO184" s="42" t="n">
        <f aca="false">IFERROR(IF($C184="","",IF($D184="","",IFERROR(ROUND($D184*INDEX('🔖 배합비 참조'!$B$2:$CE$83,MATCH("마스카포네치즈",'🔖 배합비 참조'!$A$2:$A$83,0),MATCH($C184,'🔖 배합비 참조'!$B$1:$CE$1,0))/100,0),""))),"")</f>
        <v>0</v>
      </c>
      <c r="AP184" s="42" t="n">
        <f aca="false">IFERROR(IF($C184="","",IF($D184="","",IFERROR(ROUND($D184*INDEX('🔖 배합비 참조'!$B$2:$CE$83,MATCH("마카다미아분태(호주산)",'🔖 배합비 참조'!$A$2:$A$83,0),MATCH($C184,'🔖 배합비 참조'!$B$1:$CE$1,0))/100,0),""))),"")</f>
        <v>0</v>
      </c>
      <c r="AQ184" s="42" t="n">
        <f aca="false">IFERROR(IF($C184="","",IF($D184="","",IFERROR(ROUND($D184*INDEX('🔖 배합비 참조'!$B$2:$CE$83,MATCH("멥쌀(국내산)",'🔖 배합비 참조'!$A$2:$A$83,0),MATCH($C184,'🔖 배합비 참조'!$B$1:$CE$1,0))/100,0),""))),"")</f>
        <v>0</v>
      </c>
      <c r="AR184" s="42" t="n">
        <f aca="false">IFERROR(IF($C184="","",IF($D184="","",IFERROR(ROUND($D184*INDEX('🔖 배합비 참조'!$B$2:$CE$83,MATCH("모시잎(국내산)",'🔖 배합비 참조'!$A$2:$A$83,0),MATCH($C184,'🔖 배합비 참조'!$B$1:$CE$1,0))/100,0),""))),"")</f>
        <v>0</v>
      </c>
      <c r="AS184" s="42" t="n">
        <f aca="false">IFERROR(IF($C184="","",IF($D184="","",IFERROR(ROUND($D184*INDEX('🔖 배합비 참조'!$B$2:$CE$83,MATCH("물엿(저당물엿)",'🔖 배합비 참조'!$A$2:$A$83,0),MATCH($C184,'🔖 배합비 참조'!$B$1:$CE$1,0))/100,0),""))),"")</f>
        <v>5</v>
      </c>
      <c r="AT184" s="42" t="n">
        <f aca="false">IFERROR(IF($C184="","",IF($D184="","",IFERROR(ROUND($D184*INDEX('🔖 배합비 참조'!$B$2:$CE$83,MATCH("밤다이스",'🔖 배합비 참조'!$A$2:$A$83,0),MATCH($C184,'🔖 배합비 참조'!$B$1:$CE$1,0))/100,0),""))),"")</f>
        <v>0</v>
      </c>
      <c r="AU184" s="42" t="n">
        <f aca="false">IFERROR(IF($C184="","",IF($D184="","",IFERROR(ROUND($D184*INDEX('🔖 배합비 참조'!$B$2:$CE$83,MATCH("변성전분(타피오카전분)",'🔖 배합비 참조'!$A$2:$A$83,0),MATCH($C184,'🔖 배합비 참조'!$B$1:$CE$1,0))/100,0),""))),"")</f>
        <v>0</v>
      </c>
      <c r="AV184" s="42" t="n">
        <f aca="false">IFERROR(IF($C184="","",IF($D184="","",IFERROR(ROUND($D184*INDEX('🔖 배합비 참조'!$B$2:$CE$83,MATCH("복음땅콩분태",'🔖 배합비 참조'!$A$2:$A$83,0),MATCH($C184,'🔖 배합비 참조'!$B$1:$CE$1,0))/100,0),""))),"")</f>
        <v>0</v>
      </c>
      <c r="AW184" s="42" t="n">
        <f aca="false">IFERROR(IF($C184="","",IF($D184="","",IFERROR(ROUND($D184*INDEX('🔖 배합비 참조'!$B$2:$CE$83,MATCH("사양벌꿀(국내산)",'🔖 배합비 참조'!$A$2:$A$83,0),MATCH($C184,'🔖 배합비 참조'!$B$1:$CE$1,0))/100,0),""))),"")</f>
        <v>0</v>
      </c>
      <c r="AX184" s="42" t="n">
        <f aca="false">IFERROR(IF($C184="","",IF($D184="","",IFERROR(ROUND($D184*INDEX('🔖 배합비 참조'!$B$2:$CE$83,MATCH("생크림",'🔖 배합비 참조'!$A$2:$A$83,0),MATCH($C184,'🔖 배합비 참조'!$B$1:$CE$1,0))/100,0),""))),"")</f>
        <v>0</v>
      </c>
      <c r="AY184" s="42" t="n">
        <f aca="false">IFERROR(IF($C184="","",IF($D184="","",IFERROR(ROUND($D184*INDEX('🔖 배합비 참조'!$B$2:$CE$83,MATCH("서양호박(국내산,뉴질랜드산)",'🔖 배합비 참조'!$A$2:$A$83,0),MATCH($C184,'🔖 배합비 참조'!$B$1:$CE$1,0))/100,0),""))),"")</f>
        <v>0</v>
      </c>
      <c r="AZ184" s="42" t="n">
        <f aca="false">IFERROR(IF($C184="","",IF($D184="","",IFERROR(ROUND($D184*INDEX('🔖 배합비 참조'!$B$2:$CE$83,MATCH("설탕",'🔖 배합비 참조'!$A$2:$A$83,0),MATCH($C184,'🔖 배합비 참조'!$B$1:$CE$1,0))/100,0),""))),"")</f>
        <v>5</v>
      </c>
      <c r="BA184" s="42" t="n">
        <f aca="false">IFERROR(IF($C184="","",IF($D184="","",IFERROR(ROUND($D184*INDEX('🔖 배합비 참조'!$B$2:$CE$83,MATCH("스트로우베리 에이드 후레쉬",'🔖 배합비 참조'!$A$2:$A$83,0),MATCH($C184,'🔖 배합비 참조'!$B$1:$CE$1,0))/100,0),""))),"")</f>
        <v>0</v>
      </c>
      <c r="BB184" s="42" t="n">
        <f aca="false">IFERROR(IF($C184="","",IF($D184="","",IFERROR(ROUND($D184*INDEX('🔖 배합비 참조'!$B$2:$CE$83,MATCH("식물성기름혼합제제(분홍)",'🔖 배합비 참조'!$A$2:$A$83,0),MATCH($C184,'🔖 배합비 참조'!$B$1:$CE$1,0))/100,0),""))),"")</f>
        <v>0</v>
      </c>
      <c r="BC184" s="42" t="n">
        <f aca="false">IFERROR(IF($C184="","",IF($D184="","",IFERROR(ROUND($D184*INDEX('🔖 배합비 참조'!$B$2:$CE$83,MATCH("식물성기름혼합제제(초록)",'🔖 배합비 참조'!$A$2:$A$83,0),MATCH($C184,'🔖 배합비 참조'!$B$1:$CE$1,0))/100,0),""))),"")</f>
        <v>0</v>
      </c>
      <c r="BD184" s="42" t="n">
        <f aca="false">IFERROR(IF($C184="","",IF($D184="","",IFERROR(ROUND($D184*INDEX('🔖 배합비 참조'!$B$2:$CE$83,MATCH("식물성기름혼합제제(황색)",'🔖 배합비 참조'!$A$2:$A$83,0),MATCH($C184,'🔖 배합비 참조'!$B$1:$CE$1,0))/100,0),""))),"")</f>
        <v>0</v>
      </c>
      <c r="BE184" s="42" t="n">
        <f aca="false">IFERROR(IF($C184="","",IF($D184="","",IFERROR(ROUND($D184*INDEX('🔖 배합비 참조'!$B$2:$CE$83,MATCH("쑥가루(국내산)",'🔖 배합비 참조'!$A$2:$A$83,0),MATCH($C184,'🔖 배합비 참조'!$B$1:$CE$1,0))/100,0),""))),"")</f>
        <v>0</v>
      </c>
      <c r="BF184" s="42" t="n">
        <f aca="false">IFERROR(IF($C184="","",IF($D184="","",IFERROR(ROUND($D184*INDEX('🔖 배합비 참조'!$B$2:$CE$83,MATCH("아몬드슬라이스",'🔖 배합비 참조'!$A$2:$A$83,0),MATCH($C184,'🔖 배합비 참조'!$B$1:$CE$1,0))/100,0),""))),"")</f>
        <v>0</v>
      </c>
      <c r="BG184" s="42" t="n">
        <f aca="false">IFERROR(IF($C184="","",IF($D184="","",IFERROR(ROUND($D184*INDEX('🔖 배합비 참조'!$B$2:$CE$83,MATCH("알룰로오스(국내산)",'🔖 배합비 참조'!$A$2:$A$83,0),MATCH($C184,'🔖 배합비 참조'!$B$1:$CE$1,0))/100,0),""))),"")</f>
        <v>0</v>
      </c>
      <c r="BH184" s="42" t="n">
        <f aca="false">IFERROR(IF($C184="","",IF($D184="","",IFERROR(ROUND($D184*INDEX('🔖 배합비 참조'!$B$2:$CE$83,MATCH("연유",'🔖 배합비 참조'!$A$2:$A$83,0),MATCH($C184,'🔖 배합비 참조'!$B$1:$CE$1,0))/100,0),""))),"")</f>
        <v>0</v>
      </c>
      <c r="BI184" s="42" t="n">
        <f aca="false">IFERROR(IF($C184="","",IF($D184="","",IFERROR(ROUND($D184*INDEX('🔖 배합비 참조'!$B$2:$CE$83,MATCH("옥수수전분",'🔖 배합비 참조'!$A$2:$A$83,0),MATCH($C184,'🔖 배합비 참조'!$B$1:$CE$1,0))/100,0),""))),"")</f>
        <v>3</v>
      </c>
      <c r="BJ184" s="42" t="n">
        <f aca="false">IFERROR(IF($C184="","",IF($D184="","",IFERROR(ROUND($D184*INDEX('🔖 배합비 참조'!$B$2:$CE$83,MATCH("완두배기",'🔖 배합비 참조'!$A$2:$A$83,0),MATCH($C184,'🔖 배합비 참조'!$B$1:$CE$1,0))/100,0),""))),"")</f>
        <v>0</v>
      </c>
      <c r="BK184" s="42" t="n">
        <f aca="false">IFERROR(IF($C184="","",IF($D184="","",IFERROR(ROUND($D184*INDEX('🔖 배합비 참조'!$B$2:$CE$83,MATCH("우유(국내산)",'🔖 배합비 참조'!$A$2:$A$83,0),MATCH($C184,'🔖 배합비 참조'!$B$1:$CE$1,0))/100,0),""))),"")</f>
        <v>0</v>
      </c>
      <c r="BL184" s="42" t="n">
        <f aca="false">IFERROR(IF($C184="","",IF($D184="","",IFERROR(ROUND($D184*INDEX('🔖 배합비 참조'!$B$2:$CE$83,MATCH("자색고구마가루(중국산)",'🔖 배합비 참조'!$A$2:$A$83,0),MATCH($C184,'🔖 배합비 참조'!$B$1:$CE$1,0))/100,0),""))),"")</f>
        <v>0</v>
      </c>
      <c r="BM184" s="42" t="n">
        <f aca="false">IFERROR(IF($C184="","",IF($D184="","",IFERROR(ROUND($D184*INDEX('🔖 배합비 참조'!$B$2:$CE$83,MATCH("자연치즈(체다치즈)",'🔖 배합비 참조'!$A$2:$A$83,0),MATCH($C184,'🔖 배합비 참조'!$B$1:$CE$1,0))/100,0),""))),"")</f>
        <v>0</v>
      </c>
      <c r="BN184" s="42" t="n">
        <f aca="false">IFERROR(IF($C184="","",IF($D184="","",IFERROR(ROUND($D184*INDEX('🔖 배합비 참조'!$B$2:$CE$83,MATCH("정제수",'🔖 배합비 참조'!$A$2:$A$83,0),MATCH($C184,'🔖 배합비 참조'!$B$1:$CE$1,0))/100,0),""))),"")</f>
        <v>0</v>
      </c>
      <c r="BO184" s="42" t="n">
        <f aca="false">IFERROR(IF($C184="","",IF($D184="","",IFERROR(ROUND($D184*INDEX('🔖 배합비 참조'!$B$2:$CE$83,MATCH("젤라틴",'🔖 배합비 참조'!$A$2:$A$83,0),MATCH($C184,'🔖 배합비 참조'!$B$1:$CE$1,0))/100,0),""))),"")</f>
        <v>0</v>
      </c>
      <c r="BP184" s="42" t="n">
        <f aca="false">IFERROR(IF($C184="","",IF($D184="","",IFERROR(ROUND($D184*INDEX('🔖 배합비 참조'!$B$2:$CE$83,MATCH("조림류(백옥앙금)",'🔖 배합비 참조'!$A$2:$A$83,0),MATCH($C184,'🔖 배합비 참조'!$B$1:$CE$1,0))/100,0),""))),"")</f>
        <v>0</v>
      </c>
      <c r="BQ184" s="42" t="n">
        <f aca="false">IFERROR(IF($C184="","",IF($D184="","",IFERROR(ROUND($D184*INDEX('🔖 배합비 참조'!$B$2:$CE$83,MATCH("조림류(통팥앙금)",'🔖 배합비 참조'!$A$2:$A$83,0),MATCH($C184,'🔖 배합비 참조'!$B$1:$CE$1,0))/100,0),""))),"")</f>
        <v>99</v>
      </c>
      <c r="BR184" s="42" t="n">
        <f aca="false">IFERROR(IF($C184="","",IF($D184="","",IFERROR(ROUND($D184*INDEX('🔖 배합비 참조'!$B$2:$CE$83,MATCH("준초콜릿(외국산)",'🔖 배합비 참조'!$A$2:$A$83,0),MATCH($C184,'🔖 배합비 참조'!$B$1:$CE$1,0))/100,0),""))),"")</f>
        <v>0</v>
      </c>
      <c r="BS184" s="42" t="n">
        <f aca="false">IFERROR(IF($C184="","",IF($D184="","",IFERROR(ROUND($D184*INDEX('🔖 배합비 참조'!$B$2:$CE$83,MATCH("중력분",'🔖 배합비 참조'!$A$2:$A$83,0),MATCH($C184,'🔖 배합비 참조'!$B$1:$CE$1,0))/100,0),""))),"")</f>
        <v>0</v>
      </c>
      <c r="BT184" s="42" t="n">
        <f aca="false">IFERROR(IF($C184="","",IF($D184="","",IFERROR(ROUND($D184*INDEX('🔖 배합비 참조'!$B$2:$CE$83,MATCH("참깨(인도산,나이지리아산,탄자니아산,미얀마산)",'🔖 배합비 참조'!$A$2:$A$83,0),MATCH($C184,'🔖 배합비 참조'!$B$1:$CE$1,0))/100,0),""))),"")</f>
        <v>0</v>
      </c>
      <c r="BU184" s="42" t="n">
        <f aca="false">IFERROR(IF($C184="","",IF($D184="","",IFERROR(ROUND($D184*INDEX('🔖 배합비 참조'!$B$2:$CE$83,MATCH("찹쌀(국내산)",'🔖 배합비 참조'!$A$2:$A$83,0),MATCH($C184,'🔖 배합비 참조'!$B$1:$CE$1,0))/100,0),""))),"")</f>
        <v>105</v>
      </c>
      <c r="BV184" s="42" t="n">
        <f aca="false">IFERROR(IF($C184="","",IF($D184="","",IFERROR(ROUND($D184*INDEX('🔖 배합비 참조'!$B$2:$CE$83,MATCH("천일염",'🔖 배합비 참조'!$A$2:$A$83,0),MATCH($C184,'🔖 배합비 참조'!$B$1:$CE$1,0))/100,0),""))),"")</f>
        <v>2</v>
      </c>
      <c r="BW184" s="42" t="n">
        <f aca="false">IFERROR(IF($C184="","",IF($D184="","",IFERROR(ROUND($D184*INDEX('🔖 배합비 참조'!$B$2:$CE$83,MATCH("치즈 [크림치즈]",'🔖 배합비 참조'!$A$2:$A$83,0),MATCH($C184,'🔖 배합비 참조'!$B$1:$CE$1,0))/100,0),""))),"")</f>
        <v>0</v>
      </c>
      <c r="BX184" s="42" t="n">
        <f aca="false">IFERROR(IF($C184="","",IF($D184="","",IFERROR(ROUND($D184*INDEX('🔖 배합비 참조'!$B$2:$CE$83,MATCH("코코아가공품류(코코아분말)",'🔖 배합비 참조'!$A$2:$A$83,0),MATCH($C184,'🔖 배합비 참조'!$B$1:$CE$1,0))/100,0),""))),"")</f>
        <v>0</v>
      </c>
      <c r="BY184" s="42" t="n">
        <f aca="false">IFERROR(IF($C184="","",IF($D184="","",IFERROR(ROUND($D184*INDEX('🔖 배합비 참조'!$B$2:$CE$83,MATCH("콩기름(대두유)",'🔖 배합비 참조'!$A$2:$A$83,0),MATCH($C184,'🔖 배합비 참조'!$B$1:$CE$1,0))/100,0),""))),"")</f>
        <v>0</v>
      </c>
      <c r="BZ184" s="42" t="n">
        <f aca="false">IFERROR(IF($C184="","",IF($D184="","",IFERROR(ROUND($D184*INDEX('🔖 배합비 참조'!$B$2:$CE$83,MATCH("해바라기씨앗",'🔖 배합비 참조'!$A$2:$A$83,0),MATCH($C184,'🔖 배합비 참조'!$B$1:$CE$1,0))/100,0),""))),"")</f>
        <v>0</v>
      </c>
      <c r="CA184" s="42" t="n">
        <f aca="false">IFERROR(IF($C184="","",IF($D184="","",IFERROR(ROUND($D184*INDEX('🔖 배합비 참조'!$B$2:$CE$83,MATCH("현미(국내산)",'🔖 배합비 참조'!$A$2:$A$83,0),MATCH($C184,'🔖 배합비 참조'!$B$1:$CE$1,0))/100,0),""))),"")</f>
        <v>0</v>
      </c>
      <c r="CB184" s="42" t="n">
        <f aca="false">IFERROR(IF($C184="","",IF($D184="","",IFERROR(ROUND($D184*INDEX('🔖 배합비 참조'!$B$2:$CE$83,MATCH("현미멥쌀(국내산)",'🔖 배합비 참조'!$A$2:$A$83,0),MATCH($C184,'🔖 배합비 참조'!$B$1:$CE$1,0))/100,0),""))),"")</f>
        <v>0</v>
      </c>
      <c r="CC184" s="42" t="n">
        <f aca="false">IFERROR(IF($C184="","",IF($D184="","",IFERROR(ROUND($D184*INDEX('🔖 배합비 참조'!$B$2:$CE$83,MATCH("호두분태(미국산)",'🔖 배합비 참조'!$A$2:$A$83,0),MATCH($C184,'🔖 배합비 참조'!$B$1:$CE$1,0))/100,0),""))),"")</f>
        <v>0</v>
      </c>
      <c r="CD184" s="42" t="n">
        <f aca="false">IFERROR(IF($C184="","",IF($D184="","",IFERROR(ROUND($D184*INDEX('🔖 배합비 참조'!$B$2:$CE$83,MATCH("호박씨앗(외국산)",'🔖 배합비 참조'!$A$2:$A$83,0),MATCH($C184,'🔖 배합비 참조'!$B$1:$CE$1,0))/100,0),""))),"")</f>
        <v>0</v>
      </c>
      <c r="CE184" s="42" t="n">
        <f aca="false">IFERROR(IF($C184="","",IF($D184="","",IFERROR(ROUND($D184*INDEX('🔖 배합비 참조'!$B$2:$CE$83,MATCH("혼합제제(떡용에스텔)",'🔖 배합비 참조'!$A$2:$A$83,0),MATCH($C184,'🔖 배합비 참조'!$B$1:$CE$1,0))/100,0),""))),"")</f>
        <v>1</v>
      </c>
      <c r="CF184" s="42" t="n">
        <f aca="false">IFERROR(IF($C184="","",IF($D184="","",IFERROR(ROUND($D184*INDEX('🔖 배합비 참조'!$B$2:$CE$83,MATCH("혼합제제(스테비아)",'🔖 배합비 참조'!$A$2:$A$83,0),MATCH($C184,'🔖 배합비 참조'!$B$1:$CE$1,0))/100,0),""))),"")</f>
        <v>0</v>
      </c>
      <c r="CG184" s="42" t="n">
        <f aca="false">IFERROR(IF($C184="","",IF($D184="","",IFERROR(ROUND($D184*INDEX('🔖 배합비 참조'!$B$2:$CE$83,MATCH("화이트초콜릿",'🔖 배합비 참조'!$A$2:$A$83,0),MATCH($C184,'🔖 배합비 참조'!$B$1:$CE$1,0))/100,0),""))),"")</f>
        <v>0</v>
      </c>
      <c r="CH184" s="42" t="n">
        <f aca="false">IFERROR(IF($C184="","",IF($D184="","",IFERROR(ROUND($D184*INDEX('🔖 배합비 참조'!$B$2:$CE$83,MATCH("흑미찹쌀(국내산)",'🔖 배합비 참조'!$A$2:$A$83,0),MATCH($C184,'🔖 배합비 참조'!$B$1:$CE$1,0))/100,0),""))),"")</f>
        <v>0</v>
      </c>
      <c r="CI184" s="42" t="n">
        <f aca="false">IFERROR(IF($C184="","",IF($D184="","",IFERROR(ROUND($D184*INDEX('🔖 배합비 참조'!$B$2:$CE$83,MATCH("찰옥수수전분(미국산)",'🔖 배합비 참조'!$A$2:$A$83,0),MATCH($C184,'🔖 배합비 참조'!$B$1:$CE$1,0))/100,0),""))),"")</f>
        <v>0</v>
      </c>
      <c r="CJ184" s="40"/>
      <c r="CL184" s="1" t="s">
        <v>245</v>
      </c>
    </row>
    <row r="185" customFormat="false" ht="18" hidden="false" customHeight="true" outlineLevel="0" collapsed="false">
      <c r="A185" s="35" t="n">
        <v>181</v>
      </c>
      <c r="B185" s="36" t="n">
        <v>46048</v>
      </c>
      <c r="C185" s="37" t="s">
        <v>191</v>
      </c>
      <c r="D185" s="38" t="n">
        <v>660</v>
      </c>
      <c r="E185" s="13"/>
      <c r="F185" s="13"/>
      <c r="G185" s="39" t="n">
        <f aca="false">IFERROR(IF($C185="","",IF($D185="","",IFERROR(ROUND($D185*INDEX('🔖 배합비 참조'!$B$2:$CE$83,MATCH("간장",'🔖 배합비 참조'!$A$2:$A$83,0),MATCH($C185,'🔖 배합비 참조'!$B$1:$CE$1,0))/100,0),""))),"")</f>
        <v>0</v>
      </c>
      <c r="H185" s="39" t="n">
        <f aca="false">IFERROR(IF($C185="","",IF($D185="","",IFERROR(ROUND($D185*INDEX('🔖 배합비 참조'!$B$2:$CE$83,MATCH("강낭콩((울타리콩))",'🔖 배합비 참조'!$A$2:$A$83,0),MATCH($C185,'🔖 배합비 참조'!$B$1:$CE$1,0))/100,0),""))),"")</f>
        <v>0</v>
      </c>
      <c r="I185" s="39" t="n">
        <f aca="false">IFERROR(IF($C185="","",IF($D185="","",IFERROR(ROUND($D185*INDEX('🔖 배합비 참조'!$B$2:$CE$83,MATCH("건조딸기다이스(외국산)",'🔖 배합비 참조'!$A$2:$A$83,0),MATCH($C185,'🔖 배합비 참조'!$B$1:$CE$1,0))/100,0),""))),"")</f>
        <v>0</v>
      </c>
      <c r="J185" s="39" t="n">
        <f aca="false">IFERROR(IF($C185="","",IF($D185="","",IFERROR(ROUND($D185*INDEX('🔖 배합비 참조'!$B$2:$CE$83,MATCH("건포도",'🔖 배합비 참조'!$A$2:$A$83,0),MATCH($C185,'🔖 배합비 참조'!$B$1:$CE$1,0))/100,0),""))),"")</f>
        <v>0</v>
      </c>
      <c r="K185" s="39" t="n">
        <f aca="false">IFERROR(IF($C185="","",IF($D185="","",IFERROR(ROUND($D185*INDEX('🔖 배합비 참조'!$B$2:$CE$83,MATCH("건호박채(중국산)",'🔖 배합비 참조'!$A$2:$A$83,0),MATCH($C185,'🔖 배합비 참조'!$B$1:$CE$1,0))/100,0),""))),"")</f>
        <v>0</v>
      </c>
      <c r="L185" s="39" t="n">
        <f aca="false">IFERROR(IF($C185="","",IF($D185="","",IFERROR(ROUND($D185*INDEX('🔖 배합비 참조'!$B$2:$CE$83,MATCH("검정깨(흑임자)",'🔖 배합비 참조'!$A$2:$A$83,0),MATCH($C185,'🔖 배합비 참조'!$B$1:$CE$1,0))/100,0),""))),"")</f>
        <v>0</v>
      </c>
      <c r="M185" s="39" t="n">
        <f aca="false">IFERROR(IF($C185="","",IF($D185="","",IFERROR(ROUND($D185*INDEX('🔖 배합비 참조'!$B$2:$CE$83,MATCH("검정콩",'🔖 배합비 참조'!$A$2:$A$83,0),MATCH($C185,'🔖 배합비 참조'!$B$1:$CE$1,0))/100,0),""))),"")</f>
        <v>0</v>
      </c>
      <c r="N185" s="39" t="n">
        <f aca="false">IFERROR(IF($C185="","",IF($D185="","",IFERROR(ROUND($D185*INDEX('🔖 배합비 참조'!$B$2:$CE$83,MATCH("계피가루",'🔖 배합비 참조'!$A$2:$A$83,0),MATCH($C185,'🔖 배합비 참조'!$B$1:$CE$1,0))/100,0),""))),"")</f>
        <v>0</v>
      </c>
      <c r="O185" s="39" t="n">
        <f aca="false">IFERROR(IF($C185="","",IF($D185="","",IFERROR(ROUND($D185*INDEX('🔖 배합비 참조'!$B$2:$CE$83,MATCH("고구마가루",'🔖 배합비 참조'!$A$2:$A$83,0),MATCH($C185,'🔖 배합비 참조'!$B$1:$CE$1,0))/100,0),""))),"")</f>
        <v>0</v>
      </c>
      <c r="P185" s="39" t="n">
        <f aca="false">IFERROR(IF($C185="","",IF($D185="","",IFERROR(ROUND($D185*INDEX('🔖 배합비 참조'!$B$2:$CE$83,MATCH("고구마무스",'🔖 배합비 참조'!$A$2:$A$83,0),MATCH($C185,'🔖 배합비 참조'!$B$1:$CE$1,0))/100,0),""))),"")</f>
        <v>0</v>
      </c>
      <c r="Q185" s="39" t="n">
        <f aca="false">IFERROR(IF($C185="","",IF($D185="","",IFERROR(ROUND($D185*INDEX('🔖 배합비 참조'!$B$2:$CE$83,MATCH("고려엉겅퀴((곤드레)국내산)",'🔖 배합비 참조'!$A$2:$A$83,0),MATCH($C185,'🔖 배합비 참조'!$B$1:$CE$1,0))/100,0),""))),"")</f>
        <v>0</v>
      </c>
      <c r="R185" s="39" t="n">
        <f aca="false">IFERROR(IF($C185="","",IF($D185="","",IFERROR(ROUND($D185*INDEX('🔖 배합비 참조'!$B$2:$CE$83,MATCH("기타가공품(복분자가루)",'🔖 배합비 참조'!$A$2:$A$83,0),MATCH($C185,'🔖 배합비 참조'!$B$1:$CE$1,0))/100,0),""))),"")</f>
        <v>0</v>
      </c>
      <c r="S185" s="39" t="n">
        <f aca="false">IFERROR(IF($C185="","",IF($D185="","",IFERROR(ROUND($D185*INDEX('🔖 배합비 참조'!$B$2:$CE$83,MATCH("기타가공품(슈퍼소프트엠)",'🔖 배합비 참조'!$A$2:$A$83,0),MATCH($C185,'🔖 배합비 참조'!$B$1:$CE$1,0))/100,0),""))),"")</f>
        <v>0</v>
      </c>
      <c r="T185" s="39" t="n">
        <f aca="false">IFERROR(IF($C185="","",IF($D185="","",IFERROR(ROUND($D185*INDEX('🔖 배합비 참조'!$B$2:$CE$83,MATCH("기타가공품(파인소프트 E-티)",'🔖 배합비 참조'!$A$2:$A$83,0),MATCH($C185,'🔖 배합비 참조'!$B$1:$CE$1,0))/100,0),""))),"")</f>
        <v>0</v>
      </c>
      <c r="U185" s="39" t="n">
        <f aca="false">IFERROR(IF($C185="","",IF($D185="","",IFERROR(ROUND($D185*INDEX('🔖 배합비 참조'!$B$2:$CE$83,MATCH("기타가공품(프리미엄카스테라가루)",'🔖 배합비 참조'!$A$2:$A$83,0),MATCH($C185,'🔖 배합비 참조'!$B$1:$CE$1,0))/100,0),""))),"")</f>
        <v>0</v>
      </c>
      <c r="V185" s="39" t="n">
        <f aca="false">IFERROR(IF($C185="","",IF($D185="","",IFERROR(ROUND($D185*INDEX('🔖 배합비 참조'!$B$2:$CE$83,MATCH("기타가공품(흑임자가루)",'🔖 배합비 참조'!$A$2:$A$83,0),MATCH($C185,'🔖 배합비 참조'!$B$1:$CE$1,0))/100,0),""))),"")</f>
        <v>0</v>
      </c>
      <c r="W185" s="39" t="n">
        <f aca="false">IFERROR(IF($C185="","",IF($D185="","",IFERROR(ROUND($D185*INDEX('🔖 배합비 참조'!$B$2:$CE$83,MATCH("기타설탕(흑설탕)",'🔖 배합비 참조'!$A$2:$A$83,0),MATCH($C185,'🔖 배합비 참조'!$B$1:$CE$1,0))/100,0),""))),"")</f>
        <v>0</v>
      </c>
      <c r="X185" s="39" t="n">
        <f aca="false">IFERROR(IF($C185="","",IF($D185="","",IFERROR(ROUND($D185*INDEX('🔖 배합비 참조'!$B$2:$CE$83,MATCH("냉동쑥(국내산)",'🔖 배합비 참조'!$A$2:$A$83,0),MATCH($C185,'🔖 배합비 참조'!$B$1:$CE$1,0))/100,0),""))),"")</f>
        <v>0</v>
      </c>
      <c r="Y185" s="39" t="n">
        <f aca="false">IFERROR(IF($C185="","",IF($D185="","",IFERROR(ROUND($D185*INDEX('🔖 배합비 참조'!$B$2:$CE$83,MATCH("냉동증숙고구마(중국산)",'🔖 배합비 참조'!$A$2:$A$83,0),MATCH($C185,'🔖 배합비 참조'!$B$1:$CE$1,0))/100,0),""))),"")</f>
        <v>0</v>
      </c>
      <c r="Z185" s="39" t="n">
        <f aca="false">IFERROR(IF($C185="","",IF($D185="","",IFERROR(ROUND($D185*INDEX('🔖 배합비 참조'!$B$2:$CE$83,MATCH("녹차가루",'🔖 배합비 참조'!$A$2:$A$83,0),MATCH($C185,'🔖 배합비 참조'!$B$1:$CE$1,0))/100,0),""))),"")</f>
        <v>0</v>
      </c>
      <c r="AA185" s="39" t="n">
        <f aca="false">IFERROR(IF($C185="","",IF($D185="","",IFERROR(ROUND($D185*INDEX('🔖 배합비 참조'!$B$2:$CE$83,MATCH("다크초콜릿 컴파운드칩",'🔖 배합비 참조'!$A$2:$A$83,0),MATCH($C185,'🔖 배합비 참조'!$B$1:$CE$1,0))/100,0),""))),"")</f>
        <v>0</v>
      </c>
      <c r="AB185" s="39" t="n">
        <f aca="false">IFERROR(IF($C185="","",IF($D185="","",IFERROR(ROUND($D185*INDEX('🔖 배합비 참조'!$B$2:$CE$83,MATCH("단호박분말(중국산)",'🔖 배합비 참조'!$A$2:$A$83,0),MATCH($C185,'🔖 배합비 참조'!$B$1:$CE$1,0))/100,0),""))),"")</f>
        <v>0</v>
      </c>
      <c r="AC185" s="39" t="n">
        <f aca="false">IFERROR(IF($C185="","",IF($D185="","",IFERROR(ROUND($D185*INDEX('🔖 배합비 참조'!$B$2:$CE$83,MATCH("당류가공품(단호박농축액)",'🔖 배합비 참조'!$A$2:$A$83,0),MATCH($C185,'🔖 배합비 참조'!$B$1:$CE$1,0))/100,0),""))),"")</f>
        <v>0</v>
      </c>
      <c r="AD185" s="39" t="n">
        <f aca="false">IFERROR(IF($C185="","",IF($D185="","",IFERROR(ROUND($D185*INDEX('🔖 배합비 참조'!$B$2:$CE$83,MATCH("당류가공품(알룰로스,에리스리톨,스테비올배당체혼합)",'🔖 배합비 참조'!$A$2:$A$83,0),MATCH($C185,'🔖 배합비 참조'!$B$1:$CE$1,0))/100,0),""))),"")</f>
        <v>0</v>
      </c>
      <c r="AE185" s="39" t="n">
        <f aca="false">IFERROR(IF($C185="","",IF($D185="","",IFERROR(ROUND($D185*INDEX('🔖 배합비 참조'!$B$2:$CE$83,MATCH("당류가공품(알룰로스제로파우더)",'🔖 배합비 참조'!$A$2:$A$83,0),MATCH($C185,'🔖 배합비 참조'!$B$1:$CE$1,0))/100,0),""))),"")</f>
        <v>0</v>
      </c>
      <c r="AF185" s="39" t="n">
        <f aca="false">IFERROR(IF($C185="","",IF($D185="","",IFERROR(ROUND($D185*INDEX('🔖 배합비 참조'!$B$2:$CE$83,MATCH("당절임(완두배기)",'🔖 배합비 참조'!$A$2:$A$83,0),MATCH($C185,'🔖 배합비 참조'!$B$1:$CE$1,0))/100,0),""))),"")</f>
        <v>0</v>
      </c>
      <c r="AG185" s="39" t="n">
        <f aca="false">IFERROR(IF($C185="","",IF($D185="","",IFERROR(ROUND($D185*INDEX('🔖 배합비 참조'!$B$2:$CE$83,MATCH("대추농축액",'🔖 배합비 참조'!$A$2:$A$83,0),MATCH($C185,'🔖 배합비 참조'!$B$1:$CE$1,0))/100,0),""))),"")</f>
        <v>0</v>
      </c>
      <c r="AH185" s="39" t="n">
        <f aca="false">IFERROR(IF($C185="","",IF($D185="","",IFERROR(ROUND($D185*INDEX('🔖 배합비 참조'!$B$2:$CE$83,MATCH("대추채(국내산)",'🔖 배합비 참조'!$A$2:$A$83,0),MATCH($C185,'🔖 배합비 참조'!$B$1:$CE$1,0))/100,0),""))),"")</f>
        <v>0</v>
      </c>
      <c r="AI185" s="39" t="n">
        <f aca="false">IFERROR(IF($C185="","",IF($D185="","",IFERROR(ROUND($D185*INDEX('🔖 배합비 참조'!$B$2:$CE$83,MATCH("동부(미얀마산)",'🔖 배합비 참조'!$A$2:$A$83,0),MATCH($C185,'🔖 배합비 참조'!$B$1:$CE$1,0))/100,0),""))),"")</f>
        <v>0</v>
      </c>
      <c r="AJ185" s="39" t="n">
        <f aca="false">IFERROR(IF($C185="","",IF($D185="","",IFERROR(ROUND($D185*INDEX('🔖 배합비 참조'!$B$2:$CE$83,MATCH("두류가공품(백옥앙금)",'🔖 배합비 참조'!$A$2:$A$83,0),MATCH($C185,'🔖 배합비 참조'!$B$1:$CE$1,0))/100,0),""))),"")</f>
        <v>0</v>
      </c>
      <c r="AK185" s="39" t="n">
        <f aca="false">IFERROR(IF($C185="","",IF($D185="","",IFERROR(ROUND($D185*INDEX('🔖 배합비 참조'!$B$2:$CE$83,MATCH("두류가공품(콩고물)",'🔖 배합비 참조'!$A$2:$A$83,0),MATCH($C185,'🔖 배합비 참조'!$B$1:$CE$1,0))/100,0),""))),"")</f>
        <v>0</v>
      </c>
      <c r="AL185" s="39" t="n">
        <f aca="false">IFERROR(IF($C185="","",IF($D185="","",IFERROR(ROUND($D185*INDEX('🔖 배합비 참조'!$B$2:$CE$83,MATCH("두류가공품(통팥고물)",'🔖 배합비 참조'!$A$2:$A$83,0),MATCH($C185,'🔖 배합비 참조'!$B$1:$CE$1,0))/100,0),""))),"")</f>
        <v>0</v>
      </c>
      <c r="AM185" s="39" t="n">
        <f aca="false">IFERROR(IF($C185="","",IF($D185="","",IFERROR(ROUND($D185*INDEX('🔖 배합비 참조'!$B$2:$CE$83,MATCH("딸기레진",'🔖 배합비 참조'!$A$2:$A$83,0),MATCH($C185,'🔖 배합비 참조'!$B$1:$CE$1,0))/100,0),""))),"")</f>
        <v>0</v>
      </c>
      <c r="AN185" s="39" t="n">
        <f aca="false">IFERROR(IF($C185="","",IF($D185="","",IFERROR(ROUND($D185*INDEX('🔖 배합비 참조'!$B$2:$CE$83,MATCH("딸기분말(스트로우베리에이드(분말))",'🔖 배합비 참조'!$A$2:$A$83,0),MATCH($C185,'🔖 배합비 참조'!$B$1:$CE$1,0))/100,0),""))),"")</f>
        <v>0</v>
      </c>
      <c r="AO185" s="39" t="n">
        <f aca="false">IFERROR(IF($C185="","",IF($D185="","",IFERROR(ROUND($D185*INDEX('🔖 배합비 참조'!$B$2:$CE$83,MATCH("마스카포네치즈",'🔖 배합비 참조'!$A$2:$A$83,0),MATCH($C185,'🔖 배합비 참조'!$B$1:$CE$1,0))/100,0),""))),"")</f>
        <v>0</v>
      </c>
      <c r="AP185" s="39" t="n">
        <f aca="false">IFERROR(IF($C185="","",IF($D185="","",IFERROR(ROUND($D185*INDEX('🔖 배합비 참조'!$B$2:$CE$83,MATCH("마카다미아분태(호주산)",'🔖 배합비 참조'!$A$2:$A$83,0),MATCH($C185,'🔖 배합비 참조'!$B$1:$CE$1,0))/100,0),""))),"")</f>
        <v>0</v>
      </c>
      <c r="AQ185" s="39" t="n">
        <f aca="false">IFERROR(IF($C185="","",IF($D185="","",IFERROR(ROUND($D185*INDEX('🔖 배합비 참조'!$B$2:$CE$83,MATCH("멥쌀(국내산)",'🔖 배합비 참조'!$A$2:$A$83,0),MATCH($C185,'🔖 배합비 참조'!$B$1:$CE$1,0))/100,0),""))),"")</f>
        <v>13</v>
      </c>
      <c r="AR185" s="39" t="n">
        <f aca="false">IFERROR(IF($C185="","",IF($D185="","",IFERROR(ROUND($D185*INDEX('🔖 배합비 참조'!$B$2:$CE$83,MATCH("모시잎(국내산)",'🔖 배합비 참조'!$A$2:$A$83,0),MATCH($C185,'🔖 배합비 참조'!$B$1:$CE$1,0))/100,0),""))),"")</f>
        <v>0</v>
      </c>
      <c r="AS185" s="39" t="n">
        <f aca="false">IFERROR(IF($C185="","",IF($D185="","",IFERROR(ROUND($D185*INDEX('🔖 배합비 참조'!$B$2:$CE$83,MATCH("물엿(저당물엿)",'🔖 배합비 참조'!$A$2:$A$83,0),MATCH($C185,'🔖 배합비 참조'!$B$1:$CE$1,0))/100,0),""))),"")</f>
        <v>0</v>
      </c>
      <c r="AT185" s="39" t="n">
        <f aca="false">IFERROR(IF($C185="","",IF($D185="","",IFERROR(ROUND($D185*INDEX('🔖 배합비 참조'!$B$2:$CE$83,MATCH("밤다이스",'🔖 배합비 참조'!$A$2:$A$83,0),MATCH($C185,'🔖 배합비 참조'!$B$1:$CE$1,0))/100,0),""))),"")</f>
        <v>0</v>
      </c>
      <c r="AU185" s="39" t="n">
        <f aca="false">IFERROR(IF($C185="","",IF($D185="","",IFERROR(ROUND($D185*INDEX('🔖 배합비 참조'!$B$2:$CE$83,MATCH("변성전분(타피오카전분)",'🔖 배합비 참조'!$A$2:$A$83,0),MATCH($C185,'🔖 배합비 참조'!$B$1:$CE$1,0))/100,0),""))),"")</f>
        <v>0</v>
      </c>
      <c r="AV185" s="39" t="n">
        <f aca="false">IFERROR(IF($C185="","",IF($D185="","",IFERROR(ROUND($D185*INDEX('🔖 배합비 참조'!$B$2:$CE$83,MATCH("복음땅콩분태",'🔖 배합비 참조'!$A$2:$A$83,0),MATCH($C185,'🔖 배합비 참조'!$B$1:$CE$1,0))/100,0),""))),"")</f>
        <v>0</v>
      </c>
      <c r="AW185" s="39" t="n">
        <f aca="false">IFERROR(IF($C185="","",IF($D185="","",IFERROR(ROUND($D185*INDEX('🔖 배합비 참조'!$B$2:$CE$83,MATCH("사양벌꿀(국내산)",'🔖 배합비 참조'!$A$2:$A$83,0),MATCH($C185,'🔖 배합비 참조'!$B$1:$CE$1,0))/100,0),""))),"")</f>
        <v>0</v>
      </c>
      <c r="AX185" s="39" t="n">
        <f aca="false">IFERROR(IF($C185="","",IF($D185="","",IFERROR(ROUND($D185*INDEX('🔖 배합비 참조'!$B$2:$CE$83,MATCH("생크림",'🔖 배합비 참조'!$A$2:$A$83,0),MATCH($C185,'🔖 배합비 참조'!$B$1:$CE$1,0))/100,0),""))),"")</f>
        <v>0</v>
      </c>
      <c r="AY185" s="39" t="n">
        <f aca="false">IFERROR(IF($C185="","",IF($D185="","",IFERROR(ROUND($D185*INDEX('🔖 배합비 참조'!$B$2:$CE$83,MATCH("서양호박(국내산,뉴질랜드산)",'🔖 배합비 참조'!$A$2:$A$83,0),MATCH($C185,'🔖 배합비 참조'!$B$1:$CE$1,0))/100,0),""))),"")</f>
        <v>0</v>
      </c>
      <c r="AZ185" s="39" t="n">
        <f aca="false">IFERROR(IF($C185="","",IF($D185="","",IFERROR(ROUND($D185*INDEX('🔖 배합비 참조'!$B$2:$CE$83,MATCH("설탕",'🔖 배합비 참조'!$A$2:$A$83,0),MATCH($C185,'🔖 배합비 참조'!$B$1:$CE$1,0))/100,0),""))),"")</f>
        <v>125</v>
      </c>
      <c r="BA185" s="39" t="n">
        <f aca="false">IFERROR(IF($C185="","",IF($D185="","",IFERROR(ROUND($D185*INDEX('🔖 배합비 참조'!$B$2:$CE$83,MATCH("스트로우베리 에이드 후레쉬",'🔖 배합비 참조'!$A$2:$A$83,0),MATCH($C185,'🔖 배합비 참조'!$B$1:$CE$1,0))/100,0),""))),"")</f>
        <v>0</v>
      </c>
      <c r="BB185" s="39" t="n">
        <f aca="false">IFERROR(IF($C185="","",IF($D185="","",IFERROR(ROUND($D185*INDEX('🔖 배합비 참조'!$B$2:$CE$83,MATCH("식물성기름혼합제제(분홍)",'🔖 배합비 참조'!$A$2:$A$83,0),MATCH($C185,'🔖 배합비 참조'!$B$1:$CE$1,0))/100,0),""))),"")</f>
        <v>0</v>
      </c>
      <c r="BC185" s="39" t="n">
        <f aca="false">IFERROR(IF($C185="","",IF($D185="","",IFERROR(ROUND($D185*INDEX('🔖 배합비 참조'!$B$2:$CE$83,MATCH("식물성기름혼합제제(초록)",'🔖 배합비 참조'!$A$2:$A$83,0),MATCH($C185,'🔖 배합비 참조'!$B$1:$CE$1,0))/100,0),""))),"")</f>
        <v>0</v>
      </c>
      <c r="BD185" s="39" t="n">
        <f aca="false">IFERROR(IF($C185="","",IF($D185="","",IFERROR(ROUND($D185*INDEX('🔖 배합비 참조'!$B$2:$CE$83,MATCH("식물성기름혼합제제(황색)",'🔖 배합비 참조'!$A$2:$A$83,0),MATCH($C185,'🔖 배합비 참조'!$B$1:$CE$1,0))/100,0),""))),"")</f>
        <v>0</v>
      </c>
      <c r="BE185" s="39" t="n">
        <f aca="false">IFERROR(IF($C185="","",IF($D185="","",IFERROR(ROUND($D185*INDEX('🔖 배합비 참조'!$B$2:$CE$83,MATCH("쑥가루(국내산)",'🔖 배합비 참조'!$A$2:$A$83,0),MATCH($C185,'🔖 배합비 참조'!$B$1:$CE$1,0))/100,0),""))),"")</f>
        <v>0</v>
      </c>
      <c r="BF185" s="39" t="n">
        <f aca="false">IFERROR(IF($C185="","",IF($D185="","",IFERROR(ROUND($D185*INDEX('🔖 배합비 참조'!$B$2:$CE$83,MATCH("아몬드슬라이스",'🔖 배합비 참조'!$A$2:$A$83,0),MATCH($C185,'🔖 배합비 참조'!$B$1:$CE$1,0))/100,0),""))),"")</f>
        <v>0</v>
      </c>
      <c r="BG185" s="39" t="n">
        <f aca="false">IFERROR(IF($C185="","",IF($D185="","",IFERROR(ROUND($D185*INDEX('🔖 배합비 참조'!$B$2:$CE$83,MATCH("알룰로오스(국내산)",'🔖 배합비 참조'!$A$2:$A$83,0),MATCH($C185,'🔖 배합비 참조'!$B$1:$CE$1,0))/100,0),""))),"")</f>
        <v>0</v>
      </c>
      <c r="BH185" s="39" t="n">
        <f aca="false">IFERROR(IF($C185="","",IF($D185="","",IFERROR(ROUND($D185*INDEX('🔖 배합비 참조'!$B$2:$CE$83,MATCH("연유",'🔖 배합비 참조'!$A$2:$A$83,0),MATCH($C185,'🔖 배합비 참조'!$B$1:$CE$1,0))/100,0),""))),"")</f>
        <v>0</v>
      </c>
      <c r="BI185" s="39" t="n">
        <f aca="false">IFERROR(IF($C185="","",IF($D185="","",IFERROR(ROUND($D185*INDEX('🔖 배합비 참조'!$B$2:$CE$83,MATCH("옥수수전분",'🔖 배합비 참조'!$A$2:$A$83,0),MATCH($C185,'🔖 배합비 참조'!$B$1:$CE$1,0))/100,0),""))),"")</f>
        <v>0</v>
      </c>
      <c r="BJ185" s="39" t="n">
        <f aca="false">IFERROR(IF($C185="","",IF($D185="","",IFERROR(ROUND($D185*INDEX('🔖 배합비 참조'!$B$2:$CE$83,MATCH("완두배기",'🔖 배합비 참조'!$A$2:$A$83,0),MATCH($C185,'🔖 배합비 참조'!$B$1:$CE$1,0))/100,0),""))),"")</f>
        <v>0</v>
      </c>
      <c r="BK185" s="39" t="n">
        <f aca="false">IFERROR(IF($C185="","",IF($D185="","",IFERROR(ROUND($D185*INDEX('🔖 배합비 참조'!$B$2:$CE$83,MATCH("우유(국내산)",'🔖 배합비 참조'!$A$2:$A$83,0),MATCH($C185,'🔖 배합비 참조'!$B$1:$CE$1,0))/100,0),""))),"")</f>
        <v>0</v>
      </c>
      <c r="BL185" s="39" t="n">
        <f aca="false">IFERROR(IF($C185="","",IF($D185="","",IFERROR(ROUND($D185*INDEX('🔖 배합비 참조'!$B$2:$CE$83,MATCH("자색고구마가루(중국산)",'🔖 배합비 참조'!$A$2:$A$83,0),MATCH($C185,'🔖 배합비 참조'!$B$1:$CE$1,0))/100,0),""))),"")</f>
        <v>0</v>
      </c>
      <c r="BM185" s="39" t="n">
        <f aca="false">IFERROR(IF($C185="","",IF($D185="","",IFERROR(ROUND($D185*INDEX('🔖 배합비 참조'!$B$2:$CE$83,MATCH("자연치즈(체다치즈)",'🔖 배합비 참조'!$A$2:$A$83,0),MATCH($C185,'🔖 배합비 참조'!$B$1:$CE$1,0))/100,0),""))),"")</f>
        <v>0</v>
      </c>
      <c r="BN185" s="39" t="n">
        <f aca="false">IFERROR(IF($C185="","",IF($D185="","",IFERROR(ROUND($D185*INDEX('🔖 배합비 참조'!$B$2:$CE$83,MATCH("정제수",'🔖 배합비 참조'!$A$2:$A$83,0),MATCH($C185,'🔖 배합비 참조'!$B$1:$CE$1,0))/100,0),""))),"")</f>
        <v>20</v>
      </c>
      <c r="BO185" s="39" t="n">
        <f aca="false">IFERROR(IF($C185="","",IF($D185="","",IFERROR(ROUND($D185*INDEX('🔖 배합비 참조'!$B$2:$CE$83,MATCH("젤라틴",'🔖 배합비 참조'!$A$2:$A$83,0),MATCH($C185,'🔖 배합비 참조'!$B$1:$CE$1,0))/100,0),""))),"")</f>
        <v>0</v>
      </c>
      <c r="BP185" s="39" t="n">
        <f aca="false">IFERROR(IF($C185="","",IF($D185="","",IFERROR(ROUND($D185*INDEX('🔖 배합비 참조'!$B$2:$CE$83,MATCH("조림류(백옥앙금)",'🔖 배합비 참조'!$A$2:$A$83,0),MATCH($C185,'🔖 배합비 참조'!$B$1:$CE$1,0))/100,0),""))),"")</f>
        <v>0</v>
      </c>
      <c r="BQ185" s="39" t="n">
        <f aca="false">IFERROR(IF($C185="","",IF($D185="","",IFERROR(ROUND($D185*INDEX('🔖 배합비 참조'!$B$2:$CE$83,MATCH("조림류(통팥앙금)",'🔖 배합비 참조'!$A$2:$A$83,0),MATCH($C185,'🔖 배합비 참조'!$B$1:$CE$1,0))/100,0),""))),"")</f>
        <v>119</v>
      </c>
      <c r="BR185" s="39" t="n">
        <f aca="false">IFERROR(IF($C185="","",IF($D185="","",IFERROR(ROUND($D185*INDEX('🔖 배합비 참조'!$B$2:$CE$83,MATCH("준초콜릿(외국산)",'🔖 배합비 참조'!$A$2:$A$83,0),MATCH($C185,'🔖 배합비 참조'!$B$1:$CE$1,0))/100,0),""))),"")</f>
        <v>0</v>
      </c>
      <c r="BS185" s="39" t="n">
        <f aca="false">IFERROR(IF($C185="","",IF($D185="","",IFERROR(ROUND($D185*INDEX('🔖 배합비 참조'!$B$2:$CE$83,MATCH("중력분",'🔖 배합비 참조'!$A$2:$A$83,0),MATCH($C185,'🔖 배합비 참조'!$B$1:$CE$1,0))/100,0),""))),"")</f>
        <v>13</v>
      </c>
      <c r="BT185" s="39" t="n">
        <f aca="false">IFERROR(IF($C185="","",IF($D185="","",IFERROR(ROUND($D185*INDEX('🔖 배합비 참조'!$B$2:$CE$83,MATCH("참깨(인도산,나이지리아산,탄자니아산,미얀마산)",'🔖 배합비 참조'!$A$2:$A$83,0),MATCH($C185,'🔖 배합비 참조'!$B$1:$CE$1,0))/100,0),""))),"")</f>
        <v>0</v>
      </c>
      <c r="BU185" s="39" t="n">
        <f aca="false">IFERROR(IF($C185="","",IF($D185="","",IFERROR(ROUND($D185*INDEX('🔖 배합비 참조'!$B$2:$CE$83,MATCH("찹쌀(국내산)",'🔖 배합비 참조'!$A$2:$A$83,0),MATCH($C185,'🔖 배합비 참조'!$B$1:$CE$1,0))/100,0),""))),"")</f>
        <v>284</v>
      </c>
      <c r="BV185" s="39" t="n">
        <f aca="false">IFERROR(IF($C185="","",IF($D185="","",IFERROR(ROUND($D185*INDEX('🔖 배합비 참조'!$B$2:$CE$83,MATCH("천일염",'🔖 배합비 참조'!$A$2:$A$83,0),MATCH($C185,'🔖 배합비 참조'!$B$1:$CE$1,0))/100,0),""))),"")</f>
        <v>13</v>
      </c>
      <c r="BW185" s="39" t="n">
        <f aca="false">IFERROR(IF($C185="","",IF($D185="","",IFERROR(ROUND($D185*INDEX('🔖 배합비 참조'!$B$2:$CE$83,MATCH("치즈 [크림치즈]",'🔖 배합비 참조'!$A$2:$A$83,0),MATCH($C185,'🔖 배합비 참조'!$B$1:$CE$1,0))/100,0),""))),"")</f>
        <v>0</v>
      </c>
      <c r="BX185" s="39" t="n">
        <f aca="false">IFERROR(IF($C185="","",IF($D185="","",IFERROR(ROUND($D185*INDEX('🔖 배합비 참조'!$B$2:$CE$83,MATCH("코코아가공품류(코코아분말)",'🔖 배합비 참조'!$A$2:$A$83,0),MATCH($C185,'🔖 배합비 참조'!$B$1:$CE$1,0))/100,0),""))),"")</f>
        <v>0</v>
      </c>
      <c r="BY185" s="39" t="n">
        <f aca="false">IFERROR(IF($C185="","",IF($D185="","",IFERROR(ROUND($D185*INDEX('🔖 배합비 참조'!$B$2:$CE$83,MATCH("콩기름(대두유)",'🔖 배합비 참조'!$A$2:$A$83,0),MATCH($C185,'🔖 배합비 참조'!$B$1:$CE$1,0))/100,0),""))),"")</f>
        <v>0</v>
      </c>
      <c r="BZ185" s="39" t="n">
        <f aca="false">IFERROR(IF($C185="","",IF($D185="","",IFERROR(ROUND($D185*INDEX('🔖 배합비 참조'!$B$2:$CE$83,MATCH("해바라기씨앗",'🔖 배합비 참조'!$A$2:$A$83,0),MATCH($C185,'🔖 배합비 참조'!$B$1:$CE$1,0))/100,0),""))),"")</f>
        <v>0</v>
      </c>
      <c r="CA185" s="39" t="n">
        <f aca="false">IFERROR(IF($C185="","",IF($D185="","",IFERROR(ROUND($D185*INDEX('🔖 배합비 참조'!$B$2:$CE$83,MATCH("현미(국내산)",'🔖 배합비 참조'!$A$2:$A$83,0),MATCH($C185,'🔖 배합비 참조'!$B$1:$CE$1,0))/100,0),""))),"")</f>
        <v>0</v>
      </c>
      <c r="CB185" s="39" t="n">
        <f aca="false">IFERROR(IF($C185="","",IF($D185="","",IFERROR(ROUND($D185*INDEX('🔖 배합비 참조'!$B$2:$CE$83,MATCH("현미멥쌀(국내산)",'🔖 배합비 참조'!$A$2:$A$83,0),MATCH($C185,'🔖 배합비 참조'!$B$1:$CE$1,0))/100,0),""))),"")</f>
        <v>0</v>
      </c>
      <c r="CC185" s="39" t="n">
        <f aca="false">IFERROR(IF($C185="","",IF($D185="","",IFERROR(ROUND($D185*INDEX('🔖 배합비 참조'!$B$2:$CE$83,MATCH("호두분태(미국산)",'🔖 배합비 참조'!$A$2:$A$83,0),MATCH($C185,'🔖 배합비 참조'!$B$1:$CE$1,0))/100,0),""))),"")</f>
        <v>0</v>
      </c>
      <c r="CD185" s="39" t="n">
        <f aca="false">IFERROR(IF($C185="","",IF($D185="","",IFERROR(ROUND($D185*INDEX('🔖 배합비 참조'!$B$2:$CE$83,MATCH("호박씨앗(외국산)",'🔖 배합비 참조'!$A$2:$A$83,0),MATCH($C185,'🔖 배합비 참조'!$B$1:$CE$1,0))/100,0),""))),"")</f>
        <v>0</v>
      </c>
      <c r="CE185" s="39" t="n">
        <f aca="false">IFERROR(IF($C185="","",IF($D185="","",IFERROR(ROUND($D185*INDEX('🔖 배합비 참조'!$B$2:$CE$83,MATCH("혼합제제(떡용에스텔)",'🔖 배합비 참조'!$A$2:$A$83,0),MATCH($C185,'🔖 배합비 참조'!$B$1:$CE$1,0))/100,0),""))),"")</f>
        <v>13</v>
      </c>
      <c r="CF185" s="39" t="n">
        <f aca="false">IFERROR(IF($C185="","",IF($D185="","",IFERROR(ROUND($D185*INDEX('🔖 배합비 참조'!$B$2:$CE$83,MATCH("혼합제제(스테비아)",'🔖 배합비 참조'!$A$2:$A$83,0),MATCH($C185,'🔖 배합비 참조'!$B$1:$CE$1,0))/100,0),""))),"")</f>
        <v>0</v>
      </c>
      <c r="CG185" s="39" t="n">
        <f aca="false">IFERROR(IF($C185="","",IF($D185="","",IFERROR(ROUND($D185*INDEX('🔖 배합비 참조'!$B$2:$CE$83,MATCH("화이트초콜릿",'🔖 배합비 참조'!$A$2:$A$83,0),MATCH($C185,'🔖 배합비 참조'!$B$1:$CE$1,0))/100,0),""))),"")</f>
        <v>0</v>
      </c>
      <c r="CH185" s="39" t="n">
        <f aca="false">IFERROR(IF($C185="","",IF($D185="","",IFERROR(ROUND($D185*INDEX('🔖 배합비 참조'!$B$2:$CE$83,MATCH("흑미찹쌀(국내산)",'🔖 배합비 참조'!$A$2:$A$83,0),MATCH($C185,'🔖 배합비 참조'!$B$1:$CE$1,0))/100,0),""))),"")</f>
        <v>0</v>
      </c>
      <c r="CI185" s="39" t="n">
        <f aca="false">IFERROR(IF($C185="","",IF($D185="","",IFERROR(ROUND($D185*INDEX('🔖 배합비 참조'!$B$2:$CE$83,MATCH("찰옥수수전분(미국산)",'🔖 배합비 참조'!$A$2:$A$83,0),MATCH($C185,'🔖 배합비 참조'!$B$1:$CE$1,0))/100,0),""))),"")</f>
        <v>59</v>
      </c>
      <c r="CJ185" s="40"/>
      <c r="CL185" s="1" t="s">
        <v>245</v>
      </c>
    </row>
    <row r="186" customFormat="false" ht="18" hidden="false" customHeight="true" outlineLevel="0" collapsed="false">
      <c r="A186" s="41" t="n">
        <v>182</v>
      </c>
      <c r="B186" s="36" t="n">
        <v>46048</v>
      </c>
      <c r="C186" s="37" t="s">
        <v>204</v>
      </c>
      <c r="D186" s="38" t="n">
        <v>110</v>
      </c>
      <c r="E186" s="17"/>
      <c r="F186" s="17"/>
      <c r="G186" s="42" t="n">
        <f aca="false">IFERROR(IF($C186="","",IF($D186="","",IFERROR(ROUND($D186*INDEX('🔖 배합비 참조'!$B$2:$CE$83,MATCH("간장",'🔖 배합비 참조'!$A$2:$A$83,0),MATCH($C186,'🔖 배합비 참조'!$B$1:$CE$1,0))/100,0),""))),"")</f>
        <v>0</v>
      </c>
      <c r="H186" s="42" t="n">
        <f aca="false">IFERROR(IF($C186="","",IF($D186="","",IFERROR(ROUND($D186*INDEX('🔖 배합비 참조'!$B$2:$CE$83,MATCH("강낭콩((울타리콩))",'🔖 배합비 참조'!$A$2:$A$83,0),MATCH($C186,'🔖 배합비 참조'!$B$1:$CE$1,0))/100,0),""))),"")</f>
        <v>0</v>
      </c>
      <c r="I186" s="42" t="n">
        <f aca="false">IFERROR(IF($C186="","",IF($D186="","",IFERROR(ROUND($D186*INDEX('🔖 배합비 참조'!$B$2:$CE$83,MATCH("건조딸기다이스(외국산)",'🔖 배합비 참조'!$A$2:$A$83,0),MATCH($C186,'🔖 배합비 참조'!$B$1:$CE$1,0))/100,0),""))),"")</f>
        <v>0</v>
      </c>
      <c r="J186" s="42" t="n">
        <f aca="false">IFERROR(IF($C186="","",IF($D186="","",IFERROR(ROUND($D186*INDEX('🔖 배합비 참조'!$B$2:$CE$83,MATCH("건포도",'🔖 배합비 참조'!$A$2:$A$83,0),MATCH($C186,'🔖 배합비 참조'!$B$1:$CE$1,0))/100,0),""))),"")</f>
        <v>0</v>
      </c>
      <c r="K186" s="42" t="n">
        <f aca="false">IFERROR(IF($C186="","",IF($D186="","",IFERROR(ROUND($D186*INDEX('🔖 배합비 참조'!$B$2:$CE$83,MATCH("건호박채(중국산)",'🔖 배합비 참조'!$A$2:$A$83,0),MATCH($C186,'🔖 배합비 참조'!$B$1:$CE$1,0))/100,0),""))),"")</f>
        <v>0</v>
      </c>
      <c r="L186" s="42" t="n">
        <f aca="false">IFERROR(IF($C186="","",IF($D186="","",IFERROR(ROUND($D186*INDEX('🔖 배합비 참조'!$B$2:$CE$83,MATCH("검정깨(흑임자)",'🔖 배합비 참조'!$A$2:$A$83,0),MATCH($C186,'🔖 배합비 참조'!$B$1:$CE$1,0))/100,0),""))),"")</f>
        <v>0</v>
      </c>
      <c r="M186" s="42" t="n">
        <f aca="false">IFERROR(IF($C186="","",IF($D186="","",IFERROR(ROUND($D186*INDEX('🔖 배합비 참조'!$B$2:$CE$83,MATCH("검정콩",'🔖 배합비 참조'!$A$2:$A$83,0),MATCH($C186,'🔖 배합비 참조'!$B$1:$CE$1,0))/100,0),""))),"")</f>
        <v>0</v>
      </c>
      <c r="N186" s="42" t="n">
        <f aca="false">IFERROR(IF($C186="","",IF($D186="","",IFERROR(ROUND($D186*INDEX('🔖 배합비 참조'!$B$2:$CE$83,MATCH("계피가루",'🔖 배합비 참조'!$A$2:$A$83,0),MATCH($C186,'🔖 배합비 참조'!$B$1:$CE$1,0))/100,0),""))),"")</f>
        <v>0</v>
      </c>
      <c r="O186" s="42" t="n">
        <f aca="false">IFERROR(IF($C186="","",IF($D186="","",IFERROR(ROUND($D186*INDEX('🔖 배합비 참조'!$B$2:$CE$83,MATCH("고구마가루",'🔖 배합비 참조'!$A$2:$A$83,0),MATCH($C186,'🔖 배합비 참조'!$B$1:$CE$1,0))/100,0),""))),"")</f>
        <v>0</v>
      </c>
      <c r="P186" s="42" t="n">
        <f aca="false">IFERROR(IF($C186="","",IF($D186="","",IFERROR(ROUND($D186*INDEX('🔖 배합비 참조'!$B$2:$CE$83,MATCH("고구마무스",'🔖 배합비 참조'!$A$2:$A$83,0),MATCH($C186,'🔖 배합비 참조'!$B$1:$CE$1,0))/100,0),""))),"")</f>
        <v>0</v>
      </c>
      <c r="Q186" s="42" t="n">
        <f aca="false">IFERROR(IF($C186="","",IF($D186="","",IFERROR(ROUND($D186*INDEX('🔖 배합비 참조'!$B$2:$CE$83,MATCH("고려엉겅퀴((곤드레)국내산)",'🔖 배합비 참조'!$A$2:$A$83,0),MATCH($C186,'🔖 배합비 참조'!$B$1:$CE$1,0))/100,0),""))),"")</f>
        <v>0</v>
      </c>
      <c r="R186" s="42" t="n">
        <f aca="false">IFERROR(IF($C186="","",IF($D186="","",IFERROR(ROUND($D186*INDEX('🔖 배합비 참조'!$B$2:$CE$83,MATCH("기타가공품(복분자가루)",'🔖 배합비 참조'!$A$2:$A$83,0),MATCH($C186,'🔖 배합비 참조'!$B$1:$CE$1,0))/100,0),""))),"")</f>
        <v>0</v>
      </c>
      <c r="S186" s="42" t="n">
        <f aca="false">IFERROR(IF($C186="","",IF($D186="","",IFERROR(ROUND($D186*INDEX('🔖 배합비 참조'!$B$2:$CE$83,MATCH("기타가공품(슈퍼소프트엠)",'🔖 배합비 참조'!$A$2:$A$83,0),MATCH($C186,'🔖 배합비 참조'!$B$1:$CE$1,0))/100,0),""))),"")</f>
        <v>0</v>
      </c>
      <c r="T186" s="42" t="n">
        <f aca="false">IFERROR(IF($C186="","",IF($D186="","",IFERROR(ROUND($D186*INDEX('🔖 배합비 참조'!$B$2:$CE$83,MATCH("기타가공품(파인소프트 E-티)",'🔖 배합비 참조'!$A$2:$A$83,0),MATCH($C186,'🔖 배합비 참조'!$B$1:$CE$1,0))/100,0),""))),"")</f>
        <v>0</v>
      </c>
      <c r="U186" s="42" t="n">
        <f aca="false">IFERROR(IF($C186="","",IF($D186="","",IFERROR(ROUND($D186*INDEX('🔖 배합비 참조'!$B$2:$CE$83,MATCH("기타가공품(프리미엄카스테라가루)",'🔖 배합비 참조'!$A$2:$A$83,0),MATCH($C186,'🔖 배합비 참조'!$B$1:$CE$1,0))/100,0),""))),"")</f>
        <v>0</v>
      </c>
      <c r="V186" s="42" t="n">
        <f aca="false">IFERROR(IF($C186="","",IF($D186="","",IFERROR(ROUND($D186*INDEX('🔖 배합비 참조'!$B$2:$CE$83,MATCH("기타가공품(흑임자가루)",'🔖 배합비 참조'!$A$2:$A$83,0),MATCH($C186,'🔖 배합비 참조'!$B$1:$CE$1,0))/100,0),""))),"")</f>
        <v>0</v>
      </c>
      <c r="W186" s="42" t="n">
        <f aca="false">IFERROR(IF($C186="","",IF($D186="","",IFERROR(ROUND($D186*INDEX('🔖 배합비 참조'!$B$2:$CE$83,MATCH("기타설탕(흑설탕)",'🔖 배합비 참조'!$A$2:$A$83,0),MATCH($C186,'🔖 배합비 참조'!$B$1:$CE$1,0))/100,0),""))),"")</f>
        <v>0</v>
      </c>
      <c r="X186" s="42" t="n">
        <f aca="false">IFERROR(IF($C186="","",IF($D186="","",IFERROR(ROUND($D186*INDEX('🔖 배합비 참조'!$B$2:$CE$83,MATCH("냉동쑥(국내산)",'🔖 배합비 참조'!$A$2:$A$83,0),MATCH($C186,'🔖 배합비 참조'!$B$1:$CE$1,0))/100,0),""))),"")</f>
        <v>4</v>
      </c>
      <c r="Y186" s="42" t="n">
        <f aca="false">IFERROR(IF($C186="","",IF($D186="","",IFERROR(ROUND($D186*INDEX('🔖 배합비 참조'!$B$2:$CE$83,MATCH("냉동증숙고구마(중국산)",'🔖 배합비 참조'!$A$2:$A$83,0),MATCH($C186,'🔖 배합비 참조'!$B$1:$CE$1,0))/100,0),""))),"")</f>
        <v>0</v>
      </c>
      <c r="Z186" s="42" t="n">
        <f aca="false">IFERROR(IF($C186="","",IF($D186="","",IFERROR(ROUND($D186*INDEX('🔖 배합비 참조'!$B$2:$CE$83,MATCH("녹차가루",'🔖 배합비 참조'!$A$2:$A$83,0),MATCH($C186,'🔖 배합비 참조'!$B$1:$CE$1,0))/100,0),""))),"")</f>
        <v>0</v>
      </c>
      <c r="AA186" s="42" t="n">
        <f aca="false">IFERROR(IF($C186="","",IF($D186="","",IFERROR(ROUND($D186*INDEX('🔖 배합비 참조'!$B$2:$CE$83,MATCH("다크초콜릿 컴파운드칩",'🔖 배합비 참조'!$A$2:$A$83,0),MATCH($C186,'🔖 배합비 참조'!$B$1:$CE$1,0))/100,0),""))),"")</f>
        <v>0</v>
      </c>
      <c r="AB186" s="42" t="n">
        <f aca="false">IFERROR(IF($C186="","",IF($D186="","",IFERROR(ROUND($D186*INDEX('🔖 배합비 참조'!$B$2:$CE$83,MATCH("단호박분말(중국산)",'🔖 배합비 참조'!$A$2:$A$83,0),MATCH($C186,'🔖 배합비 참조'!$B$1:$CE$1,0))/100,0),""))),"")</f>
        <v>0</v>
      </c>
      <c r="AC186" s="42" t="n">
        <f aca="false">IFERROR(IF($C186="","",IF($D186="","",IFERROR(ROUND($D186*INDEX('🔖 배합비 참조'!$B$2:$CE$83,MATCH("당류가공품(단호박농축액)",'🔖 배합비 참조'!$A$2:$A$83,0),MATCH($C186,'🔖 배합비 참조'!$B$1:$CE$1,0))/100,0),""))),"")</f>
        <v>0</v>
      </c>
      <c r="AD186" s="42" t="n">
        <f aca="false">IFERROR(IF($C186="","",IF($D186="","",IFERROR(ROUND($D186*INDEX('🔖 배합비 참조'!$B$2:$CE$83,MATCH("당류가공품(알룰로스,에리스리톨,스테비올배당체혼합)",'🔖 배합비 참조'!$A$2:$A$83,0),MATCH($C186,'🔖 배합비 참조'!$B$1:$CE$1,0))/100,0),""))),"")</f>
        <v>0</v>
      </c>
      <c r="AE186" s="42" t="n">
        <f aca="false">IFERROR(IF($C186="","",IF($D186="","",IFERROR(ROUND($D186*INDEX('🔖 배합비 참조'!$B$2:$CE$83,MATCH("당류가공품(알룰로스제로파우더)",'🔖 배합비 참조'!$A$2:$A$83,0),MATCH($C186,'🔖 배합비 참조'!$B$1:$CE$1,0))/100,0),""))),"")</f>
        <v>0</v>
      </c>
      <c r="AF186" s="42" t="n">
        <f aca="false">IFERROR(IF($C186="","",IF($D186="","",IFERROR(ROUND($D186*INDEX('🔖 배합비 참조'!$B$2:$CE$83,MATCH("당절임(완두배기)",'🔖 배합비 참조'!$A$2:$A$83,0),MATCH($C186,'🔖 배합비 참조'!$B$1:$CE$1,0))/100,0),""))),"")</f>
        <v>0</v>
      </c>
      <c r="AG186" s="42" t="n">
        <f aca="false">IFERROR(IF($C186="","",IF($D186="","",IFERROR(ROUND($D186*INDEX('🔖 배합비 참조'!$B$2:$CE$83,MATCH("대추농축액",'🔖 배합비 참조'!$A$2:$A$83,0),MATCH($C186,'🔖 배합비 참조'!$B$1:$CE$1,0))/100,0),""))),"")</f>
        <v>0</v>
      </c>
      <c r="AH186" s="42" t="n">
        <f aca="false">IFERROR(IF($C186="","",IF($D186="","",IFERROR(ROUND($D186*INDEX('🔖 배합비 참조'!$B$2:$CE$83,MATCH("대추채(국내산)",'🔖 배합비 참조'!$A$2:$A$83,0),MATCH($C186,'🔖 배합비 참조'!$B$1:$CE$1,0))/100,0),""))),"")</f>
        <v>0</v>
      </c>
      <c r="AI186" s="42" t="n">
        <f aca="false">IFERROR(IF($C186="","",IF($D186="","",IFERROR(ROUND($D186*INDEX('🔖 배합비 참조'!$B$2:$CE$83,MATCH("동부(미얀마산)",'🔖 배합비 참조'!$A$2:$A$83,0),MATCH($C186,'🔖 배합비 참조'!$B$1:$CE$1,0))/100,0),""))),"")</f>
        <v>0</v>
      </c>
      <c r="AJ186" s="42" t="n">
        <f aca="false">IFERROR(IF($C186="","",IF($D186="","",IFERROR(ROUND($D186*INDEX('🔖 배합비 참조'!$B$2:$CE$83,MATCH("두류가공품(백옥앙금)",'🔖 배합비 참조'!$A$2:$A$83,0),MATCH($C186,'🔖 배합비 참조'!$B$1:$CE$1,0))/100,0),""))),"")</f>
        <v>0</v>
      </c>
      <c r="AK186" s="42" t="n">
        <f aca="false">IFERROR(IF($C186="","",IF($D186="","",IFERROR(ROUND($D186*INDEX('🔖 배합비 참조'!$B$2:$CE$83,MATCH("두류가공품(콩고물)",'🔖 배합비 참조'!$A$2:$A$83,0),MATCH($C186,'🔖 배합비 참조'!$B$1:$CE$1,0))/100,0),""))),"")</f>
        <v>3</v>
      </c>
      <c r="AL186" s="42" t="n">
        <f aca="false">IFERROR(IF($C186="","",IF($D186="","",IFERROR(ROUND($D186*INDEX('🔖 배합비 참조'!$B$2:$CE$83,MATCH("두류가공품(통팥고물)",'🔖 배합비 참조'!$A$2:$A$83,0),MATCH($C186,'🔖 배합비 참조'!$B$1:$CE$1,0))/100,0),""))),"")</f>
        <v>0</v>
      </c>
      <c r="AM186" s="42" t="n">
        <f aca="false">IFERROR(IF($C186="","",IF($D186="","",IFERROR(ROUND($D186*INDEX('🔖 배합비 참조'!$B$2:$CE$83,MATCH("딸기레진",'🔖 배합비 참조'!$A$2:$A$83,0),MATCH($C186,'🔖 배합비 참조'!$B$1:$CE$1,0))/100,0),""))),"")</f>
        <v>0</v>
      </c>
      <c r="AN186" s="42" t="n">
        <f aca="false">IFERROR(IF($C186="","",IF($D186="","",IFERROR(ROUND($D186*INDEX('🔖 배합비 참조'!$B$2:$CE$83,MATCH("딸기분말(스트로우베리에이드(분말))",'🔖 배합비 참조'!$A$2:$A$83,0),MATCH($C186,'🔖 배합비 참조'!$B$1:$CE$1,0))/100,0),""))),"")</f>
        <v>0</v>
      </c>
      <c r="AO186" s="42" t="n">
        <f aca="false">IFERROR(IF($C186="","",IF($D186="","",IFERROR(ROUND($D186*INDEX('🔖 배합비 참조'!$B$2:$CE$83,MATCH("마스카포네치즈",'🔖 배합비 참조'!$A$2:$A$83,0),MATCH($C186,'🔖 배합비 참조'!$B$1:$CE$1,0))/100,0),""))),"")</f>
        <v>0</v>
      </c>
      <c r="AP186" s="42" t="n">
        <f aca="false">IFERROR(IF($C186="","",IF($D186="","",IFERROR(ROUND($D186*INDEX('🔖 배합비 참조'!$B$2:$CE$83,MATCH("마카다미아분태(호주산)",'🔖 배합비 참조'!$A$2:$A$83,0),MATCH($C186,'🔖 배합비 참조'!$B$1:$CE$1,0))/100,0),""))),"")</f>
        <v>0</v>
      </c>
      <c r="AQ186" s="42" t="n">
        <f aca="false">IFERROR(IF($C186="","",IF($D186="","",IFERROR(ROUND($D186*INDEX('🔖 배합비 참조'!$B$2:$CE$83,MATCH("멥쌀(국내산)",'🔖 배합비 참조'!$A$2:$A$83,0),MATCH($C186,'🔖 배합비 참조'!$B$1:$CE$1,0))/100,0),""))),"")</f>
        <v>0</v>
      </c>
      <c r="AR186" s="42" t="n">
        <f aca="false">IFERROR(IF($C186="","",IF($D186="","",IFERROR(ROUND($D186*INDEX('🔖 배합비 참조'!$B$2:$CE$83,MATCH("모시잎(국내산)",'🔖 배합비 참조'!$A$2:$A$83,0),MATCH($C186,'🔖 배합비 참조'!$B$1:$CE$1,0))/100,0),""))),"")</f>
        <v>0</v>
      </c>
      <c r="AS186" s="42" t="n">
        <f aca="false">IFERROR(IF($C186="","",IF($D186="","",IFERROR(ROUND($D186*INDEX('🔖 배합비 참조'!$B$2:$CE$83,MATCH("물엿(저당물엿)",'🔖 배합비 참조'!$A$2:$A$83,0),MATCH($C186,'🔖 배합비 참조'!$B$1:$CE$1,0))/100,0),""))),"")</f>
        <v>2</v>
      </c>
      <c r="AT186" s="42" t="n">
        <f aca="false">IFERROR(IF($C186="","",IF($D186="","",IFERROR(ROUND($D186*INDEX('🔖 배합비 참조'!$B$2:$CE$83,MATCH("밤다이스",'🔖 배합비 참조'!$A$2:$A$83,0),MATCH($C186,'🔖 배합비 참조'!$B$1:$CE$1,0))/100,0),""))),"")</f>
        <v>0</v>
      </c>
      <c r="AU186" s="42" t="n">
        <f aca="false">IFERROR(IF($C186="","",IF($D186="","",IFERROR(ROUND($D186*INDEX('🔖 배합비 참조'!$B$2:$CE$83,MATCH("변성전분(타피오카전분)",'🔖 배합비 참조'!$A$2:$A$83,0),MATCH($C186,'🔖 배합비 참조'!$B$1:$CE$1,0))/100,0),""))),"")</f>
        <v>0</v>
      </c>
      <c r="AV186" s="42" t="n">
        <f aca="false">IFERROR(IF($C186="","",IF($D186="","",IFERROR(ROUND($D186*INDEX('🔖 배합비 참조'!$B$2:$CE$83,MATCH("복음땅콩분태",'🔖 배합비 참조'!$A$2:$A$83,0),MATCH($C186,'🔖 배합비 참조'!$B$1:$CE$1,0))/100,0),""))),"")</f>
        <v>0</v>
      </c>
      <c r="AW186" s="42" t="n">
        <f aca="false">IFERROR(IF($C186="","",IF($D186="","",IFERROR(ROUND($D186*INDEX('🔖 배합비 참조'!$B$2:$CE$83,MATCH("사양벌꿀(국내산)",'🔖 배합비 참조'!$A$2:$A$83,0),MATCH($C186,'🔖 배합비 참조'!$B$1:$CE$1,0))/100,0),""))),"")</f>
        <v>0</v>
      </c>
      <c r="AX186" s="42" t="n">
        <f aca="false">IFERROR(IF($C186="","",IF($D186="","",IFERROR(ROUND($D186*INDEX('🔖 배합비 참조'!$B$2:$CE$83,MATCH("생크림",'🔖 배합비 참조'!$A$2:$A$83,0),MATCH($C186,'🔖 배합비 참조'!$B$1:$CE$1,0))/100,0),""))),"")</f>
        <v>0</v>
      </c>
      <c r="AY186" s="42" t="n">
        <f aca="false">IFERROR(IF($C186="","",IF($D186="","",IFERROR(ROUND($D186*INDEX('🔖 배합비 참조'!$B$2:$CE$83,MATCH("서양호박(국내산,뉴질랜드산)",'🔖 배합비 참조'!$A$2:$A$83,0),MATCH($C186,'🔖 배합비 참조'!$B$1:$CE$1,0))/100,0),""))),"")</f>
        <v>0</v>
      </c>
      <c r="AZ186" s="42" t="n">
        <f aca="false">IFERROR(IF($C186="","",IF($D186="","",IFERROR(ROUND($D186*INDEX('🔖 배합비 참조'!$B$2:$CE$83,MATCH("설탕",'🔖 배합비 참조'!$A$2:$A$83,0),MATCH($C186,'🔖 배합비 참조'!$B$1:$CE$1,0))/100,0),""))),"")</f>
        <v>2</v>
      </c>
      <c r="BA186" s="42" t="n">
        <f aca="false">IFERROR(IF($C186="","",IF($D186="","",IFERROR(ROUND($D186*INDEX('🔖 배합비 참조'!$B$2:$CE$83,MATCH("스트로우베리 에이드 후레쉬",'🔖 배합비 참조'!$A$2:$A$83,0),MATCH($C186,'🔖 배합비 참조'!$B$1:$CE$1,0))/100,0),""))),"")</f>
        <v>0</v>
      </c>
      <c r="BB186" s="42" t="n">
        <f aca="false">IFERROR(IF($C186="","",IF($D186="","",IFERROR(ROUND($D186*INDEX('🔖 배합비 참조'!$B$2:$CE$83,MATCH("식물성기름혼합제제(분홍)",'🔖 배합비 참조'!$A$2:$A$83,0),MATCH($C186,'🔖 배합비 참조'!$B$1:$CE$1,0))/100,0),""))),"")</f>
        <v>0</v>
      </c>
      <c r="BC186" s="42" t="n">
        <f aca="false">IFERROR(IF($C186="","",IF($D186="","",IFERROR(ROUND($D186*INDEX('🔖 배합비 참조'!$B$2:$CE$83,MATCH("식물성기름혼합제제(초록)",'🔖 배합비 참조'!$A$2:$A$83,0),MATCH($C186,'🔖 배합비 참조'!$B$1:$CE$1,0))/100,0),""))),"")</f>
        <v>0</v>
      </c>
      <c r="BD186" s="42" t="n">
        <f aca="false">IFERROR(IF($C186="","",IF($D186="","",IFERROR(ROUND($D186*INDEX('🔖 배합비 참조'!$B$2:$CE$83,MATCH("식물성기름혼합제제(황색)",'🔖 배합비 참조'!$A$2:$A$83,0),MATCH($C186,'🔖 배합비 참조'!$B$1:$CE$1,0))/100,0),""))),"")</f>
        <v>0</v>
      </c>
      <c r="BE186" s="42" t="n">
        <f aca="false">IFERROR(IF($C186="","",IF($D186="","",IFERROR(ROUND($D186*INDEX('🔖 배합비 참조'!$B$2:$CE$83,MATCH("쑥가루(국내산)",'🔖 배합비 참조'!$A$2:$A$83,0),MATCH($C186,'🔖 배합비 참조'!$B$1:$CE$1,0))/100,0),""))),"")</f>
        <v>1</v>
      </c>
      <c r="BF186" s="42" t="n">
        <f aca="false">IFERROR(IF($C186="","",IF($D186="","",IFERROR(ROUND($D186*INDEX('🔖 배합비 참조'!$B$2:$CE$83,MATCH("아몬드슬라이스",'🔖 배합비 참조'!$A$2:$A$83,0),MATCH($C186,'🔖 배합비 참조'!$B$1:$CE$1,0))/100,0),""))),"")</f>
        <v>0</v>
      </c>
      <c r="BG186" s="42" t="n">
        <f aca="false">IFERROR(IF($C186="","",IF($D186="","",IFERROR(ROUND($D186*INDEX('🔖 배합비 참조'!$B$2:$CE$83,MATCH("알룰로오스(국내산)",'🔖 배합비 참조'!$A$2:$A$83,0),MATCH($C186,'🔖 배합비 참조'!$B$1:$CE$1,0))/100,0),""))),"")</f>
        <v>0</v>
      </c>
      <c r="BH186" s="42" t="n">
        <f aca="false">IFERROR(IF($C186="","",IF($D186="","",IFERROR(ROUND($D186*INDEX('🔖 배합비 참조'!$B$2:$CE$83,MATCH("연유",'🔖 배합비 참조'!$A$2:$A$83,0),MATCH($C186,'🔖 배합비 참조'!$B$1:$CE$1,0))/100,0),""))),"")</f>
        <v>0</v>
      </c>
      <c r="BI186" s="42" t="n">
        <f aca="false">IFERROR(IF($C186="","",IF($D186="","",IFERROR(ROUND($D186*INDEX('🔖 배합비 참조'!$B$2:$CE$83,MATCH("옥수수전분",'🔖 배합비 참조'!$A$2:$A$83,0),MATCH($C186,'🔖 배합비 참조'!$B$1:$CE$1,0))/100,0),""))),"")</f>
        <v>0</v>
      </c>
      <c r="BJ186" s="42" t="n">
        <f aca="false">IFERROR(IF($C186="","",IF($D186="","",IFERROR(ROUND($D186*INDEX('🔖 배합비 참조'!$B$2:$CE$83,MATCH("완두배기",'🔖 배합비 참조'!$A$2:$A$83,0),MATCH($C186,'🔖 배합비 참조'!$B$1:$CE$1,0))/100,0),""))),"")</f>
        <v>0</v>
      </c>
      <c r="BK186" s="42" t="n">
        <f aca="false">IFERROR(IF($C186="","",IF($D186="","",IFERROR(ROUND($D186*INDEX('🔖 배합비 참조'!$B$2:$CE$83,MATCH("우유(국내산)",'🔖 배합비 참조'!$A$2:$A$83,0),MATCH($C186,'🔖 배합비 참조'!$B$1:$CE$1,0))/100,0),""))),"")</f>
        <v>0</v>
      </c>
      <c r="BL186" s="42" t="n">
        <f aca="false">IFERROR(IF($C186="","",IF($D186="","",IFERROR(ROUND($D186*INDEX('🔖 배합비 참조'!$B$2:$CE$83,MATCH("자색고구마가루(중국산)",'🔖 배합비 참조'!$A$2:$A$83,0),MATCH($C186,'🔖 배합비 참조'!$B$1:$CE$1,0))/100,0),""))),"")</f>
        <v>0</v>
      </c>
      <c r="BM186" s="42" t="n">
        <f aca="false">IFERROR(IF($C186="","",IF($D186="","",IFERROR(ROUND($D186*INDEX('🔖 배합비 참조'!$B$2:$CE$83,MATCH("자연치즈(체다치즈)",'🔖 배합비 참조'!$A$2:$A$83,0),MATCH($C186,'🔖 배합비 참조'!$B$1:$CE$1,0))/100,0),""))),"")</f>
        <v>0</v>
      </c>
      <c r="BN186" s="42" t="n">
        <f aca="false">IFERROR(IF($C186="","",IF($D186="","",IFERROR(ROUND($D186*INDEX('🔖 배합비 참조'!$B$2:$CE$83,MATCH("정제수",'🔖 배합비 참조'!$A$2:$A$83,0),MATCH($C186,'🔖 배합비 참조'!$B$1:$CE$1,0))/100,0),""))),"")</f>
        <v>0</v>
      </c>
      <c r="BO186" s="42" t="n">
        <f aca="false">IFERROR(IF($C186="","",IF($D186="","",IFERROR(ROUND($D186*INDEX('🔖 배합비 참조'!$B$2:$CE$83,MATCH("젤라틴",'🔖 배합비 참조'!$A$2:$A$83,0),MATCH($C186,'🔖 배합비 참조'!$B$1:$CE$1,0))/100,0),""))),"")</f>
        <v>0</v>
      </c>
      <c r="BP186" s="42" t="n">
        <f aca="false">IFERROR(IF($C186="","",IF($D186="","",IFERROR(ROUND($D186*INDEX('🔖 배합비 참조'!$B$2:$CE$83,MATCH("조림류(백옥앙금)",'🔖 배합비 참조'!$A$2:$A$83,0),MATCH($C186,'🔖 배합비 참조'!$B$1:$CE$1,0))/100,0),""))),"")</f>
        <v>0</v>
      </c>
      <c r="BQ186" s="42" t="n">
        <f aca="false">IFERROR(IF($C186="","",IF($D186="","",IFERROR(ROUND($D186*INDEX('🔖 배합비 참조'!$B$2:$CE$83,MATCH("조림류(통팥앙금)",'🔖 배합비 참조'!$A$2:$A$83,0),MATCH($C186,'🔖 배합비 참조'!$B$1:$CE$1,0))/100,0),""))),"")</f>
        <v>46</v>
      </c>
      <c r="BR186" s="42" t="n">
        <f aca="false">IFERROR(IF($C186="","",IF($D186="","",IFERROR(ROUND($D186*INDEX('🔖 배합비 참조'!$B$2:$CE$83,MATCH("준초콜릿(외국산)",'🔖 배합비 참조'!$A$2:$A$83,0),MATCH($C186,'🔖 배합비 참조'!$B$1:$CE$1,0))/100,0),""))),"")</f>
        <v>0</v>
      </c>
      <c r="BS186" s="42" t="n">
        <f aca="false">IFERROR(IF($C186="","",IF($D186="","",IFERROR(ROUND($D186*INDEX('🔖 배합비 참조'!$B$2:$CE$83,MATCH("중력분",'🔖 배합비 참조'!$A$2:$A$83,0),MATCH($C186,'🔖 배합비 참조'!$B$1:$CE$1,0))/100,0),""))),"")</f>
        <v>1</v>
      </c>
      <c r="BT186" s="42" t="n">
        <f aca="false">IFERROR(IF($C186="","",IF($D186="","",IFERROR(ROUND($D186*INDEX('🔖 배합비 참조'!$B$2:$CE$83,MATCH("참깨(인도산,나이지리아산,탄자니아산,미얀마산)",'🔖 배합비 참조'!$A$2:$A$83,0),MATCH($C186,'🔖 배합비 참조'!$B$1:$CE$1,0))/100,0),""))),"")</f>
        <v>0</v>
      </c>
      <c r="BU186" s="42" t="n">
        <f aca="false">IFERROR(IF($C186="","",IF($D186="","",IFERROR(ROUND($D186*INDEX('🔖 배합비 참조'!$B$2:$CE$83,MATCH("찹쌀(국내산)",'🔖 배합비 참조'!$A$2:$A$83,0),MATCH($C186,'🔖 배합비 참조'!$B$1:$CE$1,0))/100,0),""))),"")</f>
        <v>49</v>
      </c>
      <c r="BV186" s="42" t="n">
        <f aca="false">IFERROR(IF($C186="","",IF($D186="","",IFERROR(ROUND($D186*INDEX('🔖 배합비 참조'!$B$2:$CE$83,MATCH("천일염",'🔖 배합비 참조'!$A$2:$A$83,0),MATCH($C186,'🔖 배합비 참조'!$B$1:$CE$1,0))/100,0),""))),"")</f>
        <v>1</v>
      </c>
      <c r="BW186" s="42" t="n">
        <f aca="false">IFERROR(IF($C186="","",IF($D186="","",IFERROR(ROUND($D186*INDEX('🔖 배합비 참조'!$B$2:$CE$83,MATCH("치즈 [크림치즈]",'🔖 배합비 참조'!$A$2:$A$83,0),MATCH($C186,'🔖 배합비 참조'!$B$1:$CE$1,0))/100,0),""))),"")</f>
        <v>0</v>
      </c>
      <c r="BX186" s="42" t="n">
        <f aca="false">IFERROR(IF($C186="","",IF($D186="","",IFERROR(ROUND($D186*INDEX('🔖 배합비 참조'!$B$2:$CE$83,MATCH("코코아가공품류(코코아분말)",'🔖 배합비 참조'!$A$2:$A$83,0),MATCH($C186,'🔖 배합비 참조'!$B$1:$CE$1,0))/100,0),""))),"")</f>
        <v>0</v>
      </c>
      <c r="BY186" s="42" t="n">
        <f aca="false">IFERROR(IF($C186="","",IF($D186="","",IFERROR(ROUND($D186*INDEX('🔖 배합비 참조'!$B$2:$CE$83,MATCH("콩기름(대두유)",'🔖 배합비 참조'!$A$2:$A$83,0),MATCH($C186,'🔖 배합비 참조'!$B$1:$CE$1,0))/100,0),""))),"")</f>
        <v>0</v>
      </c>
      <c r="BZ186" s="42" t="n">
        <f aca="false">IFERROR(IF($C186="","",IF($D186="","",IFERROR(ROUND($D186*INDEX('🔖 배합비 참조'!$B$2:$CE$83,MATCH("해바라기씨앗",'🔖 배합비 참조'!$A$2:$A$83,0),MATCH($C186,'🔖 배합비 참조'!$B$1:$CE$1,0))/100,0),""))),"")</f>
        <v>0</v>
      </c>
      <c r="CA186" s="42" t="n">
        <f aca="false">IFERROR(IF($C186="","",IF($D186="","",IFERROR(ROUND($D186*INDEX('🔖 배합비 참조'!$B$2:$CE$83,MATCH("현미(국내산)",'🔖 배합비 참조'!$A$2:$A$83,0),MATCH($C186,'🔖 배합비 참조'!$B$1:$CE$1,0))/100,0),""))),"")</f>
        <v>0</v>
      </c>
      <c r="CB186" s="42" t="n">
        <f aca="false">IFERROR(IF($C186="","",IF($D186="","",IFERROR(ROUND($D186*INDEX('🔖 배합비 참조'!$B$2:$CE$83,MATCH("현미멥쌀(국내산)",'🔖 배합비 참조'!$A$2:$A$83,0),MATCH($C186,'🔖 배합비 참조'!$B$1:$CE$1,0))/100,0),""))),"")</f>
        <v>0</v>
      </c>
      <c r="CC186" s="42" t="n">
        <f aca="false">IFERROR(IF($C186="","",IF($D186="","",IFERROR(ROUND($D186*INDEX('🔖 배합비 참조'!$B$2:$CE$83,MATCH("호두분태(미국산)",'🔖 배합비 참조'!$A$2:$A$83,0),MATCH($C186,'🔖 배합비 참조'!$B$1:$CE$1,0))/100,0),""))),"")</f>
        <v>0</v>
      </c>
      <c r="CD186" s="42" t="n">
        <f aca="false">IFERROR(IF($C186="","",IF($D186="","",IFERROR(ROUND($D186*INDEX('🔖 배합비 참조'!$B$2:$CE$83,MATCH("호박씨앗(외국산)",'🔖 배합비 참조'!$A$2:$A$83,0),MATCH($C186,'🔖 배합비 참조'!$B$1:$CE$1,0))/100,0),""))),"")</f>
        <v>0</v>
      </c>
      <c r="CE186" s="42" t="n">
        <f aca="false">IFERROR(IF($C186="","",IF($D186="","",IFERROR(ROUND($D186*INDEX('🔖 배합비 참조'!$B$2:$CE$83,MATCH("혼합제제(떡용에스텔)",'🔖 배합비 참조'!$A$2:$A$83,0),MATCH($C186,'🔖 배합비 참조'!$B$1:$CE$1,0))/100,0),""))),"")</f>
        <v>0</v>
      </c>
      <c r="CF186" s="42" t="n">
        <f aca="false">IFERROR(IF($C186="","",IF($D186="","",IFERROR(ROUND($D186*INDEX('🔖 배합비 참조'!$B$2:$CE$83,MATCH("혼합제제(스테비아)",'🔖 배합비 참조'!$A$2:$A$83,0),MATCH($C186,'🔖 배합비 참조'!$B$1:$CE$1,0))/100,0),""))),"")</f>
        <v>0</v>
      </c>
      <c r="CG186" s="42" t="n">
        <f aca="false">IFERROR(IF($C186="","",IF($D186="","",IFERROR(ROUND($D186*INDEX('🔖 배합비 참조'!$B$2:$CE$83,MATCH("화이트초콜릿",'🔖 배합비 참조'!$A$2:$A$83,0),MATCH($C186,'🔖 배합비 참조'!$B$1:$CE$1,0))/100,0),""))),"")</f>
        <v>0</v>
      </c>
      <c r="CH186" s="42" t="n">
        <f aca="false">IFERROR(IF($C186="","",IF($D186="","",IFERROR(ROUND($D186*INDEX('🔖 배합비 참조'!$B$2:$CE$83,MATCH("흑미찹쌀(국내산)",'🔖 배합비 참조'!$A$2:$A$83,0),MATCH($C186,'🔖 배합비 참조'!$B$1:$CE$1,0))/100,0),""))),"")</f>
        <v>0</v>
      </c>
      <c r="CI186" s="42" t="n">
        <f aca="false">IFERROR(IF($C186="","",IF($D186="","",IFERROR(ROUND($D186*INDEX('🔖 배합비 참조'!$B$2:$CE$83,MATCH("찰옥수수전분(미국산)",'🔖 배합비 참조'!$A$2:$A$83,0),MATCH($C186,'🔖 배합비 참조'!$B$1:$CE$1,0))/100,0),""))),"")</f>
        <v>0</v>
      </c>
      <c r="CJ186" s="40"/>
      <c r="CL186" s="1" t="s">
        <v>245</v>
      </c>
    </row>
    <row r="187" customFormat="false" ht="18" hidden="false" customHeight="true" outlineLevel="0" collapsed="false">
      <c r="A187" s="35" t="n">
        <v>183</v>
      </c>
      <c r="B187" s="36" t="n">
        <v>46048</v>
      </c>
      <c r="C187" s="37" t="s">
        <v>236</v>
      </c>
      <c r="D187" s="38" t="n">
        <v>110</v>
      </c>
      <c r="E187" s="13"/>
      <c r="F187" s="13"/>
      <c r="G187" s="39" t="n">
        <f aca="false">IFERROR(IF($C187="","",IF($D187="","",IFERROR(ROUND($D187*INDEX('🔖 배합비 참조'!$B$2:$CE$83,MATCH("간장",'🔖 배합비 참조'!$A$2:$A$83,0),MATCH($C187,'🔖 배합비 참조'!$B$1:$CE$1,0))/100,0),""))),"")</f>
        <v>0</v>
      </c>
      <c r="H187" s="39" t="n">
        <f aca="false">IFERROR(IF($C187="","",IF($D187="","",IFERROR(ROUND($D187*INDEX('🔖 배합비 참조'!$B$2:$CE$83,MATCH("강낭콩((울타리콩))",'🔖 배합비 참조'!$A$2:$A$83,0),MATCH($C187,'🔖 배합비 참조'!$B$1:$CE$1,0))/100,0),""))),"")</f>
        <v>0</v>
      </c>
      <c r="I187" s="39" t="n">
        <f aca="false">IFERROR(IF($C187="","",IF($D187="","",IFERROR(ROUND($D187*INDEX('🔖 배합비 참조'!$B$2:$CE$83,MATCH("건조딸기다이스(외국산)",'🔖 배합비 참조'!$A$2:$A$83,0),MATCH($C187,'🔖 배합비 참조'!$B$1:$CE$1,0))/100,0),""))),"")</f>
        <v>0</v>
      </c>
      <c r="J187" s="39" t="n">
        <f aca="false">IFERROR(IF($C187="","",IF($D187="","",IFERROR(ROUND($D187*INDEX('🔖 배합비 참조'!$B$2:$CE$83,MATCH("건포도",'🔖 배합비 참조'!$A$2:$A$83,0),MATCH($C187,'🔖 배합비 참조'!$B$1:$CE$1,0))/100,0),""))),"")</f>
        <v>0</v>
      </c>
      <c r="K187" s="39" t="n">
        <f aca="false">IFERROR(IF($C187="","",IF($D187="","",IFERROR(ROUND($D187*INDEX('🔖 배합비 참조'!$B$2:$CE$83,MATCH("건호박채(중국산)",'🔖 배합비 참조'!$A$2:$A$83,0),MATCH($C187,'🔖 배합비 참조'!$B$1:$CE$1,0))/100,0),""))),"")</f>
        <v>0</v>
      </c>
      <c r="L187" s="39" t="n">
        <f aca="false">IFERROR(IF($C187="","",IF($D187="","",IFERROR(ROUND($D187*INDEX('🔖 배합비 참조'!$B$2:$CE$83,MATCH("검정깨(흑임자)",'🔖 배합비 참조'!$A$2:$A$83,0),MATCH($C187,'🔖 배합비 참조'!$B$1:$CE$1,0))/100,0),""))),"")</f>
        <v>0</v>
      </c>
      <c r="M187" s="39" t="n">
        <f aca="false">IFERROR(IF($C187="","",IF($D187="","",IFERROR(ROUND($D187*INDEX('🔖 배합비 참조'!$B$2:$CE$83,MATCH("검정콩",'🔖 배합비 참조'!$A$2:$A$83,0),MATCH($C187,'🔖 배합비 참조'!$B$1:$CE$1,0))/100,0),""))),"")</f>
        <v>0</v>
      </c>
      <c r="N187" s="39" t="n">
        <f aca="false">IFERROR(IF($C187="","",IF($D187="","",IFERROR(ROUND($D187*INDEX('🔖 배합비 참조'!$B$2:$CE$83,MATCH("계피가루",'🔖 배합비 참조'!$A$2:$A$83,0),MATCH($C187,'🔖 배합비 참조'!$B$1:$CE$1,0))/100,0),""))),"")</f>
        <v>0</v>
      </c>
      <c r="O187" s="39" t="n">
        <f aca="false">IFERROR(IF($C187="","",IF($D187="","",IFERROR(ROUND($D187*INDEX('🔖 배합비 참조'!$B$2:$CE$83,MATCH("고구마가루",'🔖 배합비 참조'!$A$2:$A$83,0),MATCH($C187,'🔖 배합비 참조'!$B$1:$CE$1,0))/100,0),""))),"")</f>
        <v>0</v>
      </c>
      <c r="P187" s="39" t="n">
        <f aca="false">IFERROR(IF($C187="","",IF($D187="","",IFERROR(ROUND($D187*INDEX('🔖 배합비 참조'!$B$2:$CE$83,MATCH("고구마무스",'🔖 배합비 참조'!$A$2:$A$83,0),MATCH($C187,'🔖 배합비 참조'!$B$1:$CE$1,0))/100,0),""))),"")</f>
        <v>0</v>
      </c>
      <c r="Q187" s="39" t="n">
        <f aca="false">IFERROR(IF($C187="","",IF($D187="","",IFERROR(ROUND($D187*INDEX('🔖 배합비 참조'!$B$2:$CE$83,MATCH("고려엉겅퀴((곤드레)국내산)",'🔖 배합비 참조'!$A$2:$A$83,0),MATCH($C187,'🔖 배합비 참조'!$B$1:$CE$1,0))/100,0),""))),"")</f>
        <v>0</v>
      </c>
      <c r="R187" s="39" t="n">
        <f aca="false">IFERROR(IF($C187="","",IF($D187="","",IFERROR(ROUND($D187*INDEX('🔖 배합비 참조'!$B$2:$CE$83,MATCH("기타가공품(복분자가루)",'🔖 배합비 참조'!$A$2:$A$83,0),MATCH($C187,'🔖 배합비 참조'!$B$1:$CE$1,0))/100,0),""))),"")</f>
        <v>0</v>
      </c>
      <c r="S187" s="39" t="n">
        <f aca="false">IFERROR(IF($C187="","",IF($D187="","",IFERROR(ROUND($D187*INDEX('🔖 배합비 참조'!$B$2:$CE$83,MATCH("기타가공품(슈퍼소프트엠)",'🔖 배합비 참조'!$A$2:$A$83,0),MATCH($C187,'🔖 배합비 참조'!$B$1:$CE$1,0))/100,0),""))),"")</f>
        <v>0</v>
      </c>
      <c r="T187" s="39" t="n">
        <f aca="false">IFERROR(IF($C187="","",IF($D187="","",IFERROR(ROUND($D187*INDEX('🔖 배합비 참조'!$B$2:$CE$83,MATCH("기타가공품(파인소프트 E-티)",'🔖 배합비 참조'!$A$2:$A$83,0),MATCH($C187,'🔖 배합비 참조'!$B$1:$CE$1,0))/100,0),""))),"")</f>
        <v>0</v>
      </c>
      <c r="U187" s="39" t="n">
        <f aca="false">IFERROR(IF($C187="","",IF($D187="","",IFERROR(ROUND($D187*INDEX('🔖 배합비 참조'!$B$2:$CE$83,MATCH("기타가공품(프리미엄카스테라가루)",'🔖 배합비 참조'!$A$2:$A$83,0),MATCH($C187,'🔖 배합비 참조'!$B$1:$CE$1,0))/100,0),""))),"")</f>
        <v>0</v>
      </c>
      <c r="V187" s="39" t="n">
        <f aca="false">IFERROR(IF($C187="","",IF($D187="","",IFERROR(ROUND($D187*INDEX('🔖 배합비 참조'!$B$2:$CE$83,MATCH("기타가공품(흑임자가루)",'🔖 배합비 참조'!$A$2:$A$83,0),MATCH($C187,'🔖 배합비 참조'!$B$1:$CE$1,0))/100,0),""))),"")</f>
        <v>0</v>
      </c>
      <c r="W187" s="39" t="n">
        <f aca="false">IFERROR(IF($C187="","",IF($D187="","",IFERROR(ROUND($D187*INDEX('🔖 배합비 참조'!$B$2:$CE$83,MATCH("기타설탕(흑설탕)",'🔖 배합비 참조'!$A$2:$A$83,0),MATCH($C187,'🔖 배합비 참조'!$B$1:$CE$1,0))/100,0),""))),"")</f>
        <v>0</v>
      </c>
      <c r="X187" s="39" t="n">
        <f aca="false">IFERROR(IF($C187="","",IF($D187="","",IFERROR(ROUND($D187*INDEX('🔖 배합비 참조'!$B$2:$CE$83,MATCH("냉동쑥(국내산)",'🔖 배합비 참조'!$A$2:$A$83,0),MATCH($C187,'🔖 배합비 참조'!$B$1:$CE$1,0))/100,0),""))),"")</f>
        <v>2</v>
      </c>
      <c r="Y187" s="39" t="n">
        <f aca="false">IFERROR(IF($C187="","",IF($D187="","",IFERROR(ROUND($D187*INDEX('🔖 배합비 참조'!$B$2:$CE$83,MATCH("냉동증숙고구마(중국산)",'🔖 배합비 참조'!$A$2:$A$83,0),MATCH($C187,'🔖 배합비 참조'!$B$1:$CE$1,0))/100,0),""))),"")</f>
        <v>0</v>
      </c>
      <c r="Z187" s="39" t="n">
        <f aca="false">IFERROR(IF($C187="","",IF($D187="","",IFERROR(ROUND($D187*INDEX('🔖 배합비 참조'!$B$2:$CE$83,MATCH("녹차가루",'🔖 배합비 참조'!$A$2:$A$83,0),MATCH($C187,'🔖 배합비 참조'!$B$1:$CE$1,0))/100,0),""))),"")</f>
        <v>0</v>
      </c>
      <c r="AA187" s="39" t="n">
        <f aca="false">IFERROR(IF($C187="","",IF($D187="","",IFERROR(ROUND($D187*INDEX('🔖 배합비 참조'!$B$2:$CE$83,MATCH("다크초콜릿 컴파운드칩",'🔖 배합비 참조'!$A$2:$A$83,0),MATCH($C187,'🔖 배합비 참조'!$B$1:$CE$1,0))/100,0),""))),"")</f>
        <v>0</v>
      </c>
      <c r="AB187" s="39" t="n">
        <f aca="false">IFERROR(IF($C187="","",IF($D187="","",IFERROR(ROUND($D187*INDEX('🔖 배합비 참조'!$B$2:$CE$83,MATCH("단호박분말(중국산)",'🔖 배합비 참조'!$A$2:$A$83,0),MATCH($C187,'🔖 배합비 참조'!$B$1:$CE$1,0))/100,0),""))),"")</f>
        <v>0</v>
      </c>
      <c r="AC187" s="39" t="n">
        <f aca="false">IFERROR(IF($C187="","",IF($D187="","",IFERROR(ROUND($D187*INDEX('🔖 배합비 참조'!$B$2:$CE$83,MATCH("당류가공품(단호박농축액)",'🔖 배합비 참조'!$A$2:$A$83,0),MATCH($C187,'🔖 배합비 참조'!$B$1:$CE$1,0))/100,0),""))),"")</f>
        <v>0</v>
      </c>
      <c r="AD187" s="39" t="n">
        <f aca="false">IFERROR(IF($C187="","",IF($D187="","",IFERROR(ROUND($D187*INDEX('🔖 배합비 참조'!$B$2:$CE$83,MATCH("당류가공품(알룰로스,에리스리톨,스테비올배당체혼합)",'🔖 배합비 참조'!$A$2:$A$83,0),MATCH($C187,'🔖 배합비 참조'!$B$1:$CE$1,0))/100,0),""))),"")</f>
        <v>0</v>
      </c>
      <c r="AE187" s="39" t="n">
        <f aca="false">IFERROR(IF($C187="","",IF($D187="","",IFERROR(ROUND($D187*INDEX('🔖 배합비 참조'!$B$2:$CE$83,MATCH("당류가공품(알룰로스제로파우더)",'🔖 배합비 참조'!$A$2:$A$83,0),MATCH($C187,'🔖 배합비 참조'!$B$1:$CE$1,0))/100,0),""))),"")</f>
        <v>0</v>
      </c>
      <c r="AF187" s="39" t="n">
        <f aca="false">IFERROR(IF($C187="","",IF($D187="","",IFERROR(ROUND($D187*INDEX('🔖 배합비 참조'!$B$2:$CE$83,MATCH("당절임(완두배기)",'🔖 배합비 참조'!$A$2:$A$83,0),MATCH($C187,'🔖 배합비 참조'!$B$1:$CE$1,0))/100,0),""))),"")</f>
        <v>0</v>
      </c>
      <c r="AG187" s="39" t="n">
        <f aca="false">IFERROR(IF($C187="","",IF($D187="","",IFERROR(ROUND($D187*INDEX('🔖 배합비 참조'!$B$2:$CE$83,MATCH("대추농축액",'🔖 배합비 참조'!$A$2:$A$83,0),MATCH($C187,'🔖 배합비 참조'!$B$1:$CE$1,0))/100,0),""))),"")</f>
        <v>0</v>
      </c>
      <c r="AH187" s="39" t="n">
        <f aca="false">IFERROR(IF($C187="","",IF($D187="","",IFERROR(ROUND($D187*INDEX('🔖 배합비 참조'!$B$2:$CE$83,MATCH("대추채(국내산)",'🔖 배합비 참조'!$A$2:$A$83,0),MATCH($C187,'🔖 배합비 참조'!$B$1:$CE$1,0))/100,0),""))),"")</f>
        <v>0</v>
      </c>
      <c r="AI187" s="39" t="n">
        <f aca="false">IFERROR(IF($C187="","",IF($D187="","",IFERROR(ROUND($D187*INDEX('🔖 배합비 참조'!$B$2:$CE$83,MATCH("동부(미얀마산)",'🔖 배합비 참조'!$A$2:$A$83,0),MATCH($C187,'🔖 배합비 참조'!$B$1:$CE$1,0))/100,0),""))),"")</f>
        <v>14</v>
      </c>
      <c r="AJ187" s="39" t="n">
        <f aca="false">IFERROR(IF($C187="","",IF($D187="","",IFERROR(ROUND($D187*INDEX('🔖 배합비 참조'!$B$2:$CE$83,MATCH("두류가공품(백옥앙금)",'🔖 배합비 참조'!$A$2:$A$83,0),MATCH($C187,'🔖 배합비 참조'!$B$1:$CE$1,0))/100,0),""))),"")</f>
        <v>0</v>
      </c>
      <c r="AK187" s="39" t="n">
        <f aca="false">IFERROR(IF($C187="","",IF($D187="","",IFERROR(ROUND($D187*INDEX('🔖 배합비 참조'!$B$2:$CE$83,MATCH("두류가공품(콩고물)",'🔖 배합비 참조'!$A$2:$A$83,0),MATCH($C187,'🔖 배합비 참조'!$B$1:$CE$1,0))/100,0),""))),"")</f>
        <v>3</v>
      </c>
      <c r="AL187" s="39" t="n">
        <f aca="false">IFERROR(IF($C187="","",IF($D187="","",IFERROR(ROUND($D187*INDEX('🔖 배합비 참조'!$B$2:$CE$83,MATCH("두류가공품(통팥고물)",'🔖 배합비 참조'!$A$2:$A$83,0),MATCH($C187,'🔖 배합비 참조'!$B$1:$CE$1,0))/100,0),""))),"")</f>
        <v>0</v>
      </c>
      <c r="AM187" s="39" t="n">
        <f aca="false">IFERROR(IF($C187="","",IF($D187="","",IFERROR(ROUND($D187*INDEX('🔖 배합비 참조'!$B$2:$CE$83,MATCH("딸기레진",'🔖 배합비 참조'!$A$2:$A$83,0),MATCH($C187,'🔖 배합비 참조'!$B$1:$CE$1,0))/100,0),""))),"")</f>
        <v>0</v>
      </c>
      <c r="AN187" s="39" t="n">
        <f aca="false">IFERROR(IF($C187="","",IF($D187="","",IFERROR(ROUND($D187*INDEX('🔖 배합비 참조'!$B$2:$CE$83,MATCH("딸기분말(스트로우베리에이드(분말))",'🔖 배합비 참조'!$A$2:$A$83,0),MATCH($C187,'🔖 배합비 참조'!$B$1:$CE$1,0))/100,0),""))),"")</f>
        <v>0</v>
      </c>
      <c r="AO187" s="39" t="n">
        <f aca="false">IFERROR(IF($C187="","",IF($D187="","",IFERROR(ROUND($D187*INDEX('🔖 배합비 참조'!$B$2:$CE$83,MATCH("마스카포네치즈",'🔖 배합비 참조'!$A$2:$A$83,0),MATCH($C187,'🔖 배합비 참조'!$B$1:$CE$1,0))/100,0),""))),"")</f>
        <v>0</v>
      </c>
      <c r="AP187" s="39" t="n">
        <f aca="false">IFERROR(IF($C187="","",IF($D187="","",IFERROR(ROUND($D187*INDEX('🔖 배합비 참조'!$B$2:$CE$83,MATCH("마카다미아분태(호주산)",'🔖 배합비 참조'!$A$2:$A$83,0),MATCH($C187,'🔖 배합비 참조'!$B$1:$CE$1,0))/100,0),""))),"")</f>
        <v>0</v>
      </c>
      <c r="AQ187" s="39" t="n">
        <f aca="false">IFERROR(IF($C187="","",IF($D187="","",IFERROR(ROUND($D187*INDEX('🔖 배합비 참조'!$B$2:$CE$83,MATCH("멥쌀(국내산)",'🔖 배합비 참조'!$A$2:$A$83,0),MATCH($C187,'🔖 배합비 참조'!$B$1:$CE$1,0))/100,0),""))),"")</f>
        <v>0</v>
      </c>
      <c r="AR187" s="39" t="n">
        <f aca="false">IFERROR(IF($C187="","",IF($D187="","",IFERROR(ROUND($D187*INDEX('🔖 배합비 참조'!$B$2:$CE$83,MATCH("모시잎(국내산)",'🔖 배합비 참조'!$A$2:$A$83,0),MATCH($C187,'🔖 배합비 참조'!$B$1:$CE$1,0))/100,0),""))),"")</f>
        <v>0</v>
      </c>
      <c r="AS187" s="39" t="n">
        <f aca="false">IFERROR(IF($C187="","",IF($D187="","",IFERROR(ROUND($D187*INDEX('🔖 배합비 참조'!$B$2:$CE$83,MATCH("물엿(저당물엿)",'🔖 배합비 참조'!$A$2:$A$83,0),MATCH($C187,'🔖 배합비 참조'!$B$1:$CE$1,0))/100,0),""))),"")</f>
        <v>2</v>
      </c>
      <c r="AT187" s="39" t="n">
        <f aca="false">IFERROR(IF($C187="","",IF($D187="","",IFERROR(ROUND($D187*INDEX('🔖 배합비 참조'!$B$2:$CE$83,MATCH("밤다이스",'🔖 배합비 참조'!$A$2:$A$83,0),MATCH($C187,'🔖 배합비 참조'!$B$1:$CE$1,0))/100,0),""))),"")</f>
        <v>0</v>
      </c>
      <c r="AU187" s="39" t="n">
        <f aca="false">IFERROR(IF($C187="","",IF($D187="","",IFERROR(ROUND($D187*INDEX('🔖 배합비 참조'!$B$2:$CE$83,MATCH("변성전분(타피오카전분)",'🔖 배합비 참조'!$A$2:$A$83,0),MATCH($C187,'🔖 배합비 참조'!$B$1:$CE$1,0))/100,0),""))),"")</f>
        <v>0</v>
      </c>
      <c r="AV187" s="39" t="n">
        <f aca="false">IFERROR(IF($C187="","",IF($D187="","",IFERROR(ROUND($D187*INDEX('🔖 배합비 참조'!$B$2:$CE$83,MATCH("복음땅콩분태",'🔖 배합비 참조'!$A$2:$A$83,0),MATCH($C187,'🔖 배합비 참조'!$B$1:$CE$1,0))/100,0),""))),"")</f>
        <v>0</v>
      </c>
      <c r="AW187" s="39" t="n">
        <f aca="false">IFERROR(IF($C187="","",IF($D187="","",IFERROR(ROUND($D187*INDEX('🔖 배합비 참조'!$B$2:$CE$83,MATCH("사양벌꿀(국내산)",'🔖 배합비 참조'!$A$2:$A$83,0),MATCH($C187,'🔖 배합비 참조'!$B$1:$CE$1,0))/100,0),""))),"")</f>
        <v>0</v>
      </c>
      <c r="AX187" s="39" t="n">
        <f aca="false">IFERROR(IF($C187="","",IF($D187="","",IFERROR(ROUND($D187*INDEX('🔖 배합비 참조'!$B$2:$CE$83,MATCH("생크림",'🔖 배합비 참조'!$A$2:$A$83,0),MATCH($C187,'🔖 배합비 참조'!$B$1:$CE$1,0))/100,0),""))),"")</f>
        <v>0</v>
      </c>
      <c r="AY187" s="39" t="n">
        <f aca="false">IFERROR(IF($C187="","",IF($D187="","",IFERROR(ROUND($D187*INDEX('🔖 배합비 참조'!$B$2:$CE$83,MATCH("서양호박(국내산,뉴질랜드산)",'🔖 배합비 참조'!$A$2:$A$83,0),MATCH($C187,'🔖 배합비 참조'!$B$1:$CE$1,0))/100,0),""))),"")</f>
        <v>0</v>
      </c>
      <c r="AZ187" s="39" t="n">
        <f aca="false">IFERROR(IF($C187="","",IF($D187="","",IFERROR(ROUND($D187*INDEX('🔖 배합비 참조'!$B$2:$CE$83,MATCH("설탕",'🔖 배합비 참조'!$A$2:$A$83,0),MATCH($C187,'🔖 배합비 참조'!$B$1:$CE$1,0))/100,0),""))),"")</f>
        <v>2</v>
      </c>
      <c r="BA187" s="39" t="n">
        <f aca="false">IFERROR(IF($C187="","",IF($D187="","",IFERROR(ROUND($D187*INDEX('🔖 배합비 참조'!$B$2:$CE$83,MATCH("스트로우베리 에이드 후레쉬",'🔖 배합비 참조'!$A$2:$A$83,0),MATCH($C187,'🔖 배합비 참조'!$B$1:$CE$1,0))/100,0),""))),"")</f>
        <v>0</v>
      </c>
      <c r="BB187" s="39" t="n">
        <f aca="false">IFERROR(IF($C187="","",IF($D187="","",IFERROR(ROUND($D187*INDEX('🔖 배합비 참조'!$B$2:$CE$83,MATCH("식물성기름혼합제제(분홍)",'🔖 배합비 참조'!$A$2:$A$83,0),MATCH($C187,'🔖 배합비 참조'!$B$1:$CE$1,0))/100,0),""))),"")</f>
        <v>0</v>
      </c>
      <c r="BC187" s="39" t="n">
        <f aca="false">IFERROR(IF($C187="","",IF($D187="","",IFERROR(ROUND($D187*INDEX('🔖 배합비 참조'!$B$2:$CE$83,MATCH("식물성기름혼합제제(초록)",'🔖 배합비 참조'!$A$2:$A$83,0),MATCH($C187,'🔖 배합비 참조'!$B$1:$CE$1,0))/100,0),""))),"")</f>
        <v>0</v>
      </c>
      <c r="BD187" s="39" t="n">
        <f aca="false">IFERROR(IF($C187="","",IF($D187="","",IFERROR(ROUND($D187*INDEX('🔖 배합비 참조'!$B$2:$CE$83,MATCH("식물성기름혼합제제(황색)",'🔖 배합비 참조'!$A$2:$A$83,0),MATCH($C187,'🔖 배합비 참조'!$B$1:$CE$1,0))/100,0),""))),"")</f>
        <v>0</v>
      </c>
      <c r="BE187" s="39" t="n">
        <f aca="false">IFERROR(IF($C187="","",IF($D187="","",IFERROR(ROUND($D187*INDEX('🔖 배합비 참조'!$B$2:$CE$83,MATCH("쑥가루(국내산)",'🔖 배합비 참조'!$A$2:$A$83,0),MATCH($C187,'🔖 배합비 참조'!$B$1:$CE$1,0))/100,0),""))),"")</f>
        <v>1</v>
      </c>
      <c r="BF187" s="39" t="n">
        <f aca="false">IFERROR(IF($C187="","",IF($D187="","",IFERROR(ROUND($D187*INDEX('🔖 배합비 참조'!$B$2:$CE$83,MATCH("아몬드슬라이스",'🔖 배합비 참조'!$A$2:$A$83,0),MATCH($C187,'🔖 배합비 참조'!$B$1:$CE$1,0))/100,0),""))),"")</f>
        <v>0</v>
      </c>
      <c r="BG187" s="39" t="n">
        <f aca="false">IFERROR(IF($C187="","",IF($D187="","",IFERROR(ROUND($D187*INDEX('🔖 배합비 참조'!$B$2:$CE$83,MATCH("알룰로오스(국내산)",'🔖 배합비 참조'!$A$2:$A$83,0),MATCH($C187,'🔖 배합비 참조'!$B$1:$CE$1,0))/100,0),""))),"")</f>
        <v>0</v>
      </c>
      <c r="BH187" s="39" t="n">
        <f aca="false">IFERROR(IF($C187="","",IF($D187="","",IFERROR(ROUND($D187*INDEX('🔖 배합비 참조'!$B$2:$CE$83,MATCH("연유",'🔖 배합비 참조'!$A$2:$A$83,0),MATCH($C187,'🔖 배합비 참조'!$B$1:$CE$1,0))/100,0),""))),"")</f>
        <v>0</v>
      </c>
      <c r="BI187" s="39" t="n">
        <f aca="false">IFERROR(IF($C187="","",IF($D187="","",IFERROR(ROUND($D187*INDEX('🔖 배합비 참조'!$B$2:$CE$83,MATCH("옥수수전분",'🔖 배합비 참조'!$A$2:$A$83,0),MATCH($C187,'🔖 배합비 참조'!$B$1:$CE$1,0))/100,0),""))),"")</f>
        <v>0</v>
      </c>
      <c r="BJ187" s="39" t="n">
        <f aca="false">IFERROR(IF($C187="","",IF($D187="","",IFERROR(ROUND($D187*INDEX('🔖 배합비 참조'!$B$2:$CE$83,MATCH("완두배기",'🔖 배합비 참조'!$A$2:$A$83,0),MATCH($C187,'🔖 배합비 참조'!$B$1:$CE$1,0))/100,0),""))),"")</f>
        <v>0</v>
      </c>
      <c r="BK187" s="39" t="n">
        <f aca="false">IFERROR(IF($C187="","",IF($D187="","",IFERROR(ROUND($D187*INDEX('🔖 배합비 참조'!$B$2:$CE$83,MATCH("우유(국내산)",'🔖 배합비 참조'!$A$2:$A$83,0),MATCH($C187,'🔖 배합비 참조'!$B$1:$CE$1,0))/100,0),""))),"")</f>
        <v>0</v>
      </c>
      <c r="BL187" s="39" t="n">
        <f aca="false">IFERROR(IF($C187="","",IF($D187="","",IFERROR(ROUND($D187*INDEX('🔖 배합비 참조'!$B$2:$CE$83,MATCH("자색고구마가루(중국산)",'🔖 배합비 참조'!$A$2:$A$83,0),MATCH($C187,'🔖 배합비 참조'!$B$1:$CE$1,0))/100,0),""))),"")</f>
        <v>0</v>
      </c>
      <c r="BM187" s="39" t="n">
        <f aca="false">IFERROR(IF($C187="","",IF($D187="","",IFERROR(ROUND($D187*INDEX('🔖 배합비 참조'!$B$2:$CE$83,MATCH("자연치즈(체다치즈)",'🔖 배합비 참조'!$A$2:$A$83,0),MATCH($C187,'🔖 배합비 참조'!$B$1:$CE$1,0))/100,0),""))),"")</f>
        <v>0</v>
      </c>
      <c r="BN187" s="39" t="n">
        <f aca="false">IFERROR(IF($C187="","",IF($D187="","",IFERROR(ROUND($D187*INDEX('🔖 배합비 참조'!$B$2:$CE$83,MATCH("정제수",'🔖 배합비 참조'!$A$2:$A$83,0),MATCH($C187,'🔖 배합비 참조'!$B$1:$CE$1,0))/100,0),""))),"")</f>
        <v>13</v>
      </c>
      <c r="BO187" s="39" t="n">
        <f aca="false">IFERROR(IF($C187="","",IF($D187="","",IFERROR(ROUND($D187*INDEX('🔖 배합비 참조'!$B$2:$CE$83,MATCH("젤라틴",'🔖 배합비 참조'!$A$2:$A$83,0),MATCH($C187,'🔖 배합비 참조'!$B$1:$CE$1,0))/100,0),""))),"")</f>
        <v>0</v>
      </c>
      <c r="BP187" s="39" t="n">
        <f aca="false">IFERROR(IF($C187="","",IF($D187="","",IFERROR(ROUND($D187*INDEX('🔖 배합비 참조'!$B$2:$CE$83,MATCH("조림류(백옥앙금)",'🔖 배합비 참조'!$A$2:$A$83,0),MATCH($C187,'🔖 배합비 참조'!$B$1:$CE$1,0))/100,0),""))),"")</f>
        <v>27</v>
      </c>
      <c r="BQ187" s="39" t="n">
        <f aca="false">IFERROR(IF($C187="","",IF($D187="","",IFERROR(ROUND($D187*INDEX('🔖 배합비 참조'!$B$2:$CE$83,MATCH("조림류(통팥앙금)",'🔖 배합비 참조'!$A$2:$A$83,0),MATCH($C187,'🔖 배합비 참조'!$B$1:$CE$1,0))/100,0),""))),"")</f>
        <v>0</v>
      </c>
      <c r="BR187" s="39" t="n">
        <f aca="false">IFERROR(IF($C187="","",IF($D187="","",IFERROR(ROUND($D187*INDEX('🔖 배합비 참조'!$B$2:$CE$83,MATCH("준초콜릿(외국산)",'🔖 배합비 참조'!$A$2:$A$83,0),MATCH($C187,'🔖 배합비 참조'!$B$1:$CE$1,0))/100,0),""))),"")</f>
        <v>0</v>
      </c>
      <c r="BS187" s="39" t="n">
        <f aca="false">IFERROR(IF($C187="","",IF($D187="","",IFERROR(ROUND($D187*INDEX('🔖 배합비 참조'!$B$2:$CE$83,MATCH("중력분",'🔖 배합비 참조'!$A$2:$A$83,0),MATCH($C187,'🔖 배합비 참조'!$B$1:$CE$1,0))/100,0),""))),"")</f>
        <v>1</v>
      </c>
      <c r="BT187" s="39" t="n">
        <f aca="false">IFERROR(IF($C187="","",IF($D187="","",IFERROR(ROUND($D187*INDEX('🔖 배합비 참조'!$B$2:$CE$83,MATCH("참깨(인도산,나이지리아산,탄자니아산,미얀마산)",'🔖 배합비 참조'!$A$2:$A$83,0),MATCH($C187,'🔖 배합비 참조'!$B$1:$CE$1,0))/100,0),""))),"")</f>
        <v>0</v>
      </c>
      <c r="BU187" s="39" t="n">
        <f aca="false">IFERROR(IF($C187="","",IF($D187="","",IFERROR(ROUND($D187*INDEX('🔖 배합비 참조'!$B$2:$CE$83,MATCH("찹쌀(국내산)",'🔖 배합비 참조'!$A$2:$A$83,0),MATCH($C187,'🔖 배합비 참조'!$B$1:$CE$1,0))/100,0),""))),"")</f>
        <v>44</v>
      </c>
      <c r="BV187" s="39" t="n">
        <f aca="false">IFERROR(IF($C187="","",IF($D187="","",IFERROR(ROUND($D187*INDEX('🔖 배합비 참조'!$B$2:$CE$83,MATCH("천일염",'🔖 배합비 참조'!$A$2:$A$83,0),MATCH($C187,'🔖 배합비 참조'!$B$1:$CE$1,0))/100,0),""))),"")</f>
        <v>1</v>
      </c>
      <c r="BW187" s="39" t="n">
        <f aca="false">IFERROR(IF($C187="","",IF($D187="","",IFERROR(ROUND($D187*INDEX('🔖 배합비 참조'!$B$2:$CE$83,MATCH("치즈 [크림치즈]",'🔖 배합비 참조'!$A$2:$A$83,0),MATCH($C187,'🔖 배합비 참조'!$B$1:$CE$1,0))/100,0),""))),"")</f>
        <v>0</v>
      </c>
      <c r="BX187" s="39" t="n">
        <f aca="false">IFERROR(IF($C187="","",IF($D187="","",IFERROR(ROUND($D187*INDEX('🔖 배합비 참조'!$B$2:$CE$83,MATCH("코코아가공품류(코코아분말)",'🔖 배합비 참조'!$A$2:$A$83,0),MATCH($C187,'🔖 배합비 참조'!$B$1:$CE$1,0))/100,0),""))),"")</f>
        <v>0</v>
      </c>
      <c r="BY187" s="39" t="n">
        <f aca="false">IFERROR(IF($C187="","",IF($D187="","",IFERROR(ROUND($D187*INDEX('🔖 배합비 참조'!$B$2:$CE$83,MATCH("콩기름(대두유)",'🔖 배합비 참조'!$A$2:$A$83,0),MATCH($C187,'🔖 배합비 참조'!$B$1:$CE$1,0))/100,0),""))),"")</f>
        <v>0</v>
      </c>
      <c r="BZ187" s="39" t="n">
        <f aca="false">IFERROR(IF($C187="","",IF($D187="","",IFERROR(ROUND($D187*INDEX('🔖 배합비 참조'!$B$2:$CE$83,MATCH("해바라기씨앗",'🔖 배합비 참조'!$A$2:$A$83,0),MATCH($C187,'🔖 배합비 참조'!$B$1:$CE$1,0))/100,0),""))),"")</f>
        <v>0</v>
      </c>
      <c r="CA187" s="39" t="n">
        <f aca="false">IFERROR(IF($C187="","",IF($D187="","",IFERROR(ROUND($D187*INDEX('🔖 배합비 참조'!$B$2:$CE$83,MATCH("현미(국내산)",'🔖 배합비 참조'!$A$2:$A$83,0),MATCH($C187,'🔖 배합비 참조'!$B$1:$CE$1,0))/100,0),""))),"")</f>
        <v>0</v>
      </c>
      <c r="CB187" s="39" t="n">
        <f aca="false">IFERROR(IF($C187="","",IF($D187="","",IFERROR(ROUND($D187*INDEX('🔖 배합비 참조'!$B$2:$CE$83,MATCH("현미멥쌀(국내산)",'🔖 배합비 참조'!$A$2:$A$83,0),MATCH($C187,'🔖 배합비 참조'!$B$1:$CE$1,0))/100,0),""))),"")</f>
        <v>0</v>
      </c>
      <c r="CC187" s="39" t="n">
        <f aca="false">IFERROR(IF($C187="","",IF($D187="","",IFERROR(ROUND($D187*INDEX('🔖 배합비 참조'!$B$2:$CE$83,MATCH("호두분태(미국산)",'🔖 배합비 참조'!$A$2:$A$83,0),MATCH($C187,'🔖 배합비 참조'!$B$1:$CE$1,0))/100,0),""))),"")</f>
        <v>0</v>
      </c>
      <c r="CD187" s="39" t="n">
        <f aca="false">IFERROR(IF($C187="","",IF($D187="","",IFERROR(ROUND($D187*INDEX('🔖 배합비 참조'!$B$2:$CE$83,MATCH("호박씨앗(외국산)",'🔖 배합비 참조'!$A$2:$A$83,0),MATCH($C187,'🔖 배합비 참조'!$B$1:$CE$1,0))/100,0),""))),"")</f>
        <v>0</v>
      </c>
      <c r="CE187" s="39" t="n">
        <f aca="false">IFERROR(IF($C187="","",IF($D187="","",IFERROR(ROUND($D187*INDEX('🔖 배합비 참조'!$B$2:$CE$83,MATCH("혼합제제(떡용에스텔)",'🔖 배합비 참조'!$A$2:$A$83,0),MATCH($C187,'🔖 배합비 참조'!$B$1:$CE$1,0))/100,0),""))),"")</f>
        <v>0</v>
      </c>
      <c r="CF187" s="39" t="n">
        <f aca="false">IFERROR(IF($C187="","",IF($D187="","",IFERROR(ROUND($D187*INDEX('🔖 배합비 참조'!$B$2:$CE$83,MATCH("혼합제제(스테비아)",'🔖 배합비 참조'!$A$2:$A$83,0),MATCH($C187,'🔖 배합비 참조'!$B$1:$CE$1,0))/100,0),""))),"")</f>
        <v>0</v>
      </c>
      <c r="CG187" s="39" t="n">
        <f aca="false">IFERROR(IF($C187="","",IF($D187="","",IFERROR(ROUND($D187*INDEX('🔖 배합비 참조'!$B$2:$CE$83,MATCH("화이트초콜릿",'🔖 배합비 참조'!$A$2:$A$83,0),MATCH($C187,'🔖 배합비 참조'!$B$1:$CE$1,0))/100,0),""))),"")</f>
        <v>0</v>
      </c>
      <c r="CH187" s="39" t="n">
        <f aca="false">IFERROR(IF($C187="","",IF($D187="","",IFERROR(ROUND($D187*INDEX('🔖 배합비 참조'!$B$2:$CE$83,MATCH("흑미찹쌀(국내산)",'🔖 배합비 참조'!$A$2:$A$83,0),MATCH($C187,'🔖 배합비 참조'!$B$1:$CE$1,0))/100,0),""))),"")</f>
        <v>0</v>
      </c>
      <c r="CI187" s="39" t="n">
        <f aca="false">IFERROR(IF($C187="","",IF($D187="","",IFERROR(ROUND($D187*INDEX('🔖 배합비 참조'!$B$2:$CE$83,MATCH("찰옥수수전분(미국산)",'🔖 배합비 참조'!$A$2:$A$83,0),MATCH($C187,'🔖 배합비 참조'!$B$1:$CE$1,0))/100,0),""))),"")</f>
        <v>0</v>
      </c>
      <c r="CJ187" s="40"/>
      <c r="CL187" s="1" t="s">
        <v>245</v>
      </c>
    </row>
    <row r="188" customFormat="false" ht="18" hidden="false" customHeight="true" outlineLevel="0" collapsed="false">
      <c r="A188" s="41" t="n">
        <v>184</v>
      </c>
      <c r="B188" s="36" t="n">
        <v>46049</v>
      </c>
      <c r="C188" s="37" t="s">
        <v>191</v>
      </c>
      <c r="D188" s="38" t="n">
        <v>990</v>
      </c>
      <c r="E188" s="17"/>
      <c r="F188" s="17"/>
      <c r="G188" s="42" t="n">
        <f aca="false">IFERROR(IF($C188="","",IF($D188="","",IFERROR(ROUND($D188*INDEX('🔖 배합비 참조'!$B$2:$CE$83,MATCH("간장",'🔖 배합비 참조'!$A$2:$A$83,0),MATCH($C188,'🔖 배합비 참조'!$B$1:$CE$1,0))/100,0),""))),"")</f>
        <v>0</v>
      </c>
      <c r="H188" s="42" t="n">
        <f aca="false">IFERROR(IF($C188="","",IF($D188="","",IFERROR(ROUND($D188*INDEX('🔖 배합비 참조'!$B$2:$CE$83,MATCH("강낭콩((울타리콩))",'🔖 배합비 참조'!$A$2:$A$83,0),MATCH($C188,'🔖 배합비 참조'!$B$1:$CE$1,0))/100,0),""))),"")</f>
        <v>0</v>
      </c>
      <c r="I188" s="42" t="n">
        <f aca="false">IFERROR(IF($C188="","",IF($D188="","",IFERROR(ROUND($D188*INDEX('🔖 배합비 참조'!$B$2:$CE$83,MATCH("건조딸기다이스(외국산)",'🔖 배합비 참조'!$A$2:$A$83,0),MATCH($C188,'🔖 배합비 참조'!$B$1:$CE$1,0))/100,0),""))),"")</f>
        <v>0</v>
      </c>
      <c r="J188" s="42" t="n">
        <f aca="false">IFERROR(IF($C188="","",IF($D188="","",IFERROR(ROUND($D188*INDEX('🔖 배합비 참조'!$B$2:$CE$83,MATCH("건포도",'🔖 배합비 참조'!$A$2:$A$83,0),MATCH($C188,'🔖 배합비 참조'!$B$1:$CE$1,0))/100,0),""))),"")</f>
        <v>0</v>
      </c>
      <c r="K188" s="42" t="n">
        <f aca="false">IFERROR(IF($C188="","",IF($D188="","",IFERROR(ROUND($D188*INDEX('🔖 배합비 참조'!$B$2:$CE$83,MATCH("건호박채(중국산)",'🔖 배합비 참조'!$A$2:$A$83,0),MATCH($C188,'🔖 배합비 참조'!$B$1:$CE$1,0))/100,0),""))),"")</f>
        <v>0</v>
      </c>
      <c r="L188" s="42" t="n">
        <f aca="false">IFERROR(IF($C188="","",IF($D188="","",IFERROR(ROUND($D188*INDEX('🔖 배합비 참조'!$B$2:$CE$83,MATCH("검정깨(흑임자)",'🔖 배합비 참조'!$A$2:$A$83,0),MATCH($C188,'🔖 배합비 참조'!$B$1:$CE$1,0))/100,0),""))),"")</f>
        <v>0</v>
      </c>
      <c r="M188" s="42" t="n">
        <f aca="false">IFERROR(IF($C188="","",IF($D188="","",IFERROR(ROUND($D188*INDEX('🔖 배합비 참조'!$B$2:$CE$83,MATCH("검정콩",'🔖 배합비 참조'!$A$2:$A$83,0),MATCH($C188,'🔖 배합비 참조'!$B$1:$CE$1,0))/100,0),""))),"")</f>
        <v>0</v>
      </c>
      <c r="N188" s="42" t="n">
        <f aca="false">IFERROR(IF($C188="","",IF($D188="","",IFERROR(ROUND($D188*INDEX('🔖 배합비 참조'!$B$2:$CE$83,MATCH("계피가루",'🔖 배합비 참조'!$A$2:$A$83,0),MATCH($C188,'🔖 배합비 참조'!$B$1:$CE$1,0))/100,0),""))),"")</f>
        <v>0</v>
      </c>
      <c r="O188" s="42" t="n">
        <f aca="false">IFERROR(IF($C188="","",IF($D188="","",IFERROR(ROUND($D188*INDEX('🔖 배합비 참조'!$B$2:$CE$83,MATCH("고구마가루",'🔖 배합비 참조'!$A$2:$A$83,0),MATCH($C188,'🔖 배합비 참조'!$B$1:$CE$1,0))/100,0),""))),"")</f>
        <v>0</v>
      </c>
      <c r="P188" s="42" t="n">
        <f aca="false">IFERROR(IF($C188="","",IF($D188="","",IFERROR(ROUND($D188*INDEX('🔖 배합비 참조'!$B$2:$CE$83,MATCH("고구마무스",'🔖 배합비 참조'!$A$2:$A$83,0),MATCH($C188,'🔖 배합비 참조'!$B$1:$CE$1,0))/100,0),""))),"")</f>
        <v>0</v>
      </c>
      <c r="Q188" s="42" t="n">
        <f aca="false">IFERROR(IF($C188="","",IF($D188="","",IFERROR(ROUND($D188*INDEX('🔖 배합비 참조'!$B$2:$CE$83,MATCH("고려엉겅퀴((곤드레)국내산)",'🔖 배합비 참조'!$A$2:$A$83,0),MATCH($C188,'🔖 배합비 참조'!$B$1:$CE$1,0))/100,0),""))),"")</f>
        <v>0</v>
      </c>
      <c r="R188" s="42" t="n">
        <f aca="false">IFERROR(IF($C188="","",IF($D188="","",IFERROR(ROUND($D188*INDEX('🔖 배합비 참조'!$B$2:$CE$83,MATCH("기타가공품(복분자가루)",'🔖 배합비 참조'!$A$2:$A$83,0),MATCH($C188,'🔖 배합비 참조'!$B$1:$CE$1,0))/100,0),""))),"")</f>
        <v>0</v>
      </c>
      <c r="S188" s="42" t="n">
        <f aca="false">IFERROR(IF($C188="","",IF($D188="","",IFERROR(ROUND($D188*INDEX('🔖 배합비 참조'!$B$2:$CE$83,MATCH("기타가공품(슈퍼소프트엠)",'🔖 배합비 참조'!$A$2:$A$83,0),MATCH($C188,'🔖 배합비 참조'!$B$1:$CE$1,0))/100,0),""))),"")</f>
        <v>0</v>
      </c>
      <c r="T188" s="42" t="n">
        <f aca="false">IFERROR(IF($C188="","",IF($D188="","",IFERROR(ROUND($D188*INDEX('🔖 배합비 참조'!$B$2:$CE$83,MATCH("기타가공품(파인소프트 E-티)",'🔖 배합비 참조'!$A$2:$A$83,0),MATCH($C188,'🔖 배합비 참조'!$B$1:$CE$1,0))/100,0),""))),"")</f>
        <v>0</v>
      </c>
      <c r="U188" s="42" t="n">
        <f aca="false">IFERROR(IF($C188="","",IF($D188="","",IFERROR(ROUND($D188*INDEX('🔖 배합비 참조'!$B$2:$CE$83,MATCH("기타가공품(프리미엄카스테라가루)",'🔖 배합비 참조'!$A$2:$A$83,0),MATCH($C188,'🔖 배합비 참조'!$B$1:$CE$1,0))/100,0),""))),"")</f>
        <v>0</v>
      </c>
      <c r="V188" s="42" t="n">
        <f aca="false">IFERROR(IF($C188="","",IF($D188="","",IFERROR(ROUND($D188*INDEX('🔖 배합비 참조'!$B$2:$CE$83,MATCH("기타가공품(흑임자가루)",'🔖 배합비 참조'!$A$2:$A$83,0),MATCH($C188,'🔖 배합비 참조'!$B$1:$CE$1,0))/100,0),""))),"")</f>
        <v>0</v>
      </c>
      <c r="W188" s="42" t="n">
        <f aca="false">IFERROR(IF($C188="","",IF($D188="","",IFERROR(ROUND($D188*INDEX('🔖 배합비 참조'!$B$2:$CE$83,MATCH("기타설탕(흑설탕)",'🔖 배합비 참조'!$A$2:$A$83,0),MATCH($C188,'🔖 배합비 참조'!$B$1:$CE$1,0))/100,0),""))),"")</f>
        <v>0</v>
      </c>
      <c r="X188" s="42" t="n">
        <f aca="false">IFERROR(IF($C188="","",IF($D188="","",IFERROR(ROUND($D188*INDEX('🔖 배합비 참조'!$B$2:$CE$83,MATCH("냉동쑥(국내산)",'🔖 배합비 참조'!$A$2:$A$83,0),MATCH($C188,'🔖 배합비 참조'!$B$1:$CE$1,0))/100,0),""))),"")</f>
        <v>0</v>
      </c>
      <c r="Y188" s="42" t="n">
        <f aca="false">IFERROR(IF($C188="","",IF($D188="","",IFERROR(ROUND($D188*INDEX('🔖 배합비 참조'!$B$2:$CE$83,MATCH("냉동증숙고구마(중국산)",'🔖 배합비 참조'!$A$2:$A$83,0),MATCH($C188,'🔖 배합비 참조'!$B$1:$CE$1,0))/100,0),""))),"")</f>
        <v>0</v>
      </c>
      <c r="Z188" s="42" t="n">
        <f aca="false">IFERROR(IF($C188="","",IF($D188="","",IFERROR(ROUND($D188*INDEX('🔖 배합비 참조'!$B$2:$CE$83,MATCH("녹차가루",'🔖 배합비 참조'!$A$2:$A$83,0),MATCH($C188,'🔖 배합비 참조'!$B$1:$CE$1,0))/100,0),""))),"")</f>
        <v>0</v>
      </c>
      <c r="AA188" s="42" t="n">
        <f aca="false">IFERROR(IF($C188="","",IF($D188="","",IFERROR(ROUND($D188*INDEX('🔖 배합비 참조'!$B$2:$CE$83,MATCH("다크초콜릿 컴파운드칩",'🔖 배합비 참조'!$A$2:$A$83,0),MATCH($C188,'🔖 배합비 참조'!$B$1:$CE$1,0))/100,0),""))),"")</f>
        <v>0</v>
      </c>
      <c r="AB188" s="42" t="n">
        <f aca="false">IFERROR(IF($C188="","",IF($D188="","",IFERROR(ROUND($D188*INDEX('🔖 배합비 참조'!$B$2:$CE$83,MATCH("단호박분말(중국산)",'🔖 배합비 참조'!$A$2:$A$83,0),MATCH($C188,'🔖 배합비 참조'!$B$1:$CE$1,0))/100,0),""))),"")</f>
        <v>0</v>
      </c>
      <c r="AC188" s="42" t="n">
        <f aca="false">IFERROR(IF($C188="","",IF($D188="","",IFERROR(ROUND($D188*INDEX('🔖 배합비 참조'!$B$2:$CE$83,MATCH("당류가공품(단호박농축액)",'🔖 배합비 참조'!$A$2:$A$83,0),MATCH($C188,'🔖 배합비 참조'!$B$1:$CE$1,0))/100,0),""))),"")</f>
        <v>0</v>
      </c>
      <c r="AD188" s="42" t="n">
        <f aca="false">IFERROR(IF($C188="","",IF($D188="","",IFERROR(ROUND($D188*INDEX('🔖 배합비 참조'!$B$2:$CE$83,MATCH("당류가공품(알룰로스,에리스리톨,스테비올배당체혼합)",'🔖 배합비 참조'!$A$2:$A$83,0),MATCH($C188,'🔖 배합비 참조'!$B$1:$CE$1,0))/100,0),""))),"")</f>
        <v>0</v>
      </c>
      <c r="AE188" s="42" t="n">
        <f aca="false">IFERROR(IF($C188="","",IF($D188="","",IFERROR(ROUND($D188*INDEX('🔖 배합비 참조'!$B$2:$CE$83,MATCH("당류가공품(알룰로스제로파우더)",'🔖 배합비 참조'!$A$2:$A$83,0),MATCH($C188,'🔖 배합비 참조'!$B$1:$CE$1,0))/100,0),""))),"")</f>
        <v>0</v>
      </c>
      <c r="AF188" s="42" t="n">
        <f aca="false">IFERROR(IF($C188="","",IF($D188="","",IFERROR(ROUND($D188*INDEX('🔖 배합비 참조'!$B$2:$CE$83,MATCH("당절임(완두배기)",'🔖 배합비 참조'!$A$2:$A$83,0),MATCH($C188,'🔖 배합비 참조'!$B$1:$CE$1,0))/100,0),""))),"")</f>
        <v>0</v>
      </c>
      <c r="AG188" s="42" t="n">
        <f aca="false">IFERROR(IF($C188="","",IF($D188="","",IFERROR(ROUND($D188*INDEX('🔖 배합비 참조'!$B$2:$CE$83,MATCH("대추농축액",'🔖 배합비 참조'!$A$2:$A$83,0),MATCH($C188,'🔖 배합비 참조'!$B$1:$CE$1,0))/100,0),""))),"")</f>
        <v>0</v>
      </c>
      <c r="AH188" s="42" t="n">
        <f aca="false">IFERROR(IF($C188="","",IF($D188="","",IFERROR(ROUND($D188*INDEX('🔖 배합비 참조'!$B$2:$CE$83,MATCH("대추채(국내산)",'🔖 배합비 참조'!$A$2:$A$83,0),MATCH($C188,'🔖 배합비 참조'!$B$1:$CE$1,0))/100,0),""))),"")</f>
        <v>0</v>
      </c>
      <c r="AI188" s="42" t="n">
        <f aca="false">IFERROR(IF($C188="","",IF($D188="","",IFERROR(ROUND($D188*INDEX('🔖 배합비 참조'!$B$2:$CE$83,MATCH("동부(미얀마산)",'🔖 배합비 참조'!$A$2:$A$83,0),MATCH($C188,'🔖 배합비 참조'!$B$1:$CE$1,0))/100,0),""))),"")</f>
        <v>0</v>
      </c>
      <c r="AJ188" s="42" t="n">
        <f aca="false">IFERROR(IF($C188="","",IF($D188="","",IFERROR(ROUND($D188*INDEX('🔖 배합비 참조'!$B$2:$CE$83,MATCH("두류가공품(백옥앙금)",'🔖 배합비 참조'!$A$2:$A$83,0),MATCH($C188,'🔖 배합비 참조'!$B$1:$CE$1,0))/100,0),""))),"")</f>
        <v>0</v>
      </c>
      <c r="AK188" s="42" t="n">
        <f aca="false">IFERROR(IF($C188="","",IF($D188="","",IFERROR(ROUND($D188*INDEX('🔖 배합비 참조'!$B$2:$CE$83,MATCH("두류가공품(콩고물)",'🔖 배합비 참조'!$A$2:$A$83,0),MATCH($C188,'🔖 배합비 참조'!$B$1:$CE$1,0))/100,0),""))),"")</f>
        <v>0</v>
      </c>
      <c r="AL188" s="42" t="n">
        <f aca="false">IFERROR(IF($C188="","",IF($D188="","",IFERROR(ROUND($D188*INDEX('🔖 배합비 참조'!$B$2:$CE$83,MATCH("두류가공품(통팥고물)",'🔖 배합비 참조'!$A$2:$A$83,0),MATCH($C188,'🔖 배합비 참조'!$B$1:$CE$1,0))/100,0),""))),"")</f>
        <v>0</v>
      </c>
      <c r="AM188" s="42" t="n">
        <f aca="false">IFERROR(IF($C188="","",IF($D188="","",IFERROR(ROUND($D188*INDEX('🔖 배합비 참조'!$B$2:$CE$83,MATCH("딸기레진",'🔖 배합비 참조'!$A$2:$A$83,0),MATCH($C188,'🔖 배합비 참조'!$B$1:$CE$1,0))/100,0),""))),"")</f>
        <v>0</v>
      </c>
      <c r="AN188" s="42" t="n">
        <f aca="false">IFERROR(IF($C188="","",IF($D188="","",IFERROR(ROUND($D188*INDEX('🔖 배합비 참조'!$B$2:$CE$83,MATCH("딸기분말(스트로우베리에이드(분말))",'🔖 배합비 참조'!$A$2:$A$83,0),MATCH($C188,'🔖 배합비 참조'!$B$1:$CE$1,0))/100,0),""))),"")</f>
        <v>0</v>
      </c>
      <c r="AO188" s="42" t="n">
        <f aca="false">IFERROR(IF($C188="","",IF($D188="","",IFERROR(ROUND($D188*INDEX('🔖 배합비 참조'!$B$2:$CE$83,MATCH("마스카포네치즈",'🔖 배합비 참조'!$A$2:$A$83,0),MATCH($C188,'🔖 배합비 참조'!$B$1:$CE$1,0))/100,0),""))),"")</f>
        <v>0</v>
      </c>
      <c r="AP188" s="42" t="n">
        <f aca="false">IFERROR(IF($C188="","",IF($D188="","",IFERROR(ROUND($D188*INDEX('🔖 배합비 참조'!$B$2:$CE$83,MATCH("마카다미아분태(호주산)",'🔖 배합비 참조'!$A$2:$A$83,0),MATCH($C188,'🔖 배합비 참조'!$B$1:$CE$1,0))/100,0),""))),"")</f>
        <v>0</v>
      </c>
      <c r="AQ188" s="42" t="n">
        <f aca="false">IFERROR(IF($C188="","",IF($D188="","",IFERROR(ROUND($D188*INDEX('🔖 배합비 참조'!$B$2:$CE$83,MATCH("멥쌀(국내산)",'🔖 배합비 참조'!$A$2:$A$83,0),MATCH($C188,'🔖 배합비 참조'!$B$1:$CE$1,0))/100,0),""))),"")</f>
        <v>20</v>
      </c>
      <c r="AR188" s="42" t="n">
        <f aca="false">IFERROR(IF($C188="","",IF($D188="","",IFERROR(ROUND($D188*INDEX('🔖 배합비 참조'!$B$2:$CE$83,MATCH("모시잎(국내산)",'🔖 배합비 참조'!$A$2:$A$83,0),MATCH($C188,'🔖 배합비 참조'!$B$1:$CE$1,0))/100,0),""))),"")</f>
        <v>0</v>
      </c>
      <c r="AS188" s="42" t="n">
        <f aca="false">IFERROR(IF($C188="","",IF($D188="","",IFERROR(ROUND($D188*INDEX('🔖 배합비 참조'!$B$2:$CE$83,MATCH("물엿(저당물엿)",'🔖 배합비 참조'!$A$2:$A$83,0),MATCH($C188,'🔖 배합비 참조'!$B$1:$CE$1,0))/100,0),""))),"")</f>
        <v>0</v>
      </c>
      <c r="AT188" s="42" t="n">
        <f aca="false">IFERROR(IF($C188="","",IF($D188="","",IFERROR(ROUND($D188*INDEX('🔖 배합비 참조'!$B$2:$CE$83,MATCH("밤다이스",'🔖 배합비 참조'!$A$2:$A$83,0),MATCH($C188,'🔖 배합비 참조'!$B$1:$CE$1,0))/100,0),""))),"")</f>
        <v>0</v>
      </c>
      <c r="AU188" s="42" t="n">
        <f aca="false">IFERROR(IF($C188="","",IF($D188="","",IFERROR(ROUND($D188*INDEX('🔖 배합비 참조'!$B$2:$CE$83,MATCH("변성전분(타피오카전분)",'🔖 배합비 참조'!$A$2:$A$83,0),MATCH($C188,'🔖 배합비 참조'!$B$1:$CE$1,0))/100,0),""))),"")</f>
        <v>0</v>
      </c>
      <c r="AV188" s="42" t="n">
        <f aca="false">IFERROR(IF($C188="","",IF($D188="","",IFERROR(ROUND($D188*INDEX('🔖 배합비 참조'!$B$2:$CE$83,MATCH("복음땅콩분태",'🔖 배합비 참조'!$A$2:$A$83,0),MATCH($C188,'🔖 배합비 참조'!$B$1:$CE$1,0))/100,0),""))),"")</f>
        <v>0</v>
      </c>
      <c r="AW188" s="42" t="n">
        <f aca="false">IFERROR(IF($C188="","",IF($D188="","",IFERROR(ROUND($D188*INDEX('🔖 배합비 참조'!$B$2:$CE$83,MATCH("사양벌꿀(국내산)",'🔖 배합비 참조'!$A$2:$A$83,0),MATCH($C188,'🔖 배합비 참조'!$B$1:$CE$1,0))/100,0),""))),"")</f>
        <v>0</v>
      </c>
      <c r="AX188" s="42" t="n">
        <f aca="false">IFERROR(IF($C188="","",IF($D188="","",IFERROR(ROUND($D188*INDEX('🔖 배합비 참조'!$B$2:$CE$83,MATCH("생크림",'🔖 배합비 참조'!$A$2:$A$83,0),MATCH($C188,'🔖 배합비 참조'!$B$1:$CE$1,0))/100,0),""))),"")</f>
        <v>0</v>
      </c>
      <c r="AY188" s="42" t="n">
        <f aca="false">IFERROR(IF($C188="","",IF($D188="","",IFERROR(ROUND($D188*INDEX('🔖 배합비 참조'!$B$2:$CE$83,MATCH("서양호박(국내산,뉴질랜드산)",'🔖 배합비 참조'!$A$2:$A$83,0),MATCH($C188,'🔖 배합비 참조'!$B$1:$CE$1,0))/100,0),""))),"")</f>
        <v>0</v>
      </c>
      <c r="AZ188" s="42" t="n">
        <f aca="false">IFERROR(IF($C188="","",IF($D188="","",IFERROR(ROUND($D188*INDEX('🔖 배합비 참조'!$B$2:$CE$83,MATCH("설탕",'🔖 배합비 참조'!$A$2:$A$83,0),MATCH($C188,'🔖 배합비 참조'!$B$1:$CE$1,0))/100,0),""))),"")</f>
        <v>188</v>
      </c>
      <c r="BA188" s="42" t="n">
        <f aca="false">IFERROR(IF($C188="","",IF($D188="","",IFERROR(ROUND($D188*INDEX('🔖 배합비 참조'!$B$2:$CE$83,MATCH("스트로우베리 에이드 후레쉬",'🔖 배합비 참조'!$A$2:$A$83,0),MATCH($C188,'🔖 배합비 참조'!$B$1:$CE$1,0))/100,0),""))),"")</f>
        <v>0</v>
      </c>
      <c r="BB188" s="42" t="n">
        <f aca="false">IFERROR(IF($C188="","",IF($D188="","",IFERROR(ROUND($D188*INDEX('🔖 배합비 참조'!$B$2:$CE$83,MATCH("식물성기름혼합제제(분홍)",'🔖 배합비 참조'!$A$2:$A$83,0),MATCH($C188,'🔖 배합비 참조'!$B$1:$CE$1,0))/100,0),""))),"")</f>
        <v>0</v>
      </c>
      <c r="BC188" s="42" t="n">
        <f aca="false">IFERROR(IF($C188="","",IF($D188="","",IFERROR(ROUND($D188*INDEX('🔖 배합비 참조'!$B$2:$CE$83,MATCH("식물성기름혼합제제(초록)",'🔖 배합비 참조'!$A$2:$A$83,0),MATCH($C188,'🔖 배합비 참조'!$B$1:$CE$1,0))/100,0),""))),"")</f>
        <v>0</v>
      </c>
      <c r="BD188" s="42" t="n">
        <f aca="false">IFERROR(IF($C188="","",IF($D188="","",IFERROR(ROUND($D188*INDEX('🔖 배합비 참조'!$B$2:$CE$83,MATCH("식물성기름혼합제제(황색)",'🔖 배합비 참조'!$A$2:$A$83,0),MATCH($C188,'🔖 배합비 참조'!$B$1:$CE$1,0))/100,0),""))),"")</f>
        <v>0</v>
      </c>
      <c r="BE188" s="42" t="n">
        <f aca="false">IFERROR(IF($C188="","",IF($D188="","",IFERROR(ROUND($D188*INDEX('🔖 배합비 참조'!$B$2:$CE$83,MATCH("쑥가루(국내산)",'🔖 배합비 참조'!$A$2:$A$83,0),MATCH($C188,'🔖 배합비 참조'!$B$1:$CE$1,0))/100,0),""))),"")</f>
        <v>0</v>
      </c>
      <c r="BF188" s="42" t="n">
        <f aca="false">IFERROR(IF($C188="","",IF($D188="","",IFERROR(ROUND($D188*INDEX('🔖 배합비 참조'!$B$2:$CE$83,MATCH("아몬드슬라이스",'🔖 배합비 참조'!$A$2:$A$83,0),MATCH($C188,'🔖 배합비 참조'!$B$1:$CE$1,0))/100,0),""))),"")</f>
        <v>0</v>
      </c>
      <c r="BG188" s="42" t="n">
        <f aca="false">IFERROR(IF($C188="","",IF($D188="","",IFERROR(ROUND($D188*INDEX('🔖 배합비 참조'!$B$2:$CE$83,MATCH("알룰로오스(국내산)",'🔖 배합비 참조'!$A$2:$A$83,0),MATCH($C188,'🔖 배합비 참조'!$B$1:$CE$1,0))/100,0),""))),"")</f>
        <v>0</v>
      </c>
      <c r="BH188" s="42" t="n">
        <f aca="false">IFERROR(IF($C188="","",IF($D188="","",IFERROR(ROUND($D188*INDEX('🔖 배합비 참조'!$B$2:$CE$83,MATCH("연유",'🔖 배합비 참조'!$A$2:$A$83,0),MATCH($C188,'🔖 배합비 참조'!$B$1:$CE$1,0))/100,0),""))),"")</f>
        <v>0</v>
      </c>
      <c r="BI188" s="42" t="n">
        <f aca="false">IFERROR(IF($C188="","",IF($D188="","",IFERROR(ROUND($D188*INDEX('🔖 배합비 참조'!$B$2:$CE$83,MATCH("옥수수전분",'🔖 배합비 참조'!$A$2:$A$83,0),MATCH($C188,'🔖 배합비 참조'!$B$1:$CE$1,0))/100,0),""))),"")</f>
        <v>0</v>
      </c>
      <c r="BJ188" s="42" t="n">
        <f aca="false">IFERROR(IF($C188="","",IF($D188="","",IFERROR(ROUND($D188*INDEX('🔖 배합비 참조'!$B$2:$CE$83,MATCH("완두배기",'🔖 배합비 참조'!$A$2:$A$83,0),MATCH($C188,'🔖 배합비 참조'!$B$1:$CE$1,0))/100,0),""))),"")</f>
        <v>0</v>
      </c>
      <c r="BK188" s="42" t="n">
        <f aca="false">IFERROR(IF($C188="","",IF($D188="","",IFERROR(ROUND($D188*INDEX('🔖 배합비 참조'!$B$2:$CE$83,MATCH("우유(국내산)",'🔖 배합비 참조'!$A$2:$A$83,0),MATCH($C188,'🔖 배합비 참조'!$B$1:$CE$1,0))/100,0),""))),"")</f>
        <v>0</v>
      </c>
      <c r="BL188" s="42" t="n">
        <f aca="false">IFERROR(IF($C188="","",IF($D188="","",IFERROR(ROUND($D188*INDEX('🔖 배합비 참조'!$B$2:$CE$83,MATCH("자색고구마가루(중국산)",'🔖 배합비 참조'!$A$2:$A$83,0),MATCH($C188,'🔖 배합비 참조'!$B$1:$CE$1,0))/100,0),""))),"")</f>
        <v>0</v>
      </c>
      <c r="BM188" s="42" t="n">
        <f aca="false">IFERROR(IF($C188="","",IF($D188="","",IFERROR(ROUND($D188*INDEX('🔖 배합비 참조'!$B$2:$CE$83,MATCH("자연치즈(체다치즈)",'🔖 배합비 참조'!$A$2:$A$83,0),MATCH($C188,'🔖 배합비 참조'!$B$1:$CE$1,0))/100,0),""))),"")</f>
        <v>0</v>
      </c>
      <c r="BN188" s="42" t="n">
        <f aca="false">IFERROR(IF($C188="","",IF($D188="","",IFERROR(ROUND($D188*INDEX('🔖 배합비 참조'!$B$2:$CE$83,MATCH("정제수",'🔖 배합비 참조'!$A$2:$A$83,0),MATCH($C188,'🔖 배합비 참조'!$B$1:$CE$1,0))/100,0),""))),"")</f>
        <v>30</v>
      </c>
      <c r="BO188" s="42" t="n">
        <f aca="false">IFERROR(IF($C188="","",IF($D188="","",IFERROR(ROUND($D188*INDEX('🔖 배합비 참조'!$B$2:$CE$83,MATCH("젤라틴",'🔖 배합비 참조'!$A$2:$A$83,0),MATCH($C188,'🔖 배합비 참조'!$B$1:$CE$1,0))/100,0),""))),"")</f>
        <v>0</v>
      </c>
      <c r="BP188" s="42" t="n">
        <f aca="false">IFERROR(IF($C188="","",IF($D188="","",IFERROR(ROUND($D188*INDEX('🔖 배합비 참조'!$B$2:$CE$83,MATCH("조림류(백옥앙금)",'🔖 배합비 참조'!$A$2:$A$83,0),MATCH($C188,'🔖 배합비 참조'!$B$1:$CE$1,0))/100,0),""))),"")</f>
        <v>0</v>
      </c>
      <c r="BQ188" s="42" t="n">
        <f aca="false">IFERROR(IF($C188="","",IF($D188="","",IFERROR(ROUND($D188*INDEX('🔖 배합비 참조'!$B$2:$CE$83,MATCH("조림류(통팥앙금)",'🔖 배합비 참조'!$A$2:$A$83,0),MATCH($C188,'🔖 배합비 참조'!$B$1:$CE$1,0))/100,0),""))),"")</f>
        <v>178</v>
      </c>
      <c r="BR188" s="42" t="n">
        <f aca="false">IFERROR(IF($C188="","",IF($D188="","",IFERROR(ROUND($D188*INDEX('🔖 배합비 참조'!$B$2:$CE$83,MATCH("준초콜릿(외국산)",'🔖 배합비 참조'!$A$2:$A$83,0),MATCH($C188,'🔖 배합비 참조'!$B$1:$CE$1,0))/100,0),""))),"")</f>
        <v>0</v>
      </c>
      <c r="BS188" s="42" t="n">
        <f aca="false">IFERROR(IF($C188="","",IF($D188="","",IFERROR(ROUND($D188*INDEX('🔖 배합비 참조'!$B$2:$CE$83,MATCH("중력분",'🔖 배합비 참조'!$A$2:$A$83,0),MATCH($C188,'🔖 배합비 참조'!$B$1:$CE$1,0))/100,0),""))),"")</f>
        <v>20</v>
      </c>
      <c r="BT188" s="42" t="n">
        <f aca="false">IFERROR(IF($C188="","",IF($D188="","",IFERROR(ROUND($D188*INDEX('🔖 배합비 참조'!$B$2:$CE$83,MATCH("참깨(인도산,나이지리아산,탄자니아산,미얀마산)",'🔖 배합비 참조'!$A$2:$A$83,0),MATCH($C188,'🔖 배합비 참조'!$B$1:$CE$1,0))/100,0),""))),"")</f>
        <v>0</v>
      </c>
      <c r="BU188" s="42" t="n">
        <f aca="false">IFERROR(IF($C188="","",IF($D188="","",IFERROR(ROUND($D188*INDEX('🔖 배합비 참조'!$B$2:$CE$83,MATCH("찹쌀(국내산)",'🔖 배합비 참조'!$A$2:$A$83,0),MATCH($C188,'🔖 배합비 참조'!$B$1:$CE$1,0))/100,0),""))),"")</f>
        <v>426</v>
      </c>
      <c r="BV188" s="42" t="n">
        <f aca="false">IFERROR(IF($C188="","",IF($D188="","",IFERROR(ROUND($D188*INDEX('🔖 배합비 참조'!$B$2:$CE$83,MATCH("천일염",'🔖 배합비 참조'!$A$2:$A$83,0),MATCH($C188,'🔖 배합비 참조'!$B$1:$CE$1,0))/100,0),""))),"")</f>
        <v>20</v>
      </c>
      <c r="BW188" s="42" t="n">
        <f aca="false">IFERROR(IF($C188="","",IF($D188="","",IFERROR(ROUND($D188*INDEX('🔖 배합비 참조'!$B$2:$CE$83,MATCH("치즈 [크림치즈]",'🔖 배합비 참조'!$A$2:$A$83,0),MATCH($C188,'🔖 배합비 참조'!$B$1:$CE$1,0))/100,0),""))),"")</f>
        <v>0</v>
      </c>
      <c r="BX188" s="42" t="n">
        <f aca="false">IFERROR(IF($C188="","",IF($D188="","",IFERROR(ROUND($D188*INDEX('🔖 배합비 참조'!$B$2:$CE$83,MATCH("코코아가공품류(코코아분말)",'🔖 배합비 참조'!$A$2:$A$83,0),MATCH($C188,'🔖 배합비 참조'!$B$1:$CE$1,0))/100,0),""))),"")</f>
        <v>0</v>
      </c>
      <c r="BY188" s="42" t="n">
        <f aca="false">IFERROR(IF($C188="","",IF($D188="","",IFERROR(ROUND($D188*INDEX('🔖 배합비 참조'!$B$2:$CE$83,MATCH("콩기름(대두유)",'🔖 배합비 참조'!$A$2:$A$83,0),MATCH($C188,'🔖 배합비 참조'!$B$1:$CE$1,0))/100,0),""))),"")</f>
        <v>0</v>
      </c>
      <c r="BZ188" s="42" t="n">
        <f aca="false">IFERROR(IF($C188="","",IF($D188="","",IFERROR(ROUND($D188*INDEX('🔖 배합비 참조'!$B$2:$CE$83,MATCH("해바라기씨앗",'🔖 배합비 참조'!$A$2:$A$83,0),MATCH($C188,'🔖 배합비 참조'!$B$1:$CE$1,0))/100,0),""))),"")</f>
        <v>0</v>
      </c>
      <c r="CA188" s="42" t="n">
        <f aca="false">IFERROR(IF($C188="","",IF($D188="","",IFERROR(ROUND($D188*INDEX('🔖 배합비 참조'!$B$2:$CE$83,MATCH("현미(국내산)",'🔖 배합비 참조'!$A$2:$A$83,0),MATCH($C188,'🔖 배합비 참조'!$B$1:$CE$1,0))/100,0),""))),"")</f>
        <v>0</v>
      </c>
      <c r="CB188" s="42" t="n">
        <f aca="false">IFERROR(IF($C188="","",IF($D188="","",IFERROR(ROUND($D188*INDEX('🔖 배합비 참조'!$B$2:$CE$83,MATCH("현미멥쌀(국내산)",'🔖 배합비 참조'!$A$2:$A$83,0),MATCH($C188,'🔖 배합비 참조'!$B$1:$CE$1,0))/100,0),""))),"")</f>
        <v>0</v>
      </c>
      <c r="CC188" s="42" t="n">
        <f aca="false">IFERROR(IF($C188="","",IF($D188="","",IFERROR(ROUND($D188*INDEX('🔖 배합비 참조'!$B$2:$CE$83,MATCH("호두분태(미국산)",'🔖 배합비 참조'!$A$2:$A$83,0),MATCH($C188,'🔖 배합비 참조'!$B$1:$CE$1,0))/100,0),""))),"")</f>
        <v>0</v>
      </c>
      <c r="CD188" s="42" t="n">
        <f aca="false">IFERROR(IF($C188="","",IF($D188="","",IFERROR(ROUND($D188*INDEX('🔖 배합비 참조'!$B$2:$CE$83,MATCH("호박씨앗(외국산)",'🔖 배합비 참조'!$A$2:$A$83,0),MATCH($C188,'🔖 배합비 참조'!$B$1:$CE$1,0))/100,0),""))),"")</f>
        <v>0</v>
      </c>
      <c r="CE188" s="42" t="n">
        <f aca="false">IFERROR(IF($C188="","",IF($D188="","",IFERROR(ROUND($D188*INDEX('🔖 배합비 참조'!$B$2:$CE$83,MATCH("혼합제제(떡용에스텔)",'🔖 배합비 참조'!$A$2:$A$83,0),MATCH($C188,'🔖 배합비 참조'!$B$1:$CE$1,0))/100,0),""))),"")</f>
        <v>20</v>
      </c>
      <c r="CF188" s="42" t="n">
        <f aca="false">IFERROR(IF($C188="","",IF($D188="","",IFERROR(ROUND($D188*INDEX('🔖 배합비 참조'!$B$2:$CE$83,MATCH("혼합제제(스테비아)",'🔖 배합비 참조'!$A$2:$A$83,0),MATCH($C188,'🔖 배합비 참조'!$B$1:$CE$1,0))/100,0),""))),"")</f>
        <v>0</v>
      </c>
      <c r="CG188" s="42" t="n">
        <f aca="false">IFERROR(IF($C188="","",IF($D188="","",IFERROR(ROUND($D188*INDEX('🔖 배합비 참조'!$B$2:$CE$83,MATCH("화이트초콜릿",'🔖 배합비 참조'!$A$2:$A$83,0),MATCH($C188,'🔖 배합비 참조'!$B$1:$CE$1,0))/100,0),""))),"")</f>
        <v>0</v>
      </c>
      <c r="CH188" s="42" t="n">
        <f aca="false">IFERROR(IF($C188="","",IF($D188="","",IFERROR(ROUND($D188*INDEX('🔖 배합비 참조'!$B$2:$CE$83,MATCH("흑미찹쌀(국내산)",'🔖 배합비 참조'!$A$2:$A$83,0),MATCH($C188,'🔖 배합비 참조'!$B$1:$CE$1,0))/100,0),""))),"")</f>
        <v>0</v>
      </c>
      <c r="CI188" s="42" t="n">
        <f aca="false">IFERROR(IF($C188="","",IF($D188="","",IFERROR(ROUND($D188*INDEX('🔖 배합비 참조'!$B$2:$CE$83,MATCH("찰옥수수전분(미국산)",'🔖 배합비 참조'!$A$2:$A$83,0),MATCH($C188,'🔖 배합비 참조'!$B$1:$CE$1,0))/100,0),""))),"")</f>
        <v>89</v>
      </c>
      <c r="CJ188" s="40"/>
      <c r="CL188" s="1" t="s">
        <v>245</v>
      </c>
    </row>
    <row r="189" customFormat="false" ht="18" hidden="false" customHeight="true" outlineLevel="0" collapsed="false">
      <c r="A189" s="35" t="n">
        <v>185</v>
      </c>
      <c r="B189" s="36" t="n">
        <v>46049</v>
      </c>
      <c r="C189" s="37" t="s">
        <v>236</v>
      </c>
      <c r="D189" s="38" t="n">
        <v>110</v>
      </c>
      <c r="E189" s="13"/>
      <c r="F189" s="13"/>
      <c r="G189" s="39" t="n">
        <f aca="false">IFERROR(IF($C189="","",IF($D189="","",IFERROR(ROUND($D189*INDEX('🔖 배합비 참조'!$B$2:$CE$83,MATCH("간장",'🔖 배합비 참조'!$A$2:$A$83,0),MATCH($C189,'🔖 배합비 참조'!$B$1:$CE$1,0))/100,0),""))),"")</f>
        <v>0</v>
      </c>
      <c r="H189" s="39" t="n">
        <f aca="false">IFERROR(IF($C189="","",IF($D189="","",IFERROR(ROUND($D189*INDEX('🔖 배합비 참조'!$B$2:$CE$83,MATCH("강낭콩((울타리콩))",'🔖 배합비 참조'!$A$2:$A$83,0),MATCH($C189,'🔖 배합비 참조'!$B$1:$CE$1,0))/100,0),""))),"")</f>
        <v>0</v>
      </c>
      <c r="I189" s="39" t="n">
        <f aca="false">IFERROR(IF($C189="","",IF($D189="","",IFERROR(ROUND($D189*INDEX('🔖 배합비 참조'!$B$2:$CE$83,MATCH("건조딸기다이스(외국산)",'🔖 배합비 참조'!$A$2:$A$83,0),MATCH($C189,'🔖 배합비 참조'!$B$1:$CE$1,0))/100,0),""))),"")</f>
        <v>0</v>
      </c>
      <c r="J189" s="39" t="n">
        <f aca="false">IFERROR(IF($C189="","",IF($D189="","",IFERROR(ROUND($D189*INDEX('🔖 배합비 참조'!$B$2:$CE$83,MATCH("건포도",'🔖 배합비 참조'!$A$2:$A$83,0),MATCH($C189,'🔖 배합비 참조'!$B$1:$CE$1,0))/100,0),""))),"")</f>
        <v>0</v>
      </c>
      <c r="K189" s="39" t="n">
        <f aca="false">IFERROR(IF($C189="","",IF($D189="","",IFERROR(ROUND($D189*INDEX('🔖 배합비 참조'!$B$2:$CE$83,MATCH("건호박채(중국산)",'🔖 배합비 참조'!$A$2:$A$83,0),MATCH($C189,'🔖 배합비 참조'!$B$1:$CE$1,0))/100,0),""))),"")</f>
        <v>0</v>
      </c>
      <c r="L189" s="39" t="n">
        <f aca="false">IFERROR(IF($C189="","",IF($D189="","",IFERROR(ROUND($D189*INDEX('🔖 배합비 참조'!$B$2:$CE$83,MATCH("검정깨(흑임자)",'🔖 배합비 참조'!$A$2:$A$83,0),MATCH($C189,'🔖 배합비 참조'!$B$1:$CE$1,0))/100,0),""))),"")</f>
        <v>0</v>
      </c>
      <c r="M189" s="39" t="n">
        <f aca="false">IFERROR(IF($C189="","",IF($D189="","",IFERROR(ROUND($D189*INDEX('🔖 배합비 참조'!$B$2:$CE$83,MATCH("검정콩",'🔖 배합비 참조'!$A$2:$A$83,0),MATCH($C189,'🔖 배합비 참조'!$B$1:$CE$1,0))/100,0),""))),"")</f>
        <v>0</v>
      </c>
      <c r="N189" s="39" t="n">
        <f aca="false">IFERROR(IF($C189="","",IF($D189="","",IFERROR(ROUND($D189*INDEX('🔖 배합비 참조'!$B$2:$CE$83,MATCH("계피가루",'🔖 배합비 참조'!$A$2:$A$83,0),MATCH($C189,'🔖 배합비 참조'!$B$1:$CE$1,0))/100,0),""))),"")</f>
        <v>0</v>
      </c>
      <c r="O189" s="39" t="n">
        <f aca="false">IFERROR(IF($C189="","",IF($D189="","",IFERROR(ROUND($D189*INDEX('🔖 배합비 참조'!$B$2:$CE$83,MATCH("고구마가루",'🔖 배합비 참조'!$A$2:$A$83,0),MATCH($C189,'🔖 배합비 참조'!$B$1:$CE$1,0))/100,0),""))),"")</f>
        <v>0</v>
      </c>
      <c r="P189" s="39" t="n">
        <f aca="false">IFERROR(IF($C189="","",IF($D189="","",IFERROR(ROUND($D189*INDEX('🔖 배합비 참조'!$B$2:$CE$83,MATCH("고구마무스",'🔖 배합비 참조'!$A$2:$A$83,0),MATCH($C189,'🔖 배합비 참조'!$B$1:$CE$1,0))/100,0),""))),"")</f>
        <v>0</v>
      </c>
      <c r="Q189" s="39" t="n">
        <f aca="false">IFERROR(IF($C189="","",IF($D189="","",IFERROR(ROUND($D189*INDEX('🔖 배합비 참조'!$B$2:$CE$83,MATCH("고려엉겅퀴((곤드레)국내산)",'🔖 배합비 참조'!$A$2:$A$83,0),MATCH($C189,'🔖 배합비 참조'!$B$1:$CE$1,0))/100,0),""))),"")</f>
        <v>0</v>
      </c>
      <c r="R189" s="39" t="n">
        <f aca="false">IFERROR(IF($C189="","",IF($D189="","",IFERROR(ROUND($D189*INDEX('🔖 배합비 참조'!$B$2:$CE$83,MATCH("기타가공품(복분자가루)",'🔖 배합비 참조'!$A$2:$A$83,0),MATCH($C189,'🔖 배합비 참조'!$B$1:$CE$1,0))/100,0),""))),"")</f>
        <v>0</v>
      </c>
      <c r="S189" s="39" t="n">
        <f aca="false">IFERROR(IF($C189="","",IF($D189="","",IFERROR(ROUND($D189*INDEX('🔖 배합비 참조'!$B$2:$CE$83,MATCH("기타가공품(슈퍼소프트엠)",'🔖 배합비 참조'!$A$2:$A$83,0),MATCH($C189,'🔖 배합비 참조'!$B$1:$CE$1,0))/100,0),""))),"")</f>
        <v>0</v>
      </c>
      <c r="T189" s="39" t="n">
        <f aca="false">IFERROR(IF($C189="","",IF($D189="","",IFERROR(ROUND($D189*INDEX('🔖 배합비 참조'!$B$2:$CE$83,MATCH("기타가공품(파인소프트 E-티)",'🔖 배합비 참조'!$A$2:$A$83,0),MATCH($C189,'🔖 배합비 참조'!$B$1:$CE$1,0))/100,0),""))),"")</f>
        <v>0</v>
      </c>
      <c r="U189" s="39" t="n">
        <f aca="false">IFERROR(IF($C189="","",IF($D189="","",IFERROR(ROUND($D189*INDEX('🔖 배합비 참조'!$B$2:$CE$83,MATCH("기타가공품(프리미엄카스테라가루)",'🔖 배합비 참조'!$A$2:$A$83,0),MATCH($C189,'🔖 배합비 참조'!$B$1:$CE$1,0))/100,0),""))),"")</f>
        <v>0</v>
      </c>
      <c r="V189" s="39" t="n">
        <f aca="false">IFERROR(IF($C189="","",IF($D189="","",IFERROR(ROUND($D189*INDEX('🔖 배합비 참조'!$B$2:$CE$83,MATCH("기타가공품(흑임자가루)",'🔖 배합비 참조'!$A$2:$A$83,0),MATCH($C189,'🔖 배합비 참조'!$B$1:$CE$1,0))/100,0),""))),"")</f>
        <v>0</v>
      </c>
      <c r="W189" s="39" t="n">
        <f aca="false">IFERROR(IF($C189="","",IF($D189="","",IFERROR(ROUND($D189*INDEX('🔖 배합비 참조'!$B$2:$CE$83,MATCH("기타설탕(흑설탕)",'🔖 배합비 참조'!$A$2:$A$83,0),MATCH($C189,'🔖 배합비 참조'!$B$1:$CE$1,0))/100,0),""))),"")</f>
        <v>0</v>
      </c>
      <c r="X189" s="39" t="n">
        <f aca="false">IFERROR(IF($C189="","",IF($D189="","",IFERROR(ROUND($D189*INDEX('🔖 배합비 참조'!$B$2:$CE$83,MATCH("냉동쑥(국내산)",'🔖 배합비 참조'!$A$2:$A$83,0),MATCH($C189,'🔖 배합비 참조'!$B$1:$CE$1,0))/100,0),""))),"")</f>
        <v>2</v>
      </c>
      <c r="Y189" s="39" t="n">
        <f aca="false">IFERROR(IF($C189="","",IF($D189="","",IFERROR(ROUND($D189*INDEX('🔖 배합비 참조'!$B$2:$CE$83,MATCH("냉동증숙고구마(중국산)",'🔖 배합비 참조'!$A$2:$A$83,0),MATCH($C189,'🔖 배합비 참조'!$B$1:$CE$1,0))/100,0),""))),"")</f>
        <v>0</v>
      </c>
      <c r="Z189" s="39" t="n">
        <f aca="false">IFERROR(IF($C189="","",IF($D189="","",IFERROR(ROUND($D189*INDEX('🔖 배합비 참조'!$B$2:$CE$83,MATCH("녹차가루",'🔖 배합비 참조'!$A$2:$A$83,0),MATCH($C189,'🔖 배합비 참조'!$B$1:$CE$1,0))/100,0),""))),"")</f>
        <v>0</v>
      </c>
      <c r="AA189" s="39" t="n">
        <f aca="false">IFERROR(IF($C189="","",IF($D189="","",IFERROR(ROUND($D189*INDEX('🔖 배합비 참조'!$B$2:$CE$83,MATCH("다크초콜릿 컴파운드칩",'🔖 배합비 참조'!$A$2:$A$83,0),MATCH($C189,'🔖 배합비 참조'!$B$1:$CE$1,0))/100,0),""))),"")</f>
        <v>0</v>
      </c>
      <c r="AB189" s="39" t="n">
        <f aca="false">IFERROR(IF($C189="","",IF($D189="","",IFERROR(ROUND($D189*INDEX('🔖 배합비 참조'!$B$2:$CE$83,MATCH("단호박분말(중국산)",'🔖 배합비 참조'!$A$2:$A$83,0),MATCH($C189,'🔖 배합비 참조'!$B$1:$CE$1,0))/100,0),""))),"")</f>
        <v>0</v>
      </c>
      <c r="AC189" s="39" t="n">
        <f aca="false">IFERROR(IF($C189="","",IF($D189="","",IFERROR(ROUND($D189*INDEX('🔖 배합비 참조'!$B$2:$CE$83,MATCH("당류가공품(단호박농축액)",'🔖 배합비 참조'!$A$2:$A$83,0),MATCH($C189,'🔖 배합비 참조'!$B$1:$CE$1,0))/100,0),""))),"")</f>
        <v>0</v>
      </c>
      <c r="AD189" s="39" t="n">
        <f aca="false">IFERROR(IF($C189="","",IF($D189="","",IFERROR(ROUND($D189*INDEX('🔖 배합비 참조'!$B$2:$CE$83,MATCH("당류가공품(알룰로스,에리스리톨,스테비올배당체혼합)",'🔖 배합비 참조'!$A$2:$A$83,0),MATCH($C189,'🔖 배합비 참조'!$B$1:$CE$1,0))/100,0),""))),"")</f>
        <v>0</v>
      </c>
      <c r="AE189" s="39" t="n">
        <f aca="false">IFERROR(IF($C189="","",IF($D189="","",IFERROR(ROUND($D189*INDEX('🔖 배합비 참조'!$B$2:$CE$83,MATCH("당류가공품(알룰로스제로파우더)",'🔖 배합비 참조'!$A$2:$A$83,0),MATCH($C189,'🔖 배합비 참조'!$B$1:$CE$1,0))/100,0),""))),"")</f>
        <v>0</v>
      </c>
      <c r="AF189" s="39" t="n">
        <f aca="false">IFERROR(IF($C189="","",IF($D189="","",IFERROR(ROUND($D189*INDEX('🔖 배합비 참조'!$B$2:$CE$83,MATCH("당절임(완두배기)",'🔖 배합비 참조'!$A$2:$A$83,0),MATCH($C189,'🔖 배합비 참조'!$B$1:$CE$1,0))/100,0),""))),"")</f>
        <v>0</v>
      </c>
      <c r="AG189" s="39" t="n">
        <f aca="false">IFERROR(IF($C189="","",IF($D189="","",IFERROR(ROUND($D189*INDEX('🔖 배합비 참조'!$B$2:$CE$83,MATCH("대추농축액",'🔖 배합비 참조'!$A$2:$A$83,0),MATCH($C189,'🔖 배합비 참조'!$B$1:$CE$1,0))/100,0),""))),"")</f>
        <v>0</v>
      </c>
      <c r="AH189" s="39" t="n">
        <f aca="false">IFERROR(IF($C189="","",IF($D189="","",IFERROR(ROUND($D189*INDEX('🔖 배합비 참조'!$B$2:$CE$83,MATCH("대추채(국내산)",'🔖 배합비 참조'!$A$2:$A$83,0),MATCH($C189,'🔖 배합비 참조'!$B$1:$CE$1,0))/100,0),""))),"")</f>
        <v>0</v>
      </c>
      <c r="AI189" s="39" t="n">
        <f aca="false">IFERROR(IF($C189="","",IF($D189="","",IFERROR(ROUND($D189*INDEX('🔖 배합비 참조'!$B$2:$CE$83,MATCH("동부(미얀마산)",'🔖 배합비 참조'!$A$2:$A$83,0),MATCH($C189,'🔖 배합비 참조'!$B$1:$CE$1,0))/100,0),""))),"")</f>
        <v>14</v>
      </c>
      <c r="AJ189" s="39" t="n">
        <f aca="false">IFERROR(IF($C189="","",IF($D189="","",IFERROR(ROUND($D189*INDEX('🔖 배합비 참조'!$B$2:$CE$83,MATCH("두류가공품(백옥앙금)",'🔖 배합비 참조'!$A$2:$A$83,0),MATCH($C189,'🔖 배합비 참조'!$B$1:$CE$1,0))/100,0),""))),"")</f>
        <v>0</v>
      </c>
      <c r="AK189" s="39" t="n">
        <f aca="false">IFERROR(IF($C189="","",IF($D189="","",IFERROR(ROUND($D189*INDEX('🔖 배합비 참조'!$B$2:$CE$83,MATCH("두류가공품(콩고물)",'🔖 배합비 참조'!$A$2:$A$83,0),MATCH($C189,'🔖 배합비 참조'!$B$1:$CE$1,0))/100,0),""))),"")</f>
        <v>3</v>
      </c>
      <c r="AL189" s="39" t="n">
        <f aca="false">IFERROR(IF($C189="","",IF($D189="","",IFERROR(ROUND($D189*INDEX('🔖 배합비 참조'!$B$2:$CE$83,MATCH("두류가공품(통팥고물)",'🔖 배합비 참조'!$A$2:$A$83,0),MATCH($C189,'🔖 배합비 참조'!$B$1:$CE$1,0))/100,0),""))),"")</f>
        <v>0</v>
      </c>
      <c r="AM189" s="39" t="n">
        <f aca="false">IFERROR(IF($C189="","",IF($D189="","",IFERROR(ROUND($D189*INDEX('🔖 배합비 참조'!$B$2:$CE$83,MATCH("딸기레진",'🔖 배합비 참조'!$A$2:$A$83,0),MATCH($C189,'🔖 배합비 참조'!$B$1:$CE$1,0))/100,0),""))),"")</f>
        <v>0</v>
      </c>
      <c r="AN189" s="39" t="n">
        <f aca="false">IFERROR(IF($C189="","",IF($D189="","",IFERROR(ROUND($D189*INDEX('🔖 배합비 참조'!$B$2:$CE$83,MATCH("딸기분말(스트로우베리에이드(분말))",'🔖 배합비 참조'!$A$2:$A$83,0),MATCH($C189,'🔖 배합비 참조'!$B$1:$CE$1,0))/100,0),""))),"")</f>
        <v>0</v>
      </c>
      <c r="AO189" s="39" t="n">
        <f aca="false">IFERROR(IF($C189="","",IF($D189="","",IFERROR(ROUND($D189*INDEX('🔖 배합비 참조'!$B$2:$CE$83,MATCH("마스카포네치즈",'🔖 배합비 참조'!$A$2:$A$83,0),MATCH($C189,'🔖 배합비 참조'!$B$1:$CE$1,0))/100,0),""))),"")</f>
        <v>0</v>
      </c>
      <c r="AP189" s="39" t="n">
        <f aca="false">IFERROR(IF($C189="","",IF($D189="","",IFERROR(ROUND($D189*INDEX('🔖 배합비 참조'!$B$2:$CE$83,MATCH("마카다미아분태(호주산)",'🔖 배합비 참조'!$A$2:$A$83,0),MATCH($C189,'🔖 배합비 참조'!$B$1:$CE$1,0))/100,0),""))),"")</f>
        <v>0</v>
      </c>
      <c r="AQ189" s="39" t="n">
        <f aca="false">IFERROR(IF($C189="","",IF($D189="","",IFERROR(ROUND($D189*INDEX('🔖 배합비 참조'!$B$2:$CE$83,MATCH("멥쌀(국내산)",'🔖 배합비 참조'!$A$2:$A$83,0),MATCH($C189,'🔖 배합비 참조'!$B$1:$CE$1,0))/100,0),""))),"")</f>
        <v>0</v>
      </c>
      <c r="AR189" s="39" t="n">
        <f aca="false">IFERROR(IF($C189="","",IF($D189="","",IFERROR(ROUND($D189*INDEX('🔖 배합비 참조'!$B$2:$CE$83,MATCH("모시잎(국내산)",'🔖 배합비 참조'!$A$2:$A$83,0),MATCH($C189,'🔖 배합비 참조'!$B$1:$CE$1,0))/100,0),""))),"")</f>
        <v>0</v>
      </c>
      <c r="AS189" s="39" t="n">
        <f aca="false">IFERROR(IF($C189="","",IF($D189="","",IFERROR(ROUND($D189*INDEX('🔖 배합비 참조'!$B$2:$CE$83,MATCH("물엿(저당물엿)",'🔖 배합비 참조'!$A$2:$A$83,0),MATCH($C189,'🔖 배합비 참조'!$B$1:$CE$1,0))/100,0),""))),"")</f>
        <v>2</v>
      </c>
      <c r="AT189" s="39" t="n">
        <f aca="false">IFERROR(IF($C189="","",IF($D189="","",IFERROR(ROUND($D189*INDEX('🔖 배합비 참조'!$B$2:$CE$83,MATCH("밤다이스",'🔖 배합비 참조'!$A$2:$A$83,0),MATCH($C189,'🔖 배합비 참조'!$B$1:$CE$1,0))/100,0),""))),"")</f>
        <v>0</v>
      </c>
      <c r="AU189" s="39" t="n">
        <f aca="false">IFERROR(IF($C189="","",IF($D189="","",IFERROR(ROUND($D189*INDEX('🔖 배합비 참조'!$B$2:$CE$83,MATCH("변성전분(타피오카전분)",'🔖 배합비 참조'!$A$2:$A$83,0),MATCH($C189,'🔖 배합비 참조'!$B$1:$CE$1,0))/100,0),""))),"")</f>
        <v>0</v>
      </c>
      <c r="AV189" s="39" t="n">
        <f aca="false">IFERROR(IF($C189="","",IF($D189="","",IFERROR(ROUND($D189*INDEX('🔖 배합비 참조'!$B$2:$CE$83,MATCH("복음땅콩분태",'🔖 배합비 참조'!$A$2:$A$83,0),MATCH($C189,'🔖 배합비 참조'!$B$1:$CE$1,0))/100,0),""))),"")</f>
        <v>0</v>
      </c>
      <c r="AW189" s="39" t="n">
        <f aca="false">IFERROR(IF($C189="","",IF($D189="","",IFERROR(ROUND($D189*INDEX('🔖 배합비 참조'!$B$2:$CE$83,MATCH("사양벌꿀(국내산)",'🔖 배합비 참조'!$A$2:$A$83,0),MATCH($C189,'🔖 배합비 참조'!$B$1:$CE$1,0))/100,0),""))),"")</f>
        <v>0</v>
      </c>
      <c r="AX189" s="39" t="n">
        <f aca="false">IFERROR(IF($C189="","",IF($D189="","",IFERROR(ROUND($D189*INDEX('🔖 배합비 참조'!$B$2:$CE$83,MATCH("생크림",'🔖 배합비 참조'!$A$2:$A$83,0),MATCH($C189,'🔖 배합비 참조'!$B$1:$CE$1,0))/100,0),""))),"")</f>
        <v>0</v>
      </c>
      <c r="AY189" s="39" t="n">
        <f aca="false">IFERROR(IF($C189="","",IF($D189="","",IFERROR(ROUND($D189*INDEX('🔖 배합비 참조'!$B$2:$CE$83,MATCH("서양호박(국내산,뉴질랜드산)",'🔖 배합비 참조'!$A$2:$A$83,0),MATCH($C189,'🔖 배합비 참조'!$B$1:$CE$1,0))/100,0),""))),"")</f>
        <v>0</v>
      </c>
      <c r="AZ189" s="39" t="n">
        <f aca="false">IFERROR(IF($C189="","",IF($D189="","",IFERROR(ROUND($D189*INDEX('🔖 배합비 참조'!$B$2:$CE$83,MATCH("설탕",'🔖 배합비 참조'!$A$2:$A$83,0),MATCH($C189,'🔖 배합비 참조'!$B$1:$CE$1,0))/100,0),""))),"")</f>
        <v>2</v>
      </c>
      <c r="BA189" s="39" t="n">
        <f aca="false">IFERROR(IF($C189="","",IF($D189="","",IFERROR(ROUND($D189*INDEX('🔖 배합비 참조'!$B$2:$CE$83,MATCH("스트로우베리 에이드 후레쉬",'🔖 배합비 참조'!$A$2:$A$83,0),MATCH($C189,'🔖 배합비 참조'!$B$1:$CE$1,0))/100,0),""))),"")</f>
        <v>0</v>
      </c>
      <c r="BB189" s="39" t="n">
        <f aca="false">IFERROR(IF($C189="","",IF($D189="","",IFERROR(ROUND($D189*INDEX('🔖 배합비 참조'!$B$2:$CE$83,MATCH("식물성기름혼합제제(분홍)",'🔖 배합비 참조'!$A$2:$A$83,0),MATCH($C189,'🔖 배합비 참조'!$B$1:$CE$1,0))/100,0),""))),"")</f>
        <v>0</v>
      </c>
      <c r="BC189" s="39" t="n">
        <f aca="false">IFERROR(IF($C189="","",IF($D189="","",IFERROR(ROUND($D189*INDEX('🔖 배합비 참조'!$B$2:$CE$83,MATCH("식물성기름혼합제제(초록)",'🔖 배합비 참조'!$A$2:$A$83,0),MATCH($C189,'🔖 배합비 참조'!$B$1:$CE$1,0))/100,0),""))),"")</f>
        <v>0</v>
      </c>
      <c r="BD189" s="39" t="n">
        <f aca="false">IFERROR(IF($C189="","",IF($D189="","",IFERROR(ROUND($D189*INDEX('🔖 배합비 참조'!$B$2:$CE$83,MATCH("식물성기름혼합제제(황색)",'🔖 배합비 참조'!$A$2:$A$83,0),MATCH($C189,'🔖 배합비 참조'!$B$1:$CE$1,0))/100,0),""))),"")</f>
        <v>0</v>
      </c>
      <c r="BE189" s="39" t="n">
        <f aca="false">IFERROR(IF($C189="","",IF($D189="","",IFERROR(ROUND($D189*INDEX('🔖 배합비 참조'!$B$2:$CE$83,MATCH("쑥가루(국내산)",'🔖 배합비 참조'!$A$2:$A$83,0),MATCH($C189,'🔖 배합비 참조'!$B$1:$CE$1,0))/100,0),""))),"")</f>
        <v>1</v>
      </c>
      <c r="BF189" s="39" t="n">
        <f aca="false">IFERROR(IF($C189="","",IF($D189="","",IFERROR(ROUND($D189*INDEX('🔖 배합비 참조'!$B$2:$CE$83,MATCH("아몬드슬라이스",'🔖 배합비 참조'!$A$2:$A$83,0),MATCH($C189,'🔖 배합비 참조'!$B$1:$CE$1,0))/100,0),""))),"")</f>
        <v>0</v>
      </c>
      <c r="BG189" s="39" t="n">
        <f aca="false">IFERROR(IF($C189="","",IF($D189="","",IFERROR(ROUND($D189*INDEX('🔖 배합비 참조'!$B$2:$CE$83,MATCH("알룰로오스(국내산)",'🔖 배합비 참조'!$A$2:$A$83,0),MATCH($C189,'🔖 배합비 참조'!$B$1:$CE$1,0))/100,0),""))),"")</f>
        <v>0</v>
      </c>
      <c r="BH189" s="39" t="n">
        <f aca="false">IFERROR(IF($C189="","",IF($D189="","",IFERROR(ROUND($D189*INDEX('🔖 배합비 참조'!$B$2:$CE$83,MATCH("연유",'🔖 배합비 참조'!$A$2:$A$83,0),MATCH($C189,'🔖 배합비 참조'!$B$1:$CE$1,0))/100,0),""))),"")</f>
        <v>0</v>
      </c>
      <c r="BI189" s="39" t="n">
        <f aca="false">IFERROR(IF($C189="","",IF($D189="","",IFERROR(ROUND($D189*INDEX('🔖 배합비 참조'!$B$2:$CE$83,MATCH("옥수수전분",'🔖 배합비 참조'!$A$2:$A$83,0),MATCH($C189,'🔖 배합비 참조'!$B$1:$CE$1,0))/100,0),""))),"")</f>
        <v>0</v>
      </c>
      <c r="BJ189" s="39" t="n">
        <f aca="false">IFERROR(IF($C189="","",IF($D189="","",IFERROR(ROUND($D189*INDEX('🔖 배합비 참조'!$B$2:$CE$83,MATCH("완두배기",'🔖 배합비 참조'!$A$2:$A$83,0),MATCH($C189,'🔖 배합비 참조'!$B$1:$CE$1,0))/100,0),""))),"")</f>
        <v>0</v>
      </c>
      <c r="BK189" s="39" t="n">
        <f aca="false">IFERROR(IF($C189="","",IF($D189="","",IFERROR(ROUND($D189*INDEX('🔖 배합비 참조'!$B$2:$CE$83,MATCH("우유(국내산)",'🔖 배합비 참조'!$A$2:$A$83,0),MATCH($C189,'🔖 배합비 참조'!$B$1:$CE$1,0))/100,0),""))),"")</f>
        <v>0</v>
      </c>
      <c r="BL189" s="39" t="n">
        <f aca="false">IFERROR(IF($C189="","",IF($D189="","",IFERROR(ROUND($D189*INDEX('🔖 배합비 참조'!$B$2:$CE$83,MATCH("자색고구마가루(중국산)",'🔖 배합비 참조'!$A$2:$A$83,0),MATCH($C189,'🔖 배합비 참조'!$B$1:$CE$1,0))/100,0),""))),"")</f>
        <v>0</v>
      </c>
      <c r="BM189" s="39" t="n">
        <f aca="false">IFERROR(IF($C189="","",IF($D189="","",IFERROR(ROUND($D189*INDEX('🔖 배합비 참조'!$B$2:$CE$83,MATCH("자연치즈(체다치즈)",'🔖 배합비 참조'!$A$2:$A$83,0),MATCH($C189,'🔖 배합비 참조'!$B$1:$CE$1,0))/100,0),""))),"")</f>
        <v>0</v>
      </c>
      <c r="BN189" s="39" t="n">
        <f aca="false">IFERROR(IF($C189="","",IF($D189="","",IFERROR(ROUND($D189*INDEX('🔖 배합비 참조'!$B$2:$CE$83,MATCH("정제수",'🔖 배합비 참조'!$A$2:$A$83,0),MATCH($C189,'🔖 배합비 참조'!$B$1:$CE$1,0))/100,0),""))),"")</f>
        <v>13</v>
      </c>
      <c r="BO189" s="39" t="n">
        <f aca="false">IFERROR(IF($C189="","",IF($D189="","",IFERROR(ROUND($D189*INDEX('🔖 배합비 참조'!$B$2:$CE$83,MATCH("젤라틴",'🔖 배합비 참조'!$A$2:$A$83,0),MATCH($C189,'🔖 배합비 참조'!$B$1:$CE$1,0))/100,0),""))),"")</f>
        <v>0</v>
      </c>
      <c r="BP189" s="39" t="n">
        <f aca="false">IFERROR(IF($C189="","",IF($D189="","",IFERROR(ROUND($D189*INDEX('🔖 배합비 참조'!$B$2:$CE$83,MATCH("조림류(백옥앙금)",'🔖 배합비 참조'!$A$2:$A$83,0),MATCH($C189,'🔖 배합비 참조'!$B$1:$CE$1,0))/100,0),""))),"")</f>
        <v>27</v>
      </c>
      <c r="BQ189" s="39" t="n">
        <f aca="false">IFERROR(IF($C189="","",IF($D189="","",IFERROR(ROUND($D189*INDEX('🔖 배합비 참조'!$B$2:$CE$83,MATCH("조림류(통팥앙금)",'🔖 배합비 참조'!$A$2:$A$83,0),MATCH($C189,'🔖 배합비 참조'!$B$1:$CE$1,0))/100,0),""))),"")</f>
        <v>0</v>
      </c>
      <c r="BR189" s="39" t="n">
        <f aca="false">IFERROR(IF($C189="","",IF($D189="","",IFERROR(ROUND($D189*INDEX('🔖 배합비 참조'!$B$2:$CE$83,MATCH("준초콜릿(외국산)",'🔖 배합비 참조'!$A$2:$A$83,0),MATCH($C189,'🔖 배합비 참조'!$B$1:$CE$1,0))/100,0),""))),"")</f>
        <v>0</v>
      </c>
      <c r="BS189" s="39" t="n">
        <f aca="false">IFERROR(IF($C189="","",IF($D189="","",IFERROR(ROUND($D189*INDEX('🔖 배합비 참조'!$B$2:$CE$83,MATCH("중력분",'🔖 배합비 참조'!$A$2:$A$83,0),MATCH($C189,'🔖 배합비 참조'!$B$1:$CE$1,0))/100,0),""))),"")</f>
        <v>1</v>
      </c>
      <c r="BT189" s="39" t="n">
        <f aca="false">IFERROR(IF($C189="","",IF($D189="","",IFERROR(ROUND($D189*INDEX('🔖 배합비 참조'!$B$2:$CE$83,MATCH("참깨(인도산,나이지리아산,탄자니아산,미얀마산)",'🔖 배합비 참조'!$A$2:$A$83,0),MATCH($C189,'🔖 배합비 참조'!$B$1:$CE$1,0))/100,0),""))),"")</f>
        <v>0</v>
      </c>
      <c r="BU189" s="39" t="n">
        <f aca="false">IFERROR(IF($C189="","",IF($D189="","",IFERROR(ROUND($D189*INDEX('🔖 배합비 참조'!$B$2:$CE$83,MATCH("찹쌀(국내산)",'🔖 배합비 참조'!$A$2:$A$83,0),MATCH($C189,'🔖 배합비 참조'!$B$1:$CE$1,0))/100,0),""))),"")</f>
        <v>44</v>
      </c>
      <c r="BV189" s="39" t="n">
        <f aca="false">IFERROR(IF($C189="","",IF($D189="","",IFERROR(ROUND($D189*INDEX('🔖 배합비 참조'!$B$2:$CE$83,MATCH("천일염",'🔖 배합비 참조'!$A$2:$A$83,0),MATCH($C189,'🔖 배합비 참조'!$B$1:$CE$1,0))/100,0),""))),"")</f>
        <v>1</v>
      </c>
      <c r="BW189" s="39" t="n">
        <f aca="false">IFERROR(IF($C189="","",IF($D189="","",IFERROR(ROUND($D189*INDEX('🔖 배합비 참조'!$B$2:$CE$83,MATCH("치즈 [크림치즈]",'🔖 배합비 참조'!$A$2:$A$83,0),MATCH($C189,'🔖 배합비 참조'!$B$1:$CE$1,0))/100,0),""))),"")</f>
        <v>0</v>
      </c>
      <c r="BX189" s="39" t="n">
        <f aca="false">IFERROR(IF($C189="","",IF($D189="","",IFERROR(ROUND($D189*INDEX('🔖 배합비 참조'!$B$2:$CE$83,MATCH("코코아가공품류(코코아분말)",'🔖 배합비 참조'!$A$2:$A$83,0),MATCH($C189,'🔖 배합비 참조'!$B$1:$CE$1,0))/100,0),""))),"")</f>
        <v>0</v>
      </c>
      <c r="BY189" s="39" t="n">
        <f aca="false">IFERROR(IF($C189="","",IF($D189="","",IFERROR(ROUND($D189*INDEX('🔖 배합비 참조'!$B$2:$CE$83,MATCH("콩기름(대두유)",'🔖 배합비 참조'!$A$2:$A$83,0),MATCH($C189,'🔖 배합비 참조'!$B$1:$CE$1,0))/100,0),""))),"")</f>
        <v>0</v>
      </c>
      <c r="BZ189" s="39" t="n">
        <f aca="false">IFERROR(IF($C189="","",IF($D189="","",IFERROR(ROUND($D189*INDEX('🔖 배합비 참조'!$B$2:$CE$83,MATCH("해바라기씨앗",'🔖 배합비 참조'!$A$2:$A$83,0),MATCH($C189,'🔖 배합비 참조'!$B$1:$CE$1,0))/100,0),""))),"")</f>
        <v>0</v>
      </c>
      <c r="CA189" s="39" t="n">
        <f aca="false">IFERROR(IF($C189="","",IF($D189="","",IFERROR(ROUND($D189*INDEX('🔖 배합비 참조'!$B$2:$CE$83,MATCH("현미(국내산)",'🔖 배합비 참조'!$A$2:$A$83,0),MATCH($C189,'🔖 배합비 참조'!$B$1:$CE$1,0))/100,0),""))),"")</f>
        <v>0</v>
      </c>
      <c r="CB189" s="39" t="n">
        <f aca="false">IFERROR(IF($C189="","",IF($D189="","",IFERROR(ROUND($D189*INDEX('🔖 배합비 참조'!$B$2:$CE$83,MATCH("현미멥쌀(국내산)",'🔖 배합비 참조'!$A$2:$A$83,0),MATCH($C189,'🔖 배합비 참조'!$B$1:$CE$1,0))/100,0),""))),"")</f>
        <v>0</v>
      </c>
      <c r="CC189" s="39" t="n">
        <f aca="false">IFERROR(IF($C189="","",IF($D189="","",IFERROR(ROUND($D189*INDEX('🔖 배합비 참조'!$B$2:$CE$83,MATCH("호두분태(미국산)",'🔖 배합비 참조'!$A$2:$A$83,0),MATCH($C189,'🔖 배합비 참조'!$B$1:$CE$1,0))/100,0),""))),"")</f>
        <v>0</v>
      </c>
      <c r="CD189" s="39" t="n">
        <f aca="false">IFERROR(IF($C189="","",IF($D189="","",IFERROR(ROUND($D189*INDEX('🔖 배합비 참조'!$B$2:$CE$83,MATCH("호박씨앗(외국산)",'🔖 배합비 참조'!$A$2:$A$83,0),MATCH($C189,'🔖 배합비 참조'!$B$1:$CE$1,0))/100,0),""))),"")</f>
        <v>0</v>
      </c>
      <c r="CE189" s="39" t="n">
        <f aca="false">IFERROR(IF($C189="","",IF($D189="","",IFERROR(ROUND($D189*INDEX('🔖 배합비 참조'!$B$2:$CE$83,MATCH("혼합제제(떡용에스텔)",'🔖 배합비 참조'!$A$2:$A$83,0),MATCH($C189,'🔖 배합비 참조'!$B$1:$CE$1,0))/100,0),""))),"")</f>
        <v>0</v>
      </c>
      <c r="CF189" s="39" t="n">
        <f aca="false">IFERROR(IF($C189="","",IF($D189="","",IFERROR(ROUND($D189*INDEX('🔖 배합비 참조'!$B$2:$CE$83,MATCH("혼합제제(스테비아)",'🔖 배합비 참조'!$A$2:$A$83,0),MATCH($C189,'🔖 배합비 참조'!$B$1:$CE$1,0))/100,0),""))),"")</f>
        <v>0</v>
      </c>
      <c r="CG189" s="39" t="n">
        <f aca="false">IFERROR(IF($C189="","",IF($D189="","",IFERROR(ROUND($D189*INDEX('🔖 배합비 참조'!$B$2:$CE$83,MATCH("화이트초콜릿",'🔖 배합비 참조'!$A$2:$A$83,0),MATCH($C189,'🔖 배합비 참조'!$B$1:$CE$1,0))/100,0),""))),"")</f>
        <v>0</v>
      </c>
      <c r="CH189" s="39" t="n">
        <f aca="false">IFERROR(IF($C189="","",IF($D189="","",IFERROR(ROUND($D189*INDEX('🔖 배합비 참조'!$B$2:$CE$83,MATCH("흑미찹쌀(국내산)",'🔖 배합비 참조'!$A$2:$A$83,0),MATCH($C189,'🔖 배합비 참조'!$B$1:$CE$1,0))/100,0),""))),"")</f>
        <v>0</v>
      </c>
      <c r="CI189" s="39" t="n">
        <f aca="false">IFERROR(IF($C189="","",IF($D189="","",IFERROR(ROUND($D189*INDEX('🔖 배합비 참조'!$B$2:$CE$83,MATCH("찰옥수수전분(미국산)",'🔖 배합비 참조'!$A$2:$A$83,0),MATCH($C189,'🔖 배합비 참조'!$B$1:$CE$1,0))/100,0),""))),"")</f>
        <v>0</v>
      </c>
      <c r="CJ189" s="40"/>
      <c r="CL189" s="1" t="s">
        <v>245</v>
      </c>
    </row>
    <row r="190" customFormat="false" ht="18" hidden="false" customHeight="true" outlineLevel="0" collapsed="false">
      <c r="A190" s="41" t="n">
        <v>186</v>
      </c>
      <c r="B190" s="36" t="n">
        <v>46050</v>
      </c>
      <c r="C190" s="37" t="s">
        <v>155</v>
      </c>
      <c r="D190" s="38" t="n">
        <v>110</v>
      </c>
      <c r="E190" s="17"/>
      <c r="F190" s="17"/>
      <c r="G190" s="42" t="n">
        <f aca="false">IFERROR(IF($C190="","",IF($D190="","",IFERROR(ROUND($D190*INDEX('🔖 배합비 참조'!$B$2:$CE$83,MATCH("간장",'🔖 배합비 참조'!$A$2:$A$83,0),MATCH($C190,'🔖 배합비 참조'!$B$1:$CE$1,0))/100,0),""))),"")</f>
        <v>0</v>
      </c>
      <c r="H190" s="42" t="n">
        <f aca="false">IFERROR(IF($C190="","",IF($D190="","",IFERROR(ROUND($D190*INDEX('🔖 배합비 참조'!$B$2:$CE$83,MATCH("강낭콩((울타리콩))",'🔖 배합비 참조'!$A$2:$A$83,0),MATCH($C190,'🔖 배합비 참조'!$B$1:$CE$1,0))/100,0),""))),"")</f>
        <v>0</v>
      </c>
      <c r="I190" s="42" t="n">
        <f aca="false">IFERROR(IF($C190="","",IF($D190="","",IFERROR(ROUND($D190*INDEX('🔖 배합비 참조'!$B$2:$CE$83,MATCH("건조딸기다이스(외국산)",'🔖 배합비 참조'!$A$2:$A$83,0),MATCH($C190,'🔖 배합비 참조'!$B$1:$CE$1,0))/100,0),""))),"")</f>
        <v>0</v>
      </c>
      <c r="J190" s="42" t="n">
        <f aca="false">IFERROR(IF($C190="","",IF($D190="","",IFERROR(ROUND($D190*INDEX('🔖 배합비 참조'!$B$2:$CE$83,MATCH("건포도",'🔖 배합비 참조'!$A$2:$A$83,0),MATCH($C190,'🔖 배합비 참조'!$B$1:$CE$1,0))/100,0),""))),"")</f>
        <v>0</v>
      </c>
      <c r="K190" s="42" t="n">
        <f aca="false">IFERROR(IF($C190="","",IF($D190="","",IFERROR(ROUND($D190*INDEX('🔖 배합비 참조'!$B$2:$CE$83,MATCH("건호박채(중국산)",'🔖 배합비 참조'!$A$2:$A$83,0),MATCH($C190,'🔖 배합비 참조'!$B$1:$CE$1,0))/100,0),""))),"")</f>
        <v>0</v>
      </c>
      <c r="L190" s="42" t="n">
        <f aca="false">IFERROR(IF($C190="","",IF($D190="","",IFERROR(ROUND($D190*INDEX('🔖 배합비 참조'!$B$2:$CE$83,MATCH("검정깨(흑임자)",'🔖 배합비 참조'!$A$2:$A$83,0),MATCH($C190,'🔖 배합비 참조'!$B$1:$CE$1,0))/100,0),""))),"")</f>
        <v>0</v>
      </c>
      <c r="M190" s="42" t="n">
        <f aca="false">IFERROR(IF($C190="","",IF($D190="","",IFERROR(ROUND($D190*INDEX('🔖 배합비 참조'!$B$2:$CE$83,MATCH("검정콩",'🔖 배합비 참조'!$A$2:$A$83,0),MATCH($C190,'🔖 배합비 참조'!$B$1:$CE$1,0))/100,0),""))),"")</f>
        <v>0</v>
      </c>
      <c r="N190" s="42" t="n">
        <f aca="false">IFERROR(IF($C190="","",IF($D190="","",IFERROR(ROUND($D190*INDEX('🔖 배합비 참조'!$B$2:$CE$83,MATCH("계피가루",'🔖 배합비 참조'!$A$2:$A$83,0),MATCH($C190,'🔖 배합비 참조'!$B$1:$CE$1,0))/100,0),""))),"")</f>
        <v>0</v>
      </c>
      <c r="O190" s="42" t="n">
        <f aca="false">IFERROR(IF($C190="","",IF($D190="","",IFERROR(ROUND($D190*INDEX('🔖 배합비 참조'!$B$2:$CE$83,MATCH("고구마가루",'🔖 배합비 참조'!$A$2:$A$83,0),MATCH($C190,'🔖 배합비 참조'!$B$1:$CE$1,0))/100,0),""))),"")</f>
        <v>0</v>
      </c>
      <c r="P190" s="42" t="n">
        <f aca="false">IFERROR(IF($C190="","",IF($D190="","",IFERROR(ROUND($D190*INDEX('🔖 배합비 참조'!$B$2:$CE$83,MATCH("고구마무스",'🔖 배합비 참조'!$A$2:$A$83,0),MATCH($C190,'🔖 배합비 참조'!$B$1:$CE$1,0))/100,0),""))),"")</f>
        <v>0</v>
      </c>
      <c r="Q190" s="42" t="n">
        <f aca="false">IFERROR(IF($C190="","",IF($D190="","",IFERROR(ROUND($D190*INDEX('🔖 배합비 참조'!$B$2:$CE$83,MATCH("고려엉겅퀴((곤드레)국내산)",'🔖 배합비 참조'!$A$2:$A$83,0),MATCH($C190,'🔖 배합비 참조'!$B$1:$CE$1,0))/100,0),""))),"")</f>
        <v>0</v>
      </c>
      <c r="R190" s="42" t="n">
        <f aca="false">IFERROR(IF($C190="","",IF($D190="","",IFERROR(ROUND($D190*INDEX('🔖 배합비 참조'!$B$2:$CE$83,MATCH("기타가공품(복분자가루)",'🔖 배합비 참조'!$A$2:$A$83,0),MATCH($C190,'🔖 배합비 참조'!$B$1:$CE$1,0))/100,0),""))),"")</f>
        <v>0</v>
      </c>
      <c r="S190" s="42" t="n">
        <f aca="false">IFERROR(IF($C190="","",IF($D190="","",IFERROR(ROUND($D190*INDEX('🔖 배합비 참조'!$B$2:$CE$83,MATCH("기타가공품(슈퍼소프트엠)",'🔖 배합비 참조'!$A$2:$A$83,0),MATCH($C190,'🔖 배합비 참조'!$B$1:$CE$1,0))/100,0),""))),"")</f>
        <v>0</v>
      </c>
      <c r="T190" s="42" t="n">
        <f aca="false">IFERROR(IF($C190="","",IF($D190="","",IFERROR(ROUND($D190*INDEX('🔖 배합비 참조'!$B$2:$CE$83,MATCH("기타가공품(파인소프트 E-티)",'🔖 배합비 참조'!$A$2:$A$83,0),MATCH($C190,'🔖 배합비 참조'!$B$1:$CE$1,0))/100,0),""))),"")</f>
        <v>0</v>
      </c>
      <c r="U190" s="42" t="n">
        <f aca="false">IFERROR(IF($C190="","",IF($D190="","",IFERROR(ROUND($D190*INDEX('🔖 배합비 참조'!$B$2:$CE$83,MATCH("기타가공품(프리미엄카스테라가루)",'🔖 배합비 참조'!$A$2:$A$83,0),MATCH($C190,'🔖 배합비 참조'!$B$1:$CE$1,0))/100,0),""))),"")</f>
        <v>0</v>
      </c>
      <c r="V190" s="42" t="n">
        <f aca="false">IFERROR(IF($C190="","",IF($D190="","",IFERROR(ROUND($D190*INDEX('🔖 배합비 참조'!$B$2:$CE$83,MATCH("기타가공품(흑임자가루)",'🔖 배합비 참조'!$A$2:$A$83,0),MATCH($C190,'🔖 배합비 참조'!$B$1:$CE$1,0))/100,0),""))),"")</f>
        <v>0</v>
      </c>
      <c r="W190" s="42" t="n">
        <f aca="false">IFERROR(IF($C190="","",IF($D190="","",IFERROR(ROUND($D190*INDEX('🔖 배합비 참조'!$B$2:$CE$83,MATCH("기타설탕(흑설탕)",'🔖 배합비 참조'!$A$2:$A$83,0),MATCH($C190,'🔖 배합비 참조'!$B$1:$CE$1,0))/100,0),""))),"")</f>
        <v>0</v>
      </c>
      <c r="X190" s="42" t="n">
        <f aca="false">IFERROR(IF($C190="","",IF($D190="","",IFERROR(ROUND($D190*INDEX('🔖 배합비 참조'!$B$2:$CE$83,MATCH("냉동쑥(국내산)",'🔖 배합비 참조'!$A$2:$A$83,0),MATCH($C190,'🔖 배합비 참조'!$B$1:$CE$1,0))/100,0),""))),"")</f>
        <v>0</v>
      </c>
      <c r="Y190" s="42" t="n">
        <f aca="false">IFERROR(IF($C190="","",IF($D190="","",IFERROR(ROUND($D190*INDEX('🔖 배합비 참조'!$B$2:$CE$83,MATCH("냉동증숙고구마(중국산)",'🔖 배합비 참조'!$A$2:$A$83,0),MATCH($C190,'🔖 배합비 참조'!$B$1:$CE$1,0))/100,0),""))),"")</f>
        <v>0</v>
      </c>
      <c r="Z190" s="42" t="n">
        <f aca="false">IFERROR(IF($C190="","",IF($D190="","",IFERROR(ROUND($D190*INDEX('🔖 배합비 참조'!$B$2:$CE$83,MATCH("녹차가루",'🔖 배합비 참조'!$A$2:$A$83,0),MATCH($C190,'🔖 배합비 참조'!$B$1:$CE$1,0))/100,0),""))),"")</f>
        <v>0</v>
      </c>
      <c r="AA190" s="42" t="n">
        <f aca="false">IFERROR(IF($C190="","",IF($D190="","",IFERROR(ROUND($D190*INDEX('🔖 배합비 참조'!$B$2:$CE$83,MATCH("다크초콜릿 컴파운드칩",'🔖 배합비 참조'!$A$2:$A$83,0),MATCH($C190,'🔖 배합비 참조'!$B$1:$CE$1,0))/100,0),""))),"")</f>
        <v>0</v>
      </c>
      <c r="AB190" s="42" t="n">
        <f aca="false">IFERROR(IF($C190="","",IF($D190="","",IFERROR(ROUND($D190*INDEX('🔖 배합비 참조'!$B$2:$CE$83,MATCH("단호박분말(중국산)",'🔖 배합비 참조'!$A$2:$A$83,0),MATCH($C190,'🔖 배합비 참조'!$B$1:$CE$1,0))/100,0),""))),"")</f>
        <v>0</v>
      </c>
      <c r="AC190" s="42" t="n">
        <f aca="false">IFERROR(IF($C190="","",IF($D190="","",IFERROR(ROUND($D190*INDEX('🔖 배합비 참조'!$B$2:$CE$83,MATCH("당류가공품(단호박농축액)",'🔖 배합비 참조'!$A$2:$A$83,0),MATCH($C190,'🔖 배합비 참조'!$B$1:$CE$1,0))/100,0),""))),"")</f>
        <v>0</v>
      </c>
      <c r="AD190" s="42" t="n">
        <f aca="false">IFERROR(IF($C190="","",IF($D190="","",IFERROR(ROUND($D190*INDEX('🔖 배합비 참조'!$B$2:$CE$83,MATCH("당류가공품(알룰로스,에리스리톨,스테비올배당체혼합)",'🔖 배합비 참조'!$A$2:$A$83,0),MATCH($C190,'🔖 배합비 참조'!$B$1:$CE$1,0))/100,0),""))),"")</f>
        <v>0</v>
      </c>
      <c r="AE190" s="42" t="n">
        <f aca="false">IFERROR(IF($C190="","",IF($D190="","",IFERROR(ROUND($D190*INDEX('🔖 배합비 참조'!$B$2:$CE$83,MATCH("당류가공품(알룰로스제로파우더)",'🔖 배합비 참조'!$A$2:$A$83,0),MATCH($C190,'🔖 배합비 참조'!$B$1:$CE$1,0))/100,0),""))),"")</f>
        <v>0</v>
      </c>
      <c r="AF190" s="42" t="n">
        <f aca="false">IFERROR(IF($C190="","",IF($D190="","",IFERROR(ROUND($D190*INDEX('🔖 배합비 참조'!$B$2:$CE$83,MATCH("당절임(완두배기)",'🔖 배합비 참조'!$A$2:$A$83,0),MATCH($C190,'🔖 배합비 참조'!$B$1:$CE$1,0))/100,0),""))),"")</f>
        <v>0</v>
      </c>
      <c r="AG190" s="42" t="n">
        <f aca="false">IFERROR(IF($C190="","",IF($D190="","",IFERROR(ROUND($D190*INDEX('🔖 배합비 참조'!$B$2:$CE$83,MATCH("대추농축액",'🔖 배합비 참조'!$A$2:$A$83,0),MATCH($C190,'🔖 배합비 참조'!$B$1:$CE$1,0))/100,0),""))),"")</f>
        <v>0</v>
      </c>
      <c r="AH190" s="42" t="n">
        <f aca="false">IFERROR(IF($C190="","",IF($D190="","",IFERROR(ROUND($D190*INDEX('🔖 배합비 참조'!$B$2:$CE$83,MATCH("대추채(국내산)",'🔖 배합비 참조'!$A$2:$A$83,0),MATCH($C190,'🔖 배합비 참조'!$B$1:$CE$1,0))/100,0),""))),"")</f>
        <v>0</v>
      </c>
      <c r="AI190" s="42" t="n">
        <f aca="false">IFERROR(IF($C190="","",IF($D190="","",IFERROR(ROUND($D190*INDEX('🔖 배합비 참조'!$B$2:$CE$83,MATCH("동부(미얀마산)",'🔖 배합비 참조'!$A$2:$A$83,0),MATCH($C190,'🔖 배합비 참조'!$B$1:$CE$1,0))/100,0),""))),"")</f>
        <v>0</v>
      </c>
      <c r="AJ190" s="42" t="n">
        <f aca="false">IFERROR(IF($C190="","",IF($D190="","",IFERROR(ROUND($D190*INDEX('🔖 배합비 참조'!$B$2:$CE$83,MATCH("두류가공품(백옥앙금)",'🔖 배합비 참조'!$A$2:$A$83,0),MATCH($C190,'🔖 배합비 참조'!$B$1:$CE$1,0))/100,0),""))),"")</f>
        <v>0</v>
      </c>
      <c r="AK190" s="42" t="n">
        <f aca="false">IFERROR(IF($C190="","",IF($D190="","",IFERROR(ROUND($D190*INDEX('🔖 배합비 참조'!$B$2:$CE$83,MATCH("두류가공품(콩고물)",'🔖 배합비 참조'!$A$2:$A$83,0),MATCH($C190,'🔖 배합비 참조'!$B$1:$CE$1,0))/100,0),""))),"")</f>
        <v>0</v>
      </c>
      <c r="AL190" s="42" t="n">
        <f aca="false">IFERROR(IF($C190="","",IF($D190="","",IFERROR(ROUND($D190*INDEX('🔖 배합비 참조'!$B$2:$CE$83,MATCH("두류가공품(통팥고물)",'🔖 배합비 참조'!$A$2:$A$83,0),MATCH($C190,'🔖 배합비 참조'!$B$1:$CE$1,0))/100,0),""))),"")</f>
        <v>0</v>
      </c>
      <c r="AM190" s="42" t="n">
        <f aca="false">IFERROR(IF($C190="","",IF($D190="","",IFERROR(ROUND($D190*INDEX('🔖 배합비 참조'!$B$2:$CE$83,MATCH("딸기레진",'🔖 배합비 참조'!$A$2:$A$83,0),MATCH($C190,'🔖 배합비 참조'!$B$1:$CE$1,0))/100,0),""))),"")</f>
        <v>0</v>
      </c>
      <c r="AN190" s="42" t="n">
        <f aca="false">IFERROR(IF($C190="","",IF($D190="","",IFERROR(ROUND($D190*INDEX('🔖 배합비 참조'!$B$2:$CE$83,MATCH("딸기분말(스트로우베리에이드(분말))",'🔖 배합비 참조'!$A$2:$A$83,0),MATCH($C190,'🔖 배합비 참조'!$B$1:$CE$1,0))/100,0),""))),"")</f>
        <v>0</v>
      </c>
      <c r="AO190" s="42" t="n">
        <f aca="false">IFERROR(IF($C190="","",IF($D190="","",IFERROR(ROUND($D190*INDEX('🔖 배합비 참조'!$B$2:$CE$83,MATCH("마스카포네치즈",'🔖 배합비 참조'!$A$2:$A$83,0),MATCH($C190,'🔖 배합비 참조'!$B$1:$CE$1,0))/100,0),""))),"")</f>
        <v>0</v>
      </c>
      <c r="AP190" s="42" t="n">
        <f aca="false">IFERROR(IF($C190="","",IF($D190="","",IFERROR(ROUND($D190*INDEX('🔖 배합비 참조'!$B$2:$CE$83,MATCH("마카다미아분태(호주산)",'🔖 배합비 참조'!$A$2:$A$83,0),MATCH($C190,'🔖 배합비 참조'!$B$1:$CE$1,0))/100,0),""))),"")</f>
        <v>5</v>
      </c>
      <c r="AQ190" s="42" t="n">
        <f aca="false">IFERROR(IF($C190="","",IF($D190="","",IFERROR(ROUND($D190*INDEX('🔖 배합비 참조'!$B$2:$CE$83,MATCH("멥쌀(국내산)",'🔖 배합비 참조'!$A$2:$A$83,0),MATCH($C190,'🔖 배합비 참조'!$B$1:$CE$1,0))/100,0),""))),"")</f>
        <v>0</v>
      </c>
      <c r="AR190" s="42" t="n">
        <f aca="false">IFERROR(IF($C190="","",IF($D190="","",IFERROR(ROUND($D190*INDEX('🔖 배합비 참조'!$B$2:$CE$83,MATCH("모시잎(국내산)",'🔖 배합비 참조'!$A$2:$A$83,0),MATCH($C190,'🔖 배합비 참조'!$B$1:$CE$1,0))/100,0),""))),"")</f>
        <v>0</v>
      </c>
      <c r="AS190" s="42" t="n">
        <f aca="false">IFERROR(IF($C190="","",IF($D190="","",IFERROR(ROUND($D190*INDEX('🔖 배합비 참조'!$B$2:$CE$83,MATCH("물엿(저당물엿)",'🔖 배합비 참조'!$A$2:$A$83,0),MATCH($C190,'🔖 배합비 참조'!$B$1:$CE$1,0))/100,0),""))),"")</f>
        <v>2</v>
      </c>
      <c r="AT190" s="42" t="n">
        <f aca="false">IFERROR(IF($C190="","",IF($D190="","",IFERROR(ROUND($D190*INDEX('🔖 배합비 참조'!$B$2:$CE$83,MATCH("밤다이스",'🔖 배합비 참조'!$A$2:$A$83,0),MATCH($C190,'🔖 배합비 참조'!$B$1:$CE$1,0))/100,0),""))),"")</f>
        <v>1</v>
      </c>
      <c r="AU190" s="42" t="n">
        <f aca="false">IFERROR(IF($C190="","",IF($D190="","",IFERROR(ROUND($D190*INDEX('🔖 배합비 참조'!$B$2:$CE$83,MATCH("변성전분(타피오카전분)",'🔖 배합비 참조'!$A$2:$A$83,0),MATCH($C190,'🔖 배합비 참조'!$B$1:$CE$1,0))/100,0),""))),"")</f>
        <v>0</v>
      </c>
      <c r="AV190" s="42" t="n">
        <f aca="false">IFERROR(IF($C190="","",IF($D190="","",IFERROR(ROUND($D190*INDEX('🔖 배합비 참조'!$B$2:$CE$83,MATCH("복음땅콩분태",'🔖 배합비 참조'!$A$2:$A$83,0),MATCH($C190,'🔖 배합비 참조'!$B$1:$CE$1,0))/100,0),""))),"")</f>
        <v>0</v>
      </c>
      <c r="AW190" s="42" t="n">
        <f aca="false">IFERROR(IF($C190="","",IF($D190="","",IFERROR(ROUND($D190*INDEX('🔖 배합비 참조'!$B$2:$CE$83,MATCH("사양벌꿀(국내산)",'🔖 배합비 참조'!$A$2:$A$83,0),MATCH($C190,'🔖 배합비 참조'!$B$1:$CE$1,0))/100,0),""))),"")</f>
        <v>0</v>
      </c>
      <c r="AX190" s="42" t="n">
        <f aca="false">IFERROR(IF($C190="","",IF($D190="","",IFERROR(ROUND($D190*INDEX('🔖 배합비 참조'!$B$2:$CE$83,MATCH("생크림",'🔖 배합비 참조'!$A$2:$A$83,0),MATCH($C190,'🔖 배합비 참조'!$B$1:$CE$1,0))/100,0),""))),"")</f>
        <v>0</v>
      </c>
      <c r="AY190" s="42" t="n">
        <f aca="false">IFERROR(IF($C190="","",IF($D190="","",IFERROR(ROUND($D190*INDEX('🔖 배합비 참조'!$B$2:$CE$83,MATCH("서양호박(국내산,뉴질랜드산)",'🔖 배합비 참조'!$A$2:$A$83,0),MATCH($C190,'🔖 배합비 참조'!$B$1:$CE$1,0))/100,0),""))),"")</f>
        <v>0</v>
      </c>
      <c r="AZ190" s="42" t="n">
        <f aca="false">IFERROR(IF($C190="","",IF($D190="","",IFERROR(ROUND($D190*INDEX('🔖 배합비 참조'!$B$2:$CE$83,MATCH("설탕",'🔖 배합비 참조'!$A$2:$A$83,0),MATCH($C190,'🔖 배합비 참조'!$B$1:$CE$1,0))/100,0),""))),"")</f>
        <v>2</v>
      </c>
      <c r="BA190" s="42" t="n">
        <f aca="false">IFERROR(IF($C190="","",IF($D190="","",IFERROR(ROUND($D190*INDEX('🔖 배합비 참조'!$B$2:$CE$83,MATCH("스트로우베리 에이드 후레쉬",'🔖 배합비 참조'!$A$2:$A$83,0),MATCH($C190,'🔖 배합비 참조'!$B$1:$CE$1,0))/100,0),""))),"")</f>
        <v>0</v>
      </c>
      <c r="BB190" s="42" t="n">
        <f aca="false">IFERROR(IF($C190="","",IF($D190="","",IFERROR(ROUND($D190*INDEX('🔖 배합비 참조'!$B$2:$CE$83,MATCH("식물성기름혼합제제(분홍)",'🔖 배합비 참조'!$A$2:$A$83,0),MATCH($C190,'🔖 배합비 참조'!$B$1:$CE$1,0))/100,0),""))),"")</f>
        <v>0</v>
      </c>
      <c r="BC190" s="42" t="n">
        <f aca="false">IFERROR(IF($C190="","",IF($D190="","",IFERROR(ROUND($D190*INDEX('🔖 배합비 참조'!$B$2:$CE$83,MATCH("식물성기름혼합제제(초록)",'🔖 배합비 참조'!$A$2:$A$83,0),MATCH($C190,'🔖 배합비 참조'!$B$1:$CE$1,0))/100,0),""))),"")</f>
        <v>0</v>
      </c>
      <c r="BD190" s="42" t="n">
        <f aca="false">IFERROR(IF($C190="","",IF($D190="","",IFERROR(ROUND($D190*INDEX('🔖 배합비 참조'!$B$2:$CE$83,MATCH("식물성기름혼합제제(황색)",'🔖 배합비 참조'!$A$2:$A$83,0),MATCH($C190,'🔖 배합비 참조'!$B$1:$CE$1,0))/100,0),""))),"")</f>
        <v>0</v>
      </c>
      <c r="BE190" s="42" t="n">
        <f aca="false">IFERROR(IF($C190="","",IF($D190="","",IFERROR(ROUND($D190*INDEX('🔖 배합비 참조'!$B$2:$CE$83,MATCH("쑥가루(국내산)",'🔖 배합비 참조'!$A$2:$A$83,0),MATCH($C190,'🔖 배합비 참조'!$B$1:$CE$1,0))/100,0),""))),"")</f>
        <v>0</v>
      </c>
      <c r="BF190" s="42" t="n">
        <f aca="false">IFERROR(IF($C190="","",IF($D190="","",IFERROR(ROUND($D190*INDEX('🔖 배합비 참조'!$B$2:$CE$83,MATCH("아몬드슬라이스",'🔖 배합비 참조'!$A$2:$A$83,0),MATCH($C190,'🔖 배합비 참조'!$B$1:$CE$1,0))/100,0),""))),"")</f>
        <v>0</v>
      </c>
      <c r="BG190" s="42" t="n">
        <f aca="false">IFERROR(IF($C190="","",IF($D190="","",IFERROR(ROUND($D190*INDEX('🔖 배합비 참조'!$B$2:$CE$83,MATCH("알룰로오스(국내산)",'🔖 배합비 참조'!$A$2:$A$83,0),MATCH($C190,'🔖 배합비 참조'!$B$1:$CE$1,0))/100,0),""))),"")</f>
        <v>0</v>
      </c>
      <c r="BH190" s="42" t="n">
        <f aca="false">IFERROR(IF($C190="","",IF($D190="","",IFERROR(ROUND($D190*INDEX('🔖 배합비 참조'!$B$2:$CE$83,MATCH("연유",'🔖 배합비 참조'!$A$2:$A$83,0),MATCH($C190,'🔖 배합비 참조'!$B$1:$CE$1,0))/100,0),""))),"")</f>
        <v>0</v>
      </c>
      <c r="BI190" s="42" t="n">
        <f aca="false">IFERROR(IF($C190="","",IF($D190="","",IFERROR(ROUND($D190*INDEX('🔖 배합비 참조'!$B$2:$CE$83,MATCH("옥수수전분",'🔖 배합비 참조'!$A$2:$A$83,0),MATCH($C190,'🔖 배합비 참조'!$B$1:$CE$1,0))/100,0),""))),"")</f>
        <v>4</v>
      </c>
      <c r="BJ190" s="42" t="n">
        <f aca="false">IFERROR(IF($C190="","",IF($D190="","",IFERROR(ROUND($D190*INDEX('🔖 배합비 참조'!$B$2:$CE$83,MATCH("완두배기",'🔖 배합비 참조'!$A$2:$A$83,0),MATCH($C190,'🔖 배합비 참조'!$B$1:$CE$1,0))/100,0),""))),"")</f>
        <v>0</v>
      </c>
      <c r="BK190" s="42" t="n">
        <f aca="false">IFERROR(IF($C190="","",IF($D190="","",IFERROR(ROUND($D190*INDEX('🔖 배합비 참조'!$B$2:$CE$83,MATCH("우유(국내산)",'🔖 배합비 참조'!$A$2:$A$83,0),MATCH($C190,'🔖 배합비 참조'!$B$1:$CE$1,0))/100,0),""))),"")</f>
        <v>0</v>
      </c>
      <c r="BL190" s="42" t="n">
        <f aca="false">IFERROR(IF($C190="","",IF($D190="","",IFERROR(ROUND($D190*INDEX('🔖 배합비 참조'!$B$2:$CE$83,MATCH("자색고구마가루(중국산)",'🔖 배합비 참조'!$A$2:$A$83,0),MATCH($C190,'🔖 배합비 참조'!$B$1:$CE$1,0))/100,0),""))),"")</f>
        <v>0</v>
      </c>
      <c r="BM190" s="42" t="n">
        <f aca="false">IFERROR(IF($C190="","",IF($D190="","",IFERROR(ROUND($D190*INDEX('🔖 배합비 참조'!$B$2:$CE$83,MATCH("자연치즈(체다치즈)",'🔖 배합비 참조'!$A$2:$A$83,0),MATCH($C190,'🔖 배합비 참조'!$B$1:$CE$1,0))/100,0),""))),"")</f>
        <v>0</v>
      </c>
      <c r="BN190" s="42" t="n">
        <f aca="false">IFERROR(IF($C190="","",IF($D190="","",IFERROR(ROUND($D190*INDEX('🔖 배합비 참조'!$B$2:$CE$83,MATCH("정제수",'🔖 배합비 참조'!$A$2:$A$83,0),MATCH($C190,'🔖 배합비 참조'!$B$1:$CE$1,0))/100,0),""))),"")</f>
        <v>0</v>
      </c>
      <c r="BO190" s="42" t="n">
        <f aca="false">IFERROR(IF($C190="","",IF($D190="","",IFERROR(ROUND($D190*INDEX('🔖 배합비 참조'!$B$2:$CE$83,MATCH("젤라틴",'🔖 배합비 참조'!$A$2:$A$83,0),MATCH($C190,'🔖 배합비 참조'!$B$1:$CE$1,0))/100,0),""))),"")</f>
        <v>0</v>
      </c>
      <c r="BP190" s="42" t="n">
        <f aca="false">IFERROR(IF($C190="","",IF($D190="","",IFERROR(ROUND($D190*INDEX('🔖 배합비 참조'!$B$2:$CE$83,MATCH("조림류(백옥앙금)",'🔖 배합비 참조'!$A$2:$A$83,0),MATCH($C190,'🔖 배합비 참조'!$B$1:$CE$1,0))/100,0),""))),"")</f>
        <v>0</v>
      </c>
      <c r="BQ190" s="42" t="n">
        <f aca="false">IFERROR(IF($C190="","",IF($D190="","",IFERROR(ROUND($D190*INDEX('🔖 배합비 참조'!$B$2:$CE$83,MATCH("조림류(통팥앙금)",'🔖 배합비 참조'!$A$2:$A$83,0),MATCH($C190,'🔖 배합비 참조'!$B$1:$CE$1,0))/100,0),""))),"")</f>
        <v>44</v>
      </c>
      <c r="BR190" s="42" t="n">
        <f aca="false">IFERROR(IF($C190="","",IF($D190="","",IFERROR(ROUND($D190*INDEX('🔖 배합비 참조'!$B$2:$CE$83,MATCH("준초콜릿(외국산)",'🔖 배합비 참조'!$A$2:$A$83,0),MATCH($C190,'🔖 배합비 참조'!$B$1:$CE$1,0))/100,0),""))),"")</f>
        <v>0</v>
      </c>
      <c r="BS190" s="42" t="n">
        <f aca="false">IFERROR(IF($C190="","",IF($D190="","",IFERROR(ROUND($D190*INDEX('🔖 배합비 참조'!$B$2:$CE$83,MATCH("중력분",'🔖 배합비 참조'!$A$2:$A$83,0),MATCH($C190,'🔖 배합비 참조'!$B$1:$CE$1,0))/100,0),""))),"")</f>
        <v>0</v>
      </c>
      <c r="BT190" s="42" t="n">
        <f aca="false">IFERROR(IF($C190="","",IF($D190="","",IFERROR(ROUND($D190*INDEX('🔖 배합비 참조'!$B$2:$CE$83,MATCH("참깨(인도산,나이지리아산,탄자니아산,미얀마산)",'🔖 배합비 참조'!$A$2:$A$83,0),MATCH($C190,'🔖 배합비 참조'!$B$1:$CE$1,0))/100,0),""))),"")</f>
        <v>0</v>
      </c>
      <c r="BU190" s="42" t="n">
        <f aca="false">IFERROR(IF($C190="","",IF($D190="","",IFERROR(ROUND($D190*INDEX('🔖 배합비 참조'!$B$2:$CE$83,MATCH("찹쌀(국내산)",'🔖 배합비 참조'!$A$2:$A$83,0),MATCH($C190,'🔖 배합비 참조'!$B$1:$CE$1,0))/100,0),""))),"")</f>
        <v>47</v>
      </c>
      <c r="BV190" s="42" t="n">
        <f aca="false">IFERROR(IF($C190="","",IF($D190="","",IFERROR(ROUND($D190*INDEX('🔖 배합비 참조'!$B$2:$CE$83,MATCH("천일염",'🔖 배합비 참조'!$A$2:$A$83,0),MATCH($C190,'🔖 배합비 참조'!$B$1:$CE$1,0))/100,0),""))),"")</f>
        <v>1</v>
      </c>
      <c r="BW190" s="42" t="n">
        <f aca="false">IFERROR(IF($C190="","",IF($D190="","",IFERROR(ROUND($D190*INDEX('🔖 배합비 참조'!$B$2:$CE$83,MATCH("치즈 [크림치즈]",'🔖 배합비 참조'!$A$2:$A$83,0),MATCH($C190,'🔖 배합비 참조'!$B$1:$CE$1,0))/100,0),""))),"")</f>
        <v>0</v>
      </c>
      <c r="BX190" s="42" t="n">
        <f aca="false">IFERROR(IF($C190="","",IF($D190="","",IFERROR(ROUND($D190*INDEX('🔖 배합비 참조'!$B$2:$CE$83,MATCH("코코아가공품류(코코아분말)",'🔖 배합비 참조'!$A$2:$A$83,0),MATCH($C190,'🔖 배합비 참조'!$B$1:$CE$1,0))/100,0),""))),"")</f>
        <v>0</v>
      </c>
      <c r="BY190" s="42" t="n">
        <f aca="false">IFERROR(IF($C190="","",IF($D190="","",IFERROR(ROUND($D190*INDEX('🔖 배합비 참조'!$B$2:$CE$83,MATCH("콩기름(대두유)",'🔖 배합비 참조'!$A$2:$A$83,0),MATCH($C190,'🔖 배합비 참조'!$B$1:$CE$1,0))/100,0),""))),"")</f>
        <v>0</v>
      </c>
      <c r="BZ190" s="42" t="n">
        <f aca="false">IFERROR(IF($C190="","",IF($D190="","",IFERROR(ROUND($D190*INDEX('🔖 배합비 참조'!$B$2:$CE$83,MATCH("해바라기씨앗",'🔖 배합비 참조'!$A$2:$A$83,0),MATCH($C190,'🔖 배합비 참조'!$B$1:$CE$1,0))/100,0),""))),"")</f>
        <v>0</v>
      </c>
      <c r="CA190" s="42" t="n">
        <f aca="false">IFERROR(IF($C190="","",IF($D190="","",IFERROR(ROUND($D190*INDEX('🔖 배합비 참조'!$B$2:$CE$83,MATCH("현미(국내산)",'🔖 배합비 참조'!$A$2:$A$83,0),MATCH($C190,'🔖 배합비 참조'!$B$1:$CE$1,0))/100,0),""))),"")</f>
        <v>0</v>
      </c>
      <c r="CB190" s="42" t="n">
        <f aca="false">IFERROR(IF($C190="","",IF($D190="","",IFERROR(ROUND($D190*INDEX('🔖 배합비 참조'!$B$2:$CE$83,MATCH("현미멥쌀(국내산)",'🔖 배합비 참조'!$A$2:$A$83,0),MATCH($C190,'🔖 배합비 참조'!$B$1:$CE$1,0))/100,0),""))),"")</f>
        <v>0</v>
      </c>
      <c r="CC190" s="42" t="n">
        <f aca="false">IFERROR(IF($C190="","",IF($D190="","",IFERROR(ROUND($D190*INDEX('🔖 배합비 참조'!$B$2:$CE$83,MATCH("호두분태(미국산)",'🔖 배합비 참조'!$A$2:$A$83,0),MATCH($C190,'🔖 배합비 참조'!$B$1:$CE$1,0))/100,0),""))),"")</f>
        <v>4</v>
      </c>
      <c r="CD190" s="42" t="n">
        <f aca="false">IFERROR(IF($C190="","",IF($D190="","",IFERROR(ROUND($D190*INDEX('🔖 배합비 참조'!$B$2:$CE$83,MATCH("호박씨앗(외국산)",'🔖 배합비 참조'!$A$2:$A$83,0),MATCH($C190,'🔖 배합비 참조'!$B$1:$CE$1,0))/100,0),""))),"")</f>
        <v>0</v>
      </c>
      <c r="CE190" s="42" t="n">
        <f aca="false">IFERROR(IF($C190="","",IF($D190="","",IFERROR(ROUND($D190*INDEX('🔖 배합비 참조'!$B$2:$CE$83,MATCH("혼합제제(떡용에스텔)",'🔖 배합비 참조'!$A$2:$A$83,0),MATCH($C190,'🔖 배합비 참조'!$B$1:$CE$1,0))/100,0),""))),"")</f>
        <v>0</v>
      </c>
      <c r="CF190" s="42" t="n">
        <f aca="false">IFERROR(IF($C190="","",IF($D190="","",IFERROR(ROUND($D190*INDEX('🔖 배합비 참조'!$B$2:$CE$83,MATCH("혼합제제(스테비아)",'🔖 배합비 참조'!$A$2:$A$83,0),MATCH($C190,'🔖 배합비 참조'!$B$1:$CE$1,0))/100,0),""))),"")</f>
        <v>0</v>
      </c>
      <c r="CG190" s="42" t="n">
        <f aca="false">IFERROR(IF($C190="","",IF($D190="","",IFERROR(ROUND($D190*INDEX('🔖 배합비 참조'!$B$2:$CE$83,MATCH("화이트초콜릿",'🔖 배합비 참조'!$A$2:$A$83,0),MATCH($C190,'🔖 배합비 참조'!$B$1:$CE$1,0))/100,0),""))),"")</f>
        <v>0</v>
      </c>
      <c r="CH190" s="42" t="n">
        <f aca="false">IFERROR(IF($C190="","",IF($D190="","",IFERROR(ROUND($D190*INDEX('🔖 배합비 참조'!$B$2:$CE$83,MATCH("흑미찹쌀(국내산)",'🔖 배합비 참조'!$A$2:$A$83,0),MATCH($C190,'🔖 배합비 참조'!$B$1:$CE$1,0))/100,0),""))),"")</f>
        <v>0</v>
      </c>
      <c r="CI190" s="42" t="n">
        <f aca="false">IFERROR(IF($C190="","",IF($D190="","",IFERROR(ROUND($D190*INDEX('🔖 배합비 참조'!$B$2:$CE$83,MATCH("찰옥수수전분(미국산)",'🔖 배합비 참조'!$A$2:$A$83,0),MATCH($C190,'🔖 배합비 참조'!$B$1:$CE$1,0))/100,0),""))),"")</f>
        <v>0</v>
      </c>
      <c r="CJ190" s="40"/>
      <c r="CL190" s="1" t="s">
        <v>245</v>
      </c>
    </row>
    <row r="191" customFormat="false" ht="18" hidden="false" customHeight="true" outlineLevel="0" collapsed="false">
      <c r="A191" s="35" t="n">
        <v>187</v>
      </c>
      <c r="B191" s="36" t="n">
        <v>46050</v>
      </c>
      <c r="C191" s="37" t="s">
        <v>191</v>
      </c>
      <c r="D191" s="38" t="n">
        <v>990</v>
      </c>
      <c r="E191" s="13"/>
      <c r="F191" s="13"/>
      <c r="G191" s="39" t="n">
        <f aca="false">IFERROR(IF($C191="","",IF($D191="","",IFERROR(ROUND($D191*INDEX('🔖 배합비 참조'!$B$2:$CE$83,MATCH("간장",'🔖 배합비 참조'!$A$2:$A$83,0),MATCH($C191,'🔖 배합비 참조'!$B$1:$CE$1,0))/100,0),""))),"")</f>
        <v>0</v>
      </c>
      <c r="H191" s="39" t="n">
        <f aca="false">IFERROR(IF($C191="","",IF($D191="","",IFERROR(ROUND($D191*INDEX('🔖 배합비 참조'!$B$2:$CE$83,MATCH("강낭콩((울타리콩))",'🔖 배합비 참조'!$A$2:$A$83,0),MATCH($C191,'🔖 배합비 참조'!$B$1:$CE$1,0))/100,0),""))),"")</f>
        <v>0</v>
      </c>
      <c r="I191" s="39" t="n">
        <f aca="false">IFERROR(IF($C191="","",IF($D191="","",IFERROR(ROUND($D191*INDEX('🔖 배합비 참조'!$B$2:$CE$83,MATCH("건조딸기다이스(외국산)",'🔖 배합비 참조'!$A$2:$A$83,0),MATCH($C191,'🔖 배합비 참조'!$B$1:$CE$1,0))/100,0),""))),"")</f>
        <v>0</v>
      </c>
      <c r="J191" s="39" t="n">
        <f aca="false">IFERROR(IF($C191="","",IF($D191="","",IFERROR(ROUND($D191*INDEX('🔖 배합비 참조'!$B$2:$CE$83,MATCH("건포도",'🔖 배합비 참조'!$A$2:$A$83,0),MATCH($C191,'🔖 배합비 참조'!$B$1:$CE$1,0))/100,0),""))),"")</f>
        <v>0</v>
      </c>
      <c r="K191" s="39" t="n">
        <f aca="false">IFERROR(IF($C191="","",IF($D191="","",IFERROR(ROUND($D191*INDEX('🔖 배합비 참조'!$B$2:$CE$83,MATCH("건호박채(중국산)",'🔖 배합비 참조'!$A$2:$A$83,0),MATCH($C191,'🔖 배합비 참조'!$B$1:$CE$1,0))/100,0),""))),"")</f>
        <v>0</v>
      </c>
      <c r="L191" s="39" t="n">
        <f aca="false">IFERROR(IF($C191="","",IF($D191="","",IFERROR(ROUND($D191*INDEX('🔖 배합비 참조'!$B$2:$CE$83,MATCH("검정깨(흑임자)",'🔖 배합비 참조'!$A$2:$A$83,0),MATCH($C191,'🔖 배합비 참조'!$B$1:$CE$1,0))/100,0),""))),"")</f>
        <v>0</v>
      </c>
      <c r="M191" s="39" t="n">
        <f aca="false">IFERROR(IF($C191="","",IF($D191="","",IFERROR(ROUND($D191*INDEX('🔖 배합비 참조'!$B$2:$CE$83,MATCH("검정콩",'🔖 배합비 참조'!$A$2:$A$83,0),MATCH($C191,'🔖 배합비 참조'!$B$1:$CE$1,0))/100,0),""))),"")</f>
        <v>0</v>
      </c>
      <c r="N191" s="39" t="n">
        <f aca="false">IFERROR(IF($C191="","",IF($D191="","",IFERROR(ROUND($D191*INDEX('🔖 배합비 참조'!$B$2:$CE$83,MATCH("계피가루",'🔖 배합비 참조'!$A$2:$A$83,0),MATCH($C191,'🔖 배합비 참조'!$B$1:$CE$1,0))/100,0),""))),"")</f>
        <v>0</v>
      </c>
      <c r="O191" s="39" t="n">
        <f aca="false">IFERROR(IF($C191="","",IF($D191="","",IFERROR(ROUND($D191*INDEX('🔖 배합비 참조'!$B$2:$CE$83,MATCH("고구마가루",'🔖 배합비 참조'!$A$2:$A$83,0),MATCH($C191,'🔖 배합비 참조'!$B$1:$CE$1,0))/100,0),""))),"")</f>
        <v>0</v>
      </c>
      <c r="P191" s="39" t="n">
        <f aca="false">IFERROR(IF($C191="","",IF($D191="","",IFERROR(ROUND($D191*INDEX('🔖 배합비 참조'!$B$2:$CE$83,MATCH("고구마무스",'🔖 배합비 참조'!$A$2:$A$83,0),MATCH($C191,'🔖 배합비 참조'!$B$1:$CE$1,0))/100,0),""))),"")</f>
        <v>0</v>
      </c>
      <c r="Q191" s="39" t="n">
        <f aca="false">IFERROR(IF($C191="","",IF($D191="","",IFERROR(ROUND($D191*INDEX('🔖 배합비 참조'!$B$2:$CE$83,MATCH("고려엉겅퀴((곤드레)국내산)",'🔖 배합비 참조'!$A$2:$A$83,0),MATCH($C191,'🔖 배합비 참조'!$B$1:$CE$1,0))/100,0),""))),"")</f>
        <v>0</v>
      </c>
      <c r="R191" s="39" t="n">
        <f aca="false">IFERROR(IF($C191="","",IF($D191="","",IFERROR(ROUND($D191*INDEX('🔖 배합비 참조'!$B$2:$CE$83,MATCH("기타가공품(복분자가루)",'🔖 배합비 참조'!$A$2:$A$83,0),MATCH($C191,'🔖 배합비 참조'!$B$1:$CE$1,0))/100,0),""))),"")</f>
        <v>0</v>
      </c>
      <c r="S191" s="39" t="n">
        <f aca="false">IFERROR(IF($C191="","",IF($D191="","",IFERROR(ROUND($D191*INDEX('🔖 배합비 참조'!$B$2:$CE$83,MATCH("기타가공품(슈퍼소프트엠)",'🔖 배합비 참조'!$A$2:$A$83,0),MATCH($C191,'🔖 배합비 참조'!$B$1:$CE$1,0))/100,0),""))),"")</f>
        <v>0</v>
      </c>
      <c r="T191" s="39" t="n">
        <f aca="false">IFERROR(IF($C191="","",IF($D191="","",IFERROR(ROUND($D191*INDEX('🔖 배합비 참조'!$B$2:$CE$83,MATCH("기타가공품(파인소프트 E-티)",'🔖 배합비 참조'!$A$2:$A$83,0),MATCH($C191,'🔖 배합비 참조'!$B$1:$CE$1,0))/100,0),""))),"")</f>
        <v>0</v>
      </c>
      <c r="U191" s="39" t="n">
        <f aca="false">IFERROR(IF($C191="","",IF($D191="","",IFERROR(ROUND($D191*INDEX('🔖 배합비 참조'!$B$2:$CE$83,MATCH("기타가공품(프리미엄카스테라가루)",'🔖 배합비 참조'!$A$2:$A$83,0),MATCH($C191,'🔖 배합비 참조'!$B$1:$CE$1,0))/100,0),""))),"")</f>
        <v>0</v>
      </c>
      <c r="V191" s="39" t="n">
        <f aca="false">IFERROR(IF($C191="","",IF($D191="","",IFERROR(ROUND($D191*INDEX('🔖 배합비 참조'!$B$2:$CE$83,MATCH("기타가공품(흑임자가루)",'🔖 배합비 참조'!$A$2:$A$83,0),MATCH($C191,'🔖 배합비 참조'!$B$1:$CE$1,0))/100,0),""))),"")</f>
        <v>0</v>
      </c>
      <c r="W191" s="39" t="n">
        <f aca="false">IFERROR(IF($C191="","",IF($D191="","",IFERROR(ROUND($D191*INDEX('🔖 배합비 참조'!$B$2:$CE$83,MATCH("기타설탕(흑설탕)",'🔖 배합비 참조'!$A$2:$A$83,0),MATCH($C191,'🔖 배합비 참조'!$B$1:$CE$1,0))/100,0),""))),"")</f>
        <v>0</v>
      </c>
      <c r="X191" s="39" t="n">
        <f aca="false">IFERROR(IF($C191="","",IF($D191="","",IFERROR(ROUND($D191*INDEX('🔖 배합비 참조'!$B$2:$CE$83,MATCH("냉동쑥(국내산)",'🔖 배합비 참조'!$A$2:$A$83,0),MATCH($C191,'🔖 배합비 참조'!$B$1:$CE$1,0))/100,0),""))),"")</f>
        <v>0</v>
      </c>
      <c r="Y191" s="39" t="n">
        <f aca="false">IFERROR(IF($C191="","",IF($D191="","",IFERROR(ROUND($D191*INDEX('🔖 배합비 참조'!$B$2:$CE$83,MATCH("냉동증숙고구마(중국산)",'🔖 배합비 참조'!$A$2:$A$83,0),MATCH($C191,'🔖 배합비 참조'!$B$1:$CE$1,0))/100,0),""))),"")</f>
        <v>0</v>
      </c>
      <c r="Z191" s="39" t="n">
        <f aca="false">IFERROR(IF($C191="","",IF($D191="","",IFERROR(ROUND($D191*INDEX('🔖 배합비 참조'!$B$2:$CE$83,MATCH("녹차가루",'🔖 배합비 참조'!$A$2:$A$83,0),MATCH($C191,'🔖 배합비 참조'!$B$1:$CE$1,0))/100,0),""))),"")</f>
        <v>0</v>
      </c>
      <c r="AA191" s="39" t="n">
        <f aca="false">IFERROR(IF($C191="","",IF($D191="","",IFERROR(ROUND($D191*INDEX('🔖 배합비 참조'!$B$2:$CE$83,MATCH("다크초콜릿 컴파운드칩",'🔖 배합비 참조'!$A$2:$A$83,0),MATCH($C191,'🔖 배합비 참조'!$B$1:$CE$1,0))/100,0),""))),"")</f>
        <v>0</v>
      </c>
      <c r="AB191" s="39" t="n">
        <f aca="false">IFERROR(IF($C191="","",IF($D191="","",IFERROR(ROUND($D191*INDEX('🔖 배합비 참조'!$B$2:$CE$83,MATCH("단호박분말(중국산)",'🔖 배합비 참조'!$A$2:$A$83,0),MATCH($C191,'🔖 배합비 참조'!$B$1:$CE$1,0))/100,0),""))),"")</f>
        <v>0</v>
      </c>
      <c r="AC191" s="39" t="n">
        <f aca="false">IFERROR(IF($C191="","",IF($D191="","",IFERROR(ROUND($D191*INDEX('🔖 배합비 참조'!$B$2:$CE$83,MATCH("당류가공품(단호박농축액)",'🔖 배합비 참조'!$A$2:$A$83,0),MATCH($C191,'🔖 배합비 참조'!$B$1:$CE$1,0))/100,0),""))),"")</f>
        <v>0</v>
      </c>
      <c r="AD191" s="39" t="n">
        <f aca="false">IFERROR(IF($C191="","",IF($D191="","",IFERROR(ROUND($D191*INDEX('🔖 배합비 참조'!$B$2:$CE$83,MATCH("당류가공품(알룰로스,에리스리톨,스테비올배당체혼합)",'🔖 배합비 참조'!$A$2:$A$83,0),MATCH($C191,'🔖 배합비 참조'!$B$1:$CE$1,0))/100,0),""))),"")</f>
        <v>0</v>
      </c>
      <c r="AE191" s="39" t="n">
        <f aca="false">IFERROR(IF($C191="","",IF($D191="","",IFERROR(ROUND($D191*INDEX('🔖 배합비 참조'!$B$2:$CE$83,MATCH("당류가공품(알룰로스제로파우더)",'🔖 배합비 참조'!$A$2:$A$83,0),MATCH($C191,'🔖 배합비 참조'!$B$1:$CE$1,0))/100,0),""))),"")</f>
        <v>0</v>
      </c>
      <c r="AF191" s="39" t="n">
        <f aca="false">IFERROR(IF($C191="","",IF($D191="","",IFERROR(ROUND($D191*INDEX('🔖 배합비 참조'!$B$2:$CE$83,MATCH("당절임(완두배기)",'🔖 배합비 참조'!$A$2:$A$83,0),MATCH($C191,'🔖 배합비 참조'!$B$1:$CE$1,0))/100,0),""))),"")</f>
        <v>0</v>
      </c>
      <c r="AG191" s="39" t="n">
        <f aca="false">IFERROR(IF($C191="","",IF($D191="","",IFERROR(ROUND($D191*INDEX('🔖 배합비 참조'!$B$2:$CE$83,MATCH("대추농축액",'🔖 배합비 참조'!$A$2:$A$83,0),MATCH($C191,'🔖 배합비 참조'!$B$1:$CE$1,0))/100,0),""))),"")</f>
        <v>0</v>
      </c>
      <c r="AH191" s="39" t="n">
        <f aca="false">IFERROR(IF($C191="","",IF($D191="","",IFERROR(ROUND($D191*INDEX('🔖 배합비 참조'!$B$2:$CE$83,MATCH("대추채(국내산)",'🔖 배합비 참조'!$A$2:$A$83,0),MATCH($C191,'🔖 배합비 참조'!$B$1:$CE$1,0))/100,0),""))),"")</f>
        <v>0</v>
      </c>
      <c r="AI191" s="39" t="n">
        <f aca="false">IFERROR(IF($C191="","",IF($D191="","",IFERROR(ROUND($D191*INDEX('🔖 배합비 참조'!$B$2:$CE$83,MATCH("동부(미얀마산)",'🔖 배합비 참조'!$A$2:$A$83,0),MATCH($C191,'🔖 배합비 참조'!$B$1:$CE$1,0))/100,0),""))),"")</f>
        <v>0</v>
      </c>
      <c r="AJ191" s="39" t="n">
        <f aca="false">IFERROR(IF($C191="","",IF($D191="","",IFERROR(ROUND($D191*INDEX('🔖 배합비 참조'!$B$2:$CE$83,MATCH("두류가공품(백옥앙금)",'🔖 배합비 참조'!$A$2:$A$83,0),MATCH($C191,'🔖 배합비 참조'!$B$1:$CE$1,0))/100,0),""))),"")</f>
        <v>0</v>
      </c>
      <c r="AK191" s="39" t="n">
        <f aca="false">IFERROR(IF($C191="","",IF($D191="","",IFERROR(ROUND($D191*INDEX('🔖 배합비 참조'!$B$2:$CE$83,MATCH("두류가공품(콩고물)",'🔖 배합비 참조'!$A$2:$A$83,0),MATCH($C191,'🔖 배합비 참조'!$B$1:$CE$1,0))/100,0),""))),"")</f>
        <v>0</v>
      </c>
      <c r="AL191" s="39" t="n">
        <f aca="false">IFERROR(IF($C191="","",IF($D191="","",IFERROR(ROUND($D191*INDEX('🔖 배합비 참조'!$B$2:$CE$83,MATCH("두류가공품(통팥고물)",'🔖 배합비 참조'!$A$2:$A$83,0),MATCH($C191,'🔖 배합비 참조'!$B$1:$CE$1,0))/100,0),""))),"")</f>
        <v>0</v>
      </c>
      <c r="AM191" s="39" t="n">
        <f aca="false">IFERROR(IF($C191="","",IF($D191="","",IFERROR(ROUND($D191*INDEX('🔖 배합비 참조'!$B$2:$CE$83,MATCH("딸기레진",'🔖 배합비 참조'!$A$2:$A$83,0),MATCH($C191,'🔖 배합비 참조'!$B$1:$CE$1,0))/100,0),""))),"")</f>
        <v>0</v>
      </c>
      <c r="AN191" s="39" t="n">
        <f aca="false">IFERROR(IF($C191="","",IF($D191="","",IFERROR(ROUND($D191*INDEX('🔖 배합비 참조'!$B$2:$CE$83,MATCH("딸기분말(스트로우베리에이드(분말))",'🔖 배합비 참조'!$A$2:$A$83,0),MATCH($C191,'🔖 배합비 참조'!$B$1:$CE$1,0))/100,0),""))),"")</f>
        <v>0</v>
      </c>
      <c r="AO191" s="39" t="n">
        <f aca="false">IFERROR(IF($C191="","",IF($D191="","",IFERROR(ROUND($D191*INDEX('🔖 배합비 참조'!$B$2:$CE$83,MATCH("마스카포네치즈",'🔖 배합비 참조'!$A$2:$A$83,0),MATCH($C191,'🔖 배합비 참조'!$B$1:$CE$1,0))/100,0),""))),"")</f>
        <v>0</v>
      </c>
      <c r="AP191" s="39" t="n">
        <f aca="false">IFERROR(IF($C191="","",IF($D191="","",IFERROR(ROUND($D191*INDEX('🔖 배합비 참조'!$B$2:$CE$83,MATCH("마카다미아분태(호주산)",'🔖 배합비 참조'!$A$2:$A$83,0),MATCH($C191,'🔖 배합비 참조'!$B$1:$CE$1,0))/100,0),""))),"")</f>
        <v>0</v>
      </c>
      <c r="AQ191" s="39" t="n">
        <f aca="false">IFERROR(IF($C191="","",IF($D191="","",IFERROR(ROUND($D191*INDEX('🔖 배합비 참조'!$B$2:$CE$83,MATCH("멥쌀(국내산)",'🔖 배합비 참조'!$A$2:$A$83,0),MATCH($C191,'🔖 배합비 참조'!$B$1:$CE$1,0))/100,0),""))),"")</f>
        <v>20</v>
      </c>
      <c r="AR191" s="39" t="n">
        <f aca="false">IFERROR(IF($C191="","",IF($D191="","",IFERROR(ROUND($D191*INDEX('🔖 배합비 참조'!$B$2:$CE$83,MATCH("모시잎(국내산)",'🔖 배합비 참조'!$A$2:$A$83,0),MATCH($C191,'🔖 배합비 참조'!$B$1:$CE$1,0))/100,0),""))),"")</f>
        <v>0</v>
      </c>
      <c r="AS191" s="39" t="n">
        <f aca="false">IFERROR(IF($C191="","",IF($D191="","",IFERROR(ROUND($D191*INDEX('🔖 배합비 참조'!$B$2:$CE$83,MATCH("물엿(저당물엿)",'🔖 배합비 참조'!$A$2:$A$83,0),MATCH($C191,'🔖 배합비 참조'!$B$1:$CE$1,0))/100,0),""))),"")</f>
        <v>0</v>
      </c>
      <c r="AT191" s="39" t="n">
        <f aca="false">IFERROR(IF($C191="","",IF($D191="","",IFERROR(ROUND($D191*INDEX('🔖 배합비 참조'!$B$2:$CE$83,MATCH("밤다이스",'🔖 배합비 참조'!$A$2:$A$83,0),MATCH($C191,'🔖 배합비 참조'!$B$1:$CE$1,0))/100,0),""))),"")</f>
        <v>0</v>
      </c>
      <c r="AU191" s="39" t="n">
        <f aca="false">IFERROR(IF($C191="","",IF($D191="","",IFERROR(ROUND($D191*INDEX('🔖 배합비 참조'!$B$2:$CE$83,MATCH("변성전분(타피오카전분)",'🔖 배합비 참조'!$A$2:$A$83,0),MATCH($C191,'🔖 배합비 참조'!$B$1:$CE$1,0))/100,0),""))),"")</f>
        <v>0</v>
      </c>
      <c r="AV191" s="39" t="n">
        <f aca="false">IFERROR(IF($C191="","",IF($D191="","",IFERROR(ROUND($D191*INDEX('🔖 배합비 참조'!$B$2:$CE$83,MATCH("복음땅콩분태",'🔖 배합비 참조'!$A$2:$A$83,0),MATCH($C191,'🔖 배합비 참조'!$B$1:$CE$1,0))/100,0),""))),"")</f>
        <v>0</v>
      </c>
      <c r="AW191" s="39" t="n">
        <f aca="false">IFERROR(IF($C191="","",IF($D191="","",IFERROR(ROUND($D191*INDEX('🔖 배합비 참조'!$B$2:$CE$83,MATCH("사양벌꿀(국내산)",'🔖 배합비 참조'!$A$2:$A$83,0),MATCH($C191,'🔖 배합비 참조'!$B$1:$CE$1,0))/100,0),""))),"")</f>
        <v>0</v>
      </c>
      <c r="AX191" s="39" t="n">
        <f aca="false">IFERROR(IF($C191="","",IF($D191="","",IFERROR(ROUND($D191*INDEX('🔖 배합비 참조'!$B$2:$CE$83,MATCH("생크림",'🔖 배합비 참조'!$A$2:$A$83,0),MATCH($C191,'🔖 배합비 참조'!$B$1:$CE$1,0))/100,0),""))),"")</f>
        <v>0</v>
      </c>
      <c r="AY191" s="39" t="n">
        <f aca="false">IFERROR(IF($C191="","",IF($D191="","",IFERROR(ROUND($D191*INDEX('🔖 배합비 참조'!$B$2:$CE$83,MATCH("서양호박(국내산,뉴질랜드산)",'🔖 배합비 참조'!$A$2:$A$83,0),MATCH($C191,'🔖 배합비 참조'!$B$1:$CE$1,0))/100,0),""))),"")</f>
        <v>0</v>
      </c>
      <c r="AZ191" s="39" t="n">
        <f aca="false">IFERROR(IF($C191="","",IF($D191="","",IFERROR(ROUND($D191*INDEX('🔖 배합비 참조'!$B$2:$CE$83,MATCH("설탕",'🔖 배합비 참조'!$A$2:$A$83,0),MATCH($C191,'🔖 배합비 참조'!$B$1:$CE$1,0))/100,0),""))),"")</f>
        <v>188</v>
      </c>
      <c r="BA191" s="39" t="n">
        <f aca="false">IFERROR(IF($C191="","",IF($D191="","",IFERROR(ROUND($D191*INDEX('🔖 배합비 참조'!$B$2:$CE$83,MATCH("스트로우베리 에이드 후레쉬",'🔖 배합비 참조'!$A$2:$A$83,0),MATCH($C191,'🔖 배합비 참조'!$B$1:$CE$1,0))/100,0),""))),"")</f>
        <v>0</v>
      </c>
      <c r="BB191" s="39" t="n">
        <f aca="false">IFERROR(IF($C191="","",IF($D191="","",IFERROR(ROUND($D191*INDEX('🔖 배합비 참조'!$B$2:$CE$83,MATCH("식물성기름혼합제제(분홍)",'🔖 배합비 참조'!$A$2:$A$83,0),MATCH($C191,'🔖 배합비 참조'!$B$1:$CE$1,0))/100,0),""))),"")</f>
        <v>0</v>
      </c>
      <c r="BC191" s="39" t="n">
        <f aca="false">IFERROR(IF($C191="","",IF($D191="","",IFERROR(ROUND($D191*INDEX('🔖 배합비 참조'!$B$2:$CE$83,MATCH("식물성기름혼합제제(초록)",'🔖 배합비 참조'!$A$2:$A$83,0),MATCH($C191,'🔖 배합비 참조'!$B$1:$CE$1,0))/100,0),""))),"")</f>
        <v>0</v>
      </c>
      <c r="BD191" s="39" t="n">
        <f aca="false">IFERROR(IF($C191="","",IF($D191="","",IFERROR(ROUND($D191*INDEX('🔖 배합비 참조'!$B$2:$CE$83,MATCH("식물성기름혼합제제(황색)",'🔖 배합비 참조'!$A$2:$A$83,0),MATCH($C191,'🔖 배합비 참조'!$B$1:$CE$1,0))/100,0),""))),"")</f>
        <v>0</v>
      </c>
      <c r="BE191" s="39" t="n">
        <f aca="false">IFERROR(IF($C191="","",IF($D191="","",IFERROR(ROUND($D191*INDEX('🔖 배합비 참조'!$B$2:$CE$83,MATCH("쑥가루(국내산)",'🔖 배합비 참조'!$A$2:$A$83,0),MATCH($C191,'🔖 배합비 참조'!$B$1:$CE$1,0))/100,0),""))),"")</f>
        <v>0</v>
      </c>
      <c r="BF191" s="39" t="n">
        <f aca="false">IFERROR(IF($C191="","",IF($D191="","",IFERROR(ROUND($D191*INDEX('🔖 배합비 참조'!$B$2:$CE$83,MATCH("아몬드슬라이스",'🔖 배합비 참조'!$A$2:$A$83,0),MATCH($C191,'🔖 배합비 참조'!$B$1:$CE$1,0))/100,0),""))),"")</f>
        <v>0</v>
      </c>
      <c r="BG191" s="39" t="n">
        <f aca="false">IFERROR(IF($C191="","",IF($D191="","",IFERROR(ROUND($D191*INDEX('🔖 배합비 참조'!$B$2:$CE$83,MATCH("알룰로오스(국내산)",'🔖 배합비 참조'!$A$2:$A$83,0),MATCH($C191,'🔖 배합비 참조'!$B$1:$CE$1,0))/100,0),""))),"")</f>
        <v>0</v>
      </c>
      <c r="BH191" s="39" t="n">
        <f aca="false">IFERROR(IF($C191="","",IF($D191="","",IFERROR(ROUND($D191*INDEX('🔖 배합비 참조'!$B$2:$CE$83,MATCH("연유",'🔖 배합비 참조'!$A$2:$A$83,0),MATCH($C191,'🔖 배합비 참조'!$B$1:$CE$1,0))/100,0),""))),"")</f>
        <v>0</v>
      </c>
      <c r="BI191" s="39" t="n">
        <f aca="false">IFERROR(IF($C191="","",IF($D191="","",IFERROR(ROUND($D191*INDEX('🔖 배합비 참조'!$B$2:$CE$83,MATCH("옥수수전분",'🔖 배합비 참조'!$A$2:$A$83,0),MATCH($C191,'🔖 배합비 참조'!$B$1:$CE$1,0))/100,0),""))),"")</f>
        <v>0</v>
      </c>
      <c r="BJ191" s="39" t="n">
        <f aca="false">IFERROR(IF($C191="","",IF($D191="","",IFERROR(ROUND($D191*INDEX('🔖 배합비 참조'!$B$2:$CE$83,MATCH("완두배기",'🔖 배합비 참조'!$A$2:$A$83,0),MATCH($C191,'🔖 배합비 참조'!$B$1:$CE$1,0))/100,0),""))),"")</f>
        <v>0</v>
      </c>
      <c r="BK191" s="39" t="n">
        <f aca="false">IFERROR(IF($C191="","",IF($D191="","",IFERROR(ROUND($D191*INDEX('🔖 배합비 참조'!$B$2:$CE$83,MATCH("우유(국내산)",'🔖 배합비 참조'!$A$2:$A$83,0),MATCH($C191,'🔖 배합비 참조'!$B$1:$CE$1,0))/100,0),""))),"")</f>
        <v>0</v>
      </c>
      <c r="BL191" s="39" t="n">
        <f aca="false">IFERROR(IF($C191="","",IF($D191="","",IFERROR(ROUND($D191*INDEX('🔖 배합비 참조'!$B$2:$CE$83,MATCH("자색고구마가루(중국산)",'🔖 배합비 참조'!$A$2:$A$83,0),MATCH($C191,'🔖 배합비 참조'!$B$1:$CE$1,0))/100,0),""))),"")</f>
        <v>0</v>
      </c>
      <c r="BM191" s="39" t="n">
        <f aca="false">IFERROR(IF($C191="","",IF($D191="","",IFERROR(ROUND($D191*INDEX('🔖 배합비 참조'!$B$2:$CE$83,MATCH("자연치즈(체다치즈)",'🔖 배합비 참조'!$A$2:$A$83,0),MATCH($C191,'🔖 배합비 참조'!$B$1:$CE$1,0))/100,0),""))),"")</f>
        <v>0</v>
      </c>
      <c r="BN191" s="39" t="n">
        <f aca="false">IFERROR(IF($C191="","",IF($D191="","",IFERROR(ROUND($D191*INDEX('🔖 배합비 참조'!$B$2:$CE$83,MATCH("정제수",'🔖 배합비 참조'!$A$2:$A$83,0),MATCH($C191,'🔖 배합비 참조'!$B$1:$CE$1,0))/100,0),""))),"")</f>
        <v>30</v>
      </c>
      <c r="BO191" s="39" t="n">
        <f aca="false">IFERROR(IF($C191="","",IF($D191="","",IFERROR(ROUND($D191*INDEX('🔖 배합비 참조'!$B$2:$CE$83,MATCH("젤라틴",'🔖 배합비 참조'!$A$2:$A$83,0),MATCH($C191,'🔖 배합비 참조'!$B$1:$CE$1,0))/100,0),""))),"")</f>
        <v>0</v>
      </c>
      <c r="BP191" s="39" t="n">
        <f aca="false">IFERROR(IF($C191="","",IF($D191="","",IFERROR(ROUND($D191*INDEX('🔖 배합비 참조'!$B$2:$CE$83,MATCH("조림류(백옥앙금)",'🔖 배합비 참조'!$A$2:$A$83,0),MATCH($C191,'🔖 배합비 참조'!$B$1:$CE$1,0))/100,0),""))),"")</f>
        <v>0</v>
      </c>
      <c r="BQ191" s="39" t="n">
        <f aca="false">IFERROR(IF($C191="","",IF($D191="","",IFERROR(ROUND($D191*INDEX('🔖 배합비 참조'!$B$2:$CE$83,MATCH("조림류(통팥앙금)",'🔖 배합비 참조'!$A$2:$A$83,0),MATCH($C191,'🔖 배합비 참조'!$B$1:$CE$1,0))/100,0),""))),"")</f>
        <v>178</v>
      </c>
      <c r="BR191" s="39" t="n">
        <f aca="false">IFERROR(IF($C191="","",IF($D191="","",IFERROR(ROUND($D191*INDEX('🔖 배합비 참조'!$B$2:$CE$83,MATCH("준초콜릿(외국산)",'🔖 배합비 참조'!$A$2:$A$83,0),MATCH($C191,'🔖 배합비 참조'!$B$1:$CE$1,0))/100,0),""))),"")</f>
        <v>0</v>
      </c>
      <c r="BS191" s="39" t="n">
        <f aca="false">IFERROR(IF($C191="","",IF($D191="","",IFERROR(ROUND($D191*INDEX('🔖 배합비 참조'!$B$2:$CE$83,MATCH("중력분",'🔖 배합비 참조'!$A$2:$A$83,0),MATCH($C191,'🔖 배합비 참조'!$B$1:$CE$1,0))/100,0),""))),"")</f>
        <v>20</v>
      </c>
      <c r="BT191" s="39" t="n">
        <f aca="false">IFERROR(IF($C191="","",IF($D191="","",IFERROR(ROUND($D191*INDEX('🔖 배합비 참조'!$B$2:$CE$83,MATCH("참깨(인도산,나이지리아산,탄자니아산,미얀마산)",'🔖 배합비 참조'!$A$2:$A$83,0),MATCH($C191,'🔖 배합비 참조'!$B$1:$CE$1,0))/100,0),""))),"")</f>
        <v>0</v>
      </c>
      <c r="BU191" s="39" t="n">
        <f aca="false">IFERROR(IF($C191="","",IF($D191="","",IFERROR(ROUND($D191*INDEX('🔖 배합비 참조'!$B$2:$CE$83,MATCH("찹쌀(국내산)",'🔖 배합비 참조'!$A$2:$A$83,0),MATCH($C191,'🔖 배합비 참조'!$B$1:$CE$1,0))/100,0),""))),"")</f>
        <v>426</v>
      </c>
      <c r="BV191" s="39" t="n">
        <f aca="false">IFERROR(IF($C191="","",IF($D191="","",IFERROR(ROUND($D191*INDEX('🔖 배합비 참조'!$B$2:$CE$83,MATCH("천일염",'🔖 배합비 참조'!$A$2:$A$83,0),MATCH($C191,'🔖 배합비 참조'!$B$1:$CE$1,0))/100,0),""))),"")</f>
        <v>20</v>
      </c>
      <c r="BW191" s="39" t="n">
        <f aca="false">IFERROR(IF($C191="","",IF($D191="","",IFERROR(ROUND($D191*INDEX('🔖 배합비 참조'!$B$2:$CE$83,MATCH("치즈 [크림치즈]",'🔖 배합비 참조'!$A$2:$A$83,0),MATCH($C191,'🔖 배합비 참조'!$B$1:$CE$1,0))/100,0),""))),"")</f>
        <v>0</v>
      </c>
      <c r="BX191" s="39" t="n">
        <f aca="false">IFERROR(IF($C191="","",IF($D191="","",IFERROR(ROUND($D191*INDEX('🔖 배합비 참조'!$B$2:$CE$83,MATCH("코코아가공품류(코코아분말)",'🔖 배합비 참조'!$A$2:$A$83,0),MATCH($C191,'🔖 배합비 참조'!$B$1:$CE$1,0))/100,0),""))),"")</f>
        <v>0</v>
      </c>
      <c r="BY191" s="39" t="n">
        <f aca="false">IFERROR(IF($C191="","",IF($D191="","",IFERROR(ROUND($D191*INDEX('🔖 배합비 참조'!$B$2:$CE$83,MATCH("콩기름(대두유)",'🔖 배합비 참조'!$A$2:$A$83,0),MATCH($C191,'🔖 배합비 참조'!$B$1:$CE$1,0))/100,0),""))),"")</f>
        <v>0</v>
      </c>
      <c r="BZ191" s="39" t="n">
        <f aca="false">IFERROR(IF($C191="","",IF($D191="","",IFERROR(ROUND($D191*INDEX('🔖 배합비 참조'!$B$2:$CE$83,MATCH("해바라기씨앗",'🔖 배합비 참조'!$A$2:$A$83,0),MATCH($C191,'🔖 배합비 참조'!$B$1:$CE$1,0))/100,0),""))),"")</f>
        <v>0</v>
      </c>
      <c r="CA191" s="39" t="n">
        <f aca="false">IFERROR(IF($C191="","",IF($D191="","",IFERROR(ROUND($D191*INDEX('🔖 배합비 참조'!$B$2:$CE$83,MATCH("현미(국내산)",'🔖 배합비 참조'!$A$2:$A$83,0),MATCH($C191,'🔖 배합비 참조'!$B$1:$CE$1,0))/100,0),""))),"")</f>
        <v>0</v>
      </c>
      <c r="CB191" s="39" t="n">
        <f aca="false">IFERROR(IF($C191="","",IF($D191="","",IFERROR(ROUND($D191*INDEX('🔖 배합비 참조'!$B$2:$CE$83,MATCH("현미멥쌀(국내산)",'🔖 배합비 참조'!$A$2:$A$83,0),MATCH($C191,'🔖 배합비 참조'!$B$1:$CE$1,0))/100,0),""))),"")</f>
        <v>0</v>
      </c>
      <c r="CC191" s="39" t="n">
        <f aca="false">IFERROR(IF($C191="","",IF($D191="","",IFERROR(ROUND($D191*INDEX('🔖 배합비 참조'!$B$2:$CE$83,MATCH("호두분태(미국산)",'🔖 배합비 참조'!$A$2:$A$83,0),MATCH($C191,'🔖 배합비 참조'!$B$1:$CE$1,0))/100,0),""))),"")</f>
        <v>0</v>
      </c>
      <c r="CD191" s="39" t="n">
        <f aca="false">IFERROR(IF($C191="","",IF($D191="","",IFERROR(ROUND($D191*INDEX('🔖 배합비 참조'!$B$2:$CE$83,MATCH("호박씨앗(외국산)",'🔖 배합비 참조'!$A$2:$A$83,0),MATCH($C191,'🔖 배합비 참조'!$B$1:$CE$1,0))/100,0),""))),"")</f>
        <v>0</v>
      </c>
      <c r="CE191" s="39" t="n">
        <f aca="false">IFERROR(IF($C191="","",IF($D191="","",IFERROR(ROUND($D191*INDEX('🔖 배합비 참조'!$B$2:$CE$83,MATCH("혼합제제(떡용에스텔)",'🔖 배합비 참조'!$A$2:$A$83,0),MATCH($C191,'🔖 배합비 참조'!$B$1:$CE$1,0))/100,0),""))),"")</f>
        <v>20</v>
      </c>
      <c r="CF191" s="39" t="n">
        <f aca="false">IFERROR(IF($C191="","",IF($D191="","",IFERROR(ROUND($D191*INDEX('🔖 배합비 참조'!$B$2:$CE$83,MATCH("혼합제제(스테비아)",'🔖 배합비 참조'!$A$2:$A$83,0),MATCH($C191,'🔖 배합비 참조'!$B$1:$CE$1,0))/100,0),""))),"")</f>
        <v>0</v>
      </c>
      <c r="CG191" s="39" t="n">
        <f aca="false">IFERROR(IF($C191="","",IF($D191="","",IFERROR(ROUND($D191*INDEX('🔖 배합비 참조'!$B$2:$CE$83,MATCH("화이트초콜릿",'🔖 배합비 참조'!$A$2:$A$83,0),MATCH($C191,'🔖 배합비 참조'!$B$1:$CE$1,0))/100,0),""))),"")</f>
        <v>0</v>
      </c>
      <c r="CH191" s="39" t="n">
        <f aca="false">IFERROR(IF($C191="","",IF($D191="","",IFERROR(ROUND($D191*INDEX('🔖 배합비 참조'!$B$2:$CE$83,MATCH("흑미찹쌀(국내산)",'🔖 배합비 참조'!$A$2:$A$83,0),MATCH($C191,'🔖 배합비 참조'!$B$1:$CE$1,0))/100,0),""))),"")</f>
        <v>0</v>
      </c>
      <c r="CI191" s="39" t="n">
        <f aca="false">IFERROR(IF($C191="","",IF($D191="","",IFERROR(ROUND($D191*INDEX('🔖 배합비 참조'!$B$2:$CE$83,MATCH("찰옥수수전분(미국산)",'🔖 배합비 참조'!$A$2:$A$83,0),MATCH($C191,'🔖 배합비 참조'!$B$1:$CE$1,0))/100,0),""))),"")</f>
        <v>89</v>
      </c>
      <c r="CJ191" s="40"/>
      <c r="CL191" s="1" t="s">
        <v>245</v>
      </c>
    </row>
    <row r="192" customFormat="false" ht="18" hidden="false" customHeight="true" outlineLevel="0" collapsed="false">
      <c r="A192" s="41" t="n">
        <v>188</v>
      </c>
      <c r="B192" s="36" t="n">
        <v>46051</v>
      </c>
      <c r="C192" s="37" t="s">
        <v>191</v>
      </c>
      <c r="D192" s="38" t="n">
        <v>990</v>
      </c>
      <c r="E192" s="17"/>
      <c r="F192" s="17"/>
      <c r="G192" s="42" t="n">
        <f aca="false">IFERROR(IF($C192="","",IF($D192="","",IFERROR(ROUND($D192*INDEX('🔖 배합비 참조'!$B$2:$CE$83,MATCH("간장",'🔖 배합비 참조'!$A$2:$A$83,0),MATCH($C192,'🔖 배합비 참조'!$B$1:$CE$1,0))/100,0),""))),"")</f>
        <v>0</v>
      </c>
      <c r="H192" s="42" t="n">
        <f aca="false">IFERROR(IF($C192="","",IF($D192="","",IFERROR(ROUND($D192*INDEX('🔖 배합비 참조'!$B$2:$CE$83,MATCH("강낭콩((울타리콩))",'🔖 배합비 참조'!$A$2:$A$83,0),MATCH($C192,'🔖 배합비 참조'!$B$1:$CE$1,0))/100,0),""))),"")</f>
        <v>0</v>
      </c>
      <c r="I192" s="42" t="n">
        <f aca="false">IFERROR(IF($C192="","",IF($D192="","",IFERROR(ROUND($D192*INDEX('🔖 배합비 참조'!$B$2:$CE$83,MATCH("건조딸기다이스(외국산)",'🔖 배합비 참조'!$A$2:$A$83,0),MATCH($C192,'🔖 배합비 참조'!$B$1:$CE$1,0))/100,0),""))),"")</f>
        <v>0</v>
      </c>
      <c r="J192" s="42" t="n">
        <f aca="false">IFERROR(IF($C192="","",IF($D192="","",IFERROR(ROUND($D192*INDEX('🔖 배합비 참조'!$B$2:$CE$83,MATCH("건포도",'🔖 배합비 참조'!$A$2:$A$83,0),MATCH($C192,'🔖 배합비 참조'!$B$1:$CE$1,0))/100,0),""))),"")</f>
        <v>0</v>
      </c>
      <c r="K192" s="42" t="n">
        <f aca="false">IFERROR(IF($C192="","",IF($D192="","",IFERROR(ROUND($D192*INDEX('🔖 배합비 참조'!$B$2:$CE$83,MATCH("건호박채(중국산)",'🔖 배합비 참조'!$A$2:$A$83,0),MATCH($C192,'🔖 배합비 참조'!$B$1:$CE$1,0))/100,0),""))),"")</f>
        <v>0</v>
      </c>
      <c r="L192" s="42" t="n">
        <f aca="false">IFERROR(IF($C192="","",IF($D192="","",IFERROR(ROUND($D192*INDEX('🔖 배합비 참조'!$B$2:$CE$83,MATCH("검정깨(흑임자)",'🔖 배합비 참조'!$A$2:$A$83,0),MATCH($C192,'🔖 배합비 참조'!$B$1:$CE$1,0))/100,0),""))),"")</f>
        <v>0</v>
      </c>
      <c r="M192" s="42" t="n">
        <f aca="false">IFERROR(IF($C192="","",IF($D192="","",IFERROR(ROUND($D192*INDEX('🔖 배합비 참조'!$B$2:$CE$83,MATCH("검정콩",'🔖 배합비 참조'!$A$2:$A$83,0),MATCH($C192,'🔖 배합비 참조'!$B$1:$CE$1,0))/100,0),""))),"")</f>
        <v>0</v>
      </c>
      <c r="N192" s="42" t="n">
        <f aca="false">IFERROR(IF($C192="","",IF($D192="","",IFERROR(ROUND($D192*INDEX('🔖 배합비 참조'!$B$2:$CE$83,MATCH("계피가루",'🔖 배합비 참조'!$A$2:$A$83,0),MATCH($C192,'🔖 배합비 참조'!$B$1:$CE$1,0))/100,0),""))),"")</f>
        <v>0</v>
      </c>
      <c r="O192" s="42" t="n">
        <f aca="false">IFERROR(IF($C192="","",IF($D192="","",IFERROR(ROUND($D192*INDEX('🔖 배합비 참조'!$B$2:$CE$83,MATCH("고구마가루",'🔖 배합비 참조'!$A$2:$A$83,0),MATCH($C192,'🔖 배합비 참조'!$B$1:$CE$1,0))/100,0),""))),"")</f>
        <v>0</v>
      </c>
      <c r="P192" s="42" t="n">
        <f aca="false">IFERROR(IF($C192="","",IF($D192="","",IFERROR(ROUND($D192*INDEX('🔖 배합비 참조'!$B$2:$CE$83,MATCH("고구마무스",'🔖 배합비 참조'!$A$2:$A$83,0),MATCH($C192,'🔖 배합비 참조'!$B$1:$CE$1,0))/100,0),""))),"")</f>
        <v>0</v>
      </c>
      <c r="Q192" s="42" t="n">
        <f aca="false">IFERROR(IF($C192="","",IF($D192="","",IFERROR(ROUND($D192*INDEX('🔖 배합비 참조'!$B$2:$CE$83,MATCH("고려엉겅퀴((곤드레)국내산)",'🔖 배합비 참조'!$A$2:$A$83,0),MATCH($C192,'🔖 배합비 참조'!$B$1:$CE$1,0))/100,0),""))),"")</f>
        <v>0</v>
      </c>
      <c r="R192" s="42" t="n">
        <f aca="false">IFERROR(IF($C192="","",IF($D192="","",IFERROR(ROUND($D192*INDEX('🔖 배합비 참조'!$B$2:$CE$83,MATCH("기타가공품(복분자가루)",'🔖 배합비 참조'!$A$2:$A$83,0),MATCH($C192,'🔖 배합비 참조'!$B$1:$CE$1,0))/100,0),""))),"")</f>
        <v>0</v>
      </c>
      <c r="S192" s="42" t="n">
        <f aca="false">IFERROR(IF($C192="","",IF($D192="","",IFERROR(ROUND($D192*INDEX('🔖 배합비 참조'!$B$2:$CE$83,MATCH("기타가공품(슈퍼소프트엠)",'🔖 배합비 참조'!$A$2:$A$83,0),MATCH($C192,'🔖 배합비 참조'!$B$1:$CE$1,0))/100,0),""))),"")</f>
        <v>0</v>
      </c>
      <c r="T192" s="42" t="n">
        <f aca="false">IFERROR(IF($C192="","",IF($D192="","",IFERROR(ROUND($D192*INDEX('🔖 배합비 참조'!$B$2:$CE$83,MATCH("기타가공품(파인소프트 E-티)",'🔖 배합비 참조'!$A$2:$A$83,0),MATCH($C192,'🔖 배합비 참조'!$B$1:$CE$1,0))/100,0),""))),"")</f>
        <v>0</v>
      </c>
      <c r="U192" s="42" t="n">
        <f aca="false">IFERROR(IF($C192="","",IF($D192="","",IFERROR(ROUND($D192*INDEX('🔖 배합비 참조'!$B$2:$CE$83,MATCH("기타가공품(프리미엄카스테라가루)",'🔖 배합비 참조'!$A$2:$A$83,0),MATCH($C192,'🔖 배합비 참조'!$B$1:$CE$1,0))/100,0),""))),"")</f>
        <v>0</v>
      </c>
      <c r="V192" s="42" t="n">
        <f aca="false">IFERROR(IF($C192="","",IF($D192="","",IFERROR(ROUND($D192*INDEX('🔖 배합비 참조'!$B$2:$CE$83,MATCH("기타가공품(흑임자가루)",'🔖 배합비 참조'!$A$2:$A$83,0),MATCH($C192,'🔖 배합비 참조'!$B$1:$CE$1,0))/100,0),""))),"")</f>
        <v>0</v>
      </c>
      <c r="W192" s="42" t="n">
        <f aca="false">IFERROR(IF($C192="","",IF($D192="","",IFERROR(ROUND($D192*INDEX('🔖 배합비 참조'!$B$2:$CE$83,MATCH("기타설탕(흑설탕)",'🔖 배합비 참조'!$A$2:$A$83,0),MATCH($C192,'🔖 배합비 참조'!$B$1:$CE$1,0))/100,0),""))),"")</f>
        <v>0</v>
      </c>
      <c r="X192" s="42" t="n">
        <f aca="false">IFERROR(IF($C192="","",IF($D192="","",IFERROR(ROUND($D192*INDEX('🔖 배합비 참조'!$B$2:$CE$83,MATCH("냉동쑥(국내산)",'🔖 배합비 참조'!$A$2:$A$83,0),MATCH($C192,'🔖 배합비 참조'!$B$1:$CE$1,0))/100,0),""))),"")</f>
        <v>0</v>
      </c>
      <c r="Y192" s="42" t="n">
        <f aca="false">IFERROR(IF($C192="","",IF($D192="","",IFERROR(ROUND($D192*INDEX('🔖 배합비 참조'!$B$2:$CE$83,MATCH("냉동증숙고구마(중국산)",'🔖 배합비 참조'!$A$2:$A$83,0),MATCH($C192,'🔖 배합비 참조'!$B$1:$CE$1,0))/100,0),""))),"")</f>
        <v>0</v>
      </c>
      <c r="Z192" s="42" t="n">
        <f aca="false">IFERROR(IF($C192="","",IF($D192="","",IFERROR(ROUND($D192*INDEX('🔖 배합비 참조'!$B$2:$CE$83,MATCH("녹차가루",'🔖 배합비 참조'!$A$2:$A$83,0),MATCH($C192,'🔖 배합비 참조'!$B$1:$CE$1,0))/100,0),""))),"")</f>
        <v>0</v>
      </c>
      <c r="AA192" s="42" t="n">
        <f aca="false">IFERROR(IF($C192="","",IF($D192="","",IFERROR(ROUND($D192*INDEX('🔖 배합비 참조'!$B$2:$CE$83,MATCH("다크초콜릿 컴파운드칩",'🔖 배합비 참조'!$A$2:$A$83,0),MATCH($C192,'🔖 배합비 참조'!$B$1:$CE$1,0))/100,0),""))),"")</f>
        <v>0</v>
      </c>
      <c r="AB192" s="42" t="n">
        <f aca="false">IFERROR(IF($C192="","",IF($D192="","",IFERROR(ROUND($D192*INDEX('🔖 배합비 참조'!$B$2:$CE$83,MATCH("단호박분말(중국산)",'🔖 배합비 참조'!$A$2:$A$83,0),MATCH($C192,'🔖 배합비 참조'!$B$1:$CE$1,0))/100,0),""))),"")</f>
        <v>0</v>
      </c>
      <c r="AC192" s="42" t="n">
        <f aca="false">IFERROR(IF($C192="","",IF($D192="","",IFERROR(ROUND($D192*INDEX('🔖 배합비 참조'!$B$2:$CE$83,MATCH("당류가공품(단호박농축액)",'🔖 배합비 참조'!$A$2:$A$83,0),MATCH($C192,'🔖 배합비 참조'!$B$1:$CE$1,0))/100,0),""))),"")</f>
        <v>0</v>
      </c>
      <c r="AD192" s="42" t="n">
        <f aca="false">IFERROR(IF($C192="","",IF($D192="","",IFERROR(ROUND($D192*INDEX('🔖 배합비 참조'!$B$2:$CE$83,MATCH("당류가공품(알룰로스,에리스리톨,스테비올배당체혼합)",'🔖 배합비 참조'!$A$2:$A$83,0),MATCH($C192,'🔖 배합비 참조'!$B$1:$CE$1,0))/100,0),""))),"")</f>
        <v>0</v>
      </c>
      <c r="AE192" s="42" t="n">
        <f aca="false">IFERROR(IF($C192="","",IF($D192="","",IFERROR(ROUND($D192*INDEX('🔖 배합비 참조'!$B$2:$CE$83,MATCH("당류가공품(알룰로스제로파우더)",'🔖 배합비 참조'!$A$2:$A$83,0),MATCH($C192,'🔖 배합비 참조'!$B$1:$CE$1,0))/100,0),""))),"")</f>
        <v>0</v>
      </c>
      <c r="AF192" s="42" t="n">
        <f aca="false">IFERROR(IF($C192="","",IF($D192="","",IFERROR(ROUND($D192*INDEX('🔖 배합비 참조'!$B$2:$CE$83,MATCH("당절임(완두배기)",'🔖 배합비 참조'!$A$2:$A$83,0),MATCH($C192,'🔖 배합비 참조'!$B$1:$CE$1,0))/100,0),""))),"")</f>
        <v>0</v>
      </c>
      <c r="AG192" s="42" t="n">
        <f aca="false">IFERROR(IF($C192="","",IF($D192="","",IFERROR(ROUND($D192*INDEX('🔖 배합비 참조'!$B$2:$CE$83,MATCH("대추농축액",'🔖 배합비 참조'!$A$2:$A$83,0),MATCH($C192,'🔖 배합비 참조'!$B$1:$CE$1,0))/100,0),""))),"")</f>
        <v>0</v>
      </c>
      <c r="AH192" s="42" t="n">
        <f aca="false">IFERROR(IF($C192="","",IF($D192="","",IFERROR(ROUND($D192*INDEX('🔖 배합비 참조'!$B$2:$CE$83,MATCH("대추채(국내산)",'🔖 배합비 참조'!$A$2:$A$83,0),MATCH($C192,'🔖 배합비 참조'!$B$1:$CE$1,0))/100,0),""))),"")</f>
        <v>0</v>
      </c>
      <c r="AI192" s="42" t="n">
        <f aca="false">IFERROR(IF($C192="","",IF($D192="","",IFERROR(ROUND($D192*INDEX('🔖 배합비 참조'!$B$2:$CE$83,MATCH("동부(미얀마산)",'🔖 배합비 참조'!$A$2:$A$83,0),MATCH($C192,'🔖 배합비 참조'!$B$1:$CE$1,0))/100,0),""))),"")</f>
        <v>0</v>
      </c>
      <c r="AJ192" s="42" t="n">
        <f aca="false">IFERROR(IF($C192="","",IF($D192="","",IFERROR(ROUND($D192*INDEX('🔖 배합비 참조'!$B$2:$CE$83,MATCH("두류가공품(백옥앙금)",'🔖 배합비 참조'!$A$2:$A$83,0),MATCH($C192,'🔖 배합비 참조'!$B$1:$CE$1,0))/100,0),""))),"")</f>
        <v>0</v>
      </c>
      <c r="AK192" s="42" t="n">
        <f aca="false">IFERROR(IF($C192="","",IF($D192="","",IFERROR(ROUND($D192*INDEX('🔖 배합비 참조'!$B$2:$CE$83,MATCH("두류가공품(콩고물)",'🔖 배합비 참조'!$A$2:$A$83,0),MATCH($C192,'🔖 배합비 참조'!$B$1:$CE$1,0))/100,0),""))),"")</f>
        <v>0</v>
      </c>
      <c r="AL192" s="42" t="n">
        <f aca="false">IFERROR(IF($C192="","",IF($D192="","",IFERROR(ROUND($D192*INDEX('🔖 배합비 참조'!$B$2:$CE$83,MATCH("두류가공품(통팥고물)",'🔖 배합비 참조'!$A$2:$A$83,0),MATCH($C192,'🔖 배합비 참조'!$B$1:$CE$1,0))/100,0),""))),"")</f>
        <v>0</v>
      </c>
      <c r="AM192" s="42" t="n">
        <f aca="false">IFERROR(IF($C192="","",IF($D192="","",IFERROR(ROUND($D192*INDEX('🔖 배합비 참조'!$B$2:$CE$83,MATCH("딸기레진",'🔖 배합비 참조'!$A$2:$A$83,0),MATCH($C192,'🔖 배합비 참조'!$B$1:$CE$1,0))/100,0),""))),"")</f>
        <v>0</v>
      </c>
      <c r="AN192" s="42" t="n">
        <f aca="false">IFERROR(IF($C192="","",IF($D192="","",IFERROR(ROUND($D192*INDEX('🔖 배합비 참조'!$B$2:$CE$83,MATCH("딸기분말(스트로우베리에이드(분말))",'🔖 배합비 참조'!$A$2:$A$83,0),MATCH($C192,'🔖 배합비 참조'!$B$1:$CE$1,0))/100,0),""))),"")</f>
        <v>0</v>
      </c>
      <c r="AO192" s="42" t="n">
        <f aca="false">IFERROR(IF($C192="","",IF($D192="","",IFERROR(ROUND($D192*INDEX('🔖 배합비 참조'!$B$2:$CE$83,MATCH("마스카포네치즈",'🔖 배합비 참조'!$A$2:$A$83,0),MATCH($C192,'🔖 배합비 참조'!$B$1:$CE$1,0))/100,0),""))),"")</f>
        <v>0</v>
      </c>
      <c r="AP192" s="42" t="n">
        <f aca="false">IFERROR(IF($C192="","",IF($D192="","",IFERROR(ROUND($D192*INDEX('🔖 배합비 참조'!$B$2:$CE$83,MATCH("마카다미아분태(호주산)",'🔖 배합비 참조'!$A$2:$A$83,0),MATCH($C192,'🔖 배합비 참조'!$B$1:$CE$1,0))/100,0),""))),"")</f>
        <v>0</v>
      </c>
      <c r="AQ192" s="42" t="n">
        <f aca="false">IFERROR(IF($C192="","",IF($D192="","",IFERROR(ROUND($D192*INDEX('🔖 배합비 참조'!$B$2:$CE$83,MATCH("멥쌀(국내산)",'🔖 배합비 참조'!$A$2:$A$83,0),MATCH($C192,'🔖 배합비 참조'!$B$1:$CE$1,0))/100,0),""))),"")</f>
        <v>20</v>
      </c>
      <c r="AR192" s="42" t="n">
        <f aca="false">IFERROR(IF($C192="","",IF($D192="","",IFERROR(ROUND($D192*INDEX('🔖 배합비 참조'!$B$2:$CE$83,MATCH("모시잎(국내산)",'🔖 배합비 참조'!$A$2:$A$83,0),MATCH($C192,'🔖 배합비 참조'!$B$1:$CE$1,0))/100,0),""))),"")</f>
        <v>0</v>
      </c>
      <c r="AS192" s="42" t="n">
        <f aca="false">IFERROR(IF($C192="","",IF($D192="","",IFERROR(ROUND($D192*INDEX('🔖 배합비 참조'!$B$2:$CE$83,MATCH("물엿(저당물엿)",'🔖 배합비 참조'!$A$2:$A$83,0),MATCH($C192,'🔖 배합비 참조'!$B$1:$CE$1,0))/100,0),""))),"")</f>
        <v>0</v>
      </c>
      <c r="AT192" s="42" t="n">
        <f aca="false">IFERROR(IF($C192="","",IF($D192="","",IFERROR(ROUND($D192*INDEX('🔖 배합비 참조'!$B$2:$CE$83,MATCH("밤다이스",'🔖 배합비 참조'!$A$2:$A$83,0),MATCH($C192,'🔖 배합비 참조'!$B$1:$CE$1,0))/100,0),""))),"")</f>
        <v>0</v>
      </c>
      <c r="AU192" s="42" t="n">
        <f aca="false">IFERROR(IF($C192="","",IF($D192="","",IFERROR(ROUND($D192*INDEX('🔖 배합비 참조'!$B$2:$CE$83,MATCH("변성전분(타피오카전분)",'🔖 배합비 참조'!$A$2:$A$83,0),MATCH($C192,'🔖 배합비 참조'!$B$1:$CE$1,0))/100,0),""))),"")</f>
        <v>0</v>
      </c>
      <c r="AV192" s="42" t="n">
        <f aca="false">IFERROR(IF($C192="","",IF($D192="","",IFERROR(ROUND($D192*INDEX('🔖 배합비 참조'!$B$2:$CE$83,MATCH("복음땅콩분태",'🔖 배합비 참조'!$A$2:$A$83,0),MATCH($C192,'🔖 배합비 참조'!$B$1:$CE$1,0))/100,0),""))),"")</f>
        <v>0</v>
      </c>
      <c r="AW192" s="42" t="n">
        <f aca="false">IFERROR(IF($C192="","",IF($D192="","",IFERROR(ROUND($D192*INDEX('🔖 배합비 참조'!$B$2:$CE$83,MATCH("사양벌꿀(국내산)",'🔖 배합비 참조'!$A$2:$A$83,0),MATCH($C192,'🔖 배합비 참조'!$B$1:$CE$1,0))/100,0),""))),"")</f>
        <v>0</v>
      </c>
      <c r="AX192" s="42" t="n">
        <f aca="false">IFERROR(IF($C192="","",IF($D192="","",IFERROR(ROUND($D192*INDEX('🔖 배합비 참조'!$B$2:$CE$83,MATCH("생크림",'🔖 배합비 참조'!$A$2:$A$83,0),MATCH($C192,'🔖 배합비 참조'!$B$1:$CE$1,0))/100,0),""))),"")</f>
        <v>0</v>
      </c>
      <c r="AY192" s="42" t="n">
        <f aca="false">IFERROR(IF($C192="","",IF($D192="","",IFERROR(ROUND($D192*INDEX('🔖 배합비 참조'!$B$2:$CE$83,MATCH("서양호박(국내산,뉴질랜드산)",'🔖 배합비 참조'!$A$2:$A$83,0),MATCH($C192,'🔖 배합비 참조'!$B$1:$CE$1,0))/100,0),""))),"")</f>
        <v>0</v>
      </c>
      <c r="AZ192" s="42" t="n">
        <f aca="false">IFERROR(IF($C192="","",IF($D192="","",IFERROR(ROUND($D192*INDEX('🔖 배합비 참조'!$B$2:$CE$83,MATCH("설탕",'🔖 배합비 참조'!$A$2:$A$83,0),MATCH($C192,'🔖 배합비 참조'!$B$1:$CE$1,0))/100,0),""))),"")</f>
        <v>188</v>
      </c>
      <c r="BA192" s="42" t="n">
        <f aca="false">IFERROR(IF($C192="","",IF($D192="","",IFERROR(ROUND($D192*INDEX('🔖 배합비 참조'!$B$2:$CE$83,MATCH("스트로우베리 에이드 후레쉬",'🔖 배합비 참조'!$A$2:$A$83,0),MATCH($C192,'🔖 배합비 참조'!$B$1:$CE$1,0))/100,0),""))),"")</f>
        <v>0</v>
      </c>
      <c r="BB192" s="42" t="n">
        <f aca="false">IFERROR(IF($C192="","",IF($D192="","",IFERROR(ROUND($D192*INDEX('🔖 배합비 참조'!$B$2:$CE$83,MATCH("식물성기름혼합제제(분홍)",'🔖 배합비 참조'!$A$2:$A$83,0),MATCH($C192,'🔖 배합비 참조'!$B$1:$CE$1,0))/100,0),""))),"")</f>
        <v>0</v>
      </c>
      <c r="BC192" s="42" t="n">
        <f aca="false">IFERROR(IF($C192="","",IF($D192="","",IFERROR(ROUND($D192*INDEX('🔖 배합비 참조'!$B$2:$CE$83,MATCH("식물성기름혼합제제(초록)",'🔖 배합비 참조'!$A$2:$A$83,0),MATCH($C192,'🔖 배합비 참조'!$B$1:$CE$1,0))/100,0),""))),"")</f>
        <v>0</v>
      </c>
      <c r="BD192" s="42" t="n">
        <f aca="false">IFERROR(IF($C192="","",IF($D192="","",IFERROR(ROUND($D192*INDEX('🔖 배합비 참조'!$B$2:$CE$83,MATCH("식물성기름혼합제제(황색)",'🔖 배합비 참조'!$A$2:$A$83,0),MATCH($C192,'🔖 배합비 참조'!$B$1:$CE$1,0))/100,0),""))),"")</f>
        <v>0</v>
      </c>
      <c r="BE192" s="42" t="n">
        <f aca="false">IFERROR(IF($C192="","",IF($D192="","",IFERROR(ROUND($D192*INDEX('🔖 배합비 참조'!$B$2:$CE$83,MATCH("쑥가루(국내산)",'🔖 배합비 참조'!$A$2:$A$83,0),MATCH($C192,'🔖 배합비 참조'!$B$1:$CE$1,0))/100,0),""))),"")</f>
        <v>0</v>
      </c>
      <c r="BF192" s="42" t="n">
        <f aca="false">IFERROR(IF($C192="","",IF($D192="","",IFERROR(ROUND($D192*INDEX('🔖 배합비 참조'!$B$2:$CE$83,MATCH("아몬드슬라이스",'🔖 배합비 참조'!$A$2:$A$83,0),MATCH($C192,'🔖 배합비 참조'!$B$1:$CE$1,0))/100,0),""))),"")</f>
        <v>0</v>
      </c>
      <c r="BG192" s="42" t="n">
        <f aca="false">IFERROR(IF($C192="","",IF($D192="","",IFERROR(ROUND($D192*INDEX('🔖 배합비 참조'!$B$2:$CE$83,MATCH("알룰로오스(국내산)",'🔖 배합비 참조'!$A$2:$A$83,0),MATCH($C192,'🔖 배합비 참조'!$B$1:$CE$1,0))/100,0),""))),"")</f>
        <v>0</v>
      </c>
      <c r="BH192" s="42" t="n">
        <f aca="false">IFERROR(IF($C192="","",IF($D192="","",IFERROR(ROUND($D192*INDEX('🔖 배합비 참조'!$B$2:$CE$83,MATCH("연유",'🔖 배합비 참조'!$A$2:$A$83,0),MATCH($C192,'🔖 배합비 참조'!$B$1:$CE$1,0))/100,0),""))),"")</f>
        <v>0</v>
      </c>
      <c r="BI192" s="42" t="n">
        <f aca="false">IFERROR(IF($C192="","",IF($D192="","",IFERROR(ROUND($D192*INDEX('🔖 배합비 참조'!$B$2:$CE$83,MATCH("옥수수전분",'🔖 배합비 참조'!$A$2:$A$83,0),MATCH($C192,'🔖 배합비 참조'!$B$1:$CE$1,0))/100,0),""))),"")</f>
        <v>0</v>
      </c>
      <c r="BJ192" s="42" t="n">
        <f aca="false">IFERROR(IF($C192="","",IF($D192="","",IFERROR(ROUND($D192*INDEX('🔖 배합비 참조'!$B$2:$CE$83,MATCH("완두배기",'🔖 배합비 참조'!$A$2:$A$83,0),MATCH($C192,'🔖 배합비 참조'!$B$1:$CE$1,0))/100,0),""))),"")</f>
        <v>0</v>
      </c>
      <c r="BK192" s="42" t="n">
        <f aca="false">IFERROR(IF($C192="","",IF($D192="","",IFERROR(ROUND($D192*INDEX('🔖 배합비 참조'!$B$2:$CE$83,MATCH("우유(국내산)",'🔖 배합비 참조'!$A$2:$A$83,0),MATCH($C192,'🔖 배합비 참조'!$B$1:$CE$1,0))/100,0),""))),"")</f>
        <v>0</v>
      </c>
      <c r="BL192" s="42" t="n">
        <f aca="false">IFERROR(IF($C192="","",IF($D192="","",IFERROR(ROUND($D192*INDEX('🔖 배합비 참조'!$B$2:$CE$83,MATCH("자색고구마가루(중국산)",'🔖 배합비 참조'!$A$2:$A$83,0),MATCH($C192,'🔖 배합비 참조'!$B$1:$CE$1,0))/100,0),""))),"")</f>
        <v>0</v>
      </c>
      <c r="BM192" s="42" t="n">
        <f aca="false">IFERROR(IF($C192="","",IF($D192="","",IFERROR(ROUND($D192*INDEX('🔖 배합비 참조'!$B$2:$CE$83,MATCH("자연치즈(체다치즈)",'🔖 배합비 참조'!$A$2:$A$83,0),MATCH($C192,'🔖 배합비 참조'!$B$1:$CE$1,0))/100,0),""))),"")</f>
        <v>0</v>
      </c>
      <c r="BN192" s="42" t="n">
        <f aca="false">IFERROR(IF($C192="","",IF($D192="","",IFERROR(ROUND($D192*INDEX('🔖 배합비 참조'!$B$2:$CE$83,MATCH("정제수",'🔖 배합비 참조'!$A$2:$A$83,0),MATCH($C192,'🔖 배합비 참조'!$B$1:$CE$1,0))/100,0),""))),"")</f>
        <v>30</v>
      </c>
      <c r="BO192" s="42" t="n">
        <f aca="false">IFERROR(IF($C192="","",IF($D192="","",IFERROR(ROUND($D192*INDEX('🔖 배합비 참조'!$B$2:$CE$83,MATCH("젤라틴",'🔖 배합비 참조'!$A$2:$A$83,0),MATCH($C192,'🔖 배합비 참조'!$B$1:$CE$1,0))/100,0),""))),"")</f>
        <v>0</v>
      </c>
      <c r="BP192" s="42" t="n">
        <f aca="false">IFERROR(IF($C192="","",IF($D192="","",IFERROR(ROUND($D192*INDEX('🔖 배합비 참조'!$B$2:$CE$83,MATCH("조림류(백옥앙금)",'🔖 배합비 참조'!$A$2:$A$83,0),MATCH($C192,'🔖 배합비 참조'!$B$1:$CE$1,0))/100,0),""))),"")</f>
        <v>0</v>
      </c>
      <c r="BQ192" s="42" t="n">
        <f aca="false">IFERROR(IF($C192="","",IF($D192="","",IFERROR(ROUND($D192*INDEX('🔖 배합비 참조'!$B$2:$CE$83,MATCH("조림류(통팥앙금)",'🔖 배합비 참조'!$A$2:$A$83,0),MATCH($C192,'🔖 배합비 참조'!$B$1:$CE$1,0))/100,0),""))),"")</f>
        <v>178</v>
      </c>
      <c r="BR192" s="42" t="n">
        <f aca="false">IFERROR(IF($C192="","",IF($D192="","",IFERROR(ROUND($D192*INDEX('🔖 배합비 참조'!$B$2:$CE$83,MATCH("준초콜릿(외국산)",'🔖 배합비 참조'!$A$2:$A$83,0),MATCH($C192,'🔖 배합비 참조'!$B$1:$CE$1,0))/100,0),""))),"")</f>
        <v>0</v>
      </c>
      <c r="BS192" s="42" t="n">
        <f aca="false">IFERROR(IF($C192="","",IF($D192="","",IFERROR(ROUND($D192*INDEX('🔖 배합비 참조'!$B$2:$CE$83,MATCH("중력분",'🔖 배합비 참조'!$A$2:$A$83,0),MATCH($C192,'🔖 배합비 참조'!$B$1:$CE$1,0))/100,0),""))),"")</f>
        <v>20</v>
      </c>
      <c r="BT192" s="42" t="n">
        <f aca="false">IFERROR(IF($C192="","",IF($D192="","",IFERROR(ROUND($D192*INDEX('🔖 배합비 참조'!$B$2:$CE$83,MATCH("참깨(인도산,나이지리아산,탄자니아산,미얀마산)",'🔖 배합비 참조'!$A$2:$A$83,0),MATCH($C192,'🔖 배합비 참조'!$B$1:$CE$1,0))/100,0),""))),"")</f>
        <v>0</v>
      </c>
      <c r="BU192" s="42" t="n">
        <f aca="false">IFERROR(IF($C192="","",IF($D192="","",IFERROR(ROUND($D192*INDEX('🔖 배합비 참조'!$B$2:$CE$83,MATCH("찹쌀(국내산)",'🔖 배합비 참조'!$A$2:$A$83,0),MATCH($C192,'🔖 배합비 참조'!$B$1:$CE$1,0))/100,0),""))),"")</f>
        <v>426</v>
      </c>
      <c r="BV192" s="42" t="n">
        <f aca="false">IFERROR(IF($C192="","",IF($D192="","",IFERROR(ROUND($D192*INDEX('🔖 배합비 참조'!$B$2:$CE$83,MATCH("천일염",'🔖 배합비 참조'!$A$2:$A$83,0),MATCH($C192,'🔖 배합비 참조'!$B$1:$CE$1,0))/100,0),""))),"")</f>
        <v>20</v>
      </c>
      <c r="BW192" s="42" t="n">
        <f aca="false">IFERROR(IF($C192="","",IF($D192="","",IFERROR(ROUND($D192*INDEX('🔖 배합비 참조'!$B$2:$CE$83,MATCH("치즈 [크림치즈]",'🔖 배합비 참조'!$A$2:$A$83,0),MATCH($C192,'🔖 배합비 참조'!$B$1:$CE$1,0))/100,0),""))),"")</f>
        <v>0</v>
      </c>
      <c r="BX192" s="42" t="n">
        <f aca="false">IFERROR(IF($C192="","",IF($D192="","",IFERROR(ROUND($D192*INDEX('🔖 배합비 참조'!$B$2:$CE$83,MATCH("코코아가공품류(코코아분말)",'🔖 배합비 참조'!$A$2:$A$83,0),MATCH($C192,'🔖 배합비 참조'!$B$1:$CE$1,0))/100,0),""))),"")</f>
        <v>0</v>
      </c>
      <c r="BY192" s="42" t="n">
        <f aca="false">IFERROR(IF($C192="","",IF($D192="","",IFERROR(ROUND($D192*INDEX('🔖 배합비 참조'!$B$2:$CE$83,MATCH("콩기름(대두유)",'🔖 배합비 참조'!$A$2:$A$83,0),MATCH($C192,'🔖 배합비 참조'!$B$1:$CE$1,0))/100,0),""))),"")</f>
        <v>0</v>
      </c>
      <c r="BZ192" s="42" t="n">
        <f aca="false">IFERROR(IF($C192="","",IF($D192="","",IFERROR(ROUND($D192*INDEX('🔖 배합비 참조'!$B$2:$CE$83,MATCH("해바라기씨앗",'🔖 배합비 참조'!$A$2:$A$83,0),MATCH($C192,'🔖 배합비 참조'!$B$1:$CE$1,0))/100,0),""))),"")</f>
        <v>0</v>
      </c>
      <c r="CA192" s="42" t="n">
        <f aca="false">IFERROR(IF($C192="","",IF($D192="","",IFERROR(ROUND($D192*INDEX('🔖 배합비 참조'!$B$2:$CE$83,MATCH("현미(국내산)",'🔖 배합비 참조'!$A$2:$A$83,0),MATCH($C192,'🔖 배합비 참조'!$B$1:$CE$1,0))/100,0),""))),"")</f>
        <v>0</v>
      </c>
      <c r="CB192" s="42" t="n">
        <f aca="false">IFERROR(IF($C192="","",IF($D192="","",IFERROR(ROUND($D192*INDEX('🔖 배합비 참조'!$B$2:$CE$83,MATCH("현미멥쌀(국내산)",'🔖 배합비 참조'!$A$2:$A$83,0),MATCH($C192,'🔖 배합비 참조'!$B$1:$CE$1,0))/100,0),""))),"")</f>
        <v>0</v>
      </c>
      <c r="CC192" s="42" t="n">
        <f aca="false">IFERROR(IF($C192="","",IF($D192="","",IFERROR(ROUND($D192*INDEX('🔖 배합비 참조'!$B$2:$CE$83,MATCH("호두분태(미국산)",'🔖 배합비 참조'!$A$2:$A$83,0),MATCH($C192,'🔖 배합비 참조'!$B$1:$CE$1,0))/100,0),""))),"")</f>
        <v>0</v>
      </c>
      <c r="CD192" s="42" t="n">
        <f aca="false">IFERROR(IF($C192="","",IF($D192="","",IFERROR(ROUND($D192*INDEX('🔖 배합비 참조'!$B$2:$CE$83,MATCH("호박씨앗(외국산)",'🔖 배합비 참조'!$A$2:$A$83,0),MATCH($C192,'🔖 배합비 참조'!$B$1:$CE$1,0))/100,0),""))),"")</f>
        <v>0</v>
      </c>
      <c r="CE192" s="42" t="n">
        <f aca="false">IFERROR(IF($C192="","",IF($D192="","",IFERROR(ROUND($D192*INDEX('🔖 배합비 참조'!$B$2:$CE$83,MATCH("혼합제제(떡용에스텔)",'🔖 배합비 참조'!$A$2:$A$83,0),MATCH($C192,'🔖 배합비 참조'!$B$1:$CE$1,0))/100,0),""))),"")</f>
        <v>20</v>
      </c>
      <c r="CF192" s="42" t="n">
        <f aca="false">IFERROR(IF($C192="","",IF($D192="","",IFERROR(ROUND($D192*INDEX('🔖 배합비 참조'!$B$2:$CE$83,MATCH("혼합제제(스테비아)",'🔖 배합비 참조'!$A$2:$A$83,0),MATCH($C192,'🔖 배합비 참조'!$B$1:$CE$1,0))/100,0),""))),"")</f>
        <v>0</v>
      </c>
      <c r="CG192" s="42" t="n">
        <f aca="false">IFERROR(IF($C192="","",IF($D192="","",IFERROR(ROUND($D192*INDEX('🔖 배합비 참조'!$B$2:$CE$83,MATCH("화이트초콜릿",'🔖 배합비 참조'!$A$2:$A$83,0),MATCH($C192,'🔖 배합비 참조'!$B$1:$CE$1,0))/100,0),""))),"")</f>
        <v>0</v>
      </c>
      <c r="CH192" s="42" t="n">
        <f aca="false">IFERROR(IF($C192="","",IF($D192="","",IFERROR(ROUND($D192*INDEX('🔖 배합비 참조'!$B$2:$CE$83,MATCH("흑미찹쌀(국내산)",'🔖 배합비 참조'!$A$2:$A$83,0),MATCH($C192,'🔖 배합비 참조'!$B$1:$CE$1,0))/100,0),""))),"")</f>
        <v>0</v>
      </c>
      <c r="CI192" s="42" t="n">
        <f aca="false">IFERROR(IF($C192="","",IF($D192="","",IFERROR(ROUND($D192*INDEX('🔖 배합비 참조'!$B$2:$CE$83,MATCH("찰옥수수전분(미국산)",'🔖 배합비 참조'!$A$2:$A$83,0),MATCH($C192,'🔖 배합비 참조'!$B$1:$CE$1,0))/100,0),""))),"")</f>
        <v>89</v>
      </c>
      <c r="CJ192" s="40"/>
      <c r="CL192" s="1" t="s">
        <v>245</v>
      </c>
    </row>
    <row r="193" customFormat="false" ht="18" hidden="false" customHeight="true" outlineLevel="0" collapsed="false">
      <c r="A193" s="35" t="n">
        <v>189</v>
      </c>
      <c r="B193" s="36" t="n">
        <v>46051</v>
      </c>
      <c r="C193" s="37" t="s">
        <v>204</v>
      </c>
      <c r="D193" s="38" t="n">
        <v>110</v>
      </c>
      <c r="E193" s="13"/>
      <c r="F193" s="13"/>
      <c r="G193" s="39" t="n">
        <f aca="false">IFERROR(IF($C193="","",IF($D193="","",IFERROR(ROUND($D193*INDEX('🔖 배합비 참조'!$B$2:$CE$83,MATCH("간장",'🔖 배합비 참조'!$A$2:$A$83,0),MATCH($C193,'🔖 배합비 참조'!$B$1:$CE$1,0))/100,0),""))),"")</f>
        <v>0</v>
      </c>
      <c r="H193" s="39" t="n">
        <f aca="false">IFERROR(IF($C193="","",IF($D193="","",IFERROR(ROUND($D193*INDEX('🔖 배합비 참조'!$B$2:$CE$83,MATCH("강낭콩((울타리콩))",'🔖 배합비 참조'!$A$2:$A$83,0),MATCH($C193,'🔖 배합비 참조'!$B$1:$CE$1,0))/100,0),""))),"")</f>
        <v>0</v>
      </c>
      <c r="I193" s="39" t="n">
        <f aca="false">IFERROR(IF($C193="","",IF($D193="","",IFERROR(ROUND($D193*INDEX('🔖 배합비 참조'!$B$2:$CE$83,MATCH("건조딸기다이스(외국산)",'🔖 배합비 참조'!$A$2:$A$83,0),MATCH($C193,'🔖 배합비 참조'!$B$1:$CE$1,0))/100,0),""))),"")</f>
        <v>0</v>
      </c>
      <c r="J193" s="39" t="n">
        <f aca="false">IFERROR(IF($C193="","",IF($D193="","",IFERROR(ROUND($D193*INDEX('🔖 배합비 참조'!$B$2:$CE$83,MATCH("건포도",'🔖 배합비 참조'!$A$2:$A$83,0),MATCH($C193,'🔖 배합비 참조'!$B$1:$CE$1,0))/100,0),""))),"")</f>
        <v>0</v>
      </c>
      <c r="K193" s="39" t="n">
        <f aca="false">IFERROR(IF($C193="","",IF($D193="","",IFERROR(ROUND($D193*INDEX('🔖 배합비 참조'!$B$2:$CE$83,MATCH("건호박채(중국산)",'🔖 배합비 참조'!$A$2:$A$83,0),MATCH($C193,'🔖 배합비 참조'!$B$1:$CE$1,0))/100,0),""))),"")</f>
        <v>0</v>
      </c>
      <c r="L193" s="39" t="n">
        <f aca="false">IFERROR(IF($C193="","",IF($D193="","",IFERROR(ROUND($D193*INDEX('🔖 배합비 참조'!$B$2:$CE$83,MATCH("검정깨(흑임자)",'🔖 배합비 참조'!$A$2:$A$83,0),MATCH($C193,'🔖 배합비 참조'!$B$1:$CE$1,0))/100,0),""))),"")</f>
        <v>0</v>
      </c>
      <c r="M193" s="39" t="n">
        <f aca="false">IFERROR(IF($C193="","",IF($D193="","",IFERROR(ROUND($D193*INDEX('🔖 배합비 참조'!$B$2:$CE$83,MATCH("검정콩",'🔖 배합비 참조'!$A$2:$A$83,0),MATCH($C193,'🔖 배합비 참조'!$B$1:$CE$1,0))/100,0),""))),"")</f>
        <v>0</v>
      </c>
      <c r="N193" s="39" t="n">
        <f aca="false">IFERROR(IF($C193="","",IF($D193="","",IFERROR(ROUND($D193*INDEX('🔖 배합비 참조'!$B$2:$CE$83,MATCH("계피가루",'🔖 배합비 참조'!$A$2:$A$83,0),MATCH($C193,'🔖 배합비 참조'!$B$1:$CE$1,0))/100,0),""))),"")</f>
        <v>0</v>
      </c>
      <c r="O193" s="39" t="n">
        <f aca="false">IFERROR(IF($C193="","",IF($D193="","",IFERROR(ROUND($D193*INDEX('🔖 배합비 참조'!$B$2:$CE$83,MATCH("고구마가루",'🔖 배합비 참조'!$A$2:$A$83,0),MATCH($C193,'🔖 배합비 참조'!$B$1:$CE$1,0))/100,0),""))),"")</f>
        <v>0</v>
      </c>
      <c r="P193" s="39" t="n">
        <f aca="false">IFERROR(IF($C193="","",IF($D193="","",IFERROR(ROUND($D193*INDEX('🔖 배합비 참조'!$B$2:$CE$83,MATCH("고구마무스",'🔖 배합비 참조'!$A$2:$A$83,0),MATCH($C193,'🔖 배합비 참조'!$B$1:$CE$1,0))/100,0),""))),"")</f>
        <v>0</v>
      </c>
      <c r="Q193" s="39" t="n">
        <f aca="false">IFERROR(IF($C193="","",IF($D193="","",IFERROR(ROUND($D193*INDEX('🔖 배합비 참조'!$B$2:$CE$83,MATCH("고려엉겅퀴((곤드레)국내산)",'🔖 배합비 참조'!$A$2:$A$83,0),MATCH($C193,'🔖 배합비 참조'!$B$1:$CE$1,0))/100,0),""))),"")</f>
        <v>0</v>
      </c>
      <c r="R193" s="39" t="n">
        <f aca="false">IFERROR(IF($C193="","",IF($D193="","",IFERROR(ROUND($D193*INDEX('🔖 배합비 참조'!$B$2:$CE$83,MATCH("기타가공품(복분자가루)",'🔖 배합비 참조'!$A$2:$A$83,0),MATCH($C193,'🔖 배합비 참조'!$B$1:$CE$1,0))/100,0),""))),"")</f>
        <v>0</v>
      </c>
      <c r="S193" s="39" t="n">
        <f aca="false">IFERROR(IF($C193="","",IF($D193="","",IFERROR(ROUND($D193*INDEX('🔖 배합비 참조'!$B$2:$CE$83,MATCH("기타가공품(슈퍼소프트엠)",'🔖 배합비 참조'!$A$2:$A$83,0),MATCH($C193,'🔖 배합비 참조'!$B$1:$CE$1,0))/100,0),""))),"")</f>
        <v>0</v>
      </c>
      <c r="T193" s="39" t="n">
        <f aca="false">IFERROR(IF($C193="","",IF($D193="","",IFERROR(ROUND($D193*INDEX('🔖 배합비 참조'!$B$2:$CE$83,MATCH("기타가공품(파인소프트 E-티)",'🔖 배합비 참조'!$A$2:$A$83,0),MATCH($C193,'🔖 배합비 참조'!$B$1:$CE$1,0))/100,0),""))),"")</f>
        <v>0</v>
      </c>
      <c r="U193" s="39" t="n">
        <f aca="false">IFERROR(IF($C193="","",IF($D193="","",IFERROR(ROUND($D193*INDEX('🔖 배합비 참조'!$B$2:$CE$83,MATCH("기타가공품(프리미엄카스테라가루)",'🔖 배합비 참조'!$A$2:$A$83,0),MATCH($C193,'🔖 배합비 참조'!$B$1:$CE$1,0))/100,0),""))),"")</f>
        <v>0</v>
      </c>
      <c r="V193" s="39" t="n">
        <f aca="false">IFERROR(IF($C193="","",IF($D193="","",IFERROR(ROUND($D193*INDEX('🔖 배합비 참조'!$B$2:$CE$83,MATCH("기타가공품(흑임자가루)",'🔖 배합비 참조'!$A$2:$A$83,0),MATCH($C193,'🔖 배합비 참조'!$B$1:$CE$1,0))/100,0),""))),"")</f>
        <v>0</v>
      </c>
      <c r="W193" s="39" t="n">
        <f aca="false">IFERROR(IF($C193="","",IF($D193="","",IFERROR(ROUND($D193*INDEX('🔖 배합비 참조'!$B$2:$CE$83,MATCH("기타설탕(흑설탕)",'🔖 배합비 참조'!$A$2:$A$83,0),MATCH($C193,'🔖 배합비 참조'!$B$1:$CE$1,0))/100,0),""))),"")</f>
        <v>0</v>
      </c>
      <c r="X193" s="39" t="n">
        <f aca="false">IFERROR(IF($C193="","",IF($D193="","",IFERROR(ROUND($D193*INDEX('🔖 배합비 참조'!$B$2:$CE$83,MATCH("냉동쑥(국내산)",'🔖 배합비 참조'!$A$2:$A$83,0),MATCH($C193,'🔖 배합비 참조'!$B$1:$CE$1,0))/100,0),""))),"")</f>
        <v>4</v>
      </c>
      <c r="Y193" s="39" t="n">
        <f aca="false">IFERROR(IF($C193="","",IF($D193="","",IFERROR(ROUND($D193*INDEX('🔖 배합비 참조'!$B$2:$CE$83,MATCH("냉동증숙고구마(중국산)",'🔖 배합비 참조'!$A$2:$A$83,0),MATCH($C193,'🔖 배합비 참조'!$B$1:$CE$1,0))/100,0),""))),"")</f>
        <v>0</v>
      </c>
      <c r="Z193" s="39" t="n">
        <f aca="false">IFERROR(IF($C193="","",IF($D193="","",IFERROR(ROUND($D193*INDEX('🔖 배합비 참조'!$B$2:$CE$83,MATCH("녹차가루",'🔖 배합비 참조'!$A$2:$A$83,0),MATCH($C193,'🔖 배합비 참조'!$B$1:$CE$1,0))/100,0),""))),"")</f>
        <v>0</v>
      </c>
      <c r="AA193" s="39" t="n">
        <f aca="false">IFERROR(IF($C193="","",IF($D193="","",IFERROR(ROUND($D193*INDEX('🔖 배합비 참조'!$B$2:$CE$83,MATCH("다크초콜릿 컴파운드칩",'🔖 배합비 참조'!$A$2:$A$83,0),MATCH($C193,'🔖 배합비 참조'!$B$1:$CE$1,0))/100,0),""))),"")</f>
        <v>0</v>
      </c>
      <c r="AB193" s="39" t="n">
        <f aca="false">IFERROR(IF($C193="","",IF($D193="","",IFERROR(ROUND($D193*INDEX('🔖 배합비 참조'!$B$2:$CE$83,MATCH("단호박분말(중국산)",'🔖 배합비 참조'!$A$2:$A$83,0),MATCH($C193,'🔖 배합비 참조'!$B$1:$CE$1,0))/100,0),""))),"")</f>
        <v>0</v>
      </c>
      <c r="AC193" s="39" t="n">
        <f aca="false">IFERROR(IF($C193="","",IF($D193="","",IFERROR(ROUND($D193*INDEX('🔖 배합비 참조'!$B$2:$CE$83,MATCH("당류가공품(단호박농축액)",'🔖 배합비 참조'!$A$2:$A$83,0),MATCH($C193,'🔖 배합비 참조'!$B$1:$CE$1,0))/100,0),""))),"")</f>
        <v>0</v>
      </c>
      <c r="AD193" s="39" t="n">
        <f aca="false">IFERROR(IF($C193="","",IF($D193="","",IFERROR(ROUND($D193*INDEX('🔖 배합비 참조'!$B$2:$CE$83,MATCH("당류가공품(알룰로스,에리스리톨,스테비올배당체혼합)",'🔖 배합비 참조'!$A$2:$A$83,0),MATCH($C193,'🔖 배합비 참조'!$B$1:$CE$1,0))/100,0),""))),"")</f>
        <v>0</v>
      </c>
      <c r="AE193" s="39" t="n">
        <f aca="false">IFERROR(IF($C193="","",IF($D193="","",IFERROR(ROUND($D193*INDEX('🔖 배합비 참조'!$B$2:$CE$83,MATCH("당류가공품(알룰로스제로파우더)",'🔖 배합비 참조'!$A$2:$A$83,0),MATCH($C193,'🔖 배합비 참조'!$B$1:$CE$1,0))/100,0),""))),"")</f>
        <v>0</v>
      </c>
      <c r="AF193" s="39" t="n">
        <f aca="false">IFERROR(IF($C193="","",IF($D193="","",IFERROR(ROUND($D193*INDEX('🔖 배합비 참조'!$B$2:$CE$83,MATCH("당절임(완두배기)",'🔖 배합비 참조'!$A$2:$A$83,0),MATCH($C193,'🔖 배합비 참조'!$B$1:$CE$1,0))/100,0),""))),"")</f>
        <v>0</v>
      </c>
      <c r="AG193" s="39" t="n">
        <f aca="false">IFERROR(IF($C193="","",IF($D193="","",IFERROR(ROUND($D193*INDEX('🔖 배합비 참조'!$B$2:$CE$83,MATCH("대추농축액",'🔖 배합비 참조'!$A$2:$A$83,0),MATCH($C193,'🔖 배합비 참조'!$B$1:$CE$1,0))/100,0),""))),"")</f>
        <v>0</v>
      </c>
      <c r="AH193" s="39" t="n">
        <f aca="false">IFERROR(IF($C193="","",IF($D193="","",IFERROR(ROUND($D193*INDEX('🔖 배합비 참조'!$B$2:$CE$83,MATCH("대추채(국내산)",'🔖 배합비 참조'!$A$2:$A$83,0),MATCH($C193,'🔖 배합비 참조'!$B$1:$CE$1,0))/100,0),""))),"")</f>
        <v>0</v>
      </c>
      <c r="AI193" s="39" t="n">
        <f aca="false">IFERROR(IF($C193="","",IF($D193="","",IFERROR(ROUND($D193*INDEX('🔖 배합비 참조'!$B$2:$CE$83,MATCH("동부(미얀마산)",'🔖 배합비 참조'!$A$2:$A$83,0),MATCH($C193,'🔖 배합비 참조'!$B$1:$CE$1,0))/100,0),""))),"")</f>
        <v>0</v>
      </c>
      <c r="AJ193" s="39" t="n">
        <f aca="false">IFERROR(IF($C193="","",IF($D193="","",IFERROR(ROUND($D193*INDEX('🔖 배합비 참조'!$B$2:$CE$83,MATCH("두류가공품(백옥앙금)",'🔖 배합비 참조'!$A$2:$A$83,0),MATCH($C193,'🔖 배합비 참조'!$B$1:$CE$1,0))/100,0),""))),"")</f>
        <v>0</v>
      </c>
      <c r="AK193" s="39" t="n">
        <f aca="false">IFERROR(IF($C193="","",IF($D193="","",IFERROR(ROUND($D193*INDEX('🔖 배합비 참조'!$B$2:$CE$83,MATCH("두류가공품(콩고물)",'🔖 배합비 참조'!$A$2:$A$83,0),MATCH($C193,'🔖 배합비 참조'!$B$1:$CE$1,0))/100,0),""))),"")</f>
        <v>3</v>
      </c>
      <c r="AL193" s="39" t="n">
        <f aca="false">IFERROR(IF($C193="","",IF($D193="","",IFERROR(ROUND($D193*INDEX('🔖 배합비 참조'!$B$2:$CE$83,MATCH("두류가공품(통팥고물)",'🔖 배합비 참조'!$A$2:$A$83,0),MATCH($C193,'🔖 배합비 참조'!$B$1:$CE$1,0))/100,0),""))),"")</f>
        <v>0</v>
      </c>
      <c r="AM193" s="39" t="n">
        <f aca="false">IFERROR(IF($C193="","",IF($D193="","",IFERROR(ROUND($D193*INDEX('🔖 배합비 참조'!$B$2:$CE$83,MATCH("딸기레진",'🔖 배합비 참조'!$A$2:$A$83,0),MATCH($C193,'🔖 배합비 참조'!$B$1:$CE$1,0))/100,0),""))),"")</f>
        <v>0</v>
      </c>
      <c r="AN193" s="39" t="n">
        <f aca="false">IFERROR(IF($C193="","",IF($D193="","",IFERROR(ROUND($D193*INDEX('🔖 배합비 참조'!$B$2:$CE$83,MATCH("딸기분말(스트로우베리에이드(분말))",'🔖 배합비 참조'!$A$2:$A$83,0),MATCH($C193,'🔖 배합비 참조'!$B$1:$CE$1,0))/100,0),""))),"")</f>
        <v>0</v>
      </c>
      <c r="AO193" s="39" t="n">
        <f aca="false">IFERROR(IF($C193="","",IF($D193="","",IFERROR(ROUND($D193*INDEX('🔖 배합비 참조'!$B$2:$CE$83,MATCH("마스카포네치즈",'🔖 배합비 참조'!$A$2:$A$83,0),MATCH($C193,'🔖 배합비 참조'!$B$1:$CE$1,0))/100,0),""))),"")</f>
        <v>0</v>
      </c>
      <c r="AP193" s="39" t="n">
        <f aca="false">IFERROR(IF($C193="","",IF($D193="","",IFERROR(ROUND($D193*INDEX('🔖 배합비 참조'!$B$2:$CE$83,MATCH("마카다미아분태(호주산)",'🔖 배합비 참조'!$A$2:$A$83,0),MATCH($C193,'🔖 배합비 참조'!$B$1:$CE$1,0))/100,0),""))),"")</f>
        <v>0</v>
      </c>
      <c r="AQ193" s="39" t="n">
        <f aca="false">IFERROR(IF($C193="","",IF($D193="","",IFERROR(ROUND($D193*INDEX('🔖 배합비 참조'!$B$2:$CE$83,MATCH("멥쌀(국내산)",'🔖 배합비 참조'!$A$2:$A$83,0),MATCH($C193,'🔖 배합비 참조'!$B$1:$CE$1,0))/100,0),""))),"")</f>
        <v>0</v>
      </c>
      <c r="AR193" s="39" t="n">
        <f aca="false">IFERROR(IF($C193="","",IF($D193="","",IFERROR(ROUND($D193*INDEX('🔖 배합비 참조'!$B$2:$CE$83,MATCH("모시잎(국내산)",'🔖 배합비 참조'!$A$2:$A$83,0),MATCH($C193,'🔖 배합비 참조'!$B$1:$CE$1,0))/100,0),""))),"")</f>
        <v>0</v>
      </c>
      <c r="AS193" s="39" t="n">
        <f aca="false">IFERROR(IF($C193="","",IF($D193="","",IFERROR(ROUND($D193*INDEX('🔖 배합비 참조'!$B$2:$CE$83,MATCH("물엿(저당물엿)",'🔖 배합비 참조'!$A$2:$A$83,0),MATCH($C193,'🔖 배합비 참조'!$B$1:$CE$1,0))/100,0),""))),"")</f>
        <v>2</v>
      </c>
      <c r="AT193" s="39" t="n">
        <f aca="false">IFERROR(IF($C193="","",IF($D193="","",IFERROR(ROUND($D193*INDEX('🔖 배합비 참조'!$B$2:$CE$83,MATCH("밤다이스",'🔖 배합비 참조'!$A$2:$A$83,0),MATCH($C193,'🔖 배합비 참조'!$B$1:$CE$1,0))/100,0),""))),"")</f>
        <v>0</v>
      </c>
      <c r="AU193" s="39" t="n">
        <f aca="false">IFERROR(IF($C193="","",IF($D193="","",IFERROR(ROUND($D193*INDEX('🔖 배합비 참조'!$B$2:$CE$83,MATCH("변성전분(타피오카전분)",'🔖 배합비 참조'!$A$2:$A$83,0),MATCH($C193,'🔖 배합비 참조'!$B$1:$CE$1,0))/100,0),""))),"")</f>
        <v>0</v>
      </c>
      <c r="AV193" s="39" t="n">
        <f aca="false">IFERROR(IF($C193="","",IF($D193="","",IFERROR(ROUND($D193*INDEX('🔖 배합비 참조'!$B$2:$CE$83,MATCH("복음땅콩분태",'🔖 배합비 참조'!$A$2:$A$83,0),MATCH($C193,'🔖 배합비 참조'!$B$1:$CE$1,0))/100,0),""))),"")</f>
        <v>0</v>
      </c>
      <c r="AW193" s="39" t="n">
        <f aca="false">IFERROR(IF($C193="","",IF($D193="","",IFERROR(ROUND($D193*INDEX('🔖 배합비 참조'!$B$2:$CE$83,MATCH("사양벌꿀(국내산)",'🔖 배합비 참조'!$A$2:$A$83,0),MATCH($C193,'🔖 배합비 참조'!$B$1:$CE$1,0))/100,0),""))),"")</f>
        <v>0</v>
      </c>
      <c r="AX193" s="39" t="n">
        <f aca="false">IFERROR(IF($C193="","",IF($D193="","",IFERROR(ROUND($D193*INDEX('🔖 배합비 참조'!$B$2:$CE$83,MATCH("생크림",'🔖 배합비 참조'!$A$2:$A$83,0),MATCH($C193,'🔖 배합비 참조'!$B$1:$CE$1,0))/100,0),""))),"")</f>
        <v>0</v>
      </c>
      <c r="AY193" s="39" t="n">
        <f aca="false">IFERROR(IF($C193="","",IF($D193="","",IFERROR(ROUND($D193*INDEX('🔖 배합비 참조'!$B$2:$CE$83,MATCH("서양호박(국내산,뉴질랜드산)",'🔖 배합비 참조'!$A$2:$A$83,0),MATCH($C193,'🔖 배합비 참조'!$B$1:$CE$1,0))/100,0),""))),"")</f>
        <v>0</v>
      </c>
      <c r="AZ193" s="39" t="n">
        <f aca="false">IFERROR(IF($C193="","",IF($D193="","",IFERROR(ROUND($D193*INDEX('🔖 배합비 참조'!$B$2:$CE$83,MATCH("설탕",'🔖 배합비 참조'!$A$2:$A$83,0),MATCH($C193,'🔖 배합비 참조'!$B$1:$CE$1,0))/100,0),""))),"")</f>
        <v>2</v>
      </c>
      <c r="BA193" s="39" t="n">
        <f aca="false">IFERROR(IF($C193="","",IF($D193="","",IFERROR(ROUND($D193*INDEX('🔖 배합비 참조'!$B$2:$CE$83,MATCH("스트로우베리 에이드 후레쉬",'🔖 배합비 참조'!$A$2:$A$83,0),MATCH($C193,'🔖 배합비 참조'!$B$1:$CE$1,0))/100,0),""))),"")</f>
        <v>0</v>
      </c>
      <c r="BB193" s="39" t="n">
        <f aca="false">IFERROR(IF($C193="","",IF($D193="","",IFERROR(ROUND($D193*INDEX('🔖 배합비 참조'!$B$2:$CE$83,MATCH("식물성기름혼합제제(분홍)",'🔖 배합비 참조'!$A$2:$A$83,0),MATCH($C193,'🔖 배합비 참조'!$B$1:$CE$1,0))/100,0),""))),"")</f>
        <v>0</v>
      </c>
      <c r="BC193" s="39" t="n">
        <f aca="false">IFERROR(IF($C193="","",IF($D193="","",IFERROR(ROUND($D193*INDEX('🔖 배합비 참조'!$B$2:$CE$83,MATCH("식물성기름혼합제제(초록)",'🔖 배합비 참조'!$A$2:$A$83,0),MATCH($C193,'🔖 배합비 참조'!$B$1:$CE$1,0))/100,0),""))),"")</f>
        <v>0</v>
      </c>
      <c r="BD193" s="39" t="n">
        <f aca="false">IFERROR(IF($C193="","",IF($D193="","",IFERROR(ROUND($D193*INDEX('🔖 배합비 참조'!$B$2:$CE$83,MATCH("식물성기름혼합제제(황색)",'🔖 배합비 참조'!$A$2:$A$83,0),MATCH($C193,'🔖 배합비 참조'!$B$1:$CE$1,0))/100,0),""))),"")</f>
        <v>0</v>
      </c>
      <c r="BE193" s="39" t="n">
        <f aca="false">IFERROR(IF($C193="","",IF($D193="","",IFERROR(ROUND($D193*INDEX('🔖 배합비 참조'!$B$2:$CE$83,MATCH("쑥가루(국내산)",'🔖 배합비 참조'!$A$2:$A$83,0),MATCH($C193,'🔖 배합비 참조'!$B$1:$CE$1,0))/100,0),""))),"")</f>
        <v>1</v>
      </c>
      <c r="BF193" s="39" t="n">
        <f aca="false">IFERROR(IF($C193="","",IF($D193="","",IFERROR(ROUND($D193*INDEX('🔖 배합비 참조'!$B$2:$CE$83,MATCH("아몬드슬라이스",'🔖 배합비 참조'!$A$2:$A$83,0),MATCH($C193,'🔖 배합비 참조'!$B$1:$CE$1,0))/100,0),""))),"")</f>
        <v>0</v>
      </c>
      <c r="BG193" s="39" t="n">
        <f aca="false">IFERROR(IF($C193="","",IF($D193="","",IFERROR(ROUND($D193*INDEX('🔖 배합비 참조'!$B$2:$CE$83,MATCH("알룰로오스(국내산)",'🔖 배합비 참조'!$A$2:$A$83,0),MATCH($C193,'🔖 배합비 참조'!$B$1:$CE$1,0))/100,0),""))),"")</f>
        <v>0</v>
      </c>
      <c r="BH193" s="39" t="n">
        <f aca="false">IFERROR(IF($C193="","",IF($D193="","",IFERROR(ROUND($D193*INDEX('🔖 배합비 참조'!$B$2:$CE$83,MATCH("연유",'🔖 배합비 참조'!$A$2:$A$83,0),MATCH($C193,'🔖 배합비 참조'!$B$1:$CE$1,0))/100,0),""))),"")</f>
        <v>0</v>
      </c>
      <c r="BI193" s="39" t="n">
        <f aca="false">IFERROR(IF($C193="","",IF($D193="","",IFERROR(ROUND($D193*INDEX('🔖 배합비 참조'!$B$2:$CE$83,MATCH("옥수수전분",'🔖 배합비 참조'!$A$2:$A$83,0),MATCH($C193,'🔖 배합비 참조'!$B$1:$CE$1,0))/100,0),""))),"")</f>
        <v>0</v>
      </c>
      <c r="BJ193" s="39" t="n">
        <f aca="false">IFERROR(IF($C193="","",IF($D193="","",IFERROR(ROUND($D193*INDEX('🔖 배합비 참조'!$B$2:$CE$83,MATCH("완두배기",'🔖 배합비 참조'!$A$2:$A$83,0),MATCH($C193,'🔖 배합비 참조'!$B$1:$CE$1,0))/100,0),""))),"")</f>
        <v>0</v>
      </c>
      <c r="BK193" s="39" t="n">
        <f aca="false">IFERROR(IF($C193="","",IF($D193="","",IFERROR(ROUND($D193*INDEX('🔖 배합비 참조'!$B$2:$CE$83,MATCH("우유(국내산)",'🔖 배합비 참조'!$A$2:$A$83,0),MATCH($C193,'🔖 배합비 참조'!$B$1:$CE$1,0))/100,0),""))),"")</f>
        <v>0</v>
      </c>
      <c r="BL193" s="39" t="n">
        <f aca="false">IFERROR(IF($C193="","",IF($D193="","",IFERROR(ROUND($D193*INDEX('🔖 배합비 참조'!$B$2:$CE$83,MATCH("자색고구마가루(중국산)",'🔖 배합비 참조'!$A$2:$A$83,0),MATCH($C193,'🔖 배합비 참조'!$B$1:$CE$1,0))/100,0),""))),"")</f>
        <v>0</v>
      </c>
      <c r="BM193" s="39" t="n">
        <f aca="false">IFERROR(IF($C193="","",IF($D193="","",IFERROR(ROUND($D193*INDEX('🔖 배합비 참조'!$B$2:$CE$83,MATCH("자연치즈(체다치즈)",'🔖 배합비 참조'!$A$2:$A$83,0),MATCH($C193,'🔖 배합비 참조'!$B$1:$CE$1,0))/100,0),""))),"")</f>
        <v>0</v>
      </c>
      <c r="BN193" s="39" t="n">
        <f aca="false">IFERROR(IF($C193="","",IF($D193="","",IFERROR(ROUND($D193*INDEX('🔖 배합비 참조'!$B$2:$CE$83,MATCH("정제수",'🔖 배합비 참조'!$A$2:$A$83,0),MATCH($C193,'🔖 배합비 참조'!$B$1:$CE$1,0))/100,0),""))),"")</f>
        <v>0</v>
      </c>
      <c r="BO193" s="39" t="n">
        <f aca="false">IFERROR(IF($C193="","",IF($D193="","",IFERROR(ROUND($D193*INDEX('🔖 배합비 참조'!$B$2:$CE$83,MATCH("젤라틴",'🔖 배합비 참조'!$A$2:$A$83,0),MATCH($C193,'🔖 배합비 참조'!$B$1:$CE$1,0))/100,0),""))),"")</f>
        <v>0</v>
      </c>
      <c r="BP193" s="39" t="n">
        <f aca="false">IFERROR(IF($C193="","",IF($D193="","",IFERROR(ROUND($D193*INDEX('🔖 배합비 참조'!$B$2:$CE$83,MATCH("조림류(백옥앙금)",'🔖 배합비 참조'!$A$2:$A$83,0),MATCH($C193,'🔖 배합비 참조'!$B$1:$CE$1,0))/100,0),""))),"")</f>
        <v>0</v>
      </c>
      <c r="BQ193" s="39" t="n">
        <f aca="false">IFERROR(IF($C193="","",IF($D193="","",IFERROR(ROUND($D193*INDEX('🔖 배합비 참조'!$B$2:$CE$83,MATCH("조림류(통팥앙금)",'🔖 배합비 참조'!$A$2:$A$83,0),MATCH($C193,'🔖 배합비 참조'!$B$1:$CE$1,0))/100,0),""))),"")</f>
        <v>46</v>
      </c>
      <c r="BR193" s="39" t="n">
        <f aca="false">IFERROR(IF($C193="","",IF($D193="","",IFERROR(ROUND($D193*INDEX('🔖 배합비 참조'!$B$2:$CE$83,MATCH("준초콜릿(외국산)",'🔖 배합비 참조'!$A$2:$A$83,0),MATCH($C193,'🔖 배합비 참조'!$B$1:$CE$1,0))/100,0),""))),"")</f>
        <v>0</v>
      </c>
      <c r="BS193" s="39" t="n">
        <f aca="false">IFERROR(IF($C193="","",IF($D193="","",IFERROR(ROUND($D193*INDEX('🔖 배합비 참조'!$B$2:$CE$83,MATCH("중력분",'🔖 배합비 참조'!$A$2:$A$83,0),MATCH($C193,'🔖 배합비 참조'!$B$1:$CE$1,0))/100,0),""))),"")</f>
        <v>1</v>
      </c>
      <c r="BT193" s="39" t="n">
        <f aca="false">IFERROR(IF($C193="","",IF($D193="","",IFERROR(ROUND($D193*INDEX('🔖 배합비 참조'!$B$2:$CE$83,MATCH("참깨(인도산,나이지리아산,탄자니아산,미얀마산)",'🔖 배합비 참조'!$A$2:$A$83,0),MATCH($C193,'🔖 배합비 참조'!$B$1:$CE$1,0))/100,0),""))),"")</f>
        <v>0</v>
      </c>
      <c r="BU193" s="39" t="n">
        <f aca="false">IFERROR(IF($C193="","",IF($D193="","",IFERROR(ROUND($D193*INDEX('🔖 배합비 참조'!$B$2:$CE$83,MATCH("찹쌀(국내산)",'🔖 배합비 참조'!$A$2:$A$83,0),MATCH($C193,'🔖 배합비 참조'!$B$1:$CE$1,0))/100,0),""))),"")</f>
        <v>49</v>
      </c>
      <c r="BV193" s="39" t="n">
        <f aca="false">IFERROR(IF($C193="","",IF($D193="","",IFERROR(ROUND($D193*INDEX('🔖 배합비 참조'!$B$2:$CE$83,MATCH("천일염",'🔖 배합비 참조'!$A$2:$A$83,0),MATCH($C193,'🔖 배합비 참조'!$B$1:$CE$1,0))/100,0),""))),"")</f>
        <v>1</v>
      </c>
      <c r="BW193" s="39" t="n">
        <f aca="false">IFERROR(IF($C193="","",IF($D193="","",IFERROR(ROUND($D193*INDEX('🔖 배합비 참조'!$B$2:$CE$83,MATCH("치즈 [크림치즈]",'🔖 배합비 참조'!$A$2:$A$83,0),MATCH($C193,'🔖 배합비 참조'!$B$1:$CE$1,0))/100,0),""))),"")</f>
        <v>0</v>
      </c>
      <c r="BX193" s="39" t="n">
        <f aca="false">IFERROR(IF($C193="","",IF($D193="","",IFERROR(ROUND($D193*INDEX('🔖 배합비 참조'!$B$2:$CE$83,MATCH("코코아가공품류(코코아분말)",'🔖 배합비 참조'!$A$2:$A$83,0),MATCH($C193,'🔖 배합비 참조'!$B$1:$CE$1,0))/100,0),""))),"")</f>
        <v>0</v>
      </c>
      <c r="BY193" s="39" t="n">
        <f aca="false">IFERROR(IF($C193="","",IF($D193="","",IFERROR(ROUND($D193*INDEX('🔖 배합비 참조'!$B$2:$CE$83,MATCH("콩기름(대두유)",'🔖 배합비 참조'!$A$2:$A$83,0),MATCH($C193,'🔖 배합비 참조'!$B$1:$CE$1,0))/100,0),""))),"")</f>
        <v>0</v>
      </c>
      <c r="BZ193" s="39" t="n">
        <f aca="false">IFERROR(IF($C193="","",IF($D193="","",IFERROR(ROUND($D193*INDEX('🔖 배합비 참조'!$B$2:$CE$83,MATCH("해바라기씨앗",'🔖 배합비 참조'!$A$2:$A$83,0),MATCH($C193,'🔖 배합비 참조'!$B$1:$CE$1,0))/100,0),""))),"")</f>
        <v>0</v>
      </c>
      <c r="CA193" s="39" t="n">
        <f aca="false">IFERROR(IF($C193="","",IF($D193="","",IFERROR(ROUND($D193*INDEX('🔖 배합비 참조'!$B$2:$CE$83,MATCH("현미(국내산)",'🔖 배합비 참조'!$A$2:$A$83,0),MATCH($C193,'🔖 배합비 참조'!$B$1:$CE$1,0))/100,0),""))),"")</f>
        <v>0</v>
      </c>
      <c r="CB193" s="39" t="n">
        <f aca="false">IFERROR(IF($C193="","",IF($D193="","",IFERROR(ROUND($D193*INDEX('🔖 배합비 참조'!$B$2:$CE$83,MATCH("현미멥쌀(국내산)",'🔖 배합비 참조'!$A$2:$A$83,0),MATCH($C193,'🔖 배합비 참조'!$B$1:$CE$1,0))/100,0),""))),"")</f>
        <v>0</v>
      </c>
      <c r="CC193" s="39" t="n">
        <f aca="false">IFERROR(IF($C193="","",IF($D193="","",IFERROR(ROUND($D193*INDEX('🔖 배합비 참조'!$B$2:$CE$83,MATCH("호두분태(미국산)",'🔖 배합비 참조'!$A$2:$A$83,0),MATCH($C193,'🔖 배합비 참조'!$B$1:$CE$1,0))/100,0),""))),"")</f>
        <v>0</v>
      </c>
      <c r="CD193" s="39" t="n">
        <f aca="false">IFERROR(IF($C193="","",IF($D193="","",IFERROR(ROUND($D193*INDEX('🔖 배합비 참조'!$B$2:$CE$83,MATCH("호박씨앗(외국산)",'🔖 배합비 참조'!$A$2:$A$83,0),MATCH($C193,'🔖 배합비 참조'!$B$1:$CE$1,0))/100,0),""))),"")</f>
        <v>0</v>
      </c>
      <c r="CE193" s="39" t="n">
        <f aca="false">IFERROR(IF($C193="","",IF($D193="","",IFERROR(ROUND($D193*INDEX('🔖 배합비 참조'!$B$2:$CE$83,MATCH("혼합제제(떡용에스텔)",'🔖 배합비 참조'!$A$2:$A$83,0),MATCH($C193,'🔖 배합비 참조'!$B$1:$CE$1,0))/100,0),""))),"")</f>
        <v>0</v>
      </c>
      <c r="CF193" s="39" t="n">
        <f aca="false">IFERROR(IF($C193="","",IF($D193="","",IFERROR(ROUND($D193*INDEX('🔖 배합비 참조'!$B$2:$CE$83,MATCH("혼합제제(스테비아)",'🔖 배합비 참조'!$A$2:$A$83,0),MATCH($C193,'🔖 배합비 참조'!$B$1:$CE$1,0))/100,0),""))),"")</f>
        <v>0</v>
      </c>
      <c r="CG193" s="39" t="n">
        <f aca="false">IFERROR(IF($C193="","",IF($D193="","",IFERROR(ROUND($D193*INDEX('🔖 배합비 참조'!$B$2:$CE$83,MATCH("화이트초콜릿",'🔖 배합비 참조'!$A$2:$A$83,0),MATCH($C193,'🔖 배합비 참조'!$B$1:$CE$1,0))/100,0),""))),"")</f>
        <v>0</v>
      </c>
      <c r="CH193" s="39" t="n">
        <f aca="false">IFERROR(IF($C193="","",IF($D193="","",IFERROR(ROUND($D193*INDEX('🔖 배합비 참조'!$B$2:$CE$83,MATCH("흑미찹쌀(국내산)",'🔖 배합비 참조'!$A$2:$A$83,0),MATCH($C193,'🔖 배합비 참조'!$B$1:$CE$1,0))/100,0),""))),"")</f>
        <v>0</v>
      </c>
      <c r="CI193" s="39" t="n">
        <f aca="false">IFERROR(IF($C193="","",IF($D193="","",IFERROR(ROUND($D193*INDEX('🔖 배합비 참조'!$B$2:$CE$83,MATCH("찰옥수수전분(미국산)",'🔖 배합비 참조'!$A$2:$A$83,0),MATCH($C193,'🔖 배합비 참조'!$B$1:$CE$1,0))/100,0),""))),"")</f>
        <v>0</v>
      </c>
      <c r="CJ193" s="40"/>
      <c r="CL193" s="1" t="s">
        <v>245</v>
      </c>
    </row>
    <row r="194" customFormat="false" ht="18" hidden="false" customHeight="true" outlineLevel="0" collapsed="false">
      <c r="A194" s="41" t="n">
        <v>190</v>
      </c>
      <c r="B194" s="36" t="n">
        <v>46052</v>
      </c>
      <c r="C194" s="37" t="s">
        <v>183</v>
      </c>
      <c r="D194" s="38" t="n">
        <v>990</v>
      </c>
      <c r="E194" s="17"/>
      <c r="F194" s="17"/>
      <c r="G194" s="42" t="n">
        <f aca="false">IFERROR(IF($C194="","",IF($D194="","",IFERROR(ROUND($D194*INDEX('🔖 배합비 참조'!$B$2:$CE$83,MATCH("간장",'🔖 배합비 참조'!$A$2:$A$83,0),MATCH($C194,'🔖 배합비 참조'!$B$1:$CE$1,0))/100,0),""))),"")</f>
        <v>0</v>
      </c>
      <c r="H194" s="42" t="n">
        <f aca="false">IFERROR(IF($C194="","",IF($D194="","",IFERROR(ROUND($D194*INDEX('🔖 배합비 참조'!$B$2:$CE$83,MATCH("강낭콩((울타리콩))",'🔖 배합비 참조'!$A$2:$A$83,0),MATCH($C194,'🔖 배합비 참조'!$B$1:$CE$1,0))/100,0),""))),"")</f>
        <v>0</v>
      </c>
      <c r="I194" s="42" t="n">
        <f aca="false">IFERROR(IF($C194="","",IF($D194="","",IFERROR(ROUND($D194*INDEX('🔖 배합비 참조'!$B$2:$CE$83,MATCH("건조딸기다이스(외국산)",'🔖 배합비 참조'!$A$2:$A$83,0),MATCH($C194,'🔖 배합비 참조'!$B$1:$CE$1,0))/100,0),""))),"")</f>
        <v>0</v>
      </c>
      <c r="J194" s="42" t="n">
        <f aca="false">IFERROR(IF($C194="","",IF($D194="","",IFERROR(ROUND($D194*INDEX('🔖 배합비 참조'!$B$2:$CE$83,MATCH("건포도",'🔖 배합비 참조'!$A$2:$A$83,0),MATCH($C194,'🔖 배합비 참조'!$B$1:$CE$1,0))/100,0),""))),"")</f>
        <v>0</v>
      </c>
      <c r="K194" s="42" t="n">
        <f aca="false">IFERROR(IF($C194="","",IF($D194="","",IFERROR(ROUND($D194*INDEX('🔖 배합비 참조'!$B$2:$CE$83,MATCH("건호박채(중국산)",'🔖 배합비 참조'!$A$2:$A$83,0),MATCH($C194,'🔖 배합비 참조'!$B$1:$CE$1,0))/100,0),""))),"")</f>
        <v>0</v>
      </c>
      <c r="L194" s="42" t="n">
        <f aca="false">IFERROR(IF($C194="","",IF($D194="","",IFERROR(ROUND($D194*INDEX('🔖 배합비 참조'!$B$2:$CE$83,MATCH("검정깨(흑임자)",'🔖 배합비 참조'!$A$2:$A$83,0),MATCH($C194,'🔖 배합비 참조'!$B$1:$CE$1,0))/100,0),""))),"")</f>
        <v>0</v>
      </c>
      <c r="M194" s="42" t="n">
        <f aca="false">IFERROR(IF($C194="","",IF($D194="","",IFERROR(ROUND($D194*INDEX('🔖 배합비 참조'!$B$2:$CE$83,MATCH("검정콩",'🔖 배합비 참조'!$A$2:$A$83,0),MATCH($C194,'🔖 배합비 참조'!$B$1:$CE$1,0))/100,0),""))),"")</f>
        <v>0</v>
      </c>
      <c r="N194" s="42" t="n">
        <f aca="false">IFERROR(IF($C194="","",IF($D194="","",IFERROR(ROUND($D194*INDEX('🔖 배합비 참조'!$B$2:$CE$83,MATCH("계피가루",'🔖 배합비 참조'!$A$2:$A$83,0),MATCH($C194,'🔖 배합비 참조'!$B$1:$CE$1,0))/100,0),""))),"")</f>
        <v>0</v>
      </c>
      <c r="O194" s="42" t="n">
        <f aca="false">IFERROR(IF($C194="","",IF($D194="","",IFERROR(ROUND($D194*INDEX('🔖 배합비 참조'!$B$2:$CE$83,MATCH("고구마가루",'🔖 배합비 참조'!$A$2:$A$83,0),MATCH($C194,'🔖 배합비 참조'!$B$1:$CE$1,0))/100,0),""))),"")</f>
        <v>0</v>
      </c>
      <c r="P194" s="42" t="n">
        <f aca="false">IFERROR(IF($C194="","",IF($D194="","",IFERROR(ROUND($D194*INDEX('🔖 배합비 참조'!$B$2:$CE$83,MATCH("고구마무스",'🔖 배합비 참조'!$A$2:$A$83,0),MATCH($C194,'🔖 배합비 참조'!$B$1:$CE$1,0))/100,0),""))),"")</f>
        <v>0</v>
      </c>
      <c r="Q194" s="42" t="n">
        <f aca="false">IFERROR(IF($C194="","",IF($D194="","",IFERROR(ROUND($D194*INDEX('🔖 배합비 참조'!$B$2:$CE$83,MATCH("고려엉겅퀴((곤드레)국내산)",'🔖 배합비 참조'!$A$2:$A$83,0),MATCH($C194,'🔖 배합비 참조'!$B$1:$CE$1,0))/100,0),""))),"")</f>
        <v>0</v>
      </c>
      <c r="R194" s="42" t="n">
        <f aca="false">IFERROR(IF($C194="","",IF($D194="","",IFERROR(ROUND($D194*INDEX('🔖 배합비 참조'!$B$2:$CE$83,MATCH("기타가공품(복분자가루)",'🔖 배합비 참조'!$A$2:$A$83,0),MATCH($C194,'🔖 배합비 참조'!$B$1:$CE$1,0))/100,0),""))),"")</f>
        <v>0</v>
      </c>
      <c r="S194" s="42" t="n">
        <f aca="false">IFERROR(IF($C194="","",IF($D194="","",IFERROR(ROUND($D194*INDEX('🔖 배합비 참조'!$B$2:$CE$83,MATCH("기타가공품(슈퍼소프트엠)",'🔖 배합비 참조'!$A$2:$A$83,0),MATCH($C194,'🔖 배합비 참조'!$B$1:$CE$1,0))/100,0),""))),"")</f>
        <v>0</v>
      </c>
      <c r="T194" s="42" t="n">
        <f aca="false">IFERROR(IF($C194="","",IF($D194="","",IFERROR(ROUND($D194*INDEX('🔖 배합비 참조'!$B$2:$CE$83,MATCH("기타가공품(파인소프트 E-티)",'🔖 배합비 참조'!$A$2:$A$83,0),MATCH($C194,'🔖 배합비 참조'!$B$1:$CE$1,0))/100,0),""))),"")</f>
        <v>0</v>
      </c>
      <c r="U194" s="42" t="n">
        <f aca="false">IFERROR(IF($C194="","",IF($D194="","",IFERROR(ROUND($D194*INDEX('🔖 배합비 참조'!$B$2:$CE$83,MATCH("기타가공품(프리미엄카스테라가루)",'🔖 배합비 참조'!$A$2:$A$83,0),MATCH($C194,'🔖 배합비 참조'!$B$1:$CE$1,0))/100,0),""))),"")</f>
        <v>0</v>
      </c>
      <c r="V194" s="42" t="n">
        <f aca="false">IFERROR(IF($C194="","",IF($D194="","",IFERROR(ROUND($D194*INDEX('🔖 배합비 참조'!$B$2:$CE$83,MATCH("기타가공품(흑임자가루)",'🔖 배합비 참조'!$A$2:$A$83,0),MATCH($C194,'🔖 배합비 참조'!$B$1:$CE$1,0))/100,0),""))),"")</f>
        <v>0</v>
      </c>
      <c r="W194" s="42" t="n">
        <f aca="false">IFERROR(IF($C194="","",IF($D194="","",IFERROR(ROUND($D194*INDEX('🔖 배합비 참조'!$B$2:$CE$83,MATCH("기타설탕(흑설탕)",'🔖 배합비 참조'!$A$2:$A$83,0),MATCH($C194,'🔖 배합비 참조'!$B$1:$CE$1,0))/100,0),""))),"")</f>
        <v>0</v>
      </c>
      <c r="X194" s="42" t="n">
        <f aca="false">IFERROR(IF($C194="","",IF($D194="","",IFERROR(ROUND($D194*INDEX('🔖 배합비 참조'!$B$2:$CE$83,MATCH("냉동쑥(국내산)",'🔖 배합비 참조'!$A$2:$A$83,0),MATCH($C194,'🔖 배합비 참조'!$B$1:$CE$1,0))/100,0),""))),"")</f>
        <v>0</v>
      </c>
      <c r="Y194" s="42" t="n">
        <f aca="false">IFERROR(IF($C194="","",IF($D194="","",IFERROR(ROUND($D194*INDEX('🔖 배합비 참조'!$B$2:$CE$83,MATCH("냉동증숙고구마(중국산)",'🔖 배합비 참조'!$A$2:$A$83,0),MATCH($C194,'🔖 배합비 참조'!$B$1:$CE$1,0))/100,0),""))),"")</f>
        <v>0</v>
      </c>
      <c r="Z194" s="42" t="n">
        <f aca="false">IFERROR(IF($C194="","",IF($D194="","",IFERROR(ROUND($D194*INDEX('🔖 배합비 참조'!$B$2:$CE$83,MATCH("녹차가루",'🔖 배합비 참조'!$A$2:$A$83,0),MATCH($C194,'🔖 배합비 참조'!$B$1:$CE$1,0))/100,0),""))),"")</f>
        <v>0</v>
      </c>
      <c r="AA194" s="42" t="n">
        <f aca="false">IFERROR(IF($C194="","",IF($D194="","",IFERROR(ROUND($D194*INDEX('🔖 배합비 참조'!$B$2:$CE$83,MATCH("다크초콜릿 컴파운드칩",'🔖 배합비 참조'!$A$2:$A$83,0),MATCH($C194,'🔖 배합비 참조'!$B$1:$CE$1,0))/100,0),""))),"")</f>
        <v>0</v>
      </c>
      <c r="AB194" s="42" t="n">
        <f aca="false">IFERROR(IF($C194="","",IF($D194="","",IFERROR(ROUND($D194*INDEX('🔖 배합비 참조'!$B$2:$CE$83,MATCH("단호박분말(중국산)",'🔖 배합비 참조'!$A$2:$A$83,0),MATCH($C194,'🔖 배합비 참조'!$B$1:$CE$1,0))/100,0),""))),"")</f>
        <v>0</v>
      </c>
      <c r="AC194" s="42" t="n">
        <f aca="false">IFERROR(IF($C194="","",IF($D194="","",IFERROR(ROUND($D194*INDEX('🔖 배합비 참조'!$B$2:$CE$83,MATCH("당류가공품(단호박농축액)",'🔖 배합비 참조'!$A$2:$A$83,0),MATCH($C194,'🔖 배합비 참조'!$B$1:$CE$1,0))/100,0),""))),"")</f>
        <v>0</v>
      </c>
      <c r="AD194" s="42" t="n">
        <f aca="false">IFERROR(IF($C194="","",IF($D194="","",IFERROR(ROUND($D194*INDEX('🔖 배합비 참조'!$B$2:$CE$83,MATCH("당류가공품(알룰로스,에리스리톨,스테비올배당체혼합)",'🔖 배합비 참조'!$A$2:$A$83,0),MATCH($C194,'🔖 배합비 참조'!$B$1:$CE$1,0))/100,0),""))),"")</f>
        <v>0</v>
      </c>
      <c r="AE194" s="42" t="n">
        <f aca="false">IFERROR(IF($C194="","",IF($D194="","",IFERROR(ROUND($D194*INDEX('🔖 배합비 참조'!$B$2:$CE$83,MATCH("당류가공품(알룰로스제로파우더)",'🔖 배합비 참조'!$A$2:$A$83,0),MATCH($C194,'🔖 배합비 참조'!$B$1:$CE$1,0))/100,0),""))),"")</f>
        <v>0</v>
      </c>
      <c r="AF194" s="42" t="n">
        <f aca="false">IFERROR(IF($C194="","",IF($D194="","",IFERROR(ROUND($D194*INDEX('🔖 배합비 참조'!$B$2:$CE$83,MATCH("당절임(완두배기)",'🔖 배합비 참조'!$A$2:$A$83,0),MATCH($C194,'🔖 배합비 참조'!$B$1:$CE$1,0))/100,0),""))),"")</f>
        <v>0</v>
      </c>
      <c r="AG194" s="42" t="n">
        <f aca="false">IFERROR(IF($C194="","",IF($D194="","",IFERROR(ROUND($D194*INDEX('🔖 배합비 참조'!$B$2:$CE$83,MATCH("대추농축액",'🔖 배합비 참조'!$A$2:$A$83,0),MATCH($C194,'🔖 배합비 참조'!$B$1:$CE$1,0))/100,0),""))),"")</f>
        <v>0</v>
      </c>
      <c r="AH194" s="42" t="n">
        <f aca="false">IFERROR(IF($C194="","",IF($D194="","",IFERROR(ROUND($D194*INDEX('🔖 배합비 참조'!$B$2:$CE$83,MATCH("대추채(국내산)",'🔖 배합비 참조'!$A$2:$A$83,0),MATCH($C194,'🔖 배합비 참조'!$B$1:$CE$1,0))/100,0),""))),"")</f>
        <v>0</v>
      </c>
      <c r="AI194" s="42" t="n">
        <f aca="false">IFERROR(IF($C194="","",IF($D194="","",IFERROR(ROUND($D194*INDEX('🔖 배합비 참조'!$B$2:$CE$83,MATCH("동부(미얀마산)",'🔖 배합비 참조'!$A$2:$A$83,0),MATCH($C194,'🔖 배합비 참조'!$B$1:$CE$1,0))/100,0),""))),"")</f>
        <v>0</v>
      </c>
      <c r="AJ194" s="42" t="n">
        <f aca="false">IFERROR(IF($C194="","",IF($D194="","",IFERROR(ROUND($D194*INDEX('🔖 배합비 참조'!$B$2:$CE$83,MATCH("두류가공품(백옥앙금)",'🔖 배합비 참조'!$A$2:$A$83,0),MATCH($C194,'🔖 배합비 참조'!$B$1:$CE$1,0))/100,0),""))),"")</f>
        <v>0</v>
      </c>
      <c r="AK194" s="42" t="n">
        <f aca="false">IFERROR(IF($C194="","",IF($D194="","",IFERROR(ROUND($D194*INDEX('🔖 배합비 참조'!$B$2:$CE$83,MATCH("두류가공품(콩고물)",'🔖 배합비 참조'!$A$2:$A$83,0),MATCH($C194,'🔖 배합비 참조'!$B$1:$CE$1,0))/100,0),""))),"")</f>
        <v>0</v>
      </c>
      <c r="AL194" s="42" t="n">
        <f aca="false">IFERROR(IF($C194="","",IF($D194="","",IFERROR(ROUND($D194*INDEX('🔖 배합비 참조'!$B$2:$CE$83,MATCH("두류가공품(통팥고물)",'🔖 배합비 참조'!$A$2:$A$83,0),MATCH($C194,'🔖 배합비 참조'!$B$1:$CE$1,0))/100,0),""))),"")</f>
        <v>0</v>
      </c>
      <c r="AM194" s="42" t="n">
        <f aca="false">IFERROR(IF($C194="","",IF($D194="","",IFERROR(ROUND($D194*INDEX('🔖 배합비 참조'!$B$2:$CE$83,MATCH("딸기레진",'🔖 배합비 참조'!$A$2:$A$83,0),MATCH($C194,'🔖 배합비 참조'!$B$1:$CE$1,0))/100,0),""))),"")</f>
        <v>0</v>
      </c>
      <c r="AN194" s="42" t="n">
        <f aca="false">IFERROR(IF($C194="","",IF($D194="","",IFERROR(ROUND($D194*INDEX('🔖 배합비 참조'!$B$2:$CE$83,MATCH("딸기분말(스트로우베리에이드(분말))",'🔖 배합비 참조'!$A$2:$A$83,0),MATCH($C194,'🔖 배합비 참조'!$B$1:$CE$1,0))/100,0),""))),"")</f>
        <v>0</v>
      </c>
      <c r="AO194" s="42" t="n">
        <f aca="false">IFERROR(IF($C194="","",IF($D194="","",IFERROR(ROUND($D194*INDEX('🔖 배합비 참조'!$B$2:$CE$83,MATCH("마스카포네치즈",'🔖 배합비 참조'!$A$2:$A$83,0),MATCH($C194,'🔖 배합비 참조'!$B$1:$CE$1,0))/100,0),""))),"")</f>
        <v>0</v>
      </c>
      <c r="AP194" s="42" t="n">
        <f aca="false">IFERROR(IF($C194="","",IF($D194="","",IFERROR(ROUND($D194*INDEX('🔖 배합비 참조'!$B$2:$CE$83,MATCH("마카다미아분태(호주산)",'🔖 배합비 참조'!$A$2:$A$83,0),MATCH($C194,'🔖 배합비 참조'!$B$1:$CE$1,0))/100,0),""))),"")</f>
        <v>0</v>
      </c>
      <c r="AQ194" s="42" t="n">
        <f aca="false">IFERROR(IF($C194="","",IF($D194="","",IFERROR(ROUND($D194*INDEX('🔖 배합비 참조'!$B$2:$CE$83,MATCH("멥쌀(국내산)",'🔖 배합비 참조'!$A$2:$A$83,0),MATCH($C194,'🔖 배합비 참조'!$B$1:$CE$1,0))/100,0),""))),"")</f>
        <v>0</v>
      </c>
      <c r="AR194" s="42" t="n">
        <f aca="false">IFERROR(IF($C194="","",IF($D194="","",IFERROR(ROUND($D194*INDEX('🔖 배합비 참조'!$B$2:$CE$83,MATCH("모시잎(국내산)",'🔖 배합비 참조'!$A$2:$A$83,0),MATCH($C194,'🔖 배합비 참조'!$B$1:$CE$1,0))/100,0),""))),"")</f>
        <v>0</v>
      </c>
      <c r="AS194" s="42" t="n">
        <f aca="false">IFERROR(IF($C194="","",IF($D194="","",IFERROR(ROUND($D194*INDEX('🔖 배합비 참조'!$B$2:$CE$83,MATCH("물엿(저당물엿)",'🔖 배합비 참조'!$A$2:$A$83,0),MATCH($C194,'🔖 배합비 참조'!$B$1:$CE$1,0))/100,0),""))),"")</f>
        <v>24</v>
      </c>
      <c r="AT194" s="42" t="n">
        <f aca="false">IFERROR(IF($C194="","",IF($D194="","",IFERROR(ROUND($D194*INDEX('🔖 배합비 참조'!$B$2:$CE$83,MATCH("밤다이스",'🔖 배합비 참조'!$A$2:$A$83,0),MATCH($C194,'🔖 배합비 참조'!$B$1:$CE$1,0))/100,0),""))),"")</f>
        <v>0</v>
      </c>
      <c r="AU194" s="42" t="n">
        <f aca="false">IFERROR(IF($C194="","",IF($D194="","",IFERROR(ROUND($D194*INDEX('🔖 배합비 참조'!$B$2:$CE$83,MATCH("변성전분(타피오카전분)",'🔖 배합비 참조'!$A$2:$A$83,0),MATCH($C194,'🔖 배합비 참조'!$B$1:$CE$1,0))/100,0),""))),"")</f>
        <v>0</v>
      </c>
      <c r="AV194" s="42" t="n">
        <f aca="false">IFERROR(IF($C194="","",IF($D194="","",IFERROR(ROUND($D194*INDEX('🔖 배합비 참조'!$B$2:$CE$83,MATCH("복음땅콩분태",'🔖 배합비 참조'!$A$2:$A$83,0),MATCH($C194,'🔖 배합비 참조'!$B$1:$CE$1,0))/100,0),""))),"")</f>
        <v>0</v>
      </c>
      <c r="AW194" s="42" t="n">
        <f aca="false">IFERROR(IF($C194="","",IF($D194="","",IFERROR(ROUND($D194*INDEX('🔖 배합비 참조'!$B$2:$CE$83,MATCH("사양벌꿀(국내산)",'🔖 배합비 참조'!$A$2:$A$83,0),MATCH($C194,'🔖 배합비 참조'!$B$1:$CE$1,0))/100,0),""))),"")</f>
        <v>0</v>
      </c>
      <c r="AX194" s="42" t="n">
        <f aca="false">IFERROR(IF($C194="","",IF($D194="","",IFERROR(ROUND($D194*INDEX('🔖 배합비 참조'!$B$2:$CE$83,MATCH("생크림",'🔖 배합비 참조'!$A$2:$A$83,0),MATCH($C194,'🔖 배합비 참조'!$B$1:$CE$1,0))/100,0),""))),"")</f>
        <v>0</v>
      </c>
      <c r="AY194" s="42" t="n">
        <f aca="false">IFERROR(IF($C194="","",IF($D194="","",IFERROR(ROUND($D194*INDEX('🔖 배합비 참조'!$B$2:$CE$83,MATCH("서양호박(국내산,뉴질랜드산)",'🔖 배합비 참조'!$A$2:$A$83,0),MATCH($C194,'🔖 배합비 참조'!$B$1:$CE$1,0))/100,0),""))),"")</f>
        <v>0</v>
      </c>
      <c r="AZ194" s="42" t="n">
        <f aca="false">IFERROR(IF($C194="","",IF($D194="","",IFERROR(ROUND($D194*INDEX('🔖 배합비 참조'!$B$2:$CE$83,MATCH("설탕",'🔖 배합비 참조'!$A$2:$A$83,0),MATCH($C194,'🔖 배합비 참조'!$B$1:$CE$1,0))/100,0),""))),"")</f>
        <v>24</v>
      </c>
      <c r="BA194" s="42" t="n">
        <f aca="false">IFERROR(IF($C194="","",IF($D194="","",IFERROR(ROUND($D194*INDEX('🔖 배합비 참조'!$B$2:$CE$83,MATCH("스트로우베리 에이드 후레쉬",'🔖 배합비 참조'!$A$2:$A$83,0),MATCH($C194,'🔖 배합비 참조'!$B$1:$CE$1,0))/100,0),""))),"")</f>
        <v>0</v>
      </c>
      <c r="BB194" s="42" t="n">
        <f aca="false">IFERROR(IF($C194="","",IF($D194="","",IFERROR(ROUND($D194*INDEX('🔖 배합비 참조'!$B$2:$CE$83,MATCH("식물성기름혼합제제(분홍)",'🔖 배합비 참조'!$A$2:$A$83,0),MATCH($C194,'🔖 배합비 참조'!$B$1:$CE$1,0))/100,0),""))),"")</f>
        <v>0</v>
      </c>
      <c r="BC194" s="42" t="n">
        <f aca="false">IFERROR(IF($C194="","",IF($D194="","",IFERROR(ROUND($D194*INDEX('🔖 배합비 참조'!$B$2:$CE$83,MATCH("식물성기름혼합제제(초록)",'🔖 배합비 참조'!$A$2:$A$83,0),MATCH($C194,'🔖 배합비 참조'!$B$1:$CE$1,0))/100,0),""))),"")</f>
        <v>0</v>
      </c>
      <c r="BD194" s="42" t="n">
        <f aca="false">IFERROR(IF($C194="","",IF($D194="","",IFERROR(ROUND($D194*INDEX('🔖 배합비 참조'!$B$2:$CE$83,MATCH("식물성기름혼합제제(황색)",'🔖 배합비 참조'!$A$2:$A$83,0),MATCH($C194,'🔖 배합비 참조'!$B$1:$CE$1,0))/100,0),""))),"")</f>
        <v>0</v>
      </c>
      <c r="BE194" s="42" t="n">
        <f aca="false">IFERROR(IF($C194="","",IF($D194="","",IFERROR(ROUND($D194*INDEX('🔖 배합비 참조'!$B$2:$CE$83,MATCH("쑥가루(국내산)",'🔖 배합비 참조'!$A$2:$A$83,0),MATCH($C194,'🔖 배합비 참조'!$B$1:$CE$1,0))/100,0),""))),"")</f>
        <v>0</v>
      </c>
      <c r="BF194" s="42" t="n">
        <f aca="false">IFERROR(IF($C194="","",IF($D194="","",IFERROR(ROUND($D194*INDEX('🔖 배합비 참조'!$B$2:$CE$83,MATCH("아몬드슬라이스",'🔖 배합비 참조'!$A$2:$A$83,0),MATCH($C194,'🔖 배합비 참조'!$B$1:$CE$1,0))/100,0),""))),"")</f>
        <v>0</v>
      </c>
      <c r="BG194" s="42" t="n">
        <f aca="false">IFERROR(IF($C194="","",IF($D194="","",IFERROR(ROUND($D194*INDEX('🔖 배합비 참조'!$B$2:$CE$83,MATCH("알룰로오스(국내산)",'🔖 배합비 참조'!$A$2:$A$83,0),MATCH($C194,'🔖 배합비 참조'!$B$1:$CE$1,0))/100,0),""))),"")</f>
        <v>0</v>
      </c>
      <c r="BH194" s="42" t="n">
        <f aca="false">IFERROR(IF($C194="","",IF($D194="","",IFERROR(ROUND($D194*INDEX('🔖 배합비 참조'!$B$2:$CE$83,MATCH("연유",'🔖 배합비 참조'!$A$2:$A$83,0),MATCH($C194,'🔖 배합비 참조'!$B$1:$CE$1,0))/100,0),""))),"")</f>
        <v>0</v>
      </c>
      <c r="BI194" s="42" t="n">
        <f aca="false">IFERROR(IF($C194="","",IF($D194="","",IFERROR(ROUND($D194*INDEX('🔖 배합비 참조'!$B$2:$CE$83,MATCH("옥수수전분",'🔖 배합비 참조'!$A$2:$A$83,0),MATCH($C194,'🔖 배합비 참조'!$B$1:$CE$1,0))/100,0),""))),"")</f>
        <v>12</v>
      </c>
      <c r="BJ194" s="42" t="n">
        <f aca="false">IFERROR(IF($C194="","",IF($D194="","",IFERROR(ROUND($D194*INDEX('🔖 배합비 참조'!$B$2:$CE$83,MATCH("완두배기",'🔖 배합비 참조'!$A$2:$A$83,0),MATCH($C194,'🔖 배합비 참조'!$B$1:$CE$1,0))/100,0),""))),"")</f>
        <v>0</v>
      </c>
      <c r="BK194" s="42" t="n">
        <f aca="false">IFERROR(IF($C194="","",IF($D194="","",IFERROR(ROUND($D194*INDEX('🔖 배합비 참조'!$B$2:$CE$83,MATCH("우유(국내산)",'🔖 배합비 참조'!$A$2:$A$83,0),MATCH($C194,'🔖 배합비 참조'!$B$1:$CE$1,0))/100,0),""))),"")</f>
        <v>0</v>
      </c>
      <c r="BL194" s="42" t="n">
        <f aca="false">IFERROR(IF($C194="","",IF($D194="","",IFERROR(ROUND($D194*INDEX('🔖 배합비 참조'!$B$2:$CE$83,MATCH("자색고구마가루(중국산)",'🔖 배합비 참조'!$A$2:$A$83,0),MATCH($C194,'🔖 배합비 참조'!$B$1:$CE$1,0))/100,0),""))),"")</f>
        <v>0</v>
      </c>
      <c r="BM194" s="42" t="n">
        <f aca="false">IFERROR(IF($C194="","",IF($D194="","",IFERROR(ROUND($D194*INDEX('🔖 배합비 참조'!$B$2:$CE$83,MATCH("자연치즈(체다치즈)",'🔖 배합비 참조'!$A$2:$A$83,0),MATCH($C194,'🔖 배합비 참조'!$B$1:$CE$1,0))/100,0),""))),"")</f>
        <v>0</v>
      </c>
      <c r="BN194" s="42" t="n">
        <f aca="false">IFERROR(IF($C194="","",IF($D194="","",IFERROR(ROUND($D194*INDEX('🔖 배합비 참조'!$B$2:$CE$83,MATCH("정제수",'🔖 배합비 참조'!$A$2:$A$83,0),MATCH($C194,'🔖 배합비 참조'!$B$1:$CE$1,0))/100,0),""))),"")</f>
        <v>0</v>
      </c>
      <c r="BO194" s="42" t="n">
        <f aca="false">IFERROR(IF($C194="","",IF($D194="","",IFERROR(ROUND($D194*INDEX('🔖 배합비 참조'!$B$2:$CE$83,MATCH("젤라틴",'🔖 배합비 참조'!$A$2:$A$83,0),MATCH($C194,'🔖 배합비 참조'!$B$1:$CE$1,0))/100,0),""))),"")</f>
        <v>0</v>
      </c>
      <c r="BP194" s="42" t="n">
        <f aca="false">IFERROR(IF($C194="","",IF($D194="","",IFERROR(ROUND($D194*INDEX('🔖 배합비 참조'!$B$2:$CE$83,MATCH("조림류(백옥앙금)",'🔖 배합비 참조'!$A$2:$A$83,0),MATCH($C194,'🔖 배합비 참조'!$B$1:$CE$1,0))/100,0),""))),"")</f>
        <v>0</v>
      </c>
      <c r="BQ194" s="42" t="n">
        <f aca="false">IFERROR(IF($C194="","",IF($D194="","",IFERROR(ROUND($D194*INDEX('🔖 배합비 참조'!$B$2:$CE$83,MATCH("조림류(통팥앙금)",'🔖 배합비 참조'!$A$2:$A$83,0),MATCH($C194,'🔖 배합비 참조'!$B$1:$CE$1,0))/100,0),""))),"")</f>
        <v>444</v>
      </c>
      <c r="BR194" s="42" t="n">
        <f aca="false">IFERROR(IF($C194="","",IF($D194="","",IFERROR(ROUND($D194*INDEX('🔖 배합비 참조'!$B$2:$CE$83,MATCH("준초콜릿(외국산)",'🔖 배합비 참조'!$A$2:$A$83,0),MATCH($C194,'🔖 배합비 참조'!$B$1:$CE$1,0))/100,0),""))),"")</f>
        <v>0</v>
      </c>
      <c r="BS194" s="42" t="n">
        <f aca="false">IFERROR(IF($C194="","",IF($D194="","",IFERROR(ROUND($D194*INDEX('🔖 배합비 참조'!$B$2:$CE$83,MATCH("중력분",'🔖 배합비 참조'!$A$2:$A$83,0),MATCH($C194,'🔖 배합비 참조'!$B$1:$CE$1,0))/100,0),""))),"")</f>
        <v>2</v>
      </c>
      <c r="BT194" s="42" t="n">
        <f aca="false">IFERROR(IF($C194="","",IF($D194="","",IFERROR(ROUND($D194*INDEX('🔖 배합비 참조'!$B$2:$CE$83,MATCH("참깨(인도산,나이지리아산,탄자니아산,미얀마산)",'🔖 배합비 참조'!$A$2:$A$83,0),MATCH($C194,'🔖 배합비 참조'!$B$1:$CE$1,0))/100,0),""))),"")</f>
        <v>0</v>
      </c>
      <c r="BU194" s="42" t="n">
        <f aca="false">IFERROR(IF($C194="","",IF($D194="","",IFERROR(ROUND($D194*INDEX('🔖 배합비 참조'!$B$2:$CE$83,MATCH("찹쌀(국내산)",'🔖 배합비 참조'!$A$2:$A$83,0),MATCH($C194,'🔖 배합비 참조'!$B$1:$CE$1,0))/100,0),""))),"")</f>
        <v>473</v>
      </c>
      <c r="BV194" s="42" t="n">
        <f aca="false">IFERROR(IF($C194="","",IF($D194="","",IFERROR(ROUND($D194*INDEX('🔖 배합비 참조'!$B$2:$CE$83,MATCH("천일염",'🔖 배합비 참조'!$A$2:$A$83,0),MATCH($C194,'🔖 배합비 참조'!$B$1:$CE$1,0))/100,0),""))),"")</f>
        <v>8</v>
      </c>
      <c r="BW194" s="42" t="n">
        <f aca="false">IFERROR(IF($C194="","",IF($D194="","",IFERROR(ROUND($D194*INDEX('🔖 배합비 참조'!$B$2:$CE$83,MATCH("치즈 [크림치즈]",'🔖 배합비 참조'!$A$2:$A$83,0),MATCH($C194,'🔖 배합비 참조'!$B$1:$CE$1,0))/100,0),""))),"")</f>
        <v>0</v>
      </c>
      <c r="BX194" s="42" t="n">
        <f aca="false">IFERROR(IF($C194="","",IF($D194="","",IFERROR(ROUND($D194*INDEX('🔖 배합비 참조'!$B$2:$CE$83,MATCH("코코아가공품류(코코아분말)",'🔖 배합비 참조'!$A$2:$A$83,0),MATCH($C194,'🔖 배합비 참조'!$B$1:$CE$1,0))/100,0),""))),"")</f>
        <v>0</v>
      </c>
      <c r="BY194" s="42" t="n">
        <f aca="false">IFERROR(IF($C194="","",IF($D194="","",IFERROR(ROUND($D194*INDEX('🔖 배합비 참조'!$B$2:$CE$83,MATCH("콩기름(대두유)",'🔖 배합비 참조'!$A$2:$A$83,0),MATCH($C194,'🔖 배합비 참조'!$B$1:$CE$1,0))/100,0),""))),"")</f>
        <v>0</v>
      </c>
      <c r="BZ194" s="42" t="n">
        <f aca="false">IFERROR(IF($C194="","",IF($D194="","",IFERROR(ROUND($D194*INDEX('🔖 배합비 참조'!$B$2:$CE$83,MATCH("해바라기씨앗",'🔖 배합비 참조'!$A$2:$A$83,0),MATCH($C194,'🔖 배합비 참조'!$B$1:$CE$1,0))/100,0),""))),"")</f>
        <v>0</v>
      </c>
      <c r="CA194" s="42" t="n">
        <f aca="false">IFERROR(IF($C194="","",IF($D194="","",IFERROR(ROUND($D194*INDEX('🔖 배합비 참조'!$B$2:$CE$83,MATCH("현미(국내산)",'🔖 배합비 참조'!$A$2:$A$83,0),MATCH($C194,'🔖 배합비 참조'!$B$1:$CE$1,0))/100,0),""))),"")</f>
        <v>0</v>
      </c>
      <c r="CB194" s="42" t="n">
        <f aca="false">IFERROR(IF($C194="","",IF($D194="","",IFERROR(ROUND($D194*INDEX('🔖 배합비 참조'!$B$2:$CE$83,MATCH("현미멥쌀(국내산)",'🔖 배합비 참조'!$A$2:$A$83,0),MATCH($C194,'🔖 배합비 참조'!$B$1:$CE$1,0))/100,0),""))),"")</f>
        <v>0</v>
      </c>
      <c r="CC194" s="42" t="n">
        <f aca="false">IFERROR(IF($C194="","",IF($D194="","",IFERROR(ROUND($D194*INDEX('🔖 배합비 참조'!$B$2:$CE$83,MATCH("호두분태(미국산)",'🔖 배합비 참조'!$A$2:$A$83,0),MATCH($C194,'🔖 배합비 참조'!$B$1:$CE$1,0))/100,0),""))),"")</f>
        <v>0</v>
      </c>
      <c r="CD194" s="42" t="n">
        <f aca="false">IFERROR(IF($C194="","",IF($D194="","",IFERROR(ROUND($D194*INDEX('🔖 배합비 참조'!$B$2:$CE$83,MATCH("호박씨앗(외국산)",'🔖 배합비 참조'!$A$2:$A$83,0),MATCH($C194,'🔖 배합비 참조'!$B$1:$CE$1,0))/100,0),""))),"")</f>
        <v>0</v>
      </c>
      <c r="CE194" s="42" t="n">
        <f aca="false">IFERROR(IF($C194="","",IF($D194="","",IFERROR(ROUND($D194*INDEX('🔖 배합비 참조'!$B$2:$CE$83,MATCH("혼합제제(떡용에스텔)",'🔖 배합비 참조'!$A$2:$A$83,0),MATCH($C194,'🔖 배합비 참조'!$B$1:$CE$1,0))/100,0),""))),"")</f>
        <v>4</v>
      </c>
      <c r="CF194" s="42" t="n">
        <f aca="false">IFERROR(IF($C194="","",IF($D194="","",IFERROR(ROUND($D194*INDEX('🔖 배합비 참조'!$B$2:$CE$83,MATCH("혼합제제(스테비아)",'🔖 배합비 참조'!$A$2:$A$83,0),MATCH($C194,'🔖 배합비 참조'!$B$1:$CE$1,0))/100,0),""))),"")</f>
        <v>0</v>
      </c>
      <c r="CG194" s="42" t="n">
        <f aca="false">IFERROR(IF($C194="","",IF($D194="","",IFERROR(ROUND($D194*INDEX('🔖 배합비 참조'!$B$2:$CE$83,MATCH("화이트초콜릿",'🔖 배합비 참조'!$A$2:$A$83,0),MATCH($C194,'🔖 배합비 참조'!$B$1:$CE$1,0))/100,0),""))),"")</f>
        <v>0</v>
      </c>
      <c r="CH194" s="42" t="n">
        <f aca="false">IFERROR(IF($C194="","",IF($D194="","",IFERROR(ROUND($D194*INDEX('🔖 배합비 참조'!$B$2:$CE$83,MATCH("흑미찹쌀(국내산)",'🔖 배합비 참조'!$A$2:$A$83,0),MATCH($C194,'🔖 배합비 참조'!$B$1:$CE$1,0))/100,0),""))),"")</f>
        <v>0</v>
      </c>
      <c r="CI194" s="42" t="n">
        <f aca="false">IFERROR(IF($C194="","",IF($D194="","",IFERROR(ROUND($D194*INDEX('🔖 배합비 참조'!$B$2:$CE$83,MATCH("찰옥수수전분(미국산)",'🔖 배합비 참조'!$A$2:$A$83,0),MATCH($C194,'🔖 배합비 참조'!$B$1:$CE$1,0))/100,0),""))),"")</f>
        <v>0</v>
      </c>
      <c r="CJ194" s="40"/>
      <c r="CL194" s="1" t="s">
        <v>245</v>
      </c>
    </row>
    <row r="195" customFormat="false" ht="18" hidden="false" customHeight="true" outlineLevel="0" collapsed="false">
      <c r="A195" s="35" t="n">
        <v>191</v>
      </c>
      <c r="B195" s="36" t="n">
        <v>46052</v>
      </c>
      <c r="C195" s="37" t="s">
        <v>204</v>
      </c>
      <c r="D195" s="38" t="n">
        <v>110</v>
      </c>
      <c r="E195" s="13"/>
      <c r="F195" s="13"/>
      <c r="G195" s="39" t="n">
        <f aca="false">IFERROR(IF($C195="","",IF($D195="","",IFERROR(ROUND($D195*INDEX('🔖 배합비 참조'!$B$2:$CE$83,MATCH("간장",'🔖 배합비 참조'!$A$2:$A$83,0),MATCH($C195,'🔖 배합비 참조'!$B$1:$CE$1,0))/100,0),""))),"")</f>
        <v>0</v>
      </c>
      <c r="H195" s="39" t="n">
        <f aca="false">IFERROR(IF($C195="","",IF($D195="","",IFERROR(ROUND($D195*INDEX('🔖 배합비 참조'!$B$2:$CE$83,MATCH("강낭콩((울타리콩))",'🔖 배합비 참조'!$A$2:$A$83,0),MATCH($C195,'🔖 배합비 참조'!$B$1:$CE$1,0))/100,0),""))),"")</f>
        <v>0</v>
      </c>
      <c r="I195" s="39" t="n">
        <f aca="false">IFERROR(IF($C195="","",IF($D195="","",IFERROR(ROUND($D195*INDEX('🔖 배합비 참조'!$B$2:$CE$83,MATCH("건조딸기다이스(외국산)",'🔖 배합비 참조'!$A$2:$A$83,0),MATCH($C195,'🔖 배합비 참조'!$B$1:$CE$1,0))/100,0),""))),"")</f>
        <v>0</v>
      </c>
      <c r="J195" s="39" t="n">
        <f aca="false">IFERROR(IF($C195="","",IF($D195="","",IFERROR(ROUND($D195*INDEX('🔖 배합비 참조'!$B$2:$CE$83,MATCH("건포도",'🔖 배합비 참조'!$A$2:$A$83,0),MATCH($C195,'🔖 배합비 참조'!$B$1:$CE$1,0))/100,0),""))),"")</f>
        <v>0</v>
      </c>
      <c r="K195" s="39" t="n">
        <f aca="false">IFERROR(IF($C195="","",IF($D195="","",IFERROR(ROUND($D195*INDEX('🔖 배합비 참조'!$B$2:$CE$83,MATCH("건호박채(중국산)",'🔖 배합비 참조'!$A$2:$A$83,0),MATCH($C195,'🔖 배합비 참조'!$B$1:$CE$1,0))/100,0),""))),"")</f>
        <v>0</v>
      </c>
      <c r="L195" s="39" t="n">
        <f aca="false">IFERROR(IF($C195="","",IF($D195="","",IFERROR(ROUND($D195*INDEX('🔖 배합비 참조'!$B$2:$CE$83,MATCH("검정깨(흑임자)",'🔖 배합비 참조'!$A$2:$A$83,0),MATCH($C195,'🔖 배합비 참조'!$B$1:$CE$1,0))/100,0),""))),"")</f>
        <v>0</v>
      </c>
      <c r="M195" s="39" t="n">
        <f aca="false">IFERROR(IF($C195="","",IF($D195="","",IFERROR(ROUND($D195*INDEX('🔖 배합비 참조'!$B$2:$CE$83,MATCH("검정콩",'🔖 배합비 참조'!$A$2:$A$83,0),MATCH($C195,'🔖 배합비 참조'!$B$1:$CE$1,0))/100,0),""))),"")</f>
        <v>0</v>
      </c>
      <c r="N195" s="39" t="n">
        <f aca="false">IFERROR(IF($C195="","",IF($D195="","",IFERROR(ROUND($D195*INDEX('🔖 배합비 참조'!$B$2:$CE$83,MATCH("계피가루",'🔖 배합비 참조'!$A$2:$A$83,0),MATCH($C195,'🔖 배합비 참조'!$B$1:$CE$1,0))/100,0),""))),"")</f>
        <v>0</v>
      </c>
      <c r="O195" s="39" t="n">
        <f aca="false">IFERROR(IF($C195="","",IF($D195="","",IFERROR(ROUND($D195*INDEX('🔖 배합비 참조'!$B$2:$CE$83,MATCH("고구마가루",'🔖 배합비 참조'!$A$2:$A$83,0),MATCH($C195,'🔖 배합비 참조'!$B$1:$CE$1,0))/100,0),""))),"")</f>
        <v>0</v>
      </c>
      <c r="P195" s="39" t="n">
        <f aca="false">IFERROR(IF($C195="","",IF($D195="","",IFERROR(ROUND($D195*INDEX('🔖 배합비 참조'!$B$2:$CE$83,MATCH("고구마무스",'🔖 배합비 참조'!$A$2:$A$83,0),MATCH($C195,'🔖 배합비 참조'!$B$1:$CE$1,0))/100,0),""))),"")</f>
        <v>0</v>
      </c>
      <c r="Q195" s="39" t="n">
        <f aca="false">IFERROR(IF($C195="","",IF($D195="","",IFERROR(ROUND($D195*INDEX('🔖 배합비 참조'!$B$2:$CE$83,MATCH("고려엉겅퀴((곤드레)국내산)",'🔖 배합비 참조'!$A$2:$A$83,0),MATCH($C195,'🔖 배합비 참조'!$B$1:$CE$1,0))/100,0),""))),"")</f>
        <v>0</v>
      </c>
      <c r="R195" s="39" t="n">
        <f aca="false">IFERROR(IF($C195="","",IF($D195="","",IFERROR(ROUND($D195*INDEX('🔖 배합비 참조'!$B$2:$CE$83,MATCH("기타가공품(복분자가루)",'🔖 배합비 참조'!$A$2:$A$83,0),MATCH($C195,'🔖 배합비 참조'!$B$1:$CE$1,0))/100,0),""))),"")</f>
        <v>0</v>
      </c>
      <c r="S195" s="39" t="n">
        <f aca="false">IFERROR(IF($C195="","",IF($D195="","",IFERROR(ROUND($D195*INDEX('🔖 배합비 참조'!$B$2:$CE$83,MATCH("기타가공품(슈퍼소프트엠)",'🔖 배합비 참조'!$A$2:$A$83,0),MATCH($C195,'🔖 배합비 참조'!$B$1:$CE$1,0))/100,0),""))),"")</f>
        <v>0</v>
      </c>
      <c r="T195" s="39" t="n">
        <f aca="false">IFERROR(IF($C195="","",IF($D195="","",IFERROR(ROUND($D195*INDEX('🔖 배합비 참조'!$B$2:$CE$83,MATCH("기타가공품(파인소프트 E-티)",'🔖 배합비 참조'!$A$2:$A$83,0),MATCH($C195,'🔖 배합비 참조'!$B$1:$CE$1,0))/100,0),""))),"")</f>
        <v>0</v>
      </c>
      <c r="U195" s="39" t="n">
        <f aca="false">IFERROR(IF($C195="","",IF($D195="","",IFERROR(ROUND($D195*INDEX('🔖 배합비 참조'!$B$2:$CE$83,MATCH("기타가공품(프리미엄카스테라가루)",'🔖 배합비 참조'!$A$2:$A$83,0),MATCH($C195,'🔖 배합비 참조'!$B$1:$CE$1,0))/100,0),""))),"")</f>
        <v>0</v>
      </c>
      <c r="V195" s="39" t="n">
        <f aca="false">IFERROR(IF($C195="","",IF($D195="","",IFERROR(ROUND($D195*INDEX('🔖 배합비 참조'!$B$2:$CE$83,MATCH("기타가공품(흑임자가루)",'🔖 배합비 참조'!$A$2:$A$83,0),MATCH($C195,'🔖 배합비 참조'!$B$1:$CE$1,0))/100,0),""))),"")</f>
        <v>0</v>
      </c>
      <c r="W195" s="39" t="n">
        <f aca="false">IFERROR(IF($C195="","",IF($D195="","",IFERROR(ROUND($D195*INDEX('🔖 배합비 참조'!$B$2:$CE$83,MATCH("기타설탕(흑설탕)",'🔖 배합비 참조'!$A$2:$A$83,0),MATCH($C195,'🔖 배합비 참조'!$B$1:$CE$1,0))/100,0),""))),"")</f>
        <v>0</v>
      </c>
      <c r="X195" s="39" t="n">
        <f aca="false">IFERROR(IF($C195="","",IF($D195="","",IFERROR(ROUND($D195*INDEX('🔖 배합비 참조'!$B$2:$CE$83,MATCH("냉동쑥(국내산)",'🔖 배합비 참조'!$A$2:$A$83,0),MATCH($C195,'🔖 배합비 참조'!$B$1:$CE$1,0))/100,0),""))),"")</f>
        <v>4</v>
      </c>
      <c r="Y195" s="39" t="n">
        <f aca="false">IFERROR(IF($C195="","",IF($D195="","",IFERROR(ROUND($D195*INDEX('🔖 배합비 참조'!$B$2:$CE$83,MATCH("냉동증숙고구마(중국산)",'🔖 배합비 참조'!$A$2:$A$83,0),MATCH($C195,'🔖 배합비 참조'!$B$1:$CE$1,0))/100,0),""))),"")</f>
        <v>0</v>
      </c>
      <c r="Z195" s="39" t="n">
        <f aca="false">IFERROR(IF($C195="","",IF($D195="","",IFERROR(ROUND($D195*INDEX('🔖 배합비 참조'!$B$2:$CE$83,MATCH("녹차가루",'🔖 배합비 참조'!$A$2:$A$83,0),MATCH($C195,'🔖 배합비 참조'!$B$1:$CE$1,0))/100,0),""))),"")</f>
        <v>0</v>
      </c>
      <c r="AA195" s="39" t="n">
        <f aca="false">IFERROR(IF($C195="","",IF($D195="","",IFERROR(ROUND($D195*INDEX('🔖 배합비 참조'!$B$2:$CE$83,MATCH("다크초콜릿 컴파운드칩",'🔖 배합비 참조'!$A$2:$A$83,0),MATCH($C195,'🔖 배합비 참조'!$B$1:$CE$1,0))/100,0),""))),"")</f>
        <v>0</v>
      </c>
      <c r="AB195" s="39" t="n">
        <f aca="false">IFERROR(IF($C195="","",IF($D195="","",IFERROR(ROUND($D195*INDEX('🔖 배합비 참조'!$B$2:$CE$83,MATCH("단호박분말(중국산)",'🔖 배합비 참조'!$A$2:$A$83,0),MATCH($C195,'🔖 배합비 참조'!$B$1:$CE$1,0))/100,0),""))),"")</f>
        <v>0</v>
      </c>
      <c r="AC195" s="39" t="n">
        <f aca="false">IFERROR(IF($C195="","",IF($D195="","",IFERROR(ROUND($D195*INDEX('🔖 배합비 참조'!$B$2:$CE$83,MATCH("당류가공품(단호박농축액)",'🔖 배합비 참조'!$A$2:$A$83,0),MATCH($C195,'🔖 배합비 참조'!$B$1:$CE$1,0))/100,0),""))),"")</f>
        <v>0</v>
      </c>
      <c r="AD195" s="39" t="n">
        <f aca="false">IFERROR(IF($C195="","",IF($D195="","",IFERROR(ROUND($D195*INDEX('🔖 배합비 참조'!$B$2:$CE$83,MATCH("당류가공품(알룰로스,에리스리톨,스테비올배당체혼합)",'🔖 배합비 참조'!$A$2:$A$83,0),MATCH($C195,'🔖 배합비 참조'!$B$1:$CE$1,0))/100,0),""))),"")</f>
        <v>0</v>
      </c>
      <c r="AE195" s="39" t="n">
        <f aca="false">IFERROR(IF($C195="","",IF($D195="","",IFERROR(ROUND($D195*INDEX('🔖 배합비 참조'!$B$2:$CE$83,MATCH("당류가공품(알룰로스제로파우더)",'🔖 배합비 참조'!$A$2:$A$83,0),MATCH($C195,'🔖 배합비 참조'!$B$1:$CE$1,0))/100,0),""))),"")</f>
        <v>0</v>
      </c>
      <c r="AF195" s="39" t="n">
        <f aca="false">IFERROR(IF($C195="","",IF($D195="","",IFERROR(ROUND($D195*INDEX('🔖 배합비 참조'!$B$2:$CE$83,MATCH("당절임(완두배기)",'🔖 배합비 참조'!$A$2:$A$83,0),MATCH($C195,'🔖 배합비 참조'!$B$1:$CE$1,0))/100,0),""))),"")</f>
        <v>0</v>
      </c>
      <c r="AG195" s="39" t="n">
        <f aca="false">IFERROR(IF($C195="","",IF($D195="","",IFERROR(ROUND($D195*INDEX('🔖 배합비 참조'!$B$2:$CE$83,MATCH("대추농축액",'🔖 배합비 참조'!$A$2:$A$83,0),MATCH($C195,'🔖 배합비 참조'!$B$1:$CE$1,0))/100,0),""))),"")</f>
        <v>0</v>
      </c>
      <c r="AH195" s="39" t="n">
        <f aca="false">IFERROR(IF($C195="","",IF($D195="","",IFERROR(ROUND($D195*INDEX('🔖 배합비 참조'!$B$2:$CE$83,MATCH("대추채(국내산)",'🔖 배합비 참조'!$A$2:$A$83,0),MATCH($C195,'🔖 배합비 참조'!$B$1:$CE$1,0))/100,0),""))),"")</f>
        <v>0</v>
      </c>
      <c r="AI195" s="39" t="n">
        <f aca="false">IFERROR(IF($C195="","",IF($D195="","",IFERROR(ROUND($D195*INDEX('🔖 배합비 참조'!$B$2:$CE$83,MATCH("동부(미얀마산)",'🔖 배합비 참조'!$A$2:$A$83,0),MATCH($C195,'🔖 배합비 참조'!$B$1:$CE$1,0))/100,0),""))),"")</f>
        <v>0</v>
      </c>
      <c r="AJ195" s="39" t="n">
        <f aca="false">IFERROR(IF($C195="","",IF($D195="","",IFERROR(ROUND($D195*INDEX('🔖 배합비 참조'!$B$2:$CE$83,MATCH("두류가공품(백옥앙금)",'🔖 배합비 참조'!$A$2:$A$83,0),MATCH($C195,'🔖 배합비 참조'!$B$1:$CE$1,0))/100,0),""))),"")</f>
        <v>0</v>
      </c>
      <c r="AK195" s="39" t="n">
        <f aca="false">IFERROR(IF($C195="","",IF($D195="","",IFERROR(ROUND($D195*INDEX('🔖 배합비 참조'!$B$2:$CE$83,MATCH("두류가공품(콩고물)",'🔖 배합비 참조'!$A$2:$A$83,0),MATCH($C195,'🔖 배합비 참조'!$B$1:$CE$1,0))/100,0),""))),"")</f>
        <v>3</v>
      </c>
      <c r="AL195" s="39" t="n">
        <f aca="false">IFERROR(IF($C195="","",IF($D195="","",IFERROR(ROUND($D195*INDEX('🔖 배합비 참조'!$B$2:$CE$83,MATCH("두류가공품(통팥고물)",'🔖 배합비 참조'!$A$2:$A$83,0),MATCH($C195,'🔖 배합비 참조'!$B$1:$CE$1,0))/100,0),""))),"")</f>
        <v>0</v>
      </c>
      <c r="AM195" s="39" t="n">
        <f aca="false">IFERROR(IF($C195="","",IF($D195="","",IFERROR(ROUND($D195*INDEX('🔖 배합비 참조'!$B$2:$CE$83,MATCH("딸기레진",'🔖 배합비 참조'!$A$2:$A$83,0),MATCH($C195,'🔖 배합비 참조'!$B$1:$CE$1,0))/100,0),""))),"")</f>
        <v>0</v>
      </c>
      <c r="AN195" s="39" t="n">
        <f aca="false">IFERROR(IF($C195="","",IF($D195="","",IFERROR(ROUND($D195*INDEX('🔖 배합비 참조'!$B$2:$CE$83,MATCH("딸기분말(스트로우베리에이드(분말))",'🔖 배합비 참조'!$A$2:$A$83,0),MATCH($C195,'🔖 배합비 참조'!$B$1:$CE$1,0))/100,0),""))),"")</f>
        <v>0</v>
      </c>
      <c r="AO195" s="39" t="n">
        <f aca="false">IFERROR(IF($C195="","",IF($D195="","",IFERROR(ROUND($D195*INDEX('🔖 배합비 참조'!$B$2:$CE$83,MATCH("마스카포네치즈",'🔖 배합비 참조'!$A$2:$A$83,0),MATCH($C195,'🔖 배합비 참조'!$B$1:$CE$1,0))/100,0),""))),"")</f>
        <v>0</v>
      </c>
      <c r="AP195" s="39" t="n">
        <f aca="false">IFERROR(IF($C195="","",IF($D195="","",IFERROR(ROUND($D195*INDEX('🔖 배합비 참조'!$B$2:$CE$83,MATCH("마카다미아분태(호주산)",'🔖 배합비 참조'!$A$2:$A$83,0),MATCH($C195,'🔖 배합비 참조'!$B$1:$CE$1,0))/100,0),""))),"")</f>
        <v>0</v>
      </c>
      <c r="AQ195" s="39" t="n">
        <f aca="false">IFERROR(IF($C195="","",IF($D195="","",IFERROR(ROUND($D195*INDEX('🔖 배합비 참조'!$B$2:$CE$83,MATCH("멥쌀(국내산)",'🔖 배합비 참조'!$A$2:$A$83,0),MATCH($C195,'🔖 배합비 참조'!$B$1:$CE$1,0))/100,0),""))),"")</f>
        <v>0</v>
      </c>
      <c r="AR195" s="39" t="n">
        <f aca="false">IFERROR(IF($C195="","",IF($D195="","",IFERROR(ROUND($D195*INDEX('🔖 배합비 참조'!$B$2:$CE$83,MATCH("모시잎(국내산)",'🔖 배합비 참조'!$A$2:$A$83,0),MATCH($C195,'🔖 배합비 참조'!$B$1:$CE$1,0))/100,0),""))),"")</f>
        <v>0</v>
      </c>
      <c r="AS195" s="39" t="n">
        <f aca="false">IFERROR(IF($C195="","",IF($D195="","",IFERROR(ROUND($D195*INDEX('🔖 배합비 참조'!$B$2:$CE$83,MATCH("물엿(저당물엿)",'🔖 배합비 참조'!$A$2:$A$83,0),MATCH($C195,'🔖 배합비 참조'!$B$1:$CE$1,0))/100,0),""))),"")</f>
        <v>2</v>
      </c>
      <c r="AT195" s="39" t="n">
        <f aca="false">IFERROR(IF($C195="","",IF($D195="","",IFERROR(ROUND($D195*INDEX('🔖 배합비 참조'!$B$2:$CE$83,MATCH("밤다이스",'🔖 배합비 참조'!$A$2:$A$83,0),MATCH($C195,'🔖 배합비 참조'!$B$1:$CE$1,0))/100,0),""))),"")</f>
        <v>0</v>
      </c>
      <c r="AU195" s="39" t="n">
        <f aca="false">IFERROR(IF($C195="","",IF($D195="","",IFERROR(ROUND($D195*INDEX('🔖 배합비 참조'!$B$2:$CE$83,MATCH("변성전분(타피오카전분)",'🔖 배합비 참조'!$A$2:$A$83,0),MATCH($C195,'🔖 배합비 참조'!$B$1:$CE$1,0))/100,0),""))),"")</f>
        <v>0</v>
      </c>
      <c r="AV195" s="39" t="n">
        <f aca="false">IFERROR(IF($C195="","",IF($D195="","",IFERROR(ROUND($D195*INDEX('🔖 배합비 참조'!$B$2:$CE$83,MATCH("복음땅콩분태",'🔖 배합비 참조'!$A$2:$A$83,0),MATCH($C195,'🔖 배합비 참조'!$B$1:$CE$1,0))/100,0),""))),"")</f>
        <v>0</v>
      </c>
      <c r="AW195" s="39" t="n">
        <f aca="false">IFERROR(IF($C195="","",IF($D195="","",IFERROR(ROUND($D195*INDEX('🔖 배합비 참조'!$B$2:$CE$83,MATCH("사양벌꿀(국내산)",'🔖 배합비 참조'!$A$2:$A$83,0),MATCH($C195,'🔖 배합비 참조'!$B$1:$CE$1,0))/100,0),""))),"")</f>
        <v>0</v>
      </c>
      <c r="AX195" s="39" t="n">
        <f aca="false">IFERROR(IF($C195="","",IF($D195="","",IFERROR(ROUND($D195*INDEX('🔖 배합비 참조'!$B$2:$CE$83,MATCH("생크림",'🔖 배합비 참조'!$A$2:$A$83,0),MATCH($C195,'🔖 배합비 참조'!$B$1:$CE$1,0))/100,0),""))),"")</f>
        <v>0</v>
      </c>
      <c r="AY195" s="39" t="n">
        <f aca="false">IFERROR(IF($C195="","",IF($D195="","",IFERROR(ROUND($D195*INDEX('🔖 배합비 참조'!$B$2:$CE$83,MATCH("서양호박(국내산,뉴질랜드산)",'🔖 배합비 참조'!$A$2:$A$83,0),MATCH($C195,'🔖 배합비 참조'!$B$1:$CE$1,0))/100,0),""))),"")</f>
        <v>0</v>
      </c>
      <c r="AZ195" s="39" t="n">
        <f aca="false">IFERROR(IF($C195="","",IF($D195="","",IFERROR(ROUND($D195*INDEX('🔖 배합비 참조'!$B$2:$CE$83,MATCH("설탕",'🔖 배합비 참조'!$A$2:$A$83,0),MATCH($C195,'🔖 배합비 참조'!$B$1:$CE$1,0))/100,0),""))),"")</f>
        <v>2</v>
      </c>
      <c r="BA195" s="39" t="n">
        <f aca="false">IFERROR(IF($C195="","",IF($D195="","",IFERROR(ROUND($D195*INDEX('🔖 배합비 참조'!$B$2:$CE$83,MATCH("스트로우베리 에이드 후레쉬",'🔖 배합비 참조'!$A$2:$A$83,0),MATCH($C195,'🔖 배합비 참조'!$B$1:$CE$1,0))/100,0),""))),"")</f>
        <v>0</v>
      </c>
      <c r="BB195" s="39" t="n">
        <f aca="false">IFERROR(IF($C195="","",IF($D195="","",IFERROR(ROUND($D195*INDEX('🔖 배합비 참조'!$B$2:$CE$83,MATCH("식물성기름혼합제제(분홍)",'🔖 배합비 참조'!$A$2:$A$83,0),MATCH($C195,'🔖 배합비 참조'!$B$1:$CE$1,0))/100,0),""))),"")</f>
        <v>0</v>
      </c>
      <c r="BC195" s="39" t="n">
        <f aca="false">IFERROR(IF($C195="","",IF($D195="","",IFERROR(ROUND($D195*INDEX('🔖 배합비 참조'!$B$2:$CE$83,MATCH("식물성기름혼합제제(초록)",'🔖 배합비 참조'!$A$2:$A$83,0),MATCH($C195,'🔖 배합비 참조'!$B$1:$CE$1,0))/100,0),""))),"")</f>
        <v>0</v>
      </c>
      <c r="BD195" s="39" t="n">
        <f aca="false">IFERROR(IF($C195="","",IF($D195="","",IFERROR(ROUND($D195*INDEX('🔖 배합비 참조'!$B$2:$CE$83,MATCH("식물성기름혼합제제(황색)",'🔖 배합비 참조'!$A$2:$A$83,0),MATCH($C195,'🔖 배합비 참조'!$B$1:$CE$1,0))/100,0),""))),"")</f>
        <v>0</v>
      </c>
      <c r="BE195" s="39" t="n">
        <f aca="false">IFERROR(IF($C195="","",IF($D195="","",IFERROR(ROUND($D195*INDEX('🔖 배합비 참조'!$B$2:$CE$83,MATCH("쑥가루(국내산)",'🔖 배합비 참조'!$A$2:$A$83,0),MATCH($C195,'🔖 배합비 참조'!$B$1:$CE$1,0))/100,0),""))),"")</f>
        <v>1</v>
      </c>
      <c r="BF195" s="39" t="n">
        <f aca="false">IFERROR(IF($C195="","",IF($D195="","",IFERROR(ROUND($D195*INDEX('🔖 배합비 참조'!$B$2:$CE$83,MATCH("아몬드슬라이스",'🔖 배합비 참조'!$A$2:$A$83,0),MATCH($C195,'🔖 배합비 참조'!$B$1:$CE$1,0))/100,0),""))),"")</f>
        <v>0</v>
      </c>
      <c r="BG195" s="39" t="n">
        <f aca="false">IFERROR(IF($C195="","",IF($D195="","",IFERROR(ROUND($D195*INDEX('🔖 배합비 참조'!$B$2:$CE$83,MATCH("알룰로오스(국내산)",'🔖 배합비 참조'!$A$2:$A$83,0),MATCH($C195,'🔖 배합비 참조'!$B$1:$CE$1,0))/100,0),""))),"")</f>
        <v>0</v>
      </c>
      <c r="BH195" s="39" t="n">
        <f aca="false">IFERROR(IF($C195="","",IF($D195="","",IFERROR(ROUND($D195*INDEX('🔖 배합비 참조'!$B$2:$CE$83,MATCH("연유",'🔖 배합비 참조'!$A$2:$A$83,0),MATCH($C195,'🔖 배합비 참조'!$B$1:$CE$1,0))/100,0),""))),"")</f>
        <v>0</v>
      </c>
      <c r="BI195" s="39" t="n">
        <f aca="false">IFERROR(IF($C195="","",IF($D195="","",IFERROR(ROUND($D195*INDEX('🔖 배합비 참조'!$B$2:$CE$83,MATCH("옥수수전분",'🔖 배합비 참조'!$A$2:$A$83,0),MATCH($C195,'🔖 배합비 참조'!$B$1:$CE$1,0))/100,0),""))),"")</f>
        <v>0</v>
      </c>
      <c r="BJ195" s="39" t="n">
        <f aca="false">IFERROR(IF($C195="","",IF($D195="","",IFERROR(ROUND($D195*INDEX('🔖 배합비 참조'!$B$2:$CE$83,MATCH("완두배기",'🔖 배합비 참조'!$A$2:$A$83,0),MATCH($C195,'🔖 배합비 참조'!$B$1:$CE$1,0))/100,0),""))),"")</f>
        <v>0</v>
      </c>
      <c r="BK195" s="39" t="n">
        <f aca="false">IFERROR(IF($C195="","",IF($D195="","",IFERROR(ROUND($D195*INDEX('🔖 배합비 참조'!$B$2:$CE$83,MATCH("우유(국내산)",'🔖 배합비 참조'!$A$2:$A$83,0),MATCH($C195,'🔖 배합비 참조'!$B$1:$CE$1,0))/100,0),""))),"")</f>
        <v>0</v>
      </c>
      <c r="BL195" s="39" t="n">
        <f aca="false">IFERROR(IF($C195="","",IF($D195="","",IFERROR(ROUND($D195*INDEX('🔖 배합비 참조'!$B$2:$CE$83,MATCH("자색고구마가루(중국산)",'🔖 배합비 참조'!$A$2:$A$83,0),MATCH($C195,'🔖 배합비 참조'!$B$1:$CE$1,0))/100,0),""))),"")</f>
        <v>0</v>
      </c>
      <c r="BM195" s="39" t="n">
        <f aca="false">IFERROR(IF($C195="","",IF($D195="","",IFERROR(ROUND($D195*INDEX('🔖 배합비 참조'!$B$2:$CE$83,MATCH("자연치즈(체다치즈)",'🔖 배합비 참조'!$A$2:$A$83,0),MATCH($C195,'🔖 배합비 참조'!$B$1:$CE$1,0))/100,0),""))),"")</f>
        <v>0</v>
      </c>
      <c r="BN195" s="39" t="n">
        <f aca="false">IFERROR(IF($C195="","",IF($D195="","",IFERROR(ROUND($D195*INDEX('🔖 배합비 참조'!$B$2:$CE$83,MATCH("정제수",'🔖 배합비 참조'!$A$2:$A$83,0),MATCH($C195,'🔖 배합비 참조'!$B$1:$CE$1,0))/100,0),""))),"")</f>
        <v>0</v>
      </c>
      <c r="BO195" s="39" t="n">
        <f aca="false">IFERROR(IF($C195="","",IF($D195="","",IFERROR(ROUND($D195*INDEX('🔖 배합비 참조'!$B$2:$CE$83,MATCH("젤라틴",'🔖 배합비 참조'!$A$2:$A$83,0),MATCH($C195,'🔖 배합비 참조'!$B$1:$CE$1,0))/100,0),""))),"")</f>
        <v>0</v>
      </c>
      <c r="BP195" s="39" t="n">
        <f aca="false">IFERROR(IF($C195="","",IF($D195="","",IFERROR(ROUND($D195*INDEX('🔖 배합비 참조'!$B$2:$CE$83,MATCH("조림류(백옥앙금)",'🔖 배합비 참조'!$A$2:$A$83,0),MATCH($C195,'🔖 배합비 참조'!$B$1:$CE$1,0))/100,0),""))),"")</f>
        <v>0</v>
      </c>
      <c r="BQ195" s="39" t="n">
        <f aca="false">IFERROR(IF($C195="","",IF($D195="","",IFERROR(ROUND($D195*INDEX('🔖 배합비 참조'!$B$2:$CE$83,MATCH("조림류(통팥앙금)",'🔖 배합비 참조'!$A$2:$A$83,0),MATCH($C195,'🔖 배합비 참조'!$B$1:$CE$1,0))/100,0),""))),"")</f>
        <v>46</v>
      </c>
      <c r="BR195" s="39" t="n">
        <f aca="false">IFERROR(IF($C195="","",IF($D195="","",IFERROR(ROUND($D195*INDEX('🔖 배합비 참조'!$B$2:$CE$83,MATCH("준초콜릿(외국산)",'🔖 배합비 참조'!$A$2:$A$83,0),MATCH($C195,'🔖 배합비 참조'!$B$1:$CE$1,0))/100,0),""))),"")</f>
        <v>0</v>
      </c>
      <c r="BS195" s="39" t="n">
        <f aca="false">IFERROR(IF($C195="","",IF($D195="","",IFERROR(ROUND($D195*INDEX('🔖 배합비 참조'!$B$2:$CE$83,MATCH("중력분",'🔖 배합비 참조'!$A$2:$A$83,0),MATCH($C195,'🔖 배합비 참조'!$B$1:$CE$1,0))/100,0),""))),"")</f>
        <v>1</v>
      </c>
      <c r="BT195" s="39" t="n">
        <f aca="false">IFERROR(IF($C195="","",IF($D195="","",IFERROR(ROUND($D195*INDEX('🔖 배합비 참조'!$B$2:$CE$83,MATCH("참깨(인도산,나이지리아산,탄자니아산,미얀마산)",'🔖 배합비 참조'!$A$2:$A$83,0),MATCH($C195,'🔖 배합비 참조'!$B$1:$CE$1,0))/100,0),""))),"")</f>
        <v>0</v>
      </c>
      <c r="BU195" s="39" t="n">
        <f aca="false">IFERROR(IF($C195="","",IF($D195="","",IFERROR(ROUND($D195*INDEX('🔖 배합비 참조'!$B$2:$CE$83,MATCH("찹쌀(국내산)",'🔖 배합비 참조'!$A$2:$A$83,0),MATCH($C195,'🔖 배합비 참조'!$B$1:$CE$1,0))/100,0),""))),"")</f>
        <v>49</v>
      </c>
      <c r="BV195" s="39" t="n">
        <f aca="false">IFERROR(IF($C195="","",IF($D195="","",IFERROR(ROUND($D195*INDEX('🔖 배합비 참조'!$B$2:$CE$83,MATCH("천일염",'🔖 배합비 참조'!$A$2:$A$83,0),MATCH($C195,'🔖 배합비 참조'!$B$1:$CE$1,0))/100,0),""))),"")</f>
        <v>1</v>
      </c>
      <c r="BW195" s="39" t="n">
        <f aca="false">IFERROR(IF($C195="","",IF($D195="","",IFERROR(ROUND($D195*INDEX('🔖 배합비 참조'!$B$2:$CE$83,MATCH("치즈 [크림치즈]",'🔖 배합비 참조'!$A$2:$A$83,0),MATCH($C195,'🔖 배합비 참조'!$B$1:$CE$1,0))/100,0),""))),"")</f>
        <v>0</v>
      </c>
      <c r="BX195" s="39" t="n">
        <f aca="false">IFERROR(IF($C195="","",IF($D195="","",IFERROR(ROUND($D195*INDEX('🔖 배합비 참조'!$B$2:$CE$83,MATCH("코코아가공품류(코코아분말)",'🔖 배합비 참조'!$A$2:$A$83,0),MATCH($C195,'🔖 배합비 참조'!$B$1:$CE$1,0))/100,0),""))),"")</f>
        <v>0</v>
      </c>
      <c r="BY195" s="39" t="n">
        <f aca="false">IFERROR(IF($C195="","",IF($D195="","",IFERROR(ROUND($D195*INDEX('🔖 배합비 참조'!$B$2:$CE$83,MATCH("콩기름(대두유)",'🔖 배합비 참조'!$A$2:$A$83,0),MATCH($C195,'🔖 배합비 참조'!$B$1:$CE$1,0))/100,0),""))),"")</f>
        <v>0</v>
      </c>
      <c r="BZ195" s="39" t="n">
        <f aca="false">IFERROR(IF($C195="","",IF($D195="","",IFERROR(ROUND($D195*INDEX('🔖 배합비 참조'!$B$2:$CE$83,MATCH("해바라기씨앗",'🔖 배합비 참조'!$A$2:$A$83,0),MATCH($C195,'🔖 배합비 참조'!$B$1:$CE$1,0))/100,0),""))),"")</f>
        <v>0</v>
      </c>
      <c r="CA195" s="39" t="n">
        <f aca="false">IFERROR(IF($C195="","",IF($D195="","",IFERROR(ROUND($D195*INDEX('🔖 배합비 참조'!$B$2:$CE$83,MATCH("현미(국내산)",'🔖 배합비 참조'!$A$2:$A$83,0),MATCH($C195,'🔖 배합비 참조'!$B$1:$CE$1,0))/100,0),""))),"")</f>
        <v>0</v>
      </c>
      <c r="CB195" s="39" t="n">
        <f aca="false">IFERROR(IF($C195="","",IF($D195="","",IFERROR(ROUND($D195*INDEX('🔖 배합비 참조'!$B$2:$CE$83,MATCH("현미멥쌀(국내산)",'🔖 배합비 참조'!$A$2:$A$83,0),MATCH($C195,'🔖 배합비 참조'!$B$1:$CE$1,0))/100,0),""))),"")</f>
        <v>0</v>
      </c>
      <c r="CC195" s="39" t="n">
        <f aca="false">IFERROR(IF($C195="","",IF($D195="","",IFERROR(ROUND($D195*INDEX('🔖 배합비 참조'!$B$2:$CE$83,MATCH("호두분태(미국산)",'🔖 배합비 참조'!$A$2:$A$83,0),MATCH($C195,'🔖 배합비 참조'!$B$1:$CE$1,0))/100,0),""))),"")</f>
        <v>0</v>
      </c>
      <c r="CD195" s="39" t="n">
        <f aca="false">IFERROR(IF($C195="","",IF($D195="","",IFERROR(ROUND($D195*INDEX('🔖 배합비 참조'!$B$2:$CE$83,MATCH("호박씨앗(외국산)",'🔖 배합비 참조'!$A$2:$A$83,0),MATCH($C195,'🔖 배합비 참조'!$B$1:$CE$1,0))/100,0),""))),"")</f>
        <v>0</v>
      </c>
      <c r="CE195" s="39" t="n">
        <f aca="false">IFERROR(IF($C195="","",IF($D195="","",IFERROR(ROUND($D195*INDEX('🔖 배합비 참조'!$B$2:$CE$83,MATCH("혼합제제(떡용에스텔)",'🔖 배합비 참조'!$A$2:$A$83,0),MATCH($C195,'🔖 배합비 참조'!$B$1:$CE$1,0))/100,0),""))),"")</f>
        <v>0</v>
      </c>
      <c r="CF195" s="39" t="n">
        <f aca="false">IFERROR(IF($C195="","",IF($D195="","",IFERROR(ROUND($D195*INDEX('🔖 배합비 참조'!$B$2:$CE$83,MATCH("혼합제제(스테비아)",'🔖 배합비 참조'!$A$2:$A$83,0),MATCH($C195,'🔖 배합비 참조'!$B$1:$CE$1,0))/100,0),""))),"")</f>
        <v>0</v>
      </c>
      <c r="CG195" s="39" t="n">
        <f aca="false">IFERROR(IF($C195="","",IF($D195="","",IFERROR(ROUND($D195*INDEX('🔖 배합비 참조'!$B$2:$CE$83,MATCH("화이트초콜릿",'🔖 배합비 참조'!$A$2:$A$83,0),MATCH($C195,'🔖 배합비 참조'!$B$1:$CE$1,0))/100,0),""))),"")</f>
        <v>0</v>
      </c>
      <c r="CH195" s="39" t="n">
        <f aca="false">IFERROR(IF($C195="","",IF($D195="","",IFERROR(ROUND($D195*INDEX('🔖 배합비 참조'!$B$2:$CE$83,MATCH("흑미찹쌀(국내산)",'🔖 배합비 참조'!$A$2:$A$83,0),MATCH($C195,'🔖 배합비 참조'!$B$1:$CE$1,0))/100,0),""))),"")</f>
        <v>0</v>
      </c>
      <c r="CI195" s="39" t="n">
        <f aca="false">IFERROR(IF($C195="","",IF($D195="","",IFERROR(ROUND($D195*INDEX('🔖 배합비 참조'!$B$2:$CE$83,MATCH("찰옥수수전분(미국산)",'🔖 배합비 참조'!$A$2:$A$83,0),MATCH($C195,'🔖 배합비 참조'!$B$1:$CE$1,0))/100,0),""))),"")</f>
        <v>0</v>
      </c>
      <c r="CJ195" s="40"/>
      <c r="CL195" s="1" t="s">
        <v>245</v>
      </c>
    </row>
    <row r="196" customFormat="false" ht="18" hidden="false" customHeight="true" outlineLevel="0" collapsed="false">
      <c r="A196" s="41" t="n">
        <v>192</v>
      </c>
      <c r="B196" s="36" t="n">
        <v>46055</v>
      </c>
      <c r="C196" s="37" t="s">
        <v>169</v>
      </c>
      <c r="D196" s="38" t="n">
        <v>300</v>
      </c>
      <c r="E196" s="17"/>
      <c r="F196" s="17"/>
      <c r="G196" s="42" t="n">
        <f aca="false">IFERROR(IF($C196="","",IF($D196="","",IFERROR(ROUND($D196*INDEX('🔖 배합비 참조'!$B$2:$CE$83,MATCH("간장",'🔖 배합비 참조'!$A$2:$A$83,0),MATCH($C196,'🔖 배합비 참조'!$B$1:$CE$1,0))/100,0),""))),"")</f>
        <v>0</v>
      </c>
      <c r="H196" s="42" t="n">
        <f aca="false">IFERROR(IF($C196="","",IF($D196="","",IFERROR(ROUND($D196*INDEX('🔖 배합비 참조'!$B$2:$CE$83,MATCH("강낭콩((울타리콩))",'🔖 배합비 참조'!$A$2:$A$83,0),MATCH($C196,'🔖 배합비 참조'!$B$1:$CE$1,0))/100,0),""))),"")</f>
        <v>0</v>
      </c>
      <c r="I196" s="42" t="n">
        <f aca="false">IFERROR(IF($C196="","",IF($D196="","",IFERROR(ROUND($D196*INDEX('🔖 배합비 참조'!$B$2:$CE$83,MATCH("건조딸기다이스(외국산)",'🔖 배합비 참조'!$A$2:$A$83,0),MATCH($C196,'🔖 배합비 참조'!$B$1:$CE$1,0))/100,0),""))),"")</f>
        <v>0</v>
      </c>
      <c r="J196" s="42" t="n">
        <f aca="false">IFERROR(IF($C196="","",IF($D196="","",IFERROR(ROUND($D196*INDEX('🔖 배합비 참조'!$B$2:$CE$83,MATCH("건포도",'🔖 배합비 참조'!$A$2:$A$83,0),MATCH($C196,'🔖 배합비 참조'!$B$1:$CE$1,0))/100,0),""))),"")</f>
        <v>0</v>
      </c>
      <c r="K196" s="42" t="n">
        <f aca="false">IFERROR(IF($C196="","",IF($D196="","",IFERROR(ROUND($D196*INDEX('🔖 배합비 참조'!$B$2:$CE$83,MATCH("건호박채(중국산)",'🔖 배합비 참조'!$A$2:$A$83,0),MATCH($C196,'🔖 배합비 참조'!$B$1:$CE$1,0))/100,0),""))),"")</f>
        <v>0</v>
      </c>
      <c r="L196" s="42" t="n">
        <f aca="false">IFERROR(IF($C196="","",IF($D196="","",IFERROR(ROUND($D196*INDEX('🔖 배합비 참조'!$B$2:$CE$83,MATCH("검정깨(흑임자)",'🔖 배합비 참조'!$A$2:$A$83,0),MATCH($C196,'🔖 배합비 참조'!$B$1:$CE$1,0))/100,0),""))),"")</f>
        <v>0</v>
      </c>
      <c r="M196" s="42" t="n">
        <f aca="false">IFERROR(IF($C196="","",IF($D196="","",IFERROR(ROUND($D196*INDEX('🔖 배합비 참조'!$B$2:$CE$83,MATCH("검정콩",'🔖 배합비 참조'!$A$2:$A$83,0),MATCH($C196,'🔖 배합비 참조'!$B$1:$CE$1,0))/100,0),""))),"")</f>
        <v>0</v>
      </c>
      <c r="N196" s="42" t="n">
        <f aca="false">IFERROR(IF($C196="","",IF($D196="","",IFERROR(ROUND($D196*INDEX('🔖 배합비 참조'!$B$2:$CE$83,MATCH("계피가루",'🔖 배합비 참조'!$A$2:$A$83,0),MATCH($C196,'🔖 배합비 참조'!$B$1:$CE$1,0))/100,0),""))),"")</f>
        <v>0</v>
      </c>
      <c r="O196" s="42" t="n">
        <f aca="false">IFERROR(IF($C196="","",IF($D196="","",IFERROR(ROUND($D196*INDEX('🔖 배합비 참조'!$B$2:$CE$83,MATCH("고구마가루",'🔖 배합비 참조'!$A$2:$A$83,0),MATCH($C196,'🔖 배합비 참조'!$B$1:$CE$1,0))/100,0),""))),"")</f>
        <v>0</v>
      </c>
      <c r="P196" s="42" t="n">
        <f aca="false">IFERROR(IF($C196="","",IF($D196="","",IFERROR(ROUND($D196*INDEX('🔖 배합비 참조'!$B$2:$CE$83,MATCH("고구마무스",'🔖 배합비 참조'!$A$2:$A$83,0),MATCH($C196,'🔖 배합비 참조'!$B$1:$CE$1,0))/100,0),""))),"")</f>
        <v>0</v>
      </c>
      <c r="Q196" s="42" t="n">
        <f aca="false">IFERROR(IF($C196="","",IF($D196="","",IFERROR(ROUND($D196*INDEX('🔖 배합비 참조'!$B$2:$CE$83,MATCH("고려엉겅퀴((곤드레)국내산)",'🔖 배합비 참조'!$A$2:$A$83,0),MATCH($C196,'🔖 배합비 참조'!$B$1:$CE$1,0))/100,0),""))),"")</f>
        <v>0</v>
      </c>
      <c r="R196" s="42" t="n">
        <f aca="false">IFERROR(IF($C196="","",IF($D196="","",IFERROR(ROUND($D196*INDEX('🔖 배합비 참조'!$B$2:$CE$83,MATCH("기타가공품(복분자가루)",'🔖 배합비 참조'!$A$2:$A$83,0),MATCH($C196,'🔖 배합비 참조'!$B$1:$CE$1,0))/100,0),""))),"")</f>
        <v>0</v>
      </c>
      <c r="S196" s="42" t="n">
        <f aca="false">IFERROR(IF($C196="","",IF($D196="","",IFERROR(ROUND($D196*INDEX('🔖 배합비 참조'!$B$2:$CE$83,MATCH("기타가공품(슈퍼소프트엠)",'🔖 배합비 참조'!$A$2:$A$83,0),MATCH($C196,'🔖 배합비 참조'!$B$1:$CE$1,0))/100,0),""))),"")</f>
        <v>0</v>
      </c>
      <c r="T196" s="42" t="n">
        <f aca="false">IFERROR(IF($C196="","",IF($D196="","",IFERROR(ROUND($D196*INDEX('🔖 배합비 참조'!$B$2:$CE$83,MATCH("기타가공품(파인소프트 E-티)",'🔖 배합비 참조'!$A$2:$A$83,0),MATCH($C196,'🔖 배합비 참조'!$B$1:$CE$1,0))/100,0),""))),"")</f>
        <v>0</v>
      </c>
      <c r="U196" s="42" t="n">
        <f aca="false">IFERROR(IF($C196="","",IF($D196="","",IFERROR(ROUND($D196*INDEX('🔖 배합비 참조'!$B$2:$CE$83,MATCH("기타가공품(프리미엄카스테라가루)",'🔖 배합비 참조'!$A$2:$A$83,0),MATCH($C196,'🔖 배합비 참조'!$B$1:$CE$1,0))/100,0),""))),"")</f>
        <v>0</v>
      </c>
      <c r="V196" s="42" t="n">
        <f aca="false">IFERROR(IF($C196="","",IF($D196="","",IFERROR(ROUND($D196*INDEX('🔖 배합비 참조'!$B$2:$CE$83,MATCH("기타가공품(흑임자가루)",'🔖 배합비 참조'!$A$2:$A$83,0),MATCH($C196,'🔖 배합비 참조'!$B$1:$CE$1,0))/100,0),""))),"")</f>
        <v>0</v>
      </c>
      <c r="W196" s="42" t="n">
        <f aca="false">IFERROR(IF($C196="","",IF($D196="","",IFERROR(ROUND($D196*INDEX('🔖 배합비 참조'!$B$2:$CE$83,MATCH("기타설탕(흑설탕)",'🔖 배합비 참조'!$A$2:$A$83,0),MATCH($C196,'🔖 배합비 참조'!$B$1:$CE$1,0))/100,0),""))),"")</f>
        <v>0</v>
      </c>
      <c r="X196" s="42" t="n">
        <f aca="false">IFERROR(IF($C196="","",IF($D196="","",IFERROR(ROUND($D196*INDEX('🔖 배합비 참조'!$B$2:$CE$83,MATCH("냉동쑥(국내산)",'🔖 배합비 참조'!$A$2:$A$83,0),MATCH($C196,'🔖 배합비 참조'!$B$1:$CE$1,0))/100,0),""))),"")</f>
        <v>0</v>
      </c>
      <c r="Y196" s="42" t="n">
        <f aca="false">IFERROR(IF($C196="","",IF($D196="","",IFERROR(ROUND($D196*INDEX('🔖 배합비 참조'!$B$2:$CE$83,MATCH("냉동증숙고구마(중국산)",'🔖 배합비 참조'!$A$2:$A$83,0),MATCH($C196,'🔖 배합비 참조'!$B$1:$CE$1,0))/100,0),""))),"")</f>
        <v>0</v>
      </c>
      <c r="Z196" s="42" t="n">
        <f aca="false">IFERROR(IF($C196="","",IF($D196="","",IFERROR(ROUND($D196*INDEX('🔖 배합비 참조'!$B$2:$CE$83,MATCH("녹차가루",'🔖 배합비 참조'!$A$2:$A$83,0),MATCH($C196,'🔖 배합비 참조'!$B$1:$CE$1,0))/100,0),""))),"")</f>
        <v>0</v>
      </c>
      <c r="AA196" s="42" t="n">
        <f aca="false">IFERROR(IF($C196="","",IF($D196="","",IFERROR(ROUND($D196*INDEX('🔖 배합비 참조'!$B$2:$CE$83,MATCH("다크초콜릿 컴파운드칩",'🔖 배합비 참조'!$A$2:$A$83,0),MATCH($C196,'🔖 배합비 참조'!$B$1:$CE$1,0))/100,0),""))),"")</f>
        <v>0</v>
      </c>
      <c r="AB196" s="42" t="n">
        <f aca="false">IFERROR(IF($C196="","",IF($D196="","",IFERROR(ROUND($D196*INDEX('🔖 배합비 참조'!$B$2:$CE$83,MATCH("단호박분말(중국산)",'🔖 배합비 참조'!$A$2:$A$83,0),MATCH($C196,'🔖 배합비 참조'!$B$1:$CE$1,0))/100,0),""))),"")</f>
        <v>0</v>
      </c>
      <c r="AC196" s="42" t="n">
        <f aca="false">IFERROR(IF($C196="","",IF($D196="","",IFERROR(ROUND($D196*INDEX('🔖 배합비 참조'!$B$2:$CE$83,MATCH("당류가공품(단호박농축액)",'🔖 배합비 참조'!$A$2:$A$83,0),MATCH($C196,'🔖 배합비 참조'!$B$1:$CE$1,0))/100,0),""))),"")</f>
        <v>0</v>
      </c>
      <c r="AD196" s="42" t="n">
        <f aca="false">IFERROR(IF($C196="","",IF($D196="","",IFERROR(ROUND($D196*INDEX('🔖 배합비 참조'!$B$2:$CE$83,MATCH("당류가공품(알룰로스,에리스리톨,스테비올배당체혼합)",'🔖 배합비 참조'!$A$2:$A$83,0),MATCH($C196,'🔖 배합비 참조'!$B$1:$CE$1,0))/100,0),""))),"")</f>
        <v>0</v>
      </c>
      <c r="AE196" s="42" t="n">
        <f aca="false">IFERROR(IF($C196="","",IF($D196="","",IFERROR(ROUND($D196*INDEX('🔖 배합비 참조'!$B$2:$CE$83,MATCH("당류가공품(알룰로스제로파우더)",'🔖 배합비 참조'!$A$2:$A$83,0),MATCH($C196,'🔖 배합비 참조'!$B$1:$CE$1,0))/100,0),""))),"")</f>
        <v>0</v>
      </c>
      <c r="AF196" s="42" t="n">
        <f aca="false">IFERROR(IF($C196="","",IF($D196="","",IFERROR(ROUND($D196*INDEX('🔖 배합비 참조'!$B$2:$CE$83,MATCH("당절임(완두배기)",'🔖 배합비 참조'!$A$2:$A$83,0),MATCH($C196,'🔖 배합비 참조'!$B$1:$CE$1,0))/100,0),""))),"")</f>
        <v>0</v>
      </c>
      <c r="AG196" s="42" t="n">
        <f aca="false">IFERROR(IF($C196="","",IF($D196="","",IFERROR(ROUND($D196*INDEX('🔖 배합비 참조'!$B$2:$CE$83,MATCH("대추농축액",'🔖 배합비 참조'!$A$2:$A$83,0),MATCH($C196,'🔖 배합비 참조'!$B$1:$CE$1,0))/100,0),""))),"")</f>
        <v>0</v>
      </c>
      <c r="AH196" s="42" t="n">
        <f aca="false">IFERROR(IF($C196="","",IF($D196="","",IFERROR(ROUND($D196*INDEX('🔖 배합비 참조'!$B$2:$CE$83,MATCH("대추채(국내산)",'🔖 배합비 참조'!$A$2:$A$83,0),MATCH($C196,'🔖 배합비 참조'!$B$1:$CE$1,0))/100,0),""))),"")</f>
        <v>0</v>
      </c>
      <c r="AI196" s="42" t="n">
        <f aca="false">IFERROR(IF($C196="","",IF($D196="","",IFERROR(ROUND($D196*INDEX('🔖 배합비 참조'!$B$2:$CE$83,MATCH("동부(미얀마산)",'🔖 배합비 참조'!$A$2:$A$83,0),MATCH($C196,'🔖 배합비 참조'!$B$1:$CE$1,0))/100,0),""))),"")</f>
        <v>0</v>
      </c>
      <c r="AJ196" s="42" t="n">
        <f aca="false">IFERROR(IF($C196="","",IF($D196="","",IFERROR(ROUND($D196*INDEX('🔖 배합비 참조'!$B$2:$CE$83,MATCH("두류가공품(백옥앙금)",'🔖 배합비 참조'!$A$2:$A$83,0),MATCH($C196,'🔖 배합비 참조'!$B$1:$CE$1,0))/100,0),""))),"")</f>
        <v>0</v>
      </c>
      <c r="AK196" s="42" t="n">
        <f aca="false">IFERROR(IF($C196="","",IF($D196="","",IFERROR(ROUND($D196*INDEX('🔖 배합비 참조'!$B$2:$CE$83,MATCH("두류가공품(콩고물)",'🔖 배합비 참조'!$A$2:$A$83,0),MATCH($C196,'🔖 배합비 참조'!$B$1:$CE$1,0))/100,0),""))),"")</f>
        <v>0</v>
      </c>
      <c r="AL196" s="42" t="n">
        <f aca="false">IFERROR(IF($C196="","",IF($D196="","",IFERROR(ROUND($D196*INDEX('🔖 배합비 참조'!$B$2:$CE$83,MATCH("두류가공품(통팥고물)",'🔖 배합비 참조'!$A$2:$A$83,0),MATCH($C196,'🔖 배합비 참조'!$B$1:$CE$1,0))/100,0),""))),"")</f>
        <v>0</v>
      </c>
      <c r="AM196" s="42" t="n">
        <f aca="false">IFERROR(IF($C196="","",IF($D196="","",IFERROR(ROUND($D196*INDEX('🔖 배합비 참조'!$B$2:$CE$83,MATCH("딸기레진",'🔖 배합비 참조'!$A$2:$A$83,0),MATCH($C196,'🔖 배합비 참조'!$B$1:$CE$1,0))/100,0),""))),"")</f>
        <v>0</v>
      </c>
      <c r="AN196" s="42" t="n">
        <f aca="false">IFERROR(IF($C196="","",IF($D196="","",IFERROR(ROUND($D196*INDEX('🔖 배합비 참조'!$B$2:$CE$83,MATCH("딸기분말(스트로우베리에이드(분말))",'🔖 배합비 참조'!$A$2:$A$83,0),MATCH($C196,'🔖 배합비 참조'!$B$1:$CE$1,0))/100,0),""))),"")</f>
        <v>0</v>
      </c>
      <c r="AO196" s="42" t="n">
        <f aca="false">IFERROR(IF($C196="","",IF($D196="","",IFERROR(ROUND($D196*INDEX('🔖 배합비 참조'!$B$2:$CE$83,MATCH("마스카포네치즈",'🔖 배합비 참조'!$A$2:$A$83,0),MATCH($C196,'🔖 배합비 참조'!$B$1:$CE$1,0))/100,0),""))),"")</f>
        <v>0</v>
      </c>
      <c r="AP196" s="42" t="n">
        <f aca="false">IFERROR(IF($C196="","",IF($D196="","",IFERROR(ROUND($D196*INDEX('🔖 배합비 참조'!$B$2:$CE$83,MATCH("마카다미아분태(호주산)",'🔖 배합비 참조'!$A$2:$A$83,0),MATCH($C196,'🔖 배합비 참조'!$B$1:$CE$1,0))/100,0),""))),"")</f>
        <v>0</v>
      </c>
      <c r="AQ196" s="42" t="n">
        <f aca="false">IFERROR(IF($C196="","",IF($D196="","",IFERROR(ROUND($D196*INDEX('🔖 배합비 참조'!$B$2:$CE$83,MATCH("멥쌀(국내산)",'🔖 배합비 참조'!$A$2:$A$83,0),MATCH($C196,'🔖 배합비 참조'!$B$1:$CE$1,0))/100,0),""))),"")</f>
        <v>297</v>
      </c>
      <c r="AR196" s="42" t="n">
        <f aca="false">IFERROR(IF($C196="","",IF($D196="","",IFERROR(ROUND($D196*INDEX('🔖 배합비 참조'!$B$2:$CE$83,MATCH("모시잎(국내산)",'🔖 배합비 참조'!$A$2:$A$83,0),MATCH($C196,'🔖 배합비 참조'!$B$1:$CE$1,0))/100,0),""))),"")</f>
        <v>0</v>
      </c>
      <c r="AS196" s="42" t="n">
        <f aca="false">IFERROR(IF($C196="","",IF($D196="","",IFERROR(ROUND($D196*INDEX('🔖 배합비 참조'!$B$2:$CE$83,MATCH("물엿(저당물엿)",'🔖 배합비 참조'!$A$2:$A$83,0),MATCH($C196,'🔖 배합비 참조'!$B$1:$CE$1,0))/100,0),""))),"")</f>
        <v>0</v>
      </c>
      <c r="AT196" s="42" t="n">
        <f aca="false">IFERROR(IF($C196="","",IF($D196="","",IFERROR(ROUND($D196*INDEX('🔖 배합비 참조'!$B$2:$CE$83,MATCH("밤다이스",'🔖 배합비 참조'!$A$2:$A$83,0),MATCH($C196,'🔖 배합비 참조'!$B$1:$CE$1,0))/100,0),""))),"")</f>
        <v>0</v>
      </c>
      <c r="AU196" s="42" t="n">
        <f aca="false">IFERROR(IF($C196="","",IF($D196="","",IFERROR(ROUND($D196*INDEX('🔖 배합비 참조'!$B$2:$CE$83,MATCH("변성전분(타피오카전분)",'🔖 배합비 참조'!$A$2:$A$83,0),MATCH($C196,'🔖 배합비 참조'!$B$1:$CE$1,0))/100,0),""))),"")</f>
        <v>0</v>
      </c>
      <c r="AV196" s="42" t="n">
        <f aca="false">IFERROR(IF($C196="","",IF($D196="","",IFERROR(ROUND($D196*INDEX('🔖 배합비 참조'!$B$2:$CE$83,MATCH("복음땅콩분태",'🔖 배합비 참조'!$A$2:$A$83,0),MATCH($C196,'🔖 배합비 참조'!$B$1:$CE$1,0))/100,0),""))),"")</f>
        <v>0</v>
      </c>
      <c r="AW196" s="42" t="n">
        <f aca="false">IFERROR(IF($C196="","",IF($D196="","",IFERROR(ROUND($D196*INDEX('🔖 배합비 참조'!$B$2:$CE$83,MATCH("사양벌꿀(국내산)",'🔖 배합비 참조'!$A$2:$A$83,0),MATCH($C196,'🔖 배합비 참조'!$B$1:$CE$1,0))/100,0),""))),"")</f>
        <v>0</v>
      </c>
      <c r="AX196" s="42" t="n">
        <f aca="false">IFERROR(IF($C196="","",IF($D196="","",IFERROR(ROUND($D196*INDEX('🔖 배합비 참조'!$B$2:$CE$83,MATCH("생크림",'🔖 배합비 참조'!$A$2:$A$83,0),MATCH($C196,'🔖 배합비 참조'!$B$1:$CE$1,0))/100,0),""))),"")</f>
        <v>0</v>
      </c>
      <c r="AY196" s="42" t="n">
        <f aca="false">IFERROR(IF($C196="","",IF($D196="","",IFERROR(ROUND($D196*INDEX('🔖 배합비 참조'!$B$2:$CE$83,MATCH("서양호박(국내산,뉴질랜드산)",'🔖 배합비 참조'!$A$2:$A$83,0),MATCH($C196,'🔖 배합비 참조'!$B$1:$CE$1,0))/100,0),""))),"")</f>
        <v>0</v>
      </c>
      <c r="AZ196" s="42" t="n">
        <f aca="false">IFERROR(IF($C196="","",IF($D196="","",IFERROR(ROUND($D196*INDEX('🔖 배합비 참조'!$B$2:$CE$83,MATCH("설탕",'🔖 배합비 참조'!$A$2:$A$83,0),MATCH($C196,'🔖 배합비 참조'!$B$1:$CE$1,0))/100,0),""))),"")</f>
        <v>0</v>
      </c>
      <c r="BA196" s="42" t="n">
        <f aca="false">IFERROR(IF($C196="","",IF($D196="","",IFERROR(ROUND($D196*INDEX('🔖 배합비 참조'!$B$2:$CE$83,MATCH("스트로우베리 에이드 후레쉬",'🔖 배합비 참조'!$A$2:$A$83,0),MATCH($C196,'🔖 배합비 참조'!$B$1:$CE$1,0))/100,0),""))),"")</f>
        <v>0</v>
      </c>
      <c r="BB196" s="42" t="n">
        <f aca="false">IFERROR(IF($C196="","",IF($D196="","",IFERROR(ROUND($D196*INDEX('🔖 배합비 참조'!$B$2:$CE$83,MATCH("식물성기름혼합제제(분홍)",'🔖 배합비 참조'!$A$2:$A$83,0),MATCH($C196,'🔖 배합비 참조'!$B$1:$CE$1,0))/100,0),""))),"")</f>
        <v>0</v>
      </c>
      <c r="BC196" s="42" t="n">
        <f aca="false">IFERROR(IF($C196="","",IF($D196="","",IFERROR(ROUND($D196*INDEX('🔖 배합비 참조'!$B$2:$CE$83,MATCH("식물성기름혼합제제(초록)",'🔖 배합비 참조'!$A$2:$A$83,0),MATCH($C196,'🔖 배합비 참조'!$B$1:$CE$1,0))/100,0),""))),"")</f>
        <v>0</v>
      </c>
      <c r="BD196" s="42" t="n">
        <f aca="false">IFERROR(IF($C196="","",IF($D196="","",IFERROR(ROUND($D196*INDEX('🔖 배합비 참조'!$B$2:$CE$83,MATCH("식물성기름혼합제제(황색)",'🔖 배합비 참조'!$A$2:$A$83,0),MATCH($C196,'🔖 배합비 참조'!$B$1:$CE$1,0))/100,0),""))),"")</f>
        <v>0</v>
      </c>
      <c r="BE196" s="42" t="n">
        <f aca="false">IFERROR(IF($C196="","",IF($D196="","",IFERROR(ROUND($D196*INDEX('🔖 배합비 참조'!$B$2:$CE$83,MATCH("쑥가루(국내산)",'🔖 배합비 참조'!$A$2:$A$83,0),MATCH($C196,'🔖 배합비 참조'!$B$1:$CE$1,0))/100,0),""))),"")</f>
        <v>0</v>
      </c>
      <c r="BF196" s="42" t="n">
        <f aca="false">IFERROR(IF($C196="","",IF($D196="","",IFERROR(ROUND($D196*INDEX('🔖 배합비 참조'!$B$2:$CE$83,MATCH("아몬드슬라이스",'🔖 배합비 참조'!$A$2:$A$83,0),MATCH($C196,'🔖 배합비 참조'!$B$1:$CE$1,0))/100,0),""))),"")</f>
        <v>0</v>
      </c>
      <c r="BG196" s="42" t="n">
        <f aca="false">IFERROR(IF($C196="","",IF($D196="","",IFERROR(ROUND($D196*INDEX('🔖 배합비 참조'!$B$2:$CE$83,MATCH("알룰로오스(국내산)",'🔖 배합비 참조'!$A$2:$A$83,0),MATCH($C196,'🔖 배합비 참조'!$B$1:$CE$1,0))/100,0),""))),"")</f>
        <v>0</v>
      </c>
      <c r="BH196" s="42" t="n">
        <f aca="false">IFERROR(IF($C196="","",IF($D196="","",IFERROR(ROUND($D196*INDEX('🔖 배합비 참조'!$B$2:$CE$83,MATCH("연유",'🔖 배합비 참조'!$A$2:$A$83,0),MATCH($C196,'🔖 배합비 참조'!$B$1:$CE$1,0))/100,0),""))),"")</f>
        <v>0</v>
      </c>
      <c r="BI196" s="42" t="n">
        <f aca="false">IFERROR(IF($C196="","",IF($D196="","",IFERROR(ROUND($D196*INDEX('🔖 배합비 참조'!$B$2:$CE$83,MATCH("옥수수전분",'🔖 배합비 참조'!$A$2:$A$83,0),MATCH($C196,'🔖 배합비 참조'!$B$1:$CE$1,0))/100,0),""))),"")</f>
        <v>0</v>
      </c>
      <c r="BJ196" s="42" t="n">
        <f aca="false">IFERROR(IF($C196="","",IF($D196="","",IFERROR(ROUND($D196*INDEX('🔖 배합비 참조'!$B$2:$CE$83,MATCH("완두배기",'🔖 배합비 참조'!$A$2:$A$83,0),MATCH($C196,'🔖 배합비 참조'!$B$1:$CE$1,0))/100,0),""))),"")</f>
        <v>0</v>
      </c>
      <c r="BK196" s="42" t="n">
        <f aca="false">IFERROR(IF($C196="","",IF($D196="","",IFERROR(ROUND($D196*INDEX('🔖 배합비 참조'!$B$2:$CE$83,MATCH("우유(국내산)",'🔖 배합비 참조'!$A$2:$A$83,0),MATCH($C196,'🔖 배합비 참조'!$B$1:$CE$1,0))/100,0),""))),"")</f>
        <v>0</v>
      </c>
      <c r="BL196" s="42" t="n">
        <f aca="false">IFERROR(IF($C196="","",IF($D196="","",IFERROR(ROUND($D196*INDEX('🔖 배합비 참조'!$B$2:$CE$83,MATCH("자색고구마가루(중국산)",'🔖 배합비 참조'!$A$2:$A$83,0),MATCH($C196,'🔖 배합비 참조'!$B$1:$CE$1,0))/100,0),""))),"")</f>
        <v>0</v>
      </c>
      <c r="BM196" s="42" t="n">
        <f aca="false">IFERROR(IF($C196="","",IF($D196="","",IFERROR(ROUND($D196*INDEX('🔖 배합비 참조'!$B$2:$CE$83,MATCH("자연치즈(체다치즈)",'🔖 배합비 참조'!$A$2:$A$83,0),MATCH($C196,'🔖 배합비 참조'!$B$1:$CE$1,0))/100,0),""))),"")</f>
        <v>0</v>
      </c>
      <c r="BN196" s="42" t="n">
        <f aca="false">IFERROR(IF($C196="","",IF($D196="","",IFERROR(ROUND($D196*INDEX('🔖 배합비 참조'!$B$2:$CE$83,MATCH("정제수",'🔖 배합비 참조'!$A$2:$A$83,0),MATCH($C196,'🔖 배합비 참조'!$B$1:$CE$1,0))/100,0),""))),"")</f>
        <v>0</v>
      </c>
      <c r="BO196" s="42" t="n">
        <f aca="false">IFERROR(IF($C196="","",IF($D196="","",IFERROR(ROUND($D196*INDEX('🔖 배합비 참조'!$B$2:$CE$83,MATCH("젤라틴",'🔖 배합비 참조'!$A$2:$A$83,0),MATCH($C196,'🔖 배합비 참조'!$B$1:$CE$1,0))/100,0),""))),"")</f>
        <v>0</v>
      </c>
      <c r="BP196" s="42" t="n">
        <f aca="false">IFERROR(IF($C196="","",IF($D196="","",IFERROR(ROUND($D196*INDEX('🔖 배합비 참조'!$B$2:$CE$83,MATCH("조림류(백옥앙금)",'🔖 배합비 참조'!$A$2:$A$83,0),MATCH($C196,'🔖 배합비 참조'!$B$1:$CE$1,0))/100,0),""))),"")</f>
        <v>0</v>
      </c>
      <c r="BQ196" s="42" t="n">
        <f aca="false">IFERROR(IF($C196="","",IF($D196="","",IFERROR(ROUND($D196*INDEX('🔖 배합비 참조'!$B$2:$CE$83,MATCH("조림류(통팥앙금)",'🔖 배합비 참조'!$A$2:$A$83,0),MATCH($C196,'🔖 배합비 참조'!$B$1:$CE$1,0))/100,0),""))),"")</f>
        <v>0</v>
      </c>
      <c r="BR196" s="42" t="n">
        <f aca="false">IFERROR(IF($C196="","",IF($D196="","",IFERROR(ROUND($D196*INDEX('🔖 배합비 참조'!$B$2:$CE$83,MATCH("준초콜릿(외국산)",'🔖 배합비 참조'!$A$2:$A$83,0),MATCH($C196,'🔖 배합비 참조'!$B$1:$CE$1,0))/100,0),""))),"")</f>
        <v>0</v>
      </c>
      <c r="BS196" s="42" t="n">
        <f aca="false">IFERROR(IF($C196="","",IF($D196="","",IFERROR(ROUND($D196*INDEX('🔖 배합비 참조'!$B$2:$CE$83,MATCH("중력분",'🔖 배합비 참조'!$A$2:$A$83,0),MATCH($C196,'🔖 배합비 참조'!$B$1:$CE$1,0))/100,0),""))),"")</f>
        <v>0</v>
      </c>
      <c r="BT196" s="42" t="n">
        <f aca="false">IFERROR(IF($C196="","",IF($D196="","",IFERROR(ROUND($D196*INDEX('🔖 배합비 참조'!$B$2:$CE$83,MATCH("참깨(인도산,나이지리아산,탄자니아산,미얀마산)",'🔖 배합비 참조'!$A$2:$A$83,0),MATCH($C196,'🔖 배합비 참조'!$B$1:$CE$1,0))/100,0),""))),"")</f>
        <v>0</v>
      </c>
      <c r="BU196" s="42" t="n">
        <f aca="false">IFERROR(IF($C196="","",IF($D196="","",IFERROR(ROUND($D196*INDEX('🔖 배합비 참조'!$B$2:$CE$83,MATCH("찹쌀(국내산)",'🔖 배합비 참조'!$A$2:$A$83,0),MATCH($C196,'🔖 배합비 참조'!$B$1:$CE$1,0))/100,0),""))),"")</f>
        <v>0</v>
      </c>
      <c r="BV196" s="42" t="n">
        <f aca="false">IFERROR(IF($C196="","",IF($D196="","",IFERROR(ROUND($D196*INDEX('🔖 배합비 참조'!$B$2:$CE$83,MATCH("천일염",'🔖 배합비 참조'!$A$2:$A$83,0),MATCH($C196,'🔖 배합비 참조'!$B$1:$CE$1,0))/100,0),""))),"")</f>
        <v>3</v>
      </c>
      <c r="BW196" s="42" t="n">
        <f aca="false">IFERROR(IF($C196="","",IF($D196="","",IFERROR(ROUND($D196*INDEX('🔖 배합비 참조'!$B$2:$CE$83,MATCH("치즈 [크림치즈]",'🔖 배합비 참조'!$A$2:$A$83,0),MATCH($C196,'🔖 배합비 참조'!$B$1:$CE$1,0))/100,0),""))),"")</f>
        <v>0</v>
      </c>
      <c r="BX196" s="42" t="n">
        <f aca="false">IFERROR(IF($C196="","",IF($D196="","",IFERROR(ROUND($D196*INDEX('🔖 배합비 참조'!$B$2:$CE$83,MATCH("코코아가공품류(코코아분말)",'🔖 배합비 참조'!$A$2:$A$83,0),MATCH($C196,'🔖 배합비 참조'!$B$1:$CE$1,0))/100,0),""))),"")</f>
        <v>0</v>
      </c>
      <c r="BY196" s="42" t="n">
        <f aca="false">IFERROR(IF($C196="","",IF($D196="","",IFERROR(ROUND($D196*INDEX('🔖 배합비 참조'!$B$2:$CE$83,MATCH("콩기름(대두유)",'🔖 배합비 참조'!$A$2:$A$83,0),MATCH($C196,'🔖 배합비 참조'!$B$1:$CE$1,0))/100,0),""))),"")</f>
        <v>0</v>
      </c>
      <c r="BZ196" s="42" t="n">
        <f aca="false">IFERROR(IF($C196="","",IF($D196="","",IFERROR(ROUND($D196*INDEX('🔖 배합비 참조'!$B$2:$CE$83,MATCH("해바라기씨앗",'🔖 배합비 참조'!$A$2:$A$83,0),MATCH($C196,'🔖 배합비 참조'!$B$1:$CE$1,0))/100,0),""))),"")</f>
        <v>0</v>
      </c>
      <c r="CA196" s="42" t="n">
        <f aca="false">IFERROR(IF($C196="","",IF($D196="","",IFERROR(ROUND($D196*INDEX('🔖 배합비 참조'!$B$2:$CE$83,MATCH("현미(국내산)",'🔖 배합비 참조'!$A$2:$A$83,0),MATCH($C196,'🔖 배합비 참조'!$B$1:$CE$1,0))/100,0),""))),"")</f>
        <v>0</v>
      </c>
      <c r="CB196" s="42" t="n">
        <f aca="false">IFERROR(IF($C196="","",IF($D196="","",IFERROR(ROUND($D196*INDEX('🔖 배합비 참조'!$B$2:$CE$83,MATCH("현미멥쌀(국내산)",'🔖 배합비 참조'!$A$2:$A$83,0),MATCH($C196,'🔖 배합비 참조'!$B$1:$CE$1,0))/100,0),""))),"")</f>
        <v>0</v>
      </c>
      <c r="CC196" s="42" t="n">
        <f aca="false">IFERROR(IF($C196="","",IF($D196="","",IFERROR(ROUND($D196*INDEX('🔖 배합비 참조'!$B$2:$CE$83,MATCH("호두분태(미국산)",'🔖 배합비 참조'!$A$2:$A$83,0),MATCH($C196,'🔖 배합비 참조'!$B$1:$CE$1,0))/100,0),""))),"")</f>
        <v>0</v>
      </c>
      <c r="CD196" s="42" t="n">
        <f aca="false">IFERROR(IF($C196="","",IF($D196="","",IFERROR(ROUND($D196*INDEX('🔖 배합비 참조'!$B$2:$CE$83,MATCH("호박씨앗(외국산)",'🔖 배합비 참조'!$A$2:$A$83,0),MATCH($C196,'🔖 배합비 참조'!$B$1:$CE$1,0))/100,0),""))),"")</f>
        <v>0</v>
      </c>
      <c r="CE196" s="42" t="n">
        <f aca="false">IFERROR(IF($C196="","",IF($D196="","",IFERROR(ROUND($D196*INDEX('🔖 배합비 참조'!$B$2:$CE$83,MATCH("혼합제제(떡용에스텔)",'🔖 배합비 참조'!$A$2:$A$83,0),MATCH($C196,'🔖 배합비 참조'!$B$1:$CE$1,0))/100,0),""))),"")</f>
        <v>0</v>
      </c>
      <c r="CF196" s="42" t="n">
        <f aca="false">IFERROR(IF($C196="","",IF($D196="","",IFERROR(ROUND($D196*INDEX('🔖 배합비 참조'!$B$2:$CE$83,MATCH("혼합제제(스테비아)",'🔖 배합비 참조'!$A$2:$A$83,0),MATCH($C196,'🔖 배합비 참조'!$B$1:$CE$1,0))/100,0),""))),"")</f>
        <v>0</v>
      </c>
      <c r="CG196" s="42" t="n">
        <f aca="false">IFERROR(IF($C196="","",IF($D196="","",IFERROR(ROUND($D196*INDEX('🔖 배합비 참조'!$B$2:$CE$83,MATCH("화이트초콜릿",'🔖 배합비 참조'!$A$2:$A$83,0),MATCH($C196,'🔖 배합비 참조'!$B$1:$CE$1,0))/100,0),""))),"")</f>
        <v>0</v>
      </c>
      <c r="CH196" s="42" t="n">
        <f aca="false">IFERROR(IF($C196="","",IF($D196="","",IFERROR(ROUND($D196*INDEX('🔖 배합비 참조'!$B$2:$CE$83,MATCH("흑미찹쌀(국내산)",'🔖 배합비 참조'!$A$2:$A$83,0),MATCH($C196,'🔖 배합비 참조'!$B$1:$CE$1,0))/100,0),""))),"")</f>
        <v>0</v>
      </c>
      <c r="CI196" s="42" t="n">
        <f aca="false">IFERROR(IF($C196="","",IF($D196="","",IFERROR(ROUND($D196*INDEX('🔖 배합비 참조'!$B$2:$CE$83,MATCH("찰옥수수전분(미국산)",'🔖 배합비 참조'!$A$2:$A$83,0),MATCH($C196,'🔖 배합비 참조'!$B$1:$CE$1,0))/100,0),""))),"")</f>
        <v>0</v>
      </c>
      <c r="CJ196" s="40"/>
      <c r="CL196" s="1" t="s">
        <v>247</v>
      </c>
    </row>
    <row r="197" customFormat="false" ht="18" hidden="false" customHeight="true" outlineLevel="0" collapsed="false">
      <c r="A197" s="35" t="n">
        <v>193</v>
      </c>
      <c r="B197" s="36" t="n">
        <v>46055</v>
      </c>
      <c r="C197" s="37" t="s">
        <v>191</v>
      </c>
      <c r="D197" s="38" t="n">
        <v>1100</v>
      </c>
      <c r="E197" s="13"/>
      <c r="F197" s="13"/>
      <c r="G197" s="39" t="n">
        <f aca="false">IFERROR(IF($C197="","",IF($D197="","",IFERROR(ROUND($D197*INDEX('🔖 배합비 참조'!$B$2:$CE$83,MATCH("간장",'🔖 배합비 참조'!$A$2:$A$83,0),MATCH($C197,'🔖 배합비 참조'!$B$1:$CE$1,0))/100,0),""))),"")</f>
        <v>0</v>
      </c>
      <c r="H197" s="39" t="n">
        <f aca="false">IFERROR(IF($C197="","",IF($D197="","",IFERROR(ROUND($D197*INDEX('🔖 배합비 참조'!$B$2:$CE$83,MATCH("강낭콩((울타리콩))",'🔖 배합비 참조'!$A$2:$A$83,0),MATCH($C197,'🔖 배합비 참조'!$B$1:$CE$1,0))/100,0),""))),"")</f>
        <v>0</v>
      </c>
      <c r="I197" s="39" t="n">
        <f aca="false">IFERROR(IF($C197="","",IF($D197="","",IFERROR(ROUND($D197*INDEX('🔖 배합비 참조'!$B$2:$CE$83,MATCH("건조딸기다이스(외국산)",'🔖 배합비 참조'!$A$2:$A$83,0),MATCH($C197,'🔖 배합비 참조'!$B$1:$CE$1,0))/100,0),""))),"")</f>
        <v>0</v>
      </c>
      <c r="J197" s="39" t="n">
        <f aca="false">IFERROR(IF($C197="","",IF($D197="","",IFERROR(ROUND($D197*INDEX('🔖 배합비 참조'!$B$2:$CE$83,MATCH("건포도",'🔖 배합비 참조'!$A$2:$A$83,0),MATCH($C197,'🔖 배합비 참조'!$B$1:$CE$1,0))/100,0),""))),"")</f>
        <v>0</v>
      </c>
      <c r="K197" s="39" t="n">
        <f aca="false">IFERROR(IF($C197="","",IF($D197="","",IFERROR(ROUND($D197*INDEX('🔖 배합비 참조'!$B$2:$CE$83,MATCH("건호박채(중국산)",'🔖 배합비 참조'!$A$2:$A$83,0),MATCH($C197,'🔖 배합비 참조'!$B$1:$CE$1,0))/100,0),""))),"")</f>
        <v>0</v>
      </c>
      <c r="L197" s="39" t="n">
        <f aca="false">IFERROR(IF($C197="","",IF($D197="","",IFERROR(ROUND($D197*INDEX('🔖 배합비 참조'!$B$2:$CE$83,MATCH("검정깨(흑임자)",'🔖 배합비 참조'!$A$2:$A$83,0),MATCH($C197,'🔖 배합비 참조'!$B$1:$CE$1,0))/100,0),""))),"")</f>
        <v>0</v>
      </c>
      <c r="M197" s="39" t="n">
        <f aca="false">IFERROR(IF($C197="","",IF($D197="","",IFERROR(ROUND($D197*INDEX('🔖 배합비 참조'!$B$2:$CE$83,MATCH("검정콩",'🔖 배합비 참조'!$A$2:$A$83,0),MATCH($C197,'🔖 배합비 참조'!$B$1:$CE$1,0))/100,0),""))),"")</f>
        <v>0</v>
      </c>
      <c r="N197" s="39" t="n">
        <f aca="false">IFERROR(IF($C197="","",IF($D197="","",IFERROR(ROUND($D197*INDEX('🔖 배합비 참조'!$B$2:$CE$83,MATCH("계피가루",'🔖 배합비 참조'!$A$2:$A$83,0),MATCH($C197,'🔖 배합비 참조'!$B$1:$CE$1,0))/100,0),""))),"")</f>
        <v>0</v>
      </c>
      <c r="O197" s="39" t="n">
        <f aca="false">IFERROR(IF($C197="","",IF($D197="","",IFERROR(ROUND($D197*INDEX('🔖 배합비 참조'!$B$2:$CE$83,MATCH("고구마가루",'🔖 배합비 참조'!$A$2:$A$83,0),MATCH($C197,'🔖 배합비 참조'!$B$1:$CE$1,0))/100,0),""))),"")</f>
        <v>0</v>
      </c>
      <c r="P197" s="39" t="n">
        <f aca="false">IFERROR(IF($C197="","",IF($D197="","",IFERROR(ROUND($D197*INDEX('🔖 배합비 참조'!$B$2:$CE$83,MATCH("고구마무스",'🔖 배합비 참조'!$A$2:$A$83,0),MATCH($C197,'🔖 배합비 참조'!$B$1:$CE$1,0))/100,0),""))),"")</f>
        <v>0</v>
      </c>
      <c r="Q197" s="39" t="n">
        <f aca="false">IFERROR(IF($C197="","",IF($D197="","",IFERROR(ROUND($D197*INDEX('🔖 배합비 참조'!$B$2:$CE$83,MATCH("고려엉겅퀴((곤드레)국내산)",'🔖 배합비 참조'!$A$2:$A$83,0),MATCH($C197,'🔖 배합비 참조'!$B$1:$CE$1,0))/100,0),""))),"")</f>
        <v>0</v>
      </c>
      <c r="R197" s="39" t="n">
        <f aca="false">IFERROR(IF($C197="","",IF($D197="","",IFERROR(ROUND($D197*INDEX('🔖 배합비 참조'!$B$2:$CE$83,MATCH("기타가공품(복분자가루)",'🔖 배합비 참조'!$A$2:$A$83,0),MATCH($C197,'🔖 배합비 참조'!$B$1:$CE$1,0))/100,0),""))),"")</f>
        <v>0</v>
      </c>
      <c r="S197" s="39" t="n">
        <f aca="false">IFERROR(IF($C197="","",IF($D197="","",IFERROR(ROUND($D197*INDEX('🔖 배합비 참조'!$B$2:$CE$83,MATCH("기타가공품(슈퍼소프트엠)",'🔖 배합비 참조'!$A$2:$A$83,0),MATCH($C197,'🔖 배합비 참조'!$B$1:$CE$1,0))/100,0),""))),"")</f>
        <v>0</v>
      </c>
      <c r="T197" s="39" t="n">
        <f aca="false">IFERROR(IF($C197="","",IF($D197="","",IFERROR(ROUND($D197*INDEX('🔖 배합비 참조'!$B$2:$CE$83,MATCH("기타가공품(파인소프트 E-티)",'🔖 배합비 참조'!$A$2:$A$83,0),MATCH($C197,'🔖 배합비 참조'!$B$1:$CE$1,0))/100,0),""))),"")</f>
        <v>0</v>
      </c>
      <c r="U197" s="39" t="n">
        <f aca="false">IFERROR(IF($C197="","",IF($D197="","",IFERROR(ROUND($D197*INDEX('🔖 배합비 참조'!$B$2:$CE$83,MATCH("기타가공품(프리미엄카스테라가루)",'🔖 배합비 참조'!$A$2:$A$83,0),MATCH($C197,'🔖 배합비 참조'!$B$1:$CE$1,0))/100,0),""))),"")</f>
        <v>0</v>
      </c>
      <c r="V197" s="39" t="n">
        <f aca="false">IFERROR(IF($C197="","",IF($D197="","",IFERROR(ROUND($D197*INDEX('🔖 배합비 참조'!$B$2:$CE$83,MATCH("기타가공품(흑임자가루)",'🔖 배합비 참조'!$A$2:$A$83,0),MATCH($C197,'🔖 배합비 참조'!$B$1:$CE$1,0))/100,0),""))),"")</f>
        <v>0</v>
      </c>
      <c r="W197" s="39" t="n">
        <f aca="false">IFERROR(IF($C197="","",IF($D197="","",IFERROR(ROUND($D197*INDEX('🔖 배합비 참조'!$B$2:$CE$83,MATCH("기타설탕(흑설탕)",'🔖 배합비 참조'!$A$2:$A$83,0),MATCH($C197,'🔖 배합비 참조'!$B$1:$CE$1,0))/100,0),""))),"")</f>
        <v>0</v>
      </c>
      <c r="X197" s="39" t="n">
        <f aca="false">IFERROR(IF($C197="","",IF($D197="","",IFERROR(ROUND($D197*INDEX('🔖 배합비 참조'!$B$2:$CE$83,MATCH("냉동쑥(국내산)",'🔖 배합비 참조'!$A$2:$A$83,0),MATCH($C197,'🔖 배합비 참조'!$B$1:$CE$1,0))/100,0),""))),"")</f>
        <v>0</v>
      </c>
      <c r="Y197" s="39" t="n">
        <f aca="false">IFERROR(IF($C197="","",IF($D197="","",IFERROR(ROUND($D197*INDEX('🔖 배합비 참조'!$B$2:$CE$83,MATCH("냉동증숙고구마(중국산)",'🔖 배합비 참조'!$A$2:$A$83,0),MATCH($C197,'🔖 배합비 참조'!$B$1:$CE$1,0))/100,0),""))),"")</f>
        <v>0</v>
      </c>
      <c r="Z197" s="39" t="n">
        <f aca="false">IFERROR(IF($C197="","",IF($D197="","",IFERROR(ROUND($D197*INDEX('🔖 배합비 참조'!$B$2:$CE$83,MATCH("녹차가루",'🔖 배합비 참조'!$A$2:$A$83,0),MATCH($C197,'🔖 배합비 참조'!$B$1:$CE$1,0))/100,0),""))),"")</f>
        <v>0</v>
      </c>
      <c r="AA197" s="39" t="n">
        <f aca="false">IFERROR(IF($C197="","",IF($D197="","",IFERROR(ROUND($D197*INDEX('🔖 배합비 참조'!$B$2:$CE$83,MATCH("다크초콜릿 컴파운드칩",'🔖 배합비 참조'!$A$2:$A$83,0),MATCH($C197,'🔖 배합비 참조'!$B$1:$CE$1,0))/100,0),""))),"")</f>
        <v>0</v>
      </c>
      <c r="AB197" s="39" t="n">
        <f aca="false">IFERROR(IF($C197="","",IF($D197="","",IFERROR(ROUND($D197*INDEX('🔖 배합비 참조'!$B$2:$CE$83,MATCH("단호박분말(중국산)",'🔖 배합비 참조'!$A$2:$A$83,0),MATCH($C197,'🔖 배합비 참조'!$B$1:$CE$1,0))/100,0),""))),"")</f>
        <v>0</v>
      </c>
      <c r="AC197" s="39" t="n">
        <f aca="false">IFERROR(IF($C197="","",IF($D197="","",IFERROR(ROUND($D197*INDEX('🔖 배합비 참조'!$B$2:$CE$83,MATCH("당류가공품(단호박농축액)",'🔖 배합비 참조'!$A$2:$A$83,0),MATCH($C197,'🔖 배합비 참조'!$B$1:$CE$1,0))/100,0),""))),"")</f>
        <v>0</v>
      </c>
      <c r="AD197" s="39" t="n">
        <f aca="false">IFERROR(IF($C197="","",IF($D197="","",IFERROR(ROUND($D197*INDEX('🔖 배합비 참조'!$B$2:$CE$83,MATCH("당류가공품(알룰로스,에리스리톨,스테비올배당체혼합)",'🔖 배합비 참조'!$A$2:$A$83,0),MATCH($C197,'🔖 배합비 참조'!$B$1:$CE$1,0))/100,0),""))),"")</f>
        <v>0</v>
      </c>
      <c r="AE197" s="39" t="n">
        <f aca="false">IFERROR(IF($C197="","",IF($D197="","",IFERROR(ROUND($D197*INDEX('🔖 배합비 참조'!$B$2:$CE$83,MATCH("당류가공품(알룰로스제로파우더)",'🔖 배합비 참조'!$A$2:$A$83,0),MATCH($C197,'🔖 배합비 참조'!$B$1:$CE$1,0))/100,0),""))),"")</f>
        <v>0</v>
      </c>
      <c r="AF197" s="39" t="n">
        <f aca="false">IFERROR(IF($C197="","",IF($D197="","",IFERROR(ROUND($D197*INDEX('🔖 배합비 참조'!$B$2:$CE$83,MATCH("당절임(완두배기)",'🔖 배합비 참조'!$A$2:$A$83,0),MATCH($C197,'🔖 배합비 참조'!$B$1:$CE$1,0))/100,0),""))),"")</f>
        <v>0</v>
      </c>
      <c r="AG197" s="39" t="n">
        <f aca="false">IFERROR(IF($C197="","",IF($D197="","",IFERROR(ROUND($D197*INDEX('🔖 배합비 참조'!$B$2:$CE$83,MATCH("대추농축액",'🔖 배합비 참조'!$A$2:$A$83,0),MATCH($C197,'🔖 배합비 참조'!$B$1:$CE$1,0))/100,0),""))),"")</f>
        <v>0</v>
      </c>
      <c r="AH197" s="39" t="n">
        <f aca="false">IFERROR(IF($C197="","",IF($D197="","",IFERROR(ROUND($D197*INDEX('🔖 배합비 참조'!$B$2:$CE$83,MATCH("대추채(국내산)",'🔖 배합비 참조'!$A$2:$A$83,0),MATCH($C197,'🔖 배합비 참조'!$B$1:$CE$1,0))/100,0),""))),"")</f>
        <v>0</v>
      </c>
      <c r="AI197" s="39" t="n">
        <f aca="false">IFERROR(IF($C197="","",IF($D197="","",IFERROR(ROUND($D197*INDEX('🔖 배합비 참조'!$B$2:$CE$83,MATCH("동부(미얀마산)",'🔖 배합비 참조'!$A$2:$A$83,0),MATCH($C197,'🔖 배합비 참조'!$B$1:$CE$1,0))/100,0),""))),"")</f>
        <v>0</v>
      </c>
      <c r="AJ197" s="39" t="n">
        <f aca="false">IFERROR(IF($C197="","",IF($D197="","",IFERROR(ROUND($D197*INDEX('🔖 배합비 참조'!$B$2:$CE$83,MATCH("두류가공품(백옥앙금)",'🔖 배합비 참조'!$A$2:$A$83,0),MATCH($C197,'🔖 배합비 참조'!$B$1:$CE$1,0))/100,0),""))),"")</f>
        <v>0</v>
      </c>
      <c r="AK197" s="39" t="n">
        <f aca="false">IFERROR(IF($C197="","",IF($D197="","",IFERROR(ROUND($D197*INDEX('🔖 배합비 참조'!$B$2:$CE$83,MATCH("두류가공품(콩고물)",'🔖 배합비 참조'!$A$2:$A$83,0),MATCH($C197,'🔖 배합비 참조'!$B$1:$CE$1,0))/100,0),""))),"")</f>
        <v>0</v>
      </c>
      <c r="AL197" s="39" t="n">
        <f aca="false">IFERROR(IF($C197="","",IF($D197="","",IFERROR(ROUND($D197*INDEX('🔖 배합비 참조'!$B$2:$CE$83,MATCH("두류가공품(통팥고물)",'🔖 배합비 참조'!$A$2:$A$83,0),MATCH($C197,'🔖 배합비 참조'!$B$1:$CE$1,0))/100,0),""))),"")</f>
        <v>0</v>
      </c>
      <c r="AM197" s="39" t="n">
        <f aca="false">IFERROR(IF($C197="","",IF($D197="","",IFERROR(ROUND($D197*INDEX('🔖 배합비 참조'!$B$2:$CE$83,MATCH("딸기레진",'🔖 배합비 참조'!$A$2:$A$83,0),MATCH($C197,'🔖 배합비 참조'!$B$1:$CE$1,0))/100,0),""))),"")</f>
        <v>0</v>
      </c>
      <c r="AN197" s="39" t="n">
        <f aca="false">IFERROR(IF($C197="","",IF($D197="","",IFERROR(ROUND($D197*INDEX('🔖 배합비 참조'!$B$2:$CE$83,MATCH("딸기분말(스트로우베리에이드(분말))",'🔖 배합비 참조'!$A$2:$A$83,0),MATCH($C197,'🔖 배합비 참조'!$B$1:$CE$1,0))/100,0),""))),"")</f>
        <v>0</v>
      </c>
      <c r="AO197" s="39" t="n">
        <f aca="false">IFERROR(IF($C197="","",IF($D197="","",IFERROR(ROUND($D197*INDEX('🔖 배합비 참조'!$B$2:$CE$83,MATCH("마스카포네치즈",'🔖 배합비 참조'!$A$2:$A$83,0),MATCH($C197,'🔖 배합비 참조'!$B$1:$CE$1,0))/100,0),""))),"")</f>
        <v>0</v>
      </c>
      <c r="AP197" s="39" t="n">
        <f aca="false">IFERROR(IF($C197="","",IF($D197="","",IFERROR(ROUND($D197*INDEX('🔖 배합비 참조'!$B$2:$CE$83,MATCH("마카다미아분태(호주산)",'🔖 배합비 참조'!$A$2:$A$83,0),MATCH($C197,'🔖 배합비 참조'!$B$1:$CE$1,0))/100,0),""))),"")</f>
        <v>0</v>
      </c>
      <c r="AQ197" s="39" t="n">
        <f aca="false">IFERROR(IF($C197="","",IF($D197="","",IFERROR(ROUND($D197*INDEX('🔖 배합비 참조'!$B$2:$CE$83,MATCH("멥쌀(국내산)",'🔖 배합비 참조'!$A$2:$A$83,0),MATCH($C197,'🔖 배합비 참조'!$B$1:$CE$1,0))/100,0),""))),"")</f>
        <v>22</v>
      </c>
      <c r="AR197" s="39" t="n">
        <f aca="false">IFERROR(IF($C197="","",IF($D197="","",IFERROR(ROUND($D197*INDEX('🔖 배합비 참조'!$B$2:$CE$83,MATCH("모시잎(국내산)",'🔖 배합비 참조'!$A$2:$A$83,0),MATCH($C197,'🔖 배합비 참조'!$B$1:$CE$1,0))/100,0),""))),"")</f>
        <v>0</v>
      </c>
      <c r="AS197" s="39" t="n">
        <f aca="false">IFERROR(IF($C197="","",IF($D197="","",IFERROR(ROUND($D197*INDEX('🔖 배합비 참조'!$B$2:$CE$83,MATCH("물엿(저당물엿)",'🔖 배합비 참조'!$A$2:$A$83,0),MATCH($C197,'🔖 배합비 참조'!$B$1:$CE$1,0))/100,0),""))),"")</f>
        <v>0</v>
      </c>
      <c r="AT197" s="39" t="n">
        <f aca="false">IFERROR(IF($C197="","",IF($D197="","",IFERROR(ROUND($D197*INDEX('🔖 배합비 참조'!$B$2:$CE$83,MATCH("밤다이스",'🔖 배합비 참조'!$A$2:$A$83,0),MATCH($C197,'🔖 배합비 참조'!$B$1:$CE$1,0))/100,0),""))),"")</f>
        <v>0</v>
      </c>
      <c r="AU197" s="39" t="n">
        <f aca="false">IFERROR(IF($C197="","",IF($D197="","",IFERROR(ROUND($D197*INDEX('🔖 배합비 참조'!$B$2:$CE$83,MATCH("변성전분(타피오카전분)",'🔖 배합비 참조'!$A$2:$A$83,0),MATCH($C197,'🔖 배합비 참조'!$B$1:$CE$1,0))/100,0),""))),"")</f>
        <v>0</v>
      </c>
      <c r="AV197" s="39" t="n">
        <f aca="false">IFERROR(IF($C197="","",IF($D197="","",IFERROR(ROUND($D197*INDEX('🔖 배합비 참조'!$B$2:$CE$83,MATCH("복음땅콩분태",'🔖 배합비 참조'!$A$2:$A$83,0),MATCH($C197,'🔖 배합비 참조'!$B$1:$CE$1,0))/100,0),""))),"")</f>
        <v>0</v>
      </c>
      <c r="AW197" s="39" t="n">
        <f aca="false">IFERROR(IF($C197="","",IF($D197="","",IFERROR(ROUND($D197*INDEX('🔖 배합비 참조'!$B$2:$CE$83,MATCH("사양벌꿀(국내산)",'🔖 배합비 참조'!$A$2:$A$83,0),MATCH($C197,'🔖 배합비 참조'!$B$1:$CE$1,0))/100,0),""))),"")</f>
        <v>0</v>
      </c>
      <c r="AX197" s="39" t="n">
        <f aca="false">IFERROR(IF($C197="","",IF($D197="","",IFERROR(ROUND($D197*INDEX('🔖 배합비 참조'!$B$2:$CE$83,MATCH("생크림",'🔖 배합비 참조'!$A$2:$A$83,0),MATCH($C197,'🔖 배합비 참조'!$B$1:$CE$1,0))/100,0),""))),"")</f>
        <v>0</v>
      </c>
      <c r="AY197" s="39" t="n">
        <f aca="false">IFERROR(IF($C197="","",IF($D197="","",IFERROR(ROUND($D197*INDEX('🔖 배합비 참조'!$B$2:$CE$83,MATCH("서양호박(국내산,뉴질랜드산)",'🔖 배합비 참조'!$A$2:$A$83,0),MATCH($C197,'🔖 배합비 참조'!$B$1:$CE$1,0))/100,0),""))),"")</f>
        <v>0</v>
      </c>
      <c r="AZ197" s="39" t="n">
        <f aca="false">IFERROR(IF($C197="","",IF($D197="","",IFERROR(ROUND($D197*INDEX('🔖 배합비 참조'!$B$2:$CE$83,MATCH("설탕",'🔖 배합비 참조'!$A$2:$A$83,0),MATCH($C197,'🔖 배합비 참조'!$B$1:$CE$1,0))/100,0),""))),"")</f>
        <v>209</v>
      </c>
      <c r="BA197" s="39" t="n">
        <f aca="false">IFERROR(IF($C197="","",IF($D197="","",IFERROR(ROUND($D197*INDEX('🔖 배합비 참조'!$B$2:$CE$83,MATCH("스트로우베리 에이드 후레쉬",'🔖 배합비 참조'!$A$2:$A$83,0),MATCH($C197,'🔖 배합비 참조'!$B$1:$CE$1,0))/100,0),""))),"")</f>
        <v>0</v>
      </c>
      <c r="BB197" s="39" t="n">
        <f aca="false">IFERROR(IF($C197="","",IF($D197="","",IFERROR(ROUND($D197*INDEX('🔖 배합비 참조'!$B$2:$CE$83,MATCH("식물성기름혼합제제(분홍)",'🔖 배합비 참조'!$A$2:$A$83,0),MATCH($C197,'🔖 배합비 참조'!$B$1:$CE$1,0))/100,0),""))),"")</f>
        <v>0</v>
      </c>
      <c r="BC197" s="39" t="n">
        <f aca="false">IFERROR(IF($C197="","",IF($D197="","",IFERROR(ROUND($D197*INDEX('🔖 배합비 참조'!$B$2:$CE$83,MATCH("식물성기름혼합제제(초록)",'🔖 배합비 참조'!$A$2:$A$83,0),MATCH($C197,'🔖 배합비 참조'!$B$1:$CE$1,0))/100,0),""))),"")</f>
        <v>0</v>
      </c>
      <c r="BD197" s="39" t="n">
        <f aca="false">IFERROR(IF($C197="","",IF($D197="","",IFERROR(ROUND($D197*INDEX('🔖 배합비 참조'!$B$2:$CE$83,MATCH("식물성기름혼합제제(황색)",'🔖 배합비 참조'!$A$2:$A$83,0),MATCH($C197,'🔖 배합비 참조'!$B$1:$CE$1,0))/100,0),""))),"")</f>
        <v>0</v>
      </c>
      <c r="BE197" s="39" t="n">
        <f aca="false">IFERROR(IF($C197="","",IF($D197="","",IFERROR(ROUND($D197*INDEX('🔖 배합비 참조'!$B$2:$CE$83,MATCH("쑥가루(국내산)",'🔖 배합비 참조'!$A$2:$A$83,0),MATCH($C197,'🔖 배합비 참조'!$B$1:$CE$1,0))/100,0),""))),"")</f>
        <v>0</v>
      </c>
      <c r="BF197" s="39" t="n">
        <f aca="false">IFERROR(IF($C197="","",IF($D197="","",IFERROR(ROUND($D197*INDEX('🔖 배합비 참조'!$B$2:$CE$83,MATCH("아몬드슬라이스",'🔖 배합비 참조'!$A$2:$A$83,0),MATCH($C197,'🔖 배합비 참조'!$B$1:$CE$1,0))/100,0),""))),"")</f>
        <v>0</v>
      </c>
      <c r="BG197" s="39" t="n">
        <f aca="false">IFERROR(IF($C197="","",IF($D197="","",IFERROR(ROUND($D197*INDEX('🔖 배합비 참조'!$B$2:$CE$83,MATCH("알룰로오스(국내산)",'🔖 배합비 참조'!$A$2:$A$83,0),MATCH($C197,'🔖 배합비 참조'!$B$1:$CE$1,0))/100,0),""))),"")</f>
        <v>0</v>
      </c>
      <c r="BH197" s="39" t="n">
        <f aca="false">IFERROR(IF($C197="","",IF($D197="","",IFERROR(ROUND($D197*INDEX('🔖 배합비 참조'!$B$2:$CE$83,MATCH("연유",'🔖 배합비 참조'!$A$2:$A$83,0),MATCH($C197,'🔖 배합비 참조'!$B$1:$CE$1,0))/100,0),""))),"")</f>
        <v>0</v>
      </c>
      <c r="BI197" s="39" t="n">
        <f aca="false">IFERROR(IF($C197="","",IF($D197="","",IFERROR(ROUND($D197*INDEX('🔖 배합비 참조'!$B$2:$CE$83,MATCH("옥수수전분",'🔖 배합비 참조'!$A$2:$A$83,0),MATCH($C197,'🔖 배합비 참조'!$B$1:$CE$1,0))/100,0),""))),"")</f>
        <v>0</v>
      </c>
      <c r="BJ197" s="39" t="n">
        <f aca="false">IFERROR(IF($C197="","",IF($D197="","",IFERROR(ROUND($D197*INDEX('🔖 배합비 참조'!$B$2:$CE$83,MATCH("완두배기",'🔖 배합비 참조'!$A$2:$A$83,0),MATCH($C197,'🔖 배합비 참조'!$B$1:$CE$1,0))/100,0),""))),"")</f>
        <v>0</v>
      </c>
      <c r="BK197" s="39" t="n">
        <f aca="false">IFERROR(IF($C197="","",IF($D197="","",IFERROR(ROUND($D197*INDEX('🔖 배합비 참조'!$B$2:$CE$83,MATCH("우유(국내산)",'🔖 배합비 참조'!$A$2:$A$83,0),MATCH($C197,'🔖 배합비 참조'!$B$1:$CE$1,0))/100,0),""))),"")</f>
        <v>0</v>
      </c>
      <c r="BL197" s="39" t="n">
        <f aca="false">IFERROR(IF($C197="","",IF($D197="","",IFERROR(ROUND($D197*INDEX('🔖 배합비 참조'!$B$2:$CE$83,MATCH("자색고구마가루(중국산)",'🔖 배합비 참조'!$A$2:$A$83,0),MATCH($C197,'🔖 배합비 참조'!$B$1:$CE$1,0))/100,0),""))),"")</f>
        <v>0</v>
      </c>
      <c r="BM197" s="39" t="n">
        <f aca="false">IFERROR(IF($C197="","",IF($D197="","",IFERROR(ROUND($D197*INDEX('🔖 배합비 참조'!$B$2:$CE$83,MATCH("자연치즈(체다치즈)",'🔖 배합비 참조'!$A$2:$A$83,0),MATCH($C197,'🔖 배합비 참조'!$B$1:$CE$1,0))/100,0),""))),"")</f>
        <v>0</v>
      </c>
      <c r="BN197" s="39" t="n">
        <f aca="false">IFERROR(IF($C197="","",IF($D197="","",IFERROR(ROUND($D197*INDEX('🔖 배합비 참조'!$B$2:$CE$83,MATCH("정제수",'🔖 배합비 참조'!$A$2:$A$83,0),MATCH($C197,'🔖 배합비 참조'!$B$1:$CE$1,0))/100,0),""))),"")</f>
        <v>33</v>
      </c>
      <c r="BO197" s="39" t="n">
        <f aca="false">IFERROR(IF($C197="","",IF($D197="","",IFERROR(ROUND($D197*INDEX('🔖 배합비 참조'!$B$2:$CE$83,MATCH("젤라틴",'🔖 배합비 참조'!$A$2:$A$83,0),MATCH($C197,'🔖 배합비 참조'!$B$1:$CE$1,0))/100,0),""))),"")</f>
        <v>0</v>
      </c>
      <c r="BP197" s="39" t="n">
        <f aca="false">IFERROR(IF($C197="","",IF($D197="","",IFERROR(ROUND($D197*INDEX('🔖 배합비 참조'!$B$2:$CE$83,MATCH("조림류(백옥앙금)",'🔖 배합비 참조'!$A$2:$A$83,0),MATCH($C197,'🔖 배합비 참조'!$B$1:$CE$1,0))/100,0),""))),"")</f>
        <v>0</v>
      </c>
      <c r="BQ197" s="39" t="n">
        <f aca="false">IFERROR(IF($C197="","",IF($D197="","",IFERROR(ROUND($D197*INDEX('🔖 배합비 참조'!$B$2:$CE$83,MATCH("조림류(통팥앙금)",'🔖 배합비 참조'!$A$2:$A$83,0),MATCH($C197,'🔖 배합비 참조'!$B$1:$CE$1,0))/100,0),""))),"")</f>
        <v>198</v>
      </c>
      <c r="BR197" s="39" t="n">
        <f aca="false">IFERROR(IF($C197="","",IF($D197="","",IFERROR(ROUND($D197*INDEX('🔖 배합비 참조'!$B$2:$CE$83,MATCH("준초콜릿(외국산)",'🔖 배합비 참조'!$A$2:$A$83,0),MATCH($C197,'🔖 배합비 참조'!$B$1:$CE$1,0))/100,0),""))),"")</f>
        <v>0</v>
      </c>
      <c r="BS197" s="39" t="n">
        <f aca="false">IFERROR(IF($C197="","",IF($D197="","",IFERROR(ROUND($D197*INDEX('🔖 배합비 참조'!$B$2:$CE$83,MATCH("중력분",'🔖 배합비 참조'!$A$2:$A$83,0),MATCH($C197,'🔖 배합비 참조'!$B$1:$CE$1,0))/100,0),""))),"")</f>
        <v>22</v>
      </c>
      <c r="BT197" s="39" t="n">
        <f aca="false">IFERROR(IF($C197="","",IF($D197="","",IFERROR(ROUND($D197*INDEX('🔖 배합비 참조'!$B$2:$CE$83,MATCH("참깨(인도산,나이지리아산,탄자니아산,미얀마산)",'🔖 배합비 참조'!$A$2:$A$83,0),MATCH($C197,'🔖 배합비 참조'!$B$1:$CE$1,0))/100,0),""))),"")</f>
        <v>0</v>
      </c>
      <c r="BU197" s="39" t="n">
        <f aca="false">IFERROR(IF($C197="","",IF($D197="","",IFERROR(ROUND($D197*INDEX('🔖 배합비 참조'!$B$2:$CE$83,MATCH("찹쌀(국내산)",'🔖 배합비 참조'!$A$2:$A$83,0),MATCH($C197,'🔖 배합비 참조'!$B$1:$CE$1,0))/100,0),""))),"")</f>
        <v>473</v>
      </c>
      <c r="BV197" s="39" t="n">
        <f aca="false">IFERROR(IF($C197="","",IF($D197="","",IFERROR(ROUND($D197*INDEX('🔖 배합비 참조'!$B$2:$CE$83,MATCH("천일염",'🔖 배합비 참조'!$A$2:$A$83,0),MATCH($C197,'🔖 배합비 참조'!$B$1:$CE$1,0))/100,0),""))),"")</f>
        <v>22</v>
      </c>
      <c r="BW197" s="39" t="n">
        <f aca="false">IFERROR(IF($C197="","",IF($D197="","",IFERROR(ROUND($D197*INDEX('🔖 배합비 참조'!$B$2:$CE$83,MATCH("치즈 [크림치즈]",'🔖 배합비 참조'!$A$2:$A$83,0),MATCH($C197,'🔖 배합비 참조'!$B$1:$CE$1,0))/100,0),""))),"")</f>
        <v>0</v>
      </c>
      <c r="BX197" s="39" t="n">
        <f aca="false">IFERROR(IF($C197="","",IF($D197="","",IFERROR(ROUND($D197*INDEX('🔖 배합비 참조'!$B$2:$CE$83,MATCH("코코아가공품류(코코아분말)",'🔖 배합비 참조'!$A$2:$A$83,0),MATCH($C197,'🔖 배합비 참조'!$B$1:$CE$1,0))/100,0),""))),"")</f>
        <v>0</v>
      </c>
      <c r="BY197" s="39" t="n">
        <f aca="false">IFERROR(IF($C197="","",IF($D197="","",IFERROR(ROUND($D197*INDEX('🔖 배합비 참조'!$B$2:$CE$83,MATCH("콩기름(대두유)",'🔖 배합비 참조'!$A$2:$A$83,0),MATCH($C197,'🔖 배합비 참조'!$B$1:$CE$1,0))/100,0),""))),"")</f>
        <v>0</v>
      </c>
      <c r="BZ197" s="39" t="n">
        <f aca="false">IFERROR(IF($C197="","",IF($D197="","",IFERROR(ROUND($D197*INDEX('🔖 배합비 참조'!$B$2:$CE$83,MATCH("해바라기씨앗",'🔖 배합비 참조'!$A$2:$A$83,0),MATCH($C197,'🔖 배합비 참조'!$B$1:$CE$1,0))/100,0),""))),"")</f>
        <v>0</v>
      </c>
      <c r="CA197" s="39" t="n">
        <f aca="false">IFERROR(IF($C197="","",IF($D197="","",IFERROR(ROUND($D197*INDEX('🔖 배합비 참조'!$B$2:$CE$83,MATCH("현미(국내산)",'🔖 배합비 참조'!$A$2:$A$83,0),MATCH($C197,'🔖 배합비 참조'!$B$1:$CE$1,0))/100,0),""))),"")</f>
        <v>0</v>
      </c>
      <c r="CB197" s="39" t="n">
        <f aca="false">IFERROR(IF($C197="","",IF($D197="","",IFERROR(ROUND($D197*INDEX('🔖 배합비 참조'!$B$2:$CE$83,MATCH("현미멥쌀(국내산)",'🔖 배합비 참조'!$A$2:$A$83,0),MATCH($C197,'🔖 배합비 참조'!$B$1:$CE$1,0))/100,0),""))),"")</f>
        <v>0</v>
      </c>
      <c r="CC197" s="39" t="n">
        <f aca="false">IFERROR(IF($C197="","",IF($D197="","",IFERROR(ROUND($D197*INDEX('🔖 배합비 참조'!$B$2:$CE$83,MATCH("호두분태(미국산)",'🔖 배합비 참조'!$A$2:$A$83,0),MATCH($C197,'🔖 배합비 참조'!$B$1:$CE$1,0))/100,0),""))),"")</f>
        <v>0</v>
      </c>
      <c r="CD197" s="39" t="n">
        <f aca="false">IFERROR(IF($C197="","",IF($D197="","",IFERROR(ROUND($D197*INDEX('🔖 배합비 참조'!$B$2:$CE$83,MATCH("호박씨앗(외국산)",'🔖 배합비 참조'!$A$2:$A$83,0),MATCH($C197,'🔖 배합비 참조'!$B$1:$CE$1,0))/100,0),""))),"")</f>
        <v>0</v>
      </c>
      <c r="CE197" s="39" t="n">
        <f aca="false">IFERROR(IF($C197="","",IF($D197="","",IFERROR(ROUND($D197*INDEX('🔖 배합비 참조'!$B$2:$CE$83,MATCH("혼합제제(떡용에스텔)",'🔖 배합비 참조'!$A$2:$A$83,0),MATCH($C197,'🔖 배합비 참조'!$B$1:$CE$1,0))/100,0),""))),"")</f>
        <v>22</v>
      </c>
      <c r="CF197" s="39" t="n">
        <f aca="false">IFERROR(IF($C197="","",IF($D197="","",IFERROR(ROUND($D197*INDEX('🔖 배합비 참조'!$B$2:$CE$83,MATCH("혼합제제(스테비아)",'🔖 배합비 참조'!$A$2:$A$83,0),MATCH($C197,'🔖 배합비 참조'!$B$1:$CE$1,0))/100,0),""))),"")</f>
        <v>0</v>
      </c>
      <c r="CG197" s="39" t="n">
        <f aca="false">IFERROR(IF($C197="","",IF($D197="","",IFERROR(ROUND($D197*INDEX('🔖 배합비 참조'!$B$2:$CE$83,MATCH("화이트초콜릿",'🔖 배합비 참조'!$A$2:$A$83,0),MATCH($C197,'🔖 배합비 참조'!$B$1:$CE$1,0))/100,0),""))),"")</f>
        <v>0</v>
      </c>
      <c r="CH197" s="39" t="n">
        <f aca="false">IFERROR(IF($C197="","",IF($D197="","",IFERROR(ROUND($D197*INDEX('🔖 배합비 참조'!$B$2:$CE$83,MATCH("흑미찹쌀(국내산)",'🔖 배합비 참조'!$A$2:$A$83,0),MATCH($C197,'🔖 배합비 참조'!$B$1:$CE$1,0))/100,0),""))),"")</f>
        <v>0</v>
      </c>
      <c r="CI197" s="39" t="n">
        <f aca="false">IFERROR(IF($C197="","",IF($D197="","",IFERROR(ROUND($D197*INDEX('🔖 배합비 참조'!$B$2:$CE$83,MATCH("찰옥수수전분(미국산)",'🔖 배합비 참조'!$A$2:$A$83,0),MATCH($C197,'🔖 배합비 참조'!$B$1:$CE$1,0))/100,0),""))),"")</f>
        <v>99</v>
      </c>
      <c r="CJ197" s="40"/>
      <c r="CL197" s="1" t="s">
        <v>247</v>
      </c>
    </row>
    <row r="198" customFormat="false" ht="18" hidden="false" customHeight="true" outlineLevel="0" collapsed="false">
      <c r="A198" s="41" t="n">
        <v>194</v>
      </c>
      <c r="B198" s="36" t="n">
        <v>46056</v>
      </c>
      <c r="C198" s="37" t="s">
        <v>169</v>
      </c>
      <c r="D198" s="38" t="n">
        <v>300</v>
      </c>
      <c r="E198" s="17"/>
      <c r="F198" s="17"/>
      <c r="G198" s="42" t="n">
        <f aca="false">IFERROR(IF($C198="","",IF($D198="","",IFERROR(ROUND($D198*INDEX('🔖 배합비 참조'!$B$2:$CE$83,MATCH("간장",'🔖 배합비 참조'!$A$2:$A$83,0),MATCH($C198,'🔖 배합비 참조'!$B$1:$CE$1,0))/100,0),""))),"")</f>
        <v>0</v>
      </c>
      <c r="H198" s="42" t="n">
        <f aca="false">IFERROR(IF($C198="","",IF($D198="","",IFERROR(ROUND($D198*INDEX('🔖 배합비 참조'!$B$2:$CE$83,MATCH("강낭콩((울타리콩))",'🔖 배합비 참조'!$A$2:$A$83,0),MATCH($C198,'🔖 배합비 참조'!$B$1:$CE$1,0))/100,0),""))),"")</f>
        <v>0</v>
      </c>
      <c r="I198" s="42" t="n">
        <f aca="false">IFERROR(IF($C198="","",IF($D198="","",IFERROR(ROUND($D198*INDEX('🔖 배합비 참조'!$B$2:$CE$83,MATCH("건조딸기다이스(외국산)",'🔖 배합비 참조'!$A$2:$A$83,0),MATCH($C198,'🔖 배합비 참조'!$B$1:$CE$1,0))/100,0),""))),"")</f>
        <v>0</v>
      </c>
      <c r="J198" s="42" t="n">
        <f aca="false">IFERROR(IF($C198="","",IF($D198="","",IFERROR(ROUND($D198*INDEX('🔖 배합비 참조'!$B$2:$CE$83,MATCH("건포도",'🔖 배합비 참조'!$A$2:$A$83,0),MATCH($C198,'🔖 배합비 참조'!$B$1:$CE$1,0))/100,0),""))),"")</f>
        <v>0</v>
      </c>
      <c r="K198" s="42" t="n">
        <f aca="false">IFERROR(IF($C198="","",IF($D198="","",IFERROR(ROUND($D198*INDEX('🔖 배합비 참조'!$B$2:$CE$83,MATCH("건호박채(중국산)",'🔖 배합비 참조'!$A$2:$A$83,0),MATCH($C198,'🔖 배합비 참조'!$B$1:$CE$1,0))/100,0),""))),"")</f>
        <v>0</v>
      </c>
      <c r="L198" s="42" t="n">
        <f aca="false">IFERROR(IF($C198="","",IF($D198="","",IFERROR(ROUND($D198*INDEX('🔖 배합비 참조'!$B$2:$CE$83,MATCH("검정깨(흑임자)",'🔖 배합비 참조'!$A$2:$A$83,0),MATCH($C198,'🔖 배합비 참조'!$B$1:$CE$1,0))/100,0),""))),"")</f>
        <v>0</v>
      </c>
      <c r="M198" s="42" t="n">
        <f aca="false">IFERROR(IF($C198="","",IF($D198="","",IFERROR(ROUND($D198*INDEX('🔖 배합비 참조'!$B$2:$CE$83,MATCH("검정콩",'🔖 배합비 참조'!$A$2:$A$83,0),MATCH($C198,'🔖 배합비 참조'!$B$1:$CE$1,0))/100,0),""))),"")</f>
        <v>0</v>
      </c>
      <c r="N198" s="42" t="n">
        <f aca="false">IFERROR(IF($C198="","",IF($D198="","",IFERROR(ROUND($D198*INDEX('🔖 배합비 참조'!$B$2:$CE$83,MATCH("계피가루",'🔖 배합비 참조'!$A$2:$A$83,0),MATCH($C198,'🔖 배합비 참조'!$B$1:$CE$1,0))/100,0),""))),"")</f>
        <v>0</v>
      </c>
      <c r="O198" s="42" t="n">
        <f aca="false">IFERROR(IF($C198="","",IF($D198="","",IFERROR(ROUND($D198*INDEX('🔖 배합비 참조'!$B$2:$CE$83,MATCH("고구마가루",'🔖 배합비 참조'!$A$2:$A$83,0),MATCH($C198,'🔖 배합비 참조'!$B$1:$CE$1,0))/100,0),""))),"")</f>
        <v>0</v>
      </c>
      <c r="P198" s="42" t="n">
        <f aca="false">IFERROR(IF($C198="","",IF($D198="","",IFERROR(ROUND($D198*INDEX('🔖 배합비 참조'!$B$2:$CE$83,MATCH("고구마무스",'🔖 배합비 참조'!$A$2:$A$83,0),MATCH($C198,'🔖 배합비 참조'!$B$1:$CE$1,0))/100,0),""))),"")</f>
        <v>0</v>
      </c>
      <c r="Q198" s="42" t="n">
        <f aca="false">IFERROR(IF($C198="","",IF($D198="","",IFERROR(ROUND($D198*INDEX('🔖 배합비 참조'!$B$2:$CE$83,MATCH("고려엉겅퀴((곤드레)국내산)",'🔖 배합비 참조'!$A$2:$A$83,0),MATCH($C198,'🔖 배합비 참조'!$B$1:$CE$1,0))/100,0),""))),"")</f>
        <v>0</v>
      </c>
      <c r="R198" s="42" t="n">
        <f aca="false">IFERROR(IF($C198="","",IF($D198="","",IFERROR(ROUND($D198*INDEX('🔖 배합비 참조'!$B$2:$CE$83,MATCH("기타가공품(복분자가루)",'🔖 배합비 참조'!$A$2:$A$83,0),MATCH($C198,'🔖 배합비 참조'!$B$1:$CE$1,0))/100,0),""))),"")</f>
        <v>0</v>
      </c>
      <c r="S198" s="42" t="n">
        <f aca="false">IFERROR(IF($C198="","",IF($D198="","",IFERROR(ROUND($D198*INDEX('🔖 배합비 참조'!$B$2:$CE$83,MATCH("기타가공품(슈퍼소프트엠)",'🔖 배합비 참조'!$A$2:$A$83,0),MATCH($C198,'🔖 배합비 참조'!$B$1:$CE$1,0))/100,0),""))),"")</f>
        <v>0</v>
      </c>
      <c r="T198" s="42" t="n">
        <f aca="false">IFERROR(IF($C198="","",IF($D198="","",IFERROR(ROUND($D198*INDEX('🔖 배합비 참조'!$B$2:$CE$83,MATCH("기타가공품(파인소프트 E-티)",'🔖 배합비 참조'!$A$2:$A$83,0),MATCH($C198,'🔖 배합비 참조'!$B$1:$CE$1,0))/100,0),""))),"")</f>
        <v>0</v>
      </c>
      <c r="U198" s="42" t="n">
        <f aca="false">IFERROR(IF($C198="","",IF($D198="","",IFERROR(ROUND($D198*INDEX('🔖 배합비 참조'!$B$2:$CE$83,MATCH("기타가공품(프리미엄카스테라가루)",'🔖 배합비 참조'!$A$2:$A$83,0),MATCH($C198,'🔖 배합비 참조'!$B$1:$CE$1,0))/100,0),""))),"")</f>
        <v>0</v>
      </c>
      <c r="V198" s="42" t="n">
        <f aca="false">IFERROR(IF($C198="","",IF($D198="","",IFERROR(ROUND($D198*INDEX('🔖 배합비 참조'!$B$2:$CE$83,MATCH("기타가공품(흑임자가루)",'🔖 배합비 참조'!$A$2:$A$83,0),MATCH($C198,'🔖 배합비 참조'!$B$1:$CE$1,0))/100,0),""))),"")</f>
        <v>0</v>
      </c>
      <c r="W198" s="42" t="n">
        <f aca="false">IFERROR(IF($C198="","",IF($D198="","",IFERROR(ROUND($D198*INDEX('🔖 배합비 참조'!$B$2:$CE$83,MATCH("기타설탕(흑설탕)",'🔖 배합비 참조'!$A$2:$A$83,0),MATCH($C198,'🔖 배합비 참조'!$B$1:$CE$1,0))/100,0),""))),"")</f>
        <v>0</v>
      </c>
      <c r="X198" s="42" t="n">
        <f aca="false">IFERROR(IF($C198="","",IF($D198="","",IFERROR(ROUND($D198*INDEX('🔖 배합비 참조'!$B$2:$CE$83,MATCH("냉동쑥(국내산)",'🔖 배합비 참조'!$A$2:$A$83,0),MATCH($C198,'🔖 배합비 참조'!$B$1:$CE$1,0))/100,0),""))),"")</f>
        <v>0</v>
      </c>
      <c r="Y198" s="42" t="n">
        <f aca="false">IFERROR(IF($C198="","",IF($D198="","",IFERROR(ROUND($D198*INDEX('🔖 배합비 참조'!$B$2:$CE$83,MATCH("냉동증숙고구마(중국산)",'🔖 배합비 참조'!$A$2:$A$83,0),MATCH($C198,'🔖 배합비 참조'!$B$1:$CE$1,0))/100,0),""))),"")</f>
        <v>0</v>
      </c>
      <c r="Z198" s="42" t="n">
        <f aca="false">IFERROR(IF($C198="","",IF($D198="","",IFERROR(ROUND($D198*INDEX('🔖 배합비 참조'!$B$2:$CE$83,MATCH("녹차가루",'🔖 배합비 참조'!$A$2:$A$83,0),MATCH($C198,'🔖 배합비 참조'!$B$1:$CE$1,0))/100,0),""))),"")</f>
        <v>0</v>
      </c>
      <c r="AA198" s="42" t="n">
        <f aca="false">IFERROR(IF($C198="","",IF($D198="","",IFERROR(ROUND($D198*INDEX('🔖 배합비 참조'!$B$2:$CE$83,MATCH("다크초콜릿 컴파운드칩",'🔖 배합비 참조'!$A$2:$A$83,0),MATCH($C198,'🔖 배합비 참조'!$B$1:$CE$1,0))/100,0),""))),"")</f>
        <v>0</v>
      </c>
      <c r="AB198" s="42" t="n">
        <f aca="false">IFERROR(IF($C198="","",IF($D198="","",IFERROR(ROUND($D198*INDEX('🔖 배합비 참조'!$B$2:$CE$83,MATCH("단호박분말(중국산)",'🔖 배합비 참조'!$A$2:$A$83,0),MATCH($C198,'🔖 배합비 참조'!$B$1:$CE$1,0))/100,0),""))),"")</f>
        <v>0</v>
      </c>
      <c r="AC198" s="42" t="n">
        <f aca="false">IFERROR(IF($C198="","",IF($D198="","",IFERROR(ROUND($D198*INDEX('🔖 배합비 참조'!$B$2:$CE$83,MATCH("당류가공품(단호박농축액)",'🔖 배합비 참조'!$A$2:$A$83,0),MATCH($C198,'🔖 배합비 참조'!$B$1:$CE$1,0))/100,0),""))),"")</f>
        <v>0</v>
      </c>
      <c r="AD198" s="42" t="n">
        <f aca="false">IFERROR(IF($C198="","",IF($D198="","",IFERROR(ROUND($D198*INDEX('🔖 배합비 참조'!$B$2:$CE$83,MATCH("당류가공품(알룰로스,에리스리톨,스테비올배당체혼합)",'🔖 배합비 참조'!$A$2:$A$83,0),MATCH($C198,'🔖 배합비 참조'!$B$1:$CE$1,0))/100,0),""))),"")</f>
        <v>0</v>
      </c>
      <c r="AE198" s="42" t="n">
        <f aca="false">IFERROR(IF($C198="","",IF($D198="","",IFERROR(ROUND($D198*INDEX('🔖 배합비 참조'!$B$2:$CE$83,MATCH("당류가공품(알룰로스제로파우더)",'🔖 배합비 참조'!$A$2:$A$83,0),MATCH($C198,'🔖 배합비 참조'!$B$1:$CE$1,0))/100,0),""))),"")</f>
        <v>0</v>
      </c>
      <c r="AF198" s="42" t="n">
        <f aca="false">IFERROR(IF($C198="","",IF($D198="","",IFERROR(ROUND($D198*INDEX('🔖 배합비 참조'!$B$2:$CE$83,MATCH("당절임(완두배기)",'🔖 배합비 참조'!$A$2:$A$83,0),MATCH($C198,'🔖 배합비 참조'!$B$1:$CE$1,0))/100,0),""))),"")</f>
        <v>0</v>
      </c>
      <c r="AG198" s="42" t="n">
        <f aca="false">IFERROR(IF($C198="","",IF($D198="","",IFERROR(ROUND($D198*INDEX('🔖 배합비 참조'!$B$2:$CE$83,MATCH("대추농축액",'🔖 배합비 참조'!$A$2:$A$83,0),MATCH($C198,'🔖 배합비 참조'!$B$1:$CE$1,0))/100,0),""))),"")</f>
        <v>0</v>
      </c>
      <c r="AH198" s="42" t="n">
        <f aca="false">IFERROR(IF($C198="","",IF($D198="","",IFERROR(ROUND($D198*INDEX('🔖 배합비 참조'!$B$2:$CE$83,MATCH("대추채(국내산)",'🔖 배합비 참조'!$A$2:$A$83,0),MATCH($C198,'🔖 배합비 참조'!$B$1:$CE$1,0))/100,0),""))),"")</f>
        <v>0</v>
      </c>
      <c r="AI198" s="42" t="n">
        <f aca="false">IFERROR(IF($C198="","",IF($D198="","",IFERROR(ROUND($D198*INDEX('🔖 배합비 참조'!$B$2:$CE$83,MATCH("동부(미얀마산)",'🔖 배합비 참조'!$A$2:$A$83,0),MATCH($C198,'🔖 배합비 참조'!$B$1:$CE$1,0))/100,0),""))),"")</f>
        <v>0</v>
      </c>
      <c r="AJ198" s="42" t="n">
        <f aca="false">IFERROR(IF($C198="","",IF($D198="","",IFERROR(ROUND($D198*INDEX('🔖 배합비 참조'!$B$2:$CE$83,MATCH("두류가공품(백옥앙금)",'🔖 배합비 참조'!$A$2:$A$83,0),MATCH($C198,'🔖 배합비 참조'!$B$1:$CE$1,0))/100,0),""))),"")</f>
        <v>0</v>
      </c>
      <c r="AK198" s="42" t="n">
        <f aca="false">IFERROR(IF($C198="","",IF($D198="","",IFERROR(ROUND($D198*INDEX('🔖 배합비 참조'!$B$2:$CE$83,MATCH("두류가공품(콩고물)",'🔖 배합비 참조'!$A$2:$A$83,0),MATCH($C198,'🔖 배합비 참조'!$B$1:$CE$1,0))/100,0),""))),"")</f>
        <v>0</v>
      </c>
      <c r="AL198" s="42" t="n">
        <f aca="false">IFERROR(IF($C198="","",IF($D198="","",IFERROR(ROUND($D198*INDEX('🔖 배합비 참조'!$B$2:$CE$83,MATCH("두류가공품(통팥고물)",'🔖 배합비 참조'!$A$2:$A$83,0),MATCH($C198,'🔖 배합비 참조'!$B$1:$CE$1,0))/100,0),""))),"")</f>
        <v>0</v>
      </c>
      <c r="AM198" s="42" t="n">
        <f aca="false">IFERROR(IF($C198="","",IF($D198="","",IFERROR(ROUND($D198*INDEX('🔖 배합비 참조'!$B$2:$CE$83,MATCH("딸기레진",'🔖 배합비 참조'!$A$2:$A$83,0),MATCH($C198,'🔖 배합비 참조'!$B$1:$CE$1,0))/100,0),""))),"")</f>
        <v>0</v>
      </c>
      <c r="AN198" s="42" t="n">
        <f aca="false">IFERROR(IF($C198="","",IF($D198="","",IFERROR(ROUND($D198*INDEX('🔖 배합비 참조'!$B$2:$CE$83,MATCH("딸기분말(스트로우베리에이드(분말))",'🔖 배합비 참조'!$A$2:$A$83,0),MATCH($C198,'🔖 배합비 참조'!$B$1:$CE$1,0))/100,0),""))),"")</f>
        <v>0</v>
      </c>
      <c r="AO198" s="42" t="n">
        <f aca="false">IFERROR(IF($C198="","",IF($D198="","",IFERROR(ROUND($D198*INDEX('🔖 배합비 참조'!$B$2:$CE$83,MATCH("마스카포네치즈",'🔖 배합비 참조'!$A$2:$A$83,0),MATCH($C198,'🔖 배합비 참조'!$B$1:$CE$1,0))/100,0),""))),"")</f>
        <v>0</v>
      </c>
      <c r="AP198" s="42" t="n">
        <f aca="false">IFERROR(IF($C198="","",IF($D198="","",IFERROR(ROUND($D198*INDEX('🔖 배합비 참조'!$B$2:$CE$83,MATCH("마카다미아분태(호주산)",'🔖 배합비 참조'!$A$2:$A$83,0),MATCH($C198,'🔖 배합비 참조'!$B$1:$CE$1,0))/100,0),""))),"")</f>
        <v>0</v>
      </c>
      <c r="AQ198" s="42" t="n">
        <f aca="false">IFERROR(IF($C198="","",IF($D198="","",IFERROR(ROUND($D198*INDEX('🔖 배합비 참조'!$B$2:$CE$83,MATCH("멥쌀(국내산)",'🔖 배합비 참조'!$A$2:$A$83,0),MATCH($C198,'🔖 배합비 참조'!$B$1:$CE$1,0))/100,0),""))),"")</f>
        <v>297</v>
      </c>
      <c r="AR198" s="42" t="n">
        <f aca="false">IFERROR(IF($C198="","",IF($D198="","",IFERROR(ROUND($D198*INDEX('🔖 배합비 참조'!$B$2:$CE$83,MATCH("모시잎(국내산)",'🔖 배합비 참조'!$A$2:$A$83,0),MATCH($C198,'🔖 배합비 참조'!$B$1:$CE$1,0))/100,0),""))),"")</f>
        <v>0</v>
      </c>
      <c r="AS198" s="42" t="n">
        <f aca="false">IFERROR(IF($C198="","",IF($D198="","",IFERROR(ROUND($D198*INDEX('🔖 배합비 참조'!$B$2:$CE$83,MATCH("물엿(저당물엿)",'🔖 배합비 참조'!$A$2:$A$83,0),MATCH($C198,'🔖 배합비 참조'!$B$1:$CE$1,0))/100,0),""))),"")</f>
        <v>0</v>
      </c>
      <c r="AT198" s="42" t="n">
        <f aca="false">IFERROR(IF($C198="","",IF($D198="","",IFERROR(ROUND($D198*INDEX('🔖 배합비 참조'!$B$2:$CE$83,MATCH("밤다이스",'🔖 배합비 참조'!$A$2:$A$83,0),MATCH($C198,'🔖 배합비 참조'!$B$1:$CE$1,0))/100,0),""))),"")</f>
        <v>0</v>
      </c>
      <c r="AU198" s="42" t="n">
        <f aca="false">IFERROR(IF($C198="","",IF($D198="","",IFERROR(ROUND($D198*INDEX('🔖 배합비 참조'!$B$2:$CE$83,MATCH("변성전분(타피오카전분)",'🔖 배합비 참조'!$A$2:$A$83,0),MATCH($C198,'🔖 배합비 참조'!$B$1:$CE$1,0))/100,0),""))),"")</f>
        <v>0</v>
      </c>
      <c r="AV198" s="42" t="n">
        <f aca="false">IFERROR(IF($C198="","",IF($D198="","",IFERROR(ROUND($D198*INDEX('🔖 배합비 참조'!$B$2:$CE$83,MATCH("복음땅콩분태",'🔖 배합비 참조'!$A$2:$A$83,0),MATCH($C198,'🔖 배합비 참조'!$B$1:$CE$1,0))/100,0),""))),"")</f>
        <v>0</v>
      </c>
      <c r="AW198" s="42" t="n">
        <f aca="false">IFERROR(IF($C198="","",IF($D198="","",IFERROR(ROUND($D198*INDEX('🔖 배합비 참조'!$B$2:$CE$83,MATCH("사양벌꿀(국내산)",'🔖 배합비 참조'!$A$2:$A$83,0),MATCH($C198,'🔖 배합비 참조'!$B$1:$CE$1,0))/100,0),""))),"")</f>
        <v>0</v>
      </c>
      <c r="AX198" s="42" t="n">
        <f aca="false">IFERROR(IF($C198="","",IF($D198="","",IFERROR(ROUND($D198*INDEX('🔖 배합비 참조'!$B$2:$CE$83,MATCH("생크림",'🔖 배합비 참조'!$A$2:$A$83,0),MATCH($C198,'🔖 배합비 참조'!$B$1:$CE$1,0))/100,0),""))),"")</f>
        <v>0</v>
      </c>
      <c r="AY198" s="42" t="n">
        <f aca="false">IFERROR(IF($C198="","",IF($D198="","",IFERROR(ROUND($D198*INDEX('🔖 배합비 참조'!$B$2:$CE$83,MATCH("서양호박(국내산,뉴질랜드산)",'🔖 배합비 참조'!$A$2:$A$83,0),MATCH($C198,'🔖 배합비 참조'!$B$1:$CE$1,0))/100,0),""))),"")</f>
        <v>0</v>
      </c>
      <c r="AZ198" s="42" t="n">
        <f aca="false">IFERROR(IF($C198="","",IF($D198="","",IFERROR(ROUND($D198*INDEX('🔖 배합비 참조'!$B$2:$CE$83,MATCH("설탕",'🔖 배합비 참조'!$A$2:$A$83,0),MATCH($C198,'🔖 배합비 참조'!$B$1:$CE$1,0))/100,0),""))),"")</f>
        <v>0</v>
      </c>
      <c r="BA198" s="42" t="n">
        <f aca="false">IFERROR(IF($C198="","",IF($D198="","",IFERROR(ROUND($D198*INDEX('🔖 배합비 참조'!$B$2:$CE$83,MATCH("스트로우베리 에이드 후레쉬",'🔖 배합비 참조'!$A$2:$A$83,0),MATCH($C198,'🔖 배합비 참조'!$B$1:$CE$1,0))/100,0),""))),"")</f>
        <v>0</v>
      </c>
      <c r="BB198" s="42" t="n">
        <f aca="false">IFERROR(IF($C198="","",IF($D198="","",IFERROR(ROUND($D198*INDEX('🔖 배합비 참조'!$B$2:$CE$83,MATCH("식물성기름혼합제제(분홍)",'🔖 배합비 참조'!$A$2:$A$83,0),MATCH($C198,'🔖 배합비 참조'!$B$1:$CE$1,0))/100,0),""))),"")</f>
        <v>0</v>
      </c>
      <c r="BC198" s="42" t="n">
        <f aca="false">IFERROR(IF($C198="","",IF($D198="","",IFERROR(ROUND($D198*INDEX('🔖 배합비 참조'!$B$2:$CE$83,MATCH("식물성기름혼합제제(초록)",'🔖 배합비 참조'!$A$2:$A$83,0),MATCH($C198,'🔖 배합비 참조'!$B$1:$CE$1,0))/100,0),""))),"")</f>
        <v>0</v>
      </c>
      <c r="BD198" s="42" t="n">
        <f aca="false">IFERROR(IF($C198="","",IF($D198="","",IFERROR(ROUND($D198*INDEX('🔖 배합비 참조'!$B$2:$CE$83,MATCH("식물성기름혼합제제(황색)",'🔖 배합비 참조'!$A$2:$A$83,0),MATCH($C198,'🔖 배합비 참조'!$B$1:$CE$1,0))/100,0),""))),"")</f>
        <v>0</v>
      </c>
      <c r="BE198" s="42" t="n">
        <f aca="false">IFERROR(IF($C198="","",IF($D198="","",IFERROR(ROUND($D198*INDEX('🔖 배합비 참조'!$B$2:$CE$83,MATCH("쑥가루(국내산)",'🔖 배합비 참조'!$A$2:$A$83,0),MATCH($C198,'🔖 배합비 참조'!$B$1:$CE$1,0))/100,0),""))),"")</f>
        <v>0</v>
      </c>
      <c r="BF198" s="42" t="n">
        <f aca="false">IFERROR(IF($C198="","",IF($D198="","",IFERROR(ROUND($D198*INDEX('🔖 배합비 참조'!$B$2:$CE$83,MATCH("아몬드슬라이스",'🔖 배합비 참조'!$A$2:$A$83,0),MATCH($C198,'🔖 배합비 참조'!$B$1:$CE$1,0))/100,0),""))),"")</f>
        <v>0</v>
      </c>
      <c r="BG198" s="42" t="n">
        <f aca="false">IFERROR(IF($C198="","",IF($D198="","",IFERROR(ROUND($D198*INDEX('🔖 배합비 참조'!$B$2:$CE$83,MATCH("알룰로오스(국내산)",'🔖 배합비 참조'!$A$2:$A$83,0),MATCH($C198,'🔖 배합비 참조'!$B$1:$CE$1,0))/100,0),""))),"")</f>
        <v>0</v>
      </c>
      <c r="BH198" s="42" t="n">
        <f aca="false">IFERROR(IF($C198="","",IF($D198="","",IFERROR(ROUND($D198*INDEX('🔖 배합비 참조'!$B$2:$CE$83,MATCH("연유",'🔖 배합비 참조'!$A$2:$A$83,0),MATCH($C198,'🔖 배합비 참조'!$B$1:$CE$1,0))/100,0),""))),"")</f>
        <v>0</v>
      </c>
      <c r="BI198" s="42" t="n">
        <f aca="false">IFERROR(IF($C198="","",IF($D198="","",IFERROR(ROUND($D198*INDEX('🔖 배합비 참조'!$B$2:$CE$83,MATCH("옥수수전분",'🔖 배합비 참조'!$A$2:$A$83,0),MATCH($C198,'🔖 배합비 참조'!$B$1:$CE$1,0))/100,0),""))),"")</f>
        <v>0</v>
      </c>
      <c r="BJ198" s="42" t="n">
        <f aca="false">IFERROR(IF($C198="","",IF($D198="","",IFERROR(ROUND($D198*INDEX('🔖 배합비 참조'!$B$2:$CE$83,MATCH("완두배기",'🔖 배합비 참조'!$A$2:$A$83,0),MATCH($C198,'🔖 배합비 참조'!$B$1:$CE$1,0))/100,0),""))),"")</f>
        <v>0</v>
      </c>
      <c r="BK198" s="42" t="n">
        <f aca="false">IFERROR(IF($C198="","",IF($D198="","",IFERROR(ROUND($D198*INDEX('🔖 배합비 참조'!$B$2:$CE$83,MATCH("우유(국내산)",'🔖 배합비 참조'!$A$2:$A$83,0),MATCH($C198,'🔖 배합비 참조'!$B$1:$CE$1,0))/100,0),""))),"")</f>
        <v>0</v>
      </c>
      <c r="BL198" s="42" t="n">
        <f aca="false">IFERROR(IF($C198="","",IF($D198="","",IFERROR(ROUND($D198*INDEX('🔖 배합비 참조'!$B$2:$CE$83,MATCH("자색고구마가루(중국산)",'🔖 배합비 참조'!$A$2:$A$83,0),MATCH($C198,'🔖 배합비 참조'!$B$1:$CE$1,0))/100,0),""))),"")</f>
        <v>0</v>
      </c>
      <c r="BM198" s="42" t="n">
        <f aca="false">IFERROR(IF($C198="","",IF($D198="","",IFERROR(ROUND($D198*INDEX('🔖 배합비 참조'!$B$2:$CE$83,MATCH("자연치즈(체다치즈)",'🔖 배합비 참조'!$A$2:$A$83,0),MATCH($C198,'🔖 배합비 참조'!$B$1:$CE$1,0))/100,0),""))),"")</f>
        <v>0</v>
      </c>
      <c r="BN198" s="42" t="n">
        <f aca="false">IFERROR(IF($C198="","",IF($D198="","",IFERROR(ROUND($D198*INDEX('🔖 배합비 참조'!$B$2:$CE$83,MATCH("정제수",'🔖 배합비 참조'!$A$2:$A$83,0),MATCH($C198,'🔖 배합비 참조'!$B$1:$CE$1,0))/100,0),""))),"")</f>
        <v>0</v>
      </c>
      <c r="BO198" s="42" t="n">
        <f aca="false">IFERROR(IF($C198="","",IF($D198="","",IFERROR(ROUND($D198*INDEX('🔖 배합비 참조'!$B$2:$CE$83,MATCH("젤라틴",'🔖 배합비 참조'!$A$2:$A$83,0),MATCH($C198,'🔖 배합비 참조'!$B$1:$CE$1,0))/100,0),""))),"")</f>
        <v>0</v>
      </c>
      <c r="BP198" s="42" t="n">
        <f aca="false">IFERROR(IF($C198="","",IF($D198="","",IFERROR(ROUND($D198*INDEX('🔖 배합비 참조'!$B$2:$CE$83,MATCH("조림류(백옥앙금)",'🔖 배합비 참조'!$A$2:$A$83,0),MATCH($C198,'🔖 배합비 참조'!$B$1:$CE$1,0))/100,0),""))),"")</f>
        <v>0</v>
      </c>
      <c r="BQ198" s="42" t="n">
        <f aca="false">IFERROR(IF($C198="","",IF($D198="","",IFERROR(ROUND($D198*INDEX('🔖 배합비 참조'!$B$2:$CE$83,MATCH("조림류(통팥앙금)",'🔖 배합비 참조'!$A$2:$A$83,0),MATCH($C198,'🔖 배합비 참조'!$B$1:$CE$1,0))/100,0),""))),"")</f>
        <v>0</v>
      </c>
      <c r="BR198" s="42" t="n">
        <f aca="false">IFERROR(IF($C198="","",IF($D198="","",IFERROR(ROUND($D198*INDEX('🔖 배합비 참조'!$B$2:$CE$83,MATCH("준초콜릿(외국산)",'🔖 배합비 참조'!$A$2:$A$83,0),MATCH($C198,'🔖 배합비 참조'!$B$1:$CE$1,0))/100,0),""))),"")</f>
        <v>0</v>
      </c>
      <c r="BS198" s="42" t="n">
        <f aca="false">IFERROR(IF($C198="","",IF($D198="","",IFERROR(ROUND($D198*INDEX('🔖 배합비 참조'!$B$2:$CE$83,MATCH("중력분",'🔖 배합비 참조'!$A$2:$A$83,0),MATCH($C198,'🔖 배합비 참조'!$B$1:$CE$1,0))/100,0),""))),"")</f>
        <v>0</v>
      </c>
      <c r="BT198" s="42" t="n">
        <f aca="false">IFERROR(IF($C198="","",IF($D198="","",IFERROR(ROUND($D198*INDEX('🔖 배합비 참조'!$B$2:$CE$83,MATCH("참깨(인도산,나이지리아산,탄자니아산,미얀마산)",'🔖 배합비 참조'!$A$2:$A$83,0),MATCH($C198,'🔖 배합비 참조'!$B$1:$CE$1,0))/100,0),""))),"")</f>
        <v>0</v>
      </c>
      <c r="BU198" s="42" t="n">
        <f aca="false">IFERROR(IF($C198="","",IF($D198="","",IFERROR(ROUND($D198*INDEX('🔖 배합비 참조'!$B$2:$CE$83,MATCH("찹쌀(국내산)",'🔖 배합비 참조'!$A$2:$A$83,0),MATCH($C198,'🔖 배합비 참조'!$B$1:$CE$1,0))/100,0),""))),"")</f>
        <v>0</v>
      </c>
      <c r="BV198" s="42" t="n">
        <f aca="false">IFERROR(IF($C198="","",IF($D198="","",IFERROR(ROUND($D198*INDEX('🔖 배합비 참조'!$B$2:$CE$83,MATCH("천일염",'🔖 배합비 참조'!$A$2:$A$83,0),MATCH($C198,'🔖 배합비 참조'!$B$1:$CE$1,0))/100,0),""))),"")</f>
        <v>3</v>
      </c>
      <c r="BW198" s="42" t="n">
        <f aca="false">IFERROR(IF($C198="","",IF($D198="","",IFERROR(ROUND($D198*INDEX('🔖 배합비 참조'!$B$2:$CE$83,MATCH("치즈 [크림치즈]",'🔖 배합비 참조'!$A$2:$A$83,0),MATCH($C198,'🔖 배합비 참조'!$B$1:$CE$1,0))/100,0),""))),"")</f>
        <v>0</v>
      </c>
      <c r="BX198" s="42" t="n">
        <f aca="false">IFERROR(IF($C198="","",IF($D198="","",IFERROR(ROUND($D198*INDEX('🔖 배합비 참조'!$B$2:$CE$83,MATCH("코코아가공품류(코코아분말)",'🔖 배합비 참조'!$A$2:$A$83,0),MATCH($C198,'🔖 배합비 참조'!$B$1:$CE$1,0))/100,0),""))),"")</f>
        <v>0</v>
      </c>
      <c r="BY198" s="42" t="n">
        <f aca="false">IFERROR(IF($C198="","",IF($D198="","",IFERROR(ROUND($D198*INDEX('🔖 배합비 참조'!$B$2:$CE$83,MATCH("콩기름(대두유)",'🔖 배합비 참조'!$A$2:$A$83,0),MATCH($C198,'🔖 배합비 참조'!$B$1:$CE$1,0))/100,0),""))),"")</f>
        <v>0</v>
      </c>
      <c r="BZ198" s="42" t="n">
        <f aca="false">IFERROR(IF($C198="","",IF($D198="","",IFERROR(ROUND($D198*INDEX('🔖 배합비 참조'!$B$2:$CE$83,MATCH("해바라기씨앗",'🔖 배합비 참조'!$A$2:$A$83,0),MATCH($C198,'🔖 배합비 참조'!$B$1:$CE$1,0))/100,0),""))),"")</f>
        <v>0</v>
      </c>
      <c r="CA198" s="42" t="n">
        <f aca="false">IFERROR(IF($C198="","",IF($D198="","",IFERROR(ROUND($D198*INDEX('🔖 배합비 참조'!$B$2:$CE$83,MATCH("현미(국내산)",'🔖 배합비 참조'!$A$2:$A$83,0),MATCH($C198,'🔖 배합비 참조'!$B$1:$CE$1,0))/100,0),""))),"")</f>
        <v>0</v>
      </c>
      <c r="CB198" s="42" t="n">
        <f aca="false">IFERROR(IF($C198="","",IF($D198="","",IFERROR(ROUND($D198*INDEX('🔖 배합비 참조'!$B$2:$CE$83,MATCH("현미멥쌀(국내산)",'🔖 배합비 참조'!$A$2:$A$83,0),MATCH($C198,'🔖 배합비 참조'!$B$1:$CE$1,0))/100,0),""))),"")</f>
        <v>0</v>
      </c>
      <c r="CC198" s="42" t="n">
        <f aca="false">IFERROR(IF($C198="","",IF($D198="","",IFERROR(ROUND($D198*INDEX('🔖 배합비 참조'!$B$2:$CE$83,MATCH("호두분태(미국산)",'🔖 배합비 참조'!$A$2:$A$83,0),MATCH($C198,'🔖 배합비 참조'!$B$1:$CE$1,0))/100,0),""))),"")</f>
        <v>0</v>
      </c>
      <c r="CD198" s="42" t="n">
        <f aca="false">IFERROR(IF($C198="","",IF($D198="","",IFERROR(ROUND($D198*INDEX('🔖 배합비 참조'!$B$2:$CE$83,MATCH("호박씨앗(외국산)",'🔖 배합비 참조'!$A$2:$A$83,0),MATCH($C198,'🔖 배합비 참조'!$B$1:$CE$1,0))/100,0),""))),"")</f>
        <v>0</v>
      </c>
      <c r="CE198" s="42" t="n">
        <f aca="false">IFERROR(IF($C198="","",IF($D198="","",IFERROR(ROUND($D198*INDEX('🔖 배합비 참조'!$B$2:$CE$83,MATCH("혼합제제(떡용에스텔)",'🔖 배합비 참조'!$A$2:$A$83,0),MATCH($C198,'🔖 배합비 참조'!$B$1:$CE$1,0))/100,0),""))),"")</f>
        <v>0</v>
      </c>
      <c r="CF198" s="42" t="n">
        <f aca="false">IFERROR(IF($C198="","",IF($D198="","",IFERROR(ROUND($D198*INDEX('🔖 배합비 참조'!$B$2:$CE$83,MATCH("혼합제제(스테비아)",'🔖 배합비 참조'!$A$2:$A$83,0),MATCH($C198,'🔖 배합비 참조'!$B$1:$CE$1,0))/100,0),""))),"")</f>
        <v>0</v>
      </c>
      <c r="CG198" s="42" t="n">
        <f aca="false">IFERROR(IF($C198="","",IF($D198="","",IFERROR(ROUND($D198*INDEX('🔖 배합비 참조'!$B$2:$CE$83,MATCH("화이트초콜릿",'🔖 배합비 참조'!$A$2:$A$83,0),MATCH($C198,'🔖 배합비 참조'!$B$1:$CE$1,0))/100,0),""))),"")</f>
        <v>0</v>
      </c>
      <c r="CH198" s="42" t="n">
        <f aca="false">IFERROR(IF($C198="","",IF($D198="","",IFERROR(ROUND($D198*INDEX('🔖 배합비 참조'!$B$2:$CE$83,MATCH("흑미찹쌀(국내산)",'🔖 배합비 참조'!$A$2:$A$83,0),MATCH($C198,'🔖 배합비 참조'!$B$1:$CE$1,0))/100,0),""))),"")</f>
        <v>0</v>
      </c>
      <c r="CI198" s="42" t="n">
        <f aca="false">IFERROR(IF($C198="","",IF($D198="","",IFERROR(ROUND($D198*INDEX('🔖 배합비 참조'!$B$2:$CE$83,MATCH("찰옥수수전분(미국산)",'🔖 배합비 참조'!$A$2:$A$83,0),MATCH($C198,'🔖 배합비 참조'!$B$1:$CE$1,0))/100,0),""))),"")</f>
        <v>0</v>
      </c>
      <c r="CJ198" s="40"/>
      <c r="CL198" s="1" t="s">
        <v>247</v>
      </c>
    </row>
    <row r="199" customFormat="false" ht="18" hidden="false" customHeight="true" outlineLevel="0" collapsed="false">
      <c r="A199" s="35" t="n">
        <v>195</v>
      </c>
      <c r="B199" s="36" t="n">
        <v>46056</v>
      </c>
      <c r="C199" s="37" t="s">
        <v>191</v>
      </c>
      <c r="D199" s="38" t="n">
        <v>990</v>
      </c>
      <c r="E199" s="13"/>
      <c r="F199" s="13"/>
      <c r="G199" s="39" t="n">
        <f aca="false">IFERROR(IF($C199="","",IF($D199="","",IFERROR(ROUND($D199*INDEX('🔖 배합비 참조'!$B$2:$CE$83,MATCH("간장",'🔖 배합비 참조'!$A$2:$A$83,0),MATCH($C199,'🔖 배합비 참조'!$B$1:$CE$1,0))/100,0),""))),"")</f>
        <v>0</v>
      </c>
      <c r="H199" s="39" t="n">
        <f aca="false">IFERROR(IF($C199="","",IF($D199="","",IFERROR(ROUND($D199*INDEX('🔖 배합비 참조'!$B$2:$CE$83,MATCH("강낭콩((울타리콩))",'🔖 배합비 참조'!$A$2:$A$83,0),MATCH($C199,'🔖 배합비 참조'!$B$1:$CE$1,0))/100,0),""))),"")</f>
        <v>0</v>
      </c>
      <c r="I199" s="39" t="n">
        <f aca="false">IFERROR(IF($C199="","",IF($D199="","",IFERROR(ROUND($D199*INDEX('🔖 배합비 참조'!$B$2:$CE$83,MATCH("건조딸기다이스(외국산)",'🔖 배합비 참조'!$A$2:$A$83,0),MATCH($C199,'🔖 배합비 참조'!$B$1:$CE$1,0))/100,0),""))),"")</f>
        <v>0</v>
      </c>
      <c r="J199" s="39" t="n">
        <f aca="false">IFERROR(IF($C199="","",IF($D199="","",IFERROR(ROUND($D199*INDEX('🔖 배합비 참조'!$B$2:$CE$83,MATCH("건포도",'🔖 배합비 참조'!$A$2:$A$83,0),MATCH($C199,'🔖 배합비 참조'!$B$1:$CE$1,0))/100,0),""))),"")</f>
        <v>0</v>
      </c>
      <c r="K199" s="39" t="n">
        <f aca="false">IFERROR(IF($C199="","",IF($D199="","",IFERROR(ROUND($D199*INDEX('🔖 배합비 참조'!$B$2:$CE$83,MATCH("건호박채(중국산)",'🔖 배합비 참조'!$A$2:$A$83,0),MATCH($C199,'🔖 배합비 참조'!$B$1:$CE$1,0))/100,0),""))),"")</f>
        <v>0</v>
      </c>
      <c r="L199" s="39" t="n">
        <f aca="false">IFERROR(IF($C199="","",IF($D199="","",IFERROR(ROUND($D199*INDEX('🔖 배합비 참조'!$B$2:$CE$83,MATCH("검정깨(흑임자)",'🔖 배합비 참조'!$A$2:$A$83,0),MATCH($C199,'🔖 배합비 참조'!$B$1:$CE$1,0))/100,0),""))),"")</f>
        <v>0</v>
      </c>
      <c r="M199" s="39" t="n">
        <f aca="false">IFERROR(IF($C199="","",IF($D199="","",IFERROR(ROUND($D199*INDEX('🔖 배합비 참조'!$B$2:$CE$83,MATCH("검정콩",'🔖 배합비 참조'!$A$2:$A$83,0),MATCH($C199,'🔖 배합비 참조'!$B$1:$CE$1,0))/100,0),""))),"")</f>
        <v>0</v>
      </c>
      <c r="N199" s="39" t="n">
        <f aca="false">IFERROR(IF($C199="","",IF($D199="","",IFERROR(ROUND($D199*INDEX('🔖 배합비 참조'!$B$2:$CE$83,MATCH("계피가루",'🔖 배합비 참조'!$A$2:$A$83,0),MATCH($C199,'🔖 배합비 참조'!$B$1:$CE$1,0))/100,0),""))),"")</f>
        <v>0</v>
      </c>
      <c r="O199" s="39" t="n">
        <f aca="false">IFERROR(IF($C199="","",IF($D199="","",IFERROR(ROUND($D199*INDEX('🔖 배합비 참조'!$B$2:$CE$83,MATCH("고구마가루",'🔖 배합비 참조'!$A$2:$A$83,0),MATCH($C199,'🔖 배합비 참조'!$B$1:$CE$1,0))/100,0),""))),"")</f>
        <v>0</v>
      </c>
      <c r="P199" s="39" t="n">
        <f aca="false">IFERROR(IF($C199="","",IF($D199="","",IFERROR(ROUND($D199*INDEX('🔖 배합비 참조'!$B$2:$CE$83,MATCH("고구마무스",'🔖 배합비 참조'!$A$2:$A$83,0),MATCH($C199,'🔖 배합비 참조'!$B$1:$CE$1,0))/100,0),""))),"")</f>
        <v>0</v>
      </c>
      <c r="Q199" s="39" t="n">
        <f aca="false">IFERROR(IF($C199="","",IF($D199="","",IFERROR(ROUND($D199*INDEX('🔖 배합비 참조'!$B$2:$CE$83,MATCH("고려엉겅퀴((곤드레)국내산)",'🔖 배합비 참조'!$A$2:$A$83,0),MATCH($C199,'🔖 배합비 참조'!$B$1:$CE$1,0))/100,0),""))),"")</f>
        <v>0</v>
      </c>
      <c r="R199" s="39" t="n">
        <f aca="false">IFERROR(IF($C199="","",IF($D199="","",IFERROR(ROUND($D199*INDEX('🔖 배합비 참조'!$B$2:$CE$83,MATCH("기타가공품(복분자가루)",'🔖 배합비 참조'!$A$2:$A$83,0),MATCH($C199,'🔖 배합비 참조'!$B$1:$CE$1,0))/100,0),""))),"")</f>
        <v>0</v>
      </c>
      <c r="S199" s="39" t="n">
        <f aca="false">IFERROR(IF($C199="","",IF($D199="","",IFERROR(ROUND($D199*INDEX('🔖 배합비 참조'!$B$2:$CE$83,MATCH("기타가공품(슈퍼소프트엠)",'🔖 배합비 참조'!$A$2:$A$83,0),MATCH($C199,'🔖 배합비 참조'!$B$1:$CE$1,0))/100,0),""))),"")</f>
        <v>0</v>
      </c>
      <c r="T199" s="39" t="n">
        <f aca="false">IFERROR(IF($C199="","",IF($D199="","",IFERROR(ROUND($D199*INDEX('🔖 배합비 참조'!$B$2:$CE$83,MATCH("기타가공품(파인소프트 E-티)",'🔖 배합비 참조'!$A$2:$A$83,0),MATCH($C199,'🔖 배합비 참조'!$B$1:$CE$1,0))/100,0),""))),"")</f>
        <v>0</v>
      </c>
      <c r="U199" s="39" t="n">
        <f aca="false">IFERROR(IF($C199="","",IF($D199="","",IFERROR(ROUND($D199*INDEX('🔖 배합비 참조'!$B$2:$CE$83,MATCH("기타가공품(프리미엄카스테라가루)",'🔖 배합비 참조'!$A$2:$A$83,0),MATCH($C199,'🔖 배합비 참조'!$B$1:$CE$1,0))/100,0),""))),"")</f>
        <v>0</v>
      </c>
      <c r="V199" s="39" t="n">
        <f aca="false">IFERROR(IF($C199="","",IF($D199="","",IFERROR(ROUND($D199*INDEX('🔖 배합비 참조'!$B$2:$CE$83,MATCH("기타가공품(흑임자가루)",'🔖 배합비 참조'!$A$2:$A$83,0),MATCH($C199,'🔖 배합비 참조'!$B$1:$CE$1,0))/100,0),""))),"")</f>
        <v>0</v>
      </c>
      <c r="W199" s="39" t="n">
        <f aca="false">IFERROR(IF($C199="","",IF($D199="","",IFERROR(ROUND($D199*INDEX('🔖 배합비 참조'!$B$2:$CE$83,MATCH("기타설탕(흑설탕)",'🔖 배합비 참조'!$A$2:$A$83,0),MATCH($C199,'🔖 배합비 참조'!$B$1:$CE$1,0))/100,0),""))),"")</f>
        <v>0</v>
      </c>
      <c r="X199" s="39" t="n">
        <f aca="false">IFERROR(IF($C199="","",IF($D199="","",IFERROR(ROUND($D199*INDEX('🔖 배합비 참조'!$B$2:$CE$83,MATCH("냉동쑥(국내산)",'🔖 배합비 참조'!$A$2:$A$83,0),MATCH($C199,'🔖 배합비 참조'!$B$1:$CE$1,0))/100,0),""))),"")</f>
        <v>0</v>
      </c>
      <c r="Y199" s="39" t="n">
        <f aca="false">IFERROR(IF($C199="","",IF($D199="","",IFERROR(ROUND($D199*INDEX('🔖 배합비 참조'!$B$2:$CE$83,MATCH("냉동증숙고구마(중국산)",'🔖 배합비 참조'!$A$2:$A$83,0),MATCH($C199,'🔖 배합비 참조'!$B$1:$CE$1,0))/100,0),""))),"")</f>
        <v>0</v>
      </c>
      <c r="Z199" s="39" t="n">
        <f aca="false">IFERROR(IF($C199="","",IF($D199="","",IFERROR(ROUND($D199*INDEX('🔖 배합비 참조'!$B$2:$CE$83,MATCH("녹차가루",'🔖 배합비 참조'!$A$2:$A$83,0),MATCH($C199,'🔖 배합비 참조'!$B$1:$CE$1,0))/100,0),""))),"")</f>
        <v>0</v>
      </c>
      <c r="AA199" s="39" t="n">
        <f aca="false">IFERROR(IF($C199="","",IF($D199="","",IFERROR(ROUND($D199*INDEX('🔖 배합비 참조'!$B$2:$CE$83,MATCH("다크초콜릿 컴파운드칩",'🔖 배합비 참조'!$A$2:$A$83,0),MATCH($C199,'🔖 배합비 참조'!$B$1:$CE$1,0))/100,0),""))),"")</f>
        <v>0</v>
      </c>
      <c r="AB199" s="39" t="n">
        <f aca="false">IFERROR(IF($C199="","",IF($D199="","",IFERROR(ROUND($D199*INDEX('🔖 배합비 참조'!$B$2:$CE$83,MATCH("단호박분말(중국산)",'🔖 배합비 참조'!$A$2:$A$83,0),MATCH($C199,'🔖 배합비 참조'!$B$1:$CE$1,0))/100,0),""))),"")</f>
        <v>0</v>
      </c>
      <c r="AC199" s="39" t="n">
        <f aca="false">IFERROR(IF($C199="","",IF($D199="","",IFERROR(ROUND($D199*INDEX('🔖 배합비 참조'!$B$2:$CE$83,MATCH("당류가공품(단호박농축액)",'🔖 배합비 참조'!$A$2:$A$83,0),MATCH($C199,'🔖 배합비 참조'!$B$1:$CE$1,0))/100,0),""))),"")</f>
        <v>0</v>
      </c>
      <c r="AD199" s="39" t="n">
        <f aca="false">IFERROR(IF($C199="","",IF($D199="","",IFERROR(ROUND($D199*INDEX('🔖 배합비 참조'!$B$2:$CE$83,MATCH("당류가공품(알룰로스,에리스리톨,스테비올배당체혼합)",'🔖 배합비 참조'!$A$2:$A$83,0),MATCH($C199,'🔖 배합비 참조'!$B$1:$CE$1,0))/100,0),""))),"")</f>
        <v>0</v>
      </c>
      <c r="AE199" s="39" t="n">
        <f aca="false">IFERROR(IF($C199="","",IF($D199="","",IFERROR(ROUND($D199*INDEX('🔖 배합비 참조'!$B$2:$CE$83,MATCH("당류가공품(알룰로스제로파우더)",'🔖 배합비 참조'!$A$2:$A$83,0),MATCH($C199,'🔖 배합비 참조'!$B$1:$CE$1,0))/100,0),""))),"")</f>
        <v>0</v>
      </c>
      <c r="AF199" s="39" t="n">
        <f aca="false">IFERROR(IF($C199="","",IF($D199="","",IFERROR(ROUND($D199*INDEX('🔖 배합비 참조'!$B$2:$CE$83,MATCH("당절임(완두배기)",'🔖 배합비 참조'!$A$2:$A$83,0),MATCH($C199,'🔖 배합비 참조'!$B$1:$CE$1,0))/100,0),""))),"")</f>
        <v>0</v>
      </c>
      <c r="AG199" s="39" t="n">
        <f aca="false">IFERROR(IF($C199="","",IF($D199="","",IFERROR(ROUND($D199*INDEX('🔖 배합비 참조'!$B$2:$CE$83,MATCH("대추농축액",'🔖 배합비 참조'!$A$2:$A$83,0),MATCH($C199,'🔖 배합비 참조'!$B$1:$CE$1,0))/100,0),""))),"")</f>
        <v>0</v>
      </c>
      <c r="AH199" s="39" t="n">
        <f aca="false">IFERROR(IF($C199="","",IF($D199="","",IFERROR(ROUND($D199*INDEX('🔖 배합비 참조'!$B$2:$CE$83,MATCH("대추채(국내산)",'🔖 배합비 참조'!$A$2:$A$83,0),MATCH($C199,'🔖 배합비 참조'!$B$1:$CE$1,0))/100,0),""))),"")</f>
        <v>0</v>
      </c>
      <c r="AI199" s="39" t="n">
        <f aca="false">IFERROR(IF($C199="","",IF($D199="","",IFERROR(ROUND($D199*INDEX('🔖 배합비 참조'!$B$2:$CE$83,MATCH("동부(미얀마산)",'🔖 배합비 참조'!$A$2:$A$83,0),MATCH($C199,'🔖 배합비 참조'!$B$1:$CE$1,0))/100,0),""))),"")</f>
        <v>0</v>
      </c>
      <c r="AJ199" s="39" t="n">
        <f aca="false">IFERROR(IF($C199="","",IF($D199="","",IFERROR(ROUND($D199*INDEX('🔖 배합비 참조'!$B$2:$CE$83,MATCH("두류가공품(백옥앙금)",'🔖 배합비 참조'!$A$2:$A$83,0),MATCH($C199,'🔖 배합비 참조'!$B$1:$CE$1,0))/100,0),""))),"")</f>
        <v>0</v>
      </c>
      <c r="AK199" s="39" t="n">
        <f aca="false">IFERROR(IF($C199="","",IF($D199="","",IFERROR(ROUND($D199*INDEX('🔖 배합비 참조'!$B$2:$CE$83,MATCH("두류가공품(콩고물)",'🔖 배합비 참조'!$A$2:$A$83,0),MATCH($C199,'🔖 배합비 참조'!$B$1:$CE$1,0))/100,0),""))),"")</f>
        <v>0</v>
      </c>
      <c r="AL199" s="39" t="n">
        <f aca="false">IFERROR(IF($C199="","",IF($D199="","",IFERROR(ROUND($D199*INDEX('🔖 배합비 참조'!$B$2:$CE$83,MATCH("두류가공품(통팥고물)",'🔖 배합비 참조'!$A$2:$A$83,0),MATCH($C199,'🔖 배합비 참조'!$B$1:$CE$1,0))/100,0),""))),"")</f>
        <v>0</v>
      </c>
      <c r="AM199" s="39" t="n">
        <f aca="false">IFERROR(IF($C199="","",IF($D199="","",IFERROR(ROUND($D199*INDEX('🔖 배합비 참조'!$B$2:$CE$83,MATCH("딸기레진",'🔖 배합비 참조'!$A$2:$A$83,0),MATCH($C199,'🔖 배합비 참조'!$B$1:$CE$1,0))/100,0),""))),"")</f>
        <v>0</v>
      </c>
      <c r="AN199" s="39" t="n">
        <f aca="false">IFERROR(IF($C199="","",IF($D199="","",IFERROR(ROUND($D199*INDEX('🔖 배합비 참조'!$B$2:$CE$83,MATCH("딸기분말(스트로우베리에이드(분말))",'🔖 배합비 참조'!$A$2:$A$83,0),MATCH($C199,'🔖 배합비 참조'!$B$1:$CE$1,0))/100,0),""))),"")</f>
        <v>0</v>
      </c>
      <c r="AO199" s="39" t="n">
        <f aca="false">IFERROR(IF($C199="","",IF($D199="","",IFERROR(ROUND($D199*INDEX('🔖 배합비 참조'!$B$2:$CE$83,MATCH("마스카포네치즈",'🔖 배합비 참조'!$A$2:$A$83,0),MATCH($C199,'🔖 배합비 참조'!$B$1:$CE$1,0))/100,0),""))),"")</f>
        <v>0</v>
      </c>
      <c r="AP199" s="39" t="n">
        <f aca="false">IFERROR(IF($C199="","",IF($D199="","",IFERROR(ROUND($D199*INDEX('🔖 배합비 참조'!$B$2:$CE$83,MATCH("마카다미아분태(호주산)",'🔖 배합비 참조'!$A$2:$A$83,0),MATCH($C199,'🔖 배합비 참조'!$B$1:$CE$1,0))/100,0),""))),"")</f>
        <v>0</v>
      </c>
      <c r="AQ199" s="39" t="n">
        <f aca="false">IFERROR(IF($C199="","",IF($D199="","",IFERROR(ROUND($D199*INDEX('🔖 배합비 참조'!$B$2:$CE$83,MATCH("멥쌀(국내산)",'🔖 배합비 참조'!$A$2:$A$83,0),MATCH($C199,'🔖 배합비 참조'!$B$1:$CE$1,0))/100,0),""))),"")</f>
        <v>20</v>
      </c>
      <c r="AR199" s="39" t="n">
        <f aca="false">IFERROR(IF($C199="","",IF($D199="","",IFERROR(ROUND($D199*INDEX('🔖 배합비 참조'!$B$2:$CE$83,MATCH("모시잎(국내산)",'🔖 배합비 참조'!$A$2:$A$83,0),MATCH($C199,'🔖 배합비 참조'!$B$1:$CE$1,0))/100,0),""))),"")</f>
        <v>0</v>
      </c>
      <c r="AS199" s="39" t="n">
        <f aca="false">IFERROR(IF($C199="","",IF($D199="","",IFERROR(ROUND($D199*INDEX('🔖 배합비 참조'!$B$2:$CE$83,MATCH("물엿(저당물엿)",'🔖 배합비 참조'!$A$2:$A$83,0),MATCH($C199,'🔖 배합비 참조'!$B$1:$CE$1,0))/100,0),""))),"")</f>
        <v>0</v>
      </c>
      <c r="AT199" s="39" t="n">
        <f aca="false">IFERROR(IF($C199="","",IF($D199="","",IFERROR(ROUND($D199*INDEX('🔖 배합비 참조'!$B$2:$CE$83,MATCH("밤다이스",'🔖 배합비 참조'!$A$2:$A$83,0),MATCH($C199,'🔖 배합비 참조'!$B$1:$CE$1,0))/100,0),""))),"")</f>
        <v>0</v>
      </c>
      <c r="AU199" s="39" t="n">
        <f aca="false">IFERROR(IF($C199="","",IF($D199="","",IFERROR(ROUND($D199*INDEX('🔖 배합비 참조'!$B$2:$CE$83,MATCH("변성전분(타피오카전분)",'🔖 배합비 참조'!$A$2:$A$83,0),MATCH($C199,'🔖 배합비 참조'!$B$1:$CE$1,0))/100,0),""))),"")</f>
        <v>0</v>
      </c>
      <c r="AV199" s="39" t="n">
        <f aca="false">IFERROR(IF($C199="","",IF($D199="","",IFERROR(ROUND($D199*INDEX('🔖 배합비 참조'!$B$2:$CE$83,MATCH("복음땅콩분태",'🔖 배합비 참조'!$A$2:$A$83,0),MATCH($C199,'🔖 배합비 참조'!$B$1:$CE$1,0))/100,0),""))),"")</f>
        <v>0</v>
      </c>
      <c r="AW199" s="39" t="n">
        <f aca="false">IFERROR(IF($C199="","",IF($D199="","",IFERROR(ROUND($D199*INDEX('🔖 배합비 참조'!$B$2:$CE$83,MATCH("사양벌꿀(국내산)",'🔖 배합비 참조'!$A$2:$A$83,0),MATCH($C199,'🔖 배합비 참조'!$B$1:$CE$1,0))/100,0),""))),"")</f>
        <v>0</v>
      </c>
      <c r="AX199" s="39" t="n">
        <f aca="false">IFERROR(IF($C199="","",IF($D199="","",IFERROR(ROUND($D199*INDEX('🔖 배합비 참조'!$B$2:$CE$83,MATCH("생크림",'🔖 배합비 참조'!$A$2:$A$83,0),MATCH($C199,'🔖 배합비 참조'!$B$1:$CE$1,0))/100,0),""))),"")</f>
        <v>0</v>
      </c>
      <c r="AY199" s="39" t="n">
        <f aca="false">IFERROR(IF($C199="","",IF($D199="","",IFERROR(ROUND($D199*INDEX('🔖 배합비 참조'!$B$2:$CE$83,MATCH("서양호박(국내산,뉴질랜드산)",'🔖 배합비 참조'!$A$2:$A$83,0),MATCH($C199,'🔖 배합비 참조'!$B$1:$CE$1,0))/100,0),""))),"")</f>
        <v>0</v>
      </c>
      <c r="AZ199" s="39" t="n">
        <f aca="false">IFERROR(IF($C199="","",IF($D199="","",IFERROR(ROUND($D199*INDEX('🔖 배합비 참조'!$B$2:$CE$83,MATCH("설탕",'🔖 배합비 참조'!$A$2:$A$83,0),MATCH($C199,'🔖 배합비 참조'!$B$1:$CE$1,0))/100,0),""))),"")</f>
        <v>188</v>
      </c>
      <c r="BA199" s="39" t="n">
        <f aca="false">IFERROR(IF($C199="","",IF($D199="","",IFERROR(ROUND($D199*INDEX('🔖 배합비 참조'!$B$2:$CE$83,MATCH("스트로우베리 에이드 후레쉬",'🔖 배합비 참조'!$A$2:$A$83,0),MATCH($C199,'🔖 배합비 참조'!$B$1:$CE$1,0))/100,0),""))),"")</f>
        <v>0</v>
      </c>
      <c r="BB199" s="39" t="n">
        <f aca="false">IFERROR(IF($C199="","",IF($D199="","",IFERROR(ROUND($D199*INDEX('🔖 배합비 참조'!$B$2:$CE$83,MATCH("식물성기름혼합제제(분홍)",'🔖 배합비 참조'!$A$2:$A$83,0),MATCH($C199,'🔖 배합비 참조'!$B$1:$CE$1,0))/100,0),""))),"")</f>
        <v>0</v>
      </c>
      <c r="BC199" s="39" t="n">
        <f aca="false">IFERROR(IF($C199="","",IF($D199="","",IFERROR(ROUND($D199*INDEX('🔖 배합비 참조'!$B$2:$CE$83,MATCH("식물성기름혼합제제(초록)",'🔖 배합비 참조'!$A$2:$A$83,0),MATCH($C199,'🔖 배합비 참조'!$B$1:$CE$1,0))/100,0),""))),"")</f>
        <v>0</v>
      </c>
      <c r="BD199" s="39" t="n">
        <f aca="false">IFERROR(IF($C199="","",IF($D199="","",IFERROR(ROUND($D199*INDEX('🔖 배합비 참조'!$B$2:$CE$83,MATCH("식물성기름혼합제제(황색)",'🔖 배합비 참조'!$A$2:$A$83,0),MATCH($C199,'🔖 배합비 참조'!$B$1:$CE$1,0))/100,0),""))),"")</f>
        <v>0</v>
      </c>
      <c r="BE199" s="39" t="n">
        <f aca="false">IFERROR(IF($C199="","",IF($D199="","",IFERROR(ROUND($D199*INDEX('🔖 배합비 참조'!$B$2:$CE$83,MATCH("쑥가루(국내산)",'🔖 배합비 참조'!$A$2:$A$83,0),MATCH($C199,'🔖 배합비 참조'!$B$1:$CE$1,0))/100,0),""))),"")</f>
        <v>0</v>
      </c>
      <c r="BF199" s="39" t="n">
        <f aca="false">IFERROR(IF($C199="","",IF($D199="","",IFERROR(ROUND($D199*INDEX('🔖 배합비 참조'!$B$2:$CE$83,MATCH("아몬드슬라이스",'🔖 배합비 참조'!$A$2:$A$83,0),MATCH($C199,'🔖 배합비 참조'!$B$1:$CE$1,0))/100,0),""))),"")</f>
        <v>0</v>
      </c>
      <c r="BG199" s="39" t="n">
        <f aca="false">IFERROR(IF($C199="","",IF($D199="","",IFERROR(ROUND($D199*INDEX('🔖 배합비 참조'!$B$2:$CE$83,MATCH("알룰로오스(국내산)",'🔖 배합비 참조'!$A$2:$A$83,0),MATCH($C199,'🔖 배합비 참조'!$B$1:$CE$1,0))/100,0),""))),"")</f>
        <v>0</v>
      </c>
      <c r="BH199" s="39" t="n">
        <f aca="false">IFERROR(IF($C199="","",IF($D199="","",IFERROR(ROUND($D199*INDEX('🔖 배합비 참조'!$B$2:$CE$83,MATCH("연유",'🔖 배합비 참조'!$A$2:$A$83,0),MATCH($C199,'🔖 배합비 참조'!$B$1:$CE$1,0))/100,0),""))),"")</f>
        <v>0</v>
      </c>
      <c r="BI199" s="39" t="n">
        <f aca="false">IFERROR(IF($C199="","",IF($D199="","",IFERROR(ROUND($D199*INDEX('🔖 배합비 참조'!$B$2:$CE$83,MATCH("옥수수전분",'🔖 배합비 참조'!$A$2:$A$83,0),MATCH($C199,'🔖 배합비 참조'!$B$1:$CE$1,0))/100,0),""))),"")</f>
        <v>0</v>
      </c>
      <c r="BJ199" s="39" t="n">
        <f aca="false">IFERROR(IF($C199="","",IF($D199="","",IFERROR(ROUND($D199*INDEX('🔖 배합비 참조'!$B$2:$CE$83,MATCH("완두배기",'🔖 배합비 참조'!$A$2:$A$83,0),MATCH($C199,'🔖 배합비 참조'!$B$1:$CE$1,0))/100,0),""))),"")</f>
        <v>0</v>
      </c>
      <c r="BK199" s="39" t="n">
        <f aca="false">IFERROR(IF($C199="","",IF($D199="","",IFERROR(ROUND($D199*INDEX('🔖 배합비 참조'!$B$2:$CE$83,MATCH("우유(국내산)",'🔖 배합비 참조'!$A$2:$A$83,0),MATCH($C199,'🔖 배합비 참조'!$B$1:$CE$1,0))/100,0),""))),"")</f>
        <v>0</v>
      </c>
      <c r="BL199" s="39" t="n">
        <f aca="false">IFERROR(IF($C199="","",IF($D199="","",IFERROR(ROUND($D199*INDEX('🔖 배합비 참조'!$B$2:$CE$83,MATCH("자색고구마가루(중국산)",'🔖 배합비 참조'!$A$2:$A$83,0),MATCH($C199,'🔖 배합비 참조'!$B$1:$CE$1,0))/100,0),""))),"")</f>
        <v>0</v>
      </c>
      <c r="BM199" s="39" t="n">
        <f aca="false">IFERROR(IF($C199="","",IF($D199="","",IFERROR(ROUND($D199*INDEX('🔖 배합비 참조'!$B$2:$CE$83,MATCH("자연치즈(체다치즈)",'🔖 배합비 참조'!$A$2:$A$83,0),MATCH($C199,'🔖 배합비 참조'!$B$1:$CE$1,0))/100,0),""))),"")</f>
        <v>0</v>
      </c>
      <c r="BN199" s="39" t="n">
        <f aca="false">IFERROR(IF($C199="","",IF($D199="","",IFERROR(ROUND($D199*INDEX('🔖 배합비 참조'!$B$2:$CE$83,MATCH("정제수",'🔖 배합비 참조'!$A$2:$A$83,0),MATCH($C199,'🔖 배합비 참조'!$B$1:$CE$1,0))/100,0),""))),"")</f>
        <v>30</v>
      </c>
      <c r="BO199" s="39" t="n">
        <f aca="false">IFERROR(IF($C199="","",IF($D199="","",IFERROR(ROUND($D199*INDEX('🔖 배합비 참조'!$B$2:$CE$83,MATCH("젤라틴",'🔖 배합비 참조'!$A$2:$A$83,0),MATCH($C199,'🔖 배합비 참조'!$B$1:$CE$1,0))/100,0),""))),"")</f>
        <v>0</v>
      </c>
      <c r="BP199" s="39" t="n">
        <f aca="false">IFERROR(IF($C199="","",IF($D199="","",IFERROR(ROUND($D199*INDEX('🔖 배합비 참조'!$B$2:$CE$83,MATCH("조림류(백옥앙금)",'🔖 배합비 참조'!$A$2:$A$83,0),MATCH($C199,'🔖 배합비 참조'!$B$1:$CE$1,0))/100,0),""))),"")</f>
        <v>0</v>
      </c>
      <c r="BQ199" s="39" t="n">
        <f aca="false">IFERROR(IF($C199="","",IF($D199="","",IFERROR(ROUND($D199*INDEX('🔖 배합비 참조'!$B$2:$CE$83,MATCH("조림류(통팥앙금)",'🔖 배합비 참조'!$A$2:$A$83,0),MATCH($C199,'🔖 배합비 참조'!$B$1:$CE$1,0))/100,0),""))),"")</f>
        <v>178</v>
      </c>
      <c r="BR199" s="39" t="n">
        <f aca="false">IFERROR(IF($C199="","",IF($D199="","",IFERROR(ROUND($D199*INDEX('🔖 배합비 참조'!$B$2:$CE$83,MATCH("준초콜릿(외국산)",'🔖 배합비 참조'!$A$2:$A$83,0),MATCH($C199,'🔖 배합비 참조'!$B$1:$CE$1,0))/100,0),""))),"")</f>
        <v>0</v>
      </c>
      <c r="BS199" s="39" t="n">
        <f aca="false">IFERROR(IF($C199="","",IF($D199="","",IFERROR(ROUND($D199*INDEX('🔖 배합비 참조'!$B$2:$CE$83,MATCH("중력분",'🔖 배합비 참조'!$A$2:$A$83,0),MATCH($C199,'🔖 배합비 참조'!$B$1:$CE$1,0))/100,0),""))),"")</f>
        <v>20</v>
      </c>
      <c r="BT199" s="39" t="n">
        <f aca="false">IFERROR(IF($C199="","",IF($D199="","",IFERROR(ROUND($D199*INDEX('🔖 배합비 참조'!$B$2:$CE$83,MATCH("참깨(인도산,나이지리아산,탄자니아산,미얀마산)",'🔖 배합비 참조'!$A$2:$A$83,0),MATCH($C199,'🔖 배합비 참조'!$B$1:$CE$1,0))/100,0),""))),"")</f>
        <v>0</v>
      </c>
      <c r="BU199" s="39" t="n">
        <f aca="false">IFERROR(IF($C199="","",IF($D199="","",IFERROR(ROUND($D199*INDEX('🔖 배합비 참조'!$B$2:$CE$83,MATCH("찹쌀(국내산)",'🔖 배합비 참조'!$A$2:$A$83,0),MATCH($C199,'🔖 배합비 참조'!$B$1:$CE$1,0))/100,0),""))),"")</f>
        <v>426</v>
      </c>
      <c r="BV199" s="39" t="n">
        <f aca="false">IFERROR(IF($C199="","",IF($D199="","",IFERROR(ROUND($D199*INDEX('🔖 배합비 참조'!$B$2:$CE$83,MATCH("천일염",'🔖 배합비 참조'!$A$2:$A$83,0),MATCH($C199,'🔖 배합비 참조'!$B$1:$CE$1,0))/100,0),""))),"")</f>
        <v>20</v>
      </c>
      <c r="BW199" s="39" t="n">
        <f aca="false">IFERROR(IF($C199="","",IF($D199="","",IFERROR(ROUND($D199*INDEX('🔖 배합비 참조'!$B$2:$CE$83,MATCH("치즈 [크림치즈]",'🔖 배합비 참조'!$A$2:$A$83,0),MATCH($C199,'🔖 배합비 참조'!$B$1:$CE$1,0))/100,0),""))),"")</f>
        <v>0</v>
      </c>
      <c r="BX199" s="39" t="n">
        <f aca="false">IFERROR(IF($C199="","",IF($D199="","",IFERROR(ROUND($D199*INDEX('🔖 배합비 참조'!$B$2:$CE$83,MATCH("코코아가공품류(코코아분말)",'🔖 배합비 참조'!$A$2:$A$83,0),MATCH($C199,'🔖 배합비 참조'!$B$1:$CE$1,0))/100,0),""))),"")</f>
        <v>0</v>
      </c>
      <c r="BY199" s="39" t="n">
        <f aca="false">IFERROR(IF($C199="","",IF($D199="","",IFERROR(ROUND($D199*INDEX('🔖 배합비 참조'!$B$2:$CE$83,MATCH("콩기름(대두유)",'🔖 배합비 참조'!$A$2:$A$83,0),MATCH($C199,'🔖 배합비 참조'!$B$1:$CE$1,0))/100,0),""))),"")</f>
        <v>0</v>
      </c>
      <c r="BZ199" s="39" t="n">
        <f aca="false">IFERROR(IF($C199="","",IF($D199="","",IFERROR(ROUND($D199*INDEX('🔖 배합비 참조'!$B$2:$CE$83,MATCH("해바라기씨앗",'🔖 배합비 참조'!$A$2:$A$83,0),MATCH($C199,'🔖 배합비 참조'!$B$1:$CE$1,0))/100,0),""))),"")</f>
        <v>0</v>
      </c>
      <c r="CA199" s="39" t="n">
        <f aca="false">IFERROR(IF($C199="","",IF($D199="","",IFERROR(ROUND($D199*INDEX('🔖 배합비 참조'!$B$2:$CE$83,MATCH("현미(국내산)",'🔖 배합비 참조'!$A$2:$A$83,0),MATCH($C199,'🔖 배합비 참조'!$B$1:$CE$1,0))/100,0),""))),"")</f>
        <v>0</v>
      </c>
      <c r="CB199" s="39" t="n">
        <f aca="false">IFERROR(IF($C199="","",IF($D199="","",IFERROR(ROUND($D199*INDEX('🔖 배합비 참조'!$B$2:$CE$83,MATCH("현미멥쌀(국내산)",'🔖 배합비 참조'!$A$2:$A$83,0),MATCH($C199,'🔖 배합비 참조'!$B$1:$CE$1,0))/100,0),""))),"")</f>
        <v>0</v>
      </c>
      <c r="CC199" s="39" t="n">
        <f aca="false">IFERROR(IF($C199="","",IF($D199="","",IFERROR(ROUND($D199*INDEX('🔖 배합비 참조'!$B$2:$CE$83,MATCH("호두분태(미국산)",'🔖 배합비 참조'!$A$2:$A$83,0),MATCH($C199,'🔖 배합비 참조'!$B$1:$CE$1,0))/100,0),""))),"")</f>
        <v>0</v>
      </c>
      <c r="CD199" s="39" t="n">
        <f aca="false">IFERROR(IF($C199="","",IF($D199="","",IFERROR(ROUND($D199*INDEX('🔖 배합비 참조'!$B$2:$CE$83,MATCH("호박씨앗(외국산)",'🔖 배합비 참조'!$A$2:$A$83,0),MATCH($C199,'🔖 배합비 참조'!$B$1:$CE$1,0))/100,0),""))),"")</f>
        <v>0</v>
      </c>
      <c r="CE199" s="39" t="n">
        <f aca="false">IFERROR(IF($C199="","",IF($D199="","",IFERROR(ROUND($D199*INDEX('🔖 배합비 참조'!$B$2:$CE$83,MATCH("혼합제제(떡용에스텔)",'🔖 배합비 참조'!$A$2:$A$83,0),MATCH($C199,'🔖 배합비 참조'!$B$1:$CE$1,0))/100,0),""))),"")</f>
        <v>20</v>
      </c>
      <c r="CF199" s="39" t="n">
        <f aca="false">IFERROR(IF($C199="","",IF($D199="","",IFERROR(ROUND($D199*INDEX('🔖 배합비 참조'!$B$2:$CE$83,MATCH("혼합제제(스테비아)",'🔖 배합비 참조'!$A$2:$A$83,0),MATCH($C199,'🔖 배합비 참조'!$B$1:$CE$1,0))/100,0),""))),"")</f>
        <v>0</v>
      </c>
      <c r="CG199" s="39" t="n">
        <f aca="false">IFERROR(IF($C199="","",IF($D199="","",IFERROR(ROUND($D199*INDEX('🔖 배합비 참조'!$B$2:$CE$83,MATCH("화이트초콜릿",'🔖 배합비 참조'!$A$2:$A$83,0),MATCH($C199,'🔖 배합비 참조'!$B$1:$CE$1,0))/100,0),""))),"")</f>
        <v>0</v>
      </c>
      <c r="CH199" s="39" t="n">
        <f aca="false">IFERROR(IF($C199="","",IF($D199="","",IFERROR(ROUND($D199*INDEX('🔖 배합비 참조'!$B$2:$CE$83,MATCH("흑미찹쌀(국내산)",'🔖 배합비 참조'!$A$2:$A$83,0),MATCH($C199,'🔖 배합비 참조'!$B$1:$CE$1,0))/100,0),""))),"")</f>
        <v>0</v>
      </c>
      <c r="CI199" s="39" t="n">
        <f aca="false">IFERROR(IF($C199="","",IF($D199="","",IFERROR(ROUND($D199*INDEX('🔖 배합비 참조'!$B$2:$CE$83,MATCH("찰옥수수전분(미국산)",'🔖 배합비 참조'!$A$2:$A$83,0),MATCH($C199,'🔖 배합비 참조'!$B$1:$CE$1,0))/100,0),""))),"")</f>
        <v>89</v>
      </c>
      <c r="CJ199" s="40"/>
      <c r="CL199" s="1" t="s">
        <v>247</v>
      </c>
    </row>
    <row r="200" customFormat="false" ht="18" hidden="false" customHeight="true" outlineLevel="0" collapsed="false">
      <c r="A200" s="41" t="n">
        <v>196</v>
      </c>
      <c r="B200" s="36" t="n">
        <v>46056</v>
      </c>
      <c r="C200" s="37" t="s">
        <v>236</v>
      </c>
      <c r="D200" s="38" t="n">
        <v>110</v>
      </c>
      <c r="E200" s="17"/>
      <c r="F200" s="17"/>
      <c r="G200" s="42" t="n">
        <f aca="false">IFERROR(IF($C200="","",IF($D200="","",IFERROR(ROUND($D200*INDEX('🔖 배합비 참조'!$B$2:$CE$83,MATCH("간장",'🔖 배합비 참조'!$A$2:$A$83,0),MATCH($C200,'🔖 배합비 참조'!$B$1:$CE$1,0))/100,0),""))),"")</f>
        <v>0</v>
      </c>
      <c r="H200" s="42" t="n">
        <f aca="false">IFERROR(IF($C200="","",IF($D200="","",IFERROR(ROUND($D200*INDEX('🔖 배합비 참조'!$B$2:$CE$83,MATCH("강낭콩((울타리콩))",'🔖 배합비 참조'!$A$2:$A$83,0),MATCH($C200,'🔖 배합비 참조'!$B$1:$CE$1,0))/100,0),""))),"")</f>
        <v>0</v>
      </c>
      <c r="I200" s="42" t="n">
        <f aca="false">IFERROR(IF($C200="","",IF($D200="","",IFERROR(ROUND($D200*INDEX('🔖 배합비 참조'!$B$2:$CE$83,MATCH("건조딸기다이스(외국산)",'🔖 배합비 참조'!$A$2:$A$83,0),MATCH($C200,'🔖 배합비 참조'!$B$1:$CE$1,0))/100,0),""))),"")</f>
        <v>0</v>
      </c>
      <c r="J200" s="42" t="n">
        <f aca="false">IFERROR(IF($C200="","",IF($D200="","",IFERROR(ROUND($D200*INDEX('🔖 배합비 참조'!$B$2:$CE$83,MATCH("건포도",'🔖 배합비 참조'!$A$2:$A$83,0),MATCH($C200,'🔖 배합비 참조'!$B$1:$CE$1,0))/100,0),""))),"")</f>
        <v>0</v>
      </c>
      <c r="K200" s="42" t="n">
        <f aca="false">IFERROR(IF($C200="","",IF($D200="","",IFERROR(ROUND($D200*INDEX('🔖 배합비 참조'!$B$2:$CE$83,MATCH("건호박채(중국산)",'🔖 배합비 참조'!$A$2:$A$83,0),MATCH($C200,'🔖 배합비 참조'!$B$1:$CE$1,0))/100,0),""))),"")</f>
        <v>0</v>
      </c>
      <c r="L200" s="42" t="n">
        <f aca="false">IFERROR(IF($C200="","",IF($D200="","",IFERROR(ROUND($D200*INDEX('🔖 배합비 참조'!$B$2:$CE$83,MATCH("검정깨(흑임자)",'🔖 배합비 참조'!$A$2:$A$83,0),MATCH($C200,'🔖 배합비 참조'!$B$1:$CE$1,0))/100,0),""))),"")</f>
        <v>0</v>
      </c>
      <c r="M200" s="42" t="n">
        <f aca="false">IFERROR(IF($C200="","",IF($D200="","",IFERROR(ROUND($D200*INDEX('🔖 배합비 참조'!$B$2:$CE$83,MATCH("검정콩",'🔖 배합비 참조'!$A$2:$A$83,0),MATCH($C200,'🔖 배합비 참조'!$B$1:$CE$1,0))/100,0),""))),"")</f>
        <v>0</v>
      </c>
      <c r="N200" s="42" t="n">
        <f aca="false">IFERROR(IF($C200="","",IF($D200="","",IFERROR(ROUND($D200*INDEX('🔖 배합비 참조'!$B$2:$CE$83,MATCH("계피가루",'🔖 배합비 참조'!$A$2:$A$83,0),MATCH($C200,'🔖 배합비 참조'!$B$1:$CE$1,0))/100,0),""))),"")</f>
        <v>0</v>
      </c>
      <c r="O200" s="42" t="n">
        <f aca="false">IFERROR(IF($C200="","",IF($D200="","",IFERROR(ROUND($D200*INDEX('🔖 배합비 참조'!$B$2:$CE$83,MATCH("고구마가루",'🔖 배합비 참조'!$A$2:$A$83,0),MATCH($C200,'🔖 배합비 참조'!$B$1:$CE$1,0))/100,0),""))),"")</f>
        <v>0</v>
      </c>
      <c r="P200" s="42" t="n">
        <f aca="false">IFERROR(IF($C200="","",IF($D200="","",IFERROR(ROUND($D200*INDEX('🔖 배합비 참조'!$B$2:$CE$83,MATCH("고구마무스",'🔖 배합비 참조'!$A$2:$A$83,0),MATCH($C200,'🔖 배합비 참조'!$B$1:$CE$1,0))/100,0),""))),"")</f>
        <v>0</v>
      </c>
      <c r="Q200" s="42" t="n">
        <f aca="false">IFERROR(IF($C200="","",IF($D200="","",IFERROR(ROUND($D200*INDEX('🔖 배합비 참조'!$B$2:$CE$83,MATCH("고려엉겅퀴((곤드레)국내산)",'🔖 배합비 참조'!$A$2:$A$83,0),MATCH($C200,'🔖 배합비 참조'!$B$1:$CE$1,0))/100,0),""))),"")</f>
        <v>0</v>
      </c>
      <c r="R200" s="42" t="n">
        <f aca="false">IFERROR(IF($C200="","",IF($D200="","",IFERROR(ROUND($D200*INDEX('🔖 배합비 참조'!$B$2:$CE$83,MATCH("기타가공품(복분자가루)",'🔖 배합비 참조'!$A$2:$A$83,0),MATCH($C200,'🔖 배합비 참조'!$B$1:$CE$1,0))/100,0),""))),"")</f>
        <v>0</v>
      </c>
      <c r="S200" s="42" t="n">
        <f aca="false">IFERROR(IF($C200="","",IF($D200="","",IFERROR(ROUND($D200*INDEX('🔖 배합비 참조'!$B$2:$CE$83,MATCH("기타가공품(슈퍼소프트엠)",'🔖 배합비 참조'!$A$2:$A$83,0),MATCH($C200,'🔖 배합비 참조'!$B$1:$CE$1,0))/100,0),""))),"")</f>
        <v>0</v>
      </c>
      <c r="T200" s="42" t="n">
        <f aca="false">IFERROR(IF($C200="","",IF($D200="","",IFERROR(ROUND($D200*INDEX('🔖 배합비 참조'!$B$2:$CE$83,MATCH("기타가공품(파인소프트 E-티)",'🔖 배합비 참조'!$A$2:$A$83,0),MATCH($C200,'🔖 배합비 참조'!$B$1:$CE$1,0))/100,0),""))),"")</f>
        <v>0</v>
      </c>
      <c r="U200" s="42" t="n">
        <f aca="false">IFERROR(IF($C200="","",IF($D200="","",IFERROR(ROUND($D200*INDEX('🔖 배합비 참조'!$B$2:$CE$83,MATCH("기타가공품(프리미엄카스테라가루)",'🔖 배합비 참조'!$A$2:$A$83,0),MATCH($C200,'🔖 배합비 참조'!$B$1:$CE$1,0))/100,0),""))),"")</f>
        <v>0</v>
      </c>
      <c r="V200" s="42" t="n">
        <f aca="false">IFERROR(IF($C200="","",IF($D200="","",IFERROR(ROUND($D200*INDEX('🔖 배합비 참조'!$B$2:$CE$83,MATCH("기타가공품(흑임자가루)",'🔖 배합비 참조'!$A$2:$A$83,0),MATCH($C200,'🔖 배합비 참조'!$B$1:$CE$1,0))/100,0),""))),"")</f>
        <v>0</v>
      </c>
      <c r="W200" s="42" t="n">
        <f aca="false">IFERROR(IF($C200="","",IF($D200="","",IFERROR(ROUND($D200*INDEX('🔖 배합비 참조'!$B$2:$CE$83,MATCH("기타설탕(흑설탕)",'🔖 배합비 참조'!$A$2:$A$83,0),MATCH($C200,'🔖 배합비 참조'!$B$1:$CE$1,0))/100,0),""))),"")</f>
        <v>0</v>
      </c>
      <c r="X200" s="42" t="n">
        <f aca="false">IFERROR(IF($C200="","",IF($D200="","",IFERROR(ROUND($D200*INDEX('🔖 배합비 참조'!$B$2:$CE$83,MATCH("냉동쑥(국내산)",'🔖 배합비 참조'!$A$2:$A$83,0),MATCH($C200,'🔖 배합비 참조'!$B$1:$CE$1,0))/100,0),""))),"")</f>
        <v>2</v>
      </c>
      <c r="Y200" s="42" t="n">
        <f aca="false">IFERROR(IF($C200="","",IF($D200="","",IFERROR(ROUND($D200*INDEX('🔖 배합비 참조'!$B$2:$CE$83,MATCH("냉동증숙고구마(중국산)",'🔖 배합비 참조'!$A$2:$A$83,0),MATCH($C200,'🔖 배합비 참조'!$B$1:$CE$1,0))/100,0),""))),"")</f>
        <v>0</v>
      </c>
      <c r="Z200" s="42" t="n">
        <f aca="false">IFERROR(IF($C200="","",IF($D200="","",IFERROR(ROUND($D200*INDEX('🔖 배합비 참조'!$B$2:$CE$83,MATCH("녹차가루",'🔖 배합비 참조'!$A$2:$A$83,0),MATCH($C200,'🔖 배합비 참조'!$B$1:$CE$1,0))/100,0),""))),"")</f>
        <v>0</v>
      </c>
      <c r="AA200" s="42" t="n">
        <f aca="false">IFERROR(IF($C200="","",IF($D200="","",IFERROR(ROUND($D200*INDEX('🔖 배합비 참조'!$B$2:$CE$83,MATCH("다크초콜릿 컴파운드칩",'🔖 배합비 참조'!$A$2:$A$83,0),MATCH($C200,'🔖 배합비 참조'!$B$1:$CE$1,0))/100,0),""))),"")</f>
        <v>0</v>
      </c>
      <c r="AB200" s="42" t="n">
        <f aca="false">IFERROR(IF($C200="","",IF($D200="","",IFERROR(ROUND($D200*INDEX('🔖 배합비 참조'!$B$2:$CE$83,MATCH("단호박분말(중국산)",'🔖 배합비 참조'!$A$2:$A$83,0),MATCH($C200,'🔖 배합비 참조'!$B$1:$CE$1,0))/100,0),""))),"")</f>
        <v>0</v>
      </c>
      <c r="AC200" s="42" t="n">
        <f aca="false">IFERROR(IF($C200="","",IF($D200="","",IFERROR(ROUND($D200*INDEX('🔖 배합비 참조'!$B$2:$CE$83,MATCH("당류가공품(단호박농축액)",'🔖 배합비 참조'!$A$2:$A$83,0),MATCH($C200,'🔖 배합비 참조'!$B$1:$CE$1,0))/100,0),""))),"")</f>
        <v>0</v>
      </c>
      <c r="AD200" s="42" t="n">
        <f aca="false">IFERROR(IF($C200="","",IF($D200="","",IFERROR(ROUND($D200*INDEX('🔖 배합비 참조'!$B$2:$CE$83,MATCH("당류가공품(알룰로스,에리스리톨,스테비올배당체혼합)",'🔖 배합비 참조'!$A$2:$A$83,0),MATCH($C200,'🔖 배합비 참조'!$B$1:$CE$1,0))/100,0),""))),"")</f>
        <v>0</v>
      </c>
      <c r="AE200" s="42" t="n">
        <f aca="false">IFERROR(IF($C200="","",IF($D200="","",IFERROR(ROUND($D200*INDEX('🔖 배합비 참조'!$B$2:$CE$83,MATCH("당류가공품(알룰로스제로파우더)",'🔖 배합비 참조'!$A$2:$A$83,0),MATCH($C200,'🔖 배합비 참조'!$B$1:$CE$1,0))/100,0),""))),"")</f>
        <v>0</v>
      </c>
      <c r="AF200" s="42" t="n">
        <f aca="false">IFERROR(IF($C200="","",IF($D200="","",IFERROR(ROUND($D200*INDEX('🔖 배합비 참조'!$B$2:$CE$83,MATCH("당절임(완두배기)",'🔖 배합비 참조'!$A$2:$A$83,0),MATCH($C200,'🔖 배합비 참조'!$B$1:$CE$1,0))/100,0),""))),"")</f>
        <v>0</v>
      </c>
      <c r="AG200" s="42" t="n">
        <f aca="false">IFERROR(IF($C200="","",IF($D200="","",IFERROR(ROUND($D200*INDEX('🔖 배합비 참조'!$B$2:$CE$83,MATCH("대추농축액",'🔖 배합비 참조'!$A$2:$A$83,0),MATCH($C200,'🔖 배합비 참조'!$B$1:$CE$1,0))/100,0),""))),"")</f>
        <v>0</v>
      </c>
      <c r="AH200" s="42" t="n">
        <f aca="false">IFERROR(IF($C200="","",IF($D200="","",IFERROR(ROUND($D200*INDEX('🔖 배합비 참조'!$B$2:$CE$83,MATCH("대추채(국내산)",'🔖 배합비 참조'!$A$2:$A$83,0),MATCH($C200,'🔖 배합비 참조'!$B$1:$CE$1,0))/100,0),""))),"")</f>
        <v>0</v>
      </c>
      <c r="AI200" s="42" t="n">
        <f aca="false">IFERROR(IF($C200="","",IF($D200="","",IFERROR(ROUND($D200*INDEX('🔖 배합비 참조'!$B$2:$CE$83,MATCH("동부(미얀마산)",'🔖 배합비 참조'!$A$2:$A$83,0),MATCH($C200,'🔖 배합비 참조'!$B$1:$CE$1,0))/100,0),""))),"")</f>
        <v>14</v>
      </c>
      <c r="AJ200" s="42" t="n">
        <f aca="false">IFERROR(IF($C200="","",IF($D200="","",IFERROR(ROUND($D200*INDEX('🔖 배합비 참조'!$B$2:$CE$83,MATCH("두류가공품(백옥앙금)",'🔖 배합비 참조'!$A$2:$A$83,0),MATCH($C200,'🔖 배합비 참조'!$B$1:$CE$1,0))/100,0),""))),"")</f>
        <v>0</v>
      </c>
      <c r="AK200" s="42" t="n">
        <f aca="false">IFERROR(IF($C200="","",IF($D200="","",IFERROR(ROUND($D200*INDEX('🔖 배합비 참조'!$B$2:$CE$83,MATCH("두류가공품(콩고물)",'🔖 배합비 참조'!$A$2:$A$83,0),MATCH($C200,'🔖 배합비 참조'!$B$1:$CE$1,0))/100,0),""))),"")</f>
        <v>3</v>
      </c>
      <c r="AL200" s="42" t="n">
        <f aca="false">IFERROR(IF($C200="","",IF($D200="","",IFERROR(ROUND($D200*INDEX('🔖 배합비 참조'!$B$2:$CE$83,MATCH("두류가공품(통팥고물)",'🔖 배합비 참조'!$A$2:$A$83,0),MATCH($C200,'🔖 배합비 참조'!$B$1:$CE$1,0))/100,0),""))),"")</f>
        <v>0</v>
      </c>
      <c r="AM200" s="42" t="n">
        <f aca="false">IFERROR(IF($C200="","",IF($D200="","",IFERROR(ROUND($D200*INDEX('🔖 배합비 참조'!$B$2:$CE$83,MATCH("딸기레진",'🔖 배합비 참조'!$A$2:$A$83,0),MATCH($C200,'🔖 배합비 참조'!$B$1:$CE$1,0))/100,0),""))),"")</f>
        <v>0</v>
      </c>
      <c r="AN200" s="42" t="n">
        <f aca="false">IFERROR(IF($C200="","",IF($D200="","",IFERROR(ROUND($D200*INDEX('🔖 배합비 참조'!$B$2:$CE$83,MATCH("딸기분말(스트로우베리에이드(분말))",'🔖 배합비 참조'!$A$2:$A$83,0),MATCH($C200,'🔖 배합비 참조'!$B$1:$CE$1,0))/100,0),""))),"")</f>
        <v>0</v>
      </c>
      <c r="AO200" s="42" t="n">
        <f aca="false">IFERROR(IF($C200="","",IF($D200="","",IFERROR(ROUND($D200*INDEX('🔖 배합비 참조'!$B$2:$CE$83,MATCH("마스카포네치즈",'🔖 배합비 참조'!$A$2:$A$83,0),MATCH($C200,'🔖 배합비 참조'!$B$1:$CE$1,0))/100,0),""))),"")</f>
        <v>0</v>
      </c>
      <c r="AP200" s="42" t="n">
        <f aca="false">IFERROR(IF($C200="","",IF($D200="","",IFERROR(ROUND($D200*INDEX('🔖 배합비 참조'!$B$2:$CE$83,MATCH("마카다미아분태(호주산)",'🔖 배합비 참조'!$A$2:$A$83,0),MATCH($C200,'🔖 배합비 참조'!$B$1:$CE$1,0))/100,0),""))),"")</f>
        <v>0</v>
      </c>
      <c r="AQ200" s="42" t="n">
        <f aca="false">IFERROR(IF($C200="","",IF($D200="","",IFERROR(ROUND($D200*INDEX('🔖 배합비 참조'!$B$2:$CE$83,MATCH("멥쌀(국내산)",'🔖 배합비 참조'!$A$2:$A$83,0),MATCH($C200,'🔖 배합비 참조'!$B$1:$CE$1,0))/100,0),""))),"")</f>
        <v>0</v>
      </c>
      <c r="AR200" s="42" t="n">
        <f aca="false">IFERROR(IF($C200="","",IF($D200="","",IFERROR(ROUND($D200*INDEX('🔖 배합비 참조'!$B$2:$CE$83,MATCH("모시잎(국내산)",'🔖 배합비 참조'!$A$2:$A$83,0),MATCH($C200,'🔖 배합비 참조'!$B$1:$CE$1,0))/100,0),""))),"")</f>
        <v>0</v>
      </c>
      <c r="AS200" s="42" t="n">
        <f aca="false">IFERROR(IF($C200="","",IF($D200="","",IFERROR(ROUND($D200*INDEX('🔖 배합비 참조'!$B$2:$CE$83,MATCH("물엿(저당물엿)",'🔖 배합비 참조'!$A$2:$A$83,0),MATCH($C200,'🔖 배합비 참조'!$B$1:$CE$1,0))/100,0),""))),"")</f>
        <v>2</v>
      </c>
      <c r="AT200" s="42" t="n">
        <f aca="false">IFERROR(IF($C200="","",IF($D200="","",IFERROR(ROUND($D200*INDEX('🔖 배합비 참조'!$B$2:$CE$83,MATCH("밤다이스",'🔖 배합비 참조'!$A$2:$A$83,0),MATCH($C200,'🔖 배합비 참조'!$B$1:$CE$1,0))/100,0),""))),"")</f>
        <v>0</v>
      </c>
      <c r="AU200" s="42" t="n">
        <f aca="false">IFERROR(IF($C200="","",IF($D200="","",IFERROR(ROUND($D200*INDEX('🔖 배합비 참조'!$B$2:$CE$83,MATCH("변성전분(타피오카전분)",'🔖 배합비 참조'!$A$2:$A$83,0),MATCH($C200,'🔖 배합비 참조'!$B$1:$CE$1,0))/100,0),""))),"")</f>
        <v>0</v>
      </c>
      <c r="AV200" s="42" t="n">
        <f aca="false">IFERROR(IF($C200="","",IF($D200="","",IFERROR(ROUND($D200*INDEX('🔖 배합비 참조'!$B$2:$CE$83,MATCH("복음땅콩분태",'🔖 배합비 참조'!$A$2:$A$83,0),MATCH($C200,'🔖 배합비 참조'!$B$1:$CE$1,0))/100,0),""))),"")</f>
        <v>0</v>
      </c>
      <c r="AW200" s="42" t="n">
        <f aca="false">IFERROR(IF($C200="","",IF($D200="","",IFERROR(ROUND($D200*INDEX('🔖 배합비 참조'!$B$2:$CE$83,MATCH("사양벌꿀(국내산)",'🔖 배합비 참조'!$A$2:$A$83,0),MATCH($C200,'🔖 배합비 참조'!$B$1:$CE$1,0))/100,0),""))),"")</f>
        <v>0</v>
      </c>
      <c r="AX200" s="42" t="n">
        <f aca="false">IFERROR(IF($C200="","",IF($D200="","",IFERROR(ROUND($D200*INDEX('🔖 배합비 참조'!$B$2:$CE$83,MATCH("생크림",'🔖 배합비 참조'!$A$2:$A$83,0),MATCH($C200,'🔖 배합비 참조'!$B$1:$CE$1,0))/100,0),""))),"")</f>
        <v>0</v>
      </c>
      <c r="AY200" s="42" t="n">
        <f aca="false">IFERROR(IF($C200="","",IF($D200="","",IFERROR(ROUND($D200*INDEX('🔖 배합비 참조'!$B$2:$CE$83,MATCH("서양호박(국내산,뉴질랜드산)",'🔖 배합비 참조'!$A$2:$A$83,0),MATCH($C200,'🔖 배합비 참조'!$B$1:$CE$1,0))/100,0),""))),"")</f>
        <v>0</v>
      </c>
      <c r="AZ200" s="42" t="n">
        <f aca="false">IFERROR(IF($C200="","",IF($D200="","",IFERROR(ROUND($D200*INDEX('🔖 배합비 참조'!$B$2:$CE$83,MATCH("설탕",'🔖 배합비 참조'!$A$2:$A$83,0),MATCH($C200,'🔖 배합비 참조'!$B$1:$CE$1,0))/100,0),""))),"")</f>
        <v>2</v>
      </c>
      <c r="BA200" s="42" t="n">
        <f aca="false">IFERROR(IF($C200="","",IF($D200="","",IFERROR(ROUND($D200*INDEX('🔖 배합비 참조'!$B$2:$CE$83,MATCH("스트로우베리 에이드 후레쉬",'🔖 배합비 참조'!$A$2:$A$83,0),MATCH($C200,'🔖 배합비 참조'!$B$1:$CE$1,0))/100,0),""))),"")</f>
        <v>0</v>
      </c>
      <c r="BB200" s="42" t="n">
        <f aca="false">IFERROR(IF($C200="","",IF($D200="","",IFERROR(ROUND($D200*INDEX('🔖 배합비 참조'!$B$2:$CE$83,MATCH("식물성기름혼합제제(분홍)",'🔖 배합비 참조'!$A$2:$A$83,0),MATCH($C200,'🔖 배합비 참조'!$B$1:$CE$1,0))/100,0),""))),"")</f>
        <v>0</v>
      </c>
      <c r="BC200" s="42" t="n">
        <f aca="false">IFERROR(IF($C200="","",IF($D200="","",IFERROR(ROUND($D200*INDEX('🔖 배합비 참조'!$B$2:$CE$83,MATCH("식물성기름혼합제제(초록)",'🔖 배합비 참조'!$A$2:$A$83,0),MATCH($C200,'🔖 배합비 참조'!$B$1:$CE$1,0))/100,0),""))),"")</f>
        <v>0</v>
      </c>
      <c r="BD200" s="42" t="n">
        <f aca="false">IFERROR(IF($C200="","",IF($D200="","",IFERROR(ROUND($D200*INDEX('🔖 배합비 참조'!$B$2:$CE$83,MATCH("식물성기름혼합제제(황색)",'🔖 배합비 참조'!$A$2:$A$83,0),MATCH($C200,'🔖 배합비 참조'!$B$1:$CE$1,0))/100,0),""))),"")</f>
        <v>0</v>
      </c>
      <c r="BE200" s="42" t="n">
        <f aca="false">IFERROR(IF($C200="","",IF($D200="","",IFERROR(ROUND($D200*INDEX('🔖 배합비 참조'!$B$2:$CE$83,MATCH("쑥가루(국내산)",'🔖 배합비 참조'!$A$2:$A$83,0),MATCH($C200,'🔖 배합비 참조'!$B$1:$CE$1,0))/100,0),""))),"")</f>
        <v>1</v>
      </c>
      <c r="BF200" s="42" t="n">
        <f aca="false">IFERROR(IF($C200="","",IF($D200="","",IFERROR(ROUND($D200*INDEX('🔖 배합비 참조'!$B$2:$CE$83,MATCH("아몬드슬라이스",'🔖 배합비 참조'!$A$2:$A$83,0),MATCH($C200,'🔖 배합비 참조'!$B$1:$CE$1,0))/100,0),""))),"")</f>
        <v>0</v>
      </c>
      <c r="BG200" s="42" t="n">
        <f aca="false">IFERROR(IF($C200="","",IF($D200="","",IFERROR(ROUND($D200*INDEX('🔖 배합비 참조'!$B$2:$CE$83,MATCH("알룰로오스(국내산)",'🔖 배합비 참조'!$A$2:$A$83,0),MATCH($C200,'🔖 배합비 참조'!$B$1:$CE$1,0))/100,0),""))),"")</f>
        <v>0</v>
      </c>
      <c r="BH200" s="42" t="n">
        <f aca="false">IFERROR(IF($C200="","",IF($D200="","",IFERROR(ROUND($D200*INDEX('🔖 배합비 참조'!$B$2:$CE$83,MATCH("연유",'🔖 배합비 참조'!$A$2:$A$83,0),MATCH($C200,'🔖 배합비 참조'!$B$1:$CE$1,0))/100,0),""))),"")</f>
        <v>0</v>
      </c>
      <c r="BI200" s="42" t="n">
        <f aca="false">IFERROR(IF($C200="","",IF($D200="","",IFERROR(ROUND($D200*INDEX('🔖 배합비 참조'!$B$2:$CE$83,MATCH("옥수수전분",'🔖 배합비 참조'!$A$2:$A$83,0),MATCH($C200,'🔖 배합비 참조'!$B$1:$CE$1,0))/100,0),""))),"")</f>
        <v>0</v>
      </c>
      <c r="BJ200" s="42" t="n">
        <f aca="false">IFERROR(IF($C200="","",IF($D200="","",IFERROR(ROUND($D200*INDEX('🔖 배합비 참조'!$B$2:$CE$83,MATCH("완두배기",'🔖 배합비 참조'!$A$2:$A$83,0),MATCH($C200,'🔖 배합비 참조'!$B$1:$CE$1,0))/100,0),""))),"")</f>
        <v>0</v>
      </c>
      <c r="BK200" s="42" t="n">
        <f aca="false">IFERROR(IF($C200="","",IF($D200="","",IFERROR(ROUND($D200*INDEX('🔖 배합비 참조'!$B$2:$CE$83,MATCH("우유(국내산)",'🔖 배합비 참조'!$A$2:$A$83,0),MATCH($C200,'🔖 배합비 참조'!$B$1:$CE$1,0))/100,0),""))),"")</f>
        <v>0</v>
      </c>
      <c r="BL200" s="42" t="n">
        <f aca="false">IFERROR(IF($C200="","",IF($D200="","",IFERROR(ROUND($D200*INDEX('🔖 배합비 참조'!$B$2:$CE$83,MATCH("자색고구마가루(중국산)",'🔖 배합비 참조'!$A$2:$A$83,0),MATCH($C200,'🔖 배합비 참조'!$B$1:$CE$1,0))/100,0),""))),"")</f>
        <v>0</v>
      </c>
      <c r="BM200" s="42" t="n">
        <f aca="false">IFERROR(IF($C200="","",IF($D200="","",IFERROR(ROUND($D200*INDEX('🔖 배합비 참조'!$B$2:$CE$83,MATCH("자연치즈(체다치즈)",'🔖 배합비 참조'!$A$2:$A$83,0),MATCH($C200,'🔖 배합비 참조'!$B$1:$CE$1,0))/100,0),""))),"")</f>
        <v>0</v>
      </c>
      <c r="BN200" s="42" t="n">
        <f aca="false">IFERROR(IF($C200="","",IF($D200="","",IFERROR(ROUND($D200*INDEX('🔖 배합비 참조'!$B$2:$CE$83,MATCH("정제수",'🔖 배합비 참조'!$A$2:$A$83,0),MATCH($C200,'🔖 배합비 참조'!$B$1:$CE$1,0))/100,0),""))),"")</f>
        <v>13</v>
      </c>
      <c r="BO200" s="42" t="n">
        <f aca="false">IFERROR(IF($C200="","",IF($D200="","",IFERROR(ROUND($D200*INDEX('🔖 배합비 참조'!$B$2:$CE$83,MATCH("젤라틴",'🔖 배합비 참조'!$A$2:$A$83,0),MATCH($C200,'🔖 배합비 참조'!$B$1:$CE$1,0))/100,0),""))),"")</f>
        <v>0</v>
      </c>
      <c r="BP200" s="42" t="n">
        <f aca="false">IFERROR(IF($C200="","",IF($D200="","",IFERROR(ROUND($D200*INDEX('🔖 배합비 참조'!$B$2:$CE$83,MATCH("조림류(백옥앙금)",'🔖 배합비 참조'!$A$2:$A$83,0),MATCH($C200,'🔖 배합비 참조'!$B$1:$CE$1,0))/100,0),""))),"")</f>
        <v>27</v>
      </c>
      <c r="BQ200" s="42" t="n">
        <f aca="false">IFERROR(IF($C200="","",IF($D200="","",IFERROR(ROUND($D200*INDEX('🔖 배합비 참조'!$B$2:$CE$83,MATCH("조림류(통팥앙금)",'🔖 배합비 참조'!$A$2:$A$83,0),MATCH($C200,'🔖 배합비 참조'!$B$1:$CE$1,0))/100,0),""))),"")</f>
        <v>0</v>
      </c>
      <c r="BR200" s="42" t="n">
        <f aca="false">IFERROR(IF($C200="","",IF($D200="","",IFERROR(ROUND($D200*INDEX('🔖 배합비 참조'!$B$2:$CE$83,MATCH("준초콜릿(외국산)",'🔖 배합비 참조'!$A$2:$A$83,0),MATCH($C200,'🔖 배합비 참조'!$B$1:$CE$1,0))/100,0),""))),"")</f>
        <v>0</v>
      </c>
      <c r="BS200" s="42" t="n">
        <f aca="false">IFERROR(IF($C200="","",IF($D200="","",IFERROR(ROUND($D200*INDEX('🔖 배합비 참조'!$B$2:$CE$83,MATCH("중력분",'🔖 배합비 참조'!$A$2:$A$83,0),MATCH($C200,'🔖 배합비 참조'!$B$1:$CE$1,0))/100,0),""))),"")</f>
        <v>1</v>
      </c>
      <c r="BT200" s="42" t="n">
        <f aca="false">IFERROR(IF($C200="","",IF($D200="","",IFERROR(ROUND($D200*INDEX('🔖 배합비 참조'!$B$2:$CE$83,MATCH("참깨(인도산,나이지리아산,탄자니아산,미얀마산)",'🔖 배합비 참조'!$A$2:$A$83,0),MATCH($C200,'🔖 배합비 참조'!$B$1:$CE$1,0))/100,0),""))),"")</f>
        <v>0</v>
      </c>
      <c r="BU200" s="42" t="n">
        <f aca="false">IFERROR(IF($C200="","",IF($D200="","",IFERROR(ROUND($D200*INDEX('🔖 배합비 참조'!$B$2:$CE$83,MATCH("찹쌀(국내산)",'🔖 배합비 참조'!$A$2:$A$83,0),MATCH($C200,'🔖 배합비 참조'!$B$1:$CE$1,0))/100,0),""))),"")</f>
        <v>44</v>
      </c>
      <c r="BV200" s="42" t="n">
        <f aca="false">IFERROR(IF($C200="","",IF($D200="","",IFERROR(ROUND($D200*INDEX('🔖 배합비 참조'!$B$2:$CE$83,MATCH("천일염",'🔖 배합비 참조'!$A$2:$A$83,0),MATCH($C200,'🔖 배합비 참조'!$B$1:$CE$1,0))/100,0),""))),"")</f>
        <v>1</v>
      </c>
      <c r="BW200" s="42" t="n">
        <f aca="false">IFERROR(IF($C200="","",IF($D200="","",IFERROR(ROUND($D200*INDEX('🔖 배합비 참조'!$B$2:$CE$83,MATCH("치즈 [크림치즈]",'🔖 배합비 참조'!$A$2:$A$83,0),MATCH($C200,'🔖 배합비 참조'!$B$1:$CE$1,0))/100,0),""))),"")</f>
        <v>0</v>
      </c>
      <c r="BX200" s="42" t="n">
        <f aca="false">IFERROR(IF($C200="","",IF($D200="","",IFERROR(ROUND($D200*INDEX('🔖 배합비 참조'!$B$2:$CE$83,MATCH("코코아가공품류(코코아분말)",'🔖 배합비 참조'!$A$2:$A$83,0),MATCH($C200,'🔖 배합비 참조'!$B$1:$CE$1,0))/100,0),""))),"")</f>
        <v>0</v>
      </c>
      <c r="BY200" s="42" t="n">
        <f aca="false">IFERROR(IF($C200="","",IF($D200="","",IFERROR(ROUND($D200*INDEX('🔖 배합비 참조'!$B$2:$CE$83,MATCH("콩기름(대두유)",'🔖 배합비 참조'!$A$2:$A$83,0),MATCH($C200,'🔖 배합비 참조'!$B$1:$CE$1,0))/100,0),""))),"")</f>
        <v>0</v>
      </c>
      <c r="BZ200" s="42" t="n">
        <f aca="false">IFERROR(IF($C200="","",IF($D200="","",IFERROR(ROUND($D200*INDEX('🔖 배합비 참조'!$B$2:$CE$83,MATCH("해바라기씨앗",'🔖 배합비 참조'!$A$2:$A$83,0),MATCH($C200,'🔖 배합비 참조'!$B$1:$CE$1,0))/100,0),""))),"")</f>
        <v>0</v>
      </c>
      <c r="CA200" s="42" t="n">
        <f aca="false">IFERROR(IF($C200="","",IF($D200="","",IFERROR(ROUND($D200*INDEX('🔖 배합비 참조'!$B$2:$CE$83,MATCH("현미(국내산)",'🔖 배합비 참조'!$A$2:$A$83,0),MATCH($C200,'🔖 배합비 참조'!$B$1:$CE$1,0))/100,0),""))),"")</f>
        <v>0</v>
      </c>
      <c r="CB200" s="42" t="n">
        <f aca="false">IFERROR(IF($C200="","",IF($D200="","",IFERROR(ROUND($D200*INDEX('🔖 배합비 참조'!$B$2:$CE$83,MATCH("현미멥쌀(국내산)",'🔖 배합비 참조'!$A$2:$A$83,0),MATCH($C200,'🔖 배합비 참조'!$B$1:$CE$1,0))/100,0),""))),"")</f>
        <v>0</v>
      </c>
      <c r="CC200" s="42" t="n">
        <f aca="false">IFERROR(IF($C200="","",IF($D200="","",IFERROR(ROUND($D200*INDEX('🔖 배합비 참조'!$B$2:$CE$83,MATCH("호두분태(미국산)",'🔖 배합비 참조'!$A$2:$A$83,0),MATCH($C200,'🔖 배합비 참조'!$B$1:$CE$1,0))/100,0),""))),"")</f>
        <v>0</v>
      </c>
      <c r="CD200" s="42" t="n">
        <f aca="false">IFERROR(IF($C200="","",IF($D200="","",IFERROR(ROUND($D200*INDEX('🔖 배합비 참조'!$B$2:$CE$83,MATCH("호박씨앗(외국산)",'🔖 배합비 참조'!$A$2:$A$83,0),MATCH($C200,'🔖 배합비 참조'!$B$1:$CE$1,0))/100,0),""))),"")</f>
        <v>0</v>
      </c>
      <c r="CE200" s="42" t="n">
        <f aca="false">IFERROR(IF($C200="","",IF($D200="","",IFERROR(ROUND($D200*INDEX('🔖 배합비 참조'!$B$2:$CE$83,MATCH("혼합제제(떡용에스텔)",'🔖 배합비 참조'!$A$2:$A$83,0),MATCH($C200,'🔖 배합비 참조'!$B$1:$CE$1,0))/100,0),""))),"")</f>
        <v>0</v>
      </c>
      <c r="CF200" s="42" t="n">
        <f aca="false">IFERROR(IF($C200="","",IF($D200="","",IFERROR(ROUND($D200*INDEX('🔖 배합비 참조'!$B$2:$CE$83,MATCH("혼합제제(스테비아)",'🔖 배합비 참조'!$A$2:$A$83,0),MATCH($C200,'🔖 배합비 참조'!$B$1:$CE$1,0))/100,0),""))),"")</f>
        <v>0</v>
      </c>
      <c r="CG200" s="42" t="n">
        <f aca="false">IFERROR(IF($C200="","",IF($D200="","",IFERROR(ROUND($D200*INDEX('🔖 배합비 참조'!$B$2:$CE$83,MATCH("화이트초콜릿",'🔖 배합비 참조'!$A$2:$A$83,0),MATCH($C200,'🔖 배합비 참조'!$B$1:$CE$1,0))/100,0),""))),"")</f>
        <v>0</v>
      </c>
      <c r="CH200" s="42" t="n">
        <f aca="false">IFERROR(IF($C200="","",IF($D200="","",IFERROR(ROUND($D200*INDEX('🔖 배합비 참조'!$B$2:$CE$83,MATCH("흑미찹쌀(국내산)",'🔖 배합비 참조'!$A$2:$A$83,0),MATCH($C200,'🔖 배합비 참조'!$B$1:$CE$1,0))/100,0),""))),"")</f>
        <v>0</v>
      </c>
      <c r="CI200" s="42" t="n">
        <f aca="false">IFERROR(IF($C200="","",IF($D200="","",IFERROR(ROUND($D200*INDEX('🔖 배합비 참조'!$B$2:$CE$83,MATCH("찰옥수수전분(미국산)",'🔖 배합비 참조'!$A$2:$A$83,0),MATCH($C200,'🔖 배합비 참조'!$B$1:$CE$1,0))/100,0),""))),"")</f>
        <v>0</v>
      </c>
      <c r="CJ200" s="40"/>
      <c r="CL200" s="1" t="s">
        <v>247</v>
      </c>
    </row>
    <row r="201" customFormat="false" ht="18" hidden="false" customHeight="true" outlineLevel="0" collapsed="false">
      <c r="A201" s="35" t="n">
        <v>197</v>
      </c>
      <c r="B201" s="36" t="n">
        <v>46057</v>
      </c>
      <c r="C201" s="37" t="s">
        <v>184</v>
      </c>
      <c r="D201" s="38" t="n">
        <v>179.9</v>
      </c>
      <c r="E201" s="13"/>
      <c r="F201" s="13"/>
      <c r="G201" s="39" t="n">
        <f aca="false">IFERROR(IF($C201="","",IF($D201="","",IFERROR(ROUND($D201*INDEX('🔖 배합비 참조'!$B$2:$CE$83,MATCH("간장",'🔖 배합비 참조'!$A$2:$A$83,0),MATCH($C201,'🔖 배합비 참조'!$B$1:$CE$1,0))/100,0),""))),"")</f>
        <v>0</v>
      </c>
      <c r="H201" s="39" t="n">
        <f aca="false">IFERROR(IF($C201="","",IF($D201="","",IFERROR(ROUND($D201*INDEX('🔖 배합비 참조'!$B$2:$CE$83,MATCH("강낭콩((울타리콩))",'🔖 배합비 참조'!$A$2:$A$83,0),MATCH($C201,'🔖 배합비 참조'!$B$1:$CE$1,0))/100,0),""))),"")</f>
        <v>0</v>
      </c>
      <c r="I201" s="39" t="n">
        <f aca="false">IFERROR(IF($C201="","",IF($D201="","",IFERROR(ROUND($D201*INDEX('🔖 배합비 참조'!$B$2:$CE$83,MATCH("건조딸기다이스(외국산)",'🔖 배합비 참조'!$A$2:$A$83,0),MATCH($C201,'🔖 배합비 참조'!$B$1:$CE$1,0))/100,0),""))),"")</f>
        <v>0</v>
      </c>
      <c r="J201" s="39" t="n">
        <f aca="false">IFERROR(IF($C201="","",IF($D201="","",IFERROR(ROUND($D201*INDEX('🔖 배합비 참조'!$B$2:$CE$83,MATCH("건포도",'🔖 배합비 참조'!$A$2:$A$83,0),MATCH($C201,'🔖 배합비 참조'!$B$1:$CE$1,0))/100,0),""))),"")</f>
        <v>0</v>
      </c>
      <c r="K201" s="39" t="n">
        <f aca="false">IFERROR(IF($C201="","",IF($D201="","",IFERROR(ROUND($D201*INDEX('🔖 배합비 참조'!$B$2:$CE$83,MATCH("건호박채(중국산)",'🔖 배합비 참조'!$A$2:$A$83,0),MATCH($C201,'🔖 배합비 참조'!$B$1:$CE$1,0))/100,0),""))),"")</f>
        <v>0</v>
      </c>
      <c r="L201" s="39" t="n">
        <f aca="false">IFERROR(IF($C201="","",IF($D201="","",IFERROR(ROUND($D201*INDEX('🔖 배합비 참조'!$B$2:$CE$83,MATCH("검정깨(흑임자)",'🔖 배합비 참조'!$A$2:$A$83,0),MATCH($C201,'🔖 배합비 참조'!$B$1:$CE$1,0))/100,0),""))),"")</f>
        <v>0</v>
      </c>
      <c r="M201" s="39" t="n">
        <f aca="false">IFERROR(IF($C201="","",IF($D201="","",IFERROR(ROUND($D201*INDEX('🔖 배합비 참조'!$B$2:$CE$83,MATCH("검정콩",'🔖 배합비 참조'!$A$2:$A$83,0),MATCH($C201,'🔖 배합비 참조'!$B$1:$CE$1,0))/100,0),""))),"")</f>
        <v>0</v>
      </c>
      <c r="N201" s="39" t="n">
        <f aca="false">IFERROR(IF($C201="","",IF($D201="","",IFERROR(ROUND($D201*INDEX('🔖 배합비 참조'!$B$2:$CE$83,MATCH("계피가루",'🔖 배합비 참조'!$A$2:$A$83,0),MATCH($C201,'🔖 배합비 참조'!$B$1:$CE$1,0))/100,0),""))),"")</f>
        <v>0</v>
      </c>
      <c r="O201" s="39" t="n">
        <f aca="false">IFERROR(IF($C201="","",IF($D201="","",IFERROR(ROUND($D201*INDEX('🔖 배합비 참조'!$B$2:$CE$83,MATCH("고구마가루",'🔖 배합비 참조'!$A$2:$A$83,0),MATCH($C201,'🔖 배합비 참조'!$B$1:$CE$1,0))/100,0),""))),"")</f>
        <v>0</v>
      </c>
      <c r="P201" s="39" t="n">
        <f aca="false">IFERROR(IF($C201="","",IF($D201="","",IFERROR(ROUND($D201*INDEX('🔖 배합비 참조'!$B$2:$CE$83,MATCH("고구마무스",'🔖 배합비 참조'!$A$2:$A$83,0),MATCH($C201,'🔖 배합비 참조'!$B$1:$CE$1,0))/100,0),""))),"")</f>
        <v>0</v>
      </c>
      <c r="Q201" s="39" t="n">
        <f aca="false">IFERROR(IF($C201="","",IF($D201="","",IFERROR(ROUND($D201*INDEX('🔖 배합비 참조'!$B$2:$CE$83,MATCH("고려엉겅퀴((곤드레)국내산)",'🔖 배합비 참조'!$A$2:$A$83,0),MATCH($C201,'🔖 배합비 참조'!$B$1:$CE$1,0))/100,0),""))),"")</f>
        <v>0</v>
      </c>
      <c r="R201" s="39" t="n">
        <f aca="false">IFERROR(IF($C201="","",IF($D201="","",IFERROR(ROUND($D201*INDEX('🔖 배합비 참조'!$B$2:$CE$83,MATCH("기타가공품(복분자가루)",'🔖 배합비 참조'!$A$2:$A$83,0),MATCH($C201,'🔖 배합비 참조'!$B$1:$CE$1,0))/100,0),""))),"")</f>
        <v>0</v>
      </c>
      <c r="S201" s="39" t="n">
        <f aca="false">IFERROR(IF($C201="","",IF($D201="","",IFERROR(ROUND($D201*INDEX('🔖 배합비 참조'!$B$2:$CE$83,MATCH("기타가공품(슈퍼소프트엠)",'🔖 배합비 참조'!$A$2:$A$83,0),MATCH($C201,'🔖 배합비 참조'!$B$1:$CE$1,0))/100,0),""))),"")</f>
        <v>0</v>
      </c>
      <c r="T201" s="39" t="n">
        <f aca="false">IFERROR(IF($C201="","",IF($D201="","",IFERROR(ROUND($D201*INDEX('🔖 배합비 참조'!$B$2:$CE$83,MATCH("기타가공품(파인소프트 E-티)",'🔖 배합비 참조'!$A$2:$A$83,0),MATCH($C201,'🔖 배합비 참조'!$B$1:$CE$1,0))/100,0),""))),"")</f>
        <v>0</v>
      </c>
      <c r="U201" s="39" t="n">
        <f aca="false">IFERROR(IF($C201="","",IF($D201="","",IFERROR(ROUND($D201*INDEX('🔖 배합비 참조'!$B$2:$CE$83,MATCH("기타가공품(프리미엄카스테라가루)",'🔖 배합비 참조'!$A$2:$A$83,0),MATCH($C201,'🔖 배합비 참조'!$B$1:$CE$1,0))/100,0),""))),"")</f>
        <v>0</v>
      </c>
      <c r="V201" s="39" t="n">
        <f aca="false">IFERROR(IF($C201="","",IF($D201="","",IFERROR(ROUND($D201*INDEX('🔖 배합비 참조'!$B$2:$CE$83,MATCH("기타가공품(흑임자가루)",'🔖 배합비 참조'!$A$2:$A$83,0),MATCH($C201,'🔖 배합비 참조'!$B$1:$CE$1,0))/100,0),""))),"")</f>
        <v>0</v>
      </c>
      <c r="W201" s="39" t="n">
        <f aca="false">IFERROR(IF($C201="","",IF($D201="","",IFERROR(ROUND($D201*INDEX('🔖 배합비 참조'!$B$2:$CE$83,MATCH("기타설탕(흑설탕)",'🔖 배합비 참조'!$A$2:$A$83,0),MATCH($C201,'🔖 배합비 참조'!$B$1:$CE$1,0))/100,0),""))),"")</f>
        <v>0</v>
      </c>
      <c r="X201" s="39" t="n">
        <f aca="false">IFERROR(IF($C201="","",IF($D201="","",IFERROR(ROUND($D201*INDEX('🔖 배합비 참조'!$B$2:$CE$83,MATCH("냉동쑥(국내산)",'🔖 배합비 참조'!$A$2:$A$83,0),MATCH($C201,'🔖 배합비 참조'!$B$1:$CE$1,0))/100,0),""))),"")</f>
        <v>0</v>
      </c>
      <c r="Y201" s="39" t="n">
        <f aca="false">IFERROR(IF($C201="","",IF($D201="","",IFERROR(ROUND($D201*INDEX('🔖 배합비 참조'!$B$2:$CE$83,MATCH("냉동증숙고구마(중국산)",'🔖 배합비 참조'!$A$2:$A$83,0),MATCH($C201,'🔖 배합비 참조'!$B$1:$CE$1,0))/100,0),""))),"")</f>
        <v>0</v>
      </c>
      <c r="Z201" s="39" t="n">
        <f aca="false">IFERROR(IF($C201="","",IF($D201="","",IFERROR(ROUND($D201*INDEX('🔖 배합비 참조'!$B$2:$CE$83,MATCH("녹차가루",'🔖 배합비 참조'!$A$2:$A$83,0),MATCH($C201,'🔖 배합비 참조'!$B$1:$CE$1,0))/100,0),""))),"")</f>
        <v>0</v>
      </c>
      <c r="AA201" s="39" t="n">
        <f aca="false">IFERROR(IF($C201="","",IF($D201="","",IFERROR(ROUND($D201*INDEX('🔖 배합비 참조'!$B$2:$CE$83,MATCH("다크초콜릿 컴파운드칩",'🔖 배합비 참조'!$A$2:$A$83,0),MATCH($C201,'🔖 배합비 참조'!$B$1:$CE$1,0))/100,0),""))),"")</f>
        <v>0</v>
      </c>
      <c r="AB201" s="39" t="n">
        <f aca="false">IFERROR(IF($C201="","",IF($D201="","",IFERROR(ROUND($D201*INDEX('🔖 배합비 참조'!$B$2:$CE$83,MATCH("단호박분말(중국산)",'🔖 배합비 참조'!$A$2:$A$83,0),MATCH($C201,'🔖 배합비 참조'!$B$1:$CE$1,0))/100,0),""))),"")</f>
        <v>0</v>
      </c>
      <c r="AC201" s="39" t="n">
        <f aca="false">IFERROR(IF($C201="","",IF($D201="","",IFERROR(ROUND($D201*INDEX('🔖 배합비 참조'!$B$2:$CE$83,MATCH("당류가공품(단호박농축액)",'🔖 배합비 참조'!$A$2:$A$83,0),MATCH($C201,'🔖 배합비 참조'!$B$1:$CE$1,0))/100,0),""))),"")</f>
        <v>0</v>
      </c>
      <c r="AD201" s="39" t="n">
        <f aca="false">IFERROR(IF($C201="","",IF($D201="","",IFERROR(ROUND($D201*INDEX('🔖 배합비 참조'!$B$2:$CE$83,MATCH("당류가공품(알룰로스,에리스리톨,스테비올배당체혼합)",'🔖 배합비 참조'!$A$2:$A$83,0),MATCH($C201,'🔖 배합비 참조'!$B$1:$CE$1,0))/100,0),""))),"")</f>
        <v>0</v>
      </c>
      <c r="AE201" s="39" t="n">
        <f aca="false">IFERROR(IF($C201="","",IF($D201="","",IFERROR(ROUND($D201*INDEX('🔖 배합비 참조'!$B$2:$CE$83,MATCH("당류가공품(알룰로스제로파우더)",'🔖 배합비 참조'!$A$2:$A$83,0),MATCH($C201,'🔖 배합비 참조'!$B$1:$CE$1,0))/100,0),""))),"")</f>
        <v>0</v>
      </c>
      <c r="AF201" s="39" t="n">
        <f aca="false">IFERROR(IF($C201="","",IF($D201="","",IFERROR(ROUND($D201*INDEX('🔖 배합비 참조'!$B$2:$CE$83,MATCH("당절임(완두배기)",'🔖 배합비 참조'!$A$2:$A$83,0),MATCH($C201,'🔖 배합비 참조'!$B$1:$CE$1,0))/100,0),""))),"")</f>
        <v>0</v>
      </c>
      <c r="AG201" s="39" t="n">
        <f aca="false">IFERROR(IF($C201="","",IF($D201="","",IFERROR(ROUND($D201*INDEX('🔖 배합비 참조'!$B$2:$CE$83,MATCH("대추농축액",'🔖 배합비 참조'!$A$2:$A$83,0),MATCH($C201,'🔖 배합비 참조'!$B$1:$CE$1,0))/100,0),""))),"")</f>
        <v>0</v>
      </c>
      <c r="AH201" s="39" t="n">
        <f aca="false">IFERROR(IF($C201="","",IF($D201="","",IFERROR(ROUND($D201*INDEX('🔖 배합비 참조'!$B$2:$CE$83,MATCH("대추채(국내산)",'🔖 배합비 참조'!$A$2:$A$83,0),MATCH($C201,'🔖 배합비 참조'!$B$1:$CE$1,0))/100,0),""))),"")</f>
        <v>0</v>
      </c>
      <c r="AI201" s="39" t="n">
        <f aca="false">IFERROR(IF($C201="","",IF($D201="","",IFERROR(ROUND($D201*INDEX('🔖 배합비 참조'!$B$2:$CE$83,MATCH("동부(미얀마산)",'🔖 배합비 참조'!$A$2:$A$83,0),MATCH($C201,'🔖 배합비 참조'!$B$1:$CE$1,0))/100,0),""))),"")</f>
        <v>0</v>
      </c>
      <c r="AJ201" s="39" t="n">
        <f aca="false">IFERROR(IF($C201="","",IF($D201="","",IFERROR(ROUND($D201*INDEX('🔖 배합비 참조'!$B$2:$CE$83,MATCH("두류가공품(백옥앙금)",'🔖 배합비 참조'!$A$2:$A$83,0),MATCH($C201,'🔖 배합비 참조'!$B$1:$CE$1,0))/100,0),""))),"")</f>
        <v>0</v>
      </c>
      <c r="AK201" s="39" t="n">
        <f aca="false">IFERROR(IF($C201="","",IF($D201="","",IFERROR(ROUND($D201*INDEX('🔖 배합비 참조'!$B$2:$CE$83,MATCH("두류가공품(콩고물)",'🔖 배합비 참조'!$A$2:$A$83,0),MATCH($C201,'🔖 배합비 참조'!$B$1:$CE$1,0))/100,0),""))),"")</f>
        <v>0</v>
      </c>
      <c r="AL201" s="39" t="n">
        <f aca="false">IFERROR(IF($C201="","",IF($D201="","",IFERROR(ROUND($D201*INDEX('🔖 배합비 참조'!$B$2:$CE$83,MATCH("두류가공품(통팥고물)",'🔖 배합비 참조'!$A$2:$A$83,0),MATCH($C201,'🔖 배합비 참조'!$B$1:$CE$1,0))/100,0),""))),"")</f>
        <v>0</v>
      </c>
      <c r="AM201" s="39" t="n">
        <f aca="false">IFERROR(IF($C201="","",IF($D201="","",IFERROR(ROUND($D201*INDEX('🔖 배합비 참조'!$B$2:$CE$83,MATCH("딸기레진",'🔖 배합비 참조'!$A$2:$A$83,0),MATCH($C201,'🔖 배합비 참조'!$B$1:$CE$1,0))/100,0),""))),"")</f>
        <v>0</v>
      </c>
      <c r="AN201" s="39" t="n">
        <f aca="false">IFERROR(IF($C201="","",IF($D201="","",IFERROR(ROUND($D201*INDEX('🔖 배합비 참조'!$B$2:$CE$83,MATCH("딸기분말(스트로우베리에이드(분말))",'🔖 배합비 참조'!$A$2:$A$83,0),MATCH($C201,'🔖 배합비 참조'!$B$1:$CE$1,0))/100,0),""))),"")</f>
        <v>0</v>
      </c>
      <c r="AO201" s="39" t="n">
        <f aca="false">IFERROR(IF($C201="","",IF($D201="","",IFERROR(ROUND($D201*INDEX('🔖 배합비 참조'!$B$2:$CE$83,MATCH("마스카포네치즈",'🔖 배합비 참조'!$A$2:$A$83,0),MATCH($C201,'🔖 배합비 참조'!$B$1:$CE$1,0))/100,0),""))),"")</f>
        <v>0</v>
      </c>
      <c r="AP201" s="39" t="n">
        <f aca="false">IFERROR(IF($C201="","",IF($D201="","",IFERROR(ROUND($D201*INDEX('🔖 배합비 참조'!$B$2:$CE$83,MATCH("마카다미아분태(호주산)",'🔖 배합비 참조'!$A$2:$A$83,0),MATCH($C201,'🔖 배합비 참조'!$B$1:$CE$1,0))/100,0),""))),"")</f>
        <v>0</v>
      </c>
      <c r="AQ201" s="39" t="n">
        <f aca="false">IFERROR(IF($C201="","",IF($D201="","",IFERROR(ROUND($D201*INDEX('🔖 배합비 참조'!$B$2:$CE$83,MATCH("멥쌀(국내산)",'🔖 배합비 참조'!$A$2:$A$83,0),MATCH($C201,'🔖 배합비 참조'!$B$1:$CE$1,0))/100,0),""))),"")</f>
        <v>125</v>
      </c>
      <c r="AR201" s="39" t="n">
        <f aca="false">IFERROR(IF($C201="","",IF($D201="","",IFERROR(ROUND($D201*INDEX('🔖 배합비 참조'!$B$2:$CE$83,MATCH("모시잎(국내산)",'🔖 배합비 참조'!$A$2:$A$83,0),MATCH($C201,'🔖 배합비 참조'!$B$1:$CE$1,0))/100,0),""))),"")</f>
        <v>0</v>
      </c>
      <c r="AS201" s="39" t="n">
        <f aca="false">IFERROR(IF($C201="","",IF($D201="","",IFERROR(ROUND($D201*INDEX('🔖 배합비 참조'!$B$2:$CE$83,MATCH("물엿(저당물엿)",'🔖 배합비 참조'!$A$2:$A$83,0),MATCH($C201,'🔖 배합비 참조'!$B$1:$CE$1,0))/100,0),""))),"")</f>
        <v>0</v>
      </c>
      <c r="AT201" s="39" t="n">
        <f aca="false">IFERROR(IF($C201="","",IF($D201="","",IFERROR(ROUND($D201*INDEX('🔖 배합비 참조'!$B$2:$CE$83,MATCH("밤다이스",'🔖 배합비 참조'!$A$2:$A$83,0),MATCH($C201,'🔖 배합비 참조'!$B$1:$CE$1,0))/100,0),""))),"")</f>
        <v>0</v>
      </c>
      <c r="AU201" s="39" t="n">
        <f aca="false">IFERROR(IF($C201="","",IF($D201="","",IFERROR(ROUND($D201*INDEX('🔖 배합비 참조'!$B$2:$CE$83,MATCH("변성전분(타피오카전분)",'🔖 배합비 참조'!$A$2:$A$83,0),MATCH($C201,'🔖 배합비 참조'!$B$1:$CE$1,0))/100,0),""))),"")</f>
        <v>0</v>
      </c>
      <c r="AV201" s="39" t="n">
        <f aca="false">IFERROR(IF($C201="","",IF($D201="","",IFERROR(ROUND($D201*INDEX('🔖 배합비 참조'!$B$2:$CE$83,MATCH("복음땅콩분태",'🔖 배합비 참조'!$A$2:$A$83,0),MATCH($C201,'🔖 배합비 참조'!$B$1:$CE$1,0))/100,0),""))),"")</f>
        <v>0</v>
      </c>
      <c r="AW201" s="39" t="n">
        <f aca="false">IFERROR(IF($C201="","",IF($D201="","",IFERROR(ROUND($D201*INDEX('🔖 배합비 참조'!$B$2:$CE$83,MATCH("사양벌꿀(국내산)",'🔖 배합비 참조'!$A$2:$A$83,0),MATCH($C201,'🔖 배합비 참조'!$B$1:$CE$1,0))/100,0),""))),"")</f>
        <v>0</v>
      </c>
      <c r="AX201" s="39" t="n">
        <f aca="false">IFERROR(IF($C201="","",IF($D201="","",IFERROR(ROUND($D201*INDEX('🔖 배합비 참조'!$B$2:$CE$83,MATCH("생크림",'🔖 배합비 참조'!$A$2:$A$83,0),MATCH($C201,'🔖 배합비 참조'!$B$1:$CE$1,0))/100,0),""))),"")</f>
        <v>0</v>
      </c>
      <c r="AY201" s="39" t="n">
        <f aca="false">IFERROR(IF($C201="","",IF($D201="","",IFERROR(ROUND($D201*INDEX('🔖 배합비 참조'!$B$2:$CE$83,MATCH("서양호박(국내산,뉴질랜드산)",'🔖 배합비 참조'!$A$2:$A$83,0),MATCH($C201,'🔖 배합비 참조'!$B$1:$CE$1,0))/100,0),""))),"")</f>
        <v>0</v>
      </c>
      <c r="AZ201" s="39" t="n">
        <f aca="false">IFERROR(IF($C201="","",IF($D201="","",IFERROR(ROUND($D201*INDEX('🔖 배합비 참조'!$B$2:$CE$83,MATCH("설탕",'🔖 배합비 참조'!$A$2:$A$83,0),MATCH($C201,'🔖 배합비 참조'!$B$1:$CE$1,0))/100,0),""))),"")</f>
        <v>20</v>
      </c>
      <c r="BA201" s="39" t="n">
        <f aca="false">IFERROR(IF($C201="","",IF($D201="","",IFERROR(ROUND($D201*INDEX('🔖 배합비 참조'!$B$2:$CE$83,MATCH("스트로우베리 에이드 후레쉬",'🔖 배합비 참조'!$A$2:$A$83,0),MATCH($C201,'🔖 배합비 참조'!$B$1:$CE$1,0))/100,0),""))),"")</f>
        <v>0</v>
      </c>
      <c r="BB201" s="39" t="n">
        <f aca="false">IFERROR(IF($C201="","",IF($D201="","",IFERROR(ROUND($D201*INDEX('🔖 배합비 참조'!$B$2:$CE$83,MATCH("식물성기름혼합제제(분홍)",'🔖 배합비 참조'!$A$2:$A$83,0),MATCH($C201,'🔖 배합비 참조'!$B$1:$CE$1,0))/100,0),""))),"")</f>
        <v>0</v>
      </c>
      <c r="BC201" s="39" t="n">
        <f aca="false">IFERROR(IF($C201="","",IF($D201="","",IFERROR(ROUND($D201*INDEX('🔖 배합비 참조'!$B$2:$CE$83,MATCH("식물성기름혼합제제(초록)",'🔖 배합비 참조'!$A$2:$A$83,0),MATCH($C201,'🔖 배합비 참조'!$B$1:$CE$1,0))/100,0),""))),"")</f>
        <v>0</v>
      </c>
      <c r="BD201" s="39" t="n">
        <f aca="false">IFERROR(IF($C201="","",IF($D201="","",IFERROR(ROUND($D201*INDEX('🔖 배합비 참조'!$B$2:$CE$83,MATCH("식물성기름혼합제제(황색)",'🔖 배합비 참조'!$A$2:$A$83,0),MATCH($C201,'🔖 배합비 참조'!$B$1:$CE$1,0))/100,0),""))),"")</f>
        <v>0</v>
      </c>
      <c r="BE201" s="39" t="n">
        <f aca="false">IFERROR(IF($C201="","",IF($D201="","",IFERROR(ROUND($D201*INDEX('🔖 배합비 참조'!$B$2:$CE$83,MATCH("쑥가루(국내산)",'🔖 배합비 참조'!$A$2:$A$83,0),MATCH($C201,'🔖 배합비 참조'!$B$1:$CE$1,0))/100,0),""))),"")</f>
        <v>0</v>
      </c>
      <c r="BF201" s="39" t="n">
        <f aca="false">IFERROR(IF($C201="","",IF($D201="","",IFERROR(ROUND($D201*INDEX('🔖 배합비 참조'!$B$2:$CE$83,MATCH("아몬드슬라이스",'🔖 배합비 참조'!$A$2:$A$83,0),MATCH($C201,'🔖 배합비 참조'!$B$1:$CE$1,0))/100,0),""))),"")</f>
        <v>0</v>
      </c>
      <c r="BG201" s="39" t="n">
        <f aca="false">IFERROR(IF($C201="","",IF($D201="","",IFERROR(ROUND($D201*INDEX('🔖 배합비 참조'!$B$2:$CE$83,MATCH("알룰로오스(국내산)",'🔖 배합비 참조'!$A$2:$A$83,0),MATCH($C201,'🔖 배합비 참조'!$B$1:$CE$1,0))/100,0),""))),"")</f>
        <v>0</v>
      </c>
      <c r="BH201" s="39" t="n">
        <f aca="false">IFERROR(IF($C201="","",IF($D201="","",IFERROR(ROUND($D201*INDEX('🔖 배합비 참조'!$B$2:$CE$83,MATCH("연유",'🔖 배합비 참조'!$A$2:$A$83,0),MATCH($C201,'🔖 배합비 참조'!$B$1:$CE$1,0))/100,0),""))),"")</f>
        <v>0</v>
      </c>
      <c r="BI201" s="39" t="n">
        <f aca="false">IFERROR(IF($C201="","",IF($D201="","",IFERROR(ROUND($D201*INDEX('🔖 배합비 참조'!$B$2:$CE$83,MATCH("옥수수전분",'🔖 배합비 참조'!$A$2:$A$83,0),MATCH($C201,'🔖 배합비 참조'!$B$1:$CE$1,0))/100,0),""))),"")</f>
        <v>0</v>
      </c>
      <c r="BJ201" s="39" t="n">
        <f aca="false">IFERROR(IF($C201="","",IF($D201="","",IFERROR(ROUND($D201*INDEX('🔖 배합비 참조'!$B$2:$CE$83,MATCH("완두배기",'🔖 배합비 참조'!$A$2:$A$83,0),MATCH($C201,'🔖 배합비 참조'!$B$1:$CE$1,0))/100,0),""))),"")</f>
        <v>0</v>
      </c>
      <c r="BK201" s="39" t="n">
        <f aca="false">IFERROR(IF($C201="","",IF($D201="","",IFERROR(ROUND($D201*INDEX('🔖 배합비 참조'!$B$2:$CE$83,MATCH("우유(국내산)",'🔖 배합비 참조'!$A$2:$A$83,0),MATCH($C201,'🔖 배합비 참조'!$B$1:$CE$1,0))/100,0),""))),"")</f>
        <v>16</v>
      </c>
      <c r="BL201" s="39" t="n">
        <f aca="false">IFERROR(IF($C201="","",IF($D201="","",IFERROR(ROUND($D201*INDEX('🔖 배합비 참조'!$B$2:$CE$83,MATCH("자색고구마가루(중국산)",'🔖 배합비 참조'!$A$2:$A$83,0),MATCH($C201,'🔖 배합비 참조'!$B$1:$CE$1,0))/100,0),""))),"")</f>
        <v>0</v>
      </c>
      <c r="BM201" s="39" t="n">
        <f aca="false">IFERROR(IF($C201="","",IF($D201="","",IFERROR(ROUND($D201*INDEX('🔖 배합비 참조'!$B$2:$CE$83,MATCH("자연치즈(체다치즈)",'🔖 배합비 참조'!$A$2:$A$83,0),MATCH($C201,'🔖 배합비 참조'!$B$1:$CE$1,0))/100,0),""))),"")</f>
        <v>0</v>
      </c>
      <c r="BN201" s="39" t="n">
        <f aca="false">IFERROR(IF($C201="","",IF($D201="","",IFERROR(ROUND($D201*INDEX('🔖 배합비 참조'!$B$2:$CE$83,MATCH("정제수",'🔖 배합비 참조'!$A$2:$A$83,0),MATCH($C201,'🔖 배합비 참조'!$B$1:$CE$1,0))/100,0),""))),"")</f>
        <v>16</v>
      </c>
      <c r="BO201" s="39" t="n">
        <f aca="false">IFERROR(IF($C201="","",IF($D201="","",IFERROR(ROUND($D201*INDEX('🔖 배합비 참조'!$B$2:$CE$83,MATCH("젤라틴",'🔖 배합비 참조'!$A$2:$A$83,0),MATCH($C201,'🔖 배합비 참조'!$B$1:$CE$1,0))/100,0),""))),"")</f>
        <v>0</v>
      </c>
      <c r="BP201" s="39" t="n">
        <f aca="false">IFERROR(IF($C201="","",IF($D201="","",IFERROR(ROUND($D201*INDEX('🔖 배합비 참조'!$B$2:$CE$83,MATCH("조림류(백옥앙금)",'🔖 배합비 참조'!$A$2:$A$83,0),MATCH($C201,'🔖 배합비 참조'!$B$1:$CE$1,0))/100,0),""))),"")</f>
        <v>0</v>
      </c>
      <c r="BQ201" s="39" t="n">
        <f aca="false">IFERROR(IF($C201="","",IF($D201="","",IFERROR(ROUND($D201*INDEX('🔖 배합비 참조'!$B$2:$CE$83,MATCH("조림류(통팥앙금)",'🔖 배합비 참조'!$A$2:$A$83,0),MATCH($C201,'🔖 배합비 참조'!$B$1:$CE$1,0))/100,0),""))),"")</f>
        <v>0</v>
      </c>
      <c r="BR201" s="39" t="n">
        <f aca="false">IFERROR(IF($C201="","",IF($D201="","",IFERROR(ROUND($D201*INDEX('🔖 배합비 참조'!$B$2:$CE$83,MATCH("준초콜릿(외국산)",'🔖 배합비 참조'!$A$2:$A$83,0),MATCH($C201,'🔖 배합비 참조'!$B$1:$CE$1,0))/100,0),""))),"")</f>
        <v>0</v>
      </c>
      <c r="BS201" s="39" t="n">
        <f aca="false">IFERROR(IF($C201="","",IF($D201="","",IFERROR(ROUND($D201*INDEX('🔖 배합비 참조'!$B$2:$CE$83,MATCH("중력분",'🔖 배합비 참조'!$A$2:$A$83,0),MATCH($C201,'🔖 배합비 참조'!$B$1:$CE$1,0))/100,0),""))),"")</f>
        <v>0</v>
      </c>
      <c r="BT201" s="39" t="n">
        <f aca="false">IFERROR(IF($C201="","",IF($D201="","",IFERROR(ROUND($D201*INDEX('🔖 배합비 참조'!$B$2:$CE$83,MATCH("참깨(인도산,나이지리아산,탄자니아산,미얀마산)",'🔖 배합비 참조'!$A$2:$A$83,0),MATCH($C201,'🔖 배합비 참조'!$B$1:$CE$1,0))/100,0),""))),"")</f>
        <v>0</v>
      </c>
      <c r="BU201" s="39" t="n">
        <f aca="false">IFERROR(IF($C201="","",IF($D201="","",IFERROR(ROUND($D201*INDEX('🔖 배합비 참조'!$B$2:$CE$83,MATCH("찹쌀(국내산)",'🔖 배합비 참조'!$A$2:$A$83,0),MATCH($C201,'🔖 배합비 참조'!$B$1:$CE$1,0))/100,0),""))),"")</f>
        <v>0</v>
      </c>
      <c r="BV201" s="39" t="n">
        <f aca="false">IFERROR(IF($C201="","",IF($D201="","",IFERROR(ROUND($D201*INDEX('🔖 배합비 참조'!$B$2:$CE$83,MATCH("천일염",'🔖 배합비 참조'!$A$2:$A$83,0),MATCH($C201,'🔖 배합비 참조'!$B$1:$CE$1,0))/100,0),""))),"")</f>
        <v>2</v>
      </c>
      <c r="BW201" s="39" t="n">
        <f aca="false">IFERROR(IF($C201="","",IF($D201="","",IFERROR(ROUND($D201*INDEX('🔖 배합비 참조'!$B$2:$CE$83,MATCH("치즈 [크림치즈]",'🔖 배합비 참조'!$A$2:$A$83,0),MATCH($C201,'🔖 배합비 참조'!$B$1:$CE$1,0))/100,0),""))),"")</f>
        <v>0</v>
      </c>
      <c r="BX201" s="39" t="n">
        <f aca="false">IFERROR(IF($C201="","",IF($D201="","",IFERROR(ROUND($D201*INDEX('🔖 배합비 참조'!$B$2:$CE$83,MATCH("코코아가공품류(코코아분말)",'🔖 배합비 참조'!$A$2:$A$83,0),MATCH($C201,'🔖 배합비 참조'!$B$1:$CE$1,0))/100,0),""))),"")</f>
        <v>0</v>
      </c>
      <c r="BY201" s="39" t="n">
        <f aca="false">IFERROR(IF($C201="","",IF($D201="","",IFERROR(ROUND($D201*INDEX('🔖 배합비 참조'!$B$2:$CE$83,MATCH("콩기름(대두유)",'🔖 배합비 참조'!$A$2:$A$83,0),MATCH($C201,'🔖 배합비 참조'!$B$1:$CE$1,0))/100,0),""))),"")</f>
        <v>0</v>
      </c>
      <c r="BZ201" s="39" t="n">
        <f aca="false">IFERROR(IF($C201="","",IF($D201="","",IFERROR(ROUND($D201*INDEX('🔖 배합비 참조'!$B$2:$CE$83,MATCH("해바라기씨앗",'🔖 배합비 참조'!$A$2:$A$83,0),MATCH($C201,'🔖 배합비 참조'!$B$1:$CE$1,0))/100,0),""))),"")</f>
        <v>0</v>
      </c>
      <c r="CA201" s="39" t="n">
        <f aca="false">IFERROR(IF($C201="","",IF($D201="","",IFERROR(ROUND($D201*INDEX('🔖 배합비 참조'!$B$2:$CE$83,MATCH("현미(국내산)",'🔖 배합비 참조'!$A$2:$A$83,0),MATCH($C201,'🔖 배합비 참조'!$B$1:$CE$1,0))/100,0),""))),"")</f>
        <v>0</v>
      </c>
      <c r="CB201" s="39" t="n">
        <f aca="false">IFERROR(IF($C201="","",IF($D201="","",IFERROR(ROUND($D201*INDEX('🔖 배합비 참조'!$B$2:$CE$83,MATCH("현미멥쌀(국내산)",'🔖 배합비 참조'!$A$2:$A$83,0),MATCH($C201,'🔖 배합비 참조'!$B$1:$CE$1,0))/100,0),""))),"")</f>
        <v>0</v>
      </c>
      <c r="CC201" s="39" t="n">
        <f aca="false">IFERROR(IF($C201="","",IF($D201="","",IFERROR(ROUND($D201*INDEX('🔖 배합비 참조'!$B$2:$CE$83,MATCH("호두분태(미국산)",'🔖 배합비 참조'!$A$2:$A$83,0),MATCH($C201,'🔖 배합비 참조'!$B$1:$CE$1,0))/100,0),""))),"")</f>
        <v>0</v>
      </c>
      <c r="CD201" s="39" t="n">
        <f aca="false">IFERROR(IF($C201="","",IF($D201="","",IFERROR(ROUND($D201*INDEX('🔖 배합비 참조'!$B$2:$CE$83,MATCH("호박씨앗(외국산)",'🔖 배합비 참조'!$A$2:$A$83,0),MATCH($C201,'🔖 배합비 참조'!$B$1:$CE$1,0))/100,0),""))),"")</f>
        <v>0</v>
      </c>
      <c r="CE201" s="39" t="n">
        <f aca="false">IFERROR(IF($C201="","",IF($D201="","",IFERROR(ROUND($D201*INDEX('🔖 배합비 참조'!$B$2:$CE$83,MATCH("혼합제제(떡용에스텔)",'🔖 배합비 참조'!$A$2:$A$83,0),MATCH($C201,'🔖 배합비 참조'!$B$1:$CE$1,0))/100,0),""))),"")</f>
        <v>0</v>
      </c>
      <c r="CF201" s="39" t="n">
        <f aca="false">IFERROR(IF($C201="","",IF($D201="","",IFERROR(ROUND($D201*INDEX('🔖 배합비 참조'!$B$2:$CE$83,MATCH("혼합제제(스테비아)",'🔖 배합비 참조'!$A$2:$A$83,0),MATCH($C201,'🔖 배합비 참조'!$B$1:$CE$1,0))/100,0),""))),"")</f>
        <v>0</v>
      </c>
      <c r="CG201" s="39" t="n">
        <f aca="false">IFERROR(IF($C201="","",IF($D201="","",IFERROR(ROUND($D201*INDEX('🔖 배합비 참조'!$B$2:$CE$83,MATCH("화이트초콜릿",'🔖 배합비 참조'!$A$2:$A$83,0),MATCH($C201,'🔖 배합비 참조'!$B$1:$CE$1,0))/100,0),""))),"")</f>
        <v>0</v>
      </c>
      <c r="CH201" s="39" t="n">
        <f aca="false">IFERROR(IF($C201="","",IF($D201="","",IFERROR(ROUND($D201*INDEX('🔖 배합비 참조'!$B$2:$CE$83,MATCH("흑미찹쌀(국내산)",'🔖 배합비 참조'!$A$2:$A$83,0),MATCH($C201,'🔖 배합비 참조'!$B$1:$CE$1,0))/100,0),""))),"")</f>
        <v>0</v>
      </c>
      <c r="CI201" s="39" t="n">
        <f aca="false">IFERROR(IF($C201="","",IF($D201="","",IFERROR(ROUND($D201*INDEX('🔖 배합비 참조'!$B$2:$CE$83,MATCH("찰옥수수전분(미국산)",'🔖 배합비 참조'!$A$2:$A$83,0),MATCH($C201,'🔖 배합비 참조'!$B$1:$CE$1,0))/100,0),""))),"")</f>
        <v>0</v>
      </c>
      <c r="CJ201" s="40"/>
      <c r="CL201" s="1" t="s">
        <v>247</v>
      </c>
    </row>
    <row r="202" customFormat="false" ht="18" hidden="false" customHeight="true" outlineLevel="0" collapsed="false">
      <c r="A202" s="41" t="n">
        <v>198</v>
      </c>
      <c r="B202" s="36" t="n">
        <v>46057</v>
      </c>
      <c r="C202" s="37" t="s">
        <v>191</v>
      </c>
      <c r="D202" s="38" t="n">
        <v>1100</v>
      </c>
      <c r="E202" s="17"/>
      <c r="F202" s="17"/>
      <c r="G202" s="42" t="n">
        <f aca="false">IFERROR(IF($C202="","",IF($D202="","",IFERROR(ROUND($D202*INDEX('🔖 배합비 참조'!$B$2:$CE$83,MATCH("간장",'🔖 배합비 참조'!$A$2:$A$83,0),MATCH($C202,'🔖 배합비 참조'!$B$1:$CE$1,0))/100,0),""))),"")</f>
        <v>0</v>
      </c>
      <c r="H202" s="42" t="n">
        <f aca="false">IFERROR(IF($C202="","",IF($D202="","",IFERROR(ROUND($D202*INDEX('🔖 배합비 참조'!$B$2:$CE$83,MATCH("강낭콩((울타리콩))",'🔖 배합비 참조'!$A$2:$A$83,0),MATCH($C202,'🔖 배합비 참조'!$B$1:$CE$1,0))/100,0),""))),"")</f>
        <v>0</v>
      </c>
      <c r="I202" s="42" t="n">
        <f aca="false">IFERROR(IF($C202="","",IF($D202="","",IFERROR(ROUND($D202*INDEX('🔖 배합비 참조'!$B$2:$CE$83,MATCH("건조딸기다이스(외국산)",'🔖 배합비 참조'!$A$2:$A$83,0),MATCH($C202,'🔖 배합비 참조'!$B$1:$CE$1,0))/100,0),""))),"")</f>
        <v>0</v>
      </c>
      <c r="J202" s="42" t="n">
        <f aca="false">IFERROR(IF($C202="","",IF($D202="","",IFERROR(ROUND($D202*INDEX('🔖 배합비 참조'!$B$2:$CE$83,MATCH("건포도",'🔖 배합비 참조'!$A$2:$A$83,0),MATCH($C202,'🔖 배합비 참조'!$B$1:$CE$1,0))/100,0),""))),"")</f>
        <v>0</v>
      </c>
      <c r="K202" s="42" t="n">
        <f aca="false">IFERROR(IF($C202="","",IF($D202="","",IFERROR(ROUND($D202*INDEX('🔖 배합비 참조'!$B$2:$CE$83,MATCH("건호박채(중국산)",'🔖 배합비 참조'!$A$2:$A$83,0),MATCH($C202,'🔖 배합비 참조'!$B$1:$CE$1,0))/100,0),""))),"")</f>
        <v>0</v>
      </c>
      <c r="L202" s="42" t="n">
        <f aca="false">IFERROR(IF($C202="","",IF($D202="","",IFERROR(ROUND($D202*INDEX('🔖 배합비 참조'!$B$2:$CE$83,MATCH("검정깨(흑임자)",'🔖 배합비 참조'!$A$2:$A$83,0),MATCH($C202,'🔖 배합비 참조'!$B$1:$CE$1,0))/100,0),""))),"")</f>
        <v>0</v>
      </c>
      <c r="M202" s="42" t="n">
        <f aca="false">IFERROR(IF($C202="","",IF($D202="","",IFERROR(ROUND($D202*INDEX('🔖 배합비 참조'!$B$2:$CE$83,MATCH("검정콩",'🔖 배합비 참조'!$A$2:$A$83,0),MATCH($C202,'🔖 배합비 참조'!$B$1:$CE$1,0))/100,0),""))),"")</f>
        <v>0</v>
      </c>
      <c r="N202" s="42" t="n">
        <f aca="false">IFERROR(IF($C202="","",IF($D202="","",IFERROR(ROUND($D202*INDEX('🔖 배합비 참조'!$B$2:$CE$83,MATCH("계피가루",'🔖 배합비 참조'!$A$2:$A$83,0),MATCH($C202,'🔖 배합비 참조'!$B$1:$CE$1,0))/100,0),""))),"")</f>
        <v>0</v>
      </c>
      <c r="O202" s="42" t="n">
        <f aca="false">IFERROR(IF($C202="","",IF($D202="","",IFERROR(ROUND($D202*INDEX('🔖 배합비 참조'!$B$2:$CE$83,MATCH("고구마가루",'🔖 배합비 참조'!$A$2:$A$83,0),MATCH($C202,'🔖 배합비 참조'!$B$1:$CE$1,0))/100,0),""))),"")</f>
        <v>0</v>
      </c>
      <c r="P202" s="42" t="n">
        <f aca="false">IFERROR(IF($C202="","",IF($D202="","",IFERROR(ROUND($D202*INDEX('🔖 배합비 참조'!$B$2:$CE$83,MATCH("고구마무스",'🔖 배합비 참조'!$A$2:$A$83,0),MATCH($C202,'🔖 배합비 참조'!$B$1:$CE$1,0))/100,0),""))),"")</f>
        <v>0</v>
      </c>
      <c r="Q202" s="42" t="n">
        <f aca="false">IFERROR(IF($C202="","",IF($D202="","",IFERROR(ROUND($D202*INDEX('🔖 배합비 참조'!$B$2:$CE$83,MATCH("고려엉겅퀴((곤드레)국내산)",'🔖 배합비 참조'!$A$2:$A$83,0),MATCH($C202,'🔖 배합비 참조'!$B$1:$CE$1,0))/100,0),""))),"")</f>
        <v>0</v>
      </c>
      <c r="R202" s="42" t="n">
        <f aca="false">IFERROR(IF($C202="","",IF($D202="","",IFERROR(ROUND($D202*INDEX('🔖 배합비 참조'!$B$2:$CE$83,MATCH("기타가공품(복분자가루)",'🔖 배합비 참조'!$A$2:$A$83,0),MATCH($C202,'🔖 배합비 참조'!$B$1:$CE$1,0))/100,0),""))),"")</f>
        <v>0</v>
      </c>
      <c r="S202" s="42" t="n">
        <f aca="false">IFERROR(IF($C202="","",IF($D202="","",IFERROR(ROUND($D202*INDEX('🔖 배합비 참조'!$B$2:$CE$83,MATCH("기타가공품(슈퍼소프트엠)",'🔖 배합비 참조'!$A$2:$A$83,0),MATCH($C202,'🔖 배합비 참조'!$B$1:$CE$1,0))/100,0),""))),"")</f>
        <v>0</v>
      </c>
      <c r="T202" s="42" t="n">
        <f aca="false">IFERROR(IF($C202="","",IF($D202="","",IFERROR(ROUND($D202*INDEX('🔖 배합비 참조'!$B$2:$CE$83,MATCH("기타가공품(파인소프트 E-티)",'🔖 배합비 참조'!$A$2:$A$83,0),MATCH($C202,'🔖 배합비 참조'!$B$1:$CE$1,0))/100,0),""))),"")</f>
        <v>0</v>
      </c>
      <c r="U202" s="42" t="n">
        <f aca="false">IFERROR(IF($C202="","",IF($D202="","",IFERROR(ROUND($D202*INDEX('🔖 배합비 참조'!$B$2:$CE$83,MATCH("기타가공품(프리미엄카스테라가루)",'🔖 배합비 참조'!$A$2:$A$83,0),MATCH($C202,'🔖 배합비 참조'!$B$1:$CE$1,0))/100,0),""))),"")</f>
        <v>0</v>
      </c>
      <c r="V202" s="42" t="n">
        <f aca="false">IFERROR(IF($C202="","",IF($D202="","",IFERROR(ROUND($D202*INDEX('🔖 배합비 참조'!$B$2:$CE$83,MATCH("기타가공품(흑임자가루)",'🔖 배합비 참조'!$A$2:$A$83,0),MATCH($C202,'🔖 배합비 참조'!$B$1:$CE$1,0))/100,0),""))),"")</f>
        <v>0</v>
      </c>
      <c r="W202" s="42" t="n">
        <f aca="false">IFERROR(IF($C202="","",IF($D202="","",IFERROR(ROUND($D202*INDEX('🔖 배합비 참조'!$B$2:$CE$83,MATCH("기타설탕(흑설탕)",'🔖 배합비 참조'!$A$2:$A$83,0),MATCH($C202,'🔖 배합비 참조'!$B$1:$CE$1,0))/100,0),""))),"")</f>
        <v>0</v>
      </c>
      <c r="X202" s="42" t="n">
        <f aca="false">IFERROR(IF($C202="","",IF($D202="","",IFERROR(ROUND($D202*INDEX('🔖 배합비 참조'!$B$2:$CE$83,MATCH("냉동쑥(국내산)",'🔖 배합비 참조'!$A$2:$A$83,0),MATCH($C202,'🔖 배합비 참조'!$B$1:$CE$1,0))/100,0),""))),"")</f>
        <v>0</v>
      </c>
      <c r="Y202" s="42" t="n">
        <f aca="false">IFERROR(IF($C202="","",IF($D202="","",IFERROR(ROUND($D202*INDEX('🔖 배합비 참조'!$B$2:$CE$83,MATCH("냉동증숙고구마(중국산)",'🔖 배합비 참조'!$A$2:$A$83,0),MATCH($C202,'🔖 배합비 참조'!$B$1:$CE$1,0))/100,0),""))),"")</f>
        <v>0</v>
      </c>
      <c r="Z202" s="42" t="n">
        <f aca="false">IFERROR(IF($C202="","",IF($D202="","",IFERROR(ROUND($D202*INDEX('🔖 배합비 참조'!$B$2:$CE$83,MATCH("녹차가루",'🔖 배합비 참조'!$A$2:$A$83,0),MATCH($C202,'🔖 배합비 참조'!$B$1:$CE$1,0))/100,0),""))),"")</f>
        <v>0</v>
      </c>
      <c r="AA202" s="42" t="n">
        <f aca="false">IFERROR(IF($C202="","",IF($D202="","",IFERROR(ROUND($D202*INDEX('🔖 배합비 참조'!$B$2:$CE$83,MATCH("다크초콜릿 컴파운드칩",'🔖 배합비 참조'!$A$2:$A$83,0),MATCH($C202,'🔖 배합비 참조'!$B$1:$CE$1,0))/100,0),""))),"")</f>
        <v>0</v>
      </c>
      <c r="AB202" s="42" t="n">
        <f aca="false">IFERROR(IF($C202="","",IF($D202="","",IFERROR(ROUND($D202*INDEX('🔖 배합비 참조'!$B$2:$CE$83,MATCH("단호박분말(중국산)",'🔖 배합비 참조'!$A$2:$A$83,0),MATCH($C202,'🔖 배합비 참조'!$B$1:$CE$1,0))/100,0),""))),"")</f>
        <v>0</v>
      </c>
      <c r="AC202" s="42" t="n">
        <f aca="false">IFERROR(IF($C202="","",IF($D202="","",IFERROR(ROUND($D202*INDEX('🔖 배합비 참조'!$B$2:$CE$83,MATCH("당류가공품(단호박농축액)",'🔖 배합비 참조'!$A$2:$A$83,0),MATCH($C202,'🔖 배합비 참조'!$B$1:$CE$1,0))/100,0),""))),"")</f>
        <v>0</v>
      </c>
      <c r="AD202" s="42" t="n">
        <f aca="false">IFERROR(IF($C202="","",IF($D202="","",IFERROR(ROUND($D202*INDEX('🔖 배합비 참조'!$B$2:$CE$83,MATCH("당류가공품(알룰로스,에리스리톨,스테비올배당체혼합)",'🔖 배합비 참조'!$A$2:$A$83,0),MATCH($C202,'🔖 배합비 참조'!$B$1:$CE$1,0))/100,0),""))),"")</f>
        <v>0</v>
      </c>
      <c r="AE202" s="42" t="n">
        <f aca="false">IFERROR(IF($C202="","",IF($D202="","",IFERROR(ROUND($D202*INDEX('🔖 배합비 참조'!$B$2:$CE$83,MATCH("당류가공품(알룰로스제로파우더)",'🔖 배합비 참조'!$A$2:$A$83,0),MATCH($C202,'🔖 배합비 참조'!$B$1:$CE$1,0))/100,0),""))),"")</f>
        <v>0</v>
      </c>
      <c r="AF202" s="42" t="n">
        <f aca="false">IFERROR(IF($C202="","",IF($D202="","",IFERROR(ROUND($D202*INDEX('🔖 배합비 참조'!$B$2:$CE$83,MATCH("당절임(완두배기)",'🔖 배합비 참조'!$A$2:$A$83,0),MATCH($C202,'🔖 배합비 참조'!$B$1:$CE$1,0))/100,0),""))),"")</f>
        <v>0</v>
      </c>
      <c r="AG202" s="42" t="n">
        <f aca="false">IFERROR(IF($C202="","",IF($D202="","",IFERROR(ROUND($D202*INDEX('🔖 배합비 참조'!$B$2:$CE$83,MATCH("대추농축액",'🔖 배합비 참조'!$A$2:$A$83,0),MATCH($C202,'🔖 배합비 참조'!$B$1:$CE$1,0))/100,0),""))),"")</f>
        <v>0</v>
      </c>
      <c r="AH202" s="42" t="n">
        <f aca="false">IFERROR(IF($C202="","",IF($D202="","",IFERROR(ROUND($D202*INDEX('🔖 배합비 참조'!$B$2:$CE$83,MATCH("대추채(국내산)",'🔖 배합비 참조'!$A$2:$A$83,0),MATCH($C202,'🔖 배합비 참조'!$B$1:$CE$1,0))/100,0),""))),"")</f>
        <v>0</v>
      </c>
      <c r="AI202" s="42" t="n">
        <f aca="false">IFERROR(IF($C202="","",IF($D202="","",IFERROR(ROUND($D202*INDEX('🔖 배합비 참조'!$B$2:$CE$83,MATCH("동부(미얀마산)",'🔖 배합비 참조'!$A$2:$A$83,0),MATCH($C202,'🔖 배합비 참조'!$B$1:$CE$1,0))/100,0),""))),"")</f>
        <v>0</v>
      </c>
      <c r="AJ202" s="42" t="n">
        <f aca="false">IFERROR(IF($C202="","",IF($D202="","",IFERROR(ROUND($D202*INDEX('🔖 배합비 참조'!$B$2:$CE$83,MATCH("두류가공품(백옥앙금)",'🔖 배합비 참조'!$A$2:$A$83,0),MATCH($C202,'🔖 배합비 참조'!$B$1:$CE$1,0))/100,0),""))),"")</f>
        <v>0</v>
      </c>
      <c r="AK202" s="42" t="n">
        <f aca="false">IFERROR(IF($C202="","",IF($D202="","",IFERROR(ROUND($D202*INDEX('🔖 배합비 참조'!$B$2:$CE$83,MATCH("두류가공품(콩고물)",'🔖 배합비 참조'!$A$2:$A$83,0),MATCH($C202,'🔖 배합비 참조'!$B$1:$CE$1,0))/100,0),""))),"")</f>
        <v>0</v>
      </c>
      <c r="AL202" s="42" t="n">
        <f aca="false">IFERROR(IF($C202="","",IF($D202="","",IFERROR(ROUND($D202*INDEX('🔖 배합비 참조'!$B$2:$CE$83,MATCH("두류가공품(통팥고물)",'🔖 배합비 참조'!$A$2:$A$83,0),MATCH($C202,'🔖 배합비 참조'!$B$1:$CE$1,0))/100,0),""))),"")</f>
        <v>0</v>
      </c>
      <c r="AM202" s="42" t="n">
        <f aca="false">IFERROR(IF($C202="","",IF($D202="","",IFERROR(ROUND($D202*INDEX('🔖 배합비 참조'!$B$2:$CE$83,MATCH("딸기레진",'🔖 배합비 참조'!$A$2:$A$83,0),MATCH($C202,'🔖 배합비 참조'!$B$1:$CE$1,0))/100,0),""))),"")</f>
        <v>0</v>
      </c>
      <c r="AN202" s="42" t="n">
        <f aca="false">IFERROR(IF($C202="","",IF($D202="","",IFERROR(ROUND($D202*INDEX('🔖 배합비 참조'!$B$2:$CE$83,MATCH("딸기분말(스트로우베리에이드(분말))",'🔖 배합비 참조'!$A$2:$A$83,0),MATCH($C202,'🔖 배합비 참조'!$B$1:$CE$1,0))/100,0),""))),"")</f>
        <v>0</v>
      </c>
      <c r="AO202" s="42" t="n">
        <f aca="false">IFERROR(IF($C202="","",IF($D202="","",IFERROR(ROUND($D202*INDEX('🔖 배합비 참조'!$B$2:$CE$83,MATCH("마스카포네치즈",'🔖 배합비 참조'!$A$2:$A$83,0),MATCH($C202,'🔖 배합비 참조'!$B$1:$CE$1,0))/100,0),""))),"")</f>
        <v>0</v>
      </c>
      <c r="AP202" s="42" t="n">
        <f aca="false">IFERROR(IF($C202="","",IF($D202="","",IFERROR(ROUND($D202*INDEX('🔖 배합비 참조'!$B$2:$CE$83,MATCH("마카다미아분태(호주산)",'🔖 배합비 참조'!$A$2:$A$83,0),MATCH($C202,'🔖 배합비 참조'!$B$1:$CE$1,0))/100,0),""))),"")</f>
        <v>0</v>
      </c>
      <c r="AQ202" s="42" t="n">
        <f aca="false">IFERROR(IF($C202="","",IF($D202="","",IFERROR(ROUND($D202*INDEX('🔖 배합비 참조'!$B$2:$CE$83,MATCH("멥쌀(국내산)",'🔖 배합비 참조'!$A$2:$A$83,0),MATCH($C202,'🔖 배합비 참조'!$B$1:$CE$1,0))/100,0),""))),"")</f>
        <v>22</v>
      </c>
      <c r="AR202" s="42" t="n">
        <f aca="false">IFERROR(IF($C202="","",IF($D202="","",IFERROR(ROUND($D202*INDEX('🔖 배합비 참조'!$B$2:$CE$83,MATCH("모시잎(국내산)",'🔖 배합비 참조'!$A$2:$A$83,0),MATCH($C202,'🔖 배합비 참조'!$B$1:$CE$1,0))/100,0),""))),"")</f>
        <v>0</v>
      </c>
      <c r="AS202" s="42" t="n">
        <f aca="false">IFERROR(IF($C202="","",IF($D202="","",IFERROR(ROUND($D202*INDEX('🔖 배합비 참조'!$B$2:$CE$83,MATCH("물엿(저당물엿)",'🔖 배합비 참조'!$A$2:$A$83,0),MATCH($C202,'🔖 배합비 참조'!$B$1:$CE$1,0))/100,0),""))),"")</f>
        <v>0</v>
      </c>
      <c r="AT202" s="42" t="n">
        <f aca="false">IFERROR(IF($C202="","",IF($D202="","",IFERROR(ROUND($D202*INDEX('🔖 배합비 참조'!$B$2:$CE$83,MATCH("밤다이스",'🔖 배합비 참조'!$A$2:$A$83,0),MATCH($C202,'🔖 배합비 참조'!$B$1:$CE$1,0))/100,0),""))),"")</f>
        <v>0</v>
      </c>
      <c r="AU202" s="42" t="n">
        <f aca="false">IFERROR(IF($C202="","",IF($D202="","",IFERROR(ROUND($D202*INDEX('🔖 배합비 참조'!$B$2:$CE$83,MATCH("변성전분(타피오카전분)",'🔖 배합비 참조'!$A$2:$A$83,0),MATCH($C202,'🔖 배합비 참조'!$B$1:$CE$1,0))/100,0),""))),"")</f>
        <v>0</v>
      </c>
      <c r="AV202" s="42" t="n">
        <f aca="false">IFERROR(IF($C202="","",IF($D202="","",IFERROR(ROUND($D202*INDEX('🔖 배합비 참조'!$B$2:$CE$83,MATCH("복음땅콩분태",'🔖 배합비 참조'!$A$2:$A$83,0),MATCH($C202,'🔖 배합비 참조'!$B$1:$CE$1,0))/100,0),""))),"")</f>
        <v>0</v>
      </c>
      <c r="AW202" s="42" t="n">
        <f aca="false">IFERROR(IF($C202="","",IF($D202="","",IFERROR(ROUND($D202*INDEX('🔖 배합비 참조'!$B$2:$CE$83,MATCH("사양벌꿀(국내산)",'🔖 배합비 참조'!$A$2:$A$83,0),MATCH($C202,'🔖 배합비 참조'!$B$1:$CE$1,0))/100,0),""))),"")</f>
        <v>0</v>
      </c>
      <c r="AX202" s="42" t="n">
        <f aca="false">IFERROR(IF($C202="","",IF($D202="","",IFERROR(ROUND($D202*INDEX('🔖 배합비 참조'!$B$2:$CE$83,MATCH("생크림",'🔖 배합비 참조'!$A$2:$A$83,0),MATCH($C202,'🔖 배합비 참조'!$B$1:$CE$1,0))/100,0),""))),"")</f>
        <v>0</v>
      </c>
      <c r="AY202" s="42" t="n">
        <f aca="false">IFERROR(IF($C202="","",IF($D202="","",IFERROR(ROUND($D202*INDEX('🔖 배합비 참조'!$B$2:$CE$83,MATCH("서양호박(국내산,뉴질랜드산)",'🔖 배합비 참조'!$A$2:$A$83,0),MATCH($C202,'🔖 배합비 참조'!$B$1:$CE$1,0))/100,0),""))),"")</f>
        <v>0</v>
      </c>
      <c r="AZ202" s="42" t="n">
        <f aca="false">IFERROR(IF($C202="","",IF($D202="","",IFERROR(ROUND($D202*INDEX('🔖 배합비 참조'!$B$2:$CE$83,MATCH("설탕",'🔖 배합비 참조'!$A$2:$A$83,0),MATCH($C202,'🔖 배합비 참조'!$B$1:$CE$1,0))/100,0),""))),"")</f>
        <v>209</v>
      </c>
      <c r="BA202" s="42" t="n">
        <f aca="false">IFERROR(IF($C202="","",IF($D202="","",IFERROR(ROUND($D202*INDEX('🔖 배합비 참조'!$B$2:$CE$83,MATCH("스트로우베리 에이드 후레쉬",'🔖 배합비 참조'!$A$2:$A$83,0),MATCH($C202,'🔖 배합비 참조'!$B$1:$CE$1,0))/100,0),""))),"")</f>
        <v>0</v>
      </c>
      <c r="BB202" s="42" t="n">
        <f aca="false">IFERROR(IF($C202="","",IF($D202="","",IFERROR(ROUND($D202*INDEX('🔖 배합비 참조'!$B$2:$CE$83,MATCH("식물성기름혼합제제(분홍)",'🔖 배합비 참조'!$A$2:$A$83,0),MATCH($C202,'🔖 배합비 참조'!$B$1:$CE$1,0))/100,0),""))),"")</f>
        <v>0</v>
      </c>
      <c r="BC202" s="42" t="n">
        <f aca="false">IFERROR(IF($C202="","",IF($D202="","",IFERROR(ROUND($D202*INDEX('🔖 배합비 참조'!$B$2:$CE$83,MATCH("식물성기름혼합제제(초록)",'🔖 배합비 참조'!$A$2:$A$83,0),MATCH($C202,'🔖 배합비 참조'!$B$1:$CE$1,0))/100,0),""))),"")</f>
        <v>0</v>
      </c>
      <c r="BD202" s="42" t="n">
        <f aca="false">IFERROR(IF($C202="","",IF($D202="","",IFERROR(ROUND($D202*INDEX('🔖 배합비 참조'!$B$2:$CE$83,MATCH("식물성기름혼합제제(황색)",'🔖 배합비 참조'!$A$2:$A$83,0),MATCH($C202,'🔖 배합비 참조'!$B$1:$CE$1,0))/100,0),""))),"")</f>
        <v>0</v>
      </c>
      <c r="BE202" s="42" t="n">
        <f aca="false">IFERROR(IF($C202="","",IF($D202="","",IFERROR(ROUND($D202*INDEX('🔖 배합비 참조'!$B$2:$CE$83,MATCH("쑥가루(국내산)",'🔖 배합비 참조'!$A$2:$A$83,0),MATCH($C202,'🔖 배합비 참조'!$B$1:$CE$1,0))/100,0),""))),"")</f>
        <v>0</v>
      </c>
      <c r="BF202" s="42" t="n">
        <f aca="false">IFERROR(IF($C202="","",IF($D202="","",IFERROR(ROUND($D202*INDEX('🔖 배합비 참조'!$B$2:$CE$83,MATCH("아몬드슬라이스",'🔖 배합비 참조'!$A$2:$A$83,0),MATCH($C202,'🔖 배합비 참조'!$B$1:$CE$1,0))/100,0),""))),"")</f>
        <v>0</v>
      </c>
      <c r="BG202" s="42" t="n">
        <f aca="false">IFERROR(IF($C202="","",IF($D202="","",IFERROR(ROUND($D202*INDEX('🔖 배합비 참조'!$B$2:$CE$83,MATCH("알룰로오스(국내산)",'🔖 배합비 참조'!$A$2:$A$83,0),MATCH($C202,'🔖 배합비 참조'!$B$1:$CE$1,0))/100,0),""))),"")</f>
        <v>0</v>
      </c>
      <c r="BH202" s="42" t="n">
        <f aca="false">IFERROR(IF($C202="","",IF($D202="","",IFERROR(ROUND($D202*INDEX('🔖 배합비 참조'!$B$2:$CE$83,MATCH("연유",'🔖 배합비 참조'!$A$2:$A$83,0),MATCH($C202,'🔖 배합비 참조'!$B$1:$CE$1,0))/100,0),""))),"")</f>
        <v>0</v>
      </c>
      <c r="BI202" s="42" t="n">
        <f aca="false">IFERROR(IF($C202="","",IF($D202="","",IFERROR(ROUND($D202*INDEX('🔖 배합비 참조'!$B$2:$CE$83,MATCH("옥수수전분",'🔖 배합비 참조'!$A$2:$A$83,0),MATCH($C202,'🔖 배합비 참조'!$B$1:$CE$1,0))/100,0),""))),"")</f>
        <v>0</v>
      </c>
      <c r="BJ202" s="42" t="n">
        <f aca="false">IFERROR(IF($C202="","",IF($D202="","",IFERROR(ROUND($D202*INDEX('🔖 배합비 참조'!$B$2:$CE$83,MATCH("완두배기",'🔖 배합비 참조'!$A$2:$A$83,0),MATCH($C202,'🔖 배합비 참조'!$B$1:$CE$1,0))/100,0),""))),"")</f>
        <v>0</v>
      </c>
      <c r="BK202" s="42" t="n">
        <f aca="false">IFERROR(IF($C202="","",IF($D202="","",IFERROR(ROUND($D202*INDEX('🔖 배합비 참조'!$B$2:$CE$83,MATCH("우유(국내산)",'🔖 배합비 참조'!$A$2:$A$83,0),MATCH($C202,'🔖 배합비 참조'!$B$1:$CE$1,0))/100,0),""))),"")</f>
        <v>0</v>
      </c>
      <c r="BL202" s="42" t="n">
        <f aca="false">IFERROR(IF($C202="","",IF($D202="","",IFERROR(ROUND($D202*INDEX('🔖 배합비 참조'!$B$2:$CE$83,MATCH("자색고구마가루(중국산)",'🔖 배합비 참조'!$A$2:$A$83,0),MATCH($C202,'🔖 배합비 참조'!$B$1:$CE$1,0))/100,0),""))),"")</f>
        <v>0</v>
      </c>
      <c r="BM202" s="42" t="n">
        <f aca="false">IFERROR(IF($C202="","",IF($D202="","",IFERROR(ROUND($D202*INDEX('🔖 배합비 참조'!$B$2:$CE$83,MATCH("자연치즈(체다치즈)",'🔖 배합비 참조'!$A$2:$A$83,0),MATCH($C202,'🔖 배합비 참조'!$B$1:$CE$1,0))/100,0),""))),"")</f>
        <v>0</v>
      </c>
      <c r="BN202" s="42" t="n">
        <f aca="false">IFERROR(IF($C202="","",IF($D202="","",IFERROR(ROUND($D202*INDEX('🔖 배합비 참조'!$B$2:$CE$83,MATCH("정제수",'🔖 배합비 참조'!$A$2:$A$83,0),MATCH($C202,'🔖 배합비 참조'!$B$1:$CE$1,0))/100,0),""))),"")</f>
        <v>33</v>
      </c>
      <c r="BO202" s="42" t="n">
        <f aca="false">IFERROR(IF($C202="","",IF($D202="","",IFERROR(ROUND($D202*INDEX('🔖 배합비 참조'!$B$2:$CE$83,MATCH("젤라틴",'🔖 배합비 참조'!$A$2:$A$83,0),MATCH($C202,'🔖 배합비 참조'!$B$1:$CE$1,0))/100,0),""))),"")</f>
        <v>0</v>
      </c>
      <c r="BP202" s="42" t="n">
        <f aca="false">IFERROR(IF($C202="","",IF($D202="","",IFERROR(ROUND($D202*INDEX('🔖 배합비 참조'!$B$2:$CE$83,MATCH("조림류(백옥앙금)",'🔖 배합비 참조'!$A$2:$A$83,0),MATCH($C202,'🔖 배합비 참조'!$B$1:$CE$1,0))/100,0),""))),"")</f>
        <v>0</v>
      </c>
      <c r="BQ202" s="42" t="n">
        <f aca="false">IFERROR(IF($C202="","",IF($D202="","",IFERROR(ROUND($D202*INDEX('🔖 배합비 참조'!$B$2:$CE$83,MATCH("조림류(통팥앙금)",'🔖 배합비 참조'!$A$2:$A$83,0),MATCH($C202,'🔖 배합비 참조'!$B$1:$CE$1,0))/100,0),""))),"")</f>
        <v>198</v>
      </c>
      <c r="BR202" s="42" t="n">
        <f aca="false">IFERROR(IF($C202="","",IF($D202="","",IFERROR(ROUND($D202*INDEX('🔖 배합비 참조'!$B$2:$CE$83,MATCH("준초콜릿(외국산)",'🔖 배합비 참조'!$A$2:$A$83,0),MATCH($C202,'🔖 배합비 참조'!$B$1:$CE$1,0))/100,0),""))),"")</f>
        <v>0</v>
      </c>
      <c r="BS202" s="42" t="n">
        <f aca="false">IFERROR(IF($C202="","",IF($D202="","",IFERROR(ROUND($D202*INDEX('🔖 배합비 참조'!$B$2:$CE$83,MATCH("중력분",'🔖 배합비 참조'!$A$2:$A$83,0),MATCH($C202,'🔖 배합비 참조'!$B$1:$CE$1,0))/100,0),""))),"")</f>
        <v>22</v>
      </c>
      <c r="BT202" s="42" t="n">
        <f aca="false">IFERROR(IF($C202="","",IF($D202="","",IFERROR(ROUND($D202*INDEX('🔖 배합비 참조'!$B$2:$CE$83,MATCH("참깨(인도산,나이지리아산,탄자니아산,미얀마산)",'🔖 배합비 참조'!$A$2:$A$83,0),MATCH($C202,'🔖 배합비 참조'!$B$1:$CE$1,0))/100,0),""))),"")</f>
        <v>0</v>
      </c>
      <c r="BU202" s="42" t="n">
        <f aca="false">IFERROR(IF($C202="","",IF($D202="","",IFERROR(ROUND($D202*INDEX('🔖 배합비 참조'!$B$2:$CE$83,MATCH("찹쌀(국내산)",'🔖 배합비 참조'!$A$2:$A$83,0),MATCH($C202,'🔖 배합비 참조'!$B$1:$CE$1,0))/100,0),""))),"")</f>
        <v>473</v>
      </c>
      <c r="BV202" s="42" t="n">
        <f aca="false">IFERROR(IF($C202="","",IF($D202="","",IFERROR(ROUND($D202*INDEX('🔖 배합비 참조'!$B$2:$CE$83,MATCH("천일염",'🔖 배합비 참조'!$A$2:$A$83,0),MATCH($C202,'🔖 배합비 참조'!$B$1:$CE$1,0))/100,0),""))),"")</f>
        <v>22</v>
      </c>
      <c r="BW202" s="42" t="n">
        <f aca="false">IFERROR(IF($C202="","",IF($D202="","",IFERROR(ROUND($D202*INDEX('🔖 배합비 참조'!$B$2:$CE$83,MATCH("치즈 [크림치즈]",'🔖 배합비 참조'!$A$2:$A$83,0),MATCH($C202,'🔖 배합비 참조'!$B$1:$CE$1,0))/100,0),""))),"")</f>
        <v>0</v>
      </c>
      <c r="BX202" s="42" t="n">
        <f aca="false">IFERROR(IF($C202="","",IF($D202="","",IFERROR(ROUND($D202*INDEX('🔖 배합비 참조'!$B$2:$CE$83,MATCH("코코아가공품류(코코아분말)",'🔖 배합비 참조'!$A$2:$A$83,0),MATCH($C202,'🔖 배합비 참조'!$B$1:$CE$1,0))/100,0),""))),"")</f>
        <v>0</v>
      </c>
      <c r="BY202" s="42" t="n">
        <f aca="false">IFERROR(IF($C202="","",IF($D202="","",IFERROR(ROUND($D202*INDEX('🔖 배합비 참조'!$B$2:$CE$83,MATCH("콩기름(대두유)",'🔖 배합비 참조'!$A$2:$A$83,0),MATCH($C202,'🔖 배합비 참조'!$B$1:$CE$1,0))/100,0),""))),"")</f>
        <v>0</v>
      </c>
      <c r="BZ202" s="42" t="n">
        <f aca="false">IFERROR(IF($C202="","",IF($D202="","",IFERROR(ROUND($D202*INDEX('🔖 배합비 참조'!$B$2:$CE$83,MATCH("해바라기씨앗",'🔖 배합비 참조'!$A$2:$A$83,0),MATCH($C202,'🔖 배합비 참조'!$B$1:$CE$1,0))/100,0),""))),"")</f>
        <v>0</v>
      </c>
      <c r="CA202" s="42" t="n">
        <f aca="false">IFERROR(IF($C202="","",IF($D202="","",IFERROR(ROUND($D202*INDEX('🔖 배합비 참조'!$B$2:$CE$83,MATCH("현미(국내산)",'🔖 배합비 참조'!$A$2:$A$83,0),MATCH($C202,'🔖 배합비 참조'!$B$1:$CE$1,0))/100,0),""))),"")</f>
        <v>0</v>
      </c>
      <c r="CB202" s="42" t="n">
        <f aca="false">IFERROR(IF($C202="","",IF($D202="","",IFERROR(ROUND($D202*INDEX('🔖 배합비 참조'!$B$2:$CE$83,MATCH("현미멥쌀(국내산)",'🔖 배합비 참조'!$A$2:$A$83,0),MATCH($C202,'🔖 배합비 참조'!$B$1:$CE$1,0))/100,0),""))),"")</f>
        <v>0</v>
      </c>
      <c r="CC202" s="42" t="n">
        <f aca="false">IFERROR(IF($C202="","",IF($D202="","",IFERROR(ROUND($D202*INDEX('🔖 배합비 참조'!$B$2:$CE$83,MATCH("호두분태(미국산)",'🔖 배합비 참조'!$A$2:$A$83,0),MATCH($C202,'🔖 배합비 참조'!$B$1:$CE$1,0))/100,0),""))),"")</f>
        <v>0</v>
      </c>
      <c r="CD202" s="42" t="n">
        <f aca="false">IFERROR(IF($C202="","",IF($D202="","",IFERROR(ROUND($D202*INDEX('🔖 배합비 참조'!$B$2:$CE$83,MATCH("호박씨앗(외국산)",'🔖 배합비 참조'!$A$2:$A$83,0),MATCH($C202,'🔖 배합비 참조'!$B$1:$CE$1,0))/100,0),""))),"")</f>
        <v>0</v>
      </c>
      <c r="CE202" s="42" t="n">
        <f aca="false">IFERROR(IF($C202="","",IF($D202="","",IFERROR(ROUND($D202*INDEX('🔖 배합비 참조'!$B$2:$CE$83,MATCH("혼합제제(떡용에스텔)",'🔖 배합비 참조'!$A$2:$A$83,0),MATCH($C202,'🔖 배합비 참조'!$B$1:$CE$1,0))/100,0),""))),"")</f>
        <v>22</v>
      </c>
      <c r="CF202" s="42" t="n">
        <f aca="false">IFERROR(IF($C202="","",IF($D202="","",IFERROR(ROUND($D202*INDEX('🔖 배합비 참조'!$B$2:$CE$83,MATCH("혼합제제(스테비아)",'🔖 배합비 참조'!$A$2:$A$83,0),MATCH($C202,'🔖 배합비 참조'!$B$1:$CE$1,0))/100,0),""))),"")</f>
        <v>0</v>
      </c>
      <c r="CG202" s="42" t="n">
        <f aca="false">IFERROR(IF($C202="","",IF($D202="","",IFERROR(ROUND($D202*INDEX('🔖 배합비 참조'!$B$2:$CE$83,MATCH("화이트초콜릿",'🔖 배합비 참조'!$A$2:$A$83,0),MATCH($C202,'🔖 배합비 참조'!$B$1:$CE$1,0))/100,0),""))),"")</f>
        <v>0</v>
      </c>
      <c r="CH202" s="42" t="n">
        <f aca="false">IFERROR(IF($C202="","",IF($D202="","",IFERROR(ROUND($D202*INDEX('🔖 배합비 참조'!$B$2:$CE$83,MATCH("흑미찹쌀(국내산)",'🔖 배합비 참조'!$A$2:$A$83,0),MATCH($C202,'🔖 배합비 참조'!$B$1:$CE$1,0))/100,0),""))),"")</f>
        <v>0</v>
      </c>
      <c r="CI202" s="42" t="n">
        <f aca="false">IFERROR(IF($C202="","",IF($D202="","",IFERROR(ROUND($D202*INDEX('🔖 배합비 참조'!$B$2:$CE$83,MATCH("찰옥수수전분(미국산)",'🔖 배합비 참조'!$A$2:$A$83,0),MATCH($C202,'🔖 배합비 참조'!$B$1:$CE$1,0))/100,0),""))),"")</f>
        <v>99</v>
      </c>
      <c r="CJ202" s="40"/>
      <c r="CL202" s="1" t="s">
        <v>247</v>
      </c>
    </row>
    <row r="203" customFormat="false" ht="18" hidden="false" customHeight="true" outlineLevel="0" collapsed="false">
      <c r="A203" s="35" t="n">
        <v>199</v>
      </c>
      <c r="B203" s="36" t="n">
        <v>46057</v>
      </c>
      <c r="C203" s="37" t="s">
        <v>204</v>
      </c>
      <c r="D203" s="38" t="n">
        <v>220</v>
      </c>
      <c r="E203" s="13"/>
      <c r="F203" s="13"/>
      <c r="G203" s="39" t="n">
        <f aca="false">IFERROR(IF($C203="","",IF($D203="","",IFERROR(ROUND($D203*INDEX('🔖 배합비 참조'!$B$2:$CE$83,MATCH("간장",'🔖 배합비 참조'!$A$2:$A$83,0),MATCH($C203,'🔖 배합비 참조'!$B$1:$CE$1,0))/100,0),""))),"")</f>
        <v>0</v>
      </c>
      <c r="H203" s="39" t="n">
        <f aca="false">IFERROR(IF($C203="","",IF($D203="","",IFERROR(ROUND($D203*INDEX('🔖 배합비 참조'!$B$2:$CE$83,MATCH("강낭콩((울타리콩))",'🔖 배합비 참조'!$A$2:$A$83,0),MATCH($C203,'🔖 배합비 참조'!$B$1:$CE$1,0))/100,0),""))),"")</f>
        <v>0</v>
      </c>
      <c r="I203" s="39" t="n">
        <f aca="false">IFERROR(IF($C203="","",IF($D203="","",IFERROR(ROUND($D203*INDEX('🔖 배합비 참조'!$B$2:$CE$83,MATCH("건조딸기다이스(외국산)",'🔖 배합비 참조'!$A$2:$A$83,0),MATCH($C203,'🔖 배합비 참조'!$B$1:$CE$1,0))/100,0),""))),"")</f>
        <v>0</v>
      </c>
      <c r="J203" s="39" t="n">
        <f aca="false">IFERROR(IF($C203="","",IF($D203="","",IFERROR(ROUND($D203*INDEX('🔖 배합비 참조'!$B$2:$CE$83,MATCH("건포도",'🔖 배합비 참조'!$A$2:$A$83,0),MATCH($C203,'🔖 배합비 참조'!$B$1:$CE$1,0))/100,0),""))),"")</f>
        <v>0</v>
      </c>
      <c r="K203" s="39" t="n">
        <f aca="false">IFERROR(IF($C203="","",IF($D203="","",IFERROR(ROUND($D203*INDEX('🔖 배합비 참조'!$B$2:$CE$83,MATCH("건호박채(중국산)",'🔖 배합비 참조'!$A$2:$A$83,0),MATCH($C203,'🔖 배합비 참조'!$B$1:$CE$1,0))/100,0),""))),"")</f>
        <v>0</v>
      </c>
      <c r="L203" s="39" t="n">
        <f aca="false">IFERROR(IF($C203="","",IF($D203="","",IFERROR(ROUND($D203*INDEX('🔖 배합비 참조'!$B$2:$CE$83,MATCH("검정깨(흑임자)",'🔖 배합비 참조'!$A$2:$A$83,0),MATCH($C203,'🔖 배합비 참조'!$B$1:$CE$1,0))/100,0),""))),"")</f>
        <v>0</v>
      </c>
      <c r="M203" s="39" t="n">
        <f aca="false">IFERROR(IF($C203="","",IF($D203="","",IFERROR(ROUND($D203*INDEX('🔖 배합비 참조'!$B$2:$CE$83,MATCH("검정콩",'🔖 배합비 참조'!$A$2:$A$83,0),MATCH($C203,'🔖 배합비 참조'!$B$1:$CE$1,0))/100,0),""))),"")</f>
        <v>0</v>
      </c>
      <c r="N203" s="39" t="n">
        <f aca="false">IFERROR(IF($C203="","",IF($D203="","",IFERROR(ROUND($D203*INDEX('🔖 배합비 참조'!$B$2:$CE$83,MATCH("계피가루",'🔖 배합비 참조'!$A$2:$A$83,0),MATCH($C203,'🔖 배합비 참조'!$B$1:$CE$1,0))/100,0),""))),"")</f>
        <v>0</v>
      </c>
      <c r="O203" s="39" t="n">
        <f aca="false">IFERROR(IF($C203="","",IF($D203="","",IFERROR(ROUND($D203*INDEX('🔖 배합비 참조'!$B$2:$CE$83,MATCH("고구마가루",'🔖 배합비 참조'!$A$2:$A$83,0),MATCH($C203,'🔖 배합비 참조'!$B$1:$CE$1,0))/100,0),""))),"")</f>
        <v>0</v>
      </c>
      <c r="P203" s="39" t="n">
        <f aca="false">IFERROR(IF($C203="","",IF($D203="","",IFERROR(ROUND($D203*INDEX('🔖 배합비 참조'!$B$2:$CE$83,MATCH("고구마무스",'🔖 배합비 참조'!$A$2:$A$83,0),MATCH($C203,'🔖 배합비 참조'!$B$1:$CE$1,0))/100,0),""))),"")</f>
        <v>0</v>
      </c>
      <c r="Q203" s="39" t="n">
        <f aca="false">IFERROR(IF($C203="","",IF($D203="","",IFERROR(ROUND($D203*INDEX('🔖 배합비 참조'!$B$2:$CE$83,MATCH("고려엉겅퀴((곤드레)국내산)",'🔖 배합비 참조'!$A$2:$A$83,0),MATCH($C203,'🔖 배합비 참조'!$B$1:$CE$1,0))/100,0),""))),"")</f>
        <v>0</v>
      </c>
      <c r="R203" s="39" t="n">
        <f aca="false">IFERROR(IF($C203="","",IF($D203="","",IFERROR(ROUND($D203*INDEX('🔖 배합비 참조'!$B$2:$CE$83,MATCH("기타가공품(복분자가루)",'🔖 배합비 참조'!$A$2:$A$83,0),MATCH($C203,'🔖 배합비 참조'!$B$1:$CE$1,0))/100,0),""))),"")</f>
        <v>0</v>
      </c>
      <c r="S203" s="39" t="n">
        <f aca="false">IFERROR(IF($C203="","",IF($D203="","",IFERROR(ROUND($D203*INDEX('🔖 배합비 참조'!$B$2:$CE$83,MATCH("기타가공품(슈퍼소프트엠)",'🔖 배합비 참조'!$A$2:$A$83,0),MATCH($C203,'🔖 배합비 참조'!$B$1:$CE$1,0))/100,0),""))),"")</f>
        <v>0</v>
      </c>
      <c r="T203" s="39" t="n">
        <f aca="false">IFERROR(IF($C203="","",IF($D203="","",IFERROR(ROUND($D203*INDEX('🔖 배합비 참조'!$B$2:$CE$83,MATCH("기타가공품(파인소프트 E-티)",'🔖 배합비 참조'!$A$2:$A$83,0),MATCH($C203,'🔖 배합비 참조'!$B$1:$CE$1,0))/100,0),""))),"")</f>
        <v>0</v>
      </c>
      <c r="U203" s="39" t="n">
        <f aca="false">IFERROR(IF($C203="","",IF($D203="","",IFERROR(ROUND($D203*INDEX('🔖 배합비 참조'!$B$2:$CE$83,MATCH("기타가공품(프리미엄카스테라가루)",'🔖 배합비 참조'!$A$2:$A$83,0),MATCH($C203,'🔖 배합비 참조'!$B$1:$CE$1,0))/100,0),""))),"")</f>
        <v>0</v>
      </c>
      <c r="V203" s="39" t="n">
        <f aca="false">IFERROR(IF($C203="","",IF($D203="","",IFERROR(ROUND($D203*INDEX('🔖 배합비 참조'!$B$2:$CE$83,MATCH("기타가공품(흑임자가루)",'🔖 배합비 참조'!$A$2:$A$83,0),MATCH($C203,'🔖 배합비 참조'!$B$1:$CE$1,0))/100,0),""))),"")</f>
        <v>0</v>
      </c>
      <c r="W203" s="39" t="n">
        <f aca="false">IFERROR(IF($C203="","",IF($D203="","",IFERROR(ROUND($D203*INDEX('🔖 배합비 참조'!$B$2:$CE$83,MATCH("기타설탕(흑설탕)",'🔖 배합비 참조'!$A$2:$A$83,0),MATCH($C203,'🔖 배합비 참조'!$B$1:$CE$1,0))/100,0),""))),"")</f>
        <v>0</v>
      </c>
      <c r="X203" s="39" t="n">
        <f aca="false">IFERROR(IF($C203="","",IF($D203="","",IFERROR(ROUND($D203*INDEX('🔖 배합비 참조'!$B$2:$CE$83,MATCH("냉동쑥(국내산)",'🔖 배합비 참조'!$A$2:$A$83,0),MATCH($C203,'🔖 배합비 참조'!$B$1:$CE$1,0))/100,0),""))),"")</f>
        <v>7</v>
      </c>
      <c r="Y203" s="39" t="n">
        <f aca="false">IFERROR(IF($C203="","",IF($D203="","",IFERROR(ROUND($D203*INDEX('🔖 배합비 참조'!$B$2:$CE$83,MATCH("냉동증숙고구마(중국산)",'🔖 배합비 참조'!$A$2:$A$83,0),MATCH($C203,'🔖 배합비 참조'!$B$1:$CE$1,0))/100,0),""))),"")</f>
        <v>0</v>
      </c>
      <c r="Z203" s="39" t="n">
        <f aca="false">IFERROR(IF($C203="","",IF($D203="","",IFERROR(ROUND($D203*INDEX('🔖 배합비 참조'!$B$2:$CE$83,MATCH("녹차가루",'🔖 배합비 참조'!$A$2:$A$83,0),MATCH($C203,'🔖 배합비 참조'!$B$1:$CE$1,0))/100,0),""))),"")</f>
        <v>0</v>
      </c>
      <c r="AA203" s="39" t="n">
        <f aca="false">IFERROR(IF($C203="","",IF($D203="","",IFERROR(ROUND($D203*INDEX('🔖 배합비 참조'!$B$2:$CE$83,MATCH("다크초콜릿 컴파운드칩",'🔖 배합비 참조'!$A$2:$A$83,0),MATCH($C203,'🔖 배합비 참조'!$B$1:$CE$1,0))/100,0),""))),"")</f>
        <v>0</v>
      </c>
      <c r="AB203" s="39" t="n">
        <f aca="false">IFERROR(IF($C203="","",IF($D203="","",IFERROR(ROUND($D203*INDEX('🔖 배합비 참조'!$B$2:$CE$83,MATCH("단호박분말(중국산)",'🔖 배합비 참조'!$A$2:$A$83,0),MATCH($C203,'🔖 배합비 참조'!$B$1:$CE$1,0))/100,0),""))),"")</f>
        <v>0</v>
      </c>
      <c r="AC203" s="39" t="n">
        <f aca="false">IFERROR(IF($C203="","",IF($D203="","",IFERROR(ROUND($D203*INDEX('🔖 배합비 참조'!$B$2:$CE$83,MATCH("당류가공품(단호박농축액)",'🔖 배합비 참조'!$A$2:$A$83,0),MATCH($C203,'🔖 배합비 참조'!$B$1:$CE$1,0))/100,0),""))),"")</f>
        <v>0</v>
      </c>
      <c r="AD203" s="39" t="n">
        <f aca="false">IFERROR(IF($C203="","",IF($D203="","",IFERROR(ROUND($D203*INDEX('🔖 배합비 참조'!$B$2:$CE$83,MATCH("당류가공품(알룰로스,에리스리톨,스테비올배당체혼합)",'🔖 배합비 참조'!$A$2:$A$83,0),MATCH($C203,'🔖 배합비 참조'!$B$1:$CE$1,0))/100,0),""))),"")</f>
        <v>0</v>
      </c>
      <c r="AE203" s="39" t="n">
        <f aca="false">IFERROR(IF($C203="","",IF($D203="","",IFERROR(ROUND($D203*INDEX('🔖 배합비 참조'!$B$2:$CE$83,MATCH("당류가공품(알룰로스제로파우더)",'🔖 배합비 참조'!$A$2:$A$83,0),MATCH($C203,'🔖 배합비 참조'!$B$1:$CE$1,0))/100,0),""))),"")</f>
        <v>0</v>
      </c>
      <c r="AF203" s="39" t="n">
        <f aca="false">IFERROR(IF($C203="","",IF($D203="","",IFERROR(ROUND($D203*INDEX('🔖 배합비 참조'!$B$2:$CE$83,MATCH("당절임(완두배기)",'🔖 배합비 참조'!$A$2:$A$83,0),MATCH($C203,'🔖 배합비 참조'!$B$1:$CE$1,0))/100,0),""))),"")</f>
        <v>0</v>
      </c>
      <c r="AG203" s="39" t="n">
        <f aca="false">IFERROR(IF($C203="","",IF($D203="","",IFERROR(ROUND($D203*INDEX('🔖 배합비 참조'!$B$2:$CE$83,MATCH("대추농축액",'🔖 배합비 참조'!$A$2:$A$83,0),MATCH($C203,'🔖 배합비 참조'!$B$1:$CE$1,0))/100,0),""))),"")</f>
        <v>0</v>
      </c>
      <c r="AH203" s="39" t="n">
        <f aca="false">IFERROR(IF($C203="","",IF($D203="","",IFERROR(ROUND($D203*INDEX('🔖 배합비 참조'!$B$2:$CE$83,MATCH("대추채(국내산)",'🔖 배합비 참조'!$A$2:$A$83,0),MATCH($C203,'🔖 배합비 참조'!$B$1:$CE$1,0))/100,0),""))),"")</f>
        <v>0</v>
      </c>
      <c r="AI203" s="39" t="n">
        <f aca="false">IFERROR(IF($C203="","",IF($D203="","",IFERROR(ROUND($D203*INDEX('🔖 배합비 참조'!$B$2:$CE$83,MATCH("동부(미얀마산)",'🔖 배합비 참조'!$A$2:$A$83,0),MATCH($C203,'🔖 배합비 참조'!$B$1:$CE$1,0))/100,0),""))),"")</f>
        <v>0</v>
      </c>
      <c r="AJ203" s="39" t="n">
        <f aca="false">IFERROR(IF($C203="","",IF($D203="","",IFERROR(ROUND($D203*INDEX('🔖 배합비 참조'!$B$2:$CE$83,MATCH("두류가공품(백옥앙금)",'🔖 배합비 참조'!$A$2:$A$83,0),MATCH($C203,'🔖 배합비 참조'!$B$1:$CE$1,0))/100,0),""))),"")</f>
        <v>0</v>
      </c>
      <c r="AK203" s="39" t="n">
        <f aca="false">IFERROR(IF($C203="","",IF($D203="","",IFERROR(ROUND($D203*INDEX('🔖 배합비 참조'!$B$2:$CE$83,MATCH("두류가공품(콩고물)",'🔖 배합비 참조'!$A$2:$A$83,0),MATCH($C203,'🔖 배합비 참조'!$B$1:$CE$1,0))/100,0),""))),"")</f>
        <v>7</v>
      </c>
      <c r="AL203" s="39" t="n">
        <f aca="false">IFERROR(IF($C203="","",IF($D203="","",IFERROR(ROUND($D203*INDEX('🔖 배합비 참조'!$B$2:$CE$83,MATCH("두류가공품(통팥고물)",'🔖 배합비 참조'!$A$2:$A$83,0),MATCH($C203,'🔖 배합비 참조'!$B$1:$CE$1,0))/100,0),""))),"")</f>
        <v>0</v>
      </c>
      <c r="AM203" s="39" t="n">
        <f aca="false">IFERROR(IF($C203="","",IF($D203="","",IFERROR(ROUND($D203*INDEX('🔖 배합비 참조'!$B$2:$CE$83,MATCH("딸기레진",'🔖 배합비 참조'!$A$2:$A$83,0),MATCH($C203,'🔖 배합비 참조'!$B$1:$CE$1,0))/100,0),""))),"")</f>
        <v>0</v>
      </c>
      <c r="AN203" s="39" t="n">
        <f aca="false">IFERROR(IF($C203="","",IF($D203="","",IFERROR(ROUND($D203*INDEX('🔖 배합비 참조'!$B$2:$CE$83,MATCH("딸기분말(스트로우베리에이드(분말))",'🔖 배합비 참조'!$A$2:$A$83,0),MATCH($C203,'🔖 배합비 참조'!$B$1:$CE$1,0))/100,0),""))),"")</f>
        <v>0</v>
      </c>
      <c r="AO203" s="39" t="n">
        <f aca="false">IFERROR(IF($C203="","",IF($D203="","",IFERROR(ROUND($D203*INDEX('🔖 배합비 참조'!$B$2:$CE$83,MATCH("마스카포네치즈",'🔖 배합비 참조'!$A$2:$A$83,0),MATCH($C203,'🔖 배합비 참조'!$B$1:$CE$1,0))/100,0),""))),"")</f>
        <v>0</v>
      </c>
      <c r="AP203" s="39" t="n">
        <f aca="false">IFERROR(IF($C203="","",IF($D203="","",IFERROR(ROUND($D203*INDEX('🔖 배합비 참조'!$B$2:$CE$83,MATCH("마카다미아분태(호주산)",'🔖 배합비 참조'!$A$2:$A$83,0),MATCH($C203,'🔖 배합비 참조'!$B$1:$CE$1,0))/100,0),""))),"")</f>
        <v>0</v>
      </c>
      <c r="AQ203" s="39" t="n">
        <f aca="false">IFERROR(IF($C203="","",IF($D203="","",IFERROR(ROUND($D203*INDEX('🔖 배합비 참조'!$B$2:$CE$83,MATCH("멥쌀(국내산)",'🔖 배합비 참조'!$A$2:$A$83,0),MATCH($C203,'🔖 배합비 참조'!$B$1:$CE$1,0))/100,0),""))),"")</f>
        <v>0</v>
      </c>
      <c r="AR203" s="39" t="n">
        <f aca="false">IFERROR(IF($C203="","",IF($D203="","",IFERROR(ROUND($D203*INDEX('🔖 배합비 참조'!$B$2:$CE$83,MATCH("모시잎(국내산)",'🔖 배합비 참조'!$A$2:$A$83,0),MATCH($C203,'🔖 배합비 참조'!$B$1:$CE$1,0))/100,0),""))),"")</f>
        <v>0</v>
      </c>
      <c r="AS203" s="39" t="n">
        <f aca="false">IFERROR(IF($C203="","",IF($D203="","",IFERROR(ROUND($D203*INDEX('🔖 배합비 참조'!$B$2:$CE$83,MATCH("물엿(저당물엿)",'🔖 배합비 참조'!$A$2:$A$83,0),MATCH($C203,'🔖 배합비 참조'!$B$1:$CE$1,0))/100,0),""))),"")</f>
        <v>5</v>
      </c>
      <c r="AT203" s="39" t="n">
        <f aca="false">IFERROR(IF($C203="","",IF($D203="","",IFERROR(ROUND($D203*INDEX('🔖 배합비 참조'!$B$2:$CE$83,MATCH("밤다이스",'🔖 배합비 참조'!$A$2:$A$83,0),MATCH($C203,'🔖 배합비 참조'!$B$1:$CE$1,0))/100,0),""))),"")</f>
        <v>0</v>
      </c>
      <c r="AU203" s="39" t="n">
        <f aca="false">IFERROR(IF($C203="","",IF($D203="","",IFERROR(ROUND($D203*INDEX('🔖 배합비 참조'!$B$2:$CE$83,MATCH("변성전분(타피오카전분)",'🔖 배합비 참조'!$A$2:$A$83,0),MATCH($C203,'🔖 배합비 참조'!$B$1:$CE$1,0))/100,0),""))),"")</f>
        <v>0</v>
      </c>
      <c r="AV203" s="39" t="n">
        <f aca="false">IFERROR(IF($C203="","",IF($D203="","",IFERROR(ROUND($D203*INDEX('🔖 배합비 참조'!$B$2:$CE$83,MATCH("복음땅콩분태",'🔖 배합비 참조'!$A$2:$A$83,0),MATCH($C203,'🔖 배합비 참조'!$B$1:$CE$1,0))/100,0),""))),"")</f>
        <v>0</v>
      </c>
      <c r="AW203" s="39" t="n">
        <f aca="false">IFERROR(IF($C203="","",IF($D203="","",IFERROR(ROUND($D203*INDEX('🔖 배합비 참조'!$B$2:$CE$83,MATCH("사양벌꿀(국내산)",'🔖 배합비 참조'!$A$2:$A$83,0),MATCH($C203,'🔖 배합비 참조'!$B$1:$CE$1,0))/100,0),""))),"")</f>
        <v>0</v>
      </c>
      <c r="AX203" s="39" t="n">
        <f aca="false">IFERROR(IF($C203="","",IF($D203="","",IFERROR(ROUND($D203*INDEX('🔖 배합비 참조'!$B$2:$CE$83,MATCH("생크림",'🔖 배합비 참조'!$A$2:$A$83,0),MATCH($C203,'🔖 배합비 참조'!$B$1:$CE$1,0))/100,0),""))),"")</f>
        <v>0</v>
      </c>
      <c r="AY203" s="39" t="n">
        <f aca="false">IFERROR(IF($C203="","",IF($D203="","",IFERROR(ROUND($D203*INDEX('🔖 배합비 참조'!$B$2:$CE$83,MATCH("서양호박(국내산,뉴질랜드산)",'🔖 배합비 참조'!$A$2:$A$83,0),MATCH($C203,'🔖 배합비 참조'!$B$1:$CE$1,0))/100,0),""))),"")</f>
        <v>0</v>
      </c>
      <c r="AZ203" s="39" t="n">
        <f aca="false">IFERROR(IF($C203="","",IF($D203="","",IFERROR(ROUND($D203*INDEX('🔖 배합비 참조'!$B$2:$CE$83,MATCH("설탕",'🔖 배합비 참조'!$A$2:$A$83,0),MATCH($C203,'🔖 배합비 참조'!$B$1:$CE$1,0))/100,0),""))),"")</f>
        <v>5</v>
      </c>
      <c r="BA203" s="39" t="n">
        <f aca="false">IFERROR(IF($C203="","",IF($D203="","",IFERROR(ROUND($D203*INDEX('🔖 배합비 참조'!$B$2:$CE$83,MATCH("스트로우베리 에이드 후레쉬",'🔖 배합비 참조'!$A$2:$A$83,0),MATCH($C203,'🔖 배합비 참조'!$B$1:$CE$1,0))/100,0),""))),"")</f>
        <v>0</v>
      </c>
      <c r="BB203" s="39" t="n">
        <f aca="false">IFERROR(IF($C203="","",IF($D203="","",IFERROR(ROUND($D203*INDEX('🔖 배합비 참조'!$B$2:$CE$83,MATCH("식물성기름혼합제제(분홍)",'🔖 배합비 참조'!$A$2:$A$83,0),MATCH($C203,'🔖 배합비 참조'!$B$1:$CE$1,0))/100,0),""))),"")</f>
        <v>0</v>
      </c>
      <c r="BC203" s="39" t="n">
        <f aca="false">IFERROR(IF($C203="","",IF($D203="","",IFERROR(ROUND($D203*INDEX('🔖 배합비 참조'!$B$2:$CE$83,MATCH("식물성기름혼합제제(초록)",'🔖 배합비 참조'!$A$2:$A$83,0),MATCH($C203,'🔖 배합비 참조'!$B$1:$CE$1,0))/100,0),""))),"")</f>
        <v>0</v>
      </c>
      <c r="BD203" s="39" t="n">
        <f aca="false">IFERROR(IF($C203="","",IF($D203="","",IFERROR(ROUND($D203*INDEX('🔖 배합비 참조'!$B$2:$CE$83,MATCH("식물성기름혼합제제(황색)",'🔖 배합비 참조'!$A$2:$A$83,0),MATCH($C203,'🔖 배합비 참조'!$B$1:$CE$1,0))/100,0),""))),"")</f>
        <v>0</v>
      </c>
      <c r="BE203" s="39" t="n">
        <f aca="false">IFERROR(IF($C203="","",IF($D203="","",IFERROR(ROUND($D203*INDEX('🔖 배합비 참조'!$B$2:$CE$83,MATCH("쑥가루(국내산)",'🔖 배합비 참조'!$A$2:$A$83,0),MATCH($C203,'🔖 배합비 참조'!$B$1:$CE$1,0))/100,0),""))),"")</f>
        <v>2</v>
      </c>
      <c r="BF203" s="39" t="n">
        <f aca="false">IFERROR(IF($C203="","",IF($D203="","",IFERROR(ROUND($D203*INDEX('🔖 배합비 참조'!$B$2:$CE$83,MATCH("아몬드슬라이스",'🔖 배합비 참조'!$A$2:$A$83,0),MATCH($C203,'🔖 배합비 참조'!$B$1:$CE$1,0))/100,0),""))),"")</f>
        <v>0</v>
      </c>
      <c r="BG203" s="39" t="n">
        <f aca="false">IFERROR(IF($C203="","",IF($D203="","",IFERROR(ROUND($D203*INDEX('🔖 배합비 참조'!$B$2:$CE$83,MATCH("알룰로오스(국내산)",'🔖 배합비 참조'!$A$2:$A$83,0),MATCH($C203,'🔖 배합비 참조'!$B$1:$CE$1,0))/100,0),""))),"")</f>
        <v>0</v>
      </c>
      <c r="BH203" s="39" t="n">
        <f aca="false">IFERROR(IF($C203="","",IF($D203="","",IFERROR(ROUND($D203*INDEX('🔖 배합비 참조'!$B$2:$CE$83,MATCH("연유",'🔖 배합비 참조'!$A$2:$A$83,0),MATCH($C203,'🔖 배합비 참조'!$B$1:$CE$1,0))/100,0),""))),"")</f>
        <v>0</v>
      </c>
      <c r="BI203" s="39" t="n">
        <f aca="false">IFERROR(IF($C203="","",IF($D203="","",IFERROR(ROUND($D203*INDEX('🔖 배합비 참조'!$B$2:$CE$83,MATCH("옥수수전분",'🔖 배합비 참조'!$A$2:$A$83,0),MATCH($C203,'🔖 배합비 참조'!$B$1:$CE$1,0))/100,0),""))),"")</f>
        <v>0</v>
      </c>
      <c r="BJ203" s="39" t="n">
        <f aca="false">IFERROR(IF($C203="","",IF($D203="","",IFERROR(ROUND($D203*INDEX('🔖 배합비 참조'!$B$2:$CE$83,MATCH("완두배기",'🔖 배합비 참조'!$A$2:$A$83,0),MATCH($C203,'🔖 배합비 참조'!$B$1:$CE$1,0))/100,0),""))),"")</f>
        <v>0</v>
      </c>
      <c r="BK203" s="39" t="n">
        <f aca="false">IFERROR(IF($C203="","",IF($D203="","",IFERROR(ROUND($D203*INDEX('🔖 배합비 참조'!$B$2:$CE$83,MATCH("우유(국내산)",'🔖 배합비 참조'!$A$2:$A$83,0),MATCH($C203,'🔖 배합비 참조'!$B$1:$CE$1,0))/100,0),""))),"")</f>
        <v>0</v>
      </c>
      <c r="BL203" s="39" t="n">
        <f aca="false">IFERROR(IF($C203="","",IF($D203="","",IFERROR(ROUND($D203*INDEX('🔖 배합비 참조'!$B$2:$CE$83,MATCH("자색고구마가루(중국산)",'🔖 배합비 참조'!$A$2:$A$83,0),MATCH($C203,'🔖 배합비 참조'!$B$1:$CE$1,0))/100,0),""))),"")</f>
        <v>0</v>
      </c>
      <c r="BM203" s="39" t="n">
        <f aca="false">IFERROR(IF($C203="","",IF($D203="","",IFERROR(ROUND($D203*INDEX('🔖 배합비 참조'!$B$2:$CE$83,MATCH("자연치즈(체다치즈)",'🔖 배합비 참조'!$A$2:$A$83,0),MATCH($C203,'🔖 배합비 참조'!$B$1:$CE$1,0))/100,0),""))),"")</f>
        <v>0</v>
      </c>
      <c r="BN203" s="39" t="n">
        <f aca="false">IFERROR(IF($C203="","",IF($D203="","",IFERROR(ROUND($D203*INDEX('🔖 배합비 참조'!$B$2:$CE$83,MATCH("정제수",'🔖 배합비 참조'!$A$2:$A$83,0),MATCH($C203,'🔖 배합비 참조'!$B$1:$CE$1,0))/100,0),""))),"")</f>
        <v>0</v>
      </c>
      <c r="BO203" s="39" t="n">
        <f aca="false">IFERROR(IF($C203="","",IF($D203="","",IFERROR(ROUND($D203*INDEX('🔖 배합비 참조'!$B$2:$CE$83,MATCH("젤라틴",'🔖 배합비 참조'!$A$2:$A$83,0),MATCH($C203,'🔖 배합비 참조'!$B$1:$CE$1,0))/100,0),""))),"")</f>
        <v>0</v>
      </c>
      <c r="BP203" s="39" t="n">
        <f aca="false">IFERROR(IF($C203="","",IF($D203="","",IFERROR(ROUND($D203*INDEX('🔖 배합비 참조'!$B$2:$CE$83,MATCH("조림류(백옥앙금)",'🔖 배합비 참조'!$A$2:$A$83,0),MATCH($C203,'🔖 배합비 참조'!$B$1:$CE$1,0))/100,0),""))),"")</f>
        <v>0</v>
      </c>
      <c r="BQ203" s="39" t="n">
        <f aca="false">IFERROR(IF($C203="","",IF($D203="","",IFERROR(ROUND($D203*INDEX('🔖 배합비 참조'!$B$2:$CE$83,MATCH("조림류(통팥앙금)",'🔖 배합비 참조'!$A$2:$A$83,0),MATCH($C203,'🔖 배합비 참조'!$B$1:$CE$1,0))/100,0),""))),"")</f>
        <v>92</v>
      </c>
      <c r="BR203" s="39" t="n">
        <f aca="false">IFERROR(IF($C203="","",IF($D203="","",IFERROR(ROUND($D203*INDEX('🔖 배합비 참조'!$B$2:$CE$83,MATCH("준초콜릿(외국산)",'🔖 배합비 참조'!$A$2:$A$83,0),MATCH($C203,'🔖 배합비 참조'!$B$1:$CE$1,0))/100,0),""))),"")</f>
        <v>0</v>
      </c>
      <c r="BS203" s="39" t="n">
        <f aca="false">IFERROR(IF($C203="","",IF($D203="","",IFERROR(ROUND($D203*INDEX('🔖 배합비 참조'!$B$2:$CE$83,MATCH("중력분",'🔖 배합비 참조'!$A$2:$A$83,0),MATCH($C203,'🔖 배합비 참조'!$B$1:$CE$1,0))/100,0),""))),"")</f>
        <v>2</v>
      </c>
      <c r="BT203" s="39" t="n">
        <f aca="false">IFERROR(IF($C203="","",IF($D203="","",IFERROR(ROUND($D203*INDEX('🔖 배합비 참조'!$B$2:$CE$83,MATCH("참깨(인도산,나이지리아산,탄자니아산,미얀마산)",'🔖 배합비 참조'!$A$2:$A$83,0),MATCH($C203,'🔖 배합비 참조'!$B$1:$CE$1,0))/100,0),""))),"")</f>
        <v>0</v>
      </c>
      <c r="BU203" s="39" t="n">
        <f aca="false">IFERROR(IF($C203="","",IF($D203="","",IFERROR(ROUND($D203*INDEX('🔖 배합비 참조'!$B$2:$CE$83,MATCH("찹쌀(국내산)",'🔖 배합비 참조'!$A$2:$A$83,0),MATCH($C203,'🔖 배합비 참조'!$B$1:$CE$1,0))/100,0),""))),"")</f>
        <v>98</v>
      </c>
      <c r="BV203" s="39" t="n">
        <f aca="false">IFERROR(IF($C203="","",IF($D203="","",IFERROR(ROUND($D203*INDEX('🔖 배합비 참조'!$B$2:$CE$83,MATCH("천일염",'🔖 배합비 참조'!$A$2:$A$83,0),MATCH($C203,'🔖 배합비 참조'!$B$1:$CE$1,0))/100,0),""))),"")</f>
        <v>2</v>
      </c>
      <c r="BW203" s="39" t="n">
        <f aca="false">IFERROR(IF($C203="","",IF($D203="","",IFERROR(ROUND($D203*INDEX('🔖 배합비 참조'!$B$2:$CE$83,MATCH("치즈 [크림치즈]",'🔖 배합비 참조'!$A$2:$A$83,0),MATCH($C203,'🔖 배합비 참조'!$B$1:$CE$1,0))/100,0),""))),"")</f>
        <v>0</v>
      </c>
      <c r="BX203" s="39" t="n">
        <f aca="false">IFERROR(IF($C203="","",IF($D203="","",IFERROR(ROUND($D203*INDEX('🔖 배합비 참조'!$B$2:$CE$83,MATCH("코코아가공품류(코코아분말)",'🔖 배합비 참조'!$A$2:$A$83,0),MATCH($C203,'🔖 배합비 참조'!$B$1:$CE$1,0))/100,0),""))),"")</f>
        <v>0</v>
      </c>
      <c r="BY203" s="39" t="n">
        <f aca="false">IFERROR(IF($C203="","",IF($D203="","",IFERROR(ROUND($D203*INDEX('🔖 배합비 참조'!$B$2:$CE$83,MATCH("콩기름(대두유)",'🔖 배합비 참조'!$A$2:$A$83,0),MATCH($C203,'🔖 배합비 참조'!$B$1:$CE$1,0))/100,0),""))),"")</f>
        <v>0</v>
      </c>
      <c r="BZ203" s="39" t="n">
        <f aca="false">IFERROR(IF($C203="","",IF($D203="","",IFERROR(ROUND($D203*INDEX('🔖 배합비 참조'!$B$2:$CE$83,MATCH("해바라기씨앗",'🔖 배합비 참조'!$A$2:$A$83,0),MATCH($C203,'🔖 배합비 참조'!$B$1:$CE$1,0))/100,0),""))),"")</f>
        <v>0</v>
      </c>
      <c r="CA203" s="39" t="n">
        <f aca="false">IFERROR(IF($C203="","",IF($D203="","",IFERROR(ROUND($D203*INDEX('🔖 배합비 참조'!$B$2:$CE$83,MATCH("현미(국내산)",'🔖 배합비 참조'!$A$2:$A$83,0),MATCH($C203,'🔖 배합비 참조'!$B$1:$CE$1,0))/100,0),""))),"")</f>
        <v>0</v>
      </c>
      <c r="CB203" s="39" t="n">
        <f aca="false">IFERROR(IF($C203="","",IF($D203="","",IFERROR(ROUND($D203*INDEX('🔖 배합비 참조'!$B$2:$CE$83,MATCH("현미멥쌀(국내산)",'🔖 배합비 참조'!$A$2:$A$83,0),MATCH($C203,'🔖 배합비 참조'!$B$1:$CE$1,0))/100,0),""))),"")</f>
        <v>0</v>
      </c>
      <c r="CC203" s="39" t="n">
        <f aca="false">IFERROR(IF($C203="","",IF($D203="","",IFERROR(ROUND($D203*INDEX('🔖 배합비 참조'!$B$2:$CE$83,MATCH("호두분태(미국산)",'🔖 배합비 참조'!$A$2:$A$83,0),MATCH($C203,'🔖 배합비 참조'!$B$1:$CE$1,0))/100,0),""))),"")</f>
        <v>0</v>
      </c>
      <c r="CD203" s="39" t="n">
        <f aca="false">IFERROR(IF($C203="","",IF($D203="","",IFERROR(ROUND($D203*INDEX('🔖 배합비 참조'!$B$2:$CE$83,MATCH("호박씨앗(외국산)",'🔖 배합비 참조'!$A$2:$A$83,0),MATCH($C203,'🔖 배합비 참조'!$B$1:$CE$1,0))/100,0),""))),"")</f>
        <v>0</v>
      </c>
      <c r="CE203" s="39" t="n">
        <f aca="false">IFERROR(IF($C203="","",IF($D203="","",IFERROR(ROUND($D203*INDEX('🔖 배합비 참조'!$B$2:$CE$83,MATCH("혼합제제(떡용에스텔)",'🔖 배합비 참조'!$A$2:$A$83,0),MATCH($C203,'🔖 배합비 참조'!$B$1:$CE$1,0))/100,0),""))),"")</f>
        <v>1</v>
      </c>
      <c r="CF203" s="39" t="n">
        <f aca="false">IFERROR(IF($C203="","",IF($D203="","",IFERROR(ROUND($D203*INDEX('🔖 배합비 참조'!$B$2:$CE$83,MATCH("혼합제제(스테비아)",'🔖 배합비 참조'!$A$2:$A$83,0),MATCH($C203,'🔖 배합비 참조'!$B$1:$CE$1,0))/100,0),""))),"")</f>
        <v>0</v>
      </c>
      <c r="CG203" s="39" t="n">
        <f aca="false">IFERROR(IF($C203="","",IF($D203="","",IFERROR(ROUND($D203*INDEX('🔖 배합비 참조'!$B$2:$CE$83,MATCH("화이트초콜릿",'🔖 배합비 참조'!$A$2:$A$83,0),MATCH($C203,'🔖 배합비 참조'!$B$1:$CE$1,0))/100,0),""))),"")</f>
        <v>0</v>
      </c>
      <c r="CH203" s="39" t="n">
        <f aca="false">IFERROR(IF($C203="","",IF($D203="","",IFERROR(ROUND($D203*INDEX('🔖 배합비 참조'!$B$2:$CE$83,MATCH("흑미찹쌀(국내산)",'🔖 배합비 참조'!$A$2:$A$83,0),MATCH($C203,'🔖 배합비 참조'!$B$1:$CE$1,0))/100,0),""))),"")</f>
        <v>0</v>
      </c>
      <c r="CI203" s="39" t="n">
        <f aca="false">IFERROR(IF($C203="","",IF($D203="","",IFERROR(ROUND($D203*INDEX('🔖 배합비 참조'!$B$2:$CE$83,MATCH("찰옥수수전분(미국산)",'🔖 배합비 참조'!$A$2:$A$83,0),MATCH($C203,'🔖 배합비 참조'!$B$1:$CE$1,0))/100,0),""))),"")</f>
        <v>0</v>
      </c>
      <c r="CJ203" s="40"/>
      <c r="CL203" s="1" t="s">
        <v>247</v>
      </c>
    </row>
    <row r="204" customFormat="false" ht="18" hidden="false" customHeight="true" outlineLevel="0" collapsed="false">
      <c r="A204" s="41" t="n">
        <v>200</v>
      </c>
      <c r="B204" s="36" t="n">
        <v>46057</v>
      </c>
      <c r="C204" s="37" t="s">
        <v>236</v>
      </c>
      <c r="D204" s="38" t="n">
        <v>110</v>
      </c>
      <c r="E204" s="17"/>
      <c r="F204" s="17"/>
      <c r="G204" s="42" t="n">
        <f aca="false">IFERROR(IF($C204="","",IF($D204="","",IFERROR(ROUND($D204*INDEX('🔖 배합비 참조'!$B$2:$CE$83,MATCH("간장",'🔖 배합비 참조'!$A$2:$A$83,0),MATCH($C204,'🔖 배합비 참조'!$B$1:$CE$1,0))/100,0),""))),"")</f>
        <v>0</v>
      </c>
      <c r="H204" s="42" t="n">
        <f aca="false">IFERROR(IF($C204="","",IF($D204="","",IFERROR(ROUND($D204*INDEX('🔖 배합비 참조'!$B$2:$CE$83,MATCH("강낭콩((울타리콩))",'🔖 배합비 참조'!$A$2:$A$83,0),MATCH($C204,'🔖 배합비 참조'!$B$1:$CE$1,0))/100,0),""))),"")</f>
        <v>0</v>
      </c>
      <c r="I204" s="42" t="n">
        <f aca="false">IFERROR(IF($C204="","",IF($D204="","",IFERROR(ROUND($D204*INDEX('🔖 배합비 참조'!$B$2:$CE$83,MATCH("건조딸기다이스(외국산)",'🔖 배합비 참조'!$A$2:$A$83,0),MATCH($C204,'🔖 배합비 참조'!$B$1:$CE$1,0))/100,0),""))),"")</f>
        <v>0</v>
      </c>
      <c r="J204" s="42" t="n">
        <f aca="false">IFERROR(IF($C204="","",IF($D204="","",IFERROR(ROUND($D204*INDEX('🔖 배합비 참조'!$B$2:$CE$83,MATCH("건포도",'🔖 배합비 참조'!$A$2:$A$83,0),MATCH($C204,'🔖 배합비 참조'!$B$1:$CE$1,0))/100,0),""))),"")</f>
        <v>0</v>
      </c>
      <c r="K204" s="42" t="n">
        <f aca="false">IFERROR(IF($C204="","",IF($D204="","",IFERROR(ROUND($D204*INDEX('🔖 배합비 참조'!$B$2:$CE$83,MATCH("건호박채(중국산)",'🔖 배합비 참조'!$A$2:$A$83,0),MATCH($C204,'🔖 배합비 참조'!$B$1:$CE$1,0))/100,0),""))),"")</f>
        <v>0</v>
      </c>
      <c r="L204" s="42" t="n">
        <f aca="false">IFERROR(IF($C204="","",IF($D204="","",IFERROR(ROUND($D204*INDEX('🔖 배합비 참조'!$B$2:$CE$83,MATCH("검정깨(흑임자)",'🔖 배합비 참조'!$A$2:$A$83,0),MATCH($C204,'🔖 배합비 참조'!$B$1:$CE$1,0))/100,0),""))),"")</f>
        <v>0</v>
      </c>
      <c r="M204" s="42" t="n">
        <f aca="false">IFERROR(IF($C204="","",IF($D204="","",IFERROR(ROUND($D204*INDEX('🔖 배합비 참조'!$B$2:$CE$83,MATCH("검정콩",'🔖 배합비 참조'!$A$2:$A$83,0),MATCH($C204,'🔖 배합비 참조'!$B$1:$CE$1,0))/100,0),""))),"")</f>
        <v>0</v>
      </c>
      <c r="N204" s="42" t="n">
        <f aca="false">IFERROR(IF($C204="","",IF($D204="","",IFERROR(ROUND($D204*INDEX('🔖 배합비 참조'!$B$2:$CE$83,MATCH("계피가루",'🔖 배합비 참조'!$A$2:$A$83,0),MATCH($C204,'🔖 배합비 참조'!$B$1:$CE$1,0))/100,0),""))),"")</f>
        <v>0</v>
      </c>
      <c r="O204" s="42" t="n">
        <f aca="false">IFERROR(IF($C204="","",IF($D204="","",IFERROR(ROUND($D204*INDEX('🔖 배합비 참조'!$B$2:$CE$83,MATCH("고구마가루",'🔖 배합비 참조'!$A$2:$A$83,0),MATCH($C204,'🔖 배합비 참조'!$B$1:$CE$1,0))/100,0),""))),"")</f>
        <v>0</v>
      </c>
      <c r="P204" s="42" t="n">
        <f aca="false">IFERROR(IF($C204="","",IF($D204="","",IFERROR(ROUND($D204*INDEX('🔖 배합비 참조'!$B$2:$CE$83,MATCH("고구마무스",'🔖 배합비 참조'!$A$2:$A$83,0),MATCH($C204,'🔖 배합비 참조'!$B$1:$CE$1,0))/100,0),""))),"")</f>
        <v>0</v>
      </c>
      <c r="Q204" s="42" t="n">
        <f aca="false">IFERROR(IF($C204="","",IF($D204="","",IFERROR(ROUND($D204*INDEX('🔖 배합비 참조'!$B$2:$CE$83,MATCH("고려엉겅퀴((곤드레)국내산)",'🔖 배합비 참조'!$A$2:$A$83,0),MATCH($C204,'🔖 배합비 참조'!$B$1:$CE$1,0))/100,0),""))),"")</f>
        <v>0</v>
      </c>
      <c r="R204" s="42" t="n">
        <f aca="false">IFERROR(IF($C204="","",IF($D204="","",IFERROR(ROUND($D204*INDEX('🔖 배합비 참조'!$B$2:$CE$83,MATCH("기타가공품(복분자가루)",'🔖 배합비 참조'!$A$2:$A$83,0),MATCH($C204,'🔖 배합비 참조'!$B$1:$CE$1,0))/100,0),""))),"")</f>
        <v>0</v>
      </c>
      <c r="S204" s="42" t="n">
        <f aca="false">IFERROR(IF($C204="","",IF($D204="","",IFERROR(ROUND($D204*INDEX('🔖 배합비 참조'!$B$2:$CE$83,MATCH("기타가공품(슈퍼소프트엠)",'🔖 배합비 참조'!$A$2:$A$83,0),MATCH($C204,'🔖 배합비 참조'!$B$1:$CE$1,0))/100,0),""))),"")</f>
        <v>0</v>
      </c>
      <c r="T204" s="42" t="n">
        <f aca="false">IFERROR(IF($C204="","",IF($D204="","",IFERROR(ROUND($D204*INDEX('🔖 배합비 참조'!$B$2:$CE$83,MATCH("기타가공품(파인소프트 E-티)",'🔖 배합비 참조'!$A$2:$A$83,0),MATCH($C204,'🔖 배합비 참조'!$B$1:$CE$1,0))/100,0),""))),"")</f>
        <v>0</v>
      </c>
      <c r="U204" s="42" t="n">
        <f aca="false">IFERROR(IF($C204="","",IF($D204="","",IFERROR(ROUND($D204*INDEX('🔖 배합비 참조'!$B$2:$CE$83,MATCH("기타가공품(프리미엄카스테라가루)",'🔖 배합비 참조'!$A$2:$A$83,0),MATCH($C204,'🔖 배합비 참조'!$B$1:$CE$1,0))/100,0),""))),"")</f>
        <v>0</v>
      </c>
      <c r="V204" s="42" t="n">
        <f aca="false">IFERROR(IF($C204="","",IF($D204="","",IFERROR(ROUND($D204*INDEX('🔖 배합비 참조'!$B$2:$CE$83,MATCH("기타가공품(흑임자가루)",'🔖 배합비 참조'!$A$2:$A$83,0),MATCH($C204,'🔖 배합비 참조'!$B$1:$CE$1,0))/100,0),""))),"")</f>
        <v>0</v>
      </c>
      <c r="W204" s="42" t="n">
        <f aca="false">IFERROR(IF($C204="","",IF($D204="","",IFERROR(ROUND($D204*INDEX('🔖 배합비 참조'!$B$2:$CE$83,MATCH("기타설탕(흑설탕)",'🔖 배합비 참조'!$A$2:$A$83,0),MATCH($C204,'🔖 배합비 참조'!$B$1:$CE$1,0))/100,0),""))),"")</f>
        <v>0</v>
      </c>
      <c r="X204" s="42" t="n">
        <f aca="false">IFERROR(IF($C204="","",IF($D204="","",IFERROR(ROUND($D204*INDEX('🔖 배합비 참조'!$B$2:$CE$83,MATCH("냉동쑥(국내산)",'🔖 배합비 참조'!$A$2:$A$83,0),MATCH($C204,'🔖 배합비 참조'!$B$1:$CE$1,0))/100,0),""))),"")</f>
        <v>2</v>
      </c>
      <c r="Y204" s="42" t="n">
        <f aca="false">IFERROR(IF($C204="","",IF($D204="","",IFERROR(ROUND($D204*INDEX('🔖 배합비 참조'!$B$2:$CE$83,MATCH("냉동증숙고구마(중국산)",'🔖 배합비 참조'!$A$2:$A$83,0),MATCH($C204,'🔖 배합비 참조'!$B$1:$CE$1,0))/100,0),""))),"")</f>
        <v>0</v>
      </c>
      <c r="Z204" s="42" t="n">
        <f aca="false">IFERROR(IF($C204="","",IF($D204="","",IFERROR(ROUND($D204*INDEX('🔖 배합비 참조'!$B$2:$CE$83,MATCH("녹차가루",'🔖 배합비 참조'!$A$2:$A$83,0),MATCH($C204,'🔖 배합비 참조'!$B$1:$CE$1,0))/100,0),""))),"")</f>
        <v>0</v>
      </c>
      <c r="AA204" s="42" t="n">
        <f aca="false">IFERROR(IF($C204="","",IF($D204="","",IFERROR(ROUND($D204*INDEX('🔖 배합비 참조'!$B$2:$CE$83,MATCH("다크초콜릿 컴파운드칩",'🔖 배합비 참조'!$A$2:$A$83,0),MATCH($C204,'🔖 배합비 참조'!$B$1:$CE$1,0))/100,0),""))),"")</f>
        <v>0</v>
      </c>
      <c r="AB204" s="42" t="n">
        <f aca="false">IFERROR(IF($C204="","",IF($D204="","",IFERROR(ROUND($D204*INDEX('🔖 배합비 참조'!$B$2:$CE$83,MATCH("단호박분말(중국산)",'🔖 배합비 참조'!$A$2:$A$83,0),MATCH($C204,'🔖 배합비 참조'!$B$1:$CE$1,0))/100,0),""))),"")</f>
        <v>0</v>
      </c>
      <c r="AC204" s="42" t="n">
        <f aca="false">IFERROR(IF($C204="","",IF($D204="","",IFERROR(ROUND($D204*INDEX('🔖 배합비 참조'!$B$2:$CE$83,MATCH("당류가공품(단호박농축액)",'🔖 배합비 참조'!$A$2:$A$83,0),MATCH($C204,'🔖 배합비 참조'!$B$1:$CE$1,0))/100,0),""))),"")</f>
        <v>0</v>
      </c>
      <c r="AD204" s="42" t="n">
        <f aca="false">IFERROR(IF($C204="","",IF($D204="","",IFERROR(ROUND($D204*INDEX('🔖 배합비 참조'!$B$2:$CE$83,MATCH("당류가공품(알룰로스,에리스리톨,스테비올배당체혼합)",'🔖 배합비 참조'!$A$2:$A$83,0),MATCH($C204,'🔖 배합비 참조'!$B$1:$CE$1,0))/100,0),""))),"")</f>
        <v>0</v>
      </c>
      <c r="AE204" s="42" t="n">
        <f aca="false">IFERROR(IF($C204="","",IF($D204="","",IFERROR(ROUND($D204*INDEX('🔖 배합비 참조'!$B$2:$CE$83,MATCH("당류가공품(알룰로스제로파우더)",'🔖 배합비 참조'!$A$2:$A$83,0),MATCH($C204,'🔖 배합비 참조'!$B$1:$CE$1,0))/100,0),""))),"")</f>
        <v>0</v>
      </c>
      <c r="AF204" s="42" t="n">
        <f aca="false">IFERROR(IF($C204="","",IF($D204="","",IFERROR(ROUND($D204*INDEX('🔖 배합비 참조'!$B$2:$CE$83,MATCH("당절임(완두배기)",'🔖 배합비 참조'!$A$2:$A$83,0),MATCH($C204,'🔖 배합비 참조'!$B$1:$CE$1,0))/100,0),""))),"")</f>
        <v>0</v>
      </c>
      <c r="AG204" s="42" t="n">
        <f aca="false">IFERROR(IF($C204="","",IF($D204="","",IFERROR(ROUND($D204*INDEX('🔖 배합비 참조'!$B$2:$CE$83,MATCH("대추농축액",'🔖 배합비 참조'!$A$2:$A$83,0),MATCH($C204,'🔖 배합비 참조'!$B$1:$CE$1,0))/100,0),""))),"")</f>
        <v>0</v>
      </c>
      <c r="AH204" s="42" t="n">
        <f aca="false">IFERROR(IF($C204="","",IF($D204="","",IFERROR(ROUND($D204*INDEX('🔖 배합비 참조'!$B$2:$CE$83,MATCH("대추채(국내산)",'🔖 배합비 참조'!$A$2:$A$83,0),MATCH($C204,'🔖 배합비 참조'!$B$1:$CE$1,0))/100,0),""))),"")</f>
        <v>0</v>
      </c>
      <c r="AI204" s="42" t="n">
        <f aca="false">IFERROR(IF($C204="","",IF($D204="","",IFERROR(ROUND($D204*INDEX('🔖 배합비 참조'!$B$2:$CE$83,MATCH("동부(미얀마산)",'🔖 배합비 참조'!$A$2:$A$83,0),MATCH($C204,'🔖 배합비 참조'!$B$1:$CE$1,0))/100,0),""))),"")</f>
        <v>14</v>
      </c>
      <c r="AJ204" s="42" t="n">
        <f aca="false">IFERROR(IF($C204="","",IF($D204="","",IFERROR(ROUND($D204*INDEX('🔖 배합비 참조'!$B$2:$CE$83,MATCH("두류가공품(백옥앙금)",'🔖 배합비 참조'!$A$2:$A$83,0),MATCH($C204,'🔖 배합비 참조'!$B$1:$CE$1,0))/100,0),""))),"")</f>
        <v>0</v>
      </c>
      <c r="AK204" s="42" t="n">
        <f aca="false">IFERROR(IF($C204="","",IF($D204="","",IFERROR(ROUND($D204*INDEX('🔖 배합비 참조'!$B$2:$CE$83,MATCH("두류가공품(콩고물)",'🔖 배합비 참조'!$A$2:$A$83,0),MATCH($C204,'🔖 배합비 참조'!$B$1:$CE$1,0))/100,0),""))),"")</f>
        <v>3</v>
      </c>
      <c r="AL204" s="42" t="n">
        <f aca="false">IFERROR(IF($C204="","",IF($D204="","",IFERROR(ROUND($D204*INDEX('🔖 배합비 참조'!$B$2:$CE$83,MATCH("두류가공품(통팥고물)",'🔖 배합비 참조'!$A$2:$A$83,0),MATCH($C204,'🔖 배합비 참조'!$B$1:$CE$1,0))/100,0),""))),"")</f>
        <v>0</v>
      </c>
      <c r="AM204" s="42" t="n">
        <f aca="false">IFERROR(IF($C204="","",IF($D204="","",IFERROR(ROUND($D204*INDEX('🔖 배합비 참조'!$B$2:$CE$83,MATCH("딸기레진",'🔖 배합비 참조'!$A$2:$A$83,0),MATCH($C204,'🔖 배합비 참조'!$B$1:$CE$1,0))/100,0),""))),"")</f>
        <v>0</v>
      </c>
      <c r="AN204" s="42" t="n">
        <f aca="false">IFERROR(IF($C204="","",IF($D204="","",IFERROR(ROUND($D204*INDEX('🔖 배합비 참조'!$B$2:$CE$83,MATCH("딸기분말(스트로우베리에이드(분말))",'🔖 배합비 참조'!$A$2:$A$83,0),MATCH($C204,'🔖 배합비 참조'!$B$1:$CE$1,0))/100,0),""))),"")</f>
        <v>0</v>
      </c>
      <c r="AO204" s="42" t="n">
        <f aca="false">IFERROR(IF($C204="","",IF($D204="","",IFERROR(ROUND($D204*INDEX('🔖 배합비 참조'!$B$2:$CE$83,MATCH("마스카포네치즈",'🔖 배합비 참조'!$A$2:$A$83,0),MATCH($C204,'🔖 배합비 참조'!$B$1:$CE$1,0))/100,0),""))),"")</f>
        <v>0</v>
      </c>
      <c r="AP204" s="42" t="n">
        <f aca="false">IFERROR(IF($C204="","",IF($D204="","",IFERROR(ROUND($D204*INDEX('🔖 배합비 참조'!$B$2:$CE$83,MATCH("마카다미아분태(호주산)",'🔖 배합비 참조'!$A$2:$A$83,0),MATCH($C204,'🔖 배합비 참조'!$B$1:$CE$1,0))/100,0),""))),"")</f>
        <v>0</v>
      </c>
      <c r="AQ204" s="42" t="n">
        <f aca="false">IFERROR(IF($C204="","",IF($D204="","",IFERROR(ROUND($D204*INDEX('🔖 배합비 참조'!$B$2:$CE$83,MATCH("멥쌀(국내산)",'🔖 배합비 참조'!$A$2:$A$83,0),MATCH($C204,'🔖 배합비 참조'!$B$1:$CE$1,0))/100,0),""))),"")</f>
        <v>0</v>
      </c>
      <c r="AR204" s="42" t="n">
        <f aca="false">IFERROR(IF($C204="","",IF($D204="","",IFERROR(ROUND($D204*INDEX('🔖 배합비 참조'!$B$2:$CE$83,MATCH("모시잎(국내산)",'🔖 배합비 참조'!$A$2:$A$83,0),MATCH($C204,'🔖 배합비 참조'!$B$1:$CE$1,0))/100,0),""))),"")</f>
        <v>0</v>
      </c>
      <c r="AS204" s="42" t="n">
        <f aca="false">IFERROR(IF($C204="","",IF($D204="","",IFERROR(ROUND($D204*INDEX('🔖 배합비 참조'!$B$2:$CE$83,MATCH("물엿(저당물엿)",'🔖 배합비 참조'!$A$2:$A$83,0),MATCH($C204,'🔖 배합비 참조'!$B$1:$CE$1,0))/100,0),""))),"")</f>
        <v>2</v>
      </c>
      <c r="AT204" s="42" t="n">
        <f aca="false">IFERROR(IF($C204="","",IF($D204="","",IFERROR(ROUND($D204*INDEX('🔖 배합비 참조'!$B$2:$CE$83,MATCH("밤다이스",'🔖 배합비 참조'!$A$2:$A$83,0),MATCH($C204,'🔖 배합비 참조'!$B$1:$CE$1,0))/100,0),""))),"")</f>
        <v>0</v>
      </c>
      <c r="AU204" s="42" t="n">
        <f aca="false">IFERROR(IF($C204="","",IF($D204="","",IFERROR(ROUND($D204*INDEX('🔖 배합비 참조'!$B$2:$CE$83,MATCH("변성전분(타피오카전분)",'🔖 배합비 참조'!$A$2:$A$83,0),MATCH($C204,'🔖 배합비 참조'!$B$1:$CE$1,0))/100,0),""))),"")</f>
        <v>0</v>
      </c>
      <c r="AV204" s="42" t="n">
        <f aca="false">IFERROR(IF($C204="","",IF($D204="","",IFERROR(ROUND($D204*INDEX('🔖 배합비 참조'!$B$2:$CE$83,MATCH("복음땅콩분태",'🔖 배합비 참조'!$A$2:$A$83,0),MATCH($C204,'🔖 배합비 참조'!$B$1:$CE$1,0))/100,0),""))),"")</f>
        <v>0</v>
      </c>
      <c r="AW204" s="42" t="n">
        <f aca="false">IFERROR(IF($C204="","",IF($D204="","",IFERROR(ROUND($D204*INDEX('🔖 배합비 참조'!$B$2:$CE$83,MATCH("사양벌꿀(국내산)",'🔖 배합비 참조'!$A$2:$A$83,0),MATCH($C204,'🔖 배합비 참조'!$B$1:$CE$1,0))/100,0),""))),"")</f>
        <v>0</v>
      </c>
      <c r="AX204" s="42" t="n">
        <f aca="false">IFERROR(IF($C204="","",IF($D204="","",IFERROR(ROUND($D204*INDEX('🔖 배합비 참조'!$B$2:$CE$83,MATCH("생크림",'🔖 배합비 참조'!$A$2:$A$83,0),MATCH($C204,'🔖 배합비 참조'!$B$1:$CE$1,0))/100,0),""))),"")</f>
        <v>0</v>
      </c>
      <c r="AY204" s="42" t="n">
        <f aca="false">IFERROR(IF($C204="","",IF($D204="","",IFERROR(ROUND($D204*INDEX('🔖 배합비 참조'!$B$2:$CE$83,MATCH("서양호박(국내산,뉴질랜드산)",'🔖 배합비 참조'!$A$2:$A$83,0),MATCH($C204,'🔖 배합비 참조'!$B$1:$CE$1,0))/100,0),""))),"")</f>
        <v>0</v>
      </c>
      <c r="AZ204" s="42" t="n">
        <f aca="false">IFERROR(IF($C204="","",IF($D204="","",IFERROR(ROUND($D204*INDEX('🔖 배합비 참조'!$B$2:$CE$83,MATCH("설탕",'🔖 배합비 참조'!$A$2:$A$83,0),MATCH($C204,'🔖 배합비 참조'!$B$1:$CE$1,0))/100,0),""))),"")</f>
        <v>2</v>
      </c>
      <c r="BA204" s="42" t="n">
        <f aca="false">IFERROR(IF($C204="","",IF($D204="","",IFERROR(ROUND($D204*INDEX('🔖 배합비 참조'!$B$2:$CE$83,MATCH("스트로우베리 에이드 후레쉬",'🔖 배합비 참조'!$A$2:$A$83,0),MATCH($C204,'🔖 배합비 참조'!$B$1:$CE$1,0))/100,0),""))),"")</f>
        <v>0</v>
      </c>
      <c r="BB204" s="42" t="n">
        <f aca="false">IFERROR(IF($C204="","",IF($D204="","",IFERROR(ROUND($D204*INDEX('🔖 배합비 참조'!$B$2:$CE$83,MATCH("식물성기름혼합제제(분홍)",'🔖 배합비 참조'!$A$2:$A$83,0),MATCH($C204,'🔖 배합비 참조'!$B$1:$CE$1,0))/100,0),""))),"")</f>
        <v>0</v>
      </c>
      <c r="BC204" s="42" t="n">
        <f aca="false">IFERROR(IF($C204="","",IF($D204="","",IFERROR(ROUND($D204*INDEX('🔖 배합비 참조'!$B$2:$CE$83,MATCH("식물성기름혼합제제(초록)",'🔖 배합비 참조'!$A$2:$A$83,0),MATCH($C204,'🔖 배합비 참조'!$B$1:$CE$1,0))/100,0),""))),"")</f>
        <v>0</v>
      </c>
      <c r="BD204" s="42" t="n">
        <f aca="false">IFERROR(IF($C204="","",IF($D204="","",IFERROR(ROUND($D204*INDEX('🔖 배합비 참조'!$B$2:$CE$83,MATCH("식물성기름혼합제제(황색)",'🔖 배합비 참조'!$A$2:$A$83,0),MATCH($C204,'🔖 배합비 참조'!$B$1:$CE$1,0))/100,0),""))),"")</f>
        <v>0</v>
      </c>
      <c r="BE204" s="42" t="n">
        <f aca="false">IFERROR(IF($C204="","",IF($D204="","",IFERROR(ROUND($D204*INDEX('🔖 배합비 참조'!$B$2:$CE$83,MATCH("쑥가루(국내산)",'🔖 배합비 참조'!$A$2:$A$83,0),MATCH($C204,'🔖 배합비 참조'!$B$1:$CE$1,0))/100,0),""))),"")</f>
        <v>1</v>
      </c>
      <c r="BF204" s="42" t="n">
        <f aca="false">IFERROR(IF($C204="","",IF($D204="","",IFERROR(ROUND($D204*INDEX('🔖 배합비 참조'!$B$2:$CE$83,MATCH("아몬드슬라이스",'🔖 배합비 참조'!$A$2:$A$83,0),MATCH($C204,'🔖 배합비 참조'!$B$1:$CE$1,0))/100,0),""))),"")</f>
        <v>0</v>
      </c>
      <c r="BG204" s="42" t="n">
        <f aca="false">IFERROR(IF($C204="","",IF($D204="","",IFERROR(ROUND($D204*INDEX('🔖 배합비 참조'!$B$2:$CE$83,MATCH("알룰로오스(국내산)",'🔖 배합비 참조'!$A$2:$A$83,0),MATCH($C204,'🔖 배합비 참조'!$B$1:$CE$1,0))/100,0),""))),"")</f>
        <v>0</v>
      </c>
      <c r="BH204" s="42" t="n">
        <f aca="false">IFERROR(IF($C204="","",IF($D204="","",IFERROR(ROUND($D204*INDEX('🔖 배합비 참조'!$B$2:$CE$83,MATCH("연유",'🔖 배합비 참조'!$A$2:$A$83,0),MATCH($C204,'🔖 배합비 참조'!$B$1:$CE$1,0))/100,0),""))),"")</f>
        <v>0</v>
      </c>
      <c r="BI204" s="42" t="n">
        <f aca="false">IFERROR(IF($C204="","",IF($D204="","",IFERROR(ROUND($D204*INDEX('🔖 배합비 참조'!$B$2:$CE$83,MATCH("옥수수전분",'🔖 배합비 참조'!$A$2:$A$83,0),MATCH($C204,'🔖 배합비 참조'!$B$1:$CE$1,0))/100,0),""))),"")</f>
        <v>0</v>
      </c>
      <c r="BJ204" s="42" t="n">
        <f aca="false">IFERROR(IF($C204="","",IF($D204="","",IFERROR(ROUND($D204*INDEX('🔖 배합비 참조'!$B$2:$CE$83,MATCH("완두배기",'🔖 배합비 참조'!$A$2:$A$83,0),MATCH($C204,'🔖 배합비 참조'!$B$1:$CE$1,0))/100,0),""))),"")</f>
        <v>0</v>
      </c>
      <c r="BK204" s="42" t="n">
        <f aca="false">IFERROR(IF($C204="","",IF($D204="","",IFERROR(ROUND($D204*INDEX('🔖 배합비 참조'!$B$2:$CE$83,MATCH("우유(국내산)",'🔖 배합비 참조'!$A$2:$A$83,0),MATCH($C204,'🔖 배합비 참조'!$B$1:$CE$1,0))/100,0),""))),"")</f>
        <v>0</v>
      </c>
      <c r="BL204" s="42" t="n">
        <f aca="false">IFERROR(IF($C204="","",IF($D204="","",IFERROR(ROUND($D204*INDEX('🔖 배합비 참조'!$B$2:$CE$83,MATCH("자색고구마가루(중국산)",'🔖 배합비 참조'!$A$2:$A$83,0),MATCH($C204,'🔖 배합비 참조'!$B$1:$CE$1,0))/100,0),""))),"")</f>
        <v>0</v>
      </c>
      <c r="BM204" s="42" t="n">
        <f aca="false">IFERROR(IF($C204="","",IF($D204="","",IFERROR(ROUND($D204*INDEX('🔖 배합비 참조'!$B$2:$CE$83,MATCH("자연치즈(체다치즈)",'🔖 배합비 참조'!$A$2:$A$83,0),MATCH($C204,'🔖 배합비 참조'!$B$1:$CE$1,0))/100,0),""))),"")</f>
        <v>0</v>
      </c>
      <c r="BN204" s="42" t="n">
        <f aca="false">IFERROR(IF($C204="","",IF($D204="","",IFERROR(ROUND($D204*INDEX('🔖 배합비 참조'!$B$2:$CE$83,MATCH("정제수",'🔖 배합비 참조'!$A$2:$A$83,0),MATCH($C204,'🔖 배합비 참조'!$B$1:$CE$1,0))/100,0),""))),"")</f>
        <v>13</v>
      </c>
      <c r="BO204" s="42" t="n">
        <f aca="false">IFERROR(IF($C204="","",IF($D204="","",IFERROR(ROUND($D204*INDEX('🔖 배합비 참조'!$B$2:$CE$83,MATCH("젤라틴",'🔖 배합비 참조'!$A$2:$A$83,0),MATCH($C204,'🔖 배합비 참조'!$B$1:$CE$1,0))/100,0),""))),"")</f>
        <v>0</v>
      </c>
      <c r="BP204" s="42" t="n">
        <f aca="false">IFERROR(IF($C204="","",IF($D204="","",IFERROR(ROUND($D204*INDEX('🔖 배합비 참조'!$B$2:$CE$83,MATCH("조림류(백옥앙금)",'🔖 배합비 참조'!$A$2:$A$83,0),MATCH($C204,'🔖 배합비 참조'!$B$1:$CE$1,0))/100,0),""))),"")</f>
        <v>27</v>
      </c>
      <c r="BQ204" s="42" t="n">
        <f aca="false">IFERROR(IF($C204="","",IF($D204="","",IFERROR(ROUND($D204*INDEX('🔖 배합비 참조'!$B$2:$CE$83,MATCH("조림류(통팥앙금)",'🔖 배합비 참조'!$A$2:$A$83,0),MATCH($C204,'🔖 배합비 참조'!$B$1:$CE$1,0))/100,0),""))),"")</f>
        <v>0</v>
      </c>
      <c r="BR204" s="42" t="n">
        <f aca="false">IFERROR(IF($C204="","",IF($D204="","",IFERROR(ROUND($D204*INDEX('🔖 배합비 참조'!$B$2:$CE$83,MATCH("준초콜릿(외국산)",'🔖 배합비 참조'!$A$2:$A$83,0),MATCH($C204,'🔖 배합비 참조'!$B$1:$CE$1,0))/100,0),""))),"")</f>
        <v>0</v>
      </c>
      <c r="BS204" s="42" t="n">
        <f aca="false">IFERROR(IF($C204="","",IF($D204="","",IFERROR(ROUND($D204*INDEX('🔖 배합비 참조'!$B$2:$CE$83,MATCH("중력분",'🔖 배합비 참조'!$A$2:$A$83,0),MATCH($C204,'🔖 배합비 참조'!$B$1:$CE$1,0))/100,0),""))),"")</f>
        <v>1</v>
      </c>
      <c r="BT204" s="42" t="n">
        <f aca="false">IFERROR(IF($C204="","",IF($D204="","",IFERROR(ROUND($D204*INDEX('🔖 배합비 참조'!$B$2:$CE$83,MATCH("참깨(인도산,나이지리아산,탄자니아산,미얀마산)",'🔖 배합비 참조'!$A$2:$A$83,0),MATCH($C204,'🔖 배합비 참조'!$B$1:$CE$1,0))/100,0),""))),"")</f>
        <v>0</v>
      </c>
      <c r="BU204" s="42" t="n">
        <f aca="false">IFERROR(IF($C204="","",IF($D204="","",IFERROR(ROUND($D204*INDEX('🔖 배합비 참조'!$B$2:$CE$83,MATCH("찹쌀(국내산)",'🔖 배합비 참조'!$A$2:$A$83,0),MATCH($C204,'🔖 배합비 참조'!$B$1:$CE$1,0))/100,0),""))),"")</f>
        <v>44</v>
      </c>
      <c r="BV204" s="42" t="n">
        <f aca="false">IFERROR(IF($C204="","",IF($D204="","",IFERROR(ROUND($D204*INDEX('🔖 배합비 참조'!$B$2:$CE$83,MATCH("천일염",'🔖 배합비 참조'!$A$2:$A$83,0),MATCH($C204,'🔖 배합비 참조'!$B$1:$CE$1,0))/100,0),""))),"")</f>
        <v>1</v>
      </c>
      <c r="BW204" s="42" t="n">
        <f aca="false">IFERROR(IF($C204="","",IF($D204="","",IFERROR(ROUND($D204*INDEX('🔖 배합비 참조'!$B$2:$CE$83,MATCH("치즈 [크림치즈]",'🔖 배합비 참조'!$A$2:$A$83,0),MATCH($C204,'🔖 배합비 참조'!$B$1:$CE$1,0))/100,0),""))),"")</f>
        <v>0</v>
      </c>
      <c r="BX204" s="42" t="n">
        <f aca="false">IFERROR(IF($C204="","",IF($D204="","",IFERROR(ROUND($D204*INDEX('🔖 배합비 참조'!$B$2:$CE$83,MATCH("코코아가공품류(코코아분말)",'🔖 배합비 참조'!$A$2:$A$83,0),MATCH($C204,'🔖 배합비 참조'!$B$1:$CE$1,0))/100,0),""))),"")</f>
        <v>0</v>
      </c>
      <c r="BY204" s="42" t="n">
        <f aca="false">IFERROR(IF($C204="","",IF($D204="","",IFERROR(ROUND($D204*INDEX('🔖 배합비 참조'!$B$2:$CE$83,MATCH("콩기름(대두유)",'🔖 배합비 참조'!$A$2:$A$83,0),MATCH($C204,'🔖 배합비 참조'!$B$1:$CE$1,0))/100,0),""))),"")</f>
        <v>0</v>
      </c>
      <c r="BZ204" s="42" t="n">
        <f aca="false">IFERROR(IF($C204="","",IF($D204="","",IFERROR(ROUND($D204*INDEX('🔖 배합비 참조'!$B$2:$CE$83,MATCH("해바라기씨앗",'🔖 배합비 참조'!$A$2:$A$83,0),MATCH($C204,'🔖 배합비 참조'!$B$1:$CE$1,0))/100,0),""))),"")</f>
        <v>0</v>
      </c>
      <c r="CA204" s="42" t="n">
        <f aca="false">IFERROR(IF($C204="","",IF($D204="","",IFERROR(ROUND($D204*INDEX('🔖 배합비 참조'!$B$2:$CE$83,MATCH("현미(국내산)",'🔖 배합비 참조'!$A$2:$A$83,0),MATCH($C204,'🔖 배합비 참조'!$B$1:$CE$1,0))/100,0),""))),"")</f>
        <v>0</v>
      </c>
      <c r="CB204" s="42" t="n">
        <f aca="false">IFERROR(IF($C204="","",IF($D204="","",IFERROR(ROUND($D204*INDEX('🔖 배합비 참조'!$B$2:$CE$83,MATCH("현미멥쌀(국내산)",'🔖 배합비 참조'!$A$2:$A$83,0),MATCH($C204,'🔖 배합비 참조'!$B$1:$CE$1,0))/100,0),""))),"")</f>
        <v>0</v>
      </c>
      <c r="CC204" s="42" t="n">
        <f aca="false">IFERROR(IF($C204="","",IF($D204="","",IFERROR(ROUND($D204*INDEX('🔖 배합비 참조'!$B$2:$CE$83,MATCH("호두분태(미국산)",'🔖 배합비 참조'!$A$2:$A$83,0),MATCH($C204,'🔖 배합비 참조'!$B$1:$CE$1,0))/100,0),""))),"")</f>
        <v>0</v>
      </c>
      <c r="CD204" s="42" t="n">
        <f aca="false">IFERROR(IF($C204="","",IF($D204="","",IFERROR(ROUND($D204*INDEX('🔖 배합비 참조'!$B$2:$CE$83,MATCH("호박씨앗(외국산)",'🔖 배합비 참조'!$A$2:$A$83,0),MATCH($C204,'🔖 배합비 참조'!$B$1:$CE$1,0))/100,0),""))),"")</f>
        <v>0</v>
      </c>
      <c r="CE204" s="42" t="n">
        <f aca="false">IFERROR(IF($C204="","",IF($D204="","",IFERROR(ROUND($D204*INDEX('🔖 배합비 참조'!$B$2:$CE$83,MATCH("혼합제제(떡용에스텔)",'🔖 배합비 참조'!$A$2:$A$83,0),MATCH($C204,'🔖 배합비 참조'!$B$1:$CE$1,0))/100,0),""))),"")</f>
        <v>0</v>
      </c>
      <c r="CF204" s="42" t="n">
        <f aca="false">IFERROR(IF($C204="","",IF($D204="","",IFERROR(ROUND($D204*INDEX('🔖 배합비 참조'!$B$2:$CE$83,MATCH("혼합제제(스테비아)",'🔖 배합비 참조'!$A$2:$A$83,0),MATCH($C204,'🔖 배합비 참조'!$B$1:$CE$1,0))/100,0),""))),"")</f>
        <v>0</v>
      </c>
      <c r="CG204" s="42" t="n">
        <f aca="false">IFERROR(IF($C204="","",IF($D204="","",IFERROR(ROUND($D204*INDEX('🔖 배합비 참조'!$B$2:$CE$83,MATCH("화이트초콜릿",'🔖 배합비 참조'!$A$2:$A$83,0),MATCH($C204,'🔖 배합비 참조'!$B$1:$CE$1,0))/100,0),""))),"")</f>
        <v>0</v>
      </c>
      <c r="CH204" s="42" t="n">
        <f aca="false">IFERROR(IF($C204="","",IF($D204="","",IFERROR(ROUND($D204*INDEX('🔖 배합비 참조'!$B$2:$CE$83,MATCH("흑미찹쌀(국내산)",'🔖 배합비 참조'!$A$2:$A$83,0),MATCH($C204,'🔖 배합비 참조'!$B$1:$CE$1,0))/100,0),""))),"")</f>
        <v>0</v>
      </c>
      <c r="CI204" s="42" t="n">
        <f aca="false">IFERROR(IF($C204="","",IF($D204="","",IFERROR(ROUND($D204*INDEX('🔖 배합비 참조'!$B$2:$CE$83,MATCH("찰옥수수전분(미국산)",'🔖 배합비 참조'!$A$2:$A$83,0),MATCH($C204,'🔖 배합비 참조'!$B$1:$CE$1,0))/100,0),""))),"")</f>
        <v>0</v>
      </c>
      <c r="CJ204" s="40"/>
      <c r="CL204" s="1" t="s">
        <v>247</v>
      </c>
    </row>
    <row r="205" customFormat="false" ht="18" hidden="false" customHeight="true" outlineLevel="0" collapsed="false">
      <c r="A205" s="35" t="n">
        <v>201</v>
      </c>
      <c r="B205" s="36" t="n">
        <v>46058</v>
      </c>
      <c r="C205" s="37" t="s">
        <v>155</v>
      </c>
      <c r="D205" s="38" t="n">
        <v>220</v>
      </c>
      <c r="E205" s="13"/>
      <c r="F205" s="13"/>
      <c r="G205" s="39" t="n">
        <f aca="false">IFERROR(IF($C205="","",IF($D205="","",IFERROR(ROUND($D205*INDEX('🔖 배합비 참조'!$B$2:$CE$83,MATCH("간장",'🔖 배합비 참조'!$A$2:$A$83,0),MATCH($C205,'🔖 배합비 참조'!$B$1:$CE$1,0))/100,0),""))),"")</f>
        <v>0</v>
      </c>
      <c r="H205" s="39" t="n">
        <f aca="false">IFERROR(IF($C205="","",IF($D205="","",IFERROR(ROUND($D205*INDEX('🔖 배합비 참조'!$B$2:$CE$83,MATCH("강낭콩((울타리콩))",'🔖 배합비 참조'!$A$2:$A$83,0),MATCH($C205,'🔖 배합비 참조'!$B$1:$CE$1,0))/100,0),""))),"")</f>
        <v>0</v>
      </c>
      <c r="I205" s="39" t="n">
        <f aca="false">IFERROR(IF($C205="","",IF($D205="","",IFERROR(ROUND($D205*INDEX('🔖 배합비 참조'!$B$2:$CE$83,MATCH("건조딸기다이스(외국산)",'🔖 배합비 참조'!$A$2:$A$83,0),MATCH($C205,'🔖 배합비 참조'!$B$1:$CE$1,0))/100,0),""))),"")</f>
        <v>0</v>
      </c>
      <c r="J205" s="39" t="n">
        <f aca="false">IFERROR(IF($C205="","",IF($D205="","",IFERROR(ROUND($D205*INDEX('🔖 배합비 참조'!$B$2:$CE$83,MATCH("건포도",'🔖 배합비 참조'!$A$2:$A$83,0),MATCH($C205,'🔖 배합비 참조'!$B$1:$CE$1,0))/100,0),""))),"")</f>
        <v>0</v>
      </c>
      <c r="K205" s="39" t="n">
        <f aca="false">IFERROR(IF($C205="","",IF($D205="","",IFERROR(ROUND($D205*INDEX('🔖 배합비 참조'!$B$2:$CE$83,MATCH("건호박채(중국산)",'🔖 배합비 참조'!$A$2:$A$83,0),MATCH($C205,'🔖 배합비 참조'!$B$1:$CE$1,0))/100,0),""))),"")</f>
        <v>0</v>
      </c>
      <c r="L205" s="39" t="n">
        <f aca="false">IFERROR(IF($C205="","",IF($D205="","",IFERROR(ROUND($D205*INDEX('🔖 배합비 참조'!$B$2:$CE$83,MATCH("검정깨(흑임자)",'🔖 배합비 참조'!$A$2:$A$83,0),MATCH($C205,'🔖 배합비 참조'!$B$1:$CE$1,0))/100,0),""))),"")</f>
        <v>0</v>
      </c>
      <c r="M205" s="39" t="n">
        <f aca="false">IFERROR(IF($C205="","",IF($D205="","",IFERROR(ROUND($D205*INDEX('🔖 배합비 참조'!$B$2:$CE$83,MATCH("검정콩",'🔖 배합비 참조'!$A$2:$A$83,0),MATCH($C205,'🔖 배합비 참조'!$B$1:$CE$1,0))/100,0),""))),"")</f>
        <v>0</v>
      </c>
      <c r="N205" s="39" t="n">
        <f aca="false">IFERROR(IF($C205="","",IF($D205="","",IFERROR(ROUND($D205*INDEX('🔖 배합비 참조'!$B$2:$CE$83,MATCH("계피가루",'🔖 배합비 참조'!$A$2:$A$83,0),MATCH($C205,'🔖 배합비 참조'!$B$1:$CE$1,0))/100,0),""))),"")</f>
        <v>0</v>
      </c>
      <c r="O205" s="39" t="n">
        <f aca="false">IFERROR(IF($C205="","",IF($D205="","",IFERROR(ROUND($D205*INDEX('🔖 배합비 참조'!$B$2:$CE$83,MATCH("고구마가루",'🔖 배합비 참조'!$A$2:$A$83,0),MATCH($C205,'🔖 배합비 참조'!$B$1:$CE$1,0))/100,0),""))),"")</f>
        <v>0</v>
      </c>
      <c r="P205" s="39" t="n">
        <f aca="false">IFERROR(IF($C205="","",IF($D205="","",IFERROR(ROUND($D205*INDEX('🔖 배합비 참조'!$B$2:$CE$83,MATCH("고구마무스",'🔖 배합비 참조'!$A$2:$A$83,0),MATCH($C205,'🔖 배합비 참조'!$B$1:$CE$1,0))/100,0),""))),"")</f>
        <v>0</v>
      </c>
      <c r="Q205" s="39" t="n">
        <f aca="false">IFERROR(IF($C205="","",IF($D205="","",IFERROR(ROUND($D205*INDEX('🔖 배합비 참조'!$B$2:$CE$83,MATCH("고려엉겅퀴((곤드레)국내산)",'🔖 배합비 참조'!$A$2:$A$83,0),MATCH($C205,'🔖 배합비 참조'!$B$1:$CE$1,0))/100,0),""))),"")</f>
        <v>0</v>
      </c>
      <c r="R205" s="39" t="n">
        <f aca="false">IFERROR(IF($C205="","",IF($D205="","",IFERROR(ROUND($D205*INDEX('🔖 배합비 참조'!$B$2:$CE$83,MATCH("기타가공품(복분자가루)",'🔖 배합비 참조'!$A$2:$A$83,0),MATCH($C205,'🔖 배합비 참조'!$B$1:$CE$1,0))/100,0),""))),"")</f>
        <v>0</v>
      </c>
      <c r="S205" s="39" t="n">
        <f aca="false">IFERROR(IF($C205="","",IF($D205="","",IFERROR(ROUND($D205*INDEX('🔖 배합비 참조'!$B$2:$CE$83,MATCH("기타가공품(슈퍼소프트엠)",'🔖 배합비 참조'!$A$2:$A$83,0),MATCH($C205,'🔖 배합비 참조'!$B$1:$CE$1,0))/100,0),""))),"")</f>
        <v>0</v>
      </c>
      <c r="T205" s="39" t="n">
        <f aca="false">IFERROR(IF($C205="","",IF($D205="","",IFERROR(ROUND($D205*INDEX('🔖 배합비 참조'!$B$2:$CE$83,MATCH("기타가공품(파인소프트 E-티)",'🔖 배합비 참조'!$A$2:$A$83,0),MATCH($C205,'🔖 배합비 참조'!$B$1:$CE$1,0))/100,0),""))),"")</f>
        <v>0</v>
      </c>
      <c r="U205" s="39" t="n">
        <f aca="false">IFERROR(IF($C205="","",IF($D205="","",IFERROR(ROUND($D205*INDEX('🔖 배합비 참조'!$B$2:$CE$83,MATCH("기타가공품(프리미엄카스테라가루)",'🔖 배합비 참조'!$A$2:$A$83,0),MATCH($C205,'🔖 배합비 참조'!$B$1:$CE$1,0))/100,0),""))),"")</f>
        <v>0</v>
      </c>
      <c r="V205" s="39" t="n">
        <f aca="false">IFERROR(IF($C205="","",IF($D205="","",IFERROR(ROUND($D205*INDEX('🔖 배합비 참조'!$B$2:$CE$83,MATCH("기타가공품(흑임자가루)",'🔖 배합비 참조'!$A$2:$A$83,0),MATCH($C205,'🔖 배합비 참조'!$B$1:$CE$1,0))/100,0),""))),"")</f>
        <v>0</v>
      </c>
      <c r="W205" s="39" t="n">
        <f aca="false">IFERROR(IF($C205="","",IF($D205="","",IFERROR(ROUND($D205*INDEX('🔖 배합비 참조'!$B$2:$CE$83,MATCH("기타설탕(흑설탕)",'🔖 배합비 참조'!$A$2:$A$83,0),MATCH($C205,'🔖 배합비 참조'!$B$1:$CE$1,0))/100,0),""))),"")</f>
        <v>0</v>
      </c>
      <c r="X205" s="39" t="n">
        <f aca="false">IFERROR(IF($C205="","",IF($D205="","",IFERROR(ROUND($D205*INDEX('🔖 배합비 참조'!$B$2:$CE$83,MATCH("냉동쑥(국내산)",'🔖 배합비 참조'!$A$2:$A$83,0),MATCH($C205,'🔖 배합비 참조'!$B$1:$CE$1,0))/100,0),""))),"")</f>
        <v>0</v>
      </c>
      <c r="Y205" s="39" t="n">
        <f aca="false">IFERROR(IF($C205="","",IF($D205="","",IFERROR(ROUND($D205*INDEX('🔖 배합비 참조'!$B$2:$CE$83,MATCH("냉동증숙고구마(중국산)",'🔖 배합비 참조'!$A$2:$A$83,0),MATCH($C205,'🔖 배합비 참조'!$B$1:$CE$1,0))/100,0),""))),"")</f>
        <v>0</v>
      </c>
      <c r="Z205" s="39" t="n">
        <f aca="false">IFERROR(IF($C205="","",IF($D205="","",IFERROR(ROUND($D205*INDEX('🔖 배합비 참조'!$B$2:$CE$83,MATCH("녹차가루",'🔖 배합비 참조'!$A$2:$A$83,0),MATCH($C205,'🔖 배합비 참조'!$B$1:$CE$1,0))/100,0),""))),"")</f>
        <v>0</v>
      </c>
      <c r="AA205" s="39" t="n">
        <f aca="false">IFERROR(IF($C205="","",IF($D205="","",IFERROR(ROUND($D205*INDEX('🔖 배합비 참조'!$B$2:$CE$83,MATCH("다크초콜릿 컴파운드칩",'🔖 배합비 참조'!$A$2:$A$83,0),MATCH($C205,'🔖 배합비 참조'!$B$1:$CE$1,0))/100,0),""))),"")</f>
        <v>0</v>
      </c>
      <c r="AB205" s="39" t="n">
        <f aca="false">IFERROR(IF($C205="","",IF($D205="","",IFERROR(ROUND($D205*INDEX('🔖 배합비 참조'!$B$2:$CE$83,MATCH("단호박분말(중국산)",'🔖 배합비 참조'!$A$2:$A$83,0),MATCH($C205,'🔖 배합비 참조'!$B$1:$CE$1,0))/100,0),""))),"")</f>
        <v>0</v>
      </c>
      <c r="AC205" s="39" t="n">
        <f aca="false">IFERROR(IF($C205="","",IF($D205="","",IFERROR(ROUND($D205*INDEX('🔖 배합비 참조'!$B$2:$CE$83,MATCH("당류가공품(단호박농축액)",'🔖 배합비 참조'!$A$2:$A$83,0),MATCH($C205,'🔖 배합비 참조'!$B$1:$CE$1,0))/100,0),""))),"")</f>
        <v>0</v>
      </c>
      <c r="AD205" s="39" t="n">
        <f aca="false">IFERROR(IF($C205="","",IF($D205="","",IFERROR(ROUND($D205*INDEX('🔖 배합비 참조'!$B$2:$CE$83,MATCH("당류가공품(알룰로스,에리스리톨,스테비올배당체혼합)",'🔖 배합비 참조'!$A$2:$A$83,0),MATCH($C205,'🔖 배합비 참조'!$B$1:$CE$1,0))/100,0),""))),"")</f>
        <v>0</v>
      </c>
      <c r="AE205" s="39" t="n">
        <f aca="false">IFERROR(IF($C205="","",IF($D205="","",IFERROR(ROUND($D205*INDEX('🔖 배합비 참조'!$B$2:$CE$83,MATCH("당류가공품(알룰로스제로파우더)",'🔖 배합비 참조'!$A$2:$A$83,0),MATCH($C205,'🔖 배합비 참조'!$B$1:$CE$1,0))/100,0),""))),"")</f>
        <v>0</v>
      </c>
      <c r="AF205" s="39" t="n">
        <f aca="false">IFERROR(IF($C205="","",IF($D205="","",IFERROR(ROUND($D205*INDEX('🔖 배합비 참조'!$B$2:$CE$83,MATCH("당절임(완두배기)",'🔖 배합비 참조'!$A$2:$A$83,0),MATCH($C205,'🔖 배합비 참조'!$B$1:$CE$1,0))/100,0),""))),"")</f>
        <v>0</v>
      </c>
      <c r="AG205" s="39" t="n">
        <f aca="false">IFERROR(IF($C205="","",IF($D205="","",IFERROR(ROUND($D205*INDEX('🔖 배합비 참조'!$B$2:$CE$83,MATCH("대추농축액",'🔖 배합비 참조'!$A$2:$A$83,0),MATCH($C205,'🔖 배합비 참조'!$B$1:$CE$1,0))/100,0),""))),"")</f>
        <v>0</v>
      </c>
      <c r="AH205" s="39" t="n">
        <f aca="false">IFERROR(IF($C205="","",IF($D205="","",IFERROR(ROUND($D205*INDEX('🔖 배합비 참조'!$B$2:$CE$83,MATCH("대추채(국내산)",'🔖 배합비 참조'!$A$2:$A$83,0),MATCH($C205,'🔖 배합비 참조'!$B$1:$CE$1,0))/100,0),""))),"")</f>
        <v>0</v>
      </c>
      <c r="AI205" s="39" t="n">
        <f aca="false">IFERROR(IF($C205="","",IF($D205="","",IFERROR(ROUND($D205*INDEX('🔖 배합비 참조'!$B$2:$CE$83,MATCH("동부(미얀마산)",'🔖 배합비 참조'!$A$2:$A$83,0),MATCH($C205,'🔖 배합비 참조'!$B$1:$CE$1,0))/100,0),""))),"")</f>
        <v>0</v>
      </c>
      <c r="AJ205" s="39" t="n">
        <f aca="false">IFERROR(IF($C205="","",IF($D205="","",IFERROR(ROUND($D205*INDEX('🔖 배합비 참조'!$B$2:$CE$83,MATCH("두류가공품(백옥앙금)",'🔖 배합비 참조'!$A$2:$A$83,0),MATCH($C205,'🔖 배합비 참조'!$B$1:$CE$1,0))/100,0),""))),"")</f>
        <v>0</v>
      </c>
      <c r="AK205" s="39" t="n">
        <f aca="false">IFERROR(IF($C205="","",IF($D205="","",IFERROR(ROUND($D205*INDEX('🔖 배합비 참조'!$B$2:$CE$83,MATCH("두류가공품(콩고물)",'🔖 배합비 참조'!$A$2:$A$83,0),MATCH($C205,'🔖 배합비 참조'!$B$1:$CE$1,0))/100,0),""))),"")</f>
        <v>0</v>
      </c>
      <c r="AL205" s="39" t="n">
        <f aca="false">IFERROR(IF($C205="","",IF($D205="","",IFERROR(ROUND($D205*INDEX('🔖 배합비 참조'!$B$2:$CE$83,MATCH("두류가공품(통팥고물)",'🔖 배합비 참조'!$A$2:$A$83,0),MATCH($C205,'🔖 배합비 참조'!$B$1:$CE$1,0))/100,0),""))),"")</f>
        <v>0</v>
      </c>
      <c r="AM205" s="39" t="n">
        <f aca="false">IFERROR(IF($C205="","",IF($D205="","",IFERROR(ROUND($D205*INDEX('🔖 배합비 참조'!$B$2:$CE$83,MATCH("딸기레진",'🔖 배합비 참조'!$A$2:$A$83,0),MATCH($C205,'🔖 배합비 참조'!$B$1:$CE$1,0))/100,0),""))),"")</f>
        <v>0</v>
      </c>
      <c r="AN205" s="39" t="n">
        <f aca="false">IFERROR(IF($C205="","",IF($D205="","",IFERROR(ROUND($D205*INDEX('🔖 배합비 참조'!$B$2:$CE$83,MATCH("딸기분말(스트로우베리에이드(분말))",'🔖 배합비 참조'!$A$2:$A$83,0),MATCH($C205,'🔖 배합비 참조'!$B$1:$CE$1,0))/100,0),""))),"")</f>
        <v>0</v>
      </c>
      <c r="AO205" s="39" t="n">
        <f aca="false">IFERROR(IF($C205="","",IF($D205="","",IFERROR(ROUND($D205*INDEX('🔖 배합비 참조'!$B$2:$CE$83,MATCH("마스카포네치즈",'🔖 배합비 참조'!$A$2:$A$83,0),MATCH($C205,'🔖 배합비 참조'!$B$1:$CE$1,0))/100,0),""))),"")</f>
        <v>0</v>
      </c>
      <c r="AP205" s="39" t="n">
        <f aca="false">IFERROR(IF($C205="","",IF($D205="","",IFERROR(ROUND($D205*INDEX('🔖 배합비 참조'!$B$2:$CE$83,MATCH("마카다미아분태(호주산)",'🔖 배합비 참조'!$A$2:$A$83,0),MATCH($C205,'🔖 배합비 참조'!$B$1:$CE$1,0))/100,0),""))),"")</f>
        <v>9</v>
      </c>
      <c r="AQ205" s="39" t="n">
        <f aca="false">IFERROR(IF($C205="","",IF($D205="","",IFERROR(ROUND($D205*INDEX('🔖 배합비 참조'!$B$2:$CE$83,MATCH("멥쌀(국내산)",'🔖 배합비 참조'!$A$2:$A$83,0),MATCH($C205,'🔖 배합비 참조'!$B$1:$CE$1,0))/100,0),""))),"")</f>
        <v>0</v>
      </c>
      <c r="AR205" s="39" t="n">
        <f aca="false">IFERROR(IF($C205="","",IF($D205="","",IFERROR(ROUND($D205*INDEX('🔖 배합비 참조'!$B$2:$CE$83,MATCH("모시잎(국내산)",'🔖 배합비 참조'!$A$2:$A$83,0),MATCH($C205,'🔖 배합비 참조'!$B$1:$CE$1,0))/100,0),""))),"")</f>
        <v>0</v>
      </c>
      <c r="AS205" s="39" t="n">
        <f aca="false">IFERROR(IF($C205="","",IF($D205="","",IFERROR(ROUND($D205*INDEX('🔖 배합비 참조'!$B$2:$CE$83,MATCH("물엿(저당물엿)",'🔖 배합비 참조'!$A$2:$A$83,0),MATCH($C205,'🔖 배합비 참조'!$B$1:$CE$1,0))/100,0),""))),"")</f>
        <v>5</v>
      </c>
      <c r="AT205" s="39" t="n">
        <f aca="false">IFERROR(IF($C205="","",IF($D205="","",IFERROR(ROUND($D205*INDEX('🔖 배합비 참조'!$B$2:$CE$83,MATCH("밤다이스",'🔖 배합비 참조'!$A$2:$A$83,0),MATCH($C205,'🔖 배합비 참조'!$B$1:$CE$1,0))/100,0),""))),"")</f>
        <v>2</v>
      </c>
      <c r="AU205" s="39" t="n">
        <f aca="false">IFERROR(IF($C205="","",IF($D205="","",IFERROR(ROUND($D205*INDEX('🔖 배합비 참조'!$B$2:$CE$83,MATCH("변성전분(타피오카전분)",'🔖 배합비 참조'!$A$2:$A$83,0),MATCH($C205,'🔖 배합비 참조'!$B$1:$CE$1,0))/100,0),""))),"")</f>
        <v>0</v>
      </c>
      <c r="AV205" s="39" t="n">
        <f aca="false">IFERROR(IF($C205="","",IF($D205="","",IFERROR(ROUND($D205*INDEX('🔖 배합비 참조'!$B$2:$CE$83,MATCH("복음땅콩분태",'🔖 배합비 참조'!$A$2:$A$83,0),MATCH($C205,'🔖 배합비 참조'!$B$1:$CE$1,0))/100,0),""))),"")</f>
        <v>0</v>
      </c>
      <c r="AW205" s="39" t="n">
        <f aca="false">IFERROR(IF($C205="","",IF($D205="","",IFERROR(ROUND($D205*INDEX('🔖 배합비 참조'!$B$2:$CE$83,MATCH("사양벌꿀(국내산)",'🔖 배합비 참조'!$A$2:$A$83,0),MATCH($C205,'🔖 배합비 참조'!$B$1:$CE$1,0))/100,0),""))),"")</f>
        <v>0</v>
      </c>
      <c r="AX205" s="39" t="n">
        <f aca="false">IFERROR(IF($C205="","",IF($D205="","",IFERROR(ROUND($D205*INDEX('🔖 배합비 참조'!$B$2:$CE$83,MATCH("생크림",'🔖 배합비 참조'!$A$2:$A$83,0),MATCH($C205,'🔖 배합비 참조'!$B$1:$CE$1,0))/100,0),""))),"")</f>
        <v>0</v>
      </c>
      <c r="AY205" s="39" t="n">
        <f aca="false">IFERROR(IF($C205="","",IF($D205="","",IFERROR(ROUND($D205*INDEX('🔖 배합비 참조'!$B$2:$CE$83,MATCH("서양호박(국내산,뉴질랜드산)",'🔖 배합비 참조'!$A$2:$A$83,0),MATCH($C205,'🔖 배합비 참조'!$B$1:$CE$1,0))/100,0),""))),"")</f>
        <v>0</v>
      </c>
      <c r="AZ205" s="39" t="n">
        <f aca="false">IFERROR(IF($C205="","",IF($D205="","",IFERROR(ROUND($D205*INDEX('🔖 배합비 참조'!$B$2:$CE$83,MATCH("설탕",'🔖 배합비 참조'!$A$2:$A$83,0),MATCH($C205,'🔖 배합비 참조'!$B$1:$CE$1,0))/100,0),""))),"")</f>
        <v>5</v>
      </c>
      <c r="BA205" s="39" t="n">
        <f aca="false">IFERROR(IF($C205="","",IF($D205="","",IFERROR(ROUND($D205*INDEX('🔖 배합비 참조'!$B$2:$CE$83,MATCH("스트로우베리 에이드 후레쉬",'🔖 배합비 참조'!$A$2:$A$83,0),MATCH($C205,'🔖 배합비 참조'!$B$1:$CE$1,0))/100,0),""))),"")</f>
        <v>0</v>
      </c>
      <c r="BB205" s="39" t="n">
        <f aca="false">IFERROR(IF($C205="","",IF($D205="","",IFERROR(ROUND($D205*INDEX('🔖 배합비 참조'!$B$2:$CE$83,MATCH("식물성기름혼합제제(분홍)",'🔖 배합비 참조'!$A$2:$A$83,0),MATCH($C205,'🔖 배합비 참조'!$B$1:$CE$1,0))/100,0),""))),"")</f>
        <v>0</v>
      </c>
      <c r="BC205" s="39" t="n">
        <f aca="false">IFERROR(IF($C205="","",IF($D205="","",IFERROR(ROUND($D205*INDEX('🔖 배합비 참조'!$B$2:$CE$83,MATCH("식물성기름혼합제제(초록)",'🔖 배합비 참조'!$A$2:$A$83,0),MATCH($C205,'🔖 배합비 참조'!$B$1:$CE$1,0))/100,0),""))),"")</f>
        <v>0</v>
      </c>
      <c r="BD205" s="39" t="n">
        <f aca="false">IFERROR(IF($C205="","",IF($D205="","",IFERROR(ROUND($D205*INDEX('🔖 배합비 참조'!$B$2:$CE$83,MATCH("식물성기름혼합제제(황색)",'🔖 배합비 참조'!$A$2:$A$83,0),MATCH($C205,'🔖 배합비 참조'!$B$1:$CE$1,0))/100,0),""))),"")</f>
        <v>0</v>
      </c>
      <c r="BE205" s="39" t="n">
        <f aca="false">IFERROR(IF($C205="","",IF($D205="","",IFERROR(ROUND($D205*INDEX('🔖 배합비 참조'!$B$2:$CE$83,MATCH("쑥가루(국내산)",'🔖 배합비 참조'!$A$2:$A$83,0),MATCH($C205,'🔖 배합비 참조'!$B$1:$CE$1,0))/100,0),""))),"")</f>
        <v>0</v>
      </c>
      <c r="BF205" s="39" t="n">
        <f aca="false">IFERROR(IF($C205="","",IF($D205="","",IFERROR(ROUND($D205*INDEX('🔖 배합비 참조'!$B$2:$CE$83,MATCH("아몬드슬라이스",'🔖 배합비 참조'!$A$2:$A$83,0),MATCH($C205,'🔖 배합비 참조'!$B$1:$CE$1,0))/100,0),""))),"")</f>
        <v>0</v>
      </c>
      <c r="BG205" s="39" t="n">
        <f aca="false">IFERROR(IF($C205="","",IF($D205="","",IFERROR(ROUND($D205*INDEX('🔖 배합비 참조'!$B$2:$CE$83,MATCH("알룰로오스(국내산)",'🔖 배합비 참조'!$A$2:$A$83,0),MATCH($C205,'🔖 배합비 참조'!$B$1:$CE$1,0))/100,0),""))),"")</f>
        <v>0</v>
      </c>
      <c r="BH205" s="39" t="n">
        <f aca="false">IFERROR(IF($C205="","",IF($D205="","",IFERROR(ROUND($D205*INDEX('🔖 배합비 참조'!$B$2:$CE$83,MATCH("연유",'🔖 배합비 참조'!$A$2:$A$83,0),MATCH($C205,'🔖 배합비 참조'!$B$1:$CE$1,0))/100,0),""))),"")</f>
        <v>0</v>
      </c>
      <c r="BI205" s="39" t="n">
        <f aca="false">IFERROR(IF($C205="","",IF($D205="","",IFERROR(ROUND($D205*INDEX('🔖 배합비 참조'!$B$2:$CE$83,MATCH("옥수수전분",'🔖 배합비 참조'!$A$2:$A$83,0),MATCH($C205,'🔖 배합비 참조'!$B$1:$CE$1,0))/100,0),""))),"")</f>
        <v>7</v>
      </c>
      <c r="BJ205" s="39" t="n">
        <f aca="false">IFERROR(IF($C205="","",IF($D205="","",IFERROR(ROUND($D205*INDEX('🔖 배합비 참조'!$B$2:$CE$83,MATCH("완두배기",'🔖 배합비 참조'!$A$2:$A$83,0),MATCH($C205,'🔖 배합비 참조'!$B$1:$CE$1,0))/100,0),""))),"")</f>
        <v>0</v>
      </c>
      <c r="BK205" s="39" t="n">
        <f aca="false">IFERROR(IF($C205="","",IF($D205="","",IFERROR(ROUND($D205*INDEX('🔖 배합비 참조'!$B$2:$CE$83,MATCH("우유(국내산)",'🔖 배합비 참조'!$A$2:$A$83,0),MATCH($C205,'🔖 배합비 참조'!$B$1:$CE$1,0))/100,0),""))),"")</f>
        <v>0</v>
      </c>
      <c r="BL205" s="39" t="n">
        <f aca="false">IFERROR(IF($C205="","",IF($D205="","",IFERROR(ROUND($D205*INDEX('🔖 배합비 참조'!$B$2:$CE$83,MATCH("자색고구마가루(중국산)",'🔖 배합비 참조'!$A$2:$A$83,0),MATCH($C205,'🔖 배합비 참조'!$B$1:$CE$1,0))/100,0),""))),"")</f>
        <v>0</v>
      </c>
      <c r="BM205" s="39" t="n">
        <f aca="false">IFERROR(IF($C205="","",IF($D205="","",IFERROR(ROUND($D205*INDEX('🔖 배합비 참조'!$B$2:$CE$83,MATCH("자연치즈(체다치즈)",'🔖 배합비 참조'!$A$2:$A$83,0),MATCH($C205,'🔖 배합비 참조'!$B$1:$CE$1,0))/100,0),""))),"")</f>
        <v>0</v>
      </c>
      <c r="BN205" s="39" t="n">
        <f aca="false">IFERROR(IF($C205="","",IF($D205="","",IFERROR(ROUND($D205*INDEX('🔖 배합비 참조'!$B$2:$CE$83,MATCH("정제수",'🔖 배합비 참조'!$A$2:$A$83,0),MATCH($C205,'🔖 배합비 참조'!$B$1:$CE$1,0))/100,0),""))),"")</f>
        <v>0</v>
      </c>
      <c r="BO205" s="39" t="n">
        <f aca="false">IFERROR(IF($C205="","",IF($D205="","",IFERROR(ROUND($D205*INDEX('🔖 배합비 참조'!$B$2:$CE$83,MATCH("젤라틴",'🔖 배합비 참조'!$A$2:$A$83,0),MATCH($C205,'🔖 배합비 참조'!$B$1:$CE$1,0))/100,0),""))),"")</f>
        <v>0</v>
      </c>
      <c r="BP205" s="39" t="n">
        <f aca="false">IFERROR(IF($C205="","",IF($D205="","",IFERROR(ROUND($D205*INDEX('🔖 배합비 참조'!$B$2:$CE$83,MATCH("조림류(백옥앙금)",'🔖 배합비 참조'!$A$2:$A$83,0),MATCH($C205,'🔖 배합비 참조'!$B$1:$CE$1,0))/100,0),""))),"")</f>
        <v>0</v>
      </c>
      <c r="BQ205" s="39" t="n">
        <f aca="false">IFERROR(IF($C205="","",IF($D205="","",IFERROR(ROUND($D205*INDEX('🔖 배합비 참조'!$B$2:$CE$83,MATCH("조림류(통팥앙금)",'🔖 배합비 참조'!$A$2:$A$83,0),MATCH($C205,'🔖 배합비 참조'!$B$1:$CE$1,0))/100,0),""))),"")</f>
        <v>88</v>
      </c>
      <c r="BR205" s="39" t="n">
        <f aca="false">IFERROR(IF($C205="","",IF($D205="","",IFERROR(ROUND($D205*INDEX('🔖 배합비 참조'!$B$2:$CE$83,MATCH("준초콜릿(외국산)",'🔖 배합비 참조'!$A$2:$A$83,0),MATCH($C205,'🔖 배합비 참조'!$B$1:$CE$1,0))/100,0),""))),"")</f>
        <v>0</v>
      </c>
      <c r="BS205" s="39" t="n">
        <f aca="false">IFERROR(IF($C205="","",IF($D205="","",IFERROR(ROUND($D205*INDEX('🔖 배합비 참조'!$B$2:$CE$83,MATCH("중력분",'🔖 배합비 참조'!$A$2:$A$83,0),MATCH($C205,'🔖 배합비 참조'!$B$1:$CE$1,0))/100,0),""))),"")</f>
        <v>0</v>
      </c>
      <c r="BT205" s="39" t="n">
        <f aca="false">IFERROR(IF($C205="","",IF($D205="","",IFERROR(ROUND($D205*INDEX('🔖 배합비 참조'!$B$2:$CE$83,MATCH("참깨(인도산,나이지리아산,탄자니아산,미얀마산)",'🔖 배합비 참조'!$A$2:$A$83,0),MATCH($C205,'🔖 배합비 참조'!$B$1:$CE$1,0))/100,0),""))),"")</f>
        <v>0</v>
      </c>
      <c r="BU205" s="39" t="n">
        <f aca="false">IFERROR(IF($C205="","",IF($D205="","",IFERROR(ROUND($D205*INDEX('🔖 배합비 참조'!$B$2:$CE$83,MATCH("찹쌀(국내산)",'🔖 배합비 참조'!$A$2:$A$83,0),MATCH($C205,'🔖 배합비 참조'!$B$1:$CE$1,0))/100,0),""))),"")</f>
        <v>95</v>
      </c>
      <c r="BV205" s="39" t="n">
        <f aca="false">IFERROR(IF($C205="","",IF($D205="","",IFERROR(ROUND($D205*INDEX('🔖 배합비 참조'!$B$2:$CE$83,MATCH("천일염",'🔖 배합비 참조'!$A$2:$A$83,0),MATCH($C205,'🔖 배합비 참조'!$B$1:$CE$1,0))/100,0),""))),"")</f>
        <v>2</v>
      </c>
      <c r="BW205" s="39" t="n">
        <f aca="false">IFERROR(IF($C205="","",IF($D205="","",IFERROR(ROUND($D205*INDEX('🔖 배합비 참조'!$B$2:$CE$83,MATCH("치즈 [크림치즈]",'🔖 배합비 참조'!$A$2:$A$83,0),MATCH($C205,'🔖 배합비 참조'!$B$1:$CE$1,0))/100,0),""))),"")</f>
        <v>0</v>
      </c>
      <c r="BX205" s="39" t="n">
        <f aca="false">IFERROR(IF($C205="","",IF($D205="","",IFERROR(ROUND($D205*INDEX('🔖 배합비 참조'!$B$2:$CE$83,MATCH("코코아가공품류(코코아분말)",'🔖 배합비 참조'!$A$2:$A$83,0),MATCH($C205,'🔖 배합비 참조'!$B$1:$CE$1,0))/100,0),""))),"")</f>
        <v>0</v>
      </c>
      <c r="BY205" s="39" t="n">
        <f aca="false">IFERROR(IF($C205="","",IF($D205="","",IFERROR(ROUND($D205*INDEX('🔖 배합비 참조'!$B$2:$CE$83,MATCH("콩기름(대두유)",'🔖 배합비 참조'!$A$2:$A$83,0),MATCH($C205,'🔖 배합비 참조'!$B$1:$CE$1,0))/100,0),""))),"")</f>
        <v>0</v>
      </c>
      <c r="BZ205" s="39" t="n">
        <f aca="false">IFERROR(IF($C205="","",IF($D205="","",IFERROR(ROUND($D205*INDEX('🔖 배합비 참조'!$B$2:$CE$83,MATCH("해바라기씨앗",'🔖 배합비 참조'!$A$2:$A$83,0),MATCH($C205,'🔖 배합비 참조'!$B$1:$CE$1,0))/100,0),""))),"")</f>
        <v>0</v>
      </c>
      <c r="CA205" s="39" t="n">
        <f aca="false">IFERROR(IF($C205="","",IF($D205="","",IFERROR(ROUND($D205*INDEX('🔖 배합비 참조'!$B$2:$CE$83,MATCH("현미(국내산)",'🔖 배합비 참조'!$A$2:$A$83,0),MATCH($C205,'🔖 배합비 참조'!$B$1:$CE$1,0))/100,0),""))),"")</f>
        <v>0</v>
      </c>
      <c r="CB205" s="39" t="n">
        <f aca="false">IFERROR(IF($C205="","",IF($D205="","",IFERROR(ROUND($D205*INDEX('🔖 배합비 참조'!$B$2:$CE$83,MATCH("현미멥쌀(국내산)",'🔖 배합비 참조'!$A$2:$A$83,0),MATCH($C205,'🔖 배합비 참조'!$B$1:$CE$1,0))/100,0),""))),"")</f>
        <v>0</v>
      </c>
      <c r="CC205" s="39" t="n">
        <f aca="false">IFERROR(IF($C205="","",IF($D205="","",IFERROR(ROUND($D205*INDEX('🔖 배합비 참조'!$B$2:$CE$83,MATCH("호두분태(미국산)",'🔖 배합비 참조'!$A$2:$A$83,0),MATCH($C205,'🔖 배합비 참조'!$B$1:$CE$1,0))/100,0),""))),"")</f>
        <v>7</v>
      </c>
      <c r="CD205" s="39" t="n">
        <f aca="false">IFERROR(IF($C205="","",IF($D205="","",IFERROR(ROUND($D205*INDEX('🔖 배합비 참조'!$B$2:$CE$83,MATCH("호박씨앗(외국산)",'🔖 배합비 참조'!$A$2:$A$83,0),MATCH($C205,'🔖 배합비 참조'!$B$1:$CE$1,0))/100,0),""))),"")</f>
        <v>0</v>
      </c>
      <c r="CE205" s="39" t="n">
        <f aca="false">IFERROR(IF($C205="","",IF($D205="","",IFERROR(ROUND($D205*INDEX('🔖 배합비 참조'!$B$2:$CE$83,MATCH("혼합제제(떡용에스텔)",'🔖 배합비 참조'!$A$2:$A$83,0),MATCH($C205,'🔖 배합비 참조'!$B$1:$CE$1,0))/100,0),""))),"")</f>
        <v>1</v>
      </c>
      <c r="CF205" s="39" t="n">
        <f aca="false">IFERROR(IF($C205="","",IF($D205="","",IFERROR(ROUND($D205*INDEX('🔖 배합비 참조'!$B$2:$CE$83,MATCH("혼합제제(스테비아)",'🔖 배합비 참조'!$A$2:$A$83,0),MATCH($C205,'🔖 배합비 참조'!$B$1:$CE$1,0))/100,0),""))),"")</f>
        <v>0</v>
      </c>
      <c r="CG205" s="39" t="n">
        <f aca="false">IFERROR(IF($C205="","",IF($D205="","",IFERROR(ROUND($D205*INDEX('🔖 배합비 참조'!$B$2:$CE$83,MATCH("화이트초콜릿",'🔖 배합비 참조'!$A$2:$A$83,0),MATCH($C205,'🔖 배합비 참조'!$B$1:$CE$1,0))/100,0),""))),"")</f>
        <v>0</v>
      </c>
      <c r="CH205" s="39" t="n">
        <f aca="false">IFERROR(IF($C205="","",IF($D205="","",IFERROR(ROUND($D205*INDEX('🔖 배합비 참조'!$B$2:$CE$83,MATCH("흑미찹쌀(국내산)",'🔖 배합비 참조'!$A$2:$A$83,0),MATCH($C205,'🔖 배합비 참조'!$B$1:$CE$1,0))/100,0),""))),"")</f>
        <v>0</v>
      </c>
      <c r="CI205" s="39" t="n">
        <f aca="false">IFERROR(IF($C205="","",IF($D205="","",IFERROR(ROUND($D205*INDEX('🔖 배합비 참조'!$B$2:$CE$83,MATCH("찰옥수수전분(미국산)",'🔖 배합비 참조'!$A$2:$A$83,0),MATCH($C205,'🔖 배합비 참조'!$B$1:$CE$1,0))/100,0),""))),"")</f>
        <v>0</v>
      </c>
      <c r="CJ205" s="40"/>
      <c r="CL205" s="1" t="s">
        <v>247</v>
      </c>
    </row>
    <row r="206" customFormat="false" ht="18" hidden="false" customHeight="true" outlineLevel="0" collapsed="false">
      <c r="A206" s="41" t="n">
        <v>202</v>
      </c>
      <c r="B206" s="36" t="n">
        <v>46058</v>
      </c>
      <c r="C206" s="37" t="s">
        <v>183</v>
      </c>
      <c r="D206" s="38" t="n">
        <v>110</v>
      </c>
      <c r="E206" s="17"/>
      <c r="F206" s="17"/>
      <c r="G206" s="42" t="n">
        <f aca="false">IFERROR(IF($C206="","",IF($D206="","",IFERROR(ROUND($D206*INDEX('🔖 배합비 참조'!$B$2:$CE$83,MATCH("간장",'🔖 배합비 참조'!$A$2:$A$83,0),MATCH($C206,'🔖 배합비 참조'!$B$1:$CE$1,0))/100,0),""))),"")</f>
        <v>0</v>
      </c>
      <c r="H206" s="42" t="n">
        <f aca="false">IFERROR(IF($C206="","",IF($D206="","",IFERROR(ROUND($D206*INDEX('🔖 배합비 참조'!$B$2:$CE$83,MATCH("강낭콩((울타리콩))",'🔖 배합비 참조'!$A$2:$A$83,0),MATCH($C206,'🔖 배합비 참조'!$B$1:$CE$1,0))/100,0),""))),"")</f>
        <v>0</v>
      </c>
      <c r="I206" s="42" t="n">
        <f aca="false">IFERROR(IF($C206="","",IF($D206="","",IFERROR(ROUND($D206*INDEX('🔖 배합비 참조'!$B$2:$CE$83,MATCH("건조딸기다이스(외국산)",'🔖 배합비 참조'!$A$2:$A$83,0),MATCH($C206,'🔖 배합비 참조'!$B$1:$CE$1,0))/100,0),""))),"")</f>
        <v>0</v>
      </c>
      <c r="J206" s="42" t="n">
        <f aca="false">IFERROR(IF($C206="","",IF($D206="","",IFERROR(ROUND($D206*INDEX('🔖 배합비 참조'!$B$2:$CE$83,MATCH("건포도",'🔖 배합비 참조'!$A$2:$A$83,0),MATCH($C206,'🔖 배합비 참조'!$B$1:$CE$1,0))/100,0),""))),"")</f>
        <v>0</v>
      </c>
      <c r="K206" s="42" t="n">
        <f aca="false">IFERROR(IF($C206="","",IF($D206="","",IFERROR(ROUND($D206*INDEX('🔖 배합비 참조'!$B$2:$CE$83,MATCH("건호박채(중국산)",'🔖 배합비 참조'!$A$2:$A$83,0),MATCH($C206,'🔖 배합비 참조'!$B$1:$CE$1,0))/100,0),""))),"")</f>
        <v>0</v>
      </c>
      <c r="L206" s="42" t="n">
        <f aca="false">IFERROR(IF($C206="","",IF($D206="","",IFERROR(ROUND($D206*INDEX('🔖 배합비 참조'!$B$2:$CE$83,MATCH("검정깨(흑임자)",'🔖 배합비 참조'!$A$2:$A$83,0),MATCH($C206,'🔖 배합비 참조'!$B$1:$CE$1,0))/100,0),""))),"")</f>
        <v>0</v>
      </c>
      <c r="M206" s="42" t="n">
        <f aca="false">IFERROR(IF($C206="","",IF($D206="","",IFERROR(ROUND($D206*INDEX('🔖 배합비 참조'!$B$2:$CE$83,MATCH("검정콩",'🔖 배합비 참조'!$A$2:$A$83,0),MATCH($C206,'🔖 배합비 참조'!$B$1:$CE$1,0))/100,0),""))),"")</f>
        <v>0</v>
      </c>
      <c r="N206" s="42" t="n">
        <f aca="false">IFERROR(IF($C206="","",IF($D206="","",IFERROR(ROUND($D206*INDEX('🔖 배합비 참조'!$B$2:$CE$83,MATCH("계피가루",'🔖 배합비 참조'!$A$2:$A$83,0),MATCH($C206,'🔖 배합비 참조'!$B$1:$CE$1,0))/100,0),""))),"")</f>
        <v>0</v>
      </c>
      <c r="O206" s="42" t="n">
        <f aca="false">IFERROR(IF($C206="","",IF($D206="","",IFERROR(ROUND($D206*INDEX('🔖 배합비 참조'!$B$2:$CE$83,MATCH("고구마가루",'🔖 배합비 참조'!$A$2:$A$83,0),MATCH($C206,'🔖 배합비 참조'!$B$1:$CE$1,0))/100,0),""))),"")</f>
        <v>0</v>
      </c>
      <c r="P206" s="42" t="n">
        <f aca="false">IFERROR(IF($C206="","",IF($D206="","",IFERROR(ROUND($D206*INDEX('🔖 배합비 참조'!$B$2:$CE$83,MATCH("고구마무스",'🔖 배합비 참조'!$A$2:$A$83,0),MATCH($C206,'🔖 배합비 참조'!$B$1:$CE$1,0))/100,0),""))),"")</f>
        <v>0</v>
      </c>
      <c r="Q206" s="42" t="n">
        <f aca="false">IFERROR(IF($C206="","",IF($D206="","",IFERROR(ROUND($D206*INDEX('🔖 배합비 참조'!$B$2:$CE$83,MATCH("고려엉겅퀴((곤드레)국내산)",'🔖 배합비 참조'!$A$2:$A$83,0),MATCH($C206,'🔖 배합비 참조'!$B$1:$CE$1,0))/100,0),""))),"")</f>
        <v>0</v>
      </c>
      <c r="R206" s="42" t="n">
        <f aca="false">IFERROR(IF($C206="","",IF($D206="","",IFERROR(ROUND($D206*INDEX('🔖 배합비 참조'!$B$2:$CE$83,MATCH("기타가공품(복분자가루)",'🔖 배합비 참조'!$A$2:$A$83,0),MATCH($C206,'🔖 배합비 참조'!$B$1:$CE$1,0))/100,0),""))),"")</f>
        <v>0</v>
      </c>
      <c r="S206" s="42" t="n">
        <f aca="false">IFERROR(IF($C206="","",IF($D206="","",IFERROR(ROUND($D206*INDEX('🔖 배합비 참조'!$B$2:$CE$83,MATCH("기타가공품(슈퍼소프트엠)",'🔖 배합비 참조'!$A$2:$A$83,0),MATCH($C206,'🔖 배합비 참조'!$B$1:$CE$1,0))/100,0),""))),"")</f>
        <v>0</v>
      </c>
      <c r="T206" s="42" t="n">
        <f aca="false">IFERROR(IF($C206="","",IF($D206="","",IFERROR(ROUND($D206*INDEX('🔖 배합비 참조'!$B$2:$CE$83,MATCH("기타가공품(파인소프트 E-티)",'🔖 배합비 참조'!$A$2:$A$83,0),MATCH($C206,'🔖 배합비 참조'!$B$1:$CE$1,0))/100,0),""))),"")</f>
        <v>0</v>
      </c>
      <c r="U206" s="42" t="n">
        <f aca="false">IFERROR(IF($C206="","",IF($D206="","",IFERROR(ROUND($D206*INDEX('🔖 배합비 참조'!$B$2:$CE$83,MATCH("기타가공품(프리미엄카스테라가루)",'🔖 배합비 참조'!$A$2:$A$83,0),MATCH($C206,'🔖 배합비 참조'!$B$1:$CE$1,0))/100,0),""))),"")</f>
        <v>0</v>
      </c>
      <c r="V206" s="42" t="n">
        <f aca="false">IFERROR(IF($C206="","",IF($D206="","",IFERROR(ROUND($D206*INDEX('🔖 배합비 참조'!$B$2:$CE$83,MATCH("기타가공품(흑임자가루)",'🔖 배합비 참조'!$A$2:$A$83,0),MATCH($C206,'🔖 배합비 참조'!$B$1:$CE$1,0))/100,0),""))),"")</f>
        <v>0</v>
      </c>
      <c r="W206" s="42" t="n">
        <f aca="false">IFERROR(IF($C206="","",IF($D206="","",IFERROR(ROUND($D206*INDEX('🔖 배합비 참조'!$B$2:$CE$83,MATCH("기타설탕(흑설탕)",'🔖 배합비 참조'!$A$2:$A$83,0),MATCH($C206,'🔖 배합비 참조'!$B$1:$CE$1,0))/100,0),""))),"")</f>
        <v>0</v>
      </c>
      <c r="X206" s="42" t="n">
        <f aca="false">IFERROR(IF($C206="","",IF($D206="","",IFERROR(ROUND($D206*INDEX('🔖 배합비 참조'!$B$2:$CE$83,MATCH("냉동쑥(국내산)",'🔖 배합비 참조'!$A$2:$A$83,0),MATCH($C206,'🔖 배합비 참조'!$B$1:$CE$1,0))/100,0),""))),"")</f>
        <v>0</v>
      </c>
      <c r="Y206" s="42" t="n">
        <f aca="false">IFERROR(IF($C206="","",IF($D206="","",IFERROR(ROUND($D206*INDEX('🔖 배합비 참조'!$B$2:$CE$83,MATCH("냉동증숙고구마(중국산)",'🔖 배합비 참조'!$A$2:$A$83,0),MATCH($C206,'🔖 배합비 참조'!$B$1:$CE$1,0))/100,0),""))),"")</f>
        <v>0</v>
      </c>
      <c r="Z206" s="42" t="n">
        <f aca="false">IFERROR(IF($C206="","",IF($D206="","",IFERROR(ROUND($D206*INDEX('🔖 배합비 참조'!$B$2:$CE$83,MATCH("녹차가루",'🔖 배합비 참조'!$A$2:$A$83,0),MATCH($C206,'🔖 배합비 참조'!$B$1:$CE$1,0))/100,0),""))),"")</f>
        <v>0</v>
      </c>
      <c r="AA206" s="42" t="n">
        <f aca="false">IFERROR(IF($C206="","",IF($D206="","",IFERROR(ROUND($D206*INDEX('🔖 배합비 참조'!$B$2:$CE$83,MATCH("다크초콜릿 컴파운드칩",'🔖 배합비 참조'!$A$2:$A$83,0),MATCH($C206,'🔖 배합비 참조'!$B$1:$CE$1,0))/100,0),""))),"")</f>
        <v>0</v>
      </c>
      <c r="AB206" s="42" t="n">
        <f aca="false">IFERROR(IF($C206="","",IF($D206="","",IFERROR(ROUND($D206*INDEX('🔖 배합비 참조'!$B$2:$CE$83,MATCH("단호박분말(중국산)",'🔖 배합비 참조'!$A$2:$A$83,0),MATCH($C206,'🔖 배합비 참조'!$B$1:$CE$1,0))/100,0),""))),"")</f>
        <v>0</v>
      </c>
      <c r="AC206" s="42" t="n">
        <f aca="false">IFERROR(IF($C206="","",IF($D206="","",IFERROR(ROUND($D206*INDEX('🔖 배합비 참조'!$B$2:$CE$83,MATCH("당류가공품(단호박농축액)",'🔖 배합비 참조'!$A$2:$A$83,0),MATCH($C206,'🔖 배합비 참조'!$B$1:$CE$1,0))/100,0),""))),"")</f>
        <v>0</v>
      </c>
      <c r="AD206" s="42" t="n">
        <f aca="false">IFERROR(IF($C206="","",IF($D206="","",IFERROR(ROUND($D206*INDEX('🔖 배합비 참조'!$B$2:$CE$83,MATCH("당류가공품(알룰로스,에리스리톨,스테비올배당체혼합)",'🔖 배합비 참조'!$A$2:$A$83,0),MATCH($C206,'🔖 배합비 참조'!$B$1:$CE$1,0))/100,0),""))),"")</f>
        <v>0</v>
      </c>
      <c r="AE206" s="42" t="n">
        <f aca="false">IFERROR(IF($C206="","",IF($D206="","",IFERROR(ROUND($D206*INDEX('🔖 배합비 참조'!$B$2:$CE$83,MATCH("당류가공품(알룰로스제로파우더)",'🔖 배합비 참조'!$A$2:$A$83,0),MATCH($C206,'🔖 배합비 참조'!$B$1:$CE$1,0))/100,0),""))),"")</f>
        <v>0</v>
      </c>
      <c r="AF206" s="42" t="n">
        <f aca="false">IFERROR(IF($C206="","",IF($D206="","",IFERROR(ROUND($D206*INDEX('🔖 배합비 참조'!$B$2:$CE$83,MATCH("당절임(완두배기)",'🔖 배합비 참조'!$A$2:$A$83,0),MATCH($C206,'🔖 배합비 참조'!$B$1:$CE$1,0))/100,0),""))),"")</f>
        <v>0</v>
      </c>
      <c r="AG206" s="42" t="n">
        <f aca="false">IFERROR(IF($C206="","",IF($D206="","",IFERROR(ROUND($D206*INDEX('🔖 배합비 참조'!$B$2:$CE$83,MATCH("대추농축액",'🔖 배합비 참조'!$A$2:$A$83,0),MATCH($C206,'🔖 배합비 참조'!$B$1:$CE$1,0))/100,0),""))),"")</f>
        <v>0</v>
      </c>
      <c r="AH206" s="42" t="n">
        <f aca="false">IFERROR(IF($C206="","",IF($D206="","",IFERROR(ROUND($D206*INDEX('🔖 배합비 참조'!$B$2:$CE$83,MATCH("대추채(국내산)",'🔖 배합비 참조'!$A$2:$A$83,0),MATCH($C206,'🔖 배합비 참조'!$B$1:$CE$1,0))/100,0),""))),"")</f>
        <v>0</v>
      </c>
      <c r="AI206" s="42" t="n">
        <f aca="false">IFERROR(IF($C206="","",IF($D206="","",IFERROR(ROUND($D206*INDEX('🔖 배합비 참조'!$B$2:$CE$83,MATCH("동부(미얀마산)",'🔖 배합비 참조'!$A$2:$A$83,0),MATCH($C206,'🔖 배합비 참조'!$B$1:$CE$1,0))/100,0),""))),"")</f>
        <v>0</v>
      </c>
      <c r="AJ206" s="42" t="n">
        <f aca="false">IFERROR(IF($C206="","",IF($D206="","",IFERROR(ROUND($D206*INDEX('🔖 배합비 참조'!$B$2:$CE$83,MATCH("두류가공품(백옥앙금)",'🔖 배합비 참조'!$A$2:$A$83,0),MATCH($C206,'🔖 배합비 참조'!$B$1:$CE$1,0))/100,0),""))),"")</f>
        <v>0</v>
      </c>
      <c r="AK206" s="42" t="n">
        <f aca="false">IFERROR(IF($C206="","",IF($D206="","",IFERROR(ROUND($D206*INDEX('🔖 배합비 참조'!$B$2:$CE$83,MATCH("두류가공품(콩고물)",'🔖 배합비 참조'!$A$2:$A$83,0),MATCH($C206,'🔖 배합비 참조'!$B$1:$CE$1,0))/100,0),""))),"")</f>
        <v>0</v>
      </c>
      <c r="AL206" s="42" t="n">
        <f aca="false">IFERROR(IF($C206="","",IF($D206="","",IFERROR(ROUND($D206*INDEX('🔖 배합비 참조'!$B$2:$CE$83,MATCH("두류가공품(통팥고물)",'🔖 배합비 참조'!$A$2:$A$83,0),MATCH($C206,'🔖 배합비 참조'!$B$1:$CE$1,0))/100,0),""))),"")</f>
        <v>0</v>
      </c>
      <c r="AM206" s="42" t="n">
        <f aca="false">IFERROR(IF($C206="","",IF($D206="","",IFERROR(ROUND($D206*INDEX('🔖 배합비 참조'!$B$2:$CE$83,MATCH("딸기레진",'🔖 배합비 참조'!$A$2:$A$83,0),MATCH($C206,'🔖 배합비 참조'!$B$1:$CE$1,0))/100,0),""))),"")</f>
        <v>0</v>
      </c>
      <c r="AN206" s="42" t="n">
        <f aca="false">IFERROR(IF($C206="","",IF($D206="","",IFERROR(ROUND($D206*INDEX('🔖 배합비 참조'!$B$2:$CE$83,MATCH("딸기분말(스트로우베리에이드(분말))",'🔖 배합비 참조'!$A$2:$A$83,0),MATCH($C206,'🔖 배합비 참조'!$B$1:$CE$1,0))/100,0),""))),"")</f>
        <v>0</v>
      </c>
      <c r="AO206" s="42" t="n">
        <f aca="false">IFERROR(IF($C206="","",IF($D206="","",IFERROR(ROUND($D206*INDEX('🔖 배합비 참조'!$B$2:$CE$83,MATCH("마스카포네치즈",'🔖 배합비 참조'!$A$2:$A$83,0),MATCH($C206,'🔖 배합비 참조'!$B$1:$CE$1,0))/100,0),""))),"")</f>
        <v>0</v>
      </c>
      <c r="AP206" s="42" t="n">
        <f aca="false">IFERROR(IF($C206="","",IF($D206="","",IFERROR(ROUND($D206*INDEX('🔖 배합비 참조'!$B$2:$CE$83,MATCH("마카다미아분태(호주산)",'🔖 배합비 참조'!$A$2:$A$83,0),MATCH($C206,'🔖 배합비 참조'!$B$1:$CE$1,0))/100,0),""))),"")</f>
        <v>0</v>
      </c>
      <c r="AQ206" s="42" t="n">
        <f aca="false">IFERROR(IF($C206="","",IF($D206="","",IFERROR(ROUND($D206*INDEX('🔖 배합비 참조'!$B$2:$CE$83,MATCH("멥쌀(국내산)",'🔖 배합비 참조'!$A$2:$A$83,0),MATCH($C206,'🔖 배합비 참조'!$B$1:$CE$1,0))/100,0),""))),"")</f>
        <v>0</v>
      </c>
      <c r="AR206" s="42" t="n">
        <f aca="false">IFERROR(IF($C206="","",IF($D206="","",IFERROR(ROUND($D206*INDEX('🔖 배합비 참조'!$B$2:$CE$83,MATCH("모시잎(국내산)",'🔖 배합비 참조'!$A$2:$A$83,0),MATCH($C206,'🔖 배합비 참조'!$B$1:$CE$1,0))/100,0),""))),"")</f>
        <v>0</v>
      </c>
      <c r="AS206" s="42" t="n">
        <f aca="false">IFERROR(IF($C206="","",IF($D206="","",IFERROR(ROUND($D206*INDEX('🔖 배합비 참조'!$B$2:$CE$83,MATCH("물엿(저당물엿)",'🔖 배합비 참조'!$A$2:$A$83,0),MATCH($C206,'🔖 배합비 참조'!$B$1:$CE$1,0))/100,0),""))),"")</f>
        <v>3</v>
      </c>
      <c r="AT206" s="42" t="n">
        <f aca="false">IFERROR(IF($C206="","",IF($D206="","",IFERROR(ROUND($D206*INDEX('🔖 배합비 참조'!$B$2:$CE$83,MATCH("밤다이스",'🔖 배합비 참조'!$A$2:$A$83,0),MATCH($C206,'🔖 배합비 참조'!$B$1:$CE$1,0))/100,0),""))),"")</f>
        <v>0</v>
      </c>
      <c r="AU206" s="42" t="n">
        <f aca="false">IFERROR(IF($C206="","",IF($D206="","",IFERROR(ROUND($D206*INDEX('🔖 배합비 참조'!$B$2:$CE$83,MATCH("변성전분(타피오카전분)",'🔖 배합비 참조'!$A$2:$A$83,0),MATCH($C206,'🔖 배합비 참조'!$B$1:$CE$1,0))/100,0),""))),"")</f>
        <v>0</v>
      </c>
      <c r="AV206" s="42" t="n">
        <f aca="false">IFERROR(IF($C206="","",IF($D206="","",IFERROR(ROUND($D206*INDEX('🔖 배합비 참조'!$B$2:$CE$83,MATCH("복음땅콩분태",'🔖 배합비 참조'!$A$2:$A$83,0),MATCH($C206,'🔖 배합비 참조'!$B$1:$CE$1,0))/100,0),""))),"")</f>
        <v>0</v>
      </c>
      <c r="AW206" s="42" t="n">
        <f aca="false">IFERROR(IF($C206="","",IF($D206="","",IFERROR(ROUND($D206*INDEX('🔖 배합비 참조'!$B$2:$CE$83,MATCH("사양벌꿀(국내산)",'🔖 배합비 참조'!$A$2:$A$83,0),MATCH($C206,'🔖 배합비 참조'!$B$1:$CE$1,0))/100,0),""))),"")</f>
        <v>0</v>
      </c>
      <c r="AX206" s="42" t="n">
        <f aca="false">IFERROR(IF($C206="","",IF($D206="","",IFERROR(ROUND($D206*INDEX('🔖 배합비 참조'!$B$2:$CE$83,MATCH("생크림",'🔖 배합비 참조'!$A$2:$A$83,0),MATCH($C206,'🔖 배합비 참조'!$B$1:$CE$1,0))/100,0),""))),"")</f>
        <v>0</v>
      </c>
      <c r="AY206" s="42" t="n">
        <f aca="false">IFERROR(IF($C206="","",IF($D206="","",IFERROR(ROUND($D206*INDEX('🔖 배합비 참조'!$B$2:$CE$83,MATCH("서양호박(국내산,뉴질랜드산)",'🔖 배합비 참조'!$A$2:$A$83,0),MATCH($C206,'🔖 배합비 참조'!$B$1:$CE$1,0))/100,0),""))),"")</f>
        <v>0</v>
      </c>
      <c r="AZ206" s="42" t="n">
        <f aca="false">IFERROR(IF($C206="","",IF($D206="","",IFERROR(ROUND($D206*INDEX('🔖 배합비 참조'!$B$2:$CE$83,MATCH("설탕",'🔖 배합비 참조'!$A$2:$A$83,0),MATCH($C206,'🔖 배합비 참조'!$B$1:$CE$1,0))/100,0),""))),"")</f>
        <v>3</v>
      </c>
      <c r="BA206" s="42" t="n">
        <f aca="false">IFERROR(IF($C206="","",IF($D206="","",IFERROR(ROUND($D206*INDEX('🔖 배합비 참조'!$B$2:$CE$83,MATCH("스트로우베리 에이드 후레쉬",'🔖 배합비 참조'!$A$2:$A$83,0),MATCH($C206,'🔖 배합비 참조'!$B$1:$CE$1,0))/100,0),""))),"")</f>
        <v>0</v>
      </c>
      <c r="BB206" s="42" t="n">
        <f aca="false">IFERROR(IF($C206="","",IF($D206="","",IFERROR(ROUND($D206*INDEX('🔖 배합비 참조'!$B$2:$CE$83,MATCH("식물성기름혼합제제(분홍)",'🔖 배합비 참조'!$A$2:$A$83,0),MATCH($C206,'🔖 배합비 참조'!$B$1:$CE$1,0))/100,0),""))),"")</f>
        <v>0</v>
      </c>
      <c r="BC206" s="42" t="n">
        <f aca="false">IFERROR(IF($C206="","",IF($D206="","",IFERROR(ROUND($D206*INDEX('🔖 배합비 참조'!$B$2:$CE$83,MATCH("식물성기름혼합제제(초록)",'🔖 배합비 참조'!$A$2:$A$83,0),MATCH($C206,'🔖 배합비 참조'!$B$1:$CE$1,0))/100,0),""))),"")</f>
        <v>0</v>
      </c>
      <c r="BD206" s="42" t="n">
        <f aca="false">IFERROR(IF($C206="","",IF($D206="","",IFERROR(ROUND($D206*INDEX('🔖 배합비 참조'!$B$2:$CE$83,MATCH("식물성기름혼합제제(황색)",'🔖 배합비 참조'!$A$2:$A$83,0),MATCH($C206,'🔖 배합비 참조'!$B$1:$CE$1,0))/100,0),""))),"")</f>
        <v>0</v>
      </c>
      <c r="BE206" s="42" t="n">
        <f aca="false">IFERROR(IF($C206="","",IF($D206="","",IFERROR(ROUND($D206*INDEX('🔖 배합비 참조'!$B$2:$CE$83,MATCH("쑥가루(국내산)",'🔖 배합비 참조'!$A$2:$A$83,0),MATCH($C206,'🔖 배합비 참조'!$B$1:$CE$1,0))/100,0),""))),"")</f>
        <v>0</v>
      </c>
      <c r="BF206" s="42" t="n">
        <f aca="false">IFERROR(IF($C206="","",IF($D206="","",IFERROR(ROUND($D206*INDEX('🔖 배합비 참조'!$B$2:$CE$83,MATCH("아몬드슬라이스",'🔖 배합비 참조'!$A$2:$A$83,0),MATCH($C206,'🔖 배합비 참조'!$B$1:$CE$1,0))/100,0),""))),"")</f>
        <v>0</v>
      </c>
      <c r="BG206" s="42" t="n">
        <f aca="false">IFERROR(IF($C206="","",IF($D206="","",IFERROR(ROUND($D206*INDEX('🔖 배합비 참조'!$B$2:$CE$83,MATCH("알룰로오스(국내산)",'🔖 배합비 참조'!$A$2:$A$83,0),MATCH($C206,'🔖 배합비 참조'!$B$1:$CE$1,0))/100,0),""))),"")</f>
        <v>0</v>
      </c>
      <c r="BH206" s="42" t="n">
        <f aca="false">IFERROR(IF($C206="","",IF($D206="","",IFERROR(ROUND($D206*INDEX('🔖 배합비 참조'!$B$2:$CE$83,MATCH("연유",'🔖 배합비 참조'!$A$2:$A$83,0),MATCH($C206,'🔖 배합비 참조'!$B$1:$CE$1,0))/100,0),""))),"")</f>
        <v>0</v>
      </c>
      <c r="BI206" s="42" t="n">
        <f aca="false">IFERROR(IF($C206="","",IF($D206="","",IFERROR(ROUND($D206*INDEX('🔖 배합비 참조'!$B$2:$CE$83,MATCH("옥수수전분",'🔖 배합비 참조'!$A$2:$A$83,0),MATCH($C206,'🔖 배합비 참조'!$B$1:$CE$1,0))/100,0),""))),"")</f>
        <v>1</v>
      </c>
      <c r="BJ206" s="42" t="n">
        <f aca="false">IFERROR(IF($C206="","",IF($D206="","",IFERROR(ROUND($D206*INDEX('🔖 배합비 참조'!$B$2:$CE$83,MATCH("완두배기",'🔖 배합비 참조'!$A$2:$A$83,0),MATCH($C206,'🔖 배합비 참조'!$B$1:$CE$1,0))/100,0),""))),"")</f>
        <v>0</v>
      </c>
      <c r="BK206" s="42" t="n">
        <f aca="false">IFERROR(IF($C206="","",IF($D206="","",IFERROR(ROUND($D206*INDEX('🔖 배합비 참조'!$B$2:$CE$83,MATCH("우유(국내산)",'🔖 배합비 참조'!$A$2:$A$83,0),MATCH($C206,'🔖 배합비 참조'!$B$1:$CE$1,0))/100,0),""))),"")</f>
        <v>0</v>
      </c>
      <c r="BL206" s="42" t="n">
        <f aca="false">IFERROR(IF($C206="","",IF($D206="","",IFERROR(ROUND($D206*INDEX('🔖 배합비 참조'!$B$2:$CE$83,MATCH("자색고구마가루(중국산)",'🔖 배합비 참조'!$A$2:$A$83,0),MATCH($C206,'🔖 배합비 참조'!$B$1:$CE$1,0))/100,0),""))),"")</f>
        <v>0</v>
      </c>
      <c r="BM206" s="42" t="n">
        <f aca="false">IFERROR(IF($C206="","",IF($D206="","",IFERROR(ROUND($D206*INDEX('🔖 배합비 참조'!$B$2:$CE$83,MATCH("자연치즈(체다치즈)",'🔖 배합비 참조'!$A$2:$A$83,0),MATCH($C206,'🔖 배합비 참조'!$B$1:$CE$1,0))/100,0),""))),"")</f>
        <v>0</v>
      </c>
      <c r="BN206" s="42" t="n">
        <f aca="false">IFERROR(IF($C206="","",IF($D206="","",IFERROR(ROUND($D206*INDEX('🔖 배합비 참조'!$B$2:$CE$83,MATCH("정제수",'🔖 배합비 참조'!$A$2:$A$83,0),MATCH($C206,'🔖 배합비 참조'!$B$1:$CE$1,0))/100,0),""))),"")</f>
        <v>0</v>
      </c>
      <c r="BO206" s="42" t="n">
        <f aca="false">IFERROR(IF($C206="","",IF($D206="","",IFERROR(ROUND($D206*INDEX('🔖 배합비 참조'!$B$2:$CE$83,MATCH("젤라틴",'🔖 배합비 참조'!$A$2:$A$83,0),MATCH($C206,'🔖 배합비 참조'!$B$1:$CE$1,0))/100,0),""))),"")</f>
        <v>0</v>
      </c>
      <c r="BP206" s="42" t="n">
        <f aca="false">IFERROR(IF($C206="","",IF($D206="","",IFERROR(ROUND($D206*INDEX('🔖 배합비 참조'!$B$2:$CE$83,MATCH("조림류(백옥앙금)",'🔖 배합비 참조'!$A$2:$A$83,0),MATCH($C206,'🔖 배합비 참조'!$B$1:$CE$1,0))/100,0),""))),"")</f>
        <v>0</v>
      </c>
      <c r="BQ206" s="42" t="n">
        <f aca="false">IFERROR(IF($C206="","",IF($D206="","",IFERROR(ROUND($D206*INDEX('🔖 배합비 참조'!$B$2:$CE$83,MATCH("조림류(통팥앙금)",'🔖 배합비 참조'!$A$2:$A$83,0),MATCH($C206,'🔖 배합비 참조'!$B$1:$CE$1,0))/100,0),""))),"")</f>
        <v>49</v>
      </c>
      <c r="BR206" s="42" t="n">
        <f aca="false">IFERROR(IF($C206="","",IF($D206="","",IFERROR(ROUND($D206*INDEX('🔖 배합비 참조'!$B$2:$CE$83,MATCH("준초콜릿(외국산)",'🔖 배합비 참조'!$A$2:$A$83,0),MATCH($C206,'🔖 배합비 참조'!$B$1:$CE$1,0))/100,0),""))),"")</f>
        <v>0</v>
      </c>
      <c r="BS206" s="42" t="n">
        <f aca="false">IFERROR(IF($C206="","",IF($D206="","",IFERROR(ROUND($D206*INDEX('🔖 배합비 참조'!$B$2:$CE$83,MATCH("중력분",'🔖 배합비 참조'!$A$2:$A$83,0),MATCH($C206,'🔖 배합비 참조'!$B$1:$CE$1,0))/100,0),""))),"")</f>
        <v>0</v>
      </c>
      <c r="BT206" s="42" t="n">
        <f aca="false">IFERROR(IF($C206="","",IF($D206="","",IFERROR(ROUND($D206*INDEX('🔖 배합비 참조'!$B$2:$CE$83,MATCH("참깨(인도산,나이지리아산,탄자니아산,미얀마산)",'🔖 배합비 참조'!$A$2:$A$83,0),MATCH($C206,'🔖 배합비 참조'!$B$1:$CE$1,0))/100,0),""))),"")</f>
        <v>0</v>
      </c>
      <c r="BU206" s="42" t="n">
        <f aca="false">IFERROR(IF($C206="","",IF($D206="","",IFERROR(ROUND($D206*INDEX('🔖 배합비 참조'!$B$2:$CE$83,MATCH("찹쌀(국내산)",'🔖 배합비 참조'!$A$2:$A$83,0),MATCH($C206,'🔖 배합비 참조'!$B$1:$CE$1,0))/100,0),""))),"")</f>
        <v>53</v>
      </c>
      <c r="BV206" s="42" t="n">
        <f aca="false">IFERROR(IF($C206="","",IF($D206="","",IFERROR(ROUND($D206*INDEX('🔖 배합비 참조'!$B$2:$CE$83,MATCH("천일염",'🔖 배합비 참조'!$A$2:$A$83,0),MATCH($C206,'🔖 배합비 참조'!$B$1:$CE$1,0))/100,0),""))),"")</f>
        <v>1</v>
      </c>
      <c r="BW206" s="42" t="n">
        <f aca="false">IFERROR(IF($C206="","",IF($D206="","",IFERROR(ROUND($D206*INDEX('🔖 배합비 참조'!$B$2:$CE$83,MATCH("치즈 [크림치즈]",'🔖 배합비 참조'!$A$2:$A$83,0),MATCH($C206,'🔖 배합비 참조'!$B$1:$CE$1,0))/100,0),""))),"")</f>
        <v>0</v>
      </c>
      <c r="BX206" s="42" t="n">
        <f aca="false">IFERROR(IF($C206="","",IF($D206="","",IFERROR(ROUND($D206*INDEX('🔖 배합비 참조'!$B$2:$CE$83,MATCH("코코아가공품류(코코아분말)",'🔖 배합비 참조'!$A$2:$A$83,0),MATCH($C206,'🔖 배합비 참조'!$B$1:$CE$1,0))/100,0),""))),"")</f>
        <v>0</v>
      </c>
      <c r="BY206" s="42" t="n">
        <f aca="false">IFERROR(IF($C206="","",IF($D206="","",IFERROR(ROUND($D206*INDEX('🔖 배합비 참조'!$B$2:$CE$83,MATCH("콩기름(대두유)",'🔖 배합비 참조'!$A$2:$A$83,0),MATCH($C206,'🔖 배합비 참조'!$B$1:$CE$1,0))/100,0),""))),"")</f>
        <v>0</v>
      </c>
      <c r="BZ206" s="42" t="n">
        <f aca="false">IFERROR(IF($C206="","",IF($D206="","",IFERROR(ROUND($D206*INDEX('🔖 배합비 참조'!$B$2:$CE$83,MATCH("해바라기씨앗",'🔖 배합비 참조'!$A$2:$A$83,0),MATCH($C206,'🔖 배합비 참조'!$B$1:$CE$1,0))/100,0),""))),"")</f>
        <v>0</v>
      </c>
      <c r="CA206" s="42" t="n">
        <f aca="false">IFERROR(IF($C206="","",IF($D206="","",IFERROR(ROUND($D206*INDEX('🔖 배합비 참조'!$B$2:$CE$83,MATCH("현미(국내산)",'🔖 배합비 참조'!$A$2:$A$83,0),MATCH($C206,'🔖 배합비 참조'!$B$1:$CE$1,0))/100,0),""))),"")</f>
        <v>0</v>
      </c>
      <c r="CB206" s="42" t="n">
        <f aca="false">IFERROR(IF($C206="","",IF($D206="","",IFERROR(ROUND($D206*INDEX('🔖 배합비 참조'!$B$2:$CE$83,MATCH("현미멥쌀(국내산)",'🔖 배합비 참조'!$A$2:$A$83,0),MATCH($C206,'🔖 배합비 참조'!$B$1:$CE$1,0))/100,0),""))),"")</f>
        <v>0</v>
      </c>
      <c r="CC206" s="42" t="n">
        <f aca="false">IFERROR(IF($C206="","",IF($D206="","",IFERROR(ROUND($D206*INDEX('🔖 배합비 참조'!$B$2:$CE$83,MATCH("호두분태(미국산)",'🔖 배합비 참조'!$A$2:$A$83,0),MATCH($C206,'🔖 배합비 참조'!$B$1:$CE$1,0))/100,0),""))),"")</f>
        <v>0</v>
      </c>
      <c r="CD206" s="42" t="n">
        <f aca="false">IFERROR(IF($C206="","",IF($D206="","",IFERROR(ROUND($D206*INDEX('🔖 배합비 참조'!$B$2:$CE$83,MATCH("호박씨앗(외국산)",'🔖 배합비 참조'!$A$2:$A$83,0),MATCH($C206,'🔖 배합비 참조'!$B$1:$CE$1,0))/100,0),""))),"")</f>
        <v>0</v>
      </c>
      <c r="CE206" s="42" t="n">
        <f aca="false">IFERROR(IF($C206="","",IF($D206="","",IFERROR(ROUND($D206*INDEX('🔖 배합비 참조'!$B$2:$CE$83,MATCH("혼합제제(떡용에스텔)",'🔖 배합비 참조'!$A$2:$A$83,0),MATCH($C206,'🔖 배합비 참조'!$B$1:$CE$1,0))/100,0),""))),"")</f>
        <v>0</v>
      </c>
      <c r="CF206" s="42" t="n">
        <f aca="false">IFERROR(IF($C206="","",IF($D206="","",IFERROR(ROUND($D206*INDEX('🔖 배합비 참조'!$B$2:$CE$83,MATCH("혼합제제(스테비아)",'🔖 배합비 참조'!$A$2:$A$83,0),MATCH($C206,'🔖 배합비 참조'!$B$1:$CE$1,0))/100,0),""))),"")</f>
        <v>0</v>
      </c>
      <c r="CG206" s="42" t="n">
        <f aca="false">IFERROR(IF($C206="","",IF($D206="","",IFERROR(ROUND($D206*INDEX('🔖 배합비 참조'!$B$2:$CE$83,MATCH("화이트초콜릿",'🔖 배합비 참조'!$A$2:$A$83,0),MATCH($C206,'🔖 배합비 참조'!$B$1:$CE$1,0))/100,0),""))),"")</f>
        <v>0</v>
      </c>
      <c r="CH206" s="42" t="n">
        <f aca="false">IFERROR(IF($C206="","",IF($D206="","",IFERROR(ROUND($D206*INDEX('🔖 배합비 참조'!$B$2:$CE$83,MATCH("흑미찹쌀(국내산)",'🔖 배합비 참조'!$A$2:$A$83,0),MATCH($C206,'🔖 배합비 참조'!$B$1:$CE$1,0))/100,0),""))),"")</f>
        <v>0</v>
      </c>
      <c r="CI206" s="42" t="n">
        <f aca="false">IFERROR(IF($C206="","",IF($D206="","",IFERROR(ROUND($D206*INDEX('🔖 배합비 참조'!$B$2:$CE$83,MATCH("찰옥수수전분(미국산)",'🔖 배합비 참조'!$A$2:$A$83,0),MATCH($C206,'🔖 배합비 참조'!$B$1:$CE$1,0))/100,0),""))),"")</f>
        <v>0</v>
      </c>
      <c r="CJ206" s="40"/>
      <c r="CL206" s="1" t="s">
        <v>247</v>
      </c>
    </row>
    <row r="207" customFormat="false" ht="18" hidden="false" customHeight="true" outlineLevel="0" collapsed="false">
      <c r="A207" s="35" t="n">
        <v>203</v>
      </c>
      <c r="B207" s="36" t="n">
        <v>46058</v>
      </c>
      <c r="C207" s="37" t="s">
        <v>184</v>
      </c>
      <c r="D207" s="38" t="n">
        <v>179.8</v>
      </c>
      <c r="E207" s="13"/>
      <c r="F207" s="13"/>
      <c r="G207" s="39" t="n">
        <f aca="false">IFERROR(IF($C207="","",IF($D207="","",IFERROR(ROUND($D207*INDEX('🔖 배합비 참조'!$B$2:$CE$83,MATCH("간장",'🔖 배합비 참조'!$A$2:$A$83,0),MATCH($C207,'🔖 배합비 참조'!$B$1:$CE$1,0))/100,0),""))),"")</f>
        <v>0</v>
      </c>
      <c r="H207" s="39" t="n">
        <f aca="false">IFERROR(IF($C207="","",IF($D207="","",IFERROR(ROUND($D207*INDEX('🔖 배합비 참조'!$B$2:$CE$83,MATCH("강낭콩((울타리콩))",'🔖 배합비 참조'!$A$2:$A$83,0),MATCH($C207,'🔖 배합비 참조'!$B$1:$CE$1,0))/100,0),""))),"")</f>
        <v>0</v>
      </c>
      <c r="I207" s="39" t="n">
        <f aca="false">IFERROR(IF($C207="","",IF($D207="","",IFERROR(ROUND($D207*INDEX('🔖 배합비 참조'!$B$2:$CE$83,MATCH("건조딸기다이스(외국산)",'🔖 배합비 참조'!$A$2:$A$83,0),MATCH($C207,'🔖 배합비 참조'!$B$1:$CE$1,0))/100,0),""))),"")</f>
        <v>0</v>
      </c>
      <c r="J207" s="39" t="n">
        <f aca="false">IFERROR(IF($C207="","",IF($D207="","",IFERROR(ROUND($D207*INDEX('🔖 배합비 참조'!$B$2:$CE$83,MATCH("건포도",'🔖 배합비 참조'!$A$2:$A$83,0),MATCH($C207,'🔖 배합비 참조'!$B$1:$CE$1,0))/100,0),""))),"")</f>
        <v>0</v>
      </c>
      <c r="K207" s="39" t="n">
        <f aca="false">IFERROR(IF($C207="","",IF($D207="","",IFERROR(ROUND($D207*INDEX('🔖 배합비 참조'!$B$2:$CE$83,MATCH("건호박채(중국산)",'🔖 배합비 참조'!$A$2:$A$83,0),MATCH($C207,'🔖 배합비 참조'!$B$1:$CE$1,0))/100,0),""))),"")</f>
        <v>0</v>
      </c>
      <c r="L207" s="39" t="n">
        <f aca="false">IFERROR(IF($C207="","",IF($D207="","",IFERROR(ROUND($D207*INDEX('🔖 배합비 참조'!$B$2:$CE$83,MATCH("검정깨(흑임자)",'🔖 배합비 참조'!$A$2:$A$83,0),MATCH($C207,'🔖 배합비 참조'!$B$1:$CE$1,0))/100,0),""))),"")</f>
        <v>0</v>
      </c>
      <c r="M207" s="39" t="n">
        <f aca="false">IFERROR(IF($C207="","",IF($D207="","",IFERROR(ROUND($D207*INDEX('🔖 배합비 참조'!$B$2:$CE$83,MATCH("검정콩",'🔖 배합비 참조'!$A$2:$A$83,0),MATCH($C207,'🔖 배합비 참조'!$B$1:$CE$1,0))/100,0),""))),"")</f>
        <v>0</v>
      </c>
      <c r="N207" s="39" t="n">
        <f aca="false">IFERROR(IF($C207="","",IF($D207="","",IFERROR(ROUND($D207*INDEX('🔖 배합비 참조'!$B$2:$CE$83,MATCH("계피가루",'🔖 배합비 참조'!$A$2:$A$83,0),MATCH($C207,'🔖 배합비 참조'!$B$1:$CE$1,0))/100,0),""))),"")</f>
        <v>0</v>
      </c>
      <c r="O207" s="39" t="n">
        <f aca="false">IFERROR(IF($C207="","",IF($D207="","",IFERROR(ROUND($D207*INDEX('🔖 배합비 참조'!$B$2:$CE$83,MATCH("고구마가루",'🔖 배합비 참조'!$A$2:$A$83,0),MATCH($C207,'🔖 배합비 참조'!$B$1:$CE$1,0))/100,0),""))),"")</f>
        <v>0</v>
      </c>
      <c r="P207" s="39" t="n">
        <f aca="false">IFERROR(IF($C207="","",IF($D207="","",IFERROR(ROUND($D207*INDEX('🔖 배합비 참조'!$B$2:$CE$83,MATCH("고구마무스",'🔖 배합비 참조'!$A$2:$A$83,0),MATCH($C207,'🔖 배합비 참조'!$B$1:$CE$1,0))/100,0),""))),"")</f>
        <v>0</v>
      </c>
      <c r="Q207" s="39" t="n">
        <f aca="false">IFERROR(IF($C207="","",IF($D207="","",IFERROR(ROUND($D207*INDEX('🔖 배합비 참조'!$B$2:$CE$83,MATCH("고려엉겅퀴((곤드레)국내산)",'🔖 배합비 참조'!$A$2:$A$83,0),MATCH($C207,'🔖 배합비 참조'!$B$1:$CE$1,0))/100,0),""))),"")</f>
        <v>0</v>
      </c>
      <c r="R207" s="39" t="n">
        <f aca="false">IFERROR(IF($C207="","",IF($D207="","",IFERROR(ROUND($D207*INDEX('🔖 배합비 참조'!$B$2:$CE$83,MATCH("기타가공품(복분자가루)",'🔖 배합비 참조'!$A$2:$A$83,0),MATCH($C207,'🔖 배합비 참조'!$B$1:$CE$1,0))/100,0),""))),"")</f>
        <v>0</v>
      </c>
      <c r="S207" s="39" t="n">
        <f aca="false">IFERROR(IF($C207="","",IF($D207="","",IFERROR(ROUND($D207*INDEX('🔖 배합비 참조'!$B$2:$CE$83,MATCH("기타가공품(슈퍼소프트엠)",'🔖 배합비 참조'!$A$2:$A$83,0),MATCH($C207,'🔖 배합비 참조'!$B$1:$CE$1,0))/100,0),""))),"")</f>
        <v>0</v>
      </c>
      <c r="T207" s="39" t="n">
        <f aca="false">IFERROR(IF($C207="","",IF($D207="","",IFERROR(ROUND($D207*INDEX('🔖 배합비 참조'!$B$2:$CE$83,MATCH("기타가공품(파인소프트 E-티)",'🔖 배합비 참조'!$A$2:$A$83,0),MATCH($C207,'🔖 배합비 참조'!$B$1:$CE$1,0))/100,0),""))),"")</f>
        <v>0</v>
      </c>
      <c r="U207" s="39" t="n">
        <f aca="false">IFERROR(IF($C207="","",IF($D207="","",IFERROR(ROUND($D207*INDEX('🔖 배합비 참조'!$B$2:$CE$83,MATCH("기타가공품(프리미엄카스테라가루)",'🔖 배합비 참조'!$A$2:$A$83,0),MATCH($C207,'🔖 배합비 참조'!$B$1:$CE$1,0))/100,0),""))),"")</f>
        <v>0</v>
      </c>
      <c r="V207" s="39" t="n">
        <f aca="false">IFERROR(IF($C207="","",IF($D207="","",IFERROR(ROUND($D207*INDEX('🔖 배합비 참조'!$B$2:$CE$83,MATCH("기타가공품(흑임자가루)",'🔖 배합비 참조'!$A$2:$A$83,0),MATCH($C207,'🔖 배합비 참조'!$B$1:$CE$1,0))/100,0),""))),"")</f>
        <v>0</v>
      </c>
      <c r="W207" s="39" t="n">
        <f aca="false">IFERROR(IF($C207="","",IF($D207="","",IFERROR(ROUND($D207*INDEX('🔖 배합비 참조'!$B$2:$CE$83,MATCH("기타설탕(흑설탕)",'🔖 배합비 참조'!$A$2:$A$83,0),MATCH($C207,'🔖 배합비 참조'!$B$1:$CE$1,0))/100,0),""))),"")</f>
        <v>0</v>
      </c>
      <c r="X207" s="39" t="n">
        <f aca="false">IFERROR(IF($C207="","",IF($D207="","",IFERROR(ROUND($D207*INDEX('🔖 배합비 참조'!$B$2:$CE$83,MATCH("냉동쑥(국내산)",'🔖 배합비 참조'!$A$2:$A$83,0),MATCH($C207,'🔖 배합비 참조'!$B$1:$CE$1,0))/100,0),""))),"")</f>
        <v>0</v>
      </c>
      <c r="Y207" s="39" t="n">
        <f aca="false">IFERROR(IF($C207="","",IF($D207="","",IFERROR(ROUND($D207*INDEX('🔖 배합비 참조'!$B$2:$CE$83,MATCH("냉동증숙고구마(중국산)",'🔖 배합비 참조'!$A$2:$A$83,0),MATCH($C207,'🔖 배합비 참조'!$B$1:$CE$1,0))/100,0),""))),"")</f>
        <v>0</v>
      </c>
      <c r="Z207" s="39" t="n">
        <f aca="false">IFERROR(IF($C207="","",IF($D207="","",IFERROR(ROUND($D207*INDEX('🔖 배합비 참조'!$B$2:$CE$83,MATCH("녹차가루",'🔖 배합비 참조'!$A$2:$A$83,0),MATCH($C207,'🔖 배합비 참조'!$B$1:$CE$1,0))/100,0),""))),"")</f>
        <v>0</v>
      </c>
      <c r="AA207" s="39" t="n">
        <f aca="false">IFERROR(IF($C207="","",IF($D207="","",IFERROR(ROUND($D207*INDEX('🔖 배합비 참조'!$B$2:$CE$83,MATCH("다크초콜릿 컴파운드칩",'🔖 배합비 참조'!$A$2:$A$83,0),MATCH($C207,'🔖 배합비 참조'!$B$1:$CE$1,0))/100,0),""))),"")</f>
        <v>0</v>
      </c>
      <c r="AB207" s="39" t="n">
        <f aca="false">IFERROR(IF($C207="","",IF($D207="","",IFERROR(ROUND($D207*INDEX('🔖 배합비 참조'!$B$2:$CE$83,MATCH("단호박분말(중국산)",'🔖 배합비 참조'!$A$2:$A$83,0),MATCH($C207,'🔖 배합비 참조'!$B$1:$CE$1,0))/100,0),""))),"")</f>
        <v>0</v>
      </c>
      <c r="AC207" s="39" t="n">
        <f aca="false">IFERROR(IF($C207="","",IF($D207="","",IFERROR(ROUND($D207*INDEX('🔖 배합비 참조'!$B$2:$CE$83,MATCH("당류가공품(단호박농축액)",'🔖 배합비 참조'!$A$2:$A$83,0),MATCH($C207,'🔖 배합비 참조'!$B$1:$CE$1,0))/100,0),""))),"")</f>
        <v>0</v>
      </c>
      <c r="AD207" s="39" t="n">
        <f aca="false">IFERROR(IF($C207="","",IF($D207="","",IFERROR(ROUND($D207*INDEX('🔖 배합비 참조'!$B$2:$CE$83,MATCH("당류가공품(알룰로스,에리스리톨,스테비올배당체혼합)",'🔖 배합비 참조'!$A$2:$A$83,0),MATCH($C207,'🔖 배합비 참조'!$B$1:$CE$1,0))/100,0),""))),"")</f>
        <v>0</v>
      </c>
      <c r="AE207" s="39" t="n">
        <f aca="false">IFERROR(IF($C207="","",IF($D207="","",IFERROR(ROUND($D207*INDEX('🔖 배합비 참조'!$B$2:$CE$83,MATCH("당류가공품(알룰로스제로파우더)",'🔖 배합비 참조'!$A$2:$A$83,0),MATCH($C207,'🔖 배합비 참조'!$B$1:$CE$1,0))/100,0),""))),"")</f>
        <v>0</v>
      </c>
      <c r="AF207" s="39" t="n">
        <f aca="false">IFERROR(IF($C207="","",IF($D207="","",IFERROR(ROUND($D207*INDEX('🔖 배합비 참조'!$B$2:$CE$83,MATCH("당절임(완두배기)",'🔖 배합비 참조'!$A$2:$A$83,0),MATCH($C207,'🔖 배합비 참조'!$B$1:$CE$1,0))/100,0),""))),"")</f>
        <v>0</v>
      </c>
      <c r="AG207" s="39" t="n">
        <f aca="false">IFERROR(IF($C207="","",IF($D207="","",IFERROR(ROUND($D207*INDEX('🔖 배합비 참조'!$B$2:$CE$83,MATCH("대추농축액",'🔖 배합비 참조'!$A$2:$A$83,0),MATCH($C207,'🔖 배합비 참조'!$B$1:$CE$1,0))/100,0),""))),"")</f>
        <v>0</v>
      </c>
      <c r="AH207" s="39" t="n">
        <f aca="false">IFERROR(IF($C207="","",IF($D207="","",IFERROR(ROUND($D207*INDEX('🔖 배합비 참조'!$B$2:$CE$83,MATCH("대추채(국내산)",'🔖 배합비 참조'!$A$2:$A$83,0),MATCH($C207,'🔖 배합비 참조'!$B$1:$CE$1,0))/100,0),""))),"")</f>
        <v>0</v>
      </c>
      <c r="AI207" s="39" t="n">
        <f aca="false">IFERROR(IF($C207="","",IF($D207="","",IFERROR(ROUND($D207*INDEX('🔖 배합비 참조'!$B$2:$CE$83,MATCH("동부(미얀마산)",'🔖 배합비 참조'!$A$2:$A$83,0),MATCH($C207,'🔖 배합비 참조'!$B$1:$CE$1,0))/100,0),""))),"")</f>
        <v>0</v>
      </c>
      <c r="AJ207" s="39" t="n">
        <f aca="false">IFERROR(IF($C207="","",IF($D207="","",IFERROR(ROUND($D207*INDEX('🔖 배합비 참조'!$B$2:$CE$83,MATCH("두류가공품(백옥앙금)",'🔖 배합비 참조'!$A$2:$A$83,0),MATCH($C207,'🔖 배합비 참조'!$B$1:$CE$1,0))/100,0),""))),"")</f>
        <v>0</v>
      </c>
      <c r="AK207" s="39" t="n">
        <f aca="false">IFERROR(IF($C207="","",IF($D207="","",IFERROR(ROUND($D207*INDEX('🔖 배합비 참조'!$B$2:$CE$83,MATCH("두류가공품(콩고물)",'🔖 배합비 참조'!$A$2:$A$83,0),MATCH($C207,'🔖 배합비 참조'!$B$1:$CE$1,0))/100,0),""))),"")</f>
        <v>0</v>
      </c>
      <c r="AL207" s="39" t="n">
        <f aca="false">IFERROR(IF($C207="","",IF($D207="","",IFERROR(ROUND($D207*INDEX('🔖 배합비 참조'!$B$2:$CE$83,MATCH("두류가공품(통팥고물)",'🔖 배합비 참조'!$A$2:$A$83,0),MATCH($C207,'🔖 배합비 참조'!$B$1:$CE$1,0))/100,0),""))),"")</f>
        <v>0</v>
      </c>
      <c r="AM207" s="39" t="n">
        <f aca="false">IFERROR(IF($C207="","",IF($D207="","",IFERROR(ROUND($D207*INDEX('🔖 배합비 참조'!$B$2:$CE$83,MATCH("딸기레진",'🔖 배합비 참조'!$A$2:$A$83,0),MATCH($C207,'🔖 배합비 참조'!$B$1:$CE$1,0))/100,0),""))),"")</f>
        <v>0</v>
      </c>
      <c r="AN207" s="39" t="n">
        <f aca="false">IFERROR(IF($C207="","",IF($D207="","",IFERROR(ROUND($D207*INDEX('🔖 배합비 참조'!$B$2:$CE$83,MATCH("딸기분말(스트로우베리에이드(분말))",'🔖 배합비 참조'!$A$2:$A$83,0),MATCH($C207,'🔖 배합비 참조'!$B$1:$CE$1,0))/100,0),""))),"")</f>
        <v>0</v>
      </c>
      <c r="AO207" s="39" t="n">
        <f aca="false">IFERROR(IF($C207="","",IF($D207="","",IFERROR(ROUND($D207*INDEX('🔖 배합비 참조'!$B$2:$CE$83,MATCH("마스카포네치즈",'🔖 배합비 참조'!$A$2:$A$83,0),MATCH($C207,'🔖 배합비 참조'!$B$1:$CE$1,0))/100,0),""))),"")</f>
        <v>0</v>
      </c>
      <c r="AP207" s="39" t="n">
        <f aca="false">IFERROR(IF($C207="","",IF($D207="","",IFERROR(ROUND($D207*INDEX('🔖 배합비 참조'!$B$2:$CE$83,MATCH("마카다미아분태(호주산)",'🔖 배합비 참조'!$A$2:$A$83,0),MATCH($C207,'🔖 배합비 참조'!$B$1:$CE$1,0))/100,0),""))),"")</f>
        <v>0</v>
      </c>
      <c r="AQ207" s="39" t="n">
        <f aca="false">IFERROR(IF($C207="","",IF($D207="","",IFERROR(ROUND($D207*INDEX('🔖 배합비 참조'!$B$2:$CE$83,MATCH("멥쌀(국내산)",'🔖 배합비 참조'!$A$2:$A$83,0),MATCH($C207,'🔖 배합비 참조'!$B$1:$CE$1,0))/100,0),""))),"")</f>
        <v>125</v>
      </c>
      <c r="AR207" s="39" t="n">
        <f aca="false">IFERROR(IF($C207="","",IF($D207="","",IFERROR(ROUND($D207*INDEX('🔖 배합비 참조'!$B$2:$CE$83,MATCH("모시잎(국내산)",'🔖 배합비 참조'!$A$2:$A$83,0),MATCH($C207,'🔖 배합비 참조'!$B$1:$CE$1,0))/100,0),""))),"")</f>
        <v>0</v>
      </c>
      <c r="AS207" s="39" t="n">
        <f aca="false">IFERROR(IF($C207="","",IF($D207="","",IFERROR(ROUND($D207*INDEX('🔖 배합비 참조'!$B$2:$CE$83,MATCH("물엿(저당물엿)",'🔖 배합비 참조'!$A$2:$A$83,0),MATCH($C207,'🔖 배합비 참조'!$B$1:$CE$1,0))/100,0),""))),"")</f>
        <v>0</v>
      </c>
      <c r="AT207" s="39" t="n">
        <f aca="false">IFERROR(IF($C207="","",IF($D207="","",IFERROR(ROUND($D207*INDEX('🔖 배합비 참조'!$B$2:$CE$83,MATCH("밤다이스",'🔖 배합비 참조'!$A$2:$A$83,0),MATCH($C207,'🔖 배합비 참조'!$B$1:$CE$1,0))/100,0),""))),"")</f>
        <v>0</v>
      </c>
      <c r="AU207" s="39" t="n">
        <f aca="false">IFERROR(IF($C207="","",IF($D207="","",IFERROR(ROUND($D207*INDEX('🔖 배합비 참조'!$B$2:$CE$83,MATCH("변성전분(타피오카전분)",'🔖 배합비 참조'!$A$2:$A$83,0),MATCH($C207,'🔖 배합비 참조'!$B$1:$CE$1,0))/100,0),""))),"")</f>
        <v>0</v>
      </c>
      <c r="AV207" s="39" t="n">
        <f aca="false">IFERROR(IF($C207="","",IF($D207="","",IFERROR(ROUND($D207*INDEX('🔖 배합비 참조'!$B$2:$CE$83,MATCH("복음땅콩분태",'🔖 배합비 참조'!$A$2:$A$83,0),MATCH($C207,'🔖 배합비 참조'!$B$1:$CE$1,0))/100,0),""))),"")</f>
        <v>0</v>
      </c>
      <c r="AW207" s="39" t="n">
        <f aca="false">IFERROR(IF($C207="","",IF($D207="","",IFERROR(ROUND($D207*INDEX('🔖 배합비 참조'!$B$2:$CE$83,MATCH("사양벌꿀(국내산)",'🔖 배합비 참조'!$A$2:$A$83,0),MATCH($C207,'🔖 배합비 참조'!$B$1:$CE$1,0))/100,0),""))),"")</f>
        <v>0</v>
      </c>
      <c r="AX207" s="39" t="n">
        <f aca="false">IFERROR(IF($C207="","",IF($D207="","",IFERROR(ROUND($D207*INDEX('🔖 배합비 참조'!$B$2:$CE$83,MATCH("생크림",'🔖 배합비 참조'!$A$2:$A$83,0),MATCH($C207,'🔖 배합비 참조'!$B$1:$CE$1,0))/100,0),""))),"")</f>
        <v>0</v>
      </c>
      <c r="AY207" s="39" t="n">
        <f aca="false">IFERROR(IF($C207="","",IF($D207="","",IFERROR(ROUND($D207*INDEX('🔖 배합비 참조'!$B$2:$CE$83,MATCH("서양호박(국내산,뉴질랜드산)",'🔖 배합비 참조'!$A$2:$A$83,0),MATCH($C207,'🔖 배합비 참조'!$B$1:$CE$1,0))/100,0),""))),"")</f>
        <v>0</v>
      </c>
      <c r="AZ207" s="39" t="n">
        <f aca="false">IFERROR(IF($C207="","",IF($D207="","",IFERROR(ROUND($D207*INDEX('🔖 배합비 참조'!$B$2:$CE$83,MATCH("설탕",'🔖 배합비 참조'!$A$2:$A$83,0),MATCH($C207,'🔖 배합비 참조'!$B$1:$CE$1,0))/100,0),""))),"")</f>
        <v>20</v>
      </c>
      <c r="BA207" s="39" t="n">
        <f aca="false">IFERROR(IF($C207="","",IF($D207="","",IFERROR(ROUND($D207*INDEX('🔖 배합비 참조'!$B$2:$CE$83,MATCH("스트로우베리 에이드 후레쉬",'🔖 배합비 참조'!$A$2:$A$83,0),MATCH($C207,'🔖 배합비 참조'!$B$1:$CE$1,0))/100,0),""))),"")</f>
        <v>0</v>
      </c>
      <c r="BB207" s="39" t="n">
        <f aca="false">IFERROR(IF($C207="","",IF($D207="","",IFERROR(ROUND($D207*INDEX('🔖 배합비 참조'!$B$2:$CE$83,MATCH("식물성기름혼합제제(분홍)",'🔖 배합비 참조'!$A$2:$A$83,0),MATCH($C207,'🔖 배합비 참조'!$B$1:$CE$1,0))/100,0),""))),"")</f>
        <v>0</v>
      </c>
      <c r="BC207" s="39" t="n">
        <f aca="false">IFERROR(IF($C207="","",IF($D207="","",IFERROR(ROUND($D207*INDEX('🔖 배합비 참조'!$B$2:$CE$83,MATCH("식물성기름혼합제제(초록)",'🔖 배합비 참조'!$A$2:$A$83,0),MATCH($C207,'🔖 배합비 참조'!$B$1:$CE$1,0))/100,0),""))),"")</f>
        <v>0</v>
      </c>
      <c r="BD207" s="39" t="n">
        <f aca="false">IFERROR(IF($C207="","",IF($D207="","",IFERROR(ROUND($D207*INDEX('🔖 배합비 참조'!$B$2:$CE$83,MATCH("식물성기름혼합제제(황색)",'🔖 배합비 참조'!$A$2:$A$83,0),MATCH($C207,'🔖 배합비 참조'!$B$1:$CE$1,0))/100,0),""))),"")</f>
        <v>0</v>
      </c>
      <c r="BE207" s="39" t="n">
        <f aca="false">IFERROR(IF($C207="","",IF($D207="","",IFERROR(ROUND($D207*INDEX('🔖 배합비 참조'!$B$2:$CE$83,MATCH("쑥가루(국내산)",'🔖 배합비 참조'!$A$2:$A$83,0),MATCH($C207,'🔖 배합비 참조'!$B$1:$CE$1,0))/100,0),""))),"")</f>
        <v>0</v>
      </c>
      <c r="BF207" s="39" t="n">
        <f aca="false">IFERROR(IF($C207="","",IF($D207="","",IFERROR(ROUND($D207*INDEX('🔖 배합비 참조'!$B$2:$CE$83,MATCH("아몬드슬라이스",'🔖 배합비 참조'!$A$2:$A$83,0),MATCH($C207,'🔖 배합비 참조'!$B$1:$CE$1,0))/100,0),""))),"")</f>
        <v>0</v>
      </c>
      <c r="BG207" s="39" t="n">
        <f aca="false">IFERROR(IF($C207="","",IF($D207="","",IFERROR(ROUND($D207*INDEX('🔖 배합비 참조'!$B$2:$CE$83,MATCH("알룰로오스(국내산)",'🔖 배합비 참조'!$A$2:$A$83,0),MATCH($C207,'🔖 배합비 참조'!$B$1:$CE$1,0))/100,0),""))),"")</f>
        <v>0</v>
      </c>
      <c r="BH207" s="39" t="n">
        <f aca="false">IFERROR(IF($C207="","",IF($D207="","",IFERROR(ROUND($D207*INDEX('🔖 배합비 참조'!$B$2:$CE$83,MATCH("연유",'🔖 배합비 참조'!$A$2:$A$83,0),MATCH($C207,'🔖 배합비 참조'!$B$1:$CE$1,0))/100,0),""))),"")</f>
        <v>0</v>
      </c>
      <c r="BI207" s="39" t="n">
        <f aca="false">IFERROR(IF($C207="","",IF($D207="","",IFERROR(ROUND($D207*INDEX('🔖 배합비 참조'!$B$2:$CE$83,MATCH("옥수수전분",'🔖 배합비 참조'!$A$2:$A$83,0),MATCH($C207,'🔖 배합비 참조'!$B$1:$CE$1,0))/100,0),""))),"")</f>
        <v>0</v>
      </c>
      <c r="BJ207" s="39" t="n">
        <f aca="false">IFERROR(IF($C207="","",IF($D207="","",IFERROR(ROUND($D207*INDEX('🔖 배합비 참조'!$B$2:$CE$83,MATCH("완두배기",'🔖 배합비 참조'!$A$2:$A$83,0),MATCH($C207,'🔖 배합비 참조'!$B$1:$CE$1,0))/100,0),""))),"")</f>
        <v>0</v>
      </c>
      <c r="BK207" s="39" t="n">
        <f aca="false">IFERROR(IF($C207="","",IF($D207="","",IFERROR(ROUND($D207*INDEX('🔖 배합비 참조'!$B$2:$CE$83,MATCH("우유(국내산)",'🔖 배합비 참조'!$A$2:$A$83,0),MATCH($C207,'🔖 배합비 참조'!$B$1:$CE$1,0))/100,0),""))),"")</f>
        <v>16</v>
      </c>
      <c r="BL207" s="39" t="n">
        <f aca="false">IFERROR(IF($C207="","",IF($D207="","",IFERROR(ROUND($D207*INDEX('🔖 배합비 참조'!$B$2:$CE$83,MATCH("자색고구마가루(중국산)",'🔖 배합비 참조'!$A$2:$A$83,0),MATCH($C207,'🔖 배합비 참조'!$B$1:$CE$1,0))/100,0),""))),"")</f>
        <v>0</v>
      </c>
      <c r="BM207" s="39" t="n">
        <f aca="false">IFERROR(IF($C207="","",IF($D207="","",IFERROR(ROUND($D207*INDEX('🔖 배합비 참조'!$B$2:$CE$83,MATCH("자연치즈(체다치즈)",'🔖 배합비 참조'!$A$2:$A$83,0),MATCH($C207,'🔖 배합비 참조'!$B$1:$CE$1,0))/100,0),""))),"")</f>
        <v>0</v>
      </c>
      <c r="BN207" s="39" t="n">
        <f aca="false">IFERROR(IF($C207="","",IF($D207="","",IFERROR(ROUND($D207*INDEX('🔖 배합비 참조'!$B$2:$CE$83,MATCH("정제수",'🔖 배합비 참조'!$A$2:$A$83,0),MATCH($C207,'🔖 배합비 참조'!$B$1:$CE$1,0))/100,0),""))),"")</f>
        <v>16</v>
      </c>
      <c r="BO207" s="39" t="n">
        <f aca="false">IFERROR(IF($C207="","",IF($D207="","",IFERROR(ROUND($D207*INDEX('🔖 배합비 참조'!$B$2:$CE$83,MATCH("젤라틴",'🔖 배합비 참조'!$A$2:$A$83,0),MATCH($C207,'🔖 배합비 참조'!$B$1:$CE$1,0))/100,0),""))),"")</f>
        <v>0</v>
      </c>
      <c r="BP207" s="39" t="n">
        <f aca="false">IFERROR(IF($C207="","",IF($D207="","",IFERROR(ROUND($D207*INDEX('🔖 배합비 참조'!$B$2:$CE$83,MATCH("조림류(백옥앙금)",'🔖 배합비 참조'!$A$2:$A$83,0),MATCH($C207,'🔖 배합비 참조'!$B$1:$CE$1,0))/100,0),""))),"")</f>
        <v>0</v>
      </c>
      <c r="BQ207" s="39" t="n">
        <f aca="false">IFERROR(IF($C207="","",IF($D207="","",IFERROR(ROUND($D207*INDEX('🔖 배합비 참조'!$B$2:$CE$83,MATCH("조림류(통팥앙금)",'🔖 배합비 참조'!$A$2:$A$83,0),MATCH($C207,'🔖 배합비 참조'!$B$1:$CE$1,0))/100,0),""))),"")</f>
        <v>0</v>
      </c>
      <c r="BR207" s="39" t="n">
        <f aca="false">IFERROR(IF($C207="","",IF($D207="","",IFERROR(ROUND($D207*INDEX('🔖 배합비 참조'!$B$2:$CE$83,MATCH("준초콜릿(외국산)",'🔖 배합비 참조'!$A$2:$A$83,0),MATCH($C207,'🔖 배합비 참조'!$B$1:$CE$1,0))/100,0),""))),"")</f>
        <v>0</v>
      </c>
      <c r="BS207" s="39" t="n">
        <f aca="false">IFERROR(IF($C207="","",IF($D207="","",IFERROR(ROUND($D207*INDEX('🔖 배합비 참조'!$B$2:$CE$83,MATCH("중력분",'🔖 배합비 참조'!$A$2:$A$83,0),MATCH($C207,'🔖 배합비 참조'!$B$1:$CE$1,0))/100,0),""))),"")</f>
        <v>0</v>
      </c>
      <c r="BT207" s="39" t="n">
        <f aca="false">IFERROR(IF($C207="","",IF($D207="","",IFERROR(ROUND($D207*INDEX('🔖 배합비 참조'!$B$2:$CE$83,MATCH("참깨(인도산,나이지리아산,탄자니아산,미얀마산)",'🔖 배합비 참조'!$A$2:$A$83,0),MATCH($C207,'🔖 배합비 참조'!$B$1:$CE$1,0))/100,0),""))),"")</f>
        <v>0</v>
      </c>
      <c r="BU207" s="39" t="n">
        <f aca="false">IFERROR(IF($C207="","",IF($D207="","",IFERROR(ROUND($D207*INDEX('🔖 배합비 참조'!$B$2:$CE$83,MATCH("찹쌀(국내산)",'🔖 배합비 참조'!$A$2:$A$83,0),MATCH($C207,'🔖 배합비 참조'!$B$1:$CE$1,0))/100,0),""))),"")</f>
        <v>0</v>
      </c>
      <c r="BV207" s="39" t="n">
        <f aca="false">IFERROR(IF($C207="","",IF($D207="","",IFERROR(ROUND($D207*INDEX('🔖 배합비 참조'!$B$2:$CE$83,MATCH("천일염",'🔖 배합비 참조'!$A$2:$A$83,0),MATCH($C207,'🔖 배합비 참조'!$B$1:$CE$1,0))/100,0),""))),"")</f>
        <v>2</v>
      </c>
      <c r="BW207" s="39" t="n">
        <f aca="false">IFERROR(IF($C207="","",IF($D207="","",IFERROR(ROUND($D207*INDEX('🔖 배합비 참조'!$B$2:$CE$83,MATCH("치즈 [크림치즈]",'🔖 배합비 참조'!$A$2:$A$83,0),MATCH($C207,'🔖 배합비 참조'!$B$1:$CE$1,0))/100,0),""))),"")</f>
        <v>0</v>
      </c>
      <c r="BX207" s="39" t="n">
        <f aca="false">IFERROR(IF($C207="","",IF($D207="","",IFERROR(ROUND($D207*INDEX('🔖 배합비 참조'!$B$2:$CE$83,MATCH("코코아가공품류(코코아분말)",'🔖 배합비 참조'!$A$2:$A$83,0),MATCH($C207,'🔖 배합비 참조'!$B$1:$CE$1,0))/100,0),""))),"")</f>
        <v>0</v>
      </c>
      <c r="BY207" s="39" t="n">
        <f aca="false">IFERROR(IF($C207="","",IF($D207="","",IFERROR(ROUND($D207*INDEX('🔖 배합비 참조'!$B$2:$CE$83,MATCH("콩기름(대두유)",'🔖 배합비 참조'!$A$2:$A$83,0),MATCH($C207,'🔖 배합비 참조'!$B$1:$CE$1,0))/100,0),""))),"")</f>
        <v>0</v>
      </c>
      <c r="BZ207" s="39" t="n">
        <f aca="false">IFERROR(IF($C207="","",IF($D207="","",IFERROR(ROUND($D207*INDEX('🔖 배합비 참조'!$B$2:$CE$83,MATCH("해바라기씨앗",'🔖 배합비 참조'!$A$2:$A$83,0),MATCH($C207,'🔖 배합비 참조'!$B$1:$CE$1,0))/100,0),""))),"")</f>
        <v>0</v>
      </c>
      <c r="CA207" s="39" t="n">
        <f aca="false">IFERROR(IF($C207="","",IF($D207="","",IFERROR(ROUND($D207*INDEX('🔖 배합비 참조'!$B$2:$CE$83,MATCH("현미(국내산)",'🔖 배합비 참조'!$A$2:$A$83,0),MATCH($C207,'🔖 배합비 참조'!$B$1:$CE$1,0))/100,0),""))),"")</f>
        <v>0</v>
      </c>
      <c r="CB207" s="39" t="n">
        <f aca="false">IFERROR(IF($C207="","",IF($D207="","",IFERROR(ROUND($D207*INDEX('🔖 배합비 참조'!$B$2:$CE$83,MATCH("현미멥쌀(국내산)",'🔖 배합비 참조'!$A$2:$A$83,0),MATCH($C207,'🔖 배합비 참조'!$B$1:$CE$1,0))/100,0),""))),"")</f>
        <v>0</v>
      </c>
      <c r="CC207" s="39" t="n">
        <f aca="false">IFERROR(IF($C207="","",IF($D207="","",IFERROR(ROUND($D207*INDEX('🔖 배합비 참조'!$B$2:$CE$83,MATCH("호두분태(미국산)",'🔖 배합비 참조'!$A$2:$A$83,0),MATCH($C207,'🔖 배합비 참조'!$B$1:$CE$1,0))/100,0),""))),"")</f>
        <v>0</v>
      </c>
      <c r="CD207" s="39" t="n">
        <f aca="false">IFERROR(IF($C207="","",IF($D207="","",IFERROR(ROUND($D207*INDEX('🔖 배합비 참조'!$B$2:$CE$83,MATCH("호박씨앗(외국산)",'🔖 배합비 참조'!$A$2:$A$83,0),MATCH($C207,'🔖 배합비 참조'!$B$1:$CE$1,0))/100,0),""))),"")</f>
        <v>0</v>
      </c>
      <c r="CE207" s="39" t="n">
        <f aca="false">IFERROR(IF($C207="","",IF($D207="","",IFERROR(ROUND($D207*INDEX('🔖 배합비 참조'!$B$2:$CE$83,MATCH("혼합제제(떡용에스텔)",'🔖 배합비 참조'!$A$2:$A$83,0),MATCH($C207,'🔖 배합비 참조'!$B$1:$CE$1,0))/100,0),""))),"")</f>
        <v>0</v>
      </c>
      <c r="CF207" s="39" t="n">
        <f aca="false">IFERROR(IF($C207="","",IF($D207="","",IFERROR(ROUND($D207*INDEX('🔖 배합비 참조'!$B$2:$CE$83,MATCH("혼합제제(스테비아)",'🔖 배합비 참조'!$A$2:$A$83,0),MATCH($C207,'🔖 배합비 참조'!$B$1:$CE$1,0))/100,0),""))),"")</f>
        <v>0</v>
      </c>
      <c r="CG207" s="39" t="n">
        <f aca="false">IFERROR(IF($C207="","",IF($D207="","",IFERROR(ROUND($D207*INDEX('🔖 배합비 참조'!$B$2:$CE$83,MATCH("화이트초콜릿",'🔖 배합비 참조'!$A$2:$A$83,0),MATCH($C207,'🔖 배합비 참조'!$B$1:$CE$1,0))/100,0),""))),"")</f>
        <v>0</v>
      </c>
      <c r="CH207" s="39" t="n">
        <f aca="false">IFERROR(IF($C207="","",IF($D207="","",IFERROR(ROUND($D207*INDEX('🔖 배합비 참조'!$B$2:$CE$83,MATCH("흑미찹쌀(국내산)",'🔖 배합비 참조'!$A$2:$A$83,0),MATCH($C207,'🔖 배합비 참조'!$B$1:$CE$1,0))/100,0),""))),"")</f>
        <v>0</v>
      </c>
      <c r="CI207" s="39" t="n">
        <f aca="false">IFERROR(IF($C207="","",IF($D207="","",IFERROR(ROUND($D207*INDEX('🔖 배합비 참조'!$B$2:$CE$83,MATCH("찰옥수수전분(미국산)",'🔖 배합비 참조'!$A$2:$A$83,0),MATCH($C207,'🔖 배합비 참조'!$B$1:$CE$1,0))/100,0),""))),"")</f>
        <v>0</v>
      </c>
      <c r="CJ207" s="40"/>
      <c r="CL207" s="1" t="s">
        <v>247</v>
      </c>
    </row>
    <row r="208" customFormat="false" ht="18" hidden="false" customHeight="true" outlineLevel="0" collapsed="false">
      <c r="A208" s="41" t="n">
        <v>204</v>
      </c>
      <c r="B208" s="36" t="n">
        <v>46058</v>
      </c>
      <c r="C208" s="37" t="s">
        <v>191</v>
      </c>
      <c r="D208" s="38" t="n">
        <v>990</v>
      </c>
      <c r="E208" s="17"/>
      <c r="F208" s="17"/>
      <c r="G208" s="42" t="n">
        <f aca="false">IFERROR(IF($C208="","",IF($D208="","",IFERROR(ROUND($D208*INDEX('🔖 배합비 참조'!$B$2:$CE$83,MATCH("간장",'🔖 배합비 참조'!$A$2:$A$83,0),MATCH($C208,'🔖 배합비 참조'!$B$1:$CE$1,0))/100,0),""))),"")</f>
        <v>0</v>
      </c>
      <c r="H208" s="42" t="n">
        <f aca="false">IFERROR(IF($C208="","",IF($D208="","",IFERROR(ROUND($D208*INDEX('🔖 배합비 참조'!$B$2:$CE$83,MATCH("강낭콩((울타리콩))",'🔖 배합비 참조'!$A$2:$A$83,0),MATCH($C208,'🔖 배합비 참조'!$B$1:$CE$1,0))/100,0),""))),"")</f>
        <v>0</v>
      </c>
      <c r="I208" s="42" t="n">
        <f aca="false">IFERROR(IF($C208="","",IF($D208="","",IFERROR(ROUND($D208*INDEX('🔖 배합비 참조'!$B$2:$CE$83,MATCH("건조딸기다이스(외국산)",'🔖 배합비 참조'!$A$2:$A$83,0),MATCH($C208,'🔖 배합비 참조'!$B$1:$CE$1,0))/100,0),""))),"")</f>
        <v>0</v>
      </c>
      <c r="J208" s="42" t="n">
        <f aca="false">IFERROR(IF($C208="","",IF($D208="","",IFERROR(ROUND($D208*INDEX('🔖 배합비 참조'!$B$2:$CE$83,MATCH("건포도",'🔖 배합비 참조'!$A$2:$A$83,0),MATCH($C208,'🔖 배합비 참조'!$B$1:$CE$1,0))/100,0),""))),"")</f>
        <v>0</v>
      </c>
      <c r="K208" s="42" t="n">
        <f aca="false">IFERROR(IF($C208="","",IF($D208="","",IFERROR(ROUND($D208*INDEX('🔖 배합비 참조'!$B$2:$CE$83,MATCH("건호박채(중국산)",'🔖 배합비 참조'!$A$2:$A$83,0),MATCH($C208,'🔖 배합비 참조'!$B$1:$CE$1,0))/100,0),""))),"")</f>
        <v>0</v>
      </c>
      <c r="L208" s="42" t="n">
        <f aca="false">IFERROR(IF($C208="","",IF($D208="","",IFERROR(ROUND($D208*INDEX('🔖 배합비 참조'!$B$2:$CE$83,MATCH("검정깨(흑임자)",'🔖 배합비 참조'!$A$2:$A$83,0),MATCH($C208,'🔖 배합비 참조'!$B$1:$CE$1,0))/100,0),""))),"")</f>
        <v>0</v>
      </c>
      <c r="M208" s="42" t="n">
        <f aca="false">IFERROR(IF($C208="","",IF($D208="","",IFERROR(ROUND($D208*INDEX('🔖 배합비 참조'!$B$2:$CE$83,MATCH("검정콩",'🔖 배합비 참조'!$A$2:$A$83,0),MATCH($C208,'🔖 배합비 참조'!$B$1:$CE$1,0))/100,0),""))),"")</f>
        <v>0</v>
      </c>
      <c r="N208" s="42" t="n">
        <f aca="false">IFERROR(IF($C208="","",IF($D208="","",IFERROR(ROUND($D208*INDEX('🔖 배합비 참조'!$B$2:$CE$83,MATCH("계피가루",'🔖 배합비 참조'!$A$2:$A$83,0),MATCH($C208,'🔖 배합비 참조'!$B$1:$CE$1,0))/100,0),""))),"")</f>
        <v>0</v>
      </c>
      <c r="O208" s="42" t="n">
        <f aca="false">IFERROR(IF($C208="","",IF($D208="","",IFERROR(ROUND($D208*INDEX('🔖 배합비 참조'!$B$2:$CE$83,MATCH("고구마가루",'🔖 배합비 참조'!$A$2:$A$83,0),MATCH($C208,'🔖 배합비 참조'!$B$1:$CE$1,0))/100,0),""))),"")</f>
        <v>0</v>
      </c>
      <c r="P208" s="42" t="n">
        <f aca="false">IFERROR(IF($C208="","",IF($D208="","",IFERROR(ROUND($D208*INDEX('🔖 배합비 참조'!$B$2:$CE$83,MATCH("고구마무스",'🔖 배합비 참조'!$A$2:$A$83,0),MATCH($C208,'🔖 배합비 참조'!$B$1:$CE$1,0))/100,0),""))),"")</f>
        <v>0</v>
      </c>
      <c r="Q208" s="42" t="n">
        <f aca="false">IFERROR(IF($C208="","",IF($D208="","",IFERROR(ROUND($D208*INDEX('🔖 배합비 참조'!$B$2:$CE$83,MATCH("고려엉겅퀴((곤드레)국내산)",'🔖 배합비 참조'!$A$2:$A$83,0),MATCH($C208,'🔖 배합비 참조'!$B$1:$CE$1,0))/100,0),""))),"")</f>
        <v>0</v>
      </c>
      <c r="R208" s="42" t="n">
        <f aca="false">IFERROR(IF($C208="","",IF($D208="","",IFERROR(ROUND($D208*INDEX('🔖 배합비 참조'!$B$2:$CE$83,MATCH("기타가공품(복분자가루)",'🔖 배합비 참조'!$A$2:$A$83,0),MATCH($C208,'🔖 배합비 참조'!$B$1:$CE$1,0))/100,0),""))),"")</f>
        <v>0</v>
      </c>
      <c r="S208" s="42" t="n">
        <f aca="false">IFERROR(IF($C208="","",IF($D208="","",IFERROR(ROUND($D208*INDEX('🔖 배합비 참조'!$B$2:$CE$83,MATCH("기타가공품(슈퍼소프트엠)",'🔖 배합비 참조'!$A$2:$A$83,0),MATCH($C208,'🔖 배합비 참조'!$B$1:$CE$1,0))/100,0),""))),"")</f>
        <v>0</v>
      </c>
      <c r="T208" s="42" t="n">
        <f aca="false">IFERROR(IF($C208="","",IF($D208="","",IFERROR(ROUND($D208*INDEX('🔖 배합비 참조'!$B$2:$CE$83,MATCH("기타가공품(파인소프트 E-티)",'🔖 배합비 참조'!$A$2:$A$83,0),MATCH($C208,'🔖 배합비 참조'!$B$1:$CE$1,0))/100,0),""))),"")</f>
        <v>0</v>
      </c>
      <c r="U208" s="42" t="n">
        <f aca="false">IFERROR(IF($C208="","",IF($D208="","",IFERROR(ROUND($D208*INDEX('🔖 배합비 참조'!$B$2:$CE$83,MATCH("기타가공품(프리미엄카스테라가루)",'🔖 배합비 참조'!$A$2:$A$83,0),MATCH($C208,'🔖 배합비 참조'!$B$1:$CE$1,0))/100,0),""))),"")</f>
        <v>0</v>
      </c>
      <c r="V208" s="42" t="n">
        <f aca="false">IFERROR(IF($C208="","",IF($D208="","",IFERROR(ROUND($D208*INDEX('🔖 배합비 참조'!$B$2:$CE$83,MATCH("기타가공품(흑임자가루)",'🔖 배합비 참조'!$A$2:$A$83,0),MATCH($C208,'🔖 배합비 참조'!$B$1:$CE$1,0))/100,0),""))),"")</f>
        <v>0</v>
      </c>
      <c r="W208" s="42" t="n">
        <f aca="false">IFERROR(IF($C208="","",IF($D208="","",IFERROR(ROUND($D208*INDEX('🔖 배합비 참조'!$B$2:$CE$83,MATCH("기타설탕(흑설탕)",'🔖 배합비 참조'!$A$2:$A$83,0),MATCH($C208,'🔖 배합비 참조'!$B$1:$CE$1,0))/100,0),""))),"")</f>
        <v>0</v>
      </c>
      <c r="X208" s="42" t="n">
        <f aca="false">IFERROR(IF($C208="","",IF($D208="","",IFERROR(ROUND($D208*INDEX('🔖 배합비 참조'!$B$2:$CE$83,MATCH("냉동쑥(국내산)",'🔖 배합비 참조'!$A$2:$A$83,0),MATCH($C208,'🔖 배합비 참조'!$B$1:$CE$1,0))/100,0),""))),"")</f>
        <v>0</v>
      </c>
      <c r="Y208" s="42" t="n">
        <f aca="false">IFERROR(IF($C208="","",IF($D208="","",IFERROR(ROUND($D208*INDEX('🔖 배합비 참조'!$B$2:$CE$83,MATCH("냉동증숙고구마(중국산)",'🔖 배합비 참조'!$A$2:$A$83,0),MATCH($C208,'🔖 배합비 참조'!$B$1:$CE$1,0))/100,0),""))),"")</f>
        <v>0</v>
      </c>
      <c r="Z208" s="42" t="n">
        <f aca="false">IFERROR(IF($C208="","",IF($D208="","",IFERROR(ROUND($D208*INDEX('🔖 배합비 참조'!$B$2:$CE$83,MATCH("녹차가루",'🔖 배합비 참조'!$A$2:$A$83,0),MATCH($C208,'🔖 배합비 참조'!$B$1:$CE$1,0))/100,0),""))),"")</f>
        <v>0</v>
      </c>
      <c r="AA208" s="42" t="n">
        <f aca="false">IFERROR(IF($C208="","",IF($D208="","",IFERROR(ROUND($D208*INDEX('🔖 배합비 참조'!$B$2:$CE$83,MATCH("다크초콜릿 컴파운드칩",'🔖 배합비 참조'!$A$2:$A$83,0),MATCH($C208,'🔖 배합비 참조'!$B$1:$CE$1,0))/100,0),""))),"")</f>
        <v>0</v>
      </c>
      <c r="AB208" s="42" t="n">
        <f aca="false">IFERROR(IF($C208="","",IF($D208="","",IFERROR(ROUND($D208*INDEX('🔖 배합비 참조'!$B$2:$CE$83,MATCH("단호박분말(중국산)",'🔖 배합비 참조'!$A$2:$A$83,0),MATCH($C208,'🔖 배합비 참조'!$B$1:$CE$1,0))/100,0),""))),"")</f>
        <v>0</v>
      </c>
      <c r="AC208" s="42" t="n">
        <f aca="false">IFERROR(IF($C208="","",IF($D208="","",IFERROR(ROUND($D208*INDEX('🔖 배합비 참조'!$B$2:$CE$83,MATCH("당류가공품(단호박농축액)",'🔖 배합비 참조'!$A$2:$A$83,0),MATCH($C208,'🔖 배합비 참조'!$B$1:$CE$1,0))/100,0),""))),"")</f>
        <v>0</v>
      </c>
      <c r="AD208" s="42" t="n">
        <f aca="false">IFERROR(IF($C208="","",IF($D208="","",IFERROR(ROUND($D208*INDEX('🔖 배합비 참조'!$B$2:$CE$83,MATCH("당류가공품(알룰로스,에리스리톨,스테비올배당체혼합)",'🔖 배합비 참조'!$A$2:$A$83,0),MATCH($C208,'🔖 배합비 참조'!$B$1:$CE$1,0))/100,0),""))),"")</f>
        <v>0</v>
      </c>
      <c r="AE208" s="42" t="n">
        <f aca="false">IFERROR(IF($C208="","",IF($D208="","",IFERROR(ROUND($D208*INDEX('🔖 배합비 참조'!$B$2:$CE$83,MATCH("당류가공품(알룰로스제로파우더)",'🔖 배합비 참조'!$A$2:$A$83,0),MATCH($C208,'🔖 배합비 참조'!$B$1:$CE$1,0))/100,0),""))),"")</f>
        <v>0</v>
      </c>
      <c r="AF208" s="42" t="n">
        <f aca="false">IFERROR(IF($C208="","",IF($D208="","",IFERROR(ROUND($D208*INDEX('🔖 배합비 참조'!$B$2:$CE$83,MATCH("당절임(완두배기)",'🔖 배합비 참조'!$A$2:$A$83,0),MATCH($C208,'🔖 배합비 참조'!$B$1:$CE$1,0))/100,0),""))),"")</f>
        <v>0</v>
      </c>
      <c r="AG208" s="42" t="n">
        <f aca="false">IFERROR(IF($C208="","",IF($D208="","",IFERROR(ROUND($D208*INDEX('🔖 배합비 참조'!$B$2:$CE$83,MATCH("대추농축액",'🔖 배합비 참조'!$A$2:$A$83,0),MATCH($C208,'🔖 배합비 참조'!$B$1:$CE$1,0))/100,0),""))),"")</f>
        <v>0</v>
      </c>
      <c r="AH208" s="42" t="n">
        <f aca="false">IFERROR(IF($C208="","",IF($D208="","",IFERROR(ROUND($D208*INDEX('🔖 배합비 참조'!$B$2:$CE$83,MATCH("대추채(국내산)",'🔖 배합비 참조'!$A$2:$A$83,0),MATCH($C208,'🔖 배합비 참조'!$B$1:$CE$1,0))/100,0),""))),"")</f>
        <v>0</v>
      </c>
      <c r="AI208" s="42" t="n">
        <f aca="false">IFERROR(IF($C208="","",IF($D208="","",IFERROR(ROUND($D208*INDEX('🔖 배합비 참조'!$B$2:$CE$83,MATCH("동부(미얀마산)",'🔖 배합비 참조'!$A$2:$A$83,0),MATCH($C208,'🔖 배합비 참조'!$B$1:$CE$1,0))/100,0),""))),"")</f>
        <v>0</v>
      </c>
      <c r="AJ208" s="42" t="n">
        <f aca="false">IFERROR(IF($C208="","",IF($D208="","",IFERROR(ROUND($D208*INDEX('🔖 배합비 참조'!$B$2:$CE$83,MATCH("두류가공품(백옥앙금)",'🔖 배합비 참조'!$A$2:$A$83,0),MATCH($C208,'🔖 배합비 참조'!$B$1:$CE$1,0))/100,0),""))),"")</f>
        <v>0</v>
      </c>
      <c r="AK208" s="42" t="n">
        <f aca="false">IFERROR(IF($C208="","",IF($D208="","",IFERROR(ROUND($D208*INDEX('🔖 배합비 참조'!$B$2:$CE$83,MATCH("두류가공품(콩고물)",'🔖 배합비 참조'!$A$2:$A$83,0),MATCH($C208,'🔖 배합비 참조'!$B$1:$CE$1,0))/100,0),""))),"")</f>
        <v>0</v>
      </c>
      <c r="AL208" s="42" t="n">
        <f aca="false">IFERROR(IF($C208="","",IF($D208="","",IFERROR(ROUND($D208*INDEX('🔖 배합비 참조'!$B$2:$CE$83,MATCH("두류가공품(통팥고물)",'🔖 배합비 참조'!$A$2:$A$83,0),MATCH($C208,'🔖 배합비 참조'!$B$1:$CE$1,0))/100,0),""))),"")</f>
        <v>0</v>
      </c>
      <c r="AM208" s="42" t="n">
        <f aca="false">IFERROR(IF($C208="","",IF($D208="","",IFERROR(ROUND($D208*INDEX('🔖 배합비 참조'!$B$2:$CE$83,MATCH("딸기레진",'🔖 배합비 참조'!$A$2:$A$83,0),MATCH($C208,'🔖 배합비 참조'!$B$1:$CE$1,0))/100,0),""))),"")</f>
        <v>0</v>
      </c>
      <c r="AN208" s="42" t="n">
        <f aca="false">IFERROR(IF($C208="","",IF($D208="","",IFERROR(ROUND($D208*INDEX('🔖 배합비 참조'!$B$2:$CE$83,MATCH("딸기분말(스트로우베리에이드(분말))",'🔖 배합비 참조'!$A$2:$A$83,0),MATCH($C208,'🔖 배합비 참조'!$B$1:$CE$1,0))/100,0),""))),"")</f>
        <v>0</v>
      </c>
      <c r="AO208" s="42" t="n">
        <f aca="false">IFERROR(IF($C208="","",IF($D208="","",IFERROR(ROUND($D208*INDEX('🔖 배합비 참조'!$B$2:$CE$83,MATCH("마스카포네치즈",'🔖 배합비 참조'!$A$2:$A$83,0),MATCH($C208,'🔖 배합비 참조'!$B$1:$CE$1,0))/100,0),""))),"")</f>
        <v>0</v>
      </c>
      <c r="AP208" s="42" t="n">
        <f aca="false">IFERROR(IF($C208="","",IF($D208="","",IFERROR(ROUND($D208*INDEX('🔖 배합비 참조'!$B$2:$CE$83,MATCH("마카다미아분태(호주산)",'🔖 배합비 참조'!$A$2:$A$83,0),MATCH($C208,'🔖 배합비 참조'!$B$1:$CE$1,0))/100,0),""))),"")</f>
        <v>0</v>
      </c>
      <c r="AQ208" s="42" t="n">
        <f aca="false">IFERROR(IF($C208="","",IF($D208="","",IFERROR(ROUND($D208*INDEX('🔖 배합비 참조'!$B$2:$CE$83,MATCH("멥쌀(국내산)",'🔖 배합비 참조'!$A$2:$A$83,0),MATCH($C208,'🔖 배합비 참조'!$B$1:$CE$1,0))/100,0),""))),"")</f>
        <v>20</v>
      </c>
      <c r="AR208" s="42" t="n">
        <f aca="false">IFERROR(IF($C208="","",IF($D208="","",IFERROR(ROUND($D208*INDEX('🔖 배합비 참조'!$B$2:$CE$83,MATCH("모시잎(국내산)",'🔖 배합비 참조'!$A$2:$A$83,0),MATCH($C208,'🔖 배합비 참조'!$B$1:$CE$1,0))/100,0),""))),"")</f>
        <v>0</v>
      </c>
      <c r="AS208" s="42" t="n">
        <f aca="false">IFERROR(IF($C208="","",IF($D208="","",IFERROR(ROUND($D208*INDEX('🔖 배합비 참조'!$B$2:$CE$83,MATCH("물엿(저당물엿)",'🔖 배합비 참조'!$A$2:$A$83,0),MATCH($C208,'🔖 배합비 참조'!$B$1:$CE$1,0))/100,0),""))),"")</f>
        <v>0</v>
      </c>
      <c r="AT208" s="42" t="n">
        <f aca="false">IFERROR(IF($C208="","",IF($D208="","",IFERROR(ROUND($D208*INDEX('🔖 배합비 참조'!$B$2:$CE$83,MATCH("밤다이스",'🔖 배합비 참조'!$A$2:$A$83,0),MATCH($C208,'🔖 배합비 참조'!$B$1:$CE$1,0))/100,0),""))),"")</f>
        <v>0</v>
      </c>
      <c r="AU208" s="42" t="n">
        <f aca="false">IFERROR(IF($C208="","",IF($D208="","",IFERROR(ROUND($D208*INDEX('🔖 배합비 참조'!$B$2:$CE$83,MATCH("변성전분(타피오카전분)",'🔖 배합비 참조'!$A$2:$A$83,0),MATCH($C208,'🔖 배합비 참조'!$B$1:$CE$1,0))/100,0),""))),"")</f>
        <v>0</v>
      </c>
      <c r="AV208" s="42" t="n">
        <f aca="false">IFERROR(IF($C208="","",IF($D208="","",IFERROR(ROUND($D208*INDEX('🔖 배합비 참조'!$B$2:$CE$83,MATCH("복음땅콩분태",'🔖 배합비 참조'!$A$2:$A$83,0),MATCH($C208,'🔖 배합비 참조'!$B$1:$CE$1,0))/100,0),""))),"")</f>
        <v>0</v>
      </c>
      <c r="AW208" s="42" t="n">
        <f aca="false">IFERROR(IF($C208="","",IF($D208="","",IFERROR(ROUND($D208*INDEX('🔖 배합비 참조'!$B$2:$CE$83,MATCH("사양벌꿀(국내산)",'🔖 배합비 참조'!$A$2:$A$83,0),MATCH($C208,'🔖 배합비 참조'!$B$1:$CE$1,0))/100,0),""))),"")</f>
        <v>0</v>
      </c>
      <c r="AX208" s="42" t="n">
        <f aca="false">IFERROR(IF($C208="","",IF($D208="","",IFERROR(ROUND($D208*INDEX('🔖 배합비 참조'!$B$2:$CE$83,MATCH("생크림",'🔖 배합비 참조'!$A$2:$A$83,0),MATCH($C208,'🔖 배합비 참조'!$B$1:$CE$1,0))/100,0),""))),"")</f>
        <v>0</v>
      </c>
      <c r="AY208" s="42" t="n">
        <f aca="false">IFERROR(IF($C208="","",IF($D208="","",IFERROR(ROUND($D208*INDEX('🔖 배합비 참조'!$B$2:$CE$83,MATCH("서양호박(국내산,뉴질랜드산)",'🔖 배합비 참조'!$A$2:$A$83,0),MATCH($C208,'🔖 배합비 참조'!$B$1:$CE$1,0))/100,0),""))),"")</f>
        <v>0</v>
      </c>
      <c r="AZ208" s="42" t="n">
        <f aca="false">IFERROR(IF($C208="","",IF($D208="","",IFERROR(ROUND($D208*INDEX('🔖 배합비 참조'!$B$2:$CE$83,MATCH("설탕",'🔖 배합비 참조'!$A$2:$A$83,0),MATCH($C208,'🔖 배합비 참조'!$B$1:$CE$1,0))/100,0),""))),"")</f>
        <v>188</v>
      </c>
      <c r="BA208" s="42" t="n">
        <f aca="false">IFERROR(IF($C208="","",IF($D208="","",IFERROR(ROUND($D208*INDEX('🔖 배합비 참조'!$B$2:$CE$83,MATCH("스트로우베리 에이드 후레쉬",'🔖 배합비 참조'!$A$2:$A$83,0),MATCH($C208,'🔖 배합비 참조'!$B$1:$CE$1,0))/100,0),""))),"")</f>
        <v>0</v>
      </c>
      <c r="BB208" s="42" t="n">
        <f aca="false">IFERROR(IF($C208="","",IF($D208="","",IFERROR(ROUND($D208*INDEX('🔖 배합비 참조'!$B$2:$CE$83,MATCH("식물성기름혼합제제(분홍)",'🔖 배합비 참조'!$A$2:$A$83,0),MATCH($C208,'🔖 배합비 참조'!$B$1:$CE$1,0))/100,0),""))),"")</f>
        <v>0</v>
      </c>
      <c r="BC208" s="42" t="n">
        <f aca="false">IFERROR(IF($C208="","",IF($D208="","",IFERROR(ROUND($D208*INDEX('🔖 배합비 참조'!$B$2:$CE$83,MATCH("식물성기름혼합제제(초록)",'🔖 배합비 참조'!$A$2:$A$83,0),MATCH($C208,'🔖 배합비 참조'!$B$1:$CE$1,0))/100,0),""))),"")</f>
        <v>0</v>
      </c>
      <c r="BD208" s="42" t="n">
        <f aca="false">IFERROR(IF($C208="","",IF($D208="","",IFERROR(ROUND($D208*INDEX('🔖 배합비 참조'!$B$2:$CE$83,MATCH("식물성기름혼합제제(황색)",'🔖 배합비 참조'!$A$2:$A$83,0),MATCH($C208,'🔖 배합비 참조'!$B$1:$CE$1,0))/100,0),""))),"")</f>
        <v>0</v>
      </c>
      <c r="BE208" s="42" t="n">
        <f aca="false">IFERROR(IF($C208="","",IF($D208="","",IFERROR(ROUND($D208*INDEX('🔖 배합비 참조'!$B$2:$CE$83,MATCH("쑥가루(국내산)",'🔖 배합비 참조'!$A$2:$A$83,0),MATCH($C208,'🔖 배합비 참조'!$B$1:$CE$1,0))/100,0),""))),"")</f>
        <v>0</v>
      </c>
      <c r="BF208" s="42" t="n">
        <f aca="false">IFERROR(IF($C208="","",IF($D208="","",IFERROR(ROUND($D208*INDEX('🔖 배합비 참조'!$B$2:$CE$83,MATCH("아몬드슬라이스",'🔖 배합비 참조'!$A$2:$A$83,0),MATCH($C208,'🔖 배합비 참조'!$B$1:$CE$1,0))/100,0),""))),"")</f>
        <v>0</v>
      </c>
      <c r="BG208" s="42" t="n">
        <f aca="false">IFERROR(IF($C208="","",IF($D208="","",IFERROR(ROUND($D208*INDEX('🔖 배합비 참조'!$B$2:$CE$83,MATCH("알룰로오스(국내산)",'🔖 배합비 참조'!$A$2:$A$83,0),MATCH($C208,'🔖 배합비 참조'!$B$1:$CE$1,0))/100,0),""))),"")</f>
        <v>0</v>
      </c>
      <c r="BH208" s="42" t="n">
        <f aca="false">IFERROR(IF($C208="","",IF($D208="","",IFERROR(ROUND($D208*INDEX('🔖 배합비 참조'!$B$2:$CE$83,MATCH("연유",'🔖 배합비 참조'!$A$2:$A$83,0),MATCH($C208,'🔖 배합비 참조'!$B$1:$CE$1,0))/100,0),""))),"")</f>
        <v>0</v>
      </c>
      <c r="BI208" s="42" t="n">
        <f aca="false">IFERROR(IF($C208="","",IF($D208="","",IFERROR(ROUND($D208*INDEX('🔖 배합비 참조'!$B$2:$CE$83,MATCH("옥수수전분",'🔖 배합비 참조'!$A$2:$A$83,0),MATCH($C208,'🔖 배합비 참조'!$B$1:$CE$1,0))/100,0),""))),"")</f>
        <v>0</v>
      </c>
      <c r="BJ208" s="42" t="n">
        <f aca="false">IFERROR(IF($C208="","",IF($D208="","",IFERROR(ROUND($D208*INDEX('🔖 배합비 참조'!$B$2:$CE$83,MATCH("완두배기",'🔖 배합비 참조'!$A$2:$A$83,0),MATCH($C208,'🔖 배합비 참조'!$B$1:$CE$1,0))/100,0),""))),"")</f>
        <v>0</v>
      </c>
      <c r="BK208" s="42" t="n">
        <f aca="false">IFERROR(IF($C208="","",IF($D208="","",IFERROR(ROUND($D208*INDEX('🔖 배합비 참조'!$B$2:$CE$83,MATCH("우유(국내산)",'🔖 배합비 참조'!$A$2:$A$83,0),MATCH($C208,'🔖 배합비 참조'!$B$1:$CE$1,0))/100,0),""))),"")</f>
        <v>0</v>
      </c>
      <c r="BL208" s="42" t="n">
        <f aca="false">IFERROR(IF($C208="","",IF($D208="","",IFERROR(ROUND($D208*INDEX('🔖 배합비 참조'!$B$2:$CE$83,MATCH("자색고구마가루(중국산)",'🔖 배합비 참조'!$A$2:$A$83,0),MATCH($C208,'🔖 배합비 참조'!$B$1:$CE$1,0))/100,0),""))),"")</f>
        <v>0</v>
      </c>
      <c r="BM208" s="42" t="n">
        <f aca="false">IFERROR(IF($C208="","",IF($D208="","",IFERROR(ROUND($D208*INDEX('🔖 배합비 참조'!$B$2:$CE$83,MATCH("자연치즈(체다치즈)",'🔖 배합비 참조'!$A$2:$A$83,0),MATCH($C208,'🔖 배합비 참조'!$B$1:$CE$1,0))/100,0),""))),"")</f>
        <v>0</v>
      </c>
      <c r="BN208" s="42" t="n">
        <f aca="false">IFERROR(IF($C208="","",IF($D208="","",IFERROR(ROUND($D208*INDEX('🔖 배합비 참조'!$B$2:$CE$83,MATCH("정제수",'🔖 배합비 참조'!$A$2:$A$83,0),MATCH($C208,'🔖 배합비 참조'!$B$1:$CE$1,0))/100,0),""))),"")</f>
        <v>30</v>
      </c>
      <c r="BO208" s="42" t="n">
        <f aca="false">IFERROR(IF($C208="","",IF($D208="","",IFERROR(ROUND($D208*INDEX('🔖 배합비 참조'!$B$2:$CE$83,MATCH("젤라틴",'🔖 배합비 참조'!$A$2:$A$83,0),MATCH($C208,'🔖 배합비 참조'!$B$1:$CE$1,0))/100,0),""))),"")</f>
        <v>0</v>
      </c>
      <c r="BP208" s="42" t="n">
        <f aca="false">IFERROR(IF($C208="","",IF($D208="","",IFERROR(ROUND($D208*INDEX('🔖 배합비 참조'!$B$2:$CE$83,MATCH("조림류(백옥앙금)",'🔖 배합비 참조'!$A$2:$A$83,0),MATCH($C208,'🔖 배합비 참조'!$B$1:$CE$1,0))/100,0),""))),"")</f>
        <v>0</v>
      </c>
      <c r="BQ208" s="42" t="n">
        <f aca="false">IFERROR(IF($C208="","",IF($D208="","",IFERROR(ROUND($D208*INDEX('🔖 배합비 참조'!$B$2:$CE$83,MATCH("조림류(통팥앙금)",'🔖 배합비 참조'!$A$2:$A$83,0),MATCH($C208,'🔖 배합비 참조'!$B$1:$CE$1,0))/100,0),""))),"")</f>
        <v>178</v>
      </c>
      <c r="BR208" s="42" t="n">
        <f aca="false">IFERROR(IF($C208="","",IF($D208="","",IFERROR(ROUND($D208*INDEX('🔖 배합비 참조'!$B$2:$CE$83,MATCH("준초콜릿(외국산)",'🔖 배합비 참조'!$A$2:$A$83,0),MATCH($C208,'🔖 배합비 참조'!$B$1:$CE$1,0))/100,0),""))),"")</f>
        <v>0</v>
      </c>
      <c r="BS208" s="42" t="n">
        <f aca="false">IFERROR(IF($C208="","",IF($D208="","",IFERROR(ROUND($D208*INDEX('🔖 배합비 참조'!$B$2:$CE$83,MATCH("중력분",'🔖 배합비 참조'!$A$2:$A$83,0),MATCH($C208,'🔖 배합비 참조'!$B$1:$CE$1,0))/100,0),""))),"")</f>
        <v>20</v>
      </c>
      <c r="BT208" s="42" t="n">
        <f aca="false">IFERROR(IF($C208="","",IF($D208="","",IFERROR(ROUND($D208*INDEX('🔖 배합비 참조'!$B$2:$CE$83,MATCH("참깨(인도산,나이지리아산,탄자니아산,미얀마산)",'🔖 배합비 참조'!$A$2:$A$83,0),MATCH($C208,'🔖 배합비 참조'!$B$1:$CE$1,0))/100,0),""))),"")</f>
        <v>0</v>
      </c>
      <c r="BU208" s="42" t="n">
        <f aca="false">IFERROR(IF($C208="","",IF($D208="","",IFERROR(ROUND($D208*INDEX('🔖 배합비 참조'!$B$2:$CE$83,MATCH("찹쌀(국내산)",'🔖 배합비 참조'!$A$2:$A$83,0),MATCH($C208,'🔖 배합비 참조'!$B$1:$CE$1,0))/100,0),""))),"")</f>
        <v>426</v>
      </c>
      <c r="BV208" s="42" t="n">
        <f aca="false">IFERROR(IF($C208="","",IF($D208="","",IFERROR(ROUND($D208*INDEX('🔖 배합비 참조'!$B$2:$CE$83,MATCH("천일염",'🔖 배합비 참조'!$A$2:$A$83,0),MATCH($C208,'🔖 배합비 참조'!$B$1:$CE$1,0))/100,0),""))),"")</f>
        <v>20</v>
      </c>
      <c r="BW208" s="42" t="n">
        <f aca="false">IFERROR(IF($C208="","",IF($D208="","",IFERROR(ROUND($D208*INDEX('🔖 배합비 참조'!$B$2:$CE$83,MATCH("치즈 [크림치즈]",'🔖 배합비 참조'!$A$2:$A$83,0),MATCH($C208,'🔖 배합비 참조'!$B$1:$CE$1,0))/100,0),""))),"")</f>
        <v>0</v>
      </c>
      <c r="BX208" s="42" t="n">
        <f aca="false">IFERROR(IF($C208="","",IF($D208="","",IFERROR(ROUND($D208*INDEX('🔖 배합비 참조'!$B$2:$CE$83,MATCH("코코아가공품류(코코아분말)",'🔖 배합비 참조'!$A$2:$A$83,0),MATCH($C208,'🔖 배합비 참조'!$B$1:$CE$1,0))/100,0),""))),"")</f>
        <v>0</v>
      </c>
      <c r="BY208" s="42" t="n">
        <f aca="false">IFERROR(IF($C208="","",IF($D208="","",IFERROR(ROUND($D208*INDEX('🔖 배합비 참조'!$B$2:$CE$83,MATCH("콩기름(대두유)",'🔖 배합비 참조'!$A$2:$A$83,0),MATCH($C208,'🔖 배합비 참조'!$B$1:$CE$1,0))/100,0),""))),"")</f>
        <v>0</v>
      </c>
      <c r="BZ208" s="42" t="n">
        <f aca="false">IFERROR(IF($C208="","",IF($D208="","",IFERROR(ROUND($D208*INDEX('🔖 배합비 참조'!$B$2:$CE$83,MATCH("해바라기씨앗",'🔖 배합비 참조'!$A$2:$A$83,0),MATCH($C208,'🔖 배합비 참조'!$B$1:$CE$1,0))/100,0),""))),"")</f>
        <v>0</v>
      </c>
      <c r="CA208" s="42" t="n">
        <f aca="false">IFERROR(IF($C208="","",IF($D208="","",IFERROR(ROUND($D208*INDEX('🔖 배합비 참조'!$B$2:$CE$83,MATCH("현미(국내산)",'🔖 배합비 참조'!$A$2:$A$83,0),MATCH($C208,'🔖 배합비 참조'!$B$1:$CE$1,0))/100,0),""))),"")</f>
        <v>0</v>
      </c>
      <c r="CB208" s="42" t="n">
        <f aca="false">IFERROR(IF($C208="","",IF($D208="","",IFERROR(ROUND($D208*INDEX('🔖 배합비 참조'!$B$2:$CE$83,MATCH("현미멥쌀(국내산)",'🔖 배합비 참조'!$A$2:$A$83,0),MATCH($C208,'🔖 배합비 참조'!$B$1:$CE$1,0))/100,0),""))),"")</f>
        <v>0</v>
      </c>
      <c r="CC208" s="42" t="n">
        <f aca="false">IFERROR(IF($C208="","",IF($D208="","",IFERROR(ROUND($D208*INDEX('🔖 배합비 참조'!$B$2:$CE$83,MATCH("호두분태(미국산)",'🔖 배합비 참조'!$A$2:$A$83,0),MATCH($C208,'🔖 배합비 참조'!$B$1:$CE$1,0))/100,0),""))),"")</f>
        <v>0</v>
      </c>
      <c r="CD208" s="42" t="n">
        <f aca="false">IFERROR(IF($C208="","",IF($D208="","",IFERROR(ROUND($D208*INDEX('🔖 배합비 참조'!$B$2:$CE$83,MATCH("호박씨앗(외국산)",'🔖 배합비 참조'!$A$2:$A$83,0),MATCH($C208,'🔖 배합비 참조'!$B$1:$CE$1,0))/100,0),""))),"")</f>
        <v>0</v>
      </c>
      <c r="CE208" s="42" t="n">
        <f aca="false">IFERROR(IF($C208="","",IF($D208="","",IFERROR(ROUND($D208*INDEX('🔖 배합비 참조'!$B$2:$CE$83,MATCH("혼합제제(떡용에스텔)",'🔖 배합비 참조'!$A$2:$A$83,0),MATCH($C208,'🔖 배합비 참조'!$B$1:$CE$1,0))/100,0),""))),"")</f>
        <v>20</v>
      </c>
      <c r="CF208" s="42" t="n">
        <f aca="false">IFERROR(IF($C208="","",IF($D208="","",IFERROR(ROUND($D208*INDEX('🔖 배합비 참조'!$B$2:$CE$83,MATCH("혼합제제(스테비아)",'🔖 배합비 참조'!$A$2:$A$83,0),MATCH($C208,'🔖 배합비 참조'!$B$1:$CE$1,0))/100,0),""))),"")</f>
        <v>0</v>
      </c>
      <c r="CG208" s="42" t="n">
        <f aca="false">IFERROR(IF($C208="","",IF($D208="","",IFERROR(ROUND($D208*INDEX('🔖 배합비 참조'!$B$2:$CE$83,MATCH("화이트초콜릿",'🔖 배합비 참조'!$A$2:$A$83,0),MATCH($C208,'🔖 배합비 참조'!$B$1:$CE$1,0))/100,0),""))),"")</f>
        <v>0</v>
      </c>
      <c r="CH208" s="42" t="n">
        <f aca="false">IFERROR(IF($C208="","",IF($D208="","",IFERROR(ROUND($D208*INDEX('🔖 배합비 참조'!$B$2:$CE$83,MATCH("흑미찹쌀(국내산)",'🔖 배합비 참조'!$A$2:$A$83,0),MATCH($C208,'🔖 배합비 참조'!$B$1:$CE$1,0))/100,0),""))),"")</f>
        <v>0</v>
      </c>
      <c r="CI208" s="42" t="n">
        <f aca="false">IFERROR(IF($C208="","",IF($D208="","",IFERROR(ROUND($D208*INDEX('🔖 배합비 참조'!$B$2:$CE$83,MATCH("찰옥수수전분(미국산)",'🔖 배합비 참조'!$A$2:$A$83,0),MATCH($C208,'🔖 배합비 참조'!$B$1:$CE$1,0))/100,0),""))),"")</f>
        <v>89</v>
      </c>
      <c r="CJ208" s="40"/>
      <c r="CL208" s="1" t="s">
        <v>247</v>
      </c>
    </row>
    <row r="209" customFormat="false" ht="18" hidden="false" customHeight="true" outlineLevel="0" collapsed="false">
      <c r="A209" s="35" t="n">
        <v>205</v>
      </c>
      <c r="B209" s="36" t="n">
        <v>46058</v>
      </c>
      <c r="C209" s="37" t="s">
        <v>204</v>
      </c>
      <c r="D209" s="38" t="n">
        <v>220</v>
      </c>
      <c r="E209" s="13"/>
      <c r="F209" s="13"/>
      <c r="G209" s="39" t="n">
        <f aca="false">IFERROR(IF($C209="","",IF($D209="","",IFERROR(ROUND($D209*INDEX('🔖 배합비 참조'!$B$2:$CE$83,MATCH("간장",'🔖 배합비 참조'!$A$2:$A$83,0),MATCH($C209,'🔖 배합비 참조'!$B$1:$CE$1,0))/100,0),""))),"")</f>
        <v>0</v>
      </c>
      <c r="H209" s="39" t="n">
        <f aca="false">IFERROR(IF($C209="","",IF($D209="","",IFERROR(ROUND($D209*INDEX('🔖 배합비 참조'!$B$2:$CE$83,MATCH("강낭콩((울타리콩))",'🔖 배합비 참조'!$A$2:$A$83,0),MATCH($C209,'🔖 배합비 참조'!$B$1:$CE$1,0))/100,0),""))),"")</f>
        <v>0</v>
      </c>
      <c r="I209" s="39" t="n">
        <f aca="false">IFERROR(IF($C209="","",IF($D209="","",IFERROR(ROUND($D209*INDEX('🔖 배합비 참조'!$B$2:$CE$83,MATCH("건조딸기다이스(외국산)",'🔖 배합비 참조'!$A$2:$A$83,0),MATCH($C209,'🔖 배합비 참조'!$B$1:$CE$1,0))/100,0),""))),"")</f>
        <v>0</v>
      </c>
      <c r="J209" s="39" t="n">
        <f aca="false">IFERROR(IF($C209="","",IF($D209="","",IFERROR(ROUND($D209*INDEX('🔖 배합비 참조'!$B$2:$CE$83,MATCH("건포도",'🔖 배합비 참조'!$A$2:$A$83,0),MATCH($C209,'🔖 배합비 참조'!$B$1:$CE$1,0))/100,0),""))),"")</f>
        <v>0</v>
      </c>
      <c r="K209" s="39" t="n">
        <f aca="false">IFERROR(IF($C209="","",IF($D209="","",IFERROR(ROUND($D209*INDEX('🔖 배합비 참조'!$B$2:$CE$83,MATCH("건호박채(중국산)",'🔖 배합비 참조'!$A$2:$A$83,0),MATCH($C209,'🔖 배합비 참조'!$B$1:$CE$1,0))/100,0),""))),"")</f>
        <v>0</v>
      </c>
      <c r="L209" s="39" t="n">
        <f aca="false">IFERROR(IF($C209="","",IF($D209="","",IFERROR(ROUND($D209*INDEX('🔖 배합비 참조'!$B$2:$CE$83,MATCH("검정깨(흑임자)",'🔖 배합비 참조'!$A$2:$A$83,0),MATCH($C209,'🔖 배합비 참조'!$B$1:$CE$1,0))/100,0),""))),"")</f>
        <v>0</v>
      </c>
      <c r="M209" s="39" t="n">
        <f aca="false">IFERROR(IF($C209="","",IF($D209="","",IFERROR(ROUND($D209*INDEX('🔖 배합비 참조'!$B$2:$CE$83,MATCH("검정콩",'🔖 배합비 참조'!$A$2:$A$83,0),MATCH($C209,'🔖 배합비 참조'!$B$1:$CE$1,0))/100,0),""))),"")</f>
        <v>0</v>
      </c>
      <c r="N209" s="39" t="n">
        <f aca="false">IFERROR(IF($C209="","",IF($D209="","",IFERROR(ROUND($D209*INDEX('🔖 배합비 참조'!$B$2:$CE$83,MATCH("계피가루",'🔖 배합비 참조'!$A$2:$A$83,0),MATCH($C209,'🔖 배합비 참조'!$B$1:$CE$1,0))/100,0),""))),"")</f>
        <v>0</v>
      </c>
      <c r="O209" s="39" t="n">
        <f aca="false">IFERROR(IF($C209="","",IF($D209="","",IFERROR(ROUND($D209*INDEX('🔖 배합비 참조'!$B$2:$CE$83,MATCH("고구마가루",'🔖 배합비 참조'!$A$2:$A$83,0),MATCH($C209,'🔖 배합비 참조'!$B$1:$CE$1,0))/100,0),""))),"")</f>
        <v>0</v>
      </c>
      <c r="P209" s="39" t="n">
        <f aca="false">IFERROR(IF($C209="","",IF($D209="","",IFERROR(ROUND($D209*INDEX('🔖 배합비 참조'!$B$2:$CE$83,MATCH("고구마무스",'🔖 배합비 참조'!$A$2:$A$83,0),MATCH($C209,'🔖 배합비 참조'!$B$1:$CE$1,0))/100,0),""))),"")</f>
        <v>0</v>
      </c>
      <c r="Q209" s="39" t="n">
        <f aca="false">IFERROR(IF($C209="","",IF($D209="","",IFERROR(ROUND($D209*INDEX('🔖 배합비 참조'!$B$2:$CE$83,MATCH("고려엉겅퀴((곤드레)국내산)",'🔖 배합비 참조'!$A$2:$A$83,0),MATCH($C209,'🔖 배합비 참조'!$B$1:$CE$1,0))/100,0),""))),"")</f>
        <v>0</v>
      </c>
      <c r="R209" s="39" t="n">
        <f aca="false">IFERROR(IF($C209="","",IF($D209="","",IFERROR(ROUND($D209*INDEX('🔖 배합비 참조'!$B$2:$CE$83,MATCH("기타가공품(복분자가루)",'🔖 배합비 참조'!$A$2:$A$83,0),MATCH($C209,'🔖 배합비 참조'!$B$1:$CE$1,0))/100,0),""))),"")</f>
        <v>0</v>
      </c>
      <c r="S209" s="39" t="n">
        <f aca="false">IFERROR(IF($C209="","",IF($D209="","",IFERROR(ROUND($D209*INDEX('🔖 배합비 참조'!$B$2:$CE$83,MATCH("기타가공품(슈퍼소프트엠)",'🔖 배합비 참조'!$A$2:$A$83,0),MATCH($C209,'🔖 배합비 참조'!$B$1:$CE$1,0))/100,0),""))),"")</f>
        <v>0</v>
      </c>
      <c r="T209" s="39" t="n">
        <f aca="false">IFERROR(IF($C209="","",IF($D209="","",IFERROR(ROUND($D209*INDEX('🔖 배합비 참조'!$B$2:$CE$83,MATCH("기타가공품(파인소프트 E-티)",'🔖 배합비 참조'!$A$2:$A$83,0),MATCH($C209,'🔖 배합비 참조'!$B$1:$CE$1,0))/100,0),""))),"")</f>
        <v>0</v>
      </c>
      <c r="U209" s="39" t="n">
        <f aca="false">IFERROR(IF($C209="","",IF($D209="","",IFERROR(ROUND($D209*INDEX('🔖 배합비 참조'!$B$2:$CE$83,MATCH("기타가공품(프리미엄카스테라가루)",'🔖 배합비 참조'!$A$2:$A$83,0),MATCH($C209,'🔖 배합비 참조'!$B$1:$CE$1,0))/100,0),""))),"")</f>
        <v>0</v>
      </c>
      <c r="V209" s="39" t="n">
        <f aca="false">IFERROR(IF($C209="","",IF($D209="","",IFERROR(ROUND($D209*INDEX('🔖 배합비 참조'!$B$2:$CE$83,MATCH("기타가공품(흑임자가루)",'🔖 배합비 참조'!$A$2:$A$83,0),MATCH($C209,'🔖 배합비 참조'!$B$1:$CE$1,0))/100,0),""))),"")</f>
        <v>0</v>
      </c>
      <c r="W209" s="39" t="n">
        <f aca="false">IFERROR(IF($C209="","",IF($D209="","",IFERROR(ROUND($D209*INDEX('🔖 배합비 참조'!$B$2:$CE$83,MATCH("기타설탕(흑설탕)",'🔖 배합비 참조'!$A$2:$A$83,0),MATCH($C209,'🔖 배합비 참조'!$B$1:$CE$1,0))/100,0),""))),"")</f>
        <v>0</v>
      </c>
      <c r="X209" s="39" t="n">
        <f aca="false">IFERROR(IF($C209="","",IF($D209="","",IFERROR(ROUND($D209*INDEX('🔖 배합비 참조'!$B$2:$CE$83,MATCH("냉동쑥(국내산)",'🔖 배합비 참조'!$A$2:$A$83,0),MATCH($C209,'🔖 배합비 참조'!$B$1:$CE$1,0))/100,0),""))),"")</f>
        <v>7</v>
      </c>
      <c r="Y209" s="39" t="n">
        <f aca="false">IFERROR(IF($C209="","",IF($D209="","",IFERROR(ROUND($D209*INDEX('🔖 배합비 참조'!$B$2:$CE$83,MATCH("냉동증숙고구마(중국산)",'🔖 배합비 참조'!$A$2:$A$83,0),MATCH($C209,'🔖 배합비 참조'!$B$1:$CE$1,0))/100,0),""))),"")</f>
        <v>0</v>
      </c>
      <c r="Z209" s="39" t="n">
        <f aca="false">IFERROR(IF($C209="","",IF($D209="","",IFERROR(ROUND($D209*INDEX('🔖 배합비 참조'!$B$2:$CE$83,MATCH("녹차가루",'🔖 배합비 참조'!$A$2:$A$83,0),MATCH($C209,'🔖 배합비 참조'!$B$1:$CE$1,0))/100,0),""))),"")</f>
        <v>0</v>
      </c>
      <c r="AA209" s="39" t="n">
        <f aca="false">IFERROR(IF($C209="","",IF($D209="","",IFERROR(ROUND($D209*INDEX('🔖 배합비 참조'!$B$2:$CE$83,MATCH("다크초콜릿 컴파운드칩",'🔖 배합비 참조'!$A$2:$A$83,0),MATCH($C209,'🔖 배합비 참조'!$B$1:$CE$1,0))/100,0),""))),"")</f>
        <v>0</v>
      </c>
      <c r="AB209" s="39" t="n">
        <f aca="false">IFERROR(IF($C209="","",IF($D209="","",IFERROR(ROUND($D209*INDEX('🔖 배합비 참조'!$B$2:$CE$83,MATCH("단호박분말(중국산)",'🔖 배합비 참조'!$A$2:$A$83,0),MATCH($C209,'🔖 배합비 참조'!$B$1:$CE$1,0))/100,0),""))),"")</f>
        <v>0</v>
      </c>
      <c r="AC209" s="39" t="n">
        <f aca="false">IFERROR(IF($C209="","",IF($D209="","",IFERROR(ROUND($D209*INDEX('🔖 배합비 참조'!$B$2:$CE$83,MATCH("당류가공품(단호박농축액)",'🔖 배합비 참조'!$A$2:$A$83,0),MATCH($C209,'🔖 배합비 참조'!$B$1:$CE$1,0))/100,0),""))),"")</f>
        <v>0</v>
      </c>
      <c r="AD209" s="39" t="n">
        <f aca="false">IFERROR(IF($C209="","",IF($D209="","",IFERROR(ROUND($D209*INDEX('🔖 배합비 참조'!$B$2:$CE$83,MATCH("당류가공품(알룰로스,에리스리톨,스테비올배당체혼합)",'🔖 배합비 참조'!$A$2:$A$83,0),MATCH($C209,'🔖 배합비 참조'!$B$1:$CE$1,0))/100,0),""))),"")</f>
        <v>0</v>
      </c>
      <c r="AE209" s="39" t="n">
        <f aca="false">IFERROR(IF($C209="","",IF($D209="","",IFERROR(ROUND($D209*INDEX('🔖 배합비 참조'!$B$2:$CE$83,MATCH("당류가공품(알룰로스제로파우더)",'🔖 배합비 참조'!$A$2:$A$83,0),MATCH($C209,'🔖 배합비 참조'!$B$1:$CE$1,0))/100,0),""))),"")</f>
        <v>0</v>
      </c>
      <c r="AF209" s="39" t="n">
        <f aca="false">IFERROR(IF($C209="","",IF($D209="","",IFERROR(ROUND($D209*INDEX('🔖 배합비 참조'!$B$2:$CE$83,MATCH("당절임(완두배기)",'🔖 배합비 참조'!$A$2:$A$83,0),MATCH($C209,'🔖 배합비 참조'!$B$1:$CE$1,0))/100,0),""))),"")</f>
        <v>0</v>
      </c>
      <c r="AG209" s="39" t="n">
        <f aca="false">IFERROR(IF($C209="","",IF($D209="","",IFERROR(ROUND($D209*INDEX('🔖 배합비 참조'!$B$2:$CE$83,MATCH("대추농축액",'🔖 배합비 참조'!$A$2:$A$83,0),MATCH($C209,'🔖 배합비 참조'!$B$1:$CE$1,0))/100,0),""))),"")</f>
        <v>0</v>
      </c>
      <c r="AH209" s="39" t="n">
        <f aca="false">IFERROR(IF($C209="","",IF($D209="","",IFERROR(ROUND($D209*INDEX('🔖 배합비 참조'!$B$2:$CE$83,MATCH("대추채(국내산)",'🔖 배합비 참조'!$A$2:$A$83,0),MATCH($C209,'🔖 배합비 참조'!$B$1:$CE$1,0))/100,0),""))),"")</f>
        <v>0</v>
      </c>
      <c r="AI209" s="39" t="n">
        <f aca="false">IFERROR(IF($C209="","",IF($D209="","",IFERROR(ROUND($D209*INDEX('🔖 배합비 참조'!$B$2:$CE$83,MATCH("동부(미얀마산)",'🔖 배합비 참조'!$A$2:$A$83,0),MATCH($C209,'🔖 배합비 참조'!$B$1:$CE$1,0))/100,0),""))),"")</f>
        <v>0</v>
      </c>
      <c r="AJ209" s="39" t="n">
        <f aca="false">IFERROR(IF($C209="","",IF($D209="","",IFERROR(ROUND($D209*INDEX('🔖 배합비 참조'!$B$2:$CE$83,MATCH("두류가공품(백옥앙금)",'🔖 배합비 참조'!$A$2:$A$83,0),MATCH($C209,'🔖 배합비 참조'!$B$1:$CE$1,0))/100,0),""))),"")</f>
        <v>0</v>
      </c>
      <c r="AK209" s="39" t="n">
        <f aca="false">IFERROR(IF($C209="","",IF($D209="","",IFERROR(ROUND($D209*INDEX('🔖 배합비 참조'!$B$2:$CE$83,MATCH("두류가공품(콩고물)",'🔖 배합비 참조'!$A$2:$A$83,0),MATCH($C209,'🔖 배합비 참조'!$B$1:$CE$1,0))/100,0),""))),"")</f>
        <v>7</v>
      </c>
      <c r="AL209" s="39" t="n">
        <f aca="false">IFERROR(IF($C209="","",IF($D209="","",IFERROR(ROUND($D209*INDEX('🔖 배합비 참조'!$B$2:$CE$83,MATCH("두류가공품(통팥고물)",'🔖 배합비 참조'!$A$2:$A$83,0),MATCH($C209,'🔖 배합비 참조'!$B$1:$CE$1,0))/100,0),""))),"")</f>
        <v>0</v>
      </c>
      <c r="AM209" s="39" t="n">
        <f aca="false">IFERROR(IF($C209="","",IF($D209="","",IFERROR(ROUND($D209*INDEX('🔖 배합비 참조'!$B$2:$CE$83,MATCH("딸기레진",'🔖 배합비 참조'!$A$2:$A$83,0),MATCH($C209,'🔖 배합비 참조'!$B$1:$CE$1,0))/100,0),""))),"")</f>
        <v>0</v>
      </c>
      <c r="AN209" s="39" t="n">
        <f aca="false">IFERROR(IF($C209="","",IF($D209="","",IFERROR(ROUND($D209*INDEX('🔖 배합비 참조'!$B$2:$CE$83,MATCH("딸기분말(스트로우베리에이드(분말))",'🔖 배합비 참조'!$A$2:$A$83,0),MATCH($C209,'🔖 배합비 참조'!$B$1:$CE$1,0))/100,0),""))),"")</f>
        <v>0</v>
      </c>
      <c r="AO209" s="39" t="n">
        <f aca="false">IFERROR(IF($C209="","",IF($D209="","",IFERROR(ROUND($D209*INDEX('🔖 배합비 참조'!$B$2:$CE$83,MATCH("마스카포네치즈",'🔖 배합비 참조'!$A$2:$A$83,0),MATCH($C209,'🔖 배합비 참조'!$B$1:$CE$1,0))/100,0),""))),"")</f>
        <v>0</v>
      </c>
      <c r="AP209" s="39" t="n">
        <f aca="false">IFERROR(IF($C209="","",IF($D209="","",IFERROR(ROUND($D209*INDEX('🔖 배합비 참조'!$B$2:$CE$83,MATCH("마카다미아분태(호주산)",'🔖 배합비 참조'!$A$2:$A$83,0),MATCH($C209,'🔖 배합비 참조'!$B$1:$CE$1,0))/100,0),""))),"")</f>
        <v>0</v>
      </c>
      <c r="AQ209" s="39" t="n">
        <f aca="false">IFERROR(IF($C209="","",IF($D209="","",IFERROR(ROUND($D209*INDEX('🔖 배합비 참조'!$B$2:$CE$83,MATCH("멥쌀(국내산)",'🔖 배합비 참조'!$A$2:$A$83,0),MATCH($C209,'🔖 배합비 참조'!$B$1:$CE$1,0))/100,0),""))),"")</f>
        <v>0</v>
      </c>
      <c r="AR209" s="39" t="n">
        <f aca="false">IFERROR(IF($C209="","",IF($D209="","",IFERROR(ROUND($D209*INDEX('🔖 배합비 참조'!$B$2:$CE$83,MATCH("모시잎(국내산)",'🔖 배합비 참조'!$A$2:$A$83,0),MATCH($C209,'🔖 배합비 참조'!$B$1:$CE$1,0))/100,0),""))),"")</f>
        <v>0</v>
      </c>
      <c r="AS209" s="39" t="n">
        <f aca="false">IFERROR(IF($C209="","",IF($D209="","",IFERROR(ROUND($D209*INDEX('🔖 배합비 참조'!$B$2:$CE$83,MATCH("물엿(저당물엿)",'🔖 배합비 참조'!$A$2:$A$83,0),MATCH($C209,'🔖 배합비 참조'!$B$1:$CE$1,0))/100,0),""))),"")</f>
        <v>5</v>
      </c>
      <c r="AT209" s="39" t="n">
        <f aca="false">IFERROR(IF($C209="","",IF($D209="","",IFERROR(ROUND($D209*INDEX('🔖 배합비 참조'!$B$2:$CE$83,MATCH("밤다이스",'🔖 배합비 참조'!$A$2:$A$83,0),MATCH($C209,'🔖 배합비 참조'!$B$1:$CE$1,0))/100,0),""))),"")</f>
        <v>0</v>
      </c>
      <c r="AU209" s="39" t="n">
        <f aca="false">IFERROR(IF($C209="","",IF($D209="","",IFERROR(ROUND($D209*INDEX('🔖 배합비 참조'!$B$2:$CE$83,MATCH("변성전분(타피오카전분)",'🔖 배합비 참조'!$A$2:$A$83,0),MATCH($C209,'🔖 배합비 참조'!$B$1:$CE$1,0))/100,0),""))),"")</f>
        <v>0</v>
      </c>
      <c r="AV209" s="39" t="n">
        <f aca="false">IFERROR(IF($C209="","",IF($D209="","",IFERROR(ROUND($D209*INDEX('🔖 배합비 참조'!$B$2:$CE$83,MATCH("복음땅콩분태",'🔖 배합비 참조'!$A$2:$A$83,0),MATCH($C209,'🔖 배합비 참조'!$B$1:$CE$1,0))/100,0),""))),"")</f>
        <v>0</v>
      </c>
      <c r="AW209" s="39" t="n">
        <f aca="false">IFERROR(IF($C209="","",IF($D209="","",IFERROR(ROUND($D209*INDEX('🔖 배합비 참조'!$B$2:$CE$83,MATCH("사양벌꿀(국내산)",'🔖 배합비 참조'!$A$2:$A$83,0),MATCH($C209,'🔖 배합비 참조'!$B$1:$CE$1,0))/100,0),""))),"")</f>
        <v>0</v>
      </c>
      <c r="AX209" s="39" t="n">
        <f aca="false">IFERROR(IF($C209="","",IF($D209="","",IFERROR(ROUND($D209*INDEX('🔖 배합비 참조'!$B$2:$CE$83,MATCH("생크림",'🔖 배합비 참조'!$A$2:$A$83,0),MATCH($C209,'🔖 배합비 참조'!$B$1:$CE$1,0))/100,0),""))),"")</f>
        <v>0</v>
      </c>
      <c r="AY209" s="39" t="n">
        <f aca="false">IFERROR(IF($C209="","",IF($D209="","",IFERROR(ROUND($D209*INDEX('🔖 배합비 참조'!$B$2:$CE$83,MATCH("서양호박(국내산,뉴질랜드산)",'🔖 배합비 참조'!$A$2:$A$83,0),MATCH($C209,'🔖 배합비 참조'!$B$1:$CE$1,0))/100,0),""))),"")</f>
        <v>0</v>
      </c>
      <c r="AZ209" s="39" t="n">
        <f aca="false">IFERROR(IF($C209="","",IF($D209="","",IFERROR(ROUND($D209*INDEX('🔖 배합비 참조'!$B$2:$CE$83,MATCH("설탕",'🔖 배합비 참조'!$A$2:$A$83,0),MATCH($C209,'🔖 배합비 참조'!$B$1:$CE$1,0))/100,0),""))),"")</f>
        <v>5</v>
      </c>
      <c r="BA209" s="39" t="n">
        <f aca="false">IFERROR(IF($C209="","",IF($D209="","",IFERROR(ROUND($D209*INDEX('🔖 배합비 참조'!$B$2:$CE$83,MATCH("스트로우베리 에이드 후레쉬",'🔖 배합비 참조'!$A$2:$A$83,0),MATCH($C209,'🔖 배합비 참조'!$B$1:$CE$1,0))/100,0),""))),"")</f>
        <v>0</v>
      </c>
      <c r="BB209" s="39" t="n">
        <f aca="false">IFERROR(IF($C209="","",IF($D209="","",IFERROR(ROUND($D209*INDEX('🔖 배합비 참조'!$B$2:$CE$83,MATCH("식물성기름혼합제제(분홍)",'🔖 배합비 참조'!$A$2:$A$83,0),MATCH($C209,'🔖 배합비 참조'!$B$1:$CE$1,0))/100,0),""))),"")</f>
        <v>0</v>
      </c>
      <c r="BC209" s="39" t="n">
        <f aca="false">IFERROR(IF($C209="","",IF($D209="","",IFERROR(ROUND($D209*INDEX('🔖 배합비 참조'!$B$2:$CE$83,MATCH("식물성기름혼합제제(초록)",'🔖 배합비 참조'!$A$2:$A$83,0),MATCH($C209,'🔖 배합비 참조'!$B$1:$CE$1,0))/100,0),""))),"")</f>
        <v>0</v>
      </c>
      <c r="BD209" s="39" t="n">
        <f aca="false">IFERROR(IF($C209="","",IF($D209="","",IFERROR(ROUND($D209*INDEX('🔖 배합비 참조'!$B$2:$CE$83,MATCH("식물성기름혼합제제(황색)",'🔖 배합비 참조'!$A$2:$A$83,0),MATCH($C209,'🔖 배합비 참조'!$B$1:$CE$1,0))/100,0),""))),"")</f>
        <v>0</v>
      </c>
      <c r="BE209" s="39" t="n">
        <f aca="false">IFERROR(IF($C209="","",IF($D209="","",IFERROR(ROUND($D209*INDEX('🔖 배합비 참조'!$B$2:$CE$83,MATCH("쑥가루(국내산)",'🔖 배합비 참조'!$A$2:$A$83,0),MATCH($C209,'🔖 배합비 참조'!$B$1:$CE$1,0))/100,0),""))),"")</f>
        <v>2</v>
      </c>
      <c r="BF209" s="39" t="n">
        <f aca="false">IFERROR(IF($C209="","",IF($D209="","",IFERROR(ROUND($D209*INDEX('🔖 배합비 참조'!$B$2:$CE$83,MATCH("아몬드슬라이스",'🔖 배합비 참조'!$A$2:$A$83,0),MATCH($C209,'🔖 배합비 참조'!$B$1:$CE$1,0))/100,0),""))),"")</f>
        <v>0</v>
      </c>
      <c r="BG209" s="39" t="n">
        <f aca="false">IFERROR(IF($C209="","",IF($D209="","",IFERROR(ROUND($D209*INDEX('🔖 배합비 참조'!$B$2:$CE$83,MATCH("알룰로오스(국내산)",'🔖 배합비 참조'!$A$2:$A$83,0),MATCH($C209,'🔖 배합비 참조'!$B$1:$CE$1,0))/100,0),""))),"")</f>
        <v>0</v>
      </c>
      <c r="BH209" s="39" t="n">
        <f aca="false">IFERROR(IF($C209="","",IF($D209="","",IFERROR(ROUND($D209*INDEX('🔖 배합비 참조'!$B$2:$CE$83,MATCH("연유",'🔖 배합비 참조'!$A$2:$A$83,0),MATCH($C209,'🔖 배합비 참조'!$B$1:$CE$1,0))/100,0),""))),"")</f>
        <v>0</v>
      </c>
      <c r="BI209" s="39" t="n">
        <f aca="false">IFERROR(IF($C209="","",IF($D209="","",IFERROR(ROUND($D209*INDEX('🔖 배합비 참조'!$B$2:$CE$83,MATCH("옥수수전분",'🔖 배합비 참조'!$A$2:$A$83,0),MATCH($C209,'🔖 배합비 참조'!$B$1:$CE$1,0))/100,0),""))),"")</f>
        <v>0</v>
      </c>
      <c r="BJ209" s="39" t="n">
        <f aca="false">IFERROR(IF($C209="","",IF($D209="","",IFERROR(ROUND($D209*INDEX('🔖 배합비 참조'!$B$2:$CE$83,MATCH("완두배기",'🔖 배합비 참조'!$A$2:$A$83,0),MATCH($C209,'🔖 배합비 참조'!$B$1:$CE$1,0))/100,0),""))),"")</f>
        <v>0</v>
      </c>
      <c r="BK209" s="39" t="n">
        <f aca="false">IFERROR(IF($C209="","",IF($D209="","",IFERROR(ROUND($D209*INDEX('🔖 배합비 참조'!$B$2:$CE$83,MATCH("우유(국내산)",'🔖 배합비 참조'!$A$2:$A$83,0),MATCH($C209,'🔖 배합비 참조'!$B$1:$CE$1,0))/100,0),""))),"")</f>
        <v>0</v>
      </c>
      <c r="BL209" s="39" t="n">
        <f aca="false">IFERROR(IF($C209="","",IF($D209="","",IFERROR(ROUND($D209*INDEX('🔖 배합비 참조'!$B$2:$CE$83,MATCH("자색고구마가루(중국산)",'🔖 배합비 참조'!$A$2:$A$83,0),MATCH($C209,'🔖 배합비 참조'!$B$1:$CE$1,0))/100,0),""))),"")</f>
        <v>0</v>
      </c>
      <c r="BM209" s="39" t="n">
        <f aca="false">IFERROR(IF($C209="","",IF($D209="","",IFERROR(ROUND($D209*INDEX('🔖 배합비 참조'!$B$2:$CE$83,MATCH("자연치즈(체다치즈)",'🔖 배합비 참조'!$A$2:$A$83,0),MATCH($C209,'🔖 배합비 참조'!$B$1:$CE$1,0))/100,0),""))),"")</f>
        <v>0</v>
      </c>
      <c r="BN209" s="39" t="n">
        <f aca="false">IFERROR(IF($C209="","",IF($D209="","",IFERROR(ROUND($D209*INDEX('🔖 배합비 참조'!$B$2:$CE$83,MATCH("정제수",'🔖 배합비 참조'!$A$2:$A$83,0),MATCH($C209,'🔖 배합비 참조'!$B$1:$CE$1,0))/100,0),""))),"")</f>
        <v>0</v>
      </c>
      <c r="BO209" s="39" t="n">
        <f aca="false">IFERROR(IF($C209="","",IF($D209="","",IFERROR(ROUND($D209*INDEX('🔖 배합비 참조'!$B$2:$CE$83,MATCH("젤라틴",'🔖 배합비 참조'!$A$2:$A$83,0),MATCH($C209,'🔖 배합비 참조'!$B$1:$CE$1,0))/100,0),""))),"")</f>
        <v>0</v>
      </c>
      <c r="BP209" s="39" t="n">
        <f aca="false">IFERROR(IF($C209="","",IF($D209="","",IFERROR(ROUND($D209*INDEX('🔖 배합비 참조'!$B$2:$CE$83,MATCH("조림류(백옥앙금)",'🔖 배합비 참조'!$A$2:$A$83,0),MATCH($C209,'🔖 배합비 참조'!$B$1:$CE$1,0))/100,0),""))),"")</f>
        <v>0</v>
      </c>
      <c r="BQ209" s="39" t="n">
        <f aca="false">IFERROR(IF($C209="","",IF($D209="","",IFERROR(ROUND($D209*INDEX('🔖 배합비 참조'!$B$2:$CE$83,MATCH("조림류(통팥앙금)",'🔖 배합비 참조'!$A$2:$A$83,0),MATCH($C209,'🔖 배합비 참조'!$B$1:$CE$1,0))/100,0),""))),"")</f>
        <v>92</v>
      </c>
      <c r="BR209" s="39" t="n">
        <f aca="false">IFERROR(IF($C209="","",IF($D209="","",IFERROR(ROUND($D209*INDEX('🔖 배합비 참조'!$B$2:$CE$83,MATCH("준초콜릿(외국산)",'🔖 배합비 참조'!$A$2:$A$83,0),MATCH($C209,'🔖 배합비 참조'!$B$1:$CE$1,0))/100,0),""))),"")</f>
        <v>0</v>
      </c>
      <c r="BS209" s="39" t="n">
        <f aca="false">IFERROR(IF($C209="","",IF($D209="","",IFERROR(ROUND($D209*INDEX('🔖 배합비 참조'!$B$2:$CE$83,MATCH("중력분",'🔖 배합비 참조'!$A$2:$A$83,0),MATCH($C209,'🔖 배합비 참조'!$B$1:$CE$1,0))/100,0),""))),"")</f>
        <v>2</v>
      </c>
      <c r="BT209" s="39" t="n">
        <f aca="false">IFERROR(IF($C209="","",IF($D209="","",IFERROR(ROUND($D209*INDEX('🔖 배합비 참조'!$B$2:$CE$83,MATCH("참깨(인도산,나이지리아산,탄자니아산,미얀마산)",'🔖 배합비 참조'!$A$2:$A$83,0),MATCH($C209,'🔖 배합비 참조'!$B$1:$CE$1,0))/100,0),""))),"")</f>
        <v>0</v>
      </c>
      <c r="BU209" s="39" t="n">
        <f aca="false">IFERROR(IF($C209="","",IF($D209="","",IFERROR(ROUND($D209*INDEX('🔖 배합비 참조'!$B$2:$CE$83,MATCH("찹쌀(국내산)",'🔖 배합비 참조'!$A$2:$A$83,0),MATCH($C209,'🔖 배합비 참조'!$B$1:$CE$1,0))/100,0),""))),"")</f>
        <v>98</v>
      </c>
      <c r="BV209" s="39" t="n">
        <f aca="false">IFERROR(IF($C209="","",IF($D209="","",IFERROR(ROUND($D209*INDEX('🔖 배합비 참조'!$B$2:$CE$83,MATCH("천일염",'🔖 배합비 참조'!$A$2:$A$83,0),MATCH($C209,'🔖 배합비 참조'!$B$1:$CE$1,0))/100,0),""))),"")</f>
        <v>2</v>
      </c>
      <c r="BW209" s="39" t="n">
        <f aca="false">IFERROR(IF($C209="","",IF($D209="","",IFERROR(ROUND($D209*INDEX('🔖 배합비 참조'!$B$2:$CE$83,MATCH("치즈 [크림치즈]",'🔖 배합비 참조'!$A$2:$A$83,0),MATCH($C209,'🔖 배합비 참조'!$B$1:$CE$1,0))/100,0),""))),"")</f>
        <v>0</v>
      </c>
      <c r="BX209" s="39" t="n">
        <f aca="false">IFERROR(IF($C209="","",IF($D209="","",IFERROR(ROUND($D209*INDEX('🔖 배합비 참조'!$B$2:$CE$83,MATCH("코코아가공품류(코코아분말)",'🔖 배합비 참조'!$A$2:$A$83,0),MATCH($C209,'🔖 배합비 참조'!$B$1:$CE$1,0))/100,0),""))),"")</f>
        <v>0</v>
      </c>
      <c r="BY209" s="39" t="n">
        <f aca="false">IFERROR(IF($C209="","",IF($D209="","",IFERROR(ROUND($D209*INDEX('🔖 배합비 참조'!$B$2:$CE$83,MATCH("콩기름(대두유)",'🔖 배합비 참조'!$A$2:$A$83,0),MATCH($C209,'🔖 배합비 참조'!$B$1:$CE$1,0))/100,0),""))),"")</f>
        <v>0</v>
      </c>
      <c r="BZ209" s="39" t="n">
        <f aca="false">IFERROR(IF($C209="","",IF($D209="","",IFERROR(ROUND($D209*INDEX('🔖 배합비 참조'!$B$2:$CE$83,MATCH("해바라기씨앗",'🔖 배합비 참조'!$A$2:$A$83,0),MATCH($C209,'🔖 배합비 참조'!$B$1:$CE$1,0))/100,0),""))),"")</f>
        <v>0</v>
      </c>
      <c r="CA209" s="39" t="n">
        <f aca="false">IFERROR(IF($C209="","",IF($D209="","",IFERROR(ROUND($D209*INDEX('🔖 배합비 참조'!$B$2:$CE$83,MATCH("현미(국내산)",'🔖 배합비 참조'!$A$2:$A$83,0),MATCH($C209,'🔖 배합비 참조'!$B$1:$CE$1,0))/100,0),""))),"")</f>
        <v>0</v>
      </c>
      <c r="CB209" s="39" t="n">
        <f aca="false">IFERROR(IF($C209="","",IF($D209="","",IFERROR(ROUND($D209*INDEX('🔖 배합비 참조'!$B$2:$CE$83,MATCH("현미멥쌀(국내산)",'🔖 배합비 참조'!$A$2:$A$83,0),MATCH($C209,'🔖 배합비 참조'!$B$1:$CE$1,0))/100,0),""))),"")</f>
        <v>0</v>
      </c>
      <c r="CC209" s="39" t="n">
        <f aca="false">IFERROR(IF($C209="","",IF($D209="","",IFERROR(ROUND($D209*INDEX('🔖 배합비 참조'!$B$2:$CE$83,MATCH("호두분태(미국산)",'🔖 배합비 참조'!$A$2:$A$83,0),MATCH($C209,'🔖 배합비 참조'!$B$1:$CE$1,0))/100,0),""))),"")</f>
        <v>0</v>
      </c>
      <c r="CD209" s="39" t="n">
        <f aca="false">IFERROR(IF($C209="","",IF($D209="","",IFERROR(ROUND($D209*INDEX('🔖 배합비 참조'!$B$2:$CE$83,MATCH("호박씨앗(외국산)",'🔖 배합비 참조'!$A$2:$A$83,0),MATCH($C209,'🔖 배합비 참조'!$B$1:$CE$1,0))/100,0),""))),"")</f>
        <v>0</v>
      </c>
      <c r="CE209" s="39" t="n">
        <f aca="false">IFERROR(IF($C209="","",IF($D209="","",IFERROR(ROUND($D209*INDEX('🔖 배합비 참조'!$B$2:$CE$83,MATCH("혼합제제(떡용에스텔)",'🔖 배합비 참조'!$A$2:$A$83,0),MATCH($C209,'🔖 배합비 참조'!$B$1:$CE$1,0))/100,0),""))),"")</f>
        <v>1</v>
      </c>
      <c r="CF209" s="39" t="n">
        <f aca="false">IFERROR(IF($C209="","",IF($D209="","",IFERROR(ROUND($D209*INDEX('🔖 배합비 참조'!$B$2:$CE$83,MATCH("혼합제제(스테비아)",'🔖 배합비 참조'!$A$2:$A$83,0),MATCH($C209,'🔖 배합비 참조'!$B$1:$CE$1,0))/100,0),""))),"")</f>
        <v>0</v>
      </c>
      <c r="CG209" s="39" t="n">
        <f aca="false">IFERROR(IF($C209="","",IF($D209="","",IFERROR(ROUND($D209*INDEX('🔖 배합비 참조'!$B$2:$CE$83,MATCH("화이트초콜릿",'🔖 배합비 참조'!$A$2:$A$83,0),MATCH($C209,'🔖 배합비 참조'!$B$1:$CE$1,0))/100,0),""))),"")</f>
        <v>0</v>
      </c>
      <c r="CH209" s="39" t="n">
        <f aca="false">IFERROR(IF($C209="","",IF($D209="","",IFERROR(ROUND($D209*INDEX('🔖 배합비 참조'!$B$2:$CE$83,MATCH("흑미찹쌀(국내산)",'🔖 배합비 참조'!$A$2:$A$83,0),MATCH($C209,'🔖 배합비 참조'!$B$1:$CE$1,0))/100,0),""))),"")</f>
        <v>0</v>
      </c>
      <c r="CI209" s="39" t="n">
        <f aca="false">IFERROR(IF($C209="","",IF($D209="","",IFERROR(ROUND($D209*INDEX('🔖 배합비 참조'!$B$2:$CE$83,MATCH("찰옥수수전분(미국산)",'🔖 배합비 참조'!$A$2:$A$83,0),MATCH($C209,'🔖 배합비 참조'!$B$1:$CE$1,0))/100,0),""))),"")</f>
        <v>0</v>
      </c>
      <c r="CJ209" s="40"/>
      <c r="CL209" s="1" t="s">
        <v>247</v>
      </c>
    </row>
    <row r="210" customFormat="false" ht="18" hidden="false" customHeight="true" outlineLevel="0" collapsed="false">
      <c r="A210" s="41" t="n">
        <v>206</v>
      </c>
      <c r="B210" s="36" t="n">
        <v>46059</v>
      </c>
      <c r="C210" s="37" t="s">
        <v>143</v>
      </c>
      <c r="D210" s="38" t="n">
        <v>185.8</v>
      </c>
      <c r="E210" s="17"/>
      <c r="F210" s="17"/>
      <c r="G210" s="42" t="n">
        <f aca="false">IFERROR(IF($C210="","",IF($D210="","",IFERROR(ROUND($D210*INDEX('🔖 배합비 참조'!$B$2:$CE$83,MATCH("간장",'🔖 배합비 참조'!$A$2:$A$83,0),MATCH($C210,'🔖 배합비 참조'!$B$1:$CE$1,0))/100,0),""))),"")</f>
        <v>0</v>
      </c>
      <c r="H210" s="42" t="n">
        <f aca="false">IFERROR(IF($C210="","",IF($D210="","",IFERROR(ROUND($D210*INDEX('🔖 배합비 참조'!$B$2:$CE$83,MATCH("강낭콩((울타리콩))",'🔖 배합비 참조'!$A$2:$A$83,0),MATCH($C210,'🔖 배합비 참조'!$B$1:$CE$1,0))/100,0),""))),"")</f>
        <v>0</v>
      </c>
      <c r="I210" s="42" t="n">
        <f aca="false">IFERROR(IF($C210="","",IF($D210="","",IFERROR(ROUND($D210*INDEX('🔖 배합비 참조'!$B$2:$CE$83,MATCH("건조딸기다이스(외국산)",'🔖 배합비 참조'!$A$2:$A$83,0),MATCH($C210,'🔖 배합비 참조'!$B$1:$CE$1,0))/100,0),""))),"")</f>
        <v>0</v>
      </c>
      <c r="J210" s="42" t="n">
        <f aca="false">IFERROR(IF($C210="","",IF($D210="","",IFERROR(ROUND($D210*INDEX('🔖 배합비 참조'!$B$2:$CE$83,MATCH("건포도",'🔖 배합비 참조'!$A$2:$A$83,0),MATCH($C210,'🔖 배합비 참조'!$B$1:$CE$1,0))/100,0),""))),"")</f>
        <v>0</v>
      </c>
      <c r="K210" s="42" t="n">
        <f aca="false">IFERROR(IF($C210="","",IF($D210="","",IFERROR(ROUND($D210*INDEX('🔖 배합비 참조'!$B$2:$CE$83,MATCH("건호박채(중국산)",'🔖 배합비 참조'!$A$2:$A$83,0),MATCH($C210,'🔖 배합비 참조'!$B$1:$CE$1,0))/100,0),""))),"")</f>
        <v>0</v>
      </c>
      <c r="L210" s="42" t="n">
        <f aca="false">IFERROR(IF($C210="","",IF($D210="","",IFERROR(ROUND($D210*INDEX('🔖 배합비 참조'!$B$2:$CE$83,MATCH("검정깨(흑임자)",'🔖 배합비 참조'!$A$2:$A$83,0),MATCH($C210,'🔖 배합비 참조'!$B$1:$CE$1,0))/100,0),""))),"")</f>
        <v>0</v>
      </c>
      <c r="M210" s="42" t="n">
        <f aca="false">IFERROR(IF($C210="","",IF($D210="","",IFERROR(ROUND($D210*INDEX('🔖 배합비 참조'!$B$2:$CE$83,MATCH("검정콩",'🔖 배합비 참조'!$A$2:$A$83,0),MATCH($C210,'🔖 배합비 참조'!$B$1:$CE$1,0))/100,0),""))),"")</f>
        <v>0</v>
      </c>
      <c r="N210" s="42" t="n">
        <f aca="false">IFERROR(IF($C210="","",IF($D210="","",IFERROR(ROUND($D210*INDEX('🔖 배합비 참조'!$B$2:$CE$83,MATCH("계피가루",'🔖 배합비 참조'!$A$2:$A$83,0),MATCH($C210,'🔖 배합비 참조'!$B$1:$CE$1,0))/100,0),""))),"")</f>
        <v>0</v>
      </c>
      <c r="O210" s="42" t="n">
        <f aca="false">IFERROR(IF($C210="","",IF($D210="","",IFERROR(ROUND($D210*INDEX('🔖 배합비 참조'!$B$2:$CE$83,MATCH("고구마가루",'🔖 배합비 참조'!$A$2:$A$83,0),MATCH($C210,'🔖 배합비 참조'!$B$1:$CE$1,0))/100,0),""))),"")</f>
        <v>0</v>
      </c>
      <c r="P210" s="42" t="n">
        <f aca="false">IFERROR(IF($C210="","",IF($D210="","",IFERROR(ROUND($D210*INDEX('🔖 배합비 참조'!$B$2:$CE$83,MATCH("고구마무스",'🔖 배합비 참조'!$A$2:$A$83,0),MATCH($C210,'🔖 배합비 참조'!$B$1:$CE$1,0))/100,0),""))),"")</f>
        <v>0</v>
      </c>
      <c r="Q210" s="42" t="n">
        <f aca="false">IFERROR(IF($C210="","",IF($D210="","",IFERROR(ROUND($D210*INDEX('🔖 배합비 참조'!$B$2:$CE$83,MATCH("고려엉겅퀴((곤드레)국내산)",'🔖 배합비 참조'!$A$2:$A$83,0),MATCH($C210,'🔖 배합비 참조'!$B$1:$CE$1,0))/100,0),""))),"")</f>
        <v>0</v>
      </c>
      <c r="R210" s="42" t="n">
        <f aca="false">IFERROR(IF($C210="","",IF($D210="","",IFERROR(ROUND($D210*INDEX('🔖 배합비 참조'!$B$2:$CE$83,MATCH("기타가공품(복분자가루)",'🔖 배합비 참조'!$A$2:$A$83,0),MATCH($C210,'🔖 배합비 참조'!$B$1:$CE$1,0))/100,0),""))),"")</f>
        <v>0</v>
      </c>
      <c r="S210" s="42" t="n">
        <f aca="false">IFERROR(IF($C210="","",IF($D210="","",IFERROR(ROUND($D210*INDEX('🔖 배합비 참조'!$B$2:$CE$83,MATCH("기타가공품(슈퍼소프트엠)",'🔖 배합비 참조'!$A$2:$A$83,0),MATCH($C210,'🔖 배합비 참조'!$B$1:$CE$1,0))/100,0),""))),"")</f>
        <v>0</v>
      </c>
      <c r="T210" s="42" t="n">
        <f aca="false">IFERROR(IF($C210="","",IF($D210="","",IFERROR(ROUND($D210*INDEX('🔖 배합비 참조'!$B$2:$CE$83,MATCH("기타가공품(파인소프트 E-티)",'🔖 배합비 참조'!$A$2:$A$83,0),MATCH($C210,'🔖 배합비 참조'!$B$1:$CE$1,0))/100,0),""))),"")</f>
        <v>0</v>
      </c>
      <c r="U210" s="42" t="n">
        <f aca="false">IFERROR(IF($C210="","",IF($D210="","",IFERROR(ROUND($D210*INDEX('🔖 배합비 참조'!$B$2:$CE$83,MATCH("기타가공품(프리미엄카스테라가루)",'🔖 배합비 참조'!$A$2:$A$83,0),MATCH($C210,'🔖 배합비 참조'!$B$1:$CE$1,0))/100,0),""))),"")</f>
        <v>0</v>
      </c>
      <c r="V210" s="42" t="n">
        <f aca="false">IFERROR(IF($C210="","",IF($D210="","",IFERROR(ROUND($D210*INDEX('🔖 배합비 참조'!$B$2:$CE$83,MATCH("기타가공품(흑임자가루)",'🔖 배합비 참조'!$A$2:$A$83,0),MATCH($C210,'🔖 배합비 참조'!$B$1:$CE$1,0))/100,0),""))),"")</f>
        <v>0</v>
      </c>
      <c r="W210" s="42" t="n">
        <f aca="false">IFERROR(IF($C210="","",IF($D210="","",IFERROR(ROUND($D210*INDEX('🔖 배합비 참조'!$B$2:$CE$83,MATCH("기타설탕(흑설탕)",'🔖 배합비 참조'!$A$2:$A$83,0),MATCH($C210,'🔖 배합비 참조'!$B$1:$CE$1,0))/100,0),""))),"")</f>
        <v>16</v>
      </c>
      <c r="X210" s="42" t="n">
        <f aca="false">IFERROR(IF($C210="","",IF($D210="","",IFERROR(ROUND($D210*INDEX('🔖 배합비 참조'!$B$2:$CE$83,MATCH("냉동쑥(국내산)",'🔖 배합비 참조'!$A$2:$A$83,0),MATCH($C210,'🔖 배합비 참조'!$B$1:$CE$1,0))/100,0),""))),"")</f>
        <v>0</v>
      </c>
      <c r="Y210" s="42" t="n">
        <f aca="false">IFERROR(IF($C210="","",IF($D210="","",IFERROR(ROUND($D210*INDEX('🔖 배합비 참조'!$B$2:$CE$83,MATCH("냉동증숙고구마(중국산)",'🔖 배합비 참조'!$A$2:$A$83,0),MATCH($C210,'🔖 배합비 참조'!$B$1:$CE$1,0))/100,0),""))),"")</f>
        <v>0</v>
      </c>
      <c r="Z210" s="42" t="n">
        <f aca="false">IFERROR(IF($C210="","",IF($D210="","",IFERROR(ROUND($D210*INDEX('🔖 배합비 참조'!$B$2:$CE$83,MATCH("녹차가루",'🔖 배합비 참조'!$A$2:$A$83,0),MATCH($C210,'🔖 배합비 참조'!$B$1:$CE$1,0))/100,0),""))),"")</f>
        <v>0</v>
      </c>
      <c r="AA210" s="42" t="n">
        <f aca="false">IFERROR(IF($C210="","",IF($D210="","",IFERROR(ROUND($D210*INDEX('🔖 배합비 참조'!$B$2:$CE$83,MATCH("다크초콜릿 컴파운드칩",'🔖 배합비 참조'!$A$2:$A$83,0),MATCH($C210,'🔖 배합비 참조'!$B$1:$CE$1,0))/100,0),""))),"")</f>
        <v>0</v>
      </c>
      <c r="AB210" s="42" t="n">
        <f aca="false">IFERROR(IF($C210="","",IF($D210="","",IFERROR(ROUND($D210*INDEX('🔖 배합비 참조'!$B$2:$CE$83,MATCH("단호박분말(중국산)",'🔖 배합비 참조'!$A$2:$A$83,0),MATCH($C210,'🔖 배합비 참조'!$B$1:$CE$1,0))/100,0),""))),"")</f>
        <v>0</v>
      </c>
      <c r="AC210" s="42" t="n">
        <f aca="false">IFERROR(IF($C210="","",IF($D210="","",IFERROR(ROUND($D210*INDEX('🔖 배합비 참조'!$B$2:$CE$83,MATCH("당류가공품(단호박농축액)",'🔖 배합비 참조'!$A$2:$A$83,0),MATCH($C210,'🔖 배합비 참조'!$B$1:$CE$1,0))/100,0),""))),"")</f>
        <v>0</v>
      </c>
      <c r="AD210" s="42" t="n">
        <f aca="false">IFERROR(IF($C210="","",IF($D210="","",IFERROR(ROUND($D210*INDEX('🔖 배합비 참조'!$B$2:$CE$83,MATCH("당류가공품(알룰로스,에리스리톨,스테비올배당체혼합)",'🔖 배합비 참조'!$A$2:$A$83,0),MATCH($C210,'🔖 배합비 참조'!$B$1:$CE$1,0))/100,0),""))),"")</f>
        <v>0</v>
      </c>
      <c r="AE210" s="42" t="n">
        <f aca="false">IFERROR(IF($C210="","",IF($D210="","",IFERROR(ROUND($D210*INDEX('🔖 배합비 참조'!$B$2:$CE$83,MATCH("당류가공품(알룰로스제로파우더)",'🔖 배합비 참조'!$A$2:$A$83,0),MATCH($C210,'🔖 배합비 참조'!$B$1:$CE$1,0))/100,0),""))),"")</f>
        <v>0</v>
      </c>
      <c r="AF210" s="42" t="n">
        <f aca="false">IFERROR(IF($C210="","",IF($D210="","",IFERROR(ROUND($D210*INDEX('🔖 배합비 참조'!$B$2:$CE$83,MATCH("당절임(완두배기)",'🔖 배합비 참조'!$A$2:$A$83,0),MATCH($C210,'🔖 배합비 참조'!$B$1:$CE$1,0))/100,0),""))),"")</f>
        <v>0</v>
      </c>
      <c r="AG210" s="42" t="n">
        <f aca="false">IFERROR(IF($C210="","",IF($D210="","",IFERROR(ROUND($D210*INDEX('🔖 배합비 참조'!$B$2:$CE$83,MATCH("대추농축액",'🔖 배합비 참조'!$A$2:$A$83,0),MATCH($C210,'🔖 배합비 참조'!$B$1:$CE$1,0))/100,0),""))),"")</f>
        <v>0</v>
      </c>
      <c r="AH210" s="42" t="n">
        <f aca="false">IFERROR(IF($C210="","",IF($D210="","",IFERROR(ROUND($D210*INDEX('🔖 배합비 참조'!$B$2:$CE$83,MATCH("대추채(국내산)",'🔖 배합비 참조'!$A$2:$A$83,0),MATCH($C210,'🔖 배합비 참조'!$B$1:$CE$1,0))/100,0),""))),"")</f>
        <v>0</v>
      </c>
      <c r="AI210" s="42" t="n">
        <f aca="false">IFERROR(IF($C210="","",IF($D210="","",IFERROR(ROUND($D210*INDEX('🔖 배합비 참조'!$B$2:$CE$83,MATCH("동부(미얀마산)",'🔖 배합비 참조'!$A$2:$A$83,0),MATCH($C210,'🔖 배합비 참조'!$B$1:$CE$1,0))/100,0),""))),"")</f>
        <v>0</v>
      </c>
      <c r="AJ210" s="42" t="n">
        <f aca="false">IFERROR(IF($C210="","",IF($D210="","",IFERROR(ROUND($D210*INDEX('🔖 배합비 참조'!$B$2:$CE$83,MATCH("두류가공품(백옥앙금)",'🔖 배합비 참조'!$A$2:$A$83,0),MATCH($C210,'🔖 배합비 참조'!$B$1:$CE$1,0))/100,0),""))),"")</f>
        <v>0</v>
      </c>
      <c r="AK210" s="42" t="n">
        <f aca="false">IFERROR(IF($C210="","",IF($D210="","",IFERROR(ROUND($D210*INDEX('🔖 배합비 참조'!$B$2:$CE$83,MATCH("두류가공품(콩고물)",'🔖 배합비 참조'!$A$2:$A$83,0),MATCH($C210,'🔖 배합비 참조'!$B$1:$CE$1,0))/100,0),""))),"")</f>
        <v>0</v>
      </c>
      <c r="AL210" s="42" t="n">
        <f aca="false">IFERROR(IF($C210="","",IF($D210="","",IFERROR(ROUND($D210*INDEX('🔖 배합비 참조'!$B$2:$CE$83,MATCH("두류가공품(통팥고물)",'🔖 배합비 참조'!$A$2:$A$83,0),MATCH($C210,'🔖 배합비 참조'!$B$1:$CE$1,0))/100,0),""))),"")</f>
        <v>0</v>
      </c>
      <c r="AM210" s="42" t="n">
        <f aca="false">IFERROR(IF($C210="","",IF($D210="","",IFERROR(ROUND($D210*INDEX('🔖 배합비 참조'!$B$2:$CE$83,MATCH("딸기레진",'🔖 배합비 참조'!$A$2:$A$83,0),MATCH($C210,'🔖 배합비 참조'!$B$1:$CE$1,0))/100,0),""))),"")</f>
        <v>0</v>
      </c>
      <c r="AN210" s="42" t="n">
        <f aca="false">IFERROR(IF($C210="","",IF($D210="","",IFERROR(ROUND($D210*INDEX('🔖 배합비 참조'!$B$2:$CE$83,MATCH("딸기분말(스트로우베리에이드(분말))",'🔖 배합비 참조'!$A$2:$A$83,0),MATCH($C210,'🔖 배합비 참조'!$B$1:$CE$1,0))/100,0),""))),"")</f>
        <v>0</v>
      </c>
      <c r="AO210" s="42" t="n">
        <f aca="false">IFERROR(IF($C210="","",IF($D210="","",IFERROR(ROUND($D210*INDEX('🔖 배합비 참조'!$B$2:$CE$83,MATCH("마스카포네치즈",'🔖 배합비 참조'!$A$2:$A$83,0),MATCH($C210,'🔖 배합비 참조'!$B$1:$CE$1,0))/100,0),""))),"")</f>
        <v>0</v>
      </c>
      <c r="AP210" s="42" t="n">
        <f aca="false">IFERROR(IF($C210="","",IF($D210="","",IFERROR(ROUND($D210*INDEX('🔖 배합비 참조'!$B$2:$CE$83,MATCH("마카다미아분태(호주산)",'🔖 배합비 참조'!$A$2:$A$83,0),MATCH($C210,'🔖 배합비 참조'!$B$1:$CE$1,0))/100,0),""))),"")</f>
        <v>0</v>
      </c>
      <c r="AQ210" s="42" t="n">
        <f aca="false">IFERROR(IF($C210="","",IF($D210="","",IFERROR(ROUND($D210*INDEX('🔖 배합비 참조'!$B$2:$CE$83,MATCH("멥쌀(국내산)",'🔖 배합비 참조'!$A$2:$A$83,0),MATCH($C210,'🔖 배합비 참조'!$B$1:$CE$1,0))/100,0),""))),"")</f>
        <v>125</v>
      </c>
      <c r="AR210" s="42" t="n">
        <f aca="false">IFERROR(IF($C210="","",IF($D210="","",IFERROR(ROUND($D210*INDEX('🔖 배합비 참조'!$B$2:$CE$83,MATCH("모시잎(국내산)",'🔖 배합비 참조'!$A$2:$A$83,0),MATCH($C210,'🔖 배합비 참조'!$B$1:$CE$1,0))/100,0),""))),"")</f>
        <v>0</v>
      </c>
      <c r="AS210" s="42" t="n">
        <f aca="false">IFERROR(IF($C210="","",IF($D210="","",IFERROR(ROUND($D210*INDEX('🔖 배합비 참조'!$B$2:$CE$83,MATCH("물엿(저당물엿)",'🔖 배합비 참조'!$A$2:$A$83,0),MATCH($C210,'🔖 배합비 참조'!$B$1:$CE$1,0))/100,0),""))),"")</f>
        <v>0</v>
      </c>
      <c r="AT210" s="42" t="n">
        <f aca="false">IFERROR(IF($C210="","",IF($D210="","",IFERROR(ROUND($D210*INDEX('🔖 배합비 참조'!$B$2:$CE$83,MATCH("밤다이스",'🔖 배합비 참조'!$A$2:$A$83,0),MATCH($C210,'🔖 배합비 참조'!$B$1:$CE$1,0))/100,0),""))),"")</f>
        <v>0</v>
      </c>
      <c r="AU210" s="42" t="n">
        <f aca="false">IFERROR(IF($C210="","",IF($D210="","",IFERROR(ROUND($D210*INDEX('🔖 배합비 참조'!$B$2:$CE$83,MATCH("변성전분(타피오카전분)",'🔖 배합비 참조'!$A$2:$A$83,0),MATCH($C210,'🔖 배합비 참조'!$B$1:$CE$1,0))/100,0),""))),"")</f>
        <v>0</v>
      </c>
      <c r="AV210" s="42" t="n">
        <f aca="false">IFERROR(IF($C210="","",IF($D210="","",IFERROR(ROUND($D210*INDEX('🔖 배합비 참조'!$B$2:$CE$83,MATCH("복음땅콩분태",'🔖 배합비 참조'!$A$2:$A$83,0),MATCH($C210,'🔖 배합비 참조'!$B$1:$CE$1,0))/100,0),""))),"")</f>
        <v>0</v>
      </c>
      <c r="AW210" s="42" t="n">
        <f aca="false">IFERROR(IF($C210="","",IF($D210="","",IFERROR(ROUND($D210*INDEX('🔖 배합비 참조'!$B$2:$CE$83,MATCH("사양벌꿀(국내산)",'🔖 배합비 참조'!$A$2:$A$83,0),MATCH($C210,'🔖 배합비 참조'!$B$1:$CE$1,0))/100,0),""))),"")</f>
        <v>4</v>
      </c>
      <c r="AX210" s="42" t="n">
        <f aca="false">IFERROR(IF($C210="","",IF($D210="","",IFERROR(ROUND($D210*INDEX('🔖 배합비 참조'!$B$2:$CE$83,MATCH("생크림",'🔖 배합비 참조'!$A$2:$A$83,0),MATCH($C210,'🔖 배합비 참조'!$B$1:$CE$1,0))/100,0),""))),"")</f>
        <v>0</v>
      </c>
      <c r="AY210" s="42" t="n">
        <f aca="false">IFERROR(IF($C210="","",IF($D210="","",IFERROR(ROUND($D210*INDEX('🔖 배합비 참조'!$B$2:$CE$83,MATCH("서양호박(국내산,뉴질랜드산)",'🔖 배합비 참조'!$A$2:$A$83,0),MATCH($C210,'🔖 배합비 참조'!$B$1:$CE$1,0))/100,0),""))),"")</f>
        <v>0</v>
      </c>
      <c r="AZ210" s="42" t="n">
        <f aca="false">IFERROR(IF($C210="","",IF($D210="","",IFERROR(ROUND($D210*INDEX('🔖 배합비 참조'!$B$2:$CE$83,MATCH("설탕",'🔖 배합비 참조'!$A$2:$A$83,0),MATCH($C210,'🔖 배합비 참조'!$B$1:$CE$1,0))/100,0),""))),"")</f>
        <v>16</v>
      </c>
      <c r="BA210" s="42" t="n">
        <f aca="false">IFERROR(IF($C210="","",IF($D210="","",IFERROR(ROUND($D210*INDEX('🔖 배합비 참조'!$B$2:$CE$83,MATCH("스트로우베리 에이드 후레쉬",'🔖 배합비 참조'!$A$2:$A$83,0),MATCH($C210,'🔖 배합비 참조'!$B$1:$CE$1,0))/100,0),""))),"")</f>
        <v>0</v>
      </c>
      <c r="BB210" s="42" t="n">
        <f aca="false">IFERROR(IF($C210="","",IF($D210="","",IFERROR(ROUND($D210*INDEX('🔖 배합비 참조'!$B$2:$CE$83,MATCH("식물성기름혼합제제(분홍)",'🔖 배합비 참조'!$A$2:$A$83,0),MATCH($C210,'🔖 배합비 참조'!$B$1:$CE$1,0))/100,0),""))),"")</f>
        <v>0</v>
      </c>
      <c r="BC210" s="42" t="n">
        <f aca="false">IFERROR(IF($C210="","",IF($D210="","",IFERROR(ROUND($D210*INDEX('🔖 배합비 참조'!$B$2:$CE$83,MATCH("식물성기름혼합제제(초록)",'🔖 배합비 참조'!$A$2:$A$83,0),MATCH($C210,'🔖 배합비 참조'!$B$1:$CE$1,0))/100,0),""))),"")</f>
        <v>0</v>
      </c>
      <c r="BD210" s="42" t="n">
        <f aca="false">IFERROR(IF($C210="","",IF($D210="","",IFERROR(ROUND($D210*INDEX('🔖 배합비 참조'!$B$2:$CE$83,MATCH("식물성기름혼합제제(황색)",'🔖 배합비 참조'!$A$2:$A$83,0),MATCH($C210,'🔖 배합비 참조'!$B$1:$CE$1,0))/100,0),""))),"")</f>
        <v>0</v>
      </c>
      <c r="BE210" s="42" t="n">
        <f aca="false">IFERROR(IF($C210="","",IF($D210="","",IFERROR(ROUND($D210*INDEX('🔖 배합비 참조'!$B$2:$CE$83,MATCH("쑥가루(국내산)",'🔖 배합비 참조'!$A$2:$A$83,0),MATCH($C210,'🔖 배합비 참조'!$B$1:$CE$1,0))/100,0),""))),"")</f>
        <v>0</v>
      </c>
      <c r="BF210" s="42" t="n">
        <f aca="false">IFERROR(IF($C210="","",IF($D210="","",IFERROR(ROUND($D210*INDEX('🔖 배합비 참조'!$B$2:$CE$83,MATCH("아몬드슬라이스",'🔖 배합비 참조'!$A$2:$A$83,0),MATCH($C210,'🔖 배합비 참조'!$B$1:$CE$1,0))/100,0),""))),"")</f>
        <v>0</v>
      </c>
      <c r="BG210" s="42" t="n">
        <f aca="false">IFERROR(IF($C210="","",IF($D210="","",IFERROR(ROUND($D210*INDEX('🔖 배합비 참조'!$B$2:$CE$83,MATCH("알룰로오스(국내산)",'🔖 배합비 참조'!$A$2:$A$83,0),MATCH($C210,'🔖 배합비 참조'!$B$1:$CE$1,0))/100,0),""))),"")</f>
        <v>0</v>
      </c>
      <c r="BH210" s="42" t="n">
        <f aca="false">IFERROR(IF($C210="","",IF($D210="","",IFERROR(ROUND($D210*INDEX('🔖 배합비 참조'!$B$2:$CE$83,MATCH("연유",'🔖 배합비 참조'!$A$2:$A$83,0),MATCH($C210,'🔖 배합비 참조'!$B$1:$CE$1,0))/100,0),""))),"")</f>
        <v>0</v>
      </c>
      <c r="BI210" s="42" t="n">
        <f aca="false">IFERROR(IF($C210="","",IF($D210="","",IFERROR(ROUND($D210*INDEX('🔖 배합비 참조'!$B$2:$CE$83,MATCH("옥수수전분",'🔖 배합비 참조'!$A$2:$A$83,0),MATCH($C210,'🔖 배합비 참조'!$B$1:$CE$1,0))/100,0),""))),"")</f>
        <v>0</v>
      </c>
      <c r="BJ210" s="42" t="n">
        <f aca="false">IFERROR(IF($C210="","",IF($D210="","",IFERROR(ROUND($D210*INDEX('🔖 배합비 참조'!$B$2:$CE$83,MATCH("완두배기",'🔖 배합비 참조'!$A$2:$A$83,0),MATCH($C210,'🔖 배합비 참조'!$B$1:$CE$1,0))/100,0),""))),"")</f>
        <v>0</v>
      </c>
      <c r="BK210" s="42" t="n">
        <f aca="false">IFERROR(IF($C210="","",IF($D210="","",IFERROR(ROUND($D210*INDEX('🔖 배합비 참조'!$B$2:$CE$83,MATCH("우유(국내산)",'🔖 배합비 참조'!$A$2:$A$83,0),MATCH($C210,'🔖 배합비 참조'!$B$1:$CE$1,0))/100,0),""))),"")</f>
        <v>0</v>
      </c>
      <c r="BL210" s="42" t="n">
        <f aca="false">IFERROR(IF($C210="","",IF($D210="","",IFERROR(ROUND($D210*INDEX('🔖 배합비 참조'!$B$2:$CE$83,MATCH("자색고구마가루(중국산)",'🔖 배합비 참조'!$A$2:$A$83,0),MATCH($C210,'🔖 배합비 참조'!$B$1:$CE$1,0))/100,0),""))),"")</f>
        <v>0</v>
      </c>
      <c r="BM210" s="42" t="n">
        <f aca="false">IFERROR(IF($C210="","",IF($D210="","",IFERROR(ROUND($D210*INDEX('🔖 배합비 참조'!$B$2:$CE$83,MATCH("자연치즈(체다치즈)",'🔖 배합비 참조'!$A$2:$A$83,0),MATCH($C210,'🔖 배합비 참조'!$B$1:$CE$1,0))/100,0),""))),"")</f>
        <v>0</v>
      </c>
      <c r="BN210" s="42" t="n">
        <f aca="false">IFERROR(IF($C210="","",IF($D210="","",IFERROR(ROUND($D210*INDEX('🔖 배합비 참조'!$B$2:$CE$83,MATCH("정제수",'🔖 배합비 참조'!$A$2:$A$83,0),MATCH($C210,'🔖 배합비 참조'!$B$1:$CE$1,0))/100,0),""))),"")</f>
        <v>23</v>
      </c>
      <c r="BO210" s="42" t="n">
        <f aca="false">IFERROR(IF($C210="","",IF($D210="","",IFERROR(ROUND($D210*INDEX('🔖 배합비 참조'!$B$2:$CE$83,MATCH("젤라틴",'🔖 배합비 참조'!$A$2:$A$83,0),MATCH($C210,'🔖 배합비 참조'!$B$1:$CE$1,0))/100,0),""))),"")</f>
        <v>0</v>
      </c>
      <c r="BP210" s="42" t="n">
        <f aca="false">IFERROR(IF($C210="","",IF($D210="","",IFERROR(ROUND($D210*INDEX('🔖 배합비 참조'!$B$2:$CE$83,MATCH("조림류(백옥앙금)",'🔖 배합비 참조'!$A$2:$A$83,0),MATCH($C210,'🔖 배합비 참조'!$B$1:$CE$1,0))/100,0),""))),"")</f>
        <v>0</v>
      </c>
      <c r="BQ210" s="42" t="n">
        <f aca="false">IFERROR(IF($C210="","",IF($D210="","",IFERROR(ROUND($D210*INDEX('🔖 배합비 참조'!$B$2:$CE$83,MATCH("조림류(통팥앙금)",'🔖 배합비 참조'!$A$2:$A$83,0),MATCH($C210,'🔖 배합비 참조'!$B$1:$CE$1,0))/100,0),""))),"")</f>
        <v>0</v>
      </c>
      <c r="BR210" s="42" t="n">
        <f aca="false">IFERROR(IF($C210="","",IF($D210="","",IFERROR(ROUND($D210*INDEX('🔖 배합비 참조'!$B$2:$CE$83,MATCH("준초콜릿(외국산)",'🔖 배합비 참조'!$A$2:$A$83,0),MATCH($C210,'🔖 배합비 참조'!$B$1:$CE$1,0))/100,0),""))),"")</f>
        <v>0</v>
      </c>
      <c r="BS210" s="42" t="n">
        <f aca="false">IFERROR(IF($C210="","",IF($D210="","",IFERROR(ROUND($D210*INDEX('🔖 배합비 참조'!$B$2:$CE$83,MATCH("중력분",'🔖 배합비 참조'!$A$2:$A$83,0),MATCH($C210,'🔖 배합비 참조'!$B$1:$CE$1,0))/100,0),""))),"")</f>
        <v>0</v>
      </c>
      <c r="BT210" s="42" t="n">
        <f aca="false">IFERROR(IF($C210="","",IF($D210="","",IFERROR(ROUND($D210*INDEX('🔖 배합비 참조'!$B$2:$CE$83,MATCH("참깨(인도산,나이지리아산,탄자니아산,미얀마산)",'🔖 배합비 참조'!$A$2:$A$83,0),MATCH($C210,'🔖 배합비 참조'!$B$1:$CE$1,0))/100,0),""))),"")</f>
        <v>0</v>
      </c>
      <c r="BU210" s="42" t="n">
        <f aca="false">IFERROR(IF($C210="","",IF($D210="","",IFERROR(ROUND($D210*INDEX('🔖 배합비 참조'!$B$2:$CE$83,MATCH("찹쌀(국내산)",'🔖 배합비 참조'!$A$2:$A$83,0),MATCH($C210,'🔖 배합비 참조'!$B$1:$CE$1,0))/100,0),""))),"")</f>
        <v>0</v>
      </c>
      <c r="BV210" s="42" t="n">
        <f aca="false">IFERROR(IF($C210="","",IF($D210="","",IFERROR(ROUND($D210*INDEX('🔖 배합비 참조'!$B$2:$CE$83,MATCH("천일염",'🔖 배합비 참조'!$A$2:$A$83,0),MATCH($C210,'🔖 배합비 참조'!$B$1:$CE$1,0))/100,0),""))),"")</f>
        <v>2</v>
      </c>
      <c r="BW210" s="42" t="n">
        <f aca="false">IFERROR(IF($C210="","",IF($D210="","",IFERROR(ROUND($D210*INDEX('🔖 배합비 참조'!$B$2:$CE$83,MATCH("치즈 [크림치즈]",'🔖 배합비 참조'!$A$2:$A$83,0),MATCH($C210,'🔖 배합비 참조'!$B$1:$CE$1,0))/100,0),""))),"")</f>
        <v>0</v>
      </c>
      <c r="BX210" s="42" t="n">
        <f aca="false">IFERROR(IF($C210="","",IF($D210="","",IFERROR(ROUND($D210*INDEX('🔖 배합비 참조'!$B$2:$CE$83,MATCH("코코아가공품류(코코아분말)",'🔖 배합비 참조'!$A$2:$A$83,0),MATCH($C210,'🔖 배합비 참조'!$B$1:$CE$1,0))/100,0),""))),"")</f>
        <v>0</v>
      </c>
      <c r="BY210" s="42" t="n">
        <f aca="false">IFERROR(IF($C210="","",IF($D210="","",IFERROR(ROUND($D210*INDEX('🔖 배합비 참조'!$B$2:$CE$83,MATCH("콩기름(대두유)",'🔖 배합비 참조'!$A$2:$A$83,0),MATCH($C210,'🔖 배합비 참조'!$B$1:$CE$1,0))/100,0),""))),"")</f>
        <v>0</v>
      </c>
      <c r="BZ210" s="42" t="n">
        <f aca="false">IFERROR(IF($C210="","",IF($D210="","",IFERROR(ROUND($D210*INDEX('🔖 배합비 참조'!$B$2:$CE$83,MATCH("해바라기씨앗",'🔖 배합비 참조'!$A$2:$A$83,0),MATCH($C210,'🔖 배합비 참조'!$B$1:$CE$1,0))/100,0),""))),"")</f>
        <v>0</v>
      </c>
      <c r="CA210" s="42" t="n">
        <f aca="false">IFERROR(IF($C210="","",IF($D210="","",IFERROR(ROUND($D210*INDEX('🔖 배합비 참조'!$B$2:$CE$83,MATCH("현미(국내산)",'🔖 배합비 참조'!$A$2:$A$83,0),MATCH($C210,'🔖 배합비 참조'!$B$1:$CE$1,0))/100,0),""))),"")</f>
        <v>0</v>
      </c>
      <c r="CB210" s="42" t="n">
        <f aca="false">IFERROR(IF($C210="","",IF($D210="","",IFERROR(ROUND($D210*INDEX('🔖 배합비 참조'!$B$2:$CE$83,MATCH("현미멥쌀(국내산)",'🔖 배합비 참조'!$A$2:$A$83,0),MATCH($C210,'🔖 배합비 참조'!$B$1:$CE$1,0))/100,0),""))),"")</f>
        <v>0</v>
      </c>
      <c r="CC210" s="42" t="n">
        <f aca="false">IFERROR(IF($C210="","",IF($D210="","",IFERROR(ROUND($D210*INDEX('🔖 배합비 참조'!$B$2:$CE$83,MATCH("호두분태(미국산)",'🔖 배합비 참조'!$A$2:$A$83,0),MATCH($C210,'🔖 배합비 참조'!$B$1:$CE$1,0))/100,0),""))),"")</f>
        <v>0</v>
      </c>
      <c r="CD210" s="42" t="n">
        <f aca="false">IFERROR(IF($C210="","",IF($D210="","",IFERROR(ROUND($D210*INDEX('🔖 배합비 참조'!$B$2:$CE$83,MATCH("호박씨앗(외국산)",'🔖 배합비 참조'!$A$2:$A$83,0),MATCH($C210,'🔖 배합비 참조'!$B$1:$CE$1,0))/100,0),""))),"")</f>
        <v>0</v>
      </c>
      <c r="CE210" s="42" t="n">
        <f aca="false">IFERROR(IF($C210="","",IF($D210="","",IFERROR(ROUND($D210*INDEX('🔖 배합비 참조'!$B$2:$CE$83,MATCH("혼합제제(떡용에스텔)",'🔖 배합비 참조'!$A$2:$A$83,0),MATCH($C210,'🔖 배합비 참조'!$B$1:$CE$1,0))/100,0),""))),"")</f>
        <v>0</v>
      </c>
      <c r="CF210" s="42" t="n">
        <f aca="false">IFERROR(IF($C210="","",IF($D210="","",IFERROR(ROUND($D210*INDEX('🔖 배합비 참조'!$B$2:$CE$83,MATCH("혼합제제(스테비아)",'🔖 배합비 참조'!$A$2:$A$83,0),MATCH($C210,'🔖 배합비 참조'!$B$1:$CE$1,0))/100,0),""))),"")</f>
        <v>0</v>
      </c>
      <c r="CG210" s="42" t="n">
        <f aca="false">IFERROR(IF($C210="","",IF($D210="","",IFERROR(ROUND($D210*INDEX('🔖 배합비 참조'!$B$2:$CE$83,MATCH("화이트초콜릿",'🔖 배합비 참조'!$A$2:$A$83,0),MATCH($C210,'🔖 배합비 참조'!$B$1:$CE$1,0))/100,0),""))),"")</f>
        <v>0</v>
      </c>
      <c r="CH210" s="42" t="n">
        <f aca="false">IFERROR(IF($C210="","",IF($D210="","",IFERROR(ROUND($D210*INDEX('🔖 배합비 참조'!$B$2:$CE$83,MATCH("흑미찹쌀(국내산)",'🔖 배합비 참조'!$A$2:$A$83,0),MATCH($C210,'🔖 배합비 참조'!$B$1:$CE$1,0))/100,0),""))),"")</f>
        <v>0</v>
      </c>
      <c r="CI210" s="42" t="n">
        <f aca="false">IFERROR(IF($C210="","",IF($D210="","",IFERROR(ROUND($D210*INDEX('🔖 배합비 참조'!$B$2:$CE$83,MATCH("찰옥수수전분(미국산)",'🔖 배합비 참조'!$A$2:$A$83,0),MATCH($C210,'🔖 배합비 참조'!$B$1:$CE$1,0))/100,0),""))),"")</f>
        <v>0</v>
      </c>
      <c r="CJ210" s="40"/>
      <c r="CL210" s="1" t="s">
        <v>247</v>
      </c>
    </row>
    <row r="211" customFormat="false" ht="18" hidden="false" customHeight="true" outlineLevel="0" collapsed="false">
      <c r="A211" s="35" t="n">
        <v>207</v>
      </c>
      <c r="B211" s="36" t="n">
        <v>46059</v>
      </c>
      <c r="C211" s="37" t="s">
        <v>156</v>
      </c>
      <c r="D211" s="38" t="n">
        <v>110</v>
      </c>
      <c r="E211" s="13"/>
      <c r="F211" s="13"/>
      <c r="G211" s="39" t="n">
        <f aca="false">IFERROR(IF($C211="","",IF($D211="","",IFERROR(ROUND($D211*INDEX('🔖 배합비 참조'!$B$2:$CE$83,MATCH("간장",'🔖 배합비 참조'!$A$2:$A$83,0),MATCH($C211,'🔖 배합비 참조'!$B$1:$CE$1,0))/100,0),""))),"")</f>
        <v>0</v>
      </c>
      <c r="H211" s="39" t="n">
        <f aca="false">IFERROR(IF($C211="","",IF($D211="","",IFERROR(ROUND($D211*INDEX('🔖 배합비 참조'!$B$2:$CE$83,MATCH("강낭콩((울타리콩))",'🔖 배합비 참조'!$A$2:$A$83,0),MATCH($C211,'🔖 배합비 참조'!$B$1:$CE$1,0))/100,0),""))),"")</f>
        <v>0</v>
      </c>
      <c r="I211" s="39" t="n">
        <f aca="false">IFERROR(IF($C211="","",IF($D211="","",IFERROR(ROUND($D211*INDEX('🔖 배합비 참조'!$B$2:$CE$83,MATCH("건조딸기다이스(외국산)",'🔖 배합비 참조'!$A$2:$A$83,0),MATCH($C211,'🔖 배합비 참조'!$B$1:$CE$1,0))/100,0),""))),"")</f>
        <v>0</v>
      </c>
      <c r="J211" s="39" t="n">
        <f aca="false">IFERROR(IF($C211="","",IF($D211="","",IFERROR(ROUND($D211*INDEX('🔖 배합비 참조'!$B$2:$CE$83,MATCH("건포도",'🔖 배합비 참조'!$A$2:$A$83,0),MATCH($C211,'🔖 배합비 참조'!$B$1:$CE$1,0))/100,0),""))),"")</f>
        <v>0</v>
      </c>
      <c r="K211" s="39" t="n">
        <f aca="false">IFERROR(IF($C211="","",IF($D211="","",IFERROR(ROUND($D211*INDEX('🔖 배합비 참조'!$B$2:$CE$83,MATCH("건호박채(중국산)",'🔖 배합비 참조'!$A$2:$A$83,0),MATCH($C211,'🔖 배합비 참조'!$B$1:$CE$1,0))/100,0),""))),"")</f>
        <v>0</v>
      </c>
      <c r="L211" s="39" t="n">
        <f aca="false">IFERROR(IF($C211="","",IF($D211="","",IFERROR(ROUND($D211*INDEX('🔖 배합비 참조'!$B$2:$CE$83,MATCH("검정깨(흑임자)",'🔖 배합비 참조'!$A$2:$A$83,0),MATCH($C211,'🔖 배합비 참조'!$B$1:$CE$1,0))/100,0),""))),"")</f>
        <v>0</v>
      </c>
      <c r="M211" s="39" t="n">
        <f aca="false">IFERROR(IF($C211="","",IF($D211="","",IFERROR(ROUND($D211*INDEX('🔖 배합비 참조'!$B$2:$CE$83,MATCH("검정콩",'🔖 배합비 참조'!$A$2:$A$83,0),MATCH($C211,'🔖 배합비 참조'!$B$1:$CE$1,0))/100,0),""))),"")</f>
        <v>0</v>
      </c>
      <c r="N211" s="39" t="n">
        <f aca="false">IFERROR(IF($C211="","",IF($D211="","",IFERROR(ROUND($D211*INDEX('🔖 배합비 참조'!$B$2:$CE$83,MATCH("계피가루",'🔖 배합비 참조'!$A$2:$A$83,0),MATCH($C211,'🔖 배합비 참조'!$B$1:$CE$1,0))/100,0),""))),"")</f>
        <v>0</v>
      </c>
      <c r="O211" s="39" t="n">
        <f aca="false">IFERROR(IF($C211="","",IF($D211="","",IFERROR(ROUND($D211*INDEX('🔖 배합비 참조'!$B$2:$CE$83,MATCH("고구마가루",'🔖 배합비 참조'!$A$2:$A$83,0),MATCH($C211,'🔖 배합비 참조'!$B$1:$CE$1,0))/100,0),""))),"")</f>
        <v>0</v>
      </c>
      <c r="P211" s="39" t="n">
        <f aca="false">IFERROR(IF($C211="","",IF($D211="","",IFERROR(ROUND($D211*INDEX('🔖 배합비 참조'!$B$2:$CE$83,MATCH("고구마무스",'🔖 배합비 참조'!$A$2:$A$83,0),MATCH($C211,'🔖 배합비 참조'!$B$1:$CE$1,0))/100,0),""))),"")</f>
        <v>0</v>
      </c>
      <c r="Q211" s="39" t="n">
        <f aca="false">IFERROR(IF($C211="","",IF($D211="","",IFERROR(ROUND($D211*INDEX('🔖 배합비 참조'!$B$2:$CE$83,MATCH("고려엉겅퀴((곤드레)국내산)",'🔖 배합비 참조'!$A$2:$A$83,0),MATCH($C211,'🔖 배합비 참조'!$B$1:$CE$1,0))/100,0),""))),"")</f>
        <v>0</v>
      </c>
      <c r="R211" s="39" t="n">
        <f aca="false">IFERROR(IF($C211="","",IF($D211="","",IFERROR(ROUND($D211*INDEX('🔖 배합비 참조'!$B$2:$CE$83,MATCH("기타가공품(복분자가루)",'🔖 배합비 참조'!$A$2:$A$83,0),MATCH($C211,'🔖 배합비 참조'!$B$1:$CE$1,0))/100,0),""))),"")</f>
        <v>0</v>
      </c>
      <c r="S211" s="39" t="n">
        <f aca="false">IFERROR(IF($C211="","",IF($D211="","",IFERROR(ROUND($D211*INDEX('🔖 배합비 참조'!$B$2:$CE$83,MATCH("기타가공품(슈퍼소프트엠)",'🔖 배합비 참조'!$A$2:$A$83,0),MATCH($C211,'🔖 배합비 참조'!$B$1:$CE$1,0))/100,0),""))),"")</f>
        <v>0</v>
      </c>
      <c r="T211" s="39" t="n">
        <f aca="false">IFERROR(IF($C211="","",IF($D211="","",IFERROR(ROUND($D211*INDEX('🔖 배합비 참조'!$B$2:$CE$83,MATCH("기타가공품(파인소프트 E-티)",'🔖 배합비 참조'!$A$2:$A$83,0),MATCH($C211,'🔖 배합비 참조'!$B$1:$CE$1,0))/100,0),""))),"")</f>
        <v>0</v>
      </c>
      <c r="U211" s="39" t="n">
        <f aca="false">IFERROR(IF($C211="","",IF($D211="","",IFERROR(ROUND($D211*INDEX('🔖 배합비 참조'!$B$2:$CE$83,MATCH("기타가공품(프리미엄카스테라가루)",'🔖 배합비 참조'!$A$2:$A$83,0),MATCH($C211,'🔖 배합비 참조'!$B$1:$CE$1,0))/100,0),""))),"")</f>
        <v>0</v>
      </c>
      <c r="V211" s="39" t="n">
        <f aca="false">IFERROR(IF($C211="","",IF($D211="","",IFERROR(ROUND($D211*INDEX('🔖 배합비 참조'!$B$2:$CE$83,MATCH("기타가공품(흑임자가루)",'🔖 배합비 참조'!$A$2:$A$83,0),MATCH($C211,'🔖 배합비 참조'!$B$1:$CE$1,0))/100,0),""))),"")</f>
        <v>0</v>
      </c>
      <c r="W211" s="39" t="n">
        <f aca="false">IFERROR(IF($C211="","",IF($D211="","",IFERROR(ROUND($D211*INDEX('🔖 배합비 참조'!$B$2:$CE$83,MATCH("기타설탕(흑설탕)",'🔖 배합비 참조'!$A$2:$A$83,0),MATCH($C211,'🔖 배합비 참조'!$B$1:$CE$1,0))/100,0),""))),"")</f>
        <v>0</v>
      </c>
      <c r="X211" s="39" t="n">
        <f aca="false">IFERROR(IF($C211="","",IF($D211="","",IFERROR(ROUND($D211*INDEX('🔖 배합비 참조'!$B$2:$CE$83,MATCH("냉동쑥(국내산)",'🔖 배합비 참조'!$A$2:$A$83,0),MATCH($C211,'🔖 배합비 참조'!$B$1:$CE$1,0))/100,0),""))),"")</f>
        <v>0</v>
      </c>
      <c r="Y211" s="39" t="n">
        <f aca="false">IFERROR(IF($C211="","",IF($D211="","",IFERROR(ROUND($D211*INDEX('🔖 배합비 참조'!$B$2:$CE$83,MATCH("냉동증숙고구마(중국산)",'🔖 배합비 참조'!$A$2:$A$83,0),MATCH($C211,'🔖 배합비 참조'!$B$1:$CE$1,0))/100,0),""))),"")</f>
        <v>0</v>
      </c>
      <c r="Z211" s="39" t="n">
        <f aca="false">IFERROR(IF($C211="","",IF($D211="","",IFERROR(ROUND($D211*INDEX('🔖 배합비 참조'!$B$2:$CE$83,MATCH("녹차가루",'🔖 배합비 참조'!$A$2:$A$83,0),MATCH($C211,'🔖 배합비 참조'!$B$1:$CE$1,0))/100,0),""))),"")</f>
        <v>0</v>
      </c>
      <c r="AA211" s="39" t="n">
        <f aca="false">IFERROR(IF($C211="","",IF($D211="","",IFERROR(ROUND($D211*INDEX('🔖 배합비 참조'!$B$2:$CE$83,MATCH("다크초콜릿 컴파운드칩",'🔖 배합비 참조'!$A$2:$A$83,0),MATCH($C211,'🔖 배합비 참조'!$B$1:$CE$1,0))/100,0),""))),"")</f>
        <v>0</v>
      </c>
      <c r="AB211" s="39" t="n">
        <f aca="false">IFERROR(IF($C211="","",IF($D211="","",IFERROR(ROUND($D211*INDEX('🔖 배합비 참조'!$B$2:$CE$83,MATCH("단호박분말(중국산)",'🔖 배합비 참조'!$A$2:$A$83,0),MATCH($C211,'🔖 배합비 참조'!$B$1:$CE$1,0))/100,0),""))),"")</f>
        <v>1</v>
      </c>
      <c r="AC211" s="39" t="n">
        <f aca="false">IFERROR(IF($C211="","",IF($D211="","",IFERROR(ROUND($D211*INDEX('🔖 배합비 참조'!$B$2:$CE$83,MATCH("당류가공품(단호박농축액)",'🔖 배합비 참조'!$A$2:$A$83,0),MATCH($C211,'🔖 배합비 참조'!$B$1:$CE$1,0))/100,0),""))),"")</f>
        <v>0</v>
      </c>
      <c r="AD211" s="39" t="n">
        <f aca="false">IFERROR(IF($C211="","",IF($D211="","",IFERROR(ROUND($D211*INDEX('🔖 배합비 참조'!$B$2:$CE$83,MATCH("당류가공품(알룰로스,에리스리톨,스테비올배당체혼합)",'🔖 배합비 참조'!$A$2:$A$83,0),MATCH($C211,'🔖 배합비 참조'!$B$1:$CE$1,0))/100,0),""))),"")</f>
        <v>0</v>
      </c>
      <c r="AE211" s="39" t="n">
        <f aca="false">IFERROR(IF($C211="","",IF($D211="","",IFERROR(ROUND($D211*INDEX('🔖 배합비 참조'!$B$2:$CE$83,MATCH("당류가공품(알룰로스제로파우더)",'🔖 배합비 참조'!$A$2:$A$83,0),MATCH($C211,'🔖 배합비 참조'!$B$1:$CE$1,0))/100,0),""))),"")</f>
        <v>0</v>
      </c>
      <c r="AF211" s="39" t="n">
        <f aca="false">IFERROR(IF($C211="","",IF($D211="","",IFERROR(ROUND($D211*INDEX('🔖 배합비 참조'!$B$2:$CE$83,MATCH("당절임(완두배기)",'🔖 배합비 참조'!$A$2:$A$83,0),MATCH($C211,'🔖 배합비 참조'!$B$1:$CE$1,0))/100,0),""))),"")</f>
        <v>0</v>
      </c>
      <c r="AG211" s="39" t="n">
        <f aca="false">IFERROR(IF($C211="","",IF($D211="","",IFERROR(ROUND($D211*INDEX('🔖 배합비 참조'!$B$2:$CE$83,MATCH("대추농축액",'🔖 배합비 참조'!$A$2:$A$83,0),MATCH($C211,'🔖 배합비 참조'!$B$1:$CE$1,0))/100,0),""))),"")</f>
        <v>0</v>
      </c>
      <c r="AH211" s="39" t="n">
        <f aca="false">IFERROR(IF($C211="","",IF($D211="","",IFERROR(ROUND($D211*INDEX('🔖 배합비 참조'!$B$2:$CE$83,MATCH("대추채(국내산)",'🔖 배합비 참조'!$A$2:$A$83,0),MATCH($C211,'🔖 배합비 참조'!$B$1:$CE$1,0))/100,0),""))),"")</f>
        <v>0</v>
      </c>
      <c r="AI211" s="39" t="n">
        <f aca="false">IFERROR(IF($C211="","",IF($D211="","",IFERROR(ROUND($D211*INDEX('🔖 배합비 참조'!$B$2:$CE$83,MATCH("동부(미얀마산)",'🔖 배합비 참조'!$A$2:$A$83,0),MATCH($C211,'🔖 배합비 참조'!$B$1:$CE$1,0))/100,0),""))),"")</f>
        <v>0</v>
      </c>
      <c r="AJ211" s="39" t="n">
        <f aca="false">IFERROR(IF($C211="","",IF($D211="","",IFERROR(ROUND($D211*INDEX('🔖 배합비 참조'!$B$2:$CE$83,MATCH("두류가공품(백옥앙금)",'🔖 배합비 참조'!$A$2:$A$83,0),MATCH($C211,'🔖 배합비 참조'!$B$1:$CE$1,0))/100,0),""))),"")</f>
        <v>0</v>
      </c>
      <c r="AK211" s="39" t="n">
        <f aca="false">IFERROR(IF($C211="","",IF($D211="","",IFERROR(ROUND($D211*INDEX('🔖 배합비 참조'!$B$2:$CE$83,MATCH("두류가공품(콩고물)",'🔖 배합비 참조'!$A$2:$A$83,0),MATCH($C211,'🔖 배합비 참조'!$B$1:$CE$1,0))/100,0),""))),"")</f>
        <v>0</v>
      </c>
      <c r="AL211" s="39" t="n">
        <f aca="false">IFERROR(IF($C211="","",IF($D211="","",IFERROR(ROUND($D211*INDEX('🔖 배합비 참조'!$B$2:$CE$83,MATCH("두류가공품(통팥고물)",'🔖 배합비 참조'!$A$2:$A$83,0),MATCH($C211,'🔖 배합비 참조'!$B$1:$CE$1,0))/100,0),""))),"")</f>
        <v>0</v>
      </c>
      <c r="AM211" s="39" t="n">
        <f aca="false">IFERROR(IF($C211="","",IF($D211="","",IFERROR(ROUND($D211*INDEX('🔖 배합비 참조'!$B$2:$CE$83,MATCH("딸기레진",'🔖 배합비 참조'!$A$2:$A$83,0),MATCH($C211,'🔖 배합비 참조'!$B$1:$CE$1,0))/100,0),""))),"")</f>
        <v>0</v>
      </c>
      <c r="AN211" s="39" t="n">
        <f aca="false">IFERROR(IF($C211="","",IF($D211="","",IFERROR(ROUND($D211*INDEX('🔖 배합비 참조'!$B$2:$CE$83,MATCH("딸기분말(스트로우베리에이드(분말))",'🔖 배합비 참조'!$A$2:$A$83,0),MATCH($C211,'🔖 배합비 참조'!$B$1:$CE$1,0))/100,0),""))),"")</f>
        <v>0</v>
      </c>
      <c r="AO211" s="39" t="n">
        <f aca="false">IFERROR(IF($C211="","",IF($D211="","",IFERROR(ROUND($D211*INDEX('🔖 배합비 참조'!$B$2:$CE$83,MATCH("마스카포네치즈",'🔖 배합비 참조'!$A$2:$A$83,0),MATCH($C211,'🔖 배합비 참조'!$B$1:$CE$1,0))/100,0),""))),"")</f>
        <v>0</v>
      </c>
      <c r="AP211" s="39" t="n">
        <f aca="false">IFERROR(IF($C211="","",IF($D211="","",IFERROR(ROUND($D211*INDEX('🔖 배합비 참조'!$B$2:$CE$83,MATCH("마카다미아분태(호주산)",'🔖 배합비 참조'!$A$2:$A$83,0),MATCH($C211,'🔖 배합비 참조'!$B$1:$CE$1,0))/100,0),""))),"")</f>
        <v>5</v>
      </c>
      <c r="AQ211" s="39" t="n">
        <f aca="false">IFERROR(IF($C211="","",IF($D211="","",IFERROR(ROUND($D211*INDEX('🔖 배합비 참조'!$B$2:$CE$83,MATCH("멥쌀(국내산)",'🔖 배합비 참조'!$A$2:$A$83,0),MATCH($C211,'🔖 배합비 참조'!$B$1:$CE$1,0))/100,0),""))),"")</f>
        <v>0</v>
      </c>
      <c r="AR211" s="39" t="n">
        <f aca="false">IFERROR(IF($C211="","",IF($D211="","",IFERROR(ROUND($D211*INDEX('🔖 배합비 참조'!$B$2:$CE$83,MATCH("모시잎(국내산)",'🔖 배합비 참조'!$A$2:$A$83,0),MATCH($C211,'🔖 배합비 참조'!$B$1:$CE$1,0))/100,0),""))),"")</f>
        <v>0</v>
      </c>
      <c r="AS211" s="39" t="n">
        <f aca="false">IFERROR(IF($C211="","",IF($D211="","",IFERROR(ROUND($D211*INDEX('🔖 배합비 참조'!$B$2:$CE$83,MATCH("물엿(저당물엿)",'🔖 배합비 참조'!$A$2:$A$83,0),MATCH($C211,'🔖 배합비 참조'!$B$1:$CE$1,0))/100,0),""))),"")</f>
        <v>0</v>
      </c>
      <c r="AT211" s="39" t="n">
        <f aca="false">IFERROR(IF($C211="","",IF($D211="","",IFERROR(ROUND($D211*INDEX('🔖 배합비 참조'!$B$2:$CE$83,MATCH("밤다이스",'🔖 배합비 참조'!$A$2:$A$83,0),MATCH($C211,'🔖 배합비 참조'!$B$1:$CE$1,0))/100,0),""))),"")</f>
        <v>1</v>
      </c>
      <c r="AU211" s="39" t="n">
        <f aca="false">IFERROR(IF($C211="","",IF($D211="","",IFERROR(ROUND($D211*INDEX('🔖 배합비 참조'!$B$2:$CE$83,MATCH("변성전분(타피오카전분)",'🔖 배합비 참조'!$A$2:$A$83,0),MATCH($C211,'🔖 배합비 참조'!$B$1:$CE$1,0))/100,0),""))),"")</f>
        <v>0</v>
      </c>
      <c r="AV211" s="39" t="n">
        <f aca="false">IFERROR(IF($C211="","",IF($D211="","",IFERROR(ROUND($D211*INDEX('🔖 배합비 참조'!$B$2:$CE$83,MATCH("복음땅콩분태",'🔖 배합비 참조'!$A$2:$A$83,0),MATCH($C211,'🔖 배합비 참조'!$B$1:$CE$1,0))/100,0),""))),"")</f>
        <v>0</v>
      </c>
      <c r="AW211" s="39" t="n">
        <f aca="false">IFERROR(IF($C211="","",IF($D211="","",IFERROR(ROUND($D211*INDEX('🔖 배합비 참조'!$B$2:$CE$83,MATCH("사양벌꿀(국내산)",'🔖 배합비 참조'!$A$2:$A$83,0),MATCH($C211,'🔖 배합비 참조'!$B$1:$CE$1,0))/100,0),""))),"")</f>
        <v>0</v>
      </c>
      <c r="AX211" s="39" t="n">
        <f aca="false">IFERROR(IF($C211="","",IF($D211="","",IFERROR(ROUND($D211*INDEX('🔖 배합비 참조'!$B$2:$CE$83,MATCH("생크림",'🔖 배합비 참조'!$A$2:$A$83,0),MATCH($C211,'🔖 배합비 참조'!$B$1:$CE$1,0))/100,0),""))),"")</f>
        <v>0</v>
      </c>
      <c r="AY211" s="39" t="n">
        <f aca="false">IFERROR(IF($C211="","",IF($D211="","",IFERROR(ROUND($D211*INDEX('🔖 배합비 참조'!$B$2:$CE$83,MATCH("서양호박(국내산,뉴질랜드산)",'🔖 배합비 참조'!$A$2:$A$83,0),MATCH($C211,'🔖 배합비 참조'!$B$1:$CE$1,0))/100,0),""))),"")</f>
        <v>0</v>
      </c>
      <c r="AZ211" s="39" t="n">
        <f aca="false">IFERROR(IF($C211="","",IF($D211="","",IFERROR(ROUND($D211*INDEX('🔖 배합비 참조'!$B$2:$CE$83,MATCH("설탕",'🔖 배합비 참조'!$A$2:$A$83,0),MATCH($C211,'🔖 배합비 참조'!$B$1:$CE$1,0))/100,0),""))),"")</f>
        <v>2</v>
      </c>
      <c r="BA211" s="39" t="n">
        <f aca="false">IFERROR(IF($C211="","",IF($D211="","",IFERROR(ROUND($D211*INDEX('🔖 배합비 참조'!$B$2:$CE$83,MATCH("스트로우베리 에이드 후레쉬",'🔖 배합비 참조'!$A$2:$A$83,0),MATCH($C211,'🔖 배합비 참조'!$B$1:$CE$1,0))/100,0),""))),"")</f>
        <v>0</v>
      </c>
      <c r="BB211" s="39" t="n">
        <f aca="false">IFERROR(IF($C211="","",IF($D211="","",IFERROR(ROUND($D211*INDEX('🔖 배합비 참조'!$B$2:$CE$83,MATCH("식물성기름혼합제제(분홍)",'🔖 배합비 참조'!$A$2:$A$83,0),MATCH($C211,'🔖 배합비 참조'!$B$1:$CE$1,0))/100,0),""))),"")</f>
        <v>0</v>
      </c>
      <c r="BC211" s="39" t="n">
        <f aca="false">IFERROR(IF($C211="","",IF($D211="","",IFERROR(ROUND($D211*INDEX('🔖 배합비 참조'!$B$2:$CE$83,MATCH("식물성기름혼합제제(초록)",'🔖 배합비 참조'!$A$2:$A$83,0),MATCH($C211,'🔖 배합비 참조'!$B$1:$CE$1,0))/100,0),""))),"")</f>
        <v>0</v>
      </c>
      <c r="BD211" s="39" t="n">
        <f aca="false">IFERROR(IF($C211="","",IF($D211="","",IFERROR(ROUND($D211*INDEX('🔖 배합비 참조'!$B$2:$CE$83,MATCH("식물성기름혼합제제(황색)",'🔖 배합비 참조'!$A$2:$A$83,0),MATCH($C211,'🔖 배합비 참조'!$B$1:$CE$1,0))/100,0),""))),"")</f>
        <v>0</v>
      </c>
      <c r="BE211" s="39" t="n">
        <f aca="false">IFERROR(IF($C211="","",IF($D211="","",IFERROR(ROUND($D211*INDEX('🔖 배합비 참조'!$B$2:$CE$83,MATCH("쑥가루(국내산)",'🔖 배합비 참조'!$A$2:$A$83,0),MATCH($C211,'🔖 배합비 참조'!$B$1:$CE$1,0))/100,0),""))),"")</f>
        <v>0</v>
      </c>
      <c r="BF211" s="39" t="n">
        <f aca="false">IFERROR(IF($C211="","",IF($D211="","",IFERROR(ROUND($D211*INDEX('🔖 배합비 참조'!$B$2:$CE$83,MATCH("아몬드슬라이스",'🔖 배합비 참조'!$A$2:$A$83,0),MATCH($C211,'🔖 배합비 참조'!$B$1:$CE$1,0))/100,0),""))),"")</f>
        <v>0</v>
      </c>
      <c r="BG211" s="39" t="n">
        <f aca="false">IFERROR(IF($C211="","",IF($D211="","",IFERROR(ROUND($D211*INDEX('🔖 배합비 참조'!$B$2:$CE$83,MATCH("알룰로오스(국내산)",'🔖 배합비 참조'!$A$2:$A$83,0),MATCH($C211,'🔖 배합비 참조'!$B$1:$CE$1,0))/100,0),""))),"")</f>
        <v>0</v>
      </c>
      <c r="BH211" s="39" t="n">
        <f aca="false">IFERROR(IF($C211="","",IF($D211="","",IFERROR(ROUND($D211*INDEX('🔖 배합비 참조'!$B$2:$CE$83,MATCH("연유",'🔖 배합비 참조'!$A$2:$A$83,0),MATCH($C211,'🔖 배합비 참조'!$B$1:$CE$1,0))/100,0),""))),"")</f>
        <v>0</v>
      </c>
      <c r="BI211" s="39" t="n">
        <f aca="false">IFERROR(IF($C211="","",IF($D211="","",IFERROR(ROUND($D211*INDEX('🔖 배합비 참조'!$B$2:$CE$83,MATCH("옥수수전분",'🔖 배합비 참조'!$A$2:$A$83,0),MATCH($C211,'🔖 배합비 참조'!$B$1:$CE$1,0))/100,0),""))),"")</f>
        <v>1</v>
      </c>
      <c r="BJ211" s="39" t="n">
        <f aca="false">IFERROR(IF($C211="","",IF($D211="","",IFERROR(ROUND($D211*INDEX('🔖 배합비 참조'!$B$2:$CE$83,MATCH("완두배기",'🔖 배합비 참조'!$A$2:$A$83,0),MATCH($C211,'🔖 배합비 참조'!$B$1:$CE$1,0))/100,0),""))),"")</f>
        <v>0</v>
      </c>
      <c r="BK211" s="39" t="n">
        <f aca="false">IFERROR(IF($C211="","",IF($D211="","",IFERROR(ROUND($D211*INDEX('🔖 배합비 참조'!$B$2:$CE$83,MATCH("우유(국내산)",'🔖 배합비 참조'!$A$2:$A$83,0),MATCH($C211,'🔖 배합비 참조'!$B$1:$CE$1,0))/100,0),""))),"")</f>
        <v>0</v>
      </c>
      <c r="BL211" s="39" t="n">
        <f aca="false">IFERROR(IF($C211="","",IF($D211="","",IFERROR(ROUND($D211*INDEX('🔖 배합비 참조'!$B$2:$CE$83,MATCH("자색고구마가루(중국산)",'🔖 배합비 참조'!$A$2:$A$83,0),MATCH($C211,'🔖 배합비 참조'!$B$1:$CE$1,0))/100,0),""))),"")</f>
        <v>0</v>
      </c>
      <c r="BM211" s="39" t="n">
        <f aca="false">IFERROR(IF($C211="","",IF($D211="","",IFERROR(ROUND($D211*INDEX('🔖 배합비 참조'!$B$2:$CE$83,MATCH("자연치즈(체다치즈)",'🔖 배합비 참조'!$A$2:$A$83,0),MATCH($C211,'🔖 배합비 참조'!$B$1:$CE$1,0))/100,0),""))),"")</f>
        <v>0</v>
      </c>
      <c r="BN211" s="39" t="n">
        <f aca="false">IFERROR(IF($C211="","",IF($D211="","",IFERROR(ROUND($D211*INDEX('🔖 배합비 참조'!$B$2:$CE$83,MATCH("정제수",'🔖 배합비 참조'!$A$2:$A$83,0),MATCH($C211,'🔖 배합비 참조'!$B$1:$CE$1,0))/100,0),""))),"")</f>
        <v>19</v>
      </c>
      <c r="BO211" s="39" t="n">
        <f aca="false">IFERROR(IF($C211="","",IF($D211="","",IFERROR(ROUND($D211*INDEX('🔖 배합비 참조'!$B$2:$CE$83,MATCH("젤라틴",'🔖 배합비 참조'!$A$2:$A$83,0),MATCH($C211,'🔖 배합비 참조'!$B$1:$CE$1,0))/100,0),""))),"")</f>
        <v>0</v>
      </c>
      <c r="BP211" s="39" t="n">
        <f aca="false">IFERROR(IF($C211="","",IF($D211="","",IFERROR(ROUND($D211*INDEX('🔖 배합비 참조'!$B$2:$CE$83,MATCH("조림류(백옥앙금)",'🔖 배합비 참조'!$A$2:$A$83,0),MATCH($C211,'🔖 배합비 참조'!$B$1:$CE$1,0))/100,0),""))),"")</f>
        <v>0</v>
      </c>
      <c r="BQ211" s="39" t="n">
        <f aca="false">IFERROR(IF($C211="","",IF($D211="","",IFERROR(ROUND($D211*INDEX('🔖 배합비 참조'!$B$2:$CE$83,MATCH("조림류(통팥앙금)",'🔖 배합비 참조'!$A$2:$A$83,0),MATCH($C211,'🔖 배합비 참조'!$B$1:$CE$1,0))/100,0),""))),"")</f>
        <v>37</v>
      </c>
      <c r="BR211" s="39" t="n">
        <f aca="false">IFERROR(IF($C211="","",IF($D211="","",IFERROR(ROUND($D211*INDEX('🔖 배합비 참조'!$B$2:$CE$83,MATCH("준초콜릿(외국산)",'🔖 배합비 참조'!$A$2:$A$83,0),MATCH($C211,'🔖 배합비 참조'!$B$1:$CE$1,0))/100,0),""))),"")</f>
        <v>0</v>
      </c>
      <c r="BS211" s="39" t="n">
        <f aca="false">IFERROR(IF($C211="","",IF($D211="","",IFERROR(ROUND($D211*INDEX('🔖 배합비 참조'!$B$2:$CE$83,MATCH("중력분",'🔖 배합비 참조'!$A$2:$A$83,0),MATCH($C211,'🔖 배합비 참조'!$B$1:$CE$1,0))/100,0),""))),"")</f>
        <v>0</v>
      </c>
      <c r="BT211" s="39" t="n">
        <f aca="false">IFERROR(IF($C211="","",IF($D211="","",IFERROR(ROUND($D211*INDEX('🔖 배합비 참조'!$B$2:$CE$83,MATCH("참깨(인도산,나이지리아산,탄자니아산,미얀마산)",'🔖 배합비 참조'!$A$2:$A$83,0),MATCH($C211,'🔖 배합비 참조'!$B$1:$CE$1,0))/100,0),""))),"")</f>
        <v>0</v>
      </c>
      <c r="BU211" s="39" t="n">
        <f aca="false">IFERROR(IF($C211="","",IF($D211="","",IFERROR(ROUND($D211*INDEX('🔖 배합비 참조'!$B$2:$CE$83,MATCH("찹쌀(국내산)",'🔖 배합비 참조'!$A$2:$A$83,0),MATCH($C211,'🔖 배합비 참조'!$B$1:$CE$1,0))/100,0),""))),"")</f>
        <v>39</v>
      </c>
      <c r="BV211" s="39" t="n">
        <f aca="false">IFERROR(IF($C211="","",IF($D211="","",IFERROR(ROUND($D211*INDEX('🔖 배합비 참조'!$B$2:$CE$83,MATCH("천일염",'🔖 배합비 참조'!$A$2:$A$83,0),MATCH($C211,'🔖 배합비 참조'!$B$1:$CE$1,0))/100,0),""))),"")</f>
        <v>1</v>
      </c>
      <c r="BW211" s="39" t="n">
        <f aca="false">IFERROR(IF($C211="","",IF($D211="","",IFERROR(ROUND($D211*INDEX('🔖 배합비 참조'!$B$2:$CE$83,MATCH("치즈 [크림치즈]",'🔖 배합비 참조'!$A$2:$A$83,0),MATCH($C211,'🔖 배합비 참조'!$B$1:$CE$1,0))/100,0),""))),"")</f>
        <v>0</v>
      </c>
      <c r="BX211" s="39" t="n">
        <f aca="false">IFERROR(IF($C211="","",IF($D211="","",IFERROR(ROUND($D211*INDEX('🔖 배합비 참조'!$B$2:$CE$83,MATCH("코코아가공품류(코코아분말)",'🔖 배합비 참조'!$A$2:$A$83,0),MATCH($C211,'🔖 배합비 참조'!$B$1:$CE$1,0))/100,0),""))),"")</f>
        <v>0</v>
      </c>
      <c r="BY211" s="39" t="n">
        <f aca="false">IFERROR(IF($C211="","",IF($D211="","",IFERROR(ROUND($D211*INDEX('🔖 배합비 참조'!$B$2:$CE$83,MATCH("콩기름(대두유)",'🔖 배합비 참조'!$A$2:$A$83,0),MATCH($C211,'🔖 배합비 참조'!$B$1:$CE$1,0))/100,0),""))),"")</f>
        <v>0</v>
      </c>
      <c r="BZ211" s="39" t="n">
        <f aca="false">IFERROR(IF($C211="","",IF($D211="","",IFERROR(ROUND($D211*INDEX('🔖 배합비 참조'!$B$2:$CE$83,MATCH("해바라기씨앗",'🔖 배합비 참조'!$A$2:$A$83,0),MATCH($C211,'🔖 배합비 참조'!$B$1:$CE$1,0))/100,0),""))),"")</f>
        <v>0</v>
      </c>
      <c r="CA211" s="39" t="n">
        <f aca="false">IFERROR(IF($C211="","",IF($D211="","",IFERROR(ROUND($D211*INDEX('🔖 배합비 참조'!$B$2:$CE$83,MATCH("현미(국내산)",'🔖 배합비 참조'!$A$2:$A$83,0),MATCH($C211,'🔖 배합비 참조'!$B$1:$CE$1,0))/100,0),""))),"")</f>
        <v>0</v>
      </c>
      <c r="CB211" s="39" t="n">
        <f aca="false">IFERROR(IF($C211="","",IF($D211="","",IFERROR(ROUND($D211*INDEX('🔖 배합비 참조'!$B$2:$CE$83,MATCH("현미멥쌀(국내산)",'🔖 배합비 참조'!$A$2:$A$83,0),MATCH($C211,'🔖 배합비 참조'!$B$1:$CE$1,0))/100,0),""))),"")</f>
        <v>0</v>
      </c>
      <c r="CC211" s="39" t="n">
        <f aca="false">IFERROR(IF($C211="","",IF($D211="","",IFERROR(ROUND($D211*INDEX('🔖 배합비 참조'!$B$2:$CE$83,MATCH("호두분태(미국산)",'🔖 배합비 참조'!$A$2:$A$83,0),MATCH($C211,'🔖 배합비 참조'!$B$1:$CE$1,0))/100,0),""))),"")</f>
        <v>3</v>
      </c>
      <c r="CD211" s="39" t="n">
        <f aca="false">IFERROR(IF($C211="","",IF($D211="","",IFERROR(ROUND($D211*INDEX('🔖 배합비 참조'!$B$2:$CE$83,MATCH("호박씨앗(외국산)",'🔖 배합비 참조'!$A$2:$A$83,0),MATCH($C211,'🔖 배합비 참조'!$B$1:$CE$1,0))/100,0),""))),"")</f>
        <v>0</v>
      </c>
      <c r="CE211" s="39" t="n">
        <f aca="false">IFERROR(IF($C211="","",IF($D211="","",IFERROR(ROUND($D211*INDEX('🔖 배합비 참조'!$B$2:$CE$83,MATCH("혼합제제(떡용에스텔)",'🔖 배합비 참조'!$A$2:$A$83,0),MATCH($C211,'🔖 배합비 참조'!$B$1:$CE$1,0))/100,0),""))),"")</f>
        <v>0</v>
      </c>
      <c r="CF211" s="39" t="n">
        <f aca="false">IFERROR(IF($C211="","",IF($D211="","",IFERROR(ROUND($D211*INDEX('🔖 배합비 참조'!$B$2:$CE$83,MATCH("혼합제제(스테비아)",'🔖 배합비 참조'!$A$2:$A$83,0),MATCH($C211,'🔖 배합비 참조'!$B$1:$CE$1,0))/100,0),""))),"")</f>
        <v>0</v>
      </c>
      <c r="CG211" s="39" t="n">
        <f aca="false">IFERROR(IF($C211="","",IF($D211="","",IFERROR(ROUND($D211*INDEX('🔖 배합비 참조'!$B$2:$CE$83,MATCH("화이트초콜릿",'🔖 배합비 참조'!$A$2:$A$83,0),MATCH($C211,'🔖 배합비 참조'!$B$1:$CE$1,0))/100,0),""))),"")</f>
        <v>0</v>
      </c>
      <c r="CH211" s="39" t="n">
        <f aca="false">IFERROR(IF($C211="","",IF($D211="","",IFERROR(ROUND($D211*INDEX('🔖 배합비 참조'!$B$2:$CE$83,MATCH("흑미찹쌀(국내산)",'🔖 배합비 참조'!$A$2:$A$83,0),MATCH($C211,'🔖 배합비 참조'!$B$1:$CE$1,0))/100,0),""))),"")</f>
        <v>0</v>
      </c>
      <c r="CI211" s="39" t="n">
        <f aca="false">IFERROR(IF($C211="","",IF($D211="","",IFERROR(ROUND($D211*INDEX('🔖 배합비 참조'!$B$2:$CE$83,MATCH("찰옥수수전분(미국산)",'🔖 배합비 참조'!$A$2:$A$83,0),MATCH($C211,'🔖 배합비 참조'!$B$1:$CE$1,0))/100,0),""))),"")</f>
        <v>0</v>
      </c>
      <c r="CJ211" s="40"/>
      <c r="CL211" s="1" t="s">
        <v>247</v>
      </c>
    </row>
    <row r="212" customFormat="false" ht="18" hidden="false" customHeight="true" outlineLevel="0" collapsed="false">
      <c r="A212" s="41" t="n">
        <v>208</v>
      </c>
      <c r="B212" s="36" t="n">
        <v>46059</v>
      </c>
      <c r="C212" s="37" t="s">
        <v>157</v>
      </c>
      <c r="D212" s="38" t="n">
        <v>110</v>
      </c>
      <c r="E212" s="17"/>
      <c r="F212" s="17"/>
      <c r="G212" s="42" t="n">
        <f aca="false">IFERROR(IF($C212="","",IF($D212="","",IFERROR(ROUND($D212*INDEX('🔖 배합비 참조'!$B$2:$CE$83,MATCH("간장",'🔖 배합비 참조'!$A$2:$A$83,0),MATCH($C212,'🔖 배합비 참조'!$B$1:$CE$1,0))/100,0),""))),"")</f>
        <v>0</v>
      </c>
      <c r="H212" s="42" t="n">
        <f aca="false">IFERROR(IF($C212="","",IF($D212="","",IFERROR(ROUND($D212*INDEX('🔖 배합비 참조'!$B$2:$CE$83,MATCH("강낭콩((울타리콩))",'🔖 배합비 참조'!$A$2:$A$83,0),MATCH($C212,'🔖 배합비 참조'!$B$1:$CE$1,0))/100,0),""))),"")</f>
        <v>0</v>
      </c>
      <c r="I212" s="42" t="n">
        <f aca="false">IFERROR(IF($C212="","",IF($D212="","",IFERROR(ROUND($D212*INDEX('🔖 배합비 참조'!$B$2:$CE$83,MATCH("건조딸기다이스(외국산)",'🔖 배합비 참조'!$A$2:$A$83,0),MATCH($C212,'🔖 배합비 참조'!$B$1:$CE$1,0))/100,0),""))),"")</f>
        <v>0</v>
      </c>
      <c r="J212" s="42" t="n">
        <f aca="false">IFERROR(IF($C212="","",IF($D212="","",IFERROR(ROUND($D212*INDEX('🔖 배합비 참조'!$B$2:$CE$83,MATCH("건포도",'🔖 배합비 참조'!$A$2:$A$83,0),MATCH($C212,'🔖 배합비 참조'!$B$1:$CE$1,0))/100,0),""))),"")</f>
        <v>0</v>
      </c>
      <c r="K212" s="42" t="n">
        <f aca="false">IFERROR(IF($C212="","",IF($D212="","",IFERROR(ROUND($D212*INDEX('🔖 배합비 참조'!$B$2:$CE$83,MATCH("건호박채(중국산)",'🔖 배합비 참조'!$A$2:$A$83,0),MATCH($C212,'🔖 배합비 참조'!$B$1:$CE$1,0))/100,0),""))),"")</f>
        <v>0</v>
      </c>
      <c r="L212" s="42" t="n">
        <f aca="false">IFERROR(IF($C212="","",IF($D212="","",IFERROR(ROUND($D212*INDEX('🔖 배합비 참조'!$B$2:$CE$83,MATCH("검정깨(흑임자)",'🔖 배합비 참조'!$A$2:$A$83,0),MATCH($C212,'🔖 배합비 참조'!$B$1:$CE$1,0))/100,0),""))),"")</f>
        <v>0</v>
      </c>
      <c r="M212" s="42" t="n">
        <f aca="false">IFERROR(IF($C212="","",IF($D212="","",IFERROR(ROUND($D212*INDEX('🔖 배합비 참조'!$B$2:$CE$83,MATCH("검정콩",'🔖 배합비 참조'!$A$2:$A$83,0),MATCH($C212,'🔖 배합비 참조'!$B$1:$CE$1,0))/100,0),""))),"")</f>
        <v>0</v>
      </c>
      <c r="N212" s="42" t="n">
        <f aca="false">IFERROR(IF($C212="","",IF($D212="","",IFERROR(ROUND($D212*INDEX('🔖 배합비 참조'!$B$2:$CE$83,MATCH("계피가루",'🔖 배합비 참조'!$A$2:$A$83,0),MATCH($C212,'🔖 배합비 참조'!$B$1:$CE$1,0))/100,0),""))),"")</f>
        <v>0</v>
      </c>
      <c r="O212" s="42" t="n">
        <f aca="false">IFERROR(IF($C212="","",IF($D212="","",IFERROR(ROUND($D212*INDEX('🔖 배합비 참조'!$B$2:$CE$83,MATCH("고구마가루",'🔖 배합비 참조'!$A$2:$A$83,0),MATCH($C212,'🔖 배합비 참조'!$B$1:$CE$1,0))/100,0),""))),"")</f>
        <v>0</v>
      </c>
      <c r="P212" s="42" t="n">
        <f aca="false">IFERROR(IF($C212="","",IF($D212="","",IFERROR(ROUND($D212*INDEX('🔖 배합비 참조'!$B$2:$CE$83,MATCH("고구마무스",'🔖 배합비 참조'!$A$2:$A$83,0),MATCH($C212,'🔖 배합비 참조'!$B$1:$CE$1,0))/100,0),""))),"")</f>
        <v>0</v>
      </c>
      <c r="Q212" s="42" t="n">
        <f aca="false">IFERROR(IF($C212="","",IF($D212="","",IFERROR(ROUND($D212*INDEX('🔖 배합비 참조'!$B$2:$CE$83,MATCH("고려엉겅퀴((곤드레)국내산)",'🔖 배합비 참조'!$A$2:$A$83,0),MATCH($C212,'🔖 배합비 참조'!$B$1:$CE$1,0))/100,0),""))),"")</f>
        <v>0</v>
      </c>
      <c r="R212" s="42" t="n">
        <f aca="false">IFERROR(IF($C212="","",IF($D212="","",IFERROR(ROUND($D212*INDEX('🔖 배합비 참조'!$B$2:$CE$83,MATCH("기타가공품(복분자가루)",'🔖 배합비 참조'!$A$2:$A$83,0),MATCH($C212,'🔖 배합비 참조'!$B$1:$CE$1,0))/100,0),""))),"")</f>
        <v>1</v>
      </c>
      <c r="S212" s="42" t="n">
        <f aca="false">IFERROR(IF($C212="","",IF($D212="","",IFERROR(ROUND($D212*INDEX('🔖 배합비 참조'!$B$2:$CE$83,MATCH("기타가공품(슈퍼소프트엠)",'🔖 배합비 참조'!$A$2:$A$83,0),MATCH($C212,'🔖 배합비 참조'!$B$1:$CE$1,0))/100,0),""))),"")</f>
        <v>0</v>
      </c>
      <c r="T212" s="42" t="n">
        <f aca="false">IFERROR(IF($C212="","",IF($D212="","",IFERROR(ROUND($D212*INDEX('🔖 배합비 참조'!$B$2:$CE$83,MATCH("기타가공품(파인소프트 E-티)",'🔖 배합비 참조'!$A$2:$A$83,0),MATCH($C212,'🔖 배합비 참조'!$B$1:$CE$1,0))/100,0),""))),"")</f>
        <v>0</v>
      </c>
      <c r="U212" s="42" t="n">
        <f aca="false">IFERROR(IF($C212="","",IF($D212="","",IFERROR(ROUND($D212*INDEX('🔖 배합비 참조'!$B$2:$CE$83,MATCH("기타가공품(프리미엄카스테라가루)",'🔖 배합비 참조'!$A$2:$A$83,0),MATCH($C212,'🔖 배합비 참조'!$B$1:$CE$1,0))/100,0),""))),"")</f>
        <v>0</v>
      </c>
      <c r="V212" s="42" t="n">
        <f aca="false">IFERROR(IF($C212="","",IF($D212="","",IFERROR(ROUND($D212*INDEX('🔖 배합비 참조'!$B$2:$CE$83,MATCH("기타가공품(흑임자가루)",'🔖 배합비 참조'!$A$2:$A$83,0),MATCH($C212,'🔖 배합비 참조'!$B$1:$CE$1,0))/100,0),""))),"")</f>
        <v>0</v>
      </c>
      <c r="W212" s="42" t="n">
        <f aca="false">IFERROR(IF($C212="","",IF($D212="","",IFERROR(ROUND($D212*INDEX('🔖 배합비 참조'!$B$2:$CE$83,MATCH("기타설탕(흑설탕)",'🔖 배합비 참조'!$A$2:$A$83,0),MATCH($C212,'🔖 배합비 참조'!$B$1:$CE$1,0))/100,0),""))),"")</f>
        <v>0</v>
      </c>
      <c r="X212" s="42" t="n">
        <f aca="false">IFERROR(IF($C212="","",IF($D212="","",IFERROR(ROUND($D212*INDEX('🔖 배합비 참조'!$B$2:$CE$83,MATCH("냉동쑥(국내산)",'🔖 배합비 참조'!$A$2:$A$83,0),MATCH($C212,'🔖 배합비 참조'!$B$1:$CE$1,0))/100,0),""))),"")</f>
        <v>0</v>
      </c>
      <c r="Y212" s="42" t="n">
        <f aca="false">IFERROR(IF($C212="","",IF($D212="","",IFERROR(ROUND($D212*INDEX('🔖 배합비 참조'!$B$2:$CE$83,MATCH("냉동증숙고구마(중국산)",'🔖 배합비 참조'!$A$2:$A$83,0),MATCH($C212,'🔖 배합비 참조'!$B$1:$CE$1,0))/100,0),""))),"")</f>
        <v>0</v>
      </c>
      <c r="Z212" s="42" t="n">
        <f aca="false">IFERROR(IF($C212="","",IF($D212="","",IFERROR(ROUND($D212*INDEX('🔖 배합비 참조'!$B$2:$CE$83,MATCH("녹차가루",'🔖 배합비 참조'!$A$2:$A$83,0),MATCH($C212,'🔖 배합비 참조'!$B$1:$CE$1,0))/100,0),""))),"")</f>
        <v>0</v>
      </c>
      <c r="AA212" s="42" t="n">
        <f aca="false">IFERROR(IF($C212="","",IF($D212="","",IFERROR(ROUND($D212*INDEX('🔖 배합비 참조'!$B$2:$CE$83,MATCH("다크초콜릿 컴파운드칩",'🔖 배합비 참조'!$A$2:$A$83,0),MATCH($C212,'🔖 배합비 참조'!$B$1:$CE$1,0))/100,0),""))),"")</f>
        <v>0</v>
      </c>
      <c r="AB212" s="42" t="n">
        <f aca="false">IFERROR(IF($C212="","",IF($D212="","",IFERROR(ROUND($D212*INDEX('🔖 배합비 참조'!$B$2:$CE$83,MATCH("단호박분말(중국산)",'🔖 배합비 참조'!$A$2:$A$83,0),MATCH($C212,'🔖 배합비 참조'!$B$1:$CE$1,0))/100,0),""))),"")</f>
        <v>0</v>
      </c>
      <c r="AC212" s="42" t="n">
        <f aca="false">IFERROR(IF($C212="","",IF($D212="","",IFERROR(ROUND($D212*INDEX('🔖 배합비 참조'!$B$2:$CE$83,MATCH("당류가공품(단호박농축액)",'🔖 배합비 참조'!$A$2:$A$83,0),MATCH($C212,'🔖 배합비 참조'!$B$1:$CE$1,0))/100,0),""))),"")</f>
        <v>0</v>
      </c>
      <c r="AD212" s="42" t="n">
        <f aca="false">IFERROR(IF($C212="","",IF($D212="","",IFERROR(ROUND($D212*INDEX('🔖 배합비 참조'!$B$2:$CE$83,MATCH("당류가공품(알룰로스,에리스리톨,스테비올배당체혼합)",'🔖 배합비 참조'!$A$2:$A$83,0),MATCH($C212,'🔖 배합비 참조'!$B$1:$CE$1,0))/100,0),""))),"")</f>
        <v>0</v>
      </c>
      <c r="AE212" s="42" t="n">
        <f aca="false">IFERROR(IF($C212="","",IF($D212="","",IFERROR(ROUND($D212*INDEX('🔖 배합비 참조'!$B$2:$CE$83,MATCH("당류가공품(알룰로스제로파우더)",'🔖 배합비 참조'!$A$2:$A$83,0),MATCH($C212,'🔖 배합비 참조'!$B$1:$CE$1,0))/100,0),""))),"")</f>
        <v>0</v>
      </c>
      <c r="AF212" s="42" t="n">
        <f aca="false">IFERROR(IF($C212="","",IF($D212="","",IFERROR(ROUND($D212*INDEX('🔖 배합비 참조'!$B$2:$CE$83,MATCH("당절임(완두배기)",'🔖 배합비 참조'!$A$2:$A$83,0),MATCH($C212,'🔖 배합비 참조'!$B$1:$CE$1,0))/100,0),""))),"")</f>
        <v>0</v>
      </c>
      <c r="AG212" s="42" t="n">
        <f aca="false">IFERROR(IF($C212="","",IF($D212="","",IFERROR(ROUND($D212*INDEX('🔖 배합비 참조'!$B$2:$CE$83,MATCH("대추농축액",'🔖 배합비 참조'!$A$2:$A$83,0),MATCH($C212,'🔖 배합비 참조'!$B$1:$CE$1,0))/100,0),""))),"")</f>
        <v>0</v>
      </c>
      <c r="AH212" s="42" t="n">
        <f aca="false">IFERROR(IF($C212="","",IF($D212="","",IFERROR(ROUND($D212*INDEX('🔖 배합비 참조'!$B$2:$CE$83,MATCH("대추채(국내산)",'🔖 배합비 참조'!$A$2:$A$83,0),MATCH($C212,'🔖 배합비 참조'!$B$1:$CE$1,0))/100,0),""))),"")</f>
        <v>0</v>
      </c>
      <c r="AI212" s="42" t="n">
        <f aca="false">IFERROR(IF($C212="","",IF($D212="","",IFERROR(ROUND($D212*INDEX('🔖 배합비 참조'!$B$2:$CE$83,MATCH("동부(미얀마산)",'🔖 배합비 참조'!$A$2:$A$83,0),MATCH($C212,'🔖 배합비 참조'!$B$1:$CE$1,0))/100,0),""))),"")</f>
        <v>0</v>
      </c>
      <c r="AJ212" s="42" t="n">
        <f aca="false">IFERROR(IF($C212="","",IF($D212="","",IFERROR(ROUND($D212*INDEX('🔖 배합비 참조'!$B$2:$CE$83,MATCH("두류가공품(백옥앙금)",'🔖 배합비 참조'!$A$2:$A$83,0),MATCH($C212,'🔖 배합비 참조'!$B$1:$CE$1,0))/100,0),""))),"")</f>
        <v>0</v>
      </c>
      <c r="AK212" s="42" t="n">
        <f aca="false">IFERROR(IF($C212="","",IF($D212="","",IFERROR(ROUND($D212*INDEX('🔖 배합비 참조'!$B$2:$CE$83,MATCH("두류가공품(콩고물)",'🔖 배합비 참조'!$A$2:$A$83,0),MATCH($C212,'🔖 배합비 참조'!$B$1:$CE$1,0))/100,0),""))),"")</f>
        <v>0</v>
      </c>
      <c r="AL212" s="42" t="n">
        <f aca="false">IFERROR(IF($C212="","",IF($D212="","",IFERROR(ROUND($D212*INDEX('🔖 배합비 참조'!$B$2:$CE$83,MATCH("두류가공품(통팥고물)",'🔖 배합비 참조'!$A$2:$A$83,0),MATCH($C212,'🔖 배합비 참조'!$B$1:$CE$1,0))/100,0),""))),"")</f>
        <v>0</v>
      </c>
      <c r="AM212" s="42" t="n">
        <f aca="false">IFERROR(IF($C212="","",IF($D212="","",IFERROR(ROUND($D212*INDEX('🔖 배합비 참조'!$B$2:$CE$83,MATCH("딸기레진",'🔖 배합비 참조'!$A$2:$A$83,0),MATCH($C212,'🔖 배합비 참조'!$B$1:$CE$1,0))/100,0),""))),"")</f>
        <v>0</v>
      </c>
      <c r="AN212" s="42" t="n">
        <f aca="false">IFERROR(IF($C212="","",IF($D212="","",IFERROR(ROUND($D212*INDEX('🔖 배합비 참조'!$B$2:$CE$83,MATCH("딸기분말(스트로우베리에이드(분말))",'🔖 배합비 참조'!$A$2:$A$83,0),MATCH($C212,'🔖 배합비 참조'!$B$1:$CE$1,0))/100,0),""))),"")</f>
        <v>0</v>
      </c>
      <c r="AO212" s="42" t="n">
        <f aca="false">IFERROR(IF($C212="","",IF($D212="","",IFERROR(ROUND($D212*INDEX('🔖 배합비 참조'!$B$2:$CE$83,MATCH("마스카포네치즈",'🔖 배합비 참조'!$A$2:$A$83,0),MATCH($C212,'🔖 배합비 참조'!$B$1:$CE$1,0))/100,0),""))),"")</f>
        <v>0</v>
      </c>
      <c r="AP212" s="42" t="n">
        <f aca="false">IFERROR(IF($C212="","",IF($D212="","",IFERROR(ROUND($D212*INDEX('🔖 배합비 참조'!$B$2:$CE$83,MATCH("마카다미아분태(호주산)",'🔖 배합비 참조'!$A$2:$A$83,0),MATCH($C212,'🔖 배합비 참조'!$B$1:$CE$1,0))/100,0),""))),"")</f>
        <v>5</v>
      </c>
      <c r="AQ212" s="42" t="n">
        <f aca="false">IFERROR(IF($C212="","",IF($D212="","",IFERROR(ROUND($D212*INDEX('🔖 배합비 참조'!$B$2:$CE$83,MATCH("멥쌀(국내산)",'🔖 배합비 참조'!$A$2:$A$83,0),MATCH($C212,'🔖 배합비 참조'!$B$1:$CE$1,0))/100,0),""))),"")</f>
        <v>0</v>
      </c>
      <c r="AR212" s="42" t="n">
        <f aca="false">IFERROR(IF($C212="","",IF($D212="","",IFERROR(ROUND($D212*INDEX('🔖 배합비 참조'!$B$2:$CE$83,MATCH("모시잎(국내산)",'🔖 배합비 참조'!$A$2:$A$83,0),MATCH($C212,'🔖 배합비 참조'!$B$1:$CE$1,0))/100,0),""))),"")</f>
        <v>0</v>
      </c>
      <c r="AS212" s="42" t="n">
        <f aca="false">IFERROR(IF($C212="","",IF($D212="","",IFERROR(ROUND($D212*INDEX('🔖 배합비 참조'!$B$2:$CE$83,MATCH("물엿(저당물엿)",'🔖 배합비 참조'!$A$2:$A$83,0),MATCH($C212,'🔖 배합비 참조'!$B$1:$CE$1,0))/100,0),""))),"")</f>
        <v>0</v>
      </c>
      <c r="AT212" s="42" t="n">
        <f aca="false">IFERROR(IF($C212="","",IF($D212="","",IFERROR(ROUND($D212*INDEX('🔖 배합비 참조'!$B$2:$CE$83,MATCH("밤다이스",'🔖 배합비 참조'!$A$2:$A$83,0),MATCH($C212,'🔖 배합비 참조'!$B$1:$CE$1,0))/100,0),""))),"")</f>
        <v>1</v>
      </c>
      <c r="AU212" s="42" t="n">
        <f aca="false">IFERROR(IF($C212="","",IF($D212="","",IFERROR(ROUND($D212*INDEX('🔖 배합비 참조'!$B$2:$CE$83,MATCH("변성전분(타피오카전분)",'🔖 배합비 참조'!$A$2:$A$83,0),MATCH($C212,'🔖 배합비 참조'!$B$1:$CE$1,0))/100,0),""))),"")</f>
        <v>0</v>
      </c>
      <c r="AV212" s="42" t="n">
        <f aca="false">IFERROR(IF($C212="","",IF($D212="","",IFERROR(ROUND($D212*INDEX('🔖 배합비 참조'!$B$2:$CE$83,MATCH("복음땅콩분태",'🔖 배합비 참조'!$A$2:$A$83,0),MATCH($C212,'🔖 배합비 참조'!$B$1:$CE$1,0))/100,0),""))),"")</f>
        <v>0</v>
      </c>
      <c r="AW212" s="42" t="n">
        <f aca="false">IFERROR(IF($C212="","",IF($D212="","",IFERROR(ROUND($D212*INDEX('🔖 배합비 참조'!$B$2:$CE$83,MATCH("사양벌꿀(국내산)",'🔖 배합비 참조'!$A$2:$A$83,0),MATCH($C212,'🔖 배합비 참조'!$B$1:$CE$1,0))/100,0),""))),"")</f>
        <v>0</v>
      </c>
      <c r="AX212" s="42" t="n">
        <f aca="false">IFERROR(IF($C212="","",IF($D212="","",IFERROR(ROUND($D212*INDEX('🔖 배합비 참조'!$B$2:$CE$83,MATCH("생크림",'🔖 배합비 참조'!$A$2:$A$83,0),MATCH($C212,'🔖 배합비 참조'!$B$1:$CE$1,0))/100,0),""))),"")</f>
        <v>0</v>
      </c>
      <c r="AY212" s="42" t="n">
        <f aca="false">IFERROR(IF($C212="","",IF($D212="","",IFERROR(ROUND($D212*INDEX('🔖 배합비 참조'!$B$2:$CE$83,MATCH("서양호박(국내산,뉴질랜드산)",'🔖 배합비 참조'!$A$2:$A$83,0),MATCH($C212,'🔖 배합비 참조'!$B$1:$CE$1,0))/100,0),""))),"")</f>
        <v>0</v>
      </c>
      <c r="AZ212" s="42" t="n">
        <f aca="false">IFERROR(IF($C212="","",IF($D212="","",IFERROR(ROUND($D212*INDEX('🔖 배합비 참조'!$B$2:$CE$83,MATCH("설탕",'🔖 배합비 참조'!$A$2:$A$83,0),MATCH($C212,'🔖 배합비 참조'!$B$1:$CE$1,0))/100,0),""))),"")</f>
        <v>2</v>
      </c>
      <c r="BA212" s="42" t="n">
        <f aca="false">IFERROR(IF($C212="","",IF($D212="","",IFERROR(ROUND($D212*INDEX('🔖 배합비 참조'!$B$2:$CE$83,MATCH("스트로우베리 에이드 후레쉬",'🔖 배합비 참조'!$A$2:$A$83,0),MATCH($C212,'🔖 배합비 참조'!$B$1:$CE$1,0))/100,0),""))),"")</f>
        <v>0</v>
      </c>
      <c r="BB212" s="42" t="n">
        <f aca="false">IFERROR(IF($C212="","",IF($D212="","",IFERROR(ROUND($D212*INDEX('🔖 배합비 참조'!$B$2:$CE$83,MATCH("식물성기름혼합제제(분홍)",'🔖 배합비 참조'!$A$2:$A$83,0),MATCH($C212,'🔖 배합비 참조'!$B$1:$CE$1,0))/100,0),""))),"")</f>
        <v>0</v>
      </c>
      <c r="BC212" s="42" t="n">
        <f aca="false">IFERROR(IF($C212="","",IF($D212="","",IFERROR(ROUND($D212*INDEX('🔖 배합비 참조'!$B$2:$CE$83,MATCH("식물성기름혼합제제(초록)",'🔖 배합비 참조'!$A$2:$A$83,0),MATCH($C212,'🔖 배합비 참조'!$B$1:$CE$1,0))/100,0),""))),"")</f>
        <v>0</v>
      </c>
      <c r="BD212" s="42" t="n">
        <f aca="false">IFERROR(IF($C212="","",IF($D212="","",IFERROR(ROUND($D212*INDEX('🔖 배합비 참조'!$B$2:$CE$83,MATCH("식물성기름혼합제제(황색)",'🔖 배합비 참조'!$A$2:$A$83,0),MATCH($C212,'🔖 배합비 참조'!$B$1:$CE$1,0))/100,0),""))),"")</f>
        <v>0</v>
      </c>
      <c r="BE212" s="42" t="n">
        <f aca="false">IFERROR(IF($C212="","",IF($D212="","",IFERROR(ROUND($D212*INDEX('🔖 배합비 참조'!$B$2:$CE$83,MATCH("쑥가루(국내산)",'🔖 배합비 참조'!$A$2:$A$83,0),MATCH($C212,'🔖 배합비 참조'!$B$1:$CE$1,0))/100,0),""))),"")</f>
        <v>0</v>
      </c>
      <c r="BF212" s="42" t="n">
        <f aca="false">IFERROR(IF($C212="","",IF($D212="","",IFERROR(ROUND($D212*INDEX('🔖 배합비 참조'!$B$2:$CE$83,MATCH("아몬드슬라이스",'🔖 배합비 참조'!$A$2:$A$83,0),MATCH($C212,'🔖 배합비 참조'!$B$1:$CE$1,0))/100,0),""))),"")</f>
        <v>0</v>
      </c>
      <c r="BG212" s="42" t="n">
        <f aca="false">IFERROR(IF($C212="","",IF($D212="","",IFERROR(ROUND($D212*INDEX('🔖 배합비 참조'!$B$2:$CE$83,MATCH("알룰로오스(국내산)",'🔖 배합비 참조'!$A$2:$A$83,0),MATCH($C212,'🔖 배합비 참조'!$B$1:$CE$1,0))/100,0),""))),"")</f>
        <v>0</v>
      </c>
      <c r="BH212" s="42" t="n">
        <f aca="false">IFERROR(IF($C212="","",IF($D212="","",IFERROR(ROUND($D212*INDEX('🔖 배합비 참조'!$B$2:$CE$83,MATCH("연유",'🔖 배합비 참조'!$A$2:$A$83,0),MATCH($C212,'🔖 배합비 참조'!$B$1:$CE$1,0))/100,0),""))),"")</f>
        <v>0</v>
      </c>
      <c r="BI212" s="42" t="n">
        <f aca="false">IFERROR(IF($C212="","",IF($D212="","",IFERROR(ROUND($D212*INDEX('🔖 배합비 참조'!$B$2:$CE$83,MATCH("옥수수전분",'🔖 배합비 참조'!$A$2:$A$83,0),MATCH($C212,'🔖 배합비 참조'!$B$1:$CE$1,0))/100,0),""))),"")</f>
        <v>1</v>
      </c>
      <c r="BJ212" s="42" t="n">
        <f aca="false">IFERROR(IF($C212="","",IF($D212="","",IFERROR(ROUND($D212*INDEX('🔖 배합비 참조'!$B$2:$CE$83,MATCH("완두배기",'🔖 배합비 참조'!$A$2:$A$83,0),MATCH($C212,'🔖 배합비 참조'!$B$1:$CE$1,0))/100,0),""))),"")</f>
        <v>0</v>
      </c>
      <c r="BK212" s="42" t="n">
        <f aca="false">IFERROR(IF($C212="","",IF($D212="","",IFERROR(ROUND($D212*INDEX('🔖 배합비 참조'!$B$2:$CE$83,MATCH("우유(국내산)",'🔖 배합비 참조'!$A$2:$A$83,0),MATCH($C212,'🔖 배합비 참조'!$B$1:$CE$1,0))/100,0),""))),"")</f>
        <v>0</v>
      </c>
      <c r="BL212" s="42" t="n">
        <f aca="false">IFERROR(IF($C212="","",IF($D212="","",IFERROR(ROUND($D212*INDEX('🔖 배합비 참조'!$B$2:$CE$83,MATCH("자색고구마가루(중국산)",'🔖 배합비 참조'!$A$2:$A$83,0),MATCH($C212,'🔖 배합비 참조'!$B$1:$CE$1,0))/100,0),""))),"")</f>
        <v>0</v>
      </c>
      <c r="BM212" s="42" t="n">
        <f aca="false">IFERROR(IF($C212="","",IF($D212="","",IFERROR(ROUND($D212*INDEX('🔖 배합비 참조'!$B$2:$CE$83,MATCH("자연치즈(체다치즈)",'🔖 배합비 참조'!$A$2:$A$83,0),MATCH($C212,'🔖 배합비 참조'!$B$1:$CE$1,0))/100,0),""))),"")</f>
        <v>0</v>
      </c>
      <c r="BN212" s="42" t="n">
        <f aca="false">IFERROR(IF($C212="","",IF($D212="","",IFERROR(ROUND($D212*INDEX('🔖 배합비 참조'!$B$2:$CE$83,MATCH("정제수",'🔖 배합비 참조'!$A$2:$A$83,0),MATCH($C212,'🔖 배합비 참조'!$B$1:$CE$1,0))/100,0),""))),"")</f>
        <v>19</v>
      </c>
      <c r="BO212" s="42" t="n">
        <f aca="false">IFERROR(IF($C212="","",IF($D212="","",IFERROR(ROUND($D212*INDEX('🔖 배합비 참조'!$B$2:$CE$83,MATCH("젤라틴",'🔖 배합비 참조'!$A$2:$A$83,0),MATCH($C212,'🔖 배합비 참조'!$B$1:$CE$1,0))/100,0),""))),"")</f>
        <v>0</v>
      </c>
      <c r="BP212" s="42" t="n">
        <f aca="false">IFERROR(IF($C212="","",IF($D212="","",IFERROR(ROUND($D212*INDEX('🔖 배합비 참조'!$B$2:$CE$83,MATCH("조림류(백옥앙금)",'🔖 배합비 참조'!$A$2:$A$83,0),MATCH($C212,'🔖 배합비 참조'!$B$1:$CE$1,0))/100,0),""))),"")</f>
        <v>0</v>
      </c>
      <c r="BQ212" s="42" t="n">
        <f aca="false">IFERROR(IF($C212="","",IF($D212="","",IFERROR(ROUND($D212*INDEX('🔖 배합비 참조'!$B$2:$CE$83,MATCH("조림류(통팥앙금)",'🔖 배합비 참조'!$A$2:$A$83,0),MATCH($C212,'🔖 배합비 참조'!$B$1:$CE$1,0))/100,0),""))),"")</f>
        <v>37</v>
      </c>
      <c r="BR212" s="42" t="n">
        <f aca="false">IFERROR(IF($C212="","",IF($D212="","",IFERROR(ROUND($D212*INDEX('🔖 배합비 참조'!$B$2:$CE$83,MATCH("준초콜릿(외국산)",'🔖 배합비 참조'!$A$2:$A$83,0),MATCH($C212,'🔖 배합비 참조'!$B$1:$CE$1,0))/100,0),""))),"")</f>
        <v>0</v>
      </c>
      <c r="BS212" s="42" t="n">
        <f aca="false">IFERROR(IF($C212="","",IF($D212="","",IFERROR(ROUND($D212*INDEX('🔖 배합비 참조'!$B$2:$CE$83,MATCH("중력분",'🔖 배합비 참조'!$A$2:$A$83,0),MATCH($C212,'🔖 배합비 참조'!$B$1:$CE$1,0))/100,0),""))),"")</f>
        <v>0</v>
      </c>
      <c r="BT212" s="42" t="n">
        <f aca="false">IFERROR(IF($C212="","",IF($D212="","",IFERROR(ROUND($D212*INDEX('🔖 배합비 참조'!$B$2:$CE$83,MATCH("참깨(인도산,나이지리아산,탄자니아산,미얀마산)",'🔖 배합비 참조'!$A$2:$A$83,0),MATCH($C212,'🔖 배합비 참조'!$B$1:$CE$1,0))/100,0),""))),"")</f>
        <v>0</v>
      </c>
      <c r="BU212" s="42" t="n">
        <f aca="false">IFERROR(IF($C212="","",IF($D212="","",IFERROR(ROUND($D212*INDEX('🔖 배합비 참조'!$B$2:$CE$83,MATCH("찹쌀(국내산)",'🔖 배합비 참조'!$A$2:$A$83,0),MATCH($C212,'🔖 배합비 참조'!$B$1:$CE$1,0))/100,0),""))),"")</f>
        <v>39</v>
      </c>
      <c r="BV212" s="42" t="n">
        <f aca="false">IFERROR(IF($C212="","",IF($D212="","",IFERROR(ROUND($D212*INDEX('🔖 배합비 참조'!$B$2:$CE$83,MATCH("천일염",'🔖 배합비 참조'!$A$2:$A$83,0),MATCH($C212,'🔖 배합비 참조'!$B$1:$CE$1,0))/100,0),""))),"")</f>
        <v>1</v>
      </c>
      <c r="BW212" s="42" t="n">
        <f aca="false">IFERROR(IF($C212="","",IF($D212="","",IFERROR(ROUND($D212*INDEX('🔖 배합비 참조'!$B$2:$CE$83,MATCH("치즈 [크림치즈]",'🔖 배합비 참조'!$A$2:$A$83,0),MATCH($C212,'🔖 배합비 참조'!$B$1:$CE$1,0))/100,0),""))),"")</f>
        <v>0</v>
      </c>
      <c r="BX212" s="42" t="n">
        <f aca="false">IFERROR(IF($C212="","",IF($D212="","",IFERROR(ROUND($D212*INDEX('🔖 배합비 참조'!$B$2:$CE$83,MATCH("코코아가공품류(코코아분말)",'🔖 배합비 참조'!$A$2:$A$83,0),MATCH($C212,'🔖 배합비 참조'!$B$1:$CE$1,0))/100,0),""))),"")</f>
        <v>0</v>
      </c>
      <c r="BY212" s="42" t="n">
        <f aca="false">IFERROR(IF($C212="","",IF($D212="","",IFERROR(ROUND($D212*INDEX('🔖 배합비 참조'!$B$2:$CE$83,MATCH("콩기름(대두유)",'🔖 배합비 참조'!$A$2:$A$83,0),MATCH($C212,'🔖 배합비 참조'!$B$1:$CE$1,0))/100,0),""))),"")</f>
        <v>0</v>
      </c>
      <c r="BZ212" s="42" t="n">
        <f aca="false">IFERROR(IF($C212="","",IF($D212="","",IFERROR(ROUND($D212*INDEX('🔖 배합비 참조'!$B$2:$CE$83,MATCH("해바라기씨앗",'🔖 배합비 참조'!$A$2:$A$83,0),MATCH($C212,'🔖 배합비 참조'!$B$1:$CE$1,0))/100,0),""))),"")</f>
        <v>0</v>
      </c>
      <c r="CA212" s="42" t="n">
        <f aca="false">IFERROR(IF($C212="","",IF($D212="","",IFERROR(ROUND($D212*INDEX('🔖 배합비 참조'!$B$2:$CE$83,MATCH("현미(국내산)",'🔖 배합비 참조'!$A$2:$A$83,0),MATCH($C212,'🔖 배합비 참조'!$B$1:$CE$1,0))/100,0),""))),"")</f>
        <v>0</v>
      </c>
      <c r="CB212" s="42" t="n">
        <f aca="false">IFERROR(IF($C212="","",IF($D212="","",IFERROR(ROUND($D212*INDEX('🔖 배합비 참조'!$B$2:$CE$83,MATCH("현미멥쌀(국내산)",'🔖 배합비 참조'!$A$2:$A$83,0),MATCH($C212,'🔖 배합비 참조'!$B$1:$CE$1,0))/100,0),""))),"")</f>
        <v>0</v>
      </c>
      <c r="CC212" s="42" t="n">
        <f aca="false">IFERROR(IF($C212="","",IF($D212="","",IFERROR(ROUND($D212*INDEX('🔖 배합비 참조'!$B$2:$CE$83,MATCH("호두분태(미국산)",'🔖 배합비 참조'!$A$2:$A$83,0),MATCH($C212,'🔖 배합비 참조'!$B$1:$CE$1,0))/100,0),""))),"")</f>
        <v>3</v>
      </c>
      <c r="CD212" s="42" t="n">
        <f aca="false">IFERROR(IF($C212="","",IF($D212="","",IFERROR(ROUND($D212*INDEX('🔖 배합비 참조'!$B$2:$CE$83,MATCH("호박씨앗(외국산)",'🔖 배합비 참조'!$A$2:$A$83,0),MATCH($C212,'🔖 배합비 참조'!$B$1:$CE$1,0))/100,0),""))),"")</f>
        <v>0</v>
      </c>
      <c r="CE212" s="42" t="n">
        <f aca="false">IFERROR(IF($C212="","",IF($D212="","",IFERROR(ROUND($D212*INDEX('🔖 배합비 참조'!$B$2:$CE$83,MATCH("혼합제제(떡용에스텔)",'🔖 배합비 참조'!$A$2:$A$83,0),MATCH($C212,'🔖 배합비 참조'!$B$1:$CE$1,0))/100,0),""))),"")</f>
        <v>0</v>
      </c>
      <c r="CF212" s="42" t="n">
        <f aca="false">IFERROR(IF($C212="","",IF($D212="","",IFERROR(ROUND($D212*INDEX('🔖 배합비 참조'!$B$2:$CE$83,MATCH("혼합제제(스테비아)",'🔖 배합비 참조'!$A$2:$A$83,0),MATCH($C212,'🔖 배합비 참조'!$B$1:$CE$1,0))/100,0),""))),"")</f>
        <v>0</v>
      </c>
      <c r="CG212" s="42" t="n">
        <f aca="false">IFERROR(IF($C212="","",IF($D212="","",IFERROR(ROUND($D212*INDEX('🔖 배합비 참조'!$B$2:$CE$83,MATCH("화이트초콜릿",'🔖 배합비 참조'!$A$2:$A$83,0),MATCH($C212,'🔖 배합비 참조'!$B$1:$CE$1,0))/100,0),""))),"")</f>
        <v>0</v>
      </c>
      <c r="CH212" s="42" t="n">
        <f aca="false">IFERROR(IF($C212="","",IF($D212="","",IFERROR(ROUND($D212*INDEX('🔖 배합비 참조'!$B$2:$CE$83,MATCH("흑미찹쌀(국내산)",'🔖 배합비 참조'!$A$2:$A$83,0),MATCH($C212,'🔖 배합비 참조'!$B$1:$CE$1,0))/100,0),""))),"")</f>
        <v>0</v>
      </c>
      <c r="CI212" s="42" t="n">
        <f aca="false">IFERROR(IF($C212="","",IF($D212="","",IFERROR(ROUND($D212*INDEX('🔖 배합비 참조'!$B$2:$CE$83,MATCH("찰옥수수전분(미국산)",'🔖 배합비 참조'!$A$2:$A$83,0),MATCH($C212,'🔖 배합비 참조'!$B$1:$CE$1,0))/100,0),""))),"")</f>
        <v>0</v>
      </c>
      <c r="CJ212" s="40"/>
      <c r="CL212" s="1" t="s">
        <v>247</v>
      </c>
    </row>
    <row r="213" customFormat="false" ht="18" hidden="false" customHeight="true" outlineLevel="0" collapsed="false">
      <c r="A213" s="35" t="n">
        <v>209</v>
      </c>
      <c r="B213" s="36" t="n">
        <v>46059</v>
      </c>
      <c r="C213" s="37" t="s">
        <v>183</v>
      </c>
      <c r="D213" s="38" t="n">
        <v>110</v>
      </c>
      <c r="E213" s="13"/>
      <c r="F213" s="13"/>
      <c r="G213" s="39" t="n">
        <f aca="false">IFERROR(IF($C213="","",IF($D213="","",IFERROR(ROUND($D213*INDEX('🔖 배합비 참조'!$B$2:$CE$83,MATCH("간장",'🔖 배합비 참조'!$A$2:$A$83,0),MATCH($C213,'🔖 배합비 참조'!$B$1:$CE$1,0))/100,0),""))),"")</f>
        <v>0</v>
      </c>
      <c r="H213" s="39" t="n">
        <f aca="false">IFERROR(IF($C213="","",IF($D213="","",IFERROR(ROUND($D213*INDEX('🔖 배합비 참조'!$B$2:$CE$83,MATCH("강낭콩((울타리콩))",'🔖 배합비 참조'!$A$2:$A$83,0),MATCH($C213,'🔖 배합비 참조'!$B$1:$CE$1,0))/100,0),""))),"")</f>
        <v>0</v>
      </c>
      <c r="I213" s="39" t="n">
        <f aca="false">IFERROR(IF($C213="","",IF($D213="","",IFERROR(ROUND($D213*INDEX('🔖 배합비 참조'!$B$2:$CE$83,MATCH("건조딸기다이스(외국산)",'🔖 배합비 참조'!$A$2:$A$83,0),MATCH($C213,'🔖 배합비 참조'!$B$1:$CE$1,0))/100,0),""))),"")</f>
        <v>0</v>
      </c>
      <c r="J213" s="39" t="n">
        <f aca="false">IFERROR(IF($C213="","",IF($D213="","",IFERROR(ROUND($D213*INDEX('🔖 배합비 참조'!$B$2:$CE$83,MATCH("건포도",'🔖 배합비 참조'!$A$2:$A$83,0),MATCH($C213,'🔖 배합비 참조'!$B$1:$CE$1,0))/100,0),""))),"")</f>
        <v>0</v>
      </c>
      <c r="K213" s="39" t="n">
        <f aca="false">IFERROR(IF($C213="","",IF($D213="","",IFERROR(ROUND($D213*INDEX('🔖 배합비 참조'!$B$2:$CE$83,MATCH("건호박채(중국산)",'🔖 배합비 참조'!$A$2:$A$83,0),MATCH($C213,'🔖 배합비 참조'!$B$1:$CE$1,0))/100,0),""))),"")</f>
        <v>0</v>
      </c>
      <c r="L213" s="39" t="n">
        <f aca="false">IFERROR(IF($C213="","",IF($D213="","",IFERROR(ROUND($D213*INDEX('🔖 배합비 참조'!$B$2:$CE$83,MATCH("검정깨(흑임자)",'🔖 배합비 참조'!$A$2:$A$83,0),MATCH($C213,'🔖 배합비 참조'!$B$1:$CE$1,0))/100,0),""))),"")</f>
        <v>0</v>
      </c>
      <c r="M213" s="39" t="n">
        <f aca="false">IFERROR(IF($C213="","",IF($D213="","",IFERROR(ROUND($D213*INDEX('🔖 배합비 참조'!$B$2:$CE$83,MATCH("검정콩",'🔖 배합비 참조'!$A$2:$A$83,0),MATCH($C213,'🔖 배합비 참조'!$B$1:$CE$1,0))/100,0),""))),"")</f>
        <v>0</v>
      </c>
      <c r="N213" s="39" t="n">
        <f aca="false">IFERROR(IF($C213="","",IF($D213="","",IFERROR(ROUND($D213*INDEX('🔖 배합비 참조'!$B$2:$CE$83,MATCH("계피가루",'🔖 배합비 참조'!$A$2:$A$83,0),MATCH($C213,'🔖 배합비 참조'!$B$1:$CE$1,0))/100,0),""))),"")</f>
        <v>0</v>
      </c>
      <c r="O213" s="39" t="n">
        <f aca="false">IFERROR(IF($C213="","",IF($D213="","",IFERROR(ROUND($D213*INDEX('🔖 배합비 참조'!$B$2:$CE$83,MATCH("고구마가루",'🔖 배합비 참조'!$A$2:$A$83,0),MATCH($C213,'🔖 배합비 참조'!$B$1:$CE$1,0))/100,0),""))),"")</f>
        <v>0</v>
      </c>
      <c r="P213" s="39" t="n">
        <f aca="false">IFERROR(IF($C213="","",IF($D213="","",IFERROR(ROUND($D213*INDEX('🔖 배합비 참조'!$B$2:$CE$83,MATCH("고구마무스",'🔖 배합비 참조'!$A$2:$A$83,0),MATCH($C213,'🔖 배합비 참조'!$B$1:$CE$1,0))/100,0),""))),"")</f>
        <v>0</v>
      </c>
      <c r="Q213" s="39" t="n">
        <f aca="false">IFERROR(IF($C213="","",IF($D213="","",IFERROR(ROUND($D213*INDEX('🔖 배합비 참조'!$B$2:$CE$83,MATCH("고려엉겅퀴((곤드레)국내산)",'🔖 배합비 참조'!$A$2:$A$83,0),MATCH($C213,'🔖 배합비 참조'!$B$1:$CE$1,0))/100,0),""))),"")</f>
        <v>0</v>
      </c>
      <c r="R213" s="39" t="n">
        <f aca="false">IFERROR(IF($C213="","",IF($D213="","",IFERROR(ROUND($D213*INDEX('🔖 배합비 참조'!$B$2:$CE$83,MATCH("기타가공품(복분자가루)",'🔖 배합비 참조'!$A$2:$A$83,0),MATCH($C213,'🔖 배합비 참조'!$B$1:$CE$1,0))/100,0),""))),"")</f>
        <v>0</v>
      </c>
      <c r="S213" s="39" t="n">
        <f aca="false">IFERROR(IF($C213="","",IF($D213="","",IFERROR(ROUND($D213*INDEX('🔖 배합비 참조'!$B$2:$CE$83,MATCH("기타가공품(슈퍼소프트엠)",'🔖 배합비 참조'!$A$2:$A$83,0),MATCH($C213,'🔖 배합비 참조'!$B$1:$CE$1,0))/100,0),""))),"")</f>
        <v>0</v>
      </c>
      <c r="T213" s="39" t="n">
        <f aca="false">IFERROR(IF($C213="","",IF($D213="","",IFERROR(ROUND($D213*INDEX('🔖 배합비 참조'!$B$2:$CE$83,MATCH("기타가공품(파인소프트 E-티)",'🔖 배합비 참조'!$A$2:$A$83,0),MATCH($C213,'🔖 배합비 참조'!$B$1:$CE$1,0))/100,0),""))),"")</f>
        <v>0</v>
      </c>
      <c r="U213" s="39" t="n">
        <f aca="false">IFERROR(IF($C213="","",IF($D213="","",IFERROR(ROUND($D213*INDEX('🔖 배합비 참조'!$B$2:$CE$83,MATCH("기타가공품(프리미엄카스테라가루)",'🔖 배합비 참조'!$A$2:$A$83,0),MATCH($C213,'🔖 배합비 참조'!$B$1:$CE$1,0))/100,0),""))),"")</f>
        <v>0</v>
      </c>
      <c r="V213" s="39" t="n">
        <f aca="false">IFERROR(IF($C213="","",IF($D213="","",IFERROR(ROUND($D213*INDEX('🔖 배합비 참조'!$B$2:$CE$83,MATCH("기타가공품(흑임자가루)",'🔖 배합비 참조'!$A$2:$A$83,0),MATCH($C213,'🔖 배합비 참조'!$B$1:$CE$1,0))/100,0),""))),"")</f>
        <v>0</v>
      </c>
      <c r="W213" s="39" t="n">
        <f aca="false">IFERROR(IF($C213="","",IF($D213="","",IFERROR(ROUND($D213*INDEX('🔖 배합비 참조'!$B$2:$CE$83,MATCH("기타설탕(흑설탕)",'🔖 배합비 참조'!$A$2:$A$83,0),MATCH($C213,'🔖 배합비 참조'!$B$1:$CE$1,0))/100,0),""))),"")</f>
        <v>0</v>
      </c>
      <c r="X213" s="39" t="n">
        <f aca="false">IFERROR(IF($C213="","",IF($D213="","",IFERROR(ROUND($D213*INDEX('🔖 배합비 참조'!$B$2:$CE$83,MATCH("냉동쑥(국내산)",'🔖 배합비 참조'!$A$2:$A$83,0),MATCH($C213,'🔖 배합비 참조'!$B$1:$CE$1,0))/100,0),""))),"")</f>
        <v>0</v>
      </c>
      <c r="Y213" s="39" t="n">
        <f aca="false">IFERROR(IF($C213="","",IF($D213="","",IFERROR(ROUND($D213*INDEX('🔖 배합비 참조'!$B$2:$CE$83,MATCH("냉동증숙고구마(중국산)",'🔖 배합비 참조'!$A$2:$A$83,0),MATCH($C213,'🔖 배합비 참조'!$B$1:$CE$1,0))/100,0),""))),"")</f>
        <v>0</v>
      </c>
      <c r="Z213" s="39" t="n">
        <f aca="false">IFERROR(IF($C213="","",IF($D213="","",IFERROR(ROUND($D213*INDEX('🔖 배합비 참조'!$B$2:$CE$83,MATCH("녹차가루",'🔖 배합비 참조'!$A$2:$A$83,0),MATCH($C213,'🔖 배합비 참조'!$B$1:$CE$1,0))/100,0),""))),"")</f>
        <v>0</v>
      </c>
      <c r="AA213" s="39" t="n">
        <f aca="false">IFERROR(IF($C213="","",IF($D213="","",IFERROR(ROUND($D213*INDEX('🔖 배합비 참조'!$B$2:$CE$83,MATCH("다크초콜릿 컴파운드칩",'🔖 배합비 참조'!$A$2:$A$83,0),MATCH($C213,'🔖 배합비 참조'!$B$1:$CE$1,0))/100,0),""))),"")</f>
        <v>0</v>
      </c>
      <c r="AB213" s="39" t="n">
        <f aca="false">IFERROR(IF($C213="","",IF($D213="","",IFERROR(ROUND($D213*INDEX('🔖 배합비 참조'!$B$2:$CE$83,MATCH("단호박분말(중국산)",'🔖 배합비 참조'!$A$2:$A$83,0),MATCH($C213,'🔖 배합비 참조'!$B$1:$CE$1,0))/100,0),""))),"")</f>
        <v>0</v>
      </c>
      <c r="AC213" s="39" t="n">
        <f aca="false">IFERROR(IF($C213="","",IF($D213="","",IFERROR(ROUND($D213*INDEX('🔖 배합비 참조'!$B$2:$CE$83,MATCH("당류가공품(단호박농축액)",'🔖 배합비 참조'!$A$2:$A$83,0),MATCH($C213,'🔖 배합비 참조'!$B$1:$CE$1,0))/100,0),""))),"")</f>
        <v>0</v>
      </c>
      <c r="AD213" s="39" t="n">
        <f aca="false">IFERROR(IF($C213="","",IF($D213="","",IFERROR(ROUND($D213*INDEX('🔖 배합비 참조'!$B$2:$CE$83,MATCH("당류가공품(알룰로스,에리스리톨,스테비올배당체혼합)",'🔖 배합비 참조'!$A$2:$A$83,0),MATCH($C213,'🔖 배합비 참조'!$B$1:$CE$1,0))/100,0),""))),"")</f>
        <v>0</v>
      </c>
      <c r="AE213" s="39" t="n">
        <f aca="false">IFERROR(IF($C213="","",IF($D213="","",IFERROR(ROUND($D213*INDEX('🔖 배합비 참조'!$B$2:$CE$83,MATCH("당류가공품(알룰로스제로파우더)",'🔖 배합비 참조'!$A$2:$A$83,0),MATCH($C213,'🔖 배합비 참조'!$B$1:$CE$1,0))/100,0),""))),"")</f>
        <v>0</v>
      </c>
      <c r="AF213" s="39" t="n">
        <f aca="false">IFERROR(IF($C213="","",IF($D213="","",IFERROR(ROUND($D213*INDEX('🔖 배합비 참조'!$B$2:$CE$83,MATCH("당절임(완두배기)",'🔖 배합비 참조'!$A$2:$A$83,0),MATCH($C213,'🔖 배합비 참조'!$B$1:$CE$1,0))/100,0),""))),"")</f>
        <v>0</v>
      </c>
      <c r="AG213" s="39" t="n">
        <f aca="false">IFERROR(IF($C213="","",IF($D213="","",IFERROR(ROUND($D213*INDEX('🔖 배합비 참조'!$B$2:$CE$83,MATCH("대추농축액",'🔖 배합비 참조'!$A$2:$A$83,0),MATCH($C213,'🔖 배합비 참조'!$B$1:$CE$1,0))/100,0),""))),"")</f>
        <v>0</v>
      </c>
      <c r="AH213" s="39" t="n">
        <f aca="false">IFERROR(IF($C213="","",IF($D213="","",IFERROR(ROUND($D213*INDEX('🔖 배합비 참조'!$B$2:$CE$83,MATCH("대추채(국내산)",'🔖 배합비 참조'!$A$2:$A$83,0),MATCH($C213,'🔖 배합비 참조'!$B$1:$CE$1,0))/100,0),""))),"")</f>
        <v>0</v>
      </c>
      <c r="AI213" s="39" t="n">
        <f aca="false">IFERROR(IF($C213="","",IF($D213="","",IFERROR(ROUND($D213*INDEX('🔖 배합비 참조'!$B$2:$CE$83,MATCH("동부(미얀마산)",'🔖 배합비 참조'!$A$2:$A$83,0),MATCH($C213,'🔖 배합비 참조'!$B$1:$CE$1,0))/100,0),""))),"")</f>
        <v>0</v>
      </c>
      <c r="AJ213" s="39" t="n">
        <f aca="false">IFERROR(IF($C213="","",IF($D213="","",IFERROR(ROUND($D213*INDEX('🔖 배합비 참조'!$B$2:$CE$83,MATCH("두류가공품(백옥앙금)",'🔖 배합비 참조'!$A$2:$A$83,0),MATCH($C213,'🔖 배합비 참조'!$B$1:$CE$1,0))/100,0),""))),"")</f>
        <v>0</v>
      </c>
      <c r="AK213" s="39" t="n">
        <f aca="false">IFERROR(IF($C213="","",IF($D213="","",IFERROR(ROUND($D213*INDEX('🔖 배합비 참조'!$B$2:$CE$83,MATCH("두류가공품(콩고물)",'🔖 배합비 참조'!$A$2:$A$83,0),MATCH($C213,'🔖 배합비 참조'!$B$1:$CE$1,0))/100,0),""))),"")</f>
        <v>0</v>
      </c>
      <c r="AL213" s="39" t="n">
        <f aca="false">IFERROR(IF($C213="","",IF($D213="","",IFERROR(ROUND($D213*INDEX('🔖 배합비 참조'!$B$2:$CE$83,MATCH("두류가공품(통팥고물)",'🔖 배합비 참조'!$A$2:$A$83,0),MATCH($C213,'🔖 배합비 참조'!$B$1:$CE$1,0))/100,0),""))),"")</f>
        <v>0</v>
      </c>
      <c r="AM213" s="39" t="n">
        <f aca="false">IFERROR(IF($C213="","",IF($D213="","",IFERROR(ROUND($D213*INDEX('🔖 배합비 참조'!$B$2:$CE$83,MATCH("딸기레진",'🔖 배합비 참조'!$A$2:$A$83,0),MATCH($C213,'🔖 배합비 참조'!$B$1:$CE$1,0))/100,0),""))),"")</f>
        <v>0</v>
      </c>
      <c r="AN213" s="39" t="n">
        <f aca="false">IFERROR(IF($C213="","",IF($D213="","",IFERROR(ROUND($D213*INDEX('🔖 배합비 참조'!$B$2:$CE$83,MATCH("딸기분말(스트로우베리에이드(분말))",'🔖 배합비 참조'!$A$2:$A$83,0),MATCH($C213,'🔖 배합비 참조'!$B$1:$CE$1,0))/100,0),""))),"")</f>
        <v>0</v>
      </c>
      <c r="AO213" s="39" t="n">
        <f aca="false">IFERROR(IF($C213="","",IF($D213="","",IFERROR(ROUND($D213*INDEX('🔖 배합비 참조'!$B$2:$CE$83,MATCH("마스카포네치즈",'🔖 배합비 참조'!$A$2:$A$83,0),MATCH($C213,'🔖 배합비 참조'!$B$1:$CE$1,0))/100,0),""))),"")</f>
        <v>0</v>
      </c>
      <c r="AP213" s="39" t="n">
        <f aca="false">IFERROR(IF($C213="","",IF($D213="","",IFERROR(ROUND($D213*INDEX('🔖 배합비 참조'!$B$2:$CE$83,MATCH("마카다미아분태(호주산)",'🔖 배합비 참조'!$A$2:$A$83,0),MATCH($C213,'🔖 배합비 참조'!$B$1:$CE$1,0))/100,0),""))),"")</f>
        <v>0</v>
      </c>
      <c r="AQ213" s="39" t="n">
        <f aca="false">IFERROR(IF($C213="","",IF($D213="","",IFERROR(ROUND($D213*INDEX('🔖 배합비 참조'!$B$2:$CE$83,MATCH("멥쌀(국내산)",'🔖 배합비 참조'!$A$2:$A$83,0),MATCH($C213,'🔖 배합비 참조'!$B$1:$CE$1,0))/100,0),""))),"")</f>
        <v>0</v>
      </c>
      <c r="AR213" s="39" t="n">
        <f aca="false">IFERROR(IF($C213="","",IF($D213="","",IFERROR(ROUND($D213*INDEX('🔖 배합비 참조'!$B$2:$CE$83,MATCH("모시잎(국내산)",'🔖 배합비 참조'!$A$2:$A$83,0),MATCH($C213,'🔖 배합비 참조'!$B$1:$CE$1,0))/100,0),""))),"")</f>
        <v>0</v>
      </c>
      <c r="AS213" s="39" t="n">
        <f aca="false">IFERROR(IF($C213="","",IF($D213="","",IFERROR(ROUND($D213*INDEX('🔖 배합비 참조'!$B$2:$CE$83,MATCH("물엿(저당물엿)",'🔖 배합비 참조'!$A$2:$A$83,0),MATCH($C213,'🔖 배합비 참조'!$B$1:$CE$1,0))/100,0),""))),"")</f>
        <v>3</v>
      </c>
      <c r="AT213" s="39" t="n">
        <f aca="false">IFERROR(IF($C213="","",IF($D213="","",IFERROR(ROUND($D213*INDEX('🔖 배합비 참조'!$B$2:$CE$83,MATCH("밤다이스",'🔖 배합비 참조'!$A$2:$A$83,0),MATCH($C213,'🔖 배합비 참조'!$B$1:$CE$1,0))/100,0),""))),"")</f>
        <v>0</v>
      </c>
      <c r="AU213" s="39" t="n">
        <f aca="false">IFERROR(IF($C213="","",IF($D213="","",IFERROR(ROUND($D213*INDEX('🔖 배합비 참조'!$B$2:$CE$83,MATCH("변성전분(타피오카전분)",'🔖 배합비 참조'!$A$2:$A$83,0),MATCH($C213,'🔖 배합비 참조'!$B$1:$CE$1,0))/100,0),""))),"")</f>
        <v>0</v>
      </c>
      <c r="AV213" s="39" t="n">
        <f aca="false">IFERROR(IF($C213="","",IF($D213="","",IFERROR(ROUND($D213*INDEX('🔖 배합비 참조'!$B$2:$CE$83,MATCH("복음땅콩분태",'🔖 배합비 참조'!$A$2:$A$83,0),MATCH($C213,'🔖 배합비 참조'!$B$1:$CE$1,0))/100,0),""))),"")</f>
        <v>0</v>
      </c>
      <c r="AW213" s="39" t="n">
        <f aca="false">IFERROR(IF($C213="","",IF($D213="","",IFERROR(ROUND($D213*INDEX('🔖 배합비 참조'!$B$2:$CE$83,MATCH("사양벌꿀(국내산)",'🔖 배합비 참조'!$A$2:$A$83,0),MATCH($C213,'🔖 배합비 참조'!$B$1:$CE$1,0))/100,0),""))),"")</f>
        <v>0</v>
      </c>
      <c r="AX213" s="39" t="n">
        <f aca="false">IFERROR(IF($C213="","",IF($D213="","",IFERROR(ROUND($D213*INDEX('🔖 배합비 참조'!$B$2:$CE$83,MATCH("생크림",'🔖 배합비 참조'!$A$2:$A$83,0),MATCH($C213,'🔖 배합비 참조'!$B$1:$CE$1,0))/100,0),""))),"")</f>
        <v>0</v>
      </c>
      <c r="AY213" s="39" t="n">
        <f aca="false">IFERROR(IF($C213="","",IF($D213="","",IFERROR(ROUND($D213*INDEX('🔖 배합비 참조'!$B$2:$CE$83,MATCH("서양호박(국내산,뉴질랜드산)",'🔖 배합비 참조'!$A$2:$A$83,0),MATCH($C213,'🔖 배합비 참조'!$B$1:$CE$1,0))/100,0),""))),"")</f>
        <v>0</v>
      </c>
      <c r="AZ213" s="39" t="n">
        <f aca="false">IFERROR(IF($C213="","",IF($D213="","",IFERROR(ROUND($D213*INDEX('🔖 배합비 참조'!$B$2:$CE$83,MATCH("설탕",'🔖 배합비 참조'!$A$2:$A$83,0),MATCH($C213,'🔖 배합비 참조'!$B$1:$CE$1,0))/100,0),""))),"")</f>
        <v>3</v>
      </c>
      <c r="BA213" s="39" t="n">
        <f aca="false">IFERROR(IF($C213="","",IF($D213="","",IFERROR(ROUND($D213*INDEX('🔖 배합비 참조'!$B$2:$CE$83,MATCH("스트로우베리 에이드 후레쉬",'🔖 배합비 참조'!$A$2:$A$83,0),MATCH($C213,'🔖 배합비 참조'!$B$1:$CE$1,0))/100,0),""))),"")</f>
        <v>0</v>
      </c>
      <c r="BB213" s="39" t="n">
        <f aca="false">IFERROR(IF($C213="","",IF($D213="","",IFERROR(ROUND($D213*INDEX('🔖 배합비 참조'!$B$2:$CE$83,MATCH("식물성기름혼합제제(분홍)",'🔖 배합비 참조'!$A$2:$A$83,0),MATCH($C213,'🔖 배합비 참조'!$B$1:$CE$1,0))/100,0),""))),"")</f>
        <v>0</v>
      </c>
      <c r="BC213" s="39" t="n">
        <f aca="false">IFERROR(IF($C213="","",IF($D213="","",IFERROR(ROUND($D213*INDEX('🔖 배합비 참조'!$B$2:$CE$83,MATCH("식물성기름혼합제제(초록)",'🔖 배합비 참조'!$A$2:$A$83,0),MATCH($C213,'🔖 배합비 참조'!$B$1:$CE$1,0))/100,0),""))),"")</f>
        <v>0</v>
      </c>
      <c r="BD213" s="39" t="n">
        <f aca="false">IFERROR(IF($C213="","",IF($D213="","",IFERROR(ROUND($D213*INDEX('🔖 배합비 참조'!$B$2:$CE$83,MATCH("식물성기름혼합제제(황색)",'🔖 배합비 참조'!$A$2:$A$83,0),MATCH($C213,'🔖 배합비 참조'!$B$1:$CE$1,0))/100,0),""))),"")</f>
        <v>0</v>
      </c>
      <c r="BE213" s="39" t="n">
        <f aca="false">IFERROR(IF($C213="","",IF($D213="","",IFERROR(ROUND($D213*INDEX('🔖 배합비 참조'!$B$2:$CE$83,MATCH("쑥가루(국내산)",'🔖 배합비 참조'!$A$2:$A$83,0),MATCH($C213,'🔖 배합비 참조'!$B$1:$CE$1,0))/100,0),""))),"")</f>
        <v>0</v>
      </c>
      <c r="BF213" s="39" t="n">
        <f aca="false">IFERROR(IF($C213="","",IF($D213="","",IFERROR(ROUND($D213*INDEX('🔖 배합비 참조'!$B$2:$CE$83,MATCH("아몬드슬라이스",'🔖 배합비 참조'!$A$2:$A$83,0),MATCH($C213,'🔖 배합비 참조'!$B$1:$CE$1,0))/100,0),""))),"")</f>
        <v>0</v>
      </c>
      <c r="BG213" s="39" t="n">
        <f aca="false">IFERROR(IF($C213="","",IF($D213="","",IFERROR(ROUND($D213*INDEX('🔖 배합비 참조'!$B$2:$CE$83,MATCH("알룰로오스(국내산)",'🔖 배합비 참조'!$A$2:$A$83,0),MATCH($C213,'🔖 배합비 참조'!$B$1:$CE$1,0))/100,0),""))),"")</f>
        <v>0</v>
      </c>
      <c r="BH213" s="39" t="n">
        <f aca="false">IFERROR(IF($C213="","",IF($D213="","",IFERROR(ROUND($D213*INDEX('🔖 배합비 참조'!$B$2:$CE$83,MATCH("연유",'🔖 배합비 참조'!$A$2:$A$83,0),MATCH($C213,'🔖 배합비 참조'!$B$1:$CE$1,0))/100,0),""))),"")</f>
        <v>0</v>
      </c>
      <c r="BI213" s="39" t="n">
        <f aca="false">IFERROR(IF($C213="","",IF($D213="","",IFERROR(ROUND($D213*INDEX('🔖 배합비 참조'!$B$2:$CE$83,MATCH("옥수수전분",'🔖 배합비 참조'!$A$2:$A$83,0),MATCH($C213,'🔖 배합비 참조'!$B$1:$CE$1,0))/100,0),""))),"")</f>
        <v>1</v>
      </c>
      <c r="BJ213" s="39" t="n">
        <f aca="false">IFERROR(IF($C213="","",IF($D213="","",IFERROR(ROUND($D213*INDEX('🔖 배합비 참조'!$B$2:$CE$83,MATCH("완두배기",'🔖 배합비 참조'!$A$2:$A$83,0),MATCH($C213,'🔖 배합비 참조'!$B$1:$CE$1,0))/100,0),""))),"")</f>
        <v>0</v>
      </c>
      <c r="BK213" s="39" t="n">
        <f aca="false">IFERROR(IF($C213="","",IF($D213="","",IFERROR(ROUND($D213*INDEX('🔖 배합비 참조'!$B$2:$CE$83,MATCH("우유(국내산)",'🔖 배합비 참조'!$A$2:$A$83,0),MATCH($C213,'🔖 배합비 참조'!$B$1:$CE$1,0))/100,0),""))),"")</f>
        <v>0</v>
      </c>
      <c r="BL213" s="39" t="n">
        <f aca="false">IFERROR(IF($C213="","",IF($D213="","",IFERROR(ROUND($D213*INDEX('🔖 배합비 참조'!$B$2:$CE$83,MATCH("자색고구마가루(중국산)",'🔖 배합비 참조'!$A$2:$A$83,0),MATCH($C213,'🔖 배합비 참조'!$B$1:$CE$1,0))/100,0),""))),"")</f>
        <v>0</v>
      </c>
      <c r="BM213" s="39" t="n">
        <f aca="false">IFERROR(IF($C213="","",IF($D213="","",IFERROR(ROUND($D213*INDEX('🔖 배합비 참조'!$B$2:$CE$83,MATCH("자연치즈(체다치즈)",'🔖 배합비 참조'!$A$2:$A$83,0),MATCH($C213,'🔖 배합비 참조'!$B$1:$CE$1,0))/100,0),""))),"")</f>
        <v>0</v>
      </c>
      <c r="BN213" s="39" t="n">
        <f aca="false">IFERROR(IF($C213="","",IF($D213="","",IFERROR(ROUND($D213*INDEX('🔖 배합비 참조'!$B$2:$CE$83,MATCH("정제수",'🔖 배합비 참조'!$A$2:$A$83,0),MATCH($C213,'🔖 배합비 참조'!$B$1:$CE$1,0))/100,0),""))),"")</f>
        <v>0</v>
      </c>
      <c r="BO213" s="39" t="n">
        <f aca="false">IFERROR(IF($C213="","",IF($D213="","",IFERROR(ROUND($D213*INDEX('🔖 배합비 참조'!$B$2:$CE$83,MATCH("젤라틴",'🔖 배합비 참조'!$A$2:$A$83,0),MATCH($C213,'🔖 배합비 참조'!$B$1:$CE$1,0))/100,0),""))),"")</f>
        <v>0</v>
      </c>
      <c r="BP213" s="39" t="n">
        <f aca="false">IFERROR(IF($C213="","",IF($D213="","",IFERROR(ROUND($D213*INDEX('🔖 배합비 참조'!$B$2:$CE$83,MATCH("조림류(백옥앙금)",'🔖 배합비 참조'!$A$2:$A$83,0),MATCH($C213,'🔖 배합비 참조'!$B$1:$CE$1,0))/100,0),""))),"")</f>
        <v>0</v>
      </c>
      <c r="BQ213" s="39" t="n">
        <f aca="false">IFERROR(IF($C213="","",IF($D213="","",IFERROR(ROUND($D213*INDEX('🔖 배합비 참조'!$B$2:$CE$83,MATCH("조림류(통팥앙금)",'🔖 배합비 참조'!$A$2:$A$83,0),MATCH($C213,'🔖 배합비 참조'!$B$1:$CE$1,0))/100,0),""))),"")</f>
        <v>49</v>
      </c>
      <c r="BR213" s="39" t="n">
        <f aca="false">IFERROR(IF($C213="","",IF($D213="","",IFERROR(ROUND($D213*INDEX('🔖 배합비 참조'!$B$2:$CE$83,MATCH("준초콜릿(외국산)",'🔖 배합비 참조'!$A$2:$A$83,0),MATCH($C213,'🔖 배합비 참조'!$B$1:$CE$1,0))/100,0),""))),"")</f>
        <v>0</v>
      </c>
      <c r="BS213" s="39" t="n">
        <f aca="false">IFERROR(IF($C213="","",IF($D213="","",IFERROR(ROUND($D213*INDEX('🔖 배합비 참조'!$B$2:$CE$83,MATCH("중력분",'🔖 배합비 참조'!$A$2:$A$83,0),MATCH($C213,'🔖 배합비 참조'!$B$1:$CE$1,0))/100,0),""))),"")</f>
        <v>0</v>
      </c>
      <c r="BT213" s="39" t="n">
        <f aca="false">IFERROR(IF($C213="","",IF($D213="","",IFERROR(ROUND($D213*INDEX('🔖 배합비 참조'!$B$2:$CE$83,MATCH("참깨(인도산,나이지리아산,탄자니아산,미얀마산)",'🔖 배합비 참조'!$A$2:$A$83,0),MATCH($C213,'🔖 배합비 참조'!$B$1:$CE$1,0))/100,0),""))),"")</f>
        <v>0</v>
      </c>
      <c r="BU213" s="39" t="n">
        <f aca="false">IFERROR(IF($C213="","",IF($D213="","",IFERROR(ROUND($D213*INDEX('🔖 배합비 참조'!$B$2:$CE$83,MATCH("찹쌀(국내산)",'🔖 배합비 참조'!$A$2:$A$83,0),MATCH($C213,'🔖 배합비 참조'!$B$1:$CE$1,0))/100,0),""))),"")</f>
        <v>53</v>
      </c>
      <c r="BV213" s="39" t="n">
        <f aca="false">IFERROR(IF($C213="","",IF($D213="","",IFERROR(ROUND($D213*INDEX('🔖 배합비 참조'!$B$2:$CE$83,MATCH("천일염",'🔖 배합비 참조'!$A$2:$A$83,0),MATCH($C213,'🔖 배합비 참조'!$B$1:$CE$1,0))/100,0),""))),"")</f>
        <v>1</v>
      </c>
      <c r="BW213" s="39" t="n">
        <f aca="false">IFERROR(IF($C213="","",IF($D213="","",IFERROR(ROUND($D213*INDEX('🔖 배합비 참조'!$B$2:$CE$83,MATCH("치즈 [크림치즈]",'🔖 배합비 참조'!$A$2:$A$83,0),MATCH($C213,'🔖 배합비 참조'!$B$1:$CE$1,0))/100,0),""))),"")</f>
        <v>0</v>
      </c>
      <c r="BX213" s="39" t="n">
        <f aca="false">IFERROR(IF($C213="","",IF($D213="","",IFERROR(ROUND($D213*INDEX('🔖 배합비 참조'!$B$2:$CE$83,MATCH("코코아가공품류(코코아분말)",'🔖 배합비 참조'!$A$2:$A$83,0),MATCH($C213,'🔖 배합비 참조'!$B$1:$CE$1,0))/100,0),""))),"")</f>
        <v>0</v>
      </c>
      <c r="BY213" s="39" t="n">
        <f aca="false">IFERROR(IF($C213="","",IF($D213="","",IFERROR(ROUND($D213*INDEX('🔖 배합비 참조'!$B$2:$CE$83,MATCH("콩기름(대두유)",'🔖 배합비 참조'!$A$2:$A$83,0),MATCH($C213,'🔖 배합비 참조'!$B$1:$CE$1,0))/100,0),""))),"")</f>
        <v>0</v>
      </c>
      <c r="BZ213" s="39" t="n">
        <f aca="false">IFERROR(IF($C213="","",IF($D213="","",IFERROR(ROUND($D213*INDEX('🔖 배합비 참조'!$B$2:$CE$83,MATCH("해바라기씨앗",'🔖 배합비 참조'!$A$2:$A$83,0),MATCH($C213,'🔖 배합비 참조'!$B$1:$CE$1,0))/100,0),""))),"")</f>
        <v>0</v>
      </c>
      <c r="CA213" s="39" t="n">
        <f aca="false">IFERROR(IF($C213="","",IF($D213="","",IFERROR(ROUND($D213*INDEX('🔖 배합비 참조'!$B$2:$CE$83,MATCH("현미(국내산)",'🔖 배합비 참조'!$A$2:$A$83,0),MATCH($C213,'🔖 배합비 참조'!$B$1:$CE$1,0))/100,0),""))),"")</f>
        <v>0</v>
      </c>
      <c r="CB213" s="39" t="n">
        <f aca="false">IFERROR(IF($C213="","",IF($D213="","",IFERROR(ROUND($D213*INDEX('🔖 배합비 참조'!$B$2:$CE$83,MATCH("현미멥쌀(국내산)",'🔖 배합비 참조'!$A$2:$A$83,0),MATCH($C213,'🔖 배합비 참조'!$B$1:$CE$1,0))/100,0),""))),"")</f>
        <v>0</v>
      </c>
      <c r="CC213" s="39" t="n">
        <f aca="false">IFERROR(IF($C213="","",IF($D213="","",IFERROR(ROUND($D213*INDEX('🔖 배합비 참조'!$B$2:$CE$83,MATCH("호두분태(미국산)",'🔖 배합비 참조'!$A$2:$A$83,0),MATCH($C213,'🔖 배합비 참조'!$B$1:$CE$1,0))/100,0),""))),"")</f>
        <v>0</v>
      </c>
      <c r="CD213" s="39" t="n">
        <f aca="false">IFERROR(IF($C213="","",IF($D213="","",IFERROR(ROUND($D213*INDEX('🔖 배합비 참조'!$B$2:$CE$83,MATCH("호박씨앗(외국산)",'🔖 배합비 참조'!$A$2:$A$83,0),MATCH($C213,'🔖 배합비 참조'!$B$1:$CE$1,0))/100,0),""))),"")</f>
        <v>0</v>
      </c>
      <c r="CE213" s="39" t="n">
        <f aca="false">IFERROR(IF($C213="","",IF($D213="","",IFERROR(ROUND($D213*INDEX('🔖 배합비 참조'!$B$2:$CE$83,MATCH("혼합제제(떡용에스텔)",'🔖 배합비 참조'!$A$2:$A$83,0),MATCH($C213,'🔖 배합비 참조'!$B$1:$CE$1,0))/100,0),""))),"")</f>
        <v>0</v>
      </c>
      <c r="CF213" s="39" t="n">
        <f aca="false">IFERROR(IF($C213="","",IF($D213="","",IFERROR(ROUND($D213*INDEX('🔖 배합비 참조'!$B$2:$CE$83,MATCH("혼합제제(스테비아)",'🔖 배합비 참조'!$A$2:$A$83,0),MATCH($C213,'🔖 배합비 참조'!$B$1:$CE$1,0))/100,0),""))),"")</f>
        <v>0</v>
      </c>
      <c r="CG213" s="39" t="n">
        <f aca="false">IFERROR(IF($C213="","",IF($D213="","",IFERROR(ROUND($D213*INDEX('🔖 배합비 참조'!$B$2:$CE$83,MATCH("화이트초콜릿",'🔖 배합비 참조'!$A$2:$A$83,0),MATCH($C213,'🔖 배합비 참조'!$B$1:$CE$1,0))/100,0),""))),"")</f>
        <v>0</v>
      </c>
      <c r="CH213" s="39" t="n">
        <f aca="false">IFERROR(IF($C213="","",IF($D213="","",IFERROR(ROUND($D213*INDEX('🔖 배합비 참조'!$B$2:$CE$83,MATCH("흑미찹쌀(국내산)",'🔖 배합비 참조'!$A$2:$A$83,0),MATCH($C213,'🔖 배합비 참조'!$B$1:$CE$1,0))/100,0),""))),"")</f>
        <v>0</v>
      </c>
      <c r="CI213" s="39" t="n">
        <f aca="false">IFERROR(IF($C213="","",IF($D213="","",IFERROR(ROUND($D213*INDEX('🔖 배합비 참조'!$B$2:$CE$83,MATCH("찰옥수수전분(미국산)",'🔖 배합비 참조'!$A$2:$A$83,0),MATCH($C213,'🔖 배합비 참조'!$B$1:$CE$1,0))/100,0),""))),"")</f>
        <v>0</v>
      </c>
      <c r="CJ213" s="40"/>
      <c r="CL213" s="1" t="s">
        <v>247</v>
      </c>
    </row>
    <row r="214" customFormat="false" ht="18" hidden="false" customHeight="true" outlineLevel="0" collapsed="false">
      <c r="A214" s="41" t="n">
        <v>210</v>
      </c>
      <c r="B214" s="36" t="n">
        <v>46059</v>
      </c>
      <c r="C214" s="37" t="s">
        <v>191</v>
      </c>
      <c r="D214" s="38" t="n">
        <v>880</v>
      </c>
      <c r="E214" s="17"/>
      <c r="F214" s="17"/>
      <c r="G214" s="42" t="n">
        <f aca="false">IFERROR(IF($C214="","",IF($D214="","",IFERROR(ROUND($D214*INDEX('🔖 배합비 참조'!$B$2:$CE$83,MATCH("간장",'🔖 배합비 참조'!$A$2:$A$83,0),MATCH($C214,'🔖 배합비 참조'!$B$1:$CE$1,0))/100,0),""))),"")</f>
        <v>0</v>
      </c>
      <c r="H214" s="42" t="n">
        <f aca="false">IFERROR(IF($C214="","",IF($D214="","",IFERROR(ROUND($D214*INDEX('🔖 배합비 참조'!$B$2:$CE$83,MATCH("강낭콩((울타리콩))",'🔖 배합비 참조'!$A$2:$A$83,0),MATCH($C214,'🔖 배합비 참조'!$B$1:$CE$1,0))/100,0),""))),"")</f>
        <v>0</v>
      </c>
      <c r="I214" s="42" t="n">
        <f aca="false">IFERROR(IF($C214="","",IF($D214="","",IFERROR(ROUND($D214*INDEX('🔖 배합비 참조'!$B$2:$CE$83,MATCH("건조딸기다이스(외국산)",'🔖 배합비 참조'!$A$2:$A$83,0),MATCH($C214,'🔖 배합비 참조'!$B$1:$CE$1,0))/100,0),""))),"")</f>
        <v>0</v>
      </c>
      <c r="J214" s="42" t="n">
        <f aca="false">IFERROR(IF($C214="","",IF($D214="","",IFERROR(ROUND($D214*INDEX('🔖 배합비 참조'!$B$2:$CE$83,MATCH("건포도",'🔖 배합비 참조'!$A$2:$A$83,0),MATCH($C214,'🔖 배합비 참조'!$B$1:$CE$1,0))/100,0),""))),"")</f>
        <v>0</v>
      </c>
      <c r="K214" s="42" t="n">
        <f aca="false">IFERROR(IF($C214="","",IF($D214="","",IFERROR(ROUND($D214*INDEX('🔖 배합비 참조'!$B$2:$CE$83,MATCH("건호박채(중국산)",'🔖 배합비 참조'!$A$2:$A$83,0),MATCH($C214,'🔖 배합비 참조'!$B$1:$CE$1,0))/100,0),""))),"")</f>
        <v>0</v>
      </c>
      <c r="L214" s="42" t="n">
        <f aca="false">IFERROR(IF($C214="","",IF($D214="","",IFERROR(ROUND($D214*INDEX('🔖 배합비 참조'!$B$2:$CE$83,MATCH("검정깨(흑임자)",'🔖 배합비 참조'!$A$2:$A$83,0),MATCH($C214,'🔖 배합비 참조'!$B$1:$CE$1,0))/100,0),""))),"")</f>
        <v>0</v>
      </c>
      <c r="M214" s="42" t="n">
        <f aca="false">IFERROR(IF($C214="","",IF($D214="","",IFERROR(ROUND($D214*INDEX('🔖 배합비 참조'!$B$2:$CE$83,MATCH("검정콩",'🔖 배합비 참조'!$A$2:$A$83,0),MATCH($C214,'🔖 배합비 참조'!$B$1:$CE$1,0))/100,0),""))),"")</f>
        <v>0</v>
      </c>
      <c r="N214" s="42" t="n">
        <f aca="false">IFERROR(IF($C214="","",IF($D214="","",IFERROR(ROUND($D214*INDEX('🔖 배합비 참조'!$B$2:$CE$83,MATCH("계피가루",'🔖 배합비 참조'!$A$2:$A$83,0),MATCH($C214,'🔖 배합비 참조'!$B$1:$CE$1,0))/100,0),""))),"")</f>
        <v>0</v>
      </c>
      <c r="O214" s="42" t="n">
        <f aca="false">IFERROR(IF($C214="","",IF($D214="","",IFERROR(ROUND($D214*INDEX('🔖 배합비 참조'!$B$2:$CE$83,MATCH("고구마가루",'🔖 배합비 참조'!$A$2:$A$83,0),MATCH($C214,'🔖 배합비 참조'!$B$1:$CE$1,0))/100,0),""))),"")</f>
        <v>0</v>
      </c>
      <c r="P214" s="42" t="n">
        <f aca="false">IFERROR(IF($C214="","",IF($D214="","",IFERROR(ROUND($D214*INDEX('🔖 배합비 참조'!$B$2:$CE$83,MATCH("고구마무스",'🔖 배합비 참조'!$A$2:$A$83,0),MATCH($C214,'🔖 배합비 참조'!$B$1:$CE$1,0))/100,0),""))),"")</f>
        <v>0</v>
      </c>
      <c r="Q214" s="42" t="n">
        <f aca="false">IFERROR(IF($C214="","",IF($D214="","",IFERROR(ROUND($D214*INDEX('🔖 배합비 참조'!$B$2:$CE$83,MATCH("고려엉겅퀴((곤드레)국내산)",'🔖 배합비 참조'!$A$2:$A$83,0),MATCH($C214,'🔖 배합비 참조'!$B$1:$CE$1,0))/100,0),""))),"")</f>
        <v>0</v>
      </c>
      <c r="R214" s="42" t="n">
        <f aca="false">IFERROR(IF($C214="","",IF($D214="","",IFERROR(ROUND($D214*INDEX('🔖 배합비 참조'!$B$2:$CE$83,MATCH("기타가공품(복분자가루)",'🔖 배합비 참조'!$A$2:$A$83,0),MATCH($C214,'🔖 배합비 참조'!$B$1:$CE$1,0))/100,0),""))),"")</f>
        <v>0</v>
      </c>
      <c r="S214" s="42" t="n">
        <f aca="false">IFERROR(IF($C214="","",IF($D214="","",IFERROR(ROUND($D214*INDEX('🔖 배합비 참조'!$B$2:$CE$83,MATCH("기타가공품(슈퍼소프트엠)",'🔖 배합비 참조'!$A$2:$A$83,0),MATCH($C214,'🔖 배합비 참조'!$B$1:$CE$1,0))/100,0),""))),"")</f>
        <v>0</v>
      </c>
      <c r="T214" s="42" t="n">
        <f aca="false">IFERROR(IF($C214="","",IF($D214="","",IFERROR(ROUND($D214*INDEX('🔖 배합비 참조'!$B$2:$CE$83,MATCH("기타가공품(파인소프트 E-티)",'🔖 배합비 참조'!$A$2:$A$83,0),MATCH($C214,'🔖 배합비 참조'!$B$1:$CE$1,0))/100,0),""))),"")</f>
        <v>0</v>
      </c>
      <c r="U214" s="42" t="n">
        <f aca="false">IFERROR(IF($C214="","",IF($D214="","",IFERROR(ROUND($D214*INDEX('🔖 배합비 참조'!$B$2:$CE$83,MATCH("기타가공품(프리미엄카스테라가루)",'🔖 배합비 참조'!$A$2:$A$83,0),MATCH($C214,'🔖 배합비 참조'!$B$1:$CE$1,0))/100,0),""))),"")</f>
        <v>0</v>
      </c>
      <c r="V214" s="42" t="n">
        <f aca="false">IFERROR(IF($C214="","",IF($D214="","",IFERROR(ROUND($D214*INDEX('🔖 배합비 참조'!$B$2:$CE$83,MATCH("기타가공품(흑임자가루)",'🔖 배합비 참조'!$A$2:$A$83,0),MATCH($C214,'🔖 배합비 참조'!$B$1:$CE$1,0))/100,0),""))),"")</f>
        <v>0</v>
      </c>
      <c r="W214" s="42" t="n">
        <f aca="false">IFERROR(IF($C214="","",IF($D214="","",IFERROR(ROUND($D214*INDEX('🔖 배합비 참조'!$B$2:$CE$83,MATCH("기타설탕(흑설탕)",'🔖 배합비 참조'!$A$2:$A$83,0),MATCH($C214,'🔖 배합비 참조'!$B$1:$CE$1,0))/100,0),""))),"")</f>
        <v>0</v>
      </c>
      <c r="X214" s="42" t="n">
        <f aca="false">IFERROR(IF($C214="","",IF($D214="","",IFERROR(ROUND($D214*INDEX('🔖 배합비 참조'!$B$2:$CE$83,MATCH("냉동쑥(국내산)",'🔖 배합비 참조'!$A$2:$A$83,0),MATCH($C214,'🔖 배합비 참조'!$B$1:$CE$1,0))/100,0),""))),"")</f>
        <v>0</v>
      </c>
      <c r="Y214" s="42" t="n">
        <f aca="false">IFERROR(IF($C214="","",IF($D214="","",IFERROR(ROUND($D214*INDEX('🔖 배합비 참조'!$B$2:$CE$83,MATCH("냉동증숙고구마(중국산)",'🔖 배합비 참조'!$A$2:$A$83,0),MATCH($C214,'🔖 배합비 참조'!$B$1:$CE$1,0))/100,0),""))),"")</f>
        <v>0</v>
      </c>
      <c r="Z214" s="42" t="n">
        <f aca="false">IFERROR(IF($C214="","",IF($D214="","",IFERROR(ROUND($D214*INDEX('🔖 배합비 참조'!$B$2:$CE$83,MATCH("녹차가루",'🔖 배합비 참조'!$A$2:$A$83,0),MATCH($C214,'🔖 배합비 참조'!$B$1:$CE$1,0))/100,0),""))),"")</f>
        <v>0</v>
      </c>
      <c r="AA214" s="42" t="n">
        <f aca="false">IFERROR(IF($C214="","",IF($D214="","",IFERROR(ROUND($D214*INDEX('🔖 배합비 참조'!$B$2:$CE$83,MATCH("다크초콜릿 컴파운드칩",'🔖 배합비 참조'!$A$2:$A$83,0),MATCH($C214,'🔖 배합비 참조'!$B$1:$CE$1,0))/100,0),""))),"")</f>
        <v>0</v>
      </c>
      <c r="AB214" s="42" t="n">
        <f aca="false">IFERROR(IF($C214="","",IF($D214="","",IFERROR(ROUND($D214*INDEX('🔖 배합비 참조'!$B$2:$CE$83,MATCH("단호박분말(중국산)",'🔖 배합비 참조'!$A$2:$A$83,0),MATCH($C214,'🔖 배합비 참조'!$B$1:$CE$1,0))/100,0),""))),"")</f>
        <v>0</v>
      </c>
      <c r="AC214" s="42" t="n">
        <f aca="false">IFERROR(IF($C214="","",IF($D214="","",IFERROR(ROUND($D214*INDEX('🔖 배합비 참조'!$B$2:$CE$83,MATCH("당류가공품(단호박농축액)",'🔖 배합비 참조'!$A$2:$A$83,0),MATCH($C214,'🔖 배합비 참조'!$B$1:$CE$1,0))/100,0),""))),"")</f>
        <v>0</v>
      </c>
      <c r="AD214" s="42" t="n">
        <f aca="false">IFERROR(IF($C214="","",IF($D214="","",IFERROR(ROUND($D214*INDEX('🔖 배합비 참조'!$B$2:$CE$83,MATCH("당류가공품(알룰로스,에리스리톨,스테비올배당체혼합)",'🔖 배합비 참조'!$A$2:$A$83,0),MATCH($C214,'🔖 배합비 참조'!$B$1:$CE$1,0))/100,0),""))),"")</f>
        <v>0</v>
      </c>
      <c r="AE214" s="42" t="n">
        <f aca="false">IFERROR(IF($C214="","",IF($D214="","",IFERROR(ROUND($D214*INDEX('🔖 배합비 참조'!$B$2:$CE$83,MATCH("당류가공품(알룰로스제로파우더)",'🔖 배합비 참조'!$A$2:$A$83,0),MATCH($C214,'🔖 배합비 참조'!$B$1:$CE$1,0))/100,0),""))),"")</f>
        <v>0</v>
      </c>
      <c r="AF214" s="42" t="n">
        <f aca="false">IFERROR(IF($C214="","",IF($D214="","",IFERROR(ROUND($D214*INDEX('🔖 배합비 참조'!$B$2:$CE$83,MATCH("당절임(완두배기)",'🔖 배합비 참조'!$A$2:$A$83,0),MATCH($C214,'🔖 배합비 참조'!$B$1:$CE$1,0))/100,0),""))),"")</f>
        <v>0</v>
      </c>
      <c r="AG214" s="42" t="n">
        <f aca="false">IFERROR(IF($C214="","",IF($D214="","",IFERROR(ROUND($D214*INDEX('🔖 배합비 참조'!$B$2:$CE$83,MATCH("대추농축액",'🔖 배합비 참조'!$A$2:$A$83,0),MATCH($C214,'🔖 배합비 참조'!$B$1:$CE$1,0))/100,0),""))),"")</f>
        <v>0</v>
      </c>
      <c r="AH214" s="42" t="n">
        <f aca="false">IFERROR(IF($C214="","",IF($D214="","",IFERROR(ROUND($D214*INDEX('🔖 배합비 참조'!$B$2:$CE$83,MATCH("대추채(국내산)",'🔖 배합비 참조'!$A$2:$A$83,0),MATCH($C214,'🔖 배합비 참조'!$B$1:$CE$1,0))/100,0),""))),"")</f>
        <v>0</v>
      </c>
      <c r="AI214" s="42" t="n">
        <f aca="false">IFERROR(IF($C214="","",IF($D214="","",IFERROR(ROUND($D214*INDEX('🔖 배합비 참조'!$B$2:$CE$83,MATCH("동부(미얀마산)",'🔖 배합비 참조'!$A$2:$A$83,0),MATCH($C214,'🔖 배합비 참조'!$B$1:$CE$1,0))/100,0),""))),"")</f>
        <v>0</v>
      </c>
      <c r="AJ214" s="42" t="n">
        <f aca="false">IFERROR(IF($C214="","",IF($D214="","",IFERROR(ROUND($D214*INDEX('🔖 배합비 참조'!$B$2:$CE$83,MATCH("두류가공품(백옥앙금)",'🔖 배합비 참조'!$A$2:$A$83,0),MATCH($C214,'🔖 배합비 참조'!$B$1:$CE$1,0))/100,0),""))),"")</f>
        <v>0</v>
      </c>
      <c r="AK214" s="42" t="n">
        <f aca="false">IFERROR(IF($C214="","",IF($D214="","",IFERROR(ROUND($D214*INDEX('🔖 배합비 참조'!$B$2:$CE$83,MATCH("두류가공품(콩고물)",'🔖 배합비 참조'!$A$2:$A$83,0),MATCH($C214,'🔖 배합비 참조'!$B$1:$CE$1,0))/100,0),""))),"")</f>
        <v>0</v>
      </c>
      <c r="AL214" s="42" t="n">
        <f aca="false">IFERROR(IF($C214="","",IF($D214="","",IFERROR(ROUND($D214*INDEX('🔖 배합비 참조'!$B$2:$CE$83,MATCH("두류가공품(통팥고물)",'🔖 배합비 참조'!$A$2:$A$83,0),MATCH($C214,'🔖 배합비 참조'!$B$1:$CE$1,0))/100,0),""))),"")</f>
        <v>0</v>
      </c>
      <c r="AM214" s="42" t="n">
        <f aca="false">IFERROR(IF($C214="","",IF($D214="","",IFERROR(ROUND($D214*INDEX('🔖 배합비 참조'!$B$2:$CE$83,MATCH("딸기레진",'🔖 배합비 참조'!$A$2:$A$83,0),MATCH($C214,'🔖 배합비 참조'!$B$1:$CE$1,0))/100,0),""))),"")</f>
        <v>0</v>
      </c>
      <c r="AN214" s="42" t="n">
        <f aca="false">IFERROR(IF($C214="","",IF($D214="","",IFERROR(ROUND($D214*INDEX('🔖 배합비 참조'!$B$2:$CE$83,MATCH("딸기분말(스트로우베리에이드(분말))",'🔖 배합비 참조'!$A$2:$A$83,0),MATCH($C214,'🔖 배합비 참조'!$B$1:$CE$1,0))/100,0),""))),"")</f>
        <v>0</v>
      </c>
      <c r="AO214" s="42" t="n">
        <f aca="false">IFERROR(IF($C214="","",IF($D214="","",IFERROR(ROUND($D214*INDEX('🔖 배합비 참조'!$B$2:$CE$83,MATCH("마스카포네치즈",'🔖 배합비 참조'!$A$2:$A$83,0),MATCH($C214,'🔖 배합비 참조'!$B$1:$CE$1,0))/100,0),""))),"")</f>
        <v>0</v>
      </c>
      <c r="AP214" s="42" t="n">
        <f aca="false">IFERROR(IF($C214="","",IF($D214="","",IFERROR(ROUND($D214*INDEX('🔖 배합비 참조'!$B$2:$CE$83,MATCH("마카다미아분태(호주산)",'🔖 배합비 참조'!$A$2:$A$83,0),MATCH($C214,'🔖 배합비 참조'!$B$1:$CE$1,0))/100,0),""))),"")</f>
        <v>0</v>
      </c>
      <c r="AQ214" s="42" t="n">
        <f aca="false">IFERROR(IF($C214="","",IF($D214="","",IFERROR(ROUND($D214*INDEX('🔖 배합비 참조'!$B$2:$CE$83,MATCH("멥쌀(국내산)",'🔖 배합비 참조'!$A$2:$A$83,0),MATCH($C214,'🔖 배합비 참조'!$B$1:$CE$1,0))/100,0),""))),"")</f>
        <v>18</v>
      </c>
      <c r="AR214" s="42" t="n">
        <f aca="false">IFERROR(IF($C214="","",IF($D214="","",IFERROR(ROUND($D214*INDEX('🔖 배합비 참조'!$B$2:$CE$83,MATCH("모시잎(국내산)",'🔖 배합비 참조'!$A$2:$A$83,0),MATCH($C214,'🔖 배합비 참조'!$B$1:$CE$1,0))/100,0),""))),"")</f>
        <v>0</v>
      </c>
      <c r="AS214" s="42" t="n">
        <f aca="false">IFERROR(IF($C214="","",IF($D214="","",IFERROR(ROUND($D214*INDEX('🔖 배합비 참조'!$B$2:$CE$83,MATCH("물엿(저당물엿)",'🔖 배합비 참조'!$A$2:$A$83,0),MATCH($C214,'🔖 배합비 참조'!$B$1:$CE$1,0))/100,0),""))),"")</f>
        <v>0</v>
      </c>
      <c r="AT214" s="42" t="n">
        <f aca="false">IFERROR(IF($C214="","",IF($D214="","",IFERROR(ROUND($D214*INDEX('🔖 배합비 참조'!$B$2:$CE$83,MATCH("밤다이스",'🔖 배합비 참조'!$A$2:$A$83,0),MATCH($C214,'🔖 배합비 참조'!$B$1:$CE$1,0))/100,0),""))),"")</f>
        <v>0</v>
      </c>
      <c r="AU214" s="42" t="n">
        <f aca="false">IFERROR(IF($C214="","",IF($D214="","",IFERROR(ROUND($D214*INDEX('🔖 배합비 참조'!$B$2:$CE$83,MATCH("변성전분(타피오카전분)",'🔖 배합비 참조'!$A$2:$A$83,0),MATCH($C214,'🔖 배합비 참조'!$B$1:$CE$1,0))/100,0),""))),"")</f>
        <v>0</v>
      </c>
      <c r="AV214" s="42" t="n">
        <f aca="false">IFERROR(IF($C214="","",IF($D214="","",IFERROR(ROUND($D214*INDEX('🔖 배합비 참조'!$B$2:$CE$83,MATCH("복음땅콩분태",'🔖 배합비 참조'!$A$2:$A$83,0),MATCH($C214,'🔖 배합비 참조'!$B$1:$CE$1,0))/100,0),""))),"")</f>
        <v>0</v>
      </c>
      <c r="AW214" s="42" t="n">
        <f aca="false">IFERROR(IF($C214="","",IF($D214="","",IFERROR(ROUND($D214*INDEX('🔖 배합비 참조'!$B$2:$CE$83,MATCH("사양벌꿀(국내산)",'🔖 배합비 참조'!$A$2:$A$83,0),MATCH($C214,'🔖 배합비 참조'!$B$1:$CE$1,0))/100,0),""))),"")</f>
        <v>0</v>
      </c>
      <c r="AX214" s="42" t="n">
        <f aca="false">IFERROR(IF($C214="","",IF($D214="","",IFERROR(ROUND($D214*INDEX('🔖 배합비 참조'!$B$2:$CE$83,MATCH("생크림",'🔖 배합비 참조'!$A$2:$A$83,0),MATCH($C214,'🔖 배합비 참조'!$B$1:$CE$1,0))/100,0),""))),"")</f>
        <v>0</v>
      </c>
      <c r="AY214" s="42" t="n">
        <f aca="false">IFERROR(IF($C214="","",IF($D214="","",IFERROR(ROUND($D214*INDEX('🔖 배합비 참조'!$B$2:$CE$83,MATCH("서양호박(국내산,뉴질랜드산)",'🔖 배합비 참조'!$A$2:$A$83,0),MATCH($C214,'🔖 배합비 참조'!$B$1:$CE$1,0))/100,0),""))),"")</f>
        <v>0</v>
      </c>
      <c r="AZ214" s="42" t="n">
        <f aca="false">IFERROR(IF($C214="","",IF($D214="","",IFERROR(ROUND($D214*INDEX('🔖 배합비 참조'!$B$2:$CE$83,MATCH("설탕",'🔖 배합비 참조'!$A$2:$A$83,0),MATCH($C214,'🔖 배합비 참조'!$B$1:$CE$1,0))/100,0),""))),"")</f>
        <v>167</v>
      </c>
      <c r="BA214" s="42" t="n">
        <f aca="false">IFERROR(IF($C214="","",IF($D214="","",IFERROR(ROUND($D214*INDEX('🔖 배합비 참조'!$B$2:$CE$83,MATCH("스트로우베리 에이드 후레쉬",'🔖 배합비 참조'!$A$2:$A$83,0),MATCH($C214,'🔖 배합비 참조'!$B$1:$CE$1,0))/100,0),""))),"")</f>
        <v>0</v>
      </c>
      <c r="BB214" s="42" t="n">
        <f aca="false">IFERROR(IF($C214="","",IF($D214="","",IFERROR(ROUND($D214*INDEX('🔖 배합비 참조'!$B$2:$CE$83,MATCH("식물성기름혼합제제(분홍)",'🔖 배합비 참조'!$A$2:$A$83,0),MATCH($C214,'🔖 배합비 참조'!$B$1:$CE$1,0))/100,0),""))),"")</f>
        <v>0</v>
      </c>
      <c r="BC214" s="42" t="n">
        <f aca="false">IFERROR(IF($C214="","",IF($D214="","",IFERROR(ROUND($D214*INDEX('🔖 배합비 참조'!$B$2:$CE$83,MATCH("식물성기름혼합제제(초록)",'🔖 배합비 참조'!$A$2:$A$83,0),MATCH($C214,'🔖 배합비 참조'!$B$1:$CE$1,0))/100,0),""))),"")</f>
        <v>0</v>
      </c>
      <c r="BD214" s="42" t="n">
        <f aca="false">IFERROR(IF($C214="","",IF($D214="","",IFERROR(ROUND($D214*INDEX('🔖 배합비 참조'!$B$2:$CE$83,MATCH("식물성기름혼합제제(황색)",'🔖 배합비 참조'!$A$2:$A$83,0),MATCH($C214,'🔖 배합비 참조'!$B$1:$CE$1,0))/100,0),""))),"")</f>
        <v>0</v>
      </c>
      <c r="BE214" s="42" t="n">
        <f aca="false">IFERROR(IF($C214="","",IF($D214="","",IFERROR(ROUND($D214*INDEX('🔖 배합비 참조'!$B$2:$CE$83,MATCH("쑥가루(국내산)",'🔖 배합비 참조'!$A$2:$A$83,0),MATCH($C214,'🔖 배합비 참조'!$B$1:$CE$1,0))/100,0),""))),"")</f>
        <v>0</v>
      </c>
      <c r="BF214" s="42" t="n">
        <f aca="false">IFERROR(IF($C214="","",IF($D214="","",IFERROR(ROUND($D214*INDEX('🔖 배합비 참조'!$B$2:$CE$83,MATCH("아몬드슬라이스",'🔖 배합비 참조'!$A$2:$A$83,0),MATCH($C214,'🔖 배합비 참조'!$B$1:$CE$1,0))/100,0),""))),"")</f>
        <v>0</v>
      </c>
      <c r="BG214" s="42" t="n">
        <f aca="false">IFERROR(IF($C214="","",IF($D214="","",IFERROR(ROUND($D214*INDEX('🔖 배합비 참조'!$B$2:$CE$83,MATCH("알룰로오스(국내산)",'🔖 배합비 참조'!$A$2:$A$83,0),MATCH($C214,'🔖 배합비 참조'!$B$1:$CE$1,0))/100,0),""))),"")</f>
        <v>0</v>
      </c>
      <c r="BH214" s="42" t="n">
        <f aca="false">IFERROR(IF($C214="","",IF($D214="","",IFERROR(ROUND($D214*INDEX('🔖 배합비 참조'!$B$2:$CE$83,MATCH("연유",'🔖 배합비 참조'!$A$2:$A$83,0),MATCH($C214,'🔖 배합비 참조'!$B$1:$CE$1,0))/100,0),""))),"")</f>
        <v>0</v>
      </c>
      <c r="BI214" s="42" t="n">
        <f aca="false">IFERROR(IF($C214="","",IF($D214="","",IFERROR(ROUND($D214*INDEX('🔖 배합비 참조'!$B$2:$CE$83,MATCH("옥수수전분",'🔖 배합비 참조'!$A$2:$A$83,0),MATCH($C214,'🔖 배합비 참조'!$B$1:$CE$1,0))/100,0),""))),"")</f>
        <v>0</v>
      </c>
      <c r="BJ214" s="42" t="n">
        <f aca="false">IFERROR(IF($C214="","",IF($D214="","",IFERROR(ROUND($D214*INDEX('🔖 배합비 참조'!$B$2:$CE$83,MATCH("완두배기",'🔖 배합비 참조'!$A$2:$A$83,0),MATCH($C214,'🔖 배합비 참조'!$B$1:$CE$1,0))/100,0),""))),"")</f>
        <v>0</v>
      </c>
      <c r="BK214" s="42" t="n">
        <f aca="false">IFERROR(IF($C214="","",IF($D214="","",IFERROR(ROUND($D214*INDEX('🔖 배합비 참조'!$B$2:$CE$83,MATCH("우유(국내산)",'🔖 배합비 참조'!$A$2:$A$83,0),MATCH($C214,'🔖 배합비 참조'!$B$1:$CE$1,0))/100,0),""))),"")</f>
        <v>0</v>
      </c>
      <c r="BL214" s="42" t="n">
        <f aca="false">IFERROR(IF($C214="","",IF($D214="","",IFERROR(ROUND($D214*INDEX('🔖 배합비 참조'!$B$2:$CE$83,MATCH("자색고구마가루(중국산)",'🔖 배합비 참조'!$A$2:$A$83,0),MATCH($C214,'🔖 배합비 참조'!$B$1:$CE$1,0))/100,0),""))),"")</f>
        <v>0</v>
      </c>
      <c r="BM214" s="42" t="n">
        <f aca="false">IFERROR(IF($C214="","",IF($D214="","",IFERROR(ROUND($D214*INDEX('🔖 배합비 참조'!$B$2:$CE$83,MATCH("자연치즈(체다치즈)",'🔖 배합비 참조'!$A$2:$A$83,0),MATCH($C214,'🔖 배합비 참조'!$B$1:$CE$1,0))/100,0),""))),"")</f>
        <v>0</v>
      </c>
      <c r="BN214" s="42" t="n">
        <f aca="false">IFERROR(IF($C214="","",IF($D214="","",IFERROR(ROUND($D214*INDEX('🔖 배합비 참조'!$B$2:$CE$83,MATCH("정제수",'🔖 배합비 참조'!$A$2:$A$83,0),MATCH($C214,'🔖 배합비 참조'!$B$1:$CE$1,0))/100,0),""))),"")</f>
        <v>26</v>
      </c>
      <c r="BO214" s="42" t="n">
        <f aca="false">IFERROR(IF($C214="","",IF($D214="","",IFERROR(ROUND($D214*INDEX('🔖 배합비 참조'!$B$2:$CE$83,MATCH("젤라틴",'🔖 배합비 참조'!$A$2:$A$83,0),MATCH($C214,'🔖 배합비 참조'!$B$1:$CE$1,0))/100,0),""))),"")</f>
        <v>0</v>
      </c>
      <c r="BP214" s="42" t="n">
        <f aca="false">IFERROR(IF($C214="","",IF($D214="","",IFERROR(ROUND($D214*INDEX('🔖 배합비 참조'!$B$2:$CE$83,MATCH("조림류(백옥앙금)",'🔖 배합비 참조'!$A$2:$A$83,0),MATCH($C214,'🔖 배합비 참조'!$B$1:$CE$1,0))/100,0),""))),"")</f>
        <v>0</v>
      </c>
      <c r="BQ214" s="42" t="n">
        <f aca="false">IFERROR(IF($C214="","",IF($D214="","",IFERROR(ROUND($D214*INDEX('🔖 배합비 참조'!$B$2:$CE$83,MATCH("조림류(통팥앙금)",'🔖 배합비 참조'!$A$2:$A$83,0),MATCH($C214,'🔖 배합비 참조'!$B$1:$CE$1,0))/100,0),""))),"")</f>
        <v>158</v>
      </c>
      <c r="BR214" s="42" t="n">
        <f aca="false">IFERROR(IF($C214="","",IF($D214="","",IFERROR(ROUND($D214*INDEX('🔖 배합비 참조'!$B$2:$CE$83,MATCH("준초콜릿(외국산)",'🔖 배합비 참조'!$A$2:$A$83,0),MATCH($C214,'🔖 배합비 참조'!$B$1:$CE$1,0))/100,0),""))),"")</f>
        <v>0</v>
      </c>
      <c r="BS214" s="42" t="n">
        <f aca="false">IFERROR(IF($C214="","",IF($D214="","",IFERROR(ROUND($D214*INDEX('🔖 배합비 참조'!$B$2:$CE$83,MATCH("중력분",'🔖 배합비 참조'!$A$2:$A$83,0),MATCH($C214,'🔖 배합비 참조'!$B$1:$CE$1,0))/100,0),""))),"")</f>
        <v>18</v>
      </c>
      <c r="BT214" s="42" t="n">
        <f aca="false">IFERROR(IF($C214="","",IF($D214="","",IFERROR(ROUND($D214*INDEX('🔖 배합비 참조'!$B$2:$CE$83,MATCH("참깨(인도산,나이지리아산,탄자니아산,미얀마산)",'🔖 배합비 참조'!$A$2:$A$83,0),MATCH($C214,'🔖 배합비 참조'!$B$1:$CE$1,0))/100,0),""))),"")</f>
        <v>0</v>
      </c>
      <c r="BU214" s="42" t="n">
        <f aca="false">IFERROR(IF($C214="","",IF($D214="","",IFERROR(ROUND($D214*INDEX('🔖 배합비 참조'!$B$2:$CE$83,MATCH("찹쌀(국내산)",'🔖 배합비 참조'!$A$2:$A$83,0),MATCH($C214,'🔖 배합비 참조'!$B$1:$CE$1,0))/100,0),""))),"")</f>
        <v>378</v>
      </c>
      <c r="BV214" s="42" t="n">
        <f aca="false">IFERROR(IF($C214="","",IF($D214="","",IFERROR(ROUND($D214*INDEX('🔖 배합비 참조'!$B$2:$CE$83,MATCH("천일염",'🔖 배합비 참조'!$A$2:$A$83,0),MATCH($C214,'🔖 배합비 참조'!$B$1:$CE$1,0))/100,0),""))),"")</f>
        <v>18</v>
      </c>
      <c r="BW214" s="42" t="n">
        <f aca="false">IFERROR(IF($C214="","",IF($D214="","",IFERROR(ROUND($D214*INDEX('🔖 배합비 참조'!$B$2:$CE$83,MATCH("치즈 [크림치즈]",'🔖 배합비 참조'!$A$2:$A$83,0),MATCH($C214,'🔖 배합비 참조'!$B$1:$CE$1,0))/100,0),""))),"")</f>
        <v>0</v>
      </c>
      <c r="BX214" s="42" t="n">
        <f aca="false">IFERROR(IF($C214="","",IF($D214="","",IFERROR(ROUND($D214*INDEX('🔖 배합비 참조'!$B$2:$CE$83,MATCH("코코아가공품류(코코아분말)",'🔖 배합비 참조'!$A$2:$A$83,0),MATCH($C214,'🔖 배합비 참조'!$B$1:$CE$1,0))/100,0),""))),"")</f>
        <v>0</v>
      </c>
      <c r="BY214" s="42" t="n">
        <f aca="false">IFERROR(IF($C214="","",IF($D214="","",IFERROR(ROUND($D214*INDEX('🔖 배합비 참조'!$B$2:$CE$83,MATCH("콩기름(대두유)",'🔖 배합비 참조'!$A$2:$A$83,0),MATCH($C214,'🔖 배합비 참조'!$B$1:$CE$1,0))/100,0),""))),"")</f>
        <v>0</v>
      </c>
      <c r="BZ214" s="42" t="n">
        <f aca="false">IFERROR(IF($C214="","",IF($D214="","",IFERROR(ROUND($D214*INDEX('🔖 배합비 참조'!$B$2:$CE$83,MATCH("해바라기씨앗",'🔖 배합비 참조'!$A$2:$A$83,0),MATCH($C214,'🔖 배합비 참조'!$B$1:$CE$1,0))/100,0),""))),"")</f>
        <v>0</v>
      </c>
      <c r="CA214" s="42" t="n">
        <f aca="false">IFERROR(IF($C214="","",IF($D214="","",IFERROR(ROUND($D214*INDEX('🔖 배합비 참조'!$B$2:$CE$83,MATCH("현미(국내산)",'🔖 배합비 참조'!$A$2:$A$83,0),MATCH($C214,'🔖 배합비 참조'!$B$1:$CE$1,0))/100,0),""))),"")</f>
        <v>0</v>
      </c>
      <c r="CB214" s="42" t="n">
        <f aca="false">IFERROR(IF($C214="","",IF($D214="","",IFERROR(ROUND($D214*INDEX('🔖 배합비 참조'!$B$2:$CE$83,MATCH("현미멥쌀(국내산)",'🔖 배합비 참조'!$A$2:$A$83,0),MATCH($C214,'🔖 배합비 참조'!$B$1:$CE$1,0))/100,0),""))),"")</f>
        <v>0</v>
      </c>
      <c r="CC214" s="42" t="n">
        <f aca="false">IFERROR(IF($C214="","",IF($D214="","",IFERROR(ROUND($D214*INDEX('🔖 배합비 참조'!$B$2:$CE$83,MATCH("호두분태(미국산)",'🔖 배합비 참조'!$A$2:$A$83,0),MATCH($C214,'🔖 배합비 참조'!$B$1:$CE$1,0))/100,0),""))),"")</f>
        <v>0</v>
      </c>
      <c r="CD214" s="42" t="n">
        <f aca="false">IFERROR(IF($C214="","",IF($D214="","",IFERROR(ROUND($D214*INDEX('🔖 배합비 참조'!$B$2:$CE$83,MATCH("호박씨앗(외국산)",'🔖 배합비 참조'!$A$2:$A$83,0),MATCH($C214,'🔖 배합비 참조'!$B$1:$CE$1,0))/100,0),""))),"")</f>
        <v>0</v>
      </c>
      <c r="CE214" s="42" t="n">
        <f aca="false">IFERROR(IF($C214="","",IF($D214="","",IFERROR(ROUND($D214*INDEX('🔖 배합비 참조'!$B$2:$CE$83,MATCH("혼합제제(떡용에스텔)",'🔖 배합비 참조'!$A$2:$A$83,0),MATCH($C214,'🔖 배합비 참조'!$B$1:$CE$1,0))/100,0),""))),"")</f>
        <v>18</v>
      </c>
      <c r="CF214" s="42" t="n">
        <f aca="false">IFERROR(IF($C214="","",IF($D214="","",IFERROR(ROUND($D214*INDEX('🔖 배합비 참조'!$B$2:$CE$83,MATCH("혼합제제(스테비아)",'🔖 배합비 참조'!$A$2:$A$83,0),MATCH($C214,'🔖 배합비 참조'!$B$1:$CE$1,0))/100,0),""))),"")</f>
        <v>0</v>
      </c>
      <c r="CG214" s="42" t="n">
        <f aca="false">IFERROR(IF($C214="","",IF($D214="","",IFERROR(ROUND($D214*INDEX('🔖 배합비 참조'!$B$2:$CE$83,MATCH("화이트초콜릿",'🔖 배합비 참조'!$A$2:$A$83,0),MATCH($C214,'🔖 배합비 참조'!$B$1:$CE$1,0))/100,0),""))),"")</f>
        <v>0</v>
      </c>
      <c r="CH214" s="42" t="n">
        <f aca="false">IFERROR(IF($C214="","",IF($D214="","",IFERROR(ROUND($D214*INDEX('🔖 배합비 참조'!$B$2:$CE$83,MATCH("흑미찹쌀(국내산)",'🔖 배합비 참조'!$A$2:$A$83,0),MATCH($C214,'🔖 배합비 참조'!$B$1:$CE$1,0))/100,0),""))),"")</f>
        <v>0</v>
      </c>
      <c r="CI214" s="42" t="n">
        <f aca="false">IFERROR(IF($C214="","",IF($D214="","",IFERROR(ROUND($D214*INDEX('🔖 배합비 참조'!$B$2:$CE$83,MATCH("찰옥수수전분(미국산)",'🔖 배합비 참조'!$A$2:$A$83,0),MATCH($C214,'🔖 배합비 참조'!$B$1:$CE$1,0))/100,0),""))),"")</f>
        <v>79</v>
      </c>
      <c r="CJ214" s="40"/>
      <c r="CL214" s="1" t="s">
        <v>247</v>
      </c>
    </row>
    <row r="215" customFormat="false" ht="18" hidden="false" customHeight="true" outlineLevel="0" collapsed="false">
      <c r="A215" s="35" t="n">
        <v>211</v>
      </c>
      <c r="B215" s="36" t="n">
        <v>46059</v>
      </c>
      <c r="C215" s="37" t="s">
        <v>236</v>
      </c>
      <c r="D215" s="38" t="n">
        <v>220</v>
      </c>
      <c r="E215" s="13"/>
      <c r="F215" s="13"/>
      <c r="G215" s="39" t="n">
        <f aca="false">IFERROR(IF($C215="","",IF($D215="","",IFERROR(ROUND($D215*INDEX('🔖 배합비 참조'!$B$2:$CE$83,MATCH("간장",'🔖 배합비 참조'!$A$2:$A$83,0),MATCH($C215,'🔖 배합비 참조'!$B$1:$CE$1,0))/100,0),""))),"")</f>
        <v>0</v>
      </c>
      <c r="H215" s="39" t="n">
        <f aca="false">IFERROR(IF($C215="","",IF($D215="","",IFERROR(ROUND($D215*INDEX('🔖 배합비 참조'!$B$2:$CE$83,MATCH("강낭콩((울타리콩))",'🔖 배합비 참조'!$A$2:$A$83,0),MATCH($C215,'🔖 배합비 참조'!$B$1:$CE$1,0))/100,0),""))),"")</f>
        <v>0</v>
      </c>
      <c r="I215" s="39" t="n">
        <f aca="false">IFERROR(IF($C215="","",IF($D215="","",IFERROR(ROUND($D215*INDEX('🔖 배합비 참조'!$B$2:$CE$83,MATCH("건조딸기다이스(외국산)",'🔖 배합비 참조'!$A$2:$A$83,0),MATCH($C215,'🔖 배합비 참조'!$B$1:$CE$1,0))/100,0),""))),"")</f>
        <v>0</v>
      </c>
      <c r="J215" s="39" t="n">
        <f aca="false">IFERROR(IF($C215="","",IF($D215="","",IFERROR(ROUND($D215*INDEX('🔖 배합비 참조'!$B$2:$CE$83,MATCH("건포도",'🔖 배합비 참조'!$A$2:$A$83,0),MATCH($C215,'🔖 배합비 참조'!$B$1:$CE$1,0))/100,0),""))),"")</f>
        <v>0</v>
      </c>
      <c r="K215" s="39" t="n">
        <f aca="false">IFERROR(IF($C215="","",IF($D215="","",IFERROR(ROUND($D215*INDEX('🔖 배합비 참조'!$B$2:$CE$83,MATCH("건호박채(중국산)",'🔖 배합비 참조'!$A$2:$A$83,0),MATCH($C215,'🔖 배합비 참조'!$B$1:$CE$1,0))/100,0),""))),"")</f>
        <v>0</v>
      </c>
      <c r="L215" s="39" t="n">
        <f aca="false">IFERROR(IF($C215="","",IF($D215="","",IFERROR(ROUND($D215*INDEX('🔖 배합비 참조'!$B$2:$CE$83,MATCH("검정깨(흑임자)",'🔖 배합비 참조'!$A$2:$A$83,0),MATCH($C215,'🔖 배합비 참조'!$B$1:$CE$1,0))/100,0),""))),"")</f>
        <v>0</v>
      </c>
      <c r="M215" s="39" t="n">
        <f aca="false">IFERROR(IF($C215="","",IF($D215="","",IFERROR(ROUND($D215*INDEX('🔖 배합비 참조'!$B$2:$CE$83,MATCH("검정콩",'🔖 배합비 참조'!$A$2:$A$83,0),MATCH($C215,'🔖 배합비 참조'!$B$1:$CE$1,0))/100,0),""))),"")</f>
        <v>0</v>
      </c>
      <c r="N215" s="39" t="n">
        <f aca="false">IFERROR(IF($C215="","",IF($D215="","",IFERROR(ROUND($D215*INDEX('🔖 배합비 참조'!$B$2:$CE$83,MATCH("계피가루",'🔖 배합비 참조'!$A$2:$A$83,0),MATCH($C215,'🔖 배합비 참조'!$B$1:$CE$1,0))/100,0),""))),"")</f>
        <v>0</v>
      </c>
      <c r="O215" s="39" t="n">
        <f aca="false">IFERROR(IF($C215="","",IF($D215="","",IFERROR(ROUND($D215*INDEX('🔖 배합비 참조'!$B$2:$CE$83,MATCH("고구마가루",'🔖 배합비 참조'!$A$2:$A$83,0),MATCH($C215,'🔖 배합비 참조'!$B$1:$CE$1,0))/100,0),""))),"")</f>
        <v>0</v>
      </c>
      <c r="P215" s="39" t="n">
        <f aca="false">IFERROR(IF($C215="","",IF($D215="","",IFERROR(ROUND($D215*INDEX('🔖 배합비 참조'!$B$2:$CE$83,MATCH("고구마무스",'🔖 배합비 참조'!$A$2:$A$83,0),MATCH($C215,'🔖 배합비 참조'!$B$1:$CE$1,0))/100,0),""))),"")</f>
        <v>0</v>
      </c>
      <c r="Q215" s="39" t="n">
        <f aca="false">IFERROR(IF($C215="","",IF($D215="","",IFERROR(ROUND($D215*INDEX('🔖 배합비 참조'!$B$2:$CE$83,MATCH("고려엉겅퀴((곤드레)국내산)",'🔖 배합비 참조'!$A$2:$A$83,0),MATCH($C215,'🔖 배합비 참조'!$B$1:$CE$1,0))/100,0),""))),"")</f>
        <v>0</v>
      </c>
      <c r="R215" s="39" t="n">
        <f aca="false">IFERROR(IF($C215="","",IF($D215="","",IFERROR(ROUND($D215*INDEX('🔖 배합비 참조'!$B$2:$CE$83,MATCH("기타가공품(복분자가루)",'🔖 배합비 참조'!$A$2:$A$83,0),MATCH($C215,'🔖 배합비 참조'!$B$1:$CE$1,0))/100,0),""))),"")</f>
        <v>0</v>
      </c>
      <c r="S215" s="39" t="n">
        <f aca="false">IFERROR(IF($C215="","",IF($D215="","",IFERROR(ROUND($D215*INDEX('🔖 배합비 참조'!$B$2:$CE$83,MATCH("기타가공품(슈퍼소프트엠)",'🔖 배합비 참조'!$A$2:$A$83,0),MATCH($C215,'🔖 배합비 참조'!$B$1:$CE$1,0))/100,0),""))),"")</f>
        <v>0</v>
      </c>
      <c r="T215" s="39" t="n">
        <f aca="false">IFERROR(IF($C215="","",IF($D215="","",IFERROR(ROUND($D215*INDEX('🔖 배합비 참조'!$B$2:$CE$83,MATCH("기타가공품(파인소프트 E-티)",'🔖 배합비 참조'!$A$2:$A$83,0),MATCH($C215,'🔖 배합비 참조'!$B$1:$CE$1,0))/100,0),""))),"")</f>
        <v>0</v>
      </c>
      <c r="U215" s="39" t="n">
        <f aca="false">IFERROR(IF($C215="","",IF($D215="","",IFERROR(ROUND($D215*INDEX('🔖 배합비 참조'!$B$2:$CE$83,MATCH("기타가공품(프리미엄카스테라가루)",'🔖 배합비 참조'!$A$2:$A$83,0),MATCH($C215,'🔖 배합비 참조'!$B$1:$CE$1,0))/100,0),""))),"")</f>
        <v>0</v>
      </c>
      <c r="V215" s="39" t="n">
        <f aca="false">IFERROR(IF($C215="","",IF($D215="","",IFERROR(ROUND($D215*INDEX('🔖 배합비 참조'!$B$2:$CE$83,MATCH("기타가공품(흑임자가루)",'🔖 배합비 참조'!$A$2:$A$83,0),MATCH($C215,'🔖 배합비 참조'!$B$1:$CE$1,0))/100,0),""))),"")</f>
        <v>0</v>
      </c>
      <c r="W215" s="39" t="n">
        <f aca="false">IFERROR(IF($C215="","",IF($D215="","",IFERROR(ROUND($D215*INDEX('🔖 배합비 참조'!$B$2:$CE$83,MATCH("기타설탕(흑설탕)",'🔖 배합비 참조'!$A$2:$A$83,0),MATCH($C215,'🔖 배합비 참조'!$B$1:$CE$1,0))/100,0),""))),"")</f>
        <v>0</v>
      </c>
      <c r="X215" s="39" t="n">
        <f aca="false">IFERROR(IF($C215="","",IF($D215="","",IFERROR(ROUND($D215*INDEX('🔖 배합비 참조'!$B$2:$CE$83,MATCH("냉동쑥(국내산)",'🔖 배합비 참조'!$A$2:$A$83,0),MATCH($C215,'🔖 배합비 참조'!$B$1:$CE$1,0))/100,0),""))),"")</f>
        <v>4</v>
      </c>
      <c r="Y215" s="39" t="n">
        <f aca="false">IFERROR(IF($C215="","",IF($D215="","",IFERROR(ROUND($D215*INDEX('🔖 배합비 참조'!$B$2:$CE$83,MATCH("냉동증숙고구마(중국산)",'🔖 배합비 참조'!$A$2:$A$83,0),MATCH($C215,'🔖 배합비 참조'!$B$1:$CE$1,0))/100,0),""))),"")</f>
        <v>0</v>
      </c>
      <c r="Z215" s="39" t="n">
        <f aca="false">IFERROR(IF($C215="","",IF($D215="","",IFERROR(ROUND($D215*INDEX('🔖 배합비 참조'!$B$2:$CE$83,MATCH("녹차가루",'🔖 배합비 참조'!$A$2:$A$83,0),MATCH($C215,'🔖 배합비 참조'!$B$1:$CE$1,0))/100,0),""))),"")</f>
        <v>0</v>
      </c>
      <c r="AA215" s="39" t="n">
        <f aca="false">IFERROR(IF($C215="","",IF($D215="","",IFERROR(ROUND($D215*INDEX('🔖 배합비 참조'!$B$2:$CE$83,MATCH("다크초콜릿 컴파운드칩",'🔖 배합비 참조'!$A$2:$A$83,0),MATCH($C215,'🔖 배합비 참조'!$B$1:$CE$1,0))/100,0),""))),"")</f>
        <v>0</v>
      </c>
      <c r="AB215" s="39" t="n">
        <f aca="false">IFERROR(IF($C215="","",IF($D215="","",IFERROR(ROUND($D215*INDEX('🔖 배합비 참조'!$B$2:$CE$83,MATCH("단호박분말(중국산)",'🔖 배합비 참조'!$A$2:$A$83,0),MATCH($C215,'🔖 배합비 참조'!$B$1:$CE$1,0))/100,0),""))),"")</f>
        <v>0</v>
      </c>
      <c r="AC215" s="39" t="n">
        <f aca="false">IFERROR(IF($C215="","",IF($D215="","",IFERROR(ROUND($D215*INDEX('🔖 배합비 참조'!$B$2:$CE$83,MATCH("당류가공품(단호박농축액)",'🔖 배합비 참조'!$A$2:$A$83,0),MATCH($C215,'🔖 배합비 참조'!$B$1:$CE$1,0))/100,0),""))),"")</f>
        <v>0</v>
      </c>
      <c r="AD215" s="39" t="n">
        <f aca="false">IFERROR(IF($C215="","",IF($D215="","",IFERROR(ROUND($D215*INDEX('🔖 배합비 참조'!$B$2:$CE$83,MATCH("당류가공품(알룰로스,에리스리톨,스테비올배당체혼합)",'🔖 배합비 참조'!$A$2:$A$83,0),MATCH($C215,'🔖 배합비 참조'!$B$1:$CE$1,0))/100,0),""))),"")</f>
        <v>0</v>
      </c>
      <c r="AE215" s="39" t="n">
        <f aca="false">IFERROR(IF($C215="","",IF($D215="","",IFERROR(ROUND($D215*INDEX('🔖 배합비 참조'!$B$2:$CE$83,MATCH("당류가공품(알룰로스제로파우더)",'🔖 배합비 참조'!$A$2:$A$83,0),MATCH($C215,'🔖 배합비 참조'!$B$1:$CE$1,0))/100,0),""))),"")</f>
        <v>0</v>
      </c>
      <c r="AF215" s="39" t="n">
        <f aca="false">IFERROR(IF($C215="","",IF($D215="","",IFERROR(ROUND($D215*INDEX('🔖 배합비 참조'!$B$2:$CE$83,MATCH("당절임(완두배기)",'🔖 배합비 참조'!$A$2:$A$83,0),MATCH($C215,'🔖 배합비 참조'!$B$1:$CE$1,0))/100,0),""))),"")</f>
        <v>0</v>
      </c>
      <c r="AG215" s="39" t="n">
        <f aca="false">IFERROR(IF($C215="","",IF($D215="","",IFERROR(ROUND($D215*INDEX('🔖 배합비 참조'!$B$2:$CE$83,MATCH("대추농축액",'🔖 배합비 참조'!$A$2:$A$83,0),MATCH($C215,'🔖 배합비 참조'!$B$1:$CE$1,0))/100,0),""))),"")</f>
        <v>0</v>
      </c>
      <c r="AH215" s="39" t="n">
        <f aca="false">IFERROR(IF($C215="","",IF($D215="","",IFERROR(ROUND($D215*INDEX('🔖 배합비 참조'!$B$2:$CE$83,MATCH("대추채(국내산)",'🔖 배합비 참조'!$A$2:$A$83,0),MATCH($C215,'🔖 배합비 참조'!$B$1:$CE$1,0))/100,0),""))),"")</f>
        <v>0</v>
      </c>
      <c r="AI215" s="39" t="n">
        <f aca="false">IFERROR(IF($C215="","",IF($D215="","",IFERROR(ROUND($D215*INDEX('🔖 배합비 참조'!$B$2:$CE$83,MATCH("동부(미얀마산)",'🔖 배합비 참조'!$A$2:$A$83,0),MATCH($C215,'🔖 배합비 참조'!$B$1:$CE$1,0))/100,0),""))),"")</f>
        <v>27</v>
      </c>
      <c r="AJ215" s="39" t="n">
        <f aca="false">IFERROR(IF($C215="","",IF($D215="","",IFERROR(ROUND($D215*INDEX('🔖 배합비 참조'!$B$2:$CE$83,MATCH("두류가공품(백옥앙금)",'🔖 배합비 참조'!$A$2:$A$83,0),MATCH($C215,'🔖 배합비 참조'!$B$1:$CE$1,0))/100,0),""))),"")</f>
        <v>0</v>
      </c>
      <c r="AK215" s="39" t="n">
        <f aca="false">IFERROR(IF($C215="","",IF($D215="","",IFERROR(ROUND($D215*INDEX('🔖 배합비 참조'!$B$2:$CE$83,MATCH("두류가공품(콩고물)",'🔖 배합비 참조'!$A$2:$A$83,0),MATCH($C215,'🔖 배합비 참조'!$B$1:$CE$1,0))/100,0),""))),"")</f>
        <v>6</v>
      </c>
      <c r="AL215" s="39" t="n">
        <f aca="false">IFERROR(IF($C215="","",IF($D215="","",IFERROR(ROUND($D215*INDEX('🔖 배합비 참조'!$B$2:$CE$83,MATCH("두류가공품(통팥고물)",'🔖 배합비 참조'!$A$2:$A$83,0),MATCH($C215,'🔖 배합비 참조'!$B$1:$CE$1,0))/100,0),""))),"")</f>
        <v>0</v>
      </c>
      <c r="AM215" s="39" t="n">
        <f aca="false">IFERROR(IF($C215="","",IF($D215="","",IFERROR(ROUND($D215*INDEX('🔖 배합비 참조'!$B$2:$CE$83,MATCH("딸기레진",'🔖 배합비 참조'!$A$2:$A$83,0),MATCH($C215,'🔖 배합비 참조'!$B$1:$CE$1,0))/100,0),""))),"")</f>
        <v>0</v>
      </c>
      <c r="AN215" s="39" t="n">
        <f aca="false">IFERROR(IF($C215="","",IF($D215="","",IFERROR(ROUND($D215*INDEX('🔖 배합비 참조'!$B$2:$CE$83,MATCH("딸기분말(스트로우베리에이드(분말))",'🔖 배합비 참조'!$A$2:$A$83,0),MATCH($C215,'🔖 배합비 참조'!$B$1:$CE$1,0))/100,0),""))),"")</f>
        <v>0</v>
      </c>
      <c r="AO215" s="39" t="n">
        <f aca="false">IFERROR(IF($C215="","",IF($D215="","",IFERROR(ROUND($D215*INDEX('🔖 배합비 참조'!$B$2:$CE$83,MATCH("마스카포네치즈",'🔖 배합비 참조'!$A$2:$A$83,0),MATCH($C215,'🔖 배합비 참조'!$B$1:$CE$1,0))/100,0),""))),"")</f>
        <v>0</v>
      </c>
      <c r="AP215" s="39" t="n">
        <f aca="false">IFERROR(IF($C215="","",IF($D215="","",IFERROR(ROUND($D215*INDEX('🔖 배합비 참조'!$B$2:$CE$83,MATCH("마카다미아분태(호주산)",'🔖 배합비 참조'!$A$2:$A$83,0),MATCH($C215,'🔖 배합비 참조'!$B$1:$CE$1,0))/100,0),""))),"")</f>
        <v>0</v>
      </c>
      <c r="AQ215" s="39" t="n">
        <f aca="false">IFERROR(IF($C215="","",IF($D215="","",IFERROR(ROUND($D215*INDEX('🔖 배합비 참조'!$B$2:$CE$83,MATCH("멥쌀(국내산)",'🔖 배합비 참조'!$A$2:$A$83,0),MATCH($C215,'🔖 배합비 참조'!$B$1:$CE$1,0))/100,0),""))),"")</f>
        <v>0</v>
      </c>
      <c r="AR215" s="39" t="n">
        <f aca="false">IFERROR(IF($C215="","",IF($D215="","",IFERROR(ROUND($D215*INDEX('🔖 배합비 참조'!$B$2:$CE$83,MATCH("모시잎(국내산)",'🔖 배합비 참조'!$A$2:$A$83,0),MATCH($C215,'🔖 배합비 참조'!$B$1:$CE$1,0))/100,0),""))),"")</f>
        <v>0</v>
      </c>
      <c r="AS215" s="39" t="n">
        <f aca="false">IFERROR(IF($C215="","",IF($D215="","",IFERROR(ROUND($D215*INDEX('🔖 배합비 참조'!$B$2:$CE$83,MATCH("물엿(저당물엿)",'🔖 배합비 참조'!$A$2:$A$83,0),MATCH($C215,'🔖 배합비 참조'!$B$1:$CE$1,0))/100,0),""))),"")</f>
        <v>4</v>
      </c>
      <c r="AT215" s="39" t="n">
        <f aca="false">IFERROR(IF($C215="","",IF($D215="","",IFERROR(ROUND($D215*INDEX('🔖 배합비 참조'!$B$2:$CE$83,MATCH("밤다이스",'🔖 배합비 참조'!$A$2:$A$83,0),MATCH($C215,'🔖 배합비 참조'!$B$1:$CE$1,0))/100,0),""))),"")</f>
        <v>0</v>
      </c>
      <c r="AU215" s="39" t="n">
        <f aca="false">IFERROR(IF($C215="","",IF($D215="","",IFERROR(ROUND($D215*INDEX('🔖 배합비 참조'!$B$2:$CE$83,MATCH("변성전분(타피오카전분)",'🔖 배합비 참조'!$A$2:$A$83,0),MATCH($C215,'🔖 배합비 참조'!$B$1:$CE$1,0))/100,0),""))),"")</f>
        <v>0</v>
      </c>
      <c r="AV215" s="39" t="n">
        <f aca="false">IFERROR(IF($C215="","",IF($D215="","",IFERROR(ROUND($D215*INDEX('🔖 배합비 참조'!$B$2:$CE$83,MATCH("복음땅콩분태",'🔖 배합비 참조'!$A$2:$A$83,0),MATCH($C215,'🔖 배합비 참조'!$B$1:$CE$1,0))/100,0),""))),"")</f>
        <v>0</v>
      </c>
      <c r="AW215" s="39" t="n">
        <f aca="false">IFERROR(IF($C215="","",IF($D215="","",IFERROR(ROUND($D215*INDEX('🔖 배합비 참조'!$B$2:$CE$83,MATCH("사양벌꿀(국내산)",'🔖 배합비 참조'!$A$2:$A$83,0),MATCH($C215,'🔖 배합비 참조'!$B$1:$CE$1,0))/100,0),""))),"")</f>
        <v>0</v>
      </c>
      <c r="AX215" s="39" t="n">
        <f aca="false">IFERROR(IF($C215="","",IF($D215="","",IFERROR(ROUND($D215*INDEX('🔖 배합비 참조'!$B$2:$CE$83,MATCH("생크림",'🔖 배합비 참조'!$A$2:$A$83,0),MATCH($C215,'🔖 배합비 참조'!$B$1:$CE$1,0))/100,0),""))),"")</f>
        <v>0</v>
      </c>
      <c r="AY215" s="39" t="n">
        <f aca="false">IFERROR(IF($C215="","",IF($D215="","",IFERROR(ROUND($D215*INDEX('🔖 배합비 참조'!$B$2:$CE$83,MATCH("서양호박(국내산,뉴질랜드산)",'🔖 배합비 참조'!$A$2:$A$83,0),MATCH($C215,'🔖 배합비 참조'!$B$1:$CE$1,0))/100,0),""))),"")</f>
        <v>0</v>
      </c>
      <c r="AZ215" s="39" t="n">
        <f aca="false">IFERROR(IF($C215="","",IF($D215="","",IFERROR(ROUND($D215*INDEX('🔖 배합비 참조'!$B$2:$CE$83,MATCH("설탕",'🔖 배합비 참조'!$A$2:$A$83,0),MATCH($C215,'🔖 배합비 참조'!$B$1:$CE$1,0))/100,0),""))),"")</f>
        <v>4</v>
      </c>
      <c r="BA215" s="39" t="n">
        <f aca="false">IFERROR(IF($C215="","",IF($D215="","",IFERROR(ROUND($D215*INDEX('🔖 배합비 참조'!$B$2:$CE$83,MATCH("스트로우베리 에이드 후레쉬",'🔖 배합비 참조'!$A$2:$A$83,0),MATCH($C215,'🔖 배합비 참조'!$B$1:$CE$1,0))/100,0),""))),"")</f>
        <v>0</v>
      </c>
      <c r="BB215" s="39" t="n">
        <f aca="false">IFERROR(IF($C215="","",IF($D215="","",IFERROR(ROUND($D215*INDEX('🔖 배합비 참조'!$B$2:$CE$83,MATCH("식물성기름혼합제제(분홍)",'🔖 배합비 참조'!$A$2:$A$83,0),MATCH($C215,'🔖 배합비 참조'!$B$1:$CE$1,0))/100,0),""))),"")</f>
        <v>0</v>
      </c>
      <c r="BC215" s="39" t="n">
        <f aca="false">IFERROR(IF($C215="","",IF($D215="","",IFERROR(ROUND($D215*INDEX('🔖 배합비 참조'!$B$2:$CE$83,MATCH("식물성기름혼합제제(초록)",'🔖 배합비 참조'!$A$2:$A$83,0),MATCH($C215,'🔖 배합비 참조'!$B$1:$CE$1,0))/100,0),""))),"")</f>
        <v>0</v>
      </c>
      <c r="BD215" s="39" t="n">
        <f aca="false">IFERROR(IF($C215="","",IF($D215="","",IFERROR(ROUND($D215*INDEX('🔖 배합비 참조'!$B$2:$CE$83,MATCH("식물성기름혼합제제(황색)",'🔖 배합비 참조'!$A$2:$A$83,0),MATCH($C215,'🔖 배합비 참조'!$B$1:$CE$1,0))/100,0),""))),"")</f>
        <v>0</v>
      </c>
      <c r="BE215" s="39" t="n">
        <f aca="false">IFERROR(IF($C215="","",IF($D215="","",IFERROR(ROUND($D215*INDEX('🔖 배합비 참조'!$B$2:$CE$83,MATCH("쑥가루(국내산)",'🔖 배합비 참조'!$A$2:$A$83,0),MATCH($C215,'🔖 배합비 참조'!$B$1:$CE$1,0))/100,0),""))),"")</f>
        <v>2</v>
      </c>
      <c r="BF215" s="39" t="n">
        <f aca="false">IFERROR(IF($C215="","",IF($D215="","",IFERROR(ROUND($D215*INDEX('🔖 배합비 참조'!$B$2:$CE$83,MATCH("아몬드슬라이스",'🔖 배합비 참조'!$A$2:$A$83,0),MATCH($C215,'🔖 배합비 참조'!$B$1:$CE$1,0))/100,0),""))),"")</f>
        <v>0</v>
      </c>
      <c r="BG215" s="39" t="n">
        <f aca="false">IFERROR(IF($C215="","",IF($D215="","",IFERROR(ROUND($D215*INDEX('🔖 배합비 참조'!$B$2:$CE$83,MATCH("알룰로오스(국내산)",'🔖 배합비 참조'!$A$2:$A$83,0),MATCH($C215,'🔖 배합비 참조'!$B$1:$CE$1,0))/100,0),""))),"")</f>
        <v>0</v>
      </c>
      <c r="BH215" s="39" t="n">
        <f aca="false">IFERROR(IF($C215="","",IF($D215="","",IFERROR(ROUND($D215*INDEX('🔖 배합비 참조'!$B$2:$CE$83,MATCH("연유",'🔖 배합비 참조'!$A$2:$A$83,0),MATCH($C215,'🔖 배합비 참조'!$B$1:$CE$1,0))/100,0),""))),"")</f>
        <v>0</v>
      </c>
      <c r="BI215" s="39" t="n">
        <f aca="false">IFERROR(IF($C215="","",IF($D215="","",IFERROR(ROUND($D215*INDEX('🔖 배합비 참조'!$B$2:$CE$83,MATCH("옥수수전분",'🔖 배합비 참조'!$A$2:$A$83,0),MATCH($C215,'🔖 배합비 참조'!$B$1:$CE$1,0))/100,0),""))),"")</f>
        <v>0</v>
      </c>
      <c r="BJ215" s="39" t="n">
        <f aca="false">IFERROR(IF($C215="","",IF($D215="","",IFERROR(ROUND($D215*INDEX('🔖 배합비 참조'!$B$2:$CE$83,MATCH("완두배기",'🔖 배합비 참조'!$A$2:$A$83,0),MATCH($C215,'🔖 배합비 참조'!$B$1:$CE$1,0))/100,0),""))),"")</f>
        <v>0</v>
      </c>
      <c r="BK215" s="39" t="n">
        <f aca="false">IFERROR(IF($C215="","",IF($D215="","",IFERROR(ROUND($D215*INDEX('🔖 배합비 참조'!$B$2:$CE$83,MATCH("우유(국내산)",'🔖 배합비 참조'!$A$2:$A$83,0),MATCH($C215,'🔖 배합비 참조'!$B$1:$CE$1,0))/100,0),""))),"")</f>
        <v>0</v>
      </c>
      <c r="BL215" s="39" t="n">
        <f aca="false">IFERROR(IF($C215="","",IF($D215="","",IFERROR(ROUND($D215*INDEX('🔖 배합비 참조'!$B$2:$CE$83,MATCH("자색고구마가루(중국산)",'🔖 배합비 참조'!$A$2:$A$83,0),MATCH($C215,'🔖 배합비 참조'!$B$1:$CE$1,0))/100,0),""))),"")</f>
        <v>0</v>
      </c>
      <c r="BM215" s="39" t="n">
        <f aca="false">IFERROR(IF($C215="","",IF($D215="","",IFERROR(ROUND($D215*INDEX('🔖 배합비 참조'!$B$2:$CE$83,MATCH("자연치즈(체다치즈)",'🔖 배합비 참조'!$A$2:$A$83,0),MATCH($C215,'🔖 배합비 참조'!$B$1:$CE$1,0))/100,0),""))),"")</f>
        <v>0</v>
      </c>
      <c r="BN215" s="39" t="n">
        <f aca="false">IFERROR(IF($C215="","",IF($D215="","",IFERROR(ROUND($D215*INDEX('🔖 배합비 참조'!$B$2:$CE$83,MATCH("정제수",'🔖 배합비 참조'!$A$2:$A$83,0),MATCH($C215,'🔖 배합비 참조'!$B$1:$CE$1,0))/100,0),""))),"")</f>
        <v>26</v>
      </c>
      <c r="BO215" s="39" t="n">
        <f aca="false">IFERROR(IF($C215="","",IF($D215="","",IFERROR(ROUND($D215*INDEX('🔖 배합비 참조'!$B$2:$CE$83,MATCH("젤라틴",'🔖 배합비 참조'!$A$2:$A$83,0),MATCH($C215,'🔖 배합비 참조'!$B$1:$CE$1,0))/100,0),""))),"")</f>
        <v>0</v>
      </c>
      <c r="BP215" s="39" t="n">
        <f aca="false">IFERROR(IF($C215="","",IF($D215="","",IFERROR(ROUND($D215*INDEX('🔖 배합비 참조'!$B$2:$CE$83,MATCH("조림류(백옥앙금)",'🔖 배합비 참조'!$A$2:$A$83,0),MATCH($C215,'🔖 배합비 참조'!$B$1:$CE$1,0))/100,0),""))),"")</f>
        <v>55</v>
      </c>
      <c r="BQ215" s="39" t="n">
        <f aca="false">IFERROR(IF($C215="","",IF($D215="","",IFERROR(ROUND($D215*INDEX('🔖 배합비 참조'!$B$2:$CE$83,MATCH("조림류(통팥앙금)",'🔖 배합비 참조'!$A$2:$A$83,0),MATCH($C215,'🔖 배합비 참조'!$B$1:$CE$1,0))/100,0),""))),"")</f>
        <v>0</v>
      </c>
      <c r="BR215" s="39" t="n">
        <f aca="false">IFERROR(IF($C215="","",IF($D215="","",IFERROR(ROUND($D215*INDEX('🔖 배합비 참조'!$B$2:$CE$83,MATCH("준초콜릿(외국산)",'🔖 배합비 참조'!$A$2:$A$83,0),MATCH($C215,'🔖 배합비 참조'!$B$1:$CE$1,0))/100,0),""))),"")</f>
        <v>0</v>
      </c>
      <c r="BS215" s="39" t="n">
        <f aca="false">IFERROR(IF($C215="","",IF($D215="","",IFERROR(ROUND($D215*INDEX('🔖 배합비 참조'!$B$2:$CE$83,MATCH("중력분",'🔖 배합비 참조'!$A$2:$A$83,0),MATCH($C215,'🔖 배합비 참조'!$B$1:$CE$1,0))/100,0),""))),"")</f>
        <v>2</v>
      </c>
      <c r="BT215" s="39" t="n">
        <f aca="false">IFERROR(IF($C215="","",IF($D215="","",IFERROR(ROUND($D215*INDEX('🔖 배합비 참조'!$B$2:$CE$83,MATCH("참깨(인도산,나이지리아산,탄자니아산,미얀마산)",'🔖 배합비 참조'!$A$2:$A$83,0),MATCH($C215,'🔖 배합비 참조'!$B$1:$CE$1,0))/100,0),""))),"")</f>
        <v>0</v>
      </c>
      <c r="BU215" s="39" t="n">
        <f aca="false">IFERROR(IF($C215="","",IF($D215="","",IFERROR(ROUND($D215*INDEX('🔖 배합비 참조'!$B$2:$CE$83,MATCH("찹쌀(국내산)",'🔖 배합비 참조'!$A$2:$A$83,0),MATCH($C215,'🔖 배합비 참조'!$B$1:$CE$1,0))/100,0),""))),"")</f>
        <v>87</v>
      </c>
      <c r="BV215" s="39" t="n">
        <f aca="false">IFERROR(IF($C215="","",IF($D215="","",IFERROR(ROUND($D215*INDEX('🔖 배합비 참조'!$B$2:$CE$83,MATCH("천일염",'🔖 배합비 참조'!$A$2:$A$83,0),MATCH($C215,'🔖 배합비 참조'!$B$1:$CE$1,0))/100,0),""))),"")</f>
        <v>2</v>
      </c>
      <c r="BW215" s="39" t="n">
        <f aca="false">IFERROR(IF($C215="","",IF($D215="","",IFERROR(ROUND($D215*INDEX('🔖 배합비 참조'!$B$2:$CE$83,MATCH("치즈 [크림치즈]",'🔖 배합비 참조'!$A$2:$A$83,0),MATCH($C215,'🔖 배합비 참조'!$B$1:$CE$1,0))/100,0),""))),"")</f>
        <v>0</v>
      </c>
      <c r="BX215" s="39" t="n">
        <f aca="false">IFERROR(IF($C215="","",IF($D215="","",IFERROR(ROUND($D215*INDEX('🔖 배합비 참조'!$B$2:$CE$83,MATCH("코코아가공품류(코코아분말)",'🔖 배합비 참조'!$A$2:$A$83,0),MATCH($C215,'🔖 배합비 참조'!$B$1:$CE$1,0))/100,0),""))),"")</f>
        <v>0</v>
      </c>
      <c r="BY215" s="39" t="n">
        <f aca="false">IFERROR(IF($C215="","",IF($D215="","",IFERROR(ROUND($D215*INDEX('🔖 배합비 참조'!$B$2:$CE$83,MATCH("콩기름(대두유)",'🔖 배합비 참조'!$A$2:$A$83,0),MATCH($C215,'🔖 배합비 참조'!$B$1:$CE$1,0))/100,0),""))),"")</f>
        <v>0</v>
      </c>
      <c r="BZ215" s="39" t="n">
        <f aca="false">IFERROR(IF($C215="","",IF($D215="","",IFERROR(ROUND($D215*INDEX('🔖 배합비 참조'!$B$2:$CE$83,MATCH("해바라기씨앗",'🔖 배합비 참조'!$A$2:$A$83,0),MATCH($C215,'🔖 배합비 참조'!$B$1:$CE$1,0))/100,0),""))),"")</f>
        <v>0</v>
      </c>
      <c r="CA215" s="39" t="n">
        <f aca="false">IFERROR(IF($C215="","",IF($D215="","",IFERROR(ROUND($D215*INDEX('🔖 배합비 참조'!$B$2:$CE$83,MATCH("현미(국내산)",'🔖 배합비 참조'!$A$2:$A$83,0),MATCH($C215,'🔖 배합비 참조'!$B$1:$CE$1,0))/100,0),""))),"")</f>
        <v>0</v>
      </c>
      <c r="CB215" s="39" t="n">
        <f aca="false">IFERROR(IF($C215="","",IF($D215="","",IFERROR(ROUND($D215*INDEX('🔖 배합비 참조'!$B$2:$CE$83,MATCH("현미멥쌀(국내산)",'🔖 배합비 참조'!$A$2:$A$83,0),MATCH($C215,'🔖 배합비 참조'!$B$1:$CE$1,0))/100,0),""))),"")</f>
        <v>0</v>
      </c>
      <c r="CC215" s="39" t="n">
        <f aca="false">IFERROR(IF($C215="","",IF($D215="","",IFERROR(ROUND($D215*INDEX('🔖 배합비 참조'!$B$2:$CE$83,MATCH("호두분태(미국산)",'🔖 배합비 참조'!$A$2:$A$83,0),MATCH($C215,'🔖 배합비 참조'!$B$1:$CE$1,0))/100,0),""))),"")</f>
        <v>0</v>
      </c>
      <c r="CD215" s="39" t="n">
        <f aca="false">IFERROR(IF($C215="","",IF($D215="","",IFERROR(ROUND($D215*INDEX('🔖 배합비 참조'!$B$2:$CE$83,MATCH("호박씨앗(외국산)",'🔖 배합비 참조'!$A$2:$A$83,0),MATCH($C215,'🔖 배합비 참조'!$B$1:$CE$1,0))/100,0),""))),"")</f>
        <v>0</v>
      </c>
      <c r="CE215" s="39" t="n">
        <f aca="false">IFERROR(IF($C215="","",IF($D215="","",IFERROR(ROUND($D215*INDEX('🔖 배합비 참조'!$B$2:$CE$83,MATCH("혼합제제(떡용에스텔)",'🔖 배합비 참조'!$A$2:$A$83,0),MATCH($C215,'🔖 배합비 참조'!$B$1:$CE$1,0))/100,0),""))),"")</f>
        <v>1</v>
      </c>
      <c r="CF215" s="39" t="n">
        <f aca="false">IFERROR(IF($C215="","",IF($D215="","",IFERROR(ROUND($D215*INDEX('🔖 배합비 참조'!$B$2:$CE$83,MATCH("혼합제제(스테비아)",'🔖 배합비 참조'!$A$2:$A$83,0),MATCH($C215,'🔖 배합비 참조'!$B$1:$CE$1,0))/100,0),""))),"")</f>
        <v>0</v>
      </c>
      <c r="CG215" s="39" t="n">
        <f aca="false">IFERROR(IF($C215="","",IF($D215="","",IFERROR(ROUND($D215*INDEX('🔖 배합비 참조'!$B$2:$CE$83,MATCH("화이트초콜릿",'🔖 배합비 참조'!$A$2:$A$83,0),MATCH($C215,'🔖 배합비 참조'!$B$1:$CE$1,0))/100,0),""))),"")</f>
        <v>0</v>
      </c>
      <c r="CH215" s="39" t="n">
        <f aca="false">IFERROR(IF($C215="","",IF($D215="","",IFERROR(ROUND($D215*INDEX('🔖 배합비 참조'!$B$2:$CE$83,MATCH("흑미찹쌀(국내산)",'🔖 배합비 참조'!$A$2:$A$83,0),MATCH($C215,'🔖 배합비 참조'!$B$1:$CE$1,0))/100,0),""))),"")</f>
        <v>0</v>
      </c>
      <c r="CI215" s="39" t="n">
        <f aca="false">IFERROR(IF($C215="","",IF($D215="","",IFERROR(ROUND($D215*INDEX('🔖 배합비 참조'!$B$2:$CE$83,MATCH("찰옥수수전분(미국산)",'🔖 배합비 참조'!$A$2:$A$83,0),MATCH($C215,'🔖 배합비 참조'!$B$1:$CE$1,0))/100,0),""))),"")</f>
        <v>0</v>
      </c>
      <c r="CJ215" s="40"/>
      <c r="CL215" s="1" t="s">
        <v>247</v>
      </c>
    </row>
    <row r="216" customFormat="false" ht="18" hidden="false" customHeight="true" outlineLevel="0" collapsed="false">
      <c r="A216" s="41" t="n">
        <v>212</v>
      </c>
      <c r="B216" s="36" t="n">
        <v>46061</v>
      </c>
      <c r="C216" s="37" t="s">
        <v>143</v>
      </c>
      <c r="D216" s="38" t="n">
        <v>185.7</v>
      </c>
      <c r="E216" s="17"/>
      <c r="F216" s="17"/>
      <c r="G216" s="42" t="n">
        <f aca="false">IFERROR(IF($C216="","",IF($D216="","",IFERROR(ROUND($D216*INDEX('🔖 배합비 참조'!$B$2:$CE$83,MATCH("간장",'🔖 배합비 참조'!$A$2:$A$83,0),MATCH($C216,'🔖 배합비 참조'!$B$1:$CE$1,0))/100,0),""))),"")</f>
        <v>0</v>
      </c>
      <c r="H216" s="42" t="n">
        <f aca="false">IFERROR(IF($C216="","",IF($D216="","",IFERROR(ROUND($D216*INDEX('🔖 배합비 참조'!$B$2:$CE$83,MATCH("강낭콩((울타리콩))",'🔖 배합비 참조'!$A$2:$A$83,0),MATCH($C216,'🔖 배합비 참조'!$B$1:$CE$1,0))/100,0),""))),"")</f>
        <v>0</v>
      </c>
      <c r="I216" s="42" t="n">
        <f aca="false">IFERROR(IF($C216="","",IF($D216="","",IFERROR(ROUND($D216*INDEX('🔖 배합비 참조'!$B$2:$CE$83,MATCH("건조딸기다이스(외국산)",'🔖 배합비 참조'!$A$2:$A$83,0),MATCH($C216,'🔖 배합비 참조'!$B$1:$CE$1,0))/100,0),""))),"")</f>
        <v>0</v>
      </c>
      <c r="J216" s="42" t="n">
        <f aca="false">IFERROR(IF($C216="","",IF($D216="","",IFERROR(ROUND($D216*INDEX('🔖 배합비 참조'!$B$2:$CE$83,MATCH("건포도",'🔖 배합비 참조'!$A$2:$A$83,0),MATCH($C216,'🔖 배합비 참조'!$B$1:$CE$1,0))/100,0),""))),"")</f>
        <v>0</v>
      </c>
      <c r="K216" s="42" t="n">
        <f aca="false">IFERROR(IF($C216="","",IF($D216="","",IFERROR(ROUND($D216*INDEX('🔖 배합비 참조'!$B$2:$CE$83,MATCH("건호박채(중국산)",'🔖 배합비 참조'!$A$2:$A$83,0),MATCH($C216,'🔖 배합비 참조'!$B$1:$CE$1,0))/100,0),""))),"")</f>
        <v>0</v>
      </c>
      <c r="L216" s="42" t="n">
        <f aca="false">IFERROR(IF($C216="","",IF($D216="","",IFERROR(ROUND($D216*INDEX('🔖 배합비 참조'!$B$2:$CE$83,MATCH("검정깨(흑임자)",'🔖 배합비 참조'!$A$2:$A$83,0),MATCH($C216,'🔖 배합비 참조'!$B$1:$CE$1,0))/100,0),""))),"")</f>
        <v>0</v>
      </c>
      <c r="M216" s="42" t="n">
        <f aca="false">IFERROR(IF($C216="","",IF($D216="","",IFERROR(ROUND($D216*INDEX('🔖 배합비 참조'!$B$2:$CE$83,MATCH("검정콩",'🔖 배합비 참조'!$A$2:$A$83,0),MATCH($C216,'🔖 배합비 참조'!$B$1:$CE$1,0))/100,0),""))),"")</f>
        <v>0</v>
      </c>
      <c r="N216" s="42" t="n">
        <f aca="false">IFERROR(IF($C216="","",IF($D216="","",IFERROR(ROUND($D216*INDEX('🔖 배합비 참조'!$B$2:$CE$83,MATCH("계피가루",'🔖 배합비 참조'!$A$2:$A$83,0),MATCH($C216,'🔖 배합비 참조'!$B$1:$CE$1,0))/100,0),""))),"")</f>
        <v>0</v>
      </c>
      <c r="O216" s="42" t="n">
        <f aca="false">IFERROR(IF($C216="","",IF($D216="","",IFERROR(ROUND($D216*INDEX('🔖 배합비 참조'!$B$2:$CE$83,MATCH("고구마가루",'🔖 배합비 참조'!$A$2:$A$83,0),MATCH($C216,'🔖 배합비 참조'!$B$1:$CE$1,0))/100,0),""))),"")</f>
        <v>0</v>
      </c>
      <c r="P216" s="42" t="n">
        <f aca="false">IFERROR(IF($C216="","",IF($D216="","",IFERROR(ROUND($D216*INDEX('🔖 배합비 참조'!$B$2:$CE$83,MATCH("고구마무스",'🔖 배합비 참조'!$A$2:$A$83,0),MATCH($C216,'🔖 배합비 참조'!$B$1:$CE$1,0))/100,0),""))),"")</f>
        <v>0</v>
      </c>
      <c r="Q216" s="42" t="n">
        <f aca="false">IFERROR(IF($C216="","",IF($D216="","",IFERROR(ROUND($D216*INDEX('🔖 배합비 참조'!$B$2:$CE$83,MATCH("고려엉겅퀴((곤드레)국내산)",'🔖 배합비 참조'!$A$2:$A$83,0),MATCH($C216,'🔖 배합비 참조'!$B$1:$CE$1,0))/100,0),""))),"")</f>
        <v>0</v>
      </c>
      <c r="R216" s="42" t="n">
        <f aca="false">IFERROR(IF($C216="","",IF($D216="","",IFERROR(ROUND($D216*INDEX('🔖 배합비 참조'!$B$2:$CE$83,MATCH("기타가공품(복분자가루)",'🔖 배합비 참조'!$A$2:$A$83,0),MATCH($C216,'🔖 배합비 참조'!$B$1:$CE$1,0))/100,0),""))),"")</f>
        <v>0</v>
      </c>
      <c r="S216" s="42" t="n">
        <f aca="false">IFERROR(IF($C216="","",IF($D216="","",IFERROR(ROUND($D216*INDEX('🔖 배합비 참조'!$B$2:$CE$83,MATCH("기타가공품(슈퍼소프트엠)",'🔖 배합비 참조'!$A$2:$A$83,0),MATCH($C216,'🔖 배합비 참조'!$B$1:$CE$1,0))/100,0),""))),"")</f>
        <v>0</v>
      </c>
      <c r="T216" s="42" t="n">
        <f aca="false">IFERROR(IF($C216="","",IF($D216="","",IFERROR(ROUND($D216*INDEX('🔖 배합비 참조'!$B$2:$CE$83,MATCH("기타가공품(파인소프트 E-티)",'🔖 배합비 참조'!$A$2:$A$83,0),MATCH($C216,'🔖 배합비 참조'!$B$1:$CE$1,0))/100,0),""))),"")</f>
        <v>0</v>
      </c>
      <c r="U216" s="42" t="n">
        <f aca="false">IFERROR(IF($C216="","",IF($D216="","",IFERROR(ROUND($D216*INDEX('🔖 배합비 참조'!$B$2:$CE$83,MATCH("기타가공품(프리미엄카스테라가루)",'🔖 배합비 참조'!$A$2:$A$83,0),MATCH($C216,'🔖 배합비 참조'!$B$1:$CE$1,0))/100,0),""))),"")</f>
        <v>0</v>
      </c>
      <c r="V216" s="42" t="n">
        <f aca="false">IFERROR(IF($C216="","",IF($D216="","",IFERROR(ROUND($D216*INDEX('🔖 배합비 참조'!$B$2:$CE$83,MATCH("기타가공품(흑임자가루)",'🔖 배합비 참조'!$A$2:$A$83,0),MATCH($C216,'🔖 배합비 참조'!$B$1:$CE$1,0))/100,0),""))),"")</f>
        <v>0</v>
      </c>
      <c r="W216" s="42" t="n">
        <f aca="false">IFERROR(IF($C216="","",IF($D216="","",IFERROR(ROUND($D216*INDEX('🔖 배합비 참조'!$B$2:$CE$83,MATCH("기타설탕(흑설탕)",'🔖 배합비 참조'!$A$2:$A$83,0),MATCH($C216,'🔖 배합비 참조'!$B$1:$CE$1,0))/100,0),""))),"")</f>
        <v>16</v>
      </c>
      <c r="X216" s="42" t="n">
        <f aca="false">IFERROR(IF($C216="","",IF($D216="","",IFERROR(ROUND($D216*INDEX('🔖 배합비 참조'!$B$2:$CE$83,MATCH("냉동쑥(국내산)",'🔖 배합비 참조'!$A$2:$A$83,0),MATCH($C216,'🔖 배합비 참조'!$B$1:$CE$1,0))/100,0),""))),"")</f>
        <v>0</v>
      </c>
      <c r="Y216" s="42" t="n">
        <f aca="false">IFERROR(IF($C216="","",IF($D216="","",IFERROR(ROUND($D216*INDEX('🔖 배합비 참조'!$B$2:$CE$83,MATCH("냉동증숙고구마(중국산)",'🔖 배합비 참조'!$A$2:$A$83,0),MATCH($C216,'🔖 배합비 참조'!$B$1:$CE$1,0))/100,0),""))),"")</f>
        <v>0</v>
      </c>
      <c r="Z216" s="42" t="n">
        <f aca="false">IFERROR(IF($C216="","",IF($D216="","",IFERROR(ROUND($D216*INDEX('🔖 배합비 참조'!$B$2:$CE$83,MATCH("녹차가루",'🔖 배합비 참조'!$A$2:$A$83,0),MATCH($C216,'🔖 배합비 참조'!$B$1:$CE$1,0))/100,0),""))),"")</f>
        <v>0</v>
      </c>
      <c r="AA216" s="42" t="n">
        <f aca="false">IFERROR(IF($C216="","",IF($D216="","",IFERROR(ROUND($D216*INDEX('🔖 배합비 참조'!$B$2:$CE$83,MATCH("다크초콜릿 컴파운드칩",'🔖 배합비 참조'!$A$2:$A$83,0),MATCH($C216,'🔖 배합비 참조'!$B$1:$CE$1,0))/100,0),""))),"")</f>
        <v>0</v>
      </c>
      <c r="AB216" s="42" t="n">
        <f aca="false">IFERROR(IF($C216="","",IF($D216="","",IFERROR(ROUND($D216*INDEX('🔖 배합비 참조'!$B$2:$CE$83,MATCH("단호박분말(중국산)",'🔖 배합비 참조'!$A$2:$A$83,0),MATCH($C216,'🔖 배합비 참조'!$B$1:$CE$1,0))/100,0),""))),"")</f>
        <v>0</v>
      </c>
      <c r="AC216" s="42" t="n">
        <f aca="false">IFERROR(IF($C216="","",IF($D216="","",IFERROR(ROUND($D216*INDEX('🔖 배합비 참조'!$B$2:$CE$83,MATCH("당류가공품(단호박농축액)",'🔖 배합비 참조'!$A$2:$A$83,0),MATCH($C216,'🔖 배합비 참조'!$B$1:$CE$1,0))/100,0),""))),"")</f>
        <v>0</v>
      </c>
      <c r="AD216" s="42" t="n">
        <f aca="false">IFERROR(IF($C216="","",IF($D216="","",IFERROR(ROUND($D216*INDEX('🔖 배합비 참조'!$B$2:$CE$83,MATCH("당류가공품(알룰로스,에리스리톨,스테비올배당체혼합)",'🔖 배합비 참조'!$A$2:$A$83,0),MATCH($C216,'🔖 배합비 참조'!$B$1:$CE$1,0))/100,0),""))),"")</f>
        <v>0</v>
      </c>
      <c r="AE216" s="42" t="n">
        <f aca="false">IFERROR(IF($C216="","",IF($D216="","",IFERROR(ROUND($D216*INDEX('🔖 배합비 참조'!$B$2:$CE$83,MATCH("당류가공품(알룰로스제로파우더)",'🔖 배합비 참조'!$A$2:$A$83,0),MATCH($C216,'🔖 배합비 참조'!$B$1:$CE$1,0))/100,0),""))),"")</f>
        <v>0</v>
      </c>
      <c r="AF216" s="42" t="n">
        <f aca="false">IFERROR(IF($C216="","",IF($D216="","",IFERROR(ROUND($D216*INDEX('🔖 배합비 참조'!$B$2:$CE$83,MATCH("당절임(완두배기)",'🔖 배합비 참조'!$A$2:$A$83,0),MATCH($C216,'🔖 배합비 참조'!$B$1:$CE$1,0))/100,0),""))),"")</f>
        <v>0</v>
      </c>
      <c r="AG216" s="42" t="n">
        <f aca="false">IFERROR(IF($C216="","",IF($D216="","",IFERROR(ROUND($D216*INDEX('🔖 배합비 참조'!$B$2:$CE$83,MATCH("대추농축액",'🔖 배합비 참조'!$A$2:$A$83,0),MATCH($C216,'🔖 배합비 참조'!$B$1:$CE$1,0))/100,0),""))),"")</f>
        <v>0</v>
      </c>
      <c r="AH216" s="42" t="n">
        <f aca="false">IFERROR(IF($C216="","",IF($D216="","",IFERROR(ROUND($D216*INDEX('🔖 배합비 참조'!$B$2:$CE$83,MATCH("대추채(국내산)",'🔖 배합비 참조'!$A$2:$A$83,0),MATCH($C216,'🔖 배합비 참조'!$B$1:$CE$1,0))/100,0),""))),"")</f>
        <v>0</v>
      </c>
      <c r="AI216" s="42" t="n">
        <f aca="false">IFERROR(IF($C216="","",IF($D216="","",IFERROR(ROUND($D216*INDEX('🔖 배합비 참조'!$B$2:$CE$83,MATCH("동부(미얀마산)",'🔖 배합비 참조'!$A$2:$A$83,0),MATCH($C216,'🔖 배합비 참조'!$B$1:$CE$1,0))/100,0),""))),"")</f>
        <v>0</v>
      </c>
      <c r="AJ216" s="42" t="n">
        <f aca="false">IFERROR(IF($C216="","",IF($D216="","",IFERROR(ROUND($D216*INDEX('🔖 배합비 참조'!$B$2:$CE$83,MATCH("두류가공품(백옥앙금)",'🔖 배합비 참조'!$A$2:$A$83,0),MATCH($C216,'🔖 배합비 참조'!$B$1:$CE$1,0))/100,0),""))),"")</f>
        <v>0</v>
      </c>
      <c r="AK216" s="42" t="n">
        <f aca="false">IFERROR(IF($C216="","",IF($D216="","",IFERROR(ROUND($D216*INDEX('🔖 배합비 참조'!$B$2:$CE$83,MATCH("두류가공품(콩고물)",'🔖 배합비 참조'!$A$2:$A$83,0),MATCH($C216,'🔖 배합비 참조'!$B$1:$CE$1,0))/100,0),""))),"")</f>
        <v>0</v>
      </c>
      <c r="AL216" s="42" t="n">
        <f aca="false">IFERROR(IF($C216="","",IF($D216="","",IFERROR(ROUND($D216*INDEX('🔖 배합비 참조'!$B$2:$CE$83,MATCH("두류가공품(통팥고물)",'🔖 배합비 참조'!$A$2:$A$83,0),MATCH($C216,'🔖 배합비 참조'!$B$1:$CE$1,0))/100,0),""))),"")</f>
        <v>0</v>
      </c>
      <c r="AM216" s="42" t="n">
        <f aca="false">IFERROR(IF($C216="","",IF($D216="","",IFERROR(ROUND($D216*INDEX('🔖 배합비 참조'!$B$2:$CE$83,MATCH("딸기레진",'🔖 배합비 참조'!$A$2:$A$83,0),MATCH($C216,'🔖 배합비 참조'!$B$1:$CE$1,0))/100,0),""))),"")</f>
        <v>0</v>
      </c>
      <c r="AN216" s="42" t="n">
        <f aca="false">IFERROR(IF($C216="","",IF($D216="","",IFERROR(ROUND($D216*INDEX('🔖 배합비 참조'!$B$2:$CE$83,MATCH("딸기분말(스트로우베리에이드(분말))",'🔖 배합비 참조'!$A$2:$A$83,0),MATCH($C216,'🔖 배합비 참조'!$B$1:$CE$1,0))/100,0),""))),"")</f>
        <v>0</v>
      </c>
      <c r="AO216" s="42" t="n">
        <f aca="false">IFERROR(IF($C216="","",IF($D216="","",IFERROR(ROUND($D216*INDEX('🔖 배합비 참조'!$B$2:$CE$83,MATCH("마스카포네치즈",'🔖 배합비 참조'!$A$2:$A$83,0),MATCH($C216,'🔖 배합비 참조'!$B$1:$CE$1,0))/100,0),""))),"")</f>
        <v>0</v>
      </c>
      <c r="AP216" s="42" t="n">
        <f aca="false">IFERROR(IF($C216="","",IF($D216="","",IFERROR(ROUND($D216*INDEX('🔖 배합비 참조'!$B$2:$CE$83,MATCH("마카다미아분태(호주산)",'🔖 배합비 참조'!$A$2:$A$83,0),MATCH($C216,'🔖 배합비 참조'!$B$1:$CE$1,0))/100,0),""))),"")</f>
        <v>0</v>
      </c>
      <c r="AQ216" s="42" t="n">
        <f aca="false">IFERROR(IF($C216="","",IF($D216="","",IFERROR(ROUND($D216*INDEX('🔖 배합비 참조'!$B$2:$CE$83,MATCH("멥쌀(국내산)",'🔖 배합비 참조'!$A$2:$A$83,0),MATCH($C216,'🔖 배합비 참조'!$B$1:$CE$1,0))/100,0),""))),"")</f>
        <v>125</v>
      </c>
      <c r="AR216" s="42" t="n">
        <f aca="false">IFERROR(IF($C216="","",IF($D216="","",IFERROR(ROUND($D216*INDEX('🔖 배합비 참조'!$B$2:$CE$83,MATCH("모시잎(국내산)",'🔖 배합비 참조'!$A$2:$A$83,0),MATCH($C216,'🔖 배합비 참조'!$B$1:$CE$1,0))/100,0),""))),"")</f>
        <v>0</v>
      </c>
      <c r="AS216" s="42" t="n">
        <f aca="false">IFERROR(IF($C216="","",IF($D216="","",IFERROR(ROUND($D216*INDEX('🔖 배합비 참조'!$B$2:$CE$83,MATCH("물엿(저당물엿)",'🔖 배합비 참조'!$A$2:$A$83,0),MATCH($C216,'🔖 배합비 참조'!$B$1:$CE$1,0))/100,0),""))),"")</f>
        <v>0</v>
      </c>
      <c r="AT216" s="42" t="n">
        <f aca="false">IFERROR(IF($C216="","",IF($D216="","",IFERROR(ROUND($D216*INDEX('🔖 배합비 참조'!$B$2:$CE$83,MATCH("밤다이스",'🔖 배합비 참조'!$A$2:$A$83,0),MATCH($C216,'🔖 배합비 참조'!$B$1:$CE$1,0))/100,0),""))),"")</f>
        <v>0</v>
      </c>
      <c r="AU216" s="42" t="n">
        <f aca="false">IFERROR(IF($C216="","",IF($D216="","",IFERROR(ROUND($D216*INDEX('🔖 배합비 참조'!$B$2:$CE$83,MATCH("변성전분(타피오카전분)",'🔖 배합비 참조'!$A$2:$A$83,0),MATCH($C216,'🔖 배합비 참조'!$B$1:$CE$1,0))/100,0),""))),"")</f>
        <v>0</v>
      </c>
      <c r="AV216" s="42" t="n">
        <f aca="false">IFERROR(IF($C216="","",IF($D216="","",IFERROR(ROUND($D216*INDEX('🔖 배합비 참조'!$B$2:$CE$83,MATCH("복음땅콩분태",'🔖 배합비 참조'!$A$2:$A$83,0),MATCH($C216,'🔖 배합비 참조'!$B$1:$CE$1,0))/100,0),""))),"")</f>
        <v>0</v>
      </c>
      <c r="AW216" s="42" t="n">
        <f aca="false">IFERROR(IF($C216="","",IF($D216="","",IFERROR(ROUND($D216*INDEX('🔖 배합비 참조'!$B$2:$CE$83,MATCH("사양벌꿀(국내산)",'🔖 배합비 참조'!$A$2:$A$83,0),MATCH($C216,'🔖 배합비 참조'!$B$1:$CE$1,0))/100,0),""))),"")</f>
        <v>4</v>
      </c>
      <c r="AX216" s="42" t="n">
        <f aca="false">IFERROR(IF($C216="","",IF($D216="","",IFERROR(ROUND($D216*INDEX('🔖 배합비 참조'!$B$2:$CE$83,MATCH("생크림",'🔖 배합비 참조'!$A$2:$A$83,0),MATCH($C216,'🔖 배합비 참조'!$B$1:$CE$1,0))/100,0),""))),"")</f>
        <v>0</v>
      </c>
      <c r="AY216" s="42" t="n">
        <f aca="false">IFERROR(IF($C216="","",IF($D216="","",IFERROR(ROUND($D216*INDEX('🔖 배합비 참조'!$B$2:$CE$83,MATCH("서양호박(국내산,뉴질랜드산)",'🔖 배합비 참조'!$A$2:$A$83,0),MATCH($C216,'🔖 배합비 참조'!$B$1:$CE$1,0))/100,0),""))),"")</f>
        <v>0</v>
      </c>
      <c r="AZ216" s="42" t="n">
        <f aca="false">IFERROR(IF($C216="","",IF($D216="","",IFERROR(ROUND($D216*INDEX('🔖 배합비 참조'!$B$2:$CE$83,MATCH("설탕",'🔖 배합비 참조'!$A$2:$A$83,0),MATCH($C216,'🔖 배합비 참조'!$B$1:$CE$1,0))/100,0),""))),"")</f>
        <v>16</v>
      </c>
      <c r="BA216" s="42" t="n">
        <f aca="false">IFERROR(IF($C216="","",IF($D216="","",IFERROR(ROUND($D216*INDEX('🔖 배합비 참조'!$B$2:$CE$83,MATCH("스트로우베리 에이드 후레쉬",'🔖 배합비 참조'!$A$2:$A$83,0),MATCH($C216,'🔖 배합비 참조'!$B$1:$CE$1,0))/100,0),""))),"")</f>
        <v>0</v>
      </c>
      <c r="BB216" s="42" t="n">
        <f aca="false">IFERROR(IF($C216="","",IF($D216="","",IFERROR(ROUND($D216*INDEX('🔖 배합비 참조'!$B$2:$CE$83,MATCH("식물성기름혼합제제(분홍)",'🔖 배합비 참조'!$A$2:$A$83,0),MATCH($C216,'🔖 배합비 참조'!$B$1:$CE$1,0))/100,0),""))),"")</f>
        <v>0</v>
      </c>
      <c r="BC216" s="42" t="n">
        <f aca="false">IFERROR(IF($C216="","",IF($D216="","",IFERROR(ROUND($D216*INDEX('🔖 배합비 참조'!$B$2:$CE$83,MATCH("식물성기름혼합제제(초록)",'🔖 배합비 참조'!$A$2:$A$83,0),MATCH($C216,'🔖 배합비 참조'!$B$1:$CE$1,0))/100,0),""))),"")</f>
        <v>0</v>
      </c>
      <c r="BD216" s="42" t="n">
        <f aca="false">IFERROR(IF($C216="","",IF($D216="","",IFERROR(ROUND($D216*INDEX('🔖 배합비 참조'!$B$2:$CE$83,MATCH("식물성기름혼합제제(황색)",'🔖 배합비 참조'!$A$2:$A$83,0),MATCH($C216,'🔖 배합비 참조'!$B$1:$CE$1,0))/100,0),""))),"")</f>
        <v>0</v>
      </c>
      <c r="BE216" s="42" t="n">
        <f aca="false">IFERROR(IF($C216="","",IF($D216="","",IFERROR(ROUND($D216*INDEX('🔖 배합비 참조'!$B$2:$CE$83,MATCH("쑥가루(국내산)",'🔖 배합비 참조'!$A$2:$A$83,0),MATCH($C216,'🔖 배합비 참조'!$B$1:$CE$1,0))/100,0),""))),"")</f>
        <v>0</v>
      </c>
      <c r="BF216" s="42" t="n">
        <f aca="false">IFERROR(IF($C216="","",IF($D216="","",IFERROR(ROUND($D216*INDEX('🔖 배합비 참조'!$B$2:$CE$83,MATCH("아몬드슬라이스",'🔖 배합비 참조'!$A$2:$A$83,0),MATCH($C216,'🔖 배합비 참조'!$B$1:$CE$1,0))/100,0),""))),"")</f>
        <v>0</v>
      </c>
      <c r="BG216" s="42" t="n">
        <f aca="false">IFERROR(IF($C216="","",IF($D216="","",IFERROR(ROUND($D216*INDEX('🔖 배합비 참조'!$B$2:$CE$83,MATCH("알룰로오스(국내산)",'🔖 배합비 참조'!$A$2:$A$83,0),MATCH($C216,'🔖 배합비 참조'!$B$1:$CE$1,0))/100,0),""))),"")</f>
        <v>0</v>
      </c>
      <c r="BH216" s="42" t="n">
        <f aca="false">IFERROR(IF($C216="","",IF($D216="","",IFERROR(ROUND($D216*INDEX('🔖 배합비 참조'!$B$2:$CE$83,MATCH("연유",'🔖 배합비 참조'!$A$2:$A$83,0),MATCH($C216,'🔖 배합비 참조'!$B$1:$CE$1,0))/100,0),""))),"")</f>
        <v>0</v>
      </c>
      <c r="BI216" s="42" t="n">
        <f aca="false">IFERROR(IF($C216="","",IF($D216="","",IFERROR(ROUND($D216*INDEX('🔖 배합비 참조'!$B$2:$CE$83,MATCH("옥수수전분",'🔖 배합비 참조'!$A$2:$A$83,0),MATCH($C216,'🔖 배합비 참조'!$B$1:$CE$1,0))/100,0),""))),"")</f>
        <v>0</v>
      </c>
      <c r="BJ216" s="42" t="n">
        <f aca="false">IFERROR(IF($C216="","",IF($D216="","",IFERROR(ROUND($D216*INDEX('🔖 배합비 참조'!$B$2:$CE$83,MATCH("완두배기",'🔖 배합비 참조'!$A$2:$A$83,0),MATCH($C216,'🔖 배합비 참조'!$B$1:$CE$1,0))/100,0),""))),"")</f>
        <v>0</v>
      </c>
      <c r="BK216" s="42" t="n">
        <f aca="false">IFERROR(IF($C216="","",IF($D216="","",IFERROR(ROUND($D216*INDEX('🔖 배합비 참조'!$B$2:$CE$83,MATCH("우유(국내산)",'🔖 배합비 참조'!$A$2:$A$83,0),MATCH($C216,'🔖 배합비 참조'!$B$1:$CE$1,0))/100,0),""))),"")</f>
        <v>0</v>
      </c>
      <c r="BL216" s="42" t="n">
        <f aca="false">IFERROR(IF($C216="","",IF($D216="","",IFERROR(ROUND($D216*INDEX('🔖 배합비 참조'!$B$2:$CE$83,MATCH("자색고구마가루(중국산)",'🔖 배합비 참조'!$A$2:$A$83,0),MATCH($C216,'🔖 배합비 참조'!$B$1:$CE$1,0))/100,0),""))),"")</f>
        <v>0</v>
      </c>
      <c r="BM216" s="42" t="n">
        <f aca="false">IFERROR(IF($C216="","",IF($D216="","",IFERROR(ROUND($D216*INDEX('🔖 배합비 참조'!$B$2:$CE$83,MATCH("자연치즈(체다치즈)",'🔖 배합비 참조'!$A$2:$A$83,0),MATCH($C216,'🔖 배합비 참조'!$B$1:$CE$1,0))/100,0),""))),"")</f>
        <v>0</v>
      </c>
      <c r="BN216" s="42" t="n">
        <f aca="false">IFERROR(IF($C216="","",IF($D216="","",IFERROR(ROUND($D216*INDEX('🔖 배합비 참조'!$B$2:$CE$83,MATCH("정제수",'🔖 배합비 참조'!$A$2:$A$83,0),MATCH($C216,'🔖 배합비 참조'!$B$1:$CE$1,0))/100,0),""))),"")</f>
        <v>23</v>
      </c>
      <c r="BO216" s="42" t="n">
        <f aca="false">IFERROR(IF($C216="","",IF($D216="","",IFERROR(ROUND($D216*INDEX('🔖 배합비 참조'!$B$2:$CE$83,MATCH("젤라틴",'🔖 배합비 참조'!$A$2:$A$83,0),MATCH($C216,'🔖 배합비 참조'!$B$1:$CE$1,0))/100,0),""))),"")</f>
        <v>0</v>
      </c>
      <c r="BP216" s="42" t="n">
        <f aca="false">IFERROR(IF($C216="","",IF($D216="","",IFERROR(ROUND($D216*INDEX('🔖 배합비 참조'!$B$2:$CE$83,MATCH("조림류(백옥앙금)",'🔖 배합비 참조'!$A$2:$A$83,0),MATCH($C216,'🔖 배합비 참조'!$B$1:$CE$1,0))/100,0),""))),"")</f>
        <v>0</v>
      </c>
      <c r="BQ216" s="42" t="n">
        <f aca="false">IFERROR(IF($C216="","",IF($D216="","",IFERROR(ROUND($D216*INDEX('🔖 배합비 참조'!$B$2:$CE$83,MATCH("조림류(통팥앙금)",'🔖 배합비 참조'!$A$2:$A$83,0),MATCH($C216,'🔖 배합비 참조'!$B$1:$CE$1,0))/100,0),""))),"")</f>
        <v>0</v>
      </c>
      <c r="BR216" s="42" t="n">
        <f aca="false">IFERROR(IF($C216="","",IF($D216="","",IFERROR(ROUND($D216*INDEX('🔖 배합비 참조'!$B$2:$CE$83,MATCH("준초콜릿(외국산)",'🔖 배합비 참조'!$A$2:$A$83,0),MATCH($C216,'🔖 배합비 참조'!$B$1:$CE$1,0))/100,0),""))),"")</f>
        <v>0</v>
      </c>
      <c r="BS216" s="42" t="n">
        <f aca="false">IFERROR(IF($C216="","",IF($D216="","",IFERROR(ROUND($D216*INDEX('🔖 배합비 참조'!$B$2:$CE$83,MATCH("중력분",'🔖 배합비 참조'!$A$2:$A$83,0),MATCH($C216,'🔖 배합비 참조'!$B$1:$CE$1,0))/100,0),""))),"")</f>
        <v>0</v>
      </c>
      <c r="BT216" s="42" t="n">
        <f aca="false">IFERROR(IF($C216="","",IF($D216="","",IFERROR(ROUND($D216*INDEX('🔖 배합비 참조'!$B$2:$CE$83,MATCH("참깨(인도산,나이지리아산,탄자니아산,미얀마산)",'🔖 배합비 참조'!$A$2:$A$83,0),MATCH($C216,'🔖 배합비 참조'!$B$1:$CE$1,0))/100,0),""))),"")</f>
        <v>0</v>
      </c>
      <c r="BU216" s="42" t="n">
        <f aca="false">IFERROR(IF($C216="","",IF($D216="","",IFERROR(ROUND($D216*INDEX('🔖 배합비 참조'!$B$2:$CE$83,MATCH("찹쌀(국내산)",'🔖 배합비 참조'!$A$2:$A$83,0),MATCH($C216,'🔖 배합비 참조'!$B$1:$CE$1,0))/100,0),""))),"")</f>
        <v>0</v>
      </c>
      <c r="BV216" s="42" t="n">
        <f aca="false">IFERROR(IF($C216="","",IF($D216="","",IFERROR(ROUND($D216*INDEX('🔖 배합비 참조'!$B$2:$CE$83,MATCH("천일염",'🔖 배합비 참조'!$A$2:$A$83,0),MATCH($C216,'🔖 배합비 참조'!$B$1:$CE$1,0))/100,0),""))),"")</f>
        <v>2</v>
      </c>
      <c r="BW216" s="42" t="n">
        <f aca="false">IFERROR(IF($C216="","",IF($D216="","",IFERROR(ROUND($D216*INDEX('🔖 배합비 참조'!$B$2:$CE$83,MATCH("치즈 [크림치즈]",'🔖 배합비 참조'!$A$2:$A$83,0),MATCH($C216,'🔖 배합비 참조'!$B$1:$CE$1,0))/100,0),""))),"")</f>
        <v>0</v>
      </c>
      <c r="BX216" s="42" t="n">
        <f aca="false">IFERROR(IF($C216="","",IF($D216="","",IFERROR(ROUND($D216*INDEX('🔖 배합비 참조'!$B$2:$CE$83,MATCH("코코아가공품류(코코아분말)",'🔖 배합비 참조'!$A$2:$A$83,0),MATCH($C216,'🔖 배합비 참조'!$B$1:$CE$1,0))/100,0),""))),"")</f>
        <v>0</v>
      </c>
      <c r="BY216" s="42" t="n">
        <f aca="false">IFERROR(IF($C216="","",IF($D216="","",IFERROR(ROUND($D216*INDEX('🔖 배합비 참조'!$B$2:$CE$83,MATCH("콩기름(대두유)",'🔖 배합비 참조'!$A$2:$A$83,0),MATCH($C216,'🔖 배합비 참조'!$B$1:$CE$1,0))/100,0),""))),"")</f>
        <v>0</v>
      </c>
      <c r="BZ216" s="42" t="n">
        <f aca="false">IFERROR(IF($C216="","",IF($D216="","",IFERROR(ROUND($D216*INDEX('🔖 배합비 참조'!$B$2:$CE$83,MATCH("해바라기씨앗",'🔖 배합비 참조'!$A$2:$A$83,0),MATCH($C216,'🔖 배합비 참조'!$B$1:$CE$1,0))/100,0),""))),"")</f>
        <v>0</v>
      </c>
      <c r="CA216" s="42" t="n">
        <f aca="false">IFERROR(IF($C216="","",IF($D216="","",IFERROR(ROUND($D216*INDEX('🔖 배합비 참조'!$B$2:$CE$83,MATCH("현미(국내산)",'🔖 배합비 참조'!$A$2:$A$83,0),MATCH($C216,'🔖 배합비 참조'!$B$1:$CE$1,0))/100,0),""))),"")</f>
        <v>0</v>
      </c>
      <c r="CB216" s="42" t="n">
        <f aca="false">IFERROR(IF($C216="","",IF($D216="","",IFERROR(ROUND($D216*INDEX('🔖 배합비 참조'!$B$2:$CE$83,MATCH("현미멥쌀(국내산)",'🔖 배합비 참조'!$A$2:$A$83,0),MATCH($C216,'🔖 배합비 참조'!$B$1:$CE$1,0))/100,0),""))),"")</f>
        <v>0</v>
      </c>
      <c r="CC216" s="42" t="n">
        <f aca="false">IFERROR(IF($C216="","",IF($D216="","",IFERROR(ROUND($D216*INDEX('🔖 배합비 참조'!$B$2:$CE$83,MATCH("호두분태(미국산)",'🔖 배합비 참조'!$A$2:$A$83,0),MATCH($C216,'🔖 배합비 참조'!$B$1:$CE$1,0))/100,0),""))),"")</f>
        <v>0</v>
      </c>
      <c r="CD216" s="42" t="n">
        <f aca="false">IFERROR(IF($C216="","",IF($D216="","",IFERROR(ROUND($D216*INDEX('🔖 배합비 참조'!$B$2:$CE$83,MATCH("호박씨앗(외국산)",'🔖 배합비 참조'!$A$2:$A$83,0),MATCH($C216,'🔖 배합비 참조'!$B$1:$CE$1,0))/100,0),""))),"")</f>
        <v>0</v>
      </c>
      <c r="CE216" s="42" t="n">
        <f aca="false">IFERROR(IF($C216="","",IF($D216="","",IFERROR(ROUND($D216*INDEX('🔖 배합비 참조'!$B$2:$CE$83,MATCH("혼합제제(떡용에스텔)",'🔖 배합비 참조'!$A$2:$A$83,0),MATCH($C216,'🔖 배합비 참조'!$B$1:$CE$1,0))/100,0),""))),"")</f>
        <v>0</v>
      </c>
      <c r="CF216" s="42" t="n">
        <f aca="false">IFERROR(IF($C216="","",IF($D216="","",IFERROR(ROUND($D216*INDEX('🔖 배합비 참조'!$B$2:$CE$83,MATCH("혼합제제(스테비아)",'🔖 배합비 참조'!$A$2:$A$83,0),MATCH($C216,'🔖 배합비 참조'!$B$1:$CE$1,0))/100,0),""))),"")</f>
        <v>0</v>
      </c>
      <c r="CG216" s="42" t="n">
        <f aca="false">IFERROR(IF($C216="","",IF($D216="","",IFERROR(ROUND($D216*INDEX('🔖 배합비 참조'!$B$2:$CE$83,MATCH("화이트초콜릿",'🔖 배합비 참조'!$A$2:$A$83,0),MATCH($C216,'🔖 배합비 참조'!$B$1:$CE$1,0))/100,0),""))),"")</f>
        <v>0</v>
      </c>
      <c r="CH216" s="42" t="n">
        <f aca="false">IFERROR(IF($C216="","",IF($D216="","",IFERROR(ROUND($D216*INDEX('🔖 배합비 참조'!$B$2:$CE$83,MATCH("흑미찹쌀(국내산)",'🔖 배합비 참조'!$A$2:$A$83,0),MATCH($C216,'🔖 배합비 참조'!$B$1:$CE$1,0))/100,0),""))),"")</f>
        <v>0</v>
      </c>
      <c r="CI216" s="42" t="n">
        <f aca="false">IFERROR(IF($C216="","",IF($D216="","",IFERROR(ROUND($D216*INDEX('🔖 배합비 참조'!$B$2:$CE$83,MATCH("찰옥수수전분(미국산)",'🔖 배합비 참조'!$A$2:$A$83,0),MATCH($C216,'🔖 배합비 참조'!$B$1:$CE$1,0))/100,0),""))),"")</f>
        <v>0</v>
      </c>
      <c r="CJ216" s="40"/>
      <c r="CL216" s="1" t="s">
        <v>247</v>
      </c>
    </row>
    <row r="217" customFormat="false" ht="18" hidden="false" customHeight="true" outlineLevel="0" collapsed="false">
      <c r="A217" s="35" t="n">
        <v>213</v>
      </c>
      <c r="B217" s="36" t="n">
        <v>46061</v>
      </c>
      <c r="C217" s="37" t="s">
        <v>242</v>
      </c>
      <c r="D217" s="38" t="n">
        <v>110</v>
      </c>
      <c r="E217" s="13"/>
      <c r="F217" s="13"/>
      <c r="G217" s="39" t="n">
        <f aca="false">IFERROR(IF($C217="","",IF($D217="","",IFERROR(ROUND($D217*INDEX('🔖 배합비 참조'!$B$2:$CE$83,MATCH("간장",'🔖 배합비 참조'!$A$2:$A$83,0),MATCH($C217,'🔖 배합비 참조'!$B$1:$CE$1,0))/100,0),""))),"")</f>
        <v>0</v>
      </c>
      <c r="H217" s="39" t="n">
        <f aca="false">IFERROR(IF($C217="","",IF($D217="","",IFERROR(ROUND($D217*INDEX('🔖 배합비 참조'!$B$2:$CE$83,MATCH("강낭콩((울타리콩))",'🔖 배합비 참조'!$A$2:$A$83,0),MATCH($C217,'🔖 배합비 참조'!$B$1:$CE$1,0))/100,0),""))),"")</f>
        <v>0</v>
      </c>
      <c r="I217" s="39" t="n">
        <f aca="false">IFERROR(IF($C217="","",IF($D217="","",IFERROR(ROUND($D217*INDEX('🔖 배합비 참조'!$B$2:$CE$83,MATCH("건조딸기다이스(외국산)",'🔖 배합비 참조'!$A$2:$A$83,0),MATCH($C217,'🔖 배합비 참조'!$B$1:$CE$1,0))/100,0),""))),"")</f>
        <v>0</v>
      </c>
      <c r="J217" s="39" t="n">
        <f aca="false">IFERROR(IF($C217="","",IF($D217="","",IFERROR(ROUND($D217*INDEX('🔖 배합비 참조'!$B$2:$CE$83,MATCH("건포도",'🔖 배합비 참조'!$A$2:$A$83,0),MATCH($C217,'🔖 배합비 참조'!$B$1:$CE$1,0))/100,0),""))),"")</f>
        <v>0</v>
      </c>
      <c r="K217" s="39" t="n">
        <f aca="false">IFERROR(IF($C217="","",IF($D217="","",IFERROR(ROUND($D217*INDEX('🔖 배합비 참조'!$B$2:$CE$83,MATCH("건호박채(중국산)",'🔖 배합비 참조'!$A$2:$A$83,0),MATCH($C217,'🔖 배합비 참조'!$B$1:$CE$1,0))/100,0),""))),"")</f>
        <v>0</v>
      </c>
      <c r="L217" s="39" t="n">
        <f aca="false">IFERROR(IF($C217="","",IF($D217="","",IFERROR(ROUND($D217*INDEX('🔖 배합비 참조'!$B$2:$CE$83,MATCH("검정깨(흑임자)",'🔖 배합비 참조'!$A$2:$A$83,0),MATCH($C217,'🔖 배합비 참조'!$B$1:$CE$1,0))/100,0),""))),"")</f>
        <v>0</v>
      </c>
      <c r="M217" s="39" t="n">
        <f aca="false">IFERROR(IF($C217="","",IF($D217="","",IFERROR(ROUND($D217*INDEX('🔖 배합비 참조'!$B$2:$CE$83,MATCH("검정콩",'🔖 배합비 참조'!$A$2:$A$83,0),MATCH($C217,'🔖 배합비 참조'!$B$1:$CE$1,0))/100,0),""))),"")</f>
        <v>0</v>
      </c>
      <c r="N217" s="39" t="n">
        <f aca="false">IFERROR(IF($C217="","",IF($D217="","",IFERROR(ROUND($D217*INDEX('🔖 배합비 참조'!$B$2:$CE$83,MATCH("계피가루",'🔖 배합비 참조'!$A$2:$A$83,0),MATCH($C217,'🔖 배합비 참조'!$B$1:$CE$1,0))/100,0),""))),"")</f>
        <v>0</v>
      </c>
      <c r="O217" s="39" t="n">
        <f aca="false">IFERROR(IF($C217="","",IF($D217="","",IFERROR(ROUND($D217*INDEX('🔖 배합비 참조'!$B$2:$CE$83,MATCH("고구마가루",'🔖 배합비 참조'!$A$2:$A$83,0),MATCH($C217,'🔖 배합비 참조'!$B$1:$CE$1,0))/100,0),""))),"")</f>
        <v>3</v>
      </c>
      <c r="P217" s="39" t="n">
        <f aca="false">IFERROR(IF($C217="","",IF($D217="","",IFERROR(ROUND($D217*INDEX('🔖 배합비 참조'!$B$2:$CE$83,MATCH("고구마무스",'🔖 배합비 참조'!$A$2:$A$83,0),MATCH($C217,'🔖 배합비 참조'!$B$1:$CE$1,0))/100,0),""))),"")</f>
        <v>5</v>
      </c>
      <c r="Q217" s="39" t="n">
        <f aca="false">IFERROR(IF($C217="","",IF($D217="","",IFERROR(ROUND($D217*INDEX('🔖 배합비 참조'!$B$2:$CE$83,MATCH("고려엉겅퀴((곤드레)국내산)",'🔖 배합비 참조'!$A$2:$A$83,0),MATCH($C217,'🔖 배합비 참조'!$B$1:$CE$1,0))/100,0),""))),"")</f>
        <v>0</v>
      </c>
      <c r="R217" s="39" t="n">
        <f aca="false">IFERROR(IF($C217="","",IF($D217="","",IFERROR(ROUND($D217*INDEX('🔖 배합비 참조'!$B$2:$CE$83,MATCH("기타가공품(복분자가루)",'🔖 배합비 참조'!$A$2:$A$83,0),MATCH($C217,'🔖 배합비 참조'!$B$1:$CE$1,0))/100,0),""))),"")</f>
        <v>0</v>
      </c>
      <c r="S217" s="39" t="n">
        <f aca="false">IFERROR(IF($C217="","",IF($D217="","",IFERROR(ROUND($D217*INDEX('🔖 배합비 참조'!$B$2:$CE$83,MATCH("기타가공품(슈퍼소프트엠)",'🔖 배합비 참조'!$A$2:$A$83,0),MATCH($C217,'🔖 배합비 참조'!$B$1:$CE$1,0))/100,0),""))),"")</f>
        <v>0</v>
      </c>
      <c r="T217" s="39" t="n">
        <f aca="false">IFERROR(IF($C217="","",IF($D217="","",IFERROR(ROUND($D217*INDEX('🔖 배합비 참조'!$B$2:$CE$83,MATCH("기타가공품(파인소프트 E-티)",'🔖 배합비 참조'!$A$2:$A$83,0),MATCH($C217,'🔖 배합비 참조'!$B$1:$CE$1,0))/100,0),""))),"")</f>
        <v>0</v>
      </c>
      <c r="U217" s="39" t="n">
        <f aca="false">IFERROR(IF($C217="","",IF($D217="","",IFERROR(ROUND($D217*INDEX('🔖 배합비 참조'!$B$2:$CE$83,MATCH("기타가공품(프리미엄카스테라가루)",'🔖 배합비 참조'!$A$2:$A$83,0),MATCH($C217,'🔖 배합비 참조'!$B$1:$CE$1,0))/100,0),""))),"")</f>
        <v>3</v>
      </c>
      <c r="V217" s="39" t="n">
        <f aca="false">IFERROR(IF($C217="","",IF($D217="","",IFERROR(ROUND($D217*INDEX('🔖 배합비 참조'!$B$2:$CE$83,MATCH("기타가공품(흑임자가루)",'🔖 배합비 참조'!$A$2:$A$83,0),MATCH($C217,'🔖 배합비 참조'!$B$1:$CE$1,0))/100,0),""))),"")</f>
        <v>0</v>
      </c>
      <c r="W217" s="39" t="n">
        <f aca="false">IFERROR(IF($C217="","",IF($D217="","",IFERROR(ROUND($D217*INDEX('🔖 배합비 참조'!$B$2:$CE$83,MATCH("기타설탕(흑설탕)",'🔖 배합비 참조'!$A$2:$A$83,0),MATCH($C217,'🔖 배합비 참조'!$B$1:$CE$1,0))/100,0),""))),"")</f>
        <v>0</v>
      </c>
      <c r="X217" s="39" t="n">
        <f aca="false">IFERROR(IF($C217="","",IF($D217="","",IFERROR(ROUND($D217*INDEX('🔖 배합비 참조'!$B$2:$CE$83,MATCH("냉동쑥(국내산)",'🔖 배합비 참조'!$A$2:$A$83,0),MATCH($C217,'🔖 배합비 참조'!$B$1:$CE$1,0))/100,0),""))),"")</f>
        <v>0</v>
      </c>
      <c r="Y217" s="39" t="n">
        <f aca="false">IFERROR(IF($C217="","",IF($D217="","",IFERROR(ROUND($D217*INDEX('🔖 배합비 참조'!$B$2:$CE$83,MATCH("냉동증숙고구마(중국산)",'🔖 배합비 참조'!$A$2:$A$83,0),MATCH($C217,'🔖 배합비 참조'!$B$1:$CE$1,0))/100,0),""))),"")</f>
        <v>0</v>
      </c>
      <c r="Z217" s="39" t="n">
        <f aca="false">IFERROR(IF($C217="","",IF($D217="","",IFERROR(ROUND($D217*INDEX('🔖 배합비 참조'!$B$2:$CE$83,MATCH("녹차가루",'🔖 배합비 참조'!$A$2:$A$83,0),MATCH($C217,'🔖 배합비 참조'!$B$1:$CE$1,0))/100,0),""))),"")</f>
        <v>0</v>
      </c>
      <c r="AA217" s="39" t="n">
        <f aca="false">IFERROR(IF($C217="","",IF($D217="","",IFERROR(ROUND($D217*INDEX('🔖 배합비 참조'!$B$2:$CE$83,MATCH("다크초콜릿 컴파운드칩",'🔖 배합비 참조'!$A$2:$A$83,0),MATCH($C217,'🔖 배합비 참조'!$B$1:$CE$1,0))/100,0),""))),"")</f>
        <v>0</v>
      </c>
      <c r="AB217" s="39" t="n">
        <f aca="false">IFERROR(IF($C217="","",IF($D217="","",IFERROR(ROUND($D217*INDEX('🔖 배합비 참조'!$B$2:$CE$83,MATCH("단호박분말(중국산)",'🔖 배합비 참조'!$A$2:$A$83,0),MATCH($C217,'🔖 배합비 참조'!$B$1:$CE$1,0))/100,0),""))),"")</f>
        <v>0</v>
      </c>
      <c r="AC217" s="39" t="n">
        <f aca="false">IFERROR(IF($C217="","",IF($D217="","",IFERROR(ROUND($D217*INDEX('🔖 배합비 참조'!$B$2:$CE$83,MATCH("당류가공품(단호박농축액)",'🔖 배합비 참조'!$A$2:$A$83,0),MATCH($C217,'🔖 배합비 참조'!$B$1:$CE$1,0))/100,0),""))),"")</f>
        <v>0</v>
      </c>
      <c r="AD217" s="39" t="n">
        <f aca="false">IFERROR(IF($C217="","",IF($D217="","",IFERROR(ROUND($D217*INDEX('🔖 배합비 참조'!$B$2:$CE$83,MATCH("당류가공품(알룰로스,에리스리톨,스테비올배당체혼합)",'🔖 배합비 참조'!$A$2:$A$83,0),MATCH($C217,'🔖 배합비 참조'!$B$1:$CE$1,0))/100,0),""))),"")</f>
        <v>0</v>
      </c>
      <c r="AE217" s="39" t="n">
        <f aca="false">IFERROR(IF($C217="","",IF($D217="","",IFERROR(ROUND($D217*INDEX('🔖 배합비 참조'!$B$2:$CE$83,MATCH("당류가공품(알룰로스제로파우더)",'🔖 배합비 참조'!$A$2:$A$83,0),MATCH($C217,'🔖 배합비 참조'!$B$1:$CE$1,0))/100,0),""))),"")</f>
        <v>0</v>
      </c>
      <c r="AF217" s="39" t="n">
        <f aca="false">IFERROR(IF($C217="","",IF($D217="","",IFERROR(ROUND($D217*INDEX('🔖 배합비 참조'!$B$2:$CE$83,MATCH("당절임(완두배기)",'🔖 배합비 참조'!$A$2:$A$83,0),MATCH($C217,'🔖 배합비 참조'!$B$1:$CE$1,0))/100,0),""))),"")</f>
        <v>0</v>
      </c>
      <c r="AG217" s="39" t="n">
        <f aca="false">IFERROR(IF($C217="","",IF($D217="","",IFERROR(ROUND($D217*INDEX('🔖 배합비 참조'!$B$2:$CE$83,MATCH("대추농축액",'🔖 배합비 참조'!$A$2:$A$83,0),MATCH($C217,'🔖 배합비 참조'!$B$1:$CE$1,0))/100,0),""))),"")</f>
        <v>0</v>
      </c>
      <c r="AH217" s="39" t="n">
        <f aca="false">IFERROR(IF($C217="","",IF($D217="","",IFERROR(ROUND($D217*INDEX('🔖 배합비 참조'!$B$2:$CE$83,MATCH("대추채(국내산)",'🔖 배합비 참조'!$A$2:$A$83,0),MATCH($C217,'🔖 배합비 참조'!$B$1:$CE$1,0))/100,0),""))),"")</f>
        <v>0</v>
      </c>
      <c r="AI217" s="39" t="n">
        <f aca="false">IFERROR(IF($C217="","",IF($D217="","",IFERROR(ROUND($D217*INDEX('🔖 배합비 참조'!$B$2:$CE$83,MATCH("동부(미얀마산)",'🔖 배합비 참조'!$A$2:$A$83,0),MATCH($C217,'🔖 배합비 참조'!$B$1:$CE$1,0))/100,0),""))),"")</f>
        <v>0</v>
      </c>
      <c r="AJ217" s="39" t="n">
        <f aca="false">IFERROR(IF($C217="","",IF($D217="","",IFERROR(ROUND($D217*INDEX('🔖 배합비 참조'!$B$2:$CE$83,MATCH("두류가공품(백옥앙금)",'🔖 배합비 참조'!$A$2:$A$83,0),MATCH($C217,'🔖 배합비 참조'!$B$1:$CE$1,0))/100,0),""))),"")</f>
        <v>0</v>
      </c>
      <c r="AK217" s="39" t="n">
        <f aca="false">IFERROR(IF($C217="","",IF($D217="","",IFERROR(ROUND($D217*INDEX('🔖 배합비 참조'!$B$2:$CE$83,MATCH("두류가공품(콩고물)",'🔖 배합비 참조'!$A$2:$A$83,0),MATCH($C217,'🔖 배합비 참조'!$B$1:$CE$1,0))/100,0),""))),"")</f>
        <v>0</v>
      </c>
      <c r="AL217" s="39" t="n">
        <f aca="false">IFERROR(IF($C217="","",IF($D217="","",IFERROR(ROUND($D217*INDEX('🔖 배합비 참조'!$B$2:$CE$83,MATCH("두류가공품(통팥고물)",'🔖 배합비 참조'!$A$2:$A$83,0),MATCH($C217,'🔖 배합비 참조'!$B$1:$CE$1,0))/100,0),""))),"")</f>
        <v>0</v>
      </c>
      <c r="AM217" s="39" t="n">
        <f aca="false">IFERROR(IF($C217="","",IF($D217="","",IFERROR(ROUND($D217*INDEX('🔖 배합비 참조'!$B$2:$CE$83,MATCH("딸기레진",'🔖 배합비 참조'!$A$2:$A$83,0),MATCH($C217,'🔖 배합비 참조'!$B$1:$CE$1,0))/100,0),""))),"")</f>
        <v>0</v>
      </c>
      <c r="AN217" s="39" t="n">
        <f aca="false">IFERROR(IF($C217="","",IF($D217="","",IFERROR(ROUND($D217*INDEX('🔖 배합비 참조'!$B$2:$CE$83,MATCH("딸기분말(스트로우베리에이드(분말))",'🔖 배합비 참조'!$A$2:$A$83,0),MATCH($C217,'🔖 배합비 참조'!$B$1:$CE$1,0))/100,0),""))),"")</f>
        <v>0</v>
      </c>
      <c r="AO217" s="39" t="n">
        <f aca="false">IFERROR(IF($C217="","",IF($D217="","",IFERROR(ROUND($D217*INDEX('🔖 배합비 참조'!$B$2:$CE$83,MATCH("마스카포네치즈",'🔖 배합비 참조'!$A$2:$A$83,0),MATCH($C217,'🔖 배합비 참조'!$B$1:$CE$1,0))/100,0),""))),"")</f>
        <v>0</v>
      </c>
      <c r="AP217" s="39" t="n">
        <f aca="false">IFERROR(IF($C217="","",IF($D217="","",IFERROR(ROUND($D217*INDEX('🔖 배합비 참조'!$B$2:$CE$83,MATCH("마카다미아분태(호주산)",'🔖 배합비 참조'!$A$2:$A$83,0),MATCH($C217,'🔖 배합비 참조'!$B$1:$CE$1,0))/100,0),""))),"")</f>
        <v>0</v>
      </c>
      <c r="AQ217" s="39" t="n">
        <f aca="false">IFERROR(IF($C217="","",IF($D217="","",IFERROR(ROUND($D217*INDEX('🔖 배합비 참조'!$B$2:$CE$83,MATCH("멥쌀(국내산)",'🔖 배합비 참조'!$A$2:$A$83,0),MATCH($C217,'🔖 배합비 참조'!$B$1:$CE$1,0))/100,0),""))),"")</f>
        <v>0</v>
      </c>
      <c r="AR217" s="39" t="n">
        <f aca="false">IFERROR(IF($C217="","",IF($D217="","",IFERROR(ROUND($D217*INDEX('🔖 배합비 참조'!$B$2:$CE$83,MATCH("모시잎(국내산)",'🔖 배합비 참조'!$A$2:$A$83,0),MATCH($C217,'🔖 배합비 참조'!$B$1:$CE$1,0))/100,0),""))),"")</f>
        <v>0</v>
      </c>
      <c r="AS217" s="39" t="n">
        <f aca="false">IFERROR(IF($C217="","",IF($D217="","",IFERROR(ROUND($D217*INDEX('🔖 배합비 참조'!$B$2:$CE$83,MATCH("물엿(저당물엿)",'🔖 배합비 참조'!$A$2:$A$83,0),MATCH($C217,'🔖 배합비 참조'!$B$1:$CE$1,0))/100,0),""))),"")</f>
        <v>6</v>
      </c>
      <c r="AT217" s="39" t="n">
        <f aca="false">IFERROR(IF($C217="","",IF($D217="","",IFERROR(ROUND($D217*INDEX('🔖 배합비 참조'!$B$2:$CE$83,MATCH("밤다이스",'🔖 배합비 참조'!$A$2:$A$83,0),MATCH($C217,'🔖 배합비 참조'!$B$1:$CE$1,0))/100,0),""))),"")</f>
        <v>0</v>
      </c>
      <c r="AU217" s="39" t="n">
        <f aca="false">IFERROR(IF($C217="","",IF($D217="","",IFERROR(ROUND($D217*INDEX('🔖 배합비 참조'!$B$2:$CE$83,MATCH("변성전분(타피오카전분)",'🔖 배합비 참조'!$A$2:$A$83,0),MATCH($C217,'🔖 배합비 참조'!$B$1:$CE$1,0))/100,0),""))),"")</f>
        <v>0</v>
      </c>
      <c r="AV217" s="39" t="n">
        <f aca="false">IFERROR(IF($C217="","",IF($D217="","",IFERROR(ROUND($D217*INDEX('🔖 배합비 참조'!$B$2:$CE$83,MATCH("복음땅콩분태",'🔖 배합비 참조'!$A$2:$A$83,0),MATCH($C217,'🔖 배합비 참조'!$B$1:$CE$1,0))/100,0),""))),"")</f>
        <v>0</v>
      </c>
      <c r="AW217" s="39" t="n">
        <f aca="false">IFERROR(IF($C217="","",IF($D217="","",IFERROR(ROUND($D217*INDEX('🔖 배합비 참조'!$B$2:$CE$83,MATCH("사양벌꿀(국내산)",'🔖 배합비 참조'!$A$2:$A$83,0),MATCH($C217,'🔖 배합비 참조'!$B$1:$CE$1,0))/100,0),""))),"")</f>
        <v>0</v>
      </c>
      <c r="AX217" s="39" t="n">
        <f aca="false">IFERROR(IF($C217="","",IF($D217="","",IFERROR(ROUND($D217*INDEX('🔖 배합비 참조'!$B$2:$CE$83,MATCH("생크림",'🔖 배합비 참조'!$A$2:$A$83,0),MATCH($C217,'🔖 배합비 참조'!$B$1:$CE$1,0))/100,0),""))),"")</f>
        <v>7</v>
      </c>
      <c r="AY217" s="39" t="n">
        <f aca="false">IFERROR(IF($C217="","",IF($D217="","",IFERROR(ROUND($D217*INDEX('🔖 배합비 참조'!$B$2:$CE$83,MATCH("서양호박(국내산,뉴질랜드산)",'🔖 배합비 참조'!$A$2:$A$83,0),MATCH($C217,'🔖 배합비 참조'!$B$1:$CE$1,0))/100,0),""))),"")</f>
        <v>0</v>
      </c>
      <c r="AZ217" s="39" t="n">
        <f aca="false">IFERROR(IF($C217="","",IF($D217="","",IFERROR(ROUND($D217*INDEX('🔖 배합비 참조'!$B$2:$CE$83,MATCH("설탕",'🔖 배합비 참조'!$A$2:$A$83,0),MATCH($C217,'🔖 배합비 참조'!$B$1:$CE$1,0))/100,0),""))),"")</f>
        <v>2</v>
      </c>
      <c r="BA217" s="39" t="n">
        <f aca="false">IFERROR(IF($C217="","",IF($D217="","",IFERROR(ROUND($D217*INDEX('🔖 배합비 참조'!$B$2:$CE$83,MATCH("스트로우베리 에이드 후레쉬",'🔖 배합비 참조'!$A$2:$A$83,0),MATCH($C217,'🔖 배합비 참조'!$B$1:$CE$1,0))/100,0),""))),"")</f>
        <v>0</v>
      </c>
      <c r="BB217" s="39" t="n">
        <f aca="false">IFERROR(IF($C217="","",IF($D217="","",IFERROR(ROUND($D217*INDEX('🔖 배합비 참조'!$B$2:$CE$83,MATCH("식물성기름혼합제제(분홍)",'🔖 배합비 참조'!$A$2:$A$83,0),MATCH($C217,'🔖 배합비 참조'!$B$1:$CE$1,0))/100,0),""))),"")</f>
        <v>0</v>
      </c>
      <c r="BC217" s="39" t="n">
        <f aca="false">IFERROR(IF($C217="","",IF($D217="","",IFERROR(ROUND($D217*INDEX('🔖 배합비 참조'!$B$2:$CE$83,MATCH("식물성기름혼합제제(초록)",'🔖 배합비 참조'!$A$2:$A$83,0),MATCH($C217,'🔖 배합비 참조'!$B$1:$CE$1,0))/100,0),""))),"")</f>
        <v>0</v>
      </c>
      <c r="BD217" s="39" t="n">
        <f aca="false">IFERROR(IF($C217="","",IF($D217="","",IFERROR(ROUND($D217*INDEX('🔖 배합비 참조'!$B$2:$CE$83,MATCH("식물성기름혼합제제(황색)",'🔖 배합비 참조'!$A$2:$A$83,0),MATCH($C217,'🔖 배합비 참조'!$B$1:$CE$1,0))/100,0),""))),"")</f>
        <v>0</v>
      </c>
      <c r="BE217" s="39" t="n">
        <f aca="false">IFERROR(IF($C217="","",IF($D217="","",IFERROR(ROUND($D217*INDEX('🔖 배합비 참조'!$B$2:$CE$83,MATCH("쑥가루(국내산)",'🔖 배합비 참조'!$A$2:$A$83,0),MATCH($C217,'🔖 배합비 참조'!$B$1:$CE$1,0))/100,0),""))),"")</f>
        <v>0</v>
      </c>
      <c r="BF217" s="39" t="n">
        <f aca="false">IFERROR(IF($C217="","",IF($D217="","",IFERROR(ROUND($D217*INDEX('🔖 배합비 참조'!$B$2:$CE$83,MATCH("아몬드슬라이스",'🔖 배합비 참조'!$A$2:$A$83,0),MATCH($C217,'🔖 배합비 참조'!$B$1:$CE$1,0))/100,0),""))),"")</f>
        <v>0</v>
      </c>
      <c r="BG217" s="39" t="n">
        <f aca="false">IFERROR(IF($C217="","",IF($D217="","",IFERROR(ROUND($D217*INDEX('🔖 배합비 참조'!$B$2:$CE$83,MATCH("알룰로오스(국내산)",'🔖 배합비 참조'!$A$2:$A$83,0),MATCH($C217,'🔖 배합비 참조'!$B$1:$CE$1,0))/100,0),""))),"")</f>
        <v>0</v>
      </c>
      <c r="BH217" s="39" t="n">
        <f aca="false">IFERROR(IF($C217="","",IF($D217="","",IFERROR(ROUND($D217*INDEX('🔖 배합비 참조'!$B$2:$CE$83,MATCH("연유",'🔖 배합비 참조'!$A$2:$A$83,0),MATCH($C217,'🔖 배합비 참조'!$B$1:$CE$1,0))/100,0),""))),"")</f>
        <v>1</v>
      </c>
      <c r="BI217" s="39" t="n">
        <f aca="false">IFERROR(IF($C217="","",IF($D217="","",IFERROR(ROUND($D217*INDEX('🔖 배합비 참조'!$B$2:$CE$83,MATCH("옥수수전분",'🔖 배합비 참조'!$A$2:$A$83,0),MATCH($C217,'🔖 배합비 참조'!$B$1:$CE$1,0))/100,0),""))),"")</f>
        <v>0</v>
      </c>
      <c r="BJ217" s="39" t="n">
        <f aca="false">IFERROR(IF($C217="","",IF($D217="","",IFERROR(ROUND($D217*INDEX('🔖 배합비 참조'!$B$2:$CE$83,MATCH("완두배기",'🔖 배합비 참조'!$A$2:$A$83,0),MATCH($C217,'🔖 배합비 참조'!$B$1:$CE$1,0))/100,0),""))),"")</f>
        <v>0</v>
      </c>
      <c r="BK217" s="39" t="n">
        <f aca="false">IFERROR(IF($C217="","",IF($D217="","",IFERROR(ROUND($D217*INDEX('🔖 배합비 참조'!$B$2:$CE$83,MATCH("우유(국내산)",'🔖 배합비 참조'!$A$2:$A$83,0),MATCH($C217,'🔖 배합비 참조'!$B$1:$CE$1,0))/100,0),""))),"")</f>
        <v>0</v>
      </c>
      <c r="BL217" s="39" t="n">
        <f aca="false">IFERROR(IF($C217="","",IF($D217="","",IFERROR(ROUND($D217*INDEX('🔖 배합비 참조'!$B$2:$CE$83,MATCH("자색고구마가루(중국산)",'🔖 배합비 참조'!$A$2:$A$83,0),MATCH($C217,'🔖 배합비 참조'!$B$1:$CE$1,0))/100,0),""))),"")</f>
        <v>0</v>
      </c>
      <c r="BM217" s="39" t="n">
        <f aca="false">IFERROR(IF($C217="","",IF($D217="","",IFERROR(ROUND($D217*INDEX('🔖 배합비 참조'!$B$2:$CE$83,MATCH("자연치즈(체다치즈)",'🔖 배합비 참조'!$A$2:$A$83,0),MATCH($C217,'🔖 배합비 참조'!$B$1:$CE$1,0))/100,0),""))),"")</f>
        <v>0</v>
      </c>
      <c r="BN217" s="39" t="n">
        <f aca="false">IFERROR(IF($C217="","",IF($D217="","",IFERROR(ROUND($D217*INDEX('🔖 배합비 참조'!$B$2:$CE$83,MATCH("정제수",'🔖 배합비 참조'!$A$2:$A$83,0),MATCH($C217,'🔖 배합비 참조'!$B$1:$CE$1,0))/100,0),""))),"")</f>
        <v>3</v>
      </c>
      <c r="BO217" s="39" t="n">
        <f aca="false">IFERROR(IF($C217="","",IF($D217="","",IFERROR(ROUND($D217*INDEX('🔖 배합비 참조'!$B$2:$CE$83,MATCH("젤라틴",'🔖 배합비 참조'!$A$2:$A$83,0),MATCH($C217,'🔖 배합비 참조'!$B$1:$CE$1,0))/100,0),""))),"")</f>
        <v>0</v>
      </c>
      <c r="BP217" s="39" t="n">
        <f aca="false">IFERROR(IF($C217="","",IF($D217="","",IFERROR(ROUND($D217*INDEX('🔖 배합비 참조'!$B$2:$CE$83,MATCH("조림류(백옥앙금)",'🔖 배합비 참조'!$A$2:$A$83,0),MATCH($C217,'🔖 배합비 참조'!$B$1:$CE$1,0))/100,0),""))),"")</f>
        <v>11</v>
      </c>
      <c r="BQ217" s="39" t="n">
        <f aca="false">IFERROR(IF($C217="","",IF($D217="","",IFERROR(ROUND($D217*INDEX('🔖 배합비 참조'!$B$2:$CE$83,MATCH("조림류(통팥앙금)",'🔖 배합비 참조'!$A$2:$A$83,0),MATCH($C217,'🔖 배합비 참조'!$B$1:$CE$1,0))/100,0),""))),"")</f>
        <v>0</v>
      </c>
      <c r="BR217" s="39" t="n">
        <f aca="false">IFERROR(IF($C217="","",IF($D217="","",IFERROR(ROUND($D217*INDEX('🔖 배합비 참조'!$B$2:$CE$83,MATCH("준초콜릿(외국산)",'🔖 배합비 참조'!$A$2:$A$83,0),MATCH($C217,'🔖 배합비 참조'!$B$1:$CE$1,0))/100,0),""))),"")</f>
        <v>0</v>
      </c>
      <c r="BS217" s="39" t="n">
        <f aca="false">IFERROR(IF($C217="","",IF($D217="","",IFERROR(ROUND($D217*INDEX('🔖 배합비 참조'!$B$2:$CE$83,MATCH("중력분",'🔖 배합비 참조'!$A$2:$A$83,0),MATCH($C217,'🔖 배합비 참조'!$B$1:$CE$1,0))/100,0),""))),"")</f>
        <v>0</v>
      </c>
      <c r="BT217" s="39" t="n">
        <f aca="false">IFERROR(IF($C217="","",IF($D217="","",IFERROR(ROUND($D217*INDEX('🔖 배합비 참조'!$B$2:$CE$83,MATCH("참깨(인도산,나이지리아산,탄자니아산,미얀마산)",'🔖 배합비 참조'!$A$2:$A$83,0),MATCH($C217,'🔖 배합비 참조'!$B$1:$CE$1,0))/100,0),""))),"")</f>
        <v>0</v>
      </c>
      <c r="BU217" s="39" t="n">
        <f aca="false">IFERROR(IF($C217="","",IF($D217="","",IFERROR(ROUND($D217*INDEX('🔖 배합비 참조'!$B$2:$CE$83,MATCH("찹쌀(국내산)",'🔖 배합비 참조'!$A$2:$A$83,0),MATCH($C217,'🔖 배합비 참조'!$B$1:$CE$1,0))/100,0),""))),"")</f>
        <v>59</v>
      </c>
      <c r="BV217" s="39" t="n">
        <f aca="false">IFERROR(IF($C217="","",IF($D217="","",IFERROR(ROUND($D217*INDEX('🔖 배합비 참조'!$B$2:$CE$83,MATCH("천일염",'🔖 배합비 참조'!$A$2:$A$83,0),MATCH($C217,'🔖 배합비 참조'!$B$1:$CE$1,0))/100,0),""))),"")</f>
        <v>0</v>
      </c>
      <c r="BW217" s="39" t="n">
        <f aca="false">IFERROR(IF($C217="","",IF($D217="","",IFERROR(ROUND($D217*INDEX('🔖 배합비 참조'!$B$2:$CE$83,MATCH("치즈 [크림치즈]",'🔖 배합비 참조'!$A$2:$A$83,0),MATCH($C217,'🔖 배합비 참조'!$B$1:$CE$1,0))/100,0),""))),"")</f>
        <v>7</v>
      </c>
      <c r="BX217" s="39" t="n">
        <f aca="false">IFERROR(IF($C217="","",IF($D217="","",IFERROR(ROUND($D217*INDEX('🔖 배합비 참조'!$B$2:$CE$83,MATCH("코코아가공품류(코코아분말)",'🔖 배합비 참조'!$A$2:$A$83,0),MATCH($C217,'🔖 배합비 참조'!$B$1:$CE$1,0))/100,0),""))),"")</f>
        <v>0</v>
      </c>
      <c r="BY217" s="39" t="n">
        <f aca="false">IFERROR(IF($C217="","",IF($D217="","",IFERROR(ROUND($D217*INDEX('🔖 배합비 참조'!$B$2:$CE$83,MATCH("콩기름(대두유)",'🔖 배합비 참조'!$A$2:$A$83,0),MATCH($C217,'🔖 배합비 참조'!$B$1:$CE$1,0))/100,0),""))),"")</f>
        <v>0</v>
      </c>
      <c r="BZ217" s="39" t="n">
        <f aca="false">IFERROR(IF($C217="","",IF($D217="","",IFERROR(ROUND($D217*INDEX('🔖 배합비 참조'!$B$2:$CE$83,MATCH("해바라기씨앗",'🔖 배합비 참조'!$A$2:$A$83,0),MATCH($C217,'🔖 배합비 참조'!$B$1:$CE$1,0))/100,0),""))),"")</f>
        <v>0</v>
      </c>
      <c r="CA217" s="39" t="n">
        <f aca="false">IFERROR(IF($C217="","",IF($D217="","",IFERROR(ROUND($D217*INDEX('🔖 배합비 참조'!$B$2:$CE$83,MATCH("현미(국내산)",'🔖 배합비 참조'!$A$2:$A$83,0),MATCH($C217,'🔖 배합비 참조'!$B$1:$CE$1,0))/100,0),""))),"")</f>
        <v>0</v>
      </c>
      <c r="CB217" s="39" t="n">
        <f aca="false">IFERROR(IF($C217="","",IF($D217="","",IFERROR(ROUND($D217*INDEX('🔖 배합비 참조'!$B$2:$CE$83,MATCH("현미멥쌀(국내산)",'🔖 배합비 참조'!$A$2:$A$83,0),MATCH($C217,'🔖 배합비 참조'!$B$1:$CE$1,0))/100,0),""))),"")</f>
        <v>0</v>
      </c>
      <c r="CC217" s="39" t="n">
        <f aca="false">IFERROR(IF($C217="","",IF($D217="","",IFERROR(ROUND($D217*INDEX('🔖 배합비 참조'!$B$2:$CE$83,MATCH("호두분태(미국산)",'🔖 배합비 참조'!$A$2:$A$83,0),MATCH($C217,'🔖 배합비 참조'!$B$1:$CE$1,0))/100,0),""))),"")</f>
        <v>0</v>
      </c>
      <c r="CD217" s="39" t="n">
        <f aca="false">IFERROR(IF($C217="","",IF($D217="","",IFERROR(ROUND($D217*INDEX('🔖 배합비 참조'!$B$2:$CE$83,MATCH("호박씨앗(외국산)",'🔖 배합비 참조'!$A$2:$A$83,0),MATCH($C217,'🔖 배합비 참조'!$B$1:$CE$1,0))/100,0),""))),"")</f>
        <v>0</v>
      </c>
      <c r="CE217" s="39" t="n">
        <f aca="false">IFERROR(IF($C217="","",IF($D217="","",IFERROR(ROUND($D217*INDEX('🔖 배합비 참조'!$B$2:$CE$83,MATCH("혼합제제(떡용에스텔)",'🔖 배합비 참조'!$A$2:$A$83,0),MATCH($C217,'🔖 배합비 참조'!$B$1:$CE$1,0))/100,0),""))),"")</f>
        <v>0</v>
      </c>
      <c r="CF217" s="39" t="n">
        <f aca="false">IFERROR(IF($C217="","",IF($D217="","",IFERROR(ROUND($D217*INDEX('🔖 배합비 참조'!$B$2:$CE$83,MATCH("혼합제제(스테비아)",'🔖 배합비 참조'!$A$2:$A$83,0),MATCH($C217,'🔖 배합비 참조'!$B$1:$CE$1,0))/100,0),""))),"")</f>
        <v>0</v>
      </c>
      <c r="CG217" s="39" t="n">
        <f aca="false">IFERROR(IF($C217="","",IF($D217="","",IFERROR(ROUND($D217*INDEX('🔖 배합비 참조'!$B$2:$CE$83,MATCH("화이트초콜릿",'🔖 배합비 참조'!$A$2:$A$83,0),MATCH($C217,'🔖 배합비 참조'!$B$1:$CE$1,0))/100,0),""))),"")</f>
        <v>2</v>
      </c>
      <c r="CH217" s="39" t="n">
        <f aca="false">IFERROR(IF($C217="","",IF($D217="","",IFERROR(ROUND($D217*INDEX('🔖 배합비 참조'!$B$2:$CE$83,MATCH("흑미찹쌀(국내산)",'🔖 배합비 참조'!$A$2:$A$83,0),MATCH($C217,'🔖 배합비 참조'!$B$1:$CE$1,0))/100,0),""))),"")</f>
        <v>0</v>
      </c>
      <c r="CI217" s="39" t="n">
        <f aca="false">IFERROR(IF($C217="","",IF($D217="","",IFERROR(ROUND($D217*INDEX('🔖 배합비 참조'!$B$2:$CE$83,MATCH("찰옥수수전분(미국산)",'🔖 배합비 참조'!$A$2:$A$83,0),MATCH($C217,'🔖 배합비 참조'!$B$1:$CE$1,0))/100,0),""))),"")</f>
        <v>0</v>
      </c>
      <c r="CJ217" s="40"/>
      <c r="CL217" s="1" t="s">
        <v>247</v>
      </c>
    </row>
    <row r="218" customFormat="false" ht="18" hidden="false" customHeight="true" outlineLevel="0" collapsed="false">
      <c r="A218" s="41" t="n">
        <v>214</v>
      </c>
      <c r="B218" s="36" t="n">
        <v>46061</v>
      </c>
      <c r="C218" s="37" t="s">
        <v>240</v>
      </c>
      <c r="D218" s="38" t="n">
        <v>110</v>
      </c>
      <c r="E218" s="17"/>
      <c r="F218" s="17"/>
      <c r="G218" s="42" t="n">
        <f aca="false">IFERROR(IF($C218="","",IF($D218="","",IFERROR(ROUND($D218*INDEX('🔖 배합비 참조'!$B$2:$CE$83,MATCH("간장",'🔖 배합비 참조'!$A$2:$A$83,0),MATCH($C218,'🔖 배합비 참조'!$B$1:$CE$1,0))/100,0),""))),"")</f>
        <v>0</v>
      </c>
      <c r="H218" s="42" t="n">
        <f aca="false">IFERROR(IF($C218="","",IF($D218="","",IFERROR(ROUND($D218*INDEX('🔖 배합비 참조'!$B$2:$CE$83,MATCH("강낭콩((울타리콩))",'🔖 배합비 참조'!$A$2:$A$83,0),MATCH($C218,'🔖 배합비 참조'!$B$1:$CE$1,0))/100,0),""))),"")</f>
        <v>0</v>
      </c>
      <c r="I218" s="42" t="n">
        <f aca="false">IFERROR(IF($C218="","",IF($D218="","",IFERROR(ROUND($D218*INDEX('🔖 배합비 참조'!$B$2:$CE$83,MATCH("건조딸기다이스(외국산)",'🔖 배합비 참조'!$A$2:$A$83,0),MATCH($C218,'🔖 배합비 참조'!$B$1:$CE$1,0))/100,0),""))),"")</f>
        <v>0</v>
      </c>
      <c r="J218" s="42" t="n">
        <f aca="false">IFERROR(IF($C218="","",IF($D218="","",IFERROR(ROUND($D218*INDEX('🔖 배합비 참조'!$B$2:$CE$83,MATCH("건포도",'🔖 배합비 참조'!$A$2:$A$83,0),MATCH($C218,'🔖 배합비 참조'!$B$1:$CE$1,0))/100,0),""))),"")</f>
        <v>0</v>
      </c>
      <c r="K218" s="42" t="n">
        <f aca="false">IFERROR(IF($C218="","",IF($D218="","",IFERROR(ROUND($D218*INDEX('🔖 배합비 참조'!$B$2:$CE$83,MATCH("건호박채(중국산)",'🔖 배합비 참조'!$A$2:$A$83,0),MATCH($C218,'🔖 배합비 참조'!$B$1:$CE$1,0))/100,0),""))),"")</f>
        <v>0</v>
      </c>
      <c r="L218" s="42" t="n">
        <f aca="false">IFERROR(IF($C218="","",IF($D218="","",IFERROR(ROUND($D218*INDEX('🔖 배합비 참조'!$B$2:$CE$83,MATCH("검정깨(흑임자)",'🔖 배합비 참조'!$A$2:$A$83,0),MATCH($C218,'🔖 배합비 참조'!$B$1:$CE$1,0))/100,0),""))),"")</f>
        <v>0</v>
      </c>
      <c r="M218" s="42" t="n">
        <f aca="false">IFERROR(IF($C218="","",IF($D218="","",IFERROR(ROUND($D218*INDEX('🔖 배합비 참조'!$B$2:$CE$83,MATCH("검정콩",'🔖 배합비 참조'!$A$2:$A$83,0),MATCH($C218,'🔖 배합비 참조'!$B$1:$CE$1,0))/100,0),""))),"")</f>
        <v>0</v>
      </c>
      <c r="N218" s="42" t="n">
        <f aca="false">IFERROR(IF($C218="","",IF($D218="","",IFERROR(ROUND($D218*INDEX('🔖 배합비 참조'!$B$2:$CE$83,MATCH("계피가루",'🔖 배합비 참조'!$A$2:$A$83,0),MATCH($C218,'🔖 배합비 참조'!$B$1:$CE$1,0))/100,0),""))),"")</f>
        <v>0</v>
      </c>
      <c r="O218" s="42" t="n">
        <f aca="false">IFERROR(IF($C218="","",IF($D218="","",IFERROR(ROUND($D218*INDEX('🔖 배합비 참조'!$B$2:$CE$83,MATCH("고구마가루",'🔖 배합비 참조'!$A$2:$A$83,0),MATCH($C218,'🔖 배합비 참조'!$B$1:$CE$1,0))/100,0),""))),"")</f>
        <v>0</v>
      </c>
      <c r="P218" s="42" t="n">
        <f aca="false">IFERROR(IF($C218="","",IF($D218="","",IFERROR(ROUND($D218*INDEX('🔖 배합비 참조'!$B$2:$CE$83,MATCH("고구마무스",'🔖 배합비 참조'!$A$2:$A$83,0),MATCH($C218,'🔖 배합비 참조'!$B$1:$CE$1,0))/100,0),""))),"")</f>
        <v>0</v>
      </c>
      <c r="Q218" s="42" t="n">
        <f aca="false">IFERROR(IF($C218="","",IF($D218="","",IFERROR(ROUND($D218*INDEX('🔖 배합비 참조'!$B$2:$CE$83,MATCH("고려엉겅퀴((곤드레)국내산)",'🔖 배합비 참조'!$A$2:$A$83,0),MATCH($C218,'🔖 배합비 참조'!$B$1:$CE$1,0))/100,0),""))),"")</f>
        <v>0</v>
      </c>
      <c r="R218" s="42" t="n">
        <f aca="false">IFERROR(IF($C218="","",IF($D218="","",IFERROR(ROUND($D218*INDEX('🔖 배합비 참조'!$B$2:$CE$83,MATCH("기타가공품(복분자가루)",'🔖 배합비 참조'!$A$2:$A$83,0),MATCH($C218,'🔖 배합비 참조'!$B$1:$CE$1,0))/100,0),""))),"")</f>
        <v>0</v>
      </c>
      <c r="S218" s="42" t="n">
        <f aca="false">IFERROR(IF($C218="","",IF($D218="","",IFERROR(ROUND($D218*INDEX('🔖 배합비 참조'!$B$2:$CE$83,MATCH("기타가공품(슈퍼소프트엠)",'🔖 배합비 참조'!$A$2:$A$83,0),MATCH($C218,'🔖 배합비 참조'!$B$1:$CE$1,0))/100,0),""))),"")</f>
        <v>0</v>
      </c>
      <c r="T218" s="42" t="n">
        <f aca="false">IFERROR(IF($C218="","",IF($D218="","",IFERROR(ROUND($D218*INDEX('🔖 배합비 참조'!$B$2:$CE$83,MATCH("기타가공품(파인소프트 E-티)",'🔖 배합비 참조'!$A$2:$A$83,0),MATCH($C218,'🔖 배합비 참조'!$B$1:$CE$1,0))/100,0),""))),"")</f>
        <v>0</v>
      </c>
      <c r="U218" s="42" t="n">
        <f aca="false">IFERROR(IF($C218="","",IF($D218="","",IFERROR(ROUND($D218*INDEX('🔖 배합비 참조'!$B$2:$CE$83,MATCH("기타가공품(프리미엄카스테라가루)",'🔖 배합비 참조'!$A$2:$A$83,0),MATCH($C218,'🔖 배합비 참조'!$B$1:$CE$1,0))/100,0),""))),"")</f>
        <v>3</v>
      </c>
      <c r="V218" s="42" t="n">
        <f aca="false">IFERROR(IF($C218="","",IF($D218="","",IFERROR(ROUND($D218*INDEX('🔖 배합비 참조'!$B$2:$CE$83,MATCH("기타가공품(흑임자가루)",'🔖 배합비 참조'!$A$2:$A$83,0),MATCH($C218,'🔖 배합비 참조'!$B$1:$CE$1,0))/100,0),""))),"")</f>
        <v>0</v>
      </c>
      <c r="W218" s="42" t="n">
        <f aca="false">IFERROR(IF($C218="","",IF($D218="","",IFERROR(ROUND($D218*INDEX('🔖 배합비 참조'!$B$2:$CE$83,MATCH("기타설탕(흑설탕)",'🔖 배합비 참조'!$A$2:$A$83,0),MATCH($C218,'🔖 배합비 참조'!$B$1:$CE$1,0))/100,0),""))),"")</f>
        <v>0</v>
      </c>
      <c r="X218" s="42" t="n">
        <f aca="false">IFERROR(IF($C218="","",IF($D218="","",IFERROR(ROUND($D218*INDEX('🔖 배합비 참조'!$B$2:$CE$83,MATCH("냉동쑥(국내산)",'🔖 배합비 참조'!$A$2:$A$83,0),MATCH($C218,'🔖 배합비 참조'!$B$1:$CE$1,0))/100,0),""))),"")</f>
        <v>0</v>
      </c>
      <c r="Y218" s="42" t="n">
        <f aca="false">IFERROR(IF($C218="","",IF($D218="","",IFERROR(ROUND($D218*INDEX('🔖 배합비 참조'!$B$2:$CE$83,MATCH("냉동증숙고구마(중국산)",'🔖 배합비 참조'!$A$2:$A$83,0),MATCH($C218,'🔖 배합비 참조'!$B$1:$CE$1,0))/100,0),""))),"")</f>
        <v>0</v>
      </c>
      <c r="Z218" s="42" t="n">
        <f aca="false">IFERROR(IF($C218="","",IF($D218="","",IFERROR(ROUND($D218*INDEX('🔖 배합비 참조'!$B$2:$CE$83,MATCH("녹차가루",'🔖 배합비 참조'!$A$2:$A$83,0),MATCH($C218,'🔖 배합비 참조'!$B$1:$CE$1,0))/100,0),""))),"")</f>
        <v>0</v>
      </c>
      <c r="AA218" s="42" t="n">
        <f aca="false">IFERROR(IF($C218="","",IF($D218="","",IFERROR(ROUND($D218*INDEX('🔖 배합비 참조'!$B$2:$CE$83,MATCH("다크초콜릿 컴파운드칩",'🔖 배합비 참조'!$A$2:$A$83,0),MATCH($C218,'🔖 배합비 참조'!$B$1:$CE$1,0))/100,0),""))),"")</f>
        <v>0</v>
      </c>
      <c r="AB218" s="42" t="n">
        <f aca="false">IFERROR(IF($C218="","",IF($D218="","",IFERROR(ROUND($D218*INDEX('🔖 배합비 참조'!$B$2:$CE$83,MATCH("단호박분말(중국산)",'🔖 배합비 참조'!$A$2:$A$83,0),MATCH($C218,'🔖 배합비 참조'!$B$1:$CE$1,0))/100,0),""))),"")</f>
        <v>0</v>
      </c>
      <c r="AC218" s="42" t="n">
        <f aca="false">IFERROR(IF($C218="","",IF($D218="","",IFERROR(ROUND($D218*INDEX('🔖 배합비 참조'!$B$2:$CE$83,MATCH("당류가공품(단호박농축액)",'🔖 배합비 참조'!$A$2:$A$83,0),MATCH($C218,'🔖 배합비 참조'!$B$1:$CE$1,0))/100,0),""))),"")</f>
        <v>0</v>
      </c>
      <c r="AD218" s="42" t="n">
        <f aca="false">IFERROR(IF($C218="","",IF($D218="","",IFERROR(ROUND($D218*INDEX('🔖 배합비 참조'!$B$2:$CE$83,MATCH("당류가공품(알룰로스,에리스리톨,스테비올배당체혼합)",'🔖 배합비 참조'!$A$2:$A$83,0),MATCH($C218,'🔖 배합비 참조'!$B$1:$CE$1,0))/100,0),""))),"")</f>
        <v>0</v>
      </c>
      <c r="AE218" s="42" t="n">
        <f aca="false">IFERROR(IF($C218="","",IF($D218="","",IFERROR(ROUND($D218*INDEX('🔖 배합비 참조'!$B$2:$CE$83,MATCH("당류가공품(알룰로스제로파우더)",'🔖 배합비 참조'!$A$2:$A$83,0),MATCH($C218,'🔖 배합비 참조'!$B$1:$CE$1,0))/100,0),""))),"")</f>
        <v>0</v>
      </c>
      <c r="AF218" s="42" t="n">
        <f aca="false">IFERROR(IF($C218="","",IF($D218="","",IFERROR(ROUND($D218*INDEX('🔖 배합비 참조'!$B$2:$CE$83,MATCH("당절임(완두배기)",'🔖 배합비 참조'!$A$2:$A$83,0),MATCH($C218,'🔖 배합비 참조'!$B$1:$CE$1,0))/100,0),""))),"")</f>
        <v>0</v>
      </c>
      <c r="AG218" s="42" t="n">
        <f aca="false">IFERROR(IF($C218="","",IF($D218="","",IFERROR(ROUND($D218*INDEX('🔖 배합비 참조'!$B$2:$CE$83,MATCH("대추농축액",'🔖 배합비 참조'!$A$2:$A$83,0),MATCH($C218,'🔖 배합비 참조'!$B$1:$CE$1,0))/100,0),""))),"")</f>
        <v>0</v>
      </c>
      <c r="AH218" s="42" t="n">
        <f aca="false">IFERROR(IF($C218="","",IF($D218="","",IFERROR(ROUND($D218*INDEX('🔖 배합비 참조'!$B$2:$CE$83,MATCH("대추채(국내산)",'🔖 배합비 참조'!$A$2:$A$83,0),MATCH($C218,'🔖 배합비 참조'!$B$1:$CE$1,0))/100,0),""))),"")</f>
        <v>0</v>
      </c>
      <c r="AI218" s="42" t="n">
        <f aca="false">IFERROR(IF($C218="","",IF($D218="","",IFERROR(ROUND($D218*INDEX('🔖 배합비 참조'!$B$2:$CE$83,MATCH("동부(미얀마산)",'🔖 배합비 참조'!$A$2:$A$83,0),MATCH($C218,'🔖 배합비 참조'!$B$1:$CE$1,0))/100,0),""))),"")</f>
        <v>0</v>
      </c>
      <c r="AJ218" s="42" t="n">
        <f aca="false">IFERROR(IF($C218="","",IF($D218="","",IFERROR(ROUND($D218*INDEX('🔖 배합비 참조'!$B$2:$CE$83,MATCH("두류가공품(백옥앙금)",'🔖 배합비 참조'!$A$2:$A$83,0),MATCH($C218,'🔖 배합비 참조'!$B$1:$CE$1,0))/100,0),""))),"")</f>
        <v>0</v>
      </c>
      <c r="AK218" s="42" t="n">
        <f aca="false">IFERROR(IF($C218="","",IF($D218="","",IFERROR(ROUND($D218*INDEX('🔖 배합비 참조'!$B$2:$CE$83,MATCH("두류가공품(콩고물)",'🔖 배합비 참조'!$A$2:$A$83,0),MATCH($C218,'🔖 배합비 참조'!$B$1:$CE$1,0))/100,0),""))),"")</f>
        <v>0</v>
      </c>
      <c r="AL218" s="42" t="n">
        <f aca="false">IFERROR(IF($C218="","",IF($D218="","",IFERROR(ROUND($D218*INDEX('🔖 배합비 참조'!$B$2:$CE$83,MATCH("두류가공품(통팥고물)",'🔖 배합비 참조'!$A$2:$A$83,0),MATCH($C218,'🔖 배합비 참조'!$B$1:$CE$1,0))/100,0),""))),"")</f>
        <v>0</v>
      </c>
      <c r="AM218" s="42" t="n">
        <f aca="false">IFERROR(IF($C218="","",IF($D218="","",IFERROR(ROUND($D218*INDEX('🔖 배합비 참조'!$B$2:$CE$83,MATCH("딸기레진",'🔖 배합비 참조'!$A$2:$A$83,0),MATCH($C218,'🔖 배합비 참조'!$B$1:$CE$1,0))/100,0),""))),"")</f>
        <v>4</v>
      </c>
      <c r="AN218" s="42" t="n">
        <f aca="false">IFERROR(IF($C218="","",IF($D218="","",IFERROR(ROUND($D218*INDEX('🔖 배합비 참조'!$B$2:$CE$83,MATCH("딸기분말(스트로우베리에이드(분말))",'🔖 배합비 참조'!$A$2:$A$83,0),MATCH($C218,'🔖 배합비 참조'!$B$1:$CE$1,0))/100,0),""))),"")</f>
        <v>0</v>
      </c>
      <c r="AO218" s="42" t="n">
        <f aca="false">IFERROR(IF($C218="","",IF($D218="","",IFERROR(ROUND($D218*INDEX('🔖 배합비 참조'!$B$2:$CE$83,MATCH("마스카포네치즈",'🔖 배합비 참조'!$A$2:$A$83,0),MATCH($C218,'🔖 배합비 참조'!$B$1:$CE$1,0))/100,0),""))),"")</f>
        <v>0</v>
      </c>
      <c r="AP218" s="42" t="n">
        <f aca="false">IFERROR(IF($C218="","",IF($D218="","",IFERROR(ROUND($D218*INDEX('🔖 배합비 참조'!$B$2:$CE$83,MATCH("마카다미아분태(호주산)",'🔖 배합비 참조'!$A$2:$A$83,0),MATCH($C218,'🔖 배합비 참조'!$B$1:$CE$1,0))/100,0),""))),"")</f>
        <v>0</v>
      </c>
      <c r="AQ218" s="42" t="n">
        <f aca="false">IFERROR(IF($C218="","",IF($D218="","",IFERROR(ROUND($D218*INDEX('🔖 배합비 참조'!$B$2:$CE$83,MATCH("멥쌀(국내산)",'🔖 배합비 참조'!$A$2:$A$83,0),MATCH($C218,'🔖 배합비 참조'!$B$1:$CE$1,0))/100,0),""))),"")</f>
        <v>0</v>
      </c>
      <c r="AR218" s="42" t="n">
        <f aca="false">IFERROR(IF($C218="","",IF($D218="","",IFERROR(ROUND($D218*INDEX('🔖 배합비 참조'!$B$2:$CE$83,MATCH("모시잎(국내산)",'🔖 배합비 참조'!$A$2:$A$83,0),MATCH($C218,'🔖 배합비 참조'!$B$1:$CE$1,0))/100,0),""))),"")</f>
        <v>0</v>
      </c>
      <c r="AS218" s="42" t="n">
        <f aca="false">IFERROR(IF($C218="","",IF($D218="","",IFERROR(ROUND($D218*INDEX('🔖 배합비 참조'!$B$2:$CE$83,MATCH("물엿(저당물엿)",'🔖 배합비 참조'!$A$2:$A$83,0),MATCH($C218,'🔖 배합비 참조'!$B$1:$CE$1,0))/100,0),""))),"")</f>
        <v>6</v>
      </c>
      <c r="AT218" s="42" t="n">
        <f aca="false">IFERROR(IF($C218="","",IF($D218="","",IFERROR(ROUND($D218*INDEX('🔖 배합비 참조'!$B$2:$CE$83,MATCH("밤다이스",'🔖 배합비 참조'!$A$2:$A$83,0),MATCH($C218,'🔖 배합비 참조'!$B$1:$CE$1,0))/100,0),""))),"")</f>
        <v>0</v>
      </c>
      <c r="AU218" s="42" t="n">
        <f aca="false">IFERROR(IF($C218="","",IF($D218="","",IFERROR(ROUND($D218*INDEX('🔖 배합비 참조'!$B$2:$CE$83,MATCH("변성전분(타피오카전분)",'🔖 배합비 참조'!$A$2:$A$83,0),MATCH($C218,'🔖 배합비 참조'!$B$1:$CE$1,0))/100,0),""))),"")</f>
        <v>0</v>
      </c>
      <c r="AV218" s="42" t="n">
        <f aca="false">IFERROR(IF($C218="","",IF($D218="","",IFERROR(ROUND($D218*INDEX('🔖 배합비 참조'!$B$2:$CE$83,MATCH("복음땅콩분태",'🔖 배합비 참조'!$A$2:$A$83,0),MATCH($C218,'🔖 배합비 참조'!$B$1:$CE$1,0))/100,0),""))),"")</f>
        <v>0</v>
      </c>
      <c r="AW218" s="42" t="n">
        <f aca="false">IFERROR(IF($C218="","",IF($D218="","",IFERROR(ROUND($D218*INDEX('🔖 배합비 참조'!$B$2:$CE$83,MATCH("사양벌꿀(국내산)",'🔖 배합비 참조'!$A$2:$A$83,0),MATCH($C218,'🔖 배합비 참조'!$B$1:$CE$1,0))/100,0),""))),"")</f>
        <v>0</v>
      </c>
      <c r="AX218" s="42" t="n">
        <f aca="false">IFERROR(IF($C218="","",IF($D218="","",IFERROR(ROUND($D218*INDEX('🔖 배합비 참조'!$B$2:$CE$83,MATCH("생크림",'🔖 배합비 참조'!$A$2:$A$83,0),MATCH($C218,'🔖 배합비 참조'!$B$1:$CE$1,0))/100,0),""))),"")</f>
        <v>7</v>
      </c>
      <c r="AY218" s="42" t="n">
        <f aca="false">IFERROR(IF($C218="","",IF($D218="","",IFERROR(ROUND($D218*INDEX('🔖 배합비 참조'!$B$2:$CE$83,MATCH("서양호박(국내산,뉴질랜드산)",'🔖 배합비 참조'!$A$2:$A$83,0),MATCH($C218,'🔖 배합비 참조'!$B$1:$CE$1,0))/100,0),""))),"")</f>
        <v>0</v>
      </c>
      <c r="AZ218" s="42" t="n">
        <f aca="false">IFERROR(IF($C218="","",IF($D218="","",IFERROR(ROUND($D218*INDEX('🔖 배합비 참조'!$B$2:$CE$83,MATCH("설탕",'🔖 배합비 참조'!$A$2:$A$83,0),MATCH($C218,'🔖 배합비 참조'!$B$1:$CE$1,0))/100,0),""))),"")</f>
        <v>2</v>
      </c>
      <c r="BA218" s="42" t="n">
        <f aca="false">IFERROR(IF($C218="","",IF($D218="","",IFERROR(ROUND($D218*INDEX('🔖 배합비 참조'!$B$2:$CE$83,MATCH("스트로우베리 에이드 후레쉬",'🔖 배합비 참조'!$A$2:$A$83,0),MATCH($C218,'🔖 배합비 참조'!$B$1:$CE$1,0))/100,0),""))),"")</f>
        <v>4</v>
      </c>
      <c r="BB218" s="42" t="n">
        <f aca="false">IFERROR(IF($C218="","",IF($D218="","",IFERROR(ROUND($D218*INDEX('🔖 배합비 참조'!$B$2:$CE$83,MATCH("식물성기름혼합제제(분홍)",'🔖 배합비 참조'!$A$2:$A$83,0),MATCH($C218,'🔖 배합비 참조'!$B$1:$CE$1,0))/100,0),""))),"")</f>
        <v>0</v>
      </c>
      <c r="BC218" s="42" t="n">
        <f aca="false">IFERROR(IF($C218="","",IF($D218="","",IFERROR(ROUND($D218*INDEX('🔖 배합비 참조'!$B$2:$CE$83,MATCH("식물성기름혼합제제(초록)",'🔖 배합비 참조'!$A$2:$A$83,0),MATCH($C218,'🔖 배합비 참조'!$B$1:$CE$1,0))/100,0),""))),"")</f>
        <v>0</v>
      </c>
      <c r="BD218" s="42" t="n">
        <f aca="false">IFERROR(IF($C218="","",IF($D218="","",IFERROR(ROUND($D218*INDEX('🔖 배합비 참조'!$B$2:$CE$83,MATCH("식물성기름혼합제제(황색)",'🔖 배합비 참조'!$A$2:$A$83,0),MATCH($C218,'🔖 배합비 참조'!$B$1:$CE$1,0))/100,0),""))),"")</f>
        <v>0</v>
      </c>
      <c r="BE218" s="42" t="n">
        <f aca="false">IFERROR(IF($C218="","",IF($D218="","",IFERROR(ROUND($D218*INDEX('🔖 배합비 참조'!$B$2:$CE$83,MATCH("쑥가루(국내산)",'🔖 배합비 참조'!$A$2:$A$83,0),MATCH($C218,'🔖 배합비 참조'!$B$1:$CE$1,0))/100,0),""))),"")</f>
        <v>0</v>
      </c>
      <c r="BF218" s="42" t="n">
        <f aca="false">IFERROR(IF($C218="","",IF($D218="","",IFERROR(ROUND($D218*INDEX('🔖 배합비 참조'!$B$2:$CE$83,MATCH("아몬드슬라이스",'🔖 배합비 참조'!$A$2:$A$83,0),MATCH($C218,'🔖 배합비 참조'!$B$1:$CE$1,0))/100,0),""))),"")</f>
        <v>0</v>
      </c>
      <c r="BG218" s="42" t="n">
        <f aca="false">IFERROR(IF($C218="","",IF($D218="","",IFERROR(ROUND($D218*INDEX('🔖 배합비 참조'!$B$2:$CE$83,MATCH("알룰로오스(국내산)",'🔖 배합비 참조'!$A$2:$A$83,0),MATCH($C218,'🔖 배합비 참조'!$B$1:$CE$1,0))/100,0),""))),"")</f>
        <v>0</v>
      </c>
      <c r="BH218" s="42" t="n">
        <f aca="false">IFERROR(IF($C218="","",IF($D218="","",IFERROR(ROUND($D218*INDEX('🔖 배합비 참조'!$B$2:$CE$83,MATCH("연유",'🔖 배합비 참조'!$A$2:$A$83,0),MATCH($C218,'🔖 배합비 참조'!$B$1:$CE$1,0))/100,0),""))),"")</f>
        <v>1</v>
      </c>
      <c r="BI218" s="42" t="n">
        <f aca="false">IFERROR(IF($C218="","",IF($D218="","",IFERROR(ROUND($D218*INDEX('🔖 배합비 참조'!$B$2:$CE$83,MATCH("옥수수전분",'🔖 배합비 참조'!$A$2:$A$83,0),MATCH($C218,'🔖 배합비 참조'!$B$1:$CE$1,0))/100,0),""))),"")</f>
        <v>0</v>
      </c>
      <c r="BJ218" s="42" t="n">
        <f aca="false">IFERROR(IF($C218="","",IF($D218="","",IFERROR(ROUND($D218*INDEX('🔖 배합비 참조'!$B$2:$CE$83,MATCH("완두배기",'🔖 배합비 참조'!$A$2:$A$83,0),MATCH($C218,'🔖 배합비 참조'!$B$1:$CE$1,0))/100,0),""))),"")</f>
        <v>0</v>
      </c>
      <c r="BK218" s="42" t="n">
        <f aca="false">IFERROR(IF($C218="","",IF($D218="","",IFERROR(ROUND($D218*INDEX('🔖 배합비 참조'!$B$2:$CE$83,MATCH("우유(국내산)",'🔖 배합비 참조'!$A$2:$A$83,0),MATCH($C218,'🔖 배합비 참조'!$B$1:$CE$1,0))/100,0),""))),"")</f>
        <v>0</v>
      </c>
      <c r="BL218" s="42" t="n">
        <f aca="false">IFERROR(IF($C218="","",IF($D218="","",IFERROR(ROUND($D218*INDEX('🔖 배합비 참조'!$B$2:$CE$83,MATCH("자색고구마가루(중국산)",'🔖 배합비 참조'!$A$2:$A$83,0),MATCH($C218,'🔖 배합비 참조'!$B$1:$CE$1,0))/100,0),""))),"")</f>
        <v>0</v>
      </c>
      <c r="BM218" s="42" t="n">
        <f aca="false">IFERROR(IF($C218="","",IF($D218="","",IFERROR(ROUND($D218*INDEX('🔖 배합비 참조'!$B$2:$CE$83,MATCH("자연치즈(체다치즈)",'🔖 배합비 참조'!$A$2:$A$83,0),MATCH($C218,'🔖 배합비 참조'!$B$1:$CE$1,0))/100,0),""))),"")</f>
        <v>0</v>
      </c>
      <c r="BN218" s="42" t="n">
        <f aca="false">IFERROR(IF($C218="","",IF($D218="","",IFERROR(ROUND($D218*INDEX('🔖 배합비 참조'!$B$2:$CE$83,MATCH("정제수",'🔖 배합비 참조'!$A$2:$A$83,0),MATCH($C218,'🔖 배합비 참조'!$B$1:$CE$1,0))/100,0),""))),"")</f>
        <v>3</v>
      </c>
      <c r="BO218" s="42" t="n">
        <f aca="false">IFERROR(IF($C218="","",IF($D218="","",IFERROR(ROUND($D218*INDEX('🔖 배합비 참조'!$B$2:$CE$83,MATCH("젤라틴",'🔖 배합비 참조'!$A$2:$A$83,0),MATCH($C218,'🔖 배합비 참조'!$B$1:$CE$1,0))/100,0),""))),"")</f>
        <v>0</v>
      </c>
      <c r="BP218" s="42" t="n">
        <f aca="false">IFERROR(IF($C218="","",IF($D218="","",IFERROR(ROUND($D218*INDEX('🔖 배합비 참조'!$B$2:$CE$83,MATCH("조림류(백옥앙금)",'🔖 배합비 참조'!$A$2:$A$83,0),MATCH($C218,'🔖 배합비 참조'!$B$1:$CE$1,0))/100,0),""))),"")</f>
        <v>11</v>
      </c>
      <c r="BQ218" s="42" t="n">
        <f aca="false">IFERROR(IF($C218="","",IF($D218="","",IFERROR(ROUND($D218*INDEX('🔖 배합비 참조'!$B$2:$CE$83,MATCH("조림류(통팥앙금)",'🔖 배합비 참조'!$A$2:$A$83,0),MATCH($C218,'🔖 배합비 참조'!$B$1:$CE$1,0))/100,0),""))),"")</f>
        <v>0</v>
      </c>
      <c r="BR218" s="42" t="n">
        <f aca="false">IFERROR(IF($C218="","",IF($D218="","",IFERROR(ROUND($D218*INDEX('🔖 배합비 참조'!$B$2:$CE$83,MATCH("준초콜릿(외국산)",'🔖 배합비 참조'!$A$2:$A$83,0),MATCH($C218,'🔖 배합비 참조'!$B$1:$CE$1,0))/100,0),""))),"")</f>
        <v>0</v>
      </c>
      <c r="BS218" s="42" t="n">
        <f aca="false">IFERROR(IF($C218="","",IF($D218="","",IFERROR(ROUND($D218*INDEX('🔖 배합비 참조'!$B$2:$CE$83,MATCH("중력분",'🔖 배합비 참조'!$A$2:$A$83,0),MATCH($C218,'🔖 배합비 참조'!$B$1:$CE$1,0))/100,0),""))),"")</f>
        <v>0</v>
      </c>
      <c r="BT218" s="42" t="n">
        <f aca="false">IFERROR(IF($C218="","",IF($D218="","",IFERROR(ROUND($D218*INDEX('🔖 배합비 참조'!$B$2:$CE$83,MATCH("참깨(인도산,나이지리아산,탄자니아산,미얀마산)",'🔖 배합비 참조'!$A$2:$A$83,0),MATCH($C218,'🔖 배합비 참조'!$B$1:$CE$1,0))/100,0),""))),"")</f>
        <v>0</v>
      </c>
      <c r="BU218" s="42" t="n">
        <f aca="false">IFERROR(IF($C218="","",IF($D218="","",IFERROR(ROUND($D218*INDEX('🔖 배합비 참조'!$B$2:$CE$83,MATCH("찹쌀(국내산)",'🔖 배합비 참조'!$A$2:$A$83,0),MATCH($C218,'🔖 배합비 참조'!$B$1:$CE$1,0))/100,0),""))),"")</f>
        <v>59</v>
      </c>
      <c r="BV218" s="42" t="n">
        <f aca="false">IFERROR(IF($C218="","",IF($D218="","",IFERROR(ROUND($D218*INDEX('🔖 배합비 참조'!$B$2:$CE$83,MATCH("천일염",'🔖 배합비 참조'!$A$2:$A$83,0),MATCH($C218,'🔖 배합비 참조'!$B$1:$CE$1,0))/100,0),""))),"")</f>
        <v>0</v>
      </c>
      <c r="BW218" s="42" t="n">
        <f aca="false">IFERROR(IF($C218="","",IF($D218="","",IFERROR(ROUND($D218*INDEX('🔖 배합비 참조'!$B$2:$CE$83,MATCH("치즈 [크림치즈]",'🔖 배합비 참조'!$A$2:$A$83,0),MATCH($C218,'🔖 배합비 참조'!$B$1:$CE$1,0))/100,0),""))),"")</f>
        <v>7</v>
      </c>
      <c r="BX218" s="42" t="n">
        <f aca="false">IFERROR(IF($C218="","",IF($D218="","",IFERROR(ROUND($D218*INDEX('🔖 배합비 참조'!$B$2:$CE$83,MATCH("코코아가공품류(코코아분말)",'🔖 배합비 참조'!$A$2:$A$83,0),MATCH($C218,'🔖 배합비 참조'!$B$1:$CE$1,0))/100,0),""))),"")</f>
        <v>0</v>
      </c>
      <c r="BY218" s="42" t="n">
        <f aca="false">IFERROR(IF($C218="","",IF($D218="","",IFERROR(ROUND($D218*INDEX('🔖 배합비 참조'!$B$2:$CE$83,MATCH("콩기름(대두유)",'🔖 배합비 참조'!$A$2:$A$83,0),MATCH($C218,'🔖 배합비 참조'!$B$1:$CE$1,0))/100,0),""))),"")</f>
        <v>0</v>
      </c>
      <c r="BZ218" s="42" t="n">
        <f aca="false">IFERROR(IF($C218="","",IF($D218="","",IFERROR(ROUND($D218*INDEX('🔖 배합비 참조'!$B$2:$CE$83,MATCH("해바라기씨앗",'🔖 배합비 참조'!$A$2:$A$83,0),MATCH($C218,'🔖 배합비 참조'!$B$1:$CE$1,0))/100,0),""))),"")</f>
        <v>0</v>
      </c>
      <c r="CA218" s="42" t="n">
        <f aca="false">IFERROR(IF($C218="","",IF($D218="","",IFERROR(ROUND($D218*INDEX('🔖 배합비 참조'!$B$2:$CE$83,MATCH("현미(국내산)",'🔖 배합비 참조'!$A$2:$A$83,0),MATCH($C218,'🔖 배합비 참조'!$B$1:$CE$1,0))/100,0),""))),"")</f>
        <v>0</v>
      </c>
      <c r="CB218" s="42" t="n">
        <f aca="false">IFERROR(IF($C218="","",IF($D218="","",IFERROR(ROUND($D218*INDEX('🔖 배합비 참조'!$B$2:$CE$83,MATCH("현미멥쌀(국내산)",'🔖 배합비 참조'!$A$2:$A$83,0),MATCH($C218,'🔖 배합비 참조'!$B$1:$CE$1,0))/100,0),""))),"")</f>
        <v>0</v>
      </c>
      <c r="CC218" s="42" t="n">
        <f aca="false">IFERROR(IF($C218="","",IF($D218="","",IFERROR(ROUND($D218*INDEX('🔖 배합비 참조'!$B$2:$CE$83,MATCH("호두분태(미국산)",'🔖 배합비 참조'!$A$2:$A$83,0),MATCH($C218,'🔖 배합비 참조'!$B$1:$CE$1,0))/100,0),""))),"")</f>
        <v>0</v>
      </c>
      <c r="CD218" s="42" t="n">
        <f aca="false">IFERROR(IF($C218="","",IF($D218="","",IFERROR(ROUND($D218*INDEX('🔖 배합비 참조'!$B$2:$CE$83,MATCH("호박씨앗(외국산)",'🔖 배합비 참조'!$A$2:$A$83,0),MATCH($C218,'🔖 배합비 참조'!$B$1:$CE$1,0))/100,0),""))),"")</f>
        <v>0</v>
      </c>
      <c r="CE218" s="42" t="n">
        <f aca="false">IFERROR(IF($C218="","",IF($D218="","",IFERROR(ROUND($D218*INDEX('🔖 배합비 참조'!$B$2:$CE$83,MATCH("혼합제제(떡용에스텔)",'🔖 배합비 참조'!$A$2:$A$83,0),MATCH($C218,'🔖 배합비 참조'!$B$1:$CE$1,0))/100,0),""))),"")</f>
        <v>0</v>
      </c>
      <c r="CF218" s="42" t="n">
        <f aca="false">IFERROR(IF($C218="","",IF($D218="","",IFERROR(ROUND($D218*INDEX('🔖 배합비 참조'!$B$2:$CE$83,MATCH("혼합제제(스테비아)",'🔖 배합비 참조'!$A$2:$A$83,0),MATCH($C218,'🔖 배합비 참조'!$B$1:$CE$1,0))/100,0),""))),"")</f>
        <v>0</v>
      </c>
      <c r="CG218" s="42" t="n">
        <f aca="false">IFERROR(IF($C218="","",IF($D218="","",IFERROR(ROUND($D218*INDEX('🔖 배합비 참조'!$B$2:$CE$83,MATCH("화이트초콜릿",'🔖 배합비 참조'!$A$2:$A$83,0),MATCH($C218,'🔖 배합비 참조'!$B$1:$CE$1,0))/100,0),""))),"")</f>
        <v>2</v>
      </c>
      <c r="CH218" s="42" t="n">
        <f aca="false">IFERROR(IF($C218="","",IF($D218="","",IFERROR(ROUND($D218*INDEX('🔖 배합비 참조'!$B$2:$CE$83,MATCH("흑미찹쌀(국내산)",'🔖 배합비 참조'!$A$2:$A$83,0),MATCH($C218,'🔖 배합비 참조'!$B$1:$CE$1,0))/100,0),""))),"")</f>
        <v>0</v>
      </c>
      <c r="CI218" s="42" t="n">
        <f aca="false">IFERROR(IF($C218="","",IF($D218="","",IFERROR(ROUND($D218*INDEX('🔖 배합비 참조'!$B$2:$CE$83,MATCH("찰옥수수전분(미국산)",'🔖 배합비 참조'!$A$2:$A$83,0),MATCH($C218,'🔖 배합비 참조'!$B$1:$CE$1,0))/100,0),""))),"")</f>
        <v>0</v>
      </c>
      <c r="CJ218" s="40"/>
      <c r="CL218" s="1" t="s">
        <v>247</v>
      </c>
    </row>
    <row r="219" customFormat="false" ht="18" hidden="false" customHeight="true" outlineLevel="0" collapsed="false">
      <c r="A219" s="35" t="n">
        <v>215</v>
      </c>
      <c r="B219" s="36" t="n">
        <v>46061</v>
      </c>
      <c r="C219" s="37" t="s">
        <v>246</v>
      </c>
      <c r="D219" s="38" t="n">
        <v>220</v>
      </c>
      <c r="E219" s="13"/>
      <c r="F219" s="13"/>
      <c r="G219" s="39" t="n">
        <f aca="false">IFERROR(IF($C219="","",IF($D219="","",IFERROR(ROUND($D219*INDEX('🔖 배합비 참조'!$B$2:$CE$83,MATCH("간장",'🔖 배합비 참조'!$A$2:$A$83,0),MATCH($C219,'🔖 배합비 참조'!$B$1:$CE$1,0))/100,0),""))),"")</f>
        <v>0</v>
      </c>
      <c r="H219" s="39" t="n">
        <f aca="false">IFERROR(IF($C219="","",IF($D219="","",IFERROR(ROUND($D219*INDEX('🔖 배합비 참조'!$B$2:$CE$83,MATCH("강낭콩((울타리콩))",'🔖 배합비 참조'!$A$2:$A$83,0),MATCH($C219,'🔖 배합비 참조'!$B$1:$CE$1,0))/100,0),""))),"")</f>
        <v>0</v>
      </c>
      <c r="I219" s="39" t="n">
        <f aca="false">IFERROR(IF($C219="","",IF($D219="","",IFERROR(ROUND($D219*INDEX('🔖 배합비 참조'!$B$2:$CE$83,MATCH("건조딸기다이스(외국산)",'🔖 배합비 참조'!$A$2:$A$83,0),MATCH($C219,'🔖 배합비 참조'!$B$1:$CE$1,0))/100,0),""))),"")</f>
        <v>0</v>
      </c>
      <c r="J219" s="39" t="n">
        <f aca="false">IFERROR(IF($C219="","",IF($D219="","",IFERROR(ROUND($D219*INDEX('🔖 배합비 참조'!$B$2:$CE$83,MATCH("건포도",'🔖 배합비 참조'!$A$2:$A$83,0),MATCH($C219,'🔖 배합비 참조'!$B$1:$CE$1,0))/100,0),""))),"")</f>
        <v>0</v>
      </c>
      <c r="K219" s="39" t="n">
        <f aca="false">IFERROR(IF($C219="","",IF($D219="","",IFERROR(ROUND($D219*INDEX('🔖 배합비 참조'!$B$2:$CE$83,MATCH("건호박채(중국산)",'🔖 배합비 참조'!$A$2:$A$83,0),MATCH($C219,'🔖 배합비 참조'!$B$1:$CE$1,0))/100,0),""))),"")</f>
        <v>0</v>
      </c>
      <c r="L219" s="39" t="n">
        <f aca="false">IFERROR(IF($C219="","",IF($D219="","",IFERROR(ROUND($D219*INDEX('🔖 배합비 참조'!$B$2:$CE$83,MATCH("검정깨(흑임자)",'🔖 배합비 참조'!$A$2:$A$83,0),MATCH($C219,'🔖 배합비 참조'!$B$1:$CE$1,0))/100,0),""))),"")</f>
        <v>0</v>
      </c>
      <c r="M219" s="39" t="n">
        <f aca="false">IFERROR(IF($C219="","",IF($D219="","",IFERROR(ROUND($D219*INDEX('🔖 배합비 참조'!$B$2:$CE$83,MATCH("검정콩",'🔖 배합비 참조'!$A$2:$A$83,0),MATCH($C219,'🔖 배합비 참조'!$B$1:$CE$1,0))/100,0),""))),"")</f>
        <v>0</v>
      </c>
      <c r="N219" s="39" t="n">
        <f aca="false">IFERROR(IF($C219="","",IF($D219="","",IFERROR(ROUND($D219*INDEX('🔖 배합비 참조'!$B$2:$CE$83,MATCH("계피가루",'🔖 배합비 참조'!$A$2:$A$83,0),MATCH($C219,'🔖 배합비 참조'!$B$1:$CE$1,0))/100,0),""))),"")</f>
        <v>0</v>
      </c>
      <c r="O219" s="39" t="n">
        <f aca="false">IFERROR(IF($C219="","",IF($D219="","",IFERROR(ROUND($D219*INDEX('🔖 배합비 참조'!$B$2:$CE$83,MATCH("고구마가루",'🔖 배합비 참조'!$A$2:$A$83,0),MATCH($C219,'🔖 배합비 참조'!$B$1:$CE$1,0))/100,0),""))),"")</f>
        <v>0</v>
      </c>
      <c r="P219" s="39" t="n">
        <f aca="false">IFERROR(IF($C219="","",IF($D219="","",IFERROR(ROUND($D219*INDEX('🔖 배합비 참조'!$B$2:$CE$83,MATCH("고구마무스",'🔖 배합비 참조'!$A$2:$A$83,0),MATCH($C219,'🔖 배합비 참조'!$B$1:$CE$1,0))/100,0),""))),"")</f>
        <v>0</v>
      </c>
      <c r="Q219" s="39" t="n">
        <f aca="false">IFERROR(IF($C219="","",IF($D219="","",IFERROR(ROUND($D219*INDEX('🔖 배합비 참조'!$B$2:$CE$83,MATCH("고려엉겅퀴((곤드레)국내산)",'🔖 배합비 참조'!$A$2:$A$83,0),MATCH($C219,'🔖 배합비 참조'!$B$1:$CE$1,0))/100,0),""))),"")</f>
        <v>0</v>
      </c>
      <c r="R219" s="39" t="n">
        <f aca="false">IFERROR(IF($C219="","",IF($D219="","",IFERROR(ROUND($D219*INDEX('🔖 배합비 참조'!$B$2:$CE$83,MATCH("기타가공품(복분자가루)",'🔖 배합비 참조'!$A$2:$A$83,0),MATCH($C219,'🔖 배합비 참조'!$B$1:$CE$1,0))/100,0),""))),"")</f>
        <v>0</v>
      </c>
      <c r="S219" s="39" t="n">
        <f aca="false">IFERROR(IF($C219="","",IF($D219="","",IFERROR(ROUND($D219*INDEX('🔖 배합비 참조'!$B$2:$CE$83,MATCH("기타가공품(슈퍼소프트엠)",'🔖 배합비 참조'!$A$2:$A$83,0),MATCH($C219,'🔖 배합비 참조'!$B$1:$CE$1,0))/100,0),""))),"")</f>
        <v>0</v>
      </c>
      <c r="T219" s="39" t="n">
        <f aca="false">IFERROR(IF($C219="","",IF($D219="","",IFERROR(ROUND($D219*INDEX('🔖 배합비 참조'!$B$2:$CE$83,MATCH("기타가공품(파인소프트 E-티)",'🔖 배합비 참조'!$A$2:$A$83,0),MATCH($C219,'🔖 배합비 참조'!$B$1:$CE$1,0))/100,0),""))),"")</f>
        <v>0</v>
      </c>
      <c r="U219" s="39" t="n">
        <f aca="false">IFERROR(IF($C219="","",IF($D219="","",IFERROR(ROUND($D219*INDEX('🔖 배합비 참조'!$B$2:$CE$83,MATCH("기타가공품(프리미엄카스테라가루)",'🔖 배합비 참조'!$A$2:$A$83,0),MATCH($C219,'🔖 배합비 참조'!$B$1:$CE$1,0))/100,0),""))),"")</f>
        <v>7</v>
      </c>
      <c r="V219" s="39" t="n">
        <f aca="false">IFERROR(IF($C219="","",IF($D219="","",IFERROR(ROUND($D219*INDEX('🔖 배합비 참조'!$B$2:$CE$83,MATCH("기타가공품(흑임자가루)",'🔖 배합비 참조'!$A$2:$A$83,0),MATCH($C219,'🔖 배합비 참조'!$B$1:$CE$1,0))/100,0),""))),"")</f>
        <v>0</v>
      </c>
      <c r="W219" s="39" t="n">
        <f aca="false">IFERROR(IF($C219="","",IF($D219="","",IFERROR(ROUND($D219*INDEX('🔖 배합비 참조'!$B$2:$CE$83,MATCH("기타설탕(흑설탕)",'🔖 배합비 참조'!$A$2:$A$83,0),MATCH($C219,'🔖 배합비 참조'!$B$1:$CE$1,0))/100,0),""))),"")</f>
        <v>0</v>
      </c>
      <c r="X219" s="39" t="n">
        <f aca="false">IFERROR(IF($C219="","",IF($D219="","",IFERROR(ROUND($D219*INDEX('🔖 배합비 참조'!$B$2:$CE$83,MATCH("냉동쑥(국내산)",'🔖 배합비 참조'!$A$2:$A$83,0),MATCH($C219,'🔖 배합비 참조'!$B$1:$CE$1,0))/100,0),""))),"")</f>
        <v>0</v>
      </c>
      <c r="Y219" s="39" t="n">
        <f aca="false">IFERROR(IF($C219="","",IF($D219="","",IFERROR(ROUND($D219*INDEX('🔖 배합비 참조'!$B$2:$CE$83,MATCH("냉동증숙고구마(중국산)",'🔖 배합비 참조'!$A$2:$A$83,0),MATCH($C219,'🔖 배합비 참조'!$B$1:$CE$1,0))/100,0),""))),"")</f>
        <v>0</v>
      </c>
      <c r="Z219" s="39" t="n">
        <f aca="false">IFERROR(IF($C219="","",IF($D219="","",IFERROR(ROUND($D219*INDEX('🔖 배합비 참조'!$B$2:$CE$83,MATCH("녹차가루",'🔖 배합비 참조'!$A$2:$A$83,0),MATCH($C219,'🔖 배합비 참조'!$B$1:$CE$1,0))/100,0),""))),"")</f>
        <v>0</v>
      </c>
      <c r="AA219" s="39" t="n">
        <f aca="false">IFERROR(IF($C219="","",IF($D219="","",IFERROR(ROUND($D219*INDEX('🔖 배합비 참조'!$B$2:$CE$83,MATCH("다크초콜릿 컴파운드칩",'🔖 배합비 참조'!$A$2:$A$83,0),MATCH($C219,'🔖 배합비 참조'!$B$1:$CE$1,0))/100,0),""))),"")</f>
        <v>8</v>
      </c>
      <c r="AB219" s="39" t="n">
        <f aca="false">IFERROR(IF($C219="","",IF($D219="","",IFERROR(ROUND($D219*INDEX('🔖 배합비 참조'!$B$2:$CE$83,MATCH("단호박분말(중국산)",'🔖 배합비 참조'!$A$2:$A$83,0),MATCH($C219,'🔖 배합비 참조'!$B$1:$CE$1,0))/100,0),""))),"")</f>
        <v>0</v>
      </c>
      <c r="AC219" s="39" t="n">
        <f aca="false">IFERROR(IF($C219="","",IF($D219="","",IFERROR(ROUND($D219*INDEX('🔖 배합비 참조'!$B$2:$CE$83,MATCH("당류가공품(단호박농축액)",'🔖 배합비 참조'!$A$2:$A$83,0),MATCH($C219,'🔖 배합비 참조'!$B$1:$CE$1,0))/100,0),""))),"")</f>
        <v>0</v>
      </c>
      <c r="AD219" s="39" t="n">
        <f aca="false">IFERROR(IF($C219="","",IF($D219="","",IFERROR(ROUND($D219*INDEX('🔖 배합비 참조'!$B$2:$CE$83,MATCH("당류가공품(알룰로스,에리스리톨,스테비올배당체혼합)",'🔖 배합비 참조'!$A$2:$A$83,0),MATCH($C219,'🔖 배합비 참조'!$B$1:$CE$1,0))/100,0),""))),"")</f>
        <v>0</v>
      </c>
      <c r="AE219" s="39" t="n">
        <f aca="false">IFERROR(IF($C219="","",IF($D219="","",IFERROR(ROUND($D219*INDEX('🔖 배합비 참조'!$B$2:$CE$83,MATCH("당류가공품(알룰로스제로파우더)",'🔖 배합비 참조'!$A$2:$A$83,0),MATCH($C219,'🔖 배합비 참조'!$B$1:$CE$1,0))/100,0),""))),"")</f>
        <v>0</v>
      </c>
      <c r="AF219" s="39" t="n">
        <f aca="false">IFERROR(IF($C219="","",IF($D219="","",IFERROR(ROUND($D219*INDEX('🔖 배합비 참조'!$B$2:$CE$83,MATCH("당절임(완두배기)",'🔖 배합비 참조'!$A$2:$A$83,0),MATCH($C219,'🔖 배합비 참조'!$B$1:$CE$1,0))/100,0),""))),"")</f>
        <v>0</v>
      </c>
      <c r="AG219" s="39" t="n">
        <f aca="false">IFERROR(IF($C219="","",IF($D219="","",IFERROR(ROUND($D219*INDEX('🔖 배합비 참조'!$B$2:$CE$83,MATCH("대추농축액",'🔖 배합비 참조'!$A$2:$A$83,0),MATCH($C219,'🔖 배합비 참조'!$B$1:$CE$1,0))/100,0),""))),"")</f>
        <v>0</v>
      </c>
      <c r="AH219" s="39" t="n">
        <f aca="false">IFERROR(IF($C219="","",IF($D219="","",IFERROR(ROUND($D219*INDEX('🔖 배합비 참조'!$B$2:$CE$83,MATCH("대추채(국내산)",'🔖 배합비 참조'!$A$2:$A$83,0),MATCH($C219,'🔖 배합비 참조'!$B$1:$CE$1,0))/100,0),""))),"")</f>
        <v>0</v>
      </c>
      <c r="AI219" s="39" t="n">
        <f aca="false">IFERROR(IF($C219="","",IF($D219="","",IFERROR(ROUND($D219*INDEX('🔖 배합비 참조'!$B$2:$CE$83,MATCH("동부(미얀마산)",'🔖 배합비 참조'!$A$2:$A$83,0),MATCH($C219,'🔖 배합비 참조'!$B$1:$CE$1,0))/100,0),""))),"")</f>
        <v>0</v>
      </c>
      <c r="AJ219" s="39" t="n">
        <f aca="false">IFERROR(IF($C219="","",IF($D219="","",IFERROR(ROUND($D219*INDEX('🔖 배합비 참조'!$B$2:$CE$83,MATCH("두류가공품(백옥앙금)",'🔖 배합비 참조'!$A$2:$A$83,0),MATCH($C219,'🔖 배합비 참조'!$B$1:$CE$1,0))/100,0),""))),"")</f>
        <v>0</v>
      </c>
      <c r="AK219" s="39" t="n">
        <f aca="false">IFERROR(IF($C219="","",IF($D219="","",IFERROR(ROUND($D219*INDEX('🔖 배합비 참조'!$B$2:$CE$83,MATCH("두류가공품(콩고물)",'🔖 배합비 참조'!$A$2:$A$83,0),MATCH($C219,'🔖 배합비 참조'!$B$1:$CE$1,0))/100,0),""))),"")</f>
        <v>0</v>
      </c>
      <c r="AL219" s="39" t="n">
        <f aca="false">IFERROR(IF($C219="","",IF($D219="","",IFERROR(ROUND($D219*INDEX('🔖 배합비 참조'!$B$2:$CE$83,MATCH("두류가공품(통팥고물)",'🔖 배합비 참조'!$A$2:$A$83,0),MATCH($C219,'🔖 배합비 참조'!$B$1:$CE$1,0))/100,0),""))),"")</f>
        <v>0</v>
      </c>
      <c r="AM219" s="39" t="n">
        <f aca="false">IFERROR(IF($C219="","",IF($D219="","",IFERROR(ROUND($D219*INDEX('🔖 배합비 참조'!$B$2:$CE$83,MATCH("딸기레진",'🔖 배합비 참조'!$A$2:$A$83,0),MATCH($C219,'🔖 배합비 참조'!$B$1:$CE$1,0))/100,0),""))),"")</f>
        <v>0</v>
      </c>
      <c r="AN219" s="39" t="n">
        <f aca="false">IFERROR(IF($C219="","",IF($D219="","",IFERROR(ROUND($D219*INDEX('🔖 배합비 참조'!$B$2:$CE$83,MATCH("딸기분말(스트로우베리에이드(분말))",'🔖 배합비 참조'!$A$2:$A$83,0),MATCH($C219,'🔖 배합비 참조'!$B$1:$CE$1,0))/100,0),""))),"")</f>
        <v>0</v>
      </c>
      <c r="AO219" s="39" t="n">
        <f aca="false">IFERROR(IF($C219="","",IF($D219="","",IFERROR(ROUND($D219*INDEX('🔖 배합비 참조'!$B$2:$CE$83,MATCH("마스카포네치즈",'🔖 배합비 참조'!$A$2:$A$83,0),MATCH($C219,'🔖 배합비 참조'!$B$1:$CE$1,0))/100,0),""))),"")</f>
        <v>0</v>
      </c>
      <c r="AP219" s="39" t="n">
        <f aca="false">IFERROR(IF($C219="","",IF($D219="","",IFERROR(ROUND($D219*INDEX('🔖 배합비 참조'!$B$2:$CE$83,MATCH("마카다미아분태(호주산)",'🔖 배합비 참조'!$A$2:$A$83,0),MATCH($C219,'🔖 배합비 참조'!$B$1:$CE$1,0))/100,0),""))),"")</f>
        <v>0</v>
      </c>
      <c r="AQ219" s="39" t="n">
        <f aca="false">IFERROR(IF($C219="","",IF($D219="","",IFERROR(ROUND($D219*INDEX('🔖 배합비 참조'!$B$2:$CE$83,MATCH("멥쌀(국내산)",'🔖 배합비 참조'!$A$2:$A$83,0),MATCH($C219,'🔖 배합비 참조'!$B$1:$CE$1,0))/100,0),""))),"")</f>
        <v>0</v>
      </c>
      <c r="AR219" s="39" t="n">
        <f aca="false">IFERROR(IF($C219="","",IF($D219="","",IFERROR(ROUND($D219*INDEX('🔖 배합비 참조'!$B$2:$CE$83,MATCH("모시잎(국내산)",'🔖 배합비 참조'!$A$2:$A$83,0),MATCH($C219,'🔖 배합비 참조'!$B$1:$CE$1,0))/100,0),""))),"")</f>
        <v>0</v>
      </c>
      <c r="AS219" s="39" t="n">
        <f aca="false">IFERROR(IF($C219="","",IF($D219="","",IFERROR(ROUND($D219*INDEX('🔖 배합비 참조'!$B$2:$CE$83,MATCH("물엿(저당물엿)",'🔖 배합비 참조'!$A$2:$A$83,0),MATCH($C219,'🔖 배합비 참조'!$B$1:$CE$1,0))/100,0),""))),"")</f>
        <v>12</v>
      </c>
      <c r="AT219" s="39" t="n">
        <f aca="false">IFERROR(IF($C219="","",IF($D219="","",IFERROR(ROUND($D219*INDEX('🔖 배합비 참조'!$B$2:$CE$83,MATCH("밤다이스",'🔖 배합비 참조'!$A$2:$A$83,0),MATCH($C219,'🔖 배합비 참조'!$B$1:$CE$1,0))/100,0),""))),"")</f>
        <v>0</v>
      </c>
      <c r="AU219" s="39" t="n">
        <f aca="false">IFERROR(IF($C219="","",IF($D219="","",IFERROR(ROUND($D219*INDEX('🔖 배합비 참조'!$B$2:$CE$83,MATCH("변성전분(타피오카전분)",'🔖 배합비 참조'!$A$2:$A$83,0),MATCH($C219,'🔖 배합비 참조'!$B$1:$CE$1,0))/100,0),""))),"")</f>
        <v>0</v>
      </c>
      <c r="AV219" s="39" t="n">
        <f aca="false">IFERROR(IF($C219="","",IF($D219="","",IFERROR(ROUND($D219*INDEX('🔖 배합비 참조'!$B$2:$CE$83,MATCH("복음땅콩분태",'🔖 배합비 참조'!$A$2:$A$83,0),MATCH($C219,'🔖 배합비 참조'!$B$1:$CE$1,0))/100,0),""))),"")</f>
        <v>0</v>
      </c>
      <c r="AW219" s="39" t="n">
        <f aca="false">IFERROR(IF($C219="","",IF($D219="","",IFERROR(ROUND($D219*INDEX('🔖 배합비 참조'!$B$2:$CE$83,MATCH("사양벌꿀(국내산)",'🔖 배합비 참조'!$A$2:$A$83,0),MATCH($C219,'🔖 배합비 참조'!$B$1:$CE$1,0))/100,0),""))),"")</f>
        <v>0</v>
      </c>
      <c r="AX219" s="39" t="n">
        <f aca="false">IFERROR(IF($C219="","",IF($D219="","",IFERROR(ROUND($D219*INDEX('🔖 배합비 참조'!$B$2:$CE$83,MATCH("생크림",'🔖 배합비 참조'!$A$2:$A$83,0),MATCH($C219,'🔖 배합비 참조'!$B$1:$CE$1,0))/100,0),""))),"")</f>
        <v>15</v>
      </c>
      <c r="AY219" s="39" t="n">
        <f aca="false">IFERROR(IF($C219="","",IF($D219="","",IFERROR(ROUND($D219*INDEX('🔖 배합비 참조'!$B$2:$CE$83,MATCH("서양호박(국내산,뉴질랜드산)",'🔖 배합비 참조'!$A$2:$A$83,0),MATCH($C219,'🔖 배합비 참조'!$B$1:$CE$1,0))/100,0),""))),"")</f>
        <v>0</v>
      </c>
      <c r="AZ219" s="39" t="n">
        <f aca="false">IFERROR(IF($C219="","",IF($D219="","",IFERROR(ROUND($D219*INDEX('🔖 배합비 참조'!$B$2:$CE$83,MATCH("설탕",'🔖 배합비 참조'!$A$2:$A$83,0),MATCH($C219,'🔖 배합비 참조'!$B$1:$CE$1,0))/100,0),""))),"")</f>
        <v>3</v>
      </c>
      <c r="BA219" s="39" t="n">
        <f aca="false">IFERROR(IF($C219="","",IF($D219="","",IFERROR(ROUND($D219*INDEX('🔖 배합비 참조'!$B$2:$CE$83,MATCH("스트로우베리 에이드 후레쉬",'🔖 배합비 참조'!$A$2:$A$83,0),MATCH($C219,'🔖 배합비 참조'!$B$1:$CE$1,0))/100,0),""))),"")</f>
        <v>0</v>
      </c>
      <c r="BB219" s="39" t="n">
        <f aca="false">IFERROR(IF($C219="","",IF($D219="","",IFERROR(ROUND($D219*INDEX('🔖 배합비 참조'!$B$2:$CE$83,MATCH("식물성기름혼합제제(분홍)",'🔖 배합비 참조'!$A$2:$A$83,0),MATCH($C219,'🔖 배합비 참조'!$B$1:$CE$1,0))/100,0),""))),"")</f>
        <v>0</v>
      </c>
      <c r="BC219" s="39" t="n">
        <f aca="false">IFERROR(IF($C219="","",IF($D219="","",IFERROR(ROUND($D219*INDEX('🔖 배합비 참조'!$B$2:$CE$83,MATCH("식물성기름혼합제제(초록)",'🔖 배합비 참조'!$A$2:$A$83,0),MATCH($C219,'🔖 배합비 참조'!$B$1:$CE$1,0))/100,0),""))),"")</f>
        <v>0</v>
      </c>
      <c r="BD219" s="39" t="n">
        <f aca="false">IFERROR(IF($C219="","",IF($D219="","",IFERROR(ROUND($D219*INDEX('🔖 배합비 참조'!$B$2:$CE$83,MATCH("식물성기름혼합제제(황색)",'🔖 배합비 참조'!$A$2:$A$83,0),MATCH($C219,'🔖 배합비 참조'!$B$1:$CE$1,0))/100,0),""))),"")</f>
        <v>0</v>
      </c>
      <c r="BE219" s="39" t="n">
        <f aca="false">IFERROR(IF($C219="","",IF($D219="","",IFERROR(ROUND($D219*INDEX('🔖 배합비 참조'!$B$2:$CE$83,MATCH("쑥가루(국내산)",'🔖 배합비 참조'!$A$2:$A$83,0),MATCH($C219,'🔖 배합비 참조'!$B$1:$CE$1,0))/100,0),""))),"")</f>
        <v>0</v>
      </c>
      <c r="BF219" s="39" t="n">
        <f aca="false">IFERROR(IF($C219="","",IF($D219="","",IFERROR(ROUND($D219*INDEX('🔖 배합비 참조'!$B$2:$CE$83,MATCH("아몬드슬라이스",'🔖 배합비 참조'!$A$2:$A$83,0),MATCH($C219,'🔖 배합비 참조'!$B$1:$CE$1,0))/100,0),""))),"")</f>
        <v>0</v>
      </c>
      <c r="BG219" s="39" t="n">
        <f aca="false">IFERROR(IF($C219="","",IF($D219="","",IFERROR(ROUND($D219*INDEX('🔖 배합비 참조'!$B$2:$CE$83,MATCH("알룰로오스(국내산)",'🔖 배합비 참조'!$A$2:$A$83,0),MATCH($C219,'🔖 배합비 참조'!$B$1:$CE$1,0))/100,0),""))),"")</f>
        <v>0</v>
      </c>
      <c r="BH219" s="39" t="n">
        <f aca="false">IFERROR(IF($C219="","",IF($D219="","",IFERROR(ROUND($D219*INDEX('🔖 배합비 참조'!$B$2:$CE$83,MATCH("연유",'🔖 배합비 참조'!$A$2:$A$83,0),MATCH($C219,'🔖 배합비 참조'!$B$1:$CE$1,0))/100,0),""))),"")</f>
        <v>1</v>
      </c>
      <c r="BI219" s="39" t="n">
        <f aca="false">IFERROR(IF($C219="","",IF($D219="","",IFERROR(ROUND($D219*INDEX('🔖 배합비 참조'!$B$2:$CE$83,MATCH("옥수수전분",'🔖 배합비 참조'!$A$2:$A$83,0),MATCH($C219,'🔖 배합비 참조'!$B$1:$CE$1,0))/100,0),""))),"")</f>
        <v>0</v>
      </c>
      <c r="BJ219" s="39" t="n">
        <f aca="false">IFERROR(IF($C219="","",IF($D219="","",IFERROR(ROUND($D219*INDEX('🔖 배합비 참조'!$B$2:$CE$83,MATCH("완두배기",'🔖 배합비 참조'!$A$2:$A$83,0),MATCH($C219,'🔖 배합비 참조'!$B$1:$CE$1,0))/100,0),""))),"")</f>
        <v>0</v>
      </c>
      <c r="BK219" s="39" t="n">
        <f aca="false">IFERROR(IF($C219="","",IF($D219="","",IFERROR(ROUND($D219*INDEX('🔖 배합비 참조'!$B$2:$CE$83,MATCH("우유(국내산)",'🔖 배합비 참조'!$A$2:$A$83,0),MATCH($C219,'🔖 배합비 참조'!$B$1:$CE$1,0))/100,0),""))),"")</f>
        <v>0</v>
      </c>
      <c r="BL219" s="39" t="n">
        <f aca="false">IFERROR(IF($C219="","",IF($D219="","",IFERROR(ROUND($D219*INDEX('🔖 배합비 참조'!$B$2:$CE$83,MATCH("자색고구마가루(중국산)",'🔖 배합비 참조'!$A$2:$A$83,0),MATCH($C219,'🔖 배합비 참조'!$B$1:$CE$1,0))/100,0),""))),"")</f>
        <v>0</v>
      </c>
      <c r="BM219" s="39" t="n">
        <f aca="false">IFERROR(IF($C219="","",IF($D219="","",IFERROR(ROUND($D219*INDEX('🔖 배합비 참조'!$B$2:$CE$83,MATCH("자연치즈(체다치즈)",'🔖 배합비 참조'!$A$2:$A$83,0),MATCH($C219,'🔖 배합비 참조'!$B$1:$CE$1,0))/100,0),""))),"")</f>
        <v>0</v>
      </c>
      <c r="BN219" s="39" t="n">
        <f aca="false">IFERROR(IF($C219="","",IF($D219="","",IFERROR(ROUND($D219*INDEX('🔖 배합비 참조'!$B$2:$CE$83,MATCH("정제수",'🔖 배합비 참조'!$A$2:$A$83,0),MATCH($C219,'🔖 배합비 참조'!$B$1:$CE$1,0))/100,0),""))),"")</f>
        <v>7</v>
      </c>
      <c r="BO219" s="39" t="n">
        <f aca="false">IFERROR(IF($C219="","",IF($D219="","",IFERROR(ROUND($D219*INDEX('🔖 배합비 참조'!$B$2:$CE$83,MATCH("젤라틴",'🔖 배합비 참조'!$A$2:$A$83,0),MATCH($C219,'🔖 배합비 참조'!$B$1:$CE$1,0))/100,0),""))),"")</f>
        <v>1</v>
      </c>
      <c r="BP219" s="39" t="n">
        <f aca="false">IFERROR(IF($C219="","",IF($D219="","",IFERROR(ROUND($D219*INDEX('🔖 배합비 참조'!$B$2:$CE$83,MATCH("조림류(백옥앙금)",'🔖 배합비 참조'!$A$2:$A$83,0),MATCH($C219,'🔖 배합비 참조'!$B$1:$CE$1,0))/100,0),""))),"")</f>
        <v>22</v>
      </c>
      <c r="BQ219" s="39" t="n">
        <f aca="false">IFERROR(IF($C219="","",IF($D219="","",IFERROR(ROUND($D219*INDEX('🔖 배합비 참조'!$B$2:$CE$83,MATCH("조림류(통팥앙금)",'🔖 배합비 참조'!$A$2:$A$83,0),MATCH($C219,'🔖 배합비 참조'!$B$1:$CE$1,0))/100,0),""))),"")</f>
        <v>0</v>
      </c>
      <c r="BR219" s="39" t="n">
        <f aca="false">IFERROR(IF($C219="","",IF($D219="","",IFERROR(ROUND($D219*INDEX('🔖 배합비 참조'!$B$2:$CE$83,MATCH("준초콜릿(외국산)",'🔖 배합비 참조'!$A$2:$A$83,0),MATCH($C219,'🔖 배합비 참조'!$B$1:$CE$1,0))/100,0),""))),"")</f>
        <v>0</v>
      </c>
      <c r="BS219" s="39" t="n">
        <f aca="false">IFERROR(IF($C219="","",IF($D219="","",IFERROR(ROUND($D219*INDEX('🔖 배합비 참조'!$B$2:$CE$83,MATCH("중력분",'🔖 배합비 참조'!$A$2:$A$83,0),MATCH($C219,'🔖 배합비 참조'!$B$1:$CE$1,0))/100,0),""))),"")</f>
        <v>1</v>
      </c>
      <c r="BT219" s="39" t="n">
        <f aca="false">IFERROR(IF($C219="","",IF($D219="","",IFERROR(ROUND($D219*INDEX('🔖 배합비 참조'!$B$2:$CE$83,MATCH("참깨(인도산,나이지리아산,탄자니아산,미얀마산)",'🔖 배합비 참조'!$A$2:$A$83,0),MATCH($C219,'🔖 배합비 참조'!$B$1:$CE$1,0))/100,0),""))),"")</f>
        <v>0</v>
      </c>
      <c r="BU219" s="39" t="n">
        <f aca="false">IFERROR(IF($C219="","",IF($D219="","",IFERROR(ROUND($D219*INDEX('🔖 배합비 참조'!$B$2:$CE$83,MATCH("찹쌀(국내산)",'🔖 배합비 참조'!$A$2:$A$83,0),MATCH($C219,'🔖 배합비 참조'!$B$1:$CE$1,0))/100,0),""))),"")</f>
        <v>117</v>
      </c>
      <c r="BV219" s="39" t="n">
        <f aca="false">IFERROR(IF($C219="","",IF($D219="","",IFERROR(ROUND($D219*INDEX('🔖 배합비 참조'!$B$2:$CE$83,MATCH("천일염",'🔖 배합비 참조'!$A$2:$A$83,0),MATCH($C219,'🔖 배합비 참조'!$B$1:$CE$1,0))/100,0),""))),"")</f>
        <v>0</v>
      </c>
      <c r="BW219" s="39" t="n">
        <f aca="false">IFERROR(IF($C219="","",IF($D219="","",IFERROR(ROUND($D219*INDEX('🔖 배합비 참조'!$B$2:$CE$83,MATCH("치즈 [크림치즈]",'🔖 배합비 참조'!$A$2:$A$83,0),MATCH($C219,'🔖 배합비 참조'!$B$1:$CE$1,0))/100,0),""))),"")</f>
        <v>15</v>
      </c>
      <c r="BX219" s="39" t="n">
        <f aca="false">IFERROR(IF($C219="","",IF($D219="","",IFERROR(ROUND($D219*INDEX('🔖 배합비 참조'!$B$2:$CE$83,MATCH("코코아가공품류(코코아분말)",'🔖 배합비 참조'!$A$2:$A$83,0),MATCH($C219,'🔖 배합비 참조'!$B$1:$CE$1,0))/100,0),""))),"")</f>
        <v>8</v>
      </c>
      <c r="BY219" s="39" t="n">
        <f aca="false">IFERROR(IF($C219="","",IF($D219="","",IFERROR(ROUND($D219*INDEX('🔖 배합비 참조'!$B$2:$CE$83,MATCH("콩기름(대두유)",'🔖 배합비 참조'!$A$2:$A$83,0),MATCH($C219,'🔖 배합비 참조'!$B$1:$CE$1,0))/100,0),""))),"")</f>
        <v>0</v>
      </c>
      <c r="BZ219" s="39" t="n">
        <f aca="false">IFERROR(IF($C219="","",IF($D219="","",IFERROR(ROUND($D219*INDEX('🔖 배합비 참조'!$B$2:$CE$83,MATCH("해바라기씨앗",'🔖 배합비 참조'!$A$2:$A$83,0),MATCH($C219,'🔖 배합비 참조'!$B$1:$CE$1,0))/100,0),""))),"")</f>
        <v>0</v>
      </c>
      <c r="CA219" s="39" t="n">
        <f aca="false">IFERROR(IF($C219="","",IF($D219="","",IFERROR(ROUND($D219*INDEX('🔖 배합비 참조'!$B$2:$CE$83,MATCH("현미(국내산)",'🔖 배합비 참조'!$A$2:$A$83,0),MATCH($C219,'🔖 배합비 참조'!$B$1:$CE$1,0))/100,0),""))),"")</f>
        <v>0</v>
      </c>
      <c r="CB219" s="39" t="n">
        <f aca="false">IFERROR(IF($C219="","",IF($D219="","",IFERROR(ROUND($D219*INDEX('🔖 배합비 참조'!$B$2:$CE$83,MATCH("현미멥쌀(국내산)",'🔖 배합비 참조'!$A$2:$A$83,0),MATCH($C219,'🔖 배합비 참조'!$B$1:$CE$1,0))/100,0),""))),"")</f>
        <v>0</v>
      </c>
      <c r="CC219" s="39" t="n">
        <f aca="false">IFERROR(IF($C219="","",IF($D219="","",IFERROR(ROUND($D219*INDEX('🔖 배합비 참조'!$B$2:$CE$83,MATCH("호두분태(미국산)",'🔖 배합비 참조'!$A$2:$A$83,0),MATCH($C219,'🔖 배합비 참조'!$B$1:$CE$1,0))/100,0),""))),"")</f>
        <v>0</v>
      </c>
      <c r="CD219" s="39" t="n">
        <f aca="false">IFERROR(IF($C219="","",IF($D219="","",IFERROR(ROUND($D219*INDEX('🔖 배합비 참조'!$B$2:$CE$83,MATCH("호박씨앗(외국산)",'🔖 배합비 참조'!$A$2:$A$83,0),MATCH($C219,'🔖 배합비 참조'!$B$1:$CE$1,0))/100,0),""))),"")</f>
        <v>0</v>
      </c>
      <c r="CE219" s="39" t="n">
        <f aca="false">IFERROR(IF($C219="","",IF($D219="","",IFERROR(ROUND($D219*INDEX('🔖 배합비 참조'!$B$2:$CE$83,MATCH("혼합제제(떡용에스텔)",'🔖 배합비 참조'!$A$2:$A$83,0),MATCH($C219,'🔖 배합비 참조'!$B$1:$CE$1,0))/100,0),""))),"")</f>
        <v>0</v>
      </c>
      <c r="CF219" s="39" t="n">
        <f aca="false">IFERROR(IF($C219="","",IF($D219="","",IFERROR(ROUND($D219*INDEX('🔖 배합비 참조'!$B$2:$CE$83,MATCH("혼합제제(스테비아)",'🔖 배합비 참조'!$A$2:$A$83,0),MATCH($C219,'🔖 배합비 참조'!$B$1:$CE$1,0))/100,0),""))),"")</f>
        <v>0</v>
      </c>
      <c r="CG219" s="39" t="n">
        <f aca="false">IFERROR(IF($C219="","",IF($D219="","",IFERROR(ROUND($D219*INDEX('🔖 배합비 참조'!$B$2:$CE$83,MATCH("화이트초콜릿",'🔖 배합비 참조'!$A$2:$A$83,0),MATCH($C219,'🔖 배합비 참조'!$B$1:$CE$1,0))/100,0),""))),"")</f>
        <v>5</v>
      </c>
      <c r="CH219" s="39" t="n">
        <f aca="false">IFERROR(IF($C219="","",IF($D219="","",IFERROR(ROUND($D219*INDEX('🔖 배합비 참조'!$B$2:$CE$83,MATCH("흑미찹쌀(국내산)",'🔖 배합비 참조'!$A$2:$A$83,0),MATCH($C219,'🔖 배합비 참조'!$B$1:$CE$1,0))/100,0),""))),"")</f>
        <v>0</v>
      </c>
      <c r="CI219" s="39" t="n">
        <f aca="false">IFERROR(IF($C219="","",IF($D219="","",IFERROR(ROUND($D219*INDEX('🔖 배합비 참조'!$B$2:$CE$83,MATCH("찰옥수수전분(미국산)",'🔖 배합비 참조'!$A$2:$A$83,0),MATCH($C219,'🔖 배합비 참조'!$B$1:$CE$1,0))/100,0),""))),"")</f>
        <v>0</v>
      </c>
      <c r="CJ219" s="40"/>
      <c r="CL219" s="1" t="s">
        <v>247</v>
      </c>
    </row>
    <row r="220" customFormat="false" ht="18" hidden="false" customHeight="true" outlineLevel="0" collapsed="false">
      <c r="A220" s="41" t="n">
        <v>216</v>
      </c>
      <c r="B220" s="36" t="n">
        <v>46061</v>
      </c>
      <c r="C220" s="37" t="s">
        <v>243</v>
      </c>
      <c r="D220" s="38" t="n">
        <v>110</v>
      </c>
      <c r="E220" s="17"/>
      <c r="F220" s="17"/>
      <c r="G220" s="42" t="n">
        <f aca="false">IFERROR(IF($C220="","",IF($D220="","",IFERROR(ROUND($D220*INDEX('🔖 배합비 참조'!$B$2:$CE$83,MATCH("간장",'🔖 배합비 참조'!$A$2:$A$83,0),MATCH($C220,'🔖 배합비 참조'!$B$1:$CE$1,0))/100,0),""))),"")</f>
        <v>0</v>
      </c>
      <c r="H220" s="42" t="n">
        <f aca="false">IFERROR(IF($C220="","",IF($D220="","",IFERROR(ROUND($D220*INDEX('🔖 배합비 참조'!$B$2:$CE$83,MATCH("강낭콩((울타리콩))",'🔖 배합비 참조'!$A$2:$A$83,0),MATCH($C220,'🔖 배합비 참조'!$B$1:$CE$1,0))/100,0),""))),"")</f>
        <v>0</v>
      </c>
      <c r="I220" s="42" t="n">
        <f aca="false">IFERROR(IF($C220="","",IF($D220="","",IFERROR(ROUND($D220*INDEX('🔖 배합비 참조'!$B$2:$CE$83,MATCH("건조딸기다이스(외국산)",'🔖 배합비 참조'!$A$2:$A$83,0),MATCH($C220,'🔖 배합비 참조'!$B$1:$CE$1,0))/100,0),""))),"")</f>
        <v>0</v>
      </c>
      <c r="J220" s="42" t="n">
        <f aca="false">IFERROR(IF($C220="","",IF($D220="","",IFERROR(ROUND($D220*INDEX('🔖 배합비 참조'!$B$2:$CE$83,MATCH("건포도",'🔖 배합비 참조'!$A$2:$A$83,0),MATCH($C220,'🔖 배합비 참조'!$B$1:$CE$1,0))/100,0),""))),"")</f>
        <v>0</v>
      </c>
      <c r="K220" s="42" t="n">
        <f aca="false">IFERROR(IF($C220="","",IF($D220="","",IFERROR(ROUND($D220*INDEX('🔖 배합비 참조'!$B$2:$CE$83,MATCH("건호박채(중국산)",'🔖 배합비 참조'!$A$2:$A$83,0),MATCH($C220,'🔖 배합비 참조'!$B$1:$CE$1,0))/100,0),""))),"")</f>
        <v>0</v>
      </c>
      <c r="L220" s="42" t="n">
        <f aca="false">IFERROR(IF($C220="","",IF($D220="","",IFERROR(ROUND($D220*INDEX('🔖 배합비 참조'!$B$2:$CE$83,MATCH("검정깨(흑임자)",'🔖 배합비 참조'!$A$2:$A$83,0),MATCH($C220,'🔖 배합비 참조'!$B$1:$CE$1,0))/100,0),""))),"")</f>
        <v>0</v>
      </c>
      <c r="M220" s="42" t="n">
        <f aca="false">IFERROR(IF($C220="","",IF($D220="","",IFERROR(ROUND($D220*INDEX('🔖 배합비 참조'!$B$2:$CE$83,MATCH("검정콩",'🔖 배합비 참조'!$A$2:$A$83,0),MATCH($C220,'🔖 배합비 참조'!$B$1:$CE$1,0))/100,0),""))),"")</f>
        <v>0</v>
      </c>
      <c r="N220" s="42" t="n">
        <f aca="false">IFERROR(IF($C220="","",IF($D220="","",IFERROR(ROUND($D220*INDEX('🔖 배합비 참조'!$B$2:$CE$83,MATCH("계피가루",'🔖 배합비 참조'!$A$2:$A$83,0),MATCH($C220,'🔖 배합비 참조'!$B$1:$CE$1,0))/100,0),""))),"")</f>
        <v>0</v>
      </c>
      <c r="O220" s="42" t="n">
        <f aca="false">IFERROR(IF($C220="","",IF($D220="","",IFERROR(ROUND($D220*INDEX('🔖 배합비 참조'!$B$2:$CE$83,MATCH("고구마가루",'🔖 배합비 참조'!$A$2:$A$83,0),MATCH($C220,'🔖 배합비 참조'!$B$1:$CE$1,0))/100,0),""))),"")</f>
        <v>0</v>
      </c>
      <c r="P220" s="42" t="n">
        <f aca="false">IFERROR(IF($C220="","",IF($D220="","",IFERROR(ROUND($D220*INDEX('🔖 배합비 참조'!$B$2:$CE$83,MATCH("고구마무스",'🔖 배합비 참조'!$A$2:$A$83,0),MATCH($C220,'🔖 배합비 참조'!$B$1:$CE$1,0))/100,0),""))),"")</f>
        <v>0</v>
      </c>
      <c r="Q220" s="42" t="n">
        <f aca="false">IFERROR(IF($C220="","",IF($D220="","",IFERROR(ROUND($D220*INDEX('🔖 배합비 참조'!$B$2:$CE$83,MATCH("고려엉겅퀴((곤드레)국내산)",'🔖 배합비 참조'!$A$2:$A$83,0),MATCH($C220,'🔖 배합비 참조'!$B$1:$CE$1,0))/100,0),""))),"")</f>
        <v>0</v>
      </c>
      <c r="R220" s="42" t="n">
        <f aca="false">IFERROR(IF($C220="","",IF($D220="","",IFERROR(ROUND($D220*INDEX('🔖 배합비 참조'!$B$2:$CE$83,MATCH("기타가공품(복분자가루)",'🔖 배합비 참조'!$A$2:$A$83,0),MATCH($C220,'🔖 배합비 참조'!$B$1:$CE$1,0))/100,0),""))),"")</f>
        <v>0</v>
      </c>
      <c r="S220" s="42" t="n">
        <f aca="false">IFERROR(IF($C220="","",IF($D220="","",IFERROR(ROUND($D220*INDEX('🔖 배합비 참조'!$B$2:$CE$83,MATCH("기타가공품(슈퍼소프트엠)",'🔖 배합비 참조'!$A$2:$A$83,0),MATCH($C220,'🔖 배합비 참조'!$B$1:$CE$1,0))/100,0),""))),"")</f>
        <v>0</v>
      </c>
      <c r="T220" s="42" t="n">
        <f aca="false">IFERROR(IF($C220="","",IF($D220="","",IFERROR(ROUND($D220*INDEX('🔖 배합비 참조'!$B$2:$CE$83,MATCH("기타가공품(파인소프트 E-티)",'🔖 배합비 참조'!$A$2:$A$83,0),MATCH($C220,'🔖 배합비 참조'!$B$1:$CE$1,0))/100,0),""))),"")</f>
        <v>0</v>
      </c>
      <c r="U220" s="42" t="n">
        <f aca="false">IFERROR(IF($C220="","",IF($D220="","",IFERROR(ROUND($D220*INDEX('🔖 배합비 참조'!$B$2:$CE$83,MATCH("기타가공품(프리미엄카스테라가루)",'🔖 배합비 참조'!$A$2:$A$83,0),MATCH($C220,'🔖 배합비 참조'!$B$1:$CE$1,0))/100,0),""))),"")</f>
        <v>3</v>
      </c>
      <c r="V220" s="42" t="n">
        <f aca="false">IFERROR(IF($C220="","",IF($D220="","",IFERROR(ROUND($D220*INDEX('🔖 배합비 참조'!$B$2:$CE$83,MATCH("기타가공품(흑임자가루)",'🔖 배합비 참조'!$A$2:$A$83,0),MATCH($C220,'🔖 배합비 참조'!$B$1:$CE$1,0))/100,0),""))),"")</f>
        <v>0</v>
      </c>
      <c r="W220" s="42" t="n">
        <f aca="false">IFERROR(IF($C220="","",IF($D220="","",IFERROR(ROUND($D220*INDEX('🔖 배합비 참조'!$B$2:$CE$83,MATCH("기타설탕(흑설탕)",'🔖 배합비 참조'!$A$2:$A$83,0),MATCH($C220,'🔖 배합비 참조'!$B$1:$CE$1,0))/100,0),""))),"")</f>
        <v>0</v>
      </c>
      <c r="X220" s="42" t="n">
        <f aca="false">IFERROR(IF($C220="","",IF($D220="","",IFERROR(ROUND($D220*INDEX('🔖 배합비 참조'!$B$2:$CE$83,MATCH("냉동쑥(국내산)",'🔖 배합비 참조'!$A$2:$A$83,0),MATCH($C220,'🔖 배합비 참조'!$B$1:$CE$1,0))/100,0),""))),"")</f>
        <v>0</v>
      </c>
      <c r="Y220" s="42" t="n">
        <f aca="false">IFERROR(IF($C220="","",IF($D220="","",IFERROR(ROUND($D220*INDEX('🔖 배합비 참조'!$B$2:$CE$83,MATCH("냉동증숙고구마(중국산)",'🔖 배합비 참조'!$A$2:$A$83,0),MATCH($C220,'🔖 배합비 참조'!$B$1:$CE$1,0))/100,0),""))),"")</f>
        <v>0</v>
      </c>
      <c r="Z220" s="42" t="n">
        <f aca="false">IFERROR(IF($C220="","",IF($D220="","",IFERROR(ROUND($D220*INDEX('🔖 배합비 참조'!$B$2:$CE$83,MATCH("녹차가루",'🔖 배합비 참조'!$A$2:$A$83,0),MATCH($C220,'🔖 배합비 참조'!$B$1:$CE$1,0))/100,0),""))),"")</f>
        <v>0</v>
      </c>
      <c r="AA220" s="42" t="n">
        <f aca="false">IFERROR(IF($C220="","",IF($D220="","",IFERROR(ROUND($D220*INDEX('🔖 배합비 참조'!$B$2:$CE$83,MATCH("다크초콜릿 컴파운드칩",'🔖 배합비 참조'!$A$2:$A$83,0),MATCH($C220,'🔖 배합비 참조'!$B$1:$CE$1,0))/100,0),""))),"")</f>
        <v>0</v>
      </c>
      <c r="AB220" s="42" t="n">
        <f aca="false">IFERROR(IF($C220="","",IF($D220="","",IFERROR(ROUND($D220*INDEX('🔖 배합비 참조'!$B$2:$CE$83,MATCH("단호박분말(중국산)",'🔖 배합비 참조'!$A$2:$A$83,0),MATCH($C220,'🔖 배합비 참조'!$B$1:$CE$1,0))/100,0),""))),"")</f>
        <v>0</v>
      </c>
      <c r="AC220" s="42" t="n">
        <f aca="false">IFERROR(IF($C220="","",IF($D220="","",IFERROR(ROUND($D220*INDEX('🔖 배합비 참조'!$B$2:$CE$83,MATCH("당류가공품(단호박농축액)",'🔖 배합비 참조'!$A$2:$A$83,0),MATCH($C220,'🔖 배합비 참조'!$B$1:$CE$1,0))/100,0),""))),"")</f>
        <v>0</v>
      </c>
      <c r="AD220" s="42" t="n">
        <f aca="false">IFERROR(IF($C220="","",IF($D220="","",IFERROR(ROUND($D220*INDEX('🔖 배합비 참조'!$B$2:$CE$83,MATCH("당류가공품(알룰로스,에리스리톨,스테비올배당체혼합)",'🔖 배합비 참조'!$A$2:$A$83,0),MATCH($C220,'🔖 배합비 참조'!$B$1:$CE$1,0))/100,0),""))),"")</f>
        <v>0</v>
      </c>
      <c r="AE220" s="42" t="n">
        <f aca="false">IFERROR(IF($C220="","",IF($D220="","",IFERROR(ROUND($D220*INDEX('🔖 배합비 참조'!$B$2:$CE$83,MATCH("당류가공품(알룰로스제로파우더)",'🔖 배합비 참조'!$A$2:$A$83,0),MATCH($C220,'🔖 배합비 참조'!$B$1:$CE$1,0))/100,0),""))),"")</f>
        <v>0</v>
      </c>
      <c r="AF220" s="42" t="n">
        <f aca="false">IFERROR(IF($C220="","",IF($D220="","",IFERROR(ROUND($D220*INDEX('🔖 배합비 참조'!$B$2:$CE$83,MATCH("당절임(완두배기)",'🔖 배합비 참조'!$A$2:$A$83,0),MATCH($C220,'🔖 배합비 참조'!$B$1:$CE$1,0))/100,0),""))),"")</f>
        <v>0</v>
      </c>
      <c r="AG220" s="42" t="n">
        <f aca="false">IFERROR(IF($C220="","",IF($D220="","",IFERROR(ROUND($D220*INDEX('🔖 배합비 참조'!$B$2:$CE$83,MATCH("대추농축액",'🔖 배합비 참조'!$A$2:$A$83,0),MATCH($C220,'🔖 배합비 참조'!$B$1:$CE$1,0))/100,0),""))),"")</f>
        <v>0</v>
      </c>
      <c r="AH220" s="42" t="n">
        <f aca="false">IFERROR(IF($C220="","",IF($D220="","",IFERROR(ROUND($D220*INDEX('🔖 배합비 참조'!$B$2:$CE$83,MATCH("대추채(국내산)",'🔖 배합비 참조'!$A$2:$A$83,0),MATCH($C220,'🔖 배합비 참조'!$B$1:$CE$1,0))/100,0),""))),"")</f>
        <v>0</v>
      </c>
      <c r="AI220" s="42" t="n">
        <f aca="false">IFERROR(IF($C220="","",IF($D220="","",IFERROR(ROUND($D220*INDEX('🔖 배합비 참조'!$B$2:$CE$83,MATCH("동부(미얀마산)",'🔖 배합비 참조'!$A$2:$A$83,0),MATCH($C220,'🔖 배합비 참조'!$B$1:$CE$1,0))/100,0),""))),"")</f>
        <v>0</v>
      </c>
      <c r="AJ220" s="42" t="n">
        <f aca="false">IFERROR(IF($C220="","",IF($D220="","",IFERROR(ROUND($D220*INDEX('🔖 배합비 참조'!$B$2:$CE$83,MATCH("두류가공품(백옥앙금)",'🔖 배합비 참조'!$A$2:$A$83,0),MATCH($C220,'🔖 배합비 참조'!$B$1:$CE$1,0))/100,0),""))),"")</f>
        <v>0</v>
      </c>
      <c r="AK220" s="42" t="n">
        <f aca="false">IFERROR(IF($C220="","",IF($D220="","",IFERROR(ROUND($D220*INDEX('🔖 배합비 참조'!$B$2:$CE$83,MATCH("두류가공품(콩고물)",'🔖 배합비 참조'!$A$2:$A$83,0),MATCH($C220,'🔖 배합비 참조'!$B$1:$CE$1,0))/100,0),""))),"")</f>
        <v>0</v>
      </c>
      <c r="AL220" s="42" t="n">
        <f aca="false">IFERROR(IF($C220="","",IF($D220="","",IFERROR(ROUND($D220*INDEX('🔖 배합비 참조'!$B$2:$CE$83,MATCH("두류가공품(통팥고물)",'🔖 배합비 참조'!$A$2:$A$83,0),MATCH($C220,'🔖 배합비 참조'!$B$1:$CE$1,0))/100,0),""))),"")</f>
        <v>0</v>
      </c>
      <c r="AM220" s="42" t="n">
        <f aca="false">IFERROR(IF($C220="","",IF($D220="","",IFERROR(ROUND($D220*INDEX('🔖 배합비 참조'!$B$2:$CE$83,MATCH("딸기레진",'🔖 배합비 참조'!$A$2:$A$83,0),MATCH($C220,'🔖 배합비 참조'!$B$1:$CE$1,0))/100,0),""))),"")</f>
        <v>0</v>
      </c>
      <c r="AN220" s="42" t="n">
        <f aca="false">IFERROR(IF($C220="","",IF($D220="","",IFERROR(ROUND($D220*INDEX('🔖 배합비 참조'!$B$2:$CE$83,MATCH("딸기분말(스트로우베리에이드(분말))",'🔖 배합비 참조'!$A$2:$A$83,0),MATCH($C220,'🔖 배합비 참조'!$B$1:$CE$1,0))/100,0),""))),"")</f>
        <v>0</v>
      </c>
      <c r="AO220" s="42" t="n">
        <f aca="false">IFERROR(IF($C220="","",IF($D220="","",IFERROR(ROUND($D220*INDEX('🔖 배합비 참조'!$B$2:$CE$83,MATCH("마스카포네치즈",'🔖 배합비 참조'!$A$2:$A$83,0),MATCH($C220,'🔖 배합비 참조'!$B$1:$CE$1,0))/100,0),""))),"")</f>
        <v>8</v>
      </c>
      <c r="AP220" s="42" t="n">
        <f aca="false">IFERROR(IF($C220="","",IF($D220="","",IFERROR(ROUND($D220*INDEX('🔖 배합비 참조'!$B$2:$CE$83,MATCH("마카다미아분태(호주산)",'🔖 배합비 참조'!$A$2:$A$83,0),MATCH($C220,'🔖 배합비 참조'!$B$1:$CE$1,0))/100,0),""))),"")</f>
        <v>0</v>
      </c>
      <c r="AQ220" s="42" t="n">
        <f aca="false">IFERROR(IF($C220="","",IF($D220="","",IFERROR(ROUND($D220*INDEX('🔖 배합비 참조'!$B$2:$CE$83,MATCH("멥쌀(국내산)",'🔖 배합비 참조'!$A$2:$A$83,0),MATCH($C220,'🔖 배합비 참조'!$B$1:$CE$1,0))/100,0),""))),"")</f>
        <v>0</v>
      </c>
      <c r="AR220" s="42" t="n">
        <f aca="false">IFERROR(IF($C220="","",IF($D220="","",IFERROR(ROUND($D220*INDEX('🔖 배합비 참조'!$B$2:$CE$83,MATCH("모시잎(국내산)",'🔖 배합비 참조'!$A$2:$A$83,0),MATCH($C220,'🔖 배합비 참조'!$B$1:$CE$1,0))/100,0),""))),"")</f>
        <v>0</v>
      </c>
      <c r="AS220" s="42" t="n">
        <f aca="false">IFERROR(IF($C220="","",IF($D220="","",IFERROR(ROUND($D220*INDEX('🔖 배합비 참조'!$B$2:$CE$83,MATCH("물엿(저당물엿)",'🔖 배합비 참조'!$A$2:$A$83,0),MATCH($C220,'🔖 배합비 참조'!$B$1:$CE$1,0))/100,0),""))),"")</f>
        <v>6</v>
      </c>
      <c r="AT220" s="42" t="n">
        <f aca="false">IFERROR(IF($C220="","",IF($D220="","",IFERROR(ROUND($D220*INDEX('🔖 배합비 참조'!$B$2:$CE$83,MATCH("밤다이스",'🔖 배합비 참조'!$A$2:$A$83,0),MATCH($C220,'🔖 배합비 참조'!$B$1:$CE$1,0))/100,0),""))),"")</f>
        <v>0</v>
      </c>
      <c r="AU220" s="42" t="n">
        <f aca="false">IFERROR(IF($C220="","",IF($D220="","",IFERROR(ROUND($D220*INDEX('🔖 배합비 참조'!$B$2:$CE$83,MATCH("변성전분(타피오카전분)",'🔖 배합비 참조'!$A$2:$A$83,0),MATCH($C220,'🔖 배합비 참조'!$B$1:$CE$1,0))/100,0),""))),"")</f>
        <v>0</v>
      </c>
      <c r="AV220" s="42" t="n">
        <f aca="false">IFERROR(IF($C220="","",IF($D220="","",IFERROR(ROUND($D220*INDEX('🔖 배합비 참조'!$B$2:$CE$83,MATCH("복음땅콩분태",'🔖 배합비 참조'!$A$2:$A$83,0),MATCH($C220,'🔖 배합비 참조'!$B$1:$CE$1,0))/100,0),""))),"")</f>
        <v>0</v>
      </c>
      <c r="AW220" s="42" t="n">
        <f aca="false">IFERROR(IF($C220="","",IF($D220="","",IFERROR(ROUND($D220*INDEX('🔖 배합비 참조'!$B$2:$CE$83,MATCH("사양벌꿀(국내산)",'🔖 배합비 참조'!$A$2:$A$83,0),MATCH($C220,'🔖 배합비 참조'!$B$1:$CE$1,0))/100,0),""))),"")</f>
        <v>0</v>
      </c>
      <c r="AX220" s="42" t="n">
        <f aca="false">IFERROR(IF($C220="","",IF($D220="","",IFERROR(ROUND($D220*INDEX('🔖 배합비 참조'!$B$2:$CE$83,MATCH("생크림",'🔖 배합비 참조'!$A$2:$A$83,0),MATCH($C220,'🔖 배합비 참조'!$B$1:$CE$1,0))/100,0),""))),"")</f>
        <v>7</v>
      </c>
      <c r="AY220" s="42" t="n">
        <f aca="false">IFERROR(IF($C220="","",IF($D220="","",IFERROR(ROUND($D220*INDEX('🔖 배합비 참조'!$B$2:$CE$83,MATCH("서양호박(국내산,뉴질랜드산)",'🔖 배합비 참조'!$A$2:$A$83,0),MATCH($C220,'🔖 배합비 참조'!$B$1:$CE$1,0))/100,0),""))),"")</f>
        <v>0</v>
      </c>
      <c r="AZ220" s="42" t="n">
        <f aca="false">IFERROR(IF($C220="","",IF($D220="","",IFERROR(ROUND($D220*INDEX('🔖 배합비 참조'!$B$2:$CE$83,MATCH("설탕",'🔖 배합비 참조'!$A$2:$A$83,0),MATCH($C220,'🔖 배합비 참조'!$B$1:$CE$1,0))/100,0),""))),"")</f>
        <v>2</v>
      </c>
      <c r="BA220" s="42" t="n">
        <f aca="false">IFERROR(IF($C220="","",IF($D220="","",IFERROR(ROUND($D220*INDEX('🔖 배합비 참조'!$B$2:$CE$83,MATCH("스트로우베리 에이드 후레쉬",'🔖 배합비 참조'!$A$2:$A$83,0),MATCH($C220,'🔖 배합비 참조'!$B$1:$CE$1,0))/100,0),""))),"")</f>
        <v>0</v>
      </c>
      <c r="BB220" s="42" t="n">
        <f aca="false">IFERROR(IF($C220="","",IF($D220="","",IFERROR(ROUND($D220*INDEX('🔖 배합비 참조'!$B$2:$CE$83,MATCH("식물성기름혼합제제(분홍)",'🔖 배합비 참조'!$A$2:$A$83,0),MATCH($C220,'🔖 배합비 참조'!$B$1:$CE$1,0))/100,0),""))),"")</f>
        <v>0</v>
      </c>
      <c r="BC220" s="42" t="n">
        <f aca="false">IFERROR(IF($C220="","",IF($D220="","",IFERROR(ROUND($D220*INDEX('🔖 배합비 참조'!$B$2:$CE$83,MATCH("식물성기름혼합제제(초록)",'🔖 배합비 참조'!$A$2:$A$83,0),MATCH($C220,'🔖 배합비 참조'!$B$1:$CE$1,0))/100,0),""))),"")</f>
        <v>0</v>
      </c>
      <c r="BD220" s="42" t="n">
        <f aca="false">IFERROR(IF($C220="","",IF($D220="","",IFERROR(ROUND($D220*INDEX('🔖 배합비 참조'!$B$2:$CE$83,MATCH("식물성기름혼합제제(황색)",'🔖 배합비 참조'!$A$2:$A$83,0),MATCH($C220,'🔖 배합비 참조'!$B$1:$CE$1,0))/100,0),""))),"")</f>
        <v>0</v>
      </c>
      <c r="BE220" s="42" t="n">
        <f aca="false">IFERROR(IF($C220="","",IF($D220="","",IFERROR(ROUND($D220*INDEX('🔖 배합비 참조'!$B$2:$CE$83,MATCH("쑥가루(국내산)",'🔖 배합비 참조'!$A$2:$A$83,0),MATCH($C220,'🔖 배합비 참조'!$B$1:$CE$1,0))/100,0),""))),"")</f>
        <v>0</v>
      </c>
      <c r="BF220" s="42" t="n">
        <f aca="false">IFERROR(IF($C220="","",IF($D220="","",IFERROR(ROUND($D220*INDEX('🔖 배합비 참조'!$B$2:$CE$83,MATCH("아몬드슬라이스",'🔖 배합비 참조'!$A$2:$A$83,0),MATCH($C220,'🔖 배합비 참조'!$B$1:$CE$1,0))/100,0),""))),"")</f>
        <v>0</v>
      </c>
      <c r="BG220" s="42" t="n">
        <f aca="false">IFERROR(IF($C220="","",IF($D220="","",IFERROR(ROUND($D220*INDEX('🔖 배합비 참조'!$B$2:$CE$83,MATCH("알룰로오스(국내산)",'🔖 배합비 참조'!$A$2:$A$83,0),MATCH($C220,'🔖 배합비 참조'!$B$1:$CE$1,0))/100,0),""))),"")</f>
        <v>0</v>
      </c>
      <c r="BH220" s="42" t="n">
        <f aca="false">IFERROR(IF($C220="","",IF($D220="","",IFERROR(ROUND($D220*INDEX('🔖 배합비 참조'!$B$2:$CE$83,MATCH("연유",'🔖 배합비 참조'!$A$2:$A$83,0),MATCH($C220,'🔖 배합비 참조'!$B$1:$CE$1,0))/100,0),""))),"")</f>
        <v>1</v>
      </c>
      <c r="BI220" s="42" t="n">
        <f aca="false">IFERROR(IF($C220="","",IF($D220="","",IFERROR(ROUND($D220*INDEX('🔖 배합비 참조'!$B$2:$CE$83,MATCH("옥수수전분",'🔖 배합비 참조'!$A$2:$A$83,0),MATCH($C220,'🔖 배합비 참조'!$B$1:$CE$1,0))/100,0),""))),"")</f>
        <v>0</v>
      </c>
      <c r="BJ220" s="42" t="n">
        <f aca="false">IFERROR(IF($C220="","",IF($D220="","",IFERROR(ROUND($D220*INDEX('🔖 배합비 참조'!$B$2:$CE$83,MATCH("완두배기",'🔖 배합비 참조'!$A$2:$A$83,0),MATCH($C220,'🔖 배합비 참조'!$B$1:$CE$1,0))/100,0),""))),"")</f>
        <v>0</v>
      </c>
      <c r="BK220" s="42" t="n">
        <f aca="false">IFERROR(IF($C220="","",IF($D220="","",IFERROR(ROUND($D220*INDEX('🔖 배합비 참조'!$B$2:$CE$83,MATCH("우유(국내산)",'🔖 배합비 참조'!$A$2:$A$83,0),MATCH($C220,'🔖 배합비 참조'!$B$1:$CE$1,0))/100,0),""))),"")</f>
        <v>0</v>
      </c>
      <c r="BL220" s="42" t="n">
        <f aca="false">IFERROR(IF($C220="","",IF($D220="","",IFERROR(ROUND($D220*INDEX('🔖 배합비 참조'!$B$2:$CE$83,MATCH("자색고구마가루(중국산)",'🔖 배합비 참조'!$A$2:$A$83,0),MATCH($C220,'🔖 배합비 참조'!$B$1:$CE$1,0))/100,0),""))),"")</f>
        <v>0</v>
      </c>
      <c r="BM220" s="42" t="n">
        <f aca="false">IFERROR(IF($C220="","",IF($D220="","",IFERROR(ROUND($D220*INDEX('🔖 배합비 참조'!$B$2:$CE$83,MATCH("자연치즈(체다치즈)",'🔖 배합비 참조'!$A$2:$A$83,0),MATCH($C220,'🔖 배합비 참조'!$B$1:$CE$1,0))/100,0),""))),"")</f>
        <v>0</v>
      </c>
      <c r="BN220" s="42" t="n">
        <f aca="false">IFERROR(IF($C220="","",IF($D220="","",IFERROR(ROUND($D220*INDEX('🔖 배합비 참조'!$B$2:$CE$83,MATCH("정제수",'🔖 배합비 참조'!$A$2:$A$83,0),MATCH($C220,'🔖 배합비 참조'!$B$1:$CE$1,0))/100,0),""))),"")</f>
        <v>3</v>
      </c>
      <c r="BO220" s="42" t="n">
        <f aca="false">IFERROR(IF($C220="","",IF($D220="","",IFERROR(ROUND($D220*INDEX('🔖 배합비 참조'!$B$2:$CE$83,MATCH("젤라틴",'🔖 배합비 참조'!$A$2:$A$83,0),MATCH($C220,'🔖 배합비 참조'!$B$1:$CE$1,0))/100,0),""))),"")</f>
        <v>0</v>
      </c>
      <c r="BP220" s="42" t="n">
        <f aca="false">IFERROR(IF($C220="","",IF($D220="","",IFERROR(ROUND($D220*INDEX('🔖 배합비 참조'!$B$2:$CE$83,MATCH("조림류(백옥앙금)",'🔖 배합비 참조'!$A$2:$A$83,0),MATCH($C220,'🔖 배합비 참조'!$B$1:$CE$1,0))/100,0),""))),"")</f>
        <v>11</v>
      </c>
      <c r="BQ220" s="42" t="n">
        <f aca="false">IFERROR(IF($C220="","",IF($D220="","",IFERROR(ROUND($D220*INDEX('🔖 배합비 참조'!$B$2:$CE$83,MATCH("조림류(통팥앙금)",'🔖 배합비 참조'!$A$2:$A$83,0),MATCH($C220,'🔖 배합비 참조'!$B$1:$CE$1,0))/100,0),""))),"")</f>
        <v>0</v>
      </c>
      <c r="BR220" s="42" t="n">
        <f aca="false">IFERROR(IF($C220="","",IF($D220="","",IFERROR(ROUND($D220*INDEX('🔖 배합비 참조'!$B$2:$CE$83,MATCH("준초콜릿(외국산)",'🔖 배합비 참조'!$A$2:$A$83,0),MATCH($C220,'🔖 배합비 참조'!$B$1:$CE$1,0))/100,0),""))),"")</f>
        <v>0</v>
      </c>
      <c r="BS220" s="42" t="n">
        <f aca="false">IFERROR(IF($C220="","",IF($D220="","",IFERROR(ROUND($D220*INDEX('🔖 배합비 참조'!$B$2:$CE$83,MATCH("중력분",'🔖 배합비 참조'!$A$2:$A$83,0),MATCH($C220,'🔖 배합비 참조'!$B$1:$CE$1,0))/100,0),""))),"")</f>
        <v>0</v>
      </c>
      <c r="BT220" s="42" t="n">
        <f aca="false">IFERROR(IF($C220="","",IF($D220="","",IFERROR(ROUND($D220*INDEX('🔖 배합비 참조'!$B$2:$CE$83,MATCH("참깨(인도산,나이지리아산,탄자니아산,미얀마산)",'🔖 배합비 참조'!$A$2:$A$83,0),MATCH($C220,'🔖 배합비 참조'!$B$1:$CE$1,0))/100,0),""))),"")</f>
        <v>0</v>
      </c>
      <c r="BU220" s="42" t="n">
        <f aca="false">IFERROR(IF($C220="","",IF($D220="","",IFERROR(ROUND($D220*INDEX('🔖 배합비 참조'!$B$2:$CE$83,MATCH("찹쌀(국내산)",'🔖 배합비 참조'!$A$2:$A$83,0),MATCH($C220,'🔖 배합비 참조'!$B$1:$CE$1,0))/100,0),""))),"")</f>
        <v>59</v>
      </c>
      <c r="BV220" s="42" t="n">
        <f aca="false">IFERROR(IF($C220="","",IF($D220="","",IFERROR(ROUND($D220*INDEX('🔖 배합비 참조'!$B$2:$CE$83,MATCH("천일염",'🔖 배합비 참조'!$A$2:$A$83,0),MATCH($C220,'🔖 배합비 참조'!$B$1:$CE$1,0))/100,0),""))),"")</f>
        <v>0</v>
      </c>
      <c r="BW220" s="42" t="n">
        <f aca="false">IFERROR(IF($C220="","",IF($D220="","",IFERROR(ROUND($D220*INDEX('🔖 배합비 참조'!$B$2:$CE$83,MATCH("치즈 [크림치즈]",'🔖 배합비 참조'!$A$2:$A$83,0),MATCH($C220,'🔖 배합비 참조'!$B$1:$CE$1,0))/100,0),""))),"")</f>
        <v>7</v>
      </c>
      <c r="BX220" s="42" t="n">
        <f aca="false">IFERROR(IF($C220="","",IF($D220="","",IFERROR(ROUND($D220*INDEX('🔖 배합비 참조'!$B$2:$CE$83,MATCH("코코아가공품류(코코아분말)",'🔖 배합비 참조'!$A$2:$A$83,0),MATCH($C220,'🔖 배합비 참조'!$B$1:$CE$1,0))/100,0),""))),"")</f>
        <v>0</v>
      </c>
      <c r="BY220" s="42" t="n">
        <f aca="false">IFERROR(IF($C220="","",IF($D220="","",IFERROR(ROUND($D220*INDEX('🔖 배합비 참조'!$B$2:$CE$83,MATCH("콩기름(대두유)",'🔖 배합비 참조'!$A$2:$A$83,0),MATCH($C220,'🔖 배합비 참조'!$B$1:$CE$1,0))/100,0),""))),"")</f>
        <v>0</v>
      </c>
      <c r="BZ220" s="42" t="n">
        <f aca="false">IFERROR(IF($C220="","",IF($D220="","",IFERROR(ROUND($D220*INDEX('🔖 배합비 참조'!$B$2:$CE$83,MATCH("해바라기씨앗",'🔖 배합비 참조'!$A$2:$A$83,0),MATCH($C220,'🔖 배합비 참조'!$B$1:$CE$1,0))/100,0),""))),"")</f>
        <v>0</v>
      </c>
      <c r="CA220" s="42" t="n">
        <f aca="false">IFERROR(IF($C220="","",IF($D220="","",IFERROR(ROUND($D220*INDEX('🔖 배합비 참조'!$B$2:$CE$83,MATCH("현미(국내산)",'🔖 배합비 참조'!$A$2:$A$83,0),MATCH($C220,'🔖 배합비 참조'!$B$1:$CE$1,0))/100,0),""))),"")</f>
        <v>0</v>
      </c>
      <c r="CB220" s="42" t="n">
        <f aca="false">IFERROR(IF($C220="","",IF($D220="","",IFERROR(ROUND($D220*INDEX('🔖 배합비 참조'!$B$2:$CE$83,MATCH("현미멥쌀(국내산)",'🔖 배합비 참조'!$A$2:$A$83,0),MATCH($C220,'🔖 배합비 참조'!$B$1:$CE$1,0))/100,0),""))),"")</f>
        <v>0</v>
      </c>
      <c r="CC220" s="42" t="n">
        <f aca="false">IFERROR(IF($C220="","",IF($D220="","",IFERROR(ROUND($D220*INDEX('🔖 배합비 참조'!$B$2:$CE$83,MATCH("호두분태(미국산)",'🔖 배합비 참조'!$A$2:$A$83,0),MATCH($C220,'🔖 배합비 참조'!$B$1:$CE$1,0))/100,0),""))),"")</f>
        <v>0</v>
      </c>
      <c r="CD220" s="42" t="n">
        <f aca="false">IFERROR(IF($C220="","",IF($D220="","",IFERROR(ROUND($D220*INDEX('🔖 배합비 참조'!$B$2:$CE$83,MATCH("호박씨앗(외국산)",'🔖 배합비 참조'!$A$2:$A$83,0),MATCH($C220,'🔖 배합비 참조'!$B$1:$CE$1,0))/100,0),""))),"")</f>
        <v>0</v>
      </c>
      <c r="CE220" s="42" t="n">
        <f aca="false">IFERROR(IF($C220="","",IF($D220="","",IFERROR(ROUND($D220*INDEX('🔖 배합비 참조'!$B$2:$CE$83,MATCH("혼합제제(떡용에스텔)",'🔖 배합비 참조'!$A$2:$A$83,0),MATCH($C220,'🔖 배합비 참조'!$B$1:$CE$1,0))/100,0),""))),"")</f>
        <v>0</v>
      </c>
      <c r="CF220" s="42" t="n">
        <f aca="false">IFERROR(IF($C220="","",IF($D220="","",IFERROR(ROUND($D220*INDEX('🔖 배합비 참조'!$B$2:$CE$83,MATCH("혼합제제(스테비아)",'🔖 배합비 참조'!$A$2:$A$83,0),MATCH($C220,'🔖 배합비 참조'!$B$1:$CE$1,0))/100,0),""))),"")</f>
        <v>0</v>
      </c>
      <c r="CG220" s="42" t="n">
        <f aca="false">IFERROR(IF($C220="","",IF($D220="","",IFERROR(ROUND($D220*INDEX('🔖 배합비 참조'!$B$2:$CE$83,MATCH("화이트초콜릿",'🔖 배합비 참조'!$A$2:$A$83,0),MATCH($C220,'🔖 배합비 참조'!$B$1:$CE$1,0))/100,0),""))),"")</f>
        <v>2</v>
      </c>
      <c r="CH220" s="42" t="n">
        <f aca="false">IFERROR(IF($C220="","",IF($D220="","",IFERROR(ROUND($D220*INDEX('🔖 배합비 참조'!$B$2:$CE$83,MATCH("흑미찹쌀(국내산)",'🔖 배합비 참조'!$A$2:$A$83,0),MATCH($C220,'🔖 배합비 참조'!$B$1:$CE$1,0))/100,0),""))),"")</f>
        <v>0</v>
      </c>
      <c r="CI220" s="42" t="n">
        <f aca="false">IFERROR(IF($C220="","",IF($D220="","",IFERROR(ROUND($D220*INDEX('🔖 배합비 참조'!$B$2:$CE$83,MATCH("찰옥수수전분(미국산)",'🔖 배합비 참조'!$A$2:$A$83,0),MATCH($C220,'🔖 배합비 참조'!$B$1:$CE$1,0))/100,0),""))),"")</f>
        <v>0</v>
      </c>
      <c r="CJ220" s="40"/>
      <c r="CL220" s="1" t="s">
        <v>247</v>
      </c>
    </row>
    <row r="221" customFormat="false" ht="18" hidden="false" customHeight="true" outlineLevel="0" collapsed="false">
      <c r="A221" s="35" t="n">
        <v>217</v>
      </c>
      <c r="B221" s="36" t="n">
        <v>46062</v>
      </c>
      <c r="C221" s="37" t="s">
        <v>144</v>
      </c>
      <c r="D221" s="38" t="n">
        <v>70</v>
      </c>
      <c r="E221" s="13"/>
      <c r="F221" s="13"/>
      <c r="G221" s="39" t="n">
        <f aca="false">IFERROR(IF($C221="","",IF($D221="","",IFERROR(ROUND($D221*INDEX('🔖 배합비 참조'!$B$2:$CE$83,MATCH("간장",'🔖 배합비 참조'!$A$2:$A$83,0),MATCH($C221,'🔖 배합비 참조'!$B$1:$CE$1,0))/100,0),""))),"")</f>
        <v>0</v>
      </c>
      <c r="H221" s="39" t="n">
        <f aca="false">IFERROR(IF($C221="","",IF($D221="","",IFERROR(ROUND($D221*INDEX('🔖 배합비 참조'!$B$2:$CE$83,MATCH("강낭콩((울타리콩))",'🔖 배합비 참조'!$A$2:$A$83,0),MATCH($C221,'🔖 배합비 참조'!$B$1:$CE$1,0))/100,0),""))),"")</f>
        <v>0</v>
      </c>
      <c r="I221" s="39" t="n">
        <f aca="false">IFERROR(IF($C221="","",IF($D221="","",IFERROR(ROUND($D221*INDEX('🔖 배합비 참조'!$B$2:$CE$83,MATCH("건조딸기다이스(외국산)",'🔖 배합비 참조'!$A$2:$A$83,0),MATCH($C221,'🔖 배합비 참조'!$B$1:$CE$1,0))/100,0),""))),"")</f>
        <v>0</v>
      </c>
      <c r="J221" s="39" t="n">
        <f aca="false">IFERROR(IF($C221="","",IF($D221="","",IFERROR(ROUND($D221*INDEX('🔖 배합비 참조'!$B$2:$CE$83,MATCH("건포도",'🔖 배합비 참조'!$A$2:$A$83,0),MATCH($C221,'🔖 배합비 참조'!$B$1:$CE$1,0))/100,0),""))),"")</f>
        <v>0</v>
      </c>
      <c r="K221" s="39" t="n">
        <f aca="false">IFERROR(IF($C221="","",IF($D221="","",IFERROR(ROUND($D221*INDEX('🔖 배합비 참조'!$B$2:$CE$83,MATCH("건호박채(중국산)",'🔖 배합비 참조'!$A$2:$A$83,0),MATCH($C221,'🔖 배합비 참조'!$B$1:$CE$1,0))/100,0),""))),"")</f>
        <v>0</v>
      </c>
      <c r="L221" s="39" t="n">
        <f aca="false">IFERROR(IF($C221="","",IF($D221="","",IFERROR(ROUND($D221*INDEX('🔖 배합비 참조'!$B$2:$CE$83,MATCH("검정깨(흑임자)",'🔖 배합비 참조'!$A$2:$A$83,0),MATCH($C221,'🔖 배합비 참조'!$B$1:$CE$1,0))/100,0),""))),"")</f>
        <v>0</v>
      </c>
      <c r="M221" s="39" t="n">
        <f aca="false">IFERROR(IF($C221="","",IF($D221="","",IFERROR(ROUND($D221*INDEX('🔖 배합비 참조'!$B$2:$CE$83,MATCH("검정콩",'🔖 배합비 참조'!$A$2:$A$83,0),MATCH($C221,'🔖 배합비 참조'!$B$1:$CE$1,0))/100,0),""))),"")</f>
        <v>0</v>
      </c>
      <c r="N221" s="39" t="n">
        <f aca="false">IFERROR(IF($C221="","",IF($D221="","",IFERROR(ROUND($D221*INDEX('🔖 배합비 참조'!$B$2:$CE$83,MATCH("계피가루",'🔖 배합비 참조'!$A$2:$A$83,0),MATCH($C221,'🔖 배합비 참조'!$B$1:$CE$1,0))/100,0),""))),"")</f>
        <v>0</v>
      </c>
      <c r="O221" s="39" t="n">
        <f aca="false">IFERROR(IF($C221="","",IF($D221="","",IFERROR(ROUND($D221*INDEX('🔖 배합비 참조'!$B$2:$CE$83,MATCH("고구마가루",'🔖 배합비 참조'!$A$2:$A$83,0),MATCH($C221,'🔖 배합비 참조'!$B$1:$CE$1,0))/100,0),""))),"")</f>
        <v>0</v>
      </c>
      <c r="P221" s="39" t="n">
        <f aca="false">IFERROR(IF($C221="","",IF($D221="","",IFERROR(ROUND($D221*INDEX('🔖 배합비 참조'!$B$2:$CE$83,MATCH("고구마무스",'🔖 배합비 참조'!$A$2:$A$83,0),MATCH($C221,'🔖 배합비 참조'!$B$1:$CE$1,0))/100,0),""))),"")</f>
        <v>0</v>
      </c>
      <c r="Q221" s="39" t="n">
        <f aca="false">IFERROR(IF($C221="","",IF($D221="","",IFERROR(ROUND($D221*INDEX('🔖 배합비 참조'!$B$2:$CE$83,MATCH("고려엉겅퀴((곤드레)국내산)",'🔖 배합비 참조'!$A$2:$A$83,0),MATCH($C221,'🔖 배합비 참조'!$B$1:$CE$1,0))/100,0),""))),"")</f>
        <v>0</v>
      </c>
      <c r="R221" s="39" t="n">
        <f aca="false">IFERROR(IF($C221="","",IF($D221="","",IFERROR(ROUND($D221*INDEX('🔖 배합비 참조'!$B$2:$CE$83,MATCH("기타가공품(복분자가루)",'🔖 배합비 참조'!$A$2:$A$83,0),MATCH($C221,'🔖 배합비 참조'!$B$1:$CE$1,0))/100,0),""))),"")</f>
        <v>0</v>
      </c>
      <c r="S221" s="39" t="n">
        <f aca="false">IFERROR(IF($C221="","",IF($D221="","",IFERROR(ROUND($D221*INDEX('🔖 배합비 참조'!$B$2:$CE$83,MATCH("기타가공품(슈퍼소프트엠)",'🔖 배합비 참조'!$A$2:$A$83,0),MATCH($C221,'🔖 배합비 참조'!$B$1:$CE$1,0))/100,0),""))),"")</f>
        <v>0</v>
      </c>
      <c r="T221" s="39" t="n">
        <f aca="false">IFERROR(IF($C221="","",IF($D221="","",IFERROR(ROUND($D221*INDEX('🔖 배합비 참조'!$B$2:$CE$83,MATCH("기타가공품(파인소프트 E-티)",'🔖 배합비 참조'!$A$2:$A$83,0),MATCH($C221,'🔖 배합비 참조'!$B$1:$CE$1,0))/100,0),""))),"")</f>
        <v>0</v>
      </c>
      <c r="U221" s="39" t="n">
        <f aca="false">IFERROR(IF($C221="","",IF($D221="","",IFERROR(ROUND($D221*INDEX('🔖 배합비 참조'!$B$2:$CE$83,MATCH("기타가공품(프리미엄카스테라가루)",'🔖 배합비 참조'!$A$2:$A$83,0),MATCH($C221,'🔖 배합비 참조'!$B$1:$CE$1,0))/100,0),""))),"")</f>
        <v>0</v>
      </c>
      <c r="V221" s="39" t="n">
        <f aca="false">IFERROR(IF($C221="","",IF($D221="","",IFERROR(ROUND($D221*INDEX('🔖 배합비 참조'!$B$2:$CE$83,MATCH("기타가공품(흑임자가루)",'🔖 배합비 참조'!$A$2:$A$83,0),MATCH($C221,'🔖 배합비 참조'!$B$1:$CE$1,0))/100,0),""))),"")</f>
        <v>0</v>
      </c>
      <c r="W221" s="39" t="n">
        <f aca="false">IFERROR(IF($C221="","",IF($D221="","",IFERROR(ROUND($D221*INDEX('🔖 배합비 참조'!$B$2:$CE$83,MATCH("기타설탕(흑설탕)",'🔖 배합비 참조'!$A$2:$A$83,0),MATCH($C221,'🔖 배합비 참조'!$B$1:$CE$1,0))/100,0),""))),"")</f>
        <v>0</v>
      </c>
      <c r="X221" s="39" t="n">
        <f aca="false">IFERROR(IF($C221="","",IF($D221="","",IFERROR(ROUND($D221*INDEX('🔖 배합비 참조'!$B$2:$CE$83,MATCH("냉동쑥(국내산)",'🔖 배합비 참조'!$A$2:$A$83,0),MATCH($C221,'🔖 배합비 참조'!$B$1:$CE$1,0))/100,0),""))),"")</f>
        <v>0</v>
      </c>
      <c r="Y221" s="39" t="n">
        <f aca="false">IFERROR(IF($C221="","",IF($D221="","",IFERROR(ROUND($D221*INDEX('🔖 배합비 참조'!$B$2:$CE$83,MATCH("냉동증숙고구마(중국산)",'🔖 배합비 참조'!$A$2:$A$83,0),MATCH($C221,'🔖 배합비 참조'!$B$1:$CE$1,0))/100,0),""))),"")</f>
        <v>0</v>
      </c>
      <c r="Z221" s="39" t="n">
        <f aca="false">IFERROR(IF($C221="","",IF($D221="","",IFERROR(ROUND($D221*INDEX('🔖 배합비 참조'!$B$2:$CE$83,MATCH("녹차가루",'🔖 배합비 참조'!$A$2:$A$83,0),MATCH($C221,'🔖 배합비 참조'!$B$1:$CE$1,0))/100,0),""))),"")</f>
        <v>0</v>
      </c>
      <c r="AA221" s="39" t="n">
        <f aca="false">IFERROR(IF($C221="","",IF($D221="","",IFERROR(ROUND($D221*INDEX('🔖 배합비 참조'!$B$2:$CE$83,MATCH("다크초콜릿 컴파운드칩",'🔖 배합비 참조'!$A$2:$A$83,0),MATCH($C221,'🔖 배합비 참조'!$B$1:$CE$1,0))/100,0),""))),"")</f>
        <v>0</v>
      </c>
      <c r="AB221" s="39" t="n">
        <f aca="false">IFERROR(IF($C221="","",IF($D221="","",IFERROR(ROUND($D221*INDEX('🔖 배합비 참조'!$B$2:$CE$83,MATCH("단호박분말(중국산)",'🔖 배합비 참조'!$A$2:$A$83,0),MATCH($C221,'🔖 배합비 참조'!$B$1:$CE$1,0))/100,0),""))),"")</f>
        <v>0</v>
      </c>
      <c r="AC221" s="39" t="n">
        <f aca="false">IFERROR(IF($C221="","",IF($D221="","",IFERROR(ROUND($D221*INDEX('🔖 배합비 참조'!$B$2:$CE$83,MATCH("당류가공품(단호박농축액)",'🔖 배합비 참조'!$A$2:$A$83,0),MATCH($C221,'🔖 배합비 참조'!$B$1:$CE$1,0))/100,0),""))),"")</f>
        <v>0</v>
      </c>
      <c r="AD221" s="39" t="n">
        <f aca="false">IFERROR(IF($C221="","",IF($D221="","",IFERROR(ROUND($D221*INDEX('🔖 배합비 참조'!$B$2:$CE$83,MATCH("당류가공품(알룰로스,에리스리톨,스테비올배당체혼합)",'🔖 배합비 참조'!$A$2:$A$83,0),MATCH($C221,'🔖 배합비 참조'!$B$1:$CE$1,0))/100,0),""))),"")</f>
        <v>0</v>
      </c>
      <c r="AE221" s="39" t="n">
        <f aca="false">IFERROR(IF($C221="","",IF($D221="","",IFERROR(ROUND($D221*INDEX('🔖 배합비 참조'!$B$2:$CE$83,MATCH("당류가공품(알룰로스제로파우더)",'🔖 배합비 참조'!$A$2:$A$83,0),MATCH($C221,'🔖 배합비 참조'!$B$1:$CE$1,0))/100,0),""))),"")</f>
        <v>0</v>
      </c>
      <c r="AF221" s="39" t="n">
        <f aca="false">IFERROR(IF($C221="","",IF($D221="","",IFERROR(ROUND($D221*INDEX('🔖 배합비 참조'!$B$2:$CE$83,MATCH("당절임(완두배기)",'🔖 배합비 참조'!$A$2:$A$83,0),MATCH($C221,'🔖 배합비 참조'!$B$1:$CE$1,0))/100,0),""))),"")</f>
        <v>0</v>
      </c>
      <c r="AG221" s="39" t="n">
        <f aca="false">IFERROR(IF($C221="","",IF($D221="","",IFERROR(ROUND($D221*INDEX('🔖 배합비 참조'!$B$2:$CE$83,MATCH("대추농축액",'🔖 배합비 참조'!$A$2:$A$83,0),MATCH($C221,'🔖 배합비 참조'!$B$1:$CE$1,0))/100,0),""))),"")</f>
        <v>0</v>
      </c>
      <c r="AH221" s="39" t="n">
        <f aca="false">IFERROR(IF($C221="","",IF($D221="","",IFERROR(ROUND($D221*INDEX('🔖 배합비 참조'!$B$2:$CE$83,MATCH("대추채(국내산)",'🔖 배합비 참조'!$A$2:$A$83,0),MATCH($C221,'🔖 배합비 참조'!$B$1:$CE$1,0))/100,0),""))),"")</f>
        <v>0</v>
      </c>
      <c r="AI221" s="39" t="n">
        <f aca="false">IFERROR(IF($C221="","",IF($D221="","",IFERROR(ROUND($D221*INDEX('🔖 배합비 참조'!$B$2:$CE$83,MATCH("동부(미얀마산)",'🔖 배합비 참조'!$A$2:$A$83,0),MATCH($C221,'🔖 배합비 참조'!$B$1:$CE$1,0))/100,0),""))),"")</f>
        <v>0</v>
      </c>
      <c r="AJ221" s="39" t="n">
        <f aca="false">IFERROR(IF($C221="","",IF($D221="","",IFERROR(ROUND($D221*INDEX('🔖 배합비 참조'!$B$2:$CE$83,MATCH("두류가공품(백옥앙금)",'🔖 배합비 참조'!$A$2:$A$83,0),MATCH($C221,'🔖 배합비 참조'!$B$1:$CE$1,0))/100,0),""))),"")</f>
        <v>0</v>
      </c>
      <c r="AK221" s="39" t="n">
        <f aca="false">IFERROR(IF($C221="","",IF($D221="","",IFERROR(ROUND($D221*INDEX('🔖 배합비 참조'!$B$2:$CE$83,MATCH("두류가공품(콩고물)",'🔖 배합비 참조'!$A$2:$A$83,0),MATCH($C221,'🔖 배합비 참조'!$B$1:$CE$1,0))/100,0),""))),"")</f>
        <v>2</v>
      </c>
      <c r="AL221" s="39" t="n">
        <f aca="false">IFERROR(IF($C221="","",IF($D221="","",IFERROR(ROUND($D221*INDEX('🔖 배합비 참조'!$B$2:$CE$83,MATCH("두류가공품(통팥고물)",'🔖 배합비 참조'!$A$2:$A$83,0),MATCH($C221,'🔖 배합비 참조'!$B$1:$CE$1,0))/100,0),""))),"")</f>
        <v>0</v>
      </c>
      <c r="AM221" s="39" t="n">
        <f aca="false">IFERROR(IF($C221="","",IF($D221="","",IFERROR(ROUND($D221*INDEX('🔖 배합비 참조'!$B$2:$CE$83,MATCH("딸기레진",'🔖 배합비 참조'!$A$2:$A$83,0),MATCH($C221,'🔖 배합비 참조'!$B$1:$CE$1,0))/100,0),""))),"")</f>
        <v>0</v>
      </c>
      <c r="AN221" s="39" t="n">
        <f aca="false">IFERROR(IF($C221="","",IF($D221="","",IFERROR(ROUND($D221*INDEX('🔖 배합비 참조'!$B$2:$CE$83,MATCH("딸기분말(스트로우베리에이드(분말))",'🔖 배합비 참조'!$A$2:$A$83,0),MATCH($C221,'🔖 배합비 참조'!$B$1:$CE$1,0))/100,0),""))),"")</f>
        <v>0</v>
      </c>
      <c r="AO221" s="39" t="n">
        <f aca="false">IFERROR(IF($C221="","",IF($D221="","",IFERROR(ROUND($D221*INDEX('🔖 배합비 참조'!$B$2:$CE$83,MATCH("마스카포네치즈",'🔖 배합비 참조'!$A$2:$A$83,0),MATCH($C221,'🔖 배합비 참조'!$B$1:$CE$1,0))/100,0),""))),"")</f>
        <v>0</v>
      </c>
      <c r="AP221" s="39" t="n">
        <f aca="false">IFERROR(IF($C221="","",IF($D221="","",IFERROR(ROUND($D221*INDEX('🔖 배합비 참조'!$B$2:$CE$83,MATCH("마카다미아분태(호주산)",'🔖 배합비 참조'!$A$2:$A$83,0),MATCH($C221,'🔖 배합비 참조'!$B$1:$CE$1,0))/100,0),""))),"")</f>
        <v>0</v>
      </c>
      <c r="AQ221" s="39" t="n">
        <f aca="false">IFERROR(IF($C221="","",IF($D221="","",IFERROR(ROUND($D221*INDEX('🔖 배합비 참조'!$B$2:$CE$83,MATCH("멥쌀(국내산)",'🔖 배합비 참조'!$A$2:$A$83,0),MATCH($C221,'🔖 배합비 참조'!$B$1:$CE$1,0))/100,0),""))),"")</f>
        <v>0</v>
      </c>
      <c r="AR221" s="39" t="n">
        <f aca="false">IFERROR(IF($C221="","",IF($D221="","",IFERROR(ROUND($D221*INDEX('🔖 배합비 참조'!$B$2:$CE$83,MATCH("모시잎(국내산)",'🔖 배합비 참조'!$A$2:$A$83,0),MATCH($C221,'🔖 배합비 참조'!$B$1:$CE$1,0))/100,0),""))),"")</f>
        <v>0</v>
      </c>
      <c r="AS221" s="39" t="n">
        <f aca="false">IFERROR(IF($C221="","",IF($D221="","",IFERROR(ROUND($D221*INDEX('🔖 배합비 참조'!$B$2:$CE$83,MATCH("물엿(저당물엿)",'🔖 배합비 참조'!$A$2:$A$83,0),MATCH($C221,'🔖 배합비 참조'!$B$1:$CE$1,0))/100,0),""))),"")</f>
        <v>3</v>
      </c>
      <c r="AT221" s="39" t="n">
        <f aca="false">IFERROR(IF($C221="","",IF($D221="","",IFERROR(ROUND($D221*INDEX('🔖 배합비 참조'!$B$2:$CE$83,MATCH("밤다이스",'🔖 배합비 참조'!$A$2:$A$83,0),MATCH($C221,'🔖 배합비 참조'!$B$1:$CE$1,0))/100,0),""))),"")</f>
        <v>0</v>
      </c>
      <c r="AU221" s="39" t="n">
        <f aca="false">IFERROR(IF($C221="","",IF($D221="","",IFERROR(ROUND($D221*INDEX('🔖 배합비 참조'!$B$2:$CE$83,MATCH("변성전분(타피오카전분)",'🔖 배합비 참조'!$A$2:$A$83,0),MATCH($C221,'🔖 배합비 참조'!$B$1:$CE$1,0))/100,0),""))),"")</f>
        <v>0</v>
      </c>
      <c r="AV221" s="39" t="n">
        <f aca="false">IFERROR(IF($C221="","",IF($D221="","",IFERROR(ROUND($D221*INDEX('🔖 배합비 참조'!$B$2:$CE$83,MATCH("복음땅콩분태",'🔖 배합비 참조'!$A$2:$A$83,0),MATCH($C221,'🔖 배합비 참조'!$B$1:$CE$1,0))/100,0),""))),"")</f>
        <v>0</v>
      </c>
      <c r="AW221" s="39" t="n">
        <f aca="false">IFERROR(IF($C221="","",IF($D221="","",IFERROR(ROUND($D221*INDEX('🔖 배합비 참조'!$B$2:$CE$83,MATCH("사양벌꿀(국내산)",'🔖 배합비 참조'!$A$2:$A$83,0),MATCH($C221,'🔖 배합비 참조'!$B$1:$CE$1,0))/100,0),""))),"")</f>
        <v>0</v>
      </c>
      <c r="AX221" s="39" t="n">
        <f aca="false">IFERROR(IF($C221="","",IF($D221="","",IFERROR(ROUND($D221*INDEX('🔖 배합비 참조'!$B$2:$CE$83,MATCH("생크림",'🔖 배합비 참조'!$A$2:$A$83,0),MATCH($C221,'🔖 배합비 참조'!$B$1:$CE$1,0))/100,0),""))),"")</f>
        <v>0</v>
      </c>
      <c r="AY221" s="39" t="n">
        <f aca="false">IFERROR(IF($C221="","",IF($D221="","",IFERROR(ROUND($D221*INDEX('🔖 배합비 참조'!$B$2:$CE$83,MATCH("서양호박(국내산,뉴질랜드산)",'🔖 배합비 참조'!$A$2:$A$83,0),MATCH($C221,'🔖 배합비 참조'!$B$1:$CE$1,0))/100,0),""))),"")</f>
        <v>0</v>
      </c>
      <c r="AZ221" s="39" t="n">
        <f aca="false">IFERROR(IF($C221="","",IF($D221="","",IFERROR(ROUND($D221*INDEX('🔖 배합비 참조'!$B$2:$CE$83,MATCH("설탕",'🔖 배합비 참조'!$A$2:$A$83,0),MATCH($C221,'🔖 배합비 참조'!$B$1:$CE$1,0))/100,0),""))),"")</f>
        <v>3</v>
      </c>
      <c r="BA221" s="39" t="n">
        <f aca="false">IFERROR(IF($C221="","",IF($D221="","",IFERROR(ROUND($D221*INDEX('🔖 배합비 참조'!$B$2:$CE$83,MATCH("스트로우베리 에이드 후레쉬",'🔖 배합비 참조'!$A$2:$A$83,0),MATCH($C221,'🔖 배합비 참조'!$B$1:$CE$1,0))/100,0),""))),"")</f>
        <v>0</v>
      </c>
      <c r="BB221" s="39" t="n">
        <f aca="false">IFERROR(IF($C221="","",IF($D221="","",IFERROR(ROUND($D221*INDEX('🔖 배합비 참조'!$B$2:$CE$83,MATCH("식물성기름혼합제제(분홍)",'🔖 배합비 참조'!$A$2:$A$83,0),MATCH($C221,'🔖 배합비 참조'!$B$1:$CE$1,0))/100,0),""))),"")</f>
        <v>0</v>
      </c>
      <c r="BC221" s="39" t="n">
        <f aca="false">IFERROR(IF($C221="","",IF($D221="","",IFERROR(ROUND($D221*INDEX('🔖 배합비 참조'!$B$2:$CE$83,MATCH("식물성기름혼합제제(초록)",'🔖 배합비 참조'!$A$2:$A$83,0),MATCH($C221,'🔖 배합비 참조'!$B$1:$CE$1,0))/100,0),""))),"")</f>
        <v>0</v>
      </c>
      <c r="BD221" s="39" t="n">
        <f aca="false">IFERROR(IF($C221="","",IF($D221="","",IFERROR(ROUND($D221*INDEX('🔖 배합비 참조'!$B$2:$CE$83,MATCH("식물성기름혼합제제(황색)",'🔖 배합비 참조'!$A$2:$A$83,0),MATCH($C221,'🔖 배합비 참조'!$B$1:$CE$1,0))/100,0),""))),"")</f>
        <v>0</v>
      </c>
      <c r="BE221" s="39" t="n">
        <f aca="false">IFERROR(IF($C221="","",IF($D221="","",IFERROR(ROUND($D221*INDEX('🔖 배합비 참조'!$B$2:$CE$83,MATCH("쑥가루(국내산)",'🔖 배합비 참조'!$A$2:$A$83,0),MATCH($C221,'🔖 배합비 참조'!$B$1:$CE$1,0))/100,0),""))),"")</f>
        <v>0</v>
      </c>
      <c r="BF221" s="39" t="n">
        <f aca="false">IFERROR(IF($C221="","",IF($D221="","",IFERROR(ROUND($D221*INDEX('🔖 배합비 참조'!$B$2:$CE$83,MATCH("아몬드슬라이스",'🔖 배합비 참조'!$A$2:$A$83,0),MATCH($C221,'🔖 배합비 참조'!$B$1:$CE$1,0))/100,0),""))),"")</f>
        <v>0</v>
      </c>
      <c r="BG221" s="39" t="n">
        <f aca="false">IFERROR(IF($C221="","",IF($D221="","",IFERROR(ROUND($D221*INDEX('🔖 배합비 참조'!$B$2:$CE$83,MATCH("알룰로오스(국내산)",'🔖 배합비 참조'!$A$2:$A$83,0),MATCH($C221,'🔖 배합비 참조'!$B$1:$CE$1,0))/100,0),""))),"")</f>
        <v>0</v>
      </c>
      <c r="BH221" s="39" t="n">
        <f aca="false">IFERROR(IF($C221="","",IF($D221="","",IFERROR(ROUND($D221*INDEX('🔖 배합비 참조'!$B$2:$CE$83,MATCH("연유",'🔖 배합비 참조'!$A$2:$A$83,0),MATCH($C221,'🔖 배합비 참조'!$B$1:$CE$1,0))/100,0),""))),"")</f>
        <v>0</v>
      </c>
      <c r="BI221" s="39" t="n">
        <f aca="false">IFERROR(IF($C221="","",IF($D221="","",IFERROR(ROUND($D221*INDEX('🔖 배합비 참조'!$B$2:$CE$83,MATCH("옥수수전분",'🔖 배합비 참조'!$A$2:$A$83,0),MATCH($C221,'🔖 배합비 참조'!$B$1:$CE$1,0))/100,0),""))),"")</f>
        <v>0</v>
      </c>
      <c r="BJ221" s="39" t="n">
        <f aca="false">IFERROR(IF($C221="","",IF($D221="","",IFERROR(ROUND($D221*INDEX('🔖 배합비 참조'!$B$2:$CE$83,MATCH("완두배기",'🔖 배합비 참조'!$A$2:$A$83,0),MATCH($C221,'🔖 배합비 참조'!$B$1:$CE$1,0))/100,0),""))),"")</f>
        <v>0</v>
      </c>
      <c r="BK221" s="39" t="n">
        <f aca="false">IFERROR(IF($C221="","",IF($D221="","",IFERROR(ROUND($D221*INDEX('🔖 배합비 참조'!$B$2:$CE$83,MATCH("우유(국내산)",'🔖 배합비 참조'!$A$2:$A$83,0),MATCH($C221,'🔖 배합비 참조'!$B$1:$CE$1,0))/100,0),""))),"")</f>
        <v>0</v>
      </c>
      <c r="BL221" s="39" t="n">
        <f aca="false">IFERROR(IF($C221="","",IF($D221="","",IFERROR(ROUND($D221*INDEX('🔖 배합비 참조'!$B$2:$CE$83,MATCH("자색고구마가루(중국산)",'🔖 배합비 참조'!$A$2:$A$83,0),MATCH($C221,'🔖 배합비 참조'!$B$1:$CE$1,0))/100,0),""))),"")</f>
        <v>0</v>
      </c>
      <c r="BM221" s="39" t="n">
        <f aca="false">IFERROR(IF($C221="","",IF($D221="","",IFERROR(ROUND($D221*INDEX('🔖 배합비 참조'!$B$2:$CE$83,MATCH("자연치즈(체다치즈)",'🔖 배합비 참조'!$A$2:$A$83,0),MATCH($C221,'🔖 배합비 참조'!$B$1:$CE$1,0))/100,0),""))),"")</f>
        <v>0</v>
      </c>
      <c r="BN221" s="39" t="n">
        <f aca="false">IFERROR(IF($C221="","",IF($D221="","",IFERROR(ROUND($D221*INDEX('🔖 배합비 참조'!$B$2:$CE$83,MATCH("정제수",'🔖 배합비 참조'!$A$2:$A$83,0),MATCH($C221,'🔖 배합비 참조'!$B$1:$CE$1,0))/100,0),""))),"")</f>
        <v>27</v>
      </c>
      <c r="BO221" s="39" t="n">
        <f aca="false">IFERROR(IF($C221="","",IF($D221="","",IFERROR(ROUND($D221*INDEX('🔖 배합비 참조'!$B$2:$CE$83,MATCH("젤라틴",'🔖 배합비 참조'!$A$2:$A$83,0),MATCH($C221,'🔖 배합비 참조'!$B$1:$CE$1,0))/100,0),""))),"")</f>
        <v>0</v>
      </c>
      <c r="BP221" s="39" t="n">
        <f aca="false">IFERROR(IF($C221="","",IF($D221="","",IFERROR(ROUND($D221*INDEX('🔖 배합비 참조'!$B$2:$CE$83,MATCH("조림류(백옥앙금)",'🔖 배합비 참조'!$A$2:$A$83,0),MATCH($C221,'🔖 배합비 참조'!$B$1:$CE$1,0))/100,0),""))),"")</f>
        <v>0</v>
      </c>
      <c r="BQ221" s="39" t="n">
        <f aca="false">IFERROR(IF($C221="","",IF($D221="","",IFERROR(ROUND($D221*INDEX('🔖 배합비 참조'!$B$2:$CE$83,MATCH("조림류(통팥앙금)",'🔖 배합비 참조'!$A$2:$A$83,0),MATCH($C221,'🔖 배합비 참조'!$B$1:$CE$1,0))/100,0),""))),"")</f>
        <v>0</v>
      </c>
      <c r="BR221" s="39" t="n">
        <f aca="false">IFERROR(IF($C221="","",IF($D221="","",IFERROR(ROUND($D221*INDEX('🔖 배합비 참조'!$B$2:$CE$83,MATCH("준초콜릿(외국산)",'🔖 배합비 참조'!$A$2:$A$83,0),MATCH($C221,'🔖 배합비 참조'!$B$1:$CE$1,0))/100,0),""))),"")</f>
        <v>0</v>
      </c>
      <c r="BS221" s="39" t="n">
        <f aca="false">IFERROR(IF($C221="","",IF($D221="","",IFERROR(ROUND($D221*INDEX('🔖 배합비 참조'!$B$2:$CE$83,MATCH("중력분",'🔖 배합비 참조'!$A$2:$A$83,0),MATCH($C221,'🔖 배합비 참조'!$B$1:$CE$1,0))/100,0),""))),"")</f>
        <v>1</v>
      </c>
      <c r="BT221" s="39" t="n">
        <f aca="false">IFERROR(IF($C221="","",IF($D221="","",IFERROR(ROUND($D221*INDEX('🔖 배합비 참조'!$B$2:$CE$83,MATCH("참깨(인도산,나이지리아산,탄자니아산,미얀마산)",'🔖 배합비 참조'!$A$2:$A$83,0),MATCH($C221,'🔖 배합비 참조'!$B$1:$CE$1,0))/100,0),""))),"")</f>
        <v>0</v>
      </c>
      <c r="BU221" s="39" t="n">
        <f aca="false">IFERROR(IF($C221="","",IF($D221="","",IFERROR(ROUND($D221*INDEX('🔖 배합비 참조'!$B$2:$CE$83,MATCH("찹쌀(국내산)",'🔖 배합비 참조'!$A$2:$A$83,0),MATCH($C221,'🔖 배합비 참조'!$B$1:$CE$1,0))/100,0),""))),"")</f>
        <v>33</v>
      </c>
      <c r="BV221" s="39" t="n">
        <f aca="false">IFERROR(IF($C221="","",IF($D221="","",IFERROR(ROUND($D221*INDEX('🔖 배합비 참조'!$B$2:$CE$83,MATCH("천일염",'🔖 배합비 참조'!$A$2:$A$83,0),MATCH($C221,'🔖 배합비 참조'!$B$1:$CE$1,0))/100,0),""))),"")</f>
        <v>1</v>
      </c>
      <c r="BW221" s="39" t="n">
        <f aca="false">IFERROR(IF($C221="","",IF($D221="","",IFERROR(ROUND($D221*INDEX('🔖 배합비 참조'!$B$2:$CE$83,MATCH("치즈 [크림치즈]",'🔖 배합비 참조'!$A$2:$A$83,0),MATCH($C221,'🔖 배합비 참조'!$B$1:$CE$1,0))/100,0),""))),"")</f>
        <v>0</v>
      </c>
      <c r="BX221" s="39" t="n">
        <f aca="false">IFERROR(IF($C221="","",IF($D221="","",IFERROR(ROUND($D221*INDEX('🔖 배합비 참조'!$B$2:$CE$83,MATCH("코코아가공품류(코코아분말)",'🔖 배합비 참조'!$A$2:$A$83,0),MATCH($C221,'🔖 배합비 참조'!$B$1:$CE$1,0))/100,0),""))),"")</f>
        <v>0</v>
      </c>
      <c r="BY221" s="39" t="n">
        <f aca="false">IFERROR(IF($C221="","",IF($D221="","",IFERROR(ROUND($D221*INDEX('🔖 배합비 참조'!$B$2:$CE$83,MATCH("콩기름(대두유)",'🔖 배합비 참조'!$A$2:$A$83,0),MATCH($C221,'🔖 배합비 참조'!$B$1:$CE$1,0))/100,0),""))),"")</f>
        <v>0</v>
      </c>
      <c r="BZ221" s="39" t="n">
        <f aca="false">IFERROR(IF($C221="","",IF($D221="","",IFERROR(ROUND($D221*INDEX('🔖 배합비 참조'!$B$2:$CE$83,MATCH("해바라기씨앗",'🔖 배합비 참조'!$A$2:$A$83,0),MATCH($C221,'🔖 배합비 참조'!$B$1:$CE$1,0))/100,0),""))),"")</f>
        <v>0</v>
      </c>
      <c r="CA221" s="39" t="n">
        <f aca="false">IFERROR(IF($C221="","",IF($D221="","",IFERROR(ROUND($D221*INDEX('🔖 배합비 참조'!$B$2:$CE$83,MATCH("현미(국내산)",'🔖 배합비 참조'!$A$2:$A$83,0),MATCH($C221,'🔖 배합비 참조'!$B$1:$CE$1,0))/100,0),""))),"")</f>
        <v>0</v>
      </c>
      <c r="CB221" s="39" t="n">
        <f aca="false">IFERROR(IF($C221="","",IF($D221="","",IFERROR(ROUND($D221*INDEX('🔖 배합비 참조'!$B$2:$CE$83,MATCH("현미멥쌀(국내산)",'🔖 배합비 참조'!$A$2:$A$83,0),MATCH($C221,'🔖 배합비 참조'!$B$1:$CE$1,0))/100,0),""))),"")</f>
        <v>0</v>
      </c>
      <c r="CC221" s="39" t="n">
        <f aca="false">IFERROR(IF($C221="","",IF($D221="","",IFERROR(ROUND($D221*INDEX('🔖 배합비 참조'!$B$2:$CE$83,MATCH("호두분태(미국산)",'🔖 배합비 참조'!$A$2:$A$83,0),MATCH($C221,'🔖 배합비 참조'!$B$1:$CE$1,0))/100,0),""))),"")</f>
        <v>0</v>
      </c>
      <c r="CD221" s="39" t="n">
        <f aca="false">IFERROR(IF($C221="","",IF($D221="","",IFERROR(ROUND($D221*INDEX('🔖 배합비 참조'!$B$2:$CE$83,MATCH("호박씨앗(외국산)",'🔖 배합비 참조'!$A$2:$A$83,0),MATCH($C221,'🔖 배합비 참조'!$B$1:$CE$1,0))/100,0),""))),"")</f>
        <v>0</v>
      </c>
      <c r="CE221" s="39" t="n">
        <f aca="false">IFERROR(IF($C221="","",IF($D221="","",IFERROR(ROUND($D221*INDEX('🔖 배합비 참조'!$B$2:$CE$83,MATCH("혼합제제(떡용에스텔)",'🔖 배합비 참조'!$A$2:$A$83,0),MATCH($C221,'🔖 배합비 참조'!$B$1:$CE$1,0))/100,0),""))),"")</f>
        <v>0</v>
      </c>
      <c r="CF221" s="39" t="n">
        <f aca="false">IFERROR(IF($C221="","",IF($D221="","",IFERROR(ROUND($D221*INDEX('🔖 배합비 참조'!$B$2:$CE$83,MATCH("혼합제제(스테비아)",'🔖 배합비 참조'!$A$2:$A$83,0),MATCH($C221,'🔖 배합비 참조'!$B$1:$CE$1,0))/100,0),""))),"")</f>
        <v>0</v>
      </c>
      <c r="CG221" s="39" t="n">
        <f aca="false">IFERROR(IF($C221="","",IF($D221="","",IFERROR(ROUND($D221*INDEX('🔖 배합비 참조'!$B$2:$CE$83,MATCH("화이트초콜릿",'🔖 배합비 참조'!$A$2:$A$83,0),MATCH($C221,'🔖 배합비 참조'!$B$1:$CE$1,0))/100,0),""))),"")</f>
        <v>0</v>
      </c>
      <c r="CH221" s="39" t="n">
        <f aca="false">IFERROR(IF($C221="","",IF($D221="","",IFERROR(ROUND($D221*INDEX('🔖 배합비 참조'!$B$2:$CE$83,MATCH("흑미찹쌀(국내산)",'🔖 배합비 참조'!$A$2:$A$83,0),MATCH($C221,'🔖 배합비 참조'!$B$1:$CE$1,0))/100,0),""))),"")</f>
        <v>0</v>
      </c>
      <c r="CI221" s="39" t="n">
        <f aca="false">IFERROR(IF($C221="","",IF($D221="","",IFERROR(ROUND($D221*INDEX('🔖 배합비 참조'!$B$2:$CE$83,MATCH("찰옥수수전분(미국산)",'🔖 배합비 참조'!$A$2:$A$83,0),MATCH($C221,'🔖 배합비 참조'!$B$1:$CE$1,0))/100,0),""))),"")</f>
        <v>0</v>
      </c>
      <c r="CJ221" s="40"/>
      <c r="CL221" s="1" t="s">
        <v>247</v>
      </c>
    </row>
    <row r="222" customFormat="false" ht="18" hidden="false" customHeight="true" outlineLevel="0" collapsed="false">
      <c r="A222" s="41" t="n">
        <v>218</v>
      </c>
      <c r="B222" s="36" t="n">
        <v>46062</v>
      </c>
      <c r="C222" s="37" t="s">
        <v>183</v>
      </c>
      <c r="D222" s="38" t="n">
        <v>440</v>
      </c>
      <c r="E222" s="17"/>
      <c r="F222" s="17"/>
      <c r="G222" s="42" t="n">
        <f aca="false">IFERROR(IF($C222="","",IF($D222="","",IFERROR(ROUND($D222*INDEX('🔖 배합비 참조'!$B$2:$CE$83,MATCH("간장",'🔖 배합비 참조'!$A$2:$A$83,0),MATCH($C222,'🔖 배합비 참조'!$B$1:$CE$1,0))/100,0),""))),"")</f>
        <v>0</v>
      </c>
      <c r="H222" s="42" t="n">
        <f aca="false">IFERROR(IF($C222="","",IF($D222="","",IFERROR(ROUND($D222*INDEX('🔖 배합비 참조'!$B$2:$CE$83,MATCH("강낭콩((울타리콩))",'🔖 배합비 참조'!$A$2:$A$83,0),MATCH($C222,'🔖 배합비 참조'!$B$1:$CE$1,0))/100,0),""))),"")</f>
        <v>0</v>
      </c>
      <c r="I222" s="42" t="n">
        <f aca="false">IFERROR(IF($C222="","",IF($D222="","",IFERROR(ROUND($D222*INDEX('🔖 배합비 참조'!$B$2:$CE$83,MATCH("건조딸기다이스(외국산)",'🔖 배합비 참조'!$A$2:$A$83,0),MATCH($C222,'🔖 배합비 참조'!$B$1:$CE$1,0))/100,0),""))),"")</f>
        <v>0</v>
      </c>
      <c r="J222" s="42" t="n">
        <f aca="false">IFERROR(IF($C222="","",IF($D222="","",IFERROR(ROUND($D222*INDEX('🔖 배합비 참조'!$B$2:$CE$83,MATCH("건포도",'🔖 배합비 참조'!$A$2:$A$83,0),MATCH($C222,'🔖 배합비 참조'!$B$1:$CE$1,0))/100,0),""))),"")</f>
        <v>0</v>
      </c>
      <c r="K222" s="42" t="n">
        <f aca="false">IFERROR(IF($C222="","",IF($D222="","",IFERROR(ROUND($D222*INDEX('🔖 배합비 참조'!$B$2:$CE$83,MATCH("건호박채(중국산)",'🔖 배합비 참조'!$A$2:$A$83,0),MATCH($C222,'🔖 배합비 참조'!$B$1:$CE$1,0))/100,0),""))),"")</f>
        <v>0</v>
      </c>
      <c r="L222" s="42" t="n">
        <f aca="false">IFERROR(IF($C222="","",IF($D222="","",IFERROR(ROUND($D222*INDEX('🔖 배합비 참조'!$B$2:$CE$83,MATCH("검정깨(흑임자)",'🔖 배합비 참조'!$A$2:$A$83,0),MATCH($C222,'🔖 배합비 참조'!$B$1:$CE$1,0))/100,0),""))),"")</f>
        <v>0</v>
      </c>
      <c r="M222" s="42" t="n">
        <f aca="false">IFERROR(IF($C222="","",IF($D222="","",IFERROR(ROUND($D222*INDEX('🔖 배합비 참조'!$B$2:$CE$83,MATCH("검정콩",'🔖 배합비 참조'!$A$2:$A$83,0),MATCH($C222,'🔖 배합비 참조'!$B$1:$CE$1,0))/100,0),""))),"")</f>
        <v>0</v>
      </c>
      <c r="N222" s="42" t="n">
        <f aca="false">IFERROR(IF($C222="","",IF($D222="","",IFERROR(ROUND($D222*INDEX('🔖 배합비 참조'!$B$2:$CE$83,MATCH("계피가루",'🔖 배합비 참조'!$A$2:$A$83,0),MATCH($C222,'🔖 배합비 참조'!$B$1:$CE$1,0))/100,0),""))),"")</f>
        <v>0</v>
      </c>
      <c r="O222" s="42" t="n">
        <f aca="false">IFERROR(IF($C222="","",IF($D222="","",IFERROR(ROUND($D222*INDEX('🔖 배합비 참조'!$B$2:$CE$83,MATCH("고구마가루",'🔖 배합비 참조'!$A$2:$A$83,0),MATCH($C222,'🔖 배합비 참조'!$B$1:$CE$1,0))/100,0),""))),"")</f>
        <v>0</v>
      </c>
      <c r="P222" s="42" t="n">
        <f aca="false">IFERROR(IF($C222="","",IF($D222="","",IFERROR(ROUND($D222*INDEX('🔖 배합비 참조'!$B$2:$CE$83,MATCH("고구마무스",'🔖 배합비 참조'!$A$2:$A$83,0),MATCH($C222,'🔖 배합비 참조'!$B$1:$CE$1,0))/100,0),""))),"")</f>
        <v>0</v>
      </c>
      <c r="Q222" s="42" t="n">
        <f aca="false">IFERROR(IF($C222="","",IF($D222="","",IFERROR(ROUND($D222*INDEX('🔖 배합비 참조'!$B$2:$CE$83,MATCH("고려엉겅퀴((곤드레)국내산)",'🔖 배합비 참조'!$A$2:$A$83,0),MATCH($C222,'🔖 배합비 참조'!$B$1:$CE$1,0))/100,0),""))),"")</f>
        <v>0</v>
      </c>
      <c r="R222" s="42" t="n">
        <f aca="false">IFERROR(IF($C222="","",IF($D222="","",IFERROR(ROUND($D222*INDEX('🔖 배합비 참조'!$B$2:$CE$83,MATCH("기타가공품(복분자가루)",'🔖 배합비 참조'!$A$2:$A$83,0),MATCH($C222,'🔖 배합비 참조'!$B$1:$CE$1,0))/100,0),""))),"")</f>
        <v>0</v>
      </c>
      <c r="S222" s="42" t="n">
        <f aca="false">IFERROR(IF($C222="","",IF($D222="","",IFERROR(ROUND($D222*INDEX('🔖 배합비 참조'!$B$2:$CE$83,MATCH("기타가공품(슈퍼소프트엠)",'🔖 배합비 참조'!$A$2:$A$83,0),MATCH($C222,'🔖 배합비 참조'!$B$1:$CE$1,0))/100,0),""))),"")</f>
        <v>0</v>
      </c>
      <c r="T222" s="42" t="n">
        <f aca="false">IFERROR(IF($C222="","",IF($D222="","",IFERROR(ROUND($D222*INDEX('🔖 배합비 참조'!$B$2:$CE$83,MATCH("기타가공품(파인소프트 E-티)",'🔖 배합비 참조'!$A$2:$A$83,0),MATCH($C222,'🔖 배합비 참조'!$B$1:$CE$1,0))/100,0),""))),"")</f>
        <v>0</v>
      </c>
      <c r="U222" s="42" t="n">
        <f aca="false">IFERROR(IF($C222="","",IF($D222="","",IFERROR(ROUND($D222*INDEX('🔖 배합비 참조'!$B$2:$CE$83,MATCH("기타가공품(프리미엄카스테라가루)",'🔖 배합비 참조'!$A$2:$A$83,0),MATCH($C222,'🔖 배합비 참조'!$B$1:$CE$1,0))/100,0),""))),"")</f>
        <v>0</v>
      </c>
      <c r="V222" s="42" t="n">
        <f aca="false">IFERROR(IF($C222="","",IF($D222="","",IFERROR(ROUND($D222*INDEX('🔖 배합비 참조'!$B$2:$CE$83,MATCH("기타가공품(흑임자가루)",'🔖 배합비 참조'!$A$2:$A$83,0),MATCH($C222,'🔖 배합비 참조'!$B$1:$CE$1,0))/100,0),""))),"")</f>
        <v>0</v>
      </c>
      <c r="W222" s="42" t="n">
        <f aca="false">IFERROR(IF($C222="","",IF($D222="","",IFERROR(ROUND($D222*INDEX('🔖 배합비 참조'!$B$2:$CE$83,MATCH("기타설탕(흑설탕)",'🔖 배합비 참조'!$A$2:$A$83,0),MATCH($C222,'🔖 배합비 참조'!$B$1:$CE$1,0))/100,0),""))),"")</f>
        <v>0</v>
      </c>
      <c r="X222" s="42" t="n">
        <f aca="false">IFERROR(IF($C222="","",IF($D222="","",IFERROR(ROUND($D222*INDEX('🔖 배합비 참조'!$B$2:$CE$83,MATCH("냉동쑥(국내산)",'🔖 배합비 참조'!$A$2:$A$83,0),MATCH($C222,'🔖 배합비 참조'!$B$1:$CE$1,0))/100,0),""))),"")</f>
        <v>0</v>
      </c>
      <c r="Y222" s="42" t="n">
        <f aca="false">IFERROR(IF($C222="","",IF($D222="","",IFERROR(ROUND($D222*INDEX('🔖 배합비 참조'!$B$2:$CE$83,MATCH("냉동증숙고구마(중국산)",'🔖 배합비 참조'!$A$2:$A$83,0),MATCH($C222,'🔖 배합비 참조'!$B$1:$CE$1,0))/100,0),""))),"")</f>
        <v>0</v>
      </c>
      <c r="Z222" s="42" t="n">
        <f aca="false">IFERROR(IF($C222="","",IF($D222="","",IFERROR(ROUND($D222*INDEX('🔖 배합비 참조'!$B$2:$CE$83,MATCH("녹차가루",'🔖 배합비 참조'!$A$2:$A$83,0),MATCH($C222,'🔖 배합비 참조'!$B$1:$CE$1,0))/100,0),""))),"")</f>
        <v>0</v>
      </c>
      <c r="AA222" s="42" t="n">
        <f aca="false">IFERROR(IF($C222="","",IF($D222="","",IFERROR(ROUND($D222*INDEX('🔖 배합비 참조'!$B$2:$CE$83,MATCH("다크초콜릿 컴파운드칩",'🔖 배합비 참조'!$A$2:$A$83,0),MATCH($C222,'🔖 배합비 참조'!$B$1:$CE$1,0))/100,0),""))),"")</f>
        <v>0</v>
      </c>
      <c r="AB222" s="42" t="n">
        <f aca="false">IFERROR(IF($C222="","",IF($D222="","",IFERROR(ROUND($D222*INDEX('🔖 배합비 참조'!$B$2:$CE$83,MATCH("단호박분말(중국산)",'🔖 배합비 참조'!$A$2:$A$83,0),MATCH($C222,'🔖 배합비 참조'!$B$1:$CE$1,0))/100,0),""))),"")</f>
        <v>0</v>
      </c>
      <c r="AC222" s="42" t="n">
        <f aca="false">IFERROR(IF($C222="","",IF($D222="","",IFERROR(ROUND($D222*INDEX('🔖 배합비 참조'!$B$2:$CE$83,MATCH("당류가공품(단호박농축액)",'🔖 배합비 참조'!$A$2:$A$83,0),MATCH($C222,'🔖 배합비 참조'!$B$1:$CE$1,0))/100,0),""))),"")</f>
        <v>0</v>
      </c>
      <c r="AD222" s="42" t="n">
        <f aca="false">IFERROR(IF($C222="","",IF($D222="","",IFERROR(ROUND($D222*INDEX('🔖 배합비 참조'!$B$2:$CE$83,MATCH("당류가공품(알룰로스,에리스리톨,스테비올배당체혼합)",'🔖 배합비 참조'!$A$2:$A$83,0),MATCH($C222,'🔖 배합비 참조'!$B$1:$CE$1,0))/100,0),""))),"")</f>
        <v>0</v>
      </c>
      <c r="AE222" s="42" t="n">
        <f aca="false">IFERROR(IF($C222="","",IF($D222="","",IFERROR(ROUND($D222*INDEX('🔖 배합비 참조'!$B$2:$CE$83,MATCH("당류가공품(알룰로스제로파우더)",'🔖 배합비 참조'!$A$2:$A$83,0),MATCH($C222,'🔖 배합비 참조'!$B$1:$CE$1,0))/100,0),""))),"")</f>
        <v>0</v>
      </c>
      <c r="AF222" s="42" t="n">
        <f aca="false">IFERROR(IF($C222="","",IF($D222="","",IFERROR(ROUND($D222*INDEX('🔖 배합비 참조'!$B$2:$CE$83,MATCH("당절임(완두배기)",'🔖 배합비 참조'!$A$2:$A$83,0),MATCH($C222,'🔖 배합비 참조'!$B$1:$CE$1,0))/100,0),""))),"")</f>
        <v>0</v>
      </c>
      <c r="AG222" s="42" t="n">
        <f aca="false">IFERROR(IF($C222="","",IF($D222="","",IFERROR(ROUND($D222*INDEX('🔖 배합비 참조'!$B$2:$CE$83,MATCH("대추농축액",'🔖 배합비 참조'!$A$2:$A$83,0),MATCH($C222,'🔖 배합비 참조'!$B$1:$CE$1,0))/100,0),""))),"")</f>
        <v>0</v>
      </c>
      <c r="AH222" s="42" t="n">
        <f aca="false">IFERROR(IF($C222="","",IF($D222="","",IFERROR(ROUND($D222*INDEX('🔖 배합비 참조'!$B$2:$CE$83,MATCH("대추채(국내산)",'🔖 배합비 참조'!$A$2:$A$83,0),MATCH($C222,'🔖 배합비 참조'!$B$1:$CE$1,0))/100,0),""))),"")</f>
        <v>0</v>
      </c>
      <c r="AI222" s="42" t="n">
        <f aca="false">IFERROR(IF($C222="","",IF($D222="","",IFERROR(ROUND($D222*INDEX('🔖 배합비 참조'!$B$2:$CE$83,MATCH("동부(미얀마산)",'🔖 배합비 참조'!$A$2:$A$83,0),MATCH($C222,'🔖 배합비 참조'!$B$1:$CE$1,0))/100,0),""))),"")</f>
        <v>0</v>
      </c>
      <c r="AJ222" s="42" t="n">
        <f aca="false">IFERROR(IF($C222="","",IF($D222="","",IFERROR(ROUND($D222*INDEX('🔖 배합비 참조'!$B$2:$CE$83,MATCH("두류가공품(백옥앙금)",'🔖 배합비 참조'!$A$2:$A$83,0),MATCH($C222,'🔖 배합비 참조'!$B$1:$CE$1,0))/100,0),""))),"")</f>
        <v>0</v>
      </c>
      <c r="AK222" s="42" t="n">
        <f aca="false">IFERROR(IF($C222="","",IF($D222="","",IFERROR(ROUND($D222*INDEX('🔖 배합비 참조'!$B$2:$CE$83,MATCH("두류가공품(콩고물)",'🔖 배합비 참조'!$A$2:$A$83,0),MATCH($C222,'🔖 배합비 참조'!$B$1:$CE$1,0))/100,0),""))),"")</f>
        <v>0</v>
      </c>
      <c r="AL222" s="42" t="n">
        <f aca="false">IFERROR(IF($C222="","",IF($D222="","",IFERROR(ROUND($D222*INDEX('🔖 배합비 참조'!$B$2:$CE$83,MATCH("두류가공품(통팥고물)",'🔖 배합비 참조'!$A$2:$A$83,0),MATCH($C222,'🔖 배합비 참조'!$B$1:$CE$1,0))/100,0),""))),"")</f>
        <v>0</v>
      </c>
      <c r="AM222" s="42" t="n">
        <f aca="false">IFERROR(IF($C222="","",IF($D222="","",IFERROR(ROUND($D222*INDEX('🔖 배합비 참조'!$B$2:$CE$83,MATCH("딸기레진",'🔖 배합비 참조'!$A$2:$A$83,0),MATCH($C222,'🔖 배합비 참조'!$B$1:$CE$1,0))/100,0),""))),"")</f>
        <v>0</v>
      </c>
      <c r="AN222" s="42" t="n">
        <f aca="false">IFERROR(IF($C222="","",IF($D222="","",IFERROR(ROUND($D222*INDEX('🔖 배합비 참조'!$B$2:$CE$83,MATCH("딸기분말(스트로우베리에이드(분말))",'🔖 배합비 참조'!$A$2:$A$83,0),MATCH($C222,'🔖 배합비 참조'!$B$1:$CE$1,0))/100,0),""))),"")</f>
        <v>0</v>
      </c>
      <c r="AO222" s="42" t="n">
        <f aca="false">IFERROR(IF($C222="","",IF($D222="","",IFERROR(ROUND($D222*INDEX('🔖 배합비 참조'!$B$2:$CE$83,MATCH("마스카포네치즈",'🔖 배합비 참조'!$A$2:$A$83,0),MATCH($C222,'🔖 배합비 참조'!$B$1:$CE$1,0))/100,0),""))),"")</f>
        <v>0</v>
      </c>
      <c r="AP222" s="42" t="n">
        <f aca="false">IFERROR(IF($C222="","",IF($D222="","",IFERROR(ROUND($D222*INDEX('🔖 배합비 참조'!$B$2:$CE$83,MATCH("마카다미아분태(호주산)",'🔖 배합비 참조'!$A$2:$A$83,0),MATCH($C222,'🔖 배합비 참조'!$B$1:$CE$1,0))/100,0),""))),"")</f>
        <v>0</v>
      </c>
      <c r="AQ222" s="42" t="n">
        <f aca="false">IFERROR(IF($C222="","",IF($D222="","",IFERROR(ROUND($D222*INDEX('🔖 배합비 참조'!$B$2:$CE$83,MATCH("멥쌀(국내산)",'🔖 배합비 참조'!$A$2:$A$83,0),MATCH($C222,'🔖 배합비 참조'!$B$1:$CE$1,0))/100,0),""))),"")</f>
        <v>0</v>
      </c>
      <c r="AR222" s="42" t="n">
        <f aca="false">IFERROR(IF($C222="","",IF($D222="","",IFERROR(ROUND($D222*INDEX('🔖 배합비 참조'!$B$2:$CE$83,MATCH("모시잎(국내산)",'🔖 배합비 참조'!$A$2:$A$83,0),MATCH($C222,'🔖 배합비 참조'!$B$1:$CE$1,0))/100,0),""))),"")</f>
        <v>0</v>
      </c>
      <c r="AS222" s="42" t="n">
        <f aca="false">IFERROR(IF($C222="","",IF($D222="","",IFERROR(ROUND($D222*INDEX('🔖 배합비 참조'!$B$2:$CE$83,MATCH("물엿(저당물엿)",'🔖 배합비 참조'!$A$2:$A$83,0),MATCH($C222,'🔖 배합비 참조'!$B$1:$CE$1,0))/100,0),""))),"")</f>
        <v>11</v>
      </c>
      <c r="AT222" s="42" t="n">
        <f aca="false">IFERROR(IF($C222="","",IF($D222="","",IFERROR(ROUND($D222*INDEX('🔖 배합비 참조'!$B$2:$CE$83,MATCH("밤다이스",'🔖 배합비 참조'!$A$2:$A$83,0),MATCH($C222,'🔖 배합비 참조'!$B$1:$CE$1,0))/100,0),""))),"")</f>
        <v>0</v>
      </c>
      <c r="AU222" s="42" t="n">
        <f aca="false">IFERROR(IF($C222="","",IF($D222="","",IFERROR(ROUND($D222*INDEX('🔖 배합비 참조'!$B$2:$CE$83,MATCH("변성전분(타피오카전분)",'🔖 배합비 참조'!$A$2:$A$83,0),MATCH($C222,'🔖 배합비 참조'!$B$1:$CE$1,0))/100,0),""))),"")</f>
        <v>0</v>
      </c>
      <c r="AV222" s="42" t="n">
        <f aca="false">IFERROR(IF($C222="","",IF($D222="","",IFERROR(ROUND($D222*INDEX('🔖 배합비 참조'!$B$2:$CE$83,MATCH("복음땅콩분태",'🔖 배합비 참조'!$A$2:$A$83,0),MATCH($C222,'🔖 배합비 참조'!$B$1:$CE$1,0))/100,0),""))),"")</f>
        <v>0</v>
      </c>
      <c r="AW222" s="42" t="n">
        <f aca="false">IFERROR(IF($C222="","",IF($D222="","",IFERROR(ROUND($D222*INDEX('🔖 배합비 참조'!$B$2:$CE$83,MATCH("사양벌꿀(국내산)",'🔖 배합비 참조'!$A$2:$A$83,0),MATCH($C222,'🔖 배합비 참조'!$B$1:$CE$1,0))/100,0),""))),"")</f>
        <v>0</v>
      </c>
      <c r="AX222" s="42" t="n">
        <f aca="false">IFERROR(IF($C222="","",IF($D222="","",IFERROR(ROUND($D222*INDEX('🔖 배합비 참조'!$B$2:$CE$83,MATCH("생크림",'🔖 배합비 참조'!$A$2:$A$83,0),MATCH($C222,'🔖 배합비 참조'!$B$1:$CE$1,0))/100,0),""))),"")</f>
        <v>0</v>
      </c>
      <c r="AY222" s="42" t="n">
        <f aca="false">IFERROR(IF($C222="","",IF($D222="","",IFERROR(ROUND($D222*INDEX('🔖 배합비 참조'!$B$2:$CE$83,MATCH("서양호박(국내산,뉴질랜드산)",'🔖 배합비 참조'!$A$2:$A$83,0),MATCH($C222,'🔖 배합비 참조'!$B$1:$CE$1,0))/100,0),""))),"")</f>
        <v>0</v>
      </c>
      <c r="AZ222" s="42" t="n">
        <f aca="false">IFERROR(IF($C222="","",IF($D222="","",IFERROR(ROUND($D222*INDEX('🔖 배합비 참조'!$B$2:$CE$83,MATCH("설탕",'🔖 배합비 참조'!$A$2:$A$83,0),MATCH($C222,'🔖 배합비 참조'!$B$1:$CE$1,0))/100,0),""))),"")</f>
        <v>11</v>
      </c>
      <c r="BA222" s="42" t="n">
        <f aca="false">IFERROR(IF($C222="","",IF($D222="","",IFERROR(ROUND($D222*INDEX('🔖 배합비 참조'!$B$2:$CE$83,MATCH("스트로우베리 에이드 후레쉬",'🔖 배합비 참조'!$A$2:$A$83,0),MATCH($C222,'🔖 배합비 참조'!$B$1:$CE$1,0))/100,0),""))),"")</f>
        <v>0</v>
      </c>
      <c r="BB222" s="42" t="n">
        <f aca="false">IFERROR(IF($C222="","",IF($D222="","",IFERROR(ROUND($D222*INDEX('🔖 배합비 참조'!$B$2:$CE$83,MATCH("식물성기름혼합제제(분홍)",'🔖 배합비 참조'!$A$2:$A$83,0),MATCH($C222,'🔖 배합비 참조'!$B$1:$CE$1,0))/100,0),""))),"")</f>
        <v>0</v>
      </c>
      <c r="BC222" s="42" t="n">
        <f aca="false">IFERROR(IF($C222="","",IF($D222="","",IFERROR(ROUND($D222*INDEX('🔖 배합비 참조'!$B$2:$CE$83,MATCH("식물성기름혼합제제(초록)",'🔖 배합비 참조'!$A$2:$A$83,0),MATCH($C222,'🔖 배합비 참조'!$B$1:$CE$1,0))/100,0),""))),"")</f>
        <v>0</v>
      </c>
      <c r="BD222" s="42" t="n">
        <f aca="false">IFERROR(IF($C222="","",IF($D222="","",IFERROR(ROUND($D222*INDEX('🔖 배합비 참조'!$B$2:$CE$83,MATCH("식물성기름혼합제제(황색)",'🔖 배합비 참조'!$A$2:$A$83,0),MATCH($C222,'🔖 배합비 참조'!$B$1:$CE$1,0))/100,0),""))),"")</f>
        <v>0</v>
      </c>
      <c r="BE222" s="42" t="n">
        <f aca="false">IFERROR(IF($C222="","",IF($D222="","",IFERROR(ROUND($D222*INDEX('🔖 배합비 참조'!$B$2:$CE$83,MATCH("쑥가루(국내산)",'🔖 배합비 참조'!$A$2:$A$83,0),MATCH($C222,'🔖 배합비 참조'!$B$1:$CE$1,0))/100,0),""))),"")</f>
        <v>0</v>
      </c>
      <c r="BF222" s="42" t="n">
        <f aca="false">IFERROR(IF($C222="","",IF($D222="","",IFERROR(ROUND($D222*INDEX('🔖 배합비 참조'!$B$2:$CE$83,MATCH("아몬드슬라이스",'🔖 배합비 참조'!$A$2:$A$83,0),MATCH($C222,'🔖 배합비 참조'!$B$1:$CE$1,0))/100,0),""))),"")</f>
        <v>0</v>
      </c>
      <c r="BG222" s="42" t="n">
        <f aca="false">IFERROR(IF($C222="","",IF($D222="","",IFERROR(ROUND($D222*INDEX('🔖 배합비 참조'!$B$2:$CE$83,MATCH("알룰로오스(국내산)",'🔖 배합비 참조'!$A$2:$A$83,0),MATCH($C222,'🔖 배합비 참조'!$B$1:$CE$1,0))/100,0),""))),"")</f>
        <v>0</v>
      </c>
      <c r="BH222" s="42" t="n">
        <f aca="false">IFERROR(IF($C222="","",IF($D222="","",IFERROR(ROUND($D222*INDEX('🔖 배합비 참조'!$B$2:$CE$83,MATCH("연유",'🔖 배합비 참조'!$A$2:$A$83,0),MATCH($C222,'🔖 배합비 참조'!$B$1:$CE$1,0))/100,0),""))),"")</f>
        <v>0</v>
      </c>
      <c r="BI222" s="42" t="n">
        <f aca="false">IFERROR(IF($C222="","",IF($D222="","",IFERROR(ROUND($D222*INDEX('🔖 배합비 참조'!$B$2:$CE$83,MATCH("옥수수전분",'🔖 배합비 참조'!$A$2:$A$83,0),MATCH($C222,'🔖 배합비 참조'!$B$1:$CE$1,0))/100,0),""))),"")</f>
        <v>5</v>
      </c>
      <c r="BJ222" s="42" t="n">
        <f aca="false">IFERROR(IF($C222="","",IF($D222="","",IFERROR(ROUND($D222*INDEX('🔖 배합비 참조'!$B$2:$CE$83,MATCH("완두배기",'🔖 배합비 참조'!$A$2:$A$83,0),MATCH($C222,'🔖 배합비 참조'!$B$1:$CE$1,0))/100,0),""))),"")</f>
        <v>0</v>
      </c>
      <c r="BK222" s="42" t="n">
        <f aca="false">IFERROR(IF($C222="","",IF($D222="","",IFERROR(ROUND($D222*INDEX('🔖 배합비 참조'!$B$2:$CE$83,MATCH("우유(국내산)",'🔖 배합비 참조'!$A$2:$A$83,0),MATCH($C222,'🔖 배합비 참조'!$B$1:$CE$1,0))/100,0),""))),"")</f>
        <v>0</v>
      </c>
      <c r="BL222" s="42" t="n">
        <f aca="false">IFERROR(IF($C222="","",IF($D222="","",IFERROR(ROUND($D222*INDEX('🔖 배합비 참조'!$B$2:$CE$83,MATCH("자색고구마가루(중국산)",'🔖 배합비 참조'!$A$2:$A$83,0),MATCH($C222,'🔖 배합비 참조'!$B$1:$CE$1,0))/100,0),""))),"")</f>
        <v>0</v>
      </c>
      <c r="BM222" s="42" t="n">
        <f aca="false">IFERROR(IF($C222="","",IF($D222="","",IFERROR(ROUND($D222*INDEX('🔖 배합비 참조'!$B$2:$CE$83,MATCH("자연치즈(체다치즈)",'🔖 배합비 참조'!$A$2:$A$83,0),MATCH($C222,'🔖 배합비 참조'!$B$1:$CE$1,0))/100,0),""))),"")</f>
        <v>0</v>
      </c>
      <c r="BN222" s="42" t="n">
        <f aca="false">IFERROR(IF($C222="","",IF($D222="","",IFERROR(ROUND($D222*INDEX('🔖 배합비 참조'!$B$2:$CE$83,MATCH("정제수",'🔖 배합비 참조'!$A$2:$A$83,0),MATCH($C222,'🔖 배합비 참조'!$B$1:$CE$1,0))/100,0),""))),"")</f>
        <v>0</v>
      </c>
      <c r="BO222" s="42" t="n">
        <f aca="false">IFERROR(IF($C222="","",IF($D222="","",IFERROR(ROUND($D222*INDEX('🔖 배합비 참조'!$B$2:$CE$83,MATCH("젤라틴",'🔖 배합비 참조'!$A$2:$A$83,0),MATCH($C222,'🔖 배합비 참조'!$B$1:$CE$1,0))/100,0),""))),"")</f>
        <v>0</v>
      </c>
      <c r="BP222" s="42" t="n">
        <f aca="false">IFERROR(IF($C222="","",IF($D222="","",IFERROR(ROUND($D222*INDEX('🔖 배합비 참조'!$B$2:$CE$83,MATCH("조림류(백옥앙금)",'🔖 배합비 참조'!$A$2:$A$83,0),MATCH($C222,'🔖 배합비 참조'!$B$1:$CE$1,0))/100,0),""))),"")</f>
        <v>0</v>
      </c>
      <c r="BQ222" s="42" t="n">
        <f aca="false">IFERROR(IF($C222="","",IF($D222="","",IFERROR(ROUND($D222*INDEX('🔖 배합비 참조'!$B$2:$CE$83,MATCH("조림류(통팥앙금)",'🔖 배합비 참조'!$A$2:$A$83,0),MATCH($C222,'🔖 배합비 참조'!$B$1:$CE$1,0))/100,0),""))),"")</f>
        <v>197</v>
      </c>
      <c r="BR222" s="42" t="n">
        <f aca="false">IFERROR(IF($C222="","",IF($D222="","",IFERROR(ROUND($D222*INDEX('🔖 배합비 참조'!$B$2:$CE$83,MATCH("준초콜릿(외국산)",'🔖 배합비 참조'!$A$2:$A$83,0),MATCH($C222,'🔖 배합비 참조'!$B$1:$CE$1,0))/100,0),""))),"")</f>
        <v>0</v>
      </c>
      <c r="BS222" s="42" t="n">
        <f aca="false">IFERROR(IF($C222="","",IF($D222="","",IFERROR(ROUND($D222*INDEX('🔖 배합비 참조'!$B$2:$CE$83,MATCH("중력분",'🔖 배합비 참조'!$A$2:$A$83,0),MATCH($C222,'🔖 배합비 참조'!$B$1:$CE$1,0))/100,0),""))),"")</f>
        <v>1</v>
      </c>
      <c r="BT222" s="42" t="n">
        <f aca="false">IFERROR(IF($C222="","",IF($D222="","",IFERROR(ROUND($D222*INDEX('🔖 배합비 참조'!$B$2:$CE$83,MATCH("참깨(인도산,나이지리아산,탄자니아산,미얀마산)",'🔖 배합비 참조'!$A$2:$A$83,0),MATCH($C222,'🔖 배합비 참조'!$B$1:$CE$1,0))/100,0),""))),"")</f>
        <v>0</v>
      </c>
      <c r="BU222" s="42" t="n">
        <f aca="false">IFERROR(IF($C222="","",IF($D222="","",IFERROR(ROUND($D222*INDEX('🔖 배합비 참조'!$B$2:$CE$83,MATCH("찹쌀(국내산)",'🔖 배합비 참조'!$A$2:$A$83,0),MATCH($C222,'🔖 배합비 참조'!$B$1:$CE$1,0))/100,0),""))),"")</f>
        <v>210</v>
      </c>
      <c r="BV222" s="42" t="n">
        <f aca="false">IFERROR(IF($C222="","",IF($D222="","",IFERROR(ROUND($D222*INDEX('🔖 배합비 참조'!$B$2:$CE$83,MATCH("천일염",'🔖 배합비 참조'!$A$2:$A$83,0),MATCH($C222,'🔖 배합비 참조'!$B$1:$CE$1,0))/100,0),""))),"")</f>
        <v>4</v>
      </c>
      <c r="BW222" s="42" t="n">
        <f aca="false">IFERROR(IF($C222="","",IF($D222="","",IFERROR(ROUND($D222*INDEX('🔖 배합비 참조'!$B$2:$CE$83,MATCH("치즈 [크림치즈]",'🔖 배합비 참조'!$A$2:$A$83,0),MATCH($C222,'🔖 배합비 참조'!$B$1:$CE$1,0))/100,0),""))),"")</f>
        <v>0</v>
      </c>
      <c r="BX222" s="42" t="n">
        <f aca="false">IFERROR(IF($C222="","",IF($D222="","",IFERROR(ROUND($D222*INDEX('🔖 배합비 참조'!$B$2:$CE$83,MATCH("코코아가공품류(코코아분말)",'🔖 배합비 참조'!$A$2:$A$83,0),MATCH($C222,'🔖 배합비 참조'!$B$1:$CE$1,0))/100,0),""))),"")</f>
        <v>0</v>
      </c>
      <c r="BY222" s="42" t="n">
        <f aca="false">IFERROR(IF($C222="","",IF($D222="","",IFERROR(ROUND($D222*INDEX('🔖 배합비 참조'!$B$2:$CE$83,MATCH("콩기름(대두유)",'🔖 배합비 참조'!$A$2:$A$83,0),MATCH($C222,'🔖 배합비 참조'!$B$1:$CE$1,0))/100,0),""))),"")</f>
        <v>0</v>
      </c>
      <c r="BZ222" s="42" t="n">
        <f aca="false">IFERROR(IF($C222="","",IF($D222="","",IFERROR(ROUND($D222*INDEX('🔖 배합비 참조'!$B$2:$CE$83,MATCH("해바라기씨앗",'🔖 배합비 참조'!$A$2:$A$83,0),MATCH($C222,'🔖 배합비 참조'!$B$1:$CE$1,0))/100,0),""))),"")</f>
        <v>0</v>
      </c>
      <c r="CA222" s="42" t="n">
        <f aca="false">IFERROR(IF($C222="","",IF($D222="","",IFERROR(ROUND($D222*INDEX('🔖 배합비 참조'!$B$2:$CE$83,MATCH("현미(국내산)",'🔖 배합비 참조'!$A$2:$A$83,0),MATCH($C222,'🔖 배합비 참조'!$B$1:$CE$1,0))/100,0),""))),"")</f>
        <v>0</v>
      </c>
      <c r="CB222" s="42" t="n">
        <f aca="false">IFERROR(IF($C222="","",IF($D222="","",IFERROR(ROUND($D222*INDEX('🔖 배합비 참조'!$B$2:$CE$83,MATCH("현미멥쌀(국내산)",'🔖 배합비 참조'!$A$2:$A$83,0),MATCH($C222,'🔖 배합비 참조'!$B$1:$CE$1,0))/100,0),""))),"")</f>
        <v>0</v>
      </c>
      <c r="CC222" s="42" t="n">
        <f aca="false">IFERROR(IF($C222="","",IF($D222="","",IFERROR(ROUND($D222*INDEX('🔖 배합비 참조'!$B$2:$CE$83,MATCH("호두분태(미국산)",'🔖 배합비 참조'!$A$2:$A$83,0),MATCH($C222,'🔖 배합비 참조'!$B$1:$CE$1,0))/100,0),""))),"")</f>
        <v>0</v>
      </c>
      <c r="CD222" s="42" t="n">
        <f aca="false">IFERROR(IF($C222="","",IF($D222="","",IFERROR(ROUND($D222*INDEX('🔖 배합비 참조'!$B$2:$CE$83,MATCH("호박씨앗(외국산)",'🔖 배합비 참조'!$A$2:$A$83,0),MATCH($C222,'🔖 배합비 참조'!$B$1:$CE$1,0))/100,0),""))),"")</f>
        <v>0</v>
      </c>
      <c r="CE222" s="42" t="n">
        <f aca="false">IFERROR(IF($C222="","",IF($D222="","",IFERROR(ROUND($D222*INDEX('🔖 배합비 참조'!$B$2:$CE$83,MATCH("혼합제제(떡용에스텔)",'🔖 배합비 참조'!$A$2:$A$83,0),MATCH($C222,'🔖 배합비 참조'!$B$1:$CE$1,0))/100,0),""))),"")</f>
        <v>2</v>
      </c>
      <c r="CF222" s="42" t="n">
        <f aca="false">IFERROR(IF($C222="","",IF($D222="","",IFERROR(ROUND($D222*INDEX('🔖 배합비 참조'!$B$2:$CE$83,MATCH("혼합제제(스테비아)",'🔖 배합비 참조'!$A$2:$A$83,0),MATCH($C222,'🔖 배합비 참조'!$B$1:$CE$1,0))/100,0),""))),"")</f>
        <v>0</v>
      </c>
      <c r="CG222" s="42" t="n">
        <f aca="false">IFERROR(IF($C222="","",IF($D222="","",IFERROR(ROUND($D222*INDEX('🔖 배합비 참조'!$B$2:$CE$83,MATCH("화이트초콜릿",'🔖 배합비 참조'!$A$2:$A$83,0),MATCH($C222,'🔖 배합비 참조'!$B$1:$CE$1,0))/100,0),""))),"")</f>
        <v>0</v>
      </c>
      <c r="CH222" s="42" t="n">
        <f aca="false">IFERROR(IF($C222="","",IF($D222="","",IFERROR(ROUND($D222*INDEX('🔖 배합비 참조'!$B$2:$CE$83,MATCH("흑미찹쌀(국내산)",'🔖 배합비 참조'!$A$2:$A$83,0),MATCH($C222,'🔖 배합비 참조'!$B$1:$CE$1,0))/100,0),""))),"")</f>
        <v>0</v>
      </c>
      <c r="CI222" s="42" t="n">
        <f aca="false">IFERROR(IF($C222="","",IF($D222="","",IFERROR(ROUND($D222*INDEX('🔖 배합비 참조'!$B$2:$CE$83,MATCH("찰옥수수전분(미국산)",'🔖 배합비 참조'!$A$2:$A$83,0),MATCH($C222,'🔖 배합비 참조'!$B$1:$CE$1,0))/100,0),""))),"")</f>
        <v>0</v>
      </c>
      <c r="CJ222" s="40"/>
      <c r="CL222" s="1" t="s">
        <v>247</v>
      </c>
    </row>
    <row r="223" customFormat="false" ht="18" hidden="false" customHeight="true" outlineLevel="0" collapsed="false">
      <c r="A223" s="35" t="n">
        <v>219</v>
      </c>
      <c r="B223" s="36" t="n">
        <v>46062</v>
      </c>
      <c r="C223" s="37" t="s">
        <v>191</v>
      </c>
      <c r="D223" s="38" t="n">
        <v>660</v>
      </c>
      <c r="E223" s="13"/>
      <c r="F223" s="13"/>
      <c r="G223" s="39" t="n">
        <f aca="false">IFERROR(IF($C223="","",IF($D223="","",IFERROR(ROUND($D223*INDEX('🔖 배합비 참조'!$B$2:$CE$83,MATCH("간장",'🔖 배합비 참조'!$A$2:$A$83,0),MATCH($C223,'🔖 배합비 참조'!$B$1:$CE$1,0))/100,0),""))),"")</f>
        <v>0</v>
      </c>
      <c r="H223" s="39" t="n">
        <f aca="false">IFERROR(IF($C223="","",IF($D223="","",IFERROR(ROUND($D223*INDEX('🔖 배합비 참조'!$B$2:$CE$83,MATCH("강낭콩((울타리콩))",'🔖 배합비 참조'!$A$2:$A$83,0),MATCH($C223,'🔖 배합비 참조'!$B$1:$CE$1,0))/100,0),""))),"")</f>
        <v>0</v>
      </c>
      <c r="I223" s="39" t="n">
        <f aca="false">IFERROR(IF($C223="","",IF($D223="","",IFERROR(ROUND($D223*INDEX('🔖 배합비 참조'!$B$2:$CE$83,MATCH("건조딸기다이스(외국산)",'🔖 배합비 참조'!$A$2:$A$83,0),MATCH($C223,'🔖 배합비 참조'!$B$1:$CE$1,0))/100,0),""))),"")</f>
        <v>0</v>
      </c>
      <c r="J223" s="39" t="n">
        <f aca="false">IFERROR(IF($C223="","",IF($D223="","",IFERROR(ROUND($D223*INDEX('🔖 배합비 참조'!$B$2:$CE$83,MATCH("건포도",'🔖 배합비 참조'!$A$2:$A$83,0),MATCH($C223,'🔖 배합비 참조'!$B$1:$CE$1,0))/100,0),""))),"")</f>
        <v>0</v>
      </c>
      <c r="K223" s="39" t="n">
        <f aca="false">IFERROR(IF($C223="","",IF($D223="","",IFERROR(ROUND($D223*INDEX('🔖 배합비 참조'!$B$2:$CE$83,MATCH("건호박채(중국산)",'🔖 배합비 참조'!$A$2:$A$83,0),MATCH($C223,'🔖 배합비 참조'!$B$1:$CE$1,0))/100,0),""))),"")</f>
        <v>0</v>
      </c>
      <c r="L223" s="39" t="n">
        <f aca="false">IFERROR(IF($C223="","",IF($D223="","",IFERROR(ROUND($D223*INDEX('🔖 배합비 참조'!$B$2:$CE$83,MATCH("검정깨(흑임자)",'🔖 배합비 참조'!$A$2:$A$83,0),MATCH($C223,'🔖 배합비 참조'!$B$1:$CE$1,0))/100,0),""))),"")</f>
        <v>0</v>
      </c>
      <c r="M223" s="39" t="n">
        <f aca="false">IFERROR(IF($C223="","",IF($D223="","",IFERROR(ROUND($D223*INDEX('🔖 배합비 참조'!$B$2:$CE$83,MATCH("검정콩",'🔖 배합비 참조'!$A$2:$A$83,0),MATCH($C223,'🔖 배합비 참조'!$B$1:$CE$1,0))/100,0),""))),"")</f>
        <v>0</v>
      </c>
      <c r="N223" s="39" t="n">
        <f aca="false">IFERROR(IF($C223="","",IF($D223="","",IFERROR(ROUND($D223*INDEX('🔖 배합비 참조'!$B$2:$CE$83,MATCH("계피가루",'🔖 배합비 참조'!$A$2:$A$83,0),MATCH($C223,'🔖 배합비 참조'!$B$1:$CE$1,0))/100,0),""))),"")</f>
        <v>0</v>
      </c>
      <c r="O223" s="39" t="n">
        <f aca="false">IFERROR(IF($C223="","",IF($D223="","",IFERROR(ROUND($D223*INDEX('🔖 배합비 참조'!$B$2:$CE$83,MATCH("고구마가루",'🔖 배합비 참조'!$A$2:$A$83,0),MATCH($C223,'🔖 배합비 참조'!$B$1:$CE$1,0))/100,0),""))),"")</f>
        <v>0</v>
      </c>
      <c r="P223" s="39" t="n">
        <f aca="false">IFERROR(IF($C223="","",IF($D223="","",IFERROR(ROUND($D223*INDEX('🔖 배합비 참조'!$B$2:$CE$83,MATCH("고구마무스",'🔖 배합비 참조'!$A$2:$A$83,0),MATCH($C223,'🔖 배합비 참조'!$B$1:$CE$1,0))/100,0),""))),"")</f>
        <v>0</v>
      </c>
      <c r="Q223" s="39" t="n">
        <f aca="false">IFERROR(IF($C223="","",IF($D223="","",IFERROR(ROUND($D223*INDEX('🔖 배합비 참조'!$B$2:$CE$83,MATCH("고려엉겅퀴((곤드레)국내산)",'🔖 배합비 참조'!$A$2:$A$83,0),MATCH($C223,'🔖 배합비 참조'!$B$1:$CE$1,0))/100,0),""))),"")</f>
        <v>0</v>
      </c>
      <c r="R223" s="39" t="n">
        <f aca="false">IFERROR(IF($C223="","",IF($D223="","",IFERROR(ROUND($D223*INDEX('🔖 배합비 참조'!$B$2:$CE$83,MATCH("기타가공품(복분자가루)",'🔖 배합비 참조'!$A$2:$A$83,0),MATCH($C223,'🔖 배합비 참조'!$B$1:$CE$1,0))/100,0),""))),"")</f>
        <v>0</v>
      </c>
      <c r="S223" s="39" t="n">
        <f aca="false">IFERROR(IF($C223="","",IF($D223="","",IFERROR(ROUND($D223*INDEX('🔖 배합비 참조'!$B$2:$CE$83,MATCH("기타가공품(슈퍼소프트엠)",'🔖 배합비 참조'!$A$2:$A$83,0),MATCH($C223,'🔖 배합비 참조'!$B$1:$CE$1,0))/100,0),""))),"")</f>
        <v>0</v>
      </c>
      <c r="T223" s="39" t="n">
        <f aca="false">IFERROR(IF($C223="","",IF($D223="","",IFERROR(ROUND($D223*INDEX('🔖 배합비 참조'!$B$2:$CE$83,MATCH("기타가공품(파인소프트 E-티)",'🔖 배합비 참조'!$A$2:$A$83,0),MATCH($C223,'🔖 배합비 참조'!$B$1:$CE$1,0))/100,0),""))),"")</f>
        <v>0</v>
      </c>
      <c r="U223" s="39" t="n">
        <f aca="false">IFERROR(IF($C223="","",IF($D223="","",IFERROR(ROUND($D223*INDEX('🔖 배합비 참조'!$B$2:$CE$83,MATCH("기타가공품(프리미엄카스테라가루)",'🔖 배합비 참조'!$A$2:$A$83,0),MATCH($C223,'🔖 배합비 참조'!$B$1:$CE$1,0))/100,0),""))),"")</f>
        <v>0</v>
      </c>
      <c r="V223" s="39" t="n">
        <f aca="false">IFERROR(IF($C223="","",IF($D223="","",IFERROR(ROUND($D223*INDEX('🔖 배합비 참조'!$B$2:$CE$83,MATCH("기타가공품(흑임자가루)",'🔖 배합비 참조'!$A$2:$A$83,0),MATCH($C223,'🔖 배합비 참조'!$B$1:$CE$1,0))/100,0),""))),"")</f>
        <v>0</v>
      </c>
      <c r="W223" s="39" t="n">
        <f aca="false">IFERROR(IF($C223="","",IF($D223="","",IFERROR(ROUND($D223*INDEX('🔖 배합비 참조'!$B$2:$CE$83,MATCH("기타설탕(흑설탕)",'🔖 배합비 참조'!$A$2:$A$83,0),MATCH($C223,'🔖 배합비 참조'!$B$1:$CE$1,0))/100,0),""))),"")</f>
        <v>0</v>
      </c>
      <c r="X223" s="39" t="n">
        <f aca="false">IFERROR(IF($C223="","",IF($D223="","",IFERROR(ROUND($D223*INDEX('🔖 배합비 참조'!$B$2:$CE$83,MATCH("냉동쑥(국내산)",'🔖 배합비 참조'!$A$2:$A$83,0),MATCH($C223,'🔖 배합비 참조'!$B$1:$CE$1,0))/100,0),""))),"")</f>
        <v>0</v>
      </c>
      <c r="Y223" s="39" t="n">
        <f aca="false">IFERROR(IF($C223="","",IF($D223="","",IFERROR(ROUND($D223*INDEX('🔖 배합비 참조'!$B$2:$CE$83,MATCH("냉동증숙고구마(중국산)",'🔖 배합비 참조'!$A$2:$A$83,0),MATCH($C223,'🔖 배합비 참조'!$B$1:$CE$1,0))/100,0),""))),"")</f>
        <v>0</v>
      </c>
      <c r="Z223" s="39" t="n">
        <f aca="false">IFERROR(IF($C223="","",IF($D223="","",IFERROR(ROUND($D223*INDEX('🔖 배합비 참조'!$B$2:$CE$83,MATCH("녹차가루",'🔖 배합비 참조'!$A$2:$A$83,0),MATCH($C223,'🔖 배합비 참조'!$B$1:$CE$1,0))/100,0),""))),"")</f>
        <v>0</v>
      </c>
      <c r="AA223" s="39" t="n">
        <f aca="false">IFERROR(IF($C223="","",IF($D223="","",IFERROR(ROUND($D223*INDEX('🔖 배합비 참조'!$B$2:$CE$83,MATCH("다크초콜릿 컴파운드칩",'🔖 배합비 참조'!$A$2:$A$83,0),MATCH($C223,'🔖 배합비 참조'!$B$1:$CE$1,0))/100,0),""))),"")</f>
        <v>0</v>
      </c>
      <c r="AB223" s="39" t="n">
        <f aca="false">IFERROR(IF($C223="","",IF($D223="","",IFERROR(ROUND($D223*INDEX('🔖 배합비 참조'!$B$2:$CE$83,MATCH("단호박분말(중국산)",'🔖 배합비 참조'!$A$2:$A$83,0),MATCH($C223,'🔖 배합비 참조'!$B$1:$CE$1,0))/100,0),""))),"")</f>
        <v>0</v>
      </c>
      <c r="AC223" s="39" t="n">
        <f aca="false">IFERROR(IF($C223="","",IF($D223="","",IFERROR(ROUND($D223*INDEX('🔖 배합비 참조'!$B$2:$CE$83,MATCH("당류가공품(단호박농축액)",'🔖 배합비 참조'!$A$2:$A$83,0),MATCH($C223,'🔖 배합비 참조'!$B$1:$CE$1,0))/100,0),""))),"")</f>
        <v>0</v>
      </c>
      <c r="AD223" s="39" t="n">
        <f aca="false">IFERROR(IF($C223="","",IF($D223="","",IFERROR(ROUND($D223*INDEX('🔖 배합비 참조'!$B$2:$CE$83,MATCH("당류가공품(알룰로스,에리스리톨,스테비올배당체혼합)",'🔖 배합비 참조'!$A$2:$A$83,0),MATCH($C223,'🔖 배합비 참조'!$B$1:$CE$1,0))/100,0),""))),"")</f>
        <v>0</v>
      </c>
      <c r="AE223" s="39" t="n">
        <f aca="false">IFERROR(IF($C223="","",IF($D223="","",IFERROR(ROUND($D223*INDEX('🔖 배합비 참조'!$B$2:$CE$83,MATCH("당류가공품(알룰로스제로파우더)",'🔖 배합비 참조'!$A$2:$A$83,0),MATCH($C223,'🔖 배합비 참조'!$B$1:$CE$1,0))/100,0),""))),"")</f>
        <v>0</v>
      </c>
      <c r="AF223" s="39" t="n">
        <f aca="false">IFERROR(IF($C223="","",IF($D223="","",IFERROR(ROUND($D223*INDEX('🔖 배합비 참조'!$B$2:$CE$83,MATCH("당절임(완두배기)",'🔖 배합비 참조'!$A$2:$A$83,0),MATCH($C223,'🔖 배합비 참조'!$B$1:$CE$1,0))/100,0),""))),"")</f>
        <v>0</v>
      </c>
      <c r="AG223" s="39" t="n">
        <f aca="false">IFERROR(IF($C223="","",IF($D223="","",IFERROR(ROUND($D223*INDEX('🔖 배합비 참조'!$B$2:$CE$83,MATCH("대추농축액",'🔖 배합비 참조'!$A$2:$A$83,0),MATCH($C223,'🔖 배합비 참조'!$B$1:$CE$1,0))/100,0),""))),"")</f>
        <v>0</v>
      </c>
      <c r="AH223" s="39" t="n">
        <f aca="false">IFERROR(IF($C223="","",IF($D223="","",IFERROR(ROUND($D223*INDEX('🔖 배합비 참조'!$B$2:$CE$83,MATCH("대추채(국내산)",'🔖 배합비 참조'!$A$2:$A$83,0),MATCH($C223,'🔖 배합비 참조'!$B$1:$CE$1,0))/100,0),""))),"")</f>
        <v>0</v>
      </c>
      <c r="AI223" s="39" t="n">
        <f aca="false">IFERROR(IF($C223="","",IF($D223="","",IFERROR(ROUND($D223*INDEX('🔖 배합비 참조'!$B$2:$CE$83,MATCH("동부(미얀마산)",'🔖 배합비 참조'!$A$2:$A$83,0),MATCH($C223,'🔖 배합비 참조'!$B$1:$CE$1,0))/100,0),""))),"")</f>
        <v>0</v>
      </c>
      <c r="AJ223" s="39" t="n">
        <f aca="false">IFERROR(IF($C223="","",IF($D223="","",IFERROR(ROUND($D223*INDEX('🔖 배합비 참조'!$B$2:$CE$83,MATCH("두류가공품(백옥앙금)",'🔖 배합비 참조'!$A$2:$A$83,0),MATCH($C223,'🔖 배합비 참조'!$B$1:$CE$1,0))/100,0),""))),"")</f>
        <v>0</v>
      </c>
      <c r="AK223" s="39" t="n">
        <f aca="false">IFERROR(IF($C223="","",IF($D223="","",IFERROR(ROUND($D223*INDEX('🔖 배합비 참조'!$B$2:$CE$83,MATCH("두류가공품(콩고물)",'🔖 배합비 참조'!$A$2:$A$83,0),MATCH($C223,'🔖 배합비 참조'!$B$1:$CE$1,0))/100,0),""))),"")</f>
        <v>0</v>
      </c>
      <c r="AL223" s="39" t="n">
        <f aca="false">IFERROR(IF($C223="","",IF($D223="","",IFERROR(ROUND($D223*INDEX('🔖 배합비 참조'!$B$2:$CE$83,MATCH("두류가공품(통팥고물)",'🔖 배합비 참조'!$A$2:$A$83,0),MATCH($C223,'🔖 배합비 참조'!$B$1:$CE$1,0))/100,0),""))),"")</f>
        <v>0</v>
      </c>
      <c r="AM223" s="39" t="n">
        <f aca="false">IFERROR(IF($C223="","",IF($D223="","",IFERROR(ROUND($D223*INDEX('🔖 배합비 참조'!$B$2:$CE$83,MATCH("딸기레진",'🔖 배합비 참조'!$A$2:$A$83,0),MATCH($C223,'🔖 배합비 참조'!$B$1:$CE$1,0))/100,0),""))),"")</f>
        <v>0</v>
      </c>
      <c r="AN223" s="39" t="n">
        <f aca="false">IFERROR(IF($C223="","",IF($D223="","",IFERROR(ROUND($D223*INDEX('🔖 배합비 참조'!$B$2:$CE$83,MATCH("딸기분말(스트로우베리에이드(분말))",'🔖 배합비 참조'!$A$2:$A$83,0),MATCH($C223,'🔖 배합비 참조'!$B$1:$CE$1,0))/100,0),""))),"")</f>
        <v>0</v>
      </c>
      <c r="AO223" s="39" t="n">
        <f aca="false">IFERROR(IF($C223="","",IF($D223="","",IFERROR(ROUND($D223*INDEX('🔖 배합비 참조'!$B$2:$CE$83,MATCH("마스카포네치즈",'🔖 배합비 참조'!$A$2:$A$83,0),MATCH($C223,'🔖 배합비 참조'!$B$1:$CE$1,0))/100,0),""))),"")</f>
        <v>0</v>
      </c>
      <c r="AP223" s="39" t="n">
        <f aca="false">IFERROR(IF($C223="","",IF($D223="","",IFERROR(ROUND($D223*INDEX('🔖 배합비 참조'!$B$2:$CE$83,MATCH("마카다미아분태(호주산)",'🔖 배합비 참조'!$A$2:$A$83,0),MATCH($C223,'🔖 배합비 참조'!$B$1:$CE$1,0))/100,0),""))),"")</f>
        <v>0</v>
      </c>
      <c r="AQ223" s="39" t="n">
        <f aca="false">IFERROR(IF($C223="","",IF($D223="","",IFERROR(ROUND($D223*INDEX('🔖 배합비 참조'!$B$2:$CE$83,MATCH("멥쌀(국내산)",'🔖 배합비 참조'!$A$2:$A$83,0),MATCH($C223,'🔖 배합비 참조'!$B$1:$CE$1,0))/100,0),""))),"")</f>
        <v>13</v>
      </c>
      <c r="AR223" s="39" t="n">
        <f aca="false">IFERROR(IF($C223="","",IF($D223="","",IFERROR(ROUND($D223*INDEX('🔖 배합비 참조'!$B$2:$CE$83,MATCH("모시잎(국내산)",'🔖 배합비 참조'!$A$2:$A$83,0),MATCH($C223,'🔖 배합비 참조'!$B$1:$CE$1,0))/100,0),""))),"")</f>
        <v>0</v>
      </c>
      <c r="AS223" s="39" t="n">
        <f aca="false">IFERROR(IF($C223="","",IF($D223="","",IFERROR(ROUND($D223*INDEX('🔖 배합비 참조'!$B$2:$CE$83,MATCH("물엿(저당물엿)",'🔖 배합비 참조'!$A$2:$A$83,0),MATCH($C223,'🔖 배합비 참조'!$B$1:$CE$1,0))/100,0),""))),"")</f>
        <v>0</v>
      </c>
      <c r="AT223" s="39" t="n">
        <f aca="false">IFERROR(IF($C223="","",IF($D223="","",IFERROR(ROUND($D223*INDEX('🔖 배합비 참조'!$B$2:$CE$83,MATCH("밤다이스",'🔖 배합비 참조'!$A$2:$A$83,0),MATCH($C223,'🔖 배합비 참조'!$B$1:$CE$1,0))/100,0),""))),"")</f>
        <v>0</v>
      </c>
      <c r="AU223" s="39" t="n">
        <f aca="false">IFERROR(IF($C223="","",IF($D223="","",IFERROR(ROUND($D223*INDEX('🔖 배합비 참조'!$B$2:$CE$83,MATCH("변성전분(타피오카전분)",'🔖 배합비 참조'!$A$2:$A$83,0),MATCH($C223,'🔖 배합비 참조'!$B$1:$CE$1,0))/100,0),""))),"")</f>
        <v>0</v>
      </c>
      <c r="AV223" s="39" t="n">
        <f aca="false">IFERROR(IF($C223="","",IF($D223="","",IFERROR(ROUND($D223*INDEX('🔖 배합비 참조'!$B$2:$CE$83,MATCH("복음땅콩분태",'🔖 배합비 참조'!$A$2:$A$83,0),MATCH($C223,'🔖 배합비 참조'!$B$1:$CE$1,0))/100,0),""))),"")</f>
        <v>0</v>
      </c>
      <c r="AW223" s="39" t="n">
        <f aca="false">IFERROR(IF($C223="","",IF($D223="","",IFERROR(ROUND($D223*INDEX('🔖 배합비 참조'!$B$2:$CE$83,MATCH("사양벌꿀(국내산)",'🔖 배합비 참조'!$A$2:$A$83,0),MATCH($C223,'🔖 배합비 참조'!$B$1:$CE$1,0))/100,0),""))),"")</f>
        <v>0</v>
      </c>
      <c r="AX223" s="39" t="n">
        <f aca="false">IFERROR(IF($C223="","",IF($D223="","",IFERROR(ROUND($D223*INDEX('🔖 배합비 참조'!$B$2:$CE$83,MATCH("생크림",'🔖 배합비 참조'!$A$2:$A$83,0),MATCH($C223,'🔖 배합비 참조'!$B$1:$CE$1,0))/100,0),""))),"")</f>
        <v>0</v>
      </c>
      <c r="AY223" s="39" t="n">
        <f aca="false">IFERROR(IF($C223="","",IF($D223="","",IFERROR(ROUND($D223*INDEX('🔖 배합비 참조'!$B$2:$CE$83,MATCH("서양호박(국내산,뉴질랜드산)",'🔖 배합비 참조'!$A$2:$A$83,0),MATCH($C223,'🔖 배합비 참조'!$B$1:$CE$1,0))/100,0),""))),"")</f>
        <v>0</v>
      </c>
      <c r="AZ223" s="39" t="n">
        <f aca="false">IFERROR(IF($C223="","",IF($D223="","",IFERROR(ROUND($D223*INDEX('🔖 배합비 참조'!$B$2:$CE$83,MATCH("설탕",'🔖 배합비 참조'!$A$2:$A$83,0),MATCH($C223,'🔖 배합비 참조'!$B$1:$CE$1,0))/100,0),""))),"")</f>
        <v>125</v>
      </c>
      <c r="BA223" s="39" t="n">
        <f aca="false">IFERROR(IF($C223="","",IF($D223="","",IFERROR(ROUND($D223*INDEX('🔖 배합비 참조'!$B$2:$CE$83,MATCH("스트로우베리 에이드 후레쉬",'🔖 배합비 참조'!$A$2:$A$83,0),MATCH($C223,'🔖 배합비 참조'!$B$1:$CE$1,0))/100,0),""))),"")</f>
        <v>0</v>
      </c>
      <c r="BB223" s="39" t="n">
        <f aca="false">IFERROR(IF($C223="","",IF($D223="","",IFERROR(ROUND($D223*INDEX('🔖 배합비 참조'!$B$2:$CE$83,MATCH("식물성기름혼합제제(분홍)",'🔖 배합비 참조'!$A$2:$A$83,0),MATCH($C223,'🔖 배합비 참조'!$B$1:$CE$1,0))/100,0),""))),"")</f>
        <v>0</v>
      </c>
      <c r="BC223" s="39" t="n">
        <f aca="false">IFERROR(IF($C223="","",IF($D223="","",IFERROR(ROUND($D223*INDEX('🔖 배합비 참조'!$B$2:$CE$83,MATCH("식물성기름혼합제제(초록)",'🔖 배합비 참조'!$A$2:$A$83,0),MATCH($C223,'🔖 배합비 참조'!$B$1:$CE$1,0))/100,0),""))),"")</f>
        <v>0</v>
      </c>
      <c r="BD223" s="39" t="n">
        <f aca="false">IFERROR(IF($C223="","",IF($D223="","",IFERROR(ROUND($D223*INDEX('🔖 배합비 참조'!$B$2:$CE$83,MATCH("식물성기름혼합제제(황색)",'🔖 배합비 참조'!$A$2:$A$83,0),MATCH($C223,'🔖 배합비 참조'!$B$1:$CE$1,0))/100,0),""))),"")</f>
        <v>0</v>
      </c>
      <c r="BE223" s="39" t="n">
        <f aca="false">IFERROR(IF($C223="","",IF($D223="","",IFERROR(ROUND($D223*INDEX('🔖 배합비 참조'!$B$2:$CE$83,MATCH("쑥가루(국내산)",'🔖 배합비 참조'!$A$2:$A$83,0),MATCH($C223,'🔖 배합비 참조'!$B$1:$CE$1,0))/100,0),""))),"")</f>
        <v>0</v>
      </c>
      <c r="BF223" s="39" t="n">
        <f aca="false">IFERROR(IF($C223="","",IF($D223="","",IFERROR(ROUND($D223*INDEX('🔖 배합비 참조'!$B$2:$CE$83,MATCH("아몬드슬라이스",'🔖 배합비 참조'!$A$2:$A$83,0),MATCH($C223,'🔖 배합비 참조'!$B$1:$CE$1,0))/100,0),""))),"")</f>
        <v>0</v>
      </c>
      <c r="BG223" s="39" t="n">
        <f aca="false">IFERROR(IF($C223="","",IF($D223="","",IFERROR(ROUND($D223*INDEX('🔖 배합비 참조'!$B$2:$CE$83,MATCH("알룰로오스(국내산)",'🔖 배합비 참조'!$A$2:$A$83,0),MATCH($C223,'🔖 배합비 참조'!$B$1:$CE$1,0))/100,0),""))),"")</f>
        <v>0</v>
      </c>
      <c r="BH223" s="39" t="n">
        <f aca="false">IFERROR(IF($C223="","",IF($D223="","",IFERROR(ROUND($D223*INDEX('🔖 배합비 참조'!$B$2:$CE$83,MATCH("연유",'🔖 배합비 참조'!$A$2:$A$83,0),MATCH($C223,'🔖 배합비 참조'!$B$1:$CE$1,0))/100,0),""))),"")</f>
        <v>0</v>
      </c>
      <c r="BI223" s="39" t="n">
        <f aca="false">IFERROR(IF($C223="","",IF($D223="","",IFERROR(ROUND($D223*INDEX('🔖 배합비 참조'!$B$2:$CE$83,MATCH("옥수수전분",'🔖 배합비 참조'!$A$2:$A$83,0),MATCH($C223,'🔖 배합비 참조'!$B$1:$CE$1,0))/100,0),""))),"")</f>
        <v>0</v>
      </c>
      <c r="BJ223" s="39" t="n">
        <f aca="false">IFERROR(IF($C223="","",IF($D223="","",IFERROR(ROUND($D223*INDEX('🔖 배합비 참조'!$B$2:$CE$83,MATCH("완두배기",'🔖 배합비 참조'!$A$2:$A$83,0),MATCH($C223,'🔖 배합비 참조'!$B$1:$CE$1,0))/100,0),""))),"")</f>
        <v>0</v>
      </c>
      <c r="BK223" s="39" t="n">
        <f aca="false">IFERROR(IF($C223="","",IF($D223="","",IFERROR(ROUND($D223*INDEX('🔖 배합비 참조'!$B$2:$CE$83,MATCH("우유(국내산)",'🔖 배합비 참조'!$A$2:$A$83,0),MATCH($C223,'🔖 배합비 참조'!$B$1:$CE$1,0))/100,0),""))),"")</f>
        <v>0</v>
      </c>
      <c r="BL223" s="39" t="n">
        <f aca="false">IFERROR(IF($C223="","",IF($D223="","",IFERROR(ROUND($D223*INDEX('🔖 배합비 참조'!$B$2:$CE$83,MATCH("자색고구마가루(중국산)",'🔖 배합비 참조'!$A$2:$A$83,0),MATCH($C223,'🔖 배합비 참조'!$B$1:$CE$1,0))/100,0),""))),"")</f>
        <v>0</v>
      </c>
      <c r="BM223" s="39" t="n">
        <f aca="false">IFERROR(IF($C223="","",IF($D223="","",IFERROR(ROUND($D223*INDEX('🔖 배합비 참조'!$B$2:$CE$83,MATCH("자연치즈(체다치즈)",'🔖 배합비 참조'!$A$2:$A$83,0),MATCH($C223,'🔖 배합비 참조'!$B$1:$CE$1,0))/100,0),""))),"")</f>
        <v>0</v>
      </c>
      <c r="BN223" s="39" t="n">
        <f aca="false">IFERROR(IF($C223="","",IF($D223="","",IFERROR(ROUND($D223*INDEX('🔖 배합비 참조'!$B$2:$CE$83,MATCH("정제수",'🔖 배합비 참조'!$A$2:$A$83,0),MATCH($C223,'🔖 배합비 참조'!$B$1:$CE$1,0))/100,0),""))),"")</f>
        <v>20</v>
      </c>
      <c r="BO223" s="39" t="n">
        <f aca="false">IFERROR(IF($C223="","",IF($D223="","",IFERROR(ROUND($D223*INDEX('🔖 배합비 참조'!$B$2:$CE$83,MATCH("젤라틴",'🔖 배합비 참조'!$A$2:$A$83,0),MATCH($C223,'🔖 배합비 참조'!$B$1:$CE$1,0))/100,0),""))),"")</f>
        <v>0</v>
      </c>
      <c r="BP223" s="39" t="n">
        <f aca="false">IFERROR(IF($C223="","",IF($D223="","",IFERROR(ROUND($D223*INDEX('🔖 배합비 참조'!$B$2:$CE$83,MATCH("조림류(백옥앙금)",'🔖 배합비 참조'!$A$2:$A$83,0),MATCH($C223,'🔖 배합비 참조'!$B$1:$CE$1,0))/100,0),""))),"")</f>
        <v>0</v>
      </c>
      <c r="BQ223" s="39" t="n">
        <f aca="false">IFERROR(IF($C223="","",IF($D223="","",IFERROR(ROUND($D223*INDEX('🔖 배합비 참조'!$B$2:$CE$83,MATCH("조림류(통팥앙금)",'🔖 배합비 참조'!$A$2:$A$83,0),MATCH($C223,'🔖 배합비 참조'!$B$1:$CE$1,0))/100,0),""))),"")</f>
        <v>119</v>
      </c>
      <c r="BR223" s="39" t="n">
        <f aca="false">IFERROR(IF($C223="","",IF($D223="","",IFERROR(ROUND($D223*INDEX('🔖 배합비 참조'!$B$2:$CE$83,MATCH("준초콜릿(외국산)",'🔖 배합비 참조'!$A$2:$A$83,0),MATCH($C223,'🔖 배합비 참조'!$B$1:$CE$1,0))/100,0),""))),"")</f>
        <v>0</v>
      </c>
      <c r="BS223" s="39" t="n">
        <f aca="false">IFERROR(IF($C223="","",IF($D223="","",IFERROR(ROUND($D223*INDEX('🔖 배합비 참조'!$B$2:$CE$83,MATCH("중력분",'🔖 배합비 참조'!$A$2:$A$83,0),MATCH($C223,'🔖 배합비 참조'!$B$1:$CE$1,0))/100,0),""))),"")</f>
        <v>13</v>
      </c>
      <c r="BT223" s="39" t="n">
        <f aca="false">IFERROR(IF($C223="","",IF($D223="","",IFERROR(ROUND($D223*INDEX('🔖 배합비 참조'!$B$2:$CE$83,MATCH("참깨(인도산,나이지리아산,탄자니아산,미얀마산)",'🔖 배합비 참조'!$A$2:$A$83,0),MATCH($C223,'🔖 배합비 참조'!$B$1:$CE$1,0))/100,0),""))),"")</f>
        <v>0</v>
      </c>
      <c r="BU223" s="39" t="n">
        <f aca="false">IFERROR(IF($C223="","",IF($D223="","",IFERROR(ROUND($D223*INDEX('🔖 배합비 참조'!$B$2:$CE$83,MATCH("찹쌀(국내산)",'🔖 배합비 참조'!$A$2:$A$83,0),MATCH($C223,'🔖 배합비 참조'!$B$1:$CE$1,0))/100,0),""))),"")</f>
        <v>284</v>
      </c>
      <c r="BV223" s="39" t="n">
        <f aca="false">IFERROR(IF($C223="","",IF($D223="","",IFERROR(ROUND($D223*INDEX('🔖 배합비 참조'!$B$2:$CE$83,MATCH("천일염",'🔖 배합비 참조'!$A$2:$A$83,0),MATCH($C223,'🔖 배합비 참조'!$B$1:$CE$1,0))/100,0),""))),"")</f>
        <v>13</v>
      </c>
      <c r="BW223" s="39" t="n">
        <f aca="false">IFERROR(IF($C223="","",IF($D223="","",IFERROR(ROUND($D223*INDEX('🔖 배합비 참조'!$B$2:$CE$83,MATCH("치즈 [크림치즈]",'🔖 배합비 참조'!$A$2:$A$83,0),MATCH($C223,'🔖 배합비 참조'!$B$1:$CE$1,0))/100,0),""))),"")</f>
        <v>0</v>
      </c>
      <c r="BX223" s="39" t="n">
        <f aca="false">IFERROR(IF($C223="","",IF($D223="","",IFERROR(ROUND($D223*INDEX('🔖 배합비 참조'!$B$2:$CE$83,MATCH("코코아가공품류(코코아분말)",'🔖 배합비 참조'!$A$2:$A$83,0),MATCH($C223,'🔖 배합비 참조'!$B$1:$CE$1,0))/100,0),""))),"")</f>
        <v>0</v>
      </c>
      <c r="BY223" s="39" t="n">
        <f aca="false">IFERROR(IF($C223="","",IF($D223="","",IFERROR(ROUND($D223*INDEX('🔖 배합비 참조'!$B$2:$CE$83,MATCH("콩기름(대두유)",'🔖 배합비 참조'!$A$2:$A$83,0),MATCH($C223,'🔖 배합비 참조'!$B$1:$CE$1,0))/100,0),""))),"")</f>
        <v>0</v>
      </c>
      <c r="BZ223" s="39" t="n">
        <f aca="false">IFERROR(IF($C223="","",IF($D223="","",IFERROR(ROUND($D223*INDEX('🔖 배합비 참조'!$B$2:$CE$83,MATCH("해바라기씨앗",'🔖 배합비 참조'!$A$2:$A$83,0),MATCH($C223,'🔖 배합비 참조'!$B$1:$CE$1,0))/100,0),""))),"")</f>
        <v>0</v>
      </c>
      <c r="CA223" s="39" t="n">
        <f aca="false">IFERROR(IF($C223="","",IF($D223="","",IFERROR(ROUND($D223*INDEX('🔖 배합비 참조'!$B$2:$CE$83,MATCH("현미(국내산)",'🔖 배합비 참조'!$A$2:$A$83,0),MATCH($C223,'🔖 배합비 참조'!$B$1:$CE$1,0))/100,0),""))),"")</f>
        <v>0</v>
      </c>
      <c r="CB223" s="39" t="n">
        <f aca="false">IFERROR(IF($C223="","",IF($D223="","",IFERROR(ROUND($D223*INDEX('🔖 배합비 참조'!$B$2:$CE$83,MATCH("현미멥쌀(국내산)",'🔖 배합비 참조'!$A$2:$A$83,0),MATCH($C223,'🔖 배합비 참조'!$B$1:$CE$1,0))/100,0),""))),"")</f>
        <v>0</v>
      </c>
      <c r="CC223" s="39" t="n">
        <f aca="false">IFERROR(IF($C223="","",IF($D223="","",IFERROR(ROUND($D223*INDEX('🔖 배합비 참조'!$B$2:$CE$83,MATCH("호두분태(미국산)",'🔖 배합비 참조'!$A$2:$A$83,0),MATCH($C223,'🔖 배합비 참조'!$B$1:$CE$1,0))/100,0),""))),"")</f>
        <v>0</v>
      </c>
      <c r="CD223" s="39" t="n">
        <f aca="false">IFERROR(IF($C223="","",IF($D223="","",IFERROR(ROUND($D223*INDEX('🔖 배합비 참조'!$B$2:$CE$83,MATCH("호박씨앗(외국산)",'🔖 배합비 참조'!$A$2:$A$83,0),MATCH($C223,'🔖 배합비 참조'!$B$1:$CE$1,0))/100,0),""))),"")</f>
        <v>0</v>
      </c>
      <c r="CE223" s="39" t="n">
        <f aca="false">IFERROR(IF($C223="","",IF($D223="","",IFERROR(ROUND($D223*INDEX('🔖 배합비 참조'!$B$2:$CE$83,MATCH("혼합제제(떡용에스텔)",'🔖 배합비 참조'!$A$2:$A$83,0),MATCH($C223,'🔖 배합비 참조'!$B$1:$CE$1,0))/100,0),""))),"")</f>
        <v>13</v>
      </c>
      <c r="CF223" s="39" t="n">
        <f aca="false">IFERROR(IF($C223="","",IF($D223="","",IFERROR(ROUND($D223*INDEX('🔖 배합비 참조'!$B$2:$CE$83,MATCH("혼합제제(스테비아)",'🔖 배합비 참조'!$A$2:$A$83,0),MATCH($C223,'🔖 배합비 참조'!$B$1:$CE$1,0))/100,0),""))),"")</f>
        <v>0</v>
      </c>
      <c r="CG223" s="39" t="n">
        <f aca="false">IFERROR(IF($C223="","",IF($D223="","",IFERROR(ROUND($D223*INDEX('🔖 배합비 참조'!$B$2:$CE$83,MATCH("화이트초콜릿",'🔖 배합비 참조'!$A$2:$A$83,0),MATCH($C223,'🔖 배합비 참조'!$B$1:$CE$1,0))/100,0),""))),"")</f>
        <v>0</v>
      </c>
      <c r="CH223" s="39" t="n">
        <f aca="false">IFERROR(IF($C223="","",IF($D223="","",IFERROR(ROUND($D223*INDEX('🔖 배합비 참조'!$B$2:$CE$83,MATCH("흑미찹쌀(국내산)",'🔖 배합비 참조'!$A$2:$A$83,0),MATCH($C223,'🔖 배합비 참조'!$B$1:$CE$1,0))/100,0),""))),"")</f>
        <v>0</v>
      </c>
      <c r="CI223" s="39" t="n">
        <f aca="false">IFERROR(IF($C223="","",IF($D223="","",IFERROR(ROUND($D223*INDEX('🔖 배합비 참조'!$B$2:$CE$83,MATCH("찰옥수수전분(미국산)",'🔖 배합비 참조'!$A$2:$A$83,0),MATCH($C223,'🔖 배합비 참조'!$B$1:$CE$1,0))/100,0),""))),"")</f>
        <v>59</v>
      </c>
      <c r="CJ223" s="40"/>
      <c r="CL223" s="1" t="s">
        <v>247</v>
      </c>
    </row>
    <row r="224" customFormat="false" ht="18" hidden="false" customHeight="true" outlineLevel="0" collapsed="false">
      <c r="A224" s="41" t="n">
        <v>220</v>
      </c>
      <c r="B224" s="36" t="n">
        <v>46062</v>
      </c>
      <c r="C224" s="37" t="s">
        <v>204</v>
      </c>
      <c r="D224" s="38" t="n">
        <v>220</v>
      </c>
      <c r="E224" s="17"/>
      <c r="F224" s="17"/>
      <c r="G224" s="42" t="n">
        <f aca="false">IFERROR(IF($C224="","",IF($D224="","",IFERROR(ROUND($D224*INDEX('🔖 배합비 참조'!$B$2:$CE$83,MATCH("간장",'🔖 배합비 참조'!$A$2:$A$83,0),MATCH($C224,'🔖 배합비 참조'!$B$1:$CE$1,0))/100,0),""))),"")</f>
        <v>0</v>
      </c>
      <c r="H224" s="42" t="n">
        <f aca="false">IFERROR(IF($C224="","",IF($D224="","",IFERROR(ROUND($D224*INDEX('🔖 배합비 참조'!$B$2:$CE$83,MATCH("강낭콩((울타리콩))",'🔖 배합비 참조'!$A$2:$A$83,0),MATCH($C224,'🔖 배합비 참조'!$B$1:$CE$1,0))/100,0),""))),"")</f>
        <v>0</v>
      </c>
      <c r="I224" s="42" t="n">
        <f aca="false">IFERROR(IF($C224="","",IF($D224="","",IFERROR(ROUND($D224*INDEX('🔖 배합비 참조'!$B$2:$CE$83,MATCH("건조딸기다이스(외국산)",'🔖 배합비 참조'!$A$2:$A$83,0),MATCH($C224,'🔖 배합비 참조'!$B$1:$CE$1,0))/100,0),""))),"")</f>
        <v>0</v>
      </c>
      <c r="J224" s="42" t="n">
        <f aca="false">IFERROR(IF($C224="","",IF($D224="","",IFERROR(ROUND($D224*INDEX('🔖 배합비 참조'!$B$2:$CE$83,MATCH("건포도",'🔖 배합비 참조'!$A$2:$A$83,0),MATCH($C224,'🔖 배합비 참조'!$B$1:$CE$1,0))/100,0),""))),"")</f>
        <v>0</v>
      </c>
      <c r="K224" s="42" t="n">
        <f aca="false">IFERROR(IF($C224="","",IF($D224="","",IFERROR(ROUND($D224*INDEX('🔖 배합비 참조'!$B$2:$CE$83,MATCH("건호박채(중국산)",'🔖 배합비 참조'!$A$2:$A$83,0),MATCH($C224,'🔖 배합비 참조'!$B$1:$CE$1,0))/100,0),""))),"")</f>
        <v>0</v>
      </c>
      <c r="L224" s="42" t="n">
        <f aca="false">IFERROR(IF($C224="","",IF($D224="","",IFERROR(ROUND($D224*INDEX('🔖 배합비 참조'!$B$2:$CE$83,MATCH("검정깨(흑임자)",'🔖 배합비 참조'!$A$2:$A$83,0),MATCH($C224,'🔖 배합비 참조'!$B$1:$CE$1,0))/100,0),""))),"")</f>
        <v>0</v>
      </c>
      <c r="M224" s="42" t="n">
        <f aca="false">IFERROR(IF($C224="","",IF($D224="","",IFERROR(ROUND($D224*INDEX('🔖 배합비 참조'!$B$2:$CE$83,MATCH("검정콩",'🔖 배합비 참조'!$A$2:$A$83,0),MATCH($C224,'🔖 배합비 참조'!$B$1:$CE$1,0))/100,0),""))),"")</f>
        <v>0</v>
      </c>
      <c r="N224" s="42" t="n">
        <f aca="false">IFERROR(IF($C224="","",IF($D224="","",IFERROR(ROUND($D224*INDEX('🔖 배합비 참조'!$B$2:$CE$83,MATCH("계피가루",'🔖 배합비 참조'!$A$2:$A$83,0),MATCH($C224,'🔖 배합비 참조'!$B$1:$CE$1,0))/100,0),""))),"")</f>
        <v>0</v>
      </c>
      <c r="O224" s="42" t="n">
        <f aca="false">IFERROR(IF($C224="","",IF($D224="","",IFERROR(ROUND($D224*INDEX('🔖 배합비 참조'!$B$2:$CE$83,MATCH("고구마가루",'🔖 배합비 참조'!$A$2:$A$83,0),MATCH($C224,'🔖 배합비 참조'!$B$1:$CE$1,0))/100,0),""))),"")</f>
        <v>0</v>
      </c>
      <c r="P224" s="42" t="n">
        <f aca="false">IFERROR(IF($C224="","",IF($D224="","",IFERROR(ROUND($D224*INDEX('🔖 배합비 참조'!$B$2:$CE$83,MATCH("고구마무스",'🔖 배합비 참조'!$A$2:$A$83,0),MATCH($C224,'🔖 배합비 참조'!$B$1:$CE$1,0))/100,0),""))),"")</f>
        <v>0</v>
      </c>
      <c r="Q224" s="42" t="n">
        <f aca="false">IFERROR(IF($C224="","",IF($D224="","",IFERROR(ROUND($D224*INDEX('🔖 배합비 참조'!$B$2:$CE$83,MATCH("고려엉겅퀴((곤드레)국내산)",'🔖 배합비 참조'!$A$2:$A$83,0),MATCH($C224,'🔖 배합비 참조'!$B$1:$CE$1,0))/100,0),""))),"")</f>
        <v>0</v>
      </c>
      <c r="R224" s="42" t="n">
        <f aca="false">IFERROR(IF($C224="","",IF($D224="","",IFERROR(ROUND($D224*INDEX('🔖 배합비 참조'!$B$2:$CE$83,MATCH("기타가공품(복분자가루)",'🔖 배합비 참조'!$A$2:$A$83,0),MATCH($C224,'🔖 배합비 참조'!$B$1:$CE$1,0))/100,0),""))),"")</f>
        <v>0</v>
      </c>
      <c r="S224" s="42" t="n">
        <f aca="false">IFERROR(IF($C224="","",IF($D224="","",IFERROR(ROUND($D224*INDEX('🔖 배합비 참조'!$B$2:$CE$83,MATCH("기타가공품(슈퍼소프트엠)",'🔖 배합비 참조'!$A$2:$A$83,0),MATCH($C224,'🔖 배합비 참조'!$B$1:$CE$1,0))/100,0),""))),"")</f>
        <v>0</v>
      </c>
      <c r="T224" s="42" t="n">
        <f aca="false">IFERROR(IF($C224="","",IF($D224="","",IFERROR(ROUND($D224*INDEX('🔖 배합비 참조'!$B$2:$CE$83,MATCH("기타가공품(파인소프트 E-티)",'🔖 배합비 참조'!$A$2:$A$83,0),MATCH($C224,'🔖 배합비 참조'!$B$1:$CE$1,0))/100,0),""))),"")</f>
        <v>0</v>
      </c>
      <c r="U224" s="42" t="n">
        <f aca="false">IFERROR(IF($C224="","",IF($D224="","",IFERROR(ROUND($D224*INDEX('🔖 배합비 참조'!$B$2:$CE$83,MATCH("기타가공품(프리미엄카스테라가루)",'🔖 배합비 참조'!$A$2:$A$83,0),MATCH($C224,'🔖 배합비 참조'!$B$1:$CE$1,0))/100,0),""))),"")</f>
        <v>0</v>
      </c>
      <c r="V224" s="42" t="n">
        <f aca="false">IFERROR(IF($C224="","",IF($D224="","",IFERROR(ROUND($D224*INDEX('🔖 배합비 참조'!$B$2:$CE$83,MATCH("기타가공품(흑임자가루)",'🔖 배합비 참조'!$A$2:$A$83,0),MATCH($C224,'🔖 배합비 참조'!$B$1:$CE$1,0))/100,0),""))),"")</f>
        <v>0</v>
      </c>
      <c r="W224" s="42" t="n">
        <f aca="false">IFERROR(IF($C224="","",IF($D224="","",IFERROR(ROUND($D224*INDEX('🔖 배합비 참조'!$B$2:$CE$83,MATCH("기타설탕(흑설탕)",'🔖 배합비 참조'!$A$2:$A$83,0),MATCH($C224,'🔖 배합비 참조'!$B$1:$CE$1,0))/100,0),""))),"")</f>
        <v>0</v>
      </c>
      <c r="X224" s="42" t="n">
        <f aca="false">IFERROR(IF($C224="","",IF($D224="","",IFERROR(ROUND($D224*INDEX('🔖 배합비 참조'!$B$2:$CE$83,MATCH("냉동쑥(국내산)",'🔖 배합비 참조'!$A$2:$A$83,0),MATCH($C224,'🔖 배합비 참조'!$B$1:$CE$1,0))/100,0),""))),"")</f>
        <v>7</v>
      </c>
      <c r="Y224" s="42" t="n">
        <f aca="false">IFERROR(IF($C224="","",IF($D224="","",IFERROR(ROUND($D224*INDEX('🔖 배합비 참조'!$B$2:$CE$83,MATCH("냉동증숙고구마(중국산)",'🔖 배합비 참조'!$A$2:$A$83,0),MATCH($C224,'🔖 배합비 참조'!$B$1:$CE$1,0))/100,0),""))),"")</f>
        <v>0</v>
      </c>
      <c r="Z224" s="42" t="n">
        <f aca="false">IFERROR(IF($C224="","",IF($D224="","",IFERROR(ROUND($D224*INDEX('🔖 배합비 참조'!$B$2:$CE$83,MATCH("녹차가루",'🔖 배합비 참조'!$A$2:$A$83,0),MATCH($C224,'🔖 배합비 참조'!$B$1:$CE$1,0))/100,0),""))),"")</f>
        <v>0</v>
      </c>
      <c r="AA224" s="42" t="n">
        <f aca="false">IFERROR(IF($C224="","",IF($D224="","",IFERROR(ROUND($D224*INDEX('🔖 배합비 참조'!$B$2:$CE$83,MATCH("다크초콜릿 컴파운드칩",'🔖 배합비 참조'!$A$2:$A$83,0),MATCH($C224,'🔖 배합비 참조'!$B$1:$CE$1,0))/100,0),""))),"")</f>
        <v>0</v>
      </c>
      <c r="AB224" s="42" t="n">
        <f aca="false">IFERROR(IF($C224="","",IF($D224="","",IFERROR(ROUND($D224*INDEX('🔖 배합비 참조'!$B$2:$CE$83,MATCH("단호박분말(중국산)",'🔖 배합비 참조'!$A$2:$A$83,0),MATCH($C224,'🔖 배합비 참조'!$B$1:$CE$1,0))/100,0),""))),"")</f>
        <v>0</v>
      </c>
      <c r="AC224" s="42" t="n">
        <f aca="false">IFERROR(IF($C224="","",IF($D224="","",IFERROR(ROUND($D224*INDEX('🔖 배합비 참조'!$B$2:$CE$83,MATCH("당류가공품(단호박농축액)",'🔖 배합비 참조'!$A$2:$A$83,0),MATCH($C224,'🔖 배합비 참조'!$B$1:$CE$1,0))/100,0),""))),"")</f>
        <v>0</v>
      </c>
      <c r="AD224" s="42" t="n">
        <f aca="false">IFERROR(IF($C224="","",IF($D224="","",IFERROR(ROUND($D224*INDEX('🔖 배합비 참조'!$B$2:$CE$83,MATCH("당류가공품(알룰로스,에리스리톨,스테비올배당체혼합)",'🔖 배합비 참조'!$A$2:$A$83,0),MATCH($C224,'🔖 배합비 참조'!$B$1:$CE$1,0))/100,0),""))),"")</f>
        <v>0</v>
      </c>
      <c r="AE224" s="42" t="n">
        <f aca="false">IFERROR(IF($C224="","",IF($D224="","",IFERROR(ROUND($D224*INDEX('🔖 배합비 참조'!$B$2:$CE$83,MATCH("당류가공품(알룰로스제로파우더)",'🔖 배합비 참조'!$A$2:$A$83,0),MATCH($C224,'🔖 배합비 참조'!$B$1:$CE$1,0))/100,0),""))),"")</f>
        <v>0</v>
      </c>
      <c r="AF224" s="42" t="n">
        <f aca="false">IFERROR(IF($C224="","",IF($D224="","",IFERROR(ROUND($D224*INDEX('🔖 배합비 참조'!$B$2:$CE$83,MATCH("당절임(완두배기)",'🔖 배합비 참조'!$A$2:$A$83,0),MATCH($C224,'🔖 배합비 참조'!$B$1:$CE$1,0))/100,0),""))),"")</f>
        <v>0</v>
      </c>
      <c r="AG224" s="42" t="n">
        <f aca="false">IFERROR(IF($C224="","",IF($D224="","",IFERROR(ROUND($D224*INDEX('🔖 배합비 참조'!$B$2:$CE$83,MATCH("대추농축액",'🔖 배합비 참조'!$A$2:$A$83,0),MATCH($C224,'🔖 배합비 참조'!$B$1:$CE$1,0))/100,0),""))),"")</f>
        <v>0</v>
      </c>
      <c r="AH224" s="42" t="n">
        <f aca="false">IFERROR(IF($C224="","",IF($D224="","",IFERROR(ROUND($D224*INDEX('🔖 배합비 참조'!$B$2:$CE$83,MATCH("대추채(국내산)",'🔖 배합비 참조'!$A$2:$A$83,0),MATCH($C224,'🔖 배합비 참조'!$B$1:$CE$1,0))/100,0),""))),"")</f>
        <v>0</v>
      </c>
      <c r="AI224" s="42" t="n">
        <f aca="false">IFERROR(IF($C224="","",IF($D224="","",IFERROR(ROUND($D224*INDEX('🔖 배합비 참조'!$B$2:$CE$83,MATCH("동부(미얀마산)",'🔖 배합비 참조'!$A$2:$A$83,0),MATCH($C224,'🔖 배합비 참조'!$B$1:$CE$1,0))/100,0),""))),"")</f>
        <v>0</v>
      </c>
      <c r="AJ224" s="42" t="n">
        <f aca="false">IFERROR(IF($C224="","",IF($D224="","",IFERROR(ROUND($D224*INDEX('🔖 배합비 참조'!$B$2:$CE$83,MATCH("두류가공품(백옥앙금)",'🔖 배합비 참조'!$A$2:$A$83,0),MATCH($C224,'🔖 배합비 참조'!$B$1:$CE$1,0))/100,0),""))),"")</f>
        <v>0</v>
      </c>
      <c r="AK224" s="42" t="n">
        <f aca="false">IFERROR(IF($C224="","",IF($D224="","",IFERROR(ROUND($D224*INDEX('🔖 배합비 참조'!$B$2:$CE$83,MATCH("두류가공품(콩고물)",'🔖 배합비 참조'!$A$2:$A$83,0),MATCH($C224,'🔖 배합비 참조'!$B$1:$CE$1,0))/100,0),""))),"")</f>
        <v>7</v>
      </c>
      <c r="AL224" s="42" t="n">
        <f aca="false">IFERROR(IF($C224="","",IF($D224="","",IFERROR(ROUND($D224*INDEX('🔖 배합비 참조'!$B$2:$CE$83,MATCH("두류가공품(통팥고물)",'🔖 배합비 참조'!$A$2:$A$83,0),MATCH($C224,'🔖 배합비 참조'!$B$1:$CE$1,0))/100,0),""))),"")</f>
        <v>0</v>
      </c>
      <c r="AM224" s="42" t="n">
        <f aca="false">IFERROR(IF($C224="","",IF($D224="","",IFERROR(ROUND($D224*INDEX('🔖 배합비 참조'!$B$2:$CE$83,MATCH("딸기레진",'🔖 배합비 참조'!$A$2:$A$83,0),MATCH($C224,'🔖 배합비 참조'!$B$1:$CE$1,0))/100,0),""))),"")</f>
        <v>0</v>
      </c>
      <c r="AN224" s="42" t="n">
        <f aca="false">IFERROR(IF($C224="","",IF($D224="","",IFERROR(ROUND($D224*INDEX('🔖 배합비 참조'!$B$2:$CE$83,MATCH("딸기분말(스트로우베리에이드(분말))",'🔖 배합비 참조'!$A$2:$A$83,0),MATCH($C224,'🔖 배합비 참조'!$B$1:$CE$1,0))/100,0),""))),"")</f>
        <v>0</v>
      </c>
      <c r="AO224" s="42" t="n">
        <f aca="false">IFERROR(IF($C224="","",IF($D224="","",IFERROR(ROUND($D224*INDEX('🔖 배합비 참조'!$B$2:$CE$83,MATCH("마스카포네치즈",'🔖 배합비 참조'!$A$2:$A$83,0),MATCH($C224,'🔖 배합비 참조'!$B$1:$CE$1,0))/100,0),""))),"")</f>
        <v>0</v>
      </c>
      <c r="AP224" s="42" t="n">
        <f aca="false">IFERROR(IF($C224="","",IF($D224="","",IFERROR(ROUND($D224*INDEX('🔖 배합비 참조'!$B$2:$CE$83,MATCH("마카다미아분태(호주산)",'🔖 배합비 참조'!$A$2:$A$83,0),MATCH($C224,'🔖 배합비 참조'!$B$1:$CE$1,0))/100,0),""))),"")</f>
        <v>0</v>
      </c>
      <c r="AQ224" s="42" t="n">
        <f aca="false">IFERROR(IF($C224="","",IF($D224="","",IFERROR(ROUND($D224*INDEX('🔖 배합비 참조'!$B$2:$CE$83,MATCH("멥쌀(국내산)",'🔖 배합비 참조'!$A$2:$A$83,0),MATCH($C224,'🔖 배합비 참조'!$B$1:$CE$1,0))/100,0),""))),"")</f>
        <v>0</v>
      </c>
      <c r="AR224" s="42" t="n">
        <f aca="false">IFERROR(IF($C224="","",IF($D224="","",IFERROR(ROUND($D224*INDEX('🔖 배합비 참조'!$B$2:$CE$83,MATCH("모시잎(국내산)",'🔖 배합비 참조'!$A$2:$A$83,0),MATCH($C224,'🔖 배합비 참조'!$B$1:$CE$1,0))/100,0),""))),"")</f>
        <v>0</v>
      </c>
      <c r="AS224" s="42" t="n">
        <f aca="false">IFERROR(IF($C224="","",IF($D224="","",IFERROR(ROUND($D224*INDEX('🔖 배합비 참조'!$B$2:$CE$83,MATCH("물엿(저당물엿)",'🔖 배합비 참조'!$A$2:$A$83,0),MATCH($C224,'🔖 배합비 참조'!$B$1:$CE$1,0))/100,0),""))),"")</f>
        <v>5</v>
      </c>
      <c r="AT224" s="42" t="n">
        <f aca="false">IFERROR(IF($C224="","",IF($D224="","",IFERROR(ROUND($D224*INDEX('🔖 배합비 참조'!$B$2:$CE$83,MATCH("밤다이스",'🔖 배합비 참조'!$A$2:$A$83,0),MATCH($C224,'🔖 배합비 참조'!$B$1:$CE$1,0))/100,0),""))),"")</f>
        <v>0</v>
      </c>
      <c r="AU224" s="42" t="n">
        <f aca="false">IFERROR(IF($C224="","",IF($D224="","",IFERROR(ROUND($D224*INDEX('🔖 배합비 참조'!$B$2:$CE$83,MATCH("변성전분(타피오카전분)",'🔖 배합비 참조'!$A$2:$A$83,0),MATCH($C224,'🔖 배합비 참조'!$B$1:$CE$1,0))/100,0),""))),"")</f>
        <v>0</v>
      </c>
      <c r="AV224" s="42" t="n">
        <f aca="false">IFERROR(IF($C224="","",IF($D224="","",IFERROR(ROUND($D224*INDEX('🔖 배합비 참조'!$B$2:$CE$83,MATCH("복음땅콩분태",'🔖 배합비 참조'!$A$2:$A$83,0),MATCH($C224,'🔖 배합비 참조'!$B$1:$CE$1,0))/100,0),""))),"")</f>
        <v>0</v>
      </c>
      <c r="AW224" s="42" t="n">
        <f aca="false">IFERROR(IF($C224="","",IF($D224="","",IFERROR(ROUND($D224*INDEX('🔖 배합비 참조'!$B$2:$CE$83,MATCH("사양벌꿀(국내산)",'🔖 배합비 참조'!$A$2:$A$83,0),MATCH($C224,'🔖 배합비 참조'!$B$1:$CE$1,0))/100,0),""))),"")</f>
        <v>0</v>
      </c>
      <c r="AX224" s="42" t="n">
        <f aca="false">IFERROR(IF($C224="","",IF($D224="","",IFERROR(ROUND($D224*INDEX('🔖 배합비 참조'!$B$2:$CE$83,MATCH("생크림",'🔖 배합비 참조'!$A$2:$A$83,0),MATCH($C224,'🔖 배합비 참조'!$B$1:$CE$1,0))/100,0),""))),"")</f>
        <v>0</v>
      </c>
      <c r="AY224" s="42" t="n">
        <f aca="false">IFERROR(IF($C224="","",IF($D224="","",IFERROR(ROUND($D224*INDEX('🔖 배합비 참조'!$B$2:$CE$83,MATCH("서양호박(국내산,뉴질랜드산)",'🔖 배합비 참조'!$A$2:$A$83,0),MATCH($C224,'🔖 배합비 참조'!$B$1:$CE$1,0))/100,0),""))),"")</f>
        <v>0</v>
      </c>
      <c r="AZ224" s="42" t="n">
        <f aca="false">IFERROR(IF($C224="","",IF($D224="","",IFERROR(ROUND($D224*INDEX('🔖 배합비 참조'!$B$2:$CE$83,MATCH("설탕",'🔖 배합비 참조'!$A$2:$A$83,0),MATCH($C224,'🔖 배합비 참조'!$B$1:$CE$1,0))/100,0),""))),"")</f>
        <v>5</v>
      </c>
      <c r="BA224" s="42" t="n">
        <f aca="false">IFERROR(IF($C224="","",IF($D224="","",IFERROR(ROUND($D224*INDEX('🔖 배합비 참조'!$B$2:$CE$83,MATCH("스트로우베리 에이드 후레쉬",'🔖 배합비 참조'!$A$2:$A$83,0),MATCH($C224,'🔖 배합비 참조'!$B$1:$CE$1,0))/100,0),""))),"")</f>
        <v>0</v>
      </c>
      <c r="BB224" s="42" t="n">
        <f aca="false">IFERROR(IF($C224="","",IF($D224="","",IFERROR(ROUND($D224*INDEX('🔖 배합비 참조'!$B$2:$CE$83,MATCH("식물성기름혼합제제(분홍)",'🔖 배합비 참조'!$A$2:$A$83,0),MATCH($C224,'🔖 배합비 참조'!$B$1:$CE$1,0))/100,0),""))),"")</f>
        <v>0</v>
      </c>
      <c r="BC224" s="42" t="n">
        <f aca="false">IFERROR(IF($C224="","",IF($D224="","",IFERROR(ROUND($D224*INDEX('🔖 배합비 참조'!$B$2:$CE$83,MATCH("식물성기름혼합제제(초록)",'🔖 배합비 참조'!$A$2:$A$83,0),MATCH($C224,'🔖 배합비 참조'!$B$1:$CE$1,0))/100,0),""))),"")</f>
        <v>0</v>
      </c>
      <c r="BD224" s="42" t="n">
        <f aca="false">IFERROR(IF($C224="","",IF($D224="","",IFERROR(ROUND($D224*INDEX('🔖 배합비 참조'!$B$2:$CE$83,MATCH("식물성기름혼합제제(황색)",'🔖 배합비 참조'!$A$2:$A$83,0),MATCH($C224,'🔖 배합비 참조'!$B$1:$CE$1,0))/100,0),""))),"")</f>
        <v>0</v>
      </c>
      <c r="BE224" s="42" t="n">
        <f aca="false">IFERROR(IF($C224="","",IF($D224="","",IFERROR(ROUND($D224*INDEX('🔖 배합비 참조'!$B$2:$CE$83,MATCH("쑥가루(국내산)",'🔖 배합비 참조'!$A$2:$A$83,0),MATCH($C224,'🔖 배합비 참조'!$B$1:$CE$1,0))/100,0),""))),"")</f>
        <v>2</v>
      </c>
      <c r="BF224" s="42" t="n">
        <f aca="false">IFERROR(IF($C224="","",IF($D224="","",IFERROR(ROUND($D224*INDEX('🔖 배합비 참조'!$B$2:$CE$83,MATCH("아몬드슬라이스",'🔖 배합비 참조'!$A$2:$A$83,0),MATCH($C224,'🔖 배합비 참조'!$B$1:$CE$1,0))/100,0),""))),"")</f>
        <v>0</v>
      </c>
      <c r="BG224" s="42" t="n">
        <f aca="false">IFERROR(IF($C224="","",IF($D224="","",IFERROR(ROUND($D224*INDEX('🔖 배합비 참조'!$B$2:$CE$83,MATCH("알룰로오스(국내산)",'🔖 배합비 참조'!$A$2:$A$83,0),MATCH($C224,'🔖 배합비 참조'!$B$1:$CE$1,0))/100,0),""))),"")</f>
        <v>0</v>
      </c>
      <c r="BH224" s="42" t="n">
        <f aca="false">IFERROR(IF($C224="","",IF($D224="","",IFERROR(ROUND($D224*INDEX('🔖 배합비 참조'!$B$2:$CE$83,MATCH("연유",'🔖 배합비 참조'!$A$2:$A$83,0),MATCH($C224,'🔖 배합비 참조'!$B$1:$CE$1,0))/100,0),""))),"")</f>
        <v>0</v>
      </c>
      <c r="BI224" s="42" t="n">
        <f aca="false">IFERROR(IF($C224="","",IF($D224="","",IFERROR(ROUND($D224*INDEX('🔖 배합비 참조'!$B$2:$CE$83,MATCH("옥수수전분",'🔖 배합비 참조'!$A$2:$A$83,0),MATCH($C224,'🔖 배합비 참조'!$B$1:$CE$1,0))/100,0),""))),"")</f>
        <v>0</v>
      </c>
      <c r="BJ224" s="42" t="n">
        <f aca="false">IFERROR(IF($C224="","",IF($D224="","",IFERROR(ROUND($D224*INDEX('🔖 배합비 참조'!$B$2:$CE$83,MATCH("완두배기",'🔖 배합비 참조'!$A$2:$A$83,0),MATCH($C224,'🔖 배합비 참조'!$B$1:$CE$1,0))/100,0),""))),"")</f>
        <v>0</v>
      </c>
      <c r="BK224" s="42" t="n">
        <f aca="false">IFERROR(IF($C224="","",IF($D224="","",IFERROR(ROUND($D224*INDEX('🔖 배합비 참조'!$B$2:$CE$83,MATCH("우유(국내산)",'🔖 배합비 참조'!$A$2:$A$83,0),MATCH($C224,'🔖 배합비 참조'!$B$1:$CE$1,0))/100,0),""))),"")</f>
        <v>0</v>
      </c>
      <c r="BL224" s="42" t="n">
        <f aca="false">IFERROR(IF($C224="","",IF($D224="","",IFERROR(ROUND($D224*INDEX('🔖 배합비 참조'!$B$2:$CE$83,MATCH("자색고구마가루(중국산)",'🔖 배합비 참조'!$A$2:$A$83,0),MATCH($C224,'🔖 배합비 참조'!$B$1:$CE$1,0))/100,0),""))),"")</f>
        <v>0</v>
      </c>
      <c r="BM224" s="42" t="n">
        <f aca="false">IFERROR(IF($C224="","",IF($D224="","",IFERROR(ROUND($D224*INDEX('🔖 배합비 참조'!$B$2:$CE$83,MATCH("자연치즈(체다치즈)",'🔖 배합비 참조'!$A$2:$A$83,0),MATCH($C224,'🔖 배합비 참조'!$B$1:$CE$1,0))/100,0),""))),"")</f>
        <v>0</v>
      </c>
      <c r="BN224" s="42" t="n">
        <f aca="false">IFERROR(IF($C224="","",IF($D224="","",IFERROR(ROUND($D224*INDEX('🔖 배합비 참조'!$B$2:$CE$83,MATCH("정제수",'🔖 배합비 참조'!$A$2:$A$83,0),MATCH($C224,'🔖 배합비 참조'!$B$1:$CE$1,0))/100,0),""))),"")</f>
        <v>0</v>
      </c>
      <c r="BO224" s="42" t="n">
        <f aca="false">IFERROR(IF($C224="","",IF($D224="","",IFERROR(ROUND($D224*INDEX('🔖 배합비 참조'!$B$2:$CE$83,MATCH("젤라틴",'🔖 배합비 참조'!$A$2:$A$83,0),MATCH($C224,'🔖 배합비 참조'!$B$1:$CE$1,0))/100,0),""))),"")</f>
        <v>0</v>
      </c>
      <c r="BP224" s="42" t="n">
        <f aca="false">IFERROR(IF($C224="","",IF($D224="","",IFERROR(ROUND($D224*INDEX('🔖 배합비 참조'!$B$2:$CE$83,MATCH("조림류(백옥앙금)",'🔖 배합비 참조'!$A$2:$A$83,0),MATCH($C224,'🔖 배합비 참조'!$B$1:$CE$1,0))/100,0),""))),"")</f>
        <v>0</v>
      </c>
      <c r="BQ224" s="42" t="n">
        <f aca="false">IFERROR(IF($C224="","",IF($D224="","",IFERROR(ROUND($D224*INDEX('🔖 배합비 참조'!$B$2:$CE$83,MATCH("조림류(통팥앙금)",'🔖 배합비 참조'!$A$2:$A$83,0),MATCH($C224,'🔖 배합비 참조'!$B$1:$CE$1,0))/100,0),""))),"")</f>
        <v>92</v>
      </c>
      <c r="BR224" s="42" t="n">
        <f aca="false">IFERROR(IF($C224="","",IF($D224="","",IFERROR(ROUND($D224*INDEX('🔖 배합비 참조'!$B$2:$CE$83,MATCH("준초콜릿(외국산)",'🔖 배합비 참조'!$A$2:$A$83,0),MATCH($C224,'🔖 배합비 참조'!$B$1:$CE$1,0))/100,0),""))),"")</f>
        <v>0</v>
      </c>
      <c r="BS224" s="42" t="n">
        <f aca="false">IFERROR(IF($C224="","",IF($D224="","",IFERROR(ROUND($D224*INDEX('🔖 배합비 참조'!$B$2:$CE$83,MATCH("중력분",'🔖 배합비 참조'!$A$2:$A$83,0),MATCH($C224,'🔖 배합비 참조'!$B$1:$CE$1,0))/100,0),""))),"")</f>
        <v>2</v>
      </c>
      <c r="BT224" s="42" t="n">
        <f aca="false">IFERROR(IF($C224="","",IF($D224="","",IFERROR(ROUND($D224*INDEX('🔖 배합비 참조'!$B$2:$CE$83,MATCH("참깨(인도산,나이지리아산,탄자니아산,미얀마산)",'🔖 배합비 참조'!$A$2:$A$83,0),MATCH($C224,'🔖 배합비 참조'!$B$1:$CE$1,0))/100,0),""))),"")</f>
        <v>0</v>
      </c>
      <c r="BU224" s="42" t="n">
        <f aca="false">IFERROR(IF($C224="","",IF($D224="","",IFERROR(ROUND($D224*INDEX('🔖 배합비 참조'!$B$2:$CE$83,MATCH("찹쌀(국내산)",'🔖 배합비 참조'!$A$2:$A$83,0),MATCH($C224,'🔖 배합비 참조'!$B$1:$CE$1,0))/100,0),""))),"")</f>
        <v>98</v>
      </c>
      <c r="BV224" s="42" t="n">
        <f aca="false">IFERROR(IF($C224="","",IF($D224="","",IFERROR(ROUND($D224*INDEX('🔖 배합비 참조'!$B$2:$CE$83,MATCH("천일염",'🔖 배합비 참조'!$A$2:$A$83,0),MATCH($C224,'🔖 배합비 참조'!$B$1:$CE$1,0))/100,0),""))),"")</f>
        <v>2</v>
      </c>
      <c r="BW224" s="42" t="n">
        <f aca="false">IFERROR(IF($C224="","",IF($D224="","",IFERROR(ROUND($D224*INDEX('🔖 배합비 참조'!$B$2:$CE$83,MATCH("치즈 [크림치즈]",'🔖 배합비 참조'!$A$2:$A$83,0),MATCH($C224,'🔖 배합비 참조'!$B$1:$CE$1,0))/100,0),""))),"")</f>
        <v>0</v>
      </c>
      <c r="BX224" s="42" t="n">
        <f aca="false">IFERROR(IF($C224="","",IF($D224="","",IFERROR(ROUND($D224*INDEX('🔖 배합비 참조'!$B$2:$CE$83,MATCH("코코아가공품류(코코아분말)",'🔖 배합비 참조'!$A$2:$A$83,0),MATCH($C224,'🔖 배합비 참조'!$B$1:$CE$1,0))/100,0),""))),"")</f>
        <v>0</v>
      </c>
      <c r="BY224" s="42" t="n">
        <f aca="false">IFERROR(IF($C224="","",IF($D224="","",IFERROR(ROUND($D224*INDEX('🔖 배합비 참조'!$B$2:$CE$83,MATCH("콩기름(대두유)",'🔖 배합비 참조'!$A$2:$A$83,0),MATCH($C224,'🔖 배합비 참조'!$B$1:$CE$1,0))/100,0),""))),"")</f>
        <v>0</v>
      </c>
      <c r="BZ224" s="42" t="n">
        <f aca="false">IFERROR(IF($C224="","",IF($D224="","",IFERROR(ROUND($D224*INDEX('🔖 배합비 참조'!$B$2:$CE$83,MATCH("해바라기씨앗",'🔖 배합비 참조'!$A$2:$A$83,0),MATCH($C224,'🔖 배합비 참조'!$B$1:$CE$1,0))/100,0),""))),"")</f>
        <v>0</v>
      </c>
      <c r="CA224" s="42" t="n">
        <f aca="false">IFERROR(IF($C224="","",IF($D224="","",IFERROR(ROUND($D224*INDEX('🔖 배합비 참조'!$B$2:$CE$83,MATCH("현미(국내산)",'🔖 배합비 참조'!$A$2:$A$83,0),MATCH($C224,'🔖 배합비 참조'!$B$1:$CE$1,0))/100,0),""))),"")</f>
        <v>0</v>
      </c>
      <c r="CB224" s="42" t="n">
        <f aca="false">IFERROR(IF($C224="","",IF($D224="","",IFERROR(ROUND($D224*INDEX('🔖 배합비 참조'!$B$2:$CE$83,MATCH("현미멥쌀(국내산)",'🔖 배합비 참조'!$A$2:$A$83,0),MATCH($C224,'🔖 배합비 참조'!$B$1:$CE$1,0))/100,0),""))),"")</f>
        <v>0</v>
      </c>
      <c r="CC224" s="42" t="n">
        <f aca="false">IFERROR(IF($C224="","",IF($D224="","",IFERROR(ROUND($D224*INDEX('🔖 배합비 참조'!$B$2:$CE$83,MATCH("호두분태(미국산)",'🔖 배합비 참조'!$A$2:$A$83,0),MATCH($C224,'🔖 배합비 참조'!$B$1:$CE$1,0))/100,0),""))),"")</f>
        <v>0</v>
      </c>
      <c r="CD224" s="42" t="n">
        <f aca="false">IFERROR(IF($C224="","",IF($D224="","",IFERROR(ROUND($D224*INDEX('🔖 배합비 참조'!$B$2:$CE$83,MATCH("호박씨앗(외국산)",'🔖 배합비 참조'!$A$2:$A$83,0),MATCH($C224,'🔖 배합비 참조'!$B$1:$CE$1,0))/100,0),""))),"")</f>
        <v>0</v>
      </c>
      <c r="CE224" s="42" t="n">
        <f aca="false">IFERROR(IF($C224="","",IF($D224="","",IFERROR(ROUND($D224*INDEX('🔖 배합비 참조'!$B$2:$CE$83,MATCH("혼합제제(떡용에스텔)",'🔖 배합비 참조'!$A$2:$A$83,0),MATCH($C224,'🔖 배합비 참조'!$B$1:$CE$1,0))/100,0),""))),"")</f>
        <v>1</v>
      </c>
      <c r="CF224" s="42" t="n">
        <f aca="false">IFERROR(IF($C224="","",IF($D224="","",IFERROR(ROUND($D224*INDEX('🔖 배합비 참조'!$B$2:$CE$83,MATCH("혼합제제(스테비아)",'🔖 배합비 참조'!$A$2:$A$83,0),MATCH($C224,'🔖 배합비 참조'!$B$1:$CE$1,0))/100,0),""))),"")</f>
        <v>0</v>
      </c>
      <c r="CG224" s="42" t="n">
        <f aca="false">IFERROR(IF($C224="","",IF($D224="","",IFERROR(ROUND($D224*INDEX('🔖 배합비 참조'!$B$2:$CE$83,MATCH("화이트초콜릿",'🔖 배합비 참조'!$A$2:$A$83,0),MATCH($C224,'🔖 배합비 참조'!$B$1:$CE$1,0))/100,0),""))),"")</f>
        <v>0</v>
      </c>
      <c r="CH224" s="42" t="n">
        <f aca="false">IFERROR(IF($C224="","",IF($D224="","",IFERROR(ROUND($D224*INDEX('🔖 배합비 참조'!$B$2:$CE$83,MATCH("흑미찹쌀(국내산)",'🔖 배합비 참조'!$A$2:$A$83,0),MATCH($C224,'🔖 배합비 참조'!$B$1:$CE$1,0))/100,0),""))),"")</f>
        <v>0</v>
      </c>
      <c r="CI224" s="42" t="n">
        <f aca="false">IFERROR(IF($C224="","",IF($D224="","",IFERROR(ROUND($D224*INDEX('🔖 배합비 참조'!$B$2:$CE$83,MATCH("찰옥수수전분(미국산)",'🔖 배합비 참조'!$A$2:$A$83,0),MATCH($C224,'🔖 배합비 참조'!$B$1:$CE$1,0))/100,0),""))),"")</f>
        <v>0</v>
      </c>
      <c r="CJ224" s="40"/>
      <c r="CL224" s="1" t="s">
        <v>247</v>
      </c>
    </row>
    <row r="225" customFormat="false" ht="18" hidden="false" customHeight="true" outlineLevel="0" collapsed="false">
      <c r="A225" s="35" t="n">
        <v>221</v>
      </c>
      <c r="B225" s="36" t="n">
        <v>46063</v>
      </c>
      <c r="C225" s="37" t="s">
        <v>191</v>
      </c>
      <c r="D225" s="38" t="n">
        <v>770</v>
      </c>
      <c r="E225" s="13"/>
      <c r="F225" s="13"/>
      <c r="G225" s="39" t="n">
        <f aca="false">IFERROR(IF($C225="","",IF($D225="","",IFERROR(ROUND($D225*INDEX('🔖 배합비 참조'!$B$2:$CE$83,MATCH("간장",'🔖 배합비 참조'!$A$2:$A$83,0),MATCH($C225,'🔖 배합비 참조'!$B$1:$CE$1,0))/100,0),""))),"")</f>
        <v>0</v>
      </c>
      <c r="H225" s="39" t="n">
        <f aca="false">IFERROR(IF($C225="","",IF($D225="","",IFERROR(ROUND($D225*INDEX('🔖 배합비 참조'!$B$2:$CE$83,MATCH("강낭콩((울타리콩))",'🔖 배합비 참조'!$A$2:$A$83,0),MATCH($C225,'🔖 배합비 참조'!$B$1:$CE$1,0))/100,0),""))),"")</f>
        <v>0</v>
      </c>
      <c r="I225" s="39" t="n">
        <f aca="false">IFERROR(IF($C225="","",IF($D225="","",IFERROR(ROUND($D225*INDEX('🔖 배합비 참조'!$B$2:$CE$83,MATCH("건조딸기다이스(외국산)",'🔖 배합비 참조'!$A$2:$A$83,0),MATCH($C225,'🔖 배합비 참조'!$B$1:$CE$1,0))/100,0),""))),"")</f>
        <v>0</v>
      </c>
      <c r="J225" s="39" t="n">
        <f aca="false">IFERROR(IF($C225="","",IF($D225="","",IFERROR(ROUND($D225*INDEX('🔖 배합비 참조'!$B$2:$CE$83,MATCH("건포도",'🔖 배합비 참조'!$A$2:$A$83,0),MATCH($C225,'🔖 배합비 참조'!$B$1:$CE$1,0))/100,0),""))),"")</f>
        <v>0</v>
      </c>
      <c r="K225" s="39" t="n">
        <f aca="false">IFERROR(IF($C225="","",IF($D225="","",IFERROR(ROUND($D225*INDEX('🔖 배합비 참조'!$B$2:$CE$83,MATCH("건호박채(중국산)",'🔖 배합비 참조'!$A$2:$A$83,0),MATCH($C225,'🔖 배합비 참조'!$B$1:$CE$1,0))/100,0),""))),"")</f>
        <v>0</v>
      </c>
      <c r="L225" s="39" t="n">
        <f aca="false">IFERROR(IF($C225="","",IF($D225="","",IFERROR(ROUND($D225*INDEX('🔖 배합비 참조'!$B$2:$CE$83,MATCH("검정깨(흑임자)",'🔖 배합비 참조'!$A$2:$A$83,0),MATCH($C225,'🔖 배합비 참조'!$B$1:$CE$1,0))/100,0),""))),"")</f>
        <v>0</v>
      </c>
      <c r="M225" s="39" t="n">
        <f aca="false">IFERROR(IF($C225="","",IF($D225="","",IFERROR(ROUND($D225*INDEX('🔖 배합비 참조'!$B$2:$CE$83,MATCH("검정콩",'🔖 배합비 참조'!$A$2:$A$83,0),MATCH($C225,'🔖 배합비 참조'!$B$1:$CE$1,0))/100,0),""))),"")</f>
        <v>0</v>
      </c>
      <c r="N225" s="39" t="n">
        <f aca="false">IFERROR(IF($C225="","",IF($D225="","",IFERROR(ROUND($D225*INDEX('🔖 배합비 참조'!$B$2:$CE$83,MATCH("계피가루",'🔖 배합비 참조'!$A$2:$A$83,0),MATCH($C225,'🔖 배합비 참조'!$B$1:$CE$1,0))/100,0),""))),"")</f>
        <v>0</v>
      </c>
      <c r="O225" s="39" t="n">
        <f aca="false">IFERROR(IF($C225="","",IF($D225="","",IFERROR(ROUND($D225*INDEX('🔖 배합비 참조'!$B$2:$CE$83,MATCH("고구마가루",'🔖 배합비 참조'!$A$2:$A$83,0),MATCH($C225,'🔖 배합비 참조'!$B$1:$CE$1,0))/100,0),""))),"")</f>
        <v>0</v>
      </c>
      <c r="P225" s="39" t="n">
        <f aca="false">IFERROR(IF($C225="","",IF($D225="","",IFERROR(ROUND($D225*INDEX('🔖 배합비 참조'!$B$2:$CE$83,MATCH("고구마무스",'🔖 배합비 참조'!$A$2:$A$83,0),MATCH($C225,'🔖 배합비 참조'!$B$1:$CE$1,0))/100,0),""))),"")</f>
        <v>0</v>
      </c>
      <c r="Q225" s="39" t="n">
        <f aca="false">IFERROR(IF($C225="","",IF($D225="","",IFERROR(ROUND($D225*INDEX('🔖 배합비 참조'!$B$2:$CE$83,MATCH("고려엉겅퀴((곤드레)국내산)",'🔖 배합비 참조'!$A$2:$A$83,0),MATCH($C225,'🔖 배합비 참조'!$B$1:$CE$1,0))/100,0),""))),"")</f>
        <v>0</v>
      </c>
      <c r="R225" s="39" t="n">
        <f aca="false">IFERROR(IF($C225="","",IF($D225="","",IFERROR(ROUND($D225*INDEX('🔖 배합비 참조'!$B$2:$CE$83,MATCH("기타가공품(복분자가루)",'🔖 배합비 참조'!$A$2:$A$83,0),MATCH($C225,'🔖 배합비 참조'!$B$1:$CE$1,0))/100,0),""))),"")</f>
        <v>0</v>
      </c>
      <c r="S225" s="39" t="n">
        <f aca="false">IFERROR(IF($C225="","",IF($D225="","",IFERROR(ROUND($D225*INDEX('🔖 배합비 참조'!$B$2:$CE$83,MATCH("기타가공품(슈퍼소프트엠)",'🔖 배합비 참조'!$A$2:$A$83,0),MATCH($C225,'🔖 배합비 참조'!$B$1:$CE$1,0))/100,0),""))),"")</f>
        <v>0</v>
      </c>
      <c r="T225" s="39" t="n">
        <f aca="false">IFERROR(IF($C225="","",IF($D225="","",IFERROR(ROUND($D225*INDEX('🔖 배합비 참조'!$B$2:$CE$83,MATCH("기타가공품(파인소프트 E-티)",'🔖 배합비 참조'!$A$2:$A$83,0),MATCH($C225,'🔖 배합비 참조'!$B$1:$CE$1,0))/100,0),""))),"")</f>
        <v>0</v>
      </c>
      <c r="U225" s="39" t="n">
        <f aca="false">IFERROR(IF($C225="","",IF($D225="","",IFERROR(ROUND($D225*INDEX('🔖 배합비 참조'!$B$2:$CE$83,MATCH("기타가공품(프리미엄카스테라가루)",'🔖 배합비 참조'!$A$2:$A$83,0),MATCH($C225,'🔖 배합비 참조'!$B$1:$CE$1,0))/100,0),""))),"")</f>
        <v>0</v>
      </c>
      <c r="V225" s="39" t="n">
        <f aca="false">IFERROR(IF($C225="","",IF($D225="","",IFERROR(ROUND($D225*INDEX('🔖 배합비 참조'!$B$2:$CE$83,MATCH("기타가공품(흑임자가루)",'🔖 배합비 참조'!$A$2:$A$83,0),MATCH($C225,'🔖 배합비 참조'!$B$1:$CE$1,0))/100,0),""))),"")</f>
        <v>0</v>
      </c>
      <c r="W225" s="39" t="n">
        <f aca="false">IFERROR(IF($C225="","",IF($D225="","",IFERROR(ROUND($D225*INDEX('🔖 배합비 참조'!$B$2:$CE$83,MATCH("기타설탕(흑설탕)",'🔖 배합비 참조'!$A$2:$A$83,0),MATCH($C225,'🔖 배합비 참조'!$B$1:$CE$1,0))/100,0),""))),"")</f>
        <v>0</v>
      </c>
      <c r="X225" s="39" t="n">
        <f aca="false">IFERROR(IF($C225="","",IF($D225="","",IFERROR(ROUND($D225*INDEX('🔖 배합비 참조'!$B$2:$CE$83,MATCH("냉동쑥(국내산)",'🔖 배합비 참조'!$A$2:$A$83,0),MATCH($C225,'🔖 배합비 참조'!$B$1:$CE$1,0))/100,0),""))),"")</f>
        <v>0</v>
      </c>
      <c r="Y225" s="39" t="n">
        <f aca="false">IFERROR(IF($C225="","",IF($D225="","",IFERROR(ROUND($D225*INDEX('🔖 배합비 참조'!$B$2:$CE$83,MATCH("냉동증숙고구마(중국산)",'🔖 배합비 참조'!$A$2:$A$83,0),MATCH($C225,'🔖 배합비 참조'!$B$1:$CE$1,0))/100,0),""))),"")</f>
        <v>0</v>
      </c>
      <c r="Z225" s="39" t="n">
        <f aca="false">IFERROR(IF($C225="","",IF($D225="","",IFERROR(ROUND($D225*INDEX('🔖 배합비 참조'!$B$2:$CE$83,MATCH("녹차가루",'🔖 배합비 참조'!$A$2:$A$83,0),MATCH($C225,'🔖 배합비 참조'!$B$1:$CE$1,0))/100,0),""))),"")</f>
        <v>0</v>
      </c>
      <c r="AA225" s="39" t="n">
        <f aca="false">IFERROR(IF($C225="","",IF($D225="","",IFERROR(ROUND($D225*INDEX('🔖 배합비 참조'!$B$2:$CE$83,MATCH("다크초콜릿 컴파운드칩",'🔖 배합비 참조'!$A$2:$A$83,0),MATCH($C225,'🔖 배합비 참조'!$B$1:$CE$1,0))/100,0),""))),"")</f>
        <v>0</v>
      </c>
      <c r="AB225" s="39" t="n">
        <f aca="false">IFERROR(IF($C225="","",IF($D225="","",IFERROR(ROUND($D225*INDEX('🔖 배합비 참조'!$B$2:$CE$83,MATCH("단호박분말(중국산)",'🔖 배합비 참조'!$A$2:$A$83,0),MATCH($C225,'🔖 배합비 참조'!$B$1:$CE$1,0))/100,0),""))),"")</f>
        <v>0</v>
      </c>
      <c r="AC225" s="39" t="n">
        <f aca="false">IFERROR(IF($C225="","",IF($D225="","",IFERROR(ROUND($D225*INDEX('🔖 배합비 참조'!$B$2:$CE$83,MATCH("당류가공품(단호박농축액)",'🔖 배합비 참조'!$A$2:$A$83,0),MATCH($C225,'🔖 배합비 참조'!$B$1:$CE$1,0))/100,0),""))),"")</f>
        <v>0</v>
      </c>
      <c r="AD225" s="39" t="n">
        <f aca="false">IFERROR(IF($C225="","",IF($D225="","",IFERROR(ROUND($D225*INDEX('🔖 배합비 참조'!$B$2:$CE$83,MATCH("당류가공품(알룰로스,에리스리톨,스테비올배당체혼합)",'🔖 배합비 참조'!$A$2:$A$83,0),MATCH($C225,'🔖 배합비 참조'!$B$1:$CE$1,0))/100,0),""))),"")</f>
        <v>0</v>
      </c>
      <c r="AE225" s="39" t="n">
        <f aca="false">IFERROR(IF($C225="","",IF($D225="","",IFERROR(ROUND($D225*INDEX('🔖 배합비 참조'!$B$2:$CE$83,MATCH("당류가공품(알룰로스제로파우더)",'🔖 배합비 참조'!$A$2:$A$83,0),MATCH($C225,'🔖 배합비 참조'!$B$1:$CE$1,0))/100,0),""))),"")</f>
        <v>0</v>
      </c>
      <c r="AF225" s="39" t="n">
        <f aca="false">IFERROR(IF($C225="","",IF($D225="","",IFERROR(ROUND($D225*INDEX('🔖 배합비 참조'!$B$2:$CE$83,MATCH("당절임(완두배기)",'🔖 배합비 참조'!$A$2:$A$83,0),MATCH($C225,'🔖 배합비 참조'!$B$1:$CE$1,0))/100,0),""))),"")</f>
        <v>0</v>
      </c>
      <c r="AG225" s="39" t="n">
        <f aca="false">IFERROR(IF($C225="","",IF($D225="","",IFERROR(ROUND($D225*INDEX('🔖 배합비 참조'!$B$2:$CE$83,MATCH("대추농축액",'🔖 배합비 참조'!$A$2:$A$83,0),MATCH($C225,'🔖 배합비 참조'!$B$1:$CE$1,0))/100,0),""))),"")</f>
        <v>0</v>
      </c>
      <c r="AH225" s="39" t="n">
        <f aca="false">IFERROR(IF($C225="","",IF($D225="","",IFERROR(ROUND($D225*INDEX('🔖 배합비 참조'!$B$2:$CE$83,MATCH("대추채(국내산)",'🔖 배합비 참조'!$A$2:$A$83,0),MATCH($C225,'🔖 배합비 참조'!$B$1:$CE$1,0))/100,0),""))),"")</f>
        <v>0</v>
      </c>
      <c r="AI225" s="39" t="n">
        <f aca="false">IFERROR(IF($C225="","",IF($D225="","",IFERROR(ROUND($D225*INDEX('🔖 배합비 참조'!$B$2:$CE$83,MATCH("동부(미얀마산)",'🔖 배합비 참조'!$A$2:$A$83,0),MATCH($C225,'🔖 배합비 참조'!$B$1:$CE$1,0))/100,0),""))),"")</f>
        <v>0</v>
      </c>
      <c r="AJ225" s="39" t="n">
        <f aca="false">IFERROR(IF($C225="","",IF($D225="","",IFERROR(ROUND($D225*INDEX('🔖 배합비 참조'!$B$2:$CE$83,MATCH("두류가공품(백옥앙금)",'🔖 배합비 참조'!$A$2:$A$83,0),MATCH($C225,'🔖 배합비 참조'!$B$1:$CE$1,0))/100,0),""))),"")</f>
        <v>0</v>
      </c>
      <c r="AK225" s="39" t="n">
        <f aca="false">IFERROR(IF($C225="","",IF($D225="","",IFERROR(ROUND($D225*INDEX('🔖 배합비 참조'!$B$2:$CE$83,MATCH("두류가공품(콩고물)",'🔖 배합비 참조'!$A$2:$A$83,0),MATCH($C225,'🔖 배합비 참조'!$B$1:$CE$1,0))/100,0),""))),"")</f>
        <v>0</v>
      </c>
      <c r="AL225" s="39" t="n">
        <f aca="false">IFERROR(IF($C225="","",IF($D225="","",IFERROR(ROUND($D225*INDEX('🔖 배합비 참조'!$B$2:$CE$83,MATCH("두류가공품(통팥고물)",'🔖 배합비 참조'!$A$2:$A$83,0),MATCH($C225,'🔖 배합비 참조'!$B$1:$CE$1,0))/100,0),""))),"")</f>
        <v>0</v>
      </c>
      <c r="AM225" s="39" t="n">
        <f aca="false">IFERROR(IF($C225="","",IF($D225="","",IFERROR(ROUND($D225*INDEX('🔖 배합비 참조'!$B$2:$CE$83,MATCH("딸기레진",'🔖 배합비 참조'!$A$2:$A$83,0),MATCH($C225,'🔖 배합비 참조'!$B$1:$CE$1,0))/100,0),""))),"")</f>
        <v>0</v>
      </c>
      <c r="AN225" s="39" t="n">
        <f aca="false">IFERROR(IF($C225="","",IF($D225="","",IFERROR(ROUND($D225*INDEX('🔖 배합비 참조'!$B$2:$CE$83,MATCH("딸기분말(스트로우베리에이드(분말))",'🔖 배합비 참조'!$A$2:$A$83,0),MATCH($C225,'🔖 배합비 참조'!$B$1:$CE$1,0))/100,0),""))),"")</f>
        <v>0</v>
      </c>
      <c r="AO225" s="39" t="n">
        <f aca="false">IFERROR(IF($C225="","",IF($D225="","",IFERROR(ROUND($D225*INDEX('🔖 배합비 참조'!$B$2:$CE$83,MATCH("마스카포네치즈",'🔖 배합비 참조'!$A$2:$A$83,0),MATCH($C225,'🔖 배합비 참조'!$B$1:$CE$1,0))/100,0),""))),"")</f>
        <v>0</v>
      </c>
      <c r="AP225" s="39" t="n">
        <f aca="false">IFERROR(IF($C225="","",IF($D225="","",IFERROR(ROUND($D225*INDEX('🔖 배합비 참조'!$B$2:$CE$83,MATCH("마카다미아분태(호주산)",'🔖 배합비 참조'!$A$2:$A$83,0),MATCH($C225,'🔖 배합비 참조'!$B$1:$CE$1,0))/100,0),""))),"")</f>
        <v>0</v>
      </c>
      <c r="AQ225" s="39" t="n">
        <f aca="false">IFERROR(IF($C225="","",IF($D225="","",IFERROR(ROUND($D225*INDEX('🔖 배합비 참조'!$B$2:$CE$83,MATCH("멥쌀(국내산)",'🔖 배합비 참조'!$A$2:$A$83,0),MATCH($C225,'🔖 배합비 참조'!$B$1:$CE$1,0))/100,0),""))),"")</f>
        <v>15</v>
      </c>
      <c r="AR225" s="39" t="n">
        <f aca="false">IFERROR(IF($C225="","",IF($D225="","",IFERROR(ROUND($D225*INDEX('🔖 배합비 참조'!$B$2:$CE$83,MATCH("모시잎(국내산)",'🔖 배합비 참조'!$A$2:$A$83,0),MATCH($C225,'🔖 배합비 참조'!$B$1:$CE$1,0))/100,0),""))),"")</f>
        <v>0</v>
      </c>
      <c r="AS225" s="39" t="n">
        <f aca="false">IFERROR(IF($C225="","",IF($D225="","",IFERROR(ROUND($D225*INDEX('🔖 배합비 참조'!$B$2:$CE$83,MATCH("물엿(저당물엿)",'🔖 배합비 참조'!$A$2:$A$83,0),MATCH($C225,'🔖 배합비 참조'!$B$1:$CE$1,0))/100,0),""))),"")</f>
        <v>0</v>
      </c>
      <c r="AT225" s="39" t="n">
        <f aca="false">IFERROR(IF($C225="","",IF($D225="","",IFERROR(ROUND($D225*INDEX('🔖 배합비 참조'!$B$2:$CE$83,MATCH("밤다이스",'🔖 배합비 참조'!$A$2:$A$83,0),MATCH($C225,'🔖 배합비 참조'!$B$1:$CE$1,0))/100,0),""))),"")</f>
        <v>0</v>
      </c>
      <c r="AU225" s="39" t="n">
        <f aca="false">IFERROR(IF($C225="","",IF($D225="","",IFERROR(ROUND($D225*INDEX('🔖 배합비 참조'!$B$2:$CE$83,MATCH("변성전분(타피오카전분)",'🔖 배합비 참조'!$A$2:$A$83,0),MATCH($C225,'🔖 배합비 참조'!$B$1:$CE$1,0))/100,0),""))),"")</f>
        <v>0</v>
      </c>
      <c r="AV225" s="39" t="n">
        <f aca="false">IFERROR(IF($C225="","",IF($D225="","",IFERROR(ROUND($D225*INDEX('🔖 배합비 참조'!$B$2:$CE$83,MATCH("복음땅콩분태",'🔖 배합비 참조'!$A$2:$A$83,0),MATCH($C225,'🔖 배합비 참조'!$B$1:$CE$1,0))/100,0),""))),"")</f>
        <v>0</v>
      </c>
      <c r="AW225" s="39" t="n">
        <f aca="false">IFERROR(IF($C225="","",IF($D225="","",IFERROR(ROUND($D225*INDEX('🔖 배합비 참조'!$B$2:$CE$83,MATCH("사양벌꿀(국내산)",'🔖 배합비 참조'!$A$2:$A$83,0),MATCH($C225,'🔖 배합비 참조'!$B$1:$CE$1,0))/100,0),""))),"")</f>
        <v>0</v>
      </c>
      <c r="AX225" s="39" t="n">
        <f aca="false">IFERROR(IF($C225="","",IF($D225="","",IFERROR(ROUND($D225*INDEX('🔖 배합비 참조'!$B$2:$CE$83,MATCH("생크림",'🔖 배합비 참조'!$A$2:$A$83,0),MATCH($C225,'🔖 배합비 참조'!$B$1:$CE$1,0))/100,0),""))),"")</f>
        <v>0</v>
      </c>
      <c r="AY225" s="39" t="n">
        <f aca="false">IFERROR(IF($C225="","",IF($D225="","",IFERROR(ROUND($D225*INDEX('🔖 배합비 참조'!$B$2:$CE$83,MATCH("서양호박(국내산,뉴질랜드산)",'🔖 배합비 참조'!$A$2:$A$83,0),MATCH($C225,'🔖 배합비 참조'!$B$1:$CE$1,0))/100,0),""))),"")</f>
        <v>0</v>
      </c>
      <c r="AZ225" s="39" t="n">
        <f aca="false">IFERROR(IF($C225="","",IF($D225="","",IFERROR(ROUND($D225*INDEX('🔖 배합비 참조'!$B$2:$CE$83,MATCH("설탕",'🔖 배합비 참조'!$A$2:$A$83,0),MATCH($C225,'🔖 배합비 참조'!$B$1:$CE$1,0))/100,0),""))),"")</f>
        <v>146</v>
      </c>
      <c r="BA225" s="39" t="n">
        <f aca="false">IFERROR(IF($C225="","",IF($D225="","",IFERROR(ROUND($D225*INDEX('🔖 배합비 참조'!$B$2:$CE$83,MATCH("스트로우베리 에이드 후레쉬",'🔖 배합비 참조'!$A$2:$A$83,0),MATCH($C225,'🔖 배합비 참조'!$B$1:$CE$1,0))/100,0),""))),"")</f>
        <v>0</v>
      </c>
      <c r="BB225" s="39" t="n">
        <f aca="false">IFERROR(IF($C225="","",IF($D225="","",IFERROR(ROUND($D225*INDEX('🔖 배합비 참조'!$B$2:$CE$83,MATCH("식물성기름혼합제제(분홍)",'🔖 배합비 참조'!$A$2:$A$83,0),MATCH($C225,'🔖 배합비 참조'!$B$1:$CE$1,0))/100,0),""))),"")</f>
        <v>0</v>
      </c>
      <c r="BC225" s="39" t="n">
        <f aca="false">IFERROR(IF($C225="","",IF($D225="","",IFERROR(ROUND($D225*INDEX('🔖 배합비 참조'!$B$2:$CE$83,MATCH("식물성기름혼합제제(초록)",'🔖 배합비 참조'!$A$2:$A$83,0),MATCH($C225,'🔖 배합비 참조'!$B$1:$CE$1,0))/100,0),""))),"")</f>
        <v>0</v>
      </c>
      <c r="BD225" s="39" t="n">
        <f aca="false">IFERROR(IF($C225="","",IF($D225="","",IFERROR(ROUND($D225*INDEX('🔖 배합비 참조'!$B$2:$CE$83,MATCH("식물성기름혼합제제(황색)",'🔖 배합비 참조'!$A$2:$A$83,0),MATCH($C225,'🔖 배합비 참조'!$B$1:$CE$1,0))/100,0),""))),"")</f>
        <v>0</v>
      </c>
      <c r="BE225" s="39" t="n">
        <f aca="false">IFERROR(IF($C225="","",IF($D225="","",IFERROR(ROUND($D225*INDEX('🔖 배합비 참조'!$B$2:$CE$83,MATCH("쑥가루(국내산)",'🔖 배합비 참조'!$A$2:$A$83,0),MATCH($C225,'🔖 배합비 참조'!$B$1:$CE$1,0))/100,0),""))),"")</f>
        <v>0</v>
      </c>
      <c r="BF225" s="39" t="n">
        <f aca="false">IFERROR(IF($C225="","",IF($D225="","",IFERROR(ROUND($D225*INDEX('🔖 배합비 참조'!$B$2:$CE$83,MATCH("아몬드슬라이스",'🔖 배합비 참조'!$A$2:$A$83,0),MATCH($C225,'🔖 배합비 참조'!$B$1:$CE$1,0))/100,0),""))),"")</f>
        <v>0</v>
      </c>
      <c r="BG225" s="39" t="n">
        <f aca="false">IFERROR(IF($C225="","",IF($D225="","",IFERROR(ROUND($D225*INDEX('🔖 배합비 참조'!$B$2:$CE$83,MATCH("알룰로오스(국내산)",'🔖 배합비 참조'!$A$2:$A$83,0),MATCH($C225,'🔖 배합비 참조'!$B$1:$CE$1,0))/100,0),""))),"")</f>
        <v>0</v>
      </c>
      <c r="BH225" s="39" t="n">
        <f aca="false">IFERROR(IF($C225="","",IF($D225="","",IFERROR(ROUND($D225*INDEX('🔖 배합비 참조'!$B$2:$CE$83,MATCH("연유",'🔖 배합비 참조'!$A$2:$A$83,0),MATCH($C225,'🔖 배합비 참조'!$B$1:$CE$1,0))/100,0),""))),"")</f>
        <v>0</v>
      </c>
      <c r="BI225" s="39" t="n">
        <f aca="false">IFERROR(IF($C225="","",IF($D225="","",IFERROR(ROUND($D225*INDEX('🔖 배합비 참조'!$B$2:$CE$83,MATCH("옥수수전분",'🔖 배합비 참조'!$A$2:$A$83,0),MATCH($C225,'🔖 배합비 참조'!$B$1:$CE$1,0))/100,0),""))),"")</f>
        <v>0</v>
      </c>
      <c r="BJ225" s="39" t="n">
        <f aca="false">IFERROR(IF($C225="","",IF($D225="","",IFERROR(ROUND($D225*INDEX('🔖 배합비 참조'!$B$2:$CE$83,MATCH("완두배기",'🔖 배합비 참조'!$A$2:$A$83,0),MATCH($C225,'🔖 배합비 참조'!$B$1:$CE$1,0))/100,0),""))),"")</f>
        <v>0</v>
      </c>
      <c r="BK225" s="39" t="n">
        <f aca="false">IFERROR(IF($C225="","",IF($D225="","",IFERROR(ROUND($D225*INDEX('🔖 배합비 참조'!$B$2:$CE$83,MATCH("우유(국내산)",'🔖 배합비 참조'!$A$2:$A$83,0),MATCH($C225,'🔖 배합비 참조'!$B$1:$CE$1,0))/100,0),""))),"")</f>
        <v>0</v>
      </c>
      <c r="BL225" s="39" t="n">
        <f aca="false">IFERROR(IF($C225="","",IF($D225="","",IFERROR(ROUND($D225*INDEX('🔖 배합비 참조'!$B$2:$CE$83,MATCH("자색고구마가루(중국산)",'🔖 배합비 참조'!$A$2:$A$83,0),MATCH($C225,'🔖 배합비 참조'!$B$1:$CE$1,0))/100,0),""))),"")</f>
        <v>0</v>
      </c>
      <c r="BM225" s="39" t="n">
        <f aca="false">IFERROR(IF($C225="","",IF($D225="","",IFERROR(ROUND($D225*INDEX('🔖 배합비 참조'!$B$2:$CE$83,MATCH("자연치즈(체다치즈)",'🔖 배합비 참조'!$A$2:$A$83,0),MATCH($C225,'🔖 배합비 참조'!$B$1:$CE$1,0))/100,0),""))),"")</f>
        <v>0</v>
      </c>
      <c r="BN225" s="39" t="n">
        <f aca="false">IFERROR(IF($C225="","",IF($D225="","",IFERROR(ROUND($D225*INDEX('🔖 배합비 참조'!$B$2:$CE$83,MATCH("정제수",'🔖 배합비 참조'!$A$2:$A$83,0),MATCH($C225,'🔖 배합비 참조'!$B$1:$CE$1,0))/100,0),""))),"")</f>
        <v>23</v>
      </c>
      <c r="BO225" s="39" t="n">
        <f aca="false">IFERROR(IF($C225="","",IF($D225="","",IFERROR(ROUND($D225*INDEX('🔖 배합비 참조'!$B$2:$CE$83,MATCH("젤라틴",'🔖 배합비 참조'!$A$2:$A$83,0),MATCH($C225,'🔖 배합비 참조'!$B$1:$CE$1,0))/100,0),""))),"")</f>
        <v>0</v>
      </c>
      <c r="BP225" s="39" t="n">
        <f aca="false">IFERROR(IF($C225="","",IF($D225="","",IFERROR(ROUND($D225*INDEX('🔖 배합비 참조'!$B$2:$CE$83,MATCH("조림류(백옥앙금)",'🔖 배합비 참조'!$A$2:$A$83,0),MATCH($C225,'🔖 배합비 참조'!$B$1:$CE$1,0))/100,0),""))),"")</f>
        <v>0</v>
      </c>
      <c r="BQ225" s="39" t="n">
        <f aca="false">IFERROR(IF($C225="","",IF($D225="","",IFERROR(ROUND($D225*INDEX('🔖 배합비 참조'!$B$2:$CE$83,MATCH("조림류(통팥앙금)",'🔖 배합비 참조'!$A$2:$A$83,0),MATCH($C225,'🔖 배합비 참조'!$B$1:$CE$1,0))/100,0),""))),"")</f>
        <v>139</v>
      </c>
      <c r="BR225" s="39" t="n">
        <f aca="false">IFERROR(IF($C225="","",IF($D225="","",IFERROR(ROUND($D225*INDEX('🔖 배합비 참조'!$B$2:$CE$83,MATCH("준초콜릿(외국산)",'🔖 배합비 참조'!$A$2:$A$83,0),MATCH($C225,'🔖 배합비 참조'!$B$1:$CE$1,0))/100,0),""))),"")</f>
        <v>0</v>
      </c>
      <c r="BS225" s="39" t="n">
        <f aca="false">IFERROR(IF($C225="","",IF($D225="","",IFERROR(ROUND($D225*INDEX('🔖 배합비 참조'!$B$2:$CE$83,MATCH("중력분",'🔖 배합비 참조'!$A$2:$A$83,0),MATCH($C225,'🔖 배합비 참조'!$B$1:$CE$1,0))/100,0),""))),"")</f>
        <v>15</v>
      </c>
      <c r="BT225" s="39" t="n">
        <f aca="false">IFERROR(IF($C225="","",IF($D225="","",IFERROR(ROUND($D225*INDEX('🔖 배합비 참조'!$B$2:$CE$83,MATCH("참깨(인도산,나이지리아산,탄자니아산,미얀마산)",'🔖 배합비 참조'!$A$2:$A$83,0),MATCH($C225,'🔖 배합비 참조'!$B$1:$CE$1,0))/100,0),""))),"")</f>
        <v>0</v>
      </c>
      <c r="BU225" s="39" t="n">
        <f aca="false">IFERROR(IF($C225="","",IF($D225="","",IFERROR(ROUND($D225*INDEX('🔖 배합비 참조'!$B$2:$CE$83,MATCH("찹쌀(국내산)",'🔖 배합비 참조'!$A$2:$A$83,0),MATCH($C225,'🔖 배합비 참조'!$B$1:$CE$1,0))/100,0),""))),"")</f>
        <v>331</v>
      </c>
      <c r="BV225" s="39" t="n">
        <f aca="false">IFERROR(IF($C225="","",IF($D225="","",IFERROR(ROUND($D225*INDEX('🔖 배합비 참조'!$B$2:$CE$83,MATCH("천일염",'🔖 배합비 참조'!$A$2:$A$83,0),MATCH($C225,'🔖 배합비 참조'!$B$1:$CE$1,0))/100,0),""))),"")</f>
        <v>15</v>
      </c>
      <c r="BW225" s="39" t="n">
        <f aca="false">IFERROR(IF($C225="","",IF($D225="","",IFERROR(ROUND($D225*INDEX('🔖 배합비 참조'!$B$2:$CE$83,MATCH("치즈 [크림치즈]",'🔖 배합비 참조'!$A$2:$A$83,0),MATCH($C225,'🔖 배합비 참조'!$B$1:$CE$1,0))/100,0),""))),"")</f>
        <v>0</v>
      </c>
      <c r="BX225" s="39" t="n">
        <f aca="false">IFERROR(IF($C225="","",IF($D225="","",IFERROR(ROUND($D225*INDEX('🔖 배합비 참조'!$B$2:$CE$83,MATCH("코코아가공품류(코코아분말)",'🔖 배합비 참조'!$A$2:$A$83,0),MATCH($C225,'🔖 배합비 참조'!$B$1:$CE$1,0))/100,0),""))),"")</f>
        <v>0</v>
      </c>
      <c r="BY225" s="39" t="n">
        <f aca="false">IFERROR(IF($C225="","",IF($D225="","",IFERROR(ROUND($D225*INDEX('🔖 배합비 참조'!$B$2:$CE$83,MATCH("콩기름(대두유)",'🔖 배합비 참조'!$A$2:$A$83,0),MATCH($C225,'🔖 배합비 참조'!$B$1:$CE$1,0))/100,0),""))),"")</f>
        <v>0</v>
      </c>
      <c r="BZ225" s="39" t="n">
        <f aca="false">IFERROR(IF($C225="","",IF($D225="","",IFERROR(ROUND($D225*INDEX('🔖 배합비 참조'!$B$2:$CE$83,MATCH("해바라기씨앗",'🔖 배합비 참조'!$A$2:$A$83,0),MATCH($C225,'🔖 배합비 참조'!$B$1:$CE$1,0))/100,0),""))),"")</f>
        <v>0</v>
      </c>
      <c r="CA225" s="39" t="n">
        <f aca="false">IFERROR(IF($C225="","",IF($D225="","",IFERROR(ROUND($D225*INDEX('🔖 배합비 참조'!$B$2:$CE$83,MATCH("현미(국내산)",'🔖 배합비 참조'!$A$2:$A$83,0),MATCH($C225,'🔖 배합비 참조'!$B$1:$CE$1,0))/100,0),""))),"")</f>
        <v>0</v>
      </c>
      <c r="CB225" s="39" t="n">
        <f aca="false">IFERROR(IF($C225="","",IF($D225="","",IFERROR(ROUND($D225*INDEX('🔖 배합비 참조'!$B$2:$CE$83,MATCH("현미멥쌀(국내산)",'🔖 배합비 참조'!$A$2:$A$83,0),MATCH($C225,'🔖 배합비 참조'!$B$1:$CE$1,0))/100,0),""))),"")</f>
        <v>0</v>
      </c>
      <c r="CC225" s="39" t="n">
        <f aca="false">IFERROR(IF($C225="","",IF($D225="","",IFERROR(ROUND($D225*INDEX('🔖 배합비 참조'!$B$2:$CE$83,MATCH("호두분태(미국산)",'🔖 배합비 참조'!$A$2:$A$83,0),MATCH($C225,'🔖 배합비 참조'!$B$1:$CE$1,0))/100,0),""))),"")</f>
        <v>0</v>
      </c>
      <c r="CD225" s="39" t="n">
        <f aca="false">IFERROR(IF($C225="","",IF($D225="","",IFERROR(ROUND($D225*INDEX('🔖 배합비 참조'!$B$2:$CE$83,MATCH("호박씨앗(외국산)",'🔖 배합비 참조'!$A$2:$A$83,0),MATCH($C225,'🔖 배합비 참조'!$B$1:$CE$1,0))/100,0),""))),"")</f>
        <v>0</v>
      </c>
      <c r="CE225" s="39" t="n">
        <f aca="false">IFERROR(IF($C225="","",IF($D225="","",IFERROR(ROUND($D225*INDEX('🔖 배합비 참조'!$B$2:$CE$83,MATCH("혼합제제(떡용에스텔)",'🔖 배합비 참조'!$A$2:$A$83,0),MATCH($C225,'🔖 배합비 참조'!$B$1:$CE$1,0))/100,0),""))),"")</f>
        <v>15</v>
      </c>
      <c r="CF225" s="39" t="n">
        <f aca="false">IFERROR(IF($C225="","",IF($D225="","",IFERROR(ROUND($D225*INDEX('🔖 배합비 참조'!$B$2:$CE$83,MATCH("혼합제제(스테비아)",'🔖 배합비 참조'!$A$2:$A$83,0),MATCH($C225,'🔖 배합비 참조'!$B$1:$CE$1,0))/100,0),""))),"")</f>
        <v>0</v>
      </c>
      <c r="CG225" s="39" t="n">
        <f aca="false">IFERROR(IF($C225="","",IF($D225="","",IFERROR(ROUND($D225*INDEX('🔖 배합비 참조'!$B$2:$CE$83,MATCH("화이트초콜릿",'🔖 배합비 참조'!$A$2:$A$83,0),MATCH($C225,'🔖 배합비 참조'!$B$1:$CE$1,0))/100,0),""))),"")</f>
        <v>0</v>
      </c>
      <c r="CH225" s="39" t="n">
        <f aca="false">IFERROR(IF($C225="","",IF($D225="","",IFERROR(ROUND($D225*INDEX('🔖 배합비 참조'!$B$2:$CE$83,MATCH("흑미찹쌀(국내산)",'🔖 배합비 참조'!$A$2:$A$83,0),MATCH($C225,'🔖 배합비 참조'!$B$1:$CE$1,0))/100,0),""))),"")</f>
        <v>0</v>
      </c>
      <c r="CI225" s="39" t="n">
        <f aca="false">IFERROR(IF($C225="","",IF($D225="","",IFERROR(ROUND($D225*INDEX('🔖 배합비 참조'!$B$2:$CE$83,MATCH("찰옥수수전분(미국산)",'🔖 배합비 참조'!$A$2:$A$83,0),MATCH($C225,'🔖 배합비 참조'!$B$1:$CE$1,0))/100,0),""))),"")</f>
        <v>69</v>
      </c>
      <c r="CJ225" s="40"/>
      <c r="CL225" s="1" t="s">
        <v>247</v>
      </c>
    </row>
    <row r="226" customFormat="false" ht="18" hidden="false" customHeight="true" outlineLevel="0" collapsed="false">
      <c r="A226" s="41" t="n">
        <v>222</v>
      </c>
      <c r="B226" s="36" t="n">
        <v>46063</v>
      </c>
      <c r="C226" s="37" t="s">
        <v>204</v>
      </c>
      <c r="D226" s="38" t="n">
        <v>440</v>
      </c>
      <c r="E226" s="17"/>
      <c r="F226" s="17"/>
      <c r="G226" s="42" t="n">
        <f aca="false">IFERROR(IF($C226="","",IF($D226="","",IFERROR(ROUND($D226*INDEX('🔖 배합비 참조'!$B$2:$CE$83,MATCH("간장",'🔖 배합비 참조'!$A$2:$A$83,0),MATCH($C226,'🔖 배합비 참조'!$B$1:$CE$1,0))/100,0),""))),"")</f>
        <v>0</v>
      </c>
      <c r="H226" s="42" t="n">
        <f aca="false">IFERROR(IF($C226="","",IF($D226="","",IFERROR(ROUND($D226*INDEX('🔖 배합비 참조'!$B$2:$CE$83,MATCH("강낭콩((울타리콩))",'🔖 배합비 참조'!$A$2:$A$83,0),MATCH($C226,'🔖 배합비 참조'!$B$1:$CE$1,0))/100,0),""))),"")</f>
        <v>0</v>
      </c>
      <c r="I226" s="42" t="n">
        <f aca="false">IFERROR(IF($C226="","",IF($D226="","",IFERROR(ROUND($D226*INDEX('🔖 배합비 참조'!$B$2:$CE$83,MATCH("건조딸기다이스(외국산)",'🔖 배합비 참조'!$A$2:$A$83,0),MATCH($C226,'🔖 배합비 참조'!$B$1:$CE$1,0))/100,0),""))),"")</f>
        <v>0</v>
      </c>
      <c r="J226" s="42" t="n">
        <f aca="false">IFERROR(IF($C226="","",IF($D226="","",IFERROR(ROUND($D226*INDEX('🔖 배합비 참조'!$B$2:$CE$83,MATCH("건포도",'🔖 배합비 참조'!$A$2:$A$83,0),MATCH($C226,'🔖 배합비 참조'!$B$1:$CE$1,0))/100,0),""))),"")</f>
        <v>0</v>
      </c>
      <c r="K226" s="42" t="n">
        <f aca="false">IFERROR(IF($C226="","",IF($D226="","",IFERROR(ROUND($D226*INDEX('🔖 배합비 참조'!$B$2:$CE$83,MATCH("건호박채(중국산)",'🔖 배합비 참조'!$A$2:$A$83,0),MATCH($C226,'🔖 배합비 참조'!$B$1:$CE$1,0))/100,0),""))),"")</f>
        <v>0</v>
      </c>
      <c r="L226" s="42" t="n">
        <f aca="false">IFERROR(IF($C226="","",IF($D226="","",IFERROR(ROUND($D226*INDEX('🔖 배합비 참조'!$B$2:$CE$83,MATCH("검정깨(흑임자)",'🔖 배합비 참조'!$A$2:$A$83,0),MATCH($C226,'🔖 배합비 참조'!$B$1:$CE$1,0))/100,0),""))),"")</f>
        <v>0</v>
      </c>
      <c r="M226" s="42" t="n">
        <f aca="false">IFERROR(IF($C226="","",IF($D226="","",IFERROR(ROUND($D226*INDEX('🔖 배합비 참조'!$B$2:$CE$83,MATCH("검정콩",'🔖 배합비 참조'!$A$2:$A$83,0),MATCH($C226,'🔖 배합비 참조'!$B$1:$CE$1,0))/100,0),""))),"")</f>
        <v>0</v>
      </c>
      <c r="N226" s="42" t="n">
        <f aca="false">IFERROR(IF($C226="","",IF($D226="","",IFERROR(ROUND($D226*INDEX('🔖 배합비 참조'!$B$2:$CE$83,MATCH("계피가루",'🔖 배합비 참조'!$A$2:$A$83,0),MATCH($C226,'🔖 배합비 참조'!$B$1:$CE$1,0))/100,0),""))),"")</f>
        <v>0</v>
      </c>
      <c r="O226" s="42" t="n">
        <f aca="false">IFERROR(IF($C226="","",IF($D226="","",IFERROR(ROUND($D226*INDEX('🔖 배합비 참조'!$B$2:$CE$83,MATCH("고구마가루",'🔖 배합비 참조'!$A$2:$A$83,0),MATCH($C226,'🔖 배합비 참조'!$B$1:$CE$1,0))/100,0),""))),"")</f>
        <v>0</v>
      </c>
      <c r="P226" s="42" t="n">
        <f aca="false">IFERROR(IF($C226="","",IF($D226="","",IFERROR(ROUND($D226*INDEX('🔖 배합비 참조'!$B$2:$CE$83,MATCH("고구마무스",'🔖 배합비 참조'!$A$2:$A$83,0),MATCH($C226,'🔖 배합비 참조'!$B$1:$CE$1,0))/100,0),""))),"")</f>
        <v>0</v>
      </c>
      <c r="Q226" s="42" t="n">
        <f aca="false">IFERROR(IF($C226="","",IF($D226="","",IFERROR(ROUND($D226*INDEX('🔖 배합비 참조'!$B$2:$CE$83,MATCH("고려엉겅퀴((곤드레)국내산)",'🔖 배합비 참조'!$A$2:$A$83,0),MATCH($C226,'🔖 배합비 참조'!$B$1:$CE$1,0))/100,0),""))),"")</f>
        <v>0</v>
      </c>
      <c r="R226" s="42" t="n">
        <f aca="false">IFERROR(IF($C226="","",IF($D226="","",IFERROR(ROUND($D226*INDEX('🔖 배합비 참조'!$B$2:$CE$83,MATCH("기타가공품(복분자가루)",'🔖 배합비 참조'!$A$2:$A$83,0),MATCH($C226,'🔖 배합비 참조'!$B$1:$CE$1,0))/100,0),""))),"")</f>
        <v>0</v>
      </c>
      <c r="S226" s="42" t="n">
        <f aca="false">IFERROR(IF($C226="","",IF($D226="","",IFERROR(ROUND($D226*INDEX('🔖 배합비 참조'!$B$2:$CE$83,MATCH("기타가공품(슈퍼소프트엠)",'🔖 배합비 참조'!$A$2:$A$83,0),MATCH($C226,'🔖 배합비 참조'!$B$1:$CE$1,0))/100,0),""))),"")</f>
        <v>0</v>
      </c>
      <c r="T226" s="42" t="n">
        <f aca="false">IFERROR(IF($C226="","",IF($D226="","",IFERROR(ROUND($D226*INDEX('🔖 배합비 참조'!$B$2:$CE$83,MATCH("기타가공품(파인소프트 E-티)",'🔖 배합비 참조'!$A$2:$A$83,0),MATCH($C226,'🔖 배합비 참조'!$B$1:$CE$1,0))/100,0),""))),"")</f>
        <v>0</v>
      </c>
      <c r="U226" s="42" t="n">
        <f aca="false">IFERROR(IF($C226="","",IF($D226="","",IFERROR(ROUND($D226*INDEX('🔖 배합비 참조'!$B$2:$CE$83,MATCH("기타가공품(프리미엄카스테라가루)",'🔖 배합비 참조'!$A$2:$A$83,0),MATCH($C226,'🔖 배합비 참조'!$B$1:$CE$1,0))/100,0),""))),"")</f>
        <v>0</v>
      </c>
      <c r="V226" s="42" t="n">
        <f aca="false">IFERROR(IF($C226="","",IF($D226="","",IFERROR(ROUND($D226*INDEX('🔖 배합비 참조'!$B$2:$CE$83,MATCH("기타가공품(흑임자가루)",'🔖 배합비 참조'!$A$2:$A$83,0),MATCH($C226,'🔖 배합비 참조'!$B$1:$CE$1,0))/100,0),""))),"")</f>
        <v>0</v>
      </c>
      <c r="W226" s="42" t="n">
        <f aca="false">IFERROR(IF($C226="","",IF($D226="","",IFERROR(ROUND($D226*INDEX('🔖 배합비 참조'!$B$2:$CE$83,MATCH("기타설탕(흑설탕)",'🔖 배합비 참조'!$A$2:$A$83,0),MATCH($C226,'🔖 배합비 참조'!$B$1:$CE$1,0))/100,0),""))),"")</f>
        <v>0</v>
      </c>
      <c r="X226" s="42" t="n">
        <f aca="false">IFERROR(IF($C226="","",IF($D226="","",IFERROR(ROUND($D226*INDEX('🔖 배합비 참조'!$B$2:$CE$83,MATCH("냉동쑥(국내산)",'🔖 배합비 참조'!$A$2:$A$83,0),MATCH($C226,'🔖 배합비 참조'!$B$1:$CE$1,0))/100,0),""))),"")</f>
        <v>15</v>
      </c>
      <c r="Y226" s="42" t="n">
        <f aca="false">IFERROR(IF($C226="","",IF($D226="","",IFERROR(ROUND($D226*INDEX('🔖 배합비 참조'!$B$2:$CE$83,MATCH("냉동증숙고구마(중국산)",'🔖 배합비 참조'!$A$2:$A$83,0),MATCH($C226,'🔖 배합비 참조'!$B$1:$CE$1,0))/100,0),""))),"")</f>
        <v>0</v>
      </c>
      <c r="Z226" s="42" t="n">
        <f aca="false">IFERROR(IF($C226="","",IF($D226="","",IFERROR(ROUND($D226*INDEX('🔖 배합비 참조'!$B$2:$CE$83,MATCH("녹차가루",'🔖 배합비 참조'!$A$2:$A$83,0),MATCH($C226,'🔖 배합비 참조'!$B$1:$CE$1,0))/100,0),""))),"")</f>
        <v>0</v>
      </c>
      <c r="AA226" s="42" t="n">
        <f aca="false">IFERROR(IF($C226="","",IF($D226="","",IFERROR(ROUND($D226*INDEX('🔖 배합비 참조'!$B$2:$CE$83,MATCH("다크초콜릿 컴파운드칩",'🔖 배합비 참조'!$A$2:$A$83,0),MATCH($C226,'🔖 배합비 참조'!$B$1:$CE$1,0))/100,0),""))),"")</f>
        <v>0</v>
      </c>
      <c r="AB226" s="42" t="n">
        <f aca="false">IFERROR(IF($C226="","",IF($D226="","",IFERROR(ROUND($D226*INDEX('🔖 배합비 참조'!$B$2:$CE$83,MATCH("단호박분말(중국산)",'🔖 배합비 참조'!$A$2:$A$83,0),MATCH($C226,'🔖 배합비 참조'!$B$1:$CE$1,0))/100,0),""))),"")</f>
        <v>0</v>
      </c>
      <c r="AC226" s="42" t="n">
        <f aca="false">IFERROR(IF($C226="","",IF($D226="","",IFERROR(ROUND($D226*INDEX('🔖 배합비 참조'!$B$2:$CE$83,MATCH("당류가공품(단호박농축액)",'🔖 배합비 참조'!$A$2:$A$83,0),MATCH($C226,'🔖 배합비 참조'!$B$1:$CE$1,0))/100,0),""))),"")</f>
        <v>0</v>
      </c>
      <c r="AD226" s="42" t="n">
        <f aca="false">IFERROR(IF($C226="","",IF($D226="","",IFERROR(ROUND($D226*INDEX('🔖 배합비 참조'!$B$2:$CE$83,MATCH("당류가공품(알룰로스,에리스리톨,스테비올배당체혼합)",'🔖 배합비 참조'!$A$2:$A$83,0),MATCH($C226,'🔖 배합비 참조'!$B$1:$CE$1,0))/100,0),""))),"")</f>
        <v>0</v>
      </c>
      <c r="AE226" s="42" t="n">
        <f aca="false">IFERROR(IF($C226="","",IF($D226="","",IFERROR(ROUND($D226*INDEX('🔖 배합비 참조'!$B$2:$CE$83,MATCH("당류가공품(알룰로스제로파우더)",'🔖 배합비 참조'!$A$2:$A$83,0),MATCH($C226,'🔖 배합비 참조'!$B$1:$CE$1,0))/100,0),""))),"")</f>
        <v>0</v>
      </c>
      <c r="AF226" s="42" t="n">
        <f aca="false">IFERROR(IF($C226="","",IF($D226="","",IFERROR(ROUND($D226*INDEX('🔖 배합비 참조'!$B$2:$CE$83,MATCH("당절임(완두배기)",'🔖 배합비 참조'!$A$2:$A$83,0),MATCH($C226,'🔖 배합비 참조'!$B$1:$CE$1,0))/100,0),""))),"")</f>
        <v>0</v>
      </c>
      <c r="AG226" s="42" t="n">
        <f aca="false">IFERROR(IF($C226="","",IF($D226="","",IFERROR(ROUND($D226*INDEX('🔖 배합비 참조'!$B$2:$CE$83,MATCH("대추농축액",'🔖 배합비 참조'!$A$2:$A$83,0),MATCH($C226,'🔖 배합비 참조'!$B$1:$CE$1,0))/100,0),""))),"")</f>
        <v>0</v>
      </c>
      <c r="AH226" s="42" t="n">
        <f aca="false">IFERROR(IF($C226="","",IF($D226="","",IFERROR(ROUND($D226*INDEX('🔖 배합비 참조'!$B$2:$CE$83,MATCH("대추채(국내산)",'🔖 배합비 참조'!$A$2:$A$83,0),MATCH($C226,'🔖 배합비 참조'!$B$1:$CE$1,0))/100,0),""))),"")</f>
        <v>0</v>
      </c>
      <c r="AI226" s="42" t="n">
        <f aca="false">IFERROR(IF($C226="","",IF($D226="","",IFERROR(ROUND($D226*INDEX('🔖 배합비 참조'!$B$2:$CE$83,MATCH("동부(미얀마산)",'🔖 배합비 참조'!$A$2:$A$83,0),MATCH($C226,'🔖 배합비 참조'!$B$1:$CE$1,0))/100,0),""))),"")</f>
        <v>0</v>
      </c>
      <c r="AJ226" s="42" t="n">
        <f aca="false">IFERROR(IF($C226="","",IF($D226="","",IFERROR(ROUND($D226*INDEX('🔖 배합비 참조'!$B$2:$CE$83,MATCH("두류가공품(백옥앙금)",'🔖 배합비 참조'!$A$2:$A$83,0),MATCH($C226,'🔖 배합비 참조'!$B$1:$CE$1,0))/100,0),""))),"")</f>
        <v>0</v>
      </c>
      <c r="AK226" s="42" t="n">
        <f aca="false">IFERROR(IF($C226="","",IF($D226="","",IFERROR(ROUND($D226*INDEX('🔖 배합비 참조'!$B$2:$CE$83,MATCH("두류가공품(콩고물)",'🔖 배합비 참조'!$A$2:$A$83,0),MATCH($C226,'🔖 배합비 참조'!$B$1:$CE$1,0))/100,0),""))),"")</f>
        <v>13</v>
      </c>
      <c r="AL226" s="42" t="n">
        <f aca="false">IFERROR(IF($C226="","",IF($D226="","",IFERROR(ROUND($D226*INDEX('🔖 배합비 참조'!$B$2:$CE$83,MATCH("두류가공품(통팥고물)",'🔖 배합비 참조'!$A$2:$A$83,0),MATCH($C226,'🔖 배합비 참조'!$B$1:$CE$1,0))/100,0),""))),"")</f>
        <v>0</v>
      </c>
      <c r="AM226" s="42" t="n">
        <f aca="false">IFERROR(IF($C226="","",IF($D226="","",IFERROR(ROUND($D226*INDEX('🔖 배합비 참조'!$B$2:$CE$83,MATCH("딸기레진",'🔖 배합비 참조'!$A$2:$A$83,0),MATCH($C226,'🔖 배합비 참조'!$B$1:$CE$1,0))/100,0),""))),"")</f>
        <v>0</v>
      </c>
      <c r="AN226" s="42" t="n">
        <f aca="false">IFERROR(IF($C226="","",IF($D226="","",IFERROR(ROUND($D226*INDEX('🔖 배합비 참조'!$B$2:$CE$83,MATCH("딸기분말(스트로우베리에이드(분말))",'🔖 배합비 참조'!$A$2:$A$83,0),MATCH($C226,'🔖 배합비 참조'!$B$1:$CE$1,0))/100,0),""))),"")</f>
        <v>0</v>
      </c>
      <c r="AO226" s="42" t="n">
        <f aca="false">IFERROR(IF($C226="","",IF($D226="","",IFERROR(ROUND($D226*INDEX('🔖 배합비 참조'!$B$2:$CE$83,MATCH("마스카포네치즈",'🔖 배합비 참조'!$A$2:$A$83,0),MATCH($C226,'🔖 배합비 참조'!$B$1:$CE$1,0))/100,0),""))),"")</f>
        <v>0</v>
      </c>
      <c r="AP226" s="42" t="n">
        <f aca="false">IFERROR(IF($C226="","",IF($D226="","",IFERROR(ROUND($D226*INDEX('🔖 배합비 참조'!$B$2:$CE$83,MATCH("마카다미아분태(호주산)",'🔖 배합비 참조'!$A$2:$A$83,0),MATCH($C226,'🔖 배합비 참조'!$B$1:$CE$1,0))/100,0),""))),"")</f>
        <v>0</v>
      </c>
      <c r="AQ226" s="42" t="n">
        <f aca="false">IFERROR(IF($C226="","",IF($D226="","",IFERROR(ROUND($D226*INDEX('🔖 배합비 참조'!$B$2:$CE$83,MATCH("멥쌀(국내산)",'🔖 배합비 참조'!$A$2:$A$83,0),MATCH($C226,'🔖 배합비 참조'!$B$1:$CE$1,0))/100,0),""))),"")</f>
        <v>0</v>
      </c>
      <c r="AR226" s="42" t="n">
        <f aca="false">IFERROR(IF($C226="","",IF($D226="","",IFERROR(ROUND($D226*INDEX('🔖 배합비 참조'!$B$2:$CE$83,MATCH("모시잎(국내산)",'🔖 배합비 참조'!$A$2:$A$83,0),MATCH($C226,'🔖 배합비 참조'!$B$1:$CE$1,0))/100,0),""))),"")</f>
        <v>0</v>
      </c>
      <c r="AS226" s="42" t="n">
        <f aca="false">IFERROR(IF($C226="","",IF($D226="","",IFERROR(ROUND($D226*INDEX('🔖 배합비 참조'!$B$2:$CE$83,MATCH("물엿(저당물엿)",'🔖 배합비 참조'!$A$2:$A$83,0),MATCH($C226,'🔖 배합비 참조'!$B$1:$CE$1,0))/100,0),""))),"")</f>
        <v>10</v>
      </c>
      <c r="AT226" s="42" t="n">
        <f aca="false">IFERROR(IF($C226="","",IF($D226="","",IFERROR(ROUND($D226*INDEX('🔖 배합비 참조'!$B$2:$CE$83,MATCH("밤다이스",'🔖 배합비 참조'!$A$2:$A$83,0),MATCH($C226,'🔖 배합비 참조'!$B$1:$CE$1,0))/100,0),""))),"")</f>
        <v>0</v>
      </c>
      <c r="AU226" s="42" t="n">
        <f aca="false">IFERROR(IF($C226="","",IF($D226="","",IFERROR(ROUND($D226*INDEX('🔖 배합비 참조'!$B$2:$CE$83,MATCH("변성전분(타피오카전분)",'🔖 배합비 참조'!$A$2:$A$83,0),MATCH($C226,'🔖 배합비 참조'!$B$1:$CE$1,0))/100,0),""))),"")</f>
        <v>0</v>
      </c>
      <c r="AV226" s="42" t="n">
        <f aca="false">IFERROR(IF($C226="","",IF($D226="","",IFERROR(ROUND($D226*INDEX('🔖 배합비 참조'!$B$2:$CE$83,MATCH("복음땅콩분태",'🔖 배합비 참조'!$A$2:$A$83,0),MATCH($C226,'🔖 배합비 참조'!$B$1:$CE$1,0))/100,0),""))),"")</f>
        <v>0</v>
      </c>
      <c r="AW226" s="42" t="n">
        <f aca="false">IFERROR(IF($C226="","",IF($D226="","",IFERROR(ROUND($D226*INDEX('🔖 배합비 참조'!$B$2:$CE$83,MATCH("사양벌꿀(국내산)",'🔖 배합비 참조'!$A$2:$A$83,0),MATCH($C226,'🔖 배합비 참조'!$B$1:$CE$1,0))/100,0),""))),"")</f>
        <v>0</v>
      </c>
      <c r="AX226" s="42" t="n">
        <f aca="false">IFERROR(IF($C226="","",IF($D226="","",IFERROR(ROUND($D226*INDEX('🔖 배합비 참조'!$B$2:$CE$83,MATCH("생크림",'🔖 배합비 참조'!$A$2:$A$83,0),MATCH($C226,'🔖 배합비 참조'!$B$1:$CE$1,0))/100,0),""))),"")</f>
        <v>0</v>
      </c>
      <c r="AY226" s="42" t="n">
        <f aca="false">IFERROR(IF($C226="","",IF($D226="","",IFERROR(ROUND($D226*INDEX('🔖 배합비 참조'!$B$2:$CE$83,MATCH("서양호박(국내산,뉴질랜드산)",'🔖 배합비 참조'!$A$2:$A$83,0),MATCH($C226,'🔖 배합비 참조'!$B$1:$CE$1,0))/100,0),""))),"")</f>
        <v>0</v>
      </c>
      <c r="AZ226" s="42" t="n">
        <f aca="false">IFERROR(IF($C226="","",IF($D226="","",IFERROR(ROUND($D226*INDEX('🔖 배합비 참조'!$B$2:$CE$83,MATCH("설탕",'🔖 배합비 참조'!$A$2:$A$83,0),MATCH($C226,'🔖 배합비 참조'!$B$1:$CE$1,0))/100,0),""))),"")</f>
        <v>10</v>
      </c>
      <c r="BA226" s="42" t="n">
        <f aca="false">IFERROR(IF($C226="","",IF($D226="","",IFERROR(ROUND($D226*INDEX('🔖 배합비 참조'!$B$2:$CE$83,MATCH("스트로우베리 에이드 후레쉬",'🔖 배합비 참조'!$A$2:$A$83,0),MATCH($C226,'🔖 배합비 참조'!$B$1:$CE$1,0))/100,0),""))),"")</f>
        <v>0</v>
      </c>
      <c r="BB226" s="42" t="n">
        <f aca="false">IFERROR(IF($C226="","",IF($D226="","",IFERROR(ROUND($D226*INDEX('🔖 배합비 참조'!$B$2:$CE$83,MATCH("식물성기름혼합제제(분홍)",'🔖 배합비 참조'!$A$2:$A$83,0),MATCH($C226,'🔖 배합비 참조'!$B$1:$CE$1,0))/100,0),""))),"")</f>
        <v>0</v>
      </c>
      <c r="BC226" s="42" t="n">
        <f aca="false">IFERROR(IF($C226="","",IF($D226="","",IFERROR(ROUND($D226*INDEX('🔖 배합비 참조'!$B$2:$CE$83,MATCH("식물성기름혼합제제(초록)",'🔖 배합비 참조'!$A$2:$A$83,0),MATCH($C226,'🔖 배합비 참조'!$B$1:$CE$1,0))/100,0),""))),"")</f>
        <v>0</v>
      </c>
      <c r="BD226" s="42" t="n">
        <f aca="false">IFERROR(IF($C226="","",IF($D226="","",IFERROR(ROUND($D226*INDEX('🔖 배합비 참조'!$B$2:$CE$83,MATCH("식물성기름혼합제제(황색)",'🔖 배합비 참조'!$A$2:$A$83,0),MATCH($C226,'🔖 배합비 참조'!$B$1:$CE$1,0))/100,0),""))),"")</f>
        <v>0</v>
      </c>
      <c r="BE226" s="42" t="n">
        <f aca="false">IFERROR(IF($C226="","",IF($D226="","",IFERROR(ROUND($D226*INDEX('🔖 배합비 참조'!$B$2:$CE$83,MATCH("쑥가루(국내산)",'🔖 배합비 참조'!$A$2:$A$83,0),MATCH($C226,'🔖 배합비 참조'!$B$1:$CE$1,0))/100,0),""))),"")</f>
        <v>5</v>
      </c>
      <c r="BF226" s="42" t="n">
        <f aca="false">IFERROR(IF($C226="","",IF($D226="","",IFERROR(ROUND($D226*INDEX('🔖 배합비 참조'!$B$2:$CE$83,MATCH("아몬드슬라이스",'🔖 배합비 참조'!$A$2:$A$83,0),MATCH($C226,'🔖 배합비 참조'!$B$1:$CE$1,0))/100,0),""))),"")</f>
        <v>0</v>
      </c>
      <c r="BG226" s="42" t="n">
        <f aca="false">IFERROR(IF($C226="","",IF($D226="","",IFERROR(ROUND($D226*INDEX('🔖 배합비 참조'!$B$2:$CE$83,MATCH("알룰로오스(국내산)",'🔖 배합비 참조'!$A$2:$A$83,0),MATCH($C226,'🔖 배합비 참조'!$B$1:$CE$1,0))/100,0),""))),"")</f>
        <v>0</v>
      </c>
      <c r="BH226" s="42" t="n">
        <f aca="false">IFERROR(IF($C226="","",IF($D226="","",IFERROR(ROUND($D226*INDEX('🔖 배합비 참조'!$B$2:$CE$83,MATCH("연유",'🔖 배합비 참조'!$A$2:$A$83,0),MATCH($C226,'🔖 배합비 참조'!$B$1:$CE$1,0))/100,0),""))),"")</f>
        <v>0</v>
      </c>
      <c r="BI226" s="42" t="n">
        <f aca="false">IFERROR(IF($C226="","",IF($D226="","",IFERROR(ROUND($D226*INDEX('🔖 배합비 참조'!$B$2:$CE$83,MATCH("옥수수전분",'🔖 배합비 참조'!$A$2:$A$83,0),MATCH($C226,'🔖 배합비 참조'!$B$1:$CE$1,0))/100,0),""))),"")</f>
        <v>0</v>
      </c>
      <c r="BJ226" s="42" t="n">
        <f aca="false">IFERROR(IF($C226="","",IF($D226="","",IFERROR(ROUND($D226*INDEX('🔖 배합비 참조'!$B$2:$CE$83,MATCH("완두배기",'🔖 배합비 참조'!$A$2:$A$83,0),MATCH($C226,'🔖 배합비 참조'!$B$1:$CE$1,0))/100,0),""))),"")</f>
        <v>0</v>
      </c>
      <c r="BK226" s="42" t="n">
        <f aca="false">IFERROR(IF($C226="","",IF($D226="","",IFERROR(ROUND($D226*INDEX('🔖 배합비 참조'!$B$2:$CE$83,MATCH("우유(국내산)",'🔖 배합비 참조'!$A$2:$A$83,0),MATCH($C226,'🔖 배합비 참조'!$B$1:$CE$1,0))/100,0),""))),"")</f>
        <v>0</v>
      </c>
      <c r="BL226" s="42" t="n">
        <f aca="false">IFERROR(IF($C226="","",IF($D226="","",IFERROR(ROUND($D226*INDEX('🔖 배합비 참조'!$B$2:$CE$83,MATCH("자색고구마가루(중국산)",'🔖 배합비 참조'!$A$2:$A$83,0),MATCH($C226,'🔖 배합비 참조'!$B$1:$CE$1,0))/100,0),""))),"")</f>
        <v>0</v>
      </c>
      <c r="BM226" s="42" t="n">
        <f aca="false">IFERROR(IF($C226="","",IF($D226="","",IFERROR(ROUND($D226*INDEX('🔖 배합비 참조'!$B$2:$CE$83,MATCH("자연치즈(체다치즈)",'🔖 배합비 참조'!$A$2:$A$83,0),MATCH($C226,'🔖 배합비 참조'!$B$1:$CE$1,0))/100,0),""))),"")</f>
        <v>0</v>
      </c>
      <c r="BN226" s="42" t="n">
        <f aca="false">IFERROR(IF($C226="","",IF($D226="","",IFERROR(ROUND($D226*INDEX('🔖 배합비 참조'!$B$2:$CE$83,MATCH("정제수",'🔖 배합비 참조'!$A$2:$A$83,0),MATCH($C226,'🔖 배합비 참조'!$B$1:$CE$1,0))/100,0),""))),"")</f>
        <v>0</v>
      </c>
      <c r="BO226" s="42" t="n">
        <f aca="false">IFERROR(IF($C226="","",IF($D226="","",IFERROR(ROUND($D226*INDEX('🔖 배합비 참조'!$B$2:$CE$83,MATCH("젤라틴",'🔖 배합비 참조'!$A$2:$A$83,0),MATCH($C226,'🔖 배합비 참조'!$B$1:$CE$1,0))/100,0),""))),"")</f>
        <v>0</v>
      </c>
      <c r="BP226" s="42" t="n">
        <f aca="false">IFERROR(IF($C226="","",IF($D226="","",IFERROR(ROUND($D226*INDEX('🔖 배합비 참조'!$B$2:$CE$83,MATCH("조림류(백옥앙금)",'🔖 배합비 참조'!$A$2:$A$83,0),MATCH($C226,'🔖 배합비 참조'!$B$1:$CE$1,0))/100,0),""))),"")</f>
        <v>0</v>
      </c>
      <c r="BQ226" s="42" t="n">
        <f aca="false">IFERROR(IF($C226="","",IF($D226="","",IFERROR(ROUND($D226*INDEX('🔖 배합비 참조'!$B$2:$CE$83,MATCH("조림류(통팥앙금)",'🔖 배합비 참조'!$A$2:$A$83,0),MATCH($C226,'🔖 배합비 참조'!$B$1:$CE$1,0))/100,0),""))),"")</f>
        <v>183</v>
      </c>
      <c r="BR226" s="42" t="n">
        <f aca="false">IFERROR(IF($C226="","",IF($D226="","",IFERROR(ROUND($D226*INDEX('🔖 배합비 참조'!$B$2:$CE$83,MATCH("준초콜릿(외국산)",'🔖 배합비 참조'!$A$2:$A$83,0),MATCH($C226,'🔖 배합비 참조'!$B$1:$CE$1,0))/100,0),""))),"")</f>
        <v>0</v>
      </c>
      <c r="BS226" s="42" t="n">
        <f aca="false">IFERROR(IF($C226="","",IF($D226="","",IFERROR(ROUND($D226*INDEX('🔖 배합비 참조'!$B$2:$CE$83,MATCH("중력분",'🔖 배합비 참조'!$A$2:$A$83,0),MATCH($C226,'🔖 배합비 참조'!$B$1:$CE$1,0))/100,0),""))),"")</f>
        <v>4</v>
      </c>
      <c r="BT226" s="42" t="n">
        <f aca="false">IFERROR(IF($C226="","",IF($D226="","",IFERROR(ROUND($D226*INDEX('🔖 배합비 참조'!$B$2:$CE$83,MATCH("참깨(인도산,나이지리아산,탄자니아산,미얀마산)",'🔖 배합비 참조'!$A$2:$A$83,0),MATCH($C226,'🔖 배합비 참조'!$B$1:$CE$1,0))/100,0),""))),"")</f>
        <v>0</v>
      </c>
      <c r="BU226" s="42" t="n">
        <f aca="false">IFERROR(IF($C226="","",IF($D226="","",IFERROR(ROUND($D226*INDEX('🔖 배합비 참조'!$B$2:$CE$83,MATCH("찹쌀(국내산)",'🔖 배합비 참조'!$A$2:$A$83,0),MATCH($C226,'🔖 배합비 참조'!$B$1:$CE$1,0))/100,0),""))),"")</f>
        <v>195</v>
      </c>
      <c r="BV226" s="42" t="n">
        <f aca="false">IFERROR(IF($C226="","",IF($D226="","",IFERROR(ROUND($D226*INDEX('🔖 배합비 참조'!$B$2:$CE$83,MATCH("천일염",'🔖 배합비 참조'!$A$2:$A$83,0),MATCH($C226,'🔖 배합비 참조'!$B$1:$CE$1,0))/100,0),""))),"")</f>
        <v>4</v>
      </c>
      <c r="BW226" s="42" t="n">
        <f aca="false">IFERROR(IF($C226="","",IF($D226="","",IFERROR(ROUND($D226*INDEX('🔖 배합비 참조'!$B$2:$CE$83,MATCH("치즈 [크림치즈]",'🔖 배합비 참조'!$A$2:$A$83,0),MATCH($C226,'🔖 배합비 참조'!$B$1:$CE$1,0))/100,0),""))),"")</f>
        <v>0</v>
      </c>
      <c r="BX226" s="42" t="n">
        <f aca="false">IFERROR(IF($C226="","",IF($D226="","",IFERROR(ROUND($D226*INDEX('🔖 배합비 참조'!$B$2:$CE$83,MATCH("코코아가공품류(코코아분말)",'🔖 배합비 참조'!$A$2:$A$83,0),MATCH($C226,'🔖 배합비 참조'!$B$1:$CE$1,0))/100,0),""))),"")</f>
        <v>0</v>
      </c>
      <c r="BY226" s="42" t="n">
        <f aca="false">IFERROR(IF($C226="","",IF($D226="","",IFERROR(ROUND($D226*INDEX('🔖 배합비 참조'!$B$2:$CE$83,MATCH("콩기름(대두유)",'🔖 배합비 참조'!$A$2:$A$83,0),MATCH($C226,'🔖 배합비 참조'!$B$1:$CE$1,0))/100,0),""))),"")</f>
        <v>0</v>
      </c>
      <c r="BZ226" s="42" t="n">
        <f aca="false">IFERROR(IF($C226="","",IF($D226="","",IFERROR(ROUND($D226*INDEX('🔖 배합비 참조'!$B$2:$CE$83,MATCH("해바라기씨앗",'🔖 배합비 참조'!$A$2:$A$83,0),MATCH($C226,'🔖 배합비 참조'!$B$1:$CE$1,0))/100,0),""))),"")</f>
        <v>0</v>
      </c>
      <c r="CA226" s="42" t="n">
        <f aca="false">IFERROR(IF($C226="","",IF($D226="","",IFERROR(ROUND($D226*INDEX('🔖 배합비 참조'!$B$2:$CE$83,MATCH("현미(국내산)",'🔖 배합비 참조'!$A$2:$A$83,0),MATCH($C226,'🔖 배합비 참조'!$B$1:$CE$1,0))/100,0),""))),"")</f>
        <v>0</v>
      </c>
      <c r="CB226" s="42" t="n">
        <f aca="false">IFERROR(IF($C226="","",IF($D226="","",IFERROR(ROUND($D226*INDEX('🔖 배합비 참조'!$B$2:$CE$83,MATCH("현미멥쌀(국내산)",'🔖 배합비 참조'!$A$2:$A$83,0),MATCH($C226,'🔖 배합비 참조'!$B$1:$CE$1,0))/100,0),""))),"")</f>
        <v>0</v>
      </c>
      <c r="CC226" s="42" t="n">
        <f aca="false">IFERROR(IF($C226="","",IF($D226="","",IFERROR(ROUND($D226*INDEX('🔖 배합비 참조'!$B$2:$CE$83,MATCH("호두분태(미국산)",'🔖 배합비 참조'!$A$2:$A$83,0),MATCH($C226,'🔖 배합비 참조'!$B$1:$CE$1,0))/100,0),""))),"")</f>
        <v>0</v>
      </c>
      <c r="CD226" s="42" t="n">
        <f aca="false">IFERROR(IF($C226="","",IF($D226="","",IFERROR(ROUND($D226*INDEX('🔖 배합비 참조'!$B$2:$CE$83,MATCH("호박씨앗(외국산)",'🔖 배합비 참조'!$A$2:$A$83,0),MATCH($C226,'🔖 배합비 참조'!$B$1:$CE$1,0))/100,0),""))),"")</f>
        <v>0</v>
      </c>
      <c r="CE226" s="42" t="n">
        <f aca="false">IFERROR(IF($C226="","",IF($D226="","",IFERROR(ROUND($D226*INDEX('🔖 배합비 참조'!$B$2:$CE$83,MATCH("혼합제제(떡용에스텔)",'🔖 배합비 참조'!$A$2:$A$83,0),MATCH($C226,'🔖 배합비 참조'!$B$1:$CE$1,0))/100,0),""))),"")</f>
        <v>2</v>
      </c>
      <c r="CF226" s="42" t="n">
        <f aca="false">IFERROR(IF($C226="","",IF($D226="","",IFERROR(ROUND($D226*INDEX('🔖 배합비 참조'!$B$2:$CE$83,MATCH("혼합제제(스테비아)",'🔖 배합비 참조'!$A$2:$A$83,0),MATCH($C226,'🔖 배합비 참조'!$B$1:$CE$1,0))/100,0),""))),"")</f>
        <v>0</v>
      </c>
      <c r="CG226" s="42" t="n">
        <f aca="false">IFERROR(IF($C226="","",IF($D226="","",IFERROR(ROUND($D226*INDEX('🔖 배합비 참조'!$B$2:$CE$83,MATCH("화이트초콜릿",'🔖 배합비 참조'!$A$2:$A$83,0),MATCH($C226,'🔖 배합비 참조'!$B$1:$CE$1,0))/100,0),""))),"")</f>
        <v>0</v>
      </c>
      <c r="CH226" s="42" t="n">
        <f aca="false">IFERROR(IF($C226="","",IF($D226="","",IFERROR(ROUND($D226*INDEX('🔖 배합비 참조'!$B$2:$CE$83,MATCH("흑미찹쌀(국내산)",'🔖 배합비 참조'!$A$2:$A$83,0),MATCH($C226,'🔖 배합비 참조'!$B$1:$CE$1,0))/100,0),""))),"")</f>
        <v>0</v>
      </c>
      <c r="CI226" s="42" t="n">
        <f aca="false">IFERROR(IF($C226="","",IF($D226="","",IFERROR(ROUND($D226*INDEX('🔖 배합비 참조'!$B$2:$CE$83,MATCH("찰옥수수전분(미국산)",'🔖 배합비 참조'!$A$2:$A$83,0),MATCH($C226,'🔖 배합비 참조'!$B$1:$CE$1,0))/100,0),""))),"")</f>
        <v>0</v>
      </c>
      <c r="CJ226" s="40"/>
      <c r="CL226" s="1" t="s">
        <v>247</v>
      </c>
    </row>
    <row r="227" customFormat="false" ht="18" hidden="false" customHeight="true" outlineLevel="0" collapsed="false">
      <c r="A227" s="35" t="n">
        <v>223</v>
      </c>
      <c r="B227" s="36" t="n">
        <v>46063</v>
      </c>
      <c r="C227" s="37" t="s">
        <v>236</v>
      </c>
      <c r="D227" s="38" t="n">
        <v>220</v>
      </c>
      <c r="E227" s="13"/>
      <c r="F227" s="13"/>
      <c r="G227" s="39" t="n">
        <f aca="false">IFERROR(IF($C227="","",IF($D227="","",IFERROR(ROUND($D227*INDEX('🔖 배합비 참조'!$B$2:$CE$83,MATCH("간장",'🔖 배합비 참조'!$A$2:$A$83,0),MATCH($C227,'🔖 배합비 참조'!$B$1:$CE$1,0))/100,0),""))),"")</f>
        <v>0</v>
      </c>
      <c r="H227" s="39" t="n">
        <f aca="false">IFERROR(IF($C227="","",IF($D227="","",IFERROR(ROUND($D227*INDEX('🔖 배합비 참조'!$B$2:$CE$83,MATCH("강낭콩((울타리콩))",'🔖 배합비 참조'!$A$2:$A$83,0),MATCH($C227,'🔖 배합비 참조'!$B$1:$CE$1,0))/100,0),""))),"")</f>
        <v>0</v>
      </c>
      <c r="I227" s="39" t="n">
        <f aca="false">IFERROR(IF($C227="","",IF($D227="","",IFERROR(ROUND($D227*INDEX('🔖 배합비 참조'!$B$2:$CE$83,MATCH("건조딸기다이스(외국산)",'🔖 배합비 참조'!$A$2:$A$83,0),MATCH($C227,'🔖 배합비 참조'!$B$1:$CE$1,0))/100,0),""))),"")</f>
        <v>0</v>
      </c>
      <c r="J227" s="39" t="n">
        <f aca="false">IFERROR(IF($C227="","",IF($D227="","",IFERROR(ROUND($D227*INDEX('🔖 배합비 참조'!$B$2:$CE$83,MATCH("건포도",'🔖 배합비 참조'!$A$2:$A$83,0),MATCH($C227,'🔖 배합비 참조'!$B$1:$CE$1,0))/100,0),""))),"")</f>
        <v>0</v>
      </c>
      <c r="K227" s="39" t="n">
        <f aca="false">IFERROR(IF($C227="","",IF($D227="","",IFERROR(ROUND($D227*INDEX('🔖 배합비 참조'!$B$2:$CE$83,MATCH("건호박채(중국산)",'🔖 배합비 참조'!$A$2:$A$83,0),MATCH($C227,'🔖 배합비 참조'!$B$1:$CE$1,0))/100,0),""))),"")</f>
        <v>0</v>
      </c>
      <c r="L227" s="39" t="n">
        <f aca="false">IFERROR(IF($C227="","",IF($D227="","",IFERROR(ROUND($D227*INDEX('🔖 배합비 참조'!$B$2:$CE$83,MATCH("검정깨(흑임자)",'🔖 배합비 참조'!$A$2:$A$83,0),MATCH($C227,'🔖 배합비 참조'!$B$1:$CE$1,0))/100,0),""))),"")</f>
        <v>0</v>
      </c>
      <c r="M227" s="39" t="n">
        <f aca="false">IFERROR(IF($C227="","",IF($D227="","",IFERROR(ROUND($D227*INDEX('🔖 배합비 참조'!$B$2:$CE$83,MATCH("검정콩",'🔖 배합비 참조'!$A$2:$A$83,0),MATCH($C227,'🔖 배합비 참조'!$B$1:$CE$1,0))/100,0),""))),"")</f>
        <v>0</v>
      </c>
      <c r="N227" s="39" t="n">
        <f aca="false">IFERROR(IF($C227="","",IF($D227="","",IFERROR(ROUND($D227*INDEX('🔖 배합비 참조'!$B$2:$CE$83,MATCH("계피가루",'🔖 배합비 참조'!$A$2:$A$83,0),MATCH($C227,'🔖 배합비 참조'!$B$1:$CE$1,0))/100,0),""))),"")</f>
        <v>0</v>
      </c>
      <c r="O227" s="39" t="n">
        <f aca="false">IFERROR(IF($C227="","",IF($D227="","",IFERROR(ROUND($D227*INDEX('🔖 배합비 참조'!$B$2:$CE$83,MATCH("고구마가루",'🔖 배합비 참조'!$A$2:$A$83,0),MATCH($C227,'🔖 배합비 참조'!$B$1:$CE$1,0))/100,0),""))),"")</f>
        <v>0</v>
      </c>
      <c r="P227" s="39" t="n">
        <f aca="false">IFERROR(IF($C227="","",IF($D227="","",IFERROR(ROUND($D227*INDEX('🔖 배합비 참조'!$B$2:$CE$83,MATCH("고구마무스",'🔖 배합비 참조'!$A$2:$A$83,0),MATCH($C227,'🔖 배합비 참조'!$B$1:$CE$1,0))/100,0),""))),"")</f>
        <v>0</v>
      </c>
      <c r="Q227" s="39" t="n">
        <f aca="false">IFERROR(IF($C227="","",IF($D227="","",IFERROR(ROUND($D227*INDEX('🔖 배합비 참조'!$B$2:$CE$83,MATCH("고려엉겅퀴((곤드레)국내산)",'🔖 배합비 참조'!$A$2:$A$83,0),MATCH($C227,'🔖 배합비 참조'!$B$1:$CE$1,0))/100,0),""))),"")</f>
        <v>0</v>
      </c>
      <c r="R227" s="39" t="n">
        <f aca="false">IFERROR(IF($C227="","",IF($D227="","",IFERROR(ROUND($D227*INDEX('🔖 배합비 참조'!$B$2:$CE$83,MATCH("기타가공품(복분자가루)",'🔖 배합비 참조'!$A$2:$A$83,0),MATCH($C227,'🔖 배합비 참조'!$B$1:$CE$1,0))/100,0),""))),"")</f>
        <v>0</v>
      </c>
      <c r="S227" s="39" t="n">
        <f aca="false">IFERROR(IF($C227="","",IF($D227="","",IFERROR(ROUND($D227*INDEX('🔖 배합비 참조'!$B$2:$CE$83,MATCH("기타가공품(슈퍼소프트엠)",'🔖 배합비 참조'!$A$2:$A$83,0),MATCH($C227,'🔖 배합비 참조'!$B$1:$CE$1,0))/100,0),""))),"")</f>
        <v>0</v>
      </c>
      <c r="T227" s="39" t="n">
        <f aca="false">IFERROR(IF($C227="","",IF($D227="","",IFERROR(ROUND($D227*INDEX('🔖 배합비 참조'!$B$2:$CE$83,MATCH("기타가공품(파인소프트 E-티)",'🔖 배합비 참조'!$A$2:$A$83,0),MATCH($C227,'🔖 배합비 참조'!$B$1:$CE$1,0))/100,0),""))),"")</f>
        <v>0</v>
      </c>
      <c r="U227" s="39" t="n">
        <f aca="false">IFERROR(IF($C227="","",IF($D227="","",IFERROR(ROUND($D227*INDEX('🔖 배합비 참조'!$B$2:$CE$83,MATCH("기타가공품(프리미엄카스테라가루)",'🔖 배합비 참조'!$A$2:$A$83,0),MATCH($C227,'🔖 배합비 참조'!$B$1:$CE$1,0))/100,0),""))),"")</f>
        <v>0</v>
      </c>
      <c r="V227" s="39" t="n">
        <f aca="false">IFERROR(IF($C227="","",IF($D227="","",IFERROR(ROUND($D227*INDEX('🔖 배합비 참조'!$B$2:$CE$83,MATCH("기타가공품(흑임자가루)",'🔖 배합비 참조'!$A$2:$A$83,0),MATCH($C227,'🔖 배합비 참조'!$B$1:$CE$1,0))/100,0),""))),"")</f>
        <v>0</v>
      </c>
      <c r="W227" s="39" t="n">
        <f aca="false">IFERROR(IF($C227="","",IF($D227="","",IFERROR(ROUND($D227*INDEX('🔖 배합비 참조'!$B$2:$CE$83,MATCH("기타설탕(흑설탕)",'🔖 배합비 참조'!$A$2:$A$83,0),MATCH($C227,'🔖 배합비 참조'!$B$1:$CE$1,0))/100,0),""))),"")</f>
        <v>0</v>
      </c>
      <c r="X227" s="39" t="n">
        <f aca="false">IFERROR(IF($C227="","",IF($D227="","",IFERROR(ROUND($D227*INDEX('🔖 배합비 참조'!$B$2:$CE$83,MATCH("냉동쑥(국내산)",'🔖 배합비 참조'!$A$2:$A$83,0),MATCH($C227,'🔖 배합비 참조'!$B$1:$CE$1,0))/100,0),""))),"")</f>
        <v>4</v>
      </c>
      <c r="Y227" s="39" t="n">
        <f aca="false">IFERROR(IF($C227="","",IF($D227="","",IFERROR(ROUND($D227*INDEX('🔖 배합비 참조'!$B$2:$CE$83,MATCH("냉동증숙고구마(중국산)",'🔖 배합비 참조'!$A$2:$A$83,0),MATCH($C227,'🔖 배합비 참조'!$B$1:$CE$1,0))/100,0),""))),"")</f>
        <v>0</v>
      </c>
      <c r="Z227" s="39" t="n">
        <f aca="false">IFERROR(IF($C227="","",IF($D227="","",IFERROR(ROUND($D227*INDEX('🔖 배합비 참조'!$B$2:$CE$83,MATCH("녹차가루",'🔖 배합비 참조'!$A$2:$A$83,0),MATCH($C227,'🔖 배합비 참조'!$B$1:$CE$1,0))/100,0),""))),"")</f>
        <v>0</v>
      </c>
      <c r="AA227" s="39" t="n">
        <f aca="false">IFERROR(IF($C227="","",IF($D227="","",IFERROR(ROUND($D227*INDEX('🔖 배합비 참조'!$B$2:$CE$83,MATCH("다크초콜릿 컴파운드칩",'🔖 배합비 참조'!$A$2:$A$83,0),MATCH($C227,'🔖 배합비 참조'!$B$1:$CE$1,0))/100,0),""))),"")</f>
        <v>0</v>
      </c>
      <c r="AB227" s="39" t="n">
        <f aca="false">IFERROR(IF($C227="","",IF($D227="","",IFERROR(ROUND($D227*INDEX('🔖 배합비 참조'!$B$2:$CE$83,MATCH("단호박분말(중국산)",'🔖 배합비 참조'!$A$2:$A$83,0),MATCH($C227,'🔖 배합비 참조'!$B$1:$CE$1,0))/100,0),""))),"")</f>
        <v>0</v>
      </c>
      <c r="AC227" s="39" t="n">
        <f aca="false">IFERROR(IF($C227="","",IF($D227="","",IFERROR(ROUND($D227*INDEX('🔖 배합비 참조'!$B$2:$CE$83,MATCH("당류가공품(단호박농축액)",'🔖 배합비 참조'!$A$2:$A$83,0),MATCH($C227,'🔖 배합비 참조'!$B$1:$CE$1,0))/100,0),""))),"")</f>
        <v>0</v>
      </c>
      <c r="AD227" s="39" t="n">
        <f aca="false">IFERROR(IF($C227="","",IF($D227="","",IFERROR(ROUND($D227*INDEX('🔖 배합비 참조'!$B$2:$CE$83,MATCH("당류가공품(알룰로스,에리스리톨,스테비올배당체혼합)",'🔖 배합비 참조'!$A$2:$A$83,0),MATCH($C227,'🔖 배합비 참조'!$B$1:$CE$1,0))/100,0),""))),"")</f>
        <v>0</v>
      </c>
      <c r="AE227" s="39" t="n">
        <f aca="false">IFERROR(IF($C227="","",IF($D227="","",IFERROR(ROUND($D227*INDEX('🔖 배합비 참조'!$B$2:$CE$83,MATCH("당류가공품(알룰로스제로파우더)",'🔖 배합비 참조'!$A$2:$A$83,0),MATCH($C227,'🔖 배합비 참조'!$B$1:$CE$1,0))/100,0),""))),"")</f>
        <v>0</v>
      </c>
      <c r="AF227" s="39" t="n">
        <f aca="false">IFERROR(IF($C227="","",IF($D227="","",IFERROR(ROUND($D227*INDEX('🔖 배합비 참조'!$B$2:$CE$83,MATCH("당절임(완두배기)",'🔖 배합비 참조'!$A$2:$A$83,0),MATCH($C227,'🔖 배합비 참조'!$B$1:$CE$1,0))/100,0),""))),"")</f>
        <v>0</v>
      </c>
      <c r="AG227" s="39" t="n">
        <f aca="false">IFERROR(IF($C227="","",IF($D227="","",IFERROR(ROUND($D227*INDEX('🔖 배합비 참조'!$B$2:$CE$83,MATCH("대추농축액",'🔖 배합비 참조'!$A$2:$A$83,0),MATCH($C227,'🔖 배합비 참조'!$B$1:$CE$1,0))/100,0),""))),"")</f>
        <v>0</v>
      </c>
      <c r="AH227" s="39" t="n">
        <f aca="false">IFERROR(IF($C227="","",IF($D227="","",IFERROR(ROUND($D227*INDEX('🔖 배합비 참조'!$B$2:$CE$83,MATCH("대추채(국내산)",'🔖 배합비 참조'!$A$2:$A$83,0),MATCH($C227,'🔖 배합비 참조'!$B$1:$CE$1,0))/100,0),""))),"")</f>
        <v>0</v>
      </c>
      <c r="AI227" s="39" t="n">
        <f aca="false">IFERROR(IF($C227="","",IF($D227="","",IFERROR(ROUND($D227*INDEX('🔖 배합비 참조'!$B$2:$CE$83,MATCH("동부(미얀마산)",'🔖 배합비 참조'!$A$2:$A$83,0),MATCH($C227,'🔖 배합비 참조'!$B$1:$CE$1,0))/100,0),""))),"")</f>
        <v>27</v>
      </c>
      <c r="AJ227" s="39" t="n">
        <f aca="false">IFERROR(IF($C227="","",IF($D227="","",IFERROR(ROUND($D227*INDEX('🔖 배합비 참조'!$B$2:$CE$83,MATCH("두류가공품(백옥앙금)",'🔖 배합비 참조'!$A$2:$A$83,0),MATCH($C227,'🔖 배합비 참조'!$B$1:$CE$1,0))/100,0),""))),"")</f>
        <v>0</v>
      </c>
      <c r="AK227" s="39" t="n">
        <f aca="false">IFERROR(IF($C227="","",IF($D227="","",IFERROR(ROUND($D227*INDEX('🔖 배합비 참조'!$B$2:$CE$83,MATCH("두류가공품(콩고물)",'🔖 배합비 참조'!$A$2:$A$83,0),MATCH($C227,'🔖 배합비 참조'!$B$1:$CE$1,0))/100,0),""))),"")</f>
        <v>6</v>
      </c>
      <c r="AL227" s="39" t="n">
        <f aca="false">IFERROR(IF($C227="","",IF($D227="","",IFERROR(ROUND($D227*INDEX('🔖 배합비 참조'!$B$2:$CE$83,MATCH("두류가공품(통팥고물)",'🔖 배합비 참조'!$A$2:$A$83,0),MATCH($C227,'🔖 배합비 참조'!$B$1:$CE$1,0))/100,0),""))),"")</f>
        <v>0</v>
      </c>
      <c r="AM227" s="39" t="n">
        <f aca="false">IFERROR(IF($C227="","",IF($D227="","",IFERROR(ROUND($D227*INDEX('🔖 배합비 참조'!$B$2:$CE$83,MATCH("딸기레진",'🔖 배합비 참조'!$A$2:$A$83,0),MATCH($C227,'🔖 배합비 참조'!$B$1:$CE$1,0))/100,0),""))),"")</f>
        <v>0</v>
      </c>
      <c r="AN227" s="39" t="n">
        <f aca="false">IFERROR(IF($C227="","",IF($D227="","",IFERROR(ROUND($D227*INDEX('🔖 배합비 참조'!$B$2:$CE$83,MATCH("딸기분말(스트로우베리에이드(분말))",'🔖 배합비 참조'!$A$2:$A$83,0),MATCH($C227,'🔖 배합비 참조'!$B$1:$CE$1,0))/100,0),""))),"")</f>
        <v>0</v>
      </c>
      <c r="AO227" s="39" t="n">
        <f aca="false">IFERROR(IF($C227="","",IF($D227="","",IFERROR(ROUND($D227*INDEX('🔖 배합비 참조'!$B$2:$CE$83,MATCH("마스카포네치즈",'🔖 배합비 참조'!$A$2:$A$83,0),MATCH($C227,'🔖 배합비 참조'!$B$1:$CE$1,0))/100,0),""))),"")</f>
        <v>0</v>
      </c>
      <c r="AP227" s="39" t="n">
        <f aca="false">IFERROR(IF($C227="","",IF($D227="","",IFERROR(ROUND($D227*INDEX('🔖 배합비 참조'!$B$2:$CE$83,MATCH("마카다미아분태(호주산)",'🔖 배합비 참조'!$A$2:$A$83,0),MATCH($C227,'🔖 배합비 참조'!$B$1:$CE$1,0))/100,0),""))),"")</f>
        <v>0</v>
      </c>
      <c r="AQ227" s="39" t="n">
        <f aca="false">IFERROR(IF($C227="","",IF($D227="","",IFERROR(ROUND($D227*INDEX('🔖 배합비 참조'!$B$2:$CE$83,MATCH("멥쌀(국내산)",'🔖 배합비 참조'!$A$2:$A$83,0),MATCH($C227,'🔖 배합비 참조'!$B$1:$CE$1,0))/100,0),""))),"")</f>
        <v>0</v>
      </c>
      <c r="AR227" s="39" t="n">
        <f aca="false">IFERROR(IF($C227="","",IF($D227="","",IFERROR(ROUND($D227*INDEX('🔖 배합비 참조'!$B$2:$CE$83,MATCH("모시잎(국내산)",'🔖 배합비 참조'!$A$2:$A$83,0),MATCH($C227,'🔖 배합비 참조'!$B$1:$CE$1,0))/100,0),""))),"")</f>
        <v>0</v>
      </c>
      <c r="AS227" s="39" t="n">
        <f aca="false">IFERROR(IF($C227="","",IF($D227="","",IFERROR(ROUND($D227*INDEX('🔖 배합비 참조'!$B$2:$CE$83,MATCH("물엿(저당물엿)",'🔖 배합비 참조'!$A$2:$A$83,0),MATCH($C227,'🔖 배합비 참조'!$B$1:$CE$1,0))/100,0),""))),"")</f>
        <v>4</v>
      </c>
      <c r="AT227" s="39" t="n">
        <f aca="false">IFERROR(IF($C227="","",IF($D227="","",IFERROR(ROUND($D227*INDEX('🔖 배합비 참조'!$B$2:$CE$83,MATCH("밤다이스",'🔖 배합비 참조'!$A$2:$A$83,0),MATCH($C227,'🔖 배합비 참조'!$B$1:$CE$1,0))/100,0),""))),"")</f>
        <v>0</v>
      </c>
      <c r="AU227" s="39" t="n">
        <f aca="false">IFERROR(IF($C227="","",IF($D227="","",IFERROR(ROUND($D227*INDEX('🔖 배합비 참조'!$B$2:$CE$83,MATCH("변성전분(타피오카전분)",'🔖 배합비 참조'!$A$2:$A$83,0),MATCH($C227,'🔖 배합비 참조'!$B$1:$CE$1,0))/100,0),""))),"")</f>
        <v>0</v>
      </c>
      <c r="AV227" s="39" t="n">
        <f aca="false">IFERROR(IF($C227="","",IF($D227="","",IFERROR(ROUND($D227*INDEX('🔖 배합비 참조'!$B$2:$CE$83,MATCH("복음땅콩분태",'🔖 배합비 참조'!$A$2:$A$83,0),MATCH($C227,'🔖 배합비 참조'!$B$1:$CE$1,0))/100,0),""))),"")</f>
        <v>0</v>
      </c>
      <c r="AW227" s="39" t="n">
        <f aca="false">IFERROR(IF($C227="","",IF($D227="","",IFERROR(ROUND($D227*INDEX('🔖 배합비 참조'!$B$2:$CE$83,MATCH("사양벌꿀(국내산)",'🔖 배합비 참조'!$A$2:$A$83,0),MATCH($C227,'🔖 배합비 참조'!$B$1:$CE$1,0))/100,0),""))),"")</f>
        <v>0</v>
      </c>
      <c r="AX227" s="39" t="n">
        <f aca="false">IFERROR(IF($C227="","",IF($D227="","",IFERROR(ROUND($D227*INDEX('🔖 배합비 참조'!$B$2:$CE$83,MATCH("생크림",'🔖 배합비 참조'!$A$2:$A$83,0),MATCH($C227,'🔖 배합비 참조'!$B$1:$CE$1,0))/100,0),""))),"")</f>
        <v>0</v>
      </c>
      <c r="AY227" s="39" t="n">
        <f aca="false">IFERROR(IF($C227="","",IF($D227="","",IFERROR(ROUND($D227*INDEX('🔖 배합비 참조'!$B$2:$CE$83,MATCH("서양호박(국내산,뉴질랜드산)",'🔖 배합비 참조'!$A$2:$A$83,0),MATCH($C227,'🔖 배합비 참조'!$B$1:$CE$1,0))/100,0),""))),"")</f>
        <v>0</v>
      </c>
      <c r="AZ227" s="39" t="n">
        <f aca="false">IFERROR(IF($C227="","",IF($D227="","",IFERROR(ROUND($D227*INDEX('🔖 배합비 참조'!$B$2:$CE$83,MATCH("설탕",'🔖 배합비 참조'!$A$2:$A$83,0),MATCH($C227,'🔖 배합비 참조'!$B$1:$CE$1,0))/100,0),""))),"")</f>
        <v>4</v>
      </c>
      <c r="BA227" s="39" t="n">
        <f aca="false">IFERROR(IF($C227="","",IF($D227="","",IFERROR(ROUND($D227*INDEX('🔖 배합비 참조'!$B$2:$CE$83,MATCH("스트로우베리 에이드 후레쉬",'🔖 배합비 참조'!$A$2:$A$83,0),MATCH($C227,'🔖 배합비 참조'!$B$1:$CE$1,0))/100,0),""))),"")</f>
        <v>0</v>
      </c>
      <c r="BB227" s="39" t="n">
        <f aca="false">IFERROR(IF($C227="","",IF($D227="","",IFERROR(ROUND($D227*INDEX('🔖 배합비 참조'!$B$2:$CE$83,MATCH("식물성기름혼합제제(분홍)",'🔖 배합비 참조'!$A$2:$A$83,0),MATCH($C227,'🔖 배합비 참조'!$B$1:$CE$1,0))/100,0),""))),"")</f>
        <v>0</v>
      </c>
      <c r="BC227" s="39" t="n">
        <f aca="false">IFERROR(IF($C227="","",IF($D227="","",IFERROR(ROUND($D227*INDEX('🔖 배합비 참조'!$B$2:$CE$83,MATCH("식물성기름혼합제제(초록)",'🔖 배합비 참조'!$A$2:$A$83,0),MATCH($C227,'🔖 배합비 참조'!$B$1:$CE$1,0))/100,0),""))),"")</f>
        <v>0</v>
      </c>
      <c r="BD227" s="39" t="n">
        <f aca="false">IFERROR(IF($C227="","",IF($D227="","",IFERROR(ROUND($D227*INDEX('🔖 배합비 참조'!$B$2:$CE$83,MATCH("식물성기름혼합제제(황색)",'🔖 배합비 참조'!$A$2:$A$83,0),MATCH($C227,'🔖 배합비 참조'!$B$1:$CE$1,0))/100,0),""))),"")</f>
        <v>0</v>
      </c>
      <c r="BE227" s="39" t="n">
        <f aca="false">IFERROR(IF($C227="","",IF($D227="","",IFERROR(ROUND($D227*INDEX('🔖 배합비 참조'!$B$2:$CE$83,MATCH("쑥가루(국내산)",'🔖 배합비 참조'!$A$2:$A$83,0),MATCH($C227,'🔖 배합비 참조'!$B$1:$CE$1,0))/100,0),""))),"")</f>
        <v>2</v>
      </c>
      <c r="BF227" s="39" t="n">
        <f aca="false">IFERROR(IF($C227="","",IF($D227="","",IFERROR(ROUND($D227*INDEX('🔖 배합비 참조'!$B$2:$CE$83,MATCH("아몬드슬라이스",'🔖 배합비 참조'!$A$2:$A$83,0),MATCH($C227,'🔖 배합비 참조'!$B$1:$CE$1,0))/100,0),""))),"")</f>
        <v>0</v>
      </c>
      <c r="BG227" s="39" t="n">
        <f aca="false">IFERROR(IF($C227="","",IF($D227="","",IFERROR(ROUND($D227*INDEX('🔖 배합비 참조'!$B$2:$CE$83,MATCH("알룰로오스(국내산)",'🔖 배합비 참조'!$A$2:$A$83,0),MATCH($C227,'🔖 배합비 참조'!$B$1:$CE$1,0))/100,0),""))),"")</f>
        <v>0</v>
      </c>
      <c r="BH227" s="39" t="n">
        <f aca="false">IFERROR(IF($C227="","",IF($D227="","",IFERROR(ROUND($D227*INDEX('🔖 배합비 참조'!$B$2:$CE$83,MATCH("연유",'🔖 배합비 참조'!$A$2:$A$83,0),MATCH($C227,'🔖 배합비 참조'!$B$1:$CE$1,0))/100,0),""))),"")</f>
        <v>0</v>
      </c>
      <c r="BI227" s="39" t="n">
        <f aca="false">IFERROR(IF($C227="","",IF($D227="","",IFERROR(ROUND($D227*INDEX('🔖 배합비 참조'!$B$2:$CE$83,MATCH("옥수수전분",'🔖 배합비 참조'!$A$2:$A$83,0),MATCH($C227,'🔖 배합비 참조'!$B$1:$CE$1,0))/100,0),""))),"")</f>
        <v>0</v>
      </c>
      <c r="BJ227" s="39" t="n">
        <f aca="false">IFERROR(IF($C227="","",IF($D227="","",IFERROR(ROUND($D227*INDEX('🔖 배합비 참조'!$B$2:$CE$83,MATCH("완두배기",'🔖 배합비 참조'!$A$2:$A$83,0),MATCH($C227,'🔖 배합비 참조'!$B$1:$CE$1,0))/100,0),""))),"")</f>
        <v>0</v>
      </c>
      <c r="BK227" s="39" t="n">
        <f aca="false">IFERROR(IF($C227="","",IF($D227="","",IFERROR(ROUND($D227*INDEX('🔖 배합비 참조'!$B$2:$CE$83,MATCH("우유(국내산)",'🔖 배합비 참조'!$A$2:$A$83,0),MATCH($C227,'🔖 배합비 참조'!$B$1:$CE$1,0))/100,0),""))),"")</f>
        <v>0</v>
      </c>
      <c r="BL227" s="39" t="n">
        <f aca="false">IFERROR(IF($C227="","",IF($D227="","",IFERROR(ROUND($D227*INDEX('🔖 배합비 참조'!$B$2:$CE$83,MATCH("자색고구마가루(중국산)",'🔖 배합비 참조'!$A$2:$A$83,0),MATCH($C227,'🔖 배합비 참조'!$B$1:$CE$1,0))/100,0),""))),"")</f>
        <v>0</v>
      </c>
      <c r="BM227" s="39" t="n">
        <f aca="false">IFERROR(IF($C227="","",IF($D227="","",IFERROR(ROUND($D227*INDEX('🔖 배합비 참조'!$B$2:$CE$83,MATCH("자연치즈(체다치즈)",'🔖 배합비 참조'!$A$2:$A$83,0),MATCH($C227,'🔖 배합비 참조'!$B$1:$CE$1,0))/100,0),""))),"")</f>
        <v>0</v>
      </c>
      <c r="BN227" s="39" t="n">
        <f aca="false">IFERROR(IF($C227="","",IF($D227="","",IFERROR(ROUND($D227*INDEX('🔖 배합비 참조'!$B$2:$CE$83,MATCH("정제수",'🔖 배합비 참조'!$A$2:$A$83,0),MATCH($C227,'🔖 배합비 참조'!$B$1:$CE$1,0))/100,0),""))),"")</f>
        <v>26</v>
      </c>
      <c r="BO227" s="39" t="n">
        <f aca="false">IFERROR(IF($C227="","",IF($D227="","",IFERROR(ROUND($D227*INDEX('🔖 배합비 참조'!$B$2:$CE$83,MATCH("젤라틴",'🔖 배합비 참조'!$A$2:$A$83,0),MATCH($C227,'🔖 배합비 참조'!$B$1:$CE$1,0))/100,0),""))),"")</f>
        <v>0</v>
      </c>
      <c r="BP227" s="39" t="n">
        <f aca="false">IFERROR(IF($C227="","",IF($D227="","",IFERROR(ROUND($D227*INDEX('🔖 배합비 참조'!$B$2:$CE$83,MATCH("조림류(백옥앙금)",'🔖 배합비 참조'!$A$2:$A$83,0),MATCH($C227,'🔖 배합비 참조'!$B$1:$CE$1,0))/100,0),""))),"")</f>
        <v>55</v>
      </c>
      <c r="BQ227" s="39" t="n">
        <f aca="false">IFERROR(IF($C227="","",IF($D227="","",IFERROR(ROUND($D227*INDEX('🔖 배합비 참조'!$B$2:$CE$83,MATCH("조림류(통팥앙금)",'🔖 배합비 참조'!$A$2:$A$83,0),MATCH($C227,'🔖 배합비 참조'!$B$1:$CE$1,0))/100,0),""))),"")</f>
        <v>0</v>
      </c>
      <c r="BR227" s="39" t="n">
        <f aca="false">IFERROR(IF($C227="","",IF($D227="","",IFERROR(ROUND($D227*INDEX('🔖 배합비 참조'!$B$2:$CE$83,MATCH("준초콜릿(외국산)",'🔖 배합비 참조'!$A$2:$A$83,0),MATCH($C227,'🔖 배합비 참조'!$B$1:$CE$1,0))/100,0),""))),"")</f>
        <v>0</v>
      </c>
      <c r="BS227" s="39" t="n">
        <f aca="false">IFERROR(IF($C227="","",IF($D227="","",IFERROR(ROUND($D227*INDEX('🔖 배합비 참조'!$B$2:$CE$83,MATCH("중력분",'🔖 배합비 참조'!$A$2:$A$83,0),MATCH($C227,'🔖 배합비 참조'!$B$1:$CE$1,0))/100,0),""))),"")</f>
        <v>2</v>
      </c>
      <c r="BT227" s="39" t="n">
        <f aca="false">IFERROR(IF($C227="","",IF($D227="","",IFERROR(ROUND($D227*INDEX('🔖 배합비 참조'!$B$2:$CE$83,MATCH("참깨(인도산,나이지리아산,탄자니아산,미얀마산)",'🔖 배합비 참조'!$A$2:$A$83,0),MATCH($C227,'🔖 배합비 참조'!$B$1:$CE$1,0))/100,0),""))),"")</f>
        <v>0</v>
      </c>
      <c r="BU227" s="39" t="n">
        <f aca="false">IFERROR(IF($C227="","",IF($D227="","",IFERROR(ROUND($D227*INDEX('🔖 배합비 참조'!$B$2:$CE$83,MATCH("찹쌀(국내산)",'🔖 배합비 참조'!$A$2:$A$83,0),MATCH($C227,'🔖 배합비 참조'!$B$1:$CE$1,0))/100,0),""))),"")</f>
        <v>87</v>
      </c>
      <c r="BV227" s="39" t="n">
        <f aca="false">IFERROR(IF($C227="","",IF($D227="","",IFERROR(ROUND($D227*INDEX('🔖 배합비 참조'!$B$2:$CE$83,MATCH("천일염",'🔖 배합비 참조'!$A$2:$A$83,0),MATCH($C227,'🔖 배합비 참조'!$B$1:$CE$1,0))/100,0),""))),"")</f>
        <v>2</v>
      </c>
      <c r="BW227" s="39" t="n">
        <f aca="false">IFERROR(IF($C227="","",IF($D227="","",IFERROR(ROUND($D227*INDEX('🔖 배합비 참조'!$B$2:$CE$83,MATCH("치즈 [크림치즈]",'🔖 배합비 참조'!$A$2:$A$83,0),MATCH($C227,'🔖 배합비 참조'!$B$1:$CE$1,0))/100,0),""))),"")</f>
        <v>0</v>
      </c>
      <c r="BX227" s="39" t="n">
        <f aca="false">IFERROR(IF($C227="","",IF($D227="","",IFERROR(ROUND($D227*INDEX('🔖 배합비 참조'!$B$2:$CE$83,MATCH("코코아가공품류(코코아분말)",'🔖 배합비 참조'!$A$2:$A$83,0),MATCH($C227,'🔖 배합비 참조'!$B$1:$CE$1,0))/100,0),""))),"")</f>
        <v>0</v>
      </c>
      <c r="BY227" s="39" t="n">
        <f aca="false">IFERROR(IF($C227="","",IF($D227="","",IFERROR(ROUND($D227*INDEX('🔖 배합비 참조'!$B$2:$CE$83,MATCH("콩기름(대두유)",'🔖 배합비 참조'!$A$2:$A$83,0),MATCH($C227,'🔖 배합비 참조'!$B$1:$CE$1,0))/100,0),""))),"")</f>
        <v>0</v>
      </c>
      <c r="BZ227" s="39" t="n">
        <f aca="false">IFERROR(IF($C227="","",IF($D227="","",IFERROR(ROUND($D227*INDEX('🔖 배합비 참조'!$B$2:$CE$83,MATCH("해바라기씨앗",'🔖 배합비 참조'!$A$2:$A$83,0),MATCH($C227,'🔖 배합비 참조'!$B$1:$CE$1,0))/100,0),""))),"")</f>
        <v>0</v>
      </c>
      <c r="CA227" s="39" t="n">
        <f aca="false">IFERROR(IF($C227="","",IF($D227="","",IFERROR(ROUND($D227*INDEX('🔖 배합비 참조'!$B$2:$CE$83,MATCH("현미(국내산)",'🔖 배합비 참조'!$A$2:$A$83,0),MATCH($C227,'🔖 배합비 참조'!$B$1:$CE$1,0))/100,0),""))),"")</f>
        <v>0</v>
      </c>
      <c r="CB227" s="39" t="n">
        <f aca="false">IFERROR(IF($C227="","",IF($D227="","",IFERROR(ROUND($D227*INDEX('🔖 배합비 참조'!$B$2:$CE$83,MATCH("현미멥쌀(국내산)",'🔖 배합비 참조'!$A$2:$A$83,0),MATCH($C227,'🔖 배합비 참조'!$B$1:$CE$1,0))/100,0),""))),"")</f>
        <v>0</v>
      </c>
      <c r="CC227" s="39" t="n">
        <f aca="false">IFERROR(IF($C227="","",IF($D227="","",IFERROR(ROUND($D227*INDEX('🔖 배합비 참조'!$B$2:$CE$83,MATCH("호두분태(미국산)",'🔖 배합비 참조'!$A$2:$A$83,0),MATCH($C227,'🔖 배합비 참조'!$B$1:$CE$1,0))/100,0),""))),"")</f>
        <v>0</v>
      </c>
      <c r="CD227" s="39" t="n">
        <f aca="false">IFERROR(IF($C227="","",IF($D227="","",IFERROR(ROUND($D227*INDEX('🔖 배합비 참조'!$B$2:$CE$83,MATCH("호박씨앗(외국산)",'🔖 배합비 참조'!$A$2:$A$83,0),MATCH($C227,'🔖 배합비 참조'!$B$1:$CE$1,0))/100,0),""))),"")</f>
        <v>0</v>
      </c>
      <c r="CE227" s="39" t="n">
        <f aca="false">IFERROR(IF($C227="","",IF($D227="","",IFERROR(ROUND($D227*INDEX('🔖 배합비 참조'!$B$2:$CE$83,MATCH("혼합제제(떡용에스텔)",'🔖 배합비 참조'!$A$2:$A$83,0),MATCH($C227,'🔖 배합비 참조'!$B$1:$CE$1,0))/100,0),""))),"")</f>
        <v>1</v>
      </c>
      <c r="CF227" s="39" t="n">
        <f aca="false">IFERROR(IF($C227="","",IF($D227="","",IFERROR(ROUND($D227*INDEX('🔖 배합비 참조'!$B$2:$CE$83,MATCH("혼합제제(스테비아)",'🔖 배합비 참조'!$A$2:$A$83,0),MATCH($C227,'🔖 배합비 참조'!$B$1:$CE$1,0))/100,0),""))),"")</f>
        <v>0</v>
      </c>
      <c r="CG227" s="39" t="n">
        <f aca="false">IFERROR(IF($C227="","",IF($D227="","",IFERROR(ROUND($D227*INDEX('🔖 배합비 참조'!$B$2:$CE$83,MATCH("화이트초콜릿",'🔖 배합비 참조'!$A$2:$A$83,0),MATCH($C227,'🔖 배합비 참조'!$B$1:$CE$1,0))/100,0),""))),"")</f>
        <v>0</v>
      </c>
      <c r="CH227" s="39" t="n">
        <f aca="false">IFERROR(IF($C227="","",IF($D227="","",IFERROR(ROUND($D227*INDEX('🔖 배합비 참조'!$B$2:$CE$83,MATCH("흑미찹쌀(국내산)",'🔖 배합비 참조'!$A$2:$A$83,0),MATCH($C227,'🔖 배합비 참조'!$B$1:$CE$1,0))/100,0),""))),"")</f>
        <v>0</v>
      </c>
      <c r="CI227" s="39" t="n">
        <f aca="false">IFERROR(IF($C227="","",IF($D227="","",IFERROR(ROUND($D227*INDEX('🔖 배합비 참조'!$B$2:$CE$83,MATCH("찰옥수수전분(미국산)",'🔖 배합비 참조'!$A$2:$A$83,0),MATCH($C227,'🔖 배합비 참조'!$B$1:$CE$1,0))/100,0),""))),"")</f>
        <v>0</v>
      </c>
      <c r="CJ227" s="40"/>
      <c r="CL227" s="1" t="s">
        <v>247</v>
      </c>
    </row>
    <row r="228" customFormat="false" ht="18" hidden="false" customHeight="true" outlineLevel="0" collapsed="false">
      <c r="A228" s="41" t="n">
        <v>224</v>
      </c>
      <c r="B228" s="36" t="n">
        <v>46064</v>
      </c>
      <c r="C228" s="37" t="s">
        <v>191</v>
      </c>
      <c r="D228" s="38" t="n">
        <v>1100</v>
      </c>
      <c r="E228" s="17"/>
      <c r="F228" s="17"/>
      <c r="G228" s="42" t="n">
        <f aca="false">IFERROR(IF($C228="","",IF($D228="","",IFERROR(ROUND($D228*INDEX('🔖 배합비 참조'!$B$2:$CE$83,MATCH("간장",'🔖 배합비 참조'!$A$2:$A$83,0),MATCH($C228,'🔖 배합비 참조'!$B$1:$CE$1,0))/100,0),""))),"")</f>
        <v>0</v>
      </c>
      <c r="H228" s="42" t="n">
        <f aca="false">IFERROR(IF($C228="","",IF($D228="","",IFERROR(ROUND($D228*INDEX('🔖 배합비 참조'!$B$2:$CE$83,MATCH("강낭콩((울타리콩))",'🔖 배합비 참조'!$A$2:$A$83,0),MATCH($C228,'🔖 배합비 참조'!$B$1:$CE$1,0))/100,0),""))),"")</f>
        <v>0</v>
      </c>
      <c r="I228" s="42" t="n">
        <f aca="false">IFERROR(IF($C228="","",IF($D228="","",IFERROR(ROUND($D228*INDEX('🔖 배합비 참조'!$B$2:$CE$83,MATCH("건조딸기다이스(외국산)",'🔖 배합비 참조'!$A$2:$A$83,0),MATCH($C228,'🔖 배합비 참조'!$B$1:$CE$1,0))/100,0),""))),"")</f>
        <v>0</v>
      </c>
      <c r="J228" s="42" t="n">
        <f aca="false">IFERROR(IF($C228="","",IF($D228="","",IFERROR(ROUND($D228*INDEX('🔖 배합비 참조'!$B$2:$CE$83,MATCH("건포도",'🔖 배합비 참조'!$A$2:$A$83,0),MATCH($C228,'🔖 배합비 참조'!$B$1:$CE$1,0))/100,0),""))),"")</f>
        <v>0</v>
      </c>
      <c r="K228" s="42" t="n">
        <f aca="false">IFERROR(IF($C228="","",IF($D228="","",IFERROR(ROUND($D228*INDEX('🔖 배합비 참조'!$B$2:$CE$83,MATCH("건호박채(중국산)",'🔖 배합비 참조'!$A$2:$A$83,0),MATCH($C228,'🔖 배합비 참조'!$B$1:$CE$1,0))/100,0),""))),"")</f>
        <v>0</v>
      </c>
      <c r="L228" s="42" t="n">
        <f aca="false">IFERROR(IF($C228="","",IF($D228="","",IFERROR(ROUND($D228*INDEX('🔖 배합비 참조'!$B$2:$CE$83,MATCH("검정깨(흑임자)",'🔖 배합비 참조'!$A$2:$A$83,0),MATCH($C228,'🔖 배합비 참조'!$B$1:$CE$1,0))/100,0),""))),"")</f>
        <v>0</v>
      </c>
      <c r="M228" s="42" t="n">
        <f aca="false">IFERROR(IF($C228="","",IF($D228="","",IFERROR(ROUND($D228*INDEX('🔖 배합비 참조'!$B$2:$CE$83,MATCH("검정콩",'🔖 배합비 참조'!$A$2:$A$83,0),MATCH($C228,'🔖 배합비 참조'!$B$1:$CE$1,0))/100,0),""))),"")</f>
        <v>0</v>
      </c>
      <c r="N228" s="42" t="n">
        <f aca="false">IFERROR(IF($C228="","",IF($D228="","",IFERROR(ROUND($D228*INDEX('🔖 배합비 참조'!$B$2:$CE$83,MATCH("계피가루",'🔖 배합비 참조'!$A$2:$A$83,0),MATCH($C228,'🔖 배합비 참조'!$B$1:$CE$1,0))/100,0),""))),"")</f>
        <v>0</v>
      </c>
      <c r="O228" s="42" t="n">
        <f aca="false">IFERROR(IF($C228="","",IF($D228="","",IFERROR(ROUND($D228*INDEX('🔖 배합비 참조'!$B$2:$CE$83,MATCH("고구마가루",'🔖 배합비 참조'!$A$2:$A$83,0),MATCH($C228,'🔖 배합비 참조'!$B$1:$CE$1,0))/100,0),""))),"")</f>
        <v>0</v>
      </c>
      <c r="P228" s="42" t="n">
        <f aca="false">IFERROR(IF($C228="","",IF($D228="","",IFERROR(ROUND($D228*INDEX('🔖 배합비 참조'!$B$2:$CE$83,MATCH("고구마무스",'🔖 배합비 참조'!$A$2:$A$83,0),MATCH($C228,'🔖 배합비 참조'!$B$1:$CE$1,0))/100,0),""))),"")</f>
        <v>0</v>
      </c>
      <c r="Q228" s="42" t="n">
        <f aca="false">IFERROR(IF($C228="","",IF($D228="","",IFERROR(ROUND($D228*INDEX('🔖 배합비 참조'!$B$2:$CE$83,MATCH("고려엉겅퀴((곤드레)국내산)",'🔖 배합비 참조'!$A$2:$A$83,0),MATCH($C228,'🔖 배합비 참조'!$B$1:$CE$1,0))/100,0),""))),"")</f>
        <v>0</v>
      </c>
      <c r="R228" s="42" t="n">
        <f aca="false">IFERROR(IF($C228="","",IF($D228="","",IFERROR(ROUND($D228*INDEX('🔖 배합비 참조'!$B$2:$CE$83,MATCH("기타가공품(복분자가루)",'🔖 배합비 참조'!$A$2:$A$83,0),MATCH($C228,'🔖 배합비 참조'!$B$1:$CE$1,0))/100,0),""))),"")</f>
        <v>0</v>
      </c>
      <c r="S228" s="42" t="n">
        <f aca="false">IFERROR(IF($C228="","",IF($D228="","",IFERROR(ROUND($D228*INDEX('🔖 배합비 참조'!$B$2:$CE$83,MATCH("기타가공품(슈퍼소프트엠)",'🔖 배합비 참조'!$A$2:$A$83,0),MATCH($C228,'🔖 배합비 참조'!$B$1:$CE$1,0))/100,0),""))),"")</f>
        <v>0</v>
      </c>
      <c r="T228" s="42" t="n">
        <f aca="false">IFERROR(IF($C228="","",IF($D228="","",IFERROR(ROUND($D228*INDEX('🔖 배합비 참조'!$B$2:$CE$83,MATCH("기타가공품(파인소프트 E-티)",'🔖 배합비 참조'!$A$2:$A$83,0),MATCH($C228,'🔖 배합비 참조'!$B$1:$CE$1,0))/100,0),""))),"")</f>
        <v>0</v>
      </c>
      <c r="U228" s="42" t="n">
        <f aca="false">IFERROR(IF($C228="","",IF($D228="","",IFERROR(ROUND($D228*INDEX('🔖 배합비 참조'!$B$2:$CE$83,MATCH("기타가공품(프리미엄카스테라가루)",'🔖 배합비 참조'!$A$2:$A$83,0),MATCH($C228,'🔖 배합비 참조'!$B$1:$CE$1,0))/100,0),""))),"")</f>
        <v>0</v>
      </c>
      <c r="V228" s="42" t="n">
        <f aca="false">IFERROR(IF($C228="","",IF($D228="","",IFERROR(ROUND($D228*INDEX('🔖 배합비 참조'!$B$2:$CE$83,MATCH("기타가공품(흑임자가루)",'🔖 배합비 참조'!$A$2:$A$83,0),MATCH($C228,'🔖 배합비 참조'!$B$1:$CE$1,0))/100,0),""))),"")</f>
        <v>0</v>
      </c>
      <c r="W228" s="42" t="n">
        <f aca="false">IFERROR(IF($C228="","",IF($D228="","",IFERROR(ROUND($D228*INDEX('🔖 배합비 참조'!$B$2:$CE$83,MATCH("기타설탕(흑설탕)",'🔖 배합비 참조'!$A$2:$A$83,0),MATCH($C228,'🔖 배합비 참조'!$B$1:$CE$1,0))/100,0),""))),"")</f>
        <v>0</v>
      </c>
      <c r="X228" s="42" t="n">
        <f aca="false">IFERROR(IF($C228="","",IF($D228="","",IFERROR(ROUND($D228*INDEX('🔖 배합비 참조'!$B$2:$CE$83,MATCH("냉동쑥(국내산)",'🔖 배합비 참조'!$A$2:$A$83,0),MATCH($C228,'🔖 배합비 참조'!$B$1:$CE$1,0))/100,0),""))),"")</f>
        <v>0</v>
      </c>
      <c r="Y228" s="42" t="n">
        <f aca="false">IFERROR(IF($C228="","",IF($D228="","",IFERROR(ROUND($D228*INDEX('🔖 배합비 참조'!$B$2:$CE$83,MATCH("냉동증숙고구마(중국산)",'🔖 배합비 참조'!$A$2:$A$83,0),MATCH($C228,'🔖 배합비 참조'!$B$1:$CE$1,0))/100,0),""))),"")</f>
        <v>0</v>
      </c>
      <c r="Z228" s="42" t="n">
        <f aca="false">IFERROR(IF($C228="","",IF($D228="","",IFERROR(ROUND($D228*INDEX('🔖 배합비 참조'!$B$2:$CE$83,MATCH("녹차가루",'🔖 배합비 참조'!$A$2:$A$83,0),MATCH($C228,'🔖 배합비 참조'!$B$1:$CE$1,0))/100,0),""))),"")</f>
        <v>0</v>
      </c>
      <c r="AA228" s="42" t="n">
        <f aca="false">IFERROR(IF($C228="","",IF($D228="","",IFERROR(ROUND($D228*INDEX('🔖 배합비 참조'!$B$2:$CE$83,MATCH("다크초콜릿 컴파운드칩",'🔖 배합비 참조'!$A$2:$A$83,0),MATCH($C228,'🔖 배합비 참조'!$B$1:$CE$1,0))/100,0),""))),"")</f>
        <v>0</v>
      </c>
      <c r="AB228" s="42" t="n">
        <f aca="false">IFERROR(IF($C228="","",IF($D228="","",IFERROR(ROUND($D228*INDEX('🔖 배합비 참조'!$B$2:$CE$83,MATCH("단호박분말(중국산)",'🔖 배합비 참조'!$A$2:$A$83,0),MATCH($C228,'🔖 배합비 참조'!$B$1:$CE$1,0))/100,0),""))),"")</f>
        <v>0</v>
      </c>
      <c r="AC228" s="42" t="n">
        <f aca="false">IFERROR(IF($C228="","",IF($D228="","",IFERROR(ROUND($D228*INDEX('🔖 배합비 참조'!$B$2:$CE$83,MATCH("당류가공품(단호박농축액)",'🔖 배합비 참조'!$A$2:$A$83,0),MATCH($C228,'🔖 배합비 참조'!$B$1:$CE$1,0))/100,0),""))),"")</f>
        <v>0</v>
      </c>
      <c r="AD228" s="42" t="n">
        <f aca="false">IFERROR(IF($C228="","",IF($D228="","",IFERROR(ROUND($D228*INDEX('🔖 배합비 참조'!$B$2:$CE$83,MATCH("당류가공품(알룰로스,에리스리톨,스테비올배당체혼합)",'🔖 배합비 참조'!$A$2:$A$83,0),MATCH($C228,'🔖 배합비 참조'!$B$1:$CE$1,0))/100,0),""))),"")</f>
        <v>0</v>
      </c>
      <c r="AE228" s="42" t="n">
        <f aca="false">IFERROR(IF($C228="","",IF($D228="","",IFERROR(ROUND($D228*INDEX('🔖 배합비 참조'!$B$2:$CE$83,MATCH("당류가공품(알룰로스제로파우더)",'🔖 배합비 참조'!$A$2:$A$83,0),MATCH($C228,'🔖 배합비 참조'!$B$1:$CE$1,0))/100,0),""))),"")</f>
        <v>0</v>
      </c>
      <c r="AF228" s="42" t="n">
        <f aca="false">IFERROR(IF($C228="","",IF($D228="","",IFERROR(ROUND($D228*INDEX('🔖 배합비 참조'!$B$2:$CE$83,MATCH("당절임(완두배기)",'🔖 배합비 참조'!$A$2:$A$83,0),MATCH($C228,'🔖 배합비 참조'!$B$1:$CE$1,0))/100,0),""))),"")</f>
        <v>0</v>
      </c>
      <c r="AG228" s="42" t="n">
        <f aca="false">IFERROR(IF($C228="","",IF($D228="","",IFERROR(ROUND($D228*INDEX('🔖 배합비 참조'!$B$2:$CE$83,MATCH("대추농축액",'🔖 배합비 참조'!$A$2:$A$83,0),MATCH($C228,'🔖 배합비 참조'!$B$1:$CE$1,0))/100,0),""))),"")</f>
        <v>0</v>
      </c>
      <c r="AH228" s="42" t="n">
        <f aca="false">IFERROR(IF($C228="","",IF($D228="","",IFERROR(ROUND($D228*INDEX('🔖 배합비 참조'!$B$2:$CE$83,MATCH("대추채(국내산)",'🔖 배합비 참조'!$A$2:$A$83,0),MATCH($C228,'🔖 배합비 참조'!$B$1:$CE$1,0))/100,0),""))),"")</f>
        <v>0</v>
      </c>
      <c r="AI228" s="42" t="n">
        <f aca="false">IFERROR(IF($C228="","",IF($D228="","",IFERROR(ROUND($D228*INDEX('🔖 배합비 참조'!$B$2:$CE$83,MATCH("동부(미얀마산)",'🔖 배합비 참조'!$A$2:$A$83,0),MATCH($C228,'🔖 배합비 참조'!$B$1:$CE$1,0))/100,0),""))),"")</f>
        <v>0</v>
      </c>
      <c r="AJ228" s="42" t="n">
        <f aca="false">IFERROR(IF($C228="","",IF($D228="","",IFERROR(ROUND($D228*INDEX('🔖 배합비 참조'!$B$2:$CE$83,MATCH("두류가공품(백옥앙금)",'🔖 배합비 참조'!$A$2:$A$83,0),MATCH($C228,'🔖 배합비 참조'!$B$1:$CE$1,0))/100,0),""))),"")</f>
        <v>0</v>
      </c>
      <c r="AK228" s="42" t="n">
        <f aca="false">IFERROR(IF($C228="","",IF($D228="","",IFERROR(ROUND($D228*INDEX('🔖 배합비 참조'!$B$2:$CE$83,MATCH("두류가공품(콩고물)",'🔖 배합비 참조'!$A$2:$A$83,0),MATCH($C228,'🔖 배합비 참조'!$B$1:$CE$1,0))/100,0),""))),"")</f>
        <v>0</v>
      </c>
      <c r="AL228" s="42" t="n">
        <f aca="false">IFERROR(IF($C228="","",IF($D228="","",IFERROR(ROUND($D228*INDEX('🔖 배합비 참조'!$B$2:$CE$83,MATCH("두류가공품(통팥고물)",'🔖 배합비 참조'!$A$2:$A$83,0),MATCH($C228,'🔖 배합비 참조'!$B$1:$CE$1,0))/100,0),""))),"")</f>
        <v>0</v>
      </c>
      <c r="AM228" s="42" t="n">
        <f aca="false">IFERROR(IF($C228="","",IF($D228="","",IFERROR(ROUND($D228*INDEX('🔖 배합비 참조'!$B$2:$CE$83,MATCH("딸기레진",'🔖 배합비 참조'!$A$2:$A$83,0),MATCH($C228,'🔖 배합비 참조'!$B$1:$CE$1,0))/100,0),""))),"")</f>
        <v>0</v>
      </c>
      <c r="AN228" s="42" t="n">
        <f aca="false">IFERROR(IF($C228="","",IF($D228="","",IFERROR(ROUND($D228*INDEX('🔖 배합비 참조'!$B$2:$CE$83,MATCH("딸기분말(스트로우베리에이드(분말))",'🔖 배합비 참조'!$A$2:$A$83,0),MATCH($C228,'🔖 배합비 참조'!$B$1:$CE$1,0))/100,0),""))),"")</f>
        <v>0</v>
      </c>
      <c r="AO228" s="42" t="n">
        <f aca="false">IFERROR(IF($C228="","",IF($D228="","",IFERROR(ROUND($D228*INDEX('🔖 배합비 참조'!$B$2:$CE$83,MATCH("마스카포네치즈",'🔖 배합비 참조'!$A$2:$A$83,0),MATCH($C228,'🔖 배합비 참조'!$B$1:$CE$1,0))/100,0),""))),"")</f>
        <v>0</v>
      </c>
      <c r="AP228" s="42" t="n">
        <f aca="false">IFERROR(IF($C228="","",IF($D228="","",IFERROR(ROUND($D228*INDEX('🔖 배합비 참조'!$B$2:$CE$83,MATCH("마카다미아분태(호주산)",'🔖 배합비 참조'!$A$2:$A$83,0),MATCH($C228,'🔖 배합비 참조'!$B$1:$CE$1,0))/100,0),""))),"")</f>
        <v>0</v>
      </c>
      <c r="AQ228" s="42" t="n">
        <f aca="false">IFERROR(IF($C228="","",IF($D228="","",IFERROR(ROUND($D228*INDEX('🔖 배합비 참조'!$B$2:$CE$83,MATCH("멥쌀(국내산)",'🔖 배합비 참조'!$A$2:$A$83,0),MATCH($C228,'🔖 배합비 참조'!$B$1:$CE$1,0))/100,0),""))),"")</f>
        <v>22</v>
      </c>
      <c r="AR228" s="42" t="n">
        <f aca="false">IFERROR(IF($C228="","",IF($D228="","",IFERROR(ROUND($D228*INDEX('🔖 배합비 참조'!$B$2:$CE$83,MATCH("모시잎(국내산)",'🔖 배합비 참조'!$A$2:$A$83,0),MATCH($C228,'🔖 배합비 참조'!$B$1:$CE$1,0))/100,0),""))),"")</f>
        <v>0</v>
      </c>
      <c r="AS228" s="42" t="n">
        <f aca="false">IFERROR(IF($C228="","",IF($D228="","",IFERROR(ROUND($D228*INDEX('🔖 배합비 참조'!$B$2:$CE$83,MATCH("물엿(저당물엿)",'🔖 배합비 참조'!$A$2:$A$83,0),MATCH($C228,'🔖 배합비 참조'!$B$1:$CE$1,0))/100,0),""))),"")</f>
        <v>0</v>
      </c>
      <c r="AT228" s="42" t="n">
        <f aca="false">IFERROR(IF($C228="","",IF($D228="","",IFERROR(ROUND($D228*INDEX('🔖 배합비 참조'!$B$2:$CE$83,MATCH("밤다이스",'🔖 배합비 참조'!$A$2:$A$83,0),MATCH($C228,'🔖 배합비 참조'!$B$1:$CE$1,0))/100,0),""))),"")</f>
        <v>0</v>
      </c>
      <c r="AU228" s="42" t="n">
        <f aca="false">IFERROR(IF($C228="","",IF($D228="","",IFERROR(ROUND($D228*INDEX('🔖 배합비 참조'!$B$2:$CE$83,MATCH("변성전분(타피오카전분)",'🔖 배합비 참조'!$A$2:$A$83,0),MATCH($C228,'🔖 배합비 참조'!$B$1:$CE$1,0))/100,0),""))),"")</f>
        <v>0</v>
      </c>
      <c r="AV228" s="42" t="n">
        <f aca="false">IFERROR(IF($C228="","",IF($D228="","",IFERROR(ROUND($D228*INDEX('🔖 배합비 참조'!$B$2:$CE$83,MATCH("복음땅콩분태",'🔖 배합비 참조'!$A$2:$A$83,0),MATCH($C228,'🔖 배합비 참조'!$B$1:$CE$1,0))/100,0),""))),"")</f>
        <v>0</v>
      </c>
      <c r="AW228" s="42" t="n">
        <f aca="false">IFERROR(IF($C228="","",IF($D228="","",IFERROR(ROUND($D228*INDEX('🔖 배합비 참조'!$B$2:$CE$83,MATCH("사양벌꿀(국내산)",'🔖 배합비 참조'!$A$2:$A$83,0),MATCH($C228,'🔖 배합비 참조'!$B$1:$CE$1,0))/100,0),""))),"")</f>
        <v>0</v>
      </c>
      <c r="AX228" s="42" t="n">
        <f aca="false">IFERROR(IF($C228="","",IF($D228="","",IFERROR(ROUND($D228*INDEX('🔖 배합비 참조'!$B$2:$CE$83,MATCH("생크림",'🔖 배합비 참조'!$A$2:$A$83,0),MATCH($C228,'🔖 배합비 참조'!$B$1:$CE$1,0))/100,0),""))),"")</f>
        <v>0</v>
      </c>
      <c r="AY228" s="42" t="n">
        <f aca="false">IFERROR(IF($C228="","",IF($D228="","",IFERROR(ROUND($D228*INDEX('🔖 배합비 참조'!$B$2:$CE$83,MATCH("서양호박(국내산,뉴질랜드산)",'🔖 배합비 참조'!$A$2:$A$83,0),MATCH($C228,'🔖 배합비 참조'!$B$1:$CE$1,0))/100,0),""))),"")</f>
        <v>0</v>
      </c>
      <c r="AZ228" s="42" t="n">
        <f aca="false">IFERROR(IF($C228="","",IF($D228="","",IFERROR(ROUND($D228*INDEX('🔖 배합비 참조'!$B$2:$CE$83,MATCH("설탕",'🔖 배합비 참조'!$A$2:$A$83,0),MATCH($C228,'🔖 배합비 참조'!$B$1:$CE$1,0))/100,0),""))),"")</f>
        <v>209</v>
      </c>
      <c r="BA228" s="42" t="n">
        <f aca="false">IFERROR(IF($C228="","",IF($D228="","",IFERROR(ROUND($D228*INDEX('🔖 배합비 참조'!$B$2:$CE$83,MATCH("스트로우베리 에이드 후레쉬",'🔖 배합비 참조'!$A$2:$A$83,0),MATCH($C228,'🔖 배합비 참조'!$B$1:$CE$1,0))/100,0),""))),"")</f>
        <v>0</v>
      </c>
      <c r="BB228" s="42" t="n">
        <f aca="false">IFERROR(IF($C228="","",IF($D228="","",IFERROR(ROUND($D228*INDEX('🔖 배합비 참조'!$B$2:$CE$83,MATCH("식물성기름혼합제제(분홍)",'🔖 배합비 참조'!$A$2:$A$83,0),MATCH($C228,'🔖 배합비 참조'!$B$1:$CE$1,0))/100,0),""))),"")</f>
        <v>0</v>
      </c>
      <c r="BC228" s="42" t="n">
        <f aca="false">IFERROR(IF($C228="","",IF($D228="","",IFERROR(ROUND($D228*INDEX('🔖 배합비 참조'!$B$2:$CE$83,MATCH("식물성기름혼합제제(초록)",'🔖 배합비 참조'!$A$2:$A$83,0),MATCH($C228,'🔖 배합비 참조'!$B$1:$CE$1,0))/100,0),""))),"")</f>
        <v>0</v>
      </c>
      <c r="BD228" s="42" t="n">
        <f aca="false">IFERROR(IF($C228="","",IF($D228="","",IFERROR(ROUND($D228*INDEX('🔖 배합비 참조'!$B$2:$CE$83,MATCH("식물성기름혼합제제(황색)",'🔖 배합비 참조'!$A$2:$A$83,0),MATCH($C228,'🔖 배합비 참조'!$B$1:$CE$1,0))/100,0),""))),"")</f>
        <v>0</v>
      </c>
      <c r="BE228" s="42" t="n">
        <f aca="false">IFERROR(IF($C228="","",IF($D228="","",IFERROR(ROUND($D228*INDEX('🔖 배합비 참조'!$B$2:$CE$83,MATCH("쑥가루(국내산)",'🔖 배합비 참조'!$A$2:$A$83,0),MATCH($C228,'🔖 배합비 참조'!$B$1:$CE$1,0))/100,0),""))),"")</f>
        <v>0</v>
      </c>
      <c r="BF228" s="42" t="n">
        <f aca="false">IFERROR(IF($C228="","",IF($D228="","",IFERROR(ROUND($D228*INDEX('🔖 배합비 참조'!$B$2:$CE$83,MATCH("아몬드슬라이스",'🔖 배합비 참조'!$A$2:$A$83,0),MATCH($C228,'🔖 배합비 참조'!$B$1:$CE$1,0))/100,0),""))),"")</f>
        <v>0</v>
      </c>
      <c r="BG228" s="42" t="n">
        <f aca="false">IFERROR(IF($C228="","",IF($D228="","",IFERROR(ROUND($D228*INDEX('🔖 배합비 참조'!$B$2:$CE$83,MATCH("알룰로오스(국내산)",'🔖 배합비 참조'!$A$2:$A$83,0),MATCH($C228,'🔖 배합비 참조'!$B$1:$CE$1,0))/100,0),""))),"")</f>
        <v>0</v>
      </c>
      <c r="BH228" s="42" t="n">
        <f aca="false">IFERROR(IF($C228="","",IF($D228="","",IFERROR(ROUND($D228*INDEX('🔖 배합비 참조'!$B$2:$CE$83,MATCH("연유",'🔖 배합비 참조'!$A$2:$A$83,0),MATCH($C228,'🔖 배합비 참조'!$B$1:$CE$1,0))/100,0),""))),"")</f>
        <v>0</v>
      </c>
      <c r="BI228" s="42" t="n">
        <f aca="false">IFERROR(IF($C228="","",IF($D228="","",IFERROR(ROUND($D228*INDEX('🔖 배합비 참조'!$B$2:$CE$83,MATCH("옥수수전분",'🔖 배합비 참조'!$A$2:$A$83,0),MATCH($C228,'🔖 배합비 참조'!$B$1:$CE$1,0))/100,0),""))),"")</f>
        <v>0</v>
      </c>
      <c r="BJ228" s="42" t="n">
        <f aca="false">IFERROR(IF($C228="","",IF($D228="","",IFERROR(ROUND($D228*INDEX('🔖 배합비 참조'!$B$2:$CE$83,MATCH("완두배기",'🔖 배합비 참조'!$A$2:$A$83,0),MATCH($C228,'🔖 배합비 참조'!$B$1:$CE$1,0))/100,0),""))),"")</f>
        <v>0</v>
      </c>
      <c r="BK228" s="42" t="n">
        <f aca="false">IFERROR(IF($C228="","",IF($D228="","",IFERROR(ROUND($D228*INDEX('🔖 배합비 참조'!$B$2:$CE$83,MATCH("우유(국내산)",'🔖 배합비 참조'!$A$2:$A$83,0),MATCH($C228,'🔖 배합비 참조'!$B$1:$CE$1,0))/100,0),""))),"")</f>
        <v>0</v>
      </c>
      <c r="BL228" s="42" t="n">
        <f aca="false">IFERROR(IF($C228="","",IF($D228="","",IFERROR(ROUND($D228*INDEX('🔖 배합비 참조'!$B$2:$CE$83,MATCH("자색고구마가루(중국산)",'🔖 배합비 참조'!$A$2:$A$83,0),MATCH($C228,'🔖 배합비 참조'!$B$1:$CE$1,0))/100,0),""))),"")</f>
        <v>0</v>
      </c>
      <c r="BM228" s="42" t="n">
        <f aca="false">IFERROR(IF($C228="","",IF($D228="","",IFERROR(ROUND($D228*INDEX('🔖 배합비 참조'!$B$2:$CE$83,MATCH("자연치즈(체다치즈)",'🔖 배합비 참조'!$A$2:$A$83,0),MATCH($C228,'🔖 배합비 참조'!$B$1:$CE$1,0))/100,0),""))),"")</f>
        <v>0</v>
      </c>
      <c r="BN228" s="42" t="n">
        <f aca="false">IFERROR(IF($C228="","",IF($D228="","",IFERROR(ROUND($D228*INDEX('🔖 배합비 참조'!$B$2:$CE$83,MATCH("정제수",'🔖 배합비 참조'!$A$2:$A$83,0),MATCH($C228,'🔖 배합비 참조'!$B$1:$CE$1,0))/100,0),""))),"")</f>
        <v>33</v>
      </c>
      <c r="BO228" s="42" t="n">
        <f aca="false">IFERROR(IF($C228="","",IF($D228="","",IFERROR(ROUND($D228*INDEX('🔖 배합비 참조'!$B$2:$CE$83,MATCH("젤라틴",'🔖 배합비 참조'!$A$2:$A$83,0),MATCH($C228,'🔖 배합비 참조'!$B$1:$CE$1,0))/100,0),""))),"")</f>
        <v>0</v>
      </c>
      <c r="BP228" s="42" t="n">
        <f aca="false">IFERROR(IF($C228="","",IF($D228="","",IFERROR(ROUND($D228*INDEX('🔖 배합비 참조'!$B$2:$CE$83,MATCH("조림류(백옥앙금)",'🔖 배합비 참조'!$A$2:$A$83,0),MATCH($C228,'🔖 배합비 참조'!$B$1:$CE$1,0))/100,0),""))),"")</f>
        <v>0</v>
      </c>
      <c r="BQ228" s="42" t="n">
        <f aca="false">IFERROR(IF($C228="","",IF($D228="","",IFERROR(ROUND($D228*INDEX('🔖 배합비 참조'!$B$2:$CE$83,MATCH("조림류(통팥앙금)",'🔖 배합비 참조'!$A$2:$A$83,0),MATCH($C228,'🔖 배합비 참조'!$B$1:$CE$1,0))/100,0),""))),"")</f>
        <v>198</v>
      </c>
      <c r="BR228" s="42" t="n">
        <f aca="false">IFERROR(IF($C228="","",IF($D228="","",IFERROR(ROUND($D228*INDEX('🔖 배합비 참조'!$B$2:$CE$83,MATCH("준초콜릿(외국산)",'🔖 배합비 참조'!$A$2:$A$83,0),MATCH($C228,'🔖 배합비 참조'!$B$1:$CE$1,0))/100,0),""))),"")</f>
        <v>0</v>
      </c>
      <c r="BS228" s="42" t="n">
        <f aca="false">IFERROR(IF($C228="","",IF($D228="","",IFERROR(ROUND($D228*INDEX('🔖 배합비 참조'!$B$2:$CE$83,MATCH("중력분",'🔖 배합비 참조'!$A$2:$A$83,0),MATCH($C228,'🔖 배합비 참조'!$B$1:$CE$1,0))/100,0),""))),"")</f>
        <v>22</v>
      </c>
      <c r="BT228" s="42" t="n">
        <f aca="false">IFERROR(IF($C228="","",IF($D228="","",IFERROR(ROUND($D228*INDEX('🔖 배합비 참조'!$B$2:$CE$83,MATCH("참깨(인도산,나이지리아산,탄자니아산,미얀마산)",'🔖 배합비 참조'!$A$2:$A$83,0),MATCH($C228,'🔖 배합비 참조'!$B$1:$CE$1,0))/100,0),""))),"")</f>
        <v>0</v>
      </c>
      <c r="BU228" s="42" t="n">
        <f aca="false">IFERROR(IF($C228="","",IF($D228="","",IFERROR(ROUND($D228*INDEX('🔖 배합비 참조'!$B$2:$CE$83,MATCH("찹쌀(국내산)",'🔖 배합비 참조'!$A$2:$A$83,0),MATCH($C228,'🔖 배합비 참조'!$B$1:$CE$1,0))/100,0),""))),"")</f>
        <v>473</v>
      </c>
      <c r="BV228" s="42" t="n">
        <f aca="false">IFERROR(IF($C228="","",IF($D228="","",IFERROR(ROUND($D228*INDEX('🔖 배합비 참조'!$B$2:$CE$83,MATCH("천일염",'🔖 배합비 참조'!$A$2:$A$83,0),MATCH($C228,'🔖 배합비 참조'!$B$1:$CE$1,0))/100,0),""))),"")</f>
        <v>22</v>
      </c>
      <c r="BW228" s="42" t="n">
        <f aca="false">IFERROR(IF($C228="","",IF($D228="","",IFERROR(ROUND($D228*INDEX('🔖 배합비 참조'!$B$2:$CE$83,MATCH("치즈 [크림치즈]",'🔖 배합비 참조'!$A$2:$A$83,0),MATCH($C228,'🔖 배합비 참조'!$B$1:$CE$1,0))/100,0),""))),"")</f>
        <v>0</v>
      </c>
      <c r="BX228" s="42" t="n">
        <f aca="false">IFERROR(IF($C228="","",IF($D228="","",IFERROR(ROUND($D228*INDEX('🔖 배합비 참조'!$B$2:$CE$83,MATCH("코코아가공품류(코코아분말)",'🔖 배합비 참조'!$A$2:$A$83,0),MATCH($C228,'🔖 배합비 참조'!$B$1:$CE$1,0))/100,0),""))),"")</f>
        <v>0</v>
      </c>
      <c r="BY228" s="42" t="n">
        <f aca="false">IFERROR(IF($C228="","",IF($D228="","",IFERROR(ROUND($D228*INDEX('🔖 배합비 참조'!$B$2:$CE$83,MATCH("콩기름(대두유)",'🔖 배합비 참조'!$A$2:$A$83,0),MATCH($C228,'🔖 배합비 참조'!$B$1:$CE$1,0))/100,0),""))),"")</f>
        <v>0</v>
      </c>
      <c r="BZ228" s="42" t="n">
        <f aca="false">IFERROR(IF($C228="","",IF($D228="","",IFERROR(ROUND($D228*INDEX('🔖 배합비 참조'!$B$2:$CE$83,MATCH("해바라기씨앗",'🔖 배합비 참조'!$A$2:$A$83,0),MATCH($C228,'🔖 배합비 참조'!$B$1:$CE$1,0))/100,0),""))),"")</f>
        <v>0</v>
      </c>
      <c r="CA228" s="42" t="n">
        <f aca="false">IFERROR(IF($C228="","",IF($D228="","",IFERROR(ROUND($D228*INDEX('🔖 배합비 참조'!$B$2:$CE$83,MATCH("현미(국내산)",'🔖 배합비 참조'!$A$2:$A$83,0),MATCH($C228,'🔖 배합비 참조'!$B$1:$CE$1,0))/100,0),""))),"")</f>
        <v>0</v>
      </c>
      <c r="CB228" s="42" t="n">
        <f aca="false">IFERROR(IF($C228="","",IF($D228="","",IFERROR(ROUND($D228*INDEX('🔖 배합비 참조'!$B$2:$CE$83,MATCH("현미멥쌀(국내산)",'🔖 배합비 참조'!$A$2:$A$83,0),MATCH($C228,'🔖 배합비 참조'!$B$1:$CE$1,0))/100,0),""))),"")</f>
        <v>0</v>
      </c>
      <c r="CC228" s="42" t="n">
        <f aca="false">IFERROR(IF($C228="","",IF($D228="","",IFERROR(ROUND($D228*INDEX('🔖 배합비 참조'!$B$2:$CE$83,MATCH("호두분태(미국산)",'🔖 배합비 참조'!$A$2:$A$83,0),MATCH($C228,'🔖 배합비 참조'!$B$1:$CE$1,0))/100,0),""))),"")</f>
        <v>0</v>
      </c>
      <c r="CD228" s="42" t="n">
        <f aca="false">IFERROR(IF($C228="","",IF($D228="","",IFERROR(ROUND($D228*INDEX('🔖 배합비 참조'!$B$2:$CE$83,MATCH("호박씨앗(외국산)",'🔖 배합비 참조'!$A$2:$A$83,0),MATCH($C228,'🔖 배합비 참조'!$B$1:$CE$1,0))/100,0),""))),"")</f>
        <v>0</v>
      </c>
      <c r="CE228" s="42" t="n">
        <f aca="false">IFERROR(IF($C228="","",IF($D228="","",IFERROR(ROUND($D228*INDEX('🔖 배합비 참조'!$B$2:$CE$83,MATCH("혼합제제(떡용에스텔)",'🔖 배합비 참조'!$A$2:$A$83,0),MATCH($C228,'🔖 배합비 참조'!$B$1:$CE$1,0))/100,0),""))),"")</f>
        <v>22</v>
      </c>
      <c r="CF228" s="42" t="n">
        <f aca="false">IFERROR(IF($C228="","",IF($D228="","",IFERROR(ROUND($D228*INDEX('🔖 배합비 참조'!$B$2:$CE$83,MATCH("혼합제제(스테비아)",'🔖 배합비 참조'!$A$2:$A$83,0),MATCH($C228,'🔖 배합비 참조'!$B$1:$CE$1,0))/100,0),""))),"")</f>
        <v>0</v>
      </c>
      <c r="CG228" s="42" t="n">
        <f aca="false">IFERROR(IF($C228="","",IF($D228="","",IFERROR(ROUND($D228*INDEX('🔖 배합비 참조'!$B$2:$CE$83,MATCH("화이트초콜릿",'🔖 배합비 참조'!$A$2:$A$83,0),MATCH($C228,'🔖 배합비 참조'!$B$1:$CE$1,0))/100,0),""))),"")</f>
        <v>0</v>
      </c>
      <c r="CH228" s="42" t="n">
        <f aca="false">IFERROR(IF($C228="","",IF($D228="","",IFERROR(ROUND($D228*INDEX('🔖 배합비 참조'!$B$2:$CE$83,MATCH("흑미찹쌀(국내산)",'🔖 배합비 참조'!$A$2:$A$83,0),MATCH($C228,'🔖 배합비 참조'!$B$1:$CE$1,0))/100,0),""))),"")</f>
        <v>0</v>
      </c>
      <c r="CI228" s="42" t="n">
        <f aca="false">IFERROR(IF($C228="","",IF($D228="","",IFERROR(ROUND($D228*INDEX('🔖 배합비 참조'!$B$2:$CE$83,MATCH("찰옥수수전분(미국산)",'🔖 배합비 참조'!$A$2:$A$83,0),MATCH($C228,'🔖 배합비 참조'!$B$1:$CE$1,0))/100,0),""))),"")</f>
        <v>99</v>
      </c>
      <c r="CJ228" s="40"/>
      <c r="CL228" s="1" t="s">
        <v>247</v>
      </c>
    </row>
    <row r="229" customFormat="false" ht="18" hidden="false" customHeight="true" outlineLevel="0" collapsed="false">
      <c r="A229" s="35" t="n">
        <v>225</v>
      </c>
      <c r="B229" s="36" t="n">
        <v>46064</v>
      </c>
      <c r="C229" s="37" t="s">
        <v>206</v>
      </c>
      <c r="D229" s="38" t="n">
        <v>70</v>
      </c>
      <c r="E229" s="13"/>
      <c r="F229" s="13"/>
      <c r="G229" s="39" t="n">
        <f aca="false">IFERROR(IF($C229="","",IF($D229="","",IFERROR(ROUND($D229*INDEX('🔖 배합비 참조'!$B$2:$CE$83,MATCH("간장",'🔖 배합비 참조'!$A$2:$A$83,0),MATCH($C229,'🔖 배합비 참조'!$B$1:$CE$1,0))/100,0),""))),"")</f>
        <v>0</v>
      </c>
      <c r="H229" s="39" t="n">
        <f aca="false">IFERROR(IF($C229="","",IF($D229="","",IFERROR(ROUND($D229*INDEX('🔖 배합비 참조'!$B$2:$CE$83,MATCH("강낭콩((울타리콩))",'🔖 배합비 참조'!$A$2:$A$83,0),MATCH($C229,'🔖 배합비 참조'!$B$1:$CE$1,0))/100,0),""))),"")</f>
        <v>0</v>
      </c>
      <c r="I229" s="39" t="n">
        <f aca="false">IFERROR(IF($C229="","",IF($D229="","",IFERROR(ROUND($D229*INDEX('🔖 배합비 참조'!$B$2:$CE$83,MATCH("건조딸기다이스(외국산)",'🔖 배합비 참조'!$A$2:$A$83,0),MATCH($C229,'🔖 배합비 참조'!$B$1:$CE$1,0))/100,0),""))),"")</f>
        <v>0</v>
      </c>
      <c r="J229" s="39" t="n">
        <f aca="false">IFERROR(IF($C229="","",IF($D229="","",IFERROR(ROUND($D229*INDEX('🔖 배합비 참조'!$B$2:$CE$83,MATCH("건포도",'🔖 배합비 참조'!$A$2:$A$83,0),MATCH($C229,'🔖 배합비 참조'!$B$1:$CE$1,0))/100,0),""))),"")</f>
        <v>0</v>
      </c>
      <c r="K229" s="39" t="n">
        <f aca="false">IFERROR(IF($C229="","",IF($D229="","",IFERROR(ROUND($D229*INDEX('🔖 배합비 참조'!$B$2:$CE$83,MATCH("건호박채(중국산)",'🔖 배합비 참조'!$A$2:$A$83,0),MATCH($C229,'🔖 배합비 참조'!$B$1:$CE$1,0))/100,0),""))),"")</f>
        <v>0</v>
      </c>
      <c r="L229" s="39" t="n">
        <f aca="false">IFERROR(IF($C229="","",IF($D229="","",IFERROR(ROUND($D229*INDEX('🔖 배합비 참조'!$B$2:$CE$83,MATCH("검정깨(흑임자)",'🔖 배합비 참조'!$A$2:$A$83,0),MATCH($C229,'🔖 배합비 참조'!$B$1:$CE$1,0))/100,0),""))),"")</f>
        <v>0</v>
      </c>
      <c r="M229" s="39" t="n">
        <f aca="false">IFERROR(IF($C229="","",IF($D229="","",IFERROR(ROUND($D229*INDEX('🔖 배합비 참조'!$B$2:$CE$83,MATCH("검정콩",'🔖 배합비 참조'!$A$2:$A$83,0),MATCH($C229,'🔖 배합비 참조'!$B$1:$CE$1,0))/100,0),""))),"")</f>
        <v>0</v>
      </c>
      <c r="N229" s="39" t="n">
        <f aca="false">IFERROR(IF($C229="","",IF($D229="","",IFERROR(ROUND($D229*INDEX('🔖 배합비 참조'!$B$2:$CE$83,MATCH("계피가루",'🔖 배합비 참조'!$A$2:$A$83,0),MATCH($C229,'🔖 배합비 참조'!$B$1:$CE$1,0))/100,0),""))),"")</f>
        <v>0</v>
      </c>
      <c r="O229" s="39" t="n">
        <f aca="false">IFERROR(IF($C229="","",IF($D229="","",IFERROR(ROUND($D229*INDEX('🔖 배합비 참조'!$B$2:$CE$83,MATCH("고구마가루",'🔖 배합비 참조'!$A$2:$A$83,0),MATCH($C229,'🔖 배합비 참조'!$B$1:$CE$1,0))/100,0),""))),"")</f>
        <v>0</v>
      </c>
      <c r="P229" s="39" t="n">
        <f aca="false">IFERROR(IF($C229="","",IF($D229="","",IFERROR(ROUND($D229*INDEX('🔖 배합비 참조'!$B$2:$CE$83,MATCH("고구마무스",'🔖 배합비 참조'!$A$2:$A$83,0),MATCH($C229,'🔖 배합비 참조'!$B$1:$CE$1,0))/100,0),""))),"")</f>
        <v>0</v>
      </c>
      <c r="Q229" s="39" t="n">
        <f aca="false">IFERROR(IF($C229="","",IF($D229="","",IFERROR(ROUND($D229*INDEX('🔖 배합비 참조'!$B$2:$CE$83,MATCH("고려엉겅퀴((곤드레)국내산)",'🔖 배합비 참조'!$A$2:$A$83,0),MATCH($C229,'🔖 배합비 참조'!$B$1:$CE$1,0))/100,0),""))),"")</f>
        <v>0</v>
      </c>
      <c r="R229" s="39" t="n">
        <f aca="false">IFERROR(IF($C229="","",IF($D229="","",IFERROR(ROUND($D229*INDEX('🔖 배합비 참조'!$B$2:$CE$83,MATCH("기타가공품(복분자가루)",'🔖 배합비 참조'!$A$2:$A$83,0),MATCH($C229,'🔖 배합비 참조'!$B$1:$CE$1,0))/100,0),""))),"")</f>
        <v>0</v>
      </c>
      <c r="S229" s="39" t="n">
        <f aca="false">IFERROR(IF($C229="","",IF($D229="","",IFERROR(ROUND($D229*INDEX('🔖 배합비 참조'!$B$2:$CE$83,MATCH("기타가공품(슈퍼소프트엠)",'🔖 배합비 참조'!$A$2:$A$83,0),MATCH($C229,'🔖 배합비 참조'!$B$1:$CE$1,0))/100,0),""))),"")</f>
        <v>0</v>
      </c>
      <c r="T229" s="39" t="n">
        <f aca="false">IFERROR(IF($C229="","",IF($D229="","",IFERROR(ROUND($D229*INDEX('🔖 배합비 참조'!$B$2:$CE$83,MATCH("기타가공품(파인소프트 E-티)",'🔖 배합비 참조'!$A$2:$A$83,0),MATCH($C229,'🔖 배합비 참조'!$B$1:$CE$1,0))/100,0),""))),"")</f>
        <v>0</v>
      </c>
      <c r="U229" s="39" t="n">
        <f aca="false">IFERROR(IF($C229="","",IF($D229="","",IFERROR(ROUND($D229*INDEX('🔖 배합비 참조'!$B$2:$CE$83,MATCH("기타가공품(프리미엄카스테라가루)",'🔖 배합비 참조'!$A$2:$A$83,0),MATCH($C229,'🔖 배합비 참조'!$B$1:$CE$1,0))/100,0),""))),"")</f>
        <v>0</v>
      </c>
      <c r="V229" s="39" t="n">
        <f aca="false">IFERROR(IF($C229="","",IF($D229="","",IFERROR(ROUND($D229*INDEX('🔖 배합비 참조'!$B$2:$CE$83,MATCH("기타가공품(흑임자가루)",'🔖 배합비 참조'!$A$2:$A$83,0),MATCH($C229,'🔖 배합비 참조'!$B$1:$CE$1,0))/100,0),""))),"")</f>
        <v>0</v>
      </c>
      <c r="W229" s="39" t="n">
        <f aca="false">IFERROR(IF($C229="","",IF($D229="","",IFERROR(ROUND($D229*INDEX('🔖 배합비 참조'!$B$2:$CE$83,MATCH("기타설탕(흑설탕)",'🔖 배합비 참조'!$A$2:$A$83,0),MATCH($C229,'🔖 배합비 참조'!$B$1:$CE$1,0))/100,0),""))),"")</f>
        <v>0</v>
      </c>
      <c r="X229" s="39" t="n">
        <f aca="false">IFERROR(IF($C229="","",IF($D229="","",IFERROR(ROUND($D229*INDEX('🔖 배합비 참조'!$B$2:$CE$83,MATCH("냉동쑥(국내산)",'🔖 배합비 참조'!$A$2:$A$83,0),MATCH($C229,'🔖 배합비 참조'!$B$1:$CE$1,0))/100,0),""))),"")</f>
        <v>0</v>
      </c>
      <c r="Y229" s="39" t="n">
        <f aca="false">IFERROR(IF($C229="","",IF($D229="","",IFERROR(ROUND($D229*INDEX('🔖 배합비 참조'!$B$2:$CE$83,MATCH("냉동증숙고구마(중국산)",'🔖 배합비 참조'!$A$2:$A$83,0),MATCH($C229,'🔖 배합비 참조'!$B$1:$CE$1,0))/100,0),""))),"")</f>
        <v>0</v>
      </c>
      <c r="Z229" s="39" t="n">
        <f aca="false">IFERROR(IF($C229="","",IF($D229="","",IFERROR(ROUND($D229*INDEX('🔖 배합비 참조'!$B$2:$CE$83,MATCH("녹차가루",'🔖 배합비 참조'!$A$2:$A$83,0),MATCH($C229,'🔖 배합비 참조'!$B$1:$CE$1,0))/100,0),""))),"")</f>
        <v>0</v>
      </c>
      <c r="AA229" s="39" t="n">
        <f aca="false">IFERROR(IF($C229="","",IF($D229="","",IFERROR(ROUND($D229*INDEX('🔖 배합비 참조'!$B$2:$CE$83,MATCH("다크초콜릿 컴파운드칩",'🔖 배합비 참조'!$A$2:$A$83,0),MATCH($C229,'🔖 배합비 참조'!$B$1:$CE$1,0))/100,0),""))),"")</f>
        <v>0</v>
      </c>
      <c r="AB229" s="39" t="n">
        <f aca="false">IFERROR(IF($C229="","",IF($D229="","",IFERROR(ROUND($D229*INDEX('🔖 배합비 참조'!$B$2:$CE$83,MATCH("단호박분말(중국산)",'🔖 배합비 참조'!$A$2:$A$83,0),MATCH($C229,'🔖 배합비 참조'!$B$1:$CE$1,0))/100,0),""))),"")</f>
        <v>0</v>
      </c>
      <c r="AC229" s="39" t="n">
        <f aca="false">IFERROR(IF($C229="","",IF($D229="","",IFERROR(ROUND($D229*INDEX('🔖 배합비 참조'!$B$2:$CE$83,MATCH("당류가공품(단호박농축액)",'🔖 배합비 참조'!$A$2:$A$83,0),MATCH($C229,'🔖 배합비 참조'!$B$1:$CE$1,0))/100,0),""))),"")</f>
        <v>0</v>
      </c>
      <c r="AD229" s="39" t="n">
        <f aca="false">IFERROR(IF($C229="","",IF($D229="","",IFERROR(ROUND($D229*INDEX('🔖 배합비 참조'!$B$2:$CE$83,MATCH("당류가공품(알룰로스,에리스리톨,스테비올배당체혼합)",'🔖 배합비 참조'!$A$2:$A$83,0),MATCH($C229,'🔖 배합비 참조'!$B$1:$CE$1,0))/100,0),""))),"")</f>
        <v>0</v>
      </c>
      <c r="AE229" s="39" t="n">
        <f aca="false">IFERROR(IF($C229="","",IF($D229="","",IFERROR(ROUND($D229*INDEX('🔖 배합비 참조'!$B$2:$CE$83,MATCH("당류가공품(알룰로스제로파우더)",'🔖 배합비 참조'!$A$2:$A$83,0),MATCH($C229,'🔖 배합비 참조'!$B$1:$CE$1,0))/100,0),""))),"")</f>
        <v>0</v>
      </c>
      <c r="AF229" s="39" t="n">
        <f aca="false">IFERROR(IF($C229="","",IF($D229="","",IFERROR(ROUND($D229*INDEX('🔖 배합비 참조'!$B$2:$CE$83,MATCH("당절임(완두배기)",'🔖 배합비 참조'!$A$2:$A$83,0),MATCH($C229,'🔖 배합비 참조'!$B$1:$CE$1,0))/100,0),""))),"")</f>
        <v>0</v>
      </c>
      <c r="AG229" s="39" t="n">
        <f aca="false">IFERROR(IF($C229="","",IF($D229="","",IFERROR(ROUND($D229*INDEX('🔖 배합비 참조'!$B$2:$CE$83,MATCH("대추농축액",'🔖 배합비 참조'!$A$2:$A$83,0),MATCH($C229,'🔖 배합비 참조'!$B$1:$CE$1,0))/100,0),""))),"")</f>
        <v>0</v>
      </c>
      <c r="AH229" s="39" t="n">
        <f aca="false">IFERROR(IF($C229="","",IF($D229="","",IFERROR(ROUND($D229*INDEX('🔖 배합비 참조'!$B$2:$CE$83,MATCH("대추채(국내산)",'🔖 배합비 참조'!$A$2:$A$83,0),MATCH($C229,'🔖 배합비 참조'!$B$1:$CE$1,0))/100,0),""))),"")</f>
        <v>0</v>
      </c>
      <c r="AI229" s="39" t="n">
        <f aca="false">IFERROR(IF($C229="","",IF($D229="","",IFERROR(ROUND($D229*INDEX('🔖 배합비 참조'!$B$2:$CE$83,MATCH("동부(미얀마산)",'🔖 배합비 참조'!$A$2:$A$83,0),MATCH($C229,'🔖 배합비 참조'!$B$1:$CE$1,0))/100,0),""))),"")</f>
        <v>0</v>
      </c>
      <c r="AJ229" s="39" t="n">
        <f aca="false">IFERROR(IF($C229="","",IF($D229="","",IFERROR(ROUND($D229*INDEX('🔖 배합비 참조'!$B$2:$CE$83,MATCH("두류가공품(백옥앙금)",'🔖 배합비 참조'!$A$2:$A$83,0),MATCH($C229,'🔖 배합비 참조'!$B$1:$CE$1,0))/100,0),""))),"")</f>
        <v>0</v>
      </c>
      <c r="AK229" s="39" t="n">
        <f aca="false">IFERROR(IF($C229="","",IF($D229="","",IFERROR(ROUND($D229*INDEX('🔖 배합비 참조'!$B$2:$CE$83,MATCH("두류가공품(콩고물)",'🔖 배합비 참조'!$A$2:$A$83,0),MATCH($C229,'🔖 배합비 참조'!$B$1:$CE$1,0))/100,0),""))),"")</f>
        <v>0</v>
      </c>
      <c r="AL229" s="39" t="n">
        <f aca="false">IFERROR(IF($C229="","",IF($D229="","",IFERROR(ROUND($D229*INDEX('🔖 배합비 참조'!$B$2:$CE$83,MATCH("두류가공품(통팥고물)",'🔖 배합비 참조'!$A$2:$A$83,0),MATCH($C229,'🔖 배합비 참조'!$B$1:$CE$1,0))/100,0),""))),"")</f>
        <v>0</v>
      </c>
      <c r="AM229" s="39" t="n">
        <f aca="false">IFERROR(IF($C229="","",IF($D229="","",IFERROR(ROUND($D229*INDEX('🔖 배합비 참조'!$B$2:$CE$83,MATCH("딸기레진",'🔖 배합비 참조'!$A$2:$A$83,0),MATCH($C229,'🔖 배합비 참조'!$B$1:$CE$1,0))/100,0),""))),"")</f>
        <v>0</v>
      </c>
      <c r="AN229" s="39" t="n">
        <f aca="false">IFERROR(IF($C229="","",IF($D229="","",IFERROR(ROUND($D229*INDEX('🔖 배합비 참조'!$B$2:$CE$83,MATCH("딸기분말(스트로우베리에이드(분말))",'🔖 배합비 참조'!$A$2:$A$83,0),MATCH($C229,'🔖 배합비 참조'!$B$1:$CE$1,0))/100,0),""))),"")</f>
        <v>0</v>
      </c>
      <c r="AO229" s="39" t="n">
        <f aca="false">IFERROR(IF($C229="","",IF($D229="","",IFERROR(ROUND($D229*INDEX('🔖 배합비 참조'!$B$2:$CE$83,MATCH("마스카포네치즈",'🔖 배합비 참조'!$A$2:$A$83,0),MATCH($C229,'🔖 배합비 참조'!$B$1:$CE$1,0))/100,0),""))),"")</f>
        <v>0</v>
      </c>
      <c r="AP229" s="39" t="n">
        <f aca="false">IFERROR(IF($C229="","",IF($D229="","",IFERROR(ROUND($D229*INDEX('🔖 배합비 참조'!$B$2:$CE$83,MATCH("마카다미아분태(호주산)",'🔖 배합비 참조'!$A$2:$A$83,0),MATCH($C229,'🔖 배합비 참조'!$B$1:$CE$1,0))/100,0),""))),"")</f>
        <v>0</v>
      </c>
      <c r="AQ229" s="39" t="n">
        <f aca="false">IFERROR(IF($C229="","",IF($D229="","",IFERROR(ROUND($D229*INDEX('🔖 배합비 참조'!$B$2:$CE$83,MATCH("멥쌀(국내산)",'🔖 배합비 참조'!$A$2:$A$83,0),MATCH($C229,'🔖 배합비 참조'!$B$1:$CE$1,0))/100,0),""))),"")</f>
        <v>0</v>
      </c>
      <c r="AR229" s="39" t="n">
        <f aca="false">IFERROR(IF($C229="","",IF($D229="","",IFERROR(ROUND($D229*INDEX('🔖 배합비 참조'!$B$2:$CE$83,MATCH("모시잎(국내산)",'🔖 배합비 참조'!$A$2:$A$83,0),MATCH($C229,'🔖 배합비 참조'!$B$1:$CE$1,0))/100,0),""))),"")</f>
        <v>0</v>
      </c>
      <c r="AS229" s="39" t="n">
        <f aca="false">IFERROR(IF($C229="","",IF($D229="","",IFERROR(ROUND($D229*INDEX('🔖 배합비 참조'!$B$2:$CE$83,MATCH("물엿(저당물엿)",'🔖 배합비 참조'!$A$2:$A$83,0),MATCH($C229,'🔖 배합비 참조'!$B$1:$CE$1,0))/100,0),""))),"")</f>
        <v>3</v>
      </c>
      <c r="AT229" s="39" t="n">
        <f aca="false">IFERROR(IF($C229="","",IF($D229="","",IFERROR(ROUND($D229*INDEX('🔖 배합비 참조'!$B$2:$CE$83,MATCH("밤다이스",'🔖 배합비 참조'!$A$2:$A$83,0),MATCH($C229,'🔖 배합비 참조'!$B$1:$CE$1,0))/100,0),""))),"")</f>
        <v>0</v>
      </c>
      <c r="AU229" s="39" t="n">
        <f aca="false">IFERROR(IF($C229="","",IF($D229="","",IFERROR(ROUND($D229*INDEX('🔖 배합비 참조'!$B$2:$CE$83,MATCH("변성전분(타피오카전분)",'🔖 배합비 참조'!$A$2:$A$83,0),MATCH($C229,'🔖 배합비 참조'!$B$1:$CE$1,0))/100,0),""))),"")</f>
        <v>0</v>
      </c>
      <c r="AV229" s="39" t="n">
        <f aca="false">IFERROR(IF($C229="","",IF($D229="","",IFERROR(ROUND($D229*INDEX('🔖 배합비 참조'!$B$2:$CE$83,MATCH("복음땅콩분태",'🔖 배합비 참조'!$A$2:$A$83,0),MATCH($C229,'🔖 배합비 참조'!$B$1:$CE$1,0))/100,0),""))),"")</f>
        <v>0</v>
      </c>
      <c r="AW229" s="39" t="n">
        <f aca="false">IFERROR(IF($C229="","",IF($D229="","",IFERROR(ROUND($D229*INDEX('🔖 배합비 참조'!$B$2:$CE$83,MATCH("사양벌꿀(국내산)",'🔖 배합비 참조'!$A$2:$A$83,0),MATCH($C229,'🔖 배합비 참조'!$B$1:$CE$1,0))/100,0),""))),"")</f>
        <v>0</v>
      </c>
      <c r="AX229" s="39" t="n">
        <f aca="false">IFERROR(IF($C229="","",IF($D229="","",IFERROR(ROUND($D229*INDEX('🔖 배합비 참조'!$B$2:$CE$83,MATCH("생크림",'🔖 배합비 참조'!$A$2:$A$83,0),MATCH($C229,'🔖 배합비 참조'!$B$1:$CE$1,0))/100,0),""))),"")</f>
        <v>0</v>
      </c>
      <c r="AY229" s="39" t="n">
        <f aca="false">IFERROR(IF($C229="","",IF($D229="","",IFERROR(ROUND($D229*INDEX('🔖 배합비 참조'!$B$2:$CE$83,MATCH("서양호박(국내산,뉴질랜드산)",'🔖 배합비 참조'!$A$2:$A$83,0),MATCH($C229,'🔖 배합비 참조'!$B$1:$CE$1,0))/100,0),""))),"")</f>
        <v>0</v>
      </c>
      <c r="AZ229" s="39" t="n">
        <f aca="false">IFERROR(IF($C229="","",IF($D229="","",IFERROR(ROUND($D229*INDEX('🔖 배합비 참조'!$B$2:$CE$83,MATCH("설탕",'🔖 배합비 참조'!$A$2:$A$83,0),MATCH($C229,'🔖 배합비 참조'!$B$1:$CE$1,0))/100,0),""))),"")</f>
        <v>3</v>
      </c>
      <c r="BA229" s="39" t="n">
        <f aca="false">IFERROR(IF($C229="","",IF($D229="","",IFERROR(ROUND($D229*INDEX('🔖 배합비 참조'!$B$2:$CE$83,MATCH("스트로우베리 에이드 후레쉬",'🔖 배합비 참조'!$A$2:$A$83,0),MATCH($C229,'🔖 배합비 참조'!$B$1:$CE$1,0))/100,0),""))),"")</f>
        <v>0</v>
      </c>
      <c r="BB229" s="39" t="n">
        <f aca="false">IFERROR(IF($C229="","",IF($D229="","",IFERROR(ROUND($D229*INDEX('🔖 배합비 참조'!$B$2:$CE$83,MATCH("식물성기름혼합제제(분홍)",'🔖 배합비 참조'!$A$2:$A$83,0),MATCH($C229,'🔖 배합비 참조'!$B$1:$CE$1,0))/100,0),""))),"")</f>
        <v>0</v>
      </c>
      <c r="BC229" s="39" t="n">
        <f aca="false">IFERROR(IF($C229="","",IF($D229="","",IFERROR(ROUND($D229*INDEX('🔖 배합비 참조'!$B$2:$CE$83,MATCH("식물성기름혼합제제(초록)",'🔖 배합비 참조'!$A$2:$A$83,0),MATCH($C229,'🔖 배합비 참조'!$B$1:$CE$1,0))/100,0),""))),"")</f>
        <v>0</v>
      </c>
      <c r="BD229" s="39" t="n">
        <f aca="false">IFERROR(IF($C229="","",IF($D229="","",IFERROR(ROUND($D229*INDEX('🔖 배합비 참조'!$B$2:$CE$83,MATCH("식물성기름혼합제제(황색)",'🔖 배합비 참조'!$A$2:$A$83,0),MATCH($C229,'🔖 배합비 참조'!$B$1:$CE$1,0))/100,0),""))),"")</f>
        <v>0</v>
      </c>
      <c r="BE229" s="39" t="n">
        <f aca="false">IFERROR(IF($C229="","",IF($D229="","",IFERROR(ROUND($D229*INDEX('🔖 배합비 참조'!$B$2:$CE$83,MATCH("쑥가루(국내산)",'🔖 배합비 참조'!$A$2:$A$83,0),MATCH($C229,'🔖 배합비 참조'!$B$1:$CE$1,0))/100,0),""))),"")</f>
        <v>0</v>
      </c>
      <c r="BF229" s="39" t="n">
        <f aca="false">IFERROR(IF($C229="","",IF($D229="","",IFERROR(ROUND($D229*INDEX('🔖 배합비 참조'!$B$2:$CE$83,MATCH("아몬드슬라이스",'🔖 배합비 참조'!$A$2:$A$83,0),MATCH($C229,'🔖 배합비 참조'!$B$1:$CE$1,0))/100,0),""))),"")</f>
        <v>0</v>
      </c>
      <c r="BG229" s="39" t="n">
        <f aca="false">IFERROR(IF($C229="","",IF($D229="","",IFERROR(ROUND($D229*INDEX('🔖 배합비 참조'!$B$2:$CE$83,MATCH("알룰로오스(국내산)",'🔖 배합비 참조'!$A$2:$A$83,0),MATCH($C229,'🔖 배합비 참조'!$B$1:$CE$1,0))/100,0),""))),"")</f>
        <v>0</v>
      </c>
      <c r="BH229" s="39" t="n">
        <f aca="false">IFERROR(IF($C229="","",IF($D229="","",IFERROR(ROUND($D229*INDEX('🔖 배합비 참조'!$B$2:$CE$83,MATCH("연유",'🔖 배합비 참조'!$A$2:$A$83,0),MATCH($C229,'🔖 배합비 참조'!$B$1:$CE$1,0))/100,0),""))),"")</f>
        <v>0</v>
      </c>
      <c r="BI229" s="39" t="n">
        <f aca="false">IFERROR(IF($C229="","",IF($D229="","",IFERROR(ROUND($D229*INDEX('🔖 배합비 참조'!$B$2:$CE$83,MATCH("옥수수전분",'🔖 배합비 참조'!$A$2:$A$83,0),MATCH($C229,'🔖 배합비 참조'!$B$1:$CE$1,0))/100,0),""))),"")</f>
        <v>0</v>
      </c>
      <c r="BJ229" s="39" t="n">
        <f aca="false">IFERROR(IF($C229="","",IF($D229="","",IFERROR(ROUND($D229*INDEX('🔖 배합비 참조'!$B$2:$CE$83,MATCH("완두배기",'🔖 배합비 참조'!$A$2:$A$83,0),MATCH($C229,'🔖 배합비 참조'!$B$1:$CE$1,0))/100,0),""))),"")</f>
        <v>0</v>
      </c>
      <c r="BK229" s="39" t="n">
        <f aca="false">IFERROR(IF($C229="","",IF($D229="","",IFERROR(ROUND($D229*INDEX('🔖 배합비 참조'!$B$2:$CE$83,MATCH("우유(국내산)",'🔖 배합비 참조'!$A$2:$A$83,0),MATCH($C229,'🔖 배합비 참조'!$B$1:$CE$1,0))/100,0),""))),"")</f>
        <v>0</v>
      </c>
      <c r="BL229" s="39" t="n">
        <f aca="false">IFERROR(IF($C229="","",IF($D229="","",IFERROR(ROUND($D229*INDEX('🔖 배합비 참조'!$B$2:$CE$83,MATCH("자색고구마가루(중국산)",'🔖 배합비 참조'!$A$2:$A$83,0),MATCH($C229,'🔖 배합비 참조'!$B$1:$CE$1,0))/100,0),""))),"")</f>
        <v>0</v>
      </c>
      <c r="BM229" s="39" t="n">
        <f aca="false">IFERROR(IF($C229="","",IF($D229="","",IFERROR(ROUND($D229*INDEX('🔖 배합비 참조'!$B$2:$CE$83,MATCH("자연치즈(체다치즈)",'🔖 배합비 참조'!$A$2:$A$83,0),MATCH($C229,'🔖 배합비 참조'!$B$1:$CE$1,0))/100,0),""))),"")</f>
        <v>0</v>
      </c>
      <c r="BN229" s="39" t="n">
        <f aca="false">IFERROR(IF($C229="","",IF($D229="","",IFERROR(ROUND($D229*INDEX('🔖 배합비 참조'!$B$2:$CE$83,MATCH("정제수",'🔖 배합비 참조'!$A$2:$A$83,0),MATCH($C229,'🔖 배합비 참조'!$B$1:$CE$1,0))/100,0),""))),"")</f>
        <v>28</v>
      </c>
      <c r="BO229" s="39" t="n">
        <f aca="false">IFERROR(IF($C229="","",IF($D229="","",IFERROR(ROUND($D229*INDEX('🔖 배합비 참조'!$B$2:$CE$83,MATCH("젤라틴",'🔖 배합비 참조'!$A$2:$A$83,0),MATCH($C229,'🔖 배합비 참조'!$B$1:$CE$1,0))/100,0),""))),"")</f>
        <v>0</v>
      </c>
      <c r="BP229" s="39" t="n">
        <f aca="false">IFERROR(IF($C229="","",IF($D229="","",IFERROR(ROUND($D229*INDEX('🔖 배합비 참조'!$B$2:$CE$83,MATCH("조림류(백옥앙금)",'🔖 배합비 참조'!$A$2:$A$83,0),MATCH($C229,'🔖 배합비 참조'!$B$1:$CE$1,0))/100,0),""))),"")</f>
        <v>0</v>
      </c>
      <c r="BQ229" s="39" t="n">
        <f aca="false">IFERROR(IF($C229="","",IF($D229="","",IFERROR(ROUND($D229*INDEX('🔖 배합비 참조'!$B$2:$CE$83,MATCH("조림류(통팥앙금)",'🔖 배합비 참조'!$A$2:$A$83,0),MATCH($C229,'🔖 배합비 참조'!$B$1:$CE$1,0))/100,0),""))),"")</f>
        <v>0</v>
      </c>
      <c r="BR229" s="39" t="n">
        <f aca="false">IFERROR(IF($C229="","",IF($D229="","",IFERROR(ROUND($D229*INDEX('🔖 배합비 참조'!$B$2:$CE$83,MATCH("준초콜릿(외국산)",'🔖 배합비 참조'!$A$2:$A$83,0),MATCH($C229,'🔖 배합비 참조'!$B$1:$CE$1,0))/100,0),""))),"")</f>
        <v>0</v>
      </c>
      <c r="BS229" s="39" t="n">
        <f aca="false">IFERROR(IF($C229="","",IF($D229="","",IFERROR(ROUND($D229*INDEX('🔖 배합비 참조'!$B$2:$CE$83,MATCH("중력분",'🔖 배합비 참조'!$A$2:$A$83,0),MATCH($C229,'🔖 배합비 참조'!$B$1:$CE$1,0))/100,0),""))),"")</f>
        <v>1</v>
      </c>
      <c r="BT229" s="39" t="n">
        <f aca="false">IFERROR(IF($C229="","",IF($D229="","",IFERROR(ROUND($D229*INDEX('🔖 배합비 참조'!$B$2:$CE$83,MATCH("참깨(인도산,나이지리아산,탄자니아산,미얀마산)",'🔖 배합비 참조'!$A$2:$A$83,0),MATCH($C229,'🔖 배합비 참조'!$B$1:$CE$1,0))/100,0),""))),"")</f>
        <v>0</v>
      </c>
      <c r="BU229" s="39" t="n">
        <f aca="false">IFERROR(IF($C229="","",IF($D229="","",IFERROR(ROUND($D229*INDEX('🔖 배합비 참조'!$B$2:$CE$83,MATCH("찹쌀(국내산)",'🔖 배합비 참조'!$A$2:$A$83,0),MATCH($C229,'🔖 배합비 참조'!$B$1:$CE$1,0))/100,0),""))),"")</f>
        <v>33</v>
      </c>
      <c r="BV229" s="39" t="n">
        <f aca="false">IFERROR(IF($C229="","",IF($D229="","",IFERROR(ROUND($D229*INDEX('🔖 배합비 참조'!$B$2:$CE$83,MATCH("천일염",'🔖 배합비 참조'!$A$2:$A$83,0),MATCH($C229,'🔖 배합비 참조'!$B$1:$CE$1,0))/100,0),""))),"")</f>
        <v>1</v>
      </c>
      <c r="BW229" s="39" t="n">
        <f aca="false">IFERROR(IF($C229="","",IF($D229="","",IFERROR(ROUND($D229*INDEX('🔖 배합비 참조'!$B$2:$CE$83,MATCH("치즈 [크림치즈]",'🔖 배합비 참조'!$A$2:$A$83,0),MATCH($C229,'🔖 배합비 참조'!$B$1:$CE$1,0))/100,0),""))),"")</f>
        <v>0</v>
      </c>
      <c r="BX229" s="39" t="n">
        <f aca="false">IFERROR(IF($C229="","",IF($D229="","",IFERROR(ROUND($D229*INDEX('🔖 배합비 참조'!$B$2:$CE$83,MATCH("코코아가공품류(코코아분말)",'🔖 배합비 참조'!$A$2:$A$83,0),MATCH($C229,'🔖 배합비 참조'!$B$1:$CE$1,0))/100,0),""))),"")</f>
        <v>0</v>
      </c>
      <c r="BY229" s="39" t="n">
        <f aca="false">IFERROR(IF($C229="","",IF($D229="","",IFERROR(ROUND($D229*INDEX('🔖 배합비 참조'!$B$2:$CE$83,MATCH("콩기름(대두유)",'🔖 배합비 참조'!$A$2:$A$83,0),MATCH($C229,'🔖 배합비 참조'!$B$1:$CE$1,0))/100,0),""))),"")</f>
        <v>0</v>
      </c>
      <c r="BZ229" s="39" t="n">
        <f aca="false">IFERROR(IF($C229="","",IF($D229="","",IFERROR(ROUND($D229*INDEX('🔖 배합비 참조'!$B$2:$CE$83,MATCH("해바라기씨앗",'🔖 배합비 참조'!$A$2:$A$83,0),MATCH($C229,'🔖 배합비 참조'!$B$1:$CE$1,0))/100,0),""))),"")</f>
        <v>0</v>
      </c>
      <c r="CA229" s="39" t="n">
        <f aca="false">IFERROR(IF($C229="","",IF($D229="","",IFERROR(ROUND($D229*INDEX('🔖 배합비 참조'!$B$2:$CE$83,MATCH("현미(국내산)",'🔖 배합비 참조'!$A$2:$A$83,0),MATCH($C229,'🔖 배합비 참조'!$B$1:$CE$1,0))/100,0),""))),"")</f>
        <v>0</v>
      </c>
      <c r="CB229" s="39" t="n">
        <f aca="false">IFERROR(IF($C229="","",IF($D229="","",IFERROR(ROUND($D229*INDEX('🔖 배합비 참조'!$B$2:$CE$83,MATCH("현미멥쌀(국내산)",'🔖 배합비 참조'!$A$2:$A$83,0),MATCH($C229,'🔖 배합비 참조'!$B$1:$CE$1,0))/100,0),""))),"")</f>
        <v>0</v>
      </c>
      <c r="CC229" s="39" t="n">
        <f aca="false">IFERROR(IF($C229="","",IF($D229="","",IFERROR(ROUND($D229*INDEX('🔖 배합비 참조'!$B$2:$CE$83,MATCH("호두분태(미국산)",'🔖 배합비 참조'!$A$2:$A$83,0),MATCH($C229,'🔖 배합비 참조'!$B$1:$CE$1,0))/100,0),""))),"")</f>
        <v>0</v>
      </c>
      <c r="CD229" s="39" t="n">
        <f aca="false">IFERROR(IF($C229="","",IF($D229="","",IFERROR(ROUND($D229*INDEX('🔖 배합비 참조'!$B$2:$CE$83,MATCH("호박씨앗(외국산)",'🔖 배합비 참조'!$A$2:$A$83,0),MATCH($C229,'🔖 배합비 참조'!$B$1:$CE$1,0))/100,0),""))),"")</f>
        <v>0</v>
      </c>
      <c r="CE229" s="39" t="n">
        <f aca="false">IFERROR(IF($C229="","",IF($D229="","",IFERROR(ROUND($D229*INDEX('🔖 배합비 참조'!$B$2:$CE$83,MATCH("혼합제제(떡용에스텔)",'🔖 배합비 참조'!$A$2:$A$83,0),MATCH($C229,'🔖 배합비 참조'!$B$1:$CE$1,0))/100,0),""))),"")</f>
        <v>0</v>
      </c>
      <c r="CF229" s="39" t="n">
        <f aca="false">IFERROR(IF($C229="","",IF($D229="","",IFERROR(ROUND($D229*INDEX('🔖 배합비 참조'!$B$2:$CE$83,MATCH("혼합제제(스테비아)",'🔖 배합비 참조'!$A$2:$A$83,0),MATCH($C229,'🔖 배합비 참조'!$B$1:$CE$1,0))/100,0),""))),"")</f>
        <v>0</v>
      </c>
      <c r="CG229" s="39" t="n">
        <f aca="false">IFERROR(IF($C229="","",IF($D229="","",IFERROR(ROUND($D229*INDEX('🔖 배합비 참조'!$B$2:$CE$83,MATCH("화이트초콜릿",'🔖 배합비 참조'!$A$2:$A$83,0),MATCH($C229,'🔖 배합비 참조'!$B$1:$CE$1,0))/100,0),""))),"")</f>
        <v>0</v>
      </c>
      <c r="CH229" s="39" t="n">
        <f aca="false">IFERROR(IF($C229="","",IF($D229="","",IFERROR(ROUND($D229*INDEX('🔖 배합비 참조'!$B$2:$CE$83,MATCH("흑미찹쌀(국내산)",'🔖 배합비 참조'!$A$2:$A$83,0),MATCH($C229,'🔖 배합비 참조'!$B$1:$CE$1,0))/100,0),""))),"")</f>
        <v>0</v>
      </c>
      <c r="CI229" s="39" t="n">
        <f aca="false">IFERROR(IF($C229="","",IF($D229="","",IFERROR(ROUND($D229*INDEX('🔖 배합비 참조'!$B$2:$CE$83,MATCH("찰옥수수전분(미국산)",'🔖 배합비 참조'!$A$2:$A$83,0),MATCH($C229,'🔖 배합비 참조'!$B$1:$CE$1,0))/100,0),""))),"")</f>
        <v>0</v>
      </c>
      <c r="CJ229" s="40"/>
      <c r="CL229" s="1" t="s">
        <v>247</v>
      </c>
    </row>
    <row r="230" customFormat="false" ht="18" hidden="false" customHeight="true" outlineLevel="0" collapsed="false">
      <c r="A230" s="41" t="n">
        <v>226</v>
      </c>
      <c r="B230" s="36" t="n">
        <v>46072</v>
      </c>
      <c r="C230" s="37" t="s">
        <v>144</v>
      </c>
      <c r="D230" s="38" t="n">
        <v>70</v>
      </c>
      <c r="E230" s="17"/>
      <c r="F230" s="17"/>
      <c r="G230" s="42" t="n">
        <f aca="false">IFERROR(IF($C230="","",IF($D230="","",IFERROR(ROUND($D230*INDEX('🔖 배합비 참조'!$B$2:$CE$83,MATCH("간장",'🔖 배합비 참조'!$A$2:$A$83,0),MATCH($C230,'🔖 배합비 참조'!$B$1:$CE$1,0))/100,0),""))),"")</f>
        <v>0</v>
      </c>
      <c r="H230" s="42" t="n">
        <f aca="false">IFERROR(IF($C230="","",IF($D230="","",IFERROR(ROUND($D230*INDEX('🔖 배합비 참조'!$B$2:$CE$83,MATCH("강낭콩((울타리콩))",'🔖 배합비 참조'!$A$2:$A$83,0),MATCH($C230,'🔖 배합비 참조'!$B$1:$CE$1,0))/100,0),""))),"")</f>
        <v>0</v>
      </c>
      <c r="I230" s="42" t="n">
        <f aca="false">IFERROR(IF($C230="","",IF($D230="","",IFERROR(ROUND($D230*INDEX('🔖 배합비 참조'!$B$2:$CE$83,MATCH("건조딸기다이스(외국산)",'🔖 배합비 참조'!$A$2:$A$83,0),MATCH($C230,'🔖 배합비 참조'!$B$1:$CE$1,0))/100,0),""))),"")</f>
        <v>0</v>
      </c>
      <c r="J230" s="42" t="n">
        <f aca="false">IFERROR(IF($C230="","",IF($D230="","",IFERROR(ROUND($D230*INDEX('🔖 배합비 참조'!$B$2:$CE$83,MATCH("건포도",'🔖 배합비 참조'!$A$2:$A$83,0),MATCH($C230,'🔖 배합비 참조'!$B$1:$CE$1,0))/100,0),""))),"")</f>
        <v>0</v>
      </c>
      <c r="K230" s="42" t="n">
        <f aca="false">IFERROR(IF($C230="","",IF($D230="","",IFERROR(ROUND($D230*INDEX('🔖 배합비 참조'!$B$2:$CE$83,MATCH("건호박채(중국산)",'🔖 배합비 참조'!$A$2:$A$83,0),MATCH($C230,'🔖 배합비 참조'!$B$1:$CE$1,0))/100,0),""))),"")</f>
        <v>0</v>
      </c>
      <c r="L230" s="42" t="n">
        <f aca="false">IFERROR(IF($C230="","",IF($D230="","",IFERROR(ROUND($D230*INDEX('🔖 배합비 참조'!$B$2:$CE$83,MATCH("검정깨(흑임자)",'🔖 배합비 참조'!$A$2:$A$83,0),MATCH($C230,'🔖 배합비 참조'!$B$1:$CE$1,0))/100,0),""))),"")</f>
        <v>0</v>
      </c>
      <c r="M230" s="42" t="n">
        <f aca="false">IFERROR(IF($C230="","",IF($D230="","",IFERROR(ROUND($D230*INDEX('🔖 배합비 참조'!$B$2:$CE$83,MATCH("검정콩",'🔖 배합비 참조'!$A$2:$A$83,0),MATCH($C230,'🔖 배합비 참조'!$B$1:$CE$1,0))/100,0),""))),"")</f>
        <v>0</v>
      </c>
      <c r="N230" s="42" t="n">
        <f aca="false">IFERROR(IF($C230="","",IF($D230="","",IFERROR(ROUND($D230*INDEX('🔖 배합비 참조'!$B$2:$CE$83,MATCH("계피가루",'🔖 배합비 참조'!$A$2:$A$83,0),MATCH($C230,'🔖 배합비 참조'!$B$1:$CE$1,0))/100,0),""))),"")</f>
        <v>0</v>
      </c>
      <c r="O230" s="42" t="n">
        <f aca="false">IFERROR(IF($C230="","",IF($D230="","",IFERROR(ROUND($D230*INDEX('🔖 배합비 참조'!$B$2:$CE$83,MATCH("고구마가루",'🔖 배합비 참조'!$A$2:$A$83,0),MATCH($C230,'🔖 배합비 참조'!$B$1:$CE$1,0))/100,0),""))),"")</f>
        <v>0</v>
      </c>
      <c r="P230" s="42" t="n">
        <f aca="false">IFERROR(IF($C230="","",IF($D230="","",IFERROR(ROUND($D230*INDEX('🔖 배합비 참조'!$B$2:$CE$83,MATCH("고구마무스",'🔖 배합비 참조'!$A$2:$A$83,0),MATCH($C230,'🔖 배합비 참조'!$B$1:$CE$1,0))/100,0),""))),"")</f>
        <v>0</v>
      </c>
      <c r="Q230" s="42" t="n">
        <f aca="false">IFERROR(IF($C230="","",IF($D230="","",IFERROR(ROUND($D230*INDEX('🔖 배합비 참조'!$B$2:$CE$83,MATCH("고려엉겅퀴((곤드레)국내산)",'🔖 배합비 참조'!$A$2:$A$83,0),MATCH($C230,'🔖 배합비 참조'!$B$1:$CE$1,0))/100,0),""))),"")</f>
        <v>0</v>
      </c>
      <c r="R230" s="42" t="n">
        <f aca="false">IFERROR(IF($C230="","",IF($D230="","",IFERROR(ROUND($D230*INDEX('🔖 배합비 참조'!$B$2:$CE$83,MATCH("기타가공품(복분자가루)",'🔖 배합비 참조'!$A$2:$A$83,0),MATCH($C230,'🔖 배합비 참조'!$B$1:$CE$1,0))/100,0),""))),"")</f>
        <v>0</v>
      </c>
      <c r="S230" s="42" t="n">
        <f aca="false">IFERROR(IF($C230="","",IF($D230="","",IFERROR(ROUND($D230*INDEX('🔖 배합비 참조'!$B$2:$CE$83,MATCH("기타가공품(슈퍼소프트엠)",'🔖 배합비 참조'!$A$2:$A$83,0),MATCH($C230,'🔖 배합비 참조'!$B$1:$CE$1,0))/100,0),""))),"")</f>
        <v>0</v>
      </c>
      <c r="T230" s="42" t="n">
        <f aca="false">IFERROR(IF($C230="","",IF($D230="","",IFERROR(ROUND($D230*INDEX('🔖 배합비 참조'!$B$2:$CE$83,MATCH("기타가공품(파인소프트 E-티)",'🔖 배합비 참조'!$A$2:$A$83,0),MATCH($C230,'🔖 배합비 참조'!$B$1:$CE$1,0))/100,0),""))),"")</f>
        <v>0</v>
      </c>
      <c r="U230" s="42" t="n">
        <f aca="false">IFERROR(IF($C230="","",IF($D230="","",IFERROR(ROUND($D230*INDEX('🔖 배합비 참조'!$B$2:$CE$83,MATCH("기타가공품(프리미엄카스테라가루)",'🔖 배합비 참조'!$A$2:$A$83,0),MATCH($C230,'🔖 배합비 참조'!$B$1:$CE$1,0))/100,0),""))),"")</f>
        <v>0</v>
      </c>
      <c r="V230" s="42" t="n">
        <f aca="false">IFERROR(IF($C230="","",IF($D230="","",IFERROR(ROUND($D230*INDEX('🔖 배합비 참조'!$B$2:$CE$83,MATCH("기타가공품(흑임자가루)",'🔖 배합비 참조'!$A$2:$A$83,0),MATCH($C230,'🔖 배합비 참조'!$B$1:$CE$1,0))/100,0),""))),"")</f>
        <v>0</v>
      </c>
      <c r="W230" s="42" t="n">
        <f aca="false">IFERROR(IF($C230="","",IF($D230="","",IFERROR(ROUND($D230*INDEX('🔖 배합비 참조'!$B$2:$CE$83,MATCH("기타설탕(흑설탕)",'🔖 배합비 참조'!$A$2:$A$83,0),MATCH($C230,'🔖 배합비 참조'!$B$1:$CE$1,0))/100,0),""))),"")</f>
        <v>0</v>
      </c>
      <c r="X230" s="42" t="n">
        <f aca="false">IFERROR(IF($C230="","",IF($D230="","",IFERROR(ROUND($D230*INDEX('🔖 배합비 참조'!$B$2:$CE$83,MATCH("냉동쑥(국내산)",'🔖 배합비 참조'!$A$2:$A$83,0),MATCH($C230,'🔖 배합비 참조'!$B$1:$CE$1,0))/100,0),""))),"")</f>
        <v>0</v>
      </c>
      <c r="Y230" s="42" t="n">
        <f aca="false">IFERROR(IF($C230="","",IF($D230="","",IFERROR(ROUND($D230*INDEX('🔖 배합비 참조'!$B$2:$CE$83,MATCH("냉동증숙고구마(중국산)",'🔖 배합비 참조'!$A$2:$A$83,0),MATCH($C230,'🔖 배합비 참조'!$B$1:$CE$1,0))/100,0),""))),"")</f>
        <v>0</v>
      </c>
      <c r="Z230" s="42" t="n">
        <f aca="false">IFERROR(IF($C230="","",IF($D230="","",IFERROR(ROUND($D230*INDEX('🔖 배합비 참조'!$B$2:$CE$83,MATCH("녹차가루",'🔖 배합비 참조'!$A$2:$A$83,0),MATCH($C230,'🔖 배합비 참조'!$B$1:$CE$1,0))/100,0),""))),"")</f>
        <v>0</v>
      </c>
      <c r="AA230" s="42" t="n">
        <f aca="false">IFERROR(IF($C230="","",IF($D230="","",IFERROR(ROUND($D230*INDEX('🔖 배합비 참조'!$B$2:$CE$83,MATCH("다크초콜릿 컴파운드칩",'🔖 배합비 참조'!$A$2:$A$83,0),MATCH($C230,'🔖 배합비 참조'!$B$1:$CE$1,0))/100,0),""))),"")</f>
        <v>0</v>
      </c>
      <c r="AB230" s="42" t="n">
        <f aca="false">IFERROR(IF($C230="","",IF($D230="","",IFERROR(ROUND($D230*INDEX('🔖 배합비 참조'!$B$2:$CE$83,MATCH("단호박분말(중국산)",'🔖 배합비 참조'!$A$2:$A$83,0),MATCH($C230,'🔖 배합비 참조'!$B$1:$CE$1,0))/100,0),""))),"")</f>
        <v>0</v>
      </c>
      <c r="AC230" s="42" t="n">
        <f aca="false">IFERROR(IF($C230="","",IF($D230="","",IFERROR(ROUND($D230*INDEX('🔖 배합비 참조'!$B$2:$CE$83,MATCH("당류가공품(단호박농축액)",'🔖 배합비 참조'!$A$2:$A$83,0),MATCH($C230,'🔖 배합비 참조'!$B$1:$CE$1,0))/100,0),""))),"")</f>
        <v>0</v>
      </c>
      <c r="AD230" s="42" t="n">
        <f aca="false">IFERROR(IF($C230="","",IF($D230="","",IFERROR(ROUND($D230*INDEX('🔖 배합비 참조'!$B$2:$CE$83,MATCH("당류가공품(알룰로스,에리스리톨,스테비올배당체혼합)",'🔖 배합비 참조'!$A$2:$A$83,0),MATCH($C230,'🔖 배합비 참조'!$B$1:$CE$1,0))/100,0),""))),"")</f>
        <v>0</v>
      </c>
      <c r="AE230" s="42" t="n">
        <f aca="false">IFERROR(IF($C230="","",IF($D230="","",IFERROR(ROUND($D230*INDEX('🔖 배합비 참조'!$B$2:$CE$83,MATCH("당류가공품(알룰로스제로파우더)",'🔖 배합비 참조'!$A$2:$A$83,0),MATCH($C230,'🔖 배합비 참조'!$B$1:$CE$1,0))/100,0),""))),"")</f>
        <v>0</v>
      </c>
      <c r="AF230" s="42" t="n">
        <f aca="false">IFERROR(IF($C230="","",IF($D230="","",IFERROR(ROUND($D230*INDEX('🔖 배합비 참조'!$B$2:$CE$83,MATCH("당절임(완두배기)",'🔖 배합비 참조'!$A$2:$A$83,0),MATCH($C230,'🔖 배합비 참조'!$B$1:$CE$1,0))/100,0),""))),"")</f>
        <v>0</v>
      </c>
      <c r="AG230" s="42" t="n">
        <f aca="false">IFERROR(IF($C230="","",IF($D230="","",IFERROR(ROUND($D230*INDEX('🔖 배합비 참조'!$B$2:$CE$83,MATCH("대추농축액",'🔖 배합비 참조'!$A$2:$A$83,0),MATCH($C230,'🔖 배합비 참조'!$B$1:$CE$1,0))/100,0),""))),"")</f>
        <v>0</v>
      </c>
      <c r="AH230" s="42" t="n">
        <f aca="false">IFERROR(IF($C230="","",IF($D230="","",IFERROR(ROUND($D230*INDEX('🔖 배합비 참조'!$B$2:$CE$83,MATCH("대추채(국내산)",'🔖 배합비 참조'!$A$2:$A$83,0),MATCH($C230,'🔖 배합비 참조'!$B$1:$CE$1,0))/100,0),""))),"")</f>
        <v>0</v>
      </c>
      <c r="AI230" s="42" t="n">
        <f aca="false">IFERROR(IF($C230="","",IF($D230="","",IFERROR(ROUND($D230*INDEX('🔖 배합비 참조'!$B$2:$CE$83,MATCH("동부(미얀마산)",'🔖 배합비 참조'!$A$2:$A$83,0),MATCH($C230,'🔖 배합비 참조'!$B$1:$CE$1,0))/100,0),""))),"")</f>
        <v>0</v>
      </c>
      <c r="AJ230" s="42" t="n">
        <f aca="false">IFERROR(IF($C230="","",IF($D230="","",IFERROR(ROUND($D230*INDEX('🔖 배합비 참조'!$B$2:$CE$83,MATCH("두류가공품(백옥앙금)",'🔖 배합비 참조'!$A$2:$A$83,0),MATCH($C230,'🔖 배합비 참조'!$B$1:$CE$1,0))/100,0),""))),"")</f>
        <v>0</v>
      </c>
      <c r="AK230" s="42" t="n">
        <f aca="false">IFERROR(IF($C230="","",IF($D230="","",IFERROR(ROUND($D230*INDEX('🔖 배합비 참조'!$B$2:$CE$83,MATCH("두류가공품(콩고물)",'🔖 배합비 참조'!$A$2:$A$83,0),MATCH($C230,'🔖 배합비 참조'!$B$1:$CE$1,0))/100,0),""))),"")</f>
        <v>2</v>
      </c>
      <c r="AL230" s="42" t="n">
        <f aca="false">IFERROR(IF($C230="","",IF($D230="","",IFERROR(ROUND($D230*INDEX('🔖 배합비 참조'!$B$2:$CE$83,MATCH("두류가공품(통팥고물)",'🔖 배합비 참조'!$A$2:$A$83,0),MATCH($C230,'🔖 배합비 참조'!$B$1:$CE$1,0))/100,0),""))),"")</f>
        <v>0</v>
      </c>
      <c r="AM230" s="42" t="n">
        <f aca="false">IFERROR(IF($C230="","",IF($D230="","",IFERROR(ROUND($D230*INDEX('🔖 배합비 참조'!$B$2:$CE$83,MATCH("딸기레진",'🔖 배합비 참조'!$A$2:$A$83,0),MATCH($C230,'🔖 배합비 참조'!$B$1:$CE$1,0))/100,0),""))),"")</f>
        <v>0</v>
      </c>
      <c r="AN230" s="42" t="n">
        <f aca="false">IFERROR(IF($C230="","",IF($D230="","",IFERROR(ROUND($D230*INDEX('🔖 배합비 참조'!$B$2:$CE$83,MATCH("딸기분말(스트로우베리에이드(분말))",'🔖 배합비 참조'!$A$2:$A$83,0),MATCH($C230,'🔖 배합비 참조'!$B$1:$CE$1,0))/100,0),""))),"")</f>
        <v>0</v>
      </c>
      <c r="AO230" s="42" t="n">
        <f aca="false">IFERROR(IF($C230="","",IF($D230="","",IFERROR(ROUND($D230*INDEX('🔖 배합비 참조'!$B$2:$CE$83,MATCH("마스카포네치즈",'🔖 배합비 참조'!$A$2:$A$83,0),MATCH($C230,'🔖 배합비 참조'!$B$1:$CE$1,0))/100,0),""))),"")</f>
        <v>0</v>
      </c>
      <c r="AP230" s="42" t="n">
        <f aca="false">IFERROR(IF($C230="","",IF($D230="","",IFERROR(ROUND($D230*INDEX('🔖 배합비 참조'!$B$2:$CE$83,MATCH("마카다미아분태(호주산)",'🔖 배합비 참조'!$A$2:$A$83,0),MATCH($C230,'🔖 배합비 참조'!$B$1:$CE$1,0))/100,0),""))),"")</f>
        <v>0</v>
      </c>
      <c r="AQ230" s="42" t="n">
        <f aca="false">IFERROR(IF($C230="","",IF($D230="","",IFERROR(ROUND($D230*INDEX('🔖 배합비 참조'!$B$2:$CE$83,MATCH("멥쌀(국내산)",'🔖 배합비 참조'!$A$2:$A$83,0),MATCH($C230,'🔖 배합비 참조'!$B$1:$CE$1,0))/100,0),""))),"")</f>
        <v>0</v>
      </c>
      <c r="AR230" s="42" t="n">
        <f aca="false">IFERROR(IF($C230="","",IF($D230="","",IFERROR(ROUND($D230*INDEX('🔖 배합비 참조'!$B$2:$CE$83,MATCH("모시잎(국내산)",'🔖 배합비 참조'!$A$2:$A$83,0),MATCH($C230,'🔖 배합비 참조'!$B$1:$CE$1,0))/100,0),""))),"")</f>
        <v>0</v>
      </c>
      <c r="AS230" s="42" t="n">
        <f aca="false">IFERROR(IF($C230="","",IF($D230="","",IFERROR(ROUND($D230*INDEX('🔖 배합비 참조'!$B$2:$CE$83,MATCH("물엿(저당물엿)",'🔖 배합비 참조'!$A$2:$A$83,0),MATCH($C230,'🔖 배합비 참조'!$B$1:$CE$1,0))/100,0),""))),"")</f>
        <v>3</v>
      </c>
      <c r="AT230" s="42" t="n">
        <f aca="false">IFERROR(IF($C230="","",IF($D230="","",IFERROR(ROUND($D230*INDEX('🔖 배합비 참조'!$B$2:$CE$83,MATCH("밤다이스",'🔖 배합비 참조'!$A$2:$A$83,0),MATCH($C230,'🔖 배합비 참조'!$B$1:$CE$1,0))/100,0),""))),"")</f>
        <v>0</v>
      </c>
      <c r="AU230" s="42" t="n">
        <f aca="false">IFERROR(IF($C230="","",IF($D230="","",IFERROR(ROUND($D230*INDEX('🔖 배합비 참조'!$B$2:$CE$83,MATCH("변성전분(타피오카전분)",'🔖 배합비 참조'!$A$2:$A$83,0),MATCH($C230,'🔖 배합비 참조'!$B$1:$CE$1,0))/100,0),""))),"")</f>
        <v>0</v>
      </c>
      <c r="AV230" s="42" t="n">
        <f aca="false">IFERROR(IF($C230="","",IF($D230="","",IFERROR(ROUND($D230*INDEX('🔖 배합비 참조'!$B$2:$CE$83,MATCH("복음땅콩분태",'🔖 배합비 참조'!$A$2:$A$83,0),MATCH($C230,'🔖 배합비 참조'!$B$1:$CE$1,0))/100,0),""))),"")</f>
        <v>0</v>
      </c>
      <c r="AW230" s="42" t="n">
        <f aca="false">IFERROR(IF($C230="","",IF($D230="","",IFERROR(ROUND($D230*INDEX('🔖 배합비 참조'!$B$2:$CE$83,MATCH("사양벌꿀(국내산)",'🔖 배합비 참조'!$A$2:$A$83,0),MATCH($C230,'🔖 배합비 참조'!$B$1:$CE$1,0))/100,0),""))),"")</f>
        <v>0</v>
      </c>
      <c r="AX230" s="42" t="n">
        <f aca="false">IFERROR(IF($C230="","",IF($D230="","",IFERROR(ROUND($D230*INDEX('🔖 배합비 참조'!$B$2:$CE$83,MATCH("생크림",'🔖 배합비 참조'!$A$2:$A$83,0),MATCH($C230,'🔖 배합비 참조'!$B$1:$CE$1,0))/100,0),""))),"")</f>
        <v>0</v>
      </c>
      <c r="AY230" s="42" t="n">
        <f aca="false">IFERROR(IF($C230="","",IF($D230="","",IFERROR(ROUND($D230*INDEX('🔖 배합비 참조'!$B$2:$CE$83,MATCH("서양호박(국내산,뉴질랜드산)",'🔖 배합비 참조'!$A$2:$A$83,0),MATCH($C230,'🔖 배합비 참조'!$B$1:$CE$1,0))/100,0),""))),"")</f>
        <v>0</v>
      </c>
      <c r="AZ230" s="42" t="n">
        <f aca="false">IFERROR(IF($C230="","",IF($D230="","",IFERROR(ROUND($D230*INDEX('🔖 배합비 참조'!$B$2:$CE$83,MATCH("설탕",'🔖 배합비 참조'!$A$2:$A$83,0),MATCH($C230,'🔖 배합비 참조'!$B$1:$CE$1,0))/100,0),""))),"")</f>
        <v>3</v>
      </c>
      <c r="BA230" s="42" t="n">
        <f aca="false">IFERROR(IF($C230="","",IF($D230="","",IFERROR(ROUND($D230*INDEX('🔖 배합비 참조'!$B$2:$CE$83,MATCH("스트로우베리 에이드 후레쉬",'🔖 배합비 참조'!$A$2:$A$83,0),MATCH($C230,'🔖 배합비 참조'!$B$1:$CE$1,0))/100,0),""))),"")</f>
        <v>0</v>
      </c>
      <c r="BB230" s="42" t="n">
        <f aca="false">IFERROR(IF($C230="","",IF($D230="","",IFERROR(ROUND($D230*INDEX('🔖 배합비 참조'!$B$2:$CE$83,MATCH("식물성기름혼합제제(분홍)",'🔖 배합비 참조'!$A$2:$A$83,0),MATCH($C230,'🔖 배합비 참조'!$B$1:$CE$1,0))/100,0),""))),"")</f>
        <v>0</v>
      </c>
      <c r="BC230" s="42" t="n">
        <f aca="false">IFERROR(IF($C230="","",IF($D230="","",IFERROR(ROUND($D230*INDEX('🔖 배합비 참조'!$B$2:$CE$83,MATCH("식물성기름혼합제제(초록)",'🔖 배합비 참조'!$A$2:$A$83,0),MATCH($C230,'🔖 배합비 참조'!$B$1:$CE$1,0))/100,0),""))),"")</f>
        <v>0</v>
      </c>
      <c r="BD230" s="42" t="n">
        <f aca="false">IFERROR(IF($C230="","",IF($D230="","",IFERROR(ROUND($D230*INDEX('🔖 배합비 참조'!$B$2:$CE$83,MATCH("식물성기름혼합제제(황색)",'🔖 배합비 참조'!$A$2:$A$83,0),MATCH($C230,'🔖 배합비 참조'!$B$1:$CE$1,0))/100,0),""))),"")</f>
        <v>0</v>
      </c>
      <c r="BE230" s="42" t="n">
        <f aca="false">IFERROR(IF($C230="","",IF($D230="","",IFERROR(ROUND($D230*INDEX('🔖 배합비 참조'!$B$2:$CE$83,MATCH("쑥가루(국내산)",'🔖 배합비 참조'!$A$2:$A$83,0),MATCH($C230,'🔖 배합비 참조'!$B$1:$CE$1,0))/100,0),""))),"")</f>
        <v>0</v>
      </c>
      <c r="BF230" s="42" t="n">
        <f aca="false">IFERROR(IF($C230="","",IF($D230="","",IFERROR(ROUND($D230*INDEX('🔖 배합비 참조'!$B$2:$CE$83,MATCH("아몬드슬라이스",'🔖 배합비 참조'!$A$2:$A$83,0),MATCH($C230,'🔖 배합비 참조'!$B$1:$CE$1,0))/100,0),""))),"")</f>
        <v>0</v>
      </c>
      <c r="BG230" s="42" t="n">
        <f aca="false">IFERROR(IF($C230="","",IF($D230="","",IFERROR(ROUND($D230*INDEX('🔖 배합비 참조'!$B$2:$CE$83,MATCH("알룰로오스(국내산)",'🔖 배합비 참조'!$A$2:$A$83,0),MATCH($C230,'🔖 배합비 참조'!$B$1:$CE$1,0))/100,0),""))),"")</f>
        <v>0</v>
      </c>
      <c r="BH230" s="42" t="n">
        <f aca="false">IFERROR(IF($C230="","",IF($D230="","",IFERROR(ROUND($D230*INDEX('🔖 배합비 참조'!$B$2:$CE$83,MATCH("연유",'🔖 배합비 참조'!$A$2:$A$83,0),MATCH($C230,'🔖 배합비 참조'!$B$1:$CE$1,0))/100,0),""))),"")</f>
        <v>0</v>
      </c>
      <c r="BI230" s="42" t="n">
        <f aca="false">IFERROR(IF($C230="","",IF($D230="","",IFERROR(ROUND($D230*INDEX('🔖 배합비 참조'!$B$2:$CE$83,MATCH("옥수수전분",'🔖 배합비 참조'!$A$2:$A$83,0),MATCH($C230,'🔖 배합비 참조'!$B$1:$CE$1,0))/100,0),""))),"")</f>
        <v>0</v>
      </c>
      <c r="BJ230" s="42" t="n">
        <f aca="false">IFERROR(IF($C230="","",IF($D230="","",IFERROR(ROUND($D230*INDEX('🔖 배합비 참조'!$B$2:$CE$83,MATCH("완두배기",'🔖 배합비 참조'!$A$2:$A$83,0),MATCH($C230,'🔖 배합비 참조'!$B$1:$CE$1,0))/100,0),""))),"")</f>
        <v>0</v>
      </c>
      <c r="BK230" s="42" t="n">
        <f aca="false">IFERROR(IF($C230="","",IF($D230="","",IFERROR(ROUND($D230*INDEX('🔖 배합비 참조'!$B$2:$CE$83,MATCH("우유(국내산)",'🔖 배합비 참조'!$A$2:$A$83,0),MATCH($C230,'🔖 배합비 참조'!$B$1:$CE$1,0))/100,0),""))),"")</f>
        <v>0</v>
      </c>
      <c r="BL230" s="42" t="n">
        <f aca="false">IFERROR(IF($C230="","",IF($D230="","",IFERROR(ROUND($D230*INDEX('🔖 배합비 참조'!$B$2:$CE$83,MATCH("자색고구마가루(중국산)",'🔖 배합비 참조'!$A$2:$A$83,0),MATCH($C230,'🔖 배합비 참조'!$B$1:$CE$1,0))/100,0),""))),"")</f>
        <v>0</v>
      </c>
      <c r="BM230" s="42" t="n">
        <f aca="false">IFERROR(IF($C230="","",IF($D230="","",IFERROR(ROUND($D230*INDEX('🔖 배합비 참조'!$B$2:$CE$83,MATCH("자연치즈(체다치즈)",'🔖 배합비 참조'!$A$2:$A$83,0),MATCH($C230,'🔖 배합비 참조'!$B$1:$CE$1,0))/100,0),""))),"")</f>
        <v>0</v>
      </c>
      <c r="BN230" s="42" t="n">
        <f aca="false">IFERROR(IF($C230="","",IF($D230="","",IFERROR(ROUND($D230*INDEX('🔖 배합비 참조'!$B$2:$CE$83,MATCH("정제수",'🔖 배합비 참조'!$A$2:$A$83,0),MATCH($C230,'🔖 배합비 참조'!$B$1:$CE$1,0))/100,0),""))),"")</f>
        <v>27</v>
      </c>
      <c r="BO230" s="42" t="n">
        <f aca="false">IFERROR(IF($C230="","",IF($D230="","",IFERROR(ROUND($D230*INDEX('🔖 배합비 참조'!$B$2:$CE$83,MATCH("젤라틴",'🔖 배합비 참조'!$A$2:$A$83,0),MATCH($C230,'🔖 배합비 참조'!$B$1:$CE$1,0))/100,0),""))),"")</f>
        <v>0</v>
      </c>
      <c r="BP230" s="42" t="n">
        <f aca="false">IFERROR(IF($C230="","",IF($D230="","",IFERROR(ROUND($D230*INDEX('🔖 배합비 참조'!$B$2:$CE$83,MATCH("조림류(백옥앙금)",'🔖 배합비 참조'!$A$2:$A$83,0),MATCH($C230,'🔖 배합비 참조'!$B$1:$CE$1,0))/100,0),""))),"")</f>
        <v>0</v>
      </c>
      <c r="BQ230" s="42" t="n">
        <f aca="false">IFERROR(IF($C230="","",IF($D230="","",IFERROR(ROUND($D230*INDEX('🔖 배합비 참조'!$B$2:$CE$83,MATCH("조림류(통팥앙금)",'🔖 배합비 참조'!$A$2:$A$83,0),MATCH($C230,'🔖 배합비 참조'!$B$1:$CE$1,0))/100,0),""))),"")</f>
        <v>0</v>
      </c>
      <c r="BR230" s="42" t="n">
        <f aca="false">IFERROR(IF($C230="","",IF($D230="","",IFERROR(ROUND($D230*INDEX('🔖 배합비 참조'!$B$2:$CE$83,MATCH("준초콜릿(외국산)",'🔖 배합비 참조'!$A$2:$A$83,0),MATCH($C230,'🔖 배합비 참조'!$B$1:$CE$1,0))/100,0),""))),"")</f>
        <v>0</v>
      </c>
      <c r="BS230" s="42" t="n">
        <f aca="false">IFERROR(IF($C230="","",IF($D230="","",IFERROR(ROUND($D230*INDEX('🔖 배합비 참조'!$B$2:$CE$83,MATCH("중력분",'🔖 배합비 참조'!$A$2:$A$83,0),MATCH($C230,'🔖 배합비 참조'!$B$1:$CE$1,0))/100,0),""))),"")</f>
        <v>1</v>
      </c>
      <c r="BT230" s="42" t="n">
        <f aca="false">IFERROR(IF($C230="","",IF($D230="","",IFERROR(ROUND($D230*INDEX('🔖 배합비 참조'!$B$2:$CE$83,MATCH("참깨(인도산,나이지리아산,탄자니아산,미얀마산)",'🔖 배합비 참조'!$A$2:$A$83,0),MATCH($C230,'🔖 배합비 참조'!$B$1:$CE$1,0))/100,0),""))),"")</f>
        <v>0</v>
      </c>
      <c r="BU230" s="42" t="n">
        <f aca="false">IFERROR(IF($C230="","",IF($D230="","",IFERROR(ROUND($D230*INDEX('🔖 배합비 참조'!$B$2:$CE$83,MATCH("찹쌀(국내산)",'🔖 배합비 참조'!$A$2:$A$83,0),MATCH($C230,'🔖 배합비 참조'!$B$1:$CE$1,0))/100,0),""))),"")</f>
        <v>33</v>
      </c>
      <c r="BV230" s="42" t="n">
        <f aca="false">IFERROR(IF($C230="","",IF($D230="","",IFERROR(ROUND($D230*INDEX('🔖 배합비 참조'!$B$2:$CE$83,MATCH("천일염",'🔖 배합비 참조'!$A$2:$A$83,0),MATCH($C230,'🔖 배합비 참조'!$B$1:$CE$1,0))/100,0),""))),"")</f>
        <v>1</v>
      </c>
      <c r="BW230" s="42" t="n">
        <f aca="false">IFERROR(IF($C230="","",IF($D230="","",IFERROR(ROUND($D230*INDEX('🔖 배합비 참조'!$B$2:$CE$83,MATCH("치즈 [크림치즈]",'🔖 배합비 참조'!$A$2:$A$83,0),MATCH($C230,'🔖 배합비 참조'!$B$1:$CE$1,0))/100,0),""))),"")</f>
        <v>0</v>
      </c>
      <c r="BX230" s="42" t="n">
        <f aca="false">IFERROR(IF($C230="","",IF($D230="","",IFERROR(ROUND($D230*INDEX('🔖 배합비 참조'!$B$2:$CE$83,MATCH("코코아가공품류(코코아분말)",'🔖 배합비 참조'!$A$2:$A$83,0),MATCH($C230,'🔖 배합비 참조'!$B$1:$CE$1,0))/100,0),""))),"")</f>
        <v>0</v>
      </c>
      <c r="BY230" s="42" t="n">
        <f aca="false">IFERROR(IF($C230="","",IF($D230="","",IFERROR(ROUND($D230*INDEX('🔖 배합비 참조'!$B$2:$CE$83,MATCH("콩기름(대두유)",'🔖 배합비 참조'!$A$2:$A$83,0),MATCH($C230,'🔖 배합비 참조'!$B$1:$CE$1,0))/100,0),""))),"")</f>
        <v>0</v>
      </c>
      <c r="BZ230" s="42" t="n">
        <f aca="false">IFERROR(IF($C230="","",IF($D230="","",IFERROR(ROUND($D230*INDEX('🔖 배합비 참조'!$B$2:$CE$83,MATCH("해바라기씨앗",'🔖 배합비 참조'!$A$2:$A$83,0),MATCH($C230,'🔖 배합비 참조'!$B$1:$CE$1,0))/100,0),""))),"")</f>
        <v>0</v>
      </c>
      <c r="CA230" s="42" t="n">
        <f aca="false">IFERROR(IF($C230="","",IF($D230="","",IFERROR(ROUND($D230*INDEX('🔖 배합비 참조'!$B$2:$CE$83,MATCH("현미(국내산)",'🔖 배합비 참조'!$A$2:$A$83,0),MATCH($C230,'🔖 배합비 참조'!$B$1:$CE$1,0))/100,0),""))),"")</f>
        <v>0</v>
      </c>
      <c r="CB230" s="42" t="n">
        <f aca="false">IFERROR(IF($C230="","",IF($D230="","",IFERROR(ROUND($D230*INDEX('🔖 배합비 참조'!$B$2:$CE$83,MATCH("현미멥쌀(국내산)",'🔖 배합비 참조'!$A$2:$A$83,0),MATCH($C230,'🔖 배합비 참조'!$B$1:$CE$1,0))/100,0),""))),"")</f>
        <v>0</v>
      </c>
      <c r="CC230" s="42" t="n">
        <f aca="false">IFERROR(IF($C230="","",IF($D230="","",IFERROR(ROUND($D230*INDEX('🔖 배합비 참조'!$B$2:$CE$83,MATCH("호두분태(미국산)",'🔖 배합비 참조'!$A$2:$A$83,0),MATCH($C230,'🔖 배합비 참조'!$B$1:$CE$1,0))/100,0),""))),"")</f>
        <v>0</v>
      </c>
      <c r="CD230" s="42" t="n">
        <f aca="false">IFERROR(IF($C230="","",IF($D230="","",IFERROR(ROUND($D230*INDEX('🔖 배합비 참조'!$B$2:$CE$83,MATCH("호박씨앗(외국산)",'🔖 배합비 참조'!$A$2:$A$83,0),MATCH($C230,'🔖 배합비 참조'!$B$1:$CE$1,0))/100,0),""))),"")</f>
        <v>0</v>
      </c>
      <c r="CE230" s="42" t="n">
        <f aca="false">IFERROR(IF($C230="","",IF($D230="","",IFERROR(ROUND($D230*INDEX('🔖 배합비 참조'!$B$2:$CE$83,MATCH("혼합제제(떡용에스텔)",'🔖 배합비 참조'!$A$2:$A$83,0),MATCH($C230,'🔖 배합비 참조'!$B$1:$CE$1,0))/100,0),""))),"")</f>
        <v>0</v>
      </c>
      <c r="CF230" s="42" t="n">
        <f aca="false">IFERROR(IF($C230="","",IF($D230="","",IFERROR(ROUND($D230*INDEX('🔖 배합비 참조'!$B$2:$CE$83,MATCH("혼합제제(스테비아)",'🔖 배합비 참조'!$A$2:$A$83,0),MATCH($C230,'🔖 배합비 참조'!$B$1:$CE$1,0))/100,0),""))),"")</f>
        <v>0</v>
      </c>
      <c r="CG230" s="42" t="n">
        <f aca="false">IFERROR(IF($C230="","",IF($D230="","",IFERROR(ROUND($D230*INDEX('🔖 배합비 참조'!$B$2:$CE$83,MATCH("화이트초콜릿",'🔖 배합비 참조'!$A$2:$A$83,0),MATCH($C230,'🔖 배합비 참조'!$B$1:$CE$1,0))/100,0),""))),"")</f>
        <v>0</v>
      </c>
      <c r="CH230" s="42" t="n">
        <f aca="false">IFERROR(IF($C230="","",IF($D230="","",IFERROR(ROUND($D230*INDEX('🔖 배합비 참조'!$B$2:$CE$83,MATCH("흑미찹쌀(국내산)",'🔖 배합비 참조'!$A$2:$A$83,0),MATCH($C230,'🔖 배합비 참조'!$B$1:$CE$1,0))/100,0),""))),"")</f>
        <v>0</v>
      </c>
      <c r="CI230" s="42" t="n">
        <f aca="false">IFERROR(IF($C230="","",IF($D230="","",IFERROR(ROUND($D230*INDEX('🔖 배합비 참조'!$B$2:$CE$83,MATCH("찰옥수수전분(미국산)",'🔖 배합비 참조'!$A$2:$A$83,0),MATCH($C230,'🔖 배합비 참조'!$B$1:$CE$1,0))/100,0),""))),"")</f>
        <v>0</v>
      </c>
      <c r="CJ230" s="40"/>
      <c r="CL230" s="1" t="s">
        <v>247</v>
      </c>
    </row>
    <row r="231" customFormat="false" ht="18" hidden="false" customHeight="true" outlineLevel="0" collapsed="false">
      <c r="A231" s="35" t="n">
        <v>227</v>
      </c>
      <c r="B231" s="36" t="n">
        <v>46072</v>
      </c>
      <c r="C231" s="37" t="s">
        <v>191</v>
      </c>
      <c r="D231" s="38" t="n">
        <v>1100</v>
      </c>
      <c r="E231" s="13"/>
      <c r="F231" s="13"/>
      <c r="G231" s="39" t="n">
        <f aca="false">IFERROR(IF($C231="","",IF($D231="","",IFERROR(ROUND($D231*INDEX('🔖 배합비 참조'!$B$2:$CE$83,MATCH("간장",'🔖 배합비 참조'!$A$2:$A$83,0),MATCH($C231,'🔖 배합비 참조'!$B$1:$CE$1,0))/100,0),""))),"")</f>
        <v>0</v>
      </c>
      <c r="H231" s="39" t="n">
        <f aca="false">IFERROR(IF($C231="","",IF($D231="","",IFERROR(ROUND($D231*INDEX('🔖 배합비 참조'!$B$2:$CE$83,MATCH("강낭콩((울타리콩))",'🔖 배합비 참조'!$A$2:$A$83,0),MATCH($C231,'🔖 배합비 참조'!$B$1:$CE$1,0))/100,0),""))),"")</f>
        <v>0</v>
      </c>
      <c r="I231" s="39" t="n">
        <f aca="false">IFERROR(IF($C231="","",IF($D231="","",IFERROR(ROUND($D231*INDEX('🔖 배합비 참조'!$B$2:$CE$83,MATCH("건조딸기다이스(외국산)",'🔖 배합비 참조'!$A$2:$A$83,0),MATCH($C231,'🔖 배합비 참조'!$B$1:$CE$1,0))/100,0),""))),"")</f>
        <v>0</v>
      </c>
      <c r="J231" s="39" t="n">
        <f aca="false">IFERROR(IF($C231="","",IF($D231="","",IFERROR(ROUND($D231*INDEX('🔖 배합비 참조'!$B$2:$CE$83,MATCH("건포도",'🔖 배합비 참조'!$A$2:$A$83,0),MATCH($C231,'🔖 배합비 참조'!$B$1:$CE$1,0))/100,0),""))),"")</f>
        <v>0</v>
      </c>
      <c r="K231" s="39" t="n">
        <f aca="false">IFERROR(IF($C231="","",IF($D231="","",IFERROR(ROUND($D231*INDEX('🔖 배합비 참조'!$B$2:$CE$83,MATCH("건호박채(중국산)",'🔖 배합비 참조'!$A$2:$A$83,0),MATCH($C231,'🔖 배합비 참조'!$B$1:$CE$1,0))/100,0),""))),"")</f>
        <v>0</v>
      </c>
      <c r="L231" s="39" t="n">
        <f aca="false">IFERROR(IF($C231="","",IF($D231="","",IFERROR(ROUND($D231*INDEX('🔖 배합비 참조'!$B$2:$CE$83,MATCH("검정깨(흑임자)",'🔖 배합비 참조'!$A$2:$A$83,0),MATCH($C231,'🔖 배합비 참조'!$B$1:$CE$1,0))/100,0),""))),"")</f>
        <v>0</v>
      </c>
      <c r="M231" s="39" t="n">
        <f aca="false">IFERROR(IF($C231="","",IF($D231="","",IFERROR(ROUND($D231*INDEX('🔖 배합비 참조'!$B$2:$CE$83,MATCH("검정콩",'🔖 배합비 참조'!$A$2:$A$83,0),MATCH($C231,'🔖 배합비 참조'!$B$1:$CE$1,0))/100,0),""))),"")</f>
        <v>0</v>
      </c>
      <c r="N231" s="39" t="n">
        <f aca="false">IFERROR(IF($C231="","",IF($D231="","",IFERROR(ROUND($D231*INDEX('🔖 배합비 참조'!$B$2:$CE$83,MATCH("계피가루",'🔖 배합비 참조'!$A$2:$A$83,0),MATCH($C231,'🔖 배합비 참조'!$B$1:$CE$1,0))/100,0),""))),"")</f>
        <v>0</v>
      </c>
      <c r="O231" s="39" t="n">
        <f aca="false">IFERROR(IF($C231="","",IF($D231="","",IFERROR(ROUND($D231*INDEX('🔖 배합비 참조'!$B$2:$CE$83,MATCH("고구마가루",'🔖 배합비 참조'!$A$2:$A$83,0),MATCH($C231,'🔖 배합비 참조'!$B$1:$CE$1,0))/100,0),""))),"")</f>
        <v>0</v>
      </c>
      <c r="P231" s="39" t="n">
        <f aca="false">IFERROR(IF($C231="","",IF($D231="","",IFERROR(ROUND($D231*INDEX('🔖 배합비 참조'!$B$2:$CE$83,MATCH("고구마무스",'🔖 배합비 참조'!$A$2:$A$83,0),MATCH($C231,'🔖 배합비 참조'!$B$1:$CE$1,0))/100,0),""))),"")</f>
        <v>0</v>
      </c>
      <c r="Q231" s="39" t="n">
        <f aca="false">IFERROR(IF($C231="","",IF($D231="","",IFERROR(ROUND($D231*INDEX('🔖 배합비 참조'!$B$2:$CE$83,MATCH("고려엉겅퀴((곤드레)국내산)",'🔖 배합비 참조'!$A$2:$A$83,0),MATCH($C231,'🔖 배합비 참조'!$B$1:$CE$1,0))/100,0),""))),"")</f>
        <v>0</v>
      </c>
      <c r="R231" s="39" t="n">
        <f aca="false">IFERROR(IF($C231="","",IF($D231="","",IFERROR(ROUND($D231*INDEX('🔖 배합비 참조'!$B$2:$CE$83,MATCH("기타가공품(복분자가루)",'🔖 배합비 참조'!$A$2:$A$83,0),MATCH($C231,'🔖 배합비 참조'!$B$1:$CE$1,0))/100,0),""))),"")</f>
        <v>0</v>
      </c>
      <c r="S231" s="39" t="n">
        <f aca="false">IFERROR(IF($C231="","",IF($D231="","",IFERROR(ROUND($D231*INDEX('🔖 배합비 참조'!$B$2:$CE$83,MATCH("기타가공품(슈퍼소프트엠)",'🔖 배합비 참조'!$A$2:$A$83,0),MATCH($C231,'🔖 배합비 참조'!$B$1:$CE$1,0))/100,0),""))),"")</f>
        <v>0</v>
      </c>
      <c r="T231" s="39" t="n">
        <f aca="false">IFERROR(IF($C231="","",IF($D231="","",IFERROR(ROUND($D231*INDEX('🔖 배합비 참조'!$B$2:$CE$83,MATCH("기타가공품(파인소프트 E-티)",'🔖 배합비 참조'!$A$2:$A$83,0),MATCH($C231,'🔖 배합비 참조'!$B$1:$CE$1,0))/100,0),""))),"")</f>
        <v>0</v>
      </c>
      <c r="U231" s="39" t="n">
        <f aca="false">IFERROR(IF($C231="","",IF($D231="","",IFERROR(ROUND($D231*INDEX('🔖 배합비 참조'!$B$2:$CE$83,MATCH("기타가공품(프리미엄카스테라가루)",'🔖 배합비 참조'!$A$2:$A$83,0),MATCH($C231,'🔖 배합비 참조'!$B$1:$CE$1,0))/100,0),""))),"")</f>
        <v>0</v>
      </c>
      <c r="V231" s="39" t="n">
        <f aca="false">IFERROR(IF($C231="","",IF($D231="","",IFERROR(ROUND($D231*INDEX('🔖 배합비 참조'!$B$2:$CE$83,MATCH("기타가공품(흑임자가루)",'🔖 배합비 참조'!$A$2:$A$83,0),MATCH($C231,'🔖 배합비 참조'!$B$1:$CE$1,0))/100,0),""))),"")</f>
        <v>0</v>
      </c>
      <c r="W231" s="39" t="n">
        <f aca="false">IFERROR(IF($C231="","",IF($D231="","",IFERROR(ROUND($D231*INDEX('🔖 배합비 참조'!$B$2:$CE$83,MATCH("기타설탕(흑설탕)",'🔖 배합비 참조'!$A$2:$A$83,0),MATCH($C231,'🔖 배합비 참조'!$B$1:$CE$1,0))/100,0),""))),"")</f>
        <v>0</v>
      </c>
      <c r="X231" s="39" t="n">
        <f aca="false">IFERROR(IF($C231="","",IF($D231="","",IFERROR(ROUND($D231*INDEX('🔖 배합비 참조'!$B$2:$CE$83,MATCH("냉동쑥(국내산)",'🔖 배합비 참조'!$A$2:$A$83,0),MATCH($C231,'🔖 배합비 참조'!$B$1:$CE$1,0))/100,0),""))),"")</f>
        <v>0</v>
      </c>
      <c r="Y231" s="39" t="n">
        <f aca="false">IFERROR(IF($C231="","",IF($D231="","",IFERROR(ROUND($D231*INDEX('🔖 배합비 참조'!$B$2:$CE$83,MATCH("냉동증숙고구마(중국산)",'🔖 배합비 참조'!$A$2:$A$83,0),MATCH($C231,'🔖 배합비 참조'!$B$1:$CE$1,0))/100,0),""))),"")</f>
        <v>0</v>
      </c>
      <c r="Z231" s="39" t="n">
        <f aca="false">IFERROR(IF($C231="","",IF($D231="","",IFERROR(ROUND($D231*INDEX('🔖 배합비 참조'!$B$2:$CE$83,MATCH("녹차가루",'🔖 배합비 참조'!$A$2:$A$83,0),MATCH($C231,'🔖 배합비 참조'!$B$1:$CE$1,0))/100,0),""))),"")</f>
        <v>0</v>
      </c>
      <c r="AA231" s="39" t="n">
        <f aca="false">IFERROR(IF($C231="","",IF($D231="","",IFERROR(ROUND($D231*INDEX('🔖 배합비 참조'!$B$2:$CE$83,MATCH("다크초콜릿 컴파운드칩",'🔖 배합비 참조'!$A$2:$A$83,0),MATCH($C231,'🔖 배합비 참조'!$B$1:$CE$1,0))/100,0),""))),"")</f>
        <v>0</v>
      </c>
      <c r="AB231" s="39" t="n">
        <f aca="false">IFERROR(IF($C231="","",IF($D231="","",IFERROR(ROUND($D231*INDEX('🔖 배합비 참조'!$B$2:$CE$83,MATCH("단호박분말(중국산)",'🔖 배합비 참조'!$A$2:$A$83,0),MATCH($C231,'🔖 배합비 참조'!$B$1:$CE$1,0))/100,0),""))),"")</f>
        <v>0</v>
      </c>
      <c r="AC231" s="39" t="n">
        <f aca="false">IFERROR(IF($C231="","",IF($D231="","",IFERROR(ROUND($D231*INDEX('🔖 배합비 참조'!$B$2:$CE$83,MATCH("당류가공품(단호박농축액)",'🔖 배합비 참조'!$A$2:$A$83,0),MATCH($C231,'🔖 배합비 참조'!$B$1:$CE$1,0))/100,0),""))),"")</f>
        <v>0</v>
      </c>
      <c r="AD231" s="39" t="n">
        <f aca="false">IFERROR(IF($C231="","",IF($D231="","",IFERROR(ROUND($D231*INDEX('🔖 배합비 참조'!$B$2:$CE$83,MATCH("당류가공품(알룰로스,에리스리톨,스테비올배당체혼합)",'🔖 배합비 참조'!$A$2:$A$83,0),MATCH($C231,'🔖 배합비 참조'!$B$1:$CE$1,0))/100,0),""))),"")</f>
        <v>0</v>
      </c>
      <c r="AE231" s="39" t="n">
        <f aca="false">IFERROR(IF($C231="","",IF($D231="","",IFERROR(ROUND($D231*INDEX('🔖 배합비 참조'!$B$2:$CE$83,MATCH("당류가공품(알룰로스제로파우더)",'🔖 배합비 참조'!$A$2:$A$83,0),MATCH($C231,'🔖 배합비 참조'!$B$1:$CE$1,0))/100,0),""))),"")</f>
        <v>0</v>
      </c>
      <c r="AF231" s="39" t="n">
        <f aca="false">IFERROR(IF($C231="","",IF($D231="","",IFERROR(ROUND($D231*INDEX('🔖 배합비 참조'!$B$2:$CE$83,MATCH("당절임(완두배기)",'🔖 배합비 참조'!$A$2:$A$83,0),MATCH($C231,'🔖 배합비 참조'!$B$1:$CE$1,0))/100,0),""))),"")</f>
        <v>0</v>
      </c>
      <c r="AG231" s="39" t="n">
        <f aca="false">IFERROR(IF($C231="","",IF($D231="","",IFERROR(ROUND($D231*INDEX('🔖 배합비 참조'!$B$2:$CE$83,MATCH("대추농축액",'🔖 배합비 참조'!$A$2:$A$83,0),MATCH($C231,'🔖 배합비 참조'!$B$1:$CE$1,0))/100,0),""))),"")</f>
        <v>0</v>
      </c>
      <c r="AH231" s="39" t="n">
        <f aca="false">IFERROR(IF($C231="","",IF($D231="","",IFERROR(ROUND($D231*INDEX('🔖 배합비 참조'!$B$2:$CE$83,MATCH("대추채(국내산)",'🔖 배합비 참조'!$A$2:$A$83,0),MATCH($C231,'🔖 배합비 참조'!$B$1:$CE$1,0))/100,0),""))),"")</f>
        <v>0</v>
      </c>
      <c r="AI231" s="39" t="n">
        <f aca="false">IFERROR(IF($C231="","",IF($D231="","",IFERROR(ROUND($D231*INDEX('🔖 배합비 참조'!$B$2:$CE$83,MATCH("동부(미얀마산)",'🔖 배합비 참조'!$A$2:$A$83,0),MATCH($C231,'🔖 배합비 참조'!$B$1:$CE$1,0))/100,0),""))),"")</f>
        <v>0</v>
      </c>
      <c r="AJ231" s="39" t="n">
        <f aca="false">IFERROR(IF($C231="","",IF($D231="","",IFERROR(ROUND($D231*INDEX('🔖 배합비 참조'!$B$2:$CE$83,MATCH("두류가공품(백옥앙금)",'🔖 배합비 참조'!$A$2:$A$83,0),MATCH($C231,'🔖 배합비 참조'!$B$1:$CE$1,0))/100,0),""))),"")</f>
        <v>0</v>
      </c>
      <c r="AK231" s="39" t="n">
        <f aca="false">IFERROR(IF($C231="","",IF($D231="","",IFERROR(ROUND($D231*INDEX('🔖 배합비 참조'!$B$2:$CE$83,MATCH("두류가공품(콩고물)",'🔖 배합비 참조'!$A$2:$A$83,0),MATCH($C231,'🔖 배합비 참조'!$B$1:$CE$1,0))/100,0),""))),"")</f>
        <v>0</v>
      </c>
      <c r="AL231" s="39" t="n">
        <f aca="false">IFERROR(IF($C231="","",IF($D231="","",IFERROR(ROUND($D231*INDEX('🔖 배합비 참조'!$B$2:$CE$83,MATCH("두류가공품(통팥고물)",'🔖 배합비 참조'!$A$2:$A$83,0),MATCH($C231,'🔖 배합비 참조'!$B$1:$CE$1,0))/100,0),""))),"")</f>
        <v>0</v>
      </c>
      <c r="AM231" s="39" t="n">
        <f aca="false">IFERROR(IF($C231="","",IF($D231="","",IFERROR(ROUND($D231*INDEX('🔖 배합비 참조'!$B$2:$CE$83,MATCH("딸기레진",'🔖 배합비 참조'!$A$2:$A$83,0),MATCH($C231,'🔖 배합비 참조'!$B$1:$CE$1,0))/100,0),""))),"")</f>
        <v>0</v>
      </c>
      <c r="AN231" s="39" t="n">
        <f aca="false">IFERROR(IF($C231="","",IF($D231="","",IFERROR(ROUND($D231*INDEX('🔖 배합비 참조'!$B$2:$CE$83,MATCH("딸기분말(스트로우베리에이드(분말))",'🔖 배합비 참조'!$A$2:$A$83,0),MATCH($C231,'🔖 배합비 참조'!$B$1:$CE$1,0))/100,0),""))),"")</f>
        <v>0</v>
      </c>
      <c r="AO231" s="39" t="n">
        <f aca="false">IFERROR(IF($C231="","",IF($D231="","",IFERROR(ROUND($D231*INDEX('🔖 배합비 참조'!$B$2:$CE$83,MATCH("마스카포네치즈",'🔖 배합비 참조'!$A$2:$A$83,0),MATCH($C231,'🔖 배합비 참조'!$B$1:$CE$1,0))/100,0),""))),"")</f>
        <v>0</v>
      </c>
      <c r="AP231" s="39" t="n">
        <f aca="false">IFERROR(IF($C231="","",IF($D231="","",IFERROR(ROUND($D231*INDEX('🔖 배합비 참조'!$B$2:$CE$83,MATCH("마카다미아분태(호주산)",'🔖 배합비 참조'!$A$2:$A$83,0),MATCH($C231,'🔖 배합비 참조'!$B$1:$CE$1,0))/100,0),""))),"")</f>
        <v>0</v>
      </c>
      <c r="AQ231" s="39" t="n">
        <f aca="false">IFERROR(IF($C231="","",IF($D231="","",IFERROR(ROUND($D231*INDEX('🔖 배합비 참조'!$B$2:$CE$83,MATCH("멥쌀(국내산)",'🔖 배합비 참조'!$A$2:$A$83,0),MATCH($C231,'🔖 배합비 참조'!$B$1:$CE$1,0))/100,0),""))),"")</f>
        <v>22</v>
      </c>
      <c r="AR231" s="39" t="n">
        <f aca="false">IFERROR(IF($C231="","",IF($D231="","",IFERROR(ROUND($D231*INDEX('🔖 배합비 참조'!$B$2:$CE$83,MATCH("모시잎(국내산)",'🔖 배합비 참조'!$A$2:$A$83,0),MATCH($C231,'🔖 배합비 참조'!$B$1:$CE$1,0))/100,0),""))),"")</f>
        <v>0</v>
      </c>
      <c r="AS231" s="39" t="n">
        <f aca="false">IFERROR(IF($C231="","",IF($D231="","",IFERROR(ROUND($D231*INDEX('🔖 배합비 참조'!$B$2:$CE$83,MATCH("물엿(저당물엿)",'🔖 배합비 참조'!$A$2:$A$83,0),MATCH($C231,'🔖 배합비 참조'!$B$1:$CE$1,0))/100,0),""))),"")</f>
        <v>0</v>
      </c>
      <c r="AT231" s="39" t="n">
        <f aca="false">IFERROR(IF($C231="","",IF($D231="","",IFERROR(ROUND($D231*INDEX('🔖 배합비 참조'!$B$2:$CE$83,MATCH("밤다이스",'🔖 배합비 참조'!$A$2:$A$83,0),MATCH($C231,'🔖 배합비 참조'!$B$1:$CE$1,0))/100,0),""))),"")</f>
        <v>0</v>
      </c>
      <c r="AU231" s="39" t="n">
        <f aca="false">IFERROR(IF($C231="","",IF($D231="","",IFERROR(ROUND($D231*INDEX('🔖 배합비 참조'!$B$2:$CE$83,MATCH("변성전분(타피오카전분)",'🔖 배합비 참조'!$A$2:$A$83,0),MATCH($C231,'🔖 배합비 참조'!$B$1:$CE$1,0))/100,0),""))),"")</f>
        <v>0</v>
      </c>
      <c r="AV231" s="39" t="n">
        <f aca="false">IFERROR(IF($C231="","",IF($D231="","",IFERROR(ROUND($D231*INDEX('🔖 배합비 참조'!$B$2:$CE$83,MATCH("복음땅콩분태",'🔖 배합비 참조'!$A$2:$A$83,0),MATCH($C231,'🔖 배합비 참조'!$B$1:$CE$1,0))/100,0),""))),"")</f>
        <v>0</v>
      </c>
      <c r="AW231" s="39" t="n">
        <f aca="false">IFERROR(IF($C231="","",IF($D231="","",IFERROR(ROUND($D231*INDEX('🔖 배합비 참조'!$B$2:$CE$83,MATCH("사양벌꿀(국내산)",'🔖 배합비 참조'!$A$2:$A$83,0),MATCH($C231,'🔖 배합비 참조'!$B$1:$CE$1,0))/100,0),""))),"")</f>
        <v>0</v>
      </c>
      <c r="AX231" s="39" t="n">
        <f aca="false">IFERROR(IF($C231="","",IF($D231="","",IFERROR(ROUND($D231*INDEX('🔖 배합비 참조'!$B$2:$CE$83,MATCH("생크림",'🔖 배합비 참조'!$A$2:$A$83,0),MATCH($C231,'🔖 배합비 참조'!$B$1:$CE$1,0))/100,0),""))),"")</f>
        <v>0</v>
      </c>
      <c r="AY231" s="39" t="n">
        <f aca="false">IFERROR(IF($C231="","",IF($D231="","",IFERROR(ROUND($D231*INDEX('🔖 배합비 참조'!$B$2:$CE$83,MATCH("서양호박(국내산,뉴질랜드산)",'🔖 배합비 참조'!$A$2:$A$83,0),MATCH($C231,'🔖 배합비 참조'!$B$1:$CE$1,0))/100,0),""))),"")</f>
        <v>0</v>
      </c>
      <c r="AZ231" s="39" t="n">
        <f aca="false">IFERROR(IF($C231="","",IF($D231="","",IFERROR(ROUND($D231*INDEX('🔖 배합비 참조'!$B$2:$CE$83,MATCH("설탕",'🔖 배합비 참조'!$A$2:$A$83,0),MATCH($C231,'🔖 배합비 참조'!$B$1:$CE$1,0))/100,0),""))),"")</f>
        <v>209</v>
      </c>
      <c r="BA231" s="39" t="n">
        <f aca="false">IFERROR(IF($C231="","",IF($D231="","",IFERROR(ROUND($D231*INDEX('🔖 배합비 참조'!$B$2:$CE$83,MATCH("스트로우베리 에이드 후레쉬",'🔖 배합비 참조'!$A$2:$A$83,0),MATCH($C231,'🔖 배합비 참조'!$B$1:$CE$1,0))/100,0),""))),"")</f>
        <v>0</v>
      </c>
      <c r="BB231" s="39" t="n">
        <f aca="false">IFERROR(IF($C231="","",IF($D231="","",IFERROR(ROUND($D231*INDEX('🔖 배합비 참조'!$B$2:$CE$83,MATCH("식물성기름혼합제제(분홍)",'🔖 배합비 참조'!$A$2:$A$83,0),MATCH($C231,'🔖 배합비 참조'!$B$1:$CE$1,0))/100,0),""))),"")</f>
        <v>0</v>
      </c>
      <c r="BC231" s="39" t="n">
        <f aca="false">IFERROR(IF($C231="","",IF($D231="","",IFERROR(ROUND($D231*INDEX('🔖 배합비 참조'!$B$2:$CE$83,MATCH("식물성기름혼합제제(초록)",'🔖 배합비 참조'!$A$2:$A$83,0),MATCH($C231,'🔖 배합비 참조'!$B$1:$CE$1,0))/100,0),""))),"")</f>
        <v>0</v>
      </c>
      <c r="BD231" s="39" t="n">
        <f aca="false">IFERROR(IF($C231="","",IF($D231="","",IFERROR(ROUND($D231*INDEX('🔖 배합비 참조'!$B$2:$CE$83,MATCH("식물성기름혼합제제(황색)",'🔖 배합비 참조'!$A$2:$A$83,0),MATCH($C231,'🔖 배합비 참조'!$B$1:$CE$1,0))/100,0),""))),"")</f>
        <v>0</v>
      </c>
      <c r="BE231" s="39" t="n">
        <f aca="false">IFERROR(IF($C231="","",IF($D231="","",IFERROR(ROUND($D231*INDEX('🔖 배합비 참조'!$B$2:$CE$83,MATCH("쑥가루(국내산)",'🔖 배합비 참조'!$A$2:$A$83,0),MATCH($C231,'🔖 배합비 참조'!$B$1:$CE$1,0))/100,0),""))),"")</f>
        <v>0</v>
      </c>
      <c r="BF231" s="39" t="n">
        <f aca="false">IFERROR(IF($C231="","",IF($D231="","",IFERROR(ROUND($D231*INDEX('🔖 배합비 참조'!$B$2:$CE$83,MATCH("아몬드슬라이스",'🔖 배합비 참조'!$A$2:$A$83,0),MATCH($C231,'🔖 배합비 참조'!$B$1:$CE$1,0))/100,0),""))),"")</f>
        <v>0</v>
      </c>
      <c r="BG231" s="39" t="n">
        <f aca="false">IFERROR(IF($C231="","",IF($D231="","",IFERROR(ROUND($D231*INDEX('🔖 배합비 참조'!$B$2:$CE$83,MATCH("알룰로오스(국내산)",'🔖 배합비 참조'!$A$2:$A$83,0),MATCH($C231,'🔖 배합비 참조'!$B$1:$CE$1,0))/100,0),""))),"")</f>
        <v>0</v>
      </c>
      <c r="BH231" s="39" t="n">
        <f aca="false">IFERROR(IF($C231="","",IF($D231="","",IFERROR(ROUND($D231*INDEX('🔖 배합비 참조'!$B$2:$CE$83,MATCH("연유",'🔖 배합비 참조'!$A$2:$A$83,0),MATCH($C231,'🔖 배합비 참조'!$B$1:$CE$1,0))/100,0),""))),"")</f>
        <v>0</v>
      </c>
      <c r="BI231" s="39" t="n">
        <f aca="false">IFERROR(IF($C231="","",IF($D231="","",IFERROR(ROUND($D231*INDEX('🔖 배합비 참조'!$B$2:$CE$83,MATCH("옥수수전분",'🔖 배합비 참조'!$A$2:$A$83,0),MATCH($C231,'🔖 배합비 참조'!$B$1:$CE$1,0))/100,0),""))),"")</f>
        <v>0</v>
      </c>
      <c r="BJ231" s="39" t="n">
        <f aca="false">IFERROR(IF($C231="","",IF($D231="","",IFERROR(ROUND($D231*INDEX('🔖 배합비 참조'!$B$2:$CE$83,MATCH("완두배기",'🔖 배합비 참조'!$A$2:$A$83,0),MATCH($C231,'🔖 배합비 참조'!$B$1:$CE$1,0))/100,0),""))),"")</f>
        <v>0</v>
      </c>
      <c r="BK231" s="39" t="n">
        <f aca="false">IFERROR(IF($C231="","",IF($D231="","",IFERROR(ROUND($D231*INDEX('🔖 배합비 참조'!$B$2:$CE$83,MATCH("우유(국내산)",'🔖 배합비 참조'!$A$2:$A$83,0),MATCH($C231,'🔖 배합비 참조'!$B$1:$CE$1,0))/100,0),""))),"")</f>
        <v>0</v>
      </c>
      <c r="BL231" s="39" t="n">
        <f aca="false">IFERROR(IF($C231="","",IF($D231="","",IFERROR(ROUND($D231*INDEX('🔖 배합비 참조'!$B$2:$CE$83,MATCH("자색고구마가루(중국산)",'🔖 배합비 참조'!$A$2:$A$83,0),MATCH($C231,'🔖 배합비 참조'!$B$1:$CE$1,0))/100,0),""))),"")</f>
        <v>0</v>
      </c>
      <c r="BM231" s="39" t="n">
        <f aca="false">IFERROR(IF($C231="","",IF($D231="","",IFERROR(ROUND($D231*INDEX('🔖 배합비 참조'!$B$2:$CE$83,MATCH("자연치즈(체다치즈)",'🔖 배합비 참조'!$A$2:$A$83,0),MATCH($C231,'🔖 배합비 참조'!$B$1:$CE$1,0))/100,0),""))),"")</f>
        <v>0</v>
      </c>
      <c r="BN231" s="39" t="n">
        <f aca="false">IFERROR(IF($C231="","",IF($D231="","",IFERROR(ROUND($D231*INDEX('🔖 배합비 참조'!$B$2:$CE$83,MATCH("정제수",'🔖 배합비 참조'!$A$2:$A$83,0),MATCH($C231,'🔖 배합비 참조'!$B$1:$CE$1,0))/100,0),""))),"")</f>
        <v>33</v>
      </c>
      <c r="BO231" s="39" t="n">
        <f aca="false">IFERROR(IF($C231="","",IF($D231="","",IFERROR(ROUND($D231*INDEX('🔖 배합비 참조'!$B$2:$CE$83,MATCH("젤라틴",'🔖 배합비 참조'!$A$2:$A$83,0),MATCH($C231,'🔖 배합비 참조'!$B$1:$CE$1,0))/100,0),""))),"")</f>
        <v>0</v>
      </c>
      <c r="BP231" s="39" t="n">
        <f aca="false">IFERROR(IF($C231="","",IF($D231="","",IFERROR(ROUND($D231*INDEX('🔖 배합비 참조'!$B$2:$CE$83,MATCH("조림류(백옥앙금)",'🔖 배합비 참조'!$A$2:$A$83,0),MATCH($C231,'🔖 배합비 참조'!$B$1:$CE$1,0))/100,0),""))),"")</f>
        <v>0</v>
      </c>
      <c r="BQ231" s="39" t="n">
        <f aca="false">IFERROR(IF($C231="","",IF($D231="","",IFERROR(ROUND($D231*INDEX('🔖 배합비 참조'!$B$2:$CE$83,MATCH("조림류(통팥앙금)",'🔖 배합비 참조'!$A$2:$A$83,0),MATCH($C231,'🔖 배합비 참조'!$B$1:$CE$1,0))/100,0),""))),"")</f>
        <v>198</v>
      </c>
      <c r="BR231" s="39" t="n">
        <f aca="false">IFERROR(IF($C231="","",IF($D231="","",IFERROR(ROUND($D231*INDEX('🔖 배합비 참조'!$B$2:$CE$83,MATCH("준초콜릿(외국산)",'🔖 배합비 참조'!$A$2:$A$83,0),MATCH($C231,'🔖 배합비 참조'!$B$1:$CE$1,0))/100,0),""))),"")</f>
        <v>0</v>
      </c>
      <c r="BS231" s="39" t="n">
        <f aca="false">IFERROR(IF($C231="","",IF($D231="","",IFERROR(ROUND($D231*INDEX('🔖 배합비 참조'!$B$2:$CE$83,MATCH("중력분",'🔖 배합비 참조'!$A$2:$A$83,0),MATCH($C231,'🔖 배합비 참조'!$B$1:$CE$1,0))/100,0),""))),"")</f>
        <v>22</v>
      </c>
      <c r="BT231" s="39" t="n">
        <f aca="false">IFERROR(IF($C231="","",IF($D231="","",IFERROR(ROUND($D231*INDEX('🔖 배합비 참조'!$B$2:$CE$83,MATCH("참깨(인도산,나이지리아산,탄자니아산,미얀마산)",'🔖 배합비 참조'!$A$2:$A$83,0),MATCH($C231,'🔖 배합비 참조'!$B$1:$CE$1,0))/100,0),""))),"")</f>
        <v>0</v>
      </c>
      <c r="BU231" s="39" t="n">
        <f aca="false">IFERROR(IF($C231="","",IF($D231="","",IFERROR(ROUND($D231*INDEX('🔖 배합비 참조'!$B$2:$CE$83,MATCH("찹쌀(국내산)",'🔖 배합비 참조'!$A$2:$A$83,0),MATCH($C231,'🔖 배합비 참조'!$B$1:$CE$1,0))/100,0),""))),"")</f>
        <v>473</v>
      </c>
      <c r="BV231" s="39" t="n">
        <f aca="false">IFERROR(IF($C231="","",IF($D231="","",IFERROR(ROUND($D231*INDEX('🔖 배합비 참조'!$B$2:$CE$83,MATCH("천일염",'🔖 배합비 참조'!$A$2:$A$83,0),MATCH($C231,'🔖 배합비 참조'!$B$1:$CE$1,0))/100,0),""))),"")</f>
        <v>22</v>
      </c>
      <c r="BW231" s="39" t="n">
        <f aca="false">IFERROR(IF($C231="","",IF($D231="","",IFERROR(ROUND($D231*INDEX('🔖 배합비 참조'!$B$2:$CE$83,MATCH("치즈 [크림치즈]",'🔖 배합비 참조'!$A$2:$A$83,0),MATCH($C231,'🔖 배합비 참조'!$B$1:$CE$1,0))/100,0),""))),"")</f>
        <v>0</v>
      </c>
      <c r="BX231" s="39" t="n">
        <f aca="false">IFERROR(IF($C231="","",IF($D231="","",IFERROR(ROUND($D231*INDEX('🔖 배합비 참조'!$B$2:$CE$83,MATCH("코코아가공품류(코코아분말)",'🔖 배합비 참조'!$A$2:$A$83,0),MATCH($C231,'🔖 배합비 참조'!$B$1:$CE$1,0))/100,0),""))),"")</f>
        <v>0</v>
      </c>
      <c r="BY231" s="39" t="n">
        <f aca="false">IFERROR(IF($C231="","",IF($D231="","",IFERROR(ROUND($D231*INDEX('🔖 배합비 참조'!$B$2:$CE$83,MATCH("콩기름(대두유)",'🔖 배합비 참조'!$A$2:$A$83,0),MATCH($C231,'🔖 배합비 참조'!$B$1:$CE$1,0))/100,0),""))),"")</f>
        <v>0</v>
      </c>
      <c r="BZ231" s="39" t="n">
        <f aca="false">IFERROR(IF($C231="","",IF($D231="","",IFERROR(ROUND($D231*INDEX('🔖 배합비 참조'!$B$2:$CE$83,MATCH("해바라기씨앗",'🔖 배합비 참조'!$A$2:$A$83,0),MATCH($C231,'🔖 배합비 참조'!$B$1:$CE$1,0))/100,0),""))),"")</f>
        <v>0</v>
      </c>
      <c r="CA231" s="39" t="n">
        <f aca="false">IFERROR(IF($C231="","",IF($D231="","",IFERROR(ROUND($D231*INDEX('🔖 배합비 참조'!$B$2:$CE$83,MATCH("현미(국내산)",'🔖 배합비 참조'!$A$2:$A$83,0),MATCH($C231,'🔖 배합비 참조'!$B$1:$CE$1,0))/100,0),""))),"")</f>
        <v>0</v>
      </c>
      <c r="CB231" s="39" t="n">
        <f aca="false">IFERROR(IF($C231="","",IF($D231="","",IFERROR(ROUND($D231*INDEX('🔖 배합비 참조'!$B$2:$CE$83,MATCH("현미멥쌀(국내산)",'🔖 배합비 참조'!$A$2:$A$83,0),MATCH($C231,'🔖 배합비 참조'!$B$1:$CE$1,0))/100,0),""))),"")</f>
        <v>0</v>
      </c>
      <c r="CC231" s="39" t="n">
        <f aca="false">IFERROR(IF($C231="","",IF($D231="","",IFERROR(ROUND($D231*INDEX('🔖 배합비 참조'!$B$2:$CE$83,MATCH("호두분태(미국산)",'🔖 배합비 참조'!$A$2:$A$83,0),MATCH($C231,'🔖 배합비 참조'!$B$1:$CE$1,0))/100,0),""))),"")</f>
        <v>0</v>
      </c>
      <c r="CD231" s="39" t="n">
        <f aca="false">IFERROR(IF($C231="","",IF($D231="","",IFERROR(ROUND($D231*INDEX('🔖 배합비 참조'!$B$2:$CE$83,MATCH("호박씨앗(외국산)",'🔖 배합비 참조'!$A$2:$A$83,0),MATCH($C231,'🔖 배합비 참조'!$B$1:$CE$1,0))/100,0),""))),"")</f>
        <v>0</v>
      </c>
      <c r="CE231" s="39" t="n">
        <f aca="false">IFERROR(IF($C231="","",IF($D231="","",IFERROR(ROUND($D231*INDEX('🔖 배합비 참조'!$B$2:$CE$83,MATCH("혼합제제(떡용에스텔)",'🔖 배합비 참조'!$A$2:$A$83,0),MATCH($C231,'🔖 배합비 참조'!$B$1:$CE$1,0))/100,0),""))),"")</f>
        <v>22</v>
      </c>
      <c r="CF231" s="39" t="n">
        <f aca="false">IFERROR(IF($C231="","",IF($D231="","",IFERROR(ROUND($D231*INDEX('🔖 배합비 참조'!$B$2:$CE$83,MATCH("혼합제제(스테비아)",'🔖 배합비 참조'!$A$2:$A$83,0),MATCH($C231,'🔖 배합비 참조'!$B$1:$CE$1,0))/100,0),""))),"")</f>
        <v>0</v>
      </c>
      <c r="CG231" s="39" t="n">
        <f aca="false">IFERROR(IF($C231="","",IF($D231="","",IFERROR(ROUND($D231*INDEX('🔖 배합비 참조'!$B$2:$CE$83,MATCH("화이트초콜릿",'🔖 배합비 참조'!$A$2:$A$83,0),MATCH($C231,'🔖 배합비 참조'!$B$1:$CE$1,0))/100,0),""))),"")</f>
        <v>0</v>
      </c>
      <c r="CH231" s="39" t="n">
        <f aca="false">IFERROR(IF($C231="","",IF($D231="","",IFERROR(ROUND($D231*INDEX('🔖 배합비 참조'!$B$2:$CE$83,MATCH("흑미찹쌀(국내산)",'🔖 배합비 참조'!$A$2:$A$83,0),MATCH($C231,'🔖 배합비 참조'!$B$1:$CE$1,0))/100,0),""))),"")</f>
        <v>0</v>
      </c>
      <c r="CI231" s="39" t="n">
        <f aca="false">IFERROR(IF($C231="","",IF($D231="","",IFERROR(ROUND($D231*INDEX('🔖 배합비 참조'!$B$2:$CE$83,MATCH("찰옥수수전분(미국산)",'🔖 배합비 참조'!$A$2:$A$83,0),MATCH($C231,'🔖 배합비 참조'!$B$1:$CE$1,0))/100,0),""))),"")</f>
        <v>99</v>
      </c>
      <c r="CJ231" s="40"/>
      <c r="CL231" s="1" t="s">
        <v>247</v>
      </c>
    </row>
    <row r="232" customFormat="false" ht="18" hidden="false" customHeight="true" outlineLevel="0" collapsed="false">
      <c r="A232" s="41" t="n">
        <v>228</v>
      </c>
      <c r="B232" s="36" t="n">
        <v>46072</v>
      </c>
      <c r="C232" s="37" t="s">
        <v>204</v>
      </c>
      <c r="D232" s="38" t="n">
        <v>220</v>
      </c>
      <c r="E232" s="17"/>
      <c r="F232" s="17"/>
      <c r="G232" s="42" t="n">
        <f aca="false">IFERROR(IF($C232="","",IF($D232="","",IFERROR(ROUND($D232*INDEX('🔖 배합비 참조'!$B$2:$CE$83,MATCH("간장",'🔖 배합비 참조'!$A$2:$A$83,0),MATCH($C232,'🔖 배합비 참조'!$B$1:$CE$1,0))/100,0),""))),"")</f>
        <v>0</v>
      </c>
      <c r="H232" s="42" t="n">
        <f aca="false">IFERROR(IF($C232="","",IF($D232="","",IFERROR(ROUND($D232*INDEX('🔖 배합비 참조'!$B$2:$CE$83,MATCH("강낭콩((울타리콩))",'🔖 배합비 참조'!$A$2:$A$83,0),MATCH($C232,'🔖 배합비 참조'!$B$1:$CE$1,0))/100,0),""))),"")</f>
        <v>0</v>
      </c>
      <c r="I232" s="42" t="n">
        <f aca="false">IFERROR(IF($C232="","",IF($D232="","",IFERROR(ROUND($D232*INDEX('🔖 배합비 참조'!$B$2:$CE$83,MATCH("건조딸기다이스(외국산)",'🔖 배합비 참조'!$A$2:$A$83,0),MATCH($C232,'🔖 배합비 참조'!$B$1:$CE$1,0))/100,0),""))),"")</f>
        <v>0</v>
      </c>
      <c r="J232" s="42" t="n">
        <f aca="false">IFERROR(IF($C232="","",IF($D232="","",IFERROR(ROUND($D232*INDEX('🔖 배합비 참조'!$B$2:$CE$83,MATCH("건포도",'🔖 배합비 참조'!$A$2:$A$83,0),MATCH($C232,'🔖 배합비 참조'!$B$1:$CE$1,0))/100,0),""))),"")</f>
        <v>0</v>
      </c>
      <c r="K232" s="42" t="n">
        <f aca="false">IFERROR(IF($C232="","",IF($D232="","",IFERROR(ROUND($D232*INDEX('🔖 배합비 참조'!$B$2:$CE$83,MATCH("건호박채(중국산)",'🔖 배합비 참조'!$A$2:$A$83,0),MATCH($C232,'🔖 배합비 참조'!$B$1:$CE$1,0))/100,0),""))),"")</f>
        <v>0</v>
      </c>
      <c r="L232" s="42" t="n">
        <f aca="false">IFERROR(IF($C232="","",IF($D232="","",IFERROR(ROUND($D232*INDEX('🔖 배합비 참조'!$B$2:$CE$83,MATCH("검정깨(흑임자)",'🔖 배합비 참조'!$A$2:$A$83,0),MATCH($C232,'🔖 배합비 참조'!$B$1:$CE$1,0))/100,0),""))),"")</f>
        <v>0</v>
      </c>
      <c r="M232" s="42" t="n">
        <f aca="false">IFERROR(IF($C232="","",IF($D232="","",IFERROR(ROUND($D232*INDEX('🔖 배합비 참조'!$B$2:$CE$83,MATCH("검정콩",'🔖 배합비 참조'!$A$2:$A$83,0),MATCH($C232,'🔖 배합비 참조'!$B$1:$CE$1,0))/100,0),""))),"")</f>
        <v>0</v>
      </c>
      <c r="N232" s="42" t="n">
        <f aca="false">IFERROR(IF($C232="","",IF($D232="","",IFERROR(ROUND($D232*INDEX('🔖 배합비 참조'!$B$2:$CE$83,MATCH("계피가루",'🔖 배합비 참조'!$A$2:$A$83,0),MATCH($C232,'🔖 배합비 참조'!$B$1:$CE$1,0))/100,0),""))),"")</f>
        <v>0</v>
      </c>
      <c r="O232" s="42" t="n">
        <f aca="false">IFERROR(IF($C232="","",IF($D232="","",IFERROR(ROUND($D232*INDEX('🔖 배합비 참조'!$B$2:$CE$83,MATCH("고구마가루",'🔖 배합비 참조'!$A$2:$A$83,0),MATCH($C232,'🔖 배합비 참조'!$B$1:$CE$1,0))/100,0),""))),"")</f>
        <v>0</v>
      </c>
      <c r="P232" s="42" t="n">
        <f aca="false">IFERROR(IF($C232="","",IF($D232="","",IFERROR(ROUND($D232*INDEX('🔖 배합비 참조'!$B$2:$CE$83,MATCH("고구마무스",'🔖 배합비 참조'!$A$2:$A$83,0),MATCH($C232,'🔖 배합비 참조'!$B$1:$CE$1,0))/100,0),""))),"")</f>
        <v>0</v>
      </c>
      <c r="Q232" s="42" t="n">
        <f aca="false">IFERROR(IF($C232="","",IF($D232="","",IFERROR(ROUND($D232*INDEX('🔖 배합비 참조'!$B$2:$CE$83,MATCH("고려엉겅퀴((곤드레)국내산)",'🔖 배합비 참조'!$A$2:$A$83,0),MATCH($C232,'🔖 배합비 참조'!$B$1:$CE$1,0))/100,0),""))),"")</f>
        <v>0</v>
      </c>
      <c r="R232" s="42" t="n">
        <f aca="false">IFERROR(IF($C232="","",IF($D232="","",IFERROR(ROUND($D232*INDEX('🔖 배합비 참조'!$B$2:$CE$83,MATCH("기타가공품(복분자가루)",'🔖 배합비 참조'!$A$2:$A$83,0),MATCH($C232,'🔖 배합비 참조'!$B$1:$CE$1,0))/100,0),""))),"")</f>
        <v>0</v>
      </c>
      <c r="S232" s="42" t="n">
        <f aca="false">IFERROR(IF($C232="","",IF($D232="","",IFERROR(ROUND($D232*INDEX('🔖 배합비 참조'!$B$2:$CE$83,MATCH("기타가공품(슈퍼소프트엠)",'🔖 배합비 참조'!$A$2:$A$83,0),MATCH($C232,'🔖 배합비 참조'!$B$1:$CE$1,0))/100,0),""))),"")</f>
        <v>0</v>
      </c>
      <c r="T232" s="42" t="n">
        <f aca="false">IFERROR(IF($C232="","",IF($D232="","",IFERROR(ROUND($D232*INDEX('🔖 배합비 참조'!$B$2:$CE$83,MATCH("기타가공품(파인소프트 E-티)",'🔖 배합비 참조'!$A$2:$A$83,0),MATCH($C232,'🔖 배합비 참조'!$B$1:$CE$1,0))/100,0),""))),"")</f>
        <v>0</v>
      </c>
      <c r="U232" s="42" t="n">
        <f aca="false">IFERROR(IF($C232="","",IF($D232="","",IFERROR(ROUND($D232*INDEX('🔖 배합비 참조'!$B$2:$CE$83,MATCH("기타가공품(프리미엄카스테라가루)",'🔖 배합비 참조'!$A$2:$A$83,0),MATCH($C232,'🔖 배합비 참조'!$B$1:$CE$1,0))/100,0),""))),"")</f>
        <v>0</v>
      </c>
      <c r="V232" s="42" t="n">
        <f aca="false">IFERROR(IF($C232="","",IF($D232="","",IFERROR(ROUND($D232*INDEX('🔖 배합비 참조'!$B$2:$CE$83,MATCH("기타가공품(흑임자가루)",'🔖 배합비 참조'!$A$2:$A$83,0),MATCH($C232,'🔖 배합비 참조'!$B$1:$CE$1,0))/100,0),""))),"")</f>
        <v>0</v>
      </c>
      <c r="W232" s="42" t="n">
        <f aca="false">IFERROR(IF($C232="","",IF($D232="","",IFERROR(ROUND($D232*INDEX('🔖 배합비 참조'!$B$2:$CE$83,MATCH("기타설탕(흑설탕)",'🔖 배합비 참조'!$A$2:$A$83,0),MATCH($C232,'🔖 배합비 참조'!$B$1:$CE$1,0))/100,0),""))),"")</f>
        <v>0</v>
      </c>
      <c r="X232" s="42" t="n">
        <f aca="false">IFERROR(IF($C232="","",IF($D232="","",IFERROR(ROUND($D232*INDEX('🔖 배합비 참조'!$B$2:$CE$83,MATCH("냉동쑥(국내산)",'🔖 배합비 참조'!$A$2:$A$83,0),MATCH($C232,'🔖 배합비 참조'!$B$1:$CE$1,0))/100,0),""))),"")</f>
        <v>7</v>
      </c>
      <c r="Y232" s="42" t="n">
        <f aca="false">IFERROR(IF($C232="","",IF($D232="","",IFERROR(ROUND($D232*INDEX('🔖 배합비 참조'!$B$2:$CE$83,MATCH("냉동증숙고구마(중국산)",'🔖 배합비 참조'!$A$2:$A$83,0),MATCH($C232,'🔖 배합비 참조'!$B$1:$CE$1,0))/100,0),""))),"")</f>
        <v>0</v>
      </c>
      <c r="Z232" s="42" t="n">
        <f aca="false">IFERROR(IF($C232="","",IF($D232="","",IFERROR(ROUND($D232*INDEX('🔖 배합비 참조'!$B$2:$CE$83,MATCH("녹차가루",'🔖 배합비 참조'!$A$2:$A$83,0),MATCH($C232,'🔖 배합비 참조'!$B$1:$CE$1,0))/100,0),""))),"")</f>
        <v>0</v>
      </c>
      <c r="AA232" s="42" t="n">
        <f aca="false">IFERROR(IF($C232="","",IF($D232="","",IFERROR(ROUND($D232*INDEX('🔖 배합비 참조'!$B$2:$CE$83,MATCH("다크초콜릿 컴파운드칩",'🔖 배합비 참조'!$A$2:$A$83,0),MATCH($C232,'🔖 배합비 참조'!$B$1:$CE$1,0))/100,0),""))),"")</f>
        <v>0</v>
      </c>
      <c r="AB232" s="42" t="n">
        <f aca="false">IFERROR(IF($C232="","",IF($D232="","",IFERROR(ROUND($D232*INDEX('🔖 배합비 참조'!$B$2:$CE$83,MATCH("단호박분말(중국산)",'🔖 배합비 참조'!$A$2:$A$83,0),MATCH($C232,'🔖 배합비 참조'!$B$1:$CE$1,0))/100,0),""))),"")</f>
        <v>0</v>
      </c>
      <c r="AC232" s="42" t="n">
        <f aca="false">IFERROR(IF($C232="","",IF($D232="","",IFERROR(ROUND($D232*INDEX('🔖 배합비 참조'!$B$2:$CE$83,MATCH("당류가공품(단호박농축액)",'🔖 배합비 참조'!$A$2:$A$83,0),MATCH($C232,'🔖 배합비 참조'!$B$1:$CE$1,0))/100,0),""))),"")</f>
        <v>0</v>
      </c>
      <c r="AD232" s="42" t="n">
        <f aca="false">IFERROR(IF($C232="","",IF($D232="","",IFERROR(ROUND($D232*INDEX('🔖 배합비 참조'!$B$2:$CE$83,MATCH("당류가공품(알룰로스,에리스리톨,스테비올배당체혼합)",'🔖 배합비 참조'!$A$2:$A$83,0),MATCH($C232,'🔖 배합비 참조'!$B$1:$CE$1,0))/100,0),""))),"")</f>
        <v>0</v>
      </c>
      <c r="AE232" s="42" t="n">
        <f aca="false">IFERROR(IF($C232="","",IF($D232="","",IFERROR(ROUND($D232*INDEX('🔖 배합비 참조'!$B$2:$CE$83,MATCH("당류가공품(알룰로스제로파우더)",'🔖 배합비 참조'!$A$2:$A$83,0),MATCH($C232,'🔖 배합비 참조'!$B$1:$CE$1,0))/100,0),""))),"")</f>
        <v>0</v>
      </c>
      <c r="AF232" s="42" t="n">
        <f aca="false">IFERROR(IF($C232="","",IF($D232="","",IFERROR(ROUND($D232*INDEX('🔖 배합비 참조'!$B$2:$CE$83,MATCH("당절임(완두배기)",'🔖 배합비 참조'!$A$2:$A$83,0),MATCH($C232,'🔖 배합비 참조'!$B$1:$CE$1,0))/100,0),""))),"")</f>
        <v>0</v>
      </c>
      <c r="AG232" s="42" t="n">
        <f aca="false">IFERROR(IF($C232="","",IF($D232="","",IFERROR(ROUND($D232*INDEX('🔖 배합비 참조'!$B$2:$CE$83,MATCH("대추농축액",'🔖 배합비 참조'!$A$2:$A$83,0),MATCH($C232,'🔖 배합비 참조'!$B$1:$CE$1,0))/100,0),""))),"")</f>
        <v>0</v>
      </c>
      <c r="AH232" s="42" t="n">
        <f aca="false">IFERROR(IF($C232="","",IF($D232="","",IFERROR(ROUND($D232*INDEX('🔖 배합비 참조'!$B$2:$CE$83,MATCH("대추채(국내산)",'🔖 배합비 참조'!$A$2:$A$83,0),MATCH($C232,'🔖 배합비 참조'!$B$1:$CE$1,0))/100,0),""))),"")</f>
        <v>0</v>
      </c>
      <c r="AI232" s="42" t="n">
        <f aca="false">IFERROR(IF($C232="","",IF($D232="","",IFERROR(ROUND($D232*INDEX('🔖 배합비 참조'!$B$2:$CE$83,MATCH("동부(미얀마산)",'🔖 배합비 참조'!$A$2:$A$83,0),MATCH($C232,'🔖 배합비 참조'!$B$1:$CE$1,0))/100,0),""))),"")</f>
        <v>0</v>
      </c>
      <c r="AJ232" s="42" t="n">
        <f aca="false">IFERROR(IF($C232="","",IF($D232="","",IFERROR(ROUND($D232*INDEX('🔖 배합비 참조'!$B$2:$CE$83,MATCH("두류가공품(백옥앙금)",'🔖 배합비 참조'!$A$2:$A$83,0),MATCH($C232,'🔖 배합비 참조'!$B$1:$CE$1,0))/100,0),""))),"")</f>
        <v>0</v>
      </c>
      <c r="AK232" s="42" t="n">
        <f aca="false">IFERROR(IF($C232="","",IF($D232="","",IFERROR(ROUND($D232*INDEX('🔖 배합비 참조'!$B$2:$CE$83,MATCH("두류가공품(콩고물)",'🔖 배합비 참조'!$A$2:$A$83,0),MATCH($C232,'🔖 배합비 참조'!$B$1:$CE$1,0))/100,0),""))),"")</f>
        <v>7</v>
      </c>
      <c r="AL232" s="42" t="n">
        <f aca="false">IFERROR(IF($C232="","",IF($D232="","",IFERROR(ROUND($D232*INDEX('🔖 배합비 참조'!$B$2:$CE$83,MATCH("두류가공품(통팥고물)",'🔖 배합비 참조'!$A$2:$A$83,0),MATCH($C232,'🔖 배합비 참조'!$B$1:$CE$1,0))/100,0),""))),"")</f>
        <v>0</v>
      </c>
      <c r="AM232" s="42" t="n">
        <f aca="false">IFERROR(IF($C232="","",IF($D232="","",IFERROR(ROUND($D232*INDEX('🔖 배합비 참조'!$B$2:$CE$83,MATCH("딸기레진",'🔖 배합비 참조'!$A$2:$A$83,0),MATCH($C232,'🔖 배합비 참조'!$B$1:$CE$1,0))/100,0),""))),"")</f>
        <v>0</v>
      </c>
      <c r="AN232" s="42" t="n">
        <f aca="false">IFERROR(IF($C232="","",IF($D232="","",IFERROR(ROUND($D232*INDEX('🔖 배합비 참조'!$B$2:$CE$83,MATCH("딸기분말(스트로우베리에이드(분말))",'🔖 배합비 참조'!$A$2:$A$83,0),MATCH($C232,'🔖 배합비 참조'!$B$1:$CE$1,0))/100,0),""))),"")</f>
        <v>0</v>
      </c>
      <c r="AO232" s="42" t="n">
        <f aca="false">IFERROR(IF($C232="","",IF($D232="","",IFERROR(ROUND($D232*INDEX('🔖 배합비 참조'!$B$2:$CE$83,MATCH("마스카포네치즈",'🔖 배합비 참조'!$A$2:$A$83,0),MATCH($C232,'🔖 배합비 참조'!$B$1:$CE$1,0))/100,0),""))),"")</f>
        <v>0</v>
      </c>
      <c r="AP232" s="42" t="n">
        <f aca="false">IFERROR(IF($C232="","",IF($D232="","",IFERROR(ROUND($D232*INDEX('🔖 배합비 참조'!$B$2:$CE$83,MATCH("마카다미아분태(호주산)",'🔖 배합비 참조'!$A$2:$A$83,0),MATCH($C232,'🔖 배합비 참조'!$B$1:$CE$1,0))/100,0),""))),"")</f>
        <v>0</v>
      </c>
      <c r="AQ232" s="42" t="n">
        <f aca="false">IFERROR(IF($C232="","",IF($D232="","",IFERROR(ROUND($D232*INDEX('🔖 배합비 참조'!$B$2:$CE$83,MATCH("멥쌀(국내산)",'🔖 배합비 참조'!$A$2:$A$83,0),MATCH($C232,'🔖 배합비 참조'!$B$1:$CE$1,0))/100,0),""))),"")</f>
        <v>0</v>
      </c>
      <c r="AR232" s="42" t="n">
        <f aca="false">IFERROR(IF($C232="","",IF($D232="","",IFERROR(ROUND($D232*INDEX('🔖 배합비 참조'!$B$2:$CE$83,MATCH("모시잎(국내산)",'🔖 배합비 참조'!$A$2:$A$83,0),MATCH($C232,'🔖 배합비 참조'!$B$1:$CE$1,0))/100,0),""))),"")</f>
        <v>0</v>
      </c>
      <c r="AS232" s="42" t="n">
        <f aca="false">IFERROR(IF($C232="","",IF($D232="","",IFERROR(ROUND($D232*INDEX('🔖 배합비 참조'!$B$2:$CE$83,MATCH("물엿(저당물엿)",'🔖 배합비 참조'!$A$2:$A$83,0),MATCH($C232,'🔖 배합비 참조'!$B$1:$CE$1,0))/100,0),""))),"")</f>
        <v>5</v>
      </c>
      <c r="AT232" s="42" t="n">
        <f aca="false">IFERROR(IF($C232="","",IF($D232="","",IFERROR(ROUND($D232*INDEX('🔖 배합비 참조'!$B$2:$CE$83,MATCH("밤다이스",'🔖 배합비 참조'!$A$2:$A$83,0),MATCH($C232,'🔖 배합비 참조'!$B$1:$CE$1,0))/100,0),""))),"")</f>
        <v>0</v>
      </c>
      <c r="AU232" s="42" t="n">
        <f aca="false">IFERROR(IF($C232="","",IF($D232="","",IFERROR(ROUND($D232*INDEX('🔖 배합비 참조'!$B$2:$CE$83,MATCH("변성전분(타피오카전분)",'🔖 배합비 참조'!$A$2:$A$83,0),MATCH($C232,'🔖 배합비 참조'!$B$1:$CE$1,0))/100,0),""))),"")</f>
        <v>0</v>
      </c>
      <c r="AV232" s="42" t="n">
        <f aca="false">IFERROR(IF($C232="","",IF($D232="","",IFERROR(ROUND($D232*INDEX('🔖 배합비 참조'!$B$2:$CE$83,MATCH("복음땅콩분태",'🔖 배합비 참조'!$A$2:$A$83,0),MATCH($C232,'🔖 배합비 참조'!$B$1:$CE$1,0))/100,0),""))),"")</f>
        <v>0</v>
      </c>
      <c r="AW232" s="42" t="n">
        <f aca="false">IFERROR(IF($C232="","",IF($D232="","",IFERROR(ROUND($D232*INDEX('🔖 배합비 참조'!$B$2:$CE$83,MATCH("사양벌꿀(국내산)",'🔖 배합비 참조'!$A$2:$A$83,0),MATCH($C232,'🔖 배합비 참조'!$B$1:$CE$1,0))/100,0),""))),"")</f>
        <v>0</v>
      </c>
      <c r="AX232" s="42" t="n">
        <f aca="false">IFERROR(IF($C232="","",IF($D232="","",IFERROR(ROUND($D232*INDEX('🔖 배합비 참조'!$B$2:$CE$83,MATCH("생크림",'🔖 배합비 참조'!$A$2:$A$83,0),MATCH($C232,'🔖 배합비 참조'!$B$1:$CE$1,0))/100,0),""))),"")</f>
        <v>0</v>
      </c>
      <c r="AY232" s="42" t="n">
        <f aca="false">IFERROR(IF($C232="","",IF($D232="","",IFERROR(ROUND($D232*INDEX('🔖 배합비 참조'!$B$2:$CE$83,MATCH("서양호박(국내산,뉴질랜드산)",'🔖 배합비 참조'!$A$2:$A$83,0),MATCH($C232,'🔖 배합비 참조'!$B$1:$CE$1,0))/100,0),""))),"")</f>
        <v>0</v>
      </c>
      <c r="AZ232" s="42" t="n">
        <f aca="false">IFERROR(IF($C232="","",IF($D232="","",IFERROR(ROUND($D232*INDEX('🔖 배합비 참조'!$B$2:$CE$83,MATCH("설탕",'🔖 배합비 참조'!$A$2:$A$83,0),MATCH($C232,'🔖 배합비 참조'!$B$1:$CE$1,0))/100,0),""))),"")</f>
        <v>5</v>
      </c>
      <c r="BA232" s="42" t="n">
        <f aca="false">IFERROR(IF($C232="","",IF($D232="","",IFERROR(ROUND($D232*INDEX('🔖 배합비 참조'!$B$2:$CE$83,MATCH("스트로우베리 에이드 후레쉬",'🔖 배합비 참조'!$A$2:$A$83,0),MATCH($C232,'🔖 배합비 참조'!$B$1:$CE$1,0))/100,0),""))),"")</f>
        <v>0</v>
      </c>
      <c r="BB232" s="42" t="n">
        <f aca="false">IFERROR(IF($C232="","",IF($D232="","",IFERROR(ROUND($D232*INDEX('🔖 배합비 참조'!$B$2:$CE$83,MATCH("식물성기름혼합제제(분홍)",'🔖 배합비 참조'!$A$2:$A$83,0),MATCH($C232,'🔖 배합비 참조'!$B$1:$CE$1,0))/100,0),""))),"")</f>
        <v>0</v>
      </c>
      <c r="BC232" s="42" t="n">
        <f aca="false">IFERROR(IF($C232="","",IF($D232="","",IFERROR(ROUND($D232*INDEX('🔖 배합비 참조'!$B$2:$CE$83,MATCH("식물성기름혼합제제(초록)",'🔖 배합비 참조'!$A$2:$A$83,0),MATCH($C232,'🔖 배합비 참조'!$B$1:$CE$1,0))/100,0),""))),"")</f>
        <v>0</v>
      </c>
      <c r="BD232" s="42" t="n">
        <f aca="false">IFERROR(IF($C232="","",IF($D232="","",IFERROR(ROUND($D232*INDEX('🔖 배합비 참조'!$B$2:$CE$83,MATCH("식물성기름혼합제제(황색)",'🔖 배합비 참조'!$A$2:$A$83,0),MATCH($C232,'🔖 배합비 참조'!$B$1:$CE$1,0))/100,0),""))),"")</f>
        <v>0</v>
      </c>
      <c r="BE232" s="42" t="n">
        <f aca="false">IFERROR(IF($C232="","",IF($D232="","",IFERROR(ROUND($D232*INDEX('🔖 배합비 참조'!$B$2:$CE$83,MATCH("쑥가루(국내산)",'🔖 배합비 참조'!$A$2:$A$83,0),MATCH($C232,'🔖 배합비 참조'!$B$1:$CE$1,0))/100,0),""))),"")</f>
        <v>2</v>
      </c>
      <c r="BF232" s="42" t="n">
        <f aca="false">IFERROR(IF($C232="","",IF($D232="","",IFERROR(ROUND($D232*INDEX('🔖 배합비 참조'!$B$2:$CE$83,MATCH("아몬드슬라이스",'🔖 배합비 참조'!$A$2:$A$83,0),MATCH($C232,'🔖 배합비 참조'!$B$1:$CE$1,0))/100,0),""))),"")</f>
        <v>0</v>
      </c>
      <c r="BG232" s="42" t="n">
        <f aca="false">IFERROR(IF($C232="","",IF($D232="","",IFERROR(ROUND($D232*INDEX('🔖 배합비 참조'!$B$2:$CE$83,MATCH("알룰로오스(국내산)",'🔖 배합비 참조'!$A$2:$A$83,0),MATCH($C232,'🔖 배합비 참조'!$B$1:$CE$1,0))/100,0),""))),"")</f>
        <v>0</v>
      </c>
      <c r="BH232" s="42" t="n">
        <f aca="false">IFERROR(IF($C232="","",IF($D232="","",IFERROR(ROUND($D232*INDEX('🔖 배합비 참조'!$B$2:$CE$83,MATCH("연유",'🔖 배합비 참조'!$A$2:$A$83,0),MATCH($C232,'🔖 배합비 참조'!$B$1:$CE$1,0))/100,0),""))),"")</f>
        <v>0</v>
      </c>
      <c r="BI232" s="42" t="n">
        <f aca="false">IFERROR(IF($C232="","",IF($D232="","",IFERROR(ROUND($D232*INDEX('🔖 배합비 참조'!$B$2:$CE$83,MATCH("옥수수전분",'🔖 배합비 참조'!$A$2:$A$83,0),MATCH($C232,'🔖 배합비 참조'!$B$1:$CE$1,0))/100,0),""))),"")</f>
        <v>0</v>
      </c>
      <c r="BJ232" s="42" t="n">
        <f aca="false">IFERROR(IF($C232="","",IF($D232="","",IFERROR(ROUND($D232*INDEX('🔖 배합비 참조'!$B$2:$CE$83,MATCH("완두배기",'🔖 배합비 참조'!$A$2:$A$83,0),MATCH($C232,'🔖 배합비 참조'!$B$1:$CE$1,0))/100,0),""))),"")</f>
        <v>0</v>
      </c>
      <c r="BK232" s="42" t="n">
        <f aca="false">IFERROR(IF($C232="","",IF($D232="","",IFERROR(ROUND($D232*INDEX('🔖 배합비 참조'!$B$2:$CE$83,MATCH("우유(국내산)",'🔖 배합비 참조'!$A$2:$A$83,0),MATCH($C232,'🔖 배합비 참조'!$B$1:$CE$1,0))/100,0),""))),"")</f>
        <v>0</v>
      </c>
      <c r="BL232" s="42" t="n">
        <f aca="false">IFERROR(IF($C232="","",IF($D232="","",IFERROR(ROUND($D232*INDEX('🔖 배합비 참조'!$B$2:$CE$83,MATCH("자색고구마가루(중국산)",'🔖 배합비 참조'!$A$2:$A$83,0),MATCH($C232,'🔖 배합비 참조'!$B$1:$CE$1,0))/100,0),""))),"")</f>
        <v>0</v>
      </c>
      <c r="BM232" s="42" t="n">
        <f aca="false">IFERROR(IF($C232="","",IF($D232="","",IFERROR(ROUND($D232*INDEX('🔖 배합비 참조'!$B$2:$CE$83,MATCH("자연치즈(체다치즈)",'🔖 배합비 참조'!$A$2:$A$83,0),MATCH($C232,'🔖 배합비 참조'!$B$1:$CE$1,0))/100,0),""))),"")</f>
        <v>0</v>
      </c>
      <c r="BN232" s="42" t="n">
        <f aca="false">IFERROR(IF($C232="","",IF($D232="","",IFERROR(ROUND($D232*INDEX('🔖 배합비 참조'!$B$2:$CE$83,MATCH("정제수",'🔖 배합비 참조'!$A$2:$A$83,0),MATCH($C232,'🔖 배합비 참조'!$B$1:$CE$1,0))/100,0),""))),"")</f>
        <v>0</v>
      </c>
      <c r="BO232" s="42" t="n">
        <f aca="false">IFERROR(IF($C232="","",IF($D232="","",IFERROR(ROUND($D232*INDEX('🔖 배합비 참조'!$B$2:$CE$83,MATCH("젤라틴",'🔖 배합비 참조'!$A$2:$A$83,0),MATCH($C232,'🔖 배합비 참조'!$B$1:$CE$1,0))/100,0),""))),"")</f>
        <v>0</v>
      </c>
      <c r="BP232" s="42" t="n">
        <f aca="false">IFERROR(IF($C232="","",IF($D232="","",IFERROR(ROUND($D232*INDEX('🔖 배합비 참조'!$B$2:$CE$83,MATCH("조림류(백옥앙금)",'🔖 배합비 참조'!$A$2:$A$83,0),MATCH($C232,'🔖 배합비 참조'!$B$1:$CE$1,0))/100,0),""))),"")</f>
        <v>0</v>
      </c>
      <c r="BQ232" s="42" t="n">
        <f aca="false">IFERROR(IF($C232="","",IF($D232="","",IFERROR(ROUND($D232*INDEX('🔖 배합비 참조'!$B$2:$CE$83,MATCH("조림류(통팥앙금)",'🔖 배합비 참조'!$A$2:$A$83,0),MATCH($C232,'🔖 배합비 참조'!$B$1:$CE$1,0))/100,0),""))),"")</f>
        <v>92</v>
      </c>
      <c r="BR232" s="42" t="n">
        <f aca="false">IFERROR(IF($C232="","",IF($D232="","",IFERROR(ROUND($D232*INDEX('🔖 배합비 참조'!$B$2:$CE$83,MATCH("준초콜릿(외국산)",'🔖 배합비 참조'!$A$2:$A$83,0),MATCH($C232,'🔖 배합비 참조'!$B$1:$CE$1,0))/100,0),""))),"")</f>
        <v>0</v>
      </c>
      <c r="BS232" s="42" t="n">
        <f aca="false">IFERROR(IF($C232="","",IF($D232="","",IFERROR(ROUND($D232*INDEX('🔖 배합비 참조'!$B$2:$CE$83,MATCH("중력분",'🔖 배합비 참조'!$A$2:$A$83,0),MATCH($C232,'🔖 배합비 참조'!$B$1:$CE$1,0))/100,0),""))),"")</f>
        <v>2</v>
      </c>
      <c r="BT232" s="42" t="n">
        <f aca="false">IFERROR(IF($C232="","",IF($D232="","",IFERROR(ROUND($D232*INDEX('🔖 배합비 참조'!$B$2:$CE$83,MATCH("참깨(인도산,나이지리아산,탄자니아산,미얀마산)",'🔖 배합비 참조'!$A$2:$A$83,0),MATCH($C232,'🔖 배합비 참조'!$B$1:$CE$1,0))/100,0),""))),"")</f>
        <v>0</v>
      </c>
      <c r="BU232" s="42" t="n">
        <f aca="false">IFERROR(IF($C232="","",IF($D232="","",IFERROR(ROUND($D232*INDEX('🔖 배합비 참조'!$B$2:$CE$83,MATCH("찹쌀(국내산)",'🔖 배합비 참조'!$A$2:$A$83,0),MATCH($C232,'🔖 배합비 참조'!$B$1:$CE$1,0))/100,0),""))),"")</f>
        <v>98</v>
      </c>
      <c r="BV232" s="42" t="n">
        <f aca="false">IFERROR(IF($C232="","",IF($D232="","",IFERROR(ROUND($D232*INDEX('🔖 배합비 참조'!$B$2:$CE$83,MATCH("천일염",'🔖 배합비 참조'!$A$2:$A$83,0),MATCH($C232,'🔖 배합비 참조'!$B$1:$CE$1,0))/100,0),""))),"")</f>
        <v>2</v>
      </c>
      <c r="BW232" s="42" t="n">
        <f aca="false">IFERROR(IF($C232="","",IF($D232="","",IFERROR(ROUND($D232*INDEX('🔖 배합비 참조'!$B$2:$CE$83,MATCH("치즈 [크림치즈]",'🔖 배합비 참조'!$A$2:$A$83,0),MATCH($C232,'🔖 배합비 참조'!$B$1:$CE$1,0))/100,0),""))),"")</f>
        <v>0</v>
      </c>
      <c r="BX232" s="42" t="n">
        <f aca="false">IFERROR(IF($C232="","",IF($D232="","",IFERROR(ROUND($D232*INDEX('🔖 배합비 참조'!$B$2:$CE$83,MATCH("코코아가공품류(코코아분말)",'🔖 배합비 참조'!$A$2:$A$83,0),MATCH($C232,'🔖 배합비 참조'!$B$1:$CE$1,0))/100,0),""))),"")</f>
        <v>0</v>
      </c>
      <c r="BY232" s="42" t="n">
        <f aca="false">IFERROR(IF($C232="","",IF($D232="","",IFERROR(ROUND($D232*INDEX('🔖 배합비 참조'!$B$2:$CE$83,MATCH("콩기름(대두유)",'🔖 배합비 참조'!$A$2:$A$83,0),MATCH($C232,'🔖 배합비 참조'!$B$1:$CE$1,0))/100,0),""))),"")</f>
        <v>0</v>
      </c>
      <c r="BZ232" s="42" t="n">
        <f aca="false">IFERROR(IF($C232="","",IF($D232="","",IFERROR(ROUND($D232*INDEX('🔖 배합비 참조'!$B$2:$CE$83,MATCH("해바라기씨앗",'🔖 배합비 참조'!$A$2:$A$83,0),MATCH($C232,'🔖 배합비 참조'!$B$1:$CE$1,0))/100,0),""))),"")</f>
        <v>0</v>
      </c>
      <c r="CA232" s="42" t="n">
        <f aca="false">IFERROR(IF($C232="","",IF($D232="","",IFERROR(ROUND($D232*INDEX('🔖 배합비 참조'!$B$2:$CE$83,MATCH("현미(국내산)",'🔖 배합비 참조'!$A$2:$A$83,0),MATCH($C232,'🔖 배합비 참조'!$B$1:$CE$1,0))/100,0),""))),"")</f>
        <v>0</v>
      </c>
      <c r="CB232" s="42" t="n">
        <f aca="false">IFERROR(IF($C232="","",IF($D232="","",IFERROR(ROUND($D232*INDEX('🔖 배합비 참조'!$B$2:$CE$83,MATCH("현미멥쌀(국내산)",'🔖 배합비 참조'!$A$2:$A$83,0),MATCH($C232,'🔖 배합비 참조'!$B$1:$CE$1,0))/100,0),""))),"")</f>
        <v>0</v>
      </c>
      <c r="CC232" s="42" t="n">
        <f aca="false">IFERROR(IF($C232="","",IF($D232="","",IFERROR(ROUND($D232*INDEX('🔖 배합비 참조'!$B$2:$CE$83,MATCH("호두분태(미국산)",'🔖 배합비 참조'!$A$2:$A$83,0),MATCH($C232,'🔖 배합비 참조'!$B$1:$CE$1,0))/100,0),""))),"")</f>
        <v>0</v>
      </c>
      <c r="CD232" s="42" t="n">
        <f aca="false">IFERROR(IF($C232="","",IF($D232="","",IFERROR(ROUND($D232*INDEX('🔖 배합비 참조'!$B$2:$CE$83,MATCH("호박씨앗(외국산)",'🔖 배합비 참조'!$A$2:$A$83,0),MATCH($C232,'🔖 배합비 참조'!$B$1:$CE$1,0))/100,0),""))),"")</f>
        <v>0</v>
      </c>
      <c r="CE232" s="42" t="n">
        <f aca="false">IFERROR(IF($C232="","",IF($D232="","",IFERROR(ROUND($D232*INDEX('🔖 배합비 참조'!$B$2:$CE$83,MATCH("혼합제제(떡용에스텔)",'🔖 배합비 참조'!$A$2:$A$83,0),MATCH($C232,'🔖 배합비 참조'!$B$1:$CE$1,0))/100,0),""))),"")</f>
        <v>1</v>
      </c>
      <c r="CF232" s="42" t="n">
        <f aca="false">IFERROR(IF($C232="","",IF($D232="","",IFERROR(ROUND($D232*INDEX('🔖 배합비 참조'!$B$2:$CE$83,MATCH("혼합제제(스테비아)",'🔖 배합비 참조'!$A$2:$A$83,0),MATCH($C232,'🔖 배합비 참조'!$B$1:$CE$1,0))/100,0),""))),"")</f>
        <v>0</v>
      </c>
      <c r="CG232" s="42" t="n">
        <f aca="false">IFERROR(IF($C232="","",IF($D232="","",IFERROR(ROUND($D232*INDEX('🔖 배합비 참조'!$B$2:$CE$83,MATCH("화이트초콜릿",'🔖 배합비 참조'!$A$2:$A$83,0),MATCH($C232,'🔖 배합비 참조'!$B$1:$CE$1,0))/100,0),""))),"")</f>
        <v>0</v>
      </c>
      <c r="CH232" s="42" t="n">
        <f aca="false">IFERROR(IF($C232="","",IF($D232="","",IFERROR(ROUND($D232*INDEX('🔖 배합비 참조'!$B$2:$CE$83,MATCH("흑미찹쌀(국내산)",'🔖 배합비 참조'!$A$2:$A$83,0),MATCH($C232,'🔖 배합비 참조'!$B$1:$CE$1,0))/100,0),""))),"")</f>
        <v>0</v>
      </c>
      <c r="CI232" s="42" t="n">
        <f aca="false">IFERROR(IF($C232="","",IF($D232="","",IFERROR(ROUND($D232*INDEX('🔖 배합비 참조'!$B$2:$CE$83,MATCH("찰옥수수전분(미국산)",'🔖 배합비 참조'!$A$2:$A$83,0),MATCH($C232,'🔖 배합비 참조'!$B$1:$CE$1,0))/100,0),""))),"")</f>
        <v>0</v>
      </c>
      <c r="CJ232" s="40"/>
      <c r="CL232" s="1" t="s">
        <v>247</v>
      </c>
    </row>
    <row r="233" customFormat="false" ht="18" hidden="false" customHeight="true" outlineLevel="0" collapsed="false">
      <c r="A233" s="35" t="n">
        <v>229</v>
      </c>
      <c r="B233" s="36" t="n">
        <v>46073</v>
      </c>
      <c r="C233" s="37" t="s">
        <v>179</v>
      </c>
      <c r="D233" s="38" t="n">
        <v>70</v>
      </c>
      <c r="E233" s="13"/>
      <c r="F233" s="13"/>
      <c r="G233" s="39" t="n">
        <f aca="false">IFERROR(IF($C233="","",IF($D233="","",IFERROR(ROUND($D233*INDEX('🔖 배합비 참조'!$B$2:$CE$83,MATCH("간장",'🔖 배합비 참조'!$A$2:$A$83,0),MATCH($C233,'🔖 배합비 참조'!$B$1:$CE$1,0))/100,0),""))),"")</f>
        <v>0</v>
      </c>
      <c r="H233" s="39" t="n">
        <f aca="false">IFERROR(IF($C233="","",IF($D233="","",IFERROR(ROUND($D233*INDEX('🔖 배합비 참조'!$B$2:$CE$83,MATCH("강낭콩((울타리콩))",'🔖 배합비 참조'!$A$2:$A$83,0),MATCH($C233,'🔖 배합비 참조'!$B$1:$CE$1,0))/100,0),""))),"")</f>
        <v>0</v>
      </c>
      <c r="I233" s="39" t="n">
        <f aca="false">IFERROR(IF($C233="","",IF($D233="","",IFERROR(ROUND($D233*INDEX('🔖 배합비 참조'!$B$2:$CE$83,MATCH("건조딸기다이스(외국산)",'🔖 배합비 참조'!$A$2:$A$83,0),MATCH($C233,'🔖 배합비 참조'!$B$1:$CE$1,0))/100,0),""))),"")</f>
        <v>0</v>
      </c>
      <c r="J233" s="39" t="n">
        <f aca="false">IFERROR(IF($C233="","",IF($D233="","",IFERROR(ROUND($D233*INDEX('🔖 배합비 참조'!$B$2:$CE$83,MATCH("건포도",'🔖 배합비 참조'!$A$2:$A$83,0),MATCH($C233,'🔖 배합비 참조'!$B$1:$CE$1,0))/100,0),""))),"")</f>
        <v>0</v>
      </c>
      <c r="K233" s="39" t="n">
        <f aca="false">IFERROR(IF($C233="","",IF($D233="","",IFERROR(ROUND($D233*INDEX('🔖 배합비 참조'!$B$2:$CE$83,MATCH("건호박채(중국산)",'🔖 배합비 참조'!$A$2:$A$83,0),MATCH($C233,'🔖 배합비 참조'!$B$1:$CE$1,0))/100,0),""))),"")</f>
        <v>0</v>
      </c>
      <c r="L233" s="39" t="n">
        <f aca="false">IFERROR(IF($C233="","",IF($D233="","",IFERROR(ROUND($D233*INDEX('🔖 배합비 참조'!$B$2:$CE$83,MATCH("검정깨(흑임자)",'🔖 배합비 참조'!$A$2:$A$83,0),MATCH($C233,'🔖 배합비 참조'!$B$1:$CE$1,0))/100,0),""))),"")</f>
        <v>0</v>
      </c>
      <c r="M233" s="39" t="n">
        <f aca="false">IFERROR(IF($C233="","",IF($D233="","",IFERROR(ROUND($D233*INDEX('🔖 배합비 참조'!$B$2:$CE$83,MATCH("검정콩",'🔖 배합비 참조'!$A$2:$A$83,0),MATCH($C233,'🔖 배합비 참조'!$B$1:$CE$1,0))/100,0),""))),"")</f>
        <v>0</v>
      </c>
      <c r="N233" s="39" t="n">
        <f aca="false">IFERROR(IF($C233="","",IF($D233="","",IFERROR(ROUND($D233*INDEX('🔖 배합비 참조'!$B$2:$CE$83,MATCH("계피가루",'🔖 배합비 참조'!$A$2:$A$83,0),MATCH($C233,'🔖 배합비 참조'!$B$1:$CE$1,0))/100,0),""))),"")</f>
        <v>0</v>
      </c>
      <c r="O233" s="39" t="n">
        <f aca="false">IFERROR(IF($C233="","",IF($D233="","",IFERROR(ROUND($D233*INDEX('🔖 배합비 참조'!$B$2:$CE$83,MATCH("고구마가루",'🔖 배합비 참조'!$A$2:$A$83,0),MATCH($C233,'🔖 배합비 참조'!$B$1:$CE$1,0))/100,0),""))),"")</f>
        <v>0</v>
      </c>
      <c r="P233" s="39" t="n">
        <f aca="false">IFERROR(IF($C233="","",IF($D233="","",IFERROR(ROUND($D233*INDEX('🔖 배합비 참조'!$B$2:$CE$83,MATCH("고구마무스",'🔖 배합비 참조'!$A$2:$A$83,0),MATCH($C233,'🔖 배합비 참조'!$B$1:$CE$1,0))/100,0),""))),"")</f>
        <v>0</v>
      </c>
      <c r="Q233" s="39" t="n">
        <f aca="false">IFERROR(IF($C233="","",IF($D233="","",IFERROR(ROUND($D233*INDEX('🔖 배합비 참조'!$B$2:$CE$83,MATCH("고려엉겅퀴((곤드레)국내산)",'🔖 배합비 참조'!$A$2:$A$83,0),MATCH($C233,'🔖 배합비 참조'!$B$1:$CE$1,0))/100,0),""))),"")</f>
        <v>0</v>
      </c>
      <c r="R233" s="39" t="n">
        <f aca="false">IFERROR(IF($C233="","",IF($D233="","",IFERROR(ROUND($D233*INDEX('🔖 배합비 참조'!$B$2:$CE$83,MATCH("기타가공품(복분자가루)",'🔖 배합비 참조'!$A$2:$A$83,0),MATCH($C233,'🔖 배합비 참조'!$B$1:$CE$1,0))/100,0),""))),"")</f>
        <v>0</v>
      </c>
      <c r="S233" s="39" t="n">
        <f aca="false">IFERROR(IF($C233="","",IF($D233="","",IFERROR(ROUND($D233*INDEX('🔖 배합비 참조'!$B$2:$CE$83,MATCH("기타가공품(슈퍼소프트엠)",'🔖 배합비 참조'!$A$2:$A$83,0),MATCH($C233,'🔖 배합비 참조'!$B$1:$CE$1,0))/100,0),""))),"")</f>
        <v>0</v>
      </c>
      <c r="T233" s="39" t="n">
        <f aca="false">IFERROR(IF($C233="","",IF($D233="","",IFERROR(ROUND($D233*INDEX('🔖 배합비 참조'!$B$2:$CE$83,MATCH("기타가공품(파인소프트 E-티)",'🔖 배합비 참조'!$A$2:$A$83,0),MATCH($C233,'🔖 배합비 참조'!$B$1:$CE$1,0))/100,0),""))),"")</f>
        <v>0</v>
      </c>
      <c r="U233" s="39" t="n">
        <f aca="false">IFERROR(IF($C233="","",IF($D233="","",IFERROR(ROUND($D233*INDEX('🔖 배합비 참조'!$B$2:$CE$83,MATCH("기타가공품(프리미엄카스테라가루)",'🔖 배합비 참조'!$A$2:$A$83,0),MATCH($C233,'🔖 배합비 참조'!$B$1:$CE$1,0))/100,0),""))),"")</f>
        <v>0</v>
      </c>
      <c r="V233" s="39" t="n">
        <f aca="false">IFERROR(IF($C233="","",IF($D233="","",IFERROR(ROUND($D233*INDEX('🔖 배합비 참조'!$B$2:$CE$83,MATCH("기타가공품(흑임자가루)",'🔖 배합비 참조'!$A$2:$A$83,0),MATCH($C233,'🔖 배합비 참조'!$B$1:$CE$1,0))/100,0),""))),"")</f>
        <v>0</v>
      </c>
      <c r="W233" s="39" t="n">
        <f aca="false">IFERROR(IF($C233="","",IF($D233="","",IFERROR(ROUND($D233*INDEX('🔖 배합비 참조'!$B$2:$CE$83,MATCH("기타설탕(흑설탕)",'🔖 배합비 참조'!$A$2:$A$83,0),MATCH($C233,'🔖 배합비 참조'!$B$1:$CE$1,0))/100,0),""))),"")</f>
        <v>0</v>
      </c>
      <c r="X233" s="39" t="n">
        <f aca="false">IFERROR(IF($C233="","",IF($D233="","",IFERROR(ROUND($D233*INDEX('🔖 배합비 참조'!$B$2:$CE$83,MATCH("냉동쑥(국내산)",'🔖 배합비 참조'!$A$2:$A$83,0),MATCH($C233,'🔖 배합비 참조'!$B$1:$CE$1,0))/100,0),""))),"")</f>
        <v>6</v>
      </c>
      <c r="Y233" s="39" t="n">
        <f aca="false">IFERROR(IF($C233="","",IF($D233="","",IFERROR(ROUND($D233*INDEX('🔖 배합비 참조'!$B$2:$CE$83,MATCH("냉동증숙고구마(중국산)",'🔖 배합비 참조'!$A$2:$A$83,0),MATCH($C233,'🔖 배합비 참조'!$B$1:$CE$1,0))/100,0),""))),"")</f>
        <v>0</v>
      </c>
      <c r="Z233" s="39" t="n">
        <f aca="false">IFERROR(IF($C233="","",IF($D233="","",IFERROR(ROUND($D233*INDEX('🔖 배합비 참조'!$B$2:$CE$83,MATCH("녹차가루",'🔖 배합비 참조'!$A$2:$A$83,0),MATCH($C233,'🔖 배합비 참조'!$B$1:$CE$1,0))/100,0),""))),"")</f>
        <v>0</v>
      </c>
      <c r="AA233" s="39" t="n">
        <f aca="false">IFERROR(IF($C233="","",IF($D233="","",IFERROR(ROUND($D233*INDEX('🔖 배합비 참조'!$B$2:$CE$83,MATCH("다크초콜릿 컴파운드칩",'🔖 배합비 참조'!$A$2:$A$83,0),MATCH($C233,'🔖 배합비 참조'!$B$1:$CE$1,0))/100,0),""))),"")</f>
        <v>0</v>
      </c>
      <c r="AB233" s="39" t="n">
        <f aca="false">IFERROR(IF($C233="","",IF($D233="","",IFERROR(ROUND($D233*INDEX('🔖 배합비 참조'!$B$2:$CE$83,MATCH("단호박분말(중국산)",'🔖 배합비 참조'!$A$2:$A$83,0),MATCH($C233,'🔖 배합비 참조'!$B$1:$CE$1,0))/100,0),""))),"")</f>
        <v>0</v>
      </c>
      <c r="AC233" s="39" t="n">
        <f aca="false">IFERROR(IF($C233="","",IF($D233="","",IFERROR(ROUND($D233*INDEX('🔖 배합비 참조'!$B$2:$CE$83,MATCH("당류가공품(단호박농축액)",'🔖 배합비 참조'!$A$2:$A$83,0),MATCH($C233,'🔖 배합비 참조'!$B$1:$CE$1,0))/100,0),""))),"")</f>
        <v>0</v>
      </c>
      <c r="AD233" s="39" t="n">
        <f aca="false">IFERROR(IF($C233="","",IF($D233="","",IFERROR(ROUND($D233*INDEX('🔖 배합비 참조'!$B$2:$CE$83,MATCH("당류가공품(알룰로스,에리스리톨,스테비올배당체혼합)",'🔖 배합비 참조'!$A$2:$A$83,0),MATCH($C233,'🔖 배합비 참조'!$B$1:$CE$1,0))/100,0),""))),"")</f>
        <v>0</v>
      </c>
      <c r="AE233" s="39" t="n">
        <f aca="false">IFERROR(IF($C233="","",IF($D233="","",IFERROR(ROUND($D233*INDEX('🔖 배합비 참조'!$B$2:$CE$83,MATCH("당류가공품(알룰로스제로파우더)",'🔖 배합비 참조'!$A$2:$A$83,0),MATCH($C233,'🔖 배합비 참조'!$B$1:$CE$1,0))/100,0),""))),"")</f>
        <v>0</v>
      </c>
      <c r="AF233" s="39" t="n">
        <f aca="false">IFERROR(IF($C233="","",IF($D233="","",IFERROR(ROUND($D233*INDEX('🔖 배합비 참조'!$B$2:$CE$83,MATCH("당절임(완두배기)",'🔖 배합비 참조'!$A$2:$A$83,0),MATCH($C233,'🔖 배합비 참조'!$B$1:$CE$1,0))/100,0),""))),"")</f>
        <v>0</v>
      </c>
      <c r="AG233" s="39" t="n">
        <f aca="false">IFERROR(IF($C233="","",IF($D233="","",IFERROR(ROUND($D233*INDEX('🔖 배합비 참조'!$B$2:$CE$83,MATCH("대추농축액",'🔖 배합비 참조'!$A$2:$A$83,0),MATCH($C233,'🔖 배합비 참조'!$B$1:$CE$1,0))/100,0),""))),"")</f>
        <v>0</v>
      </c>
      <c r="AH233" s="39" t="n">
        <f aca="false">IFERROR(IF($C233="","",IF($D233="","",IFERROR(ROUND($D233*INDEX('🔖 배합비 참조'!$B$2:$CE$83,MATCH("대추채(국내산)",'🔖 배합비 참조'!$A$2:$A$83,0),MATCH($C233,'🔖 배합비 참조'!$B$1:$CE$1,0))/100,0),""))),"")</f>
        <v>0</v>
      </c>
      <c r="AI233" s="39" t="n">
        <f aca="false">IFERROR(IF($C233="","",IF($D233="","",IFERROR(ROUND($D233*INDEX('🔖 배합비 참조'!$B$2:$CE$83,MATCH("동부(미얀마산)",'🔖 배합비 참조'!$A$2:$A$83,0),MATCH($C233,'🔖 배합비 참조'!$B$1:$CE$1,0))/100,0),""))),"")</f>
        <v>0</v>
      </c>
      <c r="AJ233" s="39" t="n">
        <f aca="false">IFERROR(IF($C233="","",IF($D233="","",IFERROR(ROUND($D233*INDEX('🔖 배합비 참조'!$B$2:$CE$83,MATCH("두류가공품(백옥앙금)",'🔖 배합비 참조'!$A$2:$A$83,0),MATCH($C233,'🔖 배합비 참조'!$B$1:$CE$1,0))/100,0),""))),"")</f>
        <v>0</v>
      </c>
      <c r="AK233" s="39" t="n">
        <f aca="false">IFERROR(IF($C233="","",IF($D233="","",IFERROR(ROUND($D233*INDEX('🔖 배합비 참조'!$B$2:$CE$83,MATCH("두류가공품(콩고물)",'🔖 배합비 참조'!$A$2:$A$83,0),MATCH($C233,'🔖 배합비 참조'!$B$1:$CE$1,0))/100,0),""))),"")</f>
        <v>0</v>
      </c>
      <c r="AL233" s="39" t="n">
        <f aca="false">IFERROR(IF($C233="","",IF($D233="","",IFERROR(ROUND($D233*INDEX('🔖 배합비 참조'!$B$2:$CE$83,MATCH("두류가공품(통팥고물)",'🔖 배합비 참조'!$A$2:$A$83,0),MATCH($C233,'🔖 배합비 참조'!$B$1:$CE$1,0))/100,0),""))),"")</f>
        <v>0</v>
      </c>
      <c r="AM233" s="39" t="n">
        <f aca="false">IFERROR(IF($C233="","",IF($D233="","",IFERROR(ROUND($D233*INDEX('🔖 배합비 참조'!$B$2:$CE$83,MATCH("딸기레진",'🔖 배합비 참조'!$A$2:$A$83,0),MATCH($C233,'🔖 배합비 참조'!$B$1:$CE$1,0))/100,0),""))),"")</f>
        <v>0</v>
      </c>
      <c r="AN233" s="39" t="n">
        <f aca="false">IFERROR(IF($C233="","",IF($D233="","",IFERROR(ROUND($D233*INDEX('🔖 배합비 참조'!$B$2:$CE$83,MATCH("딸기분말(스트로우베리에이드(분말))",'🔖 배합비 참조'!$A$2:$A$83,0),MATCH($C233,'🔖 배합비 참조'!$B$1:$CE$1,0))/100,0),""))),"")</f>
        <v>0</v>
      </c>
      <c r="AO233" s="39" t="n">
        <f aca="false">IFERROR(IF($C233="","",IF($D233="","",IFERROR(ROUND($D233*INDEX('🔖 배합비 참조'!$B$2:$CE$83,MATCH("마스카포네치즈",'🔖 배합비 참조'!$A$2:$A$83,0),MATCH($C233,'🔖 배합비 참조'!$B$1:$CE$1,0))/100,0),""))),"")</f>
        <v>0</v>
      </c>
      <c r="AP233" s="39" t="n">
        <f aca="false">IFERROR(IF($C233="","",IF($D233="","",IFERROR(ROUND($D233*INDEX('🔖 배합비 참조'!$B$2:$CE$83,MATCH("마카다미아분태(호주산)",'🔖 배합비 참조'!$A$2:$A$83,0),MATCH($C233,'🔖 배합비 참조'!$B$1:$CE$1,0))/100,0),""))),"")</f>
        <v>0</v>
      </c>
      <c r="AQ233" s="39" t="n">
        <f aca="false">IFERROR(IF($C233="","",IF($D233="","",IFERROR(ROUND($D233*INDEX('🔖 배합비 참조'!$B$2:$CE$83,MATCH("멥쌀(국내산)",'🔖 배합비 참조'!$A$2:$A$83,0),MATCH($C233,'🔖 배합비 참조'!$B$1:$CE$1,0))/100,0),""))),"")</f>
        <v>0</v>
      </c>
      <c r="AR233" s="39" t="n">
        <f aca="false">IFERROR(IF($C233="","",IF($D233="","",IFERROR(ROUND($D233*INDEX('🔖 배합비 참조'!$B$2:$CE$83,MATCH("모시잎(국내산)",'🔖 배합비 참조'!$A$2:$A$83,0),MATCH($C233,'🔖 배합비 참조'!$B$1:$CE$1,0))/100,0),""))),"")</f>
        <v>0</v>
      </c>
      <c r="AS233" s="39" t="n">
        <f aca="false">IFERROR(IF($C233="","",IF($D233="","",IFERROR(ROUND($D233*INDEX('🔖 배합비 참조'!$B$2:$CE$83,MATCH("물엿(저당물엿)",'🔖 배합비 참조'!$A$2:$A$83,0),MATCH($C233,'🔖 배합비 참조'!$B$1:$CE$1,0))/100,0),""))),"")</f>
        <v>3</v>
      </c>
      <c r="AT233" s="39" t="n">
        <f aca="false">IFERROR(IF($C233="","",IF($D233="","",IFERROR(ROUND($D233*INDEX('🔖 배합비 참조'!$B$2:$CE$83,MATCH("밤다이스",'🔖 배합비 참조'!$A$2:$A$83,0),MATCH($C233,'🔖 배합비 참조'!$B$1:$CE$1,0))/100,0),""))),"")</f>
        <v>0</v>
      </c>
      <c r="AU233" s="39" t="n">
        <f aca="false">IFERROR(IF($C233="","",IF($D233="","",IFERROR(ROUND($D233*INDEX('🔖 배합비 참조'!$B$2:$CE$83,MATCH("변성전분(타피오카전분)",'🔖 배합비 참조'!$A$2:$A$83,0),MATCH($C233,'🔖 배합비 참조'!$B$1:$CE$1,0))/100,0),""))),"")</f>
        <v>0</v>
      </c>
      <c r="AV233" s="39" t="n">
        <f aca="false">IFERROR(IF($C233="","",IF($D233="","",IFERROR(ROUND($D233*INDEX('🔖 배합비 참조'!$B$2:$CE$83,MATCH("복음땅콩분태",'🔖 배합비 참조'!$A$2:$A$83,0),MATCH($C233,'🔖 배합비 참조'!$B$1:$CE$1,0))/100,0),""))),"")</f>
        <v>0</v>
      </c>
      <c r="AW233" s="39" t="n">
        <f aca="false">IFERROR(IF($C233="","",IF($D233="","",IFERROR(ROUND($D233*INDEX('🔖 배합비 참조'!$B$2:$CE$83,MATCH("사양벌꿀(국내산)",'🔖 배합비 참조'!$A$2:$A$83,0),MATCH($C233,'🔖 배합비 참조'!$B$1:$CE$1,0))/100,0),""))),"")</f>
        <v>0</v>
      </c>
      <c r="AX233" s="39" t="n">
        <f aca="false">IFERROR(IF($C233="","",IF($D233="","",IFERROR(ROUND($D233*INDEX('🔖 배합비 참조'!$B$2:$CE$83,MATCH("생크림",'🔖 배합비 참조'!$A$2:$A$83,0),MATCH($C233,'🔖 배합비 참조'!$B$1:$CE$1,0))/100,0),""))),"")</f>
        <v>0</v>
      </c>
      <c r="AY233" s="39" t="n">
        <f aca="false">IFERROR(IF($C233="","",IF($D233="","",IFERROR(ROUND($D233*INDEX('🔖 배합비 참조'!$B$2:$CE$83,MATCH("서양호박(국내산,뉴질랜드산)",'🔖 배합비 참조'!$A$2:$A$83,0),MATCH($C233,'🔖 배합비 참조'!$B$1:$CE$1,0))/100,0),""))),"")</f>
        <v>0</v>
      </c>
      <c r="AZ233" s="39" t="n">
        <f aca="false">IFERROR(IF($C233="","",IF($D233="","",IFERROR(ROUND($D233*INDEX('🔖 배합비 참조'!$B$2:$CE$83,MATCH("설탕",'🔖 배합비 참조'!$A$2:$A$83,0),MATCH($C233,'🔖 배합비 참조'!$B$1:$CE$1,0))/100,0),""))),"")</f>
        <v>3</v>
      </c>
      <c r="BA233" s="39" t="n">
        <f aca="false">IFERROR(IF($C233="","",IF($D233="","",IFERROR(ROUND($D233*INDEX('🔖 배합비 참조'!$B$2:$CE$83,MATCH("스트로우베리 에이드 후레쉬",'🔖 배합비 참조'!$A$2:$A$83,0),MATCH($C233,'🔖 배합비 참조'!$B$1:$CE$1,0))/100,0),""))),"")</f>
        <v>0</v>
      </c>
      <c r="BB233" s="39" t="n">
        <f aca="false">IFERROR(IF($C233="","",IF($D233="","",IFERROR(ROUND($D233*INDEX('🔖 배합비 참조'!$B$2:$CE$83,MATCH("식물성기름혼합제제(분홍)",'🔖 배합비 참조'!$A$2:$A$83,0),MATCH($C233,'🔖 배합비 참조'!$B$1:$CE$1,0))/100,0),""))),"")</f>
        <v>0</v>
      </c>
      <c r="BC233" s="39" t="n">
        <f aca="false">IFERROR(IF($C233="","",IF($D233="","",IFERROR(ROUND($D233*INDEX('🔖 배합비 참조'!$B$2:$CE$83,MATCH("식물성기름혼합제제(초록)",'🔖 배합비 참조'!$A$2:$A$83,0),MATCH($C233,'🔖 배합비 참조'!$B$1:$CE$1,0))/100,0),""))),"")</f>
        <v>0</v>
      </c>
      <c r="BD233" s="39" t="n">
        <f aca="false">IFERROR(IF($C233="","",IF($D233="","",IFERROR(ROUND($D233*INDEX('🔖 배합비 참조'!$B$2:$CE$83,MATCH("식물성기름혼합제제(황색)",'🔖 배합비 참조'!$A$2:$A$83,0),MATCH($C233,'🔖 배합비 참조'!$B$1:$CE$1,0))/100,0),""))),"")</f>
        <v>0</v>
      </c>
      <c r="BE233" s="39" t="n">
        <f aca="false">IFERROR(IF($C233="","",IF($D233="","",IFERROR(ROUND($D233*INDEX('🔖 배합비 참조'!$B$2:$CE$83,MATCH("쑥가루(국내산)",'🔖 배합비 참조'!$A$2:$A$83,0),MATCH($C233,'🔖 배합비 참조'!$B$1:$CE$1,0))/100,0),""))),"")</f>
        <v>0</v>
      </c>
      <c r="BF233" s="39" t="n">
        <f aca="false">IFERROR(IF($C233="","",IF($D233="","",IFERROR(ROUND($D233*INDEX('🔖 배합비 참조'!$B$2:$CE$83,MATCH("아몬드슬라이스",'🔖 배합비 참조'!$A$2:$A$83,0),MATCH($C233,'🔖 배합비 참조'!$B$1:$CE$1,0))/100,0),""))),"")</f>
        <v>0</v>
      </c>
      <c r="BG233" s="39" t="n">
        <f aca="false">IFERROR(IF($C233="","",IF($D233="","",IFERROR(ROUND($D233*INDEX('🔖 배합비 참조'!$B$2:$CE$83,MATCH("알룰로오스(국내산)",'🔖 배합비 참조'!$A$2:$A$83,0),MATCH($C233,'🔖 배합비 참조'!$B$1:$CE$1,0))/100,0),""))),"")</f>
        <v>0</v>
      </c>
      <c r="BH233" s="39" t="n">
        <f aca="false">IFERROR(IF($C233="","",IF($D233="","",IFERROR(ROUND($D233*INDEX('🔖 배합비 참조'!$B$2:$CE$83,MATCH("연유",'🔖 배합비 참조'!$A$2:$A$83,0),MATCH($C233,'🔖 배합비 참조'!$B$1:$CE$1,0))/100,0),""))),"")</f>
        <v>0</v>
      </c>
      <c r="BI233" s="39" t="n">
        <f aca="false">IFERROR(IF($C233="","",IF($D233="","",IFERROR(ROUND($D233*INDEX('🔖 배합비 참조'!$B$2:$CE$83,MATCH("옥수수전분",'🔖 배합비 참조'!$A$2:$A$83,0),MATCH($C233,'🔖 배합비 참조'!$B$1:$CE$1,0))/100,0),""))),"")</f>
        <v>0</v>
      </c>
      <c r="BJ233" s="39" t="n">
        <f aca="false">IFERROR(IF($C233="","",IF($D233="","",IFERROR(ROUND($D233*INDEX('🔖 배합비 참조'!$B$2:$CE$83,MATCH("완두배기",'🔖 배합비 참조'!$A$2:$A$83,0),MATCH($C233,'🔖 배합비 참조'!$B$1:$CE$1,0))/100,0),""))),"")</f>
        <v>0</v>
      </c>
      <c r="BK233" s="39" t="n">
        <f aca="false">IFERROR(IF($C233="","",IF($D233="","",IFERROR(ROUND($D233*INDEX('🔖 배합비 참조'!$B$2:$CE$83,MATCH("우유(국내산)",'🔖 배합비 참조'!$A$2:$A$83,0),MATCH($C233,'🔖 배합비 참조'!$B$1:$CE$1,0))/100,0),""))),"")</f>
        <v>0</v>
      </c>
      <c r="BL233" s="39" t="n">
        <f aca="false">IFERROR(IF($C233="","",IF($D233="","",IFERROR(ROUND($D233*INDEX('🔖 배합비 참조'!$B$2:$CE$83,MATCH("자색고구마가루(중국산)",'🔖 배합비 참조'!$A$2:$A$83,0),MATCH($C233,'🔖 배합비 참조'!$B$1:$CE$1,0))/100,0),""))),"")</f>
        <v>0</v>
      </c>
      <c r="BM233" s="39" t="n">
        <f aca="false">IFERROR(IF($C233="","",IF($D233="","",IFERROR(ROUND($D233*INDEX('🔖 배합비 참조'!$B$2:$CE$83,MATCH("자연치즈(체다치즈)",'🔖 배합비 참조'!$A$2:$A$83,0),MATCH($C233,'🔖 배합비 참조'!$B$1:$CE$1,0))/100,0),""))),"")</f>
        <v>0</v>
      </c>
      <c r="BN233" s="39" t="n">
        <f aca="false">IFERROR(IF($C233="","",IF($D233="","",IFERROR(ROUND($D233*INDEX('🔖 배합비 참조'!$B$2:$CE$83,MATCH("정제수",'🔖 배합비 참조'!$A$2:$A$83,0),MATCH($C233,'🔖 배합비 참조'!$B$1:$CE$1,0))/100,0),""))),"")</f>
        <v>25</v>
      </c>
      <c r="BO233" s="39" t="n">
        <f aca="false">IFERROR(IF($C233="","",IF($D233="","",IFERROR(ROUND($D233*INDEX('🔖 배합비 참조'!$B$2:$CE$83,MATCH("젤라틴",'🔖 배합비 참조'!$A$2:$A$83,0),MATCH($C233,'🔖 배합비 참조'!$B$1:$CE$1,0))/100,0),""))),"")</f>
        <v>0</v>
      </c>
      <c r="BP233" s="39" t="n">
        <f aca="false">IFERROR(IF($C233="","",IF($D233="","",IFERROR(ROUND($D233*INDEX('🔖 배합비 참조'!$B$2:$CE$83,MATCH("조림류(백옥앙금)",'🔖 배합비 참조'!$A$2:$A$83,0),MATCH($C233,'🔖 배합비 참조'!$B$1:$CE$1,0))/100,0),""))),"")</f>
        <v>0</v>
      </c>
      <c r="BQ233" s="39" t="n">
        <f aca="false">IFERROR(IF($C233="","",IF($D233="","",IFERROR(ROUND($D233*INDEX('🔖 배합비 참조'!$B$2:$CE$83,MATCH("조림류(통팥앙금)",'🔖 배합비 참조'!$A$2:$A$83,0),MATCH($C233,'🔖 배합비 참조'!$B$1:$CE$1,0))/100,0),""))),"")</f>
        <v>0</v>
      </c>
      <c r="BR233" s="39" t="n">
        <f aca="false">IFERROR(IF($C233="","",IF($D233="","",IFERROR(ROUND($D233*INDEX('🔖 배합비 참조'!$B$2:$CE$83,MATCH("준초콜릿(외국산)",'🔖 배합비 참조'!$A$2:$A$83,0),MATCH($C233,'🔖 배합비 참조'!$B$1:$CE$1,0))/100,0),""))),"")</f>
        <v>0</v>
      </c>
      <c r="BS233" s="39" t="n">
        <f aca="false">IFERROR(IF($C233="","",IF($D233="","",IFERROR(ROUND($D233*INDEX('🔖 배합비 참조'!$B$2:$CE$83,MATCH("중력분",'🔖 배합비 참조'!$A$2:$A$83,0),MATCH($C233,'🔖 배합비 참조'!$B$1:$CE$1,0))/100,0),""))),"")</f>
        <v>1</v>
      </c>
      <c r="BT233" s="39" t="n">
        <f aca="false">IFERROR(IF($C233="","",IF($D233="","",IFERROR(ROUND($D233*INDEX('🔖 배합비 참조'!$B$2:$CE$83,MATCH("참깨(인도산,나이지리아산,탄자니아산,미얀마산)",'🔖 배합비 참조'!$A$2:$A$83,0),MATCH($C233,'🔖 배합비 참조'!$B$1:$CE$1,0))/100,0),""))),"")</f>
        <v>0</v>
      </c>
      <c r="BU233" s="39" t="n">
        <f aca="false">IFERROR(IF($C233="","",IF($D233="","",IFERROR(ROUND($D233*INDEX('🔖 배합비 참조'!$B$2:$CE$83,MATCH("찹쌀(국내산)",'🔖 배합비 참조'!$A$2:$A$83,0),MATCH($C233,'🔖 배합비 참조'!$B$1:$CE$1,0))/100,0),""))),"")</f>
        <v>31</v>
      </c>
      <c r="BV233" s="39" t="n">
        <f aca="false">IFERROR(IF($C233="","",IF($D233="","",IFERROR(ROUND($D233*INDEX('🔖 배합비 참조'!$B$2:$CE$83,MATCH("천일염",'🔖 배합비 참조'!$A$2:$A$83,0),MATCH($C233,'🔖 배합비 참조'!$B$1:$CE$1,0))/100,0),""))),"")</f>
        <v>1</v>
      </c>
      <c r="BW233" s="39" t="n">
        <f aca="false">IFERROR(IF($C233="","",IF($D233="","",IFERROR(ROUND($D233*INDEX('🔖 배합비 참조'!$B$2:$CE$83,MATCH("치즈 [크림치즈]",'🔖 배합비 참조'!$A$2:$A$83,0),MATCH($C233,'🔖 배합비 참조'!$B$1:$CE$1,0))/100,0),""))),"")</f>
        <v>0</v>
      </c>
      <c r="BX233" s="39" t="n">
        <f aca="false">IFERROR(IF($C233="","",IF($D233="","",IFERROR(ROUND($D233*INDEX('🔖 배합비 참조'!$B$2:$CE$83,MATCH("코코아가공품류(코코아분말)",'🔖 배합비 참조'!$A$2:$A$83,0),MATCH($C233,'🔖 배합비 참조'!$B$1:$CE$1,0))/100,0),""))),"")</f>
        <v>0</v>
      </c>
      <c r="BY233" s="39" t="n">
        <f aca="false">IFERROR(IF($C233="","",IF($D233="","",IFERROR(ROUND($D233*INDEX('🔖 배합비 참조'!$B$2:$CE$83,MATCH("콩기름(대두유)",'🔖 배합비 참조'!$A$2:$A$83,0),MATCH($C233,'🔖 배합비 참조'!$B$1:$CE$1,0))/100,0),""))),"")</f>
        <v>0</v>
      </c>
      <c r="BZ233" s="39" t="n">
        <f aca="false">IFERROR(IF($C233="","",IF($D233="","",IFERROR(ROUND($D233*INDEX('🔖 배합비 참조'!$B$2:$CE$83,MATCH("해바라기씨앗",'🔖 배합비 참조'!$A$2:$A$83,0),MATCH($C233,'🔖 배합비 참조'!$B$1:$CE$1,0))/100,0),""))),"")</f>
        <v>0</v>
      </c>
      <c r="CA233" s="39" t="n">
        <f aca="false">IFERROR(IF($C233="","",IF($D233="","",IFERROR(ROUND($D233*INDEX('🔖 배합비 참조'!$B$2:$CE$83,MATCH("현미(국내산)",'🔖 배합비 참조'!$A$2:$A$83,0),MATCH($C233,'🔖 배합비 참조'!$B$1:$CE$1,0))/100,0),""))),"")</f>
        <v>0</v>
      </c>
      <c r="CB233" s="39" t="n">
        <f aca="false">IFERROR(IF($C233="","",IF($D233="","",IFERROR(ROUND($D233*INDEX('🔖 배합비 참조'!$B$2:$CE$83,MATCH("현미멥쌀(국내산)",'🔖 배합비 참조'!$A$2:$A$83,0),MATCH($C233,'🔖 배합비 참조'!$B$1:$CE$1,0))/100,0),""))),"")</f>
        <v>0</v>
      </c>
      <c r="CC233" s="39" t="n">
        <f aca="false">IFERROR(IF($C233="","",IF($D233="","",IFERROR(ROUND($D233*INDEX('🔖 배합비 참조'!$B$2:$CE$83,MATCH("호두분태(미국산)",'🔖 배합비 참조'!$A$2:$A$83,0),MATCH($C233,'🔖 배합비 참조'!$B$1:$CE$1,0))/100,0),""))),"")</f>
        <v>0</v>
      </c>
      <c r="CD233" s="39" t="n">
        <f aca="false">IFERROR(IF($C233="","",IF($D233="","",IFERROR(ROUND($D233*INDEX('🔖 배합비 참조'!$B$2:$CE$83,MATCH("호박씨앗(외국산)",'🔖 배합비 참조'!$A$2:$A$83,0),MATCH($C233,'🔖 배합비 참조'!$B$1:$CE$1,0))/100,0),""))),"")</f>
        <v>0</v>
      </c>
      <c r="CE233" s="39" t="n">
        <f aca="false">IFERROR(IF($C233="","",IF($D233="","",IFERROR(ROUND($D233*INDEX('🔖 배합비 참조'!$B$2:$CE$83,MATCH("혼합제제(떡용에스텔)",'🔖 배합비 참조'!$A$2:$A$83,0),MATCH($C233,'🔖 배합비 참조'!$B$1:$CE$1,0))/100,0),""))),"")</f>
        <v>0</v>
      </c>
      <c r="CF233" s="39" t="n">
        <f aca="false">IFERROR(IF($C233="","",IF($D233="","",IFERROR(ROUND($D233*INDEX('🔖 배합비 참조'!$B$2:$CE$83,MATCH("혼합제제(스테비아)",'🔖 배합비 참조'!$A$2:$A$83,0),MATCH($C233,'🔖 배합비 참조'!$B$1:$CE$1,0))/100,0),""))),"")</f>
        <v>0</v>
      </c>
      <c r="CG233" s="39" t="n">
        <f aca="false">IFERROR(IF($C233="","",IF($D233="","",IFERROR(ROUND($D233*INDEX('🔖 배합비 참조'!$B$2:$CE$83,MATCH("화이트초콜릿",'🔖 배합비 참조'!$A$2:$A$83,0),MATCH($C233,'🔖 배합비 참조'!$B$1:$CE$1,0))/100,0),""))),"")</f>
        <v>0</v>
      </c>
      <c r="CH233" s="39" t="n">
        <f aca="false">IFERROR(IF($C233="","",IF($D233="","",IFERROR(ROUND($D233*INDEX('🔖 배합비 참조'!$B$2:$CE$83,MATCH("흑미찹쌀(국내산)",'🔖 배합비 참조'!$A$2:$A$83,0),MATCH($C233,'🔖 배합비 참조'!$B$1:$CE$1,0))/100,0),""))),"")</f>
        <v>0</v>
      </c>
      <c r="CI233" s="39" t="n">
        <f aca="false">IFERROR(IF($C233="","",IF($D233="","",IFERROR(ROUND($D233*INDEX('🔖 배합비 참조'!$B$2:$CE$83,MATCH("찰옥수수전분(미국산)",'🔖 배합비 참조'!$A$2:$A$83,0),MATCH($C233,'🔖 배합비 참조'!$B$1:$CE$1,0))/100,0),""))),"")</f>
        <v>0</v>
      </c>
      <c r="CJ233" s="40"/>
      <c r="CL233" s="1" t="s">
        <v>247</v>
      </c>
    </row>
    <row r="234" customFormat="false" ht="18" hidden="false" customHeight="true" outlineLevel="0" collapsed="false">
      <c r="A234" s="41" t="n">
        <v>230</v>
      </c>
      <c r="B234" s="36" t="n">
        <v>46073</v>
      </c>
      <c r="C234" s="37" t="s">
        <v>191</v>
      </c>
      <c r="D234" s="38" t="n">
        <v>1100</v>
      </c>
      <c r="E234" s="17"/>
      <c r="F234" s="17"/>
      <c r="G234" s="42" t="n">
        <f aca="false">IFERROR(IF($C234="","",IF($D234="","",IFERROR(ROUND($D234*INDEX('🔖 배합비 참조'!$B$2:$CE$83,MATCH("간장",'🔖 배합비 참조'!$A$2:$A$83,0),MATCH($C234,'🔖 배합비 참조'!$B$1:$CE$1,0))/100,0),""))),"")</f>
        <v>0</v>
      </c>
      <c r="H234" s="42" t="n">
        <f aca="false">IFERROR(IF($C234="","",IF($D234="","",IFERROR(ROUND($D234*INDEX('🔖 배합비 참조'!$B$2:$CE$83,MATCH("강낭콩((울타리콩))",'🔖 배합비 참조'!$A$2:$A$83,0),MATCH($C234,'🔖 배합비 참조'!$B$1:$CE$1,0))/100,0),""))),"")</f>
        <v>0</v>
      </c>
      <c r="I234" s="42" t="n">
        <f aca="false">IFERROR(IF($C234="","",IF($D234="","",IFERROR(ROUND($D234*INDEX('🔖 배합비 참조'!$B$2:$CE$83,MATCH("건조딸기다이스(외국산)",'🔖 배합비 참조'!$A$2:$A$83,0),MATCH($C234,'🔖 배합비 참조'!$B$1:$CE$1,0))/100,0),""))),"")</f>
        <v>0</v>
      </c>
      <c r="J234" s="42" t="n">
        <f aca="false">IFERROR(IF($C234="","",IF($D234="","",IFERROR(ROUND($D234*INDEX('🔖 배합비 참조'!$B$2:$CE$83,MATCH("건포도",'🔖 배합비 참조'!$A$2:$A$83,0),MATCH($C234,'🔖 배합비 참조'!$B$1:$CE$1,0))/100,0),""))),"")</f>
        <v>0</v>
      </c>
      <c r="K234" s="42" t="n">
        <f aca="false">IFERROR(IF($C234="","",IF($D234="","",IFERROR(ROUND($D234*INDEX('🔖 배합비 참조'!$B$2:$CE$83,MATCH("건호박채(중국산)",'🔖 배합비 참조'!$A$2:$A$83,0),MATCH($C234,'🔖 배합비 참조'!$B$1:$CE$1,0))/100,0),""))),"")</f>
        <v>0</v>
      </c>
      <c r="L234" s="42" t="n">
        <f aca="false">IFERROR(IF($C234="","",IF($D234="","",IFERROR(ROUND($D234*INDEX('🔖 배합비 참조'!$B$2:$CE$83,MATCH("검정깨(흑임자)",'🔖 배합비 참조'!$A$2:$A$83,0),MATCH($C234,'🔖 배합비 참조'!$B$1:$CE$1,0))/100,0),""))),"")</f>
        <v>0</v>
      </c>
      <c r="M234" s="42" t="n">
        <f aca="false">IFERROR(IF($C234="","",IF($D234="","",IFERROR(ROUND($D234*INDEX('🔖 배합비 참조'!$B$2:$CE$83,MATCH("검정콩",'🔖 배합비 참조'!$A$2:$A$83,0),MATCH($C234,'🔖 배합비 참조'!$B$1:$CE$1,0))/100,0),""))),"")</f>
        <v>0</v>
      </c>
      <c r="N234" s="42" t="n">
        <f aca="false">IFERROR(IF($C234="","",IF($D234="","",IFERROR(ROUND($D234*INDEX('🔖 배합비 참조'!$B$2:$CE$83,MATCH("계피가루",'🔖 배합비 참조'!$A$2:$A$83,0),MATCH($C234,'🔖 배합비 참조'!$B$1:$CE$1,0))/100,0),""))),"")</f>
        <v>0</v>
      </c>
      <c r="O234" s="42" t="n">
        <f aca="false">IFERROR(IF($C234="","",IF($D234="","",IFERROR(ROUND($D234*INDEX('🔖 배합비 참조'!$B$2:$CE$83,MATCH("고구마가루",'🔖 배합비 참조'!$A$2:$A$83,0),MATCH($C234,'🔖 배합비 참조'!$B$1:$CE$1,0))/100,0),""))),"")</f>
        <v>0</v>
      </c>
      <c r="P234" s="42" t="n">
        <f aca="false">IFERROR(IF($C234="","",IF($D234="","",IFERROR(ROUND($D234*INDEX('🔖 배합비 참조'!$B$2:$CE$83,MATCH("고구마무스",'🔖 배합비 참조'!$A$2:$A$83,0),MATCH($C234,'🔖 배합비 참조'!$B$1:$CE$1,0))/100,0),""))),"")</f>
        <v>0</v>
      </c>
      <c r="Q234" s="42" t="n">
        <f aca="false">IFERROR(IF($C234="","",IF($D234="","",IFERROR(ROUND($D234*INDEX('🔖 배합비 참조'!$B$2:$CE$83,MATCH("고려엉겅퀴((곤드레)국내산)",'🔖 배합비 참조'!$A$2:$A$83,0),MATCH($C234,'🔖 배합비 참조'!$B$1:$CE$1,0))/100,0),""))),"")</f>
        <v>0</v>
      </c>
      <c r="R234" s="42" t="n">
        <f aca="false">IFERROR(IF($C234="","",IF($D234="","",IFERROR(ROUND($D234*INDEX('🔖 배합비 참조'!$B$2:$CE$83,MATCH("기타가공품(복분자가루)",'🔖 배합비 참조'!$A$2:$A$83,0),MATCH($C234,'🔖 배합비 참조'!$B$1:$CE$1,0))/100,0),""))),"")</f>
        <v>0</v>
      </c>
      <c r="S234" s="42" t="n">
        <f aca="false">IFERROR(IF($C234="","",IF($D234="","",IFERROR(ROUND($D234*INDEX('🔖 배합비 참조'!$B$2:$CE$83,MATCH("기타가공품(슈퍼소프트엠)",'🔖 배합비 참조'!$A$2:$A$83,0),MATCH($C234,'🔖 배합비 참조'!$B$1:$CE$1,0))/100,0),""))),"")</f>
        <v>0</v>
      </c>
      <c r="T234" s="42" t="n">
        <f aca="false">IFERROR(IF($C234="","",IF($D234="","",IFERROR(ROUND($D234*INDEX('🔖 배합비 참조'!$B$2:$CE$83,MATCH("기타가공품(파인소프트 E-티)",'🔖 배합비 참조'!$A$2:$A$83,0),MATCH($C234,'🔖 배합비 참조'!$B$1:$CE$1,0))/100,0),""))),"")</f>
        <v>0</v>
      </c>
      <c r="U234" s="42" t="n">
        <f aca="false">IFERROR(IF($C234="","",IF($D234="","",IFERROR(ROUND($D234*INDEX('🔖 배합비 참조'!$B$2:$CE$83,MATCH("기타가공품(프리미엄카스테라가루)",'🔖 배합비 참조'!$A$2:$A$83,0),MATCH($C234,'🔖 배합비 참조'!$B$1:$CE$1,0))/100,0),""))),"")</f>
        <v>0</v>
      </c>
      <c r="V234" s="42" t="n">
        <f aca="false">IFERROR(IF($C234="","",IF($D234="","",IFERROR(ROUND($D234*INDEX('🔖 배합비 참조'!$B$2:$CE$83,MATCH("기타가공품(흑임자가루)",'🔖 배합비 참조'!$A$2:$A$83,0),MATCH($C234,'🔖 배합비 참조'!$B$1:$CE$1,0))/100,0),""))),"")</f>
        <v>0</v>
      </c>
      <c r="W234" s="42" t="n">
        <f aca="false">IFERROR(IF($C234="","",IF($D234="","",IFERROR(ROUND($D234*INDEX('🔖 배합비 참조'!$B$2:$CE$83,MATCH("기타설탕(흑설탕)",'🔖 배합비 참조'!$A$2:$A$83,0),MATCH($C234,'🔖 배합비 참조'!$B$1:$CE$1,0))/100,0),""))),"")</f>
        <v>0</v>
      </c>
      <c r="X234" s="42" t="n">
        <f aca="false">IFERROR(IF($C234="","",IF($D234="","",IFERROR(ROUND($D234*INDEX('🔖 배합비 참조'!$B$2:$CE$83,MATCH("냉동쑥(국내산)",'🔖 배합비 참조'!$A$2:$A$83,0),MATCH($C234,'🔖 배합비 참조'!$B$1:$CE$1,0))/100,0),""))),"")</f>
        <v>0</v>
      </c>
      <c r="Y234" s="42" t="n">
        <f aca="false">IFERROR(IF($C234="","",IF($D234="","",IFERROR(ROUND($D234*INDEX('🔖 배합비 참조'!$B$2:$CE$83,MATCH("냉동증숙고구마(중국산)",'🔖 배합비 참조'!$A$2:$A$83,0),MATCH($C234,'🔖 배합비 참조'!$B$1:$CE$1,0))/100,0),""))),"")</f>
        <v>0</v>
      </c>
      <c r="Z234" s="42" t="n">
        <f aca="false">IFERROR(IF($C234="","",IF($D234="","",IFERROR(ROUND($D234*INDEX('🔖 배합비 참조'!$B$2:$CE$83,MATCH("녹차가루",'🔖 배합비 참조'!$A$2:$A$83,0),MATCH($C234,'🔖 배합비 참조'!$B$1:$CE$1,0))/100,0),""))),"")</f>
        <v>0</v>
      </c>
      <c r="AA234" s="42" t="n">
        <f aca="false">IFERROR(IF($C234="","",IF($D234="","",IFERROR(ROUND($D234*INDEX('🔖 배합비 참조'!$B$2:$CE$83,MATCH("다크초콜릿 컴파운드칩",'🔖 배합비 참조'!$A$2:$A$83,0),MATCH($C234,'🔖 배합비 참조'!$B$1:$CE$1,0))/100,0),""))),"")</f>
        <v>0</v>
      </c>
      <c r="AB234" s="42" t="n">
        <f aca="false">IFERROR(IF($C234="","",IF($D234="","",IFERROR(ROUND($D234*INDEX('🔖 배합비 참조'!$B$2:$CE$83,MATCH("단호박분말(중국산)",'🔖 배합비 참조'!$A$2:$A$83,0),MATCH($C234,'🔖 배합비 참조'!$B$1:$CE$1,0))/100,0),""))),"")</f>
        <v>0</v>
      </c>
      <c r="AC234" s="42" t="n">
        <f aca="false">IFERROR(IF($C234="","",IF($D234="","",IFERROR(ROUND($D234*INDEX('🔖 배합비 참조'!$B$2:$CE$83,MATCH("당류가공품(단호박농축액)",'🔖 배합비 참조'!$A$2:$A$83,0),MATCH($C234,'🔖 배합비 참조'!$B$1:$CE$1,0))/100,0),""))),"")</f>
        <v>0</v>
      </c>
      <c r="AD234" s="42" t="n">
        <f aca="false">IFERROR(IF($C234="","",IF($D234="","",IFERROR(ROUND($D234*INDEX('🔖 배합비 참조'!$B$2:$CE$83,MATCH("당류가공품(알룰로스,에리스리톨,스테비올배당체혼합)",'🔖 배합비 참조'!$A$2:$A$83,0),MATCH($C234,'🔖 배합비 참조'!$B$1:$CE$1,0))/100,0),""))),"")</f>
        <v>0</v>
      </c>
      <c r="AE234" s="42" t="n">
        <f aca="false">IFERROR(IF($C234="","",IF($D234="","",IFERROR(ROUND($D234*INDEX('🔖 배합비 참조'!$B$2:$CE$83,MATCH("당류가공품(알룰로스제로파우더)",'🔖 배합비 참조'!$A$2:$A$83,0),MATCH($C234,'🔖 배합비 참조'!$B$1:$CE$1,0))/100,0),""))),"")</f>
        <v>0</v>
      </c>
      <c r="AF234" s="42" t="n">
        <f aca="false">IFERROR(IF($C234="","",IF($D234="","",IFERROR(ROUND($D234*INDEX('🔖 배합비 참조'!$B$2:$CE$83,MATCH("당절임(완두배기)",'🔖 배합비 참조'!$A$2:$A$83,0),MATCH($C234,'🔖 배합비 참조'!$B$1:$CE$1,0))/100,0),""))),"")</f>
        <v>0</v>
      </c>
      <c r="AG234" s="42" t="n">
        <f aca="false">IFERROR(IF($C234="","",IF($D234="","",IFERROR(ROUND($D234*INDEX('🔖 배합비 참조'!$B$2:$CE$83,MATCH("대추농축액",'🔖 배합비 참조'!$A$2:$A$83,0),MATCH($C234,'🔖 배합비 참조'!$B$1:$CE$1,0))/100,0),""))),"")</f>
        <v>0</v>
      </c>
      <c r="AH234" s="42" t="n">
        <f aca="false">IFERROR(IF($C234="","",IF($D234="","",IFERROR(ROUND($D234*INDEX('🔖 배합비 참조'!$B$2:$CE$83,MATCH("대추채(국내산)",'🔖 배합비 참조'!$A$2:$A$83,0),MATCH($C234,'🔖 배합비 참조'!$B$1:$CE$1,0))/100,0),""))),"")</f>
        <v>0</v>
      </c>
      <c r="AI234" s="42" t="n">
        <f aca="false">IFERROR(IF($C234="","",IF($D234="","",IFERROR(ROUND($D234*INDEX('🔖 배합비 참조'!$B$2:$CE$83,MATCH("동부(미얀마산)",'🔖 배합비 참조'!$A$2:$A$83,0),MATCH($C234,'🔖 배합비 참조'!$B$1:$CE$1,0))/100,0),""))),"")</f>
        <v>0</v>
      </c>
      <c r="AJ234" s="42" t="n">
        <f aca="false">IFERROR(IF($C234="","",IF($D234="","",IFERROR(ROUND($D234*INDEX('🔖 배합비 참조'!$B$2:$CE$83,MATCH("두류가공품(백옥앙금)",'🔖 배합비 참조'!$A$2:$A$83,0),MATCH($C234,'🔖 배합비 참조'!$B$1:$CE$1,0))/100,0),""))),"")</f>
        <v>0</v>
      </c>
      <c r="AK234" s="42" t="n">
        <f aca="false">IFERROR(IF($C234="","",IF($D234="","",IFERROR(ROUND($D234*INDEX('🔖 배합비 참조'!$B$2:$CE$83,MATCH("두류가공품(콩고물)",'🔖 배합비 참조'!$A$2:$A$83,0),MATCH($C234,'🔖 배합비 참조'!$B$1:$CE$1,0))/100,0),""))),"")</f>
        <v>0</v>
      </c>
      <c r="AL234" s="42" t="n">
        <f aca="false">IFERROR(IF($C234="","",IF($D234="","",IFERROR(ROUND($D234*INDEX('🔖 배합비 참조'!$B$2:$CE$83,MATCH("두류가공품(통팥고물)",'🔖 배합비 참조'!$A$2:$A$83,0),MATCH($C234,'🔖 배합비 참조'!$B$1:$CE$1,0))/100,0),""))),"")</f>
        <v>0</v>
      </c>
      <c r="AM234" s="42" t="n">
        <f aca="false">IFERROR(IF($C234="","",IF($D234="","",IFERROR(ROUND($D234*INDEX('🔖 배합비 참조'!$B$2:$CE$83,MATCH("딸기레진",'🔖 배합비 참조'!$A$2:$A$83,0),MATCH($C234,'🔖 배합비 참조'!$B$1:$CE$1,0))/100,0),""))),"")</f>
        <v>0</v>
      </c>
      <c r="AN234" s="42" t="n">
        <f aca="false">IFERROR(IF($C234="","",IF($D234="","",IFERROR(ROUND($D234*INDEX('🔖 배합비 참조'!$B$2:$CE$83,MATCH("딸기분말(스트로우베리에이드(분말))",'🔖 배합비 참조'!$A$2:$A$83,0),MATCH($C234,'🔖 배합비 참조'!$B$1:$CE$1,0))/100,0),""))),"")</f>
        <v>0</v>
      </c>
      <c r="AO234" s="42" t="n">
        <f aca="false">IFERROR(IF($C234="","",IF($D234="","",IFERROR(ROUND($D234*INDEX('🔖 배합비 참조'!$B$2:$CE$83,MATCH("마스카포네치즈",'🔖 배합비 참조'!$A$2:$A$83,0),MATCH($C234,'🔖 배합비 참조'!$B$1:$CE$1,0))/100,0),""))),"")</f>
        <v>0</v>
      </c>
      <c r="AP234" s="42" t="n">
        <f aca="false">IFERROR(IF($C234="","",IF($D234="","",IFERROR(ROUND($D234*INDEX('🔖 배합비 참조'!$B$2:$CE$83,MATCH("마카다미아분태(호주산)",'🔖 배합비 참조'!$A$2:$A$83,0),MATCH($C234,'🔖 배합비 참조'!$B$1:$CE$1,0))/100,0),""))),"")</f>
        <v>0</v>
      </c>
      <c r="AQ234" s="42" t="n">
        <f aca="false">IFERROR(IF($C234="","",IF($D234="","",IFERROR(ROUND($D234*INDEX('🔖 배합비 참조'!$B$2:$CE$83,MATCH("멥쌀(국내산)",'🔖 배합비 참조'!$A$2:$A$83,0),MATCH($C234,'🔖 배합비 참조'!$B$1:$CE$1,0))/100,0),""))),"")</f>
        <v>22</v>
      </c>
      <c r="AR234" s="42" t="n">
        <f aca="false">IFERROR(IF($C234="","",IF($D234="","",IFERROR(ROUND($D234*INDEX('🔖 배합비 참조'!$B$2:$CE$83,MATCH("모시잎(국내산)",'🔖 배합비 참조'!$A$2:$A$83,0),MATCH($C234,'🔖 배합비 참조'!$B$1:$CE$1,0))/100,0),""))),"")</f>
        <v>0</v>
      </c>
      <c r="AS234" s="42" t="n">
        <f aca="false">IFERROR(IF($C234="","",IF($D234="","",IFERROR(ROUND($D234*INDEX('🔖 배합비 참조'!$B$2:$CE$83,MATCH("물엿(저당물엿)",'🔖 배합비 참조'!$A$2:$A$83,0),MATCH($C234,'🔖 배합비 참조'!$B$1:$CE$1,0))/100,0),""))),"")</f>
        <v>0</v>
      </c>
      <c r="AT234" s="42" t="n">
        <f aca="false">IFERROR(IF($C234="","",IF($D234="","",IFERROR(ROUND($D234*INDEX('🔖 배합비 참조'!$B$2:$CE$83,MATCH("밤다이스",'🔖 배합비 참조'!$A$2:$A$83,0),MATCH($C234,'🔖 배합비 참조'!$B$1:$CE$1,0))/100,0),""))),"")</f>
        <v>0</v>
      </c>
      <c r="AU234" s="42" t="n">
        <f aca="false">IFERROR(IF($C234="","",IF($D234="","",IFERROR(ROUND($D234*INDEX('🔖 배합비 참조'!$B$2:$CE$83,MATCH("변성전분(타피오카전분)",'🔖 배합비 참조'!$A$2:$A$83,0),MATCH($C234,'🔖 배합비 참조'!$B$1:$CE$1,0))/100,0),""))),"")</f>
        <v>0</v>
      </c>
      <c r="AV234" s="42" t="n">
        <f aca="false">IFERROR(IF($C234="","",IF($D234="","",IFERROR(ROUND($D234*INDEX('🔖 배합비 참조'!$B$2:$CE$83,MATCH("복음땅콩분태",'🔖 배합비 참조'!$A$2:$A$83,0),MATCH($C234,'🔖 배합비 참조'!$B$1:$CE$1,0))/100,0),""))),"")</f>
        <v>0</v>
      </c>
      <c r="AW234" s="42" t="n">
        <f aca="false">IFERROR(IF($C234="","",IF($D234="","",IFERROR(ROUND($D234*INDEX('🔖 배합비 참조'!$B$2:$CE$83,MATCH("사양벌꿀(국내산)",'🔖 배합비 참조'!$A$2:$A$83,0),MATCH($C234,'🔖 배합비 참조'!$B$1:$CE$1,0))/100,0),""))),"")</f>
        <v>0</v>
      </c>
      <c r="AX234" s="42" t="n">
        <f aca="false">IFERROR(IF($C234="","",IF($D234="","",IFERROR(ROUND($D234*INDEX('🔖 배합비 참조'!$B$2:$CE$83,MATCH("생크림",'🔖 배합비 참조'!$A$2:$A$83,0),MATCH($C234,'🔖 배합비 참조'!$B$1:$CE$1,0))/100,0),""))),"")</f>
        <v>0</v>
      </c>
      <c r="AY234" s="42" t="n">
        <f aca="false">IFERROR(IF($C234="","",IF($D234="","",IFERROR(ROUND($D234*INDEX('🔖 배합비 참조'!$B$2:$CE$83,MATCH("서양호박(국내산,뉴질랜드산)",'🔖 배합비 참조'!$A$2:$A$83,0),MATCH($C234,'🔖 배합비 참조'!$B$1:$CE$1,0))/100,0),""))),"")</f>
        <v>0</v>
      </c>
      <c r="AZ234" s="42" t="n">
        <f aca="false">IFERROR(IF($C234="","",IF($D234="","",IFERROR(ROUND($D234*INDEX('🔖 배합비 참조'!$B$2:$CE$83,MATCH("설탕",'🔖 배합비 참조'!$A$2:$A$83,0),MATCH($C234,'🔖 배합비 참조'!$B$1:$CE$1,0))/100,0),""))),"")</f>
        <v>209</v>
      </c>
      <c r="BA234" s="42" t="n">
        <f aca="false">IFERROR(IF($C234="","",IF($D234="","",IFERROR(ROUND($D234*INDEX('🔖 배합비 참조'!$B$2:$CE$83,MATCH("스트로우베리 에이드 후레쉬",'🔖 배합비 참조'!$A$2:$A$83,0),MATCH($C234,'🔖 배합비 참조'!$B$1:$CE$1,0))/100,0),""))),"")</f>
        <v>0</v>
      </c>
      <c r="BB234" s="42" t="n">
        <f aca="false">IFERROR(IF($C234="","",IF($D234="","",IFERROR(ROUND($D234*INDEX('🔖 배합비 참조'!$B$2:$CE$83,MATCH("식물성기름혼합제제(분홍)",'🔖 배합비 참조'!$A$2:$A$83,0),MATCH($C234,'🔖 배합비 참조'!$B$1:$CE$1,0))/100,0),""))),"")</f>
        <v>0</v>
      </c>
      <c r="BC234" s="42" t="n">
        <f aca="false">IFERROR(IF($C234="","",IF($D234="","",IFERROR(ROUND($D234*INDEX('🔖 배합비 참조'!$B$2:$CE$83,MATCH("식물성기름혼합제제(초록)",'🔖 배합비 참조'!$A$2:$A$83,0),MATCH($C234,'🔖 배합비 참조'!$B$1:$CE$1,0))/100,0),""))),"")</f>
        <v>0</v>
      </c>
      <c r="BD234" s="42" t="n">
        <f aca="false">IFERROR(IF($C234="","",IF($D234="","",IFERROR(ROUND($D234*INDEX('🔖 배합비 참조'!$B$2:$CE$83,MATCH("식물성기름혼합제제(황색)",'🔖 배합비 참조'!$A$2:$A$83,0),MATCH($C234,'🔖 배합비 참조'!$B$1:$CE$1,0))/100,0),""))),"")</f>
        <v>0</v>
      </c>
      <c r="BE234" s="42" t="n">
        <f aca="false">IFERROR(IF($C234="","",IF($D234="","",IFERROR(ROUND($D234*INDEX('🔖 배합비 참조'!$B$2:$CE$83,MATCH("쑥가루(국내산)",'🔖 배합비 참조'!$A$2:$A$83,0),MATCH($C234,'🔖 배합비 참조'!$B$1:$CE$1,0))/100,0),""))),"")</f>
        <v>0</v>
      </c>
      <c r="BF234" s="42" t="n">
        <f aca="false">IFERROR(IF($C234="","",IF($D234="","",IFERROR(ROUND($D234*INDEX('🔖 배합비 참조'!$B$2:$CE$83,MATCH("아몬드슬라이스",'🔖 배합비 참조'!$A$2:$A$83,0),MATCH($C234,'🔖 배합비 참조'!$B$1:$CE$1,0))/100,0),""))),"")</f>
        <v>0</v>
      </c>
      <c r="BG234" s="42" t="n">
        <f aca="false">IFERROR(IF($C234="","",IF($D234="","",IFERROR(ROUND($D234*INDEX('🔖 배합비 참조'!$B$2:$CE$83,MATCH("알룰로오스(국내산)",'🔖 배합비 참조'!$A$2:$A$83,0),MATCH($C234,'🔖 배합비 참조'!$B$1:$CE$1,0))/100,0),""))),"")</f>
        <v>0</v>
      </c>
      <c r="BH234" s="42" t="n">
        <f aca="false">IFERROR(IF($C234="","",IF($D234="","",IFERROR(ROUND($D234*INDEX('🔖 배합비 참조'!$B$2:$CE$83,MATCH("연유",'🔖 배합비 참조'!$A$2:$A$83,0),MATCH($C234,'🔖 배합비 참조'!$B$1:$CE$1,0))/100,0),""))),"")</f>
        <v>0</v>
      </c>
      <c r="BI234" s="42" t="n">
        <f aca="false">IFERROR(IF($C234="","",IF($D234="","",IFERROR(ROUND($D234*INDEX('🔖 배합비 참조'!$B$2:$CE$83,MATCH("옥수수전분",'🔖 배합비 참조'!$A$2:$A$83,0),MATCH($C234,'🔖 배합비 참조'!$B$1:$CE$1,0))/100,0),""))),"")</f>
        <v>0</v>
      </c>
      <c r="BJ234" s="42" t="n">
        <f aca="false">IFERROR(IF($C234="","",IF($D234="","",IFERROR(ROUND($D234*INDEX('🔖 배합비 참조'!$B$2:$CE$83,MATCH("완두배기",'🔖 배합비 참조'!$A$2:$A$83,0),MATCH($C234,'🔖 배합비 참조'!$B$1:$CE$1,0))/100,0),""))),"")</f>
        <v>0</v>
      </c>
      <c r="BK234" s="42" t="n">
        <f aca="false">IFERROR(IF($C234="","",IF($D234="","",IFERROR(ROUND($D234*INDEX('🔖 배합비 참조'!$B$2:$CE$83,MATCH("우유(국내산)",'🔖 배합비 참조'!$A$2:$A$83,0),MATCH($C234,'🔖 배합비 참조'!$B$1:$CE$1,0))/100,0),""))),"")</f>
        <v>0</v>
      </c>
      <c r="BL234" s="42" t="n">
        <f aca="false">IFERROR(IF($C234="","",IF($D234="","",IFERROR(ROUND($D234*INDEX('🔖 배합비 참조'!$B$2:$CE$83,MATCH("자색고구마가루(중국산)",'🔖 배합비 참조'!$A$2:$A$83,0),MATCH($C234,'🔖 배합비 참조'!$B$1:$CE$1,0))/100,0),""))),"")</f>
        <v>0</v>
      </c>
      <c r="BM234" s="42" t="n">
        <f aca="false">IFERROR(IF($C234="","",IF($D234="","",IFERROR(ROUND($D234*INDEX('🔖 배합비 참조'!$B$2:$CE$83,MATCH("자연치즈(체다치즈)",'🔖 배합비 참조'!$A$2:$A$83,0),MATCH($C234,'🔖 배합비 참조'!$B$1:$CE$1,0))/100,0),""))),"")</f>
        <v>0</v>
      </c>
      <c r="BN234" s="42" t="n">
        <f aca="false">IFERROR(IF($C234="","",IF($D234="","",IFERROR(ROUND($D234*INDEX('🔖 배합비 참조'!$B$2:$CE$83,MATCH("정제수",'🔖 배합비 참조'!$A$2:$A$83,0),MATCH($C234,'🔖 배합비 참조'!$B$1:$CE$1,0))/100,0),""))),"")</f>
        <v>33</v>
      </c>
      <c r="BO234" s="42" t="n">
        <f aca="false">IFERROR(IF($C234="","",IF($D234="","",IFERROR(ROUND($D234*INDEX('🔖 배합비 참조'!$B$2:$CE$83,MATCH("젤라틴",'🔖 배합비 참조'!$A$2:$A$83,0),MATCH($C234,'🔖 배합비 참조'!$B$1:$CE$1,0))/100,0),""))),"")</f>
        <v>0</v>
      </c>
      <c r="BP234" s="42" t="n">
        <f aca="false">IFERROR(IF($C234="","",IF($D234="","",IFERROR(ROUND($D234*INDEX('🔖 배합비 참조'!$B$2:$CE$83,MATCH("조림류(백옥앙금)",'🔖 배합비 참조'!$A$2:$A$83,0),MATCH($C234,'🔖 배합비 참조'!$B$1:$CE$1,0))/100,0),""))),"")</f>
        <v>0</v>
      </c>
      <c r="BQ234" s="42" t="n">
        <f aca="false">IFERROR(IF($C234="","",IF($D234="","",IFERROR(ROUND($D234*INDEX('🔖 배합비 참조'!$B$2:$CE$83,MATCH("조림류(통팥앙금)",'🔖 배합비 참조'!$A$2:$A$83,0),MATCH($C234,'🔖 배합비 참조'!$B$1:$CE$1,0))/100,0),""))),"")</f>
        <v>198</v>
      </c>
      <c r="BR234" s="42" t="n">
        <f aca="false">IFERROR(IF($C234="","",IF($D234="","",IFERROR(ROUND($D234*INDEX('🔖 배합비 참조'!$B$2:$CE$83,MATCH("준초콜릿(외국산)",'🔖 배합비 참조'!$A$2:$A$83,0),MATCH($C234,'🔖 배합비 참조'!$B$1:$CE$1,0))/100,0),""))),"")</f>
        <v>0</v>
      </c>
      <c r="BS234" s="42" t="n">
        <f aca="false">IFERROR(IF($C234="","",IF($D234="","",IFERROR(ROUND($D234*INDEX('🔖 배합비 참조'!$B$2:$CE$83,MATCH("중력분",'🔖 배합비 참조'!$A$2:$A$83,0),MATCH($C234,'🔖 배합비 참조'!$B$1:$CE$1,0))/100,0),""))),"")</f>
        <v>22</v>
      </c>
      <c r="BT234" s="42" t="n">
        <f aca="false">IFERROR(IF($C234="","",IF($D234="","",IFERROR(ROUND($D234*INDEX('🔖 배합비 참조'!$B$2:$CE$83,MATCH("참깨(인도산,나이지리아산,탄자니아산,미얀마산)",'🔖 배합비 참조'!$A$2:$A$83,0),MATCH($C234,'🔖 배합비 참조'!$B$1:$CE$1,0))/100,0),""))),"")</f>
        <v>0</v>
      </c>
      <c r="BU234" s="42" t="n">
        <f aca="false">IFERROR(IF($C234="","",IF($D234="","",IFERROR(ROUND($D234*INDEX('🔖 배합비 참조'!$B$2:$CE$83,MATCH("찹쌀(국내산)",'🔖 배합비 참조'!$A$2:$A$83,0),MATCH($C234,'🔖 배합비 참조'!$B$1:$CE$1,0))/100,0),""))),"")</f>
        <v>473</v>
      </c>
      <c r="BV234" s="42" t="n">
        <f aca="false">IFERROR(IF($C234="","",IF($D234="","",IFERROR(ROUND($D234*INDEX('🔖 배합비 참조'!$B$2:$CE$83,MATCH("천일염",'🔖 배합비 참조'!$A$2:$A$83,0),MATCH($C234,'🔖 배합비 참조'!$B$1:$CE$1,0))/100,0),""))),"")</f>
        <v>22</v>
      </c>
      <c r="BW234" s="42" t="n">
        <f aca="false">IFERROR(IF($C234="","",IF($D234="","",IFERROR(ROUND($D234*INDEX('🔖 배합비 참조'!$B$2:$CE$83,MATCH("치즈 [크림치즈]",'🔖 배합비 참조'!$A$2:$A$83,0),MATCH($C234,'🔖 배합비 참조'!$B$1:$CE$1,0))/100,0),""))),"")</f>
        <v>0</v>
      </c>
      <c r="BX234" s="42" t="n">
        <f aca="false">IFERROR(IF($C234="","",IF($D234="","",IFERROR(ROUND($D234*INDEX('🔖 배합비 참조'!$B$2:$CE$83,MATCH("코코아가공품류(코코아분말)",'🔖 배합비 참조'!$A$2:$A$83,0),MATCH($C234,'🔖 배합비 참조'!$B$1:$CE$1,0))/100,0),""))),"")</f>
        <v>0</v>
      </c>
      <c r="BY234" s="42" t="n">
        <f aca="false">IFERROR(IF($C234="","",IF($D234="","",IFERROR(ROUND($D234*INDEX('🔖 배합비 참조'!$B$2:$CE$83,MATCH("콩기름(대두유)",'🔖 배합비 참조'!$A$2:$A$83,0),MATCH($C234,'🔖 배합비 참조'!$B$1:$CE$1,0))/100,0),""))),"")</f>
        <v>0</v>
      </c>
      <c r="BZ234" s="42" t="n">
        <f aca="false">IFERROR(IF($C234="","",IF($D234="","",IFERROR(ROUND($D234*INDEX('🔖 배합비 참조'!$B$2:$CE$83,MATCH("해바라기씨앗",'🔖 배합비 참조'!$A$2:$A$83,0),MATCH($C234,'🔖 배합비 참조'!$B$1:$CE$1,0))/100,0),""))),"")</f>
        <v>0</v>
      </c>
      <c r="CA234" s="42" t="n">
        <f aca="false">IFERROR(IF($C234="","",IF($D234="","",IFERROR(ROUND($D234*INDEX('🔖 배합비 참조'!$B$2:$CE$83,MATCH("현미(국내산)",'🔖 배합비 참조'!$A$2:$A$83,0),MATCH($C234,'🔖 배합비 참조'!$B$1:$CE$1,0))/100,0),""))),"")</f>
        <v>0</v>
      </c>
      <c r="CB234" s="42" t="n">
        <f aca="false">IFERROR(IF($C234="","",IF($D234="","",IFERROR(ROUND($D234*INDEX('🔖 배합비 참조'!$B$2:$CE$83,MATCH("현미멥쌀(국내산)",'🔖 배합비 참조'!$A$2:$A$83,0),MATCH($C234,'🔖 배합비 참조'!$B$1:$CE$1,0))/100,0),""))),"")</f>
        <v>0</v>
      </c>
      <c r="CC234" s="42" t="n">
        <f aca="false">IFERROR(IF($C234="","",IF($D234="","",IFERROR(ROUND($D234*INDEX('🔖 배합비 참조'!$B$2:$CE$83,MATCH("호두분태(미국산)",'🔖 배합비 참조'!$A$2:$A$83,0),MATCH($C234,'🔖 배합비 참조'!$B$1:$CE$1,0))/100,0),""))),"")</f>
        <v>0</v>
      </c>
      <c r="CD234" s="42" t="n">
        <f aca="false">IFERROR(IF($C234="","",IF($D234="","",IFERROR(ROUND($D234*INDEX('🔖 배합비 참조'!$B$2:$CE$83,MATCH("호박씨앗(외국산)",'🔖 배합비 참조'!$A$2:$A$83,0),MATCH($C234,'🔖 배합비 참조'!$B$1:$CE$1,0))/100,0),""))),"")</f>
        <v>0</v>
      </c>
      <c r="CE234" s="42" t="n">
        <f aca="false">IFERROR(IF($C234="","",IF($D234="","",IFERROR(ROUND($D234*INDEX('🔖 배합비 참조'!$B$2:$CE$83,MATCH("혼합제제(떡용에스텔)",'🔖 배합비 참조'!$A$2:$A$83,0),MATCH($C234,'🔖 배합비 참조'!$B$1:$CE$1,0))/100,0),""))),"")</f>
        <v>22</v>
      </c>
      <c r="CF234" s="42" t="n">
        <f aca="false">IFERROR(IF($C234="","",IF($D234="","",IFERROR(ROUND($D234*INDEX('🔖 배합비 참조'!$B$2:$CE$83,MATCH("혼합제제(스테비아)",'🔖 배합비 참조'!$A$2:$A$83,0),MATCH($C234,'🔖 배합비 참조'!$B$1:$CE$1,0))/100,0),""))),"")</f>
        <v>0</v>
      </c>
      <c r="CG234" s="42" t="n">
        <f aca="false">IFERROR(IF($C234="","",IF($D234="","",IFERROR(ROUND($D234*INDEX('🔖 배합비 참조'!$B$2:$CE$83,MATCH("화이트초콜릿",'🔖 배합비 참조'!$A$2:$A$83,0),MATCH($C234,'🔖 배합비 참조'!$B$1:$CE$1,0))/100,0),""))),"")</f>
        <v>0</v>
      </c>
      <c r="CH234" s="42" t="n">
        <f aca="false">IFERROR(IF($C234="","",IF($D234="","",IFERROR(ROUND($D234*INDEX('🔖 배합비 참조'!$B$2:$CE$83,MATCH("흑미찹쌀(국내산)",'🔖 배합비 참조'!$A$2:$A$83,0),MATCH($C234,'🔖 배합비 참조'!$B$1:$CE$1,0))/100,0),""))),"")</f>
        <v>0</v>
      </c>
      <c r="CI234" s="42" t="n">
        <f aca="false">IFERROR(IF($C234="","",IF($D234="","",IFERROR(ROUND($D234*INDEX('🔖 배합비 참조'!$B$2:$CE$83,MATCH("찰옥수수전분(미국산)",'🔖 배합비 참조'!$A$2:$A$83,0),MATCH($C234,'🔖 배합비 참조'!$B$1:$CE$1,0))/100,0),""))),"")</f>
        <v>99</v>
      </c>
      <c r="CJ234" s="40"/>
      <c r="CL234" s="1" t="s">
        <v>247</v>
      </c>
    </row>
    <row r="235" customFormat="false" ht="18" hidden="false" customHeight="true" outlineLevel="0" collapsed="false">
      <c r="A235" s="35" t="n">
        <v>231</v>
      </c>
      <c r="B235" s="36" t="n">
        <v>46073</v>
      </c>
      <c r="C235" s="37" t="s">
        <v>206</v>
      </c>
      <c r="D235" s="38" t="n">
        <v>70</v>
      </c>
      <c r="E235" s="13"/>
      <c r="F235" s="13"/>
      <c r="G235" s="39" t="n">
        <f aca="false">IFERROR(IF($C235="","",IF($D235="","",IFERROR(ROUND($D235*INDEX('🔖 배합비 참조'!$B$2:$CE$83,MATCH("간장",'🔖 배합비 참조'!$A$2:$A$83,0),MATCH($C235,'🔖 배합비 참조'!$B$1:$CE$1,0))/100,0),""))),"")</f>
        <v>0</v>
      </c>
      <c r="H235" s="39" t="n">
        <f aca="false">IFERROR(IF($C235="","",IF($D235="","",IFERROR(ROUND($D235*INDEX('🔖 배합비 참조'!$B$2:$CE$83,MATCH("강낭콩((울타리콩))",'🔖 배합비 참조'!$A$2:$A$83,0),MATCH($C235,'🔖 배합비 참조'!$B$1:$CE$1,0))/100,0),""))),"")</f>
        <v>0</v>
      </c>
      <c r="I235" s="39" t="n">
        <f aca="false">IFERROR(IF($C235="","",IF($D235="","",IFERROR(ROUND($D235*INDEX('🔖 배합비 참조'!$B$2:$CE$83,MATCH("건조딸기다이스(외국산)",'🔖 배합비 참조'!$A$2:$A$83,0),MATCH($C235,'🔖 배합비 참조'!$B$1:$CE$1,0))/100,0),""))),"")</f>
        <v>0</v>
      </c>
      <c r="J235" s="39" t="n">
        <f aca="false">IFERROR(IF($C235="","",IF($D235="","",IFERROR(ROUND($D235*INDEX('🔖 배합비 참조'!$B$2:$CE$83,MATCH("건포도",'🔖 배합비 참조'!$A$2:$A$83,0),MATCH($C235,'🔖 배합비 참조'!$B$1:$CE$1,0))/100,0),""))),"")</f>
        <v>0</v>
      </c>
      <c r="K235" s="39" t="n">
        <f aca="false">IFERROR(IF($C235="","",IF($D235="","",IFERROR(ROUND($D235*INDEX('🔖 배합비 참조'!$B$2:$CE$83,MATCH("건호박채(중국산)",'🔖 배합비 참조'!$A$2:$A$83,0),MATCH($C235,'🔖 배합비 참조'!$B$1:$CE$1,0))/100,0),""))),"")</f>
        <v>0</v>
      </c>
      <c r="L235" s="39" t="n">
        <f aca="false">IFERROR(IF($C235="","",IF($D235="","",IFERROR(ROUND($D235*INDEX('🔖 배합비 참조'!$B$2:$CE$83,MATCH("검정깨(흑임자)",'🔖 배합비 참조'!$A$2:$A$83,0),MATCH($C235,'🔖 배합비 참조'!$B$1:$CE$1,0))/100,0),""))),"")</f>
        <v>0</v>
      </c>
      <c r="M235" s="39" t="n">
        <f aca="false">IFERROR(IF($C235="","",IF($D235="","",IFERROR(ROUND($D235*INDEX('🔖 배합비 참조'!$B$2:$CE$83,MATCH("검정콩",'🔖 배합비 참조'!$A$2:$A$83,0),MATCH($C235,'🔖 배합비 참조'!$B$1:$CE$1,0))/100,0),""))),"")</f>
        <v>0</v>
      </c>
      <c r="N235" s="39" t="n">
        <f aca="false">IFERROR(IF($C235="","",IF($D235="","",IFERROR(ROUND($D235*INDEX('🔖 배합비 참조'!$B$2:$CE$83,MATCH("계피가루",'🔖 배합비 참조'!$A$2:$A$83,0),MATCH($C235,'🔖 배합비 참조'!$B$1:$CE$1,0))/100,0),""))),"")</f>
        <v>0</v>
      </c>
      <c r="O235" s="39" t="n">
        <f aca="false">IFERROR(IF($C235="","",IF($D235="","",IFERROR(ROUND($D235*INDEX('🔖 배합비 참조'!$B$2:$CE$83,MATCH("고구마가루",'🔖 배합비 참조'!$A$2:$A$83,0),MATCH($C235,'🔖 배합비 참조'!$B$1:$CE$1,0))/100,0),""))),"")</f>
        <v>0</v>
      </c>
      <c r="P235" s="39" t="n">
        <f aca="false">IFERROR(IF($C235="","",IF($D235="","",IFERROR(ROUND($D235*INDEX('🔖 배합비 참조'!$B$2:$CE$83,MATCH("고구마무스",'🔖 배합비 참조'!$A$2:$A$83,0),MATCH($C235,'🔖 배합비 참조'!$B$1:$CE$1,0))/100,0),""))),"")</f>
        <v>0</v>
      </c>
      <c r="Q235" s="39" t="n">
        <f aca="false">IFERROR(IF($C235="","",IF($D235="","",IFERROR(ROUND($D235*INDEX('🔖 배합비 참조'!$B$2:$CE$83,MATCH("고려엉겅퀴((곤드레)국내산)",'🔖 배합비 참조'!$A$2:$A$83,0),MATCH($C235,'🔖 배합비 참조'!$B$1:$CE$1,0))/100,0),""))),"")</f>
        <v>0</v>
      </c>
      <c r="R235" s="39" t="n">
        <f aca="false">IFERROR(IF($C235="","",IF($D235="","",IFERROR(ROUND($D235*INDEX('🔖 배합비 참조'!$B$2:$CE$83,MATCH("기타가공품(복분자가루)",'🔖 배합비 참조'!$A$2:$A$83,0),MATCH($C235,'🔖 배합비 참조'!$B$1:$CE$1,0))/100,0),""))),"")</f>
        <v>0</v>
      </c>
      <c r="S235" s="39" t="n">
        <f aca="false">IFERROR(IF($C235="","",IF($D235="","",IFERROR(ROUND($D235*INDEX('🔖 배합비 참조'!$B$2:$CE$83,MATCH("기타가공품(슈퍼소프트엠)",'🔖 배합비 참조'!$A$2:$A$83,0),MATCH($C235,'🔖 배합비 참조'!$B$1:$CE$1,0))/100,0),""))),"")</f>
        <v>0</v>
      </c>
      <c r="T235" s="39" t="n">
        <f aca="false">IFERROR(IF($C235="","",IF($D235="","",IFERROR(ROUND($D235*INDEX('🔖 배합비 참조'!$B$2:$CE$83,MATCH("기타가공품(파인소프트 E-티)",'🔖 배합비 참조'!$A$2:$A$83,0),MATCH($C235,'🔖 배합비 참조'!$B$1:$CE$1,0))/100,0),""))),"")</f>
        <v>0</v>
      </c>
      <c r="U235" s="39" t="n">
        <f aca="false">IFERROR(IF($C235="","",IF($D235="","",IFERROR(ROUND($D235*INDEX('🔖 배합비 참조'!$B$2:$CE$83,MATCH("기타가공품(프리미엄카스테라가루)",'🔖 배합비 참조'!$A$2:$A$83,0),MATCH($C235,'🔖 배합비 참조'!$B$1:$CE$1,0))/100,0),""))),"")</f>
        <v>0</v>
      </c>
      <c r="V235" s="39" t="n">
        <f aca="false">IFERROR(IF($C235="","",IF($D235="","",IFERROR(ROUND($D235*INDEX('🔖 배합비 참조'!$B$2:$CE$83,MATCH("기타가공품(흑임자가루)",'🔖 배합비 참조'!$A$2:$A$83,0),MATCH($C235,'🔖 배합비 참조'!$B$1:$CE$1,0))/100,0),""))),"")</f>
        <v>0</v>
      </c>
      <c r="W235" s="39" t="n">
        <f aca="false">IFERROR(IF($C235="","",IF($D235="","",IFERROR(ROUND($D235*INDEX('🔖 배합비 참조'!$B$2:$CE$83,MATCH("기타설탕(흑설탕)",'🔖 배합비 참조'!$A$2:$A$83,0),MATCH($C235,'🔖 배합비 참조'!$B$1:$CE$1,0))/100,0),""))),"")</f>
        <v>0</v>
      </c>
      <c r="X235" s="39" t="n">
        <f aca="false">IFERROR(IF($C235="","",IF($D235="","",IFERROR(ROUND($D235*INDEX('🔖 배합비 참조'!$B$2:$CE$83,MATCH("냉동쑥(국내산)",'🔖 배합비 참조'!$A$2:$A$83,0),MATCH($C235,'🔖 배합비 참조'!$B$1:$CE$1,0))/100,0),""))),"")</f>
        <v>0</v>
      </c>
      <c r="Y235" s="39" t="n">
        <f aca="false">IFERROR(IF($C235="","",IF($D235="","",IFERROR(ROUND($D235*INDEX('🔖 배합비 참조'!$B$2:$CE$83,MATCH("냉동증숙고구마(중국산)",'🔖 배합비 참조'!$A$2:$A$83,0),MATCH($C235,'🔖 배합비 참조'!$B$1:$CE$1,0))/100,0),""))),"")</f>
        <v>0</v>
      </c>
      <c r="Z235" s="39" t="n">
        <f aca="false">IFERROR(IF($C235="","",IF($D235="","",IFERROR(ROUND($D235*INDEX('🔖 배합비 참조'!$B$2:$CE$83,MATCH("녹차가루",'🔖 배합비 참조'!$A$2:$A$83,0),MATCH($C235,'🔖 배합비 참조'!$B$1:$CE$1,0))/100,0),""))),"")</f>
        <v>0</v>
      </c>
      <c r="AA235" s="39" t="n">
        <f aca="false">IFERROR(IF($C235="","",IF($D235="","",IFERROR(ROUND($D235*INDEX('🔖 배합비 참조'!$B$2:$CE$83,MATCH("다크초콜릿 컴파운드칩",'🔖 배합비 참조'!$A$2:$A$83,0),MATCH($C235,'🔖 배합비 참조'!$B$1:$CE$1,0))/100,0),""))),"")</f>
        <v>0</v>
      </c>
      <c r="AB235" s="39" t="n">
        <f aca="false">IFERROR(IF($C235="","",IF($D235="","",IFERROR(ROUND($D235*INDEX('🔖 배합비 참조'!$B$2:$CE$83,MATCH("단호박분말(중국산)",'🔖 배합비 참조'!$A$2:$A$83,0),MATCH($C235,'🔖 배합비 참조'!$B$1:$CE$1,0))/100,0),""))),"")</f>
        <v>0</v>
      </c>
      <c r="AC235" s="39" t="n">
        <f aca="false">IFERROR(IF($C235="","",IF($D235="","",IFERROR(ROUND($D235*INDEX('🔖 배합비 참조'!$B$2:$CE$83,MATCH("당류가공품(단호박농축액)",'🔖 배합비 참조'!$A$2:$A$83,0),MATCH($C235,'🔖 배합비 참조'!$B$1:$CE$1,0))/100,0),""))),"")</f>
        <v>0</v>
      </c>
      <c r="AD235" s="39" t="n">
        <f aca="false">IFERROR(IF($C235="","",IF($D235="","",IFERROR(ROUND($D235*INDEX('🔖 배합비 참조'!$B$2:$CE$83,MATCH("당류가공품(알룰로스,에리스리톨,스테비올배당체혼합)",'🔖 배합비 참조'!$A$2:$A$83,0),MATCH($C235,'🔖 배합비 참조'!$B$1:$CE$1,0))/100,0),""))),"")</f>
        <v>0</v>
      </c>
      <c r="AE235" s="39" t="n">
        <f aca="false">IFERROR(IF($C235="","",IF($D235="","",IFERROR(ROUND($D235*INDEX('🔖 배합비 참조'!$B$2:$CE$83,MATCH("당류가공품(알룰로스제로파우더)",'🔖 배합비 참조'!$A$2:$A$83,0),MATCH($C235,'🔖 배합비 참조'!$B$1:$CE$1,0))/100,0),""))),"")</f>
        <v>0</v>
      </c>
      <c r="AF235" s="39" t="n">
        <f aca="false">IFERROR(IF($C235="","",IF($D235="","",IFERROR(ROUND($D235*INDEX('🔖 배합비 참조'!$B$2:$CE$83,MATCH("당절임(완두배기)",'🔖 배합비 참조'!$A$2:$A$83,0),MATCH($C235,'🔖 배합비 참조'!$B$1:$CE$1,0))/100,0),""))),"")</f>
        <v>0</v>
      </c>
      <c r="AG235" s="39" t="n">
        <f aca="false">IFERROR(IF($C235="","",IF($D235="","",IFERROR(ROUND($D235*INDEX('🔖 배합비 참조'!$B$2:$CE$83,MATCH("대추농축액",'🔖 배합비 참조'!$A$2:$A$83,0),MATCH($C235,'🔖 배합비 참조'!$B$1:$CE$1,0))/100,0),""))),"")</f>
        <v>0</v>
      </c>
      <c r="AH235" s="39" t="n">
        <f aca="false">IFERROR(IF($C235="","",IF($D235="","",IFERROR(ROUND($D235*INDEX('🔖 배합비 참조'!$B$2:$CE$83,MATCH("대추채(국내산)",'🔖 배합비 참조'!$A$2:$A$83,0),MATCH($C235,'🔖 배합비 참조'!$B$1:$CE$1,0))/100,0),""))),"")</f>
        <v>0</v>
      </c>
      <c r="AI235" s="39" t="n">
        <f aca="false">IFERROR(IF($C235="","",IF($D235="","",IFERROR(ROUND($D235*INDEX('🔖 배합비 참조'!$B$2:$CE$83,MATCH("동부(미얀마산)",'🔖 배합비 참조'!$A$2:$A$83,0),MATCH($C235,'🔖 배합비 참조'!$B$1:$CE$1,0))/100,0),""))),"")</f>
        <v>0</v>
      </c>
      <c r="AJ235" s="39" t="n">
        <f aca="false">IFERROR(IF($C235="","",IF($D235="","",IFERROR(ROUND($D235*INDEX('🔖 배합비 참조'!$B$2:$CE$83,MATCH("두류가공품(백옥앙금)",'🔖 배합비 참조'!$A$2:$A$83,0),MATCH($C235,'🔖 배합비 참조'!$B$1:$CE$1,0))/100,0),""))),"")</f>
        <v>0</v>
      </c>
      <c r="AK235" s="39" t="n">
        <f aca="false">IFERROR(IF($C235="","",IF($D235="","",IFERROR(ROUND($D235*INDEX('🔖 배합비 참조'!$B$2:$CE$83,MATCH("두류가공품(콩고물)",'🔖 배합비 참조'!$A$2:$A$83,0),MATCH($C235,'🔖 배합비 참조'!$B$1:$CE$1,0))/100,0),""))),"")</f>
        <v>0</v>
      </c>
      <c r="AL235" s="39" t="n">
        <f aca="false">IFERROR(IF($C235="","",IF($D235="","",IFERROR(ROUND($D235*INDEX('🔖 배합비 참조'!$B$2:$CE$83,MATCH("두류가공품(통팥고물)",'🔖 배합비 참조'!$A$2:$A$83,0),MATCH($C235,'🔖 배합비 참조'!$B$1:$CE$1,0))/100,0),""))),"")</f>
        <v>0</v>
      </c>
      <c r="AM235" s="39" t="n">
        <f aca="false">IFERROR(IF($C235="","",IF($D235="","",IFERROR(ROUND($D235*INDEX('🔖 배합비 참조'!$B$2:$CE$83,MATCH("딸기레진",'🔖 배합비 참조'!$A$2:$A$83,0),MATCH($C235,'🔖 배합비 참조'!$B$1:$CE$1,0))/100,0),""))),"")</f>
        <v>0</v>
      </c>
      <c r="AN235" s="39" t="n">
        <f aca="false">IFERROR(IF($C235="","",IF($D235="","",IFERROR(ROUND($D235*INDEX('🔖 배합비 참조'!$B$2:$CE$83,MATCH("딸기분말(스트로우베리에이드(분말))",'🔖 배합비 참조'!$A$2:$A$83,0),MATCH($C235,'🔖 배합비 참조'!$B$1:$CE$1,0))/100,0),""))),"")</f>
        <v>0</v>
      </c>
      <c r="AO235" s="39" t="n">
        <f aca="false">IFERROR(IF($C235="","",IF($D235="","",IFERROR(ROUND($D235*INDEX('🔖 배합비 참조'!$B$2:$CE$83,MATCH("마스카포네치즈",'🔖 배합비 참조'!$A$2:$A$83,0),MATCH($C235,'🔖 배합비 참조'!$B$1:$CE$1,0))/100,0),""))),"")</f>
        <v>0</v>
      </c>
      <c r="AP235" s="39" t="n">
        <f aca="false">IFERROR(IF($C235="","",IF($D235="","",IFERROR(ROUND($D235*INDEX('🔖 배합비 참조'!$B$2:$CE$83,MATCH("마카다미아분태(호주산)",'🔖 배합비 참조'!$A$2:$A$83,0),MATCH($C235,'🔖 배합비 참조'!$B$1:$CE$1,0))/100,0),""))),"")</f>
        <v>0</v>
      </c>
      <c r="AQ235" s="39" t="n">
        <f aca="false">IFERROR(IF($C235="","",IF($D235="","",IFERROR(ROUND($D235*INDEX('🔖 배합비 참조'!$B$2:$CE$83,MATCH("멥쌀(국내산)",'🔖 배합비 참조'!$A$2:$A$83,0),MATCH($C235,'🔖 배합비 참조'!$B$1:$CE$1,0))/100,0),""))),"")</f>
        <v>0</v>
      </c>
      <c r="AR235" s="39" t="n">
        <f aca="false">IFERROR(IF($C235="","",IF($D235="","",IFERROR(ROUND($D235*INDEX('🔖 배합비 참조'!$B$2:$CE$83,MATCH("모시잎(국내산)",'🔖 배합비 참조'!$A$2:$A$83,0),MATCH($C235,'🔖 배합비 참조'!$B$1:$CE$1,0))/100,0),""))),"")</f>
        <v>0</v>
      </c>
      <c r="AS235" s="39" t="n">
        <f aca="false">IFERROR(IF($C235="","",IF($D235="","",IFERROR(ROUND($D235*INDEX('🔖 배합비 참조'!$B$2:$CE$83,MATCH("물엿(저당물엿)",'🔖 배합비 참조'!$A$2:$A$83,0),MATCH($C235,'🔖 배합비 참조'!$B$1:$CE$1,0))/100,0),""))),"")</f>
        <v>3</v>
      </c>
      <c r="AT235" s="39" t="n">
        <f aca="false">IFERROR(IF($C235="","",IF($D235="","",IFERROR(ROUND($D235*INDEX('🔖 배합비 참조'!$B$2:$CE$83,MATCH("밤다이스",'🔖 배합비 참조'!$A$2:$A$83,0),MATCH($C235,'🔖 배합비 참조'!$B$1:$CE$1,0))/100,0),""))),"")</f>
        <v>0</v>
      </c>
      <c r="AU235" s="39" t="n">
        <f aca="false">IFERROR(IF($C235="","",IF($D235="","",IFERROR(ROUND($D235*INDEX('🔖 배합비 참조'!$B$2:$CE$83,MATCH("변성전분(타피오카전분)",'🔖 배합비 참조'!$A$2:$A$83,0),MATCH($C235,'🔖 배합비 참조'!$B$1:$CE$1,0))/100,0),""))),"")</f>
        <v>0</v>
      </c>
      <c r="AV235" s="39" t="n">
        <f aca="false">IFERROR(IF($C235="","",IF($D235="","",IFERROR(ROUND($D235*INDEX('🔖 배합비 참조'!$B$2:$CE$83,MATCH("복음땅콩분태",'🔖 배합비 참조'!$A$2:$A$83,0),MATCH($C235,'🔖 배합비 참조'!$B$1:$CE$1,0))/100,0),""))),"")</f>
        <v>0</v>
      </c>
      <c r="AW235" s="39" t="n">
        <f aca="false">IFERROR(IF($C235="","",IF($D235="","",IFERROR(ROUND($D235*INDEX('🔖 배합비 참조'!$B$2:$CE$83,MATCH("사양벌꿀(국내산)",'🔖 배합비 참조'!$A$2:$A$83,0),MATCH($C235,'🔖 배합비 참조'!$B$1:$CE$1,0))/100,0),""))),"")</f>
        <v>0</v>
      </c>
      <c r="AX235" s="39" t="n">
        <f aca="false">IFERROR(IF($C235="","",IF($D235="","",IFERROR(ROUND($D235*INDEX('🔖 배합비 참조'!$B$2:$CE$83,MATCH("생크림",'🔖 배합비 참조'!$A$2:$A$83,0),MATCH($C235,'🔖 배합비 참조'!$B$1:$CE$1,0))/100,0),""))),"")</f>
        <v>0</v>
      </c>
      <c r="AY235" s="39" t="n">
        <f aca="false">IFERROR(IF($C235="","",IF($D235="","",IFERROR(ROUND($D235*INDEX('🔖 배합비 참조'!$B$2:$CE$83,MATCH("서양호박(국내산,뉴질랜드산)",'🔖 배합비 참조'!$A$2:$A$83,0),MATCH($C235,'🔖 배합비 참조'!$B$1:$CE$1,0))/100,0),""))),"")</f>
        <v>0</v>
      </c>
      <c r="AZ235" s="39" t="n">
        <f aca="false">IFERROR(IF($C235="","",IF($D235="","",IFERROR(ROUND($D235*INDEX('🔖 배합비 참조'!$B$2:$CE$83,MATCH("설탕",'🔖 배합비 참조'!$A$2:$A$83,0),MATCH($C235,'🔖 배합비 참조'!$B$1:$CE$1,0))/100,0),""))),"")</f>
        <v>3</v>
      </c>
      <c r="BA235" s="39" t="n">
        <f aca="false">IFERROR(IF($C235="","",IF($D235="","",IFERROR(ROUND($D235*INDEX('🔖 배합비 참조'!$B$2:$CE$83,MATCH("스트로우베리 에이드 후레쉬",'🔖 배합비 참조'!$A$2:$A$83,0),MATCH($C235,'🔖 배합비 참조'!$B$1:$CE$1,0))/100,0),""))),"")</f>
        <v>0</v>
      </c>
      <c r="BB235" s="39" t="n">
        <f aca="false">IFERROR(IF($C235="","",IF($D235="","",IFERROR(ROUND($D235*INDEX('🔖 배합비 참조'!$B$2:$CE$83,MATCH("식물성기름혼합제제(분홍)",'🔖 배합비 참조'!$A$2:$A$83,0),MATCH($C235,'🔖 배합비 참조'!$B$1:$CE$1,0))/100,0),""))),"")</f>
        <v>0</v>
      </c>
      <c r="BC235" s="39" t="n">
        <f aca="false">IFERROR(IF($C235="","",IF($D235="","",IFERROR(ROUND($D235*INDEX('🔖 배합비 참조'!$B$2:$CE$83,MATCH("식물성기름혼합제제(초록)",'🔖 배합비 참조'!$A$2:$A$83,0),MATCH($C235,'🔖 배합비 참조'!$B$1:$CE$1,0))/100,0),""))),"")</f>
        <v>0</v>
      </c>
      <c r="BD235" s="39" t="n">
        <f aca="false">IFERROR(IF($C235="","",IF($D235="","",IFERROR(ROUND($D235*INDEX('🔖 배합비 참조'!$B$2:$CE$83,MATCH("식물성기름혼합제제(황색)",'🔖 배합비 참조'!$A$2:$A$83,0),MATCH($C235,'🔖 배합비 참조'!$B$1:$CE$1,0))/100,0),""))),"")</f>
        <v>0</v>
      </c>
      <c r="BE235" s="39" t="n">
        <f aca="false">IFERROR(IF($C235="","",IF($D235="","",IFERROR(ROUND($D235*INDEX('🔖 배합비 참조'!$B$2:$CE$83,MATCH("쑥가루(국내산)",'🔖 배합비 참조'!$A$2:$A$83,0),MATCH($C235,'🔖 배합비 참조'!$B$1:$CE$1,0))/100,0),""))),"")</f>
        <v>0</v>
      </c>
      <c r="BF235" s="39" t="n">
        <f aca="false">IFERROR(IF($C235="","",IF($D235="","",IFERROR(ROUND($D235*INDEX('🔖 배합비 참조'!$B$2:$CE$83,MATCH("아몬드슬라이스",'🔖 배합비 참조'!$A$2:$A$83,0),MATCH($C235,'🔖 배합비 참조'!$B$1:$CE$1,0))/100,0),""))),"")</f>
        <v>0</v>
      </c>
      <c r="BG235" s="39" t="n">
        <f aca="false">IFERROR(IF($C235="","",IF($D235="","",IFERROR(ROUND($D235*INDEX('🔖 배합비 참조'!$B$2:$CE$83,MATCH("알룰로오스(국내산)",'🔖 배합비 참조'!$A$2:$A$83,0),MATCH($C235,'🔖 배합비 참조'!$B$1:$CE$1,0))/100,0),""))),"")</f>
        <v>0</v>
      </c>
      <c r="BH235" s="39" t="n">
        <f aca="false">IFERROR(IF($C235="","",IF($D235="","",IFERROR(ROUND($D235*INDEX('🔖 배합비 참조'!$B$2:$CE$83,MATCH("연유",'🔖 배합비 참조'!$A$2:$A$83,0),MATCH($C235,'🔖 배합비 참조'!$B$1:$CE$1,0))/100,0),""))),"")</f>
        <v>0</v>
      </c>
      <c r="BI235" s="39" t="n">
        <f aca="false">IFERROR(IF($C235="","",IF($D235="","",IFERROR(ROUND($D235*INDEX('🔖 배합비 참조'!$B$2:$CE$83,MATCH("옥수수전분",'🔖 배합비 참조'!$A$2:$A$83,0),MATCH($C235,'🔖 배합비 참조'!$B$1:$CE$1,0))/100,0),""))),"")</f>
        <v>0</v>
      </c>
      <c r="BJ235" s="39" t="n">
        <f aca="false">IFERROR(IF($C235="","",IF($D235="","",IFERROR(ROUND($D235*INDEX('🔖 배합비 참조'!$B$2:$CE$83,MATCH("완두배기",'🔖 배합비 참조'!$A$2:$A$83,0),MATCH($C235,'🔖 배합비 참조'!$B$1:$CE$1,0))/100,0),""))),"")</f>
        <v>0</v>
      </c>
      <c r="BK235" s="39" t="n">
        <f aca="false">IFERROR(IF($C235="","",IF($D235="","",IFERROR(ROUND($D235*INDEX('🔖 배합비 참조'!$B$2:$CE$83,MATCH("우유(국내산)",'🔖 배합비 참조'!$A$2:$A$83,0),MATCH($C235,'🔖 배합비 참조'!$B$1:$CE$1,0))/100,0),""))),"")</f>
        <v>0</v>
      </c>
      <c r="BL235" s="39" t="n">
        <f aca="false">IFERROR(IF($C235="","",IF($D235="","",IFERROR(ROUND($D235*INDEX('🔖 배합비 참조'!$B$2:$CE$83,MATCH("자색고구마가루(중국산)",'🔖 배합비 참조'!$A$2:$A$83,0),MATCH($C235,'🔖 배합비 참조'!$B$1:$CE$1,0))/100,0),""))),"")</f>
        <v>0</v>
      </c>
      <c r="BM235" s="39" t="n">
        <f aca="false">IFERROR(IF($C235="","",IF($D235="","",IFERROR(ROUND($D235*INDEX('🔖 배합비 참조'!$B$2:$CE$83,MATCH("자연치즈(체다치즈)",'🔖 배합비 참조'!$A$2:$A$83,0),MATCH($C235,'🔖 배합비 참조'!$B$1:$CE$1,0))/100,0),""))),"")</f>
        <v>0</v>
      </c>
      <c r="BN235" s="39" t="n">
        <f aca="false">IFERROR(IF($C235="","",IF($D235="","",IFERROR(ROUND($D235*INDEX('🔖 배합비 참조'!$B$2:$CE$83,MATCH("정제수",'🔖 배합비 참조'!$A$2:$A$83,0),MATCH($C235,'🔖 배합비 참조'!$B$1:$CE$1,0))/100,0),""))),"")</f>
        <v>28</v>
      </c>
      <c r="BO235" s="39" t="n">
        <f aca="false">IFERROR(IF($C235="","",IF($D235="","",IFERROR(ROUND($D235*INDEX('🔖 배합비 참조'!$B$2:$CE$83,MATCH("젤라틴",'🔖 배합비 참조'!$A$2:$A$83,0),MATCH($C235,'🔖 배합비 참조'!$B$1:$CE$1,0))/100,0),""))),"")</f>
        <v>0</v>
      </c>
      <c r="BP235" s="39" t="n">
        <f aca="false">IFERROR(IF($C235="","",IF($D235="","",IFERROR(ROUND($D235*INDEX('🔖 배합비 참조'!$B$2:$CE$83,MATCH("조림류(백옥앙금)",'🔖 배합비 참조'!$A$2:$A$83,0),MATCH($C235,'🔖 배합비 참조'!$B$1:$CE$1,0))/100,0),""))),"")</f>
        <v>0</v>
      </c>
      <c r="BQ235" s="39" t="n">
        <f aca="false">IFERROR(IF($C235="","",IF($D235="","",IFERROR(ROUND($D235*INDEX('🔖 배합비 참조'!$B$2:$CE$83,MATCH("조림류(통팥앙금)",'🔖 배합비 참조'!$A$2:$A$83,0),MATCH($C235,'🔖 배합비 참조'!$B$1:$CE$1,0))/100,0),""))),"")</f>
        <v>0</v>
      </c>
      <c r="BR235" s="39" t="n">
        <f aca="false">IFERROR(IF($C235="","",IF($D235="","",IFERROR(ROUND($D235*INDEX('🔖 배합비 참조'!$B$2:$CE$83,MATCH("준초콜릿(외국산)",'🔖 배합비 참조'!$A$2:$A$83,0),MATCH($C235,'🔖 배합비 참조'!$B$1:$CE$1,0))/100,0),""))),"")</f>
        <v>0</v>
      </c>
      <c r="BS235" s="39" t="n">
        <f aca="false">IFERROR(IF($C235="","",IF($D235="","",IFERROR(ROUND($D235*INDEX('🔖 배합비 참조'!$B$2:$CE$83,MATCH("중력분",'🔖 배합비 참조'!$A$2:$A$83,0),MATCH($C235,'🔖 배합비 참조'!$B$1:$CE$1,0))/100,0),""))),"")</f>
        <v>1</v>
      </c>
      <c r="BT235" s="39" t="n">
        <f aca="false">IFERROR(IF($C235="","",IF($D235="","",IFERROR(ROUND($D235*INDEX('🔖 배합비 참조'!$B$2:$CE$83,MATCH("참깨(인도산,나이지리아산,탄자니아산,미얀마산)",'🔖 배합비 참조'!$A$2:$A$83,0),MATCH($C235,'🔖 배합비 참조'!$B$1:$CE$1,0))/100,0),""))),"")</f>
        <v>0</v>
      </c>
      <c r="BU235" s="39" t="n">
        <f aca="false">IFERROR(IF($C235="","",IF($D235="","",IFERROR(ROUND($D235*INDEX('🔖 배합비 참조'!$B$2:$CE$83,MATCH("찹쌀(국내산)",'🔖 배합비 참조'!$A$2:$A$83,0),MATCH($C235,'🔖 배합비 참조'!$B$1:$CE$1,0))/100,0),""))),"")</f>
        <v>33</v>
      </c>
      <c r="BV235" s="39" t="n">
        <f aca="false">IFERROR(IF($C235="","",IF($D235="","",IFERROR(ROUND($D235*INDEX('🔖 배합비 참조'!$B$2:$CE$83,MATCH("천일염",'🔖 배합비 참조'!$A$2:$A$83,0),MATCH($C235,'🔖 배합비 참조'!$B$1:$CE$1,0))/100,0),""))),"")</f>
        <v>1</v>
      </c>
      <c r="BW235" s="39" t="n">
        <f aca="false">IFERROR(IF($C235="","",IF($D235="","",IFERROR(ROUND($D235*INDEX('🔖 배합비 참조'!$B$2:$CE$83,MATCH("치즈 [크림치즈]",'🔖 배합비 참조'!$A$2:$A$83,0),MATCH($C235,'🔖 배합비 참조'!$B$1:$CE$1,0))/100,0),""))),"")</f>
        <v>0</v>
      </c>
      <c r="BX235" s="39" t="n">
        <f aca="false">IFERROR(IF($C235="","",IF($D235="","",IFERROR(ROUND($D235*INDEX('🔖 배합비 참조'!$B$2:$CE$83,MATCH("코코아가공품류(코코아분말)",'🔖 배합비 참조'!$A$2:$A$83,0),MATCH($C235,'🔖 배합비 참조'!$B$1:$CE$1,0))/100,0),""))),"")</f>
        <v>0</v>
      </c>
      <c r="BY235" s="39" t="n">
        <f aca="false">IFERROR(IF($C235="","",IF($D235="","",IFERROR(ROUND($D235*INDEX('🔖 배합비 참조'!$B$2:$CE$83,MATCH("콩기름(대두유)",'🔖 배합비 참조'!$A$2:$A$83,0),MATCH($C235,'🔖 배합비 참조'!$B$1:$CE$1,0))/100,0),""))),"")</f>
        <v>0</v>
      </c>
      <c r="BZ235" s="39" t="n">
        <f aca="false">IFERROR(IF($C235="","",IF($D235="","",IFERROR(ROUND($D235*INDEX('🔖 배합비 참조'!$B$2:$CE$83,MATCH("해바라기씨앗",'🔖 배합비 참조'!$A$2:$A$83,0),MATCH($C235,'🔖 배합비 참조'!$B$1:$CE$1,0))/100,0),""))),"")</f>
        <v>0</v>
      </c>
      <c r="CA235" s="39" t="n">
        <f aca="false">IFERROR(IF($C235="","",IF($D235="","",IFERROR(ROUND($D235*INDEX('🔖 배합비 참조'!$B$2:$CE$83,MATCH("현미(국내산)",'🔖 배합비 참조'!$A$2:$A$83,0),MATCH($C235,'🔖 배합비 참조'!$B$1:$CE$1,0))/100,0),""))),"")</f>
        <v>0</v>
      </c>
      <c r="CB235" s="39" t="n">
        <f aca="false">IFERROR(IF($C235="","",IF($D235="","",IFERROR(ROUND($D235*INDEX('🔖 배합비 참조'!$B$2:$CE$83,MATCH("현미멥쌀(국내산)",'🔖 배합비 참조'!$A$2:$A$83,0),MATCH($C235,'🔖 배합비 참조'!$B$1:$CE$1,0))/100,0),""))),"")</f>
        <v>0</v>
      </c>
      <c r="CC235" s="39" t="n">
        <f aca="false">IFERROR(IF($C235="","",IF($D235="","",IFERROR(ROUND($D235*INDEX('🔖 배합비 참조'!$B$2:$CE$83,MATCH("호두분태(미국산)",'🔖 배합비 참조'!$A$2:$A$83,0),MATCH($C235,'🔖 배합비 참조'!$B$1:$CE$1,0))/100,0),""))),"")</f>
        <v>0</v>
      </c>
      <c r="CD235" s="39" t="n">
        <f aca="false">IFERROR(IF($C235="","",IF($D235="","",IFERROR(ROUND($D235*INDEX('🔖 배합비 참조'!$B$2:$CE$83,MATCH("호박씨앗(외국산)",'🔖 배합비 참조'!$A$2:$A$83,0),MATCH($C235,'🔖 배합비 참조'!$B$1:$CE$1,0))/100,0),""))),"")</f>
        <v>0</v>
      </c>
      <c r="CE235" s="39" t="n">
        <f aca="false">IFERROR(IF($C235="","",IF($D235="","",IFERROR(ROUND($D235*INDEX('🔖 배합비 참조'!$B$2:$CE$83,MATCH("혼합제제(떡용에스텔)",'🔖 배합비 참조'!$A$2:$A$83,0),MATCH($C235,'🔖 배합비 참조'!$B$1:$CE$1,0))/100,0),""))),"")</f>
        <v>0</v>
      </c>
      <c r="CF235" s="39" t="n">
        <f aca="false">IFERROR(IF($C235="","",IF($D235="","",IFERROR(ROUND($D235*INDEX('🔖 배합비 참조'!$B$2:$CE$83,MATCH("혼합제제(스테비아)",'🔖 배합비 참조'!$A$2:$A$83,0),MATCH($C235,'🔖 배합비 참조'!$B$1:$CE$1,0))/100,0),""))),"")</f>
        <v>0</v>
      </c>
      <c r="CG235" s="39" t="n">
        <f aca="false">IFERROR(IF($C235="","",IF($D235="","",IFERROR(ROUND($D235*INDEX('🔖 배합비 참조'!$B$2:$CE$83,MATCH("화이트초콜릿",'🔖 배합비 참조'!$A$2:$A$83,0),MATCH($C235,'🔖 배합비 참조'!$B$1:$CE$1,0))/100,0),""))),"")</f>
        <v>0</v>
      </c>
      <c r="CH235" s="39" t="n">
        <f aca="false">IFERROR(IF($C235="","",IF($D235="","",IFERROR(ROUND($D235*INDEX('🔖 배합비 참조'!$B$2:$CE$83,MATCH("흑미찹쌀(국내산)",'🔖 배합비 참조'!$A$2:$A$83,0),MATCH($C235,'🔖 배합비 참조'!$B$1:$CE$1,0))/100,0),""))),"")</f>
        <v>0</v>
      </c>
      <c r="CI235" s="39" t="n">
        <f aca="false">IFERROR(IF($C235="","",IF($D235="","",IFERROR(ROUND($D235*INDEX('🔖 배합비 참조'!$B$2:$CE$83,MATCH("찰옥수수전분(미국산)",'🔖 배합비 참조'!$A$2:$A$83,0),MATCH($C235,'🔖 배합비 참조'!$B$1:$CE$1,0))/100,0),""))),"")</f>
        <v>0</v>
      </c>
      <c r="CJ235" s="40"/>
      <c r="CL235" s="1" t="s">
        <v>247</v>
      </c>
    </row>
    <row r="236" customFormat="false" ht="18" hidden="false" customHeight="true" outlineLevel="0" collapsed="false">
      <c r="A236" s="41" t="n">
        <v>232</v>
      </c>
      <c r="B236" s="36" t="n">
        <v>46073</v>
      </c>
      <c r="C236" s="37" t="s">
        <v>207</v>
      </c>
      <c r="D236" s="38" t="n">
        <v>70</v>
      </c>
      <c r="E236" s="17"/>
      <c r="F236" s="17"/>
      <c r="G236" s="42" t="n">
        <f aca="false">IFERROR(IF($C236="","",IF($D236="","",IFERROR(ROUND($D236*INDEX('🔖 배합비 참조'!$B$2:$CE$83,MATCH("간장",'🔖 배합비 참조'!$A$2:$A$83,0),MATCH($C236,'🔖 배합비 참조'!$B$1:$CE$1,0))/100,0),""))),"")</f>
        <v>0</v>
      </c>
      <c r="H236" s="42" t="n">
        <f aca="false">IFERROR(IF($C236="","",IF($D236="","",IFERROR(ROUND($D236*INDEX('🔖 배합비 참조'!$B$2:$CE$83,MATCH("강낭콩((울타리콩))",'🔖 배합비 참조'!$A$2:$A$83,0),MATCH($C236,'🔖 배합비 참조'!$B$1:$CE$1,0))/100,0),""))),"")</f>
        <v>0</v>
      </c>
      <c r="I236" s="42" t="n">
        <f aca="false">IFERROR(IF($C236="","",IF($D236="","",IFERROR(ROUND($D236*INDEX('🔖 배합비 참조'!$B$2:$CE$83,MATCH("건조딸기다이스(외국산)",'🔖 배합비 참조'!$A$2:$A$83,0),MATCH($C236,'🔖 배합비 참조'!$B$1:$CE$1,0))/100,0),""))),"")</f>
        <v>0</v>
      </c>
      <c r="J236" s="42" t="n">
        <f aca="false">IFERROR(IF($C236="","",IF($D236="","",IFERROR(ROUND($D236*INDEX('🔖 배합비 참조'!$B$2:$CE$83,MATCH("건포도",'🔖 배합비 참조'!$A$2:$A$83,0),MATCH($C236,'🔖 배합비 참조'!$B$1:$CE$1,0))/100,0),""))),"")</f>
        <v>0</v>
      </c>
      <c r="K236" s="42" t="n">
        <f aca="false">IFERROR(IF($C236="","",IF($D236="","",IFERROR(ROUND($D236*INDEX('🔖 배합비 참조'!$B$2:$CE$83,MATCH("건호박채(중국산)",'🔖 배합비 참조'!$A$2:$A$83,0),MATCH($C236,'🔖 배합비 참조'!$B$1:$CE$1,0))/100,0),""))),"")</f>
        <v>0</v>
      </c>
      <c r="L236" s="42" t="n">
        <f aca="false">IFERROR(IF($C236="","",IF($D236="","",IFERROR(ROUND($D236*INDEX('🔖 배합비 참조'!$B$2:$CE$83,MATCH("검정깨(흑임자)",'🔖 배합비 참조'!$A$2:$A$83,0),MATCH($C236,'🔖 배합비 참조'!$B$1:$CE$1,0))/100,0),""))),"")</f>
        <v>0</v>
      </c>
      <c r="M236" s="42" t="n">
        <f aca="false">IFERROR(IF($C236="","",IF($D236="","",IFERROR(ROUND($D236*INDEX('🔖 배합비 참조'!$B$2:$CE$83,MATCH("검정콩",'🔖 배합비 참조'!$A$2:$A$83,0),MATCH($C236,'🔖 배합비 참조'!$B$1:$CE$1,0))/100,0),""))),"")</f>
        <v>0</v>
      </c>
      <c r="N236" s="42" t="n">
        <f aca="false">IFERROR(IF($C236="","",IF($D236="","",IFERROR(ROUND($D236*INDEX('🔖 배합비 참조'!$B$2:$CE$83,MATCH("계피가루",'🔖 배합비 참조'!$A$2:$A$83,0),MATCH($C236,'🔖 배합비 참조'!$B$1:$CE$1,0))/100,0),""))),"")</f>
        <v>0</v>
      </c>
      <c r="O236" s="42" t="n">
        <f aca="false">IFERROR(IF($C236="","",IF($D236="","",IFERROR(ROUND($D236*INDEX('🔖 배합비 참조'!$B$2:$CE$83,MATCH("고구마가루",'🔖 배합비 참조'!$A$2:$A$83,0),MATCH($C236,'🔖 배합비 참조'!$B$1:$CE$1,0))/100,0),""))),"")</f>
        <v>0</v>
      </c>
      <c r="P236" s="42" t="n">
        <f aca="false">IFERROR(IF($C236="","",IF($D236="","",IFERROR(ROUND($D236*INDEX('🔖 배합비 참조'!$B$2:$CE$83,MATCH("고구마무스",'🔖 배합비 참조'!$A$2:$A$83,0),MATCH($C236,'🔖 배합비 참조'!$B$1:$CE$1,0))/100,0),""))),"")</f>
        <v>0</v>
      </c>
      <c r="Q236" s="42" t="n">
        <f aca="false">IFERROR(IF($C236="","",IF($D236="","",IFERROR(ROUND($D236*INDEX('🔖 배합비 참조'!$B$2:$CE$83,MATCH("고려엉겅퀴((곤드레)국내산)",'🔖 배합비 참조'!$A$2:$A$83,0),MATCH($C236,'🔖 배합비 참조'!$B$1:$CE$1,0))/100,0),""))),"")</f>
        <v>0</v>
      </c>
      <c r="R236" s="42" t="n">
        <f aca="false">IFERROR(IF($C236="","",IF($D236="","",IFERROR(ROUND($D236*INDEX('🔖 배합비 참조'!$B$2:$CE$83,MATCH("기타가공품(복분자가루)",'🔖 배합비 참조'!$A$2:$A$83,0),MATCH($C236,'🔖 배합비 참조'!$B$1:$CE$1,0))/100,0),""))),"")</f>
        <v>0</v>
      </c>
      <c r="S236" s="42" t="n">
        <f aca="false">IFERROR(IF($C236="","",IF($D236="","",IFERROR(ROUND($D236*INDEX('🔖 배합비 참조'!$B$2:$CE$83,MATCH("기타가공품(슈퍼소프트엠)",'🔖 배합비 참조'!$A$2:$A$83,0),MATCH($C236,'🔖 배합비 참조'!$B$1:$CE$1,0))/100,0),""))),"")</f>
        <v>0</v>
      </c>
      <c r="T236" s="42" t="n">
        <f aca="false">IFERROR(IF($C236="","",IF($D236="","",IFERROR(ROUND($D236*INDEX('🔖 배합비 참조'!$B$2:$CE$83,MATCH("기타가공품(파인소프트 E-티)",'🔖 배합비 참조'!$A$2:$A$83,0),MATCH($C236,'🔖 배합비 참조'!$B$1:$CE$1,0))/100,0),""))),"")</f>
        <v>0</v>
      </c>
      <c r="U236" s="42" t="n">
        <f aca="false">IFERROR(IF($C236="","",IF($D236="","",IFERROR(ROUND($D236*INDEX('🔖 배합비 참조'!$B$2:$CE$83,MATCH("기타가공품(프리미엄카스테라가루)",'🔖 배합비 참조'!$A$2:$A$83,0),MATCH($C236,'🔖 배합비 참조'!$B$1:$CE$1,0))/100,0),""))),"")</f>
        <v>0</v>
      </c>
      <c r="V236" s="42" t="n">
        <f aca="false">IFERROR(IF($C236="","",IF($D236="","",IFERROR(ROUND($D236*INDEX('🔖 배합비 참조'!$B$2:$CE$83,MATCH("기타가공품(흑임자가루)",'🔖 배합비 참조'!$A$2:$A$83,0),MATCH($C236,'🔖 배합비 참조'!$B$1:$CE$1,0))/100,0),""))),"")</f>
        <v>0</v>
      </c>
      <c r="W236" s="42" t="n">
        <f aca="false">IFERROR(IF($C236="","",IF($D236="","",IFERROR(ROUND($D236*INDEX('🔖 배합비 참조'!$B$2:$CE$83,MATCH("기타설탕(흑설탕)",'🔖 배합비 참조'!$A$2:$A$83,0),MATCH($C236,'🔖 배합비 참조'!$B$1:$CE$1,0))/100,0),""))),"")</f>
        <v>0</v>
      </c>
      <c r="X236" s="42" t="n">
        <f aca="false">IFERROR(IF($C236="","",IF($D236="","",IFERROR(ROUND($D236*INDEX('🔖 배합비 참조'!$B$2:$CE$83,MATCH("냉동쑥(국내산)",'🔖 배합비 참조'!$A$2:$A$83,0),MATCH($C236,'🔖 배합비 참조'!$B$1:$CE$1,0))/100,0),""))),"")</f>
        <v>0</v>
      </c>
      <c r="Y236" s="42" t="n">
        <f aca="false">IFERROR(IF($C236="","",IF($D236="","",IFERROR(ROUND($D236*INDEX('🔖 배합비 참조'!$B$2:$CE$83,MATCH("냉동증숙고구마(중국산)",'🔖 배합비 참조'!$A$2:$A$83,0),MATCH($C236,'🔖 배합비 참조'!$B$1:$CE$1,0))/100,0),""))),"")</f>
        <v>0</v>
      </c>
      <c r="Z236" s="42" t="n">
        <f aca="false">IFERROR(IF($C236="","",IF($D236="","",IFERROR(ROUND($D236*INDEX('🔖 배합비 참조'!$B$2:$CE$83,MATCH("녹차가루",'🔖 배합비 참조'!$A$2:$A$83,0),MATCH($C236,'🔖 배합비 참조'!$B$1:$CE$1,0))/100,0),""))),"")</f>
        <v>0</v>
      </c>
      <c r="AA236" s="42" t="n">
        <f aca="false">IFERROR(IF($C236="","",IF($D236="","",IFERROR(ROUND($D236*INDEX('🔖 배합비 참조'!$B$2:$CE$83,MATCH("다크초콜릿 컴파운드칩",'🔖 배합비 참조'!$A$2:$A$83,0),MATCH($C236,'🔖 배합비 참조'!$B$1:$CE$1,0))/100,0),""))),"")</f>
        <v>0</v>
      </c>
      <c r="AB236" s="42" t="n">
        <f aca="false">IFERROR(IF($C236="","",IF($D236="","",IFERROR(ROUND($D236*INDEX('🔖 배합비 참조'!$B$2:$CE$83,MATCH("단호박분말(중국산)",'🔖 배합비 참조'!$A$2:$A$83,0),MATCH($C236,'🔖 배합비 참조'!$B$1:$CE$1,0))/100,0),""))),"")</f>
        <v>0</v>
      </c>
      <c r="AC236" s="42" t="n">
        <f aca="false">IFERROR(IF($C236="","",IF($D236="","",IFERROR(ROUND($D236*INDEX('🔖 배합비 참조'!$B$2:$CE$83,MATCH("당류가공품(단호박농축액)",'🔖 배합비 참조'!$A$2:$A$83,0),MATCH($C236,'🔖 배합비 참조'!$B$1:$CE$1,0))/100,0),""))),"")</f>
        <v>0</v>
      </c>
      <c r="AD236" s="42" t="n">
        <f aca="false">IFERROR(IF($C236="","",IF($D236="","",IFERROR(ROUND($D236*INDEX('🔖 배합비 참조'!$B$2:$CE$83,MATCH("당류가공품(알룰로스,에리스리톨,스테비올배당체혼합)",'🔖 배합비 참조'!$A$2:$A$83,0),MATCH($C236,'🔖 배합비 참조'!$B$1:$CE$1,0))/100,0),""))),"")</f>
        <v>0</v>
      </c>
      <c r="AE236" s="42" t="n">
        <f aca="false">IFERROR(IF($C236="","",IF($D236="","",IFERROR(ROUND($D236*INDEX('🔖 배합비 참조'!$B$2:$CE$83,MATCH("당류가공품(알룰로스제로파우더)",'🔖 배합비 참조'!$A$2:$A$83,0),MATCH($C236,'🔖 배합비 참조'!$B$1:$CE$1,0))/100,0),""))),"")</f>
        <v>0</v>
      </c>
      <c r="AF236" s="42" t="n">
        <f aca="false">IFERROR(IF($C236="","",IF($D236="","",IFERROR(ROUND($D236*INDEX('🔖 배합비 참조'!$B$2:$CE$83,MATCH("당절임(완두배기)",'🔖 배합비 참조'!$A$2:$A$83,0),MATCH($C236,'🔖 배합비 참조'!$B$1:$CE$1,0))/100,0),""))),"")</f>
        <v>0</v>
      </c>
      <c r="AG236" s="42" t="n">
        <f aca="false">IFERROR(IF($C236="","",IF($D236="","",IFERROR(ROUND($D236*INDEX('🔖 배합비 참조'!$B$2:$CE$83,MATCH("대추농축액",'🔖 배합비 참조'!$A$2:$A$83,0),MATCH($C236,'🔖 배합비 참조'!$B$1:$CE$1,0))/100,0),""))),"")</f>
        <v>0</v>
      </c>
      <c r="AH236" s="42" t="n">
        <f aca="false">IFERROR(IF($C236="","",IF($D236="","",IFERROR(ROUND($D236*INDEX('🔖 배합비 참조'!$B$2:$CE$83,MATCH("대추채(국내산)",'🔖 배합비 참조'!$A$2:$A$83,0),MATCH($C236,'🔖 배합비 참조'!$B$1:$CE$1,0))/100,0),""))),"")</f>
        <v>0</v>
      </c>
      <c r="AI236" s="42" t="n">
        <f aca="false">IFERROR(IF($C236="","",IF($D236="","",IFERROR(ROUND($D236*INDEX('🔖 배합비 참조'!$B$2:$CE$83,MATCH("동부(미얀마산)",'🔖 배합비 참조'!$A$2:$A$83,0),MATCH($C236,'🔖 배합비 참조'!$B$1:$CE$1,0))/100,0),""))),"")</f>
        <v>0</v>
      </c>
      <c r="AJ236" s="42" t="n">
        <f aca="false">IFERROR(IF($C236="","",IF($D236="","",IFERROR(ROUND($D236*INDEX('🔖 배합비 참조'!$B$2:$CE$83,MATCH("두류가공품(백옥앙금)",'🔖 배합비 참조'!$A$2:$A$83,0),MATCH($C236,'🔖 배합비 참조'!$B$1:$CE$1,0))/100,0),""))),"")</f>
        <v>0</v>
      </c>
      <c r="AK236" s="42" t="n">
        <f aca="false">IFERROR(IF($C236="","",IF($D236="","",IFERROR(ROUND($D236*INDEX('🔖 배합비 참조'!$B$2:$CE$83,MATCH("두류가공품(콩고물)",'🔖 배합비 참조'!$A$2:$A$83,0),MATCH($C236,'🔖 배합비 참조'!$B$1:$CE$1,0))/100,0),""))),"")</f>
        <v>2</v>
      </c>
      <c r="AL236" s="42" t="n">
        <f aca="false">IFERROR(IF($C236="","",IF($D236="","",IFERROR(ROUND($D236*INDEX('🔖 배합비 참조'!$B$2:$CE$83,MATCH("두류가공품(통팥고물)",'🔖 배합비 참조'!$A$2:$A$83,0),MATCH($C236,'🔖 배합비 참조'!$B$1:$CE$1,0))/100,0),""))),"")</f>
        <v>0</v>
      </c>
      <c r="AM236" s="42" t="n">
        <f aca="false">IFERROR(IF($C236="","",IF($D236="","",IFERROR(ROUND($D236*INDEX('🔖 배합비 참조'!$B$2:$CE$83,MATCH("딸기레진",'🔖 배합비 참조'!$A$2:$A$83,0),MATCH($C236,'🔖 배합비 참조'!$B$1:$CE$1,0))/100,0),""))),"")</f>
        <v>0</v>
      </c>
      <c r="AN236" s="42" t="n">
        <f aca="false">IFERROR(IF($C236="","",IF($D236="","",IFERROR(ROUND($D236*INDEX('🔖 배합비 참조'!$B$2:$CE$83,MATCH("딸기분말(스트로우베리에이드(분말))",'🔖 배합비 참조'!$A$2:$A$83,0),MATCH($C236,'🔖 배합비 참조'!$B$1:$CE$1,0))/100,0),""))),"")</f>
        <v>0</v>
      </c>
      <c r="AO236" s="42" t="n">
        <f aca="false">IFERROR(IF($C236="","",IF($D236="","",IFERROR(ROUND($D236*INDEX('🔖 배합비 참조'!$B$2:$CE$83,MATCH("마스카포네치즈",'🔖 배합비 참조'!$A$2:$A$83,0),MATCH($C236,'🔖 배합비 참조'!$B$1:$CE$1,0))/100,0),""))),"")</f>
        <v>0</v>
      </c>
      <c r="AP236" s="42" t="n">
        <f aca="false">IFERROR(IF($C236="","",IF($D236="","",IFERROR(ROUND($D236*INDEX('🔖 배합비 참조'!$B$2:$CE$83,MATCH("마카다미아분태(호주산)",'🔖 배합비 참조'!$A$2:$A$83,0),MATCH($C236,'🔖 배합비 참조'!$B$1:$CE$1,0))/100,0),""))),"")</f>
        <v>0</v>
      </c>
      <c r="AQ236" s="42" t="n">
        <f aca="false">IFERROR(IF($C236="","",IF($D236="","",IFERROR(ROUND($D236*INDEX('🔖 배합비 참조'!$B$2:$CE$83,MATCH("멥쌀(국내산)",'🔖 배합비 참조'!$A$2:$A$83,0),MATCH($C236,'🔖 배합비 참조'!$B$1:$CE$1,0))/100,0),""))),"")</f>
        <v>0</v>
      </c>
      <c r="AR236" s="42" t="n">
        <f aca="false">IFERROR(IF($C236="","",IF($D236="","",IFERROR(ROUND($D236*INDEX('🔖 배합비 참조'!$B$2:$CE$83,MATCH("모시잎(국내산)",'🔖 배합비 참조'!$A$2:$A$83,0),MATCH($C236,'🔖 배합비 참조'!$B$1:$CE$1,0))/100,0),""))),"")</f>
        <v>0</v>
      </c>
      <c r="AS236" s="42" t="n">
        <f aca="false">IFERROR(IF($C236="","",IF($D236="","",IFERROR(ROUND($D236*INDEX('🔖 배합비 참조'!$B$2:$CE$83,MATCH("물엿(저당물엿)",'🔖 배합비 참조'!$A$2:$A$83,0),MATCH($C236,'🔖 배합비 참조'!$B$1:$CE$1,0))/100,0),""))),"")</f>
        <v>3</v>
      </c>
      <c r="AT236" s="42" t="n">
        <f aca="false">IFERROR(IF($C236="","",IF($D236="","",IFERROR(ROUND($D236*INDEX('🔖 배합비 참조'!$B$2:$CE$83,MATCH("밤다이스",'🔖 배합비 참조'!$A$2:$A$83,0),MATCH($C236,'🔖 배합비 참조'!$B$1:$CE$1,0))/100,0),""))),"")</f>
        <v>0</v>
      </c>
      <c r="AU236" s="42" t="n">
        <f aca="false">IFERROR(IF($C236="","",IF($D236="","",IFERROR(ROUND($D236*INDEX('🔖 배합비 참조'!$B$2:$CE$83,MATCH("변성전분(타피오카전분)",'🔖 배합비 참조'!$A$2:$A$83,0),MATCH($C236,'🔖 배합비 참조'!$B$1:$CE$1,0))/100,0),""))),"")</f>
        <v>0</v>
      </c>
      <c r="AV236" s="42" t="n">
        <f aca="false">IFERROR(IF($C236="","",IF($D236="","",IFERROR(ROUND($D236*INDEX('🔖 배합비 참조'!$B$2:$CE$83,MATCH("복음땅콩분태",'🔖 배합비 참조'!$A$2:$A$83,0),MATCH($C236,'🔖 배합비 참조'!$B$1:$CE$1,0))/100,0),""))),"")</f>
        <v>0</v>
      </c>
      <c r="AW236" s="42" t="n">
        <f aca="false">IFERROR(IF($C236="","",IF($D236="","",IFERROR(ROUND($D236*INDEX('🔖 배합비 참조'!$B$2:$CE$83,MATCH("사양벌꿀(국내산)",'🔖 배합비 참조'!$A$2:$A$83,0),MATCH($C236,'🔖 배합비 참조'!$B$1:$CE$1,0))/100,0),""))),"")</f>
        <v>0</v>
      </c>
      <c r="AX236" s="42" t="n">
        <f aca="false">IFERROR(IF($C236="","",IF($D236="","",IFERROR(ROUND($D236*INDEX('🔖 배합비 참조'!$B$2:$CE$83,MATCH("생크림",'🔖 배합비 참조'!$A$2:$A$83,0),MATCH($C236,'🔖 배합비 참조'!$B$1:$CE$1,0))/100,0),""))),"")</f>
        <v>0</v>
      </c>
      <c r="AY236" s="42" t="n">
        <f aca="false">IFERROR(IF($C236="","",IF($D236="","",IFERROR(ROUND($D236*INDEX('🔖 배합비 참조'!$B$2:$CE$83,MATCH("서양호박(국내산,뉴질랜드산)",'🔖 배합비 참조'!$A$2:$A$83,0),MATCH($C236,'🔖 배합비 참조'!$B$1:$CE$1,0))/100,0),""))),"")</f>
        <v>0</v>
      </c>
      <c r="AZ236" s="42" t="n">
        <f aca="false">IFERROR(IF($C236="","",IF($D236="","",IFERROR(ROUND($D236*INDEX('🔖 배합비 참조'!$B$2:$CE$83,MATCH("설탕",'🔖 배합비 참조'!$A$2:$A$83,0),MATCH($C236,'🔖 배합비 참조'!$B$1:$CE$1,0))/100,0),""))),"")</f>
        <v>3</v>
      </c>
      <c r="BA236" s="42" t="n">
        <f aca="false">IFERROR(IF($C236="","",IF($D236="","",IFERROR(ROUND($D236*INDEX('🔖 배합비 참조'!$B$2:$CE$83,MATCH("스트로우베리 에이드 후레쉬",'🔖 배합비 참조'!$A$2:$A$83,0),MATCH($C236,'🔖 배합비 참조'!$B$1:$CE$1,0))/100,0),""))),"")</f>
        <v>0</v>
      </c>
      <c r="BB236" s="42" t="n">
        <f aca="false">IFERROR(IF($C236="","",IF($D236="","",IFERROR(ROUND($D236*INDEX('🔖 배합비 참조'!$B$2:$CE$83,MATCH("식물성기름혼합제제(분홍)",'🔖 배합비 참조'!$A$2:$A$83,0),MATCH($C236,'🔖 배합비 참조'!$B$1:$CE$1,0))/100,0),""))),"")</f>
        <v>0</v>
      </c>
      <c r="BC236" s="42" t="n">
        <f aca="false">IFERROR(IF($C236="","",IF($D236="","",IFERROR(ROUND($D236*INDEX('🔖 배합비 참조'!$B$2:$CE$83,MATCH("식물성기름혼합제제(초록)",'🔖 배합비 참조'!$A$2:$A$83,0),MATCH($C236,'🔖 배합비 참조'!$B$1:$CE$1,0))/100,0),""))),"")</f>
        <v>0</v>
      </c>
      <c r="BD236" s="42" t="n">
        <f aca="false">IFERROR(IF($C236="","",IF($D236="","",IFERROR(ROUND($D236*INDEX('🔖 배합비 참조'!$B$2:$CE$83,MATCH("식물성기름혼합제제(황색)",'🔖 배합비 참조'!$A$2:$A$83,0),MATCH($C236,'🔖 배합비 참조'!$B$1:$CE$1,0))/100,0),""))),"")</f>
        <v>0</v>
      </c>
      <c r="BE236" s="42" t="n">
        <f aca="false">IFERROR(IF($C236="","",IF($D236="","",IFERROR(ROUND($D236*INDEX('🔖 배합비 참조'!$B$2:$CE$83,MATCH("쑥가루(국내산)",'🔖 배합비 참조'!$A$2:$A$83,0),MATCH($C236,'🔖 배합비 참조'!$B$1:$CE$1,0))/100,0),""))),"")</f>
        <v>0</v>
      </c>
      <c r="BF236" s="42" t="n">
        <f aca="false">IFERROR(IF($C236="","",IF($D236="","",IFERROR(ROUND($D236*INDEX('🔖 배합비 참조'!$B$2:$CE$83,MATCH("아몬드슬라이스",'🔖 배합비 참조'!$A$2:$A$83,0),MATCH($C236,'🔖 배합비 참조'!$B$1:$CE$1,0))/100,0),""))),"")</f>
        <v>0</v>
      </c>
      <c r="BG236" s="42" t="n">
        <f aca="false">IFERROR(IF($C236="","",IF($D236="","",IFERROR(ROUND($D236*INDEX('🔖 배합비 참조'!$B$2:$CE$83,MATCH("알룰로오스(국내산)",'🔖 배합비 참조'!$A$2:$A$83,0),MATCH($C236,'🔖 배합비 참조'!$B$1:$CE$1,0))/100,0),""))),"")</f>
        <v>0</v>
      </c>
      <c r="BH236" s="42" t="n">
        <f aca="false">IFERROR(IF($C236="","",IF($D236="","",IFERROR(ROUND($D236*INDEX('🔖 배합비 참조'!$B$2:$CE$83,MATCH("연유",'🔖 배합비 참조'!$A$2:$A$83,0),MATCH($C236,'🔖 배합비 참조'!$B$1:$CE$1,0))/100,0),""))),"")</f>
        <v>0</v>
      </c>
      <c r="BI236" s="42" t="n">
        <f aca="false">IFERROR(IF($C236="","",IF($D236="","",IFERROR(ROUND($D236*INDEX('🔖 배합비 참조'!$B$2:$CE$83,MATCH("옥수수전분",'🔖 배합비 참조'!$A$2:$A$83,0),MATCH($C236,'🔖 배합비 참조'!$B$1:$CE$1,0))/100,0),""))),"")</f>
        <v>0</v>
      </c>
      <c r="BJ236" s="42" t="n">
        <f aca="false">IFERROR(IF($C236="","",IF($D236="","",IFERROR(ROUND($D236*INDEX('🔖 배합비 참조'!$B$2:$CE$83,MATCH("완두배기",'🔖 배합비 참조'!$A$2:$A$83,0),MATCH($C236,'🔖 배합비 참조'!$B$1:$CE$1,0))/100,0),""))),"")</f>
        <v>0</v>
      </c>
      <c r="BK236" s="42" t="n">
        <f aca="false">IFERROR(IF($C236="","",IF($D236="","",IFERROR(ROUND($D236*INDEX('🔖 배합비 참조'!$B$2:$CE$83,MATCH("우유(국내산)",'🔖 배합비 참조'!$A$2:$A$83,0),MATCH($C236,'🔖 배합비 참조'!$B$1:$CE$1,0))/100,0),""))),"")</f>
        <v>0</v>
      </c>
      <c r="BL236" s="42" t="n">
        <f aca="false">IFERROR(IF($C236="","",IF($D236="","",IFERROR(ROUND($D236*INDEX('🔖 배합비 참조'!$B$2:$CE$83,MATCH("자색고구마가루(중국산)",'🔖 배합비 참조'!$A$2:$A$83,0),MATCH($C236,'🔖 배합비 참조'!$B$1:$CE$1,0))/100,0),""))),"")</f>
        <v>0</v>
      </c>
      <c r="BM236" s="42" t="n">
        <f aca="false">IFERROR(IF($C236="","",IF($D236="","",IFERROR(ROUND($D236*INDEX('🔖 배합비 참조'!$B$2:$CE$83,MATCH("자연치즈(체다치즈)",'🔖 배합비 참조'!$A$2:$A$83,0),MATCH($C236,'🔖 배합비 참조'!$B$1:$CE$1,0))/100,0),""))),"")</f>
        <v>0</v>
      </c>
      <c r="BN236" s="42" t="n">
        <f aca="false">IFERROR(IF($C236="","",IF($D236="","",IFERROR(ROUND($D236*INDEX('🔖 배합비 참조'!$B$2:$CE$83,MATCH("정제수",'🔖 배합비 참조'!$A$2:$A$83,0),MATCH($C236,'🔖 배합비 참조'!$B$1:$CE$1,0))/100,0),""))),"")</f>
        <v>27</v>
      </c>
      <c r="BO236" s="42" t="n">
        <f aca="false">IFERROR(IF($C236="","",IF($D236="","",IFERROR(ROUND($D236*INDEX('🔖 배합비 참조'!$B$2:$CE$83,MATCH("젤라틴",'🔖 배합비 참조'!$A$2:$A$83,0),MATCH($C236,'🔖 배합비 참조'!$B$1:$CE$1,0))/100,0),""))),"")</f>
        <v>0</v>
      </c>
      <c r="BP236" s="42" t="n">
        <f aca="false">IFERROR(IF($C236="","",IF($D236="","",IFERROR(ROUND($D236*INDEX('🔖 배합비 참조'!$B$2:$CE$83,MATCH("조림류(백옥앙금)",'🔖 배합비 참조'!$A$2:$A$83,0),MATCH($C236,'🔖 배합비 참조'!$B$1:$CE$1,0))/100,0),""))),"")</f>
        <v>0</v>
      </c>
      <c r="BQ236" s="42" t="n">
        <f aca="false">IFERROR(IF($C236="","",IF($D236="","",IFERROR(ROUND($D236*INDEX('🔖 배합비 참조'!$B$2:$CE$83,MATCH("조림류(통팥앙금)",'🔖 배합비 참조'!$A$2:$A$83,0),MATCH($C236,'🔖 배합비 참조'!$B$1:$CE$1,0))/100,0),""))),"")</f>
        <v>0</v>
      </c>
      <c r="BR236" s="42" t="n">
        <f aca="false">IFERROR(IF($C236="","",IF($D236="","",IFERROR(ROUND($D236*INDEX('🔖 배합비 참조'!$B$2:$CE$83,MATCH("준초콜릿(외국산)",'🔖 배합비 참조'!$A$2:$A$83,0),MATCH($C236,'🔖 배합비 참조'!$B$1:$CE$1,0))/100,0),""))),"")</f>
        <v>0</v>
      </c>
      <c r="BS236" s="42" t="n">
        <f aca="false">IFERROR(IF($C236="","",IF($D236="","",IFERROR(ROUND($D236*INDEX('🔖 배합비 참조'!$B$2:$CE$83,MATCH("중력분",'🔖 배합비 참조'!$A$2:$A$83,0),MATCH($C236,'🔖 배합비 참조'!$B$1:$CE$1,0))/100,0),""))),"")</f>
        <v>1</v>
      </c>
      <c r="BT236" s="42" t="n">
        <f aca="false">IFERROR(IF($C236="","",IF($D236="","",IFERROR(ROUND($D236*INDEX('🔖 배합비 참조'!$B$2:$CE$83,MATCH("참깨(인도산,나이지리아산,탄자니아산,미얀마산)",'🔖 배합비 참조'!$A$2:$A$83,0),MATCH($C236,'🔖 배합비 참조'!$B$1:$CE$1,0))/100,0),""))),"")</f>
        <v>0</v>
      </c>
      <c r="BU236" s="42" t="n">
        <f aca="false">IFERROR(IF($C236="","",IF($D236="","",IFERROR(ROUND($D236*INDEX('🔖 배합비 참조'!$B$2:$CE$83,MATCH("찹쌀(국내산)",'🔖 배합비 참조'!$A$2:$A$83,0),MATCH($C236,'🔖 배합비 참조'!$B$1:$CE$1,0))/100,0),""))),"")</f>
        <v>33</v>
      </c>
      <c r="BV236" s="42" t="n">
        <f aca="false">IFERROR(IF($C236="","",IF($D236="","",IFERROR(ROUND($D236*INDEX('🔖 배합비 참조'!$B$2:$CE$83,MATCH("천일염",'🔖 배합비 참조'!$A$2:$A$83,0),MATCH($C236,'🔖 배합비 참조'!$B$1:$CE$1,0))/100,0),""))),"")</f>
        <v>1</v>
      </c>
      <c r="BW236" s="42" t="n">
        <f aca="false">IFERROR(IF($C236="","",IF($D236="","",IFERROR(ROUND($D236*INDEX('🔖 배합비 참조'!$B$2:$CE$83,MATCH("치즈 [크림치즈]",'🔖 배합비 참조'!$A$2:$A$83,0),MATCH($C236,'🔖 배합비 참조'!$B$1:$CE$1,0))/100,0),""))),"")</f>
        <v>0</v>
      </c>
      <c r="BX236" s="42" t="n">
        <f aca="false">IFERROR(IF($C236="","",IF($D236="","",IFERROR(ROUND($D236*INDEX('🔖 배합비 참조'!$B$2:$CE$83,MATCH("코코아가공품류(코코아분말)",'🔖 배합비 참조'!$A$2:$A$83,0),MATCH($C236,'🔖 배합비 참조'!$B$1:$CE$1,0))/100,0),""))),"")</f>
        <v>0</v>
      </c>
      <c r="BY236" s="42" t="n">
        <f aca="false">IFERROR(IF($C236="","",IF($D236="","",IFERROR(ROUND($D236*INDEX('🔖 배합비 참조'!$B$2:$CE$83,MATCH("콩기름(대두유)",'🔖 배합비 참조'!$A$2:$A$83,0),MATCH($C236,'🔖 배합비 참조'!$B$1:$CE$1,0))/100,0),""))),"")</f>
        <v>0</v>
      </c>
      <c r="BZ236" s="42" t="n">
        <f aca="false">IFERROR(IF($C236="","",IF($D236="","",IFERROR(ROUND($D236*INDEX('🔖 배합비 참조'!$B$2:$CE$83,MATCH("해바라기씨앗",'🔖 배합비 참조'!$A$2:$A$83,0),MATCH($C236,'🔖 배합비 참조'!$B$1:$CE$1,0))/100,0),""))),"")</f>
        <v>0</v>
      </c>
      <c r="CA236" s="42" t="n">
        <f aca="false">IFERROR(IF($C236="","",IF($D236="","",IFERROR(ROUND($D236*INDEX('🔖 배합비 참조'!$B$2:$CE$83,MATCH("현미(국내산)",'🔖 배합비 참조'!$A$2:$A$83,0),MATCH($C236,'🔖 배합비 참조'!$B$1:$CE$1,0))/100,0),""))),"")</f>
        <v>0</v>
      </c>
      <c r="CB236" s="42" t="n">
        <f aca="false">IFERROR(IF($C236="","",IF($D236="","",IFERROR(ROUND($D236*INDEX('🔖 배합비 참조'!$B$2:$CE$83,MATCH("현미멥쌀(국내산)",'🔖 배합비 참조'!$A$2:$A$83,0),MATCH($C236,'🔖 배합비 참조'!$B$1:$CE$1,0))/100,0),""))),"")</f>
        <v>0</v>
      </c>
      <c r="CC236" s="42" t="n">
        <f aca="false">IFERROR(IF($C236="","",IF($D236="","",IFERROR(ROUND($D236*INDEX('🔖 배합비 참조'!$B$2:$CE$83,MATCH("호두분태(미국산)",'🔖 배합비 참조'!$A$2:$A$83,0),MATCH($C236,'🔖 배합비 참조'!$B$1:$CE$1,0))/100,0),""))),"")</f>
        <v>0</v>
      </c>
      <c r="CD236" s="42" t="n">
        <f aca="false">IFERROR(IF($C236="","",IF($D236="","",IFERROR(ROUND($D236*INDEX('🔖 배합비 참조'!$B$2:$CE$83,MATCH("호박씨앗(외국산)",'🔖 배합비 참조'!$A$2:$A$83,0),MATCH($C236,'🔖 배합비 참조'!$B$1:$CE$1,0))/100,0),""))),"")</f>
        <v>0</v>
      </c>
      <c r="CE236" s="42" t="n">
        <f aca="false">IFERROR(IF($C236="","",IF($D236="","",IFERROR(ROUND($D236*INDEX('🔖 배합비 참조'!$B$2:$CE$83,MATCH("혼합제제(떡용에스텔)",'🔖 배합비 참조'!$A$2:$A$83,0),MATCH($C236,'🔖 배합비 참조'!$B$1:$CE$1,0))/100,0),""))),"")</f>
        <v>0</v>
      </c>
      <c r="CF236" s="42" t="n">
        <f aca="false">IFERROR(IF($C236="","",IF($D236="","",IFERROR(ROUND($D236*INDEX('🔖 배합비 참조'!$B$2:$CE$83,MATCH("혼합제제(스테비아)",'🔖 배합비 참조'!$A$2:$A$83,0),MATCH($C236,'🔖 배합비 참조'!$B$1:$CE$1,0))/100,0),""))),"")</f>
        <v>0</v>
      </c>
      <c r="CG236" s="42" t="n">
        <f aca="false">IFERROR(IF($C236="","",IF($D236="","",IFERROR(ROUND($D236*INDEX('🔖 배합비 참조'!$B$2:$CE$83,MATCH("화이트초콜릿",'🔖 배합비 참조'!$A$2:$A$83,0),MATCH($C236,'🔖 배합비 참조'!$B$1:$CE$1,0))/100,0),""))),"")</f>
        <v>0</v>
      </c>
      <c r="CH236" s="42" t="n">
        <f aca="false">IFERROR(IF($C236="","",IF($D236="","",IFERROR(ROUND($D236*INDEX('🔖 배합비 참조'!$B$2:$CE$83,MATCH("흑미찹쌀(국내산)",'🔖 배합비 참조'!$A$2:$A$83,0),MATCH($C236,'🔖 배합비 참조'!$B$1:$CE$1,0))/100,0),""))),"")</f>
        <v>0</v>
      </c>
      <c r="CI236" s="42" t="n">
        <f aca="false">IFERROR(IF($C236="","",IF($D236="","",IFERROR(ROUND($D236*INDEX('🔖 배합비 참조'!$B$2:$CE$83,MATCH("찰옥수수전분(미국산)",'🔖 배합비 참조'!$A$2:$A$83,0),MATCH($C236,'🔖 배합비 참조'!$B$1:$CE$1,0))/100,0),""))),"")</f>
        <v>0</v>
      </c>
      <c r="CJ236" s="40"/>
      <c r="CL236" s="1" t="s">
        <v>247</v>
      </c>
    </row>
    <row r="237" customFormat="false" ht="18" hidden="false" customHeight="true" outlineLevel="0" collapsed="false">
      <c r="A237" s="35" t="n">
        <v>233</v>
      </c>
      <c r="B237" s="36" t="n">
        <v>46076</v>
      </c>
      <c r="C237" s="37" t="s">
        <v>144</v>
      </c>
      <c r="D237" s="38" t="n">
        <v>140</v>
      </c>
      <c r="E237" s="13"/>
      <c r="F237" s="13"/>
      <c r="G237" s="39" t="n">
        <f aca="false">IFERROR(IF($C237="","",IF($D237="","",IFERROR(ROUND($D237*INDEX('🔖 배합비 참조'!$B$2:$CE$83,MATCH("간장",'🔖 배합비 참조'!$A$2:$A$83,0),MATCH($C237,'🔖 배합비 참조'!$B$1:$CE$1,0))/100,0),""))),"")</f>
        <v>0</v>
      </c>
      <c r="H237" s="39" t="n">
        <f aca="false">IFERROR(IF($C237="","",IF($D237="","",IFERROR(ROUND($D237*INDEX('🔖 배합비 참조'!$B$2:$CE$83,MATCH("강낭콩((울타리콩))",'🔖 배합비 참조'!$A$2:$A$83,0),MATCH($C237,'🔖 배합비 참조'!$B$1:$CE$1,0))/100,0),""))),"")</f>
        <v>0</v>
      </c>
      <c r="I237" s="39" t="n">
        <f aca="false">IFERROR(IF($C237="","",IF($D237="","",IFERROR(ROUND($D237*INDEX('🔖 배합비 참조'!$B$2:$CE$83,MATCH("건조딸기다이스(외국산)",'🔖 배합비 참조'!$A$2:$A$83,0),MATCH($C237,'🔖 배합비 참조'!$B$1:$CE$1,0))/100,0),""))),"")</f>
        <v>0</v>
      </c>
      <c r="J237" s="39" t="n">
        <f aca="false">IFERROR(IF($C237="","",IF($D237="","",IFERROR(ROUND($D237*INDEX('🔖 배합비 참조'!$B$2:$CE$83,MATCH("건포도",'🔖 배합비 참조'!$A$2:$A$83,0),MATCH($C237,'🔖 배합비 참조'!$B$1:$CE$1,0))/100,0),""))),"")</f>
        <v>0</v>
      </c>
      <c r="K237" s="39" t="n">
        <f aca="false">IFERROR(IF($C237="","",IF($D237="","",IFERROR(ROUND($D237*INDEX('🔖 배합비 참조'!$B$2:$CE$83,MATCH("건호박채(중국산)",'🔖 배합비 참조'!$A$2:$A$83,0),MATCH($C237,'🔖 배합비 참조'!$B$1:$CE$1,0))/100,0),""))),"")</f>
        <v>0</v>
      </c>
      <c r="L237" s="39" t="n">
        <f aca="false">IFERROR(IF($C237="","",IF($D237="","",IFERROR(ROUND($D237*INDEX('🔖 배합비 참조'!$B$2:$CE$83,MATCH("검정깨(흑임자)",'🔖 배합비 참조'!$A$2:$A$83,0),MATCH($C237,'🔖 배합비 참조'!$B$1:$CE$1,0))/100,0),""))),"")</f>
        <v>0</v>
      </c>
      <c r="M237" s="39" t="n">
        <f aca="false">IFERROR(IF($C237="","",IF($D237="","",IFERROR(ROUND($D237*INDEX('🔖 배합비 참조'!$B$2:$CE$83,MATCH("검정콩",'🔖 배합비 참조'!$A$2:$A$83,0),MATCH($C237,'🔖 배합비 참조'!$B$1:$CE$1,0))/100,0),""))),"")</f>
        <v>0</v>
      </c>
      <c r="N237" s="39" t="n">
        <f aca="false">IFERROR(IF($C237="","",IF($D237="","",IFERROR(ROUND($D237*INDEX('🔖 배합비 참조'!$B$2:$CE$83,MATCH("계피가루",'🔖 배합비 참조'!$A$2:$A$83,0),MATCH($C237,'🔖 배합비 참조'!$B$1:$CE$1,0))/100,0),""))),"")</f>
        <v>0</v>
      </c>
      <c r="O237" s="39" t="n">
        <f aca="false">IFERROR(IF($C237="","",IF($D237="","",IFERROR(ROUND($D237*INDEX('🔖 배합비 참조'!$B$2:$CE$83,MATCH("고구마가루",'🔖 배합비 참조'!$A$2:$A$83,0),MATCH($C237,'🔖 배합비 참조'!$B$1:$CE$1,0))/100,0),""))),"")</f>
        <v>0</v>
      </c>
      <c r="P237" s="39" t="n">
        <f aca="false">IFERROR(IF($C237="","",IF($D237="","",IFERROR(ROUND($D237*INDEX('🔖 배합비 참조'!$B$2:$CE$83,MATCH("고구마무스",'🔖 배합비 참조'!$A$2:$A$83,0),MATCH($C237,'🔖 배합비 참조'!$B$1:$CE$1,0))/100,0),""))),"")</f>
        <v>0</v>
      </c>
      <c r="Q237" s="39" t="n">
        <f aca="false">IFERROR(IF($C237="","",IF($D237="","",IFERROR(ROUND($D237*INDEX('🔖 배합비 참조'!$B$2:$CE$83,MATCH("고려엉겅퀴((곤드레)국내산)",'🔖 배합비 참조'!$A$2:$A$83,0),MATCH($C237,'🔖 배합비 참조'!$B$1:$CE$1,0))/100,0),""))),"")</f>
        <v>0</v>
      </c>
      <c r="R237" s="39" t="n">
        <f aca="false">IFERROR(IF($C237="","",IF($D237="","",IFERROR(ROUND($D237*INDEX('🔖 배합비 참조'!$B$2:$CE$83,MATCH("기타가공품(복분자가루)",'🔖 배합비 참조'!$A$2:$A$83,0),MATCH($C237,'🔖 배합비 참조'!$B$1:$CE$1,0))/100,0),""))),"")</f>
        <v>0</v>
      </c>
      <c r="S237" s="39" t="n">
        <f aca="false">IFERROR(IF($C237="","",IF($D237="","",IFERROR(ROUND($D237*INDEX('🔖 배합비 참조'!$B$2:$CE$83,MATCH("기타가공품(슈퍼소프트엠)",'🔖 배합비 참조'!$A$2:$A$83,0),MATCH($C237,'🔖 배합비 참조'!$B$1:$CE$1,0))/100,0),""))),"")</f>
        <v>0</v>
      </c>
      <c r="T237" s="39" t="n">
        <f aca="false">IFERROR(IF($C237="","",IF($D237="","",IFERROR(ROUND($D237*INDEX('🔖 배합비 참조'!$B$2:$CE$83,MATCH("기타가공품(파인소프트 E-티)",'🔖 배합비 참조'!$A$2:$A$83,0),MATCH($C237,'🔖 배합비 참조'!$B$1:$CE$1,0))/100,0),""))),"")</f>
        <v>0</v>
      </c>
      <c r="U237" s="39" t="n">
        <f aca="false">IFERROR(IF($C237="","",IF($D237="","",IFERROR(ROUND($D237*INDEX('🔖 배합비 참조'!$B$2:$CE$83,MATCH("기타가공품(프리미엄카스테라가루)",'🔖 배합비 참조'!$A$2:$A$83,0),MATCH($C237,'🔖 배합비 참조'!$B$1:$CE$1,0))/100,0),""))),"")</f>
        <v>0</v>
      </c>
      <c r="V237" s="39" t="n">
        <f aca="false">IFERROR(IF($C237="","",IF($D237="","",IFERROR(ROUND($D237*INDEX('🔖 배합비 참조'!$B$2:$CE$83,MATCH("기타가공품(흑임자가루)",'🔖 배합비 참조'!$A$2:$A$83,0),MATCH($C237,'🔖 배합비 참조'!$B$1:$CE$1,0))/100,0),""))),"")</f>
        <v>0</v>
      </c>
      <c r="W237" s="39" t="n">
        <f aca="false">IFERROR(IF($C237="","",IF($D237="","",IFERROR(ROUND($D237*INDEX('🔖 배합비 참조'!$B$2:$CE$83,MATCH("기타설탕(흑설탕)",'🔖 배합비 참조'!$A$2:$A$83,0),MATCH($C237,'🔖 배합비 참조'!$B$1:$CE$1,0))/100,0),""))),"")</f>
        <v>0</v>
      </c>
      <c r="X237" s="39" t="n">
        <f aca="false">IFERROR(IF($C237="","",IF($D237="","",IFERROR(ROUND($D237*INDEX('🔖 배합비 참조'!$B$2:$CE$83,MATCH("냉동쑥(국내산)",'🔖 배합비 참조'!$A$2:$A$83,0),MATCH($C237,'🔖 배합비 참조'!$B$1:$CE$1,0))/100,0),""))),"")</f>
        <v>0</v>
      </c>
      <c r="Y237" s="39" t="n">
        <f aca="false">IFERROR(IF($C237="","",IF($D237="","",IFERROR(ROUND($D237*INDEX('🔖 배합비 참조'!$B$2:$CE$83,MATCH("냉동증숙고구마(중국산)",'🔖 배합비 참조'!$A$2:$A$83,0),MATCH($C237,'🔖 배합비 참조'!$B$1:$CE$1,0))/100,0),""))),"")</f>
        <v>0</v>
      </c>
      <c r="Z237" s="39" t="n">
        <f aca="false">IFERROR(IF($C237="","",IF($D237="","",IFERROR(ROUND($D237*INDEX('🔖 배합비 참조'!$B$2:$CE$83,MATCH("녹차가루",'🔖 배합비 참조'!$A$2:$A$83,0),MATCH($C237,'🔖 배합비 참조'!$B$1:$CE$1,0))/100,0),""))),"")</f>
        <v>0</v>
      </c>
      <c r="AA237" s="39" t="n">
        <f aca="false">IFERROR(IF($C237="","",IF($D237="","",IFERROR(ROUND($D237*INDEX('🔖 배합비 참조'!$B$2:$CE$83,MATCH("다크초콜릿 컴파운드칩",'🔖 배합비 참조'!$A$2:$A$83,0),MATCH($C237,'🔖 배합비 참조'!$B$1:$CE$1,0))/100,0),""))),"")</f>
        <v>0</v>
      </c>
      <c r="AB237" s="39" t="n">
        <f aca="false">IFERROR(IF($C237="","",IF($D237="","",IFERROR(ROUND($D237*INDEX('🔖 배합비 참조'!$B$2:$CE$83,MATCH("단호박분말(중국산)",'🔖 배합비 참조'!$A$2:$A$83,0),MATCH($C237,'🔖 배합비 참조'!$B$1:$CE$1,0))/100,0),""))),"")</f>
        <v>0</v>
      </c>
      <c r="AC237" s="39" t="n">
        <f aca="false">IFERROR(IF($C237="","",IF($D237="","",IFERROR(ROUND($D237*INDEX('🔖 배합비 참조'!$B$2:$CE$83,MATCH("당류가공품(단호박농축액)",'🔖 배합비 참조'!$A$2:$A$83,0),MATCH($C237,'🔖 배합비 참조'!$B$1:$CE$1,0))/100,0),""))),"")</f>
        <v>0</v>
      </c>
      <c r="AD237" s="39" t="n">
        <f aca="false">IFERROR(IF($C237="","",IF($D237="","",IFERROR(ROUND($D237*INDEX('🔖 배합비 참조'!$B$2:$CE$83,MATCH("당류가공품(알룰로스,에리스리톨,스테비올배당체혼합)",'🔖 배합비 참조'!$A$2:$A$83,0),MATCH($C237,'🔖 배합비 참조'!$B$1:$CE$1,0))/100,0),""))),"")</f>
        <v>0</v>
      </c>
      <c r="AE237" s="39" t="n">
        <f aca="false">IFERROR(IF($C237="","",IF($D237="","",IFERROR(ROUND($D237*INDEX('🔖 배합비 참조'!$B$2:$CE$83,MATCH("당류가공품(알룰로스제로파우더)",'🔖 배합비 참조'!$A$2:$A$83,0),MATCH($C237,'🔖 배합비 참조'!$B$1:$CE$1,0))/100,0),""))),"")</f>
        <v>0</v>
      </c>
      <c r="AF237" s="39" t="n">
        <f aca="false">IFERROR(IF($C237="","",IF($D237="","",IFERROR(ROUND($D237*INDEX('🔖 배합비 참조'!$B$2:$CE$83,MATCH("당절임(완두배기)",'🔖 배합비 참조'!$A$2:$A$83,0),MATCH($C237,'🔖 배합비 참조'!$B$1:$CE$1,0))/100,0),""))),"")</f>
        <v>0</v>
      </c>
      <c r="AG237" s="39" t="n">
        <f aca="false">IFERROR(IF($C237="","",IF($D237="","",IFERROR(ROUND($D237*INDEX('🔖 배합비 참조'!$B$2:$CE$83,MATCH("대추농축액",'🔖 배합비 참조'!$A$2:$A$83,0),MATCH($C237,'🔖 배합비 참조'!$B$1:$CE$1,0))/100,0),""))),"")</f>
        <v>0</v>
      </c>
      <c r="AH237" s="39" t="n">
        <f aca="false">IFERROR(IF($C237="","",IF($D237="","",IFERROR(ROUND($D237*INDEX('🔖 배합비 참조'!$B$2:$CE$83,MATCH("대추채(국내산)",'🔖 배합비 참조'!$A$2:$A$83,0),MATCH($C237,'🔖 배합비 참조'!$B$1:$CE$1,0))/100,0),""))),"")</f>
        <v>0</v>
      </c>
      <c r="AI237" s="39" t="n">
        <f aca="false">IFERROR(IF($C237="","",IF($D237="","",IFERROR(ROUND($D237*INDEX('🔖 배합비 참조'!$B$2:$CE$83,MATCH("동부(미얀마산)",'🔖 배합비 참조'!$A$2:$A$83,0),MATCH($C237,'🔖 배합비 참조'!$B$1:$CE$1,0))/100,0),""))),"")</f>
        <v>0</v>
      </c>
      <c r="AJ237" s="39" t="n">
        <f aca="false">IFERROR(IF($C237="","",IF($D237="","",IFERROR(ROUND($D237*INDEX('🔖 배합비 참조'!$B$2:$CE$83,MATCH("두류가공품(백옥앙금)",'🔖 배합비 참조'!$A$2:$A$83,0),MATCH($C237,'🔖 배합비 참조'!$B$1:$CE$1,0))/100,0),""))),"")</f>
        <v>0</v>
      </c>
      <c r="AK237" s="39" t="n">
        <f aca="false">IFERROR(IF($C237="","",IF($D237="","",IFERROR(ROUND($D237*INDEX('🔖 배합비 참조'!$B$2:$CE$83,MATCH("두류가공품(콩고물)",'🔖 배합비 참조'!$A$2:$A$83,0),MATCH($C237,'🔖 배합비 참조'!$B$1:$CE$1,0))/100,0),""))),"")</f>
        <v>4</v>
      </c>
      <c r="AL237" s="39" t="n">
        <f aca="false">IFERROR(IF($C237="","",IF($D237="","",IFERROR(ROUND($D237*INDEX('🔖 배합비 참조'!$B$2:$CE$83,MATCH("두류가공품(통팥고물)",'🔖 배합비 참조'!$A$2:$A$83,0),MATCH($C237,'🔖 배합비 참조'!$B$1:$CE$1,0))/100,0),""))),"")</f>
        <v>0</v>
      </c>
      <c r="AM237" s="39" t="n">
        <f aca="false">IFERROR(IF($C237="","",IF($D237="","",IFERROR(ROUND($D237*INDEX('🔖 배합비 참조'!$B$2:$CE$83,MATCH("딸기레진",'🔖 배합비 참조'!$A$2:$A$83,0),MATCH($C237,'🔖 배합비 참조'!$B$1:$CE$1,0))/100,0),""))),"")</f>
        <v>0</v>
      </c>
      <c r="AN237" s="39" t="n">
        <f aca="false">IFERROR(IF($C237="","",IF($D237="","",IFERROR(ROUND($D237*INDEX('🔖 배합비 참조'!$B$2:$CE$83,MATCH("딸기분말(스트로우베리에이드(분말))",'🔖 배합비 참조'!$A$2:$A$83,0),MATCH($C237,'🔖 배합비 참조'!$B$1:$CE$1,0))/100,0),""))),"")</f>
        <v>0</v>
      </c>
      <c r="AO237" s="39" t="n">
        <f aca="false">IFERROR(IF($C237="","",IF($D237="","",IFERROR(ROUND($D237*INDEX('🔖 배합비 참조'!$B$2:$CE$83,MATCH("마스카포네치즈",'🔖 배합비 참조'!$A$2:$A$83,0),MATCH($C237,'🔖 배합비 참조'!$B$1:$CE$1,0))/100,0),""))),"")</f>
        <v>0</v>
      </c>
      <c r="AP237" s="39" t="n">
        <f aca="false">IFERROR(IF($C237="","",IF($D237="","",IFERROR(ROUND($D237*INDEX('🔖 배합비 참조'!$B$2:$CE$83,MATCH("마카다미아분태(호주산)",'🔖 배합비 참조'!$A$2:$A$83,0),MATCH($C237,'🔖 배합비 참조'!$B$1:$CE$1,0))/100,0),""))),"")</f>
        <v>0</v>
      </c>
      <c r="AQ237" s="39" t="n">
        <f aca="false">IFERROR(IF($C237="","",IF($D237="","",IFERROR(ROUND($D237*INDEX('🔖 배합비 참조'!$B$2:$CE$83,MATCH("멥쌀(국내산)",'🔖 배합비 참조'!$A$2:$A$83,0),MATCH($C237,'🔖 배합비 참조'!$B$1:$CE$1,0))/100,0),""))),"")</f>
        <v>0</v>
      </c>
      <c r="AR237" s="39" t="n">
        <f aca="false">IFERROR(IF($C237="","",IF($D237="","",IFERROR(ROUND($D237*INDEX('🔖 배합비 참조'!$B$2:$CE$83,MATCH("모시잎(국내산)",'🔖 배합비 참조'!$A$2:$A$83,0),MATCH($C237,'🔖 배합비 참조'!$B$1:$CE$1,0))/100,0),""))),"")</f>
        <v>0</v>
      </c>
      <c r="AS237" s="39" t="n">
        <f aca="false">IFERROR(IF($C237="","",IF($D237="","",IFERROR(ROUND($D237*INDEX('🔖 배합비 참조'!$B$2:$CE$83,MATCH("물엿(저당물엿)",'🔖 배합비 참조'!$A$2:$A$83,0),MATCH($C237,'🔖 배합비 참조'!$B$1:$CE$1,0))/100,0),""))),"")</f>
        <v>7</v>
      </c>
      <c r="AT237" s="39" t="n">
        <f aca="false">IFERROR(IF($C237="","",IF($D237="","",IFERROR(ROUND($D237*INDEX('🔖 배합비 참조'!$B$2:$CE$83,MATCH("밤다이스",'🔖 배합비 참조'!$A$2:$A$83,0),MATCH($C237,'🔖 배합비 참조'!$B$1:$CE$1,0))/100,0),""))),"")</f>
        <v>0</v>
      </c>
      <c r="AU237" s="39" t="n">
        <f aca="false">IFERROR(IF($C237="","",IF($D237="","",IFERROR(ROUND($D237*INDEX('🔖 배합비 참조'!$B$2:$CE$83,MATCH("변성전분(타피오카전분)",'🔖 배합비 참조'!$A$2:$A$83,0),MATCH($C237,'🔖 배합비 참조'!$B$1:$CE$1,0))/100,0),""))),"")</f>
        <v>0</v>
      </c>
      <c r="AV237" s="39" t="n">
        <f aca="false">IFERROR(IF($C237="","",IF($D237="","",IFERROR(ROUND($D237*INDEX('🔖 배합비 참조'!$B$2:$CE$83,MATCH("복음땅콩분태",'🔖 배합비 참조'!$A$2:$A$83,0),MATCH($C237,'🔖 배합비 참조'!$B$1:$CE$1,0))/100,0),""))),"")</f>
        <v>0</v>
      </c>
      <c r="AW237" s="39" t="n">
        <f aca="false">IFERROR(IF($C237="","",IF($D237="","",IFERROR(ROUND($D237*INDEX('🔖 배합비 참조'!$B$2:$CE$83,MATCH("사양벌꿀(국내산)",'🔖 배합비 참조'!$A$2:$A$83,0),MATCH($C237,'🔖 배합비 참조'!$B$1:$CE$1,0))/100,0),""))),"")</f>
        <v>0</v>
      </c>
      <c r="AX237" s="39" t="n">
        <f aca="false">IFERROR(IF($C237="","",IF($D237="","",IFERROR(ROUND($D237*INDEX('🔖 배합비 참조'!$B$2:$CE$83,MATCH("생크림",'🔖 배합비 참조'!$A$2:$A$83,0),MATCH($C237,'🔖 배합비 참조'!$B$1:$CE$1,0))/100,0),""))),"")</f>
        <v>0</v>
      </c>
      <c r="AY237" s="39" t="n">
        <f aca="false">IFERROR(IF($C237="","",IF($D237="","",IFERROR(ROUND($D237*INDEX('🔖 배합비 참조'!$B$2:$CE$83,MATCH("서양호박(국내산,뉴질랜드산)",'🔖 배합비 참조'!$A$2:$A$83,0),MATCH($C237,'🔖 배합비 참조'!$B$1:$CE$1,0))/100,0),""))),"")</f>
        <v>0</v>
      </c>
      <c r="AZ237" s="39" t="n">
        <f aca="false">IFERROR(IF($C237="","",IF($D237="","",IFERROR(ROUND($D237*INDEX('🔖 배합비 참조'!$B$2:$CE$83,MATCH("설탕",'🔖 배합비 참조'!$A$2:$A$83,0),MATCH($C237,'🔖 배합비 참조'!$B$1:$CE$1,0))/100,0),""))),"")</f>
        <v>7</v>
      </c>
      <c r="BA237" s="39" t="n">
        <f aca="false">IFERROR(IF($C237="","",IF($D237="","",IFERROR(ROUND($D237*INDEX('🔖 배합비 참조'!$B$2:$CE$83,MATCH("스트로우베리 에이드 후레쉬",'🔖 배합비 참조'!$A$2:$A$83,0),MATCH($C237,'🔖 배합비 참조'!$B$1:$CE$1,0))/100,0),""))),"")</f>
        <v>0</v>
      </c>
      <c r="BB237" s="39" t="n">
        <f aca="false">IFERROR(IF($C237="","",IF($D237="","",IFERROR(ROUND($D237*INDEX('🔖 배합비 참조'!$B$2:$CE$83,MATCH("식물성기름혼합제제(분홍)",'🔖 배합비 참조'!$A$2:$A$83,0),MATCH($C237,'🔖 배합비 참조'!$B$1:$CE$1,0))/100,0),""))),"")</f>
        <v>0</v>
      </c>
      <c r="BC237" s="39" t="n">
        <f aca="false">IFERROR(IF($C237="","",IF($D237="","",IFERROR(ROUND($D237*INDEX('🔖 배합비 참조'!$B$2:$CE$83,MATCH("식물성기름혼합제제(초록)",'🔖 배합비 참조'!$A$2:$A$83,0),MATCH($C237,'🔖 배합비 참조'!$B$1:$CE$1,0))/100,0),""))),"")</f>
        <v>0</v>
      </c>
      <c r="BD237" s="39" t="n">
        <f aca="false">IFERROR(IF($C237="","",IF($D237="","",IFERROR(ROUND($D237*INDEX('🔖 배합비 참조'!$B$2:$CE$83,MATCH("식물성기름혼합제제(황색)",'🔖 배합비 참조'!$A$2:$A$83,0),MATCH($C237,'🔖 배합비 참조'!$B$1:$CE$1,0))/100,0),""))),"")</f>
        <v>0</v>
      </c>
      <c r="BE237" s="39" t="n">
        <f aca="false">IFERROR(IF($C237="","",IF($D237="","",IFERROR(ROUND($D237*INDEX('🔖 배합비 참조'!$B$2:$CE$83,MATCH("쑥가루(국내산)",'🔖 배합비 참조'!$A$2:$A$83,0),MATCH($C237,'🔖 배합비 참조'!$B$1:$CE$1,0))/100,0),""))),"")</f>
        <v>0</v>
      </c>
      <c r="BF237" s="39" t="n">
        <f aca="false">IFERROR(IF($C237="","",IF($D237="","",IFERROR(ROUND($D237*INDEX('🔖 배합비 참조'!$B$2:$CE$83,MATCH("아몬드슬라이스",'🔖 배합비 참조'!$A$2:$A$83,0),MATCH($C237,'🔖 배합비 참조'!$B$1:$CE$1,0))/100,0),""))),"")</f>
        <v>0</v>
      </c>
      <c r="BG237" s="39" t="n">
        <f aca="false">IFERROR(IF($C237="","",IF($D237="","",IFERROR(ROUND($D237*INDEX('🔖 배합비 참조'!$B$2:$CE$83,MATCH("알룰로오스(국내산)",'🔖 배합비 참조'!$A$2:$A$83,0),MATCH($C237,'🔖 배합비 참조'!$B$1:$CE$1,0))/100,0),""))),"")</f>
        <v>0</v>
      </c>
      <c r="BH237" s="39" t="n">
        <f aca="false">IFERROR(IF($C237="","",IF($D237="","",IFERROR(ROUND($D237*INDEX('🔖 배합비 참조'!$B$2:$CE$83,MATCH("연유",'🔖 배합비 참조'!$A$2:$A$83,0),MATCH($C237,'🔖 배합비 참조'!$B$1:$CE$1,0))/100,0),""))),"")</f>
        <v>0</v>
      </c>
      <c r="BI237" s="39" t="n">
        <f aca="false">IFERROR(IF($C237="","",IF($D237="","",IFERROR(ROUND($D237*INDEX('🔖 배합비 참조'!$B$2:$CE$83,MATCH("옥수수전분",'🔖 배합비 참조'!$A$2:$A$83,0),MATCH($C237,'🔖 배합비 참조'!$B$1:$CE$1,0))/100,0),""))),"")</f>
        <v>0</v>
      </c>
      <c r="BJ237" s="39" t="n">
        <f aca="false">IFERROR(IF($C237="","",IF($D237="","",IFERROR(ROUND($D237*INDEX('🔖 배합비 참조'!$B$2:$CE$83,MATCH("완두배기",'🔖 배합비 참조'!$A$2:$A$83,0),MATCH($C237,'🔖 배합비 참조'!$B$1:$CE$1,0))/100,0),""))),"")</f>
        <v>0</v>
      </c>
      <c r="BK237" s="39" t="n">
        <f aca="false">IFERROR(IF($C237="","",IF($D237="","",IFERROR(ROUND($D237*INDEX('🔖 배합비 참조'!$B$2:$CE$83,MATCH("우유(국내산)",'🔖 배합비 참조'!$A$2:$A$83,0),MATCH($C237,'🔖 배합비 참조'!$B$1:$CE$1,0))/100,0),""))),"")</f>
        <v>0</v>
      </c>
      <c r="BL237" s="39" t="n">
        <f aca="false">IFERROR(IF($C237="","",IF($D237="","",IFERROR(ROUND($D237*INDEX('🔖 배합비 참조'!$B$2:$CE$83,MATCH("자색고구마가루(중국산)",'🔖 배합비 참조'!$A$2:$A$83,0),MATCH($C237,'🔖 배합비 참조'!$B$1:$CE$1,0))/100,0),""))),"")</f>
        <v>0</v>
      </c>
      <c r="BM237" s="39" t="n">
        <f aca="false">IFERROR(IF($C237="","",IF($D237="","",IFERROR(ROUND($D237*INDEX('🔖 배합비 참조'!$B$2:$CE$83,MATCH("자연치즈(체다치즈)",'🔖 배합비 참조'!$A$2:$A$83,0),MATCH($C237,'🔖 배합비 참조'!$B$1:$CE$1,0))/100,0),""))),"")</f>
        <v>0</v>
      </c>
      <c r="BN237" s="39" t="n">
        <f aca="false">IFERROR(IF($C237="","",IF($D237="","",IFERROR(ROUND($D237*INDEX('🔖 배합비 참조'!$B$2:$CE$83,MATCH("정제수",'🔖 배합비 참조'!$A$2:$A$83,0),MATCH($C237,'🔖 배합비 참조'!$B$1:$CE$1,0))/100,0),""))),"")</f>
        <v>53</v>
      </c>
      <c r="BO237" s="39" t="n">
        <f aca="false">IFERROR(IF($C237="","",IF($D237="","",IFERROR(ROUND($D237*INDEX('🔖 배합비 참조'!$B$2:$CE$83,MATCH("젤라틴",'🔖 배합비 참조'!$A$2:$A$83,0),MATCH($C237,'🔖 배합비 참조'!$B$1:$CE$1,0))/100,0),""))),"")</f>
        <v>0</v>
      </c>
      <c r="BP237" s="39" t="n">
        <f aca="false">IFERROR(IF($C237="","",IF($D237="","",IFERROR(ROUND($D237*INDEX('🔖 배합비 참조'!$B$2:$CE$83,MATCH("조림류(백옥앙금)",'🔖 배합비 참조'!$A$2:$A$83,0),MATCH($C237,'🔖 배합비 참조'!$B$1:$CE$1,0))/100,0),""))),"")</f>
        <v>0</v>
      </c>
      <c r="BQ237" s="39" t="n">
        <f aca="false">IFERROR(IF($C237="","",IF($D237="","",IFERROR(ROUND($D237*INDEX('🔖 배합비 참조'!$B$2:$CE$83,MATCH("조림류(통팥앙금)",'🔖 배합비 참조'!$A$2:$A$83,0),MATCH($C237,'🔖 배합비 참조'!$B$1:$CE$1,0))/100,0),""))),"")</f>
        <v>0</v>
      </c>
      <c r="BR237" s="39" t="n">
        <f aca="false">IFERROR(IF($C237="","",IF($D237="","",IFERROR(ROUND($D237*INDEX('🔖 배합비 참조'!$B$2:$CE$83,MATCH("준초콜릿(외국산)",'🔖 배합비 참조'!$A$2:$A$83,0),MATCH($C237,'🔖 배합비 참조'!$B$1:$CE$1,0))/100,0),""))),"")</f>
        <v>0</v>
      </c>
      <c r="BS237" s="39" t="n">
        <f aca="false">IFERROR(IF($C237="","",IF($D237="","",IFERROR(ROUND($D237*INDEX('🔖 배합비 참조'!$B$2:$CE$83,MATCH("중력분",'🔖 배합비 참조'!$A$2:$A$83,0),MATCH($C237,'🔖 배합비 참조'!$B$1:$CE$1,0))/100,0),""))),"")</f>
        <v>1</v>
      </c>
      <c r="BT237" s="39" t="n">
        <f aca="false">IFERROR(IF($C237="","",IF($D237="","",IFERROR(ROUND($D237*INDEX('🔖 배합비 참조'!$B$2:$CE$83,MATCH("참깨(인도산,나이지리아산,탄자니아산,미얀마산)",'🔖 배합비 참조'!$A$2:$A$83,0),MATCH($C237,'🔖 배합비 참조'!$B$1:$CE$1,0))/100,0),""))),"")</f>
        <v>0</v>
      </c>
      <c r="BU237" s="39" t="n">
        <f aca="false">IFERROR(IF($C237="","",IF($D237="","",IFERROR(ROUND($D237*INDEX('🔖 배합비 참조'!$B$2:$CE$83,MATCH("찹쌀(국내산)",'🔖 배합비 참조'!$A$2:$A$83,0),MATCH($C237,'🔖 배합비 참조'!$B$1:$CE$1,0))/100,0),""))),"")</f>
        <v>67</v>
      </c>
      <c r="BV237" s="39" t="n">
        <f aca="false">IFERROR(IF($C237="","",IF($D237="","",IFERROR(ROUND($D237*INDEX('🔖 배합비 참조'!$B$2:$CE$83,MATCH("천일염",'🔖 배합비 참조'!$A$2:$A$83,0),MATCH($C237,'🔖 배합비 참조'!$B$1:$CE$1,0))/100,0),""))),"")</f>
        <v>1</v>
      </c>
      <c r="BW237" s="39" t="n">
        <f aca="false">IFERROR(IF($C237="","",IF($D237="","",IFERROR(ROUND($D237*INDEX('🔖 배합비 참조'!$B$2:$CE$83,MATCH("치즈 [크림치즈]",'🔖 배합비 참조'!$A$2:$A$83,0),MATCH($C237,'🔖 배합비 참조'!$B$1:$CE$1,0))/100,0),""))),"")</f>
        <v>0</v>
      </c>
      <c r="BX237" s="39" t="n">
        <f aca="false">IFERROR(IF($C237="","",IF($D237="","",IFERROR(ROUND($D237*INDEX('🔖 배합비 참조'!$B$2:$CE$83,MATCH("코코아가공품류(코코아분말)",'🔖 배합비 참조'!$A$2:$A$83,0),MATCH($C237,'🔖 배합비 참조'!$B$1:$CE$1,0))/100,0),""))),"")</f>
        <v>0</v>
      </c>
      <c r="BY237" s="39" t="n">
        <f aca="false">IFERROR(IF($C237="","",IF($D237="","",IFERROR(ROUND($D237*INDEX('🔖 배합비 참조'!$B$2:$CE$83,MATCH("콩기름(대두유)",'🔖 배합비 참조'!$A$2:$A$83,0),MATCH($C237,'🔖 배합비 참조'!$B$1:$CE$1,0))/100,0),""))),"")</f>
        <v>0</v>
      </c>
      <c r="BZ237" s="39" t="n">
        <f aca="false">IFERROR(IF($C237="","",IF($D237="","",IFERROR(ROUND($D237*INDEX('🔖 배합비 참조'!$B$2:$CE$83,MATCH("해바라기씨앗",'🔖 배합비 참조'!$A$2:$A$83,0),MATCH($C237,'🔖 배합비 참조'!$B$1:$CE$1,0))/100,0),""))),"")</f>
        <v>0</v>
      </c>
      <c r="CA237" s="39" t="n">
        <f aca="false">IFERROR(IF($C237="","",IF($D237="","",IFERROR(ROUND($D237*INDEX('🔖 배합비 참조'!$B$2:$CE$83,MATCH("현미(국내산)",'🔖 배합비 참조'!$A$2:$A$83,0),MATCH($C237,'🔖 배합비 참조'!$B$1:$CE$1,0))/100,0),""))),"")</f>
        <v>0</v>
      </c>
      <c r="CB237" s="39" t="n">
        <f aca="false">IFERROR(IF($C237="","",IF($D237="","",IFERROR(ROUND($D237*INDEX('🔖 배합비 참조'!$B$2:$CE$83,MATCH("현미멥쌀(국내산)",'🔖 배합비 참조'!$A$2:$A$83,0),MATCH($C237,'🔖 배합비 참조'!$B$1:$CE$1,0))/100,0),""))),"")</f>
        <v>0</v>
      </c>
      <c r="CC237" s="39" t="n">
        <f aca="false">IFERROR(IF($C237="","",IF($D237="","",IFERROR(ROUND($D237*INDEX('🔖 배합비 참조'!$B$2:$CE$83,MATCH("호두분태(미국산)",'🔖 배합비 참조'!$A$2:$A$83,0),MATCH($C237,'🔖 배합비 참조'!$B$1:$CE$1,0))/100,0),""))),"")</f>
        <v>0</v>
      </c>
      <c r="CD237" s="39" t="n">
        <f aca="false">IFERROR(IF($C237="","",IF($D237="","",IFERROR(ROUND($D237*INDEX('🔖 배합비 참조'!$B$2:$CE$83,MATCH("호박씨앗(외국산)",'🔖 배합비 참조'!$A$2:$A$83,0),MATCH($C237,'🔖 배합비 참조'!$B$1:$CE$1,0))/100,0),""))),"")</f>
        <v>0</v>
      </c>
      <c r="CE237" s="39" t="n">
        <f aca="false">IFERROR(IF($C237="","",IF($D237="","",IFERROR(ROUND($D237*INDEX('🔖 배합비 참조'!$B$2:$CE$83,MATCH("혼합제제(떡용에스텔)",'🔖 배합비 참조'!$A$2:$A$83,0),MATCH($C237,'🔖 배합비 참조'!$B$1:$CE$1,0))/100,0),""))),"")</f>
        <v>1</v>
      </c>
      <c r="CF237" s="39" t="n">
        <f aca="false">IFERROR(IF($C237="","",IF($D237="","",IFERROR(ROUND($D237*INDEX('🔖 배합비 참조'!$B$2:$CE$83,MATCH("혼합제제(스테비아)",'🔖 배합비 참조'!$A$2:$A$83,0),MATCH($C237,'🔖 배합비 참조'!$B$1:$CE$1,0))/100,0),""))),"")</f>
        <v>0</v>
      </c>
      <c r="CG237" s="39" t="n">
        <f aca="false">IFERROR(IF($C237="","",IF($D237="","",IFERROR(ROUND($D237*INDEX('🔖 배합비 참조'!$B$2:$CE$83,MATCH("화이트초콜릿",'🔖 배합비 참조'!$A$2:$A$83,0),MATCH($C237,'🔖 배합비 참조'!$B$1:$CE$1,0))/100,0),""))),"")</f>
        <v>0</v>
      </c>
      <c r="CH237" s="39" t="n">
        <f aca="false">IFERROR(IF($C237="","",IF($D237="","",IFERROR(ROUND($D237*INDEX('🔖 배합비 참조'!$B$2:$CE$83,MATCH("흑미찹쌀(국내산)",'🔖 배합비 참조'!$A$2:$A$83,0),MATCH($C237,'🔖 배합비 참조'!$B$1:$CE$1,0))/100,0),""))),"")</f>
        <v>0</v>
      </c>
      <c r="CI237" s="39" t="n">
        <f aca="false">IFERROR(IF($C237="","",IF($D237="","",IFERROR(ROUND($D237*INDEX('🔖 배합비 참조'!$B$2:$CE$83,MATCH("찰옥수수전분(미국산)",'🔖 배합비 참조'!$A$2:$A$83,0),MATCH($C237,'🔖 배합비 참조'!$B$1:$CE$1,0))/100,0),""))),"")</f>
        <v>0</v>
      </c>
      <c r="CJ237" s="40"/>
      <c r="CL237" s="1" t="s">
        <v>247</v>
      </c>
    </row>
    <row r="238" customFormat="false" ht="18" hidden="false" customHeight="true" outlineLevel="0" collapsed="false">
      <c r="A238" s="41" t="n">
        <v>234</v>
      </c>
      <c r="B238" s="36" t="n">
        <v>46076</v>
      </c>
      <c r="C238" s="37" t="s">
        <v>155</v>
      </c>
      <c r="D238" s="38" t="n">
        <v>220</v>
      </c>
      <c r="E238" s="17"/>
      <c r="F238" s="17"/>
      <c r="G238" s="42" t="n">
        <f aca="false">IFERROR(IF($C238="","",IF($D238="","",IFERROR(ROUND($D238*INDEX('🔖 배합비 참조'!$B$2:$CE$83,MATCH("간장",'🔖 배합비 참조'!$A$2:$A$83,0),MATCH($C238,'🔖 배합비 참조'!$B$1:$CE$1,0))/100,0),""))),"")</f>
        <v>0</v>
      </c>
      <c r="H238" s="42" t="n">
        <f aca="false">IFERROR(IF($C238="","",IF($D238="","",IFERROR(ROUND($D238*INDEX('🔖 배합비 참조'!$B$2:$CE$83,MATCH("강낭콩((울타리콩))",'🔖 배합비 참조'!$A$2:$A$83,0),MATCH($C238,'🔖 배합비 참조'!$B$1:$CE$1,0))/100,0),""))),"")</f>
        <v>0</v>
      </c>
      <c r="I238" s="42" t="n">
        <f aca="false">IFERROR(IF($C238="","",IF($D238="","",IFERROR(ROUND($D238*INDEX('🔖 배합비 참조'!$B$2:$CE$83,MATCH("건조딸기다이스(외국산)",'🔖 배합비 참조'!$A$2:$A$83,0),MATCH($C238,'🔖 배합비 참조'!$B$1:$CE$1,0))/100,0),""))),"")</f>
        <v>0</v>
      </c>
      <c r="J238" s="42" t="n">
        <f aca="false">IFERROR(IF($C238="","",IF($D238="","",IFERROR(ROUND($D238*INDEX('🔖 배합비 참조'!$B$2:$CE$83,MATCH("건포도",'🔖 배합비 참조'!$A$2:$A$83,0),MATCH($C238,'🔖 배합비 참조'!$B$1:$CE$1,0))/100,0),""))),"")</f>
        <v>0</v>
      </c>
      <c r="K238" s="42" t="n">
        <f aca="false">IFERROR(IF($C238="","",IF($D238="","",IFERROR(ROUND($D238*INDEX('🔖 배합비 참조'!$B$2:$CE$83,MATCH("건호박채(중국산)",'🔖 배합비 참조'!$A$2:$A$83,0),MATCH($C238,'🔖 배합비 참조'!$B$1:$CE$1,0))/100,0),""))),"")</f>
        <v>0</v>
      </c>
      <c r="L238" s="42" t="n">
        <f aca="false">IFERROR(IF($C238="","",IF($D238="","",IFERROR(ROUND($D238*INDEX('🔖 배합비 참조'!$B$2:$CE$83,MATCH("검정깨(흑임자)",'🔖 배합비 참조'!$A$2:$A$83,0),MATCH($C238,'🔖 배합비 참조'!$B$1:$CE$1,0))/100,0),""))),"")</f>
        <v>0</v>
      </c>
      <c r="M238" s="42" t="n">
        <f aca="false">IFERROR(IF($C238="","",IF($D238="","",IFERROR(ROUND($D238*INDEX('🔖 배합비 참조'!$B$2:$CE$83,MATCH("검정콩",'🔖 배합비 참조'!$A$2:$A$83,0),MATCH($C238,'🔖 배합비 참조'!$B$1:$CE$1,0))/100,0),""))),"")</f>
        <v>0</v>
      </c>
      <c r="N238" s="42" t="n">
        <f aca="false">IFERROR(IF($C238="","",IF($D238="","",IFERROR(ROUND($D238*INDEX('🔖 배합비 참조'!$B$2:$CE$83,MATCH("계피가루",'🔖 배합비 참조'!$A$2:$A$83,0),MATCH($C238,'🔖 배합비 참조'!$B$1:$CE$1,0))/100,0),""))),"")</f>
        <v>0</v>
      </c>
      <c r="O238" s="42" t="n">
        <f aca="false">IFERROR(IF($C238="","",IF($D238="","",IFERROR(ROUND($D238*INDEX('🔖 배합비 참조'!$B$2:$CE$83,MATCH("고구마가루",'🔖 배합비 참조'!$A$2:$A$83,0),MATCH($C238,'🔖 배합비 참조'!$B$1:$CE$1,0))/100,0),""))),"")</f>
        <v>0</v>
      </c>
      <c r="P238" s="42" t="n">
        <f aca="false">IFERROR(IF($C238="","",IF($D238="","",IFERROR(ROUND($D238*INDEX('🔖 배합비 참조'!$B$2:$CE$83,MATCH("고구마무스",'🔖 배합비 참조'!$A$2:$A$83,0),MATCH($C238,'🔖 배합비 참조'!$B$1:$CE$1,0))/100,0),""))),"")</f>
        <v>0</v>
      </c>
      <c r="Q238" s="42" t="n">
        <f aca="false">IFERROR(IF($C238="","",IF($D238="","",IFERROR(ROUND($D238*INDEX('🔖 배합비 참조'!$B$2:$CE$83,MATCH("고려엉겅퀴((곤드레)국내산)",'🔖 배합비 참조'!$A$2:$A$83,0),MATCH($C238,'🔖 배합비 참조'!$B$1:$CE$1,0))/100,0),""))),"")</f>
        <v>0</v>
      </c>
      <c r="R238" s="42" t="n">
        <f aca="false">IFERROR(IF($C238="","",IF($D238="","",IFERROR(ROUND($D238*INDEX('🔖 배합비 참조'!$B$2:$CE$83,MATCH("기타가공품(복분자가루)",'🔖 배합비 참조'!$A$2:$A$83,0),MATCH($C238,'🔖 배합비 참조'!$B$1:$CE$1,0))/100,0),""))),"")</f>
        <v>0</v>
      </c>
      <c r="S238" s="42" t="n">
        <f aca="false">IFERROR(IF($C238="","",IF($D238="","",IFERROR(ROUND($D238*INDEX('🔖 배합비 참조'!$B$2:$CE$83,MATCH("기타가공품(슈퍼소프트엠)",'🔖 배합비 참조'!$A$2:$A$83,0),MATCH($C238,'🔖 배합비 참조'!$B$1:$CE$1,0))/100,0),""))),"")</f>
        <v>0</v>
      </c>
      <c r="T238" s="42" t="n">
        <f aca="false">IFERROR(IF($C238="","",IF($D238="","",IFERROR(ROUND($D238*INDEX('🔖 배합비 참조'!$B$2:$CE$83,MATCH("기타가공품(파인소프트 E-티)",'🔖 배합비 참조'!$A$2:$A$83,0),MATCH($C238,'🔖 배합비 참조'!$B$1:$CE$1,0))/100,0),""))),"")</f>
        <v>0</v>
      </c>
      <c r="U238" s="42" t="n">
        <f aca="false">IFERROR(IF($C238="","",IF($D238="","",IFERROR(ROUND($D238*INDEX('🔖 배합비 참조'!$B$2:$CE$83,MATCH("기타가공품(프리미엄카스테라가루)",'🔖 배합비 참조'!$A$2:$A$83,0),MATCH($C238,'🔖 배합비 참조'!$B$1:$CE$1,0))/100,0),""))),"")</f>
        <v>0</v>
      </c>
      <c r="V238" s="42" t="n">
        <f aca="false">IFERROR(IF($C238="","",IF($D238="","",IFERROR(ROUND($D238*INDEX('🔖 배합비 참조'!$B$2:$CE$83,MATCH("기타가공품(흑임자가루)",'🔖 배합비 참조'!$A$2:$A$83,0),MATCH($C238,'🔖 배합비 참조'!$B$1:$CE$1,0))/100,0),""))),"")</f>
        <v>0</v>
      </c>
      <c r="W238" s="42" t="n">
        <f aca="false">IFERROR(IF($C238="","",IF($D238="","",IFERROR(ROUND($D238*INDEX('🔖 배합비 참조'!$B$2:$CE$83,MATCH("기타설탕(흑설탕)",'🔖 배합비 참조'!$A$2:$A$83,0),MATCH($C238,'🔖 배합비 참조'!$B$1:$CE$1,0))/100,0),""))),"")</f>
        <v>0</v>
      </c>
      <c r="X238" s="42" t="n">
        <f aca="false">IFERROR(IF($C238="","",IF($D238="","",IFERROR(ROUND($D238*INDEX('🔖 배합비 참조'!$B$2:$CE$83,MATCH("냉동쑥(국내산)",'🔖 배합비 참조'!$A$2:$A$83,0),MATCH($C238,'🔖 배합비 참조'!$B$1:$CE$1,0))/100,0),""))),"")</f>
        <v>0</v>
      </c>
      <c r="Y238" s="42" t="n">
        <f aca="false">IFERROR(IF($C238="","",IF($D238="","",IFERROR(ROUND($D238*INDEX('🔖 배합비 참조'!$B$2:$CE$83,MATCH("냉동증숙고구마(중국산)",'🔖 배합비 참조'!$A$2:$A$83,0),MATCH($C238,'🔖 배합비 참조'!$B$1:$CE$1,0))/100,0),""))),"")</f>
        <v>0</v>
      </c>
      <c r="Z238" s="42" t="n">
        <f aca="false">IFERROR(IF($C238="","",IF($D238="","",IFERROR(ROUND($D238*INDEX('🔖 배합비 참조'!$B$2:$CE$83,MATCH("녹차가루",'🔖 배합비 참조'!$A$2:$A$83,0),MATCH($C238,'🔖 배합비 참조'!$B$1:$CE$1,0))/100,0),""))),"")</f>
        <v>0</v>
      </c>
      <c r="AA238" s="42" t="n">
        <f aca="false">IFERROR(IF($C238="","",IF($D238="","",IFERROR(ROUND($D238*INDEX('🔖 배합비 참조'!$B$2:$CE$83,MATCH("다크초콜릿 컴파운드칩",'🔖 배합비 참조'!$A$2:$A$83,0),MATCH($C238,'🔖 배합비 참조'!$B$1:$CE$1,0))/100,0),""))),"")</f>
        <v>0</v>
      </c>
      <c r="AB238" s="42" t="n">
        <f aca="false">IFERROR(IF($C238="","",IF($D238="","",IFERROR(ROUND($D238*INDEX('🔖 배합비 참조'!$B$2:$CE$83,MATCH("단호박분말(중국산)",'🔖 배합비 참조'!$A$2:$A$83,0),MATCH($C238,'🔖 배합비 참조'!$B$1:$CE$1,0))/100,0),""))),"")</f>
        <v>0</v>
      </c>
      <c r="AC238" s="42" t="n">
        <f aca="false">IFERROR(IF($C238="","",IF($D238="","",IFERROR(ROUND($D238*INDEX('🔖 배합비 참조'!$B$2:$CE$83,MATCH("당류가공품(단호박농축액)",'🔖 배합비 참조'!$A$2:$A$83,0),MATCH($C238,'🔖 배합비 참조'!$B$1:$CE$1,0))/100,0),""))),"")</f>
        <v>0</v>
      </c>
      <c r="AD238" s="42" t="n">
        <f aca="false">IFERROR(IF($C238="","",IF($D238="","",IFERROR(ROUND($D238*INDEX('🔖 배합비 참조'!$B$2:$CE$83,MATCH("당류가공품(알룰로스,에리스리톨,스테비올배당체혼합)",'🔖 배합비 참조'!$A$2:$A$83,0),MATCH($C238,'🔖 배합비 참조'!$B$1:$CE$1,0))/100,0),""))),"")</f>
        <v>0</v>
      </c>
      <c r="AE238" s="42" t="n">
        <f aca="false">IFERROR(IF($C238="","",IF($D238="","",IFERROR(ROUND($D238*INDEX('🔖 배합비 참조'!$B$2:$CE$83,MATCH("당류가공품(알룰로스제로파우더)",'🔖 배합비 참조'!$A$2:$A$83,0),MATCH($C238,'🔖 배합비 참조'!$B$1:$CE$1,0))/100,0),""))),"")</f>
        <v>0</v>
      </c>
      <c r="AF238" s="42" t="n">
        <f aca="false">IFERROR(IF($C238="","",IF($D238="","",IFERROR(ROUND($D238*INDEX('🔖 배합비 참조'!$B$2:$CE$83,MATCH("당절임(완두배기)",'🔖 배합비 참조'!$A$2:$A$83,0),MATCH($C238,'🔖 배합비 참조'!$B$1:$CE$1,0))/100,0),""))),"")</f>
        <v>0</v>
      </c>
      <c r="AG238" s="42" t="n">
        <f aca="false">IFERROR(IF($C238="","",IF($D238="","",IFERROR(ROUND($D238*INDEX('🔖 배합비 참조'!$B$2:$CE$83,MATCH("대추농축액",'🔖 배합비 참조'!$A$2:$A$83,0),MATCH($C238,'🔖 배합비 참조'!$B$1:$CE$1,0))/100,0),""))),"")</f>
        <v>0</v>
      </c>
      <c r="AH238" s="42" t="n">
        <f aca="false">IFERROR(IF($C238="","",IF($D238="","",IFERROR(ROUND($D238*INDEX('🔖 배합비 참조'!$B$2:$CE$83,MATCH("대추채(국내산)",'🔖 배합비 참조'!$A$2:$A$83,0),MATCH($C238,'🔖 배합비 참조'!$B$1:$CE$1,0))/100,0),""))),"")</f>
        <v>0</v>
      </c>
      <c r="AI238" s="42" t="n">
        <f aca="false">IFERROR(IF($C238="","",IF($D238="","",IFERROR(ROUND($D238*INDEX('🔖 배합비 참조'!$B$2:$CE$83,MATCH("동부(미얀마산)",'🔖 배합비 참조'!$A$2:$A$83,0),MATCH($C238,'🔖 배합비 참조'!$B$1:$CE$1,0))/100,0),""))),"")</f>
        <v>0</v>
      </c>
      <c r="AJ238" s="42" t="n">
        <f aca="false">IFERROR(IF($C238="","",IF($D238="","",IFERROR(ROUND($D238*INDEX('🔖 배합비 참조'!$B$2:$CE$83,MATCH("두류가공품(백옥앙금)",'🔖 배합비 참조'!$A$2:$A$83,0),MATCH($C238,'🔖 배합비 참조'!$B$1:$CE$1,0))/100,0),""))),"")</f>
        <v>0</v>
      </c>
      <c r="AK238" s="42" t="n">
        <f aca="false">IFERROR(IF($C238="","",IF($D238="","",IFERROR(ROUND($D238*INDEX('🔖 배합비 참조'!$B$2:$CE$83,MATCH("두류가공품(콩고물)",'🔖 배합비 참조'!$A$2:$A$83,0),MATCH($C238,'🔖 배합비 참조'!$B$1:$CE$1,0))/100,0),""))),"")</f>
        <v>0</v>
      </c>
      <c r="AL238" s="42" t="n">
        <f aca="false">IFERROR(IF($C238="","",IF($D238="","",IFERROR(ROUND($D238*INDEX('🔖 배합비 참조'!$B$2:$CE$83,MATCH("두류가공품(통팥고물)",'🔖 배합비 참조'!$A$2:$A$83,0),MATCH($C238,'🔖 배합비 참조'!$B$1:$CE$1,0))/100,0),""))),"")</f>
        <v>0</v>
      </c>
      <c r="AM238" s="42" t="n">
        <f aca="false">IFERROR(IF($C238="","",IF($D238="","",IFERROR(ROUND($D238*INDEX('🔖 배합비 참조'!$B$2:$CE$83,MATCH("딸기레진",'🔖 배합비 참조'!$A$2:$A$83,0),MATCH($C238,'🔖 배합비 참조'!$B$1:$CE$1,0))/100,0),""))),"")</f>
        <v>0</v>
      </c>
      <c r="AN238" s="42" t="n">
        <f aca="false">IFERROR(IF($C238="","",IF($D238="","",IFERROR(ROUND($D238*INDEX('🔖 배합비 참조'!$B$2:$CE$83,MATCH("딸기분말(스트로우베리에이드(분말))",'🔖 배합비 참조'!$A$2:$A$83,0),MATCH($C238,'🔖 배합비 참조'!$B$1:$CE$1,0))/100,0),""))),"")</f>
        <v>0</v>
      </c>
      <c r="AO238" s="42" t="n">
        <f aca="false">IFERROR(IF($C238="","",IF($D238="","",IFERROR(ROUND($D238*INDEX('🔖 배합비 참조'!$B$2:$CE$83,MATCH("마스카포네치즈",'🔖 배합비 참조'!$A$2:$A$83,0),MATCH($C238,'🔖 배합비 참조'!$B$1:$CE$1,0))/100,0),""))),"")</f>
        <v>0</v>
      </c>
      <c r="AP238" s="42" t="n">
        <f aca="false">IFERROR(IF($C238="","",IF($D238="","",IFERROR(ROUND($D238*INDEX('🔖 배합비 참조'!$B$2:$CE$83,MATCH("마카다미아분태(호주산)",'🔖 배합비 참조'!$A$2:$A$83,0),MATCH($C238,'🔖 배합비 참조'!$B$1:$CE$1,0))/100,0),""))),"")</f>
        <v>9</v>
      </c>
      <c r="AQ238" s="42" t="n">
        <f aca="false">IFERROR(IF($C238="","",IF($D238="","",IFERROR(ROUND($D238*INDEX('🔖 배합비 참조'!$B$2:$CE$83,MATCH("멥쌀(국내산)",'🔖 배합비 참조'!$A$2:$A$83,0),MATCH($C238,'🔖 배합비 참조'!$B$1:$CE$1,0))/100,0),""))),"")</f>
        <v>0</v>
      </c>
      <c r="AR238" s="42" t="n">
        <f aca="false">IFERROR(IF($C238="","",IF($D238="","",IFERROR(ROUND($D238*INDEX('🔖 배합비 참조'!$B$2:$CE$83,MATCH("모시잎(국내산)",'🔖 배합비 참조'!$A$2:$A$83,0),MATCH($C238,'🔖 배합비 참조'!$B$1:$CE$1,0))/100,0),""))),"")</f>
        <v>0</v>
      </c>
      <c r="AS238" s="42" t="n">
        <f aca="false">IFERROR(IF($C238="","",IF($D238="","",IFERROR(ROUND($D238*INDEX('🔖 배합비 참조'!$B$2:$CE$83,MATCH("물엿(저당물엿)",'🔖 배합비 참조'!$A$2:$A$83,0),MATCH($C238,'🔖 배합비 참조'!$B$1:$CE$1,0))/100,0),""))),"")</f>
        <v>5</v>
      </c>
      <c r="AT238" s="42" t="n">
        <f aca="false">IFERROR(IF($C238="","",IF($D238="","",IFERROR(ROUND($D238*INDEX('🔖 배합비 참조'!$B$2:$CE$83,MATCH("밤다이스",'🔖 배합비 참조'!$A$2:$A$83,0),MATCH($C238,'🔖 배합비 참조'!$B$1:$CE$1,0))/100,0),""))),"")</f>
        <v>2</v>
      </c>
      <c r="AU238" s="42" t="n">
        <f aca="false">IFERROR(IF($C238="","",IF($D238="","",IFERROR(ROUND($D238*INDEX('🔖 배합비 참조'!$B$2:$CE$83,MATCH("변성전분(타피오카전분)",'🔖 배합비 참조'!$A$2:$A$83,0),MATCH($C238,'🔖 배합비 참조'!$B$1:$CE$1,0))/100,0),""))),"")</f>
        <v>0</v>
      </c>
      <c r="AV238" s="42" t="n">
        <f aca="false">IFERROR(IF($C238="","",IF($D238="","",IFERROR(ROUND($D238*INDEX('🔖 배합비 참조'!$B$2:$CE$83,MATCH("복음땅콩분태",'🔖 배합비 참조'!$A$2:$A$83,0),MATCH($C238,'🔖 배합비 참조'!$B$1:$CE$1,0))/100,0),""))),"")</f>
        <v>0</v>
      </c>
      <c r="AW238" s="42" t="n">
        <f aca="false">IFERROR(IF($C238="","",IF($D238="","",IFERROR(ROUND($D238*INDEX('🔖 배합비 참조'!$B$2:$CE$83,MATCH("사양벌꿀(국내산)",'🔖 배합비 참조'!$A$2:$A$83,0),MATCH($C238,'🔖 배합비 참조'!$B$1:$CE$1,0))/100,0),""))),"")</f>
        <v>0</v>
      </c>
      <c r="AX238" s="42" t="n">
        <f aca="false">IFERROR(IF($C238="","",IF($D238="","",IFERROR(ROUND($D238*INDEX('🔖 배합비 참조'!$B$2:$CE$83,MATCH("생크림",'🔖 배합비 참조'!$A$2:$A$83,0),MATCH($C238,'🔖 배합비 참조'!$B$1:$CE$1,0))/100,0),""))),"")</f>
        <v>0</v>
      </c>
      <c r="AY238" s="42" t="n">
        <f aca="false">IFERROR(IF($C238="","",IF($D238="","",IFERROR(ROUND($D238*INDEX('🔖 배합비 참조'!$B$2:$CE$83,MATCH("서양호박(국내산,뉴질랜드산)",'🔖 배합비 참조'!$A$2:$A$83,0),MATCH($C238,'🔖 배합비 참조'!$B$1:$CE$1,0))/100,0),""))),"")</f>
        <v>0</v>
      </c>
      <c r="AZ238" s="42" t="n">
        <f aca="false">IFERROR(IF($C238="","",IF($D238="","",IFERROR(ROUND($D238*INDEX('🔖 배합비 참조'!$B$2:$CE$83,MATCH("설탕",'🔖 배합비 참조'!$A$2:$A$83,0),MATCH($C238,'🔖 배합비 참조'!$B$1:$CE$1,0))/100,0),""))),"")</f>
        <v>5</v>
      </c>
      <c r="BA238" s="42" t="n">
        <f aca="false">IFERROR(IF($C238="","",IF($D238="","",IFERROR(ROUND($D238*INDEX('🔖 배합비 참조'!$B$2:$CE$83,MATCH("스트로우베리 에이드 후레쉬",'🔖 배합비 참조'!$A$2:$A$83,0),MATCH($C238,'🔖 배합비 참조'!$B$1:$CE$1,0))/100,0),""))),"")</f>
        <v>0</v>
      </c>
      <c r="BB238" s="42" t="n">
        <f aca="false">IFERROR(IF($C238="","",IF($D238="","",IFERROR(ROUND($D238*INDEX('🔖 배합비 참조'!$B$2:$CE$83,MATCH("식물성기름혼합제제(분홍)",'🔖 배합비 참조'!$A$2:$A$83,0),MATCH($C238,'🔖 배합비 참조'!$B$1:$CE$1,0))/100,0),""))),"")</f>
        <v>0</v>
      </c>
      <c r="BC238" s="42" t="n">
        <f aca="false">IFERROR(IF($C238="","",IF($D238="","",IFERROR(ROUND($D238*INDEX('🔖 배합비 참조'!$B$2:$CE$83,MATCH("식물성기름혼합제제(초록)",'🔖 배합비 참조'!$A$2:$A$83,0),MATCH($C238,'🔖 배합비 참조'!$B$1:$CE$1,0))/100,0),""))),"")</f>
        <v>0</v>
      </c>
      <c r="BD238" s="42" t="n">
        <f aca="false">IFERROR(IF($C238="","",IF($D238="","",IFERROR(ROUND($D238*INDEX('🔖 배합비 참조'!$B$2:$CE$83,MATCH("식물성기름혼합제제(황색)",'🔖 배합비 참조'!$A$2:$A$83,0),MATCH($C238,'🔖 배합비 참조'!$B$1:$CE$1,0))/100,0),""))),"")</f>
        <v>0</v>
      </c>
      <c r="BE238" s="42" t="n">
        <f aca="false">IFERROR(IF($C238="","",IF($D238="","",IFERROR(ROUND($D238*INDEX('🔖 배합비 참조'!$B$2:$CE$83,MATCH("쑥가루(국내산)",'🔖 배합비 참조'!$A$2:$A$83,0),MATCH($C238,'🔖 배합비 참조'!$B$1:$CE$1,0))/100,0),""))),"")</f>
        <v>0</v>
      </c>
      <c r="BF238" s="42" t="n">
        <f aca="false">IFERROR(IF($C238="","",IF($D238="","",IFERROR(ROUND($D238*INDEX('🔖 배합비 참조'!$B$2:$CE$83,MATCH("아몬드슬라이스",'🔖 배합비 참조'!$A$2:$A$83,0),MATCH($C238,'🔖 배합비 참조'!$B$1:$CE$1,0))/100,0),""))),"")</f>
        <v>0</v>
      </c>
      <c r="BG238" s="42" t="n">
        <f aca="false">IFERROR(IF($C238="","",IF($D238="","",IFERROR(ROUND($D238*INDEX('🔖 배합비 참조'!$B$2:$CE$83,MATCH("알룰로오스(국내산)",'🔖 배합비 참조'!$A$2:$A$83,0),MATCH($C238,'🔖 배합비 참조'!$B$1:$CE$1,0))/100,0),""))),"")</f>
        <v>0</v>
      </c>
      <c r="BH238" s="42" t="n">
        <f aca="false">IFERROR(IF($C238="","",IF($D238="","",IFERROR(ROUND($D238*INDEX('🔖 배합비 참조'!$B$2:$CE$83,MATCH("연유",'🔖 배합비 참조'!$A$2:$A$83,0),MATCH($C238,'🔖 배합비 참조'!$B$1:$CE$1,0))/100,0),""))),"")</f>
        <v>0</v>
      </c>
      <c r="BI238" s="42" t="n">
        <f aca="false">IFERROR(IF($C238="","",IF($D238="","",IFERROR(ROUND($D238*INDEX('🔖 배합비 참조'!$B$2:$CE$83,MATCH("옥수수전분",'🔖 배합비 참조'!$A$2:$A$83,0),MATCH($C238,'🔖 배합비 참조'!$B$1:$CE$1,0))/100,0),""))),"")</f>
        <v>7</v>
      </c>
      <c r="BJ238" s="42" t="n">
        <f aca="false">IFERROR(IF($C238="","",IF($D238="","",IFERROR(ROUND($D238*INDEX('🔖 배합비 참조'!$B$2:$CE$83,MATCH("완두배기",'🔖 배합비 참조'!$A$2:$A$83,0),MATCH($C238,'🔖 배합비 참조'!$B$1:$CE$1,0))/100,0),""))),"")</f>
        <v>0</v>
      </c>
      <c r="BK238" s="42" t="n">
        <f aca="false">IFERROR(IF($C238="","",IF($D238="","",IFERROR(ROUND($D238*INDEX('🔖 배합비 참조'!$B$2:$CE$83,MATCH("우유(국내산)",'🔖 배합비 참조'!$A$2:$A$83,0),MATCH($C238,'🔖 배합비 참조'!$B$1:$CE$1,0))/100,0),""))),"")</f>
        <v>0</v>
      </c>
      <c r="BL238" s="42" t="n">
        <f aca="false">IFERROR(IF($C238="","",IF($D238="","",IFERROR(ROUND($D238*INDEX('🔖 배합비 참조'!$B$2:$CE$83,MATCH("자색고구마가루(중국산)",'🔖 배합비 참조'!$A$2:$A$83,0),MATCH($C238,'🔖 배합비 참조'!$B$1:$CE$1,0))/100,0),""))),"")</f>
        <v>0</v>
      </c>
      <c r="BM238" s="42" t="n">
        <f aca="false">IFERROR(IF($C238="","",IF($D238="","",IFERROR(ROUND($D238*INDEX('🔖 배합비 참조'!$B$2:$CE$83,MATCH("자연치즈(체다치즈)",'🔖 배합비 참조'!$A$2:$A$83,0),MATCH($C238,'🔖 배합비 참조'!$B$1:$CE$1,0))/100,0),""))),"")</f>
        <v>0</v>
      </c>
      <c r="BN238" s="42" t="n">
        <f aca="false">IFERROR(IF($C238="","",IF($D238="","",IFERROR(ROUND($D238*INDEX('🔖 배합비 참조'!$B$2:$CE$83,MATCH("정제수",'🔖 배합비 참조'!$A$2:$A$83,0),MATCH($C238,'🔖 배합비 참조'!$B$1:$CE$1,0))/100,0),""))),"")</f>
        <v>0</v>
      </c>
      <c r="BO238" s="42" t="n">
        <f aca="false">IFERROR(IF($C238="","",IF($D238="","",IFERROR(ROUND($D238*INDEX('🔖 배합비 참조'!$B$2:$CE$83,MATCH("젤라틴",'🔖 배합비 참조'!$A$2:$A$83,0),MATCH($C238,'🔖 배합비 참조'!$B$1:$CE$1,0))/100,0),""))),"")</f>
        <v>0</v>
      </c>
      <c r="BP238" s="42" t="n">
        <f aca="false">IFERROR(IF($C238="","",IF($D238="","",IFERROR(ROUND($D238*INDEX('🔖 배합비 참조'!$B$2:$CE$83,MATCH("조림류(백옥앙금)",'🔖 배합비 참조'!$A$2:$A$83,0),MATCH($C238,'🔖 배합비 참조'!$B$1:$CE$1,0))/100,0),""))),"")</f>
        <v>0</v>
      </c>
      <c r="BQ238" s="42" t="n">
        <f aca="false">IFERROR(IF($C238="","",IF($D238="","",IFERROR(ROUND($D238*INDEX('🔖 배합비 참조'!$B$2:$CE$83,MATCH("조림류(통팥앙금)",'🔖 배합비 참조'!$A$2:$A$83,0),MATCH($C238,'🔖 배합비 참조'!$B$1:$CE$1,0))/100,0),""))),"")</f>
        <v>88</v>
      </c>
      <c r="BR238" s="42" t="n">
        <f aca="false">IFERROR(IF($C238="","",IF($D238="","",IFERROR(ROUND($D238*INDEX('🔖 배합비 참조'!$B$2:$CE$83,MATCH("준초콜릿(외국산)",'🔖 배합비 참조'!$A$2:$A$83,0),MATCH($C238,'🔖 배합비 참조'!$B$1:$CE$1,0))/100,0),""))),"")</f>
        <v>0</v>
      </c>
      <c r="BS238" s="42" t="n">
        <f aca="false">IFERROR(IF($C238="","",IF($D238="","",IFERROR(ROUND($D238*INDEX('🔖 배합비 참조'!$B$2:$CE$83,MATCH("중력분",'🔖 배합비 참조'!$A$2:$A$83,0),MATCH($C238,'🔖 배합비 참조'!$B$1:$CE$1,0))/100,0),""))),"")</f>
        <v>0</v>
      </c>
      <c r="BT238" s="42" t="n">
        <f aca="false">IFERROR(IF($C238="","",IF($D238="","",IFERROR(ROUND($D238*INDEX('🔖 배합비 참조'!$B$2:$CE$83,MATCH("참깨(인도산,나이지리아산,탄자니아산,미얀마산)",'🔖 배합비 참조'!$A$2:$A$83,0),MATCH($C238,'🔖 배합비 참조'!$B$1:$CE$1,0))/100,0),""))),"")</f>
        <v>0</v>
      </c>
      <c r="BU238" s="42" t="n">
        <f aca="false">IFERROR(IF($C238="","",IF($D238="","",IFERROR(ROUND($D238*INDEX('🔖 배합비 참조'!$B$2:$CE$83,MATCH("찹쌀(국내산)",'🔖 배합비 참조'!$A$2:$A$83,0),MATCH($C238,'🔖 배합비 참조'!$B$1:$CE$1,0))/100,0),""))),"")</f>
        <v>95</v>
      </c>
      <c r="BV238" s="42" t="n">
        <f aca="false">IFERROR(IF($C238="","",IF($D238="","",IFERROR(ROUND($D238*INDEX('🔖 배합비 참조'!$B$2:$CE$83,MATCH("천일염",'🔖 배합비 참조'!$A$2:$A$83,0),MATCH($C238,'🔖 배합비 참조'!$B$1:$CE$1,0))/100,0),""))),"")</f>
        <v>2</v>
      </c>
      <c r="BW238" s="42" t="n">
        <f aca="false">IFERROR(IF($C238="","",IF($D238="","",IFERROR(ROUND($D238*INDEX('🔖 배합비 참조'!$B$2:$CE$83,MATCH("치즈 [크림치즈]",'🔖 배합비 참조'!$A$2:$A$83,0),MATCH($C238,'🔖 배합비 참조'!$B$1:$CE$1,0))/100,0),""))),"")</f>
        <v>0</v>
      </c>
      <c r="BX238" s="42" t="n">
        <f aca="false">IFERROR(IF($C238="","",IF($D238="","",IFERROR(ROUND($D238*INDEX('🔖 배합비 참조'!$B$2:$CE$83,MATCH("코코아가공품류(코코아분말)",'🔖 배합비 참조'!$A$2:$A$83,0),MATCH($C238,'🔖 배합비 참조'!$B$1:$CE$1,0))/100,0),""))),"")</f>
        <v>0</v>
      </c>
      <c r="BY238" s="42" t="n">
        <f aca="false">IFERROR(IF($C238="","",IF($D238="","",IFERROR(ROUND($D238*INDEX('🔖 배합비 참조'!$B$2:$CE$83,MATCH("콩기름(대두유)",'🔖 배합비 참조'!$A$2:$A$83,0),MATCH($C238,'🔖 배합비 참조'!$B$1:$CE$1,0))/100,0),""))),"")</f>
        <v>0</v>
      </c>
      <c r="BZ238" s="42" t="n">
        <f aca="false">IFERROR(IF($C238="","",IF($D238="","",IFERROR(ROUND($D238*INDEX('🔖 배합비 참조'!$B$2:$CE$83,MATCH("해바라기씨앗",'🔖 배합비 참조'!$A$2:$A$83,0),MATCH($C238,'🔖 배합비 참조'!$B$1:$CE$1,0))/100,0),""))),"")</f>
        <v>0</v>
      </c>
      <c r="CA238" s="42" t="n">
        <f aca="false">IFERROR(IF($C238="","",IF($D238="","",IFERROR(ROUND($D238*INDEX('🔖 배합비 참조'!$B$2:$CE$83,MATCH("현미(국내산)",'🔖 배합비 참조'!$A$2:$A$83,0),MATCH($C238,'🔖 배합비 참조'!$B$1:$CE$1,0))/100,0),""))),"")</f>
        <v>0</v>
      </c>
      <c r="CB238" s="42" t="n">
        <f aca="false">IFERROR(IF($C238="","",IF($D238="","",IFERROR(ROUND($D238*INDEX('🔖 배합비 참조'!$B$2:$CE$83,MATCH("현미멥쌀(국내산)",'🔖 배합비 참조'!$A$2:$A$83,0),MATCH($C238,'🔖 배합비 참조'!$B$1:$CE$1,0))/100,0),""))),"")</f>
        <v>0</v>
      </c>
      <c r="CC238" s="42" t="n">
        <f aca="false">IFERROR(IF($C238="","",IF($D238="","",IFERROR(ROUND($D238*INDEX('🔖 배합비 참조'!$B$2:$CE$83,MATCH("호두분태(미국산)",'🔖 배합비 참조'!$A$2:$A$83,0),MATCH($C238,'🔖 배합비 참조'!$B$1:$CE$1,0))/100,0),""))),"")</f>
        <v>7</v>
      </c>
      <c r="CD238" s="42" t="n">
        <f aca="false">IFERROR(IF($C238="","",IF($D238="","",IFERROR(ROUND($D238*INDEX('🔖 배합비 참조'!$B$2:$CE$83,MATCH("호박씨앗(외국산)",'🔖 배합비 참조'!$A$2:$A$83,0),MATCH($C238,'🔖 배합비 참조'!$B$1:$CE$1,0))/100,0),""))),"")</f>
        <v>0</v>
      </c>
      <c r="CE238" s="42" t="n">
        <f aca="false">IFERROR(IF($C238="","",IF($D238="","",IFERROR(ROUND($D238*INDEX('🔖 배합비 참조'!$B$2:$CE$83,MATCH("혼합제제(떡용에스텔)",'🔖 배합비 참조'!$A$2:$A$83,0),MATCH($C238,'🔖 배합비 참조'!$B$1:$CE$1,0))/100,0),""))),"")</f>
        <v>1</v>
      </c>
      <c r="CF238" s="42" t="n">
        <f aca="false">IFERROR(IF($C238="","",IF($D238="","",IFERROR(ROUND($D238*INDEX('🔖 배합비 참조'!$B$2:$CE$83,MATCH("혼합제제(스테비아)",'🔖 배합비 참조'!$A$2:$A$83,0),MATCH($C238,'🔖 배합비 참조'!$B$1:$CE$1,0))/100,0),""))),"")</f>
        <v>0</v>
      </c>
      <c r="CG238" s="42" t="n">
        <f aca="false">IFERROR(IF($C238="","",IF($D238="","",IFERROR(ROUND($D238*INDEX('🔖 배합비 참조'!$B$2:$CE$83,MATCH("화이트초콜릿",'🔖 배합비 참조'!$A$2:$A$83,0),MATCH($C238,'🔖 배합비 참조'!$B$1:$CE$1,0))/100,0),""))),"")</f>
        <v>0</v>
      </c>
      <c r="CH238" s="42" t="n">
        <f aca="false">IFERROR(IF($C238="","",IF($D238="","",IFERROR(ROUND($D238*INDEX('🔖 배합비 참조'!$B$2:$CE$83,MATCH("흑미찹쌀(국내산)",'🔖 배합비 참조'!$A$2:$A$83,0),MATCH($C238,'🔖 배합비 참조'!$B$1:$CE$1,0))/100,0),""))),"")</f>
        <v>0</v>
      </c>
      <c r="CI238" s="42" t="n">
        <f aca="false">IFERROR(IF($C238="","",IF($D238="","",IFERROR(ROUND($D238*INDEX('🔖 배합비 참조'!$B$2:$CE$83,MATCH("찰옥수수전분(미국산)",'🔖 배합비 참조'!$A$2:$A$83,0),MATCH($C238,'🔖 배합비 참조'!$B$1:$CE$1,0))/100,0),""))),"")</f>
        <v>0</v>
      </c>
      <c r="CJ238" s="40"/>
      <c r="CL238" s="1" t="s">
        <v>247</v>
      </c>
    </row>
    <row r="239" customFormat="false" ht="18" hidden="false" customHeight="true" outlineLevel="0" collapsed="false">
      <c r="A239" s="35" t="n">
        <v>235</v>
      </c>
      <c r="B239" s="36" t="n">
        <v>46076</v>
      </c>
      <c r="C239" s="37" t="s">
        <v>191</v>
      </c>
      <c r="D239" s="38" t="n">
        <v>1100</v>
      </c>
      <c r="E239" s="13"/>
      <c r="F239" s="13"/>
      <c r="G239" s="39" t="n">
        <f aca="false">IFERROR(IF($C239="","",IF($D239="","",IFERROR(ROUND($D239*INDEX('🔖 배합비 참조'!$B$2:$CE$83,MATCH("간장",'🔖 배합비 참조'!$A$2:$A$83,0),MATCH($C239,'🔖 배합비 참조'!$B$1:$CE$1,0))/100,0),""))),"")</f>
        <v>0</v>
      </c>
      <c r="H239" s="39" t="n">
        <f aca="false">IFERROR(IF($C239="","",IF($D239="","",IFERROR(ROUND($D239*INDEX('🔖 배합비 참조'!$B$2:$CE$83,MATCH("강낭콩((울타리콩))",'🔖 배합비 참조'!$A$2:$A$83,0),MATCH($C239,'🔖 배합비 참조'!$B$1:$CE$1,0))/100,0),""))),"")</f>
        <v>0</v>
      </c>
      <c r="I239" s="39" t="n">
        <f aca="false">IFERROR(IF($C239="","",IF($D239="","",IFERROR(ROUND($D239*INDEX('🔖 배합비 참조'!$B$2:$CE$83,MATCH("건조딸기다이스(외국산)",'🔖 배합비 참조'!$A$2:$A$83,0),MATCH($C239,'🔖 배합비 참조'!$B$1:$CE$1,0))/100,0),""))),"")</f>
        <v>0</v>
      </c>
      <c r="J239" s="39" t="n">
        <f aca="false">IFERROR(IF($C239="","",IF($D239="","",IFERROR(ROUND($D239*INDEX('🔖 배합비 참조'!$B$2:$CE$83,MATCH("건포도",'🔖 배합비 참조'!$A$2:$A$83,0),MATCH($C239,'🔖 배합비 참조'!$B$1:$CE$1,0))/100,0),""))),"")</f>
        <v>0</v>
      </c>
      <c r="K239" s="39" t="n">
        <f aca="false">IFERROR(IF($C239="","",IF($D239="","",IFERROR(ROUND($D239*INDEX('🔖 배합비 참조'!$B$2:$CE$83,MATCH("건호박채(중국산)",'🔖 배합비 참조'!$A$2:$A$83,0),MATCH($C239,'🔖 배합비 참조'!$B$1:$CE$1,0))/100,0),""))),"")</f>
        <v>0</v>
      </c>
      <c r="L239" s="39" t="n">
        <f aca="false">IFERROR(IF($C239="","",IF($D239="","",IFERROR(ROUND($D239*INDEX('🔖 배합비 참조'!$B$2:$CE$83,MATCH("검정깨(흑임자)",'🔖 배합비 참조'!$A$2:$A$83,0),MATCH($C239,'🔖 배합비 참조'!$B$1:$CE$1,0))/100,0),""))),"")</f>
        <v>0</v>
      </c>
      <c r="M239" s="39" t="n">
        <f aca="false">IFERROR(IF($C239="","",IF($D239="","",IFERROR(ROUND($D239*INDEX('🔖 배합비 참조'!$B$2:$CE$83,MATCH("검정콩",'🔖 배합비 참조'!$A$2:$A$83,0),MATCH($C239,'🔖 배합비 참조'!$B$1:$CE$1,0))/100,0),""))),"")</f>
        <v>0</v>
      </c>
      <c r="N239" s="39" t="n">
        <f aca="false">IFERROR(IF($C239="","",IF($D239="","",IFERROR(ROUND($D239*INDEX('🔖 배합비 참조'!$B$2:$CE$83,MATCH("계피가루",'🔖 배합비 참조'!$A$2:$A$83,0),MATCH($C239,'🔖 배합비 참조'!$B$1:$CE$1,0))/100,0),""))),"")</f>
        <v>0</v>
      </c>
      <c r="O239" s="39" t="n">
        <f aca="false">IFERROR(IF($C239="","",IF($D239="","",IFERROR(ROUND($D239*INDEX('🔖 배합비 참조'!$B$2:$CE$83,MATCH("고구마가루",'🔖 배합비 참조'!$A$2:$A$83,0),MATCH($C239,'🔖 배합비 참조'!$B$1:$CE$1,0))/100,0),""))),"")</f>
        <v>0</v>
      </c>
      <c r="P239" s="39" t="n">
        <f aca="false">IFERROR(IF($C239="","",IF($D239="","",IFERROR(ROUND($D239*INDEX('🔖 배합비 참조'!$B$2:$CE$83,MATCH("고구마무스",'🔖 배합비 참조'!$A$2:$A$83,0),MATCH($C239,'🔖 배합비 참조'!$B$1:$CE$1,0))/100,0),""))),"")</f>
        <v>0</v>
      </c>
      <c r="Q239" s="39" t="n">
        <f aca="false">IFERROR(IF($C239="","",IF($D239="","",IFERROR(ROUND($D239*INDEX('🔖 배합비 참조'!$B$2:$CE$83,MATCH("고려엉겅퀴((곤드레)국내산)",'🔖 배합비 참조'!$A$2:$A$83,0),MATCH($C239,'🔖 배합비 참조'!$B$1:$CE$1,0))/100,0),""))),"")</f>
        <v>0</v>
      </c>
      <c r="R239" s="39" t="n">
        <f aca="false">IFERROR(IF($C239="","",IF($D239="","",IFERROR(ROUND($D239*INDEX('🔖 배합비 참조'!$B$2:$CE$83,MATCH("기타가공품(복분자가루)",'🔖 배합비 참조'!$A$2:$A$83,0),MATCH($C239,'🔖 배합비 참조'!$B$1:$CE$1,0))/100,0),""))),"")</f>
        <v>0</v>
      </c>
      <c r="S239" s="39" t="n">
        <f aca="false">IFERROR(IF($C239="","",IF($D239="","",IFERROR(ROUND($D239*INDEX('🔖 배합비 참조'!$B$2:$CE$83,MATCH("기타가공품(슈퍼소프트엠)",'🔖 배합비 참조'!$A$2:$A$83,0),MATCH($C239,'🔖 배합비 참조'!$B$1:$CE$1,0))/100,0),""))),"")</f>
        <v>0</v>
      </c>
      <c r="T239" s="39" t="n">
        <f aca="false">IFERROR(IF($C239="","",IF($D239="","",IFERROR(ROUND($D239*INDEX('🔖 배합비 참조'!$B$2:$CE$83,MATCH("기타가공품(파인소프트 E-티)",'🔖 배합비 참조'!$A$2:$A$83,0),MATCH($C239,'🔖 배합비 참조'!$B$1:$CE$1,0))/100,0),""))),"")</f>
        <v>0</v>
      </c>
      <c r="U239" s="39" t="n">
        <f aca="false">IFERROR(IF($C239="","",IF($D239="","",IFERROR(ROUND($D239*INDEX('🔖 배합비 참조'!$B$2:$CE$83,MATCH("기타가공품(프리미엄카스테라가루)",'🔖 배합비 참조'!$A$2:$A$83,0),MATCH($C239,'🔖 배합비 참조'!$B$1:$CE$1,0))/100,0),""))),"")</f>
        <v>0</v>
      </c>
      <c r="V239" s="39" t="n">
        <f aca="false">IFERROR(IF($C239="","",IF($D239="","",IFERROR(ROUND($D239*INDEX('🔖 배합비 참조'!$B$2:$CE$83,MATCH("기타가공품(흑임자가루)",'🔖 배합비 참조'!$A$2:$A$83,0),MATCH($C239,'🔖 배합비 참조'!$B$1:$CE$1,0))/100,0),""))),"")</f>
        <v>0</v>
      </c>
      <c r="W239" s="39" t="n">
        <f aca="false">IFERROR(IF($C239="","",IF($D239="","",IFERROR(ROUND($D239*INDEX('🔖 배합비 참조'!$B$2:$CE$83,MATCH("기타설탕(흑설탕)",'🔖 배합비 참조'!$A$2:$A$83,0),MATCH($C239,'🔖 배합비 참조'!$B$1:$CE$1,0))/100,0),""))),"")</f>
        <v>0</v>
      </c>
      <c r="X239" s="39" t="n">
        <f aca="false">IFERROR(IF($C239="","",IF($D239="","",IFERROR(ROUND($D239*INDEX('🔖 배합비 참조'!$B$2:$CE$83,MATCH("냉동쑥(국내산)",'🔖 배합비 참조'!$A$2:$A$83,0),MATCH($C239,'🔖 배합비 참조'!$B$1:$CE$1,0))/100,0),""))),"")</f>
        <v>0</v>
      </c>
      <c r="Y239" s="39" t="n">
        <f aca="false">IFERROR(IF($C239="","",IF($D239="","",IFERROR(ROUND($D239*INDEX('🔖 배합비 참조'!$B$2:$CE$83,MATCH("냉동증숙고구마(중국산)",'🔖 배합비 참조'!$A$2:$A$83,0),MATCH($C239,'🔖 배합비 참조'!$B$1:$CE$1,0))/100,0),""))),"")</f>
        <v>0</v>
      </c>
      <c r="Z239" s="39" t="n">
        <f aca="false">IFERROR(IF($C239="","",IF($D239="","",IFERROR(ROUND($D239*INDEX('🔖 배합비 참조'!$B$2:$CE$83,MATCH("녹차가루",'🔖 배합비 참조'!$A$2:$A$83,0),MATCH($C239,'🔖 배합비 참조'!$B$1:$CE$1,0))/100,0),""))),"")</f>
        <v>0</v>
      </c>
      <c r="AA239" s="39" t="n">
        <f aca="false">IFERROR(IF($C239="","",IF($D239="","",IFERROR(ROUND($D239*INDEX('🔖 배합비 참조'!$B$2:$CE$83,MATCH("다크초콜릿 컴파운드칩",'🔖 배합비 참조'!$A$2:$A$83,0),MATCH($C239,'🔖 배합비 참조'!$B$1:$CE$1,0))/100,0),""))),"")</f>
        <v>0</v>
      </c>
      <c r="AB239" s="39" t="n">
        <f aca="false">IFERROR(IF($C239="","",IF($D239="","",IFERROR(ROUND($D239*INDEX('🔖 배합비 참조'!$B$2:$CE$83,MATCH("단호박분말(중국산)",'🔖 배합비 참조'!$A$2:$A$83,0),MATCH($C239,'🔖 배합비 참조'!$B$1:$CE$1,0))/100,0),""))),"")</f>
        <v>0</v>
      </c>
      <c r="AC239" s="39" t="n">
        <f aca="false">IFERROR(IF($C239="","",IF($D239="","",IFERROR(ROUND($D239*INDEX('🔖 배합비 참조'!$B$2:$CE$83,MATCH("당류가공품(단호박농축액)",'🔖 배합비 참조'!$A$2:$A$83,0),MATCH($C239,'🔖 배합비 참조'!$B$1:$CE$1,0))/100,0),""))),"")</f>
        <v>0</v>
      </c>
      <c r="AD239" s="39" t="n">
        <f aca="false">IFERROR(IF($C239="","",IF($D239="","",IFERROR(ROUND($D239*INDEX('🔖 배합비 참조'!$B$2:$CE$83,MATCH("당류가공품(알룰로스,에리스리톨,스테비올배당체혼합)",'🔖 배합비 참조'!$A$2:$A$83,0),MATCH($C239,'🔖 배합비 참조'!$B$1:$CE$1,0))/100,0),""))),"")</f>
        <v>0</v>
      </c>
      <c r="AE239" s="39" t="n">
        <f aca="false">IFERROR(IF($C239="","",IF($D239="","",IFERROR(ROUND($D239*INDEX('🔖 배합비 참조'!$B$2:$CE$83,MATCH("당류가공품(알룰로스제로파우더)",'🔖 배합비 참조'!$A$2:$A$83,0),MATCH($C239,'🔖 배합비 참조'!$B$1:$CE$1,0))/100,0),""))),"")</f>
        <v>0</v>
      </c>
      <c r="AF239" s="39" t="n">
        <f aca="false">IFERROR(IF($C239="","",IF($D239="","",IFERROR(ROUND($D239*INDEX('🔖 배합비 참조'!$B$2:$CE$83,MATCH("당절임(완두배기)",'🔖 배합비 참조'!$A$2:$A$83,0),MATCH($C239,'🔖 배합비 참조'!$B$1:$CE$1,0))/100,0),""))),"")</f>
        <v>0</v>
      </c>
      <c r="AG239" s="39" t="n">
        <f aca="false">IFERROR(IF($C239="","",IF($D239="","",IFERROR(ROUND($D239*INDEX('🔖 배합비 참조'!$B$2:$CE$83,MATCH("대추농축액",'🔖 배합비 참조'!$A$2:$A$83,0),MATCH($C239,'🔖 배합비 참조'!$B$1:$CE$1,0))/100,0),""))),"")</f>
        <v>0</v>
      </c>
      <c r="AH239" s="39" t="n">
        <f aca="false">IFERROR(IF($C239="","",IF($D239="","",IFERROR(ROUND($D239*INDEX('🔖 배합비 참조'!$B$2:$CE$83,MATCH("대추채(국내산)",'🔖 배합비 참조'!$A$2:$A$83,0),MATCH($C239,'🔖 배합비 참조'!$B$1:$CE$1,0))/100,0),""))),"")</f>
        <v>0</v>
      </c>
      <c r="AI239" s="39" t="n">
        <f aca="false">IFERROR(IF($C239="","",IF($D239="","",IFERROR(ROUND($D239*INDEX('🔖 배합비 참조'!$B$2:$CE$83,MATCH("동부(미얀마산)",'🔖 배합비 참조'!$A$2:$A$83,0),MATCH($C239,'🔖 배합비 참조'!$B$1:$CE$1,0))/100,0),""))),"")</f>
        <v>0</v>
      </c>
      <c r="AJ239" s="39" t="n">
        <f aca="false">IFERROR(IF($C239="","",IF($D239="","",IFERROR(ROUND($D239*INDEX('🔖 배합비 참조'!$B$2:$CE$83,MATCH("두류가공품(백옥앙금)",'🔖 배합비 참조'!$A$2:$A$83,0),MATCH($C239,'🔖 배합비 참조'!$B$1:$CE$1,0))/100,0),""))),"")</f>
        <v>0</v>
      </c>
      <c r="AK239" s="39" t="n">
        <f aca="false">IFERROR(IF($C239="","",IF($D239="","",IFERROR(ROUND($D239*INDEX('🔖 배합비 참조'!$B$2:$CE$83,MATCH("두류가공품(콩고물)",'🔖 배합비 참조'!$A$2:$A$83,0),MATCH($C239,'🔖 배합비 참조'!$B$1:$CE$1,0))/100,0),""))),"")</f>
        <v>0</v>
      </c>
      <c r="AL239" s="39" t="n">
        <f aca="false">IFERROR(IF($C239="","",IF($D239="","",IFERROR(ROUND($D239*INDEX('🔖 배합비 참조'!$B$2:$CE$83,MATCH("두류가공품(통팥고물)",'🔖 배합비 참조'!$A$2:$A$83,0),MATCH($C239,'🔖 배합비 참조'!$B$1:$CE$1,0))/100,0),""))),"")</f>
        <v>0</v>
      </c>
      <c r="AM239" s="39" t="n">
        <f aca="false">IFERROR(IF($C239="","",IF($D239="","",IFERROR(ROUND($D239*INDEX('🔖 배합비 참조'!$B$2:$CE$83,MATCH("딸기레진",'🔖 배합비 참조'!$A$2:$A$83,0),MATCH($C239,'🔖 배합비 참조'!$B$1:$CE$1,0))/100,0),""))),"")</f>
        <v>0</v>
      </c>
      <c r="AN239" s="39" t="n">
        <f aca="false">IFERROR(IF($C239="","",IF($D239="","",IFERROR(ROUND($D239*INDEX('🔖 배합비 참조'!$B$2:$CE$83,MATCH("딸기분말(스트로우베리에이드(분말))",'🔖 배합비 참조'!$A$2:$A$83,0),MATCH($C239,'🔖 배합비 참조'!$B$1:$CE$1,0))/100,0),""))),"")</f>
        <v>0</v>
      </c>
      <c r="AO239" s="39" t="n">
        <f aca="false">IFERROR(IF($C239="","",IF($D239="","",IFERROR(ROUND($D239*INDEX('🔖 배합비 참조'!$B$2:$CE$83,MATCH("마스카포네치즈",'🔖 배합비 참조'!$A$2:$A$83,0),MATCH($C239,'🔖 배합비 참조'!$B$1:$CE$1,0))/100,0),""))),"")</f>
        <v>0</v>
      </c>
      <c r="AP239" s="39" t="n">
        <f aca="false">IFERROR(IF($C239="","",IF($D239="","",IFERROR(ROUND($D239*INDEX('🔖 배합비 참조'!$B$2:$CE$83,MATCH("마카다미아분태(호주산)",'🔖 배합비 참조'!$A$2:$A$83,0),MATCH($C239,'🔖 배합비 참조'!$B$1:$CE$1,0))/100,0),""))),"")</f>
        <v>0</v>
      </c>
      <c r="AQ239" s="39" t="n">
        <f aca="false">IFERROR(IF($C239="","",IF($D239="","",IFERROR(ROUND($D239*INDEX('🔖 배합비 참조'!$B$2:$CE$83,MATCH("멥쌀(국내산)",'🔖 배합비 참조'!$A$2:$A$83,0),MATCH($C239,'🔖 배합비 참조'!$B$1:$CE$1,0))/100,0),""))),"")</f>
        <v>22</v>
      </c>
      <c r="AR239" s="39" t="n">
        <f aca="false">IFERROR(IF($C239="","",IF($D239="","",IFERROR(ROUND($D239*INDEX('🔖 배합비 참조'!$B$2:$CE$83,MATCH("모시잎(국내산)",'🔖 배합비 참조'!$A$2:$A$83,0),MATCH($C239,'🔖 배합비 참조'!$B$1:$CE$1,0))/100,0),""))),"")</f>
        <v>0</v>
      </c>
      <c r="AS239" s="39" t="n">
        <f aca="false">IFERROR(IF($C239="","",IF($D239="","",IFERROR(ROUND($D239*INDEX('🔖 배합비 참조'!$B$2:$CE$83,MATCH("물엿(저당물엿)",'🔖 배합비 참조'!$A$2:$A$83,0),MATCH($C239,'🔖 배합비 참조'!$B$1:$CE$1,0))/100,0),""))),"")</f>
        <v>0</v>
      </c>
      <c r="AT239" s="39" t="n">
        <f aca="false">IFERROR(IF($C239="","",IF($D239="","",IFERROR(ROUND($D239*INDEX('🔖 배합비 참조'!$B$2:$CE$83,MATCH("밤다이스",'🔖 배합비 참조'!$A$2:$A$83,0),MATCH($C239,'🔖 배합비 참조'!$B$1:$CE$1,0))/100,0),""))),"")</f>
        <v>0</v>
      </c>
      <c r="AU239" s="39" t="n">
        <f aca="false">IFERROR(IF($C239="","",IF($D239="","",IFERROR(ROUND($D239*INDEX('🔖 배합비 참조'!$B$2:$CE$83,MATCH("변성전분(타피오카전분)",'🔖 배합비 참조'!$A$2:$A$83,0),MATCH($C239,'🔖 배합비 참조'!$B$1:$CE$1,0))/100,0),""))),"")</f>
        <v>0</v>
      </c>
      <c r="AV239" s="39" t="n">
        <f aca="false">IFERROR(IF($C239="","",IF($D239="","",IFERROR(ROUND($D239*INDEX('🔖 배합비 참조'!$B$2:$CE$83,MATCH("복음땅콩분태",'🔖 배합비 참조'!$A$2:$A$83,0),MATCH($C239,'🔖 배합비 참조'!$B$1:$CE$1,0))/100,0),""))),"")</f>
        <v>0</v>
      </c>
      <c r="AW239" s="39" t="n">
        <f aca="false">IFERROR(IF($C239="","",IF($D239="","",IFERROR(ROUND($D239*INDEX('🔖 배합비 참조'!$B$2:$CE$83,MATCH("사양벌꿀(국내산)",'🔖 배합비 참조'!$A$2:$A$83,0),MATCH($C239,'🔖 배합비 참조'!$B$1:$CE$1,0))/100,0),""))),"")</f>
        <v>0</v>
      </c>
      <c r="AX239" s="39" t="n">
        <f aca="false">IFERROR(IF($C239="","",IF($D239="","",IFERROR(ROUND($D239*INDEX('🔖 배합비 참조'!$B$2:$CE$83,MATCH("생크림",'🔖 배합비 참조'!$A$2:$A$83,0),MATCH($C239,'🔖 배합비 참조'!$B$1:$CE$1,0))/100,0),""))),"")</f>
        <v>0</v>
      </c>
      <c r="AY239" s="39" t="n">
        <f aca="false">IFERROR(IF($C239="","",IF($D239="","",IFERROR(ROUND($D239*INDEX('🔖 배합비 참조'!$B$2:$CE$83,MATCH("서양호박(국내산,뉴질랜드산)",'🔖 배합비 참조'!$A$2:$A$83,0),MATCH($C239,'🔖 배합비 참조'!$B$1:$CE$1,0))/100,0),""))),"")</f>
        <v>0</v>
      </c>
      <c r="AZ239" s="39" t="n">
        <f aca="false">IFERROR(IF($C239="","",IF($D239="","",IFERROR(ROUND($D239*INDEX('🔖 배합비 참조'!$B$2:$CE$83,MATCH("설탕",'🔖 배합비 참조'!$A$2:$A$83,0),MATCH($C239,'🔖 배합비 참조'!$B$1:$CE$1,0))/100,0),""))),"")</f>
        <v>209</v>
      </c>
      <c r="BA239" s="39" t="n">
        <f aca="false">IFERROR(IF($C239="","",IF($D239="","",IFERROR(ROUND($D239*INDEX('🔖 배합비 참조'!$B$2:$CE$83,MATCH("스트로우베리 에이드 후레쉬",'🔖 배합비 참조'!$A$2:$A$83,0),MATCH($C239,'🔖 배합비 참조'!$B$1:$CE$1,0))/100,0),""))),"")</f>
        <v>0</v>
      </c>
      <c r="BB239" s="39" t="n">
        <f aca="false">IFERROR(IF($C239="","",IF($D239="","",IFERROR(ROUND($D239*INDEX('🔖 배합비 참조'!$B$2:$CE$83,MATCH("식물성기름혼합제제(분홍)",'🔖 배합비 참조'!$A$2:$A$83,0),MATCH($C239,'🔖 배합비 참조'!$B$1:$CE$1,0))/100,0),""))),"")</f>
        <v>0</v>
      </c>
      <c r="BC239" s="39" t="n">
        <f aca="false">IFERROR(IF($C239="","",IF($D239="","",IFERROR(ROUND($D239*INDEX('🔖 배합비 참조'!$B$2:$CE$83,MATCH("식물성기름혼합제제(초록)",'🔖 배합비 참조'!$A$2:$A$83,0),MATCH($C239,'🔖 배합비 참조'!$B$1:$CE$1,0))/100,0),""))),"")</f>
        <v>0</v>
      </c>
      <c r="BD239" s="39" t="n">
        <f aca="false">IFERROR(IF($C239="","",IF($D239="","",IFERROR(ROUND($D239*INDEX('🔖 배합비 참조'!$B$2:$CE$83,MATCH("식물성기름혼합제제(황색)",'🔖 배합비 참조'!$A$2:$A$83,0),MATCH($C239,'🔖 배합비 참조'!$B$1:$CE$1,0))/100,0),""))),"")</f>
        <v>0</v>
      </c>
      <c r="BE239" s="39" t="n">
        <f aca="false">IFERROR(IF($C239="","",IF($D239="","",IFERROR(ROUND($D239*INDEX('🔖 배합비 참조'!$B$2:$CE$83,MATCH("쑥가루(국내산)",'🔖 배합비 참조'!$A$2:$A$83,0),MATCH($C239,'🔖 배합비 참조'!$B$1:$CE$1,0))/100,0),""))),"")</f>
        <v>0</v>
      </c>
      <c r="BF239" s="39" t="n">
        <f aca="false">IFERROR(IF($C239="","",IF($D239="","",IFERROR(ROUND($D239*INDEX('🔖 배합비 참조'!$B$2:$CE$83,MATCH("아몬드슬라이스",'🔖 배합비 참조'!$A$2:$A$83,0),MATCH($C239,'🔖 배합비 참조'!$B$1:$CE$1,0))/100,0),""))),"")</f>
        <v>0</v>
      </c>
      <c r="BG239" s="39" t="n">
        <f aca="false">IFERROR(IF($C239="","",IF($D239="","",IFERROR(ROUND($D239*INDEX('🔖 배합비 참조'!$B$2:$CE$83,MATCH("알룰로오스(국내산)",'🔖 배합비 참조'!$A$2:$A$83,0),MATCH($C239,'🔖 배합비 참조'!$B$1:$CE$1,0))/100,0),""))),"")</f>
        <v>0</v>
      </c>
      <c r="BH239" s="39" t="n">
        <f aca="false">IFERROR(IF($C239="","",IF($D239="","",IFERROR(ROUND($D239*INDEX('🔖 배합비 참조'!$B$2:$CE$83,MATCH("연유",'🔖 배합비 참조'!$A$2:$A$83,0),MATCH($C239,'🔖 배합비 참조'!$B$1:$CE$1,0))/100,0),""))),"")</f>
        <v>0</v>
      </c>
      <c r="BI239" s="39" t="n">
        <f aca="false">IFERROR(IF($C239="","",IF($D239="","",IFERROR(ROUND($D239*INDEX('🔖 배합비 참조'!$B$2:$CE$83,MATCH("옥수수전분",'🔖 배합비 참조'!$A$2:$A$83,0),MATCH($C239,'🔖 배합비 참조'!$B$1:$CE$1,0))/100,0),""))),"")</f>
        <v>0</v>
      </c>
      <c r="BJ239" s="39" t="n">
        <f aca="false">IFERROR(IF($C239="","",IF($D239="","",IFERROR(ROUND($D239*INDEX('🔖 배합비 참조'!$B$2:$CE$83,MATCH("완두배기",'🔖 배합비 참조'!$A$2:$A$83,0),MATCH($C239,'🔖 배합비 참조'!$B$1:$CE$1,0))/100,0),""))),"")</f>
        <v>0</v>
      </c>
      <c r="BK239" s="39" t="n">
        <f aca="false">IFERROR(IF($C239="","",IF($D239="","",IFERROR(ROUND($D239*INDEX('🔖 배합비 참조'!$B$2:$CE$83,MATCH("우유(국내산)",'🔖 배합비 참조'!$A$2:$A$83,0),MATCH($C239,'🔖 배합비 참조'!$B$1:$CE$1,0))/100,0),""))),"")</f>
        <v>0</v>
      </c>
      <c r="BL239" s="39" t="n">
        <f aca="false">IFERROR(IF($C239="","",IF($D239="","",IFERROR(ROUND($D239*INDEX('🔖 배합비 참조'!$B$2:$CE$83,MATCH("자색고구마가루(중국산)",'🔖 배합비 참조'!$A$2:$A$83,0),MATCH($C239,'🔖 배합비 참조'!$B$1:$CE$1,0))/100,0),""))),"")</f>
        <v>0</v>
      </c>
      <c r="BM239" s="39" t="n">
        <f aca="false">IFERROR(IF($C239="","",IF($D239="","",IFERROR(ROUND($D239*INDEX('🔖 배합비 참조'!$B$2:$CE$83,MATCH("자연치즈(체다치즈)",'🔖 배합비 참조'!$A$2:$A$83,0),MATCH($C239,'🔖 배합비 참조'!$B$1:$CE$1,0))/100,0),""))),"")</f>
        <v>0</v>
      </c>
      <c r="BN239" s="39" t="n">
        <f aca="false">IFERROR(IF($C239="","",IF($D239="","",IFERROR(ROUND($D239*INDEX('🔖 배합비 참조'!$B$2:$CE$83,MATCH("정제수",'🔖 배합비 참조'!$A$2:$A$83,0),MATCH($C239,'🔖 배합비 참조'!$B$1:$CE$1,0))/100,0),""))),"")</f>
        <v>33</v>
      </c>
      <c r="BO239" s="39" t="n">
        <f aca="false">IFERROR(IF($C239="","",IF($D239="","",IFERROR(ROUND($D239*INDEX('🔖 배합비 참조'!$B$2:$CE$83,MATCH("젤라틴",'🔖 배합비 참조'!$A$2:$A$83,0),MATCH($C239,'🔖 배합비 참조'!$B$1:$CE$1,0))/100,0),""))),"")</f>
        <v>0</v>
      </c>
      <c r="BP239" s="39" t="n">
        <f aca="false">IFERROR(IF($C239="","",IF($D239="","",IFERROR(ROUND($D239*INDEX('🔖 배합비 참조'!$B$2:$CE$83,MATCH("조림류(백옥앙금)",'🔖 배합비 참조'!$A$2:$A$83,0),MATCH($C239,'🔖 배합비 참조'!$B$1:$CE$1,0))/100,0),""))),"")</f>
        <v>0</v>
      </c>
      <c r="BQ239" s="39" t="n">
        <f aca="false">IFERROR(IF($C239="","",IF($D239="","",IFERROR(ROUND($D239*INDEX('🔖 배합비 참조'!$B$2:$CE$83,MATCH("조림류(통팥앙금)",'🔖 배합비 참조'!$A$2:$A$83,0),MATCH($C239,'🔖 배합비 참조'!$B$1:$CE$1,0))/100,0),""))),"")</f>
        <v>198</v>
      </c>
      <c r="BR239" s="39" t="n">
        <f aca="false">IFERROR(IF($C239="","",IF($D239="","",IFERROR(ROUND($D239*INDEX('🔖 배합비 참조'!$B$2:$CE$83,MATCH("준초콜릿(외국산)",'🔖 배합비 참조'!$A$2:$A$83,0),MATCH($C239,'🔖 배합비 참조'!$B$1:$CE$1,0))/100,0),""))),"")</f>
        <v>0</v>
      </c>
      <c r="BS239" s="39" t="n">
        <f aca="false">IFERROR(IF($C239="","",IF($D239="","",IFERROR(ROUND($D239*INDEX('🔖 배합비 참조'!$B$2:$CE$83,MATCH("중력분",'🔖 배합비 참조'!$A$2:$A$83,0),MATCH($C239,'🔖 배합비 참조'!$B$1:$CE$1,0))/100,0),""))),"")</f>
        <v>22</v>
      </c>
      <c r="BT239" s="39" t="n">
        <f aca="false">IFERROR(IF($C239="","",IF($D239="","",IFERROR(ROUND($D239*INDEX('🔖 배합비 참조'!$B$2:$CE$83,MATCH("참깨(인도산,나이지리아산,탄자니아산,미얀마산)",'🔖 배합비 참조'!$A$2:$A$83,0),MATCH($C239,'🔖 배합비 참조'!$B$1:$CE$1,0))/100,0),""))),"")</f>
        <v>0</v>
      </c>
      <c r="BU239" s="39" t="n">
        <f aca="false">IFERROR(IF($C239="","",IF($D239="","",IFERROR(ROUND($D239*INDEX('🔖 배합비 참조'!$B$2:$CE$83,MATCH("찹쌀(국내산)",'🔖 배합비 참조'!$A$2:$A$83,0),MATCH($C239,'🔖 배합비 참조'!$B$1:$CE$1,0))/100,0),""))),"")</f>
        <v>473</v>
      </c>
      <c r="BV239" s="39" t="n">
        <f aca="false">IFERROR(IF($C239="","",IF($D239="","",IFERROR(ROUND($D239*INDEX('🔖 배합비 참조'!$B$2:$CE$83,MATCH("천일염",'🔖 배합비 참조'!$A$2:$A$83,0),MATCH($C239,'🔖 배합비 참조'!$B$1:$CE$1,0))/100,0),""))),"")</f>
        <v>22</v>
      </c>
      <c r="BW239" s="39" t="n">
        <f aca="false">IFERROR(IF($C239="","",IF($D239="","",IFERROR(ROUND($D239*INDEX('🔖 배합비 참조'!$B$2:$CE$83,MATCH("치즈 [크림치즈]",'🔖 배합비 참조'!$A$2:$A$83,0),MATCH($C239,'🔖 배합비 참조'!$B$1:$CE$1,0))/100,0),""))),"")</f>
        <v>0</v>
      </c>
      <c r="BX239" s="39" t="n">
        <f aca="false">IFERROR(IF($C239="","",IF($D239="","",IFERROR(ROUND($D239*INDEX('🔖 배합비 참조'!$B$2:$CE$83,MATCH("코코아가공품류(코코아분말)",'🔖 배합비 참조'!$A$2:$A$83,0),MATCH($C239,'🔖 배합비 참조'!$B$1:$CE$1,0))/100,0),""))),"")</f>
        <v>0</v>
      </c>
      <c r="BY239" s="39" t="n">
        <f aca="false">IFERROR(IF($C239="","",IF($D239="","",IFERROR(ROUND($D239*INDEX('🔖 배합비 참조'!$B$2:$CE$83,MATCH("콩기름(대두유)",'🔖 배합비 참조'!$A$2:$A$83,0),MATCH($C239,'🔖 배합비 참조'!$B$1:$CE$1,0))/100,0),""))),"")</f>
        <v>0</v>
      </c>
      <c r="BZ239" s="39" t="n">
        <f aca="false">IFERROR(IF($C239="","",IF($D239="","",IFERROR(ROUND($D239*INDEX('🔖 배합비 참조'!$B$2:$CE$83,MATCH("해바라기씨앗",'🔖 배합비 참조'!$A$2:$A$83,0),MATCH($C239,'🔖 배합비 참조'!$B$1:$CE$1,0))/100,0),""))),"")</f>
        <v>0</v>
      </c>
      <c r="CA239" s="39" t="n">
        <f aca="false">IFERROR(IF($C239="","",IF($D239="","",IFERROR(ROUND($D239*INDEX('🔖 배합비 참조'!$B$2:$CE$83,MATCH("현미(국내산)",'🔖 배합비 참조'!$A$2:$A$83,0),MATCH($C239,'🔖 배합비 참조'!$B$1:$CE$1,0))/100,0),""))),"")</f>
        <v>0</v>
      </c>
      <c r="CB239" s="39" t="n">
        <f aca="false">IFERROR(IF($C239="","",IF($D239="","",IFERROR(ROUND($D239*INDEX('🔖 배합비 참조'!$B$2:$CE$83,MATCH("현미멥쌀(국내산)",'🔖 배합비 참조'!$A$2:$A$83,0),MATCH($C239,'🔖 배합비 참조'!$B$1:$CE$1,0))/100,0),""))),"")</f>
        <v>0</v>
      </c>
      <c r="CC239" s="39" t="n">
        <f aca="false">IFERROR(IF($C239="","",IF($D239="","",IFERROR(ROUND($D239*INDEX('🔖 배합비 참조'!$B$2:$CE$83,MATCH("호두분태(미국산)",'🔖 배합비 참조'!$A$2:$A$83,0),MATCH($C239,'🔖 배합비 참조'!$B$1:$CE$1,0))/100,0),""))),"")</f>
        <v>0</v>
      </c>
      <c r="CD239" s="39" t="n">
        <f aca="false">IFERROR(IF($C239="","",IF($D239="","",IFERROR(ROUND($D239*INDEX('🔖 배합비 참조'!$B$2:$CE$83,MATCH("호박씨앗(외국산)",'🔖 배합비 참조'!$A$2:$A$83,0),MATCH($C239,'🔖 배합비 참조'!$B$1:$CE$1,0))/100,0),""))),"")</f>
        <v>0</v>
      </c>
      <c r="CE239" s="39" t="n">
        <f aca="false">IFERROR(IF($C239="","",IF($D239="","",IFERROR(ROUND($D239*INDEX('🔖 배합비 참조'!$B$2:$CE$83,MATCH("혼합제제(떡용에스텔)",'🔖 배합비 참조'!$A$2:$A$83,0),MATCH($C239,'🔖 배합비 참조'!$B$1:$CE$1,0))/100,0),""))),"")</f>
        <v>22</v>
      </c>
      <c r="CF239" s="39" t="n">
        <f aca="false">IFERROR(IF($C239="","",IF($D239="","",IFERROR(ROUND($D239*INDEX('🔖 배합비 참조'!$B$2:$CE$83,MATCH("혼합제제(스테비아)",'🔖 배합비 참조'!$A$2:$A$83,0),MATCH($C239,'🔖 배합비 참조'!$B$1:$CE$1,0))/100,0),""))),"")</f>
        <v>0</v>
      </c>
      <c r="CG239" s="39" t="n">
        <f aca="false">IFERROR(IF($C239="","",IF($D239="","",IFERROR(ROUND($D239*INDEX('🔖 배합비 참조'!$B$2:$CE$83,MATCH("화이트초콜릿",'🔖 배합비 참조'!$A$2:$A$83,0),MATCH($C239,'🔖 배합비 참조'!$B$1:$CE$1,0))/100,0),""))),"")</f>
        <v>0</v>
      </c>
      <c r="CH239" s="39" t="n">
        <f aca="false">IFERROR(IF($C239="","",IF($D239="","",IFERROR(ROUND($D239*INDEX('🔖 배합비 참조'!$B$2:$CE$83,MATCH("흑미찹쌀(국내산)",'🔖 배합비 참조'!$A$2:$A$83,0),MATCH($C239,'🔖 배합비 참조'!$B$1:$CE$1,0))/100,0),""))),"")</f>
        <v>0</v>
      </c>
      <c r="CI239" s="39" t="n">
        <f aca="false">IFERROR(IF($C239="","",IF($D239="","",IFERROR(ROUND($D239*INDEX('🔖 배합비 참조'!$B$2:$CE$83,MATCH("찰옥수수전분(미국산)",'🔖 배합비 참조'!$A$2:$A$83,0),MATCH($C239,'🔖 배합비 참조'!$B$1:$CE$1,0))/100,0),""))),"")</f>
        <v>99</v>
      </c>
      <c r="CJ239" s="40"/>
      <c r="CL239" s="1" t="s">
        <v>247</v>
      </c>
    </row>
    <row r="240" customFormat="false" ht="18" hidden="false" customHeight="true" outlineLevel="0" collapsed="false">
      <c r="A240" s="41" t="n">
        <v>236</v>
      </c>
      <c r="B240" s="36" t="n">
        <v>46077</v>
      </c>
      <c r="C240" s="37" t="s">
        <v>191</v>
      </c>
      <c r="D240" s="38" t="n">
        <v>1100</v>
      </c>
      <c r="E240" s="17"/>
      <c r="F240" s="17"/>
      <c r="G240" s="42" t="n">
        <f aca="false">IFERROR(IF($C240="","",IF($D240="","",IFERROR(ROUND($D240*INDEX('🔖 배합비 참조'!$B$2:$CE$83,MATCH("간장",'🔖 배합비 참조'!$A$2:$A$83,0),MATCH($C240,'🔖 배합비 참조'!$B$1:$CE$1,0))/100,0),""))),"")</f>
        <v>0</v>
      </c>
      <c r="H240" s="42" t="n">
        <f aca="false">IFERROR(IF($C240="","",IF($D240="","",IFERROR(ROUND($D240*INDEX('🔖 배합비 참조'!$B$2:$CE$83,MATCH("강낭콩((울타리콩))",'🔖 배합비 참조'!$A$2:$A$83,0),MATCH($C240,'🔖 배합비 참조'!$B$1:$CE$1,0))/100,0),""))),"")</f>
        <v>0</v>
      </c>
      <c r="I240" s="42" t="n">
        <f aca="false">IFERROR(IF($C240="","",IF($D240="","",IFERROR(ROUND($D240*INDEX('🔖 배합비 참조'!$B$2:$CE$83,MATCH("건조딸기다이스(외국산)",'🔖 배합비 참조'!$A$2:$A$83,0),MATCH($C240,'🔖 배합비 참조'!$B$1:$CE$1,0))/100,0),""))),"")</f>
        <v>0</v>
      </c>
      <c r="J240" s="42" t="n">
        <f aca="false">IFERROR(IF($C240="","",IF($D240="","",IFERROR(ROUND($D240*INDEX('🔖 배합비 참조'!$B$2:$CE$83,MATCH("건포도",'🔖 배합비 참조'!$A$2:$A$83,0),MATCH($C240,'🔖 배합비 참조'!$B$1:$CE$1,0))/100,0),""))),"")</f>
        <v>0</v>
      </c>
      <c r="K240" s="42" t="n">
        <f aca="false">IFERROR(IF($C240="","",IF($D240="","",IFERROR(ROUND($D240*INDEX('🔖 배합비 참조'!$B$2:$CE$83,MATCH("건호박채(중국산)",'🔖 배합비 참조'!$A$2:$A$83,0),MATCH($C240,'🔖 배합비 참조'!$B$1:$CE$1,0))/100,0),""))),"")</f>
        <v>0</v>
      </c>
      <c r="L240" s="42" t="n">
        <f aca="false">IFERROR(IF($C240="","",IF($D240="","",IFERROR(ROUND($D240*INDEX('🔖 배합비 참조'!$B$2:$CE$83,MATCH("검정깨(흑임자)",'🔖 배합비 참조'!$A$2:$A$83,0),MATCH($C240,'🔖 배합비 참조'!$B$1:$CE$1,0))/100,0),""))),"")</f>
        <v>0</v>
      </c>
      <c r="M240" s="42" t="n">
        <f aca="false">IFERROR(IF($C240="","",IF($D240="","",IFERROR(ROUND($D240*INDEX('🔖 배합비 참조'!$B$2:$CE$83,MATCH("검정콩",'🔖 배합비 참조'!$A$2:$A$83,0),MATCH($C240,'🔖 배합비 참조'!$B$1:$CE$1,0))/100,0),""))),"")</f>
        <v>0</v>
      </c>
      <c r="N240" s="42" t="n">
        <f aca="false">IFERROR(IF($C240="","",IF($D240="","",IFERROR(ROUND($D240*INDEX('🔖 배합비 참조'!$B$2:$CE$83,MATCH("계피가루",'🔖 배합비 참조'!$A$2:$A$83,0),MATCH($C240,'🔖 배합비 참조'!$B$1:$CE$1,0))/100,0),""))),"")</f>
        <v>0</v>
      </c>
      <c r="O240" s="42" t="n">
        <f aca="false">IFERROR(IF($C240="","",IF($D240="","",IFERROR(ROUND($D240*INDEX('🔖 배합비 참조'!$B$2:$CE$83,MATCH("고구마가루",'🔖 배합비 참조'!$A$2:$A$83,0),MATCH($C240,'🔖 배합비 참조'!$B$1:$CE$1,0))/100,0),""))),"")</f>
        <v>0</v>
      </c>
      <c r="P240" s="42" t="n">
        <f aca="false">IFERROR(IF($C240="","",IF($D240="","",IFERROR(ROUND($D240*INDEX('🔖 배합비 참조'!$B$2:$CE$83,MATCH("고구마무스",'🔖 배합비 참조'!$A$2:$A$83,0),MATCH($C240,'🔖 배합비 참조'!$B$1:$CE$1,0))/100,0),""))),"")</f>
        <v>0</v>
      </c>
      <c r="Q240" s="42" t="n">
        <f aca="false">IFERROR(IF($C240="","",IF($D240="","",IFERROR(ROUND($D240*INDEX('🔖 배합비 참조'!$B$2:$CE$83,MATCH("고려엉겅퀴((곤드레)국내산)",'🔖 배합비 참조'!$A$2:$A$83,0),MATCH($C240,'🔖 배합비 참조'!$B$1:$CE$1,0))/100,0),""))),"")</f>
        <v>0</v>
      </c>
      <c r="R240" s="42" t="n">
        <f aca="false">IFERROR(IF($C240="","",IF($D240="","",IFERROR(ROUND($D240*INDEX('🔖 배합비 참조'!$B$2:$CE$83,MATCH("기타가공품(복분자가루)",'🔖 배합비 참조'!$A$2:$A$83,0),MATCH($C240,'🔖 배합비 참조'!$B$1:$CE$1,0))/100,0),""))),"")</f>
        <v>0</v>
      </c>
      <c r="S240" s="42" t="n">
        <f aca="false">IFERROR(IF($C240="","",IF($D240="","",IFERROR(ROUND($D240*INDEX('🔖 배합비 참조'!$B$2:$CE$83,MATCH("기타가공품(슈퍼소프트엠)",'🔖 배합비 참조'!$A$2:$A$83,0),MATCH($C240,'🔖 배합비 참조'!$B$1:$CE$1,0))/100,0),""))),"")</f>
        <v>0</v>
      </c>
      <c r="T240" s="42" t="n">
        <f aca="false">IFERROR(IF($C240="","",IF($D240="","",IFERROR(ROUND($D240*INDEX('🔖 배합비 참조'!$B$2:$CE$83,MATCH("기타가공품(파인소프트 E-티)",'🔖 배합비 참조'!$A$2:$A$83,0),MATCH($C240,'🔖 배합비 참조'!$B$1:$CE$1,0))/100,0),""))),"")</f>
        <v>0</v>
      </c>
      <c r="U240" s="42" t="n">
        <f aca="false">IFERROR(IF($C240="","",IF($D240="","",IFERROR(ROUND($D240*INDEX('🔖 배합비 참조'!$B$2:$CE$83,MATCH("기타가공품(프리미엄카스테라가루)",'🔖 배합비 참조'!$A$2:$A$83,0),MATCH($C240,'🔖 배합비 참조'!$B$1:$CE$1,0))/100,0),""))),"")</f>
        <v>0</v>
      </c>
      <c r="V240" s="42" t="n">
        <f aca="false">IFERROR(IF($C240="","",IF($D240="","",IFERROR(ROUND($D240*INDEX('🔖 배합비 참조'!$B$2:$CE$83,MATCH("기타가공품(흑임자가루)",'🔖 배합비 참조'!$A$2:$A$83,0),MATCH($C240,'🔖 배합비 참조'!$B$1:$CE$1,0))/100,0),""))),"")</f>
        <v>0</v>
      </c>
      <c r="W240" s="42" t="n">
        <f aca="false">IFERROR(IF($C240="","",IF($D240="","",IFERROR(ROUND($D240*INDEX('🔖 배합비 참조'!$B$2:$CE$83,MATCH("기타설탕(흑설탕)",'🔖 배합비 참조'!$A$2:$A$83,0),MATCH($C240,'🔖 배합비 참조'!$B$1:$CE$1,0))/100,0),""))),"")</f>
        <v>0</v>
      </c>
      <c r="X240" s="42" t="n">
        <f aca="false">IFERROR(IF($C240="","",IF($D240="","",IFERROR(ROUND($D240*INDEX('🔖 배합비 참조'!$B$2:$CE$83,MATCH("냉동쑥(국내산)",'🔖 배합비 참조'!$A$2:$A$83,0),MATCH($C240,'🔖 배합비 참조'!$B$1:$CE$1,0))/100,0),""))),"")</f>
        <v>0</v>
      </c>
      <c r="Y240" s="42" t="n">
        <f aca="false">IFERROR(IF($C240="","",IF($D240="","",IFERROR(ROUND($D240*INDEX('🔖 배합비 참조'!$B$2:$CE$83,MATCH("냉동증숙고구마(중국산)",'🔖 배합비 참조'!$A$2:$A$83,0),MATCH($C240,'🔖 배합비 참조'!$B$1:$CE$1,0))/100,0),""))),"")</f>
        <v>0</v>
      </c>
      <c r="Z240" s="42" t="n">
        <f aca="false">IFERROR(IF($C240="","",IF($D240="","",IFERROR(ROUND($D240*INDEX('🔖 배합비 참조'!$B$2:$CE$83,MATCH("녹차가루",'🔖 배합비 참조'!$A$2:$A$83,0),MATCH($C240,'🔖 배합비 참조'!$B$1:$CE$1,0))/100,0),""))),"")</f>
        <v>0</v>
      </c>
      <c r="AA240" s="42" t="n">
        <f aca="false">IFERROR(IF($C240="","",IF($D240="","",IFERROR(ROUND($D240*INDEX('🔖 배합비 참조'!$B$2:$CE$83,MATCH("다크초콜릿 컴파운드칩",'🔖 배합비 참조'!$A$2:$A$83,0),MATCH($C240,'🔖 배합비 참조'!$B$1:$CE$1,0))/100,0),""))),"")</f>
        <v>0</v>
      </c>
      <c r="AB240" s="42" t="n">
        <f aca="false">IFERROR(IF($C240="","",IF($D240="","",IFERROR(ROUND($D240*INDEX('🔖 배합비 참조'!$B$2:$CE$83,MATCH("단호박분말(중국산)",'🔖 배합비 참조'!$A$2:$A$83,0),MATCH($C240,'🔖 배합비 참조'!$B$1:$CE$1,0))/100,0),""))),"")</f>
        <v>0</v>
      </c>
      <c r="AC240" s="42" t="n">
        <f aca="false">IFERROR(IF($C240="","",IF($D240="","",IFERROR(ROUND($D240*INDEX('🔖 배합비 참조'!$B$2:$CE$83,MATCH("당류가공품(단호박농축액)",'🔖 배합비 참조'!$A$2:$A$83,0),MATCH($C240,'🔖 배합비 참조'!$B$1:$CE$1,0))/100,0),""))),"")</f>
        <v>0</v>
      </c>
      <c r="AD240" s="42" t="n">
        <f aca="false">IFERROR(IF($C240="","",IF($D240="","",IFERROR(ROUND($D240*INDEX('🔖 배합비 참조'!$B$2:$CE$83,MATCH("당류가공품(알룰로스,에리스리톨,스테비올배당체혼합)",'🔖 배합비 참조'!$A$2:$A$83,0),MATCH($C240,'🔖 배합비 참조'!$B$1:$CE$1,0))/100,0),""))),"")</f>
        <v>0</v>
      </c>
      <c r="AE240" s="42" t="n">
        <f aca="false">IFERROR(IF($C240="","",IF($D240="","",IFERROR(ROUND($D240*INDEX('🔖 배합비 참조'!$B$2:$CE$83,MATCH("당류가공품(알룰로스제로파우더)",'🔖 배합비 참조'!$A$2:$A$83,0),MATCH($C240,'🔖 배합비 참조'!$B$1:$CE$1,0))/100,0),""))),"")</f>
        <v>0</v>
      </c>
      <c r="AF240" s="42" t="n">
        <f aca="false">IFERROR(IF($C240="","",IF($D240="","",IFERROR(ROUND($D240*INDEX('🔖 배합비 참조'!$B$2:$CE$83,MATCH("당절임(완두배기)",'🔖 배합비 참조'!$A$2:$A$83,0),MATCH($C240,'🔖 배합비 참조'!$B$1:$CE$1,0))/100,0),""))),"")</f>
        <v>0</v>
      </c>
      <c r="AG240" s="42" t="n">
        <f aca="false">IFERROR(IF($C240="","",IF($D240="","",IFERROR(ROUND($D240*INDEX('🔖 배합비 참조'!$B$2:$CE$83,MATCH("대추농축액",'🔖 배합비 참조'!$A$2:$A$83,0),MATCH($C240,'🔖 배합비 참조'!$B$1:$CE$1,0))/100,0),""))),"")</f>
        <v>0</v>
      </c>
      <c r="AH240" s="42" t="n">
        <f aca="false">IFERROR(IF($C240="","",IF($D240="","",IFERROR(ROUND($D240*INDEX('🔖 배합비 참조'!$B$2:$CE$83,MATCH("대추채(국내산)",'🔖 배합비 참조'!$A$2:$A$83,0),MATCH($C240,'🔖 배합비 참조'!$B$1:$CE$1,0))/100,0),""))),"")</f>
        <v>0</v>
      </c>
      <c r="AI240" s="42" t="n">
        <f aca="false">IFERROR(IF($C240="","",IF($D240="","",IFERROR(ROUND($D240*INDEX('🔖 배합비 참조'!$B$2:$CE$83,MATCH("동부(미얀마산)",'🔖 배합비 참조'!$A$2:$A$83,0),MATCH($C240,'🔖 배합비 참조'!$B$1:$CE$1,0))/100,0),""))),"")</f>
        <v>0</v>
      </c>
      <c r="AJ240" s="42" t="n">
        <f aca="false">IFERROR(IF($C240="","",IF($D240="","",IFERROR(ROUND($D240*INDEX('🔖 배합비 참조'!$B$2:$CE$83,MATCH("두류가공품(백옥앙금)",'🔖 배합비 참조'!$A$2:$A$83,0),MATCH($C240,'🔖 배합비 참조'!$B$1:$CE$1,0))/100,0),""))),"")</f>
        <v>0</v>
      </c>
      <c r="AK240" s="42" t="n">
        <f aca="false">IFERROR(IF($C240="","",IF($D240="","",IFERROR(ROUND($D240*INDEX('🔖 배합비 참조'!$B$2:$CE$83,MATCH("두류가공품(콩고물)",'🔖 배합비 참조'!$A$2:$A$83,0),MATCH($C240,'🔖 배합비 참조'!$B$1:$CE$1,0))/100,0),""))),"")</f>
        <v>0</v>
      </c>
      <c r="AL240" s="42" t="n">
        <f aca="false">IFERROR(IF($C240="","",IF($D240="","",IFERROR(ROUND($D240*INDEX('🔖 배합비 참조'!$B$2:$CE$83,MATCH("두류가공품(통팥고물)",'🔖 배합비 참조'!$A$2:$A$83,0),MATCH($C240,'🔖 배합비 참조'!$B$1:$CE$1,0))/100,0),""))),"")</f>
        <v>0</v>
      </c>
      <c r="AM240" s="42" t="n">
        <f aca="false">IFERROR(IF($C240="","",IF($D240="","",IFERROR(ROUND($D240*INDEX('🔖 배합비 참조'!$B$2:$CE$83,MATCH("딸기레진",'🔖 배합비 참조'!$A$2:$A$83,0),MATCH($C240,'🔖 배합비 참조'!$B$1:$CE$1,0))/100,0),""))),"")</f>
        <v>0</v>
      </c>
      <c r="AN240" s="42" t="n">
        <f aca="false">IFERROR(IF($C240="","",IF($D240="","",IFERROR(ROUND($D240*INDEX('🔖 배합비 참조'!$B$2:$CE$83,MATCH("딸기분말(스트로우베리에이드(분말))",'🔖 배합비 참조'!$A$2:$A$83,0),MATCH($C240,'🔖 배합비 참조'!$B$1:$CE$1,0))/100,0),""))),"")</f>
        <v>0</v>
      </c>
      <c r="AO240" s="42" t="n">
        <f aca="false">IFERROR(IF($C240="","",IF($D240="","",IFERROR(ROUND($D240*INDEX('🔖 배합비 참조'!$B$2:$CE$83,MATCH("마스카포네치즈",'🔖 배합비 참조'!$A$2:$A$83,0),MATCH($C240,'🔖 배합비 참조'!$B$1:$CE$1,0))/100,0),""))),"")</f>
        <v>0</v>
      </c>
      <c r="AP240" s="42" t="n">
        <f aca="false">IFERROR(IF($C240="","",IF($D240="","",IFERROR(ROUND($D240*INDEX('🔖 배합비 참조'!$B$2:$CE$83,MATCH("마카다미아분태(호주산)",'🔖 배합비 참조'!$A$2:$A$83,0),MATCH($C240,'🔖 배합비 참조'!$B$1:$CE$1,0))/100,0),""))),"")</f>
        <v>0</v>
      </c>
      <c r="AQ240" s="42" t="n">
        <f aca="false">IFERROR(IF($C240="","",IF($D240="","",IFERROR(ROUND($D240*INDEX('🔖 배합비 참조'!$B$2:$CE$83,MATCH("멥쌀(국내산)",'🔖 배합비 참조'!$A$2:$A$83,0),MATCH($C240,'🔖 배합비 참조'!$B$1:$CE$1,0))/100,0),""))),"")</f>
        <v>22</v>
      </c>
      <c r="AR240" s="42" t="n">
        <f aca="false">IFERROR(IF($C240="","",IF($D240="","",IFERROR(ROUND($D240*INDEX('🔖 배합비 참조'!$B$2:$CE$83,MATCH("모시잎(국내산)",'🔖 배합비 참조'!$A$2:$A$83,0),MATCH($C240,'🔖 배합비 참조'!$B$1:$CE$1,0))/100,0),""))),"")</f>
        <v>0</v>
      </c>
      <c r="AS240" s="42" t="n">
        <f aca="false">IFERROR(IF($C240="","",IF($D240="","",IFERROR(ROUND($D240*INDEX('🔖 배합비 참조'!$B$2:$CE$83,MATCH("물엿(저당물엿)",'🔖 배합비 참조'!$A$2:$A$83,0),MATCH($C240,'🔖 배합비 참조'!$B$1:$CE$1,0))/100,0),""))),"")</f>
        <v>0</v>
      </c>
      <c r="AT240" s="42" t="n">
        <f aca="false">IFERROR(IF($C240="","",IF($D240="","",IFERROR(ROUND($D240*INDEX('🔖 배합비 참조'!$B$2:$CE$83,MATCH("밤다이스",'🔖 배합비 참조'!$A$2:$A$83,0),MATCH($C240,'🔖 배합비 참조'!$B$1:$CE$1,0))/100,0),""))),"")</f>
        <v>0</v>
      </c>
      <c r="AU240" s="42" t="n">
        <f aca="false">IFERROR(IF($C240="","",IF($D240="","",IFERROR(ROUND($D240*INDEX('🔖 배합비 참조'!$B$2:$CE$83,MATCH("변성전분(타피오카전분)",'🔖 배합비 참조'!$A$2:$A$83,0),MATCH($C240,'🔖 배합비 참조'!$B$1:$CE$1,0))/100,0),""))),"")</f>
        <v>0</v>
      </c>
      <c r="AV240" s="42" t="n">
        <f aca="false">IFERROR(IF($C240="","",IF($D240="","",IFERROR(ROUND($D240*INDEX('🔖 배합비 참조'!$B$2:$CE$83,MATCH("복음땅콩분태",'🔖 배합비 참조'!$A$2:$A$83,0),MATCH($C240,'🔖 배합비 참조'!$B$1:$CE$1,0))/100,0),""))),"")</f>
        <v>0</v>
      </c>
      <c r="AW240" s="42" t="n">
        <f aca="false">IFERROR(IF($C240="","",IF($D240="","",IFERROR(ROUND($D240*INDEX('🔖 배합비 참조'!$B$2:$CE$83,MATCH("사양벌꿀(국내산)",'🔖 배합비 참조'!$A$2:$A$83,0),MATCH($C240,'🔖 배합비 참조'!$B$1:$CE$1,0))/100,0),""))),"")</f>
        <v>0</v>
      </c>
      <c r="AX240" s="42" t="n">
        <f aca="false">IFERROR(IF($C240="","",IF($D240="","",IFERROR(ROUND($D240*INDEX('🔖 배합비 참조'!$B$2:$CE$83,MATCH("생크림",'🔖 배합비 참조'!$A$2:$A$83,0),MATCH($C240,'🔖 배합비 참조'!$B$1:$CE$1,0))/100,0),""))),"")</f>
        <v>0</v>
      </c>
      <c r="AY240" s="42" t="n">
        <f aca="false">IFERROR(IF($C240="","",IF($D240="","",IFERROR(ROUND($D240*INDEX('🔖 배합비 참조'!$B$2:$CE$83,MATCH("서양호박(국내산,뉴질랜드산)",'🔖 배합비 참조'!$A$2:$A$83,0),MATCH($C240,'🔖 배합비 참조'!$B$1:$CE$1,0))/100,0),""))),"")</f>
        <v>0</v>
      </c>
      <c r="AZ240" s="42" t="n">
        <f aca="false">IFERROR(IF($C240="","",IF($D240="","",IFERROR(ROUND($D240*INDEX('🔖 배합비 참조'!$B$2:$CE$83,MATCH("설탕",'🔖 배합비 참조'!$A$2:$A$83,0),MATCH($C240,'🔖 배합비 참조'!$B$1:$CE$1,0))/100,0),""))),"")</f>
        <v>209</v>
      </c>
      <c r="BA240" s="42" t="n">
        <f aca="false">IFERROR(IF($C240="","",IF($D240="","",IFERROR(ROUND($D240*INDEX('🔖 배합비 참조'!$B$2:$CE$83,MATCH("스트로우베리 에이드 후레쉬",'🔖 배합비 참조'!$A$2:$A$83,0),MATCH($C240,'🔖 배합비 참조'!$B$1:$CE$1,0))/100,0),""))),"")</f>
        <v>0</v>
      </c>
      <c r="BB240" s="42" t="n">
        <f aca="false">IFERROR(IF($C240="","",IF($D240="","",IFERROR(ROUND($D240*INDEX('🔖 배합비 참조'!$B$2:$CE$83,MATCH("식물성기름혼합제제(분홍)",'🔖 배합비 참조'!$A$2:$A$83,0),MATCH($C240,'🔖 배합비 참조'!$B$1:$CE$1,0))/100,0),""))),"")</f>
        <v>0</v>
      </c>
      <c r="BC240" s="42" t="n">
        <f aca="false">IFERROR(IF($C240="","",IF($D240="","",IFERROR(ROUND($D240*INDEX('🔖 배합비 참조'!$B$2:$CE$83,MATCH("식물성기름혼합제제(초록)",'🔖 배합비 참조'!$A$2:$A$83,0),MATCH($C240,'🔖 배합비 참조'!$B$1:$CE$1,0))/100,0),""))),"")</f>
        <v>0</v>
      </c>
      <c r="BD240" s="42" t="n">
        <f aca="false">IFERROR(IF($C240="","",IF($D240="","",IFERROR(ROUND($D240*INDEX('🔖 배합비 참조'!$B$2:$CE$83,MATCH("식물성기름혼합제제(황색)",'🔖 배합비 참조'!$A$2:$A$83,0),MATCH($C240,'🔖 배합비 참조'!$B$1:$CE$1,0))/100,0),""))),"")</f>
        <v>0</v>
      </c>
      <c r="BE240" s="42" t="n">
        <f aca="false">IFERROR(IF($C240="","",IF($D240="","",IFERROR(ROUND($D240*INDEX('🔖 배합비 참조'!$B$2:$CE$83,MATCH("쑥가루(국내산)",'🔖 배합비 참조'!$A$2:$A$83,0),MATCH($C240,'🔖 배합비 참조'!$B$1:$CE$1,0))/100,0),""))),"")</f>
        <v>0</v>
      </c>
      <c r="BF240" s="42" t="n">
        <f aca="false">IFERROR(IF($C240="","",IF($D240="","",IFERROR(ROUND($D240*INDEX('🔖 배합비 참조'!$B$2:$CE$83,MATCH("아몬드슬라이스",'🔖 배합비 참조'!$A$2:$A$83,0),MATCH($C240,'🔖 배합비 참조'!$B$1:$CE$1,0))/100,0),""))),"")</f>
        <v>0</v>
      </c>
      <c r="BG240" s="42" t="n">
        <f aca="false">IFERROR(IF($C240="","",IF($D240="","",IFERROR(ROUND($D240*INDEX('🔖 배합비 참조'!$B$2:$CE$83,MATCH("알룰로오스(국내산)",'🔖 배합비 참조'!$A$2:$A$83,0),MATCH($C240,'🔖 배합비 참조'!$B$1:$CE$1,0))/100,0),""))),"")</f>
        <v>0</v>
      </c>
      <c r="BH240" s="42" t="n">
        <f aca="false">IFERROR(IF($C240="","",IF($D240="","",IFERROR(ROUND($D240*INDEX('🔖 배합비 참조'!$B$2:$CE$83,MATCH("연유",'🔖 배합비 참조'!$A$2:$A$83,0),MATCH($C240,'🔖 배합비 참조'!$B$1:$CE$1,0))/100,0),""))),"")</f>
        <v>0</v>
      </c>
      <c r="BI240" s="42" t="n">
        <f aca="false">IFERROR(IF($C240="","",IF($D240="","",IFERROR(ROUND($D240*INDEX('🔖 배합비 참조'!$B$2:$CE$83,MATCH("옥수수전분",'🔖 배합비 참조'!$A$2:$A$83,0),MATCH($C240,'🔖 배합비 참조'!$B$1:$CE$1,0))/100,0),""))),"")</f>
        <v>0</v>
      </c>
      <c r="BJ240" s="42" t="n">
        <f aca="false">IFERROR(IF($C240="","",IF($D240="","",IFERROR(ROUND($D240*INDEX('🔖 배합비 참조'!$B$2:$CE$83,MATCH("완두배기",'🔖 배합비 참조'!$A$2:$A$83,0),MATCH($C240,'🔖 배합비 참조'!$B$1:$CE$1,0))/100,0),""))),"")</f>
        <v>0</v>
      </c>
      <c r="BK240" s="42" t="n">
        <f aca="false">IFERROR(IF($C240="","",IF($D240="","",IFERROR(ROUND($D240*INDEX('🔖 배합비 참조'!$B$2:$CE$83,MATCH("우유(국내산)",'🔖 배합비 참조'!$A$2:$A$83,0),MATCH($C240,'🔖 배합비 참조'!$B$1:$CE$1,0))/100,0),""))),"")</f>
        <v>0</v>
      </c>
      <c r="BL240" s="42" t="n">
        <f aca="false">IFERROR(IF($C240="","",IF($D240="","",IFERROR(ROUND($D240*INDEX('🔖 배합비 참조'!$B$2:$CE$83,MATCH("자색고구마가루(중국산)",'🔖 배합비 참조'!$A$2:$A$83,0),MATCH($C240,'🔖 배합비 참조'!$B$1:$CE$1,0))/100,0),""))),"")</f>
        <v>0</v>
      </c>
      <c r="BM240" s="42" t="n">
        <f aca="false">IFERROR(IF($C240="","",IF($D240="","",IFERROR(ROUND($D240*INDEX('🔖 배합비 참조'!$B$2:$CE$83,MATCH("자연치즈(체다치즈)",'🔖 배합비 참조'!$A$2:$A$83,0),MATCH($C240,'🔖 배합비 참조'!$B$1:$CE$1,0))/100,0),""))),"")</f>
        <v>0</v>
      </c>
      <c r="BN240" s="42" t="n">
        <f aca="false">IFERROR(IF($C240="","",IF($D240="","",IFERROR(ROUND($D240*INDEX('🔖 배합비 참조'!$B$2:$CE$83,MATCH("정제수",'🔖 배합비 참조'!$A$2:$A$83,0),MATCH($C240,'🔖 배합비 참조'!$B$1:$CE$1,0))/100,0),""))),"")</f>
        <v>33</v>
      </c>
      <c r="BO240" s="42" t="n">
        <f aca="false">IFERROR(IF($C240="","",IF($D240="","",IFERROR(ROUND($D240*INDEX('🔖 배합비 참조'!$B$2:$CE$83,MATCH("젤라틴",'🔖 배합비 참조'!$A$2:$A$83,0),MATCH($C240,'🔖 배합비 참조'!$B$1:$CE$1,0))/100,0),""))),"")</f>
        <v>0</v>
      </c>
      <c r="BP240" s="42" t="n">
        <f aca="false">IFERROR(IF($C240="","",IF($D240="","",IFERROR(ROUND($D240*INDEX('🔖 배합비 참조'!$B$2:$CE$83,MATCH("조림류(백옥앙금)",'🔖 배합비 참조'!$A$2:$A$83,0),MATCH($C240,'🔖 배합비 참조'!$B$1:$CE$1,0))/100,0),""))),"")</f>
        <v>0</v>
      </c>
      <c r="BQ240" s="42" t="n">
        <f aca="false">IFERROR(IF($C240="","",IF($D240="","",IFERROR(ROUND($D240*INDEX('🔖 배합비 참조'!$B$2:$CE$83,MATCH("조림류(통팥앙금)",'🔖 배합비 참조'!$A$2:$A$83,0),MATCH($C240,'🔖 배합비 참조'!$B$1:$CE$1,0))/100,0),""))),"")</f>
        <v>198</v>
      </c>
      <c r="BR240" s="42" t="n">
        <f aca="false">IFERROR(IF($C240="","",IF($D240="","",IFERROR(ROUND($D240*INDEX('🔖 배합비 참조'!$B$2:$CE$83,MATCH("준초콜릿(외국산)",'🔖 배합비 참조'!$A$2:$A$83,0),MATCH($C240,'🔖 배합비 참조'!$B$1:$CE$1,0))/100,0),""))),"")</f>
        <v>0</v>
      </c>
      <c r="BS240" s="42" t="n">
        <f aca="false">IFERROR(IF($C240="","",IF($D240="","",IFERROR(ROUND($D240*INDEX('🔖 배합비 참조'!$B$2:$CE$83,MATCH("중력분",'🔖 배합비 참조'!$A$2:$A$83,0),MATCH($C240,'🔖 배합비 참조'!$B$1:$CE$1,0))/100,0),""))),"")</f>
        <v>22</v>
      </c>
      <c r="BT240" s="42" t="n">
        <f aca="false">IFERROR(IF($C240="","",IF($D240="","",IFERROR(ROUND($D240*INDEX('🔖 배합비 참조'!$B$2:$CE$83,MATCH("참깨(인도산,나이지리아산,탄자니아산,미얀마산)",'🔖 배합비 참조'!$A$2:$A$83,0),MATCH($C240,'🔖 배합비 참조'!$B$1:$CE$1,0))/100,0),""))),"")</f>
        <v>0</v>
      </c>
      <c r="BU240" s="42" t="n">
        <f aca="false">IFERROR(IF($C240="","",IF($D240="","",IFERROR(ROUND($D240*INDEX('🔖 배합비 참조'!$B$2:$CE$83,MATCH("찹쌀(국내산)",'🔖 배합비 참조'!$A$2:$A$83,0),MATCH($C240,'🔖 배합비 참조'!$B$1:$CE$1,0))/100,0),""))),"")</f>
        <v>473</v>
      </c>
      <c r="BV240" s="42" t="n">
        <f aca="false">IFERROR(IF($C240="","",IF($D240="","",IFERROR(ROUND($D240*INDEX('🔖 배합비 참조'!$B$2:$CE$83,MATCH("천일염",'🔖 배합비 참조'!$A$2:$A$83,0),MATCH($C240,'🔖 배합비 참조'!$B$1:$CE$1,0))/100,0),""))),"")</f>
        <v>22</v>
      </c>
      <c r="BW240" s="42" t="n">
        <f aca="false">IFERROR(IF($C240="","",IF($D240="","",IFERROR(ROUND($D240*INDEX('🔖 배합비 참조'!$B$2:$CE$83,MATCH("치즈 [크림치즈]",'🔖 배합비 참조'!$A$2:$A$83,0),MATCH($C240,'🔖 배합비 참조'!$B$1:$CE$1,0))/100,0),""))),"")</f>
        <v>0</v>
      </c>
      <c r="BX240" s="42" t="n">
        <f aca="false">IFERROR(IF($C240="","",IF($D240="","",IFERROR(ROUND($D240*INDEX('🔖 배합비 참조'!$B$2:$CE$83,MATCH("코코아가공품류(코코아분말)",'🔖 배합비 참조'!$A$2:$A$83,0),MATCH($C240,'🔖 배합비 참조'!$B$1:$CE$1,0))/100,0),""))),"")</f>
        <v>0</v>
      </c>
      <c r="BY240" s="42" t="n">
        <f aca="false">IFERROR(IF($C240="","",IF($D240="","",IFERROR(ROUND($D240*INDEX('🔖 배합비 참조'!$B$2:$CE$83,MATCH("콩기름(대두유)",'🔖 배합비 참조'!$A$2:$A$83,0),MATCH($C240,'🔖 배합비 참조'!$B$1:$CE$1,0))/100,0),""))),"")</f>
        <v>0</v>
      </c>
      <c r="BZ240" s="42" t="n">
        <f aca="false">IFERROR(IF($C240="","",IF($D240="","",IFERROR(ROUND($D240*INDEX('🔖 배합비 참조'!$B$2:$CE$83,MATCH("해바라기씨앗",'🔖 배합비 참조'!$A$2:$A$83,0),MATCH($C240,'🔖 배합비 참조'!$B$1:$CE$1,0))/100,0),""))),"")</f>
        <v>0</v>
      </c>
      <c r="CA240" s="42" t="n">
        <f aca="false">IFERROR(IF($C240="","",IF($D240="","",IFERROR(ROUND($D240*INDEX('🔖 배합비 참조'!$B$2:$CE$83,MATCH("현미(국내산)",'🔖 배합비 참조'!$A$2:$A$83,0),MATCH($C240,'🔖 배합비 참조'!$B$1:$CE$1,0))/100,0),""))),"")</f>
        <v>0</v>
      </c>
      <c r="CB240" s="42" t="n">
        <f aca="false">IFERROR(IF($C240="","",IF($D240="","",IFERROR(ROUND($D240*INDEX('🔖 배합비 참조'!$B$2:$CE$83,MATCH("현미멥쌀(국내산)",'🔖 배합비 참조'!$A$2:$A$83,0),MATCH($C240,'🔖 배합비 참조'!$B$1:$CE$1,0))/100,0),""))),"")</f>
        <v>0</v>
      </c>
      <c r="CC240" s="42" t="n">
        <f aca="false">IFERROR(IF($C240="","",IF($D240="","",IFERROR(ROUND($D240*INDEX('🔖 배합비 참조'!$B$2:$CE$83,MATCH("호두분태(미국산)",'🔖 배합비 참조'!$A$2:$A$83,0),MATCH($C240,'🔖 배합비 참조'!$B$1:$CE$1,0))/100,0),""))),"")</f>
        <v>0</v>
      </c>
      <c r="CD240" s="42" t="n">
        <f aca="false">IFERROR(IF($C240="","",IF($D240="","",IFERROR(ROUND($D240*INDEX('🔖 배합비 참조'!$B$2:$CE$83,MATCH("호박씨앗(외국산)",'🔖 배합비 참조'!$A$2:$A$83,0),MATCH($C240,'🔖 배합비 참조'!$B$1:$CE$1,0))/100,0),""))),"")</f>
        <v>0</v>
      </c>
      <c r="CE240" s="42" t="n">
        <f aca="false">IFERROR(IF($C240="","",IF($D240="","",IFERROR(ROUND($D240*INDEX('🔖 배합비 참조'!$B$2:$CE$83,MATCH("혼합제제(떡용에스텔)",'🔖 배합비 참조'!$A$2:$A$83,0),MATCH($C240,'🔖 배합비 참조'!$B$1:$CE$1,0))/100,0),""))),"")</f>
        <v>22</v>
      </c>
      <c r="CF240" s="42" t="n">
        <f aca="false">IFERROR(IF($C240="","",IF($D240="","",IFERROR(ROUND($D240*INDEX('🔖 배합비 참조'!$B$2:$CE$83,MATCH("혼합제제(스테비아)",'🔖 배합비 참조'!$A$2:$A$83,0),MATCH($C240,'🔖 배합비 참조'!$B$1:$CE$1,0))/100,0),""))),"")</f>
        <v>0</v>
      </c>
      <c r="CG240" s="42" t="n">
        <f aca="false">IFERROR(IF($C240="","",IF($D240="","",IFERROR(ROUND($D240*INDEX('🔖 배합비 참조'!$B$2:$CE$83,MATCH("화이트초콜릿",'🔖 배합비 참조'!$A$2:$A$83,0),MATCH($C240,'🔖 배합비 참조'!$B$1:$CE$1,0))/100,0),""))),"")</f>
        <v>0</v>
      </c>
      <c r="CH240" s="42" t="n">
        <f aca="false">IFERROR(IF($C240="","",IF($D240="","",IFERROR(ROUND($D240*INDEX('🔖 배합비 참조'!$B$2:$CE$83,MATCH("흑미찹쌀(국내산)",'🔖 배합비 참조'!$A$2:$A$83,0),MATCH($C240,'🔖 배합비 참조'!$B$1:$CE$1,0))/100,0),""))),"")</f>
        <v>0</v>
      </c>
      <c r="CI240" s="42" t="n">
        <f aca="false">IFERROR(IF($C240="","",IF($D240="","",IFERROR(ROUND($D240*INDEX('🔖 배합비 참조'!$B$2:$CE$83,MATCH("찰옥수수전분(미국산)",'🔖 배합비 참조'!$A$2:$A$83,0),MATCH($C240,'🔖 배합비 참조'!$B$1:$CE$1,0))/100,0),""))),"")</f>
        <v>99</v>
      </c>
      <c r="CJ240" s="40"/>
      <c r="CL240" s="1" t="s">
        <v>247</v>
      </c>
    </row>
    <row r="241" customFormat="false" ht="18" hidden="false" customHeight="true" outlineLevel="0" collapsed="false">
      <c r="A241" s="35" t="n">
        <v>237</v>
      </c>
      <c r="B241" s="36" t="n">
        <v>46077</v>
      </c>
      <c r="C241" s="37" t="s">
        <v>222</v>
      </c>
      <c r="D241" s="38" t="n">
        <v>110</v>
      </c>
      <c r="E241" s="13"/>
      <c r="F241" s="13"/>
      <c r="G241" s="39" t="n">
        <f aca="false">IFERROR(IF($C241="","",IF($D241="","",IFERROR(ROUND($D241*INDEX('🔖 배합비 참조'!$B$2:$CE$83,MATCH("간장",'🔖 배합비 참조'!$A$2:$A$83,0),MATCH($C241,'🔖 배합비 참조'!$B$1:$CE$1,0))/100,0),""))),"")</f>
        <v>0</v>
      </c>
      <c r="H241" s="39" t="n">
        <f aca="false">IFERROR(IF($C241="","",IF($D241="","",IFERROR(ROUND($D241*INDEX('🔖 배합비 참조'!$B$2:$CE$83,MATCH("강낭콩((울타리콩))",'🔖 배합비 참조'!$A$2:$A$83,0),MATCH($C241,'🔖 배합비 참조'!$B$1:$CE$1,0))/100,0),""))),"")</f>
        <v>0</v>
      </c>
      <c r="I241" s="39" t="n">
        <f aca="false">IFERROR(IF($C241="","",IF($D241="","",IFERROR(ROUND($D241*INDEX('🔖 배합비 참조'!$B$2:$CE$83,MATCH("건조딸기다이스(외국산)",'🔖 배합비 참조'!$A$2:$A$83,0),MATCH($C241,'🔖 배합비 참조'!$B$1:$CE$1,0))/100,0),""))),"")</f>
        <v>0</v>
      </c>
      <c r="J241" s="39" t="n">
        <f aca="false">IFERROR(IF($C241="","",IF($D241="","",IFERROR(ROUND($D241*INDEX('🔖 배합비 참조'!$B$2:$CE$83,MATCH("건포도",'🔖 배합비 참조'!$A$2:$A$83,0),MATCH($C241,'🔖 배합비 참조'!$B$1:$CE$1,0))/100,0),""))),"")</f>
        <v>0</v>
      </c>
      <c r="K241" s="39" t="n">
        <f aca="false">IFERROR(IF($C241="","",IF($D241="","",IFERROR(ROUND($D241*INDEX('🔖 배합비 참조'!$B$2:$CE$83,MATCH("건호박채(중국산)",'🔖 배합비 참조'!$A$2:$A$83,0),MATCH($C241,'🔖 배합비 참조'!$B$1:$CE$1,0))/100,0),""))),"")</f>
        <v>0</v>
      </c>
      <c r="L241" s="39" t="n">
        <f aca="false">IFERROR(IF($C241="","",IF($D241="","",IFERROR(ROUND($D241*INDEX('🔖 배합비 참조'!$B$2:$CE$83,MATCH("검정깨(흑임자)",'🔖 배합비 참조'!$A$2:$A$83,0),MATCH($C241,'🔖 배합비 참조'!$B$1:$CE$1,0))/100,0),""))),"")</f>
        <v>0</v>
      </c>
      <c r="M241" s="39" t="n">
        <f aca="false">IFERROR(IF($C241="","",IF($D241="","",IFERROR(ROUND($D241*INDEX('🔖 배합비 참조'!$B$2:$CE$83,MATCH("검정콩",'🔖 배합비 참조'!$A$2:$A$83,0),MATCH($C241,'🔖 배합비 참조'!$B$1:$CE$1,0))/100,0),""))),"")</f>
        <v>0</v>
      </c>
      <c r="N241" s="39" t="n">
        <f aca="false">IFERROR(IF($C241="","",IF($D241="","",IFERROR(ROUND($D241*INDEX('🔖 배합비 참조'!$B$2:$CE$83,MATCH("계피가루",'🔖 배합비 참조'!$A$2:$A$83,0),MATCH($C241,'🔖 배합비 참조'!$B$1:$CE$1,0))/100,0),""))),"")</f>
        <v>0</v>
      </c>
      <c r="O241" s="39" t="n">
        <f aca="false">IFERROR(IF($C241="","",IF($D241="","",IFERROR(ROUND($D241*INDEX('🔖 배합비 참조'!$B$2:$CE$83,MATCH("고구마가루",'🔖 배합비 참조'!$A$2:$A$83,0),MATCH($C241,'🔖 배합비 참조'!$B$1:$CE$1,0))/100,0),""))),"")</f>
        <v>0</v>
      </c>
      <c r="P241" s="39" t="n">
        <f aca="false">IFERROR(IF($C241="","",IF($D241="","",IFERROR(ROUND($D241*INDEX('🔖 배합비 참조'!$B$2:$CE$83,MATCH("고구마무스",'🔖 배합비 참조'!$A$2:$A$83,0),MATCH($C241,'🔖 배합비 참조'!$B$1:$CE$1,0))/100,0),""))),"")</f>
        <v>0</v>
      </c>
      <c r="Q241" s="39" t="n">
        <f aca="false">IFERROR(IF($C241="","",IF($D241="","",IFERROR(ROUND($D241*INDEX('🔖 배합비 참조'!$B$2:$CE$83,MATCH("고려엉겅퀴((곤드레)국내산)",'🔖 배합비 참조'!$A$2:$A$83,0),MATCH($C241,'🔖 배합비 참조'!$B$1:$CE$1,0))/100,0),""))),"")</f>
        <v>0</v>
      </c>
      <c r="R241" s="39" t="n">
        <f aca="false">IFERROR(IF($C241="","",IF($D241="","",IFERROR(ROUND($D241*INDEX('🔖 배합비 참조'!$B$2:$CE$83,MATCH("기타가공품(복분자가루)",'🔖 배합비 참조'!$A$2:$A$83,0),MATCH($C241,'🔖 배합비 참조'!$B$1:$CE$1,0))/100,0),""))),"")</f>
        <v>0</v>
      </c>
      <c r="S241" s="39" t="n">
        <f aca="false">IFERROR(IF($C241="","",IF($D241="","",IFERROR(ROUND($D241*INDEX('🔖 배합비 참조'!$B$2:$CE$83,MATCH("기타가공품(슈퍼소프트엠)",'🔖 배합비 참조'!$A$2:$A$83,0),MATCH($C241,'🔖 배합비 참조'!$B$1:$CE$1,0))/100,0),""))),"")</f>
        <v>0</v>
      </c>
      <c r="T241" s="39" t="n">
        <f aca="false">IFERROR(IF($C241="","",IF($D241="","",IFERROR(ROUND($D241*INDEX('🔖 배합비 참조'!$B$2:$CE$83,MATCH("기타가공품(파인소프트 E-티)",'🔖 배합비 참조'!$A$2:$A$83,0),MATCH($C241,'🔖 배합비 참조'!$B$1:$CE$1,0))/100,0),""))),"")</f>
        <v>0</v>
      </c>
      <c r="U241" s="39" t="n">
        <f aca="false">IFERROR(IF($C241="","",IF($D241="","",IFERROR(ROUND($D241*INDEX('🔖 배합비 참조'!$B$2:$CE$83,MATCH("기타가공품(프리미엄카스테라가루)",'🔖 배합비 참조'!$A$2:$A$83,0),MATCH($C241,'🔖 배합비 참조'!$B$1:$CE$1,0))/100,0),""))),"")</f>
        <v>8</v>
      </c>
      <c r="V241" s="39" t="n">
        <f aca="false">IFERROR(IF($C241="","",IF($D241="","",IFERROR(ROUND($D241*INDEX('🔖 배합비 참조'!$B$2:$CE$83,MATCH("기타가공품(흑임자가루)",'🔖 배합비 참조'!$A$2:$A$83,0),MATCH($C241,'🔖 배합비 참조'!$B$1:$CE$1,0))/100,0),""))),"")</f>
        <v>0</v>
      </c>
      <c r="W241" s="39" t="n">
        <f aca="false">IFERROR(IF($C241="","",IF($D241="","",IFERROR(ROUND($D241*INDEX('🔖 배합비 참조'!$B$2:$CE$83,MATCH("기타설탕(흑설탕)",'🔖 배합비 참조'!$A$2:$A$83,0),MATCH($C241,'🔖 배합비 참조'!$B$1:$CE$1,0))/100,0),""))),"")</f>
        <v>0</v>
      </c>
      <c r="X241" s="39" t="n">
        <f aca="false">IFERROR(IF($C241="","",IF($D241="","",IFERROR(ROUND($D241*INDEX('🔖 배합비 참조'!$B$2:$CE$83,MATCH("냉동쑥(국내산)",'🔖 배합비 참조'!$A$2:$A$83,0),MATCH($C241,'🔖 배합비 참조'!$B$1:$CE$1,0))/100,0),""))),"")</f>
        <v>6</v>
      </c>
      <c r="Y241" s="39" t="n">
        <f aca="false">IFERROR(IF($C241="","",IF($D241="","",IFERROR(ROUND($D241*INDEX('🔖 배합비 참조'!$B$2:$CE$83,MATCH("냉동증숙고구마(중국산)",'🔖 배합비 참조'!$A$2:$A$83,0),MATCH($C241,'🔖 배합비 참조'!$B$1:$CE$1,0))/100,0),""))),"")</f>
        <v>0</v>
      </c>
      <c r="Z241" s="39" t="n">
        <f aca="false">IFERROR(IF($C241="","",IF($D241="","",IFERROR(ROUND($D241*INDEX('🔖 배합비 참조'!$B$2:$CE$83,MATCH("녹차가루",'🔖 배합비 참조'!$A$2:$A$83,0),MATCH($C241,'🔖 배합비 참조'!$B$1:$CE$1,0))/100,0),""))),"")</f>
        <v>0</v>
      </c>
      <c r="AA241" s="39" t="n">
        <f aca="false">IFERROR(IF($C241="","",IF($D241="","",IFERROR(ROUND($D241*INDEX('🔖 배합비 참조'!$B$2:$CE$83,MATCH("다크초콜릿 컴파운드칩",'🔖 배합비 참조'!$A$2:$A$83,0),MATCH($C241,'🔖 배합비 참조'!$B$1:$CE$1,0))/100,0),""))),"")</f>
        <v>0</v>
      </c>
      <c r="AB241" s="39" t="n">
        <f aca="false">IFERROR(IF($C241="","",IF($D241="","",IFERROR(ROUND($D241*INDEX('🔖 배합비 참조'!$B$2:$CE$83,MATCH("단호박분말(중국산)",'🔖 배합비 참조'!$A$2:$A$83,0),MATCH($C241,'🔖 배합비 참조'!$B$1:$CE$1,0))/100,0),""))),"")</f>
        <v>0</v>
      </c>
      <c r="AC241" s="39" t="n">
        <f aca="false">IFERROR(IF($C241="","",IF($D241="","",IFERROR(ROUND($D241*INDEX('🔖 배합비 참조'!$B$2:$CE$83,MATCH("당류가공품(단호박농축액)",'🔖 배합비 참조'!$A$2:$A$83,0),MATCH($C241,'🔖 배합비 참조'!$B$1:$CE$1,0))/100,0),""))),"")</f>
        <v>0</v>
      </c>
      <c r="AD241" s="39" t="n">
        <f aca="false">IFERROR(IF($C241="","",IF($D241="","",IFERROR(ROUND($D241*INDEX('🔖 배합비 참조'!$B$2:$CE$83,MATCH("당류가공품(알룰로스,에리스리톨,스테비올배당체혼합)",'🔖 배합비 참조'!$A$2:$A$83,0),MATCH($C241,'🔖 배합비 참조'!$B$1:$CE$1,0))/100,0),""))),"")</f>
        <v>0</v>
      </c>
      <c r="AE241" s="39" t="n">
        <f aca="false">IFERROR(IF($C241="","",IF($D241="","",IFERROR(ROUND($D241*INDEX('🔖 배합비 참조'!$B$2:$CE$83,MATCH("당류가공품(알룰로스제로파우더)",'🔖 배합비 참조'!$A$2:$A$83,0),MATCH($C241,'🔖 배합비 참조'!$B$1:$CE$1,0))/100,0),""))),"")</f>
        <v>0</v>
      </c>
      <c r="AF241" s="39" t="n">
        <f aca="false">IFERROR(IF($C241="","",IF($D241="","",IFERROR(ROUND($D241*INDEX('🔖 배합비 참조'!$B$2:$CE$83,MATCH("당절임(완두배기)",'🔖 배합비 참조'!$A$2:$A$83,0),MATCH($C241,'🔖 배합비 참조'!$B$1:$CE$1,0))/100,0),""))),"")</f>
        <v>0</v>
      </c>
      <c r="AG241" s="39" t="n">
        <f aca="false">IFERROR(IF($C241="","",IF($D241="","",IFERROR(ROUND($D241*INDEX('🔖 배합비 참조'!$B$2:$CE$83,MATCH("대추농축액",'🔖 배합비 참조'!$A$2:$A$83,0),MATCH($C241,'🔖 배합비 참조'!$B$1:$CE$1,0))/100,0),""))),"")</f>
        <v>0</v>
      </c>
      <c r="AH241" s="39" t="n">
        <f aca="false">IFERROR(IF($C241="","",IF($D241="","",IFERROR(ROUND($D241*INDEX('🔖 배합비 참조'!$B$2:$CE$83,MATCH("대추채(국내산)",'🔖 배합비 참조'!$A$2:$A$83,0),MATCH($C241,'🔖 배합비 참조'!$B$1:$CE$1,0))/100,0),""))),"")</f>
        <v>0</v>
      </c>
      <c r="AI241" s="39" t="n">
        <f aca="false">IFERROR(IF($C241="","",IF($D241="","",IFERROR(ROUND($D241*INDEX('🔖 배합비 참조'!$B$2:$CE$83,MATCH("동부(미얀마산)",'🔖 배합비 참조'!$A$2:$A$83,0),MATCH($C241,'🔖 배합비 참조'!$B$1:$CE$1,0))/100,0),""))),"")</f>
        <v>8</v>
      </c>
      <c r="AJ241" s="39" t="n">
        <f aca="false">IFERROR(IF($C241="","",IF($D241="","",IFERROR(ROUND($D241*INDEX('🔖 배합비 참조'!$B$2:$CE$83,MATCH("두류가공품(백옥앙금)",'🔖 배합비 참조'!$A$2:$A$83,0),MATCH($C241,'🔖 배합비 참조'!$B$1:$CE$1,0))/100,0),""))),"")</f>
        <v>0</v>
      </c>
      <c r="AK241" s="39" t="n">
        <f aca="false">IFERROR(IF($C241="","",IF($D241="","",IFERROR(ROUND($D241*INDEX('🔖 배합비 참조'!$B$2:$CE$83,MATCH("두류가공품(콩고물)",'🔖 배합비 참조'!$A$2:$A$83,0),MATCH($C241,'🔖 배합비 참조'!$B$1:$CE$1,0))/100,0),""))),"")</f>
        <v>0</v>
      </c>
      <c r="AL241" s="39" t="n">
        <f aca="false">IFERROR(IF($C241="","",IF($D241="","",IFERROR(ROUND($D241*INDEX('🔖 배합비 참조'!$B$2:$CE$83,MATCH("두류가공품(통팥고물)",'🔖 배합비 참조'!$A$2:$A$83,0),MATCH($C241,'🔖 배합비 참조'!$B$1:$CE$1,0))/100,0),""))),"")</f>
        <v>0</v>
      </c>
      <c r="AM241" s="39" t="n">
        <f aca="false">IFERROR(IF($C241="","",IF($D241="","",IFERROR(ROUND($D241*INDEX('🔖 배합비 참조'!$B$2:$CE$83,MATCH("딸기레진",'🔖 배합비 참조'!$A$2:$A$83,0),MATCH($C241,'🔖 배합비 참조'!$B$1:$CE$1,0))/100,0),""))),"")</f>
        <v>0</v>
      </c>
      <c r="AN241" s="39" t="n">
        <f aca="false">IFERROR(IF($C241="","",IF($D241="","",IFERROR(ROUND($D241*INDEX('🔖 배합비 참조'!$B$2:$CE$83,MATCH("딸기분말(스트로우베리에이드(분말))",'🔖 배합비 참조'!$A$2:$A$83,0),MATCH($C241,'🔖 배합비 참조'!$B$1:$CE$1,0))/100,0),""))),"")</f>
        <v>0</v>
      </c>
      <c r="AO241" s="39" t="n">
        <f aca="false">IFERROR(IF($C241="","",IF($D241="","",IFERROR(ROUND($D241*INDEX('🔖 배합비 참조'!$B$2:$CE$83,MATCH("마스카포네치즈",'🔖 배합비 참조'!$A$2:$A$83,0),MATCH($C241,'🔖 배합비 참조'!$B$1:$CE$1,0))/100,0),""))),"")</f>
        <v>0</v>
      </c>
      <c r="AP241" s="39" t="n">
        <f aca="false">IFERROR(IF($C241="","",IF($D241="","",IFERROR(ROUND($D241*INDEX('🔖 배합비 참조'!$B$2:$CE$83,MATCH("마카다미아분태(호주산)",'🔖 배합비 참조'!$A$2:$A$83,0),MATCH($C241,'🔖 배합비 참조'!$B$1:$CE$1,0))/100,0),""))),"")</f>
        <v>0</v>
      </c>
      <c r="AQ241" s="39" t="n">
        <f aca="false">IFERROR(IF($C241="","",IF($D241="","",IFERROR(ROUND($D241*INDEX('🔖 배합비 참조'!$B$2:$CE$83,MATCH("멥쌀(국내산)",'🔖 배합비 참조'!$A$2:$A$83,0),MATCH($C241,'🔖 배합비 참조'!$B$1:$CE$1,0))/100,0),""))),"")</f>
        <v>0</v>
      </c>
      <c r="AR241" s="39" t="n">
        <f aca="false">IFERROR(IF($C241="","",IF($D241="","",IFERROR(ROUND($D241*INDEX('🔖 배합비 참조'!$B$2:$CE$83,MATCH("모시잎(국내산)",'🔖 배합비 참조'!$A$2:$A$83,0),MATCH($C241,'🔖 배합비 참조'!$B$1:$CE$1,0))/100,0),""))),"")</f>
        <v>0</v>
      </c>
      <c r="AS241" s="39" t="n">
        <f aca="false">IFERROR(IF($C241="","",IF($D241="","",IFERROR(ROUND($D241*INDEX('🔖 배합비 참조'!$B$2:$CE$83,MATCH("물엿(저당물엿)",'🔖 배합비 참조'!$A$2:$A$83,0),MATCH($C241,'🔖 배합비 참조'!$B$1:$CE$1,0))/100,0),""))),"")</f>
        <v>3</v>
      </c>
      <c r="AT241" s="39" t="n">
        <f aca="false">IFERROR(IF($C241="","",IF($D241="","",IFERROR(ROUND($D241*INDEX('🔖 배합비 참조'!$B$2:$CE$83,MATCH("밤다이스",'🔖 배합비 참조'!$A$2:$A$83,0),MATCH($C241,'🔖 배합비 참조'!$B$1:$CE$1,0))/100,0),""))),"")</f>
        <v>0</v>
      </c>
      <c r="AU241" s="39" t="n">
        <f aca="false">IFERROR(IF($C241="","",IF($D241="","",IFERROR(ROUND($D241*INDEX('🔖 배합비 참조'!$B$2:$CE$83,MATCH("변성전분(타피오카전분)",'🔖 배합비 참조'!$A$2:$A$83,0),MATCH($C241,'🔖 배합비 참조'!$B$1:$CE$1,0))/100,0),""))),"")</f>
        <v>0</v>
      </c>
      <c r="AV241" s="39" t="n">
        <f aca="false">IFERROR(IF($C241="","",IF($D241="","",IFERROR(ROUND($D241*INDEX('🔖 배합비 참조'!$B$2:$CE$83,MATCH("복음땅콩분태",'🔖 배합비 참조'!$A$2:$A$83,0),MATCH($C241,'🔖 배합비 참조'!$B$1:$CE$1,0))/100,0),""))),"")</f>
        <v>0</v>
      </c>
      <c r="AW241" s="39" t="n">
        <f aca="false">IFERROR(IF($C241="","",IF($D241="","",IFERROR(ROUND($D241*INDEX('🔖 배합비 참조'!$B$2:$CE$83,MATCH("사양벌꿀(국내산)",'🔖 배합비 참조'!$A$2:$A$83,0),MATCH($C241,'🔖 배합비 참조'!$B$1:$CE$1,0))/100,0),""))),"")</f>
        <v>0</v>
      </c>
      <c r="AX241" s="39" t="n">
        <f aca="false">IFERROR(IF($C241="","",IF($D241="","",IFERROR(ROUND($D241*INDEX('🔖 배합비 참조'!$B$2:$CE$83,MATCH("생크림",'🔖 배합비 참조'!$A$2:$A$83,0),MATCH($C241,'🔖 배합비 참조'!$B$1:$CE$1,0))/100,0),""))),"")</f>
        <v>0</v>
      </c>
      <c r="AY241" s="39" t="n">
        <f aca="false">IFERROR(IF($C241="","",IF($D241="","",IFERROR(ROUND($D241*INDEX('🔖 배합비 참조'!$B$2:$CE$83,MATCH("서양호박(국내산,뉴질랜드산)",'🔖 배합비 참조'!$A$2:$A$83,0),MATCH($C241,'🔖 배합비 참조'!$B$1:$CE$1,0))/100,0),""))),"")</f>
        <v>0</v>
      </c>
      <c r="AZ241" s="39" t="n">
        <f aca="false">IFERROR(IF($C241="","",IF($D241="","",IFERROR(ROUND($D241*INDEX('🔖 배합비 참조'!$B$2:$CE$83,MATCH("설탕",'🔖 배합비 참조'!$A$2:$A$83,0),MATCH($C241,'🔖 배합비 참조'!$B$1:$CE$1,0))/100,0),""))),"")</f>
        <v>3</v>
      </c>
      <c r="BA241" s="39" t="n">
        <f aca="false">IFERROR(IF($C241="","",IF($D241="","",IFERROR(ROUND($D241*INDEX('🔖 배합비 참조'!$B$2:$CE$83,MATCH("스트로우베리 에이드 후레쉬",'🔖 배합비 참조'!$A$2:$A$83,0),MATCH($C241,'🔖 배합비 참조'!$B$1:$CE$1,0))/100,0),""))),"")</f>
        <v>0</v>
      </c>
      <c r="BB241" s="39" t="n">
        <f aca="false">IFERROR(IF($C241="","",IF($D241="","",IFERROR(ROUND($D241*INDEX('🔖 배합비 참조'!$B$2:$CE$83,MATCH("식물성기름혼합제제(분홍)",'🔖 배합비 참조'!$A$2:$A$83,0),MATCH($C241,'🔖 배합비 참조'!$B$1:$CE$1,0))/100,0),""))),"")</f>
        <v>0</v>
      </c>
      <c r="BC241" s="39" t="n">
        <f aca="false">IFERROR(IF($C241="","",IF($D241="","",IFERROR(ROUND($D241*INDEX('🔖 배합비 참조'!$B$2:$CE$83,MATCH("식물성기름혼합제제(초록)",'🔖 배합비 참조'!$A$2:$A$83,0),MATCH($C241,'🔖 배합비 참조'!$B$1:$CE$1,0))/100,0),""))),"")</f>
        <v>0</v>
      </c>
      <c r="BD241" s="39" t="n">
        <f aca="false">IFERROR(IF($C241="","",IF($D241="","",IFERROR(ROUND($D241*INDEX('🔖 배합비 참조'!$B$2:$CE$83,MATCH("식물성기름혼합제제(황색)",'🔖 배합비 참조'!$A$2:$A$83,0),MATCH($C241,'🔖 배합비 참조'!$B$1:$CE$1,0))/100,0),""))),"")</f>
        <v>0</v>
      </c>
      <c r="BE241" s="39" t="n">
        <f aca="false">IFERROR(IF($C241="","",IF($D241="","",IFERROR(ROUND($D241*INDEX('🔖 배합비 참조'!$B$2:$CE$83,MATCH("쑥가루(국내산)",'🔖 배합비 참조'!$A$2:$A$83,0),MATCH($C241,'🔖 배합비 참조'!$B$1:$CE$1,0))/100,0),""))),"")</f>
        <v>3</v>
      </c>
      <c r="BF241" s="39" t="n">
        <f aca="false">IFERROR(IF($C241="","",IF($D241="","",IFERROR(ROUND($D241*INDEX('🔖 배합비 참조'!$B$2:$CE$83,MATCH("아몬드슬라이스",'🔖 배합비 참조'!$A$2:$A$83,0),MATCH($C241,'🔖 배합비 참조'!$B$1:$CE$1,0))/100,0),""))),"")</f>
        <v>0</v>
      </c>
      <c r="BG241" s="39" t="n">
        <f aca="false">IFERROR(IF($C241="","",IF($D241="","",IFERROR(ROUND($D241*INDEX('🔖 배합비 참조'!$B$2:$CE$83,MATCH("알룰로오스(국내산)",'🔖 배합비 참조'!$A$2:$A$83,0),MATCH($C241,'🔖 배합비 참조'!$B$1:$CE$1,0))/100,0),""))),"")</f>
        <v>0</v>
      </c>
      <c r="BH241" s="39" t="n">
        <f aca="false">IFERROR(IF($C241="","",IF($D241="","",IFERROR(ROUND($D241*INDEX('🔖 배합비 참조'!$B$2:$CE$83,MATCH("연유",'🔖 배합비 참조'!$A$2:$A$83,0),MATCH($C241,'🔖 배합비 참조'!$B$1:$CE$1,0))/100,0),""))),"")</f>
        <v>0</v>
      </c>
      <c r="BI241" s="39" t="n">
        <f aca="false">IFERROR(IF($C241="","",IF($D241="","",IFERROR(ROUND($D241*INDEX('🔖 배합비 참조'!$B$2:$CE$83,MATCH("옥수수전분",'🔖 배합비 참조'!$A$2:$A$83,0),MATCH($C241,'🔖 배합비 참조'!$B$1:$CE$1,0))/100,0),""))),"")</f>
        <v>0</v>
      </c>
      <c r="BJ241" s="39" t="n">
        <f aca="false">IFERROR(IF($C241="","",IF($D241="","",IFERROR(ROUND($D241*INDEX('🔖 배합비 참조'!$B$2:$CE$83,MATCH("완두배기",'🔖 배합비 참조'!$A$2:$A$83,0),MATCH($C241,'🔖 배합비 참조'!$B$1:$CE$1,0))/100,0),""))),"")</f>
        <v>0</v>
      </c>
      <c r="BK241" s="39" t="n">
        <f aca="false">IFERROR(IF($C241="","",IF($D241="","",IFERROR(ROUND($D241*INDEX('🔖 배합비 참조'!$B$2:$CE$83,MATCH("우유(국내산)",'🔖 배합비 참조'!$A$2:$A$83,0),MATCH($C241,'🔖 배합비 참조'!$B$1:$CE$1,0))/100,0),""))),"")</f>
        <v>0</v>
      </c>
      <c r="BL241" s="39" t="n">
        <f aca="false">IFERROR(IF($C241="","",IF($D241="","",IFERROR(ROUND($D241*INDEX('🔖 배합비 참조'!$B$2:$CE$83,MATCH("자색고구마가루(중국산)",'🔖 배합비 참조'!$A$2:$A$83,0),MATCH($C241,'🔖 배합비 참조'!$B$1:$CE$1,0))/100,0),""))),"")</f>
        <v>0</v>
      </c>
      <c r="BM241" s="39" t="n">
        <f aca="false">IFERROR(IF($C241="","",IF($D241="","",IFERROR(ROUND($D241*INDEX('🔖 배합비 참조'!$B$2:$CE$83,MATCH("자연치즈(체다치즈)",'🔖 배합비 참조'!$A$2:$A$83,0),MATCH($C241,'🔖 배합비 참조'!$B$1:$CE$1,0))/100,0),""))),"")</f>
        <v>0</v>
      </c>
      <c r="BN241" s="39" t="n">
        <f aca="false">IFERROR(IF($C241="","",IF($D241="","",IFERROR(ROUND($D241*INDEX('🔖 배합비 참조'!$B$2:$CE$83,MATCH("정제수",'🔖 배합비 참조'!$A$2:$A$83,0),MATCH($C241,'🔖 배합비 참조'!$B$1:$CE$1,0))/100,0),""))),"")</f>
        <v>13</v>
      </c>
      <c r="BO241" s="39" t="n">
        <f aca="false">IFERROR(IF($C241="","",IF($D241="","",IFERROR(ROUND($D241*INDEX('🔖 배합비 참조'!$B$2:$CE$83,MATCH("젤라틴",'🔖 배합비 참조'!$A$2:$A$83,0),MATCH($C241,'🔖 배합비 참조'!$B$1:$CE$1,0))/100,0),""))),"")</f>
        <v>0</v>
      </c>
      <c r="BP241" s="39" t="n">
        <f aca="false">IFERROR(IF($C241="","",IF($D241="","",IFERROR(ROUND($D241*INDEX('🔖 배합비 참조'!$B$2:$CE$83,MATCH("조림류(백옥앙금)",'🔖 배합비 참조'!$A$2:$A$83,0),MATCH($C241,'🔖 배합비 참조'!$B$1:$CE$1,0))/100,0),""))),"")</f>
        <v>34</v>
      </c>
      <c r="BQ241" s="39" t="n">
        <f aca="false">IFERROR(IF($C241="","",IF($D241="","",IFERROR(ROUND($D241*INDEX('🔖 배합비 참조'!$B$2:$CE$83,MATCH("조림류(통팥앙금)",'🔖 배합비 참조'!$A$2:$A$83,0),MATCH($C241,'🔖 배합비 참조'!$B$1:$CE$1,0))/100,0),""))),"")</f>
        <v>0</v>
      </c>
      <c r="BR241" s="39" t="n">
        <f aca="false">IFERROR(IF($C241="","",IF($D241="","",IFERROR(ROUND($D241*INDEX('🔖 배합비 참조'!$B$2:$CE$83,MATCH("준초콜릿(외국산)",'🔖 배합비 참조'!$A$2:$A$83,0),MATCH($C241,'🔖 배합비 참조'!$B$1:$CE$1,0))/100,0),""))),"")</f>
        <v>0</v>
      </c>
      <c r="BS241" s="39" t="n">
        <f aca="false">IFERROR(IF($C241="","",IF($D241="","",IFERROR(ROUND($D241*INDEX('🔖 배합비 참조'!$B$2:$CE$83,MATCH("중력분",'🔖 배합비 참조'!$A$2:$A$83,0),MATCH($C241,'🔖 배합비 참조'!$B$1:$CE$1,0))/100,0),""))),"")</f>
        <v>1</v>
      </c>
      <c r="BT241" s="39" t="n">
        <f aca="false">IFERROR(IF($C241="","",IF($D241="","",IFERROR(ROUND($D241*INDEX('🔖 배합비 참조'!$B$2:$CE$83,MATCH("참깨(인도산,나이지리아산,탄자니아산,미얀마산)",'🔖 배합비 참조'!$A$2:$A$83,0),MATCH($C241,'🔖 배합비 참조'!$B$1:$CE$1,0))/100,0),""))),"")</f>
        <v>0</v>
      </c>
      <c r="BU241" s="39" t="n">
        <f aca="false">IFERROR(IF($C241="","",IF($D241="","",IFERROR(ROUND($D241*INDEX('🔖 배합비 참조'!$B$2:$CE$83,MATCH("찹쌀(국내산)",'🔖 배합비 참조'!$A$2:$A$83,0),MATCH($C241,'🔖 배합비 참조'!$B$1:$CE$1,0))/100,0),""))),"")</f>
        <v>31</v>
      </c>
      <c r="BV241" s="39" t="n">
        <f aca="false">IFERROR(IF($C241="","",IF($D241="","",IFERROR(ROUND($D241*INDEX('🔖 배합비 참조'!$B$2:$CE$83,MATCH("천일염",'🔖 배합비 참조'!$A$2:$A$83,0),MATCH($C241,'🔖 배합비 참조'!$B$1:$CE$1,0))/100,0),""))),"")</f>
        <v>1</v>
      </c>
      <c r="BW241" s="39" t="n">
        <f aca="false">IFERROR(IF($C241="","",IF($D241="","",IFERROR(ROUND($D241*INDEX('🔖 배합비 참조'!$B$2:$CE$83,MATCH("치즈 [크림치즈]",'🔖 배합비 참조'!$A$2:$A$83,0),MATCH($C241,'🔖 배합비 참조'!$B$1:$CE$1,0))/100,0),""))),"")</f>
        <v>0</v>
      </c>
      <c r="BX241" s="39" t="n">
        <f aca="false">IFERROR(IF($C241="","",IF($D241="","",IFERROR(ROUND($D241*INDEX('🔖 배합비 참조'!$B$2:$CE$83,MATCH("코코아가공품류(코코아분말)",'🔖 배합비 참조'!$A$2:$A$83,0),MATCH($C241,'🔖 배합비 참조'!$B$1:$CE$1,0))/100,0),""))),"")</f>
        <v>0</v>
      </c>
      <c r="BY241" s="39" t="n">
        <f aca="false">IFERROR(IF($C241="","",IF($D241="","",IFERROR(ROUND($D241*INDEX('🔖 배합비 참조'!$B$2:$CE$83,MATCH("콩기름(대두유)",'🔖 배합비 참조'!$A$2:$A$83,0),MATCH($C241,'🔖 배합비 참조'!$B$1:$CE$1,0))/100,0),""))),"")</f>
        <v>0</v>
      </c>
      <c r="BZ241" s="39" t="n">
        <f aca="false">IFERROR(IF($C241="","",IF($D241="","",IFERROR(ROUND($D241*INDEX('🔖 배합비 참조'!$B$2:$CE$83,MATCH("해바라기씨앗",'🔖 배합비 참조'!$A$2:$A$83,0),MATCH($C241,'🔖 배합비 참조'!$B$1:$CE$1,0))/100,0),""))),"")</f>
        <v>0</v>
      </c>
      <c r="CA241" s="39" t="n">
        <f aca="false">IFERROR(IF($C241="","",IF($D241="","",IFERROR(ROUND($D241*INDEX('🔖 배합비 참조'!$B$2:$CE$83,MATCH("현미(국내산)",'🔖 배합비 참조'!$A$2:$A$83,0),MATCH($C241,'🔖 배합비 참조'!$B$1:$CE$1,0))/100,0),""))),"")</f>
        <v>0</v>
      </c>
      <c r="CB241" s="39" t="n">
        <f aca="false">IFERROR(IF($C241="","",IF($D241="","",IFERROR(ROUND($D241*INDEX('🔖 배합비 참조'!$B$2:$CE$83,MATCH("현미멥쌀(국내산)",'🔖 배합비 참조'!$A$2:$A$83,0),MATCH($C241,'🔖 배합비 참조'!$B$1:$CE$1,0))/100,0),""))),"")</f>
        <v>0</v>
      </c>
      <c r="CC241" s="39" t="n">
        <f aca="false">IFERROR(IF($C241="","",IF($D241="","",IFERROR(ROUND($D241*INDEX('🔖 배합비 참조'!$B$2:$CE$83,MATCH("호두분태(미국산)",'🔖 배합비 참조'!$A$2:$A$83,0),MATCH($C241,'🔖 배합비 참조'!$B$1:$CE$1,0))/100,0),""))),"")</f>
        <v>0</v>
      </c>
      <c r="CD241" s="39" t="n">
        <f aca="false">IFERROR(IF($C241="","",IF($D241="","",IFERROR(ROUND($D241*INDEX('🔖 배합비 참조'!$B$2:$CE$83,MATCH("호박씨앗(외국산)",'🔖 배합비 참조'!$A$2:$A$83,0),MATCH($C241,'🔖 배합비 참조'!$B$1:$CE$1,0))/100,0),""))),"")</f>
        <v>0</v>
      </c>
      <c r="CE241" s="39" t="n">
        <f aca="false">IFERROR(IF($C241="","",IF($D241="","",IFERROR(ROUND($D241*INDEX('🔖 배합비 참조'!$B$2:$CE$83,MATCH("혼합제제(떡용에스텔)",'🔖 배합비 참조'!$A$2:$A$83,0),MATCH($C241,'🔖 배합비 참조'!$B$1:$CE$1,0))/100,0),""))),"")</f>
        <v>0</v>
      </c>
      <c r="CF241" s="39" t="n">
        <f aca="false">IFERROR(IF($C241="","",IF($D241="","",IFERROR(ROUND($D241*INDEX('🔖 배합비 참조'!$B$2:$CE$83,MATCH("혼합제제(스테비아)",'🔖 배합비 참조'!$A$2:$A$83,0),MATCH($C241,'🔖 배합비 참조'!$B$1:$CE$1,0))/100,0),""))),"")</f>
        <v>0</v>
      </c>
      <c r="CG241" s="39" t="n">
        <f aca="false">IFERROR(IF($C241="","",IF($D241="","",IFERROR(ROUND($D241*INDEX('🔖 배합비 참조'!$B$2:$CE$83,MATCH("화이트초콜릿",'🔖 배합비 참조'!$A$2:$A$83,0),MATCH($C241,'🔖 배합비 참조'!$B$1:$CE$1,0))/100,0),""))),"")</f>
        <v>0</v>
      </c>
      <c r="CH241" s="39" t="n">
        <f aca="false">IFERROR(IF($C241="","",IF($D241="","",IFERROR(ROUND($D241*INDEX('🔖 배합비 참조'!$B$2:$CE$83,MATCH("흑미찹쌀(국내산)",'🔖 배합비 참조'!$A$2:$A$83,0),MATCH($C241,'🔖 배합비 참조'!$B$1:$CE$1,0))/100,0),""))),"")</f>
        <v>0</v>
      </c>
      <c r="CI241" s="39" t="n">
        <f aca="false">IFERROR(IF($C241="","",IF($D241="","",IFERROR(ROUND($D241*INDEX('🔖 배합비 참조'!$B$2:$CE$83,MATCH("찰옥수수전분(미국산)",'🔖 배합비 참조'!$A$2:$A$83,0),MATCH($C241,'🔖 배합비 참조'!$B$1:$CE$1,0))/100,0),""))),"")</f>
        <v>0</v>
      </c>
      <c r="CJ241" s="40"/>
      <c r="CL241" s="1" t="s">
        <v>247</v>
      </c>
    </row>
    <row r="242" customFormat="false" ht="18" hidden="false" customHeight="true" outlineLevel="0" collapsed="false">
      <c r="A242" s="41" t="n">
        <v>238</v>
      </c>
      <c r="B242" s="36" t="n">
        <v>46078</v>
      </c>
      <c r="C242" s="37" t="s">
        <v>243</v>
      </c>
      <c r="D242" s="38" t="n">
        <v>110</v>
      </c>
      <c r="E242" s="17"/>
      <c r="F242" s="17"/>
      <c r="G242" s="42" t="n">
        <f aca="false">IFERROR(IF($C242="","",IF($D242="","",IFERROR(ROUND($D242*INDEX('🔖 배합비 참조'!$B$2:$CE$83,MATCH("간장",'🔖 배합비 참조'!$A$2:$A$83,0),MATCH($C242,'🔖 배합비 참조'!$B$1:$CE$1,0))/100,0),""))),"")</f>
        <v>0</v>
      </c>
      <c r="H242" s="42" t="n">
        <f aca="false">IFERROR(IF($C242="","",IF($D242="","",IFERROR(ROUND($D242*INDEX('🔖 배합비 참조'!$B$2:$CE$83,MATCH("강낭콩((울타리콩))",'🔖 배합비 참조'!$A$2:$A$83,0),MATCH($C242,'🔖 배합비 참조'!$B$1:$CE$1,0))/100,0),""))),"")</f>
        <v>0</v>
      </c>
      <c r="I242" s="42" t="n">
        <f aca="false">IFERROR(IF($C242="","",IF($D242="","",IFERROR(ROUND($D242*INDEX('🔖 배합비 참조'!$B$2:$CE$83,MATCH("건조딸기다이스(외국산)",'🔖 배합비 참조'!$A$2:$A$83,0),MATCH($C242,'🔖 배합비 참조'!$B$1:$CE$1,0))/100,0),""))),"")</f>
        <v>0</v>
      </c>
      <c r="J242" s="42" t="n">
        <f aca="false">IFERROR(IF($C242="","",IF($D242="","",IFERROR(ROUND($D242*INDEX('🔖 배합비 참조'!$B$2:$CE$83,MATCH("건포도",'🔖 배합비 참조'!$A$2:$A$83,0),MATCH($C242,'🔖 배합비 참조'!$B$1:$CE$1,0))/100,0),""))),"")</f>
        <v>0</v>
      </c>
      <c r="K242" s="42" t="n">
        <f aca="false">IFERROR(IF($C242="","",IF($D242="","",IFERROR(ROUND($D242*INDEX('🔖 배합비 참조'!$B$2:$CE$83,MATCH("건호박채(중국산)",'🔖 배합비 참조'!$A$2:$A$83,0),MATCH($C242,'🔖 배합비 참조'!$B$1:$CE$1,0))/100,0),""))),"")</f>
        <v>0</v>
      </c>
      <c r="L242" s="42" t="n">
        <f aca="false">IFERROR(IF($C242="","",IF($D242="","",IFERROR(ROUND($D242*INDEX('🔖 배합비 참조'!$B$2:$CE$83,MATCH("검정깨(흑임자)",'🔖 배합비 참조'!$A$2:$A$83,0),MATCH($C242,'🔖 배합비 참조'!$B$1:$CE$1,0))/100,0),""))),"")</f>
        <v>0</v>
      </c>
      <c r="M242" s="42" t="n">
        <f aca="false">IFERROR(IF($C242="","",IF($D242="","",IFERROR(ROUND($D242*INDEX('🔖 배합비 참조'!$B$2:$CE$83,MATCH("검정콩",'🔖 배합비 참조'!$A$2:$A$83,0),MATCH($C242,'🔖 배합비 참조'!$B$1:$CE$1,0))/100,0),""))),"")</f>
        <v>0</v>
      </c>
      <c r="N242" s="42" t="n">
        <f aca="false">IFERROR(IF($C242="","",IF($D242="","",IFERROR(ROUND($D242*INDEX('🔖 배합비 참조'!$B$2:$CE$83,MATCH("계피가루",'🔖 배합비 참조'!$A$2:$A$83,0),MATCH($C242,'🔖 배합비 참조'!$B$1:$CE$1,0))/100,0),""))),"")</f>
        <v>0</v>
      </c>
      <c r="O242" s="42" t="n">
        <f aca="false">IFERROR(IF($C242="","",IF($D242="","",IFERROR(ROUND($D242*INDEX('🔖 배합비 참조'!$B$2:$CE$83,MATCH("고구마가루",'🔖 배합비 참조'!$A$2:$A$83,0),MATCH($C242,'🔖 배합비 참조'!$B$1:$CE$1,0))/100,0),""))),"")</f>
        <v>0</v>
      </c>
      <c r="P242" s="42" t="n">
        <f aca="false">IFERROR(IF($C242="","",IF($D242="","",IFERROR(ROUND($D242*INDEX('🔖 배합비 참조'!$B$2:$CE$83,MATCH("고구마무스",'🔖 배합비 참조'!$A$2:$A$83,0),MATCH($C242,'🔖 배합비 참조'!$B$1:$CE$1,0))/100,0),""))),"")</f>
        <v>0</v>
      </c>
      <c r="Q242" s="42" t="n">
        <f aca="false">IFERROR(IF($C242="","",IF($D242="","",IFERROR(ROUND($D242*INDEX('🔖 배합비 참조'!$B$2:$CE$83,MATCH("고려엉겅퀴((곤드레)국내산)",'🔖 배합비 참조'!$A$2:$A$83,0),MATCH($C242,'🔖 배합비 참조'!$B$1:$CE$1,0))/100,0),""))),"")</f>
        <v>0</v>
      </c>
      <c r="R242" s="42" t="n">
        <f aca="false">IFERROR(IF($C242="","",IF($D242="","",IFERROR(ROUND($D242*INDEX('🔖 배합비 참조'!$B$2:$CE$83,MATCH("기타가공품(복분자가루)",'🔖 배합비 참조'!$A$2:$A$83,0),MATCH($C242,'🔖 배합비 참조'!$B$1:$CE$1,0))/100,0),""))),"")</f>
        <v>0</v>
      </c>
      <c r="S242" s="42" t="n">
        <f aca="false">IFERROR(IF($C242="","",IF($D242="","",IFERROR(ROUND($D242*INDEX('🔖 배합비 참조'!$B$2:$CE$83,MATCH("기타가공품(슈퍼소프트엠)",'🔖 배합비 참조'!$A$2:$A$83,0),MATCH($C242,'🔖 배합비 참조'!$B$1:$CE$1,0))/100,0),""))),"")</f>
        <v>0</v>
      </c>
      <c r="T242" s="42" t="n">
        <f aca="false">IFERROR(IF($C242="","",IF($D242="","",IFERROR(ROUND($D242*INDEX('🔖 배합비 참조'!$B$2:$CE$83,MATCH("기타가공품(파인소프트 E-티)",'🔖 배합비 참조'!$A$2:$A$83,0),MATCH($C242,'🔖 배합비 참조'!$B$1:$CE$1,0))/100,0),""))),"")</f>
        <v>0</v>
      </c>
      <c r="U242" s="42" t="n">
        <f aca="false">IFERROR(IF($C242="","",IF($D242="","",IFERROR(ROUND($D242*INDEX('🔖 배합비 참조'!$B$2:$CE$83,MATCH("기타가공품(프리미엄카스테라가루)",'🔖 배합비 참조'!$A$2:$A$83,0),MATCH($C242,'🔖 배합비 참조'!$B$1:$CE$1,0))/100,0),""))),"")</f>
        <v>3</v>
      </c>
      <c r="V242" s="42" t="n">
        <f aca="false">IFERROR(IF($C242="","",IF($D242="","",IFERROR(ROUND($D242*INDEX('🔖 배합비 참조'!$B$2:$CE$83,MATCH("기타가공품(흑임자가루)",'🔖 배합비 참조'!$A$2:$A$83,0),MATCH($C242,'🔖 배합비 참조'!$B$1:$CE$1,0))/100,0),""))),"")</f>
        <v>0</v>
      </c>
      <c r="W242" s="42" t="n">
        <f aca="false">IFERROR(IF($C242="","",IF($D242="","",IFERROR(ROUND($D242*INDEX('🔖 배합비 참조'!$B$2:$CE$83,MATCH("기타설탕(흑설탕)",'🔖 배합비 참조'!$A$2:$A$83,0),MATCH($C242,'🔖 배합비 참조'!$B$1:$CE$1,0))/100,0),""))),"")</f>
        <v>0</v>
      </c>
      <c r="X242" s="42" t="n">
        <f aca="false">IFERROR(IF($C242="","",IF($D242="","",IFERROR(ROUND($D242*INDEX('🔖 배합비 참조'!$B$2:$CE$83,MATCH("냉동쑥(국내산)",'🔖 배합비 참조'!$A$2:$A$83,0),MATCH($C242,'🔖 배합비 참조'!$B$1:$CE$1,0))/100,0),""))),"")</f>
        <v>0</v>
      </c>
      <c r="Y242" s="42" t="n">
        <f aca="false">IFERROR(IF($C242="","",IF($D242="","",IFERROR(ROUND($D242*INDEX('🔖 배합비 참조'!$B$2:$CE$83,MATCH("냉동증숙고구마(중국산)",'🔖 배합비 참조'!$A$2:$A$83,0),MATCH($C242,'🔖 배합비 참조'!$B$1:$CE$1,0))/100,0),""))),"")</f>
        <v>0</v>
      </c>
      <c r="Z242" s="42" t="n">
        <f aca="false">IFERROR(IF($C242="","",IF($D242="","",IFERROR(ROUND($D242*INDEX('🔖 배합비 참조'!$B$2:$CE$83,MATCH("녹차가루",'🔖 배합비 참조'!$A$2:$A$83,0),MATCH($C242,'🔖 배합비 참조'!$B$1:$CE$1,0))/100,0),""))),"")</f>
        <v>0</v>
      </c>
      <c r="AA242" s="42" t="n">
        <f aca="false">IFERROR(IF($C242="","",IF($D242="","",IFERROR(ROUND($D242*INDEX('🔖 배합비 참조'!$B$2:$CE$83,MATCH("다크초콜릿 컴파운드칩",'🔖 배합비 참조'!$A$2:$A$83,0),MATCH($C242,'🔖 배합비 참조'!$B$1:$CE$1,0))/100,0),""))),"")</f>
        <v>0</v>
      </c>
      <c r="AB242" s="42" t="n">
        <f aca="false">IFERROR(IF($C242="","",IF($D242="","",IFERROR(ROUND($D242*INDEX('🔖 배합비 참조'!$B$2:$CE$83,MATCH("단호박분말(중국산)",'🔖 배합비 참조'!$A$2:$A$83,0),MATCH($C242,'🔖 배합비 참조'!$B$1:$CE$1,0))/100,0),""))),"")</f>
        <v>0</v>
      </c>
      <c r="AC242" s="42" t="n">
        <f aca="false">IFERROR(IF($C242="","",IF($D242="","",IFERROR(ROUND($D242*INDEX('🔖 배합비 참조'!$B$2:$CE$83,MATCH("당류가공품(단호박농축액)",'🔖 배합비 참조'!$A$2:$A$83,0),MATCH($C242,'🔖 배합비 참조'!$B$1:$CE$1,0))/100,0),""))),"")</f>
        <v>0</v>
      </c>
      <c r="AD242" s="42" t="n">
        <f aca="false">IFERROR(IF($C242="","",IF($D242="","",IFERROR(ROUND($D242*INDEX('🔖 배합비 참조'!$B$2:$CE$83,MATCH("당류가공품(알룰로스,에리스리톨,스테비올배당체혼합)",'🔖 배합비 참조'!$A$2:$A$83,0),MATCH($C242,'🔖 배합비 참조'!$B$1:$CE$1,0))/100,0),""))),"")</f>
        <v>0</v>
      </c>
      <c r="AE242" s="42" t="n">
        <f aca="false">IFERROR(IF($C242="","",IF($D242="","",IFERROR(ROUND($D242*INDEX('🔖 배합비 참조'!$B$2:$CE$83,MATCH("당류가공품(알룰로스제로파우더)",'🔖 배합비 참조'!$A$2:$A$83,0),MATCH($C242,'🔖 배합비 참조'!$B$1:$CE$1,0))/100,0),""))),"")</f>
        <v>0</v>
      </c>
      <c r="AF242" s="42" t="n">
        <f aca="false">IFERROR(IF($C242="","",IF($D242="","",IFERROR(ROUND($D242*INDEX('🔖 배합비 참조'!$B$2:$CE$83,MATCH("당절임(완두배기)",'🔖 배합비 참조'!$A$2:$A$83,0),MATCH($C242,'🔖 배합비 참조'!$B$1:$CE$1,0))/100,0),""))),"")</f>
        <v>0</v>
      </c>
      <c r="AG242" s="42" t="n">
        <f aca="false">IFERROR(IF($C242="","",IF($D242="","",IFERROR(ROUND($D242*INDEX('🔖 배합비 참조'!$B$2:$CE$83,MATCH("대추농축액",'🔖 배합비 참조'!$A$2:$A$83,0),MATCH($C242,'🔖 배합비 참조'!$B$1:$CE$1,0))/100,0),""))),"")</f>
        <v>0</v>
      </c>
      <c r="AH242" s="42" t="n">
        <f aca="false">IFERROR(IF($C242="","",IF($D242="","",IFERROR(ROUND($D242*INDEX('🔖 배합비 참조'!$B$2:$CE$83,MATCH("대추채(국내산)",'🔖 배합비 참조'!$A$2:$A$83,0),MATCH($C242,'🔖 배합비 참조'!$B$1:$CE$1,0))/100,0),""))),"")</f>
        <v>0</v>
      </c>
      <c r="AI242" s="42" t="n">
        <f aca="false">IFERROR(IF($C242="","",IF($D242="","",IFERROR(ROUND($D242*INDEX('🔖 배합비 참조'!$B$2:$CE$83,MATCH("동부(미얀마산)",'🔖 배합비 참조'!$A$2:$A$83,0),MATCH($C242,'🔖 배합비 참조'!$B$1:$CE$1,0))/100,0),""))),"")</f>
        <v>0</v>
      </c>
      <c r="AJ242" s="42" t="n">
        <f aca="false">IFERROR(IF($C242="","",IF($D242="","",IFERROR(ROUND($D242*INDEX('🔖 배합비 참조'!$B$2:$CE$83,MATCH("두류가공품(백옥앙금)",'🔖 배합비 참조'!$A$2:$A$83,0),MATCH($C242,'🔖 배합비 참조'!$B$1:$CE$1,0))/100,0),""))),"")</f>
        <v>0</v>
      </c>
      <c r="AK242" s="42" t="n">
        <f aca="false">IFERROR(IF($C242="","",IF($D242="","",IFERROR(ROUND($D242*INDEX('🔖 배합비 참조'!$B$2:$CE$83,MATCH("두류가공품(콩고물)",'🔖 배합비 참조'!$A$2:$A$83,0),MATCH($C242,'🔖 배합비 참조'!$B$1:$CE$1,0))/100,0),""))),"")</f>
        <v>0</v>
      </c>
      <c r="AL242" s="42" t="n">
        <f aca="false">IFERROR(IF($C242="","",IF($D242="","",IFERROR(ROUND($D242*INDEX('🔖 배합비 참조'!$B$2:$CE$83,MATCH("두류가공품(통팥고물)",'🔖 배합비 참조'!$A$2:$A$83,0),MATCH($C242,'🔖 배합비 참조'!$B$1:$CE$1,0))/100,0),""))),"")</f>
        <v>0</v>
      </c>
      <c r="AM242" s="42" t="n">
        <f aca="false">IFERROR(IF($C242="","",IF($D242="","",IFERROR(ROUND($D242*INDEX('🔖 배합비 참조'!$B$2:$CE$83,MATCH("딸기레진",'🔖 배합비 참조'!$A$2:$A$83,0),MATCH($C242,'🔖 배합비 참조'!$B$1:$CE$1,0))/100,0),""))),"")</f>
        <v>0</v>
      </c>
      <c r="AN242" s="42" t="n">
        <f aca="false">IFERROR(IF($C242="","",IF($D242="","",IFERROR(ROUND($D242*INDEX('🔖 배합비 참조'!$B$2:$CE$83,MATCH("딸기분말(스트로우베리에이드(분말))",'🔖 배합비 참조'!$A$2:$A$83,0),MATCH($C242,'🔖 배합비 참조'!$B$1:$CE$1,0))/100,0),""))),"")</f>
        <v>0</v>
      </c>
      <c r="AO242" s="42" t="n">
        <f aca="false">IFERROR(IF($C242="","",IF($D242="","",IFERROR(ROUND($D242*INDEX('🔖 배합비 참조'!$B$2:$CE$83,MATCH("마스카포네치즈",'🔖 배합비 참조'!$A$2:$A$83,0),MATCH($C242,'🔖 배합비 참조'!$B$1:$CE$1,0))/100,0),""))),"")</f>
        <v>8</v>
      </c>
      <c r="AP242" s="42" t="n">
        <f aca="false">IFERROR(IF($C242="","",IF($D242="","",IFERROR(ROUND($D242*INDEX('🔖 배합비 참조'!$B$2:$CE$83,MATCH("마카다미아분태(호주산)",'🔖 배합비 참조'!$A$2:$A$83,0),MATCH($C242,'🔖 배합비 참조'!$B$1:$CE$1,0))/100,0),""))),"")</f>
        <v>0</v>
      </c>
      <c r="AQ242" s="42" t="n">
        <f aca="false">IFERROR(IF($C242="","",IF($D242="","",IFERROR(ROUND($D242*INDEX('🔖 배합비 참조'!$B$2:$CE$83,MATCH("멥쌀(국내산)",'🔖 배합비 참조'!$A$2:$A$83,0),MATCH($C242,'🔖 배합비 참조'!$B$1:$CE$1,0))/100,0),""))),"")</f>
        <v>0</v>
      </c>
      <c r="AR242" s="42" t="n">
        <f aca="false">IFERROR(IF($C242="","",IF($D242="","",IFERROR(ROUND($D242*INDEX('🔖 배합비 참조'!$B$2:$CE$83,MATCH("모시잎(국내산)",'🔖 배합비 참조'!$A$2:$A$83,0),MATCH($C242,'🔖 배합비 참조'!$B$1:$CE$1,0))/100,0),""))),"")</f>
        <v>0</v>
      </c>
      <c r="AS242" s="42" t="n">
        <f aca="false">IFERROR(IF($C242="","",IF($D242="","",IFERROR(ROUND($D242*INDEX('🔖 배합비 참조'!$B$2:$CE$83,MATCH("물엿(저당물엿)",'🔖 배합비 참조'!$A$2:$A$83,0),MATCH($C242,'🔖 배합비 참조'!$B$1:$CE$1,0))/100,0),""))),"")</f>
        <v>6</v>
      </c>
      <c r="AT242" s="42" t="n">
        <f aca="false">IFERROR(IF($C242="","",IF($D242="","",IFERROR(ROUND($D242*INDEX('🔖 배합비 참조'!$B$2:$CE$83,MATCH("밤다이스",'🔖 배합비 참조'!$A$2:$A$83,0),MATCH($C242,'🔖 배합비 참조'!$B$1:$CE$1,0))/100,0),""))),"")</f>
        <v>0</v>
      </c>
      <c r="AU242" s="42" t="n">
        <f aca="false">IFERROR(IF($C242="","",IF($D242="","",IFERROR(ROUND($D242*INDEX('🔖 배합비 참조'!$B$2:$CE$83,MATCH("변성전분(타피오카전분)",'🔖 배합비 참조'!$A$2:$A$83,0),MATCH($C242,'🔖 배합비 참조'!$B$1:$CE$1,0))/100,0),""))),"")</f>
        <v>0</v>
      </c>
      <c r="AV242" s="42" t="n">
        <f aca="false">IFERROR(IF($C242="","",IF($D242="","",IFERROR(ROUND($D242*INDEX('🔖 배합비 참조'!$B$2:$CE$83,MATCH("복음땅콩분태",'🔖 배합비 참조'!$A$2:$A$83,0),MATCH($C242,'🔖 배합비 참조'!$B$1:$CE$1,0))/100,0),""))),"")</f>
        <v>0</v>
      </c>
      <c r="AW242" s="42" t="n">
        <f aca="false">IFERROR(IF($C242="","",IF($D242="","",IFERROR(ROUND($D242*INDEX('🔖 배합비 참조'!$B$2:$CE$83,MATCH("사양벌꿀(국내산)",'🔖 배합비 참조'!$A$2:$A$83,0),MATCH($C242,'🔖 배합비 참조'!$B$1:$CE$1,0))/100,0),""))),"")</f>
        <v>0</v>
      </c>
      <c r="AX242" s="42" t="n">
        <f aca="false">IFERROR(IF($C242="","",IF($D242="","",IFERROR(ROUND($D242*INDEX('🔖 배합비 참조'!$B$2:$CE$83,MATCH("생크림",'🔖 배합비 참조'!$A$2:$A$83,0),MATCH($C242,'🔖 배합비 참조'!$B$1:$CE$1,0))/100,0),""))),"")</f>
        <v>7</v>
      </c>
      <c r="AY242" s="42" t="n">
        <f aca="false">IFERROR(IF($C242="","",IF($D242="","",IFERROR(ROUND($D242*INDEX('🔖 배합비 참조'!$B$2:$CE$83,MATCH("서양호박(국내산,뉴질랜드산)",'🔖 배합비 참조'!$A$2:$A$83,0),MATCH($C242,'🔖 배합비 참조'!$B$1:$CE$1,0))/100,0),""))),"")</f>
        <v>0</v>
      </c>
      <c r="AZ242" s="42" t="n">
        <f aca="false">IFERROR(IF($C242="","",IF($D242="","",IFERROR(ROUND($D242*INDEX('🔖 배합비 참조'!$B$2:$CE$83,MATCH("설탕",'🔖 배합비 참조'!$A$2:$A$83,0),MATCH($C242,'🔖 배합비 참조'!$B$1:$CE$1,0))/100,0),""))),"")</f>
        <v>2</v>
      </c>
      <c r="BA242" s="42" t="n">
        <f aca="false">IFERROR(IF($C242="","",IF($D242="","",IFERROR(ROUND($D242*INDEX('🔖 배합비 참조'!$B$2:$CE$83,MATCH("스트로우베리 에이드 후레쉬",'🔖 배합비 참조'!$A$2:$A$83,0),MATCH($C242,'🔖 배합비 참조'!$B$1:$CE$1,0))/100,0),""))),"")</f>
        <v>0</v>
      </c>
      <c r="BB242" s="42" t="n">
        <f aca="false">IFERROR(IF($C242="","",IF($D242="","",IFERROR(ROUND($D242*INDEX('🔖 배합비 참조'!$B$2:$CE$83,MATCH("식물성기름혼합제제(분홍)",'🔖 배합비 참조'!$A$2:$A$83,0),MATCH($C242,'🔖 배합비 참조'!$B$1:$CE$1,0))/100,0),""))),"")</f>
        <v>0</v>
      </c>
      <c r="BC242" s="42" t="n">
        <f aca="false">IFERROR(IF($C242="","",IF($D242="","",IFERROR(ROUND($D242*INDEX('🔖 배합비 참조'!$B$2:$CE$83,MATCH("식물성기름혼합제제(초록)",'🔖 배합비 참조'!$A$2:$A$83,0),MATCH($C242,'🔖 배합비 참조'!$B$1:$CE$1,0))/100,0),""))),"")</f>
        <v>0</v>
      </c>
      <c r="BD242" s="42" t="n">
        <f aca="false">IFERROR(IF($C242="","",IF($D242="","",IFERROR(ROUND($D242*INDEX('🔖 배합비 참조'!$B$2:$CE$83,MATCH("식물성기름혼합제제(황색)",'🔖 배합비 참조'!$A$2:$A$83,0),MATCH($C242,'🔖 배합비 참조'!$B$1:$CE$1,0))/100,0),""))),"")</f>
        <v>0</v>
      </c>
      <c r="BE242" s="42" t="n">
        <f aca="false">IFERROR(IF($C242="","",IF($D242="","",IFERROR(ROUND($D242*INDEX('🔖 배합비 참조'!$B$2:$CE$83,MATCH("쑥가루(국내산)",'🔖 배합비 참조'!$A$2:$A$83,0),MATCH($C242,'🔖 배합비 참조'!$B$1:$CE$1,0))/100,0),""))),"")</f>
        <v>0</v>
      </c>
      <c r="BF242" s="42" t="n">
        <f aca="false">IFERROR(IF($C242="","",IF($D242="","",IFERROR(ROUND($D242*INDEX('🔖 배합비 참조'!$B$2:$CE$83,MATCH("아몬드슬라이스",'🔖 배합비 참조'!$A$2:$A$83,0),MATCH($C242,'🔖 배합비 참조'!$B$1:$CE$1,0))/100,0),""))),"")</f>
        <v>0</v>
      </c>
      <c r="BG242" s="42" t="n">
        <f aca="false">IFERROR(IF($C242="","",IF($D242="","",IFERROR(ROUND($D242*INDEX('🔖 배합비 참조'!$B$2:$CE$83,MATCH("알룰로오스(국내산)",'🔖 배합비 참조'!$A$2:$A$83,0),MATCH($C242,'🔖 배합비 참조'!$B$1:$CE$1,0))/100,0),""))),"")</f>
        <v>0</v>
      </c>
      <c r="BH242" s="42" t="n">
        <f aca="false">IFERROR(IF($C242="","",IF($D242="","",IFERROR(ROUND($D242*INDEX('🔖 배합비 참조'!$B$2:$CE$83,MATCH("연유",'🔖 배합비 참조'!$A$2:$A$83,0),MATCH($C242,'🔖 배합비 참조'!$B$1:$CE$1,0))/100,0),""))),"")</f>
        <v>1</v>
      </c>
      <c r="BI242" s="42" t="n">
        <f aca="false">IFERROR(IF($C242="","",IF($D242="","",IFERROR(ROUND($D242*INDEX('🔖 배합비 참조'!$B$2:$CE$83,MATCH("옥수수전분",'🔖 배합비 참조'!$A$2:$A$83,0),MATCH($C242,'🔖 배합비 참조'!$B$1:$CE$1,0))/100,0),""))),"")</f>
        <v>0</v>
      </c>
      <c r="BJ242" s="42" t="n">
        <f aca="false">IFERROR(IF($C242="","",IF($D242="","",IFERROR(ROUND($D242*INDEX('🔖 배합비 참조'!$B$2:$CE$83,MATCH("완두배기",'🔖 배합비 참조'!$A$2:$A$83,0),MATCH($C242,'🔖 배합비 참조'!$B$1:$CE$1,0))/100,0),""))),"")</f>
        <v>0</v>
      </c>
      <c r="BK242" s="42" t="n">
        <f aca="false">IFERROR(IF($C242="","",IF($D242="","",IFERROR(ROUND($D242*INDEX('🔖 배합비 참조'!$B$2:$CE$83,MATCH("우유(국내산)",'🔖 배합비 참조'!$A$2:$A$83,0),MATCH($C242,'🔖 배합비 참조'!$B$1:$CE$1,0))/100,0),""))),"")</f>
        <v>0</v>
      </c>
      <c r="BL242" s="42" t="n">
        <f aca="false">IFERROR(IF($C242="","",IF($D242="","",IFERROR(ROUND($D242*INDEX('🔖 배합비 참조'!$B$2:$CE$83,MATCH("자색고구마가루(중국산)",'🔖 배합비 참조'!$A$2:$A$83,0),MATCH($C242,'🔖 배합비 참조'!$B$1:$CE$1,0))/100,0),""))),"")</f>
        <v>0</v>
      </c>
      <c r="BM242" s="42" t="n">
        <f aca="false">IFERROR(IF($C242="","",IF($D242="","",IFERROR(ROUND($D242*INDEX('🔖 배합비 참조'!$B$2:$CE$83,MATCH("자연치즈(체다치즈)",'🔖 배합비 참조'!$A$2:$A$83,0),MATCH($C242,'🔖 배합비 참조'!$B$1:$CE$1,0))/100,0),""))),"")</f>
        <v>0</v>
      </c>
      <c r="BN242" s="42" t="n">
        <f aca="false">IFERROR(IF($C242="","",IF($D242="","",IFERROR(ROUND($D242*INDEX('🔖 배합비 참조'!$B$2:$CE$83,MATCH("정제수",'🔖 배합비 참조'!$A$2:$A$83,0),MATCH($C242,'🔖 배합비 참조'!$B$1:$CE$1,0))/100,0),""))),"")</f>
        <v>3</v>
      </c>
      <c r="BO242" s="42" t="n">
        <f aca="false">IFERROR(IF($C242="","",IF($D242="","",IFERROR(ROUND($D242*INDEX('🔖 배합비 참조'!$B$2:$CE$83,MATCH("젤라틴",'🔖 배합비 참조'!$A$2:$A$83,0),MATCH($C242,'🔖 배합비 참조'!$B$1:$CE$1,0))/100,0),""))),"")</f>
        <v>0</v>
      </c>
      <c r="BP242" s="42" t="n">
        <f aca="false">IFERROR(IF($C242="","",IF($D242="","",IFERROR(ROUND($D242*INDEX('🔖 배합비 참조'!$B$2:$CE$83,MATCH("조림류(백옥앙금)",'🔖 배합비 참조'!$A$2:$A$83,0),MATCH($C242,'🔖 배합비 참조'!$B$1:$CE$1,0))/100,0),""))),"")</f>
        <v>11</v>
      </c>
      <c r="BQ242" s="42" t="n">
        <f aca="false">IFERROR(IF($C242="","",IF($D242="","",IFERROR(ROUND($D242*INDEX('🔖 배합비 참조'!$B$2:$CE$83,MATCH("조림류(통팥앙금)",'🔖 배합비 참조'!$A$2:$A$83,0),MATCH($C242,'🔖 배합비 참조'!$B$1:$CE$1,0))/100,0),""))),"")</f>
        <v>0</v>
      </c>
      <c r="BR242" s="42" t="n">
        <f aca="false">IFERROR(IF($C242="","",IF($D242="","",IFERROR(ROUND($D242*INDEX('🔖 배합비 참조'!$B$2:$CE$83,MATCH("준초콜릿(외국산)",'🔖 배합비 참조'!$A$2:$A$83,0),MATCH($C242,'🔖 배합비 참조'!$B$1:$CE$1,0))/100,0),""))),"")</f>
        <v>0</v>
      </c>
      <c r="BS242" s="42" t="n">
        <f aca="false">IFERROR(IF($C242="","",IF($D242="","",IFERROR(ROUND($D242*INDEX('🔖 배합비 참조'!$B$2:$CE$83,MATCH("중력분",'🔖 배합비 참조'!$A$2:$A$83,0),MATCH($C242,'🔖 배합비 참조'!$B$1:$CE$1,0))/100,0),""))),"")</f>
        <v>0</v>
      </c>
      <c r="BT242" s="42" t="n">
        <f aca="false">IFERROR(IF($C242="","",IF($D242="","",IFERROR(ROUND($D242*INDEX('🔖 배합비 참조'!$B$2:$CE$83,MATCH("참깨(인도산,나이지리아산,탄자니아산,미얀마산)",'🔖 배합비 참조'!$A$2:$A$83,0),MATCH($C242,'🔖 배합비 참조'!$B$1:$CE$1,0))/100,0),""))),"")</f>
        <v>0</v>
      </c>
      <c r="BU242" s="42" t="n">
        <f aca="false">IFERROR(IF($C242="","",IF($D242="","",IFERROR(ROUND($D242*INDEX('🔖 배합비 참조'!$B$2:$CE$83,MATCH("찹쌀(국내산)",'🔖 배합비 참조'!$A$2:$A$83,0),MATCH($C242,'🔖 배합비 참조'!$B$1:$CE$1,0))/100,0),""))),"")</f>
        <v>59</v>
      </c>
      <c r="BV242" s="42" t="n">
        <f aca="false">IFERROR(IF($C242="","",IF($D242="","",IFERROR(ROUND($D242*INDEX('🔖 배합비 참조'!$B$2:$CE$83,MATCH("천일염",'🔖 배합비 참조'!$A$2:$A$83,0),MATCH($C242,'🔖 배합비 참조'!$B$1:$CE$1,0))/100,0),""))),"")</f>
        <v>0</v>
      </c>
      <c r="BW242" s="42" t="n">
        <f aca="false">IFERROR(IF($C242="","",IF($D242="","",IFERROR(ROUND($D242*INDEX('🔖 배합비 참조'!$B$2:$CE$83,MATCH("치즈 [크림치즈]",'🔖 배합비 참조'!$A$2:$A$83,0),MATCH($C242,'🔖 배합비 참조'!$B$1:$CE$1,0))/100,0),""))),"")</f>
        <v>7</v>
      </c>
      <c r="BX242" s="42" t="n">
        <f aca="false">IFERROR(IF($C242="","",IF($D242="","",IFERROR(ROUND($D242*INDEX('🔖 배합비 참조'!$B$2:$CE$83,MATCH("코코아가공품류(코코아분말)",'🔖 배합비 참조'!$A$2:$A$83,0),MATCH($C242,'🔖 배합비 참조'!$B$1:$CE$1,0))/100,0),""))),"")</f>
        <v>0</v>
      </c>
      <c r="BY242" s="42" t="n">
        <f aca="false">IFERROR(IF($C242="","",IF($D242="","",IFERROR(ROUND($D242*INDEX('🔖 배합비 참조'!$B$2:$CE$83,MATCH("콩기름(대두유)",'🔖 배합비 참조'!$A$2:$A$83,0),MATCH($C242,'🔖 배합비 참조'!$B$1:$CE$1,0))/100,0),""))),"")</f>
        <v>0</v>
      </c>
      <c r="BZ242" s="42" t="n">
        <f aca="false">IFERROR(IF($C242="","",IF($D242="","",IFERROR(ROUND($D242*INDEX('🔖 배합비 참조'!$B$2:$CE$83,MATCH("해바라기씨앗",'🔖 배합비 참조'!$A$2:$A$83,0),MATCH($C242,'🔖 배합비 참조'!$B$1:$CE$1,0))/100,0),""))),"")</f>
        <v>0</v>
      </c>
      <c r="CA242" s="42" t="n">
        <f aca="false">IFERROR(IF($C242="","",IF($D242="","",IFERROR(ROUND($D242*INDEX('🔖 배합비 참조'!$B$2:$CE$83,MATCH("현미(국내산)",'🔖 배합비 참조'!$A$2:$A$83,0),MATCH($C242,'🔖 배합비 참조'!$B$1:$CE$1,0))/100,0),""))),"")</f>
        <v>0</v>
      </c>
      <c r="CB242" s="42" t="n">
        <f aca="false">IFERROR(IF($C242="","",IF($D242="","",IFERROR(ROUND($D242*INDEX('🔖 배합비 참조'!$B$2:$CE$83,MATCH("현미멥쌀(국내산)",'🔖 배합비 참조'!$A$2:$A$83,0),MATCH($C242,'🔖 배합비 참조'!$B$1:$CE$1,0))/100,0),""))),"")</f>
        <v>0</v>
      </c>
      <c r="CC242" s="42" t="n">
        <f aca="false">IFERROR(IF($C242="","",IF($D242="","",IFERROR(ROUND($D242*INDEX('🔖 배합비 참조'!$B$2:$CE$83,MATCH("호두분태(미국산)",'🔖 배합비 참조'!$A$2:$A$83,0),MATCH($C242,'🔖 배합비 참조'!$B$1:$CE$1,0))/100,0),""))),"")</f>
        <v>0</v>
      </c>
      <c r="CD242" s="42" t="n">
        <f aca="false">IFERROR(IF($C242="","",IF($D242="","",IFERROR(ROUND($D242*INDEX('🔖 배합비 참조'!$B$2:$CE$83,MATCH("호박씨앗(외국산)",'🔖 배합비 참조'!$A$2:$A$83,0),MATCH($C242,'🔖 배합비 참조'!$B$1:$CE$1,0))/100,0),""))),"")</f>
        <v>0</v>
      </c>
      <c r="CE242" s="42" t="n">
        <f aca="false">IFERROR(IF($C242="","",IF($D242="","",IFERROR(ROUND($D242*INDEX('🔖 배합비 참조'!$B$2:$CE$83,MATCH("혼합제제(떡용에스텔)",'🔖 배합비 참조'!$A$2:$A$83,0),MATCH($C242,'🔖 배합비 참조'!$B$1:$CE$1,0))/100,0),""))),"")</f>
        <v>0</v>
      </c>
      <c r="CF242" s="42" t="n">
        <f aca="false">IFERROR(IF($C242="","",IF($D242="","",IFERROR(ROUND($D242*INDEX('🔖 배합비 참조'!$B$2:$CE$83,MATCH("혼합제제(스테비아)",'🔖 배합비 참조'!$A$2:$A$83,0),MATCH($C242,'🔖 배합비 참조'!$B$1:$CE$1,0))/100,0),""))),"")</f>
        <v>0</v>
      </c>
      <c r="CG242" s="42" t="n">
        <f aca="false">IFERROR(IF($C242="","",IF($D242="","",IFERROR(ROUND($D242*INDEX('🔖 배합비 참조'!$B$2:$CE$83,MATCH("화이트초콜릿",'🔖 배합비 참조'!$A$2:$A$83,0),MATCH($C242,'🔖 배합비 참조'!$B$1:$CE$1,0))/100,0),""))),"")</f>
        <v>2</v>
      </c>
      <c r="CH242" s="42" t="n">
        <f aca="false">IFERROR(IF($C242="","",IF($D242="","",IFERROR(ROUND($D242*INDEX('🔖 배합비 참조'!$B$2:$CE$83,MATCH("흑미찹쌀(국내산)",'🔖 배합비 참조'!$A$2:$A$83,0),MATCH($C242,'🔖 배합비 참조'!$B$1:$CE$1,0))/100,0),""))),"")</f>
        <v>0</v>
      </c>
      <c r="CI242" s="42" t="n">
        <f aca="false">IFERROR(IF($C242="","",IF($D242="","",IFERROR(ROUND($D242*INDEX('🔖 배합비 참조'!$B$2:$CE$83,MATCH("찰옥수수전분(미국산)",'🔖 배합비 참조'!$A$2:$A$83,0),MATCH($C242,'🔖 배합비 참조'!$B$1:$CE$1,0))/100,0),""))),"")</f>
        <v>0</v>
      </c>
      <c r="CJ242" s="40"/>
      <c r="CL242" s="1" t="s">
        <v>247</v>
      </c>
    </row>
    <row r="243" customFormat="false" ht="18" hidden="false" customHeight="true" outlineLevel="0" collapsed="false">
      <c r="A243" s="35" t="n">
        <v>239</v>
      </c>
      <c r="B243" s="36" t="n">
        <v>46078</v>
      </c>
      <c r="C243" s="37" t="s">
        <v>163</v>
      </c>
      <c r="D243" s="38" t="n">
        <v>70</v>
      </c>
      <c r="E243" s="13"/>
      <c r="F243" s="13"/>
      <c r="G243" s="39" t="n">
        <f aca="false">IFERROR(IF($C243="","",IF($D243="","",IFERROR(ROUND($D243*INDEX('🔖 배합비 참조'!$B$2:$CE$83,MATCH("간장",'🔖 배합비 참조'!$A$2:$A$83,0),MATCH($C243,'🔖 배합비 참조'!$B$1:$CE$1,0))/100,0),""))),"")</f>
        <v>0</v>
      </c>
      <c r="H243" s="39" t="n">
        <f aca="false">IFERROR(IF($C243="","",IF($D243="","",IFERROR(ROUND($D243*INDEX('🔖 배합비 참조'!$B$2:$CE$83,MATCH("강낭콩((울타리콩))",'🔖 배합비 참조'!$A$2:$A$83,0),MATCH($C243,'🔖 배합비 참조'!$B$1:$CE$1,0))/100,0),""))),"")</f>
        <v>0</v>
      </c>
      <c r="I243" s="39" t="n">
        <f aca="false">IFERROR(IF($C243="","",IF($D243="","",IFERROR(ROUND($D243*INDEX('🔖 배합비 참조'!$B$2:$CE$83,MATCH("건조딸기다이스(외국산)",'🔖 배합비 참조'!$A$2:$A$83,0),MATCH($C243,'🔖 배합비 참조'!$B$1:$CE$1,0))/100,0),""))),"")</f>
        <v>0</v>
      </c>
      <c r="J243" s="39" t="n">
        <f aca="false">IFERROR(IF($C243="","",IF($D243="","",IFERROR(ROUND($D243*INDEX('🔖 배합비 참조'!$B$2:$CE$83,MATCH("건포도",'🔖 배합비 참조'!$A$2:$A$83,0),MATCH($C243,'🔖 배합비 참조'!$B$1:$CE$1,0))/100,0),""))),"")</f>
        <v>0</v>
      </c>
      <c r="K243" s="39" t="n">
        <f aca="false">IFERROR(IF($C243="","",IF($D243="","",IFERROR(ROUND($D243*INDEX('🔖 배합비 참조'!$B$2:$CE$83,MATCH("건호박채(중국산)",'🔖 배합비 참조'!$A$2:$A$83,0),MATCH($C243,'🔖 배합비 참조'!$B$1:$CE$1,0))/100,0),""))),"")</f>
        <v>0</v>
      </c>
      <c r="L243" s="39" t="n">
        <f aca="false">IFERROR(IF($C243="","",IF($D243="","",IFERROR(ROUND($D243*INDEX('🔖 배합비 참조'!$B$2:$CE$83,MATCH("검정깨(흑임자)",'🔖 배합비 참조'!$A$2:$A$83,0),MATCH($C243,'🔖 배합비 참조'!$B$1:$CE$1,0))/100,0),""))),"")</f>
        <v>0</v>
      </c>
      <c r="M243" s="39" t="n">
        <f aca="false">IFERROR(IF($C243="","",IF($D243="","",IFERROR(ROUND($D243*INDEX('🔖 배합비 참조'!$B$2:$CE$83,MATCH("검정콩",'🔖 배합비 참조'!$A$2:$A$83,0),MATCH($C243,'🔖 배합비 참조'!$B$1:$CE$1,0))/100,0),""))),"")</f>
        <v>0</v>
      </c>
      <c r="N243" s="39" t="n">
        <f aca="false">IFERROR(IF($C243="","",IF($D243="","",IFERROR(ROUND($D243*INDEX('🔖 배합비 참조'!$B$2:$CE$83,MATCH("계피가루",'🔖 배합비 참조'!$A$2:$A$83,0),MATCH($C243,'🔖 배합비 참조'!$B$1:$CE$1,0))/100,0),""))),"")</f>
        <v>0</v>
      </c>
      <c r="O243" s="39" t="n">
        <f aca="false">IFERROR(IF($C243="","",IF($D243="","",IFERROR(ROUND($D243*INDEX('🔖 배합비 참조'!$B$2:$CE$83,MATCH("고구마가루",'🔖 배합비 참조'!$A$2:$A$83,0),MATCH($C243,'🔖 배합비 참조'!$B$1:$CE$1,0))/100,0),""))),"")</f>
        <v>0</v>
      </c>
      <c r="P243" s="39" t="n">
        <f aca="false">IFERROR(IF($C243="","",IF($D243="","",IFERROR(ROUND($D243*INDEX('🔖 배합비 참조'!$B$2:$CE$83,MATCH("고구마무스",'🔖 배합비 참조'!$A$2:$A$83,0),MATCH($C243,'🔖 배합비 참조'!$B$1:$CE$1,0))/100,0),""))),"")</f>
        <v>0</v>
      </c>
      <c r="Q243" s="39" t="n">
        <f aca="false">IFERROR(IF($C243="","",IF($D243="","",IFERROR(ROUND($D243*INDEX('🔖 배합비 참조'!$B$2:$CE$83,MATCH("고려엉겅퀴((곤드레)국내산)",'🔖 배합비 참조'!$A$2:$A$83,0),MATCH($C243,'🔖 배합비 참조'!$B$1:$CE$1,0))/100,0),""))),"")</f>
        <v>0</v>
      </c>
      <c r="R243" s="39" t="n">
        <f aca="false">IFERROR(IF($C243="","",IF($D243="","",IFERROR(ROUND($D243*INDEX('🔖 배합비 참조'!$B$2:$CE$83,MATCH("기타가공품(복분자가루)",'🔖 배합비 참조'!$A$2:$A$83,0),MATCH($C243,'🔖 배합비 참조'!$B$1:$CE$1,0))/100,0),""))),"")</f>
        <v>0</v>
      </c>
      <c r="S243" s="39" t="n">
        <f aca="false">IFERROR(IF($C243="","",IF($D243="","",IFERROR(ROUND($D243*INDEX('🔖 배합비 참조'!$B$2:$CE$83,MATCH("기타가공품(슈퍼소프트엠)",'🔖 배합비 참조'!$A$2:$A$83,0),MATCH($C243,'🔖 배합비 참조'!$B$1:$CE$1,0))/100,0),""))),"")</f>
        <v>0</v>
      </c>
      <c r="T243" s="39" t="n">
        <f aca="false">IFERROR(IF($C243="","",IF($D243="","",IFERROR(ROUND($D243*INDEX('🔖 배합비 참조'!$B$2:$CE$83,MATCH("기타가공품(파인소프트 E-티)",'🔖 배합비 참조'!$A$2:$A$83,0),MATCH($C243,'🔖 배합비 참조'!$B$1:$CE$1,0))/100,0),""))),"")</f>
        <v>0</v>
      </c>
      <c r="U243" s="39" t="n">
        <f aca="false">IFERROR(IF($C243="","",IF($D243="","",IFERROR(ROUND($D243*INDEX('🔖 배합비 참조'!$B$2:$CE$83,MATCH("기타가공품(프리미엄카스테라가루)",'🔖 배합비 참조'!$A$2:$A$83,0),MATCH($C243,'🔖 배합비 참조'!$B$1:$CE$1,0))/100,0),""))),"")</f>
        <v>0</v>
      </c>
      <c r="V243" s="39" t="n">
        <f aca="false">IFERROR(IF($C243="","",IF($D243="","",IFERROR(ROUND($D243*INDEX('🔖 배합비 참조'!$B$2:$CE$83,MATCH("기타가공품(흑임자가루)",'🔖 배합비 참조'!$A$2:$A$83,0),MATCH($C243,'🔖 배합비 참조'!$B$1:$CE$1,0))/100,0),""))),"")</f>
        <v>0</v>
      </c>
      <c r="W243" s="39" t="n">
        <f aca="false">IFERROR(IF($C243="","",IF($D243="","",IFERROR(ROUND($D243*INDEX('🔖 배합비 참조'!$B$2:$CE$83,MATCH("기타설탕(흑설탕)",'🔖 배합비 참조'!$A$2:$A$83,0),MATCH($C243,'🔖 배합비 참조'!$B$1:$CE$1,0))/100,0),""))),"")</f>
        <v>0</v>
      </c>
      <c r="X243" s="39" t="n">
        <f aca="false">IFERROR(IF($C243="","",IF($D243="","",IFERROR(ROUND($D243*INDEX('🔖 배합비 참조'!$B$2:$CE$83,MATCH("냉동쑥(국내산)",'🔖 배합비 참조'!$A$2:$A$83,0),MATCH($C243,'🔖 배합비 참조'!$B$1:$CE$1,0))/100,0),""))),"")</f>
        <v>1</v>
      </c>
      <c r="Y243" s="39" t="n">
        <f aca="false">IFERROR(IF($C243="","",IF($D243="","",IFERROR(ROUND($D243*INDEX('🔖 배합비 참조'!$B$2:$CE$83,MATCH("냉동증숙고구마(중국산)",'🔖 배합비 참조'!$A$2:$A$83,0),MATCH($C243,'🔖 배합비 참조'!$B$1:$CE$1,0))/100,0),""))),"")</f>
        <v>0</v>
      </c>
      <c r="Z243" s="39" t="n">
        <f aca="false">IFERROR(IF($C243="","",IF($D243="","",IFERROR(ROUND($D243*INDEX('🔖 배합비 참조'!$B$2:$CE$83,MATCH("녹차가루",'🔖 배합비 참조'!$A$2:$A$83,0),MATCH($C243,'🔖 배합비 참조'!$B$1:$CE$1,0))/100,0),""))),"")</f>
        <v>0</v>
      </c>
      <c r="AA243" s="39" t="n">
        <f aca="false">IFERROR(IF($C243="","",IF($D243="","",IFERROR(ROUND($D243*INDEX('🔖 배합비 참조'!$B$2:$CE$83,MATCH("다크초콜릿 컴파운드칩",'🔖 배합비 참조'!$A$2:$A$83,0),MATCH($C243,'🔖 배합비 참조'!$B$1:$CE$1,0))/100,0),""))),"")</f>
        <v>0</v>
      </c>
      <c r="AB243" s="39" t="n">
        <f aca="false">IFERROR(IF($C243="","",IF($D243="","",IFERROR(ROUND($D243*INDEX('🔖 배합비 참조'!$B$2:$CE$83,MATCH("단호박분말(중국산)",'🔖 배합비 참조'!$A$2:$A$83,0),MATCH($C243,'🔖 배합비 참조'!$B$1:$CE$1,0))/100,0),""))),"")</f>
        <v>0</v>
      </c>
      <c r="AC243" s="39" t="n">
        <f aca="false">IFERROR(IF($C243="","",IF($D243="","",IFERROR(ROUND($D243*INDEX('🔖 배합비 참조'!$B$2:$CE$83,MATCH("당류가공품(단호박농축액)",'🔖 배합비 참조'!$A$2:$A$83,0),MATCH($C243,'🔖 배합비 참조'!$B$1:$CE$1,0))/100,0),""))),"")</f>
        <v>0</v>
      </c>
      <c r="AD243" s="39" t="n">
        <f aca="false">IFERROR(IF($C243="","",IF($D243="","",IFERROR(ROUND($D243*INDEX('🔖 배합비 참조'!$B$2:$CE$83,MATCH("당류가공품(알룰로스,에리스리톨,스테비올배당체혼합)",'🔖 배합비 참조'!$A$2:$A$83,0),MATCH($C243,'🔖 배합비 참조'!$B$1:$CE$1,0))/100,0),""))),"")</f>
        <v>0</v>
      </c>
      <c r="AE243" s="39" t="n">
        <f aca="false">IFERROR(IF($C243="","",IF($D243="","",IFERROR(ROUND($D243*INDEX('🔖 배합비 참조'!$B$2:$CE$83,MATCH("당류가공품(알룰로스제로파우더)",'🔖 배합비 참조'!$A$2:$A$83,0),MATCH($C243,'🔖 배합비 참조'!$B$1:$CE$1,0))/100,0),""))),"")</f>
        <v>0</v>
      </c>
      <c r="AF243" s="39" t="n">
        <f aca="false">IFERROR(IF($C243="","",IF($D243="","",IFERROR(ROUND($D243*INDEX('🔖 배합비 참조'!$B$2:$CE$83,MATCH("당절임(완두배기)",'🔖 배합비 참조'!$A$2:$A$83,0),MATCH($C243,'🔖 배합비 참조'!$B$1:$CE$1,0))/100,0),""))),"")</f>
        <v>0</v>
      </c>
      <c r="AG243" s="39" t="n">
        <f aca="false">IFERROR(IF($C243="","",IF($D243="","",IFERROR(ROUND($D243*INDEX('🔖 배합비 참조'!$B$2:$CE$83,MATCH("대추농축액",'🔖 배합비 참조'!$A$2:$A$83,0),MATCH($C243,'🔖 배합비 참조'!$B$1:$CE$1,0))/100,0),""))),"")</f>
        <v>0</v>
      </c>
      <c r="AH243" s="39" t="n">
        <f aca="false">IFERROR(IF($C243="","",IF($D243="","",IFERROR(ROUND($D243*INDEX('🔖 배합비 참조'!$B$2:$CE$83,MATCH("대추채(국내산)",'🔖 배합비 참조'!$A$2:$A$83,0),MATCH($C243,'🔖 배합비 참조'!$B$1:$CE$1,0))/100,0),""))),"")</f>
        <v>0</v>
      </c>
      <c r="AI243" s="39" t="n">
        <f aca="false">IFERROR(IF($C243="","",IF($D243="","",IFERROR(ROUND($D243*INDEX('🔖 배합비 참조'!$B$2:$CE$83,MATCH("동부(미얀마산)",'🔖 배합비 참조'!$A$2:$A$83,0),MATCH($C243,'🔖 배합비 참조'!$B$1:$CE$1,0))/100,0),""))),"")</f>
        <v>0</v>
      </c>
      <c r="AJ243" s="39" t="n">
        <f aca="false">IFERROR(IF($C243="","",IF($D243="","",IFERROR(ROUND($D243*INDEX('🔖 배합비 참조'!$B$2:$CE$83,MATCH("두류가공품(백옥앙금)",'🔖 배합비 참조'!$A$2:$A$83,0),MATCH($C243,'🔖 배합비 참조'!$B$1:$CE$1,0))/100,0),""))),"")</f>
        <v>0</v>
      </c>
      <c r="AK243" s="39" t="n">
        <f aca="false">IFERROR(IF($C243="","",IF($D243="","",IFERROR(ROUND($D243*INDEX('🔖 배합비 참조'!$B$2:$CE$83,MATCH("두류가공품(콩고물)",'🔖 배합비 참조'!$A$2:$A$83,0),MATCH($C243,'🔖 배합비 참조'!$B$1:$CE$1,0))/100,0),""))),"")</f>
        <v>4</v>
      </c>
      <c r="AL243" s="39" t="n">
        <f aca="false">IFERROR(IF($C243="","",IF($D243="","",IFERROR(ROUND($D243*INDEX('🔖 배합비 참조'!$B$2:$CE$83,MATCH("두류가공품(통팥고물)",'🔖 배합비 참조'!$A$2:$A$83,0),MATCH($C243,'🔖 배합비 참조'!$B$1:$CE$1,0))/100,0),""))),"")</f>
        <v>0</v>
      </c>
      <c r="AM243" s="39" t="n">
        <f aca="false">IFERROR(IF($C243="","",IF($D243="","",IFERROR(ROUND($D243*INDEX('🔖 배합비 참조'!$B$2:$CE$83,MATCH("딸기레진",'🔖 배합비 참조'!$A$2:$A$83,0),MATCH($C243,'🔖 배합비 참조'!$B$1:$CE$1,0))/100,0),""))),"")</f>
        <v>0</v>
      </c>
      <c r="AN243" s="39" t="n">
        <f aca="false">IFERROR(IF($C243="","",IF($D243="","",IFERROR(ROUND($D243*INDEX('🔖 배합비 참조'!$B$2:$CE$83,MATCH("딸기분말(스트로우베리에이드(분말))",'🔖 배합비 참조'!$A$2:$A$83,0),MATCH($C243,'🔖 배합비 참조'!$B$1:$CE$1,0))/100,0),""))),"")</f>
        <v>0</v>
      </c>
      <c r="AO243" s="39" t="n">
        <f aca="false">IFERROR(IF($C243="","",IF($D243="","",IFERROR(ROUND($D243*INDEX('🔖 배합비 참조'!$B$2:$CE$83,MATCH("마스카포네치즈",'🔖 배합비 참조'!$A$2:$A$83,0),MATCH($C243,'🔖 배합비 참조'!$B$1:$CE$1,0))/100,0),""))),"")</f>
        <v>0</v>
      </c>
      <c r="AP243" s="39" t="n">
        <f aca="false">IFERROR(IF($C243="","",IF($D243="","",IFERROR(ROUND($D243*INDEX('🔖 배합비 참조'!$B$2:$CE$83,MATCH("마카다미아분태(호주산)",'🔖 배합비 참조'!$A$2:$A$83,0),MATCH($C243,'🔖 배합비 참조'!$B$1:$CE$1,0))/100,0),""))),"")</f>
        <v>0</v>
      </c>
      <c r="AQ243" s="39" t="n">
        <f aca="false">IFERROR(IF($C243="","",IF($D243="","",IFERROR(ROUND($D243*INDEX('🔖 배합비 참조'!$B$2:$CE$83,MATCH("멥쌀(국내산)",'🔖 배합비 참조'!$A$2:$A$83,0),MATCH($C243,'🔖 배합비 참조'!$B$1:$CE$1,0))/100,0),""))),"")</f>
        <v>0</v>
      </c>
      <c r="AR243" s="39" t="n">
        <f aca="false">IFERROR(IF($C243="","",IF($D243="","",IFERROR(ROUND($D243*INDEX('🔖 배합비 참조'!$B$2:$CE$83,MATCH("모시잎(국내산)",'🔖 배합비 참조'!$A$2:$A$83,0),MATCH($C243,'🔖 배합비 참조'!$B$1:$CE$1,0))/100,0),""))),"")</f>
        <v>0</v>
      </c>
      <c r="AS243" s="39" t="n">
        <f aca="false">IFERROR(IF($C243="","",IF($D243="","",IFERROR(ROUND($D243*INDEX('🔖 배합비 참조'!$B$2:$CE$83,MATCH("물엿(저당물엿)",'🔖 배합비 참조'!$A$2:$A$83,0),MATCH($C243,'🔖 배합비 참조'!$B$1:$CE$1,0))/100,0),""))),"")</f>
        <v>4</v>
      </c>
      <c r="AT243" s="39" t="n">
        <f aca="false">IFERROR(IF($C243="","",IF($D243="","",IFERROR(ROUND($D243*INDEX('🔖 배합비 참조'!$B$2:$CE$83,MATCH("밤다이스",'🔖 배합비 참조'!$A$2:$A$83,0),MATCH($C243,'🔖 배합비 참조'!$B$1:$CE$1,0))/100,0),""))),"")</f>
        <v>0</v>
      </c>
      <c r="AU243" s="39" t="n">
        <f aca="false">IFERROR(IF($C243="","",IF($D243="","",IFERROR(ROUND($D243*INDEX('🔖 배합비 참조'!$B$2:$CE$83,MATCH("변성전분(타피오카전분)",'🔖 배합비 참조'!$A$2:$A$83,0),MATCH($C243,'🔖 배합비 참조'!$B$1:$CE$1,0))/100,0),""))),"")</f>
        <v>0</v>
      </c>
      <c r="AV243" s="39" t="n">
        <f aca="false">IFERROR(IF($C243="","",IF($D243="","",IFERROR(ROUND($D243*INDEX('🔖 배합비 참조'!$B$2:$CE$83,MATCH("복음땅콩분태",'🔖 배합비 참조'!$A$2:$A$83,0),MATCH($C243,'🔖 배합비 참조'!$B$1:$CE$1,0))/100,0),""))),"")</f>
        <v>2</v>
      </c>
      <c r="AW243" s="39" t="n">
        <f aca="false">IFERROR(IF($C243="","",IF($D243="","",IFERROR(ROUND($D243*INDEX('🔖 배합비 참조'!$B$2:$CE$83,MATCH("사양벌꿀(국내산)",'🔖 배합비 참조'!$A$2:$A$83,0),MATCH($C243,'🔖 배합비 참조'!$B$1:$CE$1,0))/100,0),""))),"")</f>
        <v>0</v>
      </c>
      <c r="AX243" s="39" t="n">
        <f aca="false">IFERROR(IF($C243="","",IF($D243="","",IFERROR(ROUND($D243*INDEX('🔖 배합비 참조'!$B$2:$CE$83,MATCH("생크림",'🔖 배합비 참조'!$A$2:$A$83,0),MATCH($C243,'🔖 배합비 참조'!$B$1:$CE$1,0))/100,0),""))),"")</f>
        <v>0</v>
      </c>
      <c r="AY243" s="39" t="n">
        <f aca="false">IFERROR(IF($C243="","",IF($D243="","",IFERROR(ROUND($D243*INDEX('🔖 배합비 참조'!$B$2:$CE$83,MATCH("서양호박(국내산,뉴질랜드산)",'🔖 배합비 참조'!$A$2:$A$83,0),MATCH($C243,'🔖 배합비 참조'!$B$1:$CE$1,0))/100,0),""))),"")</f>
        <v>0</v>
      </c>
      <c r="AZ243" s="39" t="n">
        <f aca="false">IFERROR(IF($C243="","",IF($D243="","",IFERROR(ROUND($D243*INDEX('🔖 배합비 참조'!$B$2:$CE$83,MATCH("설탕",'🔖 배합비 참조'!$A$2:$A$83,0),MATCH($C243,'🔖 배합비 참조'!$B$1:$CE$1,0))/100,0),""))),"")</f>
        <v>2</v>
      </c>
      <c r="BA243" s="39" t="n">
        <f aca="false">IFERROR(IF($C243="","",IF($D243="","",IFERROR(ROUND($D243*INDEX('🔖 배합비 참조'!$B$2:$CE$83,MATCH("스트로우베리 에이드 후레쉬",'🔖 배합비 참조'!$A$2:$A$83,0),MATCH($C243,'🔖 배합비 참조'!$B$1:$CE$1,0))/100,0),""))),"")</f>
        <v>0</v>
      </c>
      <c r="BB243" s="39" t="n">
        <f aca="false">IFERROR(IF($C243="","",IF($D243="","",IFERROR(ROUND($D243*INDEX('🔖 배합비 참조'!$B$2:$CE$83,MATCH("식물성기름혼합제제(분홍)",'🔖 배합비 참조'!$A$2:$A$83,0),MATCH($C243,'🔖 배합비 참조'!$B$1:$CE$1,0))/100,0),""))),"")</f>
        <v>0</v>
      </c>
      <c r="BC243" s="39" t="n">
        <f aca="false">IFERROR(IF($C243="","",IF($D243="","",IFERROR(ROUND($D243*INDEX('🔖 배합비 참조'!$B$2:$CE$83,MATCH("식물성기름혼합제제(초록)",'🔖 배합비 참조'!$A$2:$A$83,0),MATCH($C243,'🔖 배합비 참조'!$B$1:$CE$1,0))/100,0),""))),"")</f>
        <v>0</v>
      </c>
      <c r="BD243" s="39" t="n">
        <f aca="false">IFERROR(IF($C243="","",IF($D243="","",IFERROR(ROUND($D243*INDEX('🔖 배합비 참조'!$B$2:$CE$83,MATCH("식물성기름혼합제제(황색)",'🔖 배합비 참조'!$A$2:$A$83,0),MATCH($C243,'🔖 배합비 참조'!$B$1:$CE$1,0))/100,0),""))),"")</f>
        <v>0</v>
      </c>
      <c r="BE243" s="39" t="n">
        <f aca="false">IFERROR(IF($C243="","",IF($D243="","",IFERROR(ROUND($D243*INDEX('🔖 배합비 참조'!$B$2:$CE$83,MATCH("쑥가루(국내산)",'🔖 배합비 참조'!$A$2:$A$83,0),MATCH($C243,'🔖 배합비 참조'!$B$1:$CE$1,0))/100,0),""))),"")</f>
        <v>0</v>
      </c>
      <c r="BF243" s="39" t="n">
        <f aca="false">IFERROR(IF($C243="","",IF($D243="","",IFERROR(ROUND($D243*INDEX('🔖 배합비 참조'!$B$2:$CE$83,MATCH("아몬드슬라이스",'🔖 배합비 참조'!$A$2:$A$83,0),MATCH($C243,'🔖 배합비 참조'!$B$1:$CE$1,0))/100,0),""))),"")</f>
        <v>0</v>
      </c>
      <c r="BG243" s="39" t="n">
        <f aca="false">IFERROR(IF($C243="","",IF($D243="","",IFERROR(ROUND($D243*INDEX('🔖 배합비 참조'!$B$2:$CE$83,MATCH("알룰로오스(국내산)",'🔖 배합비 참조'!$A$2:$A$83,0),MATCH($C243,'🔖 배합비 참조'!$B$1:$CE$1,0))/100,0),""))),"")</f>
        <v>0</v>
      </c>
      <c r="BH243" s="39" t="n">
        <f aca="false">IFERROR(IF($C243="","",IF($D243="","",IFERROR(ROUND($D243*INDEX('🔖 배합비 참조'!$B$2:$CE$83,MATCH("연유",'🔖 배합비 참조'!$A$2:$A$83,0),MATCH($C243,'🔖 배합비 참조'!$B$1:$CE$1,0))/100,0),""))),"")</f>
        <v>0</v>
      </c>
      <c r="BI243" s="39" t="n">
        <f aca="false">IFERROR(IF($C243="","",IF($D243="","",IFERROR(ROUND($D243*INDEX('🔖 배합비 참조'!$B$2:$CE$83,MATCH("옥수수전분",'🔖 배합비 참조'!$A$2:$A$83,0),MATCH($C243,'🔖 배합비 참조'!$B$1:$CE$1,0))/100,0),""))),"")</f>
        <v>0</v>
      </c>
      <c r="BJ243" s="39" t="n">
        <f aca="false">IFERROR(IF($C243="","",IF($D243="","",IFERROR(ROUND($D243*INDEX('🔖 배합비 참조'!$B$2:$CE$83,MATCH("완두배기",'🔖 배합비 참조'!$A$2:$A$83,0),MATCH($C243,'🔖 배합비 참조'!$B$1:$CE$1,0))/100,0),""))),"")</f>
        <v>0</v>
      </c>
      <c r="BK243" s="39" t="n">
        <f aca="false">IFERROR(IF($C243="","",IF($D243="","",IFERROR(ROUND($D243*INDEX('🔖 배합비 참조'!$B$2:$CE$83,MATCH("우유(국내산)",'🔖 배합비 참조'!$A$2:$A$83,0),MATCH($C243,'🔖 배합비 참조'!$B$1:$CE$1,0))/100,0),""))),"")</f>
        <v>0</v>
      </c>
      <c r="BL243" s="39" t="n">
        <f aca="false">IFERROR(IF($C243="","",IF($D243="","",IFERROR(ROUND($D243*INDEX('🔖 배합비 참조'!$B$2:$CE$83,MATCH("자색고구마가루(중국산)",'🔖 배합비 참조'!$A$2:$A$83,0),MATCH($C243,'🔖 배합비 참조'!$B$1:$CE$1,0))/100,0),""))),"")</f>
        <v>0</v>
      </c>
      <c r="BM243" s="39" t="n">
        <f aca="false">IFERROR(IF($C243="","",IF($D243="","",IFERROR(ROUND($D243*INDEX('🔖 배합비 참조'!$B$2:$CE$83,MATCH("자연치즈(체다치즈)",'🔖 배합비 참조'!$A$2:$A$83,0),MATCH($C243,'🔖 배합비 참조'!$B$1:$CE$1,0))/100,0),""))),"")</f>
        <v>0</v>
      </c>
      <c r="BN243" s="39" t="n">
        <f aca="false">IFERROR(IF($C243="","",IF($D243="","",IFERROR(ROUND($D243*INDEX('🔖 배합비 참조'!$B$2:$CE$83,MATCH("정제수",'🔖 배합비 참조'!$A$2:$A$83,0),MATCH($C243,'🔖 배합비 참조'!$B$1:$CE$1,0))/100,0),""))),"")</f>
        <v>0</v>
      </c>
      <c r="BO243" s="39" t="n">
        <f aca="false">IFERROR(IF($C243="","",IF($D243="","",IFERROR(ROUND($D243*INDEX('🔖 배합비 참조'!$B$2:$CE$83,MATCH("젤라틴",'🔖 배합비 참조'!$A$2:$A$83,0),MATCH($C243,'🔖 배합비 참조'!$B$1:$CE$1,0))/100,0),""))),"")</f>
        <v>0</v>
      </c>
      <c r="BP243" s="39" t="n">
        <f aca="false">IFERROR(IF($C243="","",IF($D243="","",IFERROR(ROUND($D243*INDEX('🔖 배합비 참조'!$B$2:$CE$83,MATCH("조림류(백옥앙금)",'🔖 배합비 참조'!$A$2:$A$83,0),MATCH($C243,'🔖 배합비 참조'!$B$1:$CE$1,0))/100,0),""))),"")</f>
        <v>0</v>
      </c>
      <c r="BQ243" s="39" t="n">
        <f aca="false">IFERROR(IF($C243="","",IF($D243="","",IFERROR(ROUND($D243*INDEX('🔖 배합비 참조'!$B$2:$CE$83,MATCH("조림류(통팥앙금)",'🔖 배합비 참조'!$A$2:$A$83,0),MATCH($C243,'🔖 배합비 참조'!$B$1:$CE$1,0))/100,0),""))),"")</f>
        <v>0</v>
      </c>
      <c r="BR243" s="39" t="n">
        <f aca="false">IFERROR(IF($C243="","",IF($D243="","",IFERROR(ROUND($D243*INDEX('🔖 배합비 참조'!$B$2:$CE$83,MATCH("준초콜릿(외국산)",'🔖 배합비 참조'!$A$2:$A$83,0),MATCH($C243,'🔖 배합비 참조'!$B$1:$CE$1,0))/100,0),""))),"")</f>
        <v>0</v>
      </c>
      <c r="BS243" s="39" t="n">
        <f aca="false">IFERROR(IF($C243="","",IF($D243="","",IFERROR(ROUND($D243*INDEX('🔖 배합비 참조'!$B$2:$CE$83,MATCH("중력분",'🔖 배합비 참조'!$A$2:$A$83,0),MATCH($C243,'🔖 배합비 참조'!$B$1:$CE$1,0))/100,0),""))),"")</f>
        <v>1</v>
      </c>
      <c r="BT243" s="39" t="n">
        <f aca="false">IFERROR(IF($C243="","",IF($D243="","",IFERROR(ROUND($D243*INDEX('🔖 배합비 참조'!$B$2:$CE$83,MATCH("참깨(인도산,나이지리아산,탄자니아산,미얀마산)",'🔖 배합비 참조'!$A$2:$A$83,0),MATCH($C243,'🔖 배합비 참조'!$B$1:$CE$1,0))/100,0),""))),"")</f>
        <v>0</v>
      </c>
      <c r="BU243" s="39" t="n">
        <f aca="false">IFERROR(IF($C243="","",IF($D243="","",IFERROR(ROUND($D243*INDEX('🔖 배합비 참조'!$B$2:$CE$83,MATCH("찹쌀(국내산)",'🔖 배합비 참조'!$A$2:$A$83,0),MATCH($C243,'🔖 배합비 참조'!$B$1:$CE$1,0))/100,0),""))),"")</f>
        <v>50</v>
      </c>
      <c r="BV243" s="39" t="n">
        <f aca="false">IFERROR(IF($C243="","",IF($D243="","",IFERROR(ROUND($D243*INDEX('🔖 배합비 참조'!$B$2:$CE$83,MATCH("천일염",'🔖 배합비 참조'!$A$2:$A$83,0),MATCH($C243,'🔖 배합비 참조'!$B$1:$CE$1,0))/100,0),""))),"")</f>
        <v>1</v>
      </c>
      <c r="BW243" s="39" t="n">
        <f aca="false">IFERROR(IF($C243="","",IF($D243="","",IFERROR(ROUND($D243*INDEX('🔖 배합비 참조'!$B$2:$CE$83,MATCH("치즈 [크림치즈]",'🔖 배합비 참조'!$A$2:$A$83,0),MATCH($C243,'🔖 배합비 참조'!$B$1:$CE$1,0))/100,0),""))),"")</f>
        <v>0</v>
      </c>
      <c r="BX243" s="39" t="n">
        <f aca="false">IFERROR(IF($C243="","",IF($D243="","",IFERROR(ROUND($D243*INDEX('🔖 배합비 참조'!$B$2:$CE$83,MATCH("코코아가공품류(코코아분말)",'🔖 배합비 참조'!$A$2:$A$83,0),MATCH($C243,'🔖 배합비 참조'!$B$1:$CE$1,0))/100,0),""))),"")</f>
        <v>0</v>
      </c>
      <c r="BY243" s="39" t="n">
        <f aca="false">IFERROR(IF($C243="","",IF($D243="","",IFERROR(ROUND($D243*INDEX('🔖 배합비 참조'!$B$2:$CE$83,MATCH("콩기름(대두유)",'🔖 배합비 참조'!$A$2:$A$83,0),MATCH($C243,'🔖 배합비 참조'!$B$1:$CE$1,0))/100,0),""))),"")</f>
        <v>0</v>
      </c>
      <c r="BZ243" s="39" t="n">
        <f aca="false">IFERROR(IF($C243="","",IF($D243="","",IFERROR(ROUND($D243*INDEX('🔖 배합비 참조'!$B$2:$CE$83,MATCH("해바라기씨앗",'🔖 배합비 참조'!$A$2:$A$83,0),MATCH($C243,'🔖 배합비 참조'!$B$1:$CE$1,0))/100,0),""))),"")</f>
        <v>1</v>
      </c>
      <c r="CA243" s="39" t="n">
        <f aca="false">IFERROR(IF($C243="","",IF($D243="","",IFERROR(ROUND($D243*INDEX('🔖 배합비 참조'!$B$2:$CE$83,MATCH("현미(국내산)",'🔖 배합비 참조'!$A$2:$A$83,0),MATCH($C243,'🔖 배합비 참조'!$B$1:$CE$1,0))/100,0),""))),"")</f>
        <v>0</v>
      </c>
      <c r="CB243" s="39" t="n">
        <f aca="false">IFERROR(IF($C243="","",IF($D243="","",IFERROR(ROUND($D243*INDEX('🔖 배합비 참조'!$B$2:$CE$83,MATCH("현미멥쌀(국내산)",'🔖 배합비 참조'!$A$2:$A$83,0),MATCH($C243,'🔖 배합비 참조'!$B$1:$CE$1,0))/100,0),""))),"")</f>
        <v>0</v>
      </c>
      <c r="CC243" s="39" t="n">
        <f aca="false">IFERROR(IF($C243="","",IF($D243="","",IFERROR(ROUND($D243*INDEX('🔖 배합비 참조'!$B$2:$CE$83,MATCH("호두분태(미국산)",'🔖 배합비 참조'!$A$2:$A$83,0),MATCH($C243,'🔖 배합비 참조'!$B$1:$CE$1,0))/100,0),""))),"")</f>
        <v>0</v>
      </c>
      <c r="CD243" s="39" t="n">
        <f aca="false">IFERROR(IF($C243="","",IF($D243="","",IFERROR(ROUND($D243*INDEX('🔖 배합비 참조'!$B$2:$CE$83,MATCH("호박씨앗(외국산)",'🔖 배합비 참조'!$A$2:$A$83,0),MATCH($C243,'🔖 배합비 참조'!$B$1:$CE$1,0))/100,0),""))),"")</f>
        <v>1</v>
      </c>
      <c r="CE243" s="39" t="n">
        <f aca="false">IFERROR(IF($C243="","",IF($D243="","",IFERROR(ROUND($D243*INDEX('🔖 배합비 참조'!$B$2:$CE$83,MATCH("혼합제제(떡용에스텔)",'🔖 배합비 참조'!$A$2:$A$83,0),MATCH($C243,'🔖 배합비 참조'!$B$1:$CE$1,0))/100,0),""))),"")</f>
        <v>0</v>
      </c>
      <c r="CF243" s="39" t="n">
        <f aca="false">IFERROR(IF($C243="","",IF($D243="","",IFERROR(ROUND($D243*INDEX('🔖 배합비 참조'!$B$2:$CE$83,MATCH("혼합제제(스테비아)",'🔖 배합비 참조'!$A$2:$A$83,0),MATCH($C243,'🔖 배합비 참조'!$B$1:$CE$1,0))/100,0),""))),"")</f>
        <v>0</v>
      </c>
      <c r="CG243" s="39" t="n">
        <f aca="false">IFERROR(IF($C243="","",IF($D243="","",IFERROR(ROUND($D243*INDEX('🔖 배합비 참조'!$B$2:$CE$83,MATCH("화이트초콜릿",'🔖 배합비 참조'!$A$2:$A$83,0),MATCH($C243,'🔖 배합비 참조'!$B$1:$CE$1,0))/100,0),""))),"")</f>
        <v>0</v>
      </c>
      <c r="CH243" s="39" t="n">
        <f aca="false">IFERROR(IF($C243="","",IF($D243="","",IFERROR(ROUND($D243*INDEX('🔖 배합비 참조'!$B$2:$CE$83,MATCH("흑미찹쌀(국내산)",'🔖 배합비 참조'!$A$2:$A$83,0),MATCH($C243,'🔖 배합비 참조'!$B$1:$CE$1,0))/100,0),""))),"")</f>
        <v>3</v>
      </c>
      <c r="CI243" s="39" t="n">
        <f aca="false">IFERROR(IF($C243="","",IF($D243="","",IFERROR(ROUND($D243*INDEX('🔖 배합비 참조'!$B$2:$CE$83,MATCH("찰옥수수전분(미국산)",'🔖 배합비 참조'!$A$2:$A$83,0),MATCH($C243,'🔖 배합비 참조'!$B$1:$CE$1,0))/100,0),""))),"")</f>
        <v>0</v>
      </c>
      <c r="CJ243" s="40"/>
      <c r="CL243" s="1" t="s">
        <v>247</v>
      </c>
    </row>
    <row r="244" customFormat="false" ht="18" hidden="false" customHeight="true" outlineLevel="0" collapsed="false">
      <c r="A244" s="41" t="n">
        <v>240</v>
      </c>
      <c r="B244" s="36" t="n">
        <v>46078</v>
      </c>
      <c r="C244" s="37" t="s">
        <v>191</v>
      </c>
      <c r="D244" s="38" t="n">
        <v>1100</v>
      </c>
      <c r="E244" s="17"/>
      <c r="F244" s="17"/>
      <c r="G244" s="42" t="n">
        <f aca="false">IFERROR(IF($C244="","",IF($D244="","",IFERROR(ROUND($D244*INDEX('🔖 배합비 참조'!$B$2:$CE$83,MATCH("간장",'🔖 배합비 참조'!$A$2:$A$83,0),MATCH($C244,'🔖 배합비 참조'!$B$1:$CE$1,0))/100,0),""))),"")</f>
        <v>0</v>
      </c>
      <c r="H244" s="42" t="n">
        <f aca="false">IFERROR(IF($C244="","",IF($D244="","",IFERROR(ROUND($D244*INDEX('🔖 배합비 참조'!$B$2:$CE$83,MATCH("강낭콩((울타리콩))",'🔖 배합비 참조'!$A$2:$A$83,0),MATCH($C244,'🔖 배합비 참조'!$B$1:$CE$1,0))/100,0),""))),"")</f>
        <v>0</v>
      </c>
      <c r="I244" s="42" t="n">
        <f aca="false">IFERROR(IF($C244="","",IF($D244="","",IFERROR(ROUND($D244*INDEX('🔖 배합비 참조'!$B$2:$CE$83,MATCH("건조딸기다이스(외국산)",'🔖 배합비 참조'!$A$2:$A$83,0),MATCH($C244,'🔖 배합비 참조'!$B$1:$CE$1,0))/100,0),""))),"")</f>
        <v>0</v>
      </c>
      <c r="J244" s="42" t="n">
        <f aca="false">IFERROR(IF($C244="","",IF($D244="","",IFERROR(ROUND($D244*INDEX('🔖 배합비 참조'!$B$2:$CE$83,MATCH("건포도",'🔖 배합비 참조'!$A$2:$A$83,0),MATCH($C244,'🔖 배합비 참조'!$B$1:$CE$1,0))/100,0),""))),"")</f>
        <v>0</v>
      </c>
      <c r="K244" s="42" t="n">
        <f aca="false">IFERROR(IF($C244="","",IF($D244="","",IFERROR(ROUND($D244*INDEX('🔖 배합비 참조'!$B$2:$CE$83,MATCH("건호박채(중국산)",'🔖 배합비 참조'!$A$2:$A$83,0),MATCH($C244,'🔖 배합비 참조'!$B$1:$CE$1,0))/100,0),""))),"")</f>
        <v>0</v>
      </c>
      <c r="L244" s="42" t="n">
        <f aca="false">IFERROR(IF($C244="","",IF($D244="","",IFERROR(ROUND($D244*INDEX('🔖 배합비 참조'!$B$2:$CE$83,MATCH("검정깨(흑임자)",'🔖 배합비 참조'!$A$2:$A$83,0),MATCH($C244,'🔖 배합비 참조'!$B$1:$CE$1,0))/100,0),""))),"")</f>
        <v>0</v>
      </c>
      <c r="M244" s="42" t="n">
        <f aca="false">IFERROR(IF($C244="","",IF($D244="","",IFERROR(ROUND($D244*INDEX('🔖 배합비 참조'!$B$2:$CE$83,MATCH("검정콩",'🔖 배합비 참조'!$A$2:$A$83,0),MATCH($C244,'🔖 배합비 참조'!$B$1:$CE$1,0))/100,0),""))),"")</f>
        <v>0</v>
      </c>
      <c r="N244" s="42" t="n">
        <f aca="false">IFERROR(IF($C244="","",IF($D244="","",IFERROR(ROUND($D244*INDEX('🔖 배합비 참조'!$B$2:$CE$83,MATCH("계피가루",'🔖 배합비 참조'!$A$2:$A$83,0),MATCH($C244,'🔖 배합비 참조'!$B$1:$CE$1,0))/100,0),""))),"")</f>
        <v>0</v>
      </c>
      <c r="O244" s="42" t="n">
        <f aca="false">IFERROR(IF($C244="","",IF($D244="","",IFERROR(ROUND($D244*INDEX('🔖 배합비 참조'!$B$2:$CE$83,MATCH("고구마가루",'🔖 배합비 참조'!$A$2:$A$83,0),MATCH($C244,'🔖 배합비 참조'!$B$1:$CE$1,0))/100,0),""))),"")</f>
        <v>0</v>
      </c>
      <c r="P244" s="42" t="n">
        <f aca="false">IFERROR(IF($C244="","",IF($D244="","",IFERROR(ROUND($D244*INDEX('🔖 배합비 참조'!$B$2:$CE$83,MATCH("고구마무스",'🔖 배합비 참조'!$A$2:$A$83,0),MATCH($C244,'🔖 배합비 참조'!$B$1:$CE$1,0))/100,0),""))),"")</f>
        <v>0</v>
      </c>
      <c r="Q244" s="42" t="n">
        <f aca="false">IFERROR(IF($C244="","",IF($D244="","",IFERROR(ROUND($D244*INDEX('🔖 배합비 참조'!$B$2:$CE$83,MATCH("고려엉겅퀴((곤드레)국내산)",'🔖 배합비 참조'!$A$2:$A$83,0),MATCH($C244,'🔖 배합비 참조'!$B$1:$CE$1,0))/100,0),""))),"")</f>
        <v>0</v>
      </c>
      <c r="R244" s="42" t="n">
        <f aca="false">IFERROR(IF($C244="","",IF($D244="","",IFERROR(ROUND($D244*INDEX('🔖 배합비 참조'!$B$2:$CE$83,MATCH("기타가공품(복분자가루)",'🔖 배합비 참조'!$A$2:$A$83,0),MATCH($C244,'🔖 배합비 참조'!$B$1:$CE$1,0))/100,0),""))),"")</f>
        <v>0</v>
      </c>
      <c r="S244" s="42" t="n">
        <f aca="false">IFERROR(IF($C244="","",IF($D244="","",IFERROR(ROUND($D244*INDEX('🔖 배합비 참조'!$B$2:$CE$83,MATCH("기타가공품(슈퍼소프트엠)",'🔖 배합비 참조'!$A$2:$A$83,0),MATCH($C244,'🔖 배합비 참조'!$B$1:$CE$1,0))/100,0),""))),"")</f>
        <v>0</v>
      </c>
      <c r="T244" s="42" t="n">
        <f aca="false">IFERROR(IF($C244="","",IF($D244="","",IFERROR(ROUND($D244*INDEX('🔖 배합비 참조'!$B$2:$CE$83,MATCH("기타가공품(파인소프트 E-티)",'🔖 배합비 참조'!$A$2:$A$83,0),MATCH($C244,'🔖 배합비 참조'!$B$1:$CE$1,0))/100,0),""))),"")</f>
        <v>0</v>
      </c>
      <c r="U244" s="42" t="n">
        <f aca="false">IFERROR(IF($C244="","",IF($D244="","",IFERROR(ROUND($D244*INDEX('🔖 배합비 참조'!$B$2:$CE$83,MATCH("기타가공품(프리미엄카스테라가루)",'🔖 배합비 참조'!$A$2:$A$83,0),MATCH($C244,'🔖 배합비 참조'!$B$1:$CE$1,0))/100,0),""))),"")</f>
        <v>0</v>
      </c>
      <c r="V244" s="42" t="n">
        <f aca="false">IFERROR(IF($C244="","",IF($D244="","",IFERROR(ROUND($D244*INDEX('🔖 배합비 참조'!$B$2:$CE$83,MATCH("기타가공품(흑임자가루)",'🔖 배합비 참조'!$A$2:$A$83,0),MATCH($C244,'🔖 배합비 참조'!$B$1:$CE$1,0))/100,0),""))),"")</f>
        <v>0</v>
      </c>
      <c r="W244" s="42" t="n">
        <f aca="false">IFERROR(IF($C244="","",IF($D244="","",IFERROR(ROUND($D244*INDEX('🔖 배합비 참조'!$B$2:$CE$83,MATCH("기타설탕(흑설탕)",'🔖 배합비 참조'!$A$2:$A$83,0),MATCH($C244,'🔖 배합비 참조'!$B$1:$CE$1,0))/100,0),""))),"")</f>
        <v>0</v>
      </c>
      <c r="X244" s="42" t="n">
        <f aca="false">IFERROR(IF($C244="","",IF($D244="","",IFERROR(ROUND($D244*INDEX('🔖 배합비 참조'!$B$2:$CE$83,MATCH("냉동쑥(국내산)",'🔖 배합비 참조'!$A$2:$A$83,0),MATCH($C244,'🔖 배합비 참조'!$B$1:$CE$1,0))/100,0),""))),"")</f>
        <v>0</v>
      </c>
      <c r="Y244" s="42" t="n">
        <f aca="false">IFERROR(IF($C244="","",IF($D244="","",IFERROR(ROUND($D244*INDEX('🔖 배합비 참조'!$B$2:$CE$83,MATCH("냉동증숙고구마(중국산)",'🔖 배합비 참조'!$A$2:$A$83,0),MATCH($C244,'🔖 배합비 참조'!$B$1:$CE$1,0))/100,0),""))),"")</f>
        <v>0</v>
      </c>
      <c r="Z244" s="42" t="n">
        <f aca="false">IFERROR(IF($C244="","",IF($D244="","",IFERROR(ROUND($D244*INDEX('🔖 배합비 참조'!$B$2:$CE$83,MATCH("녹차가루",'🔖 배합비 참조'!$A$2:$A$83,0),MATCH($C244,'🔖 배합비 참조'!$B$1:$CE$1,0))/100,0),""))),"")</f>
        <v>0</v>
      </c>
      <c r="AA244" s="42" t="n">
        <f aca="false">IFERROR(IF($C244="","",IF($D244="","",IFERROR(ROUND($D244*INDEX('🔖 배합비 참조'!$B$2:$CE$83,MATCH("다크초콜릿 컴파운드칩",'🔖 배합비 참조'!$A$2:$A$83,0),MATCH($C244,'🔖 배합비 참조'!$B$1:$CE$1,0))/100,0),""))),"")</f>
        <v>0</v>
      </c>
      <c r="AB244" s="42" t="n">
        <f aca="false">IFERROR(IF($C244="","",IF($D244="","",IFERROR(ROUND($D244*INDEX('🔖 배합비 참조'!$B$2:$CE$83,MATCH("단호박분말(중국산)",'🔖 배합비 참조'!$A$2:$A$83,0),MATCH($C244,'🔖 배합비 참조'!$B$1:$CE$1,0))/100,0),""))),"")</f>
        <v>0</v>
      </c>
      <c r="AC244" s="42" t="n">
        <f aca="false">IFERROR(IF($C244="","",IF($D244="","",IFERROR(ROUND($D244*INDEX('🔖 배합비 참조'!$B$2:$CE$83,MATCH("당류가공품(단호박농축액)",'🔖 배합비 참조'!$A$2:$A$83,0),MATCH($C244,'🔖 배합비 참조'!$B$1:$CE$1,0))/100,0),""))),"")</f>
        <v>0</v>
      </c>
      <c r="AD244" s="42" t="n">
        <f aca="false">IFERROR(IF($C244="","",IF($D244="","",IFERROR(ROUND($D244*INDEX('🔖 배합비 참조'!$B$2:$CE$83,MATCH("당류가공품(알룰로스,에리스리톨,스테비올배당체혼합)",'🔖 배합비 참조'!$A$2:$A$83,0),MATCH($C244,'🔖 배합비 참조'!$B$1:$CE$1,0))/100,0),""))),"")</f>
        <v>0</v>
      </c>
      <c r="AE244" s="42" t="n">
        <f aca="false">IFERROR(IF($C244="","",IF($D244="","",IFERROR(ROUND($D244*INDEX('🔖 배합비 참조'!$B$2:$CE$83,MATCH("당류가공품(알룰로스제로파우더)",'🔖 배합비 참조'!$A$2:$A$83,0),MATCH($C244,'🔖 배합비 참조'!$B$1:$CE$1,0))/100,0),""))),"")</f>
        <v>0</v>
      </c>
      <c r="AF244" s="42" t="n">
        <f aca="false">IFERROR(IF($C244="","",IF($D244="","",IFERROR(ROUND($D244*INDEX('🔖 배합비 참조'!$B$2:$CE$83,MATCH("당절임(완두배기)",'🔖 배합비 참조'!$A$2:$A$83,0),MATCH($C244,'🔖 배합비 참조'!$B$1:$CE$1,0))/100,0),""))),"")</f>
        <v>0</v>
      </c>
      <c r="AG244" s="42" t="n">
        <f aca="false">IFERROR(IF($C244="","",IF($D244="","",IFERROR(ROUND($D244*INDEX('🔖 배합비 참조'!$B$2:$CE$83,MATCH("대추농축액",'🔖 배합비 참조'!$A$2:$A$83,0),MATCH($C244,'🔖 배합비 참조'!$B$1:$CE$1,0))/100,0),""))),"")</f>
        <v>0</v>
      </c>
      <c r="AH244" s="42" t="n">
        <f aca="false">IFERROR(IF($C244="","",IF($D244="","",IFERROR(ROUND($D244*INDEX('🔖 배합비 참조'!$B$2:$CE$83,MATCH("대추채(국내산)",'🔖 배합비 참조'!$A$2:$A$83,0),MATCH($C244,'🔖 배합비 참조'!$B$1:$CE$1,0))/100,0),""))),"")</f>
        <v>0</v>
      </c>
      <c r="AI244" s="42" t="n">
        <f aca="false">IFERROR(IF($C244="","",IF($D244="","",IFERROR(ROUND($D244*INDEX('🔖 배합비 참조'!$B$2:$CE$83,MATCH("동부(미얀마산)",'🔖 배합비 참조'!$A$2:$A$83,0),MATCH($C244,'🔖 배합비 참조'!$B$1:$CE$1,0))/100,0),""))),"")</f>
        <v>0</v>
      </c>
      <c r="AJ244" s="42" t="n">
        <f aca="false">IFERROR(IF($C244="","",IF($D244="","",IFERROR(ROUND($D244*INDEX('🔖 배합비 참조'!$B$2:$CE$83,MATCH("두류가공품(백옥앙금)",'🔖 배합비 참조'!$A$2:$A$83,0),MATCH($C244,'🔖 배합비 참조'!$B$1:$CE$1,0))/100,0),""))),"")</f>
        <v>0</v>
      </c>
      <c r="AK244" s="42" t="n">
        <f aca="false">IFERROR(IF($C244="","",IF($D244="","",IFERROR(ROUND($D244*INDEX('🔖 배합비 참조'!$B$2:$CE$83,MATCH("두류가공품(콩고물)",'🔖 배합비 참조'!$A$2:$A$83,0),MATCH($C244,'🔖 배합비 참조'!$B$1:$CE$1,0))/100,0),""))),"")</f>
        <v>0</v>
      </c>
      <c r="AL244" s="42" t="n">
        <f aca="false">IFERROR(IF($C244="","",IF($D244="","",IFERROR(ROUND($D244*INDEX('🔖 배합비 참조'!$B$2:$CE$83,MATCH("두류가공품(통팥고물)",'🔖 배합비 참조'!$A$2:$A$83,0),MATCH($C244,'🔖 배합비 참조'!$B$1:$CE$1,0))/100,0),""))),"")</f>
        <v>0</v>
      </c>
      <c r="AM244" s="42" t="n">
        <f aca="false">IFERROR(IF($C244="","",IF($D244="","",IFERROR(ROUND($D244*INDEX('🔖 배합비 참조'!$B$2:$CE$83,MATCH("딸기레진",'🔖 배합비 참조'!$A$2:$A$83,0),MATCH($C244,'🔖 배합비 참조'!$B$1:$CE$1,0))/100,0),""))),"")</f>
        <v>0</v>
      </c>
      <c r="AN244" s="42" t="n">
        <f aca="false">IFERROR(IF($C244="","",IF($D244="","",IFERROR(ROUND($D244*INDEX('🔖 배합비 참조'!$B$2:$CE$83,MATCH("딸기분말(스트로우베리에이드(분말))",'🔖 배합비 참조'!$A$2:$A$83,0),MATCH($C244,'🔖 배합비 참조'!$B$1:$CE$1,0))/100,0),""))),"")</f>
        <v>0</v>
      </c>
      <c r="AO244" s="42" t="n">
        <f aca="false">IFERROR(IF($C244="","",IF($D244="","",IFERROR(ROUND($D244*INDEX('🔖 배합비 참조'!$B$2:$CE$83,MATCH("마스카포네치즈",'🔖 배합비 참조'!$A$2:$A$83,0),MATCH($C244,'🔖 배합비 참조'!$B$1:$CE$1,0))/100,0),""))),"")</f>
        <v>0</v>
      </c>
      <c r="AP244" s="42" t="n">
        <f aca="false">IFERROR(IF($C244="","",IF($D244="","",IFERROR(ROUND($D244*INDEX('🔖 배합비 참조'!$B$2:$CE$83,MATCH("마카다미아분태(호주산)",'🔖 배합비 참조'!$A$2:$A$83,0),MATCH($C244,'🔖 배합비 참조'!$B$1:$CE$1,0))/100,0),""))),"")</f>
        <v>0</v>
      </c>
      <c r="AQ244" s="42" t="n">
        <f aca="false">IFERROR(IF($C244="","",IF($D244="","",IFERROR(ROUND($D244*INDEX('🔖 배합비 참조'!$B$2:$CE$83,MATCH("멥쌀(국내산)",'🔖 배합비 참조'!$A$2:$A$83,0),MATCH($C244,'🔖 배합비 참조'!$B$1:$CE$1,0))/100,0),""))),"")</f>
        <v>22</v>
      </c>
      <c r="AR244" s="42" t="n">
        <f aca="false">IFERROR(IF($C244="","",IF($D244="","",IFERROR(ROUND($D244*INDEX('🔖 배합비 참조'!$B$2:$CE$83,MATCH("모시잎(국내산)",'🔖 배합비 참조'!$A$2:$A$83,0),MATCH($C244,'🔖 배합비 참조'!$B$1:$CE$1,0))/100,0),""))),"")</f>
        <v>0</v>
      </c>
      <c r="AS244" s="42" t="n">
        <f aca="false">IFERROR(IF($C244="","",IF($D244="","",IFERROR(ROUND($D244*INDEX('🔖 배합비 참조'!$B$2:$CE$83,MATCH("물엿(저당물엿)",'🔖 배합비 참조'!$A$2:$A$83,0),MATCH($C244,'🔖 배합비 참조'!$B$1:$CE$1,0))/100,0),""))),"")</f>
        <v>0</v>
      </c>
      <c r="AT244" s="42" t="n">
        <f aca="false">IFERROR(IF($C244="","",IF($D244="","",IFERROR(ROUND($D244*INDEX('🔖 배합비 참조'!$B$2:$CE$83,MATCH("밤다이스",'🔖 배합비 참조'!$A$2:$A$83,0),MATCH($C244,'🔖 배합비 참조'!$B$1:$CE$1,0))/100,0),""))),"")</f>
        <v>0</v>
      </c>
      <c r="AU244" s="42" t="n">
        <f aca="false">IFERROR(IF($C244="","",IF($D244="","",IFERROR(ROUND($D244*INDEX('🔖 배합비 참조'!$B$2:$CE$83,MATCH("변성전분(타피오카전분)",'🔖 배합비 참조'!$A$2:$A$83,0),MATCH($C244,'🔖 배합비 참조'!$B$1:$CE$1,0))/100,0),""))),"")</f>
        <v>0</v>
      </c>
      <c r="AV244" s="42" t="n">
        <f aca="false">IFERROR(IF($C244="","",IF($D244="","",IFERROR(ROUND($D244*INDEX('🔖 배합비 참조'!$B$2:$CE$83,MATCH("복음땅콩분태",'🔖 배합비 참조'!$A$2:$A$83,0),MATCH($C244,'🔖 배합비 참조'!$B$1:$CE$1,0))/100,0),""))),"")</f>
        <v>0</v>
      </c>
      <c r="AW244" s="42" t="n">
        <f aca="false">IFERROR(IF($C244="","",IF($D244="","",IFERROR(ROUND($D244*INDEX('🔖 배합비 참조'!$B$2:$CE$83,MATCH("사양벌꿀(국내산)",'🔖 배합비 참조'!$A$2:$A$83,0),MATCH($C244,'🔖 배합비 참조'!$B$1:$CE$1,0))/100,0),""))),"")</f>
        <v>0</v>
      </c>
      <c r="AX244" s="42" t="n">
        <f aca="false">IFERROR(IF($C244="","",IF($D244="","",IFERROR(ROUND($D244*INDEX('🔖 배합비 참조'!$B$2:$CE$83,MATCH("생크림",'🔖 배합비 참조'!$A$2:$A$83,0),MATCH($C244,'🔖 배합비 참조'!$B$1:$CE$1,0))/100,0),""))),"")</f>
        <v>0</v>
      </c>
      <c r="AY244" s="42" t="n">
        <f aca="false">IFERROR(IF($C244="","",IF($D244="","",IFERROR(ROUND($D244*INDEX('🔖 배합비 참조'!$B$2:$CE$83,MATCH("서양호박(국내산,뉴질랜드산)",'🔖 배합비 참조'!$A$2:$A$83,0),MATCH($C244,'🔖 배합비 참조'!$B$1:$CE$1,0))/100,0),""))),"")</f>
        <v>0</v>
      </c>
      <c r="AZ244" s="42" t="n">
        <f aca="false">IFERROR(IF($C244="","",IF($D244="","",IFERROR(ROUND($D244*INDEX('🔖 배합비 참조'!$B$2:$CE$83,MATCH("설탕",'🔖 배합비 참조'!$A$2:$A$83,0),MATCH($C244,'🔖 배합비 참조'!$B$1:$CE$1,0))/100,0),""))),"")</f>
        <v>209</v>
      </c>
      <c r="BA244" s="42" t="n">
        <f aca="false">IFERROR(IF($C244="","",IF($D244="","",IFERROR(ROUND($D244*INDEX('🔖 배합비 참조'!$B$2:$CE$83,MATCH("스트로우베리 에이드 후레쉬",'🔖 배합비 참조'!$A$2:$A$83,0),MATCH($C244,'🔖 배합비 참조'!$B$1:$CE$1,0))/100,0),""))),"")</f>
        <v>0</v>
      </c>
      <c r="BB244" s="42" t="n">
        <f aca="false">IFERROR(IF($C244="","",IF($D244="","",IFERROR(ROUND($D244*INDEX('🔖 배합비 참조'!$B$2:$CE$83,MATCH("식물성기름혼합제제(분홍)",'🔖 배합비 참조'!$A$2:$A$83,0),MATCH($C244,'🔖 배합비 참조'!$B$1:$CE$1,0))/100,0),""))),"")</f>
        <v>0</v>
      </c>
      <c r="BC244" s="42" t="n">
        <f aca="false">IFERROR(IF($C244="","",IF($D244="","",IFERROR(ROUND($D244*INDEX('🔖 배합비 참조'!$B$2:$CE$83,MATCH("식물성기름혼합제제(초록)",'🔖 배합비 참조'!$A$2:$A$83,0),MATCH($C244,'🔖 배합비 참조'!$B$1:$CE$1,0))/100,0),""))),"")</f>
        <v>0</v>
      </c>
      <c r="BD244" s="42" t="n">
        <f aca="false">IFERROR(IF($C244="","",IF($D244="","",IFERROR(ROUND($D244*INDEX('🔖 배합비 참조'!$B$2:$CE$83,MATCH("식물성기름혼합제제(황색)",'🔖 배합비 참조'!$A$2:$A$83,0),MATCH($C244,'🔖 배합비 참조'!$B$1:$CE$1,0))/100,0),""))),"")</f>
        <v>0</v>
      </c>
      <c r="BE244" s="42" t="n">
        <f aca="false">IFERROR(IF($C244="","",IF($D244="","",IFERROR(ROUND($D244*INDEX('🔖 배합비 참조'!$B$2:$CE$83,MATCH("쑥가루(국내산)",'🔖 배합비 참조'!$A$2:$A$83,0),MATCH($C244,'🔖 배합비 참조'!$B$1:$CE$1,0))/100,0),""))),"")</f>
        <v>0</v>
      </c>
      <c r="BF244" s="42" t="n">
        <f aca="false">IFERROR(IF($C244="","",IF($D244="","",IFERROR(ROUND($D244*INDEX('🔖 배합비 참조'!$B$2:$CE$83,MATCH("아몬드슬라이스",'🔖 배합비 참조'!$A$2:$A$83,0),MATCH($C244,'🔖 배합비 참조'!$B$1:$CE$1,0))/100,0),""))),"")</f>
        <v>0</v>
      </c>
      <c r="BG244" s="42" t="n">
        <f aca="false">IFERROR(IF($C244="","",IF($D244="","",IFERROR(ROUND($D244*INDEX('🔖 배합비 참조'!$B$2:$CE$83,MATCH("알룰로오스(국내산)",'🔖 배합비 참조'!$A$2:$A$83,0),MATCH($C244,'🔖 배합비 참조'!$B$1:$CE$1,0))/100,0),""))),"")</f>
        <v>0</v>
      </c>
      <c r="BH244" s="42" t="n">
        <f aca="false">IFERROR(IF($C244="","",IF($D244="","",IFERROR(ROUND($D244*INDEX('🔖 배합비 참조'!$B$2:$CE$83,MATCH("연유",'🔖 배합비 참조'!$A$2:$A$83,0),MATCH($C244,'🔖 배합비 참조'!$B$1:$CE$1,0))/100,0),""))),"")</f>
        <v>0</v>
      </c>
      <c r="BI244" s="42" t="n">
        <f aca="false">IFERROR(IF($C244="","",IF($D244="","",IFERROR(ROUND($D244*INDEX('🔖 배합비 참조'!$B$2:$CE$83,MATCH("옥수수전분",'🔖 배합비 참조'!$A$2:$A$83,0),MATCH($C244,'🔖 배합비 참조'!$B$1:$CE$1,0))/100,0),""))),"")</f>
        <v>0</v>
      </c>
      <c r="BJ244" s="42" t="n">
        <f aca="false">IFERROR(IF($C244="","",IF($D244="","",IFERROR(ROUND($D244*INDEX('🔖 배합비 참조'!$B$2:$CE$83,MATCH("완두배기",'🔖 배합비 참조'!$A$2:$A$83,0),MATCH($C244,'🔖 배합비 참조'!$B$1:$CE$1,0))/100,0),""))),"")</f>
        <v>0</v>
      </c>
      <c r="BK244" s="42" t="n">
        <f aca="false">IFERROR(IF($C244="","",IF($D244="","",IFERROR(ROUND($D244*INDEX('🔖 배합비 참조'!$B$2:$CE$83,MATCH("우유(국내산)",'🔖 배합비 참조'!$A$2:$A$83,0),MATCH($C244,'🔖 배합비 참조'!$B$1:$CE$1,0))/100,0),""))),"")</f>
        <v>0</v>
      </c>
      <c r="BL244" s="42" t="n">
        <f aca="false">IFERROR(IF($C244="","",IF($D244="","",IFERROR(ROUND($D244*INDEX('🔖 배합비 참조'!$B$2:$CE$83,MATCH("자색고구마가루(중국산)",'🔖 배합비 참조'!$A$2:$A$83,0),MATCH($C244,'🔖 배합비 참조'!$B$1:$CE$1,0))/100,0),""))),"")</f>
        <v>0</v>
      </c>
      <c r="BM244" s="42" t="n">
        <f aca="false">IFERROR(IF($C244="","",IF($D244="","",IFERROR(ROUND($D244*INDEX('🔖 배합비 참조'!$B$2:$CE$83,MATCH("자연치즈(체다치즈)",'🔖 배합비 참조'!$A$2:$A$83,0),MATCH($C244,'🔖 배합비 참조'!$B$1:$CE$1,0))/100,0),""))),"")</f>
        <v>0</v>
      </c>
      <c r="BN244" s="42" t="n">
        <f aca="false">IFERROR(IF($C244="","",IF($D244="","",IFERROR(ROUND($D244*INDEX('🔖 배합비 참조'!$B$2:$CE$83,MATCH("정제수",'🔖 배합비 참조'!$A$2:$A$83,0),MATCH($C244,'🔖 배합비 참조'!$B$1:$CE$1,0))/100,0),""))),"")</f>
        <v>33</v>
      </c>
      <c r="BO244" s="42" t="n">
        <f aca="false">IFERROR(IF($C244="","",IF($D244="","",IFERROR(ROUND($D244*INDEX('🔖 배합비 참조'!$B$2:$CE$83,MATCH("젤라틴",'🔖 배합비 참조'!$A$2:$A$83,0),MATCH($C244,'🔖 배합비 참조'!$B$1:$CE$1,0))/100,0),""))),"")</f>
        <v>0</v>
      </c>
      <c r="BP244" s="42" t="n">
        <f aca="false">IFERROR(IF($C244="","",IF($D244="","",IFERROR(ROUND($D244*INDEX('🔖 배합비 참조'!$B$2:$CE$83,MATCH("조림류(백옥앙금)",'🔖 배합비 참조'!$A$2:$A$83,0),MATCH($C244,'🔖 배합비 참조'!$B$1:$CE$1,0))/100,0),""))),"")</f>
        <v>0</v>
      </c>
      <c r="BQ244" s="42" t="n">
        <f aca="false">IFERROR(IF($C244="","",IF($D244="","",IFERROR(ROUND($D244*INDEX('🔖 배합비 참조'!$B$2:$CE$83,MATCH("조림류(통팥앙금)",'🔖 배합비 참조'!$A$2:$A$83,0),MATCH($C244,'🔖 배합비 참조'!$B$1:$CE$1,0))/100,0),""))),"")</f>
        <v>198</v>
      </c>
      <c r="BR244" s="42" t="n">
        <f aca="false">IFERROR(IF($C244="","",IF($D244="","",IFERROR(ROUND($D244*INDEX('🔖 배합비 참조'!$B$2:$CE$83,MATCH("준초콜릿(외국산)",'🔖 배합비 참조'!$A$2:$A$83,0),MATCH($C244,'🔖 배합비 참조'!$B$1:$CE$1,0))/100,0),""))),"")</f>
        <v>0</v>
      </c>
      <c r="BS244" s="42" t="n">
        <f aca="false">IFERROR(IF($C244="","",IF($D244="","",IFERROR(ROUND($D244*INDEX('🔖 배합비 참조'!$B$2:$CE$83,MATCH("중력분",'🔖 배합비 참조'!$A$2:$A$83,0),MATCH($C244,'🔖 배합비 참조'!$B$1:$CE$1,0))/100,0),""))),"")</f>
        <v>22</v>
      </c>
      <c r="BT244" s="42" t="n">
        <f aca="false">IFERROR(IF($C244="","",IF($D244="","",IFERROR(ROUND($D244*INDEX('🔖 배합비 참조'!$B$2:$CE$83,MATCH("참깨(인도산,나이지리아산,탄자니아산,미얀마산)",'🔖 배합비 참조'!$A$2:$A$83,0),MATCH($C244,'🔖 배합비 참조'!$B$1:$CE$1,0))/100,0),""))),"")</f>
        <v>0</v>
      </c>
      <c r="BU244" s="42" t="n">
        <f aca="false">IFERROR(IF($C244="","",IF($D244="","",IFERROR(ROUND($D244*INDEX('🔖 배합비 참조'!$B$2:$CE$83,MATCH("찹쌀(국내산)",'🔖 배합비 참조'!$A$2:$A$83,0),MATCH($C244,'🔖 배합비 참조'!$B$1:$CE$1,0))/100,0),""))),"")</f>
        <v>473</v>
      </c>
      <c r="BV244" s="42" t="n">
        <f aca="false">IFERROR(IF($C244="","",IF($D244="","",IFERROR(ROUND($D244*INDEX('🔖 배합비 참조'!$B$2:$CE$83,MATCH("천일염",'🔖 배합비 참조'!$A$2:$A$83,0),MATCH($C244,'🔖 배합비 참조'!$B$1:$CE$1,0))/100,0),""))),"")</f>
        <v>22</v>
      </c>
      <c r="BW244" s="42" t="n">
        <f aca="false">IFERROR(IF($C244="","",IF($D244="","",IFERROR(ROUND($D244*INDEX('🔖 배합비 참조'!$B$2:$CE$83,MATCH("치즈 [크림치즈]",'🔖 배합비 참조'!$A$2:$A$83,0),MATCH($C244,'🔖 배합비 참조'!$B$1:$CE$1,0))/100,0),""))),"")</f>
        <v>0</v>
      </c>
      <c r="BX244" s="42" t="n">
        <f aca="false">IFERROR(IF($C244="","",IF($D244="","",IFERROR(ROUND($D244*INDEX('🔖 배합비 참조'!$B$2:$CE$83,MATCH("코코아가공품류(코코아분말)",'🔖 배합비 참조'!$A$2:$A$83,0),MATCH($C244,'🔖 배합비 참조'!$B$1:$CE$1,0))/100,0),""))),"")</f>
        <v>0</v>
      </c>
      <c r="BY244" s="42" t="n">
        <f aca="false">IFERROR(IF($C244="","",IF($D244="","",IFERROR(ROUND($D244*INDEX('🔖 배합비 참조'!$B$2:$CE$83,MATCH("콩기름(대두유)",'🔖 배합비 참조'!$A$2:$A$83,0),MATCH($C244,'🔖 배합비 참조'!$B$1:$CE$1,0))/100,0),""))),"")</f>
        <v>0</v>
      </c>
      <c r="BZ244" s="42" t="n">
        <f aca="false">IFERROR(IF($C244="","",IF($D244="","",IFERROR(ROUND($D244*INDEX('🔖 배합비 참조'!$B$2:$CE$83,MATCH("해바라기씨앗",'🔖 배합비 참조'!$A$2:$A$83,0),MATCH($C244,'🔖 배합비 참조'!$B$1:$CE$1,0))/100,0),""))),"")</f>
        <v>0</v>
      </c>
      <c r="CA244" s="42" t="n">
        <f aca="false">IFERROR(IF($C244="","",IF($D244="","",IFERROR(ROUND($D244*INDEX('🔖 배합비 참조'!$B$2:$CE$83,MATCH("현미(국내산)",'🔖 배합비 참조'!$A$2:$A$83,0),MATCH($C244,'🔖 배합비 참조'!$B$1:$CE$1,0))/100,0),""))),"")</f>
        <v>0</v>
      </c>
      <c r="CB244" s="42" t="n">
        <f aca="false">IFERROR(IF($C244="","",IF($D244="","",IFERROR(ROUND($D244*INDEX('🔖 배합비 참조'!$B$2:$CE$83,MATCH("현미멥쌀(국내산)",'🔖 배합비 참조'!$A$2:$A$83,0),MATCH($C244,'🔖 배합비 참조'!$B$1:$CE$1,0))/100,0),""))),"")</f>
        <v>0</v>
      </c>
      <c r="CC244" s="42" t="n">
        <f aca="false">IFERROR(IF($C244="","",IF($D244="","",IFERROR(ROUND($D244*INDEX('🔖 배합비 참조'!$B$2:$CE$83,MATCH("호두분태(미국산)",'🔖 배합비 참조'!$A$2:$A$83,0),MATCH($C244,'🔖 배합비 참조'!$B$1:$CE$1,0))/100,0),""))),"")</f>
        <v>0</v>
      </c>
      <c r="CD244" s="42" t="n">
        <f aca="false">IFERROR(IF($C244="","",IF($D244="","",IFERROR(ROUND($D244*INDEX('🔖 배합비 참조'!$B$2:$CE$83,MATCH("호박씨앗(외국산)",'🔖 배합비 참조'!$A$2:$A$83,0),MATCH($C244,'🔖 배합비 참조'!$B$1:$CE$1,0))/100,0),""))),"")</f>
        <v>0</v>
      </c>
      <c r="CE244" s="42" t="n">
        <f aca="false">IFERROR(IF($C244="","",IF($D244="","",IFERROR(ROUND($D244*INDEX('🔖 배합비 참조'!$B$2:$CE$83,MATCH("혼합제제(떡용에스텔)",'🔖 배합비 참조'!$A$2:$A$83,0),MATCH($C244,'🔖 배합비 참조'!$B$1:$CE$1,0))/100,0),""))),"")</f>
        <v>22</v>
      </c>
      <c r="CF244" s="42" t="n">
        <f aca="false">IFERROR(IF($C244="","",IF($D244="","",IFERROR(ROUND($D244*INDEX('🔖 배합비 참조'!$B$2:$CE$83,MATCH("혼합제제(스테비아)",'🔖 배합비 참조'!$A$2:$A$83,0),MATCH($C244,'🔖 배합비 참조'!$B$1:$CE$1,0))/100,0),""))),"")</f>
        <v>0</v>
      </c>
      <c r="CG244" s="42" t="n">
        <f aca="false">IFERROR(IF($C244="","",IF($D244="","",IFERROR(ROUND($D244*INDEX('🔖 배합비 참조'!$B$2:$CE$83,MATCH("화이트초콜릿",'🔖 배합비 참조'!$A$2:$A$83,0),MATCH($C244,'🔖 배합비 참조'!$B$1:$CE$1,0))/100,0),""))),"")</f>
        <v>0</v>
      </c>
      <c r="CH244" s="42" t="n">
        <f aca="false">IFERROR(IF($C244="","",IF($D244="","",IFERROR(ROUND($D244*INDEX('🔖 배합비 참조'!$B$2:$CE$83,MATCH("흑미찹쌀(국내산)",'🔖 배합비 참조'!$A$2:$A$83,0),MATCH($C244,'🔖 배합비 참조'!$B$1:$CE$1,0))/100,0),""))),"")</f>
        <v>0</v>
      </c>
      <c r="CI244" s="42" t="n">
        <f aca="false">IFERROR(IF($C244="","",IF($D244="","",IFERROR(ROUND($D244*INDEX('🔖 배합비 참조'!$B$2:$CE$83,MATCH("찰옥수수전분(미국산)",'🔖 배합비 참조'!$A$2:$A$83,0),MATCH($C244,'🔖 배합비 참조'!$B$1:$CE$1,0))/100,0),""))),"")</f>
        <v>99</v>
      </c>
      <c r="CJ244" s="40"/>
      <c r="CL244" s="1" t="s">
        <v>247</v>
      </c>
    </row>
    <row r="245" customFormat="false" ht="18" hidden="false" customHeight="true" outlineLevel="0" collapsed="false">
      <c r="A245" s="35" t="n">
        <v>241</v>
      </c>
      <c r="B245" s="36" t="n">
        <v>46079</v>
      </c>
      <c r="C245" s="37" t="s">
        <v>147</v>
      </c>
      <c r="D245" s="38" t="n">
        <v>40</v>
      </c>
      <c r="E245" s="13"/>
      <c r="F245" s="13"/>
      <c r="G245" s="39" t="n">
        <f aca="false">IFERROR(IF($C245="","",IF($D245="","",IFERROR(ROUND($D245*INDEX('🔖 배합비 참조'!$B$2:$CE$83,MATCH("간장",'🔖 배합비 참조'!$A$2:$A$83,0),MATCH($C245,'🔖 배합비 참조'!$B$1:$CE$1,0))/100,0),""))),"")</f>
        <v>1</v>
      </c>
      <c r="H245" s="39" t="n">
        <f aca="false">IFERROR(IF($C245="","",IF($D245="","",IFERROR(ROUND($D245*INDEX('🔖 배합비 참조'!$B$2:$CE$83,MATCH("강낭콩((울타리콩))",'🔖 배합비 참조'!$A$2:$A$83,0),MATCH($C245,'🔖 배합비 참조'!$B$1:$CE$1,0))/100,0),""))),"")</f>
        <v>0</v>
      </c>
      <c r="I245" s="39" t="n">
        <f aca="false">IFERROR(IF($C245="","",IF($D245="","",IFERROR(ROUND($D245*INDEX('🔖 배합비 참조'!$B$2:$CE$83,MATCH("건조딸기다이스(외국산)",'🔖 배합비 참조'!$A$2:$A$83,0),MATCH($C245,'🔖 배합비 참조'!$B$1:$CE$1,0))/100,0),""))),"")</f>
        <v>0</v>
      </c>
      <c r="J245" s="39" t="n">
        <f aca="false">IFERROR(IF($C245="","",IF($D245="","",IFERROR(ROUND($D245*INDEX('🔖 배합비 참조'!$B$2:$CE$83,MATCH("건포도",'🔖 배합비 참조'!$A$2:$A$83,0),MATCH($C245,'🔖 배합비 참조'!$B$1:$CE$1,0))/100,0),""))),"")</f>
        <v>1</v>
      </c>
      <c r="K245" s="39" t="n">
        <f aca="false">IFERROR(IF($C245="","",IF($D245="","",IFERROR(ROUND($D245*INDEX('🔖 배합비 참조'!$B$2:$CE$83,MATCH("건호박채(중국산)",'🔖 배합비 참조'!$A$2:$A$83,0),MATCH($C245,'🔖 배합비 참조'!$B$1:$CE$1,0))/100,0),""))),"")</f>
        <v>0</v>
      </c>
      <c r="L245" s="39" t="n">
        <f aca="false">IFERROR(IF($C245="","",IF($D245="","",IFERROR(ROUND($D245*INDEX('🔖 배합비 참조'!$B$2:$CE$83,MATCH("검정깨(흑임자)",'🔖 배합비 참조'!$A$2:$A$83,0),MATCH($C245,'🔖 배합비 참조'!$B$1:$CE$1,0))/100,0),""))),"")</f>
        <v>0</v>
      </c>
      <c r="M245" s="39" t="n">
        <f aca="false">IFERROR(IF($C245="","",IF($D245="","",IFERROR(ROUND($D245*INDEX('🔖 배합비 참조'!$B$2:$CE$83,MATCH("검정콩",'🔖 배합비 참조'!$A$2:$A$83,0),MATCH($C245,'🔖 배합비 참조'!$B$1:$CE$1,0))/100,0),""))),"")</f>
        <v>0</v>
      </c>
      <c r="N245" s="39" t="n">
        <f aca="false">IFERROR(IF($C245="","",IF($D245="","",IFERROR(ROUND($D245*INDEX('🔖 배합비 참조'!$B$2:$CE$83,MATCH("계피가루",'🔖 배합비 참조'!$A$2:$A$83,0),MATCH($C245,'🔖 배합비 참조'!$B$1:$CE$1,0))/100,0),""))),"")</f>
        <v>0</v>
      </c>
      <c r="O245" s="39" t="n">
        <f aca="false">IFERROR(IF($C245="","",IF($D245="","",IFERROR(ROUND($D245*INDEX('🔖 배합비 참조'!$B$2:$CE$83,MATCH("고구마가루",'🔖 배합비 참조'!$A$2:$A$83,0),MATCH($C245,'🔖 배합비 참조'!$B$1:$CE$1,0))/100,0),""))),"")</f>
        <v>0</v>
      </c>
      <c r="P245" s="39" t="n">
        <f aca="false">IFERROR(IF($C245="","",IF($D245="","",IFERROR(ROUND($D245*INDEX('🔖 배합비 참조'!$B$2:$CE$83,MATCH("고구마무스",'🔖 배합비 참조'!$A$2:$A$83,0),MATCH($C245,'🔖 배합비 참조'!$B$1:$CE$1,0))/100,0),""))),"")</f>
        <v>0</v>
      </c>
      <c r="Q245" s="39" t="n">
        <f aca="false">IFERROR(IF($C245="","",IF($D245="","",IFERROR(ROUND($D245*INDEX('🔖 배합비 참조'!$B$2:$CE$83,MATCH("고려엉겅퀴((곤드레)국내산)",'🔖 배합비 참조'!$A$2:$A$83,0),MATCH($C245,'🔖 배합비 참조'!$B$1:$CE$1,0))/100,0),""))),"")</f>
        <v>0</v>
      </c>
      <c r="R245" s="39" t="n">
        <f aca="false">IFERROR(IF($C245="","",IF($D245="","",IFERROR(ROUND($D245*INDEX('🔖 배합비 참조'!$B$2:$CE$83,MATCH("기타가공품(복분자가루)",'🔖 배합비 참조'!$A$2:$A$83,0),MATCH($C245,'🔖 배합비 참조'!$B$1:$CE$1,0))/100,0),""))),"")</f>
        <v>0</v>
      </c>
      <c r="S245" s="39" t="n">
        <f aca="false">IFERROR(IF($C245="","",IF($D245="","",IFERROR(ROUND($D245*INDEX('🔖 배합비 참조'!$B$2:$CE$83,MATCH("기타가공품(슈퍼소프트엠)",'🔖 배합비 참조'!$A$2:$A$83,0),MATCH($C245,'🔖 배합비 참조'!$B$1:$CE$1,0))/100,0),""))),"")</f>
        <v>0</v>
      </c>
      <c r="T245" s="39" t="n">
        <f aca="false">IFERROR(IF($C245="","",IF($D245="","",IFERROR(ROUND($D245*INDEX('🔖 배합비 참조'!$B$2:$CE$83,MATCH("기타가공품(파인소프트 E-티)",'🔖 배합비 참조'!$A$2:$A$83,0),MATCH($C245,'🔖 배합비 참조'!$B$1:$CE$1,0))/100,0),""))),"")</f>
        <v>0</v>
      </c>
      <c r="U245" s="39" t="n">
        <f aca="false">IFERROR(IF($C245="","",IF($D245="","",IFERROR(ROUND($D245*INDEX('🔖 배합비 참조'!$B$2:$CE$83,MATCH("기타가공품(프리미엄카스테라가루)",'🔖 배합비 참조'!$A$2:$A$83,0),MATCH($C245,'🔖 배합비 참조'!$B$1:$CE$1,0))/100,0),""))),"")</f>
        <v>0</v>
      </c>
      <c r="V245" s="39" t="n">
        <f aca="false">IFERROR(IF($C245="","",IF($D245="","",IFERROR(ROUND($D245*INDEX('🔖 배합비 참조'!$B$2:$CE$83,MATCH("기타가공품(흑임자가루)",'🔖 배합비 참조'!$A$2:$A$83,0),MATCH($C245,'🔖 배합비 참조'!$B$1:$CE$1,0))/100,0),""))),"")</f>
        <v>0</v>
      </c>
      <c r="W245" s="39" t="n">
        <f aca="false">IFERROR(IF($C245="","",IF($D245="","",IFERROR(ROUND($D245*INDEX('🔖 배합비 참조'!$B$2:$CE$83,MATCH("기타설탕(흑설탕)",'🔖 배합비 참조'!$A$2:$A$83,0),MATCH($C245,'🔖 배합비 참조'!$B$1:$CE$1,0))/100,0),""))),"")</f>
        <v>0</v>
      </c>
      <c r="X245" s="39" t="n">
        <f aca="false">IFERROR(IF($C245="","",IF($D245="","",IFERROR(ROUND($D245*INDEX('🔖 배합비 참조'!$B$2:$CE$83,MATCH("냉동쑥(국내산)",'🔖 배합비 참조'!$A$2:$A$83,0),MATCH($C245,'🔖 배합비 참조'!$B$1:$CE$1,0))/100,0),""))),"")</f>
        <v>0</v>
      </c>
      <c r="Y245" s="39" t="n">
        <f aca="false">IFERROR(IF($C245="","",IF($D245="","",IFERROR(ROUND($D245*INDEX('🔖 배합비 참조'!$B$2:$CE$83,MATCH("냉동증숙고구마(중국산)",'🔖 배합비 참조'!$A$2:$A$83,0),MATCH($C245,'🔖 배합비 참조'!$B$1:$CE$1,0))/100,0),""))),"")</f>
        <v>0</v>
      </c>
      <c r="Z245" s="39" t="n">
        <f aca="false">IFERROR(IF($C245="","",IF($D245="","",IFERROR(ROUND($D245*INDEX('🔖 배합비 참조'!$B$2:$CE$83,MATCH("녹차가루",'🔖 배합비 참조'!$A$2:$A$83,0),MATCH($C245,'🔖 배합비 참조'!$B$1:$CE$1,0))/100,0),""))),"")</f>
        <v>0</v>
      </c>
      <c r="AA245" s="39" t="n">
        <f aca="false">IFERROR(IF($C245="","",IF($D245="","",IFERROR(ROUND($D245*INDEX('🔖 배합비 참조'!$B$2:$CE$83,MATCH("다크초콜릿 컴파운드칩",'🔖 배합비 참조'!$A$2:$A$83,0),MATCH($C245,'🔖 배합비 참조'!$B$1:$CE$1,0))/100,0),""))),"")</f>
        <v>0</v>
      </c>
      <c r="AB245" s="39" t="n">
        <f aca="false">IFERROR(IF($C245="","",IF($D245="","",IFERROR(ROUND($D245*INDEX('🔖 배합비 참조'!$B$2:$CE$83,MATCH("단호박분말(중국산)",'🔖 배합비 참조'!$A$2:$A$83,0),MATCH($C245,'🔖 배합비 참조'!$B$1:$CE$1,0))/100,0),""))),"")</f>
        <v>0</v>
      </c>
      <c r="AC245" s="39" t="n">
        <f aca="false">IFERROR(IF($C245="","",IF($D245="","",IFERROR(ROUND($D245*INDEX('🔖 배합비 참조'!$B$2:$CE$83,MATCH("당류가공품(단호박농축액)",'🔖 배합비 참조'!$A$2:$A$83,0),MATCH($C245,'🔖 배합비 참조'!$B$1:$CE$1,0))/100,0),""))),"")</f>
        <v>0</v>
      </c>
      <c r="AD245" s="39" t="n">
        <f aca="false">IFERROR(IF($C245="","",IF($D245="","",IFERROR(ROUND($D245*INDEX('🔖 배합비 참조'!$B$2:$CE$83,MATCH("당류가공품(알룰로스,에리스리톨,스테비올배당체혼합)",'🔖 배합비 참조'!$A$2:$A$83,0),MATCH($C245,'🔖 배합비 참조'!$B$1:$CE$1,0))/100,0),""))),"")</f>
        <v>0</v>
      </c>
      <c r="AE245" s="39" t="n">
        <f aca="false">IFERROR(IF($C245="","",IF($D245="","",IFERROR(ROUND($D245*INDEX('🔖 배합비 참조'!$B$2:$CE$83,MATCH("당류가공품(알룰로스제로파우더)",'🔖 배합비 참조'!$A$2:$A$83,0),MATCH($C245,'🔖 배합비 참조'!$B$1:$CE$1,0))/100,0),""))),"")</f>
        <v>0</v>
      </c>
      <c r="AF245" s="39" t="n">
        <f aca="false">IFERROR(IF($C245="","",IF($D245="","",IFERROR(ROUND($D245*INDEX('🔖 배합비 참조'!$B$2:$CE$83,MATCH("당절임(완두배기)",'🔖 배합비 참조'!$A$2:$A$83,0),MATCH($C245,'🔖 배합비 참조'!$B$1:$CE$1,0))/100,0),""))),"")</f>
        <v>0</v>
      </c>
      <c r="AG245" s="39" t="n">
        <f aca="false">IFERROR(IF($C245="","",IF($D245="","",IFERROR(ROUND($D245*INDEX('🔖 배합비 참조'!$B$2:$CE$83,MATCH("대추농축액",'🔖 배합비 참조'!$A$2:$A$83,0),MATCH($C245,'🔖 배합비 참조'!$B$1:$CE$1,0))/100,0),""))),"")</f>
        <v>1</v>
      </c>
      <c r="AH245" s="39" t="n">
        <f aca="false">IFERROR(IF($C245="","",IF($D245="","",IFERROR(ROUND($D245*INDEX('🔖 배합비 참조'!$B$2:$CE$83,MATCH("대추채(국내산)",'🔖 배합비 참조'!$A$2:$A$83,0),MATCH($C245,'🔖 배합비 참조'!$B$1:$CE$1,0))/100,0),""))),"")</f>
        <v>0</v>
      </c>
      <c r="AI245" s="39" t="n">
        <f aca="false">IFERROR(IF($C245="","",IF($D245="","",IFERROR(ROUND($D245*INDEX('🔖 배합비 참조'!$B$2:$CE$83,MATCH("동부(미얀마산)",'🔖 배합비 참조'!$A$2:$A$83,0),MATCH($C245,'🔖 배합비 참조'!$B$1:$CE$1,0))/100,0),""))),"")</f>
        <v>0</v>
      </c>
      <c r="AJ245" s="39" t="n">
        <f aca="false">IFERROR(IF($C245="","",IF($D245="","",IFERROR(ROUND($D245*INDEX('🔖 배합비 참조'!$B$2:$CE$83,MATCH("두류가공품(백옥앙금)",'🔖 배합비 참조'!$A$2:$A$83,0),MATCH($C245,'🔖 배합비 참조'!$B$1:$CE$1,0))/100,0),""))),"")</f>
        <v>0</v>
      </c>
      <c r="AK245" s="39" t="n">
        <f aca="false">IFERROR(IF($C245="","",IF($D245="","",IFERROR(ROUND($D245*INDEX('🔖 배합비 참조'!$B$2:$CE$83,MATCH("두류가공품(콩고물)",'🔖 배합비 참조'!$A$2:$A$83,0),MATCH($C245,'🔖 배합비 참조'!$B$1:$CE$1,0))/100,0),""))),"")</f>
        <v>0</v>
      </c>
      <c r="AL245" s="39" t="n">
        <f aca="false">IFERROR(IF($C245="","",IF($D245="","",IFERROR(ROUND($D245*INDEX('🔖 배합비 참조'!$B$2:$CE$83,MATCH("두류가공품(통팥고물)",'🔖 배합비 참조'!$A$2:$A$83,0),MATCH($C245,'🔖 배합비 참조'!$B$1:$CE$1,0))/100,0),""))),"")</f>
        <v>0</v>
      </c>
      <c r="AM245" s="39" t="n">
        <f aca="false">IFERROR(IF($C245="","",IF($D245="","",IFERROR(ROUND($D245*INDEX('🔖 배합비 참조'!$B$2:$CE$83,MATCH("딸기레진",'🔖 배합비 참조'!$A$2:$A$83,0),MATCH($C245,'🔖 배합비 참조'!$B$1:$CE$1,0))/100,0),""))),"")</f>
        <v>0</v>
      </c>
      <c r="AN245" s="39" t="n">
        <f aca="false">IFERROR(IF($C245="","",IF($D245="","",IFERROR(ROUND($D245*INDEX('🔖 배합비 참조'!$B$2:$CE$83,MATCH("딸기분말(스트로우베리에이드(분말))",'🔖 배합비 참조'!$A$2:$A$83,0),MATCH($C245,'🔖 배합비 참조'!$B$1:$CE$1,0))/100,0),""))),"")</f>
        <v>0</v>
      </c>
      <c r="AO245" s="39" t="n">
        <f aca="false">IFERROR(IF($C245="","",IF($D245="","",IFERROR(ROUND($D245*INDEX('🔖 배합비 참조'!$B$2:$CE$83,MATCH("마스카포네치즈",'🔖 배합비 참조'!$A$2:$A$83,0),MATCH($C245,'🔖 배합비 참조'!$B$1:$CE$1,0))/100,0),""))),"")</f>
        <v>0</v>
      </c>
      <c r="AP245" s="39" t="n">
        <f aca="false">IFERROR(IF($C245="","",IF($D245="","",IFERROR(ROUND($D245*INDEX('🔖 배합비 참조'!$B$2:$CE$83,MATCH("마카다미아분태(호주산)",'🔖 배합비 참조'!$A$2:$A$83,0),MATCH($C245,'🔖 배합비 참조'!$B$1:$CE$1,0))/100,0),""))),"")</f>
        <v>0</v>
      </c>
      <c r="AQ245" s="39" t="n">
        <f aca="false">IFERROR(IF($C245="","",IF($D245="","",IFERROR(ROUND($D245*INDEX('🔖 배합비 참조'!$B$2:$CE$83,MATCH("멥쌀(국내산)",'🔖 배합비 참조'!$A$2:$A$83,0),MATCH($C245,'🔖 배합비 참조'!$B$1:$CE$1,0))/100,0),""))),"")</f>
        <v>0</v>
      </c>
      <c r="AR245" s="39" t="n">
        <f aca="false">IFERROR(IF($C245="","",IF($D245="","",IFERROR(ROUND($D245*INDEX('🔖 배합비 참조'!$B$2:$CE$83,MATCH("모시잎(국내산)",'🔖 배합비 참조'!$A$2:$A$83,0),MATCH($C245,'🔖 배합비 참조'!$B$1:$CE$1,0))/100,0),""))),"")</f>
        <v>0</v>
      </c>
      <c r="AS245" s="39" t="n">
        <f aca="false">IFERROR(IF($C245="","",IF($D245="","",IFERROR(ROUND($D245*INDEX('🔖 배합비 참조'!$B$2:$CE$83,MATCH("물엿(저당물엿)",'🔖 배합비 참조'!$A$2:$A$83,0),MATCH($C245,'🔖 배합비 참조'!$B$1:$CE$1,0))/100,0),""))),"")</f>
        <v>0</v>
      </c>
      <c r="AT245" s="39" t="n">
        <f aca="false">IFERROR(IF($C245="","",IF($D245="","",IFERROR(ROUND($D245*INDEX('🔖 배합비 참조'!$B$2:$CE$83,MATCH("밤다이스",'🔖 배합비 참조'!$A$2:$A$83,0),MATCH($C245,'🔖 배합비 참조'!$B$1:$CE$1,0))/100,0),""))),"")</f>
        <v>2</v>
      </c>
      <c r="AU245" s="39" t="n">
        <f aca="false">IFERROR(IF($C245="","",IF($D245="","",IFERROR(ROUND($D245*INDEX('🔖 배합비 참조'!$B$2:$CE$83,MATCH("변성전분(타피오카전분)",'🔖 배합비 참조'!$A$2:$A$83,0),MATCH($C245,'🔖 배합비 참조'!$B$1:$CE$1,0))/100,0),""))),"")</f>
        <v>0</v>
      </c>
      <c r="AV245" s="39" t="n">
        <f aca="false">IFERROR(IF($C245="","",IF($D245="","",IFERROR(ROUND($D245*INDEX('🔖 배합비 참조'!$B$2:$CE$83,MATCH("복음땅콩분태",'🔖 배합비 참조'!$A$2:$A$83,0),MATCH($C245,'🔖 배합비 참조'!$B$1:$CE$1,0))/100,0),""))),"")</f>
        <v>0</v>
      </c>
      <c r="AW245" s="39" t="n">
        <f aca="false">IFERROR(IF($C245="","",IF($D245="","",IFERROR(ROUND($D245*INDEX('🔖 배합비 참조'!$B$2:$CE$83,MATCH("사양벌꿀(국내산)",'🔖 배합비 참조'!$A$2:$A$83,0),MATCH($C245,'🔖 배합비 참조'!$B$1:$CE$1,0))/100,0),""))),"")</f>
        <v>0</v>
      </c>
      <c r="AX245" s="39" t="n">
        <f aca="false">IFERROR(IF($C245="","",IF($D245="","",IFERROR(ROUND($D245*INDEX('🔖 배합비 참조'!$B$2:$CE$83,MATCH("생크림",'🔖 배합비 참조'!$A$2:$A$83,0),MATCH($C245,'🔖 배합비 참조'!$B$1:$CE$1,0))/100,0),""))),"")</f>
        <v>0</v>
      </c>
      <c r="AY245" s="39" t="n">
        <f aca="false">IFERROR(IF($C245="","",IF($D245="","",IFERROR(ROUND($D245*INDEX('🔖 배합비 참조'!$B$2:$CE$83,MATCH("서양호박(국내산,뉴질랜드산)",'🔖 배합비 참조'!$A$2:$A$83,0),MATCH($C245,'🔖 배합비 참조'!$B$1:$CE$1,0))/100,0),""))),"")</f>
        <v>0</v>
      </c>
      <c r="AZ245" s="39" t="n">
        <f aca="false">IFERROR(IF($C245="","",IF($D245="","",IFERROR(ROUND($D245*INDEX('🔖 배합비 참조'!$B$2:$CE$83,MATCH("설탕",'🔖 배합비 참조'!$A$2:$A$83,0),MATCH($C245,'🔖 배합비 참조'!$B$1:$CE$1,0))/100,0),""))),"")</f>
        <v>3</v>
      </c>
      <c r="BA245" s="39" t="n">
        <f aca="false">IFERROR(IF($C245="","",IF($D245="","",IFERROR(ROUND($D245*INDEX('🔖 배합비 참조'!$B$2:$CE$83,MATCH("스트로우베리 에이드 후레쉬",'🔖 배합비 참조'!$A$2:$A$83,0),MATCH($C245,'🔖 배합비 참조'!$B$1:$CE$1,0))/100,0),""))),"")</f>
        <v>0</v>
      </c>
      <c r="BB245" s="39" t="n">
        <f aca="false">IFERROR(IF($C245="","",IF($D245="","",IFERROR(ROUND($D245*INDEX('🔖 배합비 참조'!$B$2:$CE$83,MATCH("식물성기름혼합제제(분홍)",'🔖 배합비 참조'!$A$2:$A$83,0),MATCH($C245,'🔖 배합비 참조'!$B$1:$CE$1,0))/100,0),""))),"")</f>
        <v>0</v>
      </c>
      <c r="BC245" s="39" t="n">
        <f aca="false">IFERROR(IF($C245="","",IF($D245="","",IFERROR(ROUND($D245*INDEX('🔖 배합비 참조'!$B$2:$CE$83,MATCH("식물성기름혼합제제(초록)",'🔖 배합비 참조'!$A$2:$A$83,0),MATCH($C245,'🔖 배합비 참조'!$B$1:$CE$1,0))/100,0),""))),"")</f>
        <v>0</v>
      </c>
      <c r="BD245" s="39" t="n">
        <f aca="false">IFERROR(IF($C245="","",IF($D245="","",IFERROR(ROUND($D245*INDEX('🔖 배합비 참조'!$B$2:$CE$83,MATCH("식물성기름혼합제제(황색)",'🔖 배합비 참조'!$A$2:$A$83,0),MATCH($C245,'🔖 배합비 참조'!$B$1:$CE$1,0))/100,0),""))),"")</f>
        <v>0</v>
      </c>
      <c r="BE245" s="39" t="n">
        <f aca="false">IFERROR(IF($C245="","",IF($D245="","",IFERROR(ROUND($D245*INDEX('🔖 배합비 참조'!$B$2:$CE$83,MATCH("쑥가루(국내산)",'🔖 배합비 참조'!$A$2:$A$83,0),MATCH($C245,'🔖 배합비 참조'!$B$1:$CE$1,0))/100,0),""))),"")</f>
        <v>0</v>
      </c>
      <c r="BF245" s="39" t="n">
        <f aca="false">IFERROR(IF($C245="","",IF($D245="","",IFERROR(ROUND($D245*INDEX('🔖 배합비 참조'!$B$2:$CE$83,MATCH("아몬드슬라이스",'🔖 배합비 참조'!$A$2:$A$83,0),MATCH($C245,'🔖 배합비 참조'!$B$1:$CE$1,0))/100,0),""))),"")</f>
        <v>0</v>
      </c>
      <c r="BG245" s="39" t="n">
        <f aca="false">IFERROR(IF($C245="","",IF($D245="","",IFERROR(ROUND($D245*INDEX('🔖 배합비 참조'!$B$2:$CE$83,MATCH("알룰로오스(국내산)",'🔖 배합비 참조'!$A$2:$A$83,0),MATCH($C245,'🔖 배합비 참조'!$B$1:$CE$1,0))/100,0),""))),"")</f>
        <v>0</v>
      </c>
      <c r="BH245" s="39" t="n">
        <f aca="false">IFERROR(IF($C245="","",IF($D245="","",IFERROR(ROUND($D245*INDEX('🔖 배합비 참조'!$B$2:$CE$83,MATCH("연유",'🔖 배합비 참조'!$A$2:$A$83,0),MATCH($C245,'🔖 배합비 참조'!$B$1:$CE$1,0))/100,0),""))),"")</f>
        <v>0</v>
      </c>
      <c r="BI245" s="39" t="n">
        <f aca="false">IFERROR(IF($C245="","",IF($D245="","",IFERROR(ROUND($D245*INDEX('🔖 배합비 참조'!$B$2:$CE$83,MATCH("옥수수전분",'🔖 배합비 참조'!$A$2:$A$83,0),MATCH($C245,'🔖 배합비 참조'!$B$1:$CE$1,0))/100,0),""))),"")</f>
        <v>0</v>
      </c>
      <c r="BJ245" s="39" t="n">
        <f aca="false">IFERROR(IF($C245="","",IF($D245="","",IFERROR(ROUND($D245*INDEX('🔖 배합비 참조'!$B$2:$CE$83,MATCH("완두배기",'🔖 배합비 참조'!$A$2:$A$83,0),MATCH($C245,'🔖 배합비 참조'!$B$1:$CE$1,0))/100,0),""))),"")</f>
        <v>0</v>
      </c>
      <c r="BK245" s="39" t="n">
        <f aca="false">IFERROR(IF($C245="","",IF($D245="","",IFERROR(ROUND($D245*INDEX('🔖 배합비 참조'!$B$2:$CE$83,MATCH("우유(국내산)",'🔖 배합비 참조'!$A$2:$A$83,0),MATCH($C245,'🔖 배합비 참조'!$B$1:$CE$1,0))/100,0),""))),"")</f>
        <v>0</v>
      </c>
      <c r="BL245" s="39" t="n">
        <f aca="false">IFERROR(IF($C245="","",IF($D245="","",IFERROR(ROUND($D245*INDEX('🔖 배합비 참조'!$B$2:$CE$83,MATCH("자색고구마가루(중국산)",'🔖 배합비 참조'!$A$2:$A$83,0),MATCH($C245,'🔖 배합비 참조'!$B$1:$CE$1,0))/100,0),""))),"")</f>
        <v>0</v>
      </c>
      <c r="BM245" s="39" t="n">
        <f aca="false">IFERROR(IF($C245="","",IF($D245="","",IFERROR(ROUND($D245*INDEX('🔖 배합비 참조'!$B$2:$CE$83,MATCH("자연치즈(체다치즈)",'🔖 배합비 참조'!$A$2:$A$83,0),MATCH($C245,'🔖 배합비 참조'!$B$1:$CE$1,0))/100,0),""))),"")</f>
        <v>0</v>
      </c>
      <c r="BN245" s="39" t="n">
        <f aca="false">IFERROR(IF($C245="","",IF($D245="","",IFERROR(ROUND($D245*INDEX('🔖 배합비 참조'!$B$2:$CE$83,MATCH("정제수",'🔖 배합비 참조'!$A$2:$A$83,0),MATCH($C245,'🔖 배합비 참조'!$B$1:$CE$1,0))/100,0),""))),"")</f>
        <v>7</v>
      </c>
      <c r="BO245" s="39" t="n">
        <f aca="false">IFERROR(IF($C245="","",IF($D245="","",IFERROR(ROUND($D245*INDEX('🔖 배합비 참조'!$B$2:$CE$83,MATCH("젤라틴",'🔖 배합비 참조'!$A$2:$A$83,0),MATCH($C245,'🔖 배합비 참조'!$B$1:$CE$1,0))/100,0),""))),"")</f>
        <v>0</v>
      </c>
      <c r="BP245" s="39" t="n">
        <f aca="false">IFERROR(IF($C245="","",IF($D245="","",IFERROR(ROUND($D245*INDEX('🔖 배합비 참조'!$B$2:$CE$83,MATCH("조림류(백옥앙금)",'🔖 배합비 참조'!$A$2:$A$83,0),MATCH($C245,'🔖 배합비 참조'!$B$1:$CE$1,0))/100,0),""))),"")</f>
        <v>0</v>
      </c>
      <c r="BQ245" s="39" t="n">
        <f aca="false">IFERROR(IF($C245="","",IF($D245="","",IFERROR(ROUND($D245*INDEX('🔖 배합비 참조'!$B$2:$CE$83,MATCH("조림류(통팥앙금)",'🔖 배합비 참조'!$A$2:$A$83,0),MATCH($C245,'🔖 배합비 참조'!$B$1:$CE$1,0))/100,0),""))),"")</f>
        <v>0</v>
      </c>
      <c r="BR245" s="39" t="n">
        <f aca="false">IFERROR(IF($C245="","",IF($D245="","",IFERROR(ROUND($D245*INDEX('🔖 배합비 참조'!$B$2:$CE$83,MATCH("준초콜릿(외국산)",'🔖 배합비 참조'!$A$2:$A$83,0),MATCH($C245,'🔖 배합비 참조'!$B$1:$CE$1,0))/100,0),""))),"")</f>
        <v>0</v>
      </c>
      <c r="BS245" s="39" t="n">
        <f aca="false">IFERROR(IF($C245="","",IF($D245="","",IFERROR(ROUND($D245*INDEX('🔖 배합비 참조'!$B$2:$CE$83,MATCH("중력분",'🔖 배합비 참조'!$A$2:$A$83,0),MATCH($C245,'🔖 배합비 참조'!$B$1:$CE$1,0))/100,0),""))),"")</f>
        <v>0</v>
      </c>
      <c r="BT245" s="39" t="n">
        <f aca="false">IFERROR(IF($C245="","",IF($D245="","",IFERROR(ROUND($D245*INDEX('🔖 배합비 참조'!$B$2:$CE$83,MATCH("참깨(인도산,나이지리아산,탄자니아산,미얀마산)",'🔖 배합비 참조'!$A$2:$A$83,0),MATCH($C245,'🔖 배합비 참조'!$B$1:$CE$1,0))/100,0),""))),"")</f>
        <v>0</v>
      </c>
      <c r="BU245" s="39" t="n">
        <f aca="false">IFERROR(IF($C245="","",IF($D245="","",IFERROR(ROUND($D245*INDEX('🔖 배합비 참조'!$B$2:$CE$83,MATCH("찹쌀(국내산)",'🔖 배합비 참조'!$A$2:$A$83,0),MATCH($C245,'🔖 배합비 참조'!$B$1:$CE$1,0))/100,0),""))),"")</f>
        <v>23</v>
      </c>
      <c r="BV245" s="39" t="n">
        <f aca="false">IFERROR(IF($C245="","",IF($D245="","",IFERROR(ROUND($D245*INDEX('🔖 배합비 참조'!$B$2:$CE$83,MATCH("천일염",'🔖 배합비 참조'!$A$2:$A$83,0),MATCH($C245,'🔖 배합비 참조'!$B$1:$CE$1,0))/100,0),""))),"")</f>
        <v>0</v>
      </c>
      <c r="BW245" s="39" t="n">
        <f aca="false">IFERROR(IF($C245="","",IF($D245="","",IFERROR(ROUND($D245*INDEX('🔖 배합비 참조'!$B$2:$CE$83,MATCH("치즈 [크림치즈]",'🔖 배합비 참조'!$A$2:$A$83,0),MATCH($C245,'🔖 배합비 참조'!$B$1:$CE$1,0))/100,0),""))),"")</f>
        <v>0</v>
      </c>
      <c r="BX245" s="39" t="n">
        <f aca="false">IFERROR(IF($C245="","",IF($D245="","",IFERROR(ROUND($D245*INDEX('🔖 배합비 참조'!$B$2:$CE$83,MATCH("코코아가공품류(코코아분말)",'🔖 배합비 참조'!$A$2:$A$83,0),MATCH($C245,'🔖 배합비 참조'!$B$1:$CE$1,0))/100,0),""))),"")</f>
        <v>0</v>
      </c>
      <c r="BY245" s="39" t="n">
        <f aca="false">IFERROR(IF($C245="","",IF($D245="","",IFERROR(ROUND($D245*INDEX('🔖 배합비 참조'!$B$2:$CE$83,MATCH("콩기름(대두유)",'🔖 배합비 참조'!$A$2:$A$83,0),MATCH($C245,'🔖 배합비 참조'!$B$1:$CE$1,0))/100,0),""))),"")</f>
        <v>0</v>
      </c>
      <c r="BZ245" s="39" t="n">
        <f aca="false">IFERROR(IF($C245="","",IF($D245="","",IFERROR(ROUND($D245*INDEX('🔖 배합비 참조'!$B$2:$CE$83,MATCH("해바라기씨앗",'🔖 배합비 참조'!$A$2:$A$83,0),MATCH($C245,'🔖 배합비 참조'!$B$1:$CE$1,0))/100,0),""))),"")</f>
        <v>0</v>
      </c>
      <c r="CA245" s="39" t="n">
        <f aca="false">IFERROR(IF($C245="","",IF($D245="","",IFERROR(ROUND($D245*INDEX('🔖 배합비 참조'!$B$2:$CE$83,MATCH("현미(국내산)",'🔖 배합비 참조'!$A$2:$A$83,0),MATCH($C245,'🔖 배합비 참조'!$B$1:$CE$1,0))/100,0),""))),"")</f>
        <v>0</v>
      </c>
      <c r="CB245" s="39" t="n">
        <f aca="false">IFERROR(IF($C245="","",IF($D245="","",IFERROR(ROUND($D245*INDEX('🔖 배합비 참조'!$B$2:$CE$83,MATCH("현미멥쌀(국내산)",'🔖 배합비 참조'!$A$2:$A$83,0),MATCH($C245,'🔖 배합비 참조'!$B$1:$CE$1,0))/100,0),""))),"")</f>
        <v>0</v>
      </c>
      <c r="CC245" s="39" t="n">
        <f aca="false">IFERROR(IF($C245="","",IF($D245="","",IFERROR(ROUND($D245*INDEX('🔖 배합비 참조'!$B$2:$CE$83,MATCH("호두분태(미국산)",'🔖 배합비 참조'!$A$2:$A$83,0),MATCH($C245,'🔖 배합비 참조'!$B$1:$CE$1,0))/100,0),""))),"")</f>
        <v>0</v>
      </c>
      <c r="CD245" s="39" t="n">
        <f aca="false">IFERROR(IF($C245="","",IF($D245="","",IFERROR(ROUND($D245*INDEX('🔖 배합비 참조'!$B$2:$CE$83,MATCH("호박씨앗(외국산)",'🔖 배합비 참조'!$A$2:$A$83,0),MATCH($C245,'🔖 배합비 참조'!$B$1:$CE$1,0))/100,0),""))),"")</f>
        <v>0</v>
      </c>
      <c r="CE245" s="39" t="n">
        <f aca="false">IFERROR(IF($C245="","",IF($D245="","",IFERROR(ROUND($D245*INDEX('🔖 배합비 참조'!$B$2:$CE$83,MATCH("혼합제제(떡용에스텔)",'🔖 배합비 참조'!$A$2:$A$83,0),MATCH($C245,'🔖 배합비 참조'!$B$1:$CE$1,0))/100,0),""))),"")</f>
        <v>0</v>
      </c>
      <c r="CF245" s="39" t="n">
        <f aca="false">IFERROR(IF($C245="","",IF($D245="","",IFERROR(ROUND($D245*INDEX('🔖 배합비 참조'!$B$2:$CE$83,MATCH("혼합제제(스테비아)",'🔖 배합비 참조'!$A$2:$A$83,0),MATCH($C245,'🔖 배합비 참조'!$B$1:$CE$1,0))/100,0),""))),"")</f>
        <v>0</v>
      </c>
      <c r="CG245" s="39" t="n">
        <f aca="false">IFERROR(IF($C245="","",IF($D245="","",IFERROR(ROUND($D245*INDEX('🔖 배합비 참조'!$B$2:$CE$83,MATCH("화이트초콜릿",'🔖 배합비 참조'!$A$2:$A$83,0),MATCH($C245,'🔖 배합비 참조'!$B$1:$CE$1,0))/100,0),""))),"")</f>
        <v>0</v>
      </c>
      <c r="CH245" s="39" t="n">
        <f aca="false">IFERROR(IF($C245="","",IF($D245="","",IFERROR(ROUND($D245*INDEX('🔖 배합비 참조'!$B$2:$CE$83,MATCH("흑미찹쌀(국내산)",'🔖 배합비 참조'!$A$2:$A$83,0),MATCH($C245,'🔖 배합비 참조'!$B$1:$CE$1,0))/100,0),""))),"")</f>
        <v>0</v>
      </c>
      <c r="CI245" s="39" t="n">
        <f aca="false">IFERROR(IF($C245="","",IF($D245="","",IFERROR(ROUND($D245*INDEX('🔖 배합비 참조'!$B$2:$CE$83,MATCH("찰옥수수전분(미국산)",'🔖 배합비 참조'!$A$2:$A$83,0),MATCH($C245,'🔖 배합비 참조'!$B$1:$CE$1,0))/100,0),""))),"")</f>
        <v>0</v>
      </c>
      <c r="CJ245" s="40"/>
      <c r="CL245" s="1" t="s">
        <v>247</v>
      </c>
    </row>
    <row r="246" customFormat="false" ht="18" hidden="false" customHeight="true" outlineLevel="0" collapsed="false">
      <c r="A246" s="41" t="n">
        <v>242</v>
      </c>
      <c r="B246" s="36" t="n">
        <v>46079</v>
      </c>
      <c r="C246" s="37" t="s">
        <v>163</v>
      </c>
      <c r="D246" s="38" t="n">
        <v>70</v>
      </c>
      <c r="E246" s="17"/>
      <c r="F246" s="17"/>
      <c r="G246" s="42" t="n">
        <f aca="false">IFERROR(IF($C246="","",IF($D246="","",IFERROR(ROUND($D246*INDEX('🔖 배합비 참조'!$B$2:$CE$83,MATCH("간장",'🔖 배합비 참조'!$A$2:$A$83,0),MATCH($C246,'🔖 배합비 참조'!$B$1:$CE$1,0))/100,0),""))),"")</f>
        <v>0</v>
      </c>
      <c r="H246" s="42" t="n">
        <f aca="false">IFERROR(IF($C246="","",IF($D246="","",IFERROR(ROUND($D246*INDEX('🔖 배합비 참조'!$B$2:$CE$83,MATCH("강낭콩((울타리콩))",'🔖 배합비 참조'!$A$2:$A$83,0),MATCH($C246,'🔖 배합비 참조'!$B$1:$CE$1,0))/100,0),""))),"")</f>
        <v>0</v>
      </c>
      <c r="I246" s="42" t="n">
        <f aca="false">IFERROR(IF($C246="","",IF($D246="","",IFERROR(ROUND($D246*INDEX('🔖 배합비 참조'!$B$2:$CE$83,MATCH("건조딸기다이스(외국산)",'🔖 배합비 참조'!$A$2:$A$83,0),MATCH($C246,'🔖 배합비 참조'!$B$1:$CE$1,0))/100,0),""))),"")</f>
        <v>0</v>
      </c>
      <c r="J246" s="42" t="n">
        <f aca="false">IFERROR(IF($C246="","",IF($D246="","",IFERROR(ROUND($D246*INDEX('🔖 배합비 참조'!$B$2:$CE$83,MATCH("건포도",'🔖 배합비 참조'!$A$2:$A$83,0),MATCH($C246,'🔖 배합비 참조'!$B$1:$CE$1,0))/100,0),""))),"")</f>
        <v>0</v>
      </c>
      <c r="K246" s="42" t="n">
        <f aca="false">IFERROR(IF($C246="","",IF($D246="","",IFERROR(ROUND($D246*INDEX('🔖 배합비 참조'!$B$2:$CE$83,MATCH("건호박채(중국산)",'🔖 배합비 참조'!$A$2:$A$83,0),MATCH($C246,'🔖 배합비 참조'!$B$1:$CE$1,0))/100,0),""))),"")</f>
        <v>0</v>
      </c>
      <c r="L246" s="42" t="n">
        <f aca="false">IFERROR(IF($C246="","",IF($D246="","",IFERROR(ROUND($D246*INDEX('🔖 배합비 참조'!$B$2:$CE$83,MATCH("검정깨(흑임자)",'🔖 배합비 참조'!$A$2:$A$83,0),MATCH($C246,'🔖 배합비 참조'!$B$1:$CE$1,0))/100,0),""))),"")</f>
        <v>0</v>
      </c>
      <c r="M246" s="42" t="n">
        <f aca="false">IFERROR(IF($C246="","",IF($D246="","",IFERROR(ROUND($D246*INDEX('🔖 배합비 참조'!$B$2:$CE$83,MATCH("검정콩",'🔖 배합비 참조'!$A$2:$A$83,0),MATCH($C246,'🔖 배합비 참조'!$B$1:$CE$1,0))/100,0),""))),"")</f>
        <v>0</v>
      </c>
      <c r="N246" s="42" t="n">
        <f aca="false">IFERROR(IF($C246="","",IF($D246="","",IFERROR(ROUND($D246*INDEX('🔖 배합비 참조'!$B$2:$CE$83,MATCH("계피가루",'🔖 배합비 참조'!$A$2:$A$83,0),MATCH($C246,'🔖 배합비 참조'!$B$1:$CE$1,0))/100,0),""))),"")</f>
        <v>0</v>
      </c>
      <c r="O246" s="42" t="n">
        <f aca="false">IFERROR(IF($C246="","",IF($D246="","",IFERROR(ROUND($D246*INDEX('🔖 배합비 참조'!$B$2:$CE$83,MATCH("고구마가루",'🔖 배합비 참조'!$A$2:$A$83,0),MATCH($C246,'🔖 배합비 참조'!$B$1:$CE$1,0))/100,0),""))),"")</f>
        <v>0</v>
      </c>
      <c r="P246" s="42" t="n">
        <f aca="false">IFERROR(IF($C246="","",IF($D246="","",IFERROR(ROUND($D246*INDEX('🔖 배합비 참조'!$B$2:$CE$83,MATCH("고구마무스",'🔖 배합비 참조'!$A$2:$A$83,0),MATCH($C246,'🔖 배합비 참조'!$B$1:$CE$1,0))/100,0),""))),"")</f>
        <v>0</v>
      </c>
      <c r="Q246" s="42" t="n">
        <f aca="false">IFERROR(IF($C246="","",IF($D246="","",IFERROR(ROUND($D246*INDEX('🔖 배합비 참조'!$B$2:$CE$83,MATCH("고려엉겅퀴((곤드레)국내산)",'🔖 배합비 참조'!$A$2:$A$83,0),MATCH($C246,'🔖 배합비 참조'!$B$1:$CE$1,0))/100,0),""))),"")</f>
        <v>0</v>
      </c>
      <c r="R246" s="42" t="n">
        <f aca="false">IFERROR(IF($C246="","",IF($D246="","",IFERROR(ROUND($D246*INDEX('🔖 배합비 참조'!$B$2:$CE$83,MATCH("기타가공품(복분자가루)",'🔖 배합비 참조'!$A$2:$A$83,0),MATCH($C246,'🔖 배합비 참조'!$B$1:$CE$1,0))/100,0),""))),"")</f>
        <v>0</v>
      </c>
      <c r="S246" s="42" t="n">
        <f aca="false">IFERROR(IF($C246="","",IF($D246="","",IFERROR(ROUND($D246*INDEX('🔖 배합비 참조'!$B$2:$CE$83,MATCH("기타가공품(슈퍼소프트엠)",'🔖 배합비 참조'!$A$2:$A$83,0),MATCH($C246,'🔖 배합비 참조'!$B$1:$CE$1,0))/100,0),""))),"")</f>
        <v>0</v>
      </c>
      <c r="T246" s="42" t="n">
        <f aca="false">IFERROR(IF($C246="","",IF($D246="","",IFERROR(ROUND($D246*INDEX('🔖 배합비 참조'!$B$2:$CE$83,MATCH("기타가공품(파인소프트 E-티)",'🔖 배합비 참조'!$A$2:$A$83,0),MATCH($C246,'🔖 배합비 참조'!$B$1:$CE$1,0))/100,0),""))),"")</f>
        <v>0</v>
      </c>
      <c r="U246" s="42" t="n">
        <f aca="false">IFERROR(IF($C246="","",IF($D246="","",IFERROR(ROUND($D246*INDEX('🔖 배합비 참조'!$B$2:$CE$83,MATCH("기타가공품(프리미엄카스테라가루)",'🔖 배합비 참조'!$A$2:$A$83,0),MATCH($C246,'🔖 배합비 참조'!$B$1:$CE$1,0))/100,0),""))),"")</f>
        <v>0</v>
      </c>
      <c r="V246" s="42" t="n">
        <f aca="false">IFERROR(IF($C246="","",IF($D246="","",IFERROR(ROUND($D246*INDEX('🔖 배합비 참조'!$B$2:$CE$83,MATCH("기타가공품(흑임자가루)",'🔖 배합비 참조'!$A$2:$A$83,0),MATCH($C246,'🔖 배합비 참조'!$B$1:$CE$1,0))/100,0),""))),"")</f>
        <v>0</v>
      </c>
      <c r="W246" s="42" t="n">
        <f aca="false">IFERROR(IF($C246="","",IF($D246="","",IFERROR(ROUND($D246*INDEX('🔖 배합비 참조'!$B$2:$CE$83,MATCH("기타설탕(흑설탕)",'🔖 배합비 참조'!$A$2:$A$83,0),MATCH($C246,'🔖 배합비 참조'!$B$1:$CE$1,0))/100,0),""))),"")</f>
        <v>0</v>
      </c>
      <c r="X246" s="42" t="n">
        <f aca="false">IFERROR(IF($C246="","",IF($D246="","",IFERROR(ROUND($D246*INDEX('🔖 배합비 참조'!$B$2:$CE$83,MATCH("냉동쑥(국내산)",'🔖 배합비 참조'!$A$2:$A$83,0),MATCH($C246,'🔖 배합비 참조'!$B$1:$CE$1,0))/100,0),""))),"")</f>
        <v>1</v>
      </c>
      <c r="Y246" s="42" t="n">
        <f aca="false">IFERROR(IF($C246="","",IF($D246="","",IFERROR(ROUND($D246*INDEX('🔖 배합비 참조'!$B$2:$CE$83,MATCH("냉동증숙고구마(중국산)",'🔖 배합비 참조'!$A$2:$A$83,0),MATCH($C246,'🔖 배합비 참조'!$B$1:$CE$1,0))/100,0),""))),"")</f>
        <v>0</v>
      </c>
      <c r="Z246" s="42" t="n">
        <f aca="false">IFERROR(IF($C246="","",IF($D246="","",IFERROR(ROUND($D246*INDEX('🔖 배합비 참조'!$B$2:$CE$83,MATCH("녹차가루",'🔖 배합비 참조'!$A$2:$A$83,0),MATCH($C246,'🔖 배합비 참조'!$B$1:$CE$1,0))/100,0),""))),"")</f>
        <v>0</v>
      </c>
      <c r="AA246" s="42" t="n">
        <f aca="false">IFERROR(IF($C246="","",IF($D246="","",IFERROR(ROUND($D246*INDEX('🔖 배합비 참조'!$B$2:$CE$83,MATCH("다크초콜릿 컴파운드칩",'🔖 배합비 참조'!$A$2:$A$83,0),MATCH($C246,'🔖 배합비 참조'!$B$1:$CE$1,0))/100,0),""))),"")</f>
        <v>0</v>
      </c>
      <c r="AB246" s="42" t="n">
        <f aca="false">IFERROR(IF($C246="","",IF($D246="","",IFERROR(ROUND($D246*INDEX('🔖 배합비 참조'!$B$2:$CE$83,MATCH("단호박분말(중국산)",'🔖 배합비 참조'!$A$2:$A$83,0),MATCH($C246,'🔖 배합비 참조'!$B$1:$CE$1,0))/100,0),""))),"")</f>
        <v>0</v>
      </c>
      <c r="AC246" s="42" t="n">
        <f aca="false">IFERROR(IF($C246="","",IF($D246="","",IFERROR(ROUND($D246*INDEX('🔖 배합비 참조'!$B$2:$CE$83,MATCH("당류가공품(단호박농축액)",'🔖 배합비 참조'!$A$2:$A$83,0),MATCH($C246,'🔖 배합비 참조'!$B$1:$CE$1,0))/100,0),""))),"")</f>
        <v>0</v>
      </c>
      <c r="AD246" s="42" t="n">
        <f aca="false">IFERROR(IF($C246="","",IF($D246="","",IFERROR(ROUND($D246*INDEX('🔖 배합비 참조'!$B$2:$CE$83,MATCH("당류가공품(알룰로스,에리스리톨,스테비올배당체혼합)",'🔖 배합비 참조'!$A$2:$A$83,0),MATCH($C246,'🔖 배합비 참조'!$B$1:$CE$1,0))/100,0),""))),"")</f>
        <v>0</v>
      </c>
      <c r="AE246" s="42" t="n">
        <f aca="false">IFERROR(IF($C246="","",IF($D246="","",IFERROR(ROUND($D246*INDEX('🔖 배합비 참조'!$B$2:$CE$83,MATCH("당류가공품(알룰로스제로파우더)",'🔖 배합비 참조'!$A$2:$A$83,0),MATCH($C246,'🔖 배합비 참조'!$B$1:$CE$1,0))/100,0),""))),"")</f>
        <v>0</v>
      </c>
      <c r="AF246" s="42" t="n">
        <f aca="false">IFERROR(IF($C246="","",IF($D246="","",IFERROR(ROUND($D246*INDEX('🔖 배합비 참조'!$B$2:$CE$83,MATCH("당절임(완두배기)",'🔖 배합비 참조'!$A$2:$A$83,0),MATCH($C246,'🔖 배합비 참조'!$B$1:$CE$1,0))/100,0),""))),"")</f>
        <v>0</v>
      </c>
      <c r="AG246" s="42" t="n">
        <f aca="false">IFERROR(IF($C246="","",IF($D246="","",IFERROR(ROUND($D246*INDEX('🔖 배합비 참조'!$B$2:$CE$83,MATCH("대추농축액",'🔖 배합비 참조'!$A$2:$A$83,0),MATCH($C246,'🔖 배합비 참조'!$B$1:$CE$1,0))/100,0),""))),"")</f>
        <v>0</v>
      </c>
      <c r="AH246" s="42" t="n">
        <f aca="false">IFERROR(IF($C246="","",IF($D246="","",IFERROR(ROUND($D246*INDEX('🔖 배합비 참조'!$B$2:$CE$83,MATCH("대추채(국내산)",'🔖 배합비 참조'!$A$2:$A$83,0),MATCH($C246,'🔖 배합비 참조'!$B$1:$CE$1,0))/100,0),""))),"")</f>
        <v>0</v>
      </c>
      <c r="AI246" s="42" t="n">
        <f aca="false">IFERROR(IF($C246="","",IF($D246="","",IFERROR(ROUND($D246*INDEX('🔖 배합비 참조'!$B$2:$CE$83,MATCH("동부(미얀마산)",'🔖 배합비 참조'!$A$2:$A$83,0),MATCH($C246,'🔖 배합비 참조'!$B$1:$CE$1,0))/100,0),""))),"")</f>
        <v>0</v>
      </c>
      <c r="AJ246" s="42" t="n">
        <f aca="false">IFERROR(IF($C246="","",IF($D246="","",IFERROR(ROUND($D246*INDEX('🔖 배합비 참조'!$B$2:$CE$83,MATCH("두류가공품(백옥앙금)",'🔖 배합비 참조'!$A$2:$A$83,0),MATCH($C246,'🔖 배합비 참조'!$B$1:$CE$1,0))/100,0),""))),"")</f>
        <v>0</v>
      </c>
      <c r="AK246" s="42" t="n">
        <f aca="false">IFERROR(IF($C246="","",IF($D246="","",IFERROR(ROUND($D246*INDEX('🔖 배합비 참조'!$B$2:$CE$83,MATCH("두류가공품(콩고물)",'🔖 배합비 참조'!$A$2:$A$83,0),MATCH($C246,'🔖 배합비 참조'!$B$1:$CE$1,0))/100,0),""))),"")</f>
        <v>4</v>
      </c>
      <c r="AL246" s="42" t="n">
        <f aca="false">IFERROR(IF($C246="","",IF($D246="","",IFERROR(ROUND($D246*INDEX('🔖 배합비 참조'!$B$2:$CE$83,MATCH("두류가공품(통팥고물)",'🔖 배합비 참조'!$A$2:$A$83,0),MATCH($C246,'🔖 배합비 참조'!$B$1:$CE$1,0))/100,0),""))),"")</f>
        <v>0</v>
      </c>
      <c r="AM246" s="42" t="n">
        <f aca="false">IFERROR(IF($C246="","",IF($D246="","",IFERROR(ROUND($D246*INDEX('🔖 배합비 참조'!$B$2:$CE$83,MATCH("딸기레진",'🔖 배합비 참조'!$A$2:$A$83,0),MATCH($C246,'🔖 배합비 참조'!$B$1:$CE$1,0))/100,0),""))),"")</f>
        <v>0</v>
      </c>
      <c r="AN246" s="42" t="n">
        <f aca="false">IFERROR(IF($C246="","",IF($D246="","",IFERROR(ROUND($D246*INDEX('🔖 배합비 참조'!$B$2:$CE$83,MATCH("딸기분말(스트로우베리에이드(분말))",'🔖 배합비 참조'!$A$2:$A$83,0),MATCH($C246,'🔖 배합비 참조'!$B$1:$CE$1,0))/100,0),""))),"")</f>
        <v>0</v>
      </c>
      <c r="AO246" s="42" t="n">
        <f aca="false">IFERROR(IF($C246="","",IF($D246="","",IFERROR(ROUND($D246*INDEX('🔖 배합비 참조'!$B$2:$CE$83,MATCH("마스카포네치즈",'🔖 배합비 참조'!$A$2:$A$83,0),MATCH($C246,'🔖 배합비 참조'!$B$1:$CE$1,0))/100,0),""))),"")</f>
        <v>0</v>
      </c>
      <c r="AP246" s="42" t="n">
        <f aca="false">IFERROR(IF($C246="","",IF($D246="","",IFERROR(ROUND($D246*INDEX('🔖 배합비 참조'!$B$2:$CE$83,MATCH("마카다미아분태(호주산)",'🔖 배합비 참조'!$A$2:$A$83,0),MATCH($C246,'🔖 배합비 참조'!$B$1:$CE$1,0))/100,0),""))),"")</f>
        <v>0</v>
      </c>
      <c r="AQ246" s="42" t="n">
        <f aca="false">IFERROR(IF($C246="","",IF($D246="","",IFERROR(ROUND($D246*INDEX('🔖 배합비 참조'!$B$2:$CE$83,MATCH("멥쌀(국내산)",'🔖 배합비 참조'!$A$2:$A$83,0),MATCH($C246,'🔖 배합비 참조'!$B$1:$CE$1,0))/100,0),""))),"")</f>
        <v>0</v>
      </c>
      <c r="AR246" s="42" t="n">
        <f aca="false">IFERROR(IF($C246="","",IF($D246="","",IFERROR(ROUND($D246*INDEX('🔖 배합비 참조'!$B$2:$CE$83,MATCH("모시잎(국내산)",'🔖 배합비 참조'!$A$2:$A$83,0),MATCH($C246,'🔖 배합비 참조'!$B$1:$CE$1,0))/100,0),""))),"")</f>
        <v>0</v>
      </c>
      <c r="AS246" s="42" t="n">
        <f aca="false">IFERROR(IF($C246="","",IF($D246="","",IFERROR(ROUND($D246*INDEX('🔖 배합비 참조'!$B$2:$CE$83,MATCH("물엿(저당물엿)",'🔖 배합비 참조'!$A$2:$A$83,0),MATCH($C246,'🔖 배합비 참조'!$B$1:$CE$1,0))/100,0),""))),"")</f>
        <v>4</v>
      </c>
      <c r="AT246" s="42" t="n">
        <f aca="false">IFERROR(IF($C246="","",IF($D246="","",IFERROR(ROUND($D246*INDEX('🔖 배합비 참조'!$B$2:$CE$83,MATCH("밤다이스",'🔖 배합비 참조'!$A$2:$A$83,0),MATCH($C246,'🔖 배합비 참조'!$B$1:$CE$1,0))/100,0),""))),"")</f>
        <v>0</v>
      </c>
      <c r="AU246" s="42" t="n">
        <f aca="false">IFERROR(IF($C246="","",IF($D246="","",IFERROR(ROUND($D246*INDEX('🔖 배합비 참조'!$B$2:$CE$83,MATCH("변성전분(타피오카전분)",'🔖 배합비 참조'!$A$2:$A$83,0),MATCH($C246,'🔖 배합비 참조'!$B$1:$CE$1,0))/100,0),""))),"")</f>
        <v>0</v>
      </c>
      <c r="AV246" s="42" t="n">
        <f aca="false">IFERROR(IF($C246="","",IF($D246="","",IFERROR(ROUND($D246*INDEX('🔖 배합비 참조'!$B$2:$CE$83,MATCH("복음땅콩분태",'🔖 배합비 참조'!$A$2:$A$83,0),MATCH($C246,'🔖 배합비 참조'!$B$1:$CE$1,0))/100,0),""))),"")</f>
        <v>2</v>
      </c>
      <c r="AW246" s="42" t="n">
        <f aca="false">IFERROR(IF($C246="","",IF($D246="","",IFERROR(ROUND($D246*INDEX('🔖 배합비 참조'!$B$2:$CE$83,MATCH("사양벌꿀(국내산)",'🔖 배합비 참조'!$A$2:$A$83,0),MATCH($C246,'🔖 배합비 참조'!$B$1:$CE$1,0))/100,0),""))),"")</f>
        <v>0</v>
      </c>
      <c r="AX246" s="42" t="n">
        <f aca="false">IFERROR(IF($C246="","",IF($D246="","",IFERROR(ROUND($D246*INDEX('🔖 배합비 참조'!$B$2:$CE$83,MATCH("생크림",'🔖 배합비 참조'!$A$2:$A$83,0),MATCH($C246,'🔖 배합비 참조'!$B$1:$CE$1,0))/100,0),""))),"")</f>
        <v>0</v>
      </c>
      <c r="AY246" s="42" t="n">
        <f aca="false">IFERROR(IF($C246="","",IF($D246="","",IFERROR(ROUND($D246*INDEX('🔖 배합비 참조'!$B$2:$CE$83,MATCH("서양호박(국내산,뉴질랜드산)",'🔖 배합비 참조'!$A$2:$A$83,0),MATCH($C246,'🔖 배합비 참조'!$B$1:$CE$1,0))/100,0),""))),"")</f>
        <v>0</v>
      </c>
      <c r="AZ246" s="42" t="n">
        <f aca="false">IFERROR(IF($C246="","",IF($D246="","",IFERROR(ROUND($D246*INDEX('🔖 배합비 참조'!$B$2:$CE$83,MATCH("설탕",'🔖 배합비 참조'!$A$2:$A$83,0),MATCH($C246,'🔖 배합비 참조'!$B$1:$CE$1,0))/100,0),""))),"")</f>
        <v>2</v>
      </c>
      <c r="BA246" s="42" t="n">
        <f aca="false">IFERROR(IF($C246="","",IF($D246="","",IFERROR(ROUND($D246*INDEX('🔖 배합비 참조'!$B$2:$CE$83,MATCH("스트로우베리 에이드 후레쉬",'🔖 배합비 참조'!$A$2:$A$83,0),MATCH($C246,'🔖 배합비 참조'!$B$1:$CE$1,0))/100,0),""))),"")</f>
        <v>0</v>
      </c>
      <c r="BB246" s="42" t="n">
        <f aca="false">IFERROR(IF($C246="","",IF($D246="","",IFERROR(ROUND($D246*INDEX('🔖 배합비 참조'!$B$2:$CE$83,MATCH("식물성기름혼합제제(분홍)",'🔖 배합비 참조'!$A$2:$A$83,0),MATCH($C246,'🔖 배합비 참조'!$B$1:$CE$1,0))/100,0),""))),"")</f>
        <v>0</v>
      </c>
      <c r="BC246" s="42" t="n">
        <f aca="false">IFERROR(IF($C246="","",IF($D246="","",IFERROR(ROUND($D246*INDEX('🔖 배합비 참조'!$B$2:$CE$83,MATCH("식물성기름혼합제제(초록)",'🔖 배합비 참조'!$A$2:$A$83,0),MATCH($C246,'🔖 배합비 참조'!$B$1:$CE$1,0))/100,0),""))),"")</f>
        <v>0</v>
      </c>
      <c r="BD246" s="42" t="n">
        <f aca="false">IFERROR(IF($C246="","",IF($D246="","",IFERROR(ROUND($D246*INDEX('🔖 배합비 참조'!$B$2:$CE$83,MATCH("식물성기름혼합제제(황색)",'🔖 배합비 참조'!$A$2:$A$83,0),MATCH($C246,'🔖 배합비 참조'!$B$1:$CE$1,0))/100,0),""))),"")</f>
        <v>0</v>
      </c>
      <c r="BE246" s="42" t="n">
        <f aca="false">IFERROR(IF($C246="","",IF($D246="","",IFERROR(ROUND($D246*INDEX('🔖 배합비 참조'!$B$2:$CE$83,MATCH("쑥가루(국내산)",'🔖 배합비 참조'!$A$2:$A$83,0),MATCH($C246,'🔖 배합비 참조'!$B$1:$CE$1,0))/100,0),""))),"")</f>
        <v>0</v>
      </c>
      <c r="BF246" s="42" t="n">
        <f aca="false">IFERROR(IF($C246="","",IF($D246="","",IFERROR(ROUND($D246*INDEX('🔖 배합비 참조'!$B$2:$CE$83,MATCH("아몬드슬라이스",'🔖 배합비 참조'!$A$2:$A$83,0),MATCH($C246,'🔖 배합비 참조'!$B$1:$CE$1,0))/100,0),""))),"")</f>
        <v>0</v>
      </c>
      <c r="BG246" s="42" t="n">
        <f aca="false">IFERROR(IF($C246="","",IF($D246="","",IFERROR(ROUND($D246*INDEX('🔖 배합비 참조'!$B$2:$CE$83,MATCH("알룰로오스(국내산)",'🔖 배합비 참조'!$A$2:$A$83,0),MATCH($C246,'🔖 배합비 참조'!$B$1:$CE$1,0))/100,0),""))),"")</f>
        <v>0</v>
      </c>
      <c r="BH246" s="42" t="n">
        <f aca="false">IFERROR(IF($C246="","",IF($D246="","",IFERROR(ROUND($D246*INDEX('🔖 배합비 참조'!$B$2:$CE$83,MATCH("연유",'🔖 배합비 참조'!$A$2:$A$83,0),MATCH($C246,'🔖 배합비 참조'!$B$1:$CE$1,0))/100,0),""))),"")</f>
        <v>0</v>
      </c>
      <c r="BI246" s="42" t="n">
        <f aca="false">IFERROR(IF($C246="","",IF($D246="","",IFERROR(ROUND($D246*INDEX('🔖 배합비 참조'!$B$2:$CE$83,MATCH("옥수수전분",'🔖 배합비 참조'!$A$2:$A$83,0),MATCH($C246,'🔖 배합비 참조'!$B$1:$CE$1,0))/100,0),""))),"")</f>
        <v>0</v>
      </c>
      <c r="BJ246" s="42" t="n">
        <f aca="false">IFERROR(IF($C246="","",IF($D246="","",IFERROR(ROUND($D246*INDEX('🔖 배합비 참조'!$B$2:$CE$83,MATCH("완두배기",'🔖 배합비 참조'!$A$2:$A$83,0),MATCH($C246,'🔖 배합비 참조'!$B$1:$CE$1,0))/100,0),""))),"")</f>
        <v>0</v>
      </c>
      <c r="BK246" s="42" t="n">
        <f aca="false">IFERROR(IF($C246="","",IF($D246="","",IFERROR(ROUND($D246*INDEX('🔖 배합비 참조'!$B$2:$CE$83,MATCH("우유(국내산)",'🔖 배합비 참조'!$A$2:$A$83,0),MATCH($C246,'🔖 배합비 참조'!$B$1:$CE$1,0))/100,0),""))),"")</f>
        <v>0</v>
      </c>
      <c r="BL246" s="42" t="n">
        <f aca="false">IFERROR(IF($C246="","",IF($D246="","",IFERROR(ROUND($D246*INDEX('🔖 배합비 참조'!$B$2:$CE$83,MATCH("자색고구마가루(중국산)",'🔖 배합비 참조'!$A$2:$A$83,0),MATCH($C246,'🔖 배합비 참조'!$B$1:$CE$1,0))/100,0),""))),"")</f>
        <v>0</v>
      </c>
      <c r="BM246" s="42" t="n">
        <f aca="false">IFERROR(IF($C246="","",IF($D246="","",IFERROR(ROUND($D246*INDEX('🔖 배합비 참조'!$B$2:$CE$83,MATCH("자연치즈(체다치즈)",'🔖 배합비 참조'!$A$2:$A$83,0),MATCH($C246,'🔖 배합비 참조'!$B$1:$CE$1,0))/100,0),""))),"")</f>
        <v>0</v>
      </c>
      <c r="BN246" s="42" t="n">
        <f aca="false">IFERROR(IF($C246="","",IF($D246="","",IFERROR(ROUND($D246*INDEX('🔖 배합비 참조'!$B$2:$CE$83,MATCH("정제수",'🔖 배합비 참조'!$A$2:$A$83,0),MATCH($C246,'🔖 배합비 참조'!$B$1:$CE$1,0))/100,0),""))),"")</f>
        <v>0</v>
      </c>
      <c r="BO246" s="42" t="n">
        <f aca="false">IFERROR(IF($C246="","",IF($D246="","",IFERROR(ROUND($D246*INDEX('🔖 배합비 참조'!$B$2:$CE$83,MATCH("젤라틴",'🔖 배합비 참조'!$A$2:$A$83,0),MATCH($C246,'🔖 배합비 참조'!$B$1:$CE$1,0))/100,0),""))),"")</f>
        <v>0</v>
      </c>
      <c r="BP246" s="42" t="n">
        <f aca="false">IFERROR(IF($C246="","",IF($D246="","",IFERROR(ROUND($D246*INDEX('🔖 배합비 참조'!$B$2:$CE$83,MATCH("조림류(백옥앙금)",'🔖 배합비 참조'!$A$2:$A$83,0),MATCH($C246,'🔖 배합비 참조'!$B$1:$CE$1,0))/100,0),""))),"")</f>
        <v>0</v>
      </c>
      <c r="BQ246" s="42" t="n">
        <f aca="false">IFERROR(IF($C246="","",IF($D246="","",IFERROR(ROUND($D246*INDEX('🔖 배합비 참조'!$B$2:$CE$83,MATCH("조림류(통팥앙금)",'🔖 배합비 참조'!$A$2:$A$83,0),MATCH($C246,'🔖 배합비 참조'!$B$1:$CE$1,0))/100,0),""))),"")</f>
        <v>0</v>
      </c>
      <c r="BR246" s="42" t="n">
        <f aca="false">IFERROR(IF($C246="","",IF($D246="","",IFERROR(ROUND($D246*INDEX('🔖 배합비 참조'!$B$2:$CE$83,MATCH("준초콜릿(외국산)",'🔖 배합비 참조'!$A$2:$A$83,0),MATCH($C246,'🔖 배합비 참조'!$B$1:$CE$1,0))/100,0),""))),"")</f>
        <v>0</v>
      </c>
      <c r="BS246" s="42" t="n">
        <f aca="false">IFERROR(IF($C246="","",IF($D246="","",IFERROR(ROUND($D246*INDEX('🔖 배합비 참조'!$B$2:$CE$83,MATCH("중력분",'🔖 배합비 참조'!$A$2:$A$83,0),MATCH($C246,'🔖 배합비 참조'!$B$1:$CE$1,0))/100,0),""))),"")</f>
        <v>1</v>
      </c>
      <c r="BT246" s="42" t="n">
        <f aca="false">IFERROR(IF($C246="","",IF($D246="","",IFERROR(ROUND($D246*INDEX('🔖 배합비 참조'!$B$2:$CE$83,MATCH("참깨(인도산,나이지리아산,탄자니아산,미얀마산)",'🔖 배합비 참조'!$A$2:$A$83,0),MATCH($C246,'🔖 배합비 참조'!$B$1:$CE$1,0))/100,0),""))),"")</f>
        <v>0</v>
      </c>
      <c r="BU246" s="42" t="n">
        <f aca="false">IFERROR(IF($C246="","",IF($D246="","",IFERROR(ROUND($D246*INDEX('🔖 배합비 참조'!$B$2:$CE$83,MATCH("찹쌀(국내산)",'🔖 배합비 참조'!$A$2:$A$83,0),MATCH($C246,'🔖 배합비 참조'!$B$1:$CE$1,0))/100,0),""))),"")</f>
        <v>50</v>
      </c>
      <c r="BV246" s="42" t="n">
        <f aca="false">IFERROR(IF($C246="","",IF($D246="","",IFERROR(ROUND($D246*INDEX('🔖 배합비 참조'!$B$2:$CE$83,MATCH("천일염",'🔖 배합비 참조'!$A$2:$A$83,0),MATCH($C246,'🔖 배합비 참조'!$B$1:$CE$1,0))/100,0),""))),"")</f>
        <v>1</v>
      </c>
      <c r="BW246" s="42" t="n">
        <f aca="false">IFERROR(IF($C246="","",IF($D246="","",IFERROR(ROUND($D246*INDEX('🔖 배합비 참조'!$B$2:$CE$83,MATCH("치즈 [크림치즈]",'🔖 배합비 참조'!$A$2:$A$83,0),MATCH($C246,'🔖 배합비 참조'!$B$1:$CE$1,0))/100,0),""))),"")</f>
        <v>0</v>
      </c>
      <c r="BX246" s="42" t="n">
        <f aca="false">IFERROR(IF($C246="","",IF($D246="","",IFERROR(ROUND($D246*INDEX('🔖 배합비 참조'!$B$2:$CE$83,MATCH("코코아가공품류(코코아분말)",'🔖 배합비 참조'!$A$2:$A$83,0),MATCH($C246,'🔖 배합비 참조'!$B$1:$CE$1,0))/100,0),""))),"")</f>
        <v>0</v>
      </c>
      <c r="BY246" s="42" t="n">
        <f aca="false">IFERROR(IF($C246="","",IF($D246="","",IFERROR(ROUND($D246*INDEX('🔖 배합비 참조'!$B$2:$CE$83,MATCH("콩기름(대두유)",'🔖 배합비 참조'!$A$2:$A$83,0),MATCH($C246,'🔖 배합비 참조'!$B$1:$CE$1,0))/100,0),""))),"")</f>
        <v>0</v>
      </c>
      <c r="BZ246" s="42" t="n">
        <f aca="false">IFERROR(IF($C246="","",IF($D246="","",IFERROR(ROUND($D246*INDEX('🔖 배합비 참조'!$B$2:$CE$83,MATCH("해바라기씨앗",'🔖 배합비 참조'!$A$2:$A$83,0),MATCH($C246,'🔖 배합비 참조'!$B$1:$CE$1,0))/100,0),""))),"")</f>
        <v>1</v>
      </c>
      <c r="CA246" s="42" t="n">
        <f aca="false">IFERROR(IF($C246="","",IF($D246="","",IFERROR(ROUND($D246*INDEX('🔖 배합비 참조'!$B$2:$CE$83,MATCH("현미(국내산)",'🔖 배합비 참조'!$A$2:$A$83,0),MATCH($C246,'🔖 배합비 참조'!$B$1:$CE$1,0))/100,0),""))),"")</f>
        <v>0</v>
      </c>
      <c r="CB246" s="42" t="n">
        <f aca="false">IFERROR(IF($C246="","",IF($D246="","",IFERROR(ROUND($D246*INDEX('🔖 배합비 참조'!$B$2:$CE$83,MATCH("현미멥쌀(국내산)",'🔖 배합비 참조'!$A$2:$A$83,0),MATCH($C246,'🔖 배합비 참조'!$B$1:$CE$1,0))/100,0),""))),"")</f>
        <v>0</v>
      </c>
      <c r="CC246" s="42" t="n">
        <f aca="false">IFERROR(IF($C246="","",IF($D246="","",IFERROR(ROUND($D246*INDEX('🔖 배합비 참조'!$B$2:$CE$83,MATCH("호두분태(미국산)",'🔖 배합비 참조'!$A$2:$A$83,0),MATCH($C246,'🔖 배합비 참조'!$B$1:$CE$1,0))/100,0),""))),"")</f>
        <v>0</v>
      </c>
      <c r="CD246" s="42" t="n">
        <f aca="false">IFERROR(IF($C246="","",IF($D246="","",IFERROR(ROUND($D246*INDEX('🔖 배합비 참조'!$B$2:$CE$83,MATCH("호박씨앗(외국산)",'🔖 배합비 참조'!$A$2:$A$83,0),MATCH($C246,'🔖 배합비 참조'!$B$1:$CE$1,0))/100,0),""))),"")</f>
        <v>1</v>
      </c>
      <c r="CE246" s="42" t="n">
        <f aca="false">IFERROR(IF($C246="","",IF($D246="","",IFERROR(ROUND($D246*INDEX('🔖 배합비 참조'!$B$2:$CE$83,MATCH("혼합제제(떡용에스텔)",'🔖 배합비 참조'!$A$2:$A$83,0),MATCH($C246,'🔖 배합비 참조'!$B$1:$CE$1,0))/100,0),""))),"")</f>
        <v>0</v>
      </c>
      <c r="CF246" s="42" t="n">
        <f aca="false">IFERROR(IF($C246="","",IF($D246="","",IFERROR(ROUND($D246*INDEX('🔖 배합비 참조'!$B$2:$CE$83,MATCH("혼합제제(스테비아)",'🔖 배합비 참조'!$A$2:$A$83,0),MATCH($C246,'🔖 배합비 참조'!$B$1:$CE$1,0))/100,0),""))),"")</f>
        <v>0</v>
      </c>
      <c r="CG246" s="42" t="n">
        <f aca="false">IFERROR(IF($C246="","",IF($D246="","",IFERROR(ROUND($D246*INDEX('🔖 배합비 참조'!$B$2:$CE$83,MATCH("화이트초콜릿",'🔖 배합비 참조'!$A$2:$A$83,0),MATCH($C246,'🔖 배합비 참조'!$B$1:$CE$1,0))/100,0),""))),"")</f>
        <v>0</v>
      </c>
      <c r="CH246" s="42" t="n">
        <f aca="false">IFERROR(IF($C246="","",IF($D246="","",IFERROR(ROUND($D246*INDEX('🔖 배합비 참조'!$B$2:$CE$83,MATCH("흑미찹쌀(국내산)",'🔖 배합비 참조'!$A$2:$A$83,0),MATCH($C246,'🔖 배합비 참조'!$B$1:$CE$1,0))/100,0),""))),"")</f>
        <v>3</v>
      </c>
      <c r="CI246" s="42" t="n">
        <f aca="false">IFERROR(IF($C246="","",IF($D246="","",IFERROR(ROUND($D246*INDEX('🔖 배합비 참조'!$B$2:$CE$83,MATCH("찰옥수수전분(미국산)",'🔖 배합비 참조'!$A$2:$A$83,0),MATCH($C246,'🔖 배합비 참조'!$B$1:$CE$1,0))/100,0),""))),"")</f>
        <v>0</v>
      </c>
      <c r="CJ246" s="40"/>
      <c r="CL246" s="1" t="s">
        <v>247</v>
      </c>
    </row>
    <row r="247" customFormat="false" ht="18" hidden="false" customHeight="true" outlineLevel="0" collapsed="false">
      <c r="A247" s="35" t="n">
        <v>243</v>
      </c>
      <c r="B247" s="36" t="n">
        <v>46079</v>
      </c>
      <c r="C247" s="37" t="s">
        <v>191</v>
      </c>
      <c r="D247" s="38" t="n">
        <v>1100</v>
      </c>
      <c r="E247" s="13"/>
      <c r="F247" s="13"/>
      <c r="G247" s="39" t="n">
        <f aca="false">IFERROR(IF($C247="","",IF($D247="","",IFERROR(ROUND($D247*INDEX('🔖 배합비 참조'!$B$2:$CE$83,MATCH("간장",'🔖 배합비 참조'!$A$2:$A$83,0),MATCH($C247,'🔖 배합비 참조'!$B$1:$CE$1,0))/100,0),""))),"")</f>
        <v>0</v>
      </c>
      <c r="H247" s="39" t="n">
        <f aca="false">IFERROR(IF($C247="","",IF($D247="","",IFERROR(ROUND($D247*INDEX('🔖 배합비 참조'!$B$2:$CE$83,MATCH("강낭콩((울타리콩))",'🔖 배합비 참조'!$A$2:$A$83,0),MATCH($C247,'🔖 배합비 참조'!$B$1:$CE$1,0))/100,0),""))),"")</f>
        <v>0</v>
      </c>
      <c r="I247" s="39" t="n">
        <f aca="false">IFERROR(IF($C247="","",IF($D247="","",IFERROR(ROUND($D247*INDEX('🔖 배합비 참조'!$B$2:$CE$83,MATCH("건조딸기다이스(외국산)",'🔖 배합비 참조'!$A$2:$A$83,0),MATCH($C247,'🔖 배합비 참조'!$B$1:$CE$1,0))/100,0),""))),"")</f>
        <v>0</v>
      </c>
      <c r="J247" s="39" t="n">
        <f aca="false">IFERROR(IF($C247="","",IF($D247="","",IFERROR(ROUND($D247*INDEX('🔖 배합비 참조'!$B$2:$CE$83,MATCH("건포도",'🔖 배합비 참조'!$A$2:$A$83,0),MATCH($C247,'🔖 배합비 참조'!$B$1:$CE$1,0))/100,0),""))),"")</f>
        <v>0</v>
      </c>
      <c r="K247" s="39" t="n">
        <f aca="false">IFERROR(IF($C247="","",IF($D247="","",IFERROR(ROUND($D247*INDEX('🔖 배합비 참조'!$B$2:$CE$83,MATCH("건호박채(중국산)",'🔖 배합비 참조'!$A$2:$A$83,0),MATCH($C247,'🔖 배합비 참조'!$B$1:$CE$1,0))/100,0),""))),"")</f>
        <v>0</v>
      </c>
      <c r="L247" s="39" t="n">
        <f aca="false">IFERROR(IF($C247="","",IF($D247="","",IFERROR(ROUND($D247*INDEX('🔖 배합비 참조'!$B$2:$CE$83,MATCH("검정깨(흑임자)",'🔖 배합비 참조'!$A$2:$A$83,0),MATCH($C247,'🔖 배합비 참조'!$B$1:$CE$1,0))/100,0),""))),"")</f>
        <v>0</v>
      </c>
      <c r="M247" s="39" t="n">
        <f aca="false">IFERROR(IF($C247="","",IF($D247="","",IFERROR(ROUND($D247*INDEX('🔖 배합비 참조'!$B$2:$CE$83,MATCH("검정콩",'🔖 배합비 참조'!$A$2:$A$83,0),MATCH($C247,'🔖 배합비 참조'!$B$1:$CE$1,0))/100,0),""))),"")</f>
        <v>0</v>
      </c>
      <c r="N247" s="39" t="n">
        <f aca="false">IFERROR(IF($C247="","",IF($D247="","",IFERROR(ROUND($D247*INDEX('🔖 배합비 참조'!$B$2:$CE$83,MATCH("계피가루",'🔖 배합비 참조'!$A$2:$A$83,0),MATCH($C247,'🔖 배합비 참조'!$B$1:$CE$1,0))/100,0),""))),"")</f>
        <v>0</v>
      </c>
      <c r="O247" s="39" t="n">
        <f aca="false">IFERROR(IF($C247="","",IF($D247="","",IFERROR(ROUND($D247*INDEX('🔖 배합비 참조'!$B$2:$CE$83,MATCH("고구마가루",'🔖 배합비 참조'!$A$2:$A$83,0),MATCH($C247,'🔖 배합비 참조'!$B$1:$CE$1,0))/100,0),""))),"")</f>
        <v>0</v>
      </c>
      <c r="P247" s="39" t="n">
        <f aca="false">IFERROR(IF($C247="","",IF($D247="","",IFERROR(ROUND($D247*INDEX('🔖 배합비 참조'!$B$2:$CE$83,MATCH("고구마무스",'🔖 배합비 참조'!$A$2:$A$83,0),MATCH($C247,'🔖 배합비 참조'!$B$1:$CE$1,0))/100,0),""))),"")</f>
        <v>0</v>
      </c>
      <c r="Q247" s="39" t="n">
        <f aca="false">IFERROR(IF($C247="","",IF($D247="","",IFERROR(ROUND($D247*INDEX('🔖 배합비 참조'!$B$2:$CE$83,MATCH("고려엉겅퀴((곤드레)국내산)",'🔖 배합비 참조'!$A$2:$A$83,0),MATCH($C247,'🔖 배합비 참조'!$B$1:$CE$1,0))/100,0),""))),"")</f>
        <v>0</v>
      </c>
      <c r="R247" s="39" t="n">
        <f aca="false">IFERROR(IF($C247="","",IF($D247="","",IFERROR(ROUND($D247*INDEX('🔖 배합비 참조'!$B$2:$CE$83,MATCH("기타가공품(복분자가루)",'🔖 배합비 참조'!$A$2:$A$83,0),MATCH($C247,'🔖 배합비 참조'!$B$1:$CE$1,0))/100,0),""))),"")</f>
        <v>0</v>
      </c>
      <c r="S247" s="39" t="n">
        <f aca="false">IFERROR(IF($C247="","",IF($D247="","",IFERROR(ROUND($D247*INDEX('🔖 배합비 참조'!$B$2:$CE$83,MATCH("기타가공품(슈퍼소프트엠)",'🔖 배합비 참조'!$A$2:$A$83,0),MATCH($C247,'🔖 배합비 참조'!$B$1:$CE$1,0))/100,0),""))),"")</f>
        <v>0</v>
      </c>
      <c r="T247" s="39" t="n">
        <f aca="false">IFERROR(IF($C247="","",IF($D247="","",IFERROR(ROUND($D247*INDEX('🔖 배합비 참조'!$B$2:$CE$83,MATCH("기타가공품(파인소프트 E-티)",'🔖 배합비 참조'!$A$2:$A$83,0),MATCH($C247,'🔖 배합비 참조'!$B$1:$CE$1,0))/100,0),""))),"")</f>
        <v>0</v>
      </c>
      <c r="U247" s="39" t="n">
        <f aca="false">IFERROR(IF($C247="","",IF($D247="","",IFERROR(ROUND($D247*INDEX('🔖 배합비 참조'!$B$2:$CE$83,MATCH("기타가공품(프리미엄카스테라가루)",'🔖 배합비 참조'!$A$2:$A$83,0),MATCH($C247,'🔖 배합비 참조'!$B$1:$CE$1,0))/100,0),""))),"")</f>
        <v>0</v>
      </c>
      <c r="V247" s="39" t="n">
        <f aca="false">IFERROR(IF($C247="","",IF($D247="","",IFERROR(ROUND($D247*INDEX('🔖 배합비 참조'!$B$2:$CE$83,MATCH("기타가공품(흑임자가루)",'🔖 배합비 참조'!$A$2:$A$83,0),MATCH($C247,'🔖 배합비 참조'!$B$1:$CE$1,0))/100,0),""))),"")</f>
        <v>0</v>
      </c>
      <c r="W247" s="39" t="n">
        <f aca="false">IFERROR(IF($C247="","",IF($D247="","",IFERROR(ROUND($D247*INDEX('🔖 배합비 참조'!$B$2:$CE$83,MATCH("기타설탕(흑설탕)",'🔖 배합비 참조'!$A$2:$A$83,0),MATCH($C247,'🔖 배합비 참조'!$B$1:$CE$1,0))/100,0),""))),"")</f>
        <v>0</v>
      </c>
      <c r="X247" s="39" t="n">
        <f aca="false">IFERROR(IF($C247="","",IF($D247="","",IFERROR(ROUND($D247*INDEX('🔖 배합비 참조'!$B$2:$CE$83,MATCH("냉동쑥(국내산)",'🔖 배합비 참조'!$A$2:$A$83,0),MATCH($C247,'🔖 배합비 참조'!$B$1:$CE$1,0))/100,0),""))),"")</f>
        <v>0</v>
      </c>
      <c r="Y247" s="39" t="n">
        <f aca="false">IFERROR(IF($C247="","",IF($D247="","",IFERROR(ROUND($D247*INDEX('🔖 배합비 참조'!$B$2:$CE$83,MATCH("냉동증숙고구마(중국산)",'🔖 배합비 참조'!$A$2:$A$83,0),MATCH($C247,'🔖 배합비 참조'!$B$1:$CE$1,0))/100,0),""))),"")</f>
        <v>0</v>
      </c>
      <c r="Z247" s="39" t="n">
        <f aca="false">IFERROR(IF($C247="","",IF($D247="","",IFERROR(ROUND($D247*INDEX('🔖 배합비 참조'!$B$2:$CE$83,MATCH("녹차가루",'🔖 배합비 참조'!$A$2:$A$83,0),MATCH($C247,'🔖 배합비 참조'!$B$1:$CE$1,0))/100,0),""))),"")</f>
        <v>0</v>
      </c>
      <c r="AA247" s="39" t="n">
        <f aca="false">IFERROR(IF($C247="","",IF($D247="","",IFERROR(ROUND($D247*INDEX('🔖 배합비 참조'!$B$2:$CE$83,MATCH("다크초콜릿 컴파운드칩",'🔖 배합비 참조'!$A$2:$A$83,0),MATCH($C247,'🔖 배합비 참조'!$B$1:$CE$1,0))/100,0),""))),"")</f>
        <v>0</v>
      </c>
      <c r="AB247" s="39" t="n">
        <f aca="false">IFERROR(IF($C247="","",IF($D247="","",IFERROR(ROUND($D247*INDEX('🔖 배합비 참조'!$B$2:$CE$83,MATCH("단호박분말(중국산)",'🔖 배합비 참조'!$A$2:$A$83,0),MATCH($C247,'🔖 배합비 참조'!$B$1:$CE$1,0))/100,0),""))),"")</f>
        <v>0</v>
      </c>
      <c r="AC247" s="39" t="n">
        <f aca="false">IFERROR(IF($C247="","",IF($D247="","",IFERROR(ROUND($D247*INDEX('🔖 배합비 참조'!$B$2:$CE$83,MATCH("당류가공품(단호박농축액)",'🔖 배합비 참조'!$A$2:$A$83,0),MATCH($C247,'🔖 배합비 참조'!$B$1:$CE$1,0))/100,0),""))),"")</f>
        <v>0</v>
      </c>
      <c r="AD247" s="39" t="n">
        <f aca="false">IFERROR(IF($C247="","",IF($D247="","",IFERROR(ROUND($D247*INDEX('🔖 배합비 참조'!$B$2:$CE$83,MATCH("당류가공품(알룰로스,에리스리톨,스테비올배당체혼합)",'🔖 배합비 참조'!$A$2:$A$83,0),MATCH($C247,'🔖 배합비 참조'!$B$1:$CE$1,0))/100,0),""))),"")</f>
        <v>0</v>
      </c>
      <c r="AE247" s="39" t="n">
        <f aca="false">IFERROR(IF($C247="","",IF($D247="","",IFERROR(ROUND($D247*INDEX('🔖 배합비 참조'!$B$2:$CE$83,MATCH("당류가공품(알룰로스제로파우더)",'🔖 배합비 참조'!$A$2:$A$83,0),MATCH($C247,'🔖 배합비 참조'!$B$1:$CE$1,0))/100,0),""))),"")</f>
        <v>0</v>
      </c>
      <c r="AF247" s="39" t="n">
        <f aca="false">IFERROR(IF($C247="","",IF($D247="","",IFERROR(ROUND($D247*INDEX('🔖 배합비 참조'!$B$2:$CE$83,MATCH("당절임(완두배기)",'🔖 배합비 참조'!$A$2:$A$83,0),MATCH($C247,'🔖 배합비 참조'!$B$1:$CE$1,0))/100,0),""))),"")</f>
        <v>0</v>
      </c>
      <c r="AG247" s="39" t="n">
        <f aca="false">IFERROR(IF($C247="","",IF($D247="","",IFERROR(ROUND($D247*INDEX('🔖 배합비 참조'!$B$2:$CE$83,MATCH("대추농축액",'🔖 배합비 참조'!$A$2:$A$83,0),MATCH($C247,'🔖 배합비 참조'!$B$1:$CE$1,0))/100,0),""))),"")</f>
        <v>0</v>
      </c>
      <c r="AH247" s="39" t="n">
        <f aca="false">IFERROR(IF($C247="","",IF($D247="","",IFERROR(ROUND($D247*INDEX('🔖 배합비 참조'!$B$2:$CE$83,MATCH("대추채(국내산)",'🔖 배합비 참조'!$A$2:$A$83,0),MATCH($C247,'🔖 배합비 참조'!$B$1:$CE$1,0))/100,0),""))),"")</f>
        <v>0</v>
      </c>
      <c r="AI247" s="39" t="n">
        <f aca="false">IFERROR(IF($C247="","",IF($D247="","",IFERROR(ROUND($D247*INDEX('🔖 배합비 참조'!$B$2:$CE$83,MATCH("동부(미얀마산)",'🔖 배합비 참조'!$A$2:$A$83,0),MATCH($C247,'🔖 배합비 참조'!$B$1:$CE$1,0))/100,0),""))),"")</f>
        <v>0</v>
      </c>
      <c r="AJ247" s="39" t="n">
        <f aca="false">IFERROR(IF($C247="","",IF($D247="","",IFERROR(ROUND($D247*INDEX('🔖 배합비 참조'!$B$2:$CE$83,MATCH("두류가공품(백옥앙금)",'🔖 배합비 참조'!$A$2:$A$83,0),MATCH($C247,'🔖 배합비 참조'!$B$1:$CE$1,0))/100,0),""))),"")</f>
        <v>0</v>
      </c>
      <c r="AK247" s="39" t="n">
        <f aca="false">IFERROR(IF($C247="","",IF($D247="","",IFERROR(ROUND($D247*INDEX('🔖 배합비 참조'!$B$2:$CE$83,MATCH("두류가공품(콩고물)",'🔖 배합비 참조'!$A$2:$A$83,0),MATCH($C247,'🔖 배합비 참조'!$B$1:$CE$1,0))/100,0),""))),"")</f>
        <v>0</v>
      </c>
      <c r="AL247" s="39" t="n">
        <f aca="false">IFERROR(IF($C247="","",IF($D247="","",IFERROR(ROUND($D247*INDEX('🔖 배합비 참조'!$B$2:$CE$83,MATCH("두류가공품(통팥고물)",'🔖 배합비 참조'!$A$2:$A$83,0),MATCH($C247,'🔖 배합비 참조'!$B$1:$CE$1,0))/100,0),""))),"")</f>
        <v>0</v>
      </c>
      <c r="AM247" s="39" t="n">
        <f aca="false">IFERROR(IF($C247="","",IF($D247="","",IFERROR(ROUND($D247*INDEX('🔖 배합비 참조'!$B$2:$CE$83,MATCH("딸기레진",'🔖 배합비 참조'!$A$2:$A$83,0),MATCH($C247,'🔖 배합비 참조'!$B$1:$CE$1,0))/100,0),""))),"")</f>
        <v>0</v>
      </c>
      <c r="AN247" s="39" t="n">
        <f aca="false">IFERROR(IF($C247="","",IF($D247="","",IFERROR(ROUND($D247*INDEX('🔖 배합비 참조'!$B$2:$CE$83,MATCH("딸기분말(스트로우베리에이드(분말))",'🔖 배합비 참조'!$A$2:$A$83,0),MATCH($C247,'🔖 배합비 참조'!$B$1:$CE$1,0))/100,0),""))),"")</f>
        <v>0</v>
      </c>
      <c r="AO247" s="39" t="n">
        <f aca="false">IFERROR(IF($C247="","",IF($D247="","",IFERROR(ROUND($D247*INDEX('🔖 배합비 참조'!$B$2:$CE$83,MATCH("마스카포네치즈",'🔖 배합비 참조'!$A$2:$A$83,0),MATCH($C247,'🔖 배합비 참조'!$B$1:$CE$1,0))/100,0),""))),"")</f>
        <v>0</v>
      </c>
      <c r="AP247" s="39" t="n">
        <f aca="false">IFERROR(IF($C247="","",IF($D247="","",IFERROR(ROUND($D247*INDEX('🔖 배합비 참조'!$B$2:$CE$83,MATCH("마카다미아분태(호주산)",'🔖 배합비 참조'!$A$2:$A$83,0),MATCH($C247,'🔖 배합비 참조'!$B$1:$CE$1,0))/100,0),""))),"")</f>
        <v>0</v>
      </c>
      <c r="AQ247" s="39" t="n">
        <f aca="false">IFERROR(IF($C247="","",IF($D247="","",IFERROR(ROUND($D247*INDEX('🔖 배합비 참조'!$B$2:$CE$83,MATCH("멥쌀(국내산)",'🔖 배합비 참조'!$A$2:$A$83,0),MATCH($C247,'🔖 배합비 참조'!$B$1:$CE$1,0))/100,0),""))),"")</f>
        <v>22</v>
      </c>
      <c r="AR247" s="39" t="n">
        <f aca="false">IFERROR(IF($C247="","",IF($D247="","",IFERROR(ROUND($D247*INDEX('🔖 배합비 참조'!$B$2:$CE$83,MATCH("모시잎(국내산)",'🔖 배합비 참조'!$A$2:$A$83,0),MATCH($C247,'🔖 배합비 참조'!$B$1:$CE$1,0))/100,0),""))),"")</f>
        <v>0</v>
      </c>
      <c r="AS247" s="39" t="n">
        <f aca="false">IFERROR(IF($C247="","",IF($D247="","",IFERROR(ROUND($D247*INDEX('🔖 배합비 참조'!$B$2:$CE$83,MATCH("물엿(저당물엿)",'🔖 배합비 참조'!$A$2:$A$83,0),MATCH($C247,'🔖 배합비 참조'!$B$1:$CE$1,0))/100,0),""))),"")</f>
        <v>0</v>
      </c>
      <c r="AT247" s="39" t="n">
        <f aca="false">IFERROR(IF($C247="","",IF($D247="","",IFERROR(ROUND($D247*INDEX('🔖 배합비 참조'!$B$2:$CE$83,MATCH("밤다이스",'🔖 배합비 참조'!$A$2:$A$83,0),MATCH($C247,'🔖 배합비 참조'!$B$1:$CE$1,0))/100,0),""))),"")</f>
        <v>0</v>
      </c>
      <c r="AU247" s="39" t="n">
        <f aca="false">IFERROR(IF($C247="","",IF($D247="","",IFERROR(ROUND($D247*INDEX('🔖 배합비 참조'!$B$2:$CE$83,MATCH("변성전분(타피오카전분)",'🔖 배합비 참조'!$A$2:$A$83,0),MATCH($C247,'🔖 배합비 참조'!$B$1:$CE$1,0))/100,0),""))),"")</f>
        <v>0</v>
      </c>
      <c r="AV247" s="39" t="n">
        <f aca="false">IFERROR(IF($C247="","",IF($D247="","",IFERROR(ROUND($D247*INDEX('🔖 배합비 참조'!$B$2:$CE$83,MATCH("복음땅콩분태",'🔖 배합비 참조'!$A$2:$A$83,0),MATCH($C247,'🔖 배합비 참조'!$B$1:$CE$1,0))/100,0),""))),"")</f>
        <v>0</v>
      </c>
      <c r="AW247" s="39" t="n">
        <f aca="false">IFERROR(IF($C247="","",IF($D247="","",IFERROR(ROUND($D247*INDEX('🔖 배합비 참조'!$B$2:$CE$83,MATCH("사양벌꿀(국내산)",'🔖 배합비 참조'!$A$2:$A$83,0),MATCH($C247,'🔖 배합비 참조'!$B$1:$CE$1,0))/100,0),""))),"")</f>
        <v>0</v>
      </c>
      <c r="AX247" s="39" t="n">
        <f aca="false">IFERROR(IF($C247="","",IF($D247="","",IFERROR(ROUND($D247*INDEX('🔖 배합비 참조'!$B$2:$CE$83,MATCH("생크림",'🔖 배합비 참조'!$A$2:$A$83,0),MATCH($C247,'🔖 배합비 참조'!$B$1:$CE$1,0))/100,0),""))),"")</f>
        <v>0</v>
      </c>
      <c r="AY247" s="39" t="n">
        <f aca="false">IFERROR(IF($C247="","",IF($D247="","",IFERROR(ROUND($D247*INDEX('🔖 배합비 참조'!$B$2:$CE$83,MATCH("서양호박(국내산,뉴질랜드산)",'🔖 배합비 참조'!$A$2:$A$83,0),MATCH($C247,'🔖 배합비 참조'!$B$1:$CE$1,0))/100,0),""))),"")</f>
        <v>0</v>
      </c>
      <c r="AZ247" s="39" t="n">
        <f aca="false">IFERROR(IF($C247="","",IF($D247="","",IFERROR(ROUND($D247*INDEX('🔖 배합비 참조'!$B$2:$CE$83,MATCH("설탕",'🔖 배합비 참조'!$A$2:$A$83,0),MATCH($C247,'🔖 배합비 참조'!$B$1:$CE$1,0))/100,0),""))),"")</f>
        <v>209</v>
      </c>
      <c r="BA247" s="39" t="n">
        <f aca="false">IFERROR(IF($C247="","",IF($D247="","",IFERROR(ROUND($D247*INDEX('🔖 배합비 참조'!$B$2:$CE$83,MATCH("스트로우베리 에이드 후레쉬",'🔖 배합비 참조'!$A$2:$A$83,0),MATCH($C247,'🔖 배합비 참조'!$B$1:$CE$1,0))/100,0),""))),"")</f>
        <v>0</v>
      </c>
      <c r="BB247" s="39" t="n">
        <f aca="false">IFERROR(IF($C247="","",IF($D247="","",IFERROR(ROUND($D247*INDEX('🔖 배합비 참조'!$B$2:$CE$83,MATCH("식물성기름혼합제제(분홍)",'🔖 배합비 참조'!$A$2:$A$83,0),MATCH($C247,'🔖 배합비 참조'!$B$1:$CE$1,0))/100,0),""))),"")</f>
        <v>0</v>
      </c>
      <c r="BC247" s="39" t="n">
        <f aca="false">IFERROR(IF($C247="","",IF($D247="","",IFERROR(ROUND($D247*INDEX('🔖 배합비 참조'!$B$2:$CE$83,MATCH("식물성기름혼합제제(초록)",'🔖 배합비 참조'!$A$2:$A$83,0),MATCH($C247,'🔖 배합비 참조'!$B$1:$CE$1,0))/100,0),""))),"")</f>
        <v>0</v>
      </c>
      <c r="BD247" s="39" t="n">
        <f aca="false">IFERROR(IF($C247="","",IF($D247="","",IFERROR(ROUND($D247*INDEX('🔖 배합비 참조'!$B$2:$CE$83,MATCH("식물성기름혼합제제(황색)",'🔖 배합비 참조'!$A$2:$A$83,0),MATCH($C247,'🔖 배합비 참조'!$B$1:$CE$1,0))/100,0),""))),"")</f>
        <v>0</v>
      </c>
      <c r="BE247" s="39" t="n">
        <f aca="false">IFERROR(IF($C247="","",IF($D247="","",IFERROR(ROUND($D247*INDEX('🔖 배합비 참조'!$B$2:$CE$83,MATCH("쑥가루(국내산)",'🔖 배합비 참조'!$A$2:$A$83,0),MATCH($C247,'🔖 배합비 참조'!$B$1:$CE$1,0))/100,0),""))),"")</f>
        <v>0</v>
      </c>
      <c r="BF247" s="39" t="n">
        <f aca="false">IFERROR(IF($C247="","",IF($D247="","",IFERROR(ROUND($D247*INDEX('🔖 배합비 참조'!$B$2:$CE$83,MATCH("아몬드슬라이스",'🔖 배합비 참조'!$A$2:$A$83,0),MATCH($C247,'🔖 배합비 참조'!$B$1:$CE$1,0))/100,0),""))),"")</f>
        <v>0</v>
      </c>
      <c r="BG247" s="39" t="n">
        <f aca="false">IFERROR(IF($C247="","",IF($D247="","",IFERROR(ROUND($D247*INDEX('🔖 배합비 참조'!$B$2:$CE$83,MATCH("알룰로오스(국내산)",'🔖 배합비 참조'!$A$2:$A$83,0),MATCH($C247,'🔖 배합비 참조'!$B$1:$CE$1,0))/100,0),""))),"")</f>
        <v>0</v>
      </c>
      <c r="BH247" s="39" t="n">
        <f aca="false">IFERROR(IF($C247="","",IF($D247="","",IFERROR(ROUND($D247*INDEX('🔖 배합비 참조'!$B$2:$CE$83,MATCH("연유",'🔖 배합비 참조'!$A$2:$A$83,0),MATCH($C247,'🔖 배합비 참조'!$B$1:$CE$1,0))/100,0),""))),"")</f>
        <v>0</v>
      </c>
      <c r="BI247" s="39" t="n">
        <f aca="false">IFERROR(IF($C247="","",IF($D247="","",IFERROR(ROUND($D247*INDEX('🔖 배합비 참조'!$B$2:$CE$83,MATCH("옥수수전분",'🔖 배합비 참조'!$A$2:$A$83,0),MATCH($C247,'🔖 배합비 참조'!$B$1:$CE$1,0))/100,0),""))),"")</f>
        <v>0</v>
      </c>
      <c r="BJ247" s="39" t="n">
        <f aca="false">IFERROR(IF($C247="","",IF($D247="","",IFERROR(ROUND($D247*INDEX('🔖 배합비 참조'!$B$2:$CE$83,MATCH("완두배기",'🔖 배합비 참조'!$A$2:$A$83,0),MATCH($C247,'🔖 배합비 참조'!$B$1:$CE$1,0))/100,0),""))),"")</f>
        <v>0</v>
      </c>
      <c r="BK247" s="39" t="n">
        <f aca="false">IFERROR(IF($C247="","",IF($D247="","",IFERROR(ROUND($D247*INDEX('🔖 배합비 참조'!$B$2:$CE$83,MATCH("우유(국내산)",'🔖 배합비 참조'!$A$2:$A$83,0),MATCH($C247,'🔖 배합비 참조'!$B$1:$CE$1,0))/100,0),""))),"")</f>
        <v>0</v>
      </c>
      <c r="BL247" s="39" t="n">
        <f aca="false">IFERROR(IF($C247="","",IF($D247="","",IFERROR(ROUND($D247*INDEX('🔖 배합비 참조'!$B$2:$CE$83,MATCH("자색고구마가루(중국산)",'🔖 배합비 참조'!$A$2:$A$83,0),MATCH($C247,'🔖 배합비 참조'!$B$1:$CE$1,0))/100,0),""))),"")</f>
        <v>0</v>
      </c>
      <c r="BM247" s="39" t="n">
        <f aca="false">IFERROR(IF($C247="","",IF($D247="","",IFERROR(ROUND($D247*INDEX('🔖 배합비 참조'!$B$2:$CE$83,MATCH("자연치즈(체다치즈)",'🔖 배합비 참조'!$A$2:$A$83,0),MATCH($C247,'🔖 배합비 참조'!$B$1:$CE$1,0))/100,0),""))),"")</f>
        <v>0</v>
      </c>
      <c r="BN247" s="39" t="n">
        <f aca="false">IFERROR(IF($C247="","",IF($D247="","",IFERROR(ROUND($D247*INDEX('🔖 배합비 참조'!$B$2:$CE$83,MATCH("정제수",'🔖 배합비 참조'!$A$2:$A$83,0),MATCH($C247,'🔖 배합비 참조'!$B$1:$CE$1,0))/100,0),""))),"")</f>
        <v>33</v>
      </c>
      <c r="BO247" s="39" t="n">
        <f aca="false">IFERROR(IF($C247="","",IF($D247="","",IFERROR(ROUND($D247*INDEX('🔖 배합비 참조'!$B$2:$CE$83,MATCH("젤라틴",'🔖 배합비 참조'!$A$2:$A$83,0),MATCH($C247,'🔖 배합비 참조'!$B$1:$CE$1,0))/100,0),""))),"")</f>
        <v>0</v>
      </c>
      <c r="BP247" s="39" t="n">
        <f aca="false">IFERROR(IF($C247="","",IF($D247="","",IFERROR(ROUND($D247*INDEX('🔖 배합비 참조'!$B$2:$CE$83,MATCH("조림류(백옥앙금)",'🔖 배합비 참조'!$A$2:$A$83,0),MATCH($C247,'🔖 배합비 참조'!$B$1:$CE$1,0))/100,0),""))),"")</f>
        <v>0</v>
      </c>
      <c r="BQ247" s="39" t="n">
        <f aca="false">IFERROR(IF($C247="","",IF($D247="","",IFERROR(ROUND($D247*INDEX('🔖 배합비 참조'!$B$2:$CE$83,MATCH("조림류(통팥앙금)",'🔖 배합비 참조'!$A$2:$A$83,0),MATCH($C247,'🔖 배합비 참조'!$B$1:$CE$1,0))/100,0),""))),"")</f>
        <v>198</v>
      </c>
      <c r="BR247" s="39" t="n">
        <f aca="false">IFERROR(IF($C247="","",IF($D247="","",IFERROR(ROUND($D247*INDEX('🔖 배합비 참조'!$B$2:$CE$83,MATCH("준초콜릿(외국산)",'🔖 배합비 참조'!$A$2:$A$83,0),MATCH($C247,'🔖 배합비 참조'!$B$1:$CE$1,0))/100,0),""))),"")</f>
        <v>0</v>
      </c>
      <c r="BS247" s="39" t="n">
        <f aca="false">IFERROR(IF($C247="","",IF($D247="","",IFERROR(ROUND($D247*INDEX('🔖 배합비 참조'!$B$2:$CE$83,MATCH("중력분",'🔖 배합비 참조'!$A$2:$A$83,0),MATCH($C247,'🔖 배합비 참조'!$B$1:$CE$1,0))/100,0),""))),"")</f>
        <v>22</v>
      </c>
      <c r="BT247" s="39" t="n">
        <f aca="false">IFERROR(IF($C247="","",IF($D247="","",IFERROR(ROUND($D247*INDEX('🔖 배합비 참조'!$B$2:$CE$83,MATCH("참깨(인도산,나이지리아산,탄자니아산,미얀마산)",'🔖 배합비 참조'!$A$2:$A$83,0),MATCH($C247,'🔖 배합비 참조'!$B$1:$CE$1,0))/100,0),""))),"")</f>
        <v>0</v>
      </c>
      <c r="BU247" s="39" t="n">
        <f aca="false">IFERROR(IF($C247="","",IF($D247="","",IFERROR(ROUND($D247*INDEX('🔖 배합비 참조'!$B$2:$CE$83,MATCH("찹쌀(국내산)",'🔖 배합비 참조'!$A$2:$A$83,0),MATCH($C247,'🔖 배합비 참조'!$B$1:$CE$1,0))/100,0),""))),"")</f>
        <v>473</v>
      </c>
      <c r="BV247" s="39" t="n">
        <f aca="false">IFERROR(IF($C247="","",IF($D247="","",IFERROR(ROUND($D247*INDEX('🔖 배합비 참조'!$B$2:$CE$83,MATCH("천일염",'🔖 배합비 참조'!$A$2:$A$83,0),MATCH($C247,'🔖 배합비 참조'!$B$1:$CE$1,0))/100,0),""))),"")</f>
        <v>22</v>
      </c>
      <c r="BW247" s="39" t="n">
        <f aca="false">IFERROR(IF($C247="","",IF($D247="","",IFERROR(ROUND($D247*INDEX('🔖 배합비 참조'!$B$2:$CE$83,MATCH("치즈 [크림치즈]",'🔖 배합비 참조'!$A$2:$A$83,0),MATCH($C247,'🔖 배합비 참조'!$B$1:$CE$1,0))/100,0),""))),"")</f>
        <v>0</v>
      </c>
      <c r="BX247" s="39" t="n">
        <f aca="false">IFERROR(IF($C247="","",IF($D247="","",IFERROR(ROUND($D247*INDEX('🔖 배합비 참조'!$B$2:$CE$83,MATCH("코코아가공품류(코코아분말)",'🔖 배합비 참조'!$A$2:$A$83,0),MATCH($C247,'🔖 배합비 참조'!$B$1:$CE$1,0))/100,0),""))),"")</f>
        <v>0</v>
      </c>
      <c r="BY247" s="39" t="n">
        <f aca="false">IFERROR(IF($C247="","",IF($D247="","",IFERROR(ROUND($D247*INDEX('🔖 배합비 참조'!$B$2:$CE$83,MATCH("콩기름(대두유)",'🔖 배합비 참조'!$A$2:$A$83,0),MATCH($C247,'🔖 배합비 참조'!$B$1:$CE$1,0))/100,0),""))),"")</f>
        <v>0</v>
      </c>
      <c r="BZ247" s="39" t="n">
        <f aca="false">IFERROR(IF($C247="","",IF($D247="","",IFERROR(ROUND($D247*INDEX('🔖 배합비 참조'!$B$2:$CE$83,MATCH("해바라기씨앗",'🔖 배합비 참조'!$A$2:$A$83,0),MATCH($C247,'🔖 배합비 참조'!$B$1:$CE$1,0))/100,0),""))),"")</f>
        <v>0</v>
      </c>
      <c r="CA247" s="39" t="n">
        <f aca="false">IFERROR(IF($C247="","",IF($D247="","",IFERROR(ROUND($D247*INDEX('🔖 배합비 참조'!$B$2:$CE$83,MATCH("현미(국내산)",'🔖 배합비 참조'!$A$2:$A$83,0),MATCH($C247,'🔖 배합비 참조'!$B$1:$CE$1,0))/100,0),""))),"")</f>
        <v>0</v>
      </c>
      <c r="CB247" s="39" t="n">
        <f aca="false">IFERROR(IF($C247="","",IF($D247="","",IFERROR(ROUND($D247*INDEX('🔖 배합비 참조'!$B$2:$CE$83,MATCH("현미멥쌀(국내산)",'🔖 배합비 참조'!$A$2:$A$83,0),MATCH($C247,'🔖 배합비 참조'!$B$1:$CE$1,0))/100,0),""))),"")</f>
        <v>0</v>
      </c>
      <c r="CC247" s="39" t="n">
        <f aca="false">IFERROR(IF($C247="","",IF($D247="","",IFERROR(ROUND($D247*INDEX('🔖 배합비 참조'!$B$2:$CE$83,MATCH("호두분태(미국산)",'🔖 배합비 참조'!$A$2:$A$83,0),MATCH($C247,'🔖 배합비 참조'!$B$1:$CE$1,0))/100,0),""))),"")</f>
        <v>0</v>
      </c>
      <c r="CD247" s="39" t="n">
        <f aca="false">IFERROR(IF($C247="","",IF($D247="","",IFERROR(ROUND($D247*INDEX('🔖 배합비 참조'!$B$2:$CE$83,MATCH("호박씨앗(외국산)",'🔖 배합비 참조'!$A$2:$A$83,0),MATCH($C247,'🔖 배합비 참조'!$B$1:$CE$1,0))/100,0),""))),"")</f>
        <v>0</v>
      </c>
      <c r="CE247" s="39" t="n">
        <f aca="false">IFERROR(IF($C247="","",IF($D247="","",IFERROR(ROUND($D247*INDEX('🔖 배합비 참조'!$B$2:$CE$83,MATCH("혼합제제(떡용에스텔)",'🔖 배합비 참조'!$A$2:$A$83,0),MATCH($C247,'🔖 배합비 참조'!$B$1:$CE$1,0))/100,0),""))),"")</f>
        <v>22</v>
      </c>
      <c r="CF247" s="39" t="n">
        <f aca="false">IFERROR(IF($C247="","",IF($D247="","",IFERROR(ROUND($D247*INDEX('🔖 배합비 참조'!$B$2:$CE$83,MATCH("혼합제제(스테비아)",'🔖 배합비 참조'!$A$2:$A$83,0),MATCH($C247,'🔖 배합비 참조'!$B$1:$CE$1,0))/100,0),""))),"")</f>
        <v>0</v>
      </c>
      <c r="CG247" s="39" t="n">
        <f aca="false">IFERROR(IF($C247="","",IF($D247="","",IFERROR(ROUND($D247*INDEX('🔖 배합비 참조'!$B$2:$CE$83,MATCH("화이트초콜릿",'🔖 배합비 참조'!$A$2:$A$83,0),MATCH($C247,'🔖 배합비 참조'!$B$1:$CE$1,0))/100,0),""))),"")</f>
        <v>0</v>
      </c>
      <c r="CH247" s="39" t="n">
        <f aca="false">IFERROR(IF($C247="","",IF($D247="","",IFERROR(ROUND($D247*INDEX('🔖 배합비 참조'!$B$2:$CE$83,MATCH("흑미찹쌀(국내산)",'🔖 배합비 참조'!$A$2:$A$83,0),MATCH($C247,'🔖 배합비 참조'!$B$1:$CE$1,0))/100,0),""))),"")</f>
        <v>0</v>
      </c>
      <c r="CI247" s="39" t="n">
        <f aca="false">IFERROR(IF($C247="","",IF($D247="","",IFERROR(ROUND($D247*INDEX('🔖 배합비 참조'!$B$2:$CE$83,MATCH("찰옥수수전분(미국산)",'🔖 배합비 참조'!$A$2:$A$83,0),MATCH($C247,'🔖 배합비 참조'!$B$1:$CE$1,0))/100,0),""))),"")</f>
        <v>99</v>
      </c>
      <c r="CJ247" s="40"/>
      <c r="CL247" s="1" t="s">
        <v>247</v>
      </c>
    </row>
    <row r="248" customFormat="false" ht="18" hidden="false" customHeight="true" outlineLevel="0" collapsed="false">
      <c r="A248" s="41" t="n">
        <v>244</v>
      </c>
      <c r="B248" s="36" t="n">
        <v>46080</v>
      </c>
      <c r="C248" s="37" t="s">
        <v>179</v>
      </c>
      <c r="D248" s="38" t="n">
        <v>140</v>
      </c>
      <c r="E248" s="17"/>
      <c r="F248" s="17"/>
      <c r="G248" s="42" t="n">
        <f aca="false">IFERROR(IF($C248="","",IF($D248="","",IFERROR(ROUND($D248*INDEX('🔖 배합비 참조'!$B$2:$CE$83,MATCH("간장",'🔖 배합비 참조'!$A$2:$A$83,0),MATCH($C248,'🔖 배합비 참조'!$B$1:$CE$1,0))/100,0),""))),"")</f>
        <v>0</v>
      </c>
      <c r="H248" s="42" t="n">
        <f aca="false">IFERROR(IF($C248="","",IF($D248="","",IFERROR(ROUND($D248*INDEX('🔖 배합비 참조'!$B$2:$CE$83,MATCH("강낭콩((울타리콩))",'🔖 배합비 참조'!$A$2:$A$83,0),MATCH($C248,'🔖 배합비 참조'!$B$1:$CE$1,0))/100,0),""))),"")</f>
        <v>0</v>
      </c>
      <c r="I248" s="42" t="n">
        <f aca="false">IFERROR(IF($C248="","",IF($D248="","",IFERROR(ROUND($D248*INDEX('🔖 배합비 참조'!$B$2:$CE$83,MATCH("건조딸기다이스(외국산)",'🔖 배합비 참조'!$A$2:$A$83,0),MATCH($C248,'🔖 배합비 참조'!$B$1:$CE$1,0))/100,0),""))),"")</f>
        <v>0</v>
      </c>
      <c r="J248" s="42" t="n">
        <f aca="false">IFERROR(IF($C248="","",IF($D248="","",IFERROR(ROUND($D248*INDEX('🔖 배합비 참조'!$B$2:$CE$83,MATCH("건포도",'🔖 배합비 참조'!$A$2:$A$83,0),MATCH($C248,'🔖 배합비 참조'!$B$1:$CE$1,0))/100,0),""))),"")</f>
        <v>0</v>
      </c>
      <c r="K248" s="42" t="n">
        <f aca="false">IFERROR(IF($C248="","",IF($D248="","",IFERROR(ROUND($D248*INDEX('🔖 배합비 참조'!$B$2:$CE$83,MATCH("건호박채(중국산)",'🔖 배합비 참조'!$A$2:$A$83,0),MATCH($C248,'🔖 배합비 참조'!$B$1:$CE$1,0))/100,0),""))),"")</f>
        <v>0</v>
      </c>
      <c r="L248" s="42" t="n">
        <f aca="false">IFERROR(IF($C248="","",IF($D248="","",IFERROR(ROUND($D248*INDEX('🔖 배합비 참조'!$B$2:$CE$83,MATCH("검정깨(흑임자)",'🔖 배합비 참조'!$A$2:$A$83,0),MATCH($C248,'🔖 배합비 참조'!$B$1:$CE$1,0))/100,0),""))),"")</f>
        <v>0</v>
      </c>
      <c r="M248" s="42" t="n">
        <f aca="false">IFERROR(IF($C248="","",IF($D248="","",IFERROR(ROUND($D248*INDEX('🔖 배합비 참조'!$B$2:$CE$83,MATCH("검정콩",'🔖 배합비 참조'!$A$2:$A$83,0),MATCH($C248,'🔖 배합비 참조'!$B$1:$CE$1,0))/100,0),""))),"")</f>
        <v>0</v>
      </c>
      <c r="N248" s="42" t="n">
        <f aca="false">IFERROR(IF($C248="","",IF($D248="","",IFERROR(ROUND($D248*INDEX('🔖 배합비 참조'!$B$2:$CE$83,MATCH("계피가루",'🔖 배합비 참조'!$A$2:$A$83,0),MATCH($C248,'🔖 배합비 참조'!$B$1:$CE$1,0))/100,0),""))),"")</f>
        <v>0</v>
      </c>
      <c r="O248" s="42" t="n">
        <f aca="false">IFERROR(IF($C248="","",IF($D248="","",IFERROR(ROUND($D248*INDEX('🔖 배합비 참조'!$B$2:$CE$83,MATCH("고구마가루",'🔖 배합비 참조'!$A$2:$A$83,0),MATCH($C248,'🔖 배합비 참조'!$B$1:$CE$1,0))/100,0),""))),"")</f>
        <v>0</v>
      </c>
      <c r="P248" s="42" t="n">
        <f aca="false">IFERROR(IF($C248="","",IF($D248="","",IFERROR(ROUND($D248*INDEX('🔖 배합비 참조'!$B$2:$CE$83,MATCH("고구마무스",'🔖 배합비 참조'!$A$2:$A$83,0),MATCH($C248,'🔖 배합비 참조'!$B$1:$CE$1,0))/100,0),""))),"")</f>
        <v>0</v>
      </c>
      <c r="Q248" s="42" t="n">
        <f aca="false">IFERROR(IF($C248="","",IF($D248="","",IFERROR(ROUND($D248*INDEX('🔖 배합비 참조'!$B$2:$CE$83,MATCH("고려엉겅퀴((곤드레)국내산)",'🔖 배합비 참조'!$A$2:$A$83,0),MATCH($C248,'🔖 배합비 참조'!$B$1:$CE$1,0))/100,0),""))),"")</f>
        <v>0</v>
      </c>
      <c r="R248" s="42" t="n">
        <f aca="false">IFERROR(IF($C248="","",IF($D248="","",IFERROR(ROUND($D248*INDEX('🔖 배합비 참조'!$B$2:$CE$83,MATCH("기타가공품(복분자가루)",'🔖 배합비 참조'!$A$2:$A$83,0),MATCH($C248,'🔖 배합비 참조'!$B$1:$CE$1,0))/100,0),""))),"")</f>
        <v>0</v>
      </c>
      <c r="S248" s="42" t="n">
        <f aca="false">IFERROR(IF($C248="","",IF($D248="","",IFERROR(ROUND($D248*INDEX('🔖 배합비 참조'!$B$2:$CE$83,MATCH("기타가공품(슈퍼소프트엠)",'🔖 배합비 참조'!$A$2:$A$83,0),MATCH($C248,'🔖 배합비 참조'!$B$1:$CE$1,0))/100,0),""))),"")</f>
        <v>0</v>
      </c>
      <c r="T248" s="42" t="n">
        <f aca="false">IFERROR(IF($C248="","",IF($D248="","",IFERROR(ROUND($D248*INDEX('🔖 배합비 참조'!$B$2:$CE$83,MATCH("기타가공품(파인소프트 E-티)",'🔖 배합비 참조'!$A$2:$A$83,0),MATCH($C248,'🔖 배합비 참조'!$B$1:$CE$1,0))/100,0),""))),"")</f>
        <v>0</v>
      </c>
      <c r="U248" s="42" t="n">
        <f aca="false">IFERROR(IF($C248="","",IF($D248="","",IFERROR(ROUND($D248*INDEX('🔖 배합비 참조'!$B$2:$CE$83,MATCH("기타가공품(프리미엄카스테라가루)",'🔖 배합비 참조'!$A$2:$A$83,0),MATCH($C248,'🔖 배합비 참조'!$B$1:$CE$1,0))/100,0),""))),"")</f>
        <v>0</v>
      </c>
      <c r="V248" s="42" t="n">
        <f aca="false">IFERROR(IF($C248="","",IF($D248="","",IFERROR(ROUND($D248*INDEX('🔖 배합비 참조'!$B$2:$CE$83,MATCH("기타가공품(흑임자가루)",'🔖 배합비 참조'!$A$2:$A$83,0),MATCH($C248,'🔖 배합비 참조'!$B$1:$CE$1,0))/100,0),""))),"")</f>
        <v>0</v>
      </c>
      <c r="W248" s="42" t="n">
        <f aca="false">IFERROR(IF($C248="","",IF($D248="","",IFERROR(ROUND($D248*INDEX('🔖 배합비 참조'!$B$2:$CE$83,MATCH("기타설탕(흑설탕)",'🔖 배합비 참조'!$A$2:$A$83,0),MATCH($C248,'🔖 배합비 참조'!$B$1:$CE$1,0))/100,0),""))),"")</f>
        <v>0</v>
      </c>
      <c r="X248" s="42" t="n">
        <f aca="false">IFERROR(IF($C248="","",IF($D248="","",IFERROR(ROUND($D248*INDEX('🔖 배합비 참조'!$B$2:$CE$83,MATCH("냉동쑥(국내산)",'🔖 배합비 참조'!$A$2:$A$83,0),MATCH($C248,'🔖 배합비 참조'!$B$1:$CE$1,0))/100,0),""))),"")</f>
        <v>12</v>
      </c>
      <c r="Y248" s="42" t="n">
        <f aca="false">IFERROR(IF($C248="","",IF($D248="","",IFERROR(ROUND($D248*INDEX('🔖 배합비 참조'!$B$2:$CE$83,MATCH("냉동증숙고구마(중국산)",'🔖 배합비 참조'!$A$2:$A$83,0),MATCH($C248,'🔖 배합비 참조'!$B$1:$CE$1,0))/100,0),""))),"")</f>
        <v>0</v>
      </c>
      <c r="Z248" s="42" t="n">
        <f aca="false">IFERROR(IF($C248="","",IF($D248="","",IFERROR(ROUND($D248*INDEX('🔖 배합비 참조'!$B$2:$CE$83,MATCH("녹차가루",'🔖 배합비 참조'!$A$2:$A$83,0),MATCH($C248,'🔖 배합비 참조'!$B$1:$CE$1,0))/100,0),""))),"")</f>
        <v>0</v>
      </c>
      <c r="AA248" s="42" t="n">
        <f aca="false">IFERROR(IF($C248="","",IF($D248="","",IFERROR(ROUND($D248*INDEX('🔖 배합비 참조'!$B$2:$CE$83,MATCH("다크초콜릿 컴파운드칩",'🔖 배합비 참조'!$A$2:$A$83,0),MATCH($C248,'🔖 배합비 참조'!$B$1:$CE$1,0))/100,0),""))),"")</f>
        <v>0</v>
      </c>
      <c r="AB248" s="42" t="n">
        <f aca="false">IFERROR(IF($C248="","",IF($D248="","",IFERROR(ROUND($D248*INDEX('🔖 배합비 참조'!$B$2:$CE$83,MATCH("단호박분말(중국산)",'🔖 배합비 참조'!$A$2:$A$83,0),MATCH($C248,'🔖 배합비 참조'!$B$1:$CE$1,0))/100,0),""))),"")</f>
        <v>0</v>
      </c>
      <c r="AC248" s="42" t="n">
        <f aca="false">IFERROR(IF($C248="","",IF($D248="","",IFERROR(ROUND($D248*INDEX('🔖 배합비 참조'!$B$2:$CE$83,MATCH("당류가공품(단호박농축액)",'🔖 배합비 참조'!$A$2:$A$83,0),MATCH($C248,'🔖 배합비 참조'!$B$1:$CE$1,0))/100,0),""))),"")</f>
        <v>0</v>
      </c>
      <c r="AD248" s="42" t="n">
        <f aca="false">IFERROR(IF($C248="","",IF($D248="","",IFERROR(ROUND($D248*INDEX('🔖 배합비 참조'!$B$2:$CE$83,MATCH("당류가공품(알룰로스,에리스리톨,스테비올배당체혼합)",'🔖 배합비 참조'!$A$2:$A$83,0),MATCH($C248,'🔖 배합비 참조'!$B$1:$CE$1,0))/100,0),""))),"")</f>
        <v>0</v>
      </c>
      <c r="AE248" s="42" t="n">
        <f aca="false">IFERROR(IF($C248="","",IF($D248="","",IFERROR(ROUND($D248*INDEX('🔖 배합비 참조'!$B$2:$CE$83,MATCH("당류가공품(알룰로스제로파우더)",'🔖 배합비 참조'!$A$2:$A$83,0),MATCH($C248,'🔖 배합비 참조'!$B$1:$CE$1,0))/100,0),""))),"")</f>
        <v>0</v>
      </c>
      <c r="AF248" s="42" t="n">
        <f aca="false">IFERROR(IF($C248="","",IF($D248="","",IFERROR(ROUND($D248*INDEX('🔖 배합비 참조'!$B$2:$CE$83,MATCH("당절임(완두배기)",'🔖 배합비 참조'!$A$2:$A$83,0),MATCH($C248,'🔖 배합비 참조'!$B$1:$CE$1,0))/100,0),""))),"")</f>
        <v>0</v>
      </c>
      <c r="AG248" s="42" t="n">
        <f aca="false">IFERROR(IF($C248="","",IF($D248="","",IFERROR(ROUND($D248*INDEX('🔖 배합비 참조'!$B$2:$CE$83,MATCH("대추농축액",'🔖 배합비 참조'!$A$2:$A$83,0),MATCH($C248,'🔖 배합비 참조'!$B$1:$CE$1,0))/100,0),""))),"")</f>
        <v>0</v>
      </c>
      <c r="AH248" s="42" t="n">
        <f aca="false">IFERROR(IF($C248="","",IF($D248="","",IFERROR(ROUND($D248*INDEX('🔖 배합비 참조'!$B$2:$CE$83,MATCH("대추채(국내산)",'🔖 배합비 참조'!$A$2:$A$83,0),MATCH($C248,'🔖 배합비 참조'!$B$1:$CE$1,0))/100,0),""))),"")</f>
        <v>0</v>
      </c>
      <c r="AI248" s="42" t="n">
        <f aca="false">IFERROR(IF($C248="","",IF($D248="","",IFERROR(ROUND($D248*INDEX('🔖 배합비 참조'!$B$2:$CE$83,MATCH("동부(미얀마산)",'🔖 배합비 참조'!$A$2:$A$83,0),MATCH($C248,'🔖 배합비 참조'!$B$1:$CE$1,0))/100,0),""))),"")</f>
        <v>0</v>
      </c>
      <c r="AJ248" s="42" t="n">
        <f aca="false">IFERROR(IF($C248="","",IF($D248="","",IFERROR(ROUND($D248*INDEX('🔖 배합비 참조'!$B$2:$CE$83,MATCH("두류가공품(백옥앙금)",'🔖 배합비 참조'!$A$2:$A$83,0),MATCH($C248,'🔖 배합비 참조'!$B$1:$CE$1,0))/100,0),""))),"")</f>
        <v>0</v>
      </c>
      <c r="AK248" s="42" t="n">
        <f aca="false">IFERROR(IF($C248="","",IF($D248="","",IFERROR(ROUND($D248*INDEX('🔖 배합비 참조'!$B$2:$CE$83,MATCH("두류가공품(콩고물)",'🔖 배합비 참조'!$A$2:$A$83,0),MATCH($C248,'🔖 배합비 참조'!$B$1:$CE$1,0))/100,0),""))),"")</f>
        <v>0</v>
      </c>
      <c r="AL248" s="42" t="n">
        <f aca="false">IFERROR(IF($C248="","",IF($D248="","",IFERROR(ROUND($D248*INDEX('🔖 배합비 참조'!$B$2:$CE$83,MATCH("두류가공품(통팥고물)",'🔖 배합비 참조'!$A$2:$A$83,0),MATCH($C248,'🔖 배합비 참조'!$B$1:$CE$1,0))/100,0),""))),"")</f>
        <v>0</v>
      </c>
      <c r="AM248" s="42" t="n">
        <f aca="false">IFERROR(IF($C248="","",IF($D248="","",IFERROR(ROUND($D248*INDEX('🔖 배합비 참조'!$B$2:$CE$83,MATCH("딸기레진",'🔖 배합비 참조'!$A$2:$A$83,0),MATCH($C248,'🔖 배합비 참조'!$B$1:$CE$1,0))/100,0),""))),"")</f>
        <v>0</v>
      </c>
      <c r="AN248" s="42" t="n">
        <f aca="false">IFERROR(IF($C248="","",IF($D248="","",IFERROR(ROUND($D248*INDEX('🔖 배합비 참조'!$B$2:$CE$83,MATCH("딸기분말(스트로우베리에이드(분말))",'🔖 배합비 참조'!$A$2:$A$83,0),MATCH($C248,'🔖 배합비 참조'!$B$1:$CE$1,0))/100,0),""))),"")</f>
        <v>0</v>
      </c>
      <c r="AO248" s="42" t="n">
        <f aca="false">IFERROR(IF($C248="","",IF($D248="","",IFERROR(ROUND($D248*INDEX('🔖 배합비 참조'!$B$2:$CE$83,MATCH("마스카포네치즈",'🔖 배합비 참조'!$A$2:$A$83,0),MATCH($C248,'🔖 배합비 참조'!$B$1:$CE$1,0))/100,0),""))),"")</f>
        <v>0</v>
      </c>
      <c r="AP248" s="42" t="n">
        <f aca="false">IFERROR(IF($C248="","",IF($D248="","",IFERROR(ROUND($D248*INDEX('🔖 배합비 참조'!$B$2:$CE$83,MATCH("마카다미아분태(호주산)",'🔖 배합비 참조'!$A$2:$A$83,0),MATCH($C248,'🔖 배합비 참조'!$B$1:$CE$1,0))/100,0),""))),"")</f>
        <v>0</v>
      </c>
      <c r="AQ248" s="42" t="n">
        <f aca="false">IFERROR(IF($C248="","",IF($D248="","",IFERROR(ROUND($D248*INDEX('🔖 배합비 참조'!$B$2:$CE$83,MATCH("멥쌀(국내산)",'🔖 배합비 참조'!$A$2:$A$83,0),MATCH($C248,'🔖 배합비 참조'!$B$1:$CE$1,0))/100,0),""))),"")</f>
        <v>0</v>
      </c>
      <c r="AR248" s="42" t="n">
        <f aca="false">IFERROR(IF($C248="","",IF($D248="","",IFERROR(ROUND($D248*INDEX('🔖 배합비 참조'!$B$2:$CE$83,MATCH("모시잎(국내산)",'🔖 배합비 참조'!$A$2:$A$83,0),MATCH($C248,'🔖 배합비 참조'!$B$1:$CE$1,0))/100,0),""))),"")</f>
        <v>0</v>
      </c>
      <c r="AS248" s="42" t="n">
        <f aca="false">IFERROR(IF($C248="","",IF($D248="","",IFERROR(ROUND($D248*INDEX('🔖 배합비 참조'!$B$2:$CE$83,MATCH("물엿(저당물엿)",'🔖 배합비 참조'!$A$2:$A$83,0),MATCH($C248,'🔖 배합비 참조'!$B$1:$CE$1,0))/100,0),""))),"")</f>
        <v>6</v>
      </c>
      <c r="AT248" s="42" t="n">
        <f aca="false">IFERROR(IF($C248="","",IF($D248="","",IFERROR(ROUND($D248*INDEX('🔖 배합비 참조'!$B$2:$CE$83,MATCH("밤다이스",'🔖 배합비 참조'!$A$2:$A$83,0),MATCH($C248,'🔖 배합비 참조'!$B$1:$CE$1,0))/100,0),""))),"")</f>
        <v>0</v>
      </c>
      <c r="AU248" s="42" t="n">
        <f aca="false">IFERROR(IF($C248="","",IF($D248="","",IFERROR(ROUND($D248*INDEX('🔖 배합비 참조'!$B$2:$CE$83,MATCH("변성전분(타피오카전분)",'🔖 배합비 참조'!$A$2:$A$83,0),MATCH($C248,'🔖 배합비 참조'!$B$1:$CE$1,0))/100,0),""))),"")</f>
        <v>0</v>
      </c>
      <c r="AV248" s="42" t="n">
        <f aca="false">IFERROR(IF($C248="","",IF($D248="","",IFERROR(ROUND($D248*INDEX('🔖 배합비 참조'!$B$2:$CE$83,MATCH("복음땅콩분태",'🔖 배합비 참조'!$A$2:$A$83,0),MATCH($C248,'🔖 배합비 참조'!$B$1:$CE$1,0))/100,0),""))),"")</f>
        <v>0</v>
      </c>
      <c r="AW248" s="42" t="n">
        <f aca="false">IFERROR(IF($C248="","",IF($D248="","",IFERROR(ROUND($D248*INDEX('🔖 배합비 참조'!$B$2:$CE$83,MATCH("사양벌꿀(국내산)",'🔖 배합비 참조'!$A$2:$A$83,0),MATCH($C248,'🔖 배합비 참조'!$B$1:$CE$1,0))/100,0),""))),"")</f>
        <v>0</v>
      </c>
      <c r="AX248" s="42" t="n">
        <f aca="false">IFERROR(IF($C248="","",IF($D248="","",IFERROR(ROUND($D248*INDEX('🔖 배합비 참조'!$B$2:$CE$83,MATCH("생크림",'🔖 배합비 참조'!$A$2:$A$83,0),MATCH($C248,'🔖 배합비 참조'!$B$1:$CE$1,0))/100,0),""))),"")</f>
        <v>0</v>
      </c>
      <c r="AY248" s="42" t="n">
        <f aca="false">IFERROR(IF($C248="","",IF($D248="","",IFERROR(ROUND($D248*INDEX('🔖 배합비 참조'!$B$2:$CE$83,MATCH("서양호박(국내산,뉴질랜드산)",'🔖 배합비 참조'!$A$2:$A$83,0),MATCH($C248,'🔖 배합비 참조'!$B$1:$CE$1,0))/100,0),""))),"")</f>
        <v>0</v>
      </c>
      <c r="AZ248" s="42" t="n">
        <f aca="false">IFERROR(IF($C248="","",IF($D248="","",IFERROR(ROUND($D248*INDEX('🔖 배합비 참조'!$B$2:$CE$83,MATCH("설탕",'🔖 배합비 참조'!$A$2:$A$83,0),MATCH($C248,'🔖 배합비 참조'!$B$1:$CE$1,0))/100,0),""))),"")</f>
        <v>6</v>
      </c>
      <c r="BA248" s="42" t="n">
        <f aca="false">IFERROR(IF($C248="","",IF($D248="","",IFERROR(ROUND($D248*INDEX('🔖 배합비 참조'!$B$2:$CE$83,MATCH("스트로우베리 에이드 후레쉬",'🔖 배합비 참조'!$A$2:$A$83,0),MATCH($C248,'🔖 배합비 참조'!$B$1:$CE$1,0))/100,0),""))),"")</f>
        <v>0</v>
      </c>
      <c r="BB248" s="42" t="n">
        <f aca="false">IFERROR(IF($C248="","",IF($D248="","",IFERROR(ROUND($D248*INDEX('🔖 배합비 참조'!$B$2:$CE$83,MATCH("식물성기름혼합제제(분홍)",'🔖 배합비 참조'!$A$2:$A$83,0),MATCH($C248,'🔖 배합비 참조'!$B$1:$CE$1,0))/100,0),""))),"")</f>
        <v>0</v>
      </c>
      <c r="BC248" s="42" t="n">
        <f aca="false">IFERROR(IF($C248="","",IF($D248="","",IFERROR(ROUND($D248*INDEX('🔖 배합비 참조'!$B$2:$CE$83,MATCH("식물성기름혼합제제(초록)",'🔖 배합비 참조'!$A$2:$A$83,0),MATCH($C248,'🔖 배합비 참조'!$B$1:$CE$1,0))/100,0),""))),"")</f>
        <v>0</v>
      </c>
      <c r="BD248" s="42" t="n">
        <f aca="false">IFERROR(IF($C248="","",IF($D248="","",IFERROR(ROUND($D248*INDEX('🔖 배합비 참조'!$B$2:$CE$83,MATCH("식물성기름혼합제제(황색)",'🔖 배합비 참조'!$A$2:$A$83,0),MATCH($C248,'🔖 배합비 참조'!$B$1:$CE$1,0))/100,0),""))),"")</f>
        <v>0</v>
      </c>
      <c r="BE248" s="42" t="n">
        <f aca="false">IFERROR(IF($C248="","",IF($D248="","",IFERROR(ROUND($D248*INDEX('🔖 배합비 참조'!$B$2:$CE$83,MATCH("쑥가루(국내산)",'🔖 배합비 참조'!$A$2:$A$83,0),MATCH($C248,'🔖 배합비 참조'!$B$1:$CE$1,0))/100,0),""))),"")</f>
        <v>1</v>
      </c>
      <c r="BF248" s="42" t="n">
        <f aca="false">IFERROR(IF($C248="","",IF($D248="","",IFERROR(ROUND($D248*INDEX('🔖 배합비 참조'!$B$2:$CE$83,MATCH("아몬드슬라이스",'🔖 배합비 참조'!$A$2:$A$83,0),MATCH($C248,'🔖 배합비 참조'!$B$1:$CE$1,0))/100,0),""))),"")</f>
        <v>0</v>
      </c>
      <c r="BG248" s="42" t="n">
        <f aca="false">IFERROR(IF($C248="","",IF($D248="","",IFERROR(ROUND($D248*INDEX('🔖 배합비 참조'!$B$2:$CE$83,MATCH("알룰로오스(국내산)",'🔖 배합비 참조'!$A$2:$A$83,0),MATCH($C248,'🔖 배합비 참조'!$B$1:$CE$1,0))/100,0),""))),"")</f>
        <v>0</v>
      </c>
      <c r="BH248" s="42" t="n">
        <f aca="false">IFERROR(IF($C248="","",IF($D248="","",IFERROR(ROUND($D248*INDEX('🔖 배합비 참조'!$B$2:$CE$83,MATCH("연유",'🔖 배합비 참조'!$A$2:$A$83,0),MATCH($C248,'🔖 배합비 참조'!$B$1:$CE$1,0))/100,0),""))),"")</f>
        <v>0</v>
      </c>
      <c r="BI248" s="42" t="n">
        <f aca="false">IFERROR(IF($C248="","",IF($D248="","",IFERROR(ROUND($D248*INDEX('🔖 배합비 참조'!$B$2:$CE$83,MATCH("옥수수전분",'🔖 배합비 참조'!$A$2:$A$83,0),MATCH($C248,'🔖 배합비 참조'!$B$1:$CE$1,0))/100,0),""))),"")</f>
        <v>0</v>
      </c>
      <c r="BJ248" s="42" t="n">
        <f aca="false">IFERROR(IF($C248="","",IF($D248="","",IFERROR(ROUND($D248*INDEX('🔖 배합비 참조'!$B$2:$CE$83,MATCH("완두배기",'🔖 배합비 참조'!$A$2:$A$83,0),MATCH($C248,'🔖 배합비 참조'!$B$1:$CE$1,0))/100,0),""))),"")</f>
        <v>0</v>
      </c>
      <c r="BK248" s="42" t="n">
        <f aca="false">IFERROR(IF($C248="","",IF($D248="","",IFERROR(ROUND($D248*INDEX('🔖 배합비 참조'!$B$2:$CE$83,MATCH("우유(국내산)",'🔖 배합비 참조'!$A$2:$A$83,0),MATCH($C248,'🔖 배합비 참조'!$B$1:$CE$1,0))/100,0),""))),"")</f>
        <v>0</v>
      </c>
      <c r="BL248" s="42" t="n">
        <f aca="false">IFERROR(IF($C248="","",IF($D248="","",IFERROR(ROUND($D248*INDEX('🔖 배합비 참조'!$B$2:$CE$83,MATCH("자색고구마가루(중국산)",'🔖 배합비 참조'!$A$2:$A$83,0),MATCH($C248,'🔖 배합비 참조'!$B$1:$CE$1,0))/100,0),""))),"")</f>
        <v>0</v>
      </c>
      <c r="BM248" s="42" t="n">
        <f aca="false">IFERROR(IF($C248="","",IF($D248="","",IFERROR(ROUND($D248*INDEX('🔖 배합비 참조'!$B$2:$CE$83,MATCH("자연치즈(체다치즈)",'🔖 배합비 참조'!$A$2:$A$83,0),MATCH($C248,'🔖 배합비 참조'!$B$1:$CE$1,0))/100,0),""))),"")</f>
        <v>0</v>
      </c>
      <c r="BN248" s="42" t="n">
        <f aca="false">IFERROR(IF($C248="","",IF($D248="","",IFERROR(ROUND($D248*INDEX('🔖 배합비 참조'!$B$2:$CE$83,MATCH("정제수",'🔖 배합비 참조'!$A$2:$A$83,0),MATCH($C248,'🔖 배합비 참조'!$B$1:$CE$1,0))/100,0),""))),"")</f>
        <v>50</v>
      </c>
      <c r="BO248" s="42" t="n">
        <f aca="false">IFERROR(IF($C248="","",IF($D248="","",IFERROR(ROUND($D248*INDEX('🔖 배합비 참조'!$B$2:$CE$83,MATCH("젤라틴",'🔖 배합비 참조'!$A$2:$A$83,0),MATCH($C248,'🔖 배합비 참조'!$B$1:$CE$1,0))/100,0),""))),"")</f>
        <v>0</v>
      </c>
      <c r="BP248" s="42" t="n">
        <f aca="false">IFERROR(IF($C248="","",IF($D248="","",IFERROR(ROUND($D248*INDEX('🔖 배합비 참조'!$B$2:$CE$83,MATCH("조림류(백옥앙금)",'🔖 배합비 참조'!$A$2:$A$83,0),MATCH($C248,'🔖 배합비 참조'!$B$1:$CE$1,0))/100,0),""))),"")</f>
        <v>0</v>
      </c>
      <c r="BQ248" s="42" t="n">
        <f aca="false">IFERROR(IF($C248="","",IF($D248="","",IFERROR(ROUND($D248*INDEX('🔖 배합비 참조'!$B$2:$CE$83,MATCH("조림류(통팥앙금)",'🔖 배합비 참조'!$A$2:$A$83,0),MATCH($C248,'🔖 배합비 참조'!$B$1:$CE$1,0))/100,0),""))),"")</f>
        <v>0</v>
      </c>
      <c r="BR248" s="42" t="n">
        <f aca="false">IFERROR(IF($C248="","",IF($D248="","",IFERROR(ROUND($D248*INDEX('🔖 배합비 참조'!$B$2:$CE$83,MATCH("준초콜릿(외국산)",'🔖 배합비 참조'!$A$2:$A$83,0),MATCH($C248,'🔖 배합비 참조'!$B$1:$CE$1,0))/100,0),""))),"")</f>
        <v>0</v>
      </c>
      <c r="BS248" s="42" t="n">
        <f aca="false">IFERROR(IF($C248="","",IF($D248="","",IFERROR(ROUND($D248*INDEX('🔖 배합비 참조'!$B$2:$CE$83,MATCH("중력분",'🔖 배합비 참조'!$A$2:$A$83,0),MATCH($C248,'🔖 배합비 참조'!$B$1:$CE$1,0))/100,0),""))),"")</f>
        <v>1</v>
      </c>
      <c r="BT248" s="42" t="n">
        <f aca="false">IFERROR(IF($C248="","",IF($D248="","",IFERROR(ROUND($D248*INDEX('🔖 배합비 참조'!$B$2:$CE$83,MATCH("참깨(인도산,나이지리아산,탄자니아산,미얀마산)",'🔖 배합비 참조'!$A$2:$A$83,0),MATCH($C248,'🔖 배합비 참조'!$B$1:$CE$1,0))/100,0),""))),"")</f>
        <v>0</v>
      </c>
      <c r="BU248" s="42" t="n">
        <f aca="false">IFERROR(IF($C248="","",IF($D248="","",IFERROR(ROUND($D248*INDEX('🔖 배합비 참조'!$B$2:$CE$83,MATCH("찹쌀(국내산)",'🔖 배합비 참조'!$A$2:$A$83,0),MATCH($C248,'🔖 배합비 참조'!$B$1:$CE$1,0))/100,0),""))),"")</f>
        <v>62</v>
      </c>
      <c r="BV248" s="42" t="n">
        <f aca="false">IFERROR(IF($C248="","",IF($D248="","",IFERROR(ROUND($D248*INDEX('🔖 배합비 참조'!$B$2:$CE$83,MATCH("천일염",'🔖 배합비 참조'!$A$2:$A$83,0),MATCH($C248,'🔖 배합비 참조'!$B$1:$CE$1,0))/100,0),""))),"")</f>
        <v>1</v>
      </c>
      <c r="BW248" s="42" t="n">
        <f aca="false">IFERROR(IF($C248="","",IF($D248="","",IFERROR(ROUND($D248*INDEX('🔖 배합비 참조'!$B$2:$CE$83,MATCH("치즈 [크림치즈]",'🔖 배합비 참조'!$A$2:$A$83,0),MATCH($C248,'🔖 배합비 참조'!$B$1:$CE$1,0))/100,0),""))),"")</f>
        <v>0</v>
      </c>
      <c r="BX248" s="42" t="n">
        <f aca="false">IFERROR(IF($C248="","",IF($D248="","",IFERROR(ROUND($D248*INDEX('🔖 배합비 참조'!$B$2:$CE$83,MATCH("코코아가공품류(코코아분말)",'🔖 배합비 참조'!$A$2:$A$83,0),MATCH($C248,'🔖 배합비 참조'!$B$1:$CE$1,0))/100,0),""))),"")</f>
        <v>0</v>
      </c>
      <c r="BY248" s="42" t="n">
        <f aca="false">IFERROR(IF($C248="","",IF($D248="","",IFERROR(ROUND($D248*INDEX('🔖 배합비 참조'!$B$2:$CE$83,MATCH("콩기름(대두유)",'🔖 배합비 참조'!$A$2:$A$83,0),MATCH($C248,'🔖 배합비 참조'!$B$1:$CE$1,0))/100,0),""))),"")</f>
        <v>0</v>
      </c>
      <c r="BZ248" s="42" t="n">
        <f aca="false">IFERROR(IF($C248="","",IF($D248="","",IFERROR(ROUND($D248*INDEX('🔖 배합비 참조'!$B$2:$CE$83,MATCH("해바라기씨앗",'🔖 배합비 참조'!$A$2:$A$83,0),MATCH($C248,'🔖 배합비 참조'!$B$1:$CE$1,0))/100,0),""))),"")</f>
        <v>0</v>
      </c>
      <c r="CA248" s="42" t="n">
        <f aca="false">IFERROR(IF($C248="","",IF($D248="","",IFERROR(ROUND($D248*INDEX('🔖 배합비 참조'!$B$2:$CE$83,MATCH("현미(국내산)",'🔖 배합비 참조'!$A$2:$A$83,0),MATCH($C248,'🔖 배합비 참조'!$B$1:$CE$1,0))/100,0),""))),"")</f>
        <v>0</v>
      </c>
      <c r="CB248" s="42" t="n">
        <f aca="false">IFERROR(IF($C248="","",IF($D248="","",IFERROR(ROUND($D248*INDEX('🔖 배합비 참조'!$B$2:$CE$83,MATCH("현미멥쌀(국내산)",'🔖 배합비 참조'!$A$2:$A$83,0),MATCH($C248,'🔖 배합비 참조'!$B$1:$CE$1,0))/100,0),""))),"")</f>
        <v>0</v>
      </c>
      <c r="CC248" s="42" t="n">
        <f aca="false">IFERROR(IF($C248="","",IF($D248="","",IFERROR(ROUND($D248*INDEX('🔖 배합비 참조'!$B$2:$CE$83,MATCH("호두분태(미국산)",'🔖 배합비 참조'!$A$2:$A$83,0),MATCH($C248,'🔖 배합비 참조'!$B$1:$CE$1,0))/100,0),""))),"")</f>
        <v>0</v>
      </c>
      <c r="CD248" s="42" t="n">
        <f aca="false">IFERROR(IF($C248="","",IF($D248="","",IFERROR(ROUND($D248*INDEX('🔖 배합비 참조'!$B$2:$CE$83,MATCH("호박씨앗(외국산)",'🔖 배합비 참조'!$A$2:$A$83,0),MATCH($C248,'🔖 배합비 참조'!$B$1:$CE$1,0))/100,0),""))),"")</f>
        <v>0</v>
      </c>
      <c r="CE248" s="42" t="n">
        <f aca="false">IFERROR(IF($C248="","",IF($D248="","",IFERROR(ROUND($D248*INDEX('🔖 배합비 참조'!$B$2:$CE$83,MATCH("혼합제제(떡용에스텔)",'🔖 배합비 참조'!$A$2:$A$83,0),MATCH($C248,'🔖 배합비 참조'!$B$1:$CE$1,0))/100,0),""))),"")</f>
        <v>1</v>
      </c>
      <c r="CF248" s="42" t="n">
        <f aca="false">IFERROR(IF($C248="","",IF($D248="","",IFERROR(ROUND($D248*INDEX('🔖 배합비 참조'!$B$2:$CE$83,MATCH("혼합제제(스테비아)",'🔖 배합비 참조'!$A$2:$A$83,0),MATCH($C248,'🔖 배합비 참조'!$B$1:$CE$1,0))/100,0),""))),"")</f>
        <v>0</v>
      </c>
      <c r="CG248" s="42" t="n">
        <f aca="false">IFERROR(IF($C248="","",IF($D248="","",IFERROR(ROUND($D248*INDEX('🔖 배합비 참조'!$B$2:$CE$83,MATCH("화이트초콜릿",'🔖 배합비 참조'!$A$2:$A$83,0),MATCH($C248,'🔖 배합비 참조'!$B$1:$CE$1,0))/100,0),""))),"")</f>
        <v>0</v>
      </c>
      <c r="CH248" s="42" t="n">
        <f aca="false">IFERROR(IF($C248="","",IF($D248="","",IFERROR(ROUND($D248*INDEX('🔖 배합비 참조'!$B$2:$CE$83,MATCH("흑미찹쌀(국내산)",'🔖 배합비 참조'!$A$2:$A$83,0),MATCH($C248,'🔖 배합비 참조'!$B$1:$CE$1,0))/100,0),""))),"")</f>
        <v>0</v>
      </c>
      <c r="CI248" s="42" t="n">
        <f aca="false">IFERROR(IF($C248="","",IF($D248="","",IFERROR(ROUND($D248*INDEX('🔖 배합비 참조'!$B$2:$CE$83,MATCH("찰옥수수전분(미국산)",'🔖 배합비 참조'!$A$2:$A$83,0),MATCH($C248,'🔖 배합비 참조'!$B$1:$CE$1,0))/100,0),""))),"")</f>
        <v>0</v>
      </c>
      <c r="CJ248" s="40"/>
      <c r="CL248" s="1" t="s">
        <v>247</v>
      </c>
    </row>
    <row r="249" customFormat="false" ht="18" hidden="false" customHeight="true" outlineLevel="0" collapsed="false">
      <c r="A249" s="35" t="n">
        <v>245</v>
      </c>
      <c r="B249" s="36" t="n">
        <v>46080</v>
      </c>
      <c r="C249" s="37" t="s">
        <v>191</v>
      </c>
      <c r="D249" s="38" t="n">
        <v>1100</v>
      </c>
      <c r="E249" s="13"/>
      <c r="F249" s="13"/>
      <c r="G249" s="39" t="n">
        <f aca="false">IFERROR(IF($C249="","",IF($D249="","",IFERROR(ROUND($D249*INDEX('🔖 배합비 참조'!$B$2:$CE$83,MATCH("간장",'🔖 배합비 참조'!$A$2:$A$83,0),MATCH($C249,'🔖 배합비 참조'!$B$1:$CE$1,0))/100,0),""))),"")</f>
        <v>0</v>
      </c>
      <c r="H249" s="39" t="n">
        <f aca="false">IFERROR(IF($C249="","",IF($D249="","",IFERROR(ROUND($D249*INDEX('🔖 배합비 참조'!$B$2:$CE$83,MATCH("강낭콩((울타리콩))",'🔖 배합비 참조'!$A$2:$A$83,0),MATCH($C249,'🔖 배합비 참조'!$B$1:$CE$1,0))/100,0),""))),"")</f>
        <v>0</v>
      </c>
      <c r="I249" s="39" t="n">
        <f aca="false">IFERROR(IF($C249="","",IF($D249="","",IFERROR(ROUND($D249*INDEX('🔖 배합비 참조'!$B$2:$CE$83,MATCH("건조딸기다이스(외국산)",'🔖 배합비 참조'!$A$2:$A$83,0),MATCH($C249,'🔖 배합비 참조'!$B$1:$CE$1,0))/100,0),""))),"")</f>
        <v>0</v>
      </c>
      <c r="J249" s="39" t="n">
        <f aca="false">IFERROR(IF($C249="","",IF($D249="","",IFERROR(ROUND($D249*INDEX('🔖 배합비 참조'!$B$2:$CE$83,MATCH("건포도",'🔖 배합비 참조'!$A$2:$A$83,0),MATCH($C249,'🔖 배합비 참조'!$B$1:$CE$1,0))/100,0),""))),"")</f>
        <v>0</v>
      </c>
      <c r="K249" s="39" t="n">
        <f aca="false">IFERROR(IF($C249="","",IF($D249="","",IFERROR(ROUND($D249*INDEX('🔖 배합비 참조'!$B$2:$CE$83,MATCH("건호박채(중국산)",'🔖 배합비 참조'!$A$2:$A$83,0),MATCH($C249,'🔖 배합비 참조'!$B$1:$CE$1,0))/100,0),""))),"")</f>
        <v>0</v>
      </c>
      <c r="L249" s="39" t="n">
        <f aca="false">IFERROR(IF($C249="","",IF($D249="","",IFERROR(ROUND($D249*INDEX('🔖 배합비 참조'!$B$2:$CE$83,MATCH("검정깨(흑임자)",'🔖 배합비 참조'!$A$2:$A$83,0),MATCH($C249,'🔖 배합비 참조'!$B$1:$CE$1,0))/100,0),""))),"")</f>
        <v>0</v>
      </c>
      <c r="M249" s="39" t="n">
        <f aca="false">IFERROR(IF($C249="","",IF($D249="","",IFERROR(ROUND($D249*INDEX('🔖 배합비 참조'!$B$2:$CE$83,MATCH("검정콩",'🔖 배합비 참조'!$A$2:$A$83,0),MATCH($C249,'🔖 배합비 참조'!$B$1:$CE$1,0))/100,0),""))),"")</f>
        <v>0</v>
      </c>
      <c r="N249" s="39" t="n">
        <f aca="false">IFERROR(IF($C249="","",IF($D249="","",IFERROR(ROUND($D249*INDEX('🔖 배합비 참조'!$B$2:$CE$83,MATCH("계피가루",'🔖 배합비 참조'!$A$2:$A$83,0),MATCH($C249,'🔖 배합비 참조'!$B$1:$CE$1,0))/100,0),""))),"")</f>
        <v>0</v>
      </c>
      <c r="O249" s="39" t="n">
        <f aca="false">IFERROR(IF($C249="","",IF($D249="","",IFERROR(ROUND($D249*INDEX('🔖 배합비 참조'!$B$2:$CE$83,MATCH("고구마가루",'🔖 배합비 참조'!$A$2:$A$83,0),MATCH($C249,'🔖 배합비 참조'!$B$1:$CE$1,0))/100,0),""))),"")</f>
        <v>0</v>
      </c>
      <c r="P249" s="39" t="n">
        <f aca="false">IFERROR(IF($C249="","",IF($D249="","",IFERROR(ROUND($D249*INDEX('🔖 배합비 참조'!$B$2:$CE$83,MATCH("고구마무스",'🔖 배합비 참조'!$A$2:$A$83,0),MATCH($C249,'🔖 배합비 참조'!$B$1:$CE$1,0))/100,0),""))),"")</f>
        <v>0</v>
      </c>
      <c r="Q249" s="39" t="n">
        <f aca="false">IFERROR(IF($C249="","",IF($D249="","",IFERROR(ROUND($D249*INDEX('🔖 배합비 참조'!$B$2:$CE$83,MATCH("고려엉겅퀴((곤드레)국내산)",'🔖 배합비 참조'!$A$2:$A$83,0),MATCH($C249,'🔖 배합비 참조'!$B$1:$CE$1,0))/100,0),""))),"")</f>
        <v>0</v>
      </c>
      <c r="R249" s="39" t="n">
        <f aca="false">IFERROR(IF($C249="","",IF($D249="","",IFERROR(ROUND($D249*INDEX('🔖 배합비 참조'!$B$2:$CE$83,MATCH("기타가공품(복분자가루)",'🔖 배합비 참조'!$A$2:$A$83,0),MATCH($C249,'🔖 배합비 참조'!$B$1:$CE$1,0))/100,0),""))),"")</f>
        <v>0</v>
      </c>
      <c r="S249" s="39" t="n">
        <f aca="false">IFERROR(IF($C249="","",IF($D249="","",IFERROR(ROUND($D249*INDEX('🔖 배합비 참조'!$B$2:$CE$83,MATCH("기타가공품(슈퍼소프트엠)",'🔖 배합비 참조'!$A$2:$A$83,0),MATCH($C249,'🔖 배합비 참조'!$B$1:$CE$1,0))/100,0),""))),"")</f>
        <v>0</v>
      </c>
      <c r="T249" s="39" t="n">
        <f aca="false">IFERROR(IF($C249="","",IF($D249="","",IFERROR(ROUND($D249*INDEX('🔖 배합비 참조'!$B$2:$CE$83,MATCH("기타가공품(파인소프트 E-티)",'🔖 배합비 참조'!$A$2:$A$83,0),MATCH($C249,'🔖 배합비 참조'!$B$1:$CE$1,0))/100,0),""))),"")</f>
        <v>0</v>
      </c>
      <c r="U249" s="39" t="n">
        <f aca="false">IFERROR(IF($C249="","",IF($D249="","",IFERROR(ROUND($D249*INDEX('🔖 배합비 참조'!$B$2:$CE$83,MATCH("기타가공품(프리미엄카스테라가루)",'🔖 배합비 참조'!$A$2:$A$83,0),MATCH($C249,'🔖 배합비 참조'!$B$1:$CE$1,0))/100,0),""))),"")</f>
        <v>0</v>
      </c>
      <c r="V249" s="39" t="n">
        <f aca="false">IFERROR(IF($C249="","",IF($D249="","",IFERROR(ROUND($D249*INDEX('🔖 배합비 참조'!$B$2:$CE$83,MATCH("기타가공품(흑임자가루)",'🔖 배합비 참조'!$A$2:$A$83,0),MATCH($C249,'🔖 배합비 참조'!$B$1:$CE$1,0))/100,0),""))),"")</f>
        <v>0</v>
      </c>
      <c r="W249" s="39" t="n">
        <f aca="false">IFERROR(IF($C249="","",IF($D249="","",IFERROR(ROUND($D249*INDEX('🔖 배합비 참조'!$B$2:$CE$83,MATCH("기타설탕(흑설탕)",'🔖 배합비 참조'!$A$2:$A$83,0),MATCH($C249,'🔖 배합비 참조'!$B$1:$CE$1,0))/100,0),""))),"")</f>
        <v>0</v>
      </c>
      <c r="X249" s="39" t="n">
        <f aca="false">IFERROR(IF($C249="","",IF($D249="","",IFERROR(ROUND($D249*INDEX('🔖 배합비 참조'!$B$2:$CE$83,MATCH("냉동쑥(국내산)",'🔖 배합비 참조'!$A$2:$A$83,0),MATCH($C249,'🔖 배합비 참조'!$B$1:$CE$1,0))/100,0),""))),"")</f>
        <v>0</v>
      </c>
      <c r="Y249" s="39" t="n">
        <f aca="false">IFERROR(IF($C249="","",IF($D249="","",IFERROR(ROUND($D249*INDEX('🔖 배합비 참조'!$B$2:$CE$83,MATCH("냉동증숙고구마(중국산)",'🔖 배합비 참조'!$A$2:$A$83,0),MATCH($C249,'🔖 배합비 참조'!$B$1:$CE$1,0))/100,0),""))),"")</f>
        <v>0</v>
      </c>
      <c r="Z249" s="39" t="n">
        <f aca="false">IFERROR(IF($C249="","",IF($D249="","",IFERROR(ROUND($D249*INDEX('🔖 배합비 참조'!$B$2:$CE$83,MATCH("녹차가루",'🔖 배합비 참조'!$A$2:$A$83,0),MATCH($C249,'🔖 배합비 참조'!$B$1:$CE$1,0))/100,0),""))),"")</f>
        <v>0</v>
      </c>
      <c r="AA249" s="39" t="n">
        <f aca="false">IFERROR(IF($C249="","",IF($D249="","",IFERROR(ROUND($D249*INDEX('🔖 배합비 참조'!$B$2:$CE$83,MATCH("다크초콜릿 컴파운드칩",'🔖 배합비 참조'!$A$2:$A$83,0),MATCH($C249,'🔖 배합비 참조'!$B$1:$CE$1,0))/100,0),""))),"")</f>
        <v>0</v>
      </c>
      <c r="AB249" s="39" t="n">
        <f aca="false">IFERROR(IF($C249="","",IF($D249="","",IFERROR(ROUND($D249*INDEX('🔖 배합비 참조'!$B$2:$CE$83,MATCH("단호박분말(중국산)",'🔖 배합비 참조'!$A$2:$A$83,0),MATCH($C249,'🔖 배합비 참조'!$B$1:$CE$1,0))/100,0),""))),"")</f>
        <v>0</v>
      </c>
      <c r="AC249" s="39" t="n">
        <f aca="false">IFERROR(IF($C249="","",IF($D249="","",IFERROR(ROUND($D249*INDEX('🔖 배합비 참조'!$B$2:$CE$83,MATCH("당류가공품(단호박농축액)",'🔖 배합비 참조'!$A$2:$A$83,0),MATCH($C249,'🔖 배합비 참조'!$B$1:$CE$1,0))/100,0),""))),"")</f>
        <v>0</v>
      </c>
      <c r="AD249" s="39" t="n">
        <f aca="false">IFERROR(IF($C249="","",IF($D249="","",IFERROR(ROUND($D249*INDEX('🔖 배합비 참조'!$B$2:$CE$83,MATCH("당류가공품(알룰로스,에리스리톨,스테비올배당체혼합)",'🔖 배합비 참조'!$A$2:$A$83,0),MATCH($C249,'🔖 배합비 참조'!$B$1:$CE$1,0))/100,0),""))),"")</f>
        <v>0</v>
      </c>
      <c r="AE249" s="39" t="n">
        <f aca="false">IFERROR(IF($C249="","",IF($D249="","",IFERROR(ROUND($D249*INDEX('🔖 배합비 참조'!$B$2:$CE$83,MATCH("당류가공품(알룰로스제로파우더)",'🔖 배합비 참조'!$A$2:$A$83,0),MATCH($C249,'🔖 배합비 참조'!$B$1:$CE$1,0))/100,0),""))),"")</f>
        <v>0</v>
      </c>
      <c r="AF249" s="39" t="n">
        <f aca="false">IFERROR(IF($C249="","",IF($D249="","",IFERROR(ROUND($D249*INDEX('🔖 배합비 참조'!$B$2:$CE$83,MATCH("당절임(완두배기)",'🔖 배합비 참조'!$A$2:$A$83,0),MATCH($C249,'🔖 배합비 참조'!$B$1:$CE$1,0))/100,0),""))),"")</f>
        <v>0</v>
      </c>
      <c r="AG249" s="39" t="n">
        <f aca="false">IFERROR(IF($C249="","",IF($D249="","",IFERROR(ROUND($D249*INDEX('🔖 배합비 참조'!$B$2:$CE$83,MATCH("대추농축액",'🔖 배합비 참조'!$A$2:$A$83,0),MATCH($C249,'🔖 배합비 참조'!$B$1:$CE$1,0))/100,0),""))),"")</f>
        <v>0</v>
      </c>
      <c r="AH249" s="39" t="n">
        <f aca="false">IFERROR(IF($C249="","",IF($D249="","",IFERROR(ROUND($D249*INDEX('🔖 배합비 참조'!$B$2:$CE$83,MATCH("대추채(국내산)",'🔖 배합비 참조'!$A$2:$A$83,0),MATCH($C249,'🔖 배합비 참조'!$B$1:$CE$1,0))/100,0),""))),"")</f>
        <v>0</v>
      </c>
      <c r="AI249" s="39" t="n">
        <f aca="false">IFERROR(IF($C249="","",IF($D249="","",IFERROR(ROUND($D249*INDEX('🔖 배합비 참조'!$B$2:$CE$83,MATCH("동부(미얀마산)",'🔖 배합비 참조'!$A$2:$A$83,0),MATCH($C249,'🔖 배합비 참조'!$B$1:$CE$1,0))/100,0),""))),"")</f>
        <v>0</v>
      </c>
      <c r="AJ249" s="39" t="n">
        <f aca="false">IFERROR(IF($C249="","",IF($D249="","",IFERROR(ROUND($D249*INDEX('🔖 배합비 참조'!$B$2:$CE$83,MATCH("두류가공품(백옥앙금)",'🔖 배합비 참조'!$A$2:$A$83,0),MATCH($C249,'🔖 배합비 참조'!$B$1:$CE$1,0))/100,0),""))),"")</f>
        <v>0</v>
      </c>
      <c r="AK249" s="39" t="n">
        <f aca="false">IFERROR(IF($C249="","",IF($D249="","",IFERROR(ROUND($D249*INDEX('🔖 배합비 참조'!$B$2:$CE$83,MATCH("두류가공품(콩고물)",'🔖 배합비 참조'!$A$2:$A$83,0),MATCH($C249,'🔖 배합비 참조'!$B$1:$CE$1,0))/100,0),""))),"")</f>
        <v>0</v>
      </c>
      <c r="AL249" s="39" t="n">
        <f aca="false">IFERROR(IF($C249="","",IF($D249="","",IFERROR(ROUND($D249*INDEX('🔖 배합비 참조'!$B$2:$CE$83,MATCH("두류가공품(통팥고물)",'🔖 배합비 참조'!$A$2:$A$83,0),MATCH($C249,'🔖 배합비 참조'!$B$1:$CE$1,0))/100,0),""))),"")</f>
        <v>0</v>
      </c>
      <c r="AM249" s="39" t="n">
        <f aca="false">IFERROR(IF($C249="","",IF($D249="","",IFERROR(ROUND($D249*INDEX('🔖 배합비 참조'!$B$2:$CE$83,MATCH("딸기레진",'🔖 배합비 참조'!$A$2:$A$83,0),MATCH($C249,'🔖 배합비 참조'!$B$1:$CE$1,0))/100,0),""))),"")</f>
        <v>0</v>
      </c>
      <c r="AN249" s="39" t="n">
        <f aca="false">IFERROR(IF($C249="","",IF($D249="","",IFERROR(ROUND($D249*INDEX('🔖 배합비 참조'!$B$2:$CE$83,MATCH("딸기분말(스트로우베리에이드(분말))",'🔖 배합비 참조'!$A$2:$A$83,0),MATCH($C249,'🔖 배합비 참조'!$B$1:$CE$1,0))/100,0),""))),"")</f>
        <v>0</v>
      </c>
      <c r="AO249" s="39" t="n">
        <f aca="false">IFERROR(IF($C249="","",IF($D249="","",IFERROR(ROUND($D249*INDEX('🔖 배합비 참조'!$B$2:$CE$83,MATCH("마스카포네치즈",'🔖 배합비 참조'!$A$2:$A$83,0),MATCH($C249,'🔖 배합비 참조'!$B$1:$CE$1,0))/100,0),""))),"")</f>
        <v>0</v>
      </c>
      <c r="AP249" s="39" t="n">
        <f aca="false">IFERROR(IF($C249="","",IF($D249="","",IFERROR(ROUND($D249*INDEX('🔖 배합비 참조'!$B$2:$CE$83,MATCH("마카다미아분태(호주산)",'🔖 배합비 참조'!$A$2:$A$83,0),MATCH($C249,'🔖 배합비 참조'!$B$1:$CE$1,0))/100,0),""))),"")</f>
        <v>0</v>
      </c>
      <c r="AQ249" s="39" t="n">
        <f aca="false">IFERROR(IF($C249="","",IF($D249="","",IFERROR(ROUND($D249*INDEX('🔖 배합비 참조'!$B$2:$CE$83,MATCH("멥쌀(국내산)",'🔖 배합비 참조'!$A$2:$A$83,0),MATCH($C249,'🔖 배합비 참조'!$B$1:$CE$1,0))/100,0),""))),"")</f>
        <v>22</v>
      </c>
      <c r="AR249" s="39" t="n">
        <f aca="false">IFERROR(IF($C249="","",IF($D249="","",IFERROR(ROUND($D249*INDEX('🔖 배합비 참조'!$B$2:$CE$83,MATCH("모시잎(국내산)",'🔖 배합비 참조'!$A$2:$A$83,0),MATCH($C249,'🔖 배합비 참조'!$B$1:$CE$1,0))/100,0),""))),"")</f>
        <v>0</v>
      </c>
      <c r="AS249" s="39" t="n">
        <f aca="false">IFERROR(IF($C249="","",IF($D249="","",IFERROR(ROUND($D249*INDEX('🔖 배합비 참조'!$B$2:$CE$83,MATCH("물엿(저당물엿)",'🔖 배합비 참조'!$A$2:$A$83,0),MATCH($C249,'🔖 배합비 참조'!$B$1:$CE$1,0))/100,0),""))),"")</f>
        <v>0</v>
      </c>
      <c r="AT249" s="39" t="n">
        <f aca="false">IFERROR(IF($C249="","",IF($D249="","",IFERROR(ROUND($D249*INDEX('🔖 배합비 참조'!$B$2:$CE$83,MATCH("밤다이스",'🔖 배합비 참조'!$A$2:$A$83,0),MATCH($C249,'🔖 배합비 참조'!$B$1:$CE$1,0))/100,0),""))),"")</f>
        <v>0</v>
      </c>
      <c r="AU249" s="39" t="n">
        <f aca="false">IFERROR(IF($C249="","",IF($D249="","",IFERROR(ROUND($D249*INDEX('🔖 배합비 참조'!$B$2:$CE$83,MATCH("변성전분(타피오카전분)",'🔖 배합비 참조'!$A$2:$A$83,0),MATCH($C249,'🔖 배합비 참조'!$B$1:$CE$1,0))/100,0),""))),"")</f>
        <v>0</v>
      </c>
      <c r="AV249" s="39" t="n">
        <f aca="false">IFERROR(IF($C249="","",IF($D249="","",IFERROR(ROUND($D249*INDEX('🔖 배합비 참조'!$B$2:$CE$83,MATCH("복음땅콩분태",'🔖 배합비 참조'!$A$2:$A$83,0),MATCH($C249,'🔖 배합비 참조'!$B$1:$CE$1,0))/100,0),""))),"")</f>
        <v>0</v>
      </c>
      <c r="AW249" s="39" t="n">
        <f aca="false">IFERROR(IF($C249="","",IF($D249="","",IFERROR(ROUND($D249*INDEX('🔖 배합비 참조'!$B$2:$CE$83,MATCH("사양벌꿀(국내산)",'🔖 배합비 참조'!$A$2:$A$83,0),MATCH($C249,'🔖 배합비 참조'!$B$1:$CE$1,0))/100,0),""))),"")</f>
        <v>0</v>
      </c>
      <c r="AX249" s="39" t="n">
        <f aca="false">IFERROR(IF($C249="","",IF($D249="","",IFERROR(ROUND($D249*INDEX('🔖 배합비 참조'!$B$2:$CE$83,MATCH("생크림",'🔖 배합비 참조'!$A$2:$A$83,0),MATCH($C249,'🔖 배합비 참조'!$B$1:$CE$1,0))/100,0),""))),"")</f>
        <v>0</v>
      </c>
      <c r="AY249" s="39" t="n">
        <f aca="false">IFERROR(IF($C249="","",IF($D249="","",IFERROR(ROUND($D249*INDEX('🔖 배합비 참조'!$B$2:$CE$83,MATCH("서양호박(국내산,뉴질랜드산)",'🔖 배합비 참조'!$A$2:$A$83,0),MATCH($C249,'🔖 배합비 참조'!$B$1:$CE$1,0))/100,0),""))),"")</f>
        <v>0</v>
      </c>
      <c r="AZ249" s="39" t="n">
        <f aca="false">IFERROR(IF($C249="","",IF($D249="","",IFERROR(ROUND($D249*INDEX('🔖 배합비 참조'!$B$2:$CE$83,MATCH("설탕",'🔖 배합비 참조'!$A$2:$A$83,0),MATCH($C249,'🔖 배합비 참조'!$B$1:$CE$1,0))/100,0),""))),"")</f>
        <v>209</v>
      </c>
      <c r="BA249" s="39" t="n">
        <f aca="false">IFERROR(IF($C249="","",IF($D249="","",IFERROR(ROUND($D249*INDEX('🔖 배합비 참조'!$B$2:$CE$83,MATCH("스트로우베리 에이드 후레쉬",'🔖 배합비 참조'!$A$2:$A$83,0),MATCH($C249,'🔖 배합비 참조'!$B$1:$CE$1,0))/100,0),""))),"")</f>
        <v>0</v>
      </c>
      <c r="BB249" s="39" t="n">
        <f aca="false">IFERROR(IF($C249="","",IF($D249="","",IFERROR(ROUND($D249*INDEX('🔖 배합비 참조'!$B$2:$CE$83,MATCH("식물성기름혼합제제(분홍)",'🔖 배합비 참조'!$A$2:$A$83,0),MATCH($C249,'🔖 배합비 참조'!$B$1:$CE$1,0))/100,0),""))),"")</f>
        <v>0</v>
      </c>
      <c r="BC249" s="39" t="n">
        <f aca="false">IFERROR(IF($C249="","",IF($D249="","",IFERROR(ROUND($D249*INDEX('🔖 배합비 참조'!$B$2:$CE$83,MATCH("식물성기름혼합제제(초록)",'🔖 배합비 참조'!$A$2:$A$83,0),MATCH($C249,'🔖 배합비 참조'!$B$1:$CE$1,0))/100,0),""))),"")</f>
        <v>0</v>
      </c>
      <c r="BD249" s="39" t="n">
        <f aca="false">IFERROR(IF($C249="","",IF($D249="","",IFERROR(ROUND($D249*INDEX('🔖 배합비 참조'!$B$2:$CE$83,MATCH("식물성기름혼합제제(황색)",'🔖 배합비 참조'!$A$2:$A$83,0),MATCH($C249,'🔖 배합비 참조'!$B$1:$CE$1,0))/100,0),""))),"")</f>
        <v>0</v>
      </c>
      <c r="BE249" s="39" t="n">
        <f aca="false">IFERROR(IF($C249="","",IF($D249="","",IFERROR(ROUND($D249*INDEX('🔖 배합비 참조'!$B$2:$CE$83,MATCH("쑥가루(국내산)",'🔖 배합비 참조'!$A$2:$A$83,0),MATCH($C249,'🔖 배합비 참조'!$B$1:$CE$1,0))/100,0),""))),"")</f>
        <v>0</v>
      </c>
      <c r="BF249" s="39" t="n">
        <f aca="false">IFERROR(IF($C249="","",IF($D249="","",IFERROR(ROUND($D249*INDEX('🔖 배합비 참조'!$B$2:$CE$83,MATCH("아몬드슬라이스",'🔖 배합비 참조'!$A$2:$A$83,0),MATCH($C249,'🔖 배합비 참조'!$B$1:$CE$1,0))/100,0),""))),"")</f>
        <v>0</v>
      </c>
      <c r="BG249" s="39" t="n">
        <f aca="false">IFERROR(IF($C249="","",IF($D249="","",IFERROR(ROUND($D249*INDEX('🔖 배합비 참조'!$B$2:$CE$83,MATCH("알룰로오스(국내산)",'🔖 배합비 참조'!$A$2:$A$83,0),MATCH($C249,'🔖 배합비 참조'!$B$1:$CE$1,0))/100,0),""))),"")</f>
        <v>0</v>
      </c>
      <c r="BH249" s="39" t="n">
        <f aca="false">IFERROR(IF($C249="","",IF($D249="","",IFERROR(ROUND($D249*INDEX('🔖 배합비 참조'!$B$2:$CE$83,MATCH("연유",'🔖 배합비 참조'!$A$2:$A$83,0),MATCH($C249,'🔖 배합비 참조'!$B$1:$CE$1,0))/100,0),""))),"")</f>
        <v>0</v>
      </c>
      <c r="BI249" s="39" t="n">
        <f aca="false">IFERROR(IF($C249="","",IF($D249="","",IFERROR(ROUND($D249*INDEX('🔖 배합비 참조'!$B$2:$CE$83,MATCH("옥수수전분",'🔖 배합비 참조'!$A$2:$A$83,0),MATCH($C249,'🔖 배합비 참조'!$B$1:$CE$1,0))/100,0),""))),"")</f>
        <v>0</v>
      </c>
      <c r="BJ249" s="39" t="n">
        <f aca="false">IFERROR(IF($C249="","",IF($D249="","",IFERROR(ROUND($D249*INDEX('🔖 배합비 참조'!$B$2:$CE$83,MATCH("완두배기",'🔖 배합비 참조'!$A$2:$A$83,0),MATCH($C249,'🔖 배합비 참조'!$B$1:$CE$1,0))/100,0),""))),"")</f>
        <v>0</v>
      </c>
      <c r="BK249" s="39" t="n">
        <f aca="false">IFERROR(IF($C249="","",IF($D249="","",IFERROR(ROUND($D249*INDEX('🔖 배합비 참조'!$B$2:$CE$83,MATCH("우유(국내산)",'🔖 배합비 참조'!$A$2:$A$83,0),MATCH($C249,'🔖 배합비 참조'!$B$1:$CE$1,0))/100,0),""))),"")</f>
        <v>0</v>
      </c>
      <c r="BL249" s="39" t="n">
        <f aca="false">IFERROR(IF($C249="","",IF($D249="","",IFERROR(ROUND($D249*INDEX('🔖 배합비 참조'!$B$2:$CE$83,MATCH("자색고구마가루(중국산)",'🔖 배합비 참조'!$A$2:$A$83,0),MATCH($C249,'🔖 배합비 참조'!$B$1:$CE$1,0))/100,0),""))),"")</f>
        <v>0</v>
      </c>
      <c r="BM249" s="39" t="n">
        <f aca="false">IFERROR(IF($C249="","",IF($D249="","",IFERROR(ROUND($D249*INDEX('🔖 배합비 참조'!$B$2:$CE$83,MATCH("자연치즈(체다치즈)",'🔖 배합비 참조'!$A$2:$A$83,0),MATCH($C249,'🔖 배합비 참조'!$B$1:$CE$1,0))/100,0),""))),"")</f>
        <v>0</v>
      </c>
      <c r="BN249" s="39" t="n">
        <f aca="false">IFERROR(IF($C249="","",IF($D249="","",IFERROR(ROUND($D249*INDEX('🔖 배합비 참조'!$B$2:$CE$83,MATCH("정제수",'🔖 배합비 참조'!$A$2:$A$83,0),MATCH($C249,'🔖 배합비 참조'!$B$1:$CE$1,0))/100,0),""))),"")</f>
        <v>33</v>
      </c>
      <c r="BO249" s="39" t="n">
        <f aca="false">IFERROR(IF($C249="","",IF($D249="","",IFERROR(ROUND($D249*INDEX('🔖 배합비 참조'!$B$2:$CE$83,MATCH("젤라틴",'🔖 배합비 참조'!$A$2:$A$83,0),MATCH($C249,'🔖 배합비 참조'!$B$1:$CE$1,0))/100,0),""))),"")</f>
        <v>0</v>
      </c>
      <c r="BP249" s="39" t="n">
        <f aca="false">IFERROR(IF($C249="","",IF($D249="","",IFERROR(ROUND($D249*INDEX('🔖 배합비 참조'!$B$2:$CE$83,MATCH("조림류(백옥앙금)",'🔖 배합비 참조'!$A$2:$A$83,0),MATCH($C249,'🔖 배합비 참조'!$B$1:$CE$1,0))/100,0),""))),"")</f>
        <v>0</v>
      </c>
      <c r="BQ249" s="39" t="n">
        <f aca="false">IFERROR(IF($C249="","",IF($D249="","",IFERROR(ROUND($D249*INDEX('🔖 배합비 참조'!$B$2:$CE$83,MATCH("조림류(통팥앙금)",'🔖 배합비 참조'!$A$2:$A$83,0),MATCH($C249,'🔖 배합비 참조'!$B$1:$CE$1,0))/100,0),""))),"")</f>
        <v>198</v>
      </c>
      <c r="BR249" s="39" t="n">
        <f aca="false">IFERROR(IF($C249="","",IF($D249="","",IFERROR(ROUND($D249*INDEX('🔖 배합비 참조'!$B$2:$CE$83,MATCH("준초콜릿(외국산)",'🔖 배합비 참조'!$A$2:$A$83,0),MATCH($C249,'🔖 배합비 참조'!$B$1:$CE$1,0))/100,0),""))),"")</f>
        <v>0</v>
      </c>
      <c r="BS249" s="39" t="n">
        <f aca="false">IFERROR(IF($C249="","",IF($D249="","",IFERROR(ROUND($D249*INDEX('🔖 배합비 참조'!$B$2:$CE$83,MATCH("중력분",'🔖 배합비 참조'!$A$2:$A$83,0),MATCH($C249,'🔖 배합비 참조'!$B$1:$CE$1,0))/100,0),""))),"")</f>
        <v>22</v>
      </c>
      <c r="BT249" s="39" t="n">
        <f aca="false">IFERROR(IF($C249="","",IF($D249="","",IFERROR(ROUND($D249*INDEX('🔖 배합비 참조'!$B$2:$CE$83,MATCH("참깨(인도산,나이지리아산,탄자니아산,미얀마산)",'🔖 배합비 참조'!$A$2:$A$83,0),MATCH($C249,'🔖 배합비 참조'!$B$1:$CE$1,0))/100,0),""))),"")</f>
        <v>0</v>
      </c>
      <c r="BU249" s="39" t="n">
        <f aca="false">IFERROR(IF($C249="","",IF($D249="","",IFERROR(ROUND($D249*INDEX('🔖 배합비 참조'!$B$2:$CE$83,MATCH("찹쌀(국내산)",'🔖 배합비 참조'!$A$2:$A$83,0),MATCH($C249,'🔖 배합비 참조'!$B$1:$CE$1,0))/100,0),""))),"")</f>
        <v>473</v>
      </c>
      <c r="BV249" s="39" t="n">
        <f aca="false">IFERROR(IF($C249="","",IF($D249="","",IFERROR(ROUND($D249*INDEX('🔖 배합비 참조'!$B$2:$CE$83,MATCH("천일염",'🔖 배합비 참조'!$A$2:$A$83,0),MATCH($C249,'🔖 배합비 참조'!$B$1:$CE$1,0))/100,0),""))),"")</f>
        <v>22</v>
      </c>
      <c r="BW249" s="39" t="n">
        <f aca="false">IFERROR(IF($C249="","",IF($D249="","",IFERROR(ROUND($D249*INDEX('🔖 배합비 참조'!$B$2:$CE$83,MATCH("치즈 [크림치즈]",'🔖 배합비 참조'!$A$2:$A$83,0),MATCH($C249,'🔖 배합비 참조'!$B$1:$CE$1,0))/100,0),""))),"")</f>
        <v>0</v>
      </c>
      <c r="BX249" s="39" t="n">
        <f aca="false">IFERROR(IF($C249="","",IF($D249="","",IFERROR(ROUND($D249*INDEX('🔖 배합비 참조'!$B$2:$CE$83,MATCH("코코아가공품류(코코아분말)",'🔖 배합비 참조'!$A$2:$A$83,0),MATCH($C249,'🔖 배합비 참조'!$B$1:$CE$1,0))/100,0),""))),"")</f>
        <v>0</v>
      </c>
      <c r="BY249" s="39" t="n">
        <f aca="false">IFERROR(IF($C249="","",IF($D249="","",IFERROR(ROUND($D249*INDEX('🔖 배합비 참조'!$B$2:$CE$83,MATCH("콩기름(대두유)",'🔖 배합비 참조'!$A$2:$A$83,0),MATCH($C249,'🔖 배합비 참조'!$B$1:$CE$1,0))/100,0),""))),"")</f>
        <v>0</v>
      </c>
      <c r="BZ249" s="39" t="n">
        <f aca="false">IFERROR(IF($C249="","",IF($D249="","",IFERROR(ROUND($D249*INDEX('🔖 배합비 참조'!$B$2:$CE$83,MATCH("해바라기씨앗",'🔖 배합비 참조'!$A$2:$A$83,0),MATCH($C249,'🔖 배합비 참조'!$B$1:$CE$1,0))/100,0),""))),"")</f>
        <v>0</v>
      </c>
      <c r="CA249" s="39" t="n">
        <f aca="false">IFERROR(IF($C249="","",IF($D249="","",IFERROR(ROUND($D249*INDEX('🔖 배합비 참조'!$B$2:$CE$83,MATCH("현미(국내산)",'🔖 배합비 참조'!$A$2:$A$83,0),MATCH($C249,'🔖 배합비 참조'!$B$1:$CE$1,0))/100,0),""))),"")</f>
        <v>0</v>
      </c>
      <c r="CB249" s="39" t="n">
        <f aca="false">IFERROR(IF($C249="","",IF($D249="","",IFERROR(ROUND($D249*INDEX('🔖 배합비 참조'!$B$2:$CE$83,MATCH("현미멥쌀(국내산)",'🔖 배합비 참조'!$A$2:$A$83,0),MATCH($C249,'🔖 배합비 참조'!$B$1:$CE$1,0))/100,0),""))),"")</f>
        <v>0</v>
      </c>
      <c r="CC249" s="39" t="n">
        <f aca="false">IFERROR(IF($C249="","",IF($D249="","",IFERROR(ROUND($D249*INDEX('🔖 배합비 참조'!$B$2:$CE$83,MATCH("호두분태(미국산)",'🔖 배합비 참조'!$A$2:$A$83,0),MATCH($C249,'🔖 배합비 참조'!$B$1:$CE$1,0))/100,0),""))),"")</f>
        <v>0</v>
      </c>
      <c r="CD249" s="39" t="n">
        <f aca="false">IFERROR(IF($C249="","",IF($D249="","",IFERROR(ROUND($D249*INDEX('🔖 배합비 참조'!$B$2:$CE$83,MATCH("호박씨앗(외국산)",'🔖 배합비 참조'!$A$2:$A$83,0),MATCH($C249,'🔖 배합비 참조'!$B$1:$CE$1,0))/100,0),""))),"")</f>
        <v>0</v>
      </c>
      <c r="CE249" s="39" t="n">
        <f aca="false">IFERROR(IF($C249="","",IF($D249="","",IFERROR(ROUND($D249*INDEX('🔖 배합비 참조'!$B$2:$CE$83,MATCH("혼합제제(떡용에스텔)",'🔖 배합비 참조'!$A$2:$A$83,0),MATCH($C249,'🔖 배합비 참조'!$B$1:$CE$1,0))/100,0),""))),"")</f>
        <v>22</v>
      </c>
      <c r="CF249" s="39" t="n">
        <f aca="false">IFERROR(IF($C249="","",IF($D249="","",IFERROR(ROUND($D249*INDEX('🔖 배합비 참조'!$B$2:$CE$83,MATCH("혼합제제(스테비아)",'🔖 배합비 참조'!$A$2:$A$83,0),MATCH($C249,'🔖 배합비 참조'!$B$1:$CE$1,0))/100,0),""))),"")</f>
        <v>0</v>
      </c>
      <c r="CG249" s="39" t="n">
        <f aca="false">IFERROR(IF($C249="","",IF($D249="","",IFERROR(ROUND($D249*INDEX('🔖 배합비 참조'!$B$2:$CE$83,MATCH("화이트초콜릿",'🔖 배합비 참조'!$A$2:$A$83,0),MATCH($C249,'🔖 배합비 참조'!$B$1:$CE$1,0))/100,0),""))),"")</f>
        <v>0</v>
      </c>
      <c r="CH249" s="39" t="n">
        <f aca="false">IFERROR(IF($C249="","",IF($D249="","",IFERROR(ROUND($D249*INDEX('🔖 배합비 참조'!$B$2:$CE$83,MATCH("흑미찹쌀(국내산)",'🔖 배합비 참조'!$A$2:$A$83,0),MATCH($C249,'🔖 배합비 참조'!$B$1:$CE$1,0))/100,0),""))),"")</f>
        <v>0</v>
      </c>
      <c r="CI249" s="39" t="n">
        <f aca="false">IFERROR(IF($C249="","",IF($D249="","",IFERROR(ROUND($D249*INDEX('🔖 배합비 참조'!$B$2:$CE$83,MATCH("찰옥수수전분(미국산)",'🔖 배합비 참조'!$A$2:$A$83,0),MATCH($C249,'🔖 배합비 참조'!$B$1:$CE$1,0))/100,0),""))),"")</f>
        <v>99</v>
      </c>
      <c r="CJ249" s="40"/>
      <c r="CL249" s="1" t="s">
        <v>247</v>
      </c>
    </row>
    <row r="250" customFormat="false" ht="18" hidden="false" customHeight="true" outlineLevel="0" collapsed="false">
      <c r="A250" s="41" t="n">
        <v>246</v>
      </c>
      <c r="B250" s="36" t="n">
        <v>46080</v>
      </c>
      <c r="C250" s="37" t="s">
        <v>206</v>
      </c>
      <c r="D250" s="38" t="n">
        <v>70</v>
      </c>
      <c r="E250" s="17"/>
      <c r="F250" s="17"/>
      <c r="G250" s="42" t="n">
        <f aca="false">IFERROR(IF($C250="","",IF($D250="","",IFERROR(ROUND($D250*INDEX('🔖 배합비 참조'!$B$2:$CE$83,MATCH("간장",'🔖 배합비 참조'!$A$2:$A$83,0),MATCH($C250,'🔖 배합비 참조'!$B$1:$CE$1,0))/100,0),""))),"")</f>
        <v>0</v>
      </c>
      <c r="H250" s="42" t="n">
        <f aca="false">IFERROR(IF($C250="","",IF($D250="","",IFERROR(ROUND($D250*INDEX('🔖 배합비 참조'!$B$2:$CE$83,MATCH("강낭콩((울타리콩))",'🔖 배합비 참조'!$A$2:$A$83,0),MATCH($C250,'🔖 배합비 참조'!$B$1:$CE$1,0))/100,0),""))),"")</f>
        <v>0</v>
      </c>
      <c r="I250" s="42" t="n">
        <f aca="false">IFERROR(IF($C250="","",IF($D250="","",IFERROR(ROUND($D250*INDEX('🔖 배합비 참조'!$B$2:$CE$83,MATCH("건조딸기다이스(외국산)",'🔖 배합비 참조'!$A$2:$A$83,0),MATCH($C250,'🔖 배합비 참조'!$B$1:$CE$1,0))/100,0),""))),"")</f>
        <v>0</v>
      </c>
      <c r="J250" s="42" t="n">
        <f aca="false">IFERROR(IF($C250="","",IF($D250="","",IFERROR(ROUND($D250*INDEX('🔖 배합비 참조'!$B$2:$CE$83,MATCH("건포도",'🔖 배합비 참조'!$A$2:$A$83,0),MATCH($C250,'🔖 배합비 참조'!$B$1:$CE$1,0))/100,0),""))),"")</f>
        <v>0</v>
      </c>
      <c r="K250" s="42" t="n">
        <f aca="false">IFERROR(IF($C250="","",IF($D250="","",IFERROR(ROUND($D250*INDEX('🔖 배합비 참조'!$B$2:$CE$83,MATCH("건호박채(중국산)",'🔖 배합비 참조'!$A$2:$A$83,0),MATCH($C250,'🔖 배합비 참조'!$B$1:$CE$1,0))/100,0),""))),"")</f>
        <v>0</v>
      </c>
      <c r="L250" s="42" t="n">
        <f aca="false">IFERROR(IF($C250="","",IF($D250="","",IFERROR(ROUND($D250*INDEX('🔖 배합비 참조'!$B$2:$CE$83,MATCH("검정깨(흑임자)",'🔖 배합비 참조'!$A$2:$A$83,0),MATCH($C250,'🔖 배합비 참조'!$B$1:$CE$1,0))/100,0),""))),"")</f>
        <v>0</v>
      </c>
      <c r="M250" s="42" t="n">
        <f aca="false">IFERROR(IF($C250="","",IF($D250="","",IFERROR(ROUND($D250*INDEX('🔖 배합비 참조'!$B$2:$CE$83,MATCH("검정콩",'🔖 배합비 참조'!$A$2:$A$83,0),MATCH($C250,'🔖 배합비 참조'!$B$1:$CE$1,0))/100,0),""))),"")</f>
        <v>0</v>
      </c>
      <c r="N250" s="42" t="n">
        <f aca="false">IFERROR(IF($C250="","",IF($D250="","",IFERROR(ROUND($D250*INDEX('🔖 배합비 참조'!$B$2:$CE$83,MATCH("계피가루",'🔖 배합비 참조'!$A$2:$A$83,0),MATCH($C250,'🔖 배합비 참조'!$B$1:$CE$1,0))/100,0),""))),"")</f>
        <v>0</v>
      </c>
      <c r="O250" s="42" t="n">
        <f aca="false">IFERROR(IF($C250="","",IF($D250="","",IFERROR(ROUND($D250*INDEX('🔖 배합비 참조'!$B$2:$CE$83,MATCH("고구마가루",'🔖 배합비 참조'!$A$2:$A$83,0),MATCH($C250,'🔖 배합비 참조'!$B$1:$CE$1,0))/100,0),""))),"")</f>
        <v>0</v>
      </c>
      <c r="P250" s="42" t="n">
        <f aca="false">IFERROR(IF($C250="","",IF($D250="","",IFERROR(ROUND($D250*INDEX('🔖 배합비 참조'!$B$2:$CE$83,MATCH("고구마무스",'🔖 배합비 참조'!$A$2:$A$83,0),MATCH($C250,'🔖 배합비 참조'!$B$1:$CE$1,0))/100,0),""))),"")</f>
        <v>0</v>
      </c>
      <c r="Q250" s="42" t="n">
        <f aca="false">IFERROR(IF($C250="","",IF($D250="","",IFERROR(ROUND($D250*INDEX('🔖 배합비 참조'!$B$2:$CE$83,MATCH("고려엉겅퀴((곤드레)국내산)",'🔖 배합비 참조'!$A$2:$A$83,0),MATCH($C250,'🔖 배합비 참조'!$B$1:$CE$1,0))/100,0),""))),"")</f>
        <v>0</v>
      </c>
      <c r="R250" s="42" t="n">
        <f aca="false">IFERROR(IF($C250="","",IF($D250="","",IFERROR(ROUND($D250*INDEX('🔖 배합비 참조'!$B$2:$CE$83,MATCH("기타가공품(복분자가루)",'🔖 배합비 참조'!$A$2:$A$83,0),MATCH($C250,'🔖 배합비 참조'!$B$1:$CE$1,0))/100,0),""))),"")</f>
        <v>0</v>
      </c>
      <c r="S250" s="42" t="n">
        <f aca="false">IFERROR(IF($C250="","",IF($D250="","",IFERROR(ROUND($D250*INDEX('🔖 배합비 참조'!$B$2:$CE$83,MATCH("기타가공품(슈퍼소프트엠)",'🔖 배합비 참조'!$A$2:$A$83,0),MATCH($C250,'🔖 배합비 참조'!$B$1:$CE$1,0))/100,0),""))),"")</f>
        <v>0</v>
      </c>
      <c r="T250" s="42" t="n">
        <f aca="false">IFERROR(IF($C250="","",IF($D250="","",IFERROR(ROUND($D250*INDEX('🔖 배합비 참조'!$B$2:$CE$83,MATCH("기타가공품(파인소프트 E-티)",'🔖 배합비 참조'!$A$2:$A$83,0),MATCH($C250,'🔖 배합비 참조'!$B$1:$CE$1,0))/100,0),""))),"")</f>
        <v>0</v>
      </c>
      <c r="U250" s="42" t="n">
        <f aca="false">IFERROR(IF($C250="","",IF($D250="","",IFERROR(ROUND($D250*INDEX('🔖 배합비 참조'!$B$2:$CE$83,MATCH("기타가공품(프리미엄카스테라가루)",'🔖 배합비 참조'!$A$2:$A$83,0),MATCH($C250,'🔖 배합비 참조'!$B$1:$CE$1,0))/100,0),""))),"")</f>
        <v>0</v>
      </c>
      <c r="V250" s="42" t="n">
        <f aca="false">IFERROR(IF($C250="","",IF($D250="","",IFERROR(ROUND($D250*INDEX('🔖 배합비 참조'!$B$2:$CE$83,MATCH("기타가공품(흑임자가루)",'🔖 배합비 참조'!$A$2:$A$83,0),MATCH($C250,'🔖 배합비 참조'!$B$1:$CE$1,0))/100,0),""))),"")</f>
        <v>0</v>
      </c>
      <c r="W250" s="42" t="n">
        <f aca="false">IFERROR(IF($C250="","",IF($D250="","",IFERROR(ROUND($D250*INDEX('🔖 배합비 참조'!$B$2:$CE$83,MATCH("기타설탕(흑설탕)",'🔖 배합비 참조'!$A$2:$A$83,0),MATCH($C250,'🔖 배합비 참조'!$B$1:$CE$1,0))/100,0),""))),"")</f>
        <v>0</v>
      </c>
      <c r="X250" s="42" t="n">
        <f aca="false">IFERROR(IF($C250="","",IF($D250="","",IFERROR(ROUND($D250*INDEX('🔖 배합비 참조'!$B$2:$CE$83,MATCH("냉동쑥(국내산)",'🔖 배합비 참조'!$A$2:$A$83,0),MATCH($C250,'🔖 배합비 참조'!$B$1:$CE$1,0))/100,0),""))),"")</f>
        <v>0</v>
      </c>
      <c r="Y250" s="42" t="n">
        <f aca="false">IFERROR(IF($C250="","",IF($D250="","",IFERROR(ROUND($D250*INDEX('🔖 배합비 참조'!$B$2:$CE$83,MATCH("냉동증숙고구마(중국산)",'🔖 배합비 참조'!$A$2:$A$83,0),MATCH($C250,'🔖 배합비 참조'!$B$1:$CE$1,0))/100,0),""))),"")</f>
        <v>0</v>
      </c>
      <c r="Z250" s="42" t="n">
        <f aca="false">IFERROR(IF($C250="","",IF($D250="","",IFERROR(ROUND($D250*INDEX('🔖 배합비 참조'!$B$2:$CE$83,MATCH("녹차가루",'🔖 배합비 참조'!$A$2:$A$83,0),MATCH($C250,'🔖 배합비 참조'!$B$1:$CE$1,0))/100,0),""))),"")</f>
        <v>0</v>
      </c>
      <c r="AA250" s="42" t="n">
        <f aca="false">IFERROR(IF($C250="","",IF($D250="","",IFERROR(ROUND($D250*INDEX('🔖 배합비 참조'!$B$2:$CE$83,MATCH("다크초콜릿 컴파운드칩",'🔖 배합비 참조'!$A$2:$A$83,0),MATCH($C250,'🔖 배합비 참조'!$B$1:$CE$1,0))/100,0),""))),"")</f>
        <v>0</v>
      </c>
      <c r="AB250" s="42" t="n">
        <f aca="false">IFERROR(IF($C250="","",IF($D250="","",IFERROR(ROUND($D250*INDEX('🔖 배합비 참조'!$B$2:$CE$83,MATCH("단호박분말(중국산)",'🔖 배합비 참조'!$A$2:$A$83,0),MATCH($C250,'🔖 배합비 참조'!$B$1:$CE$1,0))/100,0),""))),"")</f>
        <v>0</v>
      </c>
      <c r="AC250" s="42" t="n">
        <f aca="false">IFERROR(IF($C250="","",IF($D250="","",IFERROR(ROUND($D250*INDEX('🔖 배합비 참조'!$B$2:$CE$83,MATCH("당류가공품(단호박농축액)",'🔖 배합비 참조'!$A$2:$A$83,0),MATCH($C250,'🔖 배합비 참조'!$B$1:$CE$1,0))/100,0),""))),"")</f>
        <v>0</v>
      </c>
      <c r="AD250" s="42" t="n">
        <f aca="false">IFERROR(IF($C250="","",IF($D250="","",IFERROR(ROUND($D250*INDEX('🔖 배합비 참조'!$B$2:$CE$83,MATCH("당류가공품(알룰로스,에리스리톨,스테비올배당체혼합)",'🔖 배합비 참조'!$A$2:$A$83,0),MATCH($C250,'🔖 배합비 참조'!$B$1:$CE$1,0))/100,0),""))),"")</f>
        <v>0</v>
      </c>
      <c r="AE250" s="42" t="n">
        <f aca="false">IFERROR(IF($C250="","",IF($D250="","",IFERROR(ROUND($D250*INDEX('🔖 배합비 참조'!$B$2:$CE$83,MATCH("당류가공품(알룰로스제로파우더)",'🔖 배합비 참조'!$A$2:$A$83,0),MATCH($C250,'🔖 배합비 참조'!$B$1:$CE$1,0))/100,0),""))),"")</f>
        <v>0</v>
      </c>
      <c r="AF250" s="42" t="n">
        <f aca="false">IFERROR(IF($C250="","",IF($D250="","",IFERROR(ROUND($D250*INDEX('🔖 배합비 참조'!$B$2:$CE$83,MATCH("당절임(완두배기)",'🔖 배합비 참조'!$A$2:$A$83,0),MATCH($C250,'🔖 배합비 참조'!$B$1:$CE$1,0))/100,0),""))),"")</f>
        <v>0</v>
      </c>
      <c r="AG250" s="42" t="n">
        <f aca="false">IFERROR(IF($C250="","",IF($D250="","",IFERROR(ROUND($D250*INDEX('🔖 배합비 참조'!$B$2:$CE$83,MATCH("대추농축액",'🔖 배합비 참조'!$A$2:$A$83,0),MATCH($C250,'🔖 배합비 참조'!$B$1:$CE$1,0))/100,0),""))),"")</f>
        <v>0</v>
      </c>
      <c r="AH250" s="42" t="n">
        <f aca="false">IFERROR(IF($C250="","",IF($D250="","",IFERROR(ROUND($D250*INDEX('🔖 배합비 참조'!$B$2:$CE$83,MATCH("대추채(국내산)",'🔖 배합비 참조'!$A$2:$A$83,0),MATCH($C250,'🔖 배합비 참조'!$B$1:$CE$1,0))/100,0),""))),"")</f>
        <v>0</v>
      </c>
      <c r="AI250" s="42" t="n">
        <f aca="false">IFERROR(IF($C250="","",IF($D250="","",IFERROR(ROUND($D250*INDEX('🔖 배합비 참조'!$B$2:$CE$83,MATCH("동부(미얀마산)",'🔖 배합비 참조'!$A$2:$A$83,0),MATCH($C250,'🔖 배합비 참조'!$B$1:$CE$1,0))/100,0),""))),"")</f>
        <v>0</v>
      </c>
      <c r="AJ250" s="42" t="n">
        <f aca="false">IFERROR(IF($C250="","",IF($D250="","",IFERROR(ROUND($D250*INDEX('🔖 배합비 참조'!$B$2:$CE$83,MATCH("두류가공품(백옥앙금)",'🔖 배합비 참조'!$A$2:$A$83,0),MATCH($C250,'🔖 배합비 참조'!$B$1:$CE$1,0))/100,0),""))),"")</f>
        <v>0</v>
      </c>
      <c r="AK250" s="42" t="n">
        <f aca="false">IFERROR(IF($C250="","",IF($D250="","",IFERROR(ROUND($D250*INDEX('🔖 배합비 참조'!$B$2:$CE$83,MATCH("두류가공품(콩고물)",'🔖 배합비 참조'!$A$2:$A$83,0),MATCH($C250,'🔖 배합비 참조'!$B$1:$CE$1,0))/100,0),""))),"")</f>
        <v>0</v>
      </c>
      <c r="AL250" s="42" t="n">
        <f aca="false">IFERROR(IF($C250="","",IF($D250="","",IFERROR(ROUND($D250*INDEX('🔖 배합비 참조'!$B$2:$CE$83,MATCH("두류가공품(통팥고물)",'🔖 배합비 참조'!$A$2:$A$83,0),MATCH($C250,'🔖 배합비 참조'!$B$1:$CE$1,0))/100,0),""))),"")</f>
        <v>0</v>
      </c>
      <c r="AM250" s="42" t="n">
        <f aca="false">IFERROR(IF($C250="","",IF($D250="","",IFERROR(ROUND($D250*INDEX('🔖 배합비 참조'!$B$2:$CE$83,MATCH("딸기레진",'🔖 배합비 참조'!$A$2:$A$83,0),MATCH($C250,'🔖 배합비 참조'!$B$1:$CE$1,0))/100,0),""))),"")</f>
        <v>0</v>
      </c>
      <c r="AN250" s="42" t="n">
        <f aca="false">IFERROR(IF($C250="","",IF($D250="","",IFERROR(ROUND($D250*INDEX('🔖 배합비 참조'!$B$2:$CE$83,MATCH("딸기분말(스트로우베리에이드(분말))",'🔖 배합비 참조'!$A$2:$A$83,0),MATCH($C250,'🔖 배합비 참조'!$B$1:$CE$1,0))/100,0),""))),"")</f>
        <v>0</v>
      </c>
      <c r="AO250" s="42" t="n">
        <f aca="false">IFERROR(IF($C250="","",IF($D250="","",IFERROR(ROUND($D250*INDEX('🔖 배합비 참조'!$B$2:$CE$83,MATCH("마스카포네치즈",'🔖 배합비 참조'!$A$2:$A$83,0),MATCH($C250,'🔖 배합비 참조'!$B$1:$CE$1,0))/100,0),""))),"")</f>
        <v>0</v>
      </c>
      <c r="AP250" s="42" t="n">
        <f aca="false">IFERROR(IF($C250="","",IF($D250="","",IFERROR(ROUND($D250*INDEX('🔖 배합비 참조'!$B$2:$CE$83,MATCH("마카다미아분태(호주산)",'🔖 배합비 참조'!$A$2:$A$83,0),MATCH($C250,'🔖 배합비 참조'!$B$1:$CE$1,0))/100,0),""))),"")</f>
        <v>0</v>
      </c>
      <c r="AQ250" s="42" t="n">
        <f aca="false">IFERROR(IF($C250="","",IF($D250="","",IFERROR(ROUND($D250*INDEX('🔖 배합비 참조'!$B$2:$CE$83,MATCH("멥쌀(국내산)",'🔖 배합비 참조'!$A$2:$A$83,0),MATCH($C250,'🔖 배합비 참조'!$B$1:$CE$1,0))/100,0),""))),"")</f>
        <v>0</v>
      </c>
      <c r="AR250" s="42" t="n">
        <f aca="false">IFERROR(IF($C250="","",IF($D250="","",IFERROR(ROUND($D250*INDEX('🔖 배합비 참조'!$B$2:$CE$83,MATCH("모시잎(국내산)",'🔖 배합비 참조'!$A$2:$A$83,0),MATCH($C250,'🔖 배합비 참조'!$B$1:$CE$1,0))/100,0),""))),"")</f>
        <v>0</v>
      </c>
      <c r="AS250" s="42" t="n">
        <f aca="false">IFERROR(IF($C250="","",IF($D250="","",IFERROR(ROUND($D250*INDEX('🔖 배합비 참조'!$B$2:$CE$83,MATCH("물엿(저당물엿)",'🔖 배합비 참조'!$A$2:$A$83,0),MATCH($C250,'🔖 배합비 참조'!$B$1:$CE$1,0))/100,0),""))),"")</f>
        <v>3</v>
      </c>
      <c r="AT250" s="42" t="n">
        <f aca="false">IFERROR(IF($C250="","",IF($D250="","",IFERROR(ROUND($D250*INDEX('🔖 배합비 참조'!$B$2:$CE$83,MATCH("밤다이스",'🔖 배합비 참조'!$A$2:$A$83,0),MATCH($C250,'🔖 배합비 참조'!$B$1:$CE$1,0))/100,0),""))),"")</f>
        <v>0</v>
      </c>
      <c r="AU250" s="42" t="n">
        <f aca="false">IFERROR(IF($C250="","",IF($D250="","",IFERROR(ROUND($D250*INDEX('🔖 배합비 참조'!$B$2:$CE$83,MATCH("변성전분(타피오카전분)",'🔖 배합비 참조'!$A$2:$A$83,0),MATCH($C250,'🔖 배합비 참조'!$B$1:$CE$1,0))/100,0),""))),"")</f>
        <v>0</v>
      </c>
      <c r="AV250" s="42" t="n">
        <f aca="false">IFERROR(IF($C250="","",IF($D250="","",IFERROR(ROUND($D250*INDEX('🔖 배합비 참조'!$B$2:$CE$83,MATCH("복음땅콩분태",'🔖 배합비 참조'!$A$2:$A$83,0),MATCH($C250,'🔖 배합비 참조'!$B$1:$CE$1,0))/100,0),""))),"")</f>
        <v>0</v>
      </c>
      <c r="AW250" s="42" t="n">
        <f aca="false">IFERROR(IF($C250="","",IF($D250="","",IFERROR(ROUND($D250*INDEX('🔖 배합비 참조'!$B$2:$CE$83,MATCH("사양벌꿀(국내산)",'🔖 배합비 참조'!$A$2:$A$83,0),MATCH($C250,'🔖 배합비 참조'!$B$1:$CE$1,0))/100,0),""))),"")</f>
        <v>0</v>
      </c>
      <c r="AX250" s="42" t="n">
        <f aca="false">IFERROR(IF($C250="","",IF($D250="","",IFERROR(ROUND($D250*INDEX('🔖 배합비 참조'!$B$2:$CE$83,MATCH("생크림",'🔖 배합비 참조'!$A$2:$A$83,0),MATCH($C250,'🔖 배합비 참조'!$B$1:$CE$1,0))/100,0),""))),"")</f>
        <v>0</v>
      </c>
      <c r="AY250" s="42" t="n">
        <f aca="false">IFERROR(IF($C250="","",IF($D250="","",IFERROR(ROUND($D250*INDEX('🔖 배합비 참조'!$B$2:$CE$83,MATCH("서양호박(국내산,뉴질랜드산)",'🔖 배합비 참조'!$A$2:$A$83,0),MATCH($C250,'🔖 배합비 참조'!$B$1:$CE$1,0))/100,0),""))),"")</f>
        <v>0</v>
      </c>
      <c r="AZ250" s="42" t="n">
        <f aca="false">IFERROR(IF($C250="","",IF($D250="","",IFERROR(ROUND($D250*INDEX('🔖 배합비 참조'!$B$2:$CE$83,MATCH("설탕",'🔖 배합비 참조'!$A$2:$A$83,0),MATCH($C250,'🔖 배합비 참조'!$B$1:$CE$1,0))/100,0),""))),"")</f>
        <v>3</v>
      </c>
      <c r="BA250" s="42" t="n">
        <f aca="false">IFERROR(IF($C250="","",IF($D250="","",IFERROR(ROUND($D250*INDEX('🔖 배합비 참조'!$B$2:$CE$83,MATCH("스트로우베리 에이드 후레쉬",'🔖 배합비 참조'!$A$2:$A$83,0),MATCH($C250,'🔖 배합비 참조'!$B$1:$CE$1,0))/100,0),""))),"")</f>
        <v>0</v>
      </c>
      <c r="BB250" s="42" t="n">
        <f aca="false">IFERROR(IF($C250="","",IF($D250="","",IFERROR(ROUND($D250*INDEX('🔖 배합비 참조'!$B$2:$CE$83,MATCH("식물성기름혼합제제(분홍)",'🔖 배합비 참조'!$A$2:$A$83,0),MATCH($C250,'🔖 배합비 참조'!$B$1:$CE$1,0))/100,0),""))),"")</f>
        <v>0</v>
      </c>
      <c r="BC250" s="42" t="n">
        <f aca="false">IFERROR(IF($C250="","",IF($D250="","",IFERROR(ROUND($D250*INDEX('🔖 배합비 참조'!$B$2:$CE$83,MATCH("식물성기름혼합제제(초록)",'🔖 배합비 참조'!$A$2:$A$83,0),MATCH($C250,'🔖 배합비 참조'!$B$1:$CE$1,0))/100,0),""))),"")</f>
        <v>0</v>
      </c>
      <c r="BD250" s="42" t="n">
        <f aca="false">IFERROR(IF($C250="","",IF($D250="","",IFERROR(ROUND($D250*INDEX('🔖 배합비 참조'!$B$2:$CE$83,MATCH("식물성기름혼합제제(황색)",'🔖 배합비 참조'!$A$2:$A$83,0),MATCH($C250,'🔖 배합비 참조'!$B$1:$CE$1,0))/100,0),""))),"")</f>
        <v>0</v>
      </c>
      <c r="BE250" s="42" t="n">
        <f aca="false">IFERROR(IF($C250="","",IF($D250="","",IFERROR(ROUND($D250*INDEX('🔖 배합비 참조'!$B$2:$CE$83,MATCH("쑥가루(국내산)",'🔖 배합비 참조'!$A$2:$A$83,0),MATCH($C250,'🔖 배합비 참조'!$B$1:$CE$1,0))/100,0),""))),"")</f>
        <v>0</v>
      </c>
      <c r="BF250" s="42" t="n">
        <f aca="false">IFERROR(IF($C250="","",IF($D250="","",IFERROR(ROUND($D250*INDEX('🔖 배합비 참조'!$B$2:$CE$83,MATCH("아몬드슬라이스",'🔖 배합비 참조'!$A$2:$A$83,0),MATCH($C250,'🔖 배합비 참조'!$B$1:$CE$1,0))/100,0),""))),"")</f>
        <v>0</v>
      </c>
      <c r="BG250" s="42" t="n">
        <f aca="false">IFERROR(IF($C250="","",IF($D250="","",IFERROR(ROUND($D250*INDEX('🔖 배합비 참조'!$B$2:$CE$83,MATCH("알룰로오스(국내산)",'🔖 배합비 참조'!$A$2:$A$83,0),MATCH($C250,'🔖 배합비 참조'!$B$1:$CE$1,0))/100,0),""))),"")</f>
        <v>0</v>
      </c>
      <c r="BH250" s="42" t="n">
        <f aca="false">IFERROR(IF($C250="","",IF($D250="","",IFERROR(ROUND($D250*INDEX('🔖 배합비 참조'!$B$2:$CE$83,MATCH("연유",'🔖 배합비 참조'!$A$2:$A$83,0),MATCH($C250,'🔖 배합비 참조'!$B$1:$CE$1,0))/100,0),""))),"")</f>
        <v>0</v>
      </c>
      <c r="BI250" s="42" t="n">
        <f aca="false">IFERROR(IF($C250="","",IF($D250="","",IFERROR(ROUND($D250*INDEX('🔖 배합비 참조'!$B$2:$CE$83,MATCH("옥수수전분",'🔖 배합비 참조'!$A$2:$A$83,0),MATCH($C250,'🔖 배합비 참조'!$B$1:$CE$1,0))/100,0),""))),"")</f>
        <v>0</v>
      </c>
      <c r="BJ250" s="42" t="n">
        <f aca="false">IFERROR(IF($C250="","",IF($D250="","",IFERROR(ROUND($D250*INDEX('🔖 배합비 참조'!$B$2:$CE$83,MATCH("완두배기",'🔖 배합비 참조'!$A$2:$A$83,0),MATCH($C250,'🔖 배합비 참조'!$B$1:$CE$1,0))/100,0),""))),"")</f>
        <v>0</v>
      </c>
      <c r="BK250" s="42" t="n">
        <f aca="false">IFERROR(IF($C250="","",IF($D250="","",IFERROR(ROUND($D250*INDEX('🔖 배합비 참조'!$B$2:$CE$83,MATCH("우유(국내산)",'🔖 배합비 참조'!$A$2:$A$83,0),MATCH($C250,'🔖 배합비 참조'!$B$1:$CE$1,0))/100,0),""))),"")</f>
        <v>0</v>
      </c>
      <c r="BL250" s="42" t="n">
        <f aca="false">IFERROR(IF($C250="","",IF($D250="","",IFERROR(ROUND($D250*INDEX('🔖 배합비 참조'!$B$2:$CE$83,MATCH("자색고구마가루(중국산)",'🔖 배합비 참조'!$A$2:$A$83,0),MATCH($C250,'🔖 배합비 참조'!$B$1:$CE$1,0))/100,0),""))),"")</f>
        <v>0</v>
      </c>
      <c r="BM250" s="42" t="n">
        <f aca="false">IFERROR(IF($C250="","",IF($D250="","",IFERROR(ROUND($D250*INDEX('🔖 배합비 참조'!$B$2:$CE$83,MATCH("자연치즈(체다치즈)",'🔖 배합비 참조'!$A$2:$A$83,0),MATCH($C250,'🔖 배합비 참조'!$B$1:$CE$1,0))/100,0),""))),"")</f>
        <v>0</v>
      </c>
      <c r="BN250" s="42" t="n">
        <f aca="false">IFERROR(IF($C250="","",IF($D250="","",IFERROR(ROUND($D250*INDEX('🔖 배합비 참조'!$B$2:$CE$83,MATCH("정제수",'🔖 배합비 참조'!$A$2:$A$83,0),MATCH($C250,'🔖 배합비 참조'!$B$1:$CE$1,0))/100,0),""))),"")</f>
        <v>28</v>
      </c>
      <c r="BO250" s="42" t="n">
        <f aca="false">IFERROR(IF($C250="","",IF($D250="","",IFERROR(ROUND($D250*INDEX('🔖 배합비 참조'!$B$2:$CE$83,MATCH("젤라틴",'🔖 배합비 참조'!$A$2:$A$83,0),MATCH($C250,'🔖 배합비 참조'!$B$1:$CE$1,0))/100,0),""))),"")</f>
        <v>0</v>
      </c>
      <c r="BP250" s="42" t="n">
        <f aca="false">IFERROR(IF($C250="","",IF($D250="","",IFERROR(ROUND($D250*INDEX('🔖 배합비 참조'!$B$2:$CE$83,MATCH("조림류(백옥앙금)",'🔖 배합비 참조'!$A$2:$A$83,0),MATCH($C250,'🔖 배합비 참조'!$B$1:$CE$1,0))/100,0),""))),"")</f>
        <v>0</v>
      </c>
      <c r="BQ250" s="42" t="n">
        <f aca="false">IFERROR(IF($C250="","",IF($D250="","",IFERROR(ROUND($D250*INDEX('🔖 배합비 참조'!$B$2:$CE$83,MATCH("조림류(통팥앙금)",'🔖 배합비 참조'!$A$2:$A$83,0),MATCH($C250,'🔖 배합비 참조'!$B$1:$CE$1,0))/100,0),""))),"")</f>
        <v>0</v>
      </c>
      <c r="BR250" s="42" t="n">
        <f aca="false">IFERROR(IF($C250="","",IF($D250="","",IFERROR(ROUND($D250*INDEX('🔖 배합비 참조'!$B$2:$CE$83,MATCH("준초콜릿(외국산)",'🔖 배합비 참조'!$A$2:$A$83,0),MATCH($C250,'🔖 배합비 참조'!$B$1:$CE$1,0))/100,0),""))),"")</f>
        <v>0</v>
      </c>
      <c r="BS250" s="42" t="n">
        <f aca="false">IFERROR(IF($C250="","",IF($D250="","",IFERROR(ROUND($D250*INDEX('🔖 배합비 참조'!$B$2:$CE$83,MATCH("중력분",'🔖 배합비 참조'!$A$2:$A$83,0),MATCH($C250,'🔖 배합비 참조'!$B$1:$CE$1,0))/100,0),""))),"")</f>
        <v>1</v>
      </c>
      <c r="BT250" s="42" t="n">
        <f aca="false">IFERROR(IF($C250="","",IF($D250="","",IFERROR(ROUND($D250*INDEX('🔖 배합비 참조'!$B$2:$CE$83,MATCH("참깨(인도산,나이지리아산,탄자니아산,미얀마산)",'🔖 배합비 참조'!$A$2:$A$83,0),MATCH($C250,'🔖 배합비 참조'!$B$1:$CE$1,0))/100,0),""))),"")</f>
        <v>0</v>
      </c>
      <c r="BU250" s="42" t="n">
        <f aca="false">IFERROR(IF($C250="","",IF($D250="","",IFERROR(ROUND($D250*INDEX('🔖 배합비 참조'!$B$2:$CE$83,MATCH("찹쌀(국내산)",'🔖 배합비 참조'!$A$2:$A$83,0),MATCH($C250,'🔖 배합비 참조'!$B$1:$CE$1,0))/100,0),""))),"")</f>
        <v>33</v>
      </c>
      <c r="BV250" s="42" t="n">
        <f aca="false">IFERROR(IF($C250="","",IF($D250="","",IFERROR(ROUND($D250*INDEX('🔖 배합비 참조'!$B$2:$CE$83,MATCH("천일염",'🔖 배합비 참조'!$A$2:$A$83,0),MATCH($C250,'🔖 배합비 참조'!$B$1:$CE$1,0))/100,0),""))),"")</f>
        <v>1</v>
      </c>
      <c r="BW250" s="42" t="n">
        <f aca="false">IFERROR(IF($C250="","",IF($D250="","",IFERROR(ROUND($D250*INDEX('🔖 배합비 참조'!$B$2:$CE$83,MATCH("치즈 [크림치즈]",'🔖 배합비 참조'!$A$2:$A$83,0),MATCH($C250,'🔖 배합비 참조'!$B$1:$CE$1,0))/100,0),""))),"")</f>
        <v>0</v>
      </c>
      <c r="BX250" s="42" t="n">
        <f aca="false">IFERROR(IF($C250="","",IF($D250="","",IFERROR(ROUND($D250*INDEX('🔖 배합비 참조'!$B$2:$CE$83,MATCH("코코아가공품류(코코아분말)",'🔖 배합비 참조'!$A$2:$A$83,0),MATCH($C250,'🔖 배합비 참조'!$B$1:$CE$1,0))/100,0),""))),"")</f>
        <v>0</v>
      </c>
      <c r="BY250" s="42" t="n">
        <f aca="false">IFERROR(IF($C250="","",IF($D250="","",IFERROR(ROUND($D250*INDEX('🔖 배합비 참조'!$B$2:$CE$83,MATCH("콩기름(대두유)",'🔖 배합비 참조'!$A$2:$A$83,0),MATCH($C250,'🔖 배합비 참조'!$B$1:$CE$1,0))/100,0),""))),"")</f>
        <v>0</v>
      </c>
      <c r="BZ250" s="42" t="n">
        <f aca="false">IFERROR(IF($C250="","",IF($D250="","",IFERROR(ROUND($D250*INDEX('🔖 배합비 참조'!$B$2:$CE$83,MATCH("해바라기씨앗",'🔖 배합비 참조'!$A$2:$A$83,0),MATCH($C250,'🔖 배합비 참조'!$B$1:$CE$1,0))/100,0),""))),"")</f>
        <v>0</v>
      </c>
      <c r="CA250" s="42" t="n">
        <f aca="false">IFERROR(IF($C250="","",IF($D250="","",IFERROR(ROUND($D250*INDEX('🔖 배합비 참조'!$B$2:$CE$83,MATCH("현미(국내산)",'🔖 배합비 참조'!$A$2:$A$83,0),MATCH($C250,'🔖 배합비 참조'!$B$1:$CE$1,0))/100,0),""))),"")</f>
        <v>0</v>
      </c>
      <c r="CB250" s="42" t="n">
        <f aca="false">IFERROR(IF($C250="","",IF($D250="","",IFERROR(ROUND($D250*INDEX('🔖 배합비 참조'!$B$2:$CE$83,MATCH("현미멥쌀(국내산)",'🔖 배합비 참조'!$A$2:$A$83,0),MATCH($C250,'🔖 배합비 참조'!$B$1:$CE$1,0))/100,0),""))),"")</f>
        <v>0</v>
      </c>
      <c r="CC250" s="42" t="n">
        <f aca="false">IFERROR(IF($C250="","",IF($D250="","",IFERROR(ROUND($D250*INDEX('🔖 배합비 참조'!$B$2:$CE$83,MATCH("호두분태(미국산)",'🔖 배합비 참조'!$A$2:$A$83,0),MATCH($C250,'🔖 배합비 참조'!$B$1:$CE$1,0))/100,0),""))),"")</f>
        <v>0</v>
      </c>
      <c r="CD250" s="42" t="n">
        <f aca="false">IFERROR(IF($C250="","",IF($D250="","",IFERROR(ROUND($D250*INDEX('🔖 배합비 참조'!$B$2:$CE$83,MATCH("호박씨앗(외국산)",'🔖 배합비 참조'!$A$2:$A$83,0),MATCH($C250,'🔖 배합비 참조'!$B$1:$CE$1,0))/100,0),""))),"")</f>
        <v>0</v>
      </c>
      <c r="CE250" s="42" t="n">
        <f aca="false">IFERROR(IF($C250="","",IF($D250="","",IFERROR(ROUND($D250*INDEX('🔖 배합비 참조'!$B$2:$CE$83,MATCH("혼합제제(떡용에스텔)",'🔖 배합비 참조'!$A$2:$A$83,0),MATCH($C250,'🔖 배합비 참조'!$B$1:$CE$1,0))/100,0),""))),"")</f>
        <v>0</v>
      </c>
      <c r="CF250" s="42" t="n">
        <f aca="false">IFERROR(IF($C250="","",IF($D250="","",IFERROR(ROUND($D250*INDEX('🔖 배합비 참조'!$B$2:$CE$83,MATCH("혼합제제(스테비아)",'🔖 배합비 참조'!$A$2:$A$83,0),MATCH($C250,'🔖 배합비 참조'!$B$1:$CE$1,0))/100,0),""))),"")</f>
        <v>0</v>
      </c>
      <c r="CG250" s="42" t="n">
        <f aca="false">IFERROR(IF($C250="","",IF($D250="","",IFERROR(ROUND($D250*INDEX('🔖 배합비 참조'!$B$2:$CE$83,MATCH("화이트초콜릿",'🔖 배합비 참조'!$A$2:$A$83,0),MATCH($C250,'🔖 배합비 참조'!$B$1:$CE$1,0))/100,0),""))),"")</f>
        <v>0</v>
      </c>
      <c r="CH250" s="42" t="n">
        <f aca="false">IFERROR(IF($C250="","",IF($D250="","",IFERROR(ROUND($D250*INDEX('🔖 배합비 참조'!$B$2:$CE$83,MATCH("흑미찹쌀(국내산)",'🔖 배합비 참조'!$A$2:$A$83,0),MATCH($C250,'🔖 배합비 참조'!$B$1:$CE$1,0))/100,0),""))),"")</f>
        <v>0</v>
      </c>
      <c r="CI250" s="42" t="n">
        <f aca="false">IFERROR(IF($C250="","",IF($D250="","",IFERROR(ROUND($D250*INDEX('🔖 배합비 참조'!$B$2:$CE$83,MATCH("찰옥수수전분(미국산)",'🔖 배합비 참조'!$A$2:$A$83,0),MATCH($C250,'🔖 배합비 참조'!$B$1:$CE$1,0))/100,0),""))),"")</f>
        <v>0</v>
      </c>
      <c r="CJ250" s="40"/>
      <c r="CL250" s="1" t="s">
        <v>247</v>
      </c>
    </row>
    <row r="251" customFormat="false" ht="18" hidden="false" customHeight="true" outlineLevel="0" collapsed="false">
      <c r="A251" s="35" t="n">
        <v>247</v>
      </c>
      <c r="B251" s="36" t="n">
        <v>46084</v>
      </c>
      <c r="C251" s="37" t="s">
        <v>174</v>
      </c>
      <c r="D251" s="38" t="n">
        <v>255</v>
      </c>
      <c r="E251" s="13"/>
      <c r="F251" s="13"/>
      <c r="G251" s="39" t="n">
        <f aca="false">IFERROR(IF($C251="","",IF($D251="","",IFERROR(ROUND($D251*INDEX('🔖 배합비 참조'!$B$2:$CE$83,MATCH("간장",'🔖 배합비 참조'!$A$2:$A$83,0),MATCH($C251,'🔖 배합비 참조'!$B$1:$CE$1,0))/100,0),""))),"")</f>
        <v>0</v>
      </c>
      <c r="H251" s="39" t="n">
        <f aca="false">IFERROR(IF($C251="","",IF($D251="","",IFERROR(ROUND($D251*INDEX('🔖 배합비 참조'!$B$2:$CE$83,MATCH("강낭콩((울타리콩))",'🔖 배합비 참조'!$A$2:$A$83,0),MATCH($C251,'🔖 배합비 참조'!$B$1:$CE$1,0))/100,0),""))),"")</f>
        <v>0</v>
      </c>
      <c r="I251" s="39" t="n">
        <f aca="false">IFERROR(IF($C251="","",IF($D251="","",IFERROR(ROUND($D251*INDEX('🔖 배합비 참조'!$B$2:$CE$83,MATCH("건조딸기다이스(외국산)",'🔖 배합비 참조'!$A$2:$A$83,0),MATCH($C251,'🔖 배합비 참조'!$B$1:$CE$1,0))/100,0),""))),"")</f>
        <v>0</v>
      </c>
      <c r="J251" s="39" t="n">
        <f aca="false">IFERROR(IF($C251="","",IF($D251="","",IFERROR(ROUND($D251*INDEX('🔖 배합비 참조'!$B$2:$CE$83,MATCH("건포도",'🔖 배합비 참조'!$A$2:$A$83,0),MATCH($C251,'🔖 배합비 참조'!$B$1:$CE$1,0))/100,0),""))),"")</f>
        <v>0</v>
      </c>
      <c r="K251" s="39" t="n">
        <f aca="false">IFERROR(IF($C251="","",IF($D251="","",IFERROR(ROUND($D251*INDEX('🔖 배합비 참조'!$B$2:$CE$83,MATCH("건호박채(중국산)",'🔖 배합비 참조'!$A$2:$A$83,0),MATCH($C251,'🔖 배합비 참조'!$B$1:$CE$1,0))/100,0),""))),"")</f>
        <v>0</v>
      </c>
      <c r="L251" s="39" t="n">
        <f aca="false">IFERROR(IF($C251="","",IF($D251="","",IFERROR(ROUND($D251*INDEX('🔖 배합비 참조'!$B$2:$CE$83,MATCH("검정깨(흑임자)",'🔖 배합비 참조'!$A$2:$A$83,0),MATCH($C251,'🔖 배합비 참조'!$B$1:$CE$1,0))/100,0),""))),"")</f>
        <v>0</v>
      </c>
      <c r="M251" s="39" t="n">
        <f aca="false">IFERROR(IF($C251="","",IF($D251="","",IFERROR(ROUND($D251*INDEX('🔖 배합비 참조'!$B$2:$CE$83,MATCH("검정콩",'🔖 배합비 참조'!$A$2:$A$83,0),MATCH($C251,'🔖 배합비 참조'!$B$1:$CE$1,0))/100,0),""))),"")</f>
        <v>0</v>
      </c>
      <c r="N251" s="39" t="n">
        <f aca="false">IFERROR(IF($C251="","",IF($D251="","",IFERROR(ROUND($D251*INDEX('🔖 배합비 참조'!$B$2:$CE$83,MATCH("계피가루",'🔖 배합비 참조'!$A$2:$A$83,0),MATCH($C251,'🔖 배합비 참조'!$B$1:$CE$1,0))/100,0),""))),"")</f>
        <v>0</v>
      </c>
      <c r="O251" s="39" t="n">
        <f aca="false">IFERROR(IF($C251="","",IF($D251="","",IFERROR(ROUND($D251*INDEX('🔖 배합비 참조'!$B$2:$CE$83,MATCH("고구마가루",'🔖 배합비 참조'!$A$2:$A$83,0),MATCH($C251,'🔖 배합비 참조'!$B$1:$CE$1,0))/100,0),""))),"")</f>
        <v>0</v>
      </c>
      <c r="P251" s="39" t="n">
        <f aca="false">IFERROR(IF($C251="","",IF($D251="","",IFERROR(ROUND($D251*INDEX('🔖 배합비 참조'!$B$2:$CE$83,MATCH("고구마무스",'🔖 배합비 참조'!$A$2:$A$83,0),MATCH($C251,'🔖 배합비 참조'!$B$1:$CE$1,0))/100,0),""))),"")</f>
        <v>0</v>
      </c>
      <c r="Q251" s="39" t="n">
        <f aca="false">IFERROR(IF($C251="","",IF($D251="","",IFERROR(ROUND($D251*INDEX('🔖 배합비 참조'!$B$2:$CE$83,MATCH("고려엉겅퀴((곤드레)국내산)",'🔖 배합비 참조'!$A$2:$A$83,0),MATCH($C251,'🔖 배합비 참조'!$B$1:$CE$1,0))/100,0),""))),"")</f>
        <v>0</v>
      </c>
      <c r="R251" s="39" t="n">
        <f aca="false">IFERROR(IF($C251="","",IF($D251="","",IFERROR(ROUND($D251*INDEX('🔖 배합비 참조'!$B$2:$CE$83,MATCH("기타가공품(복분자가루)",'🔖 배합비 참조'!$A$2:$A$83,0),MATCH($C251,'🔖 배합비 참조'!$B$1:$CE$1,0))/100,0),""))),"")</f>
        <v>0</v>
      </c>
      <c r="S251" s="39" t="n">
        <f aca="false">IFERROR(IF($C251="","",IF($D251="","",IFERROR(ROUND($D251*INDEX('🔖 배합비 참조'!$B$2:$CE$83,MATCH("기타가공품(슈퍼소프트엠)",'🔖 배합비 참조'!$A$2:$A$83,0),MATCH($C251,'🔖 배합비 참조'!$B$1:$CE$1,0))/100,0),""))),"")</f>
        <v>0</v>
      </c>
      <c r="T251" s="39" t="n">
        <f aca="false">IFERROR(IF($C251="","",IF($D251="","",IFERROR(ROUND($D251*INDEX('🔖 배합비 참조'!$B$2:$CE$83,MATCH("기타가공품(파인소프트 E-티)",'🔖 배합비 참조'!$A$2:$A$83,0),MATCH($C251,'🔖 배합비 참조'!$B$1:$CE$1,0))/100,0),""))),"")</f>
        <v>0</v>
      </c>
      <c r="U251" s="39" t="n">
        <f aca="false">IFERROR(IF($C251="","",IF($D251="","",IFERROR(ROUND($D251*INDEX('🔖 배합비 참조'!$B$2:$CE$83,MATCH("기타가공품(프리미엄카스테라가루)",'🔖 배합비 참조'!$A$2:$A$83,0),MATCH($C251,'🔖 배합비 참조'!$B$1:$CE$1,0))/100,0),""))),"")</f>
        <v>0</v>
      </c>
      <c r="V251" s="39" t="n">
        <f aca="false">IFERROR(IF($C251="","",IF($D251="","",IFERROR(ROUND($D251*INDEX('🔖 배합비 참조'!$B$2:$CE$83,MATCH("기타가공품(흑임자가루)",'🔖 배합비 참조'!$A$2:$A$83,0),MATCH($C251,'🔖 배합비 참조'!$B$1:$CE$1,0))/100,0),""))),"")</f>
        <v>0</v>
      </c>
      <c r="W251" s="39" t="n">
        <f aca="false">IFERROR(IF($C251="","",IF($D251="","",IFERROR(ROUND($D251*INDEX('🔖 배합비 참조'!$B$2:$CE$83,MATCH("기타설탕(흑설탕)",'🔖 배합비 참조'!$A$2:$A$83,0),MATCH($C251,'🔖 배합비 참조'!$B$1:$CE$1,0))/100,0),""))),"")</f>
        <v>0</v>
      </c>
      <c r="X251" s="39" t="n">
        <f aca="false">IFERROR(IF($C251="","",IF($D251="","",IFERROR(ROUND($D251*INDEX('🔖 배합비 참조'!$B$2:$CE$83,MATCH("냉동쑥(국내산)",'🔖 배합비 참조'!$A$2:$A$83,0),MATCH($C251,'🔖 배합비 참조'!$B$1:$CE$1,0))/100,0),""))),"")</f>
        <v>31</v>
      </c>
      <c r="Y251" s="39" t="n">
        <f aca="false">IFERROR(IF($C251="","",IF($D251="","",IFERROR(ROUND($D251*INDEX('🔖 배합비 참조'!$B$2:$CE$83,MATCH("냉동증숙고구마(중국산)",'🔖 배합비 참조'!$A$2:$A$83,0),MATCH($C251,'🔖 배합비 참조'!$B$1:$CE$1,0))/100,0),""))),"")</f>
        <v>0</v>
      </c>
      <c r="Z251" s="39" t="n">
        <f aca="false">IFERROR(IF($C251="","",IF($D251="","",IFERROR(ROUND($D251*INDEX('🔖 배합비 참조'!$B$2:$CE$83,MATCH("녹차가루",'🔖 배합비 참조'!$A$2:$A$83,0),MATCH($C251,'🔖 배합비 참조'!$B$1:$CE$1,0))/100,0),""))),"")</f>
        <v>0</v>
      </c>
      <c r="AA251" s="39" t="n">
        <f aca="false">IFERROR(IF($C251="","",IF($D251="","",IFERROR(ROUND($D251*INDEX('🔖 배합비 참조'!$B$2:$CE$83,MATCH("다크초콜릿 컴파운드칩",'🔖 배합비 참조'!$A$2:$A$83,0),MATCH($C251,'🔖 배합비 참조'!$B$1:$CE$1,0))/100,0),""))),"")</f>
        <v>0</v>
      </c>
      <c r="AB251" s="39" t="n">
        <f aca="false">IFERROR(IF($C251="","",IF($D251="","",IFERROR(ROUND($D251*INDEX('🔖 배합비 참조'!$B$2:$CE$83,MATCH("단호박분말(중국산)",'🔖 배합비 참조'!$A$2:$A$83,0),MATCH($C251,'🔖 배합비 참조'!$B$1:$CE$1,0))/100,0),""))),"")</f>
        <v>0</v>
      </c>
      <c r="AC251" s="39" t="n">
        <f aca="false">IFERROR(IF($C251="","",IF($D251="","",IFERROR(ROUND($D251*INDEX('🔖 배합비 참조'!$B$2:$CE$83,MATCH("당류가공품(단호박농축액)",'🔖 배합비 참조'!$A$2:$A$83,0),MATCH($C251,'🔖 배합비 참조'!$B$1:$CE$1,0))/100,0),""))),"")</f>
        <v>0</v>
      </c>
      <c r="AD251" s="39" t="n">
        <f aca="false">IFERROR(IF($C251="","",IF($D251="","",IFERROR(ROUND($D251*INDEX('🔖 배합비 참조'!$B$2:$CE$83,MATCH("당류가공품(알룰로스,에리스리톨,스테비올배당체혼합)",'🔖 배합비 참조'!$A$2:$A$83,0),MATCH($C251,'🔖 배합비 참조'!$B$1:$CE$1,0))/100,0),""))),"")</f>
        <v>0</v>
      </c>
      <c r="AE251" s="39" t="n">
        <f aca="false">IFERROR(IF($C251="","",IF($D251="","",IFERROR(ROUND($D251*INDEX('🔖 배합비 참조'!$B$2:$CE$83,MATCH("당류가공품(알룰로스제로파우더)",'🔖 배합비 참조'!$A$2:$A$83,0),MATCH($C251,'🔖 배합비 참조'!$B$1:$CE$1,0))/100,0),""))),"")</f>
        <v>0</v>
      </c>
      <c r="AF251" s="39" t="n">
        <f aca="false">IFERROR(IF($C251="","",IF($D251="","",IFERROR(ROUND($D251*INDEX('🔖 배합비 참조'!$B$2:$CE$83,MATCH("당절임(완두배기)",'🔖 배합비 참조'!$A$2:$A$83,0),MATCH($C251,'🔖 배합비 참조'!$B$1:$CE$1,0))/100,0),""))),"")</f>
        <v>0</v>
      </c>
      <c r="AG251" s="39" t="n">
        <f aca="false">IFERROR(IF($C251="","",IF($D251="","",IFERROR(ROUND($D251*INDEX('🔖 배합비 참조'!$B$2:$CE$83,MATCH("대추농축액",'🔖 배합비 참조'!$A$2:$A$83,0),MATCH($C251,'🔖 배합비 참조'!$B$1:$CE$1,0))/100,0),""))),"")</f>
        <v>0</v>
      </c>
      <c r="AH251" s="39" t="n">
        <f aca="false">IFERROR(IF($C251="","",IF($D251="","",IFERROR(ROUND($D251*INDEX('🔖 배합비 참조'!$B$2:$CE$83,MATCH("대추채(국내산)",'🔖 배합비 참조'!$A$2:$A$83,0),MATCH($C251,'🔖 배합비 참조'!$B$1:$CE$1,0))/100,0),""))),"")</f>
        <v>0</v>
      </c>
      <c r="AI251" s="39" t="n">
        <f aca="false">IFERROR(IF($C251="","",IF($D251="","",IFERROR(ROUND($D251*INDEX('🔖 배합비 참조'!$B$2:$CE$83,MATCH("동부(미얀마산)",'🔖 배합비 참조'!$A$2:$A$83,0),MATCH($C251,'🔖 배합비 참조'!$B$1:$CE$1,0))/100,0),""))),"")</f>
        <v>0</v>
      </c>
      <c r="AJ251" s="39" t="n">
        <f aca="false">IFERROR(IF($C251="","",IF($D251="","",IFERROR(ROUND($D251*INDEX('🔖 배합비 참조'!$B$2:$CE$83,MATCH("두류가공품(백옥앙금)",'🔖 배합비 참조'!$A$2:$A$83,0),MATCH($C251,'🔖 배합비 참조'!$B$1:$CE$1,0))/100,0),""))),"")</f>
        <v>0</v>
      </c>
      <c r="AK251" s="39" t="n">
        <f aca="false">IFERROR(IF($C251="","",IF($D251="","",IFERROR(ROUND($D251*INDEX('🔖 배합비 참조'!$B$2:$CE$83,MATCH("두류가공품(콩고물)",'🔖 배합비 참조'!$A$2:$A$83,0),MATCH($C251,'🔖 배합비 참조'!$B$1:$CE$1,0))/100,0),""))),"")</f>
        <v>0</v>
      </c>
      <c r="AL251" s="39" t="n">
        <f aca="false">IFERROR(IF($C251="","",IF($D251="","",IFERROR(ROUND($D251*INDEX('🔖 배합비 참조'!$B$2:$CE$83,MATCH("두류가공품(통팥고물)",'🔖 배합비 참조'!$A$2:$A$83,0),MATCH($C251,'🔖 배합비 참조'!$B$1:$CE$1,0))/100,0),""))),"")</f>
        <v>0</v>
      </c>
      <c r="AM251" s="39" t="n">
        <f aca="false">IFERROR(IF($C251="","",IF($D251="","",IFERROR(ROUND($D251*INDEX('🔖 배합비 참조'!$B$2:$CE$83,MATCH("딸기레진",'🔖 배합비 참조'!$A$2:$A$83,0),MATCH($C251,'🔖 배합비 참조'!$B$1:$CE$1,0))/100,0),""))),"")</f>
        <v>0</v>
      </c>
      <c r="AN251" s="39" t="n">
        <f aca="false">IFERROR(IF($C251="","",IF($D251="","",IFERROR(ROUND($D251*INDEX('🔖 배합비 참조'!$B$2:$CE$83,MATCH("딸기분말(스트로우베리에이드(분말))",'🔖 배합비 참조'!$A$2:$A$83,0),MATCH($C251,'🔖 배합비 참조'!$B$1:$CE$1,0))/100,0),""))),"")</f>
        <v>0</v>
      </c>
      <c r="AO251" s="39" t="n">
        <f aca="false">IFERROR(IF($C251="","",IF($D251="","",IFERROR(ROUND($D251*INDEX('🔖 배합비 참조'!$B$2:$CE$83,MATCH("마스카포네치즈",'🔖 배합비 참조'!$A$2:$A$83,0),MATCH($C251,'🔖 배합비 참조'!$B$1:$CE$1,0))/100,0),""))),"")</f>
        <v>0</v>
      </c>
      <c r="AP251" s="39" t="n">
        <f aca="false">IFERROR(IF($C251="","",IF($D251="","",IFERROR(ROUND($D251*INDEX('🔖 배합비 참조'!$B$2:$CE$83,MATCH("마카다미아분태(호주산)",'🔖 배합비 참조'!$A$2:$A$83,0),MATCH($C251,'🔖 배합비 참조'!$B$1:$CE$1,0))/100,0),""))),"")</f>
        <v>0</v>
      </c>
      <c r="AQ251" s="39" t="n">
        <f aca="false">IFERROR(IF($C251="","",IF($D251="","",IFERROR(ROUND($D251*INDEX('🔖 배합비 참조'!$B$2:$CE$83,MATCH("멥쌀(국내산)",'🔖 배합비 참조'!$A$2:$A$83,0),MATCH($C251,'🔖 배합비 참조'!$B$1:$CE$1,0))/100,0),""))),"")</f>
        <v>123</v>
      </c>
      <c r="AR251" s="39" t="n">
        <f aca="false">IFERROR(IF($C251="","",IF($D251="","",IFERROR(ROUND($D251*INDEX('🔖 배합비 참조'!$B$2:$CE$83,MATCH("모시잎(국내산)",'🔖 배합비 참조'!$A$2:$A$83,0),MATCH($C251,'🔖 배합비 참조'!$B$1:$CE$1,0))/100,0),""))),"")</f>
        <v>0</v>
      </c>
      <c r="AS251" s="39" t="n">
        <f aca="false">IFERROR(IF($C251="","",IF($D251="","",IFERROR(ROUND($D251*INDEX('🔖 배합비 참조'!$B$2:$CE$83,MATCH("물엿(저당물엿)",'🔖 배합비 참조'!$A$2:$A$83,0),MATCH($C251,'🔖 배합비 참조'!$B$1:$CE$1,0))/100,0),""))),"")</f>
        <v>5</v>
      </c>
      <c r="AT251" s="39" t="n">
        <f aca="false">IFERROR(IF($C251="","",IF($D251="","",IFERROR(ROUND($D251*INDEX('🔖 배합비 참조'!$B$2:$CE$83,MATCH("밤다이스",'🔖 배합비 참조'!$A$2:$A$83,0),MATCH($C251,'🔖 배합비 참조'!$B$1:$CE$1,0))/100,0),""))),"")</f>
        <v>0</v>
      </c>
      <c r="AU251" s="39" t="n">
        <f aca="false">IFERROR(IF($C251="","",IF($D251="","",IFERROR(ROUND($D251*INDEX('🔖 배합비 참조'!$B$2:$CE$83,MATCH("변성전분(타피오카전분)",'🔖 배합비 참조'!$A$2:$A$83,0),MATCH($C251,'🔖 배합비 참조'!$B$1:$CE$1,0))/100,0),""))),"")</f>
        <v>3</v>
      </c>
      <c r="AV251" s="39" t="n">
        <f aca="false">IFERROR(IF($C251="","",IF($D251="","",IFERROR(ROUND($D251*INDEX('🔖 배합비 참조'!$B$2:$CE$83,MATCH("복음땅콩분태",'🔖 배합비 참조'!$A$2:$A$83,0),MATCH($C251,'🔖 배합비 참조'!$B$1:$CE$1,0))/100,0),""))),"")</f>
        <v>0</v>
      </c>
      <c r="AW251" s="39" t="n">
        <f aca="false">IFERROR(IF($C251="","",IF($D251="","",IFERROR(ROUND($D251*INDEX('🔖 배합비 참조'!$B$2:$CE$83,MATCH("사양벌꿀(국내산)",'🔖 배합비 참조'!$A$2:$A$83,0),MATCH($C251,'🔖 배합비 참조'!$B$1:$CE$1,0))/100,0),""))),"")</f>
        <v>0</v>
      </c>
      <c r="AX251" s="39" t="n">
        <f aca="false">IFERROR(IF($C251="","",IF($D251="","",IFERROR(ROUND($D251*INDEX('🔖 배합비 참조'!$B$2:$CE$83,MATCH("생크림",'🔖 배합비 참조'!$A$2:$A$83,0),MATCH($C251,'🔖 배합비 참조'!$B$1:$CE$1,0))/100,0),""))),"")</f>
        <v>0</v>
      </c>
      <c r="AY251" s="39" t="n">
        <f aca="false">IFERROR(IF($C251="","",IF($D251="","",IFERROR(ROUND($D251*INDEX('🔖 배합비 참조'!$B$2:$CE$83,MATCH("서양호박(국내산,뉴질랜드산)",'🔖 배합비 참조'!$A$2:$A$83,0),MATCH($C251,'🔖 배합비 참조'!$B$1:$CE$1,0))/100,0),""))),"")</f>
        <v>0</v>
      </c>
      <c r="AZ251" s="39" t="n">
        <f aca="false">IFERROR(IF($C251="","",IF($D251="","",IFERROR(ROUND($D251*INDEX('🔖 배합비 참조'!$B$2:$CE$83,MATCH("설탕",'🔖 배합비 참조'!$A$2:$A$83,0),MATCH($C251,'🔖 배합비 참조'!$B$1:$CE$1,0))/100,0),""))),"")</f>
        <v>0</v>
      </c>
      <c r="BA251" s="39" t="n">
        <f aca="false">IFERROR(IF($C251="","",IF($D251="","",IFERROR(ROUND($D251*INDEX('🔖 배합비 참조'!$B$2:$CE$83,MATCH("스트로우베리 에이드 후레쉬",'🔖 배합비 참조'!$A$2:$A$83,0),MATCH($C251,'🔖 배합비 참조'!$B$1:$CE$1,0))/100,0),""))),"")</f>
        <v>0</v>
      </c>
      <c r="BB251" s="39" t="n">
        <f aca="false">IFERROR(IF($C251="","",IF($D251="","",IFERROR(ROUND($D251*INDEX('🔖 배합비 참조'!$B$2:$CE$83,MATCH("식물성기름혼합제제(분홍)",'🔖 배합비 참조'!$A$2:$A$83,0),MATCH($C251,'🔖 배합비 참조'!$B$1:$CE$1,0))/100,0),""))),"")</f>
        <v>0</v>
      </c>
      <c r="BC251" s="39" t="n">
        <f aca="false">IFERROR(IF($C251="","",IF($D251="","",IFERROR(ROUND($D251*INDEX('🔖 배합비 참조'!$B$2:$CE$83,MATCH("식물성기름혼합제제(초록)",'🔖 배합비 참조'!$A$2:$A$83,0),MATCH($C251,'🔖 배합비 참조'!$B$1:$CE$1,0))/100,0),""))),"")</f>
        <v>0</v>
      </c>
      <c r="BD251" s="39" t="n">
        <f aca="false">IFERROR(IF($C251="","",IF($D251="","",IFERROR(ROUND($D251*INDEX('🔖 배합비 참조'!$B$2:$CE$83,MATCH("식물성기름혼합제제(황색)",'🔖 배합비 참조'!$A$2:$A$83,0),MATCH($C251,'🔖 배합비 참조'!$B$1:$CE$1,0))/100,0),""))),"")</f>
        <v>0</v>
      </c>
      <c r="BE251" s="39" t="n">
        <f aca="false">IFERROR(IF($C251="","",IF($D251="","",IFERROR(ROUND($D251*INDEX('🔖 배합비 참조'!$B$2:$CE$83,MATCH("쑥가루(국내산)",'🔖 배합비 참조'!$A$2:$A$83,0),MATCH($C251,'🔖 배합비 참조'!$B$1:$CE$1,0))/100,0),""))),"")</f>
        <v>2</v>
      </c>
      <c r="BF251" s="39" t="n">
        <f aca="false">IFERROR(IF($C251="","",IF($D251="","",IFERROR(ROUND($D251*INDEX('🔖 배합비 참조'!$B$2:$CE$83,MATCH("아몬드슬라이스",'🔖 배합비 참조'!$A$2:$A$83,0),MATCH($C251,'🔖 배합비 참조'!$B$1:$CE$1,0))/100,0),""))),"")</f>
        <v>0</v>
      </c>
      <c r="BG251" s="39" t="n">
        <f aca="false">IFERROR(IF($C251="","",IF($D251="","",IFERROR(ROUND($D251*INDEX('🔖 배합비 참조'!$B$2:$CE$83,MATCH("알룰로오스(국내산)",'🔖 배합비 참조'!$A$2:$A$83,0),MATCH($C251,'🔖 배합비 참조'!$B$1:$CE$1,0))/100,0),""))),"")</f>
        <v>0</v>
      </c>
      <c r="BH251" s="39" t="n">
        <f aca="false">IFERROR(IF($C251="","",IF($D251="","",IFERROR(ROUND($D251*INDEX('🔖 배합비 참조'!$B$2:$CE$83,MATCH("연유",'🔖 배합비 참조'!$A$2:$A$83,0),MATCH($C251,'🔖 배합비 참조'!$B$1:$CE$1,0))/100,0),""))),"")</f>
        <v>0</v>
      </c>
      <c r="BI251" s="39" t="n">
        <f aca="false">IFERROR(IF($C251="","",IF($D251="","",IFERROR(ROUND($D251*INDEX('🔖 배합비 참조'!$B$2:$CE$83,MATCH("옥수수전분",'🔖 배합비 참조'!$A$2:$A$83,0),MATCH($C251,'🔖 배합비 참조'!$B$1:$CE$1,0))/100,0),""))),"")</f>
        <v>0</v>
      </c>
      <c r="BJ251" s="39" t="n">
        <f aca="false">IFERROR(IF($C251="","",IF($D251="","",IFERROR(ROUND($D251*INDEX('🔖 배합비 참조'!$B$2:$CE$83,MATCH("완두배기",'🔖 배합비 참조'!$A$2:$A$83,0),MATCH($C251,'🔖 배합비 참조'!$B$1:$CE$1,0))/100,0),""))),"")</f>
        <v>0</v>
      </c>
      <c r="BK251" s="39" t="n">
        <f aca="false">IFERROR(IF($C251="","",IF($D251="","",IFERROR(ROUND($D251*INDEX('🔖 배합비 참조'!$B$2:$CE$83,MATCH("우유(국내산)",'🔖 배합비 참조'!$A$2:$A$83,0),MATCH($C251,'🔖 배합비 참조'!$B$1:$CE$1,0))/100,0),""))),"")</f>
        <v>0</v>
      </c>
      <c r="BL251" s="39" t="n">
        <f aca="false">IFERROR(IF($C251="","",IF($D251="","",IFERROR(ROUND($D251*INDEX('🔖 배합비 참조'!$B$2:$CE$83,MATCH("자색고구마가루(중국산)",'🔖 배합비 참조'!$A$2:$A$83,0),MATCH($C251,'🔖 배합비 참조'!$B$1:$CE$1,0))/100,0),""))),"")</f>
        <v>0</v>
      </c>
      <c r="BM251" s="39" t="n">
        <f aca="false">IFERROR(IF($C251="","",IF($D251="","",IFERROR(ROUND($D251*INDEX('🔖 배합비 참조'!$B$2:$CE$83,MATCH("자연치즈(체다치즈)",'🔖 배합비 참조'!$A$2:$A$83,0),MATCH($C251,'🔖 배합비 참조'!$B$1:$CE$1,0))/100,0),""))),"")</f>
        <v>0</v>
      </c>
      <c r="BN251" s="39" t="n">
        <f aca="false">IFERROR(IF($C251="","",IF($D251="","",IFERROR(ROUND($D251*INDEX('🔖 배합비 참조'!$B$2:$CE$83,MATCH("정제수",'🔖 배합비 참조'!$A$2:$A$83,0),MATCH($C251,'🔖 배합비 참조'!$B$1:$CE$1,0))/100,0),""))),"")</f>
        <v>85</v>
      </c>
      <c r="BO251" s="39" t="n">
        <f aca="false">IFERROR(IF($C251="","",IF($D251="","",IFERROR(ROUND($D251*INDEX('🔖 배합비 참조'!$B$2:$CE$83,MATCH("젤라틴",'🔖 배합비 참조'!$A$2:$A$83,0),MATCH($C251,'🔖 배합비 참조'!$B$1:$CE$1,0))/100,0),""))),"")</f>
        <v>0</v>
      </c>
      <c r="BP251" s="39" t="n">
        <f aca="false">IFERROR(IF($C251="","",IF($D251="","",IFERROR(ROUND($D251*INDEX('🔖 배합비 참조'!$B$2:$CE$83,MATCH("조림류(백옥앙금)",'🔖 배합비 참조'!$A$2:$A$83,0),MATCH($C251,'🔖 배합비 참조'!$B$1:$CE$1,0))/100,0),""))),"")</f>
        <v>0</v>
      </c>
      <c r="BQ251" s="39" t="n">
        <f aca="false">IFERROR(IF($C251="","",IF($D251="","",IFERROR(ROUND($D251*INDEX('🔖 배합비 참조'!$B$2:$CE$83,MATCH("조림류(통팥앙금)",'🔖 배합비 참조'!$A$2:$A$83,0),MATCH($C251,'🔖 배합비 참조'!$B$1:$CE$1,0))/100,0),""))),"")</f>
        <v>0</v>
      </c>
      <c r="BR251" s="39" t="n">
        <f aca="false">IFERROR(IF($C251="","",IF($D251="","",IFERROR(ROUND($D251*INDEX('🔖 배합비 참조'!$B$2:$CE$83,MATCH("준초콜릿(외국산)",'🔖 배합비 참조'!$A$2:$A$83,0),MATCH($C251,'🔖 배합비 참조'!$B$1:$CE$1,0))/100,0),""))),"")</f>
        <v>0</v>
      </c>
      <c r="BS251" s="39" t="n">
        <f aca="false">IFERROR(IF($C251="","",IF($D251="","",IFERROR(ROUND($D251*INDEX('🔖 배합비 참조'!$B$2:$CE$83,MATCH("중력분",'🔖 배합비 참조'!$A$2:$A$83,0),MATCH($C251,'🔖 배합비 참조'!$B$1:$CE$1,0))/100,0),""))),"")</f>
        <v>0</v>
      </c>
      <c r="BT251" s="39" t="n">
        <f aca="false">IFERROR(IF($C251="","",IF($D251="","",IFERROR(ROUND($D251*INDEX('🔖 배합비 참조'!$B$2:$CE$83,MATCH("참깨(인도산,나이지리아산,탄자니아산,미얀마산)",'🔖 배합비 참조'!$A$2:$A$83,0),MATCH($C251,'🔖 배합비 참조'!$B$1:$CE$1,0))/100,0),""))),"")</f>
        <v>0</v>
      </c>
      <c r="BU251" s="39" t="n">
        <f aca="false">IFERROR(IF($C251="","",IF($D251="","",IFERROR(ROUND($D251*INDEX('🔖 배합비 참조'!$B$2:$CE$83,MATCH("찹쌀(국내산)",'🔖 배합비 참조'!$A$2:$A$83,0),MATCH($C251,'🔖 배합비 참조'!$B$1:$CE$1,0))/100,0),""))),"")</f>
        <v>0</v>
      </c>
      <c r="BV251" s="39" t="n">
        <f aca="false">IFERROR(IF($C251="","",IF($D251="","",IFERROR(ROUND($D251*INDEX('🔖 배합비 참조'!$B$2:$CE$83,MATCH("천일염",'🔖 배합비 참조'!$A$2:$A$83,0),MATCH($C251,'🔖 배합비 참조'!$B$1:$CE$1,0))/100,0),""))),"")</f>
        <v>2</v>
      </c>
      <c r="BW251" s="39" t="n">
        <f aca="false">IFERROR(IF($C251="","",IF($D251="","",IFERROR(ROUND($D251*INDEX('🔖 배합비 참조'!$B$2:$CE$83,MATCH("치즈 [크림치즈]",'🔖 배합비 참조'!$A$2:$A$83,0),MATCH($C251,'🔖 배합비 참조'!$B$1:$CE$1,0))/100,0),""))),"")</f>
        <v>0</v>
      </c>
      <c r="BX251" s="39" t="n">
        <f aca="false">IFERROR(IF($C251="","",IF($D251="","",IFERROR(ROUND($D251*INDEX('🔖 배합비 참조'!$B$2:$CE$83,MATCH("코코아가공품류(코코아분말)",'🔖 배합비 참조'!$A$2:$A$83,0),MATCH($C251,'🔖 배합비 참조'!$B$1:$CE$1,0))/100,0),""))),"")</f>
        <v>0</v>
      </c>
      <c r="BY251" s="39" t="n">
        <f aca="false">IFERROR(IF($C251="","",IF($D251="","",IFERROR(ROUND($D251*INDEX('🔖 배합비 참조'!$B$2:$CE$83,MATCH("콩기름(대두유)",'🔖 배합비 참조'!$A$2:$A$83,0),MATCH($C251,'🔖 배합비 참조'!$B$1:$CE$1,0))/100,0),""))),"")</f>
        <v>3</v>
      </c>
      <c r="BZ251" s="39" t="n">
        <f aca="false">IFERROR(IF($C251="","",IF($D251="","",IFERROR(ROUND($D251*INDEX('🔖 배합비 참조'!$B$2:$CE$83,MATCH("해바라기씨앗",'🔖 배합비 참조'!$A$2:$A$83,0),MATCH($C251,'🔖 배합비 참조'!$B$1:$CE$1,0))/100,0),""))),"")</f>
        <v>0</v>
      </c>
      <c r="CA251" s="39" t="n">
        <f aca="false">IFERROR(IF($C251="","",IF($D251="","",IFERROR(ROUND($D251*INDEX('🔖 배합비 참조'!$B$2:$CE$83,MATCH("현미(국내산)",'🔖 배합비 참조'!$A$2:$A$83,0),MATCH($C251,'🔖 배합비 참조'!$B$1:$CE$1,0))/100,0),""))),"")</f>
        <v>0</v>
      </c>
      <c r="CB251" s="39" t="n">
        <f aca="false">IFERROR(IF($C251="","",IF($D251="","",IFERROR(ROUND($D251*INDEX('🔖 배합비 참조'!$B$2:$CE$83,MATCH("현미멥쌀(국내산)",'🔖 배합비 참조'!$A$2:$A$83,0),MATCH($C251,'🔖 배합비 참조'!$B$1:$CE$1,0))/100,0),""))),"")</f>
        <v>0</v>
      </c>
      <c r="CC251" s="39" t="n">
        <f aca="false">IFERROR(IF($C251="","",IF($D251="","",IFERROR(ROUND($D251*INDEX('🔖 배합비 참조'!$B$2:$CE$83,MATCH("호두분태(미국산)",'🔖 배합비 참조'!$A$2:$A$83,0),MATCH($C251,'🔖 배합비 참조'!$B$1:$CE$1,0))/100,0),""))),"")</f>
        <v>0</v>
      </c>
      <c r="CD251" s="39" t="n">
        <f aca="false">IFERROR(IF($C251="","",IF($D251="","",IFERROR(ROUND($D251*INDEX('🔖 배합비 참조'!$B$2:$CE$83,MATCH("호박씨앗(외국산)",'🔖 배합비 참조'!$A$2:$A$83,0),MATCH($C251,'🔖 배합비 참조'!$B$1:$CE$1,0))/100,0),""))),"")</f>
        <v>0</v>
      </c>
      <c r="CE251" s="39" t="n">
        <f aca="false">IFERROR(IF($C251="","",IF($D251="","",IFERROR(ROUND($D251*INDEX('🔖 배합비 참조'!$B$2:$CE$83,MATCH("혼합제제(떡용에스텔)",'🔖 배합비 참조'!$A$2:$A$83,0),MATCH($C251,'🔖 배합비 참조'!$B$1:$CE$1,0))/100,0),""))),"")</f>
        <v>0</v>
      </c>
      <c r="CF251" s="39" t="n">
        <f aca="false">IFERROR(IF($C251="","",IF($D251="","",IFERROR(ROUND($D251*INDEX('🔖 배합비 참조'!$B$2:$CE$83,MATCH("혼합제제(스테비아)",'🔖 배합비 참조'!$A$2:$A$83,0),MATCH($C251,'🔖 배합비 참조'!$B$1:$CE$1,0))/100,0),""))),"")</f>
        <v>0</v>
      </c>
      <c r="CG251" s="39" t="n">
        <f aca="false">IFERROR(IF($C251="","",IF($D251="","",IFERROR(ROUND($D251*INDEX('🔖 배합비 참조'!$B$2:$CE$83,MATCH("화이트초콜릿",'🔖 배합비 참조'!$A$2:$A$83,0),MATCH($C251,'🔖 배합비 참조'!$B$1:$CE$1,0))/100,0),""))),"")</f>
        <v>0</v>
      </c>
      <c r="CH251" s="39" t="n">
        <f aca="false">IFERROR(IF($C251="","",IF($D251="","",IFERROR(ROUND($D251*INDEX('🔖 배합비 참조'!$B$2:$CE$83,MATCH("흑미찹쌀(국내산)",'🔖 배합비 참조'!$A$2:$A$83,0),MATCH($C251,'🔖 배합비 참조'!$B$1:$CE$1,0))/100,0),""))),"")</f>
        <v>0</v>
      </c>
      <c r="CI251" s="39" t="n">
        <f aca="false">IFERROR(IF($C251="","",IF($D251="","",IFERROR(ROUND($D251*INDEX('🔖 배합비 참조'!$B$2:$CE$83,MATCH("찰옥수수전분(미국산)",'🔖 배합비 참조'!$A$2:$A$83,0),MATCH($C251,'🔖 배합비 참조'!$B$1:$CE$1,0))/100,0),""))),"")</f>
        <v>0</v>
      </c>
      <c r="CJ251" s="40"/>
      <c r="CL251" s="1" t="s">
        <v>248</v>
      </c>
    </row>
    <row r="252" customFormat="false" ht="18" hidden="false" customHeight="true" outlineLevel="0" collapsed="false">
      <c r="A252" s="41" t="n">
        <v>248</v>
      </c>
      <c r="B252" s="36" t="n">
        <v>46084</v>
      </c>
      <c r="C252" s="37" t="s">
        <v>191</v>
      </c>
      <c r="D252" s="38" t="n">
        <v>880</v>
      </c>
      <c r="E252" s="17"/>
      <c r="F252" s="17"/>
      <c r="G252" s="42" t="n">
        <f aca="false">IFERROR(IF($C252="","",IF($D252="","",IFERROR(ROUND($D252*INDEX('🔖 배합비 참조'!$B$2:$CE$83,MATCH("간장",'🔖 배합비 참조'!$A$2:$A$83,0),MATCH($C252,'🔖 배합비 참조'!$B$1:$CE$1,0))/100,0),""))),"")</f>
        <v>0</v>
      </c>
      <c r="H252" s="42" t="n">
        <f aca="false">IFERROR(IF($C252="","",IF($D252="","",IFERROR(ROUND($D252*INDEX('🔖 배합비 참조'!$B$2:$CE$83,MATCH("강낭콩((울타리콩))",'🔖 배합비 참조'!$A$2:$A$83,0),MATCH($C252,'🔖 배합비 참조'!$B$1:$CE$1,0))/100,0),""))),"")</f>
        <v>0</v>
      </c>
      <c r="I252" s="42" t="n">
        <f aca="false">IFERROR(IF($C252="","",IF($D252="","",IFERROR(ROUND($D252*INDEX('🔖 배합비 참조'!$B$2:$CE$83,MATCH("건조딸기다이스(외국산)",'🔖 배합비 참조'!$A$2:$A$83,0),MATCH($C252,'🔖 배합비 참조'!$B$1:$CE$1,0))/100,0),""))),"")</f>
        <v>0</v>
      </c>
      <c r="J252" s="42" t="n">
        <f aca="false">IFERROR(IF($C252="","",IF($D252="","",IFERROR(ROUND($D252*INDEX('🔖 배합비 참조'!$B$2:$CE$83,MATCH("건포도",'🔖 배합비 참조'!$A$2:$A$83,0),MATCH($C252,'🔖 배합비 참조'!$B$1:$CE$1,0))/100,0),""))),"")</f>
        <v>0</v>
      </c>
      <c r="K252" s="42" t="n">
        <f aca="false">IFERROR(IF($C252="","",IF($D252="","",IFERROR(ROUND($D252*INDEX('🔖 배합비 참조'!$B$2:$CE$83,MATCH("건호박채(중국산)",'🔖 배합비 참조'!$A$2:$A$83,0),MATCH($C252,'🔖 배합비 참조'!$B$1:$CE$1,0))/100,0),""))),"")</f>
        <v>0</v>
      </c>
      <c r="L252" s="42" t="n">
        <f aca="false">IFERROR(IF($C252="","",IF($D252="","",IFERROR(ROUND($D252*INDEX('🔖 배합비 참조'!$B$2:$CE$83,MATCH("검정깨(흑임자)",'🔖 배합비 참조'!$A$2:$A$83,0),MATCH($C252,'🔖 배합비 참조'!$B$1:$CE$1,0))/100,0),""))),"")</f>
        <v>0</v>
      </c>
      <c r="M252" s="42" t="n">
        <f aca="false">IFERROR(IF($C252="","",IF($D252="","",IFERROR(ROUND($D252*INDEX('🔖 배합비 참조'!$B$2:$CE$83,MATCH("검정콩",'🔖 배합비 참조'!$A$2:$A$83,0),MATCH($C252,'🔖 배합비 참조'!$B$1:$CE$1,0))/100,0),""))),"")</f>
        <v>0</v>
      </c>
      <c r="N252" s="42" t="n">
        <f aca="false">IFERROR(IF($C252="","",IF($D252="","",IFERROR(ROUND($D252*INDEX('🔖 배합비 참조'!$B$2:$CE$83,MATCH("계피가루",'🔖 배합비 참조'!$A$2:$A$83,0),MATCH($C252,'🔖 배합비 참조'!$B$1:$CE$1,0))/100,0),""))),"")</f>
        <v>0</v>
      </c>
      <c r="O252" s="42" t="n">
        <f aca="false">IFERROR(IF($C252="","",IF($D252="","",IFERROR(ROUND($D252*INDEX('🔖 배합비 참조'!$B$2:$CE$83,MATCH("고구마가루",'🔖 배합비 참조'!$A$2:$A$83,0),MATCH($C252,'🔖 배합비 참조'!$B$1:$CE$1,0))/100,0),""))),"")</f>
        <v>0</v>
      </c>
      <c r="P252" s="42" t="n">
        <f aca="false">IFERROR(IF($C252="","",IF($D252="","",IFERROR(ROUND($D252*INDEX('🔖 배합비 참조'!$B$2:$CE$83,MATCH("고구마무스",'🔖 배합비 참조'!$A$2:$A$83,0),MATCH($C252,'🔖 배합비 참조'!$B$1:$CE$1,0))/100,0),""))),"")</f>
        <v>0</v>
      </c>
      <c r="Q252" s="42" t="n">
        <f aca="false">IFERROR(IF($C252="","",IF($D252="","",IFERROR(ROUND($D252*INDEX('🔖 배합비 참조'!$B$2:$CE$83,MATCH("고려엉겅퀴((곤드레)국내산)",'🔖 배합비 참조'!$A$2:$A$83,0),MATCH($C252,'🔖 배합비 참조'!$B$1:$CE$1,0))/100,0),""))),"")</f>
        <v>0</v>
      </c>
      <c r="R252" s="42" t="n">
        <f aca="false">IFERROR(IF($C252="","",IF($D252="","",IFERROR(ROUND($D252*INDEX('🔖 배합비 참조'!$B$2:$CE$83,MATCH("기타가공품(복분자가루)",'🔖 배합비 참조'!$A$2:$A$83,0),MATCH($C252,'🔖 배합비 참조'!$B$1:$CE$1,0))/100,0),""))),"")</f>
        <v>0</v>
      </c>
      <c r="S252" s="42" t="n">
        <f aca="false">IFERROR(IF($C252="","",IF($D252="","",IFERROR(ROUND($D252*INDEX('🔖 배합비 참조'!$B$2:$CE$83,MATCH("기타가공품(슈퍼소프트엠)",'🔖 배합비 참조'!$A$2:$A$83,0),MATCH($C252,'🔖 배합비 참조'!$B$1:$CE$1,0))/100,0),""))),"")</f>
        <v>0</v>
      </c>
      <c r="T252" s="42" t="n">
        <f aca="false">IFERROR(IF($C252="","",IF($D252="","",IFERROR(ROUND($D252*INDEX('🔖 배합비 참조'!$B$2:$CE$83,MATCH("기타가공품(파인소프트 E-티)",'🔖 배합비 참조'!$A$2:$A$83,0),MATCH($C252,'🔖 배합비 참조'!$B$1:$CE$1,0))/100,0),""))),"")</f>
        <v>0</v>
      </c>
      <c r="U252" s="42" t="n">
        <f aca="false">IFERROR(IF($C252="","",IF($D252="","",IFERROR(ROUND($D252*INDEX('🔖 배합비 참조'!$B$2:$CE$83,MATCH("기타가공품(프리미엄카스테라가루)",'🔖 배합비 참조'!$A$2:$A$83,0),MATCH($C252,'🔖 배합비 참조'!$B$1:$CE$1,0))/100,0),""))),"")</f>
        <v>0</v>
      </c>
      <c r="V252" s="42" t="n">
        <f aca="false">IFERROR(IF($C252="","",IF($D252="","",IFERROR(ROUND($D252*INDEX('🔖 배합비 참조'!$B$2:$CE$83,MATCH("기타가공품(흑임자가루)",'🔖 배합비 참조'!$A$2:$A$83,0),MATCH($C252,'🔖 배합비 참조'!$B$1:$CE$1,0))/100,0),""))),"")</f>
        <v>0</v>
      </c>
      <c r="W252" s="42" t="n">
        <f aca="false">IFERROR(IF($C252="","",IF($D252="","",IFERROR(ROUND($D252*INDEX('🔖 배합비 참조'!$B$2:$CE$83,MATCH("기타설탕(흑설탕)",'🔖 배합비 참조'!$A$2:$A$83,0),MATCH($C252,'🔖 배합비 참조'!$B$1:$CE$1,0))/100,0),""))),"")</f>
        <v>0</v>
      </c>
      <c r="X252" s="42" t="n">
        <f aca="false">IFERROR(IF($C252="","",IF($D252="","",IFERROR(ROUND($D252*INDEX('🔖 배합비 참조'!$B$2:$CE$83,MATCH("냉동쑥(국내산)",'🔖 배합비 참조'!$A$2:$A$83,0),MATCH($C252,'🔖 배합비 참조'!$B$1:$CE$1,0))/100,0),""))),"")</f>
        <v>0</v>
      </c>
      <c r="Y252" s="42" t="n">
        <f aca="false">IFERROR(IF($C252="","",IF($D252="","",IFERROR(ROUND($D252*INDEX('🔖 배합비 참조'!$B$2:$CE$83,MATCH("냉동증숙고구마(중국산)",'🔖 배합비 참조'!$A$2:$A$83,0),MATCH($C252,'🔖 배합비 참조'!$B$1:$CE$1,0))/100,0),""))),"")</f>
        <v>0</v>
      </c>
      <c r="Z252" s="42" t="n">
        <f aca="false">IFERROR(IF($C252="","",IF($D252="","",IFERROR(ROUND($D252*INDEX('🔖 배합비 참조'!$B$2:$CE$83,MATCH("녹차가루",'🔖 배합비 참조'!$A$2:$A$83,0),MATCH($C252,'🔖 배합비 참조'!$B$1:$CE$1,0))/100,0),""))),"")</f>
        <v>0</v>
      </c>
      <c r="AA252" s="42" t="n">
        <f aca="false">IFERROR(IF($C252="","",IF($D252="","",IFERROR(ROUND($D252*INDEX('🔖 배합비 참조'!$B$2:$CE$83,MATCH("다크초콜릿 컴파운드칩",'🔖 배합비 참조'!$A$2:$A$83,0),MATCH($C252,'🔖 배합비 참조'!$B$1:$CE$1,0))/100,0),""))),"")</f>
        <v>0</v>
      </c>
      <c r="AB252" s="42" t="n">
        <f aca="false">IFERROR(IF($C252="","",IF($D252="","",IFERROR(ROUND($D252*INDEX('🔖 배합비 참조'!$B$2:$CE$83,MATCH("단호박분말(중국산)",'🔖 배합비 참조'!$A$2:$A$83,0),MATCH($C252,'🔖 배합비 참조'!$B$1:$CE$1,0))/100,0),""))),"")</f>
        <v>0</v>
      </c>
      <c r="AC252" s="42" t="n">
        <f aca="false">IFERROR(IF($C252="","",IF($D252="","",IFERROR(ROUND($D252*INDEX('🔖 배합비 참조'!$B$2:$CE$83,MATCH("당류가공품(단호박농축액)",'🔖 배합비 참조'!$A$2:$A$83,0),MATCH($C252,'🔖 배합비 참조'!$B$1:$CE$1,0))/100,0),""))),"")</f>
        <v>0</v>
      </c>
      <c r="AD252" s="42" t="n">
        <f aca="false">IFERROR(IF($C252="","",IF($D252="","",IFERROR(ROUND($D252*INDEX('🔖 배합비 참조'!$B$2:$CE$83,MATCH("당류가공품(알룰로스,에리스리톨,스테비올배당체혼합)",'🔖 배합비 참조'!$A$2:$A$83,0),MATCH($C252,'🔖 배합비 참조'!$B$1:$CE$1,0))/100,0),""))),"")</f>
        <v>0</v>
      </c>
      <c r="AE252" s="42" t="n">
        <f aca="false">IFERROR(IF($C252="","",IF($D252="","",IFERROR(ROUND($D252*INDEX('🔖 배합비 참조'!$B$2:$CE$83,MATCH("당류가공품(알룰로스제로파우더)",'🔖 배합비 참조'!$A$2:$A$83,0),MATCH($C252,'🔖 배합비 참조'!$B$1:$CE$1,0))/100,0),""))),"")</f>
        <v>0</v>
      </c>
      <c r="AF252" s="42" t="n">
        <f aca="false">IFERROR(IF($C252="","",IF($D252="","",IFERROR(ROUND($D252*INDEX('🔖 배합비 참조'!$B$2:$CE$83,MATCH("당절임(완두배기)",'🔖 배합비 참조'!$A$2:$A$83,0),MATCH($C252,'🔖 배합비 참조'!$B$1:$CE$1,0))/100,0),""))),"")</f>
        <v>0</v>
      </c>
      <c r="AG252" s="42" t="n">
        <f aca="false">IFERROR(IF($C252="","",IF($D252="","",IFERROR(ROUND($D252*INDEX('🔖 배합비 참조'!$B$2:$CE$83,MATCH("대추농축액",'🔖 배합비 참조'!$A$2:$A$83,0),MATCH($C252,'🔖 배합비 참조'!$B$1:$CE$1,0))/100,0),""))),"")</f>
        <v>0</v>
      </c>
      <c r="AH252" s="42" t="n">
        <f aca="false">IFERROR(IF($C252="","",IF($D252="","",IFERROR(ROUND($D252*INDEX('🔖 배합비 참조'!$B$2:$CE$83,MATCH("대추채(국내산)",'🔖 배합비 참조'!$A$2:$A$83,0),MATCH($C252,'🔖 배합비 참조'!$B$1:$CE$1,0))/100,0),""))),"")</f>
        <v>0</v>
      </c>
      <c r="AI252" s="42" t="n">
        <f aca="false">IFERROR(IF($C252="","",IF($D252="","",IFERROR(ROUND($D252*INDEX('🔖 배합비 참조'!$B$2:$CE$83,MATCH("동부(미얀마산)",'🔖 배합비 참조'!$A$2:$A$83,0),MATCH($C252,'🔖 배합비 참조'!$B$1:$CE$1,0))/100,0),""))),"")</f>
        <v>0</v>
      </c>
      <c r="AJ252" s="42" t="n">
        <f aca="false">IFERROR(IF($C252="","",IF($D252="","",IFERROR(ROUND($D252*INDEX('🔖 배합비 참조'!$B$2:$CE$83,MATCH("두류가공품(백옥앙금)",'🔖 배합비 참조'!$A$2:$A$83,0),MATCH($C252,'🔖 배합비 참조'!$B$1:$CE$1,0))/100,0),""))),"")</f>
        <v>0</v>
      </c>
      <c r="AK252" s="42" t="n">
        <f aca="false">IFERROR(IF($C252="","",IF($D252="","",IFERROR(ROUND($D252*INDEX('🔖 배합비 참조'!$B$2:$CE$83,MATCH("두류가공품(콩고물)",'🔖 배합비 참조'!$A$2:$A$83,0),MATCH($C252,'🔖 배합비 참조'!$B$1:$CE$1,0))/100,0),""))),"")</f>
        <v>0</v>
      </c>
      <c r="AL252" s="42" t="n">
        <f aca="false">IFERROR(IF($C252="","",IF($D252="","",IFERROR(ROUND($D252*INDEX('🔖 배합비 참조'!$B$2:$CE$83,MATCH("두류가공품(통팥고물)",'🔖 배합비 참조'!$A$2:$A$83,0),MATCH($C252,'🔖 배합비 참조'!$B$1:$CE$1,0))/100,0),""))),"")</f>
        <v>0</v>
      </c>
      <c r="AM252" s="42" t="n">
        <f aca="false">IFERROR(IF($C252="","",IF($D252="","",IFERROR(ROUND($D252*INDEX('🔖 배합비 참조'!$B$2:$CE$83,MATCH("딸기레진",'🔖 배합비 참조'!$A$2:$A$83,0),MATCH($C252,'🔖 배합비 참조'!$B$1:$CE$1,0))/100,0),""))),"")</f>
        <v>0</v>
      </c>
      <c r="AN252" s="42" t="n">
        <f aca="false">IFERROR(IF($C252="","",IF($D252="","",IFERROR(ROUND($D252*INDEX('🔖 배합비 참조'!$B$2:$CE$83,MATCH("딸기분말(스트로우베리에이드(분말))",'🔖 배합비 참조'!$A$2:$A$83,0),MATCH($C252,'🔖 배합비 참조'!$B$1:$CE$1,0))/100,0),""))),"")</f>
        <v>0</v>
      </c>
      <c r="AO252" s="42" t="n">
        <f aca="false">IFERROR(IF($C252="","",IF($D252="","",IFERROR(ROUND($D252*INDEX('🔖 배합비 참조'!$B$2:$CE$83,MATCH("마스카포네치즈",'🔖 배합비 참조'!$A$2:$A$83,0),MATCH($C252,'🔖 배합비 참조'!$B$1:$CE$1,0))/100,0),""))),"")</f>
        <v>0</v>
      </c>
      <c r="AP252" s="42" t="n">
        <f aca="false">IFERROR(IF($C252="","",IF($D252="","",IFERROR(ROUND($D252*INDEX('🔖 배합비 참조'!$B$2:$CE$83,MATCH("마카다미아분태(호주산)",'🔖 배합비 참조'!$A$2:$A$83,0),MATCH($C252,'🔖 배합비 참조'!$B$1:$CE$1,0))/100,0),""))),"")</f>
        <v>0</v>
      </c>
      <c r="AQ252" s="42" t="n">
        <f aca="false">IFERROR(IF($C252="","",IF($D252="","",IFERROR(ROUND($D252*INDEX('🔖 배합비 참조'!$B$2:$CE$83,MATCH("멥쌀(국내산)",'🔖 배합비 참조'!$A$2:$A$83,0),MATCH($C252,'🔖 배합비 참조'!$B$1:$CE$1,0))/100,0),""))),"")</f>
        <v>18</v>
      </c>
      <c r="AR252" s="42" t="n">
        <f aca="false">IFERROR(IF($C252="","",IF($D252="","",IFERROR(ROUND($D252*INDEX('🔖 배합비 참조'!$B$2:$CE$83,MATCH("모시잎(국내산)",'🔖 배합비 참조'!$A$2:$A$83,0),MATCH($C252,'🔖 배합비 참조'!$B$1:$CE$1,0))/100,0),""))),"")</f>
        <v>0</v>
      </c>
      <c r="AS252" s="42" t="n">
        <f aca="false">IFERROR(IF($C252="","",IF($D252="","",IFERROR(ROUND($D252*INDEX('🔖 배합비 참조'!$B$2:$CE$83,MATCH("물엿(저당물엿)",'🔖 배합비 참조'!$A$2:$A$83,0),MATCH($C252,'🔖 배합비 참조'!$B$1:$CE$1,0))/100,0),""))),"")</f>
        <v>0</v>
      </c>
      <c r="AT252" s="42" t="n">
        <f aca="false">IFERROR(IF($C252="","",IF($D252="","",IFERROR(ROUND($D252*INDEX('🔖 배합비 참조'!$B$2:$CE$83,MATCH("밤다이스",'🔖 배합비 참조'!$A$2:$A$83,0),MATCH($C252,'🔖 배합비 참조'!$B$1:$CE$1,0))/100,0),""))),"")</f>
        <v>0</v>
      </c>
      <c r="AU252" s="42" t="n">
        <f aca="false">IFERROR(IF($C252="","",IF($D252="","",IFERROR(ROUND($D252*INDEX('🔖 배합비 참조'!$B$2:$CE$83,MATCH("변성전분(타피오카전분)",'🔖 배합비 참조'!$A$2:$A$83,0),MATCH($C252,'🔖 배합비 참조'!$B$1:$CE$1,0))/100,0),""))),"")</f>
        <v>0</v>
      </c>
      <c r="AV252" s="42" t="n">
        <f aca="false">IFERROR(IF($C252="","",IF($D252="","",IFERROR(ROUND($D252*INDEX('🔖 배합비 참조'!$B$2:$CE$83,MATCH("복음땅콩분태",'🔖 배합비 참조'!$A$2:$A$83,0),MATCH($C252,'🔖 배합비 참조'!$B$1:$CE$1,0))/100,0),""))),"")</f>
        <v>0</v>
      </c>
      <c r="AW252" s="42" t="n">
        <f aca="false">IFERROR(IF($C252="","",IF($D252="","",IFERROR(ROUND($D252*INDEX('🔖 배합비 참조'!$B$2:$CE$83,MATCH("사양벌꿀(국내산)",'🔖 배합비 참조'!$A$2:$A$83,0),MATCH($C252,'🔖 배합비 참조'!$B$1:$CE$1,0))/100,0),""))),"")</f>
        <v>0</v>
      </c>
      <c r="AX252" s="42" t="n">
        <f aca="false">IFERROR(IF($C252="","",IF($D252="","",IFERROR(ROUND($D252*INDEX('🔖 배합비 참조'!$B$2:$CE$83,MATCH("생크림",'🔖 배합비 참조'!$A$2:$A$83,0),MATCH($C252,'🔖 배합비 참조'!$B$1:$CE$1,0))/100,0),""))),"")</f>
        <v>0</v>
      </c>
      <c r="AY252" s="42" t="n">
        <f aca="false">IFERROR(IF($C252="","",IF($D252="","",IFERROR(ROUND($D252*INDEX('🔖 배합비 참조'!$B$2:$CE$83,MATCH("서양호박(국내산,뉴질랜드산)",'🔖 배합비 참조'!$A$2:$A$83,0),MATCH($C252,'🔖 배합비 참조'!$B$1:$CE$1,0))/100,0),""))),"")</f>
        <v>0</v>
      </c>
      <c r="AZ252" s="42" t="n">
        <f aca="false">IFERROR(IF($C252="","",IF($D252="","",IFERROR(ROUND($D252*INDEX('🔖 배합비 참조'!$B$2:$CE$83,MATCH("설탕",'🔖 배합비 참조'!$A$2:$A$83,0),MATCH($C252,'🔖 배합비 참조'!$B$1:$CE$1,0))/100,0),""))),"")</f>
        <v>167</v>
      </c>
      <c r="BA252" s="42" t="n">
        <f aca="false">IFERROR(IF($C252="","",IF($D252="","",IFERROR(ROUND($D252*INDEX('🔖 배합비 참조'!$B$2:$CE$83,MATCH("스트로우베리 에이드 후레쉬",'🔖 배합비 참조'!$A$2:$A$83,0),MATCH($C252,'🔖 배합비 참조'!$B$1:$CE$1,0))/100,0),""))),"")</f>
        <v>0</v>
      </c>
      <c r="BB252" s="42" t="n">
        <f aca="false">IFERROR(IF($C252="","",IF($D252="","",IFERROR(ROUND($D252*INDEX('🔖 배합비 참조'!$B$2:$CE$83,MATCH("식물성기름혼합제제(분홍)",'🔖 배합비 참조'!$A$2:$A$83,0),MATCH($C252,'🔖 배합비 참조'!$B$1:$CE$1,0))/100,0),""))),"")</f>
        <v>0</v>
      </c>
      <c r="BC252" s="42" t="n">
        <f aca="false">IFERROR(IF($C252="","",IF($D252="","",IFERROR(ROUND($D252*INDEX('🔖 배합비 참조'!$B$2:$CE$83,MATCH("식물성기름혼합제제(초록)",'🔖 배합비 참조'!$A$2:$A$83,0),MATCH($C252,'🔖 배합비 참조'!$B$1:$CE$1,0))/100,0),""))),"")</f>
        <v>0</v>
      </c>
      <c r="BD252" s="42" t="n">
        <f aca="false">IFERROR(IF($C252="","",IF($D252="","",IFERROR(ROUND($D252*INDEX('🔖 배합비 참조'!$B$2:$CE$83,MATCH("식물성기름혼합제제(황색)",'🔖 배합비 참조'!$A$2:$A$83,0),MATCH($C252,'🔖 배합비 참조'!$B$1:$CE$1,0))/100,0),""))),"")</f>
        <v>0</v>
      </c>
      <c r="BE252" s="42" t="n">
        <f aca="false">IFERROR(IF($C252="","",IF($D252="","",IFERROR(ROUND($D252*INDEX('🔖 배합비 참조'!$B$2:$CE$83,MATCH("쑥가루(국내산)",'🔖 배합비 참조'!$A$2:$A$83,0),MATCH($C252,'🔖 배합비 참조'!$B$1:$CE$1,0))/100,0),""))),"")</f>
        <v>0</v>
      </c>
      <c r="BF252" s="42" t="n">
        <f aca="false">IFERROR(IF($C252="","",IF($D252="","",IFERROR(ROUND($D252*INDEX('🔖 배합비 참조'!$B$2:$CE$83,MATCH("아몬드슬라이스",'🔖 배합비 참조'!$A$2:$A$83,0),MATCH($C252,'🔖 배합비 참조'!$B$1:$CE$1,0))/100,0),""))),"")</f>
        <v>0</v>
      </c>
      <c r="BG252" s="42" t="n">
        <f aca="false">IFERROR(IF($C252="","",IF($D252="","",IFERROR(ROUND($D252*INDEX('🔖 배합비 참조'!$B$2:$CE$83,MATCH("알룰로오스(국내산)",'🔖 배합비 참조'!$A$2:$A$83,0),MATCH($C252,'🔖 배합비 참조'!$B$1:$CE$1,0))/100,0),""))),"")</f>
        <v>0</v>
      </c>
      <c r="BH252" s="42" t="n">
        <f aca="false">IFERROR(IF($C252="","",IF($D252="","",IFERROR(ROUND($D252*INDEX('🔖 배합비 참조'!$B$2:$CE$83,MATCH("연유",'🔖 배합비 참조'!$A$2:$A$83,0),MATCH($C252,'🔖 배합비 참조'!$B$1:$CE$1,0))/100,0),""))),"")</f>
        <v>0</v>
      </c>
      <c r="BI252" s="42" t="n">
        <f aca="false">IFERROR(IF($C252="","",IF($D252="","",IFERROR(ROUND($D252*INDEX('🔖 배합비 참조'!$B$2:$CE$83,MATCH("옥수수전분",'🔖 배합비 참조'!$A$2:$A$83,0),MATCH($C252,'🔖 배합비 참조'!$B$1:$CE$1,0))/100,0),""))),"")</f>
        <v>0</v>
      </c>
      <c r="BJ252" s="42" t="n">
        <f aca="false">IFERROR(IF($C252="","",IF($D252="","",IFERROR(ROUND($D252*INDEX('🔖 배합비 참조'!$B$2:$CE$83,MATCH("완두배기",'🔖 배합비 참조'!$A$2:$A$83,0),MATCH($C252,'🔖 배합비 참조'!$B$1:$CE$1,0))/100,0),""))),"")</f>
        <v>0</v>
      </c>
      <c r="BK252" s="42" t="n">
        <f aca="false">IFERROR(IF($C252="","",IF($D252="","",IFERROR(ROUND($D252*INDEX('🔖 배합비 참조'!$B$2:$CE$83,MATCH("우유(국내산)",'🔖 배합비 참조'!$A$2:$A$83,0),MATCH($C252,'🔖 배합비 참조'!$B$1:$CE$1,0))/100,0),""))),"")</f>
        <v>0</v>
      </c>
      <c r="BL252" s="42" t="n">
        <f aca="false">IFERROR(IF($C252="","",IF($D252="","",IFERROR(ROUND($D252*INDEX('🔖 배합비 참조'!$B$2:$CE$83,MATCH("자색고구마가루(중국산)",'🔖 배합비 참조'!$A$2:$A$83,0),MATCH($C252,'🔖 배합비 참조'!$B$1:$CE$1,0))/100,0),""))),"")</f>
        <v>0</v>
      </c>
      <c r="BM252" s="42" t="n">
        <f aca="false">IFERROR(IF($C252="","",IF($D252="","",IFERROR(ROUND($D252*INDEX('🔖 배합비 참조'!$B$2:$CE$83,MATCH("자연치즈(체다치즈)",'🔖 배합비 참조'!$A$2:$A$83,0),MATCH($C252,'🔖 배합비 참조'!$B$1:$CE$1,0))/100,0),""))),"")</f>
        <v>0</v>
      </c>
      <c r="BN252" s="42" t="n">
        <f aca="false">IFERROR(IF($C252="","",IF($D252="","",IFERROR(ROUND($D252*INDEX('🔖 배합비 참조'!$B$2:$CE$83,MATCH("정제수",'🔖 배합비 참조'!$A$2:$A$83,0),MATCH($C252,'🔖 배합비 참조'!$B$1:$CE$1,0))/100,0),""))),"")</f>
        <v>26</v>
      </c>
      <c r="BO252" s="42" t="n">
        <f aca="false">IFERROR(IF($C252="","",IF($D252="","",IFERROR(ROUND($D252*INDEX('🔖 배합비 참조'!$B$2:$CE$83,MATCH("젤라틴",'🔖 배합비 참조'!$A$2:$A$83,0),MATCH($C252,'🔖 배합비 참조'!$B$1:$CE$1,0))/100,0),""))),"")</f>
        <v>0</v>
      </c>
      <c r="BP252" s="42" t="n">
        <f aca="false">IFERROR(IF($C252="","",IF($D252="","",IFERROR(ROUND($D252*INDEX('🔖 배합비 참조'!$B$2:$CE$83,MATCH("조림류(백옥앙금)",'🔖 배합비 참조'!$A$2:$A$83,0),MATCH($C252,'🔖 배합비 참조'!$B$1:$CE$1,0))/100,0),""))),"")</f>
        <v>0</v>
      </c>
      <c r="BQ252" s="42" t="n">
        <f aca="false">IFERROR(IF($C252="","",IF($D252="","",IFERROR(ROUND($D252*INDEX('🔖 배합비 참조'!$B$2:$CE$83,MATCH("조림류(통팥앙금)",'🔖 배합비 참조'!$A$2:$A$83,0),MATCH($C252,'🔖 배합비 참조'!$B$1:$CE$1,0))/100,0),""))),"")</f>
        <v>158</v>
      </c>
      <c r="BR252" s="42" t="n">
        <f aca="false">IFERROR(IF($C252="","",IF($D252="","",IFERROR(ROUND($D252*INDEX('🔖 배합비 참조'!$B$2:$CE$83,MATCH("준초콜릿(외국산)",'🔖 배합비 참조'!$A$2:$A$83,0),MATCH($C252,'🔖 배합비 참조'!$B$1:$CE$1,0))/100,0),""))),"")</f>
        <v>0</v>
      </c>
      <c r="BS252" s="42" t="n">
        <f aca="false">IFERROR(IF($C252="","",IF($D252="","",IFERROR(ROUND($D252*INDEX('🔖 배합비 참조'!$B$2:$CE$83,MATCH("중력분",'🔖 배합비 참조'!$A$2:$A$83,0),MATCH($C252,'🔖 배합비 참조'!$B$1:$CE$1,0))/100,0),""))),"")</f>
        <v>18</v>
      </c>
      <c r="BT252" s="42" t="n">
        <f aca="false">IFERROR(IF($C252="","",IF($D252="","",IFERROR(ROUND($D252*INDEX('🔖 배합비 참조'!$B$2:$CE$83,MATCH("참깨(인도산,나이지리아산,탄자니아산,미얀마산)",'🔖 배합비 참조'!$A$2:$A$83,0),MATCH($C252,'🔖 배합비 참조'!$B$1:$CE$1,0))/100,0),""))),"")</f>
        <v>0</v>
      </c>
      <c r="BU252" s="42" t="n">
        <f aca="false">IFERROR(IF($C252="","",IF($D252="","",IFERROR(ROUND($D252*INDEX('🔖 배합비 참조'!$B$2:$CE$83,MATCH("찹쌀(국내산)",'🔖 배합비 참조'!$A$2:$A$83,0),MATCH($C252,'🔖 배합비 참조'!$B$1:$CE$1,0))/100,0),""))),"")</f>
        <v>378</v>
      </c>
      <c r="BV252" s="42" t="n">
        <f aca="false">IFERROR(IF($C252="","",IF($D252="","",IFERROR(ROUND($D252*INDEX('🔖 배합비 참조'!$B$2:$CE$83,MATCH("천일염",'🔖 배합비 참조'!$A$2:$A$83,0),MATCH($C252,'🔖 배합비 참조'!$B$1:$CE$1,0))/100,0),""))),"")</f>
        <v>18</v>
      </c>
      <c r="BW252" s="42" t="n">
        <f aca="false">IFERROR(IF($C252="","",IF($D252="","",IFERROR(ROUND($D252*INDEX('🔖 배합비 참조'!$B$2:$CE$83,MATCH("치즈 [크림치즈]",'🔖 배합비 참조'!$A$2:$A$83,0),MATCH($C252,'🔖 배합비 참조'!$B$1:$CE$1,0))/100,0),""))),"")</f>
        <v>0</v>
      </c>
      <c r="BX252" s="42" t="n">
        <f aca="false">IFERROR(IF($C252="","",IF($D252="","",IFERROR(ROUND($D252*INDEX('🔖 배합비 참조'!$B$2:$CE$83,MATCH("코코아가공품류(코코아분말)",'🔖 배합비 참조'!$A$2:$A$83,0),MATCH($C252,'🔖 배합비 참조'!$B$1:$CE$1,0))/100,0),""))),"")</f>
        <v>0</v>
      </c>
      <c r="BY252" s="42" t="n">
        <f aca="false">IFERROR(IF($C252="","",IF($D252="","",IFERROR(ROUND($D252*INDEX('🔖 배합비 참조'!$B$2:$CE$83,MATCH("콩기름(대두유)",'🔖 배합비 참조'!$A$2:$A$83,0),MATCH($C252,'🔖 배합비 참조'!$B$1:$CE$1,0))/100,0),""))),"")</f>
        <v>0</v>
      </c>
      <c r="BZ252" s="42" t="n">
        <f aca="false">IFERROR(IF($C252="","",IF($D252="","",IFERROR(ROUND($D252*INDEX('🔖 배합비 참조'!$B$2:$CE$83,MATCH("해바라기씨앗",'🔖 배합비 참조'!$A$2:$A$83,0),MATCH($C252,'🔖 배합비 참조'!$B$1:$CE$1,0))/100,0),""))),"")</f>
        <v>0</v>
      </c>
      <c r="CA252" s="42" t="n">
        <f aca="false">IFERROR(IF($C252="","",IF($D252="","",IFERROR(ROUND($D252*INDEX('🔖 배합비 참조'!$B$2:$CE$83,MATCH("현미(국내산)",'🔖 배합비 참조'!$A$2:$A$83,0),MATCH($C252,'🔖 배합비 참조'!$B$1:$CE$1,0))/100,0),""))),"")</f>
        <v>0</v>
      </c>
      <c r="CB252" s="42" t="n">
        <f aca="false">IFERROR(IF($C252="","",IF($D252="","",IFERROR(ROUND($D252*INDEX('🔖 배합비 참조'!$B$2:$CE$83,MATCH("현미멥쌀(국내산)",'🔖 배합비 참조'!$A$2:$A$83,0),MATCH($C252,'🔖 배합비 참조'!$B$1:$CE$1,0))/100,0),""))),"")</f>
        <v>0</v>
      </c>
      <c r="CC252" s="42" t="n">
        <f aca="false">IFERROR(IF($C252="","",IF($D252="","",IFERROR(ROUND($D252*INDEX('🔖 배합비 참조'!$B$2:$CE$83,MATCH("호두분태(미국산)",'🔖 배합비 참조'!$A$2:$A$83,0),MATCH($C252,'🔖 배합비 참조'!$B$1:$CE$1,0))/100,0),""))),"")</f>
        <v>0</v>
      </c>
      <c r="CD252" s="42" t="n">
        <f aca="false">IFERROR(IF($C252="","",IF($D252="","",IFERROR(ROUND($D252*INDEX('🔖 배합비 참조'!$B$2:$CE$83,MATCH("호박씨앗(외국산)",'🔖 배합비 참조'!$A$2:$A$83,0),MATCH($C252,'🔖 배합비 참조'!$B$1:$CE$1,0))/100,0),""))),"")</f>
        <v>0</v>
      </c>
      <c r="CE252" s="42" t="n">
        <f aca="false">IFERROR(IF($C252="","",IF($D252="","",IFERROR(ROUND($D252*INDEX('🔖 배합비 참조'!$B$2:$CE$83,MATCH("혼합제제(떡용에스텔)",'🔖 배합비 참조'!$A$2:$A$83,0),MATCH($C252,'🔖 배합비 참조'!$B$1:$CE$1,0))/100,0),""))),"")</f>
        <v>18</v>
      </c>
      <c r="CF252" s="42" t="n">
        <f aca="false">IFERROR(IF($C252="","",IF($D252="","",IFERROR(ROUND($D252*INDEX('🔖 배합비 참조'!$B$2:$CE$83,MATCH("혼합제제(스테비아)",'🔖 배합비 참조'!$A$2:$A$83,0),MATCH($C252,'🔖 배합비 참조'!$B$1:$CE$1,0))/100,0),""))),"")</f>
        <v>0</v>
      </c>
      <c r="CG252" s="42" t="n">
        <f aca="false">IFERROR(IF($C252="","",IF($D252="","",IFERROR(ROUND($D252*INDEX('🔖 배합비 참조'!$B$2:$CE$83,MATCH("화이트초콜릿",'🔖 배합비 참조'!$A$2:$A$83,0),MATCH($C252,'🔖 배합비 참조'!$B$1:$CE$1,0))/100,0),""))),"")</f>
        <v>0</v>
      </c>
      <c r="CH252" s="42" t="n">
        <f aca="false">IFERROR(IF($C252="","",IF($D252="","",IFERROR(ROUND($D252*INDEX('🔖 배합비 참조'!$B$2:$CE$83,MATCH("흑미찹쌀(국내산)",'🔖 배합비 참조'!$A$2:$A$83,0),MATCH($C252,'🔖 배합비 참조'!$B$1:$CE$1,0))/100,0),""))),"")</f>
        <v>0</v>
      </c>
      <c r="CI252" s="42" t="n">
        <f aca="false">IFERROR(IF($C252="","",IF($D252="","",IFERROR(ROUND($D252*INDEX('🔖 배합비 참조'!$B$2:$CE$83,MATCH("찰옥수수전분(미국산)",'🔖 배합비 참조'!$A$2:$A$83,0),MATCH($C252,'🔖 배합비 참조'!$B$1:$CE$1,0))/100,0),""))),"")</f>
        <v>79</v>
      </c>
      <c r="CJ252" s="40"/>
      <c r="CL252" s="1" t="s">
        <v>248</v>
      </c>
    </row>
    <row r="253" customFormat="false" ht="18" hidden="false" customHeight="true" outlineLevel="0" collapsed="false">
      <c r="A253" s="35" t="n">
        <v>249</v>
      </c>
      <c r="B253" s="36" t="n">
        <v>46085</v>
      </c>
      <c r="C253" s="37" t="s">
        <v>144</v>
      </c>
      <c r="D253" s="38" t="n">
        <v>70</v>
      </c>
      <c r="E253" s="13"/>
      <c r="F253" s="13"/>
      <c r="G253" s="39" t="n">
        <f aca="false">IFERROR(IF($C253="","",IF($D253="","",IFERROR(ROUND($D253*INDEX('🔖 배합비 참조'!$B$2:$CE$83,MATCH("간장",'🔖 배합비 참조'!$A$2:$A$83,0),MATCH($C253,'🔖 배합비 참조'!$B$1:$CE$1,0))/100,0),""))),"")</f>
        <v>0</v>
      </c>
      <c r="H253" s="39" t="n">
        <f aca="false">IFERROR(IF($C253="","",IF($D253="","",IFERROR(ROUND($D253*INDEX('🔖 배합비 참조'!$B$2:$CE$83,MATCH("강낭콩((울타리콩))",'🔖 배합비 참조'!$A$2:$A$83,0),MATCH($C253,'🔖 배합비 참조'!$B$1:$CE$1,0))/100,0),""))),"")</f>
        <v>0</v>
      </c>
      <c r="I253" s="39" t="n">
        <f aca="false">IFERROR(IF($C253="","",IF($D253="","",IFERROR(ROUND($D253*INDEX('🔖 배합비 참조'!$B$2:$CE$83,MATCH("건조딸기다이스(외국산)",'🔖 배합비 참조'!$A$2:$A$83,0),MATCH($C253,'🔖 배합비 참조'!$B$1:$CE$1,0))/100,0),""))),"")</f>
        <v>0</v>
      </c>
      <c r="J253" s="39" t="n">
        <f aca="false">IFERROR(IF($C253="","",IF($D253="","",IFERROR(ROUND($D253*INDEX('🔖 배합비 참조'!$B$2:$CE$83,MATCH("건포도",'🔖 배합비 참조'!$A$2:$A$83,0),MATCH($C253,'🔖 배합비 참조'!$B$1:$CE$1,0))/100,0),""))),"")</f>
        <v>0</v>
      </c>
      <c r="K253" s="39" t="n">
        <f aca="false">IFERROR(IF($C253="","",IF($D253="","",IFERROR(ROUND($D253*INDEX('🔖 배합비 참조'!$B$2:$CE$83,MATCH("건호박채(중국산)",'🔖 배합비 참조'!$A$2:$A$83,0),MATCH($C253,'🔖 배합비 참조'!$B$1:$CE$1,0))/100,0),""))),"")</f>
        <v>0</v>
      </c>
      <c r="L253" s="39" t="n">
        <f aca="false">IFERROR(IF($C253="","",IF($D253="","",IFERROR(ROUND($D253*INDEX('🔖 배합비 참조'!$B$2:$CE$83,MATCH("검정깨(흑임자)",'🔖 배합비 참조'!$A$2:$A$83,0),MATCH($C253,'🔖 배합비 참조'!$B$1:$CE$1,0))/100,0),""))),"")</f>
        <v>0</v>
      </c>
      <c r="M253" s="39" t="n">
        <f aca="false">IFERROR(IF($C253="","",IF($D253="","",IFERROR(ROUND($D253*INDEX('🔖 배합비 참조'!$B$2:$CE$83,MATCH("검정콩",'🔖 배합비 참조'!$A$2:$A$83,0),MATCH($C253,'🔖 배합비 참조'!$B$1:$CE$1,0))/100,0),""))),"")</f>
        <v>0</v>
      </c>
      <c r="N253" s="39" t="n">
        <f aca="false">IFERROR(IF($C253="","",IF($D253="","",IFERROR(ROUND($D253*INDEX('🔖 배합비 참조'!$B$2:$CE$83,MATCH("계피가루",'🔖 배합비 참조'!$A$2:$A$83,0),MATCH($C253,'🔖 배합비 참조'!$B$1:$CE$1,0))/100,0),""))),"")</f>
        <v>0</v>
      </c>
      <c r="O253" s="39" t="n">
        <f aca="false">IFERROR(IF($C253="","",IF($D253="","",IFERROR(ROUND($D253*INDEX('🔖 배합비 참조'!$B$2:$CE$83,MATCH("고구마가루",'🔖 배합비 참조'!$A$2:$A$83,0),MATCH($C253,'🔖 배합비 참조'!$B$1:$CE$1,0))/100,0),""))),"")</f>
        <v>0</v>
      </c>
      <c r="P253" s="39" t="n">
        <f aca="false">IFERROR(IF($C253="","",IF($D253="","",IFERROR(ROUND($D253*INDEX('🔖 배합비 참조'!$B$2:$CE$83,MATCH("고구마무스",'🔖 배합비 참조'!$A$2:$A$83,0),MATCH($C253,'🔖 배합비 참조'!$B$1:$CE$1,0))/100,0),""))),"")</f>
        <v>0</v>
      </c>
      <c r="Q253" s="39" t="n">
        <f aca="false">IFERROR(IF($C253="","",IF($D253="","",IFERROR(ROUND($D253*INDEX('🔖 배합비 참조'!$B$2:$CE$83,MATCH("고려엉겅퀴((곤드레)국내산)",'🔖 배합비 참조'!$A$2:$A$83,0),MATCH($C253,'🔖 배합비 참조'!$B$1:$CE$1,0))/100,0),""))),"")</f>
        <v>0</v>
      </c>
      <c r="R253" s="39" t="n">
        <f aca="false">IFERROR(IF($C253="","",IF($D253="","",IFERROR(ROUND($D253*INDEX('🔖 배합비 참조'!$B$2:$CE$83,MATCH("기타가공품(복분자가루)",'🔖 배합비 참조'!$A$2:$A$83,0),MATCH($C253,'🔖 배합비 참조'!$B$1:$CE$1,0))/100,0),""))),"")</f>
        <v>0</v>
      </c>
      <c r="S253" s="39" t="n">
        <f aca="false">IFERROR(IF($C253="","",IF($D253="","",IFERROR(ROUND($D253*INDEX('🔖 배합비 참조'!$B$2:$CE$83,MATCH("기타가공품(슈퍼소프트엠)",'🔖 배합비 참조'!$A$2:$A$83,0),MATCH($C253,'🔖 배합비 참조'!$B$1:$CE$1,0))/100,0),""))),"")</f>
        <v>0</v>
      </c>
      <c r="T253" s="39" t="n">
        <f aca="false">IFERROR(IF($C253="","",IF($D253="","",IFERROR(ROUND($D253*INDEX('🔖 배합비 참조'!$B$2:$CE$83,MATCH("기타가공품(파인소프트 E-티)",'🔖 배합비 참조'!$A$2:$A$83,0),MATCH($C253,'🔖 배합비 참조'!$B$1:$CE$1,0))/100,0),""))),"")</f>
        <v>0</v>
      </c>
      <c r="U253" s="39" t="n">
        <f aca="false">IFERROR(IF($C253="","",IF($D253="","",IFERROR(ROUND($D253*INDEX('🔖 배합비 참조'!$B$2:$CE$83,MATCH("기타가공품(프리미엄카스테라가루)",'🔖 배합비 참조'!$A$2:$A$83,0),MATCH($C253,'🔖 배합비 참조'!$B$1:$CE$1,0))/100,0),""))),"")</f>
        <v>0</v>
      </c>
      <c r="V253" s="39" t="n">
        <f aca="false">IFERROR(IF($C253="","",IF($D253="","",IFERROR(ROUND($D253*INDEX('🔖 배합비 참조'!$B$2:$CE$83,MATCH("기타가공품(흑임자가루)",'🔖 배합비 참조'!$A$2:$A$83,0),MATCH($C253,'🔖 배합비 참조'!$B$1:$CE$1,0))/100,0),""))),"")</f>
        <v>0</v>
      </c>
      <c r="W253" s="39" t="n">
        <f aca="false">IFERROR(IF($C253="","",IF($D253="","",IFERROR(ROUND($D253*INDEX('🔖 배합비 참조'!$B$2:$CE$83,MATCH("기타설탕(흑설탕)",'🔖 배합비 참조'!$A$2:$A$83,0),MATCH($C253,'🔖 배합비 참조'!$B$1:$CE$1,0))/100,0),""))),"")</f>
        <v>0</v>
      </c>
      <c r="X253" s="39" t="n">
        <f aca="false">IFERROR(IF($C253="","",IF($D253="","",IFERROR(ROUND($D253*INDEX('🔖 배합비 참조'!$B$2:$CE$83,MATCH("냉동쑥(국내산)",'🔖 배합비 참조'!$A$2:$A$83,0),MATCH($C253,'🔖 배합비 참조'!$B$1:$CE$1,0))/100,0),""))),"")</f>
        <v>0</v>
      </c>
      <c r="Y253" s="39" t="n">
        <f aca="false">IFERROR(IF($C253="","",IF($D253="","",IFERROR(ROUND($D253*INDEX('🔖 배합비 참조'!$B$2:$CE$83,MATCH("냉동증숙고구마(중국산)",'🔖 배합비 참조'!$A$2:$A$83,0),MATCH($C253,'🔖 배합비 참조'!$B$1:$CE$1,0))/100,0),""))),"")</f>
        <v>0</v>
      </c>
      <c r="Z253" s="39" t="n">
        <f aca="false">IFERROR(IF($C253="","",IF($D253="","",IFERROR(ROUND($D253*INDEX('🔖 배합비 참조'!$B$2:$CE$83,MATCH("녹차가루",'🔖 배합비 참조'!$A$2:$A$83,0),MATCH($C253,'🔖 배합비 참조'!$B$1:$CE$1,0))/100,0),""))),"")</f>
        <v>0</v>
      </c>
      <c r="AA253" s="39" t="n">
        <f aca="false">IFERROR(IF($C253="","",IF($D253="","",IFERROR(ROUND($D253*INDEX('🔖 배합비 참조'!$B$2:$CE$83,MATCH("다크초콜릿 컴파운드칩",'🔖 배합비 참조'!$A$2:$A$83,0),MATCH($C253,'🔖 배합비 참조'!$B$1:$CE$1,0))/100,0),""))),"")</f>
        <v>0</v>
      </c>
      <c r="AB253" s="39" t="n">
        <f aca="false">IFERROR(IF($C253="","",IF($D253="","",IFERROR(ROUND($D253*INDEX('🔖 배합비 참조'!$B$2:$CE$83,MATCH("단호박분말(중국산)",'🔖 배합비 참조'!$A$2:$A$83,0),MATCH($C253,'🔖 배합비 참조'!$B$1:$CE$1,0))/100,0),""))),"")</f>
        <v>0</v>
      </c>
      <c r="AC253" s="39" t="n">
        <f aca="false">IFERROR(IF($C253="","",IF($D253="","",IFERROR(ROUND($D253*INDEX('🔖 배합비 참조'!$B$2:$CE$83,MATCH("당류가공품(단호박농축액)",'🔖 배합비 참조'!$A$2:$A$83,0),MATCH($C253,'🔖 배합비 참조'!$B$1:$CE$1,0))/100,0),""))),"")</f>
        <v>0</v>
      </c>
      <c r="AD253" s="39" t="n">
        <f aca="false">IFERROR(IF($C253="","",IF($D253="","",IFERROR(ROUND($D253*INDEX('🔖 배합비 참조'!$B$2:$CE$83,MATCH("당류가공품(알룰로스,에리스리톨,스테비올배당체혼합)",'🔖 배합비 참조'!$A$2:$A$83,0),MATCH($C253,'🔖 배합비 참조'!$B$1:$CE$1,0))/100,0),""))),"")</f>
        <v>0</v>
      </c>
      <c r="AE253" s="39" t="n">
        <f aca="false">IFERROR(IF($C253="","",IF($D253="","",IFERROR(ROUND($D253*INDEX('🔖 배합비 참조'!$B$2:$CE$83,MATCH("당류가공품(알룰로스제로파우더)",'🔖 배합비 참조'!$A$2:$A$83,0),MATCH($C253,'🔖 배합비 참조'!$B$1:$CE$1,0))/100,0),""))),"")</f>
        <v>0</v>
      </c>
      <c r="AF253" s="39" t="n">
        <f aca="false">IFERROR(IF($C253="","",IF($D253="","",IFERROR(ROUND($D253*INDEX('🔖 배합비 참조'!$B$2:$CE$83,MATCH("당절임(완두배기)",'🔖 배합비 참조'!$A$2:$A$83,0),MATCH($C253,'🔖 배합비 참조'!$B$1:$CE$1,0))/100,0),""))),"")</f>
        <v>0</v>
      </c>
      <c r="AG253" s="39" t="n">
        <f aca="false">IFERROR(IF($C253="","",IF($D253="","",IFERROR(ROUND($D253*INDEX('🔖 배합비 참조'!$B$2:$CE$83,MATCH("대추농축액",'🔖 배합비 참조'!$A$2:$A$83,0),MATCH($C253,'🔖 배합비 참조'!$B$1:$CE$1,0))/100,0),""))),"")</f>
        <v>0</v>
      </c>
      <c r="AH253" s="39" t="n">
        <f aca="false">IFERROR(IF($C253="","",IF($D253="","",IFERROR(ROUND($D253*INDEX('🔖 배합비 참조'!$B$2:$CE$83,MATCH("대추채(국내산)",'🔖 배합비 참조'!$A$2:$A$83,0),MATCH($C253,'🔖 배합비 참조'!$B$1:$CE$1,0))/100,0),""))),"")</f>
        <v>0</v>
      </c>
      <c r="AI253" s="39" t="n">
        <f aca="false">IFERROR(IF($C253="","",IF($D253="","",IFERROR(ROUND($D253*INDEX('🔖 배합비 참조'!$B$2:$CE$83,MATCH("동부(미얀마산)",'🔖 배합비 참조'!$A$2:$A$83,0),MATCH($C253,'🔖 배합비 참조'!$B$1:$CE$1,0))/100,0),""))),"")</f>
        <v>0</v>
      </c>
      <c r="AJ253" s="39" t="n">
        <f aca="false">IFERROR(IF($C253="","",IF($D253="","",IFERROR(ROUND($D253*INDEX('🔖 배합비 참조'!$B$2:$CE$83,MATCH("두류가공품(백옥앙금)",'🔖 배합비 참조'!$A$2:$A$83,0),MATCH($C253,'🔖 배합비 참조'!$B$1:$CE$1,0))/100,0),""))),"")</f>
        <v>0</v>
      </c>
      <c r="AK253" s="39" t="n">
        <f aca="false">IFERROR(IF($C253="","",IF($D253="","",IFERROR(ROUND($D253*INDEX('🔖 배합비 참조'!$B$2:$CE$83,MATCH("두류가공품(콩고물)",'🔖 배합비 참조'!$A$2:$A$83,0),MATCH($C253,'🔖 배합비 참조'!$B$1:$CE$1,0))/100,0),""))),"")</f>
        <v>2</v>
      </c>
      <c r="AL253" s="39" t="n">
        <f aca="false">IFERROR(IF($C253="","",IF($D253="","",IFERROR(ROUND($D253*INDEX('🔖 배합비 참조'!$B$2:$CE$83,MATCH("두류가공품(통팥고물)",'🔖 배합비 참조'!$A$2:$A$83,0),MATCH($C253,'🔖 배합비 참조'!$B$1:$CE$1,0))/100,0),""))),"")</f>
        <v>0</v>
      </c>
      <c r="AM253" s="39" t="n">
        <f aca="false">IFERROR(IF($C253="","",IF($D253="","",IFERROR(ROUND($D253*INDEX('🔖 배합비 참조'!$B$2:$CE$83,MATCH("딸기레진",'🔖 배합비 참조'!$A$2:$A$83,0),MATCH($C253,'🔖 배합비 참조'!$B$1:$CE$1,0))/100,0),""))),"")</f>
        <v>0</v>
      </c>
      <c r="AN253" s="39" t="n">
        <f aca="false">IFERROR(IF($C253="","",IF($D253="","",IFERROR(ROUND($D253*INDEX('🔖 배합비 참조'!$B$2:$CE$83,MATCH("딸기분말(스트로우베리에이드(분말))",'🔖 배합비 참조'!$A$2:$A$83,0),MATCH($C253,'🔖 배합비 참조'!$B$1:$CE$1,0))/100,0),""))),"")</f>
        <v>0</v>
      </c>
      <c r="AO253" s="39" t="n">
        <f aca="false">IFERROR(IF($C253="","",IF($D253="","",IFERROR(ROUND($D253*INDEX('🔖 배합비 참조'!$B$2:$CE$83,MATCH("마스카포네치즈",'🔖 배합비 참조'!$A$2:$A$83,0),MATCH($C253,'🔖 배합비 참조'!$B$1:$CE$1,0))/100,0),""))),"")</f>
        <v>0</v>
      </c>
      <c r="AP253" s="39" t="n">
        <f aca="false">IFERROR(IF($C253="","",IF($D253="","",IFERROR(ROUND($D253*INDEX('🔖 배합비 참조'!$B$2:$CE$83,MATCH("마카다미아분태(호주산)",'🔖 배합비 참조'!$A$2:$A$83,0),MATCH($C253,'🔖 배합비 참조'!$B$1:$CE$1,0))/100,0),""))),"")</f>
        <v>0</v>
      </c>
      <c r="AQ253" s="39" t="n">
        <f aca="false">IFERROR(IF($C253="","",IF($D253="","",IFERROR(ROUND($D253*INDEX('🔖 배합비 참조'!$B$2:$CE$83,MATCH("멥쌀(국내산)",'🔖 배합비 참조'!$A$2:$A$83,0),MATCH($C253,'🔖 배합비 참조'!$B$1:$CE$1,0))/100,0),""))),"")</f>
        <v>0</v>
      </c>
      <c r="AR253" s="39" t="n">
        <f aca="false">IFERROR(IF($C253="","",IF($D253="","",IFERROR(ROUND($D253*INDEX('🔖 배합비 참조'!$B$2:$CE$83,MATCH("모시잎(국내산)",'🔖 배합비 참조'!$A$2:$A$83,0),MATCH($C253,'🔖 배합비 참조'!$B$1:$CE$1,0))/100,0),""))),"")</f>
        <v>0</v>
      </c>
      <c r="AS253" s="39" t="n">
        <f aca="false">IFERROR(IF($C253="","",IF($D253="","",IFERROR(ROUND($D253*INDEX('🔖 배합비 참조'!$B$2:$CE$83,MATCH("물엿(저당물엿)",'🔖 배합비 참조'!$A$2:$A$83,0),MATCH($C253,'🔖 배합비 참조'!$B$1:$CE$1,0))/100,0),""))),"")</f>
        <v>3</v>
      </c>
      <c r="AT253" s="39" t="n">
        <f aca="false">IFERROR(IF($C253="","",IF($D253="","",IFERROR(ROUND($D253*INDEX('🔖 배합비 참조'!$B$2:$CE$83,MATCH("밤다이스",'🔖 배합비 참조'!$A$2:$A$83,0),MATCH($C253,'🔖 배합비 참조'!$B$1:$CE$1,0))/100,0),""))),"")</f>
        <v>0</v>
      </c>
      <c r="AU253" s="39" t="n">
        <f aca="false">IFERROR(IF($C253="","",IF($D253="","",IFERROR(ROUND($D253*INDEX('🔖 배합비 참조'!$B$2:$CE$83,MATCH("변성전분(타피오카전분)",'🔖 배합비 참조'!$A$2:$A$83,0),MATCH($C253,'🔖 배합비 참조'!$B$1:$CE$1,0))/100,0),""))),"")</f>
        <v>0</v>
      </c>
      <c r="AV253" s="39" t="n">
        <f aca="false">IFERROR(IF($C253="","",IF($D253="","",IFERROR(ROUND($D253*INDEX('🔖 배합비 참조'!$B$2:$CE$83,MATCH("복음땅콩분태",'🔖 배합비 참조'!$A$2:$A$83,0),MATCH($C253,'🔖 배합비 참조'!$B$1:$CE$1,0))/100,0),""))),"")</f>
        <v>0</v>
      </c>
      <c r="AW253" s="39" t="n">
        <f aca="false">IFERROR(IF($C253="","",IF($D253="","",IFERROR(ROUND($D253*INDEX('🔖 배합비 참조'!$B$2:$CE$83,MATCH("사양벌꿀(국내산)",'🔖 배합비 참조'!$A$2:$A$83,0),MATCH($C253,'🔖 배합비 참조'!$B$1:$CE$1,0))/100,0),""))),"")</f>
        <v>0</v>
      </c>
      <c r="AX253" s="39" t="n">
        <f aca="false">IFERROR(IF($C253="","",IF($D253="","",IFERROR(ROUND($D253*INDEX('🔖 배합비 참조'!$B$2:$CE$83,MATCH("생크림",'🔖 배합비 참조'!$A$2:$A$83,0),MATCH($C253,'🔖 배합비 참조'!$B$1:$CE$1,0))/100,0),""))),"")</f>
        <v>0</v>
      </c>
      <c r="AY253" s="39" t="n">
        <f aca="false">IFERROR(IF($C253="","",IF($D253="","",IFERROR(ROUND($D253*INDEX('🔖 배합비 참조'!$B$2:$CE$83,MATCH("서양호박(국내산,뉴질랜드산)",'🔖 배합비 참조'!$A$2:$A$83,0),MATCH($C253,'🔖 배합비 참조'!$B$1:$CE$1,0))/100,0),""))),"")</f>
        <v>0</v>
      </c>
      <c r="AZ253" s="39" t="n">
        <f aca="false">IFERROR(IF($C253="","",IF($D253="","",IFERROR(ROUND($D253*INDEX('🔖 배합비 참조'!$B$2:$CE$83,MATCH("설탕",'🔖 배합비 참조'!$A$2:$A$83,0),MATCH($C253,'🔖 배합비 참조'!$B$1:$CE$1,0))/100,0),""))),"")</f>
        <v>3</v>
      </c>
      <c r="BA253" s="39" t="n">
        <f aca="false">IFERROR(IF($C253="","",IF($D253="","",IFERROR(ROUND($D253*INDEX('🔖 배합비 참조'!$B$2:$CE$83,MATCH("스트로우베리 에이드 후레쉬",'🔖 배합비 참조'!$A$2:$A$83,0),MATCH($C253,'🔖 배합비 참조'!$B$1:$CE$1,0))/100,0),""))),"")</f>
        <v>0</v>
      </c>
      <c r="BB253" s="39" t="n">
        <f aca="false">IFERROR(IF($C253="","",IF($D253="","",IFERROR(ROUND($D253*INDEX('🔖 배합비 참조'!$B$2:$CE$83,MATCH("식물성기름혼합제제(분홍)",'🔖 배합비 참조'!$A$2:$A$83,0),MATCH($C253,'🔖 배합비 참조'!$B$1:$CE$1,0))/100,0),""))),"")</f>
        <v>0</v>
      </c>
      <c r="BC253" s="39" t="n">
        <f aca="false">IFERROR(IF($C253="","",IF($D253="","",IFERROR(ROUND($D253*INDEX('🔖 배합비 참조'!$B$2:$CE$83,MATCH("식물성기름혼합제제(초록)",'🔖 배합비 참조'!$A$2:$A$83,0),MATCH($C253,'🔖 배합비 참조'!$B$1:$CE$1,0))/100,0),""))),"")</f>
        <v>0</v>
      </c>
      <c r="BD253" s="39" t="n">
        <f aca="false">IFERROR(IF($C253="","",IF($D253="","",IFERROR(ROUND($D253*INDEX('🔖 배합비 참조'!$B$2:$CE$83,MATCH("식물성기름혼합제제(황색)",'🔖 배합비 참조'!$A$2:$A$83,0),MATCH($C253,'🔖 배합비 참조'!$B$1:$CE$1,0))/100,0),""))),"")</f>
        <v>0</v>
      </c>
      <c r="BE253" s="39" t="n">
        <f aca="false">IFERROR(IF($C253="","",IF($D253="","",IFERROR(ROUND($D253*INDEX('🔖 배합비 참조'!$B$2:$CE$83,MATCH("쑥가루(국내산)",'🔖 배합비 참조'!$A$2:$A$83,0),MATCH($C253,'🔖 배합비 참조'!$B$1:$CE$1,0))/100,0),""))),"")</f>
        <v>0</v>
      </c>
      <c r="BF253" s="39" t="n">
        <f aca="false">IFERROR(IF($C253="","",IF($D253="","",IFERROR(ROUND($D253*INDEX('🔖 배합비 참조'!$B$2:$CE$83,MATCH("아몬드슬라이스",'🔖 배합비 참조'!$A$2:$A$83,0),MATCH($C253,'🔖 배합비 참조'!$B$1:$CE$1,0))/100,0),""))),"")</f>
        <v>0</v>
      </c>
      <c r="BG253" s="39" t="n">
        <f aca="false">IFERROR(IF($C253="","",IF($D253="","",IFERROR(ROUND($D253*INDEX('🔖 배합비 참조'!$B$2:$CE$83,MATCH("알룰로오스(국내산)",'🔖 배합비 참조'!$A$2:$A$83,0),MATCH($C253,'🔖 배합비 참조'!$B$1:$CE$1,0))/100,0),""))),"")</f>
        <v>0</v>
      </c>
      <c r="BH253" s="39" t="n">
        <f aca="false">IFERROR(IF($C253="","",IF($D253="","",IFERROR(ROUND($D253*INDEX('🔖 배합비 참조'!$B$2:$CE$83,MATCH("연유",'🔖 배합비 참조'!$A$2:$A$83,0),MATCH($C253,'🔖 배합비 참조'!$B$1:$CE$1,0))/100,0),""))),"")</f>
        <v>0</v>
      </c>
      <c r="BI253" s="39" t="n">
        <f aca="false">IFERROR(IF($C253="","",IF($D253="","",IFERROR(ROUND($D253*INDEX('🔖 배합비 참조'!$B$2:$CE$83,MATCH("옥수수전분",'🔖 배합비 참조'!$A$2:$A$83,0),MATCH($C253,'🔖 배합비 참조'!$B$1:$CE$1,0))/100,0),""))),"")</f>
        <v>0</v>
      </c>
      <c r="BJ253" s="39" t="n">
        <f aca="false">IFERROR(IF($C253="","",IF($D253="","",IFERROR(ROUND($D253*INDEX('🔖 배합비 참조'!$B$2:$CE$83,MATCH("완두배기",'🔖 배합비 참조'!$A$2:$A$83,0),MATCH($C253,'🔖 배합비 참조'!$B$1:$CE$1,0))/100,0),""))),"")</f>
        <v>0</v>
      </c>
      <c r="BK253" s="39" t="n">
        <f aca="false">IFERROR(IF($C253="","",IF($D253="","",IFERROR(ROUND($D253*INDEX('🔖 배합비 참조'!$B$2:$CE$83,MATCH("우유(국내산)",'🔖 배합비 참조'!$A$2:$A$83,0),MATCH($C253,'🔖 배합비 참조'!$B$1:$CE$1,0))/100,0),""))),"")</f>
        <v>0</v>
      </c>
      <c r="BL253" s="39" t="n">
        <f aca="false">IFERROR(IF($C253="","",IF($D253="","",IFERROR(ROUND($D253*INDEX('🔖 배합비 참조'!$B$2:$CE$83,MATCH("자색고구마가루(중국산)",'🔖 배합비 참조'!$A$2:$A$83,0),MATCH($C253,'🔖 배합비 참조'!$B$1:$CE$1,0))/100,0),""))),"")</f>
        <v>0</v>
      </c>
      <c r="BM253" s="39" t="n">
        <f aca="false">IFERROR(IF($C253="","",IF($D253="","",IFERROR(ROUND($D253*INDEX('🔖 배합비 참조'!$B$2:$CE$83,MATCH("자연치즈(체다치즈)",'🔖 배합비 참조'!$A$2:$A$83,0),MATCH($C253,'🔖 배합비 참조'!$B$1:$CE$1,0))/100,0),""))),"")</f>
        <v>0</v>
      </c>
      <c r="BN253" s="39" t="n">
        <f aca="false">IFERROR(IF($C253="","",IF($D253="","",IFERROR(ROUND($D253*INDEX('🔖 배합비 참조'!$B$2:$CE$83,MATCH("정제수",'🔖 배합비 참조'!$A$2:$A$83,0),MATCH($C253,'🔖 배합비 참조'!$B$1:$CE$1,0))/100,0),""))),"")</f>
        <v>27</v>
      </c>
      <c r="BO253" s="39" t="n">
        <f aca="false">IFERROR(IF($C253="","",IF($D253="","",IFERROR(ROUND($D253*INDEX('🔖 배합비 참조'!$B$2:$CE$83,MATCH("젤라틴",'🔖 배합비 참조'!$A$2:$A$83,0),MATCH($C253,'🔖 배합비 참조'!$B$1:$CE$1,0))/100,0),""))),"")</f>
        <v>0</v>
      </c>
      <c r="BP253" s="39" t="n">
        <f aca="false">IFERROR(IF($C253="","",IF($D253="","",IFERROR(ROUND($D253*INDEX('🔖 배합비 참조'!$B$2:$CE$83,MATCH("조림류(백옥앙금)",'🔖 배합비 참조'!$A$2:$A$83,0),MATCH($C253,'🔖 배합비 참조'!$B$1:$CE$1,0))/100,0),""))),"")</f>
        <v>0</v>
      </c>
      <c r="BQ253" s="39" t="n">
        <f aca="false">IFERROR(IF($C253="","",IF($D253="","",IFERROR(ROUND($D253*INDEX('🔖 배합비 참조'!$B$2:$CE$83,MATCH("조림류(통팥앙금)",'🔖 배합비 참조'!$A$2:$A$83,0),MATCH($C253,'🔖 배합비 참조'!$B$1:$CE$1,0))/100,0),""))),"")</f>
        <v>0</v>
      </c>
      <c r="BR253" s="39" t="n">
        <f aca="false">IFERROR(IF($C253="","",IF($D253="","",IFERROR(ROUND($D253*INDEX('🔖 배합비 참조'!$B$2:$CE$83,MATCH("준초콜릿(외국산)",'🔖 배합비 참조'!$A$2:$A$83,0),MATCH($C253,'🔖 배합비 참조'!$B$1:$CE$1,0))/100,0),""))),"")</f>
        <v>0</v>
      </c>
      <c r="BS253" s="39" t="n">
        <f aca="false">IFERROR(IF($C253="","",IF($D253="","",IFERROR(ROUND($D253*INDEX('🔖 배합비 참조'!$B$2:$CE$83,MATCH("중력분",'🔖 배합비 참조'!$A$2:$A$83,0),MATCH($C253,'🔖 배합비 참조'!$B$1:$CE$1,0))/100,0),""))),"")</f>
        <v>1</v>
      </c>
      <c r="BT253" s="39" t="n">
        <f aca="false">IFERROR(IF($C253="","",IF($D253="","",IFERROR(ROUND($D253*INDEX('🔖 배합비 참조'!$B$2:$CE$83,MATCH("참깨(인도산,나이지리아산,탄자니아산,미얀마산)",'🔖 배합비 참조'!$A$2:$A$83,0),MATCH($C253,'🔖 배합비 참조'!$B$1:$CE$1,0))/100,0),""))),"")</f>
        <v>0</v>
      </c>
      <c r="BU253" s="39" t="n">
        <f aca="false">IFERROR(IF($C253="","",IF($D253="","",IFERROR(ROUND($D253*INDEX('🔖 배합비 참조'!$B$2:$CE$83,MATCH("찹쌀(국내산)",'🔖 배합비 참조'!$A$2:$A$83,0),MATCH($C253,'🔖 배합비 참조'!$B$1:$CE$1,0))/100,0),""))),"")</f>
        <v>33</v>
      </c>
      <c r="BV253" s="39" t="n">
        <f aca="false">IFERROR(IF($C253="","",IF($D253="","",IFERROR(ROUND($D253*INDEX('🔖 배합비 참조'!$B$2:$CE$83,MATCH("천일염",'🔖 배합비 참조'!$A$2:$A$83,0),MATCH($C253,'🔖 배합비 참조'!$B$1:$CE$1,0))/100,0),""))),"")</f>
        <v>1</v>
      </c>
      <c r="BW253" s="39" t="n">
        <f aca="false">IFERROR(IF($C253="","",IF($D253="","",IFERROR(ROUND($D253*INDEX('🔖 배합비 참조'!$B$2:$CE$83,MATCH("치즈 [크림치즈]",'🔖 배합비 참조'!$A$2:$A$83,0),MATCH($C253,'🔖 배합비 참조'!$B$1:$CE$1,0))/100,0),""))),"")</f>
        <v>0</v>
      </c>
      <c r="BX253" s="39" t="n">
        <f aca="false">IFERROR(IF($C253="","",IF($D253="","",IFERROR(ROUND($D253*INDEX('🔖 배합비 참조'!$B$2:$CE$83,MATCH("코코아가공품류(코코아분말)",'🔖 배합비 참조'!$A$2:$A$83,0),MATCH($C253,'🔖 배합비 참조'!$B$1:$CE$1,0))/100,0),""))),"")</f>
        <v>0</v>
      </c>
      <c r="BY253" s="39" t="n">
        <f aca="false">IFERROR(IF($C253="","",IF($D253="","",IFERROR(ROUND($D253*INDEX('🔖 배합비 참조'!$B$2:$CE$83,MATCH("콩기름(대두유)",'🔖 배합비 참조'!$A$2:$A$83,0),MATCH($C253,'🔖 배합비 참조'!$B$1:$CE$1,0))/100,0),""))),"")</f>
        <v>0</v>
      </c>
      <c r="BZ253" s="39" t="n">
        <f aca="false">IFERROR(IF($C253="","",IF($D253="","",IFERROR(ROUND($D253*INDEX('🔖 배합비 참조'!$B$2:$CE$83,MATCH("해바라기씨앗",'🔖 배합비 참조'!$A$2:$A$83,0),MATCH($C253,'🔖 배합비 참조'!$B$1:$CE$1,0))/100,0),""))),"")</f>
        <v>0</v>
      </c>
      <c r="CA253" s="39" t="n">
        <f aca="false">IFERROR(IF($C253="","",IF($D253="","",IFERROR(ROUND($D253*INDEX('🔖 배합비 참조'!$B$2:$CE$83,MATCH("현미(국내산)",'🔖 배합비 참조'!$A$2:$A$83,0),MATCH($C253,'🔖 배합비 참조'!$B$1:$CE$1,0))/100,0),""))),"")</f>
        <v>0</v>
      </c>
      <c r="CB253" s="39" t="n">
        <f aca="false">IFERROR(IF($C253="","",IF($D253="","",IFERROR(ROUND($D253*INDEX('🔖 배합비 참조'!$B$2:$CE$83,MATCH("현미멥쌀(국내산)",'🔖 배합비 참조'!$A$2:$A$83,0),MATCH($C253,'🔖 배합비 참조'!$B$1:$CE$1,0))/100,0),""))),"")</f>
        <v>0</v>
      </c>
      <c r="CC253" s="39" t="n">
        <f aca="false">IFERROR(IF($C253="","",IF($D253="","",IFERROR(ROUND($D253*INDEX('🔖 배합비 참조'!$B$2:$CE$83,MATCH("호두분태(미국산)",'🔖 배합비 참조'!$A$2:$A$83,0),MATCH($C253,'🔖 배합비 참조'!$B$1:$CE$1,0))/100,0),""))),"")</f>
        <v>0</v>
      </c>
      <c r="CD253" s="39" t="n">
        <f aca="false">IFERROR(IF($C253="","",IF($D253="","",IFERROR(ROUND($D253*INDEX('🔖 배합비 참조'!$B$2:$CE$83,MATCH("호박씨앗(외국산)",'🔖 배합비 참조'!$A$2:$A$83,0),MATCH($C253,'🔖 배합비 참조'!$B$1:$CE$1,0))/100,0),""))),"")</f>
        <v>0</v>
      </c>
      <c r="CE253" s="39" t="n">
        <f aca="false">IFERROR(IF($C253="","",IF($D253="","",IFERROR(ROUND($D253*INDEX('🔖 배합비 참조'!$B$2:$CE$83,MATCH("혼합제제(떡용에스텔)",'🔖 배합비 참조'!$A$2:$A$83,0),MATCH($C253,'🔖 배합비 참조'!$B$1:$CE$1,0))/100,0),""))),"")</f>
        <v>0</v>
      </c>
      <c r="CF253" s="39" t="n">
        <f aca="false">IFERROR(IF($C253="","",IF($D253="","",IFERROR(ROUND($D253*INDEX('🔖 배합비 참조'!$B$2:$CE$83,MATCH("혼합제제(스테비아)",'🔖 배합비 참조'!$A$2:$A$83,0),MATCH($C253,'🔖 배합비 참조'!$B$1:$CE$1,0))/100,0),""))),"")</f>
        <v>0</v>
      </c>
      <c r="CG253" s="39" t="n">
        <f aca="false">IFERROR(IF($C253="","",IF($D253="","",IFERROR(ROUND($D253*INDEX('🔖 배합비 참조'!$B$2:$CE$83,MATCH("화이트초콜릿",'🔖 배합비 참조'!$A$2:$A$83,0),MATCH($C253,'🔖 배합비 참조'!$B$1:$CE$1,0))/100,0),""))),"")</f>
        <v>0</v>
      </c>
      <c r="CH253" s="39" t="n">
        <f aca="false">IFERROR(IF($C253="","",IF($D253="","",IFERROR(ROUND($D253*INDEX('🔖 배합비 참조'!$B$2:$CE$83,MATCH("흑미찹쌀(국내산)",'🔖 배합비 참조'!$A$2:$A$83,0),MATCH($C253,'🔖 배합비 참조'!$B$1:$CE$1,0))/100,0),""))),"")</f>
        <v>0</v>
      </c>
      <c r="CI253" s="39" t="n">
        <f aca="false">IFERROR(IF($C253="","",IF($D253="","",IFERROR(ROUND($D253*INDEX('🔖 배합비 참조'!$B$2:$CE$83,MATCH("찰옥수수전분(미국산)",'🔖 배합비 참조'!$A$2:$A$83,0),MATCH($C253,'🔖 배합비 참조'!$B$1:$CE$1,0))/100,0),""))),"")</f>
        <v>0</v>
      </c>
      <c r="CJ253" s="40"/>
      <c r="CL253" s="1" t="s">
        <v>248</v>
      </c>
    </row>
    <row r="254" customFormat="false" ht="18" hidden="false" customHeight="true" outlineLevel="0" collapsed="false">
      <c r="A254" s="41" t="n">
        <v>250</v>
      </c>
      <c r="B254" s="36" t="n">
        <v>46085</v>
      </c>
      <c r="C254" s="37" t="s">
        <v>191</v>
      </c>
      <c r="D254" s="38" t="n">
        <v>1100</v>
      </c>
      <c r="E254" s="17"/>
      <c r="F254" s="17"/>
      <c r="G254" s="42" t="n">
        <f aca="false">IFERROR(IF($C254="","",IF($D254="","",IFERROR(ROUND($D254*INDEX('🔖 배합비 참조'!$B$2:$CE$83,MATCH("간장",'🔖 배합비 참조'!$A$2:$A$83,0),MATCH($C254,'🔖 배합비 참조'!$B$1:$CE$1,0))/100,0),""))),"")</f>
        <v>0</v>
      </c>
      <c r="H254" s="42" t="n">
        <f aca="false">IFERROR(IF($C254="","",IF($D254="","",IFERROR(ROUND($D254*INDEX('🔖 배합비 참조'!$B$2:$CE$83,MATCH("강낭콩((울타리콩))",'🔖 배합비 참조'!$A$2:$A$83,0),MATCH($C254,'🔖 배합비 참조'!$B$1:$CE$1,0))/100,0),""))),"")</f>
        <v>0</v>
      </c>
      <c r="I254" s="42" t="n">
        <f aca="false">IFERROR(IF($C254="","",IF($D254="","",IFERROR(ROUND($D254*INDEX('🔖 배합비 참조'!$B$2:$CE$83,MATCH("건조딸기다이스(외국산)",'🔖 배합비 참조'!$A$2:$A$83,0),MATCH($C254,'🔖 배합비 참조'!$B$1:$CE$1,0))/100,0),""))),"")</f>
        <v>0</v>
      </c>
      <c r="J254" s="42" t="n">
        <f aca="false">IFERROR(IF($C254="","",IF($D254="","",IFERROR(ROUND($D254*INDEX('🔖 배합비 참조'!$B$2:$CE$83,MATCH("건포도",'🔖 배합비 참조'!$A$2:$A$83,0),MATCH($C254,'🔖 배합비 참조'!$B$1:$CE$1,0))/100,0),""))),"")</f>
        <v>0</v>
      </c>
      <c r="K254" s="42" t="n">
        <f aca="false">IFERROR(IF($C254="","",IF($D254="","",IFERROR(ROUND($D254*INDEX('🔖 배합비 참조'!$B$2:$CE$83,MATCH("건호박채(중국산)",'🔖 배합비 참조'!$A$2:$A$83,0),MATCH($C254,'🔖 배합비 참조'!$B$1:$CE$1,0))/100,0),""))),"")</f>
        <v>0</v>
      </c>
      <c r="L254" s="42" t="n">
        <f aca="false">IFERROR(IF($C254="","",IF($D254="","",IFERROR(ROUND($D254*INDEX('🔖 배합비 참조'!$B$2:$CE$83,MATCH("검정깨(흑임자)",'🔖 배합비 참조'!$A$2:$A$83,0),MATCH($C254,'🔖 배합비 참조'!$B$1:$CE$1,0))/100,0),""))),"")</f>
        <v>0</v>
      </c>
      <c r="M254" s="42" t="n">
        <f aca="false">IFERROR(IF($C254="","",IF($D254="","",IFERROR(ROUND($D254*INDEX('🔖 배합비 참조'!$B$2:$CE$83,MATCH("검정콩",'🔖 배합비 참조'!$A$2:$A$83,0),MATCH($C254,'🔖 배합비 참조'!$B$1:$CE$1,0))/100,0),""))),"")</f>
        <v>0</v>
      </c>
      <c r="N254" s="42" t="n">
        <f aca="false">IFERROR(IF($C254="","",IF($D254="","",IFERROR(ROUND($D254*INDEX('🔖 배합비 참조'!$B$2:$CE$83,MATCH("계피가루",'🔖 배합비 참조'!$A$2:$A$83,0),MATCH($C254,'🔖 배합비 참조'!$B$1:$CE$1,0))/100,0),""))),"")</f>
        <v>0</v>
      </c>
      <c r="O254" s="42" t="n">
        <f aca="false">IFERROR(IF($C254="","",IF($D254="","",IFERROR(ROUND($D254*INDEX('🔖 배합비 참조'!$B$2:$CE$83,MATCH("고구마가루",'🔖 배합비 참조'!$A$2:$A$83,0),MATCH($C254,'🔖 배합비 참조'!$B$1:$CE$1,0))/100,0),""))),"")</f>
        <v>0</v>
      </c>
      <c r="P254" s="42" t="n">
        <f aca="false">IFERROR(IF($C254="","",IF($D254="","",IFERROR(ROUND($D254*INDEX('🔖 배합비 참조'!$B$2:$CE$83,MATCH("고구마무스",'🔖 배합비 참조'!$A$2:$A$83,0),MATCH($C254,'🔖 배합비 참조'!$B$1:$CE$1,0))/100,0),""))),"")</f>
        <v>0</v>
      </c>
      <c r="Q254" s="42" t="n">
        <f aca="false">IFERROR(IF($C254="","",IF($D254="","",IFERROR(ROUND($D254*INDEX('🔖 배합비 참조'!$B$2:$CE$83,MATCH("고려엉겅퀴((곤드레)국내산)",'🔖 배합비 참조'!$A$2:$A$83,0),MATCH($C254,'🔖 배합비 참조'!$B$1:$CE$1,0))/100,0),""))),"")</f>
        <v>0</v>
      </c>
      <c r="R254" s="42" t="n">
        <f aca="false">IFERROR(IF($C254="","",IF($D254="","",IFERROR(ROUND($D254*INDEX('🔖 배합비 참조'!$B$2:$CE$83,MATCH("기타가공품(복분자가루)",'🔖 배합비 참조'!$A$2:$A$83,0),MATCH($C254,'🔖 배합비 참조'!$B$1:$CE$1,0))/100,0),""))),"")</f>
        <v>0</v>
      </c>
      <c r="S254" s="42" t="n">
        <f aca="false">IFERROR(IF($C254="","",IF($D254="","",IFERROR(ROUND($D254*INDEX('🔖 배합비 참조'!$B$2:$CE$83,MATCH("기타가공품(슈퍼소프트엠)",'🔖 배합비 참조'!$A$2:$A$83,0),MATCH($C254,'🔖 배합비 참조'!$B$1:$CE$1,0))/100,0),""))),"")</f>
        <v>0</v>
      </c>
      <c r="T254" s="42" t="n">
        <f aca="false">IFERROR(IF($C254="","",IF($D254="","",IFERROR(ROUND($D254*INDEX('🔖 배합비 참조'!$B$2:$CE$83,MATCH("기타가공품(파인소프트 E-티)",'🔖 배합비 참조'!$A$2:$A$83,0),MATCH($C254,'🔖 배합비 참조'!$B$1:$CE$1,0))/100,0),""))),"")</f>
        <v>0</v>
      </c>
      <c r="U254" s="42" t="n">
        <f aca="false">IFERROR(IF($C254="","",IF($D254="","",IFERROR(ROUND($D254*INDEX('🔖 배합비 참조'!$B$2:$CE$83,MATCH("기타가공품(프리미엄카스테라가루)",'🔖 배합비 참조'!$A$2:$A$83,0),MATCH($C254,'🔖 배합비 참조'!$B$1:$CE$1,0))/100,0),""))),"")</f>
        <v>0</v>
      </c>
      <c r="V254" s="42" t="n">
        <f aca="false">IFERROR(IF($C254="","",IF($D254="","",IFERROR(ROUND($D254*INDEX('🔖 배합비 참조'!$B$2:$CE$83,MATCH("기타가공품(흑임자가루)",'🔖 배합비 참조'!$A$2:$A$83,0),MATCH($C254,'🔖 배합비 참조'!$B$1:$CE$1,0))/100,0),""))),"")</f>
        <v>0</v>
      </c>
      <c r="W254" s="42" t="n">
        <f aca="false">IFERROR(IF($C254="","",IF($D254="","",IFERROR(ROUND($D254*INDEX('🔖 배합비 참조'!$B$2:$CE$83,MATCH("기타설탕(흑설탕)",'🔖 배합비 참조'!$A$2:$A$83,0),MATCH($C254,'🔖 배합비 참조'!$B$1:$CE$1,0))/100,0),""))),"")</f>
        <v>0</v>
      </c>
      <c r="X254" s="42" t="n">
        <f aca="false">IFERROR(IF($C254="","",IF($D254="","",IFERROR(ROUND($D254*INDEX('🔖 배합비 참조'!$B$2:$CE$83,MATCH("냉동쑥(국내산)",'🔖 배합비 참조'!$A$2:$A$83,0),MATCH($C254,'🔖 배합비 참조'!$B$1:$CE$1,0))/100,0),""))),"")</f>
        <v>0</v>
      </c>
      <c r="Y254" s="42" t="n">
        <f aca="false">IFERROR(IF($C254="","",IF($D254="","",IFERROR(ROUND($D254*INDEX('🔖 배합비 참조'!$B$2:$CE$83,MATCH("냉동증숙고구마(중국산)",'🔖 배합비 참조'!$A$2:$A$83,0),MATCH($C254,'🔖 배합비 참조'!$B$1:$CE$1,0))/100,0),""))),"")</f>
        <v>0</v>
      </c>
      <c r="Z254" s="42" t="n">
        <f aca="false">IFERROR(IF($C254="","",IF($D254="","",IFERROR(ROUND($D254*INDEX('🔖 배합비 참조'!$B$2:$CE$83,MATCH("녹차가루",'🔖 배합비 참조'!$A$2:$A$83,0),MATCH($C254,'🔖 배합비 참조'!$B$1:$CE$1,0))/100,0),""))),"")</f>
        <v>0</v>
      </c>
      <c r="AA254" s="42" t="n">
        <f aca="false">IFERROR(IF($C254="","",IF($D254="","",IFERROR(ROUND($D254*INDEX('🔖 배합비 참조'!$B$2:$CE$83,MATCH("다크초콜릿 컴파운드칩",'🔖 배합비 참조'!$A$2:$A$83,0),MATCH($C254,'🔖 배합비 참조'!$B$1:$CE$1,0))/100,0),""))),"")</f>
        <v>0</v>
      </c>
      <c r="AB254" s="42" t="n">
        <f aca="false">IFERROR(IF($C254="","",IF($D254="","",IFERROR(ROUND($D254*INDEX('🔖 배합비 참조'!$B$2:$CE$83,MATCH("단호박분말(중국산)",'🔖 배합비 참조'!$A$2:$A$83,0),MATCH($C254,'🔖 배합비 참조'!$B$1:$CE$1,0))/100,0),""))),"")</f>
        <v>0</v>
      </c>
      <c r="AC254" s="42" t="n">
        <f aca="false">IFERROR(IF($C254="","",IF($D254="","",IFERROR(ROUND($D254*INDEX('🔖 배합비 참조'!$B$2:$CE$83,MATCH("당류가공품(단호박농축액)",'🔖 배합비 참조'!$A$2:$A$83,0),MATCH($C254,'🔖 배합비 참조'!$B$1:$CE$1,0))/100,0),""))),"")</f>
        <v>0</v>
      </c>
      <c r="AD254" s="42" t="n">
        <f aca="false">IFERROR(IF($C254="","",IF($D254="","",IFERROR(ROUND($D254*INDEX('🔖 배합비 참조'!$B$2:$CE$83,MATCH("당류가공품(알룰로스,에리스리톨,스테비올배당체혼합)",'🔖 배합비 참조'!$A$2:$A$83,0),MATCH($C254,'🔖 배합비 참조'!$B$1:$CE$1,0))/100,0),""))),"")</f>
        <v>0</v>
      </c>
      <c r="AE254" s="42" t="n">
        <f aca="false">IFERROR(IF($C254="","",IF($D254="","",IFERROR(ROUND($D254*INDEX('🔖 배합비 참조'!$B$2:$CE$83,MATCH("당류가공품(알룰로스제로파우더)",'🔖 배합비 참조'!$A$2:$A$83,0),MATCH($C254,'🔖 배합비 참조'!$B$1:$CE$1,0))/100,0),""))),"")</f>
        <v>0</v>
      </c>
      <c r="AF254" s="42" t="n">
        <f aca="false">IFERROR(IF($C254="","",IF($D254="","",IFERROR(ROUND($D254*INDEX('🔖 배합비 참조'!$B$2:$CE$83,MATCH("당절임(완두배기)",'🔖 배합비 참조'!$A$2:$A$83,0),MATCH($C254,'🔖 배합비 참조'!$B$1:$CE$1,0))/100,0),""))),"")</f>
        <v>0</v>
      </c>
      <c r="AG254" s="42" t="n">
        <f aca="false">IFERROR(IF($C254="","",IF($D254="","",IFERROR(ROUND($D254*INDEX('🔖 배합비 참조'!$B$2:$CE$83,MATCH("대추농축액",'🔖 배합비 참조'!$A$2:$A$83,0),MATCH($C254,'🔖 배합비 참조'!$B$1:$CE$1,0))/100,0),""))),"")</f>
        <v>0</v>
      </c>
      <c r="AH254" s="42" t="n">
        <f aca="false">IFERROR(IF($C254="","",IF($D254="","",IFERROR(ROUND($D254*INDEX('🔖 배합비 참조'!$B$2:$CE$83,MATCH("대추채(국내산)",'🔖 배합비 참조'!$A$2:$A$83,0),MATCH($C254,'🔖 배합비 참조'!$B$1:$CE$1,0))/100,0),""))),"")</f>
        <v>0</v>
      </c>
      <c r="AI254" s="42" t="n">
        <f aca="false">IFERROR(IF($C254="","",IF($D254="","",IFERROR(ROUND($D254*INDEX('🔖 배합비 참조'!$B$2:$CE$83,MATCH("동부(미얀마산)",'🔖 배합비 참조'!$A$2:$A$83,0),MATCH($C254,'🔖 배합비 참조'!$B$1:$CE$1,0))/100,0),""))),"")</f>
        <v>0</v>
      </c>
      <c r="AJ254" s="42" t="n">
        <f aca="false">IFERROR(IF($C254="","",IF($D254="","",IFERROR(ROUND($D254*INDEX('🔖 배합비 참조'!$B$2:$CE$83,MATCH("두류가공품(백옥앙금)",'🔖 배합비 참조'!$A$2:$A$83,0),MATCH($C254,'🔖 배합비 참조'!$B$1:$CE$1,0))/100,0),""))),"")</f>
        <v>0</v>
      </c>
      <c r="AK254" s="42" t="n">
        <f aca="false">IFERROR(IF($C254="","",IF($D254="","",IFERROR(ROUND($D254*INDEX('🔖 배합비 참조'!$B$2:$CE$83,MATCH("두류가공품(콩고물)",'🔖 배합비 참조'!$A$2:$A$83,0),MATCH($C254,'🔖 배합비 참조'!$B$1:$CE$1,0))/100,0),""))),"")</f>
        <v>0</v>
      </c>
      <c r="AL254" s="42" t="n">
        <f aca="false">IFERROR(IF($C254="","",IF($D254="","",IFERROR(ROUND($D254*INDEX('🔖 배합비 참조'!$B$2:$CE$83,MATCH("두류가공품(통팥고물)",'🔖 배합비 참조'!$A$2:$A$83,0),MATCH($C254,'🔖 배합비 참조'!$B$1:$CE$1,0))/100,0),""))),"")</f>
        <v>0</v>
      </c>
      <c r="AM254" s="42" t="n">
        <f aca="false">IFERROR(IF($C254="","",IF($D254="","",IFERROR(ROUND($D254*INDEX('🔖 배합비 참조'!$B$2:$CE$83,MATCH("딸기레진",'🔖 배합비 참조'!$A$2:$A$83,0),MATCH($C254,'🔖 배합비 참조'!$B$1:$CE$1,0))/100,0),""))),"")</f>
        <v>0</v>
      </c>
      <c r="AN254" s="42" t="n">
        <f aca="false">IFERROR(IF($C254="","",IF($D254="","",IFERROR(ROUND($D254*INDEX('🔖 배합비 참조'!$B$2:$CE$83,MATCH("딸기분말(스트로우베리에이드(분말))",'🔖 배합비 참조'!$A$2:$A$83,0),MATCH($C254,'🔖 배합비 참조'!$B$1:$CE$1,0))/100,0),""))),"")</f>
        <v>0</v>
      </c>
      <c r="AO254" s="42" t="n">
        <f aca="false">IFERROR(IF($C254="","",IF($D254="","",IFERROR(ROUND($D254*INDEX('🔖 배합비 참조'!$B$2:$CE$83,MATCH("마스카포네치즈",'🔖 배합비 참조'!$A$2:$A$83,0),MATCH($C254,'🔖 배합비 참조'!$B$1:$CE$1,0))/100,0),""))),"")</f>
        <v>0</v>
      </c>
      <c r="AP254" s="42" t="n">
        <f aca="false">IFERROR(IF($C254="","",IF($D254="","",IFERROR(ROUND($D254*INDEX('🔖 배합비 참조'!$B$2:$CE$83,MATCH("마카다미아분태(호주산)",'🔖 배합비 참조'!$A$2:$A$83,0),MATCH($C254,'🔖 배합비 참조'!$B$1:$CE$1,0))/100,0),""))),"")</f>
        <v>0</v>
      </c>
      <c r="AQ254" s="42" t="n">
        <f aca="false">IFERROR(IF($C254="","",IF($D254="","",IFERROR(ROUND($D254*INDEX('🔖 배합비 참조'!$B$2:$CE$83,MATCH("멥쌀(국내산)",'🔖 배합비 참조'!$A$2:$A$83,0),MATCH($C254,'🔖 배합비 참조'!$B$1:$CE$1,0))/100,0),""))),"")</f>
        <v>22</v>
      </c>
      <c r="AR254" s="42" t="n">
        <f aca="false">IFERROR(IF($C254="","",IF($D254="","",IFERROR(ROUND($D254*INDEX('🔖 배합비 참조'!$B$2:$CE$83,MATCH("모시잎(국내산)",'🔖 배합비 참조'!$A$2:$A$83,0),MATCH($C254,'🔖 배합비 참조'!$B$1:$CE$1,0))/100,0),""))),"")</f>
        <v>0</v>
      </c>
      <c r="AS254" s="42" t="n">
        <f aca="false">IFERROR(IF($C254="","",IF($D254="","",IFERROR(ROUND($D254*INDEX('🔖 배합비 참조'!$B$2:$CE$83,MATCH("물엿(저당물엿)",'🔖 배합비 참조'!$A$2:$A$83,0),MATCH($C254,'🔖 배합비 참조'!$B$1:$CE$1,0))/100,0),""))),"")</f>
        <v>0</v>
      </c>
      <c r="AT254" s="42" t="n">
        <f aca="false">IFERROR(IF($C254="","",IF($D254="","",IFERROR(ROUND($D254*INDEX('🔖 배합비 참조'!$B$2:$CE$83,MATCH("밤다이스",'🔖 배합비 참조'!$A$2:$A$83,0),MATCH($C254,'🔖 배합비 참조'!$B$1:$CE$1,0))/100,0),""))),"")</f>
        <v>0</v>
      </c>
      <c r="AU254" s="42" t="n">
        <f aca="false">IFERROR(IF($C254="","",IF($D254="","",IFERROR(ROUND($D254*INDEX('🔖 배합비 참조'!$B$2:$CE$83,MATCH("변성전분(타피오카전분)",'🔖 배합비 참조'!$A$2:$A$83,0),MATCH($C254,'🔖 배합비 참조'!$B$1:$CE$1,0))/100,0),""))),"")</f>
        <v>0</v>
      </c>
      <c r="AV254" s="42" t="n">
        <f aca="false">IFERROR(IF($C254="","",IF($D254="","",IFERROR(ROUND($D254*INDEX('🔖 배합비 참조'!$B$2:$CE$83,MATCH("복음땅콩분태",'🔖 배합비 참조'!$A$2:$A$83,0),MATCH($C254,'🔖 배합비 참조'!$B$1:$CE$1,0))/100,0),""))),"")</f>
        <v>0</v>
      </c>
      <c r="AW254" s="42" t="n">
        <f aca="false">IFERROR(IF($C254="","",IF($D254="","",IFERROR(ROUND($D254*INDEX('🔖 배합비 참조'!$B$2:$CE$83,MATCH("사양벌꿀(국내산)",'🔖 배합비 참조'!$A$2:$A$83,0),MATCH($C254,'🔖 배합비 참조'!$B$1:$CE$1,0))/100,0),""))),"")</f>
        <v>0</v>
      </c>
      <c r="AX254" s="42" t="n">
        <f aca="false">IFERROR(IF($C254="","",IF($D254="","",IFERROR(ROUND($D254*INDEX('🔖 배합비 참조'!$B$2:$CE$83,MATCH("생크림",'🔖 배합비 참조'!$A$2:$A$83,0),MATCH($C254,'🔖 배합비 참조'!$B$1:$CE$1,0))/100,0),""))),"")</f>
        <v>0</v>
      </c>
      <c r="AY254" s="42" t="n">
        <f aca="false">IFERROR(IF($C254="","",IF($D254="","",IFERROR(ROUND($D254*INDEX('🔖 배합비 참조'!$B$2:$CE$83,MATCH("서양호박(국내산,뉴질랜드산)",'🔖 배합비 참조'!$A$2:$A$83,0),MATCH($C254,'🔖 배합비 참조'!$B$1:$CE$1,0))/100,0),""))),"")</f>
        <v>0</v>
      </c>
      <c r="AZ254" s="42" t="n">
        <f aca="false">IFERROR(IF($C254="","",IF($D254="","",IFERROR(ROUND($D254*INDEX('🔖 배합비 참조'!$B$2:$CE$83,MATCH("설탕",'🔖 배합비 참조'!$A$2:$A$83,0),MATCH($C254,'🔖 배합비 참조'!$B$1:$CE$1,0))/100,0),""))),"")</f>
        <v>209</v>
      </c>
      <c r="BA254" s="42" t="n">
        <f aca="false">IFERROR(IF($C254="","",IF($D254="","",IFERROR(ROUND($D254*INDEX('🔖 배합비 참조'!$B$2:$CE$83,MATCH("스트로우베리 에이드 후레쉬",'🔖 배합비 참조'!$A$2:$A$83,0),MATCH($C254,'🔖 배합비 참조'!$B$1:$CE$1,0))/100,0),""))),"")</f>
        <v>0</v>
      </c>
      <c r="BB254" s="42" t="n">
        <f aca="false">IFERROR(IF($C254="","",IF($D254="","",IFERROR(ROUND($D254*INDEX('🔖 배합비 참조'!$B$2:$CE$83,MATCH("식물성기름혼합제제(분홍)",'🔖 배합비 참조'!$A$2:$A$83,0),MATCH($C254,'🔖 배합비 참조'!$B$1:$CE$1,0))/100,0),""))),"")</f>
        <v>0</v>
      </c>
      <c r="BC254" s="42" t="n">
        <f aca="false">IFERROR(IF($C254="","",IF($D254="","",IFERROR(ROUND($D254*INDEX('🔖 배합비 참조'!$B$2:$CE$83,MATCH("식물성기름혼합제제(초록)",'🔖 배합비 참조'!$A$2:$A$83,0),MATCH($C254,'🔖 배합비 참조'!$B$1:$CE$1,0))/100,0),""))),"")</f>
        <v>0</v>
      </c>
      <c r="BD254" s="42" t="n">
        <f aca="false">IFERROR(IF($C254="","",IF($D254="","",IFERROR(ROUND($D254*INDEX('🔖 배합비 참조'!$B$2:$CE$83,MATCH("식물성기름혼합제제(황색)",'🔖 배합비 참조'!$A$2:$A$83,0),MATCH($C254,'🔖 배합비 참조'!$B$1:$CE$1,0))/100,0),""))),"")</f>
        <v>0</v>
      </c>
      <c r="BE254" s="42" t="n">
        <f aca="false">IFERROR(IF($C254="","",IF($D254="","",IFERROR(ROUND($D254*INDEX('🔖 배합비 참조'!$B$2:$CE$83,MATCH("쑥가루(국내산)",'🔖 배합비 참조'!$A$2:$A$83,0),MATCH($C254,'🔖 배합비 참조'!$B$1:$CE$1,0))/100,0),""))),"")</f>
        <v>0</v>
      </c>
      <c r="BF254" s="42" t="n">
        <f aca="false">IFERROR(IF($C254="","",IF($D254="","",IFERROR(ROUND($D254*INDEX('🔖 배합비 참조'!$B$2:$CE$83,MATCH("아몬드슬라이스",'🔖 배합비 참조'!$A$2:$A$83,0),MATCH($C254,'🔖 배합비 참조'!$B$1:$CE$1,0))/100,0),""))),"")</f>
        <v>0</v>
      </c>
      <c r="BG254" s="42" t="n">
        <f aca="false">IFERROR(IF($C254="","",IF($D254="","",IFERROR(ROUND($D254*INDEX('🔖 배합비 참조'!$B$2:$CE$83,MATCH("알룰로오스(국내산)",'🔖 배합비 참조'!$A$2:$A$83,0),MATCH($C254,'🔖 배합비 참조'!$B$1:$CE$1,0))/100,0),""))),"")</f>
        <v>0</v>
      </c>
      <c r="BH254" s="42" t="n">
        <f aca="false">IFERROR(IF($C254="","",IF($D254="","",IFERROR(ROUND($D254*INDEX('🔖 배합비 참조'!$B$2:$CE$83,MATCH("연유",'🔖 배합비 참조'!$A$2:$A$83,0),MATCH($C254,'🔖 배합비 참조'!$B$1:$CE$1,0))/100,0),""))),"")</f>
        <v>0</v>
      </c>
      <c r="BI254" s="42" t="n">
        <f aca="false">IFERROR(IF($C254="","",IF($D254="","",IFERROR(ROUND($D254*INDEX('🔖 배합비 참조'!$B$2:$CE$83,MATCH("옥수수전분",'🔖 배합비 참조'!$A$2:$A$83,0),MATCH($C254,'🔖 배합비 참조'!$B$1:$CE$1,0))/100,0),""))),"")</f>
        <v>0</v>
      </c>
      <c r="BJ254" s="42" t="n">
        <f aca="false">IFERROR(IF($C254="","",IF($D254="","",IFERROR(ROUND($D254*INDEX('🔖 배합비 참조'!$B$2:$CE$83,MATCH("완두배기",'🔖 배합비 참조'!$A$2:$A$83,0),MATCH($C254,'🔖 배합비 참조'!$B$1:$CE$1,0))/100,0),""))),"")</f>
        <v>0</v>
      </c>
      <c r="BK254" s="42" t="n">
        <f aca="false">IFERROR(IF($C254="","",IF($D254="","",IFERROR(ROUND($D254*INDEX('🔖 배합비 참조'!$B$2:$CE$83,MATCH("우유(국내산)",'🔖 배합비 참조'!$A$2:$A$83,0),MATCH($C254,'🔖 배합비 참조'!$B$1:$CE$1,0))/100,0),""))),"")</f>
        <v>0</v>
      </c>
      <c r="BL254" s="42" t="n">
        <f aca="false">IFERROR(IF($C254="","",IF($D254="","",IFERROR(ROUND($D254*INDEX('🔖 배합비 참조'!$B$2:$CE$83,MATCH("자색고구마가루(중국산)",'🔖 배합비 참조'!$A$2:$A$83,0),MATCH($C254,'🔖 배합비 참조'!$B$1:$CE$1,0))/100,0),""))),"")</f>
        <v>0</v>
      </c>
      <c r="BM254" s="42" t="n">
        <f aca="false">IFERROR(IF($C254="","",IF($D254="","",IFERROR(ROUND($D254*INDEX('🔖 배합비 참조'!$B$2:$CE$83,MATCH("자연치즈(체다치즈)",'🔖 배합비 참조'!$A$2:$A$83,0),MATCH($C254,'🔖 배합비 참조'!$B$1:$CE$1,0))/100,0),""))),"")</f>
        <v>0</v>
      </c>
      <c r="BN254" s="42" t="n">
        <f aca="false">IFERROR(IF($C254="","",IF($D254="","",IFERROR(ROUND($D254*INDEX('🔖 배합비 참조'!$B$2:$CE$83,MATCH("정제수",'🔖 배합비 참조'!$A$2:$A$83,0),MATCH($C254,'🔖 배합비 참조'!$B$1:$CE$1,0))/100,0),""))),"")</f>
        <v>33</v>
      </c>
      <c r="BO254" s="42" t="n">
        <f aca="false">IFERROR(IF($C254="","",IF($D254="","",IFERROR(ROUND($D254*INDEX('🔖 배합비 참조'!$B$2:$CE$83,MATCH("젤라틴",'🔖 배합비 참조'!$A$2:$A$83,0),MATCH($C254,'🔖 배합비 참조'!$B$1:$CE$1,0))/100,0),""))),"")</f>
        <v>0</v>
      </c>
      <c r="BP254" s="42" t="n">
        <f aca="false">IFERROR(IF($C254="","",IF($D254="","",IFERROR(ROUND($D254*INDEX('🔖 배합비 참조'!$B$2:$CE$83,MATCH("조림류(백옥앙금)",'🔖 배합비 참조'!$A$2:$A$83,0),MATCH($C254,'🔖 배합비 참조'!$B$1:$CE$1,0))/100,0),""))),"")</f>
        <v>0</v>
      </c>
      <c r="BQ254" s="42" t="n">
        <f aca="false">IFERROR(IF($C254="","",IF($D254="","",IFERROR(ROUND($D254*INDEX('🔖 배합비 참조'!$B$2:$CE$83,MATCH("조림류(통팥앙금)",'🔖 배합비 참조'!$A$2:$A$83,0),MATCH($C254,'🔖 배합비 참조'!$B$1:$CE$1,0))/100,0),""))),"")</f>
        <v>198</v>
      </c>
      <c r="BR254" s="42" t="n">
        <f aca="false">IFERROR(IF($C254="","",IF($D254="","",IFERROR(ROUND($D254*INDEX('🔖 배합비 참조'!$B$2:$CE$83,MATCH("준초콜릿(외국산)",'🔖 배합비 참조'!$A$2:$A$83,0),MATCH($C254,'🔖 배합비 참조'!$B$1:$CE$1,0))/100,0),""))),"")</f>
        <v>0</v>
      </c>
      <c r="BS254" s="42" t="n">
        <f aca="false">IFERROR(IF($C254="","",IF($D254="","",IFERROR(ROUND($D254*INDEX('🔖 배합비 참조'!$B$2:$CE$83,MATCH("중력분",'🔖 배합비 참조'!$A$2:$A$83,0),MATCH($C254,'🔖 배합비 참조'!$B$1:$CE$1,0))/100,0),""))),"")</f>
        <v>22</v>
      </c>
      <c r="BT254" s="42" t="n">
        <f aca="false">IFERROR(IF($C254="","",IF($D254="","",IFERROR(ROUND($D254*INDEX('🔖 배합비 참조'!$B$2:$CE$83,MATCH("참깨(인도산,나이지리아산,탄자니아산,미얀마산)",'🔖 배합비 참조'!$A$2:$A$83,0),MATCH($C254,'🔖 배합비 참조'!$B$1:$CE$1,0))/100,0),""))),"")</f>
        <v>0</v>
      </c>
      <c r="BU254" s="42" t="n">
        <f aca="false">IFERROR(IF($C254="","",IF($D254="","",IFERROR(ROUND($D254*INDEX('🔖 배합비 참조'!$B$2:$CE$83,MATCH("찹쌀(국내산)",'🔖 배합비 참조'!$A$2:$A$83,0),MATCH($C254,'🔖 배합비 참조'!$B$1:$CE$1,0))/100,0),""))),"")</f>
        <v>473</v>
      </c>
      <c r="BV254" s="42" t="n">
        <f aca="false">IFERROR(IF($C254="","",IF($D254="","",IFERROR(ROUND($D254*INDEX('🔖 배합비 참조'!$B$2:$CE$83,MATCH("천일염",'🔖 배합비 참조'!$A$2:$A$83,0),MATCH($C254,'🔖 배합비 참조'!$B$1:$CE$1,0))/100,0),""))),"")</f>
        <v>22</v>
      </c>
      <c r="BW254" s="42" t="n">
        <f aca="false">IFERROR(IF($C254="","",IF($D254="","",IFERROR(ROUND($D254*INDEX('🔖 배합비 참조'!$B$2:$CE$83,MATCH("치즈 [크림치즈]",'🔖 배합비 참조'!$A$2:$A$83,0),MATCH($C254,'🔖 배합비 참조'!$B$1:$CE$1,0))/100,0),""))),"")</f>
        <v>0</v>
      </c>
      <c r="BX254" s="42" t="n">
        <f aca="false">IFERROR(IF($C254="","",IF($D254="","",IFERROR(ROUND($D254*INDEX('🔖 배합비 참조'!$B$2:$CE$83,MATCH("코코아가공품류(코코아분말)",'🔖 배합비 참조'!$A$2:$A$83,0),MATCH($C254,'🔖 배합비 참조'!$B$1:$CE$1,0))/100,0),""))),"")</f>
        <v>0</v>
      </c>
      <c r="BY254" s="42" t="n">
        <f aca="false">IFERROR(IF($C254="","",IF($D254="","",IFERROR(ROUND($D254*INDEX('🔖 배합비 참조'!$B$2:$CE$83,MATCH("콩기름(대두유)",'🔖 배합비 참조'!$A$2:$A$83,0),MATCH($C254,'🔖 배합비 참조'!$B$1:$CE$1,0))/100,0),""))),"")</f>
        <v>0</v>
      </c>
      <c r="BZ254" s="42" t="n">
        <f aca="false">IFERROR(IF($C254="","",IF($D254="","",IFERROR(ROUND($D254*INDEX('🔖 배합비 참조'!$B$2:$CE$83,MATCH("해바라기씨앗",'🔖 배합비 참조'!$A$2:$A$83,0),MATCH($C254,'🔖 배합비 참조'!$B$1:$CE$1,0))/100,0),""))),"")</f>
        <v>0</v>
      </c>
      <c r="CA254" s="42" t="n">
        <f aca="false">IFERROR(IF($C254="","",IF($D254="","",IFERROR(ROUND($D254*INDEX('🔖 배합비 참조'!$B$2:$CE$83,MATCH("현미(국내산)",'🔖 배합비 참조'!$A$2:$A$83,0),MATCH($C254,'🔖 배합비 참조'!$B$1:$CE$1,0))/100,0),""))),"")</f>
        <v>0</v>
      </c>
      <c r="CB254" s="42" t="n">
        <f aca="false">IFERROR(IF($C254="","",IF($D254="","",IFERROR(ROUND($D254*INDEX('🔖 배합비 참조'!$B$2:$CE$83,MATCH("현미멥쌀(국내산)",'🔖 배합비 참조'!$A$2:$A$83,0),MATCH($C254,'🔖 배합비 참조'!$B$1:$CE$1,0))/100,0),""))),"")</f>
        <v>0</v>
      </c>
      <c r="CC254" s="42" t="n">
        <f aca="false">IFERROR(IF($C254="","",IF($D254="","",IFERROR(ROUND($D254*INDEX('🔖 배합비 참조'!$B$2:$CE$83,MATCH("호두분태(미국산)",'🔖 배합비 참조'!$A$2:$A$83,0),MATCH($C254,'🔖 배합비 참조'!$B$1:$CE$1,0))/100,0),""))),"")</f>
        <v>0</v>
      </c>
      <c r="CD254" s="42" t="n">
        <f aca="false">IFERROR(IF($C254="","",IF($D254="","",IFERROR(ROUND($D254*INDEX('🔖 배합비 참조'!$B$2:$CE$83,MATCH("호박씨앗(외국산)",'🔖 배합비 참조'!$A$2:$A$83,0),MATCH($C254,'🔖 배합비 참조'!$B$1:$CE$1,0))/100,0),""))),"")</f>
        <v>0</v>
      </c>
      <c r="CE254" s="42" t="n">
        <f aca="false">IFERROR(IF($C254="","",IF($D254="","",IFERROR(ROUND($D254*INDEX('🔖 배합비 참조'!$B$2:$CE$83,MATCH("혼합제제(떡용에스텔)",'🔖 배합비 참조'!$A$2:$A$83,0),MATCH($C254,'🔖 배합비 참조'!$B$1:$CE$1,0))/100,0),""))),"")</f>
        <v>22</v>
      </c>
      <c r="CF254" s="42" t="n">
        <f aca="false">IFERROR(IF($C254="","",IF($D254="","",IFERROR(ROUND($D254*INDEX('🔖 배합비 참조'!$B$2:$CE$83,MATCH("혼합제제(스테비아)",'🔖 배합비 참조'!$A$2:$A$83,0),MATCH($C254,'🔖 배합비 참조'!$B$1:$CE$1,0))/100,0),""))),"")</f>
        <v>0</v>
      </c>
      <c r="CG254" s="42" t="n">
        <f aca="false">IFERROR(IF($C254="","",IF($D254="","",IFERROR(ROUND($D254*INDEX('🔖 배합비 참조'!$B$2:$CE$83,MATCH("화이트초콜릿",'🔖 배합비 참조'!$A$2:$A$83,0),MATCH($C254,'🔖 배합비 참조'!$B$1:$CE$1,0))/100,0),""))),"")</f>
        <v>0</v>
      </c>
      <c r="CH254" s="42" t="n">
        <f aca="false">IFERROR(IF($C254="","",IF($D254="","",IFERROR(ROUND($D254*INDEX('🔖 배합비 참조'!$B$2:$CE$83,MATCH("흑미찹쌀(국내산)",'🔖 배합비 참조'!$A$2:$A$83,0),MATCH($C254,'🔖 배합비 참조'!$B$1:$CE$1,0))/100,0),""))),"")</f>
        <v>0</v>
      </c>
      <c r="CI254" s="42" t="n">
        <f aca="false">IFERROR(IF($C254="","",IF($D254="","",IFERROR(ROUND($D254*INDEX('🔖 배합비 참조'!$B$2:$CE$83,MATCH("찰옥수수전분(미국산)",'🔖 배합비 참조'!$A$2:$A$83,0),MATCH($C254,'🔖 배합비 참조'!$B$1:$CE$1,0))/100,0),""))),"")</f>
        <v>99</v>
      </c>
      <c r="CJ254" s="40"/>
      <c r="CL254" s="1" t="s">
        <v>248</v>
      </c>
    </row>
    <row r="255" customFormat="false" ht="18" hidden="false" customHeight="true" outlineLevel="0" collapsed="false">
      <c r="A255" s="35" t="n">
        <v>251</v>
      </c>
      <c r="B255" s="36" t="n">
        <v>46085</v>
      </c>
      <c r="C255" s="37" t="s">
        <v>204</v>
      </c>
      <c r="D255" s="38" t="n">
        <v>110</v>
      </c>
      <c r="E255" s="13"/>
      <c r="F255" s="13"/>
      <c r="G255" s="39" t="n">
        <f aca="false">IFERROR(IF($C255="","",IF($D255="","",IFERROR(ROUND($D255*INDEX('🔖 배합비 참조'!$B$2:$CE$83,MATCH("간장",'🔖 배합비 참조'!$A$2:$A$83,0),MATCH($C255,'🔖 배합비 참조'!$B$1:$CE$1,0))/100,0),""))),"")</f>
        <v>0</v>
      </c>
      <c r="H255" s="39" t="n">
        <f aca="false">IFERROR(IF($C255="","",IF($D255="","",IFERROR(ROUND($D255*INDEX('🔖 배합비 참조'!$B$2:$CE$83,MATCH("강낭콩((울타리콩))",'🔖 배합비 참조'!$A$2:$A$83,0),MATCH($C255,'🔖 배합비 참조'!$B$1:$CE$1,0))/100,0),""))),"")</f>
        <v>0</v>
      </c>
      <c r="I255" s="39" t="n">
        <f aca="false">IFERROR(IF($C255="","",IF($D255="","",IFERROR(ROUND($D255*INDEX('🔖 배합비 참조'!$B$2:$CE$83,MATCH("건조딸기다이스(외국산)",'🔖 배합비 참조'!$A$2:$A$83,0),MATCH($C255,'🔖 배합비 참조'!$B$1:$CE$1,0))/100,0),""))),"")</f>
        <v>0</v>
      </c>
      <c r="J255" s="39" t="n">
        <f aca="false">IFERROR(IF($C255="","",IF($D255="","",IFERROR(ROUND($D255*INDEX('🔖 배합비 참조'!$B$2:$CE$83,MATCH("건포도",'🔖 배합비 참조'!$A$2:$A$83,0),MATCH($C255,'🔖 배합비 참조'!$B$1:$CE$1,0))/100,0),""))),"")</f>
        <v>0</v>
      </c>
      <c r="K255" s="39" t="n">
        <f aca="false">IFERROR(IF($C255="","",IF($D255="","",IFERROR(ROUND($D255*INDEX('🔖 배합비 참조'!$B$2:$CE$83,MATCH("건호박채(중국산)",'🔖 배합비 참조'!$A$2:$A$83,0),MATCH($C255,'🔖 배합비 참조'!$B$1:$CE$1,0))/100,0),""))),"")</f>
        <v>0</v>
      </c>
      <c r="L255" s="39" t="n">
        <f aca="false">IFERROR(IF($C255="","",IF($D255="","",IFERROR(ROUND($D255*INDEX('🔖 배합비 참조'!$B$2:$CE$83,MATCH("검정깨(흑임자)",'🔖 배합비 참조'!$A$2:$A$83,0),MATCH($C255,'🔖 배합비 참조'!$B$1:$CE$1,0))/100,0),""))),"")</f>
        <v>0</v>
      </c>
      <c r="M255" s="39" t="n">
        <f aca="false">IFERROR(IF($C255="","",IF($D255="","",IFERROR(ROUND($D255*INDEX('🔖 배합비 참조'!$B$2:$CE$83,MATCH("검정콩",'🔖 배합비 참조'!$A$2:$A$83,0),MATCH($C255,'🔖 배합비 참조'!$B$1:$CE$1,0))/100,0),""))),"")</f>
        <v>0</v>
      </c>
      <c r="N255" s="39" t="n">
        <f aca="false">IFERROR(IF($C255="","",IF($D255="","",IFERROR(ROUND($D255*INDEX('🔖 배합비 참조'!$B$2:$CE$83,MATCH("계피가루",'🔖 배합비 참조'!$A$2:$A$83,0),MATCH($C255,'🔖 배합비 참조'!$B$1:$CE$1,0))/100,0),""))),"")</f>
        <v>0</v>
      </c>
      <c r="O255" s="39" t="n">
        <f aca="false">IFERROR(IF($C255="","",IF($D255="","",IFERROR(ROUND($D255*INDEX('🔖 배합비 참조'!$B$2:$CE$83,MATCH("고구마가루",'🔖 배합비 참조'!$A$2:$A$83,0),MATCH($C255,'🔖 배합비 참조'!$B$1:$CE$1,0))/100,0),""))),"")</f>
        <v>0</v>
      </c>
      <c r="P255" s="39" t="n">
        <f aca="false">IFERROR(IF($C255="","",IF($D255="","",IFERROR(ROUND($D255*INDEX('🔖 배합비 참조'!$B$2:$CE$83,MATCH("고구마무스",'🔖 배합비 참조'!$A$2:$A$83,0),MATCH($C255,'🔖 배합비 참조'!$B$1:$CE$1,0))/100,0),""))),"")</f>
        <v>0</v>
      </c>
      <c r="Q255" s="39" t="n">
        <f aca="false">IFERROR(IF($C255="","",IF($D255="","",IFERROR(ROUND($D255*INDEX('🔖 배합비 참조'!$B$2:$CE$83,MATCH("고려엉겅퀴((곤드레)국내산)",'🔖 배합비 참조'!$A$2:$A$83,0),MATCH($C255,'🔖 배합비 참조'!$B$1:$CE$1,0))/100,0),""))),"")</f>
        <v>0</v>
      </c>
      <c r="R255" s="39" t="n">
        <f aca="false">IFERROR(IF($C255="","",IF($D255="","",IFERROR(ROUND($D255*INDEX('🔖 배합비 참조'!$B$2:$CE$83,MATCH("기타가공품(복분자가루)",'🔖 배합비 참조'!$A$2:$A$83,0),MATCH($C255,'🔖 배합비 참조'!$B$1:$CE$1,0))/100,0),""))),"")</f>
        <v>0</v>
      </c>
      <c r="S255" s="39" t="n">
        <f aca="false">IFERROR(IF($C255="","",IF($D255="","",IFERROR(ROUND($D255*INDEX('🔖 배합비 참조'!$B$2:$CE$83,MATCH("기타가공품(슈퍼소프트엠)",'🔖 배합비 참조'!$A$2:$A$83,0),MATCH($C255,'🔖 배합비 참조'!$B$1:$CE$1,0))/100,0),""))),"")</f>
        <v>0</v>
      </c>
      <c r="T255" s="39" t="n">
        <f aca="false">IFERROR(IF($C255="","",IF($D255="","",IFERROR(ROUND($D255*INDEX('🔖 배합비 참조'!$B$2:$CE$83,MATCH("기타가공품(파인소프트 E-티)",'🔖 배합비 참조'!$A$2:$A$83,0),MATCH($C255,'🔖 배합비 참조'!$B$1:$CE$1,0))/100,0),""))),"")</f>
        <v>0</v>
      </c>
      <c r="U255" s="39" t="n">
        <f aca="false">IFERROR(IF($C255="","",IF($D255="","",IFERROR(ROUND($D255*INDEX('🔖 배합비 참조'!$B$2:$CE$83,MATCH("기타가공품(프리미엄카스테라가루)",'🔖 배합비 참조'!$A$2:$A$83,0),MATCH($C255,'🔖 배합비 참조'!$B$1:$CE$1,0))/100,0),""))),"")</f>
        <v>0</v>
      </c>
      <c r="V255" s="39" t="n">
        <f aca="false">IFERROR(IF($C255="","",IF($D255="","",IFERROR(ROUND($D255*INDEX('🔖 배합비 참조'!$B$2:$CE$83,MATCH("기타가공품(흑임자가루)",'🔖 배합비 참조'!$A$2:$A$83,0),MATCH($C255,'🔖 배합비 참조'!$B$1:$CE$1,0))/100,0),""))),"")</f>
        <v>0</v>
      </c>
      <c r="W255" s="39" t="n">
        <f aca="false">IFERROR(IF($C255="","",IF($D255="","",IFERROR(ROUND($D255*INDEX('🔖 배합비 참조'!$B$2:$CE$83,MATCH("기타설탕(흑설탕)",'🔖 배합비 참조'!$A$2:$A$83,0),MATCH($C255,'🔖 배합비 참조'!$B$1:$CE$1,0))/100,0),""))),"")</f>
        <v>0</v>
      </c>
      <c r="X255" s="39" t="n">
        <f aca="false">IFERROR(IF($C255="","",IF($D255="","",IFERROR(ROUND($D255*INDEX('🔖 배합비 참조'!$B$2:$CE$83,MATCH("냉동쑥(국내산)",'🔖 배합비 참조'!$A$2:$A$83,0),MATCH($C255,'🔖 배합비 참조'!$B$1:$CE$1,0))/100,0),""))),"")</f>
        <v>4</v>
      </c>
      <c r="Y255" s="39" t="n">
        <f aca="false">IFERROR(IF($C255="","",IF($D255="","",IFERROR(ROUND($D255*INDEX('🔖 배합비 참조'!$B$2:$CE$83,MATCH("냉동증숙고구마(중국산)",'🔖 배합비 참조'!$A$2:$A$83,0),MATCH($C255,'🔖 배합비 참조'!$B$1:$CE$1,0))/100,0),""))),"")</f>
        <v>0</v>
      </c>
      <c r="Z255" s="39" t="n">
        <f aca="false">IFERROR(IF($C255="","",IF($D255="","",IFERROR(ROUND($D255*INDEX('🔖 배합비 참조'!$B$2:$CE$83,MATCH("녹차가루",'🔖 배합비 참조'!$A$2:$A$83,0),MATCH($C255,'🔖 배합비 참조'!$B$1:$CE$1,0))/100,0),""))),"")</f>
        <v>0</v>
      </c>
      <c r="AA255" s="39" t="n">
        <f aca="false">IFERROR(IF($C255="","",IF($D255="","",IFERROR(ROUND($D255*INDEX('🔖 배합비 참조'!$B$2:$CE$83,MATCH("다크초콜릿 컴파운드칩",'🔖 배합비 참조'!$A$2:$A$83,0),MATCH($C255,'🔖 배합비 참조'!$B$1:$CE$1,0))/100,0),""))),"")</f>
        <v>0</v>
      </c>
      <c r="AB255" s="39" t="n">
        <f aca="false">IFERROR(IF($C255="","",IF($D255="","",IFERROR(ROUND($D255*INDEX('🔖 배합비 참조'!$B$2:$CE$83,MATCH("단호박분말(중국산)",'🔖 배합비 참조'!$A$2:$A$83,0),MATCH($C255,'🔖 배합비 참조'!$B$1:$CE$1,0))/100,0),""))),"")</f>
        <v>0</v>
      </c>
      <c r="AC255" s="39" t="n">
        <f aca="false">IFERROR(IF($C255="","",IF($D255="","",IFERROR(ROUND($D255*INDEX('🔖 배합비 참조'!$B$2:$CE$83,MATCH("당류가공품(단호박농축액)",'🔖 배합비 참조'!$A$2:$A$83,0),MATCH($C255,'🔖 배합비 참조'!$B$1:$CE$1,0))/100,0),""))),"")</f>
        <v>0</v>
      </c>
      <c r="AD255" s="39" t="n">
        <f aca="false">IFERROR(IF($C255="","",IF($D255="","",IFERROR(ROUND($D255*INDEX('🔖 배합비 참조'!$B$2:$CE$83,MATCH("당류가공품(알룰로스,에리스리톨,스테비올배당체혼합)",'🔖 배합비 참조'!$A$2:$A$83,0),MATCH($C255,'🔖 배합비 참조'!$B$1:$CE$1,0))/100,0),""))),"")</f>
        <v>0</v>
      </c>
      <c r="AE255" s="39" t="n">
        <f aca="false">IFERROR(IF($C255="","",IF($D255="","",IFERROR(ROUND($D255*INDEX('🔖 배합비 참조'!$B$2:$CE$83,MATCH("당류가공품(알룰로스제로파우더)",'🔖 배합비 참조'!$A$2:$A$83,0),MATCH($C255,'🔖 배합비 참조'!$B$1:$CE$1,0))/100,0),""))),"")</f>
        <v>0</v>
      </c>
      <c r="AF255" s="39" t="n">
        <f aca="false">IFERROR(IF($C255="","",IF($D255="","",IFERROR(ROUND($D255*INDEX('🔖 배합비 참조'!$B$2:$CE$83,MATCH("당절임(완두배기)",'🔖 배합비 참조'!$A$2:$A$83,0),MATCH($C255,'🔖 배합비 참조'!$B$1:$CE$1,0))/100,0),""))),"")</f>
        <v>0</v>
      </c>
      <c r="AG255" s="39" t="n">
        <f aca="false">IFERROR(IF($C255="","",IF($D255="","",IFERROR(ROUND($D255*INDEX('🔖 배합비 참조'!$B$2:$CE$83,MATCH("대추농축액",'🔖 배합비 참조'!$A$2:$A$83,0),MATCH($C255,'🔖 배합비 참조'!$B$1:$CE$1,0))/100,0),""))),"")</f>
        <v>0</v>
      </c>
      <c r="AH255" s="39" t="n">
        <f aca="false">IFERROR(IF($C255="","",IF($D255="","",IFERROR(ROUND($D255*INDEX('🔖 배합비 참조'!$B$2:$CE$83,MATCH("대추채(국내산)",'🔖 배합비 참조'!$A$2:$A$83,0),MATCH($C255,'🔖 배합비 참조'!$B$1:$CE$1,0))/100,0),""))),"")</f>
        <v>0</v>
      </c>
      <c r="AI255" s="39" t="n">
        <f aca="false">IFERROR(IF($C255="","",IF($D255="","",IFERROR(ROUND($D255*INDEX('🔖 배합비 참조'!$B$2:$CE$83,MATCH("동부(미얀마산)",'🔖 배합비 참조'!$A$2:$A$83,0),MATCH($C255,'🔖 배합비 참조'!$B$1:$CE$1,0))/100,0),""))),"")</f>
        <v>0</v>
      </c>
      <c r="AJ255" s="39" t="n">
        <f aca="false">IFERROR(IF($C255="","",IF($D255="","",IFERROR(ROUND($D255*INDEX('🔖 배합비 참조'!$B$2:$CE$83,MATCH("두류가공품(백옥앙금)",'🔖 배합비 참조'!$A$2:$A$83,0),MATCH($C255,'🔖 배합비 참조'!$B$1:$CE$1,0))/100,0),""))),"")</f>
        <v>0</v>
      </c>
      <c r="AK255" s="39" t="n">
        <f aca="false">IFERROR(IF($C255="","",IF($D255="","",IFERROR(ROUND($D255*INDEX('🔖 배합비 참조'!$B$2:$CE$83,MATCH("두류가공품(콩고물)",'🔖 배합비 참조'!$A$2:$A$83,0),MATCH($C255,'🔖 배합비 참조'!$B$1:$CE$1,0))/100,0),""))),"")</f>
        <v>3</v>
      </c>
      <c r="AL255" s="39" t="n">
        <f aca="false">IFERROR(IF($C255="","",IF($D255="","",IFERROR(ROUND($D255*INDEX('🔖 배합비 참조'!$B$2:$CE$83,MATCH("두류가공품(통팥고물)",'🔖 배합비 참조'!$A$2:$A$83,0),MATCH($C255,'🔖 배합비 참조'!$B$1:$CE$1,0))/100,0),""))),"")</f>
        <v>0</v>
      </c>
      <c r="AM255" s="39" t="n">
        <f aca="false">IFERROR(IF($C255="","",IF($D255="","",IFERROR(ROUND($D255*INDEX('🔖 배합비 참조'!$B$2:$CE$83,MATCH("딸기레진",'🔖 배합비 참조'!$A$2:$A$83,0),MATCH($C255,'🔖 배합비 참조'!$B$1:$CE$1,0))/100,0),""))),"")</f>
        <v>0</v>
      </c>
      <c r="AN255" s="39" t="n">
        <f aca="false">IFERROR(IF($C255="","",IF($D255="","",IFERROR(ROUND($D255*INDEX('🔖 배합비 참조'!$B$2:$CE$83,MATCH("딸기분말(스트로우베리에이드(분말))",'🔖 배합비 참조'!$A$2:$A$83,0),MATCH($C255,'🔖 배합비 참조'!$B$1:$CE$1,0))/100,0),""))),"")</f>
        <v>0</v>
      </c>
      <c r="AO255" s="39" t="n">
        <f aca="false">IFERROR(IF($C255="","",IF($D255="","",IFERROR(ROUND($D255*INDEX('🔖 배합비 참조'!$B$2:$CE$83,MATCH("마스카포네치즈",'🔖 배합비 참조'!$A$2:$A$83,0),MATCH($C255,'🔖 배합비 참조'!$B$1:$CE$1,0))/100,0),""))),"")</f>
        <v>0</v>
      </c>
      <c r="AP255" s="39" t="n">
        <f aca="false">IFERROR(IF($C255="","",IF($D255="","",IFERROR(ROUND($D255*INDEX('🔖 배합비 참조'!$B$2:$CE$83,MATCH("마카다미아분태(호주산)",'🔖 배합비 참조'!$A$2:$A$83,0),MATCH($C255,'🔖 배합비 참조'!$B$1:$CE$1,0))/100,0),""))),"")</f>
        <v>0</v>
      </c>
      <c r="AQ255" s="39" t="n">
        <f aca="false">IFERROR(IF($C255="","",IF($D255="","",IFERROR(ROUND($D255*INDEX('🔖 배합비 참조'!$B$2:$CE$83,MATCH("멥쌀(국내산)",'🔖 배합비 참조'!$A$2:$A$83,0),MATCH($C255,'🔖 배합비 참조'!$B$1:$CE$1,0))/100,0),""))),"")</f>
        <v>0</v>
      </c>
      <c r="AR255" s="39" t="n">
        <f aca="false">IFERROR(IF($C255="","",IF($D255="","",IFERROR(ROUND($D255*INDEX('🔖 배합비 참조'!$B$2:$CE$83,MATCH("모시잎(국내산)",'🔖 배합비 참조'!$A$2:$A$83,0),MATCH($C255,'🔖 배합비 참조'!$B$1:$CE$1,0))/100,0),""))),"")</f>
        <v>0</v>
      </c>
      <c r="AS255" s="39" t="n">
        <f aca="false">IFERROR(IF($C255="","",IF($D255="","",IFERROR(ROUND($D255*INDEX('🔖 배합비 참조'!$B$2:$CE$83,MATCH("물엿(저당물엿)",'🔖 배합비 참조'!$A$2:$A$83,0),MATCH($C255,'🔖 배합비 참조'!$B$1:$CE$1,0))/100,0),""))),"")</f>
        <v>2</v>
      </c>
      <c r="AT255" s="39" t="n">
        <f aca="false">IFERROR(IF($C255="","",IF($D255="","",IFERROR(ROUND($D255*INDEX('🔖 배합비 참조'!$B$2:$CE$83,MATCH("밤다이스",'🔖 배합비 참조'!$A$2:$A$83,0),MATCH($C255,'🔖 배합비 참조'!$B$1:$CE$1,0))/100,0),""))),"")</f>
        <v>0</v>
      </c>
      <c r="AU255" s="39" t="n">
        <f aca="false">IFERROR(IF($C255="","",IF($D255="","",IFERROR(ROUND($D255*INDEX('🔖 배합비 참조'!$B$2:$CE$83,MATCH("변성전분(타피오카전분)",'🔖 배합비 참조'!$A$2:$A$83,0),MATCH($C255,'🔖 배합비 참조'!$B$1:$CE$1,0))/100,0),""))),"")</f>
        <v>0</v>
      </c>
      <c r="AV255" s="39" t="n">
        <f aca="false">IFERROR(IF($C255="","",IF($D255="","",IFERROR(ROUND($D255*INDEX('🔖 배합비 참조'!$B$2:$CE$83,MATCH("복음땅콩분태",'🔖 배합비 참조'!$A$2:$A$83,0),MATCH($C255,'🔖 배합비 참조'!$B$1:$CE$1,0))/100,0),""))),"")</f>
        <v>0</v>
      </c>
      <c r="AW255" s="39" t="n">
        <f aca="false">IFERROR(IF($C255="","",IF($D255="","",IFERROR(ROUND($D255*INDEX('🔖 배합비 참조'!$B$2:$CE$83,MATCH("사양벌꿀(국내산)",'🔖 배합비 참조'!$A$2:$A$83,0),MATCH($C255,'🔖 배합비 참조'!$B$1:$CE$1,0))/100,0),""))),"")</f>
        <v>0</v>
      </c>
      <c r="AX255" s="39" t="n">
        <f aca="false">IFERROR(IF($C255="","",IF($D255="","",IFERROR(ROUND($D255*INDEX('🔖 배합비 참조'!$B$2:$CE$83,MATCH("생크림",'🔖 배합비 참조'!$A$2:$A$83,0),MATCH($C255,'🔖 배합비 참조'!$B$1:$CE$1,0))/100,0),""))),"")</f>
        <v>0</v>
      </c>
      <c r="AY255" s="39" t="n">
        <f aca="false">IFERROR(IF($C255="","",IF($D255="","",IFERROR(ROUND($D255*INDEX('🔖 배합비 참조'!$B$2:$CE$83,MATCH("서양호박(국내산,뉴질랜드산)",'🔖 배합비 참조'!$A$2:$A$83,0),MATCH($C255,'🔖 배합비 참조'!$B$1:$CE$1,0))/100,0),""))),"")</f>
        <v>0</v>
      </c>
      <c r="AZ255" s="39" t="n">
        <f aca="false">IFERROR(IF($C255="","",IF($D255="","",IFERROR(ROUND($D255*INDEX('🔖 배합비 참조'!$B$2:$CE$83,MATCH("설탕",'🔖 배합비 참조'!$A$2:$A$83,0),MATCH($C255,'🔖 배합비 참조'!$B$1:$CE$1,0))/100,0),""))),"")</f>
        <v>2</v>
      </c>
      <c r="BA255" s="39" t="n">
        <f aca="false">IFERROR(IF($C255="","",IF($D255="","",IFERROR(ROUND($D255*INDEX('🔖 배합비 참조'!$B$2:$CE$83,MATCH("스트로우베리 에이드 후레쉬",'🔖 배합비 참조'!$A$2:$A$83,0),MATCH($C255,'🔖 배합비 참조'!$B$1:$CE$1,0))/100,0),""))),"")</f>
        <v>0</v>
      </c>
      <c r="BB255" s="39" t="n">
        <f aca="false">IFERROR(IF($C255="","",IF($D255="","",IFERROR(ROUND($D255*INDEX('🔖 배합비 참조'!$B$2:$CE$83,MATCH("식물성기름혼합제제(분홍)",'🔖 배합비 참조'!$A$2:$A$83,0),MATCH($C255,'🔖 배합비 참조'!$B$1:$CE$1,0))/100,0),""))),"")</f>
        <v>0</v>
      </c>
      <c r="BC255" s="39" t="n">
        <f aca="false">IFERROR(IF($C255="","",IF($D255="","",IFERROR(ROUND($D255*INDEX('🔖 배합비 참조'!$B$2:$CE$83,MATCH("식물성기름혼합제제(초록)",'🔖 배합비 참조'!$A$2:$A$83,0),MATCH($C255,'🔖 배합비 참조'!$B$1:$CE$1,0))/100,0),""))),"")</f>
        <v>0</v>
      </c>
      <c r="BD255" s="39" t="n">
        <f aca="false">IFERROR(IF($C255="","",IF($D255="","",IFERROR(ROUND($D255*INDEX('🔖 배합비 참조'!$B$2:$CE$83,MATCH("식물성기름혼합제제(황색)",'🔖 배합비 참조'!$A$2:$A$83,0),MATCH($C255,'🔖 배합비 참조'!$B$1:$CE$1,0))/100,0),""))),"")</f>
        <v>0</v>
      </c>
      <c r="BE255" s="39" t="n">
        <f aca="false">IFERROR(IF($C255="","",IF($D255="","",IFERROR(ROUND($D255*INDEX('🔖 배합비 참조'!$B$2:$CE$83,MATCH("쑥가루(국내산)",'🔖 배합비 참조'!$A$2:$A$83,0),MATCH($C255,'🔖 배합비 참조'!$B$1:$CE$1,0))/100,0),""))),"")</f>
        <v>1</v>
      </c>
      <c r="BF255" s="39" t="n">
        <f aca="false">IFERROR(IF($C255="","",IF($D255="","",IFERROR(ROUND($D255*INDEX('🔖 배합비 참조'!$B$2:$CE$83,MATCH("아몬드슬라이스",'🔖 배합비 참조'!$A$2:$A$83,0),MATCH($C255,'🔖 배합비 참조'!$B$1:$CE$1,0))/100,0),""))),"")</f>
        <v>0</v>
      </c>
      <c r="BG255" s="39" t="n">
        <f aca="false">IFERROR(IF($C255="","",IF($D255="","",IFERROR(ROUND($D255*INDEX('🔖 배합비 참조'!$B$2:$CE$83,MATCH("알룰로오스(국내산)",'🔖 배합비 참조'!$A$2:$A$83,0),MATCH($C255,'🔖 배합비 참조'!$B$1:$CE$1,0))/100,0),""))),"")</f>
        <v>0</v>
      </c>
      <c r="BH255" s="39" t="n">
        <f aca="false">IFERROR(IF($C255="","",IF($D255="","",IFERROR(ROUND($D255*INDEX('🔖 배합비 참조'!$B$2:$CE$83,MATCH("연유",'🔖 배합비 참조'!$A$2:$A$83,0),MATCH($C255,'🔖 배합비 참조'!$B$1:$CE$1,0))/100,0),""))),"")</f>
        <v>0</v>
      </c>
      <c r="BI255" s="39" t="n">
        <f aca="false">IFERROR(IF($C255="","",IF($D255="","",IFERROR(ROUND($D255*INDEX('🔖 배합비 참조'!$B$2:$CE$83,MATCH("옥수수전분",'🔖 배합비 참조'!$A$2:$A$83,0),MATCH($C255,'🔖 배합비 참조'!$B$1:$CE$1,0))/100,0),""))),"")</f>
        <v>0</v>
      </c>
      <c r="BJ255" s="39" t="n">
        <f aca="false">IFERROR(IF($C255="","",IF($D255="","",IFERROR(ROUND($D255*INDEX('🔖 배합비 참조'!$B$2:$CE$83,MATCH("완두배기",'🔖 배합비 참조'!$A$2:$A$83,0),MATCH($C255,'🔖 배합비 참조'!$B$1:$CE$1,0))/100,0),""))),"")</f>
        <v>0</v>
      </c>
      <c r="BK255" s="39" t="n">
        <f aca="false">IFERROR(IF($C255="","",IF($D255="","",IFERROR(ROUND($D255*INDEX('🔖 배합비 참조'!$B$2:$CE$83,MATCH("우유(국내산)",'🔖 배합비 참조'!$A$2:$A$83,0),MATCH($C255,'🔖 배합비 참조'!$B$1:$CE$1,0))/100,0),""))),"")</f>
        <v>0</v>
      </c>
      <c r="BL255" s="39" t="n">
        <f aca="false">IFERROR(IF($C255="","",IF($D255="","",IFERROR(ROUND($D255*INDEX('🔖 배합비 참조'!$B$2:$CE$83,MATCH("자색고구마가루(중국산)",'🔖 배합비 참조'!$A$2:$A$83,0),MATCH($C255,'🔖 배합비 참조'!$B$1:$CE$1,0))/100,0),""))),"")</f>
        <v>0</v>
      </c>
      <c r="BM255" s="39" t="n">
        <f aca="false">IFERROR(IF($C255="","",IF($D255="","",IFERROR(ROUND($D255*INDEX('🔖 배합비 참조'!$B$2:$CE$83,MATCH("자연치즈(체다치즈)",'🔖 배합비 참조'!$A$2:$A$83,0),MATCH($C255,'🔖 배합비 참조'!$B$1:$CE$1,0))/100,0),""))),"")</f>
        <v>0</v>
      </c>
      <c r="BN255" s="39" t="n">
        <f aca="false">IFERROR(IF($C255="","",IF($D255="","",IFERROR(ROUND($D255*INDEX('🔖 배합비 참조'!$B$2:$CE$83,MATCH("정제수",'🔖 배합비 참조'!$A$2:$A$83,0),MATCH($C255,'🔖 배합비 참조'!$B$1:$CE$1,0))/100,0),""))),"")</f>
        <v>0</v>
      </c>
      <c r="BO255" s="39" t="n">
        <f aca="false">IFERROR(IF($C255="","",IF($D255="","",IFERROR(ROUND($D255*INDEX('🔖 배합비 참조'!$B$2:$CE$83,MATCH("젤라틴",'🔖 배합비 참조'!$A$2:$A$83,0),MATCH($C255,'🔖 배합비 참조'!$B$1:$CE$1,0))/100,0),""))),"")</f>
        <v>0</v>
      </c>
      <c r="BP255" s="39" t="n">
        <f aca="false">IFERROR(IF($C255="","",IF($D255="","",IFERROR(ROUND($D255*INDEX('🔖 배합비 참조'!$B$2:$CE$83,MATCH("조림류(백옥앙금)",'🔖 배합비 참조'!$A$2:$A$83,0),MATCH($C255,'🔖 배합비 참조'!$B$1:$CE$1,0))/100,0),""))),"")</f>
        <v>0</v>
      </c>
      <c r="BQ255" s="39" t="n">
        <f aca="false">IFERROR(IF($C255="","",IF($D255="","",IFERROR(ROUND($D255*INDEX('🔖 배합비 참조'!$B$2:$CE$83,MATCH("조림류(통팥앙금)",'🔖 배합비 참조'!$A$2:$A$83,0),MATCH($C255,'🔖 배합비 참조'!$B$1:$CE$1,0))/100,0),""))),"")</f>
        <v>46</v>
      </c>
      <c r="BR255" s="39" t="n">
        <f aca="false">IFERROR(IF($C255="","",IF($D255="","",IFERROR(ROUND($D255*INDEX('🔖 배합비 참조'!$B$2:$CE$83,MATCH("준초콜릿(외국산)",'🔖 배합비 참조'!$A$2:$A$83,0),MATCH($C255,'🔖 배합비 참조'!$B$1:$CE$1,0))/100,0),""))),"")</f>
        <v>0</v>
      </c>
      <c r="BS255" s="39" t="n">
        <f aca="false">IFERROR(IF($C255="","",IF($D255="","",IFERROR(ROUND($D255*INDEX('🔖 배합비 참조'!$B$2:$CE$83,MATCH("중력분",'🔖 배합비 참조'!$A$2:$A$83,0),MATCH($C255,'🔖 배합비 참조'!$B$1:$CE$1,0))/100,0),""))),"")</f>
        <v>1</v>
      </c>
      <c r="BT255" s="39" t="n">
        <f aca="false">IFERROR(IF($C255="","",IF($D255="","",IFERROR(ROUND($D255*INDEX('🔖 배합비 참조'!$B$2:$CE$83,MATCH("참깨(인도산,나이지리아산,탄자니아산,미얀마산)",'🔖 배합비 참조'!$A$2:$A$83,0),MATCH($C255,'🔖 배합비 참조'!$B$1:$CE$1,0))/100,0),""))),"")</f>
        <v>0</v>
      </c>
      <c r="BU255" s="39" t="n">
        <f aca="false">IFERROR(IF($C255="","",IF($D255="","",IFERROR(ROUND($D255*INDEX('🔖 배합비 참조'!$B$2:$CE$83,MATCH("찹쌀(국내산)",'🔖 배합비 참조'!$A$2:$A$83,0),MATCH($C255,'🔖 배합비 참조'!$B$1:$CE$1,0))/100,0),""))),"")</f>
        <v>49</v>
      </c>
      <c r="BV255" s="39" t="n">
        <f aca="false">IFERROR(IF($C255="","",IF($D255="","",IFERROR(ROUND($D255*INDEX('🔖 배합비 참조'!$B$2:$CE$83,MATCH("천일염",'🔖 배합비 참조'!$A$2:$A$83,0),MATCH($C255,'🔖 배합비 참조'!$B$1:$CE$1,0))/100,0),""))),"")</f>
        <v>1</v>
      </c>
      <c r="BW255" s="39" t="n">
        <f aca="false">IFERROR(IF($C255="","",IF($D255="","",IFERROR(ROUND($D255*INDEX('🔖 배합비 참조'!$B$2:$CE$83,MATCH("치즈 [크림치즈]",'🔖 배합비 참조'!$A$2:$A$83,0),MATCH($C255,'🔖 배합비 참조'!$B$1:$CE$1,0))/100,0),""))),"")</f>
        <v>0</v>
      </c>
      <c r="BX255" s="39" t="n">
        <f aca="false">IFERROR(IF($C255="","",IF($D255="","",IFERROR(ROUND($D255*INDEX('🔖 배합비 참조'!$B$2:$CE$83,MATCH("코코아가공품류(코코아분말)",'🔖 배합비 참조'!$A$2:$A$83,0),MATCH($C255,'🔖 배합비 참조'!$B$1:$CE$1,0))/100,0),""))),"")</f>
        <v>0</v>
      </c>
      <c r="BY255" s="39" t="n">
        <f aca="false">IFERROR(IF($C255="","",IF($D255="","",IFERROR(ROUND($D255*INDEX('🔖 배합비 참조'!$B$2:$CE$83,MATCH("콩기름(대두유)",'🔖 배합비 참조'!$A$2:$A$83,0),MATCH($C255,'🔖 배합비 참조'!$B$1:$CE$1,0))/100,0),""))),"")</f>
        <v>0</v>
      </c>
      <c r="BZ255" s="39" t="n">
        <f aca="false">IFERROR(IF($C255="","",IF($D255="","",IFERROR(ROUND($D255*INDEX('🔖 배합비 참조'!$B$2:$CE$83,MATCH("해바라기씨앗",'🔖 배합비 참조'!$A$2:$A$83,0),MATCH($C255,'🔖 배합비 참조'!$B$1:$CE$1,0))/100,0),""))),"")</f>
        <v>0</v>
      </c>
      <c r="CA255" s="39" t="n">
        <f aca="false">IFERROR(IF($C255="","",IF($D255="","",IFERROR(ROUND($D255*INDEX('🔖 배합비 참조'!$B$2:$CE$83,MATCH("현미(국내산)",'🔖 배합비 참조'!$A$2:$A$83,0),MATCH($C255,'🔖 배합비 참조'!$B$1:$CE$1,0))/100,0),""))),"")</f>
        <v>0</v>
      </c>
      <c r="CB255" s="39" t="n">
        <f aca="false">IFERROR(IF($C255="","",IF($D255="","",IFERROR(ROUND($D255*INDEX('🔖 배합비 참조'!$B$2:$CE$83,MATCH("현미멥쌀(국내산)",'🔖 배합비 참조'!$A$2:$A$83,0),MATCH($C255,'🔖 배합비 참조'!$B$1:$CE$1,0))/100,0),""))),"")</f>
        <v>0</v>
      </c>
      <c r="CC255" s="39" t="n">
        <f aca="false">IFERROR(IF($C255="","",IF($D255="","",IFERROR(ROUND($D255*INDEX('🔖 배합비 참조'!$B$2:$CE$83,MATCH("호두분태(미국산)",'🔖 배합비 참조'!$A$2:$A$83,0),MATCH($C255,'🔖 배합비 참조'!$B$1:$CE$1,0))/100,0),""))),"")</f>
        <v>0</v>
      </c>
      <c r="CD255" s="39" t="n">
        <f aca="false">IFERROR(IF($C255="","",IF($D255="","",IFERROR(ROUND($D255*INDEX('🔖 배합비 참조'!$B$2:$CE$83,MATCH("호박씨앗(외국산)",'🔖 배합비 참조'!$A$2:$A$83,0),MATCH($C255,'🔖 배합비 참조'!$B$1:$CE$1,0))/100,0),""))),"")</f>
        <v>0</v>
      </c>
      <c r="CE255" s="39" t="n">
        <f aca="false">IFERROR(IF($C255="","",IF($D255="","",IFERROR(ROUND($D255*INDEX('🔖 배합비 참조'!$B$2:$CE$83,MATCH("혼합제제(떡용에스텔)",'🔖 배합비 참조'!$A$2:$A$83,0),MATCH($C255,'🔖 배합비 참조'!$B$1:$CE$1,0))/100,0),""))),"")</f>
        <v>0</v>
      </c>
      <c r="CF255" s="39" t="n">
        <f aca="false">IFERROR(IF($C255="","",IF($D255="","",IFERROR(ROUND($D255*INDEX('🔖 배합비 참조'!$B$2:$CE$83,MATCH("혼합제제(스테비아)",'🔖 배합비 참조'!$A$2:$A$83,0),MATCH($C255,'🔖 배합비 참조'!$B$1:$CE$1,0))/100,0),""))),"")</f>
        <v>0</v>
      </c>
      <c r="CG255" s="39" t="n">
        <f aca="false">IFERROR(IF($C255="","",IF($D255="","",IFERROR(ROUND($D255*INDEX('🔖 배합비 참조'!$B$2:$CE$83,MATCH("화이트초콜릿",'🔖 배합비 참조'!$A$2:$A$83,0),MATCH($C255,'🔖 배합비 참조'!$B$1:$CE$1,0))/100,0),""))),"")</f>
        <v>0</v>
      </c>
      <c r="CH255" s="39" t="n">
        <f aca="false">IFERROR(IF($C255="","",IF($D255="","",IFERROR(ROUND($D255*INDEX('🔖 배합비 참조'!$B$2:$CE$83,MATCH("흑미찹쌀(국내산)",'🔖 배합비 참조'!$A$2:$A$83,0),MATCH($C255,'🔖 배합비 참조'!$B$1:$CE$1,0))/100,0),""))),"")</f>
        <v>0</v>
      </c>
      <c r="CI255" s="39" t="n">
        <f aca="false">IFERROR(IF($C255="","",IF($D255="","",IFERROR(ROUND($D255*INDEX('🔖 배합비 참조'!$B$2:$CE$83,MATCH("찰옥수수전분(미국산)",'🔖 배합비 참조'!$A$2:$A$83,0),MATCH($C255,'🔖 배합비 참조'!$B$1:$CE$1,0))/100,0),""))),"")</f>
        <v>0</v>
      </c>
      <c r="CJ255" s="40"/>
      <c r="CL255" s="1" t="s">
        <v>248</v>
      </c>
    </row>
    <row r="256" customFormat="false" ht="18" hidden="false" customHeight="true" outlineLevel="0" collapsed="false">
      <c r="A256" s="41" t="n">
        <v>252</v>
      </c>
      <c r="B256" s="36" t="n">
        <v>46085</v>
      </c>
      <c r="C256" s="37" t="s">
        <v>236</v>
      </c>
      <c r="D256" s="38" t="n">
        <v>110</v>
      </c>
      <c r="E256" s="17"/>
      <c r="F256" s="17"/>
      <c r="G256" s="42" t="n">
        <f aca="false">IFERROR(IF($C256="","",IF($D256="","",IFERROR(ROUND($D256*INDEX('🔖 배합비 참조'!$B$2:$CE$83,MATCH("간장",'🔖 배합비 참조'!$A$2:$A$83,0),MATCH($C256,'🔖 배합비 참조'!$B$1:$CE$1,0))/100,0),""))),"")</f>
        <v>0</v>
      </c>
      <c r="H256" s="42" t="n">
        <f aca="false">IFERROR(IF($C256="","",IF($D256="","",IFERROR(ROUND($D256*INDEX('🔖 배합비 참조'!$B$2:$CE$83,MATCH("강낭콩((울타리콩))",'🔖 배합비 참조'!$A$2:$A$83,0),MATCH($C256,'🔖 배합비 참조'!$B$1:$CE$1,0))/100,0),""))),"")</f>
        <v>0</v>
      </c>
      <c r="I256" s="42" t="n">
        <f aca="false">IFERROR(IF($C256="","",IF($D256="","",IFERROR(ROUND($D256*INDEX('🔖 배합비 참조'!$B$2:$CE$83,MATCH("건조딸기다이스(외국산)",'🔖 배합비 참조'!$A$2:$A$83,0),MATCH($C256,'🔖 배합비 참조'!$B$1:$CE$1,0))/100,0),""))),"")</f>
        <v>0</v>
      </c>
      <c r="J256" s="42" t="n">
        <f aca="false">IFERROR(IF($C256="","",IF($D256="","",IFERROR(ROUND($D256*INDEX('🔖 배합비 참조'!$B$2:$CE$83,MATCH("건포도",'🔖 배합비 참조'!$A$2:$A$83,0),MATCH($C256,'🔖 배합비 참조'!$B$1:$CE$1,0))/100,0),""))),"")</f>
        <v>0</v>
      </c>
      <c r="K256" s="42" t="n">
        <f aca="false">IFERROR(IF($C256="","",IF($D256="","",IFERROR(ROUND($D256*INDEX('🔖 배합비 참조'!$B$2:$CE$83,MATCH("건호박채(중국산)",'🔖 배합비 참조'!$A$2:$A$83,0),MATCH($C256,'🔖 배합비 참조'!$B$1:$CE$1,0))/100,0),""))),"")</f>
        <v>0</v>
      </c>
      <c r="L256" s="42" t="n">
        <f aca="false">IFERROR(IF($C256="","",IF($D256="","",IFERROR(ROUND($D256*INDEX('🔖 배합비 참조'!$B$2:$CE$83,MATCH("검정깨(흑임자)",'🔖 배합비 참조'!$A$2:$A$83,0),MATCH($C256,'🔖 배합비 참조'!$B$1:$CE$1,0))/100,0),""))),"")</f>
        <v>0</v>
      </c>
      <c r="M256" s="42" t="n">
        <f aca="false">IFERROR(IF($C256="","",IF($D256="","",IFERROR(ROUND($D256*INDEX('🔖 배합비 참조'!$B$2:$CE$83,MATCH("검정콩",'🔖 배합비 참조'!$A$2:$A$83,0),MATCH($C256,'🔖 배합비 참조'!$B$1:$CE$1,0))/100,0),""))),"")</f>
        <v>0</v>
      </c>
      <c r="N256" s="42" t="n">
        <f aca="false">IFERROR(IF($C256="","",IF($D256="","",IFERROR(ROUND($D256*INDEX('🔖 배합비 참조'!$B$2:$CE$83,MATCH("계피가루",'🔖 배합비 참조'!$A$2:$A$83,0),MATCH($C256,'🔖 배합비 참조'!$B$1:$CE$1,0))/100,0),""))),"")</f>
        <v>0</v>
      </c>
      <c r="O256" s="42" t="n">
        <f aca="false">IFERROR(IF($C256="","",IF($D256="","",IFERROR(ROUND($D256*INDEX('🔖 배합비 참조'!$B$2:$CE$83,MATCH("고구마가루",'🔖 배합비 참조'!$A$2:$A$83,0),MATCH($C256,'🔖 배합비 참조'!$B$1:$CE$1,0))/100,0),""))),"")</f>
        <v>0</v>
      </c>
      <c r="P256" s="42" t="n">
        <f aca="false">IFERROR(IF($C256="","",IF($D256="","",IFERROR(ROUND($D256*INDEX('🔖 배합비 참조'!$B$2:$CE$83,MATCH("고구마무스",'🔖 배합비 참조'!$A$2:$A$83,0),MATCH($C256,'🔖 배합비 참조'!$B$1:$CE$1,0))/100,0),""))),"")</f>
        <v>0</v>
      </c>
      <c r="Q256" s="42" t="n">
        <f aca="false">IFERROR(IF($C256="","",IF($D256="","",IFERROR(ROUND($D256*INDEX('🔖 배합비 참조'!$B$2:$CE$83,MATCH("고려엉겅퀴((곤드레)국내산)",'🔖 배합비 참조'!$A$2:$A$83,0),MATCH($C256,'🔖 배합비 참조'!$B$1:$CE$1,0))/100,0),""))),"")</f>
        <v>0</v>
      </c>
      <c r="R256" s="42" t="n">
        <f aca="false">IFERROR(IF($C256="","",IF($D256="","",IFERROR(ROUND($D256*INDEX('🔖 배합비 참조'!$B$2:$CE$83,MATCH("기타가공품(복분자가루)",'🔖 배합비 참조'!$A$2:$A$83,0),MATCH($C256,'🔖 배합비 참조'!$B$1:$CE$1,0))/100,0),""))),"")</f>
        <v>0</v>
      </c>
      <c r="S256" s="42" t="n">
        <f aca="false">IFERROR(IF($C256="","",IF($D256="","",IFERROR(ROUND($D256*INDEX('🔖 배합비 참조'!$B$2:$CE$83,MATCH("기타가공품(슈퍼소프트엠)",'🔖 배합비 참조'!$A$2:$A$83,0),MATCH($C256,'🔖 배합비 참조'!$B$1:$CE$1,0))/100,0),""))),"")</f>
        <v>0</v>
      </c>
      <c r="T256" s="42" t="n">
        <f aca="false">IFERROR(IF($C256="","",IF($D256="","",IFERROR(ROUND($D256*INDEX('🔖 배합비 참조'!$B$2:$CE$83,MATCH("기타가공품(파인소프트 E-티)",'🔖 배합비 참조'!$A$2:$A$83,0),MATCH($C256,'🔖 배합비 참조'!$B$1:$CE$1,0))/100,0),""))),"")</f>
        <v>0</v>
      </c>
      <c r="U256" s="42" t="n">
        <f aca="false">IFERROR(IF($C256="","",IF($D256="","",IFERROR(ROUND($D256*INDEX('🔖 배합비 참조'!$B$2:$CE$83,MATCH("기타가공품(프리미엄카스테라가루)",'🔖 배합비 참조'!$A$2:$A$83,0),MATCH($C256,'🔖 배합비 참조'!$B$1:$CE$1,0))/100,0),""))),"")</f>
        <v>0</v>
      </c>
      <c r="V256" s="42" t="n">
        <f aca="false">IFERROR(IF($C256="","",IF($D256="","",IFERROR(ROUND($D256*INDEX('🔖 배합비 참조'!$B$2:$CE$83,MATCH("기타가공품(흑임자가루)",'🔖 배합비 참조'!$A$2:$A$83,0),MATCH($C256,'🔖 배합비 참조'!$B$1:$CE$1,0))/100,0),""))),"")</f>
        <v>0</v>
      </c>
      <c r="W256" s="42" t="n">
        <f aca="false">IFERROR(IF($C256="","",IF($D256="","",IFERROR(ROUND($D256*INDEX('🔖 배합비 참조'!$B$2:$CE$83,MATCH("기타설탕(흑설탕)",'🔖 배합비 참조'!$A$2:$A$83,0),MATCH($C256,'🔖 배합비 참조'!$B$1:$CE$1,0))/100,0),""))),"")</f>
        <v>0</v>
      </c>
      <c r="X256" s="42" t="n">
        <f aca="false">IFERROR(IF($C256="","",IF($D256="","",IFERROR(ROUND($D256*INDEX('🔖 배합비 참조'!$B$2:$CE$83,MATCH("냉동쑥(국내산)",'🔖 배합비 참조'!$A$2:$A$83,0),MATCH($C256,'🔖 배합비 참조'!$B$1:$CE$1,0))/100,0),""))),"")</f>
        <v>2</v>
      </c>
      <c r="Y256" s="42" t="n">
        <f aca="false">IFERROR(IF($C256="","",IF($D256="","",IFERROR(ROUND($D256*INDEX('🔖 배합비 참조'!$B$2:$CE$83,MATCH("냉동증숙고구마(중국산)",'🔖 배합비 참조'!$A$2:$A$83,0),MATCH($C256,'🔖 배합비 참조'!$B$1:$CE$1,0))/100,0),""))),"")</f>
        <v>0</v>
      </c>
      <c r="Z256" s="42" t="n">
        <f aca="false">IFERROR(IF($C256="","",IF($D256="","",IFERROR(ROUND($D256*INDEX('🔖 배합비 참조'!$B$2:$CE$83,MATCH("녹차가루",'🔖 배합비 참조'!$A$2:$A$83,0),MATCH($C256,'🔖 배합비 참조'!$B$1:$CE$1,0))/100,0),""))),"")</f>
        <v>0</v>
      </c>
      <c r="AA256" s="42" t="n">
        <f aca="false">IFERROR(IF($C256="","",IF($D256="","",IFERROR(ROUND($D256*INDEX('🔖 배합비 참조'!$B$2:$CE$83,MATCH("다크초콜릿 컴파운드칩",'🔖 배합비 참조'!$A$2:$A$83,0),MATCH($C256,'🔖 배합비 참조'!$B$1:$CE$1,0))/100,0),""))),"")</f>
        <v>0</v>
      </c>
      <c r="AB256" s="42" t="n">
        <f aca="false">IFERROR(IF($C256="","",IF($D256="","",IFERROR(ROUND($D256*INDEX('🔖 배합비 참조'!$B$2:$CE$83,MATCH("단호박분말(중국산)",'🔖 배합비 참조'!$A$2:$A$83,0),MATCH($C256,'🔖 배합비 참조'!$B$1:$CE$1,0))/100,0),""))),"")</f>
        <v>0</v>
      </c>
      <c r="AC256" s="42" t="n">
        <f aca="false">IFERROR(IF($C256="","",IF($D256="","",IFERROR(ROUND($D256*INDEX('🔖 배합비 참조'!$B$2:$CE$83,MATCH("당류가공품(단호박농축액)",'🔖 배합비 참조'!$A$2:$A$83,0),MATCH($C256,'🔖 배합비 참조'!$B$1:$CE$1,0))/100,0),""))),"")</f>
        <v>0</v>
      </c>
      <c r="AD256" s="42" t="n">
        <f aca="false">IFERROR(IF($C256="","",IF($D256="","",IFERROR(ROUND($D256*INDEX('🔖 배합비 참조'!$B$2:$CE$83,MATCH("당류가공품(알룰로스,에리스리톨,스테비올배당체혼합)",'🔖 배합비 참조'!$A$2:$A$83,0),MATCH($C256,'🔖 배합비 참조'!$B$1:$CE$1,0))/100,0),""))),"")</f>
        <v>0</v>
      </c>
      <c r="AE256" s="42" t="n">
        <f aca="false">IFERROR(IF($C256="","",IF($D256="","",IFERROR(ROUND($D256*INDEX('🔖 배합비 참조'!$B$2:$CE$83,MATCH("당류가공품(알룰로스제로파우더)",'🔖 배합비 참조'!$A$2:$A$83,0),MATCH($C256,'🔖 배합비 참조'!$B$1:$CE$1,0))/100,0),""))),"")</f>
        <v>0</v>
      </c>
      <c r="AF256" s="42" t="n">
        <f aca="false">IFERROR(IF($C256="","",IF($D256="","",IFERROR(ROUND($D256*INDEX('🔖 배합비 참조'!$B$2:$CE$83,MATCH("당절임(완두배기)",'🔖 배합비 참조'!$A$2:$A$83,0),MATCH($C256,'🔖 배합비 참조'!$B$1:$CE$1,0))/100,0),""))),"")</f>
        <v>0</v>
      </c>
      <c r="AG256" s="42" t="n">
        <f aca="false">IFERROR(IF($C256="","",IF($D256="","",IFERROR(ROUND($D256*INDEX('🔖 배합비 참조'!$B$2:$CE$83,MATCH("대추농축액",'🔖 배합비 참조'!$A$2:$A$83,0),MATCH($C256,'🔖 배합비 참조'!$B$1:$CE$1,0))/100,0),""))),"")</f>
        <v>0</v>
      </c>
      <c r="AH256" s="42" t="n">
        <f aca="false">IFERROR(IF($C256="","",IF($D256="","",IFERROR(ROUND($D256*INDEX('🔖 배합비 참조'!$B$2:$CE$83,MATCH("대추채(국내산)",'🔖 배합비 참조'!$A$2:$A$83,0),MATCH($C256,'🔖 배합비 참조'!$B$1:$CE$1,0))/100,0),""))),"")</f>
        <v>0</v>
      </c>
      <c r="AI256" s="42" t="n">
        <f aca="false">IFERROR(IF($C256="","",IF($D256="","",IFERROR(ROUND($D256*INDEX('🔖 배합비 참조'!$B$2:$CE$83,MATCH("동부(미얀마산)",'🔖 배합비 참조'!$A$2:$A$83,0),MATCH($C256,'🔖 배합비 참조'!$B$1:$CE$1,0))/100,0),""))),"")</f>
        <v>14</v>
      </c>
      <c r="AJ256" s="42" t="n">
        <f aca="false">IFERROR(IF($C256="","",IF($D256="","",IFERROR(ROUND($D256*INDEX('🔖 배합비 참조'!$B$2:$CE$83,MATCH("두류가공품(백옥앙금)",'🔖 배합비 참조'!$A$2:$A$83,0),MATCH($C256,'🔖 배합비 참조'!$B$1:$CE$1,0))/100,0),""))),"")</f>
        <v>0</v>
      </c>
      <c r="AK256" s="42" t="n">
        <f aca="false">IFERROR(IF($C256="","",IF($D256="","",IFERROR(ROUND($D256*INDEX('🔖 배합비 참조'!$B$2:$CE$83,MATCH("두류가공품(콩고물)",'🔖 배합비 참조'!$A$2:$A$83,0),MATCH($C256,'🔖 배합비 참조'!$B$1:$CE$1,0))/100,0),""))),"")</f>
        <v>3</v>
      </c>
      <c r="AL256" s="42" t="n">
        <f aca="false">IFERROR(IF($C256="","",IF($D256="","",IFERROR(ROUND($D256*INDEX('🔖 배합비 참조'!$B$2:$CE$83,MATCH("두류가공품(통팥고물)",'🔖 배합비 참조'!$A$2:$A$83,0),MATCH($C256,'🔖 배합비 참조'!$B$1:$CE$1,0))/100,0),""))),"")</f>
        <v>0</v>
      </c>
      <c r="AM256" s="42" t="n">
        <f aca="false">IFERROR(IF($C256="","",IF($D256="","",IFERROR(ROUND($D256*INDEX('🔖 배합비 참조'!$B$2:$CE$83,MATCH("딸기레진",'🔖 배합비 참조'!$A$2:$A$83,0),MATCH($C256,'🔖 배합비 참조'!$B$1:$CE$1,0))/100,0),""))),"")</f>
        <v>0</v>
      </c>
      <c r="AN256" s="42" t="n">
        <f aca="false">IFERROR(IF($C256="","",IF($D256="","",IFERROR(ROUND($D256*INDEX('🔖 배합비 참조'!$B$2:$CE$83,MATCH("딸기분말(스트로우베리에이드(분말))",'🔖 배합비 참조'!$A$2:$A$83,0),MATCH($C256,'🔖 배합비 참조'!$B$1:$CE$1,0))/100,0),""))),"")</f>
        <v>0</v>
      </c>
      <c r="AO256" s="42" t="n">
        <f aca="false">IFERROR(IF($C256="","",IF($D256="","",IFERROR(ROUND($D256*INDEX('🔖 배합비 참조'!$B$2:$CE$83,MATCH("마스카포네치즈",'🔖 배합비 참조'!$A$2:$A$83,0),MATCH($C256,'🔖 배합비 참조'!$B$1:$CE$1,0))/100,0),""))),"")</f>
        <v>0</v>
      </c>
      <c r="AP256" s="42" t="n">
        <f aca="false">IFERROR(IF($C256="","",IF($D256="","",IFERROR(ROUND($D256*INDEX('🔖 배합비 참조'!$B$2:$CE$83,MATCH("마카다미아분태(호주산)",'🔖 배합비 참조'!$A$2:$A$83,0),MATCH($C256,'🔖 배합비 참조'!$B$1:$CE$1,0))/100,0),""))),"")</f>
        <v>0</v>
      </c>
      <c r="AQ256" s="42" t="n">
        <f aca="false">IFERROR(IF($C256="","",IF($D256="","",IFERROR(ROUND($D256*INDEX('🔖 배합비 참조'!$B$2:$CE$83,MATCH("멥쌀(국내산)",'🔖 배합비 참조'!$A$2:$A$83,0),MATCH($C256,'🔖 배합비 참조'!$B$1:$CE$1,0))/100,0),""))),"")</f>
        <v>0</v>
      </c>
      <c r="AR256" s="42" t="n">
        <f aca="false">IFERROR(IF($C256="","",IF($D256="","",IFERROR(ROUND($D256*INDEX('🔖 배합비 참조'!$B$2:$CE$83,MATCH("모시잎(국내산)",'🔖 배합비 참조'!$A$2:$A$83,0),MATCH($C256,'🔖 배합비 참조'!$B$1:$CE$1,0))/100,0),""))),"")</f>
        <v>0</v>
      </c>
      <c r="AS256" s="42" t="n">
        <f aca="false">IFERROR(IF($C256="","",IF($D256="","",IFERROR(ROUND($D256*INDEX('🔖 배합비 참조'!$B$2:$CE$83,MATCH("물엿(저당물엿)",'🔖 배합비 참조'!$A$2:$A$83,0),MATCH($C256,'🔖 배합비 참조'!$B$1:$CE$1,0))/100,0),""))),"")</f>
        <v>2</v>
      </c>
      <c r="AT256" s="42" t="n">
        <f aca="false">IFERROR(IF($C256="","",IF($D256="","",IFERROR(ROUND($D256*INDEX('🔖 배합비 참조'!$B$2:$CE$83,MATCH("밤다이스",'🔖 배합비 참조'!$A$2:$A$83,0),MATCH($C256,'🔖 배합비 참조'!$B$1:$CE$1,0))/100,0),""))),"")</f>
        <v>0</v>
      </c>
      <c r="AU256" s="42" t="n">
        <f aca="false">IFERROR(IF($C256="","",IF($D256="","",IFERROR(ROUND($D256*INDEX('🔖 배합비 참조'!$B$2:$CE$83,MATCH("변성전분(타피오카전분)",'🔖 배합비 참조'!$A$2:$A$83,0),MATCH($C256,'🔖 배합비 참조'!$B$1:$CE$1,0))/100,0),""))),"")</f>
        <v>0</v>
      </c>
      <c r="AV256" s="42" t="n">
        <f aca="false">IFERROR(IF($C256="","",IF($D256="","",IFERROR(ROUND($D256*INDEX('🔖 배합비 참조'!$B$2:$CE$83,MATCH("복음땅콩분태",'🔖 배합비 참조'!$A$2:$A$83,0),MATCH($C256,'🔖 배합비 참조'!$B$1:$CE$1,0))/100,0),""))),"")</f>
        <v>0</v>
      </c>
      <c r="AW256" s="42" t="n">
        <f aca="false">IFERROR(IF($C256="","",IF($D256="","",IFERROR(ROUND($D256*INDEX('🔖 배합비 참조'!$B$2:$CE$83,MATCH("사양벌꿀(국내산)",'🔖 배합비 참조'!$A$2:$A$83,0),MATCH($C256,'🔖 배합비 참조'!$B$1:$CE$1,0))/100,0),""))),"")</f>
        <v>0</v>
      </c>
      <c r="AX256" s="42" t="n">
        <f aca="false">IFERROR(IF($C256="","",IF($D256="","",IFERROR(ROUND($D256*INDEX('🔖 배합비 참조'!$B$2:$CE$83,MATCH("생크림",'🔖 배합비 참조'!$A$2:$A$83,0),MATCH($C256,'🔖 배합비 참조'!$B$1:$CE$1,0))/100,0),""))),"")</f>
        <v>0</v>
      </c>
      <c r="AY256" s="42" t="n">
        <f aca="false">IFERROR(IF($C256="","",IF($D256="","",IFERROR(ROUND($D256*INDEX('🔖 배합비 참조'!$B$2:$CE$83,MATCH("서양호박(국내산,뉴질랜드산)",'🔖 배합비 참조'!$A$2:$A$83,0),MATCH($C256,'🔖 배합비 참조'!$B$1:$CE$1,0))/100,0),""))),"")</f>
        <v>0</v>
      </c>
      <c r="AZ256" s="42" t="n">
        <f aca="false">IFERROR(IF($C256="","",IF($D256="","",IFERROR(ROUND($D256*INDEX('🔖 배합비 참조'!$B$2:$CE$83,MATCH("설탕",'🔖 배합비 참조'!$A$2:$A$83,0),MATCH($C256,'🔖 배합비 참조'!$B$1:$CE$1,0))/100,0),""))),"")</f>
        <v>2</v>
      </c>
      <c r="BA256" s="42" t="n">
        <f aca="false">IFERROR(IF($C256="","",IF($D256="","",IFERROR(ROUND($D256*INDEX('🔖 배합비 참조'!$B$2:$CE$83,MATCH("스트로우베리 에이드 후레쉬",'🔖 배합비 참조'!$A$2:$A$83,0),MATCH($C256,'🔖 배합비 참조'!$B$1:$CE$1,0))/100,0),""))),"")</f>
        <v>0</v>
      </c>
      <c r="BB256" s="42" t="n">
        <f aca="false">IFERROR(IF($C256="","",IF($D256="","",IFERROR(ROUND($D256*INDEX('🔖 배합비 참조'!$B$2:$CE$83,MATCH("식물성기름혼합제제(분홍)",'🔖 배합비 참조'!$A$2:$A$83,0),MATCH($C256,'🔖 배합비 참조'!$B$1:$CE$1,0))/100,0),""))),"")</f>
        <v>0</v>
      </c>
      <c r="BC256" s="42" t="n">
        <f aca="false">IFERROR(IF($C256="","",IF($D256="","",IFERROR(ROUND($D256*INDEX('🔖 배합비 참조'!$B$2:$CE$83,MATCH("식물성기름혼합제제(초록)",'🔖 배합비 참조'!$A$2:$A$83,0),MATCH($C256,'🔖 배합비 참조'!$B$1:$CE$1,0))/100,0),""))),"")</f>
        <v>0</v>
      </c>
      <c r="BD256" s="42" t="n">
        <f aca="false">IFERROR(IF($C256="","",IF($D256="","",IFERROR(ROUND($D256*INDEX('🔖 배합비 참조'!$B$2:$CE$83,MATCH("식물성기름혼합제제(황색)",'🔖 배합비 참조'!$A$2:$A$83,0),MATCH($C256,'🔖 배합비 참조'!$B$1:$CE$1,0))/100,0),""))),"")</f>
        <v>0</v>
      </c>
      <c r="BE256" s="42" t="n">
        <f aca="false">IFERROR(IF($C256="","",IF($D256="","",IFERROR(ROUND($D256*INDEX('🔖 배합비 참조'!$B$2:$CE$83,MATCH("쑥가루(국내산)",'🔖 배합비 참조'!$A$2:$A$83,0),MATCH($C256,'🔖 배합비 참조'!$B$1:$CE$1,0))/100,0),""))),"")</f>
        <v>1</v>
      </c>
      <c r="BF256" s="42" t="n">
        <f aca="false">IFERROR(IF($C256="","",IF($D256="","",IFERROR(ROUND($D256*INDEX('🔖 배합비 참조'!$B$2:$CE$83,MATCH("아몬드슬라이스",'🔖 배합비 참조'!$A$2:$A$83,0),MATCH($C256,'🔖 배합비 참조'!$B$1:$CE$1,0))/100,0),""))),"")</f>
        <v>0</v>
      </c>
      <c r="BG256" s="42" t="n">
        <f aca="false">IFERROR(IF($C256="","",IF($D256="","",IFERROR(ROUND($D256*INDEX('🔖 배합비 참조'!$B$2:$CE$83,MATCH("알룰로오스(국내산)",'🔖 배합비 참조'!$A$2:$A$83,0),MATCH($C256,'🔖 배합비 참조'!$B$1:$CE$1,0))/100,0),""))),"")</f>
        <v>0</v>
      </c>
      <c r="BH256" s="42" t="n">
        <f aca="false">IFERROR(IF($C256="","",IF($D256="","",IFERROR(ROUND($D256*INDEX('🔖 배합비 참조'!$B$2:$CE$83,MATCH("연유",'🔖 배합비 참조'!$A$2:$A$83,0),MATCH($C256,'🔖 배합비 참조'!$B$1:$CE$1,0))/100,0),""))),"")</f>
        <v>0</v>
      </c>
      <c r="BI256" s="42" t="n">
        <f aca="false">IFERROR(IF($C256="","",IF($D256="","",IFERROR(ROUND($D256*INDEX('🔖 배합비 참조'!$B$2:$CE$83,MATCH("옥수수전분",'🔖 배합비 참조'!$A$2:$A$83,0),MATCH($C256,'🔖 배합비 참조'!$B$1:$CE$1,0))/100,0),""))),"")</f>
        <v>0</v>
      </c>
      <c r="BJ256" s="42" t="n">
        <f aca="false">IFERROR(IF($C256="","",IF($D256="","",IFERROR(ROUND($D256*INDEX('🔖 배합비 참조'!$B$2:$CE$83,MATCH("완두배기",'🔖 배합비 참조'!$A$2:$A$83,0),MATCH($C256,'🔖 배합비 참조'!$B$1:$CE$1,0))/100,0),""))),"")</f>
        <v>0</v>
      </c>
      <c r="BK256" s="42" t="n">
        <f aca="false">IFERROR(IF($C256="","",IF($D256="","",IFERROR(ROUND($D256*INDEX('🔖 배합비 참조'!$B$2:$CE$83,MATCH("우유(국내산)",'🔖 배합비 참조'!$A$2:$A$83,0),MATCH($C256,'🔖 배합비 참조'!$B$1:$CE$1,0))/100,0),""))),"")</f>
        <v>0</v>
      </c>
      <c r="BL256" s="42" t="n">
        <f aca="false">IFERROR(IF($C256="","",IF($D256="","",IFERROR(ROUND($D256*INDEX('🔖 배합비 참조'!$B$2:$CE$83,MATCH("자색고구마가루(중국산)",'🔖 배합비 참조'!$A$2:$A$83,0),MATCH($C256,'🔖 배합비 참조'!$B$1:$CE$1,0))/100,0),""))),"")</f>
        <v>0</v>
      </c>
      <c r="BM256" s="42" t="n">
        <f aca="false">IFERROR(IF($C256="","",IF($D256="","",IFERROR(ROUND($D256*INDEX('🔖 배합비 참조'!$B$2:$CE$83,MATCH("자연치즈(체다치즈)",'🔖 배합비 참조'!$A$2:$A$83,0),MATCH($C256,'🔖 배합비 참조'!$B$1:$CE$1,0))/100,0),""))),"")</f>
        <v>0</v>
      </c>
      <c r="BN256" s="42" t="n">
        <f aca="false">IFERROR(IF($C256="","",IF($D256="","",IFERROR(ROUND($D256*INDEX('🔖 배합비 참조'!$B$2:$CE$83,MATCH("정제수",'🔖 배합비 참조'!$A$2:$A$83,0),MATCH($C256,'🔖 배합비 참조'!$B$1:$CE$1,0))/100,0),""))),"")</f>
        <v>13</v>
      </c>
      <c r="BO256" s="42" t="n">
        <f aca="false">IFERROR(IF($C256="","",IF($D256="","",IFERROR(ROUND($D256*INDEX('🔖 배합비 참조'!$B$2:$CE$83,MATCH("젤라틴",'🔖 배합비 참조'!$A$2:$A$83,0),MATCH($C256,'🔖 배합비 참조'!$B$1:$CE$1,0))/100,0),""))),"")</f>
        <v>0</v>
      </c>
      <c r="BP256" s="42" t="n">
        <f aca="false">IFERROR(IF($C256="","",IF($D256="","",IFERROR(ROUND($D256*INDEX('🔖 배합비 참조'!$B$2:$CE$83,MATCH("조림류(백옥앙금)",'🔖 배합비 참조'!$A$2:$A$83,0),MATCH($C256,'🔖 배합비 참조'!$B$1:$CE$1,0))/100,0),""))),"")</f>
        <v>27</v>
      </c>
      <c r="BQ256" s="42" t="n">
        <f aca="false">IFERROR(IF($C256="","",IF($D256="","",IFERROR(ROUND($D256*INDEX('🔖 배합비 참조'!$B$2:$CE$83,MATCH("조림류(통팥앙금)",'🔖 배합비 참조'!$A$2:$A$83,0),MATCH($C256,'🔖 배합비 참조'!$B$1:$CE$1,0))/100,0),""))),"")</f>
        <v>0</v>
      </c>
      <c r="BR256" s="42" t="n">
        <f aca="false">IFERROR(IF($C256="","",IF($D256="","",IFERROR(ROUND($D256*INDEX('🔖 배합비 참조'!$B$2:$CE$83,MATCH("준초콜릿(외국산)",'🔖 배합비 참조'!$A$2:$A$83,0),MATCH($C256,'🔖 배합비 참조'!$B$1:$CE$1,0))/100,0),""))),"")</f>
        <v>0</v>
      </c>
      <c r="BS256" s="42" t="n">
        <f aca="false">IFERROR(IF($C256="","",IF($D256="","",IFERROR(ROUND($D256*INDEX('🔖 배합비 참조'!$B$2:$CE$83,MATCH("중력분",'🔖 배합비 참조'!$A$2:$A$83,0),MATCH($C256,'🔖 배합비 참조'!$B$1:$CE$1,0))/100,0),""))),"")</f>
        <v>1</v>
      </c>
      <c r="BT256" s="42" t="n">
        <f aca="false">IFERROR(IF($C256="","",IF($D256="","",IFERROR(ROUND($D256*INDEX('🔖 배합비 참조'!$B$2:$CE$83,MATCH("참깨(인도산,나이지리아산,탄자니아산,미얀마산)",'🔖 배합비 참조'!$A$2:$A$83,0),MATCH($C256,'🔖 배합비 참조'!$B$1:$CE$1,0))/100,0),""))),"")</f>
        <v>0</v>
      </c>
      <c r="BU256" s="42" t="n">
        <f aca="false">IFERROR(IF($C256="","",IF($D256="","",IFERROR(ROUND($D256*INDEX('🔖 배합비 참조'!$B$2:$CE$83,MATCH("찹쌀(국내산)",'🔖 배합비 참조'!$A$2:$A$83,0),MATCH($C256,'🔖 배합비 참조'!$B$1:$CE$1,0))/100,0),""))),"")</f>
        <v>44</v>
      </c>
      <c r="BV256" s="42" t="n">
        <f aca="false">IFERROR(IF($C256="","",IF($D256="","",IFERROR(ROUND($D256*INDEX('🔖 배합비 참조'!$B$2:$CE$83,MATCH("천일염",'🔖 배합비 참조'!$A$2:$A$83,0),MATCH($C256,'🔖 배합비 참조'!$B$1:$CE$1,0))/100,0),""))),"")</f>
        <v>1</v>
      </c>
      <c r="BW256" s="42" t="n">
        <f aca="false">IFERROR(IF($C256="","",IF($D256="","",IFERROR(ROUND($D256*INDEX('🔖 배합비 참조'!$B$2:$CE$83,MATCH("치즈 [크림치즈]",'🔖 배합비 참조'!$A$2:$A$83,0),MATCH($C256,'🔖 배합비 참조'!$B$1:$CE$1,0))/100,0),""))),"")</f>
        <v>0</v>
      </c>
      <c r="BX256" s="42" t="n">
        <f aca="false">IFERROR(IF($C256="","",IF($D256="","",IFERROR(ROUND($D256*INDEX('🔖 배합비 참조'!$B$2:$CE$83,MATCH("코코아가공품류(코코아분말)",'🔖 배합비 참조'!$A$2:$A$83,0),MATCH($C256,'🔖 배합비 참조'!$B$1:$CE$1,0))/100,0),""))),"")</f>
        <v>0</v>
      </c>
      <c r="BY256" s="42" t="n">
        <f aca="false">IFERROR(IF($C256="","",IF($D256="","",IFERROR(ROUND($D256*INDEX('🔖 배합비 참조'!$B$2:$CE$83,MATCH("콩기름(대두유)",'🔖 배합비 참조'!$A$2:$A$83,0),MATCH($C256,'🔖 배합비 참조'!$B$1:$CE$1,0))/100,0),""))),"")</f>
        <v>0</v>
      </c>
      <c r="BZ256" s="42" t="n">
        <f aca="false">IFERROR(IF($C256="","",IF($D256="","",IFERROR(ROUND($D256*INDEX('🔖 배합비 참조'!$B$2:$CE$83,MATCH("해바라기씨앗",'🔖 배합비 참조'!$A$2:$A$83,0),MATCH($C256,'🔖 배합비 참조'!$B$1:$CE$1,0))/100,0),""))),"")</f>
        <v>0</v>
      </c>
      <c r="CA256" s="42" t="n">
        <f aca="false">IFERROR(IF($C256="","",IF($D256="","",IFERROR(ROUND($D256*INDEX('🔖 배합비 참조'!$B$2:$CE$83,MATCH("현미(국내산)",'🔖 배합비 참조'!$A$2:$A$83,0),MATCH($C256,'🔖 배합비 참조'!$B$1:$CE$1,0))/100,0),""))),"")</f>
        <v>0</v>
      </c>
      <c r="CB256" s="42" t="n">
        <f aca="false">IFERROR(IF($C256="","",IF($D256="","",IFERROR(ROUND($D256*INDEX('🔖 배합비 참조'!$B$2:$CE$83,MATCH("현미멥쌀(국내산)",'🔖 배합비 참조'!$A$2:$A$83,0),MATCH($C256,'🔖 배합비 참조'!$B$1:$CE$1,0))/100,0),""))),"")</f>
        <v>0</v>
      </c>
      <c r="CC256" s="42" t="n">
        <f aca="false">IFERROR(IF($C256="","",IF($D256="","",IFERROR(ROUND($D256*INDEX('🔖 배합비 참조'!$B$2:$CE$83,MATCH("호두분태(미국산)",'🔖 배합비 참조'!$A$2:$A$83,0),MATCH($C256,'🔖 배합비 참조'!$B$1:$CE$1,0))/100,0),""))),"")</f>
        <v>0</v>
      </c>
      <c r="CD256" s="42" t="n">
        <f aca="false">IFERROR(IF($C256="","",IF($D256="","",IFERROR(ROUND($D256*INDEX('🔖 배합비 참조'!$B$2:$CE$83,MATCH("호박씨앗(외국산)",'🔖 배합비 참조'!$A$2:$A$83,0),MATCH($C256,'🔖 배합비 참조'!$B$1:$CE$1,0))/100,0),""))),"")</f>
        <v>0</v>
      </c>
      <c r="CE256" s="42" t="n">
        <f aca="false">IFERROR(IF($C256="","",IF($D256="","",IFERROR(ROUND($D256*INDEX('🔖 배합비 참조'!$B$2:$CE$83,MATCH("혼합제제(떡용에스텔)",'🔖 배합비 참조'!$A$2:$A$83,0),MATCH($C256,'🔖 배합비 참조'!$B$1:$CE$1,0))/100,0),""))),"")</f>
        <v>0</v>
      </c>
      <c r="CF256" s="42" t="n">
        <f aca="false">IFERROR(IF($C256="","",IF($D256="","",IFERROR(ROUND($D256*INDEX('🔖 배합비 참조'!$B$2:$CE$83,MATCH("혼합제제(스테비아)",'🔖 배합비 참조'!$A$2:$A$83,0),MATCH($C256,'🔖 배합비 참조'!$B$1:$CE$1,0))/100,0),""))),"")</f>
        <v>0</v>
      </c>
      <c r="CG256" s="42" t="n">
        <f aca="false">IFERROR(IF($C256="","",IF($D256="","",IFERROR(ROUND($D256*INDEX('🔖 배합비 참조'!$B$2:$CE$83,MATCH("화이트초콜릿",'🔖 배합비 참조'!$A$2:$A$83,0),MATCH($C256,'🔖 배합비 참조'!$B$1:$CE$1,0))/100,0),""))),"")</f>
        <v>0</v>
      </c>
      <c r="CH256" s="42" t="n">
        <f aca="false">IFERROR(IF($C256="","",IF($D256="","",IFERROR(ROUND($D256*INDEX('🔖 배합비 참조'!$B$2:$CE$83,MATCH("흑미찹쌀(국내산)",'🔖 배합비 참조'!$A$2:$A$83,0),MATCH($C256,'🔖 배합비 참조'!$B$1:$CE$1,0))/100,0),""))),"")</f>
        <v>0</v>
      </c>
      <c r="CI256" s="42" t="n">
        <f aca="false">IFERROR(IF($C256="","",IF($D256="","",IFERROR(ROUND($D256*INDEX('🔖 배합비 참조'!$B$2:$CE$83,MATCH("찰옥수수전분(미국산)",'🔖 배합비 참조'!$A$2:$A$83,0),MATCH($C256,'🔖 배합비 참조'!$B$1:$CE$1,0))/100,0),""))),"")</f>
        <v>0</v>
      </c>
      <c r="CJ256" s="40"/>
      <c r="CL256" s="1" t="s">
        <v>248</v>
      </c>
    </row>
    <row r="257" customFormat="false" ht="18" hidden="false" customHeight="true" outlineLevel="0" collapsed="false">
      <c r="A257" s="35" t="n">
        <v>253</v>
      </c>
      <c r="B257" s="36" t="n">
        <v>46086</v>
      </c>
      <c r="C257" s="37" t="s">
        <v>161</v>
      </c>
      <c r="D257" s="38" t="n">
        <v>170</v>
      </c>
      <c r="E257" s="13"/>
      <c r="F257" s="13"/>
      <c r="G257" s="39" t="n">
        <f aca="false">IFERROR(IF($C257="","",IF($D257="","",IFERROR(ROUND($D257*INDEX('🔖 배합비 참조'!$B$2:$CE$83,MATCH("간장",'🔖 배합비 참조'!$A$2:$A$83,0),MATCH($C257,'🔖 배합비 참조'!$B$1:$CE$1,0))/100,0),""))),"")</f>
        <v>0</v>
      </c>
      <c r="H257" s="39" t="n">
        <f aca="false">IFERROR(IF($C257="","",IF($D257="","",IFERROR(ROUND($D257*INDEX('🔖 배합비 참조'!$B$2:$CE$83,MATCH("강낭콩((울타리콩))",'🔖 배합비 참조'!$A$2:$A$83,0),MATCH($C257,'🔖 배합비 참조'!$B$1:$CE$1,0))/100,0),""))),"")</f>
        <v>0</v>
      </c>
      <c r="I257" s="39" t="n">
        <f aca="false">IFERROR(IF($C257="","",IF($D257="","",IFERROR(ROUND($D257*INDEX('🔖 배합비 참조'!$B$2:$CE$83,MATCH("건조딸기다이스(외국산)",'🔖 배합비 참조'!$A$2:$A$83,0),MATCH($C257,'🔖 배합비 참조'!$B$1:$CE$1,0))/100,0),""))),"")</f>
        <v>0</v>
      </c>
      <c r="J257" s="39" t="n">
        <f aca="false">IFERROR(IF($C257="","",IF($D257="","",IFERROR(ROUND($D257*INDEX('🔖 배합비 참조'!$B$2:$CE$83,MATCH("건포도",'🔖 배합비 참조'!$A$2:$A$83,0),MATCH($C257,'🔖 배합비 참조'!$B$1:$CE$1,0))/100,0),""))),"")</f>
        <v>0</v>
      </c>
      <c r="K257" s="39" t="n">
        <f aca="false">IFERROR(IF($C257="","",IF($D257="","",IFERROR(ROUND($D257*INDEX('🔖 배합비 참조'!$B$2:$CE$83,MATCH("건호박채(중국산)",'🔖 배합비 참조'!$A$2:$A$83,0),MATCH($C257,'🔖 배합비 참조'!$B$1:$CE$1,0))/100,0),""))),"")</f>
        <v>0</v>
      </c>
      <c r="L257" s="39" t="n">
        <f aca="false">IFERROR(IF($C257="","",IF($D257="","",IFERROR(ROUND($D257*INDEX('🔖 배합비 참조'!$B$2:$CE$83,MATCH("검정깨(흑임자)",'🔖 배합비 참조'!$A$2:$A$83,0),MATCH($C257,'🔖 배합비 참조'!$B$1:$CE$1,0))/100,0),""))),"")</f>
        <v>0</v>
      </c>
      <c r="M257" s="39" t="n">
        <f aca="false">IFERROR(IF($C257="","",IF($D257="","",IFERROR(ROUND($D257*INDEX('🔖 배합비 참조'!$B$2:$CE$83,MATCH("검정콩",'🔖 배합비 참조'!$A$2:$A$83,0),MATCH($C257,'🔖 배합비 참조'!$B$1:$CE$1,0))/100,0),""))),"")</f>
        <v>0</v>
      </c>
      <c r="N257" s="39" t="n">
        <f aca="false">IFERROR(IF($C257="","",IF($D257="","",IFERROR(ROUND($D257*INDEX('🔖 배합비 참조'!$B$2:$CE$83,MATCH("계피가루",'🔖 배합비 참조'!$A$2:$A$83,0),MATCH($C257,'🔖 배합비 참조'!$B$1:$CE$1,0))/100,0),""))),"")</f>
        <v>0</v>
      </c>
      <c r="O257" s="39" t="n">
        <f aca="false">IFERROR(IF($C257="","",IF($D257="","",IFERROR(ROUND($D257*INDEX('🔖 배합비 참조'!$B$2:$CE$83,MATCH("고구마가루",'🔖 배합비 참조'!$A$2:$A$83,0),MATCH($C257,'🔖 배합비 참조'!$B$1:$CE$1,0))/100,0),""))),"")</f>
        <v>0</v>
      </c>
      <c r="P257" s="39" t="n">
        <f aca="false">IFERROR(IF($C257="","",IF($D257="","",IFERROR(ROUND($D257*INDEX('🔖 배합비 참조'!$B$2:$CE$83,MATCH("고구마무스",'🔖 배합비 참조'!$A$2:$A$83,0),MATCH($C257,'🔖 배합비 참조'!$B$1:$CE$1,0))/100,0),""))),"")</f>
        <v>0</v>
      </c>
      <c r="Q257" s="39" t="n">
        <f aca="false">IFERROR(IF($C257="","",IF($D257="","",IFERROR(ROUND($D257*INDEX('🔖 배합비 참조'!$B$2:$CE$83,MATCH("고려엉겅퀴((곤드레)국내산)",'🔖 배합비 참조'!$A$2:$A$83,0),MATCH($C257,'🔖 배합비 참조'!$B$1:$CE$1,0))/100,0),""))),"")</f>
        <v>0</v>
      </c>
      <c r="R257" s="39" t="n">
        <f aca="false">IFERROR(IF($C257="","",IF($D257="","",IFERROR(ROUND($D257*INDEX('🔖 배합비 참조'!$B$2:$CE$83,MATCH("기타가공품(복분자가루)",'🔖 배합비 참조'!$A$2:$A$83,0),MATCH($C257,'🔖 배합비 참조'!$B$1:$CE$1,0))/100,0),""))),"")</f>
        <v>0</v>
      </c>
      <c r="S257" s="39" t="n">
        <f aca="false">IFERROR(IF($C257="","",IF($D257="","",IFERROR(ROUND($D257*INDEX('🔖 배합비 참조'!$B$2:$CE$83,MATCH("기타가공품(슈퍼소프트엠)",'🔖 배합비 참조'!$A$2:$A$83,0),MATCH($C257,'🔖 배합비 참조'!$B$1:$CE$1,0))/100,0),""))),"")</f>
        <v>0</v>
      </c>
      <c r="T257" s="39" t="n">
        <f aca="false">IFERROR(IF($C257="","",IF($D257="","",IFERROR(ROUND($D257*INDEX('🔖 배합비 참조'!$B$2:$CE$83,MATCH("기타가공품(파인소프트 E-티)",'🔖 배합비 참조'!$A$2:$A$83,0),MATCH($C257,'🔖 배합비 참조'!$B$1:$CE$1,0))/100,0),""))),"")</f>
        <v>0</v>
      </c>
      <c r="U257" s="39" t="n">
        <f aca="false">IFERROR(IF($C257="","",IF($D257="","",IFERROR(ROUND($D257*INDEX('🔖 배합비 참조'!$B$2:$CE$83,MATCH("기타가공품(프리미엄카스테라가루)",'🔖 배합비 참조'!$A$2:$A$83,0),MATCH($C257,'🔖 배합비 참조'!$B$1:$CE$1,0))/100,0),""))),"")</f>
        <v>0</v>
      </c>
      <c r="V257" s="39" t="n">
        <f aca="false">IFERROR(IF($C257="","",IF($D257="","",IFERROR(ROUND($D257*INDEX('🔖 배합비 참조'!$B$2:$CE$83,MATCH("기타가공품(흑임자가루)",'🔖 배합비 참조'!$A$2:$A$83,0),MATCH($C257,'🔖 배합비 참조'!$B$1:$CE$1,0))/100,0),""))),"")</f>
        <v>0</v>
      </c>
      <c r="W257" s="39" t="n">
        <f aca="false">IFERROR(IF($C257="","",IF($D257="","",IFERROR(ROUND($D257*INDEX('🔖 배합비 참조'!$B$2:$CE$83,MATCH("기타설탕(흑설탕)",'🔖 배합비 참조'!$A$2:$A$83,0),MATCH($C257,'🔖 배합비 참조'!$B$1:$CE$1,0))/100,0),""))),"")</f>
        <v>0</v>
      </c>
      <c r="X257" s="39" t="n">
        <f aca="false">IFERROR(IF($C257="","",IF($D257="","",IFERROR(ROUND($D257*INDEX('🔖 배합비 참조'!$B$2:$CE$83,MATCH("냉동쑥(국내산)",'🔖 배합비 참조'!$A$2:$A$83,0),MATCH($C257,'🔖 배합비 참조'!$B$1:$CE$1,0))/100,0),""))),"")</f>
        <v>0</v>
      </c>
      <c r="Y257" s="39" t="n">
        <f aca="false">IFERROR(IF($C257="","",IF($D257="","",IFERROR(ROUND($D257*INDEX('🔖 배합비 참조'!$B$2:$CE$83,MATCH("냉동증숙고구마(중국산)",'🔖 배합비 참조'!$A$2:$A$83,0),MATCH($C257,'🔖 배합비 참조'!$B$1:$CE$1,0))/100,0),""))),"")</f>
        <v>0</v>
      </c>
      <c r="Z257" s="39" t="n">
        <f aca="false">IFERROR(IF($C257="","",IF($D257="","",IFERROR(ROUND($D257*INDEX('🔖 배합비 참조'!$B$2:$CE$83,MATCH("녹차가루",'🔖 배합비 참조'!$A$2:$A$83,0),MATCH($C257,'🔖 배합비 참조'!$B$1:$CE$1,0))/100,0),""))),"")</f>
        <v>0</v>
      </c>
      <c r="AA257" s="39" t="n">
        <f aca="false">IFERROR(IF($C257="","",IF($D257="","",IFERROR(ROUND($D257*INDEX('🔖 배합비 참조'!$B$2:$CE$83,MATCH("다크초콜릿 컴파운드칩",'🔖 배합비 참조'!$A$2:$A$83,0),MATCH($C257,'🔖 배합비 참조'!$B$1:$CE$1,0))/100,0),""))),"")</f>
        <v>0</v>
      </c>
      <c r="AB257" s="39" t="n">
        <f aca="false">IFERROR(IF($C257="","",IF($D257="","",IFERROR(ROUND($D257*INDEX('🔖 배합비 참조'!$B$2:$CE$83,MATCH("단호박분말(중국산)",'🔖 배합비 참조'!$A$2:$A$83,0),MATCH($C257,'🔖 배합비 참조'!$B$1:$CE$1,0))/100,0),""))),"")</f>
        <v>0</v>
      </c>
      <c r="AC257" s="39" t="n">
        <f aca="false">IFERROR(IF($C257="","",IF($D257="","",IFERROR(ROUND($D257*INDEX('🔖 배합비 참조'!$B$2:$CE$83,MATCH("당류가공품(단호박농축액)",'🔖 배합비 참조'!$A$2:$A$83,0),MATCH($C257,'🔖 배합비 참조'!$B$1:$CE$1,0))/100,0),""))),"")</f>
        <v>0</v>
      </c>
      <c r="AD257" s="39" t="n">
        <f aca="false">IFERROR(IF($C257="","",IF($D257="","",IFERROR(ROUND($D257*INDEX('🔖 배합비 참조'!$B$2:$CE$83,MATCH("당류가공품(알룰로스,에리스리톨,스테비올배당체혼합)",'🔖 배합비 참조'!$A$2:$A$83,0),MATCH($C257,'🔖 배합비 참조'!$B$1:$CE$1,0))/100,0),""))),"")</f>
        <v>0</v>
      </c>
      <c r="AE257" s="39" t="n">
        <f aca="false">IFERROR(IF($C257="","",IF($D257="","",IFERROR(ROUND($D257*INDEX('🔖 배합비 참조'!$B$2:$CE$83,MATCH("당류가공품(알룰로스제로파우더)",'🔖 배합비 참조'!$A$2:$A$83,0),MATCH($C257,'🔖 배합비 참조'!$B$1:$CE$1,0))/100,0),""))),"")</f>
        <v>0</v>
      </c>
      <c r="AF257" s="39" t="n">
        <f aca="false">IFERROR(IF($C257="","",IF($D257="","",IFERROR(ROUND($D257*INDEX('🔖 배합비 참조'!$B$2:$CE$83,MATCH("당절임(완두배기)",'🔖 배합비 참조'!$A$2:$A$83,0),MATCH($C257,'🔖 배합비 참조'!$B$1:$CE$1,0))/100,0),""))),"")</f>
        <v>0</v>
      </c>
      <c r="AG257" s="39" t="n">
        <f aca="false">IFERROR(IF($C257="","",IF($D257="","",IFERROR(ROUND($D257*INDEX('🔖 배합비 참조'!$B$2:$CE$83,MATCH("대추농축액",'🔖 배합비 참조'!$A$2:$A$83,0),MATCH($C257,'🔖 배합비 참조'!$B$1:$CE$1,0))/100,0),""))),"")</f>
        <v>0</v>
      </c>
      <c r="AH257" s="39" t="n">
        <f aca="false">IFERROR(IF($C257="","",IF($D257="","",IFERROR(ROUND($D257*INDEX('🔖 배합비 참조'!$B$2:$CE$83,MATCH("대추채(국내산)",'🔖 배합비 참조'!$A$2:$A$83,0),MATCH($C257,'🔖 배합비 참조'!$B$1:$CE$1,0))/100,0),""))),"")</f>
        <v>0</v>
      </c>
      <c r="AI257" s="39" t="n">
        <f aca="false">IFERROR(IF($C257="","",IF($D257="","",IFERROR(ROUND($D257*INDEX('🔖 배합비 참조'!$B$2:$CE$83,MATCH("동부(미얀마산)",'🔖 배합비 참조'!$A$2:$A$83,0),MATCH($C257,'🔖 배합비 참조'!$B$1:$CE$1,0))/100,0),""))),"")</f>
        <v>0</v>
      </c>
      <c r="AJ257" s="39" t="n">
        <f aca="false">IFERROR(IF($C257="","",IF($D257="","",IFERROR(ROUND($D257*INDEX('🔖 배합비 참조'!$B$2:$CE$83,MATCH("두류가공품(백옥앙금)",'🔖 배합비 참조'!$A$2:$A$83,0),MATCH($C257,'🔖 배합비 참조'!$B$1:$CE$1,0))/100,0),""))),"")</f>
        <v>0</v>
      </c>
      <c r="AK257" s="39" t="n">
        <f aca="false">IFERROR(IF($C257="","",IF($D257="","",IFERROR(ROUND($D257*INDEX('🔖 배합비 참조'!$B$2:$CE$83,MATCH("두류가공품(콩고물)",'🔖 배합비 참조'!$A$2:$A$83,0),MATCH($C257,'🔖 배합비 참조'!$B$1:$CE$1,0))/100,0),""))),"")</f>
        <v>0</v>
      </c>
      <c r="AL257" s="39" t="n">
        <f aca="false">IFERROR(IF($C257="","",IF($D257="","",IFERROR(ROUND($D257*INDEX('🔖 배합비 참조'!$B$2:$CE$83,MATCH("두류가공품(통팥고물)",'🔖 배합비 참조'!$A$2:$A$83,0),MATCH($C257,'🔖 배합비 참조'!$B$1:$CE$1,0))/100,0),""))),"")</f>
        <v>0</v>
      </c>
      <c r="AM257" s="39" t="n">
        <f aca="false">IFERROR(IF($C257="","",IF($D257="","",IFERROR(ROUND($D257*INDEX('🔖 배합비 참조'!$B$2:$CE$83,MATCH("딸기레진",'🔖 배합비 참조'!$A$2:$A$83,0),MATCH($C257,'🔖 배합비 참조'!$B$1:$CE$1,0))/100,0),""))),"")</f>
        <v>0</v>
      </c>
      <c r="AN257" s="39" t="n">
        <f aca="false">IFERROR(IF($C257="","",IF($D257="","",IFERROR(ROUND($D257*INDEX('🔖 배합비 참조'!$B$2:$CE$83,MATCH("딸기분말(스트로우베리에이드(분말))",'🔖 배합비 참조'!$A$2:$A$83,0),MATCH($C257,'🔖 배합비 참조'!$B$1:$CE$1,0))/100,0),""))),"")</f>
        <v>0</v>
      </c>
      <c r="AO257" s="39" t="n">
        <f aca="false">IFERROR(IF($C257="","",IF($D257="","",IFERROR(ROUND($D257*INDEX('🔖 배합비 참조'!$B$2:$CE$83,MATCH("마스카포네치즈",'🔖 배합비 참조'!$A$2:$A$83,0),MATCH($C257,'🔖 배합비 참조'!$B$1:$CE$1,0))/100,0),""))),"")</f>
        <v>0</v>
      </c>
      <c r="AP257" s="39" t="n">
        <f aca="false">IFERROR(IF($C257="","",IF($D257="","",IFERROR(ROUND($D257*INDEX('🔖 배합비 참조'!$B$2:$CE$83,MATCH("마카다미아분태(호주산)",'🔖 배합비 참조'!$A$2:$A$83,0),MATCH($C257,'🔖 배합비 참조'!$B$1:$CE$1,0))/100,0),""))),"")</f>
        <v>0</v>
      </c>
      <c r="AQ257" s="39" t="n">
        <f aca="false">IFERROR(IF($C257="","",IF($D257="","",IFERROR(ROUND($D257*INDEX('🔖 배합비 참조'!$B$2:$CE$83,MATCH("멥쌀(국내산)",'🔖 배합비 참조'!$A$2:$A$83,0),MATCH($C257,'🔖 배합비 참조'!$B$1:$CE$1,0))/100,0),""))),"")</f>
        <v>82</v>
      </c>
      <c r="AR257" s="39" t="n">
        <f aca="false">IFERROR(IF($C257="","",IF($D257="","",IFERROR(ROUND($D257*INDEX('🔖 배합비 참조'!$B$2:$CE$83,MATCH("모시잎(국내산)",'🔖 배합비 참조'!$A$2:$A$83,0),MATCH($C257,'🔖 배합비 참조'!$B$1:$CE$1,0))/100,0),""))),"")</f>
        <v>21</v>
      </c>
      <c r="AS257" s="39" t="n">
        <f aca="false">IFERROR(IF($C257="","",IF($D257="","",IFERROR(ROUND($D257*INDEX('🔖 배합비 참조'!$B$2:$CE$83,MATCH("물엿(저당물엿)",'🔖 배합비 참조'!$A$2:$A$83,0),MATCH($C257,'🔖 배합비 참조'!$B$1:$CE$1,0))/100,0),""))),"")</f>
        <v>3</v>
      </c>
      <c r="AT257" s="39" t="n">
        <f aca="false">IFERROR(IF($C257="","",IF($D257="","",IFERROR(ROUND($D257*INDEX('🔖 배합비 참조'!$B$2:$CE$83,MATCH("밤다이스",'🔖 배합비 참조'!$A$2:$A$83,0),MATCH($C257,'🔖 배합비 참조'!$B$1:$CE$1,0))/100,0),""))),"")</f>
        <v>0</v>
      </c>
      <c r="AU257" s="39" t="n">
        <f aca="false">IFERROR(IF($C257="","",IF($D257="","",IFERROR(ROUND($D257*INDEX('🔖 배합비 참조'!$B$2:$CE$83,MATCH("변성전분(타피오카전분)",'🔖 배합비 참조'!$A$2:$A$83,0),MATCH($C257,'🔖 배합비 참조'!$B$1:$CE$1,0))/100,0),""))),"")</f>
        <v>2</v>
      </c>
      <c r="AV257" s="39" t="n">
        <f aca="false">IFERROR(IF($C257="","",IF($D257="","",IFERROR(ROUND($D257*INDEX('🔖 배합비 참조'!$B$2:$CE$83,MATCH("복음땅콩분태",'🔖 배합비 참조'!$A$2:$A$83,0),MATCH($C257,'🔖 배합비 참조'!$B$1:$CE$1,0))/100,0),""))),"")</f>
        <v>0</v>
      </c>
      <c r="AW257" s="39" t="n">
        <f aca="false">IFERROR(IF($C257="","",IF($D257="","",IFERROR(ROUND($D257*INDEX('🔖 배합비 참조'!$B$2:$CE$83,MATCH("사양벌꿀(국내산)",'🔖 배합비 참조'!$A$2:$A$83,0),MATCH($C257,'🔖 배합비 참조'!$B$1:$CE$1,0))/100,0),""))),"")</f>
        <v>0</v>
      </c>
      <c r="AX257" s="39" t="n">
        <f aca="false">IFERROR(IF($C257="","",IF($D257="","",IFERROR(ROUND($D257*INDEX('🔖 배합비 참조'!$B$2:$CE$83,MATCH("생크림",'🔖 배합비 참조'!$A$2:$A$83,0),MATCH($C257,'🔖 배합비 참조'!$B$1:$CE$1,0))/100,0),""))),"")</f>
        <v>0</v>
      </c>
      <c r="AY257" s="39" t="n">
        <f aca="false">IFERROR(IF($C257="","",IF($D257="","",IFERROR(ROUND($D257*INDEX('🔖 배합비 참조'!$B$2:$CE$83,MATCH("서양호박(국내산,뉴질랜드산)",'🔖 배합비 참조'!$A$2:$A$83,0),MATCH($C257,'🔖 배합비 참조'!$B$1:$CE$1,0))/100,0),""))),"")</f>
        <v>0</v>
      </c>
      <c r="AZ257" s="39" t="n">
        <f aca="false">IFERROR(IF($C257="","",IF($D257="","",IFERROR(ROUND($D257*INDEX('🔖 배합비 참조'!$B$2:$CE$83,MATCH("설탕",'🔖 배합비 참조'!$A$2:$A$83,0),MATCH($C257,'🔖 배합비 참조'!$B$1:$CE$1,0))/100,0),""))),"")</f>
        <v>0</v>
      </c>
      <c r="BA257" s="39" t="n">
        <f aca="false">IFERROR(IF($C257="","",IF($D257="","",IFERROR(ROUND($D257*INDEX('🔖 배합비 참조'!$B$2:$CE$83,MATCH("스트로우베리 에이드 후레쉬",'🔖 배합비 참조'!$A$2:$A$83,0),MATCH($C257,'🔖 배합비 참조'!$B$1:$CE$1,0))/100,0),""))),"")</f>
        <v>0</v>
      </c>
      <c r="BB257" s="39" t="n">
        <f aca="false">IFERROR(IF($C257="","",IF($D257="","",IFERROR(ROUND($D257*INDEX('🔖 배합비 참조'!$B$2:$CE$83,MATCH("식물성기름혼합제제(분홍)",'🔖 배합비 참조'!$A$2:$A$83,0),MATCH($C257,'🔖 배합비 참조'!$B$1:$CE$1,0))/100,0),""))),"")</f>
        <v>0</v>
      </c>
      <c r="BC257" s="39" t="n">
        <f aca="false">IFERROR(IF($C257="","",IF($D257="","",IFERROR(ROUND($D257*INDEX('🔖 배합비 참조'!$B$2:$CE$83,MATCH("식물성기름혼합제제(초록)",'🔖 배합비 참조'!$A$2:$A$83,0),MATCH($C257,'🔖 배합비 참조'!$B$1:$CE$1,0))/100,0),""))),"")</f>
        <v>0</v>
      </c>
      <c r="BD257" s="39" t="n">
        <f aca="false">IFERROR(IF($C257="","",IF($D257="","",IFERROR(ROUND($D257*INDEX('🔖 배합비 참조'!$B$2:$CE$83,MATCH("식물성기름혼합제제(황색)",'🔖 배합비 참조'!$A$2:$A$83,0),MATCH($C257,'🔖 배합비 참조'!$B$1:$CE$1,0))/100,0),""))),"")</f>
        <v>0</v>
      </c>
      <c r="BE257" s="39" t="n">
        <f aca="false">IFERROR(IF($C257="","",IF($D257="","",IFERROR(ROUND($D257*INDEX('🔖 배합비 참조'!$B$2:$CE$83,MATCH("쑥가루(국내산)",'🔖 배합비 참조'!$A$2:$A$83,0),MATCH($C257,'🔖 배합비 참조'!$B$1:$CE$1,0))/100,0),""))),"")</f>
        <v>2</v>
      </c>
      <c r="BF257" s="39" t="n">
        <f aca="false">IFERROR(IF($C257="","",IF($D257="","",IFERROR(ROUND($D257*INDEX('🔖 배합비 참조'!$B$2:$CE$83,MATCH("아몬드슬라이스",'🔖 배합비 참조'!$A$2:$A$83,0),MATCH($C257,'🔖 배합비 참조'!$B$1:$CE$1,0))/100,0),""))),"")</f>
        <v>0</v>
      </c>
      <c r="BG257" s="39" t="n">
        <f aca="false">IFERROR(IF($C257="","",IF($D257="","",IFERROR(ROUND($D257*INDEX('🔖 배합비 참조'!$B$2:$CE$83,MATCH("알룰로오스(국내산)",'🔖 배합비 참조'!$A$2:$A$83,0),MATCH($C257,'🔖 배합비 참조'!$B$1:$CE$1,0))/100,0),""))),"")</f>
        <v>0</v>
      </c>
      <c r="BH257" s="39" t="n">
        <f aca="false">IFERROR(IF($C257="","",IF($D257="","",IFERROR(ROUND($D257*INDEX('🔖 배합비 참조'!$B$2:$CE$83,MATCH("연유",'🔖 배합비 참조'!$A$2:$A$83,0),MATCH($C257,'🔖 배합비 참조'!$B$1:$CE$1,0))/100,0),""))),"")</f>
        <v>0</v>
      </c>
      <c r="BI257" s="39" t="n">
        <f aca="false">IFERROR(IF($C257="","",IF($D257="","",IFERROR(ROUND($D257*INDEX('🔖 배합비 참조'!$B$2:$CE$83,MATCH("옥수수전분",'🔖 배합비 참조'!$A$2:$A$83,0),MATCH($C257,'🔖 배합비 참조'!$B$1:$CE$1,0))/100,0),""))),"")</f>
        <v>0</v>
      </c>
      <c r="BJ257" s="39" t="n">
        <f aca="false">IFERROR(IF($C257="","",IF($D257="","",IFERROR(ROUND($D257*INDEX('🔖 배합비 참조'!$B$2:$CE$83,MATCH("완두배기",'🔖 배합비 참조'!$A$2:$A$83,0),MATCH($C257,'🔖 배합비 참조'!$B$1:$CE$1,0))/100,0),""))),"")</f>
        <v>0</v>
      </c>
      <c r="BK257" s="39" t="n">
        <f aca="false">IFERROR(IF($C257="","",IF($D257="","",IFERROR(ROUND($D257*INDEX('🔖 배합비 참조'!$B$2:$CE$83,MATCH("우유(국내산)",'🔖 배합비 참조'!$A$2:$A$83,0),MATCH($C257,'🔖 배합비 참조'!$B$1:$CE$1,0))/100,0),""))),"")</f>
        <v>0</v>
      </c>
      <c r="BL257" s="39" t="n">
        <f aca="false">IFERROR(IF($C257="","",IF($D257="","",IFERROR(ROUND($D257*INDEX('🔖 배합비 참조'!$B$2:$CE$83,MATCH("자색고구마가루(중국산)",'🔖 배합비 참조'!$A$2:$A$83,0),MATCH($C257,'🔖 배합비 참조'!$B$1:$CE$1,0))/100,0),""))),"")</f>
        <v>0</v>
      </c>
      <c r="BM257" s="39" t="n">
        <f aca="false">IFERROR(IF($C257="","",IF($D257="","",IFERROR(ROUND($D257*INDEX('🔖 배합비 참조'!$B$2:$CE$83,MATCH("자연치즈(체다치즈)",'🔖 배합비 참조'!$A$2:$A$83,0),MATCH($C257,'🔖 배합비 참조'!$B$1:$CE$1,0))/100,0),""))),"")</f>
        <v>0</v>
      </c>
      <c r="BN257" s="39" t="n">
        <f aca="false">IFERROR(IF($C257="","",IF($D257="","",IFERROR(ROUND($D257*INDEX('🔖 배합비 참조'!$B$2:$CE$83,MATCH("정제수",'🔖 배합비 참조'!$A$2:$A$83,0),MATCH($C257,'🔖 배합비 참조'!$B$1:$CE$1,0))/100,0),""))),"")</f>
        <v>57</v>
      </c>
      <c r="BO257" s="39" t="n">
        <f aca="false">IFERROR(IF($C257="","",IF($D257="","",IFERROR(ROUND($D257*INDEX('🔖 배합비 참조'!$B$2:$CE$83,MATCH("젤라틴",'🔖 배합비 참조'!$A$2:$A$83,0),MATCH($C257,'🔖 배합비 참조'!$B$1:$CE$1,0))/100,0),""))),"")</f>
        <v>0</v>
      </c>
      <c r="BP257" s="39" t="n">
        <f aca="false">IFERROR(IF($C257="","",IF($D257="","",IFERROR(ROUND($D257*INDEX('🔖 배합비 참조'!$B$2:$CE$83,MATCH("조림류(백옥앙금)",'🔖 배합비 참조'!$A$2:$A$83,0),MATCH($C257,'🔖 배합비 참조'!$B$1:$CE$1,0))/100,0),""))),"")</f>
        <v>0</v>
      </c>
      <c r="BQ257" s="39" t="n">
        <f aca="false">IFERROR(IF($C257="","",IF($D257="","",IFERROR(ROUND($D257*INDEX('🔖 배합비 참조'!$B$2:$CE$83,MATCH("조림류(통팥앙금)",'🔖 배합비 참조'!$A$2:$A$83,0),MATCH($C257,'🔖 배합비 참조'!$B$1:$CE$1,0))/100,0),""))),"")</f>
        <v>0</v>
      </c>
      <c r="BR257" s="39" t="n">
        <f aca="false">IFERROR(IF($C257="","",IF($D257="","",IFERROR(ROUND($D257*INDEX('🔖 배합비 참조'!$B$2:$CE$83,MATCH("준초콜릿(외국산)",'🔖 배합비 참조'!$A$2:$A$83,0),MATCH($C257,'🔖 배합비 참조'!$B$1:$CE$1,0))/100,0),""))),"")</f>
        <v>0</v>
      </c>
      <c r="BS257" s="39" t="n">
        <f aca="false">IFERROR(IF($C257="","",IF($D257="","",IFERROR(ROUND($D257*INDEX('🔖 배합비 참조'!$B$2:$CE$83,MATCH("중력분",'🔖 배합비 참조'!$A$2:$A$83,0),MATCH($C257,'🔖 배합비 참조'!$B$1:$CE$1,0))/100,0),""))),"")</f>
        <v>0</v>
      </c>
      <c r="BT257" s="39" t="n">
        <f aca="false">IFERROR(IF($C257="","",IF($D257="","",IFERROR(ROUND($D257*INDEX('🔖 배합비 참조'!$B$2:$CE$83,MATCH("참깨(인도산,나이지리아산,탄자니아산,미얀마산)",'🔖 배합비 참조'!$A$2:$A$83,0),MATCH($C257,'🔖 배합비 참조'!$B$1:$CE$1,0))/100,0),""))),"")</f>
        <v>0</v>
      </c>
      <c r="BU257" s="39" t="n">
        <f aca="false">IFERROR(IF($C257="","",IF($D257="","",IFERROR(ROUND($D257*INDEX('🔖 배합비 참조'!$B$2:$CE$83,MATCH("찹쌀(국내산)",'🔖 배합비 참조'!$A$2:$A$83,0),MATCH($C257,'🔖 배합비 참조'!$B$1:$CE$1,0))/100,0),""))),"")</f>
        <v>0</v>
      </c>
      <c r="BV257" s="39" t="n">
        <f aca="false">IFERROR(IF($C257="","",IF($D257="","",IFERROR(ROUND($D257*INDEX('🔖 배합비 참조'!$B$2:$CE$83,MATCH("천일염",'🔖 배합비 참조'!$A$2:$A$83,0),MATCH($C257,'🔖 배합비 참조'!$B$1:$CE$1,0))/100,0),""))),"")</f>
        <v>1</v>
      </c>
      <c r="BW257" s="39" t="n">
        <f aca="false">IFERROR(IF($C257="","",IF($D257="","",IFERROR(ROUND($D257*INDEX('🔖 배합비 참조'!$B$2:$CE$83,MATCH("치즈 [크림치즈]",'🔖 배합비 참조'!$A$2:$A$83,0),MATCH($C257,'🔖 배합비 참조'!$B$1:$CE$1,0))/100,0),""))),"")</f>
        <v>0</v>
      </c>
      <c r="BX257" s="39" t="n">
        <f aca="false">IFERROR(IF($C257="","",IF($D257="","",IFERROR(ROUND($D257*INDEX('🔖 배합비 참조'!$B$2:$CE$83,MATCH("코코아가공품류(코코아분말)",'🔖 배합비 참조'!$A$2:$A$83,0),MATCH($C257,'🔖 배합비 참조'!$B$1:$CE$1,0))/100,0),""))),"")</f>
        <v>0</v>
      </c>
      <c r="BY257" s="39" t="n">
        <f aca="false">IFERROR(IF($C257="","",IF($D257="","",IFERROR(ROUND($D257*INDEX('🔖 배합비 참조'!$B$2:$CE$83,MATCH("콩기름(대두유)",'🔖 배합비 참조'!$A$2:$A$83,0),MATCH($C257,'🔖 배합비 참조'!$B$1:$CE$1,0))/100,0),""))),"")</f>
        <v>2</v>
      </c>
      <c r="BZ257" s="39" t="n">
        <f aca="false">IFERROR(IF($C257="","",IF($D257="","",IFERROR(ROUND($D257*INDEX('🔖 배합비 참조'!$B$2:$CE$83,MATCH("해바라기씨앗",'🔖 배합비 참조'!$A$2:$A$83,0),MATCH($C257,'🔖 배합비 참조'!$B$1:$CE$1,0))/100,0),""))),"")</f>
        <v>0</v>
      </c>
      <c r="CA257" s="39" t="n">
        <f aca="false">IFERROR(IF($C257="","",IF($D257="","",IFERROR(ROUND($D257*INDEX('🔖 배합비 참조'!$B$2:$CE$83,MATCH("현미(국내산)",'🔖 배합비 참조'!$A$2:$A$83,0),MATCH($C257,'🔖 배합비 참조'!$B$1:$CE$1,0))/100,0),""))),"")</f>
        <v>0</v>
      </c>
      <c r="CB257" s="39" t="n">
        <f aca="false">IFERROR(IF($C257="","",IF($D257="","",IFERROR(ROUND($D257*INDEX('🔖 배합비 참조'!$B$2:$CE$83,MATCH("현미멥쌀(국내산)",'🔖 배합비 참조'!$A$2:$A$83,0),MATCH($C257,'🔖 배합비 참조'!$B$1:$CE$1,0))/100,0),""))),"")</f>
        <v>0</v>
      </c>
      <c r="CC257" s="39" t="n">
        <f aca="false">IFERROR(IF($C257="","",IF($D257="","",IFERROR(ROUND($D257*INDEX('🔖 배합비 참조'!$B$2:$CE$83,MATCH("호두분태(미국산)",'🔖 배합비 참조'!$A$2:$A$83,0),MATCH($C257,'🔖 배합비 참조'!$B$1:$CE$1,0))/100,0),""))),"")</f>
        <v>0</v>
      </c>
      <c r="CD257" s="39" t="n">
        <f aca="false">IFERROR(IF($C257="","",IF($D257="","",IFERROR(ROUND($D257*INDEX('🔖 배합비 참조'!$B$2:$CE$83,MATCH("호박씨앗(외국산)",'🔖 배합비 참조'!$A$2:$A$83,0),MATCH($C257,'🔖 배합비 참조'!$B$1:$CE$1,0))/100,0),""))),"")</f>
        <v>0</v>
      </c>
      <c r="CE257" s="39" t="n">
        <f aca="false">IFERROR(IF($C257="","",IF($D257="","",IFERROR(ROUND($D257*INDEX('🔖 배합비 참조'!$B$2:$CE$83,MATCH("혼합제제(떡용에스텔)",'🔖 배합비 참조'!$A$2:$A$83,0),MATCH($C257,'🔖 배합비 참조'!$B$1:$CE$1,0))/100,0),""))),"")</f>
        <v>0</v>
      </c>
      <c r="CF257" s="39" t="n">
        <f aca="false">IFERROR(IF($C257="","",IF($D257="","",IFERROR(ROUND($D257*INDEX('🔖 배합비 참조'!$B$2:$CE$83,MATCH("혼합제제(스테비아)",'🔖 배합비 참조'!$A$2:$A$83,0),MATCH($C257,'🔖 배합비 참조'!$B$1:$CE$1,0))/100,0),""))),"")</f>
        <v>0</v>
      </c>
      <c r="CG257" s="39" t="n">
        <f aca="false">IFERROR(IF($C257="","",IF($D257="","",IFERROR(ROUND($D257*INDEX('🔖 배합비 참조'!$B$2:$CE$83,MATCH("화이트초콜릿",'🔖 배합비 참조'!$A$2:$A$83,0),MATCH($C257,'🔖 배합비 참조'!$B$1:$CE$1,0))/100,0),""))),"")</f>
        <v>0</v>
      </c>
      <c r="CH257" s="39" t="n">
        <f aca="false">IFERROR(IF($C257="","",IF($D257="","",IFERROR(ROUND($D257*INDEX('🔖 배합비 참조'!$B$2:$CE$83,MATCH("흑미찹쌀(국내산)",'🔖 배합비 참조'!$A$2:$A$83,0),MATCH($C257,'🔖 배합비 참조'!$B$1:$CE$1,0))/100,0),""))),"")</f>
        <v>0</v>
      </c>
      <c r="CI257" s="39" t="n">
        <f aca="false">IFERROR(IF($C257="","",IF($D257="","",IFERROR(ROUND($D257*INDEX('🔖 배합비 참조'!$B$2:$CE$83,MATCH("찰옥수수전분(미국산)",'🔖 배합비 참조'!$A$2:$A$83,0),MATCH($C257,'🔖 배합비 참조'!$B$1:$CE$1,0))/100,0),""))),"")</f>
        <v>0</v>
      </c>
      <c r="CJ257" s="40"/>
      <c r="CL257" s="1" t="s">
        <v>248</v>
      </c>
    </row>
    <row r="258" customFormat="false" ht="18" hidden="false" customHeight="true" outlineLevel="0" collapsed="false">
      <c r="A258" s="41" t="n">
        <v>254</v>
      </c>
      <c r="B258" s="36" t="n">
        <v>46086</v>
      </c>
      <c r="C258" s="37" t="s">
        <v>169</v>
      </c>
      <c r="D258" s="38" t="n">
        <v>22</v>
      </c>
      <c r="E258" s="17"/>
      <c r="F258" s="17"/>
      <c r="G258" s="42" t="n">
        <f aca="false">IFERROR(IF($C258="","",IF($D258="","",IFERROR(ROUND($D258*INDEX('🔖 배합비 참조'!$B$2:$CE$83,MATCH("간장",'🔖 배합비 참조'!$A$2:$A$83,0),MATCH($C258,'🔖 배합비 참조'!$B$1:$CE$1,0))/100,0),""))),"")</f>
        <v>0</v>
      </c>
      <c r="H258" s="42" t="n">
        <f aca="false">IFERROR(IF($C258="","",IF($D258="","",IFERROR(ROUND($D258*INDEX('🔖 배합비 참조'!$B$2:$CE$83,MATCH("강낭콩((울타리콩))",'🔖 배합비 참조'!$A$2:$A$83,0),MATCH($C258,'🔖 배합비 참조'!$B$1:$CE$1,0))/100,0),""))),"")</f>
        <v>0</v>
      </c>
      <c r="I258" s="42" t="n">
        <f aca="false">IFERROR(IF($C258="","",IF($D258="","",IFERROR(ROUND($D258*INDEX('🔖 배합비 참조'!$B$2:$CE$83,MATCH("건조딸기다이스(외국산)",'🔖 배합비 참조'!$A$2:$A$83,0),MATCH($C258,'🔖 배합비 참조'!$B$1:$CE$1,0))/100,0),""))),"")</f>
        <v>0</v>
      </c>
      <c r="J258" s="42" t="n">
        <f aca="false">IFERROR(IF($C258="","",IF($D258="","",IFERROR(ROUND($D258*INDEX('🔖 배합비 참조'!$B$2:$CE$83,MATCH("건포도",'🔖 배합비 참조'!$A$2:$A$83,0),MATCH($C258,'🔖 배합비 참조'!$B$1:$CE$1,0))/100,0),""))),"")</f>
        <v>0</v>
      </c>
      <c r="K258" s="42" t="n">
        <f aca="false">IFERROR(IF($C258="","",IF($D258="","",IFERROR(ROUND($D258*INDEX('🔖 배합비 참조'!$B$2:$CE$83,MATCH("건호박채(중국산)",'🔖 배합비 참조'!$A$2:$A$83,0),MATCH($C258,'🔖 배합비 참조'!$B$1:$CE$1,0))/100,0),""))),"")</f>
        <v>0</v>
      </c>
      <c r="L258" s="42" t="n">
        <f aca="false">IFERROR(IF($C258="","",IF($D258="","",IFERROR(ROUND($D258*INDEX('🔖 배합비 참조'!$B$2:$CE$83,MATCH("검정깨(흑임자)",'🔖 배합비 참조'!$A$2:$A$83,0),MATCH($C258,'🔖 배합비 참조'!$B$1:$CE$1,0))/100,0),""))),"")</f>
        <v>0</v>
      </c>
      <c r="M258" s="42" t="n">
        <f aca="false">IFERROR(IF($C258="","",IF($D258="","",IFERROR(ROUND($D258*INDEX('🔖 배합비 참조'!$B$2:$CE$83,MATCH("검정콩",'🔖 배합비 참조'!$A$2:$A$83,0),MATCH($C258,'🔖 배합비 참조'!$B$1:$CE$1,0))/100,0),""))),"")</f>
        <v>0</v>
      </c>
      <c r="N258" s="42" t="n">
        <f aca="false">IFERROR(IF($C258="","",IF($D258="","",IFERROR(ROUND($D258*INDEX('🔖 배합비 참조'!$B$2:$CE$83,MATCH("계피가루",'🔖 배합비 참조'!$A$2:$A$83,0),MATCH($C258,'🔖 배합비 참조'!$B$1:$CE$1,0))/100,0),""))),"")</f>
        <v>0</v>
      </c>
      <c r="O258" s="42" t="n">
        <f aca="false">IFERROR(IF($C258="","",IF($D258="","",IFERROR(ROUND($D258*INDEX('🔖 배합비 참조'!$B$2:$CE$83,MATCH("고구마가루",'🔖 배합비 참조'!$A$2:$A$83,0),MATCH($C258,'🔖 배합비 참조'!$B$1:$CE$1,0))/100,0),""))),"")</f>
        <v>0</v>
      </c>
      <c r="P258" s="42" t="n">
        <f aca="false">IFERROR(IF($C258="","",IF($D258="","",IFERROR(ROUND($D258*INDEX('🔖 배합비 참조'!$B$2:$CE$83,MATCH("고구마무스",'🔖 배합비 참조'!$A$2:$A$83,0),MATCH($C258,'🔖 배합비 참조'!$B$1:$CE$1,0))/100,0),""))),"")</f>
        <v>0</v>
      </c>
      <c r="Q258" s="42" t="n">
        <f aca="false">IFERROR(IF($C258="","",IF($D258="","",IFERROR(ROUND($D258*INDEX('🔖 배합비 참조'!$B$2:$CE$83,MATCH("고려엉겅퀴((곤드레)국내산)",'🔖 배합비 참조'!$A$2:$A$83,0),MATCH($C258,'🔖 배합비 참조'!$B$1:$CE$1,0))/100,0),""))),"")</f>
        <v>0</v>
      </c>
      <c r="R258" s="42" t="n">
        <f aca="false">IFERROR(IF($C258="","",IF($D258="","",IFERROR(ROUND($D258*INDEX('🔖 배합비 참조'!$B$2:$CE$83,MATCH("기타가공품(복분자가루)",'🔖 배합비 참조'!$A$2:$A$83,0),MATCH($C258,'🔖 배합비 참조'!$B$1:$CE$1,0))/100,0),""))),"")</f>
        <v>0</v>
      </c>
      <c r="S258" s="42" t="n">
        <f aca="false">IFERROR(IF($C258="","",IF($D258="","",IFERROR(ROUND($D258*INDEX('🔖 배합비 참조'!$B$2:$CE$83,MATCH("기타가공품(슈퍼소프트엠)",'🔖 배합비 참조'!$A$2:$A$83,0),MATCH($C258,'🔖 배합비 참조'!$B$1:$CE$1,0))/100,0),""))),"")</f>
        <v>0</v>
      </c>
      <c r="T258" s="42" t="n">
        <f aca="false">IFERROR(IF($C258="","",IF($D258="","",IFERROR(ROUND($D258*INDEX('🔖 배합비 참조'!$B$2:$CE$83,MATCH("기타가공품(파인소프트 E-티)",'🔖 배합비 참조'!$A$2:$A$83,0),MATCH($C258,'🔖 배합비 참조'!$B$1:$CE$1,0))/100,0),""))),"")</f>
        <v>0</v>
      </c>
      <c r="U258" s="42" t="n">
        <f aca="false">IFERROR(IF($C258="","",IF($D258="","",IFERROR(ROUND($D258*INDEX('🔖 배합비 참조'!$B$2:$CE$83,MATCH("기타가공품(프리미엄카스테라가루)",'🔖 배합비 참조'!$A$2:$A$83,0),MATCH($C258,'🔖 배합비 참조'!$B$1:$CE$1,0))/100,0),""))),"")</f>
        <v>0</v>
      </c>
      <c r="V258" s="42" t="n">
        <f aca="false">IFERROR(IF($C258="","",IF($D258="","",IFERROR(ROUND($D258*INDEX('🔖 배합비 참조'!$B$2:$CE$83,MATCH("기타가공품(흑임자가루)",'🔖 배합비 참조'!$A$2:$A$83,0),MATCH($C258,'🔖 배합비 참조'!$B$1:$CE$1,0))/100,0),""))),"")</f>
        <v>0</v>
      </c>
      <c r="W258" s="42" t="n">
        <f aca="false">IFERROR(IF($C258="","",IF($D258="","",IFERROR(ROUND($D258*INDEX('🔖 배합비 참조'!$B$2:$CE$83,MATCH("기타설탕(흑설탕)",'🔖 배합비 참조'!$A$2:$A$83,0),MATCH($C258,'🔖 배합비 참조'!$B$1:$CE$1,0))/100,0),""))),"")</f>
        <v>0</v>
      </c>
      <c r="X258" s="42" t="n">
        <f aca="false">IFERROR(IF($C258="","",IF($D258="","",IFERROR(ROUND($D258*INDEX('🔖 배합비 참조'!$B$2:$CE$83,MATCH("냉동쑥(국내산)",'🔖 배합비 참조'!$A$2:$A$83,0),MATCH($C258,'🔖 배합비 참조'!$B$1:$CE$1,0))/100,0),""))),"")</f>
        <v>0</v>
      </c>
      <c r="Y258" s="42" t="n">
        <f aca="false">IFERROR(IF($C258="","",IF($D258="","",IFERROR(ROUND($D258*INDEX('🔖 배합비 참조'!$B$2:$CE$83,MATCH("냉동증숙고구마(중국산)",'🔖 배합비 참조'!$A$2:$A$83,0),MATCH($C258,'🔖 배합비 참조'!$B$1:$CE$1,0))/100,0),""))),"")</f>
        <v>0</v>
      </c>
      <c r="Z258" s="42" t="n">
        <f aca="false">IFERROR(IF($C258="","",IF($D258="","",IFERROR(ROUND($D258*INDEX('🔖 배합비 참조'!$B$2:$CE$83,MATCH("녹차가루",'🔖 배합비 참조'!$A$2:$A$83,0),MATCH($C258,'🔖 배합비 참조'!$B$1:$CE$1,0))/100,0),""))),"")</f>
        <v>0</v>
      </c>
      <c r="AA258" s="42" t="n">
        <f aca="false">IFERROR(IF($C258="","",IF($D258="","",IFERROR(ROUND($D258*INDEX('🔖 배합비 참조'!$B$2:$CE$83,MATCH("다크초콜릿 컴파운드칩",'🔖 배합비 참조'!$A$2:$A$83,0),MATCH($C258,'🔖 배합비 참조'!$B$1:$CE$1,0))/100,0),""))),"")</f>
        <v>0</v>
      </c>
      <c r="AB258" s="42" t="n">
        <f aca="false">IFERROR(IF($C258="","",IF($D258="","",IFERROR(ROUND($D258*INDEX('🔖 배합비 참조'!$B$2:$CE$83,MATCH("단호박분말(중국산)",'🔖 배합비 참조'!$A$2:$A$83,0),MATCH($C258,'🔖 배합비 참조'!$B$1:$CE$1,0))/100,0),""))),"")</f>
        <v>0</v>
      </c>
      <c r="AC258" s="42" t="n">
        <f aca="false">IFERROR(IF($C258="","",IF($D258="","",IFERROR(ROUND($D258*INDEX('🔖 배합비 참조'!$B$2:$CE$83,MATCH("당류가공품(단호박농축액)",'🔖 배합비 참조'!$A$2:$A$83,0),MATCH($C258,'🔖 배합비 참조'!$B$1:$CE$1,0))/100,0),""))),"")</f>
        <v>0</v>
      </c>
      <c r="AD258" s="42" t="n">
        <f aca="false">IFERROR(IF($C258="","",IF($D258="","",IFERROR(ROUND($D258*INDEX('🔖 배합비 참조'!$B$2:$CE$83,MATCH("당류가공품(알룰로스,에리스리톨,스테비올배당체혼합)",'🔖 배합비 참조'!$A$2:$A$83,0),MATCH($C258,'🔖 배합비 참조'!$B$1:$CE$1,0))/100,0),""))),"")</f>
        <v>0</v>
      </c>
      <c r="AE258" s="42" t="n">
        <f aca="false">IFERROR(IF($C258="","",IF($D258="","",IFERROR(ROUND($D258*INDEX('🔖 배합비 참조'!$B$2:$CE$83,MATCH("당류가공품(알룰로스제로파우더)",'🔖 배합비 참조'!$A$2:$A$83,0),MATCH($C258,'🔖 배합비 참조'!$B$1:$CE$1,0))/100,0),""))),"")</f>
        <v>0</v>
      </c>
      <c r="AF258" s="42" t="n">
        <f aca="false">IFERROR(IF($C258="","",IF($D258="","",IFERROR(ROUND($D258*INDEX('🔖 배합비 참조'!$B$2:$CE$83,MATCH("당절임(완두배기)",'🔖 배합비 참조'!$A$2:$A$83,0),MATCH($C258,'🔖 배합비 참조'!$B$1:$CE$1,0))/100,0),""))),"")</f>
        <v>0</v>
      </c>
      <c r="AG258" s="42" t="n">
        <f aca="false">IFERROR(IF($C258="","",IF($D258="","",IFERROR(ROUND($D258*INDEX('🔖 배합비 참조'!$B$2:$CE$83,MATCH("대추농축액",'🔖 배합비 참조'!$A$2:$A$83,0),MATCH($C258,'🔖 배합비 참조'!$B$1:$CE$1,0))/100,0),""))),"")</f>
        <v>0</v>
      </c>
      <c r="AH258" s="42" t="n">
        <f aca="false">IFERROR(IF($C258="","",IF($D258="","",IFERROR(ROUND($D258*INDEX('🔖 배합비 참조'!$B$2:$CE$83,MATCH("대추채(국내산)",'🔖 배합비 참조'!$A$2:$A$83,0),MATCH($C258,'🔖 배합비 참조'!$B$1:$CE$1,0))/100,0),""))),"")</f>
        <v>0</v>
      </c>
      <c r="AI258" s="42" t="n">
        <f aca="false">IFERROR(IF($C258="","",IF($D258="","",IFERROR(ROUND($D258*INDEX('🔖 배합비 참조'!$B$2:$CE$83,MATCH("동부(미얀마산)",'🔖 배합비 참조'!$A$2:$A$83,0),MATCH($C258,'🔖 배합비 참조'!$B$1:$CE$1,0))/100,0),""))),"")</f>
        <v>0</v>
      </c>
      <c r="AJ258" s="42" t="n">
        <f aca="false">IFERROR(IF($C258="","",IF($D258="","",IFERROR(ROUND($D258*INDEX('🔖 배합비 참조'!$B$2:$CE$83,MATCH("두류가공품(백옥앙금)",'🔖 배합비 참조'!$A$2:$A$83,0),MATCH($C258,'🔖 배합비 참조'!$B$1:$CE$1,0))/100,0),""))),"")</f>
        <v>0</v>
      </c>
      <c r="AK258" s="42" t="n">
        <f aca="false">IFERROR(IF($C258="","",IF($D258="","",IFERROR(ROUND($D258*INDEX('🔖 배합비 참조'!$B$2:$CE$83,MATCH("두류가공품(콩고물)",'🔖 배합비 참조'!$A$2:$A$83,0),MATCH($C258,'🔖 배합비 참조'!$B$1:$CE$1,0))/100,0),""))),"")</f>
        <v>0</v>
      </c>
      <c r="AL258" s="42" t="n">
        <f aca="false">IFERROR(IF($C258="","",IF($D258="","",IFERROR(ROUND($D258*INDEX('🔖 배합비 참조'!$B$2:$CE$83,MATCH("두류가공품(통팥고물)",'🔖 배합비 참조'!$A$2:$A$83,0),MATCH($C258,'🔖 배합비 참조'!$B$1:$CE$1,0))/100,0),""))),"")</f>
        <v>0</v>
      </c>
      <c r="AM258" s="42" t="n">
        <f aca="false">IFERROR(IF($C258="","",IF($D258="","",IFERROR(ROUND($D258*INDEX('🔖 배합비 참조'!$B$2:$CE$83,MATCH("딸기레진",'🔖 배합비 참조'!$A$2:$A$83,0),MATCH($C258,'🔖 배합비 참조'!$B$1:$CE$1,0))/100,0),""))),"")</f>
        <v>0</v>
      </c>
      <c r="AN258" s="42" t="n">
        <f aca="false">IFERROR(IF($C258="","",IF($D258="","",IFERROR(ROUND($D258*INDEX('🔖 배합비 참조'!$B$2:$CE$83,MATCH("딸기분말(스트로우베리에이드(분말))",'🔖 배합비 참조'!$A$2:$A$83,0),MATCH($C258,'🔖 배합비 참조'!$B$1:$CE$1,0))/100,0),""))),"")</f>
        <v>0</v>
      </c>
      <c r="AO258" s="42" t="n">
        <f aca="false">IFERROR(IF($C258="","",IF($D258="","",IFERROR(ROUND($D258*INDEX('🔖 배합비 참조'!$B$2:$CE$83,MATCH("마스카포네치즈",'🔖 배합비 참조'!$A$2:$A$83,0),MATCH($C258,'🔖 배합비 참조'!$B$1:$CE$1,0))/100,0),""))),"")</f>
        <v>0</v>
      </c>
      <c r="AP258" s="42" t="n">
        <f aca="false">IFERROR(IF($C258="","",IF($D258="","",IFERROR(ROUND($D258*INDEX('🔖 배합비 참조'!$B$2:$CE$83,MATCH("마카다미아분태(호주산)",'🔖 배합비 참조'!$A$2:$A$83,0),MATCH($C258,'🔖 배합비 참조'!$B$1:$CE$1,0))/100,0),""))),"")</f>
        <v>0</v>
      </c>
      <c r="AQ258" s="42" t="n">
        <f aca="false">IFERROR(IF($C258="","",IF($D258="","",IFERROR(ROUND($D258*INDEX('🔖 배합비 참조'!$B$2:$CE$83,MATCH("멥쌀(국내산)",'🔖 배합비 참조'!$A$2:$A$83,0),MATCH($C258,'🔖 배합비 참조'!$B$1:$CE$1,0))/100,0),""))),"")</f>
        <v>22</v>
      </c>
      <c r="AR258" s="42" t="n">
        <f aca="false">IFERROR(IF($C258="","",IF($D258="","",IFERROR(ROUND($D258*INDEX('🔖 배합비 참조'!$B$2:$CE$83,MATCH("모시잎(국내산)",'🔖 배합비 참조'!$A$2:$A$83,0),MATCH($C258,'🔖 배합비 참조'!$B$1:$CE$1,0))/100,0),""))),"")</f>
        <v>0</v>
      </c>
      <c r="AS258" s="42" t="n">
        <f aca="false">IFERROR(IF($C258="","",IF($D258="","",IFERROR(ROUND($D258*INDEX('🔖 배합비 참조'!$B$2:$CE$83,MATCH("물엿(저당물엿)",'🔖 배합비 참조'!$A$2:$A$83,0),MATCH($C258,'🔖 배합비 참조'!$B$1:$CE$1,0))/100,0),""))),"")</f>
        <v>0</v>
      </c>
      <c r="AT258" s="42" t="n">
        <f aca="false">IFERROR(IF($C258="","",IF($D258="","",IFERROR(ROUND($D258*INDEX('🔖 배합비 참조'!$B$2:$CE$83,MATCH("밤다이스",'🔖 배합비 참조'!$A$2:$A$83,0),MATCH($C258,'🔖 배합비 참조'!$B$1:$CE$1,0))/100,0),""))),"")</f>
        <v>0</v>
      </c>
      <c r="AU258" s="42" t="n">
        <f aca="false">IFERROR(IF($C258="","",IF($D258="","",IFERROR(ROUND($D258*INDEX('🔖 배합비 참조'!$B$2:$CE$83,MATCH("변성전분(타피오카전분)",'🔖 배합비 참조'!$A$2:$A$83,0),MATCH($C258,'🔖 배합비 참조'!$B$1:$CE$1,0))/100,0),""))),"")</f>
        <v>0</v>
      </c>
      <c r="AV258" s="42" t="n">
        <f aca="false">IFERROR(IF($C258="","",IF($D258="","",IFERROR(ROUND($D258*INDEX('🔖 배합비 참조'!$B$2:$CE$83,MATCH("복음땅콩분태",'🔖 배합비 참조'!$A$2:$A$83,0),MATCH($C258,'🔖 배합비 참조'!$B$1:$CE$1,0))/100,0),""))),"")</f>
        <v>0</v>
      </c>
      <c r="AW258" s="42" t="n">
        <f aca="false">IFERROR(IF($C258="","",IF($D258="","",IFERROR(ROUND($D258*INDEX('🔖 배합비 참조'!$B$2:$CE$83,MATCH("사양벌꿀(국내산)",'🔖 배합비 참조'!$A$2:$A$83,0),MATCH($C258,'🔖 배합비 참조'!$B$1:$CE$1,0))/100,0),""))),"")</f>
        <v>0</v>
      </c>
      <c r="AX258" s="42" t="n">
        <f aca="false">IFERROR(IF($C258="","",IF($D258="","",IFERROR(ROUND($D258*INDEX('🔖 배합비 참조'!$B$2:$CE$83,MATCH("생크림",'🔖 배합비 참조'!$A$2:$A$83,0),MATCH($C258,'🔖 배합비 참조'!$B$1:$CE$1,0))/100,0),""))),"")</f>
        <v>0</v>
      </c>
      <c r="AY258" s="42" t="n">
        <f aca="false">IFERROR(IF($C258="","",IF($D258="","",IFERROR(ROUND($D258*INDEX('🔖 배합비 참조'!$B$2:$CE$83,MATCH("서양호박(국내산,뉴질랜드산)",'🔖 배합비 참조'!$A$2:$A$83,0),MATCH($C258,'🔖 배합비 참조'!$B$1:$CE$1,0))/100,0),""))),"")</f>
        <v>0</v>
      </c>
      <c r="AZ258" s="42" t="n">
        <f aca="false">IFERROR(IF($C258="","",IF($D258="","",IFERROR(ROUND($D258*INDEX('🔖 배합비 참조'!$B$2:$CE$83,MATCH("설탕",'🔖 배합비 참조'!$A$2:$A$83,0),MATCH($C258,'🔖 배합비 참조'!$B$1:$CE$1,0))/100,0),""))),"")</f>
        <v>0</v>
      </c>
      <c r="BA258" s="42" t="n">
        <f aca="false">IFERROR(IF($C258="","",IF($D258="","",IFERROR(ROUND($D258*INDEX('🔖 배합비 참조'!$B$2:$CE$83,MATCH("스트로우베리 에이드 후레쉬",'🔖 배합비 참조'!$A$2:$A$83,0),MATCH($C258,'🔖 배합비 참조'!$B$1:$CE$1,0))/100,0),""))),"")</f>
        <v>0</v>
      </c>
      <c r="BB258" s="42" t="n">
        <f aca="false">IFERROR(IF($C258="","",IF($D258="","",IFERROR(ROUND($D258*INDEX('🔖 배합비 참조'!$B$2:$CE$83,MATCH("식물성기름혼합제제(분홍)",'🔖 배합비 참조'!$A$2:$A$83,0),MATCH($C258,'🔖 배합비 참조'!$B$1:$CE$1,0))/100,0),""))),"")</f>
        <v>0</v>
      </c>
      <c r="BC258" s="42" t="n">
        <f aca="false">IFERROR(IF($C258="","",IF($D258="","",IFERROR(ROUND($D258*INDEX('🔖 배합비 참조'!$B$2:$CE$83,MATCH("식물성기름혼합제제(초록)",'🔖 배합비 참조'!$A$2:$A$83,0),MATCH($C258,'🔖 배합비 참조'!$B$1:$CE$1,0))/100,0),""))),"")</f>
        <v>0</v>
      </c>
      <c r="BD258" s="42" t="n">
        <f aca="false">IFERROR(IF($C258="","",IF($D258="","",IFERROR(ROUND($D258*INDEX('🔖 배합비 참조'!$B$2:$CE$83,MATCH("식물성기름혼합제제(황색)",'🔖 배합비 참조'!$A$2:$A$83,0),MATCH($C258,'🔖 배합비 참조'!$B$1:$CE$1,0))/100,0),""))),"")</f>
        <v>0</v>
      </c>
      <c r="BE258" s="42" t="n">
        <f aca="false">IFERROR(IF($C258="","",IF($D258="","",IFERROR(ROUND($D258*INDEX('🔖 배합비 참조'!$B$2:$CE$83,MATCH("쑥가루(국내산)",'🔖 배합비 참조'!$A$2:$A$83,0),MATCH($C258,'🔖 배합비 참조'!$B$1:$CE$1,0))/100,0),""))),"")</f>
        <v>0</v>
      </c>
      <c r="BF258" s="42" t="n">
        <f aca="false">IFERROR(IF($C258="","",IF($D258="","",IFERROR(ROUND($D258*INDEX('🔖 배합비 참조'!$B$2:$CE$83,MATCH("아몬드슬라이스",'🔖 배합비 참조'!$A$2:$A$83,0),MATCH($C258,'🔖 배합비 참조'!$B$1:$CE$1,0))/100,0),""))),"")</f>
        <v>0</v>
      </c>
      <c r="BG258" s="42" t="n">
        <f aca="false">IFERROR(IF($C258="","",IF($D258="","",IFERROR(ROUND($D258*INDEX('🔖 배합비 참조'!$B$2:$CE$83,MATCH("알룰로오스(국내산)",'🔖 배합비 참조'!$A$2:$A$83,0),MATCH($C258,'🔖 배합비 참조'!$B$1:$CE$1,0))/100,0),""))),"")</f>
        <v>0</v>
      </c>
      <c r="BH258" s="42" t="n">
        <f aca="false">IFERROR(IF($C258="","",IF($D258="","",IFERROR(ROUND($D258*INDEX('🔖 배합비 참조'!$B$2:$CE$83,MATCH("연유",'🔖 배합비 참조'!$A$2:$A$83,0),MATCH($C258,'🔖 배합비 참조'!$B$1:$CE$1,0))/100,0),""))),"")</f>
        <v>0</v>
      </c>
      <c r="BI258" s="42" t="n">
        <f aca="false">IFERROR(IF($C258="","",IF($D258="","",IFERROR(ROUND($D258*INDEX('🔖 배합비 참조'!$B$2:$CE$83,MATCH("옥수수전분",'🔖 배합비 참조'!$A$2:$A$83,0),MATCH($C258,'🔖 배합비 참조'!$B$1:$CE$1,0))/100,0),""))),"")</f>
        <v>0</v>
      </c>
      <c r="BJ258" s="42" t="n">
        <f aca="false">IFERROR(IF($C258="","",IF($D258="","",IFERROR(ROUND($D258*INDEX('🔖 배합비 참조'!$B$2:$CE$83,MATCH("완두배기",'🔖 배합비 참조'!$A$2:$A$83,0),MATCH($C258,'🔖 배합비 참조'!$B$1:$CE$1,0))/100,0),""))),"")</f>
        <v>0</v>
      </c>
      <c r="BK258" s="42" t="n">
        <f aca="false">IFERROR(IF($C258="","",IF($D258="","",IFERROR(ROUND($D258*INDEX('🔖 배합비 참조'!$B$2:$CE$83,MATCH("우유(국내산)",'🔖 배합비 참조'!$A$2:$A$83,0),MATCH($C258,'🔖 배합비 참조'!$B$1:$CE$1,0))/100,0),""))),"")</f>
        <v>0</v>
      </c>
      <c r="BL258" s="42" t="n">
        <f aca="false">IFERROR(IF($C258="","",IF($D258="","",IFERROR(ROUND($D258*INDEX('🔖 배합비 참조'!$B$2:$CE$83,MATCH("자색고구마가루(중국산)",'🔖 배합비 참조'!$A$2:$A$83,0),MATCH($C258,'🔖 배합비 참조'!$B$1:$CE$1,0))/100,0),""))),"")</f>
        <v>0</v>
      </c>
      <c r="BM258" s="42" t="n">
        <f aca="false">IFERROR(IF($C258="","",IF($D258="","",IFERROR(ROUND($D258*INDEX('🔖 배합비 참조'!$B$2:$CE$83,MATCH("자연치즈(체다치즈)",'🔖 배합비 참조'!$A$2:$A$83,0),MATCH($C258,'🔖 배합비 참조'!$B$1:$CE$1,0))/100,0),""))),"")</f>
        <v>0</v>
      </c>
      <c r="BN258" s="42" t="n">
        <f aca="false">IFERROR(IF($C258="","",IF($D258="","",IFERROR(ROUND($D258*INDEX('🔖 배합비 참조'!$B$2:$CE$83,MATCH("정제수",'🔖 배합비 참조'!$A$2:$A$83,0),MATCH($C258,'🔖 배합비 참조'!$B$1:$CE$1,0))/100,0),""))),"")</f>
        <v>0</v>
      </c>
      <c r="BO258" s="42" t="n">
        <f aca="false">IFERROR(IF($C258="","",IF($D258="","",IFERROR(ROUND($D258*INDEX('🔖 배합비 참조'!$B$2:$CE$83,MATCH("젤라틴",'🔖 배합비 참조'!$A$2:$A$83,0),MATCH($C258,'🔖 배합비 참조'!$B$1:$CE$1,0))/100,0),""))),"")</f>
        <v>0</v>
      </c>
      <c r="BP258" s="42" t="n">
        <f aca="false">IFERROR(IF($C258="","",IF($D258="","",IFERROR(ROUND($D258*INDEX('🔖 배합비 참조'!$B$2:$CE$83,MATCH("조림류(백옥앙금)",'🔖 배합비 참조'!$A$2:$A$83,0),MATCH($C258,'🔖 배합비 참조'!$B$1:$CE$1,0))/100,0),""))),"")</f>
        <v>0</v>
      </c>
      <c r="BQ258" s="42" t="n">
        <f aca="false">IFERROR(IF($C258="","",IF($D258="","",IFERROR(ROUND($D258*INDEX('🔖 배합비 참조'!$B$2:$CE$83,MATCH("조림류(통팥앙금)",'🔖 배합비 참조'!$A$2:$A$83,0),MATCH($C258,'🔖 배합비 참조'!$B$1:$CE$1,0))/100,0),""))),"")</f>
        <v>0</v>
      </c>
      <c r="BR258" s="42" t="n">
        <f aca="false">IFERROR(IF($C258="","",IF($D258="","",IFERROR(ROUND($D258*INDEX('🔖 배합비 참조'!$B$2:$CE$83,MATCH("준초콜릿(외국산)",'🔖 배합비 참조'!$A$2:$A$83,0),MATCH($C258,'🔖 배합비 참조'!$B$1:$CE$1,0))/100,0),""))),"")</f>
        <v>0</v>
      </c>
      <c r="BS258" s="42" t="n">
        <f aca="false">IFERROR(IF($C258="","",IF($D258="","",IFERROR(ROUND($D258*INDEX('🔖 배합비 참조'!$B$2:$CE$83,MATCH("중력분",'🔖 배합비 참조'!$A$2:$A$83,0),MATCH($C258,'🔖 배합비 참조'!$B$1:$CE$1,0))/100,0),""))),"")</f>
        <v>0</v>
      </c>
      <c r="BT258" s="42" t="n">
        <f aca="false">IFERROR(IF($C258="","",IF($D258="","",IFERROR(ROUND($D258*INDEX('🔖 배합비 참조'!$B$2:$CE$83,MATCH("참깨(인도산,나이지리아산,탄자니아산,미얀마산)",'🔖 배합비 참조'!$A$2:$A$83,0),MATCH($C258,'🔖 배합비 참조'!$B$1:$CE$1,0))/100,0),""))),"")</f>
        <v>0</v>
      </c>
      <c r="BU258" s="42" t="n">
        <f aca="false">IFERROR(IF($C258="","",IF($D258="","",IFERROR(ROUND($D258*INDEX('🔖 배합비 참조'!$B$2:$CE$83,MATCH("찹쌀(국내산)",'🔖 배합비 참조'!$A$2:$A$83,0),MATCH($C258,'🔖 배합비 참조'!$B$1:$CE$1,0))/100,0),""))),"")</f>
        <v>0</v>
      </c>
      <c r="BV258" s="42" t="n">
        <f aca="false">IFERROR(IF($C258="","",IF($D258="","",IFERROR(ROUND($D258*INDEX('🔖 배합비 참조'!$B$2:$CE$83,MATCH("천일염",'🔖 배합비 참조'!$A$2:$A$83,0),MATCH($C258,'🔖 배합비 참조'!$B$1:$CE$1,0))/100,0),""))),"")</f>
        <v>0</v>
      </c>
      <c r="BW258" s="42" t="n">
        <f aca="false">IFERROR(IF($C258="","",IF($D258="","",IFERROR(ROUND($D258*INDEX('🔖 배합비 참조'!$B$2:$CE$83,MATCH("치즈 [크림치즈]",'🔖 배합비 참조'!$A$2:$A$83,0),MATCH($C258,'🔖 배합비 참조'!$B$1:$CE$1,0))/100,0),""))),"")</f>
        <v>0</v>
      </c>
      <c r="BX258" s="42" t="n">
        <f aca="false">IFERROR(IF($C258="","",IF($D258="","",IFERROR(ROUND($D258*INDEX('🔖 배합비 참조'!$B$2:$CE$83,MATCH("코코아가공품류(코코아분말)",'🔖 배합비 참조'!$A$2:$A$83,0),MATCH($C258,'🔖 배합비 참조'!$B$1:$CE$1,0))/100,0),""))),"")</f>
        <v>0</v>
      </c>
      <c r="BY258" s="42" t="n">
        <f aca="false">IFERROR(IF($C258="","",IF($D258="","",IFERROR(ROUND($D258*INDEX('🔖 배합비 참조'!$B$2:$CE$83,MATCH("콩기름(대두유)",'🔖 배합비 참조'!$A$2:$A$83,0),MATCH($C258,'🔖 배합비 참조'!$B$1:$CE$1,0))/100,0),""))),"")</f>
        <v>0</v>
      </c>
      <c r="BZ258" s="42" t="n">
        <f aca="false">IFERROR(IF($C258="","",IF($D258="","",IFERROR(ROUND($D258*INDEX('🔖 배합비 참조'!$B$2:$CE$83,MATCH("해바라기씨앗",'🔖 배합비 참조'!$A$2:$A$83,0),MATCH($C258,'🔖 배합비 참조'!$B$1:$CE$1,0))/100,0),""))),"")</f>
        <v>0</v>
      </c>
      <c r="CA258" s="42" t="n">
        <f aca="false">IFERROR(IF($C258="","",IF($D258="","",IFERROR(ROUND($D258*INDEX('🔖 배합비 참조'!$B$2:$CE$83,MATCH("현미(국내산)",'🔖 배합비 참조'!$A$2:$A$83,0),MATCH($C258,'🔖 배합비 참조'!$B$1:$CE$1,0))/100,0),""))),"")</f>
        <v>0</v>
      </c>
      <c r="CB258" s="42" t="n">
        <f aca="false">IFERROR(IF($C258="","",IF($D258="","",IFERROR(ROUND($D258*INDEX('🔖 배합비 참조'!$B$2:$CE$83,MATCH("현미멥쌀(국내산)",'🔖 배합비 참조'!$A$2:$A$83,0),MATCH($C258,'🔖 배합비 참조'!$B$1:$CE$1,0))/100,0),""))),"")</f>
        <v>0</v>
      </c>
      <c r="CC258" s="42" t="n">
        <f aca="false">IFERROR(IF($C258="","",IF($D258="","",IFERROR(ROUND($D258*INDEX('🔖 배합비 참조'!$B$2:$CE$83,MATCH("호두분태(미국산)",'🔖 배합비 참조'!$A$2:$A$83,0),MATCH($C258,'🔖 배합비 참조'!$B$1:$CE$1,0))/100,0),""))),"")</f>
        <v>0</v>
      </c>
      <c r="CD258" s="42" t="n">
        <f aca="false">IFERROR(IF($C258="","",IF($D258="","",IFERROR(ROUND($D258*INDEX('🔖 배합비 참조'!$B$2:$CE$83,MATCH("호박씨앗(외국산)",'🔖 배합비 참조'!$A$2:$A$83,0),MATCH($C258,'🔖 배합비 참조'!$B$1:$CE$1,0))/100,0),""))),"")</f>
        <v>0</v>
      </c>
      <c r="CE258" s="42" t="n">
        <f aca="false">IFERROR(IF($C258="","",IF($D258="","",IFERROR(ROUND($D258*INDEX('🔖 배합비 참조'!$B$2:$CE$83,MATCH("혼합제제(떡용에스텔)",'🔖 배합비 참조'!$A$2:$A$83,0),MATCH($C258,'🔖 배합비 참조'!$B$1:$CE$1,0))/100,0),""))),"")</f>
        <v>0</v>
      </c>
      <c r="CF258" s="42" t="n">
        <f aca="false">IFERROR(IF($C258="","",IF($D258="","",IFERROR(ROUND($D258*INDEX('🔖 배합비 참조'!$B$2:$CE$83,MATCH("혼합제제(스테비아)",'🔖 배합비 참조'!$A$2:$A$83,0),MATCH($C258,'🔖 배합비 참조'!$B$1:$CE$1,0))/100,0),""))),"")</f>
        <v>0</v>
      </c>
      <c r="CG258" s="42" t="n">
        <f aca="false">IFERROR(IF($C258="","",IF($D258="","",IFERROR(ROUND($D258*INDEX('🔖 배합비 참조'!$B$2:$CE$83,MATCH("화이트초콜릿",'🔖 배합비 참조'!$A$2:$A$83,0),MATCH($C258,'🔖 배합비 참조'!$B$1:$CE$1,0))/100,0),""))),"")</f>
        <v>0</v>
      </c>
      <c r="CH258" s="42" t="n">
        <f aca="false">IFERROR(IF($C258="","",IF($D258="","",IFERROR(ROUND($D258*INDEX('🔖 배합비 참조'!$B$2:$CE$83,MATCH("흑미찹쌀(국내산)",'🔖 배합비 참조'!$A$2:$A$83,0),MATCH($C258,'🔖 배합비 참조'!$B$1:$CE$1,0))/100,0),""))),"")</f>
        <v>0</v>
      </c>
      <c r="CI258" s="42" t="n">
        <f aca="false">IFERROR(IF($C258="","",IF($D258="","",IFERROR(ROUND($D258*INDEX('🔖 배합비 참조'!$B$2:$CE$83,MATCH("찰옥수수전분(미국산)",'🔖 배합비 참조'!$A$2:$A$83,0),MATCH($C258,'🔖 배합비 참조'!$B$1:$CE$1,0))/100,0),""))),"")</f>
        <v>0</v>
      </c>
      <c r="CJ258" s="40"/>
      <c r="CL258" s="1" t="s">
        <v>248</v>
      </c>
    </row>
    <row r="259" customFormat="false" ht="18" hidden="false" customHeight="true" outlineLevel="0" collapsed="false">
      <c r="A259" s="35" t="n">
        <v>255</v>
      </c>
      <c r="B259" s="36" t="n">
        <v>46086</v>
      </c>
      <c r="C259" s="37" t="s">
        <v>174</v>
      </c>
      <c r="D259" s="38" t="n">
        <v>170</v>
      </c>
      <c r="E259" s="13"/>
      <c r="F259" s="13"/>
      <c r="G259" s="39" t="n">
        <f aca="false">IFERROR(IF($C259="","",IF($D259="","",IFERROR(ROUND($D259*INDEX('🔖 배합비 참조'!$B$2:$CE$83,MATCH("간장",'🔖 배합비 참조'!$A$2:$A$83,0),MATCH($C259,'🔖 배합비 참조'!$B$1:$CE$1,0))/100,0),""))),"")</f>
        <v>0</v>
      </c>
      <c r="H259" s="39" t="n">
        <f aca="false">IFERROR(IF($C259="","",IF($D259="","",IFERROR(ROUND($D259*INDEX('🔖 배합비 참조'!$B$2:$CE$83,MATCH("강낭콩((울타리콩))",'🔖 배합비 참조'!$A$2:$A$83,0),MATCH($C259,'🔖 배합비 참조'!$B$1:$CE$1,0))/100,0),""))),"")</f>
        <v>0</v>
      </c>
      <c r="I259" s="39" t="n">
        <f aca="false">IFERROR(IF($C259="","",IF($D259="","",IFERROR(ROUND($D259*INDEX('🔖 배합비 참조'!$B$2:$CE$83,MATCH("건조딸기다이스(외국산)",'🔖 배합비 참조'!$A$2:$A$83,0),MATCH($C259,'🔖 배합비 참조'!$B$1:$CE$1,0))/100,0),""))),"")</f>
        <v>0</v>
      </c>
      <c r="J259" s="39" t="n">
        <f aca="false">IFERROR(IF($C259="","",IF($D259="","",IFERROR(ROUND($D259*INDEX('🔖 배합비 참조'!$B$2:$CE$83,MATCH("건포도",'🔖 배합비 참조'!$A$2:$A$83,0),MATCH($C259,'🔖 배합비 참조'!$B$1:$CE$1,0))/100,0),""))),"")</f>
        <v>0</v>
      </c>
      <c r="K259" s="39" t="n">
        <f aca="false">IFERROR(IF($C259="","",IF($D259="","",IFERROR(ROUND($D259*INDEX('🔖 배합비 참조'!$B$2:$CE$83,MATCH("건호박채(중국산)",'🔖 배합비 참조'!$A$2:$A$83,0),MATCH($C259,'🔖 배합비 참조'!$B$1:$CE$1,0))/100,0),""))),"")</f>
        <v>0</v>
      </c>
      <c r="L259" s="39" t="n">
        <f aca="false">IFERROR(IF($C259="","",IF($D259="","",IFERROR(ROUND($D259*INDEX('🔖 배합비 참조'!$B$2:$CE$83,MATCH("검정깨(흑임자)",'🔖 배합비 참조'!$A$2:$A$83,0),MATCH($C259,'🔖 배합비 참조'!$B$1:$CE$1,0))/100,0),""))),"")</f>
        <v>0</v>
      </c>
      <c r="M259" s="39" t="n">
        <f aca="false">IFERROR(IF($C259="","",IF($D259="","",IFERROR(ROUND($D259*INDEX('🔖 배합비 참조'!$B$2:$CE$83,MATCH("검정콩",'🔖 배합비 참조'!$A$2:$A$83,0),MATCH($C259,'🔖 배합비 참조'!$B$1:$CE$1,0))/100,0),""))),"")</f>
        <v>0</v>
      </c>
      <c r="N259" s="39" t="n">
        <f aca="false">IFERROR(IF($C259="","",IF($D259="","",IFERROR(ROUND($D259*INDEX('🔖 배합비 참조'!$B$2:$CE$83,MATCH("계피가루",'🔖 배합비 참조'!$A$2:$A$83,0),MATCH($C259,'🔖 배합비 참조'!$B$1:$CE$1,0))/100,0),""))),"")</f>
        <v>0</v>
      </c>
      <c r="O259" s="39" t="n">
        <f aca="false">IFERROR(IF($C259="","",IF($D259="","",IFERROR(ROUND($D259*INDEX('🔖 배합비 참조'!$B$2:$CE$83,MATCH("고구마가루",'🔖 배합비 참조'!$A$2:$A$83,0),MATCH($C259,'🔖 배합비 참조'!$B$1:$CE$1,0))/100,0),""))),"")</f>
        <v>0</v>
      </c>
      <c r="P259" s="39" t="n">
        <f aca="false">IFERROR(IF($C259="","",IF($D259="","",IFERROR(ROUND($D259*INDEX('🔖 배합비 참조'!$B$2:$CE$83,MATCH("고구마무스",'🔖 배합비 참조'!$A$2:$A$83,0),MATCH($C259,'🔖 배합비 참조'!$B$1:$CE$1,0))/100,0),""))),"")</f>
        <v>0</v>
      </c>
      <c r="Q259" s="39" t="n">
        <f aca="false">IFERROR(IF($C259="","",IF($D259="","",IFERROR(ROUND($D259*INDEX('🔖 배합비 참조'!$B$2:$CE$83,MATCH("고려엉겅퀴((곤드레)국내산)",'🔖 배합비 참조'!$A$2:$A$83,0),MATCH($C259,'🔖 배합비 참조'!$B$1:$CE$1,0))/100,0),""))),"")</f>
        <v>0</v>
      </c>
      <c r="R259" s="39" t="n">
        <f aca="false">IFERROR(IF($C259="","",IF($D259="","",IFERROR(ROUND($D259*INDEX('🔖 배합비 참조'!$B$2:$CE$83,MATCH("기타가공품(복분자가루)",'🔖 배합비 참조'!$A$2:$A$83,0),MATCH($C259,'🔖 배합비 참조'!$B$1:$CE$1,0))/100,0),""))),"")</f>
        <v>0</v>
      </c>
      <c r="S259" s="39" t="n">
        <f aca="false">IFERROR(IF($C259="","",IF($D259="","",IFERROR(ROUND($D259*INDEX('🔖 배합비 참조'!$B$2:$CE$83,MATCH("기타가공품(슈퍼소프트엠)",'🔖 배합비 참조'!$A$2:$A$83,0),MATCH($C259,'🔖 배합비 참조'!$B$1:$CE$1,0))/100,0),""))),"")</f>
        <v>0</v>
      </c>
      <c r="T259" s="39" t="n">
        <f aca="false">IFERROR(IF($C259="","",IF($D259="","",IFERROR(ROUND($D259*INDEX('🔖 배합비 참조'!$B$2:$CE$83,MATCH("기타가공품(파인소프트 E-티)",'🔖 배합비 참조'!$A$2:$A$83,0),MATCH($C259,'🔖 배합비 참조'!$B$1:$CE$1,0))/100,0),""))),"")</f>
        <v>0</v>
      </c>
      <c r="U259" s="39" t="n">
        <f aca="false">IFERROR(IF($C259="","",IF($D259="","",IFERROR(ROUND($D259*INDEX('🔖 배합비 참조'!$B$2:$CE$83,MATCH("기타가공품(프리미엄카스테라가루)",'🔖 배합비 참조'!$A$2:$A$83,0),MATCH($C259,'🔖 배합비 참조'!$B$1:$CE$1,0))/100,0),""))),"")</f>
        <v>0</v>
      </c>
      <c r="V259" s="39" t="n">
        <f aca="false">IFERROR(IF($C259="","",IF($D259="","",IFERROR(ROUND($D259*INDEX('🔖 배합비 참조'!$B$2:$CE$83,MATCH("기타가공품(흑임자가루)",'🔖 배합비 참조'!$A$2:$A$83,0),MATCH($C259,'🔖 배합비 참조'!$B$1:$CE$1,0))/100,0),""))),"")</f>
        <v>0</v>
      </c>
      <c r="W259" s="39" t="n">
        <f aca="false">IFERROR(IF($C259="","",IF($D259="","",IFERROR(ROUND($D259*INDEX('🔖 배합비 참조'!$B$2:$CE$83,MATCH("기타설탕(흑설탕)",'🔖 배합비 참조'!$A$2:$A$83,0),MATCH($C259,'🔖 배합비 참조'!$B$1:$CE$1,0))/100,0),""))),"")</f>
        <v>0</v>
      </c>
      <c r="X259" s="39" t="n">
        <f aca="false">IFERROR(IF($C259="","",IF($D259="","",IFERROR(ROUND($D259*INDEX('🔖 배합비 참조'!$B$2:$CE$83,MATCH("냉동쑥(국내산)",'🔖 배합비 참조'!$A$2:$A$83,0),MATCH($C259,'🔖 배합비 참조'!$B$1:$CE$1,0))/100,0),""))),"")</f>
        <v>21</v>
      </c>
      <c r="Y259" s="39" t="n">
        <f aca="false">IFERROR(IF($C259="","",IF($D259="","",IFERROR(ROUND($D259*INDEX('🔖 배합비 참조'!$B$2:$CE$83,MATCH("냉동증숙고구마(중국산)",'🔖 배합비 참조'!$A$2:$A$83,0),MATCH($C259,'🔖 배합비 참조'!$B$1:$CE$1,0))/100,0),""))),"")</f>
        <v>0</v>
      </c>
      <c r="Z259" s="39" t="n">
        <f aca="false">IFERROR(IF($C259="","",IF($D259="","",IFERROR(ROUND($D259*INDEX('🔖 배합비 참조'!$B$2:$CE$83,MATCH("녹차가루",'🔖 배합비 참조'!$A$2:$A$83,0),MATCH($C259,'🔖 배합비 참조'!$B$1:$CE$1,0))/100,0),""))),"")</f>
        <v>0</v>
      </c>
      <c r="AA259" s="39" t="n">
        <f aca="false">IFERROR(IF($C259="","",IF($D259="","",IFERROR(ROUND($D259*INDEX('🔖 배합비 참조'!$B$2:$CE$83,MATCH("다크초콜릿 컴파운드칩",'🔖 배합비 참조'!$A$2:$A$83,0),MATCH($C259,'🔖 배합비 참조'!$B$1:$CE$1,0))/100,0),""))),"")</f>
        <v>0</v>
      </c>
      <c r="AB259" s="39" t="n">
        <f aca="false">IFERROR(IF($C259="","",IF($D259="","",IFERROR(ROUND($D259*INDEX('🔖 배합비 참조'!$B$2:$CE$83,MATCH("단호박분말(중국산)",'🔖 배합비 참조'!$A$2:$A$83,0),MATCH($C259,'🔖 배합비 참조'!$B$1:$CE$1,0))/100,0),""))),"")</f>
        <v>0</v>
      </c>
      <c r="AC259" s="39" t="n">
        <f aca="false">IFERROR(IF($C259="","",IF($D259="","",IFERROR(ROUND($D259*INDEX('🔖 배합비 참조'!$B$2:$CE$83,MATCH("당류가공품(단호박농축액)",'🔖 배합비 참조'!$A$2:$A$83,0),MATCH($C259,'🔖 배합비 참조'!$B$1:$CE$1,0))/100,0),""))),"")</f>
        <v>0</v>
      </c>
      <c r="AD259" s="39" t="n">
        <f aca="false">IFERROR(IF($C259="","",IF($D259="","",IFERROR(ROUND($D259*INDEX('🔖 배합비 참조'!$B$2:$CE$83,MATCH("당류가공품(알룰로스,에리스리톨,스테비올배당체혼합)",'🔖 배합비 참조'!$A$2:$A$83,0),MATCH($C259,'🔖 배합비 참조'!$B$1:$CE$1,0))/100,0),""))),"")</f>
        <v>0</v>
      </c>
      <c r="AE259" s="39" t="n">
        <f aca="false">IFERROR(IF($C259="","",IF($D259="","",IFERROR(ROUND($D259*INDEX('🔖 배합비 참조'!$B$2:$CE$83,MATCH("당류가공품(알룰로스제로파우더)",'🔖 배합비 참조'!$A$2:$A$83,0),MATCH($C259,'🔖 배합비 참조'!$B$1:$CE$1,0))/100,0),""))),"")</f>
        <v>0</v>
      </c>
      <c r="AF259" s="39" t="n">
        <f aca="false">IFERROR(IF($C259="","",IF($D259="","",IFERROR(ROUND($D259*INDEX('🔖 배합비 참조'!$B$2:$CE$83,MATCH("당절임(완두배기)",'🔖 배합비 참조'!$A$2:$A$83,0),MATCH($C259,'🔖 배합비 참조'!$B$1:$CE$1,0))/100,0),""))),"")</f>
        <v>0</v>
      </c>
      <c r="AG259" s="39" t="n">
        <f aca="false">IFERROR(IF($C259="","",IF($D259="","",IFERROR(ROUND($D259*INDEX('🔖 배합비 참조'!$B$2:$CE$83,MATCH("대추농축액",'🔖 배합비 참조'!$A$2:$A$83,0),MATCH($C259,'🔖 배합비 참조'!$B$1:$CE$1,0))/100,0),""))),"")</f>
        <v>0</v>
      </c>
      <c r="AH259" s="39" t="n">
        <f aca="false">IFERROR(IF($C259="","",IF($D259="","",IFERROR(ROUND($D259*INDEX('🔖 배합비 참조'!$B$2:$CE$83,MATCH("대추채(국내산)",'🔖 배합비 참조'!$A$2:$A$83,0),MATCH($C259,'🔖 배합비 참조'!$B$1:$CE$1,0))/100,0),""))),"")</f>
        <v>0</v>
      </c>
      <c r="AI259" s="39" t="n">
        <f aca="false">IFERROR(IF($C259="","",IF($D259="","",IFERROR(ROUND($D259*INDEX('🔖 배합비 참조'!$B$2:$CE$83,MATCH("동부(미얀마산)",'🔖 배합비 참조'!$A$2:$A$83,0),MATCH($C259,'🔖 배합비 참조'!$B$1:$CE$1,0))/100,0),""))),"")</f>
        <v>0</v>
      </c>
      <c r="AJ259" s="39" t="n">
        <f aca="false">IFERROR(IF($C259="","",IF($D259="","",IFERROR(ROUND($D259*INDEX('🔖 배합비 참조'!$B$2:$CE$83,MATCH("두류가공품(백옥앙금)",'🔖 배합비 참조'!$A$2:$A$83,0),MATCH($C259,'🔖 배합비 참조'!$B$1:$CE$1,0))/100,0),""))),"")</f>
        <v>0</v>
      </c>
      <c r="AK259" s="39" t="n">
        <f aca="false">IFERROR(IF($C259="","",IF($D259="","",IFERROR(ROUND($D259*INDEX('🔖 배합비 참조'!$B$2:$CE$83,MATCH("두류가공품(콩고물)",'🔖 배합비 참조'!$A$2:$A$83,0),MATCH($C259,'🔖 배합비 참조'!$B$1:$CE$1,0))/100,0),""))),"")</f>
        <v>0</v>
      </c>
      <c r="AL259" s="39" t="n">
        <f aca="false">IFERROR(IF($C259="","",IF($D259="","",IFERROR(ROUND($D259*INDEX('🔖 배합비 참조'!$B$2:$CE$83,MATCH("두류가공품(통팥고물)",'🔖 배합비 참조'!$A$2:$A$83,0),MATCH($C259,'🔖 배합비 참조'!$B$1:$CE$1,0))/100,0),""))),"")</f>
        <v>0</v>
      </c>
      <c r="AM259" s="39" t="n">
        <f aca="false">IFERROR(IF($C259="","",IF($D259="","",IFERROR(ROUND($D259*INDEX('🔖 배합비 참조'!$B$2:$CE$83,MATCH("딸기레진",'🔖 배합비 참조'!$A$2:$A$83,0),MATCH($C259,'🔖 배합비 참조'!$B$1:$CE$1,0))/100,0),""))),"")</f>
        <v>0</v>
      </c>
      <c r="AN259" s="39" t="n">
        <f aca="false">IFERROR(IF($C259="","",IF($D259="","",IFERROR(ROUND($D259*INDEX('🔖 배합비 참조'!$B$2:$CE$83,MATCH("딸기분말(스트로우베리에이드(분말))",'🔖 배합비 참조'!$A$2:$A$83,0),MATCH($C259,'🔖 배합비 참조'!$B$1:$CE$1,0))/100,0),""))),"")</f>
        <v>0</v>
      </c>
      <c r="AO259" s="39" t="n">
        <f aca="false">IFERROR(IF($C259="","",IF($D259="","",IFERROR(ROUND($D259*INDEX('🔖 배합비 참조'!$B$2:$CE$83,MATCH("마스카포네치즈",'🔖 배합비 참조'!$A$2:$A$83,0),MATCH($C259,'🔖 배합비 참조'!$B$1:$CE$1,0))/100,0),""))),"")</f>
        <v>0</v>
      </c>
      <c r="AP259" s="39" t="n">
        <f aca="false">IFERROR(IF($C259="","",IF($D259="","",IFERROR(ROUND($D259*INDEX('🔖 배합비 참조'!$B$2:$CE$83,MATCH("마카다미아분태(호주산)",'🔖 배합비 참조'!$A$2:$A$83,0),MATCH($C259,'🔖 배합비 참조'!$B$1:$CE$1,0))/100,0),""))),"")</f>
        <v>0</v>
      </c>
      <c r="AQ259" s="39" t="n">
        <f aca="false">IFERROR(IF($C259="","",IF($D259="","",IFERROR(ROUND($D259*INDEX('🔖 배합비 참조'!$B$2:$CE$83,MATCH("멥쌀(국내산)",'🔖 배합비 참조'!$A$2:$A$83,0),MATCH($C259,'🔖 배합비 참조'!$B$1:$CE$1,0))/100,0),""))),"")</f>
        <v>82</v>
      </c>
      <c r="AR259" s="39" t="n">
        <f aca="false">IFERROR(IF($C259="","",IF($D259="","",IFERROR(ROUND($D259*INDEX('🔖 배합비 참조'!$B$2:$CE$83,MATCH("모시잎(국내산)",'🔖 배합비 참조'!$A$2:$A$83,0),MATCH($C259,'🔖 배합비 참조'!$B$1:$CE$1,0))/100,0),""))),"")</f>
        <v>0</v>
      </c>
      <c r="AS259" s="39" t="n">
        <f aca="false">IFERROR(IF($C259="","",IF($D259="","",IFERROR(ROUND($D259*INDEX('🔖 배합비 참조'!$B$2:$CE$83,MATCH("물엿(저당물엿)",'🔖 배합비 참조'!$A$2:$A$83,0),MATCH($C259,'🔖 배합비 참조'!$B$1:$CE$1,0))/100,0),""))),"")</f>
        <v>3</v>
      </c>
      <c r="AT259" s="39" t="n">
        <f aca="false">IFERROR(IF($C259="","",IF($D259="","",IFERROR(ROUND($D259*INDEX('🔖 배합비 참조'!$B$2:$CE$83,MATCH("밤다이스",'🔖 배합비 참조'!$A$2:$A$83,0),MATCH($C259,'🔖 배합비 참조'!$B$1:$CE$1,0))/100,0),""))),"")</f>
        <v>0</v>
      </c>
      <c r="AU259" s="39" t="n">
        <f aca="false">IFERROR(IF($C259="","",IF($D259="","",IFERROR(ROUND($D259*INDEX('🔖 배합비 참조'!$B$2:$CE$83,MATCH("변성전분(타피오카전분)",'🔖 배합비 참조'!$A$2:$A$83,0),MATCH($C259,'🔖 배합비 참조'!$B$1:$CE$1,0))/100,0),""))),"")</f>
        <v>2</v>
      </c>
      <c r="AV259" s="39" t="n">
        <f aca="false">IFERROR(IF($C259="","",IF($D259="","",IFERROR(ROUND($D259*INDEX('🔖 배합비 참조'!$B$2:$CE$83,MATCH("복음땅콩분태",'🔖 배합비 참조'!$A$2:$A$83,0),MATCH($C259,'🔖 배합비 참조'!$B$1:$CE$1,0))/100,0),""))),"")</f>
        <v>0</v>
      </c>
      <c r="AW259" s="39" t="n">
        <f aca="false">IFERROR(IF($C259="","",IF($D259="","",IFERROR(ROUND($D259*INDEX('🔖 배합비 참조'!$B$2:$CE$83,MATCH("사양벌꿀(국내산)",'🔖 배합비 참조'!$A$2:$A$83,0),MATCH($C259,'🔖 배합비 참조'!$B$1:$CE$1,0))/100,0),""))),"")</f>
        <v>0</v>
      </c>
      <c r="AX259" s="39" t="n">
        <f aca="false">IFERROR(IF($C259="","",IF($D259="","",IFERROR(ROUND($D259*INDEX('🔖 배합비 참조'!$B$2:$CE$83,MATCH("생크림",'🔖 배합비 참조'!$A$2:$A$83,0),MATCH($C259,'🔖 배합비 참조'!$B$1:$CE$1,0))/100,0),""))),"")</f>
        <v>0</v>
      </c>
      <c r="AY259" s="39" t="n">
        <f aca="false">IFERROR(IF($C259="","",IF($D259="","",IFERROR(ROUND($D259*INDEX('🔖 배합비 참조'!$B$2:$CE$83,MATCH("서양호박(국내산,뉴질랜드산)",'🔖 배합비 참조'!$A$2:$A$83,0),MATCH($C259,'🔖 배합비 참조'!$B$1:$CE$1,0))/100,0),""))),"")</f>
        <v>0</v>
      </c>
      <c r="AZ259" s="39" t="n">
        <f aca="false">IFERROR(IF($C259="","",IF($D259="","",IFERROR(ROUND($D259*INDEX('🔖 배합비 참조'!$B$2:$CE$83,MATCH("설탕",'🔖 배합비 참조'!$A$2:$A$83,0),MATCH($C259,'🔖 배합비 참조'!$B$1:$CE$1,0))/100,0),""))),"")</f>
        <v>0</v>
      </c>
      <c r="BA259" s="39" t="n">
        <f aca="false">IFERROR(IF($C259="","",IF($D259="","",IFERROR(ROUND($D259*INDEX('🔖 배합비 참조'!$B$2:$CE$83,MATCH("스트로우베리 에이드 후레쉬",'🔖 배합비 참조'!$A$2:$A$83,0),MATCH($C259,'🔖 배합비 참조'!$B$1:$CE$1,0))/100,0),""))),"")</f>
        <v>0</v>
      </c>
      <c r="BB259" s="39" t="n">
        <f aca="false">IFERROR(IF($C259="","",IF($D259="","",IFERROR(ROUND($D259*INDEX('🔖 배합비 참조'!$B$2:$CE$83,MATCH("식물성기름혼합제제(분홍)",'🔖 배합비 참조'!$A$2:$A$83,0),MATCH($C259,'🔖 배합비 참조'!$B$1:$CE$1,0))/100,0),""))),"")</f>
        <v>0</v>
      </c>
      <c r="BC259" s="39" t="n">
        <f aca="false">IFERROR(IF($C259="","",IF($D259="","",IFERROR(ROUND($D259*INDEX('🔖 배합비 참조'!$B$2:$CE$83,MATCH("식물성기름혼합제제(초록)",'🔖 배합비 참조'!$A$2:$A$83,0),MATCH($C259,'🔖 배합비 참조'!$B$1:$CE$1,0))/100,0),""))),"")</f>
        <v>0</v>
      </c>
      <c r="BD259" s="39" t="n">
        <f aca="false">IFERROR(IF($C259="","",IF($D259="","",IFERROR(ROUND($D259*INDEX('🔖 배합비 참조'!$B$2:$CE$83,MATCH("식물성기름혼합제제(황색)",'🔖 배합비 참조'!$A$2:$A$83,0),MATCH($C259,'🔖 배합비 참조'!$B$1:$CE$1,0))/100,0),""))),"")</f>
        <v>0</v>
      </c>
      <c r="BE259" s="39" t="n">
        <f aca="false">IFERROR(IF($C259="","",IF($D259="","",IFERROR(ROUND($D259*INDEX('🔖 배합비 참조'!$B$2:$CE$83,MATCH("쑥가루(국내산)",'🔖 배합비 참조'!$A$2:$A$83,0),MATCH($C259,'🔖 배합비 참조'!$B$1:$CE$1,0))/100,0),""))),"")</f>
        <v>2</v>
      </c>
      <c r="BF259" s="39" t="n">
        <f aca="false">IFERROR(IF($C259="","",IF($D259="","",IFERROR(ROUND($D259*INDEX('🔖 배합비 참조'!$B$2:$CE$83,MATCH("아몬드슬라이스",'🔖 배합비 참조'!$A$2:$A$83,0),MATCH($C259,'🔖 배합비 참조'!$B$1:$CE$1,0))/100,0),""))),"")</f>
        <v>0</v>
      </c>
      <c r="BG259" s="39" t="n">
        <f aca="false">IFERROR(IF($C259="","",IF($D259="","",IFERROR(ROUND($D259*INDEX('🔖 배합비 참조'!$B$2:$CE$83,MATCH("알룰로오스(국내산)",'🔖 배합비 참조'!$A$2:$A$83,0),MATCH($C259,'🔖 배합비 참조'!$B$1:$CE$1,0))/100,0),""))),"")</f>
        <v>0</v>
      </c>
      <c r="BH259" s="39" t="n">
        <f aca="false">IFERROR(IF($C259="","",IF($D259="","",IFERROR(ROUND($D259*INDEX('🔖 배합비 참조'!$B$2:$CE$83,MATCH("연유",'🔖 배합비 참조'!$A$2:$A$83,0),MATCH($C259,'🔖 배합비 참조'!$B$1:$CE$1,0))/100,0),""))),"")</f>
        <v>0</v>
      </c>
      <c r="BI259" s="39" t="n">
        <f aca="false">IFERROR(IF($C259="","",IF($D259="","",IFERROR(ROUND($D259*INDEX('🔖 배합비 참조'!$B$2:$CE$83,MATCH("옥수수전분",'🔖 배합비 참조'!$A$2:$A$83,0),MATCH($C259,'🔖 배합비 참조'!$B$1:$CE$1,0))/100,0),""))),"")</f>
        <v>0</v>
      </c>
      <c r="BJ259" s="39" t="n">
        <f aca="false">IFERROR(IF($C259="","",IF($D259="","",IFERROR(ROUND($D259*INDEX('🔖 배합비 참조'!$B$2:$CE$83,MATCH("완두배기",'🔖 배합비 참조'!$A$2:$A$83,0),MATCH($C259,'🔖 배합비 참조'!$B$1:$CE$1,0))/100,0),""))),"")</f>
        <v>0</v>
      </c>
      <c r="BK259" s="39" t="n">
        <f aca="false">IFERROR(IF($C259="","",IF($D259="","",IFERROR(ROUND($D259*INDEX('🔖 배합비 참조'!$B$2:$CE$83,MATCH("우유(국내산)",'🔖 배합비 참조'!$A$2:$A$83,0),MATCH($C259,'🔖 배합비 참조'!$B$1:$CE$1,0))/100,0),""))),"")</f>
        <v>0</v>
      </c>
      <c r="BL259" s="39" t="n">
        <f aca="false">IFERROR(IF($C259="","",IF($D259="","",IFERROR(ROUND($D259*INDEX('🔖 배합비 참조'!$B$2:$CE$83,MATCH("자색고구마가루(중국산)",'🔖 배합비 참조'!$A$2:$A$83,0),MATCH($C259,'🔖 배합비 참조'!$B$1:$CE$1,0))/100,0),""))),"")</f>
        <v>0</v>
      </c>
      <c r="BM259" s="39" t="n">
        <f aca="false">IFERROR(IF($C259="","",IF($D259="","",IFERROR(ROUND($D259*INDEX('🔖 배합비 참조'!$B$2:$CE$83,MATCH("자연치즈(체다치즈)",'🔖 배합비 참조'!$A$2:$A$83,0),MATCH($C259,'🔖 배합비 참조'!$B$1:$CE$1,0))/100,0),""))),"")</f>
        <v>0</v>
      </c>
      <c r="BN259" s="39" t="n">
        <f aca="false">IFERROR(IF($C259="","",IF($D259="","",IFERROR(ROUND($D259*INDEX('🔖 배합비 참조'!$B$2:$CE$83,MATCH("정제수",'🔖 배합비 참조'!$A$2:$A$83,0),MATCH($C259,'🔖 배합비 참조'!$B$1:$CE$1,0))/100,0),""))),"")</f>
        <v>57</v>
      </c>
      <c r="BO259" s="39" t="n">
        <f aca="false">IFERROR(IF($C259="","",IF($D259="","",IFERROR(ROUND($D259*INDEX('🔖 배합비 참조'!$B$2:$CE$83,MATCH("젤라틴",'🔖 배합비 참조'!$A$2:$A$83,0),MATCH($C259,'🔖 배합비 참조'!$B$1:$CE$1,0))/100,0),""))),"")</f>
        <v>0</v>
      </c>
      <c r="BP259" s="39" t="n">
        <f aca="false">IFERROR(IF($C259="","",IF($D259="","",IFERROR(ROUND($D259*INDEX('🔖 배합비 참조'!$B$2:$CE$83,MATCH("조림류(백옥앙금)",'🔖 배합비 참조'!$A$2:$A$83,0),MATCH($C259,'🔖 배합비 참조'!$B$1:$CE$1,0))/100,0),""))),"")</f>
        <v>0</v>
      </c>
      <c r="BQ259" s="39" t="n">
        <f aca="false">IFERROR(IF($C259="","",IF($D259="","",IFERROR(ROUND($D259*INDEX('🔖 배합비 참조'!$B$2:$CE$83,MATCH("조림류(통팥앙금)",'🔖 배합비 참조'!$A$2:$A$83,0),MATCH($C259,'🔖 배합비 참조'!$B$1:$CE$1,0))/100,0),""))),"")</f>
        <v>0</v>
      </c>
      <c r="BR259" s="39" t="n">
        <f aca="false">IFERROR(IF($C259="","",IF($D259="","",IFERROR(ROUND($D259*INDEX('🔖 배합비 참조'!$B$2:$CE$83,MATCH("준초콜릿(외국산)",'🔖 배합비 참조'!$A$2:$A$83,0),MATCH($C259,'🔖 배합비 참조'!$B$1:$CE$1,0))/100,0),""))),"")</f>
        <v>0</v>
      </c>
      <c r="BS259" s="39" t="n">
        <f aca="false">IFERROR(IF($C259="","",IF($D259="","",IFERROR(ROUND($D259*INDEX('🔖 배합비 참조'!$B$2:$CE$83,MATCH("중력분",'🔖 배합비 참조'!$A$2:$A$83,0),MATCH($C259,'🔖 배합비 참조'!$B$1:$CE$1,0))/100,0),""))),"")</f>
        <v>0</v>
      </c>
      <c r="BT259" s="39" t="n">
        <f aca="false">IFERROR(IF($C259="","",IF($D259="","",IFERROR(ROUND($D259*INDEX('🔖 배합비 참조'!$B$2:$CE$83,MATCH("참깨(인도산,나이지리아산,탄자니아산,미얀마산)",'🔖 배합비 참조'!$A$2:$A$83,0),MATCH($C259,'🔖 배합비 참조'!$B$1:$CE$1,0))/100,0),""))),"")</f>
        <v>0</v>
      </c>
      <c r="BU259" s="39" t="n">
        <f aca="false">IFERROR(IF($C259="","",IF($D259="","",IFERROR(ROUND($D259*INDEX('🔖 배합비 참조'!$B$2:$CE$83,MATCH("찹쌀(국내산)",'🔖 배합비 참조'!$A$2:$A$83,0),MATCH($C259,'🔖 배합비 참조'!$B$1:$CE$1,0))/100,0),""))),"")</f>
        <v>0</v>
      </c>
      <c r="BV259" s="39" t="n">
        <f aca="false">IFERROR(IF($C259="","",IF($D259="","",IFERROR(ROUND($D259*INDEX('🔖 배합비 참조'!$B$2:$CE$83,MATCH("천일염",'🔖 배합비 참조'!$A$2:$A$83,0),MATCH($C259,'🔖 배합비 참조'!$B$1:$CE$1,0))/100,0),""))),"")</f>
        <v>1</v>
      </c>
      <c r="BW259" s="39" t="n">
        <f aca="false">IFERROR(IF($C259="","",IF($D259="","",IFERROR(ROUND($D259*INDEX('🔖 배합비 참조'!$B$2:$CE$83,MATCH("치즈 [크림치즈]",'🔖 배합비 참조'!$A$2:$A$83,0),MATCH($C259,'🔖 배합비 참조'!$B$1:$CE$1,0))/100,0),""))),"")</f>
        <v>0</v>
      </c>
      <c r="BX259" s="39" t="n">
        <f aca="false">IFERROR(IF($C259="","",IF($D259="","",IFERROR(ROUND($D259*INDEX('🔖 배합비 참조'!$B$2:$CE$83,MATCH("코코아가공품류(코코아분말)",'🔖 배합비 참조'!$A$2:$A$83,0),MATCH($C259,'🔖 배합비 참조'!$B$1:$CE$1,0))/100,0),""))),"")</f>
        <v>0</v>
      </c>
      <c r="BY259" s="39" t="n">
        <f aca="false">IFERROR(IF($C259="","",IF($D259="","",IFERROR(ROUND($D259*INDEX('🔖 배합비 참조'!$B$2:$CE$83,MATCH("콩기름(대두유)",'🔖 배합비 참조'!$A$2:$A$83,0),MATCH($C259,'🔖 배합비 참조'!$B$1:$CE$1,0))/100,0),""))),"")</f>
        <v>2</v>
      </c>
      <c r="BZ259" s="39" t="n">
        <f aca="false">IFERROR(IF($C259="","",IF($D259="","",IFERROR(ROUND($D259*INDEX('🔖 배합비 참조'!$B$2:$CE$83,MATCH("해바라기씨앗",'🔖 배합비 참조'!$A$2:$A$83,0),MATCH($C259,'🔖 배합비 참조'!$B$1:$CE$1,0))/100,0),""))),"")</f>
        <v>0</v>
      </c>
      <c r="CA259" s="39" t="n">
        <f aca="false">IFERROR(IF($C259="","",IF($D259="","",IFERROR(ROUND($D259*INDEX('🔖 배합비 참조'!$B$2:$CE$83,MATCH("현미(국내산)",'🔖 배합비 참조'!$A$2:$A$83,0),MATCH($C259,'🔖 배합비 참조'!$B$1:$CE$1,0))/100,0),""))),"")</f>
        <v>0</v>
      </c>
      <c r="CB259" s="39" t="n">
        <f aca="false">IFERROR(IF($C259="","",IF($D259="","",IFERROR(ROUND($D259*INDEX('🔖 배합비 참조'!$B$2:$CE$83,MATCH("현미멥쌀(국내산)",'🔖 배합비 참조'!$A$2:$A$83,0),MATCH($C259,'🔖 배합비 참조'!$B$1:$CE$1,0))/100,0),""))),"")</f>
        <v>0</v>
      </c>
      <c r="CC259" s="39" t="n">
        <f aca="false">IFERROR(IF($C259="","",IF($D259="","",IFERROR(ROUND($D259*INDEX('🔖 배합비 참조'!$B$2:$CE$83,MATCH("호두분태(미국산)",'🔖 배합비 참조'!$A$2:$A$83,0),MATCH($C259,'🔖 배합비 참조'!$B$1:$CE$1,0))/100,0),""))),"")</f>
        <v>0</v>
      </c>
      <c r="CD259" s="39" t="n">
        <f aca="false">IFERROR(IF($C259="","",IF($D259="","",IFERROR(ROUND($D259*INDEX('🔖 배합비 참조'!$B$2:$CE$83,MATCH("호박씨앗(외국산)",'🔖 배합비 참조'!$A$2:$A$83,0),MATCH($C259,'🔖 배합비 참조'!$B$1:$CE$1,0))/100,0),""))),"")</f>
        <v>0</v>
      </c>
      <c r="CE259" s="39" t="n">
        <f aca="false">IFERROR(IF($C259="","",IF($D259="","",IFERROR(ROUND($D259*INDEX('🔖 배합비 참조'!$B$2:$CE$83,MATCH("혼합제제(떡용에스텔)",'🔖 배합비 참조'!$A$2:$A$83,0),MATCH($C259,'🔖 배합비 참조'!$B$1:$CE$1,0))/100,0),""))),"")</f>
        <v>0</v>
      </c>
      <c r="CF259" s="39" t="n">
        <f aca="false">IFERROR(IF($C259="","",IF($D259="","",IFERROR(ROUND($D259*INDEX('🔖 배합비 참조'!$B$2:$CE$83,MATCH("혼합제제(스테비아)",'🔖 배합비 참조'!$A$2:$A$83,0),MATCH($C259,'🔖 배합비 참조'!$B$1:$CE$1,0))/100,0),""))),"")</f>
        <v>0</v>
      </c>
      <c r="CG259" s="39" t="n">
        <f aca="false">IFERROR(IF($C259="","",IF($D259="","",IFERROR(ROUND($D259*INDEX('🔖 배합비 참조'!$B$2:$CE$83,MATCH("화이트초콜릿",'🔖 배합비 참조'!$A$2:$A$83,0),MATCH($C259,'🔖 배합비 참조'!$B$1:$CE$1,0))/100,0),""))),"")</f>
        <v>0</v>
      </c>
      <c r="CH259" s="39" t="n">
        <f aca="false">IFERROR(IF($C259="","",IF($D259="","",IFERROR(ROUND($D259*INDEX('🔖 배합비 참조'!$B$2:$CE$83,MATCH("흑미찹쌀(국내산)",'🔖 배합비 참조'!$A$2:$A$83,0),MATCH($C259,'🔖 배합비 참조'!$B$1:$CE$1,0))/100,0),""))),"")</f>
        <v>0</v>
      </c>
      <c r="CI259" s="39" t="n">
        <f aca="false">IFERROR(IF($C259="","",IF($D259="","",IFERROR(ROUND($D259*INDEX('🔖 배합비 참조'!$B$2:$CE$83,MATCH("찰옥수수전분(미국산)",'🔖 배합비 참조'!$A$2:$A$83,0),MATCH($C259,'🔖 배합비 참조'!$B$1:$CE$1,0))/100,0),""))),"")</f>
        <v>0</v>
      </c>
      <c r="CJ259" s="40"/>
      <c r="CL259" s="1" t="s">
        <v>248</v>
      </c>
    </row>
    <row r="260" customFormat="false" ht="18" hidden="false" customHeight="true" outlineLevel="0" collapsed="false">
      <c r="A260" s="41" t="n">
        <v>256</v>
      </c>
      <c r="B260" s="36" t="n">
        <v>46086</v>
      </c>
      <c r="C260" s="37" t="s">
        <v>191</v>
      </c>
      <c r="D260" s="38" t="n">
        <v>1100</v>
      </c>
      <c r="E260" s="17"/>
      <c r="F260" s="17"/>
      <c r="G260" s="42" t="n">
        <f aca="false">IFERROR(IF($C260="","",IF($D260="","",IFERROR(ROUND($D260*INDEX('🔖 배합비 참조'!$B$2:$CE$83,MATCH("간장",'🔖 배합비 참조'!$A$2:$A$83,0),MATCH($C260,'🔖 배합비 참조'!$B$1:$CE$1,0))/100,0),""))),"")</f>
        <v>0</v>
      </c>
      <c r="H260" s="42" t="n">
        <f aca="false">IFERROR(IF($C260="","",IF($D260="","",IFERROR(ROUND($D260*INDEX('🔖 배합비 참조'!$B$2:$CE$83,MATCH("강낭콩((울타리콩))",'🔖 배합비 참조'!$A$2:$A$83,0),MATCH($C260,'🔖 배합비 참조'!$B$1:$CE$1,0))/100,0),""))),"")</f>
        <v>0</v>
      </c>
      <c r="I260" s="42" t="n">
        <f aca="false">IFERROR(IF($C260="","",IF($D260="","",IFERROR(ROUND($D260*INDEX('🔖 배합비 참조'!$B$2:$CE$83,MATCH("건조딸기다이스(외국산)",'🔖 배합비 참조'!$A$2:$A$83,0),MATCH($C260,'🔖 배합비 참조'!$B$1:$CE$1,0))/100,0),""))),"")</f>
        <v>0</v>
      </c>
      <c r="J260" s="42" t="n">
        <f aca="false">IFERROR(IF($C260="","",IF($D260="","",IFERROR(ROUND($D260*INDEX('🔖 배합비 참조'!$B$2:$CE$83,MATCH("건포도",'🔖 배합비 참조'!$A$2:$A$83,0),MATCH($C260,'🔖 배합비 참조'!$B$1:$CE$1,0))/100,0),""))),"")</f>
        <v>0</v>
      </c>
      <c r="K260" s="42" t="n">
        <f aca="false">IFERROR(IF($C260="","",IF($D260="","",IFERROR(ROUND($D260*INDEX('🔖 배합비 참조'!$B$2:$CE$83,MATCH("건호박채(중국산)",'🔖 배합비 참조'!$A$2:$A$83,0),MATCH($C260,'🔖 배합비 참조'!$B$1:$CE$1,0))/100,0),""))),"")</f>
        <v>0</v>
      </c>
      <c r="L260" s="42" t="n">
        <f aca="false">IFERROR(IF($C260="","",IF($D260="","",IFERROR(ROUND($D260*INDEX('🔖 배합비 참조'!$B$2:$CE$83,MATCH("검정깨(흑임자)",'🔖 배합비 참조'!$A$2:$A$83,0),MATCH($C260,'🔖 배합비 참조'!$B$1:$CE$1,0))/100,0),""))),"")</f>
        <v>0</v>
      </c>
      <c r="M260" s="42" t="n">
        <f aca="false">IFERROR(IF($C260="","",IF($D260="","",IFERROR(ROUND($D260*INDEX('🔖 배합비 참조'!$B$2:$CE$83,MATCH("검정콩",'🔖 배합비 참조'!$A$2:$A$83,0),MATCH($C260,'🔖 배합비 참조'!$B$1:$CE$1,0))/100,0),""))),"")</f>
        <v>0</v>
      </c>
      <c r="N260" s="42" t="n">
        <f aca="false">IFERROR(IF($C260="","",IF($D260="","",IFERROR(ROUND($D260*INDEX('🔖 배합비 참조'!$B$2:$CE$83,MATCH("계피가루",'🔖 배합비 참조'!$A$2:$A$83,0),MATCH($C260,'🔖 배합비 참조'!$B$1:$CE$1,0))/100,0),""))),"")</f>
        <v>0</v>
      </c>
      <c r="O260" s="42" t="n">
        <f aca="false">IFERROR(IF($C260="","",IF($D260="","",IFERROR(ROUND($D260*INDEX('🔖 배합비 참조'!$B$2:$CE$83,MATCH("고구마가루",'🔖 배합비 참조'!$A$2:$A$83,0),MATCH($C260,'🔖 배합비 참조'!$B$1:$CE$1,0))/100,0),""))),"")</f>
        <v>0</v>
      </c>
      <c r="P260" s="42" t="n">
        <f aca="false">IFERROR(IF($C260="","",IF($D260="","",IFERROR(ROUND($D260*INDEX('🔖 배합비 참조'!$B$2:$CE$83,MATCH("고구마무스",'🔖 배합비 참조'!$A$2:$A$83,0),MATCH($C260,'🔖 배합비 참조'!$B$1:$CE$1,0))/100,0),""))),"")</f>
        <v>0</v>
      </c>
      <c r="Q260" s="42" t="n">
        <f aca="false">IFERROR(IF($C260="","",IF($D260="","",IFERROR(ROUND($D260*INDEX('🔖 배합비 참조'!$B$2:$CE$83,MATCH("고려엉겅퀴((곤드레)국내산)",'🔖 배합비 참조'!$A$2:$A$83,0),MATCH($C260,'🔖 배합비 참조'!$B$1:$CE$1,0))/100,0),""))),"")</f>
        <v>0</v>
      </c>
      <c r="R260" s="42" t="n">
        <f aca="false">IFERROR(IF($C260="","",IF($D260="","",IFERROR(ROUND($D260*INDEX('🔖 배합비 참조'!$B$2:$CE$83,MATCH("기타가공품(복분자가루)",'🔖 배합비 참조'!$A$2:$A$83,0),MATCH($C260,'🔖 배합비 참조'!$B$1:$CE$1,0))/100,0),""))),"")</f>
        <v>0</v>
      </c>
      <c r="S260" s="42" t="n">
        <f aca="false">IFERROR(IF($C260="","",IF($D260="","",IFERROR(ROUND($D260*INDEX('🔖 배합비 참조'!$B$2:$CE$83,MATCH("기타가공품(슈퍼소프트엠)",'🔖 배합비 참조'!$A$2:$A$83,0),MATCH($C260,'🔖 배합비 참조'!$B$1:$CE$1,0))/100,0),""))),"")</f>
        <v>0</v>
      </c>
      <c r="T260" s="42" t="n">
        <f aca="false">IFERROR(IF($C260="","",IF($D260="","",IFERROR(ROUND($D260*INDEX('🔖 배합비 참조'!$B$2:$CE$83,MATCH("기타가공품(파인소프트 E-티)",'🔖 배합비 참조'!$A$2:$A$83,0),MATCH($C260,'🔖 배합비 참조'!$B$1:$CE$1,0))/100,0),""))),"")</f>
        <v>0</v>
      </c>
      <c r="U260" s="42" t="n">
        <f aca="false">IFERROR(IF($C260="","",IF($D260="","",IFERROR(ROUND($D260*INDEX('🔖 배합비 참조'!$B$2:$CE$83,MATCH("기타가공품(프리미엄카스테라가루)",'🔖 배합비 참조'!$A$2:$A$83,0),MATCH($C260,'🔖 배합비 참조'!$B$1:$CE$1,0))/100,0),""))),"")</f>
        <v>0</v>
      </c>
      <c r="V260" s="42" t="n">
        <f aca="false">IFERROR(IF($C260="","",IF($D260="","",IFERROR(ROUND($D260*INDEX('🔖 배합비 참조'!$B$2:$CE$83,MATCH("기타가공품(흑임자가루)",'🔖 배합비 참조'!$A$2:$A$83,0),MATCH($C260,'🔖 배합비 참조'!$B$1:$CE$1,0))/100,0),""))),"")</f>
        <v>0</v>
      </c>
      <c r="W260" s="42" t="n">
        <f aca="false">IFERROR(IF($C260="","",IF($D260="","",IFERROR(ROUND($D260*INDEX('🔖 배합비 참조'!$B$2:$CE$83,MATCH("기타설탕(흑설탕)",'🔖 배합비 참조'!$A$2:$A$83,0),MATCH($C260,'🔖 배합비 참조'!$B$1:$CE$1,0))/100,0),""))),"")</f>
        <v>0</v>
      </c>
      <c r="X260" s="42" t="n">
        <f aca="false">IFERROR(IF($C260="","",IF($D260="","",IFERROR(ROUND($D260*INDEX('🔖 배합비 참조'!$B$2:$CE$83,MATCH("냉동쑥(국내산)",'🔖 배합비 참조'!$A$2:$A$83,0),MATCH($C260,'🔖 배합비 참조'!$B$1:$CE$1,0))/100,0),""))),"")</f>
        <v>0</v>
      </c>
      <c r="Y260" s="42" t="n">
        <f aca="false">IFERROR(IF($C260="","",IF($D260="","",IFERROR(ROUND($D260*INDEX('🔖 배합비 참조'!$B$2:$CE$83,MATCH("냉동증숙고구마(중국산)",'🔖 배합비 참조'!$A$2:$A$83,0),MATCH($C260,'🔖 배합비 참조'!$B$1:$CE$1,0))/100,0),""))),"")</f>
        <v>0</v>
      </c>
      <c r="Z260" s="42" t="n">
        <f aca="false">IFERROR(IF($C260="","",IF($D260="","",IFERROR(ROUND($D260*INDEX('🔖 배합비 참조'!$B$2:$CE$83,MATCH("녹차가루",'🔖 배합비 참조'!$A$2:$A$83,0),MATCH($C260,'🔖 배합비 참조'!$B$1:$CE$1,0))/100,0),""))),"")</f>
        <v>0</v>
      </c>
      <c r="AA260" s="42" t="n">
        <f aca="false">IFERROR(IF($C260="","",IF($D260="","",IFERROR(ROUND($D260*INDEX('🔖 배합비 참조'!$B$2:$CE$83,MATCH("다크초콜릿 컴파운드칩",'🔖 배합비 참조'!$A$2:$A$83,0),MATCH($C260,'🔖 배합비 참조'!$B$1:$CE$1,0))/100,0),""))),"")</f>
        <v>0</v>
      </c>
      <c r="AB260" s="42" t="n">
        <f aca="false">IFERROR(IF($C260="","",IF($D260="","",IFERROR(ROUND($D260*INDEX('🔖 배합비 참조'!$B$2:$CE$83,MATCH("단호박분말(중국산)",'🔖 배합비 참조'!$A$2:$A$83,0),MATCH($C260,'🔖 배합비 참조'!$B$1:$CE$1,0))/100,0),""))),"")</f>
        <v>0</v>
      </c>
      <c r="AC260" s="42" t="n">
        <f aca="false">IFERROR(IF($C260="","",IF($D260="","",IFERROR(ROUND($D260*INDEX('🔖 배합비 참조'!$B$2:$CE$83,MATCH("당류가공품(단호박농축액)",'🔖 배합비 참조'!$A$2:$A$83,0),MATCH($C260,'🔖 배합비 참조'!$B$1:$CE$1,0))/100,0),""))),"")</f>
        <v>0</v>
      </c>
      <c r="AD260" s="42" t="n">
        <f aca="false">IFERROR(IF($C260="","",IF($D260="","",IFERROR(ROUND($D260*INDEX('🔖 배합비 참조'!$B$2:$CE$83,MATCH("당류가공품(알룰로스,에리스리톨,스테비올배당체혼합)",'🔖 배합비 참조'!$A$2:$A$83,0),MATCH($C260,'🔖 배합비 참조'!$B$1:$CE$1,0))/100,0),""))),"")</f>
        <v>0</v>
      </c>
      <c r="AE260" s="42" t="n">
        <f aca="false">IFERROR(IF($C260="","",IF($D260="","",IFERROR(ROUND($D260*INDEX('🔖 배합비 참조'!$B$2:$CE$83,MATCH("당류가공품(알룰로스제로파우더)",'🔖 배합비 참조'!$A$2:$A$83,0),MATCH($C260,'🔖 배합비 참조'!$B$1:$CE$1,0))/100,0),""))),"")</f>
        <v>0</v>
      </c>
      <c r="AF260" s="42" t="n">
        <f aca="false">IFERROR(IF($C260="","",IF($D260="","",IFERROR(ROUND($D260*INDEX('🔖 배합비 참조'!$B$2:$CE$83,MATCH("당절임(완두배기)",'🔖 배합비 참조'!$A$2:$A$83,0),MATCH($C260,'🔖 배합비 참조'!$B$1:$CE$1,0))/100,0),""))),"")</f>
        <v>0</v>
      </c>
      <c r="AG260" s="42" t="n">
        <f aca="false">IFERROR(IF($C260="","",IF($D260="","",IFERROR(ROUND($D260*INDEX('🔖 배합비 참조'!$B$2:$CE$83,MATCH("대추농축액",'🔖 배합비 참조'!$A$2:$A$83,0),MATCH($C260,'🔖 배합비 참조'!$B$1:$CE$1,0))/100,0),""))),"")</f>
        <v>0</v>
      </c>
      <c r="AH260" s="42" t="n">
        <f aca="false">IFERROR(IF($C260="","",IF($D260="","",IFERROR(ROUND($D260*INDEX('🔖 배합비 참조'!$B$2:$CE$83,MATCH("대추채(국내산)",'🔖 배합비 참조'!$A$2:$A$83,0),MATCH($C260,'🔖 배합비 참조'!$B$1:$CE$1,0))/100,0),""))),"")</f>
        <v>0</v>
      </c>
      <c r="AI260" s="42" t="n">
        <f aca="false">IFERROR(IF($C260="","",IF($D260="","",IFERROR(ROUND($D260*INDEX('🔖 배합비 참조'!$B$2:$CE$83,MATCH("동부(미얀마산)",'🔖 배합비 참조'!$A$2:$A$83,0),MATCH($C260,'🔖 배합비 참조'!$B$1:$CE$1,0))/100,0),""))),"")</f>
        <v>0</v>
      </c>
      <c r="AJ260" s="42" t="n">
        <f aca="false">IFERROR(IF($C260="","",IF($D260="","",IFERROR(ROUND($D260*INDEX('🔖 배합비 참조'!$B$2:$CE$83,MATCH("두류가공품(백옥앙금)",'🔖 배합비 참조'!$A$2:$A$83,0),MATCH($C260,'🔖 배합비 참조'!$B$1:$CE$1,0))/100,0),""))),"")</f>
        <v>0</v>
      </c>
      <c r="AK260" s="42" t="n">
        <f aca="false">IFERROR(IF($C260="","",IF($D260="","",IFERROR(ROUND($D260*INDEX('🔖 배합비 참조'!$B$2:$CE$83,MATCH("두류가공품(콩고물)",'🔖 배합비 참조'!$A$2:$A$83,0),MATCH($C260,'🔖 배합비 참조'!$B$1:$CE$1,0))/100,0),""))),"")</f>
        <v>0</v>
      </c>
      <c r="AL260" s="42" t="n">
        <f aca="false">IFERROR(IF($C260="","",IF($D260="","",IFERROR(ROUND($D260*INDEX('🔖 배합비 참조'!$B$2:$CE$83,MATCH("두류가공품(통팥고물)",'🔖 배합비 참조'!$A$2:$A$83,0),MATCH($C260,'🔖 배합비 참조'!$B$1:$CE$1,0))/100,0),""))),"")</f>
        <v>0</v>
      </c>
      <c r="AM260" s="42" t="n">
        <f aca="false">IFERROR(IF($C260="","",IF($D260="","",IFERROR(ROUND($D260*INDEX('🔖 배합비 참조'!$B$2:$CE$83,MATCH("딸기레진",'🔖 배합비 참조'!$A$2:$A$83,0),MATCH($C260,'🔖 배합비 참조'!$B$1:$CE$1,0))/100,0),""))),"")</f>
        <v>0</v>
      </c>
      <c r="AN260" s="42" t="n">
        <f aca="false">IFERROR(IF($C260="","",IF($D260="","",IFERROR(ROUND($D260*INDEX('🔖 배합비 참조'!$B$2:$CE$83,MATCH("딸기분말(스트로우베리에이드(분말))",'🔖 배합비 참조'!$A$2:$A$83,0),MATCH($C260,'🔖 배합비 참조'!$B$1:$CE$1,0))/100,0),""))),"")</f>
        <v>0</v>
      </c>
      <c r="AO260" s="42" t="n">
        <f aca="false">IFERROR(IF($C260="","",IF($D260="","",IFERROR(ROUND($D260*INDEX('🔖 배합비 참조'!$B$2:$CE$83,MATCH("마스카포네치즈",'🔖 배합비 참조'!$A$2:$A$83,0),MATCH($C260,'🔖 배합비 참조'!$B$1:$CE$1,0))/100,0),""))),"")</f>
        <v>0</v>
      </c>
      <c r="AP260" s="42" t="n">
        <f aca="false">IFERROR(IF($C260="","",IF($D260="","",IFERROR(ROUND($D260*INDEX('🔖 배합비 참조'!$B$2:$CE$83,MATCH("마카다미아분태(호주산)",'🔖 배합비 참조'!$A$2:$A$83,0),MATCH($C260,'🔖 배합비 참조'!$B$1:$CE$1,0))/100,0),""))),"")</f>
        <v>0</v>
      </c>
      <c r="AQ260" s="42" t="n">
        <f aca="false">IFERROR(IF($C260="","",IF($D260="","",IFERROR(ROUND($D260*INDEX('🔖 배합비 참조'!$B$2:$CE$83,MATCH("멥쌀(국내산)",'🔖 배합비 참조'!$A$2:$A$83,0),MATCH($C260,'🔖 배합비 참조'!$B$1:$CE$1,0))/100,0),""))),"")</f>
        <v>22</v>
      </c>
      <c r="AR260" s="42" t="n">
        <f aca="false">IFERROR(IF($C260="","",IF($D260="","",IFERROR(ROUND($D260*INDEX('🔖 배합비 참조'!$B$2:$CE$83,MATCH("모시잎(국내산)",'🔖 배합비 참조'!$A$2:$A$83,0),MATCH($C260,'🔖 배합비 참조'!$B$1:$CE$1,0))/100,0),""))),"")</f>
        <v>0</v>
      </c>
      <c r="AS260" s="42" t="n">
        <f aca="false">IFERROR(IF($C260="","",IF($D260="","",IFERROR(ROUND($D260*INDEX('🔖 배합비 참조'!$B$2:$CE$83,MATCH("물엿(저당물엿)",'🔖 배합비 참조'!$A$2:$A$83,0),MATCH($C260,'🔖 배합비 참조'!$B$1:$CE$1,0))/100,0),""))),"")</f>
        <v>0</v>
      </c>
      <c r="AT260" s="42" t="n">
        <f aca="false">IFERROR(IF($C260="","",IF($D260="","",IFERROR(ROUND($D260*INDEX('🔖 배합비 참조'!$B$2:$CE$83,MATCH("밤다이스",'🔖 배합비 참조'!$A$2:$A$83,0),MATCH($C260,'🔖 배합비 참조'!$B$1:$CE$1,0))/100,0),""))),"")</f>
        <v>0</v>
      </c>
      <c r="AU260" s="42" t="n">
        <f aca="false">IFERROR(IF($C260="","",IF($D260="","",IFERROR(ROUND($D260*INDEX('🔖 배합비 참조'!$B$2:$CE$83,MATCH("변성전분(타피오카전분)",'🔖 배합비 참조'!$A$2:$A$83,0),MATCH($C260,'🔖 배합비 참조'!$B$1:$CE$1,0))/100,0),""))),"")</f>
        <v>0</v>
      </c>
      <c r="AV260" s="42" t="n">
        <f aca="false">IFERROR(IF($C260="","",IF($D260="","",IFERROR(ROUND($D260*INDEX('🔖 배합비 참조'!$B$2:$CE$83,MATCH("복음땅콩분태",'🔖 배합비 참조'!$A$2:$A$83,0),MATCH($C260,'🔖 배합비 참조'!$B$1:$CE$1,0))/100,0),""))),"")</f>
        <v>0</v>
      </c>
      <c r="AW260" s="42" t="n">
        <f aca="false">IFERROR(IF($C260="","",IF($D260="","",IFERROR(ROUND($D260*INDEX('🔖 배합비 참조'!$B$2:$CE$83,MATCH("사양벌꿀(국내산)",'🔖 배합비 참조'!$A$2:$A$83,0),MATCH($C260,'🔖 배합비 참조'!$B$1:$CE$1,0))/100,0),""))),"")</f>
        <v>0</v>
      </c>
      <c r="AX260" s="42" t="n">
        <f aca="false">IFERROR(IF($C260="","",IF($D260="","",IFERROR(ROUND($D260*INDEX('🔖 배합비 참조'!$B$2:$CE$83,MATCH("생크림",'🔖 배합비 참조'!$A$2:$A$83,0),MATCH($C260,'🔖 배합비 참조'!$B$1:$CE$1,0))/100,0),""))),"")</f>
        <v>0</v>
      </c>
      <c r="AY260" s="42" t="n">
        <f aca="false">IFERROR(IF($C260="","",IF($D260="","",IFERROR(ROUND($D260*INDEX('🔖 배합비 참조'!$B$2:$CE$83,MATCH("서양호박(국내산,뉴질랜드산)",'🔖 배합비 참조'!$A$2:$A$83,0),MATCH($C260,'🔖 배합비 참조'!$B$1:$CE$1,0))/100,0),""))),"")</f>
        <v>0</v>
      </c>
      <c r="AZ260" s="42" t="n">
        <f aca="false">IFERROR(IF($C260="","",IF($D260="","",IFERROR(ROUND($D260*INDEX('🔖 배합비 참조'!$B$2:$CE$83,MATCH("설탕",'🔖 배합비 참조'!$A$2:$A$83,0),MATCH($C260,'🔖 배합비 참조'!$B$1:$CE$1,0))/100,0),""))),"")</f>
        <v>209</v>
      </c>
      <c r="BA260" s="42" t="n">
        <f aca="false">IFERROR(IF($C260="","",IF($D260="","",IFERROR(ROUND($D260*INDEX('🔖 배합비 참조'!$B$2:$CE$83,MATCH("스트로우베리 에이드 후레쉬",'🔖 배합비 참조'!$A$2:$A$83,0),MATCH($C260,'🔖 배합비 참조'!$B$1:$CE$1,0))/100,0),""))),"")</f>
        <v>0</v>
      </c>
      <c r="BB260" s="42" t="n">
        <f aca="false">IFERROR(IF($C260="","",IF($D260="","",IFERROR(ROUND($D260*INDEX('🔖 배합비 참조'!$B$2:$CE$83,MATCH("식물성기름혼합제제(분홍)",'🔖 배합비 참조'!$A$2:$A$83,0),MATCH($C260,'🔖 배합비 참조'!$B$1:$CE$1,0))/100,0),""))),"")</f>
        <v>0</v>
      </c>
      <c r="BC260" s="42" t="n">
        <f aca="false">IFERROR(IF($C260="","",IF($D260="","",IFERROR(ROUND($D260*INDEX('🔖 배합비 참조'!$B$2:$CE$83,MATCH("식물성기름혼합제제(초록)",'🔖 배합비 참조'!$A$2:$A$83,0),MATCH($C260,'🔖 배합비 참조'!$B$1:$CE$1,0))/100,0),""))),"")</f>
        <v>0</v>
      </c>
      <c r="BD260" s="42" t="n">
        <f aca="false">IFERROR(IF($C260="","",IF($D260="","",IFERROR(ROUND($D260*INDEX('🔖 배합비 참조'!$B$2:$CE$83,MATCH("식물성기름혼합제제(황색)",'🔖 배합비 참조'!$A$2:$A$83,0),MATCH($C260,'🔖 배합비 참조'!$B$1:$CE$1,0))/100,0),""))),"")</f>
        <v>0</v>
      </c>
      <c r="BE260" s="42" t="n">
        <f aca="false">IFERROR(IF($C260="","",IF($D260="","",IFERROR(ROUND($D260*INDEX('🔖 배합비 참조'!$B$2:$CE$83,MATCH("쑥가루(국내산)",'🔖 배합비 참조'!$A$2:$A$83,0),MATCH($C260,'🔖 배합비 참조'!$B$1:$CE$1,0))/100,0),""))),"")</f>
        <v>0</v>
      </c>
      <c r="BF260" s="42" t="n">
        <f aca="false">IFERROR(IF($C260="","",IF($D260="","",IFERROR(ROUND($D260*INDEX('🔖 배합비 참조'!$B$2:$CE$83,MATCH("아몬드슬라이스",'🔖 배합비 참조'!$A$2:$A$83,0),MATCH($C260,'🔖 배합비 참조'!$B$1:$CE$1,0))/100,0),""))),"")</f>
        <v>0</v>
      </c>
      <c r="BG260" s="42" t="n">
        <f aca="false">IFERROR(IF($C260="","",IF($D260="","",IFERROR(ROUND($D260*INDEX('🔖 배합비 참조'!$B$2:$CE$83,MATCH("알룰로오스(국내산)",'🔖 배합비 참조'!$A$2:$A$83,0),MATCH($C260,'🔖 배합비 참조'!$B$1:$CE$1,0))/100,0),""))),"")</f>
        <v>0</v>
      </c>
      <c r="BH260" s="42" t="n">
        <f aca="false">IFERROR(IF($C260="","",IF($D260="","",IFERROR(ROUND($D260*INDEX('🔖 배합비 참조'!$B$2:$CE$83,MATCH("연유",'🔖 배합비 참조'!$A$2:$A$83,0),MATCH($C260,'🔖 배합비 참조'!$B$1:$CE$1,0))/100,0),""))),"")</f>
        <v>0</v>
      </c>
      <c r="BI260" s="42" t="n">
        <f aca="false">IFERROR(IF($C260="","",IF($D260="","",IFERROR(ROUND($D260*INDEX('🔖 배합비 참조'!$B$2:$CE$83,MATCH("옥수수전분",'🔖 배합비 참조'!$A$2:$A$83,0),MATCH($C260,'🔖 배합비 참조'!$B$1:$CE$1,0))/100,0),""))),"")</f>
        <v>0</v>
      </c>
      <c r="BJ260" s="42" t="n">
        <f aca="false">IFERROR(IF($C260="","",IF($D260="","",IFERROR(ROUND($D260*INDEX('🔖 배합비 참조'!$B$2:$CE$83,MATCH("완두배기",'🔖 배합비 참조'!$A$2:$A$83,0),MATCH($C260,'🔖 배합비 참조'!$B$1:$CE$1,0))/100,0),""))),"")</f>
        <v>0</v>
      </c>
      <c r="BK260" s="42" t="n">
        <f aca="false">IFERROR(IF($C260="","",IF($D260="","",IFERROR(ROUND($D260*INDEX('🔖 배합비 참조'!$B$2:$CE$83,MATCH("우유(국내산)",'🔖 배합비 참조'!$A$2:$A$83,0),MATCH($C260,'🔖 배합비 참조'!$B$1:$CE$1,0))/100,0),""))),"")</f>
        <v>0</v>
      </c>
      <c r="BL260" s="42" t="n">
        <f aca="false">IFERROR(IF($C260="","",IF($D260="","",IFERROR(ROUND($D260*INDEX('🔖 배합비 참조'!$B$2:$CE$83,MATCH("자색고구마가루(중국산)",'🔖 배합비 참조'!$A$2:$A$83,0),MATCH($C260,'🔖 배합비 참조'!$B$1:$CE$1,0))/100,0),""))),"")</f>
        <v>0</v>
      </c>
      <c r="BM260" s="42" t="n">
        <f aca="false">IFERROR(IF($C260="","",IF($D260="","",IFERROR(ROUND($D260*INDEX('🔖 배합비 참조'!$B$2:$CE$83,MATCH("자연치즈(체다치즈)",'🔖 배합비 참조'!$A$2:$A$83,0),MATCH($C260,'🔖 배합비 참조'!$B$1:$CE$1,0))/100,0),""))),"")</f>
        <v>0</v>
      </c>
      <c r="BN260" s="42" t="n">
        <f aca="false">IFERROR(IF($C260="","",IF($D260="","",IFERROR(ROUND($D260*INDEX('🔖 배합비 참조'!$B$2:$CE$83,MATCH("정제수",'🔖 배합비 참조'!$A$2:$A$83,0),MATCH($C260,'🔖 배합비 참조'!$B$1:$CE$1,0))/100,0),""))),"")</f>
        <v>33</v>
      </c>
      <c r="BO260" s="42" t="n">
        <f aca="false">IFERROR(IF($C260="","",IF($D260="","",IFERROR(ROUND($D260*INDEX('🔖 배합비 참조'!$B$2:$CE$83,MATCH("젤라틴",'🔖 배합비 참조'!$A$2:$A$83,0),MATCH($C260,'🔖 배합비 참조'!$B$1:$CE$1,0))/100,0),""))),"")</f>
        <v>0</v>
      </c>
      <c r="BP260" s="42" t="n">
        <f aca="false">IFERROR(IF($C260="","",IF($D260="","",IFERROR(ROUND($D260*INDEX('🔖 배합비 참조'!$B$2:$CE$83,MATCH("조림류(백옥앙금)",'🔖 배합비 참조'!$A$2:$A$83,0),MATCH($C260,'🔖 배합비 참조'!$B$1:$CE$1,0))/100,0),""))),"")</f>
        <v>0</v>
      </c>
      <c r="BQ260" s="42" t="n">
        <f aca="false">IFERROR(IF($C260="","",IF($D260="","",IFERROR(ROUND($D260*INDEX('🔖 배합비 참조'!$B$2:$CE$83,MATCH("조림류(통팥앙금)",'🔖 배합비 참조'!$A$2:$A$83,0),MATCH($C260,'🔖 배합비 참조'!$B$1:$CE$1,0))/100,0),""))),"")</f>
        <v>198</v>
      </c>
      <c r="BR260" s="42" t="n">
        <f aca="false">IFERROR(IF($C260="","",IF($D260="","",IFERROR(ROUND($D260*INDEX('🔖 배합비 참조'!$B$2:$CE$83,MATCH("준초콜릿(외국산)",'🔖 배합비 참조'!$A$2:$A$83,0),MATCH($C260,'🔖 배합비 참조'!$B$1:$CE$1,0))/100,0),""))),"")</f>
        <v>0</v>
      </c>
      <c r="BS260" s="42" t="n">
        <f aca="false">IFERROR(IF($C260="","",IF($D260="","",IFERROR(ROUND($D260*INDEX('🔖 배합비 참조'!$B$2:$CE$83,MATCH("중력분",'🔖 배합비 참조'!$A$2:$A$83,0),MATCH($C260,'🔖 배합비 참조'!$B$1:$CE$1,0))/100,0),""))),"")</f>
        <v>22</v>
      </c>
      <c r="BT260" s="42" t="n">
        <f aca="false">IFERROR(IF($C260="","",IF($D260="","",IFERROR(ROUND($D260*INDEX('🔖 배합비 참조'!$B$2:$CE$83,MATCH("참깨(인도산,나이지리아산,탄자니아산,미얀마산)",'🔖 배합비 참조'!$A$2:$A$83,0),MATCH($C260,'🔖 배합비 참조'!$B$1:$CE$1,0))/100,0),""))),"")</f>
        <v>0</v>
      </c>
      <c r="BU260" s="42" t="n">
        <f aca="false">IFERROR(IF($C260="","",IF($D260="","",IFERROR(ROUND($D260*INDEX('🔖 배합비 참조'!$B$2:$CE$83,MATCH("찹쌀(국내산)",'🔖 배합비 참조'!$A$2:$A$83,0),MATCH($C260,'🔖 배합비 참조'!$B$1:$CE$1,0))/100,0),""))),"")</f>
        <v>473</v>
      </c>
      <c r="BV260" s="42" t="n">
        <f aca="false">IFERROR(IF($C260="","",IF($D260="","",IFERROR(ROUND($D260*INDEX('🔖 배합비 참조'!$B$2:$CE$83,MATCH("천일염",'🔖 배합비 참조'!$A$2:$A$83,0),MATCH($C260,'🔖 배합비 참조'!$B$1:$CE$1,0))/100,0),""))),"")</f>
        <v>22</v>
      </c>
      <c r="BW260" s="42" t="n">
        <f aca="false">IFERROR(IF($C260="","",IF($D260="","",IFERROR(ROUND($D260*INDEX('🔖 배합비 참조'!$B$2:$CE$83,MATCH("치즈 [크림치즈]",'🔖 배합비 참조'!$A$2:$A$83,0),MATCH($C260,'🔖 배합비 참조'!$B$1:$CE$1,0))/100,0),""))),"")</f>
        <v>0</v>
      </c>
      <c r="BX260" s="42" t="n">
        <f aca="false">IFERROR(IF($C260="","",IF($D260="","",IFERROR(ROUND($D260*INDEX('🔖 배합비 참조'!$B$2:$CE$83,MATCH("코코아가공품류(코코아분말)",'🔖 배합비 참조'!$A$2:$A$83,0),MATCH($C260,'🔖 배합비 참조'!$B$1:$CE$1,0))/100,0),""))),"")</f>
        <v>0</v>
      </c>
      <c r="BY260" s="42" t="n">
        <f aca="false">IFERROR(IF($C260="","",IF($D260="","",IFERROR(ROUND($D260*INDEX('🔖 배합비 참조'!$B$2:$CE$83,MATCH("콩기름(대두유)",'🔖 배합비 참조'!$A$2:$A$83,0),MATCH($C260,'🔖 배합비 참조'!$B$1:$CE$1,0))/100,0),""))),"")</f>
        <v>0</v>
      </c>
      <c r="BZ260" s="42" t="n">
        <f aca="false">IFERROR(IF($C260="","",IF($D260="","",IFERROR(ROUND($D260*INDEX('🔖 배합비 참조'!$B$2:$CE$83,MATCH("해바라기씨앗",'🔖 배합비 참조'!$A$2:$A$83,0),MATCH($C260,'🔖 배합비 참조'!$B$1:$CE$1,0))/100,0),""))),"")</f>
        <v>0</v>
      </c>
      <c r="CA260" s="42" t="n">
        <f aca="false">IFERROR(IF($C260="","",IF($D260="","",IFERROR(ROUND($D260*INDEX('🔖 배합비 참조'!$B$2:$CE$83,MATCH("현미(국내산)",'🔖 배합비 참조'!$A$2:$A$83,0),MATCH($C260,'🔖 배합비 참조'!$B$1:$CE$1,0))/100,0),""))),"")</f>
        <v>0</v>
      </c>
      <c r="CB260" s="42" t="n">
        <f aca="false">IFERROR(IF($C260="","",IF($D260="","",IFERROR(ROUND($D260*INDEX('🔖 배합비 참조'!$B$2:$CE$83,MATCH("현미멥쌀(국내산)",'🔖 배합비 참조'!$A$2:$A$83,0),MATCH($C260,'🔖 배합비 참조'!$B$1:$CE$1,0))/100,0),""))),"")</f>
        <v>0</v>
      </c>
      <c r="CC260" s="42" t="n">
        <f aca="false">IFERROR(IF($C260="","",IF($D260="","",IFERROR(ROUND($D260*INDEX('🔖 배합비 참조'!$B$2:$CE$83,MATCH("호두분태(미국산)",'🔖 배합비 참조'!$A$2:$A$83,0),MATCH($C260,'🔖 배합비 참조'!$B$1:$CE$1,0))/100,0),""))),"")</f>
        <v>0</v>
      </c>
      <c r="CD260" s="42" t="n">
        <f aca="false">IFERROR(IF($C260="","",IF($D260="","",IFERROR(ROUND($D260*INDEX('🔖 배합비 참조'!$B$2:$CE$83,MATCH("호박씨앗(외국산)",'🔖 배합비 참조'!$A$2:$A$83,0),MATCH($C260,'🔖 배합비 참조'!$B$1:$CE$1,0))/100,0),""))),"")</f>
        <v>0</v>
      </c>
      <c r="CE260" s="42" t="n">
        <f aca="false">IFERROR(IF($C260="","",IF($D260="","",IFERROR(ROUND($D260*INDEX('🔖 배합비 참조'!$B$2:$CE$83,MATCH("혼합제제(떡용에스텔)",'🔖 배합비 참조'!$A$2:$A$83,0),MATCH($C260,'🔖 배합비 참조'!$B$1:$CE$1,0))/100,0),""))),"")</f>
        <v>22</v>
      </c>
      <c r="CF260" s="42" t="n">
        <f aca="false">IFERROR(IF($C260="","",IF($D260="","",IFERROR(ROUND($D260*INDEX('🔖 배합비 참조'!$B$2:$CE$83,MATCH("혼합제제(스테비아)",'🔖 배합비 참조'!$A$2:$A$83,0),MATCH($C260,'🔖 배합비 참조'!$B$1:$CE$1,0))/100,0),""))),"")</f>
        <v>0</v>
      </c>
      <c r="CG260" s="42" t="n">
        <f aca="false">IFERROR(IF($C260="","",IF($D260="","",IFERROR(ROUND($D260*INDEX('🔖 배합비 참조'!$B$2:$CE$83,MATCH("화이트초콜릿",'🔖 배합비 참조'!$A$2:$A$83,0),MATCH($C260,'🔖 배합비 참조'!$B$1:$CE$1,0))/100,0),""))),"")</f>
        <v>0</v>
      </c>
      <c r="CH260" s="42" t="n">
        <f aca="false">IFERROR(IF($C260="","",IF($D260="","",IFERROR(ROUND($D260*INDEX('🔖 배합비 참조'!$B$2:$CE$83,MATCH("흑미찹쌀(국내산)",'🔖 배합비 참조'!$A$2:$A$83,0),MATCH($C260,'🔖 배합비 참조'!$B$1:$CE$1,0))/100,0),""))),"")</f>
        <v>0</v>
      </c>
      <c r="CI260" s="42" t="n">
        <f aca="false">IFERROR(IF($C260="","",IF($D260="","",IFERROR(ROUND($D260*INDEX('🔖 배합비 참조'!$B$2:$CE$83,MATCH("찰옥수수전분(미국산)",'🔖 배합비 참조'!$A$2:$A$83,0),MATCH($C260,'🔖 배합비 참조'!$B$1:$CE$1,0))/100,0),""))),"")</f>
        <v>99</v>
      </c>
      <c r="CJ260" s="40"/>
      <c r="CL260" s="1" t="s">
        <v>248</v>
      </c>
    </row>
    <row r="261" customFormat="false" ht="18" hidden="false" customHeight="true" outlineLevel="0" collapsed="false">
      <c r="A261" s="35" t="n">
        <v>257</v>
      </c>
      <c r="B261" s="36" t="n">
        <v>46086</v>
      </c>
      <c r="C261" s="37" t="s">
        <v>236</v>
      </c>
      <c r="D261" s="38" t="n">
        <v>110</v>
      </c>
      <c r="E261" s="13"/>
      <c r="F261" s="13"/>
      <c r="G261" s="39" t="n">
        <f aca="false">IFERROR(IF($C261="","",IF($D261="","",IFERROR(ROUND($D261*INDEX('🔖 배합비 참조'!$B$2:$CE$83,MATCH("간장",'🔖 배합비 참조'!$A$2:$A$83,0),MATCH($C261,'🔖 배합비 참조'!$B$1:$CE$1,0))/100,0),""))),"")</f>
        <v>0</v>
      </c>
      <c r="H261" s="39" t="n">
        <f aca="false">IFERROR(IF($C261="","",IF($D261="","",IFERROR(ROUND($D261*INDEX('🔖 배합비 참조'!$B$2:$CE$83,MATCH("강낭콩((울타리콩))",'🔖 배합비 참조'!$A$2:$A$83,0),MATCH($C261,'🔖 배합비 참조'!$B$1:$CE$1,0))/100,0),""))),"")</f>
        <v>0</v>
      </c>
      <c r="I261" s="39" t="n">
        <f aca="false">IFERROR(IF($C261="","",IF($D261="","",IFERROR(ROUND($D261*INDEX('🔖 배합비 참조'!$B$2:$CE$83,MATCH("건조딸기다이스(외국산)",'🔖 배합비 참조'!$A$2:$A$83,0),MATCH($C261,'🔖 배합비 참조'!$B$1:$CE$1,0))/100,0),""))),"")</f>
        <v>0</v>
      </c>
      <c r="J261" s="39" t="n">
        <f aca="false">IFERROR(IF($C261="","",IF($D261="","",IFERROR(ROUND($D261*INDEX('🔖 배합비 참조'!$B$2:$CE$83,MATCH("건포도",'🔖 배합비 참조'!$A$2:$A$83,0),MATCH($C261,'🔖 배합비 참조'!$B$1:$CE$1,0))/100,0),""))),"")</f>
        <v>0</v>
      </c>
      <c r="K261" s="39" t="n">
        <f aca="false">IFERROR(IF($C261="","",IF($D261="","",IFERROR(ROUND($D261*INDEX('🔖 배합비 참조'!$B$2:$CE$83,MATCH("건호박채(중국산)",'🔖 배합비 참조'!$A$2:$A$83,0),MATCH($C261,'🔖 배합비 참조'!$B$1:$CE$1,0))/100,0),""))),"")</f>
        <v>0</v>
      </c>
      <c r="L261" s="39" t="n">
        <f aca="false">IFERROR(IF($C261="","",IF($D261="","",IFERROR(ROUND($D261*INDEX('🔖 배합비 참조'!$B$2:$CE$83,MATCH("검정깨(흑임자)",'🔖 배합비 참조'!$A$2:$A$83,0),MATCH($C261,'🔖 배합비 참조'!$B$1:$CE$1,0))/100,0),""))),"")</f>
        <v>0</v>
      </c>
      <c r="M261" s="39" t="n">
        <f aca="false">IFERROR(IF($C261="","",IF($D261="","",IFERROR(ROUND($D261*INDEX('🔖 배합비 참조'!$B$2:$CE$83,MATCH("검정콩",'🔖 배합비 참조'!$A$2:$A$83,0),MATCH($C261,'🔖 배합비 참조'!$B$1:$CE$1,0))/100,0),""))),"")</f>
        <v>0</v>
      </c>
      <c r="N261" s="39" t="n">
        <f aca="false">IFERROR(IF($C261="","",IF($D261="","",IFERROR(ROUND($D261*INDEX('🔖 배합비 참조'!$B$2:$CE$83,MATCH("계피가루",'🔖 배합비 참조'!$A$2:$A$83,0),MATCH($C261,'🔖 배합비 참조'!$B$1:$CE$1,0))/100,0),""))),"")</f>
        <v>0</v>
      </c>
      <c r="O261" s="39" t="n">
        <f aca="false">IFERROR(IF($C261="","",IF($D261="","",IFERROR(ROUND($D261*INDEX('🔖 배합비 참조'!$B$2:$CE$83,MATCH("고구마가루",'🔖 배합비 참조'!$A$2:$A$83,0),MATCH($C261,'🔖 배합비 참조'!$B$1:$CE$1,0))/100,0),""))),"")</f>
        <v>0</v>
      </c>
      <c r="P261" s="39" t="n">
        <f aca="false">IFERROR(IF($C261="","",IF($D261="","",IFERROR(ROUND($D261*INDEX('🔖 배합비 참조'!$B$2:$CE$83,MATCH("고구마무스",'🔖 배합비 참조'!$A$2:$A$83,0),MATCH($C261,'🔖 배합비 참조'!$B$1:$CE$1,0))/100,0),""))),"")</f>
        <v>0</v>
      </c>
      <c r="Q261" s="39" t="n">
        <f aca="false">IFERROR(IF($C261="","",IF($D261="","",IFERROR(ROUND($D261*INDEX('🔖 배합비 참조'!$B$2:$CE$83,MATCH("고려엉겅퀴((곤드레)국내산)",'🔖 배합비 참조'!$A$2:$A$83,0),MATCH($C261,'🔖 배합비 참조'!$B$1:$CE$1,0))/100,0),""))),"")</f>
        <v>0</v>
      </c>
      <c r="R261" s="39" t="n">
        <f aca="false">IFERROR(IF($C261="","",IF($D261="","",IFERROR(ROUND($D261*INDEX('🔖 배합비 참조'!$B$2:$CE$83,MATCH("기타가공품(복분자가루)",'🔖 배합비 참조'!$A$2:$A$83,0),MATCH($C261,'🔖 배합비 참조'!$B$1:$CE$1,0))/100,0),""))),"")</f>
        <v>0</v>
      </c>
      <c r="S261" s="39" t="n">
        <f aca="false">IFERROR(IF($C261="","",IF($D261="","",IFERROR(ROUND($D261*INDEX('🔖 배합비 참조'!$B$2:$CE$83,MATCH("기타가공품(슈퍼소프트엠)",'🔖 배합비 참조'!$A$2:$A$83,0),MATCH($C261,'🔖 배합비 참조'!$B$1:$CE$1,0))/100,0),""))),"")</f>
        <v>0</v>
      </c>
      <c r="T261" s="39" t="n">
        <f aca="false">IFERROR(IF($C261="","",IF($D261="","",IFERROR(ROUND($D261*INDEX('🔖 배합비 참조'!$B$2:$CE$83,MATCH("기타가공품(파인소프트 E-티)",'🔖 배합비 참조'!$A$2:$A$83,0),MATCH($C261,'🔖 배합비 참조'!$B$1:$CE$1,0))/100,0),""))),"")</f>
        <v>0</v>
      </c>
      <c r="U261" s="39" t="n">
        <f aca="false">IFERROR(IF($C261="","",IF($D261="","",IFERROR(ROUND($D261*INDEX('🔖 배합비 참조'!$B$2:$CE$83,MATCH("기타가공품(프리미엄카스테라가루)",'🔖 배합비 참조'!$A$2:$A$83,0),MATCH($C261,'🔖 배합비 참조'!$B$1:$CE$1,0))/100,0),""))),"")</f>
        <v>0</v>
      </c>
      <c r="V261" s="39" t="n">
        <f aca="false">IFERROR(IF($C261="","",IF($D261="","",IFERROR(ROUND($D261*INDEX('🔖 배합비 참조'!$B$2:$CE$83,MATCH("기타가공품(흑임자가루)",'🔖 배합비 참조'!$A$2:$A$83,0),MATCH($C261,'🔖 배합비 참조'!$B$1:$CE$1,0))/100,0),""))),"")</f>
        <v>0</v>
      </c>
      <c r="W261" s="39" t="n">
        <f aca="false">IFERROR(IF($C261="","",IF($D261="","",IFERROR(ROUND($D261*INDEX('🔖 배합비 참조'!$B$2:$CE$83,MATCH("기타설탕(흑설탕)",'🔖 배합비 참조'!$A$2:$A$83,0),MATCH($C261,'🔖 배합비 참조'!$B$1:$CE$1,0))/100,0),""))),"")</f>
        <v>0</v>
      </c>
      <c r="X261" s="39" t="n">
        <f aca="false">IFERROR(IF($C261="","",IF($D261="","",IFERROR(ROUND($D261*INDEX('🔖 배합비 참조'!$B$2:$CE$83,MATCH("냉동쑥(국내산)",'🔖 배합비 참조'!$A$2:$A$83,0),MATCH($C261,'🔖 배합비 참조'!$B$1:$CE$1,0))/100,0),""))),"")</f>
        <v>2</v>
      </c>
      <c r="Y261" s="39" t="n">
        <f aca="false">IFERROR(IF($C261="","",IF($D261="","",IFERROR(ROUND($D261*INDEX('🔖 배합비 참조'!$B$2:$CE$83,MATCH("냉동증숙고구마(중국산)",'🔖 배합비 참조'!$A$2:$A$83,0),MATCH($C261,'🔖 배합비 참조'!$B$1:$CE$1,0))/100,0),""))),"")</f>
        <v>0</v>
      </c>
      <c r="Z261" s="39" t="n">
        <f aca="false">IFERROR(IF($C261="","",IF($D261="","",IFERROR(ROUND($D261*INDEX('🔖 배합비 참조'!$B$2:$CE$83,MATCH("녹차가루",'🔖 배합비 참조'!$A$2:$A$83,0),MATCH($C261,'🔖 배합비 참조'!$B$1:$CE$1,0))/100,0),""))),"")</f>
        <v>0</v>
      </c>
      <c r="AA261" s="39" t="n">
        <f aca="false">IFERROR(IF($C261="","",IF($D261="","",IFERROR(ROUND($D261*INDEX('🔖 배합비 참조'!$B$2:$CE$83,MATCH("다크초콜릿 컴파운드칩",'🔖 배합비 참조'!$A$2:$A$83,0),MATCH($C261,'🔖 배합비 참조'!$B$1:$CE$1,0))/100,0),""))),"")</f>
        <v>0</v>
      </c>
      <c r="AB261" s="39" t="n">
        <f aca="false">IFERROR(IF($C261="","",IF($D261="","",IFERROR(ROUND($D261*INDEX('🔖 배합비 참조'!$B$2:$CE$83,MATCH("단호박분말(중국산)",'🔖 배합비 참조'!$A$2:$A$83,0),MATCH($C261,'🔖 배합비 참조'!$B$1:$CE$1,0))/100,0),""))),"")</f>
        <v>0</v>
      </c>
      <c r="AC261" s="39" t="n">
        <f aca="false">IFERROR(IF($C261="","",IF($D261="","",IFERROR(ROUND($D261*INDEX('🔖 배합비 참조'!$B$2:$CE$83,MATCH("당류가공품(단호박농축액)",'🔖 배합비 참조'!$A$2:$A$83,0),MATCH($C261,'🔖 배합비 참조'!$B$1:$CE$1,0))/100,0),""))),"")</f>
        <v>0</v>
      </c>
      <c r="AD261" s="39" t="n">
        <f aca="false">IFERROR(IF($C261="","",IF($D261="","",IFERROR(ROUND($D261*INDEX('🔖 배합비 참조'!$B$2:$CE$83,MATCH("당류가공품(알룰로스,에리스리톨,스테비올배당체혼합)",'🔖 배합비 참조'!$A$2:$A$83,0),MATCH($C261,'🔖 배합비 참조'!$B$1:$CE$1,0))/100,0),""))),"")</f>
        <v>0</v>
      </c>
      <c r="AE261" s="39" t="n">
        <f aca="false">IFERROR(IF($C261="","",IF($D261="","",IFERROR(ROUND($D261*INDEX('🔖 배합비 참조'!$B$2:$CE$83,MATCH("당류가공품(알룰로스제로파우더)",'🔖 배합비 참조'!$A$2:$A$83,0),MATCH($C261,'🔖 배합비 참조'!$B$1:$CE$1,0))/100,0),""))),"")</f>
        <v>0</v>
      </c>
      <c r="AF261" s="39" t="n">
        <f aca="false">IFERROR(IF($C261="","",IF($D261="","",IFERROR(ROUND($D261*INDEX('🔖 배합비 참조'!$B$2:$CE$83,MATCH("당절임(완두배기)",'🔖 배합비 참조'!$A$2:$A$83,0),MATCH($C261,'🔖 배합비 참조'!$B$1:$CE$1,0))/100,0),""))),"")</f>
        <v>0</v>
      </c>
      <c r="AG261" s="39" t="n">
        <f aca="false">IFERROR(IF($C261="","",IF($D261="","",IFERROR(ROUND($D261*INDEX('🔖 배합비 참조'!$B$2:$CE$83,MATCH("대추농축액",'🔖 배합비 참조'!$A$2:$A$83,0),MATCH($C261,'🔖 배합비 참조'!$B$1:$CE$1,0))/100,0),""))),"")</f>
        <v>0</v>
      </c>
      <c r="AH261" s="39" t="n">
        <f aca="false">IFERROR(IF($C261="","",IF($D261="","",IFERROR(ROUND($D261*INDEX('🔖 배합비 참조'!$B$2:$CE$83,MATCH("대추채(국내산)",'🔖 배합비 참조'!$A$2:$A$83,0),MATCH($C261,'🔖 배합비 참조'!$B$1:$CE$1,0))/100,0),""))),"")</f>
        <v>0</v>
      </c>
      <c r="AI261" s="39" t="n">
        <f aca="false">IFERROR(IF($C261="","",IF($D261="","",IFERROR(ROUND($D261*INDEX('🔖 배합비 참조'!$B$2:$CE$83,MATCH("동부(미얀마산)",'🔖 배합비 참조'!$A$2:$A$83,0),MATCH($C261,'🔖 배합비 참조'!$B$1:$CE$1,0))/100,0),""))),"")</f>
        <v>14</v>
      </c>
      <c r="AJ261" s="39" t="n">
        <f aca="false">IFERROR(IF($C261="","",IF($D261="","",IFERROR(ROUND($D261*INDEX('🔖 배합비 참조'!$B$2:$CE$83,MATCH("두류가공품(백옥앙금)",'🔖 배합비 참조'!$A$2:$A$83,0),MATCH($C261,'🔖 배합비 참조'!$B$1:$CE$1,0))/100,0),""))),"")</f>
        <v>0</v>
      </c>
      <c r="AK261" s="39" t="n">
        <f aca="false">IFERROR(IF($C261="","",IF($D261="","",IFERROR(ROUND($D261*INDEX('🔖 배합비 참조'!$B$2:$CE$83,MATCH("두류가공품(콩고물)",'🔖 배합비 참조'!$A$2:$A$83,0),MATCH($C261,'🔖 배합비 참조'!$B$1:$CE$1,0))/100,0),""))),"")</f>
        <v>3</v>
      </c>
      <c r="AL261" s="39" t="n">
        <f aca="false">IFERROR(IF($C261="","",IF($D261="","",IFERROR(ROUND($D261*INDEX('🔖 배합비 참조'!$B$2:$CE$83,MATCH("두류가공품(통팥고물)",'🔖 배합비 참조'!$A$2:$A$83,0),MATCH($C261,'🔖 배합비 참조'!$B$1:$CE$1,0))/100,0),""))),"")</f>
        <v>0</v>
      </c>
      <c r="AM261" s="39" t="n">
        <f aca="false">IFERROR(IF($C261="","",IF($D261="","",IFERROR(ROUND($D261*INDEX('🔖 배합비 참조'!$B$2:$CE$83,MATCH("딸기레진",'🔖 배합비 참조'!$A$2:$A$83,0),MATCH($C261,'🔖 배합비 참조'!$B$1:$CE$1,0))/100,0),""))),"")</f>
        <v>0</v>
      </c>
      <c r="AN261" s="39" t="n">
        <f aca="false">IFERROR(IF($C261="","",IF($D261="","",IFERROR(ROUND($D261*INDEX('🔖 배합비 참조'!$B$2:$CE$83,MATCH("딸기분말(스트로우베리에이드(분말))",'🔖 배합비 참조'!$A$2:$A$83,0),MATCH($C261,'🔖 배합비 참조'!$B$1:$CE$1,0))/100,0),""))),"")</f>
        <v>0</v>
      </c>
      <c r="AO261" s="39" t="n">
        <f aca="false">IFERROR(IF($C261="","",IF($D261="","",IFERROR(ROUND($D261*INDEX('🔖 배합비 참조'!$B$2:$CE$83,MATCH("마스카포네치즈",'🔖 배합비 참조'!$A$2:$A$83,0),MATCH($C261,'🔖 배합비 참조'!$B$1:$CE$1,0))/100,0),""))),"")</f>
        <v>0</v>
      </c>
      <c r="AP261" s="39" t="n">
        <f aca="false">IFERROR(IF($C261="","",IF($D261="","",IFERROR(ROUND($D261*INDEX('🔖 배합비 참조'!$B$2:$CE$83,MATCH("마카다미아분태(호주산)",'🔖 배합비 참조'!$A$2:$A$83,0),MATCH($C261,'🔖 배합비 참조'!$B$1:$CE$1,0))/100,0),""))),"")</f>
        <v>0</v>
      </c>
      <c r="AQ261" s="39" t="n">
        <f aca="false">IFERROR(IF($C261="","",IF($D261="","",IFERROR(ROUND($D261*INDEX('🔖 배합비 참조'!$B$2:$CE$83,MATCH("멥쌀(국내산)",'🔖 배합비 참조'!$A$2:$A$83,0),MATCH($C261,'🔖 배합비 참조'!$B$1:$CE$1,0))/100,0),""))),"")</f>
        <v>0</v>
      </c>
      <c r="AR261" s="39" t="n">
        <f aca="false">IFERROR(IF($C261="","",IF($D261="","",IFERROR(ROUND($D261*INDEX('🔖 배합비 참조'!$B$2:$CE$83,MATCH("모시잎(국내산)",'🔖 배합비 참조'!$A$2:$A$83,0),MATCH($C261,'🔖 배합비 참조'!$B$1:$CE$1,0))/100,0),""))),"")</f>
        <v>0</v>
      </c>
      <c r="AS261" s="39" t="n">
        <f aca="false">IFERROR(IF($C261="","",IF($D261="","",IFERROR(ROUND($D261*INDEX('🔖 배합비 참조'!$B$2:$CE$83,MATCH("물엿(저당물엿)",'🔖 배합비 참조'!$A$2:$A$83,0),MATCH($C261,'🔖 배합비 참조'!$B$1:$CE$1,0))/100,0),""))),"")</f>
        <v>2</v>
      </c>
      <c r="AT261" s="39" t="n">
        <f aca="false">IFERROR(IF($C261="","",IF($D261="","",IFERROR(ROUND($D261*INDEX('🔖 배합비 참조'!$B$2:$CE$83,MATCH("밤다이스",'🔖 배합비 참조'!$A$2:$A$83,0),MATCH($C261,'🔖 배합비 참조'!$B$1:$CE$1,0))/100,0),""))),"")</f>
        <v>0</v>
      </c>
      <c r="AU261" s="39" t="n">
        <f aca="false">IFERROR(IF($C261="","",IF($D261="","",IFERROR(ROUND($D261*INDEX('🔖 배합비 참조'!$B$2:$CE$83,MATCH("변성전분(타피오카전분)",'🔖 배합비 참조'!$A$2:$A$83,0),MATCH($C261,'🔖 배합비 참조'!$B$1:$CE$1,0))/100,0),""))),"")</f>
        <v>0</v>
      </c>
      <c r="AV261" s="39" t="n">
        <f aca="false">IFERROR(IF($C261="","",IF($D261="","",IFERROR(ROUND($D261*INDEX('🔖 배합비 참조'!$B$2:$CE$83,MATCH("복음땅콩분태",'🔖 배합비 참조'!$A$2:$A$83,0),MATCH($C261,'🔖 배합비 참조'!$B$1:$CE$1,0))/100,0),""))),"")</f>
        <v>0</v>
      </c>
      <c r="AW261" s="39" t="n">
        <f aca="false">IFERROR(IF($C261="","",IF($D261="","",IFERROR(ROUND($D261*INDEX('🔖 배합비 참조'!$B$2:$CE$83,MATCH("사양벌꿀(국내산)",'🔖 배합비 참조'!$A$2:$A$83,0),MATCH($C261,'🔖 배합비 참조'!$B$1:$CE$1,0))/100,0),""))),"")</f>
        <v>0</v>
      </c>
      <c r="AX261" s="39" t="n">
        <f aca="false">IFERROR(IF($C261="","",IF($D261="","",IFERROR(ROUND($D261*INDEX('🔖 배합비 참조'!$B$2:$CE$83,MATCH("생크림",'🔖 배합비 참조'!$A$2:$A$83,0),MATCH($C261,'🔖 배합비 참조'!$B$1:$CE$1,0))/100,0),""))),"")</f>
        <v>0</v>
      </c>
      <c r="AY261" s="39" t="n">
        <f aca="false">IFERROR(IF($C261="","",IF($D261="","",IFERROR(ROUND($D261*INDEX('🔖 배합비 참조'!$B$2:$CE$83,MATCH("서양호박(국내산,뉴질랜드산)",'🔖 배합비 참조'!$A$2:$A$83,0),MATCH($C261,'🔖 배합비 참조'!$B$1:$CE$1,0))/100,0),""))),"")</f>
        <v>0</v>
      </c>
      <c r="AZ261" s="39" t="n">
        <f aca="false">IFERROR(IF($C261="","",IF($D261="","",IFERROR(ROUND($D261*INDEX('🔖 배합비 참조'!$B$2:$CE$83,MATCH("설탕",'🔖 배합비 참조'!$A$2:$A$83,0),MATCH($C261,'🔖 배합비 참조'!$B$1:$CE$1,0))/100,0),""))),"")</f>
        <v>2</v>
      </c>
      <c r="BA261" s="39" t="n">
        <f aca="false">IFERROR(IF($C261="","",IF($D261="","",IFERROR(ROUND($D261*INDEX('🔖 배합비 참조'!$B$2:$CE$83,MATCH("스트로우베리 에이드 후레쉬",'🔖 배합비 참조'!$A$2:$A$83,0),MATCH($C261,'🔖 배합비 참조'!$B$1:$CE$1,0))/100,0),""))),"")</f>
        <v>0</v>
      </c>
      <c r="BB261" s="39" t="n">
        <f aca="false">IFERROR(IF($C261="","",IF($D261="","",IFERROR(ROUND($D261*INDEX('🔖 배합비 참조'!$B$2:$CE$83,MATCH("식물성기름혼합제제(분홍)",'🔖 배합비 참조'!$A$2:$A$83,0),MATCH($C261,'🔖 배합비 참조'!$B$1:$CE$1,0))/100,0),""))),"")</f>
        <v>0</v>
      </c>
      <c r="BC261" s="39" t="n">
        <f aca="false">IFERROR(IF($C261="","",IF($D261="","",IFERROR(ROUND($D261*INDEX('🔖 배합비 참조'!$B$2:$CE$83,MATCH("식물성기름혼합제제(초록)",'🔖 배합비 참조'!$A$2:$A$83,0),MATCH($C261,'🔖 배합비 참조'!$B$1:$CE$1,0))/100,0),""))),"")</f>
        <v>0</v>
      </c>
      <c r="BD261" s="39" t="n">
        <f aca="false">IFERROR(IF($C261="","",IF($D261="","",IFERROR(ROUND($D261*INDEX('🔖 배합비 참조'!$B$2:$CE$83,MATCH("식물성기름혼합제제(황색)",'🔖 배합비 참조'!$A$2:$A$83,0),MATCH($C261,'🔖 배합비 참조'!$B$1:$CE$1,0))/100,0),""))),"")</f>
        <v>0</v>
      </c>
      <c r="BE261" s="39" t="n">
        <f aca="false">IFERROR(IF($C261="","",IF($D261="","",IFERROR(ROUND($D261*INDEX('🔖 배합비 참조'!$B$2:$CE$83,MATCH("쑥가루(국내산)",'🔖 배합비 참조'!$A$2:$A$83,0),MATCH($C261,'🔖 배합비 참조'!$B$1:$CE$1,0))/100,0),""))),"")</f>
        <v>1</v>
      </c>
      <c r="BF261" s="39" t="n">
        <f aca="false">IFERROR(IF($C261="","",IF($D261="","",IFERROR(ROUND($D261*INDEX('🔖 배합비 참조'!$B$2:$CE$83,MATCH("아몬드슬라이스",'🔖 배합비 참조'!$A$2:$A$83,0),MATCH($C261,'🔖 배합비 참조'!$B$1:$CE$1,0))/100,0),""))),"")</f>
        <v>0</v>
      </c>
      <c r="BG261" s="39" t="n">
        <f aca="false">IFERROR(IF($C261="","",IF($D261="","",IFERROR(ROUND($D261*INDEX('🔖 배합비 참조'!$B$2:$CE$83,MATCH("알룰로오스(국내산)",'🔖 배합비 참조'!$A$2:$A$83,0),MATCH($C261,'🔖 배합비 참조'!$B$1:$CE$1,0))/100,0),""))),"")</f>
        <v>0</v>
      </c>
      <c r="BH261" s="39" t="n">
        <f aca="false">IFERROR(IF($C261="","",IF($D261="","",IFERROR(ROUND($D261*INDEX('🔖 배합비 참조'!$B$2:$CE$83,MATCH("연유",'🔖 배합비 참조'!$A$2:$A$83,0),MATCH($C261,'🔖 배합비 참조'!$B$1:$CE$1,0))/100,0),""))),"")</f>
        <v>0</v>
      </c>
      <c r="BI261" s="39" t="n">
        <f aca="false">IFERROR(IF($C261="","",IF($D261="","",IFERROR(ROUND($D261*INDEX('🔖 배합비 참조'!$B$2:$CE$83,MATCH("옥수수전분",'🔖 배합비 참조'!$A$2:$A$83,0),MATCH($C261,'🔖 배합비 참조'!$B$1:$CE$1,0))/100,0),""))),"")</f>
        <v>0</v>
      </c>
      <c r="BJ261" s="39" t="n">
        <f aca="false">IFERROR(IF($C261="","",IF($D261="","",IFERROR(ROUND($D261*INDEX('🔖 배합비 참조'!$B$2:$CE$83,MATCH("완두배기",'🔖 배합비 참조'!$A$2:$A$83,0),MATCH($C261,'🔖 배합비 참조'!$B$1:$CE$1,0))/100,0),""))),"")</f>
        <v>0</v>
      </c>
      <c r="BK261" s="39" t="n">
        <f aca="false">IFERROR(IF($C261="","",IF($D261="","",IFERROR(ROUND($D261*INDEX('🔖 배합비 참조'!$B$2:$CE$83,MATCH("우유(국내산)",'🔖 배합비 참조'!$A$2:$A$83,0),MATCH($C261,'🔖 배합비 참조'!$B$1:$CE$1,0))/100,0),""))),"")</f>
        <v>0</v>
      </c>
      <c r="BL261" s="39" t="n">
        <f aca="false">IFERROR(IF($C261="","",IF($D261="","",IFERROR(ROUND($D261*INDEX('🔖 배합비 참조'!$B$2:$CE$83,MATCH("자색고구마가루(중국산)",'🔖 배합비 참조'!$A$2:$A$83,0),MATCH($C261,'🔖 배합비 참조'!$B$1:$CE$1,0))/100,0),""))),"")</f>
        <v>0</v>
      </c>
      <c r="BM261" s="39" t="n">
        <f aca="false">IFERROR(IF($C261="","",IF($D261="","",IFERROR(ROUND($D261*INDEX('🔖 배합비 참조'!$B$2:$CE$83,MATCH("자연치즈(체다치즈)",'🔖 배합비 참조'!$A$2:$A$83,0),MATCH($C261,'🔖 배합비 참조'!$B$1:$CE$1,0))/100,0),""))),"")</f>
        <v>0</v>
      </c>
      <c r="BN261" s="39" t="n">
        <f aca="false">IFERROR(IF($C261="","",IF($D261="","",IFERROR(ROUND($D261*INDEX('🔖 배합비 참조'!$B$2:$CE$83,MATCH("정제수",'🔖 배합비 참조'!$A$2:$A$83,0),MATCH($C261,'🔖 배합비 참조'!$B$1:$CE$1,0))/100,0),""))),"")</f>
        <v>13</v>
      </c>
      <c r="BO261" s="39" t="n">
        <f aca="false">IFERROR(IF($C261="","",IF($D261="","",IFERROR(ROUND($D261*INDEX('🔖 배합비 참조'!$B$2:$CE$83,MATCH("젤라틴",'🔖 배합비 참조'!$A$2:$A$83,0),MATCH($C261,'🔖 배합비 참조'!$B$1:$CE$1,0))/100,0),""))),"")</f>
        <v>0</v>
      </c>
      <c r="BP261" s="39" t="n">
        <f aca="false">IFERROR(IF($C261="","",IF($D261="","",IFERROR(ROUND($D261*INDEX('🔖 배합비 참조'!$B$2:$CE$83,MATCH("조림류(백옥앙금)",'🔖 배합비 참조'!$A$2:$A$83,0),MATCH($C261,'🔖 배합비 참조'!$B$1:$CE$1,0))/100,0),""))),"")</f>
        <v>27</v>
      </c>
      <c r="BQ261" s="39" t="n">
        <f aca="false">IFERROR(IF($C261="","",IF($D261="","",IFERROR(ROUND($D261*INDEX('🔖 배합비 참조'!$B$2:$CE$83,MATCH("조림류(통팥앙금)",'🔖 배합비 참조'!$A$2:$A$83,0),MATCH($C261,'🔖 배합비 참조'!$B$1:$CE$1,0))/100,0),""))),"")</f>
        <v>0</v>
      </c>
      <c r="BR261" s="39" t="n">
        <f aca="false">IFERROR(IF($C261="","",IF($D261="","",IFERROR(ROUND($D261*INDEX('🔖 배합비 참조'!$B$2:$CE$83,MATCH("준초콜릿(외국산)",'🔖 배합비 참조'!$A$2:$A$83,0),MATCH($C261,'🔖 배합비 참조'!$B$1:$CE$1,0))/100,0),""))),"")</f>
        <v>0</v>
      </c>
      <c r="BS261" s="39" t="n">
        <f aca="false">IFERROR(IF($C261="","",IF($D261="","",IFERROR(ROUND($D261*INDEX('🔖 배합비 참조'!$B$2:$CE$83,MATCH("중력분",'🔖 배합비 참조'!$A$2:$A$83,0),MATCH($C261,'🔖 배합비 참조'!$B$1:$CE$1,0))/100,0),""))),"")</f>
        <v>1</v>
      </c>
      <c r="BT261" s="39" t="n">
        <f aca="false">IFERROR(IF($C261="","",IF($D261="","",IFERROR(ROUND($D261*INDEX('🔖 배합비 참조'!$B$2:$CE$83,MATCH("참깨(인도산,나이지리아산,탄자니아산,미얀마산)",'🔖 배합비 참조'!$A$2:$A$83,0),MATCH($C261,'🔖 배합비 참조'!$B$1:$CE$1,0))/100,0),""))),"")</f>
        <v>0</v>
      </c>
      <c r="BU261" s="39" t="n">
        <f aca="false">IFERROR(IF($C261="","",IF($D261="","",IFERROR(ROUND($D261*INDEX('🔖 배합비 참조'!$B$2:$CE$83,MATCH("찹쌀(국내산)",'🔖 배합비 참조'!$A$2:$A$83,0),MATCH($C261,'🔖 배합비 참조'!$B$1:$CE$1,0))/100,0),""))),"")</f>
        <v>44</v>
      </c>
      <c r="BV261" s="39" t="n">
        <f aca="false">IFERROR(IF($C261="","",IF($D261="","",IFERROR(ROUND($D261*INDEX('🔖 배합비 참조'!$B$2:$CE$83,MATCH("천일염",'🔖 배합비 참조'!$A$2:$A$83,0),MATCH($C261,'🔖 배합비 참조'!$B$1:$CE$1,0))/100,0),""))),"")</f>
        <v>1</v>
      </c>
      <c r="BW261" s="39" t="n">
        <f aca="false">IFERROR(IF($C261="","",IF($D261="","",IFERROR(ROUND($D261*INDEX('🔖 배합비 참조'!$B$2:$CE$83,MATCH("치즈 [크림치즈]",'🔖 배합비 참조'!$A$2:$A$83,0),MATCH($C261,'🔖 배합비 참조'!$B$1:$CE$1,0))/100,0),""))),"")</f>
        <v>0</v>
      </c>
      <c r="BX261" s="39" t="n">
        <f aca="false">IFERROR(IF($C261="","",IF($D261="","",IFERROR(ROUND($D261*INDEX('🔖 배합비 참조'!$B$2:$CE$83,MATCH("코코아가공품류(코코아분말)",'🔖 배합비 참조'!$A$2:$A$83,0),MATCH($C261,'🔖 배합비 참조'!$B$1:$CE$1,0))/100,0),""))),"")</f>
        <v>0</v>
      </c>
      <c r="BY261" s="39" t="n">
        <f aca="false">IFERROR(IF($C261="","",IF($D261="","",IFERROR(ROUND($D261*INDEX('🔖 배합비 참조'!$B$2:$CE$83,MATCH("콩기름(대두유)",'🔖 배합비 참조'!$A$2:$A$83,0),MATCH($C261,'🔖 배합비 참조'!$B$1:$CE$1,0))/100,0),""))),"")</f>
        <v>0</v>
      </c>
      <c r="BZ261" s="39" t="n">
        <f aca="false">IFERROR(IF($C261="","",IF($D261="","",IFERROR(ROUND($D261*INDEX('🔖 배합비 참조'!$B$2:$CE$83,MATCH("해바라기씨앗",'🔖 배합비 참조'!$A$2:$A$83,0),MATCH($C261,'🔖 배합비 참조'!$B$1:$CE$1,0))/100,0),""))),"")</f>
        <v>0</v>
      </c>
      <c r="CA261" s="39" t="n">
        <f aca="false">IFERROR(IF($C261="","",IF($D261="","",IFERROR(ROUND($D261*INDEX('🔖 배합비 참조'!$B$2:$CE$83,MATCH("현미(국내산)",'🔖 배합비 참조'!$A$2:$A$83,0),MATCH($C261,'🔖 배합비 참조'!$B$1:$CE$1,0))/100,0),""))),"")</f>
        <v>0</v>
      </c>
      <c r="CB261" s="39" t="n">
        <f aca="false">IFERROR(IF($C261="","",IF($D261="","",IFERROR(ROUND($D261*INDEX('🔖 배합비 참조'!$B$2:$CE$83,MATCH("현미멥쌀(국내산)",'🔖 배합비 참조'!$A$2:$A$83,0),MATCH($C261,'🔖 배합비 참조'!$B$1:$CE$1,0))/100,0),""))),"")</f>
        <v>0</v>
      </c>
      <c r="CC261" s="39" t="n">
        <f aca="false">IFERROR(IF($C261="","",IF($D261="","",IFERROR(ROUND($D261*INDEX('🔖 배합비 참조'!$B$2:$CE$83,MATCH("호두분태(미국산)",'🔖 배합비 참조'!$A$2:$A$83,0),MATCH($C261,'🔖 배합비 참조'!$B$1:$CE$1,0))/100,0),""))),"")</f>
        <v>0</v>
      </c>
      <c r="CD261" s="39" t="n">
        <f aca="false">IFERROR(IF($C261="","",IF($D261="","",IFERROR(ROUND($D261*INDEX('🔖 배합비 참조'!$B$2:$CE$83,MATCH("호박씨앗(외국산)",'🔖 배합비 참조'!$A$2:$A$83,0),MATCH($C261,'🔖 배합비 참조'!$B$1:$CE$1,0))/100,0),""))),"")</f>
        <v>0</v>
      </c>
      <c r="CE261" s="39" t="n">
        <f aca="false">IFERROR(IF($C261="","",IF($D261="","",IFERROR(ROUND($D261*INDEX('🔖 배합비 참조'!$B$2:$CE$83,MATCH("혼합제제(떡용에스텔)",'🔖 배합비 참조'!$A$2:$A$83,0),MATCH($C261,'🔖 배합비 참조'!$B$1:$CE$1,0))/100,0),""))),"")</f>
        <v>0</v>
      </c>
      <c r="CF261" s="39" t="n">
        <f aca="false">IFERROR(IF($C261="","",IF($D261="","",IFERROR(ROUND($D261*INDEX('🔖 배합비 참조'!$B$2:$CE$83,MATCH("혼합제제(스테비아)",'🔖 배합비 참조'!$A$2:$A$83,0),MATCH($C261,'🔖 배합비 참조'!$B$1:$CE$1,0))/100,0),""))),"")</f>
        <v>0</v>
      </c>
      <c r="CG261" s="39" t="n">
        <f aca="false">IFERROR(IF($C261="","",IF($D261="","",IFERROR(ROUND($D261*INDEX('🔖 배합비 참조'!$B$2:$CE$83,MATCH("화이트초콜릿",'🔖 배합비 참조'!$A$2:$A$83,0),MATCH($C261,'🔖 배합비 참조'!$B$1:$CE$1,0))/100,0),""))),"")</f>
        <v>0</v>
      </c>
      <c r="CH261" s="39" t="n">
        <f aca="false">IFERROR(IF($C261="","",IF($D261="","",IFERROR(ROUND($D261*INDEX('🔖 배합비 참조'!$B$2:$CE$83,MATCH("흑미찹쌀(국내산)",'🔖 배합비 참조'!$A$2:$A$83,0),MATCH($C261,'🔖 배합비 참조'!$B$1:$CE$1,0))/100,0),""))),"")</f>
        <v>0</v>
      </c>
      <c r="CI261" s="39" t="n">
        <f aca="false">IFERROR(IF($C261="","",IF($D261="","",IFERROR(ROUND($D261*INDEX('🔖 배합비 참조'!$B$2:$CE$83,MATCH("찰옥수수전분(미국산)",'🔖 배합비 참조'!$A$2:$A$83,0),MATCH($C261,'🔖 배합비 참조'!$B$1:$CE$1,0))/100,0),""))),"")</f>
        <v>0</v>
      </c>
      <c r="CJ261" s="40"/>
      <c r="CL261" s="1" t="s">
        <v>248</v>
      </c>
    </row>
    <row r="262" customFormat="false" ht="18" hidden="false" customHeight="true" outlineLevel="0" collapsed="false">
      <c r="A262" s="41" t="n">
        <v>258</v>
      </c>
      <c r="B262" s="36" t="n">
        <v>46087</v>
      </c>
      <c r="C262" s="37" t="s">
        <v>160</v>
      </c>
      <c r="D262" s="38" t="n">
        <v>12</v>
      </c>
      <c r="E262" s="17"/>
      <c r="F262" s="17"/>
      <c r="G262" s="42" t="n">
        <f aca="false">IFERROR(IF($C262="","",IF($D262="","",IFERROR(ROUND($D262*INDEX('🔖 배합비 참조'!$B$2:$CE$83,MATCH("간장",'🔖 배합비 참조'!$A$2:$A$83,0),MATCH($C262,'🔖 배합비 참조'!$B$1:$CE$1,0))/100,0),""))),"")</f>
        <v>0</v>
      </c>
      <c r="H262" s="42" t="n">
        <f aca="false">IFERROR(IF($C262="","",IF($D262="","",IFERROR(ROUND($D262*INDEX('🔖 배합비 참조'!$B$2:$CE$83,MATCH("강낭콩((울타리콩))",'🔖 배합비 참조'!$A$2:$A$83,0),MATCH($C262,'🔖 배합비 참조'!$B$1:$CE$1,0))/100,0),""))),"")</f>
        <v>1</v>
      </c>
      <c r="I262" s="42" t="n">
        <f aca="false">IFERROR(IF($C262="","",IF($D262="","",IFERROR(ROUND($D262*INDEX('🔖 배합비 참조'!$B$2:$CE$83,MATCH("건조딸기다이스(외국산)",'🔖 배합비 참조'!$A$2:$A$83,0),MATCH($C262,'🔖 배합비 참조'!$B$1:$CE$1,0))/100,0),""))),"")</f>
        <v>0</v>
      </c>
      <c r="J262" s="42" t="n">
        <f aca="false">IFERROR(IF($C262="","",IF($D262="","",IFERROR(ROUND($D262*INDEX('🔖 배합비 참조'!$B$2:$CE$83,MATCH("건포도",'🔖 배합비 참조'!$A$2:$A$83,0),MATCH($C262,'🔖 배합비 참조'!$B$1:$CE$1,0))/100,0),""))),"")</f>
        <v>0</v>
      </c>
      <c r="K262" s="42" t="n">
        <f aca="false">IFERROR(IF($C262="","",IF($D262="","",IFERROR(ROUND($D262*INDEX('🔖 배합비 참조'!$B$2:$CE$83,MATCH("건호박채(중국산)",'🔖 배합비 참조'!$A$2:$A$83,0),MATCH($C262,'🔖 배합비 참조'!$B$1:$CE$1,0))/100,0),""))),"")</f>
        <v>1</v>
      </c>
      <c r="L262" s="42" t="n">
        <f aca="false">IFERROR(IF($C262="","",IF($D262="","",IFERROR(ROUND($D262*INDEX('🔖 배합비 참조'!$B$2:$CE$83,MATCH("검정깨(흑임자)",'🔖 배합비 참조'!$A$2:$A$83,0),MATCH($C262,'🔖 배합비 참조'!$B$1:$CE$1,0))/100,0),""))),"")</f>
        <v>0</v>
      </c>
      <c r="M262" s="42" t="n">
        <f aca="false">IFERROR(IF($C262="","",IF($D262="","",IFERROR(ROUND($D262*INDEX('🔖 배합비 참조'!$B$2:$CE$83,MATCH("검정콩",'🔖 배합비 참조'!$A$2:$A$83,0),MATCH($C262,'🔖 배합비 참조'!$B$1:$CE$1,0))/100,0),""))),"")</f>
        <v>1</v>
      </c>
      <c r="N262" s="42" t="n">
        <f aca="false">IFERROR(IF($C262="","",IF($D262="","",IFERROR(ROUND($D262*INDEX('🔖 배합비 참조'!$B$2:$CE$83,MATCH("계피가루",'🔖 배합비 참조'!$A$2:$A$83,0),MATCH($C262,'🔖 배합비 참조'!$B$1:$CE$1,0))/100,0),""))),"")</f>
        <v>0</v>
      </c>
      <c r="O262" s="42" t="n">
        <f aca="false">IFERROR(IF($C262="","",IF($D262="","",IFERROR(ROUND($D262*INDEX('🔖 배합비 참조'!$B$2:$CE$83,MATCH("고구마가루",'🔖 배합비 참조'!$A$2:$A$83,0),MATCH($C262,'🔖 배합비 참조'!$B$1:$CE$1,0))/100,0),""))),"")</f>
        <v>0</v>
      </c>
      <c r="P262" s="42" t="n">
        <f aca="false">IFERROR(IF($C262="","",IF($D262="","",IFERROR(ROUND($D262*INDEX('🔖 배합비 참조'!$B$2:$CE$83,MATCH("고구마무스",'🔖 배합비 참조'!$A$2:$A$83,0),MATCH($C262,'🔖 배합비 참조'!$B$1:$CE$1,0))/100,0),""))),"")</f>
        <v>0</v>
      </c>
      <c r="Q262" s="42" t="n">
        <f aca="false">IFERROR(IF($C262="","",IF($D262="","",IFERROR(ROUND($D262*INDEX('🔖 배합비 참조'!$B$2:$CE$83,MATCH("고려엉겅퀴((곤드레)국내산)",'🔖 배합비 참조'!$A$2:$A$83,0),MATCH($C262,'🔖 배합비 참조'!$B$1:$CE$1,0))/100,0),""))),"")</f>
        <v>0</v>
      </c>
      <c r="R262" s="42" t="n">
        <f aca="false">IFERROR(IF($C262="","",IF($D262="","",IFERROR(ROUND($D262*INDEX('🔖 배합비 참조'!$B$2:$CE$83,MATCH("기타가공품(복분자가루)",'🔖 배합비 참조'!$A$2:$A$83,0),MATCH($C262,'🔖 배합비 참조'!$B$1:$CE$1,0))/100,0),""))),"")</f>
        <v>0</v>
      </c>
      <c r="S262" s="42" t="n">
        <f aca="false">IFERROR(IF($C262="","",IF($D262="","",IFERROR(ROUND($D262*INDEX('🔖 배합비 참조'!$B$2:$CE$83,MATCH("기타가공품(슈퍼소프트엠)",'🔖 배합비 참조'!$A$2:$A$83,0),MATCH($C262,'🔖 배합비 참조'!$B$1:$CE$1,0))/100,0),""))),"")</f>
        <v>0</v>
      </c>
      <c r="T262" s="42" t="n">
        <f aca="false">IFERROR(IF($C262="","",IF($D262="","",IFERROR(ROUND($D262*INDEX('🔖 배합비 참조'!$B$2:$CE$83,MATCH("기타가공품(파인소프트 E-티)",'🔖 배합비 참조'!$A$2:$A$83,0),MATCH($C262,'🔖 배합비 참조'!$B$1:$CE$1,0))/100,0),""))),"")</f>
        <v>0</v>
      </c>
      <c r="U262" s="42" t="n">
        <f aca="false">IFERROR(IF($C262="","",IF($D262="","",IFERROR(ROUND($D262*INDEX('🔖 배합비 참조'!$B$2:$CE$83,MATCH("기타가공품(프리미엄카스테라가루)",'🔖 배합비 참조'!$A$2:$A$83,0),MATCH($C262,'🔖 배합비 참조'!$B$1:$CE$1,0))/100,0),""))),"")</f>
        <v>0</v>
      </c>
      <c r="V262" s="42" t="n">
        <f aca="false">IFERROR(IF($C262="","",IF($D262="","",IFERROR(ROUND($D262*INDEX('🔖 배합비 참조'!$B$2:$CE$83,MATCH("기타가공품(흑임자가루)",'🔖 배합비 참조'!$A$2:$A$83,0),MATCH($C262,'🔖 배합비 참조'!$B$1:$CE$1,0))/100,0),""))),"")</f>
        <v>0</v>
      </c>
      <c r="W262" s="42" t="n">
        <f aca="false">IFERROR(IF($C262="","",IF($D262="","",IFERROR(ROUND($D262*INDEX('🔖 배합비 참조'!$B$2:$CE$83,MATCH("기타설탕(흑설탕)",'🔖 배합비 참조'!$A$2:$A$83,0),MATCH($C262,'🔖 배합비 참조'!$B$1:$CE$1,0))/100,0),""))),"")</f>
        <v>0</v>
      </c>
      <c r="X262" s="42" t="n">
        <f aca="false">IFERROR(IF($C262="","",IF($D262="","",IFERROR(ROUND($D262*INDEX('🔖 배합비 참조'!$B$2:$CE$83,MATCH("냉동쑥(국내산)",'🔖 배합비 참조'!$A$2:$A$83,0),MATCH($C262,'🔖 배합비 참조'!$B$1:$CE$1,0))/100,0),""))),"")</f>
        <v>0</v>
      </c>
      <c r="Y262" s="42" t="n">
        <f aca="false">IFERROR(IF($C262="","",IF($D262="","",IFERROR(ROUND($D262*INDEX('🔖 배합비 참조'!$B$2:$CE$83,MATCH("냉동증숙고구마(중국산)",'🔖 배합비 참조'!$A$2:$A$83,0),MATCH($C262,'🔖 배합비 참조'!$B$1:$CE$1,0))/100,0),""))),"")</f>
        <v>0</v>
      </c>
      <c r="Z262" s="42" t="n">
        <f aca="false">IFERROR(IF($C262="","",IF($D262="","",IFERROR(ROUND($D262*INDEX('🔖 배합비 참조'!$B$2:$CE$83,MATCH("녹차가루",'🔖 배합비 참조'!$A$2:$A$83,0),MATCH($C262,'🔖 배합비 참조'!$B$1:$CE$1,0))/100,0),""))),"")</f>
        <v>0</v>
      </c>
      <c r="AA262" s="42" t="n">
        <f aca="false">IFERROR(IF($C262="","",IF($D262="","",IFERROR(ROUND($D262*INDEX('🔖 배합비 참조'!$B$2:$CE$83,MATCH("다크초콜릿 컴파운드칩",'🔖 배합비 참조'!$A$2:$A$83,0),MATCH($C262,'🔖 배합비 참조'!$B$1:$CE$1,0))/100,0),""))),"")</f>
        <v>0</v>
      </c>
      <c r="AB262" s="42" t="n">
        <f aca="false">IFERROR(IF($C262="","",IF($D262="","",IFERROR(ROUND($D262*INDEX('🔖 배합비 참조'!$B$2:$CE$83,MATCH("단호박분말(중국산)",'🔖 배합비 참조'!$A$2:$A$83,0),MATCH($C262,'🔖 배합비 참조'!$B$1:$CE$1,0))/100,0),""))),"")</f>
        <v>0</v>
      </c>
      <c r="AC262" s="42" t="n">
        <f aca="false">IFERROR(IF($C262="","",IF($D262="","",IFERROR(ROUND($D262*INDEX('🔖 배합비 참조'!$B$2:$CE$83,MATCH("당류가공품(단호박농축액)",'🔖 배합비 참조'!$A$2:$A$83,0),MATCH($C262,'🔖 배합비 참조'!$B$1:$CE$1,0))/100,0),""))),"")</f>
        <v>0</v>
      </c>
      <c r="AD262" s="42" t="n">
        <f aca="false">IFERROR(IF($C262="","",IF($D262="","",IFERROR(ROUND($D262*INDEX('🔖 배합비 참조'!$B$2:$CE$83,MATCH("당류가공품(알룰로스,에리스리톨,스테비올배당체혼합)",'🔖 배합비 참조'!$A$2:$A$83,0),MATCH($C262,'🔖 배합비 참조'!$B$1:$CE$1,0))/100,0),""))),"")</f>
        <v>0</v>
      </c>
      <c r="AE262" s="42" t="n">
        <f aca="false">IFERROR(IF($C262="","",IF($D262="","",IFERROR(ROUND($D262*INDEX('🔖 배합비 참조'!$B$2:$CE$83,MATCH("당류가공품(알룰로스제로파우더)",'🔖 배합비 참조'!$A$2:$A$83,0),MATCH($C262,'🔖 배합비 참조'!$B$1:$CE$1,0))/100,0),""))),"")</f>
        <v>0</v>
      </c>
      <c r="AF262" s="42" t="n">
        <f aca="false">IFERROR(IF($C262="","",IF($D262="","",IFERROR(ROUND($D262*INDEX('🔖 배합비 참조'!$B$2:$CE$83,MATCH("당절임(완두배기)",'🔖 배합비 참조'!$A$2:$A$83,0),MATCH($C262,'🔖 배합비 참조'!$B$1:$CE$1,0))/100,0),""))),"")</f>
        <v>0</v>
      </c>
      <c r="AG262" s="42" t="n">
        <f aca="false">IFERROR(IF($C262="","",IF($D262="","",IFERROR(ROUND($D262*INDEX('🔖 배합비 참조'!$B$2:$CE$83,MATCH("대추농축액",'🔖 배합비 참조'!$A$2:$A$83,0),MATCH($C262,'🔖 배합비 참조'!$B$1:$CE$1,0))/100,0),""))),"")</f>
        <v>0</v>
      </c>
      <c r="AH262" s="42" t="n">
        <f aca="false">IFERROR(IF($C262="","",IF($D262="","",IFERROR(ROUND($D262*INDEX('🔖 배합비 참조'!$B$2:$CE$83,MATCH("대추채(국내산)",'🔖 배합비 참조'!$A$2:$A$83,0),MATCH($C262,'🔖 배합비 참조'!$B$1:$CE$1,0))/100,0),""))),"")</f>
        <v>0</v>
      </c>
      <c r="AI262" s="42" t="n">
        <f aca="false">IFERROR(IF($C262="","",IF($D262="","",IFERROR(ROUND($D262*INDEX('🔖 배합비 참조'!$B$2:$CE$83,MATCH("동부(미얀마산)",'🔖 배합비 참조'!$A$2:$A$83,0),MATCH($C262,'🔖 배합비 참조'!$B$1:$CE$1,0))/100,0),""))),"")</f>
        <v>0</v>
      </c>
      <c r="AJ262" s="42" t="n">
        <f aca="false">IFERROR(IF($C262="","",IF($D262="","",IFERROR(ROUND($D262*INDEX('🔖 배합비 참조'!$B$2:$CE$83,MATCH("두류가공품(백옥앙금)",'🔖 배합비 참조'!$A$2:$A$83,0),MATCH($C262,'🔖 배합비 참조'!$B$1:$CE$1,0))/100,0),""))),"")</f>
        <v>0</v>
      </c>
      <c r="AK262" s="42" t="n">
        <f aca="false">IFERROR(IF($C262="","",IF($D262="","",IFERROR(ROUND($D262*INDEX('🔖 배합비 참조'!$B$2:$CE$83,MATCH("두류가공품(콩고물)",'🔖 배합비 참조'!$A$2:$A$83,0),MATCH($C262,'🔖 배합비 참조'!$B$1:$CE$1,0))/100,0),""))),"")</f>
        <v>0</v>
      </c>
      <c r="AL262" s="42" t="n">
        <f aca="false">IFERROR(IF($C262="","",IF($D262="","",IFERROR(ROUND($D262*INDEX('🔖 배합비 참조'!$B$2:$CE$83,MATCH("두류가공품(통팥고물)",'🔖 배합비 참조'!$A$2:$A$83,0),MATCH($C262,'🔖 배합비 참조'!$B$1:$CE$1,0))/100,0),""))),"")</f>
        <v>0</v>
      </c>
      <c r="AM262" s="42" t="n">
        <f aca="false">IFERROR(IF($C262="","",IF($D262="","",IFERROR(ROUND($D262*INDEX('🔖 배합비 참조'!$B$2:$CE$83,MATCH("딸기레진",'🔖 배합비 참조'!$A$2:$A$83,0),MATCH($C262,'🔖 배합비 참조'!$B$1:$CE$1,0))/100,0),""))),"")</f>
        <v>0</v>
      </c>
      <c r="AN262" s="42" t="n">
        <f aca="false">IFERROR(IF($C262="","",IF($D262="","",IFERROR(ROUND($D262*INDEX('🔖 배합비 참조'!$B$2:$CE$83,MATCH("딸기분말(스트로우베리에이드(분말))",'🔖 배합비 참조'!$A$2:$A$83,0),MATCH($C262,'🔖 배합비 참조'!$B$1:$CE$1,0))/100,0),""))),"")</f>
        <v>0</v>
      </c>
      <c r="AO262" s="42" t="n">
        <f aca="false">IFERROR(IF($C262="","",IF($D262="","",IFERROR(ROUND($D262*INDEX('🔖 배합비 참조'!$B$2:$CE$83,MATCH("마스카포네치즈",'🔖 배합비 참조'!$A$2:$A$83,0),MATCH($C262,'🔖 배합비 참조'!$B$1:$CE$1,0))/100,0),""))),"")</f>
        <v>0</v>
      </c>
      <c r="AP262" s="42" t="n">
        <f aca="false">IFERROR(IF($C262="","",IF($D262="","",IFERROR(ROUND($D262*INDEX('🔖 배합비 참조'!$B$2:$CE$83,MATCH("마카다미아분태(호주산)",'🔖 배합비 참조'!$A$2:$A$83,0),MATCH($C262,'🔖 배합비 참조'!$B$1:$CE$1,0))/100,0),""))),"")</f>
        <v>0</v>
      </c>
      <c r="AQ262" s="42" t="n">
        <f aca="false">IFERROR(IF($C262="","",IF($D262="","",IFERROR(ROUND($D262*INDEX('🔖 배합비 참조'!$B$2:$CE$83,MATCH("멥쌀(국내산)",'🔖 배합비 참조'!$A$2:$A$83,0),MATCH($C262,'🔖 배합비 참조'!$B$1:$CE$1,0))/100,0),""))),"")</f>
        <v>0</v>
      </c>
      <c r="AR262" s="42" t="n">
        <f aca="false">IFERROR(IF($C262="","",IF($D262="","",IFERROR(ROUND($D262*INDEX('🔖 배합비 참조'!$B$2:$CE$83,MATCH("모시잎(국내산)",'🔖 배합비 참조'!$A$2:$A$83,0),MATCH($C262,'🔖 배합비 참조'!$B$1:$CE$1,0))/100,0),""))),"")</f>
        <v>0</v>
      </c>
      <c r="AS262" s="42" t="n">
        <f aca="false">IFERROR(IF($C262="","",IF($D262="","",IFERROR(ROUND($D262*INDEX('🔖 배합비 참조'!$B$2:$CE$83,MATCH("물엿(저당물엿)",'🔖 배합비 참조'!$A$2:$A$83,0),MATCH($C262,'🔖 배합비 참조'!$B$1:$CE$1,0))/100,0),""))),"")</f>
        <v>0</v>
      </c>
      <c r="AT262" s="42" t="n">
        <f aca="false">IFERROR(IF($C262="","",IF($D262="","",IFERROR(ROUND($D262*INDEX('🔖 배합비 참조'!$B$2:$CE$83,MATCH("밤다이스",'🔖 배합비 참조'!$A$2:$A$83,0),MATCH($C262,'🔖 배합비 참조'!$B$1:$CE$1,0))/100,0),""))),"")</f>
        <v>0</v>
      </c>
      <c r="AU262" s="42" t="n">
        <f aca="false">IFERROR(IF($C262="","",IF($D262="","",IFERROR(ROUND($D262*INDEX('🔖 배합비 참조'!$B$2:$CE$83,MATCH("변성전분(타피오카전분)",'🔖 배합비 참조'!$A$2:$A$83,0),MATCH($C262,'🔖 배합비 참조'!$B$1:$CE$1,0))/100,0),""))),"")</f>
        <v>0</v>
      </c>
      <c r="AV262" s="42" t="n">
        <f aca="false">IFERROR(IF($C262="","",IF($D262="","",IFERROR(ROUND($D262*INDEX('🔖 배합비 참조'!$B$2:$CE$83,MATCH("복음땅콩분태",'🔖 배합비 참조'!$A$2:$A$83,0),MATCH($C262,'🔖 배합비 참조'!$B$1:$CE$1,0))/100,0),""))),"")</f>
        <v>0</v>
      </c>
      <c r="AW262" s="42" t="n">
        <f aca="false">IFERROR(IF($C262="","",IF($D262="","",IFERROR(ROUND($D262*INDEX('🔖 배합비 참조'!$B$2:$CE$83,MATCH("사양벌꿀(국내산)",'🔖 배합비 참조'!$A$2:$A$83,0),MATCH($C262,'🔖 배합비 참조'!$B$1:$CE$1,0))/100,0),""))),"")</f>
        <v>0</v>
      </c>
      <c r="AX262" s="42" t="n">
        <f aca="false">IFERROR(IF($C262="","",IF($D262="","",IFERROR(ROUND($D262*INDEX('🔖 배합비 참조'!$B$2:$CE$83,MATCH("생크림",'🔖 배합비 참조'!$A$2:$A$83,0),MATCH($C262,'🔖 배합비 참조'!$B$1:$CE$1,0))/100,0),""))),"")</f>
        <v>0</v>
      </c>
      <c r="AY262" s="42" t="n">
        <f aca="false">IFERROR(IF($C262="","",IF($D262="","",IFERROR(ROUND($D262*INDEX('🔖 배합비 참조'!$B$2:$CE$83,MATCH("서양호박(국내산,뉴질랜드산)",'🔖 배합비 참조'!$A$2:$A$83,0),MATCH($C262,'🔖 배합비 참조'!$B$1:$CE$1,0))/100,0),""))),"")</f>
        <v>0</v>
      </c>
      <c r="AZ262" s="42" t="n">
        <f aca="false">IFERROR(IF($C262="","",IF($D262="","",IFERROR(ROUND($D262*INDEX('🔖 배합비 참조'!$B$2:$CE$83,MATCH("설탕",'🔖 배합비 참조'!$A$2:$A$83,0),MATCH($C262,'🔖 배합비 참조'!$B$1:$CE$1,0))/100,0),""))),"")</f>
        <v>1</v>
      </c>
      <c r="BA262" s="42" t="n">
        <f aca="false">IFERROR(IF($C262="","",IF($D262="","",IFERROR(ROUND($D262*INDEX('🔖 배합비 참조'!$B$2:$CE$83,MATCH("스트로우베리 에이드 후레쉬",'🔖 배합비 참조'!$A$2:$A$83,0),MATCH($C262,'🔖 배합비 참조'!$B$1:$CE$1,0))/100,0),""))),"")</f>
        <v>0</v>
      </c>
      <c r="BB262" s="42" t="n">
        <f aca="false">IFERROR(IF($C262="","",IF($D262="","",IFERROR(ROUND($D262*INDEX('🔖 배합비 참조'!$B$2:$CE$83,MATCH("식물성기름혼합제제(분홍)",'🔖 배합비 참조'!$A$2:$A$83,0),MATCH($C262,'🔖 배합비 참조'!$B$1:$CE$1,0))/100,0),""))),"")</f>
        <v>0</v>
      </c>
      <c r="BC262" s="42" t="n">
        <f aca="false">IFERROR(IF($C262="","",IF($D262="","",IFERROR(ROUND($D262*INDEX('🔖 배합비 참조'!$B$2:$CE$83,MATCH("식물성기름혼합제제(초록)",'🔖 배합비 참조'!$A$2:$A$83,0),MATCH($C262,'🔖 배합비 참조'!$B$1:$CE$1,0))/100,0),""))),"")</f>
        <v>0</v>
      </c>
      <c r="BD262" s="42" t="n">
        <f aca="false">IFERROR(IF($C262="","",IF($D262="","",IFERROR(ROUND($D262*INDEX('🔖 배합비 참조'!$B$2:$CE$83,MATCH("식물성기름혼합제제(황색)",'🔖 배합비 참조'!$A$2:$A$83,0),MATCH($C262,'🔖 배합비 참조'!$B$1:$CE$1,0))/100,0),""))),"")</f>
        <v>0</v>
      </c>
      <c r="BE262" s="42" t="n">
        <f aca="false">IFERROR(IF($C262="","",IF($D262="","",IFERROR(ROUND($D262*INDEX('🔖 배합비 참조'!$B$2:$CE$83,MATCH("쑥가루(국내산)",'🔖 배합비 참조'!$A$2:$A$83,0),MATCH($C262,'🔖 배합비 참조'!$B$1:$CE$1,0))/100,0),""))),"")</f>
        <v>0</v>
      </c>
      <c r="BF262" s="42" t="n">
        <f aca="false">IFERROR(IF($C262="","",IF($D262="","",IFERROR(ROUND($D262*INDEX('🔖 배합비 참조'!$B$2:$CE$83,MATCH("아몬드슬라이스",'🔖 배합비 참조'!$A$2:$A$83,0),MATCH($C262,'🔖 배합비 참조'!$B$1:$CE$1,0))/100,0),""))),"")</f>
        <v>0</v>
      </c>
      <c r="BG262" s="42" t="n">
        <f aca="false">IFERROR(IF($C262="","",IF($D262="","",IFERROR(ROUND($D262*INDEX('🔖 배합비 참조'!$B$2:$CE$83,MATCH("알룰로오스(국내산)",'🔖 배합비 참조'!$A$2:$A$83,0),MATCH($C262,'🔖 배합비 참조'!$B$1:$CE$1,0))/100,0),""))),"")</f>
        <v>0</v>
      </c>
      <c r="BH262" s="42" t="n">
        <f aca="false">IFERROR(IF($C262="","",IF($D262="","",IFERROR(ROUND($D262*INDEX('🔖 배합비 참조'!$B$2:$CE$83,MATCH("연유",'🔖 배합비 참조'!$A$2:$A$83,0),MATCH($C262,'🔖 배합비 참조'!$B$1:$CE$1,0))/100,0),""))),"")</f>
        <v>0</v>
      </c>
      <c r="BI262" s="42" t="n">
        <f aca="false">IFERROR(IF($C262="","",IF($D262="","",IFERROR(ROUND($D262*INDEX('🔖 배합비 참조'!$B$2:$CE$83,MATCH("옥수수전분",'🔖 배합비 참조'!$A$2:$A$83,0),MATCH($C262,'🔖 배합비 참조'!$B$1:$CE$1,0))/100,0),""))),"")</f>
        <v>0</v>
      </c>
      <c r="BJ262" s="42" t="n">
        <f aca="false">IFERROR(IF($C262="","",IF($D262="","",IFERROR(ROUND($D262*INDEX('🔖 배합비 참조'!$B$2:$CE$83,MATCH("완두배기",'🔖 배합비 참조'!$A$2:$A$83,0),MATCH($C262,'🔖 배합비 참조'!$B$1:$CE$1,0))/100,0),""))),"")</f>
        <v>0</v>
      </c>
      <c r="BK262" s="42" t="n">
        <f aca="false">IFERROR(IF($C262="","",IF($D262="","",IFERROR(ROUND($D262*INDEX('🔖 배합비 참조'!$B$2:$CE$83,MATCH("우유(국내산)",'🔖 배합비 참조'!$A$2:$A$83,0),MATCH($C262,'🔖 배합비 참조'!$B$1:$CE$1,0))/100,0),""))),"")</f>
        <v>0</v>
      </c>
      <c r="BL262" s="42" t="n">
        <f aca="false">IFERROR(IF($C262="","",IF($D262="","",IFERROR(ROUND($D262*INDEX('🔖 배합비 참조'!$B$2:$CE$83,MATCH("자색고구마가루(중국산)",'🔖 배합비 참조'!$A$2:$A$83,0),MATCH($C262,'🔖 배합비 참조'!$B$1:$CE$1,0))/100,0),""))),"")</f>
        <v>0</v>
      </c>
      <c r="BM262" s="42" t="n">
        <f aca="false">IFERROR(IF($C262="","",IF($D262="","",IFERROR(ROUND($D262*INDEX('🔖 배합비 참조'!$B$2:$CE$83,MATCH("자연치즈(체다치즈)",'🔖 배합비 참조'!$A$2:$A$83,0),MATCH($C262,'🔖 배합비 참조'!$B$1:$CE$1,0))/100,0),""))),"")</f>
        <v>0</v>
      </c>
      <c r="BN262" s="42" t="n">
        <f aca="false">IFERROR(IF($C262="","",IF($D262="","",IFERROR(ROUND($D262*INDEX('🔖 배합비 참조'!$B$2:$CE$83,MATCH("정제수",'🔖 배합비 참조'!$A$2:$A$83,0),MATCH($C262,'🔖 배합비 참조'!$B$1:$CE$1,0))/100,0),""))),"")</f>
        <v>2</v>
      </c>
      <c r="BO262" s="42" t="n">
        <f aca="false">IFERROR(IF($C262="","",IF($D262="","",IFERROR(ROUND($D262*INDEX('🔖 배합비 참조'!$B$2:$CE$83,MATCH("젤라틴",'🔖 배합비 참조'!$A$2:$A$83,0),MATCH($C262,'🔖 배합비 참조'!$B$1:$CE$1,0))/100,0),""))),"")</f>
        <v>0</v>
      </c>
      <c r="BP262" s="42" t="n">
        <f aca="false">IFERROR(IF($C262="","",IF($D262="","",IFERROR(ROUND($D262*INDEX('🔖 배합비 참조'!$B$2:$CE$83,MATCH("조림류(백옥앙금)",'🔖 배합비 참조'!$A$2:$A$83,0),MATCH($C262,'🔖 배합비 참조'!$B$1:$CE$1,0))/100,0),""))),"")</f>
        <v>0</v>
      </c>
      <c r="BQ262" s="42" t="n">
        <f aca="false">IFERROR(IF($C262="","",IF($D262="","",IFERROR(ROUND($D262*INDEX('🔖 배합비 참조'!$B$2:$CE$83,MATCH("조림류(통팥앙금)",'🔖 배합비 참조'!$A$2:$A$83,0),MATCH($C262,'🔖 배합비 참조'!$B$1:$CE$1,0))/100,0),""))),"")</f>
        <v>0</v>
      </c>
      <c r="BR262" s="42" t="n">
        <f aca="false">IFERROR(IF($C262="","",IF($D262="","",IFERROR(ROUND($D262*INDEX('🔖 배합비 참조'!$B$2:$CE$83,MATCH("준초콜릿(외국산)",'🔖 배합비 참조'!$A$2:$A$83,0),MATCH($C262,'🔖 배합비 참조'!$B$1:$CE$1,0))/100,0),""))),"")</f>
        <v>0</v>
      </c>
      <c r="BS262" s="42" t="n">
        <f aca="false">IFERROR(IF($C262="","",IF($D262="","",IFERROR(ROUND($D262*INDEX('🔖 배합비 참조'!$B$2:$CE$83,MATCH("중력분",'🔖 배합비 참조'!$A$2:$A$83,0),MATCH($C262,'🔖 배합비 참조'!$B$1:$CE$1,0))/100,0),""))),"")</f>
        <v>0</v>
      </c>
      <c r="BT262" s="42" t="n">
        <f aca="false">IFERROR(IF($C262="","",IF($D262="","",IFERROR(ROUND($D262*INDEX('🔖 배합비 참조'!$B$2:$CE$83,MATCH("참깨(인도산,나이지리아산,탄자니아산,미얀마산)",'🔖 배합비 참조'!$A$2:$A$83,0),MATCH($C262,'🔖 배합비 참조'!$B$1:$CE$1,0))/100,0),""))),"")</f>
        <v>0</v>
      </c>
      <c r="BU262" s="42" t="n">
        <f aca="false">IFERROR(IF($C262="","",IF($D262="","",IFERROR(ROUND($D262*INDEX('🔖 배합비 참조'!$B$2:$CE$83,MATCH("찹쌀(국내산)",'🔖 배합비 참조'!$A$2:$A$83,0),MATCH($C262,'🔖 배합비 참조'!$B$1:$CE$1,0))/100,0),""))),"")</f>
        <v>6</v>
      </c>
      <c r="BV262" s="42" t="n">
        <f aca="false">IFERROR(IF($C262="","",IF($D262="","",IFERROR(ROUND($D262*INDEX('🔖 배합비 참조'!$B$2:$CE$83,MATCH("천일염",'🔖 배합비 참조'!$A$2:$A$83,0),MATCH($C262,'🔖 배합비 참조'!$B$1:$CE$1,0))/100,0),""))),"")</f>
        <v>0</v>
      </c>
      <c r="BW262" s="42" t="n">
        <f aca="false">IFERROR(IF($C262="","",IF($D262="","",IFERROR(ROUND($D262*INDEX('🔖 배합비 참조'!$B$2:$CE$83,MATCH("치즈 [크림치즈]",'🔖 배합비 참조'!$A$2:$A$83,0),MATCH($C262,'🔖 배합비 참조'!$B$1:$CE$1,0))/100,0),""))),"")</f>
        <v>0</v>
      </c>
      <c r="BX262" s="42" t="n">
        <f aca="false">IFERROR(IF($C262="","",IF($D262="","",IFERROR(ROUND($D262*INDEX('🔖 배합비 참조'!$B$2:$CE$83,MATCH("코코아가공품류(코코아분말)",'🔖 배합비 참조'!$A$2:$A$83,0),MATCH($C262,'🔖 배합비 참조'!$B$1:$CE$1,0))/100,0),""))),"")</f>
        <v>0</v>
      </c>
      <c r="BY262" s="42" t="n">
        <f aca="false">IFERROR(IF($C262="","",IF($D262="","",IFERROR(ROUND($D262*INDEX('🔖 배합비 참조'!$B$2:$CE$83,MATCH("콩기름(대두유)",'🔖 배합비 참조'!$A$2:$A$83,0),MATCH($C262,'🔖 배합비 참조'!$B$1:$CE$1,0))/100,0),""))),"")</f>
        <v>0</v>
      </c>
      <c r="BZ262" s="42" t="n">
        <f aca="false">IFERROR(IF($C262="","",IF($D262="","",IFERROR(ROUND($D262*INDEX('🔖 배합비 참조'!$B$2:$CE$83,MATCH("해바라기씨앗",'🔖 배합비 참조'!$A$2:$A$83,0),MATCH($C262,'🔖 배합비 참조'!$B$1:$CE$1,0))/100,0),""))),"")</f>
        <v>0</v>
      </c>
      <c r="CA262" s="42" t="n">
        <f aca="false">IFERROR(IF($C262="","",IF($D262="","",IFERROR(ROUND($D262*INDEX('🔖 배합비 참조'!$B$2:$CE$83,MATCH("현미(국내산)",'🔖 배합비 참조'!$A$2:$A$83,0),MATCH($C262,'🔖 배합비 참조'!$B$1:$CE$1,0))/100,0),""))),"")</f>
        <v>0</v>
      </c>
      <c r="CB262" s="42" t="n">
        <f aca="false">IFERROR(IF($C262="","",IF($D262="","",IFERROR(ROUND($D262*INDEX('🔖 배합비 참조'!$B$2:$CE$83,MATCH("현미멥쌀(국내산)",'🔖 배합비 참조'!$A$2:$A$83,0),MATCH($C262,'🔖 배합비 참조'!$B$1:$CE$1,0))/100,0),""))),"")</f>
        <v>0</v>
      </c>
      <c r="CC262" s="42" t="n">
        <f aca="false">IFERROR(IF($C262="","",IF($D262="","",IFERROR(ROUND($D262*INDEX('🔖 배합비 참조'!$B$2:$CE$83,MATCH("호두분태(미국산)",'🔖 배합비 참조'!$A$2:$A$83,0),MATCH($C262,'🔖 배합비 참조'!$B$1:$CE$1,0))/100,0),""))),"")</f>
        <v>0</v>
      </c>
      <c r="CD262" s="42" t="n">
        <f aca="false">IFERROR(IF($C262="","",IF($D262="","",IFERROR(ROUND($D262*INDEX('🔖 배합비 참조'!$B$2:$CE$83,MATCH("호박씨앗(외국산)",'🔖 배합비 참조'!$A$2:$A$83,0),MATCH($C262,'🔖 배합비 참조'!$B$1:$CE$1,0))/100,0),""))),"")</f>
        <v>0</v>
      </c>
      <c r="CE262" s="42" t="n">
        <f aca="false">IFERROR(IF($C262="","",IF($D262="","",IFERROR(ROUND($D262*INDEX('🔖 배합비 참조'!$B$2:$CE$83,MATCH("혼합제제(떡용에스텔)",'🔖 배합비 참조'!$A$2:$A$83,0),MATCH($C262,'🔖 배합비 참조'!$B$1:$CE$1,0))/100,0),""))),"")</f>
        <v>0</v>
      </c>
      <c r="CF262" s="42" t="n">
        <f aca="false">IFERROR(IF($C262="","",IF($D262="","",IFERROR(ROUND($D262*INDEX('🔖 배합비 참조'!$B$2:$CE$83,MATCH("혼합제제(스테비아)",'🔖 배합비 참조'!$A$2:$A$83,0),MATCH($C262,'🔖 배합비 참조'!$B$1:$CE$1,0))/100,0),""))),"")</f>
        <v>0</v>
      </c>
      <c r="CG262" s="42" t="n">
        <f aca="false">IFERROR(IF($C262="","",IF($D262="","",IFERROR(ROUND($D262*INDEX('🔖 배합비 참조'!$B$2:$CE$83,MATCH("화이트초콜릿",'🔖 배합비 참조'!$A$2:$A$83,0),MATCH($C262,'🔖 배합비 참조'!$B$1:$CE$1,0))/100,0),""))),"")</f>
        <v>0</v>
      </c>
      <c r="CH262" s="42" t="n">
        <f aca="false">IFERROR(IF($C262="","",IF($D262="","",IFERROR(ROUND($D262*INDEX('🔖 배합비 참조'!$B$2:$CE$83,MATCH("흑미찹쌀(국내산)",'🔖 배합비 참조'!$A$2:$A$83,0),MATCH($C262,'🔖 배합비 참조'!$B$1:$CE$1,0))/100,0),""))),"")</f>
        <v>0</v>
      </c>
      <c r="CI262" s="42" t="n">
        <f aca="false">IFERROR(IF($C262="","",IF($D262="","",IFERROR(ROUND($D262*INDEX('🔖 배합비 참조'!$B$2:$CE$83,MATCH("찰옥수수전분(미국산)",'🔖 배합비 참조'!$A$2:$A$83,0),MATCH($C262,'🔖 배합비 참조'!$B$1:$CE$1,0))/100,0),""))),"")</f>
        <v>0</v>
      </c>
      <c r="CJ262" s="40"/>
      <c r="CL262" s="1" t="s">
        <v>248</v>
      </c>
    </row>
    <row r="263" customFormat="false" ht="18" hidden="false" customHeight="true" outlineLevel="0" collapsed="false">
      <c r="A263" s="35" t="n">
        <v>259</v>
      </c>
      <c r="B263" s="36" t="n">
        <v>46087</v>
      </c>
      <c r="C263" s="37" t="s">
        <v>191</v>
      </c>
      <c r="D263" s="38" t="n">
        <v>330</v>
      </c>
      <c r="E263" s="13"/>
      <c r="F263" s="13"/>
      <c r="G263" s="39" t="n">
        <f aca="false">IFERROR(IF($C263="","",IF($D263="","",IFERROR(ROUND($D263*INDEX('🔖 배합비 참조'!$B$2:$CE$83,MATCH("간장",'🔖 배합비 참조'!$A$2:$A$83,0),MATCH($C263,'🔖 배합비 참조'!$B$1:$CE$1,0))/100,0),""))),"")</f>
        <v>0</v>
      </c>
      <c r="H263" s="39" t="n">
        <f aca="false">IFERROR(IF($C263="","",IF($D263="","",IFERROR(ROUND($D263*INDEX('🔖 배합비 참조'!$B$2:$CE$83,MATCH("강낭콩((울타리콩))",'🔖 배합비 참조'!$A$2:$A$83,0),MATCH($C263,'🔖 배합비 참조'!$B$1:$CE$1,0))/100,0),""))),"")</f>
        <v>0</v>
      </c>
      <c r="I263" s="39" t="n">
        <f aca="false">IFERROR(IF($C263="","",IF($D263="","",IFERROR(ROUND($D263*INDEX('🔖 배합비 참조'!$B$2:$CE$83,MATCH("건조딸기다이스(외국산)",'🔖 배합비 참조'!$A$2:$A$83,0),MATCH($C263,'🔖 배합비 참조'!$B$1:$CE$1,0))/100,0),""))),"")</f>
        <v>0</v>
      </c>
      <c r="J263" s="39" t="n">
        <f aca="false">IFERROR(IF($C263="","",IF($D263="","",IFERROR(ROUND($D263*INDEX('🔖 배합비 참조'!$B$2:$CE$83,MATCH("건포도",'🔖 배합비 참조'!$A$2:$A$83,0),MATCH($C263,'🔖 배합비 참조'!$B$1:$CE$1,0))/100,0),""))),"")</f>
        <v>0</v>
      </c>
      <c r="K263" s="39" t="n">
        <f aca="false">IFERROR(IF($C263="","",IF($D263="","",IFERROR(ROUND($D263*INDEX('🔖 배합비 참조'!$B$2:$CE$83,MATCH("건호박채(중국산)",'🔖 배합비 참조'!$A$2:$A$83,0),MATCH($C263,'🔖 배합비 참조'!$B$1:$CE$1,0))/100,0),""))),"")</f>
        <v>0</v>
      </c>
      <c r="L263" s="39" t="n">
        <f aca="false">IFERROR(IF($C263="","",IF($D263="","",IFERROR(ROUND($D263*INDEX('🔖 배합비 참조'!$B$2:$CE$83,MATCH("검정깨(흑임자)",'🔖 배합비 참조'!$A$2:$A$83,0),MATCH($C263,'🔖 배합비 참조'!$B$1:$CE$1,0))/100,0),""))),"")</f>
        <v>0</v>
      </c>
      <c r="M263" s="39" t="n">
        <f aca="false">IFERROR(IF($C263="","",IF($D263="","",IFERROR(ROUND($D263*INDEX('🔖 배합비 참조'!$B$2:$CE$83,MATCH("검정콩",'🔖 배합비 참조'!$A$2:$A$83,0),MATCH($C263,'🔖 배합비 참조'!$B$1:$CE$1,0))/100,0),""))),"")</f>
        <v>0</v>
      </c>
      <c r="N263" s="39" t="n">
        <f aca="false">IFERROR(IF($C263="","",IF($D263="","",IFERROR(ROUND($D263*INDEX('🔖 배합비 참조'!$B$2:$CE$83,MATCH("계피가루",'🔖 배합비 참조'!$A$2:$A$83,0),MATCH($C263,'🔖 배합비 참조'!$B$1:$CE$1,0))/100,0),""))),"")</f>
        <v>0</v>
      </c>
      <c r="O263" s="39" t="n">
        <f aca="false">IFERROR(IF($C263="","",IF($D263="","",IFERROR(ROUND($D263*INDEX('🔖 배합비 참조'!$B$2:$CE$83,MATCH("고구마가루",'🔖 배합비 참조'!$A$2:$A$83,0),MATCH($C263,'🔖 배합비 참조'!$B$1:$CE$1,0))/100,0),""))),"")</f>
        <v>0</v>
      </c>
      <c r="P263" s="39" t="n">
        <f aca="false">IFERROR(IF($C263="","",IF($D263="","",IFERROR(ROUND($D263*INDEX('🔖 배합비 참조'!$B$2:$CE$83,MATCH("고구마무스",'🔖 배합비 참조'!$A$2:$A$83,0),MATCH($C263,'🔖 배합비 참조'!$B$1:$CE$1,0))/100,0),""))),"")</f>
        <v>0</v>
      </c>
      <c r="Q263" s="39" t="n">
        <f aca="false">IFERROR(IF($C263="","",IF($D263="","",IFERROR(ROUND($D263*INDEX('🔖 배합비 참조'!$B$2:$CE$83,MATCH("고려엉겅퀴((곤드레)국내산)",'🔖 배합비 참조'!$A$2:$A$83,0),MATCH($C263,'🔖 배합비 참조'!$B$1:$CE$1,0))/100,0),""))),"")</f>
        <v>0</v>
      </c>
      <c r="R263" s="39" t="n">
        <f aca="false">IFERROR(IF($C263="","",IF($D263="","",IFERROR(ROUND($D263*INDEX('🔖 배합비 참조'!$B$2:$CE$83,MATCH("기타가공품(복분자가루)",'🔖 배합비 참조'!$A$2:$A$83,0),MATCH($C263,'🔖 배합비 참조'!$B$1:$CE$1,0))/100,0),""))),"")</f>
        <v>0</v>
      </c>
      <c r="S263" s="39" t="n">
        <f aca="false">IFERROR(IF($C263="","",IF($D263="","",IFERROR(ROUND($D263*INDEX('🔖 배합비 참조'!$B$2:$CE$83,MATCH("기타가공품(슈퍼소프트엠)",'🔖 배합비 참조'!$A$2:$A$83,0),MATCH($C263,'🔖 배합비 참조'!$B$1:$CE$1,0))/100,0),""))),"")</f>
        <v>0</v>
      </c>
      <c r="T263" s="39" t="n">
        <f aca="false">IFERROR(IF($C263="","",IF($D263="","",IFERROR(ROUND($D263*INDEX('🔖 배합비 참조'!$B$2:$CE$83,MATCH("기타가공품(파인소프트 E-티)",'🔖 배합비 참조'!$A$2:$A$83,0),MATCH($C263,'🔖 배합비 참조'!$B$1:$CE$1,0))/100,0),""))),"")</f>
        <v>0</v>
      </c>
      <c r="U263" s="39" t="n">
        <f aca="false">IFERROR(IF($C263="","",IF($D263="","",IFERROR(ROUND($D263*INDEX('🔖 배합비 참조'!$B$2:$CE$83,MATCH("기타가공품(프리미엄카스테라가루)",'🔖 배합비 참조'!$A$2:$A$83,0),MATCH($C263,'🔖 배합비 참조'!$B$1:$CE$1,0))/100,0),""))),"")</f>
        <v>0</v>
      </c>
      <c r="V263" s="39" t="n">
        <f aca="false">IFERROR(IF($C263="","",IF($D263="","",IFERROR(ROUND($D263*INDEX('🔖 배합비 참조'!$B$2:$CE$83,MATCH("기타가공품(흑임자가루)",'🔖 배합비 참조'!$A$2:$A$83,0),MATCH($C263,'🔖 배합비 참조'!$B$1:$CE$1,0))/100,0),""))),"")</f>
        <v>0</v>
      </c>
      <c r="W263" s="39" t="n">
        <f aca="false">IFERROR(IF($C263="","",IF($D263="","",IFERROR(ROUND($D263*INDEX('🔖 배합비 참조'!$B$2:$CE$83,MATCH("기타설탕(흑설탕)",'🔖 배합비 참조'!$A$2:$A$83,0),MATCH($C263,'🔖 배합비 참조'!$B$1:$CE$1,0))/100,0),""))),"")</f>
        <v>0</v>
      </c>
      <c r="X263" s="39" t="n">
        <f aca="false">IFERROR(IF($C263="","",IF($D263="","",IFERROR(ROUND($D263*INDEX('🔖 배합비 참조'!$B$2:$CE$83,MATCH("냉동쑥(국내산)",'🔖 배합비 참조'!$A$2:$A$83,0),MATCH($C263,'🔖 배합비 참조'!$B$1:$CE$1,0))/100,0),""))),"")</f>
        <v>0</v>
      </c>
      <c r="Y263" s="39" t="n">
        <f aca="false">IFERROR(IF($C263="","",IF($D263="","",IFERROR(ROUND($D263*INDEX('🔖 배합비 참조'!$B$2:$CE$83,MATCH("냉동증숙고구마(중국산)",'🔖 배합비 참조'!$A$2:$A$83,0),MATCH($C263,'🔖 배합비 참조'!$B$1:$CE$1,0))/100,0),""))),"")</f>
        <v>0</v>
      </c>
      <c r="Z263" s="39" t="n">
        <f aca="false">IFERROR(IF($C263="","",IF($D263="","",IFERROR(ROUND($D263*INDEX('🔖 배합비 참조'!$B$2:$CE$83,MATCH("녹차가루",'🔖 배합비 참조'!$A$2:$A$83,0),MATCH($C263,'🔖 배합비 참조'!$B$1:$CE$1,0))/100,0),""))),"")</f>
        <v>0</v>
      </c>
      <c r="AA263" s="39" t="n">
        <f aca="false">IFERROR(IF($C263="","",IF($D263="","",IFERROR(ROUND($D263*INDEX('🔖 배합비 참조'!$B$2:$CE$83,MATCH("다크초콜릿 컴파운드칩",'🔖 배합비 참조'!$A$2:$A$83,0),MATCH($C263,'🔖 배합비 참조'!$B$1:$CE$1,0))/100,0),""))),"")</f>
        <v>0</v>
      </c>
      <c r="AB263" s="39" t="n">
        <f aca="false">IFERROR(IF($C263="","",IF($D263="","",IFERROR(ROUND($D263*INDEX('🔖 배합비 참조'!$B$2:$CE$83,MATCH("단호박분말(중국산)",'🔖 배합비 참조'!$A$2:$A$83,0),MATCH($C263,'🔖 배합비 참조'!$B$1:$CE$1,0))/100,0),""))),"")</f>
        <v>0</v>
      </c>
      <c r="AC263" s="39" t="n">
        <f aca="false">IFERROR(IF($C263="","",IF($D263="","",IFERROR(ROUND($D263*INDEX('🔖 배합비 참조'!$B$2:$CE$83,MATCH("당류가공품(단호박농축액)",'🔖 배합비 참조'!$A$2:$A$83,0),MATCH($C263,'🔖 배합비 참조'!$B$1:$CE$1,0))/100,0),""))),"")</f>
        <v>0</v>
      </c>
      <c r="AD263" s="39" t="n">
        <f aca="false">IFERROR(IF($C263="","",IF($D263="","",IFERROR(ROUND($D263*INDEX('🔖 배합비 참조'!$B$2:$CE$83,MATCH("당류가공품(알룰로스,에리스리톨,스테비올배당체혼합)",'🔖 배합비 참조'!$A$2:$A$83,0),MATCH($C263,'🔖 배합비 참조'!$B$1:$CE$1,0))/100,0),""))),"")</f>
        <v>0</v>
      </c>
      <c r="AE263" s="39" t="n">
        <f aca="false">IFERROR(IF($C263="","",IF($D263="","",IFERROR(ROUND($D263*INDEX('🔖 배합비 참조'!$B$2:$CE$83,MATCH("당류가공품(알룰로스제로파우더)",'🔖 배합비 참조'!$A$2:$A$83,0),MATCH($C263,'🔖 배합비 참조'!$B$1:$CE$1,0))/100,0),""))),"")</f>
        <v>0</v>
      </c>
      <c r="AF263" s="39" t="n">
        <f aca="false">IFERROR(IF($C263="","",IF($D263="","",IFERROR(ROUND($D263*INDEX('🔖 배합비 참조'!$B$2:$CE$83,MATCH("당절임(완두배기)",'🔖 배합비 참조'!$A$2:$A$83,0),MATCH($C263,'🔖 배합비 참조'!$B$1:$CE$1,0))/100,0),""))),"")</f>
        <v>0</v>
      </c>
      <c r="AG263" s="39" t="n">
        <f aca="false">IFERROR(IF($C263="","",IF($D263="","",IFERROR(ROUND($D263*INDEX('🔖 배합비 참조'!$B$2:$CE$83,MATCH("대추농축액",'🔖 배합비 참조'!$A$2:$A$83,0),MATCH($C263,'🔖 배합비 참조'!$B$1:$CE$1,0))/100,0),""))),"")</f>
        <v>0</v>
      </c>
      <c r="AH263" s="39" t="n">
        <f aca="false">IFERROR(IF($C263="","",IF($D263="","",IFERROR(ROUND($D263*INDEX('🔖 배합비 참조'!$B$2:$CE$83,MATCH("대추채(국내산)",'🔖 배합비 참조'!$A$2:$A$83,0),MATCH($C263,'🔖 배합비 참조'!$B$1:$CE$1,0))/100,0),""))),"")</f>
        <v>0</v>
      </c>
      <c r="AI263" s="39" t="n">
        <f aca="false">IFERROR(IF($C263="","",IF($D263="","",IFERROR(ROUND($D263*INDEX('🔖 배합비 참조'!$B$2:$CE$83,MATCH("동부(미얀마산)",'🔖 배합비 참조'!$A$2:$A$83,0),MATCH($C263,'🔖 배합비 참조'!$B$1:$CE$1,0))/100,0),""))),"")</f>
        <v>0</v>
      </c>
      <c r="AJ263" s="39" t="n">
        <f aca="false">IFERROR(IF($C263="","",IF($D263="","",IFERROR(ROUND($D263*INDEX('🔖 배합비 참조'!$B$2:$CE$83,MATCH("두류가공품(백옥앙금)",'🔖 배합비 참조'!$A$2:$A$83,0),MATCH($C263,'🔖 배합비 참조'!$B$1:$CE$1,0))/100,0),""))),"")</f>
        <v>0</v>
      </c>
      <c r="AK263" s="39" t="n">
        <f aca="false">IFERROR(IF($C263="","",IF($D263="","",IFERROR(ROUND($D263*INDEX('🔖 배합비 참조'!$B$2:$CE$83,MATCH("두류가공품(콩고물)",'🔖 배합비 참조'!$A$2:$A$83,0),MATCH($C263,'🔖 배합비 참조'!$B$1:$CE$1,0))/100,0),""))),"")</f>
        <v>0</v>
      </c>
      <c r="AL263" s="39" t="n">
        <f aca="false">IFERROR(IF($C263="","",IF($D263="","",IFERROR(ROUND($D263*INDEX('🔖 배합비 참조'!$B$2:$CE$83,MATCH("두류가공품(통팥고물)",'🔖 배합비 참조'!$A$2:$A$83,0),MATCH($C263,'🔖 배합비 참조'!$B$1:$CE$1,0))/100,0),""))),"")</f>
        <v>0</v>
      </c>
      <c r="AM263" s="39" t="n">
        <f aca="false">IFERROR(IF($C263="","",IF($D263="","",IFERROR(ROUND($D263*INDEX('🔖 배합비 참조'!$B$2:$CE$83,MATCH("딸기레진",'🔖 배합비 참조'!$A$2:$A$83,0),MATCH($C263,'🔖 배합비 참조'!$B$1:$CE$1,0))/100,0),""))),"")</f>
        <v>0</v>
      </c>
      <c r="AN263" s="39" t="n">
        <f aca="false">IFERROR(IF($C263="","",IF($D263="","",IFERROR(ROUND($D263*INDEX('🔖 배합비 참조'!$B$2:$CE$83,MATCH("딸기분말(스트로우베리에이드(분말))",'🔖 배합비 참조'!$A$2:$A$83,0),MATCH($C263,'🔖 배합비 참조'!$B$1:$CE$1,0))/100,0),""))),"")</f>
        <v>0</v>
      </c>
      <c r="AO263" s="39" t="n">
        <f aca="false">IFERROR(IF($C263="","",IF($D263="","",IFERROR(ROUND($D263*INDEX('🔖 배합비 참조'!$B$2:$CE$83,MATCH("마스카포네치즈",'🔖 배합비 참조'!$A$2:$A$83,0),MATCH($C263,'🔖 배합비 참조'!$B$1:$CE$1,0))/100,0),""))),"")</f>
        <v>0</v>
      </c>
      <c r="AP263" s="39" t="n">
        <f aca="false">IFERROR(IF($C263="","",IF($D263="","",IFERROR(ROUND($D263*INDEX('🔖 배합비 참조'!$B$2:$CE$83,MATCH("마카다미아분태(호주산)",'🔖 배합비 참조'!$A$2:$A$83,0),MATCH($C263,'🔖 배합비 참조'!$B$1:$CE$1,0))/100,0),""))),"")</f>
        <v>0</v>
      </c>
      <c r="AQ263" s="39" t="n">
        <f aca="false">IFERROR(IF($C263="","",IF($D263="","",IFERROR(ROUND($D263*INDEX('🔖 배합비 참조'!$B$2:$CE$83,MATCH("멥쌀(국내산)",'🔖 배합비 참조'!$A$2:$A$83,0),MATCH($C263,'🔖 배합비 참조'!$B$1:$CE$1,0))/100,0),""))),"")</f>
        <v>7</v>
      </c>
      <c r="AR263" s="39" t="n">
        <f aca="false">IFERROR(IF($C263="","",IF($D263="","",IFERROR(ROUND($D263*INDEX('🔖 배합비 참조'!$B$2:$CE$83,MATCH("모시잎(국내산)",'🔖 배합비 참조'!$A$2:$A$83,0),MATCH($C263,'🔖 배합비 참조'!$B$1:$CE$1,0))/100,0),""))),"")</f>
        <v>0</v>
      </c>
      <c r="AS263" s="39" t="n">
        <f aca="false">IFERROR(IF($C263="","",IF($D263="","",IFERROR(ROUND($D263*INDEX('🔖 배합비 참조'!$B$2:$CE$83,MATCH("물엿(저당물엿)",'🔖 배합비 참조'!$A$2:$A$83,0),MATCH($C263,'🔖 배합비 참조'!$B$1:$CE$1,0))/100,0),""))),"")</f>
        <v>0</v>
      </c>
      <c r="AT263" s="39" t="n">
        <f aca="false">IFERROR(IF($C263="","",IF($D263="","",IFERROR(ROUND($D263*INDEX('🔖 배합비 참조'!$B$2:$CE$83,MATCH("밤다이스",'🔖 배합비 참조'!$A$2:$A$83,0),MATCH($C263,'🔖 배합비 참조'!$B$1:$CE$1,0))/100,0),""))),"")</f>
        <v>0</v>
      </c>
      <c r="AU263" s="39" t="n">
        <f aca="false">IFERROR(IF($C263="","",IF($D263="","",IFERROR(ROUND($D263*INDEX('🔖 배합비 참조'!$B$2:$CE$83,MATCH("변성전분(타피오카전분)",'🔖 배합비 참조'!$A$2:$A$83,0),MATCH($C263,'🔖 배합비 참조'!$B$1:$CE$1,0))/100,0),""))),"")</f>
        <v>0</v>
      </c>
      <c r="AV263" s="39" t="n">
        <f aca="false">IFERROR(IF($C263="","",IF($D263="","",IFERROR(ROUND($D263*INDEX('🔖 배합비 참조'!$B$2:$CE$83,MATCH("복음땅콩분태",'🔖 배합비 참조'!$A$2:$A$83,0),MATCH($C263,'🔖 배합비 참조'!$B$1:$CE$1,0))/100,0),""))),"")</f>
        <v>0</v>
      </c>
      <c r="AW263" s="39" t="n">
        <f aca="false">IFERROR(IF($C263="","",IF($D263="","",IFERROR(ROUND($D263*INDEX('🔖 배합비 참조'!$B$2:$CE$83,MATCH("사양벌꿀(국내산)",'🔖 배합비 참조'!$A$2:$A$83,0),MATCH($C263,'🔖 배합비 참조'!$B$1:$CE$1,0))/100,0),""))),"")</f>
        <v>0</v>
      </c>
      <c r="AX263" s="39" t="n">
        <f aca="false">IFERROR(IF($C263="","",IF($D263="","",IFERROR(ROUND($D263*INDEX('🔖 배합비 참조'!$B$2:$CE$83,MATCH("생크림",'🔖 배합비 참조'!$A$2:$A$83,0),MATCH($C263,'🔖 배합비 참조'!$B$1:$CE$1,0))/100,0),""))),"")</f>
        <v>0</v>
      </c>
      <c r="AY263" s="39" t="n">
        <f aca="false">IFERROR(IF($C263="","",IF($D263="","",IFERROR(ROUND($D263*INDEX('🔖 배합비 참조'!$B$2:$CE$83,MATCH("서양호박(국내산,뉴질랜드산)",'🔖 배합비 참조'!$A$2:$A$83,0),MATCH($C263,'🔖 배합비 참조'!$B$1:$CE$1,0))/100,0),""))),"")</f>
        <v>0</v>
      </c>
      <c r="AZ263" s="39" t="n">
        <f aca="false">IFERROR(IF($C263="","",IF($D263="","",IFERROR(ROUND($D263*INDEX('🔖 배합비 참조'!$B$2:$CE$83,MATCH("설탕",'🔖 배합비 참조'!$A$2:$A$83,0),MATCH($C263,'🔖 배합비 참조'!$B$1:$CE$1,0))/100,0),""))),"")</f>
        <v>63</v>
      </c>
      <c r="BA263" s="39" t="n">
        <f aca="false">IFERROR(IF($C263="","",IF($D263="","",IFERROR(ROUND($D263*INDEX('🔖 배합비 참조'!$B$2:$CE$83,MATCH("스트로우베리 에이드 후레쉬",'🔖 배합비 참조'!$A$2:$A$83,0),MATCH($C263,'🔖 배합비 참조'!$B$1:$CE$1,0))/100,0),""))),"")</f>
        <v>0</v>
      </c>
      <c r="BB263" s="39" t="n">
        <f aca="false">IFERROR(IF($C263="","",IF($D263="","",IFERROR(ROUND($D263*INDEX('🔖 배합비 참조'!$B$2:$CE$83,MATCH("식물성기름혼합제제(분홍)",'🔖 배합비 참조'!$A$2:$A$83,0),MATCH($C263,'🔖 배합비 참조'!$B$1:$CE$1,0))/100,0),""))),"")</f>
        <v>0</v>
      </c>
      <c r="BC263" s="39" t="n">
        <f aca="false">IFERROR(IF($C263="","",IF($D263="","",IFERROR(ROUND($D263*INDEX('🔖 배합비 참조'!$B$2:$CE$83,MATCH("식물성기름혼합제제(초록)",'🔖 배합비 참조'!$A$2:$A$83,0),MATCH($C263,'🔖 배합비 참조'!$B$1:$CE$1,0))/100,0),""))),"")</f>
        <v>0</v>
      </c>
      <c r="BD263" s="39" t="n">
        <f aca="false">IFERROR(IF($C263="","",IF($D263="","",IFERROR(ROUND($D263*INDEX('🔖 배합비 참조'!$B$2:$CE$83,MATCH("식물성기름혼합제제(황색)",'🔖 배합비 참조'!$A$2:$A$83,0),MATCH($C263,'🔖 배합비 참조'!$B$1:$CE$1,0))/100,0),""))),"")</f>
        <v>0</v>
      </c>
      <c r="BE263" s="39" t="n">
        <f aca="false">IFERROR(IF($C263="","",IF($D263="","",IFERROR(ROUND($D263*INDEX('🔖 배합비 참조'!$B$2:$CE$83,MATCH("쑥가루(국내산)",'🔖 배합비 참조'!$A$2:$A$83,0),MATCH($C263,'🔖 배합비 참조'!$B$1:$CE$1,0))/100,0),""))),"")</f>
        <v>0</v>
      </c>
      <c r="BF263" s="39" t="n">
        <f aca="false">IFERROR(IF($C263="","",IF($D263="","",IFERROR(ROUND($D263*INDEX('🔖 배합비 참조'!$B$2:$CE$83,MATCH("아몬드슬라이스",'🔖 배합비 참조'!$A$2:$A$83,0),MATCH($C263,'🔖 배합비 참조'!$B$1:$CE$1,0))/100,0),""))),"")</f>
        <v>0</v>
      </c>
      <c r="BG263" s="39" t="n">
        <f aca="false">IFERROR(IF($C263="","",IF($D263="","",IFERROR(ROUND($D263*INDEX('🔖 배합비 참조'!$B$2:$CE$83,MATCH("알룰로오스(국내산)",'🔖 배합비 참조'!$A$2:$A$83,0),MATCH($C263,'🔖 배합비 참조'!$B$1:$CE$1,0))/100,0),""))),"")</f>
        <v>0</v>
      </c>
      <c r="BH263" s="39" t="n">
        <f aca="false">IFERROR(IF($C263="","",IF($D263="","",IFERROR(ROUND($D263*INDEX('🔖 배합비 참조'!$B$2:$CE$83,MATCH("연유",'🔖 배합비 참조'!$A$2:$A$83,0),MATCH($C263,'🔖 배합비 참조'!$B$1:$CE$1,0))/100,0),""))),"")</f>
        <v>0</v>
      </c>
      <c r="BI263" s="39" t="n">
        <f aca="false">IFERROR(IF($C263="","",IF($D263="","",IFERROR(ROUND($D263*INDEX('🔖 배합비 참조'!$B$2:$CE$83,MATCH("옥수수전분",'🔖 배합비 참조'!$A$2:$A$83,0),MATCH($C263,'🔖 배합비 참조'!$B$1:$CE$1,0))/100,0),""))),"")</f>
        <v>0</v>
      </c>
      <c r="BJ263" s="39" t="n">
        <f aca="false">IFERROR(IF($C263="","",IF($D263="","",IFERROR(ROUND($D263*INDEX('🔖 배합비 참조'!$B$2:$CE$83,MATCH("완두배기",'🔖 배합비 참조'!$A$2:$A$83,0),MATCH($C263,'🔖 배합비 참조'!$B$1:$CE$1,0))/100,0),""))),"")</f>
        <v>0</v>
      </c>
      <c r="BK263" s="39" t="n">
        <f aca="false">IFERROR(IF($C263="","",IF($D263="","",IFERROR(ROUND($D263*INDEX('🔖 배합비 참조'!$B$2:$CE$83,MATCH("우유(국내산)",'🔖 배합비 참조'!$A$2:$A$83,0),MATCH($C263,'🔖 배합비 참조'!$B$1:$CE$1,0))/100,0),""))),"")</f>
        <v>0</v>
      </c>
      <c r="BL263" s="39" t="n">
        <f aca="false">IFERROR(IF($C263="","",IF($D263="","",IFERROR(ROUND($D263*INDEX('🔖 배합비 참조'!$B$2:$CE$83,MATCH("자색고구마가루(중국산)",'🔖 배합비 참조'!$A$2:$A$83,0),MATCH($C263,'🔖 배합비 참조'!$B$1:$CE$1,0))/100,0),""))),"")</f>
        <v>0</v>
      </c>
      <c r="BM263" s="39" t="n">
        <f aca="false">IFERROR(IF($C263="","",IF($D263="","",IFERROR(ROUND($D263*INDEX('🔖 배합비 참조'!$B$2:$CE$83,MATCH("자연치즈(체다치즈)",'🔖 배합비 참조'!$A$2:$A$83,0),MATCH($C263,'🔖 배합비 참조'!$B$1:$CE$1,0))/100,0),""))),"")</f>
        <v>0</v>
      </c>
      <c r="BN263" s="39" t="n">
        <f aca="false">IFERROR(IF($C263="","",IF($D263="","",IFERROR(ROUND($D263*INDEX('🔖 배합비 참조'!$B$2:$CE$83,MATCH("정제수",'🔖 배합비 참조'!$A$2:$A$83,0),MATCH($C263,'🔖 배합비 참조'!$B$1:$CE$1,0))/100,0),""))),"")</f>
        <v>10</v>
      </c>
      <c r="BO263" s="39" t="n">
        <f aca="false">IFERROR(IF($C263="","",IF($D263="","",IFERROR(ROUND($D263*INDEX('🔖 배합비 참조'!$B$2:$CE$83,MATCH("젤라틴",'🔖 배합비 참조'!$A$2:$A$83,0),MATCH($C263,'🔖 배합비 참조'!$B$1:$CE$1,0))/100,0),""))),"")</f>
        <v>0</v>
      </c>
      <c r="BP263" s="39" t="n">
        <f aca="false">IFERROR(IF($C263="","",IF($D263="","",IFERROR(ROUND($D263*INDEX('🔖 배합비 참조'!$B$2:$CE$83,MATCH("조림류(백옥앙금)",'🔖 배합비 참조'!$A$2:$A$83,0),MATCH($C263,'🔖 배합비 참조'!$B$1:$CE$1,0))/100,0),""))),"")</f>
        <v>0</v>
      </c>
      <c r="BQ263" s="39" t="n">
        <f aca="false">IFERROR(IF($C263="","",IF($D263="","",IFERROR(ROUND($D263*INDEX('🔖 배합비 참조'!$B$2:$CE$83,MATCH("조림류(통팥앙금)",'🔖 배합비 참조'!$A$2:$A$83,0),MATCH($C263,'🔖 배합비 참조'!$B$1:$CE$1,0))/100,0),""))),"")</f>
        <v>59</v>
      </c>
      <c r="BR263" s="39" t="n">
        <f aca="false">IFERROR(IF($C263="","",IF($D263="","",IFERROR(ROUND($D263*INDEX('🔖 배합비 참조'!$B$2:$CE$83,MATCH("준초콜릿(외국산)",'🔖 배합비 참조'!$A$2:$A$83,0),MATCH($C263,'🔖 배합비 참조'!$B$1:$CE$1,0))/100,0),""))),"")</f>
        <v>0</v>
      </c>
      <c r="BS263" s="39" t="n">
        <f aca="false">IFERROR(IF($C263="","",IF($D263="","",IFERROR(ROUND($D263*INDEX('🔖 배합비 참조'!$B$2:$CE$83,MATCH("중력분",'🔖 배합비 참조'!$A$2:$A$83,0),MATCH($C263,'🔖 배합비 참조'!$B$1:$CE$1,0))/100,0),""))),"")</f>
        <v>7</v>
      </c>
      <c r="BT263" s="39" t="n">
        <f aca="false">IFERROR(IF($C263="","",IF($D263="","",IFERROR(ROUND($D263*INDEX('🔖 배합비 참조'!$B$2:$CE$83,MATCH("참깨(인도산,나이지리아산,탄자니아산,미얀마산)",'🔖 배합비 참조'!$A$2:$A$83,0),MATCH($C263,'🔖 배합비 참조'!$B$1:$CE$1,0))/100,0),""))),"")</f>
        <v>0</v>
      </c>
      <c r="BU263" s="39" t="n">
        <f aca="false">IFERROR(IF($C263="","",IF($D263="","",IFERROR(ROUND($D263*INDEX('🔖 배합비 참조'!$B$2:$CE$83,MATCH("찹쌀(국내산)",'🔖 배합비 참조'!$A$2:$A$83,0),MATCH($C263,'🔖 배합비 참조'!$B$1:$CE$1,0))/100,0),""))),"")</f>
        <v>142</v>
      </c>
      <c r="BV263" s="39" t="n">
        <f aca="false">IFERROR(IF($C263="","",IF($D263="","",IFERROR(ROUND($D263*INDEX('🔖 배합비 참조'!$B$2:$CE$83,MATCH("천일염",'🔖 배합비 참조'!$A$2:$A$83,0),MATCH($C263,'🔖 배합비 참조'!$B$1:$CE$1,0))/100,0),""))),"")</f>
        <v>7</v>
      </c>
      <c r="BW263" s="39" t="n">
        <f aca="false">IFERROR(IF($C263="","",IF($D263="","",IFERROR(ROUND($D263*INDEX('🔖 배합비 참조'!$B$2:$CE$83,MATCH("치즈 [크림치즈]",'🔖 배합비 참조'!$A$2:$A$83,0),MATCH($C263,'🔖 배합비 참조'!$B$1:$CE$1,0))/100,0),""))),"")</f>
        <v>0</v>
      </c>
      <c r="BX263" s="39" t="n">
        <f aca="false">IFERROR(IF($C263="","",IF($D263="","",IFERROR(ROUND($D263*INDEX('🔖 배합비 참조'!$B$2:$CE$83,MATCH("코코아가공품류(코코아분말)",'🔖 배합비 참조'!$A$2:$A$83,0),MATCH($C263,'🔖 배합비 참조'!$B$1:$CE$1,0))/100,0),""))),"")</f>
        <v>0</v>
      </c>
      <c r="BY263" s="39" t="n">
        <f aca="false">IFERROR(IF($C263="","",IF($D263="","",IFERROR(ROUND($D263*INDEX('🔖 배합비 참조'!$B$2:$CE$83,MATCH("콩기름(대두유)",'🔖 배합비 참조'!$A$2:$A$83,0),MATCH($C263,'🔖 배합비 참조'!$B$1:$CE$1,0))/100,0),""))),"")</f>
        <v>0</v>
      </c>
      <c r="BZ263" s="39" t="n">
        <f aca="false">IFERROR(IF($C263="","",IF($D263="","",IFERROR(ROUND($D263*INDEX('🔖 배합비 참조'!$B$2:$CE$83,MATCH("해바라기씨앗",'🔖 배합비 참조'!$A$2:$A$83,0),MATCH($C263,'🔖 배합비 참조'!$B$1:$CE$1,0))/100,0),""))),"")</f>
        <v>0</v>
      </c>
      <c r="CA263" s="39" t="n">
        <f aca="false">IFERROR(IF($C263="","",IF($D263="","",IFERROR(ROUND($D263*INDEX('🔖 배합비 참조'!$B$2:$CE$83,MATCH("현미(국내산)",'🔖 배합비 참조'!$A$2:$A$83,0),MATCH($C263,'🔖 배합비 참조'!$B$1:$CE$1,0))/100,0),""))),"")</f>
        <v>0</v>
      </c>
      <c r="CB263" s="39" t="n">
        <f aca="false">IFERROR(IF($C263="","",IF($D263="","",IFERROR(ROUND($D263*INDEX('🔖 배합비 참조'!$B$2:$CE$83,MATCH("현미멥쌀(국내산)",'🔖 배합비 참조'!$A$2:$A$83,0),MATCH($C263,'🔖 배합비 참조'!$B$1:$CE$1,0))/100,0),""))),"")</f>
        <v>0</v>
      </c>
      <c r="CC263" s="39" t="n">
        <f aca="false">IFERROR(IF($C263="","",IF($D263="","",IFERROR(ROUND($D263*INDEX('🔖 배합비 참조'!$B$2:$CE$83,MATCH("호두분태(미국산)",'🔖 배합비 참조'!$A$2:$A$83,0),MATCH($C263,'🔖 배합비 참조'!$B$1:$CE$1,0))/100,0),""))),"")</f>
        <v>0</v>
      </c>
      <c r="CD263" s="39" t="n">
        <f aca="false">IFERROR(IF($C263="","",IF($D263="","",IFERROR(ROUND($D263*INDEX('🔖 배합비 참조'!$B$2:$CE$83,MATCH("호박씨앗(외국산)",'🔖 배합비 참조'!$A$2:$A$83,0),MATCH($C263,'🔖 배합비 참조'!$B$1:$CE$1,0))/100,0),""))),"")</f>
        <v>0</v>
      </c>
      <c r="CE263" s="39" t="n">
        <f aca="false">IFERROR(IF($C263="","",IF($D263="","",IFERROR(ROUND($D263*INDEX('🔖 배합비 참조'!$B$2:$CE$83,MATCH("혼합제제(떡용에스텔)",'🔖 배합비 참조'!$A$2:$A$83,0),MATCH($C263,'🔖 배합비 참조'!$B$1:$CE$1,0))/100,0),""))),"")</f>
        <v>7</v>
      </c>
      <c r="CF263" s="39" t="n">
        <f aca="false">IFERROR(IF($C263="","",IF($D263="","",IFERROR(ROUND($D263*INDEX('🔖 배합비 참조'!$B$2:$CE$83,MATCH("혼합제제(스테비아)",'🔖 배합비 참조'!$A$2:$A$83,0),MATCH($C263,'🔖 배합비 참조'!$B$1:$CE$1,0))/100,0),""))),"")</f>
        <v>0</v>
      </c>
      <c r="CG263" s="39" t="n">
        <f aca="false">IFERROR(IF($C263="","",IF($D263="","",IFERROR(ROUND($D263*INDEX('🔖 배합비 참조'!$B$2:$CE$83,MATCH("화이트초콜릿",'🔖 배합비 참조'!$A$2:$A$83,0),MATCH($C263,'🔖 배합비 참조'!$B$1:$CE$1,0))/100,0),""))),"")</f>
        <v>0</v>
      </c>
      <c r="CH263" s="39" t="n">
        <f aca="false">IFERROR(IF($C263="","",IF($D263="","",IFERROR(ROUND($D263*INDEX('🔖 배합비 참조'!$B$2:$CE$83,MATCH("흑미찹쌀(국내산)",'🔖 배합비 참조'!$A$2:$A$83,0),MATCH($C263,'🔖 배합비 참조'!$B$1:$CE$1,0))/100,0),""))),"")</f>
        <v>0</v>
      </c>
      <c r="CI263" s="39" t="n">
        <f aca="false">IFERROR(IF($C263="","",IF($D263="","",IFERROR(ROUND($D263*INDEX('🔖 배합비 참조'!$B$2:$CE$83,MATCH("찰옥수수전분(미국산)",'🔖 배합비 참조'!$A$2:$A$83,0),MATCH($C263,'🔖 배합비 참조'!$B$1:$CE$1,0))/100,0),""))),"")</f>
        <v>30</v>
      </c>
      <c r="CJ263" s="40"/>
      <c r="CL263" s="1" t="s">
        <v>248</v>
      </c>
    </row>
    <row r="264" customFormat="false" ht="18" hidden="false" customHeight="true" outlineLevel="0" collapsed="false">
      <c r="A264" s="41" t="n">
        <v>260</v>
      </c>
      <c r="B264" s="36" t="n">
        <v>46087</v>
      </c>
      <c r="C264" s="37" t="s">
        <v>191</v>
      </c>
      <c r="D264" s="38" t="n">
        <v>1100</v>
      </c>
      <c r="E264" s="17"/>
      <c r="F264" s="17"/>
      <c r="G264" s="42" t="n">
        <f aca="false">IFERROR(IF($C264="","",IF($D264="","",IFERROR(ROUND($D264*INDEX('🔖 배합비 참조'!$B$2:$CE$83,MATCH("간장",'🔖 배합비 참조'!$A$2:$A$83,0),MATCH($C264,'🔖 배합비 참조'!$B$1:$CE$1,0))/100,0),""))),"")</f>
        <v>0</v>
      </c>
      <c r="H264" s="42" t="n">
        <f aca="false">IFERROR(IF($C264="","",IF($D264="","",IFERROR(ROUND($D264*INDEX('🔖 배합비 참조'!$B$2:$CE$83,MATCH("강낭콩((울타리콩))",'🔖 배합비 참조'!$A$2:$A$83,0),MATCH($C264,'🔖 배합비 참조'!$B$1:$CE$1,0))/100,0),""))),"")</f>
        <v>0</v>
      </c>
      <c r="I264" s="42" t="n">
        <f aca="false">IFERROR(IF($C264="","",IF($D264="","",IFERROR(ROUND($D264*INDEX('🔖 배합비 참조'!$B$2:$CE$83,MATCH("건조딸기다이스(외국산)",'🔖 배합비 참조'!$A$2:$A$83,0),MATCH($C264,'🔖 배합비 참조'!$B$1:$CE$1,0))/100,0),""))),"")</f>
        <v>0</v>
      </c>
      <c r="J264" s="42" t="n">
        <f aca="false">IFERROR(IF($C264="","",IF($D264="","",IFERROR(ROUND($D264*INDEX('🔖 배합비 참조'!$B$2:$CE$83,MATCH("건포도",'🔖 배합비 참조'!$A$2:$A$83,0),MATCH($C264,'🔖 배합비 참조'!$B$1:$CE$1,0))/100,0),""))),"")</f>
        <v>0</v>
      </c>
      <c r="K264" s="42" t="n">
        <f aca="false">IFERROR(IF($C264="","",IF($D264="","",IFERROR(ROUND($D264*INDEX('🔖 배합비 참조'!$B$2:$CE$83,MATCH("건호박채(중국산)",'🔖 배합비 참조'!$A$2:$A$83,0),MATCH($C264,'🔖 배합비 참조'!$B$1:$CE$1,0))/100,0),""))),"")</f>
        <v>0</v>
      </c>
      <c r="L264" s="42" t="n">
        <f aca="false">IFERROR(IF($C264="","",IF($D264="","",IFERROR(ROUND($D264*INDEX('🔖 배합비 참조'!$B$2:$CE$83,MATCH("검정깨(흑임자)",'🔖 배합비 참조'!$A$2:$A$83,0),MATCH($C264,'🔖 배합비 참조'!$B$1:$CE$1,0))/100,0),""))),"")</f>
        <v>0</v>
      </c>
      <c r="M264" s="42" t="n">
        <f aca="false">IFERROR(IF($C264="","",IF($D264="","",IFERROR(ROUND($D264*INDEX('🔖 배합비 참조'!$B$2:$CE$83,MATCH("검정콩",'🔖 배합비 참조'!$A$2:$A$83,0),MATCH($C264,'🔖 배합비 참조'!$B$1:$CE$1,0))/100,0),""))),"")</f>
        <v>0</v>
      </c>
      <c r="N264" s="42" t="n">
        <f aca="false">IFERROR(IF($C264="","",IF($D264="","",IFERROR(ROUND($D264*INDEX('🔖 배합비 참조'!$B$2:$CE$83,MATCH("계피가루",'🔖 배합비 참조'!$A$2:$A$83,0),MATCH($C264,'🔖 배합비 참조'!$B$1:$CE$1,0))/100,0),""))),"")</f>
        <v>0</v>
      </c>
      <c r="O264" s="42" t="n">
        <f aca="false">IFERROR(IF($C264="","",IF($D264="","",IFERROR(ROUND($D264*INDEX('🔖 배합비 참조'!$B$2:$CE$83,MATCH("고구마가루",'🔖 배합비 참조'!$A$2:$A$83,0),MATCH($C264,'🔖 배합비 참조'!$B$1:$CE$1,0))/100,0),""))),"")</f>
        <v>0</v>
      </c>
      <c r="P264" s="42" t="n">
        <f aca="false">IFERROR(IF($C264="","",IF($D264="","",IFERROR(ROUND($D264*INDEX('🔖 배합비 참조'!$B$2:$CE$83,MATCH("고구마무스",'🔖 배합비 참조'!$A$2:$A$83,0),MATCH($C264,'🔖 배합비 참조'!$B$1:$CE$1,0))/100,0),""))),"")</f>
        <v>0</v>
      </c>
      <c r="Q264" s="42" t="n">
        <f aca="false">IFERROR(IF($C264="","",IF($D264="","",IFERROR(ROUND($D264*INDEX('🔖 배합비 참조'!$B$2:$CE$83,MATCH("고려엉겅퀴((곤드레)국내산)",'🔖 배합비 참조'!$A$2:$A$83,0),MATCH($C264,'🔖 배합비 참조'!$B$1:$CE$1,0))/100,0),""))),"")</f>
        <v>0</v>
      </c>
      <c r="R264" s="42" t="n">
        <f aca="false">IFERROR(IF($C264="","",IF($D264="","",IFERROR(ROUND($D264*INDEX('🔖 배합비 참조'!$B$2:$CE$83,MATCH("기타가공품(복분자가루)",'🔖 배합비 참조'!$A$2:$A$83,0),MATCH($C264,'🔖 배합비 참조'!$B$1:$CE$1,0))/100,0),""))),"")</f>
        <v>0</v>
      </c>
      <c r="S264" s="42" t="n">
        <f aca="false">IFERROR(IF($C264="","",IF($D264="","",IFERROR(ROUND($D264*INDEX('🔖 배합비 참조'!$B$2:$CE$83,MATCH("기타가공품(슈퍼소프트엠)",'🔖 배합비 참조'!$A$2:$A$83,0),MATCH($C264,'🔖 배합비 참조'!$B$1:$CE$1,0))/100,0),""))),"")</f>
        <v>0</v>
      </c>
      <c r="T264" s="42" t="n">
        <f aca="false">IFERROR(IF($C264="","",IF($D264="","",IFERROR(ROUND($D264*INDEX('🔖 배합비 참조'!$B$2:$CE$83,MATCH("기타가공품(파인소프트 E-티)",'🔖 배합비 참조'!$A$2:$A$83,0),MATCH($C264,'🔖 배합비 참조'!$B$1:$CE$1,0))/100,0),""))),"")</f>
        <v>0</v>
      </c>
      <c r="U264" s="42" t="n">
        <f aca="false">IFERROR(IF($C264="","",IF($D264="","",IFERROR(ROUND($D264*INDEX('🔖 배합비 참조'!$B$2:$CE$83,MATCH("기타가공품(프리미엄카스테라가루)",'🔖 배합비 참조'!$A$2:$A$83,0),MATCH($C264,'🔖 배합비 참조'!$B$1:$CE$1,0))/100,0),""))),"")</f>
        <v>0</v>
      </c>
      <c r="V264" s="42" t="n">
        <f aca="false">IFERROR(IF($C264="","",IF($D264="","",IFERROR(ROUND($D264*INDEX('🔖 배합비 참조'!$B$2:$CE$83,MATCH("기타가공품(흑임자가루)",'🔖 배합비 참조'!$A$2:$A$83,0),MATCH($C264,'🔖 배합비 참조'!$B$1:$CE$1,0))/100,0),""))),"")</f>
        <v>0</v>
      </c>
      <c r="W264" s="42" t="n">
        <f aca="false">IFERROR(IF($C264="","",IF($D264="","",IFERROR(ROUND($D264*INDEX('🔖 배합비 참조'!$B$2:$CE$83,MATCH("기타설탕(흑설탕)",'🔖 배합비 참조'!$A$2:$A$83,0),MATCH($C264,'🔖 배합비 참조'!$B$1:$CE$1,0))/100,0),""))),"")</f>
        <v>0</v>
      </c>
      <c r="X264" s="42" t="n">
        <f aca="false">IFERROR(IF($C264="","",IF($D264="","",IFERROR(ROUND($D264*INDEX('🔖 배합비 참조'!$B$2:$CE$83,MATCH("냉동쑥(국내산)",'🔖 배합비 참조'!$A$2:$A$83,0),MATCH($C264,'🔖 배합비 참조'!$B$1:$CE$1,0))/100,0),""))),"")</f>
        <v>0</v>
      </c>
      <c r="Y264" s="42" t="n">
        <f aca="false">IFERROR(IF($C264="","",IF($D264="","",IFERROR(ROUND($D264*INDEX('🔖 배합비 참조'!$B$2:$CE$83,MATCH("냉동증숙고구마(중국산)",'🔖 배합비 참조'!$A$2:$A$83,0),MATCH($C264,'🔖 배합비 참조'!$B$1:$CE$1,0))/100,0),""))),"")</f>
        <v>0</v>
      </c>
      <c r="Z264" s="42" t="n">
        <f aca="false">IFERROR(IF($C264="","",IF($D264="","",IFERROR(ROUND($D264*INDEX('🔖 배합비 참조'!$B$2:$CE$83,MATCH("녹차가루",'🔖 배합비 참조'!$A$2:$A$83,0),MATCH($C264,'🔖 배합비 참조'!$B$1:$CE$1,0))/100,0),""))),"")</f>
        <v>0</v>
      </c>
      <c r="AA264" s="42" t="n">
        <f aca="false">IFERROR(IF($C264="","",IF($D264="","",IFERROR(ROUND($D264*INDEX('🔖 배합비 참조'!$B$2:$CE$83,MATCH("다크초콜릿 컴파운드칩",'🔖 배합비 참조'!$A$2:$A$83,0),MATCH($C264,'🔖 배합비 참조'!$B$1:$CE$1,0))/100,0),""))),"")</f>
        <v>0</v>
      </c>
      <c r="AB264" s="42" t="n">
        <f aca="false">IFERROR(IF($C264="","",IF($D264="","",IFERROR(ROUND($D264*INDEX('🔖 배합비 참조'!$B$2:$CE$83,MATCH("단호박분말(중국산)",'🔖 배합비 참조'!$A$2:$A$83,0),MATCH($C264,'🔖 배합비 참조'!$B$1:$CE$1,0))/100,0),""))),"")</f>
        <v>0</v>
      </c>
      <c r="AC264" s="42" t="n">
        <f aca="false">IFERROR(IF($C264="","",IF($D264="","",IFERROR(ROUND($D264*INDEX('🔖 배합비 참조'!$B$2:$CE$83,MATCH("당류가공품(단호박농축액)",'🔖 배합비 참조'!$A$2:$A$83,0),MATCH($C264,'🔖 배합비 참조'!$B$1:$CE$1,0))/100,0),""))),"")</f>
        <v>0</v>
      </c>
      <c r="AD264" s="42" t="n">
        <f aca="false">IFERROR(IF($C264="","",IF($D264="","",IFERROR(ROUND($D264*INDEX('🔖 배합비 참조'!$B$2:$CE$83,MATCH("당류가공품(알룰로스,에리스리톨,스테비올배당체혼합)",'🔖 배합비 참조'!$A$2:$A$83,0),MATCH($C264,'🔖 배합비 참조'!$B$1:$CE$1,0))/100,0),""))),"")</f>
        <v>0</v>
      </c>
      <c r="AE264" s="42" t="n">
        <f aca="false">IFERROR(IF($C264="","",IF($D264="","",IFERROR(ROUND($D264*INDEX('🔖 배합비 참조'!$B$2:$CE$83,MATCH("당류가공품(알룰로스제로파우더)",'🔖 배합비 참조'!$A$2:$A$83,0),MATCH($C264,'🔖 배합비 참조'!$B$1:$CE$1,0))/100,0),""))),"")</f>
        <v>0</v>
      </c>
      <c r="AF264" s="42" t="n">
        <f aca="false">IFERROR(IF($C264="","",IF($D264="","",IFERROR(ROUND($D264*INDEX('🔖 배합비 참조'!$B$2:$CE$83,MATCH("당절임(완두배기)",'🔖 배합비 참조'!$A$2:$A$83,0),MATCH($C264,'🔖 배합비 참조'!$B$1:$CE$1,0))/100,0),""))),"")</f>
        <v>0</v>
      </c>
      <c r="AG264" s="42" t="n">
        <f aca="false">IFERROR(IF($C264="","",IF($D264="","",IFERROR(ROUND($D264*INDEX('🔖 배합비 참조'!$B$2:$CE$83,MATCH("대추농축액",'🔖 배합비 참조'!$A$2:$A$83,0),MATCH($C264,'🔖 배합비 참조'!$B$1:$CE$1,0))/100,0),""))),"")</f>
        <v>0</v>
      </c>
      <c r="AH264" s="42" t="n">
        <f aca="false">IFERROR(IF($C264="","",IF($D264="","",IFERROR(ROUND($D264*INDEX('🔖 배합비 참조'!$B$2:$CE$83,MATCH("대추채(국내산)",'🔖 배합비 참조'!$A$2:$A$83,0),MATCH($C264,'🔖 배합비 참조'!$B$1:$CE$1,0))/100,0),""))),"")</f>
        <v>0</v>
      </c>
      <c r="AI264" s="42" t="n">
        <f aca="false">IFERROR(IF($C264="","",IF($D264="","",IFERROR(ROUND($D264*INDEX('🔖 배합비 참조'!$B$2:$CE$83,MATCH("동부(미얀마산)",'🔖 배합비 참조'!$A$2:$A$83,0),MATCH($C264,'🔖 배합비 참조'!$B$1:$CE$1,0))/100,0),""))),"")</f>
        <v>0</v>
      </c>
      <c r="AJ264" s="42" t="n">
        <f aca="false">IFERROR(IF($C264="","",IF($D264="","",IFERROR(ROUND($D264*INDEX('🔖 배합비 참조'!$B$2:$CE$83,MATCH("두류가공품(백옥앙금)",'🔖 배합비 참조'!$A$2:$A$83,0),MATCH($C264,'🔖 배합비 참조'!$B$1:$CE$1,0))/100,0),""))),"")</f>
        <v>0</v>
      </c>
      <c r="AK264" s="42" t="n">
        <f aca="false">IFERROR(IF($C264="","",IF($D264="","",IFERROR(ROUND($D264*INDEX('🔖 배합비 참조'!$B$2:$CE$83,MATCH("두류가공품(콩고물)",'🔖 배합비 참조'!$A$2:$A$83,0),MATCH($C264,'🔖 배합비 참조'!$B$1:$CE$1,0))/100,0),""))),"")</f>
        <v>0</v>
      </c>
      <c r="AL264" s="42" t="n">
        <f aca="false">IFERROR(IF($C264="","",IF($D264="","",IFERROR(ROUND($D264*INDEX('🔖 배합비 참조'!$B$2:$CE$83,MATCH("두류가공품(통팥고물)",'🔖 배합비 참조'!$A$2:$A$83,0),MATCH($C264,'🔖 배합비 참조'!$B$1:$CE$1,0))/100,0),""))),"")</f>
        <v>0</v>
      </c>
      <c r="AM264" s="42" t="n">
        <f aca="false">IFERROR(IF($C264="","",IF($D264="","",IFERROR(ROUND($D264*INDEX('🔖 배합비 참조'!$B$2:$CE$83,MATCH("딸기레진",'🔖 배합비 참조'!$A$2:$A$83,0),MATCH($C264,'🔖 배합비 참조'!$B$1:$CE$1,0))/100,0),""))),"")</f>
        <v>0</v>
      </c>
      <c r="AN264" s="42" t="n">
        <f aca="false">IFERROR(IF($C264="","",IF($D264="","",IFERROR(ROUND($D264*INDEX('🔖 배합비 참조'!$B$2:$CE$83,MATCH("딸기분말(스트로우베리에이드(분말))",'🔖 배합비 참조'!$A$2:$A$83,0),MATCH($C264,'🔖 배합비 참조'!$B$1:$CE$1,0))/100,0),""))),"")</f>
        <v>0</v>
      </c>
      <c r="AO264" s="42" t="n">
        <f aca="false">IFERROR(IF($C264="","",IF($D264="","",IFERROR(ROUND($D264*INDEX('🔖 배합비 참조'!$B$2:$CE$83,MATCH("마스카포네치즈",'🔖 배합비 참조'!$A$2:$A$83,0),MATCH($C264,'🔖 배합비 참조'!$B$1:$CE$1,0))/100,0),""))),"")</f>
        <v>0</v>
      </c>
      <c r="AP264" s="42" t="n">
        <f aca="false">IFERROR(IF($C264="","",IF($D264="","",IFERROR(ROUND($D264*INDEX('🔖 배합비 참조'!$B$2:$CE$83,MATCH("마카다미아분태(호주산)",'🔖 배합비 참조'!$A$2:$A$83,0),MATCH($C264,'🔖 배합비 참조'!$B$1:$CE$1,0))/100,0),""))),"")</f>
        <v>0</v>
      </c>
      <c r="AQ264" s="42" t="n">
        <f aca="false">IFERROR(IF($C264="","",IF($D264="","",IFERROR(ROUND($D264*INDEX('🔖 배합비 참조'!$B$2:$CE$83,MATCH("멥쌀(국내산)",'🔖 배합비 참조'!$A$2:$A$83,0),MATCH($C264,'🔖 배합비 참조'!$B$1:$CE$1,0))/100,0),""))),"")</f>
        <v>22</v>
      </c>
      <c r="AR264" s="42" t="n">
        <f aca="false">IFERROR(IF($C264="","",IF($D264="","",IFERROR(ROUND($D264*INDEX('🔖 배합비 참조'!$B$2:$CE$83,MATCH("모시잎(국내산)",'🔖 배합비 참조'!$A$2:$A$83,0),MATCH($C264,'🔖 배합비 참조'!$B$1:$CE$1,0))/100,0),""))),"")</f>
        <v>0</v>
      </c>
      <c r="AS264" s="42" t="n">
        <f aca="false">IFERROR(IF($C264="","",IF($D264="","",IFERROR(ROUND($D264*INDEX('🔖 배합비 참조'!$B$2:$CE$83,MATCH("물엿(저당물엿)",'🔖 배합비 참조'!$A$2:$A$83,0),MATCH($C264,'🔖 배합비 참조'!$B$1:$CE$1,0))/100,0),""))),"")</f>
        <v>0</v>
      </c>
      <c r="AT264" s="42" t="n">
        <f aca="false">IFERROR(IF($C264="","",IF($D264="","",IFERROR(ROUND($D264*INDEX('🔖 배합비 참조'!$B$2:$CE$83,MATCH("밤다이스",'🔖 배합비 참조'!$A$2:$A$83,0),MATCH($C264,'🔖 배합비 참조'!$B$1:$CE$1,0))/100,0),""))),"")</f>
        <v>0</v>
      </c>
      <c r="AU264" s="42" t="n">
        <f aca="false">IFERROR(IF($C264="","",IF($D264="","",IFERROR(ROUND($D264*INDEX('🔖 배합비 참조'!$B$2:$CE$83,MATCH("변성전분(타피오카전분)",'🔖 배합비 참조'!$A$2:$A$83,0),MATCH($C264,'🔖 배합비 참조'!$B$1:$CE$1,0))/100,0),""))),"")</f>
        <v>0</v>
      </c>
      <c r="AV264" s="42" t="n">
        <f aca="false">IFERROR(IF($C264="","",IF($D264="","",IFERROR(ROUND($D264*INDEX('🔖 배합비 참조'!$B$2:$CE$83,MATCH("복음땅콩분태",'🔖 배합비 참조'!$A$2:$A$83,0),MATCH($C264,'🔖 배합비 참조'!$B$1:$CE$1,0))/100,0),""))),"")</f>
        <v>0</v>
      </c>
      <c r="AW264" s="42" t="n">
        <f aca="false">IFERROR(IF($C264="","",IF($D264="","",IFERROR(ROUND($D264*INDEX('🔖 배합비 참조'!$B$2:$CE$83,MATCH("사양벌꿀(국내산)",'🔖 배합비 참조'!$A$2:$A$83,0),MATCH($C264,'🔖 배합비 참조'!$B$1:$CE$1,0))/100,0),""))),"")</f>
        <v>0</v>
      </c>
      <c r="AX264" s="42" t="n">
        <f aca="false">IFERROR(IF($C264="","",IF($D264="","",IFERROR(ROUND($D264*INDEX('🔖 배합비 참조'!$B$2:$CE$83,MATCH("생크림",'🔖 배합비 참조'!$A$2:$A$83,0),MATCH($C264,'🔖 배합비 참조'!$B$1:$CE$1,0))/100,0),""))),"")</f>
        <v>0</v>
      </c>
      <c r="AY264" s="42" t="n">
        <f aca="false">IFERROR(IF($C264="","",IF($D264="","",IFERROR(ROUND($D264*INDEX('🔖 배합비 참조'!$B$2:$CE$83,MATCH("서양호박(국내산,뉴질랜드산)",'🔖 배합비 참조'!$A$2:$A$83,0),MATCH($C264,'🔖 배합비 참조'!$B$1:$CE$1,0))/100,0),""))),"")</f>
        <v>0</v>
      </c>
      <c r="AZ264" s="42" t="n">
        <f aca="false">IFERROR(IF($C264="","",IF($D264="","",IFERROR(ROUND($D264*INDEX('🔖 배합비 참조'!$B$2:$CE$83,MATCH("설탕",'🔖 배합비 참조'!$A$2:$A$83,0),MATCH($C264,'🔖 배합비 참조'!$B$1:$CE$1,0))/100,0),""))),"")</f>
        <v>209</v>
      </c>
      <c r="BA264" s="42" t="n">
        <f aca="false">IFERROR(IF($C264="","",IF($D264="","",IFERROR(ROUND($D264*INDEX('🔖 배합비 참조'!$B$2:$CE$83,MATCH("스트로우베리 에이드 후레쉬",'🔖 배합비 참조'!$A$2:$A$83,0),MATCH($C264,'🔖 배합비 참조'!$B$1:$CE$1,0))/100,0),""))),"")</f>
        <v>0</v>
      </c>
      <c r="BB264" s="42" t="n">
        <f aca="false">IFERROR(IF($C264="","",IF($D264="","",IFERROR(ROUND($D264*INDEX('🔖 배합비 참조'!$B$2:$CE$83,MATCH("식물성기름혼합제제(분홍)",'🔖 배합비 참조'!$A$2:$A$83,0),MATCH($C264,'🔖 배합비 참조'!$B$1:$CE$1,0))/100,0),""))),"")</f>
        <v>0</v>
      </c>
      <c r="BC264" s="42" t="n">
        <f aca="false">IFERROR(IF($C264="","",IF($D264="","",IFERROR(ROUND($D264*INDEX('🔖 배합비 참조'!$B$2:$CE$83,MATCH("식물성기름혼합제제(초록)",'🔖 배합비 참조'!$A$2:$A$83,0),MATCH($C264,'🔖 배합비 참조'!$B$1:$CE$1,0))/100,0),""))),"")</f>
        <v>0</v>
      </c>
      <c r="BD264" s="42" t="n">
        <f aca="false">IFERROR(IF($C264="","",IF($D264="","",IFERROR(ROUND($D264*INDEX('🔖 배합비 참조'!$B$2:$CE$83,MATCH("식물성기름혼합제제(황색)",'🔖 배합비 참조'!$A$2:$A$83,0),MATCH($C264,'🔖 배합비 참조'!$B$1:$CE$1,0))/100,0),""))),"")</f>
        <v>0</v>
      </c>
      <c r="BE264" s="42" t="n">
        <f aca="false">IFERROR(IF($C264="","",IF($D264="","",IFERROR(ROUND($D264*INDEX('🔖 배합비 참조'!$B$2:$CE$83,MATCH("쑥가루(국내산)",'🔖 배합비 참조'!$A$2:$A$83,0),MATCH($C264,'🔖 배합비 참조'!$B$1:$CE$1,0))/100,0),""))),"")</f>
        <v>0</v>
      </c>
      <c r="BF264" s="42" t="n">
        <f aca="false">IFERROR(IF($C264="","",IF($D264="","",IFERROR(ROUND($D264*INDEX('🔖 배합비 참조'!$B$2:$CE$83,MATCH("아몬드슬라이스",'🔖 배합비 참조'!$A$2:$A$83,0),MATCH($C264,'🔖 배합비 참조'!$B$1:$CE$1,0))/100,0),""))),"")</f>
        <v>0</v>
      </c>
      <c r="BG264" s="42" t="n">
        <f aca="false">IFERROR(IF($C264="","",IF($D264="","",IFERROR(ROUND($D264*INDEX('🔖 배합비 참조'!$B$2:$CE$83,MATCH("알룰로오스(국내산)",'🔖 배합비 참조'!$A$2:$A$83,0),MATCH($C264,'🔖 배합비 참조'!$B$1:$CE$1,0))/100,0),""))),"")</f>
        <v>0</v>
      </c>
      <c r="BH264" s="42" t="n">
        <f aca="false">IFERROR(IF($C264="","",IF($D264="","",IFERROR(ROUND($D264*INDEX('🔖 배합비 참조'!$B$2:$CE$83,MATCH("연유",'🔖 배합비 참조'!$A$2:$A$83,0),MATCH($C264,'🔖 배합비 참조'!$B$1:$CE$1,0))/100,0),""))),"")</f>
        <v>0</v>
      </c>
      <c r="BI264" s="42" t="n">
        <f aca="false">IFERROR(IF($C264="","",IF($D264="","",IFERROR(ROUND($D264*INDEX('🔖 배합비 참조'!$B$2:$CE$83,MATCH("옥수수전분",'🔖 배합비 참조'!$A$2:$A$83,0),MATCH($C264,'🔖 배합비 참조'!$B$1:$CE$1,0))/100,0),""))),"")</f>
        <v>0</v>
      </c>
      <c r="BJ264" s="42" t="n">
        <f aca="false">IFERROR(IF($C264="","",IF($D264="","",IFERROR(ROUND($D264*INDEX('🔖 배합비 참조'!$B$2:$CE$83,MATCH("완두배기",'🔖 배합비 참조'!$A$2:$A$83,0),MATCH($C264,'🔖 배합비 참조'!$B$1:$CE$1,0))/100,0),""))),"")</f>
        <v>0</v>
      </c>
      <c r="BK264" s="42" t="n">
        <f aca="false">IFERROR(IF($C264="","",IF($D264="","",IFERROR(ROUND($D264*INDEX('🔖 배합비 참조'!$B$2:$CE$83,MATCH("우유(국내산)",'🔖 배합비 참조'!$A$2:$A$83,0),MATCH($C264,'🔖 배합비 참조'!$B$1:$CE$1,0))/100,0),""))),"")</f>
        <v>0</v>
      </c>
      <c r="BL264" s="42" t="n">
        <f aca="false">IFERROR(IF($C264="","",IF($D264="","",IFERROR(ROUND($D264*INDEX('🔖 배합비 참조'!$B$2:$CE$83,MATCH("자색고구마가루(중국산)",'🔖 배합비 참조'!$A$2:$A$83,0),MATCH($C264,'🔖 배합비 참조'!$B$1:$CE$1,0))/100,0),""))),"")</f>
        <v>0</v>
      </c>
      <c r="BM264" s="42" t="n">
        <f aca="false">IFERROR(IF($C264="","",IF($D264="","",IFERROR(ROUND($D264*INDEX('🔖 배합비 참조'!$B$2:$CE$83,MATCH("자연치즈(체다치즈)",'🔖 배합비 참조'!$A$2:$A$83,0),MATCH($C264,'🔖 배합비 참조'!$B$1:$CE$1,0))/100,0),""))),"")</f>
        <v>0</v>
      </c>
      <c r="BN264" s="42" t="n">
        <f aca="false">IFERROR(IF($C264="","",IF($D264="","",IFERROR(ROUND($D264*INDEX('🔖 배합비 참조'!$B$2:$CE$83,MATCH("정제수",'🔖 배합비 참조'!$A$2:$A$83,0),MATCH($C264,'🔖 배합비 참조'!$B$1:$CE$1,0))/100,0),""))),"")</f>
        <v>33</v>
      </c>
      <c r="BO264" s="42" t="n">
        <f aca="false">IFERROR(IF($C264="","",IF($D264="","",IFERROR(ROUND($D264*INDEX('🔖 배합비 참조'!$B$2:$CE$83,MATCH("젤라틴",'🔖 배합비 참조'!$A$2:$A$83,0),MATCH($C264,'🔖 배합비 참조'!$B$1:$CE$1,0))/100,0),""))),"")</f>
        <v>0</v>
      </c>
      <c r="BP264" s="42" t="n">
        <f aca="false">IFERROR(IF($C264="","",IF($D264="","",IFERROR(ROUND($D264*INDEX('🔖 배합비 참조'!$B$2:$CE$83,MATCH("조림류(백옥앙금)",'🔖 배합비 참조'!$A$2:$A$83,0),MATCH($C264,'🔖 배합비 참조'!$B$1:$CE$1,0))/100,0),""))),"")</f>
        <v>0</v>
      </c>
      <c r="BQ264" s="42" t="n">
        <f aca="false">IFERROR(IF($C264="","",IF($D264="","",IFERROR(ROUND($D264*INDEX('🔖 배합비 참조'!$B$2:$CE$83,MATCH("조림류(통팥앙금)",'🔖 배합비 참조'!$A$2:$A$83,0),MATCH($C264,'🔖 배합비 참조'!$B$1:$CE$1,0))/100,0),""))),"")</f>
        <v>198</v>
      </c>
      <c r="BR264" s="42" t="n">
        <f aca="false">IFERROR(IF($C264="","",IF($D264="","",IFERROR(ROUND($D264*INDEX('🔖 배합비 참조'!$B$2:$CE$83,MATCH("준초콜릿(외국산)",'🔖 배합비 참조'!$A$2:$A$83,0),MATCH($C264,'🔖 배합비 참조'!$B$1:$CE$1,0))/100,0),""))),"")</f>
        <v>0</v>
      </c>
      <c r="BS264" s="42" t="n">
        <f aca="false">IFERROR(IF($C264="","",IF($D264="","",IFERROR(ROUND($D264*INDEX('🔖 배합비 참조'!$B$2:$CE$83,MATCH("중력분",'🔖 배합비 참조'!$A$2:$A$83,0),MATCH($C264,'🔖 배합비 참조'!$B$1:$CE$1,0))/100,0),""))),"")</f>
        <v>22</v>
      </c>
      <c r="BT264" s="42" t="n">
        <f aca="false">IFERROR(IF($C264="","",IF($D264="","",IFERROR(ROUND($D264*INDEX('🔖 배합비 참조'!$B$2:$CE$83,MATCH("참깨(인도산,나이지리아산,탄자니아산,미얀마산)",'🔖 배합비 참조'!$A$2:$A$83,0),MATCH($C264,'🔖 배합비 참조'!$B$1:$CE$1,0))/100,0),""))),"")</f>
        <v>0</v>
      </c>
      <c r="BU264" s="42" t="n">
        <f aca="false">IFERROR(IF($C264="","",IF($D264="","",IFERROR(ROUND($D264*INDEX('🔖 배합비 참조'!$B$2:$CE$83,MATCH("찹쌀(국내산)",'🔖 배합비 참조'!$A$2:$A$83,0),MATCH($C264,'🔖 배합비 참조'!$B$1:$CE$1,0))/100,0),""))),"")</f>
        <v>473</v>
      </c>
      <c r="BV264" s="42" t="n">
        <f aca="false">IFERROR(IF($C264="","",IF($D264="","",IFERROR(ROUND($D264*INDEX('🔖 배합비 참조'!$B$2:$CE$83,MATCH("천일염",'🔖 배합비 참조'!$A$2:$A$83,0),MATCH($C264,'🔖 배합비 참조'!$B$1:$CE$1,0))/100,0),""))),"")</f>
        <v>22</v>
      </c>
      <c r="BW264" s="42" t="n">
        <f aca="false">IFERROR(IF($C264="","",IF($D264="","",IFERROR(ROUND($D264*INDEX('🔖 배합비 참조'!$B$2:$CE$83,MATCH("치즈 [크림치즈]",'🔖 배합비 참조'!$A$2:$A$83,0),MATCH($C264,'🔖 배합비 참조'!$B$1:$CE$1,0))/100,0),""))),"")</f>
        <v>0</v>
      </c>
      <c r="BX264" s="42" t="n">
        <f aca="false">IFERROR(IF($C264="","",IF($D264="","",IFERROR(ROUND($D264*INDEX('🔖 배합비 참조'!$B$2:$CE$83,MATCH("코코아가공품류(코코아분말)",'🔖 배합비 참조'!$A$2:$A$83,0),MATCH($C264,'🔖 배합비 참조'!$B$1:$CE$1,0))/100,0),""))),"")</f>
        <v>0</v>
      </c>
      <c r="BY264" s="42" t="n">
        <f aca="false">IFERROR(IF($C264="","",IF($D264="","",IFERROR(ROUND($D264*INDEX('🔖 배합비 참조'!$B$2:$CE$83,MATCH("콩기름(대두유)",'🔖 배합비 참조'!$A$2:$A$83,0),MATCH($C264,'🔖 배합비 참조'!$B$1:$CE$1,0))/100,0),""))),"")</f>
        <v>0</v>
      </c>
      <c r="BZ264" s="42" t="n">
        <f aca="false">IFERROR(IF($C264="","",IF($D264="","",IFERROR(ROUND($D264*INDEX('🔖 배합비 참조'!$B$2:$CE$83,MATCH("해바라기씨앗",'🔖 배합비 참조'!$A$2:$A$83,0),MATCH($C264,'🔖 배합비 참조'!$B$1:$CE$1,0))/100,0),""))),"")</f>
        <v>0</v>
      </c>
      <c r="CA264" s="42" t="n">
        <f aca="false">IFERROR(IF($C264="","",IF($D264="","",IFERROR(ROUND($D264*INDEX('🔖 배합비 참조'!$B$2:$CE$83,MATCH("현미(국내산)",'🔖 배합비 참조'!$A$2:$A$83,0),MATCH($C264,'🔖 배합비 참조'!$B$1:$CE$1,0))/100,0),""))),"")</f>
        <v>0</v>
      </c>
      <c r="CB264" s="42" t="n">
        <f aca="false">IFERROR(IF($C264="","",IF($D264="","",IFERROR(ROUND($D264*INDEX('🔖 배합비 참조'!$B$2:$CE$83,MATCH("현미멥쌀(국내산)",'🔖 배합비 참조'!$A$2:$A$83,0),MATCH($C264,'🔖 배합비 참조'!$B$1:$CE$1,0))/100,0),""))),"")</f>
        <v>0</v>
      </c>
      <c r="CC264" s="42" t="n">
        <f aca="false">IFERROR(IF($C264="","",IF($D264="","",IFERROR(ROUND($D264*INDEX('🔖 배합비 참조'!$B$2:$CE$83,MATCH("호두분태(미국산)",'🔖 배합비 참조'!$A$2:$A$83,0),MATCH($C264,'🔖 배합비 참조'!$B$1:$CE$1,0))/100,0),""))),"")</f>
        <v>0</v>
      </c>
      <c r="CD264" s="42" t="n">
        <f aca="false">IFERROR(IF($C264="","",IF($D264="","",IFERROR(ROUND($D264*INDEX('🔖 배합비 참조'!$B$2:$CE$83,MATCH("호박씨앗(외국산)",'🔖 배합비 참조'!$A$2:$A$83,0),MATCH($C264,'🔖 배합비 참조'!$B$1:$CE$1,0))/100,0),""))),"")</f>
        <v>0</v>
      </c>
      <c r="CE264" s="42" t="n">
        <f aca="false">IFERROR(IF($C264="","",IF($D264="","",IFERROR(ROUND($D264*INDEX('🔖 배합비 참조'!$B$2:$CE$83,MATCH("혼합제제(떡용에스텔)",'🔖 배합비 참조'!$A$2:$A$83,0),MATCH($C264,'🔖 배합비 참조'!$B$1:$CE$1,0))/100,0),""))),"")</f>
        <v>22</v>
      </c>
      <c r="CF264" s="42" t="n">
        <f aca="false">IFERROR(IF($C264="","",IF($D264="","",IFERROR(ROUND($D264*INDEX('🔖 배합비 참조'!$B$2:$CE$83,MATCH("혼합제제(스테비아)",'🔖 배합비 참조'!$A$2:$A$83,0),MATCH($C264,'🔖 배합비 참조'!$B$1:$CE$1,0))/100,0),""))),"")</f>
        <v>0</v>
      </c>
      <c r="CG264" s="42" t="n">
        <f aca="false">IFERROR(IF($C264="","",IF($D264="","",IFERROR(ROUND($D264*INDEX('🔖 배합비 참조'!$B$2:$CE$83,MATCH("화이트초콜릿",'🔖 배합비 참조'!$A$2:$A$83,0),MATCH($C264,'🔖 배합비 참조'!$B$1:$CE$1,0))/100,0),""))),"")</f>
        <v>0</v>
      </c>
      <c r="CH264" s="42" t="n">
        <f aca="false">IFERROR(IF($C264="","",IF($D264="","",IFERROR(ROUND($D264*INDEX('🔖 배합비 참조'!$B$2:$CE$83,MATCH("흑미찹쌀(국내산)",'🔖 배합비 참조'!$A$2:$A$83,0),MATCH($C264,'🔖 배합비 참조'!$B$1:$CE$1,0))/100,0),""))),"")</f>
        <v>0</v>
      </c>
      <c r="CI264" s="42" t="n">
        <f aca="false">IFERROR(IF($C264="","",IF($D264="","",IFERROR(ROUND($D264*INDEX('🔖 배합비 참조'!$B$2:$CE$83,MATCH("찰옥수수전분(미국산)",'🔖 배합비 참조'!$A$2:$A$83,0),MATCH($C264,'🔖 배합비 참조'!$B$1:$CE$1,0))/100,0),""))),"")</f>
        <v>99</v>
      </c>
      <c r="CJ264" s="40"/>
      <c r="CL264" s="1" t="s">
        <v>248</v>
      </c>
    </row>
    <row r="265" customFormat="false" ht="18" hidden="false" customHeight="true" outlineLevel="0" collapsed="false">
      <c r="A265" s="35" t="n">
        <v>261</v>
      </c>
      <c r="B265" s="36" t="n">
        <v>46087</v>
      </c>
      <c r="C265" s="37" t="s">
        <v>204</v>
      </c>
      <c r="D265" s="38" t="n">
        <v>110</v>
      </c>
      <c r="E265" s="13"/>
      <c r="F265" s="13"/>
      <c r="G265" s="39" t="n">
        <f aca="false">IFERROR(IF($C265="","",IF($D265="","",IFERROR(ROUND($D265*INDEX('🔖 배합비 참조'!$B$2:$CE$83,MATCH("간장",'🔖 배합비 참조'!$A$2:$A$83,0),MATCH($C265,'🔖 배합비 참조'!$B$1:$CE$1,0))/100,0),""))),"")</f>
        <v>0</v>
      </c>
      <c r="H265" s="39" t="n">
        <f aca="false">IFERROR(IF($C265="","",IF($D265="","",IFERROR(ROUND($D265*INDEX('🔖 배합비 참조'!$B$2:$CE$83,MATCH("강낭콩((울타리콩))",'🔖 배합비 참조'!$A$2:$A$83,0),MATCH($C265,'🔖 배합비 참조'!$B$1:$CE$1,0))/100,0),""))),"")</f>
        <v>0</v>
      </c>
      <c r="I265" s="39" t="n">
        <f aca="false">IFERROR(IF($C265="","",IF($D265="","",IFERROR(ROUND($D265*INDEX('🔖 배합비 참조'!$B$2:$CE$83,MATCH("건조딸기다이스(외국산)",'🔖 배합비 참조'!$A$2:$A$83,0),MATCH($C265,'🔖 배합비 참조'!$B$1:$CE$1,0))/100,0),""))),"")</f>
        <v>0</v>
      </c>
      <c r="J265" s="39" t="n">
        <f aca="false">IFERROR(IF($C265="","",IF($D265="","",IFERROR(ROUND($D265*INDEX('🔖 배합비 참조'!$B$2:$CE$83,MATCH("건포도",'🔖 배합비 참조'!$A$2:$A$83,0),MATCH($C265,'🔖 배합비 참조'!$B$1:$CE$1,0))/100,0),""))),"")</f>
        <v>0</v>
      </c>
      <c r="K265" s="39" t="n">
        <f aca="false">IFERROR(IF($C265="","",IF($D265="","",IFERROR(ROUND($D265*INDEX('🔖 배합비 참조'!$B$2:$CE$83,MATCH("건호박채(중국산)",'🔖 배합비 참조'!$A$2:$A$83,0),MATCH($C265,'🔖 배합비 참조'!$B$1:$CE$1,0))/100,0),""))),"")</f>
        <v>0</v>
      </c>
      <c r="L265" s="39" t="n">
        <f aca="false">IFERROR(IF($C265="","",IF($D265="","",IFERROR(ROUND($D265*INDEX('🔖 배합비 참조'!$B$2:$CE$83,MATCH("검정깨(흑임자)",'🔖 배합비 참조'!$A$2:$A$83,0),MATCH($C265,'🔖 배합비 참조'!$B$1:$CE$1,0))/100,0),""))),"")</f>
        <v>0</v>
      </c>
      <c r="M265" s="39" t="n">
        <f aca="false">IFERROR(IF($C265="","",IF($D265="","",IFERROR(ROUND($D265*INDEX('🔖 배합비 참조'!$B$2:$CE$83,MATCH("검정콩",'🔖 배합비 참조'!$A$2:$A$83,0),MATCH($C265,'🔖 배합비 참조'!$B$1:$CE$1,0))/100,0),""))),"")</f>
        <v>0</v>
      </c>
      <c r="N265" s="39" t="n">
        <f aca="false">IFERROR(IF($C265="","",IF($D265="","",IFERROR(ROUND($D265*INDEX('🔖 배합비 참조'!$B$2:$CE$83,MATCH("계피가루",'🔖 배합비 참조'!$A$2:$A$83,0),MATCH($C265,'🔖 배합비 참조'!$B$1:$CE$1,0))/100,0),""))),"")</f>
        <v>0</v>
      </c>
      <c r="O265" s="39" t="n">
        <f aca="false">IFERROR(IF($C265="","",IF($D265="","",IFERROR(ROUND($D265*INDEX('🔖 배합비 참조'!$B$2:$CE$83,MATCH("고구마가루",'🔖 배합비 참조'!$A$2:$A$83,0),MATCH($C265,'🔖 배합비 참조'!$B$1:$CE$1,0))/100,0),""))),"")</f>
        <v>0</v>
      </c>
      <c r="P265" s="39" t="n">
        <f aca="false">IFERROR(IF($C265="","",IF($D265="","",IFERROR(ROUND($D265*INDEX('🔖 배합비 참조'!$B$2:$CE$83,MATCH("고구마무스",'🔖 배합비 참조'!$A$2:$A$83,0),MATCH($C265,'🔖 배합비 참조'!$B$1:$CE$1,0))/100,0),""))),"")</f>
        <v>0</v>
      </c>
      <c r="Q265" s="39" t="n">
        <f aca="false">IFERROR(IF($C265="","",IF($D265="","",IFERROR(ROUND($D265*INDEX('🔖 배합비 참조'!$B$2:$CE$83,MATCH("고려엉겅퀴((곤드레)국내산)",'🔖 배합비 참조'!$A$2:$A$83,0),MATCH($C265,'🔖 배합비 참조'!$B$1:$CE$1,0))/100,0),""))),"")</f>
        <v>0</v>
      </c>
      <c r="R265" s="39" t="n">
        <f aca="false">IFERROR(IF($C265="","",IF($D265="","",IFERROR(ROUND($D265*INDEX('🔖 배합비 참조'!$B$2:$CE$83,MATCH("기타가공품(복분자가루)",'🔖 배합비 참조'!$A$2:$A$83,0),MATCH($C265,'🔖 배합비 참조'!$B$1:$CE$1,0))/100,0),""))),"")</f>
        <v>0</v>
      </c>
      <c r="S265" s="39" t="n">
        <f aca="false">IFERROR(IF($C265="","",IF($D265="","",IFERROR(ROUND($D265*INDEX('🔖 배합비 참조'!$B$2:$CE$83,MATCH("기타가공품(슈퍼소프트엠)",'🔖 배합비 참조'!$A$2:$A$83,0),MATCH($C265,'🔖 배합비 참조'!$B$1:$CE$1,0))/100,0),""))),"")</f>
        <v>0</v>
      </c>
      <c r="T265" s="39" t="n">
        <f aca="false">IFERROR(IF($C265="","",IF($D265="","",IFERROR(ROUND($D265*INDEX('🔖 배합비 참조'!$B$2:$CE$83,MATCH("기타가공품(파인소프트 E-티)",'🔖 배합비 참조'!$A$2:$A$83,0),MATCH($C265,'🔖 배합비 참조'!$B$1:$CE$1,0))/100,0),""))),"")</f>
        <v>0</v>
      </c>
      <c r="U265" s="39" t="n">
        <f aca="false">IFERROR(IF($C265="","",IF($D265="","",IFERROR(ROUND($D265*INDEX('🔖 배합비 참조'!$B$2:$CE$83,MATCH("기타가공품(프리미엄카스테라가루)",'🔖 배합비 참조'!$A$2:$A$83,0),MATCH($C265,'🔖 배합비 참조'!$B$1:$CE$1,0))/100,0),""))),"")</f>
        <v>0</v>
      </c>
      <c r="V265" s="39" t="n">
        <f aca="false">IFERROR(IF($C265="","",IF($D265="","",IFERROR(ROUND($D265*INDEX('🔖 배합비 참조'!$B$2:$CE$83,MATCH("기타가공품(흑임자가루)",'🔖 배합비 참조'!$A$2:$A$83,0),MATCH($C265,'🔖 배합비 참조'!$B$1:$CE$1,0))/100,0),""))),"")</f>
        <v>0</v>
      </c>
      <c r="W265" s="39" t="n">
        <f aca="false">IFERROR(IF($C265="","",IF($D265="","",IFERROR(ROUND($D265*INDEX('🔖 배합비 참조'!$B$2:$CE$83,MATCH("기타설탕(흑설탕)",'🔖 배합비 참조'!$A$2:$A$83,0),MATCH($C265,'🔖 배합비 참조'!$B$1:$CE$1,0))/100,0),""))),"")</f>
        <v>0</v>
      </c>
      <c r="X265" s="39" t="n">
        <f aca="false">IFERROR(IF($C265="","",IF($D265="","",IFERROR(ROUND($D265*INDEX('🔖 배합비 참조'!$B$2:$CE$83,MATCH("냉동쑥(국내산)",'🔖 배합비 참조'!$A$2:$A$83,0),MATCH($C265,'🔖 배합비 참조'!$B$1:$CE$1,0))/100,0),""))),"")</f>
        <v>4</v>
      </c>
      <c r="Y265" s="39" t="n">
        <f aca="false">IFERROR(IF($C265="","",IF($D265="","",IFERROR(ROUND($D265*INDEX('🔖 배합비 참조'!$B$2:$CE$83,MATCH("냉동증숙고구마(중국산)",'🔖 배합비 참조'!$A$2:$A$83,0),MATCH($C265,'🔖 배합비 참조'!$B$1:$CE$1,0))/100,0),""))),"")</f>
        <v>0</v>
      </c>
      <c r="Z265" s="39" t="n">
        <f aca="false">IFERROR(IF($C265="","",IF($D265="","",IFERROR(ROUND($D265*INDEX('🔖 배합비 참조'!$B$2:$CE$83,MATCH("녹차가루",'🔖 배합비 참조'!$A$2:$A$83,0),MATCH($C265,'🔖 배합비 참조'!$B$1:$CE$1,0))/100,0),""))),"")</f>
        <v>0</v>
      </c>
      <c r="AA265" s="39" t="n">
        <f aca="false">IFERROR(IF($C265="","",IF($D265="","",IFERROR(ROUND($D265*INDEX('🔖 배합비 참조'!$B$2:$CE$83,MATCH("다크초콜릿 컴파운드칩",'🔖 배합비 참조'!$A$2:$A$83,0),MATCH($C265,'🔖 배합비 참조'!$B$1:$CE$1,0))/100,0),""))),"")</f>
        <v>0</v>
      </c>
      <c r="AB265" s="39" t="n">
        <f aca="false">IFERROR(IF($C265="","",IF($D265="","",IFERROR(ROUND($D265*INDEX('🔖 배합비 참조'!$B$2:$CE$83,MATCH("단호박분말(중국산)",'🔖 배합비 참조'!$A$2:$A$83,0),MATCH($C265,'🔖 배합비 참조'!$B$1:$CE$1,0))/100,0),""))),"")</f>
        <v>0</v>
      </c>
      <c r="AC265" s="39" t="n">
        <f aca="false">IFERROR(IF($C265="","",IF($D265="","",IFERROR(ROUND($D265*INDEX('🔖 배합비 참조'!$B$2:$CE$83,MATCH("당류가공품(단호박농축액)",'🔖 배합비 참조'!$A$2:$A$83,0),MATCH($C265,'🔖 배합비 참조'!$B$1:$CE$1,0))/100,0),""))),"")</f>
        <v>0</v>
      </c>
      <c r="AD265" s="39" t="n">
        <f aca="false">IFERROR(IF($C265="","",IF($D265="","",IFERROR(ROUND($D265*INDEX('🔖 배합비 참조'!$B$2:$CE$83,MATCH("당류가공품(알룰로스,에리스리톨,스테비올배당체혼합)",'🔖 배합비 참조'!$A$2:$A$83,0),MATCH($C265,'🔖 배합비 참조'!$B$1:$CE$1,0))/100,0),""))),"")</f>
        <v>0</v>
      </c>
      <c r="AE265" s="39" t="n">
        <f aca="false">IFERROR(IF($C265="","",IF($D265="","",IFERROR(ROUND($D265*INDEX('🔖 배합비 참조'!$B$2:$CE$83,MATCH("당류가공품(알룰로스제로파우더)",'🔖 배합비 참조'!$A$2:$A$83,0),MATCH($C265,'🔖 배합비 참조'!$B$1:$CE$1,0))/100,0),""))),"")</f>
        <v>0</v>
      </c>
      <c r="AF265" s="39" t="n">
        <f aca="false">IFERROR(IF($C265="","",IF($D265="","",IFERROR(ROUND($D265*INDEX('🔖 배합비 참조'!$B$2:$CE$83,MATCH("당절임(완두배기)",'🔖 배합비 참조'!$A$2:$A$83,0),MATCH($C265,'🔖 배합비 참조'!$B$1:$CE$1,0))/100,0),""))),"")</f>
        <v>0</v>
      </c>
      <c r="AG265" s="39" t="n">
        <f aca="false">IFERROR(IF($C265="","",IF($D265="","",IFERROR(ROUND($D265*INDEX('🔖 배합비 참조'!$B$2:$CE$83,MATCH("대추농축액",'🔖 배합비 참조'!$A$2:$A$83,0),MATCH($C265,'🔖 배합비 참조'!$B$1:$CE$1,0))/100,0),""))),"")</f>
        <v>0</v>
      </c>
      <c r="AH265" s="39" t="n">
        <f aca="false">IFERROR(IF($C265="","",IF($D265="","",IFERROR(ROUND($D265*INDEX('🔖 배합비 참조'!$B$2:$CE$83,MATCH("대추채(국내산)",'🔖 배합비 참조'!$A$2:$A$83,0),MATCH($C265,'🔖 배합비 참조'!$B$1:$CE$1,0))/100,0),""))),"")</f>
        <v>0</v>
      </c>
      <c r="AI265" s="39" t="n">
        <f aca="false">IFERROR(IF($C265="","",IF($D265="","",IFERROR(ROUND($D265*INDEX('🔖 배합비 참조'!$B$2:$CE$83,MATCH("동부(미얀마산)",'🔖 배합비 참조'!$A$2:$A$83,0),MATCH($C265,'🔖 배합비 참조'!$B$1:$CE$1,0))/100,0),""))),"")</f>
        <v>0</v>
      </c>
      <c r="AJ265" s="39" t="n">
        <f aca="false">IFERROR(IF($C265="","",IF($D265="","",IFERROR(ROUND($D265*INDEX('🔖 배합비 참조'!$B$2:$CE$83,MATCH("두류가공품(백옥앙금)",'🔖 배합비 참조'!$A$2:$A$83,0),MATCH($C265,'🔖 배합비 참조'!$B$1:$CE$1,0))/100,0),""))),"")</f>
        <v>0</v>
      </c>
      <c r="AK265" s="39" t="n">
        <f aca="false">IFERROR(IF($C265="","",IF($D265="","",IFERROR(ROUND($D265*INDEX('🔖 배합비 참조'!$B$2:$CE$83,MATCH("두류가공품(콩고물)",'🔖 배합비 참조'!$A$2:$A$83,0),MATCH($C265,'🔖 배합비 참조'!$B$1:$CE$1,0))/100,0),""))),"")</f>
        <v>3</v>
      </c>
      <c r="AL265" s="39" t="n">
        <f aca="false">IFERROR(IF($C265="","",IF($D265="","",IFERROR(ROUND($D265*INDEX('🔖 배합비 참조'!$B$2:$CE$83,MATCH("두류가공품(통팥고물)",'🔖 배합비 참조'!$A$2:$A$83,0),MATCH($C265,'🔖 배합비 참조'!$B$1:$CE$1,0))/100,0),""))),"")</f>
        <v>0</v>
      </c>
      <c r="AM265" s="39" t="n">
        <f aca="false">IFERROR(IF($C265="","",IF($D265="","",IFERROR(ROUND($D265*INDEX('🔖 배합비 참조'!$B$2:$CE$83,MATCH("딸기레진",'🔖 배합비 참조'!$A$2:$A$83,0),MATCH($C265,'🔖 배합비 참조'!$B$1:$CE$1,0))/100,0),""))),"")</f>
        <v>0</v>
      </c>
      <c r="AN265" s="39" t="n">
        <f aca="false">IFERROR(IF($C265="","",IF($D265="","",IFERROR(ROUND($D265*INDEX('🔖 배합비 참조'!$B$2:$CE$83,MATCH("딸기분말(스트로우베리에이드(분말))",'🔖 배합비 참조'!$A$2:$A$83,0),MATCH($C265,'🔖 배합비 참조'!$B$1:$CE$1,0))/100,0),""))),"")</f>
        <v>0</v>
      </c>
      <c r="AO265" s="39" t="n">
        <f aca="false">IFERROR(IF($C265="","",IF($D265="","",IFERROR(ROUND($D265*INDEX('🔖 배합비 참조'!$B$2:$CE$83,MATCH("마스카포네치즈",'🔖 배합비 참조'!$A$2:$A$83,0),MATCH($C265,'🔖 배합비 참조'!$B$1:$CE$1,0))/100,0),""))),"")</f>
        <v>0</v>
      </c>
      <c r="AP265" s="39" t="n">
        <f aca="false">IFERROR(IF($C265="","",IF($D265="","",IFERROR(ROUND($D265*INDEX('🔖 배합비 참조'!$B$2:$CE$83,MATCH("마카다미아분태(호주산)",'🔖 배합비 참조'!$A$2:$A$83,0),MATCH($C265,'🔖 배합비 참조'!$B$1:$CE$1,0))/100,0),""))),"")</f>
        <v>0</v>
      </c>
      <c r="AQ265" s="39" t="n">
        <f aca="false">IFERROR(IF($C265="","",IF($D265="","",IFERROR(ROUND($D265*INDEX('🔖 배합비 참조'!$B$2:$CE$83,MATCH("멥쌀(국내산)",'🔖 배합비 참조'!$A$2:$A$83,0),MATCH($C265,'🔖 배합비 참조'!$B$1:$CE$1,0))/100,0),""))),"")</f>
        <v>0</v>
      </c>
      <c r="AR265" s="39" t="n">
        <f aca="false">IFERROR(IF($C265="","",IF($D265="","",IFERROR(ROUND($D265*INDEX('🔖 배합비 참조'!$B$2:$CE$83,MATCH("모시잎(국내산)",'🔖 배합비 참조'!$A$2:$A$83,0),MATCH($C265,'🔖 배합비 참조'!$B$1:$CE$1,0))/100,0),""))),"")</f>
        <v>0</v>
      </c>
      <c r="AS265" s="39" t="n">
        <f aca="false">IFERROR(IF($C265="","",IF($D265="","",IFERROR(ROUND($D265*INDEX('🔖 배합비 참조'!$B$2:$CE$83,MATCH("물엿(저당물엿)",'🔖 배합비 참조'!$A$2:$A$83,0),MATCH($C265,'🔖 배합비 참조'!$B$1:$CE$1,0))/100,0),""))),"")</f>
        <v>2</v>
      </c>
      <c r="AT265" s="39" t="n">
        <f aca="false">IFERROR(IF($C265="","",IF($D265="","",IFERROR(ROUND($D265*INDEX('🔖 배합비 참조'!$B$2:$CE$83,MATCH("밤다이스",'🔖 배합비 참조'!$A$2:$A$83,0),MATCH($C265,'🔖 배합비 참조'!$B$1:$CE$1,0))/100,0),""))),"")</f>
        <v>0</v>
      </c>
      <c r="AU265" s="39" t="n">
        <f aca="false">IFERROR(IF($C265="","",IF($D265="","",IFERROR(ROUND($D265*INDEX('🔖 배합비 참조'!$B$2:$CE$83,MATCH("변성전분(타피오카전분)",'🔖 배합비 참조'!$A$2:$A$83,0),MATCH($C265,'🔖 배합비 참조'!$B$1:$CE$1,0))/100,0),""))),"")</f>
        <v>0</v>
      </c>
      <c r="AV265" s="39" t="n">
        <f aca="false">IFERROR(IF($C265="","",IF($D265="","",IFERROR(ROUND($D265*INDEX('🔖 배합비 참조'!$B$2:$CE$83,MATCH("복음땅콩분태",'🔖 배합비 참조'!$A$2:$A$83,0),MATCH($C265,'🔖 배합비 참조'!$B$1:$CE$1,0))/100,0),""))),"")</f>
        <v>0</v>
      </c>
      <c r="AW265" s="39" t="n">
        <f aca="false">IFERROR(IF($C265="","",IF($D265="","",IFERROR(ROUND($D265*INDEX('🔖 배합비 참조'!$B$2:$CE$83,MATCH("사양벌꿀(국내산)",'🔖 배합비 참조'!$A$2:$A$83,0),MATCH($C265,'🔖 배합비 참조'!$B$1:$CE$1,0))/100,0),""))),"")</f>
        <v>0</v>
      </c>
      <c r="AX265" s="39" t="n">
        <f aca="false">IFERROR(IF($C265="","",IF($D265="","",IFERROR(ROUND($D265*INDEX('🔖 배합비 참조'!$B$2:$CE$83,MATCH("생크림",'🔖 배합비 참조'!$A$2:$A$83,0),MATCH($C265,'🔖 배합비 참조'!$B$1:$CE$1,0))/100,0),""))),"")</f>
        <v>0</v>
      </c>
      <c r="AY265" s="39" t="n">
        <f aca="false">IFERROR(IF($C265="","",IF($D265="","",IFERROR(ROUND($D265*INDEX('🔖 배합비 참조'!$B$2:$CE$83,MATCH("서양호박(국내산,뉴질랜드산)",'🔖 배합비 참조'!$A$2:$A$83,0),MATCH($C265,'🔖 배합비 참조'!$B$1:$CE$1,0))/100,0),""))),"")</f>
        <v>0</v>
      </c>
      <c r="AZ265" s="39" t="n">
        <f aca="false">IFERROR(IF($C265="","",IF($D265="","",IFERROR(ROUND($D265*INDEX('🔖 배합비 참조'!$B$2:$CE$83,MATCH("설탕",'🔖 배합비 참조'!$A$2:$A$83,0),MATCH($C265,'🔖 배합비 참조'!$B$1:$CE$1,0))/100,0),""))),"")</f>
        <v>2</v>
      </c>
      <c r="BA265" s="39" t="n">
        <f aca="false">IFERROR(IF($C265="","",IF($D265="","",IFERROR(ROUND($D265*INDEX('🔖 배합비 참조'!$B$2:$CE$83,MATCH("스트로우베리 에이드 후레쉬",'🔖 배합비 참조'!$A$2:$A$83,0),MATCH($C265,'🔖 배합비 참조'!$B$1:$CE$1,0))/100,0),""))),"")</f>
        <v>0</v>
      </c>
      <c r="BB265" s="39" t="n">
        <f aca="false">IFERROR(IF($C265="","",IF($D265="","",IFERROR(ROUND($D265*INDEX('🔖 배합비 참조'!$B$2:$CE$83,MATCH("식물성기름혼합제제(분홍)",'🔖 배합비 참조'!$A$2:$A$83,0),MATCH($C265,'🔖 배합비 참조'!$B$1:$CE$1,0))/100,0),""))),"")</f>
        <v>0</v>
      </c>
      <c r="BC265" s="39" t="n">
        <f aca="false">IFERROR(IF($C265="","",IF($D265="","",IFERROR(ROUND($D265*INDEX('🔖 배합비 참조'!$B$2:$CE$83,MATCH("식물성기름혼합제제(초록)",'🔖 배합비 참조'!$A$2:$A$83,0),MATCH($C265,'🔖 배합비 참조'!$B$1:$CE$1,0))/100,0),""))),"")</f>
        <v>0</v>
      </c>
      <c r="BD265" s="39" t="n">
        <f aca="false">IFERROR(IF($C265="","",IF($D265="","",IFERROR(ROUND($D265*INDEX('🔖 배합비 참조'!$B$2:$CE$83,MATCH("식물성기름혼합제제(황색)",'🔖 배합비 참조'!$A$2:$A$83,0),MATCH($C265,'🔖 배합비 참조'!$B$1:$CE$1,0))/100,0),""))),"")</f>
        <v>0</v>
      </c>
      <c r="BE265" s="39" t="n">
        <f aca="false">IFERROR(IF($C265="","",IF($D265="","",IFERROR(ROUND($D265*INDEX('🔖 배합비 참조'!$B$2:$CE$83,MATCH("쑥가루(국내산)",'🔖 배합비 참조'!$A$2:$A$83,0),MATCH($C265,'🔖 배합비 참조'!$B$1:$CE$1,0))/100,0),""))),"")</f>
        <v>1</v>
      </c>
      <c r="BF265" s="39" t="n">
        <f aca="false">IFERROR(IF($C265="","",IF($D265="","",IFERROR(ROUND($D265*INDEX('🔖 배합비 참조'!$B$2:$CE$83,MATCH("아몬드슬라이스",'🔖 배합비 참조'!$A$2:$A$83,0),MATCH($C265,'🔖 배합비 참조'!$B$1:$CE$1,0))/100,0),""))),"")</f>
        <v>0</v>
      </c>
      <c r="BG265" s="39" t="n">
        <f aca="false">IFERROR(IF($C265="","",IF($D265="","",IFERROR(ROUND($D265*INDEX('🔖 배합비 참조'!$B$2:$CE$83,MATCH("알룰로오스(국내산)",'🔖 배합비 참조'!$A$2:$A$83,0),MATCH($C265,'🔖 배합비 참조'!$B$1:$CE$1,0))/100,0),""))),"")</f>
        <v>0</v>
      </c>
      <c r="BH265" s="39" t="n">
        <f aca="false">IFERROR(IF($C265="","",IF($D265="","",IFERROR(ROUND($D265*INDEX('🔖 배합비 참조'!$B$2:$CE$83,MATCH("연유",'🔖 배합비 참조'!$A$2:$A$83,0),MATCH($C265,'🔖 배합비 참조'!$B$1:$CE$1,0))/100,0),""))),"")</f>
        <v>0</v>
      </c>
      <c r="BI265" s="39" t="n">
        <f aca="false">IFERROR(IF($C265="","",IF($D265="","",IFERROR(ROUND($D265*INDEX('🔖 배합비 참조'!$B$2:$CE$83,MATCH("옥수수전분",'🔖 배합비 참조'!$A$2:$A$83,0),MATCH($C265,'🔖 배합비 참조'!$B$1:$CE$1,0))/100,0),""))),"")</f>
        <v>0</v>
      </c>
      <c r="BJ265" s="39" t="n">
        <f aca="false">IFERROR(IF($C265="","",IF($D265="","",IFERROR(ROUND($D265*INDEX('🔖 배합비 참조'!$B$2:$CE$83,MATCH("완두배기",'🔖 배합비 참조'!$A$2:$A$83,0),MATCH($C265,'🔖 배합비 참조'!$B$1:$CE$1,0))/100,0),""))),"")</f>
        <v>0</v>
      </c>
      <c r="BK265" s="39" t="n">
        <f aca="false">IFERROR(IF($C265="","",IF($D265="","",IFERROR(ROUND($D265*INDEX('🔖 배합비 참조'!$B$2:$CE$83,MATCH("우유(국내산)",'🔖 배합비 참조'!$A$2:$A$83,0),MATCH($C265,'🔖 배합비 참조'!$B$1:$CE$1,0))/100,0),""))),"")</f>
        <v>0</v>
      </c>
      <c r="BL265" s="39" t="n">
        <f aca="false">IFERROR(IF($C265="","",IF($D265="","",IFERROR(ROUND($D265*INDEX('🔖 배합비 참조'!$B$2:$CE$83,MATCH("자색고구마가루(중국산)",'🔖 배합비 참조'!$A$2:$A$83,0),MATCH($C265,'🔖 배합비 참조'!$B$1:$CE$1,0))/100,0),""))),"")</f>
        <v>0</v>
      </c>
      <c r="BM265" s="39" t="n">
        <f aca="false">IFERROR(IF($C265="","",IF($D265="","",IFERROR(ROUND($D265*INDEX('🔖 배합비 참조'!$B$2:$CE$83,MATCH("자연치즈(체다치즈)",'🔖 배합비 참조'!$A$2:$A$83,0),MATCH($C265,'🔖 배합비 참조'!$B$1:$CE$1,0))/100,0),""))),"")</f>
        <v>0</v>
      </c>
      <c r="BN265" s="39" t="n">
        <f aca="false">IFERROR(IF($C265="","",IF($D265="","",IFERROR(ROUND($D265*INDEX('🔖 배합비 참조'!$B$2:$CE$83,MATCH("정제수",'🔖 배합비 참조'!$A$2:$A$83,0),MATCH($C265,'🔖 배합비 참조'!$B$1:$CE$1,0))/100,0),""))),"")</f>
        <v>0</v>
      </c>
      <c r="BO265" s="39" t="n">
        <f aca="false">IFERROR(IF($C265="","",IF($D265="","",IFERROR(ROUND($D265*INDEX('🔖 배합비 참조'!$B$2:$CE$83,MATCH("젤라틴",'🔖 배합비 참조'!$A$2:$A$83,0),MATCH($C265,'🔖 배합비 참조'!$B$1:$CE$1,0))/100,0),""))),"")</f>
        <v>0</v>
      </c>
      <c r="BP265" s="39" t="n">
        <f aca="false">IFERROR(IF($C265="","",IF($D265="","",IFERROR(ROUND($D265*INDEX('🔖 배합비 참조'!$B$2:$CE$83,MATCH("조림류(백옥앙금)",'🔖 배합비 참조'!$A$2:$A$83,0),MATCH($C265,'🔖 배합비 참조'!$B$1:$CE$1,0))/100,0),""))),"")</f>
        <v>0</v>
      </c>
      <c r="BQ265" s="39" t="n">
        <f aca="false">IFERROR(IF($C265="","",IF($D265="","",IFERROR(ROUND($D265*INDEX('🔖 배합비 참조'!$B$2:$CE$83,MATCH("조림류(통팥앙금)",'🔖 배합비 참조'!$A$2:$A$83,0),MATCH($C265,'🔖 배합비 참조'!$B$1:$CE$1,0))/100,0),""))),"")</f>
        <v>46</v>
      </c>
      <c r="BR265" s="39" t="n">
        <f aca="false">IFERROR(IF($C265="","",IF($D265="","",IFERROR(ROUND($D265*INDEX('🔖 배합비 참조'!$B$2:$CE$83,MATCH("준초콜릿(외국산)",'🔖 배합비 참조'!$A$2:$A$83,0),MATCH($C265,'🔖 배합비 참조'!$B$1:$CE$1,0))/100,0),""))),"")</f>
        <v>0</v>
      </c>
      <c r="BS265" s="39" t="n">
        <f aca="false">IFERROR(IF($C265="","",IF($D265="","",IFERROR(ROUND($D265*INDEX('🔖 배합비 참조'!$B$2:$CE$83,MATCH("중력분",'🔖 배합비 참조'!$A$2:$A$83,0),MATCH($C265,'🔖 배합비 참조'!$B$1:$CE$1,0))/100,0),""))),"")</f>
        <v>1</v>
      </c>
      <c r="BT265" s="39" t="n">
        <f aca="false">IFERROR(IF($C265="","",IF($D265="","",IFERROR(ROUND($D265*INDEX('🔖 배합비 참조'!$B$2:$CE$83,MATCH("참깨(인도산,나이지리아산,탄자니아산,미얀마산)",'🔖 배합비 참조'!$A$2:$A$83,0),MATCH($C265,'🔖 배합비 참조'!$B$1:$CE$1,0))/100,0),""))),"")</f>
        <v>0</v>
      </c>
      <c r="BU265" s="39" t="n">
        <f aca="false">IFERROR(IF($C265="","",IF($D265="","",IFERROR(ROUND($D265*INDEX('🔖 배합비 참조'!$B$2:$CE$83,MATCH("찹쌀(국내산)",'🔖 배합비 참조'!$A$2:$A$83,0),MATCH($C265,'🔖 배합비 참조'!$B$1:$CE$1,0))/100,0),""))),"")</f>
        <v>49</v>
      </c>
      <c r="BV265" s="39" t="n">
        <f aca="false">IFERROR(IF($C265="","",IF($D265="","",IFERROR(ROUND($D265*INDEX('🔖 배합비 참조'!$B$2:$CE$83,MATCH("천일염",'🔖 배합비 참조'!$A$2:$A$83,0),MATCH($C265,'🔖 배합비 참조'!$B$1:$CE$1,0))/100,0),""))),"")</f>
        <v>1</v>
      </c>
      <c r="BW265" s="39" t="n">
        <f aca="false">IFERROR(IF($C265="","",IF($D265="","",IFERROR(ROUND($D265*INDEX('🔖 배합비 참조'!$B$2:$CE$83,MATCH("치즈 [크림치즈]",'🔖 배합비 참조'!$A$2:$A$83,0),MATCH($C265,'🔖 배합비 참조'!$B$1:$CE$1,0))/100,0),""))),"")</f>
        <v>0</v>
      </c>
      <c r="BX265" s="39" t="n">
        <f aca="false">IFERROR(IF($C265="","",IF($D265="","",IFERROR(ROUND($D265*INDEX('🔖 배합비 참조'!$B$2:$CE$83,MATCH("코코아가공품류(코코아분말)",'🔖 배합비 참조'!$A$2:$A$83,0),MATCH($C265,'🔖 배합비 참조'!$B$1:$CE$1,0))/100,0),""))),"")</f>
        <v>0</v>
      </c>
      <c r="BY265" s="39" t="n">
        <f aca="false">IFERROR(IF($C265="","",IF($D265="","",IFERROR(ROUND($D265*INDEX('🔖 배합비 참조'!$B$2:$CE$83,MATCH("콩기름(대두유)",'🔖 배합비 참조'!$A$2:$A$83,0),MATCH($C265,'🔖 배합비 참조'!$B$1:$CE$1,0))/100,0),""))),"")</f>
        <v>0</v>
      </c>
      <c r="BZ265" s="39" t="n">
        <f aca="false">IFERROR(IF($C265="","",IF($D265="","",IFERROR(ROUND($D265*INDEX('🔖 배합비 참조'!$B$2:$CE$83,MATCH("해바라기씨앗",'🔖 배합비 참조'!$A$2:$A$83,0),MATCH($C265,'🔖 배합비 참조'!$B$1:$CE$1,0))/100,0),""))),"")</f>
        <v>0</v>
      </c>
      <c r="CA265" s="39" t="n">
        <f aca="false">IFERROR(IF($C265="","",IF($D265="","",IFERROR(ROUND($D265*INDEX('🔖 배합비 참조'!$B$2:$CE$83,MATCH("현미(국내산)",'🔖 배합비 참조'!$A$2:$A$83,0),MATCH($C265,'🔖 배합비 참조'!$B$1:$CE$1,0))/100,0),""))),"")</f>
        <v>0</v>
      </c>
      <c r="CB265" s="39" t="n">
        <f aca="false">IFERROR(IF($C265="","",IF($D265="","",IFERROR(ROUND($D265*INDEX('🔖 배합비 참조'!$B$2:$CE$83,MATCH("현미멥쌀(국내산)",'🔖 배합비 참조'!$A$2:$A$83,0),MATCH($C265,'🔖 배합비 참조'!$B$1:$CE$1,0))/100,0),""))),"")</f>
        <v>0</v>
      </c>
      <c r="CC265" s="39" t="n">
        <f aca="false">IFERROR(IF($C265="","",IF($D265="","",IFERROR(ROUND($D265*INDEX('🔖 배합비 참조'!$B$2:$CE$83,MATCH("호두분태(미국산)",'🔖 배합비 참조'!$A$2:$A$83,0),MATCH($C265,'🔖 배합비 참조'!$B$1:$CE$1,0))/100,0),""))),"")</f>
        <v>0</v>
      </c>
      <c r="CD265" s="39" t="n">
        <f aca="false">IFERROR(IF($C265="","",IF($D265="","",IFERROR(ROUND($D265*INDEX('🔖 배합비 참조'!$B$2:$CE$83,MATCH("호박씨앗(외국산)",'🔖 배합비 참조'!$A$2:$A$83,0),MATCH($C265,'🔖 배합비 참조'!$B$1:$CE$1,0))/100,0),""))),"")</f>
        <v>0</v>
      </c>
      <c r="CE265" s="39" t="n">
        <f aca="false">IFERROR(IF($C265="","",IF($D265="","",IFERROR(ROUND($D265*INDEX('🔖 배합비 참조'!$B$2:$CE$83,MATCH("혼합제제(떡용에스텔)",'🔖 배합비 참조'!$A$2:$A$83,0),MATCH($C265,'🔖 배합비 참조'!$B$1:$CE$1,0))/100,0),""))),"")</f>
        <v>0</v>
      </c>
      <c r="CF265" s="39" t="n">
        <f aca="false">IFERROR(IF($C265="","",IF($D265="","",IFERROR(ROUND($D265*INDEX('🔖 배합비 참조'!$B$2:$CE$83,MATCH("혼합제제(스테비아)",'🔖 배합비 참조'!$A$2:$A$83,0),MATCH($C265,'🔖 배합비 참조'!$B$1:$CE$1,0))/100,0),""))),"")</f>
        <v>0</v>
      </c>
      <c r="CG265" s="39" t="n">
        <f aca="false">IFERROR(IF($C265="","",IF($D265="","",IFERROR(ROUND($D265*INDEX('🔖 배합비 참조'!$B$2:$CE$83,MATCH("화이트초콜릿",'🔖 배합비 참조'!$A$2:$A$83,0),MATCH($C265,'🔖 배합비 참조'!$B$1:$CE$1,0))/100,0),""))),"")</f>
        <v>0</v>
      </c>
      <c r="CH265" s="39" t="n">
        <f aca="false">IFERROR(IF($C265="","",IF($D265="","",IFERROR(ROUND($D265*INDEX('🔖 배합비 참조'!$B$2:$CE$83,MATCH("흑미찹쌀(국내산)",'🔖 배합비 참조'!$A$2:$A$83,0),MATCH($C265,'🔖 배합비 참조'!$B$1:$CE$1,0))/100,0),""))),"")</f>
        <v>0</v>
      </c>
      <c r="CI265" s="39" t="n">
        <f aca="false">IFERROR(IF($C265="","",IF($D265="","",IFERROR(ROUND($D265*INDEX('🔖 배합비 참조'!$B$2:$CE$83,MATCH("찰옥수수전분(미국산)",'🔖 배합비 참조'!$A$2:$A$83,0),MATCH($C265,'🔖 배합비 참조'!$B$1:$CE$1,0))/100,0),""))),"")</f>
        <v>0</v>
      </c>
      <c r="CJ265" s="40"/>
      <c r="CL265" s="1" t="s">
        <v>248</v>
      </c>
    </row>
    <row r="266" customFormat="false" ht="18" hidden="false" customHeight="true" outlineLevel="0" collapsed="false">
      <c r="A266" s="41" t="n">
        <v>262</v>
      </c>
      <c r="B266" s="36" t="n">
        <v>46090</v>
      </c>
      <c r="C266" s="37" t="s">
        <v>174</v>
      </c>
      <c r="D266" s="38" t="n">
        <v>340</v>
      </c>
      <c r="E266" s="17"/>
      <c r="F266" s="17"/>
      <c r="G266" s="42" t="n">
        <f aca="false">IFERROR(IF($C266="","",IF($D266="","",IFERROR(ROUND($D266*INDEX('🔖 배합비 참조'!$B$2:$CE$83,MATCH("간장",'🔖 배합비 참조'!$A$2:$A$83,0),MATCH($C266,'🔖 배합비 참조'!$B$1:$CE$1,0))/100,0),""))),"")</f>
        <v>0</v>
      </c>
      <c r="H266" s="42" t="n">
        <f aca="false">IFERROR(IF($C266="","",IF($D266="","",IFERROR(ROUND($D266*INDEX('🔖 배합비 참조'!$B$2:$CE$83,MATCH("강낭콩((울타리콩))",'🔖 배합비 참조'!$A$2:$A$83,0),MATCH($C266,'🔖 배합비 참조'!$B$1:$CE$1,0))/100,0),""))),"")</f>
        <v>0</v>
      </c>
      <c r="I266" s="42" t="n">
        <f aca="false">IFERROR(IF($C266="","",IF($D266="","",IFERROR(ROUND($D266*INDEX('🔖 배합비 참조'!$B$2:$CE$83,MATCH("건조딸기다이스(외국산)",'🔖 배합비 참조'!$A$2:$A$83,0),MATCH($C266,'🔖 배합비 참조'!$B$1:$CE$1,0))/100,0),""))),"")</f>
        <v>0</v>
      </c>
      <c r="J266" s="42" t="n">
        <f aca="false">IFERROR(IF($C266="","",IF($D266="","",IFERROR(ROUND($D266*INDEX('🔖 배합비 참조'!$B$2:$CE$83,MATCH("건포도",'🔖 배합비 참조'!$A$2:$A$83,0),MATCH($C266,'🔖 배합비 참조'!$B$1:$CE$1,0))/100,0),""))),"")</f>
        <v>0</v>
      </c>
      <c r="K266" s="42" t="n">
        <f aca="false">IFERROR(IF($C266="","",IF($D266="","",IFERROR(ROUND($D266*INDEX('🔖 배합비 참조'!$B$2:$CE$83,MATCH("건호박채(중국산)",'🔖 배합비 참조'!$A$2:$A$83,0),MATCH($C266,'🔖 배합비 참조'!$B$1:$CE$1,0))/100,0),""))),"")</f>
        <v>0</v>
      </c>
      <c r="L266" s="42" t="n">
        <f aca="false">IFERROR(IF($C266="","",IF($D266="","",IFERROR(ROUND($D266*INDEX('🔖 배합비 참조'!$B$2:$CE$83,MATCH("검정깨(흑임자)",'🔖 배합비 참조'!$A$2:$A$83,0),MATCH($C266,'🔖 배합비 참조'!$B$1:$CE$1,0))/100,0),""))),"")</f>
        <v>0</v>
      </c>
      <c r="M266" s="42" t="n">
        <f aca="false">IFERROR(IF($C266="","",IF($D266="","",IFERROR(ROUND($D266*INDEX('🔖 배합비 참조'!$B$2:$CE$83,MATCH("검정콩",'🔖 배합비 참조'!$A$2:$A$83,0),MATCH($C266,'🔖 배합비 참조'!$B$1:$CE$1,0))/100,0),""))),"")</f>
        <v>0</v>
      </c>
      <c r="N266" s="42" t="n">
        <f aca="false">IFERROR(IF($C266="","",IF($D266="","",IFERROR(ROUND($D266*INDEX('🔖 배합비 참조'!$B$2:$CE$83,MATCH("계피가루",'🔖 배합비 참조'!$A$2:$A$83,0),MATCH($C266,'🔖 배합비 참조'!$B$1:$CE$1,0))/100,0),""))),"")</f>
        <v>0</v>
      </c>
      <c r="O266" s="42" t="n">
        <f aca="false">IFERROR(IF($C266="","",IF($D266="","",IFERROR(ROUND($D266*INDEX('🔖 배합비 참조'!$B$2:$CE$83,MATCH("고구마가루",'🔖 배합비 참조'!$A$2:$A$83,0),MATCH($C266,'🔖 배합비 참조'!$B$1:$CE$1,0))/100,0),""))),"")</f>
        <v>0</v>
      </c>
      <c r="P266" s="42" t="n">
        <f aca="false">IFERROR(IF($C266="","",IF($D266="","",IFERROR(ROUND($D266*INDEX('🔖 배합비 참조'!$B$2:$CE$83,MATCH("고구마무스",'🔖 배합비 참조'!$A$2:$A$83,0),MATCH($C266,'🔖 배합비 참조'!$B$1:$CE$1,0))/100,0),""))),"")</f>
        <v>0</v>
      </c>
      <c r="Q266" s="42" t="n">
        <f aca="false">IFERROR(IF($C266="","",IF($D266="","",IFERROR(ROUND($D266*INDEX('🔖 배합비 참조'!$B$2:$CE$83,MATCH("고려엉겅퀴((곤드레)국내산)",'🔖 배합비 참조'!$A$2:$A$83,0),MATCH($C266,'🔖 배합비 참조'!$B$1:$CE$1,0))/100,0),""))),"")</f>
        <v>0</v>
      </c>
      <c r="R266" s="42" t="n">
        <f aca="false">IFERROR(IF($C266="","",IF($D266="","",IFERROR(ROUND($D266*INDEX('🔖 배합비 참조'!$B$2:$CE$83,MATCH("기타가공품(복분자가루)",'🔖 배합비 참조'!$A$2:$A$83,0),MATCH($C266,'🔖 배합비 참조'!$B$1:$CE$1,0))/100,0),""))),"")</f>
        <v>0</v>
      </c>
      <c r="S266" s="42" t="n">
        <f aca="false">IFERROR(IF($C266="","",IF($D266="","",IFERROR(ROUND($D266*INDEX('🔖 배합비 참조'!$B$2:$CE$83,MATCH("기타가공품(슈퍼소프트엠)",'🔖 배합비 참조'!$A$2:$A$83,0),MATCH($C266,'🔖 배합비 참조'!$B$1:$CE$1,0))/100,0),""))),"")</f>
        <v>0</v>
      </c>
      <c r="T266" s="42" t="n">
        <f aca="false">IFERROR(IF($C266="","",IF($D266="","",IFERROR(ROUND($D266*INDEX('🔖 배합비 참조'!$B$2:$CE$83,MATCH("기타가공품(파인소프트 E-티)",'🔖 배합비 참조'!$A$2:$A$83,0),MATCH($C266,'🔖 배합비 참조'!$B$1:$CE$1,0))/100,0),""))),"")</f>
        <v>0</v>
      </c>
      <c r="U266" s="42" t="n">
        <f aca="false">IFERROR(IF($C266="","",IF($D266="","",IFERROR(ROUND($D266*INDEX('🔖 배합비 참조'!$B$2:$CE$83,MATCH("기타가공품(프리미엄카스테라가루)",'🔖 배합비 참조'!$A$2:$A$83,0),MATCH($C266,'🔖 배합비 참조'!$B$1:$CE$1,0))/100,0),""))),"")</f>
        <v>0</v>
      </c>
      <c r="V266" s="42" t="n">
        <f aca="false">IFERROR(IF($C266="","",IF($D266="","",IFERROR(ROUND($D266*INDEX('🔖 배합비 참조'!$B$2:$CE$83,MATCH("기타가공품(흑임자가루)",'🔖 배합비 참조'!$A$2:$A$83,0),MATCH($C266,'🔖 배합비 참조'!$B$1:$CE$1,0))/100,0),""))),"")</f>
        <v>0</v>
      </c>
      <c r="W266" s="42" t="n">
        <f aca="false">IFERROR(IF($C266="","",IF($D266="","",IFERROR(ROUND($D266*INDEX('🔖 배합비 참조'!$B$2:$CE$83,MATCH("기타설탕(흑설탕)",'🔖 배합비 참조'!$A$2:$A$83,0),MATCH($C266,'🔖 배합비 참조'!$B$1:$CE$1,0))/100,0),""))),"")</f>
        <v>0</v>
      </c>
      <c r="X266" s="42" t="n">
        <f aca="false">IFERROR(IF($C266="","",IF($D266="","",IFERROR(ROUND($D266*INDEX('🔖 배합비 참조'!$B$2:$CE$83,MATCH("냉동쑥(국내산)",'🔖 배합비 참조'!$A$2:$A$83,0),MATCH($C266,'🔖 배합비 참조'!$B$1:$CE$1,0))/100,0),""))),"")</f>
        <v>41</v>
      </c>
      <c r="Y266" s="42" t="n">
        <f aca="false">IFERROR(IF($C266="","",IF($D266="","",IFERROR(ROUND($D266*INDEX('🔖 배합비 참조'!$B$2:$CE$83,MATCH("냉동증숙고구마(중국산)",'🔖 배합비 참조'!$A$2:$A$83,0),MATCH($C266,'🔖 배합비 참조'!$B$1:$CE$1,0))/100,0),""))),"")</f>
        <v>0</v>
      </c>
      <c r="Z266" s="42" t="n">
        <f aca="false">IFERROR(IF($C266="","",IF($D266="","",IFERROR(ROUND($D266*INDEX('🔖 배합비 참조'!$B$2:$CE$83,MATCH("녹차가루",'🔖 배합비 참조'!$A$2:$A$83,0),MATCH($C266,'🔖 배합비 참조'!$B$1:$CE$1,0))/100,0),""))),"")</f>
        <v>0</v>
      </c>
      <c r="AA266" s="42" t="n">
        <f aca="false">IFERROR(IF($C266="","",IF($D266="","",IFERROR(ROUND($D266*INDEX('🔖 배합비 참조'!$B$2:$CE$83,MATCH("다크초콜릿 컴파운드칩",'🔖 배합비 참조'!$A$2:$A$83,0),MATCH($C266,'🔖 배합비 참조'!$B$1:$CE$1,0))/100,0),""))),"")</f>
        <v>0</v>
      </c>
      <c r="AB266" s="42" t="n">
        <f aca="false">IFERROR(IF($C266="","",IF($D266="","",IFERROR(ROUND($D266*INDEX('🔖 배합비 참조'!$B$2:$CE$83,MATCH("단호박분말(중국산)",'🔖 배합비 참조'!$A$2:$A$83,0),MATCH($C266,'🔖 배합비 참조'!$B$1:$CE$1,0))/100,0),""))),"")</f>
        <v>0</v>
      </c>
      <c r="AC266" s="42" t="n">
        <f aca="false">IFERROR(IF($C266="","",IF($D266="","",IFERROR(ROUND($D266*INDEX('🔖 배합비 참조'!$B$2:$CE$83,MATCH("당류가공품(단호박농축액)",'🔖 배합비 참조'!$A$2:$A$83,0),MATCH($C266,'🔖 배합비 참조'!$B$1:$CE$1,0))/100,0),""))),"")</f>
        <v>0</v>
      </c>
      <c r="AD266" s="42" t="n">
        <f aca="false">IFERROR(IF($C266="","",IF($D266="","",IFERROR(ROUND($D266*INDEX('🔖 배합비 참조'!$B$2:$CE$83,MATCH("당류가공품(알룰로스,에리스리톨,스테비올배당체혼합)",'🔖 배합비 참조'!$A$2:$A$83,0),MATCH($C266,'🔖 배합비 참조'!$B$1:$CE$1,0))/100,0),""))),"")</f>
        <v>0</v>
      </c>
      <c r="AE266" s="42" t="n">
        <f aca="false">IFERROR(IF($C266="","",IF($D266="","",IFERROR(ROUND($D266*INDEX('🔖 배합비 참조'!$B$2:$CE$83,MATCH("당류가공품(알룰로스제로파우더)",'🔖 배합비 참조'!$A$2:$A$83,0),MATCH($C266,'🔖 배합비 참조'!$B$1:$CE$1,0))/100,0),""))),"")</f>
        <v>0</v>
      </c>
      <c r="AF266" s="42" t="n">
        <f aca="false">IFERROR(IF($C266="","",IF($D266="","",IFERROR(ROUND($D266*INDEX('🔖 배합비 참조'!$B$2:$CE$83,MATCH("당절임(완두배기)",'🔖 배합비 참조'!$A$2:$A$83,0),MATCH($C266,'🔖 배합비 참조'!$B$1:$CE$1,0))/100,0),""))),"")</f>
        <v>0</v>
      </c>
      <c r="AG266" s="42" t="n">
        <f aca="false">IFERROR(IF($C266="","",IF($D266="","",IFERROR(ROUND($D266*INDEX('🔖 배합비 참조'!$B$2:$CE$83,MATCH("대추농축액",'🔖 배합비 참조'!$A$2:$A$83,0),MATCH($C266,'🔖 배합비 참조'!$B$1:$CE$1,0))/100,0),""))),"")</f>
        <v>0</v>
      </c>
      <c r="AH266" s="42" t="n">
        <f aca="false">IFERROR(IF($C266="","",IF($D266="","",IFERROR(ROUND($D266*INDEX('🔖 배합비 참조'!$B$2:$CE$83,MATCH("대추채(국내산)",'🔖 배합비 참조'!$A$2:$A$83,0),MATCH($C266,'🔖 배합비 참조'!$B$1:$CE$1,0))/100,0),""))),"")</f>
        <v>0</v>
      </c>
      <c r="AI266" s="42" t="n">
        <f aca="false">IFERROR(IF($C266="","",IF($D266="","",IFERROR(ROUND($D266*INDEX('🔖 배합비 참조'!$B$2:$CE$83,MATCH("동부(미얀마산)",'🔖 배합비 참조'!$A$2:$A$83,0),MATCH($C266,'🔖 배합비 참조'!$B$1:$CE$1,0))/100,0),""))),"")</f>
        <v>0</v>
      </c>
      <c r="AJ266" s="42" t="n">
        <f aca="false">IFERROR(IF($C266="","",IF($D266="","",IFERROR(ROUND($D266*INDEX('🔖 배합비 참조'!$B$2:$CE$83,MATCH("두류가공품(백옥앙금)",'🔖 배합비 참조'!$A$2:$A$83,0),MATCH($C266,'🔖 배합비 참조'!$B$1:$CE$1,0))/100,0),""))),"")</f>
        <v>0</v>
      </c>
      <c r="AK266" s="42" t="n">
        <f aca="false">IFERROR(IF($C266="","",IF($D266="","",IFERROR(ROUND($D266*INDEX('🔖 배합비 참조'!$B$2:$CE$83,MATCH("두류가공품(콩고물)",'🔖 배합비 참조'!$A$2:$A$83,0),MATCH($C266,'🔖 배합비 참조'!$B$1:$CE$1,0))/100,0),""))),"")</f>
        <v>0</v>
      </c>
      <c r="AL266" s="42" t="n">
        <f aca="false">IFERROR(IF($C266="","",IF($D266="","",IFERROR(ROUND($D266*INDEX('🔖 배합비 참조'!$B$2:$CE$83,MATCH("두류가공품(통팥고물)",'🔖 배합비 참조'!$A$2:$A$83,0),MATCH($C266,'🔖 배합비 참조'!$B$1:$CE$1,0))/100,0),""))),"")</f>
        <v>0</v>
      </c>
      <c r="AM266" s="42" t="n">
        <f aca="false">IFERROR(IF($C266="","",IF($D266="","",IFERROR(ROUND($D266*INDEX('🔖 배합비 참조'!$B$2:$CE$83,MATCH("딸기레진",'🔖 배합비 참조'!$A$2:$A$83,0),MATCH($C266,'🔖 배합비 참조'!$B$1:$CE$1,0))/100,0),""))),"")</f>
        <v>0</v>
      </c>
      <c r="AN266" s="42" t="n">
        <f aca="false">IFERROR(IF($C266="","",IF($D266="","",IFERROR(ROUND($D266*INDEX('🔖 배합비 참조'!$B$2:$CE$83,MATCH("딸기분말(스트로우베리에이드(분말))",'🔖 배합비 참조'!$A$2:$A$83,0),MATCH($C266,'🔖 배합비 참조'!$B$1:$CE$1,0))/100,0),""))),"")</f>
        <v>0</v>
      </c>
      <c r="AO266" s="42" t="n">
        <f aca="false">IFERROR(IF($C266="","",IF($D266="","",IFERROR(ROUND($D266*INDEX('🔖 배합비 참조'!$B$2:$CE$83,MATCH("마스카포네치즈",'🔖 배합비 참조'!$A$2:$A$83,0),MATCH($C266,'🔖 배합비 참조'!$B$1:$CE$1,0))/100,0),""))),"")</f>
        <v>0</v>
      </c>
      <c r="AP266" s="42" t="n">
        <f aca="false">IFERROR(IF($C266="","",IF($D266="","",IFERROR(ROUND($D266*INDEX('🔖 배합비 참조'!$B$2:$CE$83,MATCH("마카다미아분태(호주산)",'🔖 배합비 참조'!$A$2:$A$83,0),MATCH($C266,'🔖 배합비 참조'!$B$1:$CE$1,0))/100,0),""))),"")</f>
        <v>0</v>
      </c>
      <c r="AQ266" s="42" t="n">
        <f aca="false">IFERROR(IF($C266="","",IF($D266="","",IFERROR(ROUND($D266*INDEX('🔖 배합비 참조'!$B$2:$CE$83,MATCH("멥쌀(국내산)",'🔖 배합비 참조'!$A$2:$A$83,0),MATCH($C266,'🔖 배합비 참조'!$B$1:$CE$1,0))/100,0),""))),"")</f>
        <v>165</v>
      </c>
      <c r="AR266" s="42" t="n">
        <f aca="false">IFERROR(IF($C266="","",IF($D266="","",IFERROR(ROUND($D266*INDEX('🔖 배합비 참조'!$B$2:$CE$83,MATCH("모시잎(국내산)",'🔖 배합비 참조'!$A$2:$A$83,0),MATCH($C266,'🔖 배합비 참조'!$B$1:$CE$1,0))/100,0),""))),"")</f>
        <v>0</v>
      </c>
      <c r="AS266" s="42" t="n">
        <f aca="false">IFERROR(IF($C266="","",IF($D266="","",IFERROR(ROUND($D266*INDEX('🔖 배합비 참조'!$B$2:$CE$83,MATCH("물엿(저당물엿)",'🔖 배합비 참조'!$A$2:$A$83,0),MATCH($C266,'🔖 배합비 참조'!$B$1:$CE$1,0))/100,0),""))),"")</f>
        <v>7</v>
      </c>
      <c r="AT266" s="42" t="n">
        <f aca="false">IFERROR(IF($C266="","",IF($D266="","",IFERROR(ROUND($D266*INDEX('🔖 배합비 참조'!$B$2:$CE$83,MATCH("밤다이스",'🔖 배합비 참조'!$A$2:$A$83,0),MATCH($C266,'🔖 배합비 참조'!$B$1:$CE$1,0))/100,0),""))),"")</f>
        <v>0</v>
      </c>
      <c r="AU266" s="42" t="n">
        <f aca="false">IFERROR(IF($C266="","",IF($D266="","",IFERROR(ROUND($D266*INDEX('🔖 배합비 참조'!$B$2:$CE$83,MATCH("변성전분(타피오카전분)",'🔖 배합비 참조'!$A$2:$A$83,0),MATCH($C266,'🔖 배합비 참조'!$B$1:$CE$1,0))/100,0),""))),"")</f>
        <v>4</v>
      </c>
      <c r="AV266" s="42" t="n">
        <f aca="false">IFERROR(IF($C266="","",IF($D266="","",IFERROR(ROUND($D266*INDEX('🔖 배합비 참조'!$B$2:$CE$83,MATCH("복음땅콩분태",'🔖 배합비 참조'!$A$2:$A$83,0),MATCH($C266,'🔖 배합비 참조'!$B$1:$CE$1,0))/100,0),""))),"")</f>
        <v>0</v>
      </c>
      <c r="AW266" s="42" t="n">
        <f aca="false">IFERROR(IF($C266="","",IF($D266="","",IFERROR(ROUND($D266*INDEX('🔖 배합비 참조'!$B$2:$CE$83,MATCH("사양벌꿀(국내산)",'🔖 배합비 참조'!$A$2:$A$83,0),MATCH($C266,'🔖 배합비 참조'!$B$1:$CE$1,0))/100,0),""))),"")</f>
        <v>0</v>
      </c>
      <c r="AX266" s="42" t="n">
        <f aca="false">IFERROR(IF($C266="","",IF($D266="","",IFERROR(ROUND($D266*INDEX('🔖 배합비 참조'!$B$2:$CE$83,MATCH("생크림",'🔖 배합비 참조'!$A$2:$A$83,0),MATCH($C266,'🔖 배합비 참조'!$B$1:$CE$1,0))/100,0),""))),"")</f>
        <v>0</v>
      </c>
      <c r="AY266" s="42" t="n">
        <f aca="false">IFERROR(IF($C266="","",IF($D266="","",IFERROR(ROUND($D266*INDEX('🔖 배합비 참조'!$B$2:$CE$83,MATCH("서양호박(국내산,뉴질랜드산)",'🔖 배합비 참조'!$A$2:$A$83,0),MATCH($C266,'🔖 배합비 참조'!$B$1:$CE$1,0))/100,0),""))),"")</f>
        <v>0</v>
      </c>
      <c r="AZ266" s="42" t="n">
        <f aca="false">IFERROR(IF($C266="","",IF($D266="","",IFERROR(ROUND($D266*INDEX('🔖 배합비 참조'!$B$2:$CE$83,MATCH("설탕",'🔖 배합비 참조'!$A$2:$A$83,0),MATCH($C266,'🔖 배합비 참조'!$B$1:$CE$1,0))/100,0),""))),"")</f>
        <v>0</v>
      </c>
      <c r="BA266" s="42" t="n">
        <f aca="false">IFERROR(IF($C266="","",IF($D266="","",IFERROR(ROUND($D266*INDEX('🔖 배합비 참조'!$B$2:$CE$83,MATCH("스트로우베리 에이드 후레쉬",'🔖 배합비 참조'!$A$2:$A$83,0),MATCH($C266,'🔖 배합비 참조'!$B$1:$CE$1,0))/100,0),""))),"")</f>
        <v>0</v>
      </c>
      <c r="BB266" s="42" t="n">
        <f aca="false">IFERROR(IF($C266="","",IF($D266="","",IFERROR(ROUND($D266*INDEX('🔖 배합비 참조'!$B$2:$CE$83,MATCH("식물성기름혼합제제(분홍)",'🔖 배합비 참조'!$A$2:$A$83,0),MATCH($C266,'🔖 배합비 참조'!$B$1:$CE$1,0))/100,0),""))),"")</f>
        <v>0</v>
      </c>
      <c r="BC266" s="42" t="n">
        <f aca="false">IFERROR(IF($C266="","",IF($D266="","",IFERROR(ROUND($D266*INDEX('🔖 배합비 참조'!$B$2:$CE$83,MATCH("식물성기름혼합제제(초록)",'🔖 배합비 참조'!$A$2:$A$83,0),MATCH($C266,'🔖 배합비 참조'!$B$1:$CE$1,0))/100,0),""))),"")</f>
        <v>0</v>
      </c>
      <c r="BD266" s="42" t="n">
        <f aca="false">IFERROR(IF($C266="","",IF($D266="","",IFERROR(ROUND($D266*INDEX('🔖 배합비 참조'!$B$2:$CE$83,MATCH("식물성기름혼합제제(황색)",'🔖 배합비 참조'!$A$2:$A$83,0),MATCH($C266,'🔖 배합비 참조'!$B$1:$CE$1,0))/100,0),""))),"")</f>
        <v>0</v>
      </c>
      <c r="BE266" s="42" t="n">
        <f aca="false">IFERROR(IF($C266="","",IF($D266="","",IFERROR(ROUND($D266*INDEX('🔖 배합비 참조'!$B$2:$CE$83,MATCH("쑥가루(국내산)",'🔖 배합비 참조'!$A$2:$A$83,0),MATCH($C266,'🔖 배합비 참조'!$B$1:$CE$1,0))/100,0),""))),"")</f>
        <v>3</v>
      </c>
      <c r="BF266" s="42" t="n">
        <f aca="false">IFERROR(IF($C266="","",IF($D266="","",IFERROR(ROUND($D266*INDEX('🔖 배합비 참조'!$B$2:$CE$83,MATCH("아몬드슬라이스",'🔖 배합비 참조'!$A$2:$A$83,0),MATCH($C266,'🔖 배합비 참조'!$B$1:$CE$1,0))/100,0),""))),"")</f>
        <v>0</v>
      </c>
      <c r="BG266" s="42" t="n">
        <f aca="false">IFERROR(IF($C266="","",IF($D266="","",IFERROR(ROUND($D266*INDEX('🔖 배합비 참조'!$B$2:$CE$83,MATCH("알룰로오스(국내산)",'🔖 배합비 참조'!$A$2:$A$83,0),MATCH($C266,'🔖 배합비 참조'!$B$1:$CE$1,0))/100,0),""))),"")</f>
        <v>0</v>
      </c>
      <c r="BH266" s="42" t="n">
        <f aca="false">IFERROR(IF($C266="","",IF($D266="","",IFERROR(ROUND($D266*INDEX('🔖 배합비 참조'!$B$2:$CE$83,MATCH("연유",'🔖 배합비 참조'!$A$2:$A$83,0),MATCH($C266,'🔖 배합비 참조'!$B$1:$CE$1,0))/100,0),""))),"")</f>
        <v>0</v>
      </c>
      <c r="BI266" s="42" t="n">
        <f aca="false">IFERROR(IF($C266="","",IF($D266="","",IFERROR(ROUND($D266*INDEX('🔖 배합비 참조'!$B$2:$CE$83,MATCH("옥수수전분",'🔖 배합비 참조'!$A$2:$A$83,0),MATCH($C266,'🔖 배합비 참조'!$B$1:$CE$1,0))/100,0),""))),"")</f>
        <v>0</v>
      </c>
      <c r="BJ266" s="42" t="n">
        <f aca="false">IFERROR(IF($C266="","",IF($D266="","",IFERROR(ROUND($D266*INDEX('🔖 배합비 참조'!$B$2:$CE$83,MATCH("완두배기",'🔖 배합비 참조'!$A$2:$A$83,0),MATCH($C266,'🔖 배합비 참조'!$B$1:$CE$1,0))/100,0),""))),"")</f>
        <v>0</v>
      </c>
      <c r="BK266" s="42" t="n">
        <f aca="false">IFERROR(IF($C266="","",IF($D266="","",IFERROR(ROUND($D266*INDEX('🔖 배합비 참조'!$B$2:$CE$83,MATCH("우유(국내산)",'🔖 배합비 참조'!$A$2:$A$83,0),MATCH($C266,'🔖 배합비 참조'!$B$1:$CE$1,0))/100,0),""))),"")</f>
        <v>0</v>
      </c>
      <c r="BL266" s="42" t="n">
        <f aca="false">IFERROR(IF($C266="","",IF($D266="","",IFERROR(ROUND($D266*INDEX('🔖 배합비 참조'!$B$2:$CE$83,MATCH("자색고구마가루(중국산)",'🔖 배합비 참조'!$A$2:$A$83,0),MATCH($C266,'🔖 배합비 참조'!$B$1:$CE$1,0))/100,0),""))),"")</f>
        <v>0</v>
      </c>
      <c r="BM266" s="42" t="n">
        <f aca="false">IFERROR(IF($C266="","",IF($D266="","",IFERROR(ROUND($D266*INDEX('🔖 배합비 참조'!$B$2:$CE$83,MATCH("자연치즈(체다치즈)",'🔖 배합비 참조'!$A$2:$A$83,0),MATCH($C266,'🔖 배합비 참조'!$B$1:$CE$1,0))/100,0),""))),"")</f>
        <v>0</v>
      </c>
      <c r="BN266" s="42" t="n">
        <f aca="false">IFERROR(IF($C266="","",IF($D266="","",IFERROR(ROUND($D266*INDEX('🔖 배합비 참조'!$B$2:$CE$83,MATCH("정제수",'🔖 배합비 참조'!$A$2:$A$83,0),MATCH($C266,'🔖 배합비 참조'!$B$1:$CE$1,0))/100,0),""))),"")</f>
        <v>113</v>
      </c>
      <c r="BO266" s="42" t="n">
        <f aca="false">IFERROR(IF($C266="","",IF($D266="","",IFERROR(ROUND($D266*INDEX('🔖 배합비 참조'!$B$2:$CE$83,MATCH("젤라틴",'🔖 배합비 참조'!$A$2:$A$83,0),MATCH($C266,'🔖 배합비 참조'!$B$1:$CE$1,0))/100,0),""))),"")</f>
        <v>0</v>
      </c>
      <c r="BP266" s="42" t="n">
        <f aca="false">IFERROR(IF($C266="","",IF($D266="","",IFERROR(ROUND($D266*INDEX('🔖 배합비 참조'!$B$2:$CE$83,MATCH("조림류(백옥앙금)",'🔖 배합비 참조'!$A$2:$A$83,0),MATCH($C266,'🔖 배합비 참조'!$B$1:$CE$1,0))/100,0),""))),"")</f>
        <v>0</v>
      </c>
      <c r="BQ266" s="42" t="n">
        <f aca="false">IFERROR(IF($C266="","",IF($D266="","",IFERROR(ROUND($D266*INDEX('🔖 배합비 참조'!$B$2:$CE$83,MATCH("조림류(통팥앙금)",'🔖 배합비 참조'!$A$2:$A$83,0),MATCH($C266,'🔖 배합비 참조'!$B$1:$CE$1,0))/100,0),""))),"")</f>
        <v>0</v>
      </c>
      <c r="BR266" s="42" t="n">
        <f aca="false">IFERROR(IF($C266="","",IF($D266="","",IFERROR(ROUND($D266*INDEX('🔖 배합비 참조'!$B$2:$CE$83,MATCH("준초콜릿(외국산)",'🔖 배합비 참조'!$A$2:$A$83,0),MATCH($C266,'🔖 배합비 참조'!$B$1:$CE$1,0))/100,0),""))),"")</f>
        <v>0</v>
      </c>
      <c r="BS266" s="42" t="n">
        <f aca="false">IFERROR(IF($C266="","",IF($D266="","",IFERROR(ROUND($D266*INDEX('🔖 배합비 참조'!$B$2:$CE$83,MATCH("중력분",'🔖 배합비 참조'!$A$2:$A$83,0),MATCH($C266,'🔖 배합비 참조'!$B$1:$CE$1,0))/100,0),""))),"")</f>
        <v>0</v>
      </c>
      <c r="BT266" s="42" t="n">
        <f aca="false">IFERROR(IF($C266="","",IF($D266="","",IFERROR(ROUND($D266*INDEX('🔖 배합비 참조'!$B$2:$CE$83,MATCH("참깨(인도산,나이지리아산,탄자니아산,미얀마산)",'🔖 배합비 참조'!$A$2:$A$83,0),MATCH($C266,'🔖 배합비 참조'!$B$1:$CE$1,0))/100,0),""))),"")</f>
        <v>0</v>
      </c>
      <c r="BU266" s="42" t="n">
        <f aca="false">IFERROR(IF($C266="","",IF($D266="","",IFERROR(ROUND($D266*INDEX('🔖 배합비 참조'!$B$2:$CE$83,MATCH("찹쌀(국내산)",'🔖 배합비 참조'!$A$2:$A$83,0),MATCH($C266,'🔖 배합비 참조'!$B$1:$CE$1,0))/100,0),""))),"")</f>
        <v>0</v>
      </c>
      <c r="BV266" s="42" t="n">
        <f aca="false">IFERROR(IF($C266="","",IF($D266="","",IFERROR(ROUND($D266*INDEX('🔖 배합비 참조'!$B$2:$CE$83,MATCH("천일염",'🔖 배합비 참조'!$A$2:$A$83,0),MATCH($C266,'🔖 배합비 참조'!$B$1:$CE$1,0))/100,0),""))),"")</f>
        <v>3</v>
      </c>
      <c r="BW266" s="42" t="n">
        <f aca="false">IFERROR(IF($C266="","",IF($D266="","",IFERROR(ROUND($D266*INDEX('🔖 배합비 참조'!$B$2:$CE$83,MATCH("치즈 [크림치즈]",'🔖 배합비 참조'!$A$2:$A$83,0),MATCH($C266,'🔖 배합비 참조'!$B$1:$CE$1,0))/100,0),""))),"")</f>
        <v>0</v>
      </c>
      <c r="BX266" s="42" t="n">
        <f aca="false">IFERROR(IF($C266="","",IF($D266="","",IFERROR(ROUND($D266*INDEX('🔖 배합비 참조'!$B$2:$CE$83,MATCH("코코아가공품류(코코아분말)",'🔖 배합비 참조'!$A$2:$A$83,0),MATCH($C266,'🔖 배합비 참조'!$B$1:$CE$1,0))/100,0),""))),"")</f>
        <v>0</v>
      </c>
      <c r="BY266" s="42" t="n">
        <f aca="false">IFERROR(IF($C266="","",IF($D266="","",IFERROR(ROUND($D266*INDEX('🔖 배합비 참조'!$B$2:$CE$83,MATCH("콩기름(대두유)",'🔖 배합비 참조'!$A$2:$A$83,0),MATCH($C266,'🔖 배합비 참조'!$B$1:$CE$1,0))/100,0),""))),"")</f>
        <v>4</v>
      </c>
      <c r="BZ266" s="42" t="n">
        <f aca="false">IFERROR(IF($C266="","",IF($D266="","",IFERROR(ROUND($D266*INDEX('🔖 배합비 참조'!$B$2:$CE$83,MATCH("해바라기씨앗",'🔖 배합비 참조'!$A$2:$A$83,0),MATCH($C266,'🔖 배합비 참조'!$B$1:$CE$1,0))/100,0),""))),"")</f>
        <v>0</v>
      </c>
      <c r="CA266" s="42" t="n">
        <f aca="false">IFERROR(IF($C266="","",IF($D266="","",IFERROR(ROUND($D266*INDEX('🔖 배합비 참조'!$B$2:$CE$83,MATCH("현미(국내산)",'🔖 배합비 참조'!$A$2:$A$83,0),MATCH($C266,'🔖 배합비 참조'!$B$1:$CE$1,0))/100,0),""))),"")</f>
        <v>0</v>
      </c>
      <c r="CB266" s="42" t="n">
        <f aca="false">IFERROR(IF($C266="","",IF($D266="","",IFERROR(ROUND($D266*INDEX('🔖 배합비 참조'!$B$2:$CE$83,MATCH("현미멥쌀(국내산)",'🔖 배합비 참조'!$A$2:$A$83,0),MATCH($C266,'🔖 배합비 참조'!$B$1:$CE$1,0))/100,0),""))),"")</f>
        <v>0</v>
      </c>
      <c r="CC266" s="42" t="n">
        <f aca="false">IFERROR(IF($C266="","",IF($D266="","",IFERROR(ROUND($D266*INDEX('🔖 배합비 참조'!$B$2:$CE$83,MATCH("호두분태(미국산)",'🔖 배합비 참조'!$A$2:$A$83,0),MATCH($C266,'🔖 배합비 참조'!$B$1:$CE$1,0))/100,0),""))),"")</f>
        <v>0</v>
      </c>
      <c r="CD266" s="42" t="n">
        <f aca="false">IFERROR(IF($C266="","",IF($D266="","",IFERROR(ROUND($D266*INDEX('🔖 배합비 참조'!$B$2:$CE$83,MATCH("호박씨앗(외국산)",'🔖 배합비 참조'!$A$2:$A$83,0),MATCH($C266,'🔖 배합비 참조'!$B$1:$CE$1,0))/100,0),""))),"")</f>
        <v>0</v>
      </c>
      <c r="CE266" s="42" t="n">
        <f aca="false">IFERROR(IF($C266="","",IF($D266="","",IFERROR(ROUND($D266*INDEX('🔖 배합비 참조'!$B$2:$CE$83,MATCH("혼합제제(떡용에스텔)",'🔖 배합비 참조'!$A$2:$A$83,0),MATCH($C266,'🔖 배합비 참조'!$B$1:$CE$1,0))/100,0),""))),"")</f>
        <v>0</v>
      </c>
      <c r="CF266" s="42" t="n">
        <f aca="false">IFERROR(IF($C266="","",IF($D266="","",IFERROR(ROUND($D266*INDEX('🔖 배합비 참조'!$B$2:$CE$83,MATCH("혼합제제(스테비아)",'🔖 배합비 참조'!$A$2:$A$83,0),MATCH($C266,'🔖 배합비 참조'!$B$1:$CE$1,0))/100,0),""))),"")</f>
        <v>0</v>
      </c>
      <c r="CG266" s="42" t="n">
        <f aca="false">IFERROR(IF($C266="","",IF($D266="","",IFERROR(ROUND($D266*INDEX('🔖 배합비 참조'!$B$2:$CE$83,MATCH("화이트초콜릿",'🔖 배합비 참조'!$A$2:$A$83,0),MATCH($C266,'🔖 배합비 참조'!$B$1:$CE$1,0))/100,0),""))),"")</f>
        <v>0</v>
      </c>
      <c r="CH266" s="42" t="n">
        <f aca="false">IFERROR(IF($C266="","",IF($D266="","",IFERROR(ROUND($D266*INDEX('🔖 배합비 참조'!$B$2:$CE$83,MATCH("흑미찹쌀(국내산)",'🔖 배합비 참조'!$A$2:$A$83,0),MATCH($C266,'🔖 배합비 참조'!$B$1:$CE$1,0))/100,0),""))),"")</f>
        <v>0</v>
      </c>
      <c r="CI266" s="42" t="n">
        <f aca="false">IFERROR(IF($C266="","",IF($D266="","",IFERROR(ROUND($D266*INDEX('🔖 배합비 참조'!$B$2:$CE$83,MATCH("찰옥수수전분(미국산)",'🔖 배합비 참조'!$A$2:$A$83,0),MATCH($C266,'🔖 배합비 참조'!$B$1:$CE$1,0))/100,0),""))),"")</f>
        <v>0</v>
      </c>
      <c r="CJ266" s="40"/>
      <c r="CL266" s="43" t="s">
        <v>248</v>
      </c>
    </row>
    <row r="267" customFormat="false" ht="18" hidden="false" customHeight="true" outlineLevel="0" collapsed="false">
      <c r="A267" s="35" t="n">
        <v>263</v>
      </c>
      <c r="B267" s="36" t="n">
        <v>46090</v>
      </c>
      <c r="C267" s="37" t="s">
        <v>191</v>
      </c>
      <c r="D267" s="38" t="n">
        <v>1100</v>
      </c>
      <c r="E267" s="13"/>
      <c r="F267" s="13"/>
      <c r="G267" s="39" t="n">
        <f aca="false">IFERROR(IF($C267="","",IF($D267="","",IFERROR(ROUND($D267*INDEX('🔖 배합비 참조'!$B$2:$CE$83,MATCH("간장",'🔖 배합비 참조'!$A$2:$A$83,0),MATCH($C267,'🔖 배합비 참조'!$B$1:$CE$1,0))/100,0),""))),"")</f>
        <v>0</v>
      </c>
      <c r="H267" s="39" t="n">
        <f aca="false">IFERROR(IF($C267="","",IF($D267="","",IFERROR(ROUND($D267*INDEX('🔖 배합비 참조'!$B$2:$CE$83,MATCH("강낭콩((울타리콩))",'🔖 배합비 참조'!$A$2:$A$83,0),MATCH($C267,'🔖 배합비 참조'!$B$1:$CE$1,0))/100,0),""))),"")</f>
        <v>0</v>
      </c>
      <c r="I267" s="39" t="n">
        <f aca="false">IFERROR(IF($C267="","",IF($D267="","",IFERROR(ROUND($D267*INDEX('🔖 배합비 참조'!$B$2:$CE$83,MATCH("건조딸기다이스(외국산)",'🔖 배합비 참조'!$A$2:$A$83,0),MATCH($C267,'🔖 배합비 참조'!$B$1:$CE$1,0))/100,0),""))),"")</f>
        <v>0</v>
      </c>
      <c r="J267" s="39" t="n">
        <f aca="false">IFERROR(IF($C267="","",IF($D267="","",IFERROR(ROUND($D267*INDEX('🔖 배합비 참조'!$B$2:$CE$83,MATCH("건포도",'🔖 배합비 참조'!$A$2:$A$83,0),MATCH($C267,'🔖 배합비 참조'!$B$1:$CE$1,0))/100,0),""))),"")</f>
        <v>0</v>
      </c>
      <c r="K267" s="39" t="n">
        <f aca="false">IFERROR(IF($C267="","",IF($D267="","",IFERROR(ROUND($D267*INDEX('🔖 배합비 참조'!$B$2:$CE$83,MATCH("건호박채(중국산)",'🔖 배합비 참조'!$A$2:$A$83,0),MATCH($C267,'🔖 배합비 참조'!$B$1:$CE$1,0))/100,0),""))),"")</f>
        <v>0</v>
      </c>
      <c r="L267" s="39" t="n">
        <f aca="false">IFERROR(IF($C267="","",IF($D267="","",IFERROR(ROUND($D267*INDEX('🔖 배합비 참조'!$B$2:$CE$83,MATCH("검정깨(흑임자)",'🔖 배합비 참조'!$A$2:$A$83,0),MATCH($C267,'🔖 배합비 참조'!$B$1:$CE$1,0))/100,0),""))),"")</f>
        <v>0</v>
      </c>
      <c r="M267" s="39" t="n">
        <f aca="false">IFERROR(IF($C267="","",IF($D267="","",IFERROR(ROUND($D267*INDEX('🔖 배합비 참조'!$B$2:$CE$83,MATCH("검정콩",'🔖 배합비 참조'!$A$2:$A$83,0),MATCH($C267,'🔖 배합비 참조'!$B$1:$CE$1,0))/100,0),""))),"")</f>
        <v>0</v>
      </c>
      <c r="N267" s="39" t="n">
        <f aca="false">IFERROR(IF($C267="","",IF($D267="","",IFERROR(ROUND($D267*INDEX('🔖 배합비 참조'!$B$2:$CE$83,MATCH("계피가루",'🔖 배합비 참조'!$A$2:$A$83,0),MATCH($C267,'🔖 배합비 참조'!$B$1:$CE$1,0))/100,0),""))),"")</f>
        <v>0</v>
      </c>
      <c r="O267" s="39" t="n">
        <f aca="false">IFERROR(IF($C267="","",IF($D267="","",IFERROR(ROUND($D267*INDEX('🔖 배합비 참조'!$B$2:$CE$83,MATCH("고구마가루",'🔖 배합비 참조'!$A$2:$A$83,0),MATCH($C267,'🔖 배합비 참조'!$B$1:$CE$1,0))/100,0),""))),"")</f>
        <v>0</v>
      </c>
      <c r="P267" s="39" t="n">
        <f aca="false">IFERROR(IF($C267="","",IF($D267="","",IFERROR(ROUND($D267*INDEX('🔖 배합비 참조'!$B$2:$CE$83,MATCH("고구마무스",'🔖 배합비 참조'!$A$2:$A$83,0),MATCH($C267,'🔖 배합비 참조'!$B$1:$CE$1,0))/100,0),""))),"")</f>
        <v>0</v>
      </c>
      <c r="Q267" s="39" t="n">
        <f aca="false">IFERROR(IF($C267="","",IF($D267="","",IFERROR(ROUND($D267*INDEX('🔖 배합비 참조'!$B$2:$CE$83,MATCH("고려엉겅퀴((곤드레)국내산)",'🔖 배합비 참조'!$A$2:$A$83,0),MATCH($C267,'🔖 배합비 참조'!$B$1:$CE$1,0))/100,0),""))),"")</f>
        <v>0</v>
      </c>
      <c r="R267" s="39" t="n">
        <f aca="false">IFERROR(IF($C267="","",IF($D267="","",IFERROR(ROUND($D267*INDEX('🔖 배합비 참조'!$B$2:$CE$83,MATCH("기타가공품(복분자가루)",'🔖 배합비 참조'!$A$2:$A$83,0),MATCH($C267,'🔖 배합비 참조'!$B$1:$CE$1,0))/100,0),""))),"")</f>
        <v>0</v>
      </c>
      <c r="S267" s="39" t="n">
        <f aca="false">IFERROR(IF($C267="","",IF($D267="","",IFERROR(ROUND($D267*INDEX('🔖 배합비 참조'!$B$2:$CE$83,MATCH("기타가공품(슈퍼소프트엠)",'🔖 배합비 참조'!$A$2:$A$83,0),MATCH($C267,'🔖 배합비 참조'!$B$1:$CE$1,0))/100,0),""))),"")</f>
        <v>0</v>
      </c>
      <c r="T267" s="39" t="n">
        <f aca="false">IFERROR(IF($C267="","",IF($D267="","",IFERROR(ROUND($D267*INDEX('🔖 배합비 참조'!$B$2:$CE$83,MATCH("기타가공품(파인소프트 E-티)",'🔖 배합비 참조'!$A$2:$A$83,0),MATCH($C267,'🔖 배합비 참조'!$B$1:$CE$1,0))/100,0),""))),"")</f>
        <v>0</v>
      </c>
      <c r="U267" s="39" t="n">
        <f aca="false">IFERROR(IF($C267="","",IF($D267="","",IFERROR(ROUND($D267*INDEX('🔖 배합비 참조'!$B$2:$CE$83,MATCH("기타가공품(프리미엄카스테라가루)",'🔖 배합비 참조'!$A$2:$A$83,0),MATCH($C267,'🔖 배합비 참조'!$B$1:$CE$1,0))/100,0),""))),"")</f>
        <v>0</v>
      </c>
      <c r="V267" s="39" t="n">
        <f aca="false">IFERROR(IF($C267="","",IF($D267="","",IFERROR(ROUND($D267*INDEX('🔖 배합비 참조'!$B$2:$CE$83,MATCH("기타가공품(흑임자가루)",'🔖 배합비 참조'!$A$2:$A$83,0),MATCH($C267,'🔖 배합비 참조'!$B$1:$CE$1,0))/100,0),""))),"")</f>
        <v>0</v>
      </c>
      <c r="W267" s="39" t="n">
        <f aca="false">IFERROR(IF($C267="","",IF($D267="","",IFERROR(ROUND($D267*INDEX('🔖 배합비 참조'!$B$2:$CE$83,MATCH("기타설탕(흑설탕)",'🔖 배합비 참조'!$A$2:$A$83,0),MATCH($C267,'🔖 배합비 참조'!$B$1:$CE$1,0))/100,0),""))),"")</f>
        <v>0</v>
      </c>
      <c r="X267" s="39" t="n">
        <f aca="false">IFERROR(IF($C267="","",IF($D267="","",IFERROR(ROUND($D267*INDEX('🔖 배합비 참조'!$B$2:$CE$83,MATCH("냉동쑥(국내산)",'🔖 배합비 참조'!$A$2:$A$83,0),MATCH($C267,'🔖 배합비 참조'!$B$1:$CE$1,0))/100,0),""))),"")</f>
        <v>0</v>
      </c>
      <c r="Y267" s="39" t="n">
        <f aca="false">IFERROR(IF($C267="","",IF($D267="","",IFERROR(ROUND($D267*INDEX('🔖 배합비 참조'!$B$2:$CE$83,MATCH("냉동증숙고구마(중국산)",'🔖 배합비 참조'!$A$2:$A$83,0),MATCH($C267,'🔖 배합비 참조'!$B$1:$CE$1,0))/100,0),""))),"")</f>
        <v>0</v>
      </c>
      <c r="Z267" s="39" t="n">
        <f aca="false">IFERROR(IF($C267="","",IF($D267="","",IFERROR(ROUND($D267*INDEX('🔖 배합비 참조'!$B$2:$CE$83,MATCH("녹차가루",'🔖 배합비 참조'!$A$2:$A$83,0),MATCH($C267,'🔖 배합비 참조'!$B$1:$CE$1,0))/100,0),""))),"")</f>
        <v>0</v>
      </c>
      <c r="AA267" s="39" t="n">
        <f aca="false">IFERROR(IF($C267="","",IF($D267="","",IFERROR(ROUND($D267*INDEX('🔖 배합비 참조'!$B$2:$CE$83,MATCH("다크초콜릿 컴파운드칩",'🔖 배합비 참조'!$A$2:$A$83,0),MATCH($C267,'🔖 배합비 참조'!$B$1:$CE$1,0))/100,0),""))),"")</f>
        <v>0</v>
      </c>
      <c r="AB267" s="39" t="n">
        <f aca="false">IFERROR(IF($C267="","",IF($D267="","",IFERROR(ROUND($D267*INDEX('🔖 배합비 참조'!$B$2:$CE$83,MATCH("단호박분말(중국산)",'🔖 배합비 참조'!$A$2:$A$83,0),MATCH($C267,'🔖 배합비 참조'!$B$1:$CE$1,0))/100,0),""))),"")</f>
        <v>0</v>
      </c>
      <c r="AC267" s="39" t="n">
        <f aca="false">IFERROR(IF($C267="","",IF($D267="","",IFERROR(ROUND($D267*INDEX('🔖 배합비 참조'!$B$2:$CE$83,MATCH("당류가공품(단호박농축액)",'🔖 배합비 참조'!$A$2:$A$83,0),MATCH($C267,'🔖 배합비 참조'!$B$1:$CE$1,0))/100,0),""))),"")</f>
        <v>0</v>
      </c>
      <c r="AD267" s="39" t="n">
        <f aca="false">IFERROR(IF($C267="","",IF($D267="","",IFERROR(ROUND($D267*INDEX('🔖 배합비 참조'!$B$2:$CE$83,MATCH("당류가공품(알룰로스,에리스리톨,스테비올배당체혼합)",'🔖 배합비 참조'!$A$2:$A$83,0),MATCH($C267,'🔖 배합비 참조'!$B$1:$CE$1,0))/100,0),""))),"")</f>
        <v>0</v>
      </c>
      <c r="AE267" s="39" t="n">
        <f aca="false">IFERROR(IF($C267="","",IF($D267="","",IFERROR(ROUND($D267*INDEX('🔖 배합비 참조'!$B$2:$CE$83,MATCH("당류가공품(알룰로스제로파우더)",'🔖 배합비 참조'!$A$2:$A$83,0),MATCH($C267,'🔖 배합비 참조'!$B$1:$CE$1,0))/100,0),""))),"")</f>
        <v>0</v>
      </c>
      <c r="AF267" s="39" t="n">
        <f aca="false">IFERROR(IF($C267="","",IF($D267="","",IFERROR(ROUND($D267*INDEX('🔖 배합비 참조'!$B$2:$CE$83,MATCH("당절임(완두배기)",'🔖 배합비 참조'!$A$2:$A$83,0),MATCH($C267,'🔖 배합비 참조'!$B$1:$CE$1,0))/100,0),""))),"")</f>
        <v>0</v>
      </c>
      <c r="AG267" s="39" t="n">
        <f aca="false">IFERROR(IF($C267="","",IF($D267="","",IFERROR(ROUND($D267*INDEX('🔖 배합비 참조'!$B$2:$CE$83,MATCH("대추농축액",'🔖 배합비 참조'!$A$2:$A$83,0),MATCH($C267,'🔖 배합비 참조'!$B$1:$CE$1,0))/100,0),""))),"")</f>
        <v>0</v>
      </c>
      <c r="AH267" s="39" t="n">
        <f aca="false">IFERROR(IF($C267="","",IF($D267="","",IFERROR(ROUND($D267*INDEX('🔖 배합비 참조'!$B$2:$CE$83,MATCH("대추채(국내산)",'🔖 배합비 참조'!$A$2:$A$83,0),MATCH($C267,'🔖 배합비 참조'!$B$1:$CE$1,0))/100,0),""))),"")</f>
        <v>0</v>
      </c>
      <c r="AI267" s="39" t="n">
        <f aca="false">IFERROR(IF($C267="","",IF($D267="","",IFERROR(ROUND($D267*INDEX('🔖 배합비 참조'!$B$2:$CE$83,MATCH("동부(미얀마산)",'🔖 배합비 참조'!$A$2:$A$83,0),MATCH($C267,'🔖 배합비 참조'!$B$1:$CE$1,0))/100,0),""))),"")</f>
        <v>0</v>
      </c>
      <c r="AJ267" s="39" t="n">
        <f aca="false">IFERROR(IF($C267="","",IF($D267="","",IFERROR(ROUND($D267*INDEX('🔖 배합비 참조'!$B$2:$CE$83,MATCH("두류가공품(백옥앙금)",'🔖 배합비 참조'!$A$2:$A$83,0),MATCH($C267,'🔖 배합비 참조'!$B$1:$CE$1,0))/100,0),""))),"")</f>
        <v>0</v>
      </c>
      <c r="AK267" s="39" t="n">
        <f aca="false">IFERROR(IF($C267="","",IF($D267="","",IFERROR(ROUND($D267*INDEX('🔖 배합비 참조'!$B$2:$CE$83,MATCH("두류가공품(콩고물)",'🔖 배합비 참조'!$A$2:$A$83,0),MATCH($C267,'🔖 배합비 참조'!$B$1:$CE$1,0))/100,0),""))),"")</f>
        <v>0</v>
      </c>
      <c r="AL267" s="39" t="n">
        <f aca="false">IFERROR(IF($C267="","",IF($D267="","",IFERROR(ROUND($D267*INDEX('🔖 배합비 참조'!$B$2:$CE$83,MATCH("두류가공품(통팥고물)",'🔖 배합비 참조'!$A$2:$A$83,0),MATCH($C267,'🔖 배합비 참조'!$B$1:$CE$1,0))/100,0),""))),"")</f>
        <v>0</v>
      </c>
      <c r="AM267" s="39" t="n">
        <f aca="false">IFERROR(IF($C267="","",IF($D267="","",IFERROR(ROUND($D267*INDEX('🔖 배합비 참조'!$B$2:$CE$83,MATCH("딸기레진",'🔖 배합비 참조'!$A$2:$A$83,0),MATCH($C267,'🔖 배합비 참조'!$B$1:$CE$1,0))/100,0),""))),"")</f>
        <v>0</v>
      </c>
      <c r="AN267" s="39" t="n">
        <f aca="false">IFERROR(IF($C267="","",IF($D267="","",IFERROR(ROUND($D267*INDEX('🔖 배합비 참조'!$B$2:$CE$83,MATCH("딸기분말(스트로우베리에이드(분말))",'🔖 배합비 참조'!$A$2:$A$83,0),MATCH($C267,'🔖 배합비 참조'!$B$1:$CE$1,0))/100,0),""))),"")</f>
        <v>0</v>
      </c>
      <c r="AO267" s="39" t="n">
        <f aca="false">IFERROR(IF($C267="","",IF($D267="","",IFERROR(ROUND($D267*INDEX('🔖 배합비 참조'!$B$2:$CE$83,MATCH("마스카포네치즈",'🔖 배합비 참조'!$A$2:$A$83,0),MATCH($C267,'🔖 배합비 참조'!$B$1:$CE$1,0))/100,0),""))),"")</f>
        <v>0</v>
      </c>
      <c r="AP267" s="39" t="n">
        <f aca="false">IFERROR(IF($C267="","",IF($D267="","",IFERROR(ROUND($D267*INDEX('🔖 배합비 참조'!$B$2:$CE$83,MATCH("마카다미아분태(호주산)",'🔖 배합비 참조'!$A$2:$A$83,0),MATCH($C267,'🔖 배합비 참조'!$B$1:$CE$1,0))/100,0),""))),"")</f>
        <v>0</v>
      </c>
      <c r="AQ267" s="39" t="n">
        <f aca="false">IFERROR(IF($C267="","",IF($D267="","",IFERROR(ROUND($D267*INDEX('🔖 배합비 참조'!$B$2:$CE$83,MATCH("멥쌀(국내산)",'🔖 배합비 참조'!$A$2:$A$83,0),MATCH($C267,'🔖 배합비 참조'!$B$1:$CE$1,0))/100,0),""))),"")</f>
        <v>22</v>
      </c>
      <c r="AR267" s="39" t="n">
        <f aca="false">IFERROR(IF($C267="","",IF($D267="","",IFERROR(ROUND($D267*INDEX('🔖 배합비 참조'!$B$2:$CE$83,MATCH("모시잎(국내산)",'🔖 배합비 참조'!$A$2:$A$83,0),MATCH($C267,'🔖 배합비 참조'!$B$1:$CE$1,0))/100,0),""))),"")</f>
        <v>0</v>
      </c>
      <c r="AS267" s="39" t="n">
        <f aca="false">IFERROR(IF($C267="","",IF($D267="","",IFERROR(ROUND($D267*INDEX('🔖 배합비 참조'!$B$2:$CE$83,MATCH("물엿(저당물엿)",'🔖 배합비 참조'!$A$2:$A$83,0),MATCH($C267,'🔖 배합비 참조'!$B$1:$CE$1,0))/100,0),""))),"")</f>
        <v>0</v>
      </c>
      <c r="AT267" s="39" t="n">
        <f aca="false">IFERROR(IF($C267="","",IF($D267="","",IFERROR(ROUND($D267*INDEX('🔖 배합비 참조'!$B$2:$CE$83,MATCH("밤다이스",'🔖 배합비 참조'!$A$2:$A$83,0),MATCH($C267,'🔖 배합비 참조'!$B$1:$CE$1,0))/100,0),""))),"")</f>
        <v>0</v>
      </c>
      <c r="AU267" s="39" t="n">
        <f aca="false">IFERROR(IF($C267="","",IF($D267="","",IFERROR(ROUND($D267*INDEX('🔖 배합비 참조'!$B$2:$CE$83,MATCH("변성전분(타피오카전분)",'🔖 배합비 참조'!$A$2:$A$83,0),MATCH($C267,'🔖 배합비 참조'!$B$1:$CE$1,0))/100,0),""))),"")</f>
        <v>0</v>
      </c>
      <c r="AV267" s="39" t="n">
        <f aca="false">IFERROR(IF($C267="","",IF($D267="","",IFERROR(ROUND($D267*INDEX('🔖 배합비 참조'!$B$2:$CE$83,MATCH("복음땅콩분태",'🔖 배합비 참조'!$A$2:$A$83,0),MATCH($C267,'🔖 배합비 참조'!$B$1:$CE$1,0))/100,0),""))),"")</f>
        <v>0</v>
      </c>
      <c r="AW267" s="39" t="n">
        <f aca="false">IFERROR(IF($C267="","",IF($D267="","",IFERROR(ROUND($D267*INDEX('🔖 배합비 참조'!$B$2:$CE$83,MATCH("사양벌꿀(국내산)",'🔖 배합비 참조'!$A$2:$A$83,0),MATCH($C267,'🔖 배합비 참조'!$B$1:$CE$1,0))/100,0),""))),"")</f>
        <v>0</v>
      </c>
      <c r="AX267" s="39" t="n">
        <f aca="false">IFERROR(IF($C267="","",IF($D267="","",IFERROR(ROUND($D267*INDEX('🔖 배합비 참조'!$B$2:$CE$83,MATCH("생크림",'🔖 배합비 참조'!$A$2:$A$83,0),MATCH($C267,'🔖 배합비 참조'!$B$1:$CE$1,0))/100,0),""))),"")</f>
        <v>0</v>
      </c>
      <c r="AY267" s="39" t="n">
        <f aca="false">IFERROR(IF($C267="","",IF($D267="","",IFERROR(ROUND($D267*INDEX('🔖 배합비 참조'!$B$2:$CE$83,MATCH("서양호박(국내산,뉴질랜드산)",'🔖 배합비 참조'!$A$2:$A$83,0),MATCH($C267,'🔖 배합비 참조'!$B$1:$CE$1,0))/100,0),""))),"")</f>
        <v>0</v>
      </c>
      <c r="AZ267" s="39" t="n">
        <f aca="false">IFERROR(IF($C267="","",IF($D267="","",IFERROR(ROUND($D267*INDEX('🔖 배합비 참조'!$B$2:$CE$83,MATCH("설탕",'🔖 배합비 참조'!$A$2:$A$83,0),MATCH($C267,'🔖 배합비 참조'!$B$1:$CE$1,0))/100,0),""))),"")</f>
        <v>209</v>
      </c>
      <c r="BA267" s="39" t="n">
        <f aca="false">IFERROR(IF($C267="","",IF($D267="","",IFERROR(ROUND($D267*INDEX('🔖 배합비 참조'!$B$2:$CE$83,MATCH("스트로우베리 에이드 후레쉬",'🔖 배합비 참조'!$A$2:$A$83,0),MATCH($C267,'🔖 배합비 참조'!$B$1:$CE$1,0))/100,0),""))),"")</f>
        <v>0</v>
      </c>
      <c r="BB267" s="39" t="n">
        <f aca="false">IFERROR(IF($C267="","",IF($D267="","",IFERROR(ROUND($D267*INDEX('🔖 배합비 참조'!$B$2:$CE$83,MATCH("식물성기름혼합제제(분홍)",'🔖 배합비 참조'!$A$2:$A$83,0),MATCH($C267,'🔖 배합비 참조'!$B$1:$CE$1,0))/100,0),""))),"")</f>
        <v>0</v>
      </c>
      <c r="BC267" s="39" t="n">
        <f aca="false">IFERROR(IF($C267="","",IF($D267="","",IFERROR(ROUND($D267*INDEX('🔖 배합비 참조'!$B$2:$CE$83,MATCH("식물성기름혼합제제(초록)",'🔖 배합비 참조'!$A$2:$A$83,0),MATCH($C267,'🔖 배합비 참조'!$B$1:$CE$1,0))/100,0),""))),"")</f>
        <v>0</v>
      </c>
      <c r="BD267" s="39" t="n">
        <f aca="false">IFERROR(IF($C267="","",IF($D267="","",IFERROR(ROUND($D267*INDEX('🔖 배합비 참조'!$B$2:$CE$83,MATCH("식물성기름혼합제제(황색)",'🔖 배합비 참조'!$A$2:$A$83,0),MATCH($C267,'🔖 배합비 참조'!$B$1:$CE$1,0))/100,0),""))),"")</f>
        <v>0</v>
      </c>
      <c r="BE267" s="39" t="n">
        <f aca="false">IFERROR(IF($C267="","",IF($D267="","",IFERROR(ROUND($D267*INDEX('🔖 배합비 참조'!$B$2:$CE$83,MATCH("쑥가루(국내산)",'🔖 배합비 참조'!$A$2:$A$83,0),MATCH($C267,'🔖 배합비 참조'!$B$1:$CE$1,0))/100,0),""))),"")</f>
        <v>0</v>
      </c>
      <c r="BF267" s="39" t="n">
        <f aca="false">IFERROR(IF($C267="","",IF($D267="","",IFERROR(ROUND($D267*INDEX('🔖 배합비 참조'!$B$2:$CE$83,MATCH("아몬드슬라이스",'🔖 배합비 참조'!$A$2:$A$83,0),MATCH($C267,'🔖 배합비 참조'!$B$1:$CE$1,0))/100,0),""))),"")</f>
        <v>0</v>
      </c>
      <c r="BG267" s="39" t="n">
        <f aca="false">IFERROR(IF($C267="","",IF($D267="","",IFERROR(ROUND($D267*INDEX('🔖 배합비 참조'!$B$2:$CE$83,MATCH("알룰로오스(국내산)",'🔖 배합비 참조'!$A$2:$A$83,0),MATCH($C267,'🔖 배합비 참조'!$B$1:$CE$1,0))/100,0),""))),"")</f>
        <v>0</v>
      </c>
      <c r="BH267" s="39" t="n">
        <f aca="false">IFERROR(IF($C267="","",IF($D267="","",IFERROR(ROUND($D267*INDEX('🔖 배합비 참조'!$B$2:$CE$83,MATCH("연유",'🔖 배합비 참조'!$A$2:$A$83,0),MATCH($C267,'🔖 배합비 참조'!$B$1:$CE$1,0))/100,0),""))),"")</f>
        <v>0</v>
      </c>
      <c r="BI267" s="39" t="n">
        <f aca="false">IFERROR(IF($C267="","",IF($D267="","",IFERROR(ROUND($D267*INDEX('🔖 배합비 참조'!$B$2:$CE$83,MATCH("옥수수전분",'🔖 배합비 참조'!$A$2:$A$83,0),MATCH($C267,'🔖 배합비 참조'!$B$1:$CE$1,0))/100,0),""))),"")</f>
        <v>0</v>
      </c>
      <c r="BJ267" s="39" t="n">
        <f aca="false">IFERROR(IF($C267="","",IF($D267="","",IFERROR(ROUND($D267*INDEX('🔖 배합비 참조'!$B$2:$CE$83,MATCH("완두배기",'🔖 배합비 참조'!$A$2:$A$83,0),MATCH($C267,'🔖 배합비 참조'!$B$1:$CE$1,0))/100,0),""))),"")</f>
        <v>0</v>
      </c>
      <c r="BK267" s="39" t="n">
        <f aca="false">IFERROR(IF($C267="","",IF($D267="","",IFERROR(ROUND($D267*INDEX('🔖 배합비 참조'!$B$2:$CE$83,MATCH("우유(국내산)",'🔖 배합비 참조'!$A$2:$A$83,0),MATCH($C267,'🔖 배합비 참조'!$B$1:$CE$1,0))/100,0),""))),"")</f>
        <v>0</v>
      </c>
      <c r="BL267" s="39" t="n">
        <f aca="false">IFERROR(IF($C267="","",IF($D267="","",IFERROR(ROUND($D267*INDEX('🔖 배합비 참조'!$B$2:$CE$83,MATCH("자색고구마가루(중국산)",'🔖 배합비 참조'!$A$2:$A$83,0),MATCH($C267,'🔖 배합비 참조'!$B$1:$CE$1,0))/100,0),""))),"")</f>
        <v>0</v>
      </c>
      <c r="BM267" s="39" t="n">
        <f aca="false">IFERROR(IF($C267="","",IF($D267="","",IFERROR(ROUND($D267*INDEX('🔖 배합비 참조'!$B$2:$CE$83,MATCH("자연치즈(체다치즈)",'🔖 배합비 참조'!$A$2:$A$83,0),MATCH($C267,'🔖 배합비 참조'!$B$1:$CE$1,0))/100,0),""))),"")</f>
        <v>0</v>
      </c>
      <c r="BN267" s="39" t="n">
        <f aca="false">IFERROR(IF($C267="","",IF($D267="","",IFERROR(ROUND($D267*INDEX('🔖 배합비 참조'!$B$2:$CE$83,MATCH("정제수",'🔖 배합비 참조'!$A$2:$A$83,0),MATCH($C267,'🔖 배합비 참조'!$B$1:$CE$1,0))/100,0),""))),"")</f>
        <v>33</v>
      </c>
      <c r="BO267" s="39" t="n">
        <f aca="false">IFERROR(IF($C267="","",IF($D267="","",IFERROR(ROUND($D267*INDEX('🔖 배합비 참조'!$B$2:$CE$83,MATCH("젤라틴",'🔖 배합비 참조'!$A$2:$A$83,0),MATCH($C267,'🔖 배합비 참조'!$B$1:$CE$1,0))/100,0),""))),"")</f>
        <v>0</v>
      </c>
      <c r="BP267" s="39" t="n">
        <f aca="false">IFERROR(IF($C267="","",IF($D267="","",IFERROR(ROUND($D267*INDEX('🔖 배합비 참조'!$B$2:$CE$83,MATCH("조림류(백옥앙금)",'🔖 배합비 참조'!$A$2:$A$83,0),MATCH($C267,'🔖 배합비 참조'!$B$1:$CE$1,0))/100,0),""))),"")</f>
        <v>0</v>
      </c>
      <c r="BQ267" s="39" t="n">
        <f aca="false">IFERROR(IF($C267="","",IF($D267="","",IFERROR(ROUND($D267*INDEX('🔖 배합비 참조'!$B$2:$CE$83,MATCH("조림류(통팥앙금)",'🔖 배합비 참조'!$A$2:$A$83,0),MATCH($C267,'🔖 배합비 참조'!$B$1:$CE$1,0))/100,0),""))),"")</f>
        <v>198</v>
      </c>
      <c r="BR267" s="39" t="n">
        <f aca="false">IFERROR(IF($C267="","",IF($D267="","",IFERROR(ROUND($D267*INDEX('🔖 배합비 참조'!$B$2:$CE$83,MATCH("준초콜릿(외국산)",'🔖 배합비 참조'!$A$2:$A$83,0),MATCH($C267,'🔖 배합비 참조'!$B$1:$CE$1,0))/100,0),""))),"")</f>
        <v>0</v>
      </c>
      <c r="BS267" s="39" t="n">
        <f aca="false">IFERROR(IF($C267="","",IF($D267="","",IFERROR(ROUND($D267*INDEX('🔖 배합비 참조'!$B$2:$CE$83,MATCH("중력분",'🔖 배합비 참조'!$A$2:$A$83,0),MATCH($C267,'🔖 배합비 참조'!$B$1:$CE$1,0))/100,0),""))),"")</f>
        <v>22</v>
      </c>
      <c r="BT267" s="39" t="n">
        <f aca="false">IFERROR(IF($C267="","",IF($D267="","",IFERROR(ROUND($D267*INDEX('🔖 배합비 참조'!$B$2:$CE$83,MATCH("참깨(인도산,나이지리아산,탄자니아산,미얀마산)",'🔖 배합비 참조'!$A$2:$A$83,0),MATCH($C267,'🔖 배합비 참조'!$B$1:$CE$1,0))/100,0),""))),"")</f>
        <v>0</v>
      </c>
      <c r="BU267" s="39" t="n">
        <f aca="false">IFERROR(IF($C267="","",IF($D267="","",IFERROR(ROUND($D267*INDEX('🔖 배합비 참조'!$B$2:$CE$83,MATCH("찹쌀(국내산)",'🔖 배합비 참조'!$A$2:$A$83,0),MATCH($C267,'🔖 배합비 참조'!$B$1:$CE$1,0))/100,0),""))),"")</f>
        <v>473</v>
      </c>
      <c r="BV267" s="39" t="n">
        <f aca="false">IFERROR(IF($C267="","",IF($D267="","",IFERROR(ROUND($D267*INDEX('🔖 배합비 참조'!$B$2:$CE$83,MATCH("천일염",'🔖 배합비 참조'!$A$2:$A$83,0),MATCH($C267,'🔖 배합비 참조'!$B$1:$CE$1,0))/100,0),""))),"")</f>
        <v>22</v>
      </c>
      <c r="BW267" s="39" t="n">
        <f aca="false">IFERROR(IF($C267="","",IF($D267="","",IFERROR(ROUND($D267*INDEX('🔖 배합비 참조'!$B$2:$CE$83,MATCH("치즈 [크림치즈]",'🔖 배합비 참조'!$A$2:$A$83,0),MATCH($C267,'🔖 배합비 참조'!$B$1:$CE$1,0))/100,0),""))),"")</f>
        <v>0</v>
      </c>
      <c r="BX267" s="39" t="n">
        <f aca="false">IFERROR(IF($C267="","",IF($D267="","",IFERROR(ROUND($D267*INDEX('🔖 배합비 참조'!$B$2:$CE$83,MATCH("코코아가공품류(코코아분말)",'🔖 배합비 참조'!$A$2:$A$83,0),MATCH($C267,'🔖 배합비 참조'!$B$1:$CE$1,0))/100,0),""))),"")</f>
        <v>0</v>
      </c>
      <c r="BY267" s="39" t="n">
        <f aca="false">IFERROR(IF($C267="","",IF($D267="","",IFERROR(ROUND($D267*INDEX('🔖 배합비 참조'!$B$2:$CE$83,MATCH("콩기름(대두유)",'🔖 배합비 참조'!$A$2:$A$83,0),MATCH($C267,'🔖 배합비 참조'!$B$1:$CE$1,0))/100,0),""))),"")</f>
        <v>0</v>
      </c>
      <c r="BZ267" s="39" t="n">
        <f aca="false">IFERROR(IF($C267="","",IF($D267="","",IFERROR(ROUND($D267*INDEX('🔖 배합비 참조'!$B$2:$CE$83,MATCH("해바라기씨앗",'🔖 배합비 참조'!$A$2:$A$83,0),MATCH($C267,'🔖 배합비 참조'!$B$1:$CE$1,0))/100,0),""))),"")</f>
        <v>0</v>
      </c>
      <c r="CA267" s="39" t="n">
        <f aca="false">IFERROR(IF($C267="","",IF($D267="","",IFERROR(ROUND($D267*INDEX('🔖 배합비 참조'!$B$2:$CE$83,MATCH("현미(국내산)",'🔖 배합비 참조'!$A$2:$A$83,0),MATCH($C267,'🔖 배합비 참조'!$B$1:$CE$1,0))/100,0),""))),"")</f>
        <v>0</v>
      </c>
      <c r="CB267" s="39" t="n">
        <f aca="false">IFERROR(IF($C267="","",IF($D267="","",IFERROR(ROUND($D267*INDEX('🔖 배합비 참조'!$B$2:$CE$83,MATCH("현미멥쌀(국내산)",'🔖 배합비 참조'!$A$2:$A$83,0),MATCH($C267,'🔖 배합비 참조'!$B$1:$CE$1,0))/100,0),""))),"")</f>
        <v>0</v>
      </c>
      <c r="CC267" s="39" t="n">
        <f aca="false">IFERROR(IF($C267="","",IF($D267="","",IFERROR(ROUND($D267*INDEX('🔖 배합비 참조'!$B$2:$CE$83,MATCH("호두분태(미국산)",'🔖 배합비 참조'!$A$2:$A$83,0),MATCH($C267,'🔖 배합비 참조'!$B$1:$CE$1,0))/100,0),""))),"")</f>
        <v>0</v>
      </c>
      <c r="CD267" s="39" t="n">
        <f aca="false">IFERROR(IF($C267="","",IF($D267="","",IFERROR(ROUND($D267*INDEX('🔖 배합비 참조'!$B$2:$CE$83,MATCH("호박씨앗(외국산)",'🔖 배합비 참조'!$A$2:$A$83,0),MATCH($C267,'🔖 배합비 참조'!$B$1:$CE$1,0))/100,0),""))),"")</f>
        <v>0</v>
      </c>
      <c r="CE267" s="39" t="n">
        <f aca="false">IFERROR(IF($C267="","",IF($D267="","",IFERROR(ROUND($D267*INDEX('🔖 배합비 참조'!$B$2:$CE$83,MATCH("혼합제제(떡용에스텔)",'🔖 배합비 참조'!$A$2:$A$83,0),MATCH($C267,'🔖 배합비 참조'!$B$1:$CE$1,0))/100,0),""))),"")</f>
        <v>22</v>
      </c>
      <c r="CF267" s="39" t="n">
        <f aca="false">IFERROR(IF($C267="","",IF($D267="","",IFERROR(ROUND($D267*INDEX('🔖 배합비 참조'!$B$2:$CE$83,MATCH("혼합제제(스테비아)",'🔖 배합비 참조'!$A$2:$A$83,0),MATCH($C267,'🔖 배합비 참조'!$B$1:$CE$1,0))/100,0),""))),"")</f>
        <v>0</v>
      </c>
      <c r="CG267" s="39" t="n">
        <f aca="false">IFERROR(IF($C267="","",IF($D267="","",IFERROR(ROUND($D267*INDEX('🔖 배합비 참조'!$B$2:$CE$83,MATCH("화이트초콜릿",'🔖 배합비 참조'!$A$2:$A$83,0),MATCH($C267,'🔖 배합비 참조'!$B$1:$CE$1,0))/100,0),""))),"")</f>
        <v>0</v>
      </c>
      <c r="CH267" s="39" t="n">
        <f aca="false">IFERROR(IF($C267="","",IF($D267="","",IFERROR(ROUND($D267*INDEX('🔖 배합비 참조'!$B$2:$CE$83,MATCH("흑미찹쌀(국내산)",'🔖 배합비 참조'!$A$2:$A$83,0),MATCH($C267,'🔖 배합비 참조'!$B$1:$CE$1,0))/100,0),""))),"")</f>
        <v>0</v>
      </c>
      <c r="CI267" s="39" t="n">
        <f aca="false">IFERROR(IF($C267="","",IF($D267="","",IFERROR(ROUND($D267*INDEX('🔖 배합비 참조'!$B$2:$CE$83,MATCH("찰옥수수전분(미국산)",'🔖 배합비 참조'!$A$2:$A$83,0),MATCH($C267,'🔖 배합비 참조'!$B$1:$CE$1,0))/100,0),""))),"")</f>
        <v>99</v>
      </c>
      <c r="CJ267" s="40"/>
      <c r="CL267" s="43" t="s">
        <v>248</v>
      </c>
    </row>
    <row r="268" customFormat="false" ht="18" hidden="false" customHeight="true" outlineLevel="0" collapsed="false">
      <c r="A268" s="41" t="n">
        <v>264</v>
      </c>
      <c r="B268" s="36" t="n">
        <v>46090</v>
      </c>
      <c r="C268" s="37" t="s">
        <v>204</v>
      </c>
      <c r="D268" s="38" t="n">
        <v>110</v>
      </c>
      <c r="E268" s="17"/>
      <c r="F268" s="17"/>
      <c r="G268" s="42" t="n">
        <f aca="false">IFERROR(IF($C268="","",IF($D268="","",IFERROR(ROUND($D268*INDEX('🔖 배합비 참조'!$B$2:$CE$83,MATCH("간장",'🔖 배합비 참조'!$A$2:$A$83,0),MATCH($C268,'🔖 배합비 참조'!$B$1:$CE$1,0))/100,0),""))),"")</f>
        <v>0</v>
      </c>
      <c r="H268" s="42" t="n">
        <f aca="false">IFERROR(IF($C268="","",IF($D268="","",IFERROR(ROUND($D268*INDEX('🔖 배합비 참조'!$B$2:$CE$83,MATCH("강낭콩((울타리콩))",'🔖 배합비 참조'!$A$2:$A$83,0),MATCH($C268,'🔖 배합비 참조'!$B$1:$CE$1,0))/100,0),""))),"")</f>
        <v>0</v>
      </c>
      <c r="I268" s="42" t="n">
        <f aca="false">IFERROR(IF($C268="","",IF($D268="","",IFERROR(ROUND($D268*INDEX('🔖 배합비 참조'!$B$2:$CE$83,MATCH("건조딸기다이스(외국산)",'🔖 배합비 참조'!$A$2:$A$83,0),MATCH($C268,'🔖 배합비 참조'!$B$1:$CE$1,0))/100,0),""))),"")</f>
        <v>0</v>
      </c>
      <c r="J268" s="42" t="n">
        <f aca="false">IFERROR(IF($C268="","",IF($D268="","",IFERROR(ROUND($D268*INDEX('🔖 배합비 참조'!$B$2:$CE$83,MATCH("건포도",'🔖 배합비 참조'!$A$2:$A$83,0),MATCH($C268,'🔖 배합비 참조'!$B$1:$CE$1,0))/100,0),""))),"")</f>
        <v>0</v>
      </c>
      <c r="K268" s="42" t="n">
        <f aca="false">IFERROR(IF($C268="","",IF($D268="","",IFERROR(ROUND($D268*INDEX('🔖 배합비 참조'!$B$2:$CE$83,MATCH("건호박채(중국산)",'🔖 배합비 참조'!$A$2:$A$83,0),MATCH($C268,'🔖 배합비 참조'!$B$1:$CE$1,0))/100,0),""))),"")</f>
        <v>0</v>
      </c>
      <c r="L268" s="42" t="n">
        <f aca="false">IFERROR(IF($C268="","",IF($D268="","",IFERROR(ROUND($D268*INDEX('🔖 배합비 참조'!$B$2:$CE$83,MATCH("검정깨(흑임자)",'🔖 배합비 참조'!$A$2:$A$83,0),MATCH($C268,'🔖 배합비 참조'!$B$1:$CE$1,0))/100,0),""))),"")</f>
        <v>0</v>
      </c>
      <c r="M268" s="42" t="n">
        <f aca="false">IFERROR(IF($C268="","",IF($D268="","",IFERROR(ROUND($D268*INDEX('🔖 배합비 참조'!$B$2:$CE$83,MATCH("검정콩",'🔖 배합비 참조'!$A$2:$A$83,0),MATCH($C268,'🔖 배합비 참조'!$B$1:$CE$1,0))/100,0),""))),"")</f>
        <v>0</v>
      </c>
      <c r="N268" s="42" t="n">
        <f aca="false">IFERROR(IF($C268="","",IF($D268="","",IFERROR(ROUND($D268*INDEX('🔖 배합비 참조'!$B$2:$CE$83,MATCH("계피가루",'🔖 배합비 참조'!$A$2:$A$83,0),MATCH($C268,'🔖 배합비 참조'!$B$1:$CE$1,0))/100,0),""))),"")</f>
        <v>0</v>
      </c>
      <c r="O268" s="42" t="n">
        <f aca="false">IFERROR(IF($C268="","",IF($D268="","",IFERROR(ROUND($D268*INDEX('🔖 배합비 참조'!$B$2:$CE$83,MATCH("고구마가루",'🔖 배합비 참조'!$A$2:$A$83,0),MATCH($C268,'🔖 배합비 참조'!$B$1:$CE$1,0))/100,0),""))),"")</f>
        <v>0</v>
      </c>
      <c r="P268" s="42" t="n">
        <f aca="false">IFERROR(IF($C268="","",IF($D268="","",IFERROR(ROUND($D268*INDEX('🔖 배합비 참조'!$B$2:$CE$83,MATCH("고구마무스",'🔖 배합비 참조'!$A$2:$A$83,0),MATCH($C268,'🔖 배합비 참조'!$B$1:$CE$1,0))/100,0),""))),"")</f>
        <v>0</v>
      </c>
      <c r="Q268" s="42" t="n">
        <f aca="false">IFERROR(IF($C268="","",IF($D268="","",IFERROR(ROUND($D268*INDEX('🔖 배합비 참조'!$B$2:$CE$83,MATCH("고려엉겅퀴((곤드레)국내산)",'🔖 배합비 참조'!$A$2:$A$83,0),MATCH($C268,'🔖 배합비 참조'!$B$1:$CE$1,0))/100,0),""))),"")</f>
        <v>0</v>
      </c>
      <c r="R268" s="42" t="n">
        <f aca="false">IFERROR(IF($C268="","",IF($D268="","",IFERROR(ROUND($D268*INDEX('🔖 배합비 참조'!$B$2:$CE$83,MATCH("기타가공품(복분자가루)",'🔖 배합비 참조'!$A$2:$A$83,0),MATCH($C268,'🔖 배합비 참조'!$B$1:$CE$1,0))/100,0),""))),"")</f>
        <v>0</v>
      </c>
      <c r="S268" s="42" t="n">
        <f aca="false">IFERROR(IF($C268="","",IF($D268="","",IFERROR(ROUND($D268*INDEX('🔖 배합비 참조'!$B$2:$CE$83,MATCH("기타가공품(슈퍼소프트엠)",'🔖 배합비 참조'!$A$2:$A$83,0),MATCH($C268,'🔖 배합비 참조'!$B$1:$CE$1,0))/100,0),""))),"")</f>
        <v>0</v>
      </c>
      <c r="T268" s="42" t="n">
        <f aca="false">IFERROR(IF($C268="","",IF($D268="","",IFERROR(ROUND($D268*INDEX('🔖 배합비 참조'!$B$2:$CE$83,MATCH("기타가공품(파인소프트 E-티)",'🔖 배합비 참조'!$A$2:$A$83,0),MATCH($C268,'🔖 배합비 참조'!$B$1:$CE$1,0))/100,0),""))),"")</f>
        <v>0</v>
      </c>
      <c r="U268" s="42" t="n">
        <f aca="false">IFERROR(IF($C268="","",IF($D268="","",IFERROR(ROUND($D268*INDEX('🔖 배합비 참조'!$B$2:$CE$83,MATCH("기타가공품(프리미엄카스테라가루)",'🔖 배합비 참조'!$A$2:$A$83,0),MATCH($C268,'🔖 배합비 참조'!$B$1:$CE$1,0))/100,0),""))),"")</f>
        <v>0</v>
      </c>
      <c r="V268" s="42" t="n">
        <f aca="false">IFERROR(IF($C268="","",IF($D268="","",IFERROR(ROUND($D268*INDEX('🔖 배합비 참조'!$B$2:$CE$83,MATCH("기타가공품(흑임자가루)",'🔖 배합비 참조'!$A$2:$A$83,0),MATCH($C268,'🔖 배합비 참조'!$B$1:$CE$1,0))/100,0),""))),"")</f>
        <v>0</v>
      </c>
      <c r="W268" s="42" t="n">
        <f aca="false">IFERROR(IF($C268="","",IF($D268="","",IFERROR(ROUND($D268*INDEX('🔖 배합비 참조'!$B$2:$CE$83,MATCH("기타설탕(흑설탕)",'🔖 배합비 참조'!$A$2:$A$83,0),MATCH($C268,'🔖 배합비 참조'!$B$1:$CE$1,0))/100,0),""))),"")</f>
        <v>0</v>
      </c>
      <c r="X268" s="42" t="n">
        <f aca="false">IFERROR(IF($C268="","",IF($D268="","",IFERROR(ROUND($D268*INDEX('🔖 배합비 참조'!$B$2:$CE$83,MATCH("냉동쑥(국내산)",'🔖 배합비 참조'!$A$2:$A$83,0),MATCH($C268,'🔖 배합비 참조'!$B$1:$CE$1,0))/100,0),""))),"")</f>
        <v>4</v>
      </c>
      <c r="Y268" s="42" t="n">
        <f aca="false">IFERROR(IF($C268="","",IF($D268="","",IFERROR(ROUND($D268*INDEX('🔖 배합비 참조'!$B$2:$CE$83,MATCH("냉동증숙고구마(중국산)",'🔖 배합비 참조'!$A$2:$A$83,0),MATCH($C268,'🔖 배합비 참조'!$B$1:$CE$1,0))/100,0),""))),"")</f>
        <v>0</v>
      </c>
      <c r="Z268" s="42" t="n">
        <f aca="false">IFERROR(IF($C268="","",IF($D268="","",IFERROR(ROUND($D268*INDEX('🔖 배합비 참조'!$B$2:$CE$83,MATCH("녹차가루",'🔖 배합비 참조'!$A$2:$A$83,0),MATCH($C268,'🔖 배합비 참조'!$B$1:$CE$1,0))/100,0),""))),"")</f>
        <v>0</v>
      </c>
      <c r="AA268" s="42" t="n">
        <f aca="false">IFERROR(IF($C268="","",IF($D268="","",IFERROR(ROUND($D268*INDEX('🔖 배합비 참조'!$B$2:$CE$83,MATCH("다크초콜릿 컴파운드칩",'🔖 배합비 참조'!$A$2:$A$83,0),MATCH($C268,'🔖 배합비 참조'!$B$1:$CE$1,0))/100,0),""))),"")</f>
        <v>0</v>
      </c>
      <c r="AB268" s="42" t="n">
        <f aca="false">IFERROR(IF($C268="","",IF($D268="","",IFERROR(ROUND($D268*INDEX('🔖 배합비 참조'!$B$2:$CE$83,MATCH("단호박분말(중국산)",'🔖 배합비 참조'!$A$2:$A$83,0),MATCH($C268,'🔖 배합비 참조'!$B$1:$CE$1,0))/100,0),""))),"")</f>
        <v>0</v>
      </c>
      <c r="AC268" s="42" t="n">
        <f aca="false">IFERROR(IF($C268="","",IF($D268="","",IFERROR(ROUND($D268*INDEX('🔖 배합비 참조'!$B$2:$CE$83,MATCH("당류가공품(단호박농축액)",'🔖 배합비 참조'!$A$2:$A$83,0),MATCH($C268,'🔖 배합비 참조'!$B$1:$CE$1,0))/100,0),""))),"")</f>
        <v>0</v>
      </c>
      <c r="AD268" s="42" t="n">
        <f aca="false">IFERROR(IF($C268="","",IF($D268="","",IFERROR(ROUND($D268*INDEX('🔖 배합비 참조'!$B$2:$CE$83,MATCH("당류가공품(알룰로스,에리스리톨,스테비올배당체혼합)",'🔖 배합비 참조'!$A$2:$A$83,0),MATCH($C268,'🔖 배합비 참조'!$B$1:$CE$1,0))/100,0),""))),"")</f>
        <v>0</v>
      </c>
      <c r="AE268" s="42" t="n">
        <f aca="false">IFERROR(IF($C268="","",IF($D268="","",IFERROR(ROUND($D268*INDEX('🔖 배합비 참조'!$B$2:$CE$83,MATCH("당류가공품(알룰로스제로파우더)",'🔖 배합비 참조'!$A$2:$A$83,0),MATCH($C268,'🔖 배합비 참조'!$B$1:$CE$1,0))/100,0),""))),"")</f>
        <v>0</v>
      </c>
      <c r="AF268" s="42" t="n">
        <f aca="false">IFERROR(IF($C268="","",IF($D268="","",IFERROR(ROUND($D268*INDEX('🔖 배합비 참조'!$B$2:$CE$83,MATCH("당절임(완두배기)",'🔖 배합비 참조'!$A$2:$A$83,0),MATCH($C268,'🔖 배합비 참조'!$B$1:$CE$1,0))/100,0),""))),"")</f>
        <v>0</v>
      </c>
      <c r="AG268" s="42" t="n">
        <f aca="false">IFERROR(IF($C268="","",IF($D268="","",IFERROR(ROUND($D268*INDEX('🔖 배합비 참조'!$B$2:$CE$83,MATCH("대추농축액",'🔖 배합비 참조'!$A$2:$A$83,0),MATCH($C268,'🔖 배합비 참조'!$B$1:$CE$1,0))/100,0),""))),"")</f>
        <v>0</v>
      </c>
      <c r="AH268" s="42" t="n">
        <f aca="false">IFERROR(IF($C268="","",IF($D268="","",IFERROR(ROUND($D268*INDEX('🔖 배합비 참조'!$B$2:$CE$83,MATCH("대추채(국내산)",'🔖 배합비 참조'!$A$2:$A$83,0),MATCH($C268,'🔖 배합비 참조'!$B$1:$CE$1,0))/100,0),""))),"")</f>
        <v>0</v>
      </c>
      <c r="AI268" s="42" t="n">
        <f aca="false">IFERROR(IF($C268="","",IF($D268="","",IFERROR(ROUND($D268*INDEX('🔖 배합비 참조'!$B$2:$CE$83,MATCH("동부(미얀마산)",'🔖 배합비 참조'!$A$2:$A$83,0),MATCH($C268,'🔖 배합비 참조'!$B$1:$CE$1,0))/100,0),""))),"")</f>
        <v>0</v>
      </c>
      <c r="AJ268" s="42" t="n">
        <f aca="false">IFERROR(IF($C268="","",IF($D268="","",IFERROR(ROUND($D268*INDEX('🔖 배합비 참조'!$B$2:$CE$83,MATCH("두류가공품(백옥앙금)",'🔖 배합비 참조'!$A$2:$A$83,0),MATCH($C268,'🔖 배합비 참조'!$B$1:$CE$1,0))/100,0),""))),"")</f>
        <v>0</v>
      </c>
      <c r="AK268" s="42" t="n">
        <f aca="false">IFERROR(IF($C268="","",IF($D268="","",IFERROR(ROUND($D268*INDEX('🔖 배합비 참조'!$B$2:$CE$83,MATCH("두류가공품(콩고물)",'🔖 배합비 참조'!$A$2:$A$83,0),MATCH($C268,'🔖 배합비 참조'!$B$1:$CE$1,0))/100,0),""))),"")</f>
        <v>3</v>
      </c>
      <c r="AL268" s="42" t="n">
        <f aca="false">IFERROR(IF($C268="","",IF($D268="","",IFERROR(ROUND($D268*INDEX('🔖 배합비 참조'!$B$2:$CE$83,MATCH("두류가공품(통팥고물)",'🔖 배합비 참조'!$A$2:$A$83,0),MATCH($C268,'🔖 배합비 참조'!$B$1:$CE$1,0))/100,0),""))),"")</f>
        <v>0</v>
      </c>
      <c r="AM268" s="42" t="n">
        <f aca="false">IFERROR(IF($C268="","",IF($D268="","",IFERROR(ROUND($D268*INDEX('🔖 배합비 참조'!$B$2:$CE$83,MATCH("딸기레진",'🔖 배합비 참조'!$A$2:$A$83,0),MATCH($C268,'🔖 배합비 참조'!$B$1:$CE$1,0))/100,0),""))),"")</f>
        <v>0</v>
      </c>
      <c r="AN268" s="42" t="n">
        <f aca="false">IFERROR(IF($C268="","",IF($D268="","",IFERROR(ROUND($D268*INDEX('🔖 배합비 참조'!$B$2:$CE$83,MATCH("딸기분말(스트로우베리에이드(분말))",'🔖 배합비 참조'!$A$2:$A$83,0),MATCH($C268,'🔖 배합비 참조'!$B$1:$CE$1,0))/100,0),""))),"")</f>
        <v>0</v>
      </c>
      <c r="AO268" s="42" t="n">
        <f aca="false">IFERROR(IF($C268="","",IF($D268="","",IFERROR(ROUND($D268*INDEX('🔖 배합비 참조'!$B$2:$CE$83,MATCH("마스카포네치즈",'🔖 배합비 참조'!$A$2:$A$83,0),MATCH($C268,'🔖 배합비 참조'!$B$1:$CE$1,0))/100,0),""))),"")</f>
        <v>0</v>
      </c>
      <c r="AP268" s="42" t="n">
        <f aca="false">IFERROR(IF($C268="","",IF($D268="","",IFERROR(ROUND($D268*INDEX('🔖 배합비 참조'!$B$2:$CE$83,MATCH("마카다미아분태(호주산)",'🔖 배합비 참조'!$A$2:$A$83,0),MATCH($C268,'🔖 배합비 참조'!$B$1:$CE$1,0))/100,0),""))),"")</f>
        <v>0</v>
      </c>
      <c r="AQ268" s="42" t="n">
        <f aca="false">IFERROR(IF($C268="","",IF($D268="","",IFERROR(ROUND($D268*INDEX('🔖 배합비 참조'!$B$2:$CE$83,MATCH("멥쌀(국내산)",'🔖 배합비 참조'!$A$2:$A$83,0),MATCH($C268,'🔖 배합비 참조'!$B$1:$CE$1,0))/100,0),""))),"")</f>
        <v>0</v>
      </c>
      <c r="AR268" s="42" t="n">
        <f aca="false">IFERROR(IF($C268="","",IF($D268="","",IFERROR(ROUND($D268*INDEX('🔖 배합비 참조'!$B$2:$CE$83,MATCH("모시잎(국내산)",'🔖 배합비 참조'!$A$2:$A$83,0),MATCH($C268,'🔖 배합비 참조'!$B$1:$CE$1,0))/100,0),""))),"")</f>
        <v>0</v>
      </c>
      <c r="AS268" s="42" t="n">
        <f aca="false">IFERROR(IF($C268="","",IF($D268="","",IFERROR(ROUND($D268*INDEX('🔖 배합비 참조'!$B$2:$CE$83,MATCH("물엿(저당물엿)",'🔖 배합비 참조'!$A$2:$A$83,0),MATCH($C268,'🔖 배합비 참조'!$B$1:$CE$1,0))/100,0),""))),"")</f>
        <v>2</v>
      </c>
      <c r="AT268" s="42" t="n">
        <f aca="false">IFERROR(IF($C268="","",IF($D268="","",IFERROR(ROUND($D268*INDEX('🔖 배합비 참조'!$B$2:$CE$83,MATCH("밤다이스",'🔖 배합비 참조'!$A$2:$A$83,0),MATCH($C268,'🔖 배합비 참조'!$B$1:$CE$1,0))/100,0),""))),"")</f>
        <v>0</v>
      </c>
      <c r="AU268" s="42" t="n">
        <f aca="false">IFERROR(IF($C268="","",IF($D268="","",IFERROR(ROUND($D268*INDEX('🔖 배합비 참조'!$B$2:$CE$83,MATCH("변성전분(타피오카전분)",'🔖 배합비 참조'!$A$2:$A$83,0),MATCH($C268,'🔖 배합비 참조'!$B$1:$CE$1,0))/100,0),""))),"")</f>
        <v>0</v>
      </c>
      <c r="AV268" s="42" t="n">
        <f aca="false">IFERROR(IF($C268="","",IF($D268="","",IFERROR(ROUND($D268*INDEX('🔖 배합비 참조'!$B$2:$CE$83,MATCH("복음땅콩분태",'🔖 배합비 참조'!$A$2:$A$83,0),MATCH($C268,'🔖 배합비 참조'!$B$1:$CE$1,0))/100,0),""))),"")</f>
        <v>0</v>
      </c>
      <c r="AW268" s="42" t="n">
        <f aca="false">IFERROR(IF($C268="","",IF($D268="","",IFERROR(ROUND($D268*INDEX('🔖 배합비 참조'!$B$2:$CE$83,MATCH("사양벌꿀(국내산)",'🔖 배합비 참조'!$A$2:$A$83,0),MATCH($C268,'🔖 배합비 참조'!$B$1:$CE$1,0))/100,0),""))),"")</f>
        <v>0</v>
      </c>
      <c r="AX268" s="42" t="n">
        <f aca="false">IFERROR(IF($C268="","",IF($D268="","",IFERROR(ROUND($D268*INDEX('🔖 배합비 참조'!$B$2:$CE$83,MATCH("생크림",'🔖 배합비 참조'!$A$2:$A$83,0),MATCH($C268,'🔖 배합비 참조'!$B$1:$CE$1,0))/100,0),""))),"")</f>
        <v>0</v>
      </c>
      <c r="AY268" s="42" t="n">
        <f aca="false">IFERROR(IF($C268="","",IF($D268="","",IFERROR(ROUND($D268*INDEX('🔖 배합비 참조'!$B$2:$CE$83,MATCH("서양호박(국내산,뉴질랜드산)",'🔖 배합비 참조'!$A$2:$A$83,0),MATCH($C268,'🔖 배합비 참조'!$B$1:$CE$1,0))/100,0),""))),"")</f>
        <v>0</v>
      </c>
      <c r="AZ268" s="42" t="n">
        <f aca="false">IFERROR(IF($C268="","",IF($D268="","",IFERROR(ROUND($D268*INDEX('🔖 배합비 참조'!$B$2:$CE$83,MATCH("설탕",'🔖 배합비 참조'!$A$2:$A$83,0),MATCH($C268,'🔖 배합비 참조'!$B$1:$CE$1,0))/100,0),""))),"")</f>
        <v>2</v>
      </c>
      <c r="BA268" s="42" t="n">
        <f aca="false">IFERROR(IF($C268="","",IF($D268="","",IFERROR(ROUND($D268*INDEX('🔖 배합비 참조'!$B$2:$CE$83,MATCH("스트로우베리 에이드 후레쉬",'🔖 배합비 참조'!$A$2:$A$83,0),MATCH($C268,'🔖 배합비 참조'!$B$1:$CE$1,0))/100,0),""))),"")</f>
        <v>0</v>
      </c>
      <c r="BB268" s="42" t="n">
        <f aca="false">IFERROR(IF($C268="","",IF($D268="","",IFERROR(ROUND($D268*INDEX('🔖 배합비 참조'!$B$2:$CE$83,MATCH("식물성기름혼합제제(분홍)",'🔖 배합비 참조'!$A$2:$A$83,0),MATCH($C268,'🔖 배합비 참조'!$B$1:$CE$1,0))/100,0),""))),"")</f>
        <v>0</v>
      </c>
      <c r="BC268" s="42" t="n">
        <f aca="false">IFERROR(IF($C268="","",IF($D268="","",IFERROR(ROUND($D268*INDEX('🔖 배합비 참조'!$B$2:$CE$83,MATCH("식물성기름혼합제제(초록)",'🔖 배합비 참조'!$A$2:$A$83,0),MATCH($C268,'🔖 배합비 참조'!$B$1:$CE$1,0))/100,0),""))),"")</f>
        <v>0</v>
      </c>
      <c r="BD268" s="42" t="n">
        <f aca="false">IFERROR(IF($C268="","",IF($D268="","",IFERROR(ROUND($D268*INDEX('🔖 배합비 참조'!$B$2:$CE$83,MATCH("식물성기름혼합제제(황색)",'🔖 배합비 참조'!$A$2:$A$83,0),MATCH($C268,'🔖 배합비 참조'!$B$1:$CE$1,0))/100,0),""))),"")</f>
        <v>0</v>
      </c>
      <c r="BE268" s="42" t="n">
        <f aca="false">IFERROR(IF($C268="","",IF($D268="","",IFERROR(ROUND($D268*INDEX('🔖 배합비 참조'!$B$2:$CE$83,MATCH("쑥가루(국내산)",'🔖 배합비 참조'!$A$2:$A$83,0),MATCH($C268,'🔖 배합비 참조'!$B$1:$CE$1,0))/100,0),""))),"")</f>
        <v>1</v>
      </c>
      <c r="BF268" s="42" t="n">
        <f aca="false">IFERROR(IF($C268="","",IF($D268="","",IFERROR(ROUND($D268*INDEX('🔖 배합비 참조'!$B$2:$CE$83,MATCH("아몬드슬라이스",'🔖 배합비 참조'!$A$2:$A$83,0),MATCH($C268,'🔖 배합비 참조'!$B$1:$CE$1,0))/100,0),""))),"")</f>
        <v>0</v>
      </c>
      <c r="BG268" s="42" t="n">
        <f aca="false">IFERROR(IF($C268="","",IF($D268="","",IFERROR(ROUND($D268*INDEX('🔖 배합비 참조'!$B$2:$CE$83,MATCH("알룰로오스(국내산)",'🔖 배합비 참조'!$A$2:$A$83,0),MATCH($C268,'🔖 배합비 참조'!$B$1:$CE$1,0))/100,0),""))),"")</f>
        <v>0</v>
      </c>
      <c r="BH268" s="42" t="n">
        <f aca="false">IFERROR(IF($C268="","",IF($D268="","",IFERROR(ROUND($D268*INDEX('🔖 배합비 참조'!$B$2:$CE$83,MATCH("연유",'🔖 배합비 참조'!$A$2:$A$83,0),MATCH($C268,'🔖 배합비 참조'!$B$1:$CE$1,0))/100,0),""))),"")</f>
        <v>0</v>
      </c>
      <c r="BI268" s="42" t="n">
        <f aca="false">IFERROR(IF($C268="","",IF($D268="","",IFERROR(ROUND($D268*INDEX('🔖 배합비 참조'!$B$2:$CE$83,MATCH("옥수수전분",'🔖 배합비 참조'!$A$2:$A$83,0),MATCH($C268,'🔖 배합비 참조'!$B$1:$CE$1,0))/100,0),""))),"")</f>
        <v>0</v>
      </c>
      <c r="BJ268" s="42" t="n">
        <f aca="false">IFERROR(IF($C268="","",IF($D268="","",IFERROR(ROUND($D268*INDEX('🔖 배합비 참조'!$B$2:$CE$83,MATCH("완두배기",'🔖 배합비 참조'!$A$2:$A$83,0),MATCH($C268,'🔖 배합비 참조'!$B$1:$CE$1,0))/100,0),""))),"")</f>
        <v>0</v>
      </c>
      <c r="BK268" s="42" t="n">
        <f aca="false">IFERROR(IF($C268="","",IF($D268="","",IFERROR(ROUND($D268*INDEX('🔖 배합비 참조'!$B$2:$CE$83,MATCH("우유(국내산)",'🔖 배합비 참조'!$A$2:$A$83,0),MATCH($C268,'🔖 배합비 참조'!$B$1:$CE$1,0))/100,0),""))),"")</f>
        <v>0</v>
      </c>
      <c r="BL268" s="42" t="n">
        <f aca="false">IFERROR(IF($C268="","",IF($D268="","",IFERROR(ROUND($D268*INDEX('🔖 배합비 참조'!$B$2:$CE$83,MATCH("자색고구마가루(중국산)",'🔖 배합비 참조'!$A$2:$A$83,0),MATCH($C268,'🔖 배합비 참조'!$B$1:$CE$1,0))/100,0),""))),"")</f>
        <v>0</v>
      </c>
      <c r="BM268" s="42" t="n">
        <f aca="false">IFERROR(IF($C268="","",IF($D268="","",IFERROR(ROUND($D268*INDEX('🔖 배합비 참조'!$B$2:$CE$83,MATCH("자연치즈(체다치즈)",'🔖 배합비 참조'!$A$2:$A$83,0),MATCH($C268,'🔖 배합비 참조'!$B$1:$CE$1,0))/100,0),""))),"")</f>
        <v>0</v>
      </c>
      <c r="BN268" s="42" t="n">
        <f aca="false">IFERROR(IF($C268="","",IF($D268="","",IFERROR(ROUND($D268*INDEX('🔖 배합비 참조'!$B$2:$CE$83,MATCH("정제수",'🔖 배합비 참조'!$A$2:$A$83,0),MATCH($C268,'🔖 배합비 참조'!$B$1:$CE$1,0))/100,0),""))),"")</f>
        <v>0</v>
      </c>
      <c r="BO268" s="42" t="n">
        <f aca="false">IFERROR(IF($C268="","",IF($D268="","",IFERROR(ROUND($D268*INDEX('🔖 배합비 참조'!$B$2:$CE$83,MATCH("젤라틴",'🔖 배합비 참조'!$A$2:$A$83,0),MATCH($C268,'🔖 배합비 참조'!$B$1:$CE$1,0))/100,0),""))),"")</f>
        <v>0</v>
      </c>
      <c r="BP268" s="42" t="n">
        <f aca="false">IFERROR(IF($C268="","",IF($D268="","",IFERROR(ROUND($D268*INDEX('🔖 배합비 참조'!$B$2:$CE$83,MATCH("조림류(백옥앙금)",'🔖 배합비 참조'!$A$2:$A$83,0),MATCH($C268,'🔖 배합비 참조'!$B$1:$CE$1,0))/100,0),""))),"")</f>
        <v>0</v>
      </c>
      <c r="BQ268" s="42" t="n">
        <f aca="false">IFERROR(IF($C268="","",IF($D268="","",IFERROR(ROUND($D268*INDEX('🔖 배합비 참조'!$B$2:$CE$83,MATCH("조림류(통팥앙금)",'🔖 배합비 참조'!$A$2:$A$83,0),MATCH($C268,'🔖 배합비 참조'!$B$1:$CE$1,0))/100,0),""))),"")</f>
        <v>46</v>
      </c>
      <c r="BR268" s="42" t="n">
        <f aca="false">IFERROR(IF($C268="","",IF($D268="","",IFERROR(ROUND($D268*INDEX('🔖 배합비 참조'!$B$2:$CE$83,MATCH("준초콜릿(외국산)",'🔖 배합비 참조'!$A$2:$A$83,0),MATCH($C268,'🔖 배합비 참조'!$B$1:$CE$1,0))/100,0),""))),"")</f>
        <v>0</v>
      </c>
      <c r="BS268" s="42" t="n">
        <f aca="false">IFERROR(IF($C268="","",IF($D268="","",IFERROR(ROUND($D268*INDEX('🔖 배합비 참조'!$B$2:$CE$83,MATCH("중력분",'🔖 배합비 참조'!$A$2:$A$83,0),MATCH($C268,'🔖 배합비 참조'!$B$1:$CE$1,0))/100,0),""))),"")</f>
        <v>1</v>
      </c>
      <c r="BT268" s="42" t="n">
        <f aca="false">IFERROR(IF($C268="","",IF($D268="","",IFERROR(ROUND($D268*INDEX('🔖 배합비 참조'!$B$2:$CE$83,MATCH("참깨(인도산,나이지리아산,탄자니아산,미얀마산)",'🔖 배합비 참조'!$A$2:$A$83,0),MATCH($C268,'🔖 배합비 참조'!$B$1:$CE$1,0))/100,0),""))),"")</f>
        <v>0</v>
      </c>
      <c r="BU268" s="42" t="n">
        <f aca="false">IFERROR(IF($C268="","",IF($D268="","",IFERROR(ROUND($D268*INDEX('🔖 배합비 참조'!$B$2:$CE$83,MATCH("찹쌀(국내산)",'🔖 배합비 참조'!$A$2:$A$83,0),MATCH($C268,'🔖 배합비 참조'!$B$1:$CE$1,0))/100,0),""))),"")</f>
        <v>49</v>
      </c>
      <c r="BV268" s="42" t="n">
        <f aca="false">IFERROR(IF($C268="","",IF($D268="","",IFERROR(ROUND($D268*INDEX('🔖 배합비 참조'!$B$2:$CE$83,MATCH("천일염",'🔖 배합비 참조'!$A$2:$A$83,0),MATCH($C268,'🔖 배합비 참조'!$B$1:$CE$1,0))/100,0),""))),"")</f>
        <v>1</v>
      </c>
      <c r="BW268" s="42" t="n">
        <f aca="false">IFERROR(IF($C268="","",IF($D268="","",IFERROR(ROUND($D268*INDEX('🔖 배합비 참조'!$B$2:$CE$83,MATCH("치즈 [크림치즈]",'🔖 배합비 참조'!$A$2:$A$83,0),MATCH($C268,'🔖 배합비 참조'!$B$1:$CE$1,0))/100,0),""))),"")</f>
        <v>0</v>
      </c>
      <c r="BX268" s="42" t="n">
        <f aca="false">IFERROR(IF($C268="","",IF($D268="","",IFERROR(ROUND($D268*INDEX('🔖 배합비 참조'!$B$2:$CE$83,MATCH("코코아가공품류(코코아분말)",'🔖 배합비 참조'!$A$2:$A$83,0),MATCH($C268,'🔖 배합비 참조'!$B$1:$CE$1,0))/100,0),""))),"")</f>
        <v>0</v>
      </c>
      <c r="BY268" s="42" t="n">
        <f aca="false">IFERROR(IF($C268="","",IF($D268="","",IFERROR(ROUND($D268*INDEX('🔖 배합비 참조'!$B$2:$CE$83,MATCH("콩기름(대두유)",'🔖 배합비 참조'!$A$2:$A$83,0),MATCH($C268,'🔖 배합비 참조'!$B$1:$CE$1,0))/100,0),""))),"")</f>
        <v>0</v>
      </c>
      <c r="BZ268" s="42" t="n">
        <f aca="false">IFERROR(IF($C268="","",IF($D268="","",IFERROR(ROUND($D268*INDEX('🔖 배합비 참조'!$B$2:$CE$83,MATCH("해바라기씨앗",'🔖 배합비 참조'!$A$2:$A$83,0),MATCH($C268,'🔖 배합비 참조'!$B$1:$CE$1,0))/100,0),""))),"")</f>
        <v>0</v>
      </c>
      <c r="CA268" s="42" t="n">
        <f aca="false">IFERROR(IF($C268="","",IF($D268="","",IFERROR(ROUND($D268*INDEX('🔖 배합비 참조'!$B$2:$CE$83,MATCH("현미(국내산)",'🔖 배합비 참조'!$A$2:$A$83,0),MATCH($C268,'🔖 배합비 참조'!$B$1:$CE$1,0))/100,0),""))),"")</f>
        <v>0</v>
      </c>
      <c r="CB268" s="42" t="n">
        <f aca="false">IFERROR(IF($C268="","",IF($D268="","",IFERROR(ROUND($D268*INDEX('🔖 배합비 참조'!$B$2:$CE$83,MATCH("현미멥쌀(국내산)",'🔖 배합비 참조'!$A$2:$A$83,0),MATCH($C268,'🔖 배합비 참조'!$B$1:$CE$1,0))/100,0),""))),"")</f>
        <v>0</v>
      </c>
      <c r="CC268" s="42" t="n">
        <f aca="false">IFERROR(IF($C268="","",IF($D268="","",IFERROR(ROUND($D268*INDEX('🔖 배합비 참조'!$B$2:$CE$83,MATCH("호두분태(미국산)",'🔖 배합비 참조'!$A$2:$A$83,0),MATCH($C268,'🔖 배합비 참조'!$B$1:$CE$1,0))/100,0),""))),"")</f>
        <v>0</v>
      </c>
      <c r="CD268" s="42" t="n">
        <f aca="false">IFERROR(IF($C268="","",IF($D268="","",IFERROR(ROUND($D268*INDEX('🔖 배합비 참조'!$B$2:$CE$83,MATCH("호박씨앗(외국산)",'🔖 배합비 참조'!$A$2:$A$83,0),MATCH($C268,'🔖 배합비 참조'!$B$1:$CE$1,0))/100,0),""))),"")</f>
        <v>0</v>
      </c>
      <c r="CE268" s="42" t="n">
        <f aca="false">IFERROR(IF($C268="","",IF($D268="","",IFERROR(ROUND($D268*INDEX('🔖 배합비 참조'!$B$2:$CE$83,MATCH("혼합제제(떡용에스텔)",'🔖 배합비 참조'!$A$2:$A$83,0),MATCH($C268,'🔖 배합비 참조'!$B$1:$CE$1,0))/100,0),""))),"")</f>
        <v>0</v>
      </c>
      <c r="CF268" s="42" t="n">
        <f aca="false">IFERROR(IF($C268="","",IF($D268="","",IFERROR(ROUND($D268*INDEX('🔖 배합비 참조'!$B$2:$CE$83,MATCH("혼합제제(스테비아)",'🔖 배합비 참조'!$A$2:$A$83,0),MATCH($C268,'🔖 배합비 참조'!$B$1:$CE$1,0))/100,0),""))),"")</f>
        <v>0</v>
      </c>
      <c r="CG268" s="42" t="n">
        <f aca="false">IFERROR(IF($C268="","",IF($D268="","",IFERROR(ROUND($D268*INDEX('🔖 배합비 참조'!$B$2:$CE$83,MATCH("화이트초콜릿",'🔖 배합비 참조'!$A$2:$A$83,0),MATCH($C268,'🔖 배합비 참조'!$B$1:$CE$1,0))/100,0),""))),"")</f>
        <v>0</v>
      </c>
      <c r="CH268" s="42" t="n">
        <f aca="false">IFERROR(IF($C268="","",IF($D268="","",IFERROR(ROUND($D268*INDEX('🔖 배합비 참조'!$B$2:$CE$83,MATCH("흑미찹쌀(국내산)",'🔖 배합비 참조'!$A$2:$A$83,0),MATCH($C268,'🔖 배합비 참조'!$B$1:$CE$1,0))/100,0),""))),"")</f>
        <v>0</v>
      </c>
      <c r="CI268" s="42" t="n">
        <f aca="false">IFERROR(IF($C268="","",IF($D268="","",IFERROR(ROUND($D268*INDEX('🔖 배합비 참조'!$B$2:$CE$83,MATCH("찰옥수수전분(미국산)",'🔖 배합비 참조'!$A$2:$A$83,0),MATCH($C268,'🔖 배합비 참조'!$B$1:$CE$1,0))/100,0),""))),"")</f>
        <v>0</v>
      </c>
      <c r="CJ268" s="40"/>
      <c r="CL268" s="43" t="s">
        <v>248</v>
      </c>
    </row>
    <row r="269" customFormat="false" ht="18" hidden="false" customHeight="true" outlineLevel="0" collapsed="false">
      <c r="A269" s="35" t="n">
        <v>265</v>
      </c>
      <c r="B269" s="36" t="n">
        <v>46090</v>
      </c>
      <c r="C269" s="37" t="s">
        <v>236</v>
      </c>
      <c r="D269" s="38" t="n">
        <v>110</v>
      </c>
      <c r="E269" s="13"/>
      <c r="F269" s="13"/>
      <c r="G269" s="39" t="n">
        <f aca="false">IFERROR(IF($C269="","",IF($D269="","",IFERROR(ROUND($D269*INDEX('🔖 배합비 참조'!$B$2:$CE$83,MATCH("간장",'🔖 배합비 참조'!$A$2:$A$83,0),MATCH($C269,'🔖 배합비 참조'!$B$1:$CE$1,0))/100,0),""))),"")</f>
        <v>0</v>
      </c>
      <c r="H269" s="39" t="n">
        <f aca="false">IFERROR(IF($C269="","",IF($D269="","",IFERROR(ROUND($D269*INDEX('🔖 배합비 참조'!$B$2:$CE$83,MATCH("강낭콩((울타리콩))",'🔖 배합비 참조'!$A$2:$A$83,0),MATCH($C269,'🔖 배합비 참조'!$B$1:$CE$1,0))/100,0),""))),"")</f>
        <v>0</v>
      </c>
      <c r="I269" s="39" t="n">
        <f aca="false">IFERROR(IF($C269="","",IF($D269="","",IFERROR(ROUND($D269*INDEX('🔖 배합비 참조'!$B$2:$CE$83,MATCH("건조딸기다이스(외국산)",'🔖 배합비 참조'!$A$2:$A$83,0),MATCH($C269,'🔖 배합비 참조'!$B$1:$CE$1,0))/100,0),""))),"")</f>
        <v>0</v>
      </c>
      <c r="J269" s="39" t="n">
        <f aca="false">IFERROR(IF($C269="","",IF($D269="","",IFERROR(ROUND($D269*INDEX('🔖 배합비 참조'!$B$2:$CE$83,MATCH("건포도",'🔖 배합비 참조'!$A$2:$A$83,0),MATCH($C269,'🔖 배합비 참조'!$B$1:$CE$1,0))/100,0),""))),"")</f>
        <v>0</v>
      </c>
      <c r="K269" s="39" t="n">
        <f aca="false">IFERROR(IF($C269="","",IF($D269="","",IFERROR(ROUND($D269*INDEX('🔖 배합비 참조'!$B$2:$CE$83,MATCH("건호박채(중국산)",'🔖 배합비 참조'!$A$2:$A$83,0),MATCH($C269,'🔖 배합비 참조'!$B$1:$CE$1,0))/100,0),""))),"")</f>
        <v>0</v>
      </c>
      <c r="L269" s="39" t="n">
        <f aca="false">IFERROR(IF($C269="","",IF($D269="","",IFERROR(ROUND($D269*INDEX('🔖 배합비 참조'!$B$2:$CE$83,MATCH("검정깨(흑임자)",'🔖 배합비 참조'!$A$2:$A$83,0),MATCH($C269,'🔖 배합비 참조'!$B$1:$CE$1,0))/100,0),""))),"")</f>
        <v>0</v>
      </c>
      <c r="M269" s="39" t="n">
        <f aca="false">IFERROR(IF($C269="","",IF($D269="","",IFERROR(ROUND($D269*INDEX('🔖 배합비 참조'!$B$2:$CE$83,MATCH("검정콩",'🔖 배합비 참조'!$A$2:$A$83,0),MATCH($C269,'🔖 배합비 참조'!$B$1:$CE$1,0))/100,0),""))),"")</f>
        <v>0</v>
      </c>
      <c r="N269" s="39" t="n">
        <f aca="false">IFERROR(IF($C269="","",IF($D269="","",IFERROR(ROUND($D269*INDEX('🔖 배합비 참조'!$B$2:$CE$83,MATCH("계피가루",'🔖 배합비 참조'!$A$2:$A$83,0),MATCH($C269,'🔖 배합비 참조'!$B$1:$CE$1,0))/100,0),""))),"")</f>
        <v>0</v>
      </c>
      <c r="O269" s="39" t="n">
        <f aca="false">IFERROR(IF($C269="","",IF($D269="","",IFERROR(ROUND($D269*INDEX('🔖 배합비 참조'!$B$2:$CE$83,MATCH("고구마가루",'🔖 배합비 참조'!$A$2:$A$83,0),MATCH($C269,'🔖 배합비 참조'!$B$1:$CE$1,0))/100,0),""))),"")</f>
        <v>0</v>
      </c>
      <c r="P269" s="39" t="n">
        <f aca="false">IFERROR(IF($C269="","",IF($D269="","",IFERROR(ROUND($D269*INDEX('🔖 배합비 참조'!$B$2:$CE$83,MATCH("고구마무스",'🔖 배합비 참조'!$A$2:$A$83,0),MATCH($C269,'🔖 배합비 참조'!$B$1:$CE$1,0))/100,0),""))),"")</f>
        <v>0</v>
      </c>
      <c r="Q269" s="39" t="n">
        <f aca="false">IFERROR(IF($C269="","",IF($D269="","",IFERROR(ROUND($D269*INDEX('🔖 배합비 참조'!$B$2:$CE$83,MATCH("고려엉겅퀴((곤드레)국내산)",'🔖 배합비 참조'!$A$2:$A$83,0),MATCH($C269,'🔖 배합비 참조'!$B$1:$CE$1,0))/100,0),""))),"")</f>
        <v>0</v>
      </c>
      <c r="R269" s="39" t="n">
        <f aca="false">IFERROR(IF($C269="","",IF($D269="","",IFERROR(ROUND($D269*INDEX('🔖 배합비 참조'!$B$2:$CE$83,MATCH("기타가공품(복분자가루)",'🔖 배합비 참조'!$A$2:$A$83,0),MATCH($C269,'🔖 배합비 참조'!$B$1:$CE$1,0))/100,0),""))),"")</f>
        <v>0</v>
      </c>
      <c r="S269" s="39" t="n">
        <f aca="false">IFERROR(IF($C269="","",IF($D269="","",IFERROR(ROUND($D269*INDEX('🔖 배합비 참조'!$B$2:$CE$83,MATCH("기타가공품(슈퍼소프트엠)",'🔖 배합비 참조'!$A$2:$A$83,0),MATCH($C269,'🔖 배합비 참조'!$B$1:$CE$1,0))/100,0),""))),"")</f>
        <v>0</v>
      </c>
      <c r="T269" s="39" t="n">
        <f aca="false">IFERROR(IF($C269="","",IF($D269="","",IFERROR(ROUND($D269*INDEX('🔖 배합비 참조'!$B$2:$CE$83,MATCH("기타가공품(파인소프트 E-티)",'🔖 배합비 참조'!$A$2:$A$83,0),MATCH($C269,'🔖 배합비 참조'!$B$1:$CE$1,0))/100,0),""))),"")</f>
        <v>0</v>
      </c>
      <c r="U269" s="39" t="n">
        <f aca="false">IFERROR(IF($C269="","",IF($D269="","",IFERROR(ROUND($D269*INDEX('🔖 배합비 참조'!$B$2:$CE$83,MATCH("기타가공품(프리미엄카스테라가루)",'🔖 배합비 참조'!$A$2:$A$83,0),MATCH($C269,'🔖 배합비 참조'!$B$1:$CE$1,0))/100,0),""))),"")</f>
        <v>0</v>
      </c>
      <c r="V269" s="39" t="n">
        <f aca="false">IFERROR(IF($C269="","",IF($D269="","",IFERROR(ROUND($D269*INDEX('🔖 배합비 참조'!$B$2:$CE$83,MATCH("기타가공품(흑임자가루)",'🔖 배합비 참조'!$A$2:$A$83,0),MATCH($C269,'🔖 배합비 참조'!$B$1:$CE$1,0))/100,0),""))),"")</f>
        <v>0</v>
      </c>
      <c r="W269" s="39" t="n">
        <f aca="false">IFERROR(IF($C269="","",IF($D269="","",IFERROR(ROUND($D269*INDEX('🔖 배합비 참조'!$B$2:$CE$83,MATCH("기타설탕(흑설탕)",'🔖 배합비 참조'!$A$2:$A$83,0),MATCH($C269,'🔖 배합비 참조'!$B$1:$CE$1,0))/100,0),""))),"")</f>
        <v>0</v>
      </c>
      <c r="X269" s="39" t="n">
        <f aca="false">IFERROR(IF($C269="","",IF($D269="","",IFERROR(ROUND($D269*INDEX('🔖 배합비 참조'!$B$2:$CE$83,MATCH("냉동쑥(국내산)",'🔖 배합비 참조'!$A$2:$A$83,0),MATCH($C269,'🔖 배합비 참조'!$B$1:$CE$1,0))/100,0),""))),"")</f>
        <v>2</v>
      </c>
      <c r="Y269" s="39" t="n">
        <f aca="false">IFERROR(IF($C269="","",IF($D269="","",IFERROR(ROUND($D269*INDEX('🔖 배합비 참조'!$B$2:$CE$83,MATCH("냉동증숙고구마(중국산)",'🔖 배합비 참조'!$A$2:$A$83,0),MATCH($C269,'🔖 배합비 참조'!$B$1:$CE$1,0))/100,0),""))),"")</f>
        <v>0</v>
      </c>
      <c r="Z269" s="39" t="n">
        <f aca="false">IFERROR(IF($C269="","",IF($D269="","",IFERROR(ROUND($D269*INDEX('🔖 배합비 참조'!$B$2:$CE$83,MATCH("녹차가루",'🔖 배합비 참조'!$A$2:$A$83,0),MATCH($C269,'🔖 배합비 참조'!$B$1:$CE$1,0))/100,0),""))),"")</f>
        <v>0</v>
      </c>
      <c r="AA269" s="39" t="n">
        <f aca="false">IFERROR(IF($C269="","",IF($D269="","",IFERROR(ROUND($D269*INDEX('🔖 배합비 참조'!$B$2:$CE$83,MATCH("다크초콜릿 컴파운드칩",'🔖 배합비 참조'!$A$2:$A$83,0),MATCH($C269,'🔖 배합비 참조'!$B$1:$CE$1,0))/100,0),""))),"")</f>
        <v>0</v>
      </c>
      <c r="AB269" s="39" t="n">
        <f aca="false">IFERROR(IF($C269="","",IF($D269="","",IFERROR(ROUND($D269*INDEX('🔖 배합비 참조'!$B$2:$CE$83,MATCH("단호박분말(중국산)",'🔖 배합비 참조'!$A$2:$A$83,0),MATCH($C269,'🔖 배합비 참조'!$B$1:$CE$1,0))/100,0),""))),"")</f>
        <v>0</v>
      </c>
      <c r="AC269" s="39" t="n">
        <f aca="false">IFERROR(IF($C269="","",IF($D269="","",IFERROR(ROUND($D269*INDEX('🔖 배합비 참조'!$B$2:$CE$83,MATCH("당류가공품(단호박농축액)",'🔖 배합비 참조'!$A$2:$A$83,0),MATCH($C269,'🔖 배합비 참조'!$B$1:$CE$1,0))/100,0),""))),"")</f>
        <v>0</v>
      </c>
      <c r="AD269" s="39" t="n">
        <f aca="false">IFERROR(IF($C269="","",IF($D269="","",IFERROR(ROUND($D269*INDEX('🔖 배합비 참조'!$B$2:$CE$83,MATCH("당류가공품(알룰로스,에리스리톨,스테비올배당체혼합)",'🔖 배합비 참조'!$A$2:$A$83,0),MATCH($C269,'🔖 배합비 참조'!$B$1:$CE$1,0))/100,0),""))),"")</f>
        <v>0</v>
      </c>
      <c r="AE269" s="39" t="n">
        <f aca="false">IFERROR(IF($C269="","",IF($D269="","",IFERROR(ROUND($D269*INDEX('🔖 배합비 참조'!$B$2:$CE$83,MATCH("당류가공품(알룰로스제로파우더)",'🔖 배합비 참조'!$A$2:$A$83,0),MATCH($C269,'🔖 배합비 참조'!$B$1:$CE$1,0))/100,0),""))),"")</f>
        <v>0</v>
      </c>
      <c r="AF269" s="39" t="n">
        <f aca="false">IFERROR(IF($C269="","",IF($D269="","",IFERROR(ROUND($D269*INDEX('🔖 배합비 참조'!$B$2:$CE$83,MATCH("당절임(완두배기)",'🔖 배합비 참조'!$A$2:$A$83,0),MATCH($C269,'🔖 배합비 참조'!$B$1:$CE$1,0))/100,0),""))),"")</f>
        <v>0</v>
      </c>
      <c r="AG269" s="39" t="n">
        <f aca="false">IFERROR(IF($C269="","",IF($D269="","",IFERROR(ROUND($D269*INDEX('🔖 배합비 참조'!$B$2:$CE$83,MATCH("대추농축액",'🔖 배합비 참조'!$A$2:$A$83,0),MATCH($C269,'🔖 배합비 참조'!$B$1:$CE$1,0))/100,0),""))),"")</f>
        <v>0</v>
      </c>
      <c r="AH269" s="39" t="n">
        <f aca="false">IFERROR(IF($C269="","",IF($D269="","",IFERROR(ROUND($D269*INDEX('🔖 배합비 참조'!$B$2:$CE$83,MATCH("대추채(국내산)",'🔖 배합비 참조'!$A$2:$A$83,0),MATCH($C269,'🔖 배합비 참조'!$B$1:$CE$1,0))/100,0),""))),"")</f>
        <v>0</v>
      </c>
      <c r="AI269" s="39" t="n">
        <f aca="false">IFERROR(IF($C269="","",IF($D269="","",IFERROR(ROUND($D269*INDEX('🔖 배합비 참조'!$B$2:$CE$83,MATCH("동부(미얀마산)",'🔖 배합비 참조'!$A$2:$A$83,0),MATCH($C269,'🔖 배합비 참조'!$B$1:$CE$1,0))/100,0),""))),"")</f>
        <v>14</v>
      </c>
      <c r="AJ269" s="39" t="n">
        <f aca="false">IFERROR(IF($C269="","",IF($D269="","",IFERROR(ROUND($D269*INDEX('🔖 배합비 참조'!$B$2:$CE$83,MATCH("두류가공품(백옥앙금)",'🔖 배합비 참조'!$A$2:$A$83,0),MATCH($C269,'🔖 배합비 참조'!$B$1:$CE$1,0))/100,0),""))),"")</f>
        <v>0</v>
      </c>
      <c r="AK269" s="39" t="n">
        <f aca="false">IFERROR(IF($C269="","",IF($D269="","",IFERROR(ROUND($D269*INDEX('🔖 배합비 참조'!$B$2:$CE$83,MATCH("두류가공품(콩고물)",'🔖 배합비 참조'!$A$2:$A$83,0),MATCH($C269,'🔖 배합비 참조'!$B$1:$CE$1,0))/100,0),""))),"")</f>
        <v>3</v>
      </c>
      <c r="AL269" s="39" t="n">
        <f aca="false">IFERROR(IF($C269="","",IF($D269="","",IFERROR(ROUND($D269*INDEX('🔖 배합비 참조'!$B$2:$CE$83,MATCH("두류가공품(통팥고물)",'🔖 배합비 참조'!$A$2:$A$83,0),MATCH($C269,'🔖 배합비 참조'!$B$1:$CE$1,0))/100,0),""))),"")</f>
        <v>0</v>
      </c>
      <c r="AM269" s="39" t="n">
        <f aca="false">IFERROR(IF($C269="","",IF($D269="","",IFERROR(ROUND($D269*INDEX('🔖 배합비 참조'!$B$2:$CE$83,MATCH("딸기레진",'🔖 배합비 참조'!$A$2:$A$83,0),MATCH($C269,'🔖 배합비 참조'!$B$1:$CE$1,0))/100,0),""))),"")</f>
        <v>0</v>
      </c>
      <c r="AN269" s="39" t="n">
        <f aca="false">IFERROR(IF($C269="","",IF($D269="","",IFERROR(ROUND($D269*INDEX('🔖 배합비 참조'!$B$2:$CE$83,MATCH("딸기분말(스트로우베리에이드(분말))",'🔖 배합비 참조'!$A$2:$A$83,0),MATCH($C269,'🔖 배합비 참조'!$B$1:$CE$1,0))/100,0),""))),"")</f>
        <v>0</v>
      </c>
      <c r="AO269" s="39" t="n">
        <f aca="false">IFERROR(IF($C269="","",IF($D269="","",IFERROR(ROUND($D269*INDEX('🔖 배합비 참조'!$B$2:$CE$83,MATCH("마스카포네치즈",'🔖 배합비 참조'!$A$2:$A$83,0),MATCH($C269,'🔖 배합비 참조'!$B$1:$CE$1,0))/100,0),""))),"")</f>
        <v>0</v>
      </c>
      <c r="AP269" s="39" t="n">
        <f aca="false">IFERROR(IF($C269="","",IF($D269="","",IFERROR(ROUND($D269*INDEX('🔖 배합비 참조'!$B$2:$CE$83,MATCH("마카다미아분태(호주산)",'🔖 배합비 참조'!$A$2:$A$83,0),MATCH($C269,'🔖 배합비 참조'!$B$1:$CE$1,0))/100,0),""))),"")</f>
        <v>0</v>
      </c>
      <c r="AQ269" s="39" t="n">
        <f aca="false">IFERROR(IF($C269="","",IF($D269="","",IFERROR(ROUND($D269*INDEX('🔖 배합비 참조'!$B$2:$CE$83,MATCH("멥쌀(국내산)",'🔖 배합비 참조'!$A$2:$A$83,0),MATCH($C269,'🔖 배합비 참조'!$B$1:$CE$1,0))/100,0),""))),"")</f>
        <v>0</v>
      </c>
      <c r="AR269" s="39" t="n">
        <f aca="false">IFERROR(IF($C269="","",IF($D269="","",IFERROR(ROUND($D269*INDEX('🔖 배합비 참조'!$B$2:$CE$83,MATCH("모시잎(국내산)",'🔖 배합비 참조'!$A$2:$A$83,0),MATCH($C269,'🔖 배합비 참조'!$B$1:$CE$1,0))/100,0),""))),"")</f>
        <v>0</v>
      </c>
      <c r="AS269" s="39" t="n">
        <f aca="false">IFERROR(IF($C269="","",IF($D269="","",IFERROR(ROUND($D269*INDEX('🔖 배합비 참조'!$B$2:$CE$83,MATCH("물엿(저당물엿)",'🔖 배합비 참조'!$A$2:$A$83,0),MATCH($C269,'🔖 배합비 참조'!$B$1:$CE$1,0))/100,0),""))),"")</f>
        <v>2</v>
      </c>
      <c r="AT269" s="39" t="n">
        <f aca="false">IFERROR(IF($C269="","",IF($D269="","",IFERROR(ROUND($D269*INDEX('🔖 배합비 참조'!$B$2:$CE$83,MATCH("밤다이스",'🔖 배합비 참조'!$A$2:$A$83,0),MATCH($C269,'🔖 배합비 참조'!$B$1:$CE$1,0))/100,0),""))),"")</f>
        <v>0</v>
      </c>
      <c r="AU269" s="39" t="n">
        <f aca="false">IFERROR(IF($C269="","",IF($D269="","",IFERROR(ROUND($D269*INDEX('🔖 배합비 참조'!$B$2:$CE$83,MATCH("변성전분(타피오카전분)",'🔖 배합비 참조'!$A$2:$A$83,0),MATCH($C269,'🔖 배합비 참조'!$B$1:$CE$1,0))/100,0),""))),"")</f>
        <v>0</v>
      </c>
      <c r="AV269" s="39" t="n">
        <f aca="false">IFERROR(IF($C269="","",IF($D269="","",IFERROR(ROUND($D269*INDEX('🔖 배합비 참조'!$B$2:$CE$83,MATCH("복음땅콩분태",'🔖 배합비 참조'!$A$2:$A$83,0),MATCH($C269,'🔖 배합비 참조'!$B$1:$CE$1,0))/100,0),""))),"")</f>
        <v>0</v>
      </c>
      <c r="AW269" s="39" t="n">
        <f aca="false">IFERROR(IF($C269="","",IF($D269="","",IFERROR(ROUND($D269*INDEX('🔖 배합비 참조'!$B$2:$CE$83,MATCH("사양벌꿀(국내산)",'🔖 배합비 참조'!$A$2:$A$83,0),MATCH($C269,'🔖 배합비 참조'!$B$1:$CE$1,0))/100,0),""))),"")</f>
        <v>0</v>
      </c>
      <c r="AX269" s="39" t="n">
        <f aca="false">IFERROR(IF($C269="","",IF($D269="","",IFERROR(ROUND($D269*INDEX('🔖 배합비 참조'!$B$2:$CE$83,MATCH("생크림",'🔖 배합비 참조'!$A$2:$A$83,0),MATCH($C269,'🔖 배합비 참조'!$B$1:$CE$1,0))/100,0),""))),"")</f>
        <v>0</v>
      </c>
      <c r="AY269" s="39" t="n">
        <f aca="false">IFERROR(IF($C269="","",IF($D269="","",IFERROR(ROUND($D269*INDEX('🔖 배합비 참조'!$B$2:$CE$83,MATCH("서양호박(국내산,뉴질랜드산)",'🔖 배합비 참조'!$A$2:$A$83,0),MATCH($C269,'🔖 배합비 참조'!$B$1:$CE$1,0))/100,0),""))),"")</f>
        <v>0</v>
      </c>
      <c r="AZ269" s="39" t="n">
        <f aca="false">IFERROR(IF($C269="","",IF($D269="","",IFERROR(ROUND($D269*INDEX('🔖 배합비 참조'!$B$2:$CE$83,MATCH("설탕",'🔖 배합비 참조'!$A$2:$A$83,0),MATCH($C269,'🔖 배합비 참조'!$B$1:$CE$1,0))/100,0),""))),"")</f>
        <v>2</v>
      </c>
      <c r="BA269" s="39" t="n">
        <f aca="false">IFERROR(IF($C269="","",IF($D269="","",IFERROR(ROUND($D269*INDEX('🔖 배합비 참조'!$B$2:$CE$83,MATCH("스트로우베리 에이드 후레쉬",'🔖 배합비 참조'!$A$2:$A$83,0),MATCH($C269,'🔖 배합비 참조'!$B$1:$CE$1,0))/100,0),""))),"")</f>
        <v>0</v>
      </c>
      <c r="BB269" s="39" t="n">
        <f aca="false">IFERROR(IF($C269="","",IF($D269="","",IFERROR(ROUND($D269*INDEX('🔖 배합비 참조'!$B$2:$CE$83,MATCH("식물성기름혼합제제(분홍)",'🔖 배합비 참조'!$A$2:$A$83,0),MATCH($C269,'🔖 배합비 참조'!$B$1:$CE$1,0))/100,0),""))),"")</f>
        <v>0</v>
      </c>
      <c r="BC269" s="39" t="n">
        <f aca="false">IFERROR(IF($C269="","",IF($D269="","",IFERROR(ROUND($D269*INDEX('🔖 배합비 참조'!$B$2:$CE$83,MATCH("식물성기름혼합제제(초록)",'🔖 배합비 참조'!$A$2:$A$83,0),MATCH($C269,'🔖 배합비 참조'!$B$1:$CE$1,0))/100,0),""))),"")</f>
        <v>0</v>
      </c>
      <c r="BD269" s="39" t="n">
        <f aca="false">IFERROR(IF($C269="","",IF($D269="","",IFERROR(ROUND($D269*INDEX('🔖 배합비 참조'!$B$2:$CE$83,MATCH("식물성기름혼합제제(황색)",'🔖 배합비 참조'!$A$2:$A$83,0),MATCH($C269,'🔖 배합비 참조'!$B$1:$CE$1,0))/100,0),""))),"")</f>
        <v>0</v>
      </c>
      <c r="BE269" s="39" t="n">
        <f aca="false">IFERROR(IF($C269="","",IF($D269="","",IFERROR(ROUND($D269*INDEX('🔖 배합비 참조'!$B$2:$CE$83,MATCH("쑥가루(국내산)",'🔖 배합비 참조'!$A$2:$A$83,0),MATCH($C269,'🔖 배합비 참조'!$B$1:$CE$1,0))/100,0),""))),"")</f>
        <v>1</v>
      </c>
      <c r="BF269" s="39" t="n">
        <f aca="false">IFERROR(IF($C269="","",IF($D269="","",IFERROR(ROUND($D269*INDEX('🔖 배합비 참조'!$B$2:$CE$83,MATCH("아몬드슬라이스",'🔖 배합비 참조'!$A$2:$A$83,0),MATCH($C269,'🔖 배합비 참조'!$B$1:$CE$1,0))/100,0),""))),"")</f>
        <v>0</v>
      </c>
      <c r="BG269" s="39" t="n">
        <f aca="false">IFERROR(IF($C269="","",IF($D269="","",IFERROR(ROUND($D269*INDEX('🔖 배합비 참조'!$B$2:$CE$83,MATCH("알룰로오스(국내산)",'🔖 배합비 참조'!$A$2:$A$83,0),MATCH($C269,'🔖 배합비 참조'!$B$1:$CE$1,0))/100,0),""))),"")</f>
        <v>0</v>
      </c>
      <c r="BH269" s="39" t="n">
        <f aca="false">IFERROR(IF($C269="","",IF($D269="","",IFERROR(ROUND($D269*INDEX('🔖 배합비 참조'!$B$2:$CE$83,MATCH("연유",'🔖 배합비 참조'!$A$2:$A$83,0),MATCH($C269,'🔖 배합비 참조'!$B$1:$CE$1,0))/100,0),""))),"")</f>
        <v>0</v>
      </c>
      <c r="BI269" s="39" t="n">
        <f aca="false">IFERROR(IF($C269="","",IF($D269="","",IFERROR(ROUND($D269*INDEX('🔖 배합비 참조'!$B$2:$CE$83,MATCH("옥수수전분",'🔖 배합비 참조'!$A$2:$A$83,0),MATCH($C269,'🔖 배합비 참조'!$B$1:$CE$1,0))/100,0),""))),"")</f>
        <v>0</v>
      </c>
      <c r="BJ269" s="39" t="n">
        <f aca="false">IFERROR(IF($C269="","",IF($D269="","",IFERROR(ROUND($D269*INDEX('🔖 배합비 참조'!$B$2:$CE$83,MATCH("완두배기",'🔖 배합비 참조'!$A$2:$A$83,0),MATCH($C269,'🔖 배합비 참조'!$B$1:$CE$1,0))/100,0),""))),"")</f>
        <v>0</v>
      </c>
      <c r="BK269" s="39" t="n">
        <f aca="false">IFERROR(IF($C269="","",IF($D269="","",IFERROR(ROUND($D269*INDEX('🔖 배합비 참조'!$B$2:$CE$83,MATCH("우유(국내산)",'🔖 배합비 참조'!$A$2:$A$83,0),MATCH($C269,'🔖 배합비 참조'!$B$1:$CE$1,0))/100,0),""))),"")</f>
        <v>0</v>
      </c>
      <c r="BL269" s="39" t="n">
        <f aca="false">IFERROR(IF($C269="","",IF($D269="","",IFERROR(ROUND($D269*INDEX('🔖 배합비 참조'!$B$2:$CE$83,MATCH("자색고구마가루(중국산)",'🔖 배합비 참조'!$A$2:$A$83,0),MATCH($C269,'🔖 배합비 참조'!$B$1:$CE$1,0))/100,0),""))),"")</f>
        <v>0</v>
      </c>
      <c r="BM269" s="39" t="n">
        <f aca="false">IFERROR(IF($C269="","",IF($D269="","",IFERROR(ROUND($D269*INDEX('🔖 배합비 참조'!$B$2:$CE$83,MATCH("자연치즈(체다치즈)",'🔖 배합비 참조'!$A$2:$A$83,0),MATCH($C269,'🔖 배합비 참조'!$B$1:$CE$1,0))/100,0),""))),"")</f>
        <v>0</v>
      </c>
      <c r="BN269" s="39" t="n">
        <f aca="false">IFERROR(IF($C269="","",IF($D269="","",IFERROR(ROUND($D269*INDEX('🔖 배합비 참조'!$B$2:$CE$83,MATCH("정제수",'🔖 배합비 참조'!$A$2:$A$83,0),MATCH($C269,'🔖 배합비 참조'!$B$1:$CE$1,0))/100,0),""))),"")</f>
        <v>13</v>
      </c>
      <c r="BO269" s="39" t="n">
        <f aca="false">IFERROR(IF($C269="","",IF($D269="","",IFERROR(ROUND($D269*INDEX('🔖 배합비 참조'!$B$2:$CE$83,MATCH("젤라틴",'🔖 배합비 참조'!$A$2:$A$83,0),MATCH($C269,'🔖 배합비 참조'!$B$1:$CE$1,0))/100,0),""))),"")</f>
        <v>0</v>
      </c>
      <c r="BP269" s="39" t="n">
        <f aca="false">IFERROR(IF($C269="","",IF($D269="","",IFERROR(ROUND($D269*INDEX('🔖 배합비 참조'!$B$2:$CE$83,MATCH("조림류(백옥앙금)",'🔖 배합비 참조'!$A$2:$A$83,0),MATCH($C269,'🔖 배합비 참조'!$B$1:$CE$1,0))/100,0),""))),"")</f>
        <v>27</v>
      </c>
      <c r="BQ269" s="39" t="n">
        <f aca="false">IFERROR(IF($C269="","",IF($D269="","",IFERROR(ROUND($D269*INDEX('🔖 배합비 참조'!$B$2:$CE$83,MATCH("조림류(통팥앙금)",'🔖 배합비 참조'!$A$2:$A$83,0),MATCH($C269,'🔖 배합비 참조'!$B$1:$CE$1,0))/100,0),""))),"")</f>
        <v>0</v>
      </c>
      <c r="BR269" s="39" t="n">
        <f aca="false">IFERROR(IF($C269="","",IF($D269="","",IFERROR(ROUND($D269*INDEX('🔖 배합비 참조'!$B$2:$CE$83,MATCH("준초콜릿(외국산)",'🔖 배합비 참조'!$A$2:$A$83,0),MATCH($C269,'🔖 배합비 참조'!$B$1:$CE$1,0))/100,0),""))),"")</f>
        <v>0</v>
      </c>
      <c r="BS269" s="39" t="n">
        <f aca="false">IFERROR(IF($C269="","",IF($D269="","",IFERROR(ROUND($D269*INDEX('🔖 배합비 참조'!$B$2:$CE$83,MATCH("중력분",'🔖 배합비 참조'!$A$2:$A$83,0),MATCH($C269,'🔖 배합비 참조'!$B$1:$CE$1,0))/100,0),""))),"")</f>
        <v>1</v>
      </c>
      <c r="BT269" s="39" t="n">
        <f aca="false">IFERROR(IF($C269="","",IF($D269="","",IFERROR(ROUND($D269*INDEX('🔖 배합비 참조'!$B$2:$CE$83,MATCH("참깨(인도산,나이지리아산,탄자니아산,미얀마산)",'🔖 배합비 참조'!$A$2:$A$83,0),MATCH($C269,'🔖 배합비 참조'!$B$1:$CE$1,0))/100,0),""))),"")</f>
        <v>0</v>
      </c>
      <c r="BU269" s="39" t="n">
        <f aca="false">IFERROR(IF($C269="","",IF($D269="","",IFERROR(ROUND($D269*INDEX('🔖 배합비 참조'!$B$2:$CE$83,MATCH("찹쌀(국내산)",'🔖 배합비 참조'!$A$2:$A$83,0),MATCH($C269,'🔖 배합비 참조'!$B$1:$CE$1,0))/100,0),""))),"")</f>
        <v>44</v>
      </c>
      <c r="BV269" s="39" t="n">
        <f aca="false">IFERROR(IF($C269="","",IF($D269="","",IFERROR(ROUND($D269*INDEX('🔖 배합비 참조'!$B$2:$CE$83,MATCH("천일염",'🔖 배합비 참조'!$A$2:$A$83,0),MATCH($C269,'🔖 배합비 참조'!$B$1:$CE$1,0))/100,0),""))),"")</f>
        <v>1</v>
      </c>
      <c r="BW269" s="39" t="n">
        <f aca="false">IFERROR(IF($C269="","",IF($D269="","",IFERROR(ROUND($D269*INDEX('🔖 배합비 참조'!$B$2:$CE$83,MATCH("치즈 [크림치즈]",'🔖 배합비 참조'!$A$2:$A$83,0),MATCH($C269,'🔖 배합비 참조'!$B$1:$CE$1,0))/100,0),""))),"")</f>
        <v>0</v>
      </c>
      <c r="BX269" s="39" t="n">
        <f aca="false">IFERROR(IF($C269="","",IF($D269="","",IFERROR(ROUND($D269*INDEX('🔖 배합비 참조'!$B$2:$CE$83,MATCH("코코아가공품류(코코아분말)",'🔖 배합비 참조'!$A$2:$A$83,0),MATCH($C269,'🔖 배합비 참조'!$B$1:$CE$1,0))/100,0),""))),"")</f>
        <v>0</v>
      </c>
      <c r="BY269" s="39" t="n">
        <f aca="false">IFERROR(IF($C269="","",IF($D269="","",IFERROR(ROUND($D269*INDEX('🔖 배합비 참조'!$B$2:$CE$83,MATCH("콩기름(대두유)",'🔖 배합비 참조'!$A$2:$A$83,0),MATCH($C269,'🔖 배합비 참조'!$B$1:$CE$1,0))/100,0),""))),"")</f>
        <v>0</v>
      </c>
      <c r="BZ269" s="39" t="n">
        <f aca="false">IFERROR(IF($C269="","",IF($D269="","",IFERROR(ROUND($D269*INDEX('🔖 배합비 참조'!$B$2:$CE$83,MATCH("해바라기씨앗",'🔖 배합비 참조'!$A$2:$A$83,0),MATCH($C269,'🔖 배합비 참조'!$B$1:$CE$1,0))/100,0),""))),"")</f>
        <v>0</v>
      </c>
      <c r="CA269" s="39" t="n">
        <f aca="false">IFERROR(IF($C269="","",IF($D269="","",IFERROR(ROUND($D269*INDEX('🔖 배합비 참조'!$B$2:$CE$83,MATCH("현미(국내산)",'🔖 배합비 참조'!$A$2:$A$83,0),MATCH($C269,'🔖 배합비 참조'!$B$1:$CE$1,0))/100,0),""))),"")</f>
        <v>0</v>
      </c>
      <c r="CB269" s="39" t="n">
        <f aca="false">IFERROR(IF($C269="","",IF($D269="","",IFERROR(ROUND($D269*INDEX('🔖 배합비 참조'!$B$2:$CE$83,MATCH("현미멥쌀(국내산)",'🔖 배합비 참조'!$A$2:$A$83,0),MATCH($C269,'🔖 배합비 참조'!$B$1:$CE$1,0))/100,0),""))),"")</f>
        <v>0</v>
      </c>
      <c r="CC269" s="39" t="n">
        <f aca="false">IFERROR(IF($C269="","",IF($D269="","",IFERROR(ROUND($D269*INDEX('🔖 배합비 참조'!$B$2:$CE$83,MATCH("호두분태(미국산)",'🔖 배합비 참조'!$A$2:$A$83,0),MATCH($C269,'🔖 배합비 참조'!$B$1:$CE$1,0))/100,0),""))),"")</f>
        <v>0</v>
      </c>
      <c r="CD269" s="39" t="n">
        <f aca="false">IFERROR(IF($C269="","",IF($D269="","",IFERROR(ROUND($D269*INDEX('🔖 배합비 참조'!$B$2:$CE$83,MATCH("호박씨앗(외국산)",'🔖 배합비 참조'!$A$2:$A$83,0),MATCH($C269,'🔖 배합비 참조'!$B$1:$CE$1,0))/100,0),""))),"")</f>
        <v>0</v>
      </c>
      <c r="CE269" s="39" t="n">
        <f aca="false">IFERROR(IF($C269="","",IF($D269="","",IFERROR(ROUND($D269*INDEX('🔖 배합비 참조'!$B$2:$CE$83,MATCH("혼합제제(떡용에스텔)",'🔖 배합비 참조'!$A$2:$A$83,0),MATCH($C269,'🔖 배합비 참조'!$B$1:$CE$1,0))/100,0),""))),"")</f>
        <v>0</v>
      </c>
      <c r="CF269" s="39" t="n">
        <f aca="false">IFERROR(IF($C269="","",IF($D269="","",IFERROR(ROUND($D269*INDEX('🔖 배합비 참조'!$B$2:$CE$83,MATCH("혼합제제(스테비아)",'🔖 배합비 참조'!$A$2:$A$83,0),MATCH($C269,'🔖 배합비 참조'!$B$1:$CE$1,0))/100,0),""))),"")</f>
        <v>0</v>
      </c>
      <c r="CG269" s="39" t="n">
        <f aca="false">IFERROR(IF($C269="","",IF($D269="","",IFERROR(ROUND($D269*INDEX('🔖 배합비 참조'!$B$2:$CE$83,MATCH("화이트초콜릿",'🔖 배합비 참조'!$A$2:$A$83,0),MATCH($C269,'🔖 배합비 참조'!$B$1:$CE$1,0))/100,0),""))),"")</f>
        <v>0</v>
      </c>
      <c r="CH269" s="39" t="n">
        <f aca="false">IFERROR(IF($C269="","",IF($D269="","",IFERROR(ROUND($D269*INDEX('🔖 배합비 참조'!$B$2:$CE$83,MATCH("흑미찹쌀(국내산)",'🔖 배합비 참조'!$A$2:$A$83,0),MATCH($C269,'🔖 배합비 참조'!$B$1:$CE$1,0))/100,0),""))),"")</f>
        <v>0</v>
      </c>
      <c r="CI269" s="39" t="n">
        <f aca="false">IFERROR(IF($C269="","",IF($D269="","",IFERROR(ROUND($D269*INDEX('🔖 배합비 참조'!$B$2:$CE$83,MATCH("찰옥수수전분(미국산)",'🔖 배합비 참조'!$A$2:$A$83,0),MATCH($C269,'🔖 배합비 참조'!$B$1:$CE$1,0))/100,0),""))),"")</f>
        <v>0</v>
      </c>
      <c r="CJ269" s="40"/>
      <c r="CL269" s="43" t="s">
        <v>248</v>
      </c>
    </row>
    <row r="270" customFormat="false" ht="18" hidden="false" customHeight="true" outlineLevel="0" collapsed="false">
      <c r="A270" s="41" t="n">
        <v>266</v>
      </c>
      <c r="B270" s="36" t="n">
        <v>46091</v>
      </c>
      <c r="C270" s="37" t="s">
        <v>144</v>
      </c>
      <c r="D270" s="38" t="n">
        <v>140</v>
      </c>
      <c r="E270" s="17"/>
      <c r="F270" s="17"/>
      <c r="G270" s="42" t="n">
        <f aca="false">IFERROR(IF($C270="","",IF($D270="","",IFERROR(ROUND($D270*INDEX('🔖 배합비 참조'!$B$2:$CE$83,MATCH("간장",'🔖 배합비 참조'!$A$2:$A$83,0),MATCH($C270,'🔖 배합비 참조'!$B$1:$CE$1,0))/100,0),""))),"")</f>
        <v>0</v>
      </c>
      <c r="H270" s="42" t="n">
        <f aca="false">IFERROR(IF($C270="","",IF($D270="","",IFERROR(ROUND($D270*INDEX('🔖 배합비 참조'!$B$2:$CE$83,MATCH("강낭콩((울타리콩))",'🔖 배합비 참조'!$A$2:$A$83,0),MATCH($C270,'🔖 배합비 참조'!$B$1:$CE$1,0))/100,0),""))),"")</f>
        <v>0</v>
      </c>
      <c r="I270" s="42" t="n">
        <f aca="false">IFERROR(IF($C270="","",IF($D270="","",IFERROR(ROUND($D270*INDEX('🔖 배합비 참조'!$B$2:$CE$83,MATCH("건조딸기다이스(외국산)",'🔖 배합비 참조'!$A$2:$A$83,0),MATCH($C270,'🔖 배합비 참조'!$B$1:$CE$1,0))/100,0),""))),"")</f>
        <v>0</v>
      </c>
      <c r="J270" s="42" t="n">
        <f aca="false">IFERROR(IF($C270="","",IF($D270="","",IFERROR(ROUND($D270*INDEX('🔖 배합비 참조'!$B$2:$CE$83,MATCH("건포도",'🔖 배합비 참조'!$A$2:$A$83,0),MATCH($C270,'🔖 배합비 참조'!$B$1:$CE$1,0))/100,0),""))),"")</f>
        <v>0</v>
      </c>
      <c r="K270" s="42" t="n">
        <f aca="false">IFERROR(IF($C270="","",IF($D270="","",IFERROR(ROUND($D270*INDEX('🔖 배합비 참조'!$B$2:$CE$83,MATCH("건호박채(중국산)",'🔖 배합비 참조'!$A$2:$A$83,0),MATCH($C270,'🔖 배합비 참조'!$B$1:$CE$1,0))/100,0),""))),"")</f>
        <v>0</v>
      </c>
      <c r="L270" s="42" t="n">
        <f aca="false">IFERROR(IF($C270="","",IF($D270="","",IFERROR(ROUND($D270*INDEX('🔖 배합비 참조'!$B$2:$CE$83,MATCH("검정깨(흑임자)",'🔖 배합비 참조'!$A$2:$A$83,0),MATCH($C270,'🔖 배합비 참조'!$B$1:$CE$1,0))/100,0),""))),"")</f>
        <v>0</v>
      </c>
      <c r="M270" s="42" t="n">
        <f aca="false">IFERROR(IF($C270="","",IF($D270="","",IFERROR(ROUND($D270*INDEX('🔖 배합비 참조'!$B$2:$CE$83,MATCH("검정콩",'🔖 배합비 참조'!$A$2:$A$83,0),MATCH($C270,'🔖 배합비 참조'!$B$1:$CE$1,0))/100,0),""))),"")</f>
        <v>0</v>
      </c>
      <c r="N270" s="42" t="n">
        <f aca="false">IFERROR(IF($C270="","",IF($D270="","",IFERROR(ROUND($D270*INDEX('🔖 배합비 참조'!$B$2:$CE$83,MATCH("계피가루",'🔖 배합비 참조'!$A$2:$A$83,0),MATCH($C270,'🔖 배합비 참조'!$B$1:$CE$1,0))/100,0),""))),"")</f>
        <v>0</v>
      </c>
      <c r="O270" s="42" t="n">
        <f aca="false">IFERROR(IF($C270="","",IF($D270="","",IFERROR(ROUND($D270*INDEX('🔖 배합비 참조'!$B$2:$CE$83,MATCH("고구마가루",'🔖 배합비 참조'!$A$2:$A$83,0),MATCH($C270,'🔖 배합비 참조'!$B$1:$CE$1,0))/100,0),""))),"")</f>
        <v>0</v>
      </c>
      <c r="P270" s="42" t="n">
        <f aca="false">IFERROR(IF($C270="","",IF($D270="","",IFERROR(ROUND($D270*INDEX('🔖 배합비 참조'!$B$2:$CE$83,MATCH("고구마무스",'🔖 배합비 참조'!$A$2:$A$83,0),MATCH($C270,'🔖 배합비 참조'!$B$1:$CE$1,0))/100,0),""))),"")</f>
        <v>0</v>
      </c>
      <c r="Q270" s="42" t="n">
        <f aca="false">IFERROR(IF($C270="","",IF($D270="","",IFERROR(ROUND($D270*INDEX('🔖 배합비 참조'!$B$2:$CE$83,MATCH("고려엉겅퀴((곤드레)국내산)",'🔖 배합비 참조'!$A$2:$A$83,0),MATCH($C270,'🔖 배합비 참조'!$B$1:$CE$1,0))/100,0),""))),"")</f>
        <v>0</v>
      </c>
      <c r="R270" s="42" t="n">
        <f aca="false">IFERROR(IF($C270="","",IF($D270="","",IFERROR(ROUND($D270*INDEX('🔖 배합비 참조'!$B$2:$CE$83,MATCH("기타가공품(복분자가루)",'🔖 배합비 참조'!$A$2:$A$83,0),MATCH($C270,'🔖 배합비 참조'!$B$1:$CE$1,0))/100,0),""))),"")</f>
        <v>0</v>
      </c>
      <c r="S270" s="42" t="n">
        <f aca="false">IFERROR(IF($C270="","",IF($D270="","",IFERROR(ROUND($D270*INDEX('🔖 배합비 참조'!$B$2:$CE$83,MATCH("기타가공품(슈퍼소프트엠)",'🔖 배합비 참조'!$A$2:$A$83,0),MATCH($C270,'🔖 배합비 참조'!$B$1:$CE$1,0))/100,0),""))),"")</f>
        <v>0</v>
      </c>
      <c r="T270" s="42" t="n">
        <f aca="false">IFERROR(IF($C270="","",IF($D270="","",IFERROR(ROUND($D270*INDEX('🔖 배합비 참조'!$B$2:$CE$83,MATCH("기타가공품(파인소프트 E-티)",'🔖 배합비 참조'!$A$2:$A$83,0),MATCH($C270,'🔖 배합비 참조'!$B$1:$CE$1,0))/100,0),""))),"")</f>
        <v>0</v>
      </c>
      <c r="U270" s="42" t="n">
        <f aca="false">IFERROR(IF($C270="","",IF($D270="","",IFERROR(ROUND($D270*INDEX('🔖 배합비 참조'!$B$2:$CE$83,MATCH("기타가공품(프리미엄카스테라가루)",'🔖 배합비 참조'!$A$2:$A$83,0),MATCH($C270,'🔖 배합비 참조'!$B$1:$CE$1,0))/100,0),""))),"")</f>
        <v>0</v>
      </c>
      <c r="V270" s="42" t="n">
        <f aca="false">IFERROR(IF($C270="","",IF($D270="","",IFERROR(ROUND($D270*INDEX('🔖 배합비 참조'!$B$2:$CE$83,MATCH("기타가공품(흑임자가루)",'🔖 배합비 참조'!$A$2:$A$83,0),MATCH($C270,'🔖 배합비 참조'!$B$1:$CE$1,0))/100,0),""))),"")</f>
        <v>0</v>
      </c>
      <c r="W270" s="42" t="n">
        <f aca="false">IFERROR(IF($C270="","",IF($D270="","",IFERROR(ROUND($D270*INDEX('🔖 배합비 참조'!$B$2:$CE$83,MATCH("기타설탕(흑설탕)",'🔖 배합비 참조'!$A$2:$A$83,0),MATCH($C270,'🔖 배합비 참조'!$B$1:$CE$1,0))/100,0),""))),"")</f>
        <v>0</v>
      </c>
      <c r="X270" s="42" t="n">
        <f aca="false">IFERROR(IF($C270="","",IF($D270="","",IFERROR(ROUND($D270*INDEX('🔖 배합비 참조'!$B$2:$CE$83,MATCH("냉동쑥(국내산)",'🔖 배합비 참조'!$A$2:$A$83,0),MATCH($C270,'🔖 배합비 참조'!$B$1:$CE$1,0))/100,0),""))),"")</f>
        <v>0</v>
      </c>
      <c r="Y270" s="42" t="n">
        <f aca="false">IFERROR(IF($C270="","",IF($D270="","",IFERROR(ROUND($D270*INDEX('🔖 배합비 참조'!$B$2:$CE$83,MATCH("냉동증숙고구마(중국산)",'🔖 배합비 참조'!$A$2:$A$83,0),MATCH($C270,'🔖 배합비 참조'!$B$1:$CE$1,0))/100,0),""))),"")</f>
        <v>0</v>
      </c>
      <c r="Z270" s="42" t="n">
        <f aca="false">IFERROR(IF($C270="","",IF($D270="","",IFERROR(ROUND($D270*INDEX('🔖 배합비 참조'!$B$2:$CE$83,MATCH("녹차가루",'🔖 배합비 참조'!$A$2:$A$83,0),MATCH($C270,'🔖 배합비 참조'!$B$1:$CE$1,0))/100,0),""))),"")</f>
        <v>0</v>
      </c>
      <c r="AA270" s="42" t="n">
        <f aca="false">IFERROR(IF($C270="","",IF($D270="","",IFERROR(ROUND($D270*INDEX('🔖 배합비 참조'!$B$2:$CE$83,MATCH("다크초콜릿 컴파운드칩",'🔖 배합비 참조'!$A$2:$A$83,0),MATCH($C270,'🔖 배합비 참조'!$B$1:$CE$1,0))/100,0),""))),"")</f>
        <v>0</v>
      </c>
      <c r="AB270" s="42" t="n">
        <f aca="false">IFERROR(IF($C270="","",IF($D270="","",IFERROR(ROUND($D270*INDEX('🔖 배합비 참조'!$B$2:$CE$83,MATCH("단호박분말(중국산)",'🔖 배합비 참조'!$A$2:$A$83,0),MATCH($C270,'🔖 배합비 참조'!$B$1:$CE$1,0))/100,0),""))),"")</f>
        <v>0</v>
      </c>
      <c r="AC270" s="42" t="n">
        <f aca="false">IFERROR(IF($C270="","",IF($D270="","",IFERROR(ROUND($D270*INDEX('🔖 배합비 참조'!$B$2:$CE$83,MATCH("당류가공품(단호박농축액)",'🔖 배합비 참조'!$A$2:$A$83,0),MATCH($C270,'🔖 배합비 참조'!$B$1:$CE$1,0))/100,0),""))),"")</f>
        <v>0</v>
      </c>
      <c r="AD270" s="42" t="n">
        <f aca="false">IFERROR(IF($C270="","",IF($D270="","",IFERROR(ROUND($D270*INDEX('🔖 배합비 참조'!$B$2:$CE$83,MATCH("당류가공품(알룰로스,에리스리톨,스테비올배당체혼합)",'🔖 배합비 참조'!$A$2:$A$83,0),MATCH($C270,'🔖 배합비 참조'!$B$1:$CE$1,0))/100,0),""))),"")</f>
        <v>0</v>
      </c>
      <c r="AE270" s="42" t="n">
        <f aca="false">IFERROR(IF($C270="","",IF($D270="","",IFERROR(ROUND($D270*INDEX('🔖 배합비 참조'!$B$2:$CE$83,MATCH("당류가공품(알룰로스제로파우더)",'🔖 배합비 참조'!$A$2:$A$83,0),MATCH($C270,'🔖 배합비 참조'!$B$1:$CE$1,0))/100,0),""))),"")</f>
        <v>0</v>
      </c>
      <c r="AF270" s="42" t="n">
        <f aca="false">IFERROR(IF($C270="","",IF($D270="","",IFERROR(ROUND($D270*INDEX('🔖 배합비 참조'!$B$2:$CE$83,MATCH("당절임(완두배기)",'🔖 배합비 참조'!$A$2:$A$83,0),MATCH($C270,'🔖 배합비 참조'!$B$1:$CE$1,0))/100,0),""))),"")</f>
        <v>0</v>
      </c>
      <c r="AG270" s="42" t="n">
        <f aca="false">IFERROR(IF($C270="","",IF($D270="","",IFERROR(ROUND($D270*INDEX('🔖 배합비 참조'!$B$2:$CE$83,MATCH("대추농축액",'🔖 배합비 참조'!$A$2:$A$83,0),MATCH($C270,'🔖 배합비 참조'!$B$1:$CE$1,0))/100,0),""))),"")</f>
        <v>0</v>
      </c>
      <c r="AH270" s="42" t="n">
        <f aca="false">IFERROR(IF($C270="","",IF($D270="","",IFERROR(ROUND($D270*INDEX('🔖 배합비 참조'!$B$2:$CE$83,MATCH("대추채(국내산)",'🔖 배합비 참조'!$A$2:$A$83,0),MATCH($C270,'🔖 배합비 참조'!$B$1:$CE$1,0))/100,0),""))),"")</f>
        <v>0</v>
      </c>
      <c r="AI270" s="42" t="n">
        <f aca="false">IFERROR(IF($C270="","",IF($D270="","",IFERROR(ROUND($D270*INDEX('🔖 배합비 참조'!$B$2:$CE$83,MATCH("동부(미얀마산)",'🔖 배합비 참조'!$A$2:$A$83,0),MATCH($C270,'🔖 배합비 참조'!$B$1:$CE$1,0))/100,0),""))),"")</f>
        <v>0</v>
      </c>
      <c r="AJ270" s="42" t="n">
        <f aca="false">IFERROR(IF($C270="","",IF($D270="","",IFERROR(ROUND($D270*INDEX('🔖 배합비 참조'!$B$2:$CE$83,MATCH("두류가공품(백옥앙금)",'🔖 배합비 참조'!$A$2:$A$83,0),MATCH($C270,'🔖 배합비 참조'!$B$1:$CE$1,0))/100,0),""))),"")</f>
        <v>0</v>
      </c>
      <c r="AK270" s="42" t="n">
        <f aca="false">IFERROR(IF($C270="","",IF($D270="","",IFERROR(ROUND($D270*INDEX('🔖 배합비 참조'!$B$2:$CE$83,MATCH("두류가공품(콩고물)",'🔖 배합비 참조'!$A$2:$A$83,0),MATCH($C270,'🔖 배합비 참조'!$B$1:$CE$1,0))/100,0),""))),"")</f>
        <v>4</v>
      </c>
      <c r="AL270" s="42" t="n">
        <f aca="false">IFERROR(IF($C270="","",IF($D270="","",IFERROR(ROUND($D270*INDEX('🔖 배합비 참조'!$B$2:$CE$83,MATCH("두류가공품(통팥고물)",'🔖 배합비 참조'!$A$2:$A$83,0),MATCH($C270,'🔖 배합비 참조'!$B$1:$CE$1,0))/100,0),""))),"")</f>
        <v>0</v>
      </c>
      <c r="AM270" s="42" t="n">
        <f aca="false">IFERROR(IF($C270="","",IF($D270="","",IFERROR(ROUND($D270*INDEX('🔖 배합비 참조'!$B$2:$CE$83,MATCH("딸기레진",'🔖 배합비 참조'!$A$2:$A$83,0),MATCH($C270,'🔖 배합비 참조'!$B$1:$CE$1,0))/100,0),""))),"")</f>
        <v>0</v>
      </c>
      <c r="AN270" s="42" t="n">
        <f aca="false">IFERROR(IF($C270="","",IF($D270="","",IFERROR(ROUND($D270*INDEX('🔖 배합비 참조'!$B$2:$CE$83,MATCH("딸기분말(스트로우베리에이드(분말))",'🔖 배합비 참조'!$A$2:$A$83,0),MATCH($C270,'🔖 배합비 참조'!$B$1:$CE$1,0))/100,0),""))),"")</f>
        <v>0</v>
      </c>
      <c r="AO270" s="42" t="n">
        <f aca="false">IFERROR(IF($C270="","",IF($D270="","",IFERROR(ROUND($D270*INDEX('🔖 배합비 참조'!$B$2:$CE$83,MATCH("마스카포네치즈",'🔖 배합비 참조'!$A$2:$A$83,0),MATCH($C270,'🔖 배합비 참조'!$B$1:$CE$1,0))/100,0),""))),"")</f>
        <v>0</v>
      </c>
      <c r="AP270" s="42" t="n">
        <f aca="false">IFERROR(IF($C270="","",IF($D270="","",IFERROR(ROUND($D270*INDEX('🔖 배합비 참조'!$B$2:$CE$83,MATCH("마카다미아분태(호주산)",'🔖 배합비 참조'!$A$2:$A$83,0),MATCH($C270,'🔖 배합비 참조'!$B$1:$CE$1,0))/100,0),""))),"")</f>
        <v>0</v>
      </c>
      <c r="AQ270" s="42" t="n">
        <f aca="false">IFERROR(IF($C270="","",IF($D270="","",IFERROR(ROUND($D270*INDEX('🔖 배합비 참조'!$B$2:$CE$83,MATCH("멥쌀(국내산)",'🔖 배합비 참조'!$A$2:$A$83,0),MATCH($C270,'🔖 배합비 참조'!$B$1:$CE$1,0))/100,0),""))),"")</f>
        <v>0</v>
      </c>
      <c r="AR270" s="42" t="n">
        <f aca="false">IFERROR(IF($C270="","",IF($D270="","",IFERROR(ROUND($D270*INDEX('🔖 배합비 참조'!$B$2:$CE$83,MATCH("모시잎(국내산)",'🔖 배합비 참조'!$A$2:$A$83,0),MATCH($C270,'🔖 배합비 참조'!$B$1:$CE$1,0))/100,0),""))),"")</f>
        <v>0</v>
      </c>
      <c r="AS270" s="42" t="n">
        <f aca="false">IFERROR(IF($C270="","",IF($D270="","",IFERROR(ROUND($D270*INDEX('🔖 배합비 참조'!$B$2:$CE$83,MATCH("물엿(저당물엿)",'🔖 배합비 참조'!$A$2:$A$83,0),MATCH($C270,'🔖 배합비 참조'!$B$1:$CE$1,0))/100,0),""))),"")</f>
        <v>7</v>
      </c>
      <c r="AT270" s="42" t="n">
        <f aca="false">IFERROR(IF($C270="","",IF($D270="","",IFERROR(ROUND($D270*INDEX('🔖 배합비 참조'!$B$2:$CE$83,MATCH("밤다이스",'🔖 배합비 참조'!$A$2:$A$83,0),MATCH($C270,'🔖 배합비 참조'!$B$1:$CE$1,0))/100,0),""))),"")</f>
        <v>0</v>
      </c>
      <c r="AU270" s="42" t="n">
        <f aca="false">IFERROR(IF($C270="","",IF($D270="","",IFERROR(ROUND($D270*INDEX('🔖 배합비 참조'!$B$2:$CE$83,MATCH("변성전분(타피오카전분)",'🔖 배합비 참조'!$A$2:$A$83,0),MATCH($C270,'🔖 배합비 참조'!$B$1:$CE$1,0))/100,0),""))),"")</f>
        <v>0</v>
      </c>
      <c r="AV270" s="42" t="n">
        <f aca="false">IFERROR(IF($C270="","",IF($D270="","",IFERROR(ROUND($D270*INDEX('🔖 배합비 참조'!$B$2:$CE$83,MATCH("복음땅콩분태",'🔖 배합비 참조'!$A$2:$A$83,0),MATCH($C270,'🔖 배합비 참조'!$B$1:$CE$1,0))/100,0),""))),"")</f>
        <v>0</v>
      </c>
      <c r="AW270" s="42" t="n">
        <f aca="false">IFERROR(IF($C270="","",IF($D270="","",IFERROR(ROUND($D270*INDEX('🔖 배합비 참조'!$B$2:$CE$83,MATCH("사양벌꿀(국내산)",'🔖 배합비 참조'!$A$2:$A$83,0),MATCH($C270,'🔖 배합비 참조'!$B$1:$CE$1,0))/100,0),""))),"")</f>
        <v>0</v>
      </c>
      <c r="AX270" s="42" t="n">
        <f aca="false">IFERROR(IF($C270="","",IF($D270="","",IFERROR(ROUND($D270*INDEX('🔖 배합비 참조'!$B$2:$CE$83,MATCH("생크림",'🔖 배합비 참조'!$A$2:$A$83,0),MATCH($C270,'🔖 배합비 참조'!$B$1:$CE$1,0))/100,0),""))),"")</f>
        <v>0</v>
      </c>
      <c r="AY270" s="42" t="n">
        <f aca="false">IFERROR(IF($C270="","",IF($D270="","",IFERROR(ROUND($D270*INDEX('🔖 배합비 참조'!$B$2:$CE$83,MATCH("서양호박(국내산,뉴질랜드산)",'🔖 배합비 참조'!$A$2:$A$83,0),MATCH($C270,'🔖 배합비 참조'!$B$1:$CE$1,0))/100,0),""))),"")</f>
        <v>0</v>
      </c>
      <c r="AZ270" s="42" t="n">
        <f aca="false">IFERROR(IF($C270="","",IF($D270="","",IFERROR(ROUND($D270*INDEX('🔖 배합비 참조'!$B$2:$CE$83,MATCH("설탕",'🔖 배합비 참조'!$A$2:$A$83,0),MATCH($C270,'🔖 배합비 참조'!$B$1:$CE$1,0))/100,0),""))),"")</f>
        <v>7</v>
      </c>
      <c r="BA270" s="42" t="n">
        <f aca="false">IFERROR(IF($C270="","",IF($D270="","",IFERROR(ROUND($D270*INDEX('🔖 배합비 참조'!$B$2:$CE$83,MATCH("스트로우베리 에이드 후레쉬",'🔖 배합비 참조'!$A$2:$A$83,0),MATCH($C270,'🔖 배합비 참조'!$B$1:$CE$1,0))/100,0),""))),"")</f>
        <v>0</v>
      </c>
      <c r="BB270" s="42" t="n">
        <f aca="false">IFERROR(IF($C270="","",IF($D270="","",IFERROR(ROUND($D270*INDEX('🔖 배합비 참조'!$B$2:$CE$83,MATCH("식물성기름혼합제제(분홍)",'🔖 배합비 참조'!$A$2:$A$83,0),MATCH($C270,'🔖 배합비 참조'!$B$1:$CE$1,0))/100,0),""))),"")</f>
        <v>0</v>
      </c>
      <c r="BC270" s="42" t="n">
        <f aca="false">IFERROR(IF($C270="","",IF($D270="","",IFERROR(ROUND($D270*INDEX('🔖 배합비 참조'!$B$2:$CE$83,MATCH("식물성기름혼합제제(초록)",'🔖 배합비 참조'!$A$2:$A$83,0),MATCH($C270,'🔖 배합비 참조'!$B$1:$CE$1,0))/100,0),""))),"")</f>
        <v>0</v>
      </c>
      <c r="BD270" s="42" t="n">
        <f aca="false">IFERROR(IF($C270="","",IF($D270="","",IFERROR(ROUND($D270*INDEX('🔖 배합비 참조'!$B$2:$CE$83,MATCH("식물성기름혼합제제(황색)",'🔖 배합비 참조'!$A$2:$A$83,0),MATCH($C270,'🔖 배합비 참조'!$B$1:$CE$1,0))/100,0),""))),"")</f>
        <v>0</v>
      </c>
      <c r="BE270" s="42" t="n">
        <f aca="false">IFERROR(IF($C270="","",IF($D270="","",IFERROR(ROUND($D270*INDEX('🔖 배합비 참조'!$B$2:$CE$83,MATCH("쑥가루(국내산)",'🔖 배합비 참조'!$A$2:$A$83,0),MATCH($C270,'🔖 배합비 참조'!$B$1:$CE$1,0))/100,0),""))),"")</f>
        <v>0</v>
      </c>
      <c r="BF270" s="42" t="n">
        <f aca="false">IFERROR(IF($C270="","",IF($D270="","",IFERROR(ROUND($D270*INDEX('🔖 배합비 참조'!$B$2:$CE$83,MATCH("아몬드슬라이스",'🔖 배합비 참조'!$A$2:$A$83,0),MATCH($C270,'🔖 배합비 참조'!$B$1:$CE$1,0))/100,0),""))),"")</f>
        <v>0</v>
      </c>
      <c r="BG270" s="42" t="n">
        <f aca="false">IFERROR(IF($C270="","",IF($D270="","",IFERROR(ROUND($D270*INDEX('🔖 배합비 참조'!$B$2:$CE$83,MATCH("알룰로오스(국내산)",'🔖 배합비 참조'!$A$2:$A$83,0),MATCH($C270,'🔖 배합비 참조'!$B$1:$CE$1,0))/100,0),""))),"")</f>
        <v>0</v>
      </c>
      <c r="BH270" s="42" t="n">
        <f aca="false">IFERROR(IF($C270="","",IF($D270="","",IFERROR(ROUND($D270*INDEX('🔖 배합비 참조'!$B$2:$CE$83,MATCH("연유",'🔖 배합비 참조'!$A$2:$A$83,0),MATCH($C270,'🔖 배합비 참조'!$B$1:$CE$1,0))/100,0),""))),"")</f>
        <v>0</v>
      </c>
      <c r="BI270" s="42" t="n">
        <f aca="false">IFERROR(IF($C270="","",IF($D270="","",IFERROR(ROUND($D270*INDEX('🔖 배합비 참조'!$B$2:$CE$83,MATCH("옥수수전분",'🔖 배합비 참조'!$A$2:$A$83,0),MATCH($C270,'🔖 배합비 참조'!$B$1:$CE$1,0))/100,0),""))),"")</f>
        <v>0</v>
      </c>
      <c r="BJ270" s="42" t="n">
        <f aca="false">IFERROR(IF($C270="","",IF($D270="","",IFERROR(ROUND($D270*INDEX('🔖 배합비 참조'!$B$2:$CE$83,MATCH("완두배기",'🔖 배합비 참조'!$A$2:$A$83,0),MATCH($C270,'🔖 배합비 참조'!$B$1:$CE$1,0))/100,0),""))),"")</f>
        <v>0</v>
      </c>
      <c r="BK270" s="42" t="n">
        <f aca="false">IFERROR(IF($C270="","",IF($D270="","",IFERROR(ROUND($D270*INDEX('🔖 배합비 참조'!$B$2:$CE$83,MATCH("우유(국내산)",'🔖 배합비 참조'!$A$2:$A$83,0),MATCH($C270,'🔖 배합비 참조'!$B$1:$CE$1,0))/100,0),""))),"")</f>
        <v>0</v>
      </c>
      <c r="BL270" s="42" t="n">
        <f aca="false">IFERROR(IF($C270="","",IF($D270="","",IFERROR(ROUND($D270*INDEX('🔖 배합비 참조'!$B$2:$CE$83,MATCH("자색고구마가루(중국산)",'🔖 배합비 참조'!$A$2:$A$83,0),MATCH($C270,'🔖 배합비 참조'!$B$1:$CE$1,0))/100,0),""))),"")</f>
        <v>0</v>
      </c>
      <c r="BM270" s="42" t="n">
        <f aca="false">IFERROR(IF($C270="","",IF($D270="","",IFERROR(ROUND($D270*INDEX('🔖 배합비 참조'!$B$2:$CE$83,MATCH("자연치즈(체다치즈)",'🔖 배합비 참조'!$A$2:$A$83,0),MATCH($C270,'🔖 배합비 참조'!$B$1:$CE$1,0))/100,0),""))),"")</f>
        <v>0</v>
      </c>
      <c r="BN270" s="42" t="n">
        <f aca="false">IFERROR(IF($C270="","",IF($D270="","",IFERROR(ROUND($D270*INDEX('🔖 배합비 참조'!$B$2:$CE$83,MATCH("정제수",'🔖 배합비 참조'!$A$2:$A$83,0),MATCH($C270,'🔖 배합비 참조'!$B$1:$CE$1,0))/100,0),""))),"")</f>
        <v>53</v>
      </c>
      <c r="BO270" s="42" t="n">
        <f aca="false">IFERROR(IF($C270="","",IF($D270="","",IFERROR(ROUND($D270*INDEX('🔖 배합비 참조'!$B$2:$CE$83,MATCH("젤라틴",'🔖 배합비 참조'!$A$2:$A$83,0),MATCH($C270,'🔖 배합비 참조'!$B$1:$CE$1,0))/100,0),""))),"")</f>
        <v>0</v>
      </c>
      <c r="BP270" s="42" t="n">
        <f aca="false">IFERROR(IF($C270="","",IF($D270="","",IFERROR(ROUND($D270*INDEX('🔖 배합비 참조'!$B$2:$CE$83,MATCH("조림류(백옥앙금)",'🔖 배합비 참조'!$A$2:$A$83,0),MATCH($C270,'🔖 배합비 참조'!$B$1:$CE$1,0))/100,0),""))),"")</f>
        <v>0</v>
      </c>
      <c r="BQ270" s="42" t="n">
        <f aca="false">IFERROR(IF($C270="","",IF($D270="","",IFERROR(ROUND($D270*INDEX('🔖 배합비 참조'!$B$2:$CE$83,MATCH("조림류(통팥앙금)",'🔖 배합비 참조'!$A$2:$A$83,0),MATCH($C270,'🔖 배합비 참조'!$B$1:$CE$1,0))/100,0),""))),"")</f>
        <v>0</v>
      </c>
      <c r="BR270" s="42" t="n">
        <f aca="false">IFERROR(IF($C270="","",IF($D270="","",IFERROR(ROUND($D270*INDEX('🔖 배합비 참조'!$B$2:$CE$83,MATCH("준초콜릿(외국산)",'🔖 배합비 참조'!$A$2:$A$83,0),MATCH($C270,'🔖 배합비 참조'!$B$1:$CE$1,0))/100,0),""))),"")</f>
        <v>0</v>
      </c>
      <c r="BS270" s="42" t="n">
        <f aca="false">IFERROR(IF($C270="","",IF($D270="","",IFERROR(ROUND($D270*INDEX('🔖 배합비 참조'!$B$2:$CE$83,MATCH("중력분",'🔖 배합비 참조'!$A$2:$A$83,0),MATCH($C270,'🔖 배합비 참조'!$B$1:$CE$1,0))/100,0),""))),"")</f>
        <v>1</v>
      </c>
      <c r="BT270" s="42" t="n">
        <f aca="false">IFERROR(IF($C270="","",IF($D270="","",IFERROR(ROUND($D270*INDEX('🔖 배합비 참조'!$B$2:$CE$83,MATCH("참깨(인도산,나이지리아산,탄자니아산,미얀마산)",'🔖 배합비 참조'!$A$2:$A$83,0),MATCH($C270,'🔖 배합비 참조'!$B$1:$CE$1,0))/100,0),""))),"")</f>
        <v>0</v>
      </c>
      <c r="BU270" s="42" t="n">
        <f aca="false">IFERROR(IF($C270="","",IF($D270="","",IFERROR(ROUND($D270*INDEX('🔖 배합비 참조'!$B$2:$CE$83,MATCH("찹쌀(국내산)",'🔖 배합비 참조'!$A$2:$A$83,0),MATCH($C270,'🔖 배합비 참조'!$B$1:$CE$1,0))/100,0),""))),"")</f>
        <v>67</v>
      </c>
      <c r="BV270" s="42" t="n">
        <f aca="false">IFERROR(IF($C270="","",IF($D270="","",IFERROR(ROUND($D270*INDEX('🔖 배합비 참조'!$B$2:$CE$83,MATCH("천일염",'🔖 배합비 참조'!$A$2:$A$83,0),MATCH($C270,'🔖 배합비 참조'!$B$1:$CE$1,0))/100,0),""))),"")</f>
        <v>1</v>
      </c>
      <c r="BW270" s="42" t="n">
        <f aca="false">IFERROR(IF($C270="","",IF($D270="","",IFERROR(ROUND($D270*INDEX('🔖 배합비 참조'!$B$2:$CE$83,MATCH("치즈 [크림치즈]",'🔖 배합비 참조'!$A$2:$A$83,0),MATCH($C270,'🔖 배합비 참조'!$B$1:$CE$1,0))/100,0),""))),"")</f>
        <v>0</v>
      </c>
      <c r="BX270" s="42" t="n">
        <f aca="false">IFERROR(IF($C270="","",IF($D270="","",IFERROR(ROUND($D270*INDEX('🔖 배합비 참조'!$B$2:$CE$83,MATCH("코코아가공품류(코코아분말)",'🔖 배합비 참조'!$A$2:$A$83,0),MATCH($C270,'🔖 배합비 참조'!$B$1:$CE$1,0))/100,0),""))),"")</f>
        <v>0</v>
      </c>
      <c r="BY270" s="42" t="n">
        <f aca="false">IFERROR(IF($C270="","",IF($D270="","",IFERROR(ROUND($D270*INDEX('🔖 배합비 참조'!$B$2:$CE$83,MATCH("콩기름(대두유)",'🔖 배합비 참조'!$A$2:$A$83,0),MATCH($C270,'🔖 배합비 참조'!$B$1:$CE$1,0))/100,0),""))),"")</f>
        <v>0</v>
      </c>
      <c r="BZ270" s="42" t="n">
        <f aca="false">IFERROR(IF($C270="","",IF($D270="","",IFERROR(ROUND($D270*INDEX('🔖 배합비 참조'!$B$2:$CE$83,MATCH("해바라기씨앗",'🔖 배합비 참조'!$A$2:$A$83,0),MATCH($C270,'🔖 배합비 참조'!$B$1:$CE$1,0))/100,0),""))),"")</f>
        <v>0</v>
      </c>
      <c r="CA270" s="42" t="n">
        <f aca="false">IFERROR(IF($C270="","",IF($D270="","",IFERROR(ROUND($D270*INDEX('🔖 배합비 참조'!$B$2:$CE$83,MATCH("현미(국내산)",'🔖 배합비 참조'!$A$2:$A$83,0),MATCH($C270,'🔖 배합비 참조'!$B$1:$CE$1,0))/100,0),""))),"")</f>
        <v>0</v>
      </c>
      <c r="CB270" s="42" t="n">
        <f aca="false">IFERROR(IF($C270="","",IF($D270="","",IFERROR(ROUND($D270*INDEX('🔖 배합비 참조'!$B$2:$CE$83,MATCH("현미멥쌀(국내산)",'🔖 배합비 참조'!$A$2:$A$83,0),MATCH($C270,'🔖 배합비 참조'!$B$1:$CE$1,0))/100,0),""))),"")</f>
        <v>0</v>
      </c>
      <c r="CC270" s="42" t="n">
        <f aca="false">IFERROR(IF($C270="","",IF($D270="","",IFERROR(ROUND($D270*INDEX('🔖 배합비 참조'!$B$2:$CE$83,MATCH("호두분태(미국산)",'🔖 배합비 참조'!$A$2:$A$83,0),MATCH($C270,'🔖 배합비 참조'!$B$1:$CE$1,0))/100,0),""))),"")</f>
        <v>0</v>
      </c>
      <c r="CD270" s="42" t="n">
        <f aca="false">IFERROR(IF($C270="","",IF($D270="","",IFERROR(ROUND($D270*INDEX('🔖 배합비 참조'!$B$2:$CE$83,MATCH("호박씨앗(외국산)",'🔖 배합비 참조'!$A$2:$A$83,0),MATCH($C270,'🔖 배합비 참조'!$B$1:$CE$1,0))/100,0),""))),"")</f>
        <v>0</v>
      </c>
      <c r="CE270" s="42" t="n">
        <f aca="false">IFERROR(IF($C270="","",IF($D270="","",IFERROR(ROUND($D270*INDEX('🔖 배합비 참조'!$B$2:$CE$83,MATCH("혼합제제(떡용에스텔)",'🔖 배합비 참조'!$A$2:$A$83,0),MATCH($C270,'🔖 배합비 참조'!$B$1:$CE$1,0))/100,0),""))),"")</f>
        <v>1</v>
      </c>
      <c r="CF270" s="42" t="n">
        <f aca="false">IFERROR(IF($C270="","",IF($D270="","",IFERROR(ROUND($D270*INDEX('🔖 배합비 참조'!$B$2:$CE$83,MATCH("혼합제제(스테비아)",'🔖 배합비 참조'!$A$2:$A$83,0),MATCH($C270,'🔖 배합비 참조'!$B$1:$CE$1,0))/100,0),""))),"")</f>
        <v>0</v>
      </c>
      <c r="CG270" s="42" t="n">
        <f aca="false">IFERROR(IF($C270="","",IF($D270="","",IFERROR(ROUND($D270*INDEX('🔖 배합비 참조'!$B$2:$CE$83,MATCH("화이트초콜릿",'🔖 배합비 참조'!$A$2:$A$83,0),MATCH($C270,'🔖 배합비 참조'!$B$1:$CE$1,0))/100,0),""))),"")</f>
        <v>0</v>
      </c>
      <c r="CH270" s="42" t="n">
        <f aca="false">IFERROR(IF($C270="","",IF($D270="","",IFERROR(ROUND($D270*INDEX('🔖 배합비 참조'!$B$2:$CE$83,MATCH("흑미찹쌀(국내산)",'🔖 배합비 참조'!$A$2:$A$83,0),MATCH($C270,'🔖 배합비 참조'!$B$1:$CE$1,0))/100,0),""))),"")</f>
        <v>0</v>
      </c>
      <c r="CI270" s="42" t="n">
        <f aca="false">IFERROR(IF($C270="","",IF($D270="","",IFERROR(ROUND($D270*INDEX('🔖 배합비 참조'!$B$2:$CE$83,MATCH("찰옥수수전분(미국산)",'🔖 배합비 참조'!$A$2:$A$83,0),MATCH($C270,'🔖 배합비 참조'!$B$1:$CE$1,0))/100,0),""))),"")</f>
        <v>0</v>
      </c>
      <c r="CJ270" s="40"/>
      <c r="CL270" s="43" t="s">
        <v>248</v>
      </c>
    </row>
    <row r="271" customFormat="false" ht="18" hidden="false" customHeight="true" outlineLevel="0" collapsed="false">
      <c r="A271" s="35" t="n">
        <v>267</v>
      </c>
      <c r="B271" s="36" t="n">
        <v>46091</v>
      </c>
      <c r="C271" s="37" t="s">
        <v>191</v>
      </c>
      <c r="D271" s="38" t="n">
        <v>1100</v>
      </c>
      <c r="E271" s="13"/>
      <c r="F271" s="13"/>
      <c r="G271" s="39" t="n">
        <f aca="false">IFERROR(IF($C271="","",IF($D271="","",IFERROR(ROUND($D271*INDEX('🔖 배합비 참조'!$B$2:$CE$83,MATCH("간장",'🔖 배합비 참조'!$A$2:$A$83,0),MATCH($C271,'🔖 배합비 참조'!$B$1:$CE$1,0))/100,0),""))),"")</f>
        <v>0</v>
      </c>
      <c r="H271" s="39" t="n">
        <f aca="false">IFERROR(IF($C271="","",IF($D271="","",IFERROR(ROUND($D271*INDEX('🔖 배합비 참조'!$B$2:$CE$83,MATCH("강낭콩((울타리콩))",'🔖 배합비 참조'!$A$2:$A$83,0),MATCH($C271,'🔖 배합비 참조'!$B$1:$CE$1,0))/100,0),""))),"")</f>
        <v>0</v>
      </c>
      <c r="I271" s="39" t="n">
        <f aca="false">IFERROR(IF($C271="","",IF($D271="","",IFERROR(ROUND($D271*INDEX('🔖 배합비 참조'!$B$2:$CE$83,MATCH("건조딸기다이스(외국산)",'🔖 배합비 참조'!$A$2:$A$83,0),MATCH($C271,'🔖 배합비 참조'!$B$1:$CE$1,0))/100,0),""))),"")</f>
        <v>0</v>
      </c>
      <c r="J271" s="39" t="n">
        <f aca="false">IFERROR(IF($C271="","",IF($D271="","",IFERROR(ROUND($D271*INDEX('🔖 배합비 참조'!$B$2:$CE$83,MATCH("건포도",'🔖 배합비 참조'!$A$2:$A$83,0),MATCH($C271,'🔖 배합비 참조'!$B$1:$CE$1,0))/100,0),""))),"")</f>
        <v>0</v>
      </c>
      <c r="K271" s="39" t="n">
        <f aca="false">IFERROR(IF($C271="","",IF($D271="","",IFERROR(ROUND($D271*INDEX('🔖 배합비 참조'!$B$2:$CE$83,MATCH("건호박채(중국산)",'🔖 배합비 참조'!$A$2:$A$83,0),MATCH($C271,'🔖 배합비 참조'!$B$1:$CE$1,0))/100,0),""))),"")</f>
        <v>0</v>
      </c>
      <c r="L271" s="39" t="n">
        <f aca="false">IFERROR(IF($C271="","",IF($D271="","",IFERROR(ROUND($D271*INDEX('🔖 배합비 참조'!$B$2:$CE$83,MATCH("검정깨(흑임자)",'🔖 배합비 참조'!$A$2:$A$83,0),MATCH($C271,'🔖 배합비 참조'!$B$1:$CE$1,0))/100,0),""))),"")</f>
        <v>0</v>
      </c>
      <c r="M271" s="39" t="n">
        <f aca="false">IFERROR(IF($C271="","",IF($D271="","",IFERROR(ROUND($D271*INDEX('🔖 배합비 참조'!$B$2:$CE$83,MATCH("검정콩",'🔖 배합비 참조'!$A$2:$A$83,0),MATCH($C271,'🔖 배합비 참조'!$B$1:$CE$1,0))/100,0),""))),"")</f>
        <v>0</v>
      </c>
      <c r="N271" s="39" t="n">
        <f aca="false">IFERROR(IF($C271="","",IF($D271="","",IFERROR(ROUND($D271*INDEX('🔖 배합비 참조'!$B$2:$CE$83,MATCH("계피가루",'🔖 배합비 참조'!$A$2:$A$83,0),MATCH($C271,'🔖 배합비 참조'!$B$1:$CE$1,0))/100,0),""))),"")</f>
        <v>0</v>
      </c>
      <c r="O271" s="39" t="n">
        <f aca="false">IFERROR(IF($C271="","",IF($D271="","",IFERROR(ROUND($D271*INDEX('🔖 배합비 참조'!$B$2:$CE$83,MATCH("고구마가루",'🔖 배합비 참조'!$A$2:$A$83,0),MATCH($C271,'🔖 배합비 참조'!$B$1:$CE$1,0))/100,0),""))),"")</f>
        <v>0</v>
      </c>
      <c r="P271" s="39" t="n">
        <f aca="false">IFERROR(IF($C271="","",IF($D271="","",IFERROR(ROUND($D271*INDEX('🔖 배합비 참조'!$B$2:$CE$83,MATCH("고구마무스",'🔖 배합비 참조'!$A$2:$A$83,0),MATCH($C271,'🔖 배합비 참조'!$B$1:$CE$1,0))/100,0),""))),"")</f>
        <v>0</v>
      </c>
      <c r="Q271" s="39" t="n">
        <f aca="false">IFERROR(IF($C271="","",IF($D271="","",IFERROR(ROUND($D271*INDEX('🔖 배합비 참조'!$B$2:$CE$83,MATCH("고려엉겅퀴((곤드레)국내산)",'🔖 배합비 참조'!$A$2:$A$83,0),MATCH($C271,'🔖 배합비 참조'!$B$1:$CE$1,0))/100,0),""))),"")</f>
        <v>0</v>
      </c>
      <c r="R271" s="39" t="n">
        <f aca="false">IFERROR(IF($C271="","",IF($D271="","",IFERROR(ROUND($D271*INDEX('🔖 배합비 참조'!$B$2:$CE$83,MATCH("기타가공품(복분자가루)",'🔖 배합비 참조'!$A$2:$A$83,0),MATCH($C271,'🔖 배합비 참조'!$B$1:$CE$1,0))/100,0),""))),"")</f>
        <v>0</v>
      </c>
      <c r="S271" s="39" t="n">
        <f aca="false">IFERROR(IF($C271="","",IF($D271="","",IFERROR(ROUND($D271*INDEX('🔖 배합비 참조'!$B$2:$CE$83,MATCH("기타가공품(슈퍼소프트엠)",'🔖 배합비 참조'!$A$2:$A$83,0),MATCH($C271,'🔖 배합비 참조'!$B$1:$CE$1,0))/100,0),""))),"")</f>
        <v>0</v>
      </c>
      <c r="T271" s="39" t="n">
        <f aca="false">IFERROR(IF($C271="","",IF($D271="","",IFERROR(ROUND($D271*INDEX('🔖 배합비 참조'!$B$2:$CE$83,MATCH("기타가공품(파인소프트 E-티)",'🔖 배합비 참조'!$A$2:$A$83,0),MATCH($C271,'🔖 배합비 참조'!$B$1:$CE$1,0))/100,0),""))),"")</f>
        <v>0</v>
      </c>
      <c r="U271" s="39" t="n">
        <f aca="false">IFERROR(IF($C271="","",IF($D271="","",IFERROR(ROUND($D271*INDEX('🔖 배합비 참조'!$B$2:$CE$83,MATCH("기타가공품(프리미엄카스테라가루)",'🔖 배합비 참조'!$A$2:$A$83,0),MATCH($C271,'🔖 배합비 참조'!$B$1:$CE$1,0))/100,0),""))),"")</f>
        <v>0</v>
      </c>
      <c r="V271" s="39" t="n">
        <f aca="false">IFERROR(IF($C271="","",IF($D271="","",IFERROR(ROUND($D271*INDEX('🔖 배합비 참조'!$B$2:$CE$83,MATCH("기타가공품(흑임자가루)",'🔖 배합비 참조'!$A$2:$A$83,0),MATCH($C271,'🔖 배합비 참조'!$B$1:$CE$1,0))/100,0),""))),"")</f>
        <v>0</v>
      </c>
      <c r="W271" s="39" t="n">
        <f aca="false">IFERROR(IF($C271="","",IF($D271="","",IFERROR(ROUND($D271*INDEX('🔖 배합비 참조'!$B$2:$CE$83,MATCH("기타설탕(흑설탕)",'🔖 배합비 참조'!$A$2:$A$83,0),MATCH($C271,'🔖 배합비 참조'!$B$1:$CE$1,0))/100,0),""))),"")</f>
        <v>0</v>
      </c>
      <c r="X271" s="39" t="n">
        <f aca="false">IFERROR(IF($C271="","",IF($D271="","",IFERROR(ROUND($D271*INDEX('🔖 배합비 참조'!$B$2:$CE$83,MATCH("냉동쑥(국내산)",'🔖 배합비 참조'!$A$2:$A$83,0),MATCH($C271,'🔖 배합비 참조'!$B$1:$CE$1,0))/100,0),""))),"")</f>
        <v>0</v>
      </c>
      <c r="Y271" s="39" t="n">
        <f aca="false">IFERROR(IF($C271="","",IF($D271="","",IFERROR(ROUND($D271*INDEX('🔖 배합비 참조'!$B$2:$CE$83,MATCH("냉동증숙고구마(중국산)",'🔖 배합비 참조'!$A$2:$A$83,0),MATCH($C271,'🔖 배합비 참조'!$B$1:$CE$1,0))/100,0),""))),"")</f>
        <v>0</v>
      </c>
      <c r="Z271" s="39" t="n">
        <f aca="false">IFERROR(IF($C271="","",IF($D271="","",IFERROR(ROUND($D271*INDEX('🔖 배합비 참조'!$B$2:$CE$83,MATCH("녹차가루",'🔖 배합비 참조'!$A$2:$A$83,0),MATCH($C271,'🔖 배합비 참조'!$B$1:$CE$1,0))/100,0),""))),"")</f>
        <v>0</v>
      </c>
      <c r="AA271" s="39" t="n">
        <f aca="false">IFERROR(IF($C271="","",IF($D271="","",IFERROR(ROUND($D271*INDEX('🔖 배합비 참조'!$B$2:$CE$83,MATCH("다크초콜릿 컴파운드칩",'🔖 배합비 참조'!$A$2:$A$83,0),MATCH($C271,'🔖 배합비 참조'!$B$1:$CE$1,0))/100,0),""))),"")</f>
        <v>0</v>
      </c>
      <c r="AB271" s="39" t="n">
        <f aca="false">IFERROR(IF($C271="","",IF($D271="","",IFERROR(ROUND($D271*INDEX('🔖 배합비 참조'!$B$2:$CE$83,MATCH("단호박분말(중국산)",'🔖 배합비 참조'!$A$2:$A$83,0),MATCH($C271,'🔖 배합비 참조'!$B$1:$CE$1,0))/100,0),""))),"")</f>
        <v>0</v>
      </c>
      <c r="AC271" s="39" t="n">
        <f aca="false">IFERROR(IF($C271="","",IF($D271="","",IFERROR(ROUND($D271*INDEX('🔖 배합비 참조'!$B$2:$CE$83,MATCH("당류가공품(단호박농축액)",'🔖 배합비 참조'!$A$2:$A$83,0),MATCH($C271,'🔖 배합비 참조'!$B$1:$CE$1,0))/100,0),""))),"")</f>
        <v>0</v>
      </c>
      <c r="AD271" s="39" t="n">
        <f aca="false">IFERROR(IF($C271="","",IF($D271="","",IFERROR(ROUND($D271*INDEX('🔖 배합비 참조'!$B$2:$CE$83,MATCH("당류가공품(알룰로스,에리스리톨,스테비올배당체혼합)",'🔖 배합비 참조'!$A$2:$A$83,0),MATCH($C271,'🔖 배합비 참조'!$B$1:$CE$1,0))/100,0),""))),"")</f>
        <v>0</v>
      </c>
      <c r="AE271" s="39" t="n">
        <f aca="false">IFERROR(IF($C271="","",IF($D271="","",IFERROR(ROUND($D271*INDEX('🔖 배합비 참조'!$B$2:$CE$83,MATCH("당류가공품(알룰로스제로파우더)",'🔖 배합비 참조'!$A$2:$A$83,0),MATCH($C271,'🔖 배합비 참조'!$B$1:$CE$1,0))/100,0),""))),"")</f>
        <v>0</v>
      </c>
      <c r="AF271" s="39" t="n">
        <f aca="false">IFERROR(IF($C271="","",IF($D271="","",IFERROR(ROUND($D271*INDEX('🔖 배합비 참조'!$B$2:$CE$83,MATCH("당절임(완두배기)",'🔖 배합비 참조'!$A$2:$A$83,0),MATCH($C271,'🔖 배합비 참조'!$B$1:$CE$1,0))/100,0),""))),"")</f>
        <v>0</v>
      </c>
      <c r="AG271" s="39" t="n">
        <f aca="false">IFERROR(IF($C271="","",IF($D271="","",IFERROR(ROUND($D271*INDEX('🔖 배합비 참조'!$B$2:$CE$83,MATCH("대추농축액",'🔖 배합비 참조'!$A$2:$A$83,0),MATCH($C271,'🔖 배합비 참조'!$B$1:$CE$1,0))/100,0),""))),"")</f>
        <v>0</v>
      </c>
      <c r="AH271" s="39" t="n">
        <f aca="false">IFERROR(IF($C271="","",IF($D271="","",IFERROR(ROUND($D271*INDEX('🔖 배합비 참조'!$B$2:$CE$83,MATCH("대추채(국내산)",'🔖 배합비 참조'!$A$2:$A$83,0),MATCH($C271,'🔖 배합비 참조'!$B$1:$CE$1,0))/100,0),""))),"")</f>
        <v>0</v>
      </c>
      <c r="AI271" s="39" t="n">
        <f aca="false">IFERROR(IF($C271="","",IF($D271="","",IFERROR(ROUND($D271*INDEX('🔖 배합비 참조'!$B$2:$CE$83,MATCH("동부(미얀마산)",'🔖 배합비 참조'!$A$2:$A$83,0),MATCH($C271,'🔖 배합비 참조'!$B$1:$CE$1,0))/100,0),""))),"")</f>
        <v>0</v>
      </c>
      <c r="AJ271" s="39" t="n">
        <f aca="false">IFERROR(IF($C271="","",IF($D271="","",IFERROR(ROUND($D271*INDEX('🔖 배합비 참조'!$B$2:$CE$83,MATCH("두류가공품(백옥앙금)",'🔖 배합비 참조'!$A$2:$A$83,0),MATCH($C271,'🔖 배합비 참조'!$B$1:$CE$1,0))/100,0),""))),"")</f>
        <v>0</v>
      </c>
      <c r="AK271" s="39" t="n">
        <f aca="false">IFERROR(IF($C271="","",IF($D271="","",IFERROR(ROUND($D271*INDEX('🔖 배합비 참조'!$B$2:$CE$83,MATCH("두류가공품(콩고물)",'🔖 배합비 참조'!$A$2:$A$83,0),MATCH($C271,'🔖 배합비 참조'!$B$1:$CE$1,0))/100,0),""))),"")</f>
        <v>0</v>
      </c>
      <c r="AL271" s="39" t="n">
        <f aca="false">IFERROR(IF($C271="","",IF($D271="","",IFERROR(ROUND($D271*INDEX('🔖 배합비 참조'!$B$2:$CE$83,MATCH("두류가공품(통팥고물)",'🔖 배합비 참조'!$A$2:$A$83,0),MATCH($C271,'🔖 배합비 참조'!$B$1:$CE$1,0))/100,0),""))),"")</f>
        <v>0</v>
      </c>
      <c r="AM271" s="39" t="n">
        <f aca="false">IFERROR(IF($C271="","",IF($D271="","",IFERROR(ROUND($D271*INDEX('🔖 배합비 참조'!$B$2:$CE$83,MATCH("딸기레진",'🔖 배합비 참조'!$A$2:$A$83,0),MATCH($C271,'🔖 배합비 참조'!$B$1:$CE$1,0))/100,0),""))),"")</f>
        <v>0</v>
      </c>
      <c r="AN271" s="39" t="n">
        <f aca="false">IFERROR(IF($C271="","",IF($D271="","",IFERROR(ROUND($D271*INDEX('🔖 배합비 참조'!$B$2:$CE$83,MATCH("딸기분말(스트로우베리에이드(분말))",'🔖 배합비 참조'!$A$2:$A$83,0),MATCH($C271,'🔖 배합비 참조'!$B$1:$CE$1,0))/100,0),""))),"")</f>
        <v>0</v>
      </c>
      <c r="AO271" s="39" t="n">
        <f aca="false">IFERROR(IF($C271="","",IF($D271="","",IFERROR(ROUND($D271*INDEX('🔖 배합비 참조'!$B$2:$CE$83,MATCH("마스카포네치즈",'🔖 배합비 참조'!$A$2:$A$83,0),MATCH($C271,'🔖 배합비 참조'!$B$1:$CE$1,0))/100,0),""))),"")</f>
        <v>0</v>
      </c>
      <c r="AP271" s="39" t="n">
        <f aca="false">IFERROR(IF($C271="","",IF($D271="","",IFERROR(ROUND($D271*INDEX('🔖 배합비 참조'!$B$2:$CE$83,MATCH("마카다미아분태(호주산)",'🔖 배합비 참조'!$A$2:$A$83,0),MATCH($C271,'🔖 배합비 참조'!$B$1:$CE$1,0))/100,0),""))),"")</f>
        <v>0</v>
      </c>
      <c r="AQ271" s="39" t="n">
        <f aca="false">IFERROR(IF($C271="","",IF($D271="","",IFERROR(ROUND($D271*INDEX('🔖 배합비 참조'!$B$2:$CE$83,MATCH("멥쌀(국내산)",'🔖 배합비 참조'!$A$2:$A$83,0),MATCH($C271,'🔖 배합비 참조'!$B$1:$CE$1,0))/100,0),""))),"")</f>
        <v>22</v>
      </c>
      <c r="AR271" s="39" t="n">
        <f aca="false">IFERROR(IF($C271="","",IF($D271="","",IFERROR(ROUND($D271*INDEX('🔖 배합비 참조'!$B$2:$CE$83,MATCH("모시잎(국내산)",'🔖 배합비 참조'!$A$2:$A$83,0),MATCH($C271,'🔖 배합비 참조'!$B$1:$CE$1,0))/100,0),""))),"")</f>
        <v>0</v>
      </c>
      <c r="AS271" s="39" t="n">
        <f aca="false">IFERROR(IF($C271="","",IF($D271="","",IFERROR(ROUND($D271*INDEX('🔖 배합비 참조'!$B$2:$CE$83,MATCH("물엿(저당물엿)",'🔖 배합비 참조'!$A$2:$A$83,0),MATCH($C271,'🔖 배합비 참조'!$B$1:$CE$1,0))/100,0),""))),"")</f>
        <v>0</v>
      </c>
      <c r="AT271" s="39" t="n">
        <f aca="false">IFERROR(IF($C271="","",IF($D271="","",IFERROR(ROUND($D271*INDEX('🔖 배합비 참조'!$B$2:$CE$83,MATCH("밤다이스",'🔖 배합비 참조'!$A$2:$A$83,0),MATCH($C271,'🔖 배합비 참조'!$B$1:$CE$1,0))/100,0),""))),"")</f>
        <v>0</v>
      </c>
      <c r="AU271" s="39" t="n">
        <f aca="false">IFERROR(IF($C271="","",IF($D271="","",IFERROR(ROUND($D271*INDEX('🔖 배합비 참조'!$B$2:$CE$83,MATCH("변성전분(타피오카전분)",'🔖 배합비 참조'!$A$2:$A$83,0),MATCH($C271,'🔖 배합비 참조'!$B$1:$CE$1,0))/100,0),""))),"")</f>
        <v>0</v>
      </c>
      <c r="AV271" s="39" t="n">
        <f aca="false">IFERROR(IF($C271="","",IF($D271="","",IFERROR(ROUND($D271*INDEX('🔖 배합비 참조'!$B$2:$CE$83,MATCH("복음땅콩분태",'🔖 배합비 참조'!$A$2:$A$83,0),MATCH($C271,'🔖 배합비 참조'!$B$1:$CE$1,0))/100,0),""))),"")</f>
        <v>0</v>
      </c>
      <c r="AW271" s="39" t="n">
        <f aca="false">IFERROR(IF($C271="","",IF($D271="","",IFERROR(ROUND($D271*INDEX('🔖 배합비 참조'!$B$2:$CE$83,MATCH("사양벌꿀(국내산)",'🔖 배합비 참조'!$A$2:$A$83,0),MATCH($C271,'🔖 배합비 참조'!$B$1:$CE$1,0))/100,0),""))),"")</f>
        <v>0</v>
      </c>
      <c r="AX271" s="39" t="n">
        <f aca="false">IFERROR(IF($C271="","",IF($D271="","",IFERROR(ROUND($D271*INDEX('🔖 배합비 참조'!$B$2:$CE$83,MATCH("생크림",'🔖 배합비 참조'!$A$2:$A$83,0),MATCH($C271,'🔖 배합비 참조'!$B$1:$CE$1,0))/100,0),""))),"")</f>
        <v>0</v>
      </c>
      <c r="AY271" s="39" t="n">
        <f aca="false">IFERROR(IF($C271="","",IF($D271="","",IFERROR(ROUND($D271*INDEX('🔖 배합비 참조'!$B$2:$CE$83,MATCH("서양호박(국내산,뉴질랜드산)",'🔖 배합비 참조'!$A$2:$A$83,0),MATCH($C271,'🔖 배합비 참조'!$B$1:$CE$1,0))/100,0),""))),"")</f>
        <v>0</v>
      </c>
      <c r="AZ271" s="39" t="n">
        <f aca="false">IFERROR(IF($C271="","",IF($D271="","",IFERROR(ROUND($D271*INDEX('🔖 배합비 참조'!$B$2:$CE$83,MATCH("설탕",'🔖 배합비 참조'!$A$2:$A$83,0),MATCH($C271,'🔖 배합비 참조'!$B$1:$CE$1,0))/100,0),""))),"")</f>
        <v>209</v>
      </c>
      <c r="BA271" s="39" t="n">
        <f aca="false">IFERROR(IF($C271="","",IF($D271="","",IFERROR(ROUND($D271*INDEX('🔖 배합비 참조'!$B$2:$CE$83,MATCH("스트로우베리 에이드 후레쉬",'🔖 배합비 참조'!$A$2:$A$83,0),MATCH($C271,'🔖 배합비 참조'!$B$1:$CE$1,0))/100,0),""))),"")</f>
        <v>0</v>
      </c>
      <c r="BB271" s="39" t="n">
        <f aca="false">IFERROR(IF($C271="","",IF($D271="","",IFERROR(ROUND($D271*INDEX('🔖 배합비 참조'!$B$2:$CE$83,MATCH("식물성기름혼합제제(분홍)",'🔖 배합비 참조'!$A$2:$A$83,0),MATCH($C271,'🔖 배합비 참조'!$B$1:$CE$1,0))/100,0),""))),"")</f>
        <v>0</v>
      </c>
      <c r="BC271" s="39" t="n">
        <f aca="false">IFERROR(IF($C271="","",IF($D271="","",IFERROR(ROUND($D271*INDEX('🔖 배합비 참조'!$B$2:$CE$83,MATCH("식물성기름혼합제제(초록)",'🔖 배합비 참조'!$A$2:$A$83,0),MATCH($C271,'🔖 배합비 참조'!$B$1:$CE$1,0))/100,0),""))),"")</f>
        <v>0</v>
      </c>
      <c r="BD271" s="39" t="n">
        <f aca="false">IFERROR(IF($C271="","",IF($D271="","",IFERROR(ROUND($D271*INDEX('🔖 배합비 참조'!$B$2:$CE$83,MATCH("식물성기름혼합제제(황색)",'🔖 배합비 참조'!$A$2:$A$83,0),MATCH($C271,'🔖 배합비 참조'!$B$1:$CE$1,0))/100,0),""))),"")</f>
        <v>0</v>
      </c>
      <c r="BE271" s="39" t="n">
        <f aca="false">IFERROR(IF($C271="","",IF($D271="","",IFERROR(ROUND($D271*INDEX('🔖 배합비 참조'!$B$2:$CE$83,MATCH("쑥가루(국내산)",'🔖 배합비 참조'!$A$2:$A$83,0),MATCH($C271,'🔖 배합비 참조'!$B$1:$CE$1,0))/100,0),""))),"")</f>
        <v>0</v>
      </c>
      <c r="BF271" s="39" t="n">
        <f aca="false">IFERROR(IF($C271="","",IF($D271="","",IFERROR(ROUND($D271*INDEX('🔖 배합비 참조'!$B$2:$CE$83,MATCH("아몬드슬라이스",'🔖 배합비 참조'!$A$2:$A$83,0),MATCH($C271,'🔖 배합비 참조'!$B$1:$CE$1,0))/100,0),""))),"")</f>
        <v>0</v>
      </c>
      <c r="BG271" s="39" t="n">
        <f aca="false">IFERROR(IF($C271="","",IF($D271="","",IFERROR(ROUND($D271*INDEX('🔖 배합비 참조'!$B$2:$CE$83,MATCH("알룰로오스(국내산)",'🔖 배합비 참조'!$A$2:$A$83,0),MATCH($C271,'🔖 배합비 참조'!$B$1:$CE$1,0))/100,0),""))),"")</f>
        <v>0</v>
      </c>
      <c r="BH271" s="39" t="n">
        <f aca="false">IFERROR(IF($C271="","",IF($D271="","",IFERROR(ROUND($D271*INDEX('🔖 배합비 참조'!$B$2:$CE$83,MATCH("연유",'🔖 배합비 참조'!$A$2:$A$83,0),MATCH($C271,'🔖 배합비 참조'!$B$1:$CE$1,0))/100,0),""))),"")</f>
        <v>0</v>
      </c>
      <c r="BI271" s="39" t="n">
        <f aca="false">IFERROR(IF($C271="","",IF($D271="","",IFERROR(ROUND($D271*INDEX('🔖 배합비 참조'!$B$2:$CE$83,MATCH("옥수수전분",'🔖 배합비 참조'!$A$2:$A$83,0),MATCH($C271,'🔖 배합비 참조'!$B$1:$CE$1,0))/100,0),""))),"")</f>
        <v>0</v>
      </c>
      <c r="BJ271" s="39" t="n">
        <f aca="false">IFERROR(IF($C271="","",IF($D271="","",IFERROR(ROUND($D271*INDEX('🔖 배합비 참조'!$B$2:$CE$83,MATCH("완두배기",'🔖 배합비 참조'!$A$2:$A$83,0),MATCH($C271,'🔖 배합비 참조'!$B$1:$CE$1,0))/100,0),""))),"")</f>
        <v>0</v>
      </c>
      <c r="BK271" s="39" t="n">
        <f aca="false">IFERROR(IF($C271="","",IF($D271="","",IFERROR(ROUND($D271*INDEX('🔖 배합비 참조'!$B$2:$CE$83,MATCH("우유(국내산)",'🔖 배합비 참조'!$A$2:$A$83,0),MATCH($C271,'🔖 배합비 참조'!$B$1:$CE$1,0))/100,0),""))),"")</f>
        <v>0</v>
      </c>
      <c r="BL271" s="39" t="n">
        <f aca="false">IFERROR(IF($C271="","",IF($D271="","",IFERROR(ROUND($D271*INDEX('🔖 배합비 참조'!$B$2:$CE$83,MATCH("자색고구마가루(중국산)",'🔖 배합비 참조'!$A$2:$A$83,0),MATCH($C271,'🔖 배합비 참조'!$B$1:$CE$1,0))/100,0),""))),"")</f>
        <v>0</v>
      </c>
      <c r="BM271" s="39" t="n">
        <f aca="false">IFERROR(IF($C271="","",IF($D271="","",IFERROR(ROUND($D271*INDEX('🔖 배합비 참조'!$B$2:$CE$83,MATCH("자연치즈(체다치즈)",'🔖 배합비 참조'!$A$2:$A$83,0),MATCH($C271,'🔖 배합비 참조'!$B$1:$CE$1,0))/100,0),""))),"")</f>
        <v>0</v>
      </c>
      <c r="BN271" s="39" t="n">
        <f aca="false">IFERROR(IF($C271="","",IF($D271="","",IFERROR(ROUND($D271*INDEX('🔖 배합비 참조'!$B$2:$CE$83,MATCH("정제수",'🔖 배합비 참조'!$A$2:$A$83,0),MATCH($C271,'🔖 배합비 참조'!$B$1:$CE$1,0))/100,0),""))),"")</f>
        <v>33</v>
      </c>
      <c r="BO271" s="39" t="n">
        <f aca="false">IFERROR(IF($C271="","",IF($D271="","",IFERROR(ROUND($D271*INDEX('🔖 배합비 참조'!$B$2:$CE$83,MATCH("젤라틴",'🔖 배합비 참조'!$A$2:$A$83,0),MATCH($C271,'🔖 배합비 참조'!$B$1:$CE$1,0))/100,0),""))),"")</f>
        <v>0</v>
      </c>
      <c r="BP271" s="39" t="n">
        <f aca="false">IFERROR(IF($C271="","",IF($D271="","",IFERROR(ROUND($D271*INDEX('🔖 배합비 참조'!$B$2:$CE$83,MATCH("조림류(백옥앙금)",'🔖 배합비 참조'!$A$2:$A$83,0),MATCH($C271,'🔖 배합비 참조'!$B$1:$CE$1,0))/100,0),""))),"")</f>
        <v>0</v>
      </c>
      <c r="BQ271" s="39" t="n">
        <f aca="false">IFERROR(IF($C271="","",IF($D271="","",IFERROR(ROUND($D271*INDEX('🔖 배합비 참조'!$B$2:$CE$83,MATCH("조림류(통팥앙금)",'🔖 배합비 참조'!$A$2:$A$83,0),MATCH($C271,'🔖 배합비 참조'!$B$1:$CE$1,0))/100,0),""))),"")</f>
        <v>198</v>
      </c>
      <c r="BR271" s="39" t="n">
        <f aca="false">IFERROR(IF($C271="","",IF($D271="","",IFERROR(ROUND($D271*INDEX('🔖 배합비 참조'!$B$2:$CE$83,MATCH("준초콜릿(외국산)",'🔖 배합비 참조'!$A$2:$A$83,0),MATCH($C271,'🔖 배합비 참조'!$B$1:$CE$1,0))/100,0),""))),"")</f>
        <v>0</v>
      </c>
      <c r="BS271" s="39" t="n">
        <f aca="false">IFERROR(IF($C271="","",IF($D271="","",IFERROR(ROUND($D271*INDEX('🔖 배합비 참조'!$B$2:$CE$83,MATCH("중력분",'🔖 배합비 참조'!$A$2:$A$83,0),MATCH($C271,'🔖 배합비 참조'!$B$1:$CE$1,0))/100,0),""))),"")</f>
        <v>22</v>
      </c>
      <c r="BT271" s="39" t="n">
        <f aca="false">IFERROR(IF($C271="","",IF($D271="","",IFERROR(ROUND($D271*INDEX('🔖 배합비 참조'!$B$2:$CE$83,MATCH("참깨(인도산,나이지리아산,탄자니아산,미얀마산)",'🔖 배합비 참조'!$A$2:$A$83,0),MATCH($C271,'🔖 배합비 참조'!$B$1:$CE$1,0))/100,0),""))),"")</f>
        <v>0</v>
      </c>
      <c r="BU271" s="39" t="n">
        <f aca="false">IFERROR(IF($C271="","",IF($D271="","",IFERROR(ROUND($D271*INDEX('🔖 배합비 참조'!$B$2:$CE$83,MATCH("찹쌀(국내산)",'🔖 배합비 참조'!$A$2:$A$83,0),MATCH($C271,'🔖 배합비 참조'!$B$1:$CE$1,0))/100,0),""))),"")</f>
        <v>473</v>
      </c>
      <c r="BV271" s="39" t="n">
        <f aca="false">IFERROR(IF($C271="","",IF($D271="","",IFERROR(ROUND($D271*INDEX('🔖 배합비 참조'!$B$2:$CE$83,MATCH("천일염",'🔖 배합비 참조'!$A$2:$A$83,0),MATCH($C271,'🔖 배합비 참조'!$B$1:$CE$1,0))/100,0),""))),"")</f>
        <v>22</v>
      </c>
      <c r="BW271" s="39" t="n">
        <f aca="false">IFERROR(IF($C271="","",IF($D271="","",IFERROR(ROUND($D271*INDEX('🔖 배합비 참조'!$B$2:$CE$83,MATCH("치즈 [크림치즈]",'🔖 배합비 참조'!$A$2:$A$83,0),MATCH($C271,'🔖 배합비 참조'!$B$1:$CE$1,0))/100,0),""))),"")</f>
        <v>0</v>
      </c>
      <c r="BX271" s="39" t="n">
        <f aca="false">IFERROR(IF($C271="","",IF($D271="","",IFERROR(ROUND($D271*INDEX('🔖 배합비 참조'!$B$2:$CE$83,MATCH("코코아가공품류(코코아분말)",'🔖 배합비 참조'!$A$2:$A$83,0),MATCH($C271,'🔖 배합비 참조'!$B$1:$CE$1,0))/100,0),""))),"")</f>
        <v>0</v>
      </c>
      <c r="BY271" s="39" t="n">
        <f aca="false">IFERROR(IF($C271="","",IF($D271="","",IFERROR(ROUND($D271*INDEX('🔖 배합비 참조'!$B$2:$CE$83,MATCH("콩기름(대두유)",'🔖 배합비 참조'!$A$2:$A$83,0),MATCH($C271,'🔖 배합비 참조'!$B$1:$CE$1,0))/100,0),""))),"")</f>
        <v>0</v>
      </c>
      <c r="BZ271" s="39" t="n">
        <f aca="false">IFERROR(IF($C271="","",IF($D271="","",IFERROR(ROUND($D271*INDEX('🔖 배합비 참조'!$B$2:$CE$83,MATCH("해바라기씨앗",'🔖 배합비 참조'!$A$2:$A$83,0),MATCH($C271,'🔖 배합비 참조'!$B$1:$CE$1,0))/100,0),""))),"")</f>
        <v>0</v>
      </c>
      <c r="CA271" s="39" t="n">
        <f aca="false">IFERROR(IF($C271="","",IF($D271="","",IFERROR(ROUND($D271*INDEX('🔖 배합비 참조'!$B$2:$CE$83,MATCH("현미(국내산)",'🔖 배합비 참조'!$A$2:$A$83,0),MATCH($C271,'🔖 배합비 참조'!$B$1:$CE$1,0))/100,0),""))),"")</f>
        <v>0</v>
      </c>
      <c r="CB271" s="39" t="n">
        <f aca="false">IFERROR(IF($C271="","",IF($D271="","",IFERROR(ROUND($D271*INDEX('🔖 배합비 참조'!$B$2:$CE$83,MATCH("현미멥쌀(국내산)",'🔖 배합비 참조'!$A$2:$A$83,0),MATCH($C271,'🔖 배합비 참조'!$B$1:$CE$1,0))/100,0),""))),"")</f>
        <v>0</v>
      </c>
      <c r="CC271" s="39" t="n">
        <f aca="false">IFERROR(IF($C271="","",IF($D271="","",IFERROR(ROUND($D271*INDEX('🔖 배합비 참조'!$B$2:$CE$83,MATCH("호두분태(미국산)",'🔖 배합비 참조'!$A$2:$A$83,0),MATCH($C271,'🔖 배합비 참조'!$B$1:$CE$1,0))/100,0),""))),"")</f>
        <v>0</v>
      </c>
      <c r="CD271" s="39" t="n">
        <f aca="false">IFERROR(IF($C271="","",IF($D271="","",IFERROR(ROUND($D271*INDEX('🔖 배합비 참조'!$B$2:$CE$83,MATCH("호박씨앗(외국산)",'🔖 배합비 참조'!$A$2:$A$83,0),MATCH($C271,'🔖 배합비 참조'!$B$1:$CE$1,0))/100,0),""))),"")</f>
        <v>0</v>
      </c>
      <c r="CE271" s="39" t="n">
        <f aca="false">IFERROR(IF($C271="","",IF($D271="","",IFERROR(ROUND($D271*INDEX('🔖 배합비 참조'!$B$2:$CE$83,MATCH("혼합제제(떡용에스텔)",'🔖 배합비 참조'!$A$2:$A$83,0),MATCH($C271,'🔖 배합비 참조'!$B$1:$CE$1,0))/100,0),""))),"")</f>
        <v>22</v>
      </c>
      <c r="CF271" s="39" t="n">
        <f aca="false">IFERROR(IF($C271="","",IF($D271="","",IFERROR(ROUND($D271*INDEX('🔖 배합비 참조'!$B$2:$CE$83,MATCH("혼합제제(스테비아)",'🔖 배합비 참조'!$A$2:$A$83,0),MATCH($C271,'🔖 배합비 참조'!$B$1:$CE$1,0))/100,0),""))),"")</f>
        <v>0</v>
      </c>
      <c r="CG271" s="39" t="n">
        <f aca="false">IFERROR(IF($C271="","",IF($D271="","",IFERROR(ROUND($D271*INDEX('🔖 배합비 참조'!$B$2:$CE$83,MATCH("화이트초콜릿",'🔖 배합비 참조'!$A$2:$A$83,0),MATCH($C271,'🔖 배합비 참조'!$B$1:$CE$1,0))/100,0),""))),"")</f>
        <v>0</v>
      </c>
      <c r="CH271" s="39" t="n">
        <f aca="false">IFERROR(IF($C271="","",IF($D271="","",IFERROR(ROUND($D271*INDEX('🔖 배합비 참조'!$B$2:$CE$83,MATCH("흑미찹쌀(국내산)",'🔖 배합비 참조'!$A$2:$A$83,0),MATCH($C271,'🔖 배합비 참조'!$B$1:$CE$1,0))/100,0),""))),"")</f>
        <v>0</v>
      </c>
      <c r="CI271" s="39" t="n">
        <f aca="false">IFERROR(IF($C271="","",IF($D271="","",IFERROR(ROUND($D271*INDEX('🔖 배합비 참조'!$B$2:$CE$83,MATCH("찰옥수수전분(미국산)",'🔖 배합비 참조'!$A$2:$A$83,0),MATCH($C271,'🔖 배합비 참조'!$B$1:$CE$1,0))/100,0),""))),"")</f>
        <v>99</v>
      </c>
      <c r="CJ271" s="40"/>
      <c r="CL271" s="43" t="s">
        <v>248</v>
      </c>
    </row>
    <row r="272" customFormat="false" ht="18" hidden="false" customHeight="true" outlineLevel="0" collapsed="false">
      <c r="A272" s="41" t="n">
        <v>268</v>
      </c>
      <c r="B272" s="36" t="n">
        <v>46091</v>
      </c>
      <c r="C272" s="37" t="s">
        <v>236</v>
      </c>
      <c r="D272" s="38" t="n">
        <v>220</v>
      </c>
      <c r="E272" s="17"/>
      <c r="F272" s="17"/>
      <c r="G272" s="42" t="n">
        <f aca="false">IFERROR(IF($C272="","",IF($D272="","",IFERROR(ROUND($D272*INDEX('🔖 배합비 참조'!$B$2:$CE$83,MATCH("간장",'🔖 배합비 참조'!$A$2:$A$83,0),MATCH($C272,'🔖 배합비 참조'!$B$1:$CE$1,0))/100,0),""))),"")</f>
        <v>0</v>
      </c>
      <c r="H272" s="42" t="n">
        <f aca="false">IFERROR(IF($C272="","",IF($D272="","",IFERROR(ROUND($D272*INDEX('🔖 배합비 참조'!$B$2:$CE$83,MATCH("강낭콩((울타리콩))",'🔖 배합비 참조'!$A$2:$A$83,0),MATCH($C272,'🔖 배합비 참조'!$B$1:$CE$1,0))/100,0),""))),"")</f>
        <v>0</v>
      </c>
      <c r="I272" s="42" t="n">
        <f aca="false">IFERROR(IF($C272="","",IF($D272="","",IFERROR(ROUND($D272*INDEX('🔖 배합비 참조'!$B$2:$CE$83,MATCH("건조딸기다이스(외국산)",'🔖 배합비 참조'!$A$2:$A$83,0),MATCH($C272,'🔖 배합비 참조'!$B$1:$CE$1,0))/100,0),""))),"")</f>
        <v>0</v>
      </c>
      <c r="J272" s="42" t="n">
        <f aca="false">IFERROR(IF($C272="","",IF($D272="","",IFERROR(ROUND($D272*INDEX('🔖 배합비 참조'!$B$2:$CE$83,MATCH("건포도",'🔖 배합비 참조'!$A$2:$A$83,0),MATCH($C272,'🔖 배합비 참조'!$B$1:$CE$1,0))/100,0),""))),"")</f>
        <v>0</v>
      </c>
      <c r="K272" s="42" t="n">
        <f aca="false">IFERROR(IF($C272="","",IF($D272="","",IFERROR(ROUND($D272*INDEX('🔖 배합비 참조'!$B$2:$CE$83,MATCH("건호박채(중국산)",'🔖 배합비 참조'!$A$2:$A$83,0),MATCH($C272,'🔖 배합비 참조'!$B$1:$CE$1,0))/100,0),""))),"")</f>
        <v>0</v>
      </c>
      <c r="L272" s="42" t="n">
        <f aca="false">IFERROR(IF($C272="","",IF($D272="","",IFERROR(ROUND($D272*INDEX('🔖 배합비 참조'!$B$2:$CE$83,MATCH("검정깨(흑임자)",'🔖 배합비 참조'!$A$2:$A$83,0),MATCH($C272,'🔖 배합비 참조'!$B$1:$CE$1,0))/100,0),""))),"")</f>
        <v>0</v>
      </c>
      <c r="M272" s="42" t="n">
        <f aca="false">IFERROR(IF($C272="","",IF($D272="","",IFERROR(ROUND($D272*INDEX('🔖 배합비 참조'!$B$2:$CE$83,MATCH("검정콩",'🔖 배합비 참조'!$A$2:$A$83,0),MATCH($C272,'🔖 배합비 참조'!$B$1:$CE$1,0))/100,0),""))),"")</f>
        <v>0</v>
      </c>
      <c r="N272" s="42" t="n">
        <f aca="false">IFERROR(IF($C272="","",IF($D272="","",IFERROR(ROUND($D272*INDEX('🔖 배합비 참조'!$B$2:$CE$83,MATCH("계피가루",'🔖 배합비 참조'!$A$2:$A$83,0),MATCH($C272,'🔖 배합비 참조'!$B$1:$CE$1,0))/100,0),""))),"")</f>
        <v>0</v>
      </c>
      <c r="O272" s="42" t="n">
        <f aca="false">IFERROR(IF($C272="","",IF($D272="","",IFERROR(ROUND($D272*INDEX('🔖 배합비 참조'!$B$2:$CE$83,MATCH("고구마가루",'🔖 배합비 참조'!$A$2:$A$83,0),MATCH($C272,'🔖 배합비 참조'!$B$1:$CE$1,0))/100,0),""))),"")</f>
        <v>0</v>
      </c>
      <c r="P272" s="42" t="n">
        <f aca="false">IFERROR(IF($C272="","",IF($D272="","",IFERROR(ROUND($D272*INDEX('🔖 배합비 참조'!$B$2:$CE$83,MATCH("고구마무스",'🔖 배합비 참조'!$A$2:$A$83,0),MATCH($C272,'🔖 배합비 참조'!$B$1:$CE$1,0))/100,0),""))),"")</f>
        <v>0</v>
      </c>
      <c r="Q272" s="42" t="n">
        <f aca="false">IFERROR(IF($C272="","",IF($D272="","",IFERROR(ROUND($D272*INDEX('🔖 배합비 참조'!$B$2:$CE$83,MATCH("고려엉겅퀴((곤드레)국내산)",'🔖 배합비 참조'!$A$2:$A$83,0),MATCH($C272,'🔖 배합비 참조'!$B$1:$CE$1,0))/100,0),""))),"")</f>
        <v>0</v>
      </c>
      <c r="R272" s="42" t="n">
        <f aca="false">IFERROR(IF($C272="","",IF($D272="","",IFERROR(ROUND($D272*INDEX('🔖 배합비 참조'!$B$2:$CE$83,MATCH("기타가공품(복분자가루)",'🔖 배합비 참조'!$A$2:$A$83,0),MATCH($C272,'🔖 배합비 참조'!$B$1:$CE$1,0))/100,0),""))),"")</f>
        <v>0</v>
      </c>
      <c r="S272" s="42" t="n">
        <f aca="false">IFERROR(IF($C272="","",IF($D272="","",IFERROR(ROUND($D272*INDEX('🔖 배합비 참조'!$B$2:$CE$83,MATCH("기타가공품(슈퍼소프트엠)",'🔖 배합비 참조'!$A$2:$A$83,0),MATCH($C272,'🔖 배합비 참조'!$B$1:$CE$1,0))/100,0),""))),"")</f>
        <v>0</v>
      </c>
      <c r="T272" s="42" t="n">
        <f aca="false">IFERROR(IF($C272="","",IF($D272="","",IFERROR(ROUND($D272*INDEX('🔖 배합비 참조'!$B$2:$CE$83,MATCH("기타가공품(파인소프트 E-티)",'🔖 배합비 참조'!$A$2:$A$83,0),MATCH($C272,'🔖 배합비 참조'!$B$1:$CE$1,0))/100,0),""))),"")</f>
        <v>0</v>
      </c>
      <c r="U272" s="42" t="n">
        <f aca="false">IFERROR(IF($C272="","",IF($D272="","",IFERROR(ROUND($D272*INDEX('🔖 배합비 참조'!$B$2:$CE$83,MATCH("기타가공품(프리미엄카스테라가루)",'🔖 배합비 참조'!$A$2:$A$83,0),MATCH($C272,'🔖 배합비 참조'!$B$1:$CE$1,0))/100,0),""))),"")</f>
        <v>0</v>
      </c>
      <c r="V272" s="42" t="n">
        <f aca="false">IFERROR(IF($C272="","",IF($D272="","",IFERROR(ROUND($D272*INDEX('🔖 배합비 참조'!$B$2:$CE$83,MATCH("기타가공품(흑임자가루)",'🔖 배합비 참조'!$A$2:$A$83,0),MATCH($C272,'🔖 배합비 참조'!$B$1:$CE$1,0))/100,0),""))),"")</f>
        <v>0</v>
      </c>
      <c r="W272" s="42" t="n">
        <f aca="false">IFERROR(IF($C272="","",IF($D272="","",IFERROR(ROUND($D272*INDEX('🔖 배합비 참조'!$B$2:$CE$83,MATCH("기타설탕(흑설탕)",'🔖 배합비 참조'!$A$2:$A$83,0),MATCH($C272,'🔖 배합비 참조'!$B$1:$CE$1,0))/100,0),""))),"")</f>
        <v>0</v>
      </c>
      <c r="X272" s="42" t="n">
        <f aca="false">IFERROR(IF($C272="","",IF($D272="","",IFERROR(ROUND($D272*INDEX('🔖 배합비 참조'!$B$2:$CE$83,MATCH("냉동쑥(국내산)",'🔖 배합비 참조'!$A$2:$A$83,0),MATCH($C272,'🔖 배합비 참조'!$B$1:$CE$1,0))/100,0),""))),"")</f>
        <v>4</v>
      </c>
      <c r="Y272" s="42" t="n">
        <f aca="false">IFERROR(IF($C272="","",IF($D272="","",IFERROR(ROUND($D272*INDEX('🔖 배합비 참조'!$B$2:$CE$83,MATCH("냉동증숙고구마(중국산)",'🔖 배합비 참조'!$A$2:$A$83,0),MATCH($C272,'🔖 배합비 참조'!$B$1:$CE$1,0))/100,0),""))),"")</f>
        <v>0</v>
      </c>
      <c r="Z272" s="42" t="n">
        <f aca="false">IFERROR(IF($C272="","",IF($D272="","",IFERROR(ROUND($D272*INDEX('🔖 배합비 참조'!$B$2:$CE$83,MATCH("녹차가루",'🔖 배합비 참조'!$A$2:$A$83,0),MATCH($C272,'🔖 배합비 참조'!$B$1:$CE$1,0))/100,0),""))),"")</f>
        <v>0</v>
      </c>
      <c r="AA272" s="42" t="n">
        <f aca="false">IFERROR(IF($C272="","",IF($D272="","",IFERROR(ROUND($D272*INDEX('🔖 배합비 참조'!$B$2:$CE$83,MATCH("다크초콜릿 컴파운드칩",'🔖 배합비 참조'!$A$2:$A$83,0),MATCH($C272,'🔖 배합비 참조'!$B$1:$CE$1,0))/100,0),""))),"")</f>
        <v>0</v>
      </c>
      <c r="AB272" s="42" t="n">
        <f aca="false">IFERROR(IF($C272="","",IF($D272="","",IFERROR(ROUND($D272*INDEX('🔖 배합비 참조'!$B$2:$CE$83,MATCH("단호박분말(중국산)",'🔖 배합비 참조'!$A$2:$A$83,0),MATCH($C272,'🔖 배합비 참조'!$B$1:$CE$1,0))/100,0),""))),"")</f>
        <v>0</v>
      </c>
      <c r="AC272" s="42" t="n">
        <f aca="false">IFERROR(IF($C272="","",IF($D272="","",IFERROR(ROUND($D272*INDEX('🔖 배합비 참조'!$B$2:$CE$83,MATCH("당류가공품(단호박농축액)",'🔖 배합비 참조'!$A$2:$A$83,0),MATCH($C272,'🔖 배합비 참조'!$B$1:$CE$1,0))/100,0),""))),"")</f>
        <v>0</v>
      </c>
      <c r="AD272" s="42" t="n">
        <f aca="false">IFERROR(IF($C272="","",IF($D272="","",IFERROR(ROUND($D272*INDEX('🔖 배합비 참조'!$B$2:$CE$83,MATCH("당류가공품(알룰로스,에리스리톨,스테비올배당체혼합)",'🔖 배합비 참조'!$A$2:$A$83,0),MATCH($C272,'🔖 배합비 참조'!$B$1:$CE$1,0))/100,0),""))),"")</f>
        <v>0</v>
      </c>
      <c r="AE272" s="42" t="n">
        <f aca="false">IFERROR(IF($C272="","",IF($D272="","",IFERROR(ROUND($D272*INDEX('🔖 배합비 참조'!$B$2:$CE$83,MATCH("당류가공품(알룰로스제로파우더)",'🔖 배합비 참조'!$A$2:$A$83,0),MATCH($C272,'🔖 배합비 참조'!$B$1:$CE$1,0))/100,0),""))),"")</f>
        <v>0</v>
      </c>
      <c r="AF272" s="42" t="n">
        <f aca="false">IFERROR(IF($C272="","",IF($D272="","",IFERROR(ROUND($D272*INDEX('🔖 배합비 참조'!$B$2:$CE$83,MATCH("당절임(완두배기)",'🔖 배합비 참조'!$A$2:$A$83,0),MATCH($C272,'🔖 배합비 참조'!$B$1:$CE$1,0))/100,0),""))),"")</f>
        <v>0</v>
      </c>
      <c r="AG272" s="42" t="n">
        <f aca="false">IFERROR(IF($C272="","",IF($D272="","",IFERROR(ROUND($D272*INDEX('🔖 배합비 참조'!$B$2:$CE$83,MATCH("대추농축액",'🔖 배합비 참조'!$A$2:$A$83,0),MATCH($C272,'🔖 배합비 참조'!$B$1:$CE$1,0))/100,0),""))),"")</f>
        <v>0</v>
      </c>
      <c r="AH272" s="42" t="n">
        <f aca="false">IFERROR(IF($C272="","",IF($D272="","",IFERROR(ROUND($D272*INDEX('🔖 배합비 참조'!$B$2:$CE$83,MATCH("대추채(국내산)",'🔖 배합비 참조'!$A$2:$A$83,0),MATCH($C272,'🔖 배합비 참조'!$B$1:$CE$1,0))/100,0),""))),"")</f>
        <v>0</v>
      </c>
      <c r="AI272" s="42" t="n">
        <f aca="false">IFERROR(IF($C272="","",IF($D272="","",IFERROR(ROUND($D272*INDEX('🔖 배합비 참조'!$B$2:$CE$83,MATCH("동부(미얀마산)",'🔖 배합비 참조'!$A$2:$A$83,0),MATCH($C272,'🔖 배합비 참조'!$B$1:$CE$1,0))/100,0),""))),"")</f>
        <v>27</v>
      </c>
      <c r="AJ272" s="42" t="n">
        <f aca="false">IFERROR(IF($C272="","",IF($D272="","",IFERROR(ROUND($D272*INDEX('🔖 배합비 참조'!$B$2:$CE$83,MATCH("두류가공품(백옥앙금)",'🔖 배합비 참조'!$A$2:$A$83,0),MATCH($C272,'🔖 배합비 참조'!$B$1:$CE$1,0))/100,0),""))),"")</f>
        <v>0</v>
      </c>
      <c r="AK272" s="42" t="n">
        <f aca="false">IFERROR(IF($C272="","",IF($D272="","",IFERROR(ROUND($D272*INDEX('🔖 배합비 참조'!$B$2:$CE$83,MATCH("두류가공품(콩고물)",'🔖 배합비 참조'!$A$2:$A$83,0),MATCH($C272,'🔖 배합비 참조'!$B$1:$CE$1,0))/100,0),""))),"")</f>
        <v>6</v>
      </c>
      <c r="AL272" s="42" t="n">
        <f aca="false">IFERROR(IF($C272="","",IF($D272="","",IFERROR(ROUND($D272*INDEX('🔖 배합비 참조'!$B$2:$CE$83,MATCH("두류가공품(통팥고물)",'🔖 배합비 참조'!$A$2:$A$83,0),MATCH($C272,'🔖 배합비 참조'!$B$1:$CE$1,0))/100,0),""))),"")</f>
        <v>0</v>
      </c>
      <c r="AM272" s="42" t="n">
        <f aca="false">IFERROR(IF($C272="","",IF($D272="","",IFERROR(ROUND($D272*INDEX('🔖 배합비 참조'!$B$2:$CE$83,MATCH("딸기레진",'🔖 배합비 참조'!$A$2:$A$83,0),MATCH($C272,'🔖 배합비 참조'!$B$1:$CE$1,0))/100,0),""))),"")</f>
        <v>0</v>
      </c>
      <c r="AN272" s="42" t="n">
        <f aca="false">IFERROR(IF($C272="","",IF($D272="","",IFERROR(ROUND($D272*INDEX('🔖 배합비 참조'!$B$2:$CE$83,MATCH("딸기분말(스트로우베리에이드(분말))",'🔖 배합비 참조'!$A$2:$A$83,0),MATCH($C272,'🔖 배합비 참조'!$B$1:$CE$1,0))/100,0),""))),"")</f>
        <v>0</v>
      </c>
      <c r="AO272" s="42" t="n">
        <f aca="false">IFERROR(IF($C272="","",IF($D272="","",IFERROR(ROUND($D272*INDEX('🔖 배합비 참조'!$B$2:$CE$83,MATCH("마스카포네치즈",'🔖 배합비 참조'!$A$2:$A$83,0),MATCH($C272,'🔖 배합비 참조'!$B$1:$CE$1,0))/100,0),""))),"")</f>
        <v>0</v>
      </c>
      <c r="AP272" s="42" t="n">
        <f aca="false">IFERROR(IF($C272="","",IF($D272="","",IFERROR(ROUND($D272*INDEX('🔖 배합비 참조'!$B$2:$CE$83,MATCH("마카다미아분태(호주산)",'🔖 배합비 참조'!$A$2:$A$83,0),MATCH($C272,'🔖 배합비 참조'!$B$1:$CE$1,0))/100,0),""))),"")</f>
        <v>0</v>
      </c>
      <c r="AQ272" s="42" t="n">
        <f aca="false">IFERROR(IF($C272="","",IF($D272="","",IFERROR(ROUND($D272*INDEX('🔖 배합비 참조'!$B$2:$CE$83,MATCH("멥쌀(국내산)",'🔖 배합비 참조'!$A$2:$A$83,0),MATCH($C272,'🔖 배합비 참조'!$B$1:$CE$1,0))/100,0),""))),"")</f>
        <v>0</v>
      </c>
      <c r="AR272" s="42" t="n">
        <f aca="false">IFERROR(IF($C272="","",IF($D272="","",IFERROR(ROUND($D272*INDEX('🔖 배합비 참조'!$B$2:$CE$83,MATCH("모시잎(국내산)",'🔖 배합비 참조'!$A$2:$A$83,0),MATCH($C272,'🔖 배합비 참조'!$B$1:$CE$1,0))/100,0),""))),"")</f>
        <v>0</v>
      </c>
      <c r="AS272" s="42" t="n">
        <f aca="false">IFERROR(IF($C272="","",IF($D272="","",IFERROR(ROUND($D272*INDEX('🔖 배합비 참조'!$B$2:$CE$83,MATCH("물엿(저당물엿)",'🔖 배합비 참조'!$A$2:$A$83,0),MATCH($C272,'🔖 배합비 참조'!$B$1:$CE$1,0))/100,0),""))),"")</f>
        <v>4</v>
      </c>
      <c r="AT272" s="42" t="n">
        <f aca="false">IFERROR(IF($C272="","",IF($D272="","",IFERROR(ROUND($D272*INDEX('🔖 배합비 참조'!$B$2:$CE$83,MATCH("밤다이스",'🔖 배합비 참조'!$A$2:$A$83,0),MATCH($C272,'🔖 배합비 참조'!$B$1:$CE$1,0))/100,0),""))),"")</f>
        <v>0</v>
      </c>
      <c r="AU272" s="42" t="n">
        <f aca="false">IFERROR(IF($C272="","",IF($D272="","",IFERROR(ROUND($D272*INDEX('🔖 배합비 참조'!$B$2:$CE$83,MATCH("변성전분(타피오카전분)",'🔖 배합비 참조'!$A$2:$A$83,0),MATCH($C272,'🔖 배합비 참조'!$B$1:$CE$1,0))/100,0),""))),"")</f>
        <v>0</v>
      </c>
      <c r="AV272" s="42" t="n">
        <f aca="false">IFERROR(IF($C272="","",IF($D272="","",IFERROR(ROUND($D272*INDEX('🔖 배합비 참조'!$B$2:$CE$83,MATCH("복음땅콩분태",'🔖 배합비 참조'!$A$2:$A$83,0),MATCH($C272,'🔖 배합비 참조'!$B$1:$CE$1,0))/100,0),""))),"")</f>
        <v>0</v>
      </c>
      <c r="AW272" s="42" t="n">
        <f aca="false">IFERROR(IF($C272="","",IF($D272="","",IFERROR(ROUND($D272*INDEX('🔖 배합비 참조'!$B$2:$CE$83,MATCH("사양벌꿀(국내산)",'🔖 배합비 참조'!$A$2:$A$83,0),MATCH($C272,'🔖 배합비 참조'!$B$1:$CE$1,0))/100,0),""))),"")</f>
        <v>0</v>
      </c>
      <c r="AX272" s="42" t="n">
        <f aca="false">IFERROR(IF($C272="","",IF($D272="","",IFERROR(ROUND($D272*INDEX('🔖 배합비 참조'!$B$2:$CE$83,MATCH("생크림",'🔖 배합비 참조'!$A$2:$A$83,0),MATCH($C272,'🔖 배합비 참조'!$B$1:$CE$1,0))/100,0),""))),"")</f>
        <v>0</v>
      </c>
      <c r="AY272" s="42" t="n">
        <f aca="false">IFERROR(IF($C272="","",IF($D272="","",IFERROR(ROUND($D272*INDEX('🔖 배합비 참조'!$B$2:$CE$83,MATCH("서양호박(국내산,뉴질랜드산)",'🔖 배합비 참조'!$A$2:$A$83,0),MATCH($C272,'🔖 배합비 참조'!$B$1:$CE$1,0))/100,0),""))),"")</f>
        <v>0</v>
      </c>
      <c r="AZ272" s="42" t="n">
        <f aca="false">IFERROR(IF($C272="","",IF($D272="","",IFERROR(ROUND($D272*INDEX('🔖 배합비 참조'!$B$2:$CE$83,MATCH("설탕",'🔖 배합비 참조'!$A$2:$A$83,0),MATCH($C272,'🔖 배합비 참조'!$B$1:$CE$1,0))/100,0),""))),"")</f>
        <v>4</v>
      </c>
      <c r="BA272" s="42" t="n">
        <f aca="false">IFERROR(IF($C272="","",IF($D272="","",IFERROR(ROUND($D272*INDEX('🔖 배합비 참조'!$B$2:$CE$83,MATCH("스트로우베리 에이드 후레쉬",'🔖 배합비 참조'!$A$2:$A$83,0),MATCH($C272,'🔖 배합비 참조'!$B$1:$CE$1,0))/100,0),""))),"")</f>
        <v>0</v>
      </c>
      <c r="BB272" s="42" t="n">
        <f aca="false">IFERROR(IF($C272="","",IF($D272="","",IFERROR(ROUND($D272*INDEX('🔖 배합비 참조'!$B$2:$CE$83,MATCH("식물성기름혼합제제(분홍)",'🔖 배합비 참조'!$A$2:$A$83,0),MATCH($C272,'🔖 배합비 참조'!$B$1:$CE$1,0))/100,0),""))),"")</f>
        <v>0</v>
      </c>
      <c r="BC272" s="42" t="n">
        <f aca="false">IFERROR(IF($C272="","",IF($D272="","",IFERROR(ROUND($D272*INDEX('🔖 배합비 참조'!$B$2:$CE$83,MATCH("식물성기름혼합제제(초록)",'🔖 배합비 참조'!$A$2:$A$83,0),MATCH($C272,'🔖 배합비 참조'!$B$1:$CE$1,0))/100,0),""))),"")</f>
        <v>0</v>
      </c>
      <c r="BD272" s="42" t="n">
        <f aca="false">IFERROR(IF($C272="","",IF($D272="","",IFERROR(ROUND($D272*INDEX('🔖 배합비 참조'!$B$2:$CE$83,MATCH("식물성기름혼합제제(황색)",'🔖 배합비 참조'!$A$2:$A$83,0),MATCH($C272,'🔖 배합비 참조'!$B$1:$CE$1,0))/100,0),""))),"")</f>
        <v>0</v>
      </c>
      <c r="BE272" s="42" t="n">
        <f aca="false">IFERROR(IF($C272="","",IF($D272="","",IFERROR(ROUND($D272*INDEX('🔖 배합비 참조'!$B$2:$CE$83,MATCH("쑥가루(국내산)",'🔖 배합비 참조'!$A$2:$A$83,0),MATCH($C272,'🔖 배합비 참조'!$B$1:$CE$1,0))/100,0),""))),"")</f>
        <v>2</v>
      </c>
      <c r="BF272" s="42" t="n">
        <f aca="false">IFERROR(IF($C272="","",IF($D272="","",IFERROR(ROUND($D272*INDEX('🔖 배합비 참조'!$B$2:$CE$83,MATCH("아몬드슬라이스",'🔖 배합비 참조'!$A$2:$A$83,0),MATCH($C272,'🔖 배합비 참조'!$B$1:$CE$1,0))/100,0),""))),"")</f>
        <v>0</v>
      </c>
      <c r="BG272" s="42" t="n">
        <f aca="false">IFERROR(IF($C272="","",IF($D272="","",IFERROR(ROUND($D272*INDEX('🔖 배합비 참조'!$B$2:$CE$83,MATCH("알룰로오스(국내산)",'🔖 배합비 참조'!$A$2:$A$83,0),MATCH($C272,'🔖 배합비 참조'!$B$1:$CE$1,0))/100,0),""))),"")</f>
        <v>0</v>
      </c>
      <c r="BH272" s="42" t="n">
        <f aca="false">IFERROR(IF($C272="","",IF($D272="","",IFERROR(ROUND($D272*INDEX('🔖 배합비 참조'!$B$2:$CE$83,MATCH("연유",'🔖 배합비 참조'!$A$2:$A$83,0),MATCH($C272,'🔖 배합비 참조'!$B$1:$CE$1,0))/100,0),""))),"")</f>
        <v>0</v>
      </c>
      <c r="BI272" s="42" t="n">
        <f aca="false">IFERROR(IF($C272="","",IF($D272="","",IFERROR(ROUND($D272*INDEX('🔖 배합비 참조'!$B$2:$CE$83,MATCH("옥수수전분",'🔖 배합비 참조'!$A$2:$A$83,0),MATCH($C272,'🔖 배합비 참조'!$B$1:$CE$1,0))/100,0),""))),"")</f>
        <v>0</v>
      </c>
      <c r="BJ272" s="42" t="n">
        <f aca="false">IFERROR(IF($C272="","",IF($D272="","",IFERROR(ROUND($D272*INDEX('🔖 배합비 참조'!$B$2:$CE$83,MATCH("완두배기",'🔖 배합비 참조'!$A$2:$A$83,0),MATCH($C272,'🔖 배합비 참조'!$B$1:$CE$1,0))/100,0),""))),"")</f>
        <v>0</v>
      </c>
      <c r="BK272" s="42" t="n">
        <f aca="false">IFERROR(IF($C272="","",IF($D272="","",IFERROR(ROUND($D272*INDEX('🔖 배합비 참조'!$B$2:$CE$83,MATCH("우유(국내산)",'🔖 배합비 참조'!$A$2:$A$83,0),MATCH($C272,'🔖 배합비 참조'!$B$1:$CE$1,0))/100,0),""))),"")</f>
        <v>0</v>
      </c>
      <c r="BL272" s="42" t="n">
        <f aca="false">IFERROR(IF($C272="","",IF($D272="","",IFERROR(ROUND($D272*INDEX('🔖 배합비 참조'!$B$2:$CE$83,MATCH("자색고구마가루(중국산)",'🔖 배합비 참조'!$A$2:$A$83,0),MATCH($C272,'🔖 배합비 참조'!$B$1:$CE$1,0))/100,0),""))),"")</f>
        <v>0</v>
      </c>
      <c r="BM272" s="42" t="n">
        <f aca="false">IFERROR(IF($C272="","",IF($D272="","",IFERROR(ROUND($D272*INDEX('🔖 배합비 참조'!$B$2:$CE$83,MATCH("자연치즈(체다치즈)",'🔖 배합비 참조'!$A$2:$A$83,0),MATCH($C272,'🔖 배합비 참조'!$B$1:$CE$1,0))/100,0),""))),"")</f>
        <v>0</v>
      </c>
      <c r="BN272" s="42" t="n">
        <f aca="false">IFERROR(IF($C272="","",IF($D272="","",IFERROR(ROUND($D272*INDEX('🔖 배합비 참조'!$B$2:$CE$83,MATCH("정제수",'🔖 배합비 참조'!$A$2:$A$83,0),MATCH($C272,'🔖 배합비 참조'!$B$1:$CE$1,0))/100,0),""))),"")</f>
        <v>26</v>
      </c>
      <c r="BO272" s="42" t="n">
        <f aca="false">IFERROR(IF($C272="","",IF($D272="","",IFERROR(ROUND($D272*INDEX('🔖 배합비 참조'!$B$2:$CE$83,MATCH("젤라틴",'🔖 배합비 참조'!$A$2:$A$83,0),MATCH($C272,'🔖 배합비 참조'!$B$1:$CE$1,0))/100,0),""))),"")</f>
        <v>0</v>
      </c>
      <c r="BP272" s="42" t="n">
        <f aca="false">IFERROR(IF($C272="","",IF($D272="","",IFERROR(ROUND($D272*INDEX('🔖 배합비 참조'!$B$2:$CE$83,MATCH("조림류(백옥앙금)",'🔖 배합비 참조'!$A$2:$A$83,0),MATCH($C272,'🔖 배합비 참조'!$B$1:$CE$1,0))/100,0),""))),"")</f>
        <v>55</v>
      </c>
      <c r="BQ272" s="42" t="n">
        <f aca="false">IFERROR(IF($C272="","",IF($D272="","",IFERROR(ROUND($D272*INDEX('🔖 배합비 참조'!$B$2:$CE$83,MATCH("조림류(통팥앙금)",'🔖 배합비 참조'!$A$2:$A$83,0),MATCH($C272,'🔖 배합비 참조'!$B$1:$CE$1,0))/100,0),""))),"")</f>
        <v>0</v>
      </c>
      <c r="BR272" s="42" t="n">
        <f aca="false">IFERROR(IF($C272="","",IF($D272="","",IFERROR(ROUND($D272*INDEX('🔖 배합비 참조'!$B$2:$CE$83,MATCH("준초콜릿(외국산)",'🔖 배합비 참조'!$A$2:$A$83,0),MATCH($C272,'🔖 배합비 참조'!$B$1:$CE$1,0))/100,0),""))),"")</f>
        <v>0</v>
      </c>
      <c r="BS272" s="42" t="n">
        <f aca="false">IFERROR(IF($C272="","",IF($D272="","",IFERROR(ROUND($D272*INDEX('🔖 배합비 참조'!$B$2:$CE$83,MATCH("중력분",'🔖 배합비 참조'!$A$2:$A$83,0),MATCH($C272,'🔖 배합비 참조'!$B$1:$CE$1,0))/100,0),""))),"")</f>
        <v>2</v>
      </c>
      <c r="BT272" s="42" t="n">
        <f aca="false">IFERROR(IF($C272="","",IF($D272="","",IFERROR(ROUND($D272*INDEX('🔖 배합비 참조'!$B$2:$CE$83,MATCH("참깨(인도산,나이지리아산,탄자니아산,미얀마산)",'🔖 배합비 참조'!$A$2:$A$83,0),MATCH($C272,'🔖 배합비 참조'!$B$1:$CE$1,0))/100,0),""))),"")</f>
        <v>0</v>
      </c>
      <c r="BU272" s="42" t="n">
        <f aca="false">IFERROR(IF($C272="","",IF($D272="","",IFERROR(ROUND($D272*INDEX('🔖 배합비 참조'!$B$2:$CE$83,MATCH("찹쌀(국내산)",'🔖 배합비 참조'!$A$2:$A$83,0),MATCH($C272,'🔖 배합비 참조'!$B$1:$CE$1,0))/100,0),""))),"")</f>
        <v>87</v>
      </c>
      <c r="BV272" s="42" t="n">
        <f aca="false">IFERROR(IF($C272="","",IF($D272="","",IFERROR(ROUND($D272*INDEX('🔖 배합비 참조'!$B$2:$CE$83,MATCH("천일염",'🔖 배합비 참조'!$A$2:$A$83,0),MATCH($C272,'🔖 배합비 참조'!$B$1:$CE$1,0))/100,0),""))),"")</f>
        <v>2</v>
      </c>
      <c r="BW272" s="42" t="n">
        <f aca="false">IFERROR(IF($C272="","",IF($D272="","",IFERROR(ROUND($D272*INDEX('🔖 배합비 참조'!$B$2:$CE$83,MATCH("치즈 [크림치즈]",'🔖 배합비 참조'!$A$2:$A$83,0),MATCH($C272,'🔖 배합비 참조'!$B$1:$CE$1,0))/100,0),""))),"")</f>
        <v>0</v>
      </c>
      <c r="BX272" s="42" t="n">
        <f aca="false">IFERROR(IF($C272="","",IF($D272="","",IFERROR(ROUND($D272*INDEX('🔖 배합비 참조'!$B$2:$CE$83,MATCH("코코아가공품류(코코아분말)",'🔖 배합비 참조'!$A$2:$A$83,0),MATCH($C272,'🔖 배합비 참조'!$B$1:$CE$1,0))/100,0),""))),"")</f>
        <v>0</v>
      </c>
      <c r="BY272" s="42" t="n">
        <f aca="false">IFERROR(IF($C272="","",IF($D272="","",IFERROR(ROUND($D272*INDEX('🔖 배합비 참조'!$B$2:$CE$83,MATCH("콩기름(대두유)",'🔖 배합비 참조'!$A$2:$A$83,0),MATCH($C272,'🔖 배합비 참조'!$B$1:$CE$1,0))/100,0),""))),"")</f>
        <v>0</v>
      </c>
      <c r="BZ272" s="42" t="n">
        <f aca="false">IFERROR(IF($C272="","",IF($D272="","",IFERROR(ROUND($D272*INDEX('🔖 배합비 참조'!$B$2:$CE$83,MATCH("해바라기씨앗",'🔖 배합비 참조'!$A$2:$A$83,0),MATCH($C272,'🔖 배합비 참조'!$B$1:$CE$1,0))/100,0),""))),"")</f>
        <v>0</v>
      </c>
      <c r="CA272" s="42" t="n">
        <f aca="false">IFERROR(IF($C272="","",IF($D272="","",IFERROR(ROUND($D272*INDEX('🔖 배합비 참조'!$B$2:$CE$83,MATCH("현미(국내산)",'🔖 배합비 참조'!$A$2:$A$83,0),MATCH($C272,'🔖 배합비 참조'!$B$1:$CE$1,0))/100,0),""))),"")</f>
        <v>0</v>
      </c>
      <c r="CB272" s="42" t="n">
        <f aca="false">IFERROR(IF($C272="","",IF($D272="","",IFERROR(ROUND($D272*INDEX('🔖 배합비 참조'!$B$2:$CE$83,MATCH("현미멥쌀(국내산)",'🔖 배합비 참조'!$A$2:$A$83,0),MATCH($C272,'🔖 배합비 참조'!$B$1:$CE$1,0))/100,0),""))),"")</f>
        <v>0</v>
      </c>
      <c r="CC272" s="42" t="n">
        <f aca="false">IFERROR(IF($C272="","",IF($D272="","",IFERROR(ROUND($D272*INDEX('🔖 배합비 참조'!$B$2:$CE$83,MATCH("호두분태(미국산)",'🔖 배합비 참조'!$A$2:$A$83,0),MATCH($C272,'🔖 배합비 참조'!$B$1:$CE$1,0))/100,0),""))),"")</f>
        <v>0</v>
      </c>
      <c r="CD272" s="42" t="n">
        <f aca="false">IFERROR(IF($C272="","",IF($D272="","",IFERROR(ROUND($D272*INDEX('🔖 배합비 참조'!$B$2:$CE$83,MATCH("호박씨앗(외국산)",'🔖 배합비 참조'!$A$2:$A$83,0),MATCH($C272,'🔖 배합비 참조'!$B$1:$CE$1,0))/100,0),""))),"")</f>
        <v>0</v>
      </c>
      <c r="CE272" s="42" t="n">
        <f aca="false">IFERROR(IF($C272="","",IF($D272="","",IFERROR(ROUND($D272*INDEX('🔖 배합비 참조'!$B$2:$CE$83,MATCH("혼합제제(떡용에스텔)",'🔖 배합비 참조'!$A$2:$A$83,0),MATCH($C272,'🔖 배합비 참조'!$B$1:$CE$1,0))/100,0),""))),"")</f>
        <v>1</v>
      </c>
      <c r="CF272" s="42" t="n">
        <f aca="false">IFERROR(IF($C272="","",IF($D272="","",IFERROR(ROUND($D272*INDEX('🔖 배합비 참조'!$B$2:$CE$83,MATCH("혼합제제(스테비아)",'🔖 배합비 참조'!$A$2:$A$83,0),MATCH($C272,'🔖 배합비 참조'!$B$1:$CE$1,0))/100,0),""))),"")</f>
        <v>0</v>
      </c>
      <c r="CG272" s="42" t="n">
        <f aca="false">IFERROR(IF($C272="","",IF($D272="","",IFERROR(ROUND($D272*INDEX('🔖 배합비 참조'!$B$2:$CE$83,MATCH("화이트초콜릿",'🔖 배합비 참조'!$A$2:$A$83,0),MATCH($C272,'🔖 배합비 참조'!$B$1:$CE$1,0))/100,0),""))),"")</f>
        <v>0</v>
      </c>
      <c r="CH272" s="42" t="n">
        <f aca="false">IFERROR(IF($C272="","",IF($D272="","",IFERROR(ROUND($D272*INDEX('🔖 배합비 참조'!$B$2:$CE$83,MATCH("흑미찹쌀(국내산)",'🔖 배합비 참조'!$A$2:$A$83,0),MATCH($C272,'🔖 배합비 참조'!$B$1:$CE$1,0))/100,0),""))),"")</f>
        <v>0</v>
      </c>
      <c r="CI272" s="42" t="n">
        <f aca="false">IFERROR(IF($C272="","",IF($D272="","",IFERROR(ROUND($D272*INDEX('🔖 배합비 참조'!$B$2:$CE$83,MATCH("찰옥수수전분(미국산)",'🔖 배합비 참조'!$A$2:$A$83,0),MATCH($C272,'🔖 배합비 참조'!$B$1:$CE$1,0))/100,0),""))),"")</f>
        <v>0</v>
      </c>
      <c r="CJ272" s="40"/>
      <c r="CL272" s="43" t="s">
        <v>248</v>
      </c>
    </row>
    <row r="273" customFormat="false" ht="18" hidden="false" customHeight="true" outlineLevel="0" collapsed="false">
      <c r="A273" s="35" t="n">
        <v>269</v>
      </c>
      <c r="B273" s="36" t="n">
        <v>46092</v>
      </c>
      <c r="C273" s="37" t="s">
        <v>191</v>
      </c>
      <c r="D273" s="38" t="n">
        <v>440</v>
      </c>
      <c r="E273" s="13"/>
      <c r="F273" s="13"/>
      <c r="G273" s="39" t="n">
        <f aca="false">IFERROR(IF($C273="","",IF($D273="","",IFERROR(ROUND($D273*INDEX('🔖 배합비 참조'!$B$2:$CE$83,MATCH("간장",'🔖 배합비 참조'!$A$2:$A$83,0),MATCH($C273,'🔖 배합비 참조'!$B$1:$CE$1,0))/100,0),""))),"")</f>
        <v>0</v>
      </c>
      <c r="H273" s="39" t="n">
        <f aca="false">IFERROR(IF($C273="","",IF($D273="","",IFERROR(ROUND($D273*INDEX('🔖 배합비 참조'!$B$2:$CE$83,MATCH("강낭콩((울타리콩))",'🔖 배합비 참조'!$A$2:$A$83,0),MATCH($C273,'🔖 배합비 참조'!$B$1:$CE$1,0))/100,0),""))),"")</f>
        <v>0</v>
      </c>
      <c r="I273" s="39" t="n">
        <f aca="false">IFERROR(IF($C273="","",IF($D273="","",IFERROR(ROUND($D273*INDEX('🔖 배합비 참조'!$B$2:$CE$83,MATCH("건조딸기다이스(외국산)",'🔖 배합비 참조'!$A$2:$A$83,0),MATCH($C273,'🔖 배합비 참조'!$B$1:$CE$1,0))/100,0),""))),"")</f>
        <v>0</v>
      </c>
      <c r="J273" s="39" t="n">
        <f aca="false">IFERROR(IF($C273="","",IF($D273="","",IFERROR(ROUND($D273*INDEX('🔖 배합비 참조'!$B$2:$CE$83,MATCH("건포도",'🔖 배합비 참조'!$A$2:$A$83,0),MATCH($C273,'🔖 배합비 참조'!$B$1:$CE$1,0))/100,0),""))),"")</f>
        <v>0</v>
      </c>
      <c r="K273" s="39" t="n">
        <f aca="false">IFERROR(IF($C273="","",IF($D273="","",IFERROR(ROUND($D273*INDEX('🔖 배합비 참조'!$B$2:$CE$83,MATCH("건호박채(중국산)",'🔖 배합비 참조'!$A$2:$A$83,0),MATCH($C273,'🔖 배합비 참조'!$B$1:$CE$1,0))/100,0),""))),"")</f>
        <v>0</v>
      </c>
      <c r="L273" s="39" t="n">
        <f aca="false">IFERROR(IF($C273="","",IF($D273="","",IFERROR(ROUND($D273*INDEX('🔖 배합비 참조'!$B$2:$CE$83,MATCH("검정깨(흑임자)",'🔖 배합비 참조'!$A$2:$A$83,0),MATCH($C273,'🔖 배합비 참조'!$B$1:$CE$1,0))/100,0),""))),"")</f>
        <v>0</v>
      </c>
      <c r="M273" s="39" t="n">
        <f aca="false">IFERROR(IF($C273="","",IF($D273="","",IFERROR(ROUND($D273*INDEX('🔖 배합비 참조'!$B$2:$CE$83,MATCH("검정콩",'🔖 배합비 참조'!$A$2:$A$83,0),MATCH($C273,'🔖 배합비 참조'!$B$1:$CE$1,0))/100,0),""))),"")</f>
        <v>0</v>
      </c>
      <c r="N273" s="39" t="n">
        <f aca="false">IFERROR(IF($C273="","",IF($D273="","",IFERROR(ROUND($D273*INDEX('🔖 배합비 참조'!$B$2:$CE$83,MATCH("계피가루",'🔖 배합비 참조'!$A$2:$A$83,0),MATCH($C273,'🔖 배합비 참조'!$B$1:$CE$1,0))/100,0),""))),"")</f>
        <v>0</v>
      </c>
      <c r="O273" s="39" t="n">
        <f aca="false">IFERROR(IF($C273="","",IF($D273="","",IFERROR(ROUND($D273*INDEX('🔖 배합비 참조'!$B$2:$CE$83,MATCH("고구마가루",'🔖 배합비 참조'!$A$2:$A$83,0),MATCH($C273,'🔖 배합비 참조'!$B$1:$CE$1,0))/100,0),""))),"")</f>
        <v>0</v>
      </c>
      <c r="P273" s="39" t="n">
        <f aca="false">IFERROR(IF($C273="","",IF($D273="","",IFERROR(ROUND($D273*INDEX('🔖 배합비 참조'!$B$2:$CE$83,MATCH("고구마무스",'🔖 배합비 참조'!$A$2:$A$83,0),MATCH($C273,'🔖 배합비 참조'!$B$1:$CE$1,0))/100,0),""))),"")</f>
        <v>0</v>
      </c>
      <c r="Q273" s="39" t="n">
        <f aca="false">IFERROR(IF($C273="","",IF($D273="","",IFERROR(ROUND($D273*INDEX('🔖 배합비 참조'!$B$2:$CE$83,MATCH("고려엉겅퀴((곤드레)국내산)",'🔖 배합비 참조'!$A$2:$A$83,0),MATCH($C273,'🔖 배합비 참조'!$B$1:$CE$1,0))/100,0),""))),"")</f>
        <v>0</v>
      </c>
      <c r="R273" s="39" t="n">
        <f aca="false">IFERROR(IF($C273="","",IF($D273="","",IFERROR(ROUND($D273*INDEX('🔖 배합비 참조'!$B$2:$CE$83,MATCH("기타가공품(복분자가루)",'🔖 배합비 참조'!$A$2:$A$83,0),MATCH($C273,'🔖 배합비 참조'!$B$1:$CE$1,0))/100,0),""))),"")</f>
        <v>0</v>
      </c>
      <c r="S273" s="39" t="n">
        <f aca="false">IFERROR(IF($C273="","",IF($D273="","",IFERROR(ROUND($D273*INDEX('🔖 배합비 참조'!$B$2:$CE$83,MATCH("기타가공품(슈퍼소프트엠)",'🔖 배합비 참조'!$A$2:$A$83,0),MATCH($C273,'🔖 배합비 참조'!$B$1:$CE$1,0))/100,0),""))),"")</f>
        <v>0</v>
      </c>
      <c r="T273" s="39" t="n">
        <f aca="false">IFERROR(IF($C273="","",IF($D273="","",IFERROR(ROUND($D273*INDEX('🔖 배합비 참조'!$B$2:$CE$83,MATCH("기타가공품(파인소프트 E-티)",'🔖 배합비 참조'!$A$2:$A$83,0),MATCH($C273,'🔖 배합비 참조'!$B$1:$CE$1,0))/100,0),""))),"")</f>
        <v>0</v>
      </c>
      <c r="U273" s="39" t="n">
        <f aca="false">IFERROR(IF($C273="","",IF($D273="","",IFERROR(ROUND($D273*INDEX('🔖 배합비 참조'!$B$2:$CE$83,MATCH("기타가공품(프리미엄카스테라가루)",'🔖 배합비 참조'!$A$2:$A$83,0),MATCH($C273,'🔖 배합비 참조'!$B$1:$CE$1,0))/100,0),""))),"")</f>
        <v>0</v>
      </c>
      <c r="V273" s="39" t="n">
        <f aca="false">IFERROR(IF($C273="","",IF($D273="","",IFERROR(ROUND($D273*INDEX('🔖 배합비 참조'!$B$2:$CE$83,MATCH("기타가공품(흑임자가루)",'🔖 배합비 참조'!$A$2:$A$83,0),MATCH($C273,'🔖 배합비 참조'!$B$1:$CE$1,0))/100,0),""))),"")</f>
        <v>0</v>
      </c>
      <c r="W273" s="39" t="n">
        <f aca="false">IFERROR(IF($C273="","",IF($D273="","",IFERROR(ROUND($D273*INDEX('🔖 배합비 참조'!$B$2:$CE$83,MATCH("기타설탕(흑설탕)",'🔖 배합비 참조'!$A$2:$A$83,0),MATCH($C273,'🔖 배합비 참조'!$B$1:$CE$1,0))/100,0),""))),"")</f>
        <v>0</v>
      </c>
      <c r="X273" s="39" t="n">
        <f aca="false">IFERROR(IF($C273="","",IF($D273="","",IFERROR(ROUND($D273*INDEX('🔖 배합비 참조'!$B$2:$CE$83,MATCH("냉동쑥(국내산)",'🔖 배합비 참조'!$A$2:$A$83,0),MATCH($C273,'🔖 배합비 참조'!$B$1:$CE$1,0))/100,0),""))),"")</f>
        <v>0</v>
      </c>
      <c r="Y273" s="39" t="n">
        <f aca="false">IFERROR(IF($C273="","",IF($D273="","",IFERROR(ROUND($D273*INDEX('🔖 배합비 참조'!$B$2:$CE$83,MATCH("냉동증숙고구마(중국산)",'🔖 배합비 참조'!$A$2:$A$83,0),MATCH($C273,'🔖 배합비 참조'!$B$1:$CE$1,0))/100,0),""))),"")</f>
        <v>0</v>
      </c>
      <c r="Z273" s="39" t="n">
        <f aca="false">IFERROR(IF($C273="","",IF($D273="","",IFERROR(ROUND($D273*INDEX('🔖 배합비 참조'!$B$2:$CE$83,MATCH("녹차가루",'🔖 배합비 참조'!$A$2:$A$83,0),MATCH($C273,'🔖 배합비 참조'!$B$1:$CE$1,0))/100,0),""))),"")</f>
        <v>0</v>
      </c>
      <c r="AA273" s="39" t="n">
        <f aca="false">IFERROR(IF($C273="","",IF($D273="","",IFERROR(ROUND($D273*INDEX('🔖 배합비 참조'!$B$2:$CE$83,MATCH("다크초콜릿 컴파운드칩",'🔖 배합비 참조'!$A$2:$A$83,0),MATCH($C273,'🔖 배합비 참조'!$B$1:$CE$1,0))/100,0),""))),"")</f>
        <v>0</v>
      </c>
      <c r="AB273" s="39" t="n">
        <f aca="false">IFERROR(IF($C273="","",IF($D273="","",IFERROR(ROUND($D273*INDEX('🔖 배합비 참조'!$B$2:$CE$83,MATCH("단호박분말(중국산)",'🔖 배합비 참조'!$A$2:$A$83,0),MATCH($C273,'🔖 배합비 참조'!$B$1:$CE$1,0))/100,0),""))),"")</f>
        <v>0</v>
      </c>
      <c r="AC273" s="39" t="n">
        <f aca="false">IFERROR(IF($C273="","",IF($D273="","",IFERROR(ROUND($D273*INDEX('🔖 배합비 참조'!$B$2:$CE$83,MATCH("당류가공품(단호박농축액)",'🔖 배합비 참조'!$A$2:$A$83,0),MATCH($C273,'🔖 배합비 참조'!$B$1:$CE$1,0))/100,0),""))),"")</f>
        <v>0</v>
      </c>
      <c r="AD273" s="39" t="n">
        <f aca="false">IFERROR(IF($C273="","",IF($D273="","",IFERROR(ROUND($D273*INDEX('🔖 배합비 참조'!$B$2:$CE$83,MATCH("당류가공품(알룰로스,에리스리톨,스테비올배당체혼합)",'🔖 배합비 참조'!$A$2:$A$83,0),MATCH($C273,'🔖 배합비 참조'!$B$1:$CE$1,0))/100,0),""))),"")</f>
        <v>0</v>
      </c>
      <c r="AE273" s="39" t="n">
        <f aca="false">IFERROR(IF($C273="","",IF($D273="","",IFERROR(ROUND($D273*INDEX('🔖 배합비 참조'!$B$2:$CE$83,MATCH("당류가공품(알룰로스제로파우더)",'🔖 배합비 참조'!$A$2:$A$83,0),MATCH($C273,'🔖 배합비 참조'!$B$1:$CE$1,0))/100,0),""))),"")</f>
        <v>0</v>
      </c>
      <c r="AF273" s="39" t="n">
        <f aca="false">IFERROR(IF($C273="","",IF($D273="","",IFERROR(ROUND($D273*INDEX('🔖 배합비 참조'!$B$2:$CE$83,MATCH("당절임(완두배기)",'🔖 배합비 참조'!$A$2:$A$83,0),MATCH($C273,'🔖 배합비 참조'!$B$1:$CE$1,0))/100,0),""))),"")</f>
        <v>0</v>
      </c>
      <c r="AG273" s="39" t="n">
        <f aca="false">IFERROR(IF($C273="","",IF($D273="","",IFERROR(ROUND($D273*INDEX('🔖 배합비 참조'!$B$2:$CE$83,MATCH("대추농축액",'🔖 배합비 참조'!$A$2:$A$83,0),MATCH($C273,'🔖 배합비 참조'!$B$1:$CE$1,0))/100,0),""))),"")</f>
        <v>0</v>
      </c>
      <c r="AH273" s="39" t="n">
        <f aca="false">IFERROR(IF($C273="","",IF($D273="","",IFERROR(ROUND($D273*INDEX('🔖 배합비 참조'!$B$2:$CE$83,MATCH("대추채(국내산)",'🔖 배합비 참조'!$A$2:$A$83,0),MATCH($C273,'🔖 배합비 참조'!$B$1:$CE$1,0))/100,0),""))),"")</f>
        <v>0</v>
      </c>
      <c r="AI273" s="39" t="n">
        <f aca="false">IFERROR(IF($C273="","",IF($D273="","",IFERROR(ROUND($D273*INDEX('🔖 배합비 참조'!$B$2:$CE$83,MATCH("동부(미얀마산)",'🔖 배합비 참조'!$A$2:$A$83,0),MATCH($C273,'🔖 배합비 참조'!$B$1:$CE$1,0))/100,0),""))),"")</f>
        <v>0</v>
      </c>
      <c r="AJ273" s="39" t="n">
        <f aca="false">IFERROR(IF($C273="","",IF($D273="","",IFERROR(ROUND($D273*INDEX('🔖 배합비 참조'!$B$2:$CE$83,MATCH("두류가공품(백옥앙금)",'🔖 배합비 참조'!$A$2:$A$83,0),MATCH($C273,'🔖 배합비 참조'!$B$1:$CE$1,0))/100,0),""))),"")</f>
        <v>0</v>
      </c>
      <c r="AK273" s="39" t="n">
        <f aca="false">IFERROR(IF($C273="","",IF($D273="","",IFERROR(ROUND($D273*INDEX('🔖 배합비 참조'!$B$2:$CE$83,MATCH("두류가공품(콩고물)",'🔖 배합비 참조'!$A$2:$A$83,0),MATCH($C273,'🔖 배합비 참조'!$B$1:$CE$1,0))/100,0),""))),"")</f>
        <v>0</v>
      </c>
      <c r="AL273" s="39" t="n">
        <f aca="false">IFERROR(IF($C273="","",IF($D273="","",IFERROR(ROUND($D273*INDEX('🔖 배합비 참조'!$B$2:$CE$83,MATCH("두류가공품(통팥고물)",'🔖 배합비 참조'!$A$2:$A$83,0),MATCH($C273,'🔖 배합비 참조'!$B$1:$CE$1,0))/100,0),""))),"")</f>
        <v>0</v>
      </c>
      <c r="AM273" s="39" t="n">
        <f aca="false">IFERROR(IF($C273="","",IF($D273="","",IFERROR(ROUND($D273*INDEX('🔖 배합비 참조'!$B$2:$CE$83,MATCH("딸기레진",'🔖 배합비 참조'!$A$2:$A$83,0),MATCH($C273,'🔖 배합비 참조'!$B$1:$CE$1,0))/100,0),""))),"")</f>
        <v>0</v>
      </c>
      <c r="AN273" s="39" t="n">
        <f aca="false">IFERROR(IF($C273="","",IF($D273="","",IFERROR(ROUND($D273*INDEX('🔖 배합비 참조'!$B$2:$CE$83,MATCH("딸기분말(스트로우베리에이드(분말))",'🔖 배합비 참조'!$A$2:$A$83,0),MATCH($C273,'🔖 배합비 참조'!$B$1:$CE$1,0))/100,0),""))),"")</f>
        <v>0</v>
      </c>
      <c r="AO273" s="39" t="n">
        <f aca="false">IFERROR(IF($C273="","",IF($D273="","",IFERROR(ROUND($D273*INDEX('🔖 배합비 참조'!$B$2:$CE$83,MATCH("마스카포네치즈",'🔖 배합비 참조'!$A$2:$A$83,0),MATCH($C273,'🔖 배합비 참조'!$B$1:$CE$1,0))/100,0),""))),"")</f>
        <v>0</v>
      </c>
      <c r="AP273" s="39" t="n">
        <f aca="false">IFERROR(IF($C273="","",IF($D273="","",IFERROR(ROUND($D273*INDEX('🔖 배합비 참조'!$B$2:$CE$83,MATCH("마카다미아분태(호주산)",'🔖 배합비 참조'!$A$2:$A$83,0),MATCH($C273,'🔖 배합비 참조'!$B$1:$CE$1,0))/100,0),""))),"")</f>
        <v>0</v>
      </c>
      <c r="AQ273" s="39" t="n">
        <f aca="false">IFERROR(IF($C273="","",IF($D273="","",IFERROR(ROUND($D273*INDEX('🔖 배합비 참조'!$B$2:$CE$83,MATCH("멥쌀(국내산)",'🔖 배합비 참조'!$A$2:$A$83,0),MATCH($C273,'🔖 배합비 참조'!$B$1:$CE$1,0))/100,0),""))),"")</f>
        <v>9</v>
      </c>
      <c r="AR273" s="39" t="n">
        <f aca="false">IFERROR(IF($C273="","",IF($D273="","",IFERROR(ROUND($D273*INDEX('🔖 배합비 참조'!$B$2:$CE$83,MATCH("모시잎(국내산)",'🔖 배합비 참조'!$A$2:$A$83,0),MATCH($C273,'🔖 배합비 참조'!$B$1:$CE$1,0))/100,0),""))),"")</f>
        <v>0</v>
      </c>
      <c r="AS273" s="39" t="n">
        <f aca="false">IFERROR(IF($C273="","",IF($D273="","",IFERROR(ROUND($D273*INDEX('🔖 배합비 참조'!$B$2:$CE$83,MATCH("물엿(저당물엿)",'🔖 배합비 참조'!$A$2:$A$83,0),MATCH($C273,'🔖 배합비 참조'!$B$1:$CE$1,0))/100,0),""))),"")</f>
        <v>0</v>
      </c>
      <c r="AT273" s="39" t="n">
        <f aca="false">IFERROR(IF($C273="","",IF($D273="","",IFERROR(ROUND($D273*INDEX('🔖 배합비 참조'!$B$2:$CE$83,MATCH("밤다이스",'🔖 배합비 참조'!$A$2:$A$83,0),MATCH($C273,'🔖 배합비 참조'!$B$1:$CE$1,0))/100,0),""))),"")</f>
        <v>0</v>
      </c>
      <c r="AU273" s="39" t="n">
        <f aca="false">IFERROR(IF($C273="","",IF($D273="","",IFERROR(ROUND($D273*INDEX('🔖 배합비 참조'!$B$2:$CE$83,MATCH("변성전분(타피오카전분)",'🔖 배합비 참조'!$A$2:$A$83,0),MATCH($C273,'🔖 배합비 참조'!$B$1:$CE$1,0))/100,0),""))),"")</f>
        <v>0</v>
      </c>
      <c r="AV273" s="39" t="n">
        <f aca="false">IFERROR(IF($C273="","",IF($D273="","",IFERROR(ROUND($D273*INDEX('🔖 배합비 참조'!$B$2:$CE$83,MATCH("복음땅콩분태",'🔖 배합비 참조'!$A$2:$A$83,0),MATCH($C273,'🔖 배합비 참조'!$B$1:$CE$1,0))/100,0),""))),"")</f>
        <v>0</v>
      </c>
      <c r="AW273" s="39" t="n">
        <f aca="false">IFERROR(IF($C273="","",IF($D273="","",IFERROR(ROUND($D273*INDEX('🔖 배합비 참조'!$B$2:$CE$83,MATCH("사양벌꿀(국내산)",'🔖 배합비 참조'!$A$2:$A$83,0),MATCH($C273,'🔖 배합비 참조'!$B$1:$CE$1,0))/100,0),""))),"")</f>
        <v>0</v>
      </c>
      <c r="AX273" s="39" t="n">
        <f aca="false">IFERROR(IF($C273="","",IF($D273="","",IFERROR(ROUND($D273*INDEX('🔖 배합비 참조'!$B$2:$CE$83,MATCH("생크림",'🔖 배합비 참조'!$A$2:$A$83,0),MATCH($C273,'🔖 배합비 참조'!$B$1:$CE$1,0))/100,0),""))),"")</f>
        <v>0</v>
      </c>
      <c r="AY273" s="39" t="n">
        <f aca="false">IFERROR(IF($C273="","",IF($D273="","",IFERROR(ROUND($D273*INDEX('🔖 배합비 참조'!$B$2:$CE$83,MATCH("서양호박(국내산,뉴질랜드산)",'🔖 배합비 참조'!$A$2:$A$83,0),MATCH($C273,'🔖 배합비 참조'!$B$1:$CE$1,0))/100,0),""))),"")</f>
        <v>0</v>
      </c>
      <c r="AZ273" s="39" t="n">
        <f aca="false">IFERROR(IF($C273="","",IF($D273="","",IFERROR(ROUND($D273*INDEX('🔖 배합비 참조'!$B$2:$CE$83,MATCH("설탕",'🔖 배합비 참조'!$A$2:$A$83,0),MATCH($C273,'🔖 배합비 참조'!$B$1:$CE$1,0))/100,0),""))),"")</f>
        <v>84</v>
      </c>
      <c r="BA273" s="39" t="n">
        <f aca="false">IFERROR(IF($C273="","",IF($D273="","",IFERROR(ROUND($D273*INDEX('🔖 배합비 참조'!$B$2:$CE$83,MATCH("스트로우베리 에이드 후레쉬",'🔖 배합비 참조'!$A$2:$A$83,0),MATCH($C273,'🔖 배합비 참조'!$B$1:$CE$1,0))/100,0),""))),"")</f>
        <v>0</v>
      </c>
      <c r="BB273" s="39" t="n">
        <f aca="false">IFERROR(IF($C273="","",IF($D273="","",IFERROR(ROUND($D273*INDEX('🔖 배합비 참조'!$B$2:$CE$83,MATCH("식물성기름혼합제제(분홍)",'🔖 배합비 참조'!$A$2:$A$83,0),MATCH($C273,'🔖 배합비 참조'!$B$1:$CE$1,0))/100,0),""))),"")</f>
        <v>0</v>
      </c>
      <c r="BC273" s="39" t="n">
        <f aca="false">IFERROR(IF($C273="","",IF($D273="","",IFERROR(ROUND($D273*INDEX('🔖 배합비 참조'!$B$2:$CE$83,MATCH("식물성기름혼합제제(초록)",'🔖 배합비 참조'!$A$2:$A$83,0),MATCH($C273,'🔖 배합비 참조'!$B$1:$CE$1,0))/100,0),""))),"")</f>
        <v>0</v>
      </c>
      <c r="BD273" s="39" t="n">
        <f aca="false">IFERROR(IF($C273="","",IF($D273="","",IFERROR(ROUND($D273*INDEX('🔖 배합비 참조'!$B$2:$CE$83,MATCH("식물성기름혼합제제(황색)",'🔖 배합비 참조'!$A$2:$A$83,0),MATCH($C273,'🔖 배합비 참조'!$B$1:$CE$1,0))/100,0),""))),"")</f>
        <v>0</v>
      </c>
      <c r="BE273" s="39" t="n">
        <f aca="false">IFERROR(IF($C273="","",IF($D273="","",IFERROR(ROUND($D273*INDEX('🔖 배합비 참조'!$B$2:$CE$83,MATCH("쑥가루(국내산)",'🔖 배합비 참조'!$A$2:$A$83,0),MATCH($C273,'🔖 배합비 참조'!$B$1:$CE$1,0))/100,0),""))),"")</f>
        <v>0</v>
      </c>
      <c r="BF273" s="39" t="n">
        <f aca="false">IFERROR(IF($C273="","",IF($D273="","",IFERROR(ROUND($D273*INDEX('🔖 배합비 참조'!$B$2:$CE$83,MATCH("아몬드슬라이스",'🔖 배합비 참조'!$A$2:$A$83,0),MATCH($C273,'🔖 배합비 참조'!$B$1:$CE$1,0))/100,0),""))),"")</f>
        <v>0</v>
      </c>
      <c r="BG273" s="39" t="n">
        <f aca="false">IFERROR(IF($C273="","",IF($D273="","",IFERROR(ROUND($D273*INDEX('🔖 배합비 참조'!$B$2:$CE$83,MATCH("알룰로오스(국내산)",'🔖 배합비 참조'!$A$2:$A$83,0),MATCH($C273,'🔖 배합비 참조'!$B$1:$CE$1,0))/100,0),""))),"")</f>
        <v>0</v>
      </c>
      <c r="BH273" s="39" t="n">
        <f aca="false">IFERROR(IF($C273="","",IF($D273="","",IFERROR(ROUND($D273*INDEX('🔖 배합비 참조'!$B$2:$CE$83,MATCH("연유",'🔖 배합비 참조'!$A$2:$A$83,0),MATCH($C273,'🔖 배합비 참조'!$B$1:$CE$1,0))/100,0),""))),"")</f>
        <v>0</v>
      </c>
      <c r="BI273" s="39" t="n">
        <f aca="false">IFERROR(IF($C273="","",IF($D273="","",IFERROR(ROUND($D273*INDEX('🔖 배합비 참조'!$B$2:$CE$83,MATCH("옥수수전분",'🔖 배합비 참조'!$A$2:$A$83,0),MATCH($C273,'🔖 배합비 참조'!$B$1:$CE$1,0))/100,0),""))),"")</f>
        <v>0</v>
      </c>
      <c r="BJ273" s="39" t="n">
        <f aca="false">IFERROR(IF($C273="","",IF($D273="","",IFERROR(ROUND($D273*INDEX('🔖 배합비 참조'!$B$2:$CE$83,MATCH("완두배기",'🔖 배합비 참조'!$A$2:$A$83,0),MATCH($C273,'🔖 배합비 참조'!$B$1:$CE$1,0))/100,0),""))),"")</f>
        <v>0</v>
      </c>
      <c r="BK273" s="39" t="n">
        <f aca="false">IFERROR(IF($C273="","",IF($D273="","",IFERROR(ROUND($D273*INDEX('🔖 배합비 참조'!$B$2:$CE$83,MATCH("우유(국내산)",'🔖 배합비 참조'!$A$2:$A$83,0),MATCH($C273,'🔖 배합비 참조'!$B$1:$CE$1,0))/100,0),""))),"")</f>
        <v>0</v>
      </c>
      <c r="BL273" s="39" t="n">
        <f aca="false">IFERROR(IF($C273="","",IF($D273="","",IFERROR(ROUND($D273*INDEX('🔖 배합비 참조'!$B$2:$CE$83,MATCH("자색고구마가루(중국산)",'🔖 배합비 참조'!$A$2:$A$83,0),MATCH($C273,'🔖 배합비 참조'!$B$1:$CE$1,0))/100,0),""))),"")</f>
        <v>0</v>
      </c>
      <c r="BM273" s="39" t="n">
        <f aca="false">IFERROR(IF($C273="","",IF($D273="","",IFERROR(ROUND($D273*INDEX('🔖 배합비 참조'!$B$2:$CE$83,MATCH("자연치즈(체다치즈)",'🔖 배합비 참조'!$A$2:$A$83,0),MATCH($C273,'🔖 배합비 참조'!$B$1:$CE$1,0))/100,0),""))),"")</f>
        <v>0</v>
      </c>
      <c r="BN273" s="39" t="n">
        <f aca="false">IFERROR(IF($C273="","",IF($D273="","",IFERROR(ROUND($D273*INDEX('🔖 배합비 참조'!$B$2:$CE$83,MATCH("정제수",'🔖 배합비 참조'!$A$2:$A$83,0),MATCH($C273,'🔖 배합비 참조'!$B$1:$CE$1,0))/100,0),""))),"")</f>
        <v>13</v>
      </c>
      <c r="BO273" s="39" t="n">
        <f aca="false">IFERROR(IF($C273="","",IF($D273="","",IFERROR(ROUND($D273*INDEX('🔖 배합비 참조'!$B$2:$CE$83,MATCH("젤라틴",'🔖 배합비 참조'!$A$2:$A$83,0),MATCH($C273,'🔖 배합비 참조'!$B$1:$CE$1,0))/100,0),""))),"")</f>
        <v>0</v>
      </c>
      <c r="BP273" s="39" t="n">
        <f aca="false">IFERROR(IF($C273="","",IF($D273="","",IFERROR(ROUND($D273*INDEX('🔖 배합비 참조'!$B$2:$CE$83,MATCH("조림류(백옥앙금)",'🔖 배합비 참조'!$A$2:$A$83,0),MATCH($C273,'🔖 배합비 참조'!$B$1:$CE$1,0))/100,0),""))),"")</f>
        <v>0</v>
      </c>
      <c r="BQ273" s="39" t="n">
        <f aca="false">IFERROR(IF($C273="","",IF($D273="","",IFERROR(ROUND($D273*INDEX('🔖 배합비 참조'!$B$2:$CE$83,MATCH("조림류(통팥앙금)",'🔖 배합비 참조'!$A$2:$A$83,0),MATCH($C273,'🔖 배합비 참조'!$B$1:$CE$1,0))/100,0),""))),"")</f>
        <v>79</v>
      </c>
      <c r="BR273" s="39" t="n">
        <f aca="false">IFERROR(IF($C273="","",IF($D273="","",IFERROR(ROUND($D273*INDEX('🔖 배합비 참조'!$B$2:$CE$83,MATCH("준초콜릿(외국산)",'🔖 배합비 참조'!$A$2:$A$83,0),MATCH($C273,'🔖 배합비 참조'!$B$1:$CE$1,0))/100,0),""))),"")</f>
        <v>0</v>
      </c>
      <c r="BS273" s="39" t="n">
        <f aca="false">IFERROR(IF($C273="","",IF($D273="","",IFERROR(ROUND($D273*INDEX('🔖 배합비 참조'!$B$2:$CE$83,MATCH("중력분",'🔖 배합비 참조'!$A$2:$A$83,0),MATCH($C273,'🔖 배합비 참조'!$B$1:$CE$1,0))/100,0),""))),"")</f>
        <v>9</v>
      </c>
      <c r="BT273" s="39" t="n">
        <f aca="false">IFERROR(IF($C273="","",IF($D273="","",IFERROR(ROUND($D273*INDEX('🔖 배합비 참조'!$B$2:$CE$83,MATCH("참깨(인도산,나이지리아산,탄자니아산,미얀마산)",'🔖 배합비 참조'!$A$2:$A$83,0),MATCH($C273,'🔖 배합비 참조'!$B$1:$CE$1,0))/100,0),""))),"")</f>
        <v>0</v>
      </c>
      <c r="BU273" s="39" t="n">
        <f aca="false">IFERROR(IF($C273="","",IF($D273="","",IFERROR(ROUND($D273*INDEX('🔖 배합비 참조'!$B$2:$CE$83,MATCH("찹쌀(국내산)",'🔖 배합비 참조'!$A$2:$A$83,0),MATCH($C273,'🔖 배합비 참조'!$B$1:$CE$1,0))/100,0),""))),"")</f>
        <v>189</v>
      </c>
      <c r="BV273" s="39" t="n">
        <f aca="false">IFERROR(IF($C273="","",IF($D273="","",IFERROR(ROUND($D273*INDEX('🔖 배합비 참조'!$B$2:$CE$83,MATCH("천일염",'🔖 배합비 참조'!$A$2:$A$83,0),MATCH($C273,'🔖 배합비 참조'!$B$1:$CE$1,0))/100,0),""))),"")</f>
        <v>9</v>
      </c>
      <c r="BW273" s="39" t="n">
        <f aca="false">IFERROR(IF($C273="","",IF($D273="","",IFERROR(ROUND($D273*INDEX('🔖 배합비 참조'!$B$2:$CE$83,MATCH("치즈 [크림치즈]",'🔖 배합비 참조'!$A$2:$A$83,0),MATCH($C273,'🔖 배합비 참조'!$B$1:$CE$1,0))/100,0),""))),"")</f>
        <v>0</v>
      </c>
      <c r="BX273" s="39" t="n">
        <f aca="false">IFERROR(IF($C273="","",IF($D273="","",IFERROR(ROUND($D273*INDEX('🔖 배합비 참조'!$B$2:$CE$83,MATCH("코코아가공품류(코코아분말)",'🔖 배합비 참조'!$A$2:$A$83,0),MATCH($C273,'🔖 배합비 참조'!$B$1:$CE$1,0))/100,0),""))),"")</f>
        <v>0</v>
      </c>
      <c r="BY273" s="39" t="n">
        <f aca="false">IFERROR(IF($C273="","",IF($D273="","",IFERROR(ROUND($D273*INDEX('🔖 배합비 참조'!$B$2:$CE$83,MATCH("콩기름(대두유)",'🔖 배합비 참조'!$A$2:$A$83,0),MATCH($C273,'🔖 배합비 참조'!$B$1:$CE$1,0))/100,0),""))),"")</f>
        <v>0</v>
      </c>
      <c r="BZ273" s="39" t="n">
        <f aca="false">IFERROR(IF($C273="","",IF($D273="","",IFERROR(ROUND($D273*INDEX('🔖 배합비 참조'!$B$2:$CE$83,MATCH("해바라기씨앗",'🔖 배합비 참조'!$A$2:$A$83,0),MATCH($C273,'🔖 배합비 참조'!$B$1:$CE$1,0))/100,0),""))),"")</f>
        <v>0</v>
      </c>
      <c r="CA273" s="39" t="n">
        <f aca="false">IFERROR(IF($C273="","",IF($D273="","",IFERROR(ROUND($D273*INDEX('🔖 배합비 참조'!$B$2:$CE$83,MATCH("현미(국내산)",'🔖 배합비 참조'!$A$2:$A$83,0),MATCH($C273,'🔖 배합비 참조'!$B$1:$CE$1,0))/100,0),""))),"")</f>
        <v>0</v>
      </c>
      <c r="CB273" s="39" t="n">
        <f aca="false">IFERROR(IF($C273="","",IF($D273="","",IFERROR(ROUND($D273*INDEX('🔖 배합비 참조'!$B$2:$CE$83,MATCH("현미멥쌀(국내산)",'🔖 배합비 참조'!$A$2:$A$83,0),MATCH($C273,'🔖 배합비 참조'!$B$1:$CE$1,0))/100,0),""))),"")</f>
        <v>0</v>
      </c>
      <c r="CC273" s="39" t="n">
        <f aca="false">IFERROR(IF($C273="","",IF($D273="","",IFERROR(ROUND($D273*INDEX('🔖 배합비 참조'!$B$2:$CE$83,MATCH("호두분태(미국산)",'🔖 배합비 참조'!$A$2:$A$83,0),MATCH($C273,'🔖 배합비 참조'!$B$1:$CE$1,0))/100,0),""))),"")</f>
        <v>0</v>
      </c>
      <c r="CD273" s="39" t="n">
        <f aca="false">IFERROR(IF($C273="","",IF($D273="","",IFERROR(ROUND($D273*INDEX('🔖 배합비 참조'!$B$2:$CE$83,MATCH("호박씨앗(외국산)",'🔖 배합비 참조'!$A$2:$A$83,0),MATCH($C273,'🔖 배합비 참조'!$B$1:$CE$1,0))/100,0),""))),"")</f>
        <v>0</v>
      </c>
      <c r="CE273" s="39" t="n">
        <f aca="false">IFERROR(IF($C273="","",IF($D273="","",IFERROR(ROUND($D273*INDEX('🔖 배합비 참조'!$B$2:$CE$83,MATCH("혼합제제(떡용에스텔)",'🔖 배합비 참조'!$A$2:$A$83,0),MATCH($C273,'🔖 배합비 참조'!$B$1:$CE$1,0))/100,0),""))),"")</f>
        <v>9</v>
      </c>
      <c r="CF273" s="39" t="n">
        <f aca="false">IFERROR(IF($C273="","",IF($D273="","",IFERROR(ROUND($D273*INDEX('🔖 배합비 참조'!$B$2:$CE$83,MATCH("혼합제제(스테비아)",'🔖 배합비 참조'!$A$2:$A$83,0),MATCH($C273,'🔖 배합비 참조'!$B$1:$CE$1,0))/100,0),""))),"")</f>
        <v>0</v>
      </c>
      <c r="CG273" s="39" t="n">
        <f aca="false">IFERROR(IF($C273="","",IF($D273="","",IFERROR(ROUND($D273*INDEX('🔖 배합비 참조'!$B$2:$CE$83,MATCH("화이트초콜릿",'🔖 배합비 참조'!$A$2:$A$83,0),MATCH($C273,'🔖 배합비 참조'!$B$1:$CE$1,0))/100,0),""))),"")</f>
        <v>0</v>
      </c>
      <c r="CH273" s="39" t="n">
        <f aca="false">IFERROR(IF($C273="","",IF($D273="","",IFERROR(ROUND($D273*INDEX('🔖 배합비 참조'!$B$2:$CE$83,MATCH("흑미찹쌀(국내산)",'🔖 배합비 참조'!$A$2:$A$83,0),MATCH($C273,'🔖 배합비 참조'!$B$1:$CE$1,0))/100,0),""))),"")</f>
        <v>0</v>
      </c>
      <c r="CI273" s="39" t="n">
        <f aca="false">IFERROR(IF($C273="","",IF($D273="","",IFERROR(ROUND($D273*INDEX('🔖 배합비 참조'!$B$2:$CE$83,MATCH("찰옥수수전분(미국산)",'🔖 배합비 참조'!$A$2:$A$83,0),MATCH($C273,'🔖 배합비 참조'!$B$1:$CE$1,0))/100,0),""))),"")</f>
        <v>40</v>
      </c>
      <c r="CJ273" s="40"/>
      <c r="CL273" s="43" t="s">
        <v>248</v>
      </c>
    </row>
    <row r="274" customFormat="false" ht="18" hidden="false" customHeight="true" outlineLevel="0" collapsed="false">
      <c r="A274" s="41" t="n">
        <v>270</v>
      </c>
      <c r="B274" s="36" t="n">
        <v>46092</v>
      </c>
      <c r="C274" s="37" t="s">
        <v>191</v>
      </c>
      <c r="D274" s="38" t="n">
        <v>1100</v>
      </c>
      <c r="E274" s="17"/>
      <c r="F274" s="17"/>
      <c r="G274" s="42" t="n">
        <f aca="false">IFERROR(IF($C274="","",IF($D274="","",IFERROR(ROUND($D274*INDEX('🔖 배합비 참조'!$B$2:$CE$83,MATCH("간장",'🔖 배합비 참조'!$A$2:$A$83,0),MATCH($C274,'🔖 배합비 참조'!$B$1:$CE$1,0))/100,0),""))),"")</f>
        <v>0</v>
      </c>
      <c r="H274" s="42" t="n">
        <f aca="false">IFERROR(IF($C274="","",IF($D274="","",IFERROR(ROUND($D274*INDEX('🔖 배합비 참조'!$B$2:$CE$83,MATCH("강낭콩((울타리콩))",'🔖 배합비 참조'!$A$2:$A$83,0),MATCH($C274,'🔖 배합비 참조'!$B$1:$CE$1,0))/100,0),""))),"")</f>
        <v>0</v>
      </c>
      <c r="I274" s="42" t="n">
        <f aca="false">IFERROR(IF($C274="","",IF($D274="","",IFERROR(ROUND($D274*INDEX('🔖 배합비 참조'!$B$2:$CE$83,MATCH("건조딸기다이스(외국산)",'🔖 배합비 참조'!$A$2:$A$83,0),MATCH($C274,'🔖 배합비 참조'!$B$1:$CE$1,0))/100,0),""))),"")</f>
        <v>0</v>
      </c>
      <c r="J274" s="42" t="n">
        <f aca="false">IFERROR(IF($C274="","",IF($D274="","",IFERROR(ROUND($D274*INDEX('🔖 배합비 참조'!$B$2:$CE$83,MATCH("건포도",'🔖 배합비 참조'!$A$2:$A$83,0),MATCH($C274,'🔖 배합비 참조'!$B$1:$CE$1,0))/100,0),""))),"")</f>
        <v>0</v>
      </c>
      <c r="K274" s="42" t="n">
        <f aca="false">IFERROR(IF($C274="","",IF($D274="","",IFERROR(ROUND($D274*INDEX('🔖 배합비 참조'!$B$2:$CE$83,MATCH("건호박채(중국산)",'🔖 배합비 참조'!$A$2:$A$83,0),MATCH($C274,'🔖 배합비 참조'!$B$1:$CE$1,0))/100,0),""))),"")</f>
        <v>0</v>
      </c>
      <c r="L274" s="42" t="n">
        <f aca="false">IFERROR(IF($C274="","",IF($D274="","",IFERROR(ROUND($D274*INDEX('🔖 배합비 참조'!$B$2:$CE$83,MATCH("검정깨(흑임자)",'🔖 배합비 참조'!$A$2:$A$83,0),MATCH($C274,'🔖 배합비 참조'!$B$1:$CE$1,0))/100,0),""))),"")</f>
        <v>0</v>
      </c>
      <c r="M274" s="42" t="n">
        <f aca="false">IFERROR(IF($C274="","",IF($D274="","",IFERROR(ROUND($D274*INDEX('🔖 배합비 참조'!$B$2:$CE$83,MATCH("검정콩",'🔖 배합비 참조'!$A$2:$A$83,0),MATCH($C274,'🔖 배합비 참조'!$B$1:$CE$1,0))/100,0),""))),"")</f>
        <v>0</v>
      </c>
      <c r="N274" s="42" t="n">
        <f aca="false">IFERROR(IF($C274="","",IF($D274="","",IFERROR(ROUND($D274*INDEX('🔖 배합비 참조'!$B$2:$CE$83,MATCH("계피가루",'🔖 배합비 참조'!$A$2:$A$83,0),MATCH($C274,'🔖 배합비 참조'!$B$1:$CE$1,0))/100,0),""))),"")</f>
        <v>0</v>
      </c>
      <c r="O274" s="42" t="n">
        <f aca="false">IFERROR(IF($C274="","",IF($D274="","",IFERROR(ROUND($D274*INDEX('🔖 배합비 참조'!$B$2:$CE$83,MATCH("고구마가루",'🔖 배합비 참조'!$A$2:$A$83,0),MATCH($C274,'🔖 배합비 참조'!$B$1:$CE$1,0))/100,0),""))),"")</f>
        <v>0</v>
      </c>
      <c r="P274" s="42" t="n">
        <f aca="false">IFERROR(IF($C274="","",IF($D274="","",IFERROR(ROUND($D274*INDEX('🔖 배합비 참조'!$B$2:$CE$83,MATCH("고구마무스",'🔖 배합비 참조'!$A$2:$A$83,0),MATCH($C274,'🔖 배합비 참조'!$B$1:$CE$1,0))/100,0),""))),"")</f>
        <v>0</v>
      </c>
      <c r="Q274" s="42" t="n">
        <f aca="false">IFERROR(IF($C274="","",IF($D274="","",IFERROR(ROUND($D274*INDEX('🔖 배합비 참조'!$B$2:$CE$83,MATCH("고려엉겅퀴((곤드레)국내산)",'🔖 배합비 참조'!$A$2:$A$83,0),MATCH($C274,'🔖 배합비 참조'!$B$1:$CE$1,0))/100,0),""))),"")</f>
        <v>0</v>
      </c>
      <c r="R274" s="42" t="n">
        <f aca="false">IFERROR(IF($C274="","",IF($D274="","",IFERROR(ROUND($D274*INDEX('🔖 배합비 참조'!$B$2:$CE$83,MATCH("기타가공품(복분자가루)",'🔖 배합비 참조'!$A$2:$A$83,0),MATCH($C274,'🔖 배합비 참조'!$B$1:$CE$1,0))/100,0),""))),"")</f>
        <v>0</v>
      </c>
      <c r="S274" s="42" t="n">
        <f aca="false">IFERROR(IF($C274="","",IF($D274="","",IFERROR(ROUND($D274*INDEX('🔖 배합비 참조'!$B$2:$CE$83,MATCH("기타가공품(슈퍼소프트엠)",'🔖 배합비 참조'!$A$2:$A$83,0),MATCH($C274,'🔖 배합비 참조'!$B$1:$CE$1,0))/100,0),""))),"")</f>
        <v>0</v>
      </c>
      <c r="T274" s="42" t="n">
        <f aca="false">IFERROR(IF($C274="","",IF($D274="","",IFERROR(ROUND($D274*INDEX('🔖 배합비 참조'!$B$2:$CE$83,MATCH("기타가공품(파인소프트 E-티)",'🔖 배합비 참조'!$A$2:$A$83,0),MATCH($C274,'🔖 배합비 참조'!$B$1:$CE$1,0))/100,0),""))),"")</f>
        <v>0</v>
      </c>
      <c r="U274" s="42" t="n">
        <f aca="false">IFERROR(IF($C274="","",IF($D274="","",IFERROR(ROUND($D274*INDEX('🔖 배합비 참조'!$B$2:$CE$83,MATCH("기타가공품(프리미엄카스테라가루)",'🔖 배합비 참조'!$A$2:$A$83,0),MATCH($C274,'🔖 배합비 참조'!$B$1:$CE$1,0))/100,0),""))),"")</f>
        <v>0</v>
      </c>
      <c r="V274" s="42" t="n">
        <f aca="false">IFERROR(IF($C274="","",IF($D274="","",IFERROR(ROUND($D274*INDEX('🔖 배합비 참조'!$B$2:$CE$83,MATCH("기타가공품(흑임자가루)",'🔖 배합비 참조'!$A$2:$A$83,0),MATCH($C274,'🔖 배합비 참조'!$B$1:$CE$1,0))/100,0),""))),"")</f>
        <v>0</v>
      </c>
      <c r="W274" s="42" t="n">
        <f aca="false">IFERROR(IF($C274="","",IF($D274="","",IFERROR(ROUND($D274*INDEX('🔖 배합비 참조'!$B$2:$CE$83,MATCH("기타설탕(흑설탕)",'🔖 배합비 참조'!$A$2:$A$83,0),MATCH($C274,'🔖 배합비 참조'!$B$1:$CE$1,0))/100,0),""))),"")</f>
        <v>0</v>
      </c>
      <c r="X274" s="42" t="n">
        <f aca="false">IFERROR(IF($C274="","",IF($D274="","",IFERROR(ROUND($D274*INDEX('🔖 배합비 참조'!$B$2:$CE$83,MATCH("냉동쑥(국내산)",'🔖 배합비 참조'!$A$2:$A$83,0),MATCH($C274,'🔖 배합비 참조'!$B$1:$CE$1,0))/100,0),""))),"")</f>
        <v>0</v>
      </c>
      <c r="Y274" s="42" t="n">
        <f aca="false">IFERROR(IF($C274="","",IF($D274="","",IFERROR(ROUND($D274*INDEX('🔖 배합비 참조'!$B$2:$CE$83,MATCH("냉동증숙고구마(중국산)",'🔖 배합비 참조'!$A$2:$A$83,0),MATCH($C274,'🔖 배합비 참조'!$B$1:$CE$1,0))/100,0),""))),"")</f>
        <v>0</v>
      </c>
      <c r="Z274" s="42" t="n">
        <f aca="false">IFERROR(IF($C274="","",IF($D274="","",IFERROR(ROUND($D274*INDEX('🔖 배합비 참조'!$B$2:$CE$83,MATCH("녹차가루",'🔖 배합비 참조'!$A$2:$A$83,0),MATCH($C274,'🔖 배합비 참조'!$B$1:$CE$1,0))/100,0),""))),"")</f>
        <v>0</v>
      </c>
      <c r="AA274" s="42" t="n">
        <f aca="false">IFERROR(IF($C274="","",IF($D274="","",IFERROR(ROUND($D274*INDEX('🔖 배합비 참조'!$B$2:$CE$83,MATCH("다크초콜릿 컴파운드칩",'🔖 배합비 참조'!$A$2:$A$83,0),MATCH($C274,'🔖 배합비 참조'!$B$1:$CE$1,0))/100,0),""))),"")</f>
        <v>0</v>
      </c>
      <c r="AB274" s="42" t="n">
        <f aca="false">IFERROR(IF($C274="","",IF($D274="","",IFERROR(ROUND($D274*INDEX('🔖 배합비 참조'!$B$2:$CE$83,MATCH("단호박분말(중국산)",'🔖 배합비 참조'!$A$2:$A$83,0),MATCH($C274,'🔖 배합비 참조'!$B$1:$CE$1,0))/100,0),""))),"")</f>
        <v>0</v>
      </c>
      <c r="AC274" s="42" t="n">
        <f aca="false">IFERROR(IF($C274="","",IF($D274="","",IFERROR(ROUND($D274*INDEX('🔖 배합비 참조'!$B$2:$CE$83,MATCH("당류가공품(단호박농축액)",'🔖 배합비 참조'!$A$2:$A$83,0),MATCH($C274,'🔖 배합비 참조'!$B$1:$CE$1,0))/100,0),""))),"")</f>
        <v>0</v>
      </c>
      <c r="AD274" s="42" t="n">
        <f aca="false">IFERROR(IF($C274="","",IF($D274="","",IFERROR(ROUND($D274*INDEX('🔖 배합비 참조'!$B$2:$CE$83,MATCH("당류가공품(알룰로스,에리스리톨,스테비올배당체혼합)",'🔖 배합비 참조'!$A$2:$A$83,0),MATCH($C274,'🔖 배합비 참조'!$B$1:$CE$1,0))/100,0),""))),"")</f>
        <v>0</v>
      </c>
      <c r="AE274" s="42" t="n">
        <f aca="false">IFERROR(IF($C274="","",IF($D274="","",IFERROR(ROUND($D274*INDEX('🔖 배합비 참조'!$B$2:$CE$83,MATCH("당류가공품(알룰로스제로파우더)",'🔖 배합비 참조'!$A$2:$A$83,0),MATCH($C274,'🔖 배합비 참조'!$B$1:$CE$1,0))/100,0),""))),"")</f>
        <v>0</v>
      </c>
      <c r="AF274" s="42" t="n">
        <f aca="false">IFERROR(IF($C274="","",IF($D274="","",IFERROR(ROUND($D274*INDEX('🔖 배합비 참조'!$B$2:$CE$83,MATCH("당절임(완두배기)",'🔖 배합비 참조'!$A$2:$A$83,0),MATCH($C274,'🔖 배합비 참조'!$B$1:$CE$1,0))/100,0),""))),"")</f>
        <v>0</v>
      </c>
      <c r="AG274" s="42" t="n">
        <f aca="false">IFERROR(IF($C274="","",IF($D274="","",IFERROR(ROUND($D274*INDEX('🔖 배합비 참조'!$B$2:$CE$83,MATCH("대추농축액",'🔖 배합비 참조'!$A$2:$A$83,0),MATCH($C274,'🔖 배합비 참조'!$B$1:$CE$1,0))/100,0),""))),"")</f>
        <v>0</v>
      </c>
      <c r="AH274" s="42" t="n">
        <f aca="false">IFERROR(IF($C274="","",IF($D274="","",IFERROR(ROUND($D274*INDEX('🔖 배합비 참조'!$B$2:$CE$83,MATCH("대추채(국내산)",'🔖 배합비 참조'!$A$2:$A$83,0),MATCH($C274,'🔖 배합비 참조'!$B$1:$CE$1,0))/100,0),""))),"")</f>
        <v>0</v>
      </c>
      <c r="AI274" s="42" t="n">
        <f aca="false">IFERROR(IF($C274="","",IF($D274="","",IFERROR(ROUND($D274*INDEX('🔖 배합비 참조'!$B$2:$CE$83,MATCH("동부(미얀마산)",'🔖 배합비 참조'!$A$2:$A$83,0),MATCH($C274,'🔖 배합비 참조'!$B$1:$CE$1,0))/100,0),""))),"")</f>
        <v>0</v>
      </c>
      <c r="AJ274" s="42" t="n">
        <f aca="false">IFERROR(IF($C274="","",IF($D274="","",IFERROR(ROUND($D274*INDEX('🔖 배합비 참조'!$B$2:$CE$83,MATCH("두류가공품(백옥앙금)",'🔖 배합비 참조'!$A$2:$A$83,0),MATCH($C274,'🔖 배합비 참조'!$B$1:$CE$1,0))/100,0),""))),"")</f>
        <v>0</v>
      </c>
      <c r="AK274" s="42" t="n">
        <f aca="false">IFERROR(IF($C274="","",IF($D274="","",IFERROR(ROUND($D274*INDEX('🔖 배합비 참조'!$B$2:$CE$83,MATCH("두류가공품(콩고물)",'🔖 배합비 참조'!$A$2:$A$83,0),MATCH($C274,'🔖 배합비 참조'!$B$1:$CE$1,0))/100,0),""))),"")</f>
        <v>0</v>
      </c>
      <c r="AL274" s="42" t="n">
        <f aca="false">IFERROR(IF($C274="","",IF($D274="","",IFERROR(ROUND($D274*INDEX('🔖 배합비 참조'!$B$2:$CE$83,MATCH("두류가공품(통팥고물)",'🔖 배합비 참조'!$A$2:$A$83,0),MATCH($C274,'🔖 배합비 참조'!$B$1:$CE$1,0))/100,0),""))),"")</f>
        <v>0</v>
      </c>
      <c r="AM274" s="42" t="n">
        <f aca="false">IFERROR(IF($C274="","",IF($D274="","",IFERROR(ROUND($D274*INDEX('🔖 배합비 참조'!$B$2:$CE$83,MATCH("딸기레진",'🔖 배합비 참조'!$A$2:$A$83,0),MATCH($C274,'🔖 배합비 참조'!$B$1:$CE$1,0))/100,0),""))),"")</f>
        <v>0</v>
      </c>
      <c r="AN274" s="42" t="n">
        <f aca="false">IFERROR(IF($C274="","",IF($D274="","",IFERROR(ROUND($D274*INDEX('🔖 배합비 참조'!$B$2:$CE$83,MATCH("딸기분말(스트로우베리에이드(분말))",'🔖 배합비 참조'!$A$2:$A$83,0),MATCH($C274,'🔖 배합비 참조'!$B$1:$CE$1,0))/100,0),""))),"")</f>
        <v>0</v>
      </c>
      <c r="AO274" s="42" t="n">
        <f aca="false">IFERROR(IF($C274="","",IF($D274="","",IFERROR(ROUND($D274*INDEX('🔖 배합비 참조'!$B$2:$CE$83,MATCH("마스카포네치즈",'🔖 배합비 참조'!$A$2:$A$83,0),MATCH($C274,'🔖 배합비 참조'!$B$1:$CE$1,0))/100,0),""))),"")</f>
        <v>0</v>
      </c>
      <c r="AP274" s="42" t="n">
        <f aca="false">IFERROR(IF($C274="","",IF($D274="","",IFERROR(ROUND($D274*INDEX('🔖 배합비 참조'!$B$2:$CE$83,MATCH("마카다미아분태(호주산)",'🔖 배합비 참조'!$A$2:$A$83,0),MATCH($C274,'🔖 배합비 참조'!$B$1:$CE$1,0))/100,0),""))),"")</f>
        <v>0</v>
      </c>
      <c r="AQ274" s="42" t="n">
        <f aca="false">IFERROR(IF($C274="","",IF($D274="","",IFERROR(ROUND($D274*INDEX('🔖 배합비 참조'!$B$2:$CE$83,MATCH("멥쌀(국내산)",'🔖 배합비 참조'!$A$2:$A$83,0),MATCH($C274,'🔖 배합비 참조'!$B$1:$CE$1,0))/100,0),""))),"")</f>
        <v>22</v>
      </c>
      <c r="AR274" s="42" t="n">
        <f aca="false">IFERROR(IF($C274="","",IF($D274="","",IFERROR(ROUND($D274*INDEX('🔖 배합비 참조'!$B$2:$CE$83,MATCH("모시잎(국내산)",'🔖 배합비 참조'!$A$2:$A$83,0),MATCH($C274,'🔖 배합비 참조'!$B$1:$CE$1,0))/100,0),""))),"")</f>
        <v>0</v>
      </c>
      <c r="AS274" s="42" t="n">
        <f aca="false">IFERROR(IF($C274="","",IF($D274="","",IFERROR(ROUND($D274*INDEX('🔖 배합비 참조'!$B$2:$CE$83,MATCH("물엿(저당물엿)",'🔖 배합비 참조'!$A$2:$A$83,0),MATCH($C274,'🔖 배합비 참조'!$B$1:$CE$1,0))/100,0),""))),"")</f>
        <v>0</v>
      </c>
      <c r="AT274" s="42" t="n">
        <f aca="false">IFERROR(IF($C274="","",IF($D274="","",IFERROR(ROUND($D274*INDEX('🔖 배합비 참조'!$B$2:$CE$83,MATCH("밤다이스",'🔖 배합비 참조'!$A$2:$A$83,0),MATCH($C274,'🔖 배합비 참조'!$B$1:$CE$1,0))/100,0),""))),"")</f>
        <v>0</v>
      </c>
      <c r="AU274" s="42" t="n">
        <f aca="false">IFERROR(IF($C274="","",IF($D274="","",IFERROR(ROUND($D274*INDEX('🔖 배합비 참조'!$B$2:$CE$83,MATCH("변성전분(타피오카전분)",'🔖 배합비 참조'!$A$2:$A$83,0),MATCH($C274,'🔖 배합비 참조'!$B$1:$CE$1,0))/100,0),""))),"")</f>
        <v>0</v>
      </c>
      <c r="AV274" s="42" t="n">
        <f aca="false">IFERROR(IF($C274="","",IF($D274="","",IFERROR(ROUND($D274*INDEX('🔖 배합비 참조'!$B$2:$CE$83,MATCH("복음땅콩분태",'🔖 배합비 참조'!$A$2:$A$83,0),MATCH($C274,'🔖 배합비 참조'!$B$1:$CE$1,0))/100,0),""))),"")</f>
        <v>0</v>
      </c>
      <c r="AW274" s="42" t="n">
        <f aca="false">IFERROR(IF($C274="","",IF($D274="","",IFERROR(ROUND($D274*INDEX('🔖 배합비 참조'!$B$2:$CE$83,MATCH("사양벌꿀(국내산)",'🔖 배합비 참조'!$A$2:$A$83,0),MATCH($C274,'🔖 배합비 참조'!$B$1:$CE$1,0))/100,0),""))),"")</f>
        <v>0</v>
      </c>
      <c r="AX274" s="42" t="n">
        <f aca="false">IFERROR(IF($C274="","",IF($D274="","",IFERROR(ROUND($D274*INDEX('🔖 배합비 참조'!$B$2:$CE$83,MATCH("생크림",'🔖 배합비 참조'!$A$2:$A$83,0),MATCH($C274,'🔖 배합비 참조'!$B$1:$CE$1,0))/100,0),""))),"")</f>
        <v>0</v>
      </c>
      <c r="AY274" s="42" t="n">
        <f aca="false">IFERROR(IF($C274="","",IF($D274="","",IFERROR(ROUND($D274*INDEX('🔖 배합비 참조'!$B$2:$CE$83,MATCH("서양호박(국내산,뉴질랜드산)",'🔖 배합비 참조'!$A$2:$A$83,0),MATCH($C274,'🔖 배합비 참조'!$B$1:$CE$1,0))/100,0),""))),"")</f>
        <v>0</v>
      </c>
      <c r="AZ274" s="42" t="n">
        <f aca="false">IFERROR(IF($C274="","",IF($D274="","",IFERROR(ROUND($D274*INDEX('🔖 배합비 참조'!$B$2:$CE$83,MATCH("설탕",'🔖 배합비 참조'!$A$2:$A$83,0),MATCH($C274,'🔖 배합비 참조'!$B$1:$CE$1,0))/100,0),""))),"")</f>
        <v>209</v>
      </c>
      <c r="BA274" s="42" t="n">
        <f aca="false">IFERROR(IF($C274="","",IF($D274="","",IFERROR(ROUND($D274*INDEX('🔖 배합비 참조'!$B$2:$CE$83,MATCH("스트로우베리 에이드 후레쉬",'🔖 배합비 참조'!$A$2:$A$83,0),MATCH($C274,'🔖 배합비 참조'!$B$1:$CE$1,0))/100,0),""))),"")</f>
        <v>0</v>
      </c>
      <c r="BB274" s="42" t="n">
        <f aca="false">IFERROR(IF($C274="","",IF($D274="","",IFERROR(ROUND($D274*INDEX('🔖 배합비 참조'!$B$2:$CE$83,MATCH("식물성기름혼합제제(분홍)",'🔖 배합비 참조'!$A$2:$A$83,0),MATCH($C274,'🔖 배합비 참조'!$B$1:$CE$1,0))/100,0),""))),"")</f>
        <v>0</v>
      </c>
      <c r="BC274" s="42" t="n">
        <f aca="false">IFERROR(IF($C274="","",IF($D274="","",IFERROR(ROUND($D274*INDEX('🔖 배합비 참조'!$B$2:$CE$83,MATCH("식물성기름혼합제제(초록)",'🔖 배합비 참조'!$A$2:$A$83,0),MATCH($C274,'🔖 배합비 참조'!$B$1:$CE$1,0))/100,0),""))),"")</f>
        <v>0</v>
      </c>
      <c r="BD274" s="42" t="n">
        <f aca="false">IFERROR(IF($C274="","",IF($D274="","",IFERROR(ROUND($D274*INDEX('🔖 배합비 참조'!$B$2:$CE$83,MATCH("식물성기름혼합제제(황색)",'🔖 배합비 참조'!$A$2:$A$83,0),MATCH($C274,'🔖 배합비 참조'!$B$1:$CE$1,0))/100,0),""))),"")</f>
        <v>0</v>
      </c>
      <c r="BE274" s="42" t="n">
        <f aca="false">IFERROR(IF($C274="","",IF($D274="","",IFERROR(ROUND($D274*INDEX('🔖 배합비 참조'!$B$2:$CE$83,MATCH("쑥가루(국내산)",'🔖 배합비 참조'!$A$2:$A$83,0),MATCH($C274,'🔖 배합비 참조'!$B$1:$CE$1,0))/100,0),""))),"")</f>
        <v>0</v>
      </c>
      <c r="BF274" s="42" t="n">
        <f aca="false">IFERROR(IF($C274="","",IF($D274="","",IFERROR(ROUND($D274*INDEX('🔖 배합비 참조'!$B$2:$CE$83,MATCH("아몬드슬라이스",'🔖 배합비 참조'!$A$2:$A$83,0),MATCH($C274,'🔖 배합비 참조'!$B$1:$CE$1,0))/100,0),""))),"")</f>
        <v>0</v>
      </c>
      <c r="BG274" s="42" t="n">
        <f aca="false">IFERROR(IF($C274="","",IF($D274="","",IFERROR(ROUND($D274*INDEX('🔖 배합비 참조'!$B$2:$CE$83,MATCH("알룰로오스(국내산)",'🔖 배합비 참조'!$A$2:$A$83,0),MATCH($C274,'🔖 배합비 참조'!$B$1:$CE$1,0))/100,0),""))),"")</f>
        <v>0</v>
      </c>
      <c r="BH274" s="42" t="n">
        <f aca="false">IFERROR(IF($C274="","",IF($D274="","",IFERROR(ROUND($D274*INDEX('🔖 배합비 참조'!$B$2:$CE$83,MATCH("연유",'🔖 배합비 참조'!$A$2:$A$83,0),MATCH($C274,'🔖 배합비 참조'!$B$1:$CE$1,0))/100,0),""))),"")</f>
        <v>0</v>
      </c>
      <c r="BI274" s="42" t="n">
        <f aca="false">IFERROR(IF($C274="","",IF($D274="","",IFERROR(ROUND($D274*INDEX('🔖 배합비 참조'!$B$2:$CE$83,MATCH("옥수수전분",'🔖 배합비 참조'!$A$2:$A$83,0),MATCH($C274,'🔖 배합비 참조'!$B$1:$CE$1,0))/100,0),""))),"")</f>
        <v>0</v>
      </c>
      <c r="BJ274" s="42" t="n">
        <f aca="false">IFERROR(IF($C274="","",IF($D274="","",IFERROR(ROUND($D274*INDEX('🔖 배합비 참조'!$B$2:$CE$83,MATCH("완두배기",'🔖 배합비 참조'!$A$2:$A$83,0),MATCH($C274,'🔖 배합비 참조'!$B$1:$CE$1,0))/100,0),""))),"")</f>
        <v>0</v>
      </c>
      <c r="BK274" s="42" t="n">
        <f aca="false">IFERROR(IF($C274="","",IF($D274="","",IFERROR(ROUND($D274*INDEX('🔖 배합비 참조'!$B$2:$CE$83,MATCH("우유(국내산)",'🔖 배합비 참조'!$A$2:$A$83,0),MATCH($C274,'🔖 배합비 참조'!$B$1:$CE$1,0))/100,0),""))),"")</f>
        <v>0</v>
      </c>
      <c r="BL274" s="42" t="n">
        <f aca="false">IFERROR(IF($C274="","",IF($D274="","",IFERROR(ROUND($D274*INDEX('🔖 배합비 참조'!$B$2:$CE$83,MATCH("자색고구마가루(중국산)",'🔖 배합비 참조'!$A$2:$A$83,0),MATCH($C274,'🔖 배합비 참조'!$B$1:$CE$1,0))/100,0),""))),"")</f>
        <v>0</v>
      </c>
      <c r="BM274" s="42" t="n">
        <f aca="false">IFERROR(IF($C274="","",IF($D274="","",IFERROR(ROUND($D274*INDEX('🔖 배합비 참조'!$B$2:$CE$83,MATCH("자연치즈(체다치즈)",'🔖 배합비 참조'!$A$2:$A$83,0),MATCH($C274,'🔖 배합비 참조'!$B$1:$CE$1,0))/100,0),""))),"")</f>
        <v>0</v>
      </c>
      <c r="BN274" s="42" t="n">
        <f aca="false">IFERROR(IF($C274="","",IF($D274="","",IFERROR(ROUND($D274*INDEX('🔖 배합비 참조'!$B$2:$CE$83,MATCH("정제수",'🔖 배합비 참조'!$A$2:$A$83,0),MATCH($C274,'🔖 배합비 참조'!$B$1:$CE$1,0))/100,0),""))),"")</f>
        <v>33</v>
      </c>
      <c r="BO274" s="42" t="n">
        <f aca="false">IFERROR(IF($C274="","",IF($D274="","",IFERROR(ROUND($D274*INDEX('🔖 배합비 참조'!$B$2:$CE$83,MATCH("젤라틴",'🔖 배합비 참조'!$A$2:$A$83,0),MATCH($C274,'🔖 배합비 참조'!$B$1:$CE$1,0))/100,0),""))),"")</f>
        <v>0</v>
      </c>
      <c r="BP274" s="42" t="n">
        <f aca="false">IFERROR(IF($C274="","",IF($D274="","",IFERROR(ROUND($D274*INDEX('🔖 배합비 참조'!$B$2:$CE$83,MATCH("조림류(백옥앙금)",'🔖 배합비 참조'!$A$2:$A$83,0),MATCH($C274,'🔖 배합비 참조'!$B$1:$CE$1,0))/100,0),""))),"")</f>
        <v>0</v>
      </c>
      <c r="BQ274" s="42" t="n">
        <f aca="false">IFERROR(IF($C274="","",IF($D274="","",IFERROR(ROUND($D274*INDEX('🔖 배합비 참조'!$B$2:$CE$83,MATCH("조림류(통팥앙금)",'🔖 배합비 참조'!$A$2:$A$83,0),MATCH($C274,'🔖 배합비 참조'!$B$1:$CE$1,0))/100,0),""))),"")</f>
        <v>198</v>
      </c>
      <c r="BR274" s="42" t="n">
        <f aca="false">IFERROR(IF($C274="","",IF($D274="","",IFERROR(ROUND($D274*INDEX('🔖 배합비 참조'!$B$2:$CE$83,MATCH("준초콜릿(외국산)",'🔖 배합비 참조'!$A$2:$A$83,0),MATCH($C274,'🔖 배합비 참조'!$B$1:$CE$1,0))/100,0),""))),"")</f>
        <v>0</v>
      </c>
      <c r="BS274" s="42" t="n">
        <f aca="false">IFERROR(IF($C274="","",IF($D274="","",IFERROR(ROUND($D274*INDEX('🔖 배합비 참조'!$B$2:$CE$83,MATCH("중력분",'🔖 배합비 참조'!$A$2:$A$83,0),MATCH($C274,'🔖 배합비 참조'!$B$1:$CE$1,0))/100,0),""))),"")</f>
        <v>22</v>
      </c>
      <c r="BT274" s="42" t="n">
        <f aca="false">IFERROR(IF($C274="","",IF($D274="","",IFERROR(ROUND($D274*INDEX('🔖 배합비 참조'!$B$2:$CE$83,MATCH("참깨(인도산,나이지리아산,탄자니아산,미얀마산)",'🔖 배합비 참조'!$A$2:$A$83,0),MATCH($C274,'🔖 배합비 참조'!$B$1:$CE$1,0))/100,0),""))),"")</f>
        <v>0</v>
      </c>
      <c r="BU274" s="42" t="n">
        <f aca="false">IFERROR(IF($C274="","",IF($D274="","",IFERROR(ROUND($D274*INDEX('🔖 배합비 참조'!$B$2:$CE$83,MATCH("찹쌀(국내산)",'🔖 배합비 참조'!$A$2:$A$83,0),MATCH($C274,'🔖 배합비 참조'!$B$1:$CE$1,0))/100,0),""))),"")</f>
        <v>473</v>
      </c>
      <c r="BV274" s="42" t="n">
        <f aca="false">IFERROR(IF($C274="","",IF($D274="","",IFERROR(ROUND($D274*INDEX('🔖 배합비 참조'!$B$2:$CE$83,MATCH("천일염",'🔖 배합비 참조'!$A$2:$A$83,0),MATCH($C274,'🔖 배합비 참조'!$B$1:$CE$1,0))/100,0),""))),"")</f>
        <v>22</v>
      </c>
      <c r="BW274" s="42" t="n">
        <f aca="false">IFERROR(IF($C274="","",IF($D274="","",IFERROR(ROUND($D274*INDEX('🔖 배합비 참조'!$B$2:$CE$83,MATCH("치즈 [크림치즈]",'🔖 배합비 참조'!$A$2:$A$83,0),MATCH($C274,'🔖 배합비 참조'!$B$1:$CE$1,0))/100,0),""))),"")</f>
        <v>0</v>
      </c>
      <c r="BX274" s="42" t="n">
        <f aca="false">IFERROR(IF($C274="","",IF($D274="","",IFERROR(ROUND($D274*INDEX('🔖 배합비 참조'!$B$2:$CE$83,MATCH("코코아가공품류(코코아분말)",'🔖 배합비 참조'!$A$2:$A$83,0),MATCH($C274,'🔖 배합비 참조'!$B$1:$CE$1,0))/100,0),""))),"")</f>
        <v>0</v>
      </c>
      <c r="BY274" s="42" t="n">
        <f aca="false">IFERROR(IF($C274="","",IF($D274="","",IFERROR(ROUND($D274*INDEX('🔖 배합비 참조'!$B$2:$CE$83,MATCH("콩기름(대두유)",'🔖 배합비 참조'!$A$2:$A$83,0),MATCH($C274,'🔖 배합비 참조'!$B$1:$CE$1,0))/100,0),""))),"")</f>
        <v>0</v>
      </c>
      <c r="BZ274" s="42" t="n">
        <f aca="false">IFERROR(IF($C274="","",IF($D274="","",IFERROR(ROUND($D274*INDEX('🔖 배합비 참조'!$B$2:$CE$83,MATCH("해바라기씨앗",'🔖 배합비 참조'!$A$2:$A$83,0),MATCH($C274,'🔖 배합비 참조'!$B$1:$CE$1,0))/100,0),""))),"")</f>
        <v>0</v>
      </c>
      <c r="CA274" s="42" t="n">
        <f aca="false">IFERROR(IF($C274="","",IF($D274="","",IFERROR(ROUND($D274*INDEX('🔖 배합비 참조'!$B$2:$CE$83,MATCH("현미(국내산)",'🔖 배합비 참조'!$A$2:$A$83,0),MATCH($C274,'🔖 배합비 참조'!$B$1:$CE$1,0))/100,0),""))),"")</f>
        <v>0</v>
      </c>
      <c r="CB274" s="42" t="n">
        <f aca="false">IFERROR(IF($C274="","",IF($D274="","",IFERROR(ROUND($D274*INDEX('🔖 배합비 참조'!$B$2:$CE$83,MATCH("현미멥쌀(국내산)",'🔖 배합비 참조'!$A$2:$A$83,0),MATCH($C274,'🔖 배합비 참조'!$B$1:$CE$1,0))/100,0),""))),"")</f>
        <v>0</v>
      </c>
      <c r="CC274" s="42" t="n">
        <f aca="false">IFERROR(IF($C274="","",IF($D274="","",IFERROR(ROUND($D274*INDEX('🔖 배합비 참조'!$B$2:$CE$83,MATCH("호두분태(미국산)",'🔖 배합비 참조'!$A$2:$A$83,0),MATCH($C274,'🔖 배합비 참조'!$B$1:$CE$1,0))/100,0),""))),"")</f>
        <v>0</v>
      </c>
      <c r="CD274" s="42" t="n">
        <f aca="false">IFERROR(IF($C274="","",IF($D274="","",IFERROR(ROUND($D274*INDEX('🔖 배합비 참조'!$B$2:$CE$83,MATCH("호박씨앗(외국산)",'🔖 배합비 참조'!$A$2:$A$83,0),MATCH($C274,'🔖 배합비 참조'!$B$1:$CE$1,0))/100,0),""))),"")</f>
        <v>0</v>
      </c>
      <c r="CE274" s="42" t="n">
        <f aca="false">IFERROR(IF($C274="","",IF($D274="","",IFERROR(ROUND($D274*INDEX('🔖 배합비 참조'!$B$2:$CE$83,MATCH("혼합제제(떡용에스텔)",'🔖 배합비 참조'!$A$2:$A$83,0),MATCH($C274,'🔖 배합비 참조'!$B$1:$CE$1,0))/100,0),""))),"")</f>
        <v>22</v>
      </c>
      <c r="CF274" s="42" t="n">
        <f aca="false">IFERROR(IF($C274="","",IF($D274="","",IFERROR(ROUND($D274*INDEX('🔖 배합비 참조'!$B$2:$CE$83,MATCH("혼합제제(스테비아)",'🔖 배합비 참조'!$A$2:$A$83,0),MATCH($C274,'🔖 배합비 참조'!$B$1:$CE$1,0))/100,0),""))),"")</f>
        <v>0</v>
      </c>
      <c r="CG274" s="42" t="n">
        <f aca="false">IFERROR(IF($C274="","",IF($D274="","",IFERROR(ROUND($D274*INDEX('🔖 배합비 참조'!$B$2:$CE$83,MATCH("화이트초콜릿",'🔖 배합비 참조'!$A$2:$A$83,0),MATCH($C274,'🔖 배합비 참조'!$B$1:$CE$1,0))/100,0),""))),"")</f>
        <v>0</v>
      </c>
      <c r="CH274" s="42" t="n">
        <f aca="false">IFERROR(IF($C274="","",IF($D274="","",IFERROR(ROUND($D274*INDEX('🔖 배합비 참조'!$B$2:$CE$83,MATCH("흑미찹쌀(국내산)",'🔖 배합비 참조'!$A$2:$A$83,0),MATCH($C274,'🔖 배합비 참조'!$B$1:$CE$1,0))/100,0),""))),"")</f>
        <v>0</v>
      </c>
      <c r="CI274" s="42" t="n">
        <f aca="false">IFERROR(IF($C274="","",IF($D274="","",IFERROR(ROUND($D274*INDEX('🔖 배합비 참조'!$B$2:$CE$83,MATCH("찰옥수수전분(미국산)",'🔖 배합비 참조'!$A$2:$A$83,0),MATCH($C274,'🔖 배합비 참조'!$B$1:$CE$1,0))/100,0),""))),"")</f>
        <v>99</v>
      </c>
      <c r="CJ274" s="40"/>
      <c r="CL274" s="43" t="s">
        <v>248</v>
      </c>
    </row>
    <row r="275" customFormat="false" ht="18" hidden="false" customHeight="true" outlineLevel="0" collapsed="false">
      <c r="A275" s="35" t="n">
        <v>271</v>
      </c>
      <c r="B275" s="36" t="n">
        <v>46093</v>
      </c>
      <c r="C275" s="37" t="s">
        <v>174</v>
      </c>
      <c r="D275" s="38" t="n">
        <v>340</v>
      </c>
      <c r="E275" s="13"/>
      <c r="F275" s="13"/>
      <c r="G275" s="39" t="n">
        <f aca="false">IFERROR(IF($C275="","",IF($D275="","",IFERROR(ROUND($D275*INDEX('🔖 배합비 참조'!$B$2:$CE$83,MATCH("간장",'🔖 배합비 참조'!$A$2:$A$83,0),MATCH($C275,'🔖 배합비 참조'!$B$1:$CE$1,0))/100,0),""))),"")</f>
        <v>0</v>
      </c>
      <c r="H275" s="39" t="n">
        <f aca="false">IFERROR(IF($C275="","",IF($D275="","",IFERROR(ROUND($D275*INDEX('🔖 배합비 참조'!$B$2:$CE$83,MATCH("강낭콩((울타리콩))",'🔖 배합비 참조'!$A$2:$A$83,0),MATCH($C275,'🔖 배합비 참조'!$B$1:$CE$1,0))/100,0),""))),"")</f>
        <v>0</v>
      </c>
      <c r="I275" s="39" t="n">
        <f aca="false">IFERROR(IF($C275="","",IF($D275="","",IFERROR(ROUND($D275*INDEX('🔖 배합비 참조'!$B$2:$CE$83,MATCH("건조딸기다이스(외국산)",'🔖 배합비 참조'!$A$2:$A$83,0),MATCH($C275,'🔖 배합비 참조'!$B$1:$CE$1,0))/100,0),""))),"")</f>
        <v>0</v>
      </c>
      <c r="J275" s="39" t="n">
        <f aca="false">IFERROR(IF($C275="","",IF($D275="","",IFERROR(ROUND($D275*INDEX('🔖 배합비 참조'!$B$2:$CE$83,MATCH("건포도",'🔖 배합비 참조'!$A$2:$A$83,0),MATCH($C275,'🔖 배합비 참조'!$B$1:$CE$1,0))/100,0),""))),"")</f>
        <v>0</v>
      </c>
      <c r="K275" s="39" t="n">
        <f aca="false">IFERROR(IF($C275="","",IF($D275="","",IFERROR(ROUND($D275*INDEX('🔖 배합비 참조'!$B$2:$CE$83,MATCH("건호박채(중국산)",'🔖 배합비 참조'!$A$2:$A$83,0),MATCH($C275,'🔖 배합비 참조'!$B$1:$CE$1,0))/100,0),""))),"")</f>
        <v>0</v>
      </c>
      <c r="L275" s="39" t="n">
        <f aca="false">IFERROR(IF($C275="","",IF($D275="","",IFERROR(ROUND($D275*INDEX('🔖 배합비 참조'!$B$2:$CE$83,MATCH("검정깨(흑임자)",'🔖 배합비 참조'!$A$2:$A$83,0),MATCH($C275,'🔖 배합비 참조'!$B$1:$CE$1,0))/100,0),""))),"")</f>
        <v>0</v>
      </c>
      <c r="M275" s="39" t="n">
        <f aca="false">IFERROR(IF($C275="","",IF($D275="","",IFERROR(ROUND($D275*INDEX('🔖 배합비 참조'!$B$2:$CE$83,MATCH("검정콩",'🔖 배합비 참조'!$A$2:$A$83,0),MATCH($C275,'🔖 배합비 참조'!$B$1:$CE$1,0))/100,0),""))),"")</f>
        <v>0</v>
      </c>
      <c r="N275" s="39" t="n">
        <f aca="false">IFERROR(IF($C275="","",IF($D275="","",IFERROR(ROUND($D275*INDEX('🔖 배합비 참조'!$B$2:$CE$83,MATCH("계피가루",'🔖 배합비 참조'!$A$2:$A$83,0),MATCH($C275,'🔖 배합비 참조'!$B$1:$CE$1,0))/100,0),""))),"")</f>
        <v>0</v>
      </c>
      <c r="O275" s="39" t="n">
        <f aca="false">IFERROR(IF($C275="","",IF($D275="","",IFERROR(ROUND($D275*INDEX('🔖 배합비 참조'!$B$2:$CE$83,MATCH("고구마가루",'🔖 배합비 참조'!$A$2:$A$83,0),MATCH($C275,'🔖 배합비 참조'!$B$1:$CE$1,0))/100,0),""))),"")</f>
        <v>0</v>
      </c>
      <c r="P275" s="39" t="n">
        <f aca="false">IFERROR(IF($C275="","",IF($D275="","",IFERROR(ROUND($D275*INDEX('🔖 배합비 참조'!$B$2:$CE$83,MATCH("고구마무스",'🔖 배합비 참조'!$A$2:$A$83,0),MATCH($C275,'🔖 배합비 참조'!$B$1:$CE$1,0))/100,0),""))),"")</f>
        <v>0</v>
      </c>
      <c r="Q275" s="39" t="n">
        <f aca="false">IFERROR(IF($C275="","",IF($D275="","",IFERROR(ROUND($D275*INDEX('🔖 배합비 참조'!$B$2:$CE$83,MATCH("고려엉겅퀴((곤드레)국내산)",'🔖 배합비 참조'!$A$2:$A$83,0),MATCH($C275,'🔖 배합비 참조'!$B$1:$CE$1,0))/100,0),""))),"")</f>
        <v>0</v>
      </c>
      <c r="R275" s="39" t="n">
        <f aca="false">IFERROR(IF($C275="","",IF($D275="","",IFERROR(ROUND($D275*INDEX('🔖 배합비 참조'!$B$2:$CE$83,MATCH("기타가공품(복분자가루)",'🔖 배합비 참조'!$A$2:$A$83,0),MATCH($C275,'🔖 배합비 참조'!$B$1:$CE$1,0))/100,0),""))),"")</f>
        <v>0</v>
      </c>
      <c r="S275" s="39" t="n">
        <f aca="false">IFERROR(IF($C275="","",IF($D275="","",IFERROR(ROUND($D275*INDEX('🔖 배합비 참조'!$B$2:$CE$83,MATCH("기타가공품(슈퍼소프트엠)",'🔖 배합비 참조'!$A$2:$A$83,0),MATCH($C275,'🔖 배합비 참조'!$B$1:$CE$1,0))/100,0),""))),"")</f>
        <v>0</v>
      </c>
      <c r="T275" s="39" t="n">
        <f aca="false">IFERROR(IF($C275="","",IF($D275="","",IFERROR(ROUND($D275*INDEX('🔖 배합비 참조'!$B$2:$CE$83,MATCH("기타가공품(파인소프트 E-티)",'🔖 배합비 참조'!$A$2:$A$83,0),MATCH($C275,'🔖 배합비 참조'!$B$1:$CE$1,0))/100,0),""))),"")</f>
        <v>0</v>
      </c>
      <c r="U275" s="39" t="n">
        <f aca="false">IFERROR(IF($C275="","",IF($D275="","",IFERROR(ROUND($D275*INDEX('🔖 배합비 참조'!$B$2:$CE$83,MATCH("기타가공품(프리미엄카스테라가루)",'🔖 배합비 참조'!$A$2:$A$83,0),MATCH($C275,'🔖 배합비 참조'!$B$1:$CE$1,0))/100,0),""))),"")</f>
        <v>0</v>
      </c>
      <c r="V275" s="39" t="n">
        <f aca="false">IFERROR(IF($C275="","",IF($D275="","",IFERROR(ROUND($D275*INDEX('🔖 배합비 참조'!$B$2:$CE$83,MATCH("기타가공품(흑임자가루)",'🔖 배합비 참조'!$A$2:$A$83,0),MATCH($C275,'🔖 배합비 참조'!$B$1:$CE$1,0))/100,0),""))),"")</f>
        <v>0</v>
      </c>
      <c r="W275" s="39" t="n">
        <f aca="false">IFERROR(IF($C275="","",IF($D275="","",IFERROR(ROUND($D275*INDEX('🔖 배합비 참조'!$B$2:$CE$83,MATCH("기타설탕(흑설탕)",'🔖 배합비 참조'!$A$2:$A$83,0),MATCH($C275,'🔖 배합비 참조'!$B$1:$CE$1,0))/100,0),""))),"")</f>
        <v>0</v>
      </c>
      <c r="X275" s="39" t="n">
        <f aca="false">IFERROR(IF($C275="","",IF($D275="","",IFERROR(ROUND($D275*INDEX('🔖 배합비 참조'!$B$2:$CE$83,MATCH("냉동쑥(국내산)",'🔖 배합비 참조'!$A$2:$A$83,0),MATCH($C275,'🔖 배합비 참조'!$B$1:$CE$1,0))/100,0),""))),"")</f>
        <v>41</v>
      </c>
      <c r="Y275" s="39" t="n">
        <f aca="false">IFERROR(IF($C275="","",IF($D275="","",IFERROR(ROUND($D275*INDEX('🔖 배합비 참조'!$B$2:$CE$83,MATCH("냉동증숙고구마(중국산)",'🔖 배합비 참조'!$A$2:$A$83,0),MATCH($C275,'🔖 배합비 참조'!$B$1:$CE$1,0))/100,0),""))),"")</f>
        <v>0</v>
      </c>
      <c r="Z275" s="39" t="n">
        <f aca="false">IFERROR(IF($C275="","",IF($D275="","",IFERROR(ROUND($D275*INDEX('🔖 배합비 참조'!$B$2:$CE$83,MATCH("녹차가루",'🔖 배합비 참조'!$A$2:$A$83,0),MATCH($C275,'🔖 배합비 참조'!$B$1:$CE$1,0))/100,0),""))),"")</f>
        <v>0</v>
      </c>
      <c r="AA275" s="39" t="n">
        <f aca="false">IFERROR(IF($C275="","",IF($D275="","",IFERROR(ROUND($D275*INDEX('🔖 배합비 참조'!$B$2:$CE$83,MATCH("다크초콜릿 컴파운드칩",'🔖 배합비 참조'!$A$2:$A$83,0),MATCH($C275,'🔖 배합비 참조'!$B$1:$CE$1,0))/100,0),""))),"")</f>
        <v>0</v>
      </c>
      <c r="AB275" s="39" t="n">
        <f aca="false">IFERROR(IF($C275="","",IF($D275="","",IFERROR(ROUND($D275*INDEX('🔖 배합비 참조'!$B$2:$CE$83,MATCH("단호박분말(중국산)",'🔖 배합비 참조'!$A$2:$A$83,0),MATCH($C275,'🔖 배합비 참조'!$B$1:$CE$1,0))/100,0),""))),"")</f>
        <v>0</v>
      </c>
      <c r="AC275" s="39" t="n">
        <f aca="false">IFERROR(IF($C275="","",IF($D275="","",IFERROR(ROUND($D275*INDEX('🔖 배합비 참조'!$B$2:$CE$83,MATCH("당류가공품(단호박농축액)",'🔖 배합비 참조'!$A$2:$A$83,0),MATCH($C275,'🔖 배합비 참조'!$B$1:$CE$1,0))/100,0),""))),"")</f>
        <v>0</v>
      </c>
      <c r="AD275" s="39" t="n">
        <f aca="false">IFERROR(IF($C275="","",IF($D275="","",IFERROR(ROUND($D275*INDEX('🔖 배합비 참조'!$B$2:$CE$83,MATCH("당류가공품(알룰로스,에리스리톨,스테비올배당체혼합)",'🔖 배합비 참조'!$A$2:$A$83,0),MATCH($C275,'🔖 배합비 참조'!$B$1:$CE$1,0))/100,0),""))),"")</f>
        <v>0</v>
      </c>
      <c r="AE275" s="39" t="n">
        <f aca="false">IFERROR(IF($C275="","",IF($D275="","",IFERROR(ROUND($D275*INDEX('🔖 배합비 참조'!$B$2:$CE$83,MATCH("당류가공품(알룰로스제로파우더)",'🔖 배합비 참조'!$A$2:$A$83,0),MATCH($C275,'🔖 배합비 참조'!$B$1:$CE$1,0))/100,0),""))),"")</f>
        <v>0</v>
      </c>
      <c r="AF275" s="39" t="n">
        <f aca="false">IFERROR(IF($C275="","",IF($D275="","",IFERROR(ROUND($D275*INDEX('🔖 배합비 참조'!$B$2:$CE$83,MATCH("당절임(완두배기)",'🔖 배합비 참조'!$A$2:$A$83,0),MATCH($C275,'🔖 배합비 참조'!$B$1:$CE$1,0))/100,0),""))),"")</f>
        <v>0</v>
      </c>
      <c r="AG275" s="39" t="n">
        <f aca="false">IFERROR(IF($C275="","",IF($D275="","",IFERROR(ROUND($D275*INDEX('🔖 배합비 참조'!$B$2:$CE$83,MATCH("대추농축액",'🔖 배합비 참조'!$A$2:$A$83,0),MATCH($C275,'🔖 배합비 참조'!$B$1:$CE$1,0))/100,0),""))),"")</f>
        <v>0</v>
      </c>
      <c r="AH275" s="39" t="n">
        <f aca="false">IFERROR(IF($C275="","",IF($D275="","",IFERROR(ROUND($D275*INDEX('🔖 배합비 참조'!$B$2:$CE$83,MATCH("대추채(국내산)",'🔖 배합비 참조'!$A$2:$A$83,0),MATCH($C275,'🔖 배합비 참조'!$B$1:$CE$1,0))/100,0),""))),"")</f>
        <v>0</v>
      </c>
      <c r="AI275" s="39" t="n">
        <f aca="false">IFERROR(IF($C275="","",IF($D275="","",IFERROR(ROUND($D275*INDEX('🔖 배합비 참조'!$B$2:$CE$83,MATCH("동부(미얀마산)",'🔖 배합비 참조'!$A$2:$A$83,0),MATCH($C275,'🔖 배합비 참조'!$B$1:$CE$1,0))/100,0),""))),"")</f>
        <v>0</v>
      </c>
      <c r="AJ275" s="39" t="n">
        <f aca="false">IFERROR(IF($C275="","",IF($D275="","",IFERROR(ROUND($D275*INDEX('🔖 배합비 참조'!$B$2:$CE$83,MATCH("두류가공품(백옥앙금)",'🔖 배합비 참조'!$A$2:$A$83,0),MATCH($C275,'🔖 배합비 참조'!$B$1:$CE$1,0))/100,0),""))),"")</f>
        <v>0</v>
      </c>
      <c r="AK275" s="39" t="n">
        <f aca="false">IFERROR(IF($C275="","",IF($D275="","",IFERROR(ROUND($D275*INDEX('🔖 배합비 참조'!$B$2:$CE$83,MATCH("두류가공품(콩고물)",'🔖 배합비 참조'!$A$2:$A$83,0),MATCH($C275,'🔖 배합비 참조'!$B$1:$CE$1,0))/100,0),""))),"")</f>
        <v>0</v>
      </c>
      <c r="AL275" s="39" t="n">
        <f aca="false">IFERROR(IF($C275="","",IF($D275="","",IFERROR(ROUND($D275*INDEX('🔖 배합비 참조'!$B$2:$CE$83,MATCH("두류가공품(통팥고물)",'🔖 배합비 참조'!$A$2:$A$83,0),MATCH($C275,'🔖 배합비 참조'!$B$1:$CE$1,0))/100,0),""))),"")</f>
        <v>0</v>
      </c>
      <c r="AM275" s="39" t="n">
        <f aca="false">IFERROR(IF($C275="","",IF($D275="","",IFERROR(ROUND($D275*INDEX('🔖 배합비 참조'!$B$2:$CE$83,MATCH("딸기레진",'🔖 배합비 참조'!$A$2:$A$83,0),MATCH($C275,'🔖 배합비 참조'!$B$1:$CE$1,0))/100,0),""))),"")</f>
        <v>0</v>
      </c>
      <c r="AN275" s="39" t="n">
        <f aca="false">IFERROR(IF($C275="","",IF($D275="","",IFERROR(ROUND($D275*INDEX('🔖 배합비 참조'!$B$2:$CE$83,MATCH("딸기분말(스트로우베리에이드(분말))",'🔖 배합비 참조'!$A$2:$A$83,0),MATCH($C275,'🔖 배합비 참조'!$B$1:$CE$1,0))/100,0),""))),"")</f>
        <v>0</v>
      </c>
      <c r="AO275" s="39" t="n">
        <f aca="false">IFERROR(IF($C275="","",IF($D275="","",IFERROR(ROUND($D275*INDEX('🔖 배합비 참조'!$B$2:$CE$83,MATCH("마스카포네치즈",'🔖 배합비 참조'!$A$2:$A$83,0),MATCH($C275,'🔖 배합비 참조'!$B$1:$CE$1,0))/100,0),""))),"")</f>
        <v>0</v>
      </c>
      <c r="AP275" s="39" t="n">
        <f aca="false">IFERROR(IF($C275="","",IF($D275="","",IFERROR(ROUND($D275*INDEX('🔖 배합비 참조'!$B$2:$CE$83,MATCH("마카다미아분태(호주산)",'🔖 배합비 참조'!$A$2:$A$83,0),MATCH($C275,'🔖 배합비 참조'!$B$1:$CE$1,0))/100,0),""))),"")</f>
        <v>0</v>
      </c>
      <c r="AQ275" s="39" t="n">
        <f aca="false">IFERROR(IF($C275="","",IF($D275="","",IFERROR(ROUND($D275*INDEX('🔖 배합비 참조'!$B$2:$CE$83,MATCH("멥쌀(국내산)",'🔖 배합비 참조'!$A$2:$A$83,0),MATCH($C275,'🔖 배합비 참조'!$B$1:$CE$1,0))/100,0),""))),"")</f>
        <v>165</v>
      </c>
      <c r="AR275" s="39" t="n">
        <f aca="false">IFERROR(IF($C275="","",IF($D275="","",IFERROR(ROUND($D275*INDEX('🔖 배합비 참조'!$B$2:$CE$83,MATCH("모시잎(국내산)",'🔖 배합비 참조'!$A$2:$A$83,0),MATCH($C275,'🔖 배합비 참조'!$B$1:$CE$1,0))/100,0),""))),"")</f>
        <v>0</v>
      </c>
      <c r="AS275" s="39" t="n">
        <f aca="false">IFERROR(IF($C275="","",IF($D275="","",IFERROR(ROUND($D275*INDEX('🔖 배합비 참조'!$B$2:$CE$83,MATCH("물엿(저당물엿)",'🔖 배합비 참조'!$A$2:$A$83,0),MATCH($C275,'🔖 배합비 참조'!$B$1:$CE$1,0))/100,0),""))),"")</f>
        <v>7</v>
      </c>
      <c r="AT275" s="39" t="n">
        <f aca="false">IFERROR(IF($C275="","",IF($D275="","",IFERROR(ROUND($D275*INDEX('🔖 배합비 참조'!$B$2:$CE$83,MATCH("밤다이스",'🔖 배합비 참조'!$A$2:$A$83,0),MATCH($C275,'🔖 배합비 참조'!$B$1:$CE$1,0))/100,0),""))),"")</f>
        <v>0</v>
      </c>
      <c r="AU275" s="39" t="n">
        <f aca="false">IFERROR(IF($C275="","",IF($D275="","",IFERROR(ROUND($D275*INDEX('🔖 배합비 참조'!$B$2:$CE$83,MATCH("변성전분(타피오카전분)",'🔖 배합비 참조'!$A$2:$A$83,0),MATCH($C275,'🔖 배합비 참조'!$B$1:$CE$1,0))/100,0),""))),"")</f>
        <v>4</v>
      </c>
      <c r="AV275" s="39" t="n">
        <f aca="false">IFERROR(IF($C275="","",IF($D275="","",IFERROR(ROUND($D275*INDEX('🔖 배합비 참조'!$B$2:$CE$83,MATCH("복음땅콩분태",'🔖 배합비 참조'!$A$2:$A$83,0),MATCH($C275,'🔖 배합비 참조'!$B$1:$CE$1,0))/100,0),""))),"")</f>
        <v>0</v>
      </c>
      <c r="AW275" s="39" t="n">
        <f aca="false">IFERROR(IF($C275="","",IF($D275="","",IFERROR(ROUND($D275*INDEX('🔖 배합비 참조'!$B$2:$CE$83,MATCH("사양벌꿀(국내산)",'🔖 배합비 참조'!$A$2:$A$83,0),MATCH($C275,'🔖 배합비 참조'!$B$1:$CE$1,0))/100,0),""))),"")</f>
        <v>0</v>
      </c>
      <c r="AX275" s="39" t="n">
        <f aca="false">IFERROR(IF($C275="","",IF($D275="","",IFERROR(ROUND($D275*INDEX('🔖 배합비 참조'!$B$2:$CE$83,MATCH("생크림",'🔖 배합비 참조'!$A$2:$A$83,0),MATCH($C275,'🔖 배합비 참조'!$B$1:$CE$1,0))/100,0),""))),"")</f>
        <v>0</v>
      </c>
      <c r="AY275" s="39" t="n">
        <f aca="false">IFERROR(IF($C275="","",IF($D275="","",IFERROR(ROUND($D275*INDEX('🔖 배합비 참조'!$B$2:$CE$83,MATCH("서양호박(국내산,뉴질랜드산)",'🔖 배합비 참조'!$A$2:$A$83,0),MATCH($C275,'🔖 배합비 참조'!$B$1:$CE$1,0))/100,0),""))),"")</f>
        <v>0</v>
      </c>
      <c r="AZ275" s="39" t="n">
        <f aca="false">IFERROR(IF($C275="","",IF($D275="","",IFERROR(ROUND($D275*INDEX('🔖 배합비 참조'!$B$2:$CE$83,MATCH("설탕",'🔖 배합비 참조'!$A$2:$A$83,0),MATCH($C275,'🔖 배합비 참조'!$B$1:$CE$1,0))/100,0),""))),"")</f>
        <v>0</v>
      </c>
      <c r="BA275" s="39" t="n">
        <f aca="false">IFERROR(IF($C275="","",IF($D275="","",IFERROR(ROUND($D275*INDEX('🔖 배합비 참조'!$B$2:$CE$83,MATCH("스트로우베리 에이드 후레쉬",'🔖 배합비 참조'!$A$2:$A$83,0),MATCH($C275,'🔖 배합비 참조'!$B$1:$CE$1,0))/100,0),""))),"")</f>
        <v>0</v>
      </c>
      <c r="BB275" s="39" t="n">
        <f aca="false">IFERROR(IF($C275="","",IF($D275="","",IFERROR(ROUND($D275*INDEX('🔖 배합비 참조'!$B$2:$CE$83,MATCH("식물성기름혼합제제(분홍)",'🔖 배합비 참조'!$A$2:$A$83,0),MATCH($C275,'🔖 배합비 참조'!$B$1:$CE$1,0))/100,0),""))),"")</f>
        <v>0</v>
      </c>
      <c r="BC275" s="39" t="n">
        <f aca="false">IFERROR(IF($C275="","",IF($D275="","",IFERROR(ROUND($D275*INDEX('🔖 배합비 참조'!$B$2:$CE$83,MATCH("식물성기름혼합제제(초록)",'🔖 배합비 참조'!$A$2:$A$83,0),MATCH($C275,'🔖 배합비 참조'!$B$1:$CE$1,0))/100,0),""))),"")</f>
        <v>0</v>
      </c>
      <c r="BD275" s="39" t="n">
        <f aca="false">IFERROR(IF($C275="","",IF($D275="","",IFERROR(ROUND($D275*INDEX('🔖 배합비 참조'!$B$2:$CE$83,MATCH("식물성기름혼합제제(황색)",'🔖 배합비 참조'!$A$2:$A$83,0),MATCH($C275,'🔖 배합비 참조'!$B$1:$CE$1,0))/100,0),""))),"")</f>
        <v>0</v>
      </c>
      <c r="BE275" s="39" t="n">
        <f aca="false">IFERROR(IF($C275="","",IF($D275="","",IFERROR(ROUND($D275*INDEX('🔖 배합비 참조'!$B$2:$CE$83,MATCH("쑥가루(국내산)",'🔖 배합비 참조'!$A$2:$A$83,0),MATCH($C275,'🔖 배합비 참조'!$B$1:$CE$1,0))/100,0),""))),"")</f>
        <v>3</v>
      </c>
      <c r="BF275" s="39" t="n">
        <f aca="false">IFERROR(IF($C275="","",IF($D275="","",IFERROR(ROUND($D275*INDEX('🔖 배합비 참조'!$B$2:$CE$83,MATCH("아몬드슬라이스",'🔖 배합비 참조'!$A$2:$A$83,0),MATCH($C275,'🔖 배합비 참조'!$B$1:$CE$1,0))/100,0),""))),"")</f>
        <v>0</v>
      </c>
      <c r="BG275" s="39" t="n">
        <f aca="false">IFERROR(IF($C275="","",IF($D275="","",IFERROR(ROUND($D275*INDEX('🔖 배합비 참조'!$B$2:$CE$83,MATCH("알룰로오스(국내산)",'🔖 배합비 참조'!$A$2:$A$83,0),MATCH($C275,'🔖 배합비 참조'!$B$1:$CE$1,0))/100,0),""))),"")</f>
        <v>0</v>
      </c>
      <c r="BH275" s="39" t="n">
        <f aca="false">IFERROR(IF($C275="","",IF($D275="","",IFERROR(ROUND($D275*INDEX('🔖 배합비 참조'!$B$2:$CE$83,MATCH("연유",'🔖 배합비 참조'!$A$2:$A$83,0),MATCH($C275,'🔖 배합비 참조'!$B$1:$CE$1,0))/100,0),""))),"")</f>
        <v>0</v>
      </c>
      <c r="BI275" s="39" t="n">
        <f aca="false">IFERROR(IF($C275="","",IF($D275="","",IFERROR(ROUND($D275*INDEX('🔖 배합비 참조'!$B$2:$CE$83,MATCH("옥수수전분",'🔖 배합비 참조'!$A$2:$A$83,0),MATCH($C275,'🔖 배합비 참조'!$B$1:$CE$1,0))/100,0),""))),"")</f>
        <v>0</v>
      </c>
      <c r="BJ275" s="39" t="n">
        <f aca="false">IFERROR(IF($C275="","",IF($D275="","",IFERROR(ROUND($D275*INDEX('🔖 배합비 참조'!$B$2:$CE$83,MATCH("완두배기",'🔖 배합비 참조'!$A$2:$A$83,0),MATCH($C275,'🔖 배합비 참조'!$B$1:$CE$1,0))/100,0),""))),"")</f>
        <v>0</v>
      </c>
      <c r="BK275" s="39" t="n">
        <f aca="false">IFERROR(IF($C275="","",IF($D275="","",IFERROR(ROUND($D275*INDEX('🔖 배합비 참조'!$B$2:$CE$83,MATCH("우유(국내산)",'🔖 배합비 참조'!$A$2:$A$83,0),MATCH($C275,'🔖 배합비 참조'!$B$1:$CE$1,0))/100,0),""))),"")</f>
        <v>0</v>
      </c>
      <c r="BL275" s="39" t="n">
        <f aca="false">IFERROR(IF($C275="","",IF($D275="","",IFERROR(ROUND($D275*INDEX('🔖 배합비 참조'!$B$2:$CE$83,MATCH("자색고구마가루(중국산)",'🔖 배합비 참조'!$A$2:$A$83,0),MATCH($C275,'🔖 배합비 참조'!$B$1:$CE$1,0))/100,0),""))),"")</f>
        <v>0</v>
      </c>
      <c r="BM275" s="39" t="n">
        <f aca="false">IFERROR(IF($C275="","",IF($D275="","",IFERROR(ROUND($D275*INDEX('🔖 배합비 참조'!$B$2:$CE$83,MATCH("자연치즈(체다치즈)",'🔖 배합비 참조'!$A$2:$A$83,0),MATCH($C275,'🔖 배합비 참조'!$B$1:$CE$1,0))/100,0),""))),"")</f>
        <v>0</v>
      </c>
      <c r="BN275" s="39" t="n">
        <f aca="false">IFERROR(IF($C275="","",IF($D275="","",IFERROR(ROUND($D275*INDEX('🔖 배합비 참조'!$B$2:$CE$83,MATCH("정제수",'🔖 배합비 참조'!$A$2:$A$83,0),MATCH($C275,'🔖 배합비 참조'!$B$1:$CE$1,0))/100,0),""))),"")</f>
        <v>113</v>
      </c>
      <c r="BO275" s="39" t="n">
        <f aca="false">IFERROR(IF($C275="","",IF($D275="","",IFERROR(ROUND($D275*INDEX('🔖 배합비 참조'!$B$2:$CE$83,MATCH("젤라틴",'🔖 배합비 참조'!$A$2:$A$83,0),MATCH($C275,'🔖 배합비 참조'!$B$1:$CE$1,0))/100,0),""))),"")</f>
        <v>0</v>
      </c>
      <c r="BP275" s="39" t="n">
        <f aca="false">IFERROR(IF($C275="","",IF($D275="","",IFERROR(ROUND($D275*INDEX('🔖 배합비 참조'!$B$2:$CE$83,MATCH("조림류(백옥앙금)",'🔖 배합비 참조'!$A$2:$A$83,0),MATCH($C275,'🔖 배합비 참조'!$B$1:$CE$1,0))/100,0),""))),"")</f>
        <v>0</v>
      </c>
      <c r="BQ275" s="39" t="n">
        <f aca="false">IFERROR(IF($C275="","",IF($D275="","",IFERROR(ROUND($D275*INDEX('🔖 배합비 참조'!$B$2:$CE$83,MATCH("조림류(통팥앙금)",'🔖 배합비 참조'!$A$2:$A$83,0),MATCH($C275,'🔖 배합비 참조'!$B$1:$CE$1,0))/100,0),""))),"")</f>
        <v>0</v>
      </c>
      <c r="BR275" s="39" t="n">
        <f aca="false">IFERROR(IF($C275="","",IF($D275="","",IFERROR(ROUND($D275*INDEX('🔖 배합비 참조'!$B$2:$CE$83,MATCH("준초콜릿(외국산)",'🔖 배합비 참조'!$A$2:$A$83,0),MATCH($C275,'🔖 배합비 참조'!$B$1:$CE$1,0))/100,0),""))),"")</f>
        <v>0</v>
      </c>
      <c r="BS275" s="39" t="n">
        <f aca="false">IFERROR(IF($C275="","",IF($D275="","",IFERROR(ROUND($D275*INDEX('🔖 배합비 참조'!$B$2:$CE$83,MATCH("중력분",'🔖 배합비 참조'!$A$2:$A$83,0),MATCH($C275,'🔖 배합비 참조'!$B$1:$CE$1,0))/100,0),""))),"")</f>
        <v>0</v>
      </c>
      <c r="BT275" s="39" t="n">
        <f aca="false">IFERROR(IF($C275="","",IF($D275="","",IFERROR(ROUND($D275*INDEX('🔖 배합비 참조'!$B$2:$CE$83,MATCH("참깨(인도산,나이지리아산,탄자니아산,미얀마산)",'🔖 배합비 참조'!$A$2:$A$83,0),MATCH($C275,'🔖 배합비 참조'!$B$1:$CE$1,0))/100,0),""))),"")</f>
        <v>0</v>
      </c>
      <c r="BU275" s="39" t="n">
        <f aca="false">IFERROR(IF($C275="","",IF($D275="","",IFERROR(ROUND($D275*INDEX('🔖 배합비 참조'!$B$2:$CE$83,MATCH("찹쌀(국내산)",'🔖 배합비 참조'!$A$2:$A$83,0),MATCH($C275,'🔖 배합비 참조'!$B$1:$CE$1,0))/100,0),""))),"")</f>
        <v>0</v>
      </c>
      <c r="BV275" s="39" t="n">
        <f aca="false">IFERROR(IF($C275="","",IF($D275="","",IFERROR(ROUND($D275*INDEX('🔖 배합비 참조'!$B$2:$CE$83,MATCH("천일염",'🔖 배합비 참조'!$A$2:$A$83,0),MATCH($C275,'🔖 배합비 참조'!$B$1:$CE$1,0))/100,0),""))),"")</f>
        <v>3</v>
      </c>
      <c r="BW275" s="39" t="n">
        <f aca="false">IFERROR(IF($C275="","",IF($D275="","",IFERROR(ROUND($D275*INDEX('🔖 배합비 참조'!$B$2:$CE$83,MATCH("치즈 [크림치즈]",'🔖 배합비 참조'!$A$2:$A$83,0),MATCH($C275,'🔖 배합비 참조'!$B$1:$CE$1,0))/100,0),""))),"")</f>
        <v>0</v>
      </c>
      <c r="BX275" s="39" t="n">
        <f aca="false">IFERROR(IF($C275="","",IF($D275="","",IFERROR(ROUND($D275*INDEX('🔖 배합비 참조'!$B$2:$CE$83,MATCH("코코아가공품류(코코아분말)",'🔖 배합비 참조'!$A$2:$A$83,0),MATCH($C275,'🔖 배합비 참조'!$B$1:$CE$1,0))/100,0),""))),"")</f>
        <v>0</v>
      </c>
      <c r="BY275" s="39" t="n">
        <f aca="false">IFERROR(IF($C275="","",IF($D275="","",IFERROR(ROUND($D275*INDEX('🔖 배합비 참조'!$B$2:$CE$83,MATCH("콩기름(대두유)",'🔖 배합비 참조'!$A$2:$A$83,0),MATCH($C275,'🔖 배합비 참조'!$B$1:$CE$1,0))/100,0),""))),"")</f>
        <v>4</v>
      </c>
      <c r="BZ275" s="39" t="n">
        <f aca="false">IFERROR(IF($C275="","",IF($D275="","",IFERROR(ROUND($D275*INDEX('🔖 배합비 참조'!$B$2:$CE$83,MATCH("해바라기씨앗",'🔖 배합비 참조'!$A$2:$A$83,0),MATCH($C275,'🔖 배합비 참조'!$B$1:$CE$1,0))/100,0),""))),"")</f>
        <v>0</v>
      </c>
      <c r="CA275" s="39" t="n">
        <f aca="false">IFERROR(IF($C275="","",IF($D275="","",IFERROR(ROUND($D275*INDEX('🔖 배합비 참조'!$B$2:$CE$83,MATCH("현미(국내산)",'🔖 배합비 참조'!$A$2:$A$83,0),MATCH($C275,'🔖 배합비 참조'!$B$1:$CE$1,0))/100,0),""))),"")</f>
        <v>0</v>
      </c>
      <c r="CB275" s="39" t="n">
        <f aca="false">IFERROR(IF($C275="","",IF($D275="","",IFERROR(ROUND($D275*INDEX('🔖 배합비 참조'!$B$2:$CE$83,MATCH("현미멥쌀(국내산)",'🔖 배합비 참조'!$A$2:$A$83,0),MATCH($C275,'🔖 배합비 참조'!$B$1:$CE$1,0))/100,0),""))),"")</f>
        <v>0</v>
      </c>
      <c r="CC275" s="39" t="n">
        <f aca="false">IFERROR(IF($C275="","",IF($D275="","",IFERROR(ROUND($D275*INDEX('🔖 배합비 참조'!$B$2:$CE$83,MATCH("호두분태(미국산)",'🔖 배합비 참조'!$A$2:$A$83,0),MATCH($C275,'🔖 배합비 참조'!$B$1:$CE$1,0))/100,0),""))),"")</f>
        <v>0</v>
      </c>
      <c r="CD275" s="39" t="n">
        <f aca="false">IFERROR(IF($C275="","",IF($D275="","",IFERROR(ROUND($D275*INDEX('🔖 배합비 참조'!$B$2:$CE$83,MATCH("호박씨앗(외국산)",'🔖 배합비 참조'!$A$2:$A$83,0),MATCH($C275,'🔖 배합비 참조'!$B$1:$CE$1,0))/100,0),""))),"")</f>
        <v>0</v>
      </c>
      <c r="CE275" s="39" t="n">
        <f aca="false">IFERROR(IF($C275="","",IF($D275="","",IFERROR(ROUND($D275*INDEX('🔖 배합비 참조'!$B$2:$CE$83,MATCH("혼합제제(떡용에스텔)",'🔖 배합비 참조'!$A$2:$A$83,0),MATCH($C275,'🔖 배합비 참조'!$B$1:$CE$1,0))/100,0),""))),"")</f>
        <v>0</v>
      </c>
      <c r="CF275" s="39" t="n">
        <f aca="false">IFERROR(IF($C275="","",IF($D275="","",IFERROR(ROUND($D275*INDEX('🔖 배합비 참조'!$B$2:$CE$83,MATCH("혼합제제(스테비아)",'🔖 배합비 참조'!$A$2:$A$83,0),MATCH($C275,'🔖 배합비 참조'!$B$1:$CE$1,0))/100,0),""))),"")</f>
        <v>0</v>
      </c>
      <c r="CG275" s="39" t="n">
        <f aca="false">IFERROR(IF($C275="","",IF($D275="","",IFERROR(ROUND($D275*INDEX('🔖 배합비 참조'!$B$2:$CE$83,MATCH("화이트초콜릿",'🔖 배합비 참조'!$A$2:$A$83,0),MATCH($C275,'🔖 배합비 참조'!$B$1:$CE$1,0))/100,0),""))),"")</f>
        <v>0</v>
      </c>
      <c r="CH275" s="39" t="n">
        <f aca="false">IFERROR(IF($C275="","",IF($D275="","",IFERROR(ROUND($D275*INDEX('🔖 배합비 참조'!$B$2:$CE$83,MATCH("흑미찹쌀(국내산)",'🔖 배합비 참조'!$A$2:$A$83,0),MATCH($C275,'🔖 배합비 참조'!$B$1:$CE$1,0))/100,0),""))),"")</f>
        <v>0</v>
      </c>
      <c r="CI275" s="39" t="n">
        <f aca="false">IFERROR(IF($C275="","",IF($D275="","",IFERROR(ROUND($D275*INDEX('🔖 배합비 참조'!$B$2:$CE$83,MATCH("찰옥수수전분(미국산)",'🔖 배합비 참조'!$A$2:$A$83,0),MATCH($C275,'🔖 배합비 참조'!$B$1:$CE$1,0))/100,0),""))),"")</f>
        <v>0</v>
      </c>
      <c r="CJ275" s="40"/>
      <c r="CL275" s="43" t="s">
        <v>248</v>
      </c>
    </row>
    <row r="276" customFormat="false" ht="18" hidden="false" customHeight="true" outlineLevel="0" collapsed="false">
      <c r="A276" s="41" t="n">
        <v>272</v>
      </c>
      <c r="B276" s="36" t="n">
        <v>46093</v>
      </c>
      <c r="C276" s="37" t="s">
        <v>191</v>
      </c>
      <c r="D276" s="38" t="n">
        <v>220</v>
      </c>
      <c r="E276" s="17"/>
      <c r="F276" s="17"/>
      <c r="G276" s="42" t="n">
        <f aca="false">IFERROR(IF($C276="","",IF($D276="","",IFERROR(ROUND($D276*INDEX('🔖 배합비 참조'!$B$2:$CE$83,MATCH("간장",'🔖 배합비 참조'!$A$2:$A$83,0),MATCH($C276,'🔖 배합비 참조'!$B$1:$CE$1,0))/100,0),""))),"")</f>
        <v>0</v>
      </c>
      <c r="H276" s="42" t="n">
        <f aca="false">IFERROR(IF($C276="","",IF($D276="","",IFERROR(ROUND($D276*INDEX('🔖 배합비 참조'!$B$2:$CE$83,MATCH("강낭콩((울타리콩))",'🔖 배합비 참조'!$A$2:$A$83,0),MATCH($C276,'🔖 배합비 참조'!$B$1:$CE$1,0))/100,0),""))),"")</f>
        <v>0</v>
      </c>
      <c r="I276" s="42" t="n">
        <f aca="false">IFERROR(IF($C276="","",IF($D276="","",IFERROR(ROUND($D276*INDEX('🔖 배합비 참조'!$B$2:$CE$83,MATCH("건조딸기다이스(외국산)",'🔖 배합비 참조'!$A$2:$A$83,0),MATCH($C276,'🔖 배합비 참조'!$B$1:$CE$1,0))/100,0),""))),"")</f>
        <v>0</v>
      </c>
      <c r="J276" s="42" t="n">
        <f aca="false">IFERROR(IF($C276="","",IF($D276="","",IFERROR(ROUND($D276*INDEX('🔖 배합비 참조'!$B$2:$CE$83,MATCH("건포도",'🔖 배합비 참조'!$A$2:$A$83,0),MATCH($C276,'🔖 배합비 참조'!$B$1:$CE$1,0))/100,0),""))),"")</f>
        <v>0</v>
      </c>
      <c r="K276" s="42" t="n">
        <f aca="false">IFERROR(IF($C276="","",IF($D276="","",IFERROR(ROUND($D276*INDEX('🔖 배합비 참조'!$B$2:$CE$83,MATCH("건호박채(중국산)",'🔖 배합비 참조'!$A$2:$A$83,0),MATCH($C276,'🔖 배합비 참조'!$B$1:$CE$1,0))/100,0),""))),"")</f>
        <v>0</v>
      </c>
      <c r="L276" s="42" t="n">
        <f aca="false">IFERROR(IF($C276="","",IF($D276="","",IFERROR(ROUND($D276*INDEX('🔖 배합비 참조'!$B$2:$CE$83,MATCH("검정깨(흑임자)",'🔖 배합비 참조'!$A$2:$A$83,0),MATCH($C276,'🔖 배합비 참조'!$B$1:$CE$1,0))/100,0),""))),"")</f>
        <v>0</v>
      </c>
      <c r="M276" s="42" t="n">
        <f aca="false">IFERROR(IF($C276="","",IF($D276="","",IFERROR(ROUND($D276*INDEX('🔖 배합비 참조'!$B$2:$CE$83,MATCH("검정콩",'🔖 배합비 참조'!$A$2:$A$83,0),MATCH($C276,'🔖 배합비 참조'!$B$1:$CE$1,0))/100,0),""))),"")</f>
        <v>0</v>
      </c>
      <c r="N276" s="42" t="n">
        <f aca="false">IFERROR(IF($C276="","",IF($D276="","",IFERROR(ROUND($D276*INDEX('🔖 배합비 참조'!$B$2:$CE$83,MATCH("계피가루",'🔖 배합비 참조'!$A$2:$A$83,0),MATCH($C276,'🔖 배합비 참조'!$B$1:$CE$1,0))/100,0),""))),"")</f>
        <v>0</v>
      </c>
      <c r="O276" s="42" t="n">
        <f aca="false">IFERROR(IF($C276="","",IF($D276="","",IFERROR(ROUND($D276*INDEX('🔖 배합비 참조'!$B$2:$CE$83,MATCH("고구마가루",'🔖 배합비 참조'!$A$2:$A$83,0),MATCH($C276,'🔖 배합비 참조'!$B$1:$CE$1,0))/100,0),""))),"")</f>
        <v>0</v>
      </c>
      <c r="P276" s="42" t="n">
        <f aca="false">IFERROR(IF($C276="","",IF($D276="","",IFERROR(ROUND($D276*INDEX('🔖 배합비 참조'!$B$2:$CE$83,MATCH("고구마무스",'🔖 배합비 참조'!$A$2:$A$83,0),MATCH($C276,'🔖 배합비 참조'!$B$1:$CE$1,0))/100,0),""))),"")</f>
        <v>0</v>
      </c>
      <c r="Q276" s="42" t="n">
        <f aca="false">IFERROR(IF($C276="","",IF($D276="","",IFERROR(ROUND($D276*INDEX('🔖 배합비 참조'!$B$2:$CE$83,MATCH("고려엉겅퀴((곤드레)국내산)",'🔖 배합비 참조'!$A$2:$A$83,0),MATCH($C276,'🔖 배합비 참조'!$B$1:$CE$1,0))/100,0),""))),"")</f>
        <v>0</v>
      </c>
      <c r="R276" s="42" t="n">
        <f aca="false">IFERROR(IF($C276="","",IF($D276="","",IFERROR(ROUND($D276*INDEX('🔖 배합비 참조'!$B$2:$CE$83,MATCH("기타가공품(복분자가루)",'🔖 배합비 참조'!$A$2:$A$83,0),MATCH($C276,'🔖 배합비 참조'!$B$1:$CE$1,0))/100,0),""))),"")</f>
        <v>0</v>
      </c>
      <c r="S276" s="42" t="n">
        <f aca="false">IFERROR(IF($C276="","",IF($D276="","",IFERROR(ROUND($D276*INDEX('🔖 배합비 참조'!$B$2:$CE$83,MATCH("기타가공품(슈퍼소프트엠)",'🔖 배합비 참조'!$A$2:$A$83,0),MATCH($C276,'🔖 배합비 참조'!$B$1:$CE$1,0))/100,0),""))),"")</f>
        <v>0</v>
      </c>
      <c r="T276" s="42" t="n">
        <f aca="false">IFERROR(IF($C276="","",IF($D276="","",IFERROR(ROUND($D276*INDEX('🔖 배합비 참조'!$B$2:$CE$83,MATCH("기타가공품(파인소프트 E-티)",'🔖 배합비 참조'!$A$2:$A$83,0),MATCH($C276,'🔖 배합비 참조'!$B$1:$CE$1,0))/100,0),""))),"")</f>
        <v>0</v>
      </c>
      <c r="U276" s="42" t="n">
        <f aca="false">IFERROR(IF($C276="","",IF($D276="","",IFERROR(ROUND($D276*INDEX('🔖 배합비 참조'!$B$2:$CE$83,MATCH("기타가공품(프리미엄카스테라가루)",'🔖 배합비 참조'!$A$2:$A$83,0),MATCH($C276,'🔖 배합비 참조'!$B$1:$CE$1,0))/100,0),""))),"")</f>
        <v>0</v>
      </c>
      <c r="V276" s="42" t="n">
        <f aca="false">IFERROR(IF($C276="","",IF($D276="","",IFERROR(ROUND($D276*INDEX('🔖 배합비 참조'!$B$2:$CE$83,MATCH("기타가공품(흑임자가루)",'🔖 배합비 참조'!$A$2:$A$83,0),MATCH($C276,'🔖 배합비 참조'!$B$1:$CE$1,0))/100,0),""))),"")</f>
        <v>0</v>
      </c>
      <c r="W276" s="42" t="n">
        <f aca="false">IFERROR(IF($C276="","",IF($D276="","",IFERROR(ROUND($D276*INDEX('🔖 배합비 참조'!$B$2:$CE$83,MATCH("기타설탕(흑설탕)",'🔖 배합비 참조'!$A$2:$A$83,0),MATCH($C276,'🔖 배합비 참조'!$B$1:$CE$1,0))/100,0),""))),"")</f>
        <v>0</v>
      </c>
      <c r="X276" s="42" t="n">
        <f aca="false">IFERROR(IF($C276="","",IF($D276="","",IFERROR(ROUND($D276*INDEX('🔖 배합비 참조'!$B$2:$CE$83,MATCH("냉동쑥(국내산)",'🔖 배합비 참조'!$A$2:$A$83,0),MATCH($C276,'🔖 배합비 참조'!$B$1:$CE$1,0))/100,0),""))),"")</f>
        <v>0</v>
      </c>
      <c r="Y276" s="42" t="n">
        <f aca="false">IFERROR(IF($C276="","",IF($D276="","",IFERROR(ROUND($D276*INDEX('🔖 배합비 참조'!$B$2:$CE$83,MATCH("냉동증숙고구마(중국산)",'🔖 배합비 참조'!$A$2:$A$83,0),MATCH($C276,'🔖 배합비 참조'!$B$1:$CE$1,0))/100,0),""))),"")</f>
        <v>0</v>
      </c>
      <c r="Z276" s="42" t="n">
        <f aca="false">IFERROR(IF($C276="","",IF($D276="","",IFERROR(ROUND($D276*INDEX('🔖 배합비 참조'!$B$2:$CE$83,MATCH("녹차가루",'🔖 배합비 참조'!$A$2:$A$83,0),MATCH($C276,'🔖 배합비 참조'!$B$1:$CE$1,0))/100,0),""))),"")</f>
        <v>0</v>
      </c>
      <c r="AA276" s="42" t="n">
        <f aca="false">IFERROR(IF($C276="","",IF($D276="","",IFERROR(ROUND($D276*INDEX('🔖 배합비 참조'!$B$2:$CE$83,MATCH("다크초콜릿 컴파운드칩",'🔖 배합비 참조'!$A$2:$A$83,0),MATCH($C276,'🔖 배합비 참조'!$B$1:$CE$1,0))/100,0),""))),"")</f>
        <v>0</v>
      </c>
      <c r="AB276" s="42" t="n">
        <f aca="false">IFERROR(IF($C276="","",IF($D276="","",IFERROR(ROUND($D276*INDEX('🔖 배합비 참조'!$B$2:$CE$83,MATCH("단호박분말(중국산)",'🔖 배합비 참조'!$A$2:$A$83,0),MATCH($C276,'🔖 배합비 참조'!$B$1:$CE$1,0))/100,0),""))),"")</f>
        <v>0</v>
      </c>
      <c r="AC276" s="42" t="n">
        <f aca="false">IFERROR(IF($C276="","",IF($D276="","",IFERROR(ROUND($D276*INDEX('🔖 배합비 참조'!$B$2:$CE$83,MATCH("당류가공품(단호박농축액)",'🔖 배합비 참조'!$A$2:$A$83,0),MATCH($C276,'🔖 배합비 참조'!$B$1:$CE$1,0))/100,0),""))),"")</f>
        <v>0</v>
      </c>
      <c r="AD276" s="42" t="n">
        <f aca="false">IFERROR(IF($C276="","",IF($D276="","",IFERROR(ROUND($D276*INDEX('🔖 배합비 참조'!$B$2:$CE$83,MATCH("당류가공품(알룰로스,에리스리톨,스테비올배당체혼합)",'🔖 배합비 참조'!$A$2:$A$83,0),MATCH($C276,'🔖 배합비 참조'!$B$1:$CE$1,0))/100,0),""))),"")</f>
        <v>0</v>
      </c>
      <c r="AE276" s="42" t="n">
        <f aca="false">IFERROR(IF($C276="","",IF($D276="","",IFERROR(ROUND($D276*INDEX('🔖 배합비 참조'!$B$2:$CE$83,MATCH("당류가공품(알룰로스제로파우더)",'🔖 배합비 참조'!$A$2:$A$83,0),MATCH($C276,'🔖 배합비 참조'!$B$1:$CE$1,0))/100,0),""))),"")</f>
        <v>0</v>
      </c>
      <c r="AF276" s="42" t="n">
        <f aca="false">IFERROR(IF($C276="","",IF($D276="","",IFERROR(ROUND($D276*INDEX('🔖 배합비 참조'!$B$2:$CE$83,MATCH("당절임(완두배기)",'🔖 배합비 참조'!$A$2:$A$83,0),MATCH($C276,'🔖 배합비 참조'!$B$1:$CE$1,0))/100,0),""))),"")</f>
        <v>0</v>
      </c>
      <c r="AG276" s="42" t="n">
        <f aca="false">IFERROR(IF($C276="","",IF($D276="","",IFERROR(ROUND($D276*INDEX('🔖 배합비 참조'!$B$2:$CE$83,MATCH("대추농축액",'🔖 배합비 참조'!$A$2:$A$83,0),MATCH($C276,'🔖 배합비 참조'!$B$1:$CE$1,0))/100,0),""))),"")</f>
        <v>0</v>
      </c>
      <c r="AH276" s="42" t="n">
        <f aca="false">IFERROR(IF($C276="","",IF($D276="","",IFERROR(ROUND($D276*INDEX('🔖 배합비 참조'!$B$2:$CE$83,MATCH("대추채(국내산)",'🔖 배합비 참조'!$A$2:$A$83,0),MATCH($C276,'🔖 배합비 참조'!$B$1:$CE$1,0))/100,0),""))),"")</f>
        <v>0</v>
      </c>
      <c r="AI276" s="42" t="n">
        <f aca="false">IFERROR(IF($C276="","",IF($D276="","",IFERROR(ROUND($D276*INDEX('🔖 배합비 참조'!$B$2:$CE$83,MATCH("동부(미얀마산)",'🔖 배합비 참조'!$A$2:$A$83,0),MATCH($C276,'🔖 배합비 참조'!$B$1:$CE$1,0))/100,0),""))),"")</f>
        <v>0</v>
      </c>
      <c r="AJ276" s="42" t="n">
        <f aca="false">IFERROR(IF($C276="","",IF($D276="","",IFERROR(ROUND($D276*INDEX('🔖 배합비 참조'!$B$2:$CE$83,MATCH("두류가공품(백옥앙금)",'🔖 배합비 참조'!$A$2:$A$83,0),MATCH($C276,'🔖 배합비 참조'!$B$1:$CE$1,0))/100,0),""))),"")</f>
        <v>0</v>
      </c>
      <c r="AK276" s="42" t="n">
        <f aca="false">IFERROR(IF($C276="","",IF($D276="","",IFERROR(ROUND($D276*INDEX('🔖 배합비 참조'!$B$2:$CE$83,MATCH("두류가공품(콩고물)",'🔖 배합비 참조'!$A$2:$A$83,0),MATCH($C276,'🔖 배합비 참조'!$B$1:$CE$1,0))/100,0),""))),"")</f>
        <v>0</v>
      </c>
      <c r="AL276" s="42" t="n">
        <f aca="false">IFERROR(IF($C276="","",IF($D276="","",IFERROR(ROUND($D276*INDEX('🔖 배합비 참조'!$B$2:$CE$83,MATCH("두류가공품(통팥고물)",'🔖 배합비 참조'!$A$2:$A$83,0),MATCH($C276,'🔖 배합비 참조'!$B$1:$CE$1,0))/100,0),""))),"")</f>
        <v>0</v>
      </c>
      <c r="AM276" s="42" t="n">
        <f aca="false">IFERROR(IF($C276="","",IF($D276="","",IFERROR(ROUND($D276*INDEX('🔖 배합비 참조'!$B$2:$CE$83,MATCH("딸기레진",'🔖 배합비 참조'!$A$2:$A$83,0),MATCH($C276,'🔖 배합비 참조'!$B$1:$CE$1,0))/100,0),""))),"")</f>
        <v>0</v>
      </c>
      <c r="AN276" s="42" t="n">
        <f aca="false">IFERROR(IF($C276="","",IF($D276="","",IFERROR(ROUND($D276*INDEX('🔖 배합비 참조'!$B$2:$CE$83,MATCH("딸기분말(스트로우베리에이드(분말))",'🔖 배합비 참조'!$A$2:$A$83,0),MATCH($C276,'🔖 배합비 참조'!$B$1:$CE$1,0))/100,0),""))),"")</f>
        <v>0</v>
      </c>
      <c r="AO276" s="42" t="n">
        <f aca="false">IFERROR(IF($C276="","",IF($D276="","",IFERROR(ROUND($D276*INDEX('🔖 배합비 참조'!$B$2:$CE$83,MATCH("마스카포네치즈",'🔖 배합비 참조'!$A$2:$A$83,0),MATCH($C276,'🔖 배합비 참조'!$B$1:$CE$1,0))/100,0),""))),"")</f>
        <v>0</v>
      </c>
      <c r="AP276" s="42" t="n">
        <f aca="false">IFERROR(IF($C276="","",IF($D276="","",IFERROR(ROUND($D276*INDEX('🔖 배합비 참조'!$B$2:$CE$83,MATCH("마카다미아분태(호주산)",'🔖 배합비 참조'!$A$2:$A$83,0),MATCH($C276,'🔖 배합비 참조'!$B$1:$CE$1,0))/100,0),""))),"")</f>
        <v>0</v>
      </c>
      <c r="AQ276" s="42" t="n">
        <f aca="false">IFERROR(IF($C276="","",IF($D276="","",IFERROR(ROUND($D276*INDEX('🔖 배합비 참조'!$B$2:$CE$83,MATCH("멥쌀(국내산)",'🔖 배합비 참조'!$A$2:$A$83,0),MATCH($C276,'🔖 배합비 참조'!$B$1:$CE$1,0))/100,0),""))),"")</f>
        <v>4</v>
      </c>
      <c r="AR276" s="42" t="n">
        <f aca="false">IFERROR(IF($C276="","",IF($D276="","",IFERROR(ROUND($D276*INDEX('🔖 배합비 참조'!$B$2:$CE$83,MATCH("모시잎(국내산)",'🔖 배합비 참조'!$A$2:$A$83,0),MATCH($C276,'🔖 배합비 참조'!$B$1:$CE$1,0))/100,0),""))),"")</f>
        <v>0</v>
      </c>
      <c r="AS276" s="42" t="n">
        <f aca="false">IFERROR(IF($C276="","",IF($D276="","",IFERROR(ROUND($D276*INDEX('🔖 배합비 참조'!$B$2:$CE$83,MATCH("물엿(저당물엿)",'🔖 배합비 참조'!$A$2:$A$83,0),MATCH($C276,'🔖 배합비 참조'!$B$1:$CE$1,0))/100,0),""))),"")</f>
        <v>0</v>
      </c>
      <c r="AT276" s="42" t="n">
        <f aca="false">IFERROR(IF($C276="","",IF($D276="","",IFERROR(ROUND($D276*INDEX('🔖 배합비 참조'!$B$2:$CE$83,MATCH("밤다이스",'🔖 배합비 참조'!$A$2:$A$83,0),MATCH($C276,'🔖 배합비 참조'!$B$1:$CE$1,0))/100,0),""))),"")</f>
        <v>0</v>
      </c>
      <c r="AU276" s="42" t="n">
        <f aca="false">IFERROR(IF($C276="","",IF($D276="","",IFERROR(ROUND($D276*INDEX('🔖 배합비 참조'!$B$2:$CE$83,MATCH("변성전분(타피오카전분)",'🔖 배합비 참조'!$A$2:$A$83,0),MATCH($C276,'🔖 배합비 참조'!$B$1:$CE$1,0))/100,0),""))),"")</f>
        <v>0</v>
      </c>
      <c r="AV276" s="42" t="n">
        <f aca="false">IFERROR(IF($C276="","",IF($D276="","",IFERROR(ROUND($D276*INDEX('🔖 배합비 참조'!$B$2:$CE$83,MATCH("복음땅콩분태",'🔖 배합비 참조'!$A$2:$A$83,0),MATCH($C276,'🔖 배합비 참조'!$B$1:$CE$1,0))/100,0),""))),"")</f>
        <v>0</v>
      </c>
      <c r="AW276" s="42" t="n">
        <f aca="false">IFERROR(IF($C276="","",IF($D276="","",IFERROR(ROUND($D276*INDEX('🔖 배합비 참조'!$B$2:$CE$83,MATCH("사양벌꿀(국내산)",'🔖 배합비 참조'!$A$2:$A$83,0),MATCH($C276,'🔖 배합비 참조'!$B$1:$CE$1,0))/100,0),""))),"")</f>
        <v>0</v>
      </c>
      <c r="AX276" s="42" t="n">
        <f aca="false">IFERROR(IF($C276="","",IF($D276="","",IFERROR(ROUND($D276*INDEX('🔖 배합비 참조'!$B$2:$CE$83,MATCH("생크림",'🔖 배합비 참조'!$A$2:$A$83,0),MATCH($C276,'🔖 배합비 참조'!$B$1:$CE$1,0))/100,0),""))),"")</f>
        <v>0</v>
      </c>
      <c r="AY276" s="42" t="n">
        <f aca="false">IFERROR(IF($C276="","",IF($D276="","",IFERROR(ROUND($D276*INDEX('🔖 배합비 참조'!$B$2:$CE$83,MATCH("서양호박(국내산,뉴질랜드산)",'🔖 배합비 참조'!$A$2:$A$83,0),MATCH($C276,'🔖 배합비 참조'!$B$1:$CE$1,0))/100,0),""))),"")</f>
        <v>0</v>
      </c>
      <c r="AZ276" s="42" t="n">
        <f aca="false">IFERROR(IF($C276="","",IF($D276="","",IFERROR(ROUND($D276*INDEX('🔖 배합비 참조'!$B$2:$CE$83,MATCH("설탕",'🔖 배합비 참조'!$A$2:$A$83,0),MATCH($C276,'🔖 배합비 참조'!$B$1:$CE$1,0))/100,0),""))),"")</f>
        <v>42</v>
      </c>
      <c r="BA276" s="42" t="n">
        <f aca="false">IFERROR(IF($C276="","",IF($D276="","",IFERROR(ROUND($D276*INDEX('🔖 배합비 참조'!$B$2:$CE$83,MATCH("스트로우베리 에이드 후레쉬",'🔖 배합비 참조'!$A$2:$A$83,0),MATCH($C276,'🔖 배합비 참조'!$B$1:$CE$1,0))/100,0),""))),"")</f>
        <v>0</v>
      </c>
      <c r="BB276" s="42" t="n">
        <f aca="false">IFERROR(IF($C276="","",IF($D276="","",IFERROR(ROUND($D276*INDEX('🔖 배합비 참조'!$B$2:$CE$83,MATCH("식물성기름혼합제제(분홍)",'🔖 배합비 참조'!$A$2:$A$83,0),MATCH($C276,'🔖 배합비 참조'!$B$1:$CE$1,0))/100,0),""))),"")</f>
        <v>0</v>
      </c>
      <c r="BC276" s="42" t="n">
        <f aca="false">IFERROR(IF($C276="","",IF($D276="","",IFERROR(ROUND($D276*INDEX('🔖 배합비 참조'!$B$2:$CE$83,MATCH("식물성기름혼합제제(초록)",'🔖 배합비 참조'!$A$2:$A$83,0),MATCH($C276,'🔖 배합비 참조'!$B$1:$CE$1,0))/100,0),""))),"")</f>
        <v>0</v>
      </c>
      <c r="BD276" s="42" t="n">
        <f aca="false">IFERROR(IF($C276="","",IF($D276="","",IFERROR(ROUND($D276*INDEX('🔖 배합비 참조'!$B$2:$CE$83,MATCH("식물성기름혼합제제(황색)",'🔖 배합비 참조'!$A$2:$A$83,0),MATCH($C276,'🔖 배합비 참조'!$B$1:$CE$1,0))/100,0),""))),"")</f>
        <v>0</v>
      </c>
      <c r="BE276" s="42" t="n">
        <f aca="false">IFERROR(IF($C276="","",IF($D276="","",IFERROR(ROUND($D276*INDEX('🔖 배합비 참조'!$B$2:$CE$83,MATCH("쑥가루(국내산)",'🔖 배합비 참조'!$A$2:$A$83,0),MATCH($C276,'🔖 배합비 참조'!$B$1:$CE$1,0))/100,0),""))),"")</f>
        <v>0</v>
      </c>
      <c r="BF276" s="42" t="n">
        <f aca="false">IFERROR(IF($C276="","",IF($D276="","",IFERROR(ROUND($D276*INDEX('🔖 배합비 참조'!$B$2:$CE$83,MATCH("아몬드슬라이스",'🔖 배합비 참조'!$A$2:$A$83,0),MATCH($C276,'🔖 배합비 참조'!$B$1:$CE$1,0))/100,0),""))),"")</f>
        <v>0</v>
      </c>
      <c r="BG276" s="42" t="n">
        <f aca="false">IFERROR(IF($C276="","",IF($D276="","",IFERROR(ROUND($D276*INDEX('🔖 배합비 참조'!$B$2:$CE$83,MATCH("알룰로오스(국내산)",'🔖 배합비 참조'!$A$2:$A$83,0),MATCH($C276,'🔖 배합비 참조'!$B$1:$CE$1,0))/100,0),""))),"")</f>
        <v>0</v>
      </c>
      <c r="BH276" s="42" t="n">
        <f aca="false">IFERROR(IF($C276="","",IF($D276="","",IFERROR(ROUND($D276*INDEX('🔖 배합비 참조'!$B$2:$CE$83,MATCH("연유",'🔖 배합비 참조'!$A$2:$A$83,0),MATCH($C276,'🔖 배합비 참조'!$B$1:$CE$1,0))/100,0),""))),"")</f>
        <v>0</v>
      </c>
      <c r="BI276" s="42" t="n">
        <f aca="false">IFERROR(IF($C276="","",IF($D276="","",IFERROR(ROUND($D276*INDEX('🔖 배합비 참조'!$B$2:$CE$83,MATCH("옥수수전분",'🔖 배합비 참조'!$A$2:$A$83,0),MATCH($C276,'🔖 배합비 참조'!$B$1:$CE$1,0))/100,0),""))),"")</f>
        <v>0</v>
      </c>
      <c r="BJ276" s="42" t="n">
        <f aca="false">IFERROR(IF($C276="","",IF($D276="","",IFERROR(ROUND($D276*INDEX('🔖 배합비 참조'!$B$2:$CE$83,MATCH("완두배기",'🔖 배합비 참조'!$A$2:$A$83,0),MATCH($C276,'🔖 배합비 참조'!$B$1:$CE$1,0))/100,0),""))),"")</f>
        <v>0</v>
      </c>
      <c r="BK276" s="42" t="n">
        <f aca="false">IFERROR(IF($C276="","",IF($D276="","",IFERROR(ROUND($D276*INDEX('🔖 배합비 참조'!$B$2:$CE$83,MATCH("우유(국내산)",'🔖 배합비 참조'!$A$2:$A$83,0),MATCH($C276,'🔖 배합비 참조'!$B$1:$CE$1,0))/100,0),""))),"")</f>
        <v>0</v>
      </c>
      <c r="BL276" s="42" t="n">
        <f aca="false">IFERROR(IF($C276="","",IF($D276="","",IFERROR(ROUND($D276*INDEX('🔖 배합비 참조'!$B$2:$CE$83,MATCH("자색고구마가루(중국산)",'🔖 배합비 참조'!$A$2:$A$83,0),MATCH($C276,'🔖 배합비 참조'!$B$1:$CE$1,0))/100,0),""))),"")</f>
        <v>0</v>
      </c>
      <c r="BM276" s="42" t="n">
        <f aca="false">IFERROR(IF($C276="","",IF($D276="","",IFERROR(ROUND($D276*INDEX('🔖 배합비 참조'!$B$2:$CE$83,MATCH("자연치즈(체다치즈)",'🔖 배합비 참조'!$A$2:$A$83,0),MATCH($C276,'🔖 배합비 참조'!$B$1:$CE$1,0))/100,0),""))),"")</f>
        <v>0</v>
      </c>
      <c r="BN276" s="42" t="n">
        <f aca="false">IFERROR(IF($C276="","",IF($D276="","",IFERROR(ROUND($D276*INDEX('🔖 배합비 참조'!$B$2:$CE$83,MATCH("정제수",'🔖 배합비 참조'!$A$2:$A$83,0),MATCH($C276,'🔖 배합비 참조'!$B$1:$CE$1,0))/100,0),""))),"")</f>
        <v>7</v>
      </c>
      <c r="BO276" s="42" t="n">
        <f aca="false">IFERROR(IF($C276="","",IF($D276="","",IFERROR(ROUND($D276*INDEX('🔖 배합비 참조'!$B$2:$CE$83,MATCH("젤라틴",'🔖 배합비 참조'!$A$2:$A$83,0),MATCH($C276,'🔖 배합비 참조'!$B$1:$CE$1,0))/100,0),""))),"")</f>
        <v>0</v>
      </c>
      <c r="BP276" s="42" t="n">
        <f aca="false">IFERROR(IF($C276="","",IF($D276="","",IFERROR(ROUND($D276*INDEX('🔖 배합비 참조'!$B$2:$CE$83,MATCH("조림류(백옥앙금)",'🔖 배합비 참조'!$A$2:$A$83,0),MATCH($C276,'🔖 배합비 참조'!$B$1:$CE$1,0))/100,0),""))),"")</f>
        <v>0</v>
      </c>
      <c r="BQ276" s="42" t="n">
        <f aca="false">IFERROR(IF($C276="","",IF($D276="","",IFERROR(ROUND($D276*INDEX('🔖 배합비 참조'!$B$2:$CE$83,MATCH("조림류(통팥앙금)",'🔖 배합비 참조'!$A$2:$A$83,0),MATCH($C276,'🔖 배합비 참조'!$B$1:$CE$1,0))/100,0),""))),"")</f>
        <v>40</v>
      </c>
      <c r="BR276" s="42" t="n">
        <f aca="false">IFERROR(IF($C276="","",IF($D276="","",IFERROR(ROUND($D276*INDEX('🔖 배합비 참조'!$B$2:$CE$83,MATCH("준초콜릿(외국산)",'🔖 배합비 참조'!$A$2:$A$83,0),MATCH($C276,'🔖 배합비 참조'!$B$1:$CE$1,0))/100,0),""))),"")</f>
        <v>0</v>
      </c>
      <c r="BS276" s="42" t="n">
        <f aca="false">IFERROR(IF($C276="","",IF($D276="","",IFERROR(ROUND($D276*INDEX('🔖 배합비 참조'!$B$2:$CE$83,MATCH("중력분",'🔖 배합비 참조'!$A$2:$A$83,0),MATCH($C276,'🔖 배합비 참조'!$B$1:$CE$1,0))/100,0),""))),"")</f>
        <v>4</v>
      </c>
      <c r="BT276" s="42" t="n">
        <f aca="false">IFERROR(IF($C276="","",IF($D276="","",IFERROR(ROUND($D276*INDEX('🔖 배합비 참조'!$B$2:$CE$83,MATCH("참깨(인도산,나이지리아산,탄자니아산,미얀마산)",'🔖 배합비 참조'!$A$2:$A$83,0),MATCH($C276,'🔖 배합비 참조'!$B$1:$CE$1,0))/100,0),""))),"")</f>
        <v>0</v>
      </c>
      <c r="BU276" s="42" t="n">
        <f aca="false">IFERROR(IF($C276="","",IF($D276="","",IFERROR(ROUND($D276*INDEX('🔖 배합비 참조'!$B$2:$CE$83,MATCH("찹쌀(국내산)",'🔖 배합비 참조'!$A$2:$A$83,0),MATCH($C276,'🔖 배합비 참조'!$B$1:$CE$1,0))/100,0),""))),"")</f>
        <v>95</v>
      </c>
      <c r="BV276" s="42" t="n">
        <f aca="false">IFERROR(IF($C276="","",IF($D276="","",IFERROR(ROUND($D276*INDEX('🔖 배합비 참조'!$B$2:$CE$83,MATCH("천일염",'🔖 배합비 참조'!$A$2:$A$83,0),MATCH($C276,'🔖 배합비 참조'!$B$1:$CE$1,0))/100,0),""))),"")</f>
        <v>4</v>
      </c>
      <c r="BW276" s="42" t="n">
        <f aca="false">IFERROR(IF($C276="","",IF($D276="","",IFERROR(ROUND($D276*INDEX('🔖 배합비 참조'!$B$2:$CE$83,MATCH("치즈 [크림치즈]",'🔖 배합비 참조'!$A$2:$A$83,0),MATCH($C276,'🔖 배합비 참조'!$B$1:$CE$1,0))/100,0),""))),"")</f>
        <v>0</v>
      </c>
      <c r="BX276" s="42" t="n">
        <f aca="false">IFERROR(IF($C276="","",IF($D276="","",IFERROR(ROUND($D276*INDEX('🔖 배합비 참조'!$B$2:$CE$83,MATCH("코코아가공품류(코코아분말)",'🔖 배합비 참조'!$A$2:$A$83,0),MATCH($C276,'🔖 배합비 참조'!$B$1:$CE$1,0))/100,0),""))),"")</f>
        <v>0</v>
      </c>
      <c r="BY276" s="42" t="n">
        <f aca="false">IFERROR(IF($C276="","",IF($D276="","",IFERROR(ROUND($D276*INDEX('🔖 배합비 참조'!$B$2:$CE$83,MATCH("콩기름(대두유)",'🔖 배합비 참조'!$A$2:$A$83,0),MATCH($C276,'🔖 배합비 참조'!$B$1:$CE$1,0))/100,0),""))),"")</f>
        <v>0</v>
      </c>
      <c r="BZ276" s="42" t="n">
        <f aca="false">IFERROR(IF($C276="","",IF($D276="","",IFERROR(ROUND($D276*INDEX('🔖 배합비 참조'!$B$2:$CE$83,MATCH("해바라기씨앗",'🔖 배합비 참조'!$A$2:$A$83,0),MATCH($C276,'🔖 배합비 참조'!$B$1:$CE$1,0))/100,0),""))),"")</f>
        <v>0</v>
      </c>
      <c r="CA276" s="42" t="n">
        <f aca="false">IFERROR(IF($C276="","",IF($D276="","",IFERROR(ROUND($D276*INDEX('🔖 배합비 참조'!$B$2:$CE$83,MATCH("현미(국내산)",'🔖 배합비 참조'!$A$2:$A$83,0),MATCH($C276,'🔖 배합비 참조'!$B$1:$CE$1,0))/100,0),""))),"")</f>
        <v>0</v>
      </c>
      <c r="CB276" s="42" t="n">
        <f aca="false">IFERROR(IF($C276="","",IF($D276="","",IFERROR(ROUND($D276*INDEX('🔖 배합비 참조'!$B$2:$CE$83,MATCH("현미멥쌀(국내산)",'🔖 배합비 참조'!$A$2:$A$83,0),MATCH($C276,'🔖 배합비 참조'!$B$1:$CE$1,0))/100,0),""))),"")</f>
        <v>0</v>
      </c>
      <c r="CC276" s="42" t="n">
        <f aca="false">IFERROR(IF($C276="","",IF($D276="","",IFERROR(ROUND($D276*INDEX('🔖 배합비 참조'!$B$2:$CE$83,MATCH("호두분태(미국산)",'🔖 배합비 참조'!$A$2:$A$83,0),MATCH($C276,'🔖 배합비 참조'!$B$1:$CE$1,0))/100,0),""))),"")</f>
        <v>0</v>
      </c>
      <c r="CD276" s="42" t="n">
        <f aca="false">IFERROR(IF($C276="","",IF($D276="","",IFERROR(ROUND($D276*INDEX('🔖 배합비 참조'!$B$2:$CE$83,MATCH("호박씨앗(외국산)",'🔖 배합비 참조'!$A$2:$A$83,0),MATCH($C276,'🔖 배합비 참조'!$B$1:$CE$1,0))/100,0),""))),"")</f>
        <v>0</v>
      </c>
      <c r="CE276" s="42" t="n">
        <f aca="false">IFERROR(IF($C276="","",IF($D276="","",IFERROR(ROUND($D276*INDEX('🔖 배합비 참조'!$B$2:$CE$83,MATCH("혼합제제(떡용에스텔)",'🔖 배합비 참조'!$A$2:$A$83,0),MATCH($C276,'🔖 배합비 참조'!$B$1:$CE$1,0))/100,0),""))),"")</f>
        <v>4</v>
      </c>
      <c r="CF276" s="42" t="n">
        <f aca="false">IFERROR(IF($C276="","",IF($D276="","",IFERROR(ROUND($D276*INDEX('🔖 배합비 참조'!$B$2:$CE$83,MATCH("혼합제제(스테비아)",'🔖 배합비 참조'!$A$2:$A$83,0),MATCH($C276,'🔖 배합비 참조'!$B$1:$CE$1,0))/100,0),""))),"")</f>
        <v>0</v>
      </c>
      <c r="CG276" s="42" t="n">
        <f aca="false">IFERROR(IF($C276="","",IF($D276="","",IFERROR(ROUND($D276*INDEX('🔖 배합비 참조'!$B$2:$CE$83,MATCH("화이트초콜릿",'🔖 배합비 참조'!$A$2:$A$83,0),MATCH($C276,'🔖 배합비 참조'!$B$1:$CE$1,0))/100,0),""))),"")</f>
        <v>0</v>
      </c>
      <c r="CH276" s="42" t="n">
        <f aca="false">IFERROR(IF($C276="","",IF($D276="","",IFERROR(ROUND($D276*INDEX('🔖 배합비 참조'!$B$2:$CE$83,MATCH("흑미찹쌀(국내산)",'🔖 배합비 참조'!$A$2:$A$83,0),MATCH($C276,'🔖 배합비 참조'!$B$1:$CE$1,0))/100,0),""))),"")</f>
        <v>0</v>
      </c>
      <c r="CI276" s="42" t="n">
        <f aca="false">IFERROR(IF($C276="","",IF($D276="","",IFERROR(ROUND($D276*INDEX('🔖 배합비 참조'!$B$2:$CE$83,MATCH("찰옥수수전분(미국산)",'🔖 배합비 참조'!$A$2:$A$83,0),MATCH($C276,'🔖 배합비 참조'!$B$1:$CE$1,0))/100,0),""))),"")</f>
        <v>20</v>
      </c>
      <c r="CJ276" s="40"/>
      <c r="CL276" s="43" t="s">
        <v>248</v>
      </c>
    </row>
    <row r="277" customFormat="false" ht="18" hidden="false" customHeight="true" outlineLevel="0" collapsed="false">
      <c r="A277" s="35" t="n">
        <v>273</v>
      </c>
      <c r="B277" s="36" t="n">
        <v>46093</v>
      </c>
      <c r="C277" s="37" t="s">
        <v>191</v>
      </c>
      <c r="D277" s="38" t="n">
        <v>1100</v>
      </c>
      <c r="E277" s="13"/>
      <c r="F277" s="13"/>
      <c r="G277" s="39" t="n">
        <f aca="false">IFERROR(IF($C277="","",IF($D277="","",IFERROR(ROUND($D277*INDEX('🔖 배합비 참조'!$B$2:$CE$83,MATCH("간장",'🔖 배합비 참조'!$A$2:$A$83,0),MATCH($C277,'🔖 배합비 참조'!$B$1:$CE$1,0))/100,0),""))),"")</f>
        <v>0</v>
      </c>
      <c r="H277" s="39" t="n">
        <f aca="false">IFERROR(IF($C277="","",IF($D277="","",IFERROR(ROUND($D277*INDEX('🔖 배합비 참조'!$B$2:$CE$83,MATCH("강낭콩((울타리콩))",'🔖 배합비 참조'!$A$2:$A$83,0),MATCH($C277,'🔖 배합비 참조'!$B$1:$CE$1,0))/100,0),""))),"")</f>
        <v>0</v>
      </c>
      <c r="I277" s="39" t="n">
        <f aca="false">IFERROR(IF($C277="","",IF($D277="","",IFERROR(ROUND($D277*INDEX('🔖 배합비 참조'!$B$2:$CE$83,MATCH("건조딸기다이스(외국산)",'🔖 배합비 참조'!$A$2:$A$83,0),MATCH($C277,'🔖 배합비 참조'!$B$1:$CE$1,0))/100,0),""))),"")</f>
        <v>0</v>
      </c>
      <c r="J277" s="39" t="n">
        <f aca="false">IFERROR(IF($C277="","",IF($D277="","",IFERROR(ROUND($D277*INDEX('🔖 배합비 참조'!$B$2:$CE$83,MATCH("건포도",'🔖 배합비 참조'!$A$2:$A$83,0),MATCH($C277,'🔖 배합비 참조'!$B$1:$CE$1,0))/100,0),""))),"")</f>
        <v>0</v>
      </c>
      <c r="K277" s="39" t="n">
        <f aca="false">IFERROR(IF($C277="","",IF($D277="","",IFERROR(ROUND($D277*INDEX('🔖 배합비 참조'!$B$2:$CE$83,MATCH("건호박채(중국산)",'🔖 배합비 참조'!$A$2:$A$83,0),MATCH($C277,'🔖 배합비 참조'!$B$1:$CE$1,0))/100,0),""))),"")</f>
        <v>0</v>
      </c>
      <c r="L277" s="39" t="n">
        <f aca="false">IFERROR(IF($C277="","",IF($D277="","",IFERROR(ROUND($D277*INDEX('🔖 배합비 참조'!$B$2:$CE$83,MATCH("검정깨(흑임자)",'🔖 배합비 참조'!$A$2:$A$83,0),MATCH($C277,'🔖 배합비 참조'!$B$1:$CE$1,0))/100,0),""))),"")</f>
        <v>0</v>
      </c>
      <c r="M277" s="39" t="n">
        <f aca="false">IFERROR(IF($C277="","",IF($D277="","",IFERROR(ROUND($D277*INDEX('🔖 배합비 참조'!$B$2:$CE$83,MATCH("검정콩",'🔖 배합비 참조'!$A$2:$A$83,0),MATCH($C277,'🔖 배합비 참조'!$B$1:$CE$1,0))/100,0),""))),"")</f>
        <v>0</v>
      </c>
      <c r="N277" s="39" t="n">
        <f aca="false">IFERROR(IF($C277="","",IF($D277="","",IFERROR(ROUND($D277*INDEX('🔖 배합비 참조'!$B$2:$CE$83,MATCH("계피가루",'🔖 배합비 참조'!$A$2:$A$83,0),MATCH($C277,'🔖 배합비 참조'!$B$1:$CE$1,0))/100,0),""))),"")</f>
        <v>0</v>
      </c>
      <c r="O277" s="39" t="n">
        <f aca="false">IFERROR(IF($C277="","",IF($D277="","",IFERROR(ROUND($D277*INDEX('🔖 배합비 참조'!$B$2:$CE$83,MATCH("고구마가루",'🔖 배합비 참조'!$A$2:$A$83,0),MATCH($C277,'🔖 배합비 참조'!$B$1:$CE$1,0))/100,0),""))),"")</f>
        <v>0</v>
      </c>
      <c r="P277" s="39" t="n">
        <f aca="false">IFERROR(IF($C277="","",IF($D277="","",IFERROR(ROUND($D277*INDEX('🔖 배합비 참조'!$B$2:$CE$83,MATCH("고구마무스",'🔖 배합비 참조'!$A$2:$A$83,0),MATCH($C277,'🔖 배합비 참조'!$B$1:$CE$1,0))/100,0),""))),"")</f>
        <v>0</v>
      </c>
      <c r="Q277" s="39" t="n">
        <f aca="false">IFERROR(IF($C277="","",IF($D277="","",IFERROR(ROUND($D277*INDEX('🔖 배합비 참조'!$B$2:$CE$83,MATCH("고려엉겅퀴((곤드레)국내산)",'🔖 배합비 참조'!$A$2:$A$83,0),MATCH($C277,'🔖 배합비 참조'!$B$1:$CE$1,0))/100,0),""))),"")</f>
        <v>0</v>
      </c>
      <c r="R277" s="39" t="n">
        <f aca="false">IFERROR(IF($C277="","",IF($D277="","",IFERROR(ROUND($D277*INDEX('🔖 배합비 참조'!$B$2:$CE$83,MATCH("기타가공품(복분자가루)",'🔖 배합비 참조'!$A$2:$A$83,0),MATCH($C277,'🔖 배합비 참조'!$B$1:$CE$1,0))/100,0),""))),"")</f>
        <v>0</v>
      </c>
      <c r="S277" s="39" t="n">
        <f aca="false">IFERROR(IF($C277="","",IF($D277="","",IFERROR(ROUND($D277*INDEX('🔖 배합비 참조'!$B$2:$CE$83,MATCH("기타가공품(슈퍼소프트엠)",'🔖 배합비 참조'!$A$2:$A$83,0),MATCH($C277,'🔖 배합비 참조'!$B$1:$CE$1,0))/100,0),""))),"")</f>
        <v>0</v>
      </c>
      <c r="T277" s="39" t="n">
        <f aca="false">IFERROR(IF($C277="","",IF($D277="","",IFERROR(ROUND($D277*INDEX('🔖 배합비 참조'!$B$2:$CE$83,MATCH("기타가공품(파인소프트 E-티)",'🔖 배합비 참조'!$A$2:$A$83,0),MATCH($C277,'🔖 배합비 참조'!$B$1:$CE$1,0))/100,0),""))),"")</f>
        <v>0</v>
      </c>
      <c r="U277" s="39" t="n">
        <f aca="false">IFERROR(IF($C277="","",IF($D277="","",IFERROR(ROUND($D277*INDEX('🔖 배합비 참조'!$B$2:$CE$83,MATCH("기타가공품(프리미엄카스테라가루)",'🔖 배합비 참조'!$A$2:$A$83,0),MATCH($C277,'🔖 배합비 참조'!$B$1:$CE$1,0))/100,0),""))),"")</f>
        <v>0</v>
      </c>
      <c r="V277" s="39" t="n">
        <f aca="false">IFERROR(IF($C277="","",IF($D277="","",IFERROR(ROUND($D277*INDEX('🔖 배합비 참조'!$B$2:$CE$83,MATCH("기타가공품(흑임자가루)",'🔖 배합비 참조'!$A$2:$A$83,0),MATCH($C277,'🔖 배합비 참조'!$B$1:$CE$1,0))/100,0),""))),"")</f>
        <v>0</v>
      </c>
      <c r="W277" s="39" t="n">
        <f aca="false">IFERROR(IF($C277="","",IF($D277="","",IFERROR(ROUND($D277*INDEX('🔖 배합비 참조'!$B$2:$CE$83,MATCH("기타설탕(흑설탕)",'🔖 배합비 참조'!$A$2:$A$83,0),MATCH($C277,'🔖 배합비 참조'!$B$1:$CE$1,0))/100,0),""))),"")</f>
        <v>0</v>
      </c>
      <c r="X277" s="39" t="n">
        <f aca="false">IFERROR(IF($C277="","",IF($D277="","",IFERROR(ROUND($D277*INDEX('🔖 배합비 참조'!$B$2:$CE$83,MATCH("냉동쑥(국내산)",'🔖 배합비 참조'!$A$2:$A$83,0),MATCH($C277,'🔖 배합비 참조'!$B$1:$CE$1,0))/100,0),""))),"")</f>
        <v>0</v>
      </c>
      <c r="Y277" s="39" t="n">
        <f aca="false">IFERROR(IF($C277="","",IF($D277="","",IFERROR(ROUND($D277*INDEX('🔖 배합비 참조'!$B$2:$CE$83,MATCH("냉동증숙고구마(중국산)",'🔖 배합비 참조'!$A$2:$A$83,0),MATCH($C277,'🔖 배합비 참조'!$B$1:$CE$1,0))/100,0),""))),"")</f>
        <v>0</v>
      </c>
      <c r="Z277" s="39" t="n">
        <f aca="false">IFERROR(IF($C277="","",IF($D277="","",IFERROR(ROUND($D277*INDEX('🔖 배합비 참조'!$B$2:$CE$83,MATCH("녹차가루",'🔖 배합비 참조'!$A$2:$A$83,0),MATCH($C277,'🔖 배합비 참조'!$B$1:$CE$1,0))/100,0),""))),"")</f>
        <v>0</v>
      </c>
      <c r="AA277" s="39" t="n">
        <f aca="false">IFERROR(IF($C277="","",IF($D277="","",IFERROR(ROUND($D277*INDEX('🔖 배합비 참조'!$B$2:$CE$83,MATCH("다크초콜릿 컴파운드칩",'🔖 배합비 참조'!$A$2:$A$83,0),MATCH($C277,'🔖 배합비 참조'!$B$1:$CE$1,0))/100,0),""))),"")</f>
        <v>0</v>
      </c>
      <c r="AB277" s="39" t="n">
        <f aca="false">IFERROR(IF($C277="","",IF($D277="","",IFERROR(ROUND($D277*INDEX('🔖 배합비 참조'!$B$2:$CE$83,MATCH("단호박분말(중국산)",'🔖 배합비 참조'!$A$2:$A$83,0),MATCH($C277,'🔖 배합비 참조'!$B$1:$CE$1,0))/100,0),""))),"")</f>
        <v>0</v>
      </c>
      <c r="AC277" s="39" t="n">
        <f aca="false">IFERROR(IF($C277="","",IF($D277="","",IFERROR(ROUND($D277*INDEX('🔖 배합비 참조'!$B$2:$CE$83,MATCH("당류가공품(단호박농축액)",'🔖 배합비 참조'!$A$2:$A$83,0),MATCH($C277,'🔖 배합비 참조'!$B$1:$CE$1,0))/100,0),""))),"")</f>
        <v>0</v>
      </c>
      <c r="AD277" s="39" t="n">
        <f aca="false">IFERROR(IF($C277="","",IF($D277="","",IFERROR(ROUND($D277*INDEX('🔖 배합비 참조'!$B$2:$CE$83,MATCH("당류가공품(알룰로스,에리스리톨,스테비올배당체혼합)",'🔖 배합비 참조'!$A$2:$A$83,0),MATCH($C277,'🔖 배합비 참조'!$B$1:$CE$1,0))/100,0),""))),"")</f>
        <v>0</v>
      </c>
      <c r="AE277" s="39" t="n">
        <f aca="false">IFERROR(IF($C277="","",IF($D277="","",IFERROR(ROUND($D277*INDEX('🔖 배합비 참조'!$B$2:$CE$83,MATCH("당류가공품(알룰로스제로파우더)",'🔖 배합비 참조'!$A$2:$A$83,0),MATCH($C277,'🔖 배합비 참조'!$B$1:$CE$1,0))/100,0),""))),"")</f>
        <v>0</v>
      </c>
      <c r="AF277" s="39" t="n">
        <f aca="false">IFERROR(IF($C277="","",IF($D277="","",IFERROR(ROUND($D277*INDEX('🔖 배합비 참조'!$B$2:$CE$83,MATCH("당절임(완두배기)",'🔖 배합비 참조'!$A$2:$A$83,0),MATCH($C277,'🔖 배합비 참조'!$B$1:$CE$1,0))/100,0),""))),"")</f>
        <v>0</v>
      </c>
      <c r="AG277" s="39" t="n">
        <f aca="false">IFERROR(IF($C277="","",IF($D277="","",IFERROR(ROUND($D277*INDEX('🔖 배합비 참조'!$B$2:$CE$83,MATCH("대추농축액",'🔖 배합비 참조'!$A$2:$A$83,0),MATCH($C277,'🔖 배합비 참조'!$B$1:$CE$1,0))/100,0),""))),"")</f>
        <v>0</v>
      </c>
      <c r="AH277" s="39" t="n">
        <f aca="false">IFERROR(IF($C277="","",IF($D277="","",IFERROR(ROUND($D277*INDEX('🔖 배합비 참조'!$B$2:$CE$83,MATCH("대추채(국내산)",'🔖 배합비 참조'!$A$2:$A$83,0),MATCH($C277,'🔖 배합비 참조'!$B$1:$CE$1,0))/100,0),""))),"")</f>
        <v>0</v>
      </c>
      <c r="AI277" s="39" t="n">
        <f aca="false">IFERROR(IF($C277="","",IF($D277="","",IFERROR(ROUND($D277*INDEX('🔖 배합비 참조'!$B$2:$CE$83,MATCH("동부(미얀마산)",'🔖 배합비 참조'!$A$2:$A$83,0),MATCH($C277,'🔖 배합비 참조'!$B$1:$CE$1,0))/100,0),""))),"")</f>
        <v>0</v>
      </c>
      <c r="AJ277" s="39" t="n">
        <f aca="false">IFERROR(IF($C277="","",IF($D277="","",IFERROR(ROUND($D277*INDEX('🔖 배합비 참조'!$B$2:$CE$83,MATCH("두류가공품(백옥앙금)",'🔖 배합비 참조'!$A$2:$A$83,0),MATCH($C277,'🔖 배합비 참조'!$B$1:$CE$1,0))/100,0),""))),"")</f>
        <v>0</v>
      </c>
      <c r="AK277" s="39" t="n">
        <f aca="false">IFERROR(IF($C277="","",IF($D277="","",IFERROR(ROUND($D277*INDEX('🔖 배합비 참조'!$B$2:$CE$83,MATCH("두류가공품(콩고물)",'🔖 배합비 참조'!$A$2:$A$83,0),MATCH($C277,'🔖 배합비 참조'!$B$1:$CE$1,0))/100,0),""))),"")</f>
        <v>0</v>
      </c>
      <c r="AL277" s="39" t="n">
        <f aca="false">IFERROR(IF($C277="","",IF($D277="","",IFERROR(ROUND($D277*INDEX('🔖 배합비 참조'!$B$2:$CE$83,MATCH("두류가공품(통팥고물)",'🔖 배합비 참조'!$A$2:$A$83,0),MATCH($C277,'🔖 배합비 참조'!$B$1:$CE$1,0))/100,0),""))),"")</f>
        <v>0</v>
      </c>
      <c r="AM277" s="39" t="n">
        <f aca="false">IFERROR(IF($C277="","",IF($D277="","",IFERROR(ROUND($D277*INDEX('🔖 배합비 참조'!$B$2:$CE$83,MATCH("딸기레진",'🔖 배합비 참조'!$A$2:$A$83,0),MATCH($C277,'🔖 배합비 참조'!$B$1:$CE$1,0))/100,0),""))),"")</f>
        <v>0</v>
      </c>
      <c r="AN277" s="39" t="n">
        <f aca="false">IFERROR(IF($C277="","",IF($D277="","",IFERROR(ROUND($D277*INDEX('🔖 배합비 참조'!$B$2:$CE$83,MATCH("딸기분말(스트로우베리에이드(분말))",'🔖 배합비 참조'!$A$2:$A$83,0),MATCH($C277,'🔖 배합비 참조'!$B$1:$CE$1,0))/100,0),""))),"")</f>
        <v>0</v>
      </c>
      <c r="AO277" s="39" t="n">
        <f aca="false">IFERROR(IF($C277="","",IF($D277="","",IFERROR(ROUND($D277*INDEX('🔖 배합비 참조'!$B$2:$CE$83,MATCH("마스카포네치즈",'🔖 배합비 참조'!$A$2:$A$83,0),MATCH($C277,'🔖 배합비 참조'!$B$1:$CE$1,0))/100,0),""))),"")</f>
        <v>0</v>
      </c>
      <c r="AP277" s="39" t="n">
        <f aca="false">IFERROR(IF($C277="","",IF($D277="","",IFERROR(ROUND($D277*INDEX('🔖 배합비 참조'!$B$2:$CE$83,MATCH("마카다미아분태(호주산)",'🔖 배합비 참조'!$A$2:$A$83,0),MATCH($C277,'🔖 배합비 참조'!$B$1:$CE$1,0))/100,0),""))),"")</f>
        <v>0</v>
      </c>
      <c r="AQ277" s="39" t="n">
        <f aca="false">IFERROR(IF($C277="","",IF($D277="","",IFERROR(ROUND($D277*INDEX('🔖 배합비 참조'!$B$2:$CE$83,MATCH("멥쌀(국내산)",'🔖 배합비 참조'!$A$2:$A$83,0),MATCH($C277,'🔖 배합비 참조'!$B$1:$CE$1,0))/100,0),""))),"")</f>
        <v>22</v>
      </c>
      <c r="AR277" s="39" t="n">
        <f aca="false">IFERROR(IF($C277="","",IF($D277="","",IFERROR(ROUND($D277*INDEX('🔖 배합비 참조'!$B$2:$CE$83,MATCH("모시잎(국내산)",'🔖 배합비 참조'!$A$2:$A$83,0),MATCH($C277,'🔖 배합비 참조'!$B$1:$CE$1,0))/100,0),""))),"")</f>
        <v>0</v>
      </c>
      <c r="AS277" s="39" t="n">
        <f aca="false">IFERROR(IF($C277="","",IF($D277="","",IFERROR(ROUND($D277*INDEX('🔖 배합비 참조'!$B$2:$CE$83,MATCH("물엿(저당물엿)",'🔖 배합비 참조'!$A$2:$A$83,0),MATCH($C277,'🔖 배합비 참조'!$B$1:$CE$1,0))/100,0),""))),"")</f>
        <v>0</v>
      </c>
      <c r="AT277" s="39" t="n">
        <f aca="false">IFERROR(IF($C277="","",IF($D277="","",IFERROR(ROUND($D277*INDEX('🔖 배합비 참조'!$B$2:$CE$83,MATCH("밤다이스",'🔖 배합비 참조'!$A$2:$A$83,0),MATCH($C277,'🔖 배합비 참조'!$B$1:$CE$1,0))/100,0),""))),"")</f>
        <v>0</v>
      </c>
      <c r="AU277" s="39" t="n">
        <f aca="false">IFERROR(IF($C277="","",IF($D277="","",IFERROR(ROUND($D277*INDEX('🔖 배합비 참조'!$B$2:$CE$83,MATCH("변성전분(타피오카전분)",'🔖 배합비 참조'!$A$2:$A$83,0),MATCH($C277,'🔖 배합비 참조'!$B$1:$CE$1,0))/100,0),""))),"")</f>
        <v>0</v>
      </c>
      <c r="AV277" s="39" t="n">
        <f aca="false">IFERROR(IF($C277="","",IF($D277="","",IFERROR(ROUND($D277*INDEX('🔖 배합비 참조'!$B$2:$CE$83,MATCH("복음땅콩분태",'🔖 배합비 참조'!$A$2:$A$83,0),MATCH($C277,'🔖 배합비 참조'!$B$1:$CE$1,0))/100,0),""))),"")</f>
        <v>0</v>
      </c>
      <c r="AW277" s="39" t="n">
        <f aca="false">IFERROR(IF($C277="","",IF($D277="","",IFERROR(ROUND($D277*INDEX('🔖 배합비 참조'!$B$2:$CE$83,MATCH("사양벌꿀(국내산)",'🔖 배합비 참조'!$A$2:$A$83,0),MATCH($C277,'🔖 배합비 참조'!$B$1:$CE$1,0))/100,0),""))),"")</f>
        <v>0</v>
      </c>
      <c r="AX277" s="39" t="n">
        <f aca="false">IFERROR(IF($C277="","",IF($D277="","",IFERROR(ROUND($D277*INDEX('🔖 배합비 참조'!$B$2:$CE$83,MATCH("생크림",'🔖 배합비 참조'!$A$2:$A$83,0),MATCH($C277,'🔖 배합비 참조'!$B$1:$CE$1,0))/100,0),""))),"")</f>
        <v>0</v>
      </c>
      <c r="AY277" s="39" t="n">
        <f aca="false">IFERROR(IF($C277="","",IF($D277="","",IFERROR(ROUND($D277*INDEX('🔖 배합비 참조'!$B$2:$CE$83,MATCH("서양호박(국내산,뉴질랜드산)",'🔖 배합비 참조'!$A$2:$A$83,0),MATCH($C277,'🔖 배합비 참조'!$B$1:$CE$1,0))/100,0),""))),"")</f>
        <v>0</v>
      </c>
      <c r="AZ277" s="39" t="n">
        <f aca="false">IFERROR(IF($C277="","",IF($D277="","",IFERROR(ROUND($D277*INDEX('🔖 배합비 참조'!$B$2:$CE$83,MATCH("설탕",'🔖 배합비 참조'!$A$2:$A$83,0),MATCH($C277,'🔖 배합비 참조'!$B$1:$CE$1,0))/100,0),""))),"")</f>
        <v>209</v>
      </c>
      <c r="BA277" s="39" t="n">
        <f aca="false">IFERROR(IF($C277="","",IF($D277="","",IFERROR(ROUND($D277*INDEX('🔖 배합비 참조'!$B$2:$CE$83,MATCH("스트로우베리 에이드 후레쉬",'🔖 배합비 참조'!$A$2:$A$83,0),MATCH($C277,'🔖 배합비 참조'!$B$1:$CE$1,0))/100,0),""))),"")</f>
        <v>0</v>
      </c>
      <c r="BB277" s="39" t="n">
        <f aca="false">IFERROR(IF($C277="","",IF($D277="","",IFERROR(ROUND($D277*INDEX('🔖 배합비 참조'!$B$2:$CE$83,MATCH("식물성기름혼합제제(분홍)",'🔖 배합비 참조'!$A$2:$A$83,0),MATCH($C277,'🔖 배합비 참조'!$B$1:$CE$1,0))/100,0),""))),"")</f>
        <v>0</v>
      </c>
      <c r="BC277" s="39" t="n">
        <f aca="false">IFERROR(IF($C277="","",IF($D277="","",IFERROR(ROUND($D277*INDEX('🔖 배합비 참조'!$B$2:$CE$83,MATCH("식물성기름혼합제제(초록)",'🔖 배합비 참조'!$A$2:$A$83,0),MATCH($C277,'🔖 배합비 참조'!$B$1:$CE$1,0))/100,0),""))),"")</f>
        <v>0</v>
      </c>
      <c r="BD277" s="39" t="n">
        <f aca="false">IFERROR(IF($C277="","",IF($D277="","",IFERROR(ROUND($D277*INDEX('🔖 배합비 참조'!$B$2:$CE$83,MATCH("식물성기름혼합제제(황색)",'🔖 배합비 참조'!$A$2:$A$83,0),MATCH($C277,'🔖 배합비 참조'!$B$1:$CE$1,0))/100,0),""))),"")</f>
        <v>0</v>
      </c>
      <c r="BE277" s="39" t="n">
        <f aca="false">IFERROR(IF($C277="","",IF($D277="","",IFERROR(ROUND($D277*INDEX('🔖 배합비 참조'!$B$2:$CE$83,MATCH("쑥가루(국내산)",'🔖 배합비 참조'!$A$2:$A$83,0),MATCH($C277,'🔖 배합비 참조'!$B$1:$CE$1,0))/100,0),""))),"")</f>
        <v>0</v>
      </c>
      <c r="BF277" s="39" t="n">
        <f aca="false">IFERROR(IF($C277="","",IF($D277="","",IFERROR(ROUND($D277*INDEX('🔖 배합비 참조'!$B$2:$CE$83,MATCH("아몬드슬라이스",'🔖 배합비 참조'!$A$2:$A$83,0),MATCH($C277,'🔖 배합비 참조'!$B$1:$CE$1,0))/100,0),""))),"")</f>
        <v>0</v>
      </c>
      <c r="BG277" s="39" t="n">
        <f aca="false">IFERROR(IF($C277="","",IF($D277="","",IFERROR(ROUND($D277*INDEX('🔖 배합비 참조'!$B$2:$CE$83,MATCH("알룰로오스(국내산)",'🔖 배합비 참조'!$A$2:$A$83,0),MATCH($C277,'🔖 배합비 참조'!$B$1:$CE$1,0))/100,0),""))),"")</f>
        <v>0</v>
      </c>
      <c r="BH277" s="39" t="n">
        <f aca="false">IFERROR(IF($C277="","",IF($D277="","",IFERROR(ROUND($D277*INDEX('🔖 배합비 참조'!$B$2:$CE$83,MATCH("연유",'🔖 배합비 참조'!$A$2:$A$83,0),MATCH($C277,'🔖 배합비 참조'!$B$1:$CE$1,0))/100,0),""))),"")</f>
        <v>0</v>
      </c>
      <c r="BI277" s="39" t="n">
        <f aca="false">IFERROR(IF($C277="","",IF($D277="","",IFERROR(ROUND($D277*INDEX('🔖 배합비 참조'!$B$2:$CE$83,MATCH("옥수수전분",'🔖 배합비 참조'!$A$2:$A$83,0),MATCH($C277,'🔖 배합비 참조'!$B$1:$CE$1,0))/100,0),""))),"")</f>
        <v>0</v>
      </c>
      <c r="BJ277" s="39" t="n">
        <f aca="false">IFERROR(IF($C277="","",IF($D277="","",IFERROR(ROUND($D277*INDEX('🔖 배합비 참조'!$B$2:$CE$83,MATCH("완두배기",'🔖 배합비 참조'!$A$2:$A$83,0),MATCH($C277,'🔖 배합비 참조'!$B$1:$CE$1,0))/100,0),""))),"")</f>
        <v>0</v>
      </c>
      <c r="BK277" s="39" t="n">
        <f aca="false">IFERROR(IF($C277="","",IF($D277="","",IFERROR(ROUND($D277*INDEX('🔖 배합비 참조'!$B$2:$CE$83,MATCH("우유(국내산)",'🔖 배합비 참조'!$A$2:$A$83,0),MATCH($C277,'🔖 배합비 참조'!$B$1:$CE$1,0))/100,0),""))),"")</f>
        <v>0</v>
      </c>
      <c r="BL277" s="39" t="n">
        <f aca="false">IFERROR(IF($C277="","",IF($D277="","",IFERROR(ROUND($D277*INDEX('🔖 배합비 참조'!$B$2:$CE$83,MATCH("자색고구마가루(중국산)",'🔖 배합비 참조'!$A$2:$A$83,0),MATCH($C277,'🔖 배합비 참조'!$B$1:$CE$1,0))/100,0),""))),"")</f>
        <v>0</v>
      </c>
      <c r="BM277" s="39" t="n">
        <f aca="false">IFERROR(IF($C277="","",IF($D277="","",IFERROR(ROUND($D277*INDEX('🔖 배합비 참조'!$B$2:$CE$83,MATCH("자연치즈(체다치즈)",'🔖 배합비 참조'!$A$2:$A$83,0),MATCH($C277,'🔖 배합비 참조'!$B$1:$CE$1,0))/100,0),""))),"")</f>
        <v>0</v>
      </c>
      <c r="BN277" s="39" t="n">
        <f aca="false">IFERROR(IF($C277="","",IF($D277="","",IFERROR(ROUND($D277*INDEX('🔖 배합비 참조'!$B$2:$CE$83,MATCH("정제수",'🔖 배합비 참조'!$A$2:$A$83,0),MATCH($C277,'🔖 배합비 참조'!$B$1:$CE$1,0))/100,0),""))),"")</f>
        <v>33</v>
      </c>
      <c r="BO277" s="39" t="n">
        <f aca="false">IFERROR(IF($C277="","",IF($D277="","",IFERROR(ROUND($D277*INDEX('🔖 배합비 참조'!$B$2:$CE$83,MATCH("젤라틴",'🔖 배합비 참조'!$A$2:$A$83,0),MATCH($C277,'🔖 배합비 참조'!$B$1:$CE$1,0))/100,0),""))),"")</f>
        <v>0</v>
      </c>
      <c r="BP277" s="39" t="n">
        <f aca="false">IFERROR(IF($C277="","",IF($D277="","",IFERROR(ROUND($D277*INDEX('🔖 배합비 참조'!$B$2:$CE$83,MATCH("조림류(백옥앙금)",'🔖 배합비 참조'!$A$2:$A$83,0),MATCH($C277,'🔖 배합비 참조'!$B$1:$CE$1,0))/100,0),""))),"")</f>
        <v>0</v>
      </c>
      <c r="BQ277" s="39" t="n">
        <f aca="false">IFERROR(IF($C277="","",IF($D277="","",IFERROR(ROUND($D277*INDEX('🔖 배합비 참조'!$B$2:$CE$83,MATCH("조림류(통팥앙금)",'🔖 배합비 참조'!$A$2:$A$83,0),MATCH($C277,'🔖 배합비 참조'!$B$1:$CE$1,0))/100,0),""))),"")</f>
        <v>198</v>
      </c>
      <c r="BR277" s="39" t="n">
        <f aca="false">IFERROR(IF($C277="","",IF($D277="","",IFERROR(ROUND($D277*INDEX('🔖 배합비 참조'!$B$2:$CE$83,MATCH("준초콜릿(외국산)",'🔖 배합비 참조'!$A$2:$A$83,0),MATCH($C277,'🔖 배합비 참조'!$B$1:$CE$1,0))/100,0),""))),"")</f>
        <v>0</v>
      </c>
      <c r="BS277" s="39" t="n">
        <f aca="false">IFERROR(IF($C277="","",IF($D277="","",IFERROR(ROUND($D277*INDEX('🔖 배합비 참조'!$B$2:$CE$83,MATCH("중력분",'🔖 배합비 참조'!$A$2:$A$83,0),MATCH($C277,'🔖 배합비 참조'!$B$1:$CE$1,0))/100,0),""))),"")</f>
        <v>22</v>
      </c>
      <c r="BT277" s="39" t="n">
        <f aca="false">IFERROR(IF($C277="","",IF($D277="","",IFERROR(ROUND($D277*INDEX('🔖 배합비 참조'!$B$2:$CE$83,MATCH("참깨(인도산,나이지리아산,탄자니아산,미얀마산)",'🔖 배합비 참조'!$A$2:$A$83,0),MATCH($C277,'🔖 배합비 참조'!$B$1:$CE$1,0))/100,0),""))),"")</f>
        <v>0</v>
      </c>
      <c r="BU277" s="39" t="n">
        <f aca="false">IFERROR(IF($C277="","",IF($D277="","",IFERROR(ROUND($D277*INDEX('🔖 배합비 참조'!$B$2:$CE$83,MATCH("찹쌀(국내산)",'🔖 배합비 참조'!$A$2:$A$83,0),MATCH($C277,'🔖 배합비 참조'!$B$1:$CE$1,0))/100,0),""))),"")</f>
        <v>473</v>
      </c>
      <c r="BV277" s="39" t="n">
        <f aca="false">IFERROR(IF($C277="","",IF($D277="","",IFERROR(ROUND($D277*INDEX('🔖 배합비 참조'!$B$2:$CE$83,MATCH("천일염",'🔖 배합비 참조'!$A$2:$A$83,0),MATCH($C277,'🔖 배합비 참조'!$B$1:$CE$1,0))/100,0),""))),"")</f>
        <v>22</v>
      </c>
      <c r="BW277" s="39" t="n">
        <f aca="false">IFERROR(IF($C277="","",IF($D277="","",IFERROR(ROUND($D277*INDEX('🔖 배합비 참조'!$B$2:$CE$83,MATCH("치즈 [크림치즈]",'🔖 배합비 참조'!$A$2:$A$83,0),MATCH($C277,'🔖 배합비 참조'!$B$1:$CE$1,0))/100,0),""))),"")</f>
        <v>0</v>
      </c>
      <c r="BX277" s="39" t="n">
        <f aca="false">IFERROR(IF($C277="","",IF($D277="","",IFERROR(ROUND($D277*INDEX('🔖 배합비 참조'!$B$2:$CE$83,MATCH("코코아가공품류(코코아분말)",'🔖 배합비 참조'!$A$2:$A$83,0),MATCH($C277,'🔖 배합비 참조'!$B$1:$CE$1,0))/100,0),""))),"")</f>
        <v>0</v>
      </c>
      <c r="BY277" s="39" t="n">
        <f aca="false">IFERROR(IF($C277="","",IF($D277="","",IFERROR(ROUND($D277*INDEX('🔖 배합비 참조'!$B$2:$CE$83,MATCH("콩기름(대두유)",'🔖 배합비 참조'!$A$2:$A$83,0),MATCH($C277,'🔖 배합비 참조'!$B$1:$CE$1,0))/100,0),""))),"")</f>
        <v>0</v>
      </c>
      <c r="BZ277" s="39" t="n">
        <f aca="false">IFERROR(IF($C277="","",IF($D277="","",IFERROR(ROUND($D277*INDEX('🔖 배합비 참조'!$B$2:$CE$83,MATCH("해바라기씨앗",'🔖 배합비 참조'!$A$2:$A$83,0),MATCH($C277,'🔖 배합비 참조'!$B$1:$CE$1,0))/100,0),""))),"")</f>
        <v>0</v>
      </c>
      <c r="CA277" s="39" t="n">
        <f aca="false">IFERROR(IF($C277="","",IF($D277="","",IFERROR(ROUND($D277*INDEX('🔖 배합비 참조'!$B$2:$CE$83,MATCH("현미(국내산)",'🔖 배합비 참조'!$A$2:$A$83,0),MATCH($C277,'🔖 배합비 참조'!$B$1:$CE$1,0))/100,0),""))),"")</f>
        <v>0</v>
      </c>
      <c r="CB277" s="39" t="n">
        <f aca="false">IFERROR(IF($C277="","",IF($D277="","",IFERROR(ROUND($D277*INDEX('🔖 배합비 참조'!$B$2:$CE$83,MATCH("현미멥쌀(국내산)",'🔖 배합비 참조'!$A$2:$A$83,0),MATCH($C277,'🔖 배합비 참조'!$B$1:$CE$1,0))/100,0),""))),"")</f>
        <v>0</v>
      </c>
      <c r="CC277" s="39" t="n">
        <f aca="false">IFERROR(IF($C277="","",IF($D277="","",IFERROR(ROUND($D277*INDEX('🔖 배합비 참조'!$B$2:$CE$83,MATCH("호두분태(미국산)",'🔖 배합비 참조'!$A$2:$A$83,0),MATCH($C277,'🔖 배합비 참조'!$B$1:$CE$1,0))/100,0),""))),"")</f>
        <v>0</v>
      </c>
      <c r="CD277" s="39" t="n">
        <f aca="false">IFERROR(IF($C277="","",IF($D277="","",IFERROR(ROUND($D277*INDEX('🔖 배합비 참조'!$B$2:$CE$83,MATCH("호박씨앗(외국산)",'🔖 배합비 참조'!$A$2:$A$83,0),MATCH($C277,'🔖 배합비 참조'!$B$1:$CE$1,0))/100,0),""))),"")</f>
        <v>0</v>
      </c>
      <c r="CE277" s="39" t="n">
        <f aca="false">IFERROR(IF($C277="","",IF($D277="","",IFERROR(ROUND($D277*INDEX('🔖 배합비 참조'!$B$2:$CE$83,MATCH("혼합제제(떡용에스텔)",'🔖 배합비 참조'!$A$2:$A$83,0),MATCH($C277,'🔖 배합비 참조'!$B$1:$CE$1,0))/100,0),""))),"")</f>
        <v>22</v>
      </c>
      <c r="CF277" s="39" t="n">
        <f aca="false">IFERROR(IF($C277="","",IF($D277="","",IFERROR(ROUND($D277*INDEX('🔖 배합비 참조'!$B$2:$CE$83,MATCH("혼합제제(스테비아)",'🔖 배합비 참조'!$A$2:$A$83,0),MATCH($C277,'🔖 배합비 참조'!$B$1:$CE$1,0))/100,0),""))),"")</f>
        <v>0</v>
      </c>
      <c r="CG277" s="39" t="n">
        <f aca="false">IFERROR(IF($C277="","",IF($D277="","",IFERROR(ROUND($D277*INDEX('🔖 배합비 참조'!$B$2:$CE$83,MATCH("화이트초콜릿",'🔖 배합비 참조'!$A$2:$A$83,0),MATCH($C277,'🔖 배합비 참조'!$B$1:$CE$1,0))/100,0),""))),"")</f>
        <v>0</v>
      </c>
      <c r="CH277" s="39" t="n">
        <f aca="false">IFERROR(IF($C277="","",IF($D277="","",IFERROR(ROUND($D277*INDEX('🔖 배합비 참조'!$B$2:$CE$83,MATCH("흑미찹쌀(국내산)",'🔖 배합비 참조'!$A$2:$A$83,0),MATCH($C277,'🔖 배합비 참조'!$B$1:$CE$1,0))/100,0),""))),"")</f>
        <v>0</v>
      </c>
      <c r="CI277" s="39" t="n">
        <f aca="false">IFERROR(IF($C277="","",IF($D277="","",IFERROR(ROUND($D277*INDEX('🔖 배합비 참조'!$B$2:$CE$83,MATCH("찰옥수수전분(미국산)",'🔖 배합비 참조'!$A$2:$A$83,0),MATCH($C277,'🔖 배합비 참조'!$B$1:$CE$1,0))/100,0),""))),"")</f>
        <v>99</v>
      </c>
      <c r="CJ277" s="40"/>
      <c r="CL277" s="43" t="s">
        <v>248</v>
      </c>
    </row>
    <row r="278" customFormat="false" ht="18" hidden="false" customHeight="true" outlineLevel="0" collapsed="false">
      <c r="A278" s="41" t="n">
        <v>274</v>
      </c>
      <c r="B278" s="36" t="n">
        <v>46094</v>
      </c>
      <c r="C278" s="37" t="s">
        <v>143</v>
      </c>
      <c r="D278" s="38" t="n">
        <v>60</v>
      </c>
      <c r="E278" s="17"/>
      <c r="F278" s="17"/>
      <c r="G278" s="42" t="n">
        <f aca="false">IFERROR(IF($C278="","",IF($D278="","",IFERROR(ROUND($D278*INDEX('🔖 배합비 참조'!$B$2:$CE$83,MATCH("간장",'🔖 배합비 참조'!$A$2:$A$83,0),MATCH($C278,'🔖 배합비 참조'!$B$1:$CE$1,0))/100,0),""))),"")</f>
        <v>0</v>
      </c>
      <c r="H278" s="42" t="n">
        <f aca="false">IFERROR(IF($C278="","",IF($D278="","",IFERROR(ROUND($D278*INDEX('🔖 배합비 참조'!$B$2:$CE$83,MATCH("강낭콩((울타리콩))",'🔖 배합비 참조'!$A$2:$A$83,0),MATCH($C278,'🔖 배합비 참조'!$B$1:$CE$1,0))/100,0),""))),"")</f>
        <v>0</v>
      </c>
      <c r="I278" s="42" t="n">
        <f aca="false">IFERROR(IF($C278="","",IF($D278="","",IFERROR(ROUND($D278*INDEX('🔖 배합비 참조'!$B$2:$CE$83,MATCH("건조딸기다이스(외국산)",'🔖 배합비 참조'!$A$2:$A$83,0),MATCH($C278,'🔖 배합비 참조'!$B$1:$CE$1,0))/100,0),""))),"")</f>
        <v>0</v>
      </c>
      <c r="J278" s="42" t="n">
        <f aca="false">IFERROR(IF($C278="","",IF($D278="","",IFERROR(ROUND($D278*INDEX('🔖 배합비 참조'!$B$2:$CE$83,MATCH("건포도",'🔖 배합비 참조'!$A$2:$A$83,0),MATCH($C278,'🔖 배합비 참조'!$B$1:$CE$1,0))/100,0),""))),"")</f>
        <v>0</v>
      </c>
      <c r="K278" s="42" t="n">
        <f aca="false">IFERROR(IF($C278="","",IF($D278="","",IFERROR(ROUND($D278*INDEX('🔖 배합비 참조'!$B$2:$CE$83,MATCH("건호박채(중국산)",'🔖 배합비 참조'!$A$2:$A$83,0),MATCH($C278,'🔖 배합비 참조'!$B$1:$CE$1,0))/100,0),""))),"")</f>
        <v>0</v>
      </c>
      <c r="L278" s="42" t="n">
        <f aca="false">IFERROR(IF($C278="","",IF($D278="","",IFERROR(ROUND($D278*INDEX('🔖 배합비 참조'!$B$2:$CE$83,MATCH("검정깨(흑임자)",'🔖 배합비 참조'!$A$2:$A$83,0),MATCH($C278,'🔖 배합비 참조'!$B$1:$CE$1,0))/100,0),""))),"")</f>
        <v>0</v>
      </c>
      <c r="M278" s="42" t="n">
        <f aca="false">IFERROR(IF($C278="","",IF($D278="","",IFERROR(ROUND($D278*INDEX('🔖 배합비 참조'!$B$2:$CE$83,MATCH("검정콩",'🔖 배합비 참조'!$A$2:$A$83,0),MATCH($C278,'🔖 배합비 참조'!$B$1:$CE$1,0))/100,0),""))),"")</f>
        <v>0</v>
      </c>
      <c r="N278" s="42" t="n">
        <f aca="false">IFERROR(IF($C278="","",IF($D278="","",IFERROR(ROUND($D278*INDEX('🔖 배합비 참조'!$B$2:$CE$83,MATCH("계피가루",'🔖 배합비 참조'!$A$2:$A$83,0),MATCH($C278,'🔖 배합비 참조'!$B$1:$CE$1,0))/100,0),""))),"")</f>
        <v>0</v>
      </c>
      <c r="O278" s="42" t="n">
        <f aca="false">IFERROR(IF($C278="","",IF($D278="","",IFERROR(ROUND($D278*INDEX('🔖 배합비 참조'!$B$2:$CE$83,MATCH("고구마가루",'🔖 배합비 참조'!$A$2:$A$83,0),MATCH($C278,'🔖 배합비 참조'!$B$1:$CE$1,0))/100,0),""))),"")</f>
        <v>0</v>
      </c>
      <c r="P278" s="42" t="n">
        <f aca="false">IFERROR(IF($C278="","",IF($D278="","",IFERROR(ROUND($D278*INDEX('🔖 배합비 참조'!$B$2:$CE$83,MATCH("고구마무스",'🔖 배합비 참조'!$A$2:$A$83,0),MATCH($C278,'🔖 배합비 참조'!$B$1:$CE$1,0))/100,0),""))),"")</f>
        <v>0</v>
      </c>
      <c r="Q278" s="42" t="n">
        <f aca="false">IFERROR(IF($C278="","",IF($D278="","",IFERROR(ROUND($D278*INDEX('🔖 배합비 참조'!$B$2:$CE$83,MATCH("고려엉겅퀴((곤드레)국내산)",'🔖 배합비 참조'!$A$2:$A$83,0),MATCH($C278,'🔖 배합비 참조'!$B$1:$CE$1,0))/100,0),""))),"")</f>
        <v>0</v>
      </c>
      <c r="R278" s="42" t="n">
        <f aca="false">IFERROR(IF($C278="","",IF($D278="","",IFERROR(ROUND($D278*INDEX('🔖 배합비 참조'!$B$2:$CE$83,MATCH("기타가공품(복분자가루)",'🔖 배합비 참조'!$A$2:$A$83,0),MATCH($C278,'🔖 배합비 참조'!$B$1:$CE$1,0))/100,0),""))),"")</f>
        <v>0</v>
      </c>
      <c r="S278" s="42" t="n">
        <f aca="false">IFERROR(IF($C278="","",IF($D278="","",IFERROR(ROUND($D278*INDEX('🔖 배합비 참조'!$B$2:$CE$83,MATCH("기타가공품(슈퍼소프트엠)",'🔖 배합비 참조'!$A$2:$A$83,0),MATCH($C278,'🔖 배합비 참조'!$B$1:$CE$1,0))/100,0),""))),"")</f>
        <v>0</v>
      </c>
      <c r="T278" s="42" t="n">
        <f aca="false">IFERROR(IF($C278="","",IF($D278="","",IFERROR(ROUND($D278*INDEX('🔖 배합비 참조'!$B$2:$CE$83,MATCH("기타가공품(파인소프트 E-티)",'🔖 배합비 참조'!$A$2:$A$83,0),MATCH($C278,'🔖 배합비 참조'!$B$1:$CE$1,0))/100,0),""))),"")</f>
        <v>0</v>
      </c>
      <c r="U278" s="42" t="n">
        <f aca="false">IFERROR(IF($C278="","",IF($D278="","",IFERROR(ROUND($D278*INDEX('🔖 배합비 참조'!$B$2:$CE$83,MATCH("기타가공품(프리미엄카스테라가루)",'🔖 배합비 참조'!$A$2:$A$83,0),MATCH($C278,'🔖 배합비 참조'!$B$1:$CE$1,0))/100,0),""))),"")</f>
        <v>0</v>
      </c>
      <c r="V278" s="42" t="n">
        <f aca="false">IFERROR(IF($C278="","",IF($D278="","",IFERROR(ROUND($D278*INDEX('🔖 배합비 참조'!$B$2:$CE$83,MATCH("기타가공품(흑임자가루)",'🔖 배합비 참조'!$A$2:$A$83,0),MATCH($C278,'🔖 배합비 참조'!$B$1:$CE$1,0))/100,0),""))),"")</f>
        <v>0</v>
      </c>
      <c r="W278" s="42" t="n">
        <f aca="false">IFERROR(IF($C278="","",IF($D278="","",IFERROR(ROUND($D278*INDEX('🔖 배합비 참조'!$B$2:$CE$83,MATCH("기타설탕(흑설탕)",'🔖 배합비 참조'!$A$2:$A$83,0),MATCH($C278,'🔖 배합비 참조'!$B$1:$CE$1,0))/100,0),""))),"")</f>
        <v>5</v>
      </c>
      <c r="X278" s="42" t="n">
        <f aca="false">IFERROR(IF($C278="","",IF($D278="","",IFERROR(ROUND($D278*INDEX('🔖 배합비 참조'!$B$2:$CE$83,MATCH("냉동쑥(국내산)",'🔖 배합비 참조'!$A$2:$A$83,0),MATCH($C278,'🔖 배합비 참조'!$B$1:$CE$1,0))/100,0),""))),"")</f>
        <v>0</v>
      </c>
      <c r="Y278" s="42" t="n">
        <f aca="false">IFERROR(IF($C278="","",IF($D278="","",IFERROR(ROUND($D278*INDEX('🔖 배합비 참조'!$B$2:$CE$83,MATCH("냉동증숙고구마(중국산)",'🔖 배합비 참조'!$A$2:$A$83,0),MATCH($C278,'🔖 배합비 참조'!$B$1:$CE$1,0))/100,0),""))),"")</f>
        <v>0</v>
      </c>
      <c r="Z278" s="42" t="n">
        <f aca="false">IFERROR(IF($C278="","",IF($D278="","",IFERROR(ROUND($D278*INDEX('🔖 배합비 참조'!$B$2:$CE$83,MATCH("녹차가루",'🔖 배합비 참조'!$A$2:$A$83,0),MATCH($C278,'🔖 배합비 참조'!$B$1:$CE$1,0))/100,0),""))),"")</f>
        <v>0</v>
      </c>
      <c r="AA278" s="42" t="n">
        <f aca="false">IFERROR(IF($C278="","",IF($D278="","",IFERROR(ROUND($D278*INDEX('🔖 배합비 참조'!$B$2:$CE$83,MATCH("다크초콜릿 컴파운드칩",'🔖 배합비 참조'!$A$2:$A$83,0),MATCH($C278,'🔖 배합비 참조'!$B$1:$CE$1,0))/100,0),""))),"")</f>
        <v>0</v>
      </c>
      <c r="AB278" s="42" t="n">
        <f aca="false">IFERROR(IF($C278="","",IF($D278="","",IFERROR(ROUND($D278*INDEX('🔖 배합비 참조'!$B$2:$CE$83,MATCH("단호박분말(중국산)",'🔖 배합비 참조'!$A$2:$A$83,0),MATCH($C278,'🔖 배합비 참조'!$B$1:$CE$1,0))/100,0),""))),"")</f>
        <v>0</v>
      </c>
      <c r="AC278" s="42" t="n">
        <f aca="false">IFERROR(IF($C278="","",IF($D278="","",IFERROR(ROUND($D278*INDEX('🔖 배합비 참조'!$B$2:$CE$83,MATCH("당류가공품(단호박농축액)",'🔖 배합비 참조'!$A$2:$A$83,0),MATCH($C278,'🔖 배합비 참조'!$B$1:$CE$1,0))/100,0),""))),"")</f>
        <v>0</v>
      </c>
      <c r="AD278" s="42" t="n">
        <f aca="false">IFERROR(IF($C278="","",IF($D278="","",IFERROR(ROUND($D278*INDEX('🔖 배합비 참조'!$B$2:$CE$83,MATCH("당류가공품(알룰로스,에리스리톨,스테비올배당체혼합)",'🔖 배합비 참조'!$A$2:$A$83,0),MATCH($C278,'🔖 배합비 참조'!$B$1:$CE$1,0))/100,0),""))),"")</f>
        <v>0</v>
      </c>
      <c r="AE278" s="42" t="n">
        <f aca="false">IFERROR(IF($C278="","",IF($D278="","",IFERROR(ROUND($D278*INDEX('🔖 배합비 참조'!$B$2:$CE$83,MATCH("당류가공품(알룰로스제로파우더)",'🔖 배합비 참조'!$A$2:$A$83,0),MATCH($C278,'🔖 배합비 참조'!$B$1:$CE$1,0))/100,0),""))),"")</f>
        <v>0</v>
      </c>
      <c r="AF278" s="42" t="n">
        <f aca="false">IFERROR(IF($C278="","",IF($D278="","",IFERROR(ROUND($D278*INDEX('🔖 배합비 참조'!$B$2:$CE$83,MATCH("당절임(완두배기)",'🔖 배합비 참조'!$A$2:$A$83,0),MATCH($C278,'🔖 배합비 참조'!$B$1:$CE$1,0))/100,0),""))),"")</f>
        <v>0</v>
      </c>
      <c r="AG278" s="42" t="n">
        <f aca="false">IFERROR(IF($C278="","",IF($D278="","",IFERROR(ROUND($D278*INDEX('🔖 배합비 참조'!$B$2:$CE$83,MATCH("대추농축액",'🔖 배합비 참조'!$A$2:$A$83,0),MATCH($C278,'🔖 배합비 참조'!$B$1:$CE$1,0))/100,0),""))),"")</f>
        <v>0</v>
      </c>
      <c r="AH278" s="42" t="n">
        <f aca="false">IFERROR(IF($C278="","",IF($D278="","",IFERROR(ROUND($D278*INDEX('🔖 배합비 참조'!$B$2:$CE$83,MATCH("대추채(국내산)",'🔖 배합비 참조'!$A$2:$A$83,0),MATCH($C278,'🔖 배합비 참조'!$B$1:$CE$1,0))/100,0),""))),"")</f>
        <v>0</v>
      </c>
      <c r="AI278" s="42" t="n">
        <f aca="false">IFERROR(IF($C278="","",IF($D278="","",IFERROR(ROUND($D278*INDEX('🔖 배합비 참조'!$B$2:$CE$83,MATCH("동부(미얀마산)",'🔖 배합비 참조'!$A$2:$A$83,0),MATCH($C278,'🔖 배합비 참조'!$B$1:$CE$1,0))/100,0),""))),"")</f>
        <v>0</v>
      </c>
      <c r="AJ278" s="42" t="n">
        <f aca="false">IFERROR(IF($C278="","",IF($D278="","",IFERROR(ROUND($D278*INDEX('🔖 배합비 참조'!$B$2:$CE$83,MATCH("두류가공품(백옥앙금)",'🔖 배합비 참조'!$A$2:$A$83,0),MATCH($C278,'🔖 배합비 참조'!$B$1:$CE$1,0))/100,0),""))),"")</f>
        <v>0</v>
      </c>
      <c r="AK278" s="42" t="n">
        <f aca="false">IFERROR(IF($C278="","",IF($D278="","",IFERROR(ROUND($D278*INDEX('🔖 배합비 참조'!$B$2:$CE$83,MATCH("두류가공품(콩고물)",'🔖 배합비 참조'!$A$2:$A$83,0),MATCH($C278,'🔖 배합비 참조'!$B$1:$CE$1,0))/100,0),""))),"")</f>
        <v>0</v>
      </c>
      <c r="AL278" s="42" t="n">
        <f aca="false">IFERROR(IF($C278="","",IF($D278="","",IFERROR(ROUND($D278*INDEX('🔖 배합비 참조'!$B$2:$CE$83,MATCH("두류가공품(통팥고물)",'🔖 배합비 참조'!$A$2:$A$83,0),MATCH($C278,'🔖 배합비 참조'!$B$1:$CE$1,0))/100,0),""))),"")</f>
        <v>0</v>
      </c>
      <c r="AM278" s="42" t="n">
        <f aca="false">IFERROR(IF($C278="","",IF($D278="","",IFERROR(ROUND($D278*INDEX('🔖 배합비 참조'!$B$2:$CE$83,MATCH("딸기레진",'🔖 배합비 참조'!$A$2:$A$83,0),MATCH($C278,'🔖 배합비 참조'!$B$1:$CE$1,0))/100,0),""))),"")</f>
        <v>0</v>
      </c>
      <c r="AN278" s="42" t="n">
        <f aca="false">IFERROR(IF($C278="","",IF($D278="","",IFERROR(ROUND($D278*INDEX('🔖 배합비 참조'!$B$2:$CE$83,MATCH("딸기분말(스트로우베리에이드(분말))",'🔖 배합비 참조'!$A$2:$A$83,0),MATCH($C278,'🔖 배합비 참조'!$B$1:$CE$1,0))/100,0),""))),"")</f>
        <v>0</v>
      </c>
      <c r="AO278" s="42" t="n">
        <f aca="false">IFERROR(IF($C278="","",IF($D278="","",IFERROR(ROUND($D278*INDEX('🔖 배합비 참조'!$B$2:$CE$83,MATCH("마스카포네치즈",'🔖 배합비 참조'!$A$2:$A$83,0),MATCH($C278,'🔖 배합비 참조'!$B$1:$CE$1,0))/100,0),""))),"")</f>
        <v>0</v>
      </c>
      <c r="AP278" s="42" t="n">
        <f aca="false">IFERROR(IF($C278="","",IF($D278="","",IFERROR(ROUND($D278*INDEX('🔖 배합비 참조'!$B$2:$CE$83,MATCH("마카다미아분태(호주산)",'🔖 배합비 참조'!$A$2:$A$83,0),MATCH($C278,'🔖 배합비 참조'!$B$1:$CE$1,0))/100,0),""))),"")</f>
        <v>0</v>
      </c>
      <c r="AQ278" s="42" t="n">
        <f aca="false">IFERROR(IF($C278="","",IF($D278="","",IFERROR(ROUND($D278*INDEX('🔖 배합비 참조'!$B$2:$CE$83,MATCH("멥쌀(국내산)",'🔖 배합비 참조'!$A$2:$A$83,0),MATCH($C278,'🔖 배합비 참조'!$B$1:$CE$1,0))/100,0),""))),"")</f>
        <v>40</v>
      </c>
      <c r="AR278" s="42" t="n">
        <f aca="false">IFERROR(IF($C278="","",IF($D278="","",IFERROR(ROUND($D278*INDEX('🔖 배합비 참조'!$B$2:$CE$83,MATCH("모시잎(국내산)",'🔖 배합비 참조'!$A$2:$A$83,0),MATCH($C278,'🔖 배합비 참조'!$B$1:$CE$1,0))/100,0),""))),"")</f>
        <v>0</v>
      </c>
      <c r="AS278" s="42" t="n">
        <f aca="false">IFERROR(IF($C278="","",IF($D278="","",IFERROR(ROUND($D278*INDEX('🔖 배합비 참조'!$B$2:$CE$83,MATCH("물엿(저당물엿)",'🔖 배합비 참조'!$A$2:$A$83,0),MATCH($C278,'🔖 배합비 참조'!$B$1:$CE$1,0))/100,0),""))),"")</f>
        <v>0</v>
      </c>
      <c r="AT278" s="42" t="n">
        <f aca="false">IFERROR(IF($C278="","",IF($D278="","",IFERROR(ROUND($D278*INDEX('🔖 배합비 참조'!$B$2:$CE$83,MATCH("밤다이스",'🔖 배합비 참조'!$A$2:$A$83,0),MATCH($C278,'🔖 배합비 참조'!$B$1:$CE$1,0))/100,0),""))),"")</f>
        <v>0</v>
      </c>
      <c r="AU278" s="42" t="n">
        <f aca="false">IFERROR(IF($C278="","",IF($D278="","",IFERROR(ROUND($D278*INDEX('🔖 배합비 참조'!$B$2:$CE$83,MATCH("변성전분(타피오카전분)",'🔖 배합비 참조'!$A$2:$A$83,0),MATCH($C278,'🔖 배합비 참조'!$B$1:$CE$1,0))/100,0),""))),"")</f>
        <v>0</v>
      </c>
      <c r="AV278" s="42" t="n">
        <f aca="false">IFERROR(IF($C278="","",IF($D278="","",IFERROR(ROUND($D278*INDEX('🔖 배합비 참조'!$B$2:$CE$83,MATCH("복음땅콩분태",'🔖 배합비 참조'!$A$2:$A$83,0),MATCH($C278,'🔖 배합비 참조'!$B$1:$CE$1,0))/100,0),""))),"")</f>
        <v>0</v>
      </c>
      <c r="AW278" s="42" t="n">
        <f aca="false">IFERROR(IF($C278="","",IF($D278="","",IFERROR(ROUND($D278*INDEX('🔖 배합비 참조'!$B$2:$CE$83,MATCH("사양벌꿀(국내산)",'🔖 배합비 참조'!$A$2:$A$83,0),MATCH($C278,'🔖 배합비 참조'!$B$1:$CE$1,0))/100,0),""))),"")</f>
        <v>1</v>
      </c>
      <c r="AX278" s="42" t="n">
        <f aca="false">IFERROR(IF($C278="","",IF($D278="","",IFERROR(ROUND($D278*INDEX('🔖 배합비 참조'!$B$2:$CE$83,MATCH("생크림",'🔖 배합비 참조'!$A$2:$A$83,0),MATCH($C278,'🔖 배합비 참조'!$B$1:$CE$1,0))/100,0),""))),"")</f>
        <v>0</v>
      </c>
      <c r="AY278" s="42" t="n">
        <f aca="false">IFERROR(IF($C278="","",IF($D278="","",IFERROR(ROUND($D278*INDEX('🔖 배합비 참조'!$B$2:$CE$83,MATCH("서양호박(국내산,뉴질랜드산)",'🔖 배합비 참조'!$A$2:$A$83,0),MATCH($C278,'🔖 배합비 참조'!$B$1:$CE$1,0))/100,0),""))),"")</f>
        <v>0</v>
      </c>
      <c r="AZ278" s="42" t="n">
        <f aca="false">IFERROR(IF($C278="","",IF($D278="","",IFERROR(ROUND($D278*INDEX('🔖 배합비 참조'!$B$2:$CE$83,MATCH("설탕",'🔖 배합비 참조'!$A$2:$A$83,0),MATCH($C278,'🔖 배합비 참조'!$B$1:$CE$1,0))/100,0),""))),"")</f>
        <v>5</v>
      </c>
      <c r="BA278" s="42" t="n">
        <f aca="false">IFERROR(IF($C278="","",IF($D278="","",IFERROR(ROUND($D278*INDEX('🔖 배합비 참조'!$B$2:$CE$83,MATCH("스트로우베리 에이드 후레쉬",'🔖 배합비 참조'!$A$2:$A$83,0),MATCH($C278,'🔖 배합비 참조'!$B$1:$CE$1,0))/100,0),""))),"")</f>
        <v>0</v>
      </c>
      <c r="BB278" s="42" t="n">
        <f aca="false">IFERROR(IF($C278="","",IF($D278="","",IFERROR(ROUND($D278*INDEX('🔖 배합비 참조'!$B$2:$CE$83,MATCH("식물성기름혼합제제(분홍)",'🔖 배합비 참조'!$A$2:$A$83,0),MATCH($C278,'🔖 배합비 참조'!$B$1:$CE$1,0))/100,0),""))),"")</f>
        <v>0</v>
      </c>
      <c r="BC278" s="42" t="n">
        <f aca="false">IFERROR(IF($C278="","",IF($D278="","",IFERROR(ROUND($D278*INDEX('🔖 배합비 참조'!$B$2:$CE$83,MATCH("식물성기름혼합제제(초록)",'🔖 배합비 참조'!$A$2:$A$83,0),MATCH($C278,'🔖 배합비 참조'!$B$1:$CE$1,0))/100,0),""))),"")</f>
        <v>0</v>
      </c>
      <c r="BD278" s="42" t="n">
        <f aca="false">IFERROR(IF($C278="","",IF($D278="","",IFERROR(ROUND($D278*INDEX('🔖 배합비 참조'!$B$2:$CE$83,MATCH("식물성기름혼합제제(황색)",'🔖 배합비 참조'!$A$2:$A$83,0),MATCH($C278,'🔖 배합비 참조'!$B$1:$CE$1,0))/100,0),""))),"")</f>
        <v>0</v>
      </c>
      <c r="BE278" s="42" t="n">
        <f aca="false">IFERROR(IF($C278="","",IF($D278="","",IFERROR(ROUND($D278*INDEX('🔖 배합비 참조'!$B$2:$CE$83,MATCH("쑥가루(국내산)",'🔖 배합비 참조'!$A$2:$A$83,0),MATCH($C278,'🔖 배합비 참조'!$B$1:$CE$1,0))/100,0),""))),"")</f>
        <v>0</v>
      </c>
      <c r="BF278" s="42" t="n">
        <f aca="false">IFERROR(IF($C278="","",IF($D278="","",IFERROR(ROUND($D278*INDEX('🔖 배합비 참조'!$B$2:$CE$83,MATCH("아몬드슬라이스",'🔖 배합비 참조'!$A$2:$A$83,0),MATCH($C278,'🔖 배합비 참조'!$B$1:$CE$1,0))/100,0),""))),"")</f>
        <v>0</v>
      </c>
      <c r="BG278" s="42" t="n">
        <f aca="false">IFERROR(IF($C278="","",IF($D278="","",IFERROR(ROUND($D278*INDEX('🔖 배합비 참조'!$B$2:$CE$83,MATCH("알룰로오스(국내산)",'🔖 배합비 참조'!$A$2:$A$83,0),MATCH($C278,'🔖 배합비 참조'!$B$1:$CE$1,0))/100,0),""))),"")</f>
        <v>0</v>
      </c>
      <c r="BH278" s="42" t="n">
        <f aca="false">IFERROR(IF($C278="","",IF($D278="","",IFERROR(ROUND($D278*INDEX('🔖 배합비 참조'!$B$2:$CE$83,MATCH("연유",'🔖 배합비 참조'!$A$2:$A$83,0),MATCH($C278,'🔖 배합비 참조'!$B$1:$CE$1,0))/100,0),""))),"")</f>
        <v>0</v>
      </c>
      <c r="BI278" s="42" t="n">
        <f aca="false">IFERROR(IF($C278="","",IF($D278="","",IFERROR(ROUND($D278*INDEX('🔖 배합비 참조'!$B$2:$CE$83,MATCH("옥수수전분",'🔖 배합비 참조'!$A$2:$A$83,0),MATCH($C278,'🔖 배합비 참조'!$B$1:$CE$1,0))/100,0),""))),"")</f>
        <v>0</v>
      </c>
      <c r="BJ278" s="42" t="n">
        <f aca="false">IFERROR(IF($C278="","",IF($D278="","",IFERROR(ROUND($D278*INDEX('🔖 배합비 참조'!$B$2:$CE$83,MATCH("완두배기",'🔖 배합비 참조'!$A$2:$A$83,0),MATCH($C278,'🔖 배합비 참조'!$B$1:$CE$1,0))/100,0),""))),"")</f>
        <v>0</v>
      </c>
      <c r="BK278" s="42" t="n">
        <f aca="false">IFERROR(IF($C278="","",IF($D278="","",IFERROR(ROUND($D278*INDEX('🔖 배합비 참조'!$B$2:$CE$83,MATCH("우유(국내산)",'🔖 배합비 참조'!$A$2:$A$83,0),MATCH($C278,'🔖 배합비 참조'!$B$1:$CE$1,0))/100,0),""))),"")</f>
        <v>0</v>
      </c>
      <c r="BL278" s="42" t="n">
        <f aca="false">IFERROR(IF($C278="","",IF($D278="","",IFERROR(ROUND($D278*INDEX('🔖 배합비 참조'!$B$2:$CE$83,MATCH("자색고구마가루(중국산)",'🔖 배합비 참조'!$A$2:$A$83,0),MATCH($C278,'🔖 배합비 참조'!$B$1:$CE$1,0))/100,0),""))),"")</f>
        <v>0</v>
      </c>
      <c r="BM278" s="42" t="n">
        <f aca="false">IFERROR(IF($C278="","",IF($D278="","",IFERROR(ROUND($D278*INDEX('🔖 배합비 참조'!$B$2:$CE$83,MATCH("자연치즈(체다치즈)",'🔖 배합비 참조'!$A$2:$A$83,0),MATCH($C278,'🔖 배합비 참조'!$B$1:$CE$1,0))/100,0),""))),"")</f>
        <v>0</v>
      </c>
      <c r="BN278" s="42" t="n">
        <f aca="false">IFERROR(IF($C278="","",IF($D278="","",IFERROR(ROUND($D278*INDEX('🔖 배합비 참조'!$B$2:$CE$83,MATCH("정제수",'🔖 배합비 참조'!$A$2:$A$83,0),MATCH($C278,'🔖 배합비 참조'!$B$1:$CE$1,0))/100,0),""))),"")</f>
        <v>8</v>
      </c>
      <c r="BO278" s="42" t="n">
        <f aca="false">IFERROR(IF($C278="","",IF($D278="","",IFERROR(ROUND($D278*INDEX('🔖 배합비 참조'!$B$2:$CE$83,MATCH("젤라틴",'🔖 배합비 참조'!$A$2:$A$83,0),MATCH($C278,'🔖 배합비 참조'!$B$1:$CE$1,0))/100,0),""))),"")</f>
        <v>0</v>
      </c>
      <c r="BP278" s="42" t="n">
        <f aca="false">IFERROR(IF($C278="","",IF($D278="","",IFERROR(ROUND($D278*INDEX('🔖 배합비 참조'!$B$2:$CE$83,MATCH("조림류(백옥앙금)",'🔖 배합비 참조'!$A$2:$A$83,0),MATCH($C278,'🔖 배합비 참조'!$B$1:$CE$1,0))/100,0),""))),"")</f>
        <v>0</v>
      </c>
      <c r="BQ278" s="42" t="n">
        <f aca="false">IFERROR(IF($C278="","",IF($D278="","",IFERROR(ROUND($D278*INDEX('🔖 배합비 참조'!$B$2:$CE$83,MATCH("조림류(통팥앙금)",'🔖 배합비 참조'!$A$2:$A$83,0),MATCH($C278,'🔖 배합비 참조'!$B$1:$CE$1,0))/100,0),""))),"")</f>
        <v>0</v>
      </c>
      <c r="BR278" s="42" t="n">
        <f aca="false">IFERROR(IF($C278="","",IF($D278="","",IFERROR(ROUND($D278*INDEX('🔖 배합비 참조'!$B$2:$CE$83,MATCH("준초콜릿(외국산)",'🔖 배합비 참조'!$A$2:$A$83,0),MATCH($C278,'🔖 배합비 참조'!$B$1:$CE$1,0))/100,0),""))),"")</f>
        <v>0</v>
      </c>
      <c r="BS278" s="42" t="n">
        <f aca="false">IFERROR(IF($C278="","",IF($D278="","",IFERROR(ROUND($D278*INDEX('🔖 배합비 참조'!$B$2:$CE$83,MATCH("중력분",'🔖 배합비 참조'!$A$2:$A$83,0),MATCH($C278,'🔖 배합비 참조'!$B$1:$CE$1,0))/100,0),""))),"")</f>
        <v>0</v>
      </c>
      <c r="BT278" s="42" t="n">
        <f aca="false">IFERROR(IF($C278="","",IF($D278="","",IFERROR(ROUND($D278*INDEX('🔖 배합비 참조'!$B$2:$CE$83,MATCH("참깨(인도산,나이지리아산,탄자니아산,미얀마산)",'🔖 배합비 참조'!$A$2:$A$83,0),MATCH($C278,'🔖 배합비 참조'!$B$1:$CE$1,0))/100,0),""))),"")</f>
        <v>0</v>
      </c>
      <c r="BU278" s="42" t="n">
        <f aca="false">IFERROR(IF($C278="","",IF($D278="","",IFERROR(ROUND($D278*INDEX('🔖 배합비 참조'!$B$2:$CE$83,MATCH("찹쌀(국내산)",'🔖 배합비 참조'!$A$2:$A$83,0),MATCH($C278,'🔖 배합비 참조'!$B$1:$CE$1,0))/100,0),""))),"")</f>
        <v>0</v>
      </c>
      <c r="BV278" s="42" t="n">
        <f aca="false">IFERROR(IF($C278="","",IF($D278="","",IFERROR(ROUND($D278*INDEX('🔖 배합비 참조'!$B$2:$CE$83,MATCH("천일염",'🔖 배합비 참조'!$A$2:$A$83,0),MATCH($C278,'🔖 배합비 참조'!$B$1:$CE$1,0))/100,0),""))),"")</f>
        <v>1</v>
      </c>
      <c r="BW278" s="42" t="n">
        <f aca="false">IFERROR(IF($C278="","",IF($D278="","",IFERROR(ROUND($D278*INDEX('🔖 배합비 참조'!$B$2:$CE$83,MATCH("치즈 [크림치즈]",'🔖 배합비 참조'!$A$2:$A$83,0),MATCH($C278,'🔖 배합비 참조'!$B$1:$CE$1,0))/100,0),""))),"")</f>
        <v>0</v>
      </c>
      <c r="BX278" s="42" t="n">
        <f aca="false">IFERROR(IF($C278="","",IF($D278="","",IFERROR(ROUND($D278*INDEX('🔖 배합비 참조'!$B$2:$CE$83,MATCH("코코아가공품류(코코아분말)",'🔖 배합비 참조'!$A$2:$A$83,0),MATCH($C278,'🔖 배합비 참조'!$B$1:$CE$1,0))/100,0),""))),"")</f>
        <v>0</v>
      </c>
      <c r="BY278" s="42" t="n">
        <f aca="false">IFERROR(IF($C278="","",IF($D278="","",IFERROR(ROUND($D278*INDEX('🔖 배합비 참조'!$B$2:$CE$83,MATCH("콩기름(대두유)",'🔖 배합비 참조'!$A$2:$A$83,0),MATCH($C278,'🔖 배합비 참조'!$B$1:$CE$1,0))/100,0),""))),"")</f>
        <v>0</v>
      </c>
      <c r="BZ278" s="42" t="n">
        <f aca="false">IFERROR(IF($C278="","",IF($D278="","",IFERROR(ROUND($D278*INDEX('🔖 배합비 참조'!$B$2:$CE$83,MATCH("해바라기씨앗",'🔖 배합비 참조'!$A$2:$A$83,0),MATCH($C278,'🔖 배합비 참조'!$B$1:$CE$1,0))/100,0),""))),"")</f>
        <v>0</v>
      </c>
      <c r="CA278" s="42" t="n">
        <f aca="false">IFERROR(IF($C278="","",IF($D278="","",IFERROR(ROUND($D278*INDEX('🔖 배합비 참조'!$B$2:$CE$83,MATCH("현미(국내산)",'🔖 배합비 참조'!$A$2:$A$83,0),MATCH($C278,'🔖 배합비 참조'!$B$1:$CE$1,0))/100,0),""))),"")</f>
        <v>0</v>
      </c>
      <c r="CB278" s="42" t="n">
        <f aca="false">IFERROR(IF($C278="","",IF($D278="","",IFERROR(ROUND($D278*INDEX('🔖 배합비 참조'!$B$2:$CE$83,MATCH("현미멥쌀(국내산)",'🔖 배합비 참조'!$A$2:$A$83,0),MATCH($C278,'🔖 배합비 참조'!$B$1:$CE$1,0))/100,0),""))),"")</f>
        <v>0</v>
      </c>
      <c r="CC278" s="42" t="n">
        <f aca="false">IFERROR(IF($C278="","",IF($D278="","",IFERROR(ROUND($D278*INDEX('🔖 배합비 참조'!$B$2:$CE$83,MATCH("호두분태(미국산)",'🔖 배합비 참조'!$A$2:$A$83,0),MATCH($C278,'🔖 배합비 참조'!$B$1:$CE$1,0))/100,0),""))),"")</f>
        <v>0</v>
      </c>
      <c r="CD278" s="42" t="n">
        <f aca="false">IFERROR(IF($C278="","",IF($D278="","",IFERROR(ROUND($D278*INDEX('🔖 배합비 참조'!$B$2:$CE$83,MATCH("호박씨앗(외국산)",'🔖 배합비 참조'!$A$2:$A$83,0),MATCH($C278,'🔖 배합비 참조'!$B$1:$CE$1,0))/100,0),""))),"")</f>
        <v>0</v>
      </c>
      <c r="CE278" s="42" t="n">
        <f aca="false">IFERROR(IF($C278="","",IF($D278="","",IFERROR(ROUND($D278*INDEX('🔖 배합비 참조'!$B$2:$CE$83,MATCH("혼합제제(떡용에스텔)",'🔖 배합비 참조'!$A$2:$A$83,0),MATCH($C278,'🔖 배합비 참조'!$B$1:$CE$1,0))/100,0),""))),"")</f>
        <v>0</v>
      </c>
      <c r="CF278" s="42" t="n">
        <f aca="false">IFERROR(IF($C278="","",IF($D278="","",IFERROR(ROUND($D278*INDEX('🔖 배합비 참조'!$B$2:$CE$83,MATCH("혼합제제(스테비아)",'🔖 배합비 참조'!$A$2:$A$83,0),MATCH($C278,'🔖 배합비 참조'!$B$1:$CE$1,0))/100,0),""))),"")</f>
        <v>0</v>
      </c>
      <c r="CG278" s="42" t="n">
        <f aca="false">IFERROR(IF($C278="","",IF($D278="","",IFERROR(ROUND($D278*INDEX('🔖 배합비 참조'!$B$2:$CE$83,MATCH("화이트초콜릿",'🔖 배합비 참조'!$A$2:$A$83,0),MATCH($C278,'🔖 배합비 참조'!$B$1:$CE$1,0))/100,0),""))),"")</f>
        <v>0</v>
      </c>
      <c r="CH278" s="42" t="n">
        <f aca="false">IFERROR(IF($C278="","",IF($D278="","",IFERROR(ROUND($D278*INDEX('🔖 배합비 참조'!$B$2:$CE$83,MATCH("흑미찹쌀(국내산)",'🔖 배합비 참조'!$A$2:$A$83,0),MATCH($C278,'🔖 배합비 참조'!$B$1:$CE$1,0))/100,0),""))),"")</f>
        <v>0</v>
      </c>
      <c r="CI278" s="42" t="n">
        <f aca="false">IFERROR(IF($C278="","",IF($D278="","",IFERROR(ROUND($D278*INDEX('🔖 배합비 참조'!$B$2:$CE$83,MATCH("찰옥수수전분(미국산)",'🔖 배합비 참조'!$A$2:$A$83,0),MATCH($C278,'🔖 배합비 참조'!$B$1:$CE$1,0))/100,0),""))),"")</f>
        <v>0</v>
      </c>
      <c r="CJ278" s="40"/>
      <c r="CL278" s="43" t="s">
        <v>248</v>
      </c>
    </row>
    <row r="279" customFormat="false" ht="18" hidden="false" customHeight="true" outlineLevel="0" collapsed="false">
      <c r="A279" s="35" t="n">
        <v>275</v>
      </c>
      <c r="B279" s="36" t="n">
        <v>46094</v>
      </c>
      <c r="C279" s="37" t="s">
        <v>191</v>
      </c>
      <c r="D279" s="38" t="n">
        <v>110</v>
      </c>
      <c r="E279" s="13"/>
      <c r="F279" s="13"/>
      <c r="G279" s="39" t="n">
        <f aca="false">IFERROR(IF($C279="","",IF($D279="","",IFERROR(ROUND($D279*INDEX('🔖 배합비 참조'!$B$2:$CE$83,MATCH("간장",'🔖 배합비 참조'!$A$2:$A$83,0),MATCH($C279,'🔖 배합비 참조'!$B$1:$CE$1,0))/100,0),""))),"")</f>
        <v>0</v>
      </c>
      <c r="H279" s="39" t="n">
        <f aca="false">IFERROR(IF($C279="","",IF($D279="","",IFERROR(ROUND($D279*INDEX('🔖 배합비 참조'!$B$2:$CE$83,MATCH("강낭콩((울타리콩))",'🔖 배합비 참조'!$A$2:$A$83,0),MATCH($C279,'🔖 배합비 참조'!$B$1:$CE$1,0))/100,0),""))),"")</f>
        <v>0</v>
      </c>
      <c r="I279" s="39" t="n">
        <f aca="false">IFERROR(IF($C279="","",IF($D279="","",IFERROR(ROUND($D279*INDEX('🔖 배합비 참조'!$B$2:$CE$83,MATCH("건조딸기다이스(외국산)",'🔖 배합비 참조'!$A$2:$A$83,0),MATCH($C279,'🔖 배합비 참조'!$B$1:$CE$1,0))/100,0),""))),"")</f>
        <v>0</v>
      </c>
      <c r="J279" s="39" t="n">
        <f aca="false">IFERROR(IF($C279="","",IF($D279="","",IFERROR(ROUND($D279*INDEX('🔖 배합비 참조'!$B$2:$CE$83,MATCH("건포도",'🔖 배합비 참조'!$A$2:$A$83,0),MATCH($C279,'🔖 배합비 참조'!$B$1:$CE$1,0))/100,0),""))),"")</f>
        <v>0</v>
      </c>
      <c r="K279" s="39" t="n">
        <f aca="false">IFERROR(IF($C279="","",IF($D279="","",IFERROR(ROUND($D279*INDEX('🔖 배합비 참조'!$B$2:$CE$83,MATCH("건호박채(중국산)",'🔖 배합비 참조'!$A$2:$A$83,0),MATCH($C279,'🔖 배합비 참조'!$B$1:$CE$1,0))/100,0),""))),"")</f>
        <v>0</v>
      </c>
      <c r="L279" s="39" t="n">
        <f aca="false">IFERROR(IF($C279="","",IF($D279="","",IFERROR(ROUND($D279*INDEX('🔖 배합비 참조'!$B$2:$CE$83,MATCH("검정깨(흑임자)",'🔖 배합비 참조'!$A$2:$A$83,0),MATCH($C279,'🔖 배합비 참조'!$B$1:$CE$1,0))/100,0),""))),"")</f>
        <v>0</v>
      </c>
      <c r="M279" s="39" t="n">
        <f aca="false">IFERROR(IF($C279="","",IF($D279="","",IFERROR(ROUND($D279*INDEX('🔖 배합비 참조'!$B$2:$CE$83,MATCH("검정콩",'🔖 배합비 참조'!$A$2:$A$83,0),MATCH($C279,'🔖 배합비 참조'!$B$1:$CE$1,0))/100,0),""))),"")</f>
        <v>0</v>
      </c>
      <c r="N279" s="39" t="n">
        <f aca="false">IFERROR(IF($C279="","",IF($D279="","",IFERROR(ROUND($D279*INDEX('🔖 배합비 참조'!$B$2:$CE$83,MATCH("계피가루",'🔖 배합비 참조'!$A$2:$A$83,0),MATCH($C279,'🔖 배합비 참조'!$B$1:$CE$1,0))/100,0),""))),"")</f>
        <v>0</v>
      </c>
      <c r="O279" s="39" t="n">
        <f aca="false">IFERROR(IF($C279="","",IF($D279="","",IFERROR(ROUND($D279*INDEX('🔖 배합비 참조'!$B$2:$CE$83,MATCH("고구마가루",'🔖 배합비 참조'!$A$2:$A$83,0),MATCH($C279,'🔖 배합비 참조'!$B$1:$CE$1,0))/100,0),""))),"")</f>
        <v>0</v>
      </c>
      <c r="P279" s="39" t="n">
        <f aca="false">IFERROR(IF($C279="","",IF($D279="","",IFERROR(ROUND($D279*INDEX('🔖 배합비 참조'!$B$2:$CE$83,MATCH("고구마무스",'🔖 배합비 참조'!$A$2:$A$83,0),MATCH($C279,'🔖 배합비 참조'!$B$1:$CE$1,0))/100,0),""))),"")</f>
        <v>0</v>
      </c>
      <c r="Q279" s="39" t="n">
        <f aca="false">IFERROR(IF($C279="","",IF($D279="","",IFERROR(ROUND($D279*INDEX('🔖 배합비 참조'!$B$2:$CE$83,MATCH("고려엉겅퀴((곤드레)국내산)",'🔖 배합비 참조'!$A$2:$A$83,0),MATCH($C279,'🔖 배합비 참조'!$B$1:$CE$1,0))/100,0),""))),"")</f>
        <v>0</v>
      </c>
      <c r="R279" s="39" t="n">
        <f aca="false">IFERROR(IF($C279="","",IF($D279="","",IFERROR(ROUND($D279*INDEX('🔖 배합비 참조'!$B$2:$CE$83,MATCH("기타가공품(복분자가루)",'🔖 배합비 참조'!$A$2:$A$83,0),MATCH($C279,'🔖 배합비 참조'!$B$1:$CE$1,0))/100,0),""))),"")</f>
        <v>0</v>
      </c>
      <c r="S279" s="39" t="n">
        <f aca="false">IFERROR(IF($C279="","",IF($D279="","",IFERROR(ROUND($D279*INDEX('🔖 배합비 참조'!$B$2:$CE$83,MATCH("기타가공품(슈퍼소프트엠)",'🔖 배합비 참조'!$A$2:$A$83,0),MATCH($C279,'🔖 배합비 참조'!$B$1:$CE$1,0))/100,0),""))),"")</f>
        <v>0</v>
      </c>
      <c r="T279" s="39" t="n">
        <f aca="false">IFERROR(IF($C279="","",IF($D279="","",IFERROR(ROUND($D279*INDEX('🔖 배합비 참조'!$B$2:$CE$83,MATCH("기타가공품(파인소프트 E-티)",'🔖 배합비 참조'!$A$2:$A$83,0),MATCH($C279,'🔖 배합비 참조'!$B$1:$CE$1,0))/100,0),""))),"")</f>
        <v>0</v>
      </c>
      <c r="U279" s="39" t="n">
        <f aca="false">IFERROR(IF($C279="","",IF($D279="","",IFERROR(ROUND($D279*INDEX('🔖 배합비 참조'!$B$2:$CE$83,MATCH("기타가공품(프리미엄카스테라가루)",'🔖 배합비 참조'!$A$2:$A$83,0),MATCH($C279,'🔖 배합비 참조'!$B$1:$CE$1,0))/100,0),""))),"")</f>
        <v>0</v>
      </c>
      <c r="V279" s="39" t="n">
        <f aca="false">IFERROR(IF($C279="","",IF($D279="","",IFERROR(ROUND($D279*INDEX('🔖 배합비 참조'!$B$2:$CE$83,MATCH("기타가공품(흑임자가루)",'🔖 배합비 참조'!$A$2:$A$83,0),MATCH($C279,'🔖 배합비 참조'!$B$1:$CE$1,0))/100,0),""))),"")</f>
        <v>0</v>
      </c>
      <c r="W279" s="39" t="n">
        <f aca="false">IFERROR(IF($C279="","",IF($D279="","",IFERROR(ROUND($D279*INDEX('🔖 배합비 참조'!$B$2:$CE$83,MATCH("기타설탕(흑설탕)",'🔖 배합비 참조'!$A$2:$A$83,0),MATCH($C279,'🔖 배합비 참조'!$B$1:$CE$1,0))/100,0),""))),"")</f>
        <v>0</v>
      </c>
      <c r="X279" s="39" t="n">
        <f aca="false">IFERROR(IF($C279="","",IF($D279="","",IFERROR(ROUND($D279*INDEX('🔖 배합비 참조'!$B$2:$CE$83,MATCH("냉동쑥(국내산)",'🔖 배합비 참조'!$A$2:$A$83,0),MATCH($C279,'🔖 배합비 참조'!$B$1:$CE$1,0))/100,0),""))),"")</f>
        <v>0</v>
      </c>
      <c r="Y279" s="39" t="n">
        <f aca="false">IFERROR(IF($C279="","",IF($D279="","",IFERROR(ROUND($D279*INDEX('🔖 배합비 참조'!$B$2:$CE$83,MATCH("냉동증숙고구마(중국산)",'🔖 배합비 참조'!$A$2:$A$83,0),MATCH($C279,'🔖 배합비 참조'!$B$1:$CE$1,0))/100,0),""))),"")</f>
        <v>0</v>
      </c>
      <c r="Z279" s="39" t="n">
        <f aca="false">IFERROR(IF($C279="","",IF($D279="","",IFERROR(ROUND($D279*INDEX('🔖 배합비 참조'!$B$2:$CE$83,MATCH("녹차가루",'🔖 배합비 참조'!$A$2:$A$83,0),MATCH($C279,'🔖 배합비 참조'!$B$1:$CE$1,0))/100,0),""))),"")</f>
        <v>0</v>
      </c>
      <c r="AA279" s="39" t="n">
        <f aca="false">IFERROR(IF($C279="","",IF($D279="","",IFERROR(ROUND($D279*INDEX('🔖 배합비 참조'!$B$2:$CE$83,MATCH("다크초콜릿 컴파운드칩",'🔖 배합비 참조'!$A$2:$A$83,0),MATCH($C279,'🔖 배합비 참조'!$B$1:$CE$1,0))/100,0),""))),"")</f>
        <v>0</v>
      </c>
      <c r="AB279" s="39" t="n">
        <f aca="false">IFERROR(IF($C279="","",IF($D279="","",IFERROR(ROUND($D279*INDEX('🔖 배합비 참조'!$B$2:$CE$83,MATCH("단호박분말(중국산)",'🔖 배합비 참조'!$A$2:$A$83,0),MATCH($C279,'🔖 배합비 참조'!$B$1:$CE$1,0))/100,0),""))),"")</f>
        <v>0</v>
      </c>
      <c r="AC279" s="39" t="n">
        <f aca="false">IFERROR(IF($C279="","",IF($D279="","",IFERROR(ROUND($D279*INDEX('🔖 배합비 참조'!$B$2:$CE$83,MATCH("당류가공품(단호박농축액)",'🔖 배합비 참조'!$A$2:$A$83,0),MATCH($C279,'🔖 배합비 참조'!$B$1:$CE$1,0))/100,0),""))),"")</f>
        <v>0</v>
      </c>
      <c r="AD279" s="39" t="n">
        <f aca="false">IFERROR(IF($C279="","",IF($D279="","",IFERROR(ROUND($D279*INDEX('🔖 배합비 참조'!$B$2:$CE$83,MATCH("당류가공품(알룰로스,에리스리톨,스테비올배당체혼합)",'🔖 배합비 참조'!$A$2:$A$83,0),MATCH($C279,'🔖 배합비 참조'!$B$1:$CE$1,0))/100,0),""))),"")</f>
        <v>0</v>
      </c>
      <c r="AE279" s="39" t="n">
        <f aca="false">IFERROR(IF($C279="","",IF($D279="","",IFERROR(ROUND($D279*INDEX('🔖 배합비 참조'!$B$2:$CE$83,MATCH("당류가공품(알룰로스제로파우더)",'🔖 배합비 참조'!$A$2:$A$83,0),MATCH($C279,'🔖 배합비 참조'!$B$1:$CE$1,0))/100,0),""))),"")</f>
        <v>0</v>
      </c>
      <c r="AF279" s="39" t="n">
        <f aca="false">IFERROR(IF($C279="","",IF($D279="","",IFERROR(ROUND($D279*INDEX('🔖 배합비 참조'!$B$2:$CE$83,MATCH("당절임(완두배기)",'🔖 배합비 참조'!$A$2:$A$83,0),MATCH($C279,'🔖 배합비 참조'!$B$1:$CE$1,0))/100,0),""))),"")</f>
        <v>0</v>
      </c>
      <c r="AG279" s="39" t="n">
        <f aca="false">IFERROR(IF($C279="","",IF($D279="","",IFERROR(ROUND($D279*INDEX('🔖 배합비 참조'!$B$2:$CE$83,MATCH("대추농축액",'🔖 배합비 참조'!$A$2:$A$83,0),MATCH($C279,'🔖 배합비 참조'!$B$1:$CE$1,0))/100,0),""))),"")</f>
        <v>0</v>
      </c>
      <c r="AH279" s="39" t="n">
        <f aca="false">IFERROR(IF($C279="","",IF($D279="","",IFERROR(ROUND($D279*INDEX('🔖 배합비 참조'!$B$2:$CE$83,MATCH("대추채(국내산)",'🔖 배합비 참조'!$A$2:$A$83,0),MATCH($C279,'🔖 배합비 참조'!$B$1:$CE$1,0))/100,0),""))),"")</f>
        <v>0</v>
      </c>
      <c r="AI279" s="39" t="n">
        <f aca="false">IFERROR(IF($C279="","",IF($D279="","",IFERROR(ROUND($D279*INDEX('🔖 배합비 참조'!$B$2:$CE$83,MATCH("동부(미얀마산)",'🔖 배합비 참조'!$A$2:$A$83,0),MATCH($C279,'🔖 배합비 참조'!$B$1:$CE$1,0))/100,0),""))),"")</f>
        <v>0</v>
      </c>
      <c r="AJ279" s="39" t="n">
        <f aca="false">IFERROR(IF($C279="","",IF($D279="","",IFERROR(ROUND($D279*INDEX('🔖 배합비 참조'!$B$2:$CE$83,MATCH("두류가공품(백옥앙금)",'🔖 배합비 참조'!$A$2:$A$83,0),MATCH($C279,'🔖 배합비 참조'!$B$1:$CE$1,0))/100,0),""))),"")</f>
        <v>0</v>
      </c>
      <c r="AK279" s="39" t="n">
        <f aca="false">IFERROR(IF($C279="","",IF($D279="","",IFERROR(ROUND($D279*INDEX('🔖 배합비 참조'!$B$2:$CE$83,MATCH("두류가공품(콩고물)",'🔖 배합비 참조'!$A$2:$A$83,0),MATCH($C279,'🔖 배합비 참조'!$B$1:$CE$1,0))/100,0),""))),"")</f>
        <v>0</v>
      </c>
      <c r="AL279" s="39" t="n">
        <f aca="false">IFERROR(IF($C279="","",IF($D279="","",IFERROR(ROUND($D279*INDEX('🔖 배합비 참조'!$B$2:$CE$83,MATCH("두류가공품(통팥고물)",'🔖 배합비 참조'!$A$2:$A$83,0),MATCH($C279,'🔖 배합비 참조'!$B$1:$CE$1,0))/100,0),""))),"")</f>
        <v>0</v>
      </c>
      <c r="AM279" s="39" t="n">
        <f aca="false">IFERROR(IF($C279="","",IF($D279="","",IFERROR(ROUND($D279*INDEX('🔖 배합비 참조'!$B$2:$CE$83,MATCH("딸기레진",'🔖 배합비 참조'!$A$2:$A$83,0),MATCH($C279,'🔖 배합비 참조'!$B$1:$CE$1,0))/100,0),""))),"")</f>
        <v>0</v>
      </c>
      <c r="AN279" s="39" t="n">
        <f aca="false">IFERROR(IF($C279="","",IF($D279="","",IFERROR(ROUND($D279*INDEX('🔖 배합비 참조'!$B$2:$CE$83,MATCH("딸기분말(스트로우베리에이드(분말))",'🔖 배합비 참조'!$A$2:$A$83,0),MATCH($C279,'🔖 배합비 참조'!$B$1:$CE$1,0))/100,0),""))),"")</f>
        <v>0</v>
      </c>
      <c r="AO279" s="39" t="n">
        <f aca="false">IFERROR(IF($C279="","",IF($D279="","",IFERROR(ROUND($D279*INDEX('🔖 배합비 참조'!$B$2:$CE$83,MATCH("마스카포네치즈",'🔖 배합비 참조'!$A$2:$A$83,0),MATCH($C279,'🔖 배합비 참조'!$B$1:$CE$1,0))/100,0),""))),"")</f>
        <v>0</v>
      </c>
      <c r="AP279" s="39" t="n">
        <f aca="false">IFERROR(IF($C279="","",IF($D279="","",IFERROR(ROUND($D279*INDEX('🔖 배합비 참조'!$B$2:$CE$83,MATCH("마카다미아분태(호주산)",'🔖 배합비 참조'!$A$2:$A$83,0),MATCH($C279,'🔖 배합비 참조'!$B$1:$CE$1,0))/100,0),""))),"")</f>
        <v>0</v>
      </c>
      <c r="AQ279" s="39" t="n">
        <f aca="false">IFERROR(IF($C279="","",IF($D279="","",IFERROR(ROUND($D279*INDEX('🔖 배합비 참조'!$B$2:$CE$83,MATCH("멥쌀(국내산)",'🔖 배합비 참조'!$A$2:$A$83,0),MATCH($C279,'🔖 배합비 참조'!$B$1:$CE$1,0))/100,0),""))),"")</f>
        <v>2</v>
      </c>
      <c r="AR279" s="39" t="n">
        <f aca="false">IFERROR(IF($C279="","",IF($D279="","",IFERROR(ROUND($D279*INDEX('🔖 배합비 참조'!$B$2:$CE$83,MATCH("모시잎(국내산)",'🔖 배합비 참조'!$A$2:$A$83,0),MATCH($C279,'🔖 배합비 참조'!$B$1:$CE$1,0))/100,0),""))),"")</f>
        <v>0</v>
      </c>
      <c r="AS279" s="39" t="n">
        <f aca="false">IFERROR(IF($C279="","",IF($D279="","",IFERROR(ROUND($D279*INDEX('🔖 배합비 참조'!$B$2:$CE$83,MATCH("물엿(저당물엿)",'🔖 배합비 참조'!$A$2:$A$83,0),MATCH($C279,'🔖 배합비 참조'!$B$1:$CE$1,0))/100,0),""))),"")</f>
        <v>0</v>
      </c>
      <c r="AT279" s="39" t="n">
        <f aca="false">IFERROR(IF($C279="","",IF($D279="","",IFERROR(ROUND($D279*INDEX('🔖 배합비 참조'!$B$2:$CE$83,MATCH("밤다이스",'🔖 배합비 참조'!$A$2:$A$83,0),MATCH($C279,'🔖 배합비 참조'!$B$1:$CE$1,0))/100,0),""))),"")</f>
        <v>0</v>
      </c>
      <c r="AU279" s="39" t="n">
        <f aca="false">IFERROR(IF($C279="","",IF($D279="","",IFERROR(ROUND($D279*INDEX('🔖 배합비 참조'!$B$2:$CE$83,MATCH("변성전분(타피오카전분)",'🔖 배합비 참조'!$A$2:$A$83,0),MATCH($C279,'🔖 배합비 참조'!$B$1:$CE$1,0))/100,0),""))),"")</f>
        <v>0</v>
      </c>
      <c r="AV279" s="39" t="n">
        <f aca="false">IFERROR(IF($C279="","",IF($D279="","",IFERROR(ROUND($D279*INDEX('🔖 배합비 참조'!$B$2:$CE$83,MATCH("복음땅콩분태",'🔖 배합비 참조'!$A$2:$A$83,0),MATCH($C279,'🔖 배합비 참조'!$B$1:$CE$1,0))/100,0),""))),"")</f>
        <v>0</v>
      </c>
      <c r="AW279" s="39" t="n">
        <f aca="false">IFERROR(IF($C279="","",IF($D279="","",IFERROR(ROUND($D279*INDEX('🔖 배합비 참조'!$B$2:$CE$83,MATCH("사양벌꿀(국내산)",'🔖 배합비 참조'!$A$2:$A$83,0),MATCH($C279,'🔖 배합비 참조'!$B$1:$CE$1,0))/100,0),""))),"")</f>
        <v>0</v>
      </c>
      <c r="AX279" s="39" t="n">
        <f aca="false">IFERROR(IF($C279="","",IF($D279="","",IFERROR(ROUND($D279*INDEX('🔖 배합비 참조'!$B$2:$CE$83,MATCH("생크림",'🔖 배합비 참조'!$A$2:$A$83,0),MATCH($C279,'🔖 배합비 참조'!$B$1:$CE$1,0))/100,0),""))),"")</f>
        <v>0</v>
      </c>
      <c r="AY279" s="39" t="n">
        <f aca="false">IFERROR(IF($C279="","",IF($D279="","",IFERROR(ROUND($D279*INDEX('🔖 배합비 참조'!$B$2:$CE$83,MATCH("서양호박(국내산,뉴질랜드산)",'🔖 배합비 참조'!$A$2:$A$83,0),MATCH($C279,'🔖 배합비 참조'!$B$1:$CE$1,0))/100,0),""))),"")</f>
        <v>0</v>
      </c>
      <c r="AZ279" s="39" t="n">
        <f aca="false">IFERROR(IF($C279="","",IF($D279="","",IFERROR(ROUND($D279*INDEX('🔖 배합비 참조'!$B$2:$CE$83,MATCH("설탕",'🔖 배합비 참조'!$A$2:$A$83,0),MATCH($C279,'🔖 배합비 참조'!$B$1:$CE$1,0))/100,0),""))),"")</f>
        <v>21</v>
      </c>
      <c r="BA279" s="39" t="n">
        <f aca="false">IFERROR(IF($C279="","",IF($D279="","",IFERROR(ROUND($D279*INDEX('🔖 배합비 참조'!$B$2:$CE$83,MATCH("스트로우베리 에이드 후레쉬",'🔖 배합비 참조'!$A$2:$A$83,0),MATCH($C279,'🔖 배합비 참조'!$B$1:$CE$1,0))/100,0),""))),"")</f>
        <v>0</v>
      </c>
      <c r="BB279" s="39" t="n">
        <f aca="false">IFERROR(IF($C279="","",IF($D279="","",IFERROR(ROUND($D279*INDEX('🔖 배합비 참조'!$B$2:$CE$83,MATCH("식물성기름혼합제제(분홍)",'🔖 배합비 참조'!$A$2:$A$83,0),MATCH($C279,'🔖 배합비 참조'!$B$1:$CE$1,0))/100,0),""))),"")</f>
        <v>0</v>
      </c>
      <c r="BC279" s="39" t="n">
        <f aca="false">IFERROR(IF($C279="","",IF($D279="","",IFERROR(ROUND($D279*INDEX('🔖 배합비 참조'!$B$2:$CE$83,MATCH("식물성기름혼합제제(초록)",'🔖 배합비 참조'!$A$2:$A$83,0),MATCH($C279,'🔖 배합비 참조'!$B$1:$CE$1,0))/100,0),""))),"")</f>
        <v>0</v>
      </c>
      <c r="BD279" s="39" t="n">
        <f aca="false">IFERROR(IF($C279="","",IF($D279="","",IFERROR(ROUND($D279*INDEX('🔖 배합비 참조'!$B$2:$CE$83,MATCH("식물성기름혼합제제(황색)",'🔖 배합비 참조'!$A$2:$A$83,0),MATCH($C279,'🔖 배합비 참조'!$B$1:$CE$1,0))/100,0),""))),"")</f>
        <v>0</v>
      </c>
      <c r="BE279" s="39" t="n">
        <f aca="false">IFERROR(IF($C279="","",IF($D279="","",IFERROR(ROUND($D279*INDEX('🔖 배합비 참조'!$B$2:$CE$83,MATCH("쑥가루(국내산)",'🔖 배합비 참조'!$A$2:$A$83,0),MATCH($C279,'🔖 배합비 참조'!$B$1:$CE$1,0))/100,0),""))),"")</f>
        <v>0</v>
      </c>
      <c r="BF279" s="39" t="n">
        <f aca="false">IFERROR(IF($C279="","",IF($D279="","",IFERROR(ROUND($D279*INDEX('🔖 배합비 참조'!$B$2:$CE$83,MATCH("아몬드슬라이스",'🔖 배합비 참조'!$A$2:$A$83,0),MATCH($C279,'🔖 배합비 참조'!$B$1:$CE$1,0))/100,0),""))),"")</f>
        <v>0</v>
      </c>
      <c r="BG279" s="39" t="n">
        <f aca="false">IFERROR(IF($C279="","",IF($D279="","",IFERROR(ROUND($D279*INDEX('🔖 배합비 참조'!$B$2:$CE$83,MATCH("알룰로오스(국내산)",'🔖 배합비 참조'!$A$2:$A$83,0),MATCH($C279,'🔖 배합비 참조'!$B$1:$CE$1,0))/100,0),""))),"")</f>
        <v>0</v>
      </c>
      <c r="BH279" s="39" t="n">
        <f aca="false">IFERROR(IF($C279="","",IF($D279="","",IFERROR(ROUND($D279*INDEX('🔖 배합비 참조'!$B$2:$CE$83,MATCH("연유",'🔖 배합비 참조'!$A$2:$A$83,0),MATCH($C279,'🔖 배합비 참조'!$B$1:$CE$1,0))/100,0),""))),"")</f>
        <v>0</v>
      </c>
      <c r="BI279" s="39" t="n">
        <f aca="false">IFERROR(IF($C279="","",IF($D279="","",IFERROR(ROUND($D279*INDEX('🔖 배합비 참조'!$B$2:$CE$83,MATCH("옥수수전분",'🔖 배합비 참조'!$A$2:$A$83,0),MATCH($C279,'🔖 배합비 참조'!$B$1:$CE$1,0))/100,0),""))),"")</f>
        <v>0</v>
      </c>
      <c r="BJ279" s="39" t="n">
        <f aca="false">IFERROR(IF($C279="","",IF($D279="","",IFERROR(ROUND($D279*INDEX('🔖 배합비 참조'!$B$2:$CE$83,MATCH("완두배기",'🔖 배합비 참조'!$A$2:$A$83,0),MATCH($C279,'🔖 배합비 참조'!$B$1:$CE$1,0))/100,0),""))),"")</f>
        <v>0</v>
      </c>
      <c r="BK279" s="39" t="n">
        <f aca="false">IFERROR(IF($C279="","",IF($D279="","",IFERROR(ROUND($D279*INDEX('🔖 배합비 참조'!$B$2:$CE$83,MATCH("우유(국내산)",'🔖 배합비 참조'!$A$2:$A$83,0),MATCH($C279,'🔖 배합비 참조'!$B$1:$CE$1,0))/100,0),""))),"")</f>
        <v>0</v>
      </c>
      <c r="BL279" s="39" t="n">
        <f aca="false">IFERROR(IF($C279="","",IF($D279="","",IFERROR(ROUND($D279*INDEX('🔖 배합비 참조'!$B$2:$CE$83,MATCH("자색고구마가루(중국산)",'🔖 배합비 참조'!$A$2:$A$83,0),MATCH($C279,'🔖 배합비 참조'!$B$1:$CE$1,0))/100,0),""))),"")</f>
        <v>0</v>
      </c>
      <c r="BM279" s="39" t="n">
        <f aca="false">IFERROR(IF($C279="","",IF($D279="","",IFERROR(ROUND($D279*INDEX('🔖 배합비 참조'!$B$2:$CE$83,MATCH("자연치즈(체다치즈)",'🔖 배합비 참조'!$A$2:$A$83,0),MATCH($C279,'🔖 배합비 참조'!$B$1:$CE$1,0))/100,0),""))),"")</f>
        <v>0</v>
      </c>
      <c r="BN279" s="39" t="n">
        <f aca="false">IFERROR(IF($C279="","",IF($D279="","",IFERROR(ROUND($D279*INDEX('🔖 배합비 참조'!$B$2:$CE$83,MATCH("정제수",'🔖 배합비 참조'!$A$2:$A$83,0),MATCH($C279,'🔖 배합비 참조'!$B$1:$CE$1,0))/100,0),""))),"")</f>
        <v>3</v>
      </c>
      <c r="BO279" s="39" t="n">
        <f aca="false">IFERROR(IF($C279="","",IF($D279="","",IFERROR(ROUND($D279*INDEX('🔖 배합비 참조'!$B$2:$CE$83,MATCH("젤라틴",'🔖 배합비 참조'!$A$2:$A$83,0),MATCH($C279,'🔖 배합비 참조'!$B$1:$CE$1,0))/100,0),""))),"")</f>
        <v>0</v>
      </c>
      <c r="BP279" s="39" t="n">
        <f aca="false">IFERROR(IF($C279="","",IF($D279="","",IFERROR(ROUND($D279*INDEX('🔖 배합비 참조'!$B$2:$CE$83,MATCH("조림류(백옥앙금)",'🔖 배합비 참조'!$A$2:$A$83,0),MATCH($C279,'🔖 배합비 참조'!$B$1:$CE$1,0))/100,0),""))),"")</f>
        <v>0</v>
      </c>
      <c r="BQ279" s="39" t="n">
        <f aca="false">IFERROR(IF($C279="","",IF($D279="","",IFERROR(ROUND($D279*INDEX('🔖 배합비 참조'!$B$2:$CE$83,MATCH("조림류(통팥앙금)",'🔖 배합비 참조'!$A$2:$A$83,0),MATCH($C279,'🔖 배합비 참조'!$B$1:$CE$1,0))/100,0),""))),"")</f>
        <v>20</v>
      </c>
      <c r="BR279" s="39" t="n">
        <f aca="false">IFERROR(IF($C279="","",IF($D279="","",IFERROR(ROUND($D279*INDEX('🔖 배합비 참조'!$B$2:$CE$83,MATCH("준초콜릿(외국산)",'🔖 배합비 참조'!$A$2:$A$83,0),MATCH($C279,'🔖 배합비 참조'!$B$1:$CE$1,0))/100,0),""))),"")</f>
        <v>0</v>
      </c>
      <c r="BS279" s="39" t="n">
        <f aca="false">IFERROR(IF($C279="","",IF($D279="","",IFERROR(ROUND($D279*INDEX('🔖 배합비 참조'!$B$2:$CE$83,MATCH("중력분",'🔖 배합비 참조'!$A$2:$A$83,0),MATCH($C279,'🔖 배합비 참조'!$B$1:$CE$1,0))/100,0),""))),"")</f>
        <v>2</v>
      </c>
      <c r="BT279" s="39" t="n">
        <f aca="false">IFERROR(IF($C279="","",IF($D279="","",IFERROR(ROUND($D279*INDEX('🔖 배합비 참조'!$B$2:$CE$83,MATCH("참깨(인도산,나이지리아산,탄자니아산,미얀마산)",'🔖 배합비 참조'!$A$2:$A$83,0),MATCH($C279,'🔖 배합비 참조'!$B$1:$CE$1,0))/100,0),""))),"")</f>
        <v>0</v>
      </c>
      <c r="BU279" s="39" t="n">
        <f aca="false">IFERROR(IF($C279="","",IF($D279="","",IFERROR(ROUND($D279*INDEX('🔖 배합비 참조'!$B$2:$CE$83,MATCH("찹쌀(국내산)",'🔖 배합비 참조'!$A$2:$A$83,0),MATCH($C279,'🔖 배합비 참조'!$B$1:$CE$1,0))/100,0),""))),"")</f>
        <v>47</v>
      </c>
      <c r="BV279" s="39" t="n">
        <f aca="false">IFERROR(IF($C279="","",IF($D279="","",IFERROR(ROUND($D279*INDEX('🔖 배합비 참조'!$B$2:$CE$83,MATCH("천일염",'🔖 배합비 참조'!$A$2:$A$83,0),MATCH($C279,'🔖 배합비 참조'!$B$1:$CE$1,0))/100,0),""))),"")</f>
        <v>2</v>
      </c>
      <c r="BW279" s="39" t="n">
        <f aca="false">IFERROR(IF($C279="","",IF($D279="","",IFERROR(ROUND($D279*INDEX('🔖 배합비 참조'!$B$2:$CE$83,MATCH("치즈 [크림치즈]",'🔖 배합비 참조'!$A$2:$A$83,0),MATCH($C279,'🔖 배합비 참조'!$B$1:$CE$1,0))/100,0),""))),"")</f>
        <v>0</v>
      </c>
      <c r="BX279" s="39" t="n">
        <f aca="false">IFERROR(IF($C279="","",IF($D279="","",IFERROR(ROUND($D279*INDEX('🔖 배합비 참조'!$B$2:$CE$83,MATCH("코코아가공품류(코코아분말)",'🔖 배합비 참조'!$A$2:$A$83,0),MATCH($C279,'🔖 배합비 참조'!$B$1:$CE$1,0))/100,0),""))),"")</f>
        <v>0</v>
      </c>
      <c r="BY279" s="39" t="n">
        <f aca="false">IFERROR(IF($C279="","",IF($D279="","",IFERROR(ROUND($D279*INDEX('🔖 배합비 참조'!$B$2:$CE$83,MATCH("콩기름(대두유)",'🔖 배합비 참조'!$A$2:$A$83,0),MATCH($C279,'🔖 배합비 참조'!$B$1:$CE$1,0))/100,0),""))),"")</f>
        <v>0</v>
      </c>
      <c r="BZ279" s="39" t="n">
        <f aca="false">IFERROR(IF($C279="","",IF($D279="","",IFERROR(ROUND($D279*INDEX('🔖 배합비 참조'!$B$2:$CE$83,MATCH("해바라기씨앗",'🔖 배합비 참조'!$A$2:$A$83,0),MATCH($C279,'🔖 배합비 참조'!$B$1:$CE$1,0))/100,0),""))),"")</f>
        <v>0</v>
      </c>
      <c r="CA279" s="39" t="n">
        <f aca="false">IFERROR(IF($C279="","",IF($D279="","",IFERROR(ROUND($D279*INDEX('🔖 배합비 참조'!$B$2:$CE$83,MATCH("현미(국내산)",'🔖 배합비 참조'!$A$2:$A$83,0),MATCH($C279,'🔖 배합비 참조'!$B$1:$CE$1,0))/100,0),""))),"")</f>
        <v>0</v>
      </c>
      <c r="CB279" s="39" t="n">
        <f aca="false">IFERROR(IF($C279="","",IF($D279="","",IFERROR(ROUND($D279*INDEX('🔖 배합비 참조'!$B$2:$CE$83,MATCH("현미멥쌀(국내산)",'🔖 배합비 참조'!$A$2:$A$83,0),MATCH($C279,'🔖 배합비 참조'!$B$1:$CE$1,0))/100,0),""))),"")</f>
        <v>0</v>
      </c>
      <c r="CC279" s="39" t="n">
        <f aca="false">IFERROR(IF($C279="","",IF($D279="","",IFERROR(ROUND($D279*INDEX('🔖 배합비 참조'!$B$2:$CE$83,MATCH("호두분태(미국산)",'🔖 배합비 참조'!$A$2:$A$83,0),MATCH($C279,'🔖 배합비 참조'!$B$1:$CE$1,0))/100,0),""))),"")</f>
        <v>0</v>
      </c>
      <c r="CD279" s="39" t="n">
        <f aca="false">IFERROR(IF($C279="","",IF($D279="","",IFERROR(ROUND($D279*INDEX('🔖 배합비 참조'!$B$2:$CE$83,MATCH("호박씨앗(외국산)",'🔖 배합비 참조'!$A$2:$A$83,0),MATCH($C279,'🔖 배합비 참조'!$B$1:$CE$1,0))/100,0),""))),"")</f>
        <v>0</v>
      </c>
      <c r="CE279" s="39" t="n">
        <f aca="false">IFERROR(IF($C279="","",IF($D279="","",IFERROR(ROUND($D279*INDEX('🔖 배합비 참조'!$B$2:$CE$83,MATCH("혼합제제(떡용에스텔)",'🔖 배합비 참조'!$A$2:$A$83,0),MATCH($C279,'🔖 배합비 참조'!$B$1:$CE$1,0))/100,0),""))),"")</f>
        <v>2</v>
      </c>
      <c r="CF279" s="39" t="n">
        <f aca="false">IFERROR(IF($C279="","",IF($D279="","",IFERROR(ROUND($D279*INDEX('🔖 배합비 참조'!$B$2:$CE$83,MATCH("혼합제제(스테비아)",'🔖 배합비 참조'!$A$2:$A$83,0),MATCH($C279,'🔖 배합비 참조'!$B$1:$CE$1,0))/100,0),""))),"")</f>
        <v>0</v>
      </c>
      <c r="CG279" s="39" t="n">
        <f aca="false">IFERROR(IF($C279="","",IF($D279="","",IFERROR(ROUND($D279*INDEX('🔖 배합비 참조'!$B$2:$CE$83,MATCH("화이트초콜릿",'🔖 배합비 참조'!$A$2:$A$83,0),MATCH($C279,'🔖 배합비 참조'!$B$1:$CE$1,0))/100,0),""))),"")</f>
        <v>0</v>
      </c>
      <c r="CH279" s="39" t="n">
        <f aca="false">IFERROR(IF($C279="","",IF($D279="","",IFERROR(ROUND($D279*INDEX('🔖 배합비 참조'!$B$2:$CE$83,MATCH("흑미찹쌀(국내산)",'🔖 배합비 참조'!$A$2:$A$83,0),MATCH($C279,'🔖 배합비 참조'!$B$1:$CE$1,0))/100,0),""))),"")</f>
        <v>0</v>
      </c>
      <c r="CI279" s="39" t="n">
        <f aca="false">IFERROR(IF($C279="","",IF($D279="","",IFERROR(ROUND($D279*INDEX('🔖 배합비 참조'!$B$2:$CE$83,MATCH("찰옥수수전분(미국산)",'🔖 배합비 참조'!$A$2:$A$83,0),MATCH($C279,'🔖 배합비 참조'!$B$1:$CE$1,0))/100,0),""))),"")</f>
        <v>10</v>
      </c>
      <c r="CJ279" s="40"/>
      <c r="CL279" s="43" t="s">
        <v>248</v>
      </c>
    </row>
    <row r="280" customFormat="false" ht="18" hidden="false" customHeight="true" outlineLevel="0" collapsed="false">
      <c r="A280" s="41" t="n">
        <v>276</v>
      </c>
      <c r="B280" s="36" t="n">
        <v>46094</v>
      </c>
      <c r="C280" s="37" t="s">
        <v>191</v>
      </c>
      <c r="D280" s="38" t="n">
        <v>1100</v>
      </c>
      <c r="E280" s="17"/>
      <c r="F280" s="17"/>
      <c r="G280" s="42" t="n">
        <f aca="false">IFERROR(IF($C280="","",IF($D280="","",IFERROR(ROUND($D280*INDEX('🔖 배합비 참조'!$B$2:$CE$83,MATCH("간장",'🔖 배합비 참조'!$A$2:$A$83,0),MATCH($C280,'🔖 배합비 참조'!$B$1:$CE$1,0))/100,0),""))),"")</f>
        <v>0</v>
      </c>
      <c r="H280" s="42" t="n">
        <f aca="false">IFERROR(IF($C280="","",IF($D280="","",IFERROR(ROUND($D280*INDEX('🔖 배합비 참조'!$B$2:$CE$83,MATCH("강낭콩((울타리콩))",'🔖 배합비 참조'!$A$2:$A$83,0),MATCH($C280,'🔖 배합비 참조'!$B$1:$CE$1,0))/100,0),""))),"")</f>
        <v>0</v>
      </c>
      <c r="I280" s="42" t="n">
        <f aca="false">IFERROR(IF($C280="","",IF($D280="","",IFERROR(ROUND($D280*INDEX('🔖 배합비 참조'!$B$2:$CE$83,MATCH("건조딸기다이스(외국산)",'🔖 배합비 참조'!$A$2:$A$83,0),MATCH($C280,'🔖 배합비 참조'!$B$1:$CE$1,0))/100,0),""))),"")</f>
        <v>0</v>
      </c>
      <c r="J280" s="42" t="n">
        <f aca="false">IFERROR(IF($C280="","",IF($D280="","",IFERROR(ROUND($D280*INDEX('🔖 배합비 참조'!$B$2:$CE$83,MATCH("건포도",'🔖 배합비 참조'!$A$2:$A$83,0),MATCH($C280,'🔖 배합비 참조'!$B$1:$CE$1,0))/100,0),""))),"")</f>
        <v>0</v>
      </c>
      <c r="K280" s="42" t="n">
        <f aca="false">IFERROR(IF($C280="","",IF($D280="","",IFERROR(ROUND($D280*INDEX('🔖 배합비 참조'!$B$2:$CE$83,MATCH("건호박채(중국산)",'🔖 배합비 참조'!$A$2:$A$83,0),MATCH($C280,'🔖 배합비 참조'!$B$1:$CE$1,0))/100,0),""))),"")</f>
        <v>0</v>
      </c>
      <c r="L280" s="42" t="n">
        <f aca="false">IFERROR(IF($C280="","",IF($D280="","",IFERROR(ROUND($D280*INDEX('🔖 배합비 참조'!$B$2:$CE$83,MATCH("검정깨(흑임자)",'🔖 배합비 참조'!$A$2:$A$83,0),MATCH($C280,'🔖 배합비 참조'!$B$1:$CE$1,0))/100,0),""))),"")</f>
        <v>0</v>
      </c>
      <c r="M280" s="42" t="n">
        <f aca="false">IFERROR(IF($C280="","",IF($D280="","",IFERROR(ROUND($D280*INDEX('🔖 배합비 참조'!$B$2:$CE$83,MATCH("검정콩",'🔖 배합비 참조'!$A$2:$A$83,0),MATCH($C280,'🔖 배합비 참조'!$B$1:$CE$1,0))/100,0),""))),"")</f>
        <v>0</v>
      </c>
      <c r="N280" s="42" t="n">
        <f aca="false">IFERROR(IF($C280="","",IF($D280="","",IFERROR(ROUND($D280*INDEX('🔖 배합비 참조'!$B$2:$CE$83,MATCH("계피가루",'🔖 배합비 참조'!$A$2:$A$83,0),MATCH($C280,'🔖 배합비 참조'!$B$1:$CE$1,0))/100,0),""))),"")</f>
        <v>0</v>
      </c>
      <c r="O280" s="42" t="n">
        <f aca="false">IFERROR(IF($C280="","",IF($D280="","",IFERROR(ROUND($D280*INDEX('🔖 배합비 참조'!$B$2:$CE$83,MATCH("고구마가루",'🔖 배합비 참조'!$A$2:$A$83,0),MATCH($C280,'🔖 배합비 참조'!$B$1:$CE$1,0))/100,0),""))),"")</f>
        <v>0</v>
      </c>
      <c r="P280" s="42" t="n">
        <f aca="false">IFERROR(IF($C280="","",IF($D280="","",IFERROR(ROUND($D280*INDEX('🔖 배합비 참조'!$B$2:$CE$83,MATCH("고구마무스",'🔖 배합비 참조'!$A$2:$A$83,0),MATCH($C280,'🔖 배합비 참조'!$B$1:$CE$1,0))/100,0),""))),"")</f>
        <v>0</v>
      </c>
      <c r="Q280" s="42" t="n">
        <f aca="false">IFERROR(IF($C280="","",IF($D280="","",IFERROR(ROUND($D280*INDEX('🔖 배합비 참조'!$B$2:$CE$83,MATCH("고려엉겅퀴((곤드레)국내산)",'🔖 배합비 참조'!$A$2:$A$83,0),MATCH($C280,'🔖 배합비 참조'!$B$1:$CE$1,0))/100,0),""))),"")</f>
        <v>0</v>
      </c>
      <c r="R280" s="42" t="n">
        <f aca="false">IFERROR(IF($C280="","",IF($D280="","",IFERROR(ROUND($D280*INDEX('🔖 배합비 참조'!$B$2:$CE$83,MATCH("기타가공품(복분자가루)",'🔖 배합비 참조'!$A$2:$A$83,0),MATCH($C280,'🔖 배합비 참조'!$B$1:$CE$1,0))/100,0),""))),"")</f>
        <v>0</v>
      </c>
      <c r="S280" s="42" t="n">
        <f aca="false">IFERROR(IF($C280="","",IF($D280="","",IFERROR(ROUND($D280*INDEX('🔖 배합비 참조'!$B$2:$CE$83,MATCH("기타가공품(슈퍼소프트엠)",'🔖 배합비 참조'!$A$2:$A$83,0),MATCH($C280,'🔖 배합비 참조'!$B$1:$CE$1,0))/100,0),""))),"")</f>
        <v>0</v>
      </c>
      <c r="T280" s="42" t="n">
        <f aca="false">IFERROR(IF($C280="","",IF($D280="","",IFERROR(ROUND($D280*INDEX('🔖 배합비 참조'!$B$2:$CE$83,MATCH("기타가공품(파인소프트 E-티)",'🔖 배합비 참조'!$A$2:$A$83,0),MATCH($C280,'🔖 배합비 참조'!$B$1:$CE$1,0))/100,0),""))),"")</f>
        <v>0</v>
      </c>
      <c r="U280" s="42" t="n">
        <f aca="false">IFERROR(IF($C280="","",IF($D280="","",IFERROR(ROUND($D280*INDEX('🔖 배합비 참조'!$B$2:$CE$83,MATCH("기타가공품(프리미엄카스테라가루)",'🔖 배합비 참조'!$A$2:$A$83,0),MATCH($C280,'🔖 배합비 참조'!$B$1:$CE$1,0))/100,0),""))),"")</f>
        <v>0</v>
      </c>
      <c r="V280" s="42" t="n">
        <f aca="false">IFERROR(IF($C280="","",IF($D280="","",IFERROR(ROUND($D280*INDEX('🔖 배합비 참조'!$B$2:$CE$83,MATCH("기타가공품(흑임자가루)",'🔖 배합비 참조'!$A$2:$A$83,0),MATCH($C280,'🔖 배합비 참조'!$B$1:$CE$1,0))/100,0),""))),"")</f>
        <v>0</v>
      </c>
      <c r="W280" s="42" t="n">
        <f aca="false">IFERROR(IF($C280="","",IF($D280="","",IFERROR(ROUND($D280*INDEX('🔖 배합비 참조'!$B$2:$CE$83,MATCH("기타설탕(흑설탕)",'🔖 배합비 참조'!$A$2:$A$83,0),MATCH($C280,'🔖 배합비 참조'!$B$1:$CE$1,0))/100,0),""))),"")</f>
        <v>0</v>
      </c>
      <c r="X280" s="42" t="n">
        <f aca="false">IFERROR(IF($C280="","",IF($D280="","",IFERROR(ROUND($D280*INDEX('🔖 배합비 참조'!$B$2:$CE$83,MATCH("냉동쑥(국내산)",'🔖 배합비 참조'!$A$2:$A$83,0),MATCH($C280,'🔖 배합비 참조'!$B$1:$CE$1,0))/100,0),""))),"")</f>
        <v>0</v>
      </c>
      <c r="Y280" s="42" t="n">
        <f aca="false">IFERROR(IF($C280="","",IF($D280="","",IFERROR(ROUND($D280*INDEX('🔖 배합비 참조'!$B$2:$CE$83,MATCH("냉동증숙고구마(중국산)",'🔖 배합비 참조'!$A$2:$A$83,0),MATCH($C280,'🔖 배합비 참조'!$B$1:$CE$1,0))/100,0),""))),"")</f>
        <v>0</v>
      </c>
      <c r="Z280" s="42" t="n">
        <f aca="false">IFERROR(IF($C280="","",IF($D280="","",IFERROR(ROUND($D280*INDEX('🔖 배합비 참조'!$B$2:$CE$83,MATCH("녹차가루",'🔖 배합비 참조'!$A$2:$A$83,0),MATCH($C280,'🔖 배합비 참조'!$B$1:$CE$1,0))/100,0),""))),"")</f>
        <v>0</v>
      </c>
      <c r="AA280" s="42" t="n">
        <f aca="false">IFERROR(IF($C280="","",IF($D280="","",IFERROR(ROUND($D280*INDEX('🔖 배합비 참조'!$B$2:$CE$83,MATCH("다크초콜릿 컴파운드칩",'🔖 배합비 참조'!$A$2:$A$83,0),MATCH($C280,'🔖 배합비 참조'!$B$1:$CE$1,0))/100,0),""))),"")</f>
        <v>0</v>
      </c>
      <c r="AB280" s="42" t="n">
        <f aca="false">IFERROR(IF($C280="","",IF($D280="","",IFERROR(ROUND($D280*INDEX('🔖 배합비 참조'!$B$2:$CE$83,MATCH("단호박분말(중국산)",'🔖 배합비 참조'!$A$2:$A$83,0),MATCH($C280,'🔖 배합비 참조'!$B$1:$CE$1,0))/100,0),""))),"")</f>
        <v>0</v>
      </c>
      <c r="AC280" s="42" t="n">
        <f aca="false">IFERROR(IF($C280="","",IF($D280="","",IFERROR(ROUND($D280*INDEX('🔖 배합비 참조'!$B$2:$CE$83,MATCH("당류가공품(단호박농축액)",'🔖 배합비 참조'!$A$2:$A$83,0),MATCH($C280,'🔖 배합비 참조'!$B$1:$CE$1,0))/100,0),""))),"")</f>
        <v>0</v>
      </c>
      <c r="AD280" s="42" t="n">
        <f aca="false">IFERROR(IF($C280="","",IF($D280="","",IFERROR(ROUND($D280*INDEX('🔖 배합비 참조'!$B$2:$CE$83,MATCH("당류가공품(알룰로스,에리스리톨,스테비올배당체혼합)",'🔖 배합비 참조'!$A$2:$A$83,0),MATCH($C280,'🔖 배합비 참조'!$B$1:$CE$1,0))/100,0),""))),"")</f>
        <v>0</v>
      </c>
      <c r="AE280" s="42" t="n">
        <f aca="false">IFERROR(IF($C280="","",IF($D280="","",IFERROR(ROUND($D280*INDEX('🔖 배합비 참조'!$B$2:$CE$83,MATCH("당류가공품(알룰로스제로파우더)",'🔖 배합비 참조'!$A$2:$A$83,0),MATCH($C280,'🔖 배합비 참조'!$B$1:$CE$1,0))/100,0),""))),"")</f>
        <v>0</v>
      </c>
      <c r="AF280" s="42" t="n">
        <f aca="false">IFERROR(IF($C280="","",IF($D280="","",IFERROR(ROUND($D280*INDEX('🔖 배합비 참조'!$B$2:$CE$83,MATCH("당절임(완두배기)",'🔖 배합비 참조'!$A$2:$A$83,0),MATCH($C280,'🔖 배합비 참조'!$B$1:$CE$1,0))/100,0),""))),"")</f>
        <v>0</v>
      </c>
      <c r="AG280" s="42" t="n">
        <f aca="false">IFERROR(IF($C280="","",IF($D280="","",IFERROR(ROUND($D280*INDEX('🔖 배합비 참조'!$B$2:$CE$83,MATCH("대추농축액",'🔖 배합비 참조'!$A$2:$A$83,0),MATCH($C280,'🔖 배합비 참조'!$B$1:$CE$1,0))/100,0),""))),"")</f>
        <v>0</v>
      </c>
      <c r="AH280" s="42" t="n">
        <f aca="false">IFERROR(IF($C280="","",IF($D280="","",IFERROR(ROUND($D280*INDEX('🔖 배합비 참조'!$B$2:$CE$83,MATCH("대추채(국내산)",'🔖 배합비 참조'!$A$2:$A$83,0),MATCH($C280,'🔖 배합비 참조'!$B$1:$CE$1,0))/100,0),""))),"")</f>
        <v>0</v>
      </c>
      <c r="AI280" s="42" t="n">
        <f aca="false">IFERROR(IF($C280="","",IF($D280="","",IFERROR(ROUND($D280*INDEX('🔖 배합비 참조'!$B$2:$CE$83,MATCH("동부(미얀마산)",'🔖 배합비 참조'!$A$2:$A$83,0),MATCH($C280,'🔖 배합비 참조'!$B$1:$CE$1,0))/100,0),""))),"")</f>
        <v>0</v>
      </c>
      <c r="AJ280" s="42" t="n">
        <f aca="false">IFERROR(IF($C280="","",IF($D280="","",IFERROR(ROUND($D280*INDEX('🔖 배합비 참조'!$B$2:$CE$83,MATCH("두류가공품(백옥앙금)",'🔖 배합비 참조'!$A$2:$A$83,0),MATCH($C280,'🔖 배합비 참조'!$B$1:$CE$1,0))/100,0),""))),"")</f>
        <v>0</v>
      </c>
      <c r="AK280" s="42" t="n">
        <f aca="false">IFERROR(IF($C280="","",IF($D280="","",IFERROR(ROUND($D280*INDEX('🔖 배합비 참조'!$B$2:$CE$83,MATCH("두류가공품(콩고물)",'🔖 배합비 참조'!$A$2:$A$83,0),MATCH($C280,'🔖 배합비 참조'!$B$1:$CE$1,0))/100,0),""))),"")</f>
        <v>0</v>
      </c>
      <c r="AL280" s="42" t="n">
        <f aca="false">IFERROR(IF($C280="","",IF($D280="","",IFERROR(ROUND($D280*INDEX('🔖 배합비 참조'!$B$2:$CE$83,MATCH("두류가공품(통팥고물)",'🔖 배합비 참조'!$A$2:$A$83,0),MATCH($C280,'🔖 배합비 참조'!$B$1:$CE$1,0))/100,0),""))),"")</f>
        <v>0</v>
      </c>
      <c r="AM280" s="42" t="n">
        <f aca="false">IFERROR(IF($C280="","",IF($D280="","",IFERROR(ROUND($D280*INDEX('🔖 배합비 참조'!$B$2:$CE$83,MATCH("딸기레진",'🔖 배합비 참조'!$A$2:$A$83,0),MATCH($C280,'🔖 배합비 참조'!$B$1:$CE$1,0))/100,0),""))),"")</f>
        <v>0</v>
      </c>
      <c r="AN280" s="42" t="n">
        <f aca="false">IFERROR(IF($C280="","",IF($D280="","",IFERROR(ROUND($D280*INDEX('🔖 배합비 참조'!$B$2:$CE$83,MATCH("딸기분말(스트로우베리에이드(분말))",'🔖 배합비 참조'!$A$2:$A$83,0),MATCH($C280,'🔖 배합비 참조'!$B$1:$CE$1,0))/100,0),""))),"")</f>
        <v>0</v>
      </c>
      <c r="AO280" s="42" t="n">
        <f aca="false">IFERROR(IF($C280="","",IF($D280="","",IFERROR(ROUND($D280*INDEX('🔖 배합비 참조'!$B$2:$CE$83,MATCH("마스카포네치즈",'🔖 배합비 참조'!$A$2:$A$83,0),MATCH($C280,'🔖 배합비 참조'!$B$1:$CE$1,0))/100,0),""))),"")</f>
        <v>0</v>
      </c>
      <c r="AP280" s="42" t="n">
        <f aca="false">IFERROR(IF($C280="","",IF($D280="","",IFERROR(ROUND($D280*INDEX('🔖 배합비 참조'!$B$2:$CE$83,MATCH("마카다미아분태(호주산)",'🔖 배합비 참조'!$A$2:$A$83,0),MATCH($C280,'🔖 배합비 참조'!$B$1:$CE$1,0))/100,0),""))),"")</f>
        <v>0</v>
      </c>
      <c r="AQ280" s="42" t="n">
        <f aca="false">IFERROR(IF($C280="","",IF($D280="","",IFERROR(ROUND($D280*INDEX('🔖 배합비 참조'!$B$2:$CE$83,MATCH("멥쌀(국내산)",'🔖 배합비 참조'!$A$2:$A$83,0),MATCH($C280,'🔖 배합비 참조'!$B$1:$CE$1,0))/100,0),""))),"")</f>
        <v>22</v>
      </c>
      <c r="AR280" s="42" t="n">
        <f aca="false">IFERROR(IF($C280="","",IF($D280="","",IFERROR(ROUND($D280*INDEX('🔖 배합비 참조'!$B$2:$CE$83,MATCH("모시잎(국내산)",'🔖 배합비 참조'!$A$2:$A$83,0),MATCH($C280,'🔖 배합비 참조'!$B$1:$CE$1,0))/100,0),""))),"")</f>
        <v>0</v>
      </c>
      <c r="AS280" s="42" t="n">
        <f aca="false">IFERROR(IF($C280="","",IF($D280="","",IFERROR(ROUND($D280*INDEX('🔖 배합비 참조'!$B$2:$CE$83,MATCH("물엿(저당물엿)",'🔖 배합비 참조'!$A$2:$A$83,0),MATCH($C280,'🔖 배합비 참조'!$B$1:$CE$1,0))/100,0),""))),"")</f>
        <v>0</v>
      </c>
      <c r="AT280" s="42" t="n">
        <f aca="false">IFERROR(IF($C280="","",IF($D280="","",IFERROR(ROUND($D280*INDEX('🔖 배합비 참조'!$B$2:$CE$83,MATCH("밤다이스",'🔖 배합비 참조'!$A$2:$A$83,0),MATCH($C280,'🔖 배합비 참조'!$B$1:$CE$1,0))/100,0),""))),"")</f>
        <v>0</v>
      </c>
      <c r="AU280" s="42" t="n">
        <f aca="false">IFERROR(IF($C280="","",IF($D280="","",IFERROR(ROUND($D280*INDEX('🔖 배합비 참조'!$B$2:$CE$83,MATCH("변성전분(타피오카전분)",'🔖 배합비 참조'!$A$2:$A$83,0),MATCH($C280,'🔖 배합비 참조'!$B$1:$CE$1,0))/100,0),""))),"")</f>
        <v>0</v>
      </c>
      <c r="AV280" s="42" t="n">
        <f aca="false">IFERROR(IF($C280="","",IF($D280="","",IFERROR(ROUND($D280*INDEX('🔖 배합비 참조'!$B$2:$CE$83,MATCH("복음땅콩분태",'🔖 배합비 참조'!$A$2:$A$83,0),MATCH($C280,'🔖 배합비 참조'!$B$1:$CE$1,0))/100,0),""))),"")</f>
        <v>0</v>
      </c>
      <c r="AW280" s="42" t="n">
        <f aca="false">IFERROR(IF($C280="","",IF($D280="","",IFERROR(ROUND($D280*INDEX('🔖 배합비 참조'!$B$2:$CE$83,MATCH("사양벌꿀(국내산)",'🔖 배합비 참조'!$A$2:$A$83,0),MATCH($C280,'🔖 배합비 참조'!$B$1:$CE$1,0))/100,0),""))),"")</f>
        <v>0</v>
      </c>
      <c r="AX280" s="42" t="n">
        <f aca="false">IFERROR(IF($C280="","",IF($D280="","",IFERROR(ROUND($D280*INDEX('🔖 배합비 참조'!$B$2:$CE$83,MATCH("생크림",'🔖 배합비 참조'!$A$2:$A$83,0),MATCH($C280,'🔖 배합비 참조'!$B$1:$CE$1,0))/100,0),""))),"")</f>
        <v>0</v>
      </c>
      <c r="AY280" s="42" t="n">
        <f aca="false">IFERROR(IF($C280="","",IF($D280="","",IFERROR(ROUND($D280*INDEX('🔖 배합비 참조'!$B$2:$CE$83,MATCH("서양호박(국내산,뉴질랜드산)",'🔖 배합비 참조'!$A$2:$A$83,0),MATCH($C280,'🔖 배합비 참조'!$B$1:$CE$1,0))/100,0),""))),"")</f>
        <v>0</v>
      </c>
      <c r="AZ280" s="42" t="n">
        <f aca="false">IFERROR(IF($C280="","",IF($D280="","",IFERROR(ROUND($D280*INDEX('🔖 배합비 참조'!$B$2:$CE$83,MATCH("설탕",'🔖 배합비 참조'!$A$2:$A$83,0),MATCH($C280,'🔖 배합비 참조'!$B$1:$CE$1,0))/100,0),""))),"")</f>
        <v>209</v>
      </c>
      <c r="BA280" s="42" t="n">
        <f aca="false">IFERROR(IF($C280="","",IF($D280="","",IFERROR(ROUND($D280*INDEX('🔖 배합비 참조'!$B$2:$CE$83,MATCH("스트로우베리 에이드 후레쉬",'🔖 배합비 참조'!$A$2:$A$83,0),MATCH($C280,'🔖 배합비 참조'!$B$1:$CE$1,0))/100,0),""))),"")</f>
        <v>0</v>
      </c>
      <c r="BB280" s="42" t="n">
        <f aca="false">IFERROR(IF($C280="","",IF($D280="","",IFERROR(ROUND($D280*INDEX('🔖 배합비 참조'!$B$2:$CE$83,MATCH("식물성기름혼합제제(분홍)",'🔖 배합비 참조'!$A$2:$A$83,0),MATCH($C280,'🔖 배합비 참조'!$B$1:$CE$1,0))/100,0),""))),"")</f>
        <v>0</v>
      </c>
      <c r="BC280" s="42" t="n">
        <f aca="false">IFERROR(IF($C280="","",IF($D280="","",IFERROR(ROUND($D280*INDEX('🔖 배합비 참조'!$B$2:$CE$83,MATCH("식물성기름혼합제제(초록)",'🔖 배합비 참조'!$A$2:$A$83,0),MATCH($C280,'🔖 배합비 참조'!$B$1:$CE$1,0))/100,0),""))),"")</f>
        <v>0</v>
      </c>
      <c r="BD280" s="42" t="n">
        <f aca="false">IFERROR(IF($C280="","",IF($D280="","",IFERROR(ROUND($D280*INDEX('🔖 배합비 참조'!$B$2:$CE$83,MATCH("식물성기름혼합제제(황색)",'🔖 배합비 참조'!$A$2:$A$83,0),MATCH($C280,'🔖 배합비 참조'!$B$1:$CE$1,0))/100,0),""))),"")</f>
        <v>0</v>
      </c>
      <c r="BE280" s="42" t="n">
        <f aca="false">IFERROR(IF($C280="","",IF($D280="","",IFERROR(ROUND($D280*INDEX('🔖 배합비 참조'!$B$2:$CE$83,MATCH("쑥가루(국내산)",'🔖 배합비 참조'!$A$2:$A$83,0),MATCH($C280,'🔖 배합비 참조'!$B$1:$CE$1,0))/100,0),""))),"")</f>
        <v>0</v>
      </c>
      <c r="BF280" s="42" t="n">
        <f aca="false">IFERROR(IF($C280="","",IF($D280="","",IFERROR(ROUND($D280*INDEX('🔖 배합비 참조'!$B$2:$CE$83,MATCH("아몬드슬라이스",'🔖 배합비 참조'!$A$2:$A$83,0),MATCH($C280,'🔖 배합비 참조'!$B$1:$CE$1,0))/100,0),""))),"")</f>
        <v>0</v>
      </c>
      <c r="BG280" s="42" t="n">
        <f aca="false">IFERROR(IF($C280="","",IF($D280="","",IFERROR(ROUND($D280*INDEX('🔖 배합비 참조'!$B$2:$CE$83,MATCH("알룰로오스(국내산)",'🔖 배합비 참조'!$A$2:$A$83,0),MATCH($C280,'🔖 배합비 참조'!$B$1:$CE$1,0))/100,0),""))),"")</f>
        <v>0</v>
      </c>
      <c r="BH280" s="42" t="n">
        <f aca="false">IFERROR(IF($C280="","",IF($D280="","",IFERROR(ROUND($D280*INDEX('🔖 배합비 참조'!$B$2:$CE$83,MATCH("연유",'🔖 배합비 참조'!$A$2:$A$83,0),MATCH($C280,'🔖 배합비 참조'!$B$1:$CE$1,0))/100,0),""))),"")</f>
        <v>0</v>
      </c>
      <c r="BI280" s="42" t="n">
        <f aca="false">IFERROR(IF($C280="","",IF($D280="","",IFERROR(ROUND($D280*INDEX('🔖 배합비 참조'!$B$2:$CE$83,MATCH("옥수수전분",'🔖 배합비 참조'!$A$2:$A$83,0),MATCH($C280,'🔖 배합비 참조'!$B$1:$CE$1,0))/100,0),""))),"")</f>
        <v>0</v>
      </c>
      <c r="BJ280" s="42" t="n">
        <f aca="false">IFERROR(IF($C280="","",IF($D280="","",IFERROR(ROUND($D280*INDEX('🔖 배합비 참조'!$B$2:$CE$83,MATCH("완두배기",'🔖 배합비 참조'!$A$2:$A$83,0),MATCH($C280,'🔖 배합비 참조'!$B$1:$CE$1,0))/100,0),""))),"")</f>
        <v>0</v>
      </c>
      <c r="BK280" s="42" t="n">
        <f aca="false">IFERROR(IF($C280="","",IF($D280="","",IFERROR(ROUND($D280*INDEX('🔖 배합비 참조'!$B$2:$CE$83,MATCH("우유(국내산)",'🔖 배합비 참조'!$A$2:$A$83,0),MATCH($C280,'🔖 배합비 참조'!$B$1:$CE$1,0))/100,0),""))),"")</f>
        <v>0</v>
      </c>
      <c r="BL280" s="42" t="n">
        <f aca="false">IFERROR(IF($C280="","",IF($D280="","",IFERROR(ROUND($D280*INDEX('🔖 배합비 참조'!$B$2:$CE$83,MATCH("자색고구마가루(중국산)",'🔖 배합비 참조'!$A$2:$A$83,0),MATCH($C280,'🔖 배합비 참조'!$B$1:$CE$1,0))/100,0),""))),"")</f>
        <v>0</v>
      </c>
      <c r="BM280" s="42" t="n">
        <f aca="false">IFERROR(IF($C280="","",IF($D280="","",IFERROR(ROUND($D280*INDEX('🔖 배합비 참조'!$B$2:$CE$83,MATCH("자연치즈(체다치즈)",'🔖 배합비 참조'!$A$2:$A$83,0),MATCH($C280,'🔖 배합비 참조'!$B$1:$CE$1,0))/100,0),""))),"")</f>
        <v>0</v>
      </c>
      <c r="BN280" s="42" t="n">
        <f aca="false">IFERROR(IF($C280="","",IF($D280="","",IFERROR(ROUND($D280*INDEX('🔖 배합비 참조'!$B$2:$CE$83,MATCH("정제수",'🔖 배합비 참조'!$A$2:$A$83,0),MATCH($C280,'🔖 배합비 참조'!$B$1:$CE$1,0))/100,0),""))),"")</f>
        <v>33</v>
      </c>
      <c r="BO280" s="42" t="n">
        <f aca="false">IFERROR(IF($C280="","",IF($D280="","",IFERROR(ROUND($D280*INDEX('🔖 배합비 참조'!$B$2:$CE$83,MATCH("젤라틴",'🔖 배합비 참조'!$A$2:$A$83,0),MATCH($C280,'🔖 배합비 참조'!$B$1:$CE$1,0))/100,0),""))),"")</f>
        <v>0</v>
      </c>
      <c r="BP280" s="42" t="n">
        <f aca="false">IFERROR(IF($C280="","",IF($D280="","",IFERROR(ROUND($D280*INDEX('🔖 배합비 참조'!$B$2:$CE$83,MATCH("조림류(백옥앙금)",'🔖 배합비 참조'!$A$2:$A$83,0),MATCH($C280,'🔖 배합비 참조'!$B$1:$CE$1,0))/100,0),""))),"")</f>
        <v>0</v>
      </c>
      <c r="BQ280" s="42" t="n">
        <f aca="false">IFERROR(IF($C280="","",IF($D280="","",IFERROR(ROUND($D280*INDEX('🔖 배합비 참조'!$B$2:$CE$83,MATCH("조림류(통팥앙금)",'🔖 배합비 참조'!$A$2:$A$83,0),MATCH($C280,'🔖 배합비 참조'!$B$1:$CE$1,0))/100,0),""))),"")</f>
        <v>198</v>
      </c>
      <c r="BR280" s="42" t="n">
        <f aca="false">IFERROR(IF($C280="","",IF($D280="","",IFERROR(ROUND($D280*INDEX('🔖 배합비 참조'!$B$2:$CE$83,MATCH("준초콜릿(외국산)",'🔖 배합비 참조'!$A$2:$A$83,0),MATCH($C280,'🔖 배합비 참조'!$B$1:$CE$1,0))/100,0),""))),"")</f>
        <v>0</v>
      </c>
      <c r="BS280" s="42" t="n">
        <f aca="false">IFERROR(IF($C280="","",IF($D280="","",IFERROR(ROUND($D280*INDEX('🔖 배합비 참조'!$B$2:$CE$83,MATCH("중력분",'🔖 배합비 참조'!$A$2:$A$83,0),MATCH($C280,'🔖 배합비 참조'!$B$1:$CE$1,0))/100,0),""))),"")</f>
        <v>22</v>
      </c>
      <c r="BT280" s="42" t="n">
        <f aca="false">IFERROR(IF($C280="","",IF($D280="","",IFERROR(ROUND($D280*INDEX('🔖 배합비 참조'!$B$2:$CE$83,MATCH("참깨(인도산,나이지리아산,탄자니아산,미얀마산)",'🔖 배합비 참조'!$A$2:$A$83,0),MATCH($C280,'🔖 배합비 참조'!$B$1:$CE$1,0))/100,0),""))),"")</f>
        <v>0</v>
      </c>
      <c r="BU280" s="42" t="n">
        <f aca="false">IFERROR(IF($C280="","",IF($D280="","",IFERROR(ROUND($D280*INDEX('🔖 배합비 참조'!$B$2:$CE$83,MATCH("찹쌀(국내산)",'🔖 배합비 참조'!$A$2:$A$83,0),MATCH($C280,'🔖 배합비 참조'!$B$1:$CE$1,0))/100,0),""))),"")</f>
        <v>473</v>
      </c>
      <c r="BV280" s="42" t="n">
        <f aca="false">IFERROR(IF($C280="","",IF($D280="","",IFERROR(ROUND($D280*INDEX('🔖 배합비 참조'!$B$2:$CE$83,MATCH("천일염",'🔖 배합비 참조'!$A$2:$A$83,0),MATCH($C280,'🔖 배합비 참조'!$B$1:$CE$1,0))/100,0),""))),"")</f>
        <v>22</v>
      </c>
      <c r="BW280" s="42" t="n">
        <f aca="false">IFERROR(IF($C280="","",IF($D280="","",IFERROR(ROUND($D280*INDEX('🔖 배합비 참조'!$B$2:$CE$83,MATCH("치즈 [크림치즈]",'🔖 배합비 참조'!$A$2:$A$83,0),MATCH($C280,'🔖 배합비 참조'!$B$1:$CE$1,0))/100,0),""))),"")</f>
        <v>0</v>
      </c>
      <c r="BX280" s="42" t="n">
        <f aca="false">IFERROR(IF($C280="","",IF($D280="","",IFERROR(ROUND($D280*INDEX('🔖 배합비 참조'!$B$2:$CE$83,MATCH("코코아가공품류(코코아분말)",'🔖 배합비 참조'!$A$2:$A$83,0),MATCH($C280,'🔖 배합비 참조'!$B$1:$CE$1,0))/100,0),""))),"")</f>
        <v>0</v>
      </c>
      <c r="BY280" s="42" t="n">
        <f aca="false">IFERROR(IF($C280="","",IF($D280="","",IFERROR(ROUND($D280*INDEX('🔖 배합비 참조'!$B$2:$CE$83,MATCH("콩기름(대두유)",'🔖 배합비 참조'!$A$2:$A$83,0),MATCH($C280,'🔖 배합비 참조'!$B$1:$CE$1,0))/100,0),""))),"")</f>
        <v>0</v>
      </c>
      <c r="BZ280" s="42" t="n">
        <f aca="false">IFERROR(IF($C280="","",IF($D280="","",IFERROR(ROUND($D280*INDEX('🔖 배합비 참조'!$B$2:$CE$83,MATCH("해바라기씨앗",'🔖 배합비 참조'!$A$2:$A$83,0),MATCH($C280,'🔖 배합비 참조'!$B$1:$CE$1,0))/100,0),""))),"")</f>
        <v>0</v>
      </c>
      <c r="CA280" s="42" t="n">
        <f aca="false">IFERROR(IF($C280="","",IF($D280="","",IFERROR(ROUND($D280*INDEX('🔖 배합비 참조'!$B$2:$CE$83,MATCH("현미(국내산)",'🔖 배합비 참조'!$A$2:$A$83,0),MATCH($C280,'🔖 배합비 참조'!$B$1:$CE$1,0))/100,0),""))),"")</f>
        <v>0</v>
      </c>
      <c r="CB280" s="42" t="n">
        <f aca="false">IFERROR(IF($C280="","",IF($D280="","",IFERROR(ROUND($D280*INDEX('🔖 배합비 참조'!$B$2:$CE$83,MATCH("현미멥쌀(국내산)",'🔖 배합비 참조'!$A$2:$A$83,0),MATCH($C280,'🔖 배합비 참조'!$B$1:$CE$1,0))/100,0),""))),"")</f>
        <v>0</v>
      </c>
      <c r="CC280" s="42" t="n">
        <f aca="false">IFERROR(IF($C280="","",IF($D280="","",IFERROR(ROUND($D280*INDEX('🔖 배합비 참조'!$B$2:$CE$83,MATCH("호두분태(미국산)",'🔖 배합비 참조'!$A$2:$A$83,0),MATCH($C280,'🔖 배합비 참조'!$B$1:$CE$1,0))/100,0),""))),"")</f>
        <v>0</v>
      </c>
      <c r="CD280" s="42" t="n">
        <f aca="false">IFERROR(IF($C280="","",IF($D280="","",IFERROR(ROUND($D280*INDEX('🔖 배합비 참조'!$B$2:$CE$83,MATCH("호박씨앗(외국산)",'🔖 배합비 참조'!$A$2:$A$83,0),MATCH($C280,'🔖 배합비 참조'!$B$1:$CE$1,0))/100,0),""))),"")</f>
        <v>0</v>
      </c>
      <c r="CE280" s="42" t="n">
        <f aca="false">IFERROR(IF($C280="","",IF($D280="","",IFERROR(ROUND($D280*INDEX('🔖 배합비 참조'!$B$2:$CE$83,MATCH("혼합제제(떡용에스텔)",'🔖 배합비 참조'!$A$2:$A$83,0),MATCH($C280,'🔖 배합비 참조'!$B$1:$CE$1,0))/100,0),""))),"")</f>
        <v>22</v>
      </c>
      <c r="CF280" s="42" t="n">
        <f aca="false">IFERROR(IF($C280="","",IF($D280="","",IFERROR(ROUND($D280*INDEX('🔖 배합비 참조'!$B$2:$CE$83,MATCH("혼합제제(스테비아)",'🔖 배합비 참조'!$A$2:$A$83,0),MATCH($C280,'🔖 배합비 참조'!$B$1:$CE$1,0))/100,0),""))),"")</f>
        <v>0</v>
      </c>
      <c r="CG280" s="42" t="n">
        <f aca="false">IFERROR(IF($C280="","",IF($D280="","",IFERROR(ROUND($D280*INDEX('🔖 배합비 참조'!$B$2:$CE$83,MATCH("화이트초콜릿",'🔖 배합비 참조'!$A$2:$A$83,0),MATCH($C280,'🔖 배합비 참조'!$B$1:$CE$1,0))/100,0),""))),"")</f>
        <v>0</v>
      </c>
      <c r="CH280" s="42" t="n">
        <f aca="false">IFERROR(IF($C280="","",IF($D280="","",IFERROR(ROUND($D280*INDEX('🔖 배합비 참조'!$B$2:$CE$83,MATCH("흑미찹쌀(국내산)",'🔖 배합비 참조'!$A$2:$A$83,0),MATCH($C280,'🔖 배합비 참조'!$B$1:$CE$1,0))/100,0),""))),"")</f>
        <v>0</v>
      </c>
      <c r="CI280" s="42" t="n">
        <f aca="false">IFERROR(IF($C280="","",IF($D280="","",IFERROR(ROUND($D280*INDEX('🔖 배합비 참조'!$B$2:$CE$83,MATCH("찰옥수수전분(미국산)",'🔖 배합비 참조'!$A$2:$A$83,0),MATCH($C280,'🔖 배합비 참조'!$B$1:$CE$1,0))/100,0),""))),"")</f>
        <v>99</v>
      </c>
      <c r="CJ280" s="40"/>
      <c r="CL280" s="43" t="s">
        <v>248</v>
      </c>
    </row>
    <row r="281" customFormat="false" ht="18" hidden="false" customHeight="true" outlineLevel="0" collapsed="false">
      <c r="A281" s="35" t="n">
        <v>277</v>
      </c>
      <c r="B281" s="36" t="n">
        <v>46094</v>
      </c>
      <c r="C281" s="37" t="s">
        <v>204</v>
      </c>
      <c r="D281" s="38" t="n">
        <v>220</v>
      </c>
      <c r="E281" s="13"/>
      <c r="F281" s="13"/>
      <c r="G281" s="39" t="n">
        <f aca="false">IFERROR(IF($C281="","",IF($D281="","",IFERROR(ROUND($D281*INDEX('🔖 배합비 참조'!$B$2:$CE$83,MATCH("간장",'🔖 배합비 참조'!$A$2:$A$83,0),MATCH($C281,'🔖 배합비 참조'!$B$1:$CE$1,0))/100,0),""))),"")</f>
        <v>0</v>
      </c>
      <c r="H281" s="39" t="n">
        <f aca="false">IFERROR(IF($C281="","",IF($D281="","",IFERROR(ROUND($D281*INDEX('🔖 배합비 참조'!$B$2:$CE$83,MATCH("강낭콩((울타리콩))",'🔖 배합비 참조'!$A$2:$A$83,0),MATCH($C281,'🔖 배합비 참조'!$B$1:$CE$1,0))/100,0),""))),"")</f>
        <v>0</v>
      </c>
      <c r="I281" s="39" t="n">
        <f aca="false">IFERROR(IF($C281="","",IF($D281="","",IFERROR(ROUND($D281*INDEX('🔖 배합비 참조'!$B$2:$CE$83,MATCH("건조딸기다이스(외국산)",'🔖 배합비 참조'!$A$2:$A$83,0),MATCH($C281,'🔖 배합비 참조'!$B$1:$CE$1,0))/100,0),""))),"")</f>
        <v>0</v>
      </c>
      <c r="J281" s="39" t="n">
        <f aca="false">IFERROR(IF($C281="","",IF($D281="","",IFERROR(ROUND($D281*INDEX('🔖 배합비 참조'!$B$2:$CE$83,MATCH("건포도",'🔖 배합비 참조'!$A$2:$A$83,0),MATCH($C281,'🔖 배합비 참조'!$B$1:$CE$1,0))/100,0),""))),"")</f>
        <v>0</v>
      </c>
      <c r="K281" s="39" t="n">
        <f aca="false">IFERROR(IF($C281="","",IF($D281="","",IFERROR(ROUND($D281*INDEX('🔖 배합비 참조'!$B$2:$CE$83,MATCH("건호박채(중국산)",'🔖 배합비 참조'!$A$2:$A$83,0),MATCH($C281,'🔖 배합비 참조'!$B$1:$CE$1,0))/100,0),""))),"")</f>
        <v>0</v>
      </c>
      <c r="L281" s="39" t="n">
        <f aca="false">IFERROR(IF($C281="","",IF($D281="","",IFERROR(ROUND($D281*INDEX('🔖 배합비 참조'!$B$2:$CE$83,MATCH("검정깨(흑임자)",'🔖 배합비 참조'!$A$2:$A$83,0),MATCH($C281,'🔖 배합비 참조'!$B$1:$CE$1,0))/100,0),""))),"")</f>
        <v>0</v>
      </c>
      <c r="M281" s="39" t="n">
        <f aca="false">IFERROR(IF($C281="","",IF($D281="","",IFERROR(ROUND($D281*INDEX('🔖 배합비 참조'!$B$2:$CE$83,MATCH("검정콩",'🔖 배합비 참조'!$A$2:$A$83,0),MATCH($C281,'🔖 배합비 참조'!$B$1:$CE$1,0))/100,0),""))),"")</f>
        <v>0</v>
      </c>
      <c r="N281" s="39" t="n">
        <f aca="false">IFERROR(IF($C281="","",IF($D281="","",IFERROR(ROUND($D281*INDEX('🔖 배합비 참조'!$B$2:$CE$83,MATCH("계피가루",'🔖 배합비 참조'!$A$2:$A$83,0),MATCH($C281,'🔖 배합비 참조'!$B$1:$CE$1,0))/100,0),""))),"")</f>
        <v>0</v>
      </c>
      <c r="O281" s="39" t="n">
        <f aca="false">IFERROR(IF($C281="","",IF($D281="","",IFERROR(ROUND($D281*INDEX('🔖 배합비 참조'!$B$2:$CE$83,MATCH("고구마가루",'🔖 배합비 참조'!$A$2:$A$83,0),MATCH($C281,'🔖 배합비 참조'!$B$1:$CE$1,0))/100,0),""))),"")</f>
        <v>0</v>
      </c>
      <c r="P281" s="39" t="n">
        <f aca="false">IFERROR(IF($C281="","",IF($D281="","",IFERROR(ROUND($D281*INDEX('🔖 배합비 참조'!$B$2:$CE$83,MATCH("고구마무스",'🔖 배합비 참조'!$A$2:$A$83,0),MATCH($C281,'🔖 배합비 참조'!$B$1:$CE$1,0))/100,0),""))),"")</f>
        <v>0</v>
      </c>
      <c r="Q281" s="39" t="n">
        <f aca="false">IFERROR(IF($C281="","",IF($D281="","",IFERROR(ROUND($D281*INDEX('🔖 배합비 참조'!$B$2:$CE$83,MATCH("고려엉겅퀴((곤드레)국내산)",'🔖 배합비 참조'!$A$2:$A$83,0),MATCH($C281,'🔖 배합비 참조'!$B$1:$CE$1,0))/100,0),""))),"")</f>
        <v>0</v>
      </c>
      <c r="R281" s="39" t="n">
        <f aca="false">IFERROR(IF($C281="","",IF($D281="","",IFERROR(ROUND($D281*INDEX('🔖 배합비 참조'!$B$2:$CE$83,MATCH("기타가공품(복분자가루)",'🔖 배합비 참조'!$A$2:$A$83,0),MATCH($C281,'🔖 배합비 참조'!$B$1:$CE$1,0))/100,0),""))),"")</f>
        <v>0</v>
      </c>
      <c r="S281" s="39" t="n">
        <f aca="false">IFERROR(IF($C281="","",IF($D281="","",IFERROR(ROUND($D281*INDEX('🔖 배합비 참조'!$B$2:$CE$83,MATCH("기타가공품(슈퍼소프트엠)",'🔖 배합비 참조'!$A$2:$A$83,0),MATCH($C281,'🔖 배합비 참조'!$B$1:$CE$1,0))/100,0),""))),"")</f>
        <v>0</v>
      </c>
      <c r="T281" s="39" t="n">
        <f aca="false">IFERROR(IF($C281="","",IF($D281="","",IFERROR(ROUND($D281*INDEX('🔖 배합비 참조'!$B$2:$CE$83,MATCH("기타가공품(파인소프트 E-티)",'🔖 배합비 참조'!$A$2:$A$83,0),MATCH($C281,'🔖 배합비 참조'!$B$1:$CE$1,0))/100,0),""))),"")</f>
        <v>0</v>
      </c>
      <c r="U281" s="39" t="n">
        <f aca="false">IFERROR(IF($C281="","",IF($D281="","",IFERROR(ROUND($D281*INDEX('🔖 배합비 참조'!$B$2:$CE$83,MATCH("기타가공품(프리미엄카스테라가루)",'🔖 배합비 참조'!$A$2:$A$83,0),MATCH($C281,'🔖 배합비 참조'!$B$1:$CE$1,0))/100,0),""))),"")</f>
        <v>0</v>
      </c>
      <c r="V281" s="39" t="n">
        <f aca="false">IFERROR(IF($C281="","",IF($D281="","",IFERROR(ROUND($D281*INDEX('🔖 배합비 참조'!$B$2:$CE$83,MATCH("기타가공품(흑임자가루)",'🔖 배합비 참조'!$A$2:$A$83,0),MATCH($C281,'🔖 배합비 참조'!$B$1:$CE$1,0))/100,0),""))),"")</f>
        <v>0</v>
      </c>
      <c r="W281" s="39" t="n">
        <f aca="false">IFERROR(IF($C281="","",IF($D281="","",IFERROR(ROUND($D281*INDEX('🔖 배합비 참조'!$B$2:$CE$83,MATCH("기타설탕(흑설탕)",'🔖 배합비 참조'!$A$2:$A$83,0),MATCH($C281,'🔖 배합비 참조'!$B$1:$CE$1,0))/100,0),""))),"")</f>
        <v>0</v>
      </c>
      <c r="X281" s="39" t="n">
        <f aca="false">IFERROR(IF($C281="","",IF($D281="","",IFERROR(ROUND($D281*INDEX('🔖 배합비 참조'!$B$2:$CE$83,MATCH("냉동쑥(국내산)",'🔖 배합비 참조'!$A$2:$A$83,0),MATCH($C281,'🔖 배합비 참조'!$B$1:$CE$1,0))/100,0),""))),"")</f>
        <v>7</v>
      </c>
      <c r="Y281" s="39" t="n">
        <f aca="false">IFERROR(IF($C281="","",IF($D281="","",IFERROR(ROUND($D281*INDEX('🔖 배합비 참조'!$B$2:$CE$83,MATCH("냉동증숙고구마(중국산)",'🔖 배합비 참조'!$A$2:$A$83,0),MATCH($C281,'🔖 배합비 참조'!$B$1:$CE$1,0))/100,0),""))),"")</f>
        <v>0</v>
      </c>
      <c r="Z281" s="39" t="n">
        <f aca="false">IFERROR(IF($C281="","",IF($D281="","",IFERROR(ROUND($D281*INDEX('🔖 배합비 참조'!$B$2:$CE$83,MATCH("녹차가루",'🔖 배합비 참조'!$A$2:$A$83,0),MATCH($C281,'🔖 배합비 참조'!$B$1:$CE$1,0))/100,0),""))),"")</f>
        <v>0</v>
      </c>
      <c r="AA281" s="39" t="n">
        <f aca="false">IFERROR(IF($C281="","",IF($D281="","",IFERROR(ROUND($D281*INDEX('🔖 배합비 참조'!$B$2:$CE$83,MATCH("다크초콜릿 컴파운드칩",'🔖 배합비 참조'!$A$2:$A$83,0),MATCH($C281,'🔖 배합비 참조'!$B$1:$CE$1,0))/100,0),""))),"")</f>
        <v>0</v>
      </c>
      <c r="AB281" s="39" t="n">
        <f aca="false">IFERROR(IF($C281="","",IF($D281="","",IFERROR(ROUND($D281*INDEX('🔖 배합비 참조'!$B$2:$CE$83,MATCH("단호박분말(중국산)",'🔖 배합비 참조'!$A$2:$A$83,0),MATCH($C281,'🔖 배합비 참조'!$B$1:$CE$1,0))/100,0),""))),"")</f>
        <v>0</v>
      </c>
      <c r="AC281" s="39" t="n">
        <f aca="false">IFERROR(IF($C281="","",IF($D281="","",IFERROR(ROUND($D281*INDEX('🔖 배합비 참조'!$B$2:$CE$83,MATCH("당류가공품(단호박농축액)",'🔖 배합비 참조'!$A$2:$A$83,0),MATCH($C281,'🔖 배합비 참조'!$B$1:$CE$1,0))/100,0),""))),"")</f>
        <v>0</v>
      </c>
      <c r="AD281" s="39" t="n">
        <f aca="false">IFERROR(IF($C281="","",IF($D281="","",IFERROR(ROUND($D281*INDEX('🔖 배합비 참조'!$B$2:$CE$83,MATCH("당류가공품(알룰로스,에리스리톨,스테비올배당체혼합)",'🔖 배합비 참조'!$A$2:$A$83,0),MATCH($C281,'🔖 배합비 참조'!$B$1:$CE$1,0))/100,0),""))),"")</f>
        <v>0</v>
      </c>
      <c r="AE281" s="39" t="n">
        <f aca="false">IFERROR(IF($C281="","",IF($D281="","",IFERROR(ROUND($D281*INDEX('🔖 배합비 참조'!$B$2:$CE$83,MATCH("당류가공품(알룰로스제로파우더)",'🔖 배합비 참조'!$A$2:$A$83,0),MATCH($C281,'🔖 배합비 참조'!$B$1:$CE$1,0))/100,0),""))),"")</f>
        <v>0</v>
      </c>
      <c r="AF281" s="39" t="n">
        <f aca="false">IFERROR(IF($C281="","",IF($D281="","",IFERROR(ROUND($D281*INDEX('🔖 배합비 참조'!$B$2:$CE$83,MATCH("당절임(완두배기)",'🔖 배합비 참조'!$A$2:$A$83,0),MATCH($C281,'🔖 배합비 참조'!$B$1:$CE$1,0))/100,0),""))),"")</f>
        <v>0</v>
      </c>
      <c r="AG281" s="39" t="n">
        <f aca="false">IFERROR(IF($C281="","",IF($D281="","",IFERROR(ROUND($D281*INDEX('🔖 배합비 참조'!$B$2:$CE$83,MATCH("대추농축액",'🔖 배합비 참조'!$A$2:$A$83,0),MATCH($C281,'🔖 배합비 참조'!$B$1:$CE$1,0))/100,0),""))),"")</f>
        <v>0</v>
      </c>
      <c r="AH281" s="39" t="n">
        <f aca="false">IFERROR(IF($C281="","",IF($D281="","",IFERROR(ROUND($D281*INDEX('🔖 배합비 참조'!$B$2:$CE$83,MATCH("대추채(국내산)",'🔖 배합비 참조'!$A$2:$A$83,0),MATCH($C281,'🔖 배합비 참조'!$B$1:$CE$1,0))/100,0),""))),"")</f>
        <v>0</v>
      </c>
      <c r="AI281" s="39" t="n">
        <f aca="false">IFERROR(IF($C281="","",IF($D281="","",IFERROR(ROUND($D281*INDEX('🔖 배합비 참조'!$B$2:$CE$83,MATCH("동부(미얀마산)",'🔖 배합비 참조'!$A$2:$A$83,0),MATCH($C281,'🔖 배합비 참조'!$B$1:$CE$1,0))/100,0),""))),"")</f>
        <v>0</v>
      </c>
      <c r="AJ281" s="39" t="n">
        <f aca="false">IFERROR(IF($C281="","",IF($D281="","",IFERROR(ROUND($D281*INDEX('🔖 배합비 참조'!$B$2:$CE$83,MATCH("두류가공품(백옥앙금)",'🔖 배합비 참조'!$A$2:$A$83,0),MATCH($C281,'🔖 배합비 참조'!$B$1:$CE$1,0))/100,0),""))),"")</f>
        <v>0</v>
      </c>
      <c r="AK281" s="39" t="n">
        <f aca="false">IFERROR(IF($C281="","",IF($D281="","",IFERROR(ROUND($D281*INDEX('🔖 배합비 참조'!$B$2:$CE$83,MATCH("두류가공품(콩고물)",'🔖 배합비 참조'!$A$2:$A$83,0),MATCH($C281,'🔖 배합비 참조'!$B$1:$CE$1,0))/100,0),""))),"")</f>
        <v>7</v>
      </c>
      <c r="AL281" s="39" t="n">
        <f aca="false">IFERROR(IF($C281="","",IF($D281="","",IFERROR(ROUND($D281*INDEX('🔖 배합비 참조'!$B$2:$CE$83,MATCH("두류가공품(통팥고물)",'🔖 배합비 참조'!$A$2:$A$83,0),MATCH($C281,'🔖 배합비 참조'!$B$1:$CE$1,0))/100,0),""))),"")</f>
        <v>0</v>
      </c>
      <c r="AM281" s="39" t="n">
        <f aca="false">IFERROR(IF($C281="","",IF($D281="","",IFERROR(ROUND($D281*INDEX('🔖 배합비 참조'!$B$2:$CE$83,MATCH("딸기레진",'🔖 배합비 참조'!$A$2:$A$83,0),MATCH($C281,'🔖 배합비 참조'!$B$1:$CE$1,0))/100,0),""))),"")</f>
        <v>0</v>
      </c>
      <c r="AN281" s="39" t="n">
        <f aca="false">IFERROR(IF($C281="","",IF($D281="","",IFERROR(ROUND($D281*INDEX('🔖 배합비 참조'!$B$2:$CE$83,MATCH("딸기분말(스트로우베리에이드(분말))",'🔖 배합비 참조'!$A$2:$A$83,0),MATCH($C281,'🔖 배합비 참조'!$B$1:$CE$1,0))/100,0),""))),"")</f>
        <v>0</v>
      </c>
      <c r="AO281" s="39" t="n">
        <f aca="false">IFERROR(IF($C281="","",IF($D281="","",IFERROR(ROUND($D281*INDEX('🔖 배합비 참조'!$B$2:$CE$83,MATCH("마스카포네치즈",'🔖 배합비 참조'!$A$2:$A$83,0),MATCH($C281,'🔖 배합비 참조'!$B$1:$CE$1,0))/100,0),""))),"")</f>
        <v>0</v>
      </c>
      <c r="AP281" s="39" t="n">
        <f aca="false">IFERROR(IF($C281="","",IF($D281="","",IFERROR(ROUND($D281*INDEX('🔖 배합비 참조'!$B$2:$CE$83,MATCH("마카다미아분태(호주산)",'🔖 배합비 참조'!$A$2:$A$83,0),MATCH($C281,'🔖 배합비 참조'!$B$1:$CE$1,0))/100,0),""))),"")</f>
        <v>0</v>
      </c>
      <c r="AQ281" s="39" t="n">
        <f aca="false">IFERROR(IF($C281="","",IF($D281="","",IFERROR(ROUND($D281*INDEX('🔖 배합비 참조'!$B$2:$CE$83,MATCH("멥쌀(국내산)",'🔖 배합비 참조'!$A$2:$A$83,0),MATCH($C281,'🔖 배합비 참조'!$B$1:$CE$1,0))/100,0),""))),"")</f>
        <v>0</v>
      </c>
      <c r="AR281" s="39" t="n">
        <f aca="false">IFERROR(IF($C281="","",IF($D281="","",IFERROR(ROUND($D281*INDEX('🔖 배합비 참조'!$B$2:$CE$83,MATCH("모시잎(국내산)",'🔖 배합비 참조'!$A$2:$A$83,0),MATCH($C281,'🔖 배합비 참조'!$B$1:$CE$1,0))/100,0),""))),"")</f>
        <v>0</v>
      </c>
      <c r="AS281" s="39" t="n">
        <f aca="false">IFERROR(IF($C281="","",IF($D281="","",IFERROR(ROUND($D281*INDEX('🔖 배합비 참조'!$B$2:$CE$83,MATCH("물엿(저당물엿)",'🔖 배합비 참조'!$A$2:$A$83,0),MATCH($C281,'🔖 배합비 참조'!$B$1:$CE$1,0))/100,0),""))),"")</f>
        <v>5</v>
      </c>
      <c r="AT281" s="39" t="n">
        <f aca="false">IFERROR(IF($C281="","",IF($D281="","",IFERROR(ROUND($D281*INDEX('🔖 배합비 참조'!$B$2:$CE$83,MATCH("밤다이스",'🔖 배합비 참조'!$A$2:$A$83,0),MATCH($C281,'🔖 배합비 참조'!$B$1:$CE$1,0))/100,0),""))),"")</f>
        <v>0</v>
      </c>
      <c r="AU281" s="39" t="n">
        <f aca="false">IFERROR(IF($C281="","",IF($D281="","",IFERROR(ROUND($D281*INDEX('🔖 배합비 참조'!$B$2:$CE$83,MATCH("변성전분(타피오카전분)",'🔖 배합비 참조'!$A$2:$A$83,0),MATCH($C281,'🔖 배합비 참조'!$B$1:$CE$1,0))/100,0),""))),"")</f>
        <v>0</v>
      </c>
      <c r="AV281" s="39" t="n">
        <f aca="false">IFERROR(IF($C281="","",IF($D281="","",IFERROR(ROUND($D281*INDEX('🔖 배합비 참조'!$B$2:$CE$83,MATCH("복음땅콩분태",'🔖 배합비 참조'!$A$2:$A$83,0),MATCH($C281,'🔖 배합비 참조'!$B$1:$CE$1,0))/100,0),""))),"")</f>
        <v>0</v>
      </c>
      <c r="AW281" s="39" t="n">
        <f aca="false">IFERROR(IF($C281="","",IF($D281="","",IFERROR(ROUND($D281*INDEX('🔖 배합비 참조'!$B$2:$CE$83,MATCH("사양벌꿀(국내산)",'🔖 배합비 참조'!$A$2:$A$83,0),MATCH($C281,'🔖 배합비 참조'!$B$1:$CE$1,0))/100,0),""))),"")</f>
        <v>0</v>
      </c>
      <c r="AX281" s="39" t="n">
        <f aca="false">IFERROR(IF($C281="","",IF($D281="","",IFERROR(ROUND($D281*INDEX('🔖 배합비 참조'!$B$2:$CE$83,MATCH("생크림",'🔖 배합비 참조'!$A$2:$A$83,0),MATCH($C281,'🔖 배합비 참조'!$B$1:$CE$1,0))/100,0),""))),"")</f>
        <v>0</v>
      </c>
      <c r="AY281" s="39" t="n">
        <f aca="false">IFERROR(IF($C281="","",IF($D281="","",IFERROR(ROUND($D281*INDEX('🔖 배합비 참조'!$B$2:$CE$83,MATCH("서양호박(국내산,뉴질랜드산)",'🔖 배합비 참조'!$A$2:$A$83,0),MATCH($C281,'🔖 배합비 참조'!$B$1:$CE$1,0))/100,0),""))),"")</f>
        <v>0</v>
      </c>
      <c r="AZ281" s="39" t="n">
        <f aca="false">IFERROR(IF($C281="","",IF($D281="","",IFERROR(ROUND($D281*INDEX('🔖 배합비 참조'!$B$2:$CE$83,MATCH("설탕",'🔖 배합비 참조'!$A$2:$A$83,0),MATCH($C281,'🔖 배합비 참조'!$B$1:$CE$1,0))/100,0),""))),"")</f>
        <v>5</v>
      </c>
      <c r="BA281" s="39" t="n">
        <f aca="false">IFERROR(IF($C281="","",IF($D281="","",IFERROR(ROUND($D281*INDEX('🔖 배합비 참조'!$B$2:$CE$83,MATCH("스트로우베리 에이드 후레쉬",'🔖 배합비 참조'!$A$2:$A$83,0),MATCH($C281,'🔖 배합비 참조'!$B$1:$CE$1,0))/100,0),""))),"")</f>
        <v>0</v>
      </c>
      <c r="BB281" s="39" t="n">
        <f aca="false">IFERROR(IF($C281="","",IF($D281="","",IFERROR(ROUND($D281*INDEX('🔖 배합비 참조'!$B$2:$CE$83,MATCH("식물성기름혼합제제(분홍)",'🔖 배합비 참조'!$A$2:$A$83,0),MATCH($C281,'🔖 배합비 참조'!$B$1:$CE$1,0))/100,0),""))),"")</f>
        <v>0</v>
      </c>
      <c r="BC281" s="39" t="n">
        <f aca="false">IFERROR(IF($C281="","",IF($D281="","",IFERROR(ROUND($D281*INDEX('🔖 배합비 참조'!$B$2:$CE$83,MATCH("식물성기름혼합제제(초록)",'🔖 배합비 참조'!$A$2:$A$83,0),MATCH($C281,'🔖 배합비 참조'!$B$1:$CE$1,0))/100,0),""))),"")</f>
        <v>0</v>
      </c>
      <c r="BD281" s="39" t="n">
        <f aca="false">IFERROR(IF($C281="","",IF($D281="","",IFERROR(ROUND($D281*INDEX('🔖 배합비 참조'!$B$2:$CE$83,MATCH("식물성기름혼합제제(황색)",'🔖 배합비 참조'!$A$2:$A$83,0),MATCH($C281,'🔖 배합비 참조'!$B$1:$CE$1,0))/100,0),""))),"")</f>
        <v>0</v>
      </c>
      <c r="BE281" s="39" t="n">
        <f aca="false">IFERROR(IF($C281="","",IF($D281="","",IFERROR(ROUND($D281*INDEX('🔖 배합비 참조'!$B$2:$CE$83,MATCH("쑥가루(국내산)",'🔖 배합비 참조'!$A$2:$A$83,0),MATCH($C281,'🔖 배합비 참조'!$B$1:$CE$1,0))/100,0),""))),"")</f>
        <v>2</v>
      </c>
      <c r="BF281" s="39" t="n">
        <f aca="false">IFERROR(IF($C281="","",IF($D281="","",IFERROR(ROUND($D281*INDEX('🔖 배합비 참조'!$B$2:$CE$83,MATCH("아몬드슬라이스",'🔖 배합비 참조'!$A$2:$A$83,0),MATCH($C281,'🔖 배합비 참조'!$B$1:$CE$1,0))/100,0),""))),"")</f>
        <v>0</v>
      </c>
      <c r="BG281" s="39" t="n">
        <f aca="false">IFERROR(IF($C281="","",IF($D281="","",IFERROR(ROUND($D281*INDEX('🔖 배합비 참조'!$B$2:$CE$83,MATCH("알룰로오스(국내산)",'🔖 배합비 참조'!$A$2:$A$83,0),MATCH($C281,'🔖 배합비 참조'!$B$1:$CE$1,0))/100,0),""))),"")</f>
        <v>0</v>
      </c>
      <c r="BH281" s="39" t="n">
        <f aca="false">IFERROR(IF($C281="","",IF($D281="","",IFERROR(ROUND($D281*INDEX('🔖 배합비 참조'!$B$2:$CE$83,MATCH("연유",'🔖 배합비 참조'!$A$2:$A$83,0),MATCH($C281,'🔖 배합비 참조'!$B$1:$CE$1,0))/100,0),""))),"")</f>
        <v>0</v>
      </c>
      <c r="BI281" s="39" t="n">
        <f aca="false">IFERROR(IF($C281="","",IF($D281="","",IFERROR(ROUND($D281*INDEX('🔖 배합비 참조'!$B$2:$CE$83,MATCH("옥수수전분",'🔖 배합비 참조'!$A$2:$A$83,0),MATCH($C281,'🔖 배합비 참조'!$B$1:$CE$1,0))/100,0),""))),"")</f>
        <v>0</v>
      </c>
      <c r="BJ281" s="39" t="n">
        <f aca="false">IFERROR(IF($C281="","",IF($D281="","",IFERROR(ROUND($D281*INDEX('🔖 배합비 참조'!$B$2:$CE$83,MATCH("완두배기",'🔖 배합비 참조'!$A$2:$A$83,0),MATCH($C281,'🔖 배합비 참조'!$B$1:$CE$1,0))/100,0),""))),"")</f>
        <v>0</v>
      </c>
      <c r="BK281" s="39" t="n">
        <f aca="false">IFERROR(IF($C281="","",IF($D281="","",IFERROR(ROUND($D281*INDEX('🔖 배합비 참조'!$B$2:$CE$83,MATCH("우유(국내산)",'🔖 배합비 참조'!$A$2:$A$83,0),MATCH($C281,'🔖 배합비 참조'!$B$1:$CE$1,0))/100,0),""))),"")</f>
        <v>0</v>
      </c>
      <c r="BL281" s="39" t="n">
        <f aca="false">IFERROR(IF($C281="","",IF($D281="","",IFERROR(ROUND($D281*INDEX('🔖 배합비 참조'!$B$2:$CE$83,MATCH("자색고구마가루(중국산)",'🔖 배합비 참조'!$A$2:$A$83,0),MATCH($C281,'🔖 배합비 참조'!$B$1:$CE$1,0))/100,0),""))),"")</f>
        <v>0</v>
      </c>
      <c r="BM281" s="39" t="n">
        <f aca="false">IFERROR(IF($C281="","",IF($D281="","",IFERROR(ROUND($D281*INDEX('🔖 배합비 참조'!$B$2:$CE$83,MATCH("자연치즈(체다치즈)",'🔖 배합비 참조'!$A$2:$A$83,0),MATCH($C281,'🔖 배합비 참조'!$B$1:$CE$1,0))/100,0),""))),"")</f>
        <v>0</v>
      </c>
      <c r="BN281" s="39" t="n">
        <f aca="false">IFERROR(IF($C281="","",IF($D281="","",IFERROR(ROUND($D281*INDEX('🔖 배합비 참조'!$B$2:$CE$83,MATCH("정제수",'🔖 배합비 참조'!$A$2:$A$83,0),MATCH($C281,'🔖 배합비 참조'!$B$1:$CE$1,0))/100,0),""))),"")</f>
        <v>0</v>
      </c>
      <c r="BO281" s="39" t="n">
        <f aca="false">IFERROR(IF($C281="","",IF($D281="","",IFERROR(ROUND($D281*INDEX('🔖 배합비 참조'!$B$2:$CE$83,MATCH("젤라틴",'🔖 배합비 참조'!$A$2:$A$83,0),MATCH($C281,'🔖 배합비 참조'!$B$1:$CE$1,0))/100,0),""))),"")</f>
        <v>0</v>
      </c>
      <c r="BP281" s="39" t="n">
        <f aca="false">IFERROR(IF($C281="","",IF($D281="","",IFERROR(ROUND($D281*INDEX('🔖 배합비 참조'!$B$2:$CE$83,MATCH("조림류(백옥앙금)",'🔖 배합비 참조'!$A$2:$A$83,0),MATCH($C281,'🔖 배합비 참조'!$B$1:$CE$1,0))/100,0),""))),"")</f>
        <v>0</v>
      </c>
      <c r="BQ281" s="39" t="n">
        <f aca="false">IFERROR(IF($C281="","",IF($D281="","",IFERROR(ROUND($D281*INDEX('🔖 배합비 참조'!$B$2:$CE$83,MATCH("조림류(통팥앙금)",'🔖 배합비 참조'!$A$2:$A$83,0),MATCH($C281,'🔖 배합비 참조'!$B$1:$CE$1,0))/100,0),""))),"")</f>
        <v>92</v>
      </c>
      <c r="BR281" s="39" t="n">
        <f aca="false">IFERROR(IF($C281="","",IF($D281="","",IFERROR(ROUND($D281*INDEX('🔖 배합비 참조'!$B$2:$CE$83,MATCH("준초콜릿(외국산)",'🔖 배합비 참조'!$A$2:$A$83,0),MATCH($C281,'🔖 배합비 참조'!$B$1:$CE$1,0))/100,0),""))),"")</f>
        <v>0</v>
      </c>
      <c r="BS281" s="39" t="n">
        <f aca="false">IFERROR(IF($C281="","",IF($D281="","",IFERROR(ROUND($D281*INDEX('🔖 배합비 참조'!$B$2:$CE$83,MATCH("중력분",'🔖 배합비 참조'!$A$2:$A$83,0),MATCH($C281,'🔖 배합비 참조'!$B$1:$CE$1,0))/100,0),""))),"")</f>
        <v>2</v>
      </c>
      <c r="BT281" s="39" t="n">
        <f aca="false">IFERROR(IF($C281="","",IF($D281="","",IFERROR(ROUND($D281*INDEX('🔖 배합비 참조'!$B$2:$CE$83,MATCH("참깨(인도산,나이지리아산,탄자니아산,미얀마산)",'🔖 배합비 참조'!$A$2:$A$83,0),MATCH($C281,'🔖 배합비 참조'!$B$1:$CE$1,0))/100,0),""))),"")</f>
        <v>0</v>
      </c>
      <c r="BU281" s="39" t="n">
        <f aca="false">IFERROR(IF($C281="","",IF($D281="","",IFERROR(ROUND($D281*INDEX('🔖 배합비 참조'!$B$2:$CE$83,MATCH("찹쌀(국내산)",'🔖 배합비 참조'!$A$2:$A$83,0),MATCH($C281,'🔖 배합비 참조'!$B$1:$CE$1,0))/100,0),""))),"")</f>
        <v>98</v>
      </c>
      <c r="BV281" s="39" t="n">
        <f aca="false">IFERROR(IF($C281="","",IF($D281="","",IFERROR(ROUND($D281*INDEX('🔖 배합비 참조'!$B$2:$CE$83,MATCH("천일염",'🔖 배합비 참조'!$A$2:$A$83,0),MATCH($C281,'🔖 배합비 참조'!$B$1:$CE$1,0))/100,0),""))),"")</f>
        <v>2</v>
      </c>
      <c r="BW281" s="39" t="n">
        <f aca="false">IFERROR(IF($C281="","",IF($D281="","",IFERROR(ROUND($D281*INDEX('🔖 배합비 참조'!$B$2:$CE$83,MATCH("치즈 [크림치즈]",'🔖 배합비 참조'!$A$2:$A$83,0),MATCH($C281,'🔖 배합비 참조'!$B$1:$CE$1,0))/100,0),""))),"")</f>
        <v>0</v>
      </c>
      <c r="BX281" s="39" t="n">
        <f aca="false">IFERROR(IF($C281="","",IF($D281="","",IFERROR(ROUND($D281*INDEX('🔖 배합비 참조'!$B$2:$CE$83,MATCH("코코아가공품류(코코아분말)",'🔖 배합비 참조'!$A$2:$A$83,0),MATCH($C281,'🔖 배합비 참조'!$B$1:$CE$1,0))/100,0),""))),"")</f>
        <v>0</v>
      </c>
      <c r="BY281" s="39" t="n">
        <f aca="false">IFERROR(IF($C281="","",IF($D281="","",IFERROR(ROUND($D281*INDEX('🔖 배합비 참조'!$B$2:$CE$83,MATCH("콩기름(대두유)",'🔖 배합비 참조'!$A$2:$A$83,0),MATCH($C281,'🔖 배합비 참조'!$B$1:$CE$1,0))/100,0),""))),"")</f>
        <v>0</v>
      </c>
      <c r="BZ281" s="39" t="n">
        <f aca="false">IFERROR(IF($C281="","",IF($D281="","",IFERROR(ROUND($D281*INDEX('🔖 배합비 참조'!$B$2:$CE$83,MATCH("해바라기씨앗",'🔖 배합비 참조'!$A$2:$A$83,0),MATCH($C281,'🔖 배합비 참조'!$B$1:$CE$1,0))/100,0),""))),"")</f>
        <v>0</v>
      </c>
      <c r="CA281" s="39" t="n">
        <f aca="false">IFERROR(IF($C281="","",IF($D281="","",IFERROR(ROUND($D281*INDEX('🔖 배합비 참조'!$B$2:$CE$83,MATCH("현미(국내산)",'🔖 배합비 참조'!$A$2:$A$83,0),MATCH($C281,'🔖 배합비 참조'!$B$1:$CE$1,0))/100,0),""))),"")</f>
        <v>0</v>
      </c>
      <c r="CB281" s="39" t="n">
        <f aca="false">IFERROR(IF($C281="","",IF($D281="","",IFERROR(ROUND($D281*INDEX('🔖 배합비 참조'!$B$2:$CE$83,MATCH("현미멥쌀(국내산)",'🔖 배합비 참조'!$A$2:$A$83,0),MATCH($C281,'🔖 배합비 참조'!$B$1:$CE$1,0))/100,0),""))),"")</f>
        <v>0</v>
      </c>
      <c r="CC281" s="39" t="n">
        <f aca="false">IFERROR(IF($C281="","",IF($D281="","",IFERROR(ROUND($D281*INDEX('🔖 배합비 참조'!$B$2:$CE$83,MATCH("호두분태(미국산)",'🔖 배합비 참조'!$A$2:$A$83,0),MATCH($C281,'🔖 배합비 참조'!$B$1:$CE$1,0))/100,0),""))),"")</f>
        <v>0</v>
      </c>
      <c r="CD281" s="39" t="n">
        <f aca="false">IFERROR(IF($C281="","",IF($D281="","",IFERROR(ROUND($D281*INDEX('🔖 배합비 참조'!$B$2:$CE$83,MATCH("호박씨앗(외국산)",'🔖 배합비 참조'!$A$2:$A$83,0),MATCH($C281,'🔖 배합비 참조'!$B$1:$CE$1,0))/100,0),""))),"")</f>
        <v>0</v>
      </c>
      <c r="CE281" s="39" t="n">
        <f aca="false">IFERROR(IF($C281="","",IF($D281="","",IFERROR(ROUND($D281*INDEX('🔖 배합비 참조'!$B$2:$CE$83,MATCH("혼합제제(떡용에스텔)",'🔖 배합비 참조'!$A$2:$A$83,0),MATCH($C281,'🔖 배합비 참조'!$B$1:$CE$1,0))/100,0),""))),"")</f>
        <v>1</v>
      </c>
      <c r="CF281" s="39" t="n">
        <f aca="false">IFERROR(IF($C281="","",IF($D281="","",IFERROR(ROUND($D281*INDEX('🔖 배합비 참조'!$B$2:$CE$83,MATCH("혼합제제(스테비아)",'🔖 배합비 참조'!$A$2:$A$83,0),MATCH($C281,'🔖 배합비 참조'!$B$1:$CE$1,0))/100,0),""))),"")</f>
        <v>0</v>
      </c>
      <c r="CG281" s="39" t="n">
        <f aca="false">IFERROR(IF($C281="","",IF($D281="","",IFERROR(ROUND($D281*INDEX('🔖 배합비 참조'!$B$2:$CE$83,MATCH("화이트초콜릿",'🔖 배합비 참조'!$A$2:$A$83,0),MATCH($C281,'🔖 배합비 참조'!$B$1:$CE$1,0))/100,0),""))),"")</f>
        <v>0</v>
      </c>
      <c r="CH281" s="39" t="n">
        <f aca="false">IFERROR(IF($C281="","",IF($D281="","",IFERROR(ROUND($D281*INDEX('🔖 배합비 참조'!$B$2:$CE$83,MATCH("흑미찹쌀(국내산)",'🔖 배합비 참조'!$A$2:$A$83,0),MATCH($C281,'🔖 배합비 참조'!$B$1:$CE$1,0))/100,0),""))),"")</f>
        <v>0</v>
      </c>
      <c r="CI281" s="39" t="n">
        <f aca="false">IFERROR(IF($C281="","",IF($D281="","",IFERROR(ROUND($D281*INDEX('🔖 배합비 참조'!$B$2:$CE$83,MATCH("찰옥수수전분(미국산)",'🔖 배합비 참조'!$A$2:$A$83,0),MATCH($C281,'🔖 배합비 참조'!$B$1:$CE$1,0))/100,0),""))),"")</f>
        <v>0</v>
      </c>
      <c r="CJ281" s="40"/>
      <c r="CL281" s="43" t="s">
        <v>248</v>
      </c>
    </row>
    <row r="282" customFormat="false" ht="18" hidden="false" customHeight="true" outlineLevel="0" collapsed="false">
      <c r="A282" s="41" t="n">
        <v>278</v>
      </c>
      <c r="B282" s="36" t="n">
        <v>46097</v>
      </c>
      <c r="C282" s="37" t="s">
        <v>144</v>
      </c>
      <c r="D282" s="38" t="n">
        <v>70</v>
      </c>
      <c r="E282" s="17"/>
      <c r="F282" s="17"/>
      <c r="G282" s="42" t="n">
        <f aca="false">IFERROR(IF($C282="","",IF($D282="","",IFERROR(ROUND($D282*INDEX('🔖 배합비 참조'!$B$2:$CE$83,MATCH("간장",'🔖 배합비 참조'!$A$2:$A$83,0),MATCH($C282,'🔖 배합비 참조'!$B$1:$CE$1,0))/100,0),""))),"")</f>
        <v>0</v>
      </c>
      <c r="H282" s="42" t="n">
        <f aca="false">IFERROR(IF($C282="","",IF($D282="","",IFERROR(ROUND($D282*INDEX('🔖 배합비 참조'!$B$2:$CE$83,MATCH("강낭콩((울타리콩))",'🔖 배합비 참조'!$A$2:$A$83,0),MATCH($C282,'🔖 배합비 참조'!$B$1:$CE$1,0))/100,0),""))),"")</f>
        <v>0</v>
      </c>
      <c r="I282" s="42" t="n">
        <f aca="false">IFERROR(IF($C282="","",IF($D282="","",IFERROR(ROUND($D282*INDEX('🔖 배합비 참조'!$B$2:$CE$83,MATCH("건조딸기다이스(외국산)",'🔖 배합비 참조'!$A$2:$A$83,0),MATCH($C282,'🔖 배합비 참조'!$B$1:$CE$1,0))/100,0),""))),"")</f>
        <v>0</v>
      </c>
      <c r="J282" s="42" t="n">
        <f aca="false">IFERROR(IF($C282="","",IF($D282="","",IFERROR(ROUND($D282*INDEX('🔖 배합비 참조'!$B$2:$CE$83,MATCH("건포도",'🔖 배합비 참조'!$A$2:$A$83,0),MATCH($C282,'🔖 배합비 참조'!$B$1:$CE$1,0))/100,0),""))),"")</f>
        <v>0</v>
      </c>
      <c r="K282" s="42" t="n">
        <f aca="false">IFERROR(IF($C282="","",IF($D282="","",IFERROR(ROUND($D282*INDEX('🔖 배합비 참조'!$B$2:$CE$83,MATCH("건호박채(중국산)",'🔖 배합비 참조'!$A$2:$A$83,0),MATCH($C282,'🔖 배합비 참조'!$B$1:$CE$1,0))/100,0),""))),"")</f>
        <v>0</v>
      </c>
      <c r="L282" s="42" t="n">
        <f aca="false">IFERROR(IF($C282="","",IF($D282="","",IFERROR(ROUND($D282*INDEX('🔖 배합비 참조'!$B$2:$CE$83,MATCH("검정깨(흑임자)",'🔖 배합비 참조'!$A$2:$A$83,0),MATCH($C282,'🔖 배합비 참조'!$B$1:$CE$1,0))/100,0),""))),"")</f>
        <v>0</v>
      </c>
      <c r="M282" s="42" t="n">
        <f aca="false">IFERROR(IF($C282="","",IF($D282="","",IFERROR(ROUND($D282*INDEX('🔖 배합비 참조'!$B$2:$CE$83,MATCH("검정콩",'🔖 배합비 참조'!$A$2:$A$83,0),MATCH($C282,'🔖 배합비 참조'!$B$1:$CE$1,0))/100,0),""))),"")</f>
        <v>0</v>
      </c>
      <c r="N282" s="42" t="n">
        <f aca="false">IFERROR(IF($C282="","",IF($D282="","",IFERROR(ROUND($D282*INDEX('🔖 배합비 참조'!$B$2:$CE$83,MATCH("계피가루",'🔖 배합비 참조'!$A$2:$A$83,0),MATCH($C282,'🔖 배합비 참조'!$B$1:$CE$1,0))/100,0),""))),"")</f>
        <v>0</v>
      </c>
      <c r="O282" s="42" t="n">
        <f aca="false">IFERROR(IF($C282="","",IF($D282="","",IFERROR(ROUND($D282*INDEX('🔖 배합비 참조'!$B$2:$CE$83,MATCH("고구마가루",'🔖 배합비 참조'!$A$2:$A$83,0),MATCH($C282,'🔖 배합비 참조'!$B$1:$CE$1,0))/100,0),""))),"")</f>
        <v>0</v>
      </c>
      <c r="P282" s="42" t="n">
        <f aca="false">IFERROR(IF($C282="","",IF($D282="","",IFERROR(ROUND($D282*INDEX('🔖 배합비 참조'!$B$2:$CE$83,MATCH("고구마무스",'🔖 배합비 참조'!$A$2:$A$83,0),MATCH($C282,'🔖 배합비 참조'!$B$1:$CE$1,0))/100,0),""))),"")</f>
        <v>0</v>
      </c>
      <c r="Q282" s="42" t="n">
        <f aca="false">IFERROR(IF($C282="","",IF($D282="","",IFERROR(ROUND($D282*INDEX('🔖 배합비 참조'!$B$2:$CE$83,MATCH("고려엉겅퀴((곤드레)국내산)",'🔖 배합비 참조'!$A$2:$A$83,0),MATCH($C282,'🔖 배합비 참조'!$B$1:$CE$1,0))/100,0),""))),"")</f>
        <v>0</v>
      </c>
      <c r="R282" s="42" t="n">
        <f aca="false">IFERROR(IF($C282="","",IF($D282="","",IFERROR(ROUND($D282*INDEX('🔖 배합비 참조'!$B$2:$CE$83,MATCH("기타가공품(복분자가루)",'🔖 배합비 참조'!$A$2:$A$83,0),MATCH($C282,'🔖 배합비 참조'!$B$1:$CE$1,0))/100,0),""))),"")</f>
        <v>0</v>
      </c>
      <c r="S282" s="42" t="n">
        <f aca="false">IFERROR(IF($C282="","",IF($D282="","",IFERROR(ROUND($D282*INDEX('🔖 배합비 참조'!$B$2:$CE$83,MATCH("기타가공품(슈퍼소프트엠)",'🔖 배합비 참조'!$A$2:$A$83,0),MATCH($C282,'🔖 배합비 참조'!$B$1:$CE$1,0))/100,0),""))),"")</f>
        <v>0</v>
      </c>
      <c r="T282" s="42" t="n">
        <f aca="false">IFERROR(IF($C282="","",IF($D282="","",IFERROR(ROUND($D282*INDEX('🔖 배합비 참조'!$B$2:$CE$83,MATCH("기타가공품(파인소프트 E-티)",'🔖 배합비 참조'!$A$2:$A$83,0),MATCH($C282,'🔖 배합비 참조'!$B$1:$CE$1,0))/100,0),""))),"")</f>
        <v>0</v>
      </c>
      <c r="U282" s="42" t="n">
        <f aca="false">IFERROR(IF($C282="","",IF($D282="","",IFERROR(ROUND($D282*INDEX('🔖 배합비 참조'!$B$2:$CE$83,MATCH("기타가공품(프리미엄카스테라가루)",'🔖 배합비 참조'!$A$2:$A$83,0),MATCH($C282,'🔖 배합비 참조'!$B$1:$CE$1,0))/100,0),""))),"")</f>
        <v>0</v>
      </c>
      <c r="V282" s="42" t="n">
        <f aca="false">IFERROR(IF($C282="","",IF($D282="","",IFERROR(ROUND($D282*INDEX('🔖 배합비 참조'!$B$2:$CE$83,MATCH("기타가공품(흑임자가루)",'🔖 배합비 참조'!$A$2:$A$83,0),MATCH($C282,'🔖 배합비 참조'!$B$1:$CE$1,0))/100,0),""))),"")</f>
        <v>0</v>
      </c>
      <c r="W282" s="42" t="n">
        <f aca="false">IFERROR(IF($C282="","",IF($D282="","",IFERROR(ROUND($D282*INDEX('🔖 배합비 참조'!$B$2:$CE$83,MATCH("기타설탕(흑설탕)",'🔖 배합비 참조'!$A$2:$A$83,0),MATCH($C282,'🔖 배합비 참조'!$B$1:$CE$1,0))/100,0),""))),"")</f>
        <v>0</v>
      </c>
      <c r="X282" s="42" t="n">
        <f aca="false">IFERROR(IF($C282="","",IF($D282="","",IFERROR(ROUND($D282*INDEX('🔖 배합비 참조'!$B$2:$CE$83,MATCH("냉동쑥(국내산)",'🔖 배합비 참조'!$A$2:$A$83,0),MATCH($C282,'🔖 배합비 참조'!$B$1:$CE$1,0))/100,0),""))),"")</f>
        <v>0</v>
      </c>
      <c r="Y282" s="42" t="n">
        <f aca="false">IFERROR(IF($C282="","",IF($D282="","",IFERROR(ROUND($D282*INDEX('🔖 배합비 참조'!$B$2:$CE$83,MATCH("냉동증숙고구마(중국산)",'🔖 배합비 참조'!$A$2:$A$83,0),MATCH($C282,'🔖 배합비 참조'!$B$1:$CE$1,0))/100,0),""))),"")</f>
        <v>0</v>
      </c>
      <c r="Z282" s="42" t="n">
        <f aca="false">IFERROR(IF($C282="","",IF($D282="","",IFERROR(ROUND($D282*INDEX('🔖 배합비 참조'!$B$2:$CE$83,MATCH("녹차가루",'🔖 배합비 참조'!$A$2:$A$83,0),MATCH($C282,'🔖 배합비 참조'!$B$1:$CE$1,0))/100,0),""))),"")</f>
        <v>0</v>
      </c>
      <c r="AA282" s="42" t="n">
        <f aca="false">IFERROR(IF($C282="","",IF($D282="","",IFERROR(ROUND($D282*INDEX('🔖 배합비 참조'!$B$2:$CE$83,MATCH("다크초콜릿 컴파운드칩",'🔖 배합비 참조'!$A$2:$A$83,0),MATCH($C282,'🔖 배합비 참조'!$B$1:$CE$1,0))/100,0),""))),"")</f>
        <v>0</v>
      </c>
      <c r="AB282" s="42" t="n">
        <f aca="false">IFERROR(IF($C282="","",IF($D282="","",IFERROR(ROUND($D282*INDEX('🔖 배합비 참조'!$B$2:$CE$83,MATCH("단호박분말(중국산)",'🔖 배합비 참조'!$A$2:$A$83,0),MATCH($C282,'🔖 배합비 참조'!$B$1:$CE$1,0))/100,0),""))),"")</f>
        <v>0</v>
      </c>
      <c r="AC282" s="42" t="n">
        <f aca="false">IFERROR(IF($C282="","",IF($D282="","",IFERROR(ROUND($D282*INDEX('🔖 배합비 참조'!$B$2:$CE$83,MATCH("당류가공품(단호박농축액)",'🔖 배합비 참조'!$A$2:$A$83,0),MATCH($C282,'🔖 배합비 참조'!$B$1:$CE$1,0))/100,0),""))),"")</f>
        <v>0</v>
      </c>
      <c r="AD282" s="42" t="n">
        <f aca="false">IFERROR(IF($C282="","",IF($D282="","",IFERROR(ROUND($D282*INDEX('🔖 배합비 참조'!$B$2:$CE$83,MATCH("당류가공품(알룰로스,에리스리톨,스테비올배당체혼합)",'🔖 배합비 참조'!$A$2:$A$83,0),MATCH($C282,'🔖 배합비 참조'!$B$1:$CE$1,0))/100,0),""))),"")</f>
        <v>0</v>
      </c>
      <c r="AE282" s="42" t="n">
        <f aca="false">IFERROR(IF($C282="","",IF($D282="","",IFERROR(ROUND($D282*INDEX('🔖 배합비 참조'!$B$2:$CE$83,MATCH("당류가공품(알룰로스제로파우더)",'🔖 배합비 참조'!$A$2:$A$83,0),MATCH($C282,'🔖 배합비 참조'!$B$1:$CE$1,0))/100,0),""))),"")</f>
        <v>0</v>
      </c>
      <c r="AF282" s="42" t="n">
        <f aca="false">IFERROR(IF($C282="","",IF($D282="","",IFERROR(ROUND($D282*INDEX('🔖 배합비 참조'!$B$2:$CE$83,MATCH("당절임(완두배기)",'🔖 배합비 참조'!$A$2:$A$83,0),MATCH($C282,'🔖 배합비 참조'!$B$1:$CE$1,0))/100,0),""))),"")</f>
        <v>0</v>
      </c>
      <c r="AG282" s="42" t="n">
        <f aca="false">IFERROR(IF($C282="","",IF($D282="","",IFERROR(ROUND($D282*INDEX('🔖 배합비 참조'!$B$2:$CE$83,MATCH("대추농축액",'🔖 배합비 참조'!$A$2:$A$83,0),MATCH($C282,'🔖 배합비 참조'!$B$1:$CE$1,0))/100,0),""))),"")</f>
        <v>0</v>
      </c>
      <c r="AH282" s="42" t="n">
        <f aca="false">IFERROR(IF($C282="","",IF($D282="","",IFERROR(ROUND($D282*INDEX('🔖 배합비 참조'!$B$2:$CE$83,MATCH("대추채(국내산)",'🔖 배합비 참조'!$A$2:$A$83,0),MATCH($C282,'🔖 배합비 참조'!$B$1:$CE$1,0))/100,0),""))),"")</f>
        <v>0</v>
      </c>
      <c r="AI282" s="42" t="n">
        <f aca="false">IFERROR(IF($C282="","",IF($D282="","",IFERROR(ROUND($D282*INDEX('🔖 배합비 참조'!$B$2:$CE$83,MATCH("동부(미얀마산)",'🔖 배합비 참조'!$A$2:$A$83,0),MATCH($C282,'🔖 배합비 참조'!$B$1:$CE$1,0))/100,0),""))),"")</f>
        <v>0</v>
      </c>
      <c r="AJ282" s="42" t="n">
        <f aca="false">IFERROR(IF($C282="","",IF($D282="","",IFERROR(ROUND($D282*INDEX('🔖 배합비 참조'!$B$2:$CE$83,MATCH("두류가공품(백옥앙금)",'🔖 배합비 참조'!$A$2:$A$83,0),MATCH($C282,'🔖 배합비 참조'!$B$1:$CE$1,0))/100,0),""))),"")</f>
        <v>0</v>
      </c>
      <c r="AK282" s="42" t="n">
        <f aca="false">IFERROR(IF($C282="","",IF($D282="","",IFERROR(ROUND($D282*INDEX('🔖 배합비 참조'!$B$2:$CE$83,MATCH("두류가공품(콩고물)",'🔖 배합비 참조'!$A$2:$A$83,0),MATCH($C282,'🔖 배합비 참조'!$B$1:$CE$1,0))/100,0),""))),"")</f>
        <v>2</v>
      </c>
      <c r="AL282" s="42" t="n">
        <f aca="false">IFERROR(IF($C282="","",IF($D282="","",IFERROR(ROUND($D282*INDEX('🔖 배합비 참조'!$B$2:$CE$83,MATCH("두류가공품(통팥고물)",'🔖 배합비 참조'!$A$2:$A$83,0),MATCH($C282,'🔖 배합비 참조'!$B$1:$CE$1,0))/100,0),""))),"")</f>
        <v>0</v>
      </c>
      <c r="AM282" s="42" t="n">
        <f aca="false">IFERROR(IF($C282="","",IF($D282="","",IFERROR(ROUND($D282*INDEX('🔖 배합비 참조'!$B$2:$CE$83,MATCH("딸기레진",'🔖 배합비 참조'!$A$2:$A$83,0),MATCH($C282,'🔖 배합비 참조'!$B$1:$CE$1,0))/100,0),""))),"")</f>
        <v>0</v>
      </c>
      <c r="AN282" s="42" t="n">
        <f aca="false">IFERROR(IF($C282="","",IF($D282="","",IFERROR(ROUND($D282*INDEX('🔖 배합비 참조'!$B$2:$CE$83,MATCH("딸기분말(스트로우베리에이드(분말))",'🔖 배합비 참조'!$A$2:$A$83,0),MATCH($C282,'🔖 배합비 참조'!$B$1:$CE$1,0))/100,0),""))),"")</f>
        <v>0</v>
      </c>
      <c r="AO282" s="42" t="n">
        <f aca="false">IFERROR(IF($C282="","",IF($D282="","",IFERROR(ROUND($D282*INDEX('🔖 배합비 참조'!$B$2:$CE$83,MATCH("마스카포네치즈",'🔖 배합비 참조'!$A$2:$A$83,0),MATCH($C282,'🔖 배합비 참조'!$B$1:$CE$1,0))/100,0),""))),"")</f>
        <v>0</v>
      </c>
      <c r="AP282" s="42" t="n">
        <f aca="false">IFERROR(IF($C282="","",IF($D282="","",IFERROR(ROUND($D282*INDEX('🔖 배합비 참조'!$B$2:$CE$83,MATCH("마카다미아분태(호주산)",'🔖 배합비 참조'!$A$2:$A$83,0),MATCH($C282,'🔖 배합비 참조'!$B$1:$CE$1,0))/100,0),""))),"")</f>
        <v>0</v>
      </c>
      <c r="AQ282" s="42" t="n">
        <f aca="false">IFERROR(IF($C282="","",IF($D282="","",IFERROR(ROUND($D282*INDEX('🔖 배합비 참조'!$B$2:$CE$83,MATCH("멥쌀(국내산)",'🔖 배합비 참조'!$A$2:$A$83,0),MATCH($C282,'🔖 배합비 참조'!$B$1:$CE$1,0))/100,0),""))),"")</f>
        <v>0</v>
      </c>
      <c r="AR282" s="42" t="n">
        <f aca="false">IFERROR(IF($C282="","",IF($D282="","",IFERROR(ROUND($D282*INDEX('🔖 배합비 참조'!$B$2:$CE$83,MATCH("모시잎(국내산)",'🔖 배합비 참조'!$A$2:$A$83,0),MATCH($C282,'🔖 배합비 참조'!$B$1:$CE$1,0))/100,0),""))),"")</f>
        <v>0</v>
      </c>
      <c r="AS282" s="42" t="n">
        <f aca="false">IFERROR(IF($C282="","",IF($D282="","",IFERROR(ROUND($D282*INDEX('🔖 배합비 참조'!$B$2:$CE$83,MATCH("물엿(저당물엿)",'🔖 배합비 참조'!$A$2:$A$83,0),MATCH($C282,'🔖 배합비 참조'!$B$1:$CE$1,0))/100,0),""))),"")</f>
        <v>3</v>
      </c>
      <c r="AT282" s="42" t="n">
        <f aca="false">IFERROR(IF($C282="","",IF($D282="","",IFERROR(ROUND($D282*INDEX('🔖 배합비 참조'!$B$2:$CE$83,MATCH("밤다이스",'🔖 배합비 참조'!$A$2:$A$83,0),MATCH($C282,'🔖 배합비 참조'!$B$1:$CE$1,0))/100,0),""))),"")</f>
        <v>0</v>
      </c>
      <c r="AU282" s="42" t="n">
        <f aca="false">IFERROR(IF($C282="","",IF($D282="","",IFERROR(ROUND($D282*INDEX('🔖 배합비 참조'!$B$2:$CE$83,MATCH("변성전분(타피오카전분)",'🔖 배합비 참조'!$A$2:$A$83,0),MATCH($C282,'🔖 배합비 참조'!$B$1:$CE$1,0))/100,0),""))),"")</f>
        <v>0</v>
      </c>
      <c r="AV282" s="42" t="n">
        <f aca="false">IFERROR(IF($C282="","",IF($D282="","",IFERROR(ROUND($D282*INDEX('🔖 배합비 참조'!$B$2:$CE$83,MATCH("복음땅콩분태",'🔖 배합비 참조'!$A$2:$A$83,0),MATCH($C282,'🔖 배합비 참조'!$B$1:$CE$1,0))/100,0),""))),"")</f>
        <v>0</v>
      </c>
      <c r="AW282" s="42" t="n">
        <f aca="false">IFERROR(IF($C282="","",IF($D282="","",IFERROR(ROUND($D282*INDEX('🔖 배합비 참조'!$B$2:$CE$83,MATCH("사양벌꿀(국내산)",'🔖 배합비 참조'!$A$2:$A$83,0),MATCH($C282,'🔖 배합비 참조'!$B$1:$CE$1,0))/100,0),""))),"")</f>
        <v>0</v>
      </c>
      <c r="AX282" s="42" t="n">
        <f aca="false">IFERROR(IF($C282="","",IF($D282="","",IFERROR(ROUND($D282*INDEX('🔖 배합비 참조'!$B$2:$CE$83,MATCH("생크림",'🔖 배합비 참조'!$A$2:$A$83,0),MATCH($C282,'🔖 배합비 참조'!$B$1:$CE$1,0))/100,0),""))),"")</f>
        <v>0</v>
      </c>
      <c r="AY282" s="42" t="n">
        <f aca="false">IFERROR(IF($C282="","",IF($D282="","",IFERROR(ROUND($D282*INDEX('🔖 배합비 참조'!$B$2:$CE$83,MATCH("서양호박(국내산,뉴질랜드산)",'🔖 배합비 참조'!$A$2:$A$83,0),MATCH($C282,'🔖 배합비 참조'!$B$1:$CE$1,0))/100,0),""))),"")</f>
        <v>0</v>
      </c>
      <c r="AZ282" s="42" t="n">
        <f aca="false">IFERROR(IF($C282="","",IF($D282="","",IFERROR(ROUND($D282*INDEX('🔖 배합비 참조'!$B$2:$CE$83,MATCH("설탕",'🔖 배합비 참조'!$A$2:$A$83,0),MATCH($C282,'🔖 배합비 참조'!$B$1:$CE$1,0))/100,0),""))),"")</f>
        <v>3</v>
      </c>
      <c r="BA282" s="42" t="n">
        <f aca="false">IFERROR(IF($C282="","",IF($D282="","",IFERROR(ROUND($D282*INDEX('🔖 배합비 참조'!$B$2:$CE$83,MATCH("스트로우베리 에이드 후레쉬",'🔖 배합비 참조'!$A$2:$A$83,0),MATCH($C282,'🔖 배합비 참조'!$B$1:$CE$1,0))/100,0),""))),"")</f>
        <v>0</v>
      </c>
      <c r="BB282" s="42" t="n">
        <f aca="false">IFERROR(IF($C282="","",IF($D282="","",IFERROR(ROUND($D282*INDEX('🔖 배합비 참조'!$B$2:$CE$83,MATCH("식물성기름혼합제제(분홍)",'🔖 배합비 참조'!$A$2:$A$83,0),MATCH($C282,'🔖 배합비 참조'!$B$1:$CE$1,0))/100,0),""))),"")</f>
        <v>0</v>
      </c>
      <c r="BC282" s="42" t="n">
        <f aca="false">IFERROR(IF($C282="","",IF($D282="","",IFERROR(ROUND($D282*INDEX('🔖 배합비 참조'!$B$2:$CE$83,MATCH("식물성기름혼합제제(초록)",'🔖 배합비 참조'!$A$2:$A$83,0),MATCH($C282,'🔖 배합비 참조'!$B$1:$CE$1,0))/100,0),""))),"")</f>
        <v>0</v>
      </c>
      <c r="BD282" s="42" t="n">
        <f aca="false">IFERROR(IF($C282="","",IF($D282="","",IFERROR(ROUND($D282*INDEX('🔖 배합비 참조'!$B$2:$CE$83,MATCH("식물성기름혼합제제(황색)",'🔖 배합비 참조'!$A$2:$A$83,0),MATCH($C282,'🔖 배합비 참조'!$B$1:$CE$1,0))/100,0),""))),"")</f>
        <v>0</v>
      </c>
      <c r="BE282" s="42" t="n">
        <f aca="false">IFERROR(IF($C282="","",IF($D282="","",IFERROR(ROUND($D282*INDEX('🔖 배합비 참조'!$B$2:$CE$83,MATCH("쑥가루(국내산)",'🔖 배합비 참조'!$A$2:$A$83,0),MATCH($C282,'🔖 배합비 참조'!$B$1:$CE$1,0))/100,0),""))),"")</f>
        <v>0</v>
      </c>
      <c r="BF282" s="42" t="n">
        <f aca="false">IFERROR(IF($C282="","",IF($D282="","",IFERROR(ROUND($D282*INDEX('🔖 배합비 참조'!$B$2:$CE$83,MATCH("아몬드슬라이스",'🔖 배합비 참조'!$A$2:$A$83,0),MATCH($C282,'🔖 배합비 참조'!$B$1:$CE$1,0))/100,0),""))),"")</f>
        <v>0</v>
      </c>
      <c r="BG282" s="42" t="n">
        <f aca="false">IFERROR(IF($C282="","",IF($D282="","",IFERROR(ROUND($D282*INDEX('🔖 배합비 참조'!$B$2:$CE$83,MATCH("알룰로오스(국내산)",'🔖 배합비 참조'!$A$2:$A$83,0),MATCH($C282,'🔖 배합비 참조'!$B$1:$CE$1,0))/100,0),""))),"")</f>
        <v>0</v>
      </c>
      <c r="BH282" s="42" t="n">
        <f aca="false">IFERROR(IF($C282="","",IF($D282="","",IFERROR(ROUND($D282*INDEX('🔖 배합비 참조'!$B$2:$CE$83,MATCH("연유",'🔖 배합비 참조'!$A$2:$A$83,0),MATCH($C282,'🔖 배합비 참조'!$B$1:$CE$1,0))/100,0),""))),"")</f>
        <v>0</v>
      </c>
      <c r="BI282" s="42" t="n">
        <f aca="false">IFERROR(IF($C282="","",IF($D282="","",IFERROR(ROUND($D282*INDEX('🔖 배합비 참조'!$B$2:$CE$83,MATCH("옥수수전분",'🔖 배합비 참조'!$A$2:$A$83,0),MATCH($C282,'🔖 배합비 참조'!$B$1:$CE$1,0))/100,0),""))),"")</f>
        <v>0</v>
      </c>
      <c r="BJ282" s="42" t="n">
        <f aca="false">IFERROR(IF($C282="","",IF($D282="","",IFERROR(ROUND($D282*INDEX('🔖 배합비 참조'!$B$2:$CE$83,MATCH("완두배기",'🔖 배합비 참조'!$A$2:$A$83,0),MATCH($C282,'🔖 배합비 참조'!$B$1:$CE$1,0))/100,0),""))),"")</f>
        <v>0</v>
      </c>
      <c r="BK282" s="42" t="n">
        <f aca="false">IFERROR(IF($C282="","",IF($D282="","",IFERROR(ROUND($D282*INDEX('🔖 배합비 참조'!$B$2:$CE$83,MATCH("우유(국내산)",'🔖 배합비 참조'!$A$2:$A$83,0),MATCH($C282,'🔖 배합비 참조'!$B$1:$CE$1,0))/100,0),""))),"")</f>
        <v>0</v>
      </c>
      <c r="BL282" s="42" t="n">
        <f aca="false">IFERROR(IF($C282="","",IF($D282="","",IFERROR(ROUND($D282*INDEX('🔖 배합비 참조'!$B$2:$CE$83,MATCH("자색고구마가루(중국산)",'🔖 배합비 참조'!$A$2:$A$83,0),MATCH($C282,'🔖 배합비 참조'!$B$1:$CE$1,0))/100,0),""))),"")</f>
        <v>0</v>
      </c>
      <c r="BM282" s="42" t="n">
        <f aca="false">IFERROR(IF($C282="","",IF($D282="","",IFERROR(ROUND($D282*INDEX('🔖 배합비 참조'!$B$2:$CE$83,MATCH("자연치즈(체다치즈)",'🔖 배합비 참조'!$A$2:$A$83,0),MATCH($C282,'🔖 배합비 참조'!$B$1:$CE$1,0))/100,0),""))),"")</f>
        <v>0</v>
      </c>
      <c r="BN282" s="42" t="n">
        <f aca="false">IFERROR(IF($C282="","",IF($D282="","",IFERROR(ROUND($D282*INDEX('🔖 배합비 참조'!$B$2:$CE$83,MATCH("정제수",'🔖 배합비 참조'!$A$2:$A$83,0),MATCH($C282,'🔖 배합비 참조'!$B$1:$CE$1,0))/100,0),""))),"")</f>
        <v>27</v>
      </c>
      <c r="BO282" s="42" t="n">
        <f aca="false">IFERROR(IF($C282="","",IF($D282="","",IFERROR(ROUND($D282*INDEX('🔖 배합비 참조'!$B$2:$CE$83,MATCH("젤라틴",'🔖 배합비 참조'!$A$2:$A$83,0),MATCH($C282,'🔖 배합비 참조'!$B$1:$CE$1,0))/100,0),""))),"")</f>
        <v>0</v>
      </c>
      <c r="BP282" s="42" t="n">
        <f aca="false">IFERROR(IF($C282="","",IF($D282="","",IFERROR(ROUND($D282*INDEX('🔖 배합비 참조'!$B$2:$CE$83,MATCH("조림류(백옥앙금)",'🔖 배합비 참조'!$A$2:$A$83,0),MATCH($C282,'🔖 배합비 참조'!$B$1:$CE$1,0))/100,0),""))),"")</f>
        <v>0</v>
      </c>
      <c r="BQ282" s="42" t="n">
        <f aca="false">IFERROR(IF($C282="","",IF($D282="","",IFERROR(ROUND($D282*INDEX('🔖 배합비 참조'!$B$2:$CE$83,MATCH("조림류(통팥앙금)",'🔖 배합비 참조'!$A$2:$A$83,0),MATCH($C282,'🔖 배합비 참조'!$B$1:$CE$1,0))/100,0),""))),"")</f>
        <v>0</v>
      </c>
      <c r="BR282" s="42" t="n">
        <f aca="false">IFERROR(IF($C282="","",IF($D282="","",IFERROR(ROUND($D282*INDEX('🔖 배합비 참조'!$B$2:$CE$83,MATCH("준초콜릿(외국산)",'🔖 배합비 참조'!$A$2:$A$83,0),MATCH($C282,'🔖 배합비 참조'!$B$1:$CE$1,0))/100,0),""))),"")</f>
        <v>0</v>
      </c>
      <c r="BS282" s="42" t="n">
        <f aca="false">IFERROR(IF($C282="","",IF($D282="","",IFERROR(ROUND($D282*INDEX('🔖 배합비 참조'!$B$2:$CE$83,MATCH("중력분",'🔖 배합비 참조'!$A$2:$A$83,0),MATCH($C282,'🔖 배합비 참조'!$B$1:$CE$1,0))/100,0),""))),"")</f>
        <v>1</v>
      </c>
      <c r="BT282" s="42" t="n">
        <f aca="false">IFERROR(IF($C282="","",IF($D282="","",IFERROR(ROUND($D282*INDEX('🔖 배합비 참조'!$B$2:$CE$83,MATCH("참깨(인도산,나이지리아산,탄자니아산,미얀마산)",'🔖 배합비 참조'!$A$2:$A$83,0),MATCH($C282,'🔖 배합비 참조'!$B$1:$CE$1,0))/100,0),""))),"")</f>
        <v>0</v>
      </c>
      <c r="BU282" s="42" t="n">
        <f aca="false">IFERROR(IF($C282="","",IF($D282="","",IFERROR(ROUND($D282*INDEX('🔖 배합비 참조'!$B$2:$CE$83,MATCH("찹쌀(국내산)",'🔖 배합비 참조'!$A$2:$A$83,0),MATCH($C282,'🔖 배합비 참조'!$B$1:$CE$1,0))/100,0),""))),"")</f>
        <v>33</v>
      </c>
      <c r="BV282" s="42" t="n">
        <f aca="false">IFERROR(IF($C282="","",IF($D282="","",IFERROR(ROUND($D282*INDEX('🔖 배합비 참조'!$B$2:$CE$83,MATCH("천일염",'🔖 배합비 참조'!$A$2:$A$83,0),MATCH($C282,'🔖 배합비 참조'!$B$1:$CE$1,0))/100,0),""))),"")</f>
        <v>1</v>
      </c>
      <c r="BW282" s="42" t="n">
        <f aca="false">IFERROR(IF($C282="","",IF($D282="","",IFERROR(ROUND($D282*INDEX('🔖 배합비 참조'!$B$2:$CE$83,MATCH("치즈 [크림치즈]",'🔖 배합비 참조'!$A$2:$A$83,0),MATCH($C282,'🔖 배합비 참조'!$B$1:$CE$1,0))/100,0),""))),"")</f>
        <v>0</v>
      </c>
      <c r="BX282" s="42" t="n">
        <f aca="false">IFERROR(IF($C282="","",IF($D282="","",IFERROR(ROUND($D282*INDEX('🔖 배합비 참조'!$B$2:$CE$83,MATCH("코코아가공품류(코코아분말)",'🔖 배합비 참조'!$A$2:$A$83,0),MATCH($C282,'🔖 배합비 참조'!$B$1:$CE$1,0))/100,0),""))),"")</f>
        <v>0</v>
      </c>
      <c r="BY282" s="42" t="n">
        <f aca="false">IFERROR(IF($C282="","",IF($D282="","",IFERROR(ROUND($D282*INDEX('🔖 배합비 참조'!$B$2:$CE$83,MATCH("콩기름(대두유)",'🔖 배합비 참조'!$A$2:$A$83,0),MATCH($C282,'🔖 배합비 참조'!$B$1:$CE$1,0))/100,0),""))),"")</f>
        <v>0</v>
      </c>
      <c r="BZ282" s="42" t="n">
        <f aca="false">IFERROR(IF($C282="","",IF($D282="","",IFERROR(ROUND($D282*INDEX('🔖 배합비 참조'!$B$2:$CE$83,MATCH("해바라기씨앗",'🔖 배합비 참조'!$A$2:$A$83,0),MATCH($C282,'🔖 배합비 참조'!$B$1:$CE$1,0))/100,0),""))),"")</f>
        <v>0</v>
      </c>
      <c r="CA282" s="42" t="n">
        <f aca="false">IFERROR(IF($C282="","",IF($D282="","",IFERROR(ROUND($D282*INDEX('🔖 배합비 참조'!$B$2:$CE$83,MATCH("현미(국내산)",'🔖 배합비 참조'!$A$2:$A$83,0),MATCH($C282,'🔖 배합비 참조'!$B$1:$CE$1,0))/100,0),""))),"")</f>
        <v>0</v>
      </c>
      <c r="CB282" s="42" t="n">
        <f aca="false">IFERROR(IF($C282="","",IF($D282="","",IFERROR(ROUND($D282*INDEX('🔖 배합비 참조'!$B$2:$CE$83,MATCH("현미멥쌀(국내산)",'🔖 배합비 참조'!$A$2:$A$83,0),MATCH($C282,'🔖 배합비 참조'!$B$1:$CE$1,0))/100,0),""))),"")</f>
        <v>0</v>
      </c>
      <c r="CC282" s="42" t="n">
        <f aca="false">IFERROR(IF($C282="","",IF($D282="","",IFERROR(ROUND($D282*INDEX('🔖 배합비 참조'!$B$2:$CE$83,MATCH("호두분태(미국산)",'🔖 배합비 참조'!$A$2:$A$83,0),MATCH($C282,'🔖 배합비 참조'!$B$1:$CE$1,0))/100,0),""))),"")</f>
        <v>0</v>
      </c>
      <c r="CD282" s="42" t="n">
        <f aca="false">IFERROR(IF($C282="","",IF($D282="","",IFERROR(ROUND($D282*INDEX('🔖 배합비 참조'!$B$2:$CE$83,MATCH("호박씨앗(외국산)",'🔖 배합비 참조'!$A$2:$A$83,0),MATCH($C282,'🔖 배합비 참조'!$B$1:$CE$1,0))/100,0),""))),"")</f>
        <v>0</v>
      </c>
      <c r="CE282" s="42" t="n">
        <f aca="false">IFERROR(IF($C282="","",IF($D282="","",IFERROR(ROUND($D282*INDEX('🔖 배합비 참조'!$B$2:$CE$83,MATCH("혼합제제(떡용에스텔)",'🔖 배합비 참조'!$A$2:$A$83,0),MATCH($C282,'🔖 배합비 참조'!$B$1:$CE$1,0))/100,0),""))),"")</f>
        <v>0</v>
      </c>
      <c r="CF282" s="42" t="n">
        <f aca="false">IFERROR(IF($C282="","",IF($D282="","",IFERROR(ROUND($D282*INDEX('🔖 배합비 참조'!$B$2:$CE$83,MATCH("혼합제제(스테비아)",'🔖 배합비 참조'!$A$2:$A$83,0),MATCH($C282,'🔖 배합비 참조'!$B$1:$CE$1,0))/100,0),""))),"")</f>
        <v>0</v>
      </c>
      <c r="CG282" s="42" t="n">
        <f aca="false">IFERROR(IF($C282="","",IF($D282="","",IFERROR(ROUND($D282*INDEX('🔖 배합비 참조'!$B$2:$CE$83,MATCH("화이트초콜릿",'🔖 배합비 참조'!$A$2:$A$83,0),MATCH($C282,'🔖 배합비 참조'!$B$1:$CE$1,0))/100,0),""))),"")</f>
        <v>0</v>
      </c>
      <c r="CH282" s="42" t="n">
        <f aca="false">IFERROR(IF($C282="","",IF($D282="","",IFERROR(ROUND($D282*INDEX('🔖 배합비 참조'!$B$2:$CE$83,MATCH("흑미찹쌀(국내산)",'🔖 배합비 참조'!$A$2:$A$83,0),MATCH($C282,'🔖 배합비 참조'!$B$1:$CE$1,0))/100,0),""))),"")</f>
        <v>0</v>
      </c>
      <c r="CI282" s="42" t="n">
        <f aca="false">IFERROR(IF($C282="","",IF($D282="","",IFERROR(ROUND($D282*INDEX('🔖 배합비 참조'!$B$2:$CE$83,MATCH("찰옥수수전분(미국산)",'🔖 배합비 참조'!$A$2:$A$83,0),MATCH($C282,'🔖 배합비 참조'!$B$1:$CE$1,0))/100,0),""))),"")</f>
        <v>0</v>
      </c>
      <c r="CJ282" s="40"/>
      <c r="CL282" s="43" t="s">
        <v>248</v>
      </c>
    </row>
    <row r="283" customFormat="false" ht="18" hidden="false" customHeight="true" outlineLevel="0" collapsed="false">
      <c r="A283" s="35" t="n">
        <v>279</v>
      </c>
      <c r="B283" s="36" t="n">
        <v>46097</v>
      </c>
      <c r="C283" s="37" t="s">
        <v>240</v>
      </c>
      <c r="D283" s="38" t="n">
        <v>110</v>
      </c>
      <c r="E283" s="13"/>
      <c r="F283" s="13"/>
      <c r="G283" s="39" t="n">
        <f aca="false">IFERROR(IF($C283="","",IF($D283="","",IFERROR(ROUND($D283*INDEX('🔖 배합비 참조'!$B$2:$CE$83,MATCH("간장",'🔖 배합비 참조'!$A$2:$A$83,0),MATCH($C283,'🔖 배합비 참조'!$B$1:$CE$1,0))/100,0),""))),"")</f>
        <v>0</v>
      </c>
      <c r="H283" s="39" t="n">
        <f aca="false">IFERROR(IF($C283="","",IF($D283="","",IFERROR(ROUND($D283*INDEX('🔖 배합비 참조'!$B$2:$CE$83,MATCH("강낭콩((울타리콩))",'🔖 배합비 참조'!$A$2:$A$83,0),MATCH($C283,'🔖 배합비 참조'!$B$1:$CE$1,0))/100,0),""))),"")</f>
        <v>0</v>
      </c>
      <c r="I283" s="39" t="n">
        <f aca="false">IFERROR(IF($C283="","",IF($D283="","",IFERROR(ROUND($D283*INDEX('🔖 배합비 참조'!$B$2:$CE$83,MATCH("건조딸기다이스(외국산)",'🔖 배합비 참조'!$A$2:$A$83,0),MATCH($C283,'🔖 배합비 참조'!$B$1:$CE$1,0))/100,0),""))),"")</f>
        <v>0</v>
      </c>
      <c r="J283" s="39" t="n">
        <f aca="false">IFERROR(IF($C283="","",IF($D283="","",IFERROR(ROUND($D283*INDEX('🔖 배합비 참조'!$B$2:$CE$83,MATCH("건포도",'🔖 배합비 참조'!$A$2:$A$83,0),MATCH($C283,'🔖 배합비 참조'!$B$1:$CE$1,0))/100,0),""))),"")</f>
        <v>0</v>
      </c>
      <c r="K283" s="39" t="n">
        <f aca="false">IFERROR(IF($C283="","",IF($D283="","",IFERROR(ROUND($D283*INDEX('🔖 배합비 참조'!$B$2:$CE$83,MATCH("건호박채(중국산)",'🔖 배합비 참조'!$A$2:$A$83,0),MATCH($C283,'🔖 배합비 참조'!$B$1:$CE$1,0))/100,0),""))),"")</f>
        <v>0</v>
      </c>
      <c r="L283" s="39" t="n">
        <f aca="false">IFERROR(IF($C283="","",IF($D283="","",IFERROR(ROUND($D283*INDEX('🔖 배합비 참조'!$B$2:$CE$83,MATCH("검정깨(흑임자)",'🔖 배합비 참조'!$A$2:$A$83,0),MATCH($C283,'🔖 배합비 참조'!$B$1:$CE$1,0))/100,0),""))),"")</f>
        <v>0</v>
      </c>
      <c r="M283" s="39" t="n">
        <f aca="false">IFERROR(IF($C283="","",IF($D283="","",IFERROR(ROUND($D283*INDEX('🔖 배합비 참조'!$B$2:$CE$83,MATCH("검정콩",'🔖 배합비 참조'!$A$2:$A$83,0),MATCH($C283,'🔖 배합비 참조'!$B$1:$CE$1,0))/100,0),""))),"")</f>
        <v>0</v>
      </c>
      <c r="N283" s="39" t="n">
        <f aca="false">IFERROR(IF($C283="","",IF($D283="","",IFERROR(ROUND($D283*INDEX('🔖 배합비 참조'!$B$2:$CE$83,MATCH("계피가루",'🔖 배합비 참조'!$A$2:$A$83,0),MATCH($C283,'🔖 배합비 참조'!$B$1:$CE$1,0))/100,0),""))),"")</f>
        <v>0</v>
      </c>
      <c r="O283" s="39" t="n">
        <f aca="false">IFERROR(IF($C283="","",IF($D283="","",IFERROR(ROUND($D283*INDEX('🔖 배합비 참조'!$B$2:$CE$83,MATCH("고구마가루",'🔖 배합비 참조'!$A$2:$A$83,0),MATCH($C283,'🔖 배합비 참조'!$B$1:$CE$1,0))/100,0),""))),"")</f>
        <v>0</v>
      </c>
      <c r="P283" s="39" t="n">
        <f aca="false">IFERROR(IF($C283="","",IF($D283="","",IFERROR(ROUND($D283*INDEX('🔖 배합비 참조'!$B$2:$CE$83,MATCH("고구마무스",'🔖 배합비 참조'!$A$2:$A$83,0),MATCH($C283,'🔖 배합비 참조'!$B$1:$CE$1,0))/100,0),""))),"")</f>
        <v>0</v>
      </c>
      <c r="Q283" s="39" t="n">
        <f aca="false">IFERROR(IF($C283="","",IF($D283="","",IFERROR(ROUND($D283*INDEX('🔖 배합비 참조'!$B$2:$CE$83,MATCH("고려엉겅퀴((곤드레)국내산)",'🔖 배합비 참조'!$A$2:$A$83,0),MATCH($C283,'🔖 배합비 참조'!$B$1:$CE$1,0))/100,0),""))),"")</f>
        <v>0</v>
      </c>
      <c r="R283" s="39" t="n">
        <f aca="false">IFERROR(IF($C283="","",IF($D283="","",IFERROR(ROUND($D283*INDEX('🔖 배합비 참조'!$B$2:$CE$83,MATCH("기타가공품(복분자가루)",'🔖 배합비 참조'!$A$2:$A$83,0),MATCH($C283,'🔖 배합비 참조'!$B$1:$CE$1,0))/100,0),""))),"")</f>
        <v>0</v>
      </c>
      <c r="S283" s="39" t="n">
        <f aca="false">IFERROR(IF($C283="","",IF($D283="","",IFERROR(ROUND($D283*INDEX('🔖 배합비 참조'!$B$2:$CE$83,MATCH("기타가공품(슈퍼소프트엠)",'🔖 배합비 참조'!$A$2:$A$83,0),MATCH($C283,'🔖 배합비 참조'!$B$1:$CE$1,0))/100,0),""))),"")</f>
        <v>0</v>
      </c>
      <c r="T283" s="39" t="n">
        <f aca="false">IFERROR(IF($C283="","",IF($D283="","",IFERROR(ROUND($D283*INDEX('🔖 배합비 참조'!$B$2:$CE$83,MATCH("기타가공품(파인소프트 E-티)",'🔖 배합비 참조'!$A$2:$A$83,0),MATCH($C283,'🔖 배합비 참조'!$B$1:$CE$1,0))/100,0),""))),"")</f>
        <v>0</v>
      </c>
      <c r="U283" s="39" t="n">
        <f aca="false">IFERROR(IF($C283="","",IF($D283="","",IFERROR(ROUND($D283*INDEX('🔖 배합비 참조'!$B$2:$CE$83,MATCH("기타가공품(프리미엄카스테라가루)",'🔖 배합비 참조'!$A$2:$A$83,0),MATCH($C283,'🔖 배합비 참조'!$B$1:$CE$1,0))/100,0),""))),"")</f>
        <v>3</v>
      </c>
      <c r="V283" s="39" t="n">
        <f aca="false">IFERROR(IF($C283="","",IF($D283="","",IFERROR(ROUND($D283*INDEX('🔖 배합비 참조'!$B$2:$CE$83,MATCH("기타가공품(흑임자가루)",'🔖 배합비 참조'!$A$2:$A$83,0),MATCH($C283,'🔖 배합비 참조'!$B$1:$CE$1,0))/100,0),""))),"")</f>
        <v>0</v>
      </c>
      <c r="W283" s="39" t="n">
        <f aca="false">IFERROR(IF($C283="","",IF($D283="","",IFERROR(ROUND($D283*INDEX('🔖 배합비 참조'!$B$2:$CE$83,MATCH("기타설탕(흑설탕)",'🔖 배합비 참조'!$A$2:$A$83,0),MATCH($C283,'🔖 배합비 참조'!$B$1:$CE$1,0))/100,0),""))),"")</f>
        <v>0</v>
      </c>
      <c r="X283" s="39" t="n">
        <f aca="false">IFERROR(IF($C283="","",IF($D283="","",IFERROR(ROUND($D283*INDEX('🔖 배합비 참조'!$B$2:$CE$83,MATCH("냉동쑥(국내산)",'🔖 배합비 참조'!$A$2:$A$83,0),MATCH($C283,'🔖 배합비 참조'!$B$1:$CE$1,0))/100,0),""))),"")</f>
        <v>0</v>
      </c>
      <c r="Y283" s="39" t="n">
        <f aca="false">IFERROR(IF($C283="","",IF($D283="","",IFERROR(ROUND($D283*INDEX('🔖 배합비 참조'!$B$2:$CE$83,MATCH("냉동증숙고구마(중국산)",'🔖 배합비 참조'!$A$2:$A$83,0),MATCH($C283,'🔖 배합비 참조'!$B$1:$CE$1,0))/100,0),""))),"")</f>
        <v>0</v>
      </c>
      <c r="Z283" s="39" t="n">
        <f aca="false">IFERROR(IF($C283="","",IF($D283="","",IFERROR(ROUND($D283*INDEX('🔖 배합비 참조'!$B$2:$CE$83,MATCH("녹차가루",'🔖 배합비 참조'!$A$2:$A$83,0),MATCH($C283,'🔖 배합비 참조'!$B$1:$CE$1,0))/100,0),""))),"")</f>
        <v>0</v>
      </c>
      <c r="AA283" s="39" t="n">
        <f aca="false">IFERROR(IF($C283="","",IF($D283="","",IFERROR(ROUND($D283*INDEX('🔖 배합비 참조'!$B$2:$CE$83,MATCH("다크초콜릿 컴파운드칩",'🔖 배합비 참조'!$A$2:$A$83,0),MATCH($C283,'🔖 배합비 참조'!$B$1:$CE$1,0))/100,0),""))),"")</f>
        <v>0</v>
      </c>
      <c r="AB283" s="39" t="n">
        <f aca="false">IFERROR(IF($C283="","",IF($D283="","",IFERROR(ROUND($D283*INDEX('🔖 배합비 참조'!$B$2:$CE$83,MATCH("단호박분말(중국산)",'🔖 배합비 참조'!$A$2:$A$83,0),MATCH($C283,'🔖 배합비 참조'!$B$1:$CE$1,0))/100,0),""))),"")</f>
        <v>0</v>
      </c>
      <c r="AC283" s="39" t="n">
        <f aca="false">IFERROR(IF($C283="","",IF($D283="","",IFERROR(ROUND($D283*INDEX('🔖 배합비 참조'!$B$2:$CE$83,MATCH("당류가공품(단호박농축액)",'🔖 배합비 참조'!$A$2:$A$83,0),MATCH($C283,'🔖 배합비 참조'!$B$1:$CE$1,0))/100,0),""))),"")</f>
        <v>0</v>
      </c>
      <c r="AD283" s="39" t="n">
        <f aca="false">IFERROR(IF($C283="","",IF($D283="","",IFERROR(ROUND($D283*INDEX('🔖 배합비 참조'!$B$2:$CE$83,MATCH("당류가공품(알룰로스,에리스리톨,스테비올배당체혼합)",'🔖 배합비 참조'!$A$2:$A$83,0),MATCH($C283,'🔖 배합비 참조'!$B$1:$CE$1,0))/100,0),""))),"")</f>
        <v>0</v>
      </c>
      <c r="AE283" s="39" t="n">
        <f aca="false">IFERROR(IF($C283="","",IF($D283="","",IFERROR(ROUND($D283*INDEX('🔖 배합비 참조'!$B$2:$CE$83,MATCH("당류가공품(알룰로스제로파우더)",'🔖 배합비 참조'!$A$2:$A$83,0),MATCH($C283,'🔖 배합비 참조'!$B$1:$CE$1,0))/100,0),""))),"")</f>
        <v>0</v>
      </c>
      <c r="AF283" s="39" t="n">
        <f aca="false">IFERROR(IF($C283="","",IF($D283="","",IFERROR(ROUND($D283*INDEX('🔖 배합비 참조'!$B$2:$CE$83,MATCH("당절임(완두배기)",'🔖 배합비 참조'!$A$2:$A$83,0),MATCH($C283,'🔖 배합비 참조'!$B$1:$CE$1,0))/100,0),""))),"")</f>
        <v>0</v>
      </c>
      <c r="AG283" s="39" t="n">
        <f aca="false">IFERROR(IF($C283="","",IF($D283="","",IFERROR(ROUND($D283*INDEX('🔖 배합비 참조'!$B$2:$CE$83,MATCH("대추농축액",'🔖 배합비 참조'!$A$2:$A$83,0),MATCH($C283,'🔖 배합비 참조'!$B$1:$CE$1,0))/100,0),""))),"")</f>
        <v>0</v>
      </c>
      <c r="AH283" s="39" t="n">
        <f aca="false">IFERROR(IF($C283="","",IF($D283="","",IFERROR(ROUND($D283*INDEX('🔖 배합비 참조'!$B$2:$CE$83,MATCH("대추채(국내산)",'🔖 배합비 참조'!$A$2:$A$83,0),MATCH($C283,'🔖 배합비 참조'!$B$1:$CE$1,0))/100,0),""))),"")</f>
        <v>0</v>
      </c>
      <c r="AI283" s="39" t="n">
        <f aca="false">IFERROR(IF($C283="","",IF($D283="","",IFERROR(ROUND($D283*INDEX('🔖 배합비 참조'!$B$2:$CE$83,MATCH("동부(미얀마산)",'🔖 배합비 참조'!$A$2:$A$83,0),MATCH($C283,'🔖 배합비 참조'!$B$1:$CE$1,0))/100,0),""))),"")</f>
        <v>0</v>
      </c>
      <c r="AJ283" s="39" t="n">
        <f aca="false">IFERROR(IF($C283="","",IF($D283="","",IFERROR(ROUND($D283*INDEX('🔖 배합비 참조'!$B$2:$CE$83,MATCH("두류가공품(백옥앙금)",'🔖 배합비 참조'!$A$2:$A$83,0),MATCH($C283,'🔖 배합비 참조'!$B$1:$CE$1,0))/100,0),""))),"")</f>
        <v>0</v>
      </c>
      <c r="AK283" s="39" t="n">
        <f aca="false">IFERROR(IF($C283="","",IF($D283="","",IFERROR(ROUND($D283*INDEX('🔖 배합비 참조'!$B$2:$CE$83,MATCH("두류가공품(콩고물)",'🔖 배합비 참조'!$A$2:$A$83,0),MATCH($C283,'🔖 배합비 참조'!$B$1:$CE$1,0))/100,0),""))),"")</f>
        <v>0</v>
      </c>
      <c r="AL283" s="39" t="n">
        <f aca="false">IFERROR(IF($C283="","",IF($D283="","",IFERROR(ROUND($D283*INDEX('🔖 배합비 참조'!$B$2:$CE$83,MATCH("두류가공품(통팥고물)",'🔖 배합비 참조'!$A$2:$A$83,0),MATCH($C283,'🔖 배합비 참조'!$B$1:$CE$1,0))/100,0),""))),"")</f>
        <v>0</v>
      </c>
      <c r="AM283" s="39" t="n">
        <f aca="false">IFERROR(IF($C283="","",IF($D283="","",IFERROR(ROUND($D283*INDEX('🔖 배합비 참조'!$B$2:$CE$83,MATCH("딸기레진",'🔖 배합비 참조'!$A$2:$A$83,0),MATCH($C283,'🔖 배합비 참조'!$B$1:$CE$1,0))/100,0),""))),"")</f>
        <v>4</v>
      </c>
      <c r="AN283" s="39" t="n">
        <f aca="false">IFERROR(IF($C283="","",IF($D283="","",IFERROR(ROUND($D283*INDEX('🔖 배합비 참조'!$B$2:$CE$83,MATCH("딸기분말(스트로우베리에이드(분말))",'🔖 배합비 참조'!$A$2:$A$83,0),MATCH($C283,'🔖 배합비 참조'!$B$1:$CE$1,0))/100,0),""))),"")</f>
        <v>0</v>
      </c>
      <c r="AO283" s="39" t="n">
        <f aca="false">IFERROR(IF($C283="","",IF($D283="","",IFERROR(ROUND($D283*INDEX('🔖 배합비 참조'!$B$2:$CE$83,MATCH("마스카포네치즈",'🔖 배합비 참조'!$A$2:$A$83,0),MATCH($C283,'🔖 배합비 참조'!$B$1:$CE$1,0))/100,0),""))),"")</f>
        <v>0</v>
      </c>
      <c r="AP283" s="39" t="n">
        <f aca="false">IFERROR(IF($C283="","",IF($D283="","",IFERROR(ROUND($D283*INDEX('🔖 배합비 참조'!$B$2:$CE$83,MATCH("마카다미아분태(호주산)",'🔖 배합비 참조'!$A$2:$A$83,0),MATCH($C283,'🔖 배합비 참조'!$B$1:$CE$1,0))/100,0),""))),"")</f>
        <v>0</v>
      </c>
      <c r="AQ283" s="39" t="n">
        <f aca="false">IFERROR(IF($C283="","",IF($D283="","",IFERROR(ROUND($D283*INDEX('🔖 배합비 참조'!$B$2:$CE$83,MATCH("멥쌀(국내산)",'🔖 배합비 참조'!$A$2:$A$83,0),MATCH($C283,'🔖 배합비 참조'!$B$1:$CE$1,0))/100,0),""))),"")</f>
        <v>0</v>
      </c>
      <c r="AR283" s="39" t="n">
        <f aca="false">IFERROR(IF($C283="","",IF($D283="","",IFERROR(ROUND($D283*INDEX('🔖 배합비 참조'!$B$2:$CE$83,MATCH("모시잎(국내산)",'🔖 배합비 참조'!$A$2:$A$83,0),MATCH($C283,'🔖 배합비 참조'!$B$1:$CE$1,0))/100,0),""))),"")</f>
        <v>0</v>
      </c>
      <c r="AS283" s="39" t="n">
        <f aca="false">IFERROR(IF($C283="","",IF($D283="","",IFERROR(ROUND($D283*INDEX('🔖 배합비 참조'!$B$2:$CE$83,MATCH("물엿(저당물엿)",'🔖 배합비 참조'!$A$2:$A$83,0),MATCH($C283,'🔖 배합비 참조'!$B$1:$CE$1,0))/100,0),""))),"")</f>
        <v>6</v>
      </c>
      <c r="AT283" s="39" t="n">
        <f aca="false">IFERROR(IF($C283="","",IF($D283="","",IFERROR(ROUND($D283*INDEX('🔖 배합비 참조'!$B$2:$CE$83,MATCH("밤다이스",'🔖 배합비 참조'!$A$2:$A$83,0),MATCH($C283,'🔖 배합비 참조'!$B$1:$CE$1,0))/100,0),""))),"")</f>
        <v>0</v>
      </c>
      <c r="AU283" s="39" t="n">
        <f aca="false">IFERROR(IF($C283="","",IF($D283="","",IFERROR(ROUND($D283*INDEX('🔖 배합비 참조'!$B$2:$CE$83,MATCH("변성전분(타피오카전분)",'🔖 배합비 참조'!$A$2:$A$83,0),MATCH($C283,'🔖 배합비 참조'!$B$1:$CE$1,0))/100,0),""))),"")</f>
        <v>0</v>
      </c>
      <c r="AV283" s="39" t="n">
        <f aca="false">IFERROR(IF($C283="","",IF($D283="","",IFERROR(ROUND($D283*INDEX('🔖 배합비 참조'!$B$2:$CE$83,MATCH("복음땅콩분태",'🔖 배합비 참조'!$A$2:$A$83,0),MATCH($C283,'🔖 배합비 참조'!$B$1:$CE$1,0))/100,0),""))),"")</f>
        <v>0</v>
      </c>
      <c r="AW283" s="39" t="n">
        <f aca="false">IFERROR(IF($C283="","",IF($D283="","",IFERROR(ROUND($D283*INDEX('🔖 배합비 참조'!$B$2:$CE$83,MATCH("사양벌꿀(국내산)",'🔖 배합비 참조'!$A$2:$A$83,0),MATCH($C283,'🔖 배합비 참조'!$B$1:$CE$1,0))/100,0),""))),"")</f>
        <v>0</v>
      </c>
      <c r="AX283" s="39" t="n">
        <f aca="false">IFERROR(IF($C283="","",IF($D283="","",IFERROR(ROUND($D283*INDEX('🔖 배합비 참조'!$B$2:$CE$83,MATCH("생크림",'🔖 배합비 참조'!$A$2:$A$83,0),MATCH($C283,'🔖 배합비 참조'!$B$1:$CE$1,0))/100,0),""))),"")</f>
        <v>7</v>
      </c>
      <c r="AY283" s="39" t="n">
        <f aca="false">IFERROR(IF($C283="","",IF($D283="","",IFERROR(ROUND($D283*INDEX('🔖 배합비 참조'!$B$2:$CE$83,MATCH("서양호박(국내산,뉴질랜드산)",'🔖 배합비 참조'!$A$2:$A$83,0),MATCH($C283,'🔖 배합비 참조'!$B$1:$CE$1,0))/100,0),""))),"")</f>
        <v>0</v>
      </c>
      <c r="AZ283" s="39" t="n">
        <f aca="false">IFERROR(IF($C283="","",IF($D283="","",IFERROR(ROUND($D283*INDEX('🔖 배합비 참조'!$B$2:$CE$83,MATCH("설탕",'🔖 배합비 참조'!$A$2:$A$83,0),MATCH($C283,'🔖 배합비 참조'!$B$1:$CE$1,0))/100,0),""))),"")</f>
        <v>2</v>
      </c>
      <c r="BA283" s="39" t="n">
        <f aca="false">IFERROR(IF($C283="","",IF($D283="","",IFERROR(ROUND($D283*INDEX('🔖 배합비 참조'!$B$2:$CE$83,MATCH("스트로우베리 에이드 후레쉬",'🔖 배합비 참조'!$A$2:$A$83,0),MATCH($C283,'🔖 배합비 참조'!$B$1:$CE$1,0))/100,0),""))),"")</f>
        <v>4</v>
      </c>
      <c r="BB283" s="39" t="n">
        <f aca="false">IFERROR(IF($C283="","",IF($D283="","",IFERROR(ROUND($D283*INDEX('🔖 배합비 참조'!$B$2:$CE$83,MATCH("식물성기름혼합제제(분홍)",'🔖 배합비 참조'!$A$2:$A$83,0),MATCH($C283,'🔖 배합비 참조'!$B$1:$CE$1,0))/100,0),""))),"")</f>
        <v>0</v>
      </c>
      <c r="BC283" s="39" t="n">
        <f aca="false">IFERROR(IF($C283="","",IF($D283="","",IFERROR(ROUND($D283*INDEX('🔖 배합비 참조'!$B$2:$CE$83,MATCH("식물성기름혼합제제(초록)",'🔖 배합비 참조'!$A$2:$A$83,0),MATCH($C283,'🔖 배합비 참조'!$B$1:$CE$1,0))/100,0),""))),"")</f>
        <v>0</v>
      </c>
      <c r="BD283" s="39" t="n">
        <f aca="false">IFERROR(IF($C283="","",IF($D283="","",IFERROR(ROUND($D283*INDEX('🔖 배합비 참조'!$B$2:$CE$83,MATCH("식물성기름혼합제제(황색)",'🔖 배합비 참조'!$A$2:$A$83,0),MATCH($C283,'🔖 배합비 참조'!$B$1:$CE$1,0))/100,0),""))),"")</f>
        <v>0</v>
      </c>
      <c r="BE283" s="39" t="n">
        <f aca="false">IFERROR(IF($C283="","",IF($D283="","",IFERROR(ROUND($D283*INDEX('🔖 배합비 참조'!$B$2:$CE$83,MATCH("쑥가루(국내산)",'🔖 배합비 참조'!$A$2:$A$83,0),MATCH($C283,'🔖 배합비 참조'!$B$1:$CE$1,0))/100,0),""))),"")</f>
        <v>0</v>
      </c>
      <c r="BF283" s="39" t="n">
        <f aca="false">IFERROR(IF($C283="","",IF($D283="","",IFERROR(ROUND($D283*INDEX('🔖 배합비 참조'!$B$2:$CE$83,MATCH("아몬드슬라이스",'🔖 배합비 참조'!$A$2:$A$83,0),MATCH($C283,'🔖 배합비 참조'!$B$1:$CE$1,0))/100,0),""))),"")</f>
        <v>0</v>
      </c>
      <c r="BG283" s="39" t="n">
        <f aca="false">IFERROR(IF($C283="","",IF($D283="","",IFERROR(ROUND($D283*INDEX('🔖 배합비 참조'!$B$2:$CE$83,MATCH("알룰로오스(국내산)",'🔖 배합비 참조'!$A$2:$A$83,0),MATCH($C283,'🔖 배합비 참조'!$B$1:$CE$1,0))/100,0),""))),"")</f>
        <v>0</v>
      </c>
      <c r="BH283" s="39" t="n">
        <f aca="false">IFERROR(IF($C283="","",IF($D283="","",IFERROR(ROUND($D283*INDEX('🔖 배합비 참조'!$B$2:$CE$83,MATCH("연유",'🔖 배합비 참조'!$A$2:$A$83,0),MATCH($C283,'🔖 배합비 참조'!$B$1:$CE$1,0))/100,0),""))),"")</f>
        <v>1</v>
      </c>
      <c r="BI283" s="39" t="n">
        <f aca="false">IFERROR(IF($C283="","",IF($D283="","",IFERROR(ROUND($D283*INDEX('🔖 배합비 참조'!$B$2:$CE$83,MATCH("옥수수전분",'🔖 배합비 참조'!$A$2:$A$83,0),MATCH($C283,'🔖 배합비 참조'!$B$1:$CE$1,0))/100,0),""))),"")</f>
        <v>0</v>
      </c>
      <c r="BJ283" s="39" t="n">
        <f aca="false">IFERROR(IF($C283="","",IF($D283="","",IFERROR(ROUND($D283*INDEX('🔖 배합비 참조'!$B$2:$CE$83,MATCH("완두배기",'🔖 배합비 참조'!$A$2:$A$83,0),MATCH($C283,'🔖 배합비 참조'!$B$1:$CE$1,0))/100,0),""))),"")</f>
        <v>0</v>
      </c>
      <c r="BK283" s="39" t="n">
        <f aca="false">IFERROR(IF($C283="","",IF($D283="","",IFERROR(ROUND($D283*INDEX('🔖 배합비 참조'!$B$2:$CE$83,MATCH("우유(국내산)",'🔖 배합비 참조'!$A$2:$A$83,0),MATCH($C283,'🔖 배합비 참조'!$B$1:$CE$1,0))/100,0),""))),"")</f>
        <v>0</v>
      </c>
      <c r="BL283" s="39" t="n">
        <f aca="false">IFERROR(IF($C283="","",IF($D283="","",IFERROR(ROUND($D283*INDEX('🔖 배합비 참조'!$B$2:$CE$83,MATCH("자색고구마가루(중국산)",'🔖 배합비 참조'!$A$2:$A$83,0),MATCH($C283,'🔖 배합비 참조'!$B$1:$CE$1,0))/100,0),""))),"")</f>
        <v>0</v>
      </c>
      <c r="BM283" s="39" t="n">
        <f aca="false">IFERROR(IF($C283="","",IF($D283="","",IFERROR(ROUND($D283*INDEX('🔖 배합비 참조'!$B$2:$CE$83,MATCH("자연치즈(체다치즈)",'🔖 배합비 참조'!$A$2:$A$83,0),MATCH($C283,'🔖 배합비 참조'!$B$1:$CE$1,0))/100,0),""))),"")</f>
        <v>0</v>
      </c>
      <c r="BN283" s="39" t="n">
        <f aca="false">IFERROR(IF($C283="","",IF($D283="","",IFERROR(ROUND($D283*INDEX('🔖 배합비 참조'!$B$2:$CE$83,MATCH("정제수",'🔖 배합비 참조'!$A$2:$A$83,0),MATCH($C283,'🔖 배합비 참조'!$B$1:$CE$1,0))/100,0),""))),"")</f>
        <v>3</v>
      </c>
      <c r="BO283" s="39" t="n">
        <f aca="false">IFERROR(IF($C283="","",IF($D283="","",IFERROR(ROUND($D283*INDEX('🔖 배합비 참조'!$B$2:$CE$83,MATCH("젤라틴",'🔖 배합비 참조'!$A$2:$A$83,0),MATCH($C283,'🔖 배합비 참조'!$B$1:$CE$1,0))/100,0),""))),"")</f>
        <v>0</v>
      </c>
      <c r="BP283" s="39" t="n">
        <f aca="false">IFERROR(IF($C283="","",IF($D283="","",IFERROR(ROUND($D283*INDEX('🔖 배합비 참조'!$B$2:$CE$83,MATCH("조림류(백옥앙금)",'🔖 배합비 참조'!$A$2:$A$83,0),MATCH($C283,'🔖 배합비 참조'!$B$1:$CE$1,0))/100,0),""))),"")</f>
        <v>11</v>
      </c>
      <c r="BQ283" s="39" t="n">
        <f aca="false">IFERROR(IF($C283="","",IF($D283="","",IFERROR(ROUND($D283*INDEX('🔖 배합비 참조'!$B$2:$CE$83,MATCH("조림류(통팥앙금)",'🔖 배합비 참조'!$A$2:$A$83,0),MATCH($C283,'🔖 배합비 참조'!$B$1:$CE$1,0))/100,0),""))),"")</f>
        <v>0</v>
      </c>
      <c r="BR283" s="39" t="n">
        <f aca="false">IFERROR(IF($C283="","",IF($D283="","",IFERROR(ROUND($D283*INDEX('🔖 배합비 참조'!$B$2:$CE$83,MATCH("준초콜릿(외국산)",'🔖 배합비 참조'!$A$2:$A$83,0),MATCH($C283,'🔖 배합비 참조'!$B$1:$CE$1,0))/100,0),""))),"")</f>
        <v>0</v>
      </c>
      <c r="BS283" s="39" t="n">
        <f aca="false">IFERROR(IF($C283="","",IF($D283="","",IFERROR(ROUND($D283*INDEX('🔖 배합비 참조'!$B$2:$CE$83,MATCH("중력분",'🔖 배합비 참조'!$A$2:$A$83,0),MATCH($C283,'🔖 배합비 참조'!$B$1:$CE$1,0))/100,0),""))),"")</f>
        <v>0</v>
      </c>
      <c r="BT283" s="39" t="n">
        <f aca="false">IFERROR(IF($C283="","",IF($D283="","",IFERROR(ROUND($D283*INDEX('🔖 배합비 참조'!$B$2:$CE$83,MATCH("참깨(인도산,나이지리아산,탄자니아산,미얀마산)",'🔖 배합비 참조'!$A$2:$A$83,0),MATCH($C283,'🔖 배합비 참조'!$B$1:$CE$1,0))/100,0),""))),"")</f>
        <v>0</v>
      </c>
      <c r="BU283" s="39" t="n">
        <f aca="false">IFERROR(IF($C283="","",IF($D283="","",IFERROR(ROUND($D283*INDEX('🔖 배합비 참조'!$B$2:$CE$83,MATCH("찹쌀(국내산)",'🔖 배합비 참조'!$A$2:$A$83,0),MATCH($C283,'🔖 배합비 참조'!$B$1:$CE$1,0))/100,0),""))),"")</f>
        <v>59</v>
      </c>
      <c r="BV283" s="39" t="n">
        <f aca="false">IFERROR(IF($C283="","",IF($D283="","",IFERROR(ROUND($D283*INDEX('🔖 배합비 참조'!$B$2:$CE$83,MATCH("천일염",'🔖 배합비 참조'!$A$2:$A$83,0),MATCH($C283,'🔖 배합비 참조'!$B$1:$CE$1,0))/100,0),""))),"")</f>
        <v>0</v>
      </c>
      <c r="BW283" s="39" t="n">
        <f aca="false">IFERROR(IF($C283="","",IF($D283="","",IFERROR(ROUND($D283*INDEX('🔖 배합비 참조'!$B$2:$CE$83,MATCH("치즈 [크림치즈]",'🔖 배합비 참조'!$A$2:$A$83,0),MATCH($C283,'🔖 배합비 참조'!$B$1:$CE$1,0))/100,0),""))),"")</f>
        <v>7</v>
      </c>
      <c r="BX283" s="39" t="n">
        <f aca="false">IFERROR(IF($C283="","",IF($D283="","",IFERROR(ROUND($D283*INDEX('🔖 배합비 참조'!$B$2:$CE$83,MATCH("코코아가공품류(코코아분말)",'🔖 배합비 참조'!$A$2:$A$83,0),MATCH($C283,'🔖 배합비 참조'!$B$1:$CE$1,0))/100,0),""))),"")</f>
        <v>0</v>
      </c>
      <c r="BY283" s="39" t="n">
        <f aca="false">IFERROR(IF($C283="","",IF($D283="","",IFERROR(ROUND($D283*INDEX('🔖 배합비 참조'!$B$2:$CE$83,MATCH("콩기름(대두유)",'🔖 배합비 참조'!$A$2:$A$83,0),MATCH($C283,'🔖 배합비 참조'!$B$1:$CE$1,0))/100,0),""))),"")</f>
        <v>0</v>
      </c>
      <c r="BZ283" s="39" t="n">
        <f aca="false">IFERROR(IF($C283="","",IF($D283="","",IFERROR(ROUND($D283*INDEX('🔖 배합비 참조'!$B$2:$CE$83,MATCH("해바라기씨앗",'🔖 배합비 참조'!$A$2:$A$83,0),MATCH($C283,'🔖 배합비 참조'!$B$1:$CE$1,0))/100,0),""))),"")</f>
        <v>0</v>
      </c>
      <c r="CA283" s="39" t="n">
        <f aca="false">IFERROR(IF($C283="","",IF($D283="","",IFERROR(ROUND($D283*INDEX('🔖 배합비 참조'!$B$2:$CE$83,MATCH("현미(국내산)",'🔖 배합비 참조'!$A$2:$A$83,0),MATCH($C283,'🔖 배합비 참조'!$B$1:$CE$1,0))/100,0),""))),"")</f>
        <v>0</v>
      </c>
      <c r="CB283" s="39" t="n">
        <f aca="false">IFERROR(IF($C283="","",IF($D283="","",IFERROR(ROUND($D283*INDEX('🔖 배합비 참조'!$B$2:$CE$83,MATCH("현미멥쌀(국내산)",'🔖 배합비 참조'!$A$2:$A$83,0),MATCH($C283,'🔖 배합비 참조'!$B$1:$CE$1,0))/100,0),""))),"")</f>
        <v>0</v>
      </c>
      <c r="CC283" s="39" t="n">
        <f aca="false">IFERROR(IF($C283="","",IF($D283="","",IFERROR(ROUND($D283*INDEX('🔖 배합비 참조'!$B$2:$CE$83,MATCH("호두분태(미국산)",'🔖 배합비 참조'!$A$2:$A$83,0),MATCH($C283,'🔖 배합비 참조'!$B$1:$CE$1,0))/100,0),""))),"")</f>
        <v>0</v>
      </c>
      <c r="CD283" s="39" t="n">
        <f aca="false">IFERROR(IF($C283="","",IF($D283="","",IFERROR(ROUND($D283*INDEX('🔖 배합비 참조'!$B$2:$CE$83,MATCH("호박씨앗(외국산)",'🔖 배합비 참조'!$A$2:$A$83,0),MATCH($C283,'🔖 배합비 참조'!$B$1:$CE$1,0))/100,0),""))),"")</f>
        <v>0</v>
      </c>
      <c r="CE283" s="39" t="n">
        <f aca="false">IFERROR(IF($C283="","",IF($D283="","",IFERROR(ROUND($D283*INDEX('🔖 배합비 참조'!$B$2:$CE$83,MATCH("혼합제제(떡용에스텔)",'🔖 배합비 참조'!$A$2:$A$83,0),MATCH($C283,'🔖 배합비 참조'!$B$1:$CE$1,0))/100,0),""))),"")</f>
        <v>0</v>
      </c>
      <c r="CF283" s="39" t="n">
        <f aca="false">IFERROR(IF($C283="","",IF($D283="","",IFERROR(ROUND($D283*INDEX('🔖 배합비 참조'!$B$2:$CE$83,MATCH("혼합제제(스테비아)",'🔖 배합비 참조'!$A$2:$A$83,0),MATCH($C283,'🔖 배합비 참조'!$B$1:$CE$1,0))/100,0),""))),"")</f>
        <v>0</v>
      </c>
      <c r="CG283" s="39" t="n">
        <f aca="false">IFERROR(IF($C283="","",IF($D283="","",IFERROR(ROUND($D283*INDEX('🔖 배합비 참조'!$B$2:$CE$83,MATCH("화이트초콜릿",'🔖 배합비 참조'!$A$2:$A$83,0),MATCH($C283,'🔖 배합비 참조'!$B$1:$CE$1,0))/100,0),""))),"")</f>
        <v>2</v>
      </c>
      <c r="CH283" s="39" t="n">
        <f aca="false">IFERROR(IF($C283="","",IF($D283="","",IFERROR(ROUND($D283*INDEX('🔖 배합비 참조'!$B$2:$CE$83,MATCH("흑미찹쌀(국내산)",'🔖 배합비 참조'!$A$2:$A$83,0),MATCH($C283,'🔖 배합비 참조'!$B$1:$CE$1,0))/100,0),""))),"")</f>
        <v>0</v>
      </c>
      <c r="CI283" s="39" t="n">
        <f aca="false">IFERROR(IF($C283="","",IF($D283="","",IFERROR(ROUND($D283*INDEX('🔖 배합비 참조'!$B$2:$CE$83,MATCH("찰옥수수전분(미국산)",'🔖 배합비 참조'!$A$2:$A$83,0),MATCH($C283,'🔖 배합비 참조'!$B$1:$CE$1,0))/100,0),""))),"")</f>
        <v>0</v>
      </c>
      <c r="CJ283" s="40"/>
      <c r="CL283" s="43" t="s">
        <v>248</v>
      </c>
    </row>
    <row r="284" customFormat="false" ht="18" hidden="false" customHeight="true" outlineLevel="0" collapsed="false">
      <c r="A284" s="41" t="n">
        <v>280</v>
      </c>
      <c r="B284" s="36" t="n">
        <v>46097</v>
      </c>
      <c r="C284" s="37" t="s">
        <v>163</v>
      </c>
      <c r="D284" s="38" t="n">
        <v>70</v>
      </c>
      <c r="E284" s="17"/>
      <c r="F284" s="17"/>
      <c r="G284" s="42" t="n">
        <f aca="false">IFERROR(IF($C284="","",IF($D284="","",IFERROR(ROUND($D284*INDEX('🔖 배합비 참조'!$B$2:$CE$83,MATCH("간장",'🔖 배합비 참조'!$A$2:$A$83,0),MATCH($C284,'🔖 배합비 참조'!$B$1:$CE$1,0))/100,0),""))),"")</f>
        <v>0</v>
      </c>
      <c r="H284" s="42" t="n">
        <f aca="false">IFERROR(IF($C284="","",IF($D284="","",IFERROR(ROUND($D284*INDEX('🔖 배합비 참조'!$B$2:$CE$83,MATCH("강낭콩((울타리콩))",'🔖 배합비 참조'!$A$2:$A$83,0),MATCH($C284,'🔖 배합비 참조'!$B$1:$CE$1,0))/100,0),""))),"")</f>
        <v>0</v>
      </c>
      <c r="I284" s="42" t="n">
        <f aca="false">IFERROR(IF($C284="","",IF($D284="","",IFERROR(ROUND($D284*INDEX('🔖 배합비 참조'!$B$2:$CE$83,MATCH("건조딸기다이스(외국산)",'🔖 배합비 참조'!$A$2:$A$83,0),MATCH($C284,'🔖 배합비 참조'!$B$1:$CE$1,0))/100,0),""))),"")</f>
        <v>0</v>
      </c>
      <c r="J284" s="42" t="n">
        <f aca="false">IFERROR(IF($C284="","",IF($D284="","",IFERROR(ROUND($D284*INDEX('🔖 배합비 참조'!$B$2:$CE$83,MATCH("건포도",'🔖 배합비 참조'!$A$2:$A$83,0),MATCH($C284,'🔖 배합비 참조'!$B$1:$CE$1,0))/100,0),""))),"")</f>
        <v>0</v>
      </c>
      <c r="K284" s="42" t="n">
        <f aca="false">IFERROR(IF($C284="","",IF($D284="","",IFERROR(ROUND($D284*INDEX('🔖 배합비 참조'!$B$2:$CE$83,MATCH("건호박채(중국산)",'🔖 배합비 참조'!$A$2:$A$83,0),MATCH($C284,'🔖 배합비 참조'!$B$1:$CE$1,0))/100,0),""))),"")</f>
        <v>0</v>
      </c>
      <c r="L284" s="42" t="n">
        <f aca="false">IFERROR(IF($C284="","",IF($D284="","",IFERROR(ROUND($D284*INDEX('🔖 배합비 참조'!$B$2:$CE$83,MATCH("검정깨(흑임자)",'🔖 배합비 참조'!$A$2:$A$83,0),MATCH($C284,'🔖 배합비 참조'!$B$1:$CE$1,0))/100,0),""))),"")</f>
        <v>0</v>
      </c>
      <c r="M284" s="42" t="n">
        <f aca="false">IFERROR(IF($C284="","",IF($D284="","",IFERROR(ROUND($D284*INDEX('🔖 배합비 참조'!$B$2:$CE$83,MATCH("검정콩",'🔖 배합비 참조'!$A$2:$A$83,0),MATCH($C284,'🔖 배합비 참조'!$B$1:$CE$1,0))/100,0),""))),"")</f>
        <v>0</v>
      </c>
      <c r="N284" s="42" t="n">
        <f aca="false">IFERROR(IF($C284="","",IF($D284="","",IFERROR(ROUND($D284*INDEX('🔖 배합비 참조'!$B$2:$CE$83,MATCH("계피가루",'🔖 배합비 참조'!$A$2:$A$83,0),MATCH($C284,'🔖 배합비 참조'!$B$1:$CE$1,0))/100,0),""))),"")</f>
        <v>0</v>
      </c>
      <c r="O284" s="42" t="n">
        <f aca="false">IFERROR(IF($C284="","",IF($D284="","",IFERROR(ROUND($D284*INDEX('🔖 배합비 참조'!$B$2:$CE$83,MATCH("고구마가루",'🔖 배합비 참조'!$A$2:$A$83,0),MATCH($C284,'🔖 배합비 참조'!$B$1:$CE$1,0))/100,0),""))),"")</f>
        <v>0</v>
      </c>
      <c r="P284" s="42" t="n">
        <f aca="false">IFERROR(IF($C284="","",IF($D284="","",IFERROR(ROUND($D284*INDEX('🔖 배합비 참조'!$B$2:$CE$83,MATCH("고구마무스",'🔖 배합비 참조'!$A$2:$A$83,0),MATCH($C284,'🔖 배합비 참조'!$B$1:$CE$1,0))/100,0),""))),"")</f>
        <v>0</v>
      </c>
      <c r="Q284" s="42" t="n">
        <f aca="false">IFERROR(IF($C284="","",IF($D284="","",IFERROR(ROUND($D284*INDEX('🔖 배합비 참조'!$B$2:$CE$83,MATCH("고려엉겅퀴((곤드레)국내산)",'🔖 배합비 참조'!$A$2:$A$83,0),MATCH($C284,'🔖 배합비 참조'!$B$1:$CE$1,0))/100,0),""))),"")</f>
        <v>0</v>
      </c>
      <c r="R284" s="42" t="n">
        <f aca="false">IFERROR(IF($C284="","",IF($D284="","",IFERROR(ROUND($D284*INDEX('🔖 배합비 참조'!$B$2:$CE$83,MATCH("기타가공품(복분자가루)",'🔖 배합비 참조'!$A$2:$A$83,0),MATCH($C284,'🔖 배합비 참조'!$B$1:$CE$1,0))/100,0),""))),"")</f>
        <v>0</v>
      </c>
      <c r="S284" s="42" t="n">
        <f aca="false">IFERROR(IF($C284="","",IF($D284="","",IFERROR(ROUND($D284*INDEX('🔖 배합비 참조'!$B$2:$CE$83,MATCH("기타가공품(슈퍼소프트엠)",'🔖 배합비 참조'!$A$2:$A$83,0),MATCH($C284,'🔖 배합비 참조'!$B$1:$CE$1,0))/100,0),""))),"")</f>
        <v>0</v>
      </c>
      <c r="T284" s="42" t="n">
        <f aca="false">IFERROR(IF($C284="","",IF($D284="","",IFERROR(ROUND($D284*INDEX('🔖 배합비 참조'!$B$2:$CE$83,MATCH("기타가공품(파인소프트 E-티)",'🔖 배합비 참조'!$A$2:$A$83,0),MATCH($C284,'🔖 배합비 참조'!$B$1:$CE$1,0))/100,0),""))),"")</f>
        <v>0</v>
      </c>
      <c r="U284" s="42" t="n">
        <f aca="false">IFERROR(IF($C284="","",IF($D284="","",IFERROR(ROUND($D284*INDEX('🔖 배합비 참조'!$B$2:$CE$83,MATCH("기타가공품(프리미엄카스테라가루)",'🔖 배합비 참조'!$A$2:$A$83,0),MATCH($C284,'🔖 배합비 참조'!$B$1:$CE$1,0))/100,0),""))),"")</f>
        <v>0</v>
      </c>
      <c r="V284" s="42" t="n">
        <f aca="false">IFERROR(IF($C284="","",IF($D284="","",IFERROR(ROUND($D284*INDEX('🔖 배합비 참조'!$B$2:$CE$83,MATCH("기타가공품(흑임자가루)",'🔖 배합비 참조'!$A$2:$A$83,0),MATCH($C284,'🔖 배합비 참조'!$B$1:$CE$1,0))/100,0),""))),"")</f>
        <v>0</v>
      </c>
      <c r="W284" s="42" t="n">
        <f aca="false">IFERROR(IF($C284="","",IF($D284="","",IFERROR(ROUND($D284*INDEX('🔖 배합비 참조'!$B$2:$CE$83,MATCH("기타설탕(흑설탕)",'🔖 배합비 참조'!$A$2:$A$83,0),MATCH($C284,'🔖 배합비 참조'!$B$1:$CE$1,0))/100,0),""))),"")</f>
        <v>0</v>
      </c>
      <c r="X284" s="42" t="n">
        <f aca="false">IFERROR(IF($C284="","",IF($D284="","",IFERROR(ROUND($D284*INDEX('🔖 배합비 참조'!$B$2:$CE$83,MATCH("냉동쑥(국내산)",'🔖 배합비 참조'!$A$2:$A$83,0),MATCH($C284,'🔖 배합비 참조'!$B$1:$CE$1,0))/100,0),""))),"")</f>
        <v>1</v>
      </c>
      <c r="Y284" s="42" t="n">
        <f aca="false">IFERROR(IF($C284="","",IF($D284="","",IFERROR(ROUND($D284*INDEX('🔖 배합비 참조'!$B$2:$CE$83,MATCH("냉동증숙고구마(중국산)",'🔖 배합비 참조'!$A$2:$A$83,0),MATCH($C284,'🔖 배합비 참조'!$B$1:$CE$1,0))/100,0),""))),"")</f>
        <v>0</v>
      </c>
      <c r="Z284" s="42" t="n">
        <f aca="false">IFERROR(IF($C284="","",IF($D284="","",IFERROR(ROUND($D284*INDEX('🔖 배합비 참조'!$B$2:$CE$83,MATCH("녹차가루",'🔖 배합비 참조'!$A$2:$A$83,0),MATCH($C284,'🔖 배합비 참조'!$B$1:$CE$1,0))/100,0),""))),"")</f>
        <v>0</v>
      </c>
      <c r="AA284" s="42" t="n">
        <f aca="false">IFERROR(IF($C284="","",IF($D284="","",IFERROR(ROUND($D284*INDEX('🔖 배합비 참조'!$B$2:$CE$83,MATCH("다크초콜릿 컴파운드칩",'🔖 배합비 참조'!$A$2:$A$83,0),MATCH($C284,'🔖 배합비 참조'!$B$1:$CE$1,0))/100,0),""))),"")</f>
        <v>0</v>
      </c>
      <c r="AB284" s="42" t="n">
        <f aca="false">IFERROR(IF($C284="","",IF($D284="","",IFERROR(ROUND($D284*INDEX('🔖 배합비 참조'!$B$2:$CE$83,MATCH("단호박분말(중국산)",'🔖 배합비 참조'!$A$2:$A$83,0),MATCH($C284,'🔖 배합비 참조'!$B$1:$CE$1,0))/100,0),""))),"")</f>
        <v>0</v>
      </c>
      <c r="AC284" s="42" t="n">
        <f aca="false">IFERROR(IF($C284="","",IF($D284="","",IFERROR(ROUND($D284*INDEX('🔖 배합비 참조'!$B$2:$CE$83,MATCH("당류가공품(단호박농축액)",'🔖 배합비 참조'!$A$2:$A$83,0),MATCH($C284,'🔖 배합비 참조'!$B$1:$CE$1,0))/100,0),""))),"")</f>
        <v>0</v>
      </c>
      <c r="AD284" s="42" t="n">
        <f aca="false">IFERROR(IF($C284="","",IF($D284="","",IFERROR(ROUND($D284*INDEX('🔖 배합비 참조'!$B$2:$CE$83,MATCH("당류가공품(알룰로스,에리스리톨,스테비올배당체혼합)",'🔖 배합비 참조'!$A$2:$A$83,0),MATCH($C284,'🔖 배합비 참조'!$B$1:$CE$1,0))/100,0),""))),"")</f>
        <v>0</v>
      </c>
      <c r="AE284" s="42" t="n">
        <f aca="false">IFERROR(IF($C284="","",IF($D284="","",IFERROR(ROUND($D284*INDEX('🔖 배합비 참조'!$B$2:$CE$83,MATCH("당류가공품(알룰로스제로파우더)",'🔖 배합비 참조'!$A$2:$A$83,0),MATCH($C284,'🔖 배합비 참조'!$B$1:$CE$1,0))/100,0),""))),"")</f>
        <v>0</v>
      </c>
      <c r="AF284" s="42" t="n">
        <f aca="false">IFERROR(IF($C284="","",IF($D284="","",IFERROR(ROUND($D284*INDEX('🔖 배합비 참조'!$B$2:$CE$83,MATCH("당절임(완두배기)",'🔖 배합비 참조'!$A$2:$A$83,0),MATCH($C284,'🔖 배합비 참조'!$B$1:$CE$1,0))/100,0),""))),"")</f>
        <v>0</v>
      </c>
      <c r="AG284" s="42" t="n">
        <f aca="false">IFERROR(IF($C284="","",IF($D284="","",IFERROR(ROUND($D284*INDEX('🔖 배합비 참조'!$B$2:$CE$83,MATCH("대추농축액",'🔖 배합비 참조'!$A$2:$A$83,0),MATCH($C284,'🔖 배합비 참조'!$B$1:$CE$1,0))/100,0),""))),"")</f>
        <v>0</v>
      </c>
      <c r="AH284" s="42" t="n">
        <f aca="false">IFERROR(IF($C284="","",IF($D284="","",IFERROR(ROUND($D284*INDEX('🔖 배합비 참조'!$B$2:$CE$83,MATCH("대추채(국내산)",'🔖 배합비 참조'!$A$2:$A$83,0),MATCH($C284,'🔖 배합비 참조'!$B$1:$CE$1,0))/100,0),""))),"")</f>
        <v>0</v>
      </c>
      <c r="AI284" s="42" t="n">
        <f aca="false">IFERROR(IF($C284="","",IF($D284="","",IFERROR(ROUND($D284*INDEX('🔖 배합비 참조'!$B$2:$CE$83,MATCH("동부(미얀마산)",'🔖 배합비 참조'!$A$2:$A$83,0),MATCH($C284,'🔖 배합비 참조'!$B$1:$CE$1,0))/100,0),""))),"")</f>
        <v>0</v>
      </c>
      <c r="AJ284" s="42" t="n">
        <f aca="false">IFERROR(IF($C284="","",IF($D284="","",IFERROR(ROUND($D284*INDEX('🔖 배합비 참조'!$B$2:$CE$83,MATCH("두류가공품(백옥앙금)",'🔖 배합비 참조'!$A$2:$A$83,0),MATCH($C284,'🔖 배합비 참조'!$B$1:$CE$1,0))/100,0),""))),"")</f>
        <v>0</v>
      </c>
      <c r="AK284" s="42" t="n">
        <f aca="false">IFERROR(IF($C284="","",IF($D284="","",IFERROR(ROUND($D284*INDEX('🔖 배합비 참조'!$B$2:$CE$83,MATCH("두류가공품(콩고물)",'🔖 배합비 참조'!$A$2:$A$83,0),MATCH($C284,'🔖 배합비 참조'!$B$1:$CE$1,0))/100,0),""))),"")</f>
        <v>4</v>
      </c>
      <c r="AL284" s="42" t="n">
        <f aca="false">IFERROR(IF($C284="","",IF($D284="","",IFERROR(ROUND($D284*INDEX('🔖 배합비 참조'!$B$2:$CE$83,MATCH("두류가공품(통팥고물)",'🔖 배합비 참조'!$A$2:$A$83,0),MATCH($C284,'🔖 배합비 참조'!$B$1:$CE$1,0))/100,0),""))),"")</f>
        <v>0</v>
      </c>
      <c r="AM284" s="42" t="n">
        <f aca="false">IFERROR(IF($C284="","",IF($D284="","",IFERROR(ROUND($D284*INDEX('🔖 배합비 참조'!$B$2:$CE$83,MATCH("딸기레진",'🔖 배합비 참조'!$A$2:$A$83,0),MATCH($C284,'🔖 배합비 참조'!$B$1:$CE$1,0))/100,0),""))),"")</f>
        <v>0</v>
      </c>
      <c r="AN284" s="42" t="n">
        <f aca="false">IFERROR(IF($C284="","",IF($D284="","",IFERROR(ROUND($D284*INDEX('🔖 배합비 참조'!$B$2:$CE$83,MATCH("딸기분말(스트로우베리에이드(분말))",'🔖 배합비 참조'!$A$2:$A$83,0),MATCH($C284,'🔖 배합비 참조'!$B$1:$CE$1,0))/100,0),""))),"")</f>
        <v>0</v>
      </c>
      <c r="AO284" s="42" t="n">
        <f aca="false">IFERROR(IF($C284="","",IF($D284="","",IFERROR(ROUND($D284*INDEX('🔖 배합비 참조'!$B$2:$CE$83,MATCH("마스카포네치즈",'🔖 배합비 참조'!$A$2:$A$83,0),MATCH($C284,'🔖 배합비 참조'!$B$1:$CE$1,0))/100,0),""))),"")</f>
        <v>0</v>
      </c>
      <c r="AP284" s="42" t="n">
        <f aca="false">IFERROR(IF($C284="","",IF($D284="","",IFERROR(ROUND($D284*INDEX('🔖 배합비 참조'!$B$2:$CE$83,MATCH("마카다미아분태(호주산)",'🔖 배합비 참조'!$A$2:$A$83,0),MATCH($C284,'🔖 배합비 참조'!$B$1:$CE$1,0))/100,0),""))),"")</f>
        <v>0</v>
      </c>
      <c r="AQ284" s="42" t="n">
        <f aca="false">IFERROR(IF($C284="","",IF($D284="","",IFERROR(ROUND($D284*INDEX('🔖 배합비 참조'!$B$2:$CE$83,MATCH("멥쌀(국내산)",'🔖 배합비 참조'!$A$2:$A$83,0),MATCH($C284,'🔖 배합비 참조'!$B$1:$CE$1,0))/100,0),""))),"")</f>
        <v>0</v>
      </c>
      <c r="AR284" s="42" t="n">
        <f aca="false">IFERROR(IF($C284="","",IF($D284="","",IFERROR(ROUND($D284*INDEX('🔖 배합비 참조'!$B$2:$CE$83,MATCH("모시잎(국내산)",'🔖 배합비 참조'!$A$2:$A$83,0),MATCH($C284,'🔖 배합비 참조'!$B$1:$CE$1,0))/100,0),""))),"")</f>
        <v>0</v>
      </c>
      <c r="AS284" s="42" t="n">
        <f aca="false">IFERROR(IF($C284="","",IF($D284="","",IFERROR(ROUND($D284*INDEX('🔖 배합비 참조'!$B$2:$CE$83,MATCH("물엿(저당물엿)",'🔖 배합비 참조'!$A$2:$A$83,0),MATCH($C284,'🔖 배합비 참조'!$B$1:$CE$1,0))/100,0),""))),"")</f>
        <v>4</v>
      </c>
      <c r="AT284" s="42" t="n">
        <f aca="false">IFERROR(IF($C284="","",IF($D284="","",IFERROR(ROUND($D284*INDEX('🔖 배합비 참조'!$B$2:$CE$83,MATCH("밤다이스",'🔖 배합비 참조'!$A$2:$A$83,0),MATCH($C284,'🔖 배합비 참조'!$B$1:$CE$1,0))/100,0),""))),"")</f>
        <v>0</v>
      </c>
      <c r="AU284" s="42" t="n">
        <f aca="false">IFERROR(IF($C284="","",IF($D284="","",IFERROR(ROUND($D284*INDEX('🔖 배합비 참조'!$B$2:$CE$83,MATCH("변성전분(타피오카전분)",'🔖 배합비 참조'!$A$2:$A$83,0),MATCH($C284,'🔖 배합비 참조'!$B$1:$CE$1,0))/100,0),""))),"")</f>
        <v>0</v>
      </c>
      <c r="AV284" s="42" t="n">
        <f aca="false">IFERROR(IF($C284="","",IF($D284="","",IFERROR(ROUND($D284*INDEX('🔖 배합비 참조'!$B$2:$CE$83,MATCH("복음땅콩분태",'🔖 배합비 참조'!$A$2:$A$83,0),MATCH($C284,'🔖 배합비 참조'!$B$1:$CE$1,0))/100,0),""))),"")</f>
        <v>2</v>
      </c>
      <c r="AW284" s="42" t="n">
        <f aca="false">IFERROR(IF($C284="","",IF($D284="","",IFERROR(ROUND($D284*INDEX('🔖 배합비 참조'!$B$2:$CE$83,MATCH("사양벌꿀(국내산)",'🔖 배합비 참조'!$A$2:$A$83,0),MATCH($C284,'🔖 배합비 참조'!$B$1:$CE$1,0))/100,0),""))),"")</f>
        <v>0</v>
      </c>
      <c r="AX284" s="42" t="n">
        <f aca="false">IFERROR(IF($C284="","",IF($D284="","",IFERROR(ROUND($D284*INDEX('🔖 배합비 참조'!$B$2:$CE$83,MATCH("생크림",'🔖 배합비 참조'!$A$2:$A$83,0),MATCH($C284,'🔖 배합비 참조'!$B$1:$CE$1,0))/100,0),""))),"")</f>
        <v>0</v>
      </c>
      <c r="AY284" s="42" t="n">
        <f aca="false">IFERROR(IF($C284="","",IF($D284="","",IFERROR(ROUND($D284*INDEX('🔖 배합비 참조'!$B$2:$CE$83,MATCH("서양호박(국내산,뉴질랜드산)",'🔖 배합비 참조'!$A$2:$A$83,0),MATCH($C284,'🔖 배합비 참조'!$B$1:$CE$1,0))/100,0),""))),"")</f>
        <v>0</v>
      </c>
      <c r="AZ284" s="42" t="n">
        <f aca="false">IFERROR(IF($C284="","",IF($D284="","",IFERROR(ROUND($D284*INDEX('🔖 배합비 참조'!$B$2:$CE$83,MATCH("설탕",'🔖 배합비 참조'!$A$2:$A$83,0),MATCH($C284,'🔖 배합비 참조'!$B$1:$CE$1,0))/100,0),""))),"")</f>
        <v>2</v>
      </c>
      <c r="BA284" s="42" t="n">
        <f aca="false">IFERROR(IF($C284="","",IF($D284="","",IFERROR(ROUND($D284*INDEX('🔖 배합비 참조'!$B$2:$CE$83,MATCH("스트로우베리 에이드 후레쉬",'🔖 배합비 참조'!$A$2:$A$83,0),MATCH($C284,'🔖 배합비 참조'!$B$1:$CE$1,0))/100,0),""))),"")</f>
        <v>0</v>
      </c>
      <c r="BB284" s="42" t="n">
        <f aca="false">IFERROR(IF($C284="","",IF($D284="","",IFERROR(ROUND($D284*INDEX('🔖 배합비 참조'!$B$2:$CE$83,MATCH("식물성기름혼합제제(분홍)",'🔖 배합비 참조'!$A$2:$A$83,0),MATCH($C284,'🔖 배합비 참조'!$B$1:$CE$1,0))/100,0),""))),"")</f>
        <v>0</v>
      </c>
      <c r="BC284" s="42" t="n">
        <f aca="false">IFERROR(IF($C284="","",IF($D284="","",IFERROR(ROUND($D284*INDEX('🔖 배합비 참조'!$B$2:$CE$83,MATCH("식물성기름혼합제제(초록)",'🔖 배합비 참조'!$A$2:$A$83,0),MATCH($C284,'🔖 배합비 참조'!$B$1:$CE$1,0))/100,0),""))),"")</f>
        <v>0</v>
      </c>
      <c r="BD284" s="42" t="n">
        <f aca="false">IFERROR(IF($C284="","",IF($D284="","",IFERROR(ROUND($D284*INDEX('🔖 배합비 참조'!$B$2:$CE$83,MATCH("식물성기름혼합제제(황색)",'🔖 배합비 참조'!$A$2:$A$83,0),MATCH($C284,'🔖 배합비 참조'!$B$1:$CE$1,0))/100,0),""))),"")</f>
        <v>0</v>
      </c>
      <c r="BE284" s="42" t="n">
        <f aca="false">IFERROR(IF($C284="","",IF($D284="","",IFERROR(ROUND($D284*INDEX('🔖 배합비 참조'!$B$2:$CE$83,MATCH("쑥가루(국내산)",'🔖 배합비 참조'!$A$2:$A$83,0),MATCH($C284,'🔖 배합비 참조'!$B$1:$CE$1,0))/100,0),""))),"")</f>
        <v>0</v>
      </c>
      <c r="BF284" s="42" t="n">
        <f aca="false">IFERROR(IF($C284="","",IF($D284="","",IFERROR(ROUND($D284*INDEX('🔖 배합비 참조'!$B$2:$CE$83,MATCH("아몬드슬라이스",'🔖 배합비 참조'!$A$2:$A$83,0),MATCH($C284,'🔖 배합비 참조'!$B$1:$CE$1,0))/100,0),""))),"")</f>
        <v>0</v>
      </c>
      <c r="BG284" s="42" t="n">
        <f aca="false">IFERROR(IF($C284="","",IF($D284="","",IFERROR(ROUND($D284*INDEX('🔖 배합비 참조'!$B$2:$CE$83,MATCH("알룰로오스(국내산)",'🔖 배합비 참조'!$A$2:$A$83,0),MATCH($C284,'🔖 배합비 참조'!$B$1:$CE$1,0))/100,0),""))),"")</f>
        <v>0</v>
      </c>
      <c r="BH284" s="42" t="n">
        <f aca="false">IFERROR(IF($C284="","",IF($D284="","",IFERROR(ROUND($D284*INDEX('🔖 배합비 참조'!$B$2:$CE$83,MATCH("연유",'🔖 배합비 참조'!$A$2:$A$83,0),MATCH($C284,'🔖 배합비 참조'!$B$1:$CE$1,0))/100,0),""))),"")</f>
        <v>0</v>
      </c>
      <c r="BI284" s="42" t="n">
        <f aca="false">IFERROR(IF($C284="","",IF($D284="","",IFERROR(ROUND($D284*INDEX('🔖 배합비 참조'!$B$2:$CE$83,MATCH("옥수수전분",'🔖 배합비 참조'!$A$2:$A$83,0),MATCH($C284,'🔖 배합비 참조'!$B$1:$CE$1,0))/100,0),""))),"")</f>
        <v>0</v>
      </c>
      <c r="BJ284" s="42" t="n">
        <f aca="false">IFERROR(IF($C284="","",IF($D284="","",IFERROR(ROUND($D284*INDEX('🔖 배합비 참조'!$B$2:$CE$83,MATCH("완두배기",'🔖 배합비 참조'!$A$2:$A$83,0),MATCH($C284,'🔖 배합비 참조'!$B$1:$CE$1,0))/100,0),""))),"")</f>
        <v>0</v>
      </c>
      <c r="BK284" s="42" t="n">
        <f aca="false">IFERROR(IF($C284="","",IF($D284="","",IFERROR(ROUND($D284*INDEX('🔖 배합비 참조'!$B$2:$CE$83,MATCH("우유(국내산)",'🔖 배합비 참조'!$A$2:$A$83,0),MATCH($C284,'🔖 배합비 참조'!$B$1:$CE$1,0))/100,0),""))),"")</f>
        <v>0</v>
      </c>
      <c r="BL284" s="42" t="n">
        <f aca="false">IFERROR(IF($C284="","",IF($D284="","",IFERROR(ROUND($D284*INDEX('🔖 배합비 참조'!$B$2:$CE$83,MATCH("자색고구마가루(중국산)",'🔖 배합비 참조'!$A$2:$A$83,0),MATCH($C284,'🔖 배합비 참조'!$B$1:$CE$1,0))/100,0),""))),"")</f>
        <v>0</v>
      </c>
      <c r="BM284" s="42" t="n">
        <f aca="false">IFERROR(IF($C284="","",IF($D284="","",IFERROR(ROUND($D284*INDEX('🔖 배합비 참조'!$B$2:$CE$83,MATCH("자연치즈(체다치즈)",'🔖 배합비 참조'!$A$2:$A$83,0),MATCH($C284,'🔖 배합비 참조'!$B$1:$CE$1,0))/100,0),""))),"")</f>
        <v>0</v>
      </c>
      <c r="BN284" s="42" t="n">
        <f aca="false">IFERROR(IF($C284="","",IF($D284="","",IFERROR(ROUND($D284*INDEX('🔖 배합비 참조'!$B$2:$CE$83,MATCH("정제수",'🔖 배합비 참조'!$A$2:$A$83,0),MATCH($C284,'🔖 배합비 참조'!$B$1:$CE$1,0))/100,0),""))),"")</f>
        <v>0</v>
      </c>
      <c r="BO284" s="42" t="n">
        <f aca="false">IFERROR(IF($C284="","",IF($D284="","",IFERROR(ROUND($D284*INDEX('🔖 배합비 참조'!$B$2:$CE$83,MATCH("젤라틴",'🔖 배합비 참조'!$A$2:$A$83,0),MATCH($C284,'🔖 배합비 참조'!$B$1:$CE$1,0))/100,0),""))),"")</f>
        <v>0</v>
      </c>
      <c r="BP284" s="42" t="n">
        <f aca="false">IFERROR(IF($C284="","",IF($D284="","",IFERROR(ROUND($D284*INDEX('🔖 배합비 참조'!$B$2:$CE$83,MATCH("조림류(백옥앙금)",'🔖 배합비 참조'!$A$2:$A$83,0),MATCH($C284,'🔖 배합비 참조'!$B$1:$CE$1,0))/100,0),""))),"")</f>
        <v>0</v>
      </c>
      <c r="BQ284" s="42" t="n">
        <f aca="false">IFERROR(IF($C284="","",IF($D284="","",IFERROR(ROUND($D284*INDEX('🔖 배합비 참조'!$B$2:$CE$83,MATCH("조림류(통팥앙금)",'🔖 배합비 참조'!$A$2:$A$83,0),MATCH($C284,'🔖 배합비 참조'!$B$1:$CE$1,0))/100,0),""))),"")</f>
        <v>0</v>
      </c>
      <c r="BR284" s="42" t="n">
        <f aca="false">IFERROR(IF($C284="","",IF($D284="","",IFERROR(ROUND($D284*INDEX('🔖 배합비 참조'!$B$2:$CE$83,MATCH("준초콜릿(외국산)",'🔖 배합비 참조'!$A$2:$A$83,0),MATCH($C284,'🔖 배합비 참조'!$B$1:$CE$1,0))/100,0),""))),"")</f>
        <v>0</v>
      </c>
      <c r="BS284" s="42" t="n">
        <f aca="false">IFERROR(IF($C284="","",IF($D284="","",IFERROR(ROUND($D284*INDEX('🔖 배합비 참조'!$B$2:$CE$83,MATCH("중력분",'🔖 배합비 참조'!$A$2:$A$83,0),MATCH($C284,'🔖 배합비 참조'!$B$1:$CE$1,0))/100,0),""))),"")</f>
        <v>1</v>
      </c>
      <c r="BT284" s="42" t="n">
        <f aca="false">IFERROR(IF($C284="","",IF($D284="","",IFERROR(ROUND($D284*INDEX('🔖 배합비 참조'!$B$2:$CE$83,MATCH("참깨(인도산,나이지리아산,탄자니아산,미얀마산)",'🔖 배합비 참조'!$A$2:$A$83,0),MATCH($C284,'🔖 배합비 참조'!$B$1:$CE$1,0))/100,0),""))),"")</f>
        <v>0</v>
      </c>
      <c r="BU284" s="42" t="n">
        <f aca="false">IFERROR(IF($C284="","",IF($D284="","",IFERROR(ROUND($D284*INDEX('🔖 배합비 참조'!$B$2:$CE$83,MATCH("찹쌀(국내산)",'🔖 배합비 참조'!$A$2:$A$83,0),MATCH($C284,'🔖 배합비 참조'!$B$1:$CE$1,0))/100,0),""))),"")</f>
        <v>50</v>
      </c>
      <c r="BV284" s="42" t="n">
        <f aca="false">IFERROR(IF($C284="","",IF($D284="","",IFERROR(ROUND($D284*INDEX('🔖 배합비 참조'!$B$2:$CE$83,MATCH("천일염",'🔖 배합비 참조'!$A$2:$A$83,0),MATCH($C284,'🔖 배합비 참조'!$B$1:$CE$1,0))/100,0),""))),"")</f>
        <v>1</v>
      </c>
      <c r="BW284" s="42" t="n">
        <f aca="false">IFERROR(IF($C284="","",IF($D284="","",IFERROR(ROUND($D284*INDEX('🔖 배합비 참조'!$B$2:$CE$83,MATCH("치즈 [크림치즈]",'🔖 배합비 참조'!$A$2:$A$83,0),MATCH($C284,'🔖 배합비 참조'!$B$1:$CE$1,0))/100,0),""))),"")</f>
        <v>0</v>
      </c>
      <c r="BX284" s="42" t="n">
        <f aca="false">IFERROR(IF($C284="","",IF($D284="","",IFERROR(ROUND($D284*INDEX('🔖 배합비 참조'!$B$2:$CE$83,MATCH("코코아가공품류(코코아분말)",'🔖 배합비 참조'!$A$2:$A$83,0),MATCH($C284,'🔖 배합비 참조'!$B$1:$CE$1,0))/100,0),""))),"")</f>
        <v>0</v>
      </c>
      <c r="BY284" s="42" t="n">
        <f aca="false">IFERROR(IF($C284="","",IF($D284="","",IFERROR(ROUND($D284*INDEX('🔖 배합비 참조'!$B$2:$CE$83,MATCH("콩기름(대두유)",'🔖 배합비 참조'!$A$2:$A$83,0),MATCH($C284,'🔖 배합비 참조'!$B$1:$CE$1,0))/100,0),""))),"")</f>
        <v>0</v>
      </c>
      <c r="BZ284" s="42" t="n">
        <f aca="false">IFERROR(IF($C284="","",IF($D284="","",IFERROR(ROUND($D284*INDEX('🔖 배합비 참조'!$B$2:$CE$83,MATCH("해바라기씨앗",'🔖 배합비 참조'!$A$2:$A$83,0),MATCH($C284,'🔖 배합비 참조'!$B$1:$CE$1,0))/100,0),""))),"")</f>
        <v>1</v>
      </c>
      <c r="CA284" s="42" t="n">
        <f aca="false">IFERROR(IF($C284="","",IF($D284="","",IFERROR(ROUND($D284*INDEX('🔖 배합비 참조'!$B$2:$CE$83,MATCH("현미(국내산)",'🔖 배합비 참조'!$A$2:$A$83,0),MATCH($C284,'🔖 배합비 참조'!$B$1:$CE$1,0))/100,0),""))),"")</f>
        <v>0</v>
      </c>
      <c r="CB284" s="42" t="n">
        <f aca="false">IFERROR(IF($C284="","",IF($D284="","",IFERROR(ROUND($D284*INDEX('🔖 배합비 참조'!$B$2:$CE$83,MATCH("현미멥쌀(국내산)",'🔖 배합비 참조'!$A$2:$A$83,0),MATCH($C284,'🔖 배합비 참조'!$B$1:$CE$1,0))/100,0),""))),"")</f>
        <v>0</v>
      </c>
      <c r="CC284" s="42" t="n">
        <f aca="false">IFERROR(IF($C284="","",IF($D284="","",IFERROR(ROUND($D284*INDEX('🔖 배합비 참조'!$B$2:$CE$83,MATCH("호두분태(미국산)",'🔖 배합비 참조'!$A$2:$A$83,0),MATCH($C284,'🔖 배합비 참조'!$B$1:$CE$1,0))/100,0),""))),"")</f>
        <v>0</v>
      </c>
      <c r="CD284" s="42" t="n">
        <f aca="false">IFERROR(IF($C284="","",IF($D284="","",IFERROR(ROUND($D284*INDEX('🔖 배합비 참조'!$B$2:$CE$83,MATCH("호박씨앗(외국산)",'🔖 배합비 참조'!$A$2:$A$83,0),MATCH($C284,'🔖 배합비 참조'!$B$1:$CE$1,0))/100,0),""))),"")</f>
        <v>1</v>
      </c>
      <c r="CE284" s="42" t="n">
        <f aca="false">IFERROR(IF($C284="","",IF($D284="","",IFERROR(ROUND($D284*INDEX('🔖 배합비 참조'!$B$2:$CE$83,MATCH("혼합제제(떡용에스텔)",'🔖 배합비 참조'!$A$2:$A$83,0),MATCH($C284,'🔖 배합비 참조'!$B$1:$CE$1,0))/100,0),""))),"")</f>
        <v>0</v>
      </c>
      <c r="CF284" s="42" t="n">
        <f aca="false">IFERROR(IF($C284="","",IF($D284="","",IFERROR(ROUND($D284*INDEX('🔖 배합비 참조'!$B$2:$CE$83,MATCH("혼합제제(스테비아)",'🔖 배합비 참조'!$A$2:$A$83,0),MATCH($C284,'🔖 배합비 참조'!$B$1:$CE$1,0))/100,0),""))),"")</f>
        <v>0</v>
      </c>
      <c r="CG284" s="42" t="n">
        <f aca="false">IFERROR(IF($C284="","",IF($D284="","",IFERROR(ROUND($D284*INDEX('🔖 배합비 참조'!$B$2:$CE$83,MATCH("화이트초콜릿",'🔖 배합비 참조'!$A$2:$A$83,0),MATCH($C284,'🔖 배합비 참조'!$B$1:$CE$1,0))/100,0),""))),"")</f>
        <v>0</v>
      </c>
      <c r="CH284" s="42" t="n">
        <f aca="false">IFERROR(IF($C284="","",IF($D284="","",IFERROR(ROUND($D284*INDEX('🔖 배합비 참조'!$B$2:$CE$83,MATCH("흑미찹쌀(국내산)",'🔖 배합비 참조'!$A$2:$A$83,0),MATCH($C284,'🔖 배합비 참조'!$B$1:$CE$1,0))/100,0),""))),"")</f>
        <v>3</v>
      </c>
      <c r="CI284" s="42" t="n">
        <f aca="false">IFERROR(IF($C284="","",IF($D284="","",IFERROR(ROUND($D284*INDEX('🔖 배합비 참조'!$B$2:$CE$83,MATCH("찰옥수수전분(미국산)",'🔖 배합비 참조'!$A$2:$A$83,0),MATCH($C284,'🔖 배합비 참조'!$B$1:$CE$1,0))/100,0),""))),"")</f>
        <v>0</v>
      </c>
      <c r="CJ284" s="40"/>
      <c r="CL284" s="43" t="s">
        <v>248</v>
      </c>
    </row>
    <row r="285" customFormat="false" ht="18" hidden="false" customHeight="true" outlineLevel="0" collapsed="false">
      <c r="A285" s="35" t="n">
        <v>281</v>
      </c>
      <c r="B285" s="36" t="n">
        <v>46097</v>
      </c>
      <c r="C285" s="37" t="s">
        <v>191</v>
      </c>
      <c r="D285" s="38" t="n">
        <v>1100</v>
      </c>
      <c r="E285" s="13"/>
      <c r="F285" s="13"/>
      <c r="G285" s="39" t="n">
        <f aca="false">IFERROR(IF($C285="","",IF($D285="","",IFERROR(ROUND($D285*INDEX('🔖 배합비 참조'!$B$2:$CE$83,MATCH("간장",'🔖 배합비 참조'!$A$2:$A$83,0),MATCH($C285,'🔖 배합비 참조'!$B$1:$CE$1,0))/100,0),""))),"")</f>
        <v>0</v>
      </c>
      <c r="H285" s="39" t="n">
        <f aca="false">IFERROR(IF($C285="","",IF($D285="","",IFERROR(ROUND($D285*INDEX('🔖 배합비 참조'!$B$2:$CE$83,MATCH("강낭콩((울타리콩))",'🔖 배합비 참조'!$A$2:$A$83,0),MATCH($C285,'🔖 배합비 참조'!$B$1:$CE$1,0))/100,0),""))),"")</f>
        <v>0</v>
      </c>
      <c r="I285" s="39" t="n">
        <f aca="false">IFERROR(IF($C285="","",IF($D285="","",IFERROR(ROUND($D285*INDEX('🔖 배합비 참조'!$B$2:$CE$83,MATCH("건조딸기다이스(외국산)",'🔖 배합비 참조'!$A$2:$A$83,0),MATCH($C285,'🔖 배합비 참조'!$B$1:$CE$1,0))/100,0),""))),"")</f>
        <v>0</v>
      </c>
      <c r="J285" s="39" t="n">
        <f aca="false">IFERROR(IF($C285="","",IF($D285="","",IFERROR(ROUND($D285*INDEX('🔖 배합비 참조'!$B$2:$CE$83,MATCH("건포도",'🔖 배합비 참조'!$A$2:$A$83,0),MATCH($C285,'🔖 배합비 참조'!$B$1:$CE$1,0))/100,0),""))),"")</f>
        <v>0</v>
      </c>
      <c r="K285" s="39" t="n">
        <f aca="false">IFERROR(IF($C285="","",IF($D285="","",IFERROR(ROUND($D285*INDEX('🔖 배합비 참조'!$B$2:$CE$83,MATCH("건호박채(중국산)",'🔖 배합비 참조'!$A$2:$A$83,0),MATCH($C285,'🔖 배합비 참조'!$B$1:$CE$1,0))/100,0),""))),"")</f>
        <v>0</v>
      </c>
      <c r="L285" s="39" t="n">
        <f aca="false">IFERROR(IF($C285="","",IF($D285="","",IFERROR(ROUND($D285*INDEX('🔖 배합비 참조'!$B$2:$CE$83,MATCH("검정깨(흑임자)",'🔖 배합비 참조'!$A$2:$A$83,0),MATCH($C285,'🔖 배합비 참조'!$B$1:$CE$1,0))/100,0),""))),"")</f>
        <v>0</v>
      </c>
      <c r="M285" s="39" t="n">
        <f aca="false">IFERROR(IF($C285="","",IF($D285="","",IFERROR(ROUND($D285*INDEX('🔖 배합비 참조'!$B$2:$CE$83,MATCH("검정콩",'🔖 배합비 참조'!$A$2:$A$83,0),MATCH($C285,'🔖 배합비 참조'!$B$1:$CE$1,0))/100,0),""))),"")</f>
        <v>0</v>
      </c>
      <c r="N285" s="39" t="n">
        <f aca="false">IFERROR(IF($C285="","",IF($D285="","",IFERROR(ROUND($D285*INDEX('🔖 배합비 참조'!$B$2:$CE$83,MATCH("계피가루",'🔖 배합비 참조'!$A$2:$A$83,0),MATCH($C285,'🔖 배합비 참조'!$B$1:$CE$1,0))/100,0),""))),"")</f>
        <v>0</v>
      </c>
      <c r="O285" s="39" t="n">
        <f aca="false">IFERROR(IF($C285="","",IF($D285="","",IFERROR(ROUND($D285*INDEX('🔖 배합비 참조'!$B$2:$CE$83,MATCH("고구마가루",'🔖 배합비 참조'!$A$2:$A$83,0),MATCH($C285,'🔖 배합비 참조'!$B$1:$CE$1,0))/100,0),""))),"")</f>
        <v>0</v>
      </c>
      <c r="P285" s="39" t="n">
        <f aca="false">IFERROR(IF($C285="","",IF($D285="","",IFERROR(ROUND($D285*INDEX('🔖 배합비 참조'!$B$2:$CE$83,MATCH("고구마무스",'🔖 배합비 참조'!$A$2:$A$83,0),MATCH($C285,'🔖 배합비 참조'!$B$1:$CE$1,0))/100,0),""))),"")</f>
        <v>0</v>
      </c>
      <c r="Q285" s="39" t="n">
        <f aca="false">IFERROR(IF($C285="","",IF($D285="","",IFERROR(ROUND($D285*INDEX('🔖 배합비 참조'!$B$2:$CE$83,MATCH("고려엉겅퀴((곤드레)국내산)",'🔖 배합비 참조'!$A$2:$A$83,0),MATCH($C285,'🔖 배합비 참조'!$B$1:$CE$1,0))/100,0),""))),"")</f>
        <v>0</v>
      </c>
      <c r="R285" s="39" t="n">
        <f aca="false">IFERROR(IF($C285="","",IF($D285="","",IFERROR(ROUND($D285*INDEX('🔖 배합비 참조'!$B$2:$CE$83,MATCH("기타가공품(복분자가루)",'🔖 배합비 참조'!$A$2:$A$83,0),MATCH($C285,'🔖 배합비 참조'!$B$1:$CE$1,0))/100,0),""))),"")</f>
        <v>0</v>
      </c>
      <c r="S285" s="39" t="n">
        <f aca="false">IFERROR(IF($C285="","",IF($D285="","",IFERROR(ROUND($D285*INDEX('🔖 배합비 참조'!$B$2:$CE$83,MATCH("기타가공품(슈퍼소프트엠)",'🔖 배합비 참조'!$A$2:$A$83,0),MATCH($C285,'🔖 배합비 참조'!$B$1:$CE$1,0))/100,0),""))),"")</f>
        <v>0</v>
      </c>
      <c r="T285" s="39" t="n">
        <f aca="false">IFERROR(IF($C285="","",IF($D285="","",IFERROR(ROUND($D285*INDEX('🔖 배합비 참조'!$B$2:$CE$83,MATCH("기타가공품(파인소프트 E-티)",'🔖 배합비 참조'!$A$2:$A$83,0),MATCH($C285,'🔖 배합비 참조'!$B$1:$CE$1,0))/100,0),""))),"")</f>
        <v>0</v>
      </c>
      <c r="U285" s="39" t="n">
        <f aca="false">IFERROR(IF($C285="","",IF($D285="","",IFERROR(ROUND($D285*INDEX('🔖 배합비 참조'!$B$2:$CE$83,MATCH("기타가공품(프리미엄카스테라가루)",'🔖 배합비 참조'!$A$2:$A$83,0),MATCH($C285,'🔖 배합비 참조'!$B$1:$CE$1,0))/100,0),""))),"")</f>
        <v>0</v>
      </c>
      <c r="V285" s="39" t="n">
        <f aca="false">IFERROR(IF($C285="","",IF($D285="","",IFERROR(ROUND($D285*INDEX('🔖 배합비 참조'!$B$2:$CE$83,MATCH("기타가공품(흑임자가루)",'🔖 배합비 참조'!$A$2:$A$83,0),MATCH($C285,'🔖 배합비 참조'!$B$1:$CE$1,0))/100,0),""))),"")</f>
        <v>0</v>
      </c>
      <c r="W285" s="39" t="n">
        <f aca="false">IFERROR(IF($C285="","",IF($D285="","",IFERROR(ROUND($D285*INDEX('🔖 배합비 참조'!$B$2:$CE$83,MATCH("기타설탕(흑설탕)",'🔖 배합비 참조'!$A$2:$A$83,0),MATCH($C285,'🔖 배합비 참조'!$B$1:$CE$1,0))/100,0),""))),"")</f>
        <v>0</v>
      </c>
      <c r="X285" s="39" t="n">
        <f aca="false">IFERROR(IF($C285="","",IF($D285="","",IFERROR(ROUND($D285*INDEX('🔖 배합비 참조'!$B$2:$CE$83,MATCH("냉동쑥(국내산)",'🔖 배합비 참조'!$A$2:$A$83,0),MATCH($C285,'🔖 배합비 참조'!$B$1:$CE$1,0))/100,0),""))),"")</f>
        <v>0</v>
      </c>
      <c r="Y285" s="39" t="n">
        <f aca="false">IFERROR(IF($C285="","",IF($D285="","",IFERROR(ROUND($D285*INDEX('🔖 배합비 참조'!$B$2:$CE$83,MATCH("냉동증숙고구마(중국산)",'🔖 배합비 참조'!$A$2:$A$83,0),MATCH($C285,'🔖 배합비 참조'!$B$1:$CE$1,0))/100,0),""))),"")</f>
        <v>0</v>
      </c>
      <c r="Z285" s="39" t="n">
        <f aca="false">IFERROR(IF($C285="","",IF($D285="","",IFERROR(ROUND($D285*INDEX('🔖 배합비 참조'!$B$2:$CE$83,MATCH("녹차가루",'🔖 배합비 참조'!$A$2:$A$83,0),MATCH($C285,'🔖 배합비 참조'!$B$1:$CE$1,0))/100,0),""))),"")</f>
        <v>0</v>
      </c>
      <c r="AA285" s="39" t="n">
        <f aca="false">IFERROR(IF($C285="","",IF($D285="","",IFERROR(ROUND($D285*INDEX('🔖 배합비 참조'!$B$2:$CE$83,MATCH("다크초콜릿 컴파운드칩",'🔖 배합비 참조'!$A$2:$A$83,0),MATCH($C285,'🔖 배합비 참조'!$B$1:$CE$1,0))/100,0),""))),"")</f>
        <v>0</v>
      </c>
      <c r="AB285" s="39" t="n">
        <f aca="false">IFERROR(IF($C285="","",IF($D285="","",IFERROR(ROUND($D285*INDEX('🔖 배합비 참조'!$B$2:$CE$83,MATCH("단호박분말(중국산)",'🔖 배합비 참조'!$A$2:$A$83,0),MATCH($C285,'🔖 배합비 참조'!$B$1:$CE$1,0))/100,0),""))),"")</f>
        <v>0</v>
      </c>
      <c r="AC285" s="39" t="n">
        <f aca="false">IFERROR(IF($C285="","",IF($D285="","",IFERROR(ROUND($D285*INDEX('🔖 배합비 참조'!$B$2:$CE$83,MATCH("당류가공품(단호박농축액)",'🔖 배합비 참조'!$A$2:$A$83,0),MATCH($C285,'🔖 배합비 참조'!$B$1:$CE$1,0))/100,0),""))),"")</f>
        <v>0</v>
      </c>
      <c r="AD285" s="39" t="n">
        <f aca="false">IFERROR(IF($C285="","",IF($D285="","",IFERROR(ROUND($D285*INDEX('🔖 배합비 참조'!$B$2:$CE$83,MATCH("당류가공품(알룰로스,에리스리톨,스테비올배당체혼합)",'🔖 배합비 참조'!$A$2:$A$83,0),MATCH($C285,'🔖 배합비 참조'!$B$1:$CE$1,0))/100,0),""))),"")</f>
        <v>0</v>
      </c>
      <c r="AE285" s="39" t="n">
        <f aca="false">IFERROR(IF($C285="","",IF($D285="","",IFERROR(ROUND($D285*INDEX('🔖 배합비 참조'!$B$2:$CE$83,MATCH("당류가공품(알룰로스제로파우더)",'🔖 배합비 참조'!$A$2:$A$83,0),MATCH($C285,'🔖 배합비 참조'!$B$1:$CE$1,0))/100,0),""))),"")</f>
        <v>0</v>
      </c>
      <c r="AF285" s="39" t="n">
        <f aca="false">IFERROR(IF($C285="","",IF($D285="","",IFERROR(ROUND($D285*INDEX('🔖 배합비 참조'!$B$2:$CE$83,MATCH("당절임(완두배기)",'🔖 배합비 참조'!$A$2:$A$83,0),MATCH($C285,'🔖 배합비 참조'!$B$1:$CE$1,0))/100,0),""))),"")</f>
        <v>0</v>
      </c>
      <c r="AG285" s="39" t="n">
        <f aca="false">IFERROR(IF($C285="","",IF($D285="","",IFERROR(ROUND($D285*INDEX('🔖 배합비 참조'!$B$2:$CE$83,MATCH("대추농축액",'🔖 배합비 참조'!$A$2:$A$83,0),MATCH($C285,'🔖 배합비 참조'!$B$1:$CE$1,0))/100,0),""))),"")</f>
        <v>0</v>
      </c>
      <c r="AH285" s="39" t="n">
        <f aca="false">IFERROR(IF($C285="","",IF($D285="","",IFERROR(ROUND($D285*INDEX('🔖 배합비 참조'!$B$2:$CE$83,MATCH("대추채(국내산)",'🔖 배합비 참조'!$A$2:$A$83,0),MATCH($C285,'🔖 배합비 참조'!$B$1:$CE$1,0))/100,0),""))),"")</f>
        <v>0</v>
      </c>
      <c r="AI285" s="39" t="n">
        <f aca="false">IFERROR(IF($C285="","",IF($D285="","",IFERROR(ROUND($D285*INDEX('🔖 배합비 참조'!$B$2:$CE$83,MATCH("동부(미얀마산)",'🔖 배합비 참조'!$A$2:$A$83,0),MATCH($C285,'🔖 배합비 참조'!$B$1:$CE$1,0))/100,0),""))),"")</f>
        <v>0</v>
      </c>
      <c r="AJ285" s="39" t="n">
        <f aca="false">IFERROR(IF($C285="","",IF($D285="","",IFERROR(ROUND($D285*INDEX('🔖 배합비 참조'!$B$2:$CE$83,MATCH("두류가공품(백옥앙금)",'🔖 배합비 참조'!$A$2:$A$83,0),MATCH($C285,'🔖 배합비 참조'!$B$1:$CE$1,0))/100,0),""))),"")</f>
        <v>0</v>
      </c>
      <c r="AK285" s="39" t="n">
        <f aca="false">IFERROR(IF($C285="","",IF($D285="","",IFERROR(ROUND($D285*INDEX('🔖 배합비 참조'!$B$2:$CE$83,MATCH("두류가공품(콩고물)",'🔖 배합비 참조'!$A$2:$A$83,0),MATCH($C285,'🔖 배합비 참조'!$B$1:$CE$1,0))/100,0),""))),"")</f>
        <v>0</v>
      </c>
      <c r="AL285" s="39" t="n">
        <f aca="false">IFERROR(IF($C285="","",IF($D285="","",IFERROR(ROUND($D285*INDEX('🔖 배합비 참조'!$B$2:$CE$83,MATCH("두류가공품(통팥고물)",'🔖 배합비 참조'!$A$2:$A$83,0),MATCH($C285,'🔖 배합비 참조'!$B$1:$CE$1,0))/100,0),""))),"")</f>
        <v>0</v>
      </c>
      <c r="AM285" s="39" t="n">
        <f aca="false">IFERROR(IF($C285="","",IF($D285="","",IFERROR(ROUND($D285*INDEX('🔖 배합비 참조'!$B$2:$CE$83,MATCH("딸기레진",'🔖 배합비 참조'!$A$2:$A$83,0),MATCH($C285,'🔖 배합비 참조'!$B$1:$CE$1,0))/100,0),""))),"")</f>
        <v>0</v>
      </c>
      <c r="AN285" s="39" t="n">
        <f aca="false">IFERROR(IF($C285="","",IF($D285="","",IFERROR(ROUND($D285*INDEX('🔖 배합비 참조'!$B$2:$CE$83,MATCH("딸기분말(스트로우베리에이드(분말))",'🔖 배합비 참조'!$A$2:$A$83,0),MATCH($C285,'🔖 배합비 참조'!$B$1:$CE$1,0))/100,0),""))),"")</f>
        <v>0</v>
      </c>
      <c r="AO285" s="39" t="n">
        <f aca="false">IFERROR(IF($C285="","",IF($D285="","",IFERROR(ROUND($D285*INDEX('🔖 배합비 참조'!$B$2:$CE$83,MATCH("마스카포네치즈",'🔖 배합비 참조'!$A$2:$A$83,0),MATCH($C285,'🔖 배합비 참조'!$B$1:$CE$1,0))/100,0),""))),"")</f>
        <v>0</v>
      </c>
      <c r="AP285" s="39" t="n">
        <f aca="false">IFERROR(IF($C285="","",IF($D285="","",IFERROR(ROUND($D285*INDEX('🔖 배합비 참조'!$B$2:$CE$83,MATCH("마카다미아분태(호주산)",'🔖 배합비 참조'!$A$2:$A$83,0),MATCH($C285,'🔖 배합비 참조'!$B$1:$CE$1,0))/100,0),""))),"")</f>
        <v>0</v>
      </c>
      <c r="AQ285" s="39" t="n">
        <f aca="false">IFERROR(IF($C285="","",IF($D285="","",IFERROR(ROUND($D285*INDEX('🔖 배합비 참조'!$B$2:$CE$83,MATCH("멥쌀(국내산)",'🔖 배합비 참조'!$A$2:$A$83,0),MATCH($C285,'🔖 배합비 참조'!$B$1:$CE$1,0))/100,0),""))),"")</f>
        <v>22</v>
      </c>
      <c r="AR285" s="39" t="n">
        <f aca="false">IFERROR(IF($C285="","",IF($D285="","",IFERROR(ROUND($D285*INDEX('🔖 배합비 참조'!$B$2:$CE$83,MATCH("모시잎(국내산)",'🔖 배합비 참조'!$A$2:$A$83,0),MATCH($C285,'🔖 배합비 참조'!$B$1:$CE$1,0))/100,0),""))),"")</f>
        <v>0</v>
      </c>
      <c r="AS285" s="39" t="n">
        <f aca="false">IFERROR(IF($C285="","",IF($D285="","",IFERROR(ROUND($D285*INDEX('🔖 배합비 참조'!$B$2:$CE$83,MATCH("물엿(저당물엿)",'🔖 배합비 참조'!$A$2:$A$83,0),MATCH($C285,'🔖 배합비 참조'!$B$1:$CE$1,0))/100,0),""))),"")</f>
        <v>0</v>
      </c>
      <c r="AT285" s="39" t="n">
        <f aca="false">IFERROR(IF($C285="","",IF($D285="","",IFERROR(ROUND($D285*INDEX('🔖 배합비 참조'!$B$2:$CE$83,MATCH("밤다이스",'🔖 배합비 참조'!$A$2:$A$83,0),MATCH($C285,'🔖 배합비 참조'!$B$1:$CE$1,0))/100,0),""))),"")</f>
        <v>0</v>
      </c>
      <c r="AU285" s="39" t="n">
        <f aca="false">IFERROR(IF($C285="","",IF($D285="","",IFERROR(ROUND($D285*INDEX('🔖 배합비 참조'!$B$2:$CE$83,MATCH("변성전분(타피오카전분)",'🔖 배합비 참조'!$A$2:$A$83,0),MATCH($C285,'🔖 배합비 참조'!$B$1:$CE$1,0))/100,0),""))),"")</f>
        <v>0</v>
      </c>
      <c r="AV285" s="39" t="n">
        <f aca="false">IFERROR(IF($C285="","",IF($D285="","",IFERROR(ROUND($D285*INDEX('🔖 배합비 참조'!$B$2:$CE$83,MATCH("복음땅콩분태",'🔖 배합비 참조'!$A$2:$A$83,0),MATCH($C285,'🔖 배합비 참조'!$B$1:$CE$1,0))/100,0),""))),"")</f>
        <v>0</v>
      </c>
      <c r="AW285" s="39" t="n">
        <f aca="false">IFERROR(IF($C285="","",IF($D285="","",IFERROR(ROUND($D285*INDEX('🔖 배합비 참조'!$B$2:$CE$83,MATCH("사양벌꿀(국내산)",'🔖 배합비 참조'!$A$2:$A$83,0),MATCH($C285,'🔖 배합비 참조'!$B$1:$CE$1,0))/100,0),""))),"")</f>
        <v>0</v>
      </c>
      <c r="AX285" s="39" t="n">
        <f aca="false">IFERROR(IF($C285="","",IF($D285="","",IFERROR(ROUND($D285*INDEX('🔖 배합비 참조'!$B$2:$CE$83,MATCH("생크림",'🔖 배합비 참조'!$A$2:$A$83,0),MATCH($C285,'🔖 배합비 참조'!$B$1:$CE$1,0))/100,0),""))),"")</f>
        <v>0</v>
      </c>
      <c r="AY285" s="39" t="n">
        <f aca="false">IFERROR(IF($C285="","",IF($D285="","",IFERROR(ROUND($D285*INDEX('🔖 배합비 참조'!$B$2:$CE$83,MATCH("서양호박(국내산,뉴질랜드산)",'🔖 배합비 참조'!$A$2:$A$83,0),MATCH($C285,'🔖 배합비 참조'!$B$1:$CE$1,0))/100,0),""))),"")</f>
        <v>0</v>
      </c>
      <c r="AZ285" s="39" t="n">
        <f aca="false">IFERROR(IF($C285="","",IF($D285="","",IFERROR(ROUND($D285*INDEX('🔖 배합비 참조'!$B$2:$CE$83,MATCH("설탕",'🔖 배합비 참조'!$A$2:$A$83,0),MATCH($C285,'🔖 배합비 참조'!$B$1:$CE$1,0))/100,0),""))),"")</f>
        <v>209</v>
      </c>
      <c r="BA285" s="39" t="n">
        <f aca="false">IFERROR(IF($C285="","",IF($D285="","",IFERROR(ROUND($D285*INDEX('🔖 배합비 참조'!$B$2:$CE$83,MATCH("스트로우베리 에이드 후레쉬",'🔖 배합비 참조'!$A$2:$A$83,0),MATCH($C285,'🔖 배합비 참조'!$B$1:$CE$1,0))/100,0),""))),"")</f>
        <v>0</v>
      </c>
      <c r="BB285" s="39" t="n">
        <f aca="false">IFERROR(IF($C285="","",IF($D285="","",IFERROR(ROUND($D285*INDEX('🔖 배합비 참조'!$B$2:$CE$83,MATCH("식물성기름혼합제제(분홍)",'🔖 배합비 참조'!$A$2:$A$83,0),MATCH($C285,'🔖 배합비 참조'!$B$1:$CE$1,0))/100,0),""))),"")</f>
        <v>0</v>
      </c>
      <c r="BC285" s="39" t="n">
        <f aca="false">IFERROR(IF($C285="","",IF($D285="","",IFERROR(ROUND($D285*INDEX('🔖 배합비 참조'!$B$2:$CE$83,MATCH("식물성기름혼합제제(초록)",'🔖 배합비 참조'!$A$2:$A$83,0),MATCH($C285,'🔖 배합비 참조'!$B$1:$CE$1,0))/100,0),""))),"")</f>
        <v>0</v>
      </c>
      <c r="BD285" s="39" t="n">
        <f aca="false">IFERROR(IF($C285="","",IF($D285="","",IFERROR(ROUND($D285*INDEX('🔖 배합비 참조'!$B$2:$CE$83,MATCH("식물성기름혼합제제(황색)",'🔖 배합비 참조'!$A$2:$A$83,0),MATCH($C285,'🔖 배합비 참조'!$B$1:$CE$1,0))/100,0),""))),"")</f>
        <v>0</v>
      </c>
      <c r="BE285" s="39" t="n">
        <f aca="false">IFERROR(IF($C285="","",IF($D285="","",IFERROR(ROUND($D285*INDEX('🔖 배합비 참조'!$B$2:$CE$83,MATCH("쑥가루(국내산)",'🔖 배합비 참조'!$A$2:$A$83,0),MATCH($C285,'🔖 배합비 참조'!$B$1:$CE$1,0))/100,0),""))),"")</f>
        <v>0</v>
      </c>
      <c r="BF285" s="39" t="n">
        <f aca="false">IFERROR(IF($C285="","",IF($D285="","",IFERROR(ROUND($D285*INDEX('🔖 배합비 참조'!$B$2:$CE$83,MATCH("아몬드슬라이스",'🔖 배합비 참조'!$A$2:$A$83,0),MATCH($C285,'🔖 배합비 참조'!$B$1:$CE$1,0))/100,0),""))),"")</f>
        <v>0</v>
      </c>
      <c r="BG285" s="39" t="n">
        <f aca="false">IFERROR(IF($C285="","",IF($D285="","",IFERROR(ROUND($D285*INDEX('🔖 배합비 참조'!$B$2:$CE$83,MATCH("알룰로오스(국내산)",'🔖 배합비 참조'!$A$2:$A$83,0),MATCH($C285,'🔖 배합비 참조'!$B$1:$CE$1,0))/100,0),""))),"")</f>
        <v>0</v>
      </c>
      <c r="BH285" s="39" t="n">
        <f aca="false">IFERROR(IF($C285="","",IF($D285="","",IFERROR(ROUND($D285*INDEX('🔖 배합비 참조'!$B$2:$CE$83,MATCH("연유",'🔖 배합비 참조'!$A$2:$A$83,0),MATCH($C285,'🔖 배합비 참조'!$B$1:$CE$1,0))/100,0),""))),"")</f>
        <v>0</v>
      </c>
      <c r="BI285" s="39" t="n">
        <f aca="false">IFERROR(IF($C285="","",IF($D285="","",IFERROR(ROUND($D285*INDEX('🔖 배합비 참조'!$B$2:$CE$83,MATCH("옥수수전분",'🔖 배합비 참조'!$A$2:$A$83,0),MATCH($C285,'🔖 배합비 참조'!$B$1:$CE$1,0))/100,0),""))),"")</f>
        <v>0</v>
      </c>
      <c r="BJ285" s="39" t="n">
        <f aca="false">IFERROR(IF($C285="","",IF($D285="","",IFERROR(ROUND($D285*INDEX('🔖 배합비 참조'!$B$2:$CE$83,MATCH("완두배기",'🔖 배합비 참조'!$A$2:$A$83,0),MATCH($C285,'🔖 배합비 참조'!$B$1:$CE$1,0))/100,0),""))),"")</f>
        <v>0</v>
      </c>
      <c r="BK285" s="39" t="n">
        <f aca="false">IFERROR(IF($C285="","",IF($D285="","",IFERROR(ROUND($D285*INDEX('🔖 배합비 참조'!$B$2:$CE$83,MATCH("우유(국내산)",'🔖 배합비 참조'!$A$2:$A$83,0),MATCH($C285,'🔖 배합비 참조'!$B$1:$CE$1,0))/100,0),""))),"")</f>
        <v>0</v>
      </c>
      <c r="BL285" s="39" t="n">
        <f aca="false">IFERROR(IF($C285="","",IF($D285="","",IFERROR(ROUND($D285*INDEX('🔖 배합비 참조'!$B$2:$CE$83,MATCH("자색고구마가루(중국산)",'🔖 배합비 참조'!$A$2:$A$83,0),MATCH($C285,'🔖 배합비 참조'!$B$1:$CE$1,0))/100,0),""))),"")</f>
        <v>0</v>
      </c>
      <c r="BM285" s="39" t="n">
        <f aca="false">IFERROR(IF($C285="","",IF($D285="","",IFERROR(ROUND($D285*INDEX('🔖 배합비 참조'!$B$2:$CE$83,MATCH("자연치즈(체다치즈)",'🔖 배합비 참조'!$A$2:$A$83,0),MATCH($C285,'🔖 배합비 참조'!$B$1:$CE$1,0))/100,0),""))),"")</f>
        <v>0</v>
      </c>
      <c r="BN285" s="39" t="n">
        <f aca="false">IFERROR(IF($C285="","",IF($D285="","",IFERROR(ROUND($D285*INDEX('🔖 배합비 참조'!$B$2:$CE$83,MATCH("정제수",'🔖 배합비 참조'!$A$2:$A$83,0),MATCH($C285,'🔖 배합비 참조'!$B$1:$CE$1,0))/100,0),""))),"")</f>
        <v>33</v>
      </c>
      <c r="BO285" s="39" t="n">
        <f aca="false">IFERROR(IF($C285="","",IF($D285="","",IFERROR(ROUND($D285*INDEX('🔖 배합비 참조'!$B$2:$CE$83,MATCH("젤라틴",'🔖 배합비 참조'!$A$2:$A$83,0),MATCH($C285,'🔖 배합비 참조'!$B$1:$CE$1,0))/100,0),""))),"")</f>
        <v>0</v>
      </c>
      <c r="BP285" s="39" t="n">
        <f aca="false">IFERROR(IF($C285="","",IF($D285="","",IFERROR(ROUND($D285*INDEX('🔖 배합비 참조'!$B$2:$CE$83,MATCH("조림류(백옥앙금)",'🔖 배합비 참조'!$A$2:$A$83,0),MATCH($C285,'🔖 배합비 참조'!$B$1:$CE$1,0))/100,0),""))),"")</f>
        <v>0</v>
      </c>
      <c r="BQ285" s="39" t="n">
        <f aca="false">IFERROR(IF($C285="","",IF($D285="","",IFERROR(ROUND($D285*INDEX('🔖 배합비 참조'!$B$2:$CE$83,MATCH("조림류(통팥앙금)",'🔖 배합비 참조'!$A$2:$A$83,0),MATCH($C285,'🔖 배합비 참조'!$B$1:$CE$1,0))/100,0),""))),"")</f>
        <v>198</v>
      </c>
      <c r="BR285" s="39" t="n">
        <f aca="false">IFERROR(IF($C285="","",IF($D285="","",IFERROR(ROUND($D285*INDEX('🔖 배합비 참조'!$B$2:$CE$83,MATCH("준초콜릿(외국산)",'🔖 배합비 참조'!$A$2:$A$83,0),MATCH($C285,'🔖 배합비 참조'!$B$1:$CE$1,0))/100,0),""))),"")</f>
        <v>0</v>
      </c>
      <c r="BS285" s="39" t="n">
        <f aca="false">IFERROR(IF($C285="","",IF($D285="","",IFERROR(ROUND($D285*INDEX('🔖 배합비 참조'!$B$2:$CE$83,MATCH("중력분",'🔖 배합비 참조'!$A$2:$A$83,0),MATCH($C285,'🔖 배합비 참조'!$B$1:$CE$1,0))/100,0),""))),"")</f>
        <v>22</v>
      </c>
      <c r="BT285" s="39" t="n">
        <f aca="false">IFERROR(IF($C285="","",IF($D285="","",IFERROR(ROUND($D285*INDEX('🔖 배합비 참조'!$B$2:$CE$83,MATCH("참깨(인도산,나이지리아산,탄자니아산,미얀마산)",'🔖 배합비 참조'!$A$2:$A$83,0),MATCH($C285,'🔖 배합비 참조'!$B$1:$CE$1,0))/100,0),""))),"")</f>
        <v>0</v>
      </c>
      <c r="BU285" s="39" t="n">
        <f aca="false">IFERROR(IF($C285="","",IF($D285="","",IFERROR(ROUND($D285*INDEX('🔖 배합비 참조'!$B$2:$CE$83,MATCH("찹쌀(국내산)",'🔖 배합비 참조'!$A$2:$A$83,0),MATCH($C285,'🔖 배합비 참조'!$B$1:$CE$1,0))/100,0),""))),"")</f>
        <v>473</v>
      </c>
      <c r="BV285" s="39" t="n">
        <f aca="false">IFERROR(IF($C285="","",IF($D285="","",IFERROR(ROUND($D285*INDEX('🔖 배합비 참조'!$B$2:$CE$83,MATCH("천일염",'🔖 배합비 참조'!$A$2:$A$83,0),MATCH($C285,'🔖 배합비 참조'!$B$1:$CE$1,0))/100,0),""))),"")</f>
        <v>22</v>
      </c>
      <c r="BW285" s="39" t="n">
        <f aca="false">IFERROR(IF($C285="","",IF($D285="","",IFERROR(ROUND($D285*INDEX('🔖 배합비 참조'!$B$2:$CE$83,MATCH("치즈 [크림치즈]",'🔖 배합비 참조'!$A$2:$A$83,0),MATCH($C285,'🔖 배합비 참조'!$B$1:$CE$1,0))/100,0),""))),"")</f>
        <v>0</v>
      </c>
      <c r="BX285" s="39" t="n">
        <f aca="false">IFERROR(IF($C285="","",IF($D285="","",IFERROR(ROUND($D285*INDEX('🔖 배합비 참조'!$B$2:$CE$83,MATCH("코코아가공품류(코코아분말)",'🔖 배합비 참조'!$A$2:$A$83,0),MATCH($C285,'🔖 배합비 참조'!$B$1:$CE$1,0))/100,0),""))),"")</f>
        <v>0</v>
      </c>
      <c r="BY285" s="39" t="n">
        <f aca="false">IFERROR(IF($C285="","",IF($D285="","",IFERROR(ROUND($D285*INDEX('🔖 배합비 참조'!$B$2:$CE$83,MATCH("콩기름(대두유)",'🔖 배합비 참조'!$A$2:$A$83,0),MATCH($C285,'🔖 배합비 참조'!$B$1:$CE$1,0))/100,0),""))),"")</f>
        <v>0</v>
      </c>
      <c r="BZ285" s="39" t="n">
        <f aca="false">IFERROR(IF($C285="","",IF($D285="","",IFERROR(ROUND($D285*INDEX('🔖 배합비 참조'!$B$2:$CE$83,MATCH("해바라기씨앗",'🔖 배합비 참조'!$A$2:$A$83,0),MATCH($C285,'🔖 배합비 참조'!$B$1:$CE$1,0))/100,0),""))),"")</f>
        <v>0</v>
      </c>
      <c r="CA285" s="39" t="n">
        <f aca="false">IFERROR(IF($C285="","",IF($D285="","",IFERROR(ROUND($D285*INDEX('🔖 배합비 참조'!$B$2:$CE$83,MATCH("현미(국내산)",'🔖 배합비 참조'!$A$2:$A$83,0),MATCH($C285,'🔖 배합비 참조'!$B$1:$CE$1,0))/100,0),""))),"")</f>
        <v>0</v>
      </c>
      <c r="CB285" s="39" t="n">
        <f aca="false">IFERROR(IF($C285="","",IF($D285="","",IFERROR(ROUND($D285*INDEX('🔖 배합비 참조'!$B$2:$CE$83,MATCH("현미멥쌀(국내산)",'🔖 배합비 참조'!$A$2:$A$83,0),MATCH($C285,'🔖 배합비 참조'!$B$1:$CE$1,0))/100,0),""))),"")</f>
        <v>0</v>
      </c>
      <c r="CC285" s="39" t="n">
        <f aca="false">IFERROR(IF($C285="","",IF($D285="","",IFERROR(ROUND($D285*INDEX('🔖 배합비 참조'!$B$2:$CE$83,MATCH("호두분태(미국산)",'🔖 배합비 참조'!$A$2:$A$83,0),MATCH($C285,'🔖 배합비 참조'!$B$1:$CE$1,0))/100,0),""))),"")</f>
        <v>0</v>
      </c>
      <c r="CD285" s="39" t="n">
        <f aca="false">IFERROR(IF($C285="","",IF($D285="","",IFERROR(ROUND($D285*INDEX('🔖 배합비 참조'!$B$2:$CE$83,MATCH("호박씨앗(외국산)",'🔖 배합비 참조'!$A$2:$A$83,0),MATCH($C285,'🔖 배합비 참조'!$B$1:$CE$1,0))/100,0),""))),"")</f>
        <v>0</v>
      </c>
      <c r="CE285" s="39" t="n">
        <f aca="false">IFERROR(IF($C285="","",IF($D285="","",IFERROR(ROUND($D285*INDEX('🔖 배합비 참조'!$B$2:$CE$83,MATCH("혼합제제(떡용에스텔)",'🔖 배합비 참조'!$A$2:$A$83,0),MATCH($C285,'🔖 배합비 참조'!$B$1:$CE$1,0))/100,0),""))),"")</f>
        <v>22</v>
      </c>
      <c r="CF285" s="39" t="n">
        <f aca="false">IFERROR(IF($C285="","",IF($D285="","",IFERROR(ROUND($D285*INDEX('🔖 배합비 참조'!$B$2:$CE$83,MATCH("혼합제제(스테비아)",'🔖 배합비 참조'!$A$2:$A$83,0),MATCH($C285,'🔖 배합비 참조'!$B$1:$CE$1,0))/100,0),""))),"")</f>
        <v>0</v>
      </c>
      <c r="CG285" s="39" t="n">
        <f aca="false">IFERROR(IF($C285="","",IF($D285="","",IFERROR(ROUND($D285*INDEX('🔖 배합비 참조'!$B$2:$CE$83,MATCH("화이트초콜릿",'🔖 배합비 참조'!$A$2:$A$83,0),MATCH($C285,'🔖 배합비 참조'!$B$1:$CE$1,0))/100,0),""))),"")</f>
        <v>0</v>
      </c>
      <c r="CH285" s="39" t="n">
        <f aca="false">IFERROR(IF($C285="","",IF($D285="","",IFERROR(ROUND($D285*INDEX('🔖 배합비 참조'!$B$2:$CE$83,MATCH("흑미찹쌀(국내산)",'🔖 배합비 참조'!$A$2:$A$83,0),MATCH($C285,'🔖 배합비 참조'!$B$1:$CE$1,0))/100,0),""))),"")</f>
        <v>0</v>
      </c>
      <c r="CI285" s="39" t="n">
        <f aca="false">IFERROR(IF($C285="","",IF($D285="","",IFERROR(ROUND($D285*INDEX('🔖 배합비 참조'!$B$2:$CE$83,MATCH("찰옥수수전분(미국산)",'🔖 배합비 참조'!$A$2:$A$83,0),MATCH($C285,'🔖 배합비 참조'!$B$1:$CE$1,0))/100,0),""))),"")</f>
        <v>99</v>
      </c>
      <c r="CJ285" s="40"/>
      <c r="CL285" s="43" t="s">
        <v>248</v>
      </c>
    </row>
    <row r="286" customFormat="false" ht="18" hidden="false" customHeight="true" outlineLevel="0" collapsed="false">
      <c r="A286" s="41" t="n">
        <v>282</v>
      </c>
      <c r="B286" s="36" t="n">
        <v>46098</v>
      </c>
      <c r="C286" s="37" t="s">
        <v>143</v>
      </c>
      <c r="D286" s="38" t="n">
        <v>60</v>
      </c>
      <c r="E286" s="17"/>
      <c r="F286" s="17"/>
      <c r="G286" s="42" t="n">
        <f aca="false">IFERROR(IF($C286="","",IF($D286="","",IFERROR(ROUND($D286*INDEX('🔖 배합비 참조'!$B$2:$CE$83,MATCH("간장",'🔖 배합비 참조'!$A$2:$A$83,0),MATCH($C286,'🔖 배합비 참조'!$B$1:$CE$1,0))/100,0),""))),"")</f>
        <v>0</v>
      </c>
      <c r="H286" s="42" t="n">
        <f aca="false">IFERROR(IF($C286="","",IF($D286="","",IFERROR(ROUND($D286*INDEX('🔖 배합비 참조'!$B$2:$CE$83,MATCH("강낭콩((울타리콩))",'🔖 배합비 참조'!$A$2:$A$83,0),MATCH($C286,'🔖 배합비 참조'!$B$1:$CE$1,0))/100,0),""))),"")</f>
        <v>0</v>
      </c>
      <c r="I286" s="42" t="n">
        <f aca="false">IFERROR(IF($C286="","",IF($D286="","",IFERROR(ROUND($D286*INDEX('🔖 배합비 참조'!$B$2:$CE$83,MATCH("건조딸기다이스(외국산)",'🔖 배합비 참조'!$A$2:$A$83,0),MATCH($C286,'🔖 배합비 참조'!$B$1:$CE$1,0))/100,0),""))),"")</f>
        <v>0</v>
      </c>
      <c r="J286" s="42" t="n">
        <f aca="false">IFERROR(IF($C286="","",IF($D286="","",IFERROR(ROUND($D286*INDEX('🔖 배합비 참조'!$B$2:$CE$83,MATCH("건포도",'🔖 배합비 참조'!$A$2:$A$83,0),MATCH($C286,'🔖 배합비 참조'!$B$1:$CE$1,0))/100,0),""))),"")</f>
        <v>0</v>
      </c>
      <c r="K286" s="42" t="n">
        <f aca="false">IFERROR(IF($C286="","",IF($D286="","",IFERROR(ROUND($D286*INDEX('🔖 배합비 참조'!$B$2:$CE$83,MATCH("건호박채(중국산)",'🔖 배합비 참조'!$A$2:$A$83,0),MATCH($C286,'🔖 배합비 참조'!$B$1:$CE$1,0))/100,0),""))),"")</f>
        <v>0</v>
      </c>
      <c r="L286" s="42" t="n">
        <f aca="false">IFERROR(IF($C286="","",IF($D286="","",IFERROR(ROUND($D286*INDEX('🔖 배합비 참조'!$B$2:$CE$83,MATCH("검정깨(흑임자)",'🔖 배합비 참조'!$A$2:$A$83,0),MATCH($C286,'🔖 배합비 참조'!$B$1:$CE$1,0))/100,0),""))),"")</f>
        <v>0</v>
      </c>
      <c r="M286" s="42" t="n">
        <f aca="false">IFERROR(IF($C286="","",IF($D286="","",IFERROR(ROUND($D286*INDEX('🔖 배합비 참조'!$B$2:$CE$83,MATCH("검정콩",'🔖 배합비 참조'!$A$2:$A$83,0),MATCH($C286,'🔖 배합비 참조'!$B$1:$CE$1,0))/100,0),""))),"")</f>
        <v>0</v>
      </c>
      <c r="N286" s="42" t="n">
        <f aca="false">IFERROR(IF($C286="","",IF($D286="","",IFERROR(ROUND($D286*INDEX('🔖 배합비 참조'!$B$2:$CE$83,MATCH("계피가루",'🔖 배합비 참조'!$A$2:$A$83,0),MATCH($C286,'🔖 배합비 참조'!$B$1:$CE$1,0))/100,0),""))),"")</f>
        <v>0</v>
      </c>
      <c r="O286" s="42" t="n">
        <f aca="false">IFERROR(IF($C286="","",IF($D286="","",IFERROR(ROUND($D286*INDEX('🔖 배합비 참조'!$B$2:$CE$83,MATCH("고구마가루",'🔖 배합비 참조'!$A$2:$A$83,0),MATCH($C286,'🔖 배합비 참조'!$B$1:$CE$1,0))/100,0),""))),"")</f>
        <v>0</v>
      </c>
      <c r="P286" s="42" t="n">
        <f aca="false">IFERROR(IF($C286="","",IF($D286="","",IFERROR(ROUND($D286*INDEX('🔖 배합비 참조'!$B$2:$CE$83,MATCH("고구마무스",'🔖 배합비 참조'!$A$2:$A$83,0),MATCH($C286,'🔖 배합비 참조'!$B$1:$CE$1,0))/100,0),""))),"")</f>
        <v>0</v>
      </c>
      <c r="Q286" s="42" t="n">
        <f aca="false">IFERROR(IF($C286="","",IF($D286="","",IFERROR(ROUND($D286*INDEX('🔖 배합비 참조'!$B$2:$CE$83,MATCH("고려엉겅퀴((곤드레)국내산)",'🔖 배합비 참조'!$A$2:$A$83,0),MATCH($C286,'🔖 배합비 참조'!$B$1:$CE$1,0))/100,0),""))),"")</f>
        <v>0</v>
      </c>
      <c r="R286" s="42" t="n">
        <f aca="false">IFERROR(IF($C286="","",IF($D286="","",IFERROR(ROUND($D286*INDEX('🔖 배합비 참조'!$B$2:$CE$83,MATCH("기타가공품(복분자가루)",'🔖 배합비 참조'!$A$2:$A$83,0),MATCH($C286,'🔖 배합비 참조'!$B$1:$CE$1,0))/100,0),""))),"")</f>
        <v>0</v>
      </c>
      <c r="S286" s="42" t="n">
        <f aca="false">IFERROR(IF($C286="","",IF($D286="","",IFERROR(ROUND($D286*INDEX('🔖 배합비 참조'!$B$2:$CE$83,MATCH("기타가공품(슈퍼소프트엠)",'🔖 배합비 참조'!$A$2:$A$83,0),MATCH($C286,'🔖 배합비 참조'!$B$1:$CE$1,0))/100,0),""))),"")</f>
        <v>0</v>
      </c>
      <c r="T286" s="42" t="n">
        <f aca="false">IFERROR(IF($C286="","",IF($D286="","",IFERROR(ROUND($D286*INDEX('🔖 배합비 참조'!$B$2:$CE$83,MATCH("기타가공품(파인소프트 E-티)",'🔖 배합비 참조'!$A$2:$A$83,0),MATCH($C286,'🔖 배합비 참조'!$B$1:$CE$1,0))/100,0),""))),"")</f>
        <v>0</v>
      </c>
      <c r="U286" s="42" t="n">
        <f aca="false">IFERROR(IF($C286="","",IF($D286="","",IFERROR(ROUND($D286*INDEX('🔖 배합비 참조'!$B$2:$CE$83,MATCH("기타가공품(프리미엄카스테라가루)",'🔖 배합비 참조'!$A$2:$A$83,0),MATCH($C286,'🔖 배합비 참조'!$B$1:$CE$1,0))/100,0),""))),"")</f>
        <v>0</v>
      </c>
      <c r="V286" s="42" t="n">
        <f aca="false">IFERROR(IF($C286="","",IF($D286="","",IFERROR(ROUND($D286*INDEX('🔖 배합비 참조'!$B$2:$CE$83,MATCH("기타가공품(흑임자가루)",'🔖 배합비 참조'!$A$2:$A$83,0),MATCH($C286,'🔖 배합비 참조'!$B$1:$CE$1,0))/100,0),""))),"")</f>
        <v>0</v>
      </c>
      <c r="W286" s="42" t="n">
        <f aca="false">IFERROR(IF($C286="","",IF($D286="","",IFERROR(ROUND($D286*INDEX('🔖 배합비 참조'!$B$2:$CE$83,MATCH("기타설탕(흑설탕)",'🔖 배합비 참조'!$A$2:$A$83,0),MATCH($C286,'🔖 배합비 참조'!$B$1:$CE$1,0))/100,0),""))),"")</f>
        <v>5</v>
      </c>
      <c r="X286" s="42" t="n">
        <f aca="false">IFERROR(IF($C286="","",IF($D286="","",IFERROR(ROUND($D286*INDEX('🔖 배합비 참조'!$B$2:$CE$83,MATCH("냉동쑥(국내산)",'🔖 배합비 참조'!$A$2:$A$83,0),MATCH($C286,'🔖 배합비 참조'!$B$1:$CE$1,0))/100,0),""))),"")</f>
        <v>0</v>
      </c>
      <c r="Y286" s="42" t="n">
        <f aca="false">IFERROR(IF($C286="","",IF($D286="","",IFERROR(ROUND($D286*INDEX('🔖 배합비 참조'!$B$2:$CE$83,MATCH("냉동증숙고구마(중국산)",'🔖 배합비 참조'!$A$2:$A$83,0),MATCH($C286,'🔖 배합비 참조'!$B$1:$CE$1,0))/100,0),""))),"")</f>
        <v>0</v>
      </c>
      <c r="Z286" s="42" t="n">
        <f aca="false">IFERROR(IF($C286="","",IF($D286="","",IFERROR(ROUND($D286*INDEX('🔖 배합비 참조'!$B$2:$CE$83,MATCH("녹차가루",'🔖 배합비 참조'!$A$2:$A$83,0),MATCH($C286,'🔖 배합비 참조'!$B$1:$CE$1,0))/100,0),""))),"")</f>
        <v>0</v>
      </c>
      <c r="AA286" s="42" t="n">
        <f aca="false">IFERROR(IF($C286="","",IF($D286="","",IFERROR(ROUND($D286*INDEX('🔖 배합비 참조'!$B$2:$CE$83,MATCH("다크초콜릿 컴파운드칩",'🔖 배합비 참조'!$A$2:$A$83,0),MATCH($C286,'🔖 배합비 참조'!$B$1:$CE$1,0))/100,0),""))),"")</f>
        <v>0</v>
      </c>
      <c r="AB286" s="42" t="n">
        <f aca="false">IFERROR(IF($C286="","",IF($D286="","",IFERROR(ROUND($D286*INDEX('🔖 배합비 참조'!$B$2:$CE$83,MATCH("단호박분말(중국산)",'🔖 배합비 참조'!$A$2:$A$83,0),MATCH($C286,'🔖 배합비 참조'!$B$1:$CE$1,0))/100,0),""))),"")</f>
        <v>0</v>
      </c>
      <c r="AC286" s="42" t="n">
        <f aca="false">IFERROR(IF($C286="","",IF($D286="","",IFERROR(ROUND($D286*INDEX('🔖 배합비 참조'!$B$2:$CE$83,MATCH("당류가공품(단호박농축액)",'🔖 배합비 참조'!$A$2:$A$83,0),MATCH($C286,'🔖 배합비 참조'!$B$1:$CE$1,0))/100,0),""))),"")</f>
        <v>0</v>
      </c>
      <c r="AD286" s="42" t="n">
        <f aca="false">IFERROR(IF($C286="","",IF($D286="","",IFERROR(ROUND($D286*INDEX('🔖 배합비 참조'!$B$2:$CE$83,MATCH("당류가공품(알룰로스,에리스리톨,스테비올배당체혼합)",'🔖 배합비 참조'!$A$2:$A$83,0),MATCH($C286,'🔖 배합비 참조'!$B$1:$CE$1,0))/100,0),""))),"")</f>
        <v>0</v>
      </c>
      <c r="AE286" s="42" t="n">
        <f aca="false">IFERROR(IF($C286="","",IF($D286="","",IFERROR(ROUND($D286*INDEX('🔖 배합비 참조'!$B$2:$CE$83,MATCH("당류가공품(알룰로스제로파우더)",'🔖 배합비 참조'!$A$2:$A$83,0),MATCH($C286,'🔖 배합비 참조'!$B$1:$CE$1,0))/100,0),""))),"")</f>
        <v>0</v>
      </c>
      <c r="AF286" s="42" t="n">
        <f aca="false">IFERROR(IF($C286="","",IF($D286="","",IFERROR(ROUND($D286*INDEX('🔖 배합비 참조'!$B$2:$CE$83,MATCH("당절임(완두배기)",'🔖 배합비 참조'!$A$2:$A$83,0),MATCH($C286,'🔖 배합비 참조'!$B$1:$CE$1,0))/100,0),""))),"")</f>
        <v>0</v>
      </c>
      <c r="AG286" s="42" t="n">
        <f aca="false">IFERROR(IF($C286="","",IF($D286="","",IFERROR(ROUND($D286*INDEX('🔖 배합비 참조'!$B$2:$CE$83,MATCH("대추농축액",'🔖 배합비 참조'!$A$2:$A$83,0),MATCH($C286,'🔖 배합비 참조'!$B$1:$CE$1,0))/100,0),""))),"")</f>
        <v>0</v>
      </c>
      <c r="AH286" s="42" t="n">
        <f aca="false">IFERROR(IF($C286="","",IF($D286="","",IFERROR(ROUND($D286*INDEX('🔖 배합비 참조'!$B$2:$CE$83,MATCH("대추채(국내산)",'🔖 배합비 참조'!$A$2:$A$83,0),MATCH($C286,'🔖 배합비 참조'!$B$1:$CE$1,0))/100,0),""))),"")</f>
        <v>0</v>
      </c>
      <c r="AI286" s="42" t="n">
        <f aca="false">IFERROR(IF($C286="","",IF($D286="","",IFERROR(ROUND($D286*INDEX('🔖 배합비 참조'!$B$2:$CE$83,MATCH("동부(미얀마산)",'🔖 배합비 참조'!$A$2:$A$83,0),MATCH($C286,'🔖 배합비 참조'!$B$1:$CE$1,0))/100,0),""))),"")</f>
        <v>0</v>
      </c>
      <c r="AJ286" s="42" t="n">
        <f aca="false">IFERROR(IF($C286="","",IF($D286="","",IFERROR(ROUND($D286*INDEX('🔖 배합비 참조'!$B$2:$CE$83,MATCH("두류가공품(백옥앙금)",'🔖 배합비 참조'!$A$2:$A$83,0),MATCH($C286,'🔖 배합비 참조'!$B$1:$CE$1,0))/100,0),""))),"")</f>
        <v>0</v>
      </c>
      <c r="AK286" s="42" t="n">
        <f aca="false">IFERROR(IF($C286="","",IF($D286="","",IFERROR(ROUND($D286*INDEX('🔖 배합비 참조'!$B$2:$CE$83,MATCH("두류가공품(콩고물)",'🔖 배합비 참조'!$A$2:$A$83,0),MATCH($C286,'🔖 배합비 참조'!$B$1:$CE$1,0))/100,0),""))),"")</f>
        <v>0</v>
      </c>
      <c r="AL286" s="42" t="n">
        <f aca="false">IFERROR(IF($C286="","",IF($D286="","",IFERROR(ROUND($D286*INDEX('🔖 배합비 참조'!$B$2:$CE$83,MATCH("두류가공품(통팥고물)",'🔖 배합비 참조'!$A$2:$A$83,0),MATCH($C286,'🔖 배합비 참조'!$B$1:$CE$1,0))/100,0),""))),"")</f>
        <v>0</v>
      </c>
      <c r="AM286" s="42" t="n">
        <f aca="false">IFERROR(IF($C286="","",IF($D286="","",IFERROR(ROUND($D286*INDEX('🔖 배합비 참조'!$B$2:$CE$83,MATCH("딸기레진",'🔖 배합비 참조'!$A$2:$A$83,0),MATCH($C286,'🔖 배합비 참조'!$B$1:$CE$1,0))/100,0),""))),"")</f>
        <v>0</v>
      </c>
      <c r="AN286" s="42" t="n">
        <f aca="false">IFERROR(IF($C286="","",IF($D286="","",IFERROR(ROUND($D286*INDEX('🔖 배합비 참조'!$B$2:$CE$83,MATCH("딸기분말(스트로우베리에이드(분말))",'🔖 배합비 참조'!$A$2:$A$83,0),MATCH($C286,'🔖 배합비 참조'!$B$1:$CE$1,0))/100,0),""))),"")</f>
        <v>0</v>
      </c>
      <c r="AO286" s="42" t="n">
        <f aca="false">IFERROR(IF($C286="","",IF($D286="","",IFERROR(ROUND($D286*INDEX('🔖 배합비 참조'!$B$2:$CE$83,MATCH("마스카포네치즈",'🔖 배합비 참조'!$A$2:$A$83,0),MATCH($C286,'🔖 배합비 참조'!$B$1:$CE$1,0))/100,0),""))),"")</f>
        <v>0</v>
      </c>
      <c r="AP286" s="42" t="n">
        <f aca="false">IFERROR(IF($C286="","",IF($D286="","",IFERROR(ROUND($D286*INDEX('🔖 배합비 참조'!$B$2:$CE$83,MATCH("마카다미아분태(호주산)",'🔖 배합비 참조'!$A$2:$A$83,0),MATCH($C286,'🔖 배합비 참조'!$B$1:$CE$1,0))/100,0),""))),"")</f>
        <v>0</v>
      </c>
      <c r="AQ286" s="42" t="n">
        <f aca="false">IFERROR(IF($C286="","",IF($D286="","",IFERROR(ROUND($D286*INDEX('🔖 배합비 참조'!$B$2:$CE$83,MATCH("멥쌀(국내산)",'🔖 배합비 참조'!$A$2:$A$83,0),MATCH($C286,'🔖 배합비 참조'!$B$1:$CE$1,0))/100,0),""))),"")</f>
        <v>40</v>
      </c>
      <c r="AR286" s="42" t="n">
        <f aca="false">IFERROR(IF($C286="","",IF($D286="","",IFERROR(ROUND($D286*INDEX('🔖 배합비 참조'!$B$2:$CE$83,MATCH("모시잎(국내산)",'🔖 배합비 참조'!$A$2:$A$83,0),MATCH($C286,'🔖 배합비 참조'!$B$1:$CE$1,0))/100,0),""))),"")</f>
        <v>0</v>
      </c>
      <c r="AS286" s="42" t="n">
        <f aca="false">IFERROR(IF($C286="","",IF($D286="","",IFERROR(ROUND($D286*INDEX('🔖 배합비 참조'!$B$2:$CE$83,MATCH("물엿(저당물엿)",'🔖 배합비 참조'!$A$2:$A$83,0),MATCH($C286,'🔖 배합비 참조'!$B$1:$CE$1,0))/100,0),""))),"")</f>
        <v>0</v>
      </c>
      <c r="AT286" s="42" t="n">
        <f aca="false">IFERROR(IF($C286="","",IF($D286="","",IFERROR(ROUND($D286*INDEX('🔖 배합비 참조'!$B$2:$CE$83,MATCH("밤다이스",'🔖 배합비 참조'!$A$2:$A$83,0),MATCH($C286,'🔖 배합비 참조'!$B$1:$CE$1,0))/100,0),""))),"")</f>
        <v>0</v>
      </c>
      <c r="AU286" s="42" t="n">
        <f aca="false">IFERROR(IF($C286="","",IF($D286="","",IFERROR(ROUND($D286*INDEX('🔖 배합비 참조'!$B$2:$CE$83,MATCH("변성전분(타피오카전분)",'🔖 배합비 참조'!$A$2:$A$83,0),MATCH($C286,'🔖 배합비 참조'!$B$1:$CE$1,0))/100,0),""))),"")</f>
        <v>0</v>
      </c>
      <c r="AV286" s="42" t="n">
        <f aca="false">IFERROR(IF($C286="","",IF($D286="","",IFERROR(ROUND($D286*INDEX('🔖 배합비 참조'!$B$2:$CE$83,MATCH("복음땅콩분태",'🔖 배합비 참조'!$A$2:$A$83,0),MATCH($C286,'🔖 배합비 참조'!$B$1:$CE$1,0))/100,0),""))),"")</f>
        <v>0</v>
      </c>
      <c r="AW286" s="42" t="n">
        <f aca="false">IFERROR(IF($C286="","",IF($D286="","",IFERROR(ROUND($D286*INDEX('🔖 배합비 참조'!$B$2:$CE$83,MATCH("사양벌꿀(국내산)",'🔖 배합비 참조'!$A$2:$A$83,0),MATCH($C286,'🔖 배합비 참조'!$B$1:$CE$1,0))/100,0),""))),"")</f>
        <v>1</v>
      </c>
      <c r="AX286" s="42" t="n">
        <f aca="false">IFERROR(IF($C286="","",IF($D286="","",IFERROR(ROUND($D286*INDEX('🔖 배합비 참조'!$B$2:$CE$83,MATCH("생크림",'🔖 배합비 참조'!$A$2:$A$83,0),MATCH($C286,'🔖 배합비 참조'!$B$1:$CE$1,0))/100,0),""))),"")</f>
        <v>0</v>
      </c>
      <c r="AY286" s="42" t="n">
        <f aca="false">IFERROR(IF($C286="","",IF($D286="","",IFERROR(ROUND($D286*INDEX('🔖 배합비 참조'!$B$2:$CE$83,MATCH("서양호박(국내산,뉴질랜드산)",'🔖 배합비 참조'!$A$2:$A$83,0),MATCH($C286,'🔖 배합비 참조'!$B$1:$CE$1,0))/100,0),""))),"")</f>
        <v>0</v>
      </c>
      <c r="AZ286" s="42" t="n">
        <f aca="false">IFERROR(IF($C286="","",IF($D286="","",IFERROR(ROUND($D286*INDEX('🔖 배합비 참조'!$B$2:$CE$83,MATCH("설탕",'🔖 배합비 참조'!$A$2:$A$83,0),MATCH($C286,'🔖 배합비 참조'!$B$1:$CE$1,0))/100,0),""))),"")</f>
        <v>5</v>
      </c>
      <c r="BA286" s="42" t="n">
        <f aca="false">IFERROR(IF($C286="","",IF($D286="","",IFERROR(ROUND($D286*INDEX('🔖 배합비 참조'!$B$2:$CE$83,MATCH("스트로우베리 에이드 후레쉬",'🔖 배합비 참조'!$A$2:$A$83,0),MATCH($C286,'🔖 배합비 참조'!$B$1:$CE$1,0))/100,0),""))),"")</f>
        <v>0</v>
      </c>
      <c r="BB286" s="42" t="n">
        <f aca="false">IFERROR(IF($C286="","",IF($D286="","",IFERROR(ROUND($D286*INDEX('🔖 배합비 참조'!$B$2:$CE$83,MATCH("식물성기름혼합제제(분홍)",'🔖 배합비 참조'!$A$2:$A$83,0),MATCH($C286,'🔖 배합비 참조'!$B$1:$CE$1,0))/100,0),""))),"")</f>
        <v>0</v>
      </c>
      <c r="BC286" s="42" t="n">
        <f aca="false">IFERROR(IF($C286="","",IF($D286="","",IFERROR(ROUND($D286*INDEX('🔖 배합비 참조'!$B$2:$CE$83,MATCH("식물성기름혼합제제(초록)",'🔖 배합비 참조'!$A$2:$A$83,0),MATCH($C286,'🔖 배합비 참조'!$B$1:$CE$1,0))/100,0),""))),"")</f>
        <v>0</v>
      </c>
      <c r="BD286" s="42" t="n">
        <f aca="false">IFERROR(IF($C286="","",IF($D286="","",IFERROR(ROUND($D286*INDEX('🔖 배합비 참조'!$B$2:$CE$83,MATCH("식물성기름혼합제제(황색)",'🔖 배합비 참조'!$A$2:$A$83,0),MATCH($C286,'🔖 배합비 참조'!$B$1:$CE$1,0))/100,0),""))),"")</f>
        <v>0</v>
      </c>
      <c r="BE286" s="42" t="n">
        <f aca="false">IFERROR(IF($C286="","",IF($D286="","",IFERROR(ROUND($D286*INDEX('🔖 배합비 참조'!$B$2:$CE$83,MATCH("쑥가루(국내산)",'🔖 배합비 참조'!$A$2:$A$83,0),MATCH($C286,'🔖 배합비 참조'!$B$1:$CE$1,0))/100,0),""))),"")</f>
        <v>0</v>
      </c>
      <c r="BF286" s="42" t="n">
        <f aca="false">IFERROR(IF($C286="","",IF($D286="","",IFERROR(ROUND($D286*INDEX('🔖 배합비 참조'!$B$2:$CE$83,MATCH("아몬드슬라이스",'🔖 배합비 참조'!$A$2:$A$83,0),MATCH($C286,'🔖 배합비 참조'!$B$1:$CE$1,0))/100,0),""))),"")</f>
        <v>0</v>
      </c>
      <c r="BG286" s="42" t="n">
        <f aca="false">IFERROR(IF($C286="","",IF($D286="","",IFERROR(ROUND($D286*INDEX('🔖 배합비 참조'!$B$2:$CE$83,MATCH("알룰로오스(국내산)",'🔖 배합비 참조'!$A$2:$A$83,0),MATCH($C286,'🔖 배합비 참조'!$B$1:$CE$1,0))/100,0),""))),"")</f>
        <v>0</v>
      </c>
      <c r="BH286" s="42" t="n">
        <f aca="false">IFERROR(IF($C286="","",IF($D286="","",IFERROR(ROUND($D286*INDEX('🔖 배합비 참조'!$B$2:$CE$83,MATCH("연유",'🔖 배합비 참조'!$A$2:$A$83,0),MATCH($C286,'🔖 배합비 참조'!$B$1:$CE$1,0))/100,0),""))),"")</f>
        <v>0</v>
      </c>
      <c r="BI286" s="42" t="n">
        <f aca="false">IFERROR(IF($C286="","",IF($D286="","",IFERROR(ROUND($D286*INDEX('🔖 배합비 참조'!$B$2:$CE$83,MATCH("옥수수전분",'🔖 배합비 참조'!$A$2:$A$83,0),MATCH($C286,'🔖 배합비 참조'!$B$1:$CE$1,0))/100,0),""))),"")</f>
        <v>0</v>
      </c>
      <c r="BJ286" s="42" t="n">
        <f aca="false">IFERROR(IF($C286="","",IF($D286="","",IFERROR(ROUND($D286*INDEX('🔖 배합비 참조'!$B$2:$CE$83,MATCH("완두배기",'🔖 배합비 참조'!$A$2:$A$83,0),MATCH($C286,'🔖 배합비 참조'!$B$1:$CE$1,0))/100,0),""))),"")</f>
        <v>0</v>
      </c>
      <c r="BK286" s="42" t="n">
        <f aca="false">IFERROR(IF($C286="","",IF($D286="","",IFERROR(ROUND($D286*INDEX('🔖 배합비 참조'!$B$2:$CE$83,MATCH("우유(국내산)",'🔖 배합비 참조'!$A$2:$A$83,0),MATCH($C286,'🔖 배합비 참조'!$B$1:$CE$1,0))/100,0),""))),"")</f>
        <v>0</v>
      </c>
      <c r="BL286" s="42" t="n">
        <f aca="false">IFERROR(IF($C286="","",IF($D286="","",IFERROR(ROUND($D286*INDEX('🔖 배합비 참조'!$B$2:$CE$83,MATCH("자색고구마가루(중국산)",'🔖 배합비 참조'!$A$2:$A$83,0),MATCH($C286,'🔖 배합비 참조'!$B$1:$CE$1,0))/100,0),""))),"")</f>
        <v>0</v>
      </c>
      <c r="BM286" s="42" t="n">
        <f aca="false">IFERROR(IF($C286="","",IF($D286="","",IFERROR(ROUND($D286*INDEX('🔖 배합비 참조'!$B$2:$CE$83,MATCH("자연치즈(체다치즈)",'🔖 배합비 참조'!$A$2:$A$83,0),MATCH($C286,'🔖 배합비 참조'!$B$1:$CE$1,0))/100,0),""))),"")</f>
        <v>0</v>
      </c>
      <c r="BN286" s="42" t="n">
        <f aca="false">IFERROR(IF($C286="","",IF($D286="","",IFERROR(ROUND($D286*INDEX('🔖 배합비 참조'!$B$2:$CE$83,MATCH("정제수",'🔖 배합비 참조'!$A$2:$A$83,0),MATCH($C286,'🔖 배합비 참조'!$B$1:$CE$1,0))/100,0),""))),"")</f>
        <v>8</v>
      </c>
      <c r="BO286" s="42" t="n">
        <f aca="false">IFERROR(IF($C286="","",IF($D286="","",IFERROR(ROUND($D286*INDEX('🔖 배합비 참조'!$B$2:$CE$83,MATCH("젤라틴",'🔖 배합비 참조'!$A$2:$A$83,0),MATCH($C286,'🔖 배합비 참조'!$B$1:$CE$1,0))/100,0),""))),"")</f>
        <v>0</v>
      </c>
      <c r="BP286" s="42" t="n">
        <f aca="false">IFERROR(IF($C286="","",IF($D286="","",IFERROR(ROUND($D286*INDEX('🔖 배합비 참조'!$B$2:$CE$83,MATCH("조림류(백옥앙금)",'🔖 배합비 참조'!$A$2:$A$83,0),MATCH($C286,'🔖 배합비 참조'!$B$1:$CE$1,0))/100,0),""))),"")</f>
        <v>0</v>
      </c>
      <c r="BQ286" s="42" t="n">
        <f aca="false">IFERROR(IF($C286="","",IF($D286="","",IFERROR(ROUND($D286*INDEX('🔖 배합비 참조'!$B$2:$CE$83,MATCH("조림류(통팥앙금)",'🔖 배합비 참조'!$A$2:$A$83,0),MATCH($C286,'🔖 배합비 참조'!$B$1:$CE$1,0))/100,0),""))),"")</f>
        <v>0</v>
      </c>
      <c r="BR286" s="42" t="n">
        <f aca="false">IFERROR(IF($C286="","",IF($D286="","",IFERROR(ROUND($D286*INDEX('🔖 배합비 참조'!$B$2:$CE$83,MATCH("준초콜릿(외국산)",'🔖 배합비 참조'!$A$2:$A$83,0),MATCH($C286,'🔖 배합비 참조'!$B$1:$CE$1,0))/100,0),""))),"")</f>
        <v>0</v>
      </c>
      <c r="BS286" s="42" t="n">
        <f aca="false">IFERROR(IF($C286="","",IF($D286="","",IFERROR(ROUND($D286*INDEX('🔖 배합비 참조'!$B$2:$CE$83,MATCH("중력분",'🔖 배합비 참조'!$A$2:$A$83,0),MATCH($C286,'🔖 배합비 참조'!$B$1:$CE$1,0))/100,0),""))),"")</f>
        <v>0</v>
      </c>
      <c r="BT286" s="42" t="n">
        <f aca="false">IFERROR(IF($C286="","",IF($D286="","",IFERROR(ROUND($D286*INDEX('🔖 배합비 참조'!$B$2:$CE$83,MATCH("참깨(인도산,나이지리아산,탄자니아산,미얀마산)",'🔖 배합비 참조'!$A$2:$A$83,0),MATCH($C286,'🔖 배합비 참조'!$B$1:$CE$1,0))/100,0),""))),"")</f>
        <v>0</v>
      </c>
      <c r="BU286" s="42" t="n">
        <f aca="false">IFERROR(IF($C286="","",IF($D286="","",IFERROR(ROUND($D286*INDEX('🔖 배합비 참조'!$B$2:$CE$83,MATCH("찹쌀(국내산)",'🔖 배합비 참조'!$A$2:$A$83,0),MATCH($C286,'🔖 배합비 참조'!$B$1:$CE$1,0))/100,0),""))),"")</f>
        <v>0</v>
      </c>
      <c r="BV286" s="42" t="n">
        <f aca="false">IFERROR(IF($C286="","",IF($D286="","",IFERROR(ROUND($D286*INDEX('🔖 배합비 참조'!$B$2:$CE$83,MATCH("천일염",'🔖 배합비 참조'!$A$2:$A$83,0),MATCH($C286,'🔖 배합비 참조'!$B$1:$CE$1,0))/100,0),""))),"")</f>
        <v>1</v>
      </c>
      <c r="BW286" s="42" t="n">
        <f aca="false">IFERROR(IF($C286="","",IF($D286="","",IFERROR(ROUND($D286*INDEX('🔖 배합비 참조'!$B$2:$CE$83,MATCH("치즈 [크림치즈]",'🔖 배합비 참조'!$A$2:$A$83,0),MATCH($C286,'🔖 배합비 참조'!$B$1:$CE$1,0))/100,0),""))),"")</f>
        <v>0</v>
      </c>
      <c r="BX286" s="42" t="n">
        <f aca="false">IFERROR(IF($C286="","",IF($D286="","",IFERROR(ROUND($D286*INDEX('🔖 배합비 참조'!$B$2:$CE$83,MATCH("코코아가공품류(코코아분말)",'🔖 배합비 참조'!$A$2:$A$83,0),MATCH($C286,'🔖 배합비 참조'!$B$1:$CE$1,0))/100,0),""))),"")</f>
        <v>0</v>
      </c>
      <c r="BY286" s="42" t="n">
        <f aca="false">IFERROR(IF($C286="","",IF($D286="","",IFERROR(ROUND($D286*INDEX('🔖 배합비 참조'!$B$2:$CE$83,MATCH("콩기름(대두유)",'🔖 배합비 참조'!$A$2:$A$83,0),MATCH($C286,'🔖 배합비 참조'!$B$1:$CE$1,0))/100,0),""))),"")</f>
        <v>0</v>
      </c>
      <c r="BZ286" s="42" t="n">
        <f aca="false">IFERROR(IF($C286="","",IF($D286="","",IFERROR(ROUND($D286*INDEX('🔖 배합비 참조'!$B$2:$CE$83,MATCH("해바라기씨앗",'🔖 배합비 참조'!$A$2:$A$83,0),MATCH($C286,'🔖 배합비 참조'!$B$1:$CE$1,0))/100,0),""))),"")</f>
        <v>0</v>
      </c>
      <c r="CA286" s="42" t="n">
        <f aca="false">IFERROR(IF($C286="","",IF($D286="","",IFERROR(ROUND($D286*INDEX('🔖 배합비 참조'!$B$2:$CE$83,MATCH("현미(국내산)",'🔖 배합비 참조'!$A$2:$A$83,0),MATCH($C286,'🔖 배합비 참조'!$B$1:$CE$1,0))/100,0),""))),"")</f>
        <v>0</v>
      </c>
      <c r="CB286" s="42" t="n">
        <f aca="false">IFERROR(IF($C286="","",IF($D286="","",IFERROR(ROUND($D286*INDEX('🔖 배합비 참조'!$B$2:$CE$83,MATCH("현미멥쌀(국내산)",'🔖 배합비 참조'!$A$2:$A$83,0),MATCH($C286,'🔖 배합비 참조'!$B$1:$CE$1,0))/100,0),""))),"")</f>
        <v>0</v>
      </c>
      <c r="CC286" s="42" t="n">
        <f aca="false">IFERROR(IF($C286="","",IF($D286="","",IFERROR(ROUND($D286*INDEX('🔖 배합비 참조'!$B$2:$CE$83,MATCH("호두분태(미국산)",'🔖 배합비 참조'!$A$2:$A$83,0),MATCH($C286,'🔖 배합비 참조'!$B$1:$CE$1,0))/100,0),""))),"")</f>
        <v>0</v>
      </c>
      <c r="CD286" s="42" t="n">
        <f aca="false">IFERROR(IF($C286="","",IF($D286="","",IFERROR(ROUND($D286*INDEX('🔖 배합비 참조'!$B$2:$CE$83,MATCH("호박씨앗(외국산)",'🔖 배합비 참조'!$A$2:$A$83,0),MATCH($C286,'🔖 배합비 참조'!$B$1:$CE$1,0))/100,0),""))),"")</f>
        <v>0</v>
      </c>
      <c r="CE286" s="42" t="n">
        <f aca="false">IFERROR(IF($C286="","",IF($D286="","",IFERROR(ROUND($D286*INDEX('🔖 배합비 참조'!$B$2:$CE$83,MATCH("혼합제제(떡용에스텔)",'🔖 배합비 참조'!$A$2:$A$83,0),MATCH($C286,'🔖 배합비 참조'!$B$1:$CE$1,0))/100,0),""))),"")</f>
        <v>0</v>
      </c>
      <c r="CF286" s="42" t="n">
        <f aca="false">IFERROR(IF($C286="","",IF($D286="","",IFERROR(ROUND($D286*INDEX('🔖 배합비 참조'!$B$2:$CE$83,MATCH("혼합제제(스테비아)",'🔖 배합비 참조'!$A$2:$A$83,0),MATCH($C286,'🔖 배합비 참조'!$B$1:$CE$1,0))/100,0),""))),"")</f>
        <v>0</v>
      </c>
      <c r="CG286" s="42" t="n">
        <f aca="false">IFERROR(IF($C286="","",IF($D286="","",IFERROR(ROUND($D286*INDEX('🔖 배합비 참조'!$B$2:$CE$83,MATCH("화이트초콜릿",'🔖 배합비 참조'!$A$2:$A$83,0),MATCH($C286,'🔖 배합비 참조'!$B$1:$CE$1,0))/100,0),""))),"")</f>
        <v>0</v>
      </c>
      <c r="CH286" s="42" t="n">
        <f aca="false">IFERROR(IF($C286="","",IF($D286="","",IFERROR(ROUND($D286*INDEX('🔖 배합비 참조'!$B$2:$CE$83,MATCH("흑미찹쌀(국내산)",'🔖 배합비 참조'!$A$2:$A$83,0),MATCH($C286,'🔖 배합비 참조'!$B$1:$CE$1,0))/100,0),""))),"")</f>
        <v>0</v>
      </c>
      <c r="CI286" s="42" t="n">
        <f aca="false">IFERROR(IF($C286="","",IF($D286="","",IFERROR(ROUND($D286*INDEX('🔖 배합비 참조'!$B$2:$CE$83,MATCH("찰옥수수전분(미국산)",'🔖 배합비 참조'!$A$2:$A$83,0),MATCH($C286,'🔖 배합비 참조'!$B$1:$CE$1,0))/100,0),""))),"")</f>
        <v>0</v>
      </c>
      <c r="CJ286" s="40"/>
      <c r="CL286" s="43" t="s">
        <v>248</v>
      </c>
    </row>
    <row r="287" customFormat="false" ht="18" hidden="false" customHeight="true" outlineLevel="0" collapsed="false">
      <c r="A287" s="35" t="n">
        <v>283</v>
      </c>
      <c r="B287" s="36" t="n">
        <v>46098</v>
      </c>
      <c r="C287" s="37" t="s">
        <v>156</v>
      </c>
      <c r="D287" s="38" t="n">
        <v>110</v>
      </c>
      <c r="E287" s="13"/>
      <c r="F287" s="13"/>
      <c r="G287" s="39" t="n">
        <f aca="false">IFERROR(IF($C287="","",IF($D287="","",IFERROR(ROUND($D287*INDEX('🔖 배합비 참조'!$B$2:$CE$83,MATCH("간장",'🔖 배합비 참조'!$A$2:$A$83,0),MATCH($C287,'🔖 배합비 참조'!$B$1:$CE$1,0))/100,0),""))),"")</f>
        <v>0</v>
      </c>
      <c r="H287" s="39" t="n">
        <f aca="false">IFERROR(IF($C287="","",IF($D287="","",IFERROR(ROUND($D287*INDEX('🔖 배합비 참조'!$B$2:$CE$83,MATCH("강낭콩((울타리콩))",'🔖 배합비 참조'!$A$2:$A$83,0),MATCH($C287,'🔖 배합비 참조'!$B$1:$CE$1,0))/100,0),""))),"")</f>
        <v>0</v>
      </c>
      <c r="I287" s="39" t="n">
        <f aca="false">IFERROR(IF($C287="","",IF($D287="","",IFERROR(ROUND($D287*INDEX('🔖 배합비 참조'!$B$2:$CE$83,MATCH("건조딸기다이스(외국산)",'🔖 배합비 참조'!$A$2:$A$83,0),MATCH($C287,'🔖 배합비 참조'!$B$1:$CE$1,0))/100,0),""))),"")</f>
        <v>0</v>
      </c>
      <c r="J287" s="39" t="n">
        <f aca="false">IFERROR(IF($C287="","",IF($D287="","",IFERROR(ROUND($D287*INDEX('🔖 배합비 참조'!$B$2:$CE$83,MATCH("건포도",'🔖 배합비 참조'!$A$2:$A$83,0),MATCH($C287,'🔖 배합비 참조'!$B$1:$CE$1,0))/100,0),""))),"")</f>
        <v>0</v>
      </c>
      <c r="K287" s="39" t="n">
        <f aca="false">IFERROR(IF($C287="","",IF($D287="","",IFERROR(ROUND($D287*INDEX('🔖 배합비 참조'!$B$2:$CE$83,MATCH("건호박채(중국산)",'🔖 배합비 참조'!$A$2:$A$83,0),MATCH($C287,'🔖 배합비 참조'!$B$1:$CE$1,0))/100,0),""))),"")</f>
        <v>0</v>
      </c>
      <c r="L287" s="39" t="n">
        <f aca="false">IFERROR(IF($C287="","",IF($D287="","",IFERROR(ROUND($D287*INDEX('🔖 배합비 참조'!$B$2:$CE$83,MATCH("검정깨(흑임자)",'🔖 배합비 참조'!$A$2:$A$83,0),MATCH($C287,'🔖 배합비 참조'!$B$1:$CE$1,0))/100,0),""))),"")</f>
        <v>0</v>
      </c>
      <c r="M287" s="39" t="n">
        <f aca="false">IFERROR(IF($C287="","",IF($D287="","",IFERROR(ROUND($D287*INDEX('🔖 배합비 참조'!$B$2:$CE$83,MATCH("검정콩",'🔖 배합비 참조'!$A$2:$A$83,0),MATCH($C287,'🔖 배합비 참조'!$B$1:$CE$1,0))/100,0),""))),"")</f>
        <v>0</v>
      </c>
      <c r="N287" s="39" t="n">
        <f aca="false">IFERROR(IF($C287="","",IF($D287="","",IFERROR(ROUND($D287*INDEX('🔖 배합비 참조'!$B$2:$CE$83,MATCH("계피가루",'🔖 배합비 참조'!$A$2:$A$83,0),MATCH($C287,'🔖 배합비 참조'!$B$1:$CE$1,0))/100,0),""))),"")</f>
        <v>0</v>
      </c>
      <c r="O287" s="39" t="n">
        <f aca="false">IFERROR(IF($C287="","",IF($D287="","",IFERROR(ROUND($D287*INDEX('🔖 배합비 참조'!$B$2:$CE$83,MATCH("고구마가루",'🔖 배합비 참조'!$A$2:$A$83,0),MATCH($C287,'🔖 배합비 참조'!$B$1:$CE$1,0))/100,0),""))),"")</f>
        <v>0</v>
      </c>
      <c r="P287" s="39" t="n">
        <f aca="false">IFERROR(IF($C287="","",IF($D287="","",IFERROR(ROUND($D287*INDEX('🔖 배합비 참조'!$B$2:$CE$83,MATCH("고구마무스",'🔖 배합비 참조'!$A$2:$A$83,0),MATCH($C287,'🔖 배합비 참조'!$B$1:$CE$1,0))/100,0),""))),"")</f>
        <v>0</v>
      </c>
      <c r="Q287" s="39" t="n">
        <f aca="false">IFERROR(IF($C287="","",IF($D287="","",IFERROR(ROUND($D287*INDEX('🔖 배합비 참조'!$B$2:$CE$83,MATCH("고려엉겅퀴((곤드레)국내산)",'🔖 배합비 참조'!$A$2:$A$83,0),MATCH($C287,'🔖 배합비 참조'!$B$1:$CE$1,0))/100,0),""))),"")</f>
        <v>0</v>
      </c>
      <c r="R287" s="39" t="n">
        <f aca="false">IFERROR(IF($C287="","",IF($D287="","",IFERROR(ROUND($D287*INDEX('🔖 배합비 참조'!$B$2:$CE$83,MATCH("기타가공품(복분자가루)",'🔖 배합비 참조'!$A$2:$A$83,0),MATCH($C287,'🔖 배합비 참조'!$B$1:$CE$1,0))/100,0),""))),"")</f>
        <v>0</v>
      </c>
      <c r="S287" s="39" t="n">
        <f aca="false">IFERROR(IF($C287="","",IF($D287="","",IFERROR(ROUND($D287*INDEX('🔖 배합비 참조'!$B$2:$CE$83,MATCH("기타가공품(슈퍼소프트엠)",'🔖 배합비 참조'!$A$2:$A$83,0),MATCH($C287,'🔖 배합비 참조'!$B$1:$CE$1,0))/100,0),""))),"")</f>
        <v>0</v>
      </c>
      <c r="T287" s="39" t="n">
        <f aca="false">IFERROR(IF($C287="","",IF($D287="","",IFERROR(ROUND($D287*INDEX('🔖 배합비 참조'!$B$2:$CE$83,MATCH("기타가공품(파인소프트 E-티)",'🔖 배합비 참조'!$A$2:$A$83,0),MATCH($C287,'🔖 배합비 참조'!$B$1:$CE$1,0))/100,0),""))),"")</f>
        <v>0</v>
      </c>
      <c r="U287" s="39" t="n">
        <f aca="false">IFERROR(IF($C287="","",IF($D287="","",IFERROR(ROUND($D287*INDEX('🔖 배합비 참조'!$B$2:$CE$83,MATCH("기타가공품(프리미엄카스테라가루)",'🔖 배합비 참조'!$A$2:$A$83,0),MATCH($C287,'🔖 배합비 참조'!$B$1:$CE$1,0))/100,0),""))),"")</f>
        <v>0</v>
      </c>
      <c r="V287" s="39" t="n">
        <f aca="false">IFERROR(IF($C287="","",IF($D287="","",IFERROR(ROUND($D287*INDEX('🔖 배합비 참조'!$B$2:$CE$83,MATCH("기타가공품(흑임자가루)",'🔖 배합비 참조'!$A$2:$A$83,0),MATCH($C287,'🔖 배합비 참조'!$B$1:$CE$1,0))/100,0),""))),"")</f>
        <v>0</v>
      </c>
      <c r="W287" s="39" t="n">
        <f aca="false">IFERROR(IF($C287="","",IF($D287="","",IFERROR(ROUND($D287*INDEX('🔖 배합비 참조'!$B$2:$CE$83,MATCH("기타설탕(흑설탕)",'🔖 배합비 참조'!$A$2:$A$83,0),MATCH($C287,'🔖 배합비 참조'!$B$1:$CE$1,0))/100,0),""))),"")</f>
        <v>0</v>
      </c>
      <c r="X287" s="39" t="n">
        <f aca="false">IFERROR(IF($C287="","",IF($D287="","",IFERROR(ROUND($D287*INDEX('🔖 배합비 참조'!$B$2:$CE$83,MATCH("냉동쑥(국내산)",'🔖 배합비 참조'!$A$2:$A$83,0),MATCH($C287,'🔖 배합비 참조'!$B$1:$CE$1,0))/100,0),""))),"")</f>
        <v>0</v>
      </c>
      <c r="Y287" s="39" t="n">
        <f aca="false">IFERROR(IF($C287="","",IF($D287="","",IFERROR(ROUND($D287*INDEX('🔖 배합비 참조'!$B$2:$CE$83,MATCH("냉동증숙고구마(중국산)",'🔖 배합비 참조'!$A$2:$A$83,0),MATCH($C287,'🔖 배합비 참조'!$B$1:$CE$1,0))/100,0),""))),"")</f>
        <v>0</v>
      </c>
      <c r="Z287" s="39" t="n">
        <f aca="false">IFERROR(IF($C287="","",IF($D287="","",IFERROR(ROUND($D287*INDEX('🔖 배합비 참조'!$B$2:$CE$83,MATCH("녹차가루",'🔖 배합비 참조'!$A$2:$A$83,0),MATCH($C287,'🔖 배합비 참조'!$B$1:$CE$1,0))/100,0),""))),"")</f>
        <v>0</v>
      </c>
      <c r="AA287" s="39" t="n">
        <f aca="false">IFERROR(IF($C287="","",IF($D287="","",IFERROR(ROUND($D287*INDEX('🔖 배합비 참조'!$B$2:$CE$83,MATCH("다크초콜릿 컴파운드칩",'🔖 배합비 참조'!$A$2:$A$83,0),MATCH($C287,'🔖 배합비 참조'!$B$1:$CE$1,0))/100,0),""))),"")</f>
        <v>0</v>
      </c>
      <c r="AB287" s="39" t="n">
        <f aca="false">IFERROR(IF($C287="","",IF($D287="","",IFERROR(ROUND($D287*INDEX('🔖 배합비 참조'!$B$2:$CE$83,MATCH("단호박분말(중국산)",'🔖 배합비 참조'!$A$2:$A$83,0),MATCH($C287,'🔖 배합비 참조'!$B$1:$CE$1,0))/100,0),""))),"")</f>
        <v>1</v>
      </c>
      <c r="AC287" s="39" t="n">
        <f aca="false">IFERROR(IF($C287="","",IF($D287="","",IFERROR(ROUND($D287*INDEX('🔖 배합비 참조'!$B$2:$CE$83,MATCH("당류가공품(단호박농축액)",'🔖 배합비 참조'!$A$2:$A$83,0),MATCH($C287,'🔖 배합비 참조'!$B$1:$CE$1,0))/100,0),""))),"")</f>
        <v>0</v>
      </c>
      <c r="AD287" s="39" t="n">
        <f aca="false">IFERROR(IF($C287="","",IF($D287="","",IFERROR(ROUND($D287*INDEX('🔖 배합비 참조'!$B$2:$CE$83,MATCH("당류가공품(알룰로스,에리스리톨,스테비올배당체혼합)",'🔖 배합비 참조'!$A$2:$A$83,0),MATCH($C287,'🔖 배합비 참조'!$B$1:$CE$1,0))/100,0),""))),"")</f>
        <v>0</v>
      </c>
      <c r="AE287" s="39" t="n">
        <f aca="false">IFERROR(IF($C287="","",IF($D287="","",IFERROR(ROUND($D287*INDEX('🔖 배합비 참조'!$B$2:$CE$83,MATCH("당류가공품(알룰로스제로파우더)",'🔖 배합비 참조'!$A$2:$A$83,0),MATCH($C287,'🔖 배합비 참조'!$B$1:$CE$1,0))/100,0),""))),"")</f>
        <v>0</v>
      </c>
      <c r="AF287" s="39" t="n">
        <f aca="false">IFERROR(IF($C287="","",IF($D287="","",IFERROR(ROUND($D287*INDEX('🔖 배합비 참조'!$B$2:$CE$83,MATCH("당절임(완두배기)",'🔖 배합비 참조'!$A$2:$A$83,0),MATCH($C287,'🔖 배합비 참조'!$B$1:$CE$1,0))/100,0),""))),"")</f>
        <v>0</v>
      </c>
      <c r="AG287" s="39" t="n">
        <f aca="false">IFERROR(IF($C287="","",IF($D287="","",IFERROR(ROUND($D287*INDEX('🔖 배합비 참조'!$B$2:$CE$83,MATCH("대추농축액",'🔖 배합비 참조'!$A$2:$A$83,0),MATCH($C287,'🔖 배합비 참조'!$B$1:$CE$1,0))/100,0),""))),"")</f>
        <v>0</v>
      </c>
      <c r="AH287" s="39" t="n">
        <f aca="false">IFERROR(IF($C287="","",IF($D287="","",IFERROR(ROUND($D287*INDEX('🔖 배합비 참조'!$B$2:$CE$83,MATCH("대추채(국내산)",'🔖 배합비 참조'!$A$2:$A$83,0),MATCH($C287,'🔖 배합비 참조'!$B$1:$CE$1,0))/100,0),""))),"")</f>
        <v>0</v>
      </c>
      <c r="AI287" s="39" t="n">
        <f aca="false">IFERROR(IF($C287="","",IF($D287="","",IFERROR(ROUND($D287*INDEX('🔖 배합비 참조'!$B$2:$CE$83,MATCH("동부(미얀마산)",'🔖 배합비 참조'!$A$2:$A$83,0),MATCH($C287,'🔖 배합비 참조'!$B$1:$CE$1,0))/100,0),""))),"")</f>
        <v>0</v>
      </c>
      <c r="AJ287" s="39" t="n">
        <f aca="false">IFERROR(IF($C287="","",IF($D287="","",IFERROR(ROUND($D287*INDEX('🔖 배합비 참조'!$B$2:$CE$83,MATCH("두류가공품(백옥앙금)",'🔖 배합비 참조'!$A$2:$A$83,0),MATCH($C287,'🔖 배합비 참조'!$B$1:$CE$1,0))/100,0),""))),"")</f>
        <v>0</v>
      </c>
      <c r="AK287" s="39" t="n">
        <f aca="false">IFERROR(IF($C287="","",IF($D287="","",IFERROR(ROUND($D287*INDEX('🔖 배합비 참조'!$B$2:$CE$83,MATCH("두류가공품(콩고물)",'🔖 배합비 참조'!$A$2:$A$83,0),MATCH($C287,'🔖 배합비 참조'!$B$1:$CE$1,0))/100,0),""))),"")</f>
        <v>0</v>
      </c>
      <c r="AL287" s="39" t="n">
        <f aca="false">IFERROR(IF($C287="","",IF($D287="","",IFERROR(ROUND($D287*INDEX('🔖 배합비 참조'!$B$2:$CE$83,MATCH("두류가공품(통팥고물)",'🔖 배합비 참조'!$A$2:$A$83,0),MATCH($C287,'🔖 배합비 참조'!$B$1:$CE$1,0))/100,0),""))),"")</f>
        <v>0</v>
      </c>
      <c r="AM287" s="39" t="n">
        <f aca="false">IFERROR(IF($C287="","",IF($D287="","",IFERROR(ROUND($D287*INDEX('🔖 배합비 참조'!$B$2:$CE$83,MATCH("딸기레진",'🔖 배합비 참조'!$A$2:$A$83,0),MATCH($C287,'🔖 배합비 참조'!$B$1:$CE$1,0))/100,0),""))),"")</f>
        <v>0</v>
      </c>
      <c r="AN287" s="39" t="n">
        <f aca="false">IFERROR(IF($C287="","",IF($D287="","",IFERROR(ROUND($D287*INDEX('🔖 배합비 참조'!$B$2:$CE$83,MATCH("딸기분말(스트로우베리에이드(분말))",'🔖 배합비 참조'!$A$2:$A$83,0),MATCH($C287,'🔖 배합비 참조'!$B$1:$CE$1,0))/100,0),""))),"")</f>
        <v>0</v>
      </c>
      <c r="AO287" s="39" t="n">
        <f aca="false">IFERROR(IF($C287="","",IF($D287="","",IFERROR(ROUND($D287*INDEX('🔖 배합비 참조'!$B$2:$CE$83,MATCH("마스카포네치즈",'🔖 배합비 참조'!$A$2:$A$83,0),MATCH($C287,'🔖 배합비 참조'!$B$1:$CE$1,0))/100,0),""))),"")</f>
        <v>0</v>
      </c>
      <c r="AP287" s="39" t="n">
        <f aca="false">IFERROR(IF($C287="","",IF($D287="","",IFERROR(ROUND($D287*INDEX('🔖 배합비 참조'!$B$2:$CE$83,MATCH("마카다미아분태(호주산)",'🔖 배합비 참조'!$A$2:$A$83,0),MATCH($C287,'🔖 배합비 참조'!$B$1:$CE$1,0))/100,0),""))),"")</f>
        <v>5</v>
      </c>
      <c r="AQ287" s="39" t="n">
        <f aca="false">IFERROR(IF($C287="","",IF($D287="","",IFERROR(ROUND($D287*INDEX('🔖 배합비 참조'!$B$2:$CE$83,MATCH("멥쌀(국내산)",'🔖 배합비 참조'!$A$2:$A$83,0),MATCH($C287,'🔖 배합비 참조'!$B$1:$CE$1,0))/100,0),""))),"")</f>
        <v>0</v>
      </c>
      <c r="AR287" s="39" t="n">
        <f aca="false">IFERROR(IF($C287="","",IF($D287="","",IFERROR(ROUND($D287*INDEX('🔖 배합비 참조'!$B$2:$CE$83,MATCH("모시잎(국내산)",'🔖 배합비 참조'!$A$2:$A$83,0),MATCH($C287,'🔖 배합비 참조'!$B$1:$CE$1,0))/100,0),""))),"")</f>
        <v>0</v>
      </c>
      <c r="AS287" s="39" t="n">
        <f aca="false">IFERROR(IF($C287="","",IF($D287="","",IFERROR(ROUND($D287*INDEX('🔖 배합비 참조'!$B$2:$CE$83,MATCH("물엿(저당물엿)",'🔖 배합비 참조'!$A$2:$A$83,0),MATCH($C287,'🔖 배합비 참조'!$B$1:$CE$1,0))/100,0),""))),"")</f>
        <v>0</v>
      </c>
      <c r="AT287" s="39" t="n">
        <f aca="false">IFERROR(IF($C287="","",IF($D287="","",IFERROR(ROUND($D287*INDEX('🔖 배합비 참조'!$B$2:$CE$83,MATCH("밤다이스",'🔖 배합비 참조'!$A$2:$A$83,0),MATCH($C287,'🔖 배합비 참조'!$B$1:$CE$1,0))/100,0),""))),"")</f>
        <v>1</v>
      </c>
      <c r="AU287" s="39" t="n">
        <f aca="false">IFERROR(IF($C287="","",IF($D287="","",IFERROR(ROUND($D287*INDEX('🔖 배합비 참조'!$B$2:$CE$83,MATCH("변성전분(타피오카전분)",'🔖 배합비 참조'!$A$2:$A$83,0),MATCH($C287,'🔖 배합비 참조'!$B$1:$CE$1,0))/100,0),""))),"")</f>
        <v>0</v>
      </c>
      <c r="AV287" s="39" t="n">
        <f aca="false">IFERROR(IF($C287="","",IF($D287="","",IFERROR(ROUND($D287*INDEX('🔖 배합비 참조'!$B$2:$CE$83,MATCH("복음땅콩분태",'🔖 배합비 참조'!$A$2:$A$83,0),MATCH($C287,'🔖 배합비 참조'!$B$1:$CE$1,0))/100,0),""))),"")</f>
        <v>0</v>
      </c>
      <c r="AW287" s="39" t="n">
        <f aca="false">IFERROR(IF($C287="","",IF($D287="","",IFERROR(ROUND($D287*INDEX('🔖 배합비 참조'!$B$2:$CE$83,MATCH("사양벌꿀(국내산)",'🔖 배합비 참조'!$A$2:$A$83,0),MATCH($C287,'🔖 배합비 참조'!$B$1:$CE$1,0))/100,0),""))),"")</f>
        <v>0</v>
      </c>
      <c r="AX287" s="39" t="n">
        <f aca="false">IFERROR(IF($C287="","",IF($D287="","",IFERROR(ROUND($D287*INDEX('🔖 배합비 참조'!$B$2:$CE$83,MATCH("생크림",'🔖 배합비 참조'!$A$2:$A$83,0),MATCH($C287,'🔖 배합비 참조'!$B$1:$CE$1,0))/100,0),""))),"")</f>
        <v>0</v>
      </c>
      <c r="AY287" s="39" t="n">
        <f aca="false">IFERROR(IF($C287="","",IF($D287="","",IFERROR(ROUND($D287*INDEX('🔖 배합비 참조'!$B$2:$CE$83,MATCH("서양호박(국내산,뉴질랜드산)",'🔖 배합비 참조'!$A$2:$A$83,0),MATCH($C287,'🔖 배합비 참조'!$B$1:$CE$1,0))/100,0),""))),"")</f>
        <v>0</v>
      </c>
      <c r="AZ287" s="39" t="n">
        <f aca="false">IFERROR(IF($C287="","",IF($D287="","",IFERROR(ROUND($D287*INDEX('🔖 배합비 참조'!$B$2:$CE$83,MATCH("설탕",'🔖 배합비 참조'!$A$2:$A$83,0),MATCH($C287,'🔖 배합비 참조'!$B$1:$CE$1,0))/100,0),""))),"")</f>
        <v>2</v>
      </c>
      <c r="BA287" s="39" t="n">
        <f aca="false">IFERROR(IF($C287="","",IF($D287="","",IFERROR(ROUND($D287*INDEX('🔖 배합비 참조'!$B$2:$CE$83,MATCH("스트로우베리 에이드 후레쉬",'🔖 배합비 참조'!$A$2:$A$83,0),MATCH($C287,'🔖 배합비 참조'!$B$1:$CE$1,0))/100,0),""))),"")</f>
        <v>0</v>
      </c>
      <c r="BB287" s="39" t="n">
        <f aca="false">IFERROR(IF($C287="","",IF($D287="","",IFERROR(ROUND($D287*INDEX('🔖 배합비 참조'!$B$2:$CE$83,MATCH("식물성기름혼합제제(분홍)",'🔖 배합비 참조'!$A$2:$A$83,0),MATCH($C287,'🔖 배합비 참조'!$B$1:$CE$1,0))/100,0),""))),"")</f>
        <v>0</v>
      </c>
      <c r="BC287" s="39" t="n">
        <f aca="false">IFERROR(IF($C287="","",IF($D287="","",IFERROR(ROUND($D287*INDEX('🔖 배합비 참조'!$B$2:$CE$83,MATCH("식물성기름혼합제제(초록)",'🔖 배합비 참조'!$A$2:$A$83,0),MATCH($C287,'🔖 배합비 참조'!$B$1:$CE$1,0))/100,0),""))),"")</f>
        <v>0</v>
      </c>
      <c r="BD287" s="39" t="n">
        <f aca="false">IFERROR(IF($C287="","",IF($D287="","",IFERROR(ROUND($D287*INDEX('🔖 배합비 참조'!$B$2:$CE$83,MATCH("식물성기름혼합제제(황색)",'🔖 배합비 참조'!$A$2:$A$83,0),MATCH($C287,'🔖 배합비 참조'!$B$1:$CE$1,0))/100,0),""))),"")</f>
        <v>0</v>
      </c>
      <c r="BE287" s="39" t="n">
        <f aca="false">IFERROR(IF($C287="","",IF($D287="","",IFERROR(ROUND($D287*INDEX('🔖 배합비 참조'!$B$2:$CE$83,MATCH("쑥가루(국내산)",'🔖 배합비 참조'!$A$2:$A$83,0),MATCH($C287,'🔖 배합비 참조'!$B$1:$CE$1,0))/100,0),""))),"")</f>
        <v>0</v>
      </c>
      <c r="BF287" s="39" t="n">
        <f aca="false">IFERROR(IF($C287="","",IF($D287="","",IFERROR(ROUND($D287*INDEX('🔖 배합비 참조'!$B$2:$CE$83,MATCH("아몬드슬라이스",'🔖 배합비 참조'!$A$2:$A$83,0),MATCH($C287,'🔖 배합비 참조'!$B$1:$CE$1,0))/100,0),""))),"")</f>
        <v>0</v>
      </c>
      <c r="BG287" s="39" t="n">
        <f aca="false">IFERROR(IF($C287="","",IF($D287="","",IFERROR(ROUND($D287*INDEX('🔖 배합비 참조'!$B$2:$CE$83,MATCH("알룰로오스(국내산)",'🔖 배합비 참조'!$A$2:$A$83,0),MATCH($C287,'🔖 배합비 참조'!$B$1:$CE$1,0))/100,0),""))),"")</f>
        <v>0</v>
      </c>
      <c r="BH287" s="39" t="n">
        <f aca="false">IFERROR(IF($C287="","",IF($D287="","",IFERROR(ROUND($D287*INDEX('🔖 배합비 참조'!$B$2:$CE$83,MATCH("연유",'🔖 배합비 참조'!$A$2:$A$83,0),MATCH($C287,'🔖 배합비 참조'!$B$1:$CE$1,0))/100,0),""))),"")</f>
        <v>0</v>
      </c>
      <c r="BI287" s="39" t="n">
        <f aca="false">IFERROR(IF($C287="","",IF($D287="","",IFERROR(ROUND($D287*INDEX('🔖 배합비 참조'!$B$2:$CE$83,MATCH("옥수수전분",'🔖 배합비 참조'!$A$2:$A$83,0),MATCH($C287,'🔖 배합비 참조'!$B$1:$CE$1,0))/100,0),""))),"")</f>
        <v>1</v>
      </c>
      <c r="BJ287" s="39" t="n">
        <f aca="false">IFERROR(IF($C287="","",IF($D287="","",IFERROR(ROUND($D287*INDEX('🔖 배합비 참조'!$B$2:$CE$83,MATCH("완두배기",'🔖 배합비 참조'!$A$2:$A$83,0),MATCH($C287,'🔖 배합비 참조'!$B$1:$CE$1,0))/100,0),""))),"")</f>
        <v>0</v>
      </c>
      <c r="BK287" s="39" t="n">
        <f aca="false">IFERROR(IF($C287="","",IF($D287="","",IFERROR(ROUND($D287*INDEX('🔖 배합비 참조'!$B$2:$CE$83,MATCH("우유(국내산)",'🔖 배합비 참조'!$A$2:$A$83,0),MATCH($C287,'🔖 배합비 참조'!$B$1:$CE$1,0))/100,0),""))),"")</f>
        <v>0</v>
      </c>
      <c r="BL287" s="39" t="n">
        <f aca="false">IFERROR(IF($C287="","",IF($D287="","",IFERROR(ROUND($D287*INDEX('🔖 배합비 참조'!$B$2:$CE$83,MATCH("자색고구마가루(중국산)",'🔖 배합비 참조'!$A$2:$A$83,0),MATCH($C287,'🔖 배합비 참조'!$B$1:$CE$1,0))/100,0),""))),"")</f>
        <v>0</v>
      </c>
      <c r="BM287" s="39" t="n">
        <f aca="false">IFERROR(IF($C287="","",IF($D287="","",IFERROR(ROUND($D287*INDEX('🔖 배합비 참조'!$B$2:$CE$83,MATCH("자연치즈(체다치즈)",'🔖 배합비 참조'!$A$2:$A$83,0),MATCH($C287,'🔖 배합비 참조'!$B$1:$CE$1,0))/100,0),""))),"")</f>
        <v>0</v>
      </c>
      <c r="BN287" s="39" t="n">
        <f aca="false">IFERROR(IF($C287="","",IF($D287="","",IFERROR(ROUND($D287*INDEX('🔖 배합비 참조'!$B$2:$CE$83,MATCH("정제수",'🔖 배합비 참조'!$A$2:$A$83,0),MATCH($C287,'🔖 배합비 참조'!$B$1:$CE$1,0))/100,0),""))),"")</f>
        <v>19</v>
      </c>
      <c r="BO287" s="39" t="n">
        <f aca="false">IFERROR(IF($C287="","",IF($D287="","",IFERROR(ROUND($D287*INDEX('🔖 배합비 참조'!$B$2:$CE$83,MATCH("젤라틴",'🔖 배합비 참조'!$A$2:$A$83,0),MATCH($C287,'🔖 배합비 참조'!$B$1:$CE$1,0))/100,0),""))),"")</f>
        <v>0</v>
      </c>
      <c r="BP287" s="39" t="n">
        <f aca="false">IFERROR(IF($C287="","",IF($D287="","",IFERROR(ROUND($D287*INDEX('🔖 배합비 참조'!$B$2:$CE$83,MATCH("조림류(백옥앙금)",'🔖 배합비 참조'!$A$2:$A$83,0),MATCH($C287,'🔖 배합비 참조'!$B$1:$CE$1,0))/100,0),""))),"")</f>
        <v>0</v>
      </c>
      <c r="BQ287" s="39" t="n">
        <f aca="false">IFERROR(IF($C287="","",IF($D287="","",IFERROR(ROUND($D287*INDEX('🔖 배합비 참조'!$B$2:$CE$83,MATCH("조림류(통팥앙금)",'🔖 배합비 참조'!$A$2:$A$83,0),MATCH($C287,'🔖 배합비 참조'!$B$1:$CE$1,0))/100,0),""))),"")</f>
        <v>37</v>
      </c>
      <c r="BR287" s="39" t="n">
        <f aca="false">IFERROR(IF($C287="","",IF($D287="","",IFERROR(ROUND($D287*INDEX('🔖 배합비 참조'!$B$2:$CE$83,MATCH("준초콜릿(외국산)",'🔖 배합비 참조'!$A$2:$A$83,0),MATCH($C287,'🔖 배합비 참조'!$B$1:$CE$1,0))/100,0),""))),"")</f>
        <v>0</v>
      </c>
      <c r="BS287" s="39" t="n">
        <f aca="false">IFERROR(IF($C287="","",IF($D287="","",IFERROR(ROUND($D287*INDEX('🔖 배합비 참조'!$B$2:$CE$83,MATCH("중력분",'🔖 배합비 참조'!$A$2:$A$83,0),MATCH($C287,'🔖 배합비 참조'!$B$1:$CE$1,0))/100,0),""))),"")</f>
        <v>0</v>
      </c>
      <c r="BT287" s="39" t="n">
        <f aca="false">IFERROR(IF($C287="","",IF($D287="","",IFERROR(ROUND($D287*INDEX('🔖 배합비 참조'!$B$2:$CE$83,MATCH("참깨(인도산,나이지리아산,탄자니아산,미얀마산)",'🔖 배합비 참조'!$A$2:$A$83,0),MATCH($C287,'🔖 배합비 참조'!$B$1:$CE$1,0))/100,0),""))),"")</f>
        <v>0</v>
      </c>
      <c r="BU287" s="39" t="n">
        <f aca="false">IFERROR(IF($C287="","",IF($D287="","",IFERROR(ROUND($D287*INDEX('🔖 배합비 참조'!$B$2:$CE$83,MATCH("찹쌀(국내산)",'🔖 배합비 참조'!$A$2:$A$83,0),MATCH($C287,'🔖 배합비 참조'!$B$1:$CE$1,0))/100,0),""))),"")</f>
        <v>39</v>
      </c>
      <c r="BV287" s="39" t="n">
        <f aca="false">IFERROR(IF($C287="","",IF($D287="","",IFERROR(ROUND($D287*INDEX('🔖 배합비 참조'!$B$2:$CE$83,MATCH("천일염",'🔖 배합비 참조'!$A$2:$A$83,0),MATCH($C287,'🔖 배합비 참조'!$B$1:$CE$1,0))/100,0),""))),"")</f>
        <v>1</v>
      </c>
      <c r="BW287" s="39" t="n">
        <f aca="false">IFERROR(IF($C287="","",IF($D287="","",IFERROR(ROUND($D287*INDEX('🔖 배합비 참조'!$B$2:$CE$83,MATCH("치즈 [크림치즈]",'🔖 배합비 참조'!$A$2:$A$83,0),MATCH($C287,'🔖 배합비 참조'!$B$1:$CE$1,0))/100,0),""))),"")</f>
        <v>0</v>
      </c>
      <c r="BX287" s="39" t="n">
        <f aca="false">IFERROR(IF($C287="","",IF($D287="","",IFERROR(ROUND($D287*INDEX('🔖 배합비 참조'!$B$2:$CE$83,MATCH("코코아가공품류(코코아분말)",'🔖 배합비 참조'!$A$2:$A$83,0),MATCH($C287,'🔖 배합비 참조'!$B$1:$CE$1,0))/100,0),""))),"")</f>
        <v>0</v>
      </c>
      <c r="BY287" s="39" t="n">
        <f aca="false">IFERROR(IF($C287="","",IF($D287="","",IFERROR(ROUND($D287*INDEX('🔖 배합비 참조'!$B$2:$CE$83,MATCH("콩기름(대두유)",'🔖 배합비 참조'!$A$2:$A$83,0),MATCH($C287,'🔖 배합비 참조'!$B$1:$CE$1,0))/100,0),""))),"")</f>
        <v>0</v>
      </c>
      <c r="BZ287" s="39" t="n">
        <f aca="false">IFERROR(IF($C287="","",IF($D287="","",IFERROR(ROUND($D287*INDEX('🔖 배합비 참조'!$B$2:$CE$83,MATCH("해바라기씨앗",'🔖 배합비 참조'!$A$2:$A$83,0),MATCH($C287,'🔖 배합비 참조'!$B$1:$CE$1,0))/100,0),""))),"")</f>
        <v>0</v>
      </c>
      <c r="CA287" s="39" t="n">
        <f aca="false">IFERROR(IF($C287="","",IF($D287="","",IFERROR(ROUND($D287*INDEX('🔖 배합비 참조'!$B$2:$CE$83,MATCH("현미(국내산)",'🔖 배합비 참조'!$A$2:$A$83,0),MATCH($C287,'🔖 배합비 참조'!$B$1:$CE$1,0))/100,0),""))),"")</f>
        <v>0</v>
      </c>
      <c r="CB287" s="39" t="n">
        <f aca="false">IFERROR(IF($C287="","",IF($D287="","",IFERROR(ROUND($D287*INDEX('🔖 배합비 참조'!$B$2:$CE$83,MATCH("현미멥쌀(국내산)",'🔖 배합비 참조'!$A$2:$A$83,0),MATCH($C287,'🔖 배합비 참조'!$B$1:$CE$1,0))/100,0),""))),"")</f>
        <v>0</v>
      </c>
      <c r="CC287" s="39" t="n">
        <f aca="false">IFERROR(IF($C287="","",IF($D287="","",IFERROR(ROUND($D287*INDEX('🔖 배합비 참조'!$B$2:$CE$83,MATCH("호두분태(미국산)",'🔖 배합비 참조'!$A$2:$A$83,0),MATCH($C287,'🔖 배합비 참조'!$B$1:$CE$1,0))/100,0),""))),"")</f>
        <v>3</v>
      </c>
      <c r="CD287" s="39" t="n">
        <f aca="false">IFERROR(IF($C287="","",IF($D287="","",IFERROR(ROUND($D287*INDEX('🔖 배합비 참조'!$B$2:$CE$83,MATCH("호박씨앗(외국산)",'🔖 배합비 참조'!$A$2:$A$83,0),MATCH($C287,'🔖 배합비 참조'!$B$1:$CE$1,0))/100,0),""))),"")</f>
        <v>0</v>
      </c>
      <c r="CE287" s="39" t="n">
        <f aca="false">IFERROR(IF($C287="","",IF($D287="","",IFERROR(ROUND($D287*INDEX('🔖 배합비 참조'!$B$2:$CE$83,MATCH("혼합제제(떡용에스텔)",'🔖 배합비 참조'!$A$2:$A$83,0),MATCH($C287,'🔖 배합비 참조'!$B$1:$CE$1,0))/100,0),""))),"")</f>
        <v>0</v>
      </c>
      <c r="CF287" s="39" t="n">
        <f aca="false">IFERROR(IF($C287="","",IF($D287="","",IFERROR(ROUND($D287*INDEX('🔖 배합비 참조'!$B$2:$CE$83,MATCH("혼합제제(스테비아)",'🔖 배합비 참조'!$A$2:$A$83,0),MATCH($C287,'🔖 배합비 참조'!$B$1:$CE$1,0))/100,0),""))),"")</f>
        <v>0</v>
      </c>
      <c r="CG287" s="39" t="n">
        <f aca="false">IFERROR(IF($C287="","",IF($D287="","",IFERROR(ROUND($D287*INDEX('🔖 배합비 참조'!$B$2:$CE$83,MATCH("화이트초콜릿",'🔖 배합비 참조'!$A$2:$A$83,0),MATCH($C287,'🔖 배합비 참조'!$B$1:$CE$1,0))/100,0),""))),"")</f>
        <v>0</v>
      </c>
      <c r="CH287" s="39" t="n">
        <f aca="false">IFERROR(IF($C287="","",IF($D287="","",IFERROR(ROUND($D287*INDEX('🔖 배합비 참조'!$B$2:$CE$83,MATCH("흑미찹쌀(국내산)",'🔖 배합비 참조'!$A$2:$A$83,0),MATCH($C287,'🔖 배합비 참조'!$B$1:$CE$1,0))/100,0),""))),"")</f>
        <v>0</v>
      </c>
      <c r="CI287" s="39" t="n">
        <f aca="false">IFERROR(IF($C287="","",IF($D287="","",IFERROR(ROUND($D287*INDEX('🔖 배합비 참조'!$B$2:$CE$83,MATCH("찰옥수수전분(미국산)",'🔖 배합비 참조'!$A$2:$A$83,0),MATCH($C287,'🔖 배합비 참조'!$B$1:$CE$1,0))/100,0),""))),"")</f>
        <v>0</v>
      </c>
      <c r="CJ287" s="40"/>
      <c r="CL287" s="43" t="s">
        <v>248</v>
      </c>
    </row>
    <row r="288" customFormat="false" ht="18" hidden="false" customHeight="true" outlineLevel="0" collapsed="false">
      <c r="A288" s="41" t="n">
        <v>284</v>
      </c>
      <c r="B288" s="36" t="n">
        <v>46098</v>
      </c>
      <c r="C288" s="37" t="s">
        <v>158</v>
      </c>
      <c r="D288" s="38" t="n">
        <v>110</v>
      </c>
      <c r="E288" s="17"/>
      <c r="F288" s="17"/>
      <c r="G288" s="42" t="n">
        <f aca="false">IFERROR(IF($C288="","",IF($D288="","",IFERROR(ROUND($D288*INDEX('🔖 배합비 참조'!$B$2:$CE$83,MATCH("간장",'🔖 배합비 참조'!$A$2:$A$83,0),MATCH($C288,'🔖 배합비 참조'!$B$1:$CE$1,0))/100,0),""))),"")</f>
        <v>0</v>
      </c>
      <c r="H288" s="42" t="n">
        <f aca="false">IFERROR(IF($C288="","",IF($D288="","",IFERROR(ROUND($D288*INDEX('🔖 배합비 참조'!$B$2:$CE$83,MATCH("강낭콩((울타리콩))",'🔖 배합비 참조'!$A$2:$A$83,0),MATCH($C288,'🔖 배합비 참조'!$B$1:$CE$1,0))/100,0),""))),"")</f>
        <v>0</v>
      </c>
      <c r="I288" s="42" t="n">
        <f aca="false">IFERROR(IF($C288="","",IF($D288="","",IFERROR(ROUND($D288*INDEX('🔖 배합비 참조'!$B$2:$CE$83,MATCH("건조딸기다이스(외국산)",'🔖 배합비 참조'!$A$2:$A$83,0),MATCH($C288,'🔖 배합비 참조'!$B$1:$CE$1,0))/100,0),""))),"")</f>
        <v>0</v>
      </c>
      <c r="J288" s="42" t="n">
        <f aca="false">IFERROR(IF($C288="","",IF($D288="","",IFERROR(ROUND($D288*INDEX('🔖 배합비 참조'!$B$2:$CE$83,MATCH("건포도",'🔖 배합비 참조'!$A$2:$A$83,0),MATCH($C288,'🔖 배합비 참조'!$B$1:$CE$1,0))/100,0),""))),"")</f>
        <v>0</v>
      </c>
      <c r="K288" s="42" t="n">
        <f aca="false">IFERROR(IF($C288="","",IF($D288="","",IFERROR(ROUND($D288*INDEX('🔖 배합비 참조'!$B$2:$CE$83,MATCH("건호박채(중국산)",'🔖 배합비 참조'!$A$2:$A$83,0),MATCH($C288,'🔖 배합비 참조'!$B$1:$CE$1,0))/100,0),""))),"")</f>
        <v>0</v>
      </c>
      <c r="L288" s="42" t="n">
        <f aca="false">IFERROR(IF($C288="","",IF($D288="","",IFERROR(ROUND($D288*INDEX('🔖 배합비 참조'!$B$2:$CE$83,MATCH("검정깨(흑임자)",'🔖 배합비 참조'!$A$2:$A$83,0),MATCH($C288,'🔖 배합비 참조'!$B$1:$CE$1,0))/100,0),""))),"")</f>
        <v>0</v>
      </c>
      <c r="M288" s="42" t="n">
        <f aca="false">IFERROR(IF($C288="","",IF($D288="","",IFERROR(ROUND($D288*INDEX('🔖 배합비 참조'!$B$2:$CE$83,MATCH("검정콩",'🔖 배합비 참조'!$A$2:$A$83,0),MATCH($C288,'🔖 배합비 참조'!$B$1:$CE$1,0))/100,0),""))),"")</f>
        <v>0</v>
      </c>
      <c r="N288" s="42" t="n">
        <f aca="false">IFERROR(IF($C288="","",IF($D288="","",IFERROR(ROUND($D288*INDEX('🔖 배합비 참조'!$B$2:$CE$83,MATCH("계피가루",'🔖 배합비 참조'!$A$2:$A$83,0),MATCH($C288,'🔖 배합비 참조'!$B$1:$CE$1,0))/100,0),""))),"")</f>
        <v>0</v>
      </c>
      <c r="O288" s="42" t="n">
        <f aca="false">IFERROR(IF($C288="","",IF($D288="","",IFERROR(ROUND($D288*INDEX('🔖 배합비 참조'!$B$2:$CE$83,MATCH("고구마가루",'🔖 배합비 참조'!$A$2:$A$83,0),MATCH($C288,'🔖 배합비 참조'!$B$1:$CE$1,0))/100,0),""))),"")</f>
        <v>0</v>
      </c>
      <c r="P288" s="42" t="n">
        <f aca="false">IFERROR(IF($C288="","",IF($D288="","",IFERROR(ROUND($D288*INDEX('🔖 배합비 참조'!$B$2:$CE$83,MATCH("고구마무스",'🔖 배합비 참조'!$A$2:$A$83,0),MATCH($C288,'🔖 배합비 참조'!$B$1:$CE$1,0))/100,0),""))),"")</f>
        <v>0</v>
      </c>
      <c r="Q288" s="42" t="n">
        <f aca="false">IFERROR(IF($C288="","",IF($D288="","",IFERROR(ROUND($D288*INDEX('🔖 배합비 참조'!$B$2:$CE$83,MATCH("고려엉겅퀴((곤드레)국내산)",'🔖 배합비 참조'!$A$2:$A$83,0),MATCH($C288,'🔖 배합비 참조'!$B$1:$CE$1,0))/100,0),""))),"")</f>
        <v>0</v>
      </c>
      <c r="R288" s="42" t="n">
        <f aca="false">IFERROR(IF($C288="","",IF($D288="","",IFERROR(ROUND($D288*INDEX('🔖 배합비 참조'!$B$2:$CE$83,MATCH("기타가공품(복분자가루)",'🔖 배합비 참조'!$A$2:$A$83,0),MATCH($C288,'🔖 배합비 참조'!$B$1:$CE$1,0))/100,0),""))),"")</f>
        <v>0</v>
      </c>
      <c r="S288" s="42" t="n">
        <f aca="false">IFERROR(IF($C288="","",IF($D288="","",IFERROR(ROUND($D288*INDEX('🔖 배합비 참조'!$B$2:$CE$83,MATCH("기타가공품(슈퍼소프트엠)",'🔖 배합비 참조'!$A$2:$A$83,0),MATCH($C288,'🔖 배합비 참조'!$B$1:$CE$1,0))/100,0),""))),"")</f>
        <v>0</v>
      </c>
      <c r="T288" s="42" t="n">
        <f aca="false">IFERROR(IF($C288="","",IF($D288="","",IFERROR(ROUND($D288*INDEX('🔖 배합비 참조'!$B$2:$CE$83,MATCH("기타가공품(파인소프트 E-티)",'🔖 배합비 참조'!$A$2:$A$83,0),MATCH($C288,'🔖 배합비 참조'!$B$1:$CE$1,0))/100,0),""))),"")</f>
        <v>0</v>
      </c>
      <c r="U288" s="42" t="n">
        <f aca="false">IFERROR(IF($C288="","",IF($D288="","",IFERROR(ROUND($D288*INDEX('🔖 배합비 참조'!$B$2:$CE$83,MATCH("기타가공품(프리미엄카스테라가루)",'🔖 배합비 참조'!$A$2:$A$83,0),MATCH($C288,'🔖 배합비 참조'!$B$1:$CE$1,0))/100,0),""))),"")</f>
        <v>0</v>
      </c>
      <c r="V288" s="42" t="n">
        <f aca="false">IFERROR(IF($C288="","",IF($D288="","",IFERROR(ROUND($D288*INDEX('🔖 배합비 참조'!$B$2:$CE$83,MATCH("기타가공품(흑임자가루)",'🔖 배합비 참조'!$A$2:$A$83,0),MATCH($C288,'🔖 배합비 참조'!$B$1:$CE$1,0))/100,0),""))),"")</f>
        <v>0</v>
      </c>
      <c r="W288" s="42" t="n">
        <f aca="false">IFERROR(IF($C288="","",IF($D288="","",IFERROR(ROUND($D288*INDEX('🔖 배합비 참조'!$B$2:$CE$83,MATCH("기타설탕(흑설탕)",'🔖 배합비 참조'!$A$2:$A$83,0),MATCH($C288,'🔖 배합비 참조'!$B$1:$CE$1,0))/100,0),""))),"")</f>
        <v>0</v>
      </c>
      <c r="X288" s="42" t="n">
        <f aca="false">IFERROR(IF($C288="","",IF($D288="","",IFERROR(ROUND($D288*INDEX('🔖 배합비 참조'!$B$2:$CE$83,MATCH("냉동쑥(국내산)",'🔖 배합비 참조'!$A$2:$A$83,0),MATCH($C288,'🔖 배합비 참조'!$B$1:$CE$1,0))/100,0),""))),"")</f>
        <v>0</v>
      </c>
      <c r="Y288" s="42" t="n">
        <f aca="false">IFERROR(IF($C288="","",IF($D288="","",IFERROR(ROUND($D288*INDEX('🔖 배합비 참조'!$B$2:$CE$83,MATCH("냉동증숙고구마(중국산)",'🔖 배합비 참조'!$A$2:$A$83,0),MATCH($C288,'🔖 배합비 참조'!$B$1:$CE$1,0))/100,0),""))),"")</f>
        <v>0</v>
      </c>
      <c r="Z288" s="42" t="n">
        <f aca="false">IFERROR(IF($C288="","",IF($D288="","",IFERROR(ROUND($D288*INDEX('🔖 배합비 참조'!$B$2:$CE$83,MATCH("녹차가루",'🔖 배합비 참조'!$A$2:$A$83,0),MATCH($C288,'🔖 배합비 참조'!$B$1:$CE$1,0))/100,0),""))),"")</f>
        <v>0</v>
      </c>
      <c r="AA288" s="42" t="n">
        <f aca="false">IFERROR(IF($C288="","",IF($D288="","",IFERROR(ROUND($D288*INDEX('🔖 배합비 참조'!$B$2:$CE$83,MATCH("다크초콜릿 컴파운드칩",'🔖 배합비 참조'!$A$2:$A$83,0),MATCH($C288,'🔖 배합비 참조'!$B$1:$CE$1,0))/100,0),""))),"")</f>
        <v>0</v>
      </c>
      <c r="AB288" s="42" t="n">
        <f aca="false">IFERROR(IF($C288="","",IF($D288="","",IFERROR(ROUND($D288*INDEX('🔖 배합비 참조'!$B$2:$CE$83,MATCH("단호박분말(중국산)",'🔖 배합비 참조'!$A$2:$A$83,0),MATCH($C288,'🔖 배합비 참조'!$B$1:$CE$1,0))/100,0),""))),"")</f>
        <v>0</v>
      </c>
      <c r="AC288" s="42" t="n">
        <f aca="false">IFERROR(IF($C288="","",IF($D288="","",IFERROR(ROUND($D288*INDEX('🔖 배합비 참조'!$B$2:$CE$83,MATCH("당류가공품(단호박농축액)",'🔖 배합비 참조'!$A$2:$A$83,0),MATCH($C288,'🔖 배합비 참조'!$B$1:$CE$1,0))/100,0),""))),"")</f>
        <v>0</v>
      </c>
      <c r="AD288" s="42" t="n">
        <f aca="false">IFERROR(IF($C288="","",IF($D288="","",IFERROR(ROUND($D288*INDEX('🔖 배합비 참조'!$B$2:$CE$83,MATCH("당류가공품(알룰로스,에리스리톨,스테비올배당체혼합)",'🔖 배합비 참조'!$A$2:$A$83,0),MATCH($C288,'🔖 배합비 참조'!$B$1:$CE$1,0))/100,0),""))),"")</f>
        <v>0</v>
      </c>
      <c r="AE288" s="42" t="n">
        <f aca="false">IFERROR(IF($C288="","",IF($D288="","",IFERROR(ROUND($D288*INDEX('🔖 배합비 참조'!$B$2:$CE$83,MATCH("당류가공품(알룰로스제로파우더)",'🔖 배합비 참조'!$A$2:$A$83,0),MATCH($C288,'🔖 배합비 참조'!$B$1:$CE$1,0))/100,0),""))),"")</f>
        <v>0</v>
      </c>
      <c r="AF288" s="42" t="n">
        <f aca="false">IFERROR(IF($C288="","",IF($D288="","",IFERROR(ROUND($D288*INDEX('🔖 배합비 참조'!$B$2:$CE$83,MATCH("당절임(완두배기)",'🔖 배합비 참조'!$A$2:$A$83,0),MATCH($C288,'🔖 배합비 참조'!$B$1:$CE$1,0))/100,0),""))),"")</f>
        <v>0</v>
      </c>
      <c r="AG288" s="42" t="n">
        <f aca="false">IFERROR(IF($C288="","",IF($D288="","",IFERROR(ROUND($D288*INDEX('🔖 배합비 참조'!$B$2:$CE$83,MATCH("대추농축액",'🔖 배합비 참조'!$A$2:$A$83,0),MATCH($C288,'🔖 배합비 참조'!$B$1:$CE$1,0))/100,0),""))),"")</f>
        <v>0</v>
      </c>
      <c r="AH288" s="42" t="n">
        <f aca="false">IFERROR(IF($C288="","",IF($D288="","",IFERROR(ROUND($D288*INDEX('🔖 배합비 참조'!$B$2:$CE$83,MATCH("대추채(국내산)",'🔖 배합비 참조'!$A$2:$A$83,0),MATCH($C288,'🔖 배합비 참조'!$B$1:$CE$1,0))/100,0),""))),"")</f>
        <v>0</v>
      </c>
      <c r="AI288" s="42" t="n">
        <f aca="false">IFERROR(IF($C288="","",IF($D288="","",IFERROR(ROUND($D288*INDEX('🔖 배합비 참조'!$B$2:$CE$83,MATCH("동부(미얀마산)",'🔖 배합비 참조'!$A$2:$A$83,0),MATCH($C288,'🔖 배합비 참조'!$B$1:$CE$1,0))/100,0),""))),"")</f>
        <v>0</v>
      </c>
      <c r="AJ288" s="42" t="n">
        <f aca="false">IFERROR(IF($C288="","",IF($D288="","",IFERROR(ROUND($D288*INDEX('🔖 배합비 참조'!$B$2:$CE$83,MATCH("두류가공품(백옥앙금)",'🔖 배합비 참조'!$A$2:$A$83,0),MATCH($C288,'🔖 배합비 참조'!$B$1:$CE$1,0))/100,0),""))),"")</f>
        <v>0</v>
      </c>
      <c r="AK288" s="42" t="n">
        <f aca="false">IFERROR(IF($C288="","",IF($D288="","",IFERROR(ROUND($D288*INDEX('🔖 배합비 참조'!$B$2:$CE$83,MATCH("두류가공품(콩고물)",'🔖 배합비 참조'!$A$2:$A$83,0),MATCH($C288,'🔖 배합비 참조'!$B$1:$CE$1,0))/100,0),""))),"")</f>
        <v>0</v>
      </c>
      <c r="AL288" s="42" t="n">
        <f aca="false">IFERROR(IF($C288="","",IF($D288="","",IFERROR(ROUND($D288*INDEX('🔖 배합비 참조'!$B$2:$CE$83,MATCH("두류가공품(통팥고물)",'🔖 배합비 참조'!$A$2:$A$83,0),MATCH($C288,'🔖 배합비 참조'!$B$1:$CE$1,0))/100,0),""))),"")</f>
        <v>0</v>
      </c>
      <c r="AM288" s="42" t="n">
        <f aca="false">IFERROR(IF($C288="","",IF($D288="","",IFERROR(ROUND($D288*INDEX('🔖 배합비 참조'!$B$2:$CE$83,MATCH("딸기레진",'🔖 배합비 참조'!$A$2:$A$83,0),MATCH($C288,'🔖 배합비 참조'!$B$1:$CE$1,0))/100,0),""))),"")</f>
        <v>0</v>
      </c>
      <c r="AN288" s="42" t="n">
        <f aca="false">IFERROR(IF($C288="","",IF($D288="","",IFERROR(ROUND($D288*INDEX('🔖 배합비 참조'!$B$2:$CE$83,MATCH("딸기분말(스트로우베리에이드(분말))",'🔖 배합비 참조'!$A$2:$A$83,0),MATCH($C288,'🔖 배합비 참조'!$B$1:$CE$1,0))/100,0),""))),"")</f>
        <v>0</v>
      </c>
      <c r="AO288" s="42" t="n">
        <f aca="false">IFERROR(IF($C288="","",IF($D288="","",IFERROR(ROUND($D288*INDEX('🔖 배합비 참조'!$B$2:$CE$83,MATCH("마스카포네치즈",'🔖 배합비 참조'!$A$2:$A$83,0),MATCH($C288,'🔖 배합비 참조'!$B$1:$CE$1,0))/100,0),""))),"")</f>
        <v>0</v>
      </c>
      <c r="AP288" s="42" t="n">
        <f aca="false">IFERROR(IF($C288="","",IF($D288="","",IFERROR(ROUND($D288*INDEX('🔖 배합비 참조'!$B$2:$CE$83,MATCH("마카다미아분태(호주산)",'🔖 배합비 참조'!$A$2:$A$83,0),MATCH($C288,'🔖 배합비 참조'!$B$1:$CE$1,0))/100,0),""))),"")</f>
        <v>5</v>
      </c>
      <c r="AQ288" s="42" t="n">
        <f aca="false">IFERROR(IF($C288="","",IF($D288="","",IFERROR(ROUND($D288*INDEX('🔖 배합비 참조'!$B$2:$CE$83,MATCH("멥쌀(국내산)",'🔖 배합비 참조'!$A$2:$A$83,0),MATCH($C288,'🔖 배합비 참조'!$B$1:$CE$1,0))/100,0),""))),"")</f>
        <v>0</v>
      </c>
      <c r="AR288" s="42" t="n">
        <f aca="false">IFERROR(IF($C288="","",IF($D288="","",IFERROR(ROUND($D288*INDEX('🔖 배합비 참조'!$B$2:$CE$83,MATCH("모시잎(국내산)",'🔖 배합비 참조'!$A$2:$A$83,0),MATCH($C288,'🔖 배합비 참조'!$B$1:$CE$1,0))/100,0),""))),"")</f>
        <v>0</v>
      </c>
      <c r="AS288" s="42" t="n">
        <f aca="false">IFERROR(IF($C288="","",IF($D288="","",IFERROR(ROUND($D288*INDEX('🔖 배합비 참조'!$B$2:$CE$83,MATCH("물엿(저당물엿)",'🔖 배합비 참조'!$A$2:$A$83,0),MATCH($C288,'🔖 배합비 참조'!$B$1:$CE$1,0))/100,0),""))),"")</f>
        <v>0</v>
      </c>
      <c r="AT288" s="42" t="n">
        <f aca="false">IFERROR(IF($C288="","",IF($D288="","",IFERROR(ROUND($D288*INDEX('🔖 배합비 참조'!$B$2:$CE$83,MATCH("밤다이스",'🔖 배합비 참조'!$A$2:$A$83,0),MATCH($C288,'🔖 배합비 참조'!$B$1:$CE$1,0))/100,0),""))),"")</f>
        <v>1</v>
      </c>
      <c r="AU288" s="42" t="n">
        <f aca="false">IFERROR(IF($C288="","",IF($D288="","",IFERROR(ROUND($D288*INDEX('🔖 배합비 참조'!$B$2:$CE$83,MATCH("변성전분(타피오카전분)",'🔖 배합비 참조'!$A$2:$A$83,0),MATCH($C288,'🔖 배합비 참조'!$B$1:$CE$1,0))/100,0),""))),"")</f>
        <v>0</v>
      </c>
      <c r="AV288" s="42" t="n">
        <f aca="false">IFERROR(IF($C288="","",IF($D288="","",IFERROR(ROUND($D288*INDEX('🔖 배합비 참조'!$B$2:$CE$83,MATCH("복음땅콩분태",'🔖 배합비 참조'!$A$2:$A$83,0),MATCH($C288,'🔖 배합비 참조'!$B$1:$CE$1,0))/100,0),""))),"")</f>
        <v>0</v>
      </c>
      <c r="AW288" s="42" t="n">
        <f aca="false">IFERROR(IF($C288="","",IF($D288="","",IFERROR(ROUND($D288*INDEX('🔖 배합비 참조'!$B$2:$CE$83,MATCH("사양벌꿀(국내산)",'🔖 배합비 참조'!$A$2:$A$83,0),MATCH($C288,'🔖 배합비 참조'!$B$1:$CE$1,0))/100,0),""))),"")</f>
        <v>0</v>
      </c>
      <c r="AX288" s="42" t="n">
        <f aca="false">IFERROR(IF($C288="","",IF($D288="","",IFERROR(ROUND($D288*INDEX('🔖 배합비 참조'!$B$2:$CE$83,MATCH("생크림",'🔖 배합비 참조'!$A$2:$A$83,0),MATCH($C288,'🔖 배합비 참조'!$B$1:$CE$1,0))/100,0),""))),"")</f>
        <v>0</v>
      </c>
      <c r="AY288" s="42" t="n">
        <f aca="false">IFERROR(IF($C288="","",IF($D288="","",IFERROR(ROUND($D288*INDEX('🔖 배합비 참조'!$B$2:$CE$83,MATCH("서양호박(국내산,뉴질랜드산)",'🔖 배합비 참조'!$A$2:$A$83,0),MATCH($C288,'🔖 배합비 참조'!$B$1:$CE$1,0))/100,0),""))),"")</f>
        <v>0</v>
      </c>
      <c r="AZ288" s="42" t="n">
        <f aca="false">IFERROR(IF($C288="","",IF($D288="","",IFERROR(ROUND($D288*INDEX('🔖 배합비 참조'!$B$2:$CE$83,MATCH("설탕",'🔖 배합비 참조'!$A$2:$A$83,0),MATCH($C288,'🔖 배합비 참조'!$B$1:$CE$1,0))/100,0),""))),"")</f>
        <v>2</v>
      </c>
      <c r="BA288" s="42" t="n">
        <f aca="false">IFERROR(IF($C288="","",IF($D288="","",IFERROR(ROUND($D288*INDEX('🔖 배합비 참조'!$B$2:$CE$83,MATCH("스트로우베리 에이드 후레쉬",'🔖 배합비 참조'!$A$2:$A$83,0),MATCH($C288,'🔖 배합비 참조'!$B$1:$CE$1,0))/100,0),""))),"")</f>
        <v>0</v>
      </c>
      <c r="BB288" s="42" t="n">
        <f aca="false">IFERROR(IF($C288="","",IF($D288="","",IFERROR(ROUND($D288*INDEX('🔖 배합비 참조'!$B$2:$CE$83,MATCH("식물성기름혼합제제(분홍)",'🔖 배합비 참조'!$A$2:$A$83,0),MATCH($C288,'🔖 배합비 참조'!$B$1:$CE$1,0))/100,0),""))),"")</f>
        <v>0</v>
      </c>
      <c r="BC288" s="42" t="n">
        <f aca="false">IFERROR(IF($C288="","",IF($D288="","",IFERROR(ROUND($D288*INDEX('🔖 배합비 참조'!$B$2:$CE$83,MATCH("식물성기름혼합제제(초록)",'🔖 배합비 참조'!$A$2:$A$83,0),MATCH($C288,'🔖 배합비 참조'!$B$1:$CE$1,0))/100,0),""))),"")</f>
        <v>0</v>
      </c>
      <c r="BD288" s="42" t="n">
        <f aca="false">IFERROR(IF($C288="","",IF($D288="","",IFERROR(ROUND($D288*INDEX('🔖 배합비 참조'!$B$2:$CE$83,MATCH("식물성기름혼합제제(황색)",'🔖 배합비 참조'!$A$2:$A$83,0),MATCH($C288,'🔖 배합비 참조'!$B$1:$CE$1,0))/100,0),""))),"")</f>
        <v>0</v>
      </c>
      <c r="BE288" s="42" t="n">
        <f aca="false">IFERROR(IF($C288="","",IF($D288="","",IFERROR(ROUND($D288*INDEX('🔖 배합비 참조'!$B$2:$CE$83,MATCH("쑥가루(국내산)",'🔖 배합비 참조'!$A$2:$A$83,0),MATCH($C288,'🔖 배합비 참조'!$B$1:$CE$1,0))/100,0),""))),"")</f>
        <v>1</v>
      </c>
      <c r="BF288" s="42" t="n">
        <f aca="false">IFERROR(IF($C288="","",IF($D288="","",IFERROR(ROUND($D288*INDEX('🔖 배합비 참조'!$B$2:$CE$83,MATCH("아몬드슬라이스",'🔖 배합비 참조'!$A$2:$A$83,0),MATCH($C288,'🔖 배합비 참조'!$B$1:$CE$1,0))/100,0),""))),"")</f>
        <v>0</v>
      </c>
      <c r="BG288" s="42" t="n">
        <f aca="false">IFERROR(IF($C288="","",IF($D288="","",IFERROR(ROUND($D288*INDEX('🔖 배합비 참조'!$B$2:$CE$83,MATCH("알룰로오스(국내산)",'🔖 배합비 참조'!$A$2:$A$83,0),MATCH($C288,'🔖 배합비 참조'!$B$1:$CE$1,0))/100,0),""))),"")</f>
        <v>0</v>
      </c>
      <c r="BH288" s="42" t="n">
        <f aca="false">IFERROR(IF($C288="","",IF($D288="","",IFERROR(ROUND($D288*INDEX('🔖 배합비 참조'!$B$2:$CE$83,MATCH("연유",'🔖 배합비 참조'!$A$2:$A$83,0),MATCH($C288,'🔖 배합비 참조'!$B$1:$CE$1,0))/100,0),""))),"")</f>
        <v>0</v>
      </c>
      <c r="BI288" s="42" t="n">
        <f aca="false">IFERROR(IF($C288="","",IF($D288="","",IFERROR(ROUND($D288*INDEX('🔖 배합비 참조'!$B$2:$CE$83,MATCH("옥수수전분",'🔖 배합비 참조'!$A$2:$A$83,0),MATCH($C288,'🔖 배합비 참조'!$B$1:$CE$1,0))/100,0),""))),"")</f>
        <v>1</v>
      </c>
      <c r="BJ288" s="42" t="n">
        <f aca="false">IFERROR(IF($C288="","",IF($D288="","",IFERROR(ROUND($D288*INDEX('🔖 배합비 참조'!$B$2:$CE$83,MATCH("완두배기",'🔖 배합비 참조'!$A$2:$A$83,0),MATCH($C288,'🔖 배합비 참조'!$B$1:$CE$1,0))/100,0),""))),"")</f>
        <v>0</v>
      </c>
      <c r="BK288" s="42" t="n">
        <f aca="false">IFERROR(IF($C288="","",IF($D288="","",IFERROR(ROUND($D288*INDEX('🔖 배합비 참조'!$B$2:$CE$83,MATCH("우유(국내산)",'🔖 배합비 참조'!$A$2:$A$83,0),MATCH($C288,'🔖 배합비 참조'!$B$1:$CE$1,0))/100,0),""))),"")</f>
        <v>0</v>
      </c>
      <c r="BL288" s="42" t="n">
        <f aca="false">IFERROR(IF($C288="","",IF($D288="","",IFERROR(ROUND($D288*INDEX('🔖 배합비 참조'!$B$2:$CE$83,MATCH("자색고구마가루(중국산)",'🔖 배합비 참조'!$A$2:$A$83,0),MATCH($C288,'🔖 배합비 참조'!$B$1:$CE$1,0))/100,0),""))),"")</f>
        <v>0</v>
      </c>
      <c r="BM288" s="42" t="n">
        <f aca="false">IFERROR(IF($C288="","",IF($D288="","",IFERROR(ROUND($D288*INDEX('🔖 배합비 참조'!$B$2:$CE$83,MATCH("자연치즈(체다치즈)",'🔖 배합비 참조'!$A$2:$A$83,0),MATCH($C288,'🔖 배합비 참조'!$B$1:$CE$1,0))/100,0),""))),"")</f>
        <v>0</v>
      </c>
      <c r="BN288" s="42" t="n">
        <f aca="false">IFERROR(IF($C288="","",IF($D288="","",IFERROR(ROUND($D288*INDEX('🔖 배합비 참조'!$B$2:$CE$83,MATCH("정제수",'🔖 배합비 참조'!$A$2:$A$83,0),MATCH($C288,'🔖 배합비 참조'!$B$1:$CE$1,0))/100,0),""))),"")</f>
        <v>19</v>
      </c>
      <c r="BO288" s="42" t="n">
        <f aca="false">IFERROR(IF($C288="","",IF($D288="","",IFERROR(ROUND($D288*INDEX('🔖 배합비 참조'!$B$2:$CE$83,MATCH("젤라틴",'🔖 배합비 참조'!$A$2:$A$83,0),MATCH($C288,'🔖 배합비 참조'!$B$1:$CE$1,0))/100,0),""))),"")</f>
        <v>0</v>
      </c>
      <c r="BP288" s="42" t="n">
        <f aca="false">IFERROR(IF($C288="","",IF($D288="","",IFERROR(ROUND($D288*INDEX('🔖 배합비 참조'!$B$2:$CE$83,MATCH("조림류(백옥앙금)",'🔖 배합비 참조'!$A$2:$A$83,0),MATCH($C288,'🔖 배합비 참조'!$B$1:$CE$1,0))/100,0),""))),"")</f>
        <v>0</v>
      </c>
      <c r="BQ288" s="42" t="n">
        <f aca="false">IFERROR(IF($C288="","",IF($D288="","",IFERROR(ROUND($D288*INDEX('🔖 배합비 참조'!$B$2:$CE$83,MATCH("조림류(통팥앙금)",'🔖 배합비 참조'!$A$2:$A$83,0),MATCH($C288,'🔖 배합비 참조'!$B$1:$CE$1,0))/100,0),""))),"")</f>
        <v>37</v>
      </c>
      <c r="BR288" s="42" t="n">
        <f aca="false">IFERROR(IF($C288="","",IF($D288="","",IFERROR(ROUND($D288*INDEX('🔖 배합비 참조'!$B$2:$CE$83,MATCH("준초콜릿(외국산)",'🔖 배합비 참조'!$A$2:$A$83,0),MATCH($C288,'🔖 배합비 참조'!$B$1:$CE$1,0))/100,0),""))),"")</f>
        <v>0</v>
      </c>
      <c r="BS288" s="42" t="n">
        <f aca="false">IFERROR(IF($C288="","",IF($D288="","",IFERROR(ROUND($D288*INDEX('🔖 배합비 참조'!$B$2:$CE$83,MATCH("중력분",'🔖 배합비 참조'!$A$2:$A$83,0),MATCH($C288,'🔖 배합비 참조'!$B$1:$CE$1,0))/100,0),""))),"")</f>
        <v>0</v>
      </c>
      <c r="BT288" s="42" t="n">
        <f aca="false">IFERROR(IF($C288="","",IF($D288="","",IFERROR(ROUND($D288*INDEX('🔖 배합비 참조'!$B$2:$CE$83,MATCH("참깨(인도산,나이지리아산,탄자니아산,미얀마산)",'🔖 배합비 참조'!$A$2:$A$83,0),MATCH($C288,'🔖 배합비 참조'!$B$1:$CE$1,0))/100,0),""))),"")</f>
        <v>0</v>
      </c>
      <c r="BU288" s="42" t="n">
        <f aca="false">IFERROR(IF($C288="","",IF($D288="","",IFERROR(ROUND($D288*INDEX('🔖 배합비 참조'!$B$2:$CE$83,MATCH("찹쌀(국내산)",'🔖 배합비 참조'!$A$2:$A$83,0),MATCH($C288,'🔖 배합비 참조'!$B$1:$CE$1,0))/100,0),""))),"")</f>
        <v>39</v>
      </c>
      <c r="BV288" s="42" t="n">
        <f aca="false">IFERROR(IF($C288="","",IF($D288="","",IFERROR(ROUND($D288*INDEX('🔖 배합비 참조'!$B$2:$CE$83,MATCH("천일염",'🔖 배합비 참조'!$A$2:$A$83,0),MATCH($C288,'🔖 배합비 참조'!$B$1:$CE$1,0))/100,0),""))),"")</f>
        <v>1</v>
      </c>
      <c r="BW288" s="42" t="n">
        <f aca="false">IFERROR(IF($C288="","",IF($D288="","",IFERROR(ROUND($D288*INDEX('🔖 배합비 참조'!$B$2:$CE$83,MATCH("치즈 [크림치즈]",'🔖 배합비 참조'!$A$2:$A$83,0),MATCH($C288,'🔖 배합비 참조'!$B$1:$CE$1,0))/100,0),""))),"")</f>
        <v>0</v>
      </c>
      <c r="BX288" s="42" t="n">
        <f aca="false">IFERROR(IF($C288="","",IF($D288="","",IFERROR(ROUND($D288*INDEX('🔖 배합비 참조'!$B$2:$CE$83,MATCH("코코아가공품류(코코아분말)",'🔖 배합비 참조'!$A$2:$A$83,0),MATCH($C288,'🔖 배합비 참조'!$B$1:$CE$1,0))/100,0),""))),"")</f>
        <v>0</v>
      </c>
      <c r="BY288" s="42" t="n">
        <f aca="false">IFERROR(IF($C288="","",IF($D288="","",IFERROR(ROUND($D288*INDEX('🔖 배합비 참조'!$B$2:$CE$83,MATCH("콩기름(대두유)",'🔖 배합비 참조'!$A$2:$A$83,0),MATCH($C288,'🔖 배합비 참조'!$B$1:$CE$1,0))/100,0),""))),"")</f>
        <v>0</v>
      </c>
      <c r="BZ288" s="42" t="n">
        <f aca="false">IFERROR(IF($C288="","",IF($D288="","",IFERROR(ROUND($D288*INDEX('🔖 배합비 참조'!$B$2:$CE$83,MATCH("해바라기씨앗",'🔖 배합비 참조'!$A$2:$A$83,0),MATCH($C288,'🔖 배합비 참조'!$B$1:$CE$1,0))/100,0),""))),"")</f>
        <v>0</v>
      </c>
      <c r="CA288" s="42" t="n">
        <f aca="false">IFERROR(IF($C288="","",IF($D288="","",IFERROR(ROUND($D288*INDEX('🔖 배합비 참조'!$B$2:$CE$83,MATCH("현미(국내산)",'🔖 배합비 참조'!$A$2:$A$83,0),MATCH($C288,'🔖 배합비 참조'!$B$1:$CE$1,0))/100,0),""))),"")</f>
        <v>0</v>
      </c>
      <c r="CB288" s="42" t="n">
        <f aca="false">IFERROR(IF($C288="","",IF($D288="","",IFERROR(ROUND($D288*INDEX('🔖 배합비 참조'!$B$2:$CE$83,MATCH("현미멥쌀(국내산)",'🔖 배합비 참조'!$A$2:$A$83,0),MATCH($C288,'🔖 배합비 참조'!$B$1:$CE$1,0))/100,0),""))),"")</f>
        <v>0</v>
      </c>
      <c r="CC288" s="42" t="n">
        <f aca="false">IFERROR(IF($C288="","",IF($D288="","",IFERROR(ROUND($D288*INDEX('🔖 배합비 참조'!$B$2:$CE$83,MATCH("호두분태(미국산)",'🔖 배합비 참조'!$A$2:$A$83,0),MATCH($C288,'🔖 배합비 참조'!$B$1:$CE$1,0))/100,0),""))),"")</f>
        <v>3</v>
      </c>
      <c r="CD288" s="42" t="n">
        <f aca="false">IFERROR(IF($C288="","",IF($D288="","",IFERROR(ROUND($D288*INDEX('🔖 배합비 참조'!$B$2:$CE$83,MATCH("호박씨앗(외국산)",'🔖 배합비 참조'!$A$2:$A$83,0),MATCH($C288,'🔖 배합비 참조'!$B$1:$CE$1,0))/100,0),""))),"")</f>
        <v>0</v>
      </c>
      <c r="CE288" s="42" t="n">
        <f aca="false">IFERROR(IF($C288="","",IF($D288="","",IFERROR(ROUND($D288*INDEX('🔖 배합비 참조'!$B$2:$CE$83,MATCH("혼합제제(떡용에스텔)",'🔖 배합비 참조'!$A$2:$A$83,0),MATCH($C288,'🔖 배합비 참조'!$B$1:$CE$1,0))/100,0),""))),"")</f>
        <v>0</v>
      </c>
      <c r="CF288" s="42" t="n">
        <f aca="false">IFERROR(IF($C288="","",IF($D288="","",IFERROR(ROUND($D288*INDEX('🔖 배합비 참조'!$B$2:$CE$83,MATCH("혼합제제(스테비아)",'🔖 배합비 참조'!$A$2:$A$83,0),MATCH($C288,'🔖 배합비 참조'!$B$1:$CE$1,0))/100,0),""))),"")</f>
        <v>0</v>
      </c>
      <c r="CG288" s="42" t="n">
        <f aca="false">IFERROR(IF($C288="","",IF($D288="","",IFERROR(ROUND($D288*INDEX('🔖 배합비 참조'!$B$2:$CE$83,MATCH("화이트초콜릿",'🔖 배합비 참조'!$A$2:$A$83,0),MATCH($C288,'🔖 배합비 참조'!$B$1:$CE$1,0))/100,0),""))),"")</f>
        <v>0</v>
      </c>
      <c r="CH288" s="42" t="n">
        <f aca="false">IFERROR(IF($C288="","",IF($D288="","",IFERROR(ROUND($D288*INDEX('🔖 배합비 참조'!$B$2:$CE$83,MATCH("흑미찹쌀(국내산)",'🔖 배합비 참조'!$A$2:$A$83,0),MATCH($C288,'🔖 배합비 참조'!$B$1:$CE$1,0))/100,0),""))),"")</f>
        <v>0</v>
      </c>
      <c r="CI288" s="42" t="n">
        <f aca="false">IFERROR(IF($C288="","",IF($D288="","",IFERROR(ROUND($D288*INDEX('🔖 배합비 참조'!$B$2:$CE$83,MATCH("찰옥수수전분(미국산)",'🔖 배합비 참조'!$A$2:$A$83,0),MATCH($C288,'🔖 배합비 참조'!$B$1:$CE$1,0))/100,0),""))),"")</f>
        <v>0</v>
      </c>
      <c r="CJ288" s="40"/>
      <c r="CL288" s="43" t="s">
        <v>248</v>
      </c>
    </row>
    <row r="289" customFormat="false" ht="18" hidden="false" customHeight="true" outlineLevel="0" collapsed="false">
      <c r="A289" s="35" t="n">
        <v>285</v>
      </c>
      <c r="B289" s="36" t="n">
        <v>46098</v>
      </c>
      <c r="C289" s="37" t="s">
        <v>191</v>
      </c>
      <c r="D289" s="38" t="n">
        <v>1100</v>
      </c>
      <c r="E289" s="13"/>
      <c r="F289" s="13"/>
      <c r="G289" s="39" t="n">
        <f aca="false">IFERROR(IF($C289="","",IF($D289="","",IFERROR(ROUND($D289*INDEX('🔖 배합비 참조'!$B$2:$CE$83,MATCH("간장",'🔖 배합비 참조'!$A$2:$A$83,0),MATCH($C289,'🔖 배합비 참조'!$B$1:$CE$1,0))/100,0),""))),"")</f>
        <v>0</v>
      </c>
      <c r="H289" s="39" t="n">
        <f aca="false">IFERROR(IF($C289="","",IF($D289="","",IFERROR(ROUND($D289*INDEX('🔖 배합비 참조'!$B$2:$CE$83,MATCH("강낭콩((울타리콩))",'🔖 배합비 참조'!$A$2:$A$83,0),MATCH($C289,'🔖 배합비 참조'!$B$1:$CE$1,0))/100,0),""))),"")</f>
        <v>0</v>
      </c>
      <c r="I289" s="39" t="n">
        <f aca="false">IFERROR(IF($C289="","",IF($D289="","",IFERROR(ROUND($D289*INDEX('🔖 배합비 참조'!$B$2:$CE$83,MATCH("건조딸기다이스(외국산)",'🔖 배합비 참조'!$A$2:$A$83,0),MATCH($C289,'🔖 배합비 참조'!$B$1:$CE$1,0))/100,0),""))),"")</f>
        <v>0</v>
      </c>
      <c r="J289" s="39" t="n">
        <f aca="false">IFERROR(IF($C289="","",IF($D289="","",IFERROR(ROUND($D289*INDEX('🔖 배합비 참조'!$B$2:$CE$83,MATCH("건포도",'🔖 배합비 참조'!$A$2:$A$83,0),MATCH($C289,'🔖 배합비 참조'!$B$1:$CE$1,0))/100,0),""))),"")</f>
        <v>0</v>
      </c>
      <c r="K289" s="39" t="n">
        <f aca="false">IFERROR(IF($C289="","",IF($D289="","",IFERROR(ROUND($D289*INDEX('🔖 배합비 참조'!$B$2:$CE$83,MATCH("건호박채(중국산)",'🔖 배합비 참조'!$A$2:$A$83,0),MATCH($C289,'🔖 배합비 참조'!$B$1:$CE$1,0))/100,0),""))),"")</f>
        <v>0</v>
      </c>
      <c r="L289" s="39" t="n">
        <f aca="false">IFERROR(IF($C289="","",IF($D289="","",IFERROR(ROUND($D289*INDEX('🔖 배합비 참조'!$B$2:$CE$83,MATCH("검정깨(흑임자)",'🔖 배합비 참조'!$A$2:$A$83,0),MATCH($C289,'🔖 배합비 참조'!$B$1:$CE$1,0))/100,0),""))),"")</f>
        <v>0</v>
      </c>
      <c r="M289" s="39" t="n">
        <f aca="false">IFERROR(IF($C289="","",IF($D289="","",IFERROR(ROUND($D289*INDEX('🔖 배합비 참조'!$B$2:$CE$83,MATCH("검정콩",'🔖 배합비 참조'!$A$2:$A$83,0),MATCH($C289,'🔖 배합비 참조'!$B$1:$CE$1,0))/100,0),""))),"")</f>
        <v>0</v>
      </c>
      <c r="N289" s="39" t="n">
        <f aca="false">IFERROR(IF($C289="","",IF($D289="","",IFERROR(ROUND($D289*INDEX('🔖 배합비 참조'!$B$2:$CE$83,MATCH("계피가루",'🔖 배합비 참조'!$A$2:$A$83,0),MATCH($C289,'🔖 배합비 참조'!$B$1:$CE$1,0))/100,0),""))),"")</f>
        <v>0</v>
      </c>
      <c r="O289" s="39" t="n">
        <f aca="false">IFERROR(IF($C289="","",IF($D289="","",IFERROR(ROUND($D289*INDEX('🔖 배합비 참조'!$B$2:$CE$83,MATCH("고구마가루",'🔖 배합비 참조'!$A$2:$A$83,0),MATCH($C289,'🔖 배합비 참조'!$B$1:$CE$1,0))/100,0),""))),"")</f>
        <v>0</v>
      </c>
      <c r="P289" s="39" t="n">
        <f aca="false">IFERROR(IF($C289="","",IF($D289="","",IFERROR(ROUND($D289*INDEX('🔖 배합비 참조'!$B$2:$CE$83,MATCH("고구마무스",'🔖 배합비 참조'!$A$2:$A$83,0),MATCH($C289,'🔖 배합비 참조'!$B$1:$CE$1,0))/100,0),""))),"")</f>
        <v>0</v>
      </c>
      <c r="Q289" s="39" t="n">
        <f aca="false">IFERROR(IF($C289="","",IF($D289="","",IFERROR(ROUND($D289*INDEX('🔖 배합비 참조'!$B$2:$CE$83,MATCH("고려엉겅퀴((곤드레)국내산)",'🔖 배합비 참조'!$A$2:$A$83,0),MATCH($C289,'🔖 배합비 참조'!$B$1:$CE$1,0))/100,0),""))),"")</f>
        <v>0</v>
      </c>
      <c r="R289" s="39" t="n">
        <f aca="false">IFERROR(IF($C289="","",IF($D289="","",IFERROR(ROUND($D289*INDEX('🔖 배합비 참조'!$B$2:$CE$83,MATCH("기타가공품(복분자가루)",'🔖 배합비 참조'!$A$2:$A$83,0),MATCH($C289,'🔖 배합비 참조'!$B$1:$CE$1,0))/100,0),""))),"")</f>
        <v>0</v>
      </c>
      <c r="S289" s="39" t="n">
        <f aca="false">IFERROR(IF($C289="","",IF($D289="","",IFERROR(ROUND($D289*INDEX('🔖 배합비 참조'!$B$2:$CE$83,MATCH("기타가공품(슈퍼소프트엠)",'🔖 배합비 참조'!$A$2:$A$83,0),MATCH($C289,'🔖 배합비 참조'!$B$1:$CE$1,0))/100,0),""))),"")</f>
        <v>0</v>
      </c>
      <c r="T289" s="39" t="n">
        <f aca="false">IFERROR(IF($C289="","",IF($D289="","",IFERROR(ROUND($D289*INDEX('🔖 배합비 참조'!$B$2:$CE$83,MATCH("기타가공품(파인소프트 E-티)",'🔖 배합비 참조'!$A$2:$A$83,0),MATCH($C289,'🔖 배합비 참조'!$B$1:$CE$1,0))/100,0),""))),"")</f>
        <v>0</v>
      </c>
      <c r="U289" s="39" t="n">
        <f aca="false">IFERROR(IF($C289="","",IF($D289="","",IFERROR(ROUND($D289*INDEX('🔖 배합비 참조'!$B$2:$CE$83,MATCH("기타가공품(프리미엄카스테라가루)",'🔖 배합비 참조'!$A$2:$A$83,0),MATCH($C289,'🔖 배합비 참조'!$B$1:$CE$1,0))/100,0),""))),"")</f>
        <v>0</v>
      </c>
      <c r="V289" s="39" t="n">
        <f aca="false">IFERROR(IF($C289="","",IF($D289="","",IFERROR(ROUND($D289*INDEX('🔖 배합비 참조'!$B$2:$CE$83,MATCH("기타가공품(흑임자가루)",'🔖 배합비 참조'!$A$2:$A$83,0),MATCH($C289,'🔖 배합비 참조'!$B$1:$CE$1,0))/100,0),""))),"")</f>
        <v>0</v>
      </c>
      <c r="W289" s="39" t="n">
        <f aca="false">IFERROR(IF($C289="","",IF($D289="","",IFERROR(ROUND($D289*INDEX('🔖 배합비 참조'!$B$2:$CE$83,MATCH("기타설탕(흑설탕)",'🔖 배합비 참조'!$A$2:$A$83,0),MATCH($C289,'🔖 배합비 참조'!$B$1:$CE$1,0))/100,0),""))),"")</f>
        <v>0</v>
      </c>
      <c r="X289" s="39" t="n">
        <f aca="false">IFERROR(IF($C289="","",IF($D289="","",IFERROR(ROUND($D289*INDEX('🔖 배합비 참조'!$B$2:$CE$83,MATCH("냉동쑥(국내산)",'🔖 배합비 참조'!$A$2:$A$83,0),MATCH($C289,'🔖 배합비 참조'!$B$1:$CE$1,0))/100,0),""))),"")</f>
        <v>0</v>
      </c>
      <c r="Y289" s="39" t="n">
        <f aca="false">IFERROR(IF($C289="","",IF($D289="","",IFERROR(ROUND($D289*INDEX('🔖 배합비 참조'!$B$2:$CE$83,MATCH("냉동증숙고구마(중국산)",'🔖 배합비 참조'!$A$2:$A$83,0),MATCH($C289,'🔖 배합비 참조'!$B$1:$CE$1,0))/100,0),""))),"")</f>
        <v>0</v>
      </c>
      <c r="Z289" s="39" t="n">
        <f aca="false">IFERROR(IF($C289="","",IF($D289="","",IFERROR(ROUND($D289*INDEX('🔖 배합비 참조'!$B$2:$CE$83,MATCH("녹차가루",'🔖 배합비 참조'!$A$2:$A$83,0),MATCH($C289,'🔖 배합비 참조'!$B$1:$CE$1,0))/100,0),""))),"")</f>
        <v>0</v>
      </c>
      <c r="AA289" s="39" t="n">
        <f aca="false">IFERROR(IF($C289="","",IF($D289="","",IFERROR(ROUND($D289*INDEX('🔖 배합비 참조'!$B$2:$CE$83,MATCH("다크초콜릿 컴파운드칩",'🔖 배합비 참조'!$A$2:$A$83,0),MATCH($C289,'🔖 배합비 참조'!$B$1:$CE$1,0))/100,0),""))),"")</f>
        <v>0</v>
      </c>
      <c r="AB289" s="39" t="n">
        <f aca="false">IFERROR(IF($C289="","",IF($D289="","",IFERROR(ROUND($D289*INDEX('🔖 배합비 참조'!$B$2:$CE$83,MATCH("단호박분말(중국산)",'🔖 배합비 참조'!$A$2:$A$83,0),MATCH($C289,'🔖 배합비 참조'!$B$1:$CE$1,0))/100,0),""))),"")</f>
        <v>0</v>
      </c>
      <c r="AC289" s="39" t="n">
        <f aca="false">IFERROR(IF($C289="","",IF($D289="","",IFERROR(ROUND($D289*INDEX('🔖 배합비 참조'!$B$2:$CE$83,MATCH("당류가공품(단호박농축액)",'🔖 배합비 참조'!$A$2:$A$83,0),MATCH($C289,'🔖 배합비 참조'!$B$1:$CE$1,0))/100,0),""))),"")</f>
        <v>0</v>
      </c>
      <c r="AD289" s="39" t="n">
        <f aca="false">IFERROR(IF($C289="","",IF($D289="","",IFERROR(ROUND($D289*INDEX('🔖 배합비 참조'!$B$2:$CE$83,MATCH("당류가공품(알룰로스,에리스리톨,스테비올배당체혼합)",'🔖 배합비 참조'!$A$2:$A$83,0),MATCH($C289,'🔖 배합비 참조'!$B$1:$CE$1,0))/100,0),""))),"")</f>
        <v>0</v>
      </c>
      <c r="AE289" s="39" t="n">
        <f aca="false">IFERROR(IF($C289="","",IF($D289="","",IFERROR(ROUND($D289*INDEX('🔖 배합비 참조'!$B$2:$CE$83,MATCH("당류가공품(알룰로스제로파우더)",'🔖 배합비 참조'!$A$2:$A$83,0),MATCH($C289,'🔖 배합비 참조'!$B$1:$CE$1,0))/100,0),""))),"")</f>
        <v>0</v>
      </c>
      <c r="AF289" s="39" t="n">
        <f aca="false">IFERROR(IF($C289="","",IF($D289="","",IFERROR(ROUND($D289*INDEX('🔖 배합비 참조'!$B$2:$CE$83,MATCH("당절임(완두배기)",'🔖 배합비 참조'!$A$2:$A$83,0),MATCH($C289,'🔖 배합비 참조'!$B$1:$CE$1,0))/100,0),""))),"")</f>
        <v>0</v>
      </c>
      <c r="AG289" s="39" t="n">
        <f aca="false">IFERROR(IF($C289="","",IF($D289="","",IFERROR(ROUND($D289*INDEX('🔖 배합비 참조'!$B$2:$CE$83,MATCH("대추농축액",'🔖 배합비 참조'!$A$2:$A$83,0),MATCH($C289,'🔖 배합비 참조'!$B$1:$CE$1,0))/100,0),""))),"")</f>
        <v>0</v>
      </c>
      <c r="AH289" s="39" t="n">
        <f aca="false">IFERROR(IF($C289="","",IF($D289="","",IFERROR(ROUND($D289*INDEX('🔖 배합비 참조'!$B$2:$CE$83,MATCH("대추채(국내산)",'🔖 배합비 참조'!$A$2:$A$83,0),MATCH($C289,'🔖 배합비 참조'!$B$1:$CE$1,0))/100,0),""))),"")</f>
        <v>0</v>
      </c>
      <c r="AI289" s="39" t="n">
        <f aca="false">IFERROR(IF($C289="","",IF($D289="","",IFERROR(ROUND($D289*INDEX('🔖 배합비 참조'!$B$2:$CE$83,MATCH("동부(미얀마산)",'🔖 배합비 참조'!$A$2:$A$83,0),MATCH($C289,'🔖 배합비 참조'!$B$1:$CE$1,0))/100,0),""))),"")</f>
        <v>0</v>
      </c>
      <c r="AJ289" s="39" t="n">
        <f aca="false">IFERROR(IF($C289="","",IF($D289="","",IFERROR(ROUND($D289*INDEX('🔖 배합비 참조'!$B$2:$CE$83,MATCH("두류가공품(백옥앙금)",'🔖 배합비 참조'!$A$2:$A$83,0),MATCH($C289,'🔖 배합비 참조'!$B$1:$CE$1,0))/100,0),""))),"")</f>
        <v>0</v>
      </c>
      <c r="AK289" s="39" t="n">
        <f aca="false">IFERROR(IF($C289="","",IF($D289="","",IFERROR(ROUND($D289*INDEX('🔖 배합비 참조'!$B$2:$CE$83,MATCH("두류가공품(콩고물)",'🔖 배합비 참조'!$A$2:$A$83,0),MATCH($C289,'🔖 배합비 참조'!$B$1:$CE$1,0))/100,0),""))),"")</f>
        <v>0</v>
      </c>
      <c r="AL289" s="39" t="n">
        <f aca="false">IFERROR(IF($C289="","",IF($D289="","",IFERROR(ROUND($D289*INDEX('🔖 배합비 참조'!$B$2:$CE$83,MATCH("두류가공품(통팥고물)",'🔖 배합비 참조'!$A$2:$A$83,0),MATCH($C289,'🔖 배합비 참조'!$B$1:$CE$1,0))/100,0),""))),"")</f>
        <v>0</v>
      </c>
      <c r="AM289" s="39" t="n">
        <f aca="false">IFERROR(IF($C289="","",IF($D289="","",IFERROR(ROUND($D289*INDEX('🔖 배합비 참조'!$B$2:$CE$83,MATCH("딸기레진",'🔖 배합비 참조'!$A$2:$A$83,0),MATCH($C289,'🔖 배합비 참조'!$B$1:$CE$1,0))/100,0),""))),"")</f>
        <v>0</v>
      </c>
      <c r="AN289" s="39" t="n">
        <f aca="false">IFERROR(IF($C289="","",IF($D289="","",IFERROR(ROUND($D289*INDEX('🔖 배합비 참조'!$B$2:$CE$83,MATCH("딸기분말(스트로우베리에이드(분말))",'🔖 배합비 참조'!$A$2:$A$83,0),MATCH($C289,'🔖 배합비 참조'!$B$1:$CE$1,0))/100,0),""))),"")</f>
        <v>0</v>
      </c>
      <c r="AO289" s="39" t="n">
        <f aca="false">IFERROR(IF($C289="","",IF($D289="","",IFERROR(ROUND($D289*INDEX('🔖 배합비 참조'!$B$2:$CE$83,MATCH("마스카포네치즈",'🔖 배합비 참조'!$A$2:$A$83,0),MATCH($C289,'🔖 배합비 참조'!$B$1:$CE$1,0))/100,0),""))),"")</f>
        <v>0</v>
      </c>
      <c r="AP289" s="39" t="n">
        <f aca="false">IFERROR(IF($C289="","",IF($D289="","",IFERROR(ROUND($D289*INDEX('🔖 배합비 참조'!$B$2:$CE$83,MATCH("마카다미아분태(호주산)",'🔖 배합비 참조'!$A$2:$A$83,0),MATCH($C289,'🔖 배합비 참조'!$B$1:$CE$1,0))/100,0),""))),"")</f>
        <v>0</v>
      </c>
      <c r="AQ289" s="39" t="n">
        <f aca="false">IFERROR(IF($C289="","",IF($D289="","",IFERROR(ROUND($D289*INDEX('🔖 배합비 참조'!$B$2:$CE$83,MATCH("멥쌀(국내산)",'🔖 배합비 참조'!$A$2:$A$83,0),MATCH($C289,'🔖 배합비 참조'!$B$1:$CE$1,0))/100,0),""))),"")</f>
        <v>22</v>
      </c>
      <c r="AR289" s="39" t="n">
        <f aca="false">IFERROR(IF($C289="","",IF($D289="","",IFERROR(ROUND($D289*INDEX('🔖 배합비 참조'!$B$2:$CE$83,MATCH("모시잎(국내산)",'🔖 배합비 참조'!$A$2:$A$83,0),MATCH($C289,'🔖 배합비 참조'!$B$1:$CE$1,0))/100,0),""))),"")</f>
        <v>0</v>
      </c>
      <c r="AS289" s="39" t="n">
        <f aca="false">IFERROR(IF($C289="","",IF($D289="","",IFERROR(ROUND($D289*INDEX('🔖 배합비 참조'!$B$2:$CE$83,MATCH("물엿(저당물엿)",'🔖 배합비 참조'!$A$2:$A$83,0),MATCH($C289,'🔖 배합비 참조'!$B$1:$CE$1,0))/100,0),""))),"")</f>
        <v>0</v>
      </c>
      <c r="AT289" s="39" t="n">
        <f aca="false">IFERROR(IF($C289="","",IF($D289="","",IFERROR(ROUND($D289*INDEX('🔖 배합비 참조'!$B$2:$CE$83,MATCH("밤다이스",'🔖 배합비 참조'!$A$2:$A$83,0),MATCH($C289,'🔖 배합비 참조'!$B$1:$CE$1,0))/100,0),""))),"")</f>
        <v>0</v>
      </c>
      <c r="AU289" s="39" t="n">
        <f aca="false">IFERROR(IF($C289="","",IF($D289="","",IFERROR(ROUND($D289*INDEX('🔖 배합비 참조'!$B$2:$CE$83,MATCH("변성전분(타피오카전분)",'🔖 배합비 참조'!$A$2:$A$83,0),MATCH($C289,'🔖 배합비 참조'!$B$1:$CE$1,0))/100,0),""))),"")</f>
        <v>0</v>
      </c>
      <c r="AV289" s="39" t="n">
        <f aca="false">IFERROR(IF($C289="","",IF($D289="","",IFERROR(ROUND($D289*INDEX('🔖 배합비 참조'!$B$2:$CE$83,MATCH("복음땅콩분태",'🔖 배합비 참조'!$A$2:$A$83,0),MATCH($C289,'🔖 배합비 참조'!$B$1:$CE$1,0))/100,0),""))),"")</f>
        <v>0</v>
      </c>
      <c r="AW289" s="39" t="n">
        <f aca="false">IFERROR(IF($C289="","",IF($D289="","",IFERROR(ROUND($D289*INDEX('🔖 배합비 참조'!$B$2:$CE$83,MATCH("사양벌꿀(국내산)",'🔖 배합비 참조'!$A$2:$A$83,0),MATCH($C289,'🔖 배합비 참조'!$B$1:$CE$1,0))/100,0),""))),"")</f>
        <v>0</v>
      </c>
      <c r="AX289" s="39" t="n">
        <f aca="false">IFERROR(IF($C289="","",IF($D289="","",IFERROR(ROUND($D289*INDEX('🔖 배합비 참조'!$B$2:$CE$83,MATCH("생크림",'🔖 배합비 참조'!$A$2:$A$83,0),MATCH($C289,'🔖 배합비 참조'!$B$1:$CE$1,0))/100,0),""))),"")</f>
        <v>0</v>
      </c>
      <c r="AY289" s="39" t="n">
        <f aca="false">IFERROR(IF($C289="","",IF($D289="","",IFERROR(ROUND($D289*INDEX('🔖 배합비 참조'!$B$2:$CE$83,MATCH("서양호박(국내산,뉴질랜드산)",'🔖 배합비 참조'!$A$2:$A$83,0),MATCH($C289,'🔖 배합비 참조'!$B$1:$CE$1,0))/100,0),""))),"")</f>
        <v>0</v>
      </c>
      <c r="AZ289" s="39" t="n">
        <f aca="false">IFERROR(IF($C289="","",IF($D289="","",IFERROR(ROUND($D289*INDEX('🔖 배합비 참조'!$B$2:$CE$83,MATCH("설탕",'🔖 배합비 참조'!$A$2:$A$83,0),MATCH($C289,'🔖 배합비 참조'!$B$1:$CE$1,0))/100,0),""))),"")</f>
        <v>209</v>
      </c>
      <c r="BA289" s="39" t="n">
        <f aca="false">IFERROR(IF($C289="","",IF($D289="","",IFERROR(ROUND($D289*INDEX('🔖 배합비 참조'!$B$2:$CE$83,MATCH("스트로우베리 에이드 후레쉬",'🔖 배합비 참조'!$A$2:$A$83,0),MATCH($C289,'🔖 배합비 참조'!$B$1:$CE$1,0))/100,0),""))),"")</f>
        <v>0</v>
      </c>
      <c r="BB289" s="39" t="n">
        <f aca="false">IFERROR(IF($C289="","",IF($D289="","",IFERROR(ROUND($D289*INDEX('🔖 배합비 참조'!$B$2:$CE$83,MATCH("식물성기름혼합제제(분홍)",'🔖 배합비 참조'!$A$2:$A$83,0),MATCH($C289,'🔖 배합비 참조'!$B$1:$CE$1,0))/100,0),""))),"")</f>
        <v>0</v>
      </c>
      <c r="BC289" s="39" t="n">
        <f aca="false">IFERROR(IF($C289="","",IF($D289="","",IFERROR(ROUND($D289*INDEX('🔖 배합비 참조'!$B$2:$CE$83,MATCH("식물성기름혼합제제(초록)",'🔖 배합비 참조'!$A$2:$A$83,0),MATCH($C289,'🔖 배합비 참조'!$B$1:$CE$1,0))/100,0),""))),"")</f>
        <v>0</v>
      </c>
      <c r="BD289" s="39" t="n">
        <f aca="false">IFERROR(IF($C289="","",IF($D289="","",IFERROR(ROUND($D289*INDEX('🔖 배합비 참조'!$B$2:$CE$83,MATCH("식물성기름혼합제제(황색)",'🔖 배합비 참조'!$A$2:$A$83,0),MATCH($C289,'🔖 배합비 참조'!$B$1:$CE$1,0))/100,0),""))),"")</f>
        <v>0</v>
      </c>
      <c r="BE289" s="39" t="n">
        <f aca="false">IFERROR(IF($C289="","",IF($D289="","",IFERROR(ROUND($D289*INDEX('🔖 배합비 참조'!$B$2:$CE$83,MATCH("쑥가루(국내산)",'🔖 배합비 참조'!$A$2:$A$83,0),MATCH($C289,'🔖 배합비 참조'!$B$1:$CE$1,0))/100,0),""))),"")</f>
        <v>0</v>
      </c>
      <c r="BF289" s="39" t="n">
        <f aca="false">IFERROR(IF($C289="","",IF($D289="","",IFERROR(ROUND($D289*INDEX('🔖 배합비 참조'!$B$2:$CE$83,MATCH("아몬드슬라이스",'🔖 배합비 참조'!$A$2:$A$83,0),MATCH($C289,'🔖 배합비 참조'!$B$1:$CE$1,0))/100,0),""))),"")</f>
        <v>0</v>
      </c>
      <c r="BG289" s="39" t="n">
        <f aca="false">IFERROR(IF($C289="","",IF($D289="","",IFERROR(ROUND($D289*INDEX('🔖 배합비 참조'!$B$2:$CE$83,MATCH("알룰로오스(국내산)",'🔖 배합비 참조'!$A$2:$A$83,0),MATCH($C289,'🔖 배합비 참조'!$B$1:$CE$1,0))/100,0),""))),"")</f>
        <v>0</v>
      </c>
      <c r="BH289" s="39" t="n">
        <f aca="false">IFERROR(IF($C289="","",IF($D289="","",IFERROR(ROUND($D289*INDEX('🔖 배합비 참조'!$B$2:$CE$83,MATCH("연유",'🔖 배합비 참조'!$A$2:$A$83,0),MATCH($C289,'🔖 배합비 참조'!$B$1:$CE$1,0))/100,0),""))),"")</f>
        <v>0</v>
      </c>
      <c r="BI289" s="39" t="n">
        <f aca="false">IFERROR(IF($C289="","",IF($D289="","",IFERROR(ROUND($D289*INDEX('🔖 배합비 참조'!$B$2:$CE$83,MATCH("옥수수전분",'🔖 배합비 참조'!$A$2:$A$83,0),MATCH($C289,'🔖 배합비 참조'!$B$1:$CE$1,0))/100,0),""))),"")</f>
        <v>0</v>
      </c>
      <c r="BJ289" s="39" t="n">
        <f aca="false">IFERROR(IF($C289="","",IF($D289="","",IFERROR(ROUND($D289*INDEX('🔖 배합비 참조'!$B$2:$CE$83,MATCH("완두배기",'🔖 배합비 참조'!$A$2:$A$83,0),MATCH($C289,'🔖 배합비 참조'!$B$1:$CE$1,0))/100,0),""))),"")</f>
        <v>0</v>
      </c>
      <c r="BK289" s="39" t="n">
        <f aca="false">IFERROR(IF($C289="","",IF($D289="","",IFERROR(ROUND($D289*INDEX('🔖 배합비 참조'!$B$2:$CE$83,MATCH("우유(국내산)",'🔖 배합비 참조'!$A$2:$A$83,0),MATCH($C289,'🔖 배합비 참조'!$B$1:$CE$1,0))/100,0),""))),"")</f>
        <v>0</v>
      </c>
      <c r="BL289" s="39" t="n">
        <f aca="false">IFERROR(IF($C289="","",IF($D289="","",IFERROR(ROUND($D289*INDEX('🔖 배합비 참조'!$B$2:$CE$83,MATCH("자색고구마가루(중국산)",'🔖 배합비 참조'!$A$2:$A$83,0),MATCH($C289,'🔖 배합비 참조'!$B$1:$CE$1,0))/100,0),""))),"")</f>
        <v>0</v>
      </c>
      <c r="BM289" s="39" t="n">
        <f aca="false">IFERROR(IF($C289="","",IF($D289="","",IFERROR(ROUND($D289*INDEX('🔖 배합비 참조'!$B$2:$CE$83,MATCH("자연치즈(체다치즈)",'🔖 배합비 참조'!$A$2:$A$83,0),MATCH($C289,'🔖 배합비 참조'!$B$1:$CE$1,0))/100,0),""))),"")</f>
        <v>0</v>
      </c>
      <c r="BN289" s="39" t="n">
        <f aca="false">IFERROR(IF($C289="","",IF($D289="","",IFERROR(ROUND($D289*INDEX('🔖 배합비 참조'!$B$2:$CE$83,MATCH("정제수",'🔖 배합비 참조'!$A$2:$A$83,0),MATCH($C289,'🔖 배합비 참조'!$B$1:$CE$1,0))/100,0),""))),"")</f>
        <v>33</v>
      </c>
      <c r="BO289" s="39" t="n">
        <f aca="false">IFERROR(IF($C289="","",IF($D289="","",IFERROR(ROUND($D289*INDEX('🔖 배합비 참조'!$B$2:$CE$83,MATCH("젤라틴",'🔖 배합비 참조'!$A$2:$A$83,0),MATCH($C289,'🔖 배합비 참조'!$B$1:$CE$1,0))/100,0),""))),"")</f>
        <v>0</v>
      </c>
      <c r="BP289" s="39" t="n">
        <f aca="false">IFERROR(IF($C289="","",IF($D289="","",IFERROR(ROUND($D289*INDEX('🔖 배합비 참조'!$B$2:$CE$83,MATCH("조림류(백옥앙금)",'🔖 배합비 참조'!$A$2:$A$83,0),MATCH($C289,'🔖 배합비 참조'!$B$1:$CE$1,0))/100,0),""))),"")</f>
        <v>0</v>
      </c>
      <c r="BQ289" s="39" t="n">
        <f aca="false">IFERROR(IF($C289="","",IF($D289="","",IFERROR(ROUND($D289*INDEX('🔖 배합비 참조'!$B$2:$CE$83,MATCH("조림류(통팥앙금)",'🔖 배합비 참조'!$A$2:$A$83,0),MATCH($C289,'🔖 배합비 참조'!$B$1:$CE$1,0))/100,0),""))),"")</f>
        <v>198</v>
      </c>
      <c r="BR289" s="39" t="n">
        <f aca="false">IFERROR(IF($C289="","",IF($D289="","",IFERROR(ROUND($D289*INDEX('🔖 배합비 참조'!$B$2:$CE$83,MATCH("준초콜릿(외국산)",'🔖 배합비 참조'!$A$2:$A$83,0),MATCH($C289,'🔖 배합비 참조'!$B$1:$CE$1,0))/100,0),""))),"")</f>
        <v>0</v>
      </c>
      <c r="BS289" s="39" t="n">
        <f aca="false">IFERROR(IF($C289="","",IF($D289="","",IFERROR(ROUND($D289*INDEX('🔖 배합비 참조'!$B$2:$CE$83,MATCH("중력분",'🔖 배합비 참조'!$A$2:$A$83,0),MATCH($C289,'🔖 배합비 참조'!$B$1:$CE$1,0))/100,0),""))),"")</f>
        <v>22</v>
      </c>
      <c r="BT289" s="39" t="n">
        <f aca="false">IFERROR(IF($C289="","",IF($D289="","",IFERROR(ROUND($D289*INDEX('🔖 배합비 참조'!$B$2:$CE$83,MATCH("참깨(인도산,나이지리아산,탄자니아산,미얀마산)",'🔖 배합비 참조'!$A$2:$A$83,0),MATCH($C289,'🔖 배합비 참조'!$B$1:$CE$1,0))/100,0),""))),"")</f>
        <v>0</v>
      </c>
      <c r="BU289" s="39" t="n">
        <f aca="false">IFERROR(IF($C289="","",IF($D289="","",IFERROR(ROUND($D289*INDEX('🔖 배합비 참조'!$B$2:$CE$83,MATCH("찹쌀(국내산)",'🔖 배합비 참조'!$A$2:$A$83,0),MATCH($C289,'🔖 배합비 참조'!$B$1:$CE$1,0))/100,0),""))),"")</f>
        <v>473</v>
      </c>
      <c r="BV289" s="39" t="n">
        <f aca="false">IFERROR(IF($C289="","",IF($D289="","",IFERROR(ROUND($D289*INDEX('🔖 배합비 참조'!$B$2:$CE$83,MATCH("천일염",'🔖 배합비 참조'!$A$2:$A$83,0),MATCH($C289,'🔖 배합비 참조'!$B$1:$CE$1,0))/100,0),""))),"")</f>
        <v>22</v>
      </c>
      <c r="BW289" s="39" t="n">
        <f aca="false">IFERROR(IF($C289="","",IF($D289="","",IFERROR(ROUND($D289*INDEX('🔖 배합비 참조'!$B$2:$CE$83,MATCH("치즈 [크림치즈]",'🔖 배합비 참조'!$A$2:$A$83,0),MATCH($C289,'🔖 배합비 참조'!$B$1:$CE$1,0))/100,0),""))),"")</f>
        <v>0</v>
      </c>
      <c r="BX289" s="39" t="n">
        <f aca="false">IFERROR(IF($C289="","",IF($D289="","",IFERROR(ROUND($D289*INDEX('🔖 배합비 참조'!$B$2:$CE$83,MATCH("코코아가공품류(코코아분말)",'🔖 배합비 참조'!$A$2:$A$83,0),MATCH($C289,'🔖 배합비 참조'!$B$1:$CE$1,0))/100,0),""))),"")</f>
        <v>0</v>
      </c>
      <c r="BY289" s="39" t="n">
        <f aca="false">IFERROR(IF($C289="","",IF($D289="","",IFERROR(ROUND($D289*INDEX('🔖 배합비 참조'!$B$2:$CE$83,MATCH("콩기름(대두유)",'🔖 배합비 참조'!$A$2:$A$83,0),MATCH($C289,'🔖 배합비 참조'!$B$1:$CE$1,0))/100,0),""))),"")</f>
        <v>0</v>
      </c>
      <c r="BZ289" s="39" t="n">
        <f aca="false">IFERROR(IF($C289="","",IF($D289="","",IFERROR(ROUND($D289*INDEX('🔖 배합비 참조'!$B$2:$CE$83,MATCH("해바라기씨앗",'🔖 배합비 참조'!$A$2:$A$83,0),MATCH($C289,'🔖 배합비 참조'!$B$1:$CE$1,0))/100,0),""))),"")</f>
        <v>0</v>
      </c>
      <c r="CA289" s="39" t="n">
        <f aca="false">IFERROR(IF($C289="","",IF($D289="","",IFERROR(ROUND($D289*INDEX('🔖 배합비 참조'!$B$2:$CE$83,MATCH("현미(국내산)",'🔖 배합비 참조'!$A$2:$A$83,0),MATCH($C289,'🔖 배합비 참조'!$B$1:$CE$1,0))/100,0),""))),"")</f>
        <v>0</v>
      </c>
      <c r="CB289" s="39" t="n">
        <f aca="false">IFERROR(IF($C289="","",IF($D289="","",IFERROR(ROUND($D289*INDEX('🔖 배합비 참조'!$B$2:$CE$83,MATCH("현미멥쌀(국내산)",'🔖 배합비 참조'!$A$2:$A$83,0),MATCH($C289,'🔖 배합비 참조'!$B$1:$CE$1,0))/100,0),""))),"")</f>
        <v>0</v>
      </c>
      <c r="CC289" s="39" t="n">
        <f aca="false">IFERROR(IF($C289="","",IF($D289="","",IFERROR(ROUND($D289*INDEX('🔖 배합비 참조'!$B$2:$CE$83,MATCH("호두분태(미국산)",'🔖 배합비 참조'!$A$2:$A$83,0),MATCH($C289,'🔖 배합비 참조'!$B$1:$CE$1,0))/100,0),""))),"")</f>
        <v>0</v>
      </c>
      <c r="CD289" s="39" t="n">
        <f aca="false">IFERROR(IF($C289="","",IF($D289="","",IFERROR(ROUND($D289*INDEX('🔖 배합비 참조'!$B$2:$CE$83,MATCH("호박씨앗(외국산)",'🔖 배합비 참조'!$A$2:$A$83,0),MATCH($C289,'🔖 배합비 참조'!$B$1:$CE$1,0))/100,0),""))),"")</f>
        <v>0</v>
      </c>
      <c r="CE289" s="39" t="n">
        <f aca="false">IFERROR(IF($C289="","",IF($D289="","",IFERROR(ROUND($D289*INDEX('🔖 배합비 참조'!$B$2:$CE$83,MATCH("혼합제제(떡용에스텔)",'🔖 배합비 참조'!$A$2:$A$83,0),MATCH($C289,'🔖 배합비 참조'!$B$1:$CE$1,0))/100,0),""))),"")</f>
        <v>22</v>
      </c>
      <c r="CF289" s="39" t="n">
        <f aca="false">IFERROR(IF($C289="","",IF($D289="","",IFERROR(ROUND($D289*INDEX('🔖 배합비 참조'!$B$2:$CE$83,MATCH("혼합제제(스테비아)",'🔖 배합비 참조'!$A$2:$A$83,0),MATCH($C289,'🔖 배합비 참조'!$B$1:$CE$1,0))/100,0),""))),"")</f>
        <v>0</v>
      </c>
      <c r="CG289" s="39" t="n">
        <f aca="false">IFERROR(IF($C289="","",IF($D289="","",IFERROR(ROUND($D289*INDEX('🔖 배합비 참조'!$B$2:$CE$83,MATCH("화이트초콜릿",'🔖 배합비 참조'!$A$2:$A$83,0),MATCH($C289,'🔖 배합비 참조'!$B$1:$CE$1,0))/100,0),""))),"")</f>
        <v>0</v>
      </c>
      <c r="CH289" s="39" t="n">
        <f aca="false">IFERROR(IF($C289="","",IF($D289="","",IFERROR(ROUND($D289*INDEX('🔖 배합비 참조'!$B$2:$CE$83,MATCH("흑미찹쌀(국내산)",'🔖 배합비 참조'!$A$2:$A$83,0),MATCH($C289,'🔖 배합비 참조'!$B$1:$CE$1,0))/100,0),""))),"")</f>
        <v>0</v>
      </c>
      <c r="CI289" s="39" t="n">
        <f aca="false">IFERROR(IF($C289="","",IF($D289="","",IFERROR(ROUND($D289*INDEX('🔖 배합비 참조'!$B$2:$CE$83,MATCH("찰옥수수전분(미국산)",'🔖 배합비 참조'!$A$2:$A$83,0),MATCH($C289,'🔖 배합비 참조'!$B$1:$CE$1,0))/100,0),""))),"")</f>
        <v>99</v>
      </c>
      <c r="CJ289" s="40"/>
      <c r="CL289" s="43" t="s">
        <v>248</v>
      </c>
    </row>
    <row r="290" customFormat="false" ht="18" hidden="false" customHeight="true" outlineLevel="0" collapsed="false">
      <c r="A290" s="41" t="n">
        <v>286</v>
      </c>
      <c r="B290" s="36" t="n">
        <v>46099</v>
      </c>
      <c r="C290" s="37" t="s">
        <v>143</v>
      </c>
      <c r="D290" s="38" t="n">
        <v>60</v>
      </c>
      <c r="E290" s="17"/>
      <c r="F290" s="17"/>
      <c r="G290" s="42" t="n">
        <f aca="false">IFERROR(IF($C290="","",IF($D290="","",IFERROR(ROUND($D290*INDEX('🔖 배합비 참조'!$B$2:$CE$83,MATCH("간장",'🔖 배합비 참조'!$A$2:$A$83,0),MATCH($C290,'🔖 배합비 참조'!$B$1:$CE$1,0))/100,0),""))),"")</f>
        <v>0</v>
      </c>
      <c r="H290" s="42" t="n">
        <f aca="false">IFERROR(IF($C290="","",IF($D290="","",IFERROR(ROUND($D290*INDEX('🔖 배합비 참조'!$B$2:$CE$83,MATCH("강낭콩((울타리콩))",'🔖 배합비 참조'!$A$2:$A$83,0),MATCH($C290,'🔖 배합비 참조'!$B$1:$CE$1,0))/100,0),""))),"")</f>
        <v>0</v>
      </c>
      <c r="I290" s="42" t="n">
        <f aca="false">IFERROR(IF($C290="","",IF($D290="","",IFERROR(ROUND($D290*INDEX('🔖 배합비 참조'!$B$2:$CE$83,MATCH("건조딸기다이스(외국산)",'🔖 배합비 참조'!$A$2:$A$83,0),MATCH($C290,'🔖 배합비 참조'!$B$1:$CE$1,0))/100,0),""))),"")</f>
        <v>0</v>
      </c>
      <c r="J290" s="42" t="n">
        <f aca="false">IFERROR(IF($C290="","",IF($D290="","",IFERROR(ROUND($D290*INDEX('🔖 배합비 참조'!$B$2:$CE$83,MATCH("건포도",'🔖 배합비 참조'!$A$2:$A$83,0),MATCH($C290,'🔖 배합비 참조'!$B$1:$CE$1,0))/100,0),""))),"")</f>
        <v>0</v>
      </c>
      <c r="K290" s="42" t="n">
        <f aca="false">IFERROR(IF($C290="","",IF($D290="","",IFERROR(ROUND($D290*INDEX('🔖 배합비 참조'!$B$2:$CE$83,MATCH("건호박채(중국산)",'🔖 배합비 참조'!$A$2:$A$83,0),MATCH($C290,'🔖 배합비 참조'!$B$1:$CE$1,0))/100,0),""))),"")</f>
        <v>0</v>
      </c>
      <c r="L290" s="42" t="n">
        <f aca="false">IFERROR(IF($C290="","",IF($D290="","",IFERROR(ROUND($D290*INDEX('🔖 배합비 참조'!$B$2:$CE$83,MATCH("검정깨(흑임자)",'🔖 배합비 참조'!$A$2:$A$83,0),MATCH($C290,'🔖 배합비 참조'!$B$1:$CE$1,0))/100,0),""))),"")</f>
        <v>0</v>
      </c>
      <c r="M290" s="42" t="n">
        <f aca="false">IFERROR(IF($C290="","",IF($D290="","",IFERROR(ROUND($D290*INDEX('🔖 배합비 참조'!$B$2:$CE$83,MATCH("검정콩",'🔖 배합비 참조'!$A$2:$A$83,0),MATCH($C290,'🔖 배합비 참조'!$B$1:$CE$1,0))/100,0),""))),"")</f>
        <v>0</v>
      </c>
      <c r="N290" s="42" t="n">
        <f aca="false">IFERROR(IF($C290="","",IF($D290="","",IFERROR(ROUND($D290*INDEX('🔖 배합비 참조'!$B$2:$CE$83,MATCH("계피가루",'🔖 배합비 참조'!$A$2:$A$83,0),MATCH($C290,'🔖 배합비 참조'!$B$1:$CE$1,0))/100,0),""))),"")</f>
        <v>0</v>
      </c>
      <c r="O290" s="42" t="n">
        <f aca="false">IFERROR(IF($C290="","",IF($D290="","",IFERROR(ROUND($D290*INDEX('🔖 배합비 참조'!$B$2:$CE$83,MATCH("고구마가루",'🔖 배합비 참조'!$A$2:$A$83,0),MATCH($C290,'🔖 배합비 참조'!$B$1:$CE$1,0))/100,0),""))),"")</f>
        <v>0</v>
      </c>
      <c r="P290" s="42" t="n">
        <f aca="false">IFERROR(IF($C290="","",IF($D290="","",IFERROR(ROUND($D290*INDEX('🔖 배합비 참조'!$B$2:$CE$83,MATCH("고구마무스",'🔖 배합비 참조'!$A$2:$A$83,0),MATCH($C290,'🔖 배합비 참조'!$B$1:$CE$1,0))/100,0),""))),"")</f>
        <v>0</v>
      </c>
      <c r="Q290" s="42" t="n">
        <f aca="false">IFERROR(IF($C290="","",IF($D290="","",IFERROR(ROUND($D290*INDEX('🔖 배합비 참조'!$B$2:$CE$83,MATCH("고려엉겅퀴((곤드레)국내산)",'🔖 배합비 참조'!$A$2:$A$83,0),MATCH($C290,'🔖 배합비 참조'!$B$1:$CE$1,0))/100,0),""))),"")</f>
        <v>0</v>
      </c>
      <c r="R290" s="42" t="n">
        <f aca="false">IFERROR(IF($C290="","",IF($D290="","",IFERROR(ROUND($D290*INDEX('🔖 배합비 참조'!$B$2:$CE$83,MATCH("기타가공품(복분자가루)",'🔖 배합비 참조'!$A$2:$A$83,0),MATCH($C290,'🔖 배합비 참조'!$B$1:$CE$1,0))/100,0),""))),"")</f>
        <v>0</v>
      </c>
      <c r="S290" s="42" t="n">
        <f aca="false">IFERROR(IF($C290="","",IF($D290="","",IFERROR(ROUND($D290*INDEX('🔖 배합비 참조'!$B$2:$CE$83,MATCH("기타가공품(슈퍼소프트엠)",'🔖 배합비 참조'!$A$2:$A$83,0),MATCH($C290,'🔖 배합비 참조'!$B$1:$CE$1,0))/100,0),""))),"")</f>
        <v>0</v>
      </c>
      <c r="T290" s="42" t="n">
        <f aca="false">IFERROR(IF($C290="","",IF($D290="","",IFERROR(ROUND($D290*INDEX('🔖 배합비 참조'!$B$2:$CE$83,MATCH("기타가공품(파인소프트 E-티)",'🔖 배합비 참조'!$A$2:$A$83,0),MATCH($C290,'🔖 배합비 참조'!$B$1:$CE$1,0))/100,0),""))),"")</f>
        <v>0</v>
      </c>
      <c r="U290" s="42" t="n">
        <f aca="false">IFERROR(IF($C290="","",IF($D290="","",IFERROR(ROUND($D290*INDEX('🔖 배합비 참조'!$B$2:$CE$83,MATCH("기타가공품(프리미엄카스테라가루)",'🔖 배합비 참조'!$A$2:$A$83,0),MATCH($C290,'🔖 배합비 참조'!$B$1:$CE$1,0))/100,0),""))),"")</f>
        <v>0</v>
      </c>
      <c r="V290" s="42" t="n">
        <f aca="false">IFERROR(IF($C290="","",IF($D290="","",IFERROR(ROUND($D290*INDEX('🔖 배합비 참조'!$B$2:$CE$83,MATCH("기타가공품(흑임자가루)",'🔖 배합비 참조'!$A$2:$A$83,0),MATCH($C290,'🔖 배합비 참조'!$B$1:$CE$1,0))/100,0),""))),"")</f>
        <v>0</v>
      </c>
      <c r="W290" s="42" t="n">
        <f aca="false">IFERROR(IF($C290="","",IF($D290="","",IFERROR(ROUND($D290*INDEX('🔖 배합비 참조'!$B$2:$CE$83,MATCH("기타설탕(흑설탕)",'🔖 배합비 참조'!$A$2:$A$83,0),MATCH($C290,'🔖 배합비 참조'!$B$1:$CE$1,0))/100,0),""))),"")</f>
        <v>5</v>
      </c>
      <c r="X290" s="42" t="n">
        <f aca="false">IFERROR(IF($C290="","",IF($D290="","",IFERROR(ROUND($D290*INDEX('🔖 배합비 참조'!$B$2:$CE$83,MATCH("냉동쑥(국내산)",'🔖 배합비 참조'!$A$2:$A$83,0),MATCH($C290,'🔖 배합비 참조'!$B$1:$CE$1,0))/100,0),""))),"")</f>
        <v>0</v>
      </c>
      <c r="Y290" s="42" t="n">
        <f aca="false">IFERROR(IF($C290="","",IF($D290="","",IFERROR(ROUND($D290*INDEX('🔖 배합비 참조'!$B$2:$CE$83,MATCH("냉동증숙고구마(중국산)",'🔖 배합비 참조'!$A$2:$A$83,0),MATCH($C290,'🔖 배합비 참조'!$B$1:$CE$1,0))/100,0),""))),"")</f>
        <v>0</v>
      </c>
      <c r="Z290" s="42" t="n">
        <f aca="false">IFERROR(IF($C290="","",IF($D290="","",IFERROR(ROUND($D290*INDEX('🔖 배합비 참조'!$B$2:$CE$83,MATCH("녹차가루",'🔖 배합비 참조'!$A$2:$A$83,0),MATCH($C290,'🔖 배합비 참조'!$B$1:$CE$1,0))/100,0),""))),"")</f>
        <v>0</v>
      </c>
      <c r="AA290" s="42" t="n">
        <f aca="false">IFERROR(IF($C290="","",IF($D290="","",IFERROR(ROUND($D290*INDEX('🔖 배합비 참조'!$B$2:$CE$83,MATCH("다크초콜릿 컴파운드칩",'🔖 배합비 참조'!$A$2:$A$83,0),MATCH($C290,'🔖 배합비 참조'!$B$1:$CE$1,0))/100,0),""))),"")</f>
        <v>0</v>
      </c>
      <c r="AB290" s="42" t="n">
        <f aca="false">IFERROR(IF($C290="","",IF($D290="","",IFERROR(ROUND($D290*INDEX('🔖 배합비 참조'!$B$2:$CE$83,MATCH("단호박분말(중국산)",'🔖 배합비 참조'!$A$2:$A$83,0),MATCH($C290,'🔖 배합비 참조'!$B$1:$CE$1,0))/100,0),""))),"")</f>
        <v>0</v>
      </c>
      <c r="AC290" s="42" t="n">
        <f aca="false">IFERROR(IF($C290="","",IF($D290="","",IFERROR(ROUND($D290*INDEX('🔖 배합비 참조'!$B$2:$CE$83,MATCH("당류가공품(단호박농축액)",'🔖 배합비 참조'!$A$2:$A$83,0),MATCH($C290,'🔖 배합비 참조'!$B$1:$CE$1,0))/100,0),""))),"")</f>
        <v>0</v>
      </c>
      <c r="AD290" s="42" t="n">
        <f aca="false">IFERROR(IF($C290="","",IF($D290="","",IFERROR(ROUND($D290*INDEX('🔖 배합비 참조'!$B$2:$CE$83,MATCH("당류가공품(알룰로스,에리스리톨,스테비올배당체혼합)",'🔖 배합비 참조'!$A$2:$A$83,0),MATCH($C290,'🔖 배합비 참조'!$B$1:$CE$1,0))/100,0),""))),"")</f>
        <v>0</v>
      </c>
      <c r="AE290" s="42" t="n">
        <f aca="false">IFERROR(IF($C290="","",IF($D290="","",IFERROR(ROUND($D290*INDEX('🔖 배합비 참조'!$B$2:$CE$83,MATCH("당류가공품(알룰로스제로파우더)",'🔖 배합비 참조'!$A$2:$A$83,0),MATCH($C290,'🔖 배합비 참조'!$B$1:$CE$1,0))/100,0),""))),"")</f>
        <v>0</v>
      </c>
      <c r="AF290" s="42" t="n">
        <f aca="false">IFERROR(IF($C290="","",IF($D290="","",IFERROR(ROUND($D290*INDEX('🔖 배합비 참조'!$B$2:$CE$83,MATCH("당절임(완두배기)",'🔖 배합비 참조'!$A$2:$A$83,0),MATCH($C290,'🔖 배합비 참조'!$B$1:$CE$1,0))/100,0),""))),"")</f>
        <v>0</v>
      </c>
      <c r="AG290" s="42" t="n">
        <f aca="false">IFERROR(IF($C290="","",IF($D290="","",IFERROR(ROUND($D290*INDEX('🔖 배합비 참조'!$B$2:$CE$83,MATCH("대추농축액",'🔖 배합비 참조'!$A$2:$A$83,0),MATCH($C290,'🔖 배합비 참조'!$B$1:$CE$1,0))/100,0),""))),"")</f>
        <v>0</v>
      </c>
      <c r="AH290" s="42" t="n">
        <f aca="false">IFERROR(IF($C290="","",IF($D290="","",IFERROR(ROUND($D290*INDEX('🔖 배합비 참조'!$B$2:$CE$83,MATCH("대추채(국내산)",'🔖 배합비 참조'!$A$2:$A$83,0),MATCH($C290,'🔖 배합비 참조'!$B$1:$CE$1,0))/100,0),""))),"")</f>
        <v>0</v>
      </c>
      <c r="AI290" s="42" t="n">
        <f aca="false">IFERROR(IF($C290="","",IF($D290="","",IFERROR(ROUND($D290*INDEX('🔖 배합비 참조'!$B$2:$CE$83,MATCH("동부(미얀마산)",'🔖 배합비 참조'!$A$2:$A$83,0),MATCH($C290,'🔖 배합비 참조'!$B$1:$CE$1,0))/100,0),""))),"")</f>
        <v>0</v>
      </c>
      <c r="AJ290" s="42" t="n">
        <f aca="false">IFERROR(IF($C290="","",IF($D290="","",IFERROR(ROUND($D290*INDEX('🔖 배합비 참조'!$B$2:$CE$83,MATCH("두류가공품(백옥앙금)",'🔖 배합비 참조'!$A$2:$A$83,0),MATCH($C290,'🔖 배합비 참조'!$B$1:$CE$1,0))/100,0),""))),"")</f>
        <v>0</v>
      </c>
      <c r="AK290" s="42" t="n">
        <f aca="false">IFERROR(IF($C290="","",IF($D290="","",IFERROR(ROUND($D290*INDEX('🔖 배합비 참조'!$B$2:$CE$83,MATCH("두류가공품(콩고물)",'🔖 배합비 참조'!$A$2:$A$83,0),MATCH($C290,'🔖 배합비 참조'!$B$1:$CE$1,0))/100,0),""))),"")</f>
        <v>0</v>
      </c>
      <c r="AL290" s="42" t="n">
        <f aca="false">IFERROR(IF($C290="","",IF($D290="","",IFERROR(ROUND($D290*INDEX('🔖 배합비 참조'!$B$2:$CE$83,MATCH("두류가공품(통팥고물)",'🔖 배합비 참조'!$A$2:$A$83,0),MATCH($C290,'🔖 배합비 참조'!$B$1:$CE$1,0))/100,0),""))),"")</f>
        <v>0</v>
      </c>
      <c r="AM290" s="42" t="n">
        <f aca="false">IFERROR(IF($C290="","",IF($D290="","",IFERROR(ROUND($D290*INDEX('🔖 배합비 참조'!$B$2:$CE$83,MATCH("딸기레진",'🔖 배합비 참조'!$A$2:$A$83,0),MATCH($C290,'🔖 배합비 참조'!$B$1:$CE$1,0))/100,0),""))),"")</f>
        <v>0</v>
      </c>
      <c r="AN290" s="42" t="n">
        <f aca="false">IFERROR(IF($C290="","",IF($D290="","",IFERROR(ROUND($D290*INDEX('🔖 배합비 참조'!$B$2:$CE$83,MATCH("딸기분말(스트로우베리에이드(분말))",'🔖 배합비 참조'!$A$2:$A$83,0),MATCH($C290,'🔖 배합비 참조'!$B$1:$CE$1,0))/100,0),""))),"")</f>
        <v>0</v>
      </c>
      <c r="AO290" s="42" t="n">
        <f aca="false">IFERROR(IF($C290="","",IF($D290="","",IFERROR(ROUND($D290*INDEX('🔖 배합비 참조'!$B$2:$CE$83,MATCH("마스카포네치즈",'🔖 배합비 참조'!$A$2:$A$83,0),MATCH($C290,'🔖 배합비 참조'!$B$1:$CE$1,0))/100,0),""))),"")</f>
        <v>0</v>
      </c>
      <c r="AP290" s="42" t="n">
        <f aca="false">IFERROR(IF($C290="","",IF($D290="","",IFERROR(ROUND($D290*INDEX('🔖 배합비 참조'!$B$2:$CE$83,MATCH("마카다미아분태(호주산)",'🔖 배합비 참조'!$A$2:$A$83,0),MATCH($C290,'🔖 배합비 참조'!$B$1:$CE$1,0))/100,0),""))),"")</f>
        <v>0</v>
      </c>
      <c r="AQ290" s="42" t="n">
        <f aca="false">IFERROR(IF($C290="","",IF($D290="","",IFERROR(ROUND($D290*INDEX('🔖 배합비 참조'!$B$2:$CE$83,MATCH("멥쌀(국내산)",'🔖 배합비 참조'!$A$2:$A$83,0),MATCH($C290,'🔖 배합비 참조'!$B$1:$CE$1,0))/100,0),""))),"")</f>
        <v>40</v>
      </c>
      <c r="AR290" s="42" t="n">
        <f aca="false">IFERROR(IF($C290="","",IF($D290="","",IFERROR(ROUND($D290*INDEX('🔖 배합비 참조'!$B$2:$CE$83,MATCH("모시잎(국내산)",'🔖 배합비 참조'!$A$2:$A$83,0),MATCH($C290,'🔖 배합비 참조'!$B$1:$CE$1,0))/100,0),""))),"")</f>
        <v>0</v>
      </c>
      <c r="AS290" s="42" t="n">
        <f aca="false">IFERROR(IF($C290="","",IF($D290="","",IFERROR(ROUND($D290*INDEX('🔖 배합비 참조'!$B$2:$CE$83,MATCH("물엿(저당물엿)",'🔖 배합비 참조'!$A$2:$A$83,0),MATCH($C290,'🔖 배합비 참조'!$B$1:$CE$1,0))/100,0),""))),"")</f>
        <v>0</v>
      </c>
      <c r="AT290" s="42" t="n">
        <f aca="false">IFERROR(IF($C290="","",IF($D290="","",IFERROR(ROUND($D290*INDEX('🔖 배합비 참조'!$B$2:$CE$83,MATCH("밤다이스",'🔖 배합비 참조'!$A$2:$A$83,0),MATCH($C290,'🔖 배합비 참조'!$B$1:$CE$1,0))/100,0),""))),"")</f>
        <v>0</v>
      </c>
      <c r="AU290" s="42" t="n">
        <f aca="false">IFERROR(IF($C290="","",IF($D290="","",IFERROR(ROUND($D290*INDEX('🔖 배합비 참조'!$B$2:$CE$83,MATCH("변성전분(타피오카전분)",'🔖 배합비 참조'!$A$2:$A$83,0),MATCH($C290,'🔖 배합비 참조'!$B$1:$CE$1,0))/100,0),""))),"")</f>
        <v>0</v>
      </c>
      <c r="AV290" s="42" t="n">
        <f aca="false">IFERROR(IF($C290="","",IF($D290="","",IFERROR(ROUND($D290*INDEX('🔖 배합비 참조'!$B$2:$CE$83,MATCH("복음땅콩분태",'🔖 배합비 참조'!$A$2:$A$83,0),MATCH($C290,'🔖 배합비 참조'!$B$1:$CE$1,0))/100,0),""))),"")</f>
        <v>0</v>
      </c>
      <c r="AW290" s="42" t="n">
        <f aca="false">IFERROR(IF($C290="","",IF($D290="","",IFERROR(ROUND($D290*INDEX('🔖 배합비 참조'!$B$2:$CE$83,MATCH("사양벌꿀(국내산)",'🔖 배합비 참조'!$A$2:$A$83,0),MATCH($C290,'🔖 배합비 참조'!$B$1:$CE$1,0))/100,0),""))),"")</f>
        <v>1</v>
      </c>
      <c r="AX290" s="42" t="n">
        <f aca="false">IFERROR(IF($C290="","",IF($D290="","",IFERROR(ROUND($D290*INDEX('🔖 배합비 참조'!$B$2:$CE$83,MATCH("생크림",'🔖 배합비 참조'!$A$2:$A$83,0),MATCH($C290,'🔖 배합비 참조'!$B$1:$CE$1,0))/100,0),""))),"")</f>
        <v>0</v>
      </c>
      <c r="AY290" s="42" t="n">
        <f aca="false">IFERROR(IF($C290="","",IF($D290="","",IFERROR(ROUND($D290*INDEX('🔖 배합비 참조'!$B$2:$CE$83,MATCH("서양호박(국내산,뉴질랜드산)",'🔖 배합비 참조'!$A$2:$A$83,0),MATCH($C290,'🔖 배합비 참조'!$B$1:$CE$1,0))/100,0),""))),"")</f>
        <v>0</v>
      </c>
      <c r="AZ290" s="42" t="n">
        <f aca="false">IFERROR(IF($C290="","",IF($D290="","",IFERROR(ROUND($D290*INDEX('🔖 배합비 참조'!$B$2:$CE$83,MATCH("설탕",'🔖 배합비 참조'!$A$2:$A$83,0),MATCH($C290,'🔖 배합비 참조'!$B$1:$CE$1,0))/100,0),""))),"")</f>
        <v>5</v>
      </c>
      <c r="BA290" s="42" t="n">
        <f aca="false">IFERROR(IF($C290="","",IF($D290="","",IFERROR(ROUND($D290*INDEX('🔖 배합비 참조'!$B$2:$CE$83,MATCH("스트로우베리 에이드 후레쉬",'🔖 배합비 참조'!$A$2:$A$83,0),MATCH($C290,'🔖 배합비 참조'!$B$1:$CE$1,0))/100,0),""))),"")</f>
        <v>0</v>
      </c>
      <c r="BB290" s="42" t="n">
        <f aca="false">IFERROR(IF($C290="","",IF($D290="","",IFERROR(ROUND($D290*INDEX('🔖 배합비 참조'!$B$2:$CE$83,MATCH("식물성기름혼합제제(분홍)",'🔖 배합비 참조'!$A$2:$A$83,0),MATCH($C290,'🔖 배합비 참조'!$B$1:$CE$1,0))/100,0),""))),"")</f>
        <v>0</v>
      </c>
      <c r="BC290" s="42" t="n">
        <f aca="false">IFERROR(IF($C290="","",IF($D290="","",IFERROR(ROUND($D290*INDEX('🔖 배합비 참조'!$B$2:$CE$83,MATCH("식물성기름혼합제제(초록)",'🔖 배합비 참조'!$A$2:$A$83,0),MATCH($C290,'🔖 배합비 참조'!$B$1:$CE$1,0))/100,0),""))),"")</f>
        <v>0</v>
      </c>
      <c r="BD290" s="42" t="n">
        <f aca="false">IFERROR(IF($C290="","",IF($D290="","",IFERROR(ROUND($D290*INDEX('🔖 배합비 참조'!$B$2:$CE$83,MATCH("식물성기름혼합제제(황색)",'🔖 배합비 참조'!$A$2:$A$83,0),MATCH($C290,'🔖 배합비 참조'!$B$1:$CE$1,0))/100,0),""))),"")</f>
        <v>0</v>
      </c>
      <c r="BE290" s="42" t="n">
        <f aca="false">IFERROR(IF($C290="","",IF($D290="","",IFERROR(ROUND($D290*INDEX('🔖 배합비 참조'!$B$2:$CE$83,MATCH("쑥가루(국내산)",'🔖 배합비 참조'!$A$2:$A$83,0),MATCH($C290,'🔖 배합비 참조'!$B$1:$CE$1,0))/100,0),""))),"")</f>
        <v>0</v>
      </c>
      <c r="BF290" s="42" t="n">
        <f aca="false">IFERROR(IF($C290="","",IF($D290="","",IFERROR(ROUND($D290*INDEX('🔖 배합비 참조'!$B$2:$CE$83,MATCH("아몬드슬라이스",'🔖 배합비 참조'!$A$2:$A$83,0),MATCH($C290,'🔖 배합비 참조'!$B$1:$CE$1,0))/100,0),""))),"")</f>
        <v>0</v>
      </c>
      <c r="BG290" s="42" t="n">
        <f aca="false">IFERROR(IF($C290="","",IF($D290="","",IFERROR(ROUND($D290*INDEX('🔖 배합비 참조'!$B$2:$CE$83,MATCH("알룰로오스(국내산)",'🔖 배합비 참조'!$A$2:$A$83,0),MATCH($C290,'🔖 배합비 참조'!$B$1:$CE$1,0))/100,0),""))),"")</f>
        <v>0</v>
      </c>
      <c r="BH290" s="42" t="n">
        <f aca="false">IFERROR(IF($C290="","",IF($D290="","",IFERROR(ROUND($D290*INDEX('🔖 배합비 참조'!$B$2:$CE$83,MATCH("연유",'🔖 배합비 참조'!$A$2:$A$83,0),MATCH($C290,'🔖 배합비 참조'!$B$1:$CE$1,0))/100,0),""))),"")</f>
        <v>0</v>
      </c>
      <c r="BI290" s="42" t="n">
        <f aca="false">IFERROR(IF($C290="","",IF($D290="","",IFERROR(ROUND($D290*INDEX('🔖 배합비 참조'!$B$2:$CE$83,MATCH("옥수수전분",'🔖 배합비 참조'!$A$2:$A$83,0),MATCH($C290,'🔖 배합비 참조'!$B$1:$CE$1,0))/100,0),""))),"")</f>
        <v>0</v>
      </c>
      <c r="BJ290" s="42" t="n">
        <f aca="false">IFERROR(IF($C290="","",IF($D290="","",IFERROR(ROUND($D290*INDEX('🔖 배합비 참조'!$B$2:$CE$83,MATCH("완두배기",'🔖 배합비 참조'!$A$2:$A$83,0),MATCH($C290,'🔖 배합비 참조'!$B$1:$CE$1,0))/100,0),""))),"")</f>
        <v>0</v>
      </c>
      <c r="BK290" s="42" t="n">
        <f aca="false">IFERROR(IF($C290="","",IF($D290="","",IFERROR(ROUND($D290*INDEX('🔖 배합비 참조'!$B$2:$CE$83,MATCH("우유(국내산)",'🔖 배합비 참조'!$A$2:$A$83,0),MATCH($C290,'🔖 배합비 참조'!$B$1:$CE$1,0))/100,0),""))),"")</f>
        <v>0</v>
      </c>
      <c r="BL290" s="42" t="n">
        <f aca="false">IFERROR(IF($C290="","",IF($D290="","",IFERROR(ROUND($D290*INDEX('🔖 배합비 참조'!$B$2:$CE$83,MATCH("자색고구마가루(중국산)",'🔖 배합비 참조'!$A$2:$A$83,0),MATCH($C290,'🔖 배합비 참조'!$B$1:$CE$1,0))/100,0),""))),"")</f>
        <v>0</v>
      </c>
      <c r="BM290" s="42" t="n">
        <f aca="false">IFERROR(IF($C290="","",IF($D290="","",IFERROR(ROUND($D290*INDEX('🔖 배합비 참조'!$B$2:$CE$83,MATCH("자연치즈(체다치즈)",'🔖 배합비 참조'!$A$2:$A$83,0),MATCH($C290,'🔖 배합비 참조'!$B$1:$CE$1,0))/100,0),""))),"")</f>
        <v>0</v>
      </c>
      <c r="BN290" s="42" t="n">
        <f aca="false">IFERROR(IF($C290="","",IF($D290="","",IFERROR(ROUND($D290*INDEX('🔖 배합비 참조'!$B$2:$CE$83,MATCH("정제수",'🔖 배합비 참조'!$A$2:$A$83,0),MATCH($C290,'🔖 배합비 참조'!$B$1:$CE$1,0))/100,0),""))),"")</f>
        <v>8</v>
      </c>
      <c r="BO290" s="42" t="n">
        <f aca="false">IFERROR(IF($C290="","",IF($D290="","",IFERROR(ROUND($D290*INDEX('🔖 배합비 참조'!$B$2:$CE$83,MATCH("젤라틴",'🔖 배합비 참조'!$A$2:$A$83,0),MATCH($C290,'🔖 배합비 참조'!$B$1:$CE$1,0))/100,0),""))),"")</f>
        <v>0</v>
      </c>
      <c r="BP290" s="42" t="n">
        <f aca="false">IFERROR(IF($C290="","",IF($D290="","",IFERROR(ROUND($D290*INDEX('🔖 배합비 참조'!$B$2:$CE$83,MATCH("조림류(백옥앙금)",'🔖 배합비 참조'!$A$2:$A$83,0),MATCH($C290,'🔖 배합비 참조'!$B$1:$CE$1,0))/100,0),""))),"")</f>
        <v>0</v>
      </c>
      <c r="BQ290" s="42" t="n">
        <f aca="false">IFERROR(IF($C290="","",IF($D290="","",IFERROR(ROUND($D290*INDEX('🔖 배합비 참조'!$B$2:$CE$83,MATCH("조림류(통팥앙금)",'🔖 배합비 참조'!$A$2:$A$83,0),MATCH($C290,'🔖 배합비 참조'!$B$1:$CE$1,0))/100,0),""))),"")</f>
        <v>0</v>
      </c>
      <c r="BR290" s="42" t="n">
        <f aca="false">IFERROR(IF($C290="","",IF($D290="","",IFERROR(ROUND($D290*INDEX('🔖 배합비 참조'!$B$2:$CE$83,MATCH("준초콜릿(외국산)",'🔖 배합비 참조'!$A$2:$A$83,0),MATCH($C290,'🔖 배합비 참조'!$B$1:$CE$1,0))/100,0),""))),"")</f>
        <v>0</v>
      </c>
      <c r="BS290" s="42" t="n">
        <f aca="false">IFERROR(IF($C290="","",IF($D290="","",IFERROR(ROUND($D290*INDEX('🔖 배합비 참조'!$B$2:$CE$83,MATCH("중력분",'🔖 배합비 참조'!$A$2:$A$83,0),MATCH($C290,'🔖 배합비 참조'!$B$1:$CE$1,0))/100,0),""))),"")</f>
        <v>0</v>
      </c>
      <c r="BT290" s="42" t="n">
        <f aca="false">IFERROR(IF($C290="","",IF($D290="","",IFERROR(ROUND($D290*INDEX('🔖 배합비 참조'!$B$2:$CE$83,MATCH("참깨(인도산,나이지리아산,탄자니아산,미얀마산)",'🔖 배합비 참조'!$A$2:$A$83,0),MATCH($C290,'🔖 배합비 참조'!$B$1:$CE$1,0))/100,0),""))),"")</f>
        <v>0</v>
      </c>
      <c r="BU290" s="42" t="n">
        <f aca="false">IFERROR(IF($C290="","",IF($D290="","",IFERROR(ROUND($D290*INDEX('🔖 배합비 참조'!$B$2:$CE$83,MATCH("찹쌀(국내산)",'🔖 배합비 참조'!$A$2:$A$83,0),MATCH($C290,'🔖 배합비 참조'!$B$1:$CE$1,0))/100,0),""))),"")</f>
        <v>0</v>
      </c>
      <c r="BV290" s="42" t="n">
        <f aca="false">IFERROR(IF($C290="","",IF($D290="","",IFERROR(ROUND($D290*INDEX('🔖 배합비 참조'!$B$2:$CE$83,MATCH("천일염",'🔖 배합비 참조'!$A$2:$A$83,0),MATCH($C290,'🔖 배합비 참조'!$B$1:$CE$1,0))/100,0),""))),"")</f>
        <v>1</v>
      </c>
      <c r="BW290" s="42" t="n">
        <f aca="false">IFERROR(IF($C290="","",IF($D290="","",IFERROR(ROUND($D290*INDEX('🔖 배합비 참조'!$B$2:$CE$83,MATCH("치즈 [크림치즈]",'🔖 배합비 참조'!$A$2:$A$83,0),MATCH($C290,'🔖 배합비 참조'!$B$1:$CE$1,0))/100,0),""))),"")</f>
        <v>0</v>
      </c>
      <c r="BX290" s="42" t="n">
        <f aca="false">IFERROR(IF($C290="","",IF($D290="","",IFERROR(ROUND($D290*INDEX('🔖 배합비 참조'!$B$2:$CE$83,MATCH("코코아가공품류(코코아분말)",'🔖 배합비 참조'!$A$2:$A$83,0),MATCH($C290,'🔖 배합비 참조'!$B$1:$CE$1,0))/100,0),""))),"")</f>
        <v>0</v>
      </c>
      <c r="BY290" s="42" t="n">
        <f aca="false">IFERROR(IF($C290="","",IF($D290="","",IFERROR(ROUND($D290*INDEX('🔖 배합비 참조'!$B$2:$CE$83,MATCH("콩기름(대두유)",'🔖 배합비 참조'!$A$2:$A$83,0),MATCH($C290,'🔖 배합비 참조'!$B$1:$CE$1,0))/100,0),""))),"")</f>
        <v>0</v>
      </c>
      <c r="BZ290" s="42" t="n">
        <f aca="false">IFERROR(IF($C290="","",IF($D290="","",IFERROR(ROUND($D290*INDEX('🔖 배합비 참조'!$B$2:$CE$83,MATCH("해바라기씨앗",'🔖 배합비 참조'!$A$2:$A$83,0),MATCH($C290,'🔖 배합비 참조'!$B$1:$CE$1,0))/100,0),""))),"")</f>
        <v>0</v>
      </c>
      <c r="CA290" s="42" t="n">
        <f aca="false">IFERROR(IF($C290="","",IF($D290="","",IFERROR(ROUND($D290*INDEX('🔖 배합비 참조'!$B$2:$CE$83,MATCH("현미(국내산)",'🔖 배합비 참조'!$A$2:$A$83,0),MATCH($C290,'🔖 배합비 참조'!$B$1:$CE$1,0))/100,0),""))),"")</f>
        <v>0</v>
      </c>
      <c r="CB290" s="42" t="n">
        <f aca="false">IFERROR(IF($C290="","",IF($D290="","",IFERROR(ROUND($D290*INDEX('🔖 배합비 참조'!$B$2:$CE$83,MATCH("현미멥쌀(국내산)",'🔖 배합비 참조'!$A$2:$A$83,0),MATCH($C290,'🔖 배합비 참조'!$B$1:$CE$1,0))/100,0),""))),"")</f>
        <v>0</v>
      </c>
      <c r="CC290" s="42" t="n">
        <f aca="false">IFERROR(IF($C290="","",IF($D290="","",IFERROR(ROUND($D290*INDEX('🔖 배합비 참조'!$B$2:$CE$83,MATCH("호두분태(미국산)",'🔖 배합비 참조'!$A$2:$A$83,0),MATCH($C290,'🔖 배합비 참조'!$B$1:$CE$1,0))/100,0),""))),"")</f>
        <v>0</v>
      </c>
      <c r="CD290" s="42" t="n">
        <f aca="false">IFERROR(IF($C290="","",IF($D290="","",IFERROR(ROUND($D290*INDEX('🔖 배합비 참조'!$B$2:$CE$83,MATCH("호박씨앗(외국산)",'🔖 배합비 참조'!$A$2:$A$83,0),MATCH($C290,'🔖 배합비 참조'!$B$1:$CE$1,0))/100,0),""))),"")</f>
        <v>0</v>
      </c>
      <c r="CE290" s="42" t="n">
        <f aca="false">IFERROR(IF($C290="","",IF($D290="","",IFERROR(ROUND($D290*INDEX('🔖 배합비 참조'!$B$2:$CE$83,MATCH("혼합제제(떡용에스텔)",'🔖 배합비 참조'!$A$2:$A$83,0),MATCH($C290,'🔖 배합비 참조'!$B$1:$CE$1,0))/100,0),""))),"")</f>
        <v>0</v>
      </c>
      <c r="CF290" s="42" t="n">
        <f aca="false">IFERROR(IF($C290="","",IF($D290="","",IFERROR(ROUND($D290*INDEX('🔖 배합비 참조'!$B$2:$CE$83,MATCH("혼합제제(스테비아)",'🔖 배합비 참조'!$A$2:$A$83,0),MATCH($C290,'🔖 배합비 참조'!$B$1:$CE$1,0))/100,0),""))),"")</f>
        <v>0</v>
      </c>
      <c r="CG290" s="42" t="n">
        <f aca="false">IFERROR(IF($C290="","",IF($D290="","",IFERROR(ROUND($D290*INDEX('🔖 배합비 참조'!$B$2:$CE$83,MATCH("화이트초콜릿",'🔖 배합비 참조'!$A$2:$A$83,0),MATCH($C290,'🔖 배합비 참조'!$B$1:$CE$1,0))/100,0),""))),"")</f>
        <v>0</v>
      </c>
      <c r="CH290" s="42" t="n">
        <f aca="false">IFERROR(IF($C290="","",IF($D290="","",IFERROR(ROUND($D290*INDEX('🔖 배합비 참조'!$B$2:$CE$83,MATCH("흑미찹쌀(국내산)",'🔖 배합비 참조'!$A$2:$A$83,0),MATCH($C290,'🔖 배합비 참조'!$B$1:$CE$1,0))/100,0),""))),"")</f>
        <v>0</v>
      </c>
      <c r="CI290" s="42" t="n">
        <f aca="false">IFERROR(IF($C290="","",IF($D290="","",IFERROR(ROUND($D290*INDEX('🔖 배합비 참조'!$B$2:$CE$83,MATCH("찰옥수수전분(미국산)",'🔖 배합비 참조'!$A$2:$A$83,0),MATCH($C290,'🔖 배합비 참조'!$B$1:$CE$1,0))/100,0),""))),"")</f>
        <v>0</v>
      </c>
      <c r="CJ290" s="40"/>
      <c r="CL290" s="43" t="s">
        <v>248</v>
      </c>
    </row>
    <row r="291" customFormat="false" ht="18" hidden="false" customHeight="true" outlineLevel="0" collapsed="false">
      <c r="A291" s="35" t="n">
        <v>287</v>
      </c>
      <c r="B291" s="36" t="n">
        <v>46099</v>
      </c>
      <c r="C291" s="37" t="s">
        <v>191</v>
      </c>
      <c r="D291" s="38" t="n">
        <v>330</v>
      </c>
      <c r="E291" s="13"/>
      <c r="F291" s="13"/>
      <c r="G291" s="39" t="n">
        <f aca="false">IFERROR(IF($C291="","",IF($D291="","",IFERROR(ROUND($D291*INDEX('🔖 배합비 참조'!$B$2:$CE$83,MATCH("간장",'🔖 배합비 참조'!$A$2:$A$83,0),MATCH($C291,'🔖 배합비 참조'!$B$1:$CE$1,0))/100,0),""))),"")</f>
        <v>0</v>
      </c>
      <c r="H291" s="39" t="n">
        <f aca="false">IFERROR(IF($C291="","",IF($D291="","",IFERROR(ROUND($D291*INDEX('🔖 배합비 참조'!$B$2:$CE$83,MATCH("강낭콩((울타리콩))",'🔖 배합비 참조'!$A$2:$A$83,0),MATCH($C291,'🔖 배합비 참조'!$B$1:$CE$1,0))/100,0),""))),"")</f>
        <v>0</v>
      </c>
      <c r="I291" s="39" t="n">
        <f aca="false">IFERROR(IF($C291="","",IF($D291="","",IFERROR(ROUND($D291*INDEX('🔖 배합비 참조'!$B$2:$CE$83,MATCH("건조딸기다이스(외국산)",'🔖 배합비 참조'!$A$2:$A$83,0),MATCH($C291,'🔖 배합비 참조'!$B$1:$CE$1,0))/100,0),""))),"")</f>
        <v>0</v>
      </c>
      <c r="J291" s="39" t="n">
        <f aca="false">IFERROR(IF($C291="","",IF($D291="","",IFERROR(ROUND($D291*INDEX('🔖 배합비 참조'!$B$2:$CE$83,MATCH("건포도",'🔖 배합비 참조'!$A$2:$A$83,0),MATCH($C291,'🔖 배합비 참조'!$B$1:$CE$1,0))/100,0),""))),"")</f>
        <v>0</v>
      </c>
      <c r="K291" s="39" t="n">
        <f aca="false">IFERROR(IF($C291="","",IF($D291="","",IFERROR(ROUND($D291*INDEX('🔖 배합비 참조'!$B$2:$CE$83,MATCH("건호박채(중국산)",'🔖 배합비 참조'!$A$2:$A$83,0),MATCH($C291,'🔖 배합비 참조'!$B$1:$CE$1,0))/100,0),""))),"")</f>
        <v>0</v>
      </c>
      <c r="L291" s="39" t="n">
        <f aca="false">IFERROR(IF($C291="","",IF($D291="","",IFERROR(ROUND($D291*INDEX('🔖 배합비 참조'!$B$2:$CE$83,MATCH("검정깨(흑임자)",'🔖 배합비 참조'!$A$2:$A$83,0),MATCH($C291,'🔖 배합비 참조'!$B$1:$CE$1,0))/100,0),""))),"")</f>
        <v>0</v>
      </c>
      <c r="M291" s="39" t="n">
        <f aca="false">IFERROR(IF($C291="","",IF($D291="","",IFERROR(ROUND($D291*INDEX('🔖 배합비 참조'!$B$2:$CE$83,MATCH("검정콩",'🔖 배합비 참조'!$A$2:$A$83,0),MATCH($C291,'🔖 배합비 참조'!$B$1:$CE$1,0))/100,0),""))),"")</f>
        <v>0</v>
      </c>
      <c r="N291" s="39" t="n">
        <f aca="false">IFERROR(IF($C291="","",IF($D291="","",IFERROR(ROUND($D291*INDEX('🔖 배합비 참조'!$B$2:$CE$83,MATCH("계피가루",'🔖 배합비 참조'!$A$2:$A$83,0),MATCH($C291,'🔖 배합비 참조'!$B$1:$CE$1,0))/100,0),""))),"")</f>
        <v>0</v>
      </c>
      <c r="O291" s="39" t="n">
        <f aca="false">IFERROR(IF($C291="","",IF($D291="","",IFERROR(ROUND($D291*INDEX('🔖 배합비 참조'!$B$2:$CE$83,MATCH("고구마가루",'🔖 배합비 참조'!$A$2:$A$83,0),MATCH($C291,'🔖 배합비 참조'!$B$1:$CE$1,0))/100,0),""))),"")</f>
        <v>0</v>
      </c>
      <c r="P291" s="39" t="n">
        <f aca="false">IFERROR(IF($C291="","",IF($D291="","",IFERROR(ROUND($D291*INDEX('🔖 배합비 참조'!$B$2:$CE$83,MATCH("고구마무스",'🔖 배합비 참조'!$A$2:$A$83,0),MATCH($C291,'🔖 배합비 참조'!$B$1:$CE$1,0))/100,0),""))),"")</f>
        <v>0</v>
      </c>
      <c r="Q291" s="39" t="n">
        <f aca="false">IFERROR(IF($C291="","",IF($D291="","",IFERROR(ROUND($D291*INDEX('🔖 배합비 참조'!$B$2:$CE$83,MATCH("고려엉겅퀴((곤드레)국내산)",'🔖 배합비 참조'!$A$2:$A$83,0),MATCH($C291,'🔖 배합비 참조'!$B$1:$CE$1,0))/100,0),""))),"")</f>
        <v>0</v>
      </c>
      <c r="R291" s="39" t="n">
        <f aca="false">IFERROR(IF($C291="","",IF($D291="","",IFERROR(ROUND($D291*INDEX('🔖 배합비 참조'!$B$2:$CE$83,MATCH("기타가공품(복분자가루)",'🔖 배합비 참조'!$A$2:$A$83,0),MATCH($C291,'🔖 배합비 참조'!$B$1:$CE$1,0))/100,0),""))),"")</f>
        <v>0</v>
      </c>
      <c r="S291" s="39" t="n">
        <f aca="false">IFERROR(IF($C291="","",IF($D291="","",IFERROR(ROUND($D291*INDEX('🔖 배합비 참조'!$B$2:$CE$83,MATCH("기타가공품(슈퍼소프트엠)",'🔖 배합비 참조'!$A$2:$A$83,0),MATCH($C291,'🔖 배합비 참조'!$B$1:$CE$1,0))/100,0),""))),"")</f>
        <v>0</v>
      </c>
      <c r="T291" s="39" t="n">
        <f aca="false">IFERROR(IF($C291="","",IF($D291="","",IFERROR(ROUND($D291*INDEX('🔖 배합비 참조'!$B$2:$CE$83,MATCH("기타가공품(파인소프트 E-티)",'🔖 배합비 참조'!$A$2:$A$83,0),MATCH($C291,'🔖 배합비 참조'!$B$1:$CE$1,0))/100,0),""))),"")</f>
        <v>0</v>
      </c>
      <c r="U291" s="39" t="n">
        <f aca="false">IFERROR(IF($C291="","",IF($D291="","",IFERROR(ROUND($D291*INDEX('🔖 배합비 참조'!$B$2:$CE$83,MATCH("기타가공품(프리미엄카스테라가루)",'🔖 배합비 참조'!$A$2:$A$83,0),MATCH($C291,'🔖 배합비 참조'!$B$1:$CE$1,0))/100,0),""))),"")</f>
        <v>0</v>
      </c>
      <c r="V291" s="39" t="n">
        <f aca="false">IFERROR(IF($C291="","",IF($D291="","",IFERROR(ROUND($D291*INDEX('🔖 배합비 참조'!$B$2:$CE$83,MATCH("기타가공품(흑임자가루)",'🔖 배합비 참조'!$A$2:$A$83,0),MATCH($C291,'🔖 배합비 참조'!$B$1:$CE$1,0))/100,0),""))),"")</f>
        <v>0</v>
      </c>
      <c r="W291" s="39" t="n">
        <f aca="false">IFERROR(IF($C291="","",IF($D291="","",IFERROR(ROUND($D291*INDEX('🔖 배합비 참조'!$B$2:$CE$83,MATCH("기타설탕(흑설탕)",'🔖 배합비 참조'!$A$2:$A$83,0),MATCH($C291,'🔖 배합비 참조'!$B$1:$CE$1,0))/100,0),""))),"")</f>
        <v>0</v>
      </c>
      <c r="X291" s="39" t="n">
        <f aca="false">IFERROR(IF($C291="","",IF($D291="","",IFERROR(ROUND($D291*INDEX('🔖 배합비 참조'!$B$2:$CE$83,MATCH("냉동쑥(국내산)",'🔖 배합비 참조'!$A$2:$A$83,0),MATCH($C291,'🔖 배합비 참조'!$B$1:$CE$1,0))/100,0),""))),"")</f>
        <v>0</v>
      </c>
      <c r="Y291" s="39" t="n">
        <f aca="false">IFERROR(IF($C291="","",IF($D291="","",IFERROR(ROUND($D291*INDEX('🔖 배합비 참조'!$B$2:$CE$83,MATCH("냉동증숙고구마(중국산)",'🔖 배합비 참조'!$A$2:$A$83,0),MATCH($C291,'🔖 배합비 참조'!$B$1:$CE$1,0))/100,0),""))),"")</f>
        <v>0</v>
      </c>
      <c r="Z291" s="39" t="n">
        <f aca="false">IFERROR(IF($C291="","",IF($D291="","",IFERROR(ROUND($D291*INDEX('🔖 배합비 참조'!$B$2:$CE$83,MATCH("녹차가루",'🔖 배합비 참조'!$A$2:$A$83,0),MATCH($C291,'🔖 배합비 참조'!$B$1:$CE$1,0))/100,0),""))),"")</f>
        <v>0</v>
      </c>
      <c r="AA291" s="39" t="n">
        <f aca="false">IFERROR(IF($C291="","",IF($D291="","",IFERROR(ROUND($D291*INDEX('🔖 배합비 참조'!$B$2:$CE$83,MATCH("다크초콜릿 컴파운드칩",'🔖 배합비 참조'!$A$2:$A$83,0),MATCH($C291,'🔖 배합비 참조'!$B$1:$CE$1,0))/100,0),""))),"")</f>
        <v>0</v>
      </c>
      <c r="AB291" s="39" t="n">
        <f aca="false">IFERROR(IF($C291="","",IF($D291="","",IFERROR(ROUND($D291*INDEX('🔖 배합비 참조'!$B$2:$CE$83,MATCH("단호박분말(중국산)",'🔖 배합비 참조'!$A$2:$A$83,0),MATCH($C291,'🔖 배합비 참조'!$B$1:$CE$1,0))/100,0),""))),"")</f>
        <v>0</v>
      </c>
      <c r="AC291" s="39" t="n">
        <f aca="false">IFERROR(IF($C291="","",IF($D291="","",IFERROR(ROUND($D291*INDEX('🔖 배합비 참조'!$B$2:$CE$83,MATCH("당류가공품(단호박농축액)",'🔖 배합비 참조'!$A$2:$A$83,0),MATCH($C291,'🔖 배합비 참조'!$B$1:$CE$1,0))/100,0),""))),"")</f>
        <v>0</v>
      </c>
      <c r="AD291" s="39" t="n">
        <f aca="false">IFERROR(IF($C291="","",IF($D291="","",IFERROR(ROUND($D291*INDEX('🔖 배합비 참조'!$B$2:$CE$83,MATCH("당류가공품(알룰로스,에리스리톨,스테비올배당체혼합)",'🔖 배합비 참조'!$A$2:$A$83,0),MATCH($C291,'🔖 배합비 참조'!$B$1:$CE$1,0))/100,0),""))),"")</f>
        <v>0</v>
      </c>
      <c r="AE291" s="39" t="n">
        <f aca="false">IFERROR(IF($C291="","",IF($D291="","",IFERROR(ROUND($D291*INDEX('🔖 배합비 참조'!$B$2:$CE$83,MATCH("당류가공품(알룰로스제로파우더)",'🔖 배합비 참조'!$A$2:$A$83,0),MATCH($C291,'🔖 배합비 참조'!$B$1:$CE$1,0))/100,0),""))),"")</f>
        <v>0</v>
      </c>
      <c r="AF291" s="39" t="n">
        <f aca="false">IFERROR(IF($C291="","",IF($D291="","",IFERROR(ROUND($D291*INDEX('🔖 배합비 참조'!$B$2:$CE$83,MATCH("당절임(완두배기)",'🔖 배합비 참조'!$A$2:$A$83,0),MATCH($C291,'🔖 배합비 참조'!$B$1:$CE$1,0))/100,0),""))),"")</f>
        <v>0</v>
      </c>
      <c r="AG291" s="39" t="n">
        <f aca="false">IFERROR(IF($C291="","",IF($D291="","",IFERROR(ROUND($D291*INDEX('🔖 배합비 참조'!$B$2:$CE$83,MATCH("대추농축액",'🔖 배합비 참조'!$A$2:$A$83,0),MATCH($C291,'🔖 배합비 참조'!$B$1:$CE$1,0))/100,0),""))),"")</f>
        <v>0</v>
      </c>
      <c r="AH291" s="39" t="n">
        <f aca="false">IFERROR(IF($C291="","",IF($D291="","",IFERROR(ROUND($D291*INDEX('🔖 배합비 참조'!$B$2:$CE$83,MATCH("대추채(국내산)",'🔖 배합비 참조'!$A$2:$A$83,0),MATCH($C291,'🔖 배합비 참조'!$B$1:$CE$1,0))/100,0),""))),"")</f>
        <v>0</v>
      </c>
      <c r="AI291" s="39" t="n">
        <f aca="false">IFERROR(IF($C291="","",IF($D291="","",IFERROR(ROUND($D291*INDEX('🔖 배합비 참조'!$B$2:$CE$83,MATCH("동부(미얀마산)",'🔖 배합비 참조'!$A$2:$A$83,0),MATCH($C291,'🔖 배합비 참조'!$B$1:$CE$1,0))/100,0),""))),"")</f>
        <v>0</v>
      </c>
      <c r="AJ291" s="39" t="n">
        <f aca="false">IFERROR(IF($C291="","",IF($D291="","",IFERROR(ROUND($D291*INDEX('🔖 배합비 참조'!$B$2:$CE$83,MATCH("두류가공품(백옥앙금)",'🔖 배합비 참조'!$A$2:$A$83,0),MATCH($C291,'🔖 배합비 참조'!$B$1:$CE$1,0))/100,0),""))),"")</f>
        <v>0</v>
      </c>
      <c r="AK291" s="39" t="n">
        <f aca="false">IFERROR(IF($C291="","",IF($D291="","",IFERROR(ROUND($D291*INDEX('🔖 배합비 참조'!$B$2:$CE$83,MATCH("두류가공품(콩고물)",'🔖 배합비 참조'!$A$2:$A$83,0),MATCH($C291,'🔖 배합비 참조'!$B$1:$CE$1,0))/100,0),""))),"")</f>
        <v>0</v>
      </c>
      <c r="AL291" s="39" t="n">
        <f aca="false">IFERROR(IF($C291="","",IF($D291="","",IFERROR(ROUND($D291*INDEX('🔖 배합비 참조'!$B$2:$CE$83,MATCH("두류가공품(통팥고물)",'🔖 배합비 참조'!$A$2:$A$83,0),MATCH($C291,'🔖 배합비 참조'!$B$1:$CE$1,0))/100,0),""))),"")</f>
        <v>0</v>
      </c>
      <c r="AM291" s="39" t="n">
        <f aca="false">IFERROR(IF($C291="","",IF($D291="","",IFERROR(ROUND($D291*INDEX('🔖 배합비 참조'!$B$2:$CE$83,MATCH("딸기레진",'🔖 배합비 참조'!$A$2:$A$83,0),MATCH($C291,'🔖 배합비 참조'!$B$1:$CE$1,0))/100,0),""))),"")</f>
        <v>0</v>
      </c>
      <c r="AN291" s="39" t="n">
        <f aca="false">IFERROR(IF($C291="","",IF($D291="","",IFERROR(ROUND($D291*INDEX('🔖 배합비 참조'!$B$2:$CE$83,MATCH("딸기분말(스트로우베리에이드(분말))",'🔖 배합비 참조'!$A$2:$A$83,0),MATCH($C291,'🔖 배합비 참조'!$B$1:$CE$1,0))/100,0),""))),"")</f>
        <v>0</v>
      </c>
      <c r="AO291" s="39" t="n">
        <f aca="false">IFERROR(IF($C291="","",IF($D291="","",IFERROR(ROUND($D291*INDEX('🔖 배합비 참조'!$B$2:$CE$83,MATCH("마스카포네치즈",'🔖 배합비 참조'!$A$2:$A$83,0),MATCH($C291,'🔖 배합비 참조'!$B$1:$CE$1,0))/100,0),""))),"")</f>
        <v>0</v>
      </c>
      <c r="AP291" s="39" t="n">
        <f aca="false">IFERROR(IF($C291="","",IF($D291="","",IFERROR(ROUND($D291*INDEX('🔖 배합비 참조'!$B$2:$CE$83,MATCH("마카다미아분태(호주산)",'🔖 배합비 참조'!$A$2:$A$83,0),MATCH($C291,'🔖 배합비 참조'!$B$1:$CE$1,0))/100,0),""))),"")</f>
        <v>0</v>
      </c>
      <c r="AQ291" s="39" t="n">
        <f aca="false">IFERROR(IF($C291="","",IF($D291="","",IFERROR(ROUND($D291*INDEX('🔖 배합비 참조'!$B$2:$CE$83,MATCH("멥쌀(국내산)",'🔖 배합비 참조'!$A$2:$A$83,0),MATCH($C291,'🔖 배합비 참조'!$B$1:$CE$1,0))/100,0),""))),"")</f>
        <v>7</v>
      </c>
      <c r="AR291" s="39" t="n">
        <f aca="false">IFERROR(IF($C291="","",IF($D291="","",IFERROR(ROUND($D291*INDEX('🔖 배합비 참조'!$B$2:$CE$83,MATCH("모시잎(국내산)",'🔖 배합비 참조'!$A$2:$A$83,0),MATCH($C291,'🔖 배합비 참조'!$B$1:$CE$1,0))/100,0),""))),"")</f>
        <v>0</v>
      </c>
      <c r="AS291" s="39" t="n">
        <f aca="false">IFERROR(IF($C291="","",IF($D291="","",IFERROR(ROUND($D291*INDEX('🔖 배합비 참조'!$B$2:$CE$83,MATCH("물엿(저당물엿)",'🔖 배합비 참조'!$A$2:$A$83,0),MATCH($C291,'🔖 배합비 참조'!$B$1:$CE$1,0))/100,0),""))),"")</f>
        <v>0</v>
      </c>
      <c r="AT291" s="39" t="n">
        <f aca="false">IFERROR(IF($C291="","",IF($D291="","",IFERROR(ROUND($D291*INDEX('🔖 배합비 참조'!$B$2:$CE$83,MATCH("밤다이스",'🔖 배합비 참조'!$A$2:$A$83,0),MATCH($C291,'🔖 배합비 참조'!$B$1:$CE$1,0))/100,0),""))),"")</f>
        <v>0</v>
      </c>
      <c r="AU291" s="39" t="n">
        <f aca="false">IFERROR(IF($C291="","",IF($D291="","",IFERROR(ROUND($D291*INDEX('🔖 배합비 참조'!$B$2:$CE$83,MATCH("변성전분(타피오카전분)",'🔖 배합비 참조'!$A$2:$A$83,0),MATCH($C291,'🔖 배합비 참조'!$B$1:$CE$1,0))/100,0),""))),"")</f>
        <v>0</v>
      </c>
      <c r="AV291" s="39" t="n">
        <f aca="false">IFERROR(IF($C291="","",IF($D291="","",IFERROR(ROUND($D291*INDEX('🔖 배합비 참조'!$B$2:$CE$83,MATCH("복음땅콩분태",'🔖 배합비 참조'!$A$2:$A$83,0),MATCH($C291,'🔖 배합비 참조'!$B$1:$CE$1,0))/100,0),""))),"")</f>
        <v>0</v>
      </c>
      <c r="AW291" s="39" t="n">
        <f aca="false">IFERROR(IF($C291="","",IF($D291="","",IFERROR(ROUND($D291*INDEX('🔖 배합비 참조'!$B$2:$CE$83,MATCH("사양벌꿀(국내산)",'🔖 배합비 참조'!$A$2:$A$83,0),MATCH($C291,'🔖 배합비 참조'!$B$1:$CE$1,0))/100,0),""))),"")</f>
        <v>0</v>
      </c>
      <c r="AX291" s="39" t="n">
        <f aca="false">IFERROR(IF($C291="","",IF($D291="","",IFERROR(ROUND($D291*INDEX('🔖 배합비 참조'!$B$2:$CE$83,MATCH("생크림",'🔖 배합비 참조'!$A$2:$A$83,0),MATCH($C291,'🔖 배합비 참조'!$B$1:$CE$1,0))/100,0),""))),"")</f>
        <v>0</v>
      </c>
      <c r="AY291" s="39" t="n">
        <f aca="false">IFERROR(IF($C291="","",IF($D291="","",IFERROR(ROUND($D291*INDEX('🔖 배합비 참조'!$B$2:$CE$83,MATCH("서양호박(국내산,뉴질랜드산)",'🔖 배합비 참조'!$A$2:$A$83,0),MATCH($C291,'🔖 배합비 참조'!$B$1:$CE$1,0))/100,0),""))),"")</f>
        <v>0</v>
      </c>
      <c r="AZ291" s="39" t="n">
        <f aca="false">IFERROR(IF($C291="","",IF($D291="","",IFERROR(ROUND($D291*INDEX('🔖 배합비 참조'!$B$2:$CE$83,MATCH("설탕",'🔖 배합비 참조'!$A$2:$A$83,0),MATCH($C291,'🔖 배합비 참조'!$B$1:$CE$1,0))/100,0),""))),"")</f>
        <v>63</v>
      </c>
      <c r="BA291" s="39" t="n">
        <f aca="false">IFERROR(IF($C291="","",IF($D291="","",IFERROR(ROUND($D291*INDEX('🔖 배합비 참조'!$B$2:$CE$83,MATCH("스트로우베리 에이드 후레쉬",'🔖 배합비 참조'!$A$2:$A$83,0),MATCH($C291,'🔖 배합비 참조'!$B$1:$CE$1,0))/100,0),""))),"")</f>
        <v>0</v>
      </c>
      <c r="BB291" s="39" t="n">
        <f aca="false">IFERROR(IF($C291="","",IF($D291="","",IFERROR(ROUND($D291*INDEX('🔖 배합비 참조'!$B$2:$CE$83,MATCH("식물성기름혼합제제(분홍)",'🔖 배합비 참조'!$A$2:$A$83,0),MATCH($C291,'🔖 배합비 참조'!$B$1:$CE$1,0))/100,0),""))),"")</f>
        <v>0</v>
      </c>
      <c r="BC291" s="39" t="n">
        <f aca="false">IFERROR(IF($C291="","",IF($D291="","",IFERROR(ROUND($D291*INDEX('🔖 배합비 참조'!$B$2:$CE$83,MATCH("식물성기름혼합제제(초록)",'🔖 배합비 참조'!$A$2:$A$83,0),MATCH($C291,'🔖 배합비 참조'!$B$1:$CE$1,0))/100,0),""))),"")</f>
        <v>0</v>
      </c>
      <c r="BD291" s="39" t="n">
        <f aca="false">IFERROR(IF($C291="","",IF($D291="","",IFERROR(ROUND($D291*INDEX('🔖 배합비 참조'!$B$2:$CE$83,MATCH("식물성기름혼합제제(황색)",'🔖 배합비 참조'!$A$2:$A$83,0),MATCH($C291,'🔖 배합비 참조'!$B$1:$CE$1,0))/100,0),""))),"")</f>
        <v>0</v>
      </c>
      <c r="BE291" s="39" t="n">
        <f aca="false">IFERROR(IF($C291="","",IF($D291="","",IFERROR(ROUND($D291*INDEX('🔖 배합비 참조'!$B$2:$CE$83,MATCH("쑥가루(국내산)",'🔖 배합비 참조'!$A$2:$A$83,0),MATCH($C291,'🔖 배합비 참조'!$B$1:$CE$1,0))/100,0),""))),"")</f>
        <v>0</v>
      </c>
      <c r="BF291" s="39" t="n">
        <f aca="false">IFERROR(IF($C291="","",IF($D291="","",IFERROR(ROUND($D291*INDEX('🔖 배합비 참조'!$B$2:$CE$83,MATCH("아몬드슬라이스",'🔖 배합비 참조'!$A$2:$A$83,0),MATCH($C291,'🔖 배합비 참조'!$B$1:$CE$1,0))/100,0),""))),"")</f>
        <v>0</v>
      </c>
      <c r="BG291" s="39" t="n">
        <f aca="false">IFERROR(IF($C291="","",IF($D291="","",IFERROR(ROUND($D291*INDEX('🔖 배합비 참조'!$B$2:$CE$83,MATCH("알룰로오스(국내산)",'🔖 배합비 참조'!$A$2:$A$83,0),MATCH($C291,'🔖 배합비 참조'!$B$1:$CE$1,0))/100,0),""))),"")</f>
        <v>0</v>
      </c>
      <c r="BH291" s="39" t="n">
        <f aca="false">IFERROR(IF($C291="","",IF($D291="","",IFERROR(ROUND($D291*INDEX('🔖 배합비 참조'!$B$2:$CE$83,MATCH("연유",'🔖 배합비 참조'!$A$2:$A$83,0),MATCH($C291,'🔖 배합비 참조'!$B$1:$CE$1,0))/100,0),""))),"")</f>
        <v>0</v>
      </c>
      <c r="BI291" s="39" t="n">
        <f aca="false">IFERROR(IF($C291="","",IF($D291="","",IFERROR(ROUND($D291*INDEX('🔖 배합비 참조'!$B$2:$CE$83,MATCH("옥수수전분",'🔖 배합비 참조'!$A$2:$A$83,0),MATCH($C291,'🔖 배합비 참조'!$B$1:$CE$1,0))/100,0),""))),"")</f>
        <v>0</v>
      </c>
      <c r="BJ291" s="39" t="n">
        <f aca="false">IFERROR(IF($C291="","",IF($D291="","",IFERROR(ROUND($D291*INDEX('🔖 배합비 참조'!$B$2:$CE$83,MATCH("완두배기",'🔖 배합비 참조'!$A$2:$A$83,0),MATCH($C291,'🔖 배합비 참조'!$B$1:$CE$1,0))/100,0),""))),"")</f>
        <v>0</v>
      </c>
      <c r="BK291" s="39" t="n">
        <f aca="false">IFERROR(IF($C291="","",IF($D291="","",IFERROR(ROUND($D291*INDEX('🔖 배합비 참조'!$B$2:$CE$83,MATCH("우유(국내산)",'🔖 배합비 참조'!$A$2:$A$83,0),MATCH($C291,'🔖 배합비 참조'!$B$1:$CE$1,0))/100,0),""))),"")</f>
        <v>0</v>
      </c>
      <c r="BL291" s="39" t="n">
        <f aca="false">IFERROR(IF($C291="","",IF($D291="","",IFERROR(ROUND($D291*INDEX('🔖 배합비 참조'!$B$2:$CE$83,MATCH("자색고구마가루(중국산)",'🔖 배합비 참조'!$A$2:$A$83,0),MATCH($C291,'🔖 배합비 참조'!$B$1:$CE$1,0))/100,0),""))),"")</f>
        <v>0</v>
      </c>
      <c r="BM291" s="39" t="n">
        <f aca="false">IFERROR(IF($C291="","",IF($D291="","",IFERROR(ROUND($D291*INDEX('🔖 배합비 참조'!$B$2:$CE$83,MATCH("자연치즈(체다치즈)",'🔖 배합비 참조'!$A$2:$A$83,0),MATCH($C291,'🔖 배합비 참조'!$B$1:$CE$1,0))/100,0),""))),"")</f>
        <v>0</v>
      </c>
      <c r="BN291" s="39" t="n">
        <f aca="false">IFERROR(IF($C291="","",IF($D291="","",IFERROR(ROUND($D291*INDEX('🔖 배합비 참조'!$B$2:$CE$83,MATCH("정제수",'🔖 배합비 참조'!$A$2:$A$83,0),MATCH($C291,'🔖 배합비 참조'!$B$1:$CE$1,0))/100,0),""))),"")</f>
        <v>10</v>
      </c>
      <c r="BO291" s="39" t="n">
        <f aca="false">IFERROR(IF($C291="","",IF($D291="","",IFERROR(ROUND($D291*INDEX('🔖 배합비 참조'!$B$2:$CE$83,MATCH("젤라틴",'🔖 배합비 참조'!$A$2:$A$83,0),MATCH($C291,'🔖 배합비 참조'!$B$1:$CE$1,0))/100,0),""))),"")</f>
        <v>0</v>
      </c>
      <c r="BP291" s="39" t="n">
        <f aca="false">IFERROR(IF($C291="","",IF($D291="","",IFERROR(ROUND($D291*INDEX('🔖 배합비 참조'!$B$2:$CE$83,MATCH("조림류(백옥앙금)",'🔖 배합비 참조'!$A$2:$A$83,0),MATCH($C291,'🔖 배합비 참조'!$B$1:$CE$1,0))/100,0),""))),"")</f>
        <v>0</v>
      </c>
      <c r="BQ291" s="39" t="n">
        <f aca="false">IFERROR(IF($C291="","",IF($D291="","",IFERROR(ROUND($D291*INDEX('🔖 배합비 참조'!$B$2:$CE$83,MATCH("조림류(통팥앙금)",'🔖 배합비 참조'!$A$2:$A$83,0),MATCH($C291,'🔖 배합비 참조'!$B$1:$CE$1,0))/100,0),""))),"")</f>
        <v>59</v>
      </c>
      <c r="BR291" s="39" t="n">
        <f aca="false">IFERROR(IF($C291="","",IF($D291="","",IFERROR(ROUND($D291*INDEX('🔖 배합비 참조'!$B$2:$CE$83,MATCH("준초콜릿(외국산)",'🔖 배합비 참조'!$A$2:$A$83,0),MATCH($C291,'🔖 배합비 참조'!$B$1:$CE$1,0))/100,0),""))),"")</f>
        <v>0</v>
      </c>
      <c r="BS291" s="39" t="n">
        <f aca="false">IFERROR(IF($C291="","",IF($D291="","",IFERROR(ROUND($D291*INDEX('🔖 배합비 참조'!$B$2:$CE$83,MATCH("중력분",'🔖 배합비 참조'!$A$2:$A$83,0),MATCH($C291,'🔖 배합비 참조'!$B$1:$CE$1,0))/100,0),""))),"")</f>
        <v>7</v>
      </c>
      <c r="BT291" s="39" t="n">
        <f aca="false">IFERROR(IF($C291="","",IF($D291="","",IFERROR(ROUND($D291*INDEX('🔖 배합비 참조'!$B$2:$CE$83,MATCH("참깨(인도산,나이지리아산,탄자니아산,미얀마산)",'🔖 배합비 참조'!$A$2:$A$83,0),MATCH($C291,'🔖 배합비 참조'!$B$1:$CE$1,0))/100,0),""))),"")</f>
        <v>0</v>
      </c>
      <c r="BU291" s="39" t="n">
        <f aca="false">IFERROR(IF($C291="","",IF($D291="","",IFERROR(ROUND($D291*INDEX('🔖 배합비 참조'!$B$2:$CE$83,MATCH("찹쌀(국내산)",'🔖 배합비 참조'!$A$2:$A$83,0),MATCH($C291,'🔖 배합비 참조'!$B$1:$CE$1,0))/100,0),""))),"")</f>
        <v>142</v>
      </c>
      <c r="BV291" s="39" t="n">
        <f aca="false">IFERROR(IF($C291="","",IF($D291="","",IFERROR(ROUND($D291*INDEX('🔖 배합비 참조'!$B$2:$CE$83,MATCH("천일염",'🔖 배합비 참조'!$A$2:$A$83,0),MATCH($C291,'🔖 배합비 참조'!$B$1:$CE$1,0))/100,0),""))),"")</f>
        <v>7</v>
      </c>
      <c r="BW291" s="39" t="n">
        <f aca="false">IFERROR(IF($C291="","",IF($D291="","",IFERROR(ROUND($D291*INDEX('🔖 배합비 참조'!$B$2:$CE$83,MATCH("치즈 [크림치즈]",'🔖 배합비 참조'!$A$2:$A$83,0),MATCH($C291,'🔖 배합비 참조'!$B$1:$CE$1,0))/100,0),""))),"")</f>
        <v>0</v>
      </c>
      <c r="BX291" s="39" t="n">
        <f aca="false">IFERROR(IF($C291="","",IF($D291="","",IFERROR(ROUND($D291*INDEX('🔖 배합비 참조'!$B$2:$CE$83,MATCH("코코아가공품류(코코아분말)",'🔖 배합비 참조'!$A$2:$A$83,0),MATCH($C291,'🔖 배합비 참조'!$B$1:$CE$1,0))/100,0),""))),"")</f>
        <v>0</v>
      </c>
      <c r="BY291" s="39" t="n">
        <f aca="false">IFERROR(IF($C291="","",IF($D291="","",IFERROR(ROUND($D291*INDEX('🔖 배합비 참조'!$B$2:$CE$83,MATCH("콩기름(대두유)",'🔖 배합비 참조'!$A$2:$A$83,0),MATCH($C291,'🔖 배합비 참조'!$B$1:$CE$1,0))/100,0),""))),"")</f>
        <v>0</v>
      </c>
      <c r="BZ291" s="39" t="n">
        <f aca="false">IFERROR(IF($C291="","",IF($D291="","",IFERROR(ROUND($D291*INDEX('🔖 배합비 참조'!$B$2:$CE$83,MATCH("해바라기씨앗",'🔖 배합비 참조'!$A$2:$A$83,0),MATCH($C291,'🔖 배합비 참조'!$B$1:$CE$1,0))/100,0),""))),"")</f>
        <v>0</v>
      </c>
      <c r="CA291" s="39" t="n">
        <f aca="false">IFERROR(IF($C291="","",IF($D291="","",IFERROR(ROUND($D291*INDEX('🔖 배합비 참조'!$B$2:$CE$83,MATCH("현미(국내산)",'🔖 배합비 참조'!$A$2:$A$83,0),MATCH($C291,'🔖 배합비 참조'!$B$1:$CE$1,0))/100,0),""))),"")</f>
        <v>0</v>
      </c>
      <c r="CB291" s="39" t="n">
        <f aca="false">IFERROR(IF($C291="","",IF($D291="","",IFERROR(ROUND($D291*INDEX('🔖 배합비 참조'!$B$2:$CE$83,MATCH("현미멥쌀(국내산)",'🔖 배합비 참조'!$A$2:$A$83,0),MATCH($C291,'🔖 배합비 참조'!$B$1:$CE$1,0))/100,0),""))),"")</f>
        <v>0</v>
      </c>
      <c r="CC291" s="39" t="n">
        <f aca="false">IFERROR(IF($C291="","",IF($D291="","",IFERROR(ROUND($D291*INDEX('🔖 배합비 참조'!$B$2:$CE$83,MATCH("호두분태(미국산)",'🔖 배합비 참조'!$A$2:$A$83,0),MATCH($C291,'🔖 배합비 참조'!$B$1:$CE$1,0))/100,0),""))),"")</f>
        <v>0</v>
      </c>
      <c r="CD291" s="39" t="n">
        <f aca="false">IFERROR(IF($C291="","",IF($D291="","",IFERROR(ROUND($D291*INDEX('🔖 배합비 참조'!$B$2:$CE$83,MATCH("호박씨앗(외국산)",'🔖 배합비 참조'!$A$2:$A$83,0),MATCH($C291,'🔖 배합비 참조'!$B$1:$CE$1,0))/100,0),""))),"")</f>
        <v>0</v>
      </c>
      <c r="CE291" s="39" t="n">
        <f aca="false">IFERROR(IF($C291="","",IF($D291="","",IFERROR(ROUND($D291*INDEX('🔖 배합비 참조'!$B$2:$CE$83,MATCH("혼합제제(떡용에스텔)",'🔖 배합비 참조'!$A$2:$A$83,0),MATCH($C291,'🔖 배합비 참조'!$B$1:$CE$1,0))/100,0),""))),"")</f>
        <v>7</v>
      </c>
      <c r="CF291" s="39" t="n">
        <f aca="false">IFERROR(IF($C291="","",IF($D291="","",IFERROR(ROUND($D291*INDEX('🔖 배합비 참조'!$B$2:$CE$83,MATCH("혼합제제(스테비아)",'🔖 배합비 참조'!$A$2:$A$83,0),MATCH($C291,'🔖 배합비 참조'!$B$1:$CE$1,0))/100,0),""))),"")</f>
        <v>0</v>
      </c>
      <c r="CG291" s="39" t="n">
        <f aca="false">IFERROR(IF($C291="","",IF($D291="","",IFERROR(ROUND($D291*INDEX('🔖 배합비 참조'!$B$2:$CE$83,MATCH("화이트초콜릿",'🔖 배합비 참조'!$A$2:$A$83,0),MATCH($C291,'🔖 배합비 참조'!$B$1:$CE$1,0))/100,0),""))),"")</f>
        <v>0</v>
      </c>
      <c r="CH291" s="39" t="n">
        <f aca="false">IFERROR(IF($C291="","",IF($D291="","",IFERROR(ROUND($D291*INDEX('🔖 배합비 참조'!$B$2:$CE$83,MATCH("흑미찹쌀(국내산)",'🔖 배합비 참조'!$A$2:$A$83,0),MATCH($C291,'🔖 배합비 참조'!$B$1:$CE$1,0))/100,0),""))),"")</f>
        <v>0</v>
      </c>
      <c r="CI291" s="39" t="n">
        <f aca="false">IFERROR(IF($C291="","",IF($D291="","",IFERROR(ROUND($D291*INDEX('🔖 배합비 참조'!$B$2:$CE$83,MATCH("찰옥수수전분(미국산)",'🔖 배합비 참조'!$A$2:$A$83,0),MATCH($C291,'🔖 배합비 참조'!$B$1:$CE$1,0))/100,0),""))),"")</f>
        <v>30</v>
      </c>
      <c r="CJ291" s="40"/>
      <c r="CL291" s="43" t="s">
        <v>248</v>
      </c>
    </row>
    <row r="292" customFormat="false" ht="18" hidden="false" customHeight="true" outlineLevel="0" collapsed="false">
      <c r="A292" s="41" t="n">
        <v>288</v>
      </c>
      <c r="B292" s="36" t="n">
        <v>46099</v>
      </c>
      <c r="C292" s="37" t="s">
        <v>191</v>
      </c>
      <c r="D292" s="38" t="n">
        <v>1100</v>
      </c>
      <c r="E292" s="17"/>
      <c r="F292" s="17"/>
      <c r="G292" s="42" t="n">
        <f aca="false">IFERROR(IF($C292="","",IF($D292="","",IFERROR(ROUND($D292*INDEX('🔖 배합비 참조'!$B$2:$CE$83,MATCH("간장",'🔖 배합비 참조'!$A$2:$A$83,0),MATCH($C292,'🔖 배합비 참조'!$B$1:$CE$1,0))/100,0),""))),"")</f>
        <v>0</v>
      </c>
      <c r="H292" s="42" t="n">
        <f aca="false">IFERROR(IF($C292="","",IF($D292="","",IFERROR(ROUND($D292*INDEX('🔖 배합비 참조'!$B$2:$CE$83,MATCH("강낭콩((울타리콩))",'🔖 배합비 참조'!$A$2:$A$83,0),MATCH($C292,'🔖 배합비 참조'!$B$1:$CE$1,0))/100,0),""))),"")</f>
        <v>0</v>
      </c>
      <c r="I292" s="42" t="n">
        <f aca="false">IFERROR(IF($C292="","",IF($D292="","",IFERROR(ROUND($D292*INDEX('🔖 배합비 참조'!$B$2:$CE$83,MATCH("건조딸기다이스(외국산)",'🔖 배합비 참조'!$A$2:$A$83,0),MATCH($C292,'🔖 배합비 참조'!$B$1:$CE$1,0))/100,0),""))),"")</f>
        <v>0</v>
      </c>
      <c r="J292" s="42" t="n">
        <f aca="false">IFERROR(IF($C292="","",IF($D292="","",IFERROR(ROUND($D292*INDEX('🔖 배합비 참조'!$B$2:$CE$83,MATCH("건포도",'🔖 배합비 참조'!$A$2:$A$83,0),MATCH($C292,'🔖 배합비 참조'!$B$1:$CE$1,0))/100,0),""))),"")</f>
        <v>0</v>
      </c>
      <c r="K292" s="42" t="n">
        <f aca="false">IFERROR(IF($C292="","",IF($D292="","",IFERROR(ROUND($D292*INDEX('🔖 배합비 참조'!$B$2:$CE$83,MATCH("건호박채(중국산)",'🔖 배합비 참조'!$A$2:$A$83,0),MATCH($C292,'🔖 배합비 참조'!$B$1:$CE$1,0))/100,0),""))),"")</f>
        <v>0</v>
      </c>
      <c r="L292" s="42" t="n">
        <f aca="false">IFERROR(IF($C292="","",IF($D292="","",IFERROR(ROUND($D292*INDEX('🔖 배합비 참조'!$B$2:$CE$83,MATCH("검정깨(흑임자)",'🔖 배합비 참조'!$A$2:$A$83,0),MATCH($C292,'🔖 배합비 참조'!$B$1:$CE$1,0))/100,0),""))),"")</f>
        <v>0</v>
      </c>
      <c r="M292" s="42" t="n">
        <f aca="false">IFERROR(IF($C292="","",IF($D292="","",IFERROR(ROUND($D292*INDEX('🔖 배합비 참조'!$B$2:$CE$83,MATCH("검정콩",'🔖 배합비 참조'!$A$2:$A$83,0),MATCH($C292,'🔖 배합비 참조'!$B$1:$CE$1,0))/100,0),""))),"")</f>
        <v>0</v>
      </c>
      <c r="N292" s="42" t="n">
        <f aca="false">IFERROR(IF($C292="","",IF($D292="","",IFERROR(ROUND($D292*INDEX('🔖 배합비 참조'!$B$2:$CE$83,MATCH("계피가루",'🔖 배합비 참조'!$A$2:$A$83,0),MATCH($C292,'🔖 배합비 참조'!$B$1:$CE$1,0))/100,0),""))),"")</f>
        <v>0</v>
      </c>
      <c r="O292" s="42" t="n">
        <f aca="false">IFERROR(IF($C292="","",IF($D292="","",IFERROR(ROUND($D292*INDEX('🔖 배합비 참조'!$B$2:$CE$83,MATCH("고구마가루",'🔖 배합비 참조'!$A$2:$A$83,0),MATCH($C292,'🔖 배합비 참조'!$B$1:$CE$1,0))/100,0),""))),"")</f>
        <v>0</v>
      </c>
      <c r="P292" s="42" t="n">
        <f aca="false">IFERROR(IF($C292="","",IF($D292="","",IFERROR(ROUND($D292*INDEX('🔖 배합비 참조'!$B$2:$CE$83,MATCH("고구마무스",'🔖 배합비 참조'!$A$2:$A$83,0),MATCH($C292,'🔖 배합비 참조'!$B$1:$CE$1,0))/100,0),""))),"")</f>
        <v>0</v>
      </c>
      <c r="Q292" s="42" t="n">
        <f aca="false">IFERROR(IF($C292="","",IF($D292="","",IFERROR(ROUND($D292*INDEX('🔖 배합비 참조'!$B$2:$CE$83,MATCH("고려엉겅퀴((곤드레)국내산)",'🔖 배합비 참조'!$A$2:$A$83,0),MATCH($C292,'🔖 배합비 참조'!$B$1:$CE$1,0))/100,0),""))),"")</f>
        <v>0</v>
      </c>
      <c r="R292" s="42" t="n">
        <f aca="false">IFERROR(IF($C292="","",IF($D292="","",IFERROR(ROUND($D292*INDEX('🔖 배합비 참조'!$B$2:$CE$83,MATCH("기타가공품(복분자가루)",'🔖 배합비 참조'!$A$2:$A$83,0),MATCH($C292,'🔖 배합비 참조'!$B$1:$CE$1,0))/100,0),""))),"")</f>
        <v>0</v>
      </c>
      <c r="S292" s="42" t="n">
        <f aca="false">IFERROR(IF($C292="","",IF($D292="","",IFERROR(ROUND($D292*INDEX('🔖 배합비 참조'!$B$2:$CE$83,MATCH("기타가공품(슈퍼소프트엠)",'🔖 배합비 참조'!$A$2:$A$83,0),MATCH($C292,'🔖 배합비 참조'!$B$1:$CE$1,0))/100,0),""))),"")</f>
        <v>0</v>
      </c>
      <c r="T292" s="42" t="n">
        <f aca="false">IFERROR(IF($C292="","",IF($D292="","",IFERROR(ROUND($D292*INDEX('🔖 배합비 참조'!$B$2:$CE$83,MATCH("기타가공품(파인소프트 E-티)",'🔖 배합비 참조'!$A$2:$A$83,0),MATCH($C292,'🔖 배합비 참조'!$B$1:$CE$1,0))/100,0),""))),"")</f>
        <v>0</v>
      </c>
      <c r="U292" s="42" t="n">
        <f aca="false">IFERROR(IF($C292="","",IF($D292="","",IFERROR(ROUND($D292*INDEX('🔖 배합비 참조'!$B$2:$CE$83,MATCH("기타가공품(프리미엄카스테라가루)",'🔖 배합비 참조'!$A$2:$A$83,0),MATCH($C292,'🔖 배합비 참조'!$B$1:$CE$1,0))/100,0),""))),"")</f>
        <v>0</v>
      </c>
      <c r="V292" s="42" t="n">
        <f aca="false">IFERROR(IF($C292="","",IF($D292="","",IFERROR(ROUND($D292*INDEX('🔖 배합비 참조'!$B$2:$CE$83,MATCH("기타가공품(흑임자가루)",'🔖 배합비 참조'!$A$2:$A$83,0),MATCH($C292,'🔖 배합비 참조'!$B$1:$CE$1,0))/100,0),""))),"")</f>
        <v>0</v>
      </c>
      <c r="W292" s="42" t="n">
        <f aca="false">IFERROR(IF($C292="","",IF($D292="","",IFERROR(ROUND($D292*INDEX('🔖 배합비 참조'!$B$2:$CE$83,MATCH("기타설탕(흑설탕)",'🔖 배합비 참조'!$A$2:$A$83,0),MATCH($C292,'🔖 배합비 참조'!$B$1:$CE$1,0))/100,0),""))),"")</f>
        <v>0</v>
      </c>
      <c r="X292" s="42" t="n">
        <f aca="false">IFERROR(IF($C292="","",IF($D292="","",IFERROR(ROUND($D292*INDEX('🔖 배합비 참조'!$B$2:$CE$83,MATCH("냉동쑥(국내산)",'🔖 배합비 참조'!$A$2:$A$83,0),MATCH($C292,'🔖 배합비 참조'!$B$1:$CE$1,0))/100,0),""))),"")</f>
        <v>0</v>
      </c>
      <c r="Y292" s="42" t="n">
        <f aca="false">IFERROR(IF($C292="","",IF($D292="","",IFERROR(ROUND($D292*INDEX('🔖 배합비 참조'!$B$2:$CE$83,MATCH("냉동증숙고구마(중국산)",'🔖 배합비 참조'!$A$2:$A$83,0),MATCH($C292,'🔖 배합비 참조'!$B$1:$CE$1,0))/100,0),""))),"")</f>
        <v>0</v>
      </c>
      <c r="Z292" s="42" t="n">
        <f aca="false">IFERROR(IF($C292="","",IF($D292="","",IFERROR(ROUND($D292*INDEX('🔖 배합비 참조'!$B$2:$CE$83,MATCH("녹차가루",'🔖 배합비 참조'!$A$2:$A$83,0),MATCH($C292,'🔖 배합비 참조'!$B$1:$CE$1,0))/100,0),""))),"")</f>
        <v>0</v>
      </c>
      <c r="AA292" s="42" t="n">
        <f aca="false">IFERROR(IF($C292="","",IF($D292="","",IFERROR(ROUND($D292*INDEX('🔖 배합비 참조'!$B$2:$CE$83,MATCH("다크초콜릿 컴파운드칩",'🔖 배합비 참조'!$A$2:$A$83,0),MATCH($C292,'🔖 배합비 참조'!$B$1:$CE$1,0))/100,0),""))),"")</f>
        <v>0</v>
      </c>
      <c r="AB292" s="42" t="n">
        <f aca="false">IFERROR(IF($C292="","",IF($D292="","",IFERROR(ROUND($D292*INDEX('🔖 배합비 참조'!$B$2:$CE$83,MATCH("단호박분말(중국산)",'🔖 배합비 참조'!$A$2:$A$83,0),MATCH($C292,'🔖 배합비 참조'!$B$1:$CE$1,0))/100,0),""))),"")</f>
        <v>0</v>
      </c>
      <c r="AC292" s="42" t="n">
        <f aca="false">IFERROR(IF($C292="","",IF($D292="","",IFERROR(ROUND($D292*INDEX('🔖 배합비 참조'!$B$2:$CE$83,MATCH("당류가공품(단호박농축액)",'🔖 배합비 참조'!$A$2:$A$83,0),MATCH($C292,'🔖 배합비 참조'!$B$1:$CE$1,0))/100,0),""))),"")</f>
        <v>0</v>
      </c>
      <c r="AD292" s="42" t="n">
        <f aca="false">IFERROR(IF($C292="","",IF($D292="","",IFERROR(ROUND($D292*INDEX('🔖 배합비 참조'!$B$2:$CE$83,MATCH("당류가공품(알룰로스,에리스리톨,스테비올배당체혼합)",'🔖 배합비 참조'!$A$2:$A$83,0),MATCH($C292,'🔖 배합비 참조'!$B$1:$CE$1,0))/100,0),""))),"")</f>
        <v>0</v>
      </c>
      <c r="AE292" s="42" t="n">
        <f aca="false">IFERROR(IF($C292="","",IF($D292="","",IFERROR(ROUND($D292*INDEX('🔖 배합비 참조'!$B$2:$CE$83,MATCH("당류가공품(알룰로스제로파우더)",'🔖 배합비 참조'!$A$2:$A$83,0),MATCH($C292,'🔖 배합비 참조'!$B$1:$CE$1,0))/100,0),""))),"")</f>
        <v>0</v>
      </c>
      <c r="AF292" s="42" t="n">
        <f aca="false">IFERROR(IF($C292="","",IF($D292="","",IFERROR(ROUND($D292*INDEX('🔖 배합비 참조'!$B$2:$CE$83,MATCH("당절임(완두배기)",'🔖 배합비 참조'!$A$2:$A$83,0),MATCH($C292,'🔖 배합비 참조'!$B$1:$CE$1,0))/100,0),""))),"")</f>
        <v>0</v>
      </c>
      <c r="AG292" s="42" t="n">
        <f aca="false">IFERROR(IF($C292="","",IF($D292="","",IFERROR(ROUND($D292*INDEX('🔖 배합비 참조'!$B$2:$CE$83,MATCH("대추농축액",'🔖 배합비 참조'!$A$2:$A$83,0),MATCH($C292,'🔖 배합비 참조'!$B$1:$CE$1,0))/100,0),""))),"")</f>
        <v>0</v>
      </c>
      <c r="AH292" s="42" t="n">
        <f aca="false">IFERROR(IF($C292="","",IF($D292="","",IFERROR(ROUND($D292*INDEX('🔖 배합비 참조'!$B$2:$CE$83,MATCH("대추채(국내산)",'🔖 배합비 참조'!$A$2:$A$83,0),MATCH($C292,'🔖 배합비 참조'!$B$1:$CE$1,0))/100,0),""))),"")</f>
        <v>0</v>
      </c>
      <c r="AI292" s="42" t="n">
        <f aca="false">IFERROR(IF($C292="","",IF($D292="","",IFERROR(ROUND($D292*INDEX('🔖 배합비 참조'!$B$2:$CE$83,MATCH("동부(미얀마산)",'🔖 배합비 참조'!$A$2:$A$83,0),MATCH($C292,'🔖 배합비 참조'!$B$1:$CE$1,0))/100,0),""))),"")</f>
        <v>0</v>
      </c>
      <c r="AJ292" s="42" t="n">
        <f aca="false">IFERROR(IF($C292="","",IF($D292="","",IFERROR(ROUND($D292*INDEX('🔖 배합비 참조'!$B$2:$CE$83,MATCH("두류가공품(백옥앙금)",'🔖 배합비 참조'!$A$2:$A$83,0),MATCH($C292,'🔖 배합비 참조'!$B$1:$CE$1,0))/100,0),""))),"")</f>
        <v>0</v>
      </c>
      <c r="AK292" s="42" t="n">
        <f aca="false">IFERROR(IF($C292="","",IF($D292="","",IFERROR(ROUND($D292*INDEX('🔖 배합비 참조'!$B$2:$CE$83,MATCH("두류가공품(콩고물)",'🔖 배합비 참조'!$A$2:$A$83,0),MATCH($C292,'🔖 배합비 참조'!$B$1:$CE$1,0))/100,0),""))),"")</f>
        <v>0</v>
      </c>
      <c r="AL292" s="42" t="n">
        <f aca="false">IFERROR(IF($C292="","",IF($D292="","",IFERROR(ROUND($D292*INDEX('🔖 배합비 참조'!$B$2:$CE$83,MATCH("두류가공품(통팥고물)",'🔖 배합비 참조'!$A$2:$A$83,0),MATCH($C292,'🔖 배합비 참조'!$B$1:$CE$1,0))/100,0),""))),"")</f>
        <v>0</v>
      </c>
      <c r="AM292" s="42" t="n">
        <f aca="false">IFERROR(IF($C292="","",IF($D292="","",IFERROR(ROUND($D292*INDEX('🔖 배합비 참조'!$B$2:$CE$83,MATCH("딸기레진",'🔖 배합비 참조'!$A$2:$A$83,0),MATCH($C292,'🔖 배합비 참조'!$B$1:$CE$1,0))/100,0),""))),"")</f>
        <v>0</v>
      </c>
      <c r="AN292" s="42" t="n">
        <f aca="false">IFERROR(IF($C292="","",IF($D292="","",IFERROR(ROUND($D292*INDEX('🔖 배합비 참조'!$B$2:$CE$83,MATCH("딸기분말(스트로우베리에이드(분말))",'🔖 배합비 참조'!$A$2:$A$83,0),MATCH($C292,'🔖 배합비 참조'!$B$1:$CE$1,0))/100,0),""))),"")</f>
        <v>0</v>
      </c>
      <c r="AO292" s="42" t="n">
        <f aca="false">IFERROR(IF($C292="","",IF($D292="","",IFERROR(ROUND($D292*INDEX('🔖 배합비 참조'!$B$2:$CE$83,MATCH("마스카포네치즈",'🔖 배합비 참조'!$A$2:$A$83,0),MATCH($C292,'🔖 배합비 참조'!$B$1:$CE$1,0))/100,0),""))),"")</f>
        <v>0</v>
      </c>
      <c r="AP292" s="42" t="n">
        <f aca="false">IFERROR(IF($C292="","",IF($D292="","",IFERROR(ROUND($D292*INDEX('🔖 배합비 참조'!$B$2:$CE$83,MATCH("마카다미아분태(호주산)",'🔖 배합비 참조'!$A$2:$A$83,0),MATCH($C292,'🔖 배합비 참조'!$B$1:$CE$1,0))/100,0),""))),"")</f>
        <v>0</v>
      </c>
      <c r="AQ292" s="42" t="n">
        <f aca="false">IFERROR(IF($C292="","",IF($D292="","",IFERROR(ROUND($D292*INDEX('🔖 배합비 참조'!$B$2:$CE$83,MATCH("멥쌀(국내산)",'🔖 배합비 참조'!$A$2:$A$83,0),MATCH($C292,'🔖 배합비 참조'!$B$1:$CE$1,0))/100,0),""))),"")</f>
        <v>22</v>
      </c>
      <c r="AR292" s="42" t="n">
        <f aca="false">IFERROR(IF($C292="","",IF($D292="","",IFERROR(ROUND($D292*INDEX('🔖 배합비 참조'!$B$2:$CE$83,MATCH("모시잎(국내산)",'🔖 배합비 참조'!$A$2:$A$83,0),MATCH($C292,'🔖 배합비 참조'!$B$1:$CE$1,0))/100,0),""))),"")</f>
        <v>0</v>
      </c>
      <c r="AS292" s="42" t="n">
        <f aca="false">IFERROR(IF($C292="","",IF($D292="","",IFERROR(ROUND($D292*INDEX('🔖 배합비 참조'!$B$2:$CE$83,MATCH("물엿(저당물엿)",'🔖 배합비 참조'!$A$2:$A$83,0),MATCH($C292,'🔖 배합비 참조'!$B$1:$CE$1,0))/100,0),""))),"")</f>
        <v>0</v>
      </c>
      <c r="AT292" s="42" t="n">
        <f aca="false">IFERROR(IF($C292="","",IF($D292="","",IFERROR(ROUND($D292*INDEX('🔖 배합비 참조'!$B$2:$CE$83,MATCH("밤다이스",'🔖 배합비 참조'!$A$2:$A$83,0),MATCH($C292,'🔖 배합비 참조'!$B$1:$CE$1,0))/100,0),""))),"")</f>
        <v>0</v>
      </c>
      <c r="AU292" s="42" t="n">
        <f aca="false">IFERROR(IF($C292="","",IF($D292="","",IFERROR(ROUND($D292*INDEX('🔖 배합비 참조'!$B$2:$CE$83,MATCH("변성전분(타피오카전분)",'🔖 배합비 참조'!$A$2:$A$83,0),MATCH($C292,'🔖 배합비 참조'!$B$1:$CE$1,0))/100,0),""))),"")</f>
        <v>0</v>
      </c>
      <c r="AV292" s="42" t="n">
        <f aca="false">IFERROR(IF($C292="","",IF($D292="","",IFERROR(ROUND($D292*INDEX('🔖 배합비 참조'!$B$2:$CE$83,MATCH("복음땅콩분태",'🔖 배합비 참조'!$A$2:$A$83,0),MATCH($C292,'🔖 배합비 참조'!$B$1:$CE$1,0))/100,0),""))),"")</f>
        <v>0</v>
      </c>
      <c r="AW292" s="42" t="n">
        <f aca="false">IFERROR(IF($C292="","",IF($D292="","",IFERROR(ROUND($D292*INDEX('🔖 배합비 참조'!$B$2:$CE$83,MATCH("사양벌꿀(국내산)",'🔖 배합비 참조'!$A$2:$A$83,0),MATCH($C292,'🔖 배합비 참조'!$B$1:$CE$1,0))/100,0),""))),"")</f>
        <v>0</v>
      </c>
      <c r="AX292" s="42" t="n">
        <f aca="false">IFERROR(IF($C292="","",IF($D292="","",IFERROR(ROUND($D292*INDEX('🔖 배합비 참조'!$B$2:$CE$83,MATCH("생크림",'🔖 배합비 참조'!$A$2:$A$83,0),MATCH($C292,'🔖 배합비 참조'!$B$1:$CE$1,0))/100,0),""))),"")</f>
        <v>0</v>
      </c>
      <c r="AY292" s="42" t="n">
        <f aca="false">IFERROR(IF($C292="","",IF($D292="","",IFERROR(ROUND($D292*INDEX('🔖 배합비 참조'!$B$2:$CE$83,MATCH("서양호박(국내산,뉴질랜드산)",'🔖 배합비 참조'!$A$2:$A$83,0),MATCH($C292,'🔖 배합비 참조'!$B$1:$CE$1,0))/100,0),""))),"")</f>
        <v>0</v>
      </c>
      <c r="AZ292" s="42" t="n">
        <f aca="false">IFERROR(IF($C292="","",IF($D292="","",IFERROR(ROUND($D292*INDEX('🔖 배합비 참조'!$B$2:$CE$83,MATCH("설탕",'🔖 배합비 참조'!$A$2:$A$83,0),MATCH($C292,'🔖 배합비 참조'!$B$1:$CE$1,0))/100,0),""))),"")</f>
        <v>209</v>
      </c>
      <c r="BA292" s="42" t="n">
        <f aca="false">IFERROR(IF($C292="","",IF($D292="","",IFERROR(ROUND($D292*INDEX('🔖 배합비 참조'!$B$2:$CE$83,MATCH("스트로우베리 에이드 후레쉬",'🔖 배합비 참조'!$A$2:$A$83,0),MATCH($C292,'🔖 배합비 참조'!$B$1:$CE$1,0))/100,0),""))),"")</f>
        <v>0</v>
      </c>
      <c r="BB292" s="42" t="n">
        <f aca="false">IFERROR(IF($C292="","",IF($D292="","",IFERROR(ROUND($D292*INDEX('🔖 배합비 참조'!$B$2:$CE$83,MATCH("식물성기름혼합제제(분홍)",'🔖 배합비 참조'!$A$2:$A$83,0),MATCH($C292,'🔖 배합비 참조'!$B$1:$CE$1,0))/100,0),""))),"")</f>
        <v>0</v>
      </c>
      <c r="BC292" s="42" t="n">
        <f aca="false">IFERROR(IF($C292="","",IF($D292="","",IFERROR(ROUND($D292*INDEX('🔖 배합비 참조'!$B$2:$CE$83,MATCH("식물성기름혼합제제(초록)",'🔖 배합비 참조'!$A$2:$A$83,0),MATCH($C292,'🔖 배합비 참조'!$B$1:$CE$1,0))/100,0),""))),"")</f>
        <v>0</v>
      </c>
      <c r="BD292" s="42" t="n">
        <f aca="false">IFERROR(IF($C292="","",IF($D292="","",IFERROR(ROUND($D292*INDEX('🔖 배합비 참조'!$B$2:$CE$83,MATCH("식물성기름혼합제제(황색)",'🔖 배합비 참조'!$A$2:$A$83,0),MATCH($C292,'🔖 배합비 참조'!$B$1:$CE$1,0))/100,0),""))),"")</f>
        <v>0</v>
      </c>
      <c r="BE292" s="42" t="n">
        <f aca="false">IFERROR(IF($C292="","",IF($D292="","",IFERROR(ROUND($D292*INDEX('🔖 배합비 참조'!$B$2:$CE$83,MATCH("쑥가루(국내산)",'🔖 배합비 참조'!$A$2:$A$83,0),MATCH($C292,'🔖 배합비 참조'!$B$1:$CE$1,0))/100,0),""))),"")</f>
        <v>0</v>
      </c>
      <c r="BF292" s="42" t="n">
        <f aca="false">IFERROR(IF($C292="","",IF($D292="","",IFERROR(ROUND($D292*INDEX('🔖 배합비 참조'!$B$2:$CE$83,MATCH("아몬드슬라이스",'🔖 배합비 참조'!$A$2:$A$83,0),MATCH($C292,'🔖 배합비 참조'!$B$1:$CE$1,0))/100,0),""))),"")</f>
        <v>0</v>
      </c>
      <c r="BG292" s="42" t="n">
        <f aca="false">IFERROR(IF($C292="","",IF($D292="","",IFERROR(ROUND($D292*INDEX('🔖 배합비 참조'!$B$2:$CE$83,MATCH("알룰로오스(국내산)",'🔖 배합비 참조'!$A$2:$A$83,0),MATCH($C292,'🔖 배합비 참조'!$B$1:$CE$1,0))/100,0),""))),"")</f>
        <v>0</v>
      </c>
      <c r="BH292" s="42" t="n">
        <f aca="false">IFERROR(IF($C292="","",IF($D292="","",IFERROR(ROUND($D292*INDEX('🔖 배합비 참조'!$B$2:$CE$83,MATCH("연유",'🔖 배합비 참조'!$A$2:$A$83,0),MATCH($C292,'🔖 배합비 참조'!$B$1:$CE$1,0))/100,0),""))),"")</f>
        <v>0</v>
      </c>
      <c r="BI292" s="42" t="n">
        <f aca="false">IFERROR(IF($C292="","",IF($D292="","",IFERROR(ROUND($D292*INDEX('🔖 배합비 참조'!$B$2:$CE$83,MATCH("옥수수전분",'🔖 배합비 참조'!$A$2:$A$83,0),MATCH($C292,'🔖 배합비 참조'!$B$1:$CE$1,0))/100,0),""))),"")</f>
        <v>0</v>
      </c>
      <c r="BJ292" s="42" t="n">
        <f aca="false">IFERROR(IF($C292="","",IF($D292="","",IFERROR(ROUND($D292*INDEX('🔖 배합비 참조'!$B$2:$CE$83,MATCH("완두배기",'🔖 배합비 참조'!$A$2:$A$83,0),MATCH($C292,'🔖 배합비 참조'!$B$1:$CE$1,0))/100,0),""))),"")</f>
        <v>0</v>
      </c>
      <c r="BK292" s="42" t="n">
        <f aca="false">IFERROR(IF($C292="","",IF($D292="","",IFERROR(ROUND($D292*INDEX('🔖 배합비 참조'!$B$2:$CE$83,MATCH("우유(국내산)",'🔖 배합비 참조'!$A$2:$A$83,0),MATCH($C292,'🔖 배합비 참조'!$B$1:$CE$1,0))/100,0),""))),"")</f>
        <v>0</v>
      </c>
      <c r="BL292" s="42" t="n">
        <f aca="false">IFERROR(IF($C292="","",IF($D292="","",IFERROR(ROUND($D292*INDEX('🔖 배합비 참조'!$B$2:$CE$83,MATCH("자색고구마가루(중국산)",'🔖 배합비 참조'!$A$2:$A$83,0),MATCH($C292,'🔖 배합비 참조'!$B$1:$CE$1,0))/100,0),""))),"")</f>
        <v>0</v>
      </c>
      <c r="BM292" s="42" t="n">
        <f aca="false">IFERROR(IF($C292="","",IF($D292="","",IFERROR(ROUND($D292*INDEX('🔖 배합비 참조'!$B$2:$CE$83,MATCH("자연치즈(체다치즈)",'🔖 배합비 참조'!$A$2:$A$83,0),MATCH($C292,'🔖 배합비 참조'!$B$1:$CE$1,0))/100,0),""))),"")</f>
        <v>0</v>
      </c>
      <c r="BN292" s="42" t="n">
        <f aca="false">IFERROR(IF($C292="","",IF($D292="","",IFERROR(ROUND($D292*INDEX('🔖 배합비 참조'!$B$2:$CE$83,MATCH("정제수",'🔖 배합비 참조'!$A$2:$A$83,0),MATCH($C292,'🔖 배합비 참조'!$B$1:$CE$1,0))/100,0),""))),"")</f>
        <v>33</v>
      </c>
      <c r="BO292" s="42" t="n">
        <f aca="false">IFERROR(IF($C292="","",IF($D292="","",IFERROR(ROUND($D292*INDEX('🔖 배합비 참조'!$B$2:$CE$83,MATCH("젤라틴",'🔖 배합비 참조'!$A$2:$A$83,0),MATCH($C292,'🔖 배합비 참조'!$B$1:$CE$1,0))/100,0),""))),"")</f>
        <v>0</v>
      </c>
      <c r="BP292" s="42" t="n">
        <f aca="false">IFERROR(IF($C292="","",IF($D292="","",IFERROR(ROUND($D292*INDEX('🔖 배합비 참조'!$B$2:$CE$83,MATCH("조림류(백옥앙금)",'🔖 배합비 참조'!$A$2:$A$83,0),MATCH($C292,'🔖 배합비 참조'!$B$1:$CE$1,0))/100,0),""))),"")</f>
        <v>0</v>
      </c>
      <c r="BQ292" s="42" t="n">
        <f aca="false">IFERROR(IF($C292="","",IF($D292="","",IFERROR(ROUND($D292*INDEX('🔖 배합비 참조'!$B$2:$CE$83,MATCH("조림류(통팥앙금)",'🔖 배합비 참조'!$A$2:$A$83,0),MATCH($C292,'🔖 배합비 참조'!$B$1:$CE$1,0))/100,0),""))),"")</f>
        <v>198</v>
      </c>
      <c r="BR292" s="42" t="n">
        <f aca="false">IFERROR(IF($C292="","",IF($D292="","",IFERROR(ROUND($D292*INDEX('🔖 배합비 참조'!$B$2:$CE$83,MATCH("준초콜릿(외국산)",'🔖 배합비 참조'!$A$2:$A$83,0),MATCH($C292,'🔖 배합비 참조'!$B$1:$CE$1,0))/100,0),""))),"")</f>
        <v>0</v>
      </c>
      <c r="BS292" s="42" t="n">
        <f aca="false">IFERROR(IF($C292="","",IF($D292="","",IFERROR(ROUND($D292*INDEX('🔖 배합비 참조'!$B$2:$CE$83,MATCH("중력분",'🔖 배합비 참조'!$A$2:$A$83,0),MATCH($C292,'🔖 배합비 참조'!$B$1:$CE$1,0))/100,0),""))),"")</f>
        <v>22</v>
      </c>
      <c r="BT292" s="42" t="n">
        <f aca="false">IFERROR(IF($C292="","",IF($D292="","",IFERROR(ROUND($D292*INDEX('🔖 배합비 참조'!$B$2:$CE$83,MATCH("참깨(인도산,나이지리아산,탄자니아산,미얀마산)",'🔖 배합비 참조'!$A$2:$A$83,0),MATCH($C292,'🔖 배합비 참조'!$B$1:$CE$1,0))/100,0),""))),"")</f>
        <v>0</v>
      </c>
      <c r="BU292" s="42" t="n">
        <f aca="false">IFERROR(IF($C292="","",IF($D292="","",IFERROR(ROUND($D292*INDEX('🔖 배합비 참조'!$B$2:$CE$83,MATCH("찹쌀(국내산)",'🔖 배합비 참조'!$A$2:$A$83,0),MATCH($C292,'🔖 배합비 참조'!$B$1:$CE$1,0))/100,0),""))),"")</f>
        <v>473</v>
      </c>
      <c r="BV292" s="42" t="n">
        <f aca="false">IFERROR(IF($C292="","",IF($D292="","",IFERROR(ROUND($D292*INDEX('🔖 배합비 참조'!$B$2:$CE$83,MATCH("천일염",'🔖 배합비 참조'!$A$2:$A$83,0),MATCH($C292,'🔖 배합비 참조'!$B$1:$CE$1,0))/100,0),""))),"")</f>
        <v>22</v>
      </c>
      <c r="BW292" s="42" t="n">
        <f aca="false">IFERROR(IF($C292="","",IF($D292="","",IFERROR(ROUND($D292*INDEX('🔖 배합비 참조'!$B$2:$CE$83,MATCH("치즈 [크림치즈]",'🔖 배합비 참조'!$A$2:$A$83,0),MATCH($C292,'🔖 배합비 참조'!$B$1:$CE$1,0))/100,0),""))),"")</f>
        <v>0</v>
      </c>
      <c r="BX292" s="42" t="n">
        <f aca="false">IFERROR(IF($C292="","",IF($D292="","",IFERROR(ROUND($D292*INDEX('🔖 배합비 참조'!$B$2:$CE$83,MATCH("코코아가공품류(코코아분말)",'🔖 배합비 참조'!$A$2:$A$83,0),MATCH($C292,'🔖 배합비 참조'!$B$1:$CE$1,0))/100,0),""))),"")</f>
        <v>0</v>
      </c>
      <c r="BY292" s="42" t="n">
        <f aca="false">IFERROR(IF($C292="","",IF($D292="","",IFERROR(ROUND($D292*INDEX('🔖 배합비 참조'!$B$2:$CE$83,MATCH("콩기름(대두유)",'🔖 배합비 참조'!$A$2:$A$83,0),MATCH($C292,'🔖 배합비 참조'!$B$1:$CE$1,0))/100,0),""))),"")</f>
        <v>0</v>
      </c>
      <c r="BZ292" s="42" t="n">
        <f aca="false">IFERROR(IF($C292="","",IF($D292="","",IFERROR(ROUND($D292*INDEX('🔖 배합비 참조'!$B$2:$CE$83,MATCH("해바라기씨앗",'🔖 배합비 참조'!$A$2:$A$83,0),MATCH($C292,'🔖 배합비 참조'!$B$1:$CE$1,0))/100,0),""))),"")</f>
        <v>0</v>
      </c>
      <c r="CA292" s="42" t="n">
        <f aca="false">IFERROR(IF($C292="","",IF($D292="","",IFERROR(ROUND($D292*INDEX('🔖 배합비 참조'!$B$2:$CE$83,MATCH("현미(국내산)",'🔖 배합비 참조'!$A$2:$A$83,0),MATCH($C292,'🔖 배합비 참조'!$B$1:$CE$1,0))/100,0),""))),"")</f>
        <v>0</v>
      </c>
      <c r="CB292" s="42" t="n">
        <f aca="false">IFERROR(IF($C292="","",IF($D292="","",IFERROR(ROUND($D292*INDEX('🔖 배합비 참조'!$B$2:$CE$83,MATCH("현미멥쌀(국내산)",'🔖 배합비 참조'!$A$2:$A$83,0),MATCH($C292,'🔖 배합비 참조'!$B$1:$CE$1,0))/100,0),""))),"")</f>
        <v>0</v>
      </c>
      <c r="CC292" s="42" t="n">
        <f aca="false">IFERROR(IF($C292="","",IF($D292="","",IFERROR(ROUND($D292*INDEX('🔖 배합비 참조'!$B$2:$CE$83,MATCH("호두분태(미국산)",'🔖 배합비 참조'!$A$2:$A$83,0),MATCH($C292,'🔖 배합비 참조'!$B$1:$CE$1,0))/100,0),""))),"")</f>
        <v>0</v>
      </c>
      <c r="CD292" s="42" t="n">
        <f aca="false">IFERROR(IF($C292="","",IF($D292="","",IFERROR(ROUND($D292*INDEX('🔖 배합비 참조'!$B$2:$CE$83,MATCH("호박씨앗(외국산)",'🔖 배합비 참조'!$A$2:$A$83,0),MATCH($C292,'🔖 배합비 참조'!$B$1:$CE$1,0))/100,0),""))),"")</f>
        <v>0</v>
      </c>
      <c r="CE292" s="42" t="n">
        <f aca="false">IFERROR(IF($C292="","",IF($D292="","",IFERROR(ROUND($D292*INDEX('🔖 배합비 참조'!$B$2:$CE$83,MATCH("혼합제제(떡용에스텔)",'🔖 배합비 참조'!$A$2:$A$83,0),MATCH($C292,'🔖 배합비 참조'!$B$1:$CE$1,0))/100,0),""))),"")</f>
        <v>22</v>
      </c>
      <c r="CF292" s="42" t="n">
        <f aca="false">IFERROR(IF($C292="","",IF($D292="","",IFERROR(ROUND($D292*INDEX('🔖 배합비 참조'!$B$2:$CE$83,MATCH("혼합제제(스테비아)",'🔖 배합비 참조'!$A$2:$A$83,0),MATCH($C292,'🔖 배합비 참조'!$B$1:$CE$1,0))/100,0),""))),"")</f>
        <v>0</v>
      </c>
      <c r="CG292" s="42" t="n">
        <f aca="false">IFERROR(IF($C292="","",IF($D292="","",IFERROR(ROUND($D292*INDEX('🔖 배합비 참조'!$B$2:$CE$83,MATCH("화이트초콜릿",'🔖 배합비 참조'!$A$2:$A$83,0),MATCH($C292,'🔖 배합비 참조'!$B$1:$CE$1,0))/100,0),""))),"")</f>
        <v>0</v>
      </c>
      <c r="CH292" s="42" t="n">
        <f aca="false">IFERROR(IF($C292="","",IF($D292="","",IFERROR(ROUND($D292*INDEX('🔖 배합비 참조'!$B$2:$CE$83,MATCH("흑미찹쌀(국내산)",'🔖 배합비 참조'!$A$2:$A$83,0),MATCH($C292,'🔖 배합비 참조'!$B$1:$CE$1,0))/100,0),""))),"")</f>
        <v>0</v>
      </c>
      <c r="CI292" s="42" t="n">
        <f aca="false">IFERROR(IF($C292="","",IF($D292="","",IFERROR(ROUND($D292*INDEX('🔖 배합비 참조'!$B$2:$CE$83,MATCH("찰옥수수전분(미국산)",'🔖 배합비 참조'!$A$2:$A$83,0),MATCH($C292,'🔖 배합비 참조'!$B$1:$CE$1,0))/100,0),""))),"")</f>
        <v>99</v>
      </c>
      <c r="CJ292" s="40"/>
      <c r="CL292" s="43" t="s">
        <v>248</v>
      </c>
    </row>
    <row r="293" customFormat="false" ht="18" hidden="false" customHeight="true" outlineLevel="0" collapsed="false">
      <c r="A293" s="35" t="n">
        <v>289</v>
      </c>
      <c r="B293" s="36" t="n">
        <v>46100</v>
      </c>
      <c r="C293" s="37" t="s">
        <v>144</v>
      </c>
      <c r="D293" s="38" t="n">
        <v>70</v>
      </c>
      <c r="E293" s="13"/>
      <c r="F293" s="13"/>
      <c r="G293" s="39" t="n">
        <f aca="false">IFERROR(IF($C293="","",IF($D293="","",IFERROR(ROUND($D293*INDEX('🔖 배합비 참조'!$B$2:$CE$83,MATCH("간장",'🔖 배합비 참조'!$A$2:$A$83,0),MATCH($C293,'🔖 배합비 참조'!$B$1:$CE$1,0))/100,0),""))),"")</f>
        <v>0</v>
      </c>
      <c r="H293" s="39" t="n">
        <f aca="false">IFERROR(IF($C293="","",IF($D293="","",IFERROR(ROUND($D293*INDEX('🔖 배합비 참조'!$B$2:$CE$83,MATCH("강낭콩((울타리콩))",'🔖 배합비 참조'!$A$2:$A$83,0),MATCH($C293,'🔖 배합비 참조'!$B$1:$CE$1,0))/100,0),""))),"")</f>
        <v>0</v>
      </c>
      <c r="I293" s="39" t="n">
        <f aca="false">IFERROR(IF($C293="","",IF($D293="","",IFERROR(ROUND($D293*INDEX('🔖 배합비 참조'!$B$2:$CE$83,MATCH("건조딸기다이스(외국산)",'🔖 배합비 참조'!$A$2:$A$83,0),MATCH($C293,'🔖 배합비 참조'!$B$1:$CE$1,0))/100,0),""))),"")</f>
        <v>0</v>
      </c>
      <c r="J293" s="39" t="n">
        <f aca="false">IFERROR(IF($C293="","",IF($D293="","",IFERROR(ROUND($D293*INDEX('🔖 배합비 참조'!$B$2:$CE$83,MATCH("건포도",'🔖 배합비 참조'!$A$2:$A$83,0),MATCH($C293,'🔖 배합비 참조'!$B$1:$CE$1,0))/100,0),""))),"")</f>
        <v>0</v>
      </c>
      <c r="K293" s="39" t="n">
        <f aca="false">IFERROR(IF($C293="","",IF($D293="","",IFERROR(ROUND($D293*INDEX('🔖 배합비 참조'!$B$2:$CE$83,MATCH("건호박채(중국산)",'🔖 배합비 참조'!$A$2:$A$83,0),MATCH($C293,'🔖 배합비 참조'!$B$1:$CE$1,0))/100,0),""))),"")</f>
        <v>0</v>
      </c>
      <c r="L293" s="39" t="n">
        <f aca="false">IFERROR(IF($C293="","",IF($D293="","",IFERROR(ROUND($D293*INDEX('🔖 배합비 참조'!$B$2:$CE$83,MATCH("검정깨(흑임자)",'🔖 배합비 참조'!$A$2:$A$83,0),MATCH($C293,'🔖 배합비 참조'!$B$1:$CE$1,0))/100,0),""))),"")</f>
        <v>0</v>
      </c>
      <c r="M293" s="39" t="n">
        <f aca="false">IFERROR(IF($C293="","",IF($D293="","",IFERROR(ROUND($D293*INDEX('🔖 배합비 참조'!$B$2:$CE$83,MATCH("검정콩",'🔖 배합비 참조'!$A$2:$A$83,0),MATCH($C293,'🔖 배합비 참조'!$B$1:$CE$1,0))/100,0),""))),"")</f>
        <v>0</v>
      </c>
      <c r="N293" s="39" t="n">
        <f aca="false">IFERROR(IF($C293="","",IF($D293="","",IFERROR(ROUND($D293*INDEX('🔖 배합비 참조'!$B$2:$CE$83,MATCH("계피가루",'🔖 배합비 참조'!$A$2:$A$83,0),MATCH($C293,'🔖 배합비 참조'!$B$1:$CE$1,0))/100,0),""))),"")</f>
        <v>0</v>
      </c>
      <c r="O293" s="39" t="n">
        <f aca="false">IFERROR(IF($C293="","",IF($D293="","",IFERROR(ROUND($D293*INDEX('🔖 배합비 참조'!$B$2:$CE$83,MATCH("고구마가루",'🔖 배합비 참조'!$A$2:$A$83,0),MATCH($C293,'🔖 배합비 참조'!$B$1:$CE$1,0))/100,0),""))),"")</f>
        <v>0</v>
      </c>
      <c r="P293" s="39" t="n">
        <f aca="false">IFERROR(IF($C293="","",IF($D293="","",IFERROR(ROUND($D293*INDEX('🔖 배합비 참조'!$B$2:$CE$83,MATCH("고구마무스",'🔖 배합비 참조'!$A$2:$A$83,0),MATCH($C293,'🔖 배합비 참조'!$B$1:$CE$1,0))/100,0),""))),"")</f>
        <v>0</v>
      </c>
      <c r="Q293" s="39" t="n">
        <f aca="false">IFERROR(IF($C293="","",IF($D293="","",IFERROR(ROUND($D293*INDEX('🔖 배합비 참조'!$B$2:$CE$83,MATCH("고려엉겅퀴((곤드레)국내산)",'🔖 배합비 참조'!$A$2:$A$83,0),MATCH($C293,'🔖 배합비 참조'!$B$1:$CE$1,0))/100,0),""))),"")</f>
        <v>0</v>
      </c>
      <c r="R293" s="39" t="n">
        <f aca="false">IFERROR(IF($C293="","",IF($D293="","",IFERROR(ROUND($D293*INDEX('🔖 배합비 참조'!$B$2:$CE$83,MATCH("기타가공품(복분자가루)",'🔖 배합비 참조'!$A$2:$A$83,0),MATCH($C293,'🔖 배합비 참조'!$B$1:$CE$1,0))/100,0),""))),"")</f>
        <v>0</v>
      </c>
      <c r="S293" s="39" t="n">
        <f aca="false">IFERROR(IF($C293="","",IF($D293="","",IFERROR(ROUND($D293*INDEX('🔖 배합비 참조'!$B$2:$CE$83,MATCH("기타가공품(슈퍼소프트엠)",'🔖 배합비 참조'!$A$2:$A$83,0),MATCH($C293,'🔖 배합비 참조'!$B$1:$CE$1,0))/100,0),""))),"")</f>
        <v>0</v>
      </c>
      <c r="T293" s="39" t="n">
        <f aca="false">IFERROR(IF($C293="","",IF($D293="","",IFERROR(ROUND($D293*INDEX('🔖 배합비 참조'!$B$2:$CE$83,MATCH("기타가공품(파인소프트 E-티)",'🔖 배합비 참조'!$A$2:$A$83,0),MATCH($C293,'🔖 배합비 참조'!$B$1:$CE$1,0))/100,0),""))),"")</f>
        <v>0</v>
      </c>
      <c r="U293" s="39" t="n">
        <f aca="false">IFERROR(IF($C293="","",IF($D293="","",IFERROR(ROUND($D293*INDEX('🔖 배합비 참조'!$B$2:$CE$83,MATCH("기타가공품(프리미엄카스테라가루)",'🔖 배합비 참조'!$A$2:$A$83,0),MATCH($C293,'🔖 배합비 참조'!$B$1:$CE$1,0))/100,0),""))),"")</f>
        <v>0</v>
      </c>
      <c r="V293" s="39" t="n">
        <f aca="false">IFERROR(IF($C293="","",IF($D293="","",IFERROR(ROUND($D293*INDEX('🔖 배합비 참조'!$B$2:$CE$83,MATCH("기타가공품(흑임자가루)",'🔖 배합비 참조'!$A$2:$A$83,0),MATCH($C293,'🔖 배합비 참조'!$B$1:$CE$1,0))/100,0),""))),"")</f>
        <v>0</v>
      </c>
      <c r="W293" s="39" t="n">
        <f aca="false">IFERROR(IF($C293="","",IF($D293="","",IFERROR(ROUND($D293*INDEX('🔖 배합비 참조'!$B$2:$CE$83,MATCH("기타설탕(흑설탕)",'🔖 배합비 참조'!$A$2:$A$83,0),MATCH($C293,'🔖 배합비 참조'!$B$1:$CE$1,0))/100,0),""))),"")</f>
        <v>0</v>
      </c>
      <c r="X293" s="39" t="n">
        <f aca="false">IFERROR(IF($C293="","",IF($D293="","",IFERROR(ROUND($D293*INDEX('🔖 배합비 참조'!$B$2:$CE$83,MATCH("냉동쑥(국내산)",'🔖 배합비 참조'!$A$2:$A$83,0),MATCH($C293,'🔖 배합비 참조'!$B$1:$CE$1,0))/100,0),""))),"")</f>
        <v>0</v>
      </c>
      <c r="Y293" s="39" t="n">
        <f aca="false">IFERROR(IF($C293="","",IF($D293="","",IFERROR(ROUND($D293*INDEX('🔖 배합비 참조'!$B$2:$CE$83,MATCH("냉동증숙고구마(중국산)",'🔖 배합비 참조'!$A$2:$A$83,0),MATCH($C293,'🔖 배합비 참조'!$B$1:$CE$1,0))/100,0),""))),"")</f>
        <v>0</v>
      </c>
      <c r="Z293" s="39" t="n">
        <f aca="false">IFERROR(IF($C293="","",IF($D293="","",IFERROR(ROUND($D293*INDEX('🔖 배합비 참조'!$B$2:$CE$83,MATCH("녹차가루",'🔖 배합비 참조'!$A$2:$A$83,0),MATCH($C293,'🔖 배합비 참조'!$B$1:$CE$1,0))/100,0),""))),"")</f>
        <v>0</v>
      </c>
      <c r="AA293" s="39" t="n">
        <f aca="false">IFERROR(IF($C293="","",IF($D293="","",IFERROR(ROUND($D293*INDEX('🔖 배합비 참조'!$B$2:$CE$83,MATCH("다크초콜릿 컴파운드칩",'🔖 배합비 참조'!$A$2:$A$83,0),MATCH($C293,'🔖 배합비 참조'!$B$1:$CE$1,0))/100,0),""))),"")</f>
        <v>0</v>
      </c>
      <c r="AB293" s="39" t="n">
        <f aca="false">IFERROR(IF($C293="","",IF($D293="","",IFERROR(ROUND($D293*INDEX('🔖 배합비 참조'!$B$2:$CE$83,MATCH("단호박분말(중국산)",'🔖 배합비 참조'!$A$2:$A$83,0),MATCH($C293,'🔖 배합비 참조'!$B$1:$CE$1,0))/100,0),""))),"")</f>
        <v>0</v>
      </c>
      <c r="AC293" s="39" t="n">
        <f aca="false">IFERROR(IF($C293="","",IF($D293="","",IFERROR(ROUND($D293*INDEX('🔖 배합비 참조'!$B$2:$CE$83,MATCH("당류가공품(단호박농축액)",'🔖 배합비 참조'!$A$2:$A$83,0),MATCH($C293,'🔖 배합비 참조'!$B$1:$CE$1,0))/100,0),""))),"")</f>
        <v>0</v>
      </c>
      <c r="AD293" s="39" t="n">
        <f aca="false">IFERROR(IF($C293="","",IF($D293="","",IFERROR(ROUND($D293*INDEX('🔖 배합비 참조'!$B$2:$CE$83,MATCH("당류가공품(알룰로스,에리스리톨,스테비올배당체혼합)",'🔖 배합비 참조'!$A$2:$A$83,0),MATCH($C293,'🔖 배합비 참조'!$B$1:$CE$1,0))/100,0),""))),"")</f>
        <v>0</v>
      </c>
      <c r="AE293" s="39" t="n">
        <f aca="false">IFERROR(IF($C293="","",IF($D293="","",IFERROR(ROUND($D293*INDEX('🔖 배합비 참조'!$B$2:$CE$83,MATCH("당류가공품(알룰로스제로파우더)",'🔖 배합비 참조'!$A$2:$A$83,0),MATCH($C293,'🔖 배합비 참조'!$B$1:$CE$1,0))/100,0),""))),"")</f>
        <v>0</v>
      </c>
      <c r="AF293" s="39" t="n">
        <f aca="false">IFERROR(IF($C293="","",IF($D293="","",IFERROR(ROUND($D293*INDEX('🔖 배합비 참조'!$B$2:$CE$83,MATCH("당절임(완두배기)",'🔖 배합비 참조'!$A$2:$A$83,0),MATCH($C293,'🔖 배합비 참조'!$B$1:$CE$1,0))/100,0),""))),"")</f>
        <v>0</v>
      </c>
      <c r="AG293" s="39" t="n">
        <f aca="false">IFERROR(IF($C293="","",IF($D293="","",IFERROR(ROUND($D293*INDEX('🔖 배합비 참조'!$B$2:$CE$83,MATCH("대추농축액",'🔖 배합비 참조'!$A$2:$A$83,0),MATCH($C293,'🔖 배합비 참조'!$B$1:$CE$1,0))/100,0),""))),"")</f>
        <v>0</v>
      </c>
      <c r="AH293" s="39" t="n">
        <f aca="false">IFERROR(IF($C293="","",IF($D293="","",IFERROR(ROUND($D293*INDEX('🔖 배합비 참조'!$B$2:$CE$83,MATCH("대추채(국내산)",'🔖 배합비 참조'!$A$2:$A$83,0),MATCH($C293,'🔖 배합비 참조'!$B$1:$CE$1,0))/100,0),""))),"")</f>
        <v>0</v>
      </c>
      <c r="AI293" s="39" t="n">
        <f aca="false">IFERROR(IF($C293="","",IF($D293="","",IFERROR(ROUND($D293*INDEX('🔖 배합비 참조'!$B$2:$CE$83,MATCH("동부(미얀마산)",'🔖 배합비 참조'!$A$2:$A$83,0),MATCH($C293,'🔖 배합비 참조'!$B$1:$CE$1,0))/100,0),""))),"")</f>
        <v>0</v>
      </c>
      <c r="AJ293" s="39" t="n">
        <f aca="false">IFERROR(IF($C293="","",IF($D293="","",IFERROR(ROUND($D293*INDEX('🔖 배합비 참조'!$B$2:$CE$83,MATCH("두류가공품(백옥앙금)",'🔖 배합비 참조'!$A$2:$A$83,0),MATCH($C293,'🔖 배합비 참조'!$B$1:$CE$1,0))/100,0),""))),"")</f>
        <v>0</v>
      </c>
      <c r="AK293" s="39" t="n">
        <f aca="false">IFERROR(IF($C293="","",IF($D293="","",IFERROR(ROUND($D293*INDEX('🔖 배합비 참조'!$B$2:$CE$83,MATCH("두류가공품(콩고물)",'🔖 배합비 참조'!$A$2:$A$83,0),MATCH($C293,'🔖 배합비 참조'!$B$1:$CE$1,0))/100,0),""))),"")</f>
        <v>2</v>
      </c>
      <c r="AL293" s="39" t="n">
        <f aca="false">IFERROR(IF($C293="","",IF($D293="","",IFERROR(ROUND($D293*INDEX('🔖 배합비 참조'!$B$2:$CE$83,MATCH("두류가공품(통팥고물)",'🔖 배합비 참조'!$A$2:$A$83,0),MATCH($C293,'🔖 배합비 참조'!$B$1:$CE$1,0))/100,0),""))),"")</f>
        <v>0</v>
      </c>
      <c r="AM293" s="39" t="n">
        <f aca="false">IFERROR(IF($C293="","",IF($D293="","",IFERROR(ROUND($D293*INDEX('🔖 배합비 참조'!$B$2:$CE$83,MATCH("딸기레진",'🔖 배합비 참조'!$A$2:$A$83,0),MATCH($C293,'🔖 배합비 참조'!$B$1:$CE$1,0))/100,0),""))),"")</f>
        <v>0</v>
      </c>
      <c r="AN293" s="39" t="n">
        <f aca="false">IFERROR(IF($C293="","",IF($D293="","",IFERROR(ROUND($D293*INDEX('🔖 배합비 참조'!$B$2:$CE$83,MATCH("딸기분말(스트로우베리에이드(분말))",'🔖 배합비 참조'!$A$2:$A$83,0),MATCH($C293,'🔖 배합비 참조'!$B$1:$CE$1,0))/100,0),""))),"")</f>
        <v>0</v>
      </c>
      <c r="AO293" s="39" t="n">
        <f aca="false">IFERROR(IF($C293="","",IF($D293="","",IFERROR(ROUND($D293*INDEX('🔖 배합비 참조'!$B$2:$CE$83,MATCH("마스카포네치즈",'🔖 배합비 참조'!$A$2:$A$83,0),MATCH($C293,'🔖 배합비 참조'!$B$1:$CE$1,0))/100,0),""))),"")</f>
        <v>0</v>
      </c>
      <c r="AP293" s="39" t="n">
        <f aca="false">IFERROR(IF($C293="","",IF($D293="","",IFERROR(ROUND($D293*INDEX('🔖 배합비 참조'!$B$2:$CE$83,MATCH("마카다미아분태(호주산)",'🔖 배합비 참조'!$A$2:$A$83,0),MATCH($C293,'🔖 배합비 참조'!$B$1:$CE$1,0))/100,0),""))),"")</f>
        <v>0</v>
      </c>
      <c r="AQ293" s="39" t="n">
        <f aca="false">IFERROR(IF($C293="","",IF($D293="","",IFERROR(ROUND($D293*INDEX('🔖 배합비 참조'!$B$2:$CE$83,MATCH("멥쌀(국내산)",'🔖 배합비 참조'!$A$2:$A$83,0),MATCH($C293,'🔖 배합비 참조'!$B$1:$CE$1,0))/100,0),""))),"")</f>
        <v>0</v>
      </c>
      <c r="AR293" s="39" t="n">
        <f aca="false">IFERROR(IF($C293="","",IF($D293="","",IFERROR(ROUND($D293*INDEX('🔖 배합비 참조'!$B$2:$CE$83,MATCH("모시잎(국내산)",'🔖 배합비 참조'!$A$2:$A$83,0),MATCH($C293,'🔖 배합비 참조'!$B$1:$CE$1,0))/100,0),""))),"")</f>
        <v>0</v>
      </c>
      <c r="AS293" s="39" t="n">
        <f aca="false">IFERROR(IF($C293="","",IF($D293="","",IFERROR(ROUND($D293*INDEX('🔖 배합비 참조'!$B$2:$CE$83,MATCH("물엿(저당물엿)",'🔖 배합비 참조'!$A$2:$A$83,0),MATCH($C293,'🔖 배합비 참조'!$B$1:$CE$1,0))/100,0),""))),"")</f>
        <v>3</v>
      </c>
      <c r="AT293" s="39" t="n">
        <f aca="false">IFERROR(IF($C293="","",IF($D293="","",IFERROR(ROUND($D293*INDEX('🔖 배합비 참조'!$B$2:$CE$83,MATCH("밤다이스",'🔖 배합비 참조'!$A$2:$A$83,0),MATCH($C293,'🔖 배합비 참조'!$B$1:$CE$1,0))/100,0),""))),"")</f>
        <v>0</v>
      </c>
      <c r="AU293" s="39" t="n">
        <f aca="false">IFERROR(IF($C293="","",IF($D293="","",IFERROR(ROUND($D293*INDEX('🔖 배합비 참조'!$B$2:$CE$83,MATCH("변성전분(타피오카전분)",'🔖 배합비 참조'!$A$2:$A$83,0),MATCH($C293,'🔖 배합비 참조'!$B$1:$CE$1,0))/100,0),""))),"")</f>
        <v>0</v>
      </c>
      <c r="AV293" s="39" t="n">
        <f aca="false">IFERROR(IF($C293="","",IF($D293="","",IFERROR(ROUND($D293*INDEX('🔖 배합비 참조'!$B$2:$CE$83,MATCH("복음땅콩분태",'🔖 배합비 참조'!$A$2:$A$83,0),MATCH($C293,'🔖 배합비 참조'!$B$1:$CE$1,0))/100,0),""))),"")</f>
        <v>0</v>
      </c>
      <c r="AW293" s="39" t="n">
        <f aca="false">IFERROR(IF($C293="","",IF($D293="","",IFERROR(ROUND($D293*INDEX('🔖 배합비 참조'!$B$2:$CE$83,MATCH("사양벌꿀(국내산)",'🔖 배합비 참조'!$A$2:$A$83,0),MATCH($C293,'🔖 배합비 참조'!$B$1:$CE$1,0))/100,0),""))),"")</f>
        <v>0</v>
      </c>
      <c r="AX293" s="39" t="n">
        <f aca="false">IFERROR(IF($C293="","",IF($D293="","",IFERROR(ROUND($D293*INDEX('🔖 배합비 참조'!$B$2:$CE$83,MATCH("생크림",'🔖 배합비 참조'!$A$2:$A$83,0),MATCH($C293,'🔖 배합비 참조'!$B$1:$CE$1,0))/100,0),""))),"")</f>
        <v>0</v>
      </c>
      <c r="AY293" s="39" t="n">
        <f aca="false">IFERROR(IF($C293="","",IF($D293="","",IFERROR(ROUND($D293*INDEX('🔖 배합비 참조'!$B$2:$CE$83,MATCH("서양호박(국내산,뉴질랜드산)",'🔖 배합비 참조'!$A$2:$A$83,0),MATCH($C293,'🔖 배합비 참조'!$B$1:$CE$1,0))/100,0),""))),"")</f>
        <v>0</v>
      </c>
      <c r="AZ293" s="39" t="n">
        <f aca="false">IFERROR(IF($C293="","",IF($D293="","",IFERROR(ROUND($D293*INDEX('🔖 배합비 참조'!$B$2:$CE$83,MATCH("설탕",'🔖 배합비 참조'!$A$2:$A$83,0),MATCH($C293,'🔖 배합비 참조'!$B$1:$CE$1,0))/100,0),""))),"")</f>
        <v>3</v>
      </c>
      <c r="BA293" s="39" t="n">
        <f aca="false">IFERROR(IF($C293="","",IF($D293="","",IFERROR(ROUND($D293*INDEX('🔖 배합비 참조'!$B$2:$CE$83,MATCH("스트로우베리 에이드 후레쉬",'🔖 배합비 참조'!$A$2:$A$83,0),MATCH($C293,'🔖 배합비 참조'!$B$1:$CE$1,0))/100,0),""))),"")</f>
        <v>0</v>
      </c>
      <c r="BB293" s="39" t="n">
        <f aca="false">IFERROR(IF($C293="","",IF($D293="","",IFERROR(ROUND($D293*INDEX('🔖 배합비 참조'!$B$2:$CE$83,MATCH("식물성기름혼합제제(분홍)",'🔖 배합비 참조'!$A$2:$A$83,0),MATCH($C293,'🔖 배합비 참조'!$B$1:$CE$1,0))/100,0),""))),"")</f>
        <v>0</v>
      </c>
      <c r="BC293" s="39" t="n">
        <f aca="false">IFERROR(IF($C293="","",IF($D293="","",IFERROR(ROUND($D293*INDEX('🔖 배합비 참조'!$B$2:$CE$83,MATCH("식물성기름혼합제제(초록)",'🔖 배합비 참조'!$A$2:$A$83,0),MATCH($C293,'🔖 배합비 참조'!$B$1:$CE$1,0))/100,0),""))),"")</f>
        <v>0</v>
      </c>
      <c r="BD293" s="39" t="n">
        <f aca="false">IFERROR(IF($C293="","",IF($D293="","",IFERROR(ROUND($D293*INDEX('🔖 배합비 참조'!$B$2:$CE$83,MATCH("식물성기름혼합제제(황색)",'🔖 배합비 참조'!$A$2:$A$83,0),MATCH($C293,'🔖 배합비 참조'!$B$1:$CE$1,0))/100,0),""))),"")</f>
        <v>0</v>
      </c>
      <c r="BE293" s="39" t="n">
        <f aca="false">IFERROR(IF($C293="","",IF($D293="","",IFERROR(ROUND($D293*INDEX('🔖 배합비 참조'!$B$2:$CE$83,MATCH("쑥가루(국내산)",'🔖 배합비 참조'!$A$2:$A$83,0),MATCH($C293,'🔖 배합비 참조'!$B$1:$CE$1,0))/100,0),""))),"")</f>
        <v>0</v>
      </c>
      <c r="BF293" s="39" t="n">
        <f aca="false">IFERROR(IF($C293="","",IF($D293="","",IFERROR(ROUND($D293*INDEX('🔖 배합비 참조'!$B$2:$CE$83,MATCH("아몬드슬라이스",'🔖 배합비 참조'!$A$2:$A$83,0),MATCH($C293,'🔖 배합비 참조'!$B$1:$CE$1,0))/100,0),""))),"")</f>
        <v>0</v>
      </c>
      <c r="BG293" s="39" t="n">
        <f aca="false">IFERROR(IF($C293="","",IF($D293="","",IFERROR(ROUND($D293*INDEX('🔖 배합비 참조'!$B$2:$CE$83,MATCH("알룰로오스(국내산)",'🔖 배합비 참조'!$A$2:$A$83,0),MATCH($C293,'🔖 배합비 참조'!$B$1:$CE$1,0))/100,0),""))),"")</f>
        <v>0</v>
      </c>
      <c r="BH293" s="39" t="n">
        <f aca="false">IFERROR(IF($C293="","",IF($D293="","",IFERROR(ROUND($D293*INDEX('🔖 배합비 참조'!$B$2:$CE$83,MATCH("연유",'🔖 배합비 참조'!$A$2:$A$83,0),MATCH($C293,'🔖 배합비 참조'!$B$1:$CE$1,0))/100,0),""))),"")</f>
        <v>0</v>
      </c>
      <c r="BI293" s="39" t="n">
        <f aca="false">IFERROR(IF($C293="","",IF($D293="","",IFERROR(ROUND($D293*INDEX('🔖 배합비 참조'!$B$2:$CE$83,MATCH("옥수수전분",'🔖 배합비 참조'!$A$2:$A$83,0),MATCH($C293,'🔖 배합비 참조'!$B$1:$CE$1,0))/100,0),""))),"")</f>
        <v>0</v>
      </c>
      <c r="BJ293" s="39" t="n">
        <f aca="false">IFERROR(IF($C293="","",IF($D293="","",IFERROR(ROUND($D293*INDEX('🔖 배합비 참조'!$B$2:$CE$83,MATCH("완두배기",'🔖 배합비 참조'!$A$2:$A$83,0),MATCH($C293,'🔖 배합비 참조'!$B$1:$CE$1,0))/100,0),""))),"")</f>
        <v>0</v>
      </c>
      <c r="BK293" s="39" t="n">
        <f aca="false">IFERROR(IF($C293="","",IF($D293="","",IFERROR(ROUND($D293*INDEX('🔖 배합비 참조'!$B$2:$CE$83,MATCH("우유(국내산)",'🔖 배합비 참조'!$A$2:$A$83,0),MATCH($C293,'🔖 배합비 참조'!$B$1:$CE$1,0))/100,0),""))),"")</f>
        <v>0</v>
      </c>
      <c r="BL293" s="39" t="n">
        <f aca="false">IFERROR(IF($C293="","",IF($D293="","",IFERROR(ROUND($D293*INDEX('🔖 배합비 참조'!$B$2:$CE$83,MATCH("자색고구마가루(중국산)",'🔖 배합비 참조'!$A$2:$A$83,0),MATCH($C293,'🔖 배합비 참조'!$B$1:$CE$1,0))/100,0),""))),"")</f>
        <v>0</v>
      </c>
      <c r="BM293" s="39" t="n">
        <f aca="false">IFERROR(IF($C293="","",IF($D293="","",IFERROR(ROUND($D293*INDEX('🔖 배합비 참조'!$B$2:$CE$83,MATCH("자연치즈(체다치즈)",'🔖 배합비 참조'!$A$2:$A$83,0),MATCH($C293,'🔖 배합비 참조'!$B$1:$CE$1,0))/100,0),""))),"")</f>
        <v>0</v>
      </c>
      <c r="BN293" s="39" t="n">
        <f aca="false">IFERROR(IF($C293="","",IF($D293="","",IFERROR(ROUND($D293*INDEX('🔖 배합비 참조'!$B$2:$CE$83,MATCH("정제수",'🔖 배합비 참조'!$A$2:$A$83,0),MATCH($C293,'🔖 배합비 참조'!$B$1:$CE$1,0))/100,0),""))),"")</f>
        <v>27</v>
      </c>
      <c r="BO293" s="39" t="n">
        <f aca="false">IFERROR(IF($C293="","",IF($D293="","",IFERROR(ROUND($D293*INDEX('🔖 배합비 참조'!$B$2:$CE$83,MATCH("젤라틴",'🔖 배합비 참조'!$A$2:$A$83,0),MATCH($C293,'🔖 배합비 참조'!$B$1:$CE$1,0))/100,0),""))),"")</f>
        <v>0</v>
      </c>
      <c r="BP293" s="39" t="n">
        <f aca="false">IFERROR(IF($C293="","",IF($D293="","",IFERROR(ROUND($D293*INDEX('🔖 배합비 참조'!$B$2:$CE$83,MATCH("조림류(백옥앙금)",'🔖 배합비 참조'!$A$2:$A$83,0),MATCH($C293,'🔖 배합비 참조'!$B$1:$CE$1,0))/100,0),""))),"")</f>
        <v>0</v>
      </c>
      <c r="BQ293" s="39" t="n">
        <f aca="false">IFERROR(IF($C293="","",IF($D293="","",IFERROR(ROUND($D293*INDEX('🔖 배합비 참조'!$B$2:$CE$83,MATCH("조림류(통팥앙금)",'🔖 배합비 참조'!$A$2:$A$83,0),MATCH($C293,'🔖 배합비 참조'!$B$1:$CE$1,0))/100,0),""))),"")</f>
        <v>0</v>
      </c>
      <c r="BR293" s="39" t="n">
        <f aca="false">IFERROR(IF($C293="","",IF($D293="","",IFERROR(ROUND($D293*INDEX('🔖 배합비 참조'!$B$2:$CE$83,MATCH("준초콜릿(외국산)",'🔖 배합비 참조'!$A$2:$A$83,0),MATCH($C293,'🔖 배합비 참조'!$B$1:$CE$1,0))/100,0),""))),"")</f>
        <v>0</v>
      </c>
      <c r="BS293" s="39" t="n">
        <f aca="false">IFERROR(IF($C293="","",IF($D293="","",IFERROR(ROUND($D293*INDEX('🔖 배합비 참조'!$B$2:$CE$83,MATCH("중력분",'🔖 배합비 참조'!$A$2:$A$83,0),MATCH($C293,'🔖 배합비 참조'!$B$1:$CE$1,0))/100,0),""))),"")</f>
        <v>1</v>
      </c>
      <c r="BT293" s="39" t="n">
        <f aca="false">IFERROR(IF($C293="","",IF($D293="","",IFERROR(ROUND($D293*INDEX('🔖 배합비 참조'!$B$2:$CE$83,MATCH("참깨(인도산,나이지리아산,탄자니아산,미얀마산)",'🔖 배합비 참조'!$A$2:$A$83,0),MATCH($C293,'🔖 배합비 참조'!$B$1:$CE$1,0))/100,0),""))),"")</f>
        <v>0</v>
      </c>
      <c r="BU293" s="39" t="n">
        <f aca="false">IFERROR(IF($C293="","",IF($D293="","",IFERROR(ROUND($D293*INDEX('🔖 배합비 참조'!$B$2:$CE$83,MATCH("찹쌀(국내산)",'🔖 배합비 참조'!$A$2:$A$83,0),MATCH($C293,'🔖 배합비 참조'!$B$1:$CE$1,0))/100,0),""))),"")</f>
        <v>33</v>
      </c>
      <c r="BV293" s="39" t="n">
        <f aca="false">IFERROR(IF($C293="","",IF($D293="","",IFERROR(ROUND($D293*INDEX('🔖 배합비 참조'!$B$2:$CE$83,MATCH("천일염",'🔖 배합비 참조'!$A$2:$A$83,0),MATCH($C293,'🔖 배합비 참조'!$B$1:$CE$1,0))/100,0),""))),"")</f>
        <v>1</v>
      </c>
      <c r="BW293" s="39" t="n">
        <f aca="false">IFERROR(IF($C293="","",IF($D293="","",IFERROR(ROUND($D293*INDEX('🔖 배합비 참조'!$B$2:$CE$83,MATCH("치즈 [크림치즈]",'🔖 배합비 참조'!$A$2:$A$83,0),MATCH($C293,'🔖 배합비 참조'!$B$1:$CE$1,0))/100,0),""))),"")</f>
        <v>0</v>
      </c>
      <c r="BX293" s="39" t="n">
        <f aca="false">IFERROR(IF($C293="","",IF($D293="","",IFERROR(ROUND($D293*INDEX('🔖 배합비 참조'!$B$2:$CE$83,MATCH("코코아가공품류(코코아분말)",'🔖 배합비 참조'!$A$2:$A$83,0),MATCH($C293,'🔖 배합비 참조'!$B$1:$CE$1,0))/100,0),""))),"")</f>
        <v>0</v>
      </c>
      <c r="BY293" s="39" t="n">
        <f aca="false">IFERROR(IF($C293="","",IF($D293="","",IFERROR(ROUND($D293*INDEX('🔖 배합비 참조'!$B$2:$CE$83,MATCH("콩기름(대두유)",'🔖 배합비 참조'!$A$2:$A$83,0),MATCH($C293,'🔖 배합비 참조'!$B$1:$CE$1,0))/100,0),""))),"")</f>
        <v>0</v>
      </c>
      <c r="BZ293" s="39" t="n">
        <f aca="false">IFERROR(IF($C293="","",IF($D293="","",IFERROR(ROUND($D293*INDEX('🔖 배합비 참조'!$B$2:$CE$83,MATCH("해바라기씨앗",'🔖 배합비 참조'!$A$2:$A$83,0),MATCH($C293,'🔖 배합비 참조'!$B$1:$CE$1,0))/100,0),""))),"")</f>
        <v>0</v>
      </c>
      <c r="CA293" s="39" t="n">
        <f aca="false">IFERROR(IF($C293="","",IF($D293="","",IFERROR(ROUND($D293*INDEX('🔖 배합비 참조'!$B$2:$CE$83,MATCH("현미(국내산)",'🔖 배합비 참조'!$A$2:$A$83,0),MATCH($C293,'🔖 배합비 참조'!$B$1:$CE$1,0))/100,0),""))),"")</f>
        <v>0</v>
      </c>
      <c r="CB293" s="39" t="n">
        <f aca="false">IFERROR(IF($C293="","",IF($D293="","",IFERROR(ROUND($D293*INDEX('🔖 배합비 참조'!$B$2:$CE$83,MATCH("현미멥쌀(국내산)",'🔖 배합비 참조'!$A$2:$A$83,0),MATCH($C293,'🔖 배합비 참조'!$B$1:$CE$1,0))/100,0),""))),"")</f>
        <v>0</v>
      </c>
      <c r="CC293" s="39" t="n">
        <f aca="false">IFERROR(IF($C293="","",IF($D293="","",IFERROR(ROUND($D293*INDEX('🔖 배합비 참조'!$B$2:$CE$83,MATCH("호두분태(미국산)",'🔖 배합비 참조'!$A$2:$A$83,0),MATCH($C293,'🔖 배합비 참조'!$B$1:$CE$1,0))/100,0),""))),"")</f>
        <v>0</v>
      </c>
      <c r="CD293" s="39" t="n">
        <f aca="false">IFERROR(IF($C293="","",IF($D293="","",IFERROR(ROUND($D293*INDEX('🔖 배합비 참조'!$B$2:$CE$83,MATCH("호박씨앗(외국산)",'🔖 배합비 참조'!$A$2:$A$83,0),MATCH($C293,'🔖 배합비 참조'!$B$1:$CE$1,0))/100,0),""))),"")</f>
        <v>0</v>
      </c>
      <c r="CE293" s="39" t="n">
        <f aca="false">IFERROR(IF($C293="","",IF($D293="","",IFERROR(ROUND($D293*INDEX('🔖 배합비 참조'!$B$2:$CE$83,MATCH("혼합제제(떡용에스텔)",'🔖 배합비 참조'!$A$2:$A$83,0),MATCH($C293,'🔖 배합비 참조'!$B$1:$CE$1,0))/100,0),""))),"")</f>
        <v>0</v>
      </c>
      <c r="CF293" s="39" t="n">
        <f aca="false">IFERROR(IF($C293="","",IF($D293="","",IFERROR(ROUND($D293*INDEX('🔖 배합비 참조'!$B$2:$CE$83,MATCH("혼합제제(스테비아)",'🔖 배합비 참조'!$A$2:$A$83,0),MATCH($C293,'🔖 배합비 참조'!$B$1:$CE$1,0))/100,0),""))),"")</f>
        <v>0</v>
      </c>
      <c r="CG293" s="39" t="n">
        <f aca="false">IFERROR(IF($C293="","",IF($D293="","",IFERROR(ROUND($D293*INDEX('🔖 배합비 참조'!$B$2:$CE$83,MATCH("화이트초콜릿",'🔖 배합비 참조'!$A$2:$A$83,0),MATCH($C293,'🔖 배합비 참조'!$B$1:$CE$1,0))/100,0),""))),"")</f>
        <v>0</v>
      </c>
      <c r="CH293" s="39" t="n">
        <f aca="false">IFERROR(IF($C293="","",IF($D293="","",IFERROR(ROUND($D293*INDEX('🔖 배합비 참조'!$B$2:$CE$83,MATCH("흑미찹쌀(국내산)",'🔖 배합비 참조'!$A$2:$A$83,0),MATCH($C293,'🔖 배합비 참조'!$B$1:$CE$1,0))/100,0),""))),"")</f>
        <v>0</v>
      </c>
      <c r="CI293" s="39" t="n">
        <f aca="false">IFERROR(IF($C293="","",IF($D293="","",IFERROR(ROUND($D293*INDEX('🔖 배합비 참조'!$B$2:$CE$83,MATCH("찰옥수수전분(미국산)",'🔖 배합비 참조'!$A$2:$A$83,0),MATCH($C293,'🔖 배합비 참조'!$B$1:$CE$1,0))/100,0),""))),"")</f>
        <v>0</v>
      </c>
      <c r="CJ293" s="40"/>
      <c r="CL293" s="43" t="s">
        <v>248</v>
      </c>
    </row>
    <row r="294" customFormat="false" ht="18" hidden="false" customHeight="true" outlineLevel="0" collapsed="false">
      <c r="A294" s="41" t="n">
        <v>290</v>
      </c>
      <c r="B294" s="36" t="n">
        <v>46100</v>
      </c>
      <c r="C294" s="37" t="s">
        <v>191</v>
      </c>
      <c r="D294" s="38" t="n">
        <v>1100</v>
      </c>
      <c r="E294" s="17"/>
      <c r="F294" s="17"/>
      <c r="G294" s="42" t="n">
        <f aca="false">IFERROR(IF($C294="","",IF($D294="","",IFERROR(ROUND($D294*INDEX('🔖 배합비 참조'!$B$2:$CE$83,MATCH("간장",'🔖 배합비 참조'!$A$2:$A$83,0),MATCH($C294,'🔖 배합비 참조'!$B$1:$CE$1,0))/100,0),""))),"")</f>
        <v>0</v>
      </c>
      <c r="H294" s="42" t="n">
        <f aca="false">IFERROR(IF($C294="","",IF($D294="","",IFERROR(ROUND($D294*INDEX('🔖 배합비 참조'!$B$2:$CE$83,MATCH("강낭콩((울타리콩))",'🔖 배합비 참조'!$A$2:$A$83,0),MATCH($C294,'🔖 배합비 참조'!$B$1:$CE$1,0))/100,0),""))),"")</f>
        <v>0</v>
      </c>
      <c r="I294" s="42" t="n">
        <f aca="false">IFERROR(IF($C294="","",IF($D294="","",IFERROR(ROUND($D294*INDEX('🔖 배합비 참조'!$B$2:$CE$83,MATCH("건조딸기다이스(외국산)",'🔖 배합비 참조'!$A$2:$A$83,0),MATCH($C294,'🔖 배합비 참조'!$B$1:$CE$1,0))/100,0),""))),"")</f>
        <v>0</v>
      </c>
      <c r="J294" s="42" t="n">
        <f aca="false">IFERROR(IF($C294="","",IF($D294="","",IFERROR(ROUND($D294*INDEX('🔖 배합비 참조'!$B$2:$CE$83,MATCH("건포도",'🔖 배합비 참조'!$A$2:$A$83,0),MATCH($C294,'🔖 배합비 참조'!$B$1:$CE$1,0))/100,0),""))),"")</f>
        <v>0</v>
      </c>
      <c r="K294" s="42" t="n">
        <f aca="false">IFERROR(IF($C294="","",IF($D294="","",IFERROR(ROUND($D294*INDEX('🔖 배합비 참조'!$B$2:$CE$83,MATCH("건호박채(중국산)",'🔖 배합비 참조'!$A$2:$A$83,0),MATCH($C294,'🔖 배합비 참조'!$B$1:$CE$1,0))/100,0),""))),"")</f>
        <v>0</v>
      </c>
      <c r="L294" s="42" t="n">
        <f aca="false">IFERROR(IF($C294="","",IF($D294="","",IFERROR(ROUND($D294*INDEX('🔖 배합비 참조'!$B$2:$CE$83,MATCH("검정깨(흑임자)",'🔖 배합비 참조'!$A$2:$A$83,0),MATCH($C294,'🔖 배합비 참조'!$B$1:$CE$1,0))/100,0),""))),"")</f>
        <v>0</v>
      </c>
      <c r="M294" s="42" t="n">
        <f aca="false">IFERROR(IF($C294="","",IF($D294="","",IFERROR(ROUND($D294*INDEX('🔖 배합비 참조'!$B$2:$CE$83,MATCH("검정콩",'🔖 배합비 참조'!$A$2:$A$83,0),MATCH($C294,'🔖 배합비 참조'!$B$1:$CE$1,0))/100,0),""))),"")</f>
        <v>0</v>
      </c>
      <c r="N294" s="42" t="n">
        <f aca="false">IFERROR(IF($C294="","",IF($D294="","",IFERROR(ROUND($D294*INDEX('🔖 배합비 참조'!$B$2:$CE$83,MATCH("계피가루",'🔖 배합비 참조'!$A$2:$A$83,0),MATCH($C294,'🔖 배합비 참조'!$B$1:$CE$1,0))/100,0),""))),"")</f>
        <v>0</v>
      </c>
      <c r="O294" s="42" t="n">
        <f aca="false">IFERROR(IF($C294="","",IF($D294="","",IFERROR(ROUND($D294*INDEX('🔖 배합비 참조'!$B$2:$CE$83,MATCH("고구마가루",'🔖 배합비 참조'!$A$2:$A$83,0),MATCH($C294,'🔖 배합비 참조'!$B$1:$CE$1,0))/100,0),""))),"")</f>
        <v>0</v>
      </c>
      <c r="P294" s="42" t="n">
        <f aca="false">IFERROR(IF($C294="","",IF($D294="","",IFERROR(ROUND($D294*INDEX('🔖 배합비 참조'!$B$2:$CE$83,MATCH("고구마무스",'🔖 배합비 참조'!$A$2:$A$83,0),MATCH($C294,'🔖 배합비 참조'!$B$1:$CE$1,0))/100,0),""))),"")</f>
        <v>0</v>
      </c>
      <c r="Q294" s="42" t="n">
        <f aca="false">IFERROR(IF($C294="","",IF($D294="","",IFERROR(ROUND($D294*INDEX('🔖 배합비 참조'!$B$2:$CE$83,MATCH("고려엉겅퀴((곤드레)국내산)",'🔖 배합비 참조'!$A$2:$A$83,0),MATCH($C294,'🔖 배합비 참조'!$B$1:$CE$1,0))/100,0),""))),"")</f>
        <v>0</v>
      </c>
      <c r="R294" s="42" t="n">
        <f aca="false">IFERROR(IF($C294="","",IF($D294="","",IFERROR(ROUND($D294*INDEX('🔖 배합비 참조'!$B$2:$CE$83,MATCH("기타가공품(복분자가루)",'🔖 배합비 참조'!$A$2:$A$83,0),MATCH($C294,'🔖 배합비 참조'!$B$1:$CE$1,0))/100,0),""))),"")</f>
        <v>0</v>
      </c>
      <c r="S294" s="42" t="n">
        <f aca="false">IFERROR(IF($C294="","",IF($D294="","",IFERROR(ROUND($D294*INDEX('🔖 배합비 참조'!$B$2:$CE$83,MATCH("기타가공품(슈퍼소프트엠)",'🔖 배합비 참조'!$A$2:$A$83,0),MATCH($C294,'🔖 배합비 참조'!$B$1:$CE$1,0))/100,0),""))),"")</f>
        <v>0</v>
      </c>
      <c r="T294" s="42" t="n">
        <f aca="false">IFERROR(IF($C294="","",IF($D294="","",IFERROR(ROUND($D294*INDEX('🔖 배합비 참조'!$B$2:$CE$83,MATCH("기타가공품(파인소프트 E-티)",'🔖 배합비 참조'!$A$2:$A$83,0),MATCH($C294,'🔖 배합비 참조'!$B$1:$CE$1,0))/100,0),""))),"")</f>
        <v>0</v>
      </c>
      <c r="U294" s="42" t="n">
        <f aca="false">IFERROR(IF($C294="","",IF($D294="","",IFERROR(ROUND($D294*INDEX('🔖 배합비 참조'!$B$2:$CE$83,MATCH("기타가공품(프리미엄카스테라가루)",'🔖 배합비 참조'!$A$2:$A$83,0),MATCH($C294,'🔖 배합비 참조'!$B$1:$CE$1,0))/100,0),""))),"")</f>
        <v>0</v>
      </c>
      <c r="V294" s="42" t="n">
        <f aca="false">IFERROR(IF($C294="","",IF($D294="","",IFERROR(ROUND($D294*INDEX('🔖 배합비 참조'!$B$2:$CE$83,MATCH("기타가공품(흑임자가루)",'🔖 배합비 참조'!$A$2:$A$83,0),MATCH($C294,'🔖 배합비 참조'!$B$1:$CE$1,0))/100,0),""))),"")</f>
        <v>0</v>
      </c>
      <c r="W294" s="42" t="n">
        <f aca="false">IFERROR(IF($C294="","",IF($D294="","",IFERROR(ROUND($D294*INDEX('🔖 배합비 참조'!$B$2:$CE$83,MATCH("기타설탕(흑설탕)",'🔖 배합비 참조'!$A$2:$A$83,0),MATCH($C294,'🔖 배합비 참조'!$B$1:$CE$1,0))/100,0),""))),"")</f>
        <v>0</v>
      </c>
      <c r="X294" s="42" t="n">
        <f aca="false">IFERROR(IF($C294="","",IF($D294="","",IFERROR(ROUND($D294*INDEX('🔖 배합비 참조'!$B$2:$CE$83,MATCH("냉동쑥(국내산)",'🔖 배합비 참조'!$A$2:$A$83,0),MATCH($C294,'🔖 배합비 참조'!$B$1:$CE$1,0))/100,0),""))),"")</f>
        <v>0</v>
      </c>
      <c r="Y294" s="42" t="n">
        <f aca="false">IFERROR(IF($C294="","",IF($D294="","",IFERROR(ROUND($D294*INDEX('🔖 배합비 참조'!$B$2:$CE$83,MATCH("냉동증숙고구마(중국산)",'🔖 배합비 참조'!$A$2:$A$83,0),MATCH($C294,'🔖 배합비 참조'!$B$1:$CE$1,0))/100,0),""))),"")</f>
        <v>0</v>
      </c>
      <c r="Z294" s="42" t="n">
        <f aca="false">IFERROR(IF($C294="","",IF($D294="","",IFERROR(ROUND($D294*INDEX('🔖 배합비 참조'!$B$2:$CE$83,MATCH("녹차가루",'🔖 배합비 참조'!$A$2:$A$83,0),MATCH($C294,'🔖 배합비 참조'!$B$1:$CE$1,0))/100,0),""))),"")</f>
        <v>0</v>
      </c>
      <c r="AA294" s="42" t="n">
        <f aca="false">IFERROR(IF($C294="","",IF($D294="","",IFERROR(ROUND($D294*INDEX('🔖 배합비 참조'!$B$2:$CE$83,MATCH("다크초콜릿 컴파운드칩",'🔖 배합비 참조'!$A$2:$A$83,0),MATCH($C294,'🔖 배합비 참조'!$B$1:$CE$1,0))/100,0),""))),"")</f>
        <v>0</v>
      </c>
      <c r="AB294" s="42" t="n">
        <f aca="false">IFERROR(IF($C294="","",IF($D294="","",IFERROR(ROUND($D294*INDEX('🔖 배합비 참조'!$B$2:$CE$83,MATCH("단호박분말(중국산)",'🔖 배합비 참조'!$A$2:$A$83,0),MATCH($C294,'🔖 배합비 참조'!$B$1:$CE$1,0))/100,0),""))),"")</f>
        <v>0</v>
      </c>
      <c r="AC294" s="42" t="n">
        <f aca="false">IFERROR(IF($C294="","",IF($D294="","",IFERROR(ROUND($D294*INDEX('🔖 배합비 참조'!$B$2:$CE$83,MATCH("당류가공품(단호박농축액)",'🔖 배합비 참조'!$A$2:$A$83,0),MATCH($C294,'🔖 배합비 참조'!$B$1:$CE$1,0))/100,0),""))),"")</f>
        <v>0</v>
      </c>
      <c r="AD294" s="42" t="n">
        <f aca="false">IFERROR(IF($C294="","",IF($D294="","",IFERROR(ROUND($D294*INDEX('🔖 배합비 참조'!$B$2:$CE$83,MATCH("당류가공품(알룰로스,에리스리톨,스테비올배당체혼합)",'🔖 배합비 참조'!$A$2:$A$83,0),MATCH($C294,'🔖 배합비 참조'!$B$1:$CE$1,0))/100,0),""))),"")</f>
        <v>0</v>
      </c>
      <c r="AE294" s="42" t="n">
        <f aca="false">IFERROR(IF($C294="","",IF($D294="","",IFERROR(ROUND($D294*INDEX('🔖 배합비 참조'!$B$2:$CE$83,MATCH("당류가공품(알룰로스제로파우더)",'🔖 배합비 참조'!$A$2:$A$83,0),MATCH($C294,'🔖 배합비 참조'!$B$1:$CE$1,0))/100,0),""))),"")</f>
        <v>0</v>
      </c>
      <c r="AF294" s="42" t="n">
        <f aca="false">IFERROR(IF($C294="","",IF($D294="","",IFERROR(ROUND($D294*INDEX('🔖 배합비 참조'!$B$2:$CE$83,MATCH("당절임(완두배기)",'🔖 배합비 참조'!$A$2:$A$83,0),MATCH($C294,'🔖 배합비 참조'!$B$1:$CE$1,0))/100,0),""))),"")</f>
        <v>0</v>
      </c>
      <c r="AG294" s="42" t="n">
        <f aca="false">IFERROR(IF($C294="","",IF($D294="","",IFERROR(ROUND($D294*INDEX('🔖 배합비 참조'!$B$2:$CE$83,MATCH("대추농축액",'🔖 배합비 참조'!$A$2:$A$83,0),MATCH($C294,'🔖 배합비 참조'!$B$1:$CE$1,0))/100,0),""))),"")</f>
        <v>0</v>
      </c>
      <c r="AH294" s="42" t="n">
        <f aca="false">IFERROR(IF($C294="","",IF($D294="","",IFERROR(ROUND($D294*INDEX('🔖 배합비 참조'!$B$2:$CE$83,MATCH("대추채(국내산)",'🔖 배합비 참조'!$A$2:$A$83,0),MATCH($C294,'🔖 배합비 참조'!$B$1:$CE$1,0))/100,0),""))),"")</f>
        <v>0</v>
      </c>
      <c r="AI294" s="42" t="n">
        <f aca="false">IFERROR(IF($C294="","",IF($D294="","",IFERROR(ROUND($D294*INDEX('🔖 배합비 참조'!$B$2:$CE$83,MATCH("동부(미얀마산)",'🔖 배합비 참조'!$A$2:$A$83,0),MATCH($C294,'🔖 배합비 참조'!$B$1:$CE$1,0))/100,0),""))),"")</f>
        <v>0</v>
      </c>
      <c r="AJ294" s="42" t="n">
        <f aca="false">IFERROR(IF($C294="","",IF($D294="","",IFERROR(ROUND($D294*INDEX('🔖 배합비 참조'!$B$2:$CE$83,MATCH("두류가공품(백옥앙금)",'🔖 배합비 참조'!$A$2:$A$83,0),MATCH($C294,'🔖 배합비 참조'!$B$1:$CE$1,0))/100,0),""))),"")</f>
        <v>0</v>
      </c>
      <c r="AK294" s="42" t="n">
        <f aca="false">IFERROR(IF($C294="","",IF($D294="","",IFERROR(ROUND($D294*INDEX('🔖 배합비 참조'!$B$2:$CE$83,MATCH("두류가공품(콩고물)",'🔖 배합비 참조'!$A$2:$A$83,0),MATCH($C294,'🔖 배합비 참조'!$B$1:$CE$1,0))/100,0),""))),"")</f>
        <v>0</v>
      </c>
      <c r="AL294" s="42" t="n">
        <f aca="false">IFERROR(IF($C294="","",IF($D294="","",IFERROR(ROUND($D294*INDEX('🔖 배합비 참조'!$B$2:$CE$83,MATCH("두류가공품(통팥고물)",'🔖 배합비 참조'!$A$2:$A$83,0),MATCH($C294,'🔖 배합비 참조'!$B$1:$CE$1,0))/100,0),""))),"")</f>
        <v>0</v>
      </c>
      <c r="AM294" s="42" t="n">
        <f aca="false">IFERROR(IF($C294="","",IF($D294="","",IFERROR(ROUND($D294*INDEX('🔖 배합비 참조'!$B$2:$CE$83,MATCH("딸기레진",'🔖 배합비 참조'!$A$2:$A$83,0),MATCH($C294,'🔖 배합비 참조'!$B$1:$CE$1,0))/100,0),""))),"")</f>
        <v>0</v>
      </c>
      <c r="AN294" s="42" t="n">
        <f aca="false">IFERROR(IF($C294="","",IF($D294="","",IFERROR(ROUND($D294*INDEX('🔖 배합비 참조'!$B$2:$CE$83,MATCH("딸기분말(스트로우베리에이드(분말))",'🔖 배합비 참조'!$A$2:$A$83,0),MATCH($C294,'🔖 배합비 참조'!$B$1:$CE$1,0))/100,0),""))),"")</f>
        <v>0</v>
      </c>
      <c r="AO294" s="42" t="n">
        <f aca="false">IFERROR(IF($C294="","",IF($D294="","",IFERROR(ROUND($D294*INDEX('🔖 배합비 참조'!$B$2:$CE$83,MATCH("마스카포네치즈",'🔖 배합비 참조'!$A$2:$A$83,0),MATCH($C294,'🔖 배합비 참조'!$B$1:$CE$1,0))/100,0),""))),"")</f>
        <v>0</v>
      </c>
      <c r="AP294" s="42" t="n">
        <f aca="false">IFERROR(IF($C294="","",IF($D294="","",IFERROR(ROUND($D294*INDEX('🔖 배합비 참조'!$B$2:$CE$83,MATCH("마카다미아분태(호주산)",'🔖 배합비 참조'!$A$2:$A$83,0),MATCH($C294,'🔖 배합비 참조'!$B$1:$CE$1,0))/100,0),""))),"")</f>
        <v>0</v>
      </c>
      <c r="AQ294" s="42" t="n">
        <f aca="false">IFERROR(IF($C294="","",IF($D294="","",IFERROR(ROUND($D294*INDEX('🔖 배합비 참조'!$B$2:$CE$83,MATCH("멥쌀(국내산)",'🔖 배합비 참조'!$A$2:$A$83,0),MATCH($C294,'🔖 배합비 참조'!$B$1:$CE$1,0))/100,0),""))),"")</f>
        <v>22</v>
      </c>
      <c r="AR294" s="42" t="n">
        <f aca="false">IFERROR(IF($C294="","",IF($D294="","",IFERROR(ROUND($D294*INDEX('🔖 배합비 참조'!$B$2:$CE$83,MATCH("모시잎(국내산)",'🔖 배합비 참조'!$A$2:$A$83,0),MATCH($C294,'🔖 배합비 참조'!$B$1:$CE$1,0))/100,0),""))),"")</f>
        <v>0</v>
      </c>
      <c r="AS294" s="42" t="n">
        <f aca="false">IFERROR(IF($C294="","",IF($D294="","",IFERROR(ROUND($D294*INDEX('🔖 배합비 참조'!$B$2:$CE$83,MATCH("물엿(저당물엿)",'🔖 배합비 참조'!$A$2:$A$83,0),MATCH($C294,'🔖 배합비 참조'!$B$1:$CE$1,0))/100,0),""))),"")</f>
        <v>0</v>
      </c>
      <c r="AT294" s="42" t="n">
        <f aca="false">IFERROR(IF($C294="","",IF($D294="","",IFERROR(ROUND($D294*INDEX('🔖 배합비 참조'!$B$2:$CE$83,MATCH("밤다이스",'🔖 배합비 참조'!$A$2:$A$83,0),MATCH($C294,'🔖 배합비 참조'!$B$1:$CE$1,0))/100,0),""))),"")</f>
        <v>0</v>
      </c>
      <c r="AU294" s="42" t="n">
        <f aca="false">IFERROR(IF($C294="","",IF($D294="","",IFERROR(ROUND($D294*INDEX('🔖 배합비 참조'!$B$2:$CE$83,MATCH("변성전분(타피오카전분)",'🔖 배합비 참조'!$A$2:$A$83,0),MATCH($C294,'🔖 배합비 참조'!$B$1:$CE$1,0))/100,0),""))),"")</f>
        <v>0</v>
      </c>
      <c r="AV294" s="42" t="n">
        <f aca="false">IFERROR(IF($C294="","",IF($D294="","",IFERROR(ROUND($D294*INDEX('🔖 배합비 참조'!$B$2:$CE$83,MATCH("복음땅콩분태",'🔖 배합비 참조'!$A$2:$A$83,0),MATCH($C294,'🔖 배합비 참조'!$B$1:$CE$1,0))/100,0),""))),"")</f>
        <v>0</v>
      </c>
      <c r="AW294" s="42" t="n">
        <f aca="false">IFERROR(IF($C294="","",IF($D294="","",IFERROR(ROUND($D294*INDEX('🔖 배합비 참조'!$B$2:$CE$83,MATCH("사양벌꿀(국내산)",'🔖 배합비 참조'!$A$2:$A$83,0),MATCH($C294,'🔖 배합비 참조'!$B$1:$CE$1,0))/100,0),""))),"")</f>
        <v>0</v>
      </c>
      <c r="AX294" s="42" t="n">
        <f aca="false">IFERROR(IF($C294="","",IF($D294="","",IFERROR(ROUND($D294*INDEX('🔖 배합비 참조'!$B$2:$CE$83,MATCH("생크림",'🔖 배합비 참조'!$A$2:$A$83,0),MATCH($C294,'🔖 배합비 참조'!$B$1:$CE$1,0))/100,0),""))),"")</f>
        <v>0</v>
      </c>
      <c r="AY294" s="42" t="n">
        <f aca="false">IFERROR(IF($C294="","",IF($D294="","",IFERROR(ROUND($D294*INDEX('🔖 배합비 참조'!$B$2:$CE$83,MATCH("서양호박(국내산,뉴질랜드산)",'🔖 배합비 참조'!$A$2:$A$83,0),MATCH($C294,'🔖 배합비 참조'!$B$1:$CE$1,0))/100,0),""))),"")</f>
        <v>0</v>
      </c>
      <c r="AZ294" s="42" t="n">
        <f aca="false">IFERROR(IF($C294="","",IF($D294="","",IFERROR(ROUND($D294*INDEX('🔖 배합비 참조'!$B$2:$CE$83,MATCH("설탕",'🔖 배합비 참조'!$A$2:$A$83,0),MATCH($C294,'🔖 배합비 참조'!$B$1:$CE$1,0))/100,0),""))),"")</f>
        <v>209</v>
      </c>
      <c r="BA294" s="42" t="n">
        <f aca="false">IFERROR(IF($C294="","",IF($D294="","",IFERROR(ROUND($D294*INDEX('🔖 배합비 참조'!$B$2:$CE$83,MATCH("스트로우베리 에이드 후레쉬",'🔖 배합비 참조'!$A$2:$A$83,0),MATCH($C294,'🔖 배합비 참조'!$B$1:$CE$1,0))/100,0),""))),"")</f>
        <v>0</v>
      </c>
      <c r="BB294" s="42" t="n">
        <f aca="false">IFERROR(IF($C294="","",IF($D294="","",IFERROR(ROUND($D294*INDEX('🔖 배합비 참조'!$B$2:$CE$83,MATCH("식물성기름혼합제제(분홍)",'🔖 배합비 참조'!$A$2:$A$83,0),MATCH($C294,'🔖 배합비 참조'!$B$1:$CE$1,0))/100,0),""))),"")</f>
        <v>0</v>
      </c>
      <c r="BC294" s="42" t="n">
        <f aca="false">IFERROR(IF($C294="","",IF($D294="","",IFERROR(ROUND($D294*INDEX('🔖 배합비 참조'!$B$2:$CE$83,MATCH("식물성기름혼합제제(초록)",'🔖 배합비 참조'!$A$2:$A$83,0),MATCH($C294,'🔖 배합비 참조'!$B$1:$CE$1,0))/100,0),""))),"")</f>
        <v>0</v>
      </c>
      <c r="BD294" s="42" t="n">
        <f aca="false">IFERROR(IF($C294="","",IF($D294="","",IFERROR(ROUND($D294*INDEX('🔖 배합비 참조'!$B$2:$CE$83,MATCH("식물성기름혼합제제(황색)",'🔖 배합비 참조'!$A$2:$A$83,0),MATCH($C294,'🔖 배합비 참조'!$B$1:$CE$1,0))/100,0),""))),"")</f>
        <v>0</v>
      </c>
      <c r="BE294" s="42" t="n">
        <f aca="false">IFERROR(IF($C294="","",IF($D294="","",IFERROR(ROUND($D294*INDEX('🔖 배합비 참조'!$B$2:$CE$83,MATCH("쑥가루(국내산)",'🔖 배합비 참조'!$A$2:$A$83,0),MATCH($C294,'🔖 배합비 참조'!$B$1:$CE$1,0))/100,0),""))),"")</f>
        <v>0</v>
      </c>
      <c r="BF294" s="42" t="n">
        <f aca="false">IFERROR(IF($C294="","",IF($D294="","",IFERROR(ROUND($D294*INDEX('🔖 배합비 참조'!$B$2:$CE$83,MATCH("아몬드슬라이스",'🔖 배합비 참조'!$A$2:$A$83,0),MATCH($C294,'🔖 배합비 참조'!$B$1:$CE$1,0))/100,0),""))),"")</f>
        <v>0</v>
      </c>
      <c r="BG294" s="42" t="n">
        <f aca="false">IFERROR(IF($C294="","",IF($D294="","",IFERROR(ROUND($D294*INDEX('🔖 배합비 참조'!$B$2:$CE$83,MATCH("알룰로오스(국내산)",'🔖 배합비 참조'!$A$2:$A$83,0),MATCH($C294,'🔖 배합비 참조'!$B$1:$CE$1,0))/100,0),""))),"")</f>
        <v>0</v>
      </c>
      <c r="BH294" s="42" t="n">
        <f aca="false">IFERROR(IF($C294="","",IF($D294="","",IFERROR(ROUND($D294*INDEX('🔖 배합비 참조'!$B$2:$CE$83,MATCH("연유",'🔖 배합비 참조'!$A$2:$A$83,0),MATCH($C294,'🔖 배합비 참조'!$B$1:$CE$1,0))/100,0),""))),"")</f>
        <v>0</v>
      </c>
      <c r="BI294" s="42" t="n">
        <f aca="false">IFERROR(IF($C294="","",IF($D294="","",IFERROR(ROUND($D294*INDEX('🔖 배합비 참조'!$B$2:$CE$83,MATCH("옥수수전분",'🔖 배합비 참조'!$A$2:$A$83,0),MATCH($C294,'🔖 배합비 참조'!$B$1:$CE$1,0))/100,0),""))),"")</f>
        <v>0</v>
      </c>
      <c r="BJ294" s="42" t="n">
        <f aca="false">IFERROR(IF($C294="","",IF($D294="","",IFERROR(ROUND($D294*INDEX('🔖 배합비 참조'!$B$2:$CE$83,MATCH("완두배기",'🔖 배합비 참조'!$A$2:$A$83,0),MATCH($C294,'🔖 배합비 참조'!$B$1:$CE$1,0))/100,0),""))),"")</f>
        <v>0</v>
      </c>
      <c r="BK294" s="42" t="n">
        <f aca="false">IFERROR(IF($C294="","",IF($D294="","",IFERROR(ROUND($D294*INDEX('🔖 배합비 참조'!$B$2:$CE$83,MATCH("우유(국내산)",'🔖 배합비 참조'!$A$2:$A$83,0),MATCH($C294,'🔖 배합비 참조'!$B$1:$CE$1,0))/100,0),""))),"")</f>
        <v>0</v>
      </c>
      <c r="BL294" s="42" t="n">
        <f aca="false">IFERROR(IF($C294="","",IF($D294="","",IFERROR(ROUND($D294*INDEX('🔖 배합비 참조'!$B$2:$CE$83,MATCH("자색고구마가루(중국산)",'🔖 배합비 참조'!$A$2:$A$83,0),MATCH($C294,'🔖 배합비 참조'!$B$1:$CE$1,0))/100,0),""))),"")</f>
        <v>0</v>
      </c>
      <c r="BM294" s="42" t="n">
        <f aca="false">IFERROR(IF($C294="","",IF($D294="","",IFERROR(ROUND($D294*INDEX('🔖 배합비 참조'!$B$2:$CE$83,MATCH("자연치즈(체다치즈)",'🔖 배합비 참조'!$A$2:$A$83,0),MATCH($C294,'🔖 배합비 참조'!$B$1:$CE$1,0))/100,0),""))),"")</f>
        <v>0</v>
      </c>
      <c r="BN294" s="42" t="n">
        <f aca="false">IFERROR(IF($C294="","",IF($D294="","",IFERROR(ROUND($D294*INDEX('🔖 배합비 참조'!$B$2:$CE$83,MATCH("정제수",'🔖 배합비 참조'!$A$2:$A$83,0),MATCH($C294,'🔖 배합비 참조'!$B$1:$CE$1,0))/100,0),""))),"")</f>
        <v>33</v>
      </c>
      <c r="BO294" s="42" t="n">
        <f aca="false">IFERROR(IF($C294="","",IF($D294="","",IFERROR(ROUND($D294*INDEX('🔖 배합비 참조'!$B$2:$CE$83,MATCH("젤라틴",'🔖 배합비 참조'!$A$2:$A$83,0),MATCH($C294,'🔖 배합비 참조'!$B$1:$CE$1,0))/100,0),""))),"")</f>
        <v>0</v>
      </c>
      <c r="BP294" s="42" t="n">
        <f aca="false">IFERROR(IF($C294="","",IF($D294="","",IFERROR(ROUND($D294*INDEX('🔖 배합비 참조'!$B$2:$CE$83,MATCH("조림류(백옥앙금)",'🔖 배합비 참조'!$A$2:$A$83,0),MATCH($C294,'🔖 배합비 참조'!$B$1:$CE$1,0))/100,0),""))),"")</f>
        <v>0</v>
      </c>
      <c r="BQ294" s="42" t="n">
        <f aca="false">IFERROR(IF($C294="","",IF($D294="","",IFERROR(ROUND($D294*INDEX('🔖 배합비 참조'!$B$2:$CE$83,MATCH("조림류(통팥앙금)",'🔖 배합비 참조'!$A$2:$A$83,0),MATCH($C294,'🔖 배합비 참조'!$B$1:$CE$1,0))/100,0),""))),"")</f>
        <v>198</v>
      </c>
      <c r="BR294" s="42" t="n">
        <f aca="false">IFERROR(IF($C294="","",IF($D294="","",IFERROR(ROUND($D294*INDEX('🔖 배합비 참조'!$B$2:$CE$83,MATCH("준초콜릿(외국산)",'🔖 배합비 참조'!$A$2:$A$83,0),MATCH($C294,'🔖 배합비 참조'!$B$1:$CE$1,0))/100,0),""))),"")</f>
        <v>0</v>
      </c>
      <c r="BS294" s="42" t="n">
        <f aca="false">IFERROR(IF($C294="","",IF($D294="","",IFERROR(ROUND($D294*INDEX('🔖 배합비 참조'!$B$2:$CE$83,MATCH("중력분",'🔖 배합비 참조'!$A$2:$A$83,0),MATCH($C294,'🔖 배합비 참조'!$B$1:$CE$1,0))/100,0),""))),"")</f>
        <v>22</v>
      </c>
      <c r="BT294" s="42" t="n">
        <f aca="false">IFERROR(IF($C294="","",IF($D294="","",IFERROR(ROUND($D294*INDEX('🔖 배합비 참조'!$B$2:$CE$83,MATCH("참깨(인도산,나이지리아산,탄자니아산,미얀마산)",'🔖 배합비 참조'!$A$2:$A$83,0),MATCH($C294,'🔖 배합비 참조'!$B$1:$CE$1,0))/100,0),""))),"")</f>
        <v>0</v>
      </c>
      <c r="BU294" s="42" t="n">
        <f aca="false">IFERROR(IF($C294="","",IF($D294="","",IFERROR(ROUND($D294*INDEX('🔖 배합비 참조'!$B$2:$CE$83,MATCH("찹쌀(국내산)",'🔖 배합비 참조'!$A$2:$A$83,0),MATCH($C294,'🔖 배합비 참조'!$B$1:$CE$1,0))/100,0),""))),"")</f>
        <v>473</v>
      </c>
      <c r="BV294" s="42" t="n">
        <f aca="false">IFERROR(IF($C294="","",IF($D294="","",IFERROR(ROUND($D294*INDEX('🔖 배합비 참조'!$B$2:$CE$83,MATCH("천일염",'🔖 배합비 참조'!$A$2:$A$83,0),MATCH($C294,'🔖 배합비 참조'!$B$1:$CE$1,0))/100,0),""))),"")</f>
        <v>22</v>
      </c>
      <c r="BW294" s="42" t="n">
        <f aca="false">IFERROR(IF($C294="","",IF($D294="","",IFERROR(ROUND($D294*INDEX('🔖 배합비 참조'!$B$2:$CE$83,MATCH("치즈 [크림치즈]",'🔖 배합비 참조'!$A$2:$A$83,0),MATCH($C294,'🔖 배합비 참조'!$B$1:$CE$1,0))/100,0),""))),"")</f>
        <v>0</v>
      </c>
      <c r="BX294" s="42" t="n">
        <f aca="false">IFERROR(IF($C294="","",IF($D294="","",IFERROR(ROUND($D294*INDEX('🔖 배합비 참조'!$B$2:$CE$83,MATCH("코코아가공품류(코코아분말)",'🔖 배합비 참조'!$A$2:$A$83,0),MATCH($C294,'🔖 배합비 참조'!$B$1:$CE$1,0))/100,0),""))),"")</f>
        <v>0</v>
      </c>
      <c r="BY294" s="42" t="n">
        <f aca="false">IFERROR(IF($C294="","",IF($D294="","",IFERROR(ROUND($D294*INDEX('🔖 배합비 참조'!$B$2:$CE$83,MATCH("콩기름(대두유)",'🔖 배합비 참조'!$A$2:$A$83,0),MATCH($C294,'🔖 배합비 참조'!$B$1:$CE$1,0))/100,0),""))),"")</f>
        <v>0</v>
      </c>
      <c r="BZ294" s="42" t="n">
        <f aca="false">IFERROR(IF($C294="","",IF($D294="","",IFERROR(ROUND($D294*INDEX('🔖 배합비 참조'!$B$2:$CE$83,MATCH("해바라기씨앗",'🔖 배합비 참조'!$A$2:$A$83,0),MATCH($C294,'🔖 배합비 참조'!$B$1:$CE$1,0))/100,0),""))),"")</f>
        <v>0</v>
      </c>
      <c r="CA294" s="42" t="n">
        <f aca="false">IFERROR(IF($C294="","",IF($D294="","",IFERROR(ROUND($D294*INDEX('🔖 배합비 참조'!$B$2:$CE$83,MATCH("현미(국내산)",'🔖 배합비 참조'!$A$2:$A$83,0),MATCH($C294,'🔖 배합비 참조'!$B$1:$CE$1,0))/100,0),""))),"")</f>
        <v>0</v>
      </c>
      <c r="CB294" s="42" t="n">
        <f aca="false">IFERROR(IF($C294="","",IF($D294="","",IFERROR(ROUND($D294*INDEX('🔖 배합비 참조'!$B$2:$CE$83,MATCH("현미멥쌀(국내산)",'🔖 배합비 참조'!$A$2:$A$83,0),MATCH($C294,'🔖 배합비 참조'!$B$1:$CE$1,0))/100,0),""))),"")</f>
        <v>0</v>
      </c>
      <c r="CC294" s="42" t="n">
        <f aca="false">IFERROR(IF($C294="","",IF($D294="","",IFERROR(ROUND($D294*INDEX('🔖 배합비 참조'!$B$2:$CE$83,MATCH("호두분태(미국산)",'🔖 배합비 참조'!$A$2:$A$83,0),MATCH($C294,'🔖 배합비 참조'!$B$1:$CE$1,0))/100,0),""))),"")</f>
        <v>0</v>
      </c>
      <c r="CD294" s="42" t="n">
        <f aca="false">IFERROR(IF($C294="","",IF($D294="","",IFERROR(ROUND($D294*INDEX('🔖 배합비 참조'!$B$2:$CE$83,MATCH("호박씨앗(외국산)",'🔖 배합비 참조'!$A$2:$A$83,0),MATCH($C294,'🔖 배합비 참조'!$B$1:$CE$1,0))/100,0),""))),"")</f>
        <v>0</v>
      </c>
      <c r="CE294" s="42" t="n">
        <f aca="false">IFERROR(IF($C294="","",IF($D294="","",IFERROR(ROUND($D294*INDEX('🔖 배합비 참조'!$B$2:$CE$83,MATCH("혼합제제(떡용에스텔)",'🔖 배합비 참조'!$A$2:$A$83,0),MATCH($C294,'🔖 배합비 참조'!$B$1:$CE$1,0))/100,0),""))),"")</f>
        <v>22</v>
      </c>
      <c r="CF294" s="42" t="n">
        <f aca="false">IFERROR(IF($C294="","",IF($D294="","",IFERROR(ROUND($D294*INDEX('🔖 배합비 참조'!$B$2:$CE$83,MATCH("혼합제제(스테비아)",'🔖 배합비 참조'!$A$2:$A$83,0),MATCH($C294,'🔖 배합비 참조'!$B$1:$CE$1,0))/100,0),""))),"")</f>
        <v>0</v>
      </c>
      <c r="CG294" s="42" t="n">
        <f aca="false">IFERROR(IF($C294="","",IF($D294="","",IFERROR(ROUND($D294*INDEX('🔖 배합비 참조'!$B$2:$CE$83,MATCH("화이트초콜릿",'🔖 배합비 참조'!$A$2:$A$83,0),MATCH($C294,'🔖 배합비 참조'!$B$1:$CE$1,0))/100,0),""))),"")</f>
        <v>0</v>
      </c>
      <c r="CH294" s="42" t="n">
        <f aca="false">IFERROR(IF($C294="","",IF($D294="","",IFERROR(ROUND($D294*INDEX('🔖 배합비 참조'!$B$2:$CE$83,MATCH("흑미찹쌀(국내산)",'🔖 배합비 참조'!$A$2:$A$83,0),MATCH($C294,'🔖 배합비 참조'!$B$1:$CE$1,0))/100,0),""))),"")</f>
        <v>0</v>
      </c>
      <c r="CI294" s="42" t="n">
        <f aca="false">IFERROR(IF($C294="","",IF($D294="","",IFERROR(ROUND($D294*INDEX('🔖 배합비 참조'!$B$2:$CE$83,MATCH("찰옥수수전분(미국산)",'🔖 배합비 참조'!$A$2:$A$83,0),MATCH($C294,'🔖 배합비 참조'!$B$1:$CE$1,0))/100,0),""))),"")</f>
        <v>99</v>
      </c>
      <c r="CJ294" s="40"/>
      <c r="CL294" s="43" t="s">
        <v>248</v>
      </c>
    </row>
    <row r="295" customFormat="false" ht="18" hidden="false" customHeight="true" outlineLevel="0" collapsed="false">
      <c r="A295" s="35" t="n">
        <v>291</v>
      </c>
      <c r="B295" s="36" t="n">
        <v>46100</v>
      </c>
      <c r="C295" s="37" t="s">
        <v>222</v>
      </c>
      <c r="D295" s="38" t="n">
        <v>110</v>
      </c>
      <c r="E295" s="13"/>
      <c r="F295" s="13"/>
      <c r="G295" s="39" t="n">
        <f aca="false">IFERROR(IF($C295="","",IF($D295="","",IFERROR(ROUND($D295*INDEX('🔖 배합비 참조'!$B$2:$CE$83,MATCH("간장",'🔖 배합비 참조'!$A$2:$A$83,0),MATCH($C295,'🔖 배합비 참조'!$B$1:$CE$1,0))/100,0),""))),"")</f>
        <v>0</v>
      </c>
      <c r="H295" s="39" t="n">
        <f aca="false">IFERROR(IF($C295="","",IF($D295="","",IFERROR(ROUND($D295*INDEX('🔖 배합비 참조'!$B$2:$CE$83,MATCH("강낭콩((울타리콩))",'🔖 배합비 참조'!$A$2:$A$83,0),MATCH($C295,'🔖 배합비 참조'!$B$1:$CE$1,0))/100,0),""))),"")</f>
        <v>0</v>
      </c>
      <c r="I295" s="39" t="n">
        <f aca="false">IFERROR(IF($C295="","",IF($D295="","",IFERROR(ROUND($D295*INDEX('🔖 배합비 참조'!$B$2:$CE$83,MATCH("건조딸기다이스(외국산)",'🔖 배합비 참조'!$A$2:$A$83,0),MATCH($C295,'🔖 배합비 참조'!$B$1:$CE$1,0))/100,0),""))),"")</f>
        <v>0</v>
      </c>
      <c r="J295" s="39" t="n">
        <f aca="false">IFERROR(IF($C295="","",IF($D295="","",IFERROR(ROUND($D295*INDEX('🔖 배합비 참조'!$B$2:$CE$83,MATCH("건포도",'🔖 배합비 참조'!$A$2:$A$83,0),MATCH($C295,'🔖 배합비 참조'!$B$1:$CE$1,0))/100,0),""))),"")</f>
        <v>0</v>
      </c>
      <c r="K295" s="39" t="n">
        <f aca="false">IFERROR(IF($C295="","",IF($D295="","",IFERROR(ROUND($D295*INDEX('🔖 배합비 참조'!$B$2:$CE$83,MATCH("건호박채(중국산)",'🔖 배합비 참조'!$A$2:$A$83,0),MATCH($C295,'🔖 배합비 참조'!$B$1:$CE$1,0))/100,0),""))),"")</f>
        <v>0</v>
      </c>
      <c r="L295" s="39" t="n">
        <f aca="false">IFERROR(IF($C295="","",IF($D295="","",IFERROR(ROUND($D295*INDEX('🔖 배합비 참조'!$B$2:$CE$83,MATCH("검정깨(흑임자)",'🔖 배합비 참조'!$A$2:$A$83,0),MATCH($C295,'🔖 배합비 참조'!$B$1:$CE$1,0))/100,0),""))),"")</f>
        <v>0</v>
      </c>
      <c r="M295" s="39" t="n">
        <f aca="false">IFERROR(IF($C295="","",IF($D295="","",IFERROR(ROUND($D295*INDEX('🔖 배합비 참조'!$B$2:$CE$83,MATCH("검정콩",'🔖 배합비 참조'!$A$2:$A$83,0),MATCH($C295,'🔖 배합비 참조'!$B$1:$CE$1,0))/100,0),""))),"")</f>
        <v>0</v>
      </c>
      <c r="N295" s="39" t="n">
        <f aca="false">IFERROR(IF($C295="","",IF($D295="","",IFERROR(ROUND($D295*INDEX('🔖 배합비 참조'!$B$2:$CE$83,MATCH("계피가루",'🔖 배합비 참조'!$A$2:$A$83,0),MATCH($C295,'🔖 배합비 참조'!$B$1:$CE$1,0))/100,0),""))),"")</f>
        <v>0</v>
      </c>
      <c r="O295" s="39" t="n">
        <f aca="false">IFERROR(IF($C295="","",IF($D295="","",IFERROR(ROUND($D295*INDEX('🔖 배합비 참조'!$B$2:$CE$83,MATCH("고구마가루",'🔖 배합비 참조'!$A$2:$A$83,0),MATCH($C295,'🔖 배합비 참조'!$B$1:$CE$1,0))/100,0),""))),"")</f>
        <v>0</v>
      </c>
      <c r="P295" s="39" t="n">
        <f aca="false">IFERROR(IF($C295="","",IF($D295="","",IFERROR(ROUND($D295*INDEX('🔖 배합비 참조'!$B$2:$CE$83,MATCH("고구마무스",'🔖 배합비 참조'!$A$2:$A$83,0),MATCH($C295,'🔖 배합비 참조'!$B$1:$CE$1,0))/100,0),""))),"")</f>
        <v>0</v>
      </c>
      <c r="Q295" s="39" t="n">
        <f aca="false">IFERROR(IF($C295="","",IF($D295="","",IFERROR(ROUND($D295*INDEX('🔖 배합비 참조'!$B$2:$CE$83,MATCH("고려엉겅퀴((곤드레)국내산)",'🔖 배합비 참조'!$A$2:$A$83,0),MATCH($C295,'🔖 배합비 참조'!$B$1:$CE$1,0))/100,0),""))),"")</f>
        <v>0</v>
      </c>
      <c r="R295" s="39" t="n">
        <f aca="false">IFERROR(IF($C295="","",IF($D295="","",IFERROR(ROUND($D295*INDEX('🔖 배합비 참조'!$B$2:$CE$83,MATCH("기타가공품(복분자가루)",'🔖 배합비 참조'!$A$2:$A$83,0),MATCH($C295,'🔖 배합비 참조'!$B$1:$CE$1,0))/100,0),""))),"")</f>
        <v>0</v>
      </c>
      <c r="S295" s="39" t="n">
        <f aca="false">IFERROR(IF($C295="","",IF($D295="","",IFERROR(ROUND($D295*INDEX('🔖 배합비 참조'!$B$2:$CE$83,MATCH("기타가공품(슈퍼소프트엠)",'🔖 배합비 참조'!$A$2:$A$83,0),MATCH($C295,'🔖 배합비 참조'!$B$1:$CE$1,0))/100,0),""))),"")</f>
        <v>0</v>
      </c>
      <c r="T295" s="39" t="n">
        <f aca="false">IFERROR(IF($C295="","",IF($D295="","",IFERROR(ROUND($D295*INDEX('🔖 배합비 참조'!$B$2:$CE$83,MATCH("기타가공품(파인소프트 E-티)",'🔖 배합비 참조'!$A$2:$A$83,0),MATCH($C295,'🔖 배합비 참조'!$B$1:$CE$1,0))/100,0),""))),"")</f>
        <v>0</v>
      </c>
      <c r="U295" s="39" t="n">
        <f aca="false">IFERROR(IF($C295="","",IF($D295="","",IFERROR(ROUND($D295*INDEX('🔖 배합비 참조'!$B$2:$CE$83,MATCH("기타가공품(프리미엄카스테라가루)",'🔖 배합비 참조'!$A$2:$A$83,0),MATCH($C295,'🔖 배합비 참조'!$B$1:$CE$1,0))/100,0),""))),"")</f>
        <v>8</v>
      </c>
      <c r="V295" s="39" t="n">
        <f aca="false">IFERROR(IF($C295="","",IF($D295="","",IFERROR(ROUND($D295*INDEX('🔖 배합비 참조'!$B$2:$CE$83,MATCH("기타가공품(흑임자가루)",'🔖 배합비 참조'!$A$2:$A$83,0),MATCH($C295,'🔖 배합비 참조'!$B$1:$CE$1,0))/100,0),""))),"")</f>
        <v>0</v>
      </c>
      <c r="W295" s="39" t="n">
        <f aca="false">IFERROR(IF($C295="","",IF($D295="","",IFERROR(ROUND($D295*INDEX('🔖 배합비 참조'!$B$2:$CE$83,MATCH("기타설탕(흑설탕)",'🔖 배합비 참조'!$A$2:$A$83,0),MATCH($C295,'🔖 배합비 참조'!$B$1:$CE$1,0))/100,0),""))),"")</f>
        <v>0</v>
      </c>
      <c r="X295" s="39" t="n">
        <f aca="false">IFERROR(IF($C295="","",IF($D295="","",IFERROR(ROUND($D295*INDEX('🔖 배합비 참조'!$B$2:$CE$83,MATCH("냉동쑥(국내산)",'🔖 배합비 참조'!$A$2:$A$83,0),MATCH($C295,'🔖 배합비 참조'!$B$1:$CE$1,0))/100,0),""))),"")</f>
        <v>6</v>
      </c>
      <c r="Y295" s="39" t="n">
        <f aca="false">IFERROR(IF($C295="","",IF($D295="","",IFERROR(ROUND($D295*INDEX('🔖 배합비 참조'!$B$2:$CE$83,MATCH("냉동증숙고구마(중국산)",'🔖 배합비 참조'!$A$2:$A$83,0),MATCH($C295,'🔖 배합비 참조'!$B$1:$CE$1,0))/100,0),""))),"")</f>
        <v>0</v>
      </c>
      <c r="Z295" s="39" t="n">
        <f aca="false">IFERROR(IF($C295="","",IF($D295="","",IFERROR(ROUND($D295*INDEX('🔖 배합비 참조'!$B$2:$CE$83,MATCH("녹차가루",'🔖 배합비 참조'!$A$2:$A$83,0),MATCH($C295,'🔖 배합비 참조'!$B$1:$CE$1,0))/100,0),""))),"")</f>
        <v>0</v>
      </c>
      <c r="AA295" s="39" t="n">
        <f aca="false">IFERROR(IF($C295="","",IF($D295="","",IFERROR(ROUND($D295*INDEX('🔖 배합비 참조'!$B$2:$CE$83,MATCH("다크초콜릿 컴파운드칩",'🔖 배합비 참조'!$A$2:$A$83,0),MATCH($C295,'🔖 배합비 참조'!$B$1:$CE$1,0))/100,0),""))),"")</f>
        <v>0</v>
      </c>
      <c r="AB295" s="39" t="n">
        <f aca="false">IFERROR(IF($C295="","",IF($D295="","",IFERROR(ROUND($D295*INDEX('🔖 배합비 참조'!$B$2:$CE$83,MATCH("단호박분말(중국산)",'🔖 배합비 참조'!$A$2:$A$83,0),MATCH($C295,'🔖 배합비 참조'!$B$1:$CE$1,0))/100,0),""))),"")</f>
        <v>0</v>
      </c>
      <c r="AC295" s="39" t="n">
        <f aca="false">IFERROR(IF($C295="","",IF($D295="","",IFERROR(ROUND($D295*INDEX('🔖 배합비 참조'!$B$2:$CE$83,MATCH("당류가공품(단호박농축액)",'🔖 배합비 참조'!$A$2:$A$83,0),MATCH($C295,'🔖 배합비 참조'!$B$1:$CE$1,0))/100,0),""))),"")</f>
        <v>0</v>
      </c>
      <c r="AD295" s="39" t="n">
        <f aca="false">IFERROR(IF($C295="","",IF($D295="","",IFERROR(ROUND($D295*INDEX('🔖 배합비 참조'!$B$2:$CE$83,MATCH("당류가공품(알룰로스,에리스리톨,스테비올배당체혼합)",'🔖 배합비 참조'!$A$2:$A$83,0),MATCH($C295,'🔖 배합비 참조'!$B$1:$CE$1,0))/100,0),""))),"")</f>
        <v>0</v>
      </c>
      <c r="AE295" s="39" t="n">
        <f aca="false">IFERROR(IF($C295="","",IF($D295="","",IFERROR(ROUND($D295*INDEX('🔖 배합비 참조'!$B$2:$CE$83,MATCH("당류가공품(알룰로스제로파우더)",'🔖 배합비 참조'!$A$2:$A$83,0),MATCH($C295,'🔖 배합비 참조'!$B$1:$CE$1,0))/100,0),""))),"")</f>
        <v>0</v>
      </c>
      <c r="AF295" s="39" t="n">
        <f aca="false">IFERROR(IF($C295="","",IF($D295="","",IFERROR(ROUND($D295*INDEX('🔖 배합비 참조'!$B$2:$CE$83,MATCH("당절임(완두배기)",'🔖 배합비 참조'!$A$2:$A$83,0),MATCH($C295,'🔖 배합비 참조'!$B$1:$CE$1,0))/100,0),""))),"")</f>
        <v>0</v>
      </c>
      <c r="AG295" s="39" t="n">
        <f aca="false">IFERROR(IF($C295="","",IF($D295="","",IFERROR(ROUND($D295*INDEX('🔖 배합비 참조'!$B$2:$CE$83,MATCH("대추농축액",'🔖 배합비 참조'!$A$2:$A$83,0),MATCH($C295,'🔖 배합비 참조'!$B$1:$CE$1,0))/100,0),""))),"")</f>
        <v>0</v>
      </c>
      <c r="AH295" s="39" t="n">
        <f aca="false">IFERROR(IF($C295="","",IF($D295="","",IFERROR(ROUND($D295*INDEX('🔖 배합비 참조'!$B$2:$CE$83,MATCH("대추채(국내산)",'🔖 배합비 참조'!$A$2:$A$83,0),MATCH($C295,'🔖 배합비 참조'!$B$1:$CE$1,0))/100,0),""))),"")</f>
        <v>0</v>
      </c>
      <c r="AI295" s="39" t="n">
        <f aca="false">IFERROR(IF($C295="","",IF($D295="","",IFERROR(ROUND($D295*INDEX('🔖 배합비 참조'!$B$2:$CE$83,MATCH("동부(미얀마산)",'🔖 배합비 참조'!$A$2:$A$83,0),MATCH($C295,'🔖 배합비 참조'!$B$1:$CE$1,0))/100,0),""))),"")</f>
        <v>8</v>
      </c>
      <c r="AJ295" s="39" t="n">
        <f aca="false">IFERROR(IF($C295="","",IF($D295="","",IFERROR(ROUND($D295*INDEX('🔖 배합비 참조'!$B$2:$CE$83,MATCH("두류가공품(백옥앙금)",'🔖 배합비 참조'!$A$2:$A$83,0),MATCH($C295,'🔖 배합비 참조'!$B$1:$CE$1,0))/100,0),""))),"")</f>
        <v>0</v>
      </c>
      <c r="AK295" s="39" t="n">
        <f aca="false">IFERROR(IF($C295="","",IF($D295="","",IFERROR(ROUND($D295*INDEX('🔖 배합비 참조'!$B$2:$CE$83,MATCH("두류가공품(콩고물)",'🔖 배합비 참조'!$A$2:$A$83,0),MATCH($C295,'🔖 배합비 참조'!$B$1:$CE$1,0))/100,0),""))),"")</f>
        <v>0</v>
      </c>
      <c r="AL295" s="39" t="n">
        <f aca="false">IFERROR(IF($C295="","",IF($D295="","",IFERROR(ROUND($D295*INDEX('🔖 배합비 참조'!$B$2:$CE$83,MATCH("두류가공품(통팥고물)",'🔖 배합비 참조'!$A$2:$A$83,0),MATCH($C295,'🔖 배합비 참조'!$B$1:$CE$1,0))/100,0),""))),"")</f>
        <v>0</v>
      </c>
      <c r="AM295" s="39" t="n">
        <f aca="false">IFERROR(IF($C295="","",IF($D295="","",IFERROR(ROUND($D295*INDEX('🔖 배합비 참조'!$B$2:$CE$83,MATCH("딸기레진",'🔖 배합비 참조'!$A$2:$A$83,0),MATCH($C295,'🔖 배합비 참조'!$B$1:$CE$1,0))/100,0),""))),"")</f>
        <v>0</v>
      </c>
      <c r="AN295" s="39" t="n">
        <f aca="false">IFERROR(IF($C295="","",IF($D295="","",IFERROR(ROUND($D295*INDEX('🔖 배합비 참조'!$B$2:$CE$83,MATCH("딸기분말(스트로우베리에이드(분말))",'🔖 배합비 참조'!$A$2:$A$83,0),MATCH($C295,'🔖 배합비 참조'!$B$1:$CE$1,0))/100,0),""))),"")</f>
        <v>0</v>
      </c>
      <c r="AO295" s="39" t="n">
        <f aca="false">IFERROR(IF($C295="","",IF($D295="","",IFERROR(ROUND($D295*INDEX('🔖 배합비 참조'!$B$2:$CE$83,MATCH("마스카포네치즈",'🔖 배합비 참조'!$A$2:$A$83,0),MATCH($C295,'🔖 배합비 참조'!$B$1:$CE$1,0))/100,0),""))),"")</f>
        <v>0</v>
      </c>
      <c r="AP295" s="39" t="n">
        <f aca="false">IFERROR(IF($C295="","",IF($D295="","",IFERROR(ROUND($D295*INDEX('🔖 배합비 참조'!$B$2:$CE$83,MATCH("마카다미아분태(호주산)",'🔖 배합비 참조'!$A$2:$A$83,0),MATCH($C295,'🔖 배합비 참조'!$B$1:$CE$1,0))/100,0),""))),"")</f>
        <v>0</v>
      </c>
      <c r="AQ295" s="39" t="n">
        <f aca="false">IFERROR(IF($C295="","",IF($D295="","",IFERROR(ROUND($D295*INDEX('🔖 배합비 참조'!$B$2:$CE$83,MATCH("멥쌀(국내산)",'🔖 배합비 참조'!$A$2:$A$83,0),MATCH($C295,'🔖 배합비 참조'!$B$1:$CE$1,0))/100,0),""))),"")</f>
        <v>0</v>
      </c>
      <c r="AR295" s="39" t="n">
        <f aca="false">IFERROR(IF($C295="","",IF($D295="","",IFERROR(ROUND($D295*INDEX('🔖 배합비 참조'!$B$2:$CE$83,MATCH("모시잎(국내산)",'🔖 배합비 참조'!$A$2:$A$83,0),MATCH($C295,'🔖 배합비 참조'!$B$1:$CE$1,0))/100,0),""))),"")</f>
        <v>0</v>
      </c>
      <c r="AS295" s="39" t="n">
        <f aca="false">IFERROR(IF($C295="","",IF($D295="","",IFERROR(ROUND($D295*INDEX('🔖 배합비 참조'!$B$2:$CE$83,MATCH("물엿(저당물엿)",'🔖 배합비 참조'!$A$2:$A$83,0),MATCH($C295,'🔖 배합비 참조'!$B$1:$CE$1,0))/100,0),""))),"")</f>
        <v>3</v>
      </c>
      <c r="AT295" s="39" t="n">
        <f aca="false">IFERROR(IF($C295="","",IF($D295="","",IFERROR(ROUND($D295*INDEX('🔖 배합비 참조'!$B$2:$CE$83,MATCH("밤다이스",'🔖 배합비 참조'!$A$2:$A$83,0),MATCH($C295,'🔖 배합비 참조'!$B$1:$CE$1,0))/100,0),""))),"")</f>
        <v>0</v>
      </c>
      <c r="AU295" s="39" t="n">
        <f aca="false">IFERROR(IF($C295="","",IF($D295="","",IFERROR(ROUND($D295*INDEX('🔖 배합비 참조'!$B$2:$CE$83,MATCH("변성전분(타피오카전분)",'🔖 배합비 참조'!$A$2:$A$83,0),MATCH($C295,'🔖 배합비 참조'!$B$1:$CE$1,0))/100,0),""))),"")</f>
        <v>0</v>
      </c>
      <c r="AV295" s="39" t="n">
        <f aca="false">IFERROR(IF($C295="","",IF($D295="","",IFERROR(ROUND($D295*INDEX('🔖 배합비 참조'!$B$2:$CE$83,MATCH("복음땅콩분태",'🔖 배합비 참조'!$A$2:$A$83,0),MATCH($C295,'🔖 배합비 참조'!$B$1:$CE$1,0))/100,0),""))),"")</f>
        <v>0</v>
      </c>
      <c r="AW295" s="39" t="n">
        <f aca="false">IFERROR(IF($C295="","",IF($D295="","",IFERROR(ROUND($D295*INDEX('🔖 배합비 참조'!$B$2:$CE$83,MATCH("사양벌꿀(국내산)",'🔖 배합비 참조'!$A$2:$A$83,0),MATCH($C295,'🔖 배합비 참조'!$B$1:$CE$1,0))/100,0),""))),"")</f>
        <v>0</v>
      </c>
      <c r="AX295" s="39" t="n">
        <f aca="false">IFERROR(IF($C295="","",IF($D295="","",IFERROR(ROUND($D295*INDEX('🔖 배합비 참조'!$B$2:$CE$83,MATCH("생크림",'🔖 배합비 참조'!$A$2:$A$83,0),MATCH($C295,'🔖 배합비 참조'!$B$1:$CE$1,0))/100,0),""))),"")</f>
        <v>0</v>
      </c>
      <c r="AY295" s="39" t="n">
        <f aca="false">IFERROR(IF($C295="","",IF($D295="","",IFERROR(ROUND($D295*INDEX('🔖 배합비 참조'!$B$2:$CE$83,MATCH("서양호박(국내산,뉴질랜드산)",'🔖 배합비 참조'!$A$2:$A$83,0),MATCH($C295,'🔖 배합비 참조'!$B$1:$CE$1,0))/100,0),""))),"")</f>
        <v>0</v>
      </c>
      <c r="AZ295" s="39" t="n">
        <f aca="false">IFERROR(IF($C295="","",IF($D295="","",IFERROR(ROUND($D295*INDEX('🔖 배합비 참조'!$B$2:$CE$83,MATCH("설탕",'🔖 배합비 참조'!$A$2:$A$83,0),MATCH($C295,'🔖 배합비 참조'!$B$1:$CE$1,0))/100,0),""))),"")</f>
        <v>3</v>
      </c>
      <c r="BA295" s="39" t="n">
        <f aca="false">IFERROR(IF($C295="","",IF($D295="","",IFERROR(ROUND($D295*INDEX('🔖 배합비 참조'!$B$2:$CE$83,MATCH("스트로우베리 에이드 후레쉬",'🔖 배합비 참조'!$A$2:$A$83,0),MATCH($C295,'🔖 배합비 참조'!$B$1:$CE$1,0))/100,0),""))),"")</f>
        <v>0</v>
      </c>
      <c r="BB295" s="39" t="n">
        <f aca="false">IFERROR(IF($C295="","",IF($D295="","",IFERROR(ROUND($D295*INDEX('🔖 배합비 참조'!$B$2:$CE$83,MATCH("식물성기름혼합제제(분홍)",'🔖 배합비 참조'!$A$2:$A$83,0),MATCH($C295,'🔖 배합비 참조'!$B$1:$CE$1,0))/100,0),""))),"")</f>
        <v>0</v>
      </c>
      <c r="BC295" s="39" t="n">
        <f aca="false">IFERROR(IF($C295="","",IF($D295="","",IFERROR(ROUND($D295*INDEX('🔖 배합비 참조'!$B$2:$CE$83,MATCH("식물성기름혼합제제(초록)",'🔖 배합비 참조'!$A$2:$A$83,0),MATCH($C295,'🔖 배합비 참조'!$B$1:$CE$1,0))/100,0),""))),"")</f>
        <v>0</v>
      </c>
      <c r="BD295" s="39" t="n">
        <f aca="false">IFERROR(IF($C295="","",IF($D295="","",IFERROR(ROUND($D295*INDEX('🔖 배합비 참조'!$B$2:$CE$83,MATCH("식물성기름혼합제제(황색)",'🔖 배합비 참조'!$A$2:$A$83,0),MATCH($C295,'🔖 배합비 참조'!$B$1:$CE$1,0))/100,0),""))),"")</f>
        <v>0</v>
      </c>
      <c r="BE295" s="39" t="n">
        <f aca="false">IFERROR(IF($C295="","",IF($D295="","",IFERROR(ROUND($D295*INDEX('🔖 배합비 참조'!$B$2:$CE$83,MATCH("쑥가루(국내산)",'🔖 배합비 참조'!$A$2:$A$83,0),MATCH($C295,'🔖 배합비 참조'!$B$1:$CE$1,0))/100,0),""))),"")</f>
        <v>3</v>
      </c>
      <c r="BF295" s="39" t="n">
        <f aca="false">IFERROR(IF($C295="","",IF($D295="","",IFERROR(ROUND($D295*INDEX('🔖 배합비 참조'!$B$2:$CE$83,MATCH("아몬드슬라이스",'🔖 배합비 참조'!$A$2:$A$83,0),MATCH($C295,'🔖 배합비 참조'!$B$1:$CE$1,0))/100,0),""))),"")</f>
        <v>0</v>
      </c>
      <c r="BG295" s="39" t="n">
        <f aca="false">IFERROR(IF($C295="","",IF($D295="","",IFERROR(ROUND($D295*INDEX('🔖 배합비 참조'!$B$2:$CE$83,MATCH("알룰로오스(국내산)",'🔖 배합비 참조'!$A$2:$A$83,0),MATCH($C295,'🔖 배합비 참조'!$B$1:$CE$1,0))/100,0),""))),"")</f>
        <v>0</v>
      </c>
      <c r="BH295" s="39" t="n">
        <f aca="false">IFERROR(IF($C295="","",IF($D295="","",IFERROR(ROUND($D295*INDEX('🔖 배합비 참조'!$B$2:$CE$83,MATCH("연유",'🔖 배합비 참조'!$A$2:$A$83,0),MATCH($C295,'🔖 배합비 참조'!$B$1:$CE$1,0))/100,0),""))),"")</f>
        <v>0</v>
      </c>
      <c r="BI295" s="39" t="n">
        <f aca="false">IFERROR(IF($C295="","",IF($D295="","",IFERROR(ROUND($D295*INDEX('🔖 배합비 참조'!$B$2:$CE$83,MATCH("옥수수전분",'🔖 배합비 참조'!$A$2:$A$83,0),MATCH($C295,'🔖 배합비 참조'!$B$1:$CE$1,0))/100,0),""))),"")</f>
        <v>0</v>
      </c>
      <c r="BJ295" s="39" t="n">
        <f aca="false">IFERROR(IF($C295="","",IF($D295="","",IFERROR(ROUND($D295*INDEX('🔖 배합비 참조'!$B$2:$CE$83,MATCH("완두배기",'🔖 배합비 참조'!$A$2:$A$83,0),MATCH($C295,'🔖 배합비 참조'!$B$1:$CE$1,0))/100,0),""))),"")</f>
        <v>0</v>
      </c>
      <c r="BK295" s="39" t="n">
        <f aca="false">IFERROR(IF($C295="","",IF($D295="","",IFERROR(ROUND($D295*INDEX('🔖 배합비 참조'!$B$2:$CE$83,MATCH("우유(국내산)",'🔖 배합비 참조'!$A$2:$A$83,0),MATCH($C295,'🔖 배합비 참조'!$B$1:$CE$1,0))/100,0),""))),"")</f>
        <v>0</v>
      </c>
      <c r="BL295" s="39" t="n">
        <f aca="false">IFERROR(IF($C295="","",IF($D295="","",IFERROR(ROUND($D295*INDEX('🔖 배합비 참조'!$B$2:$CE$83,MATCH("자색고구마가루(중국산)",'🔖 배합비 참조'!$A$2:$A$83,0),MATCH($C295,'🔖 배합비 참조'!$B$1:$CE$1,0))/100,0),""))),"")</f>
        <v>0</v>
      </c>
      <c r="BM295" s="39" t="n">
        <f aca="false">IFERROR(IF($C295="","",IF($D295="","",IFERROR(ROUND($D295*INDEX('🔖 배합비 참조'!$B$2:$CE$83,MATCH("자연치즈(체다치즈)",'🔖 배합비 참조'!$A$2:$A$83,0),MATCH($C295,'🔖 배합비 참조'!$B$1:$CE$1,0))/100,0),""))),"")</f>
        <v>0</v>
      </c>
      <c r="BN295" s="39" t="n">
        <f aca="false">IFERROR(IF($C295="","",IF($D295="","",IFERROR(ROUND($D295*INDEX('🔖 배합비 참조'!$B$2:$CE$83,MATCH("정제수",'🔖 배합비 참조'!$A$2:$A$83,0),MATCH($C295,'🔖 배합비 참조'!$B$1:$CE$1,0))/100,0),""))),"")</f>
        <v>13</v>
      </c>
      <c r="BO295" s="39" t="n">
        <f aca="false">IFERROR(IF($C295="","",IF($D295="","",IFERROR(ROUND($D295*INDEX('🔖 배합비 참조'!$B$2:$CE$83,MATCH("젤라틴",'🔖 배합비 참조'!$A$2:$A$83,0),MATCH($C295,'🔖 배합비 참조'!$B$1:$CE$1,0))/100,0),""))),"")</f>
        <v>0</v>
      </c>
      <c r="BP295" s="39" t="n">
        <f aca="false">IFERROR(IF($C295="","",IF($D295="","",IFERROR(ROUND($D295*INDEX('🔖 배합비 참조'!$B$2:$CE$83,MATCH("조림류(백옥앙금)",'🔖 배합비 참조'!$A$2:$A$83,0),MATCH($C295,'🔖 배합비 참조'!$B$1:$CE$1,0))/100,0),""))),"")</f>
        <v>34</v>
      </c>
      <c r="BQ295" s="39" t="n">
        <f aca="false">IFERROR(IF($C295="","",IF($D295="","",IFERROR(ROUND($D295*INDEX('🔖 배합비 참조'!$B$2:$CE$83,MATCH("조림류(통팥앙금)",'🔖 배합비 참조'!$A$2:$A$83,0),MATCH($C295,'🔖 배합비 참조'!$B$1:$CE$1,0))/100,0),""))),"")</f>
        <v>0</v>
      </c>
      <c r="BR295" s="39" t="n">
        <f aca="false">IFERROR(IF($C295="","",IF($D295="","",IFERROR(ROUND($D295*INDEX('🔖 배합비 참조'!$B$2:$CE$83,MATCH("준초콜릿(외국산)",'🔖 배합비 참조'!$A$2:$A$83,0),MATCH($C295,'🔖 배합비 참조'!$B$1:$CE$1,0))/100,0),""))),"")</f>
        <v>0</v>
      </c>
      <c r="BS295" s="39" t="n">
        <f aca="false">IFERROR(IF($C295="","",IF($D295="","",IFERROR(ROUND($D295*INDEX('🔖 배합비 참조'!$B$2:$CE$83,MATCH("중력분",'🔖 배합비 참조'!$A$2:$A$83,0),MATCH($C295,'🔖 배합비 참조'!$B$1:$CE$1,0))/100,0),""))),"")</f>
        <v>1</v>
      </c>
      <c r="BT295" s="39" t="n">
        <f aca="false">IFERROR(IF($C295="","",IF($D295="","",IFERROR(ROUND($D295*INDEX('🔖 배합비 참조'!$B$2:$CE$83,MATCH("참깨(인도산,나이지리아산,탄자니아산,미얀마산)",'🔖 배합비 참조'!$A$2:$A$83,0),MATCH($C295,'🔖 배합비 참조'!$B$1:$CE$1,0))/100,0),""))),"")</f>
        <v>0</v>
      </c>
      <c r="BU295" s="39" t="n">
        <f aca="false">IFERROR(IF($C295="","",IF($D295="","",IFERROR(ROUND($D295*INDEX('🔖 배합비 참조'!$B$2:$CE$83,MATCH("찹쌀(국내산)",'🔖 배합비 참조'!$A$2:$A$83,0),MATCH($C295,'🔖 배합비 참조'!$B$1:$CE$1,0))/100,0),""))),"")</f>
        <v>31</v>
      </c>
      <c r="BV295" s="39" t="n">
        <f aca="false">IFERROR(IF($C295="","",IF($D295="","",IFERROR(ROUND($D295*INDEX('🔖 배합비 참조'!$B$2:$CE$83,MATCH("천일염",'🔖 배합비 참조'!$A$2:$A$83,0),MATCH($C295,'🔖 배합비 참조'!$B$1:$CE$1,0))/100,0),""))),"")</f>
        <v>1</v>
      </c>
      <c r="BW295" s="39" t="n">
        <f aca="false">IFERROR(IF($C295="","",IF($D295="","",IFERROR(ROUND($D295*INDEX('🔖 배합비 참조'!$B$2:$CE$83,MATCH("치즈 [크림치즈]",'🔖 배합비 참조'!$A$2:$A$83,0),MATCH($C295,'🔖 배합비 참조'!$B$1:$CE$1,0))/100,0),""))),"")</f>
        <v>0</v>
      </c>
      <c r="BX295" s="39" t="n">
        <f aca="false">IFERROR(IF($C295="","",IF($D295="","",IFERROR(ROUND($D295*INDEX('🔖 배합비 참조'!$B$2:$CE$83,MATCH("코코아가공품류(코코아분말)",'🔖 배합비 참조'!$A$2:$A$83,0),MATCH($C295,'🔖 배합비 참조'!$B$1:$CE$1,0))/100,0),""))),"")</f>
        <v>0</v>
      </c>
      <c r="BY295" s="39" t="n">
        <f aca="false">IFERROR(IF($C295="","",IF($D295="","",IFERROR(ROUND($D295*INDEX('🔖 배합비 참조'!$B$2:$CE$83,MATCH("콩기름(대두유)",'🔖 배합비 참조'!$A$2:$A$83,0),MATCH($C295,'🔖 배합비 참조'!$B$1:$CE$1,0))/100,0),""))),"")</f>
        <v>0</v>
      </c>
      <c r="BZ295" s="39" t="n">
        <f aca="false">IFERROR(IF($C295="","",IF($D295="","",IFERROR(ROUND($D295*INDEX('🔖 배합비 참조'!$B$2:$CE$83,MATCH("해바라기씨앗",'🔖 배합비 참조'!$A$2:$A$83,0),MATCH($C295,'🔖 배합비 참조'!$B$1:$CE$1,0))/100,0),""))),"")</f>
        <v>0</v>
      </c>
      <c r="CA295" s="39" t="n">
        <f aca="false">IFERROR(IF($C295="","",IF($D295="","",IFERROR(ROUND($D295*INDEX('🔖 배합비 참조'!$B$2:$CE$83,MATCH("현미(국내산)",'🔖 배합비 참조'!$A$2:$A$83,0),MATCH($C295,'🔖 배합비 참조'!$B$1:$CE$1,0))/100,0),""))),"")</f>
        <v>0</v>
      </c>
      <c r="CB295" s="39" t="n">
        <f aca="false">IFERROR(IF($C295="","",IF($D295="","",IFERROR(ROUND($D295*INDEX('🔖 배합비 참조'!$B$2:$CE$83,MATCH("현미멥쌀(국내산)",'🔖 배합비 참조'!$A$2:$A$83,0),MATCH($C295,'🔖 배합비 참조'!$B$1:$CE$1,0))/100,0),""))),"")</f>
        <v>0</v>
      </c>
      <c r="CC295" s="39" t="n">
        <f aca="false">IFERROR(IF($C295="","",IF($D295="","",IFERROR(ROUND($D295*INDEX('🔖 배합비 참조'!$B$2:$CE$83,MATCH("호두분태(미국산)",'🔖 배합비 참조'!$A$2:$A$83,0),MATCH($C295,'🔖 배합비 참조'!$B$1:$CE$1,0))/100,0),""))),"")</f>
        <v>0</v>
      </c>
      <c r="CD295" s="39" t="n">
        <f aca="false">IFERROR(IF($C295="","",IF($D295="","",IFERROR(ROUND($D295*INDEX('🔖 배합비 참조'!$B$2:$CE$83,MATCH("호박씨앗(외국산)",'🔖 배합비 참조'!$A$2:$A$83,0),MATCH($C295,'🔖 배합비 참조'!$B$1:$CE$1,0))/100,0),""))),"")</f>
        <v>0</v>
      </c>
      <c r="CE295" s="39" t="n">
        <f aca="false">IFERROR(IF($C295="","",IF($D295="","",IFERROR(ROUND($D295*INDEX('🔖 배합비 참조'!$B$2:$CE$83,MATCH("혼합제제(떡용에스텔)",'🔖 배합비 참조'!$A$2:$A$83,0),MATCH($C295,'🔖 배합비 참조'!$B$1:$CE$1,0))/100,0),""))),"")</f>
        <v>0</v>
      </c>
      <c r="CF295" s="39" t="n">
        <f aca="false">IFERROR(IF($C295="","",IF($D295="","",IFERROR(ROUND($D295*INDEX('🔖 배합비 참조'!$B$2:$CE$83,MATCH("혼합제제(스테비아)",'🔖 배합비 참조'!$A$2:$A$83,0),MATCH($C295,'🔖 배합비 참조'!$B$1:$CE$1,0))/100,0),""))),"")</f>
        <v>0</v>
      </c>
      <c r="CG295" s="39" t="n">
        <f aca="false">IFERROR(IF($C295="","",IF($D295="","",IFERROR(ROUND($D295*INDEX('🔖 배합비 참조'!$B$2:$CE$83,MATCH("화이트초콜릿",'🔖 배합비 참조'!$A$2:$A$83,0),MATCH($C295,'🔖 배합비 참조'!$B$1:$CE$1,0))/100,0),""))),"")</f>
        <v>0</v>
      </c>
      <c r="CH295" s="39" t="n">
        <f aca="false">IFERROR(IF($C295="","",IF($D295="","",IFERROR(ROUND($D295*INDEX('🔖 배합비 참조'!$B$2:$CE$83,MATCH("흑미찹쌀(국내산)",'🔖 배합비 참조'!$A$2:$A$83,0),MATCH($C295,'🔖 배합비 참조'!$B$1:$CE$1,0))/100,0),""))),"")</f>
        <v>0</v>
      </c>
      <c r="CI295" s="39" t="n">
        <f aca="false">IFERROR(IF($C295="","",IF($D295="","",IFERROR(ROUND($D295*INDEX('🔖 배합비 참조'!$B$2:$CE$83,MATCH("찰옥수수전분(미국산)",'🔖 배합비 참조'!$A$2:$A$83,0),MATCH($C295,'🔖 배합비 참조'!$B$1:$CE$1,0))/100,0),""))),"")</f>
        <v>0</v>
      </c>
      <c r="CJ295" s="40"/>
      <c r="CL295" s="43" t="s">
        <v>248</v>
      </c>
    </row>
    <row r="296" customFormat="false" ht="18" hidden="false" customHeight="true" outlineLevel="0" collapsed="false">
      <c r="A296" s="41" t="n">
        <v>292</v>
      </c>
      <c r="B296" s="36" t="n">
        <v>46100</v>
      </c>
      <c r="C296" s="37" t="s">
        <v>204</v>
      </c>
      <c r="D296" s="38" t="n">
        <v>110</v>
      </c>
      <c r="E296" s="17"/>
      <c r="F296" s="17"/>
      <c r="G296" s="42" t="n">
        <f aca="false">IFERROR(IF($C296="","",IF($D296="","",IFERROR(ROUND($D296*INDEX('🔖 배합비 참조'!$B$2:$CE$83,MATCH("간장",'🔖 배합비 참조'!$A$2:$A$83,0),MATCH($C296,'🔖 배합비 참조'!$B$1:$CE$1,0))/100,0),""))),"")</f>
        <v>0</v>
      </c>
      <c r="H296" s="42" t="n">
        <f aca="false">IFERROR(IF($C296="","",IF($D296="","",IFERROR(ROUND($D296*INDEX('🔖 배합비 참조'!$B$2:$CE$83,MATCH("강낭콩((울타리콩))",'🔖 배합비 참조'!$A$2:$A$83,0),MATCH($C296,'🔖 배합비 참조'!$B$1:$CE$1,0))/100,0),""))),"")</f>
        <v>0</v>
      </c>
      <c r="I296" s="42" t="n">
        <f aca="false">IFERROR(IF($C296="","",IF($D296="","",IFERROR(ROUND($D296*INDEX('🔖 배합비 참조'!$B$2:$CE$83,MATCH("건조딸기다이스(외국산)",'🔖 배합비 참조'!$A$2:$A$83,0),MATCH($C296,'🔖 배합비 참조'!$B$1:$CE$1,0))/100,0),""))),"")</f>
        <v>0</v>
      </c>
      <c r="J296" s="42" t="n">
        <f aca="false">IFERROR(IF($C296="","",IF($D296="","",IFERROR(ROUND($D296*INDEX('🔖 배합비 참조'!$B$2:$CE$83,MATCH("건포도",'🔖 배합비 참조'!$A$2:$A$83,0),MATCH($C296,'🔖 배합비 참조'!$B$1:$CE$1,0))/100,0),""))),"")</f>
        <v>0</v>
      </c>
      <c r="K296" s="42" t="n">
        <f aca="false">IFERROR(IF($C296="","",IF($D296="","",IFERROR(ROUND($D296*INDEX('🔖 배합비 참조'!$B$2:$CE$83,MATCH("건호박채(중국산)",'🔖 배합비 참조'!$A$2:$A$83,0),MATCH($C296,'🔖 배합비 참조'!$B$1:$CE$1,0))/100,0),""))),"")</f>
        <v>0</v>
      </c>
      <c r="L296" s="42" t="n">
        <f aca="false">IFERROR(IF($C296="","",IF($D296="","",IFERROR(ROUND($D296*INDEX('🔖 배합비 참조'!$B$2:$CE$83,MATCH("검정깨(흑임자)",'🔖 배합비 참조'!$A$2:$A$83,0),MATCH($C296,'🔖 배합비 참조'!$B$1:$CE$1,0))/100,0),""))),"")</f>
        <v>0</v>
      </c>
      <c r="M296" s="42" t="n">
        <f aca="false">IFERROR(IF($C296="","",IF($D296="","",IFERROR(ROUND($D296*INDEX('🔖 배합비 참조'!$B$2:$CE$83,MATCH("검정콩",'🔖 배합비 참조'!$A$2:$A$83,0),MATCH($C296,'🔖 배합비 참조'!$B$1:$CE$1,0))/100,0),""))),"")</f>
        <v>0</v>
      </c>
      <c r="N296" s="42" t="n">
        <f aca="false">IFERROR(IF($C296="","",IF($D296="","",IFERROR(ROUND($D296*INDEX('🔖 배합비 참조'!$B$2:$CE$83,MATCH("계피가루",'🔖 배합비 참조'!$A$2:$A$83,0),MATCH($C296,'🔖 배합비 참조'!$B$1:$CE$1,0))/100,0),""))),"")</f>
        <v>0</v>
      </c>
      <c r="O296" s="42" t="n">
        <f aca="false">IFERROR(IF($C296="","",IF($D296="","",IFERROR(ROUND($D296*INDEX('🔖 배합비 참조'!$B$2:$CE$83,MATCH("고구마가루",'🔖 배합비 참조'!$A$2:$A$83,0),MATCH($C296,'🔖 배합비 참조'!$B$1:$CE$1,0))/100,0),""))),"")</f>
        <v>0</v>
      </c>
      <c r="P296" s="42" t="n">
        <f aca="false">IFERROR(IF($C296="","",IF($D296="","",IFERROR(ROUND($D296*INDEX('🔖 배합비 참조'!$B$2:$CE$83,MATCH("고구마무스",'🔖 배합비 참조'!$A$2:$A$83,0),MATCH($C296,'🔖 배합비 참조'!$B$1:$CE$1,0))/100,0),""))),"")</f>
        <v>0</v>
      </c>
      <c r="Q296" s="42" t="n">
        <f aca="false">IFERROR(IF($C296="","",IF($D296="","",IFERROR(ROUND($D296*INDEX('🔖 배합비 참조'!$B$2:$CE$83,MATCH("고려엉겅퀴((곤드레)국내산)",'🔖 배합비 참조'!$A$2:$A$83,0),MATCH($C296,'🔖 배합비 참조'!$B$1:$CE$1,0))/100,0),""))),"")</f>
        <v>0</v>
      </c>
      <c r="R296" s="42" t="n">
        <f aca="false">IFERROR(IF($C296="","",IF($D296="","",IFERROR(ROUND($D296*INDEX('🔖 배합비 참조'!$B$2:$CE$83,MATCH("기타가공품(복분자가루)",'🔖 배합비 참조'!$A$2:$A$83,0),MATCH($C296,'🔖 배합비 참조'!$B$1:$CE$1,0))/100,0),""))),"")</f>
        <v>0</v>
      </c>
      <c r="S296" s="42" t="n">
        <f aca="false">IFERROR(IF($C296="","",IF($D296="","",IFERROR(ROUND($D296*INDEX('🔖 배합비 참조'!$B$2:$CE$83,MATCH("기타가공품(슈퍼소프트엠)",'🔖 배합비 참조'!$A$2:$A$83,0),MATCH($C296,'🔖 배합비 참조'!$B$1:$CE$1,0))/100,0),""))),"")</f>
        <v>0</v>
      </c>
      <c r="T296" s="42" t="n">
        <f aca="false">IFERROR(IF($C296="","",IF($D296="","",IFERROR(ROUND($D296*INDEX('🔖 배합비 참조'!$B$2:$CE$83,MATCH("기타가공품(파인소프트 E-티)",'🔖 배합비 참조'!$A$2:$A$83,0),MATCH($C296,'🔖 배합비 참조'!$B$1:$CE$1,0))/100,0),""))),"")</f>
        <v>0</v>
      </c>
      <c r="U296" s="42" t="n">
        <f aca="false">IFERROR(IF($C296="","",IF($D296="","",IFERROR(ROUND($D296*INDEX('🔖 배합비 참조'!$B$2:$CE$83,MATCH("기타가공품(프리미엄카스테라가루)",'🔖 배합비 참조'!$A$2:$A$83,0),MATCH($C296,'🔖 배합비 참조'!$B$1:$CE$1,0))/100,0),""))),"")</f>
        <v>0</v>
      </c>
      <c r="V296" s="42" t="n">
        <f aca="false">IFERROR(IF($C296="","",IF($D296="","",IFERROR(ROUND($D296*INDEX('🔖 배합비 참조'!$B$2:$CE$83,MATCH("기타가공품(흑임자가루)",'🔖 배합비 참조'!$A$2:$A$83,0),MATCH($C296,'🔖 배합비 참조'!$B$1:$CE$1,0))/100,0),""))),"")</f>
        <v>0</v>
      </c>
      <c r="W296" s="42" t="n">
        <f aca="false">IFERROR(IF($C296="","",IF($D296="","",IFERROR(ROUND($D296*INDEX('🔖 배합비 참조'!$B$2:$CE$83,MATCH("기타설탕(흑설탕)",'🔖 배합비 참조'!$A$2:$A$83,0),MATCH($C296,'🔖 배합비 참조'!$B$1:$CE$1,0))/100,0),""))),"")</f>
        <v>0</v>
      </c>
      <c r="X296" s="42" t="n">
        <f aca="false">IFERROR(IF($C296="","",IF($D296="","",IFERROR(ROUND($D296*INDEX('🔖 배합비 참조'!$B$2:$CE$83,MATCH("냉동쑥(국내산)",'🔖 배합비 참조'!$A$2:$A$83,0),MATCH($C296,'🔖 배합비 참조'!$B$1:$CE$1,0))/100,0),""))),"")</f>
        <v>4</v>
      </c>
      <c r="Y296" s="42" t="n">
        <f aca="false">IFERROR(IF($C296="","",IF($D296="","",IFERROR(ROUND($D296*INDEX('🔖 배합비 참조'!$B$2:$CE$83,MATCH("냉동증숙고구마(중국산)",'🔖 배합비 참조'!$A$2:$A$83,0),MATCH($C296,'🔖 배합비 참조'!$B$1:$CE$1,0))/100,0),""))),"")</f>
        <v>0</v>
      </c>
      <c r="Z296" s="42" t="n">
        <f aca="false">IFERROR(IF($C296="","",IF($D296="","",IFERROR(ROUND($D296*INDEX('🔖 배합비 참조'!$B$2:$CE$83,MATCH("녹차가루",'🔖 배합비 참조'!$A$2:$A$83,0),MATCH($C296,'🔖 배합비 참조'!$B$1:$CE$1,0))/100,0),""))),"")</f>
        <v>0</v>
      </c>
      <c r="AA296" s="42" t="n">
        <f aca="false">IFERROR(IF($C296="","",IF($D296="","",IFERROR(ROUND($D296*INDEX('🔖 배합비 참조'!$B$2:$CE$83,MATCH("다크초콜릿 컴파운드칩",'🔖 배합비 참조'!$A$2:$A$83,0),MATCH($C296,'🔖 배합비 참조'!$B$1:$CE$1,0))/100,0),""))),"")</f>
        <v>0</v>
      </c>
      <c r="AB296" s="42" t="n">
        <f aca="false">IFERROR(IF($C296="","",IF($D296="","",IFERROR(ROUND($D296*INDEX('🔖 배합비 참조'!$B$2:$CE$83,MATCH("단호박분말(중국산)",'🔖 배합비 참조'!$A$2:$A$83,0),MATCH($C296,'🔖 배합비 참조'!$B$1:$CE$1,0))/100,0),""))),"")</f>
        <v>0</v>
      </c>
      <c r="AC296" s="42" t="n">
        <f aca="false">IFERROR(IF($C296="","",IF($D296="","",IFERROR(ROUND($D296*INDEX('🔖 배합비 참조'!$B$2:$CE$83,MATCH("당류가공품(단호박농축액)",'🔖 배합비 참조'!$A$2:$A$83,0),MATCH($C296,'🔖 배합비 참조'!$B$1:$CE$1,0))/100,0),""))),"")</f>
        <v>0</v>
      </c>
      <c r="AD296" s="42" t="n">
        <f aca="false">IFERROR(IF($C296="","",IF($D296="","",IFERROR(ROUND($D296*INDEX('🔖 배합비 참조'!$B$2:$CE$83,MATCH("당류가공품(알룰로스,에리스리톨,스테비올배당체혼합)",'🔖 배합비 참조'!$A$2:$A$83,0),MATCH($C296,'🔖 배합비 참조'!$B$1:$CE$1,0))/100,0),""))),"")</f>
        <v>0</v>
      </c>
      <c r="AE296" s="42" t="n">
        <f aca="false">IFERROR(IF($C296="","",IF($D296="","",IFERROR(ROUND($D296*INDEX('🔖 배합비 참조'!$B$2:$CE$83,MATCH("당류가공품(알룰로스제로파우더)",'🔖 배합비 참조'!$A$2:$A$83,0),MATCH($C296,'🔖 배합비 참조'!$B$1:$CE$1,0))/100,0),""))),"")</f>
        <v>0</v>
      </c>
      <c r="AF296" s="42" t="n">
        <f aca="false">IFERROR(IF($C296="","",IF($D296="","",IFERROR(ROUND($D296*INDEX('🔖 배합비 참조'!$B$2:$CE$83,MATCH("당절임(완두배기)",'🔖 배합비 참조'!$A$2:$A$83,0),MATCH($C296,'🔖 배합비 참조'!$B$1:$CE$1,0))/100,0),""))),"")</f>
        <v>0</v>
      </c>
      <c r="AG296" s="42" t="n">
        <f aca="false">IFERROR(IF($C296="","",IF($D296="","",IFERROR(ROUND($D296*INDEX('🔖 배합비 참조'!$B$2:$CE$83,MATCH("대추농축액",'🔖 배합비 참조'!$A$2:$A$83,0),MATCH($C296,'🔖 배합비 참조'!$B$1:$CE$1,0))/100,0),""))),"")</f>
        <v>0</v>
      </c>
      <c r="AH296" s="42" t="n">
        <f aca="false">IFERROR(IF($C296="","",IF($D296="","",IFERROR(ROUND($D296*INDEX('🔖 배합비 참조'!$B$2:$CE$83,MATCH("대추채(국내산)",'🔖 배합비 참조'!$A$2:$A$83,0),MATCH($C296,'🔖 배합비 참조'!$B$1:$CE$1,0))/100,0),""))),"")</f>
        <v>0</v>
      </c>
      <c r="AI296" s="42" t="n">
        <f aca="false">IFERROR(IF($C296="","",IF($D296="","",IFERROR(ROUND($D296*INDEX('🔖 배합비 참조'!$B$2:$CE$83,MATCH("동부(미얀마산)",'🔖 배합비 참조'!$A$2:$A$83,0),MATCH($C296,'🔖 배합비 참조'!$B$1:$CE$1,0))/100,0),""))),"")</f>
        <v>0</v>
      </c>
      <c r="AJ296" s="42" t="n">
        <f aca="false">IFERROR(IF($C296="","",IF($D296="","",IFERROR(ROUND($D296*INDEX('🔖 배합비 참조'!$B$2:$CE$83,MATCH("두류가공품(백옥앙금)",'🔖 배합비 참조'!$A$2:$A$83,0),MATCH($C296,'🔖 배합비 참조'!$B$1:$CE$1,0))/100,0),""))),"")</f>
        <v>0</v>
      </c>
      <c r="AK296" s="42" t="n">
        <f aca="false">IFERROR(IF($C296="","",IF($D296="","",IFERROR(ROUND($D296*INDEX('🔖 배합비 참조'!$B$2:$CE$83,MATCH("두류가공품(콩고물)",'🔖 배합비 참조'!$A$2:$A$83,0),MATCH($C296,'🔖 배합비 참조'!$B$1:$CE$1,0))/100,0),""))),"")</f>
        <v>3</v>
      </c>
      <c r="AL296" s="42" t="n">
        <f aca="false">IFERROR(IF($C296="","",IF($D296="","",IFERROR(ROUND($D296*INDEX('🔖 배합비 참조'!$B$2:$CE$83,MATCH("두류가공품(통팥고물)",'🔖 배합비 참조'!$A$2:$A$83,0),MATCH($C296,'🔖 배합비 참조'!$B$1:$CE$1,0))/100,0),""))),"")</f>
        <v>0</v>
      </c>
      <c r="AM296" s="42" t="n">
        <f aca="false">IFERROR(IF($C296="","",IF($D296="","",IFERROR(ROUND($D296*INDEX('🔖 배합비 참조'!$B$2:$CE$83,MATCH("딸기레진",'🔖 배합비 참조'!$A$2:$A$83,0),MATCH($C296,'🔖 배합비 참조'!$B$1:$CE$1,0))/100,0),""))),"")</f>
        <v>0</v>
      </c>
      <c r="AN296" s="42" t="n">
        <f aca="false">IFERROR(IF($C296="","",IF($D296="","",IFERROR(ROUND($D296*INDEX('🔖 배합비 참조'!$B$2:$CE$83,MATCH("딸기분말(스트로우베리에이드(분말))",'🔖 배합비 참조'!$A$2:$A$83,0),MATCH($C296,'🔖 배합비 참조'!$B$1:$CE$1,0))/100,0),""))),"")</f>
        <v>0</v>
      </c>
      <c r="AO296" s="42" t="n">
        <f aca="false">IFERROR(IF($C296="","",IF($D296="","",IFERROR(ROUND($D296*INDEX('🔖 배합비 참조'!$B$2:$CE$83,MATCH("마스카포네치즈",'🔖 배합비 참조'!$A$2:$A$83,0),MATCH($C296,'🔖 배합비 참조'!$B$1:$CE$1,0))/100,0),""))),"")</f>
        <v>0</v>
      </c>
      <c r="AP296" s="42" t="n">
        <f aca="false">IFERROR(IF($C296="","",IF($D296="","",IFERROR(ROUND($D296*INDEX('🔖 배합비 참조'!$B$2:$CE$83,MATCH("마카다미아분태(호주산)",'🔖 배합비 참조'!$A$2:$A$83,0),MATCH($C296,'🔖 배합비 참조'!$B$1:$CE$1,0))/100,0),""))),"")</f>
        <v>0</v>
      </c>
      <c r="AQ296" s="42" t="n">
        <f aca="false">IFERROR(IF($C296="","",IF($D296="","",IFERROR(ROUND($D296*INDEX('🔖 배합비 참조'!$B$2:$CE$83,MATCH("멥쌀(국내산)",'🔖 배합비 참조'!$A$2:$A$83,0),MATCH($C296,'🔖 배합비 참조'!$B$1:$CE$1,0))/100,0),""))),"")</f>
        <v>0</v>
      </c>
      <c r="AR296" s="42" t="n">
        <f aca="false">IFERROR(IF($C296="","",IF($D296="","",IFERROR(ROUND($D296*INDEX('🔖 배합비 참조'!$B$2:$CE$83,MATCH("모시잎(국내산)",'🔖 배합비 참조'!$A$2:$A$83,0),MATCH($C296,'🔖 배합비 참조'!$B$1:$CE$1,0))/100,0),""))),"")</f>
        <v>0</v>
      </c>
      <c r="AS296" s="42" t="n">
        <f aca="false">IFERROR(IF($C296="","",IF($D296="","",IFERROR(ROUND($D296*INDEX('🔖 배합비 참조'!$B$2:$CE$83,MATCH("물엿(저당물엿)",'🔖 배합비 참조'!$A$2:$A$83,0),MATCH($C296,'🔖 배합비 참조'!$B$1:$CE$1,0))/100,0),""))),"")</f>
        <v>2</v>
      </c>
      <c r="AT296" s="42" t="n">
        <f aca="false">IFERROR(IF($C296="","",IF($D296="","",IFERROR(ROUND($D296*INDEX('🔖 배합비 참조'!$B$2:$CE$83,MATCH("밤다이스",'🔖 배합비 참조'!$A$2:$A$83,0),MATCH($C296,'🔖 배합비 참조'!$B$1:$CE$1,0))/100,0),""))),"")</f>
        <v>0</v>
      </c>
      <c r="AU296" s="42" t="n">
        <f aca="false">IFERROR(IF($C296="","",IF($D296="","",IFERROR(ROUND($D296*INDEX('🔖 배합비 참조'!$B$2:$CE$83,MATCH("변성전분(타피오카전분)",'🔖 배합비 참조'!$A$2:$A$83,0),MATCH($C296,'🔖 배합비 참조'!$B$1:$CE$1,0))/100,0),""))),"")</f>
        <v>0</v>
      </c>
      <c r="AV296" s="42" t="n">
        <f aca="false">IFERROR(IF($C296="","",IF($D296="","",IFERROR(ROUND($D296*INDEX('🔖 배합비 참조'!$B$2:$CE$83,MATCH("복음땅콩분태",'🔖 배합비 참조'!$A$2:$A$83,0),MATCH($C296,'🔖 배합비 참조'!$B$1:$CE$1,0))/100,0),""))),"")</f>
        <v>0</v>
      </c>
      <c r="AW296" s="42" t="n">
        <f aca="false">IFERROR(IF($C296="","",IF($D296="","",IFERROR(ROUND($D296*INDEX('🔖 배합비 참조'!$B$2:$CE$83,MATCH("사양벌꿀(국내산)",'🔖 배합비 참조'!$A$2:$A$83,0),MATCH($C296,'🔖 배합비 참조'!$B$1:$CE$1,0))/100,0),""))),"")</f>
        <v>0</v>
      </c>
      <c r="AX296" s="42" t="n">
        <f aca="false">IFERROR(IF($C296="","",IF($D296="","",IFERROR(ROUND($D296*INDEX('🔖 배합비 참조'!$B$2:$CE$83,MATCH("생크림",'🔖 배합비 참조'!$A$2:$A$83,0),MATCH($C296,'🔖 배합비 참조'!$B$1:$CE$1,0))/100,0),""))),"")</f>
        <v>0</v>
      </c>
      <c r="AY296" s="42" t="n">
        <f aca="false">IFERROR(IF($C296="","",IF($D296="","",IFERROR(ROUND($D296*INDEX('🔖 배합비 참조'!$B$2:$CE$83,MATCH("서양호박(국내산,뉴질랜드산)",'🔖 배합비 참조'!$A$2:$A$83,0),MATCH($C296,'🔖 배합비 참조'!$B$1:$CE$1,0))/100,0),""))),"")</f>
        <v>0</v>
      </c>
      <c r="AZ296" s="42" t="n">
        <f aca="false">IFERROR(IF($C296="","",IF($D296="","",IFERROR(ROUND($D296*INDEX('🔖 배합비 참조'!$B$2:$CE$83,MATCH("설탕",'🔖 배합비 참조'!$A$2:$A$83,0),MATCH($C296,'🔖 배합비 참조'!$B$1:$CE$1,0))/100,0),""))),"")</f>
        <v>2</v>
      </c>
      <c r="BA296" s="42" t="n">
        <f aca="false">IFERROR(IF($C296="","",IF($D296="","",IFERROR(ROUND($D296*INDEX('🔖 배합비 참조'!$B$2:$CE$83,MATCH("스트로우베리 에이드 후레쉬",'🔖 배합비 참조'!$A$2:$A$83,0),MATCH($C296,'🔖 배합비 참조'!$B$1:$CE$1,0))/100,0),""))),"")</f>
        <v>0</v>
      </c>
      <c r="BB296" s="42" t="n">
        <f aca="false">IFERROR(IF($C296="","",IF($D296="","",IFERROR(ROUND($D296*INDEX('🔖 배합비 참조'!$B$2:$CE$83,MATCH("식물성기름혼합제제(분홍)",'🔖 배합비 참조'!$A$2:$A$83,0),MATCH($C296,'🔖 배합비 참조'!$B$1:$CE$1,0))/100,0),""))),"")</f>
        <v>0</v>
      </c>
      <c r="BC296" s="42" t="n">
        <f aca="false">IFERROR(IF($C296="","",IF($D296="","",IFERROR(ROUND($D296*INDEX('🔖 배합비 참조'!$B$2:$CE$83,MATCH("식물성기름혼합제제(초록)",'🔖 배합비 참조'!$A$2:$A$83,0),MATCH($C296,'🔖 배합비 참조'!$B$1:$CE$1,0))/100,0),""))),"")</f>
        <v>0</v>
      </c>
      <c r="BD296" s="42" t="n">
        <f aca="false">IFERROR(IF($C296="","",IF($D296="","",IFERROR(ROUND($D296*INDEX('🔖 배합비 참조'!$B$2:$CE$83,MATCH("식물성기름혼합제제(황색)",'🔖 배합비 참조'!$A$2:$A$83,0),MATCH($C296,'🔖 배합비 참조'!$B$1:$CE$1,0))/100,0),""))),"")</f>
        <v>0</v>
      </c>
      <c r="BE296" s="42" t="n">
        <f aca="false">IFERROR(IF($C296="","",IF($D296="","",IFERROR(ROUND($D296*INDEX('🔖 배합비 참조'!$B$2:$CE$83,MATCH("쑥가루(국내산)",'🔖 배합비 참조'!$A$2:$A$83,0),MATCH($C296,'🔖 배합비 참조'!$B$1:$CE$1,0))/100,0),""))),"")</f>
        <v>1</v>
      </c>
      <c r="BF296" s="42" t="n">
        <f aca="false">IFERROR(IF($C296="","",IF($D296="","",IFERROR(ROUND($D296*INDEX('🔖 배합비 참조'!$B$2:$CE$83,MATCH("아몬드슬라이스",'🔖 배합비 참조'!$A$2:$A$83,0),MATCH($C296,'🔖 배합비 참조'!$B$1:$CE$1,0))/100,0),""))),"")</f>
        <v>0</v>
      </c>
      <c r="BG296" s="42" t="n">
        <f aca="false">IFERROR(IF($C296="","",IF($D296="","",IFERROR(ROUND($D296*INDEX('🔖 배합비 참조'!$B$2:$CE$83,MATCH("알룰로오스(국내산)",'🔖 배합비 참조'!$A$2:$A$83,0),MATCH($C296,'🔖 배합비 참조'!$B$1:$CE$1,0))/100,0),""))),"")</f>
        <v>0</v>
      </c>
      <c r="BH296" s="42" t="n">
        <f aca="false">IFERROR(IF($C296="","",IF($D296="","",IFERROR(ROUND($D296*INDEX('🔖 배합비 참조'!$B$2:$CE$83,MATCH("연유",'🔖 배합비 참조'!$A$2:$A$83,0),MATCH($C296,'🔖 배합비 참조'!$B$1:$CE$1,0))/100,0),""))),"")</f>
        <v>0</v>
      </c>
      <c r="BI296" s="42" t="n">
        <f aca="false">IFERROR(IF($C296="","",IF($D296="","",IFERROR(ROUND($D296*INDEX('🔖 배합비 참조'!$B$2:$CE$83,MATCH("옥수수전분",'🔖 배합비 참조'!$A$2:$A$83,0),MATCH($C296,'🔖 배합비 참조'!$B$1:$CE$1,0))/100,0),""))),"")</f>
        <v>0</v>
      </c>
      <c r="BJ296" s="42" t="n">
        <f aca="false">IFERROR(IF($C296="","",IF($D296="","",IFERROR(ROUND($D296*INDEX('🔖 배합비 참조'!$B$2:$CE$83,MATCH("완두배기",'🔖 배합비 참조'!$A$2:$A$83,0),MATCH($C296,'🔖 배합비 참조'!$B$1:$CE$1,0))/100,0),""))),"")</f>
        <v>0</v>
      </c>
      <c r="BK296" s="42" t="n">
        <f aca="false">IFERROR(IF($C296="","",IF($D296="","",IFERROR(ROUND($D296*INDEX('🔖 배합비 참조'!$B$2:$CE$83,MATCH("우유(국내산)",'🔖 배합비 참조'!$A$2:$A$83,0),MATCH($C296,'🔖 배합비 참조'!$B$1:$CE$1,0))/100,0),""))),"")</f>
        <v>0</v>
      </c>
      <c r="BL296" s="42" t="n">
        <f aca="false">IFERROR(IF($C296="","",IF($D296="","",IFERROR(ROUND($D296*INDEX('🔖 배합비 참조'!$B$2:$CE$83,MATCH("자색고구마가루(중국산)",'🔖 배합비 참조'!$A$2:$A$83,0),MATCH($C296,'🔖 배합비 참조'!$B$1:$CE$1,0))/100,0),""))),"")</f>
        <v>0</v>
      </c>
      <c r="BM296" s="42" t="n">
        <f aca="false">IFERROR(IF($C296="","",IF($D296="","",IFERROR(ROUND($D296*INDEX('🔖 배합비 참조'!$B$2:$CE$83,MATCH("자연치즈(체다치즈)",'🔖 배합비 참조'!$A$2:$A$83,0),MATCH($C296,'🔖 배합비 참조'!$B$1:$CE$1,0))/100,0),""))),"")</f>
        <v>0</v>
      </c>
      <c r="BN296" s="42" t="n">
        <f aca="false">IFERROR(IF($C296="","",IF($D296="","",IFERROR(ROUND($D296*INDEX('🔖 배합비 참조'!$B$2:$CE$83,MATCH("정제수",'🔖 배합비 참조'!$A$2:$A$83,0),MATCH($C296,'🔖 배합비 참조'!$B$1:$CE$1,0))/100,0),""))),"")</f>
        <v>0</v>
      </c>
      <c r="BO296" s="42" t="n">
        <f aca="false">IFERROR(IF($C296="","",IF($D296="","",IFERROR(ROUND($D296*INDEX('🔖 배합비 참조'!$B$2:$CE$83,MATCH("젤라틴",'🔖 배합비 참조'!$A$2:$A$83,0),MATCH($C296,'🔖 배합비 참조'!$B$1:$CE$1,0))/100,0),""))),"")</f>
        <v>0</v>
      </c>
      <c r="BP296" s="42" t="n">
        <f aca="false">IFERROR(IF($C296="","",IF($D296="","",IFERROR(ROUND($D296*INDEX('🔖 배합비 참조'!$B$2:$CE$83,MATCH("조림류(백옥앙금)",'🔖 배합비 참조'!$A$2:$A$83,0),MATCH($C296,'🔖 배합비 참조'!$B$1:$CE$1,0))/100,0),""))),"")</f>
        <v>0</v>
      </c>
      <c r="BQ296" s="42" t="n">
        <f aca="false">IFERROR(IF($C296="","",IF($D296="","",IFERROR(ROUND($D296*INDEX('🔖 배합비 참조'!$B$2:$CE$83,MATCH("조림류(통팥앙금)",'🔖 배합비 참조'!$A$2:$A$83,0),MATCH($C296,'🔖 배합비 참조'!$B$1:$CE$1,0))/100,0),""))),"")</f>
        <v>46</v>
      </c>
      <c r="BR296" s="42" t="n">
        <f aca="false">IFERROR(IF($C296="","",IF($D296="","",IFERROR(ROUND($D296*INDEX('🔖 배합비 참조'!$B$2:$CE$83,MATCH("준초콜릿(외국산)",'🔖 배합비 참조'!$A$2:$A$83,0),MATCH($C296,'🔖 배합비 참조'!$B$1:$CE$1,0))/100,0),""))),"")</f>
        <v>0</v>
      </c>
      <c r="BS296" s="42" t="n">
        <f aca="false">IFERROR(IF($C296="","",IF($D296="","",IFERROR(ROUND($D296*INDEX('🔖 배합비 참조'!$B$2:$CE$83,MATCH("중력분",'🔖 배합비 참조'!$A$2:$A$83,0),MATCH($C296,'🔖 배합비 참조'!$B$1:$CE$1,0))/100,0),""))),"")</f>
        <v>1</v>
      </c>
      <c r="BT296" s="42" t="n">
        <f aca="false">IFERROR(IF($C296="","",IF($D296="","",IFERROR(ROUND($D296*INDEX('🔖 배합비 참조'!$B$2:$CE$83,MATCH("참깨(인도산,나이지리아산,탄자니아산,미얀마산)",'🔖 배합비 참조'!$A$2:$A$83,0),MATCH($C296,'🔖 배합비 참조'!$B$1:$CE$1,0))/100,0),""))),"")</f>
        <v>0</v>
      </c>
      <c r="BU296" s="42" t="n">
        <f aca="false">IFERROR(IF($C296="","",IF($D296="","",IFERROR(ROUND($D296*INDEX('🔖 배합비 참조'!$B$2:$CE$83,MATCH("찹쌀(국내산)",'🔖 배합비 참조'!$A$2:$A$83,0),MATCH($C296,'🔖 배합비 참조'!$B$1:$CE$1,0))/100,0),""))),"")</f>
        <v>49</v>
      </c>
      <c r="BV296" s="42" t="n">
        <f aca="false">IFERROR(IF($C296="","",IF($D296="","",IFERROR(ROUND($D296*INDEX('🔖 배합비 참조'!$B$2:$CE$83,MATCH("천일염",'🔖 배합비 참조'!$A$2:$A$83,0),MATCH($C296,'🔖 배합비 참조'!$B$1:$CE$1,0))/100,0),""))),"")</f>
        <v>1</v>
      </c>
      <c r="BW296" s="42" t="n">
        <f aca="false">IFERROR(IF($C296="","",IF($D296="","",IFERROR(ROUND($D296*INDEX('🔖 배합비 참조'!$B$2:$CE$83,MATCH("치즈 [크림치즈]",'🔖 배합비 참조'!$A$2:$A$83,0),MATCH($C296,'🔖 배합비 참조'!$B$1:$CE$1,0))/100,0),""))),"")</f>
        <v>0</v>
      </c>
      <c r="BX296" s="42" t="n">
        <f aca="false">IFERROR(IF($C296="","",IF($D296="","",IFERROR(ROUND($D296*INDEX('🔖 배합비 참조'!$B$2:$CE$83,MATCH("코코아가공품류(코코아분말)",'🔖 배합비 참조'!$A$2:$A$83,0),MATCH($C296,'🔖 배합비 참조'!$B$1:$CE$1,0))/100,0),""))),"")</f>
        <v>0</v>
      </c>
      <c r="BY296" s="42" t="n">
        <f aca="false">IFERROR(IF($C296="","",IF($D296="","",IFERROR(ROUND($D296*INDEX('🔖 배합비 참조'!$B$2:$CE$83,MATCH("콩기름(대두유)",'🔖 배합비 참조'!$A$2:$A$83,0),MATCH($C296,'🔖 배합비 참조'!$B$1:$CE$1,0))/100,0),""))),"")</f>
        <v>0</v>
      </c>
      <c r="BZ296" s="42" t="n">
        <f aca="false">IFERROR(IF($C296="","",IF($D296="","",IFERROR(ROUND($D296*INDEX('🔖 배합비 참조'!$B$2:$CE$83,MATCH("해바라기씨앗",'🔖 배합비 참조'!$A$2:$A$83,0),MATCH($C296,'🔖 배합비 참조'!$B$1:$CE$1,0))/100,0),""))),"")</f>
        <v>0</v>
      </c>
      <c r="CA296" s="42" t="n">
        <f aca="false">IFERROR(IF($C296="","",IF($D296="","",IFERROR(ROUND($D296*INDEX('🔖 배합비 참조'!$B$2:$CE$83,MATCH("현미(국내산)",'🔖 배합비 참조'!$A$2:$A$83,0),MATCH($C296,'🔖 배합비 참조'!$B$1:$CE$1,0))/100,0),""))),"")</f>
        <v>0</v>
      </c>
      <c r="CB296" s="42" t="n">
        <f aca="false">IFERROR(IF($C296="","",IF($D296="","",IFERROR(ROUND($D296*INDEX('🔖 배합비 참조'!$B$2:$CE$83,MATCH("현미멥쌀(국내산)",'🔖 배합비 참조'!$A$2:$A$83,0),MATCH($C296,'🔖 배합비 참조'!$B$1:$CE$1,0))/100,0),""))),"")</f>
        <v>0</v>
      </c>
      <c r="CC296" s="42" t="n">
        <f aca="false">IFERROR(IF($C296="","",IF($D296="","",IFERROR(ROUND($D296*INDEX('🔖 배합비 참조'!$B$2:$CE$83,MATCH("호두분태(미국산)",'🔖 배합비 참조'!$A$2:$A$83,0),MATCH($C296,'🔖 배합비 참조'!$B$1:$CE$1,0))/100,0),""))),"")</f>
        <v>0</v>
      </c>
      <c r="CD296" s="42" t="n">
        <f aca="false">IFERROR(IF($C296="","",IF($D296="","",IFERROR(ROUND($D296*INDEX('🔖 배합비 참조'!$B$2:$CE$83,MATCH("호박씨앗(외국산)",'🔖 배합비 참조'!$A$2:$A$83,0),MATCH($C296,'🔖 배합비 참조'!$B$1:$CE$1,0))/100,0),""))),"")</f>
        <v>0</v>
      </c>
      <c r="CE296" s="42" t="n">
        <f aca="false">IFERROR(IF($C296="","",IF($D296="","",IFERROR(ROUND($D296*INDEX('🔖 배합비 참조'!$B$2:$CE$83,MATCH("혼합제제(떡용에스텔)",'🔖 배합비 참조'!$A$2:$A$83,0),MATCH($C296,'🔖 배합비 참조'!$B$1:$CE$1,0))/100,0),""))),"")</f>
        <v>0</v>
      </c>
      <c r="CF296" s="42" t="n">
        <f aca="false">IFERROR(IF($C296="","",IF($D296="","",IFERROR(ROUND($D296*INDEX('🔖 배합비 참조'!$B$2:$CE$83,MATCH("혼합제제(스테비아)",'🔖 배합비 참조'!$A$2:$A$83,0),MATCH($C296,'🔖 배합비 참조'!$B$1:$CE$1,0))/100,0),""))),"")</f>
        <v>0</v>
      </c>
      <c r="CG296" s="42" t="n">
        <f aca="false">IFERROR(IF($C296="","",IF($D296="","",IFERROR(ROUND($D296*INDEX('🔖 배합비 참조'!$B$2:$CE$83,MATCH("화이트초콜릿",'🔖 배합비 참조'!$A$2:$A$83,0),MATCH($C296,'🔖 배합비 참조'!$B$1:$CE$1,0))/100,0),""))),"")</f>
        <v>0</v>
      </c>
      <c r="CH296" s="42" t="n">
        <f aca="false">IFERROR(IF($C296="","",IF($D296="","",IFERROR(ROUND($D296*INDEX('🔖 배합비 참조'!$B$2:$CE$83,MATCH("흑미찹쌀(국내산)",'🔖 배합비 참조'!$A$2:$A$83,0),MATCH($C296,'🔖 배합비 참조'!$B$1:$CE$1,0))/100,0),""))),"")</f>
        <v>0</v>
      </c>
      <c r="CI296" s="42" t="n">
        <f aca="false">IFERROR(IF($C296="","",IF($D296="","",IFERROR(ROUND($D296*INDEX('🔖 배합비 참조'!$B$2:$CE$83,MATCH("찰옥수수전분(미국산)",'🔖 배합비 참조'!$A$2:$A$83,0),MATCH($C296,'🔖 배합비 참조'!$B$1:$CE$1,0))/100,0),""))),"")</f>
        <v>0</v>
      </c>
      <c r="CJ296" s="40"/>
      <c r="CL296" s="43" t="s">
        <v>248</v>
      </c>
    </row>
    <row r="297" customFormat="false" ht="18" hidden="false" customHeight="true" outlineLevel="0" collapsed="false">
      <c r="A297" s="44"/>
      <c r="B297" s="45"/>
      <c r="C297" s="46"/>
      <c r="D297" s="47"/>
      <c r="E297" s="44"/>
      <c r="F297" s="48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0"/>
    </row>
    <row r="298" customFormat="false" ht="18" hidden="false" customHeight="true" outlineLevel="0" collapsed="false">
      <c r="A298" s="50"/>
      <c r="B298" s="45"/>
      <c r="C298" s="46"/>
      <c r="D298" s="47"/>
      <c r="E298" s="50"/>
      <c r="F298" s="51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40"/>
    </row>
    <row r="299" customFormat="false" ht="18" hidden="false" customHeight="true" outlineLevel="0" collapsed="false">
      <c r="A299" s="44"/>
      <c r="B299" s="45"/>
      <c r="C299" s="46"/>
      <c r="D299" s="47"/>
      <c r="E299" s="44"/>
      <c r="F299" s="48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0"/>
    </row>
    <row r="300" customFormat="false" ht="18" hidden="false" customHeight="true" outlineLevel="0" collapsed="false">
      <c r="A300" s="50" t="n">
        <v>296</v>
      </c>
      <c r="B300" s="45"/>
      <c r="C300" s="46"/>
      <c r="D300" s="47"/>
      <c r="E300" s="50"/>
      <c r="F300" s="51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40"/>
    </row>
    <row r="301" customFormat="false" ht="18" hidden="false" customHeight="true" outlineLevel="0" collapsed="false">
      <c r="A301" s="44" t="n">
        <v>297</v>
      </c>
      <c r="B301" s="45"/>
      <c r="C301" s="46"/>
      <c r="D301" s="47"/>
      <c r="E301" s="44"/>
      <c r="F301" s="48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0"/>
    </row>
    <row r="302" customFormat="false" ht="18" hidden="false" customHeight="true" outlineLevel="0" collapsed="false">
      <c r="A302" s="50" t="n">
        <v>298</v>
      </c>
      <c r="B302" s="45"/>
      <c r="C302" s="46"/>
      <c r="D302" s="47"/>
      <c r="E302" s="50"/>
      <c r="F302" s="51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40"/>
    </row>
    <row r="303" customFormat="false" ht="18" hidden="false" customHeight="true" outlineLevel="0" collapsed="false">
      <c r="A303" s="44" t="n">
        <v>299</v>
      </c>
      <c r="B303" s="45"/>
      <c r="C303" s="46"/>
      <c r="D303" s="47"/>
      <c r="E303" s="44"/>
      <c r="F303" s="48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0"/>
    </row>
    <row r="304" customFormat="false" ht="18" hidden="false" customHeight="true" outlineLevel="0" collapsed="false">
      <c r="A304" s="50" t="n">
        <v>300</v>
      </c>
      <c r="B304" s="45"/>
      <c r="C304" s="46"/>
      <c r="D304" s="47"/>
      <c r="E304" s="50"/>
      <c r="F304" s="51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40"/>
    </row>
    <row r="305" customFormat="false" ht="18" hidden="false" customHeight="true" outlineLevel="0" collapsed="false">
      <c r="A305" s="44" t="n">
        <v>301</v>
      </c>
      <c r="B305" s="45"/>
      <c r="C305" s="46"/>
      <c r="D305" s="47"/>
      <c r="E305" s="44"/>
      <c r="F305" s="48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0"/>
    </row>
    <row r="306" customFormat="false" ht="18" hidden="false" customHeight="true" outlineLevel="0" collapsed="false">
      <c r="A306" s="50" t="n">
        <v>302</v>
      </c>
      <c r="B306" s="45"/>
      <c r="C306" s="46"/>
      <c r="D306" s="47"/>
      <c r="E306" s="50"/>
      <c r="F306" s="51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40"/>
    </row>
    <row r="307" customFormat="false" ht="18" hidden="false" customHeight="true" outlineLevel="0" collapsed="false">
      <c r="A307" s="44" t="n">
        <v>303</v>
      </c>
      <c r="B307" s="45"/>
      <c r="C307" s="46"/>
      <c r="D307" s="47"/>
      <c r="E307" s="44"/>
      <c r="F307" s="48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0"/>
    </row>
    <row r="308" customFormat="false" ht="18" hidden="false" customHeight="true" outlineLevel="0" collapsed="false">
      <c r="A308" s="50" t="n">
        <v>304</v>
      </c>
      <c r="B308" s="45"/>
      <c r="C308" s="46"/>
      <c r="D308" s="47"/>
      <c r="E308" s="50"/>
      <c r="F308" s="51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40"/>
    </row>
    <row r="309" customFormat="false" ht="18" hidden="false" customHeight="true" outlineLevel="0" collapsed="false">
      <c r="A309" s="44" t="n">
        <v>305</v>
      </c>
      <c r="B309" s="45"/>
      <c r="C309" s="46"/>
      <c r="D309" s="47"/>
      <c r="E309" s="44"/>
      <c r="F309" s="48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0"/>
    </row>
    <row r="310" customFormat="false" ht="18" hidden="false" customHeight="true" outlineLevel="0" collapsed="false">
      <c r="A310" s="50" t="n">
        <v>306</v>
      </c>
      <c r="B310" s="45"/>
      <c r="C310" s="46"/>
      <c r="D310" s="47"/>
      <c r="E310" s="50"/>
      <c r="F310" s="51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40"/>
    </row>
    <row r="311" customFormat="false" ht="18" hidden="false" customHeight="true" outlineLevel="0" collapsed="false">
      <c r="A311" s="44" t="n">
        <v>307</v>
      </c>
      <c r="B311" s="45"/>
      <c r="C311" s="46"/>
      <c r="D311" s="47"/>
      <c r="E311" s="44"/>
      <c r="F311" s="48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0"/>
    </row>
    <row r="312" customFormat="false" ht="18" hidden="false" customHeight="true" outlineLevel="0" collapsed="false">
      <c r="A312" s="50" t="n">
        <v>308</v>
      </c>
      <c r="B312" s="45"/>
      <c r="C312" s="46"/>
      <c r="D312" s="47"/>
      <c r="E312" s="50"/>
      <c r="F312" s="51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40"/>
    </row>
    <row r="313" customFormat="false" ht="18" hidden="false" customHeight="true" outlineLevel="0" collapsed="false">
      <c r="A313" s="44" t="n">
        <v>309</v>
      </c>
      <c r="B313" s="45"/>
      <c r="C313" s="46"/>
      <c r="D313" s="47"/>
      <c r="E313" s="44"/>
      <c r="F313" s="48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0"/>
    </row>
    <row r="314" customFormat="false" ht="18" hidden="false" customHeight="true" outlineLevel="0" collapsed="false">
      <c r="A314" s="50" t="n">
        <v>310</v>
      </c>
      <c r="B314" s="45"/>
      <c r="C314" s="46"/>
      <c r="D314" s="47"/>
      <c r="E314" s="50"/>
      <c r="F314" s="51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40"/>
    </row>
    <row r="315" customFormat="false" ht="18" hidden="false" customHeight="true" outlineLevel="0" collapsed="false">
      <c r="A315" s="44" t="n">
        <v>311</v>
      </c>
      <c r="B315" s="45"/>
      <c r="C315" s="46"/>
      <c r="D315" s="47"/>
      <c r="E315" s="44"/>
      <c r="F315" s="48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0"/>
    </row>
    <row r="316" customFormat="false" ht="18" hidden="false" customHeight="true" outlineLevel="0" collapsed="false">
      <c r="A316" s="50" t="n">
        <v>312</v>
      </c>
      <c r="B316" s="45"/>
      <c r="C316" s="46"/>
      <c r="D316" s="47"/>
      <c r="E316" s="50"/>
      <c r="F316" s="51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40"/>
    </row>
    <row r="317" customFormat="false" ht="18" hidden="false" customHeight="true" outlineLevel="0" collapsed="false">
      <c r="A317" s="44" t="n">
        <v>313</v>
      </c>
      <c r="B317" s="45"/>
      <c r="C317" s="46"/>
      <c r="D317" s="47"/>
      <c r="E317" s="44"/>
      <c r="F317" s="48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0"/>
    </row>
    <row r="318" customFormat="false" ht="18" hidden="false" customHeight="true" outlineLevel="0" collapsed="false">
      <c r="A318" s="50" t="n">
        <v>314</v>
      </c>
      <c r="B318" s="45"/>
      <c r="C318" s="46"/>
      <c r="D318" s="47"/>
      <c r="E318" s="50"/>
      <c r="F318" s="51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40"/>
    </row>
    <row r="319" customFormat="false" ht="18" hidden="false" customHeight="true" outlineLevel="0" collapsed="false">
      <c r="A319" s="44" t="n">
        <v>315</v>
      </c>
      <c r="B319" s="45"/>
      <c r="C319" s="46"/>
      <c r="D319" s="47"/>
      <c r="E319" s="44"/>
      <c r="F319" s="48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0"/>
    </row>
    <row r="320" customFormat="false" ht="18" hidden="false" customHeight="true" outlineLevel="0" collapsed="false">
      <c r="A320" s="50" t="n">
        <v>316</v>
      </c>
      <c r="B320" s="45"/>
      <c r="C320" s="46"/>
      <c r="D320" s="47"/>
      <c r="E320" s="50"/>
      <c r="F320" s="51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40"/>
    </row>
    <row r="321" customFormat="false" ht="18" hidden="false" customHeight="true" outlineLevel="0" collapsed="false">
      <c r="A321" s="44" t="n">
        <v>317</v>
      </c>
      <c r="B321" s="45"/>
      <c r="C321" s="46"/>
      <c r="D321" s="47"/>
      <c r="E321" s="44"/>
      <c r="F321" s="48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0"/>
    </row>
    <row r="322" customFormat="false" ht="18" hidden="false" customHeight="true" outlineLevel="0" collapsed="false">
      <c r="A322" s="50" t="n">
        <v>318</v>
      </c>
      <c r="B322" s="45"/>
      <c r="C322" s="46"/>
      <c r="D322" s="47"/>
      <c r="E322" s="50"/>
      <c r="F322" s="51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40"/>
    </row>
    <row r="323" customFormat="false" ht="18" hidden="false" customHeight="true" outlineLevel="0" collapsed="false">
      <c r="A323" s="44" t="n">
        <v>319</v>
      </c>
      <c r="B323" s="45"/>
      <c r="C323" s="46"/>
      <c r="D323" s="47"/>
      <c r="E323" s="44"/>
      <c r="F323" s="48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0"/>
    </row>
    <row r="324" customFormat="false" ht="18" hidden="false" customHeight="true" outlineLevel="0" collapsed="false">
      <c r="A324" s="50" t="n">
        <v>320</v>
      </c>
      <c r="B324" s="45"/>
      <c r="C324" s="46"/>
      <c r="D324" s="47"/>
      <c r="E324" s="50"/>
      <c r="F324" s="51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40"/>
    </row>
    <row r="325" customFormat="false" ht="18" hidden="false" customHeight="true" outlineLevel="0" collapsed="false">
      <c r="A325" s="44" t="n">
        <v>321</v>
      </c>
      <c r="B325" s="45"/>
      <c r="C325" s="46"/>
      <c r="D325" s="47"/>
      <c r="E325" s="44"/>
      <c r="F325" s="48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  <c r="CG325" s="49"/>
      <c r="CH325" s="49"/>
      <c r="CI325" s="49"/>
      <c r="CJ325" s="40"/>
    </row>
    <row r="326" customFormat="false" ht="18" hidden="false" customHeight="true" outlineLevel="0" collapsed="false">
      <c r="A326" s="50" t="n">
        <v>322</v>
      </c>
      <c r="B326" s="45"/>
      <c r="C326" s="46"/>
      <c r="D326" s="47"/>
      <c r="E326" s="50"/>
      <c r="F326" s="51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40"/>
    </row>
    <row r="327" customFormat="false" ht="18" hidden="false" customHeight="true" outlineLevel="0" collapsed="false">
      <c r="A327" s="44" t="n">
        <v>323</v>
      </c>
      <c r="B327" s="45"/>
      <c r="C327" s="46"/>
      <c r="D327" s="47"/>
      <c r="E327" s="44"/>
      <c r="F327" s="48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  <c r="CG327" s="49"/>
      <c r="CH327" s="49"/>
      <c r="CI327" s="49"/>
      <c r="CJ327" s="40"/>
    </row>
    <row r="328" customFormat="false" ht="18" hidden="false" customHeight="true" outlineLevel="0" collapsed="false">
      <c r="A328" s="50" t="n">
        <v>324</v>
      </c>
      <c r="B328" s="45"/>
      <c r="C328" s="46"/>
      <c r="D328" s="47"/>
      <c r="E328" s="50"/>
      <c r="F328" s="51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40"/>
    </row>
    <row r="329" customFormat="false" ht="18" hidden="false" customHeight="true" outlineLevel="0" collapsed="false">
      <c r="A329" s="44" t="n">
        <v>325</v>
      </c>
      <c r="B329" s="45"/>
      <c r="C329" s="46"/>
      <c r="D329" s="47"/>
      <c r="E329" s="44"/>
      <c r="F329" s="48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  <c r="CG329" s="49"/>
      <c r="CH329" s="49"/>
      <c r="CI329" s="49"/>
      <c r="CJ329" s="40"/>
    </row>
    <row r="330" customFormat="false" ht="18" hidden="false" customHeight="true" outlineLevel="0" collapsed="false">
      <c r="A330" s="50" t="n">
        <v>326</v>
      </c>
      <c r="B330" s="45"/>
      <c r="C330" s="46"/>
      <c r="D330" s="47"/>
      <c r="E330" s="50"/>
      <c r="F330" s="51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40"/>
    </row>
    <row r="331" customFormat="false" ht="18" hidden="false" customHeight="true" outlineLevel="0" collapsed="false">
      <c r="A331" s="44" t="n">
        <v>327</v>
      </c>
      <c r="B331" s="45"/>
      <c r="C331" s="46"/>
      <c r="D331" s="47"/>
      <c r="E331" s="44"/>
      <c r="F331" s="48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  <c r="CG331" s="49"/>
      <c r="CH331" s="49"/>
      <c r="CI331" s="49"/>
      <c r="CJ331" s="40"/>
    </row>
    <row r="332" customFormat="false" ht="18" hidden="false" customHeight="true" outlineLevel="0" collapsed="false">
      <c r="A332" s="50" t="n">
        <v>328</v>
      </c>
      <c r="B332" s="45"/>
      <c r="C332" s="46"/>
      <c r="D332" s="47"/>
      <c r="E332" s="50"/>
      <c r="F332" s="51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40"/>
    </row>
    <row r="333" customFormat="false" ht="18" hidden="false" customHeight="true" outlineLevel="0" collapsed="false">
      <c r="A333" s="44" t="n">
        <v>329</v>
      </c>
      <c r="B333" s="45"/>
      <c r="C333" s="46"/>
      <c r="D333" s="47"/>
      <c r="E333" s="44"/>
      <c r="F333" s="48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  <c r="CG333" s="49"/>
      <c r="CH333" s="49"/>
      <c r="CI333" s="49"/>
      <c r="CJ333" s="40"/>
    </row>
    <row r="334" customFormat="false" ht="18" hidden="false" customHeight="true" outlineLevel="0" collapsed="false">
      <c r="A334" s="50" t="n">
        <v>330</v>
      </c>
      <c r="B334" s="45"/>
      <c r="C334" s="46"/>
      <c r="D334" s="47"/>
      <c r="E334" s="50"/>
      <c r="F334" s="51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40"/>
    </row>
    <row r="335" customFormat="false" ht="18" hidden="false" customHeight="true" outlineLevel="0" collapsed="false">
      <c r="A335" s="44" t="n">
        <v>331</v>
      </c>
      <c r="B335" s="45"/>
      <c r="C335" s="46"/>
      <c r="D335" s="47"/>
      <c r="E335" s="44"/>
      <c r="F335" s="48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0"/>
    </row>
    <row r="336" customFormat="false" ht="18" hidden="false" customHeight="true" outlineLevel="0" collapsed="false">
      <c r="A336" s="50" t="n">
        <v>332</v>
      </c>
      <c r="B336" s="45"/>
      <c r="C336" s="46"/>
      <c r="D336" s="47"/>
      <c r="E336" s="50"/>
      <c r="F336" s="51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40"/>
    </row>
    <row r="337" customFormat="false" ht="18" hidden="false" customHeight="true" outlineLevel="0" collapsed="false">
      <c r="A337" s="44" t="n">
        <v>333</v>
      </c>
      <c r="B337" s="45"/>
      <c r="C337" s="46"/>
      <c r="D337" s="47"/>
      <c r="E337" s="44"/>
      <c r="F337" s="48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  <c r="CG337" s="49"/>
      <c r="CH337" s="49"/>
      <c r="CI337" s="49"/>
      <c r="CJ337" s="40"/>
    </row>
    <row r="338" customFormat="false" ht="18" hidden="false" customHeight="true" outlineLevel="0" collapsed="false">
      <c r="A338" s="50" t="n">
        <v>334</v>
      </c>
      <c r="B338" s="45"/>
      <c r="C338" s="46"/>
      <c r="D338" s="47"/>
      <c r="E338" s="50"/>
      <c r="F338" s="51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40"/>
    </row>
    <row r="339" customFormat="false" ht="18" hidden="false" customHeight="true" outlineLevel="0" collapsed="false">
      <c r="A339" s="44" t="n">
        <v>335</v>
      </c>
      <c r="B339" s="45"/>
      <c r="C339" s="46"/>
      <c r="D339" s="47"/>
      <c r="E339" s="44"/>
      <c r="F339" s="48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  <c r="CG339" s="49"/>
      <c r="CH339" s="49"/>
      <c r="CI339" s="49"/>
      <c r="CJ339" s="40"/>
    </row>
    <row r="340" customFormat="false" ht="18" hidden="false" customHeight="true" outlineLevel="0" collapsed="false">
      <c r="A340" s="50" t="n">
        <v>336</v>
      </c>
      <c r="B340" s="45"/>
      <c r="C340" s="46"/>
      <c r="D340" s="47"/>
      <c r="E340" s="50"/>
      <c r="F340" s="51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40"/>
    </row>
    <row r="341" customFormat="false" ht="18" hidden="false" customHeight="true" outlineLevel="0" collapsed="false">
      <c r="A341" s="44" t="n">
        <v>337</v>
      </c>
      <c r="B341" s="45"/>
      <c r="C341" s="46"/>
      <c r="D341" s="47"/>
      <c r="E341" s="44"/>
      <c r="F341" s="48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  <c r="CG341" s="49"/>
      <c r="CH341" s="49"/>
      <c r="CI341" s="49"/>
      <c r="CJ341" s="40"/>
    </row>
    <row r="342" customFormat="false" ht="18" hidden="false" customHeight="true" outlineLevel="0" collapsed="false">
      <c r="A342" s="50" t="n">
        <v>338</v>
      </c>
      <c r="B342" s="45"/>
      <c r="C342" s="46"/>
      <c r="D342" s="47"/>
      <c r="E342" s="50"/>
      <c r="F342" s="51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40"/>
    </row>
    <row r="343" customFormat="false" ht="18" hidden="false" customHeight="true" outlineLevel="0" collapsed="false">
      <c r="A343" s="44" t="n">
        <v>339</v>
      </c>
      <c r="B343" s="45"/>
      <c r="C343" s="46"/>
      <c r="D343" s="47"/>
      <c r="E343" s="44"/>
      <c r="F343" s="48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0"/>
    </row>
    <row r="344" customFormat="false" ht="18" hidden="false" customHeight="true" outlineLevel="0" collapsed="false">
      <c r="A344" s="50" t="n">
        <v>340</v>
      </c>
      <c r="B344" s="45"/>
      <c r="C344" s="46"/>
      <c r="D344" s="47"/>
      <c r="E344" s="50"/>
      <c r="F344" s="51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40"/>
    </row>
    <row r="345" customFormat="false" ht="18" hidden="false" customHeight="true" outlineLevel="0" collapsed="false">
      <c r="A345" s="44" t="n">
        <v>341</v>
      </c>
      <c r="B345" s="45"/>
      <c r="C345" s="46"/>
      <c r="D345" s="47"/>
      <c r="E345" s="44"/>
      <c r="F345" s="48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0"/>
    </row>
    <row r="346" customFormat="false" ht="18" hidden="false" customHeight="true" outlineLevel="0" collapsed="false">
      <c r="A346" s="50" t="n">
        <v>342</v>
      </c>
      <c r="B346" s="45"/>
      <c r="C346" s="46"/>
      <c r="D346" s="47"/>
      <c r="E346" s="50"/>
      <c r="F346" s="51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40"/>
    </row>
    <row r="347" customFormat="false" ht="18" hidden="false" customHeight="true" outlineLevel="0" collapsed="false">
      <c r="A347" s="44" t="n">
        <v>343</v>
      </c>
      <c r="B347" s="45"/>
      <c r="C347" s="46"/>
      <c r="D347" s="47"/>
      <c r="E347" s="44"/>
      <c r="F347" s="48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  <c r="CB347" s="49"/>
      <c r="CC347" s="49"/>
      <c r="CD347" s="49"/>
      <c r="CE347" s="49"/>
      <c r="CF347" s="49"/>
      <c r="CG347" s="49"/>
      <c r="CH347" s="49"/>
      <c r="CI347" s="49"/>
      <c r="CJ347" s="40"/>
    </row>
    <row r="348" customFormat="false" ht="18" hidden="false" customHeight="true" outlineLevel="0" collapsed="false">
      <c r="A348" s="50" t="n">
        <v>344</v>
      </c>
      <c r="B348" s="45"/>
      <c r="C348" s="46"/>
      <c r="D348" s="47"/>
      <c r="E348" s="50"/>
      <c r="F348" s="51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40"/>
    </row>
    <row r="349" customFormat="false" ht="18" hidden="false" customHeight="true" outlineLevel="0" collapsed="false">
      <c r="A349" s="44" t="n">
        <v>345</v>
      </c>
      <c r="B349" s="45"/>
      <c r="C349" s="46"/>
      <c r="D349" s="47"/>
      <c r="E349" s="44"/>
      <c r="F349" s="48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0"/>
    </row>
    <row r="350" customFormat="false" ht="18" hidden="false" customHeight="true" outlineLevel="0" collapsed="false">
      <c r="A350" s="50" t="n">
        <v>346</v>
      </c>
      <c r="B350" s="45"/>
      <c r="C350" s="46"/>
      <c r="D350" s="47"/>
      <c r="E350" s="50"/>
      <c r="F350" s="51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  <c r="CI350" s="52"/>
      <c r="CJ350" s="40"/>
    </row>
    <row r="351" customFormat="false" ht="18" hidden="false" customHeight="true" outlineLevel="0" collapsed="false">
      <c r="A351" s="44" t="n">
        <v>347</v>
      </c>
      <c r="B351" s="45"/>
      <c r="C351" s="46"/>
      <c r="D351" s="47"/>
      <c r="E351" s="44"/>
      <c r="F351" s="48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0"/>
    </row>
    <row r="352" customFormat="false" ht="18" hidden="false" customHeight="true" outlineLevel="0" collapsed="false">
      <c r="A352" s="50" t="n">
        <v>348</v>
      </c>
      <c r="B352" s="45"/>
      <c r="C352" s="46"/>
      <c r="D352" s="47"/>
      <c r="E352" s="50"/>
      <c r="F352" s="51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  <c r="CI352" s="52"/>
      <c r="CJ352" s="40"/>
    </row>
    <row r="353" customFormat="false" ht="18" hidden="false" customHeight="true" outlineLevel="0" collapsed="false">
      <c r="A353" s="44" t="n">
        <v>349</v>
      </c>
      <c r="B353" s="45"/>
      <c r="C353" s="46"/>
      <c r="D353" s="47"/>
      <c r="E353" s="44"/>
      <c r="F353" s="48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0"/>
    </row>
    <row r="354" customFormat="false" ht="18" hidden="false" customHeight="true" outlineLevel="0" collapsed="false">
      <c r="A354" s="50" t="n">
        <v>350</v>
      </c>
      <c r="B354" s="45"/>
      <c r="C354" s="46"/>
      <c r="D354" s="47"/>
      <c r="E354" s="50"/>
      <c r="F354" s="51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52"/>
      <c r="CF354" s="52"/>
      <c r="CG354" s="52"/>
      <c r="CH354" s="52"/>
      <c r="CI354" s="52"/>
      <c r="CJ354" s="40"/>
    </row>
    <row r="355" customFormat="false" ht="18" hidden="false" customHeight="true" outlineLevel="0" collapsed="false">
      <c r="A355" s="44" t="n">
        <v>351</v>
      </c>
      <c r="B355" s="45"/>
      <c r="C355" s="46"/>
      <c r="D355" s="47"/>
      <c r="E355" s="44"/>
      <c r="F355" s="48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0"/>
    </row>
    <row r="356" customFormat="false" ht="18" hidden="false" customHeight="true" outlineLevel="0" collapsed="false">
      <c r="A356" s="50" t="n">
        <v>352</v>
      </c>
      <c r="B356" s="45"/>
      <c r="C356" s="46"/>
      <c r="D356" s="47"/>
      <c r="E356" s="50"/>
      <c r="F356" s="51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  <c r="CI356" s="52"/>
      <c r="CJ356" s="40"/>
    </row>
    <row r="357" customFormat="false" ht="18" hidden="false" customHeight="true" outlineLevel="0" collapsed="false">
      <c r="A357" s="44" t="n">
        <v>353</v>
      </c>
      <c r="B357" s="45"/>
      <c r="C357" s="46"/>
      <c r="D357" s="47"/>
      <c r="E357" s="44"/>
      <c r="F357" s="48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0"/>
    </row>
    <row r="358" customFormat="false" ht="18" hidden="false" customHeight="true" outlineLevel="0" collapsed="false">
      <c r="A358" s="50" t="n">
        <v>354</v>
      </c>
      <c r="B358" s="45"/>
      <c r="C358" s="46"/>
      <c r="D358" s="47"/>
      <c r="E358" s="50"/>
      <c r="F358" s="51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  <c r="CI358" s="52"/>
      <c r="CJ358" s="40"/>
    </row>
    <row r="359" customFormat="false" ht="18" hidden="false" customHeight="true" outlineLevel="0" collapsed="false">
      <c r="A359" s="44" t="n">
        <v>355</v>
      </c>
      <c r="B359" s="45"/>
      <c r="C359" s="46"/>
      <c r="D359" s="47"/>
      <c r="E359" s="44"/>
      <c r="F359" s="48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0"/>
    </row>
    <row r="360" customFormat="false" ht="18" hidden="false" customHeight="true" outlineLevel="0" collapsed="false">
      <c r="A360" s="50" t="n">
        <v>356</v>
      </c>
      <c r="B360" s="45"/>
      <c r="C360" s="46"/>
      <c r="D360" s="47"/>
      <c r="E360" s="50"/>
      <c r="F360" s="51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52"/>
      <c r="CF360" s="52"/>
      <c r="CG360" s="52"/>
      <c r="CH360" s="52"/>
      <c r="CI360" s="52"/>
      <c r="CJ360" s="40"/>
    </row>
    <row r="361" customFormat="false" ht="18" hidden="false" customHeight="true" outlineLevel="0" collapsed="false">
      <c r="A361" s="44" t="n">
        <v>357</v>
      </c>
      <c r="B361" s="45"/>
      <c r="C361" s="46"/>
      <c r="D361" s="47"/>
      <c r="E361" s="44"/>
      <c r="F361" s="48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0"/>
    </row>
    <row r="362" customFormat="false" ht="18" hidden="false" customHeight="true" outlineLevel="0" collapsed="false">
      <c r="A362" s="50" t="n">
        <v>358</v>
      </c>
      <c r="B362" s="45"/>
      <c r="C362" s="46"/>
      <c r="D362" s="47"/>
      <c r="E362" s="50"/>
      <c r="F362" s="51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  <c r="CI362" s="52"/>
      <c r="CJ362" s="40"/>
    </row>
    <row r="363" customFormat="false" ht="18" hidden="false" customHeight="true" outlineLevel="0" collapsed="false">
      <c r="A363" s="44" t="n">
        <v>359</v>
      </c>
      <c r="B363" s="45"/>
      <c r="C363" s="46"/>
      <c r="D363" s="47"/>
      <c r="E363" s="44"/>
      <c r="F363" s="48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  <c r="BR363" s="49"/>
      <c r="BS363" s="49"/>
      <c r="BT363" s="49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  <c r="CG363" s="49"/>
      <c r="CH363" s="49"/>
      <c r="CI363" s="49"/>
      <c r="CJ363" s="40"/>
    </row>
    <row r="364" customFormat="false" ht="18" hidden="false" customHeight="true" outlineLevel="0" collapsed="false">
      <c r="A364" s="50" t="n">
        <v>360</v>
      </c>
      <c r="B364" s="45"/>
      <c r="C364" s="46"/>
      <c r="D364" s="47"/>
      <c r="E364" s="50"/>
      <c r="F364" s="51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52"/>
      <c r="CF364" s="52"/>
      <c r="CG364" s="52"/>
      <c r="CH364" s="52"/>
      <c r="CI364" s="52"/>
      <c r="CJ364" s="40"/>
    </row>
    <row r="365" customFormat="false" ht="18" hidden="false" customHeight="true" outlineLevel="0" collapsed="false">
      <c r="A365" s="44" t="n">
        <v>361</v>
      </c>
      <c r="B365" s="45"/>
      <c r="C365" s="46"/>
      <c r="D365" s="47"/>
      <c r="E365" s="44"/>
      <c r="F365" s="48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49"/>
      <c r="BQ365" s="49"/>
      <c r="BR365" s="49"/>
      <c r="BS365" s="49"/>
      <c r="BT365" s="49"/>
      <c r="BU365" s="49"/>
      <c r="BV365" s="49"/>
      <c r="BW365" s="49"/>
      <c r="BX365" s="49"/>
      <c r="BY365" s="49"/>
      <c r="BZ365" s="49"/>
      <c r="CA365" s="49"/>
      <c r="CB365" s="49"/>
      <c r="CC365" s="49"/>
      <c r="CD365" s="49"/>
      <c r="CE365" s="49"/>
      <c r="CF365" s="49"/>
      <c r="CG365" s="49"/>
      <c r="CH365" s="49"/>
      <c r="CI365" s="49"/>
      <c r="CJ365" s="40"/>
    </row>
    <row r="366" customFormat="false" ht="18" hidden="false" customHeight="true" outlineLevel="0" collapsed="false">
      <c r="A366" s="50" t="n">
        <v>362</v>
      </c>
      <c r="B366" s="45"/>
      <c r="C366" s="46"/>
      <c r="D366" s="47"/>
      <c r="E366" s="50"/>
      <c r="F366" s="51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40"/>
    </row>
    <row r="367" customFormat="false" ht="18" hidden="false" customHeight="true" outlineLevel="0" collapsed="false">
      <c r="A367" s="44" t="n">
        <v>363</v>
      </c>
      <c r="B367" s="45"/>
      <c r="C367" s="46"/>
      <c r="D367" s="47"/>
      <c r="E367" s="44"/>
      <c r="F367" s="48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  <c r="CG367" s="49"/>
      <c r="CH367" s="49"/>
      <c r="CI367" s="49"/>
      <c r="CJ367" s="40"/>
    </row>
    <row r="368" customFormat="false" ht="18" hidden="false" customHeight="true" outlineLevel="0" collapsed="false">
      <c r="A368" s="50" t="n">
        <v>364</v>
      </c>
      <c r="B368" s="45"/>
      <c r="C368" s="46"/>
      <c r="D368" s="47"/>
      <c r="E368" s="50"/>
      <c r="F368" s="51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40"/>
    </row>
    <row r="369" customFormat="false" ht="18" hidden="false" customHeight="true" outlineLevel="0" collapsed="false">
      <c r="A369" s="44" t="n">
        <v>365</v>
      </c>
      <c r="B369" s="45"/>
      <c r="C369" s="46"/>
      <c r="D369" s="47"/>
      <c r="E369" s="44"/>
      <c r="F369" s="48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  <c r="CG369" s="49"/>
      <c r="CH369" s="49"/>
      <c r="CI369" s="49"/>
      <c r="CJ369" s="40"/>
    </row>
    <row r="370" customFormat="false" ht="18" hidden="false" customHeight="true" outlineLevel="0" collapsed="false">
      <c r="A370" s="50" t="n">
        <v>366</v>
      </c>
      <c r="B370" s="45"/>
      <c r="C370" s="46"/>
      <c r="D370" s="47"/>
      <c r="E370" s="50"/>
      <c r="F370" s="51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40"/>
    </row>
    <row r="371" customFormat="false" ht="18" hidden="false" customHeight="true" outlineLevel="0" collapsed="false">
      <c r="A371" s="44" t="n">
        <v>367</v>
      </c>
      <c r="B371" s="45"/>
      <c r="C371" s="46"/>
      <c r="D371" s="47"/>
      <c r="E371" s="44"/>
      <c r="F371" s="48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49"/>
      <c r="BQ371" s="49"/>
      <c r="BR371" s="49"/>
      <c r="BS371" s="49"/>
      <c r="BT371" s="49"/>
      <c r="BU371" s="49"/>
      <c r="BV371" s="49"/>
      <c r="BW371" s="49"/>
      <c r="BX371" s="49"/>
      <c r="BY371" s="49"/>
      <c r="BZ371" s="49"/>
      <c r="CA371" s="49"/>
      <c r="CB371" s="49"/>
      <c r="CC371" s="49"/>
      <c r="CD371" s="49"/>
      <c r="CE371" s="49"/>
      <c r="CF371" s="49"/>
      <c r="CG371" s="49"/>
      <c r="CH371" s="49"/>
      <c r="CI371" s="49"/>
      <c r="CJ371" s="40"/>
    </row>
    <row r="372" customFormat="false" ht="18" hidden="false" customHeight="true" outlineLevel="0" collapsed="false">
      <c r="A372" s="50" t="n">
        <v>368</v>
      </c>
      <c r="B372" s="45"/>
      <c r="C372" s="46"/>
      <c r="D372" s="47"/>
      <c r="E372" s="50"/>
      <c r="F372" s="51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40"/>
    </row>
    <row r="373" customFormat="false" ht="18" hidden="false" customHeight="true" outlineLevel="0" collapsed="false">
      <c r="A373" s="44" t="n">
        <v>369</v>
      </c>
      <c r="B373" s="45"/>
      <c r="C373" s="46"/>
      <c r="D373" s="47"/>
      <c r="E373" s="44"/>
      <c r="F373" s="48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  <c r="CB373" s="49"/>
      <c r="CC373" s="49"/>
      <c r="CD373" s="49"/>
      <c r="CE373" s="49"/>
      <c r="CF373" s="49"/>
      <c r="CG373" s="49"/>
      <c r="CH373" s="49"/>
      <c r="CI373" s="49"/>
      <c r="CJ373" s="40"/>
    </row>
    <row r="374" customFormat="false" ht="18" hidden="false" customHeight="true" outlineLevel="0" collapsed="false">
      <c r="A374" s="50" t="n">
        <v>370</v>
      </c>
      <c r="B374" s="45"/>
      <c r="C374" s="46"/>
      <c r="D374" s="47"/>
      <c r="E374" s="50"/>
      <c r="F374" s="51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40"/>
    </row>
    <row r="375" customFormat="false" ht="18" hidden="false" customHeight="true" outlineLevel="0" collapsed="false">
      <c r="A375" s="44" t="n">
        <v>371</v>
      </c>
      <c r="B375" s="45"/>
      <c r="C375" s="46"/>
      <c r="D375" s="47"/>
      <c r="E375" s="44"/>
      <c r="F375" s="48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  <c r="BP375" s="49"/>
      <c r="BQ375" s="49"/>
      <c r="BR375" s="49"/>
      <c r="BS375" s="49"/>
      <c r="BT375" s="49"/>
      <c r="BU375" s="49"/>
      <c r="BV375" s="49"/>
      <c r="BW375" s="49"/>
      <c r="BX375" s="49"/>
      <c r="BY375" s="49"/>
      <c r="BZ375" s="49"/>
      <c r="CA375" s="49"/>
      <c r="CB375" s="49"/>
      <c r="CC375" s="49"/>
      <c r="CD375" s="49"/>
      <c r="CE375" s="49"/>
      <c r="CF375" s="49"/>
      <c r="CG375" s="49"/>
      <c r="CH375" s="49"/>
      <c r="CI375" s="49"/>
      <c r="CJ375" s="40"/>
    </row>
    <row r="376" customFormat="false" ht="18" hidden="false" customHeight="true" outlineLevel="0" collapsed="false">
      <c r="A376" s="50" t="n">
        <v>372</v>
      </c>
      <c r="B376" s="45"/>
      <c r="C376" s="46"/>
      <c r="D376" s="47"/>
      <c r="E376" s="50"/>
      <c r="F376" s="51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40"/>
    </row>
    <row r="377" customFormat="false" ht="18" hidden="false" customHeight="true" outlineLevel="0" collapsed="false">
      <c r="A377" s="44" t="n">
        <v>373</v>
      </c>
      <c r="B377" s="45"/>
      <c r="C377" s="46"/>
      <c r="D377" s="47"/>
      <c r="E377" s="44"/>
      <c r="F377" s="48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M377" s="49"/>
      <c r="BN377" s="49"/>
      <c r="BO377" s="49"/>
      <c r="BP377" s="49"/>
      <c r="BQ377" s="49"/>
      <c r="BR377" s="49"/>
      <c r="BS377" s="49"/>
      <c r="BT377" s="49"/>
      <c r="BU377" s="49"/>
      <c r="BV377" s="49"/>
      <c r="BW377" s="49"/>
      <c r="BX377" s="49"/>
      <c r="BY377" s="49"/>
      <c r="BZ377" s="49"/>
      <c r="CA377" s="49"/>
      <c r="CB377" s="49"/>
      <c r="CC377" s="49"/>
      <c r="CD377" s="49"/>
      <c r="CE377" s="49"/>
      <c r="CF377" s="49"/>
      <c r="CG377" s="49"/>
      <c r="CH377" s="49"/>
      <c r="CI377" s="49"/>
      <c r="CJ377" s="40"/>
    </row>
    <row r="378" customFormat="false" ht="18" hidden="false" customHeight="true" outlineLevel="0" collapsed="false">
      <c r="A378" s="50" t="n">
        <v>374</v>
      </c>
      <c r="B378" s="45"/>
      <c r="C378" s="46"/>
      <c r="D378" s="47"/>
      <c r="E378" s="50"/>
      <c r="F378" s="51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40"/>
    </row>
    <row r="379" customFormat="false" ht="18" hidden="false" customHeight="true" outlineLevel="0" collapsed="false">
      <c r="A379" s="44" t="n">
        <v>375</v>
      </c>
      <c r="B379" s="45"/>
      <c r="C379" s="46"/>
      <c r="D379" s="47"/>
      <c r="E379" s="44"/>
      <c r="F379" s="48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  <c r="BP379" s="49"/>
      <c r="BQ379" s="49"/>
      <c r="BR379" s="49"/>
      <c r="BS379" s="49"/>
      <c r="BT379" s="49"/>
      <c r="BU379" s="49"/>
      <c r="BV379" s="49"/>
      <c r="BW379" s="49"/>
      <c r="BX379" s="49"/>
      <c r="BY379" s="49"/>
      <c r="BZ379" s="49"/>
      <c r="CA379" s="49"/>
      <c r="CB379" s="49"/>
      <c r="CC379" s="49"/>
      <c r="CD379" s="49"/>
      <c r="CE379" s="49"/>
      <c r="CF379" s="49"/>
      <c r="CG379" s="49"/>
      <c r="CH379" s="49"/>
      <c r="CI379" s="49"/>
      <c r="CJ379" s="40"/>
    </row>
    <row r="380" customFormat="false" ht="18" hidden="false" customHeight="true" outlineLevel="0" collapsed="false">
      <c r="A380" s="50" t="n">
        <v>376</v>
      </c>
      <c r="B380" s="45"/>
      <c r="C380" s="46"/>
      <c r="D380" s="47"/>
      <c r="E380" s="50"/>
      <c r="F380" s="51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  <c r="CI380" s="52"/>
      <c r="CJ380" s="40"/>
    </row>
    <row r="381" customFormat="false" ht="18" hidden="false" customHeight="true" outlineLevel="0" collapsed="false">
      <c r="A381" s="44" t="n">
        <v>377</v>
      </c>
      <c r="B381" s="45"/>
      <c r="C381" s="46"/>
      <c r="D381" s="47"/>
      <c r="E381" s="44"/>
      <c r="F381" s="48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49"/>
      <c r="BJ381" s="49"/>
      <c r="BK381" s="49"/>
      <c r="BL381" s="49"/>
      <c r="BM381" s="49"/>
      <c r="BN381" s="49"/>
      <c r="BO381" s="49"/>
      <c r="BP381" s="49"/>
      <c r="BQ381" s="49"/>
      <c r="BR381" s="49"/>
      <c r="BS381" s="49"/>
      <c r="BT381" s="49"/>
      <c r="BU381" s="49"/>
      <c r="BV381" s="49"/>
      <c r="BW381" s="49"/>
      <c r="BX381" s="49"/>
      <c r="BY381" s="49"/>
      <c r="BZ381" s="49"/>
      <c r="CA381" s="49"/>
      <c r="CB381" s="49"/>
      <c r="CC381" s="49"/>
      <c r="CD381" s="49"/>
      <c r="CE381" s="49"/>
      <c r="CF381" s="49"/>
      <c r="CG381" s="49"/>
      <c r="CH381" s="49"/>
      <c r="CI381" s="49"/>
      <c r="CJ381" s="40"/>
    </row>
    <row r="382" customFormat="false" ht="18" hidden="false" customHeight="true" outlineLevel="0" collapsed="false">
      <c r="A382" s="50" t="n">
        <v>378</v>
      </c>
      <c r="B382" s="45"/>
      <c r="C382" s="46"/>
      <c r="D382" s="47"/>
      <c r="E382" s="50"/>
      <c r="F382" s="51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  <c r="CE382" s="52"/>
      <c r="CF382" s="52"/>
      <c r="CG382" s="52"/>
      <c r="CH382" s="52"/>
      <c r="CI382" s="52"/>
      <c r="CJ382" s="40"/>
    </row>
    <row r="383" customFormat="false" ht="18" hidden="false" customHeight="true" outlineLevel="0" collapsed="false">
      <c r="A383" s="44" t="n">
        <v>379</v>
      </c>
      <c r="B383" s="45"/>
      <c r="C383" s="46"/>
      <c r="D383" s="47"/>
      <c r="E383" s="44"/>
      <c r="F383" s="48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  <c r="BP383" s="49"/>
      <c r="BQ383" s="49"/>
      <c r="BR383" s="49"/>
      <c r="BS383" s="49"/>
      <c r="BT383" s="49"/>
      <c r="BU383" s="49"/>
      <c r="BV383" s="49"/>
      <c r="BW383" s="49"/>
      <c r="BX383" s="49"/>
      <c r="BY383" s="49"/>
      <c r="BZ383" s="49"/>
      <c r="CA383" s="49"/>
      <c r="CB383" s="49"/>
      <c r="CC383" s="49"/>
      <c r="CD383" s="49"/>
      <c r="CE383" s="49"/>
      <c r="CF383" s="49"/>
      <c r="CG383" s="49"/>
      <c r="CH383" s="49"/>
      <c r="CI383" s="49"/>
      <c r="CJ383" s="40"/>
    </row>
    <row r="384" customFormat="false" ht="18" hidden="false" customHeight="true" outlineLevel="0" collapsed="false">
      <c r="A384" s="50" t="n">
        <v>380</v>
      </c>
      <c r="B384" s="45"/>
      <c r="C384" s="46"/>
      <c r="D384" s="47"/>
      <c r="E384" s="50"/>
      <c r="F384" s="51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  <c r="CE384" s="52"/>
      <c r="CF384" s="52"/>
      <c r="CG384" s="52"/>
      <c r="CH384" s="52"/>
      <c r="CI384" s="52"/>
      <c r="CJ384" s="40"/>
    </row>
    <row r="385" customFormat="false" ht="18" hidden="false" customHeight="true" outlineLevel="0" collapsed="false">
      <c r="A385" s="44" t="n">
        <v>381</v>
      </c>
      <c r="B385" s="45"/>
      <c r="C385" s="46"/>
      <c r="D385" s="47"/>
      <c r="E385" s="44"/>
      <c r="F385" s="48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  <c r="BP385" s="49"/>
      <c r="BQ385" s="49"/>
      <c r="BR385" s="49"/>
      <c r="BS385" s="49"/>
      <c r="BT385" s="49"/>
      <c r="BU385" s="49"/>
      <c r="BV385" s="49"/>
      <c r="BW385" s="49"/>
      <c r="BX385" s="49"/>
      <c r="BY385" s="49"/>
      <c r="BZ385" s="49"/>
      <c r="CA385" s="49"/>
      <c r="CB385" s="49"/>
      <c r="CC385" s="49"/>
      <c r="CD385" s="49"/>
      <c r="CE385" s="49"/>
      <c r="CF385" s="49"/>
      <c r="CG385" s="49"/>
      <c r="CH385" s="49"/>
      <c r="CI385" s="49"/>
      <c r="CJ385" s="40"/>
    </row>
    <row r="386" customFormat="false" ht="18" hidden="false" customHeight="true" outlineLevel="0" collapsed="false">
      <c r="A386" s="50" t="n">
        <v>382</v>
      </c>
      <c r="B386" s="45"/>
      <c r="C386" s="46"/>
      <c r="D386" s="47"/>
      <c r="E386" s="50"/>
      <c r="F386" s="51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  <c r="CI386" s="52"/>
      <c r="CJ386" s="40"/>
    </row>
    <row r="387" customFormat="false" ht="18" hidden="false" customHeight="true" outlineLevel="0" collapsed="false">
      <c r="A387" s="44" t="n">
        <v>383</v>
      </c>
      <c r="B387" s="45"/>
      <c r="C387" s="46"/>
      <c r="D387" s="47"/>
      <c r="E387" s="44"/>
      <c r="F387" s="48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  <c r="BP387" s="49"/>
      <c r="BQ387" s="49"/>
      <c r="BR387" s="49"/>
      <c r="BS387" s="49"/>
      <c r="BT387" s="49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0"/>
    </row>
    <row r="388" customFormat="false" ht="18" hidden="false" customHeight="true" outlineLevel="0" collapsed="false">
      <c r="A388" s="50" t="n">
        <v>384</v>
      </c>
      <c r="B388" s="45"/>
      <c r="C388" s="46"/>
      <c r="D388" s="47"/>
      <c r="E388" s="50"/>
      <c r="F388" s="51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  <c r="CI388" s="52"/>
      <c r="CJ388" s="40"/>
    </row>
    <row r="389" customFormat="false" ht="18" hidden="false" customHeight="true" outlineLevel="0" collapsed="false">
      <c r="A389" s="44" t="n">
        <v>385</v>
      </c>
      <c r="B389" s="45"/>
      <c r="C389" s="46"/>
      <c r="D389" s="47"/>
      <c r="E389" s="44"/>
      <c r="F389" s="48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49"/>
      <c r="BQ389" s="49"/>
      <c r="BR389" s="49"/>
      <c r="BS389" s="49"/>
      <c r="BT389" s="4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0"/>
    </row>
    <row r="390" customFormat="false" ht="18" hidden="false" customHeight="true" outlineLevel="0" collapsed="false">
      <c r="A390" s="50" t="n">
        <v>386</v>
      </c>
      <c r="B390" s="45"/>
      <c r="C390" s="46"/>
      <c r="D390" s="47"/>
      <c r="E390" s="50"/>
      <c r="F390" s="51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  <c r="CI390" s="52"/>
      <c r="CJ390" s="40"/>
    </row>
    <row r="391" customFormat="false" ht="18" hidden="false" customHeight="true" outlineLevel="0" collapsed="false">
      <c r="A391" s="44" t="n">
        <v>387</v>
      </c>
      <c r="B391" s="45"/>
      <c r="C391" s="46"/>
      <c r="D391" s="47"/>
      <c r="E391" s="44"/>
      <c r="F391" s="48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0"/>
    </row>
    <row r="392" customFormat="false" ht="18" hidden="false" customHeight="true" outlineLevel="0" collapsed="false">
      <c r="A392" s="50" t="n">
        <v>388</v>
      </c>
      <c r="B392" s="45"/>
      <c r="C392" s="46"/>
      <c r="D392" s="47"/>
      <c r="E392" s="50"/>
      <c r="F392" s="51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40"/>
    </row>
    <row r="393" customFormat="false" ht="18" hidden="false" customHeight="true" outlineLevel="0" collapsed="false">
      <c r="A393" s="44" t="n">
        <v>389</v>
      </c>
      <c r="B393" s="45"/>
      <c r="C393" s="46"/>
      <c r="D393" s="47"/>
      <c r="E393" s="44"/>
      <c r="F393" s="48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0"/>
    </row>
    <row r="394" customFormat="false" ht="18" hidden="false" customHeight="true" outlineLevel="0" collapsed="false">
      <c r="A394" s="50" t="n">
        <v>390</v>
      </c>
      <c r="B394" s="45"/>
      <c r="C394" s="46"/>
      <c r="D394" s="47"/>
      <c r="E394" s="50"/>
      <c r="F394" s="51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  <c r="CI394" s="52"/>
      <c r="CJ394" s="40"/>
    </row>
    <row r="395" customFormat="false" ht="18" hidden="false" customHeight="true" outlineLevel="0" collapsed="false">
      <c r="A395" s="44" t="n">
        <v>391</v>
      </c>
      <c r="B395" s="45"/>
      <c r="C395" s="46"/>
      <c r="D395" s="47"/>
      <c r="E395" s="44"/>
      <c r="F395" s="48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0"/>
    </row>
    <row r="396" customFormat="false" ht="18" hidden="false" customHeight="true" outlineLevel="0" collapsed="false">
      <c r="A396" s="50" t="n">
        <v>392</v>
      </c>
      <c r="B396" s="45"/>
      <c r="C396" s="46"/>
      <c r="D396" s="47"/>
      <c r="E396" s="50"/>
      <c r="F396" s="51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52"/>
      <c r="CF396" s="52"/>
      <c r="CG396" s="52"/>
      <c r="CH396" s="52"/>
      <c r="CI396" s="52"/>
      <c r="CJ396" s="40"/>
    </row>
    <row r="397" customFormat="false" ht="18" hidden="false" customHeight="true" outlineLevel="0" collapsed="false">
      <c r="A397" s="44" t="n">
        <v>393</v>
      </c>
      <c r="B397" s="45"/>
      <c r="C397" s="46"/>
      <c r="D397" s="47"/>
      <c r="E397" s="44"/>
      <c r="F397" s="48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0"/>
    </row>
    <row r="398" customFormat="false" ht="18" hidden="false" customHeight="true" outlineLevel="0" collapsed="false">
      <c r="A398" s="50" t="n">
        <v>394</v>
      </c>
      <c r="B398" s="45"/>
      <c r="C398" s="46"/>
      <c r="D398" s="47"/>
      <c r="E398" s="50"/>
      <c r="F398" s="51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  <c r="CI398" s="52"/>
      <c r="CJ398" s="40"/>
    </row>
    <row r="399" customFormat="false" ht="18" hidden="false" customHeight="true" outlineLevel="0" collapsed="false">
      <c r="A399" s="44" t="n">
        <v>395</v>
      </c>
      <c r="B399" s="45"/>
      <c r="C399" s="46"/>
      <c r="D399" s="47"/>
      <c r="E399" s="44"/>
      <c r="F399" s="48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0"/>
    </row>
    <row r="400" customFormat="false" ht="18" hidden="false" customHeight="true" outlineLevel="0" collapsed="false">
      <c r="A400" s="50" t="n">
        <v>396</v>
      </c>
      <c r="B400" s="45"/>
      <c r="C400" s="46"/>
      <c r="D400" s="47"/>
      <c r="E400" s="50"/>
      <c r="F400" s="51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52"/>
      <c r="CF400" s="52"/>
      <c r="CG400" s="52"/>
      <c r="CH400" s="52"/>
      <c r="CI400" s="52"/>
      <c r="CJ400" s="40"/>
    </row>
    <row r="401" customFormat="false" ht="18" hidden="false" customHeight="true" outlineLevel="0" collapsed="false">
      <c r="A401" s="44" t="n">
        <v>397</v>
      </c>
      <c r="B401" s="45"/>
      <c r="C401" s="46"/>
      <c r="D401" s="47"/>
      <c r="E401" s="44"/>
      <c r="F401" s="48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  <c r="BP401" s="49"/>
      <c r="BQ401" s="49"/>
      <c r="BR401" s="49"/>
      <c r="BS401" s="49"/>
      <c r="BT401" s="49"/>
      <c r="BU401" s="49"/>
      <c r="BV401" s="49"/>
      <c r="BW401" s="49"/>
      <c r="BX401" s="49"/>
      <c r="BY401" s="49"/>
      <c r="BZ401" s="49"/>
      <c r="CA401" s="49"/>
      <c r="CB401" s="49"/>
      <c r="CC401" s="49"/>
      <c r="CD401" s="49"/>
      <c r="CE401" s="49"/>
      <c r="CF401" s="49"/>
      <c r="CG401" s="49"/>
      <c r="CH401" s="49"/>
      <c r="CI401" s="49"/>
      <c r="CJ401" s="40"/>
    </row>
    <row r="402" customFormat="false" ht="18" hidden="false" customHeight="true" outlineLevel="0" collapsed="false">
      <c r="A402" s="50" t="n">
        <v>398</v>
      </c>
      <c r="B402" s="45"/>
      <c r="C402" s="46"/>
      <c r="D402" s="47"/>
      <c r="E402" s="50"/>
      <c r="F402" s="51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52"/>
      <c r="CF402" s="52"/>
      <c r="CG402" s="52"/>
      <c r="CH402" s="52"/>
      <c r="CI402" s="52"/>
      <c r="CJ402" s="40"/>
    </row>
    <row r="403" customFormat="false" ht="18" hidden="false" customHeight="true" outlineLevel="0" collapsed="false">
      <c r="A403" s="44" t="n">
        <v>399</v>
      </c>
      <c r="B403" s="45"/>
      <c r="C403" s="46"/>
      <c r="D403" s="47"/>
      <c r="E403" s="44"/>
      <c r="F403" s="48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  <c r="BP403" s="49"/>
      <c r="BQ403" s="49"/>
      <c r="BR403" s="49"/>
      <c r="BS403" s="49"/>
      <c r="BT403" s="49"/>
      <c r="BU403" s="49"/>
      <c r="BV403" s="49"/>
      <c r="BW403" s="49"/>
      <c r="BX403" s="49"/>
      <c r="BY403" s="49"/>
      <c r="BZ403" s="49"/>
      <c r="CA403" s="49"/>
      <c r="CB403" s="49"/>
      <c r="CC403" s="49"/>
      <c r="CD403" s="49"/>
      <c r="CE403" s="49"/>
      <c r="CF403" s="49"/>
      <c r="CG403" s="49"/>
      <c r="CH403" s="49"/>
      <c r="CI403" s="49"/>
      <c r="CJ403" s="40"/>
    </row>
    <row r="404" customFormat="false" ht="18" hidden="false" customHeight="true" outlineLevel="0" collapsed="false">
      <c r="A404" s="50" t="n">
        <v>400</v>
      </c>
      <c r="B404" s="45"/>
      <c r="C404" s="46"/>
      <c r="D404" s="47"/>
      <c r="E404" s="50"/>
      <c r="F404" s="51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  <c r="CI404" s="52"/>
      <c r="CJ404" s="40"/>
    </row>
    <row r="405" customFormat="false" ht="18" hidden="false" customHeight="true" outlineLevel="0" collapsed="false">
      <c r="A405" s="44" t="n">
        <v>401</v>
      </c>
      <c r="B405" s="45"/>
      <c r="C405" s="46"/>
      <c r="D405" s="47"/>
      <c r="E405" s="44"/>
      <c r="F405" s="48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49"/>
      <c r="BQ405" s="49"/>
      <c r="BR405" s="49"/>
      <c r="BS405" s="49"/>
      <c r="BT405" s="49"/>
      <c r="BU405" s="49"/>
      <c r="BV405" s="49"/>
      <c r="BW405" s="49"/>
      <c r="BX405" s="49"/>
      <c r="BY405" s="49"/>
      <c r="BZ405" s="49"/>
      <c r="CA405" s="49"/>
      <c r="CB405" s="49"/>
      <c r="CC405" s="49"/>
      <c r="CD405" s="49"/>
      <c r="CE405" s="49"/>
      <c r="CF405" s="49"/>
      <c r="CG405" s="49"/>
      <c r="CH405" s="49"/>
      <c r="CI405" s="49"/>
      <c r="CJ405" s="40"/>
    </row>
    <row r="406" customFormat="false" ht="18" hidden="false" customHeight="true" outlineLevel="0" collapsed="false">
      <c r="A406" s="50" t="n">
        <v>402</v>
      </c>
      <c r="B406" s="45"/>
      <c r="C406" s="46"/>
      <c r="D406" s="47"/>
      <c r="E406" s="50"/>
      <c r="F406" s="51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40"/>
    </row>
    <row r="407" customFormat="false" ht="18" hidden="false" customHeight="true" outlineLevel="0" collapsed="false">
      <c r="A407" s="44" t="n">
        <v>403</v>
      </c>
      <c r="B407" s="45"/>
      <c r="C407" s="46"/>
      <c r="D407" s="47"/>
      <c r="E407" s="44"/>
      <c r="F407" s="48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49"/>
      <c r="BQ407" s="49"/>
      <c r="BR407" s="49"/>
      <c r="BS407" s="49"/>
      <c r="BT407" s="49"/>
      <c r="BU407" s="49"/>
      <c r="BV407" s="49"/>
      <c r="BW407" s="49"/>
      <c r="BX407" s="49"/>
      <c r="BY407" s="49"/>
      <c r="BZ407" s="49"/>
      <c r="CA407" s="49"/>
      <c r="CB407" s="49"/>
      <c r="CC407" s="49"/>
      <c r="CD407" s="49"/>
      <c r="CE407" s="49"/>
      <c r="CF407" s="49"/>
      <c r="CG407" s="49"/>
      <c r="CH407" s="49"/>
      <c r="CI407" s="49"/>
      <c r="CJ407" s="40"/>
    </row>
    <row r="408" customFormat="false" ht="18" hidden="false" customHeight="true" outlineLevel="0" collapsed="false">
      <c r="A408" s="50" t="n">
        <v>404</v>
      </c>
      <c r="B408" s="45"/>
      <c r="C408" s="46"/>
      <c r="D408" s="47"/>
      <c r="E408" s="50"/>
      <c r="F408" s="51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  <c r="CI408" s="52"/>
      <c r="CJ408" s="40"/>
    </row>
    <row r="409" customFormat="false" ht="18" hidden="false" customHeight="true" outlineLevel="0" collapsed="false">
      <c r="A409" s="44" t="n">
        <v>405</v>
      </c>
      <c r="B409" s="45"/>
      <c r="C409" s="46"/>
      <c r="D409" s="47"/>
      <c r="E409" s="44"/>
      <c r="F409" s="48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  <c r="BR409" s="49"/>
      <c r="BS409" s="49"/>
      <c r="BT409" s="49"/>
      <c r="BU409" s="49"/>
      <c r="BV409" s="49"/>
      <c r="BW409" s="49"/>
      <c r="BX409" s="49"/>
      <c r="BY409" s="49"/>
      <c r="BZ409" s="49"/>
      <c r="CA409" s="49"/>
      <c r="CB409" s="49"/>
      <c r="CC409" s="49"/>
      <c r="CD409" s="49"/>
      <c r="CE409" s="49"/>
      <c r="CF409" s="49"/>
      <c r="CG409" s="49"/>
      <c r="CH409" s="49"/>
      <c r="CI409" s="49"/>
      <c r="CJ409" s="40"/>
    </row>
    <row r="410" customFormat="false" ht="18" hidden="false" customHeight="true" outlineLevel="0" collapsed="false">
      <c r="A410" s="50" t="n">
        <v>406</v>
      </c>
      <c r="B410" s="45"/>
      <c r="C410" s="46"/>
      <c r="D410" s="47"/>
      <c r="E410" s="50"/>
      <c r="F410" s="51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40"/>
    </row>
    <row r="411" customFormat="false" ht="18" hidden="false" customHeight="true" outlineLevel="0" collapsed="false">
      <c r="A411" s="44" t="n">
        <v>407</v>
      </c>
      <c r="B411" s="45"/>
      <c r="C411" s="46"/>
      <c r="D411" s="47"/>
      <c r="E411" s="44"/>
      <c r="F411" s="48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49"/>
      <c r="BX411" s="49"/>
      <c r="BY411" s="49"/>
      <c r="BZ411" s="49"/>
      <c r="CA411" s="49"/>
      <c r="CB411" s="49"/>
      <c r="CC411" s="49"/>
      <c r="CD411" s="49"/>
      <c r="CE411" s="49"/>
      <c r="CF411" s="49"/>
      <c r="CG411" s="49"/>
      <c r="CH411" s="49"/>
      <c r="CI411" s="49"/>
      <c r="CJ411" s="40"/>
    </row>
    <row r="412" customFormat="false" ht="18" hidden="false" customHeight="true" outlineLevel="0" collapsed="false">
      <c r="A412" s="50" t="n">
        <v>408</v>
      </c>
      <c r="B412" s="45"/>
      <c r="C412" s="46"/>
      <c r="D412" s="47"/>
      <c r="E412" s="50"/>
      <c r="F412" s="51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40"/>
    </row>
    <row r="413" customFormat="false" ht="18" hidden="false" customHeight="true" outlineLevel="0" collapsed="false">
      <c r="A413" s="44" t="n">
        <v>409</v>
      </c>
      <c r="B413" s="45"/>
      <c r="C413" s="46"/>
      <c r="D413" s="47"/>
      <c r="E413" s="44"/>
      <c r="F413" s="48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49"/>
      <c r="BQ413" s="49"/>
      <c r="BR413" s="49"/>
      <c r="BS413" s="49"/>
      <c r="BT413" s="49"/>
      <c r="BU413" s="49"/>
      <c r="BV413" s="49"/>
      <c r="BW413" s="49"/>
      <c r="BX413" s="49"/>
      <c r="BY413" s="49"/>
      <c r="BZ413" s="49"/>
      <c r="CA413" s="49"/>
      <c r="CB413" s="49"/>
      <c r="CC413" s="49"/>
      <c r="CD413" s="49"/>
      <c r="CE413" s="49"/>
      <c r="CF413" s="49"/>
      <c r="CG413" s="49"/>
      <c r="CH413" s="49"/>
      <c r="CI413" s="49"/>
      <c r="CJ413" s="40"/>
    </row>
    <row r="414" customFormat="false" ht="18" hidden="false" customHeight="true" outlineLevel="0" collapsed="false">
      <c r="A414" s="50" t="n">
        <v>410</v>
      </c>
      <c r="B414" s="45"/>
      <c r="C414" s="46"/>
      <c r="D414" s="47"/>
      <c r="E414" s="50"/>
      <c r="F414" s="51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40"/>
    </row>
    <row r="415" customFormat="false" ht="18" hidden="false" customHeight="true" outlineLevel="0" collapsed="false">
      <c r="A415" s="44" t="n">
        <v>411</v>
      </c>
      <c r="B415" s="45"/>
      <c r="C415" s="46"/>
      <c r="D415" s="47"/>
      <c r="E415" s="44"/>
      <c r="F415" s="48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  <c r="BP415" s="49"/>
      <c r="BQ415" s="49"/>
      <c r="BR415" s="49"/>
      <c r="BS415" s="49"/>
      <c r="BT415" s="49"/>
      <c r="BU415" s="49"/>
      <c r="BV415" s="49"/>
      <c r="BW415" s="49"/>
      <c r="BX415" s="49"/>
      <c r="BY415" s="49"/>
      <c r="BZ415" s="49"/>
      <c r="CA415" s="49"/>
      <c r="CB415" s="49"/>
      <c r="CC415" s="49"/>
      <c r="CD415" s="49"/>
      <c r="CE415" s="49"/>
      <c r="CF415" s="49"/>
      <c r="CG415" s="49"/>
      <c r="CH415" s="49"/>
      <c r="CI415" s="49"/>
      <c r="CJ415" s="40"/>
    </row>
    <row r="416" customFormat="false" ht="18" hidden="false" customHeight="true" outlineLevel="0" collapsed="false">
      <c r="A416" s="50" t="n">
        <v>412</v>
      </c>
      <c r="B416" s="45"/>
      <c r="C416" s="46"/>
      <c r="D416" s="47"/>
      <c r="E416" s="50"/>
      <c r="F416" s="51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40"/>
    </row>
    <row r="417" customFormat="false" ht="18" hidden="false" customHeight="true" outlineLevel="0" collapsed="false">
      <c r="A417" s="44" t="n">
        <v>413</v>
      </c>
      <c r="B417" s="45"/>
      <c r="C417" s="46"/>
      <c r="D417" s="47"/>
      <c r="E417" s="44"/>
      <c r="F417" s="48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  <c r="BP417" s="49"/>
      <c r="BQ417" s="49"/>
      <c r="BR417" s="49"/>
      <c r="BS417" s="49"/>
      <c r="BT417" s="49"/>
      <c r="BU417" s="49"/>
      <c r="BV417" s="49"/>
      <c r="BW417" s="49"/>
      <c r="BX417" s="49"/>
      <c r="BY417" s="49"/>
      <c r="BZ417" s="49"/>
      <c r="CA417" s="49"/>
      <c r="CB417" s="49"/>
      <c r="CC417" s="49"/>
      <c r="CD417" s="49"/>
      <c r="CE417" s="49"/>
      <c r="CF417" s="49"/>
      <c r="CG417" s="49"/>
      <c r="CH417" s="49"/>
      <c r="CI417" s="49"/>
      <c r="CJ417" s="40"/>
    </row>
    <row r="418" customFormat="false" ht="18" hidden="false" customHeight="true" outlineLevel="0" collapsed="false">
      <c r="A418" s="50" t="n">
        <v>414</v>
      </c>
      <c r="B418" s="45"/>
      <c r="C418" s="46"/>
      <c r="D418" s="47"/>
      <c r="E418" s="50"/>
      <c r="F418" s="51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40"/>
    </row>
    <row r="419" customFormat="false" ht="18" hidden="false" customHeight="true" outlineLevel="0" collapsed="false">
      <c r="A419" s="44" t="n">
        <v>415</v>
      </c>
      <c r="B419" s="45"/>
      <c r="C419" s="46"/>
      <c r="D419" s="47"/>
      <c r="E419" s="44"/>
      <c r="F419" s="48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  <c r="BP419" s="49"/>
      <c r="BQ419" s="49"/>
      <c r="BR419" s="49"/>
      <c r="BS419" s="49"/>
      <c r="BT419" s="49"/>
      <c r="BU419" s="49"/>
      <c r="BV419" s="49"/>
      <c r="BW419" s="49"/>
      <c r="BX419" s="49"/>
      <c r="BY419" s="49"/>
      <c r="BZ419" s="49"/>
      <c r="CA419" s="49"/>
      <c r="CB419" s="49"/>
      <c r="CC419" s="49"/>
      <c r="CD419" s="49"/>
      <c r="CE419" s="49"/>
      <c r="CF419" s="49"/>
      <c r="CG419" s="49"/>
      <c r="CH419" s="49"/>
      <c r="CI419" s="49"/>
      <c r="CJ419" s="40"/>
    </row>
    <row r="420" customFormat="false" ht="18" hidden="false" customHeight="true" outlineLevel="0" collapsed="false">
      <c r="A420" s="50" t="n">
        <v>416</v>
      </c>
      <c r="B420" s="45"/>
      <c r="C420" s="46"/>
      <c r="D420" s="47"/>
      <c r="E420" s="50"/>
      <c r="F420" s="51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  <c r="CI420" s="52"/>
      <c r="CJ420" s="40"/>
    </row>
    <row r="421" customFormat="false" ht="18" hidden="false" customHeight="true" outlineLevel="0" collapsed="false">
      <c r="A421" s="44" t="n">
        <v>417</v>
      </c>
      <c r="B421" s="45"/>
      <c r="C421" s="46"/>
      <c r="D421" s="47"/>
      <c r="E421" s="44"/>
      <c r="F421" s="48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  <c r="BP421" s="49"/>
      <c r="BQ421" s="49"/>
      <c r="BR421" s="49"/>
      <c r="BS421" s="49"/>
      <c r="BT421" s="49"/>
      <c r="BU421" s="49"/>
      <c r="BV421" s="49"/>
      <c r="BW421" s="49"/>
      <c r="BX421" s="49"/>
      <c r="BY421" s="49"/>
      <c r="BZ421" s="49"/>
      <c r="CA421" s="49"/>
      <c r="CB421" s="49"/>
      <c r="CC421" s="49"/>
      <c r="CD421" s="49"/>
      <c r="CE421" s="49"/>
      <c r="CF421" s="49"/>
      <c r="CG421" s="49"/>
      <c r="CH421" s="49"/>
      <c r="CI421" s="49"/>
      <c r="CJ421" s="40"/>
    </row>
    <row r="422" customFormat="false" ht="18" hidden="false" customHeight="true" outlineLevel="0" collapsed="false">
      <c r="A422" s="50" t="n">
        <v>418</v>
      </c>
      <c r="B422" s="45"/>
      <c r="C422" s="46"/>
      <c r="D422" s="47"/>
      <c r="E422" s="50"/>
      <c r="F422" s="51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40"/>
    </row>
    <row r="423" customFormat="false" ht="18" hidden="false" customHeight="true" outlineLevel="0" collapsed="false">
      <c r="A423" s="44" t="n">
        <v>419</v>
      </c>
      <c r="B423" s="45"/>
      <c r="C423" s="46"/>
      <c r="D423" s="47"/>
      <c r="E423" s="44"/>
      <c r="F423" s="48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  <c r="BP423" s="49"/>
      <c r="BQ423" s="49"/>
      <c r="BR423" s="49"/>
      <c r="BS423" s="49"/>
      <c r="BT423" s="49"/>
      <c r="BU423" s="49"/>
      <c r="BV423" s="49"/>
      <c r="BW423" s="49"/>
      <c r="BX423" s="49"/>
      <c r="BY423" s="49"/>
      <c r="BZ423" s="49"/>
      <c r="CA423" s="49"/>
      <c r="CB423" s="49"/>
      <c r="CC423" s="49"/>
      <c r="CD423" s="49"/>
      <c r="CE423" s="49"/>
      <c r="CF423" s="49"/>
      <c r="CG423" s="49"/>
      <c r="CH423" s="49"/>
      <c r="CI423" s="49"/>
      <c r="CJ423" s="40"/>
    </row>
    <row r="424" customFormat="false" ht="18" hidden="false" customHeight="true" outlineLevel="0" collapsed="false">
      <c r="A424" s="50" t="n">
        <v>420</v>
      </c>
      <c r="B424" s="45"/>
      <c r="C424" s="46"/>
      <c r="D424" s="47"/>
      <c r="E424" s="50"/>
      <c r="F424" s="51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40"/>
    </row>
    <row r="425" customFormat="false" ht="18" hidden="false" customHeight="true" outlineLevel="0" collapsed="false">
      <c r="A425" s="44" t="n">
        <v>421</v>
      </c>
      <c r="B425" s="45"/>
      <c r="C425" s="46"/>
      <c r="D425" s="47"/>
      <c r="E425" s="44"/>
      <c r="F425" s="48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  <c r="BP425" s="49"/>
      <c r="BQ425" s="49"/>
      <c r="BR425" s="49"/>
      <c r="BS425" s="49"/>
      <c r="BT425" s="49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0"/>
    </row>
    <row r="426" customFormat="false" ht="18" hidden="false" customHeight="true" outlineLevel="0" collapsed="false">
      <c r="A426" s="50" t="n">
        <v>422</v>
      </c>
      <c r="B426" s="45"/>
      <c r="C426" s="46"/>
      <c r="D426" s="47"/>
      <c r="E426" s="50"/>
      <c r="F426" s="51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52"/>
      <c r="CF426" s="52"/>
      <c r="CG426" s="52"/>
      <c r="CH426" s="52"/>
      <c r="CI426" s="52"/>
      <c r="CJ426" s="40"/>
    </row>
    <row r="427" customFormat="false" ht="18" hidden="false" customHeight="true" outlineLevel="0" collapsed="false">
      <c r="A427" s="44" t="n">
        <v>423</v>
      </c>
      <c r="B427" s="45"/>
      <c r="C427" s="46"/>
      <c r="D427" s="47"/>
      <c r="E427" s="44"/>
      <c r="F427" s="48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  <c r="BP427" s="49"/>
      <c r="BQ427" s="49"/>
      <c r="BR427" s="49"/>
      <c r="BS427" s="49"/>
      <c r="BT427" s="49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0"/>
    </row>
    <row r="428" customFormat="false" ht="18" hidden="false" customHeight="true" outlineLevel="0" collapsed="false">
      <c r="A428" s="50" t="n">
        <v>424</v>
      </c>
      <c r="B428" s="45"/>
      <c r="C428" s="46"/>
      <c r="D428" s="47"/>
      <c r="E428" s="50"/>
      <c r="F428" s="51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40"/>
    </row>
    <row r="429" customFormat="false" ht="18" hidden="false" customHeight="true" outlineLevel="0" collapsed="false">
      <c r="A429" s="44" t="n">
        <v>425</v>
      </c>
      <c r="B429" s="45"/>
      <c r="C429" s="46"/>
      <c r="D429" s="47"/>
      <c r="E429" s="44"/>
      <c r="F429" s="48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0"/>
    </row>
    <row r="430" customFormat="false" ht="18" hidden="false" customHeight="true" outlineLevel="0" collapsed="false">
      <c r="A430" s="50" t="n">
        <v>426</v>
      </c>
      <c r="B430" s="45"/>
      <c r="C430" s="46"/>
      <c r="D430" s="47"/>
      <c r="E430" s="50"/>
      <c r="F430" s="51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  <c r="CI430" s="52"/>
      <c r="CJ430" s="40"/>
    </row>
    <row r="431" customFormat="false" ht="18" hidden="false" customHeight="true" outlineLevel="0" collapsed="false">
      <c r="A431" s="44" t="n">
        <v>427</v>
      </c>
      <c r="B431" s="45"/>
      <c r="C431" s="46"/>
      <c r="D431" s="47"/>
      <c r="E431" s="44"/>
      <c r="F431" s="48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0"/>
    </row>
    <row r="432" customFormat="false" ht="18" hidden="false" customHeight="true" outlineLevel="0" collapsed="false">
      <c r="A432" s="50" t="n">
        <v>428</v>
      </c>
      <c r="B432" s="45"/>
      <c r="C432" s="46"/>
      <c r="D432" s="47"/>
      <c r="E432" s="50"/>
      <c r="F432" s="51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  <c r="CI432" s="52"/>
      <c r="CJ432" s="40"/>
    </row>
    <row r="433" customFormat="false" ht="18" hidden="false" customHeight="true" outlineLevel="0" collapsed="false">
      <c r="A433" s="44" t="n">
        <v>429</v>
      </c>
      <c r="B433" s="45"/>
      <c r="C433" s="46"/>
      <c r="D433" s="47"/>
      <c r="E433" s="44"/>
      <c r="F433" s="48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0"/>
    </row>
    <row r="434" customFormat="false" ht="18" hidden="false" customHeight="true" outlineLevel="0" collapsed="false">
      <c r="A434" s="50" t="n">
        <v>430</v>
      </c>
      <c r="B434" s="45"/>
      <c r="C434" s="46"/>
      <c r="D434" s="47"/>
      <c r="E434" s="50"/>
      <c r="F434" s="51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  <c r="CI434" s="52"/>
      <c r="CJ434" s="40"/>
    </row>
    <row r="435" customFormat="false" ht="18" hidden="false" customHeight="true" outlineLevel="0" collapsed="false">
      <c r="A435" s="44" t="n">
        <v>431</v>
      </c>
      <c r="B435" s="45"/>
      <c r="C435" s="46"/>
      <c r="D435" s="47"/>
      <c r="E435" s="44"/>
      <c r="F435" s="48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0"/>
    </row>
    <row r="436" customFormat="false" ht="18" hidden="false" customHeight="true" outlineLevel="0" collapsed="false">
      <c r="A436" s="50" t="n">
        <v>432</v>
      </c>
      <c r="B436" s="45"/>
      <c r="C436" s="46"/>
      <c r="D436" s="47"/>
      <c r="E436" s="50"/>
      <c r="F436" s="51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  <c r="CI436" s="52"/>
      <c r="CJ436" s="40"/>
    </row>
    <row r="437" customFormat="false" ht="18" hidden="false" customHeight="true" outlineLevel="0" collapsed="false">
      <c r="A437" s="44" t="n">
        <v>433</v>
      </c>
      <c r="B437" s="45"/>
      <c r="C437" s="46"/>
      <c r="D437" s="47"/>
      <c r="E437" s="44"/>
      <c r="F437" s="48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0"/>
    </row>
    <row r="438" customFormat="false" ht="18" hidden="false" customHeight="true" outlineLevel="0" collapsed="false">
      <c r="A438" s="50" t="n">
        <v>434</v>
      </c>
      <c r="B438" s="45"/>
      <c r="C438" s="46"/>
      <c r="D438" s="47"/>
      <c r="E438" s="50"/>
      <c r="F438" s="51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  <c r="CE438" s="52"/>
      <c r="CF438" s="52"/>
      <c r="CG438" s="52"/>
      <c r="CH438" s="52"/>
      <c r="CI438" s="52"/>
      <c r="CJ438" s="40"/>
    </row>
    <row r="439" customFormat="false" ht="18" hidden="false" customHeight="true" outlineLevel="0" collapsed="false">
      <c r="A439" s="44" t="n">
        <v>435</v>
      </c>
      <c r="B439" s="45"/>
      <c r="C439" s="46"/>
      <c r="D439" s="47"/>
      <c r="E439" s="44"/>
      <c r="F439" s="48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M439" s="49"/>
      <c r="BN439" s="49"/>
      <c r="BO439" s="49"/>
      <c r="BP439" s="49"/>
      <c r="BQ439" s="49"/>
      <c r="BR439" s="49"/>
      <c r="BS439" s="49"/>
      <c r="BT439" s="49"/>
      <c r="BU439" s="49"/>
      <c r="BV439" s="49"/>
      <c r="BW439" s="49"/>
      <c r="BX439" s="49"/>
      <c r="BY439" s="49"/>
      <c r="BZ439" s="49"/>
      <c r="CA439" s="49"/>
      <c r="CB439" s="49"/>
      <c r="CC439" s="49"/>
      <c r="CD439" s="49"/>
      <c r="CE439" s="49"/>
      <c r="CF439" s="49"/>
      <c r="CG439" s="49"/>
      <c r="CH439" s="49"/>
      <c r="CI439" s="49"/>
      <c r="CJ439" s="40"/>
    </row>
    <row r="440" customFormat="false" ht="18" hidden="false" customHeight="true" outlineLevel="0" collapsed="false">
      <c r="A440" s="50" t="n">
        <v>436</v>
      </c>
      <c r="B440" s="45"/>
      <c r="C440" s="46"/>
      <c r="D440" s="47"/>
      <c r="E440" s="50"/>
      <c r="F440" s="51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40"/>
    </row>
    <row r="441" customFormat="false" ht="18" hidden="false" customHeight="true" outlineLevel="0" collapsed="false">
      <c r="A441" s="44" t="n">
        <v>437</v>
      </c>
      <c r="B441" s="45"/>
      <c r="C441" s="46"/>
      <c r="D441" s="47"/>
      <c r="E441" s="44"/>
      <c r="F441" s="48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  <c r="BE441" s="49"/>
      <c r="BF441" s="49"/>
      <c r="BG441" s="49"/>
      <c r="BH441" s="49"/>
      <c r="BI441" s="49"/>
      <c r="BJ441" s="49"/>
      <c r="BK441" s="49"/>
      <c r="BL441" s="49"/>
      <c r="BM441" s="49"/>
      <c r="BN441" s="49"/>
      <c r="BO441" s="49"/>
      <c r="BP441" s="49"/>
      <c r="BQ441" s="49"/>
      <c r="BR441" s="49"/>
      <c r="BS441" s="49"/>
      <c r="BT441" s="49"/>
      <c r="BU441" s="49"/>
      <c r="BV441" s="49"/>
      <c r="BW441" s="49"/>
      <c r="BX441" s="49"/>
      <c r="BY441" s="49"/>
      <c r="BZ441" s="49"/>
      <c r="CA441" s="49"/>
      <c r="CB441" s="49"/>
      <c r="CC441" s="49"/>
      <c r="CD441" s="49"/>
      <c r="CE441" s="49"/>
      <c r="CF441" s="49"/>
      <c r="CG441" s="49"/>
      <c r="CH441" s="49"/>
      <c r="CI441" s="49"/>
      <c r="CJ441" s="40"/>
    </row>
    <row r="442" customFormat="false" ht="18" hidden="false" customHeight="true" outlineLevel="0" collapsed="false">
      <c r="A442" s="50" t="n">
        <v>438</v>
      </c>
      <c r="B442" s="45"/>
      <c r="C442" s="46"/>
      <c r="D442" s="47"/>
      <c r="E442" s="50"/>
      <c r="F442" s="51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  <c r="CE442" s="52"/>
      <c r="CF442" s="52"/>
      <c r="CG442" s="52"/>
      <c r="CH442" s="52"/>
      <c r="CI442" s="52"/>
      <c r="CJ442" s="40"/>
    </row>
    <row r="443" customFormat="false" ht="18" hidden="false" customHeight="true" outlineLevel="0" collapsed="false">
      <c r="A443" s="44" t="n">
        <v>439</v>
      </c>
      <c r="B443" s="45"/>
      <c r="C443" s="46"/>
      <c r="D443" s="47"/>
      <c r="E443" s="44"/>
      <c r="F443" s="48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M443" s="49"/>
      <c r="BN443" s="49"/>
      <c r="BO443" s="49"/>
      <c r="BP443" s="49"/>
      <c r="BQ443" s="49"/>
      <c r="BR443" s="49"/>
      <c r="BS443" s="49"/>
      <c r="BT443" s="49"/>
      <c r="BU443" s="49"/>
      <c r="BV443" s="49"/>
      <c r="BW443" s="49"/>
      <c r="BX443" s="49"/>
      <c r="BY443" s="49"/>
      <c r="BZ443" s="49"/>
      <c r="CA443" s="49"/>
      <c r="CB443" s="49"/>
      <c r="CC443" s="49"/>
      <c r="CD443" s="49"/>
      <c r="CE443" s="49"/>
      <c r="CF443" s="49"/>
      <c r="CG443" s="49"/>
      <c r="CH443" s="49"/>
      <c r="CI443" s="49"/>
      <c r="CJ443" s="40"/>
    </row>
    <row r="444" customFormat="false" ht="18" hidden="false" customHeight="true" outlineLevel="0" collapsed="false">
      <c r="A444" s="50" t="n">
        <v>440</v>
      </c>
      <c r="B444" s="45"/>
      <c r="C444" s="46"/>
      <c r="D444" s="47"/>
      <c r="E444" s="50"/>
      <c r="F444" s="51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  <c r="CE444" s="52"/>
      <c r="CF444" s="52"/>
      <c r="CG444" s="52"/>
      <c r="CH444" s="52"/>
      <c r="CI444" s="52"/>
      <c r="CJ444" s="40"/>
    </row>
    <row r="445" customFormat="false" ht="18" hidden="false" customHeight="true" outlineLevel="0" collapsed="false">
      <c r="A445" s="44" t="n">
        <v>441</v>
      </c>
      <c r="B445" s="45"/>
      <c r="C445" s="46"/>
      <c r="D445" s="47"/>
      <c r="E445" s="44"/>
      <c r="F445" s="48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M445" s="49"/>
      <c r="BN445" s="49"/>
      <c r="BO445" s="49"/>
      <c r="BP445" s="49"/>
      <c r="BQ445" s="49"/>
      <c r="BR445" s="49"/>
      <c r="BS445" s="49"/>
      <c r="BT445" s="49"/>
      <c r="BU445" s="49"/>
      <c r="BV445" s="49"/>
      <c r="BW445" s="49"/>
      <c r="BX445" s="49"/>
      <c r="BY445" s="49"/>
      <c r="BZ445" s="49"/>
      <c r="CA445" s="49"/>
      <c r="CB445" s="49"/>
      <c r="CC445" s="49"/>
      <c r="CD445" s="49"/>
      <c r="CE445" s="49"/>
      <c r="CF445" s="49"/>
      <c r="CG445" s="49"/>
      <c r="CH445" s="49"/>
      <c r="CI445" s="49"/>
      <c r="CJ445" s="40"/>
    </row>
    <row r="446" customFormat="false" ht="18" hidden="false" customHeight="true" outlineLevel="0" collapsed="false">
      <c r="A446" s="50" t="n">
        <v>442</v>
      </c>
      <c r="B446" s="45"/>
      <c r="C446" s="46"/>
      <c r="D446" s="47"/>
      <c r="E446" s="50"/>
      <c r="F446" s="51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40"/>
    </row>
    <row r="447" customFormat="false" ht="18" hidden="false" customHeight="true" outlineLevel="0" collapsed="false">
      <c r="A447" s="44" t="n">
        <v>443</v>
      </c>
      <c r="B447" s="45"/>
      <c r="C447" s="46"/>
      <c r="D447" s="47"/>
      <c r="E447" s="44"/>
      <c r="F447" s="48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/>
      <c r="BH447" s="49"/>
      <c r="BI447" s="49"/>
      <c r="BJ447" s="49"/>
      <c r="BK447" s="49"/>
      <c r="BL447" s="49"/>
      <c r="BM447" s="49"/>
      <c r="BN447" s="49"/>
      <c r="BO447" s="49"/>
      <c r="BP447" s="49"/>
      <c r="BQ447" s="49"/>
      <c r="BR447" s="49"/>
      <c r="BS447" s="49"/>
      <c r="BT447" s="49"/>
      <c r="BU447" s="49"/>
      <c r="BV447" s="49"/>
      <c r="BW447" s="49"/>
      <c r="BX447" s="49"/>
      <c r="BY447" s="49"/>
      <c r="BZ447" s="49"/>
      <c r="CA447" s="49"/>
      <c r="CB447" s="49"/>
      <c r="CC447" s="49"/>
      <c r="CD447" s="49"/>
      <c r="CE447" s="49"/>
      <c r="CF447" s="49"/>
      <c r="CG447" s="49"/>
      <c r="CH447" s="49"/>
      <c r="CI447" s="49"/>
      <c r="CJ447" s="40"/>
    </row>
    <row r="448" customFormat="false" ht="18" hidden="false" customHeight="true" outlineLevel="0" collapsed="false">
      <c r="A448" s="50" t="n">
        <v>444</v>
      </c>
      <c r="B448" s="45"/>
      <c r="C448" s="46"/>
      <c r="D448" s="47"/>
      <c r="E448" s="50"/>
      <c r="F448" s="51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52"/>
      <c r="CF448" s="52"/>
      <c r="CG448" s="52"/>
      <c r="CH448" s="52"/>
      <c r="CI448" s="52"/>
      <c r="CJ448" s="40"/>
    </row>
    <row r="449" customFormat="false" ht="18" hidden="false" customHeight="true" outlineLevel="0" collapsed="false">
      <c r="A449" s="44" t="n">
        <v>445</v>
      </c>
      <c r="B449" s="45"/>
      <c r="C449" s="46"/>
      <c r="D449" s="47"/>
      <c r="E449" s="44"/>
      <c r="F449" s="48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M449" s="49"/>
      <c r="BN449" s="49"/>
      <c r="BO449" s="49"/>
      <c r="BP449" s="49"/>
      <c r="BQ449" s="49"/>
      <c r="BR449" s="49"/>
      <c r="BS449" s="49"/>
      <c r="BT449" s="49"/>
      <c r="BU449" s="49"/>
      <c r="BV449" s="49"/>
      <c r="BW449" s="49"/>
      <c r="BX449" s="49"/>
      <c r="BY449" s="49"/>
      <c r="BZ449" s="49"/>
      <c r="CA449" s="49"/>
      <c r="CB449" s="49"/>
      <c r="CC449" s="49"/>
      <c r="CD449" s="49"/>
      <c r="CE449" s="49"/>
      <c r="CF449" s="49"/>
      <c r="CG449" s="49"/>
      <c r="CH449" s="49"/>
      <c r="CI449" s="49"/>
      <c r="CJ449" s="40"/>
    </row>
    <row r="450" customFormat="false" ht="18" hidden="false" customHeight="true" outlineLevel="0" collapsed="false">
      <c r="A450" s="50" t="n">
        <v>446</v>
      </c>
      <c r="B450" s="45"/>
      <c r="C450" s="46"/>
      <c r="D450" s="47"/>
      <c r="E450" s="50"/>
      <c r="F450" s="51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40"/>
    </row>
    <row r="451" customFormat="false" ht="18" hidden="false" customHeight="true" outlineLevel="0" collapsed="false">
      <c r="A451" s="44" t="n">
        <v>447</v>
      </c>
      <c r="B451" s="45"/>
      <c r="C451" s="46"/>
      <c r="D451" s="47"/>
      <c r="E451" s="44"/>
      <c r="F451" s="48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M451" s="49"/>
      <c r="BN451" s="49"/>
      <c r="BO451" s="49"/>
      <c r="BP451" s="49"/>
      <c r="BQ451" s="49"/>
      <c r="BR451" s="49"/>
      <c r="BS451" s="49"/>
      <c r="BT451" s="49"/>
      <c r="BU451" s="49"/>
      <c r="BV451" s="49"/>
      <c r="BW451" s="49"/>
      <c r="BX451" s="49"/>
      <c r="BY451" s="49"/>
      <c r="BZ451" s="49"/>
      <c r="CA451" s="49"/>
      <c r="CB451" s="49"/>
      <c r="CC451" s="49"/>
      <c r="CD451" s="49"/>
      <c r="CE451" s="49"/>
      <c r="CF451" s="49"/>
      <c r="CG451" s="49"/>
      <c r="CH451" s="49"/>
      <c r="CI451" s="49"/>
      <c r="CJ451" s="40"/>
    </row>
    <row r="452" customFormat="false" ht="18" hidden="false" customHeight="true" outlineLevel="0" collapsed="false">
      <c r="A452" s="50" t="n">
        <v>448</v>
      </c>
      <c r="B452" s="45"/>
      <c r="C452" s="46"/>
      <c r="D452" s="47"/>
      <c r="E452" s="50"/>
      <c r="F452" s="51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40"/>
    </row>
    <row r="453" customFormat="false" ht="18" hidden="false" customHeight="true" outlineLevel="0" collapsed="false">
      <c r="A453" s="44" t="n">
        <v>449</v>
      </c>
      <c r="B453" s="45"/>
      <c r="C453" s="46"/>
      <c r="D453" s="47"/>
      <c r="E453" s="44"/>
      <c r="F453" s="48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/>
      <c r="BH453" s="49"/>
      <c r="BI453" s="49"/>
      <c r="BJ453" s="49"/>
      <c r="BK453" s="49"/>
      <c r="BL453" s="49"/>
      <c r="BM453" s="49"/>
      <c r="BN453" s="49"/>
      <c r="BO453" s="49"/>
      <c r="BP453" s="49"/>
      <c r="BQ453" s="49"/>
      <c r="BR453" s="49"/>
      <c r="BS453" s="49"/>
      <c r="BT453" s="49"/>
      <c r="BU453" s="49"/>
      <c r="BV453" s="49"/>
      <c r="BW453" s="49"/>
      <c r="BX453" s="49"/>
      <c r="BY453" s="49"/>
      <c r="BZ453" s="49"/>
      <c r="CA453" s="49"/>
      <c r="CB453" s="49"/>
      <c r="CC453" s="49"/>
      <c r="CD453" s="49"/>
      <c r="CE453" s="49"/>
      <c r="CF453" s="49"/>
      <c r="CG453" s="49"/>
      <c r="CH453" s="49"/>
      <c r="CI453" s="49"/>
      <c r="CJ453" s="40"/>
    </row>
    <row r="454" customFormat="false" ht="18" hidden="false" customHeight="true" outlineLevel="0" collapsed="false">
      <c r="A454" s="50" t="n">
        <v>450</v>
      </c>
      <c r="B454" s="45"/>
      <c r="C454" s="46"/>
      <c r="D454" s="47"/>
      <c r="E454" s="50"/>
      <c r="F454" s="51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40"/>
    </row>
    <row r="455" customFormat="false" ht="18" hidden="false" customHeight="true" outlineLevel="0" collapsed="false">
      <c r="A455" s="44" t="n">
        <v>451</v>
      </c>
      <c r="B455" s="45"/>
      <c r="C455" s="46"/>
      <c r="D455" s="47"/>
      <c r="E455" s="44"/>
      <c r="F455" s="48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49"/>
      <c r="BQ455" s="49"/>
      <c r="BR455" s="49"/>
      <c r="BS455" s="49"/>
      <c r="BT455" s="49"/>
      <c r="BU455" s="49"/>
      <c r="BV455" s="49"/>
      <c r="BW455" s="49"/>
      <c r="BX455" s="49"/>
      <c r="BY455" s="49"/>
      <c r="BZ455" s="49"/>
      <c r="CA455" s="49"/>
      <c r="CB455" s="49"/>
      <c r="CC455" s="49"/>
      <c r="CD455" s="49"/>
      <c r="CE455" s="49"/>
      <c r="CF455" s="49"/>
      <c r="CG455" s="49"/>
      <c r="CH455" s="49"/>
      <c r="CI455" s="49"/>
      <c r="CJ455" s="40"/>
    </row>
    <row r="456" customFormat="false" ht="18" hidden="false" customHeight="true" outlineLevel="0" collapsed="false">
      <c r="A456" s="50" t="n">
        <v>452</v>
      </c>
      <c r="B456" s="45"/>
      <c r="C456" s="46"/>
      <c r="D456" s="47"/>
      <c r="E456" s="50"/>
      <c r="F456" s="51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40"/>
    </row>
    <row r="457" customFormat="false" ht="18" hidden="false" customHeight="true" outlineLevel="0" collapsed="false">
      <c r="A457" s="44" t="n">
        <v>453</v>
      </c>
      <c r="B457" s="45"/>
      <c r="C457" s="46"/>
      <c r="D457" s="47"/>
      <c r="E457" s="44"/>
      <c r="F457" s="48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M457" s="49"/>
      <c r="BN457" s="49"/>
      <c r="BO457" s="49"/>
      <c r="BP457" s="49"/>
      <c r="BQ457" s="49"/>
      <c r="BR457" s="49"/>
      <c r="BS457" s="49"/>
      <c r="BT457" s="49"/>
      <c r="BU457" s="49"/>
      <c r="BV457" s="49"/>
      <c r="BW457" s="49"/>
      <c r="BX457" s="49"/>
      <c r="BY457" s="49"/>
      <c r="BZ457" s="49"/>
      <c r="CA457" s="49"/>
      <c r="CB457" s="49"/>
      <c r="CC457" s="49"/>
      <c r="CD457" s="49"/>
      <c r="CE457" s="49"/>
      <c r="CF457" s="49"/>
      <c r="CG457" s="49"/>
      <c r="CH457" s="49"/>
      <c r="CI457" s="49"/>
      <c r="CJ457" s="40"/>
    </row>
    <row r="458" customFormat="false" ht="18" hidden="false" customHeight="true" outlineLevel="0" collapsed="false">
      <c r="A458" s="50" t="n">
        <v>454</v>
      </c>
      <c r="B458" s="45"/>
      <c r="C458" s="46"/>
      <c r="D458" s="47"/>
      <c r="E458" s="50"/>
      <c r="F458" s="51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40"/>
    </row>
    <row r="459" customFormat="false" ht="18" hidden="false" customHeight="true" outlineLevel="0" collapsed="false">
      <c r="A459" s="44" t="n">
        <v>455</v>
      </c>
      <c r="B459" s="45"/>
      <c r="C459" s="46"/>
      <c r="D459" s="47"/>
      <c r="E459" s="44"/>
      <c r="F459" s="48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/>
      <c r="BH459" s="49"/>
      <c r="BI459" s="49"/>
      <c r="BJ459" s="49"/>
      <c r="BK459" s="49"/>
      <c r="BL459" s="49"/>
      <c r="BM459" s="49"/>
      <c r="BN459" s="49"/>
      <c r="BO459" s="49"/>
      <c r="BP459" s="49"/>
      <c r="BQ459" s="49"/>
      <c r="BR459" s="49"/>
      <c r="BS459" s="49"/>
      <c r="BT459" s="49"/>
      <c r="BU459" s="49"/>
      <c r="BV459" s="49"/>
      <c r="BW459" s="49"/>
      <c r="BX459" s="49"/>
      <c r="BY459" s="49"/>
      <c r="BZ459" s="49"/>
      <c r="CA459" s="49"/>
      <c r="CB459" s="49"/>
      <c r="CC459" s="49"/>
      <c r="CD459" s="49"/>
      <c r="CE459" s="49"/>
      <c r="CF459" s="49"/>
      <c r="CG459" s="49"/>
      <c r="CH459" s="49"/>
      <c r="CI459" s="49"/>
      <c r="CJ459" s="40"/>
    </row>
    <row r="460" customFormat="false" ht="18" hidden="false" customHeight="true" outlineLevel="0" collapsed="false">
      <c r="A460" s="50" t="n">
        <v>456</v>
      </c>
      <c r="B460" s="45"/>
      <c r="C460" s="46"/>
      <c r="D460" s="47"/>
      <c r="E460" s="50"/>
      <c r="F460" s="51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52"/>
      <c r="CF460" s="52"/>
      <c r="CG460" s="52"/>
      <c r="CH460" s="52"/>
      <c r="CI460" s="52"/>
      <c r="CJ460" s="40"/>
    </row>
    <row r="461" customFormat="false" ht="18" hidden="false" customHeight="true" outlineLevel="0" collapsed="false">
      <c r="A461" s="44" t="n">
        <v>457</v>
      </c>
      <c r="B461" s="45"/>
      <c r="C461" s="46"/>
      <c r="D461" s="47"/>
      <c r="E461" s="44"/>
      <c r="F461" s="48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M461" s="49"/>
      <c r="BN461" s="49"/>
      <c r="BO461" s="49"/>
      <c r="BP461" s="49"/>
      <c r="BQ461" s="49"/>
      <c r="BR461" s="49"/>
      <c r="BS461" s="49"/>
      <c r="BT461" s="49"/>
      <c r="BU461" s="49"/>
      <c r="BV461" s="49"/>
      <c r="BW461" s="49"/>
      <c r="BX461" s="49"/>
      <c r="BY461" s="49"/>
      <c r="BZ461" s="49"/>
      <c r="CA461" s="49"/>
      <c r="CB461" s="49"/>
      <c r="CC461" s="49"/>
      <c r="CD461" s="49"/>
      <c r="CE461" s="49"/>
      <c r="CF461" s="49"/>
      <c r="CG461" s="49"/>
      <c r="CH461" s="49"/>
      <c r="CI461" s="49"/>
      <c r="CJ461" s="40"/>
    </row>
    <row r="462" customFormat="false" ht="18" hidden="false" customHeight="true" outlineLevel="0" collapsed="false">
      <c r="A462" s="50" t="n">
        <v>458</v>
      </c>
      <c r="B462" s="45"/>
      <c r="C462" s="46"/>
      <c r="D462" s="47"/>
      <c r="E462" s="50"/>
      <c r="F462" s="51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52"/>
      <c r="CF462" s="52"/>
      <c r="CG462" s="52"/>
      <c r="CH462" s="52"/>
      <c r="CI462" s="52"/>
      <c r="CJ462" s="40"/>
    </row>
    <row r="463" customFormat="false" ht="18" hidden="false" customHeight="true" outlineLevel="0" collapsed="false">
      <c r="A463" s="44" t="n">
        <v>459</v>
      </c>
      <c r="B463" s="45"/>
      <c r="C463" s="46"/>
      <c r="D463" s="47"/>
      <c r="E463" s="44"/>
      <c r="F463" s="48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49"/>
      <c r="BP463" s="49"/>
      <c r="BQ463" s="49"/>
      <c r="BR463" s="49"/>
      <c r="BS463" s="49"/>
      <c r="BT463" s="49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0"/>
    </row>
    <row r="464" customFormat="false" ht="18" hidden="false" customHeight="true" outlineLevel="0" collapsed="false">
      <c r="A464" s="50" t="n">
        <v>460</v>
      </c>
      <c r="B464" s="45"/>
      <c r="C464" s="46"/>
      <c r="D464" s="47"/>
      <c r="E464" s="50"/>
      <c r="F464" s="51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40"/>
    </row>
    <row r="465" customFormat="false" ht="18" hidden="false" customHeight="true" outlineLevel="0" collapsed="false">
      <c r="A465" s="44" t="n">
        <v>461</v>
      </c>
      <c r="B465" s="45"/>
      <c r="C465" s="46"/>
      <c r="D465" s="47"/>
      <c r="E465" s="44"/>
      <c r="F465" s="48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/>
      <c r="BH465" s="49"/>
      <c r="BI465" s="49"/>
      <c r="BJ465" s="49"/>
      <c r="BK465" s="49"/>
      <c r="BL465" s="49"/>
      <c r="BM465" s="49"/>
      <c r="BN465" s="49"/>
      <c r="BO465" s="49"/>
      <c r="BP465" s="49"/>
      <c r="BQ465" s="49"/>
      <c r="BR465" s="49"/>
      <c r="BS465" s="49"/>
      <c r="BT465" s="49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0"/>
    </row>
    <row r="466" customFormat="false" ht="18" hidden="false" customHeight="true" outlineLevel="0" collapsed="false">
      <c r="A466" s="50" t="n">
        <v>462</v>
      </c>
      <c r="B466" s="45"/>
      <c r="C466" s="46"/>
      <c r="D466" s="47"/>
      <c r="E466" s="50"/>
      <c r="F466" s="51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  <c r="CI466" s="52"/>
      <c r="CJ466" s="40"/>
    </row>
    <row r="467" customFormat="false" ht="18" hidden="false" customHeight="true" outlineLevel="0" collapsed="false">
      <c r="A467" s="44" t="n">
        <v>463</v>
      </c>
      <c r="B467" s="45"/>
      <c r="C467" s="46"/>
      <c r="D467" s="47"/>
      <c r="E467" s="44"/>
      <c r="F467" s="48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0"/>
    </row>
    <row r="468" customFormat="false" ht="18" hidden="false" customHeight="true" outlineLevel="0" collapsed="false">
      <c r="A468" s="50" t="n">
        <v>464</v>
      </c>
      <c r="B468" s="45"/>
      <c r="C468" s="46"/>
      <c r="D468" s="47"/>
      <c r="E468" s="50"/>
      <c r="F468" s="51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52"/>
      <c r="CF468" s="52"/>
      <c r="CG468" s="52"/>
      <c r="CH468" s="52"/>
      <c r="CI468" s="52"/>
      <c r="CJ468" s="40"/>
    </row>
    <row r="469" customFormat="false" ht="18" hidden="false" customHeight="true" outlineLevel="0" collapsed="false">
      <c r="A469" s="44" t="n">
        <v>465</v>
      </c>
      <c r="B469" s="45"/>
      <c r="C469" s="46"/>
      <c r="D469" s="47"/>
      <c r="E469" s="44"/>
      <c r="F469" s="48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0"/>
    </row>
    <row r="470" customFormat="false" ht="18" hidden="false" customHeight="true" outlineLevel="0" collapsed="false">
      <c r="A470" s="50" t="n">
        <v>466</v>
      </c>
      <c r="B470" s="45"/>
      <c r="C470" s="46"/>
      <c r="D470" s="47"/>
      <c r="E470" s="50"/>
      <c r="F470" s="51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40"/>
    </row>
    <row r="471" customFormat="false" ht="18" hidden="false" customHeight="true" outlineLevel="0" collapsed="false">
      <c r="A471" s="44" t="n">
        <v>467</v>
      </c>
      <c r="B471" s="45"/>
      <c r="C471" s="46"/>
      <c r="D471" s="47"/>
      <c r="E471" s="44"/>
      <c r="F471" s="48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0"/>
    </row>
    <row r="472" customFormat="false" ht="18" hidden="false" customHeight="true" outlineLevel="0" collapsed="false">
      <c r="A472" s="50" t="n">
        <v>468</v>
      </c>
      <c r="B472" s="45"/>
      <c r="C472" s="46"/>
      <c r="D472" s="47"/>
      <c r="E472" s="50"/>
      <c r="F472" s="51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  <c r="CI472" s="52"/>
      <c r="CJ472" s="40"/>
    </row>
    <row r="473" customFormat="false" ht="18" hidden="false" customHeight="true" outlineLevel="0" collapsed="false">
      <c r="A473" s="44" t="n">
        <v>469</v>
      </c>
      <c r="B473" s="45"/>
      <c r="C473" s="46"/>
      <c r="D473" s="47"/>
      <c r="E473" s="44"/>
      <c r="F473" s="48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0"/>
    </row>
    <row r="474" customFormat="false" ht="18" hidden="false" customHeight="true" outlineLevel="0" collapsed="false">
      <c r="A474" s="50" t="n">
        <v>470</v>
      </c>
      <c r="B474" s="45"/>
      <c r="C474" s="46"/>
      <c r="D474" s="47"/>
      <c r="E474" s="50"/>
      <c r="F474" s="51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  <c r="CI474" s="52"/>
      <c r="CJ474" s="40"/>
    </row>
    <row r="475" customFormat="false" ht="18" hidden="false" customHeight="true" outlineLevel="0" collapsed="false">
      <c r="A475" s="44" t="n">
        <v>471</v>
      </c>
      <c r="B475" s="45"/>
      <c r="C475" s="46"/>
      <c r="D475" s="47"/>
      <c r="E475" s="44"/>
      <c r="F475" s="48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0"/>
    </row>
    <row r="476" customFormat="false" ht="18" hidden="false" customHeight="true" outlineLevel="0" collapsed="false">
      <c r="A476" s="50" t="n">
        <v>472</v>
      </c>
      <c r="B476" s="45"/>
      <c r="C476" s="46"/>
      <c r="D476" s="47"/>
      <c r="E476" s="50"/>
      <c r="F476" s="51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  <c r="CI476" s="52"/>
      <c r="CJ476" s="40"/>
    </row>
    <row r="477" customFormat="false" ht="18" hidden="false" customHeight="true" outlineLevel="0" collapsed="false">
      <c r="A477" s="44" t="n">
        <v>473</v>
      </c>
      <c r="B477" s="45"/>
      <c r="C477" s="46"/>
      <c r="D477" s="47"/>
      <c r="E477" s="44"/>
      <c r="F477" s="48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49"/>
      <c r="BQ477" s="49"/>
      <c r="BR477" s="49"/>
      <c r="BS477" s="49"/>
      <c r="BT477" s="49"/>
      <c r="BU477" s="49"/>
      <c r="BV477" s="49"/>
      <c r="BW477" s="49"/>
      <c r="BX477" s="49"/>
      <c r="BY477" s="49"/>
      <c r="BZ477" s="49"/>
      <c r="CA477" s="49"/>
      <c r="CB477" s="49"/>
      <c r="CC477" s="49"/>
      <c r="CD477" s="49"/>
      <c r="CE477" s="49"/>
      <c r="CF477" s="49"/>
      <c r="CG477" s="49"/>
      <c r="CH477" s="49"/>
      <c r="CI477" s="49"/>
      <c r="CJ477" s="40"/>
    </row>
    <row r="478" customFormat="false" ht="18" hidden="false" customHeight="true" outlineLevel="0" collapsed="false">
      <c r="A478" s="50" t="n">
        <v>474</v>
      </c>
      <c r="B478" s="45"/>
      <c r="C478" s="46"/>
      <c r="D478" s="47"/>
      <c r="E478" s="50"/>
      <c r="F478" s="51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52"/>
      <c r="CF478" s="52"/>
      <c r="CG478" s="52"/>
      <c r="CH478" s="52"/>
      <c r="CI478" s="52"/>
      <c r="CJ478" s="40"/>
    </row>
    <row r="479" customFormat="false" ht="18" hidden="false" customHeight="true" outlineLevel="0" collapsed="false">
      <c r="A479" s="44" t="n">
        <v>475</v>
      </c>
      <c r="B479" s="45"/>
      <c r="C479" s="46"/>
      <c r="D479" s="47"/>
      <c r="E479" s="44"/>
      <c r="F479" s="48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M479" s="49"/>
      <c r="BN479" s="49"/>
      <c r="BO479" s="49"/>
      <c r="BP479" s="49"/>
      <c r="BQ479" s="49"/>
      <c r="BR479" s="49"/>
      <c r="BS479" s="49"/>
      <c r="BT479" s="49"/>
      <c r="BU479" s="49"/>
      <c r="BV479" s="49"/>
      <c r="BW479" s="49"/>
      <c r="BX479" s="49"/>
      <c r="BY479" s="49"/>
      <c r="BZ479" s="49"/>
      <c r="CA479" s="49"/>
      <c r="CB479" s="49"/>
      <c r="CC479" s="49"/>
      <c r="CD479" s="49"/>
      <c r="CE479" s="49"/>
      <c r="CF479" s="49"/>
      <c r="CG479" s="49"/>
      <c r="CH479" s="49"/>
      <c r="CI479" s="49"/>
      <c r="CJ479" s="40"/>
    </row>
    <row r="480" customFormat="false" ht="18" hidden="false" customHeight="true" outlineLevel="0" collapsed="false">
      <c r="A480" s="50" t="n">
        <v>476</v>
      </c>
      <c r="B480" s="45"/>
      <c r="C480" s="46"/>
      <c r="D480" s="47"/>
      <c r="E480" s="50"/>
      <c r="F480" s="51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  <c r="CE480" s="52"/>
      <c r="CF480" s="52"/>
      <c r="CG480" s="52"/>
      <c r="CH480" s="52"/>
      <c r="CI480" s="52"/>
      <c r="CJ480" s="40"/>
    </row>
    <row r="481" customFormat="false" ht="18" hidden="false" customHeight="true" outlineLevel="0" collapsed="false">
      <c r="A481" s="44" t="n">
        <v>477</v>
      </c>
      <c r="B481" s="45"/>
      <c r="C481" s="46"/>
      <c r="D481" s="47"/>
      <c r="E481" s="44"/>
      <c r="F481" s="48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M481" s="49"/>
      <c r="BN481" s="49"/>
      <c r="BO481" s="49"/>
      <c r="BP481" s="49"/>
      <c r="BQ481" s="49"/>
      <c r="BR481" s="49"/>
      <c r="BS481" s="49"/>
      <c r="BT481" s="49"/>
      <c r="BU481" s="49"/>
      <c r="BV481" s="49"/>
      <c r="BW481" s="49"/>
      <c r="BX481" s="49"/>
      <c r="BY481" s="49"/>
      <c r="BZ481" s="49"/>
      <c r="CA481" s="49"/>
      <c r="CB481" s="49"/>
      <c r="CC481" s="49"/>
      <c r="CD481" s="49"/>
      <c r="CE481" s="49"/>
      <c r="CF481" s="49"/>
      <c r="CG481" s="49"/>
      <c r="CH481" s="49"/>
      <c r="CI481" s="49"/>
      <c r="CJ481" s="40"/>
    </row>
    <row r="482" customFormat="false" ht="18" hidden="false" customHeight="true" outlineLevel="0" collapsed="false">
      <c r="A482" s="50" t="n">
        <v>478</v>
      </c>
      <c r="B482" s="45"/>
      <c r="C482" s="46"/>
      <c r="D482" s="47"/>
      <c r="E482" s="50"/>
      <c r="F482" s="51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  <c r="CI482" s="52"/>
      <c r="CJ482" s="40"/>
    </row>
    <row r="483" customFormat="false" ht="18" hidden="false" customHeight="true" outlineLevel="0" collapsed="false">
      <c r="A483" s="44" t="n">
        <v>479</v>
      </c>
      <c r="B483" s="45"/>
      <c r="C483" s="46"/>
      <c r="D483" s="47"/>
      <c r="E483" s="44"/>
      <c r="F483" s="48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/>
      <c r="BH483" s="49"/>
      <c r="BI483" s="49"/>
      <c r="BJ483" s="49"/>
      <c r="BK483" s="49"/>
      <c r="BL483" s="49"/>
      <c r="BM483" s="49"/>
      <c r="BN483" s="49"/>
      <c r="BO483" s="49"/>
      <c r="BP483" s="49"/>
      <c r="BQ483" s="49"/>
      <c r="BR483" s="49"/>
      <c r="BS483" s="49"/>
      <c r="BT483" s="49"/>
      <c r="BU483" s="49"/>
      <c r="BV483" s="49"/>
      <c r="BW483" s="49"/>
      <c r="BX483" s="49"/>
      <c r="BY483" s="49"/>
      <c r="BZ483" s="49"/>
      <c r="CA483" s="49"/>
      <c r="CB483" s="49"/>
      <c r="CC483" s="49"/>
      <c r="CD483" s="49"/>
      <c r="CE483" s="49"/>
      <c r="CF483" s="49"/>
      <c r="CG483" s="49"/>
      <c r="CH483" s="49"/>
      <c r="CI483" s="49"/>
      <c r="CJ483" s="40"/>
    </row>
    <row r="484" customFormat="false" ht="18" hidden="false" customHeight="true" outlineLevel="0" collapsed="false">
      <c r="A484" s="50" t="n">
        <v>480</v>
      </c>
      <c r="B484" s="45"/>
      <c r="C484" s="46"/>
      <c r="D484" s="47"/>
      <c r="E484" s="50"/>
      <c r="F484" s="51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  <c r="CE484" s="52"/>
      <c r="CF484" s="52"/>
      <c r="CG484" s="52"/>
      <c r="CH484" s="52"/>
      <c r="CI484" s="52"/>
      <c r="CJ484" s="40"/>
    </row>
    <row r="485" customFormat="false" ht="18" hidden="false" customHeight="true" outlineLevel="0" collapsed="false">
      <c r="A485" s="44" t="n">
        <v>481</v>
      </c>
      <c r="B485" s="45"/>
      <c r="C485" s="46"/>
      <c r="D485" s="47"/>
      <c r="E485" s="44"/>
      <c r="F485" s="48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49"/>
      <c r="BL485" s="49"/>
      <c r="BM485" s="49"/>
      <c r="BN485" s="49"/>
      <c r="BO485" s="49"/>
      <c r="BP485" s="49"/>
      <c r="BQ485" s="49"/>
      <c r="BR485" s="49"/>
      <c r="BS485" s="49"/>
      <c r="BT485" s="49"/>
      <c r="BU485" s="49"/>
      <c r="BV485" s="49"/>
      <c r="BW485" s="49"/>
      <c r="BX485" s="49"/>
      <c r="BY485" s="49"/>
      <c r="BZ485" s="49"/>
      <c r="CA485" s="49"/>
      <c r="CB485" s="49"/>
      <c r="CC485" s="49"/>
      <c r="CD485" s="49"/>
      <c r="CE485" s="49"/>
      <c r="CF485" s="49"/>
      <c r="CG485" s="49"/>
      <c r="CH485" s="49"/>
      <c r="CI485" s="49"/>
      <c r="CJ485" s="40"/>
    </row>
    <row r="486" customFormat="false" ht="18" hidden="false" customHeight="true" outlineLevel="0" collapsed="false">
      <c r="A486" s="50" t="n">
        <v>482</v>
      </c>
      <c r="B486" s="45"/>
      <c r="C486" s="46"/>
      <c r="D486" s="47"/>
      <c r="E486" s="50"/>
      <c r="F486" s="51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40"/>
    </row>
    <row r="487" customFormat="false" ht="18" hidden="false" customHeight="true" outlineLevel="0" collapsed="false">
      <c r="A487" s="44" t="n">
        <v>483</v>
      </c>
      <c r="B487" s="45"/>
      <c r="C487" s="46"/>
      <c r="D487" s="47"/>
      <c r="E487" s="44"/>
      <c r="F487" s="48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49"/>
      <c r="BL487" s="49"/>
      <c r="BM487" s="49"/>
      <c r="BN487" s="49"/>
      <c r="BO487" s="49"/>
      <c r="BP487" s="49"/>
      <c r="BQ487" s="49"/>
      <c r="BR487" s="49"/>
      <c r="BS487" s="49"/>
      <c r="BT487" s="49"/>
      <c r="BU487" s="49"/>
      <c r="BV487" s="49"/>
      <c r="BW487" s="49"/>
      <c r="BX487" s="49"/>
      <c r="BY487" s="49"/>
      <c r="BZ487" s="49"/>
      <c r="CA487" s="49"/>
      <c r="CB487" s="49"/>
      <c r="CC487" s="49"/>
      <c r="CD487" s="49"/>
      <c r="CE487" s="49"/>
      <c r="CF487" s="49"/>
      <c r="CG487" s="49"/>
      <c r="CH487" s="49"/>
      <c r="CI487" s="49"/>
      <c r="CJ487" s="40"/>
    </row>
    <row r="488" customFormat="false" ht="18" hidden="false" customHeight="true" outlineLevel="0" collapsed="false">
      <c r="A488" s="50" t="n">
        <v>484</v>
      </c>
      <c r="B488" s="45"/>
      <c r="C488" s="46"/>
      <c r="D488" s="47"/>
      <c r="E488" s="50"/>
      <c r="F488" s="51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  <c r="CI488" s="52"/>
      <c r="CJ488" s="40"/>
    </row>
    <row r="489" customFormat="false" ht="18" hidden="false" customHeight="true" outlineLevel="0" collapsed="false">
      <c r="A489" s="44" t="n">
        <v>485</v>
      </c>
      <c r="B489" s="45"/>
      <c r="C489" s="46"/>
      <c r="D489" s="47"/>
      <c r="E489" s="44"/>
      <c r="F489" s="48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49"/>
      <c r="BI489" s="49"/>
      <c r="BJ489" s="49"/>
      <c r="BK489" s="49"/>
      <c r="BL489" s="49"/>
      <c r="BM489" s="49"/>
      <c r="BN489" s="49"/>
      <c r="BO489" s="49"/>
      <c r="BP489" s="49"/>
      <c r="BQ489" s="49"/>
      <c r="BR489" s="49"/>
      <c r="BS489" s="49"/>
      <c r="BT489" s="49"/>
      <c r="BU489" s="49"/>
      <c r="BV489" s="49"/>
      <c r="BW489" s="49"/>
      <c r="BX489" s="49"/>
      <c r="BY489" s="49"/>
      <c r="BZ489" s="49"/>
      <c r="CA489" s="49"/>
      <c r="CB489" s="49"/>
      <c r="CC489" s="49"/>
      <c r="CD489" s="49"/>
      <c r="CE489" s="49"/>
      <c r="CF489" s="49"/>
      <c r="CG489" s="49"/>
      <c r="CH489" s="49"/>
      <c r="CI489" s="49"/>
      <c r="CJ489" s="40"/>
    </row>
    <row r="490" customFormat="false" ht="18" hidden="false" customHeight="true" outlineLevel="0" collapsed="false">
      <c r="A490" s="50" t="n">
        <v>486</v>
      </c>
      <c r="B490" s="45"/>
      <c r="C490" s="46"/>
      <c r="D490" s="47"/>
      <c r="E490" s="50"/>
      <c r="F490" s="51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40"/>
    </row>
    <row r="491" customFormat="false" ht="18" hidden="false" customHeight="true" outlineLevel="0" collapsed="false">
      <c r="A491" s="44" t="n">
        <v>487</v>
      </c>
      <c r="B491" s="45"/>
      <c r="C491" s="46"/>
      <c r="D491" s="47"/>
      <c r="E491" s="44"/>
      <c r="F491" s="48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  <c r="BE491" s="49"/>
      <c r="BF491" s="49"/>
      <c r="BG491" s="49"/>
      <c r="BH491" s="49"/>
      <c r="BI491" s="49"/>
      <c r="BJ491" s="49"/>
      <c r="BK491" s="49"/>
      <c r="BL491" s="49"/>
      <c r="BM491" s="49"/>
      <c r="BN491" s="49"/>
      <c r="BO491" s="49"/>
      <c r="BP491" s="49"/>
      <c r="BQ491" s="49"/>
      <c r="BR491" s="49"/>
      <c r="BS491" s="49"/>
      <c r="BT491" s="49"/>
      <c r="BU491" s="49"/>
      <c r="BV491" s="49"/>
      <c r="BW491" s="49"/>
      <c r="BX491" s="49"/>
      <c r="BY491" s="49"/>
      <c r="BZ491" s="49"/>
      <c r="CA491" s="49"/>
      <c r="CB491" s="49"/>
      <c r="CC491" s="49"/>
      <c r="CD491" s="49"/>
      <c r="CE491" s="49"/>
      <c r="CF491" s="49"/>
      <c r="CG491" s="49"/>
      <c r="CH491" s="49"/>
      <c r="CI491" s="49"/>
      <c r="CJ491" s="40"/>
    </row>
    <row r="492" customFormat="false" ht="18" hidden="false" customHeight="true" outlineLevel="0" collapsed="false">
      <c r="A492" s="50" t="n">
        <v>488</v>
      </c>
      <c r="B492" s="45"/>
      <c r="C492" s="46"/>
      <c r="D492" s="47"/>
      <c r="E492" s="50"/>
      <c r="F492" s="51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40"/>
    </row>
    <row r="493" customFormat="false" ht="18" hidden="false" customHeight="true" outlineLevel="0" collapsed="false">
      <c r="A493" s="44" t="n">
        <v>489</v>
      </c>
      <c r="B493" s="45"/>
      <c r="C493" s="46"/>
      <c r="D493" s="47"/>
      <c r="E493" s="44"/>
      <c r="F493" s="48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/>
      <c r="BH493" s="49"/>
      <c r="BI493" s="49"/>
      <c r="BJ493" s="49"/>
      <c r="BK493" s="49"/>
      <c r="BL493" s="49"/>
      <c r="BM493" s="49"/>
      <c r="BN493" s="49"/>
      <c r="BO493" s="49"/>
      <c r="BP493" s="49"/>
      <c r="BQ493" s="49"/>
      <c r="BR493" s="49"/>
      <c r="BS493" s="49"/>
      <c r="BT493" s="49"/>
      <c r="BU493" s="49"/>
      <c r="BV493" s="49"/>
      <c r="BW493" s="49"/>
      <c r="BX493" s="49"/>
      <c r="BY493" s="49"/>
      <c r="BZ493" s="49"/>
      <c r="CA493" s="49"/>
      <c r="CB493" s="49"/>
      <c r="CC493" s="49"/>
      <c r="CD493" s="49"/>
      <c r="CE493" s="49"/>
      <c r="CF493" s="49"/>
      <c r="CG493" s="49"/>
      <c r="CH493" s="49"/>
      <c r="CI493" s="49"/>
      <c r="CJ493" s="40"/>
    </row>
    <row r="494" customFormat="false" ht="18" hidden="false" customHeight="true" outlineLevel="0" collapsed="false">
      <c r="A494" s="50" t="n">
        <v>490</v>
      </c>
      <c r="B494" s="45"/>
      <c r="C494" s="46"/>
      <c r="D494" s="47"/>
      <c r="E494" s="50"/>
      <c r="F494" s="51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40"/>
    </row>
    <row r="495" customFormat="false" ht="18" hidden="false" customHeight="true" outlineLevel="0" collapsed="false">
      <c r="A495" s="44" t="n">
        <v>491</v>
      </c>
      <c r="B495" s="45"/>
      <c r="C495" s="46"/>
      <c r="D495" s="47"/>
      <c r="E495" s="44"/>
      <c r="F495" s="48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  <c r="BD495" s="49"/>
      <c r="BE495" s="49"/>
      <c r="BF495" s="49"/>
      <c r="BG495" s="49"/>
      <c r="BH495" s="49"/>
      <c r="BI495" s="49"/>
      <c r="BJ495" s="49"/>
      <c r="BK495" s="49"/>
      <c r="BL495" s="49"/>
      <c r="BM495" s="49"/>
      <c r="BN495" s="49"/>
      <c r="BO495" s="49"/>
      <c r="BP495" s="49"/>
      <c r="BQ495" s="49"/>
      <c r="BR495" s="49"/>
      <c r="BS495" s="49"/>
      <c r="BT495" s="49"/>
      <c r="BU495" s="49"/>
      <c r="BV495" s="49"/>
      <c r="BW495" s="49"/>
      <c r="BX495" s="49"/>
      <c r="BY495" s="49"/>
      <c r="BZ495" s="49"/>
      <c r="CA495" s="49"/>
      <c r="CB495" s="49"/>
      <c r="CC495" s="49"/>
      <c r="CD495" s="49"/>
      <c r="CE495" s="49"/>
      <c r="CF495" s="49"/>
      <c r="CG495" s="49"/>
      <c r="CH495" s="49"/>
      <c r="CI495" s="49"/>
      <c r="CJ495" s="40"/>
    </row>
    <row r="496" customFormat="false" ht="18" hidden="false" customHeight="true" outlineLevel="0" collapsed="false">
      <c r="A496" s="50" t="n">
        <v>492</v>
      </c>
      <c r="B496" s="45"/>
      <c r="C496" s="46"/>
      <c r="D496" s="47"/>
      <c r="E496" s="50"/>
      <c r="F496" s="51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40"/>
    </row>
    <row r="497" customFormat="false" ht="18" hidden="false" customHeight="true" outlineLevel="0" collapsed="false">
      <c r="A497" s="44" t="n">
        <v>493</v>
      </c>
      <c r="B497" s="45"/>
      <c r="C497" s="46"/>
      <c r="D497" s="47"/>
      <c r="E497" s="44"/>
      <c r="F497" s="48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  <c r="BE497" s="49"/>
      <c r="BF497" s="49"/>
      <c r="BG497" s="49"/>
      <c r="BH497" s="49"/>
      <c r="BI497" s="49"/>
      <c r="BJ497" s="49"/>
      <c r="BK497" s="49"/>
      <c r="BL497" s="49"/>
      <c r="BM497" s="49"/>
      <c r="BN497" s="49"/>
      <c r="BO497" s="49"/>
      <c r="BP497" s="49"/>
      <c r="BQ497" s="49"/>
      <c r="BR497" s="49"/>
      <c r="BS497" s="49"/>
      <c r="BT497" s="49"/>
      <c r="BU497" s="49"/>
      <c r="BV497" s="49"/>
      <c r="BW497" s="49"/>
      <c r="BX497" s="49"/>
      <c r="BY497" s="49"/>
      <c r="BZ497" s="49"/>
      <c r="CA497" s="49"/>
      <c r="CB497" s="49"/>
      <c r="CC497" s="49"/>
      <c r="CD497" s="49"/>
      <c r="CE497" s="49"/>
      <c r="CF497" s="49"/>
      <c r="CG497" s="49"/>
      <c r="CH497" s="49"/>
      <c r="CI497" s="49"/>
      <c r="CJ497" s="40"/>
    </row>
    <row r="498" customFormat="false" ht="18" hidden="false" customHeight="true" outlineLevel="0" collapsed="false">
      <c r="A498" s="50" t="n">
        <v>494</v>
      </c>
      <c r="B498" s="45"/>
      <c r="C498" s="46"/>
      <c r="D498" s="47"/>
      <c r="E498" s="50"/>
      <c r="F498" s="51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40"/>
    </row>
    <row r="499" customFormat="false" ht="18" hidden="false" customHeight="true" outlineLevel="0" collapsed="false">
      <c r="A499" s="44" t="n">
        <v>495</v>
      </c>
      <c r="B499" s="45"/>
      <c r="C499" s="46"/>
      <c r="D499" s="47"/>
      <c r="E499" s="44"/>
      <c r="F499" s="48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49"/>
      <c r="BL499" s="49"/>
      <c r="BM499" s="49"/>
      <c r="BN499" s="49"/>
      <c r="BO499" s="49"/>
      <c r="BP499" s="49"/>
      <c r="BQ499" s="49"/>
      <c r="BR499" s="49"/>
      <c r="BS499" s="49"/>
      <c r="BT499" s="49"/>
      <c r="BU499" s="49"/>
      <c r="BV499" s="49"/>
      <c r="BW499" s="49"/>
      <c r="BX499" s="49"/>
      <c r="BY499" s="49"/>
      <c r="BZ499" s="49"/>
      <c r="CA499" s="49"/>
      <c r="CB499" s="49"/>
      <c r="CC499" s="49"/>
      <c r="CD499" s="49"/>
      <c r="CE499" s="49"/>
      <c r="CF499" s="49"/>
      <c r="CG499" s="49"/>
      <c r="CH499" s="49"/>
      <c r="CI499" s="49"/>
      <c r="CJ499" s="40"/>
    </row>
    <row r="500" customFormat="false" ht="18" hidden="false" customHeight="true" outlineLevel="0" collapsed="false">
      <c r="A500" s="50" t="n">
        <v>496</v>
      </c>
      <c r="B500" s="45"/>
      <c r="C500" s="46"/>
      <c r="D500" s="47"/>
      <c r="E500" s="50"/>
      <c r="F500" s="51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  <c r="CI500" s="52"/>
      <c r="CJ500" s="40"/>
    </row>
    <row r="501" customFormat="false" ht="18" hidden="false" customHeight="true" outlineLevel="0" collapsed="false">
      <c r="A501" s="44" t="n">
        <v>497</v>
      </c>
      <c r="B501" s="45"/>
      <c r="C501" s="46"/>
      <c r="D501" s="47"/>
      <c r="E501" s="44"/>
      <c r="F501" s="48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49"/>
      <c r="BJ501" s="49"/>
      <c r="BK501" s="49"/>
      <c r="BL501" s="49"/>
      <c r="BM501" s="49"/>
      <c r="BN501" s="49"/>
      <c r="BO501" s="49"/>
      <c r="BP501" s="49"/>
      <c r="BQ501" s="49"/>
      <c r="BR501" s="49"/>
      <c r="BS501" s="49"/>
      <c r="BT501" s="49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0"/>
    </row>
    <row r="502" customFormat="false" ht="18" hidden="false" customHeight="true" outlineLevel="0" collapsed="false">
      <c r="A502" s="50" t="n">
        <v>498</v>
      </c>
      <c r="B502" s="45"/>
      <c r="C502" s="46"/>
      <c r="D502" s="47"/>
      <c r="E502" s="50"/>
      <c r="F502" s="51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52"/>
      <c r="CF502" s="52"/>
      <c r="CG502" s="52"/>
      <c r="CH502" s="52"/>
      <c r="CI502" s="52"/>
      <c r="CJ502" s="40"/>
    </row>
    <row r="503" customFormat="false" ht="18" hidden="false" customHeight="true" outlineLevel="0" collapsed="false">
      <c r="A503" s="44" t="n">
        <v>499</v>
      </c>
      <c r="B503" s="45"/>
      <c r="C503" s="46"/>
      <c r="D503" s="47"/>
      <c r="E503" s="44"/>
      <c r="F503" s="48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49"/>
      <c r="BP503" s="49"/>
      <c r="BQ503" s="49"/>
      <c r="BR503" s="49"/>
      <c r="BS503" s="49"/>
      <c r="BT503" s="49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0"/>
    </row>
    <row r="504" customFormat="false" ht="18" hidden="false" customHeight="true" outlineLevel="0" collapsed="false">
      <c r="A504" s="50" t="n">
        <v>500</v>
      </c>
      <c r="B504" s="45"/>
      <c r="C504" s="46"/>
      <c r="D504" s="47"/>
      <c r="E504" s="50"/>
      <c r="F504" s="51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  <c r="CI504" s="52"/>
      <c r="CJ504" s="40"/>
    </row>
    <row r="505" customFormat="false" ht="24" hidden="false" customHeight="true" outlineLevel="0" collapsed="false">
      <c r="A505" s="53" t="s">
        <v>249</v>
      </c>
      <c r="B505" s="53"/>
      <c r="C505" s="53"/>
      <c r="D505" s="54"/>
      <c r="G505" s="55"/>
      <c r="H505" s="55"/>
      <c r="I505" s="55"/>
      <c r="J505" s="55"/>
      <c r="K505" s="55"/>
      <c r="L505" s="55"/>
      <c r="M505" s="55"/>
      <c r="N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  <c r="BI505" s="55"/>
      <c r="BJ505" s="55"/>
      <c r="BK505" s="55"/>
      <c r="BL505" s="55"/>
      <c r="BM505" s="55"/>
      <c r="BN505" s="55"/>
      <c r="BO505" s="55"/>
      <c r="BP505" s="55"/>
      <c r="BQ505" s="55"/>
      <c r="BR505" s="55"/>
      <c r="BS505" s="55"/>
      <c r="BT505" s="55"/>
      <c r="BU505" s="55"/>
      <c r="BV505" s="55"/>
      <c r="BW505" s="55"/>
      <c r="BX505" s="55"/>
      <c r="BY505" s="55"/>
      <c r="BZ505" s="55"/>
      <c r="CA505" s="55"/>
      <c r="CB505" s="55"/>
      <c r="CC505" s="55"/>
      <c r="CD505" s="55"/>
      <c r="CE505" s="55"/>
      <c r="CF505" s="55"/>
      <c r="CG505" s="55"/>
      <c r="CH505" s="55"/>
      <c r="CI505" s="55"/>
      <c r="CJ505" s="55"/>
    </row>
  </sheetData>
  <mergeCells count="10">
    <mergeCell ref="A1:CI1"/>
    <mergeCell ref="A2:CI2"/>
    <mergeCell ref="A3:A4"/>
    <mergeCell ref="B3:B4"/>
    <mergeCell ref="C3:C4"/>
    <mergeCell ref="D3:D4"/>
    <mergeCell ref="E3:E4"/>
    <mergeCell ref="F3:F4"/>
    <mergeCell ref="G3:CI3"/>
    <mergeCell ref="A505:C5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10" min="3" style="1" width="13"/>
  </cols>
  <sheetData>
    <row r="1" customFormat="false" ht="34.5" hidden="false" customHeight="true" outlineLevel="0" collapsed="false">
      <c r="A1" s="9" t="s">
        <v>250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4" hidden="false" customHeight="true" outlineLevel="0" collapsed="false">
      <c r="A2" s="56" t="s">
        <v>251</v>
      </c>
      <c r="B2" s="57" t="s">
        <v>245</v>
      </c>
      <c r="C2" s="57"/>
      <c r="D2" s="58" t="s">
        <v>252</v>
      </c>
      <c r="E2" s="58"/>
      <c r="F2" s="58"/>
      <c r="G2" s="58"/>
      <c r="H2" s="58"/>
      <c r="I2" s="58"/>
      <c r="J2" s="58"/>
    </row>
    <row r="3" customFormat="false" ht="18" hidden="false" customHeight="true" outlineLevel="0" collapsed="false">
      <c r="A3" s="59" t="s">
        <v>253</v>
      </c>
      <c r="B3" s="59"/>
      <c r="C3" s="59"/>
      <c r="D3" s="59"/>
      <c r="E3" s="59"/>
      <c r="F3" s="59"/>
      <c r="G3" s="59"/>
      <c r="H3" s="59"/>
      <c r="I3" s="59"/>
      <c r="J3" s="59"/>
    </row>
    <row r="4" customFormat="false" ht="34.5" hidden="false" customHeight="true" outlineLevel="0" collapsed="false">
      <c r="A4" s="11" t="s">
        <v>46</v>
      </c>
      <c r="B4" s="12" t="s">
        <v>47</v>
      </c>
      <c r="C4" s="12" t="s">
        <v>254</v>
      </c>
      <c r="D4" s="12" t="s">
        <v>255</v>
      </c>
      <c r="E4" s="12" t="s">
        <v>256</v>
      </c>
      <c r="F4" s="12" t="s">
        <v>257</v>
      </c>
      <c r="G4" s="12" t="s">
        <v>258</v>
      </c>
      <c r="H4" s="12" t="s">
        <v>259</v>
      </c>
      <c r="I4" s="12" t="s">
        <v>260</v>
      </c>
      <c r="J4" s="12" t="s">
        <v>261</v>
      </c>
    </row>
    <row r="5" customFormat="false" ht="18" hidden="false" customHeight="true" outlineLevel="0" collapsed="false">
      <c r="A5" s="13" t="n">
        <v>1</v>
      </c>
      <c r="B5" s="18" t="s">
        <v>53</v>
      </c>
      <c r="C5" s="60" t="n">
        <v>14.64</v>
      </c>
      <c r="D5" s="61" t="n">
        <f aca="false">IFERROR(SUMIFS('📥 원재료 입고'!$E$4:$E$400,'📥 원재료 입고'!$K$4:$K$400,$B$2,'📥 원재료 입고'!$B$4:$B$400,B5),0)</f>
        <v>0</v>
      </c>
      <c r="E5" s="62" t="n">
        <f aca="false">IFERROR(SUMIFS('📥 원재료 입고'!$E$4:$E$400,'📥 원재료 입고'!$K$4:$K$400,$B$2,'📥 원재료 입고'!$B$4:$B$400,B5,'📥 원재료 입고'!$D$4:$D$400,"자체구매"),0)</f>
        <v>0</v>
      </c>
      <c r="F5" s="63" t="n">
        <f aca="false">IFERROR(SUMIFS('📥 원재료 입고'!$E$4:$E$400,'📥 원재료 입고'!$K$4:$K$400,$B$2,'📥 원재료 입고'!$B$4:$B$400,B5,'📥 원재료 입고'!$D$4:$D$400,"위탁공급"),0)</f>
        <v>0</v>
      </c>
      <c r="G5" s="64" t="n">
        <f aca="false">IFERROR(SUMIF('📦 일일 생산 입력'!$CL$5:$CL$505,$B$2,'📦 일일 생산 입력'!$G$5:$G$505),0)</f>
        <v>1</v>
      </c>
      <c r="H5" s="63" t="n">
        <f aca="false">IFERROR(MAX(C5+D5-G5,0),"")</f>
        <v>13.64</v>
      </c>
      <c r="I5" s="63" t="n">
        <f aca="false">IFERROR('🏭 원료 마스터'!$C$4,"")</f>
        <v>0</v>
      </c>
      <c r="J5" s="62" t="n">
        <f aca="false">IFERROR(G5*I5,"")</f>
        <v>0</v>
      </c>
    </row>
    <row r="6" customFormat="false" ht="18" hidden="false" customHeight="true" outlineLevel="0" collapsed="false">
      <c r="A6" s="17" t="n">
        <v>2</v>
      </c>
      <c r="B6" s="65" t="s">
        <v>55</v>
      </c>
      <c r="C6" s="60" t="n">
        <v>23.54</v>
      </c>
      <c r="D6" s="61" t="n">
        <f aca="false">IFERROR(SUMIFS('📥 원재료 입고'!$E$4:$E$400,'📥 원재료 입고'!$K$4:$K$400,$B$2,'📥 원재료 입고'!$B$4:$B$400,B6),0)</f>
        <v>0</v>
      </c>
      <c r="E6" s="62" t="n">
        <f aca="false">IFERROR(SUMIFS('📥 원재료 입고'!$E$4:$E$400,'📥 원재료 입고'!$K$4:$K$400,$B$2,'📥 원재료 입고'!$B$4:$B$400,B6,'📥 원재료 입고'!$D$4:$D$400,"자체구매"),0)</f>
        <v>0</v>
      </c>
      <c r="F6" s="63" t="n">
        <f aca="false">IFERROR(SUMIFS('📥 원재료 입고'!$E$4:$E$400,'📥 원재료 입고'!$K$4:$K$400,$B$2,'📥 원재료 입고'!$B$4:$B$400,B6,'📥 원재료 입고'!$D$4:$D$400,"위탁공급"),0)</f>
        <v>0</v>
      </c>
      <c r="G6" s="64" t="n">
        <f aca="false">IFERROR(SUMIF('📦 일일 생산 입력'!$CL$5:$CL$505,$B$2,'📦 일일 생산 입력'!$H$5:$H$505),0)</f>
        <v>4</v>
      </c>
      <c r="H6" s="63" t="n">
        <f aca="false">IFERROR(MAX(C6+D6-G6,0),"")</f>
        <v>19.54</v>
      </c>
      <c r="I6" s="66" t="n">
        <f aca="false">IFERROR('🏭 원료 마스터'!$C$5,"")</f>
        <v>0</v>
      </c>
      <c r="J6" s="62" t="n">
        <f aca="false">IFERROR(G6*I6,"")</f>
        <v>0</v>
      </c>
    </row>
    <row r="7" customFormat="false" ht="18" hidden="false" customHeight="true" outlineLevel="0" collapsed="false">
      <c r="A7" s="13" t="n">
        <v>3</v>
      </c>
      <c r="B7" s="18" t="s">
        <v>56</v>
      </c>
      <c r="C7" s="60" t="n">
        <v>0.25</v>
      </c>
      <c r="D7" s="61" t="n">
        <f aca="false">IFERROR(SUMIFS('📥 원재료 입고'!$E$4:$E$400,'📥 원재료 입고'!$K$4:$K$400,$B$2,'📥 원재료 입고'!$B$4:$B$400,B7),0)</f>
        <v>0</v>
      </c>
      <c r="E7" s="62" t="n">
        <f aca="false">IFERROR(SUMIFS('📥 원재료 입고'!$E$4:$E$400,'📥 원재료 입고'!$K$4:$K$400,$B$2,'📥 원재료 입고'!$B$4:$B$400,B7,'📥 원재료 입고'!$D$4:$D$400,"자체구매"),0)</f>
        <v>0</v>
      </c>
      <c r="F7" s="63" t="n">
        <f aca="false">IFERROR(SUMIFS('📥 원재료 입고'!$E$4:$E$400,'📥 원재료 입고'!$K$4:$K$400,$B$2,'📥 원재료 입고'!$B$4:$B$400,B7,'📥 원재료 입고'!$D$4:$D$400,"위탁공급"),0)</f>
        <v>0</v>
      </c>
      <c r="G7" s="64" t="n">
        <f aca="false">IFERROR(SUMIF('📦 일일 생산 입력'!$CL$5:$CL$505,$B$2,'📦 일일 생산 입력'!$I$5:$I$505),0)</f>
        <v>0</v>
      </c>
      <c r="H7" s="63" t="n">
        <f aca="false">IFERROR(MAX(C7+D7-G7,0),"")</f>
        <v>0.25</v>
      </c>
      <c r="I7" s="63" t="n">
        <f aca="false">IFERROR('🏭 원료 마스터'!$C$6,"")</f>
        <v>0</v>
      </c>
      <c r="J7" s="62" t="n">
        <f aca="false">IFERROR(G7*I7,"")</f>
        <v>0</v>
      </c>
    </row>
    <row r="8" customFormat="false" ht="18" hidden="false" customHeight="true" outlineLevel="0" collapsed="false">
      <c r="A8" s="17" t="n">
        <v>4</v>
      </c>
      <c r="B8" s="65" t="s">
        <v>57</v>
      </c>
      <c r="C8" s="60" t="n">
        <v>10.68</v>
      </c>
      <c r="D8" s="61" t="n">
        <f aca="false">IFERROR(SUMIFS('📥 원재료 입고'!$E$4:$E$400,'📥 원재료 입고'!$K$4:$K$400,$B$2,'📥 원재료 입고'!$B$4:$B$400,B8),0)</f>
        <v>0</v>
      </c>
      <c r="E8" s="62" t="n">
        <f aca="false">IFERROR(SUMIFS('📥 원재료 입고'!$E$4:$E$400,'📥 원재료 입고'!$K$4:$K$400,$B$2,'📥 원재료 입고'!$B$4:$B$400,B8,'📥 원재료 입고'!$D$4:$D$400,"자체구매"),0)</f>
        <v>0</v>
      </c>
      <c r="F8" s="63" t="n">
        <f aca="false">IFERROR(SUMIFS('📥 원재료 입고'!$E$4:$E$400,'📥 원재료 입고'!$K$4:$K$400,$B$2,'📥 원재료 입고'!$B$4:$B$400,B8,'📥 원재료 입고'!$D$4:$D$400,"위탁공급"),0)</f>
        <v>0</v>
      </c>
      <c r="G8" s="64" t="n">
        <f aca="false">IFERROR(SUMIF('📦 일일 생산 입력'!$CL$5:$CL$505,$B$2,'📦 일일 생산 입력'!$J$5:$J$505),0)</f>
        <v>1</v>
      </c>
      <c r="H8" s="63" t="n">
        <f aca="false">IFERROR(MAX(C8+D8-G8,0),"")</f>
        <v>9.68</v>
      </c>
      <c r="I8" s="66" t="n">
        <f aca="false">IFERROR('🏭 원료 마스터'!$C$7,"")</f>
        <v>0</v>
      </c>
      <c r="J8" s="62" t="n">
        <f aca="false">IFERROR(G8*I8,"")</f>
        <v>0</v>
      </c>
    </row>
    <row r="9" customFormat="false" ht="18" hidden="false" customHeight="true" outlineLevel="0" collapsed="false">
      <c r="A9" s="13" t="n">
        <v>5</v>
      </c>
      <c r="B9" s="18" t="s">
        <v>58</v>
      </c>
      <c r="C9" s="60" t="n">
        <v>28.69</v>
      </c>
      <c r="D9" s="61" t="n">
        <f aca="false">IFERROR(SUMIFS('📥 원재료 입고'!$E$4:$E$400,'📥 원재료 입고'!$K$4:$K$400,$B$2,'📥 원재료 입고'!$B$4:$B$400,B9),0)</f>
        <v>0</v>
      </c>
      <c r="E9" s="62" t="n">
        <f aca="false">IFERROR(SUMIFS('📥 원재료 입고'!$E$4:$E$400,'📥 원재료 입고'!$K$4:$K$400,$B$2,'📥 원재료 입고'!$B$4:$B$400,B9,'📥 원재료 입고'!$D$4:$D$400,"자체구매"),0)</f>
        <v>0</v>
      </c>
      <c r="F9" s="63" t="n">
        <f aca="false">IFERROR(SUMIFS('📥 원재료 입고'!$E$4:$E$400,'📥 원재료 입고'!$K$4:$K$400,$B$2,'📥 원재료 입고'!$B$4:$B$400,B9,'📥 원재료 입고'!$D$4:$D$400,"위탁공급"),0)</f>
        <v>0</v>
      </c>
      <c r="G9" s="64" t="n">
        <f aca="false">IFERROR(SUMIF('📦 일일 생산 입력'!$CL$5:$CL$505,$B$2,'📦 일일 생산 입력'!$K$5:$K$505),0)</f>
        <v>3</v>
      </c>
      <c r="H9" s="63" t="n">
        <f aca="false">IFERROR(MAX(C9+D9-G9,0),"")</f>
        <v>25.69</v>
      </c>
      <c r="I9" s="63" t="n">
        <f aca="false">IFERROR('🏭 원료 마스터'!$C$8,"")</f>
        <v>0</v>
      </c>
      <c r="J9" s="62" t="n">
        <f aca="false">IFERROR(G9*I9,"")</f>
        <v>0</v>
      </c>
    </row>
    <row r="10" customFormat="false" ht="18" hidden="false" customHeight="true" outlineLevel="0" collapsed="false">
      <c r="A10" s="17" t="n">
        <v>6</v>
      </c>
      <c r="B10" s="65" t="s">
        <v>59</v>
      </c>
      <c r="C10" s="60" t="n">
        <v>9.02</v>
      </c>
      <c r="D10" s="61" t="n">
        <f aca="false">IFERROR(SUMIFS('📥 원재료 입고'!$E$4:$E$400,'📥 원재료 입고'!$K$4:$K$400,$B$2,'📥 원재료 입고'!$B$4:$B$400,B10),0)</f>
        <v>0</v>
      </c>
      <c r="E10" s="62" t="n">
        <f aca="false">IFERROR(SUMIFS('📥 원재료 입고'!$E$4:$E$400,'📥 원재료 입고'!$K$4:$K$400,$B$2,'📥 원재료 입고'!$B$4:$B$400,B10,'📥 원재료 입고'!$D$4:$D$400,"자체구매"),0)</f>
        <v>0</v>
      </c>
      <c r="F10" s="63" t="n">
        <f aca="false">IFERROR(SUMIFS('📥 원재료 입고'!$E$4:$E$400,'📥 원재료 입고'!$K$4:$K$400,$B$2,'📥 원재료 입고'!$B$4:$B$400,B10,'📥 원재료 입고'!$D$4:$D$400,"위탁공급"),0)</f>
        <v>0</v>
      </c>
      <c r="G10" s="64" t="n">
        <f aca="false">IFERROR(SUMIF('📦 일일 생산 입력'!$CL$5:$CL$505,$B$2,'📦 일일 생산 입력'!$L$5:$L$505),0)</f>
        <v>1</v>
      </c>
      <c r="H10" s="63" t="n">
        <f aca="false">IFERROR(MAX(C10+D10-G10,0),"")</f>
        <v>8.02</v>
      </c>
      <c r="I10" s="66" t="n">
        <f aca="false">IFERROR('🏭 원료 마스터'!$C$9,"")</f>
        <v>0</v>
      </c>
      <c r="J10" s="62" t="n">
        <f aca="false">IFERROR(G10*I10,"")</f>
        <v>0</v>
      </c>
    </row>
    <row r="11" customFormat="false" ht="18" hidden="false" customHeight="true" outlineLevel="0" collapsed="false">
      <c r="A11" s="13" t="n">
        <v>7</v>
      </c>
      <c r="B11" s="18" t="s">
        <v>60</v>
      </c>
      <c r="C11" s="60" t="n">
        <v>0</v>
      </c>
      <c r="D11" s="61" t="n">
        <f aca="false">IFERROR(SUMIFS('📥 원재료 입고'!$E$4:$E$400,'📥 원재료 입고'!$K$4:$K$400,$B$2,'📥 원재료 입고'!$B$4:$B$400,B11),0)</f>
        <v>40</v>
      </c>
      <c r="E11" s="62" t="n">
        <f aca="false">IFERROR(SUMIFS('📥 원재료 입고'!$E$4:$E$400,'📥 원재료 입고'!$K$4:$K$400,$B$2,'📥 원재료 입고'!$B$4:$B$400,B11,'📥 원재료 입고'!$D$4:$D$400,"자체구매"),0)</f>
        <v>0</v>
      </c>
      <c r="F11" s="63" t="n">
        <f aca="false">IFERROR(SUMIFS('📥 원재료 입고'!$E$4:$E$400,'📥 원재료 입고'!$K$4:$K$400,$B$2,'📥 원재료 입고'!$B$4:$B$400,B11,'📥 원재료 입고'!$D$4:$D$400,"위탁공급"),0)</f>
        <v>40</v>
      </c>
      <c r="G11" s="64" t="n">
        <f aca="false">IFERROR(SUMIF('📦 일일 생산 입력'!$CL$5:$CL$505,$B$2,'📦 일일 생산 입력'!$M$5:$M$505),0)</f>
        <v>3</v>
      </c>
      <c r="H11" s="63" t="n">
        <f aca="false">IFERROR(MAX(C11+D11-G11,0),"")</f>
        <v>37</v>
      </c>
      <c r="I11" s="63" t="n">
        <f aca="false">IFERROR('🏭 원료 마스터'!$C$10,"")</f>
        <v>0</v>
      </c>
      <c r="J11" s="62" t="n">
        <f aca="false">IFERROR(G11*I11,"")</f>
        <v>0</v>
      </c>
    </row>
    <row r="12" customFormat="false" ht="18" hidden="false" customHeight="true" outlineLevel="0" collapsed="false">
      <c r="A12" s="17" t="n">
        <v>8</v>
      </c>
      <c r="B12" s="65" t="s">
        <v>61</v>
      </c>
      <c r="C12" s="60" t="n">
        <v>0</v>
      </c>
      <c r="D12" s="61" t="n">
        <f aca="false">IFERROR(SUMIFS('📥 원재료 입고'!$E$4:$E$400,'📥 원재료 입고'!$K$4:$K$400,$B$2,'📥 원재료 입고'!$B$4:$B$400,B12),0)</f>
        <v>0</v>
      </c>
      <c r="E12" s="62" t="n">
        <f aca="false">IFERROR(SUMIFS('📥 원재료 입고'!$E$4:$E$400,'📥 원재료 입고'!$K$4:$K$400,$B$2,'📥 원재료 입고'!$B$4:$B$400,B12,'📥 원재료 입고'!$D$4:$D$400,"자체구매"),0)</f>
        <v>0</v>
      </c>
      <c r="F12" s="63" t="n">
        <f aca="false">IFERROR(SUMIFS('📥 원재료 입고'!$E$4:$E$400,'📥 원재료 입고'!$K$4:$K$400,$B$2,'📥 원재료 입고'!$B$4:$B$400,B12,'📥 원재료 입고'!$D$4:$D$400,"위탁공급"),0)</f>
        <v>0</v>
      </c>
      <c r="G12" s="64" t="n">
        <f aca="false">IFERROR(SUMIF('📦 일일 생산 입력'!$CL$5:$CL$505,$B$2,'📦 일일 생산 입력'!$N$5:$N$505),0)</f>
        <v>0</v>
      </c>
      <c r="H12" s="63" t="n">
        <f aca="false">IFERROR(MAX(C12+D12-G12,0),"")</f>
        <v>0</v>
      </c>
      <c r="I12" s="66" t="n">
        <f aca="false">IFERROR('🏭 원료 마스터'!$C$11,"")</f>
        <v>0</v>
      </c>
      <c r="J12" s="62" t="n">
        <f aca="false">IFERROR(G12*I12,"")</f>
        <v>0</v>
      </c>
    </row>
    <row r="13" customFormat="false" ht="18" hidden="false" customHeight="true" outlineLevel="0" collapsed="false">
      <c r="A13" s="17"/>
      <c r="B13" s="65" t="s">
        <v>62</v>
      </c>
      <c r="C13" s="60" t="n">
        <v>3.25</v>
      </c>
      <c r="D13" s="61" t="n">
        <f aca="false">IFERROR(SUMIFS('📥 원재료 입고'!$E$4:$E$400,'📥 원재료 입고'!$K$4:$K$400,$B$2,'📥 원재료 입고'!$B$4:$B$400,B13),0)</f>
        <v>4</v>
      </c>
      <c r="E13" s="62" t="n">
        <f aca="false">IFERROR(SUMIFS('📥 원재료 입고'!$E$4:$E$400,'📥 원재료 입고'!$K$4:$K$400,$B$2,'📥 원재료 입고'!$B$4:$B$400,B13,'📥 원재료 입고'!$D$4:$D$400,"자체구매"),0)</f>
        <v>4</v>
      </c>
      <c r="F13" s="63" t="n">
        <f aca="false">IFERROR(SUMIFS('📥 원재료 입고'!$E$4:$E$400,'📥 원재료 입고'!$K$4:$K$400,$B$2,'📥 원재료 입고'!$B$4:$B$400,B13,'📥 원재료 입고'!$D$4:$D$400,"위탁공급"),0)</f>
        <v>0</v>
      </c>
      <c r="G13" s="64" t="n">
        <f aca="false">IFERROR(SUMIF('📦 일일 생산 입력'!$CL$5:$CL$505,$B$2,'📦 일일 생산 입력'!$O$5:$O$505),0)</f>
        <v>6</v>
      </c>
      <c r="H13" s="63" t="n">
        <f aca="false">IFERROR(MAX(C13+D13-G13,0),"")</f>
        <v>1.25</v>
      </c>
      <c r="I13" s="66" t="n">
        <f aca="false">IFERROR('🏭 원료 마스터'!$C$85,"")</f>
        <v>0</v>
      </c>
      <c r="J13" s="62" t="n">
        <f aca="false">IFERROR(G13*I13,"")</f>
        <v>0</v>
      </c>
    </row>
    <row r="14" customFormat="false" ht="18" hidden="false" customHeight="true" outlineLevel="0" collapsed="false">
      <c r="A14" s="13" t="n">
        <v>10</v>
      </c>
      <c r="B14" s="18" t="s">
        <v>63</v>
      </c>
      <c r="C14" s="60" t="n">
        <v>10.31</v>
      </c>
      <c r="D14" s="61" t="n">
        <f aca="false">IFERROR(SUMIFS('📥 원재료 입고'!$E$4:$E$400,'📥 원재료 입고'!$K$4:$K$400,$B$2,'📥 원재료 입고'!$B$4:$B$400,B14),0)</f>
        <v>0</v>
      </c>
      <c r="E14" s="62" t="n">
        <f aca="false">IFERROR(SUMIFS('📥 원재료 입고'!$E$4:$E$400,'📥 원재료 입고'!$K$4:$K$400,$B$2,'📥 원재료 입고'!$B$4:$B$400,B14,'📥 원재료 입고'!$D$4:$D$400,"자체구매"),0)</f>
        <v>0</v>
      </c>
      <c r="F14" s="63" t="n">
        <f aca="false">IFERROR(SUMIFS('📥 원재료 입고'!$E$4:$E$400,'📥 원재료 입고'!$K$4:$K$400,$B$2,'📥 원재료 입고'!$B$4:$B$400,B14,'📥 원재료 입고'!$D$4:$D$400,"위탁공급"),0)</f>
        <v>0</v>
      </c>
      <c r="G14" s="64" t="n">
        <f aca="false">IFERROR(SUMIF('📦 일일 생산 입력'!$CL$5:$CL$505,$B$2,'📦 일일 생산 입력'!$P$5:$P$505),0)</f>
        <v>10</v>
      </c>
      <c r="H14" s="63" t="n">
        <f aca="false">IFERROR(MAX(C14+D14-G14,0),"")</f>
        <v>0.310000000000001</v>
      </c>
      <c r="I14" s="63" t="n">
        <f aca="false">IFERROR('🏭 원료 마스터'!$C$13,"")</f>
        <v>0</v>
      </c>
      <c r="J14" s="62" t="n">
        <f aca="false">IFERROR(G14*I14,"")</f>
        <v>0</v>
      </c>
    </row>
    <row r="15" customFormat="false" ht="18" hidden="false" customHeight="true" outlineLevel="0" collapsed="false">
      <c r="A15" s="17" t="n">
        <v>11</v>
      </c>
      <c r="B15" s="65" t="s">
        <v>64</v>
      </c>
      <c r="C15" s="60" t="n">
        <v>5</v>
      </c>
      <c r="D15" s="61" t="n">
        <f aca="false">IFERROR(SUMIFS('📥 원재료 입고'!$E$4:$E$400,'📥 원재료 입고'!$K$4:$K$400,$B$2,'📥 원재료 입고'!$B$4:$B$400,B15),0)</f>
        <v>0</v>
      </c>
      <c r="E15" s="62" t="n">
        <f aca="false">IFERROR(SUMIFS('📥 원재료 입고'!$E$4:$E$400,'📥 원재료 입고'!$K$4:$K$400,$B$2,'📥 원재료 입고'!$B$4:$B$400,B15,'📥 원재료 입고'!$D$4:$D$400,"자체구매"),0)</f>
        <v>0</v>
      </c>
      <c r="F15" s="63" t="n">
        <f aca="false">IFERROR(SUMIFS('📥 원재료 입고'!$E$4:$E$400,'📥 원재료 입고'!$K$4:$K$400,$B$2,'📥 원재료 입고'!$B$4:$B$400,B15,'📥 원재료 입고'!$D$4:$D$400,"위탁공급"),0)</f>
        <v>0</v>
      </c>
      <c r="G15" s="64" t="n">
        <f aca="false">IFERROR(SUMIF('📦 일일 생산 입력'!$CL$5:$CL$505,$B$2,'📦 일일 생산 입력'!$Q$5:$Q$505),0)</f>
        <v>0</v>
      </c>
      <c r="H15" s="63" t="n">
        <f aca="false">IFERROR(MAX(C15+D15-G15,0),"")</f>
        <v>5</v>
      </c>
      <c r="I15" s="66" t="n">
        <f aca="false">IFERROR('🏭 원료 마스터'!$C$14,"")</f>
        <v>0</v>
      </c>
      <c r="J15" s="62" t="n">
        <f aca="false">IFERROR(G15*I15,"")</f>
        <v>0</v>
      </c>
    </row>
    <row r="16" customFormat="false" ht="18" hidden="false" customHeight="true" outlineLevel="0" collapsed="false">
      <c r="A16" s="13" t="n">
        <v>12</v>
      </c>
      <c r="B16" s="18" t="s">
        <v>65</v>
      </c>
      <c r="C16" s="60" t="n">
        <v>1.98</v>
      </c>
      <c r="D16" s="61" t="n">
        <f aca="false">IFERROR(SUMIFS('📥 원재료 입고'!$E$4:$E$400,'📥 원재료 입고'!$K$4:$K$400,$B$2,'📥 원재료 입고'!$B$4:$B$400,B16),0)</f>
        <v>0</v>
      </c>
      <c r="E16" s="62" t="n">
        <f aca="false">IFERROR(SUMIFS('📥 원재료 입고'!$E$4:$E$400,'📥 원재료 입고'!$K$4:$K$400,$B$2,'📥 원재료 입고'!$B$4:$B$400,B16,'📥 원재료 입고'!$D$4:$D$400,"자체구매"),0)</f>
        <v>0</v>
      </c>
      <c r="F16" s="63" t="n">
        <f aca="false">IFERROR(SUMIFS('📥 원재료 입고'!$E$4:$E$400,'📥 원재료 입고'!$K$4:$K$400,$B$2,'📥 원재료 입고'!$B$4:$B$400,B16,'📥 원재료 입고'!$D$4:$D$400,"위탁공급"),0)</f>
        <v>0</v>
      </c>
      <c r="G16" s="64" t="n">
        <f aca="false">IFERROR(SUMIF('📦 일일 생산 입력'!$CL$5:$CL$505,$B$2,'📦 일일 생산 입력'!$R$5:$R$505),0)</f>
        <v>1</v>
      </c>
      <c r="H16" s="63" t="n">
        <f aca="false">IFERROR(MAX(C16+D16-G16,0),"")</f>
        <v>0.98</v>
      </c>
      <c r="I16" s="63" t="n">
        <f aca="false">IFERROR('🏭 원료 마스터'!$C$15,"")</f>
        <v>0</v>
      </c>
      <c r="J16" s="62" t="n">
        <f aca="false">IFERROR(G16*I16,"")</f>
        <v>0</v>
      </c>
    </row>
    <row r="17" customFormat="false" ht="18" hidden="false" customHeight="true" outlineLevel="0" collapsed="false">
      <c r="A17" s="17" t="n">
        <v>13</v>
      </c>
      <c r="B17" s="65" t="s">
        <v>66</v>
      </c>
      <c r="C17" s="60" t="n">
        <v>0</v>
      </c>
      <c r="D17" s="61" t="n">
        <f aca="false">IFERROR(SUMIFS('📥 원재료 입고'!$E$4:$E$400,'📥 원재료 입고'!$K$4:$K$400,$B$2,'📥 원재료 입고'!$B$4:$B$400,B17),0)</f>
        <v>0</v>
      </c>
      <c r="E17" s="62" t="n">
        <f aca="false">IFERROR(SUMIFS('📥 원재료 입고'!$E$4:$E$400,'📥 원재료 입고'!$K$4:$K$400,$B$2,'📥 원재료 입고'!$B$4:$B$400,B17,'📥 원재료 입고'!$D$4:$D$400,"자체구매"),0)</f>
        <v>0</v>
      </c>
      <c r="F17" s="63" t="n">
        <f aca="false">IFERROR(SUMIFS('📥 원재료 입고'!$E$4:$E$400,'📥 원재료 입고'!$K$4:$K$400,$B$2,'📥 원재료 입고'!$B$4:$B$400,B17,'📥 원재료 입고'!$D$4:$D$400,"위탁공급"),0)</f>
        <v>0</v>
      </c>
      <c r="G17" s="64" t="n">
        <f aca="false">IFERROR(SUMIF('📦 일일 생산 입력'!$CL$5:$CL$505,$B$2,'📦 일일 생산 입력'!$S$5:$S$505),0)</f>
        <v>0</v>
      </c>
      <c r="H17" s="63" t="n">
        <f aca="false">IFERROR(MAX(C17+D17-G17,0),"")</f>
        <v>0</v>
      </c>
      <c r="I17" s="66" t="n">
        <f aca="false">IFERROR('🏭 원료 마스터'!$C$16,"")</f>
        <v>0</v>
      </c>
      <c r="J17" s="62" t="n">
        <f aca="false">IFERROR(G17*I17,"")</f>
        <v>0</v>
      </c>
    </row>
    <row r="18" customFormat="false" ht="18" hidden="false" customHeight="true" outlineLevel="0" collapsed="false">
      <c r="A18" s="13" t="n">
        <v>14</v>
      </c>
      <c r="B18" s="18" t="s">
        <v>67</v>
      </c>
      <c r="C18" s="60" t="n">
        <v>0</v>
      </c>
      <c r="D18" s="61" t="n">
        <f aca="false">IFERROR(SUMIFS('📥 원재료 입고'!$E$4:$E$400,'📥 원재료 입고'!$K$4:$K$400,$B$2,'📥 원재료 입고'!$B$4:$B$400,B18),0)</f>
        <v>0</v>
      </c>
      <c r="E18" s="62" t="n">
        <f aca="false">IFERROR(SUMIFS('📥 원재료 입고'!$E$4:$E$400,'📥 원재료 입고'!$K$4:$K$400,$B$2,'📥 원재료 입고'!$B$4:$B$400,B18,'📥 원재료 입고'!$D$4:$D$400,"자체구매"),0)</f>
        <v>0</v>
      </c>
      <c r="F18" s="63" t="n">
        <f aca="false">IFERROR(SUMIFS('📥 원재료 입고'!$E$4:$E$400,'📥 원재료 입고'!$K$4:$K$400,$B$2,'📥 원재료 입고'!$B$4:$B$400,B18,'📥 원재료 입고'!$D$4:$D$400,"위탁공급"),0)</f>
        <v>0</v>
      </c>
      <c r="G18" s="64" t="n">
        <f aca="false">IFERROR(SUMIF('📦 일일 생산 입력'!$CL$5:$CL$505,$B$2,'📦 일일 생산 입력'!$T$5:$T$505),0)</f>
        <v>0</v>
      </c>
      <c r="H18" s="63" t="n">
        <f aca="false">IFERROR(MAX(C18+D18-G18,0),"")</f>
        <v>0</v>
      </c>
      <c r="I18" s="63" t="n">
        <f aca="false">IFERROR('🏭 원료 마스터'!$C$17,"")</f>
        <v>0</v>
      </c>
      <c r="J18" s="62" t="n">
        <f aca="false">IFERROR(G18*I18,"")</f>
        <v>0</v>
      </c>
    </row>
    <row r="19" customFormat="false" ht="18" hidden="false" customHeight="true" outlineLevel="0" collapsed="false">
      <c r="A19" s="17" t="n">
        <v>15</v>
      </c>
      <c r="B19" s="65" t="s">
        <v>68</v>
      </c>
      <c r="C19" s="60" t="n">
        <v>0</v>
      </c>
      <c r="D19" s="61" t="n">
        <f aca="false">IFERROR(SUMIFS('📥 원재료 입고'!$E$4:$E$400,'📥 원재료 입고'!$K$4:$K$400,$B$2,'📥 원재료 입고'!$B$4:$B$400,B19),0)</f>
        <v>154</v>
      </c>
      <c r="E19" s="62" t="n">
        <f aca="false">IFERROR(SUMIFS('📥 원재료 입고'!$E$4:$E$400,'📥 원재료 입고'!$K$4:$K$400,$B$2,'📥 원재료 입고'!$B$4:$B$400,B19,'📥 원재료 입고'!$D$4:$D$400,"자체구매"),0)</f>
        <v>154</v>
      </c>
      <c r="F19" s="63" t="n">
        <f aca="false">IFERROR(SUMIFS('📥 원재료 입고'!$E$4:$E$400,'📥 원재료 입고'!$K$4:$K$400,$B$2,'📥 원재료 입고'!$B$4:$B$400,B19,'📥 원재료 입고'!$D$4:$D$400,"위탁공급"),0)</f>
        <v>0</v>
      </c>
      <c r="G19" s="64" t="n">
        <f aca="false">IFERROR(SUMIF('📦 일일 생산 입력'!$CL$5:$CL$505,$B$2,'📦 일일 생산 입력'!$U$5:$U$505),0)</f>
        <v>50</v>
      </c>
      <c r="H19" s="63" t="n">
        <f aca="false">IFERROR(MAX(C19+D19-G19,0),"")</f>
        <v>104</v>
      </c>
      <c r="I19" s="66" t="n">
        <f aca="false">IFERROR('🏭 원료 마스터'!$C$18,"")</f>
        <v>0</v>
      </c>
      <c r="J19" s="62" t="n">
        <f aca="false">IFERROR(G19*I19,"")</f>
        <v>0</v>
      </c>
    </row>
    <row r="20" customFormat="false" ht="18" hidden="false" customHeight="true" outlineLevel="0" collapsed="false">
      <c r="A20" s="13" t="n">
        <v>16</v>
      </c>
      <c r="B20" s="18" t="s">
        <v>69</v>
      </c>
      <c r="C20" s="60" t="n">
        <v>10.61</v>
      </c>
      <c r="D20" s="61" t="n">
        <f aca="false">IFERROR(SUMIFS('📥 원재료 입고'!$E$4:$E$400,'📥 원재료 입고'!$K$4:$K$400,$B$2,'📥 원재료 입고'!$B$4:$B$400,B20),0)</f>
        <v>0</v>
      </c>
      <c r="E20" s="62" t="n">
        <f aca="false">IFERROR(SUMIFS('📥 원재료 입고'!$E$4:$E$400,'📥 원재료 입고'!$K$4:$K$400,$B$2,'📥 원재료 입고'!$B$4:$B$400,B20,'📥 원재료 입고'!$D$4:$D$400,"자체구매"),0)</f>
        <v>0</v>
      </c>
      <c r="F20" s="63" t="n">
        <f aca="false">IFERROR(SUMIFS('📥 원재료 입고'!$E$4:$E$400,'📥 원재료 입고'!$K$4:$K$400,$B$2,'📥 원재료 입고'!$B$4:$B$400,B20,'📥 원재료 입고'!$D$4:$D$400,"위탁공급"),0)</f>
        <v>0</v>
      </c>
      <c r="G20" s="64" t="n">
        <f aca="false">IFERROR(SUMIF('📦 일일 생산 입력'!$CL$5:$CL$505,$B$2,'📦 일일 생산 입력'!$V$5:$V$505),0)</f>
        <v>17</v>
      </c>
      <c r="H20" s="63" t="n">
        <f aca="false">IFERROR(MAX(C20+D20-G20,0),"")</f>
        <v>0</v>
      </c>
      <c r="I20" s="63" t="n">
        <f aca="false">IFERROR('🏭 원료 마스터'!$C$19,"")</f>
        <v>0</v>
      </c>
      <c r="J20" s="62" t="n">
        <f aca="false">IFERROR(G20*I20,"")</f>
        <v>0</v>
      </c>
    </row>
    <row r="21" customFormat="false" ht="18" hidden="false" customHeight="true" outlineLevel="0" collapsed="false">
      <c r="A21" s="17" t="n">
        <v>17</v>
      </c>
      <c r="B21" s="65" t="s">
        <v>70</v>
      </c>
      <c r="C21" s="60" t="n">
        <v>71.07</v>
      </c>
      <c r="D21" s="61" t="n">
        <f aca="false">IFERROR(SUMIFS('📥 원재료 입고'!$E$4:$E$400,'📥 원재료 입고'!$K$4:$K$400,$B$2,'📥 원재료 입고'!$B$4:$B$400,B21),0)</f>
        <v>0</v>
      </c>
      <c r="E21" s="62" t="n">
        <f aca="false">IFERROR(SUMIFS('📥 원재료 입고'!$E$4:$E$400,'📥 원재료 입고'!$K$4:$K$400,$B$2,'📥 원재료 입고'!$B$4:$B$400,B21,'📥 원재료 입고'!$D$4:$D$400,"자체구매"),0)</f>
        <v>0</v>
      </c>
      <c r="F21" s="63" t="n">
        <f aca="false">IFERROR(SUMIFS('📥 원재료 입고'!$E$4:$E$400,'📥 원재료 입고'!$K$4:$K$400,$B$2,'📥 원재료 입고'!$B$4:$B$400,B21,'📥 원재료 입고'!$D$4:$D$400,"위탁공급"),0)</f>
        <v>0</v>
      </c>
      <c r="G21" s="64" t="n">
        <f aca="false">IFERROR(SUMIF('📦 일일 생산 입력'!$CL$5:$CL$505,$B$2,'📦 일일 생산 입력'!$W$5:$W$505),0)</f>
        <v>26</v>
      </c>
      <c r="H21" s="63" t="n">
        <f aca="false">IFERROR(MAX(C21+D21-G21,0),"")</f>
        <v>45.07</v>
      </c>
      <c r="I21" s="66" t="n">
        <f aca="false">IFERROR('🏭 원료 마스터'!$C$20,"")</f>
        <v>0</v>
      </c>
      <c r="J21" s="62" t="n">
        <f aca="false">IFERROR(G21*I21,"")</f>
        <v>0</v>
      </c>
    </row>
    <row r="22" customFormat="false" ht="18" hidden="false" customHeight="true" outlineLevel="0" collapsed="false">
      <c r="A22" s="13" t="n">
        <v>18</v>
      </c>
      <c r="B22" s="18" t="s">
        <v>71</v>
      </c>
      <c r="C22" s="60" t="n">
        <v>27.46</v>
      </c>
      <c r="D22" s="61" t="n">
        <f aca="false">IFERROR(SUMIFS('📥 원재료 입고'!$E$4:$E$400,'📥 원재료 입고'!$K$4:$K$400,$B$2,'📥 원재료 입고'!$B$4:$B$400,B22),0)</f>
        <v>26070</v>
      </c>
      <c r="E22" s="62" t="n">
        <f aca="false">IFERROR(SUMIFS('📥 원재료 입고'!$E$4:$E$400,'📥 원재료 입고'!$K$4:$K$400,$B$2,'📥 원재료 입고'!$B$4:$B$400,B22,'📥 원재료 입고'!$D$4:$D$400,"자체구매"),0)</f>
        <v>26070</v>
      </c>
      <c r="F22" s="63" t="n">
        <f aca="false">IFERROR(SUMIFS('📥 원재료 입고'!$E$4:$E$400,'📥 원재료 입고'!$K$4:$K$400,$B$2,'📥 원재료 입고'!$B$4:$B$400,B22,'📥 원재료 입고'!$D$4:$D$400,"위탁공급"),0)</f>
        <v>0</v>
      </c>
      <c r="G22" s="64" t="n">
        <f aca="false">IFERROR(SUMIF('📦 일일 생산 입력'!$CL$5:$CL$505,$B$2,'📦 일일 생산 입력'!$X$5:$X$505),0)</f>
        <v>35</v>
      </c>
      <c r="H22" s="63" t="n">
        <f aca="false">IFERROR(MAX(C22+D22-G22,0),"")</f>
        <v>26062.46</v>
      </c>
      <c r="I22" s="63" t="n">
        <f aca="false">IFERROR('🏭 원료 마스터'!$C$21,"")</f>
        <v>0</v>
      </c>
      <c r="J22" s="62" t="n">
        <f aca="false">IFERROR(G22*I22,"")</f>
        <v>0</v>
      </c>
    </row>
    <row r="23" customFormat="false" ht="18" hidden="false" customHeight="true" outlineLevel="0" collapsed="false">
      <c r="A23" s="17" t="n">
        <v>19</v>
      </c>
      <c r="B23" s="65" t="s">
        <v>72</v>
      </c>
      <c r="C23" s="60" t="n">
        <v>2.25</v>
      </c>
      <c r="D23" s="61" t="n">
        <f aca="false">IFERROR(SUMIFS('📥 원재료 입고'!$E$4:$E$400,'📥 원재료 입고'!$K$4:$K$400,$B$2,'📥 원재료 입고'!$B$4:$B$400,B23),0)</f>
        <v>0</v>
      </c>
      <c r="E23" s="62" t="n">
        <f aca="false">IFERROR(SUMIFS('📥 원재료 입고'!$E$4:$E$400,'📥 원재료 입고'!$K$4:$K$400,$B$2,'📥 원재료 입고'!$B$4:$B$400,B23,'📥 원재료 입고'!$D$4:$D$400,"자체구매"),0)</f>
        <v>0</v>
      </c>
      <c r="F23" s="63" t="n">
        <f aca="false">IFERROR(SUMIFS('📥 원재료 입고'!$E$4:$E$400,'📥 원재료 입고'!$K$4:$K$400,$B$2,'📥 원재료 입고'!$B$4:$B$400,B23,'📥 원재료 입고'!$D$4:$D$400,"위탁공급"),0)</f>
        <v>0</v>
      </c>
      <c r="G23" s="64" t="n">
        <f aca="false">IFERROR(SUMIF('📦 일일 생산 입력'!$CL$5:$CL$505,$B$2,'📦 일일 생산 입력'!$Y$5:$Y$505),0)</f>
        <v>2</v>
      </c>
      <c r="H23" s="63" t="n">
        <f aca="false">IFERROR(MAX(C23+D23-G23,0),"")</f>
        <v>0.25</v>
      </c>
      <c r="I23" s="66" t="n">
        <f aca="false">IFERROR('🏭 원료 마스터'!$C$22,"")</f>
        <v>0</v>
      </c>
      <c r="J23" s="62" t="n">
        <f aca="false">IFERROR(G23*I23,"")</f>
        <v>0</v>
      </c>
    </row>
    <row r="24" customFormat="false" ht="18" hidden="false" customHeight="true" outlineLevel="0" collapsed="false">
      <c r="A24" s="13" t="n">
        <v>20</v>
      </c>
      <c r="B24" s="18" t="s">
        <v>73</v>
      </c>
      <c r="C24" s="60" t="n">
        <v>13.71</v>
      </c>
      <c r="D24" s="61" t="n">
        <f aca="false">IFERROR(SUMIFS('📥 원재료 입고'!$E$4:$E$400,'📥 원재료 입고'!$K$4:$K$400,$B$2,'📥 원재료 입고'!$B$4:$B$400,B24),0)</f>
        <v>2</v>
      </c>
      <c r="E24" s="62" t="n">
        <f aca="false">IFERROR(SUMIFS('📥 원재료 입고'!$E$4:$E$400,'📥 원재료 입고'!$K$4:$K$400,$B$2,'📥 원재료 입고'!$B$4:$B$400,B24,'📥 원재료 입고'!$D$4:$D$400,"자체구매"),0)</f>
        <v>2</v>
      </c>
      <c r="F24" s="63" t="n">
        <f aca="false">IFERROR(SUMIFS('📥 원재료 입고'!$E$4:$E$400,'📥 원재료 입고'!$K$4:$K$400,$B$2,'📥 원재료 입고'!$B$4:$B$400,B24,'📥 원재료 입고'!$D$4:$D$400,"위탁공급"),0)</f>
        <v>0</v>
      </c>
      <c r="G24" s="64" t="n">
        <f aca="false">IFERROR(SUMIF('📦 일일 생산 입력'!$CL$5:$CL$505,$B$2,'📦 일일 생산 입력'!$Z$5:$Z$505),0)</f>
        <v>16</v>
      </c>
      <c r="H24" s="63" t="n">
        <f aca="false">IFERROR(MAX(C24+D24-G24,0),"")</f>
        <v>0</v>
      </c>
      <c r="I24" s="63" t="n">
        <f aca="false">IFERROR('🏭 원료 마스터'!$C$23,"")</f>
        <v>0</v>
      </c>
      <c r="J24" s="62" t="n">
        <f aca="false">IFERROR(G24*I24,"")</f>
        <v>0</v>
      </c>
    </row>
    <row r="25" customFormat="false" ht="18" hidden="false" customHeight="true" outlineLevel="0" collapsed="false">
      <c r="A25" s="17" t="n">
        <v>21</v>
      </c>
      <c r="B25" s="65" t="s">
        <v>74</v>
      </c>
      <c r="C25" s="60" t="n">
        <v>18.71</v>
      </c>
      <c r="D25" s="61" t="n">
        <f aca="false">IFERROR(SUMIFS('📥 원재료 입고'!$E$4:$E$400,'📥 원재료 입고'!$K$4:$K$400,$B$2,'📥 원재료 입고'!$B$4:$B$400,B25),0)</f>
        <v>1</v>
      </c>
      <c r="E25" s="62" t="n">
        <f aca="false">IFERROR(SUMIFS('📥 원재료 입고'!$E$4:$E$400,'📥 원재료 입고'!$K$4:$K$400,$B$2,'📥 원재료 입고'!$B$4:$B$400,B25,'📥 원재료 입고'!$D$4:$D$400,"자체구매"),0)</f>
        <v>1</v>
      </c>
      <c r="F25" s="63" t="n">
        <f aca="false">IFERROR(SUMIFS('📥 원재료 입고'!$E$4:$E$400,'📥 원재료 입고'!$K$4:$K$400,$B$2,'📥 원재료 입고'!$B$4:$B$400,B25,'📥 원재료 입고'!$D$4:$D$400,"위탁공급"),0)</f>
        <v>0</v>
      </c>
      <c r="G25" s="64" t="n">
        <f aca="false">IFERROR(SUMIF('📦 일일 생산 입력'!$CL$5:$CL$505,$B$2,'📦 일일 생산 입력'!$AA$5:$AA$505),0)</f>
        <v>8</v>
      </c>
      <c r="H25" s="63" t="n">
        <f aca="false">IFERROR(MAX(C25+D25-G25,0),"")</f>
        <v>11.71</v>
      </c>
      <c r="I25" s="66" t="n">
        <f aca="false">IFERROR('🏭 원료 마스터'!$C$24,"")</f>
        <v>0</v>
      </c>
      <c r="J25" s="62" t="n">
        <f aca="false">IFERROR(G25*I25,"")</f>
        <v>0</v>
      </c>
    </row>
    <row r="26" customFormat="false" ht="18" hidden="false" customHeight="true" outlineLevel="0" collapsed="false">
      <c r="A26" s="13" t="n">
        <v>22</v>
      </c>
      <c r="B26" s="18" t="s">
        <v>75</v>
      </c>
      <c r="C26" s="60" t="n">
        <v>15.06</v>
      </c>
      <c r="D26" s="61" t="n">
        <f aca="false">IFERROR(SUMIFS('📥 원재료 입고'!$E$4:$E$400,'📥 원재료 입고'!$K$4:$K$400,$B$2,'📥 원재료 입고'!$B$4:$B$400,B26),0)</f>
        <v>0</v>
      </c>
      <c r="E26" s="62" t="n">
        <f aca="false">IFERROR(SUMIFS('📥 원재료 입고'!$E$4:$E$400,'📥 원재료 입고'!$K$4:$K$400,$B$2,'📥 원재료 입고'!$B$4:$B$400,B26,'📥 원재료 입고'!$D$4:$D$400,"자체구매"),0)</f>
        <v>0</v>
      </c>
      <c r="F26" s="63" t="n">
        <f aca="false">IFERROR(SUMIFS('📥 원재료 입고'!$E$4:$E$400,'📥 원재료 입고'!$K$4:$K$400,$B$2,'📥 원재료 입고'!$B$4:$B$400,B26,'📥 원재료 입고'!$D$4:$D$400,"위탁공급"),0)</f>
        <v>0</v>
      </c>
      <c r="G26" s="64" t="n">
        <f aca="false">IFERROR(SUMIF('📦 일일 생산 입력'!$CL$5:$CL$505,$B$2,'📦 일일 생산 입력'!$AB$5:$AB$505),0)</f>
        <v>4</v>
      </c>
      <c r="H26" s="63" t="n">
        <f aca="false">IFERROR(MAX(C26+D26-G26,0),"")</f>
        <v>11.06</v>
      </c>
      <c r="I26" s="63" t="n">
        <f aca="false">IFERROR('🏭 원료 마스터'!$C$25,"")</f>
        <v>0</v>
      </c>
      <c r="J26" s="62" t="n">
        <f aca="false">IFERROR(G26*I26,"")</f>
        <v>0</v>
      </c>
    </row>
    <row r="27" customFormat="false" ht="18" hidden="false" customHeight="true" outlineLevel="0" collapsed="false">
      <c r="A27" s="17" t="n">
        <v>23</v>
      </c>
      <c r="B27" s="65" t="s">
        <v>76</v>
      </c>
      <c r="C27" s="60" t="n">
        <v>2</v>
      </c>
      <c r="D27" s="61" t="n">
        <f aca="false">IFERROR(SUMIFS('📥 원재료 입고'!$E$4:$E$400,'📥 원재료 입고'!$K$4:$K$400,$B$2,'📥 원재료 입고'!$B$4:$B$400,B27),0)</f>
        <v>0</v>
      </c>
      <c r="E27" s="62" t="n">
        <f aca="false">IFERROR(SUMIFS('📥 원재료 입고'!$E$4:$E$400,'📥 원재료 입고'!$K$4:$K$400,$B$2,'📥 원재료 입고'!$B$4:$B$400,B27,'📥 원재료 입고'!$D$4:$D$400,"자체구매"),0)</f>
        <v>0</v>
      </c>
      <c r="F27" s="63" t="n">
        <f aca="false">IFERROR(SUMIFS('📥 원재료 입고'!$E$4:$E$400,'📥 원재료 입고'!$K$4:$K$400,$B$2,'📥 원재료 입고'!$B$4:$B$400,B27,'📥 원재료 입고'!$D$4:$D$400,"위탁공급"),0)</f>
        <v>0</v>
      </c>
      <c r="G27" s="64" t="n">
        <f aca="false">IFERROR(SUMIF('📦 일일 생산 입력'!$CL$5:$CL$505,$B$2,'📦 일일 생산 입력'!$AC$5:$AC$505),0)</f>
        <v>0</v>
      </c>
      <c r="H27" s="63" t="n">
        <f aca="false">IFERROR(MAX(C27+D27-G27,0),"")</f>
        <v>2</v>
      </c>
      <c r="I27" s="66" t="n">
        <f aca="false">IFERROR('🏭 원료 마스터'!$C$26,"")</f>
        <v>0</v>
      </c>
      <c r="J27" s="62" t="n">
        <f aca="false">IFERROR(G27*I27,"")</f>
        <v>0</v>
      </c>
    </row>
    <row r="28" customFormat="false" ht="18" hidden="false" customHeight="true" outlineLevel="0" collapsed="false">
      <c r="A28" s="13" t="n">
        <v>24</v>
      </c>
      <c r="B28" s="18" t="s">
        <v>77</v>
      </c>
      <c r="C28" s="60" t="n">
        <v>10</v>
      </c>
      <c r="D28" s="61" t="n">
        <f aca="false">IFERROR(SUMIFS('📥 원재료 입고'!$E$4:$E$400,'📥 원재료 입고'!$K$4:$K$400,$B$2,'📥 원재료 입고'!$B$4:$B$400,B28),0)</f>
        <v>0</v>
      </c>
      <c r="E28" s="62" t="n">
        <f aca="false">IFERROR(SUMIFS('📥 원재료 입고'!$E$4:$E$400,'📥 원재료 입고'!$K$4:$K$400,$B$2,'📥 원재료 입고'!$B$4:$B$400,B28,'📥 원재료 입고'!$D$4:$D$400,"자체구매"),0)</f>
        <v>0</v>
      </c>
      <c r="F28" s="63" t="n">
        <f aca="false">IFERROR(SUMIFS('📥 원재료 입고'!$E$4:$E$400,'📥 원재료 입고'!$K$4:$K$400,$B$2,'📥 원재료 입고'!$B$4:$B$400,B28,'📥 원재료 입고'!$D$4:$D$400,"위탁공급"),0)</f>
        <v>0</v>
      </c>
      <c r="G28" s="64" t="n">
        <f aca="false">IFERROR(SUMIF('📦 일일 생산 입력'!$CL$5:$CL$505,$B$2,'📦 일일 생산 입력'!$AD$5:$AD$505),0)</f>
        <v>0</v>
      </c>
      <c r="H28" s="63" t="n">
        <f aca="false">IFERROR(MAX(C28+D28-G28,0),"")</f>
        <v>10</v>
      </c>
      <c r="I28" s="63" t="n">
        <f aca="false">IFERROR('🏭 원료 마스터'!$C$27,"")</f>
        <v>0</v>
      </c>
      <c r="J28" s="62" t="n">
        <f aca="false">IFERROR(G28*I28,"")</f>
        <v>0</v>
      </c>
    </row>
    <row r="29" customFormat="false" ht="18" hidden="false" customHeight="true" outlineLevel="0" collapsed="false">
      <c r="A29" s="17" t="n">
        <v>25</v>
      </c>
      <c r="B29" s="65" t="s">
        <v>78</v>
      </c>
      <c r="C29" s="60" t="n">
        <v>0</v>
      </c>
      <c r="D29" s="61" t="n">
        <f aca="false">IFERROR(SUMIFS('📥 원재료 입고'!$E$4:$E$400,'📥 원재료 입고'!$K$4:$K$400,$B$2,'📥 원재료 입고'!$B$4:$B$400,B29),0)</f>
        <v>0</v>
      </c>
      <c r="E29" s="62" t="n">
        <f aca="false">IFERROR(SUMIFS('📥 원재료 입고'!$E$4:$E$400,'📥 원재료 입고'!$K$4:$K$400,$B$2,'📥 원재료 입고'!$B$4:$B$400,B29,'📥 원재료 입고'!$D$4:$D$400,"자체구매"),0)</f>
        <v>0</v>
      </c>
      <c r="F29" s="63" t="n">
        <f aca="false">IFERROR(SUMIFS('📥 원재료 입고'!$E$4:$E$400,'📥 원재료 입고'!$K$4:$K$400,$B$2,'📥 원재료 입고'!$B$4:$B$400,B29,'📥 원재료 입고'!$D$4:$D$400,"위탁공급"),0)</f>
        <v>0</v>
      </c>
      <c r="G29" s="64" t="n">
        <f aca="false">IFERROR(SUMIF('📦 일일 생산 입력'!$CL$5:$CL$505,$B$2,'📦 일일 생산 입력'!$AE$5:$AE$505),0)</f>
        <v>0</v>
      </c>
      <c r="H29" s="63" t="n">
        <f aca="false">IFERROR(MAX(C29+D29-G29,0),"")</f>
        <v>0</v>
      </c>
      <c r="I29" s="66" t="n">
        <f aca="false">IFERROR('🏭 원료 마스터'!$C$28,"")</f>
        <v>0</v>
      </c>
      <c r="J29" s="62" t="n">
        <f aca="false">IFERROR(G29*I29,"")</f>
        <v>0</v>
      </c>
    </row>
    <row r="30" customFormat="false" ht="18" hidden="false" customHeight="true" outlineLevel="0" collapsed="false">
      <c r="A30" s="13" t="n">
        <v>26</v>
      </c>
      <c r="B30" s="18" t="s">
        <v>79</v>
      </c>
      <c r="C30" s="60" t="n">
        <v>0</v>
      </c>
      <c r="D30" s="61" t="n">
        <f aca="false">IFERROR(SUMIFS('📥 원재료 입고'!$E$4:$E$400,'📥 원재료 입고'!$K$4:$K$400,$B$2,'📥 원재료 입고'!$B$4:$B$400,B30),0)</f>
        <v>0</v>
      </c>
      <c r="E30" s="62" t="n">
        <f aca="false">IFERROR(SUMIFS('📥 원재료 입고'!$E$4:$E$400,'📥 원재료 입고'!$K$4:$K$400,$B$2,'📥 원재료 입고'!$B$4:$B$400,B30,'📥 원재료 입고'!$D$4:$D$400,"자체구매"),0)</f>
        <v>0</v>
      </c>
      <c r="F30" s="63" t="n">
        <f aca="false">IFERROR(SUMIFS('📥 원재료 입고'!$E$4:$E$400,'📥 원재료 입고'!$K$4:$K$400,$B$2,'📥 원재료 입고'!$B$4:$B$400,B30,'📥 원재료 입고'!$D$4:$D$400,"위탁공급"),0)</f>
        <v>0</v>
      </c>
      <c r="G30" s="64" t="n">
        <f aca="false">IFERROR(SUMIF('📦 일일 생산 입력'!$CL$5:$CL$505,$B$2,'📦 일일 생산 입력'!$AF$5:$AF$505),0)</f>
        <v>0</v>
      </c>
      <c r="H30" s="63" t="n">
        <f aca="false">IFERROR(MAX(C30+D30-G30,0),"")</f>
        <v>0</v>
      </c>
      <c r="I30" s="63" t="n">
        <f aca="false">IFERROR('🏭 원료 마스터'!$C$29,"")</f>
        <v>0</v>
      </c>
      <c r="J30" s="62" t="n">
        <f aca="false">IFERROR(G30*I30,"")</f>
        <v>0</v>
      </c>
    </row>
    <row r="31" customFormat="false" ht="18" hidden="false" customHeight="true" outlineLevel="0" collapsed="false">
      <c r="A31" s="17" t="n">
        <v>27</v>
      </c>
      <c r="B31" s="65" t="s">
        <v>80</v>
      </c>
      <c r="C31" s="60" t="n">
        <v>1.16</v>
      </c>
      <c r="D31" s="61" t="n">
        <f aca="false">IFERROR(SUMIFS('📥 원재료 입고'!$E$4:$E$400,'📥 원재료 입고'!$K$4:$K$400,$B$2,'📥 원재료 입고'!$B$4:$B$400,B31),0)</f>
        <v>0</v>
      </c>
      <c r="E31" s="62" t="n">
        <f aca="false">IFERROR(SUMIFS('📥 원재료 입고'!$E$4:$E$400,'📥 원재료 입고'!$K$4:$K$400,$B$2,'📥 원재료 입고'!$B$4:$B$400,B31,'📥 원재료 입고'!$D$4:$D$400,"자체구매"),0)</f>
        <v>0</v>
      </c>
      <c r="F31" s="63" t="n">
        <f aca="false">IFERROR(SUMIFS('📥 원재료 입고'!$E$4:$E$400,'📥 원재료 입고'!$K$4:$K$400,$B$2,'📥 원재료 입고'!$B$4:$B$400,B31,'📥 원재료 입고'!$D$4:$D$400,"위탁공급"),0)</f>
        <v>0</v>
      </c>
      <c r="G31" s="64" t="n">
        <f aca="false">IFERROR(SUMIF('📦 일일 생산 입력'!$CL$5:$CL$505,$B$2,'📦 일일 생산 입력'!$AG$5:$AG$505),0)</f>
        <v>1</v>
      </c>
      <c r="H31" s="63" t="n">
        <f aca="false">IFERROR(MAX(C31+D31-G31,0),"")</f>
        <v>0.16</v>
      </c>
      <c r="I31" s="66" t="n">
        <f aca="false">IFERROR('🏭 원료 마스터'!$C$30,"")</f>
        <v>0</v>
      </c>
      <c r="J31" s="62" t="n">
        <f aca="false">IFERROR(G31*I31,"")</f>
        <v>0</v>
      </c>
    </row>
    <row r="32" customFormat="false" ht="18" hidden="false" customHeight="true" outlineLevel="0" collapsed="false">
      <c r="A32" s="13" t="n">
        <v>28</v>
      </c>
      <c r="B32" s="18" t="s">
        <v>81</v>
      </c>
      <c r="C32" s="60" t="n">
        <v>20.48</v>
      </c>
      <c r="D32" s="61" t="n">
        <f aca="false">IFERROR(SUMIFS('📥 원재료 입고'!$E$4:$E$400,'📥 원재료 입고'!$K$4:$K$400,$B$2,'📥 원재료 입고'!$B$4:$B$400,B32),0)</f>
        <v>0</v>
      </c>
      <c r="E32" s="62" t="n">
        <f aca="false">IFERROR(SUMIFS('📥 원재료 입고'!$E$4:$E$400,'📥 원재료 입고'!$K$4:$K$400,$B$2,'📥 원재료 입고'!$B$4:$B$400,B32,'📥 원재료 입고'!$D$4:$D$400,"자체구매"),0)</f>
        <v>0</v>
      </c>
      <c r="F32" s="63" t="n">
        <f aca="false">IFERROR(SUMIFS('📥 원재료 입고'!$E$4:$E$400,'📥 원재료 입고'!$K$4:$K$400,$B$2,'📥 원재료 입고'!$B$4:$B$400,B32,'📥 원재료 입고'!$D$4:$D$400,"위탁공급"),0)</f>
        <v>0</v>
      </c>
      <c r="G32" s="64" t="n">
        <f aca="false">IFERROR(SUMIF('📦 일일 생산 입력'!$CL$5:$CL$505,$B$2,'📦 일일 생산 입력'!$AH$5:$AH$505),0)</f>
        <v>0</v>
      </c>
      <c r="H32" s="63" t="n">
        <f aca="false">IFERROR(MAX(C32+D32-G32,0),"")</f>
        <v>20.48</v>
      </c>
      <c r="I32" s="63" t="n">
        <f aca="false">IFERROR('🏭 원료 마스터'!$C$31,"")</f>
        <v>0</v>
      </c>
      <c r="J32" s="62" t="n">
        <f aca="false">IFERROR(G32*I32,"")</f>
        <v>0</v>
      </c>
    </row>
    <row r="33" customFormat="false" ht="18" hidden="false" customHeight="true" outlineLevel="0" collapsed="false">
      <c r="A33" s="17" t="n">
        <v>29</v>
      </c>
      <c r="B33" s="65" t="s">
        <v>82</v>
      </c>
      <c r="C33" s="60" t="n">
        <v>119.12</v>
      </c>
      <c r="D33" s="61" t="n">
        <f aca="false">IFERROR(SUMIFS('📥 원재료 입고'!$E$4:$E$400,'📥 원재료 입고'!$K$4:$K$400,$B$2,'📥 원재료 입고'!$B$4:$B$400,B33),0)</f>
        <v>0</v>
      </c>
      <c r="E33" s="62" t="n">
        <f aca="false">IFERROR(SUMIFS('📥 원재료 입고'!$E$4:$E$400,'📥 원재료 입고'!$K$4:$K$400,$B$2,'📥 원재료 입고'!$B$4:$B$400,B33,'📥 원재료 입고'!$D$4:$D$400,"자체구매"),0)</f>
        <v>0</v>
      </c>
      <c r="F33" s="63" t="n">
        <f aca="false">IFERROR(SUMIFS('📥 원재료 입고'!$E$4:$E$400,'📥 원재료 입고'!$K$4:$K$400,$B$2,'📥 원재료 입고'!$B$4:$B$400,B33,'📥 원재료 입고'!$D$4:$D$400,"위탁공급"),0)</f>
        <v>0</v>
      </c>
      <c r="G33" s="64" t="n">
        <f aca="false">IFERROR(SUMIF('📦 일일 생산 입력'!$CL$5:$CL$505,$B$2,'📦 일일 생산 입력'!$AI$5:$AI$505),0)</f>
        <v>28</v>
      </c>
      <c r="H33" s="63" t="n">
        <f aca="false">IFERROR(MAX(C33+D33-G33,0),"")</f>
        <v>91.12</v>
      </c>
      <c r="I33" s="66" t="n">
        <f aca="false">IFERROR('🏭 원료 마스터'!$C$32,"")</f>
        <v>0</v>
      </c>
      <c r="J33" s="62" t="n">
        <f aca="false">IFERROR(G33*I33,"")</f>
        <v>0</v>
      </c>
    </row>
    <row r="34" customFormat="false" ht="18" hidden="false" customHeight="true" outlineLevel="0" collapsed="false">
      <c r="A34" s="13" t="n">
        <v>30</v>
      </c>
      <c r="B34" s="18" t="s">
        <v>83</v>
      </c>
      <c r="C34" s="60" t="n">
        <v>0</v>
      </c>
      <c r="D34" s="61" t="n">
        <f aca="false">IFERROR(SUMIFS('📥 원재료 입고'!$E$4:$E$400,'📥 원재료 입고'!$K$4:$K$400,$B$2,'📥 원재료 입고'!$B$4:$B$400,B34),0)</f>
        <v>0</v>
      </c>
      <c r="E34" s="62" t="n">
        <f aca="false">IFERROR(SUMIFS('📥 원재료 입고'!$E$4:$E$400,'📥 원재료 입고'!$K$4:$K$400,$B$2,'📥 원재료 입고'!$B$4:$B$400,B34,'📥 원재료 입고'!$D$4:$D$400,"자체구매"),0)</f>
        <v>0</v>
      </c>
      <c r="F34" s="63" t="n">
        <f aca="false">IFERROR(SUMIFS('📥 원재료 입고'!$E$4:$E$400,'📥 원재료 입고'!$K$4:$K$400,$B$2,'📥 원재료 입고'!$B$4:$B$400,B34,'📥 원재료 입고'!$D$4:$D$400,"위탁공급"),0)</f>
        <v>0</v>
      </c>
      <c r="G34" s="64" t="n">
        <f aca="false">IFERROR(SUMIF('📦 일일 생산 입력'!$CL$5:$CL$505,$B$2,'📦 일일 생산 입력'!$AJ$5:$AJ$505),0)</f>
        <v>0</v>
      </c>
      <c r="H34" s="63" t="n">
        <f aca="false">IFERROR(MAX(C34+D34-G34,0),"")</f>
        <v>0</v>
      </c>
      <c r="I34" s="63" t="n">
        <f aca="false">IFERROR('🏭 원료 마스터'!$C$33,"")</f>
        <v>0</v>
      </c>
      <c r="J34" s="62" t="n">
        <f aca="false">IFERROR(G34*I34,"")</f>
        <v>0</v>
      </c>
    </row>
    <row r="35" customFormat="false" ht="18" hidden="false" customHeight="true" outlineLevel="0" collapsed="false">
      <c r="A35" s="17" t="n">
        <v>31</v>
      </c>
      <c r="B35" s="65" t="s">
        <v>84</v>
      </c>
      <c r="C35" s="60" t="n">
        <v>0</v>
      </c>
      <c r="D35" s="61" t="n">
        <f aca="false">IFERROR(SUMIFS('📥 원재료 입고'!$E$4:$E$400,'📥 원재료 입고'!$K$4:$K$400,$B$2,'📥 원재료 입고'!$B$4:$B$400,B35),0)</f>
        <v>62.5</v>
      </c>
      <c r="E35" s="62" t="n">
        <f aca="false">IFERROR(SUMIFS('📥 원재료 입고'!$E$4:$E$400,'📥 원재료 입고'!$K$4:$K$400,$B$2,'📥 원재료 입고'!$B$4:$B$400,B35,'📥 원재료 입고'!$D$4:$D$400,"자체구매"),0)</f>
        <v>62.5</v>
      </c>
      <c r="F35" s="63" t="n">
        <f aca="false">IFERROR(SUMIFS('📥 원재료 입고'!$E$4:$E$400,'📥 원재료 입고'!$K$4:$K$400,$B$2,'📥 원재료 입고'!$B$4:$B$400,B35,'📥 원재료 입고'!$D$4:$D$400,"위탁공급"),0)</f>
        <v>0</v>
      </c>
      <c r="G35" s="64" t="n">
        <f aca="false">IFERROR(SUMIF('📦 일일 생산 입력'!$CL$5:$CL$505,$B$2,'📦 일일 생산 입력'!$AK$5:$AK$505),0)</f>
        <v>29</v>
      </c>
      <c r="H35" s="63" t="n">
        <f aca="false">IFERROR(MAX(C35+D35-G35,0),"")</f>
        <v>33.5</v>
      </c>
      <c r="I35" s="66" t="n">
        <f aca="false">IFERROR('🏭 원료 마스터'!$C$34,"")</f>
        <v>0</v>
      </c>
      <c r="J35" s="62" t="n">
        <f aca="false">IFERROR(G35*I35,"")</f>
        <v>0</v>
      </c>
    </row>
    <row r="36" customFormat="false" ht="18" hidden="false" customHeight="true" outlineLevel="0" collapsed="false">
      <c r="A36" s="13" t="n">
        <v>32</v>
      </c>
      <c r="B36" s="18" t="s">
        <v>85</v>
      </c>
      <c r="C36" s="60" t="n">
        <v>0</v>
      </c>
      <c r="D36" s="61" t="n">
        <f aca="false">IFERROR(SUMIFS('📥 원재료 입고'!$E$4:$E$400,'📥 원재료 입고'!$K$4:$K$400,$B$2,'📥 원재료 입고'!$B$4:$B$400,B36),0)</f>
        <v>0</v>
      </c>
      <c r="E36" s="62" t="n">
        <f aca="false">IFERROR(SUMIFS('📥 원재료 입고'!$E$4:$E$400,'📥 원재료 입고'!$K$4:$K$400,$B$2,'📥 원재료 입고'!$B$4:$B$400,B36,'📥 원재료 입고'!$D$4:$D$400,"자체구매"),0)</f>
        <v>0</v>
      </c>
      <c r="F36" s="63" t="n">
        <f aca="false">IFERROR(SUMIFS('📥 원재료 입고'!$E$4:$E$400,'📥 원재료 입고'!$K$4:$K$400,$B$2,'📥 원재료 입고'!$B$4:$B$400,B36,'📥 원재료 입고'!$D$4:$D$400,"위탁공급"),0)</f>
        <v>0</v>
      </c>
      <c r="G36" s="64" t="n">
        <f aca="false">IFERROR(SUMIF('📦 일일 생산 입력'!$CL$5:$CL$505,$B$2,'📦 일일 생산 입력'!$AL$5:$AL$505),0)</f>
        <v>0</v>
      </c>
      <c r="H36" s="63" t="n">
        <f aca="false">IFERROR(MAX(C36+D36-G36,0),"")</f>
        <v>0</v>
      </c>
      <c r="I36" s="63" t="n">
        <f aca="false">IFERROR('🏭 원료 마스터'!$C$35,"")</f>
        <v>0</v>
      </c>
      <c r="J36" s="62" t="n">
        <f aca="false">IFERROR(G36*I36,"")</f>
        <v>0</v>
      </c>
    </row>
    <row r="37" customFormat="false" ht="18" hidden="false" customHeight="true" outlineLevel="0" collapsed="false">
      <c r="A37" s="17" t="n">
        <v>33</v>
      </c>
      <c r="B37" s="65" t="s">
        <v>86</v>
      </c>
      <c r="C37" s="60" t="n">
        <v>11.81</v>
      </c>
      <c r="D37" s="61" t="n">
        <f aca="false">IFERROR(SUMIFS('📥 원재료 입고'!$E$4:$E$400,'📥 원재료 입고'!$K$4:$K$400,$B$2,'📥 원재료 입고'!$B$4:$B$400,B37),0)</f>
        <v>0</v>
      </c>
      <c r="E37" s="62" t="n">
        <f aca="false">IFERROR(SUMIFS('📥 원재료 입고'!$E$4:$E$400,'📥 원재료 입고'!$K$4:$K$400,$B$2,'📥 원재료 입고'!$B$4:$B$400,B37,'📥 원재료 입고'!$D$4:$D$400,"자체구매"),0)</f>
        <v>0</v>
      </c>
      <c r="F37" s="63" t="n">
        <f aca="false">IFERROR(SUMIFS('📥 원재료 입고'!$E$4:$E$400,'📥 원재료 입고'!$K$4:$K$400,$B$2,'📥 원재료 입고'!$B$4:$B$400,B37,'📥 원재료 입고'!$D$4:$D$400,"위탁공급"),0)</f>
        <v>0</v>
      </c>
      <c r="G37" s="64" t="n">
        <f aca="false">IFERROR(SUMIF('📦 일일 생산 입력'!$CL$5:$CL$505,$B$2,'📦 일일 생산 입력'!$AM$5:$AM$505),0)</f>
        <v>8</v>
      </c>
      <c r="H37" s="63" t="n">
        <f aca="false">IFERROR(MAX(C37+D37-G37,0),"")</f>
        <v>3.81</v>
      </c>
      <c r="I37" s="66" t="n">
        <f aca="false">IFERROR('🏭 원료 마스터'!$C$36,"")</f>
        <v>0</v>
      </c>
      <c r="J37" s="62" t="n">
        <f aca="false">IFERROR(G37*I37,"")</f>
        <v>0</v>
      </c>
    </row>
    <row r="38" customFormat="false" ht="18" hidden="false" customHeight="true" outlineLevel="0" collapsed="false">
      <c r="A38" s="13" t="n">
        <v>34</v>
      </c>
      <c r="B38" s="18" t="s">
        <v>87</v>
      </c>
      <c r="C38" s="60" t="n">
        <v>0</v>
      </c>
      <c r="D38" s="61" t="n">
        <f aca="false">IFERROR(SUMIFS('📥 원재료 입고'!$E$4:$E$400,'📥 원재료 입고'!$K$4:$K$400,$B$2,'📥 원재료 입고'!$B$4:$B$400,B38),0)</f>
        <v>0</v>
      </c>
      <c r="E38" s="62" t="n">
        <f aca="false">IFERROR(SUMIFS('📥 원재료 입고'!$E$4:$E$400,'📥 원재료 입고'!$K$4:$K$400,$B$2,'📥 원재료 입고'!$B$4:$B$400,B38,'📥 원재료 입고'!$D$4:$D$400,"자체구매"),0)</f>
        <v>0</v>
      </c>
      <c r="F38" s="63" t="n">
        <f aca="false">IFERROR(SUMIFS('📥 원재료 입고'!$E$4:$E$400,'📥 원재료 입고'!$K$4:$K$400,$B$2,'📥 원재료 입고'!$B$4:$B$400,B38,'📥 원재료 입고'!$D$4:$D$400,"위탁공급"),0)</f>
        <v>0</v>
      </c>
      <c r="G38" s="64" t="n">
        <f aca="false">IFERROR(SUMIF('📦 일일 생산 입력'!$CL$5:$CL$505,$B$2,'📦 일일 생산 입력'!$AN$5:$AN$505),0)</f>
        <v>0</v>
      </c>
      <c r="H38" s="63" t="n">
        <f aca="false">IFERROR(MAX(C38+D38-G38,0),"")</f>
        <v>0</v>
      </c>
      <c r="I38" s="63" t="n">
        <f aca="false">IFERROR('🏭 원료 마스터'!$C$37,"")</f>
        <v>0</v>
      </c>
      <c r="J38" s="62" t="n">
        <f aca="false">IFERROR(G38*I38,"")</f>
        <v>0</v>
      </c>
    </row>
    <row r="39" customFormat="false" ht="18" hidden="false" customHeight="true" outlineLevel="0" collapsed="false">
      <c r="A39" s="17" t="n">
        <v>35</v>
      </c>
      <c r="B39" s="65" t="s">
        <v>88</v>
      </c>
      <c r="C39" s="60" t="n">
        <v>23.56</v>
      </c>
      <c r="D39" s="61" t="n">
        <f aca="false">IFERROR(SUMIFS('📥 원재료 입고'!$E$4:$E$400,'📥 원재료 입고'!$K$4:$K$400,$B$2,'📥 원재료 입고'!$B$4:$B$400,B39),0)</f>
        <v>0</v>
      </c>
      <c r="E39" s="62" t="n">
        <f aca="false">IFERROR(SUMIFS('📥 원재료 입고'!$E$4:$E$400,'📥 원재료 입고'!$K$4:$K$400,$B$2,'📥 원재료 입고'!$B$4:$B$400,B39,'📥 원재료 입고'!$D$4:$D$400,"자체구매"),0)</f>
        <v>0</v>
      </c>
      <c r="F39" s="63" t="n">
        <f aca="false">IFERROR(SUMIFS('📥 원재료 입고'!$E$4:$E$400,'📥 원재료 입고'!$K$4:$K$400,$B$2,'📥 원재료 입고'!$B$4:$B$400,B39,'📥 원재료 입고'!$D$4:$D$400,"위탁공급"),0)</f>
        <v>0</v>
      </c>
      <c r="G39" s="64" t="n">
        <f aca="false">IFERROR(SUMIF('📦 일일 생산 입력'!$CL$5:$CL$505,$B$2,'📦 일일 생산 입력'!$AO$5:$AO$505),0)</f>
        <v>16</v>
      </c>
      <c r="H39" s="63" t="n">
        <f aca="false">IFERROR(MAX(C39+D39-G39,0),"")</f>
        <v>7.56</v>
      </c>
      <c r="I39" s="66" t="n">
        <f aca="false">IFERROR('🏭 원료 마스터'!$C$38,"")</f>
        <v>0</v>
      </c>
      <c r="J39" s="62" t="n">
        <f aca="false">IFERROR(G39*I39,"")</f>
        <v>0</v>
      </c>
    </row>
    <row r="40" customFormat="false" ht="18" hidden="false" customHeight="true" outlineLevel="0" collapsed="false">
      <c r="A40" s="13" t="n">
        <v>36</v>
      </c>
      <c r="B40" s="18" t="s">
        <v>89</v>
      </c>
      <c r="C40" s="60" t="n">
        <v>35.26</v>
      </c>
      <c r="D40" s="61" t="n">
        <f aca="false">IFERROR(SUMIFS('📥 원재료 입고'!$E$4:$E$400,'📥 원재료 입고'!$K$4:$K$400,$B$2,'📥 원재료 입고'!$B$4:$B$400,B40),0)</f>
        <v>0</v>
      </c>
      <c r="E40" s="62" t="n">
        <f aca="false">IFERROR(SUMIFS('📥 원재료 입고'!$E$4:$E$400,'📥 원재료 입고'!$K$4:$K$400,$B$2,'📥 원재료 입고'!$B$4:$B$400,B40,'📥 원재료 입고'!$D$4:$D$400,"자체구매"),0)</f>
        <v>0</v>
      </c>
      <c r="F40" s="63" t="n">
        <f aca="false">IFERROR(SUMIFS('📥 원재료 입고'!$E$4:$E$400,'📥 원재료 입고'!$K$4:$K$400,$B$2,'📥 원재료 입고'!$B$4:$B$400,B40,'📥 원재료 입고'!$D$4:$D$400,"위탁공급"),0)</f>
        <v>0</v>
      </c>
      <c r="G40" s="64" t="n">
        <f aca="false">IFERROR(SUMIF('📦 일일 생산 입력'!$CL$5:$CL$505,$B$2,'📦 일일 생산 입력'!$AP$5:$AP$505),0)</f>
        <v>14</v>
      </c>
      <c r="H40" s="63" t="n">
        <f aca="false">IFERROR(MAX(C40+D40-G40,0),"")</f>
        <v>21.26</v>
      </c>
      <c r="I40" s="63" t="n">
        <f aca="false">IFERROR('🏭 원료 마스터'!$C$39,"")</f>
        <v>0</v>
      </c>
      <c r="J40" s="62" t="n">
        <f aca="false">IFERROR(G40*I40,"")</f>
        <v>0</v>
      </c>
    </row>
    <row r="41" customFormat="false" ht="18" hidden="false" customHeight="true" outlineLevel="0" collapsed="false">
      <c r="A41" s="17" t="n">
        <v>37</v>
      </c>
      <c r="B41" s="65" t="s">
        <v>90</v>
      </c>
      <c r="C41" s="60" t="n">
        <v>3167</v>
      </c>
      <c r="D41" s="61" t="n">
        <f aca="false">IFERROR(SUMIFS('📥 원재료 입고'!$E$4:$E$400,'📥 원재료 입고'!$K$4:$K$400,$B$2,'📥 원재료 입고'!$B$4:$B$400,B41),0)</f>
        <v>0</v>
      </c>
      <c r="E41" s="62" t="n">
        <f aca="false">IFERROR(SUMIFS('📥 원재료 입고'!$E$4:$E$400,'📥 원재료 입고'!$K$4:$K$400,$B$2,'📥 원재료 입고'!$B$4:$B$400,B41,'📥 원재료 입고'!$D$4:$D$400,"자체구매"),0)</f>
        <v>0</v>
      </c>
      <c r="F41" s="63" t="n">
        <f aca="false">IFERROR(SUMIFS('📥 원재료 입고'!$E$4:$E$400,'📥 원재료 입고'!$K$4:$K$400,$B$2,'📥 원재료 입고'!$B$4:$B$400,B41,'📥 원재료 입고'!$D$4:$D$400,"위탁공급"),0)</f>
        <v>0</v>
      </c>
      <c r="G41" s="64" t="n">
        <f aca="false">IFERROR(SUMIF('📦 일일 생산 입력'!$CL$5:$CL$505,$B$2,'📦 일일 생산 입력'!$AQ$5:$AQ$505),0)</f>
        <v>553</v>
      </c>
      <c r="H41" s="63" t="n">
        <f aca="false">IFERROR(MAX(C41+D41-G41,0),"")</f>
        <v>2614</v>
      </c>
      <c r="I41" s="66" t="n">
        <f aca="false">IFERROR('🏭 원료 마스터'!$C$40,"")</f>
        <v>1050</v>
      </c>
      <c r="J41" s="62" t="n">
        <f aca="false">IFERROR(G41*I41,"")</f>
        <v>580650</v>
      </c>
    </row>
    <row r="42" customFormat="false" ht="18" hidden="false" customHeight="true" outlineLevel="0" collapsed="false">
      <c r="A42" s="13" t="n">
        <v>38</v>
      </c>
      <c r="B42" s="18" t="s">
        <v>91</v>
      </c>
      <c r="C42" s="60" t="n">
        <v>60</v>
      </c>
      <c r="D42" s="61" t="n">
        <f aca="false">IFERROR(SUMIFS('📥 원재료 입고'!$E$4:$E$400,'📥 원재료 입고'!$K$4:$K$400,$B$2,'📥 원재료 입고'!$B$4:$B$400,B42),0)</f>
        <v>0</v>
      </c>
      <c r="E42" s="62" t="n">
        <f aca="false">IFERROR(SUMIFS('📥 원재료 입고'!$E$4:$E$400,'📥 원재료 입고'!$K$4:$K$400,$B$2,'📥 원재료 입고'!$B$4:$B$400,B42,'📥 원재료 입고'!$D$4:$D$400,"자체구매"),0)</f>
        <v>0</v>
      </c>
      <c r="F42" s="63" t="n">
        <f aca="false">IFERROR(SUMIFS('📥 원재료 입고'!$E$4:$E$400,'📥 원재료 입고'!$K$4:$K$400,$B$2,'📥 원재료 입고'!$B$4:$B$400,B42,'📥 원재료 입고'!$D$4:$D$400,"위탁공급"),0)</f>
        <v>0</v>
      </c>
      <c r="G42" s="64" t="n">
        <f aca="false">IFERROR(SUMIF('📦 일일 생산 입력'!$CL$5:$CL$505,$B$2,'📦 일일 생산 입력'!$AR$5:$AR$505),0)</f>
        <v>0</v>
      </c>
      <c r="H42" s="63" t="n">
        <f aca="false">IFERROR(MAX(C42+D42-G42,0),"")</f>
        <v>60</v>
      </c>
      <c r="I42" s="63" t="n">
        <f aca="false">IFERROR('🏭 원료 마스터'!$C$41,"")</f>
        <v>0</v>
      </c>
      <c r="J42" s="62" t="n">
        <f aca="false">IFERROR(G42*I42,"")</f>
        <v>0</v>
      </c>
    </row>
    <row r="43" customFormat="false" ht="18" hidden="false" customHeight="true" outlineLevel="0" collapsed="false">
      <c r="A43" s="17" t="n">
        <v>39</v>
      </c>
      <c r="B43" s="65" t="s">
        <v>92</v>
      </c>
      <c r="C43" s="60" t="n">
        <v>75.58</v>
      </c>
      <c r="D43" s="61" t="n">
        <f aca="false">IFERROR(SUMIFS('📥 원재료 입고'!$E$4:$E$400,'📥 원재료 입고'!$K$4:$K$400,$B$2,'📥 원재료 입고'!$B$4:$B$400,B43),0)</f>
        <v>240</v>
      </c>
      <c r="E43" s="62" t="n">
        <f aca="false">IFERROR(SUMIFS('📥 원재료 입고'!$E$4:$E$400,'📥 원재료 입고'!$K$4:$K$400,$B$2,'📥 원재료 입고'!$B$4:$B$400,B43,'📥 원재료 입고'!$D$4:$D$400,"자체구매"),0)</f>
        <v>240</v>
      </c>
      <c r="F43" s="63" t="n">
        <f aca="false">IFERROR(SUMIFS('📥 원재료 입고'!$E$4:$E$400,'📥 원재료 입고'!$K$4:$K$400,$B$2,'📥 원재료 입고'!$B$4:$B$400,B43,'📥 원재료 입고'!$D$4:$D$400,"위탁공급"),0)</f>
        <v>0</v>
      </c>
      <c r="G43" s="64" t="n">
        <f aca="false">IFERROR(SUMIF('📦 일일 생산 입력'!$CL$5:$CL$505,$B$2,'📦 일일 생산 입력'!$AS$5:$AS$505),0)</f>
        <v>154</v>
      </c>
      <c r="H43" s="63" t="n">
        <f aca="false">IFERROR(MAX(C43+D43-G43,0),"")</f>
        <v>161.58</v>
      </c>
      <c r="I43" s="66" t="n">
        <f aca="false">IFERROR('🏭 원료 마스터'!$C$42,"")</f>
        <v>0</v>
      </c>
      <c r="J43" s="62" t="n">
        <f aca="false">IFERROR(G43*I43,"")</f>
        <v>0</v>
      </c>
    </row>
    <row r="44" customFormat="false" ht="18" hidden="false" customHeight="true" outlineLevel="0" collapsed="false">
      <c r="A44" s="13" t="n">
        <v>40</v>
      </c>
      <c r="B44" s="18" t="s">
        <v>93</v>
      </c>
      <c r="C44" s="60" t="n">
        <v>13.95</v>
      </c>
      <c r="D44" s="61" t="n">
        <f aca="false">IFERROR(SUMIFS('📥 원재료 입고'!$E$4:$E$400,'📥 원재료 입고'!$K$4:$K$400,$B$2,'📥 원재료 입고'!$B$4:$B$400,B44),0)</f>
        <v>0</v>
      </c>
      <c r="E44" s="62" t="n">
        <f aca="false">IFERROR(SUMIFS('📥 원재료 입고'!$E$4:$E$400,'📥 원재료 입고'!$K$4:$K$400,$B$2,'📥 원재료 입고'!$B$4:$B$400,B44,'📥 원재료 입고'!$D$4:$D$400,"자체구매"),0)</f>
        <v>0</v>
      </c>
      <c r="F44" s="63" t="n">
        <f aca="false">IFERROR(SUMIFS('📥 원재료 입고'!$E$4:$E$400,'📥 원재료 입고'!$K$4:$K$400,$B$2,'📥 원재료 입고'!$B$4:$B$400,B44,'📥 원재료 입고'!$D$4:$D$400,"위탁공급"),0)</f>
        <v>0</v>
      </c>
      <c r="G44" s="64" t="n">
        <f aca="false">IFERROR(SUMIF('📦 일일 생산 입력'!$CL$5:$CL$505,$B$2,'📦 일일 생산 입력'!$AT$5:$AT$505),0)</f>
        <v>12</v>
      </c>
      <c r="H44" s="63" t="n">
        <f aca="false">IFERROR(MAX(C44+D44-G44,0),"")</f>
        <v>1.95</v>
      </c>
      <c r="I44" s="63" t="n">
        <f aca="false">IFERROR('🏭 원료 마스터'!$C$43,"")</f>
        <v>0</v>
      </c>
      <c r="J44" s="62" t="n">
        <f aca="false">IFERROR(G44*I44,"")</f>
        <v>0</v>
      </c>
    </row>
    <row r="45" customFormat="false" ht="18" hidden="false" customHeight="true" outlineLevel="0" collapsed="false">
      <c r="A45" s="17" t="n">
        <v>41</v>
      </c>
      <c r="B45" s="65" t="s">
        <v>94</v>
      </c>
      <c r="C45" s="60" t="n">
        <v>0</v>
      </c>
      <c r="D45" s="61" t="n">
        <f aca="false">IFERROR(SUMIFS('📥 원재료 입고'!$E$4:$E$400,'📥 원재료 입고'!$K$4:$K$400,$B$2,'📥 원재료 입고'!$B$4:$B$400,B45),0)</f>
        <v>0</v>
      </c>
      <c r="E45" s="62" t="n">
        <f aca="false">IFERROR(SUMIFS('📥 원재료 입고'!$E$4:$E$400,'📥 원재료 입고'!$K$4:$K$400,$B$2,'📥 원재료 입고'!$B$4:$B$400,B45,'📥 원재료 입고'!$D$4:$D$400,"자체구매"),0)</f>
        <v>0</v>
      </c>
      <c r="F45" s="63" t="n">
        <f aca="false">IFERROR(SUMIFS('📥 원재료 입고'!$E$4:$E$400,'📥 원재료 입고'!$K$4:$K$400,$B$2,'📥 원재료 입고'!$B$4:$B$400,B45,'📥 원재료 입고'!$D$4:$D$400,"위탁공급"),0)</f>
        <v>0</v>
      </c>
      <c r="G45" s="64" t="n">
        <f aca="false">IFERROR(SUMIF('📦 일일 생산 입력'!$CL$5:$CL$505,$B$2,'📦 일일 생산 입력'!$AU$5:$AU$505),0)</f>
        <v>0</v>
      </c>
      <c r="H45" s="63" t="n">
        <f aca="false">IFERROR(MAX(C45+D45-G45,0),"")</f>
        <v>0</v>
      </c>
      <c r="I45" s="66" t="n">
        <f aca="false">IFERROR('🏭 원료 마스터'!$C$44,"")</f>
        <v>0</v>
      </c>
      <c r="J45" s="62" t="n">
        <f aca="false">IFERROR(G45*I45,"")</f>
        <v>0</v>
      </c>
    </row>
    <row r="46" customFormat="false" ht="18" hidden="false" customHeight="true" outlineLevel="0" collapsed="false">
      <c r="A46" s="13" t="n">
        <v>42</v>
      </c>
      <c r="B46" s="18" t="s">
        <v>95</v>
      </c>
      <c r="C46" s="60" t="n">
        <v>3</v>
      </c>
      <c r="D46" s="61" t="n">
        <f aca="false">IFERROR(SUMIFS('📥 원재료 입고'!$E$4:$E$400,'📥 원재료 입고'!$K$4:$K$400,$B$2,'📥 원재료 입고'!$B$4:$B$400,B46),0)</f>
        <v>0</v>
      </c>
      <c r="E46" s="62" t="n">
        <f aca="false">IFERROR(SUMIFS('📥 원재료 입고'!$E$4:$E$400,'📥 원재료 입고'!$K$4:$K$400,$B$2,'📥 원재료 입고'!$B$4:$B$400,B46,'📥 원재료 입고'!$D$4:$D$400,"자체구매"),0)</f>
        <v>0</v>
      </c>
      <c r="F46" s="63" t="n">
        <f aca="false">IFERROR(SUMIFS('📥 원재료 입고'!$E$4:$E$400,'📥 원재료 입고'!$K$4:$K$400,$B$2,'📥 원재료 입고'!$B$4:$B$400,B46,'📥 원재료 입고'!$D$4:$D$400,"위탁공급"),0)</f>
        <v>0</v>
      </c>
      <c r="G46" s="64" t="n">
        <f aca="false">IFERROR(SUMIF('📦 일일 생산 입력'!$CL$5:$CL$505,$B$2,'📦 일일 생산 입력'!$AV$5:$AV$505),0)</f>
        <v>0</v>
      </c>
      <c r="H46" s="63" t="n">
        <f aca="false">IFERROR(MAX(C46+D46-G46,0),"")</f>
        <v>3</v>
      </c>
      <c r="I46" s="63" t="n">
        <f aca="false">IFERROR('🏭 원료 마스터'!$C$45,"")</f>
        <v>0</v>
      </c>
      <c r="J46" s="62" t="n">
        <f aca="false">IFERROR(G46*I46,"")</f>
        <v>0</v>
      </c>
    </row>
    <row r="47" customFormat="false" ht="18" hidden="false" customHeight="true" outlineLevel="0" collapsed="false">
      <c r="A47" s="17" t="n">
        <v>43</v>
      </c>
      <c r="B47" s="65" t="s">
        <v>96</v>
      </c>
      <c r="C47" s="60" t="n">
        <v>6.71</v>
      </c>
      <c r="D47" s="61" t="n">
        <f aca="false">IFERROR(SUMIFS('📥 원재료 입고'!$E$4:$E$400,'📥 원재료 입고'!$K$4:$K$400,$B$2,'📥 원재료 입고'!$B$4:$B$400,B47),0)</f>
        <v>0</v>
      </c>
      <c r="E47" s="62" t="n">
        <f aca="false">IFERROR(SUMIFS('📥 원재료 입고'!$E$4:$E$400,'📥 원재료 입고'!$K$4:$K$400,$B$2,'📥 원재료 입고'!$B$4:$B$400,B47,'📥 원재료 입고'!$D$4:$D$400,"자체구매"),0)</f>
        <v>0</v>
      </c>
      <c r="F47" s="63" t="n">
        <f aca="false">IFERROR(SUMIFS('📥 원재료 입고'!$E$4:$E$400,'📥 원재료 입고'!$K$4:$K$400,$B$2,'📥 원재료 입고'!$B$4:$B$400,B47,'📥 원재료 입고'!$D$4:$D$400,"위탁공급"),0)</f>
        <v>0</v>
      </c>
      <c r="G47" s="64" t="n">
        <f aca="false">IFERROR(SUMIF('📦 일일 생산 입력'!$CL$5:$CL$505,$B$2,'📦 일일 생산 입력'!$AW$5:$AW$505),0)</f>
        <v>6</v>
      </c>
      <c r="H47" s="63" t="n">
        <f aca="false">IFERROR(MAX(C47+D47-G47,0),"")</f>
        <v>0.71</v>
      </c>
      <c r="I47" s="66" t="n">
        <f aca="false">IFERROR('🏭 원료 마스터'!$C$46,"")</f>
        <v>0</v>
      </c>
      <c r="J47" s="62" t="n">
        <f aca="false">IFERROR(G47*I47,"")</f>
        <v>0</v>
      </c>
    </row>
    <row r="48" customFormat="false" ht="18" hidden="false" customHeight="true" outlineLevel="0" collapsed="false">
      <c r="A48" s="13" t="n">
        <v>44</v>
      </c>
      <c r="B48" s="18" t="s">
        <v>97</v>
      </c>
      <c r="C48" s="60" t="n">
        <v>0</v>
      </c>
      <c r="D48" s="61" t="n">
        <f aca="false">IFERROR(SUMIFS('📥 원재료 입고'!$E$4:$E$400,'📥 원재료 입고'!$K$4:$K$400,$B$2,'📥 원재료 입고'!$B$4:$B$400,B48),0)</f>
        <v>120</v>
      </c>
      <c r="E48" s="62" t="n">
        <f aca="false">IFERROR(SUMIFS('📥 원재료 입고'!$E$4:$E$400,'📥 원재료 입고'!$K$4:$K$400,$B$2,'📥 원재료 입고'!$B$4:$B$400,B48,'📥 원재료 입고'!$D$4:$D$400,"자체구매"),0)</f>
        <v>120</v>
      </c>
      <c r="F48" s="63" t="n">
        <f aca="false">IFERROR(SUMIFS('📥 원재료 입고'!$E$4:$E$400,'📥 원재료 입고'!$K$4:$K$400,$B$2,'📥 원재료 입고'!$B$4:$B$400,B48,'📥 원재료 입고'!$D$4:$D$400,"위탁공급"),0)</f>
        <v>0</v>
      </c>
      <c r="G48" s="64" t="n">
        <f aca="false">IFERROR(SUMIF('📦 일일 생산 입력'!$CL$5:$CL$505,$B$2,'📦 일일 생산 입력'!$AX$5:$AX$505),0)</f>
        <v>90</v>
      </c>
      <c r="H48" s="63" t="n">
        <f aca="false">IFERROR(MAX(C48+D48-G48,0),"")</f>
        <v>30</v>
      </c>
      <c r="I48" s="63" t="n">
        <f aca="false">IFERROR('🏭 원료 마스터'!$C$47,"")</f>
        <v>0</v>
      </c>
      <c r="J48" s="62" t="n">
        <f aca="false">IFERROR(G48*I48,"")</f>
        <v>0</v>
      </c>
    </row>
    <row r="49" customFormat="false" ht="18" hidden="false" customHeight="true" outlineLevel="0" collapsed="false">
      <c r="A49" s="17" t="n">
        <v>45</v>
      </c>
      <c r="B49" s="65" t="s">
        <v>98</v>
      </c>
      <c r="C49" s="60" t="n">
        <v>15.87</v>
      </c>
      <c r="D49" s="61" t="n">
        <f aca="false">IFERROR(SUMIFS('📥 원재료 입고'!$E$4:$E$400,'📥 원재료 입고'!$K$4:$K$400,$B$2,'📥 원재료 입고'!$B$4:$B$400,B49),0)</f>
        <v>0</v>
      </c>
      <c r="E49" s="62" t="n">
        <f aca="false">IFERROR(SUMIFS('📥 원재료 입고'!$E$4:$E$400,'📥 원재료 입고'!$K$4:$K$400,$B$2,'📥 원재료 입고'!$B$4:$B$400,B49,'📥 원재료 입고'!$D$4:$D$400,"자체구매"),0)</f>
        <v>0</v>
      </c>
      <c r="F49" s="63" t="n">
        <f aca="false">IFERROR(SUMIFS('📥 원재료 입고'!$E$4:$E$400,'📥 원재료 입고'!$K$4:$K$400,$B$2,'📥 원재료 입고'!$B$4:$B$400,B49,'📥 원재료 입고'!$D$4:$D$400,"위탁공급"),0)</f>
        <v>0</v>
      </c>
      <c r="G49" s="64" t="n">
        <f aca="false">IFERROR(SUMIF('📦 일일 생산 입력'!$CL$5:$CL$505,$B$2,'📦 일일 생산 입력'!$AY$5:$AY$505),0)</f>
        <v>16</v>
      </c>
      <c r="H49" s="63" t="n">
        <f aca="false">IFERROR(MAX(C49+D49-G49,0),"")</f>
        <v>0</v>
      </c>
      <c r="I49" s="66" t="n">
        <f aca="false">IFERROR('🏭 원료 마스터'!$C$48,"")</f>
        <v>0</v>
      </c>
      <c r="J49" s="62" t="n">
        <f aca="false">IFERROR(G49*I49,"")</f>
        <v>0</v>
      </c>
    </row>
    <row r="50" customFormat="false" ht="18" hidden="false" customHeight="true" outlineLevel="0" collapsed="false">
      <c r="A50" s="13" t="n">
        <v>46</v>
      </c>
      <c r="B50" s="18" t="s">
        <v>99</v>
      </c>
      <c r="C50" s="60" t="n">
        <v>358.04</v>
      </c>
      <c r="D50" s="61" t="n">
        <f aca="false">IFERROR(SUMIFS('📥 원재료 입고'!$E$4:$E$400,'📥 원재료 입고'!$K$4:$K$400,$B$2,'📥 원재료 입고'!$B$4:$B$400,B50),0)</f>
        <v>2820</v>
      </c>
      <c r="E50" s="62" t="n">
        <f aca="false">IFERROR(SUMIFS('📥 원재료 입고'!$E$4:$E$400,'📥 원재료 입고'!$K$4:$K$400,$B$2,'📥 원재료 입고'!$B$4:$B$400,B50,'📥 원재료 입고'!$D$4:$D$400,"자체구매"),0)</f>
        <v>300</v>
      </c>
      <c r="F50" s="63" t="n">
        <f aca="false">IFERROR(SUMIFS('📥 원재료 입고'!$E$4:$E$400,'📥 원재료 입고'!$K$4:$K$400,$B$2,'📥 원재료 입고'!$B$4:$B$400,B50,'📥 원재료 입고'!$D$4:$D$400,"위탁공급"),0)</f>
        <v>2520</v>
      </c>
      <c r="G50" s="64" t="n">
        <f aca="false">IFERROR(SUMIF('📦 일일 생산 입력'!$CL$5:$CL$505,$B$2,'📦 일일 생산 입력'!$AZ$5:$AZ$505),0)</f>
        <v>1074</v>
      </c>
      <c r="H50" s="63" t="n">
        <f aca="false">IFERROR(MAX(C50+D50-G50,0),"")</f>
        <v>2104.04</v>
      </c>
      <c r="I50" s="63" t="n">
        <f aca="false">IFERROR('🏭 원료 마스터'!$C$49,"")</f>
        <v>0</v>
      </c>
      <c r="J50" s="62" t="n">
        <f aca="false">IFERROR(G50*I50,"")</f>
        <v>0</v>
      </c>
    </row>
    <row r="51" customFormat="false" ht="18" hidden="false" customHeight="true" outlineLevel="0" collapsed="false">
      <c r="A51" s="17" t="n">
        <v>47</v>
      </c>
      <c r="B51" s="65" t="s">
        <v>100</v>
      </c>
      <c r="C51" s="60" t="n">
        <v>13.18</v>
      </c>
      <c r="D51" s="61" t="n">
        <f aca="false">IFERROR(SUMIFS('📥 원재료 입고'!$E$4:$E$400,'📥 원재료 입고'!$K$4:$K$400,$B$2,'📥 원재료 입고'!$B$4:$B$400,B51),0)</f>
        <v>0</v>
      </c>
      <c r="E51" s="62" t="n">
        <f aca="false">IFERROR(SUMIFS('📥 원재료 입고'!$E$4:$E$400,'📥 원재료 입고'!$K$4:$K$400,$B$2,'📥 원재료 입고'!$B$4:$B$400,B51,'📥 원재료 입고'!$D$4:$D$400,"자체구매"),0)</f>
        <v>0</v>
      </c>
      <c r="F51" s="63" t="n">
        <f aca="false">IFERROR(SUMIFS('📥 원재료 입고'!$E$4:$E$400,'📥 원재료 입고'!$K$4:$K$400,$B$2,'📥 원재료 입고'!$B$4:$B$400,B51,'📥 원재료 입고'!$D$4:$D$400,"위탁공급"),0)</f>
        <v>0</v>
      </c>
      <c r="G51" s="64" t="n">
        <f aca="false">IFERROR(SUMIF('📦 일일 생산 입력'!$CL$5:$CL$505,$B$2,'📦 일일 생산 입력'!$BA$5:$BA$505),0)</f>
        <v>8</v>
      </c>
      <c r="H51" s="63" t="n">
        <f aca="false">IFERROR(MAX(C51+D51-G51,0),"")</f>
        <v>5.18</v>
      </c>
      <c r="I51" s="66" t="n">
        <f aca="false">IFERROR('🏭 원료 마스터'!$C$50,"")</f>
        <v>0</v>
      </c>
      <c r="J51" s="62" t="n">
        <f aca="false">IFERROR(G51*I51,"")</f>
        <v>0</v>
      </c>
    </row>
    <row r="52" customFormat="false" ht="18" hidden="false" customHeight="true" outlineLevel="0" collapsed="false">
      <c r="A52" s="13" t="n">
        <v>48</v>
      </c>
      <c r="B52" s="18" t="s">
        <v>101</v>
      </c>
      <c r="C52" s="60" t="n">
        <v>0</v>
      </c>
      <c r="D52" s="61" t="n">
        <f aca="false">IFERROR(SUMIFS('📥 원재료 입고'!$E$4:$E$400,'📥 원재료 입고'!$K$4:$K$400,$B$2,'📥 원재료 입고'!$B$4:$B$400,B52),0)</f>
        <v>0</v>
      </c>
      <c r="E52" s="62" t="n">
        <f aca="false">IFERROR(SUMIFS('📥 원재료 입고'!$E$4:$E$400,'📥 원재료 입고'!$K$4:$K$400,$B$2,'📥 원재료 입고'!$B$4:$B$400,B52,'📥 원재료 입고'!$D$4:$D$400,"자체구매"),0)</f>
        <v>0</v>
      </c>
      <c r="F52" s="63" t="n">
        <f aca="false">IFERROR(SUMIFS('📥 원재료 입고'!$E$4:$E$400,'📥 원재료 입고'!$K$4:$K$400,$B$2,'📥 원재료 입고'!$B$4:$B$400,B52,'📥 원재료 입고'!$D$4:$D$400,"위탁공급"),0)</f>
        <v>0</v>
      </c>
      <c r="G52" s="64" t="n">
        <f aca="false">IFERROR(SUMIF('📦 일일 생산 입력'!$CL$5:$CL$505,$B$2,'📦 일일 생산 입력'!$BB$5:$BB$505),0)</f>
        <v>0</v>
      </c>
      <c r="H52" s="63" t="n">
        <f aca="false">IFERROR(MAX(C52+D52-G52,0),"")</f>
        <v>0</v>
      </c>
      <c r="I52" s="63" t="n">
        <f aca="false">IFERROR('🏭 원료 마스터'!$C$51,"")</f>
        <v>0</v>
      </c>
      <c r="J52" s="62" t="n">
        <f aca="false">IFERROR(G52*I52,"")</f>
        <v>0</v>
      </c>
    </row>
    <row r="53" customFormat="false" ht="18" hidden="false" customHeight="true" outlineLevel="0" collapsed="false">
      <c r="A53" s="17" t="n">
        <v>49</v>
      </c>
      <c r="B53" s="65" t="s">
        <v>102</v>
      </c>
      <c r="C53" s="60" t="n">
        <v>0</v>
      </c>
      <c r="D53" s="61" t="n">
        <f aca="false">IFERROR(SUMIFS('📥 원재료 입고'!$E$4:$E$400,'📥 원재료 입고'!$K$4:$K$400,$B$2,'📥 원재료 입고'!$B$4:$B$400,B53),0)</f>
        <v>0</v>
      </c>
      <c r="E53" s="62" t="n">
        <f aca="false">IFERROR(SUMIFS('📥 원재료 입고'!$E$4:$E$400,'📥 원재료 입고'!$K$4:$K$400,$B$2,'📥 원재료 입고'!$B$4:$B$400,B53,'📥 원재료 입고'!$D$4:$D$400,"자체구매"),0)</f>
        <v>0</v>
      </c>
      <c r="F53" s="63" t="n">
        <f aca="false">IFERROR(SUMIFS('📥 원재료 입고'!$E$4:$E$400,'📥 원재료 입고'!$K$4:$K$400,$B$2,'📥 원재료 입고'!$B$4:$B$400,B53,'📥 원재료 입고'!$D$4:$D$400,"위탁공급"),0)</f>
        <v>0</v>
      </c>
      <c r="G53" s="64" t="n">
        <f aca="false">IFERROR(SUMIF('📦 일일 생산 입력'!$CL$5:$CL$505,$B$2,'📦 일일 생산 입력'!$BC$5:$BC$505),0)</f>
        <v>0</v>
      </c>
      <c r="H53" s="63" t="n">
        <f aca="false">IFERROR(MAX(C53+D53-G53,0),"")</f>
        <v>0</v>
      </c>
      <c r="I53" s="66" t="n">
        <f aca="false">IFERROR('🏭 원료 마스터'!$C$52,"")</f>
        <v>0</v>
      </c>
      <c r="J53" s="62" t="n">
        <f aca="false">IFERROR(G53*I53,"")</f>
        <v>0</v>
      </c>
    </row>
    <row r="54" customFormat="false" ht="18" hidden="false" customHeight="true" outlineLevel="0" collapsed="false">
      <c r="A54" s="13" t="n">
        <v>50</v>
      </c>
      <c r="B54" s="18" t="s">
        <v>103</v>
      </c>
      <c r="C54" s="60" t="n">
        <v>0</v>
      </c>
      <c r="D54" s="61" t="n">
        <f aca="false">IFERROR(SUMIFS('📥 원재료 입고'!$E$4:$E$400,'📥 원재료 입고'!$K$4:$K$400,$B$2,'📥 원재료 입고'!$B$4:$B$400,B54),0)</f>
        <v>0</v>
      </c>
      <c r="E54" s="62" t="n">
        <f aca="false">IFERROR(SUMIFS('📥 원재료 입고'!$E$4:$E$400,'📥 원재료 입고'!$K$4:$K$400,$B$2,'📥 원재료 입고'!$B$4:$B$400,B54,'📥 원재료 입고'!$D$4:$D$400,"자체구매"),0)</f>
        <v>0</v>
      </c>
      <c r="F54" s="63" t="n">
        <f aca="false">IFERROR(SUMIFS('📥 원재료 입고'!$E$4:$E$400,'📥 원재료 입고'!$K$4:$K$400,$B$2,'📥 원재료 입고'!$B$4:$B$400,B54,'📥 원재료 입고'!$D$4:$D$400,"위탁공급"),0)</f>
        <v>0</v>
      </c>
      <c r="G54" s="64" t="n">
        <f aca="false">IFERROR(SUMIF('📦 일일 생산 입력'!$CL$5:$CL$505,$B$2,'📦 일일 생산 입력'!$BD$5:$BD$505),0)</f>
        <v>0</v>
      </c>
      <c r="H54" s="63" t="n">
        <f aca="false">IFERROR(MAX(C54+D54-G54,0),"")</f>
        <v>0</v>
      </c>
      <c r="I54" s="63" t="n">
        <f aca="false">IFERROR('🏭 원료 마스터'!$C$53,"")</f>
        <v>0</v>
      </c>
      <c r="J54" s="62" t="n">
        <f aca="false">IFERROR(G54*I54,"")</f>
        <v>0</v>
      </c>
    </row>
    <row r="55" customFormat="false" ht="18" hidden="false" customHeight="true" outlineLevel="0" collapsed="false">
      <c r="A55" s="17" t="n">
        <v>51</v>
      </c>
      <c r="B55" s="65" t="s">
        <v>104</v>
      </c>
      <c r="C55" s="60" t="n">
        <v>7.02</v>
      </c>
      <c r="D55" s="61" t="n">
        <f aca="false">IFERROR(SUMIFS('📥 원재료 입고'!$E$4:$E$400,'📥 원재료 입고'!$K$4:$K$400,$B$2,'📥 원재료 입고'!$B$4:$B$400,B55),0)</f>
        <v>8</v>
      </c>
      <c r="E55" s="62" t="n">
        <f aca="false">IFERROR(SUMIFS('📥 원재료 입고'!$E$4:$E$400,'📥 원재료 입고'!$K$4:$K$400,$B$2,'📥 원재료 입고'!$B$4:$B$400,B55,'📥 원재료 입고'!$D$4:$D$400,"자체구매"),0)</f>
        <v>8</v>
      </c>
      <c r="F55" s="63" t="n">
        <f aca="false">IFERROR(SUMIFS('📥 원재료 입고'!$E$4:$E$400,'📥 원재료 입고'!$K$4:$K$400,$B$2,'📥 원재료 입고'!$B$4:$B$400,B55,'📥 원재료 입고'!$D$4:$D$400,"위탁공급"),0)</f>
        <v>0</v>
      </c>
      <c r="G55" s="64" t="n">
        <f aca="false">IFERROR(SUMIF('📦 일일 생산 입력'!$CL$5:$CL$505,$B$2,'📦 일일 생산 입력'!$BE$5:$BE$505),0)</f>
        <v>8</v>
      </c>
      <c r="H55" s="63" t="n">
        <f aca="false">IFERROR(MAX(C55+D55-G55,0),"")</f>
        <v>7.02</v>
      </c>
      <c r="I55" s="66" t="n">
        <f aca="false">IFERROR('🏭 원료 마스터'!$C$54,"")</f>
        <v>0</v>
      </c>
      <c r="J55" s="62" t="n">
        <f aca="false">IFERROR(G55*I55,"")</f>
        <v>0</v>
      </c>
    </row>
    <row r="56" customFormat="false" ht="18" hidden="false" customHeight="true" outlineLevel="0" collapsed="false">
      <c r="A56" s="13" t="n">
        <v>52</v>
      </c>
      <c r="B56" s="18" t="s">
        <v>105</v>
      </c>
      <c r="C56" s="60" t="n">
        <v>11.15</v>
      </c>
      <c r="D56" s="61" t="n">
        <f aca="false">IFERROR(SUMIFS('📥 원재료 입고'!$E$4:$E$400,'📥 원재료 입고'!$K$4:$K$400,$B$2,'📥 원재료 입고'!$B$4:$B$400,B56),0)</f>
        <v>0</v>
      </c>
      <c r="E56" s="62" t="n">
        <f aca="false">IFERROR(SUMIFS('📥 원재료 입고'!$E$4:$E$400,'📥 원재료 입고'!$K$4:$K$400,$B$2,'📥 원재료 입고'!$B$4:$B$400,B56,'📥 원재료 입고'!$D$4:$D$400,"자체구매"),0)</f>
        <v>0</v>
      </c>
      <c r="F56" s="63" t="n">
        <f aca="false">IFERROR(SUMIFS('📥 원재료 입고'!$E$4:$E$400,'📥 원재료 입고'!$K$4:$K$400,$B$2,'📥 원재료 입고'!$B$4:$B$400,B56,'📥 원재료 입고'!$D$4:$D$400,"위탁공급"),0)</f>
        <v>0</v>
      </c>
      <c r="G56" s="64" t="n">
        <f aca="false">IFERROR(SUMIF('📦 일일 생산 입력'!$CL$5:$CL$505,$B$2,'📦 일일 생산 입력'!$BF$5:$BF$505),0)</f>
        <v>2</v>
      </c>
      <c r="H56" s="63" t="n">
        <f aca="false">IFERROR(MAX(C56+D56-G56,0),"")</f>
        <v>9.15</v>
      </c>
      <c r="I56" s="63" t="n">
        <f aca="false">IFERROR('🏭 원료 마스터'!$C$55,"")</f>
        <v>0</v>
      </c>
      <c r="J56" s="62" t="n">
        <f aca="false">IFERROR(G56*I56,"")</f>
        <v>0</v>
      </c>
    </row>
    <row r="57" customFormat="false" ht="18" hidden="false" customHeight="true" outlineLevel="0" collapsed="false">
      <c r="A57" s="17" t="n">
        <v>53</v>
      </c>
      <c r="B57" s="65" t="s">
        <v>106</v>
      </c>
      <c r="C57" s="60" t="n">
        <v>0</v>
      </c>
      <c r="D57" s="61" t="n">
        <f aca="false">IFERROR(SUMIFS('📥 원재료 입고'!$E$4:$E$400,'📥 원재료 입고'!$K$4:$K$400,$B$2,'📥 원재료 입고'!$B$4:$B$400,B57),0)</f>
        <v>0</v>
      </c>
      <c r="E57" s="62" t="n">
        <f aca="false">IFERROR(SUMIFS('📥 원재료 입고'!$E$4:$E$400,'📥 원재료 입고'!$K$4:$K$400,$B$2,'📥 원재료 입고'!$B$4:$B$400,B57,'📥 원재료 입고'!$D$4:$D$400,"자체구매"),0)</f>
        <v>0</v>
      </c>
      <c r="F57" s="63" t="n">
        <f aca="false">IFERROR(SUMIFS('📥 원재료 입고'!$E$4:$E$400,'📥 원재료 입고'!$K$4:$K$400,$B$2,'📥 원재료 입고'!$B$4:$B$400,B57,'📥 원재료 입고'!$D$4:$D$400,"위탁공급"),0)</f>
        <v>0</v>
      </c>
      <c r="G57" s="64" t="n">
        <f aca="false">IFERROR(SUMIF('📦 일일 생산 입력'!$CL$5:$CL$505,$B$2,'📦 일일 생산 입력'!$BG$5:$BG$505),0)</f>
        <v>0</v>
      </c>
      <c r="H57" s="63" t="n">
        <f aca="false">IFERROR(MAX(C57+D57-G57,0),"")</f>
        <v>0</v>
      </c>
      <c r="I57" s="66" t="n">
        <f aca="false">IFERROR('🏭 원료 마스터'!$C$56,"")</f>
        <v>0</v>
      </c>
      <c r="J57" s="62" t="n">
        <f aca="false">IFERROR(G57*I57,"")</f>
        <v>0</v>
      </c>
    </row>
    <row r="58" customFormat="false" ht="18" hidden="false" customHeight="true" outlineLevel="0" collapsed="false">
      <c r="A58" s="13" t="n">
        <v>54</v>
      </c>
      <c r="B58" s="18" t="s">
        <v>107</v>
      </c>
      <c r="C58" s="60" t="n">
        <v>8.66</v>
      </c>
      <c r="D58" s="61" t="n">
        <f aca="false">IFERROR(SUMIFS('📥 원재료 입고'!$E$4:$E$400,'📥 원재료 입고'!$K$4:$K$400,$B$2,'📥 원재료 입고'!$B$4:$B$400,B58),0)</f>
        <v>0.5</v>
      </c>
      <c r="E58" s="62" t="n">
        <f aca="false">IFERROR(SUMIFS('📥 원재료 입고'!$E$4:$E$400,'📥 원재료 입고'!$K$4:$K$400,$B$2,'📥 원재료 입고'!$B$4:$B$400,B58,'📥 원재료 입고'!$D$4:$D$400,"자체구매"),0)</f>
        <v>0.5</v>
      </c>
      <c r="F58" s="63" t="n">
        <f aca="false">IFERROR(SUMIFS('📥 원재료 입고'!$E$4:$E$400,'📥 원재료 입고'!$K$4:$K$400,$B$2,'📥 원재료 입고'!$B$4:$B$400,B58,'📥 원재료 입고'!$D$4:$D$400,"위탁공급"),0)</f>
        <v>0</v>
      </c>
      <c r="G58" s="64" t="n">
        <f aca="false">IFERROR(SUMIF('📦 일일 생산 입력'!$CL$5:$CL$505,$B$2,'📦 일일 생산 입력'!$BH$5:$BH$505),0)</f>
        <v>6</v>
      </c>
      <c r="H58" s="63" t="n">
        <f aca="false">IFERROR(MAX(C58+D58-G58,0),"")</f>
        <v>3.16</v>
      </c>
      <c r="I58" s="63" t="n">
        <f aca="false">IFERROR('🏭 원료 마스터'!$C$57,"")</f>
        <v>0</v>
      </c>
      <c r="J58" s="62" t="n">
        <f aca="false">IFERROR(G58*I58,"")</f>
        <v>0</v>
      </c>
    </row>
    <row r="59" customFormat="false" ht="18" hidden="false" customHeight="true" outlineLevel="0" collapsed="false">
      <c r="A59" s="17" t="n">
        <v>55</v>
      </c>
      <c r="B59" s="65" t="s">
        <v>108</v>
      </c>
      <c r="C59" s="60" t="n">
        <v>0</v>
      </c>
      <c r="D59" s="61" t="n">
        <f aca="false">IFERROR(SUMIFS('📥 원재료 입고'!$E$4:$E$400,'📥 원재료 입고'!$K$4:$K$400,$B$2,'📥 원재료 입고'!$B$4:$B$400,B59),0)</f>
        <v>660</v>
      </c>
      <c r="E59" s="62" t="n">
        <f aca="false">IFERROR(SUMIFS('📥 원재료 입고'!$E$4:$E$400,'📥 원재료 입고'!$K$4:$K$400,$B$2,'📥 원재료 입고'!$B$4:$B$400,B59,'📥 원재료 입고'!$D$4:$D$400,"자체구매"),0)</f>
        <v>160</v>
      </c>
      <c r="F59" s="63" t="n">
        <f aca="false">IFERROR(SUMIFS('📥 원재료 입고'!$E$4:$E$400,'📥 원재료 입고'!$K$4:$K$400,$B$2,'📥 원재료 입고'!$B$4:$B$400,B59,'📥 원재료 입고'!$D$4:$D$400,"위탁공급"),0)</f>
        <v>500</v>
      </c>
      <c r="G59" s="64" t="n">
        <f aca="false">IFERROR(SUMIF('📦 일일 생산 입력'!$CL$5:$CL$505,$B$2,'📦 일일 생산 입력'!$BI$5:$BI$505),0)</f>
        <v>28</v>
      </c>
      <c r="H59" s="63" t="n">
        <f aca="false">IFERROR(MAX(C59+D59-G59,0),"")</f>
        <v>632</v>
      </c>
      <c r="I59" s="66" t="n">
        <f aca="false">IFERROR('🏭 원료 마스터'!$C$58,"")</f>
        <v>0</v>
      </c>
      <c r="J59" s="62" t="n">
        <f aca="false">IFERROR(G59*I59,"")</f>
        <v>0</v>
      </c>
    </row>
    <row r="60" customFormat="false" ht="18" hidden="false" customHeight="true" outlineLevel="0" collapsed="false">
      <c r="A60" s="13" t="n">
        <v>56</v>
      </c>
      <c r="B60" s="18" t="s">
        <v>109</v>
      </c>
      <c r="C60" s="60" t="n">
        <v>4.24</v>
      </c>
      <c r="D60" s="61" t="n">
        <f aca="false">IFERROR(SUMIFS('📥 원재료 입고'!$E$4:$E$400,'📥 원재료 입고'!$K$4:$K$400,$B$2,'📥 원재료 입고'!$B$4:$B$400,B60),0)</f>
        <v>0</v>
      </c>
      <c r="E60" s="62" t="n">
        <f aca="false">IFERROR(SUMIFS('📥 원재료 입고'!$E$4:$E$400,'📥 원재료 입고'!$K$4:$K$400,$B$2,'📥 원재료 입고'!$B$4:$B$400,B60,'📥 원재료 입고'!$D$4:$D$400,"자체구매"),0)</f>
        <v>0</v>
      </c>
      <c r="F60" s="63" t="n">
        <f aca="false">IFERROR(SUMIFS('📥 원재료 입고'!$E$4:$E$400,'📥 원재료 입고'!$K$4:$K$400,$B$2,'📥 원재료 입고'!$B$4:$B$400,B60,'📥 원재료 입고'!$D$4:$D$400,"위탁공급"),0)</f>
        <v>0</v>
      </c>
      <c r="G60" s="64" t="n">
        <f aca="false">IFERROR(SUMIF('📦 일일 생산 입력'!$CL$5:$CL$505,$B$2,'📦 일일 생산 입력'!$BJ$5:$BJ$505),0)</f>
        <v>1</v>
      </c>
      <c r="H60" s="63" t="n">
        <f aca="false">IFERROR(MAX(C60+D60-G60,0),"")</f>
        <v>3.24</v>
      </c>
      <c r="I60" s="63" t="n">
        <f aca="false">IFERROR('🏭 원료 마스터'!$C$59,"")</f>
        <v>0</v>
      </c>
      <c r="J60" s="62" t="n">
        <f aca="false">IFERROR(G60*I60,"")</f>
        <v>0</v>
      </c>
    </row>
    <row r="61" customFormat="false" ht="18" hidden="false" customHeight="true" outlineLevel="0" collapsed="false">
      <c r="A61" s="17" t="n">
        <v>57</v>
      </c>
      <c r="B61" s="65" t="s">
        <v>110</v>
      </c>
      <c r="C61" s="60" t="n">
        <v>0</v>
      </c>
      <c r="D61" s="61" t="n">
        <f aca="false">IFERROR(SUMIFS('📥 원재료 입고'!$E$4:$E$400,'📥 원재료 입고'!$K$4:$K$400,$B$2,'📥 원재료 입고'!$B$4:$B$400,B61),0)</f>
        <v>0</v>
      </c>
      <c r="E61" s="62" t="n">
        <f aca="false">IFERROR(SUMIFS('📥 원재료 입고'!$E$4:$E$400,'📥 원재료 입고'!$K$4:$K$400,$B$2,'📥 원재료 입고'!$B$4:$B$400,B61,'📥 원재료 입고'!$D$4:$D$400,"자체구매"),0)</f>
        <v>0</v>
      </c>
      <c r="F61" s="63" t="n">
        <f aca="false">IFERROR(SUMIFS('📥 원재료 입고'!$E$4:$E$400,'📥 원재료 입고'!$K$4:$K$400,$B$2,'📥 원재료 입고'!$B$4:$B$400,B61,'📥 원재료 입고'!$D$4:$D$400,"위탁공급"),0)</f>
        <v>0</v>
      </c>
      <c r="G61" s="64" t="n">
        <f aca="false">IFERROR(SUMIF('📦 일일 생산 입력'!$CL$5:$CL$505,$B$2,'📦 일일 생산 입력'!$BK$5:$BK$505),0)</f>
        <v>0</v>
      </c>
      <c r="H61" s="63" t="n">
        <f aca="false">IFERROR(MAX(C61+D61-G61,0),"")</f>
        <v>0</v>
      </c>
      <c r="I61" s="66" t="n">
        <f aca="false">IFERROR('🏭 원료 마스터'!$C$60,"")</f>
        <v>0</v>
      </c>
      <c r="J61" s="62" t="n">
        <f aca="false">IFERROR(G61*I61,"")</f>
        <v>0</v>
      </c>
    </row>
    <row r="62" customFormat="false" ht="18" hidden="false" customHeight="true" outlineLevel="0" collapsed="false">
      <c r="A62" s="13" t="n">
        <v>58</v>
      </c>
      <c r="B62" s="18" t="s">
        <v>111</v>
      </c>
      <c r="C62" s="60" t="n">
        <v>0</v>
      </c>
      <c r="D62" s="61" t="n">
        <f aca="false">IFERROR(SUMIFS('📥 원재료 입고'!$E$4:$E$400,'📥 원재료 입고'!$K$4:$K$400,$B$2,'📥 원재료 입고'!$B$4:$B$400,B62),0)</f>
        <v>2</v>
      </c>
      <c r="E62" s="62" t="n">
        <f aca="false">IFERROR(SUMIFS('📥 원재료 입고'!$E$4:$E$400,'📥 원재료 입고'!$K$4:$K$400,$B$2,'📥 원재료 입고'!$B$4:$B$400,B62,'📥 원재료 입고'!$D$4:$D$400,"자체구매"),0)</f>
        <v>2</v>
      </c>
      <c r="F62" s="63" t="n">
        <f aca="false">IFERROR(SUMIFS('📥 원재료 입고'!$E$4:$E$400,'📥 원재료 입고'!$K$4:$K$400,$B$2,'📥 원재료 입고'!$B$4:$B$400,B62,'📥 원재료 입고'!$D$4:$D$400,"위탁공급"),0)</f>
        <v>0</v>
      </c>
      <c r="G62" s="64" t="n">
        <f aca="false">IFERROR(SUMIF('📦 일일 생산 입력'!$CL$5:$CL$505,$B$2,'📦 일일 생산 입력'!$BL$5:$BL$505),0)</f>
        <v>0</v>
      </c>
      <c r="H62" s="63" t="n">
        <f aca="false">IFERROR(MAX(C62+D62-G62,0),"")</f>
        <v>2</v>
      </c>
      <c r="I62" s="63" t="n">
        <f aca="false">IFERROR('🏭 원료 마스터'!$C$61,"")</f>
        <v>0</v>
      </c>
      <c r="J62" s="62" t="n">
        <f aca="false">IFERROR(G62*I62,"")</f>
        <v>0</v>
      </c>
    </row>
    <row r="63" customFormat="false" ht="18" hidden="false" customHeight="true" outlineLevel="0" collapsed="false">
      <c r="A63" s="17" t="n">
        <v>59</v>
      </c>
      <c r="B63" s="65" t="s">
        <v>112</v>
      </c>
      <c r="C63" s="60" t="n">
        <v>5.17</v>
      </c>
      <c r="D63" s="61" t="n">
        <f aca="false">IFERROR(SUMIFS('📥 원재료 입고'!$E$4:$E$400,'📥 원재료 입고'!$K$4:$K$400,$B$2,'📥 원재료 입고'!$B$4:$B$400,B63),0)</f>
        <v>0</v>
      </c>
      <c r="E63" s="62" t="n">
        <f aca="false">IFERROR(SUMIFS('📥 원재료 입고'!$E$4:$E$400,'📥 원재료 입고'!$K$4:$K$400,$B$2,'📥 원재료 입고'!$B$4:$B$400,B63,'📥 원재료 입고'!$D$4:$D$400,"자체구매"),0)</f>
        <v>0</v>
      </c>
      <c r="F63" s="63" t="n">
        <f aca="false">IFERROR(SUMIFS('📥 원재료 입고'!$E$4:$E$400,'📥 원재료 입고'!$K$4:$K$400,$B$2,'📥 원재료 입고'!$B$4:$B$400,B63,'📥 원재료 입고'!$D$4:$D$400,"위탁공급"),0)</f>
        <v>0</v>
      </c>
      <c r="G63" s="64" t="n">
        <f aca="false">IFERROR(SUMIF('📦 일일 생산 입력'!$CL$5:$CL$505,$B$2,'📦 일일 생산 입력'!$BM$5:$BM$505),0)</f>
        <v>5</v>
      </c>
      <c r="H63" s="63" t="n">
        <f aca="false">IFERROR(MAX(C63+D63-G63,0),"")</f>
        <v>0.17</v>
      </c>
      <c r="I63" s="66" t="n">
        <f aca="false">IFERROR('🏭 원료 마스터'!$C$62,"")</f>
        <v>0</v>
      </c>
      <c r="J63" s="62" t="n">
        <f aca="false">IFERROR(G63*I63,"")</f>
        <v>0</v>
      </c>
    </row>
    <row r="64" customFormat="false" ht="18" hidden="false" customHeight="true" outlineLevel="0" collapsed="false">
      <c r="A64" s="13" t="n">
        <v>60</v>
      </c>
      <c r="B64" s="18" t="s">
        <v>113</v>
      </c>
      <c r="C64" s="60" t="n">
        <v>1158.49</v>
      </c>
      <c r="D64" s="61" t="n">
        <f aca="false">IFERROR(SUMIFS('📥 원재료 입고'!$E$4:$E$400,'📥 원재료 입고'!$K$4:$K$400,$B$2,'📥 원재료 입고'!$B$4:$B$400,B64),0)</f>
        <v>0</v>
      </c>
      <c r="E64" s="62" t="n">
        <f aca="false">IFERROR(SUMIFS('📥 원재료 입고'!$E$4:$E$400,'📥 원재료 입고'!$K$4:$K$400,$B$2,'📥 원재료 입고'!$B$4:$B$400,B64,'📥 원재료 입고'!$D$4:$D$400,"자체구매"),0)</f>
        <v>0</v>
      </c>
      <c r="F64" s="63" t="n">
        <f aca="false">IFERROR(SUMIFS('📥 원재료 입고'!$E$4:$E$400,'📥 원재료 입고'!$K$4:$K$400,$B$2,'📥 원재료 입고'!$B$4:$B$400,B64,'📥 원재료 입고'!$D$4:$D$400,"위탁공급"),0)</f>
        <v>0</v>
      </c>
      <c r="G64" s="64" t="n">
        <f aca="false">IFERROR(SUMIF('📦 일일 생산 입력'!$CL$5:$CL$505,$B$2,'📦 일일 생산 입력'!$BN$5:$BN$505),0)</f>
        <v>575</v>
      </c>
      <c r="H64" s="63" t="n">
        <f aca="false">IFERROR(MAX(C64+D64-G64,0),"")</f>
        <v>583.49</v>
      </c>
      <c r="I64" s="63" t="n">
        <f aca="false">IFERROR('🏭 원료 마스터'!$C$63,"")</f>
        <v>0</v>
      </c>
      <c r="J64" s="62" t="n">
        <f aca="false">IFERROR(G64*I64,"")</f>
        <v>0</v>
      </c>
    </row>
    <row r="65" customFormat="false" ht="18" hidden="false" customHeight="true" outlineLevel="0" collapsed="false">
      <c r="A65" s="17" t="n">
        <v>61</v>
      </c>
      <c r="B65" s="65" t="s">
        <v>114</v>
      </c>
      <c r="C65" s="60" t="n">
        <v>2.49</v>
      </c>
      <c r="D65" s="61" t="n">
        <f aca="false">IFERROR(SUMIFS('📥 원재료 입고'!$E$4:$E$400,'📥 원재료 입고'!$K$4:$K$400,$B$2,'📥 원재료 입고'!$B$4:$B$400,B65),0)</f>
        <v>0</v>
      </c>
      <c r="E65" s="62" t="n">
        <f aca="false">IFERROR(SUMIFS('📥 원재료 입고'!$E$4:$E$400,'📥 원재료 입고'!$K$4:$K$400,$B$2,'📥 원재료 입고'!$B$4:$B$400,B65,'📥 원재료 입고'!$D$4:$D$400,"자체구매"),0)</f>
        <v>0</v>
      </c>
      <c r="F65" s="63" t="n">
        <f aca="false">IFERROR(SUMIFS('📥 원재료 입고'!$E$4:$E$400,'📥 원재료 입고'!$K$4:$K$400,$B$2,'📥 원재료 입고'!$B$4:$B$400,B65,'📥 원재료 입고'!$D$4:$D$400,"위탁공급"),0)</f>
        <v>0</v>
      </c>
      <c r="G65" s="64" t="n">
        <f aca="false">IFERROR(SUMIF('📦 일일 생산 입력'!$CL$5:$CL$505,$B$2,'📦 일일 생산 입력'!$BO$5:$BO$505),0)</f>
        <v>6</v>
      </c>
      <c r="H65" s="63" t="n">
        <f aca="false">IFERROR(MAX(C65+D65-G65,0),"")</f>
        <v>0</v>
      </c>
      <c r="I65" s="66" t="n">
        <f aca="false">IFERROR('🏭 원료 마스터'!$C$64,"")</f>
        <v>0</v>
      </c>
      <c r="J65" s="62" t="n">
        <f aca="false">IFERROR(G65*I65,"")</f>
        <v>0</v>
      </c>
    </row>
    <row r="66" customFormat="false" ht="18" hidden="false" customHeight="true" outlineLevel="0" collapsed="false">
      <c r="A66" s="13" t="n">
        <v>62</v>
      </c>
      <c r="B66" s="18" t="s">
        <v>115</v>
      </c>
      <c r="C66" s="60" t="n">
        <v>0</v>
      </c>
      <c r="D66" s="61" t="n">
        <f aca="false">IFERROR(SUMIFS('📥 원재료 입고'!$E$4:$E$400,'📥 원재료 입고'!$K$4:$K$400,$B$2,'📥 원재료 입고'!$B$4:$B$400,B66),0)</f>
        <v>460</v>
      </c>
      <c r="E66" s="62" t="n">
        <f aca="false">IFERROR(SUMIFS('📥 원재료 입고'!$E$4:$E$400,'📥 원재료 입고'!$K$4:$K$400,$B$2,'📥 원재료 입고'!$B$4:$B$400,B66,'📥 원재료 입고'!$D$4:$D$400,"자체구매"),0)</f>
        <v>460</v>
      </c>
      <c r="F66" s="63" t="n">
        <f aca="false">IFERROR(SUMIFS('📥 원재료 입고'!$E$4:$E$400,'📥 원재료 입고'!$K$4:$K$400,$B$2,'📥 원재료 입고'!$B$4:$B$400,B66,'📥 원재료 입고'!$D$4:$D$400,"위탁공급"),0)</f>
        <v>0</v>
      </c>
      <c r="G66" s="64" t="n">
        <f aca="false">IFERROR(SUMIF('📦 일일 생산 입력'!$CL$5:$CL$505,$B$2,'📦 일일 생산 입력'!$BP$5:$BP$505),0)</f>
        <v>186</v>
      </c>
      <c r="H66" s="63" t="n">
        <f aca="false">IFERROR(MAX(C66+D66-G66,0),"")</f>
        <v>274</v>
      </c>
      <c r="I66" s="63" t="n">
        <f aca="false">IFERROR('🏭 원료 마스터'!$C$65,"")</f>
        <v>0</v>
      </c>
      <c r="J66" s="62" t="n">
        <f aca="false">IFERROR(G66*I66,"")</f>
        <v>0</v>
      </c>
    </row>
    <row r="67" customFormat="false" ht="18" hidden="false" customHeight="true" outlineLevel="0" collapsed="false">
      <c r="A67" s="17" t="n">
        <v>63</v>
      </c>
      <c r="B67" s="65" t="s">
        <v>116</v>
      </c>
      <c r="C67" s="60" t="n">
        <v>0</v>
      </c>
      <c r="D67" s="61" t="n">
        <f aca="false">IFERROR(SUMIFS('📥 원재료 입고'!$E$4:$E$400,'📥 원재료 입고'!$K$4:$K$400,$B$2,'📥 원재료 입고'!$B$4:$B$400,B67),0)</f>
        <v>4000</v>
      </c>
      <c r="E67" s="62" t="n">
        <f aca="false">IFERROR(SUMIFS('📥 원재료 입고'!$E$4:$E$400,'📥 원재료 입고'!$K$4:$K$400,$B$2,'📥 원재료 입고'!$B$4:$B$400,B67,'📥 원재료 입고'!$D$4:$D$400,"자체구매"),0)</f>
        <v>0</v>
      </c>
      <c r="F67" s="63" t="n">
        <f aca="false">IFERROR(SUMIFS('📥 원재료 입고'!$E$4:$E$400,'📥 원재료 입고'!$K$4:$K$400,$B$2,'📥 원재료 입고'!$B$4:$B$400,B67,'📥 원재료 입고'!$D$4:$D$400,"위탁공급"),0)</f>
        <v>4000</v>
      </c>
      <c r="G67" s="64" t="n">
        <f aca="false">IFERROR(SUMIF('📦 일일 생산 입력'!$CL$5:$CL$505,$B$2,'📦 일일 생산 입력'!$BQ$5:$BQ$505),0)</f>
        <v>1920</v>
      </c>
      <c r="H67" s="63" t="n">
        <f aca="false">IFERROR(MAX(C67+D67-G67,0),"")</f>
        <v>2080</v>
      </c>
      <c r="I67" s="66" t="n">
        <f aca="false">IFERROR('🏭 원료 마스터'!$C$66,"")</f>
        <v>0</v>
      </c>
      <c r="J67" s="62" t="n">
        <f aca="false">IFERROR(G67*I67,"")</f>
        <v>0</v>
      </c>
    </row>
    <row r="68" customFormat="false" ht="18" hidden="false" customHeight="true" outlineLevel="0" collapsed="false">
      <c r="A68" s="13" t="n">
        <v>64</v>
      </c>
      <c r="B68" s="18" t="s">
        <v>117</v>
      </c>
      <c r="C68" s="60" t="n">
        <v>0.85</v>
      </c>
      <c r="D68" s="61" t="n">
        <f aca="false">IFERROR(SUMIFS('📥 원재료 입고'!$E$4:$E$400,'📥 원재료 입고'!$K$4:$K$400,$B$2,'📥 원재료 입고'!$B$4:$B$400,B68),0)</f>
        <v>0</v>
      </c>
      <c r="E68" s="62" t="n">
        <f aca="false">IFERROR(SUMIFS('📥 원재료 입고'!$E$4:$E$400,'📥 원재료 입고'!$K$4:$K$400,$B$2,'📥 원재료 입고'!$B$4:$B$400,B68,'📥 원재료 입고'!$D$4:$D$400,"자체구매"),0)</f>
        <v>0</v>
      </c>
      <c r="F68" s="63" t="n">
        <f aca="false">IFERROR(SUMIFS('📥 원재료 입고'!$E$4:$E$400,'📥 원재료 입고'!$K$4:$K$400,$B$2,'📥 원재료 입고'!$B$4:$B$400,B68,'📥 원재료 입고'!$D$4:$D$400,"위탁공급"),0)</f>
        <v>0</v>
      </c>
      <c r="G68" s="64" t="n">
        <f aca="false">IFERROR(SUMIF('📦 일일 생산 입력'!$CL$5:$CL$505,$B$2,'📦 일일 생산 입력'!$BR$5:$BR$505),0)</f>
        <v>1</v>
      </c>
      <c r="H68" s="63" t="n">
        <f aca="false">IFERROR(MAX(C68+D68-G68,0),"")</f>
        <v>0</v>
      </c>
      <c r="I68" s="63" t="n">
        <f aca="false">IFERROR('🏭 원료 마스터'!$C$67,"")</f>
        <v>0</v>
      </c>
      <c r="J68" s="62" t="n">
        <f aca="false">IFERROR(G68*I68,"")</f>
        <v>0</v>
      </c>
    </row>
    <row r="69" customFormat="false" ht="18" hidden="false" customHeight="true" outlineLevel="0" collapsed="false">
      <c r="A69" s="17" t="n">
        <v>65</v>
      </c>
      <c r="B69" s="65" t="s">
        <v>118</v>
      </c>
      <c r="C69" s="60" t="n">
        <v>318.47</v>
      </c>
      <c r="D69" s="61" t="n">
        <f aca="false">IFERROR(SUMIFS('📥 원재료 입고'!$E$4:$E$400,'📥 원재료 입고'!$K$4:$K$400,$B$2,'📥 원재료 입고'!$B$4:$B$400,B69),0)</f>
        <v>0</v>
      </c>
      <c r="E69" s="62" t="n">
        <f aca="false">IFERROR(SUMIFS('📥 원재료 입고'!$E$4:$E$400,'📥 원재료 입고'!$K$4:$K$400,$B$2,'📥 원재료 입고'!$B$4:$B$400,B69,'📥 원재료 입고'!$D$4:$D$400,"자체구매"),0)</f>
        <v>0</v>
      </c>
      <c r="F69" s="63" t="n">
        <f aca="false">IFERROR(SUMIFS('📥 원재료 입고'!$E$4:$E$400,'📥 원재료 입고'!$K$4:$K$400,$B$2,'📥 원재료 입고'!$B$4:$B$400,B69,'📥 원재료 입고'!$D$4:$D$400,"위탁공급"),0)</f>
        <v>0</v>
      </c>
      <c r="G69" s="64" t="n">
        <f aca="false">IFERROR(SUMIF('📦 일일 생산 입력'!$CL$5:$CL$505,$B$2,'📦 일일 생산 입력'!$BS$5:$BS$505),0)</f>
        <v>116</v>
      </c>
      <c r="H69" s="63" t="n">
        <f aca="false">IFERROR(MAX(C69+D69-G69,0),"")</f>
        <v>202.47</v>
      </c>
      <c r="I69" s="66" t="n">
        <f aca="false">IFERROR('🏭 원료 마스터'!$C$68,"")</f>
        <v>0</v>
      </c>
      <c r="J69" s="62" t="n">
        <f aca="false">IFERROR(G69*I69,"")</f>
        <v>0</v>
      </c>
    </row>
    <row r="70" customFormat="false" ht="18" hidden="false" customHeight="true" outlineLevel="0" collapsed="false">
      <c r="A70" s="13" t="n">
        <v>66</v>
      </c>
      <c r="B70" s="18" t="s">
        <v>119</v>
      </c>
      <c r="C70" s="60" t="n">
        <v>13</v>
      </c>
      <c r="D70" s="61" t="n">
        <f aca="false">IFERROR(SUMIFS('📥 원재료 입고'!$E$4:$E$400,'📥 원재료 입고'!$K$4:$K$400,$B$2,'📥 원재료 입고'!$B$4:$B$400,B70),0)</f>
        <v>0</v>
      </c>
      <c r="E70" s="62" t="n">
        <f aca="false">IFERROR(SUMIFS('📥 원재료 입고'!$E$4:$E$400,'📥 원재료 입고'!$K$4:$K$400,$B$2,'📥 원재료 입고'!$B$4:$B$400,B70,'📥 원재료 입고'!$D$4:$D$400,"자체구매"),0)</f>
        <v>0</v>
      </c>
      <c r="F70" s="63" t="n">
        <f aca="false">IFERROR(SUMIFS('📥 원재료 입고'!$E$4:$E$400,'📥 원재료 입고'!$K$4:$K$400,$B$2,'📥 원재료 입고'!$B$4:$B$400,B70,'📥 원재료 입고'!$D$4:$D$400,"위탁공급"),0)</f>
        <v>0</v>
      </c>
      <c r="G70" s="64" t="n">
        <f aca="false">IFERROR(SUMIF('📦 일일 생산 입력'!$CL$5:$CL$505,$B$2,'📦 일일 생산 입력'!$BT$5:$BT$505),0)</f>
        <v>0</v>
      </c>
      <c r="H70" s="63" t="n">
        <f aca="false">IFERROR(MAX(C70+D70-G70,0),"")</f>
        <v>13</v>
      </c>
      <c r="I70" s="63" t="n">
        <f aca="false">IFERROR('🏭 원료 마스터'!$C$69,"")</f>
        <v>0</v>
      </c>
      <c r="J70" s="62" t="n">
        <f aca="false">IFERROR(G70*I70,"")</f>
        <v>0</v>
      </c>
    </row>
    <row r="71" customFormat="false" ht="18" hidden="false" customHeight="true" outlineLevel="0" collapsed="false">
      <c r="A71" s="17" t="n">
        <v>67</v>
      </c>
      <c r="B71" s="65" t="s">
        <v>120</v>
      </c>
      <c r="C71" s="60" t="n">
        <v>5954.17</v>
      </c>
      <c r="D71" s="61" t="n">
        <f aca="false">IFERROR(SUMIFS('📥 원재료 입고'!$E$4:$E$400,'📥 원재료 입고'!$K$4:$K$400,$B$2,'📥 원재료 입고'!$B$4:$B$400,B71),0)</f>
        <v>4420</v>
      </c>
      <c r="E71" s="62" t="n">
        <f aca="false">IFERROR(SUMIFS('📥 원재료 입고'!$E$4:$E$400,'📥 원재료 입고'!$K$4:$K$400,$B$2,'📥 원재료 입고'!$B$4:$B$400,B71,'📥 원재료 입고'!$D$4:$D$400,"자체구매"),0)</f>
        <v>820</v>
      </c>
      <c r="F71" s="63" t="n">
        <f aca="false">IFERROR(SUMIFS('📥 원재료 입고'!$E$4:$E$400,'📥 원재료 입고'!$K$4:$K$400,$B$2,'📥 원재료 입고'!$B$4:$B$400,B71,'📥 원재료 입고'!$D$4:$D$400,"위탁공급"),0)</f>
        <v>3600</v>
      </c>
      <c r="G71" s="64" t="n">
        <f aca="false">IFERROR(SUMIF('📦 일일 생산 입력'!$CL$5:$CL$505,$B$2,'📦 일일 생산 입력'!$BU$5:$BU$505),0)</f>
        <v>4262</v>
      </c>
      <c r="H71" s="63" t="n">
        <f aca="false">IFERROR(MAX(C71+D71-G71,0),"")</f>
        <v>6112.17</v>
      </c>
      <c r="I71" s="66" t="n">
        <f aca="false">IFERROR('🏭 원료 마스터'!$C$70,"")</f>
        <v>0</v>
      </c>
      <c r="J71" s="62" t="n">
        <f aca="false">IFERROR(G71*I71,"")</f>
        <v>0</v>
      </c>
    </row>
    <row r="72" customFormat="false" ht="18" hidden="false" customHeight="true" outlineLevel="0" collapsed="false">
      <c r="A72" s="13" t="n">
        <v>68</v>
      </c>
      <c r="B72" s="18" t="s">
        <v>121</v>
      </c>
      <c r="C72" s="60" t="n">
        <v>252.4</v>
      </c>
      <c r="D72" s="61" t="n">
        <f aca="false">IFERROR(SUMIFS('📥 원재료 입고'!$E$4:$E$400,'📥 원재료 입고'!$K$4:$K$400,$B$2,'📥 원재료 입고'!$B$4:$B$400,B72),0)</f>
        <v>160</v>
      </c>
      <c r="E72" s="62" t="n">
        <f aca="false">IFERROR(SUMIFS('📥 원재료 입고'!$E$4:$E$400,'📥 원재료 입고'!$K$4:$K$400,$B$2,'📥 원재료 입고'!$B$4:$B$400,B72,'📥 원재료 입고'!$D$4:$D$400,"자체구매"),0)</f>
        <v>160</v>
      </c>
      <c r="F72" s="63" t="n">
        <f aca="false">IFERROR(SUMIFS('📥 원재료 입고'!$E$4:$E$400,'📥 원재료 입고'!$K$4:$K$400,$B$2,'📥 원재료 입고'!$B$4:$B$400,B72,'📥 원재료 입고'!$D$4:$D$400,"위탁공급"),0)</f>
        <v>0</v>
      </c>
      <c r="G72" s="64" t="n">
        <f aca="false">IFERROR(SUMIF('📦 일일 생산 입력'!$CL$5:$CL$505,$B$2,'📦 일일 생산 입력'!$BV$5:$BV$505),0)</f>
        <v>132</v>
      </c>
      <c r="H72" s="63" t="n">
        <f aca="false">IFERROR(MAX(C72+D72-G72,0),"")</f>
        <v>280.4</v>
      </c>
      <c r="I72" s="63" t="n">
        <f aca="false">IFERROR('🏭 원료 마스터'!$C$71,"")</f>
        <v>0</v>
      </c>
      <c r="J72" s="62" t="n">
        <f aca="false">IFERROR(G72*I72,"")</f>
        <v>0</v>
      </c>
    </row>
    <row r="73" customFormat="false" ht="18" hidden="false" customHeight="true" outlineLevel="0" collapsed="false">
      <c r="A73" s="17" t="n">
        <v>69</v>
      </c>
      <c r="B73" s="65" t="s">
        <v>122</v>
      </c>
      <c r="C73" s="60" t="n">
        <v>54.35</v>
      </c>
      <c r="D73" s="61" t="n">
        <f aca="false">IFERROR(SUMIFS('📥 원재료 입고'!$E$4:$E$400,'📥 원재료 입고'!$K$4:$K$400,$B$2,'📥 원재료 입고'!$B$4:$B$400,B73),0)</f>
        <v>20</v>
      </c>
      <c r="E73" s="62" t="n">
        <f aca="false">IFERROR(SUMIFS('📥 원재료 입고'!$E$4:$E$400,'📥 원재료 입고'!$K$4:$K$400,$B$2,'📥 원재료 입고'!$B$4:$B$400,B73,'📥 원재료 입고'!$D$4:$D$400,"자체구매"),0)</f>
        <v>20</v>
      </c>
      <c r="F73" s="63" t="n">
        <f aca="false">IFERROR(SUMIFS('📥 원재료 입고'!$E$4:$E$400,'📥 원재료 입고'!$K$4:$K$400,$B$2,'📥 원재료 입고'!$B$4:$B$400,B73,'📥 원재료 입고'!$D$4:$D$400,"위탁공급"),0)</f>
        <v>0</v>
      </c>
      <c r="G73" s="64" t="n">
        <f aca="false">IFERROR(SUMIF('📦 일일 생산 입력'!$CL$5:$CL$505,$B$2,'📦 일일 생산 입력'!$BW$5:$BW$505),0)</f>
        <v>90</v>
      </c>
      <c r="H73" s="63" t="n">
        <f aca="false">IFERROR(MAX(C73+D73-G73,0),"")</f>
        <v>0</v>
      </c>
      <c r="I73" s="66" t="n">
        <f aca="false">IFERROR('🏭 원료 마스터'!$C$72,"")</f>
        <v>0</v>
      </c>
      <c r="J73" s="62" t="n">
        <f aca="false">IFERROR(G73*I73,"")</f>
        <v>0</v>
      </c>
    </row>
    <row r="74" customFormat="false" ht="18" hidden="false" customHeight="true" outlineLevel="0" collapsed="false">
      <c r="A74" s="13" t="n">
        <v>70</v>
      </c>
      <c r="B74" s="18" t="s">
        <v>123</v>
      </c>
      <c r="C74" s="60" t="n">
        <v>24.03</v>
      </c>
      <c r="D74" s="61" t="n">
        <f aca="false">IFERROR(SUMIFS('📥 원재료 입고'!$E$4:$E$400,'📥 원재료 입고'!$K$4:$K$400,$B$2,'📥 원재료 입고'!$B$4:$B$400,B74),0)</f>
        <v>0</v>
      </c>
      <c r="E74" s="62" t="n">
        <f aca="false">IFERROR(SUMIFS('📥 원재료 입고'!$E$4:$E$400,'📥 원재료 입고'!$K$4:$K$400,$B$2,'📥 원재료 입고'!$B$4:$B$400,B74,'📥 원재료 입고'!$D$4:$D$400,"자체구매"),0)</f>
        <v>0</v>
      </c>
      <c r="F74" s="63" t="n">
        <f aca="false">IFERROR(SUMIFS('📥 원재료 입고'!$E$4:$E$400,'📥 원재료 입고'!$K$4:$K$400,$B$2,'📥 원재료 입고'!$B$4:$B$400,B74,'📥 원재료 입고'!$D$4:$D$400,"위탁공급"),0)</f>
        <v>0</v>
      </c>
      <c r="G74" s="64" t="n">
        <f aca="false">IFERROR(SUMIF('📦 일일 생산 입력'!$CL$5:$CL$505,$B$2,'📦 일일 생산 입력'!$BX$5:$BX$505),0)</f>
        <v>8</v>
      </c>
      <c r="H74" s="63" t="n">
        <f aca="false">IFERROR(MAX(C74+D74-G74,0),"")</f>
        <v>16.03</v>
      </c>
      <c r="I74" s="63" t="n">
        <f aca="false">IFERROR('🏭 원료 마스터'!$C$73,"")</f>
        <v>0</v>
      </c>
      <c r="J74" s="62" t="n">
        <f aca="false">IFERROR(G74*I74,"")</f>
        <v>0</v>
      </c>
    </row>
    <row r="75" customFormat="false" ht="18" hidden="false" customHeight="true" outlineLevel="0" collapsed="false">
      <c r="A75" s="17" t="n">
        <v>71</v>
      </c>
      <c r="B75" s="65" t="s">
        <v>124</v>
      </c>
      <c r="C75" s="60" t="n">
        <v>18.24</v>
      </c>
      <c r="D75" s="61" t="n">
        <f aca="false">IFERROR(SUMIFS('📥 원재료 입고'!$E$4:$E$400,'📥 원재료 입고'!$K$4:$K$400,$B$2,'📥 원재료 입고'!$B$4:$B$400,B75),0)</f>
        <v>0</v>
      </c>
      <c r="E75" s="62" t="n">
        <f aca="false">IFERROR(SUMIFS('📥 원재료 입고'!$E$4:$E$400,'📥 원재료 입고'!$K$4:$K$400,$B$2,'📥 원재료 입고'!$B$4:$B$400,B75,'📥 원재료 입고'!$D$4:$D$400,"자체구매"),0)</f>
        <v>0</v>
      </c>
      <c r="F75" s="63" t="n">
        <f aca="false">IFERROR(SUMIFS('📥 원재료 입고'!$E$4:$E$400,'📥 원재료 입고'!$K$4:$K$400,$B$2,'📥 원재료 입고'!$B$4:$B$400,B75,'📥 원재료 입고'!$D$4:$D$400,"위탁공급"),0)</f>
        <v>0</v>
      </c>
      <c r="G75" s="64" t="n">
        <f aca="false">IFERROR(SUMIF('📦 일일 생산 입력'!$CL$5:$CL$505,$B$2,'📦 일일 생산 입력'!$BY$5:$BY$505),0)</f>
        <v>0</v>
      </c>
      <c r="H75" s="63" t="n">
        <f aca="false">IFERROR(MAX(C75+D75-G75,0),"")</f>
        <v>18.24</v>
      </c>
      <c r="I75" s="66" t="n">
        <f aca="false">IFERROR('🏭 원료 마스터'!$C$74,"")</f>
        <v>0</v>
      </c>
      <c r="J75" s="62" t="n">
        <f aca="false">IFERROR(G75*I75,"")</f>
        <v>0</v>
      </c>
    </row>
    <row r="76" customFormat="false" ht="18" hidden="false" customHeight="true" outlineLevel="0" collapsed="false">
      <c r="A76" s="13" t="n">
        <v>72</v>
      </c>
      <c r="B76" s="18" t="s">
        <v>125</v>
      </c>
      <c r="C76" s="60" t="n">
        <v>0.93</v>
      </c>
      <c r="D76" s="61" t="n">
        <f aca="false">IFERROR(SUMIFS('📥 원재료 입고'!$E$4:$E$400,'📥 원재료 입고'!$K$4:$K$400,$B$2,'📥 원재료 입고'!$B$4:$B$400,B76),0)</f>
        <v>0</v>
      </c>
      <c r="E76" s="62" t="n">
        <f aca="false">IFERROR(SUMIFS('📥 원재료 입고'!$E$4:$E$400,'📥 원재료 입고'!$K$4:$K$400,$B$2,'📥 원재료 입고'!$B$4:$B$400,B76,'📥 원재료 입고'!$D$4:$D$400,"자체구매"),0)</f>
        <v>0</v>
      </c>
      <c r="F76" s="63" t="n">
        <f aca="false">IFERROR(SUMIFS('📥 원재료 입고'!$E$4:$E$400,'📥 원재료 입고'!$K$4:$K$400,$B$2,'📥 원재료 입고'!$B$4:$B$400,B76,'📥 원재료 입고'!$D$4:$D$400,"위탁공급"),0)</f>
        <v>0</v>
      </c>
      <c r="G76" s="64" t="n">
        <f aca="false">IFERROR(SUMIF('📦 일일 생산 입력'!$CL$5:$CL$505,$B$2,'📦 일일 생산 입력'!$BZ$5:$BZ$505),0)</f>
        <v>0</v>
      </c>
      <c r="H76" s="63" t="n">
        <f aca="false">IFERROR(MAX(C76+D76-G76,0),"")</f>
        <v>0.93</v>
      </c>
      <c r="I76" s="63" t="n">
        <f aca="false">IFERROR('🏭 원료 마스터'!$C$75,"")</f>
        <v>0</v>
      </c>
      <c r="J76" s="62" t="n">
        <f aca="false">IFERROR(G76*I76,"")</f>
        <v>0</v>
      </c>
    </row>
    <row r="77" customFormat="false" ht="18" hidden="false" customHeight="true" outlineLevel="0" collapsed="false">
      <c r="A77" s="17" t="n">
        <v>73</v>
      </c>
      <c r="B77" s="65" t="s">
        <v>126</v>
      </c>
      <c r="C77" s="60" t="n">
        <v>0</v>
      </c>
      <c r="D77" s="61" t="n">
        <f aca="false">IFERROR(SUMIFS('📥 원재료 입고'!$E$4:$E$400,'📥 원재료 입고'!$K$4:$K$400,$B$2,'📥 원재료 입고'!$B$4:$B$400,B77),0)</f>
        <v>0</v>
      </c>
      <c r="E77" s="62" t="n">
        <f aca="false">IFERROR(SUMIFS('📥 원재료 입고'!$E$4:$E$400,'📥 원재료 입고'!$K$4:$K$400,$B$2,'📥 원재료 입고'!$B$4:$B$400,B77,'📥 원재료 입고'!$D$4:$D$400,"자체구매"),0)</f>
        <v>0</v>
      </c>
      <c r="F77" s="63" t="n">
        <f aca="false">IFERROR(SUMIFS('📥 원재료 입고'!$E$4:$E$400,'📥 원재료 입고'!$K$4:$K$400,$B$2,'📥 원재료 입고'!$B$4:$B$400,B77,'📥 원재료 입고'!$D$4:$D$400,"위탁공급"),0)</f>
        <v>0</v>
      </c>
      <c r="G77" s="64" t="n">
        <f aca="false">IFERROR(SUMIF('📦 일일 생산 입력'!$CL$5:$CL$505,$B$2,'📦 일일 생산 입력'!$CA$5:$CA$505),0)</f>
        <v>0</v>
      </c>
      <c r="H77" s="63" t="n">
        <f aca="false">IFERROR(MAX(C77+D77-G77,0),"")</f>
        <v>0</v>
      </c>
      <c r="I77" s="66" t="n">
        <f aca="false">IFERROR('🏭 원료 마스터'!$C$76,"")</f>
        <v>0</v>
      </c>
      <c r="J77" s="62" t="n">
        <f aca="false">IFERROR(G77*I77,"")</f>
        <v>0</v>
      </c>
    </row>
    <row r="78" customFormat="false" ht="18" hidden="false" customHeight="true" outlineLevel="0" collapsed="false">
      <c r="A78" s="13" t="n">
        <v>74</v>
      </c>
      <c r="B78" s="18" t="s">
        <v>127</v>
      </c>
      <c r="C78" s="60" t="n">
        <v>0</v>
      </c>
      <c r="D78" s="61" t="n">
        <f aca="false">IFERROR(SUMIFS('📥 원재료 입고'!$E$4:$E$400,'📥 원재료 입고'!$K$4:$K$400,$B$2,'📥 원재료 입고'!$B$4:$B$400,B78),0)</f>
        <v>0</v>
      </c>
      <c r="E78" s="62" t="n">
        <f aca="false">IFERROR(SUMIFS('📥 원재료 입고'!$E$4:$E$400,'📥 원재료 입고'!$K$4:$K$400,$B$2,'📥 원재료 입고'!$B$4:$B$400,B78,'📥 원재료 입고'!$D$4:$D$400,"자체구매"),0)</f>
        <v>0</v>
      </c>
      <c r="F78" s="63" t="n">
        <f aca="false">IFERROR(SUMIFS('📥 원재료 입고'!$E$4:$E$400,'📥 원재료 입고'!$K$4:$K$400,$B$2,'📥 원재료 입고'!$B$4:$B$400,B78,'📥 원재료 입고'!$D$4:$D$400,"위탁공급"),0)</f>
        <v>0</v>
      </c>
      <c r="G78" s="64" t="n">
        <f aca="false">IFERROR(SUMIF('📦 일일 생산 입력'!$CL$5:$CL$505,$B$2,'📦 일일 생산 입력'!$CB$5:$CB$505),0)</f>
        <v>0</v>
      </c>
      <c r="H78" s="63" t="n">
        <f aca="false">IFERROR(MAX(C78+D78-G78,0),"")</f>
        <v>0</v>
      </c>
      <c r="I78" s="63" t="n">
        <f aca="false">IFERROR('🏭 원료 마스터'!$C$77,"")</f>
        <v>0</v>
      </c>
      <c r="J78" s="62" t="n">
        <f aca="false">IFERROR(G78*I78,"")</f>
        <v>0</v>
      </c>
    </row>
    <row r="79" customFormat="false" ht="18" hidden="false" customHeight="true" outlineLevel="0" collapsed="false">
      <c r="A79" s="17" t="n">
        <v>75</v>
      </c>
      <c r="B79" s="65" t="s">
        <v>128</v>
      </c>
      <c r="C79" s="60" t="n">
        <v>36.24</v>
      </c>
      <c r="D79" s="61" t="n">
        <f aca="false">IFERROR(SUMIFS('📥 원재료 입고'!$E$4:$E$400,'📥 원재료 입고'!$K$4:$K$400,$B$2,'📥 원재료 입고'!$B$4:$B$400,B79),0)</f>
        <v>0</v>
      </c>
      <c r="E79" s="62" t="n">
        <f aca="false">IFERROR(SUMIFS('📥 원재료 입고'!$E$4:$E$400,'📥 원재료 입고'!$K$4:$K$400,$B$2,'📥 원재료 입고'!$B$4:$B$400,B79,'📥 원재료 입고'!$D$4:$D$400,"자체구매"),0)</f>
        <v>0</v>
      </c>
      <c r="F79" s="63" t="n">
        <f aca="false">IFERROR(SUMIFS('📥 원재료 입고'!$E$4:$E$400,'📥 원재료 입고'!$K$4:$K$400,$B$2,'📥 원재료 입고'!$B$4:$B$400,B79,'📥 원재료 입고'!$D$4:$D$400,"위탁공급"),0)</f>
        <v>0</v>
      </c>
      <c r="G79" s="64" t="n">
        <f aca="false">IFERROR(SUMIF('📦 일일 생산 입력'!$CL$5:$CL$505,$B$2,'📦 일일 생산 입력'!$CC$5:$CC$505),0)</f>
        <v>10</v>
      </c>
      <c r="H79" s="63" t="n">
        <f aca="false">IFERROR(MAX(C79+D79-G79,0),"")</f>
        <v>26.24</v>
      </c>
      <c r="I79" s="66" t="n">
        <f aca="false">IFERROR('🏭 원료 마스터'!$C$78,"")</f>
        <v>0</v>
      </c>
      <c r="J79" s="62" t="n">
        <f aca="false">IFERROR(G79*I79,"")</f>
        <v>0</v>
      </c>
    </row>
    <row r="80" customFormat="false" ht="18" hidden="false" customHeight="true" outlineLevel="0" collapsed="false">
      <c r="A80" s="13" t="n">
        <v>76</v>
      </c>
      <c r="B80" s="18" t="s">
        <v>129</v>
      </c>
      <c r="C80" s="60" t="n">
        <v>1.48</v>
      </c>
      <c r="D80" s="61" t="n">
        <f aca="false">IFERROR(SUMIFS('📥 원재료 입고'!$E$4:$E$400,'📥 원재료 입고'!$K$4:$K$400,$B$2,'📥 원재료 입고'!$B$4:$B$400,B80),0)</f>
        <v>0</v>
      </c>
      <c r="E80" s="62" t="n">
        <f aca="false">IFERROR(SUMIFS('📥 원재료 입고'!$E$4:$E$400,'📥 원재료 입고'!$K$4:$K$400,$B$2,'📥 원재료 입고'!$B$4:$B$400,B80,'📥 원재료 입고'!$D$4:$D$400,"자체구매"),0)</f>
        <v>0</v>
      </c>
      <c r="F80" s="63" t="n">
        <f aca="false">IFERROR(SUMIFS('📥 원재료 입고'!$E$4:$E$400,'📥 원재료 입고'!$K$4:$K$400,$B$2,'📥 원재료 입고'!$B$4:$B$400,B80,'📥 원재료 입고'!$D$4:$D$400,"위탁공급"),0)</f>
        <v>0</v>
      </c>
      <c r="G80" s="64" t="n">
        <f aca="false">IFERROR(SUMIF('📦 일일 생산 입력'!$CL$5:$CL$505,$B$2,'📦 일일 생산 입력'!$CD$5:$CD$505),0)</f>
        <v>0</v>
      </c>
      <c r="H80" s="63" t="n">
        <f aca="false">IFERROR(MAX(C80+D80-G80,0),"")</f>
        <v>1.48</v>
      </c>
      <c r="I80" s="63" t="n">
        <f aca="false">IFERROR('🏭 원료 마스터'!$C$79,"")</f>
        <v>0</v>
      </c>
      <c r="J80" s="62" t="n">
        <f aca="false">IFERROR(G80*I80,"")</f>
        <v>0</v>
      </c>
    </row>
    <row r="81" customFormat="false" ht="18" hidden="false" customHeight="true" outlineLevel="0" collapsed="false">
      <c r="A81" s="17" t="n">
        <v>77</v>
      </c>
      <c r="B81" s="65" t="s">
        <v>130</v>
      </c>
      <c r="C81" s="60" t="n">
        <v>225.37</v>
      </c>
      <c r="D81" s="61" t="n">
        <f aca="false">IFERROR(SUMIFS('📥 원재료 입고'!$E$4:$E$400,'📥 원재료 입고'!$K$4:$K$400,$B$2,'📥 원재료 입고'!$B$4:$B$400,B81),0)</f>
        <v>54</v>
      </c>
      <c r="E81" s="62" t="n">
        <f aca="false">IFERROR(SUMIFS('📥 원재료 입고'!$E$4:$E$400,'📥 원재료 입고'!$K$4:$K$400,$B$2,'📥 원재료 입고'!$B$4:$B$400,B81,'📥 원재료 입고'!$D$4:$D$400,"자체구매"),0)</f>
        <v>54</v>
      </c>
      <c r="F81" s="63" t="n">
        <f aca="false">IFERROR(SUMIFS('📥 원재료 입고'!$E$4:$E$400,'📥 원재료 입고'!$K$4:$K$400,$B$2,'📥 원재료 입고'!$B$4:$B$400,B81,'📥 원재료 입고'!$D$4:$D$400,"위탁공급"),0)</f>
        <v>0</v>
      </c>
      <c r="G81" s="64" t="n">
        <f aca="false">IFERROR(SUMIF('📦 일일 생산 입력'!$CL$5:$CL$505,$B$2,'📦 일일 생산 입력'!$CE$5:$CE$505),0)</f>
        <v>105</v>
      </c>
      <c r="H81" s="63" t="n">
        <f aca="false">IFERROR(MAX(C81+D81-G81,0),"")</f>
        <v>174.37</v>
      </c>
      <c r="I81" s="66" t="n">
        <f aca="false">IFERROR('🏭 원료 마스터'!$C$80,"")</f>
        <v>0</v>
      </c>
      <c r="J81" s="62" t="n">
        <f aca="false">IFERROR(G81*I81,"")</f>
        <v>0</v>
      </c>
    </row>
    <row r="82" customFormat="false" ht="18" hidden="false" customHeight="true" outlineLevel="0" collapsed="false">
      <c r="A82" s="13" t="n">
        <v>78</v>
      </c>
      <c r="B82" s="18" t="s">
        <v>131</v>
      </c>
      <c r="C82" s="60" t="n">
        <v>0</v>
      </c>
      <c r="D82" s="61" t="n">
        <f aca="false">IFERROR(SUMIFS('📥 원재료 입고'!$E$4:$E$400,'📥 원재료 입고'!$K$4:$K$400,$B$2,'📥 원재료 입고'!$B$4:$B$400,B82),0)</f>
        <v>0</v>
      </c>
      <c r="E82" s="62" t="n">
        <f aca="false">IFERROR(SUMIFS('📥 원재료 입고'!$E$4:$E$400,'📥 원재료 입고'!$K$4:$K$400,$B$2,'📥 원재료 입고'!$B$4:$B$400,B82,'📥 원재료 입고'!$D$4:$D$400,"자체구매"),0)</f>
        <v>0</v>
      </c>
      <c r="F82" s="63" t="n">
        <f aca="false">IFERROR(SUMIFS('📥 원재료 입고'!$E$4:$E$400,'📥 원재료 입고'!$K$4:$K$400,$B$2,'📥 원재료 입고'!$B$4:$B$400,B82,'📥 원재료 입고'!$D$4:$D$400,"위탁공급"),0)</f>
        <v>0</v>
      </c>
      <c r="G82" s="64" t="n">
        <f aca="false">IFERROR(SUMIF('📦 일일 생산 입력'!$CL$5:$CL$505,$B$2,'📦 일일 생산 입력'!$CF$5:$CF$505),0)</f>
        <v>0</v>
      </c>
      <c r="H82" s="63" t="n">
        <f aca="false">IFERROR(MAX(C82+D82-G82,0),"")</f>
        <v>0</v>
      </c>
      <c r="I82" s="63" t="n">
        <f aca="false">IFERROR('🏭 원료 마스터'!$C$81,"")</f>
        <v>0</v>
      </c>
      <c r="J82" s="62" t="n">
        <f aca="false">IFERROR(G82*I82,"")</f>
        <v>0</v>
      </c>
    </row>
    <row r="83" customFormat="false" ht="18" hidden="false" customHeight="true" outlineLevel="0" collapsed="false">
      <c r="A83" s="17" t="n">
        <v>79</v>
      </c>
      <c r="B83" s="65" t="s">
        <v>132</v>
      </c>
      <c r="C83" s="60" t="n">
        <v>13.14</v>
      </c>
      <c r="D83" s="61" t="n">
        <f aca="false">IFERROR(SUMIFS('📥 원재료 입고'!$E$4:$E$400,'📥 원재료 입고'!$K$4:$K$400,$B$2,'📥 원재료 입고'!$B$4:$B$400,B83),0)</f>
        <v>28</v>
      </c>
      <c r="E83" s="62" t="n">
        <f aca="false">IFERROR(SUMIFS('📥 원재료 입고'!$E$4:$E$400,'📥 원재료 입고'!$K$4:$K$400,$B$2,'📥 원재료 입고'!$B$4:$B$400,B83,'📥 원재료 입고'!$D$4:$D$400,"자체구매"),0)</f>
        <v>28</v>
      </c>
      <c r="F83" s="63" t="n">
        <f aca="false">IFERROR(SUMIFS('📥 원재료 입고'!$E$4:$E$400,'📥 원재료 입고'!$K$4:$K$400,$B$2,'📥 원재료 입고'!$B$4:$B$400,B83,'📥 원재료 입고'!$D$4:$D$400,"위탁공급"),0)</f>
        <v>0</v>
      </c>
      <c r="G83" s="64" t="n">
        <f aca="false">IFERROR(SUMIF('📦 일일 생산 입력'!$CL$5:$CL$505,$B$2,'📦 일일 생산 입력'!$CG$5:$CG$505),0)</f>
        <v>30</v>
      </c>
      <c r="H83" s="63" t="n">
        <f aca="false">IFERROR(MAX(C83+D83-G83,0),"")</f>
        <v>11.14</v>
      </c>
      <c r="I83" s="66" t="n">
        <f aca="false">IFERROR('🏭 원료 마스터'!$C$82,"")</f>
        <v>0</v>
      </c>
      <c r="J83" s="62" t="n">
        <f aca="false">IFERROR(G83*I83,"")</f>
        <v>0</v>
      </c>
    </row>
    <row r="84" customFormat="false" ht="18" hidden="false" customHeight="true" outlineLevel="0" collapsed="false">
      <c r="A84" s="13" t="n">
        <v>80</v>
      </c>
      <c r="B84" s="18" t="s">
        <v>133</v>
      </c>
      <c r="C84" s="60" t="n">
        <v>0</v>
      </c>
      <c r="D84" s="61" t="n">
        <f aca="false">IFERROR(SUMIFS('📥 원재료 입고'!$E$4:$E$400,'📥 원재료 입고'!$K$4:$K$400,$B$2,'📥 원재료 입고'!$B$4:$B$400,B84),0)</f>
        <v>0</v>
      </c>
      <c r="E84" s="62" t="n">
        <f aca="false">IFERROR(SUMIFS('📥 원재료 입고'!$E$4:$E$400,'📥 원재료 입고'!$K$4:$K$400,$B$2,'📥 원재료 입고'!$B$4:$B$400,B84,'📥 원재료 입고'!$D$4:$D$400,"자체구매"),0)</f>
        <v>0</v>
      </c>
      <c r="F84" s="63" t="n">
        <f aca="false">IFERROR(SUMIFS('📥 원재료 입고'!$E$4:$E$400,'📥 원재료 입고'!$K$4:$K$400,$B$2,'📥 원재료 입고'!$B$4:$B$400,B84,'📥 원재료 입고'!$D$4:$D$400,"위탁공급"),0)</f>
        <v>0</v>
      </c>
      <c r="G84" s="64" t="n">
        <f aca="false">IFERROR(SUMIF('📦 일일 생산 입력'!$CL$5:$CL$505,$B$2,'📦 일일 생산 입력'!$CH$5:$CH$505),0)</f>
        <v>0</v>
      </c>
      <c r="H84" s="63" t="n">
        <f aca="false">IFERROR(MAX(C84+D84-G84,0),"")</f>
        <v>0</v>
      </c>
      <c r="I84" s="63" t="n">
        <f aca="false">IFERROR('🏭 원료 마스터'!$C$83,"")</f>
        <v>0</v>
      </c>
      <c r="J84" s="62" t="n">
        <f aca="false">IFERROR(G84*I84,"")</f>
        <v>0</v>
      </c>
    </row>
    <row r="85" customFormat="false" ht="24" hidden="false" customHeight="true" outlineLevel="0" collapsed="false">
      <c r="A85" s="13" t="n">
        <v>81</v>
      </c>
      <c r="B85" s="18" t="s">
        <v>134</v>
      </c>
      <c r="C85" s="60" t="n">
        <v>0</v>
      </c>
      <c r="D85" s="61" t="n">
        <f aca="false">IFERROR(SUMIFS('📥 원재료 입고'!$E$4:$E$400,'📥 원재료 입고'!$K$4:$K$400,$B$2,'📥 원재료 입고'!$B$4:$B$400,B85),0)</f>
        <v>1780</v>
      </c>
      <c r="E85" s="62" t="n">
        <f aca="false">IFERROR(SUMIFS('📥 원재료 입고'!$E$4:$E$400,'📥 원재료 입고'!$K$4:$K$400,$B$2,'📥 원재료 입고'!$B$4:$B$400,B85,'📥 원재료 입고'!$D$4:$D$400,"자체구매"),0)</f>
        <v>0</v>
      </c>
      <c r="F85" s="63" t="n">
        <f aca="false">IFERROR(SUMIFS('📥 원재료 입고'!$E$4:$E$400,'📥 원재료 입고'!$K$4:$K$400,$B$2,'📥 원재료 입고'!$B$4:$B$400,B85,'📥 원재료 입고'!$D$4:$D$400,"위탁공급"),0)</f>
        <v>1780</v>
      </c>
      <c r="G85" s="64" t="n">
        <f aca="false">IFERROR(SUMIF('📦 일일 생산 입력'!$CL$5:$CL$505,$B$2,'📦 일일 생산 입력'!$CI$5:$CI$505),0)</f>
        <v>426</v>
      </c>
      <c r="H85" s="63" t="n">
        <f aca="false">IFERROR(MAX(C85+D85-G85,0),"")</f>
        <v>1354</v>
      </c>
      <c r="I85" s="63" t="n">
        <f aca="false">IFERROR('🏭 원료 마스터'!$C$84,"")</f>
        <v>0</v>
      </c>
      <c r="J85" s="62" t="n">
        <f aca="false">IFERROR(G85*I85,"")</f>
        <v>0</v>
      </c>
    </row>
    <row r="86" customFormat="false" ht="15" hidden="false" customHeight="true" outlineLevel="0" collapsed="false">
      <c r="A86" s="13" t="n">
        <v>82</v>
      </c>
      <c r="B86" s="18" t="s">
        <v>135</v>
      </c>
      <c r="C86" s="60" t="n">
        <v>400</v>
      </c>
      <c r="D86" s="61" t="n">
        <f aca="false">IFERROR(SUMIFS('📥 원재료 입고'!$E$4:$E$400,'📥 원재료 입고'!$K$4:$K$400,$B$2,'📥 원재료 입고'!$B$4:$B$400,B86),0)</f>
        <v>0</v>
      </c>
      <c r="E86" s="62" t="n">
        <f aca="false">IFERROR(SUMIFS('📥 원재료 입고'!$E$4:$E$400,'📥 원재료 입고'!$K$4:$K$400,$B$2,'📥 원재료 입고'!$B$4:$B$400,B86,'📥 원재료 입고'!$D$4:$D$400,"자체구매"),0)</f>
        <v>0</v>
      </c>
      <c r="F86" s="63" t="n">
        <f aca="false">IFERROR(SUMIFS('📥 원재료 입고'!$E$4:$E$400,'📥 원재료 입고'!$K$4:$K$400,$B$2,'📥 원재료 입고'!$B$4:$B$400,B86,'📥 원재료 입고'!$D$4:$D$400,"위탁공급"),0)</f>
        <v>0</v>
      </c>
      <c r="G86" s="64" t="n">
        <v>0</v>
      </c>
      <c r="H86" s="63" t="n">
        <f aca="false">IFERROR(MAX(C86+D86-G86,0),"")</f>
        <v>400</v>
      </c>
      <c r="I86" s="63"/>
      <c r="J86" s="62" t="n">
        <f aca="false">IFERROR(G86*I86,"")</f>
        <v>0</v>
      </c>
    </row>
    <row r="87" customFormat="false" ht="15" hidden="false" customHeight="true" outlineLevel="0" collapsed="false">
      <c r="A87" s="13" t="n">
        <v>83</v>
      </c>
      <c r="B87" s="18" t="s">
        <v>136</v>
      </c>
      <c r="C87" s="60" t="n">
        <v>40</v>
      </c>
      <c r="D87" s="61" t="n">
        <f aca="false">IFERROR(SUMIFS('📥 원재료 입고'!$E$4:$E$400,'📥 원재료 입고'!$K$4:$K$400,$B$2,'📥 원재료 입고'!$B$4:$B$400,B87),0)</f>
        <v>0</v>
      </c>
      <c r="E87" s="62" t="n">
        <f aca="false">IFERROR(SUMIFS('📥 원재료 입고'!$E$4:$E$400,'📥 원재료 입고'!$K$4:$K$400,$B$2,'📥 원재료 입고'!$B$4:$B$400,B87,'📥 원재료 입고'!$D$4:$D$400,"자체구매"),0)</f>
        <v>0</v>
      </c>
      <c r="F87" s="63" t="n">
        <f aca="false">IFERROR(SUMIFS('📥 원재료 입고'!$E$4:$E$400,'📥 원재료 입고'!$K$4:$K$400,$B$2,'📥 원재료 입고'!$B$4:$B$400,B87,'📥 원재료 입고'!$D$4:$D$400,"위탁공급"),0)</f>
        <v>0</v>
      </c>
      <c r="G87" s="64" t="n">
        <v>0</v>
      </c>
      <c r="H87" s="63" t="n">
        <f aca="false">IFERROR(MAX(C87+D87-G87,0),"")</f>
        <v>40</v>
      </c>
      <c r="I87" s="63"/>
      <c r="J87" s="62" t="n">
        <f aca="false">IFERROR(G87*I87,"")</f>
        <v>0</v>
      </c>
    </row>
    <row r="88" customFormat="false" ht="15" hidden="false" customHeight="true" outlineLevel="0" collapsed="false">
      <c r="A88" s="13" t="n">
        <v>84</v>
      </c>
      <c r="B88" s="18" t="s">
        <v>137</v>
      </c>
      <c r="C88" s="60" t="n">
        <v>1.2</v>
      </c>
      <c r="D88" s="61" t="n">
        <f aca="false">IFERROR(SUMIFS('📥 원재료 입고'!$E$4:$E$400,'📥 원재료 입고'!$K$4:$K$400,$B$2,'📥 원재료 입고'!$B$4:$B$400,B88),0)</f>
        <v>0</v>
      </c>
      <c r="E88" s="62" t="n">
        <f aca="false">IFERROR(SUMIFS('📥 원재료 입고'!$E$4:$E$400,'📥 원재료 입고'!$K$4:$K$400,$B$2,'📥 원재료 입고'!$B$4:$B$400,B88,'📥 원재료 입고'!$D$4:$D$400,"자체구매"),0)</f>
        <v>0</v>
      </c>
      <c r="F88" s="63" t="n">
        <f aca="false">IFERROR(SUMIFS('📥 원재료 입고'!$E$4:$E$400,'📥 원재료 입고'!$K$4:$K$400,$B$2,'📥 원재료 입고'!$B$4:$B$400,B88,'📥 원재료 입고'!$D$4:$D$400,"위탁공급"),0)</f>
        <v>0</v>
      </c>
      <c r="G88" s="64" t="n">
        <v>0</v>
      </c>
      <c r="H88" s="63" t="n">
        <f aca="false">IFERROR(MAX(C88+D88-G88,0),"")</f>
        <v>1.2</v>
      </c>
      <c r="I88" s="63"/>
      <c r="J88" s="62" t="n">
        <f aca="false">IFERROR(G88*I88,"")</f>
        <v>0</v>
      </c>
    </row>
    <row r="89" customFormat="false" ht="15" hidden="false" customHeight="true" outlineLevel="0" collapsed="false">
      <c r="A89" s="44" t="n">
        <v>85</v>
      </c>
      <c r="B89" s="67" t="s">
        <v>138</v>
      </c>
      <c r="C89" s="68" t="n">
        <v>30</v>
      </c>
      <c r="D89" s="69" t="n">
        <f aca="false">IFERROR(SUMIFS('📥 원재료 입고'!$E$4:$E$400,'📥 원재료 입고'!$K$4:$K$400,$B$2,'📥 원재료 입고'!$B$4:$B$400,B89),0)</f>
        <v>0</v>
      </c>
      <c r="E89" s="70" t="n">
        <f aca="false">IFERROR(SUMIFS('📥 원재료 입고'!$E$4:$E$400,'📥 원재료 입고'!$K$4:$K$400,$B$2,'📥 원재료 입고'!$B$4:$B$400,B89,'📥 원재료 입고'!$D$4:$D$400,"자체구매"),0)</f>
        <v>0</v>
      </c>
      <c r="F89" s="49" t="n">
        <f aca="false">IFERROR(SUMIFS('📥 원재료 입고'!$E$4:$E$400,'📥 원재료 입고'!$K$4:$K$400,$B$2,'📥 원재료 입고'!$B$4:$B$400,B89,'📥 원재료 입고'!$D$4:$D$400,"위탁공급"),0)</f>
        <v>0</v>
      </c>
      <c r="G89" s="71" t="n">
        <v>0</v>
      </c>
      <c r="H89" s="72" t="n">
        <f aca="false">IFERROR(MAX(C89+D89-G89,0),"")</f>
        <v>30</v>
      </c>
      <c r="I89" s="73"/>
      <c r="J89" s="74" t="n">
        <f aca="false">IFERROR(G89*I89,"")</f>
        <v>0</v>
      </c>
    </row>
  </sheetData>
  <mergeCells count="4">
    <mergeCell ref="A1:J1"/>
    <mergeCell ref="B2:C2"/>
    <mergeCell ref="D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14" activeCellId="0" sqref="C14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17"/>
    <col collapsed="false" customWidth="true" hidden="false" outlineLevel="0" max="5" min="4" style="1" width="11"/>
    <col collapsed="false" customWidth="true" hidden="true" outlineLevel="0" max="6" min="6" style="1" width="11"/>
    <col collapsed="false" customWidth="true" hidden="true" outlineLevel="0" max="7" min="7" style="1" width="12"/>
    <col collapsed="false" customWidth="true" hidden="true" outlineLevel="0" max="8" min="8" style="1" width="14"/>
    <col collapsed="false" customWidth="true" hidden="true" outlineLevel="0" max="9" min="9" style="1" width="13"/>
    <col collapsed="false" customWidth="true" hidden="false" outlineLevel="0" max="91" min="10" style="1" width="8"/>
  </cols>
  <sheetData>
    <row r="1" customFormat="false" ht="34.5" hidden="false" customHeight="true" outlineLevel="0" collapsed="false">
      <c r="A1" s="9" t="s">
        <v>262</v>
      </c>
      <c r="B1" s="9"/>
      <c r="C1" s="9"/>
      <c r="D1" s="9"/>
      <c r="E1" s="9"/>
      <c r="F1" s="75"/>
      <c r="G1" s="75"/>
      <c r="H1" s="75"/>
      <c r="I1" s="75"/>
    </row>
    <row r="2" customFormat="false" ht="21.75" hidden="false" customHeight="true" outlineLevel="0" collapsed="false">
      <c r="A2" s="10" t="s">
        <v>263</v>
      </c>
      <c r="B2" s="10"/>
      <c r="C2" s="10"/>
      <c r="D2" s="10"/>
      <c r="E2" s="10"/>
      <c r="F2" s="75"/>
      <c r="G2" s="75"/>
      <c r="H2" s="75"/>
      <c r="I2" s="75"/>
    </row>
    <row r="3" customFormat="false" ht="34.5" hidden="false" customHeight="true" outlineLevel="0" collapsed="false">
      <c r="A3" s="11" t="s">
        <v>46</v>
      </c>
      <c r="B3" s="12" t="s">
        <v>227</v>
      </c>
      <c r="C3" s="12" t="s">
        <v>264</v>
      </c>
      <c r="D3" s="12" t="s">
        <v>265</v>
      </c>
      <c r="E3" s="11" t="s">
        <v>266</v>
      </c>
      <c r="F3" s="76"/>
      <c r="G3" s="76"/>
      <c r="H3" s="76"/>
      <c r="I3" s="76"/>
      <c r="CK3" s="77"/>
      <c r="CL3" s="77"/>
    </row>
    <row r="4" customFormat="false" ht="45" hidden="false" customHeight="true" outlineLevel="0" collapsed="false">
      <c r="F4" s="75"/>
      <c r="G4" s="75"/>
      <c r="H4" s="75"/>
      <c r="I4" s="75"/>
      <c r="J4" s="33" t="s">
        <v>53</v>
      </c>
      <c r="K4" s="33" t="s">
        <v>55</v>
      </c>
      <c r="L4" s="33" t="s">
        <v>56</v>
      </c>
      <c r="M4" s="33" t="s">
        <v>57</v>
      </c>
      <c r="N4" s="33" t="s">
        <v>58</v>
      </c>
      <c r="O4" s="33" t="s">
        <v>59</v>
      </c>
      <c r="P4" s="33" t="s">
        <v>60</v>
      </c>
      <c r="Q4" s="33" t="s">
        <v>61</v>
      </c>
      <c r="R4" s="33" t="s">
        <v>62</v>
      </c>
      <c r="S4" s="33" t="s">
        <v>63</v>
      </c>
      <c r="T4" s="33" t="s">
        <v>64</v>
      </c>
      <c r="U4" s="33" t="s">
        <v>65</v>
      </c>
      <c r="V4" s="33" t="s">
        <v>66</v>
      </c>
      <c r="W4" s="33" t="s">
        <v>67</v>
      </c>
      <c r="X4" s="33" t="s">
        <v>68</v>
      </c>
      <c r="Y4" s="33" t="s">
        <v>69</v>
      </c>
      <c r="Z4" s="33" t="s">
        <v>70</v>
      </c>
      <c r="AA4" s="33" t="s">
        <v>71</v>
      </c>
      <c r="AB4" s="33" t="s">
        <v>72</v>
      </c>
      <c r="AC4" s="33" t="s">
        <v>73</v>
      </c>
      <c r="AD4" s="33" t="s">
        <v>74</v>
      </c>
      <c r="AE4" s="33" t="s">
        <v>75</v>
      </c>
      <c r="AF4" s="33" t="s">
        <v>76</v>
      </c>
      <c r="AG4" s="33" t="s">
        <v>77</v>
      </c>
      <c r="AH4" s="33" t="s">
        <v>78</v>
      </c>
      <c r="AI4" s="33" t="s">
        <v>79</v>
      </c>
      <c r="AJ4" s="33" t="s">
        <v>80</v>
      </c>
      <c r="AK4" s="33" t="s">
        <v>81</v>
      </c>
      <c r="AL4" s="33" t="s">
        <v>82</v>
      </c>
      <c r="AM4" s="33" t="s">
        <v>83</v>
      </c>
      <c r="AN4" s="33" t="s">
        <v>84</v>
      </c>
      <c r="AO4" s="33" t="s">
        <v>85</v>
      </c>
      <c r="AP4" s="33" t="s">
        <v>86</v>
      </c>
      <c r="AQ4" s="33" t="s">
        <v>87</v>
      </c>
      <c r="AR4" s="33" t="s">
        <v>88</v>
      </c>
      <c r="AS4" s="33" t="s">
        <v>89</v>
      </c>
      <c r="AT4" s="33" t="s">
        <v>90</v>
      </c>
      <c r="AU4" s="33" t="s">
        <v>91</v>
      </c>
      <c r="AV4" s="33" t="s">
        <v>92</v>
      </c>
      <c r="AW4" s="33" t="s">
        <v>93</v>
      </c>
      <c r="AX4" s="33" t="s">
        <v>94</v>
      </c>
      <c r="AY4" s="33" t="s">
        <v>95</v>
      </c>
      <c r="AZ4" s="33" t="s">
        <v>96</v>
      </c>
      <c r="BA4" s="33" t="s">
        <v>97</v>
      </c>
      <c r="BB4" s="33" t="s">
        <v>98</v>
      </c>
      <c r="BC4" s="33" t="s">
        <v>99</v>
      </c>
      <c r="BD4" s="33" t="s">
        <v>100</v>
      </c>
      <c r="BE4" s="33" t="s">
        <v>101</v>
      </c>
      <c r="BF4" s="33" t="s">
        <v>102</v>
      </c>
      <c r="BG4" s="33" t="s">
        <v>103</v>
      </c>
      <c r="BH4" s="33" t="s">
        <v>104</v>
      </c>
      <c r="BI4" s="33" t="s">
        <v>105</v>
      </c>
      <c r="BJ4" s="33" t="s">
        <v>106</v>
      </c>
      <c r="BK4" s="33" t="s">
        <v>107</v>
      </c>
      <c r="BL4" s="33" t="s">
        <v>108</v>
      </c>
      <c r="BM4" s="33" t="s">
        <v>109</v>
      </c>
      <c r="BN4" s="33" t="s">
        <v>110</v>
      </c>
      <c r="BO4" s="33" t="s">
        <v>111</v>
      </c>
      <c r="BP4" s="33" t="s">
        <v>112</v>
      </c>
      <c r="BQ4" s="33" t="s">
        <v>113</v>
      </c>
      <c r="BR4" s="33" t="s">
        <v>114</v>
      </c>
      <c r="BS4" s="33" t="s">
        <v>115</v>
      </c>
      <c r="BT4" s="33" t="s">
        <v>116</v>
      </c>
      <c r="BU4" s="33" t="s">
        <v>117</v>
      </c>
      <c r="BV4" s="33" t="s">
        <v>118</v>
      </c>
      <c r="BW4" s="33" t="s">
        <v>119</v>
      </c>
      <c r="BX4" s="33" t="s">
        <v>120</v>
      </c>
      <c r="BY4" s="33" t="s">
        <v>121</v>
      </c>
      <c r="BZ4" s="33" t="s">
        <v>122</v>
      </c>
      <c r="CA4" s="33" t="s">
        <v>123</v>
      </c>
      <c r="CB4" s="33" t="s">
        <v>124</v>
      </c>
      <c r="CC4" s="33" t="s">
        <v>125</v>
      </c>
      <c r="CD4" s="33" t="s">
        <v>126</v>
      </c>
      <c r="CE4" s="33" t="s">
        <v>127</v>
      </c>
      <c r="CF4" s="33" t="s">
        <v>128</v>
      </c>
      <c r="CG4" s="33" t="s">
        <v>129</v>
      </c>
      <c r="CH4" s="33" t="s">
        <v>130</v>
      </c>
      <c r="CI4" s="33" t="s">
        <v>131</v>
      </c>
      <c r="CJ4" s="33" t="s">
        <v>132</v>
      </c>
      <c r="CK4" s="33" t="s">
        <v>133</v>
      </c>
      <c r="CL4" s="33" t="s">
        <v>223</v>
      </c>
      <c r="CM4" s="33" t="s">
        <v>134</v>
      </c>
    </row>
    <row r="5" customFormat="false" ht="19.5" hidden="false" customHeight="true" outlineLevel="0" collapsed="false">
      <c r="A5" s="13" t="n">
        <v>1</v>
      </c>
      <c r="B5" s="78" t="s">
        <v>267</v>
      </c>
      <c r="C5" s="79" t="s">
        <v>268</v>
      </c>
      <c r="D5" s="80" t="n">
        <v>100</v>
      </c>
      <c r="E5" s="81" t="n">
        <f aca="false">IFERROR(0.4/100*'🏭 원료 마스터'!$C$8+0.9/100*'🏭 원료 마스터'!$C$21+0.8/100*'🏭 원료 마스터'!$C$25+0.04/100*'🏭 원료 마스터'!$C$26+2.7/100*'🏭 원료 마스터'!$C$42+2.7/100*'🏭 원료 마스터'!$C$49+0.4/100*'🏭 원료 마스터'!$C$54+36.5/100*'🏭 원료 마스터'!$C$66+1.2/100*'🏭 원료 마스터'!$C$68+53.1/100*'🏭 원료 마스터'!$C$70+0.86/100*'🏭 원료 마스터'!$C$71+0.4/100*'🏭 원료 마스터'!$C$80,"")</f>
        <v>0</v>
      </c>
      <c r="F5" s="82"/>
      <c r="G5" s="82"/>
      <c r="H5" s="76"/>
      <c r="I5" s="75"/>
      <c r="J5" s="83"/>
      <c r="K5" s="83"/>
      <c r="L5" s="83"/>
      <c r="M5" s="83"/>
      <c r="N5" s="84" t="n">
        <v>0.4</v>
      </c>
      <c r="O5" s="83"/>
      <c r="P5" s="83"/>
      <c r="Q5" s="83"/>
      <c r="R5" s="85"/>
      <c r="S5" s="83"/>
      <c r="T5" s="83"/>
      <c r="U5" s="83"/>
      <c r="V5" s="83"/>
      <c r="W5" s="83"/>
      <c r="X5" s="83"/>
      <c r="Y5" s="83"/>
      <c r="Z5" s="83"/>
      <c r="AA5" s="84" t="n">
        <v>0.9</v>
      </c>
      <c r="AB5" s="83"/>
      <c r="AC5" s="83"/>
      <c r="AD5" s="83"/>
      <c r="AE5" s="84" t="n">
        <v>0.8</v>
      </c>
      <c r="AF5" s="84" t="n">
        <v>0.04</v>
      </c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4" t="n">
        <v>2.7</v>
      </c>
      <c r="AW5" s="83"/>
      <c r="AX5" s="83"/>
      <c r="AY5" s="83"/>
      <c r="AZ5" s="83"/>
      <c r="BA5" s="83"/>
      <c r="BB5" s="83"/>
      <c r="BC5" s="84" t="n">
        <v>2.7</v>
      </c>
      <c r="BD5" s="83"/>
      <c r="BE5" s="83"/>
      <c r="BF5" s="83"/>
      <c r="BG5" s="83"/>
      <c r="BH5" s="84" t="n">
        <v>0.4</v>
      </c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4" t="n">
        <v>36.5</v>
      </c>
      <c r="BU5" s="83"/>
      <c r="BV5" s="84" t="n">
        <v>1.2</v>
      </c>
      <c r="BW5" s="83"/>
      <c r="BX5" s="84" t="n">
        <v>53.1</v>
      </c>
      <c r="BY5" s="84" t="n">
        <v>0.86</v>
      </c>
      <c r="BZ5" s="83"/>
      <c r="CA5" s="83"/>
      <c r="CB5" s="83"/>
      <c r="CC5" s="83"/>
      <c r="CD5" s="83"/>
      <c r="CE5" s="83"/>
      <c r="CF5" s="83"/>
      <c r="CG5" s="83"/>
      <c r="CH5" s="84" t="n">
        <v>0.4</v>
      </c>
      <c r="CI5" s="83"/>
      <c r="CJ5" s="83"/>
      <c r="CK5" s="83"/>
      <c r="CL5" s="83"/>
      <c r="CM5" s="85"/>
    </row>
    <row r="6" customFormat="false" ht="19.5" hidden="false" customHeight="true" outlineLevel="0" collapsed="false">
      <c r="A6" s="17" t="n">
        <v>2</v>
      </c>
      <c r="B6" s="18" t="s">
        <v>142</v>
      </c>
      <c r="C6" s="86" t="s">
        <v>269</v>
      </c>
      <c r="D6" s="87" t="n">
        <v>100</v>
      </c>
      <c r="E6" s="88" t="n">
        <f aca="false">IFERROR(3.5/100*'🏭 원료 마스터'!$C$5+0.4/100*'🏭 원료 마스터'!$C$9+3.5/100*'🏭 원료 마스터'!$C$10+4.7/100*'🏭 원료 마스터'!$C$14+4.2/100*'🏭 원료 마스터'!$C$43+6.5/100*'🏭 원료 마스터'!$C$49+17.7/100*'🏭 원료 마스터'!$C$63+58.9/100*'🏭 원료 마스터'!$C$70+0.6/100*'🏭 원료 마스터'!$C$71,"")</f>
        <v>0</v>
      </c>
      <c r="F6" s="82"/>
      <c r="G6" s="82"/>
      <c r="H6" s="76"/>
      <c r="I6" s="75"/>
      <c r="J6" s="89"/>
      <c r="K6" s="90" t="n">
        <v>3.5</v>
      </c>
      <c r="L6" s="89"/>
      <c r="M6" s="89"/>
      <c r="N6" s="89"/>
      <c r="O6" s="90" t="n">
        <v>0.4</v>
      </c>
      <c r="P6" s="90" t="n">
        <v>3.5</v>
      </c>
      <c r="Q6" s="89"/>
      <c r="R6" s="85"/>
      <c r="S6" s="89"/>
      <c r="T6" s="90" t="n">
        <v>4.7</v>
      </c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90" t="n">
        <v>4.2</v>
      </c>
      <c r="AX6" s="89"/>
      <c r="AY6" s="89"/>
      <c r="AZ6" s="89"/>
      <c r="BA6" s="89"/>
      <c r="BB6" s="89"/>
      <c r="BC6" s="90" t="n">
        <v>6.5</v>
      </c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90" t="n">
        <v>17.7</v>
      </c>
      <c r="BR6" s="89"/>
      <c r="BS6" s="89"/>
      <c r="BT6" s="89"/>
      <c r="BU6" s="89"/>
      <c r="BV6" s="89"/>
      <c r="BW6" s="89"/>
      <c r="BX6" s="90" t="n">
        <v>58.9</v>
      </c>
      <c r="BY6" s="90" t="n">
        <v>0.6</v>
      </c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5"/>
    </row>
    <row r="7" customFormat="false" ht="19.5" hidden="false" customHeight="true" outlineLevel="0" collapsed="false">
      <c r="A7" s="13" t="n">
        <v>3</v>
      </c>
      <c r="B7" s="14" t="s">
        <v>143</v>
      </c>
      <c r="C7" s="79" t="s">
        <v>270</v>
      </c>
      <c r="D7" s="80" t="n">
        <v>100</v>
      </c>
      <c r="E7" s="81" t="n">
        <f aca="false">IFERROR(8.4/100*'🏭 원료 마스터'!$C$20+67.3/100*'🏭 원료 마스터'!$C$40+2.2/100*'🏭 원료 마스터'!$C$46+8.4/100*'🏭 원료 마스터'!$C$49+12.6/100*'🏭 원료 마스터'!$C$63+1.1/100*'🏭 원료 마스터'!$C$71,"")</f>
        <v>706.65</v>
      </c>
      <c r="F7" s="82"/>
      <c r="G7" s="82"/>
      <c r="H7" s="76"/>
      <c r="I7" s="75"/>
      <c r="J7" s="83"/>
      <c r="K7" s="83"/>
      <c r="L7" s="83"/>
      <c r="M7" s="83"/>
      <c r="N7" s="83"/>
      <c r="O7" s="83"/>
      <c r="P7" s="83"/>
      <c r="Q7" s="83"/>
      <c r="R7" s="85"/>
      <c r="S7" s="83"/>
      <c r="T7" s="83"/>
      <c r="U7" s="83"/>
      <c r="V7" s="83"/>
      <c r="W7" s="83"/>
      <c r="X7" s="83"/>
      <c r="Y7" s="83"/>
      <c r="Z7" s="84" t="n">
        <v>8.4</v>
      </c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4" t="n">
        <v>67.3</v>
      </c>
      <c r="AU7" s="83"/>
      <c r="AV7" s="83"/>
      <c r="AW7" s="83"/>
      <c r="AX7" s="83"/>
      <c r="AY7" s="83"/>
      <c r="AZ7" s="84" t="n">
        <v>2.2</v>
      </c>
      <c r="BA7" s="83"/>
      <c r="BB7" s="83"/>
      <c r="BC7" s="84" t="n">
        <v>8.4</v>
      </c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4" t="n">
        <v>12.6</v>
      </c>
      <c r="BR7" s="83"/>
      <c r="BS7" s="83"/>
      <c r="BT7" s="83"/>
      <c r="BU7" s="83"/>
      <c r="BV7" s="83"/>
      <c r="BW7" s="83"/>
      <c r="BX7" s="83"/>
      <c r="BY7" s="84" t="n">
        <v>1.1</v>
      </c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5"/>
    </row>
    <row r="8" customFormat="false" ht="19.5" hidden="false" customHeight="true" outlineLevel="0" collapsed="false">
      <c r="A8" s="17" t="n">
        <v>4</v>
      </c>
      <c r="B8" s="18" t="s">
        <v>144</v>
      </c>
      <c r="C8" s="86" t="s">
        <v>271</v>
      </c>
      <c r="D8" s="87" t="n">
        <v>100</v>
      </c>
      <c r="E8" s="88" t="n">
        <f aca="false">IFERROR(3/100*'🏭 원료 마스터'!$C$34+4.7/100*'🏭 원료 마스터'!$C$42+4.7/100*'🏭 원료 마스터'!$C$49+37.9/100*'🏭 원료 마스터'!$C$63+0.9/100*'🏭 원료 마스터'!$C$68+47.5/100*'🏭 원료 마스터'!$C$70+0.9/100*'🏭 원료 마스터'!$C$71+0.4/100*'🏭 원료 마스터'!$C$80,"")</f>
        <v>0</v>
      </c>
      <c r="F8" s="82"/>
      <c r="G8" s="82"/>
      <c r="H8" s="76"/>
      <c r="I8" s="75"/>
      <c r="J8" s="89"/>
      <c r="K8" s="89"/>
      <c r="L8" s="89"/>
      <c r="M8" s="89"/>
      <c r="N8" s="89"/>
      <c r="O8" s="89"/>
      <c r="P8" s="89"/>
      <c r="Q8" s="89"/>
      <c r="R8" s="85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90" t="n">
        <v>3</v>
      </c>
      <c r="AO8" s="89"/>
      <c r="AP8" s="89"/>
      <c r="AQ8" s="89"/>
      <c r="AR8" s="89"/>
      <c r="AS8" s="89"/>
      <c r="AT8" s="89"/>
      <c r="AU8" s="89"/>
      <c r="AV8" s="90" t="n">
        <v>4.7</v>
      </c>
      <c r="AW8" s="89"/>
      <c r="AX8" s="89"/>
      <c r="AY8" s="89"/>
      <c r="AZ8" s="89"/>
      <c r="BA8" s="89"/>
      <c r="BB8" s="89"/>
      <c r="BC8" s="90" t="n">
        <v>4.7</v>
      </c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90" t="n">
        <v>37.9</v>
      </c>
      <c r="BR8" s="89"/>
      <c r="BS8" s="89"/>
      <c r="BT8" s="89"/>
      <c r="BU8" s="89"/>
      <c r="BV8" s="90" t="n">
        <v>0.9</v>
      </c>
      <c r="BW8" s="89"/>
      <c r="BX8" s="90" t="n">
        <v>47.5</v>
      </c>
      <c r="BY8" s="90" t="n">
        <v>0.9</v>
      </c>
      <c r="BZ8" s="89"/>
      <c r="CA8" s="89"/>
      <c r="CB8" s="89"/>
      <c r="CC8" s="89"/>
      <c r="CD8" s="89"/>
      <c r="CE8" s="89"/>
      <c r="CF8" s="89"/>
      <c r="CG8" s="89"/>
      <c r="CH8" s="90" t="n">
        <v>0.4</v>
      </c>
      <c r="CI8" s="89"/>
      <c r="CJ8" s="89"/>
      <c r="CK8" s="89"/>
      <c r="CL8" s="89"/>
      <c r="CM8" s="85"/>
    </row>
    <row r="9" customFormat="false" ht="19.5" hidden="false" customHeight="true" outlineLevel="0" collapsed="false">
      <c r="A9" s="13" t="n">
        <v>5</v>
      </c>
      <c r="B9" s="14" t="s">
        <v>145</v>
      </c>
      <c r="C9" s="79" t="s">
        <v>272</v>
      </c>
      <c r="D9" s="80" t="n">
        <v>100</v>
      </c>
      <c r="E9" s="81" t="n">
        <f aca="false">IFERROR(2/100*'🏭 원료 마스터'!$C$8+0.8/100*'🏭 원료 마스터'!$C$25+61.7/100*'🏭 원료 마스터'!$C$40+2.4/100*'🏭 원료 마스터'!$C$43+4.8/100*'🏭 원료 마스터'!$C$48+10/100*'🏭 원료 마스터'!$C$49+1.2/100*'🏭 원료 마스터'!$C$55+16.1/100*'🏭 원료 마스터'!$C$63+1/100*'🏭 원료 마스터'!$C$71,"")</f>
        <v>647.85</v>
      </c>
      <c r="F9" s="82"/>
      <c r="G9" s="82"/>
      <c r="H9" s="76"/>
      <c r="I9" s="75"/>
      <c r="J9" s="83"/>
      <c r="K9" s="83"/>
      <c r="L9" s="83"/>
      <c r="M9" s="83"/>
      <c r="N9" s="84" t="n">
        <v>2</v>
      </c>
      <c r="O9" s="83"/>
      <c r="P9" s="83"/>
      <c r="Q9" s="83"/>
      <c r="R9" s="85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4" t="n">
        <v>0.8</v>
      </c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4" t="n">
        <v>61.7</v>
      </c>
      <c r="AU9" s="83"/>
      <c r="AV9" s="83"/>
      <c r="AW9" s="84" t="n">
        <v>2.4</v>
      </c>
      <c r="AX9" s="83"/>
      <c r="AY9" s="83"/>
      <c r="AZ9" s="83"/>
      <c r="BA9" s="83"/>
      <c r="BB9" s="84" t="n">
        <v>4.8</v>
      </c>
      <c r="BC9" s="84" t="n">
        <v>10</v>
      </c>
      <c r="BD9" s="83"/>
      <c r="BE9" s="83"/>
      <c r="BF9" s="83"/>
      <c r="BG9" s="83"/>
      <c r="BH9" s="83"/>
      <c r="BI9" s="84" t="n">
        <v>1.2</v>
      </c>
      <c r="BJ9" s="83"/>
      <c r="BK9" s="83"/>
      <c r="BL9" s="83"/>
      <c r="BM9" s="83"/>
      <c r="BN9" s="83"/>
      <c r="BO9" s="83"/>
      <c r="BP9" s="83"/>
      <c r="BQ9" s="84" t="n">
        <v>16.1</v>
      </c>
      <c r="BR9" s="83"/>
      <c r="BS9" s="83"/>
      <c r="BT9" s="83"/>
      <c r="BU9" s="83"/>
      <c r="BV9" s="83"/>
      <c r="BW9" s="83"/>
      <c r="BX9" s="83"/>
      <c r="BY9" s="84" t="n">
        <v>1</v>
      </c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5"/>
    </row>
    <row r="10" customFormat="false" ht="19.5" hidden="false" customHeight="true" outlineLevel="0" collapsed="false">
      <c r="A10" s="17" t="n">
        <v>6</v>
      </c>
      <c r="B10" s="18" t="s">
        <v>146</v>
      </c>
      <c r="C10" s="86" t="s">
        <v>273</v>
      </c>
      <c r="D10" s="87" t="n">
        <v>100</v>
      </c>
      <c r="E10" s="88" t="n">
        <f aca="false">IFERROR(1.2/100*'🏭 원료 마스터'!$C$7+2.3/100*'🏭 원료 마스터'!$C$8+0.3/100*'🏭 원료 마스터'!$C$9+1.2/100*'🏭 원료 마스터'!$C$25+0.6/100*'🏭 원료 마스터'!$C$26+1.2/100*'🏭 원료 마스터'!$C$31+4.1/100*'🏭 원료 마스터'!$C$43+8.7/100*'🏭 원료 마스터'!$C$49+17.4/100*'🏭 원료 마스터'!$C$63+58/100*'🏭 원료 마스터'!$C$70+0.6/100*'🏭 원료 마스터'!$C$71+0.8/100*'🏭 원료 마스터'!$C$74+1.2/100*'🏭 원료 마스터'!$C$75+1.2/100*'🏭 원료 마스터'!$C$78+1.2/100*'🏭 원료 마스터'!$C$79,"")</f>
        <v>0</v>
      </c>
      <c r="F10" s="82"/>
      <c r="G10" s="82"/>
      <c r="H10" s="76"/>
      <c r="I10" s="75"/>
      <c r="J10" s="89"/>
      <c r="K10" s="89"/>
      <c r="L10" s="89"/>
      <c r="M10" s="90" t="n">
        <v>1.2</v>
      </c>
      <c r="N10" s="90" t="n">
        <v>2.3</v>
      </c>
      <c r="O10" s="90" t="n">
        <v>0.3</v>
      </c>
      <c r="P10" s="89"/>
      <c r="Q10" s="89"/>
      <c r="R10" s="85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90" t="n">
        <v>1.2</v>
      </c>
      <c r="AF10" s="90" t="n">
        <v>0.6</v>
      </c>
      <c r="AG10" s="89"/>
      <c r="AH10" s="89"/>
      <c r="AI10" s="89"/>
      <c r="AJ10" s="89"/>
      <c r="AK10" s="90" t="n">
        <v>1.2</v>
      </c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90" t="n">
        <v>4.1</v>
      </c>
      <c r="AX10" s="89"/>
      <c r="AY10" s="89"/>
      <c r="AZ10" s="89"/>
      <c r="BA10" s="89"/>
      <c r="BB10" s="89"/>
      <c r="BC10" s="90" t="n">
        <v>8.7</v>
      </c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90" t="n">
        <v>17.4</v>
      </c>
      <c r="BR10" s="89"/>
      <c r="BS10" s="89"/>
      <c r="BT10" s="89"/>
      <c r="BU10" s="89"/>
      <c r="BV10" s="89"/>
      <c r="BW10" s="89"/>
      <c r="BX10" s="90" t="n">
        <v>58</v>
      </c>
      <c r="BY10" s="90" t="n">
        <v>0.6</v>
      </c>
      <c r="BZ10" s="89"/>
      <c r="CA10" s="89"/>
      <c r="CB10" s="90" t="n">
        <v>0.8</v>
      </c>
      <c r="CC10" s="90" t="n">
        <v>1.2</v>
      </c>
      <c r="CD10" s="89"/>
      <c r="CE10" s="89"/>
      <c r="CF10" s="90" t="n">
        <v>1.2</v>
      </c>
      <c r="CG10" s="90" t="n">
        <v>1.2</v>
      </c>
      <c r="CH10" s="89"/>
      <c r="CI10" s="89"/>
      <c r="CJ10" s="89"/>
      <c r="CK10" s="89"/>
      <c r="CL10" s="89"/>
      <c r="CM10" s="85"/>
    </row>
    <row r="11" customFormat="false" ht="19.5" hidden="false" customHeight="true" outlineLevel="0" collapsed="false">
      <c r="A11" s="13" t="n">
        <v>7</v>
      </c>
      <c r="B11" s="14" t="s">
        <v>147</v>
      </c>
      <c r="C11" s="79" t="s">
        <v>274</v>
      </c>
      <c r="D11" s="80" t="n">
        <v>100</v>
      </c>
      <c r="E11" s="81" t="n">
        <f aca="false">IFERROR(1.6/100*'🏭 원료 마스터'!$C$4+1.7/100*'🏭 원료 마스터'!$C$7+0.3/100*'🏭 원료 마스터'!$C$9+2.9/100*'🏭 원료 마스터'!$C$30+1.2/100*'🏭 원료 마스터'!$C$31+4.1/100*'🏭 원료 마스터'!$C$43+8.6/100*'🏭 원료 마스터'!$C$49+17.3/100*'🏭 원료 마스터'!$C$63+57.6/100*'🏭 원료 마스터'!$C$70+0.5/100*'🏭 원료 마스터'!$C$71+0.6/100*'🏭 원료 마스터'!$C$74+1.2/100*'🏭 원료 마스터'!$C$75+1.2/100*'🏭 원료 마스터'!$C$78+1.2/100*'🏭 원료 마스터'!$C$79,"")</f>
        <v>0</v>
      </c>
      <c r="F11" s="82"/>
      <c r="G11" s="82"/>
      <c r="H11" s="76"/>
      <c r="I11" s="75"/>
      <c r="J11" s="84" t="n">
        <v>1.6</v>
      </c>
      <c r="K11" s="83"/>
      <c r="L11" s="83"/>
      <c r="M11" s="84" t="n">
        <v>1.7</v>
      </c>
      <c r="N11" s="83"/>
      <c r="O11" s="84" t="n">
        <v>0.3</v>
      </c>
      <c r="P11" s="83"/>
      <c r="Q11" s="83"/>
      <c r="R11" s="85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4" t="n">
        <v>2.9</v>
      </c>
      <c r="AK11" s="84" t="n">
        <v>1.2</v>
      </c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4" t="n">
        <v>4.1</v>
      </c>
      <c r="AX11" s="83"/>
      <c r="AY11" s="83"/>
      <c r="AZ11" s="83"/>
      <c r="BA11" s="83"/>
      <c r="BB11" s="83"/>
      <c r="BC11" s="84" t="n">
        <v>8.6</v>
      </c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4" t="n">
        <v>17.3</v>
      </c>
      <c r="BR11" s="83"/>
      <c r="BS11" s="83"/>
      <c r="BT11" s="83"/>
      <c r="BU11" s="83"/>
      <c r="BV11" s="83"/>
      <c r="BW11" s="83"/>
      <c r="BX11" s="84" t="n">
        <v>57.6</v>
      </c>
      <c r="BY11" s="84" t="n">
        <v>0.5</v>
      </c>
      <c r="BZ11" s="83"/>
      <c r="CA11" s="83"/>
      <c r="CB11" s="84" t="n">
        <v>0.6</v>
      </c>
      <c r="CC11" s="84" t="n">
        <v>1.2</v>
      </c>
      <c r="CD11" s="83"/>
      <c r="CE11" s="83"/>
      <c r="CF11" s="84" t="n">
        <v>1.2</v>
      </c>
      <c r="CG11" s="84" t="n">
        <v>1.2</v>
      </c>
      <c r="CH11" s="83"/>
      <c r="CI11" s="83"/>
      <c r="CJ11" s="83"/>
      <c r="CK11" s="83"/>
      <c r="CL11" s="83"/>
      <c r="CM11" s="85"/>
    </row>
    <row r="12" customFormat="false" ht="19.5" hidden="false" customHeight="true" outlineLevel="0" collapsed="false">
      <c r="A12" s="17" t="n">
        <v>8</v>
      </c>
      <c r="B12" s="18" t="s">
        <v>148</v>
      </c>
      <c r="C12" s="86" t="s">
        <v>275</v>
      </c>
      <c r="D12" s="87" t="n">
        <v>100</v>
      </c>
      <c r="E12" s="88" t="n">
        <f aca="false">IFERROR(0.9/100*'🏭 원료 마스터'!$C$6+0.1/100*'🏭 원료 마스터'!$C$36+1.4/100*'🏭 원료 마스터'!$C$37+68.1/100*'🏭 원료 마스터'!$C$40+10.6/100*'🏭 원료 마스터'!$C$49+17.7/100*'🏭 원료 마스터'!$C$63+1.2/100*'🏭 원료 마스터'!$C$71,"")</f>
        <v>715.05</v>
      </c>
      <c r="F12" s="82"/>
      <c r="G12" s="82"/>
      <c r="H12" s="76"/>
      <c r="I12" s="75"/>
      <c r="J12" s="89"/>
      <c r="K12" s="89"/>
      <c r="L12" s="90" t="n">
        <v>0.9</v>
      </c>
      <c r="M12" s="89"/>
      <c r="N12" s="89"/>
      <c r="O12" s="89"/>
      <c r="P12" s="89"/>
      <c r="Q12" s="89"/>
      <c r="R12" s="85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 t="n">
        <v>0.1</v>
      </c>
      <c r="AQ12" s="90" t="n">
        <v>1.4</v>
      </c>
      <c r="AR12" s="89"/>
      <c r="AS12" s="89"/>
      <c r="AT12" s="90" t="n">
        <v>68.1</v>
      </c>
      <c r="AU12" s="89"/>
      <c r="AV12" s="89"/>
      <c r="AW12" s="89"/>
      <c r="AX12" s="89"/>
      <c r="AY12" s="89"/>
      <c r="AZ12" s="89"/>
      <c r="BA12" s="89"/>
      <c r="BB12" s="89"/>
      <c r="BC12" s="90" t="n">
        <v>10.6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90" t="n">
        <v>17.7</v>
      </c>
      <c r="BR12" s="89"/>
      <c r="BS12" s="89"/>
      <c r="BT12" s="89"/>
      <c r="BU12" s="89"/>
      <c r="BV12" s="89"/>
      <c r="BW12" s="89"/>
      <c r="BX12" s="89"/>
      <c r="BY12" s="90" t="n">
        <v>1.2</v>
      </c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5"/>
    </row>
    <row r="13" customFormat="false" ht="19.5" hidden="false" customHeight="true" outlineLevel="0" collapsed="false">
      <c r="A13" s="13" t="n">
        <v>9</v>
      </c>
      <c r="B13" s="14" t="s">
        <v>149</v>
      </c>
      <c r="C13" s="86" t="s">
        <v>276</v>
      </c>
      <c r="D13" s="80" t="n">
        <v>100</v>
      </c>
      <c r="E13" s="81" t="n">
        <f aca="false">IFERROR(2.5/100*'🏭 원료 마스터'!$C$12+4.64/100*'🏭 원료 마스터'!$C$13+2.96/100*'🏭 원료 마스터'!$C$18+5.43/100*'🏭 원료 마스터'!$C$42+6.62/100*'🏭 원료 마스터'!$C$47+1.42/100*'🏭 원료 마스터'!$C$49+0.49/100*'🏭 원료 마스터'!$C$57+3.1/100*'🏭 원료 마스터'!$C$63+0.24/100*'🏭 원료 마스터'!$C$64+10.16/100*'🏭 원료 마스터'!$C$65+0.39/100*'🏭 원료 마스터'!$C$68+53.2/100*'🏭 원료 마스터'!$C$70+6.65/100*'🏭 원료 마스터'!$C$72+2.2/100*'🏭 원료 마스터'!$C$82,"")</f>
        <v>0</v>
      </c>
      <c r="F13" s="82"/>
      <c r="G13" s="82"/>
      <c r="H13" s="76"/>
      <c r="I13" s="75"/>
      <c r="J13" s="83"/>
      <c r="K13" s="83"/>
      <c r="L13" s="83"/>
      <c r="M13" s="83"/>
      <c r="N13" s="83"/>
      <c r="O13" s="83"/>
      <c r="P13" s="83"/>
      <c r="Q13" s="83"/>
      <c r="R13" s="91" t="n">
        <v>2.5</v>
      </c>
      <c r="S13" s="84" t="n">
        <v>4.64</v>
      </c>
      <c r="T13" s="83"/>
      <c r="U13" s="83"/>
      <c r="V13" s="83"/>
      <c r="W13" s="83"/>
      <c r="X13" s="84" t="n">
        <v>2.96</v>
      </c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4" t="n">
        <v>5.43</v>
      </c>
      <c r="AW13" s="83"/>
      <c r="AX13" s="83"/>
      <c r="AY13" s="83"/>
      <c r="AZ13" s="83"/>
      <c r="BA13" s="84" t="n">
        <v>6.62</v>
      </c>
      <c r="BB13" s="83"/>
      <c r="BC13" s="84" t="n">
        <v>1.42</v>
      </c>
      <c r="BD13" s="83"/>
      <c r="BE13" s="83"/>
      <c r="BF13" s="83"/>
      <c r="BG13" s="83"/>
      <c r="BH13" s="83"/>
      <c r="BI13" s="83"/>
      <c r="BJ13" s="83"/>
      <c r="BK13" s="84" t="n">
        <v>0.49</v>
      </c>
      <c r="BL13" s="83"/>
      <c r="BM13" s="83"/>
      <c r="BN13" s="83"/>
      <c r="BO13" s="83"/>
      <c r="BP13" s="83"/>
      <c r="BQ13" s="84" t="n">
        <v>3.1</v>
      </c>
      <c r="BR13" s="84" t="n">
        <v>0.24</v>
      </c>
      <c r="BS13" s="84" t="n">
        <v>10.16</v>
      </c>
      <c r="BT13" s="83"/>
      <c r="BU13" s="83"/>
      <c r="BV13" s="84" t="n">
        <v>0.39</v>
      </c>
      <c r="BW13" s="83"/>
      <c r="BX13" s="84" t="n">
        <v>53.2</v>
      </c>
      <c r="BY13" s="83"/>
      <c r="BZ13" s="84" t="n">
        <v>6.65</v>
      </c>
      <c r="CA13" s="83"/>
      <c r="CB13" s="83"/>
      <c r="CC13" s="83"/>
      <c r="CD13" s="83"/>
      <c r="CE13" s="83"/>
      <c r="CF13" s="83"/>
      <c r="CG13" s="83"/>
      <c r="CH13" s="83"/>
      <c r="CI13" s="83"/>
      <c r="CJ13" s="84" t="n">
        <v>2.2</v>
      </c>
      <c r="CK13" s="83"/>
      <c r="CL13" s="83"/>
      <c r="CM13" s="85"/>
    </row>
    <row r="14" customFormat="false" ht="19.5" hidden="false" customHeight="true" outlineLevel="0" collapsed="false">
      <c r="A14" s="17" t="n">
        <v>10</v>
      </c>
      <c r="B14" s="18" t="s">
        <v>150</v>
      </c>
      <c r="C14" s="86" t="s">
        <v>276</v>
      </c>
      <c r="D14" s="87" t="n">
        <v>100</v>
      </c>
      <c r="E14" s="88" t="n">
        <f aca="false">IFERROR(2.96/100*'🏭 원료 마스터'!$C$18+3.57/100*'🏭 원료 마스터'!$C$36+5.43/100*'🏭 원료 마스터'!$C$42+6.62/100*'🏭 원료 마스터'!$C$47+1.42/100*'🏭 원료 마스터'!$C$49+3.57/100*'🏭 원료 마스터'!$C$50+0.49/100*'🏭 원료 마스터'!$C$57+3.1/100*'🏭 원료 마스터'!$C$63+0.24/100*'🏭 원료 마스터'!$C$64+10.16/100*'🏭 원료 마스터'!$C$65+0.39/100*'🏭 원료 마스터'!$C$68+53.2/100*'🏭 원료 마스터'!$C$70+6.65/100*'🏭 원료 마스터'!$C$72+2.2/100*'🏭 원료 마스터'!$C$82,"")</f>
        <v>0</v>
      </c>
      <c r="F14" s="82"/>
      <c r="G14" s="82"/>
      <c r="H14" s="76"/>
      <c r="I14" s="75"/>
      <c r="J14" s="89"/>
      <c r="K14" s="89"/>
      <c r="L14" s="89"/>
      <c r="M14" s="89"/>
      <c r="N14" s="89"/>
      <c r="O14" s="89"/>
      <c r="P14" s="89"/>
      <c r="Q14" s="89"/>
      <c r="R14" s="85"/>
      <c r="S14" s="89"/>
      <c r="T14" s="89"/>
      <c r="U14" s="89"/>
      <c r="V14" s="89"/>
      <c r="W14" s="89"/>
      <c r="X14" s="90" t="n">
        <v>2.96</v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 t="n">
        <v>3.57</v>
      </c>
      <c r="AQ14" s="89"/>
      <c r="AR14" s="89"/>
      <c r="AS14" s="89"/>
      <c r="AT14" s="89"/>
      <c r="AU14" s="89"/>
      <c r="AV14" s="90" t="n">
        <v>5.43</v>
      </c>
      <c r="AW14" s="89"/>
      <c r="AX14" s="89"/>
      <c r="AY14" s="89"/>
      <c r="AZ14" s="89"/>
      <c r="BA14" s="90" t="n">
        <v>6.62</v>
      </c>
      <c r="BB14" s="89"/>
      <c r="BC14" s="90" t="n">
        <v>1.42</v>
      </c>
      <c r="BD14" s="90" t="n">
        <v>3.57</v>
      </c>
      <c r="BE14" s="89"/>
      <c r="BF14" s="89"/>
      <c r="BG14" s="89"/>
      <c r="BH14" s="89"/>
      <c r="BI14" s="89"/>
      <c r="BJ14" s="89"/>
      <c r="BK14" s="90" t="n">
        <v>0.49</v>
      </c>
      <c r="BL14" s="89"/>
      <c r="BM14" s="89"/>
      <c r="BN14" s="89"/>
      <c r="BO14" s="89"/>
      <c r="BP14" s="89"/>
      <c r="BQ14" s="90" t="n">
        <v>3.1</v>
      </c>
      <c r="BR14" s="90" t="n">
        <v>0.24</v>
      </c>
      <c r="BS14" s="90" t="n">
        <v>10.16</v>
      </c>
      <c r="BT14" s="89"/>
      <c r="BU14" s="89"/>
      <c r="BV14" s="90" t="n">
        <v>0.39</v>
      </c>
      <c r="BW14" s="89"/>
      <c r="BX14" s="90" t="n">
        <v>53.2</v>
      </c>
      <c r="BY14" s="89"/>
      <c r="BZ14" s="90" t="n">
        <v>6.65</v>
      </c>
      <c r="CA14" s="89"/>
      <c r="CB14" s="89"/>
      <c r="CC14" s="89"/>
      <c r="CD14" s="89"/>
      <c r="CE14" s="89"/>
      <c r="CF14" s="89"/>
      <c r="CG14" s="89"/>
      <c r="CH14" s="89"/>
      <c r="CI14" s="89"/>
      <c r="CJ14" s="90" t="n">
        <v>2.2</v>
      </c>
      <c r="CK14" s="89"/>
      <c r="CL14" s="89"/>
      <c r="CM14" s="85"/>
    </row>
    <row r="15" customFormat="false" ht="19.5" hidden="false" customHeight="true" outlineLevel="0" collapsed="false">
      <c r="A15" s="13" t="n">
        <v>11</v>
      </c>
      <c r="B15" s="14" t="s">
        <v>151</v>
      </c>
      <c r="C15" s="79" t="s">
        <v>276</v>
      </c>
      <c r="D15" s="80" t="n">
        <v>100</v>
      </c>
      <c r="E15" s="81" t="n">
        <f aca="false">IFERROR(2.96/100*'🏭 원료 마스터'!$C$18+7.14/100*'🏭 원료 마스터'!$C$23+5.43/100*'🏭 원료 마스터'!$C$42+6.62/100*'🏭 원료 마스터'!$C$47+1.42/100*'🏭 원료 마스터'!$C$49+0.49/100*'🏭 원료 마스터'!$C$57+3.1/100*'🏭 원료 마스터'!$C$63+0.24/100*'🏭 원료 마스터'!$C$64+10.16/100*'🏭 원료 마스터'!$C$65+0.39/100*'🏭 원료 마스터'!$C$68+53.2/100*'🏭 원료 마스터'!$C$70+6.65/100*'🏭 원료 마스터'!$C$72+2.2/100*'🏭 원료 마스터'!$C$82,"")</f>
        <v>0</v>
      </c>
      <c r="F15" s="82"/>
      <c r="G15" s="82"/>
      <c r="H15" s="76"/>
      <c r="I15" s="75"/>
      <c r="J15" s="83"/>
      <c r="K15" s="83"/>
      <c r="L15" s="83"/>
      <c r="M15" s="83"/>
      <c r="N15" s="83"/>
      <c r="O15" s="83"/>
      <c r="P15" s="83"/>
      <c r="Q15" s="83"/>
      <c r="R15" s="85"/>
      <c r="S15" s="83"/>
      <c r="T15" s="83"/>
      <c r="U15" s="83"/>
      <c r="V15" s="83"/>
      <c r="W15" s="83"/>
      <c r="X15" s="84" t="n">
        <v>2.96</v>
      </c>
      <c r="Y15" s="83"/>
      <c r="Z15" s="83"/>
      <c r="AA15" s="83"/>
      <c r="AB15" s="83"/>
      <c r="AC15" s="84" t="n">
        <v>7.14</v>
      </c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4" t="n">
        <v>5.43</v>
      </c>
      <c r="AW15" s="83"/>
      <c r="AX15" s="83"/>
      <c r="AY15" s="83"/>
      <c r="AZ15" s="83"/>
      <c r="BA15" s="84" t="n">
        <v>6.62</v>
      </c>
      <c r="BB15" s="83"/>
      <c r="BC15" s="84" t="n">
        <v>1.42</v>
      </c>
      <c r="BD15" s="83"/>
      <c r="BE15" s="83"/>
      <c r="BF15" s="83"/>
      <c r="BG15" s="83"/>
      <c r="BH15" s="83"/>
      <c r="BI15" s="83"/>
      <c r="BJ15" s="83"/>
      <c r="BK15" s="84" t="n">
        <v>0.49</v>
      </c>
      <c r="BL15" s="83"/>
      <c r="BM15" s="83"/>
      <c r="BN15" s="83"/>
      <c r="BO15" s="83"/>
      <c r="BP15" s="83"/>
      <c r="BQ15" s="84" t="n">
        <v>3.1</v>
      </c>
      <c r="BR15" s="84" t="n">
        <v>0.24</v>
      </c>
      <c r="BS15" s="84" t="n">
        <v>10.16</v>
      </c>
      <c r="BT15" s="83"/>
      <c r="BU15" s="83"/>
      <c r="BV15" s="84" t="n">
        <v>0.39</v>
      </c>
      <c r="BW15" s="83"/>
      <c r="BX15" s="84" t="n">
        <v>53.2</v>
      </c>
      <c r="BY15" s="83"/>
      <c r="BZ15" s="84" t="n">
        <v>6.65</v>
      </c>
      <c r="CA15" s="83"/>
      <c r="CB15" s="83"/>
      <c r="CC15" s="83"/>
      <c r="CD15" s="83"/>
      <c r="CE15" s="83"/>
      <c r="CF15" s="83"/>
      <c r="CG15" s="83"/>
      <c r="CH15" s="83"/>
      <c r="CI15" s="83"/>
      <c r="CJ15" s="84" t="n">
        <v>2.2</v>
      </c>
      <c r="CK15" s="83"/>
      <c r="CL15" s="83"/>
      <c r="CM15" s="85"/>
    </row>
    <row r="16" customFormat="false" ht="19.5" hidden="false" customHeight="true" outlineLevel="0" collapsed="false">
      <c r="A16" s="17" t="n">
        <v>12</v>
      </c>
      <c r="B16" s="18" t="s">
        <v>152</v>
      </c>
      <c r="C16" s="86" t="s">
        <v>276</v>
      </c>
      <c r="D16" s="87" t="n">
        <v>100</v>
      </c>
      <c r="E16" s="88" t="n">
        <f aca="false">IFERROR(2.96/100*'🏭 원료 마스터'!$C$18+3.57/100*'🏭 원료 마스터'!$C$24+5.43/100*'🏭 원료 마스터'!$C$42+6.62/100*'🏭 원료 마스터'!$C$47+1.42/100*'🏭 원료 마스터'!$C$49+0.49/100*'🏭 원료 마스터'!$C$57+3.1/100*'🏭 원료 마스터'!$C$63+0.24/100*'🏭 원료 마스터'!$C$64+10.16/100*'🏭 원료 마스터'!$C$65+0.39/100*'🏭 원료 마스터'!$C$68+53.2/100*'🏭 원료 마스터'!$C$70+6.65/100*'🏭 원료 마스터'!$C$72+3.57/100*'🏭 원료 마스터'!$C$73+2.2/100*'🏭 원료 마스터'!$C$82,"")</f>
        <v>0</v>
      </c>
      <c r="F16" s="82"/>
      <c r="G16" s="82"/>
      <c r="H16" s="76"/>
      <c r="I16" s="75"/>
      <c r="J16" s="89"/>
      <c r="K16" s="89"/>
      <c r="L16" s="89"/>
      <c r="M16" s="89"/>
      <c r="N16" s="89"/>
      <c r="O16" s="89"/>
      <c r="P16" s="89"/>
      <c r="Q16" s="89"/>
      <c r="R16" s="85"/>
      <c r="S16" s="89"/>
      <c r="T16" s="89"/>
      <c r="U16" s="89"/>
      <c r="V16" s="89"/>
      <c r="W16" s="89"/>
      <c r="X16" s="90" t="n">
        <v>2.96</v>
      </c>
      <c r="Y16" s="89"/>
      <c r="Z16" s="89"/>
      <c r="AA16" s="89"/>
      <c r="AB16" s="89"/>
      <c r="AC16" s="89"/>
      <c r="AD16" s="90" t="n">
        <v>3.57</v>
      </c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90" t="n">
        <v>5.43</v>
      </c>
      <c r="AW16" s="89"/>
      <c r="AX16" s="89"/>
      <c r="AY16" s="89"/>
      <c r="AZ16" s="89"/>
      <c r="BA16" s="90" t="n">
        <v>6.62</v>
      </c>
      <c r="BB16" s="89"/>
      <c r="BC16" s="90" t="n">
        <v>1.42</v>
      </c>
      <c r="BD16" s="89"/>
      <c r="BE16" s="89"/>
      <c r="BF16" s="89"/>
      <c r="BG16" s="89"/>
      <c r="BH16" s="89"/>
      <c r="BI16" s="89"/>
      <c r="BJ16" s="89"/>
      <c r="BK16" s="90" t="n">
        <v>0.49</v>
      </c>
      <c r="BL16" s="89"/>
      <c r="BM16" s="89"/>
      <c r="BN16" s="89"/>
      <c r="BO16" s="89"/>
      <c r="BP16" s="89"/>
      <c r="BQ16" s="90" t="n">
        <v>3.1</v>
      </c>
      <c r="BR16" s="90" t="n">
        <v>0.24</v>
      </c>
      <c r="BS16" s="90" t="n">
        <v>10.16</v>
      </c>
      <c r="BT16" s="89"/>
      <c r="BU16" s="89"/>
      <c r="BV16" s="90" t="n">
        <v>0.39</v>
      </c>
      <c r="BW16" s="89"/>
      <c r="BX16" s="90" t="n">
        <v>53.2</v>
      </c>
      <c r="BY16" s="89"/>
      <c r="BZ16" s="90" t="n">
        <v>6.65</v>
      </c>
      <c r="CA16" s="90" t="n">
        <v>3.57</v>
      </c>
      <c r="CB16" s="89"/>
      <c r="CC16" s="89"/>
      <c r="CD16" s="89"/>
      <c r="CE16" s="89"/>
      <c r="CF16" s="89"/>
      <c r="CG16" s="89"/>
      <c r="CH16" s="89"/>
      <c r="CI16" s="89"/>
      <c r="CJ16" s="90" t="n">
        <v>2.2</v>
      </c>
      <c r="CK16" s="89"/>
      <c r="CL16" s="89"/>
      <c r="CM16" s="85"/>
    </row>
    <row r="17" customFormat="false" ht="19.5" hidden="false" customHeight="true" outlineLevel="0" collapsed="false">
      <c r="A17" s="13" t="n">
        <v>13</v>
      </c>
      <c r="B17" s="14" t="s">
        <v>153</v>
      </c>
      <c r="C17" s="79" t="s">
        <v>276</v>
      </c>
      <c r="D17" s="80" t="n">
        <v>100</v>
      </c>
      <c r="E17" s="81" t="n">
        <f aca="false">IFERROR(2.96/100*'🏭 원료 마스터'!$C$18+7.14/100*'🏭 원료 마스터'!$C$38+5.43/100*'🏭 원료 마스터'!$C$42+6.62/100*'🏭 원료 마스터'!$C$47+1.42/100*'🏭 원료 마스터'!$C$49+0.49/100*'🏭 원료 마스터'!$C$57+3.1/100*'🏭 원료 마스터'!$C$63+0.24/100*'🏭 원료 마스터'!$C$64+10.16/100*'🏭 원료 마스터'!$C$65+0.39/100*'🏭 원료 마스터'!$C$68+53.2/100*'🏭 원료 마스터'!$C$70+6.65/100*'🏭 원료 마스터'!$C$72+2.2/100*'🏭 원료 마스터'!$C$82,"")</f>
        <v>0</v>
      </c>
      <c r="F17" s="82"/>
      <c r="G17" s="82"/>
      <c r="H17" s="76"/>
      <c r="I17" s="75"/>
      <c r="J17" s="83"/>
      <c r="K17" s="83"/>
      <c r="L17" s="83"/>
      <c r="M17" s="83"/>
      <c r="N17" s="83"/>
      <c r="O17" s="83"/>
      <c r="P17" s="83"/>
      <c r="Q17" s="83"/>
      <c r="R17" s="85"/>
      <c r="S17" s="83"/>
      <c r="T17" s="83"/>
      <c r="U17" s="83"/>
      <c r="V17" s="83"/>
      <c r="W17" s="83"/>
      <c r="X17" s="84" t="n">
        <v>2.96</v>
      </c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4" t="n">
        <v>7.14</v>
      </c>
      <c r="AS17" s="83"/>
      <c r="AT17" s="83"/>
      <c r="AU17" s="83"/>
      <c r="AV17" s="84" t="n">
        <v>5.43</v>
      </c>
      <c r="AW17" s="83"/>
      <c r="AX17" s="83"/>
      <c r="AY17" s="83"/>
      <c r="AZ17" s="83"/>
      <c r="BA17" s="84" t="n">
        <v>6.62</v>
      </c>
      <c r="BB17" s="83"/>
      <c r="BC17" s="84" t="n">
        <v>1.42</v>
      </c>
      <c r="BD17" s="83"/>
      <c r="BE17" s="83"/>
      <c r="BF17" s="83"/>
      <c r="BG17" s="83"/>
      <c r="BH17" s="83"/>
      <c r="BI17" s="83"/>
      <c r="BJ17" s="83"/>
      <c r="BK17" s="84" t="n">
        <v>0.49</v>
      </c>
      <c r="BL17" s="83"/>
      <c r="BM17" s="83"/>
      <c r="BN17" s="83"/>
      <c r="BO17" s="83"/>
      <c r="BP17" s="83"/>
      <c r="BQ17" s="84" t="n">
        <v>3.1</v>
      </c>
      <c r="BR17" s="84" t="n">
        <v>0.24</v>
      </c>
      <c r="BS17" s="84" t="n">
        <v>10.16</v>
      </c>
      <c r="BT17" s="83"/>
      <c r="BU17" s="83"/>
      <c r="BV17" s="84" t="n">
        <v>0.39</v>
      </c>
      <c r="BW17" s="83"/>
      <c r="BX17" s="84" t="n">
        <v>53.2</v>
      </c>
      <c r="BY17" s="83"/>
      <c r="BZ17" s="84" t="n">
        <v>6.65</v>
      </c>
      <c r="CA17" s="83"/>
      <c r="CB17" s="83"/>
      <c r="CC17" s="83"/>
      <c r="CD17" s="83"/>
      <c r="CE17" s="83"/>
      <c r="CF17" s="83"/>
      <c r="CG17" s="83"/>
      <c r="CH17" s="83"/>
      <c r="CI17" s="83"/>
      <c r="CJ17" s="84" t="n">
        <v>2.2</v>
      </c>
      <c r="CK17" s="83"/>
      <c r="CL17" s="83"/>
      <c r="CM17" s="85"/>
    </row>
    <row r="18" customFormat="false" ht="19.5" hidden="false" customHeight="true" outlineLevel="0" collapsed="false">
      <c r="A18" s="17" t="n">
        <v>14</v>
      </c>
      <c r="B18" s="18" t="s">
        <v>154</v>
      </c>
      <c r="C18" s="86" t="s">
        <v>276</v>
      </c>
      <c r="D18" s="87" t="n">
        <v>100</v>
      </c>
      <c r="E18" s="88" t="n">
        <f aca="false">IFERROR(2.96/100*'🏭 원료 마스터'!$C$18+7.14/100*'🏭 원료 마스터'!$C$19+5.43/100*'🏭 원료 마스터'!$C$42+6.62/100*'🏭 원료 마스터'!$C$47+1.42/100*'🏭 원료 마스터'!$C$49+0.49/100*'🏭 원료 마스터'!$C$57+3.1/100*'🏭 원료 마스터'!$C$63+0.24/100*'🏭 원료 마스터'!$C$64+10.16/100*'🏭 원료 마스터'!$C$65+0.39/100*'🏭 원료 마스터'!$C$68+53.2/100*'🏭 원료 마스터'!$C$70+6.65/100*'🏭 원료 마스터'!$C$72+2.2/100*'🏭 원료 마스터'!$C$82,"")</f>
        <v>0</v>
      </c>
      <c r="F18" s="82"/>
      <c r="G18" s="82"/>
      <c r="H18" s="76"/>
      <c r="I18" s="75"/>
      <c r="J18" s="89"/>
      <c r="K18" s="89"/>
      <c r="L18" s="89"/>
      <c r="M18" s="89"/>
      <c r="N18" s="89"/>
      <c r="O18" s="89"/>
      <c r="P18" s="89"/>
      <c r="Q18" s="89"/>
      <c r="R18" s="85"/>
      <c r="S18" s="89"/>
      <c r="T18" s="89"/>
      <c r="U18" s="89"/>
      <c r="V18" s="89"/>
      <c r="W18" s="89"/>
      <c r="X18" s="90" t="n">
        <v>2.96</v>
      </c>
      <c r="Y18" s="90" t="n">
        <v>7.14</v>
      </c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90" t="n">
        <v>5.43</v>
      </c>
      <c r="AW18" s="89"/>
      <c r="AX18" s="89"/>
      <c r="AY18" s="89"/>
      <c r="AZ18" s="89"/>
      <c r="BA18" s="90" t="n">
        <v>6.62</v>
      </c>
      <c r="BB18" s="89"/>
      <c r="BC18" s="90" t="n">
        <v>1.42</v>
      </c>
      <c r="BD18" s="89"/>
      <c r="BE18" s="89"/>
      <c r="BF18" s="89"/>
      <c r="BG18" s="89"/>
      <c r="BH18" s="89"/>
      <c r="BI18" s="89"/>
      <c r="BJ18" s="89"/>
      <c r="BK18" s="90" t="n">
        <v>0.49</v>
      </c>
      <c r="BL18" s="89"/>
      <c r="BM18" s="89"/>
      <c r="BN18" s="89"/>
      <c r="BO18" s="89"/>
      <c r="BP18" s="89"/>
      <c r="BQ18" s="90" t="n">
        <v>3.1</v>
      </c>
      <c r="BR18" s="90" t="n">
        <v>0.24</v>
      </c>
      <c r="BS18" s="90" t="n">
        <v>10.16</v>
      </c>
      <c r="BT18" s="89"/>
      <c r="BU18" s="89"/>
      <c r="BV18" s="90" t="n">
        <v>0.39</v>
      </c>
      <c r="BW18" s="89"/>
      <c r="BX18" s="90" t="n">
        <v>53.2</v>
      </c>
      <c r="BY18" s="89"/>
      <c r="BZ18" s="90" t="n">
        <v>6.65</v>
      </c>
      <c r="CA18" s="89"/>
      <c r="CB18" s="89"/>
      <c r="CC18" s="89"/>
      <c r="CD18" s="89"/>
      <c r="CE18" s="89"/>
      <c r="CF18" s="89"/>
      <c r="CG18" s="89"/>
      <c r="CH18" s="89"/>
      <c r="CI18" s="89"/>
      <c r="CJ18" s="90" t="n">
        <v>2.2</v>
      </c>
      <c r="CK18" s="89"/>
      <c r="CL18" s="89"/>
      <c r="CM18" s="85"/>
    </row>
    <row r="19" customFormat="false" ht="19.5" hidden="false" customHeight="true" outlineLevel="0" collapsed="false">
      <c r="A19" s="13" t="n">
        <v>15</v>
      </c>
      <c r="B19" s="14" t="s">
        <v>155</v>
      </c>
      <c r="C19" s="79" t="s">
        <v>277</v>
      </c>
      <c r="D19" s="80" t="n">
        <v>100</v>
      </c>
      <c r="E19" s="81" t="n">
        <f aca="false">IFERROR(4.3/100*'🏭 원료 마스터'!$C$39+2.1/100*'🏭 원료 마스터'!$C$42+0.8/100*'🏭 원료 마스터'!$C$43+2.1/100*'🏭 원료 마스터'!$C$49+3.2/100*'🏭 원료 마스터'!$C$58+40.1/100*'🏭 원료 마스터'!$C$66+0.2/100*'🏭 원료 마스터'!$C$68+43/100*'🏭 원료 마스터'!$C$70+0.7/100*'🏭 원료 마스터'!$C$71+3.2/100*'🏭 원료 마스터'!$C$78+0.3/100*'🏭 원료 마스터'!$C$80,"")</f>
        <v>0</v>
      </c>
      <c r="F19" s="82"/>
      <c r="G19" s="82"/>
      <c r="H19" s="76"/>
      <c r="I19" s="75"/>
      <c r="J19" s="83"/>
      <c r="K19" s="83"/>
      <c r="L19" s="83"/>
      <c r="M19" s="83"/>
      <c r="N19" s="83"/>
      <c r="O19" s="83"/>
      <c r="P19" s="83"/>
      <c r="Q19" s="83"/>
      <c r="R19" s="85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4" t="n">
        <v>4.3</v>
      </c>
      <c r="AT19" s="83"/>
      <c r="AU19" s="83"/>
      <c r="AV19" s="84" t="n">
        <v>2.1</v>
      </c>
      <c r="AW19" s="84" t="n">
        <v>0.8</v>
      </c>
      <c r="AX19" s="83"/>
      <c r="AY19" s="83"/>
      <c r="AZ19" s="83"/>
      <c r="BA19" s="83"/>
      <c r="BB19" s="83"/>
      <c r="BC19" s="84" t="n">
        <v>2.1</v>
      </c>
      <c r="BD19" s="83"/>
      <c r="BE19" s="83"/>
      <c r="BF19" s="83"/>
      <c r="BG19" s="83"/>
      <c r="BH19" s="83"/>
      <c r="BI19" s="83"/>
      <c r="BJ19" s="83"/>
      <c r="BK19" s="83"/>
      <c r="BL19" s="84" t="n">
        <v>3.2</v>
      </c>
      <c r="BM19" s="83"/>
      <c r="BN19" s="83"/>
      <c r="BO19" s="83"/>
      <c r="BP19" s="83"/>
      <c r="BQ19" s="83"/>
      <c r="BR19" s="83"/>
      <c r="BS19" s="83"/>
      <c r="BT19" s="84" t="n">
        <v>40.1</v>
      </c>
      <c r="BU19" s="83"/>
      <c r="BV19" s="84" t="n">
        <v>0.2</v>
      </c>
      <c r="BW19" s="83"/>
      <c r="BX19" s="84" t="n">
        <v>43</v>
      </c>
      <c r="BY19" s="84" t="n">
        <v>0.7</v>
      </c>
      <c r="BZ19" s="83"/>
      <c r="CA19" s="83"/>
      <c r="CB19" s="83"/>
      <c r="CC19" s="83"/>
      <c r="CD19" s="83"/>
      <c r="CE19" s="83"/>
      <c r="CF19" s="84" t="n">
        <v>3.2</v>
      </c>
      <c r="CG19" s="83"/>
      <c r="CH19" s="84" t="n">
        <v>0.3</v>
      </c>
      <c r="CI19" s="83"/>
      <c r="CJ19" s="83"/>
      <c r="CK19" s="83"/>
      <c r="CL19" s="83"/>
      <c r="CM19" s="85"/>
    </row>
    <row r="20" customFormat="false" ht="19.5" hidden="false" customHeight="true" outlineLevel="0" collapsed="false">
      <c r="A20" s="17" t="n">
        <v>16</v>
      </c>
      <c r="B20" s="18" t="s">
        <v>156</v>
      </c>
      <c r="C20" s="86" t="s">
        <v>278</v>
      </c>
      <c r="D20" s="87" t="n">
        <v>100</v>
      </c>
      <c r="E20" s="88" t="n">
        <f aca="false">IFERROR(1.1/100*'🏭 원료 마스터'!$C$25+4.9/100*'🏭 원료 마스터'!$C$39+1.1/100*'🏭 원료 마스터'!$C$43+1.4/100*'🏭 원료 마스터'!$C$49+1.3/100*'🏭 원료 마스터'!$C$58+17.6/100*'🏭 원료 마스터'!$C$63+33.3/100*'🏭 원료 마스터'!$C$66+35.5/100*'🏭 원료 마스터'!$C$70+0.9/100*'🏭 원료 마스터'!$C$71+2.7/100*'🏭 원료 마스터'!$C$78+0.2/100*'🏭 원료 마스터'!$C$80,"")</f>
        <v>0</v>
      </c>
      <c r="F20" s="82"/>
      <c r="G20" s="82"/>
      <c r="H20" s="76"/>
      <c r="I20" s="75"/>
      <c r="J20" s="89"/>
      <c r="K20" s="89"/>
      <c r="L20" s="89"/>
      <c r="M20" s="89"/>
      <c r="N20" s="89"/>
      <c r="O20" s="89"/>
      <c r="P20" s="89"/>
      <c r="Q20" s="89"/>
      <c r="R20" s="85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90" t="n">
        <v>1.1</v>
      </c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90" t="n">
        <v>4.9</v>
      </c>
      <c r="AT20" s="89"/>
      <c r="AU20" s="89"/>
      <c r="AV20" s="89"/>
      <c r="AW20" s="90" t="n">
        <v>1.1</v>
      </c>
      <c r="AX20" s="89"/>
      <c r="AY20" s="89"/>
      <c r="AZ20" s="89"/>
      <c r="BA20" s="89"/>
      <c r="BB20" s="89"/>
      <c r="BC20" s="90" t="n">
        <v>1.4</v>
      </c>
      <c r="BD20" s="89"/>
      <c r="BE20" s="89"/>
      <c r="BF20" s="89"/>
      <c r="BG20" s="89"/>
      <c r="BH20" s="89"/>
      <c r="BI20" s="89"/>
      <c r="BJ20" s="89"/>
      <c r="BK20" s="89"/>
      <c r="BL20" s="90" t="n">
        <v>1.3</v>
      </c>
      <c r="BM20" s="89"/>
      <c r="BN20" s="89"/>
      <c r="BO20" s="89"/>
      <c r="BP20" s="89"/>
      <c r="BQ20" s="90" t="n">
        <v>17.6</v>
      </c>
      <c r="BR20" s="89"/>
      <c r="BS20" s="89"/>
      <c r="BT20" s="90" t="n">
        <v>33.3</v>
      </c>
      <c r="BU20" s="89"/>
      <c r="BV20" s="89"/>
      <c r="BW20" s="89"/>
      <c r="BX20" s="90" t="n">
        <v>35.5</v>
      </c>
      <c r="BY20" s="90" t="n">
        <v>0.9</v>
      </c>
      <c r="BZ20" s="89"/>
      <c r="CA20" s="89"/>
      <c r="CB20" s="89"/>
      <c r="CC20" s="89"/>
      <c r="CD20" s="89"/>
      <c r="CE20" s="89"/>
      <c r="CF20" s="90" t="n">
        <v>2.7</v>
      </c>
      <c r="CG20" s="89"/>
      <c r="CH20" s="90" t="n">
        <v>0.2</v>
      </c>
      <c r="CI20" s="89"/>
      <c r="CJ20" s="89"/>
      <c r="CK20" s="89"/>
      <c r="CL20" s="89"/>
      <c r="CM20" s="85"/>
    </row>
    <row r="21" customFormat="false" ht="19.5" hidden="false" customHeight="true" outlineLevel="0" collapsed="false">
      <c r="A21" s="13" t="n">
        <v>17</v>
      </c>
      <c r="B21" s="14" t="s">
        <v>157</v>
      </c>
      <c r="C21" s="79" t="s">
        <v>279</v>
      </c>
      <c r="D21" s="80" t="n">
        <v>100</v>
      </c>
      <c r="E21" s="81" t="n">
        <f aca="false">IFERROR(1.1/100*'🏭 원료 마스터'!$C$15+4.9/100*'🏭 원료 마스터'!$C$39+1.1/100*'🏭 원료 마스터'!$C$43+1.4/100*'🏭 원료 마스터'!$C$49+1.3/100*'🏭 원료 마스터'!$C$58+17.6/100*'🏭 원료 마스터'!$C$63+33.3/100*'🏭 원료 마스터'!$C$66+35.5/100*'🏭 원료 마스터'!$C$70+0.9/100*'🏭 원료 마스터'!$C$71+2.7/100*'🏭 원료 마스터'!$C$78+0.2/100*'🏭 원료 마스터'!$C$80,"")</f>
        <v>0</v>
      </c>
      <c r="F21" s="82"/>
      <c r="G21" s="82"/>
      <c r="H21" s="76"/>
      <c r="I21" s="75"/>
      <c r="J21" s="83"/>
      <c r="K21" s="83"/>
      <c r="L21" s="83"/>
      <c r="M21" s="83"/>
      <c r="N21" s="83"/>
      <c r="O21" s="83"/>
      <c r="P21" s="83"/>
      <c r="Q21" s="83"/>
      <c r="R21" s="85"/>
      <c r="S21" s="83"/>
      <c r="T21" s="83"/>
      <c r="U21" s="84" t="n">
        <v>1.1</v>
      </c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4" t="n">
        <v>4.9</v>
      </c>
      <c r="AT21" s="83"/>
      <c r="AU21" s="83"/>
      <c r="AV21" s="83"/>
      <c r="AW21" s="84" t="n">
        <v>1.1</v>
      </c>
      <c r="AX21" s="83"/>
      <c r="AY21" s="83"/>
      <c r="AZ21" s="83"/>
      <c r="BA21" s="83"/>
      <c r="BB21" s="83"/>
      <c r="BC21" s="84" t="n">
        <v>1.4</v>
      </c>
      <c r="BD21" s="83"/>
      <c r="BE21" s="83"/>
      <c r="BF21" s="83"/>
      <c r="BG21" s="83"/>
      <c r="BH21" s="83"/>
      <c r="BI21" s="83"/>
      <c r="BJ21" s="83"/>
      <c r="BK21" s="83"/>
      <c r="BL21" s="84" t="n">
        <v>1.3</v>
      </c>
      <c r="BM21" s="83"/>
      <c r="BN21" s="83"/>
      <c r="BO21" s="83"/>
      <c r="BP21" s="83"/>
      <c r="BQ21" s="84" t="n">
        <v>17.6</v>
      </c>
      <c r="BR21" s="83"/>
      <c r="BS21" s="83"/>
      <c r="BT21" s="84" t="n">
        <v>33.3</v>
      </c>
      <c r="BU21" s="83"/>
      <c r="BV21" s="83"/>
      <c r="BW21" s="83"/>
      <c r="BX21" s="84" t="n">
        <v>35.5</v>
      </c>
      <c r="BY21" s="84" t="n">
        <v>0.9</v>
      </c>
      <c r="BZ21" s="83"/>
      <c r="CA21" s="83"/>
      <c r="CB21" s="83"/>
      <c r="CC21" s="83"/>
      <c r="CD21" s="83"/>
      <c r="CE21" s="83"/>
      <c r="CF21" s="84" t="n">
        <v>2.7</v>
      </c>
      <c r="CG21" s="83"/>
      <c r="CH21" s="84" t="n">
        <v>0.2</v>
      </c>
      <c r="CI21" s="83"/>
      <c r="CJ21" s="83"/>
      <c r="CK21" s="83"/>
      <c r="CL21" s="83"/>
      <c r="CM21" s="85"/>
    </row>
    <row r="22" customFormat="false" ht="19.5" hidden="false" customHeight="true" outlineLevel="0" collapsed="false">
      <c r="A22" s="17" t="n">
        <v>18</v>
      </c>
      <c r="B22" s="18" t="s">
        <v>158</v>
      </c>
      <c r="C22" s="86" t="s">
        <v>280</v>
      </c>
      <c r="D22" s="87" t="n">
        <v>100</v>
      </c>
      <c r="E22" s="88" t="n">
        <f aca="false">IFERROR(4.9/100*'🏭 원료 마스터'!$C$39+1.1/100*'🏭 원료 마스터'!$C$43+1.4/100*'🏭 원료 마스터'!$C$49+1.1/100*'🏭 원료 마스터'!$C$54+1.3/100*'🏭 원료 마스터'!$C$58+17.6/100*'🏭 원료 마스터'!$C$63+33.3/100*'🏭 원료 마스터'!$C$66+35.5/100*'🏭 원료 마스터'!$C$70+0.9/100*'🏭 원료 마스터'!$C$71+2.7/100*'🏭 원료 마스터'!$C$78+0.2/100*'🏭 원료 마스터'!$C$80,"")</f>
        <v>0</v>
      </c>
      <c r="F22" s="82"/>
      <c r="G22" s="82"/>
      <c r="H22" s="76"/>
      <c r="I22" s="75"/>
      <c r="J22" s="89"/>
      <c r="K22" s="89"/>
      <c r="L22" s="89"/>
      <c r="M22" s="89"/>
      <c r="N22" s="89"/>
      <c r="O22" s="89"/>
      <c r="P22" s="89"/>
      <c r="Q22" s="89"/>
      <c r="R22" s="85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90" t="n">
        <v>4.9</v>
      </c>
      <c r="AT22" s="89"/>
      <c r="AU22" s="89"/>
      <c r="AV22" s="89"/>
      <c r="AW22" s="90" t="n">
        <v>1.1</v>
      </c>
      <c r="AX22" s="89"/>
      <c r="AY22" s="89"/>
      <c r="AZ22" s="89"/>
      <c r="BA22" s="89"/>
      <c r="BB22" s="89"/>
      <c r="BC22" s="90" t="n">
        <v>1.4</v>
      </c>
      <c r="BD22" s="89"/>
      <c r="BE22" s="89"/>
      <c r="BF22" s="89"/>
      <c r="BG22" s="89"/>
      <c r="BH22" s="90" t="n">
        <v>1.1</v>
      </c>
      <c r="BI22" s="89"/>
      <c r="BJ22" s="89"/>
      <c r="BK22" s="89"/>
      <c r="BL22" s="90" t="n">
        <v>1.3</v>
      </c>
      <c r="BM22" s="89"/>
      <c r="BN22" s="89"/>
      <c r="BO22" s="89"/>
      <c r="BP22" s="89"/>
      <c r="BQ22" s="90" t="n">
        <v>17.6</v>
      </c>
      <c r="BR22" s="89"/>
      <c r="BS22" s="89"/>
      <c r="BT22" s="90" t="n">
        <v>33.3</v>
      </c>
      <c r="BU22" s="89"/>
      <c r="BV22" s="89"/>
      <c r="BW22" s="89"/>
      <c r="BX22" s="90" t="n">
        <v>35.5</v>
      </c>
      <c r="BY22" s="90" t="n">
        <v>0.9</v>
      </c>
      <c r="BZ22" s="89"/>
      <c r="CA22" s="89"/>
      <c r="CB22" s="89"/>
      <c r="CC22" s="89"/>
      <c r="CD22" s="89"/>
      <c r="CE22" s="89"/>
      <c r="CF22" s="90" t="n">
        <v>2.7</v>
      </c>
      <c r="CG22" s="89"/>
      <c r="CH22" s="90" t="n">
        <v>0.2</v>
      </c>
      <c r="CI22" s="89"/>
      <c r="CJ22" s="89"/>
      <c r="CK22" s="89"/>
      <c r="CL22" s="89"/>
      <c r="CM22" s="85"/>
    </row>
    <row r="23" customFormat="false" ht="19.5" hidden="false" customHeight="true" outlineLevel="0" collapsed="false">
      <c r="A23" s="13" t="n">
        <v>19</v>
      </c>
      <c r="B23" s="14" t="s">
        <v>159</v>
      </c>
      <c r="C23" s="79" t="s">
        <v>281</v>
      </c>
      <c r="D23" s="80" t="n">
        <v>100</v>
      </c>
      <c r="E23" s="81" t="n">
        <f aca="false">IFERROR(2.5/100*'🏭 원료 마스터'!$C$5+1.6/100*'🏭 원료 마스터'!$C$8+2.5/100*'🏭 원료 마스터'!$C$10+63.2/100*'🏭 원료 마스터'!$C$40+2.5/100*'🏭 원료 마스터'!$C$43+10.2/100*'🏭 원료 마스터'!$C$49+16.4/100*'🏭 원료 마스터'!$C$63+1.1/100*'🏭 원료 마스터'!$C$71,"")</f>
        <v>663.6</v>
      </c>
      <c r="F23" s="82"/>
      <c r="G23" s="82"/>
      <c r="H23" s="76"/>
      <c r="I23" s="75"/>
      <c r="J23" s="83"/>
      <c r="K23" s="84" t="n">
        <v>2.5</v>
      </c>
      <c r="L23" s="83"/>
      <c r="M23" s="83"/>
      <c r="N23" s="84" t="n">
        <v>1.6</v>
      </c>
      <c r="O23" s="83"/>
      <c r="P23" s="84" t="n">
        <v>2.5</v>
      </c>
      <c r="Q23" s="83"/>
      <c r="R23" s="85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4" t="n">
        <v>63.2</v>
      </c>
      <c r="AU23" s="83"/>
      <c r="AV23" s="83"/>
      <c r="AW23" s="84" t="n">
        <v>2.5</v>
      </c>
      <c r="AX23" s="83"/>
      <c r="AY23" s="83"/>
      <c r="AZ23" s="83"/>
      <c r="BA23" s="83"/>
      <c r="BB23" s="83"/>
      <c r="BC23" s="84" t="n">
        <v>10.2</v>
      </c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4" t="n">
        <v>16.4</v>
      </c>
      <c r="BR23" s="83"/>
      <c r="BS23" s="83"/>
      <c r="BT23" s="83"/>
      <c r="BU23" s="83"/>
      <c r="BV23" s="83"/>
      <c r="BW23" s="83"/>
      <c r="BX23" s="83"/>
      <c r="BY23" s="84" t="n">
        <v>1.1</v>
      </c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5"/>
    </row>
    <row r="24" customFormat="false" ht="19.5" hidden="false" customHeight="true" outlineLevel="0" collapsed="false">
      <c r="A24" s="17" t="n">
        <v>20</v>
      </c>
      <c r="B24" s="18" t="s">
        <v>160</v>
      </c>
      <c r="C24" s="86" t="s">
        <v>282</v>
      </c>
      <c r="D24" s="87" t="n">
        <v>100</v>
      </c>
      <c r="E24" s="88" t="n">
        <f aca="false">IFERROR(8/100*'🏭 원료 마스터'!$C$5+5/100*'🏭 원료 마스터'!$C$8+6/100*'🏭 원료 마스터'!$C$10+3/100*'🏭 원료 마스터'!$C$43+10/100*'🏭 원료 마스터'!$C$49+13/100*'🏭 원료 마스터'!$C$63+54/100*'🏭 원료 마스터'!$C$70+1/100*'🏭 원료 마스터'!$C$71,"")</f>
        <v>0</v>
      </c>
      <c r="F24" s="82"/>
      <c r="G24" s="82"/>
      <c r="H24" s="76"/>
      <c r="I24" s="75"/>
      <c r="J24" s="89"/>
      <c r="K24" s="90" t="n">
        <v>8</v>
      </c>
      <c r="L24" s="89"/>
      <c r="M24" s="89"/>
      <c r="N24" s="90" t="n">
        <v>5</v>
      </c>
      <c r="O24" s="89"/>
      <c r="P24" s="90" t="n">
        <v>6</v>
      </c>
      <c r="Q24" s="89"/>
      <c r="R24" s="85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 t="n">
        <v>3</v>
      </c>
      <c r="AX24" s="89"/>
      <c r="AY24" s="89"/>
      <c r="AZ24" s="89"/>
      <c r="BA24" s="89"/>
      <c r="BB24" s="89"/>
      <c r="BC24" s="90" t="n">
        <v>10</v>
      </c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90" t="n">
        <v>13</v>
      </c>
      <c r="BR24" s="89"/>
      <c r="BS24" s="89"/>
      <c r="BT24" s="89"/>
      <c r="BU24" s="89"/>
      <c r="BV24" s="89"/>
      <c r="BW24" s="89"/>
      <c r="BX24" s="90" t="n">
        <v>54</v>
      </c>
      <c r="BY24" s="90" t="n">
        <v>1</v>
      </c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5"/>
    </row>
    <row r="25" customFormat="false" ht="19.5" hidden="false" customHeight="true" outlineLevel="0" collapsed="false">
      <c r="A25" s="13" t="n">
        <v>21</v>
      </c>
      <c r="B25" s="14" t="s">
        <v>161</v>
      </c>
      <c r="C25" s="79" t="s">
        <v>283</v>
      </c>
      <c r="D25" s="80" t="n">
        <v>100</v>
      </c>
      <c r="E25" s="81" t="n">
        <f aca="false">IFERROR(48.4/100*'🏭 원료 마스터'!$C$40+12.1/100*'🏭 원료 마스터'!$C$41+2/100*'🏭 원료 마스터'!$C$42+1.21/100*'🏭 원료 마스터'!$C$44+0.91/100*'🏭 원료 마스터'!$C$54+33.32/100*'🏭 원료 마스터'!$C$63+0.85/100*'🏭 원료 마스터'!$C$71+1.21/100*'🏭 원료 마스터'!$C$74,"")</f>
        <v>508.2</v>
      </c>
      <c r="F25" s="82"/>
      <c r="G25" s="82"/>
      <c r="H25" s="76"/>
      <c r="I25" s="75"/>
      <c r="J25" s="83"/>
      <c r="K25" s="83"/>
      <c r="L25" s="83"/>
      <c r="M25" s="83"/>
      <c r="N25" s="83"/>
      <c r="O25" s="83"/>
      <c r="P25" s="83"/>
      <c r="Q25" s="83"/>
      <c r="R25" s="85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4" t="n">
        <v>48.4</v>
      </c>
      <c r="AU25" s="84" t="n">
        <v>12.1</v>
      </c>
      <c r="AV25" s="84" t="n">
        <v>2</v>
      </c>
      <c r="AW25" s="83"/>
      <c r="AX25" s="84" t="n">
        <v>1.21</v>
      </c>
      <c r="AY25" s="83"/>
      <c r="AZ25" s="83"/>
      <c r="BA25" s="83"/>
      <c r="BB25" s="83"/>
      <c r="BC25" s="83"/>
      <c r="BD25" s="83"/>
      <c r="BE25" s="83"/>
      <c r="BF25" s="83"/>
      <c r="BG25" s="83"/>
      <c r="BH25" s="84" t="n">
        <v>0.91</v>
      </c>
      <c r="BI25" s="83"/>
      <c r="BJ25" s="83"/>
      <c r="BK25" s="83"/>
      <c r="BL25" s="83"/>
      <c r="BM25" s="83"/>
      <c r="BN25" s="83"/>
      <c r="BO25" s="83"/>
      <c r="BP25" s="83"/>
      <c r="BQ25" s="84" t="n">
        <v>33.32</v>
      </c>
      <c r="BR25" s="83"/>
      <c r="BS25" s="83"/>
      <c r="BT25" s="83"/>
      <c r="BU25" s="83"/>
      <c r="BV25" s="83"/>
      <c r="BW25" s="83"/>
      <c r="BX25" s="83"/>
      <c r="BY25" s="84" t="n">
        <v>0.85</v>
      </c>
      <c r="BZ25" s="83"/>
      <c r="CA25" s="83"/>
      <c r="CB25" s="84" t="n">
        <v>1.21</v>
      </c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5"/>
    </row>
    <row r="26" customFormat="false" ht="19.5" hidden="false" customHeight="true" outlineLevel="0" collapsed="false">
      <c r="A26" s="17" t="n">
        <v>22</v>
      </c>
      <c r="B26" s="18" t="s">
        <v>162</v>
      </c>
      <c r="C26" s="86" t="s">
        <v>284</v>
      </c>
      <c r="D26" s="87" t="n">
        <v>100</v>
      </c>
      <c r="E26" s="88" t="n">
        <f aca="false">IFERROR(3.6/100*'🏭 원료 마스터'!$C$34+14.3/100*'🏭 원료 마스터'!$C$41+3.6/100*'🏭 원료 마스터'!$C$42+3.6/100*'🏭 원료 마스터'!$C$49+0.2/100*'🏭 원료 마스터'!$C$54+1.6/100*'🏭 원료 마스터'!$C$68+71.4/100*'🏭 원료 마스터'!$C$70+1.2/100*'🏭 원료 마스터'!$C$71+0.5/100*'🏭 원료 마스터'!$C$80,"")</f>
        <v>0</v>
      </c>
      <c r="F26" s="82"/>
      <c r="G26" s="82"/>
      <c r="H26" s="76"/>
      <c r="I26" s="75"/>
      <c r="J26" s="89"/>
      <c r="K26" s="89"/>
      <c r="L26" s="89"/>
      <c r="M26" s="89"/>
      <c r="N26" s="89"/>
      <c r="O26" s="89"/>
      <c r="P26" s="89"/>
      <c r="Q26" s="89"/>
      <c r="R26" s="85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90" t="n">
        <v>3.6</v>
      </c>
      <c r="AO26" s="89"/>
      <c r="AP26" s="89"/>
      <c r="AQ26" s="89"/>
      <c r="AR26" s="89"/>
      <c r="AS26" s="89"/>
      <c r="AT26" s="89"/>
      <c r="AU26" s="90" t="n">
        <v>14.3</v>
      </c>
      <c r="AV26" s="90" t="n">
        <v>3.6</v>
      </c>
      <c r="AW26" s="89"/>
      <c r="AX26" s="89"/>
      <c r="AY26" s="89"/>
      <c r="AZ26" s="89"/>
      <c r="BA26" s="89"/>
      <c r="BB26" s="89"/>
      <c r="BC26" s="90" t="n">
        <v>3.6</v>
      </c>
      <c r="BD26" s="89"/>
      <c r="BE26" s="89"/>
      <c r="BF26" s="89"/>
      <c r="BG26" s="89"/>
      <c r="BH26" s="90" t="n">
        <v>0.2</v>
      </c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90" t="n">
        <v>1.6</v>
      </c>
      <c r="BW26" s="89"/>
      <c r="BX26" s="90" t="n">
        <v>71.4</v>
      </c>
      <c r="BY26" s="90" t="n">
        <v>1.2</v>
      </c>
      <c r="BZ26" s="89"/>
      <c r="CA26" s="89"/>
      <c r="CB26" s="89"/>
      <c r="CC26" s="89"/>
      <c r="CD26" s="89"/>
      <c r="CE26" s="89"/>
      <c r="CF26" s="89"/>
      <c r="CG26" s="89"/>
      <c r="CH26" s="90" t="n">
        <v>0.5</v>
      </c>
      <c r="CI26" s="89"/>
      <c r="CJ26" s="89"/>
      <c r="CK26" s="89"/>
      <c r="CL26" s="89"/>
      <c r="CM26" s="85"/>
    </row>
    <row r="27" customFormat="false" ht="19.5" hidden="false" customHeight="true" outlineLevel="0" collapsed="false">
      <c r="A27" s="13" t="n">
        <v>23</v>
      </c>
      <c r="B27" s="14" t="s">
        <v>163</v>
      </c>
      <c r="C27" s="79" t="s">
        <v>285</v>
      </c>
      <c r="D27" s="80" t="n">
        <v>100</v>
      </c>
      <c r="E27" s="81" t="n">
        <f aca="false">IFERROR(0.4/100*'🏭 원료 마스터'!$C$8+1.3/100*'🏭 원료 마스터'!$C$21+0.7/100*'🏭 원료 마스터'!$C$25+0.04/100*'🏭 원료 마스터'!$C$26+5.1/100*'🏭 원료 마스터'!$C$34+5.1/100*'🏭 원료 마스터'!$C$42+2.5/100*'🏭 원료 마스터'!$C$45+2.5/100*'🏭 원료 마스터'!$C$49+0.4/100*'🏭 원료 마스터'!$C$54+1.1/100*'🏭 원료 마스터'!$C$68+70.9/100*'🏭 원료 마스터'!$C$70+0.9/100*'🏭 원료 마스터'!$C$71+1.9/100*'🏭 원료 마스터'!$C$75+0.6/100*'🏭 원료 마스터'!$C$78+1.9/100*'🏭 원료 마스터'!$C$79+0.4/100*'🏭 원료 마스터'!$C$80+4.26/100*'🏭 원료 마스터'!$C$83,"")</f>
        <v>0</v>
      </c>
      <c r="F27" s="82"/>
      <c r="G27" s="82"/>
      <c r="H27" s="76"/>
      <c r="I27" s="75"/>
      <c r="J27" s="83"/>
      <c r="K27" s="83"/>
      <c r="L27" s="83"/>
      <c r="M27" s="83"/>
      <c r="N27" s="84" t="n">
        <v>0.4</v>
      </c>
      <c r="O27" s="83"/>
      <c r="P27" s="83"/>
      <c r="Q27" s="83"/>
      <c r="R27" s="85"/>
      <c r="S27" s="83"/>
      <c r="T27" s="83"/>
      <c r="U27" s="83"/>
      <c r="V27" s="83"/>
      <c r="W27" s="83"/>
      <c r="X27" s="83"/>
      <c r="Y27" s="83"/>
      <c r="Z27" s="83"/>
      <c r="AA27" s="84" t="n">
        <v>1.3</v>
      </c>
      <c r="AB27" s="83"/>
      <c r="AC27" s="83"/>
      <c r="AD27" s="83"/>
      <c r="AE27" s="84" t="n">
        <v>0.7</v>
      </c>
      <c r="AF27" s="84" t="n">
        <v>0.04</v>
      </c>
      <c r="AG27" s="83"/>
      <c r="AH27" s="83"/>
      <c r="AI27" s="83"/>
      <c r="AJ27" s="83"/>
      <c r="AK27" s="83"/>
      <c r="AL27" s="83"/>
      <c r="AM27" s="83"/>
      <c r="AN27" s="84" t="n">
        <v>5.1</v>
      </c>
      <c r="AO27" s="83"/>
      <c r="AP27" s="83"/>
      <c r="AQ27" s="83"/>
      <c r="AR27" s="83"/>
      <c r="AS27" s="83"/>
      <c r="AT27" s="83"/>
      <c r="AU27" s="83"/>
      <c r="AV27" s="84" t="n">
        <v>5.1</v>
      </c>
      <c r="AW27" s="83"/>
      <c r="AX27" s="83"/>
      <c r="AY27" s="84" t="n">
        <v>2.5</v>
      </c>
      <c r="AZ27" s="83"/>
      <c r="BA27" s="83"/>
      <c r="BB27" s="83"/>
      <c r="BC27" s="84" t="n">
        <v>2.5</v>
      </c>
      <c r="BD27" s="83"/>
      <c r="BE27" s="83"/>
      <c r="BF27" s="83"/>
      <c r="BG27" s="83"/>
      <c r="BH27" s="84" t="n">
        <v>0.4</v>
      </c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4" t="n">
        <v>1.1</v>
      </c>
      <c r="BW27" s="83"/>
      <c r="BX27" s="84" t="n">
        <v>70.9</v>
      </c>
      <c r="BY27" s="84" t="n">
        <v>0.9</v>
      </c>
      <c r="BZ27" s="83"/>
      <c r="CA27" s="83"/>
      <c r="CB27" s="83"/>
      <c r="CC27" s="84" t="n">
        <v>1.9</v>
      </c>
      <c r="CD27" s="83"/>
      <c r="CE27" s="83"/>
      <c r="CF27" s="84" t="n">
        <v>0.6</v>
      </c>
      <c r="CG27" s="84" t="n">
        <v>1.9</v>
      </c>
      <c r="CH27" s="84" t="n">
        <v>0.4</v>
      </c>
      <c r="CI27" s="83"/>
      <c r="CJ27" s="83"/>
      <c r="CK27" s="84" t="n">
        <v>4.26</v>
      </c>
      <c r="CL27" s="83"/>
      <c r="CM27" s="85"/>
    </row>
    <row r="28" customFormat="false" ht="19.5" hidden="false" customHeight="true" outlineLevel="0" collapsed="false">
      <c r="A28" s="17" t="n">
        <v>24</v>
      </c>
      <c r="B28" s="18" t="s">
        <v>164</v>
      </c>
      <c r="C28" s="86" t="s">
        <v>286</v>
      </c>
      <c r="D28" s="87" t="n">
        <v>100</v>
      </c>
      <c r="E28" s="88" t="n">
        <f aca="false">IFERROR(0.4/100*'🏭 원료 마스터'!$C$11+1.6/100*'🏭 원료 마스터'!$C$19+1.6/100*'🏭 원료 마스터'!$C$25+63.5/100*'🏭 원료 마스터'!$C$40+14.8/100*'🏭 원료 마스터'!$C$49+1.6/100*'🏭 원료 마스터'!$C$54+15.4/100*'🏭 원료 마스터'!$C$63+1.1/100*'🏭 원료 마스터'!$C$71,"")</f>
        <v>666.75</v>
      </c>
      <c r="F28" s="82"/>
      <c r="G28" s="82"/>
      <c r="H28" s="76"/>
      <c r="I28" s="75"/>
      <c r="J28" s="89"/>
      <c r="K28" s="89"/>
      <c r="L28" s="89"/>
      <c r="M28" s="89"/>
      <c r="N28" s="89"/>
      <c r="O28" s="89"/>
      <c r="P28" s="89"/>
      <c r="Q28" s="90" t="n">
        <v>0.4</v>
      </c>
      <c r="R28" s="85"/>
      <c r="S28" s="89"/>
      <c r="T28" s="89"/>
      <c r="U28" s="89"/>
      <c r="V28" s="89"/>
      <c r="W28" s="89"/>
      <c r="X28" s="89"/>
      <c r="Y28" s="90" t="n">
        <v>1.6</v>
      </c>
      <c r="Z28" s="89"/>
      <c r="AA28" s="89"/>
      <c r="AB28" s="89"/>
      <c r="AC28" s="89"/>
      <c r="AD28" s="89"/>
      <c r="AE28" s="90" t="n">
        <v>1.6</v>
      </c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90" t="n">
        <v>63.5</v>
      </c>
      <c r="AU28" s="89"/>
      <c r="AV28" s="89"/>
      <c r="AW28" s="89"/>
      <c r="AX28" s="89"/>
      <c r="AY28" s="89"/>
      <c r="AZ28" s="89"/>
      <c r="BA28" s="89"/>
      <c r="BB28" s="89"/>
      <c r="BC28" s="90" t="n">
        <v>14.8</v>
      </c>
      <c r="BD28" s="89"/>
      <c r="BE28" s="89"/>
      <c r="BF28" s="89"/>
      <c r="BG28" s="89"/>
      <c r="BH28" s="90" t="n">
        <v>1.6</v>
      </c>
      <c r="BI28" s="89"/>
      <c r="BJ28" s="89"/>
      <c r="BK28" s="89"/>
      <c r="BL28" s="89"/>
      <c r="BM28" s="89"/>
      <c r="BN28" s="89"/>
      <c r="BO28" s="89"/>
      <c r="BP28" s="89"/>
      <c r="BQ28" s="90" t="n">
        <v>15.4</v>
      </c>
      <c r="BR28" s="89"/>
      <c r="BS28" s="89"/>
      <c r="BT28" s="89"/>
      <c r="BU28" s="89"/>
      <c r="BV28" s="89"/>
      <c r="BW28" s="89"/>
      <c r="BX28" s="89"/>
      <c r="BY28" s="90" t="n">
        <v>1.1</v>
      </c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5"/>
    </row>
    <row r="29" customFormat="false" ht="19.5" hidden="false" customHeight="true" outlineLevel="0" collapsed="false">
      <c r="A29" s="13" t="n">
        <v>25</v>
      </c>
      <c r="B29" s="14" t="s">
        <v>165</v>
      </c>
      <c r="C29" s="79" t="s">
        <v>287</v>
      </c>
      <c r="D29" s="80" t="n">
        <v>100</v>
      </c>
      <c r="E29" s="81" t="n">
        <f aca="false">IFERROR(0.7/100*'🏭 원료 마스터'!$C$16+0.7/100*'🏭 원료 마스터'!$C$17+8.8/100*'🏭 원료 마스터'!$C$21+2.9/100*'🏭 원료 마스터'!$C$49+1.5/100*'🏭 원료 마스터'!$C$54+25.4/100*'🏭 원료 마스터'!$C$63+58.8/100*'🏭 원료 마스터'!$C$70+0.9/100*'🏭 원료 마스터'!$C$71+0.3/100*'🏭 원료 마스터'!$C$80,"")</f>
        <v>0</v>
      </c>
      <c r="F29" s="82"/>
      <c r="G29" s="82"/>
      <c r="H29" s="76"/>
      <c r="I29" s="75"/>
      <c r="J29" s="83"/>
      <c r="K29" s="83"/>
      <c r="L29" s="83"/>
      <c r="M29" s="83"/>
      <c r="N29" s="83"/>
      <c r="O29" s="83"/>
      <c r="P29" s="83"/>
      <c r="Q29" s="83"/>
      <c r="R29" s="85"/>
      <c r="S29" s="83"/>
      <c r="T29" s="83"/>
      <c r="U29" s="83"/>
      <c r="V29" s="84" t="n">
        <v>0.7</v>
      </c>
      <c r="W29" s="84" t="n">
        <v>0.7</v>
      </c>
      <c r="X29" s="83"/>
      <c r="Y29" s="83"/>
      <c r="Z29" s="83"/>
      <c r="AA29" s="84" t="n">
        <v>8.8</v>
      </c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4" t="n">
        <v>2.9</v>
      </c>
      <c r="BD29" s="83"/>
      <c r="BE29" s="83"/>
      <c r="BF29" s="83"/>
      <c r="BG29" s="83"/>
      <c r="BH29" s="84" t="n">
        <v>1.5</v>
      </c>
      <c r="BI29" s="83"/>
      <c r="BJ29" s="83"/>
      <c r="BK29" s="83"/>
      <c r="BL29" s="83"/>
      <c r="BM29" s="83"/>
      <c r="BN29" s="83"/>
      <c r="BO29" s="83"/>
      <c r="BP29" s="83"/>
      <c r="BQ29" s="84" t="n">
        <v>25.4</v>
      </c>
      <c r="BR29" s="83"/>
      <c r="BS29" s="83"/>
      <c r="BT29" s="83"/>
      <c r="BU29" s="83"/>
      <c r="BV29" s="83"/>
      <c r="BW29" s="83"/>
      <c r="BX29" s="84" t="n">
        <v>58.8</v>
      </c>
      <c r="BY29" s="84" t="n">
        <v>0.9</v>
      </c>
      <c r="BZ29" s="83"/>
      <c r="CA29" s="83"/>
      <c r="CB29" s="83"/>
      <c r="CC29" s="83"/>
      <c r="CD29" s="83"/>
      <c r="CE29" s="83"/>
      <c r="CF29" s="83"/>
      <c r="CG29" s="83"/>
      <c r="CH29" s="84" t="n">
        <v>0.3</v>
      </c>
      <c r="CI29" s="83"/>
      <c r="CJ29" s="83"/>
      <c r="CK29" s="83"/>
      <c r="CL29" s="83"/>
      <c r="CM29" s="85"/>
    </row>
    <row r="30" customFormat="false" ht="19.5" hidden="false" customHeight="true" outlineLevel="0" collapsed="false">
      <c r="A30" s="17" t="n">
        <v>26</v>
      </c>
      <c r="B30" s="18" t="s">
        <v>166</v>
      </c>
      <c r="C30" s="86" t="s">
        <v>288</v>
      </c>
      <c r="D30" s="87" t="n">
        <v>100</v>
      </c>
      <c r="E30" s="88" t="n">
        <f aca="false">IFERROR(20/100*'🏭 원료 마스터'!$C$32+25/100*'🏭 원료 마스터'!$C$33+26.67/100*'🏭 원료 마스터'!$C$40+6.68/100*'🏭 원료 마스터'!$C$41+0.67/100*'🏭 원료 마스터'!$C$44+0.5/100*'🏭 원료 마스터'!$C$54+19.4/100*'🏭 원료 마스터'!$C$63+1/100*'🏭 원료 마스터'!$C$69+0.08/100*'🏭 원료 마스터'!$C$71,"")</f>
        <v>280.035</v>
      </c>
      <c r="F30" s="82"/>
      <c r="G30" s="82"/>
      <c r="H30" s="76"/>
      <c r="I30" s="75"/>
      <c r="J30" s="89"/>
      <c r="K30" s="89"/>
      <c r="L30" s="89"/>
      <c r="M30" s="89"/>
      <c r="N30" s="89"/>
      <c r="O30" s="89"/>
      <c r="P30" s="89"/>
      <c r="Q30" s="89"/>
      <c r="R30" s="85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90" t="n">
        <v>20</v>
      </c>
      <c r="AM30" s="90" t="n">
        <v>25</v>
      </c>
      <c r="AN30" s="89"/>
      <c r="AO30" s="89"/>
      <c r="AP30" s="89"/>
      <c r="AQ30" s="89"/>
      <c r="AR30" s="89"/>
      <c r="AS30" s="89"/>
      <c r="AT30" s="90" t="n">
        <v>26.67</v>
      </c>
      <c r="AU30" s="90" t="n">
        <v>6.68</v>
      </c>
      <c r="AV30" s="89"/>
      <c r="AW30" s="89"/>
      <c r="AX30" s="90" t="n">
        <v>0.67</v>
      </c>
      <c r="AY30" s="89"/>
      <c r="AZ30" s="89"/>
      <c r="BA30" s="89"/>
      <c r="BB30" s="89"/>
      <c r="BC30" s="89"/>
      <c r="BD30" s="89"/>
      <c r="BE30" s="89"/>
      <c r="BF30" s="89"/>
      <c r="BG30" s="89"/>
      <c r="BH30" s="90" t="n">
        <v>0.5</v>
      </c>
      <c r="BI30" s="89"/>
      <c r="BJ30" s="89"/>
      <c r="BK30" s="89"/>
      <c r="BL30" s="89"/>
      <c r="BM30" s="89"/>
      <c r="BN30" s="89"/>
      <c r="BO30" s="89"/>
      <c r="BP30" s="89"/>
      <c r="BQ30" s="90" t="n">
        <v>19.4</v>
      </c>
      <c r="BR30" s="89"/>
      <c r="BS30" s="89"/>
      <c r="BT30" s="89"/>
      <c r="BU30" s="89"/>
      <c r="BV30" s="89"/>
      <c r="BW30" s="90" t="n">
        <v>1</v>
      </c>
      <c r="BX30" s="89"/>
      <c r="BY30" s="90" t="n">
        <v>0.08</v>
      </c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5"/>
    </row>
    <row r="31" customFormat="false" ht="19.5" hidden="false" customHeight="true" outlineLevel="0" collapsed="false">
      <c r="A31" s="13" t="n">
        <v>27</v>
      </c>
      <c r="B31" s="14" t="s">
        <v>167</v>
      </c>
      <c r="C31" s="79" t="s">
        <v>289</v>
      </c>
      <c r="D31" s="80" t="n">
        <v>100</v>
      </c>
      <c r="E31" s="81" t="n">
        <f aca="false">IFERROR(65.2/100*'🏭 원료 마스터'!$C$40+4.9/100*'🏭 원료 마스터'!$C$49+21.1/100*'🏭 원료 마스터'!$C$63+6.5/100*'🏭 원료 마스터'!$C$69+1/100*'🏭 원료 마스터'!$C$71+1.3/100*'🏭 원료 마스터'!$C$74,"")</f>
        <v>684.6</v>
      </c>
      <c r="F31" s="82"/>
      <c r="G31" s="82"/>
      <c r="H31" s="76"/>
      <c r="I31" s="75"/>
      <c r="J31" s="83"/>
      <c r="K31" s="83"/>
      <c r="L31" s="83"/>
      <c r="M31" s="83"/>
      <c r="N31" s="83"/>
      <c r="O31" s="83"/>
      <c r="P31" s="83"/>
      <c r="Q31" s="83"/>
      <c r="R31" s="85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4" t="n">
        <v>65.2</v>
      </c>
      <c r="AU31" s="83"/>
      <c r="AV31" s="83"/>
      <c r="AW31" s="83"/>
      <c r="AX31" s="83"/>
      <c r="AY31" s="83"/>
      <c r="AZ31" s="83"/>
      <c r="BA31" s="83"/>
      <c r="BB31" s="83"/>
      <c r="BC31" s="84" t="n">
        <v>4.9</v>
      </c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4" t="n">
        <v>21.1</v>
      </c>
      <c r="BR31" s="83"/>
      <c r="BS31" s="83"/>
      <c r="BT31" s="83"/>
      <c r="BU31" s="83"/>
      <c r="BV31" s="83"/>
      <c r="BW31" s="84" t="n">
        <v>6.5</v>
      </c>
      <c r="BX31" s="83"/>
      <c r="BY31" s="84" t="n">
        <v>1</v>
      </c>
      <c r="BZ31" s="83"/>
      <c r="CA31" s="83"/>
      <c r="CB31" s="84" t="n">
        <v>1.3</v>
      </c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5"/>
    </row>
    <row r="32" customFormat="false" ht="19.5" hidden="false" customHeight="true" outlineLevel="0" collapsed="false">
      <c r="A32" s="17" t="n">
        <v>28</v>
      </c>
      <c r="B32" s="18" t="s">
        <v>168</v>
      </c>
      <c r="C32" s="86" t="s">
        <v>290</v>
      </c>
      <c r="D32" s="87" t="n">
        <v>100</v>
      </c>
      <c r="E32" s="88" t="n">
        <f aca="false">IFERROR(13.4/100*'🏭 원료 마스터'!$C$10+10/100*'🏭 원료 마스터'!$C$20+6.4/100*'🏭 원료 마스터'!$C$49+26.4/100*'🏭 원료 마스터'!$C$63+43/100*'🏭 원료 마스터'!$C$70+0.8/100*'🏭 원료 마스터'!$C$71,"")</f>
        <v>0</v>
      </c>
      <c r="F32" s="82"/>
      <c r="G32" s="82"/>
      <c r="H32" s="76"/>
      <c r="I32" s="75"/>
      <c r="J32" s="89"/>
      <c r="K32" s="89"/>
      <c r="L32" s="89"/>
      <c r="M32" s="89"/>
      <c r="N32" s="89"/>
      <c r="O32" s="89"/>
      <c r="P32" s="90" t="n">
        <v>13.4</v>
      </c>
      <c r="Q32" s="89"/>
      <c r="R32" s="85"/>
      <c r="S32" s="89"/>
      <c r="T32" s="89"/>
      <c r="U32" s="89"/>
      <c r="V32" s="89"/>
      <c r="W32" s="89"/>
      <c r="X32" s="89"/>
      <c r="Y32" s="89"/>
      <c r="Z32" s="90" t="n">
        <v>10</v>
      </c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90" t="n">
        <v>6.4</v>
      </c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90" t="n">
        <v>26.4</v>
      </c>
      <c r="BR32" s="89"/>
      <c r="BS32" s="89"/>
      <c r="BT32" s="89"/>
      <c r="BU32" s="89"/>
      <c r="BV32" s="89"/>
      <c r="BW32" s="89"/>
      <c r="BX32" s="90" t="n">
        <v>43</v>
      </c>
      <c r="BY32" s="90" t="n">
        <v>0.8</v>
      </c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5"/>
    </row>
    <row r="33" customFormat="false" ht="19.5" hidden="false" customHeight="true" outlineLevel="0" collapsed="false">
      <c r="A33" s="13" t="n">
        <v>29</v>
      </c>
      <c r="B33" s="14" t="s">
        <v>169</v>
      </c>
      <c r="C33" s="79" t="s">
        <v>291</v>
      </c>
      <c r="D33" s="80" t="n">
        <v>100</v>
      </c>
      <c r="E33" s="81" t="n">
        <f aca="false">IFERROR(99/100*'🏭 원료 마스터'!$C$40+1/100*'🏭 원료 마스터'!$C$71,"")</f>
        <v>1039.5</v>
      </c>
      <c r="F33" s="82"/>
      <c r="G33" s="82"/>
      <c r="H33" s="76"/>
      <c r="I33" s="75"/>
      <c r="J33" s="83"/>
      <c r="K33" s="83"/>
      <c r="L33" s="83"/>
      <c r="M33" s="83"/>
      <c r="N33" s="83"/>
      <c r="O33" s="83"/>
      <c r="P33" s="83"/>
      <c r="Q33" s="83"/>
      <c r="R33" s="85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4" t="n">
        <v>99</v>
      </c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4" t="n">
        <v>1</v>
      </c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5"/>
    </row>
    <row r="34" customFormat="false" ht="19.5" hidden="false" customHeight="true" outlineLevel="0" collapsed="false">
      <c r="A34" s="17" t="n">
        <v>30</v>
      </c>
      <c r="B34" s="18" t="s">
        <v>170</v>
      </c>
      <c r="C34" s="86" t="s">
        <v>292</v>
      </c>
      <c r="D34" s="87" t="n">
        <v>100</v>
      </c>
      <c r="E34" s="88" t="n">
        <f aca="false">IFERROR(100/100*'🏭 원료 마스터'!$C$40,"")</f>
        <v>1050</v>
      </c>
      <c r="F34" s="82"/>
      <c r="G34" s="82"/>
      <c r="H34" s="76"/>
      <c r="I34" s="75"/>
      <c r="J34" s="89"/>
      <c r="K34" s="89"/>
      <c r="L34" s="89"/>
      <c r="M34" s="89"/>
      <c r="N34" s="89"/>
      <c r="O34" s="89"/>
      <c r="P34" s="89"/>
      <c r="Q34" s="89"/>
      <c r="R34" s="85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90" t="n">
        <v>100</v>
      </c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5"/>
    </row>
    <row r="35" customFormat="false" ht="19.5" hidden="false" customHeight="true" outlineLevel="0" collapsed="false">
      <c r="A35" s="13" t="n">
        <v>31</v>
      </c>
      <c r="B35" s="14" t="s">
        <v>171</v>
      </c>
      <c r="C35" s="79" t="s">
        <v>293</v>
      </c>
      <c r="D35" s="80" t="n">
        <v>100</v>
      </c>
      <c r="E35" s="81" t="n">
        <f aca="false">IFERROR(2/100*'🏭 원료 마스터'!$C$21+95/100*'🏭 원료 마스터'!$C$40+2/100*'🏭 원료 마스터'!$C$54+1/100*'🏭 원료 마스터'!$C$71,"")</f>
        <v>997.5</v>
      </c>
      <c r="F35" s="82"/>
      <c r="G35" s="82"/>
      <c r="H35" s="76"/>
      <c r="I35" s="75"/>
      <c r="J35" s="83"/>
      <c r="K35" s="83"/>
      <c r="L35" s="83"/>
      <c r="M35" s="83"/>
      <c r="N35" s="83"/>
      <c r="O35" s="83"/>
      <c r="P35" s="83"/>
      <c r="Q35" s="83"/>
      <c r="R35" s="85"/>
      <c r="S35" s="83"/>
      <c r="T35" s="83"/>
      <c r="U35" s="83"/>
      <c r="V35" s="83"/>
      <c r="W35" s="83"/>
      <c r="X35" s="83"/>
      <c r="Y35" s="83"/>
      <c r="Z35" s="83"/>
      <c r="AA35" s="84" t="n">
        <v>2</v>
      </c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4" t="n">
        <v>95</v>
      </c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4" t="n">
        <v>2</v>
      </c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4" t="n">
        <v>1</v>
      </c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5"/>
    </row>
    <row r="36" customFormat="false" ht="19.5" hidden="false" customHeight="true" outlineLevel="0" collapsed="false">
      <c r="A36" s="17" t="n">
        <v>32</v>
      </c>
      <c r="B36" s="18" t="s">
        <v>172</v>
      </c>
      <c r="C36" s="86" t="s">
        <v>294</v>
      </c>
      <c r="D36" s="87" t="n">
        <v>100</v>
      </c>
      <c r="E36" s="88" t="n">
        <f aca="false">IFERROR(3/100*'🏭 원료 마스터'!$C$25+96/100*'🏭 원료 마스터'!$C$40+1/100*'🏭 원료 마스터'!$C$71,"")</f>
        <v>1008</v>
      </c>
      <c r="F36" s="82"/>
      <c r="G36" s="82"/>
      <c r="H36" s="76"/>
      <c r="I36" s="75"/>
      <c r="J36" s="89"/>
      <c r="K36" s="89"/>
      <c r="L36" s="89"/>
      <c r="M36" s="89"/>
      <c r="N36" s="89"/>
      <c r="O36" s="89"/>
      <c r="P36" s="89"/>
      <c r="Q36" s="89"/>
      <c r="R36" s="85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90" t="n">
        <v>3</v>
      </c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90" t="n">
        <v>96</v>
      </c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90" t="n">
        <v>1</v>
      </c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5"/>
    </row>
    <row r="37" customFormat="false" ht="19.5" hidden="false" customHeight="true" outlineLevel="0" collapsed="false">
      <c r="A37" s="13" t="n">
        <v>33</v>
      </c>
      <c r="B37" s="14" t="s">
        <v>173</v>
      </c>
      <c r="C37" s="79" t="s">
        <v>295</v>
      </c>
      <c r="D37" s="80" t="n">
        <v>100</v>
      </c>
      <c r="E37" s="81" t="n">
        <f aca="false">IFERROR(4/100*'🏭 원료 마스터'!$C$21+63.6/100*'🏭 원료 마스터'!$C$40+2/100*'🏭 원료 마스터'!$C$46+7.9/100*'🏭 원료 마스터'!$C$49+1.6/100*'🏭 원료 마스터'!$C$54+11.9/100*'🏭 원료 마스터'!$C$63+1.1/100*'🏭 원료 마스터'!$C$71,"")</f>
        <v>667.8</v>
      </c>
      <c r="F37" s="82"/>
      <c r="G37" s="82"/>
      <c r="H37" s="76"/>
      <c r="I37" s="75"/>
      <c r="J37" s="83"/>
      <c r="K37" s="83"/>
      <c r="L37" s="83"/>
      <c r="M37" s="83"/>
      <c r="N37" s="83"/>
      <c r="O37" s="83"/>
      <c r="P37" s="83"/>
      <c r="Q37" s="83"/>
      <c r="R37" s="85"/>
      <c r="S37" s="83"/>
      <c r="T37" s="83"/>
      <c r="U37" s="83"/>
      <c r="V37" s="83"/>
      <c r="W37" s="83"/>
      <c r="X37" s="83"/>
      <c r="Y37" s="83"/>
      <c r="Z37" s="83"/>
      <c r="AA37" s="84" t="n">
        <v>4</v>
      </c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4" t="n">
        <v>63.6</v>
      </c>
      <c r="AU37" s="83"/>
      <c r="AV37" s="83"/>
      <c r="AW37" s="83"/>
      <c r="AX37" s="83"/>
      <c r="AY37" s="83"/>
      <c r="AZ37" s="84" t="n">
        <v>2</v>
      </c>
      <c r="BA37" s="83"/>
      <c r="BB37" s="83"/>
      <c r="BC37" s="84" t="n">
        <v>7.9</v>
      </c>
      <c r="BD37" s="83"/>
      <c r="BE37" s="83"/>
      <c r="BF37" s="83"/>
      <c r="BG37" s="83"/>
      <c r="BH37" s="84" t="n">
        <v>1.6</v>
      </c>
      <c r="BI37" s="83"/>
      <c r="BJ37" s="83"/>
      <c r="BK37" s="83"/>
      <c r="BL37" s="83"/>
      <c r="BM37" s="83"/>
      <c r="BN37" s="83"/>
      <c r="BO37" s="83"/>
      <c r="BP37" s="83"/>
      <c r="BQ37" s="84" t="n">
        <v>11.9</v>
      </c>
      <c r="BR37" s="83"/>
      <c r="BS37" s="83"/>
      <c r="BT37" s="83"/>
      <c r="BU37" s="83"/>
      <c r="BV37" s="83"/>
      <c r="BW37" s="83"/>
      <c r="BX37" s="83"/>
      <c r="BY37" s="84" t="n">
        <v>1.1</v>
      </c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4" t="n">
        <v>7.9</v>
      </c>
      <c r="CM37" s="85"/>
    </row>
    <row r="38" customFormat="false" ht="19.5" hidden="false" customHeight="true" outlineLevel="0" collapsed="false">
      <c r="A38" s="17" t="n">
        <v>34</v>
      </c>
      <c r="B38" s="18" t="s">
        <v>174</v>
      </c>
      <c r="C38" s="86" t="s">
        <v>296</v>
      </c>
      <c r="D38" s="87" t="n">
        <v>100</v>
      </c>
      <c r="E38" s="88" t="n">
        <f aca="false">IFERROR(12.1/100*'🏭 원료 마스터'!$C$21+48.4/100*'🏭 원료 마스터'!$C$40+2/100*'🏭 원료 마스터'!$C$42+1.21/100*'🏭 원료 마스터'!$C$44+0.91/100*'🏭 원료 마스터'!$C$54+33.32/100*'🏭 원료 마스터'!$C$63+0.85/100*'🏭 원료 마스터'!$C$71+1.21/100*'🏭 원료 마스터'!$C$74,"")</f>
        <v>508.2</v>
      </c>
      <c r="F38" s="82"/>
      <c r="G38" s="82"/>
      <c r="H38" s="76"/>
      <c r="I38" s="75"/>
      <c r="J38" s="89"/>
      <c r="K38" s="89"/>
      <c r="L38" s="89"/>
      <c r="M38" s="89"/>
      <c r="N38" s="89"/>
      <c r="O38" s="89"/>
      <c r="P38" s="89"/>
      <c r="Q38" s="89"/>
      <c r="R38" s="85"/>
      <c r="S38" s="89"/>
      <c r="T38" s="89"/>
      <c r="U38" s="89"/>
      <c r="V38" s="89"/>
      <c r="W38" s="89"/>
      <c r="X38" s="89"/>
      <c r="Y38" s="89"/>
      <c r="Z38" s="89"/>
      <c r="AA38" s="90" t="n">
        <v>12.1</v>
      </c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90" t="n">
        <v>48.4</v>
      </c>
      <c r="AU38" s="89"/>
      <c r="AV38" s="90" t="n">
        <v>2</v>
      </c>
      <c r="AW38" s="89"/>
      <c r="AX38" s="90" t="n">
        <v>1.21</v>
      </c>
      <c r="AY38" s="89"/>
      <c r="AZ38" s="89"/>
      <c r="BA38" s="89"/>
      <c r="BB38" s="89"/>
      <c r="BC38" s="89"/>
      <c r="BD38" s="89"/>
      <c r="BE38" s="89"/>
      <c r="BF38" s="89"/>
      <c r="BG38" s="89"/>
      <c r="BH38" s="90" t="n">
        <v>0.91</v>
      </c>
      <c r="BI38" s="89"/>
      <c r="BJ38" s="89"/>
      <c r="BK38" s="89"/>
      <c r="BL38" s="89"/>
      <c r="BM38" s="89"/>
      <c r="BN38" s="89"/>
      <c r="BO38" s="89"/>
      <c r="BP38" s="89"/>
      <c r="BQ38" s="90" t="n">
        <v>33.32</v>
      </c>
      <c r="BR38" s="89"/>
      <c r="BS38" s="89"/>
      <c r="BT38" s="89"/>
      <c r="BU38" s="89"/>
      <c r="BV38" s="89"/>
      <c r="BW38" s="89"/>
      <c r="BX38" s="89"/>
      <c r="BY38" s="90" t="n">
        <v>0.85</v>
      </c>
      <c r="BZ38" s="89"/>
      <c r="CA38" s="89"/>
      <c r="CB38" s="90" t="n">
        <v>1.21</v>
      </c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5"/>
    </row>
    <row r="39" customFormat="false" ht="19.5" hidden="false" customHeight="true" outlineLevel="0" collapsed="false">
      <c r="A39" s="13" t="n">
        <v>35</v>
      </c>
      <c r="B39" s="14" t="s">
        <v>175</v>
      </c>
      <c r="C39" s="79" t="s">
        <v>297</v>
      </c>
      <c r="D39" s="80" t="n">
        <v>100</v>
      </c>
      <c r="E39" s="81" t="n">
        <f aca="false">IFERROR(3/100*'🏭 원료 마스터'!$C$5+67/100*'🏭 원료 마스터'!$C$21+17.7/100*'🏭 원료 마스터'!$C$40+2.1/100*'🏭 원료 마스터'!$C$49+10/100*'🏭 원료 마스터'!$C$63+0.2/100*'🏭 원료 마스터'!$C$71,"")</f>
        <v>185.85</v>
      </c>
      <c r="F39" s="82"/>
      <c r="G39" s="82"/>
      <c r="H39" s="76"/>
      <c r="I39" s="75"/>
      <c r="J39" s="83"/>
      <c r="K39" s="84" t="n">
        <v>3</v>
      </c>
      <c r="L39" s="83"/>
      <c r="M39" s="83"/>
      <c r="N39" s="83"/>
      <c r="O39" s="83"/>
      <c r="P39" s="83"/>
      <c r="Q39" s="83"/>
      <c r="R39" s="85"/>
      <c r="S39" s="83"/>
      <c r="T39" s="83"/>
      <c r="U39" s="83"/>
      <c r="V39" s="83"/>
      <c r="W39" s="83"/>
      <c r="X39" s="83"/>
      <c r="Y39" s="83"/>
      <c r="Z39" s="83"/>
      <c r="AA39" s="84" t="n">
        <v>67</v>
      </c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4" t="n">
        <v>17.7</v>
      </c>
      <c r="AU39" s="83"/>
      <c r="AV39" s="83"/>
      <c r="AW39" s="83"/>
      <c r="AX39" s="83"/>
      <c r="AY39" s="83"/>
      <c r="AZ39" s="83"/>
      <c r="BA39" s="83"/>
      <c r="BB39" s="83"/>
      <c r="BC39" s="84" t="n">
        <v>2.1</v>
      </c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4" t="n">
        <v>10</v>
      </c>
      <c r="BR39" s="83"/>
      <c r="BS39" s="83"/>
      <c r="BT39" s="83"/>
      <c r="BU39" s="83"/>
      <c r="BV39" s="83"/>
      <c r="BW39" s="83"/>
      <c r="BX39" s="83"/>
      <c r="BY39" s="84" t="n">
        <v>0.2</v>
      </c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5"/>
    </row>
    <row r="40" customFormat="false" ht="19.5" hidden="false" customHeight="true" outlineLevel="0" collapsed="false">
      <c r="A40" s="17" t="n">
        <v>36</v>
      </c>
      <c r="B40" s="18" t="s">
        <v>176</v>
      </c>
      <c r="C40" s="86" t="s">
        <v>298</v>
      </c>
      <c r="D40" s="87" t="n">
        <v>100</v>
      </c>
      <c r="E40" s="88" t="n">
        <f aca="false">IFERROR(1.9/100*'🏭 원료 마스터'!$C$21+0.2/100*'🏭 원료 마스터'!$C$34+63.9/100*'🏭 원료 마스터'!$C$40+4.8/100*'🏭 원료 마스터'!$C$49+1.3/100*'🏭 원료 마스터'!$C$54+19.3/100*'🏭 원료 마스터'!$C$63+6.4/100*'🏭 원료 마스터'!$C$69+0.9/100*'🏭 원료 마스터'!$C$71+1.3/100*'🏭 원료 마스터'!$C$74,"")</f>
        <v>670.95</v>
      </c>
      <c r="F40" s="82"/>
      <c r="G40" s="82"/>
      <c r="H40" s="76"/>
      <c r="I40" s="75"/>
      <c r="J40" s="89"/>
      <c r="K40" s="89"/>
      <c r="L40" s="89"/>
      <c r="M40" s="89"/>
      <c r="N40" s="89"/>
      <c r="O40" s="89"/>
      <c r="P40" s="89"/>
      <c r="Q40" s="89"/>
      <c r="R40" s="85"/>
      <c r="S40" s="89"/>
      <c r="T40" s="89"/>
      <c r="U40" s="89"/>
      <c r="V40" s="89"/>
      <c r="W40" s="89"/>
      <c r="X40" s="89"/>
      <c r="Y40" s="89"/>
      <c r="Z40" s="89"/>
      <c r="AA40" s="90" t="n">
        <v>1.9</v>
      </c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90" t="n">
        <v>0.2</v>
      </c>
      <c r="AO40" s="89"/>
      <c r="AP40" s="89"/>
      <c r="AQ40" s="89"/>
      <c r="AR40" s="89"/>
      <c r="AS40" s="89"/>
      <c r="AT40" s="90" t="n">
        <v>63.9</v>
      </c>
      <c r="AU40" s="89"/>
      <c r="AV40" s="89"/>
      <c r="AW40" s="89"/>
      <c r="AX40" s="89"/>
      <c r="AY40" s="89"/>
      <c r="AZ40" s="89"/>
      <c r="BA40" s="89"/>
      <c r="BB40" s="89"/>
      <c r="BC40" s="90" t="n">
        <v>4.8</v>
      </c>
      <c r="BD40" s="89"/>
      <c r="BE40" s="89"/>
      <c r="BF40" s="89"/>
      <c r="BG40" s="89"/>
      <c r="BH40" s="90" t="n">
        <v>1.3</v>
      </c>
      <c r="BI40" s="89"/>
      <c r="BJ40" s="89"/>
      <c r="BK40" s="89"/>
      <c r="BL40" s="89"/>
      <c r="BM40" s="89"/>
      <c r="BN40" s="89"/>
      <c r="BO40" s="89"/>
      <c r="BP40" s="89"/>
      <c r="BQ40" s="90" t="n">
        <v>19.3</v>
      </c>
      <c r="BR40" s="89"/>
      <c r="BS40" s="89"/>
      <c r="BT40" s="89"/>
      <c r="BU40" s="89"/>
      <c r="BV40" s="89"/>
      <c r="BW40" s="90" t="n">
        <v>6.4</v>
      </c>
      <c r="BX40" s="89"/>
      <c r="BY40" s="90" t="n">
        <v>0.9</v>
      </c>
      <c r="BZ40" s="89"/>
      <c r="CA40" s="89"/>
      <c r="CB40" s="90" t="n">
        <v>1.3</v>
      </c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5"/>
    </row>
    <row r="41" customFormat="false" ht="19.5" hidden="false" customHeight="true" outlineLevel="0" collapsed="false">
      <c r="A41" s="13" t="n">
        <v>37</v>
      </c>
      <c r="B41" s="14" t="s">
        <v>177</v>
      </c>
      <c r="C41" s="79" t="s">
        <v>299</v>
      </c>
      <c r="D41" s="80" t="n">
        <v>100</v>
      </c>
      <c r="E41" s="81" t="n">
        <f aca="false">IFERROR(7.6/100*'🏭 원료 마스터'!$C$21+1.5/100*'🏭 원료 마스터'!$C$31+0.6/100*'🏭 원료 마스터'!$C$44+6.1/100*'🏭 원료 마스터'!$C$49+1.5/100*'🏭 원료 마스터'!$C$54+75.9/100*'🏭 원료 마스터'!$C$70+1.9/100*'🏭 원료 마스터'!$C$75+3/100*'🏭 원료 마스터'!$C$78+1.9/100*'🏭 원료 마스터'!$C$79,"")</f>
        <v>0</v>
      </c>
      <c r="F41" s="82"/>
      <c r="G41" s="82"/>
      <c r="H41" s="76"/>
      <c r="I41" s="75"/>
      <c r="J41" s="83"/>
      <c r="K41" s="83"/>
      <c r="L41" s="83"/>
      <c r="M41" s="83"/>
      <c r="N41" s="83"/>
      <c r="O41" s="83"/>
      <c r="P41" s="83"/>
      <c r="Q41" s="83"/>
      <c r="R41" s="85"/>
      <c r="S41" s="83"/>
      <c r="T41" s="83"/>
      <c r="U41" s="83"/>
      <c r="V41" s="83"/>
      <c r="W41" s="83"/>
      <c r="X41" s="83"/>
      <c r="Y41" s="83"/>
      <c r="Z41" s="83"/>
      <c r="AA41" s="84" t="n">
        <v>7.6</v>
      </c>
      <c r="AB41" s="83"/>
      <c r="AC41" s="83"/>
      <c r="AD41" s="83"/>
      <c r="AE41" s="83"/>
      <c r="AF41" s="83"/>
      <c r="AG41" s="83"/>
      <c r="AH41" s="83"/>
      <c r="AI41" s="83"/>
      <c r="AJ41" s="83"/>
      <c r="AK41" s="84" t="n">
        <v>1.5</v>
      </c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4" t="n">
        <v>0.6</v>
      </c>
      <c r="AY41" s="83"/>
      <c r="AZ41" s="83"/>
      <c r="BA41" s="83"/>
      <c r="BB41" s="83"/>
      <c r="BC41" s="84" t="n">
        <v>6.1</v>
      </c>
      <c r="BD41" s="83"/>
      <c r="BE41" s="83"/>
      <c r="BF41" s="83"/>
      <c r="BG41" s="83"/>
      <c r="BH41" s="84" t="n">
        <v>1.5</v>
      </c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4" t="n">
        <v>75.9</v>
      </c>
      <c r="BY41" s="83"/>
      <c r="BZ41" s="83"/>
      <c r="CA41" s="83"/>
      <c r="CB41" s="83"/>
      <c r="CC41" s="84" t="n">
        <v>1.9</v>
      </c>
      <c r="CD41" s="83"/>
      <c r="CE41" s="83"/>
      <c r="CF41" s="84" t="n">
        <v>3</v>
      </c>
      <c r="CG41" s="84" t="n">
        <v>1.9</v>
      </c>
      <c r="CH41" s="83"/>
      <c r="CI41" s="83"/>
      <c r="CJ41" s="83"/>
      <c r="CK41" s="83"/>
      <c r="CL41" s="83"/>
      <c r="CM41" s="85"/>
    </row>
    <row r="42" customFormat="false" ht="19.5" hidden="false" customHeight="true" outlineLevel="0" collapsed="false">
      <c r="A42" s="17" t="n">
        <v>38</v>
      </c>
      <c r="B42" s="18" t="s">
        <v>178</v>
      </c>
      <c r="C42" s="86" t="s">
        <v>300</v>
      </c>
      <c r="D42" s="87" t="n">
        <v>100</v>
      </c>
      <c r="E42" s="88" t="n">
        <f aca="false">IFERROR(13.6/100*'🏭 원료 마스터'!$C$21+3.4/100*'🏭 원료 마스터'!$C$34+6.8/100*'🏭 원료 마스터'!$C$42+3.4/100*'🏭 원료 마스터'!$C$49+1.7/100*'🏭 원료 마스터'!$C$54+1.5/100*'🏭 원료 마스터'!$C$68+67.9/100*'🏭 원료 마스터'!$C$70+1.2/100*'🏭 원료 마스터'!$C$71+0.5/100*'🏭 원료 마스터'!$C$80,"")</f>
        <v>0</v>
      </c>
      <c r="F42" s="82"/>
      <c r="G42" s="82"/>
      <c r="H42" s="76"/>
      <c r="I42" s="75"/>
      <c r="J42" s="89"/>
      <c r="K42" s="89"/>
      <c r="L42" s="89"/>
      <c r="M42" s="89"/>
      <c r="N42" s="89"/>
      <c r="O42" s="89"/>
      <c r="P42" s="89"/>
      <c r="Q42" s="89"/>
      <c r="R42" s="85"/>
      <c r="S42" s="89"/>
      <c r="T42" s="89"/>
      <c r="U42" s="89"/>
      <c r="V42" s="89"/>
      <c r="W42" s="89"/>
      <c r="X42" s="89"/>
      <c r="Y42" s="89"/>
      <c r="Z42" s="89"/>
      <c r="AA42" s="90" t="n">
        <v>13.6</v>
      </c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90" t="n">
        <v>3.4</v>
      </c>
      <c r="AO42" s="89"/>
      <c r="AP42" s="89"/>
      <c r="AQ42" s="89"/>
      <c r="AR42" s="89"/>
      <c r="AS42" s="89"/>
      <c r="AT42" s="89"/>
      <c r="AU42" s="89"/>
      <c r="AV42" s="90" t="n">
        <v>6.8</v>
      </c>
      <c r="AW42" s="89"/>
      <c r="AX42" s="89"/>
      <c r="AY42" s="89"/>
      <c r="AZ42" s="89"/>
      <c r="BA42" s="89"/>
      <c r="BB42" s="89"/>
      <c r="BC42" s="90" t="n">
        <v>3.4</v>
      </c>
      <c r="BD42" s="89"/>
      <c r="BE42" s="89"/>
      <c r="BF42" s="89"/>
      <c r="BG42" s="89"/>
      <c r="BH42" s="90" t="n">
        <v>1.7</v>
      </c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90" t="n">
        <v>1.5</v>
      </c>
      <c r="BW42" s="89"/>
      <c r="BX42" s="90" t="n">
        <v>67.9</v>
      </c>
      <c r="BY42" s="90" t="n">
        <v>1.2</v>
      </c>
      <c r="BZ42" s="89"/>
      <c r="CA42" s="89"/>
      <c r="CB42" s="89"/>
      <c r="CC42" s="89"/>
      <c r="CD42" s="89"/>
      <c r="CE42" s="89"/>
      <c r="CF42" s="89"/>
      <c r="CG42" s="89"/>
      <c r="CH42" s="90" t="n">
        <v>0.5</v>
      </c>
      <c r="CI42" s="89"/>
      <c r="CJ42" s="89"/>
      <c r="CK42" s="89"/>
      <c r="CL42" s="89"/>
      <c r="CM42" s="85"/>
    </row>
    <row r="43" customFormat="false" ht="19.5" hidden="false" customHeight="true" outlineLevel="0" collapsed="false">
      <c r="A43" s="13" t="n">
        <v>39</v>
      </c>
      <c r="B43" s="14" t="s">
        <v>179</v>
      </c>
      <c r="C43" s="79" t="s">
        <v>301</v>
      </c>
      <c r="D43" s="80" t="n">
        <v>100</v>
      </c>
      <c r="E43" s="81" t="n">
        <f aca="false">IFERROR(8.8/100*'🏭 원료 마스터'!$C$21+4.4/100*'🏭 원료 마스터'!$C$42+4.4/100*'🏭 원료 마스터'!$C$49+0.47/100*'🏭 원료 마스터'!$C$54+35.89/100*'🏭 원료 마스터'!$C$63+0.9/100*'🏭 원료 마스터'!$C$68+43.96/100*'🏭 원료 마스터'!$C$70+0.8/100*'🏭 원료 마스터'!$C$71+0.38/100*'🏭 원료 마스터'!$C$80,"")</f>
        <v>0</v>
      </c>
      <c r="F43" s="82"/>
      <c r="G43" s="82"/>
      <c r="H43" s="76"/>
      <c r="I43" s="75"/>
      <c r="J43" s="83"/>
      <c r="K43" s="83"/>
      <c r="L43" s="83"/>
      <c r="M43" s="83"/>
      <c r="N43" s="83"/>
      <c r="O43" s="83"/>
      <c r="P43" s="83"/>
      <c r="Q43" s="83"/>
      <c r="R43" s="85"/>
      <c r="S43" s="83"/>
      <c r="T43" s="83"/>
      <c r="U43" s="83"/>
      <c r="V43" s="83"/>
      <c r="W43" s="83"/>
      <c r="X43" s="83"/>
      <c r="Y43" s="83"/>
      <c r="Z43" s="83"/>
      <c r="AA43" s="84" t="n">
        <v>8.8</v>
      </c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4" t="n">
        <v>4.4</v>
      </c>
      <c r="AW43" s="83"/>
      <c r="AX43" s="83"/>
      <c r="AY43" s="83"/>
      <c r="AZ43" s="83"/>
      <c r="BA43" s="83"/>
      <c r="BB43" s="83"/>
      <c r="BC43" s="84" t="n">
        <v>4.4</v>
      </c>
      <c r="BD43" s="83"/>
      <c r="BE43" s="83"/>
      <c r="BF43" s="83"/>
      <c r="BG43" s="83"/>
      <c r="BH43" s="84" t="n">
        <v>0.47</v>
      </c>
      <c r="BI43" s="83"/>
      <c r="BJ43" s="83"/>
      <c r="BK43" s="83"/>
      <c r="BL43" s="83"/>
      <c r="BM43" s="83"/>
      <c r="BN43" s="83"/>
      <c r="BO43" s="83"/>
      <c r="BP43" s="83"/>
      <c r="BQ43" s="84" t="n">
        <v>35.89</v>
      </c>
      <c r="BR43" s="83"/>
      <c r="BS43" s="83"/>
      <c r="BT43" s="83"/>
      <c r="BU43" s="83"/>
      <c r="BV43" s="84" t="n">
        <v>0.9</v>
      </c>
      <c r="BW43" s="83"/>
      <c r="BX43" s="84" t="n">
        <v>43.96</v>
      </c>
      <c r="BY43" s="84" t="n">
        <v>0.8</v>
      </c>
      <c r="BZ43" s="83"/>
      <c r="CA43" s="83"/>
      <c r="CB43" s="83"/>
      <c r="CC43" s="83"/>
      <c r="CD43" s="83"/>
      <c r="CE43" s="83"/>
      <c r="CF43" s="83"/>
      <c r="CG43" s="83"/>
      <c r="CH43" s="84" t="n">
        <v>0.38</v>
      </c>
      <c r="CI43" s="83"/>
      <c r="CJ43" s="83"/>
      <c r="CK43" s="83"/>
      <c r="CL43" s="83"/>
      <c r="CM43" s="85"/>
    </row>
    <row r="44" customFormat="false" ht="19.5" hidden="false" customHeight="true" outlineLevel="0" collapsed="false">
      <c r="A44" s="17" t="n">
        <v>40</v>
      </c>
      <c r="B44" s="18" t="s">
        <v>180</v>
      </c>
      <c r="C44" s="86" t="s">
        <v>302</v>
      </c>
      <c r="D44" s="87" t="n">
        <v>100</v>
      </c>
      <c r="E44" s="88" t="n">
        <f aca="false">IFERROR(13.4/100*'🏭 원료 마스터'!$C$10+10/100*'🏭 원료 마스터'!$C$20+6.4/100*'🏭 원료 마스터'!$C$49+23.4/100*'🏭 원료 마스터'!$C$63+46/100*'🏭 원료 마스터'!$C$70+0.8/100*'🏭 원료 마스터'!$C$71,"")</f>
        <v>0</v>
      </c>
      <c r="F44" s="82"/>
      <c r="G44" s="82"/>
      <c r="H44" s="76"/>
      <c r="I44" s="75"/>
      <c r="J44" s="89"/>
      <c r="K44" s="89"/>
      <c r="L44" s="89"/>
      <c r="M44" s="89"/>
      <c r="N44" s="89"/>
      <c r="O44" s="89"/>
      <c r="P44" s="90" t="n">
        <v>13.4</v>
      </c>
      <c r="Q44" s="89"/>
      <c r="R44" s="85"/>
      <c r="S44" s="89"/>
      <c r="T44" s="89"/>
      <c r="U44" s="89"/>
      <c r="V44" s="89"/>
      <c r="W44" s="89"/>
      <c r="X44" s="89"/>
      <c r="Y44" s="89"/>
      <c r="Z44" s="90" t="n">
        <v>10</v>
      </c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90" t="n">
        <v>6.4</v>
      </c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90" t="n">
        <v>23.4</v>
      </c>
      <c r="BR44" s="89"/>
      <c r="BS44" s="89"/>
      <c r="BT44" s="89"/>
      <c r="BU44" s="89"/>
      <c r="BV44" s="89"/>
      <c r="BW44" s="89"/>
      <c r="BX44" s="90" t="n">
        <v>46</v>
      </c>
      <c r="BY44" s="90" t="n">
        <v>0.8</v>
      </c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5"/>
    </row>
    <row r="45" customFormat="false" ht="19.5" hidden="false" customHeight="true" outlineLevel="0" collapsed="false">
      <c r="A45" s="13" t="n">
        <v>41</v>
      </c>
      <c r="B45" s="14" t="s">
        <v>181</v>
      </c>
      <c r="C45" s="79" t="s">
        <v>303</v>
      </c>
      <c r="D45" s="80" t="n">
        <v>99.99</v>
      </c>
      <c r="E45" s="81" t="n">
        <f aca="false">IFERROR(1.99/100*'🏭 원료 마스터'!$C$21+0.2/100*'🏭 원료 마스터'!$C$25+0.35/100*'🏭 원료 마스터'!$C$34+47.73/100*'🏭 원료 마스터'!$C$40+0.74/100*'🏭 원료 마스터'!$C$44+9.7/100*'🏭 원료 마스터'!$C$49+0.2/100*'🏭 원료 마스터'!$C$54+0.2/100*'🏭 원료 마스터'!$C$61+22.87/100*'🏭 원료 마스터'!$C$63+13.92/100*'🏭 원료 마스터'!$C$69+1.1/100*'🏭 원료 마스터'!$C$71+0.99/100*'🏭 원료 마스터'!$C$74,"")</f>
        <v>501.165</v>
      </c>
      <c r="F45" s="82"/>
      <c r="G45" s="82"/>
      <c r="H45" s="76"/>
      <c r="I45" s="75"/>
      <c r="J45" s="83"/>
      <c r="K45" s="83"/>
      <c r="L45" s="83"/>
      <c r="M45" s="83"/>
      <c r="N45" s="83"/>
      <c r="O45" s="83"/>
      <c r="P45" s="83"/>
      <c r="Q45" s="83"/>
      <c r="R45" s="85"/>
      <c r="S45" s="83"/>
      <c r="T45" s="83"/>
      <c r="U45" s="83"/>
      <c r="V45" s="83"/>
      <c r="W45" s="83"/>
      <c r="X45" s="83"/>
      <c r="Y45" s="83"/>
      <c r="Z45" s="83"/>
      <c r="AA45" s="84" t="n">
        <v>1.99</v>
      </c>
      <c r="AB45" s="83"/>
      <c r="AC45" s="83"/>
      <c r="AD45" s="83"/>
      <c r="AE45" s="84" t="n">
        <v>0.2</v>
      </c>
      <c r="AF45" s="83"/>
      <c r="AG45" s="83"/>
      <c r="AH45" s="83"/>
      <c r="AI45" s="83"/>
      <c r="AJ45" s="83"/>
      <c r="AK45" s="83"/>
      <c r="AL45" s="83"/>
      <c r="AM45" s="83"/>
      <c r="AN45" s="84" t="n">
        <v>0.35</v>
      </c>
      <c r="AO45" s="83"/>
      <c r="AP45" s="83"/>
      <c r="AQ45" s="83"/>
      <c r="AR45" s="83"/>
      <c r="AS45" s="83"/>
      <c r="AT45" s="84" t="n">
        <v>47.73</v>
      </c>
      <c r="AU45" s="83"/>
      <c r="AV45" s="83"/>
      <c r="AW45" s="83"/>
      <c r="AX45" s="84" t="n">
        <v>0.74</v>
      </c>
      <c r="AY45" s="83"/>
      <c r="AZ45" s="83"/>
      <c r="BA45" s="83"/>
      <c r="BB45" s="83"/>
      <c r="BC45" s="84" t="n">
        <v>9.7</v>
      </c>
      <c r="BD45" s="83"/>
      <c r="BE45" s="83"/>
      <c r="BF45" s="83"/>
      <c r="BG45" s="83"/>
      <c r="BH45" s="84" t="n">
        <v>0.2</v>
      </c>
      <c r="BI45" s="83"/>
      <c r="BJ45" s="83"/>
      <c r="BK45" s="83"/>
      <c r="BL45" s="83"/>
      <c r="BM45" s="83"/>
      <c r="BN45" s="83"/>
      <c r="BO45" s="84" t="n">
        <v>0.2</v>
      </c>
      <c r="BP45" s="83"/>
      <c r="BQ45" s="84" t="n">
        <v>22.87</v>
      </c>
      <c r="BR45" s="83"/>
      <c r="BS45" s="83"/>
      <c r="BT45" s="83"/>
      <c r="BU45" s="83"/>
      <c r="BV45" s="83"/>
      <c r="BW45" s="84" t="n">
        <v>13.92</v>
      </c>
      <c r="BX45" s="83"/>
      <c r="BY45" s="84" t="n">
        <v>1.1</v>
      </c>
      <c r="BZ45" s="83"/>
      <c r="CA45" s="83"/>
      <c r="CB45" s="84" t="n">
        <v>0.99</v>
      </c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5"/>
    </row>
    <row r="46" customFormat="false" ht="19.5" hidden="false" customHeight="true" outlineLevel="0" collapsed="false">
      <c r="A46" s="17" t="n">
        <v>42</v>
      </c>
      <c r="B46" s="18" t="s">
        <v>182</v>
      </c>
      <c r="C46" s="86" t="s">
        <v>304</v>
      </c>
      <c r="D46" s="87" t="n">
        <v>100</v>
      </c>
      <c r="E46" s="88" t="n">
        <f aca="false">IFERROR(24/100*'🏭 원료 마스터'!$C$29+20/100*'🏭 원료 마스터'!$C$35+5.6/100*'🏭 원료 마스터'!$C$49+4.6/100*'🏭 원료 마스터'!$C$63+45.1/100*'🏭 원료 마스터'!$C$70+0.7/100*'🏭 원료 마스터'!$C$71,"")</f>
        <v>0</v>
      </c>
      <c r="F46" s="82"/>
      <c r="G46" s="82"/>
      <c r="H46" s="76"/>
      <c r="I46" s="75"/>
      <c r="J46" s="89"/>
      <c r="K46" s="89"/>
      <c r="L46" s="89"/>
      <c r="M46" s="89"/>
      <c r="N46" s="89"/>
      <c r="O46" s="89"/>
      <c r="P46" s="89"/>
      <c r="Q46" s="89"/>
      <c r="R46" s="85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90" t="n">
        <v>24</v>
      </c>
      <c r="AJ46" s="89"/>
      <c r="AK46" s="89"/>
      <c r="AL46" s="89"/>
      <c r="AM46" s="89"/>
      <c r="AN46" s="89"/>
      <c r="AO46" s="90" t="n">
        <v>20</v>
      </c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90" t="n">
        <v>5.6</v>
      </c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90" t="n">
        <v>4.6</v>
      </c>
      <c r="BR46" s="89"/>
      <c r="BS46" s="89"/>
      <c r="BT46" s="89"/>
      <c r="BU46" s="89"/>
      <c r="BV46" s="89"/>
      <c r="BW46" s="89"/>
      <c r="BX46" s="90" t="n">
        <v>45.1</v>
      </c>
      <c r="BY46" s="90" t="n">
        <v>0.7</v>
      </c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5"/>
    </row>
    <row r="47" customFormat="false" ht="19.5" hidden="false" customHeight="true" outlineLevel="0" collapsed="false">
      <c r="A47" s="13" t="n">
        <v>43</v>
      </c>
      <c r="B47" s="14" t="s">
        <v>183</v>
      </c>
      <c r="C47" s="79" t="s">
        <v>305</v>
      </c>
      <c r="D47" s="80" t="n">
        <v>100</v>
      </c>
      <c r="E47" s="81" t="n">
        <f aca="false">IFERROR(2.4/100*'🏭 원료 마스터'!$C$42+2.4/100*'🏭 원료 마스터'!$C$49+1.2/100*'🏭 원료 마스터'!$C$58+44.8/100*'🏭 원료 마스터'!$C$66+0.2/100*'🏭 원료 마스터'!$C$68+47.8/100*'🏭 원료 마스터'!$C$70+0.8/100*'🏭 원료 마스터'!$C$71+0.4/100*'🏭 원료 마스터'!$C$80,"")</f>
        <v>0</v>
      </c>
      <c r="F47" s="82"/>
      <c r="G47" s="82"/>
      <c r="H47" s="76"/>
      <c r="I47" s="75"/>
      <c r="J47" s="83"/>
      <c r="K47" s="83"/>
      <c r="L47" s="83"/>
      <c r="M47" s="83"/>
      <c r="N47" s="83"/>
      <c r="O47" s="83"/>
      <c r="P47" s="83"/>
      <c r="Q47" s="83"/>
      <c r="R47" s="85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4" t="n">
        <v>2.4</v>
      </c>
      <c r="AW47" s="83"/>
      <c r="AX47" s="83"/>
      <c r="AY47" s="83"/>
      <c r="AZ47" s="83"/>
      <c r="BA47" s="83"/>
      <c r="BB47" s="83"/>
      <c r="BC47" s="84" t="n">
        <v>2.4</v>
      </c>
      <c r="BD47" s="83"/>
      <c r="BE47" s="83"/>
      <c r="BF47" s="83"/>
      <c r="BG47" s="83"/>
      <c r="BH47" s="83"/>
      <c r="BI47" s="83"/>
      <c r="BJ47" s="83"/>
      <c r="BK47" s="83"/>
      <c r="BL47" s="84" t="n">
        <v>1.2</v>
      </c>
      <c r="BM47" s="83"/>
      <c r="BN47" s="83"/>
      <c r="BO47" s="83"/>
      <c r="BP47" s="83"/>
      <c r="BQ47" s="83"/>
      <c r="BR47" s="83"/>
      <c r="BS47" s="83"/>
      <c r="BT47" s="84" t="n">
        <v>44.8</v>
      </c>
      <c r="BU47" s="83"/>
      <c r="BV47" s="84" t="n">
        <v>0.2</v>
      </c>
      <c r="BW47" s="83"/>
      <c r="BX47" s="84" t="n">
        <v>47.8</v>
      </c>
      <c r="BY47" s="84" t="n">
        <v>0.8</v>
      </c>
      <c r="BZ47" s="83"/>
      <c r="CA47" s="83"/>
      <c r="CB47" s="83"/>
      <c r="CC47" s="83"/>
      <c r="CD47" s="83"/>
      <c r="CE47" s="83"/>
      <c r="CF47" s="83"/>
      <c r="CG47" s="83"/>
      <c r="CH47" s="84" t="n">
        <v>0.4</v>
      </c>
      <c r="CI47" s="83"/>
      <c r="CJ47" s="83"/>
      <c r="CK47" s="83"/>
      <c r="CL47" s="83"/>
      <c r="CM47" s="85"/>
    </row>
    <row r="48" customFormat="false" ht="19.5" hidden="false" customHeight="true" outlineLevel="0" collapsed="false">
      <c r="A48" s="17" t="n">
        <v>44</v>
      </c>
      <c r="B48" s="18" t="s">
        <v>184</v>
      </c>
      <c r="C48" s="86" t="s">
        <v>306</v>
      </c>
      <c r="D48" s="87" t="n">
        <v>100</v>
      </c>
      <c r="E48" s="88" t="n">
        <f aca="false">IFERROR(69.5/100*'🏭 원료 마스터'!$C$40+11.3/100*'🏭 원료 마스터'!$C$49+9/100*'🏭 원료 마스터'!$C$60+9/100*'🏭 원료 마스터'!$C$63+1.2/100*'🏭 원료 마스터'!$C$71,"")</f>
        <v>729.75</v>
      </c>
      <c r="F48" s="82"/>
      <c r="G48" s="82"/>
      <c r="H48" s="76"/>
      <c r="I48" s="75"/>
      <c r="J48" s="89"/>
      <c r="K48" s="89"/>
      <c r="L48" s="89"/>
      <c r="M48" s="89"/>
      <c r="N48" s="89"/>
      <c r="O48" s="89"/>
      <c r="P48" s="89"/>
      <c r="Q48" s="89"/>
      <c r="R48" s="85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90" t="n">
        <v>69.5</v>
      </c>
      <c r="AU48" s="89"/>
      <c r="AV48" s="89"/>
      <c r="AW48" s="89"/>
      <c r="AX48" s="89"/>
      <c r="AY48" s="89"/>
      <c r="AZ48" s="89"/>
      <c r="BA48" s="89"/>
      <c r="BB48" s="89"/>
      <c r="BC48" s="90" t="n">
        <v>11.3</v>
      </c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90" t="n">
        <v>9</v>
      </c>
      <c r="BO48" s="89"/>
      <c r="BP48" s="89"/>
      <c r="BQ48" s="90" t="n">
        <v>9</v>
      </c>
      <c r="BR48" s="89"/>
      <c r="BS48" s="89"/>
      <c r="BT48" s="89"/>
      <c r="BU48" s="89"/>
      <c r="BV48" s="89"/>
      <c r="BW48" s="89"/>
      <c r="BX48" s="89"/>
      <c r="BY48" s="90" t="n">
        <v>1.2</v>
      </c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5"/>
    </row>
    <row r="49" customFormat="false" ht="19.5" hidden="false" customHeight="true" outlineLevel="0" collapsed="false">
      <c r="A49" s="13" t="n">
        <v>45</v>
      </c>
      <c r="B49" s="14" t="s">
        <v>185</v>
      </c>
      <c r="C49" s="79" t="s">
        <v>307</v>
      </c>
      <c r="D49" s="80" t="n">
        <v>100</v>
      </c>
      <c r="E49" s="81" t="n">
        <f aca="false">IFERROR(4.2/100*'🏭 원료 마스터'!$C$34+4.2/100*'🏭 원료 마스터'!$C$42+4.2/100*'🏭 원료 마스터'!$C$49+1.9/100*'🏭 원료 마스터'!$C$68+83.4/100*'🏭 원료 마스터'!$C$70+1.5/100*'🏭 원료 마스터'!$C$71+0.6/100*'🏭 원료 마스터'!$C$80,"")</f>
        <v>0</v>
      </c>
      <c r="F49" s="82"/>
      <c r="G49" s="82"/>
      <c r="H49" s="76"/>
      <c r="I49" s="75"/>
      <c r="J49" s="83"/>
      <c r="K49" s="83"/>
      <c r="L49" s="83"/>
      <c r="M49" s="83"/>
      <c r="N49" s="83"/>
      <c r="O49" s="83"/>
      <c r="P49" s="83"/>
      <c r="Q49" s="83"/>
      <c r="R49" s="85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4" t="n">
        <v>4.2</v>
      </c>
      <c r="AO49" s="83"/>
      <c r="AP49" s="83"/>
      <c r="AQ49" s="83"/>
      <c r="AR49" s="83"/>
      <c r="AS49" s="83"/>
      <c r="AT49" s="83"/>
      <c r="AU49" s="83"/>
      <c r="AV49" s="84" t="n">
        <v>4.2</v>
      </c>
      <c r="AW49" s="83"/>
      <c r="AX49" s="83"/>
      <c r="AY49" s="83"/>
      <c r="AZ49" s="83"/>
      <c r="BA49" s="83"/>
      <c r="BB49" s="83"/>
      <c r="BC49" s="84" t="n">
        <v>4.2</v>
      </c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4" t="n">
        <v>1.9</v>
      </c>
      <c r="BW49" s="83"/>
      <c r="BX49" s="84" t="n">
        <v>83.4</v>
      </c>
      <c r="BY49" s="84" t="n">
        <v>1.5</v>
      </c>
      <c r="BZ49" s="83"/>
      <c r="CA49" s="83"/>
      <c r="CB49" s="83"/>
      <c r="CC49" s="83"/>
      <c r="CD49" s="83"/>
      <c r="CE49" s="83"/>
      <c r="CF49" s="83"/>
      <c r="CG49" s="83"/>
      <c r="CH49" s="84" t="n">
        <v>0.6</v>
      </c>
      <c r="CI49" s="83"/>
      <c r="CJ49" s="83"/>
      <c r="CK49" s="83"/>
      <c r="CL49" s="83"/>
      <c r="CM49" s="85"/>
    </row>
    <row r="50" customFormat="false" ht="19.5" hidden="false" customHeight="true" outlineLevel="0" collapsed="false">
      <c r="A50" s="17" t="n">
        <v>46</v>
      </c>
      <c r="B50" s="18" t="s">
        <v>186</v>
      </c>
      <c r="C50" s="86" t="s">
        <v>308</v>
      </c>
      <c r="D50" s="87" t="n">
        <v>100</v>
      </c>
      <c r="E50" s="88" t="n">
        <f aca="false">IFERROR(1.2/100*'🏭 원료 마스터'!$C$8+6/100*'🏭 원료 마스터'!$C$22+61.7/100*'🏭 원료 마스터'!$C$40+1.6/100*'🏭 원료 마스터'!$C$43+10/100*'🏭 원료 마스터'!$C$49+1.2/100*'🏭 원료 마스터'!$C$61+16.1/100*'🏭 원료 마스터'!$C$63+1/100*'🏭 원료 마스터'!$C$71+1.2/100*'🏭 원료 마스터'!$C$75,"")</f>
        <v>647.85</v>
      </c>
      <c r="F50" s="82"/>
      <c r="G50" s="82"/>
      <c r="H50" s="76"/>
      <c r="I50" s="75"/>
      <c r="J50" s="89"/>
      <c r="K50" s="89"/>
      <c r="L50" s="89"/>
      <c r="M50" s="89"/>
      <c r="N50" s="90" t="n">
        <v>1.2</v>
      </c>
      <c r="O50" s="89"/>
      <c r="P50" s="89"/>
      <c r="Q50" s="89"/>
      <c r="R50" s="85"/>
      <c r="S50" s="89"/>
      <c r="T50" s="89"/>
      <c r="U50" s="89"/>
      <c r="V50" s="89"/>
      <c r="W50" s="89"/>
      <c r="X50" s="89"/>
      <c r="Y50" s="89"/>
      <c r="Z50" s="89"/>
      <c r="AA50" s="89"/>
      <c r="AB50" s="90" t="n">
        <v>6</v>
      </c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90" t="n">
        <v>61.7</v>
      </c>
      <c r="AU50" s="89"/>
      <c r="AV50" s="89"/>
      <c r="AW50" s="90" t="n">
        <v>1.6</v>
      </c>
      <c r="AX50" s="89"/>
      <c r="AY50" s="89"/>
      <c r="AZ50" s="89"/>
      <c r="BA50" s="89"/>
      <c r="BB50" s="89"/>
      <c r="BC50" s="90" t="n">
        <v>10</v>
      </c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90" t="n">
        <v>1.2</v>
      </c>
      <c r="BP50" s="89"/>
      <c r="BQ50" s="90" t="n">
        <v>16.1</v>
      </c>
      <c r="BR50" s="89"/>
      <c r="BS50" s="89"/>
      <c r="BT50" s="89"/>
      <c r="BU50" s="89"/>
      <c r="BV50" s="89"/>
      <c r="BW50" s="89"/>
      <c r="BX50" s="89"/>
      <c r="BY50" s="90" t="n">
        <v>1</v>
      </c>
      <c r="BZ50" s="89"/>
      <c r="CA50" s="89"/>
      <c r="CB50" s="89"/>
      <c r="CC50" s="90" t="n">
        <v>1.2</v>
      </c>
      <c r="CD50" s="89"/>
      <c r="CE50" s="89"/>
      <c r="CF50" s="89"/>
      <c r="CG50" s="89"/>
      <c r="CH50" s="89"/>
      <c r="CI50" s="89"/>
      <c r="CJ50" s="89"/>
      <c r="CK50" s="89"/>
      <c r="CL50" s="89"/>
      <c r="CM50" s="85"/>
    </row>
    <row r="51" customFormat="false" ht="19.5" hidden="false" customHeight="true" outlineLevel="0" collapsed="false">
      <c r="A51" s="13" t="n">
        <v>47</v>
      </c>
      <c r="B51" s="14" t="s">
        <v>187</v>
      </c>
      <c r="C51" s="79" t="s">
        <v>309</v>
      </c>
      <c r="D51" s="80" t="n">
        <v>100</v>
      </c>
      <c r="E51" s="81" t="n">
        <f aca="false">IFERROR(0.2/100*'🏭 원료 마스터'!$C$34+63.7/100*'🏭 원료 마스터'!$C$40+4.8/100*'🏭 원료 마스터'!$C$49+1/100*'🏭 원료 마스터'!$C$61+21.7/100*'🏭 원료 마스터'!$C$63+6.4/100*'🏭 원료 마스터'!$C$69+0.9/100*'🏭 원료 마스터'!$C$71+1.3/100*'🏭 원료 마스터'!$C$74,"")</f>
        <v>668.85</v>
      </c>
      <c r="F51" s="82"/>
      <c r="G51" s="82"/>
      <c r="H51" s="76"/>
      <c r="I51" s="75"/>
      <c r="J51" s="83"/>
      <c r="K51" s="83"/>
      <c r="L51" s="83"/>
      <c r="M51" s="83"/>
      <c r="N51" s="83"/>
      <c r="O51" s="83"/>
      <c r="P51" s="83"/>
      <c r="Q51" s="83"/>
      <c r="R51" s="85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4" t="n">
        <v>0.2</v>
      </c>
      <c r="AO51" s="83"/>
      <c r="AP51" s="83"/>
      <c r="AQ51" s="83"/>
      <c r="AR51" s="83"/>
      <c r="AS51" s="83"/>
      <c r="AT51" s="84" t="n">
        <v>63.7</v>
      </c>
      <c r="AU51" s="83"/>
      <c r="AV51" s="83"/>
      <c r="AW51" s="83"/>
      <c r="AX51" s="83"/>
      <c r="AY51" s="83"/>
      <c r="AZ51" s="83"/>
      <c r="BA51" s="83"/>
      <c r="BB51" s="83"/>
      <c r="BC51" s="84" t="n">
        <v>4.8</v>
      </c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4" t="n">
        <v>1</v>
      </c>
      <c r="BP51" s="83"/>
      <c r="BQ51" s="84" t="n">
        <v>21.7</v>
      </c>
      <c r="BR51" s="83"/>
      <c r="BS51" s="83"/>
      <c r="BT51" s="83"/>
      <c r="BU51" s="83"/>
      <c r="BV51" s="83"/>
      <c r="BW51" s="84" t="n">
        <v>6.4</v>
      </c>
      <c r="BX51" s="83"/>
      <c r="BY51" s="84" t="n">
        <v>0.9</v>
      </c>
      <c r="BZ51" s="83"/>
      <c r="CA51" s="83"/>
      <c r="CB51" s="84" t="n">
        <v>1.3</v>
      </c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5"/>
    </row>
    <row r="52" customFormat="false" ht="19.5" hidden="false" customHeight="true" outlineLevel="0" collapsed="false">
      <c r="A52" s="17" t="n">
        <v>48</v>
      </c>
      <c r="B52" s="18" t="s">
        <v>188</v>
      </c>
      <c r="C52" s="86" t="s">
        <v>310</v>
      </c>
      <c r="D52" s="87" t="n">
        <v>100</v>
      </c>
      <c r="E52" s="88" t="n">
        <f aca="false">IFERROR(1.7/100*'🏭 원료 마스터'!$C$27+83.4/100*'🏭 원료 마스터'!$C$40+7.5/100*'🏭 원료 마스터'!$C$60+6.3/100*'🏭 원료 마스터'!$C$63+1.1/100*'🏭 원료 마스터'!$C$71,"")</f>
        <v>875.7</v>
      </c>
      <c r="F52" s="82"/>
      <c r="G52" s="82"/>
      <c r="H52" s="76"/>
      <c r="I52" s="75"/>
      <c r="J52" s="89"/>
      <c r="K52" s="89"/>
      <c r="L52" s="89"/>
      <c r="M52" s="89"/>
      <c r="N52" s="89"/>
      <c r="O52" s="89"/>
      <c r="P52" s="89"/>
      <c r="Q52" s="89"/>
      <c r="R52" s="85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0" t="n">
        <v>1.7</v>
      </c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90" t="n">
        <v>83.4</v>
      </c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90" t="n">
        <v>7.5</v>
      </c>
      <c r="BO52" s="89"/>
      <c r="BP52" s="89"/>
      <c r="BQ52" s="90" t="n">
        <v>6.3</v>
      </c>
      <c r="BR52" s="89"/>
      <c r="BS52" s="89"/>
      <c r="BT52" s="89"/>
      <c r="BU52" s="89"/>
      <c r="BV52" s="89"/>
      <c r="BW52" s="89"/>
      <c r="BX52" s="89"/>
      <c r="BY52" s="90" t="n">
        <v>1.1</v>
      </c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5"/>
    </row>
    <row r="53" customFormat="false" ht="19.5" hidden="false" customHeight="true" outlineLevel="0" collapsed="false">
      <c r="A53" s="13" t="n">
        <v>49</v>
      </c>
      <c r="B53" s="14" t="s">
        <v>189</v>
      </c>
      <c r="C53" s="79" t="s">
        <v>311</v>
      </c>
      <c r="D53" s="80" t="n">
        <v>100</v>
      </c>
      <c r="E53" s="81" t="n">
        <f aca="false">IFERROR(1.7/100*'🏭 원료 마스터'!$C$28+12.5/100*'🏭 원료 마스터'!$C$63+2.5/100*'🏭 원료 마스터'!$C$71+83.3/100*'🏭 원료 마스터'!$C$77,"")</f>
        <v>0</v>
      </c>
      <c r="F53" s="82"/>
      <c r="G53" s="82"/>
      <c r="H53" s="76"/>
      <c r="I53" s="75"/>
      <c r="J53" s="83"/>
      <c r="K53" s="83"/>
      <c r="L53" s="83"/>
      <c r="M53" s="83"/>
      <c r="N53" s="83"/>
      <c r="O53" s="83"/>
      <c r="P53" s="83"/>
      <c r="Q53" s="83"/>
      <c r="R53" s="85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4" t="n">
        <v>1.7</v>
      </c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4" t="n">
        <v>12.5</v>
      </c>
      <c r="BR53" s="83"/>
      <c r="BS53" s="83"/>
      <c r="BT53" s="83"/>
      <c r="BU53" s="83"/>
      <c r="BV53" s="83"/>
      <c r="BW53" s="83"/>
      <c r="BX53" s="83"/>
      <c r="BY53" s="84" t="n">
        <v>2.5</v>
      </c>
      <c r="BZ53" s="83"/>
      <c r="CA53" s="83"/>
      <c r="CB53" s="83"/>
      <c r="CC53" s="83"/>
      <c r="CD53" s="83"/>
      <c r="CE53" s="84" t="n">
        <v>83.3</v>
      </c>
      <c r="CF53" s="83"/>
      <c r="CG53" s="83"/>
      <c r="CH53" s="83"/>
      <c r="CI53" s="83"/>
      <c r="CJ53" s="83"/>
      <c r="CK53" s="83"/>
      <c r="CL53" s="83"/>
      <c r="CM53" s="85"/>
    </row>
    <row r="54" customFormat="false" ht="19.5" hidden="false" customHeight="true" outlineLevel="0" collapsed="false">
      <c r="A54" s="17" t="n">
        <v>50</v>
      </c>
      <c r="B54" s="18" t="s">
        <v>190</v>
      </c>
      <c r="C54" s="86" t="s">
        <v>312</v>
      </c>
      <c r="D54" s="87" t="n">
        <v>100</v>
      </c>
      <c r="E54" s="88" t="n">
        <f aca="false">IFERROR(2.4/100*'🏭 원료 마스터'!$C$25+1.6/100*'🏭 원료 마스터'!$C$26+0.7/100*'🏭 원료 마스터'!$C$44+3.3/100*'🏭 원료 마스터'!$C$56+81.4/100*'🏭 원료 마스터'!$C$70+2/100*'🏭 원료 마스터'!$C$75+3.4/100*'🏭 원료 마스터'!$C$78+2/100*'🏭 원료 마스터'!$C$79+3.2/100*'🏭 원료 마스터'!$C$81,"")</f>
        <v>0</v>
      </c>
      <c r="F54" s="82"/>
      <c r="G54" s="82"/>
      <c r="H54" s="76"/>
      <c r="I54" s="75"/>
      <c r="J54" s="89"/>
      <c r="K54" s="89"/>
      <c r="L54" s="89"/>
      <c r="M54" s="89"/>
      <c r="N54" s="89"/>
      <c r="O54" s="89"/>
      <c r="P54" s="89"/>
      <c r="Q54" s="89"/>
      <c r="R54" s="85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90" t="n">
        <v>2.4</v>
      </c>
      <c r="AF54" s="90" t="n">
        <v>1.6</v>
      </c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90" t="n">
        <v>0.7</v>
      </c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90" t="n">
        <v>3.3</v>
      </c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90" t="n">
        <v>81.4</v>
      </c>
      <c r="BY54" s="89"/>
      <c r="BZ54" s="89"/>
      <c r="CA54" s="89"/>
      <c r="CB54" s="89"/>
      <c r="CC54" s="90" t="n">
        <v>2</v>
      </c>
      <c r="CD54" s="89"/>
      <c r="CE54" s="89"/>
      <c r="CF54" s="90" t="n">
        <v>3.4</v>
      </c>
      <c r="CG54" s="90" t="n">
        <v>2</v>
      </c>
      <c r="CH54" s="89"/>
      <c r="CI54" s="90" t="n">
        <v>3.2</v>
      </c>
      <c r="CJ54" s="89"/>
      <c r="CK54" s="89"/>
      <c r="CL54" s="89"/>
      <c r="CM54" s="85"/>
    </row>
    <row r="55" customFormat="false" ht="18" hidden="false" customHeight="true" outlineLevel="0" collapsed="false">
      <c r="A55" s="13" t="n">
        <v>51</v>
      </c>
      <c r="B55" s="14" t="s">
        <v>191</v>
      </c>
      <c r="C55" s="79" t="s">
        <v>313</v>
      </c>
      <c r="D55" s="80" t="n">
        <v>100</v>
      </c>
      <c r="E55" s="81" t="n">
        <f aca="false">IFERROR(2/100*'🏭 원료 마스터'!$C$40+19/100*'🏭 원료 마스터'!$C$49+3/100*'🏭 원료 마스터'!$C$63+18/100*'🏭 원료 마스터'!$C$66+2/100*'🏭 원료 마스터'!$C$68+43/100*'🏭 원료 마스터'!$C$70+2/100*'🏭 원료 마스터'!$C$71+2/100*'🏭 원료 마스터'!$C$80+9/100*'🏭 원료 마스터'!$C$84,"")</f>
        <v>21</v>
      </c>
      <c r="F55" s="82"/>
      <c r="G55" s="82"/>
      <c r="H55" s="76"/>
      <c r="I55" s="75"/>
      <c r="J55" s="83"/>
      <c r="K55" s="83"/>
      <c r="L55" s="83"/>
      <c r="M55" s="83"/>
      <c r="N55" s="83"/>
      <c r="O55" s="83"/>
      <c r="P55" s="83"/>
      <c r="Q55" s="83"/>
      <c r="R55" s="85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4" t="n">
        <v>2</v>
      </c>
      <c r="AU55" s="83"/>
      <c r="AV55" s="83"/>
      <c r="AW55" s="83"/>
      <c r="AX55" s="83"/>
      <c r="AY55" s="83"/>
      <c r="AZ55" s="83"/>
      <c r="BA55" s="83"/>
      <c r="BB55" s="83"/>
      <c r="BC55" s="84" t="n">
        <v>19</v>
      </c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4" t="n">
        <v>3</v>
      </c>
      <c r="BR55" s="83"/>
      <c r="BS55" s="83"/>
      <c r="BT55" s="91" t="n">
        <v>18</v>
      </c>
      <c r="BU55" s="92"/>
      <c r="BV55" s="91" t="n">
        <v>2</v>
      </c>
      <c r="BW55" s="83"/>
      <c r="BX55" s="91" t="n">
        <v>43</v>
      </c>
      <c r="BY55" s="84" t="n">
        <v>2</v>
      </c>
      <c r="BZ55" s="83"/>
      <c r="CA55" s="92"/>
      <c r="CB55" s="83"/>
      <c r="CC55" s="83"/>
      <c r="CD55" s="83"/>
      <c r="CE55" s="83"/>
      <c r="CF55" s="83"/>
      <c r="CG55" s="83"/>
      <c r="CH55" s="91" t="n">
        <v>2</v>
      </c>
      <c r="CI55" s="83"/>
      <c r="CJ55" s="83"/>
      <c r="CK55" s="83"/>
      <c r="CL55" s="83"/>
      <c r="CM55" s="93" t="n">
        <v>9</v>
      </c>
    </row>
    <row r="56" customFormat="false" ht="19.5" hidden="false" customHeight="true" outlineLevel="0" collapsed="false">
      <c r="A56" s="13" t="n">
        <v>52</v>
      </c>
      <c r="B56" s="14" t="s">
        <v>192</v>
      </c>
      <c r="C56" s="79" t="s">
        <v>314</v>
      </c>
      <c r="D56" s="80" t="n">
        <v>100</v>
      </c>
      <c r="E56" s="81" t="n">
        <f aca="false">IFERROR(66.2/100*'🏭 원료 마스터'!$C$40+10.8/100*'🏭 원료 마스터'!$C$49+17.2/100*'🏭 원료 마스터'!$C$63+3.4/100*'🏭 원료 마스터'!$C$67+1.1/100*'🏭 원료 마스터'!$C$71+1.3/100*'🏭 원료 마스터'!$C$73,"")</f>
        <v>695.1</v>
      </c>
      <c r="F56" s="82"/>
      <c r="G56" s="82"/>
      <c r="H56" s="76"/>
      <c r="I56" s="75"/>
      <c r="J56" s="83"/>
      <c r="K56" s="83"/>
      <c r="L56" s="83"/>
      <c r="M56" s="83"/>
      <c r="N56" s="83"/>
      <c r="O56" s="83"/>
      <c r="P56" s="83"/>
      <c r="Q56" s="83"/>
      <c r="R56" s="85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4" t="n">
        <v>66.2</v>
      </c>
      <c r="AU56" s="83"/>
      <c r="AV56" s="83"/>
      <c r="AW56" s="83"/>
      <c r="AX56" s="83"/>
      <c r="AY56" s="83"/>
      <c r="AZ56" s="83"/>
      <c r="BA56" s="83"/>
      <c r="BB56" s="83"/>
      <c r="BC56" s="84" t="n">
        <v>10.8</v>
      </c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4" t="n">
        <v>17.2</v>
      </c>
      <c r="BR56" s="83"/>
      <c r="BS56" s="83"/>
      <c r="BT56" s="83"/>
      <c r="BU56" s="84" t="n">
        <v>3.4</v>
      </c>
      <c r="BV56" s="83"/>
      <c r="BW56" s="83"/>
      <c r="BX56" s="83"/>
      <c r="BY56" s="84" t="n">
        <v>1.1</v>
      </c>
      <c r="BZ56" s="83"/>
      <c r="CA56" s="84" t="n">
        <v>1.3</v>
      </c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5"/>
    </row>
    <row r="57" customFormat="false" ht="19.5" hidden="false" customHeight="true" outlineLevel="0" collapsed="false">
      <c r="A57" s="17" t="n">
        <v>53</v>
      </c>
      <c r="B57" s="18" t="s">
        <v>193</v>
      </c>
      <c r="C57" s="86" t="s">
        <v>315</v>
      </c>
      <c r="D57" s="87" t="n">
        <v>100</v>
      </c>
      <c r="E57" s="88" t="n">
        <f aca="false">IFERROR(61.5/100*'🏭 원료 마스터'!$C$40+10/100*'🏭 원료 마스터'!$C$49+11.5/100*'🏭 원료 마스터'!$C$62+16/100*'🏭 원료 마스터'!$C$63+1/100*'🏭 원료 마스터'!$C$71,"")</f>
        <v>645.75</v>
      </c>
      <c r="F57" s="82"/>
      <c r="G57" s="82"/>
      <c r="H57" s="76"/>
      <c r="I57" s="75"/>
      <c r="J57" s="89"/>
      <c r="K57" s="89"/>
      <c r="L57" s="89"/>
      <c r="M57" s="89"/>
      <c r="N57" s="89"/>
      <c r="O57" s="89"/>
      <c r="P57" s="89"/>
      <c r="Q57" s="89"/>
      <c r="R57" s="85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90" t="n">
        <v>61.5</v>
      </c>
      <c r="AU57" s="89"/>
      <c r="AV57" s="89"/>
      <c r="AW57" s="89"/>
      <c r="AX57" s="89"/>
      <c r="AY57" s="89"/>
      <c r="AZ57" s="89"/>
      <c r="BA57" s="89"/>
      <c r="BB57" s="89"/>
      <c r="BC57" s="90" t="n">
        <v>10</v>
      </c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90" t="n">
        <v>11.5</v>
      </c>
      <c r="BQ57" s="90" t="n">
        <v>16</v>
      </c>
      <c r="BR57" s="89"/>
      <c r="BS57" s="89"/>
      <c r="BT57" s="89"/>
      <c r="BU57" s="89"/>
      <c r="BV57" s="89"/>
      <c r="BW57" s="89"/>
      <c r="BX57" s="89"/>
      <c r="BY57" s="90" t="n">
        <v>1</v>
      </c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5"/>
    </row>
    <row r="58" customFormat="false" ht="19.5" hidden="false" customHeight="true" outlineLevel="0" collapsed="false">
      <c r="A58" s="13" t="n">
        <v>54</v>
      </c>
      <c r="B58" s="14" t="s">
        <v>194</v>
      </c>
      <c r="C58" s="79" t="s">
        <v>316</v>
      </c>
      <c r="D58" s="80" t="n">
        <v>100</v>
      </c>
      <c r="E58" s="81" t="n">
        <f aca="false">IFERROR(2.7/100*'🏭 원료 마스터'!$C$8+5.8/100*'🏭 원료 마스터'!$C$18+3.3/100*'🏭 원료 마스터'!$C$25+0.2/100*'🏭 원료 마스터'!$C$26+3.9/100*'🏭 원료 마스터'!$C$42+3.9/100*'🏭 원료 마스터'!$C$49+0.4/100*'🏭 원료 마스터'!$C$68+77.8/100*'🏭 원료 마스터'!$C$70+1.4/100*'🏭 원료 마스터'!$C$71+0.6/100*'🏭 원료 마스터'!$C$80,"")</f>
        <v>0</v>
      </c>
      <c r="F58" s="82"/>
      <c r="G58" s="82"/>
      <c r="H58" s="76"/>
      <c r="I58" s="75"/>
      <c r="J58" s="83"/>
      <c r="K58" s="83"/>
      <c r="L58" s="83"/>
      <c r="M58" s="83"/>
      <c r="N58" s="84" t="n">
        <v>2.7</v>
      </c>
      <c r="O58" s="83"/>
      <c r="P58" s="83"/>
      <c r="Q58" s="83"/>
      <c r="R58" s="85"/>
      <c r="S58" s="83"/>
      <c r="T58" s="83"/>
      <c r="U58" s="83"/>
      <c r="V58" s="83"/>
      <c r="W58" s="83"/>
      <c r="X58" s="84" t="n">
        <v>5.8</v>
      </c>
      <c r="Y58" s="83"/>
      <c r="Z58" s="83"/>
      <c r="AA58" s="83"/>
      <c r="AB58" s="83"/>
      <c r="AC58" s="83"/>
      <c r="AD58" s="83"/>
      <c r="AE58" s="84" t="n">
        <v>3.3</v>
      </c>
      <c r="AF58" s="84" t="n">
        <v>0.2</v>
      </c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4" t="n">
        <v>3.9</v>
      </c>
      <c r="AW58" s="83"/>
      <c r="AX58" s="83"/>
      <c r="AY58" s="83"/>
      <c r="AZ58" s="83"/>
      <c r="BA58" s="83"/>
      <c r="BB58" s="83"/>
      <c r="BC58" s="84" t="n">
        <v>3.9</v>
      </c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4" t="n">
        <v>0.4</v>
      </c>
      <c r="BW58" s="83"/>
      <c r="BX58" s="84" t="n">
        <v>77.8</v>
      </c>
      <c r="BY58" s="84" t="n">
        <v>1.4</v>
      </c>
      <c r="BZ58" s="83"/>
      <c r="CA58" s="83"/>
      <c r="CB58" s="83"/>
      <c r="CC58" s="83"/>
      <c r="CD58" s="83"/>
      <c r="CE58" s="83"/>
      <c r="CF58" s="83"/>
      <c r="CG58" s="83"/>
      <c r="CH58" s="84" t="n">
        <v>0.6</v>
      </c>
      <c r="CI58" s="83"/>
      <c r="CJ58" s="83"/>
      <c r="CK58" s="83"/>
      <c r="CL58" s="83"/>
      <c r="CM58" s="85"/>
    </row>
    <row r="59" customFormat="false" ht="19.5" hidden="false" customHeight="true" outlineLevel="0" collapsed="false">
      <c r="A59" s="17" t="n">
        <v>55</v>
      </c>
      <c r="B59" s="18" t="s">
        <v>195</v>
      </c>
      <c r="C59" s="86" t="s">
        <v>317</v>
      </c>
      <c r="D59" s="87" t="n">
        <v>100</v>
      </c>
      <c r="E59" s="88" t="n">
        <f aca="false">IFERROR(15.1/100*'🏭 원료 마스터'!$C$18+58.2/100*'🏭 원료 마스터'!$C$40+9.5/100*'🏭 원료 마스터'!$C$49+1.1/100*'🏭 원료 마스터'!$C$55+15.1/100*'🏭 원료 마스터'!$C$63+1/100*'🏭 원료 마스터'!$C$71,"")</f>
        <v>611.1</v>
      </c>
      <c r="F59" s="82"/>
      <c r="G59" s="82"/>
      <c r="H59" s="76"/>
      <c r="I59" s="75"/>
      <c r="J59" s="89"/>
      <c r="K59" s="89"/>
      <c r="L59" s="89"/>
      <c r="M59" s="89"/>
      <c r="N59" s="89"/>
      <c r="O59" s="89"/>
      <c r="P59" s="89"/>
      <c r="Q59" s="89"/>
      <c r="R59" s="85"/>
      <c r="S59" s="89"/>
      <c r="T59" s="89"/>
      <c r="U59" s="89"/>
      <c r="V59" s="89"/>
      <c r="W59" s="89"/>
      <c r="X59" s="90" t="n">
        <v>15.1</v>
      </c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90" t="n">
        <v>58.2</v>
      </c>
      <c r="AU59" s="89"/>
      <c r="AV59" s="89"/>
      <c r="AW59" s="89"/>
      <c r="AX59" s="89"/>
      <c r="AY59" s="89"/>
      <c r="AZ59" s="89"/>
      <c r="BA59" s="89"/>
      <c r="BB59" s="89"/>
      <c r="BC59" s="90" t="n">
        <v>9.5</v>
      </c>
      <c r="BD59" s="89"/>
      <c r="BE59" s="89"/>
      <c r="BF59" s="89"/>
      <c r="BG59" s="89"/>
      <c r="BH59" s="89"/>
      <c r="BI59" s="90" t="n">
        <v>1.1</v>
      </c>
      <c r="BJ59" s="89"/>
      <c r="BK59" s="89"/>
      <c r="BL59" s="89"/>
      <c r="BM59" s="89"/>
      <c r="BN59" s="89"/>
      <c r="BO59" s="89"/>
      <c r="BP59" s="89"/>
      <c r="BQ59" s="90" t="n">
        <v>15.1</v>
      </c>
      <c r="BR59" s="89"/>
      <c r="BS59" s="89"/>
      <c r="BT59" s="89"/>
      <c r="BU59" s="89"/>
      <c r="BV59" s="89"/>
      <c r="BW59" s="89"/>
      <c r="BX59" s="89"/>
      <c r="BY59" s="90" t="n">
        <v>1</v>
      </c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5"/>
    </row>
    <row r="60" customFormat="false" ht="19.5" hidden="false" customHeight="true" outlineLevel="0" collapsed="false">
      <c r="A60" s="13" t="n">
        <v>56</v>
      </c>
      <c r="B60" s="14" t="s">
        <v>196</v>
      </c>
      <c r="C60" s="79" t="s">
        <v>318</v>
      </c>
      <c r="D60" s="80" t="n">
        <v>100</v>
      </c>
      <c r="E60" s="81" t="n">
        <f aca="false">IFERROR(3/100*'🏭 원료 마스터'!$C$18+9/100*'🏭 원료 마스터'!$C$21+4.4/100*'🏭 원료 마스터'!$C$42+4.4/100*'🏭 원료 마스터'!$C$49+1/100*'🏭 원료 마스터'!$C$54+32.6/100*'🏭 원료 마스터'!$C$63+0.9/100*'🏭 원료 마스터'!$C$68+43.5/100*'🏭 원료 마스터'!$C$70+0.8/100*'🏭 원료 마스터'!$C$71+0.4/100*'🏭 원료 마스터'!$C$80,"")</f>
        <v>0</v>
      </c>
      <c r="F60" s="82"/>
      <c r="G60" s="82"/>
      <c r="H60" s="76"/>
      <c r="I60" s="75"/>
      <c r="J60" s="83"/>
      <c r="K60" s="83"/>
      <c r="L60" s="83"/>
      <c r="M60" s="83"/>
      <c r="N60" s="83"/>
      <c r="O60" s="83"/>
      <c r="P60" s="83"/>
      <c r="Q60" s="83"/>
      <c r="R60" s="85"/>
      <c r="S60" s="83"/>
      <c r="T60" s="83"/>
      <c r="U60" s="83"/>
      <c r="V60" s="83"/>
      <c r="W60" s="83"/>
      <c r="X60" s="84" t="n">
        <v>3</v>
      </c>
      <c r="Y60" s="83"/>
      <c r="Z60" s="83"/>
      <c r="AA60" s="84" t="n">
        <v>9</v>
      </c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4" t="n">
        <v>4.4</v>
      </c>
      <c r="AW60" s="83"/>
      <c r="AX60" s="83"/>
      <c r="AY60" s="83"/>
      <c r="AZ60" s="83"/>
      <c r="BA60" s="83"/>
      <c r="BB60" s="83"/>
      <c r="BC60" s="84" t="n">
        <v>4.4</v>
      </c>
      <c r="BD60" s="83"/>
      <c r="BE60" s="83"/>
      <c r="BF60" s="83"/>
      <c r="BG60" s="83"/>
      <c r="BH60" s="84" t="n">
        <v>1</v>
      </c>
      <c r="BI60" s="83"/>
      <c r="BJ60" s="83"/>
      <c r="BK60" s="83"/>
      <c r="BL60" s="83"/>
      <c r="BM60" s="83"/>
      <c r="BN60" s="83"/>
      <c r="BO60" s="83"/>
      <c r="BP60" s="83"/>
      <c r="BQ60" s="84" t="n">
        <v>32.6</v>
      </c>
      <c r="BR60" s="83"/>
      <c r="BS60" s="83"/>
      <c r="BT60" s="83"/>
      <c r="BU60" s="83"/>
      <c r="BV60" s="84" t="n">
        <v>0.9</v>
      </c>
      <c r="BW60" s="83"/>
      <c r="BX60" s="84" t="n">
        <v>43.5</v>
      </c>
      <c r="BY60" s="84" t="n">
        <v>0.8</v>
      </c>
      <c r="BZ60" s="83"/>
      <c r="CA60" s="83"/>
      <c r="CB60" s="83"/>
      <c r="CC60" s="83"/>
      <c r="CD60" s="83"/>
      <c r="CE60" s="83"/>
      <c r="CF60" s="83"/>
      <c r="CG60" s="83"/>
      <c r="CH60" s="84" t="n">
        <v>0.4</v>
      </c>
      <c r="CI60" s="83"/>
      <c r="CJ60" s="83"/>
      <c r="CK60" s="83"/>
      <c r="CL60" s="83"/>
      <c r="CM60" s="85"/>
    </row>
    <row r="61" customFormat="false" ht="19.5" hidden="false" customHeight="true" outlineLevel="0" collapsed="false">
      <c r="A61" s="17" t="n">
        <v>57</v>
      </c>
      <c r="B61" s="18" t="s">
        <v>197</v>
      </c>
      <c r="C61" s="86" t="s">
        <v>319</v>
      </c>
      <c r="D61" s="87" t="n">
        <v>100</v>
      </c>
      <c r="E61" s="88" t="n">
        <f aca="false">IFERROR(3/100*'🏭 원료 마스터'!$C$18+2/100*'🏭 원료 마스터'!$C$42+2/100*'🏭 원료 마스터'!$C$49+14.9/100*'🏭 원료 마스터'!$C$63+37.2/100*'🏭 원료 마스터'!$C$66+0.2/100*'🏭 원료 마스터'!$C$68+39.7/100*'🏭 원료 마스터'!$C$70+0.7/100*'🏭 원료 마스터'!$C$71+0.3/100*'🏭 원료 마스터'!$C$80,"")</f>
        <v>0</v>
      </c>
      <c r="F61" s="82"/>
      <c r="G61" s="82"/>
      <c r="H61" s="76"/>
      <c r="I61" s="75"/>
      <c r="J61" s="89"/>
      <c r="K61" s="89"/>
      <c r="L61" s="89"/>
      <c r="M61" s="89"/>
      <c r="N61" s="89"/>
      <c r="O61" s="89"/>
      <c r="P61" s="89"/>
      <c r="Q61" s="89"/>
      <c r="R61" s="85"/>
      <c r="S61" s="89"/>
      <c r="T61" s="89"/>
      <c r="U61" s="89"/>
      <c r="V61" s="89"/>
      <c r="W61" s="89"/>
      <c r="X61" s="90" t="n">
        <v>3</v>
      </c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90" t="n">
        <v>2</v>
      </c>
      <c r="AW61" s="89"/>
      <c r="AX61" s="89"/>
      <c r="AY61" s="89"/>
      <c r="AZ61" s="89"/>
      <c r="BA61" s="89"/>
      <c r="BB61" s="89"/>
      <c r="BC61" s="90" t="n">
        <v>2</v>
      </c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90" t="n">
        <v>14.9</v>
      </c>
      <c r="BR61" s="89"/>
      <c r="BS61" s="89"/>
      <c r="BT61" s="90" t="n">
        <v>37.2</v>
      </c>
      <c r="BU61" s="89"/>
      <c r="BV61" s="90" t="n">
        <v>0.2</v>
      </c>
      <c r="BW61" s="89"/>
      <c r="BX61" s="90" t="n">
        <v>39.7</v>
      </c>
      <c r="BY61" s="90" t="n">
        <v>0.7</v>
      </c>
      <c r="BZ61" s="89"/>
      <c r="CA61" s="89"/>
      <c r="CB61" s="89"/>
      <c r="CC61" s="89"/>
      <c r="CD61" s="89"/>
      <c r="CE61" s="89"/>
      <c r="CF61" s="89"/>
      <c r="CG61" s="89"/>
      <c r="CH61" s="90" t="n">
        <v>0.3</v>
      </c>
      <c r="CI61" s="89"/>
      <c r="CJ61" s="89"/>
      <c r="CK61" s="89"/>
      <c r="CL61" s="89"/>
      <c r="CM61" s="85"/>
    </row>
    <row r="62" customFormat="false" ht="19.5" hidden="false" customHeight="true" outlineLevel="0" collapsed="false">
      <c r="A62" s="13" t="n">
        <v>58</v>
      </c>
      <c r="B62" s="14" t="s">
        <v>198</v>
      </c>
      <c r="C62" s="79" t="s">
        <v>320</v>
      </c>
      <c r="D62" s="80" t="n">
        <v>100</v>
      </c>
      <c r="E62" s="81" t="n">
        <f aca="false">IFERROR(2.9/100*'🏭 원료 마스터'!$C$18+2.9/100*'🏭 원료 마스터'!$C$21+1.9/100*'🏭 원료 마스터'!$C$42+1.9/100*'🏭 원료 마스터'!$C$49+1/100*'🏭 원료 마스터'!$C$54+14.2/100*'🏭 원료 마스터'!$C$63+35.8/100*'🏭 원료 마스터'!$C$66+0.2/100*'🏭 원료 마스터'!$C$68+38.2/100*'🏭 원료 마스터'!$C$70+0.7/100*'🏭 원료 마스터'!$C$71+0.3/100*'🏭 원료 마스터'!$C$80,"")</f>
        <v>0</v>
      </c>
      <c r="F62" s="82"/>
      <c r="G62" s="82"/>
      <c r="H62" s="76"/>
      <c r="I62" s="75"/>
      <c r="J62" s="83"/>
      <c r="K62" s="83"/>
      <c r="L62" s="83"/>
      <c r="M62" s="83"/>
      <c r="N62" s="83"/>
      <c r="O62" s="83"/>
      <c r="P62" s="83"/>
      <c r="Q62" s="83"/>
      <c r="R62" s="85"/>
      <c r="S62" s="83"/>
      <c r="T62" s="83"/>
      <c r="U62" s="83"/>
      <c r="V62" s="83"/>
      <c r="W62" s="83"/>
      <c r="X62" s="84" t="n">
        <v>2.9</v>
      </c>
      <c r="Y62" s="83"/>
      <c r="Z62" s="83"/>
      <c r="AA62" s="84" t="n">
        <v>2.9</v>
      </c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4" t="n">
        <v>1.9</v>
      </c>
      <c r="AW62" s="83"/>
      <c r="AX62" s="83"/>
      <c r="AY62" s="83"/>
      <c r="AZ62" s="83"/>
      <c r="BA62" s="83"/>
      <c r="BB62" s="83"/>
      <c r="BC62" s="84" t="n">
        <v>1.9</v>
      </c>
      <c r="BD62" s="83"/>
      <c r="BE62" s="83"/>
      <c r="BF62" s="83"/>
      <c r="BG62" s="83"/>
      <c r="BH62" s="84" t="n">
        <v>1</v>
      </c>
      <c r="BI62" s="83"/>
      <c r="BJ62" s="83"/>
      <c r="BK62" s="83"/>
      <c r="BL62" s="83"/>
      <c r="BM62" s="83"/>
      <c r="BN62" s="83"/>
      <c r="BO62" s="83"/>
      <c r="BP62" s="83"/>
      <c r="BQ62" s="84" t="n">
        <v>14.2</v>
      </c>
      <c r="BR62" s="83"/>
      <c r="BS62" s="83"/>
      <c r="BT62" s="84" t="n">
        <v>35.8</v>
      </c>
      <c r="BU62" s="83"/>
      <c r="BV62" s="84" t="n">
        <v>0.2</v>
      </c>
      <c r="BW62" s="83"/>
      <c r="BX62" s="84" t="n">
        <v>38.2</v>
      </c>
      <c r="BY62" s="84" t="n">
        <v>0.7</v>
      </c>
      <c r="BZ62" s="83"/>
      <c r="CA62" s="83"/>
      <c r="CB62" s="83"/>
      <c r="CC62" s="83"/>
      <c r="CD62" s="83"/>
      <c r="CE62" s="83"/>
      <c r="CF62" s="83"/>
      <c r="CG62" s="83"/>
      <c r="CH62" s="84" t="n">
        <v>0.3</v>
      </c>
      <c r="CI62" s="83"/>
      <c r="CJ62" s="83"/>
      <c r="CK62" s="83"/>
      <c r="CL62" s="83"/>
      <c r="CM62" s="85"/>
    </row>
    <row r="63" customFormat="false" ht="19.5" hidden="false" customHeight="true" outlineLevel="0" collapsed="false">
      <c r="A63" s="17" t="n">
        <v>59</v>
      </c>
      <c r="B63" s="18" t="s">
        <v>199</v>
      </c>
      <c r="C63" s="86" t="s">
        <v>321</v>
      </c>
      <c r="D63" s="87" t="n">
        <v>100</v>
      </c>
      <c r="E63" s="88" t="n">
        <f aca="false">IFERROR(2.9/100*'🏭 원료 마스터'!$C$18+1.7/100*'🏭 원료 마스터'!$C$25+0.1/100*'🏭 원료 마스터'!$C$26+2/100*'🏭 원료 마스터'!$C$42+2/100*'🏭 원료 마스터'!$C$49+14.5/100*'🏭 원료 마스터'!$C$63+36.6/100*'🏭 원료 마스터'!$C$66+0.2/100*'🏭 원료 마스터'!$C$68+39/100*'🏭 원료 마스터'!$C$70+0.7/100*'🏭 원료 마스터'!$C$71+0.3/100*'🏭 원료 마스터'!$C$80,"")</f>
        <v>0</v>
      </c>
      <c r="F63" s="82"/>
      <c r="G63" s="82"/>
      <c r="H63" s="76"/>
      <c r="I63" s="75"/>
      <c r="J63" s="89"/>
      <c r="K63" s="89"/>
      <c r="L63" s="89"/>
      <c r="M63" s="89"/>
      <c r="N63" s="89"/>
      <c r="O63" s="89"/>
      <c r="P63" s="89"/>
      <c r="Q63" s="89"/>
      <c r="R63" s="85"/>
      <c r="S63" s="89"/>
      <c r="T63" s="89"/>
      <c r="U63" s="89"/>
      <c r="V63" s="89"/>
      <c r="W63" s="89"/>
      <c r="X63" s="90" t="n">
        <v>2.9</v>
      </c>
      <c r="Y63" s="89"/>
      <c r="Z63" s="89"/>
      <c r="AA63" s="89"/>
      <c r="AB63" s="89"/>
      <c r="AC63" s="89"/>
      <c r="AD63" s="89"/>
      <c r="AE63" s="90" t="n">
        <v>1.7</v>
      </c>
      <c r="AF63" s="90" t="n">
        <v>0.1</v>
      </c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90" t="n">
        <v>2</v>
      </c>
      <c r="AW63" s="89"/>
      <c r="AX63" s="89"/>
      <c r="AY63" s="89"/>
      <c r="AZ63" s="89"/>
      <c r="BA63" s="89"/>
      <c r="BB63" s="89"/>
      <c r="BC63" s="90" t="n">
        <v>2</v>
      </c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90" t="n">
        <v>14.5</v>
      </c>
      <c r="BR63" s="89"/>
      <c r="BS63" s="89"/>
      <c r="BT63" s="90" t="n">
        <v>36.6</v>
      </c>
      <c r="BU63" s="89"/>
      <c r="BV63" s="90" t="n">
        <v>0.2</v>
      </c>
      <c r="BW63" s="89"/>
      <c r="BX63" s="90" t="n">
        <v>39</v>
      </c>
      <c r="BY63" s="90" t="n">
        <v>0.7</v>
      </c>
      <c r="BZ63" s="89"/>
      <c r="CA63" s="89"/>
      <c r="CB63" s="89"/>
      <c r="CC63" s="89"/>
      <c r="CD63" s="89"/>
      <c r="CE63" s="89"/>
      <c r="CF63" s="89"/>
      <c r="CG63" s="89"/>
      <c r="CH63" s="90" t="n">
        <v>0.3</v>
      </c>
      <c r="CI63" s="89"/>
      <c r="CJ63" s="89"/>
      <c r="CK63" s="89"/>
      <c r="CL63" s="89"/>
      <c r="CM63" s="85"/>
    </row>
    <row r="64" customFormat="false" ht="19.5" hidden="false" customHeight="true" outlineLevel="0" collapsed="false">
      <c r="A64" s="13" t="n">
        <v>60</v>
      </c>
      <c r="B64" s="14" t="s">
        <v>200</v>
      </c>
      <c r="C64" s="79" t="s">
        <v>322</v>
      </c>
      <c r="D64" s="80" t="n">
        <v>100</v>
      </c>
      <c r="E64" s="81" t="n">
        <f aca="false">IFERROR(3/100*'🏭 원료 마스터'!$C$18+4.7/100*'🏭 원료 마스터'!$C$42+4.7/100*'🏭 원료 마스터'!$C$49+37.3/100*'🏭 원료 마스터'!$C$63+0.9/100*'🏭 원료 마스터'!$C$68+48/100*'🏭 원료 마스터'!$C$70+0.9/100*'🏭 원료 마스터'!$C$71+0.5/100*'🏭 원료 마스터'!$C$80,"")</f>
        <v>0</v>
      </c>
      <c r="F64" s="82"/>
      <c r="G64" s="82"/>
      <c r="H64" s="76"/>
      <c r="I64" s="75"/>
      <c r="J64" s="83"/>
      <c r="K64" s="83"/>
      <c r="L64" s="83"/>
      <c r="M64" s="83"/>
      <c r="N64" s="83"/>
      <c r="O64" s="83"/>
      <c r="P64" s="83"/>
      <c r="Q64" s="83"/>
      <c r="R64" s="85"/>
      <c r="S64" s="83"/>
      <c r="T64" s="83"/>
      <c r="U64" s="83"/>
      <c r="V64" s="83"/>
      <c r="W64" s="83"/>
      <c r="X64" s="84" t="n">
        <v>3</v>
      </c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4" t="n">
        <v>4.7</v>
      </c>
      <c r="AW64" s="83"/>
      <c r="AX64" s="83"/>
      <c r="AY64" s="83"/>
      <c r="AZ64" s="83"/>
      <c r="BA64" s="83"/>
      <c r="BB64" s="83"/>
      <c r="BC64" s="84" t="n">
        <v>4.7</v>
      </c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4" t="n">
        <v>37.3</v>
      </c>
      <c r="BR64" s="83"/>
      <c r="BS64" s="83"/>
      <c r="BT64" s="83"/>
      <c r="BU64" s="83"/>
      <c r="BV64" s="84" t="n">
        <v>0.9</v>
      </c>
      <c r="BW64" s="83"/>
      <c r="BX64" s="84" t="n">
        <v>48</v>
      </c>
      <c r="BY64" s="84" t="n">
        <v>0.9</v>
      </c>
      <c r="BZ64" s="83"/>
      <c r="CA64" s="83"/>
      <c r="CB64" s="83"/>
      <c r="CC64" s="83"/>
      <c r="CD64" s="83"/>
      <c r="CE64" s="83"/>
      <c r="CF64" s="83"/>
      <c r="CG64" s="83"/>
      <c r="CH64" s="84" t="n">
        <v>0.5</v>
      </c>
      <c r="CI64" s="83"/>
      <c r="CJ64" s="83"/>
      <c r="CK64" s="83"/>
      <c r="CL64" s="83"/>
      <c r="CM64" s="85"/>
    </row>
    <row r="65" customFormat="false" ht="19.5" hidden="false" customHeight="true" outlineLevel="0" collapsed="false">
      <c r="A65" s="17" t="n">
        <v>61</v>
      </c>
      <c r="B65" s="18" t="s">
        <v>201</v>
      </c>
      <c r="C65" s="86" t="s">
        <v>323</v>
      </c>
      <c r="D65" s="87" t="n">
        <v>100</v>
      </c>
      <c r="E65" s="88" t="n">
        <f aca="false">IFERROR(11/100*'🏭 원료 마스터'!$C$18+2.2/100*'🏭 원료 마스터'!$C$25+0.1/100*'🏭 원료 마스터'!$C$26+15.4/100*'🏭 원료 마스터'!$C$32+1.5/100*'🏭 원료 마스터'!$C$42+1.5/100*'🏭 원료 마스터'!$C$49+14.7/100*'🏭 원료 마스터'!$C$63+23.5/100*'🏭 원료 마스터'!$C$65+0.1/100*'🏭 원료 마스터'!$C$68+29.3/100*'🏭 원료 마스터'!$C$70+0.5/100*'🏭 원료 마스터'!$C$71+0.2/100*'🏭 원료 마스터'!$C$80,"")</f>
        <v>0</v>
      </c>
      <c r="F65" s="82"/>
      <c r="G65" s="82"/>
      <c r="H65" s="76"/>
      <c r="I65" s="75"/>
      <c r="J65" s="89"/>
      <c r="K65" s="89"/>
      <c r="L65" s="89"/>
      <c r="M65" s="89"/>
      <c r="N65" s="89"/>
      <c r="O65" s="89"/>
      <c r="P65" s="89"/>
      <c r="Q65" s="89"/>
      <c r="R65" s="85"/>
      <c r="S65" s="89"/>
      <c r="T65" s="89"/>
      <c r="U65" s="89"/>
      <c r="V65" s="89"/>
      <c r="W65" s="89"/>
      <c r="X65" s="90" t="n">
        <v>11</v>
      </c>
      <c r="Y65" s="89"/>
      <c r="Z65" s="89"/>
      <c r="AA65" s="89"/>
      <c r="AB65" s="89"/>
      <c r="AC65" s="89"/>
      <c r="AD65" s="89"/>
      <c r="AE65" s="90" t="n">
        <v>2.2</v>
      </c>
      <c r="AF65" s="90" t="n">
        <v>0.1</v>
      </c>
      <c r="AG65" s="89"/>
      <c r="AH65" s="89"/>
      <c r="AI65" s="89"/>
      <c r="AJ65" s="89"/>
      <c r="AK65" s="89"/>
      <c r="AL65" s="90" t="n">
        <v>15.4</v>
      </c>
      <c r="AM65" s="89"/>
      <c r="AN65" s="89"/>
      <c r="AO65" s="89"/>
      <c r="AP65" s="89"/>
      <c r="AQ65" s="89"/>
      <c r="AR65" s="89"/>
      <c r="AS65" s="89"/>
      <c r="AT65" s="89"/>
      <c r="AU65" s="89"/>
      <c r="AV65" s="90" t="n">
        <v>1.5</v>
      </c>
      <c r="AW65" s="89"/>
      <c r="AX65" s="89"/>
      <c r="AY65" s="89"/>
      <c r="AZ65" s="89"/>
      <c r="BA65" s="89"/>
      <c r="BB65" s="89"/>
      <c r="BC65" s="90" t="n">
        <v>1.5</v>
      </c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90" t="n">
        <v>14.7</v>
      </c>
      <c r="BR65" s="89"/>
      <c r="BS65" s="90" t="n">
        <v>23.5</v>
      </c>
      <c r="BT65" s="89"/>
      <c r="BU65" s="89"/>
      <c r="BV65" s="90" t="n">
        <v>0.1</v>
      </c>
      <c r="BW65" s="89"/>
      <c r="BX65" s="90" t="n">
        <v>29.3</v>
      </c>
      <c r="BY65" s="90" t="n">
        <v>0.5</v>
      </c>
      <c r="BZ65" s="89"/>
      <c r="CA65" s="89"/>
      <c r="CB65" s="89"/>
      <c r="CC65" s="89"/>
      <c r="CD65" s="89"/>
      <c r="CE65" s="89"/>
      <c r="CF65" s="89"/>
      <c r="CG65" s="89"/>
      <c r="CH65" s="90" t="n">
        <v>0.2</v>
      </c>
      <c r="CI65" s="89"/>
      <c r="CJ65" s="89"/>
      <c r="CK65" s="89"/>
      <c r="CL65" s="89"/>
      <c r="CM65" s="85"/>
    </row>
    <row r="66" customFormat="false" ht="19.5" hidden="false" customHeight="true" outlineLevel="0" collapsed="false">
      <c r="A66" s="13" t="n">
        <v>62</v>
      </c>
      <c r="B66" s="14" t="s">
        <v>202</v>
      </c>
      <c r="C66" s="79" t="s">
        <v>324</v>
      </c>
      <c r="D66" s="80" t="n">
        <v>100</v>
      </c>
      <c r="E66" s="81" t="n">
        <f aca="false">IFERROR(2.3/100*'🏭 원료 마스터'!$C$21+14/100*'🏭 원료 마스터'!$C$32+28/100*'🏭 원료 마스터'!$C$33+3/100*'🏭 원료 마스터'!$C$34+2.2/100*'🏭 원료 마스터'!$C$42+2.2/100*'🏭 원료 마스터'!$C$49+1.1/100*'🏭 원료 마스터'!$C$54+1/100*'🏭 원료 마스터'!$C$68+45/100*'🏭 원료 마스터'!$C$70+0.8/100*'🏭 원료 마스터'!$C$71+0.4/100*'🏭 원료 마스터'!$C$80,"")</f>
        <v>0</v>
      </c>
      <c r="F66" s="82"/>
      <c r="G66" s="82"/>
      <c r="H66" s="76"/>
      <c r="I66" s="75"/>
      <c r="J66" s="83"/>
      <c r="K66" s="83"/>
      <c r="L66" s="83"/>
      <c r="M66" s="83"/>
      <c r="N66" s="83"/>
      <c r="O66" s="83"/>
      <c r="P66" s="83"/>
      <c r="Q66" s="83"/>
      <c r="R66" s="85"/>
      <c r="S66" s="83"/>
      <c r="T66" s="83"/>
      <c r="U66" s="83"/>
      <c r="V66" s="83"/>
      <c r="W66" s="83"/>
      <c r="X66" s="83"/>
      <c r="Y66" s="83"/>
      <c r="Z66" s="83"/>
      <c r="AA66" s="84" t="n">
        <v>2.3</v>
      </c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4" t="n">
        <v>14</v>
      </c>
      <c r="AM66" s="84" t="n">
        <v>28</v>
      </c>
      <c r="AN66" s="84" t="n">
        <v>3</v>
      </c>
      <c r="AO66" s="83"/>
      <c r="AP66" s="83"/>
      <c r="AQ66" s="83"/>
      <c r="AR66" s="83"/>
      <c r="AS66" s="83"/>
      <c r="AT66" s="83"/>
      <c r="AU66" s="83"/>
      <c r="AV66" s="84" t="n">
        <v>2.2</v>
      </c>
      <c r="AW66" s="83"/>
      <c r="AX66" s="83"/>
      <c r="AY66" s="83"/>
      <c r="AZ66" s="83"/>
      <c r="BA66" s="83"/>
      <c r="BB66" s="83"/>
      <c r="BC66" s="84" t="n">
        <v>2.2</v>
      </c>
      <c r="BD66" s="83"/>
      <c r="BE66" s="83"/>
      <c r="BF66" s="83"/>
      <c r="BG66" s="83"/>
      <c r="BH66" s="84" t="n">
        <v>1.1</v>
      </c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4" t="n">
        <v>1</v>
      </c>
      <c r="BW66" s="83"/>
      <c r="BX66" s="84" t="n">
        <v>45</v>
      </c>
      <c r="BY66" s="84" t="n">
        <v>0.8</v>
      </c>
      <c r="BZ66" s="83"/>
      <c r="CA66" s="83"/>
      <c r="CB66" s="83"/>
      <c r="CC66" s="83"/>
      <c r="CD66" s="83"/>
      <c r="CE66" s="83"/>
      <c r="CF66" s="83"/>
      <c r="CG66" s="83"/>
      <c r="CH66" s="84" t="n">
        <v>0.4</v>
      </c>
      <c r="CI66" s="83"/>
      <c r="CJ66" s="83"/>
      <c r="CK66" s="83"/>
      <c r="CL66" s="83"/>
      <c r="CM66" s="85"/>
    </row>
    <row r="67" customFormat="false" ht="19.5" hidden="false" customHeight="true" outlineLevel="0" collapsed="false">
      <c r="A67" s="17" t="n">
        <v>63</v>
      </c>
      <c r="B67" s="18" t="s">
        <v>203</v>
      </c>
      <c r="C67" s="86" t="s">
        <v>325</v>
      </c>
      <c r="D67" s="87" t="n">
        <v>100</v>
      </c>
      <c r="E67" s="88" t="n">
        <f aca="false">IFERROR(8/100*'🏭 원료 마스터'!$C$32+33/100*'🏭 원료 마스터'!$C$33+7/100*'🏭 원료 마스터'!$C$34+3/100*'🏭 원료 마스터'!$C$42+3/100*'🏭 원료 마스터'!$C$49+15.36/100*'🏭 원료 마스터'!$C$63+0.37/100*'🏭 원료 마스터'!$C$68+29.5/100*'🏭 원료 마스터'!$C$70+0.53/100*'🏭 원료 마스터'!$C$71+0.24/100*'🏭 원료 마스터'!$C$80,"")</f>
        <v>0</v>
      </c>
      <c r="F67" s="82"/>
      <c r="G67" s="82"/>
      <c r="H67" s="76"/>
      <c r="I67" s="75"/>
      <c r="J67" s="89"/>
      <c r="K67" s="89"/>
      <c r="L67" s="89"/>
      <c r="M67" s="89"/>
      <c r="N67" s="89"/>
      <c r="O67" s="89"/>
      <c r="P67" s="89"/>
      <c r="Q67" s="89"/>
      <c r="R67" s="85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90" t="n">
        <v>8</v>
      </c>
      <c r="AM67" s="90" t="n">
        <v>33</v>
      </c>
      <c r="AN67" s="90" t="n">
        <v>7</v>
      </c>
      <c r="AO67" s="89"/>
      <c r="AP67" s="89"/>
      <c r="AQ67" s="89"/>
      <c r="AR67" s="89"/>
      <c r="AS67" s="89"/>
      <c r="AT67" s="89"/>
      <c r="AU67" s="89"/>
      <c r="AV67" s="90" t="n">
        <v>3</v>
      </c>
      <c r="AW67" s="89"/>
      <c r="AX67" s="89"/>
      <c r="AY67" s="89"/>
      <c r="AZ67" s="89"/>
      <c r="BA67" s="89"/>
      <c r="BB67" s="89"/>
      <c r="BC67" s="90" t="n">
        <v>3</v>
      </c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90" t="n">
        <v>15.36</v>
      </c>
      <c r="BR67" s="89"/>
      <c r="BS67" s="89"/>
      <c r="BT67" s="89"/>
      <c r="BU67" s="89"/>
      <c r="BV67" s="90" t="n">
        <v>0.37</v>
      </c>
      <c r="BW67" s="89"/>
      <c r="BX67" s="90" t="n">
        <v>29.5</v>
      </c>
      <c r="BY67" s="90" t="n">
        <v>0.53</v>
      </c>
      <c r="BZ67" s="89"/>
      <c r="CA67" s="89"/>
      <c r="CB67" s="89"/>
      <c r="CC67" s="89"/>
      <c r="CD67" s="89"/>
      <c r="CE67" s="89"/>
      <c r="CF67" s="89"/>
      <c r="CG67" s="89"/>
      <c r="CH67" s="90" t="n">
        <v>0.24</v>
      </c>
      <c r="CI67" s="89"/>
      <c r="CJ67" s="89"/>
      <c r="CK67" s="89"/>
      <c r="CL67" s="89"/>
      <c r="CM67" s="85"/>
    </row>
    <row r="68" customFormat="false" ht="19.5" hidden="false" customHeight="true" outlineLevel="0" collapsed="false">
      <c r="A68" s="13" t="n">
        <v>64</v>
      </c>
      <c r="B68" s="14" t="s">
        <v>204</v>
      </c>
      <c r="C68" s="79" t="s">
        <v>326</v>
      </c>
      <c r="D68" s="80" t="n">
        <v>100</v>
      </c>
      <c r="E68" s="81" t="n">
        <f aca="false">IFERROR(3.3/100*'🏭 원료 마스터'!$C$21+3/100*'🏭 원료 마스터'!$C$34+2.2/100*'🏭 원료 마스터'!$C$42+2.2/100*'🏭 원료 마스터'!$C$49+1.1/100*'🏭 원료 마스터'!$C$54+41.6/100*'🏭 원료 마스터'!$C$66+1/100*'🏭 원료 마스터'!$C$68+44.4/100*'🏭 원료 마스터'!$C$70+0.8/100*'🏭 원료 마스터'!$C$71+0.4/100*'🏭 원료 마스터'!$C$80,"")</f>
        <v>0</v>
      </c>
      <c r="F68" s="82"/>
      <c r="G68" s="82"/>
      <c r="H68" s="76"/>
      <c r="I68" s="75"/>
      <c r="J68" s="83"/>
      <c r="K68" s="83"/>
      <c r="L68" s="83"/>
      <c r="M68" s="83"/>
      <c r="N68" s="83"/>
      <c r="O68" s="83"/>
      <c r="P68" s="83"/>
      <c r="Q68" s="83"/>
      <c r="R68" s="85"/>
      <c r="S68" s="83"/>
      <c r="T68" s="83"/>
      <c r="U68" s="83"/>
      <c r="V68" s="83"/>
      <c r="W68" s="83"/>
      <c r="X68" s="83"/>
      <c r="Y68" s="83"/>
      <c r="Z68" s="83"/>
      <c r="AA68" s="84" t="n">
        <v>3.3</v>
      </c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4" t="n">
        <v>3</v>
      </c>
      <c r="AO68" s="83"/>
      <c r="AP68" s="83"/>
      <c r="AQ68" s="83"/>
      <c r="AR68" s="83"/>
      <c r="AS68" s="83"/>
      <c r="AT68" s="83"/>
      <c r="AU68" s="83"/>
      <c r="AV68" s="84" t="n">
        <v>2.2</v>
      </c>
      <c r="AW68" s="83"/>
      <c r="AX68" s="83"/>
      <c r="AY68" s="83"/>
      <c r="AZ68" s="83"/>
      <c r="BA68" s="83"/>
      <c r="BB68" s="83"/>
      <c r="BC68" s="84" t="n">
        <v>2.2</v>
      </c>
      <c r="BD68" s="83"/>
      <c r="BE68" s="83"/>
      <c r="BF68" s="83"/>
      <c r="BG68" s="83"/>
      <c r="BH68" s="84" t="n">
        <v>1.1</v>
      </c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4" t="n">
        <v>41.6</v>
      </c>
      <c r="BU68" s="83"/>
      <c r="BV68" s="84" t="n">
        <v>1</v>
      </c>
      <c r="BW68" s="83"/>
      <c r="BX68" s="84" t="n">
        <v>44.4</v>
      </c>
      <c r="BY68" s="84" t="n">
        <v>0.8</v>
      </c>
      <c r="BZ68" s="83"/>
      <c r="CA68" s="83"/>
      <c r="CB68" s="83"/>
      <c r="CC68" s="83"/>
      <c r="CD68" s="83"/>
      <c r="CE68" s="83"/>
      <c r="CF68" s="83"/>
      <c r="CG68" s="83"/>
      <c r="CH68" s="84" t="n">
        <v>0.4</v>
      </c>
      <c r="CI68" s="83"/>
      <c r="CJ68" s="83"/>
      <c r="CK68" s="83"/>
      <c r="CL68" s="83"/>
      <c r="CM68" s="85"/>
    </row>
    <row r="69" customFormat="false" ht="19.5" hidden="false" customHeight="true" outlineLevel="0" collapsed="false">
      <c r="A69" s="17" t="n">
        <v>65</v>
      </c>
      <c r="B69" s="18" t="s">
        <v>205</v>
      </c>
      <c r="C69" s="86" t="s">
        <v>327</v>
      </c>
      <c r="D69" s="87" t="n">
        <v>100</v>
      </c>
      <c r="E69" s="88" t="n">
        <f aca="false">IFERROR(2/100*'🏭 원료 마스터'!$C$21+12.4/100*'🏭 원료 마스터'!$C$32+2.7/100*'🏭 원료 마스터'!$C$34+2/100*'🏭 원료 마스터'!$C$42+2/100*'🏭 원료 마스터'!$C$49+1/100*'🏭 원료 마스터'!$C$54+11.6/100*'🏭 원료 마스터'!$C$63+24.8/100*'🏭 원료 마스터'!$C$65+0.9/100*'🏭 원료 마스터'!$C$68+39.6/100*'🏭 원료 마스터'!$C$70+0.7/100*'🏭 원료 마스터'!$C$71+0.3/100*'🏭 원료 마스터'!$C$80,"")</f>
        <v>0</v>
      </c>
      <c r="F69" s="82"/>
      <c r="G69" s="82"/>
      <c r="H69" s="76"/>
      <c r="I69" s="75"/>
      <c r="J69" s="89"/>
      <c r="K69" s="89"/>
      <c r="L69" s="89"/>
      <c r="M69" s="89"/>
      <c r="N69" s="89"/>
      <c r="O69" s="89"/>
      <c r="P69" s="89"/>
      <c r="Q69" s="89"/>
      <c r="R69" s="85"/>
      <c r="S69" s="89"/>
      <c r="T69" s="89"/>
      <c r="U69" s="89"/>
      <c r="V69" s="89"/>
      <c r="W69" s="89"/>
      <c r="X69" s="89"/>
      <c r="Y69" s="89"/>
      <c r="Z69" s="89"/>
      <c r="AA69" s="90" t="n">
        <v>2</v>
      </c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90" t="n">
        <v>12.4</v>
      </c>
      <c r="AM69" s="89"/>
      <c r="AN69" s="90" t="n">
        <v>2.7</v>
      </c>
      <c r="AO69" s="89"/>
      <c r="AP69" s="89"/>
      <c r="AQ69" s="89"/>
      <c r="AR69" s="89"/>
      <c r="AS69" s="89"/>
      <c r="AT69" s="89"/>
      <c r="AU69" s="89"/>
      <c r="AV69" s="90" t="n">
        <v>2</v>
      </c>
      <c r="AW69" s="89"/>
      <c r="AX69" s="89"/>
      <c r="AY69" s="89"/>
      <c r="AZ69" s="89"/>
      <c r="BA69" s="89"/>
      <c r="BB69" s="89"/>
      <c r="BC69" s="90" t="n">
        <v>2</v>
      </c>
      <c r="BD69" s="89"/>
      <c r="BE69" s="89"/>
      <c r="BF69" s="89"/>
      <c r="BG69" s="89"/>
      <c r="BH69" s="90" t="n">
        <v>1</v>
      </c>
      <c r="BI69" s="89"/>
      <c r="BJ69" s="89"/>
      <c r="BK69" s="89"/>
      <c r="BL69" s="89"/>
      <c r="BM69" s="89"/>
      <c r="BN69" s="89"/>
      <c r="BO69" s="89"/>
      <c r="BP69" s="89"/>
      <c r="BQ69" s="90" t="n">
        <v>11.6</v>
      </c>
      <c r="BR69" s="89"/>
      <c r="BS69" s="90" t="n">
        <v>24.8</v>
      </c>
      <c r="BT69" s="89"/>
      <c r="BU69" s="89"/>
      <c r="BV69" s="90" t="n">
        <v>0.9</v>
      </c>
      <c r="BW69" s="89"/>
      <c r="BX69" s="90" t="n">
        <v>39.6</v>
      </c>
      <c r="BY69" s="90" t="n">
        <v>0.7</v>
      </c>
      <c r="BZ69" s="89"/>
      <c r="CA69" s="89"/>
      <c r="CB69" s="89"/>
      <c r="CC69" s="89"/>
      <c r="CD69" s="89"/>
      <c r="CE69" s="89"/>
      <c r="CF69" s="89"/>
      <c r="CG69" s="89"/>
      <c r="CH69" s="90" t="n">
        <v>0.3</v>
      </c>
      <c r="CI69" s="89"/>
      <c r="CJ69" s="89"/>
      <c r="CK69" s="89"/>
      <c r="CL69" s="89"/>
      <c r="CM69" s="85"/>
    </row>
    <row r="70" customFormat="false" ht="19.5" hidden="false" customHeight="true" outlineLevel="0" collapsed="false">
      <c r="A70" s="13" t="n">
        <v>66</v>
      </c>
      <c r="B70" s="14" t="s">
        <v>206</v>
      </c>
      <c r="C70" s="79" t="s">
        <v>328</v>
      </c>
      <c r="D70" s="80" t="n">
        <v>100</v>
      </c>
      <c r="E70" s="81" t="n">
        <f aca="false">IFERROR(4.77/100*'🏭 원료 마스터'!$C$42+4.77/100*'🏭 원료 마스터'!$C$49+40.61/100*'🏭 원료 마스터'!$C$63+0.97/100*'🏭 원료 마스터'!$C$68+47.62/100*'🏭 원료 마스터'!$C$70+0.86/100*'🏭 원료 마스터'!$C$71+0.4/100*'🏭 원료 마스터'!$C$80,"")</f>
        <v>0</v>
      </c>
      <c r="F70" s="82"/>
      <c r="G70" s="82"/>
      <c r="H70" s="76"/>
      <c r="I70" s="75"/>
      <c r="J70" s="83"/>
      <c r="K70" s="83"/>
      <c r="L70" s="83"/>
      <c r="M70" s="83"/>
      <c r="N70" s="83"/>
      <c r="O70" s="83"/>
      <c r="P70" s="83"/>
      <c r="Q70" s="83"/>
      <c r="R70" s="85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4" t="n">
        <v>4.77</v>
      </c>
      <c r="AW70" s="83"/>
      <c r="AX70" s="83"/>
      <c r="AY70" s="83"/>
      <c r="AZ70" s="83"/>
      <c r="BA70" s="83"/>
      <c r="BB70" s="83"/>
      <c r="BC70" s="84" t="n">
        <v>4.77</v>
      </c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4" t="n">
        <v>40.61</v>
      </c>
      <c r="BR70" s="83"/>
      <c r="BS70" s="83"/>
      <c r="BT70" s="83"/>
      <c r="BU70" s="83"/>
      <c r="BV70" s="84" t="n">
        <v>0.97</v>
      </c>
      <c r="BW70" s="83"/>
      <c r="BX70" s="84" t="n">
        <v>47.62</v>
      </c>
      <c r="BY70" s="84" t="n">
        <v>0.86</v>
      </c>
      <c r="BZ70" s="83"/>
      <c r="CA70" s="83"/>
      <c r="CB70" s="83"/>
      <c r="CC70" s="83"/>
      <c r="CD70" s="83"/>
      <c r="CE70" s="83"/>
      <c r="CF70" s="83"/>
      <c r="CG70" s="83"/>
      <c r="CH70" s="84" t="n">
        <v>0.4</v>
      </c>
      <c r="CI70" s="83"/>
      <c r="CJ70" s="83"/>
      <c r="CK70" s="83"/>
      <c r="CL70" s="83"/>
      <c r="CM70" s="85"/>
    </row>
    <row r="71" customFormat="false" ht="19.5" hidden="false" customHeight="true" outlineLevel="0" collapsed="false">
      <c r="A71" s="17" t="n">
        <v>67</v>
      </c>
      <c r="B71" s="18" t="s">
        <v>207</v>
      </c>
      <c r="C71" s="86" t="s">
        <v>329</v>
      </c>
      <c r="D71" s="87" t="n">
        <v>100</v>
      </c>
      <c r="E71" s="88" t="n">
        <f aca="false">IFERROR(3/100*'🏭 원료 마스터'!$C$34+4.7/100*'🏭 원료 마스터'!$C$42+4.7/100*'🏭 원료 마스터'!$C$49+37.9/100*'🏭 원료 마스터'!$C$63+0.9/100*'🏭 원료 마스터'!$C$68+47.5/100*'🏭 원료 마스터'!$C$70+0.9/100*'🏭 원료 마스터'!$C$71+0.4/100*'🏭 원료 마스터'!$C$80,"")</f>
        <v>0</v>
      </c>
      <c r="F71" s="82"/>
      <c r="G71" s="82"/>
      <c r="H71" s="76"/>
      <c r="I71" s="75"/>
      <c r="J71" s="89"/>
      <c r="K71" s="89"/>
      <c r="L71" s="89"/>
      <c r="M71" s="89"/>
      <c r="N71" s="89"/>
      <c r="O71" s="89"/>
      <c r="P71" s="89"/>
      <c r="Q71" s="89"/>
      <c r="R71" s="85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90" t="n">
        <v>3</v>
      </c>
      <c r="AO71" s="89"/>
      <c r="AP71" s="89"/>
      <c r="AQ71" s="89"/>
      <c r="AR71" s="89"/>
      <c r="AS71" s="89"/>
      <c r="AT71" s="89"/>
      <c r="AU71" s="89"/>
      <c r="AV71" s="90" t="n">
        <v>4.7</v>
      </c>
      <c r="AW71" s="89"/>
      <c r="AX71" s="89"/>
      <c r="AY71" s="89"/>
      <c r="AZ71" s="89"/>
      <c r="BA71" s="89"/>
      <c r="BB71" s="89"/>
      <c r="BC71" s="90" t="n">
        <v>4.7</v>
      </c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90" t="n">
        <v>37.9</v>
      </c>
      <c r="BR71" s="89"/>
      <c r="BS71" s="89"/>
      <c r="BT71" s="89"/>
      <c r="BU71" s="89"/>
      <c r="BV71" s="90" t="n">
        <v>0.9</v>
      </c>
      <c r="BW71" s="89"/>
      <c r="BX71" s="90" t="n">
        <v>47.5</v>
      </c>
      <c r="BY71" s="90" t="n">
        <v>0.9</v>
      </c>
      <c r="BZ71" s="89"/>
      <c r="CA71" s="89"/>
      <c r="CB71" s="89"/>
      <c r="CC71" s="89"/>
      <c r="CD71" s="89"/>
      <c r="CE71" s="89"/>
      <c r="CF71" s="89"/>
      <c r="CG71" s="89"/>
      <c r="CH71" s="90" t="n">
        <v>0.4</v>
      </c>
      <c r="CI71" s="89"/>
      <c r="CJ71" s="89"/>
      <c r="CK71" s="89"/>
      <c r="CL71" s="89"/>
      <c r="CM71" s="85"/>
    </row>
    <row r="72" customFormat="false" ht="19.5" hidden="false" customHeight="true" outlineLevel="0" collapsed="false">
      <c r="A72" s="13" t="n">
        <v>68</v>
      </c>
      <c r="B72" s="14" t="s">
        <v>208</v>
      </c>
      <c r="C72" s="79" t="s">
        <v>330</v>
      </c>
      <c r="D72" s="80" t="n">
        <v>100</v>
      </c>
      <c r="E72" s="81" t="n">
        <f aca="false">IFERROR(1.1/100*'🏭 원료 마스터'!$C$17+8.4/100*'🏭 원료 마스터'!$C$49+13.7/100*'🏭 원료 마스터'!$C$63+0.8/100*'🏭 원료 마스터'!$C$71+76/100*'🏭 원료 마스터'!$C$76,"")</f>
        <v>0</v>
      </c>
      <c r="F72" s="82"/>
      <c r="G72" s="82"/>
      <c r="H72" s="76"/>
      <c r="I72" s="75"/>
      <c r="J72" s="83"/>
      <c r="K72" s="83"/>
      <c r="L72" s="83"/>
      <c r="M72" s="83"/>
      <c r="N72" s="83"/>
      <c r="O72" s="83"/>
      <c r="P72" s="83"/>
      <c r="Q72" s="83"/>
      <c r="R72" s="85"/>
      <c r="S72" s="83"/>
      <c r="T72" s="83"/>
      <c r="U72" s="83"/>
      <c r="V72" s="83"/>
      <c r="W72" s="84" t="n">
        <v>1.1</v>
      </c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4" t="n">
        <v>8.4</v>
      </c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4" t="n">
        <v>13.7</v>
      </c>
      <c r="BR72" s="83"/>
      <c r="BS72" s="83"/>
      <c r="BT72" s="83"/>
      <c r="BU72" s="83"/>
      <c r="BV72" s="83"/>
      <c r="BW72" s="83"/>
      <c r="BX72" s="83"/>
      <c r="BY72" s="84" t="n">
        <v>0.8</v>
      </c>
      <c r="BZ72" s="83"/>
      <c r="CA72" s="83"/>
      <c r="CB72" s="83"/>
      <c r="CC72" s="83"/>
      <c r="CD72" s="84" t="n">
        <v>76</v>
      </c>
      <c r="CE72" s="83"/>
      <c r="CF72" s="83"/>
      <c r="CG72" s="83"/>
      <c r="CH72" s="83"/>
      <c r="CI72" s="83"/>
      <c r="CJ72" s="83"/>
      <c r="CK72" s="83"/>
      <c r="CL72" s="83"/>
      <c r="CM72" s="85"/>
    </row>
    <row r="73" customFormat="false" ht="19.5" hidden="false" customHeight="true" outlineLevel="0" collapsed="false">
      <c r="A73" s="17" t="n">
        <v>69</v>
      </c>
      <c r="B73" s="18" t="s">
        <v>209</v>
      </c>
      <c r="C73" s="86" t="s">
        <v>331</v>
      </c>
      <c r="D73" s="87" t="n">
        <v>100</v>
      </c>
      <c r="E73" s="88" t="n">
        <f aca="false">IFERROR(2.7/100*'🏭 원료 마스터'!$C$42+2.7/100*'🏭 원료 마스터'!$C$49+33.66/100*'🏭 원료 마스터'!$C$66+1.2/100*'🏭 원료 마스터'!$C$68+54.5/100*'🏭 원료 마스터'!$C$70+1/100*'🏭 원료 마스터'!$C$71+3.74/100*'🏭 원료 마스터'!$C$78+0.5/100*'🏭 원료 마스터'!$C$80,"")</f>
        <v>0</v>
      </c>
      <c r="F73" s="82"/>
      <c r="G73" s="82"/>
      <c r="H73" s="76"/>
      <c r="I73" s="75"/>
      <c r="J73" s="89"/>
      <c r="K73" s="89"/>
      <c r="L73" s="89"/>
      <c r="M73" s="89"/>
      <c r="N73" s="89"/>
      <c r="O73" s="89"/>
      <c r="P73" s="89"/>
      <c r="Q73" s="89"/>
      <c r="R73" s="85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90" t="n">
        <v>2.7</v>
      </c>
      <c r="AW73" s="89"/>
      <c r="AX73" s="89"/>
      <c r="AY73" s="89"/>
      <c r="AZ73" s="89"/>
      <c r="BA73" s="89"/>
      <c r="BB73" s="89"/>
      <c r="BC73" s="90" t="n">
        <v>2.7</v>
      </c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90" t="n">
        <v>33.66</v>
      </c>
      <c r="BU73" s="89"/>
      <c r="BV73" s="90" t="n">
        <v>1.2</v>
      </c>
      <c r="BW73" s="89"/>
      <c r="BX73" s="90" t="n">
        <v>54.5</v>
      </c>
      <c r="BY73" s="90" t="n">
        <v>1</v>
      </c>
      <c r="BZ73" s="89"/>
      <c r="CA73" s="89"/>
      <c r="CB73" s="89"/>
      <c r="CC73" s="89"/>
      <c r="CD73" s="89"/>
      <c r="CE73" s="89"/>
      <c r="CF73" s="94" t="n">
        <v>3.74</v>
      </c>
      <c r="CG73" s="89"/>
      <c r="CH73" s="90" t="n">
        <v>0.5</v>
      </c>
      <c r="CI73" s="89"/>
      <c r="CJ73" s="89"/>
      <c r="CK73" s="89"/>
      <c r="CL73" s="89"/>
      <c r="CM73" s="85"/>
    </row>
    <row r="74" customFormat="false" ht="19.5" hidden="false" customHeight="true" outlineLevel="0" collapsed="false">
      <c r="A74" s="13" t="n">
        <v>70</v>
      </c>
      <c r="B74" s="14" t="s">
        <v>210</v>
      </c>
      <c r="C74" s="79" t="s">
        <v>332</v>
      </c>
      <c r="D74" s="80" t="n">
        <v>100</v>
      </c>
      <c r="E74" s="81" t="n">
        <f aca="false">IFERROR(2.9/100*'🏭 원료 마스터'!$C$21+1.9/100*'🏭 원료 마스터'!$C$42+1.9/100*'🏭 원료 마스터'!$C$49+1/100*'🏭 원료 마스터'!$C$54+12/100*'🏭 원료 마스터'!$C$63+36.3/100*'🏭 원료 마스터'!$C$66+0.7/100*'🏭 원료 마스터'!$C$68+38.7/100*'🏭 원료 마스터'!$C$70+0.7/100*'🏭 원료 마스터'!$C$71+3.6/100*'🏭 원료 마스터'!$C$78+0.3/100*'🏭 원료 마스터'!$C$80,"")</f>
        <v>0</v>
      </c>
      <c r="F74" s="82"/>
      <c r="G74" s="82"/>
      <c r="H74" s="76"/>
      <c r="I74" s="75"/>
      <c r="J74" s="83"/>
      <c r="K74" s="83"/>
      <c r="L74" s="83"/>
      <c r="M74" s="83"/>
      <c r="N74" s="83"/>
      <c r="O74" s="83"/>
      <c r="P74" s="83"/>
      <c r="Q74" s="83"/>
      <c r="R74" s="85"/>
      <c r="S74" s="83"/>
      <c r="T74" s="83"/>
      <c r="U74" s="83"/>
      <c r="V74" s="83"/>
      <c r="W74" s="83"/>
      <c r="X74" s="83"/>
      <c r="Y74" s="83"/>
      <c r="Z74" s="83"/>
      <c r="AA74" s="84" t="n">
        <v>2.9</v>
      </c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4" t="n">
        <v>1.9</v>
      </c>
      <c r="AW74" s="83"/>
      <c r="AX74" s="83"/>
      <c r="AY74" s="83"/>
      <c r="AZ74" s="83"/>
      <c r="BA74" s="83"/>
      <c r="BB74" s="83"/>
      <c r="BC74" s="84" t="n">
        <v>1.9</v>
      </c>
      <c r="BD74" s="83"/>
      <c r="BE74" s="83"/>
      <c r="BF74" s="83"/>
      <c r="BG74" s="83"/>
      <c r="BH74" s="84" t="n">
        <v>1</v>
      </c>
      <c r="BI74" s="83"/>
      <c r="BJ74" s="83"/>
      <c r="BK74" s="83"/>
      <c r="BL74" s="83"/>
      <c r="BM74" s="83"/>
      <c r="BN74" s="83"/>
      <c r="BO74" s="83"/>
      <c r="BP74" s="83"/>
      <c r="BQ74" s="84" t="n">
        <v>12</v>
      </c>
      <c r="BR74" s="83"/>
      <c r="BS74" s="83"/>
      <c r="BT74" s="84" t="n">
        <v>36.3</v>
      </c>
      <c r="BU74" s="83"/>
      <c r="BV74" s="84" t="n">
        <v>0.7</v>
      </c>
      <c r="BW74" s="83"/>
      <c r="BX74" s="84" t="n">
        <v>38.7</v>
      </c>
      <c r="BY74" s="84" t="n">
        <v>0.7</v>
      </c>
      <c r="BZ74" s="83"/>
      <c r="CA74" s="83"/>
      <c r="CB74" s="83"/>
      <c r="CC74" s="83"/>
      <c r="CD74" s="83"/>
      <c r="CE74" s="83"/>
      <c r="CF74" s="84" t="n">
        <v>3.6</v>
      </c>
      <c r="CG74" s="83"/>
      <c r="CH74" s="84" t="n">
        <v>0.3</v>
      </c>
      <c r="CI74" s="83"/>
      <c r="CJ74" s="83"/>
      <c r="CK74" s="83"/>
      <c r="CL74" s="83"/>
      <c r="CM74" s="85"/>
    </row>
    <row r="75" customFormat="false" ht="19.5" hidden="false" customHeight="true" outlineLevel="0" collapsed="false">
      <c r="A75" s="17" t="n">
        <v>71</v>
      </c>
      <c r="B75" s="18" t="s">
        <v>211</v>
      </c>
      <c r="C75" s="86" t="s">
        <v>333</v>
      </c>
      <c r="D75" s="87" t="n">
        <v>100</v>
      </c>
      <c r="E75" s="88" t="n">
        <f aca="false">IFERROR(1.7/100*'🏭 원료 마스터'!$C$25+0.1/100*'🏭 원료 마스터'!$C$26+2/100*'🏭 원료 마스터'!$C$42+2/100*'🏭 원료 마스터'!$C$49+12.8/100*'🏭 원료 마스터'!$C$63+36.8/100*'🏭 원료 마스터'!$C$66+0.7/100*'🏭 원료 마스터'!$C$68+39.2/100*'🏭 원료 마스터'!$C$70+0.7/100*'🏭 원료 마스터'!$C$71+3.7/100*'🏭 원료 마스터'!$C$78+0.3/100*'🏭 원료 마스터'!$C$80,"")</f>
        <v>0</v>
      </c>
      <c r="F75" s="82"/>
      <c r="G75" s="82"/>
      <c r="H75" s="76"/>
      <c r="I75" s="75"/>
      <c r="J75" s="89"/>
      <c r="K75" s="89"/>
      <c r="L75" s="89"/>
      <c r="M75" s="89"/>
      <c r="N75" s="89"/>
      <c r="O75" s="89"/>
      <c r="P75" s="89"/>
      <c r="Q75" s="89"/>
      <c r="R75" s="85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90" t="n">
        <v>1.7</v>
      </c>
      <c r="AF75" s="90" t="n">
        <v>0.1</v>
      </c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90" t="n">
        <v>2</v>
      </c>
      <c r="AW75" s="89"/>
      <c r="AX75" s="89"/>
      <c r="AY75" s="89"/>
      <c r="AZ75" s="89"/>
      <c r="BA75" s="89"/>
      <c r="BB75" s="89"/>
      <c r="BC75" s="90" t="n">
        <v>2</v>
      </c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90" t="n">
        <v>12.8</v>
      </c>
      <c r="BR75" s="89"/>
      <c r="BS75" s="89"/>
      <c r="BT75" s="90" t="n">
        <v>36.8</v>
      </c>
      <c r="BU75" s="89"/>
      <c r="BV75" s="90" t="n">
        <v>0.7</v>
      </c>
      <c r="BW75" s="89"/>
      <c r="BX75" s="90" t="n">
        <v>39.2</v>
      </c>
      <c r="BY75" s="90" t="n">
        <v>0.7</v>
      </c>
      <c r="BZ75" s="89"/>
      <c r="CA75" s="89"/>
      <c r="CB75" s="89"/>
      <c r="CC75" s="89"/>
      <c r="CD75" s="89"/>
      <c r="CE75" s="89"/>
      <c r="CF75" s="90" t="n">
        <v>3.7</v>
      </c>
      <c r="CG75" s="89"/>
      <c r="CH75" s="90" t="n">
        <v>0.3</v>
      </c>
      <c r="CI75" s="89"/>
      <c r="CJ75" s="89"/>
      <c r="CK75" s="89"/>
      <c r="CL75" s="89"/>
      <c r="CM75" s="85"/>
    </row>
    <row r="76" customFormat="false" ht="19.5" hidden="false" customHeight="true" outlineLevel="0" collapsed="false">
      <c r="A76" s="13" t="n">
        <v>72</v>
      </c>
      <c r="B76" s="14" t="s">
        <v>212</v>
      </c>
      <c r="C76" s="79" t="s">
        <v>334</v>
      </c>
      <c r="D76" s="80" t="n">
        <v>100</v>
      </c>
      <c r="E76" s="81" t="n">
        <f aca="false">IFERROR(7.6/100*'🏭 원료 마스터'!$C$20+1.5/100*'🏭 원료 마스터'!$C$25+60.7/100*'🏭 원료 마스터'!$C$40+1.9/100*'🏭 원료 마스터'!$C$46+7.6/100*'🏭 원료 마스터'!$C$48+7.6/100*'🏭 원료 마스터'!$C$49+12.1/100*'🏭 원료 마스터'!$C$63+1/100*'🏭 원료 마스터'!$C$71,"")</f>
        <v>637.35</v>
      </c>
      <c r="F76" s="82"/>
      <c r="G76" s="82"/>
      <c r="H76" s="76"/>
      <c r="I76" s="75"/>
      <c r="J76" s="83"/>
      <c r="K76" s="83"/>
      <c r="L76" s="83"/>
      <c r="M76" s="83"/>
      <c r="N76" s="83"/>
      <c r="O76" s="83"/>
      <c r="P76" s="83"/>
      <c r="Q76" s="83"/>
      <c r="R76" s="85"/>
      <c r="S76" s="83"/>
      <c r="T76" s="83"/>
      <c r="U76" s="83"/>
      <c r="V76" s="83"/>
      <c r="W76" s="83"/>
      <c r="X76" s="83"/>
      <c r="Y76" s="83"/>
      <c r="Z76" s="84" t="n">
        <v>7.6</v>
      </c>
      <c r="AA76" s="83"/>
      <c r="AB76" s="83"/>
      <c r="AC76" s="83"/>
      <c r="AD76" s="83"/>
      <c r="AE76" s="84" t="n">
        <v>1.5</v>
      </c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4" t="n">
        <v>60.7</v>
      </c>
      <c r="AU76" s="83"/>
      <c r="AV76" s="83"/>
      <c r="AW76" s="83"/>
      <c r="AX76" s="83"/>
      <c r="AY76" s="83"/>
      <c r="AZ76" s="84" t="n">
        <v>1.9</v>
      </c>
      <c r="BA76" s="83"/>
      <c r="BB76" s="84" t="n">
        <v>7.6</v>
      </c>
      <c r="BC76" s="84" t="n">
        <v>7.6</v>
      </c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4" t="n">
        <v>12.1</v>
      </c>
      <c r="BR76" s="83"/>
      <c r="BS76" s="83"/>
      <c r="BT76" s="83"/>
      <c r="BU76" s="83"/>
      <c r="BV76" s="83"/>
      <c r="BW76" s="83"/>
      <c r="BX76" s="83"/>
      <c r="BY76" s="84" t="n">
        <v>1</v>
      </c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5"/>
    </row>
    <row r="77" customFormat="false" ht="19.5" hidden="false" customHeight="true" outlineLevel="0" collapsed="false">
      <c r="A77" s="17" t="n">
        <v>73</v>
      </c>
      <c r="B77" s="18" t="s">
        <v>213</v>
      </c>
      <c r="C77" s="86" t="s">
        <v>335</v>
      </c>
      <c r="D77" s="87" t="n">
        <v>100</v>
      </c>
      <c r="E77" s="88" t="n">
        <f aca="false">IFERROR(3.3/100*'🏭 원료 마스터'!$C$8+2/100*'🏭 원료 마스터'!$C$20+2/100*'🏭 원료 마스터'!$C$25+30/100*'🏭 원료 마스터'!$C$35+4.7/100*'🏭 원료 마스터'!$C$49+1.2/100*'🏭 원료 마스터'!$C$63+56/100*'🏭 원료 마스터'!$C$70+0.8/100*'🏭 원료 마스터'!$C$71,"")</f>
        <v>0</v>
      </c>
      <c r="F77" s="82"/>
      <c r="G77" s="82"/>
      <c r="H77" s="76"/>
      <c r="I77" s="75"/>
      <c r="J77" s="89"/>
      <c r="K77" s="89"/>
      <c r="L77" s="89"/>
      <c r="M77" s="89"/>
      <c r="N77" s="90" t="n">
        <v>3.3</v>
      </c>
      <c r="O77" s="89"/>
      <c r="P77" s="89"/>
      <c r="Q77" s="89"/>
      <c r="R77" s="85"/>
      <c r="S77" s="89"/>
      <c r="T77" s="89"/>
      <c r="U77" s="89"/>
      <c r="V77" s="89"/>
      <c r="W77" s="89"/>
      <c r="X77" s="89"/>
      <c r="Y77" s="89"/>
      <c r="Z77" s="90" t="n">
        <v>2</v>
      </c>
      <c r="AA77" s="89"/>
      <c r="AB77" s="89"/>
      <c r="AC77" s="89"/>
      <c r="AD77" s="89"/>
      <c r="AE77" s="90" t="n">
        <v>2</v>
      </c>
      <c r="AF77" s="89"/>
      <c r="AG77" s="89"/>
      <c r="AH77" s="89"/>
      <c r="AI77" s="89"/>
      <c r="AJ77" s="89"/>
      <c r="AK77" s="89"/>
      <c r="AL77" s="89"/>
      <c r="AM77" s="89"/>
      <c r="AN77" s="89"/>
      <c r="AO77" s="90" t="n">
        <v>30</v>
      </c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90" t="n">
        <v>4.7</v>
      </c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90" t="n">
        <v>1.2</v>
      </c>
      <c r="BR77" s="89"/>
      <c r="BS77" s="89"/>
      <c r="BT77" s="89"/>
      <c r="BU77" s="89"/>
      <c r="BV77" s="89"/>
      <c r="BW77" s="89"/>
      <c r="BX77" s="90" t="n">
        <v>56</v>
      </c>
      <c r="BY77" s="90" t="n">
        <v>0.8</v>
      </c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5"/>
    </row>
    <row r="78" customFormat="false" ht="19.5" hidden="false" customHeight="true" outlineLevel="0" collapsed="false">
      <c r="A78" s="13" t="n">
        <v>74</v>
      </c>
      <c r="B78" s="14" t="s">
        <v>214</v>
      </c>
      <c r="C78" s="79" t="s">
        <v>336</v>
      </c>
      <c r="D78" s="80" t="n">
        <v>100</v>
      </c>
      <c r="E78" s="81" t="n">
        <f aca="false">IFERROR(3.3/100*'🏭 원료 마스터'!$C$8+2/100*'🏭 원료 마스터'!$C$25+30/100*'🏭 원료 마스터'!$C$35+4.7/100*'🏭 원료 마스터'!$C$49+1.2/100*'🏭 원료 마스터'!$C$63+56/100*'🏭 원료 마스터'!$C$70+0.8/100*'🏭 원료 마스터'!$C$71,"")</f>
        <v>0</v>
      </c>
      <c r="F78" s="82"/>
      <c r="G78" s="82"/>
      <c r="H78" s="76"/>
      <c r="I78" s="75"/>
      <c r="J78" s="83"/>
      <c r="K78" s="83"/>
      <c r="L78" s="83"/>
      <c r="M78" s="83"/>
      <c r="N78" s="84" t="n">
        <v>3.3</v>
      </c>
      <c r="O78" s="83"/>
      <c r="P78" s="83"/>
      <c r="Q78" s="83"/>
      <c r="R78" s="85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4" t="n">
        <v>2</v>
      </c>
      <c r="AF78" s="83"/>
      <c r="AG78" s="83"/>
      <c r="AH78" s="83"/>
      <c r="AI78" s="83"/>
      <c r="AJ78" s="83"/>
      <c r="AK78" s="83"/>
      <c r="AL78" s="83"/>
      <c r="AM78" s="83"/>
      <c r="AN78" s="83"/>
      <c r="AO78" s="84" t="n">
        <v>30</v>
      </c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4" t="n">
        <v>4.7</v>
      </c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4" t="n">
        <v>1.2</v>
      </c>
      <c r="BR78" s="83"/>
      <c r="BS78" s="83"/>
      <c r="BT78" s="83"/>
      <c r="BU78" s="83"/>
      <c r="BV78" s="83"/>
      <c r="BW78" s="83"/>
      <c r="BX78" s="84" t="n">
        <v>56</v>
      </c>
      <c r="BY78" s="84" t="n">
        <v>0.8</v>
      </c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4" t="n">
        <v>2</v>
      </c>
      <c r="CM78" s="85"/>
    </row>
    <row r="79" customFormat="false" ht="19.5" hidden="false" customHeight="true" outlineLevel="0" collapsed="false">
      <c r="A79" s="17" t="n">
        <v>75</v>
      </c>
      <c r="B79" s="18" t="s">
        <v>215</v>
      </c>
      <c r="C79" s="86" t="s">
        <v>337</v>
      </c>
      <c r="D79" s="87" t="n">
        <v>100</v>
      </c>
      <c r="E79" s="88" t="n">
        <f aca="false">IFERROR(1.7/100*'🏭 원료 마스터'!$C$25+67.1/100*'🏭 원료 마스터'!$C$40+8.4/100*'🏭 원료 마스터'!$C$48+8.4/100*'🏭 원료 마스터'!$C$49+13.4/100*'🏭 원료 마스터'!$C$63+1/100*'🏭 원료 마스터'!$C$71,"")</f>
        <v>704.55</v>
      </c>
      <c r="F79" s="82"/>
      <c r="G79" s="82"/>
      <c r="H79" s="76"/>
      <c r="I79" s="75"/>
      <c r="J79" s="89"/>
      <c r="K79" s="89"/>
      <c r="L79" s="89"/>
      <c r="M79" s="89"/>
      <c r="N79" s="89"/>
      <c r="O79" s="89"/>
      <c r="P79" s="89"/>
      <c r="Q79" s="89"/>
      <c r="R79" s="85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90" t="n">
        <v>1.7</v>
      </c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90" t="n">
        <v>67.1</v>
      </c>
      <c r="AU79" s="89"/>
      <c r="AV79" s="89"/>
      <c r="AW79" s="89"/>
      <c r="AX79" s="89"/>
      <c r="AY79" s="89"/>
      <c r="AZ79" s="89"/>
      <c r="BA79" s="89"/>
      <c r="BB79" s="90" t="n">
        <v>8.4</v>
      </c>
      <c r="BC79" s="90" t="n">
        <v>8.4</v>
      </c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90" t="n">
        <v>13.4</v>
      </c>
      <c r="BR79" s="89"/>
      <c r="BS79" s="89"/>
      <c r="BT79" s="89"/>
      <c r="BU79" s="89"/>
      <c r="BV79" s="89"/>
      <c r="BW79" s="89"/>
      <c r="BX79" s="89"/>
      <c r="BY79" s="90" t="n">
        <v>1</v>
      </c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5"/>
    </row>
    <row r="80" customFormat="false" ht="19.5" hidden="false" customHeight="true" outlineLevel="0" collapsed="false">
      <c r="A80" s="13" t="n">
        <v>76</v>
      </c>
      <c r="B80" s="14" t="s">
        <v>216</v>
      </c>
      <c r="C80" s="79" t="s">
        <v>338</v>
      </c>
      <c r="D80" s="80" t="n">
        <v>100</v>
      </c>
      <c r="E80" s="81" t="n">
        <f aca="false">IFERROR(1.3/100*'🏭 원료 마스터'!$C$25+0.2/100*'🏭 원료 마스터'!$C$34+63.4/100*'🏭 원료 마스터'!$C$40+4.8/100*'🏭 원료 마스터'!$C$49+21.8/100*'🏭 원료 마스터'!$C$63+6.3/100*'🏭 원료 마스터'!$C$69+0.9/100*'🏭 원료 마스터'!$C$71+1.3/100*'🏭 원료 마스터'!$C$74,"")</f>
        <v>665.7</v>
      </c>
      <c r="F80" s="82"/>
      <c r="G80" s="82"/>
      <c r="H80" s="76"/>
      <c r="I80" s="75"/>
      <c r="J80" s="83"/>
      <c r="K80" s="83"/>
      <c r="L80" s="83"/>
      <c r="M80" s="83"/>
      <c r="N80" s="83"/>
      <c r="O80" s="83"/>
      <c r="P80" s="83"/>
      <c r="Q80" s="83"/>
      <c r="R80" s="85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4" t="n">
        <v>1.3</v>
      </c>
      <c r="AF80" s="83"/>
      <c r="AG80" s="83"/>
      <c r="AH80" s="83"/>
      <c r="AI80" s="83"/>
      <c r="AJ80" s="83"/>
      <c r="AK80" s="83"/>
      <c r="AL80" s="83"/>
      <c r="AM80" s="83"/>
      <c r="AN80" s="84" t="n">
        <v>0.2</v>
      </c>
      <c r="AO80" s="83"/>
      <c r="AP80" s="83"/>
      <c r="AQ80" s="83"/>
      <c r="AR80" s="83"/>
      <c r="AS80" s="83"/>
      <c r="AT80" s="84" t="n">
        <v>63.4</v>
      </c>
      <c r="AU80" s="83"/>
      <c r="AV80" s="83"/>
      <c r="AW80" s="83"/>
      <c r="AX80" s="83"/>
      <c r="AY80" s="83"/>
      <c r="AZ80" s="83"/>
      <c r="BA80" s="83"/>
      <c r="BB80" s="83"/>
      <c r="BC80" s="84" t="n">
        <v>4.8</v>
      </c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4" t="n">
        <v>21.8</v>
      </c>
      <c r="BR80" s="83"/>
      <c r="BS80" s="83"/>
      <c r="BT80" s="83"/>
      <c r="BU80" s="83"/>
      <c r="BV80" s="83"/>
      <c r="BW80" s="84" t="n">
        <v>6.3</v>
      </c>
      <c r="BX80" s="83"/>
      <c r="BY80" s="84" t="n">
        <v>0.9</v>
      </c>
      <c r="BZ80" s="83"/>
      <c r="CA80" s="83"/>
      <c r="CB80" s="84" t="n">
        <v>1.3</v>
      </c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5"/>
    </row>
    <row r="81" customFormat="false" ht="19.5" hidden="false" customHeight="true" outlineLevel="0" collapsed="false">
      <c r="A81" s="17" t="n">
        <v>77</v>
      </c>
      <c r="B81" s="18" t="s">
        <v>217</v>
      </c>
      <c r="C81" s="86" t="s">
        <v>339</v>
      </c>
      <c r="D81" s="87" t="n">
        <v>100</v>
      </c>
      <c r="E81" s="88" t="n">
        <f aca="false">IFERROR(2.6/100*'🏭 원료 마스터'!$C$8+3.1/100*'🏭 원료 마스터'!$C$25+0.2/100*'🏭 원료 마스터'!$C$26+3.7/100*'🏭 원료 마스터'!$C$34+7.4/100*'🏭 원료 마스터'!$C$42+3.7/100*'🏭 원료 마스터'!$C$49+1.7/100*'🏭 원료 마스터'!$C$68+73.9/100*'🏭 원료 마스터'!$C$70+1.3/100*'🏭 원료 마스터'!$C$71+1.8/100*'🏭 원료 마스터'!$C$79+0.6/100*'🏭 원료 마스터'!$C$80,"")</f>
        <v>0</v>
      </c>
      <c r="F81" s="82"/>
      <c r="G81" s="82"/>
      <c r="H81" s="76"/>
      <c r="I81" s="75"/>
      <c r="J81" s="89"/>
      <c r="K81" s="89"/>
      <c r="L81" s="89"/>
      <c r="M81" s="89"/>
      <c r="N81" s="90" t="n">
        <v>2.6</v>
      </c>
      <c r="O81" s="89"/>
      <c r="P81" s="89"/>
      <c r="Q81" s="89"/>
      <c r="R81" s="85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90" t="n">
        <v>3.1</v>
      </c>
      <c r="AF81" s="90" t="n">
        <v>0.2</v>
      </c>
      <c r="AG81" s="89"/>
      <c r="AH81" s="89"/>
      <c r="AI81" s="89"/>
      <c r="AJ81" s="89"/>
      <c r="AK81" s="89"/>
      <c r="AL81" s="89"/>
      <c r="AM81" s="89"/>
      <c r="AN81" s="90" t="n">
        <v>3.7</v>
      </c>
      <c r="AO81" s="89"/>
      <c r="AP81" s="89"/>
      <c r="AQ81" s="89"/>
      <c r="AR81" s="89"/>
      <c r="AS81" s="89"/>
      <c r="AT81" s="89"/>
      <c r="AU81" s="89"/>
      <c r="AV81" s="90" t="n">
        <v>7.4</v>
      </c>
      <c r="AW81" s="89"/>
      <c r="AX81" s="89"/>
      <c r="AY81" s="89"/>
      <c r="AZ81" s="89"/>
      <c r="BA81" s="89"/>
      <c r="BB81" s="89"/>
      <c r="BC81" s="90" t="n">
        <v>3.7</v>
      </c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90" t="n">
        <v>1.7</v>
      </c>
      <c r="BW81" s="89"/>
      <c r="BX81" s="90" t="n">
        <v>73.9</v>
      </c>
      <c r="BY81" s="90" t="n">
        <v>1.3</v>
      </c>
      <c r="BZ81" s="89"/>
      <c r="CA81" s="89"/>
      <c r="CB81" s="89"/>
      <c r="CC81" s="89"/>
      <c r="CD81" s="89"/>
      <c r="CE81" s="89"/>
      <c r="CF81" s="89"/>
      <c r="CG81" s="90" t="n">
        <v>1.8</v>
      </c>
      <c r="CH81" s="90" t="n">
        <v>0.6</v>
      </c>
      <c r="CI81" s="89"/>
      <c r="CJ81" s="89"/>
      <c r="CK81" s="89"/>
      <c r="CL81" s="89"/>
      <c r="CM81" s="85"/>
    </row>
    <row r="82" customFormat="false" ht="19.5" hidden="false" customHeight="true" outlineLevel="0" collapsed="false">
      <c r="A82" s="13" t="n">
        <v>78</v>
      </c>
      <c r="B82" s="14" t="s">
        <v>218</v>
      </c>
      <c r="C82" s="79" t="s">
        <v>340</v>
      </c>
      <c r="D82" s="80" t="n">
        <v>100</v>
      </c>
      <c r="E82" s="81" t="n">
        <f aca="false">IFERROR(0.2/100*'🏭 원료 마스터'!$C$34+53.1/100*'🏭 원료 마스터'!$C$40+5/100*'🏭 원료 마스터'!$C$49+19.6/100*'🏭 원료 마스터'!$C$63+6.6/100*'🏭 원료 마스터'!$C$69+0.9/100*'🏭 원료 마스터'!$C$71+1.3/100*'🏭 원료 마스터'!$C$74+13.3/100*'🏭 원료 마스터'!$C$83,"")</f>
        <v>557.55</v>
      </c>
      <c r="F82" s="82"/>
      <c r="G82" s="82"/>
      <c r="H82" s="76"/>
      <c r="I82" s="75"/>
      <c r="J82" s="83"/>
      <c r="K82" s="83"/>
      <c r="L82" s="83"/>
      <c r="M82" s="83"/>
      <c r="N82" s="83"/>
      <c r="O82" s="83"/>
      <c r="P82" s="83"/>
      <c r="Q82" s="83"/>
      <c r="R82" s="85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4" t="n">
        <v>0.2</v>
      </c>
      <c r="AO82" s="83"/>
      <c r="AP82" s="83"/>
      <c r="AQ82" s="83"/>
      <c r="AR82" s="83"/>
      <c r="AS82" s="83"/>
      <c r="AT82" s="84" t="n">
        <v>53.1</v>
      </c>
      <c r="AU82" s="83"/>
      <c r="AV82" s="83"/>
      <c r="AW82" s="83"/>
      <c r="AX82" s="83"/>
      <c r="AY82" s="83"/>
      <c r="AZ82" s="83"/>
      <c r="BA82" s="83"/>
      <c r="BB82" s="83"/>
      <c r="BC82" s="84" t="n">
        <v>5</v>
      </c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4" t="n">
        <v>19.6</v>
      </c>
      <c r="BR82" s="83"/>
      <c r="BS82" s="83"/>
      <c r="BT82" s="83"/>
      <c r="BU82" s="83"/>
      <c r="BV82" s="83"/>
      <c r="BW82" s="84" t="n">
        <v>6.6</v>
      </c>
      <c r="BX82" s="83"/>
      <c r="BY82" s="84" t="n">
        <v>0.9</v>
      </c>
      <c r="BZ82" s="83"/>
      <c r="CA82" s="83"/>
      <c r="CB82" s="84" t="n">
        <v>1.3</v>
      </c>
      <c r="CC82" s="83"/>
      <c r="CD82" s="83"/>
      <c r="CE82" s="83"/>
      <c r="CF82" s="83"/>
      <c r="CG82" s="83"/>
      <c r="CH82" s="83"/>
      <c r="CI82" s="83"/>
      <c r="CJ82" s="83"/>
      <c r="CK82" s="84" t="n">
        <v>13.3</v>
      </c>
      <c r="CL82" s="83"/>
      <c r="CM82" s="85"/>
    </row>
    <row r="83" customFormat="false" ht="19.5" hidden="false" customHeight="true" outlineLevel="0" collapsed="false">
      <c r="A83" s="17" t="n">
        <v>79</v>
      </c>
      <c r="B83" s="18" t="s">
        <v>219</v>
      </c>
      <c r="C83" s="86" t="s">
        <v>341</v>
      </c>
      <c r="D83" s="87" t="n">
        <v>100</v>
      </c>
      <c r="E83" s="88" t="n">
        <f aca="false">IFERROR(2.4/100*'🏭 원료 마스터'!$C$9+2.4/100*'🏭 원료 마스터'!$C$19+62.7/100*'🏭 원료 마스터'!$C$40+1.6/100*'🏭 원료 마스터'!$C$43+10.2/100*'🏭 원료 마스터'!$C$49+3.3/100*'🏭 원료 마스터'!$C$59+16.3/100*'🏭 원료 마스터'!$C$63+1.1/100*'🏭 원료 마스터'!$C$71,"")</f>
        <v>658.35</v>
      </c>
      <c r="F83" s="82"/>
      <c r="G83" s="82"/>
      <c r="H83" s="76"/>
      <c r="I83" s="75"/>
      <c r="J83" s="89"/>
      <c r="K83" s="89"/>
      <c r="L83" s="89"/>
      <c r="M83" s="89"/>
      <c r="N83" s="89"/>
      <c r="O83" s="90" t="n">
        <v>2.4</v>
      </c>
      <c r="P83" s="89"/>
      <c r="Q83" s="89"/>
      <c r="R83" s="85"/>
      <c r="S83" s="89"/>
      <c r="T83" s="89"/>
      <c r="U83" s="89"/>
      <c r="V83" s="89"/>
      <c r="W83" s="89"/>
      <c r="X83" s="89"/>
      <c r="Y83" s="90" t="n">
        <v>2.4</v>
      </c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90" t="n">
        <v>62.7</v>
      </c>
      <c r="AU83" s="89"/>
      <c r="AV83" s="89"/>
      <c r="AW83" s="90" t="n">
        <v>1.6</v>
      </c>
      <c r="AX83" s="89"/>
      <c r="AY83" s="89"/>
      <c r="AZ83" s="89"/>
      <c r="BA83" s="89"/>
      <c r="BB83" s="89"/>
      <c r="BC83" s="90" t="n">
        <v>10.2</v>
      </c>
      <c r="BD83" s="89"/>
      <c r="BE83" s="89"/>
      <c r="BF83" s="89"/>
      <c r="BG83" s="89"/>
      <c r="BH83" s="89"/>
      <c r="BI83" s="89"/>
      <c r="BJ83" s="89"/>
      <c r="BK83" s="89"/>
      <c r="BL83" s="89"/>
      <c r="BM83" s="90" t="n">
        <v>3.3</v>
      </c>
      <c r="BN83" s="89"/>
      <c r="BO83" s="89"/>
      <c r="BP83" s="89"/>
      <c r="BQ83" s="90" t="n">
        <v>16.3</v>
      </c>
      <c r="BR83" s="89"/>
      <c r="BS83" s="89"/>
      <c r="BT83" s="89"/>
      <c r="BU83" s="89"/>
      <c r="BV83" s="89"/>
      <c r="BW83" s="89"/>
      <c r="BX83" s="89"/>
      <c r="BY83" s="90" t="n">
        <v>1.1</v>
      </c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5"/>
    </row>
    <row r="84" customFormat="false" ht="18" hidden="false" customHeight="true" outlineLevel="0" collapsed="false">
      <c r="A84" s="13" t="n">
        <v>80</v>
      </c>
      <c r="B84" s="14" t="s">
        <v>221</v>
      </c>
      <c r="C84" s="79" t="s">
        <v>342</v>
      </c>
      <c r="D84" s="80" t="n">
        <v>100</v>
      </c>
      <c r="E84" s="95" t="n">
        <f aca="false">IFERROR(7/100*'🏭 원료 마스터'!$C$18+8/100*'🏭 원료 마스터'!$C$32+3/100*'🏭 원료 마스터'!$C$42+3/100*'🏭 원료 마스터'!$C$49+15.36/100*'🏭 원료 마스터'!$C$63+33/100*'🏭 원료 마스터'!$C$65+0.37/100*'🏭 원료 마스터'!$C$68+29.5/100*'🏭 원료 마스터'!$C$70+0.53/100*'🏭 원료 마스터'!$C$71+0.24/100*'🏭 원료 마스터'!$C$80,"")</f>
        <v>0</v>
      </c>
      <c r="F84" s="82"/>
      <c r="G84" s="82"/>
      <c r="H84" s="76"/>
      <c r="I84" s="75"/>
      <c r="J84" s="83"/>
      <c r="K84" s="92"/>
      <c r="L84" s="83"/>
      <c r="M84" s="83"/>
      <c r="N84" s="83"/>
      <c r="O84" s="92"/>
      <c r="P84" s="92"/>
      <c r="Q84" s="83"/>
      <c r="R84" s="85"/>
      <c r="S84" s="83"/>
      <c r="T84" s="83"/>
      <c r="U84" s="83"/>
      <c r="V84" s="83"/>
      <c r="W84" s="83"/>
      <c r="X84" s="84" t="n">
        <v>7</v>
      </c>
      <c r="Y84" s="92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4" t="n">
        <v>8</v>
      </c>
      <c r="AM84" s="83"/>
      <c r="AN84" s="83"/>
      <c r="AO84" s="83"/>
      <c r="AP84" s="83"/>
      <c r="AQ84" s="83"/>
      <c r="AR84" s="83"/>
      <c r="AS84" s="83"/>
      <c r="AT84" s="83"/>
      <c r="AU84" s="83"/>
      <c r="AV84" s="84" t="n">
        <v>3</v>
      </c>
      <c r="AW84" s="92"/>
      <c r="AX84" s="83"/>
      <c r="AY84" s="83"/>
      <c r="AZ84" s="83"/>
      <c r="BA84" s="83"/>
      <c r="BB84" s="83"/>
      <c r="BC84" s="84" t="n">
        <v>3</v>
      </c>
      <c r="BD84" s="83"/>
      <c r="BE84" s="83"/>
      <c r="BF84" s="83"/>
      <c r="BG84" s="83"/>
      <c r="BH84" s="83"/>
      <c r="BI84" s="83"/>
      <c r="BJ84" s="83"/>
      <c r="BK84" s="83"/>
      <c r="BL84" s="83"/>
      <c r="BM84" s="92"/>
      <c r="BN84" s="83"/>
      <c r="BO84" s="83"/>
      <c r="BP84" s="83"/>
      <c r="BQ84" s="84" t="n">
        <v>15.36</v>
      </c>
      <c r="BR84" s="83"/>
      <c r="BS84" s="84" t="n">
        <v>33</v>
      </c>
      <c r="BT84" s="83"/>
      <c r="BU84" s="83"/>
      <c r="BV84" s="84" t="n">
        <v>0.37</v>
      </c>
      <c r="BW84" s="83"/>
      <c r="BX84" s="84" t="n">
        <v>29.5</v>
      </c>
      <c r="BY84" s="84" t="n">
        <v>0.53</v>
      </c>
      <c r="BZ84" s="83"/>
      <c r="CA84" s="83"/>
      <c r="CB84" s="83"/>
      <c r="CC84" s="83"/>
      <c r="CD84" s="83"/>
      <c r="CE84" s="83"/>
      <c r="CF84" s="83"/>
      <c r="CG84" s="83"/>
      <c r="CH84" s="84" t="n">
        <v>0.24</v>
      </c>
      <c r="CI84" s="83"/>
      <c r="CJ84" s="83"/>
      <c r="CK84" s="83"/>
      <c r="CL84" s="83"/>
      <c r="CM84" s="85"/>
    </row>
    <row r="85" customFormat="false" ht="16.5" hidden="false" customHeight="true" outlineLevel="0" collapsed="false">
      <c r="A85" s="17" t="n">
        <v>81</v>
      </c>
      <c r="B85" s="18" t="s">
        <v>222</v>
      </c>
      <c r="C85" s="86" t="s">
        <v>343</v>
      </c>
      <c r="D85" s="87" t="n">
        <v>100</v>
      </c>
      <c r="E85" s="96" t="n">
        <f aca="false">IFERROR(7/100*'🏭 원료 마스터'!$C$18+5.6/100*'🏭 원료 마스터'!$C$21+7.5/100*'🏭 원료 마스터'!$C$32+2.8/100*'🏭 원료 마스터'!$C$42+2.8/100*'🏭 원료 마스터'!$C$49+3.1/100*'🏭 원료 마스터'!$C$54+11.37/100*'🏭 원료 마스터'!$C$63+30.7/100*'🏭 원료 마스터'!$C$65+0.6/100*'🏭 원료 마스터'!$C$68+27.8/100*'🏭 원료 마스터'!$C$70+0.5/100*'🏭 원료 마스터'!$C$71+0.23/100*'🏭 원료 마스터'!$C$80,"")</f>
        <v>0</v>
      </c>
      <c r="F85" s="82"/>
      <c r="G85" s="82"/>
      <c r="H85" s="76"/>
      <c r="I85" s="75"/>
      <c r="J85" s="83"/>
      <c r="K85" s="92"/>
      <c r="L85" s="83"/>
      <c r="M85" s="83"/>
      <c r="N85" s="83"/>
      <c r="O85" s="92"/>
      <c r="P85" s="92"/>
      <c r="Q85" s="83"/>
      <c r="R85" s="85"/>
      <c r="S85" s="83"/>
      <c r="T85" s="83"/>
      <c r="U85" s="83"/>
      <c r="V85" s="83"/>
      <c r="W85" s="83"/>
      <c r="X85" s="84" t="n">
        <v>7</v>
      </c>
      <c r="Y85" s="92"/>
      <c r="Z85" s="83"/>
      <c r="AA85" s="84" t="n">
        <v>5.6</v>
      </c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4" t="n">
        <v>7.5</v>
      </c>
      <c r="AM85" s="83"/>
      <c r="AN85" s="83"/>
      <c r="AO85" s="83"/>
      <c r="AP85" s="83"/>
      <c r="AQ85" s="83"/>
      <c r="AR85" s="83"/>
      <c r="AS85" s="83"/>
      <c r="AT85" s="83"/>
      <c r="AU85" s="83"/>
      <c r="AV85" s="84" t="n">
        <v>2.8</v>
      </c>
      <c r="AW85" s="92"/>
      <c r="AX85" s="83"/>
      <c r="AY85" s="83"/>
      <c r="AZ85" s="83"/>
      <c r="BA85" s="83"/>
      <c r="BB85" s="83"/>
      <c r="BC85" s="84" t="n">
        <v>2.8</v>
      </c>
      <c r="BD85" s="83"/>
      <c r="BE85" s="83"/>
      <c r="BF85" s="83"/>
      <c r="BG85" s="83"/>
      <c r="BH85" s="84" t="n">
        <v>3.1</v>
      </c>
      <c r="BI85" s="83"/>
      <c r="BJ85" s="83"/>
      <c r="BK85" s="83"/>
      <c r="BL85" s="83"/>
      <c r="BM85" s="92"/>
      <c r="BN85" s="83"/>
      <c r="BO85" s="83"/>
      <c r="BP85" s="83"/>
      <c r="BQ85" s="84" t="n">
        <v>11.37</v>
      </c>
      <c r="BR85" s="83"/>
      <c r="BS85" s="84" t="n">
        <v>30.7</v>
      </c>
      <c r="BT85" s="83"/>
      <c r="BU85" s="83"/>
      <c r="BV85" s="84" t="n">
        <v>0.6</v>
      </c>
      <c r="BW85" s="83"/>
      <c r="BX85" s="84" t="n">
        <v>27.8</v>
      </c>
      <c r="BY85" s="84" t="n">
        <v>0.5</v>
      </c>
      <c r="BZ85" s="83"/>
      <c r="CA85" s="83"/>
      <c r="CB85" s="83"/>
      <c r="CC85" s="83"/>
      <c r="CD85" s="83"/>
      <c r="CE85" s="83"/>
      <c r="CF85" s="83"/>
      <c r="CG85" s="83"/>
      <c r="CH85" s="84" t="n">
        <v>0.23</v>
      </c>
      <c r="CI85" s="83"/>
      <c r="CJ85" s="83"/>
      <c r="CK85" s="83"/>
      <c r="CL85" s="83"/>
      <c r="CM85" s="85"/>
    </row>
    <row r="86" customFormat="false" ht="57.75" hidden="false" customHeight="true" outlineLevel="0" collapsed="false">
      <c r="A86" s="17" t="n">
        <v>82</v>
      </c>
      <c r="B86" s="18" t="s">
        <v>220</v>
      </c>
      <c r="C86" s="86" t="s">
        <v>344</v>
      </c>
      <c r="D86" s="87" t="n">
        <v>100</v>
      </c>
      <c r="E86" s="96" t="n">
        <f aca="false">IFERROR(1.8/100*'🏭 원료 마스터'!$C$5+0.4/100*'🏭 원료 마스터'!$C$9+1.8/100*'🏭 원료 마스터'!$C$10+3/100*'🏭 원료 마스터'!$C$19+4.2/100*'🏭 원료 마스터'!$C$43+8.9/100*'🏭 원료 마스터'!$C$49+1.8/100*'🏭 원료 마스터'!$C$59+17.9/100*'🏭 원료 마스터'!$C$63+59.6/100*'🏭 원료 마스터'!$C$70+0.6/100*'🏭 원료 마스터'!$C$71,"")</f>
        <v>0</v>
      </c>
      <c r="F86" s="82"/>
      <c r="G86" s="82"/>
      <c r="H86" s="76"/>
      <c r="I86" s="75"/>
      <c r="J86" s="85"/>
      <c r="K86" s="93" t="n">
        <v>1.8</v>
      </c>
      <c r="L86" s="85"/>
      <c r="M86" s="85"/>
      <c r="N86" s="85"/>
      <c r="O86" s="93" t="n">
        <v>0.4</v>
      </c>
      <c r="P86" s="93" t="n">
        <v>1.8</v>
      </c>
      <c r="Q86" s="85"/>
      <c r="R86" s="85"/>
      <c r="S86" s="85"/>
      <c r="T86" s="85"/>
      <c r="U86" s="85"/>
      <c r="V86" s="85"/>
      <c r="W86" s="85"/>
      <c r="X86" s="85"/>
      <c r="Y86" s="93" t="n">
        <v>3</v>
      </c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93" t="n">
        <v>4.2</v>
      </c>
      <c r="AX86" s="85"/>
      <c r="AY86" s="85"/>
      <c r="AZ86" s="85"/>
      <c r="BA86" s="85"/>
      <c r="BB86" s="85"/>
      <c r="BC86" s="93" t="n">
        <v>8.9</v>
      </c>
      <c r="BD86" s="85"/>
      <c r="BE86" s="85"/>
      <c r="BF86" s="85"/>
      <c r="BG86" s="85"/>
      <c r="BH86" s="85"/>
      <c r="BI86" s="85"/>
      <c r="BJ86" s="85"/>
      <c r="BK86" s="85"/>
      <c r="BL86" s="85"/>
      <c r="BM86" s="93" t="n">
        <v>1.8</v>
      </c>
      <c r="BN86" s="85"/>
      <c r="BO86" s="85"/>
      <c r="BP86" s="85"/>
      <c r="BQ86" s="93" t="n">
        <v>17.9</v>
      </c>
      <c r="BR86" s="85"/>
      <c r="BS86" s="85"/>
      <c r="BT86" s="85"/>
      <c r="BU86" s="85"/>
      <c r="BV86" s="85"/>
      <c r="BW86" s="85"/>
      <c r="BX86" s="93" t="n">
        <v>59.6</v>
      </c>
      <c r="BY86" s="93" t="n">
        <v>0.6</v>
      </c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</row>
    <row r="87" customFormat="false" ht="57.75" hidden="false" customHeight="true" outlineLevel="0" collapsed="false">
      <c r="A87" s="97" t="s">
        <v>345</v>
      </c>
      <c r="B87" s="77"/>
      <c r="E87" s="98" t="n">
        <f aca="false">IFERROR(AVERAGE(D5:D86),"")</f>
        <v>99.9998780487805</v>
      </c>
      <c r="F87" s="75"/>
      <c r="G87" s="82"/>
      <c r="H87" s="75"/>
      <c r="I87" s="75"/>
    </row>
    <row r="88" customFormat="false" ht="16.5" hidden="false" customHeight="true" outlineLevel="0" collapsed="false">
      <c r="F88" s="75"/>
      <c r="G88" s="75"/>
      <c r="H88" s="75"/>
      <c r="I88" s="75"/>
    </row>
    <row r="89" customFormat="false" ht="16.5" hidden="false" customHeight="true" outlineLevel="0" collapsed="false">
      <c r="A89" s="99" t="s">
        <v>346</v>
      </c>
      <c r="F89" s="75"/>
      <c r="G89" s="75"/>
      <c r="H89" s="75"/>
      <c r="I89" s="75"/>
    </row>
    <row r="90" customFormat="false" ht="16.5" hidden="false" customHeight="true" outlineLevel="0" collapsed="false">
      <c r="A90" s="100" t="s">
        <v>46</v>
      </c>
      <c r="B90" s="101" t="s">
        <v>347</v>
      </c>
      <c r="C90" s="101" t="s">
        <v>348</v>
      </c>
      <c r="D90" s="101" t="s">
        <v>349</v>
      </c>
      <c r="E90" s="101" t="s">
        <v>350</v>
      </c>
      <c r="F90" s="102"/>
      <c r="G90" s="75"/>
      <c r="H90" s="75"/>
      <c r="I90" s="75"/>
    </row>
    <row r="91" customFormat="false" ht="16.5" hidden="false" customHeight="true" outlineLevel="0" collapsed="false">
      <c r="A91" s="103" t="s">
        <v>351</v>
      </c>
      <c r="B91" s="104" t="s">
        <v>352</v>
      </c>
      <c r="C91" s="103" t="s">
        <v>353</v>
      </c>
      <c r="D91" s="104" t="s">
        <v>120</v>
      </c>
      <c r="E91" s="104" t="s">
        <v>354</v>
      </c>
      <c r="F91" s="75"/>
      <c r="G91" s="75"/>
      <c r="H91" s="75"/>
      <c r="I91" s="75"/>
    </row>
    <row r="92" customFormat="false" ht="16.5" hidden="false" customHeight="true" outlineLevel="0" collapsed="false">
      <c r="A92" s="103" t="s">
        <v>355</v>
      </c>
      <c r="B92" s="104" t="s">
        <v>99</v>
      </c>
      <c r="C92" s="103" t="s">
        <v>356</v>
      </c>
      <c r="D92" s="104" t="s">
        <v>99</v>
      </c>
      <c r="E92" s="104" t="s">
        <v>354</v>
      </c>
      <c r="F92" s="75"/>
      <c r="G92" s="75"/>
      <c r="H92" s="75"/>
      <c r="I92" s="75"/>
    </row>
    <row r="93" customFormat="false" ht="16.5" hidden="false" customHeight="true" outlineLevel="0" collapsed="false">
      <c r="A93" s="103" t="s">
        <v>357</v>
      </c>
      <c r="B93" s="104" t="s">
        <v>358</v>
      </c>
      <c r="C93" s="103" t="s">
        <v>359</v>
      </c>
      <c r="D93" s="104" t="s">
        <v>116</v>
      </c>
      <c r="E93" s="104" t="s">
        <v>354</v>
      </c>
      <c r="F93" s="75"/>
      <c r="G93" s="75"/>
      <c r="H93" s="75"/>
      <c r="I93" s="75"/>
    </row>
    <row r="94" customFormat="false" ht="16.5" hidden="false" customHeight="true" outlineLevel="0" collapsed="false">
      <c r="A94" s="105" t="s">
        <v>360</v>
      </c>
      <c r="B94" s="106" t="s">
        <v>361</v>
      </c>
      <c r="C94" s="105" t="s">
        <v>362</v>
      </c>
      <c r="D94" s="105" t="s">
        <v>363</v>
      </c>
      <c r="E94" s="106" t="s">
        <v>364</v>
      </c>
      <c r="F94" s="75"/>
      <c r="G94" s="75"/>
      <c r="H94" s="75"/>
      <c r="I94" s="75"/>
    </row>
    <row r="95" customFormat="false" ht="16.5" hidden="false" customHeight="true" outlineLevel="0" collapsed="false">
      <c r="A95" s="105" t="s">
        <v>365</v>
      </c>
      <c r="B95" s="106" t="s">
        <v>366</v>
      </c>
      <c r="C95" s="105" t="s">
        <v>362</v>
      </c>
      <c r="D95" s="105" t="s">
        <v>363</v>
      </c>
      <c r="E95" s="106" t="s">
        <v>364</v>
      </c>
      <c r="F95" s="75"/>
      <c r="G95" s="75"/>
      <c r="H95" s="75"/>
      <c r="I95" s="75"/>
    </row>
    <row r="96" customFormat="false" ht="16.5" hidden="false" customHeight="true" outlineLevel="0" collapsed="false">
      <c r="A96" s="105" t="s">
        <v>367</v>
      </c>
      <c r="B96" s="106" t="s">
        <v>368</v>
      </c>
      <c r="C96" s="105" t="s">
        <v>362</v>
      </c>
      <c r="D96" s="105" t="s">
        <v>363</v>
      </c>
      <c r="E96" s="106" t="s">
        <v>364</v>
      </c>
      <c r="F96" s="75"/>
      <c r="G96" s="75"/>
      <c r="H96" s="75"/>
      <c r="I96" s="75"/>
    </row>
    <row r="97" customFormat="false" ht="16.5" hidden="false" customHeight="true" outlineLevel="0" collapsed="false">
      <c r="A97" s="105" t="s">
        <v>369</v>
      </c>
      <c r="B97" s="106" t="s">
        <v>370</v>
      </c>
      <c r="C97" s="105" t="s">
        <v>362</v>
      </c>
      <c r="D97" s="105" t="s">
        <v>363</v>
      </c>
      <c r="E97" s="106" t="s">
        <v>364</v>
      </c>
      <c r="F97" s="75"/>
      <c r="G97" s="75"/>
      <c r="H97" s="75"/>
      <c r="I97" s="75"/>
    </row>
    <row r="98" customFormat="false" ht="16.5" hidden="false" customHeight="true" outlineLevel="0" collapsed="false">
      <c r="A98" s="105" t="s">
        <v>371</v>
      </c>
      <c r="B98" s="106" t="s">
        <v>372</v>
      </c>
      <c r="C98" s="105" t="s">
        <v>362</v>
      </c>
      <c r="D98" s="105" t="s">
        <v>363</v>
      </c>
      <c r="E98" s="106" t="s">
        <v>364</v>
      </c>
      <c r="F98" s="75"/>
      <c r="G98" s="75"/>
      <c r="H98" s="75"/>
      <c r="I98" s="75"/>
    </row>
    <row r="99" customFormat="false" ht="16.5" hidden="false" customHeight="true" outlineLevel="0" collapsed="false">
      <c r="A99" s="107" t="s">
        <v>373</v>
      </c>
      <c r="B99" s="108" t="s">
        <v>374</v>
      </c>
      <c r="C99" s="107" t="s">
        <v>375</v>
      </c>
      <c r="D99" s="108" t="s">
        <v>134</v>
      </c>
      <c r="E99" s="108" t="s">
        <v>376</v>
      </c>
      <c r="F99" s="75"/>
      <c r="G99" s="75"/>
      <c r="H99" s="75"/>
      <c r="I99" s="75"/>
    </row>
    <row r="100" customFormat="false" ht="16.5" hidden="false" customHeight="true" outlineLevel="0" collapsed="false">
      <c r="A100" s="103" t="s">
        <v>377</v>
      </c>
      <c r="B100" s="104" t="s">
        <v>113</v>
      </c>
      <c r="C100" s="103" t="s">
        <v>378</v>
      </c>
      <c r="D100" s="104" t="s">
        <v>113</v>
      </c>
      <c r="E100" s="104" t="s">
        <v>354</v>
      </c>
      <c r="F100" s="75"/>
      <c r="G100" s="75"/>
      <c r="H100" s="75"/>
      <c r="I100" s="75"/>
    </row>
    <row r="101" customFormat="false" ht="16.5" hidden="false" customHeight="true" outlineLevel="0" collapsed="false">
      <c r="A101" s="103" t="s">
        <v>379</v>
      </c>
      <c r="B101" s="104" t="s">
        <v>380</v>
      </c>
      <c r="C101" s="103" t="s">
        <v>381</v>
      </c>
      <c r="D101" s="104" t="s">
        <v>90</v>
      </c>
      <c r="E101" s="104" t="s">
        <v>354</v>
      </c>
      <c r="F101" s="75"/>
      <c r="G101" s="75"/>
      <c r="H101" s="75"/>
      <c r="I101" s="75"/>
    </row>
    <row r="102" customFormat="false" ht="16.5" hidden="false" customHeight="true" outlineLevel="0" collapsed="false">
      <c r="A102" s="103" t="s">
        <v>382</v>
      </c>
      <c r="B102" s="104" t="s">
        <v>383</v>
      </c>
      <c r="C102" s="103" t="s">
        <v>381</v>
      </c>
      <c r="D102" s="104" t="s">
        <v>121</v>
      </c>
      <c r="E102" s="104" t="s">
        <v>354</v>
      </c>
      <c r="F102" s="75"/>
      <c r="G102" s="75"/>
      <c r="H102" s="75"/>
      <c r="I102" s="75"/>
    </row>
    <row r="103" customFormat="false" ht="16.5" hidden="false" customHeight="true" outlineLevel="0" collapsed="false">
      <c r="A103" s="103" t="s">
        <v>384</v>
      </c>
      <c r="B103" s="104" t="s">
        <v>385</v>
      </c>
      <c r="C103" s="103" t="s">
        <v>381</v>
      </c>
      <c r="D103" s="104" t="s">
        <v>130</v>
      </c>
      <c r="E103" s="104" t="s">
        <v>354</v>
      </c>
      <c r="F103" s="75"/>
      <c r="G103" s="75"/>
      <c r="H103" s="75"/>
      <c r="I103" s="75"/>
    </row>
    <row r="104" customFormat="false" ht="16.5" hidden="false" customHeight="true" outlineLevel="0" collapsed="false">
      <c r="A104" s="103" t="s">
        <v>386</v>
      </c>
      <c r="B104" s="104" t="s">
        <v>387</v>
      </c>
      <c r="C104" s="103" t="s">
        <v>381</v>
      </c>
      <c r="D104" s="104" t="s">
        <v>118</v>
      </c>
      <c r="E104" s="104" t="s">
        <v>354</v>
      </c>
      <c r="F104" s="75"/>
      <c r="G104" s="75"/>
      <c r="H104" s="75"/>
      <c r="I104" s="75"/>
    </row>
    <row r="105" customFormat="false" ht="16.5" hidden="false" customHeight="true" outlineLevel="0" collapsed="false">
      <c r="F105" s="75"/>
      <c r="G105" s="75"/>
      <c r="H105" s="75"/>
      <c r="I105" s="75"/>
    </row>
    <row r="106" customFormat="false" ht="16.5" hidden="false" customHeight="true" outlineLevel="0" collapsed="false">
      <c r="A106" s="109" t="s">
        <v>388</v>
      </c>
      <c r="F106" s="75"/>
      <c r="G106" s="75"/>
      <c r="H106" s="75"/>
      <c r="I106" s="7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8" min="7" style="1" width="60"/>
  </cols>
  <sheetData>
    <row r="1" customFormat="false" ht="34.5" hidden="false" customHeight="true" outlineLevel="0" collapsed="false">
      <c r="A1" s="9" t="s">
        <v>389</v>
      </c>
      <c r="B1" s="9"/>
      <c r="C1" s="9"/>
      <c r="D1" s="9"/>
      <c r="E1" s="9"/>
      <c r="F1" s="9"/>
      <c r="G1" s="9"/>
      <c r="H1" s="9"/>
    </row>
    <row r="2" customFormat="false" ht="18" hidden="false" customHeight="true" outlineLevel="0" collapsed="false">
      <c r="A2" s="28" t="s">
        <v>390</v>
      </c>
      <c r="B2" s="28"/>
      <c r="C2" s="28"/>
      <c r="D2" s="28"/>
      <c r="E2" s="28"/>
      <c r="F2" s="28"/>
      <c r="G2" s="28"/>
      <c r="H2" s="28"/>
    </row>
    <row r="3" customFormat="false" ht="30" hidden="false" customHeight="true" outlineLevel="0" collapsed="false">
      <c r="A3" s="11" t="s">
        <v>46</v>
      </c>
      <c r="B3" s="12" t="s">
        <v>391</v>
      </c>
      <c r="C3" s="12" t="s">
        <v>392</v>
      </c>
      <c r="D3" s="12" t="s">
        <v>393</v>
      </c>
      <c r="E3" s="12" t="s">
        <v>394</v>
      </c>
      <c r="F3" s="12" t="s">
        <v>395</v>
      </c>
      <c r="G3" s="12" t="s">
        <v>51</v>
      </c>
      <c r="H3" s="12" t="s">
        <v>396</v>
      </c>
    </row>
    <row r="4" customFormat="false" ht="18" hidden="false" customHeight="true" outlineLevel="0" collapsed="false">
      <c r="A4" s="13" t="n">
        <v>1</v>
      </c>
      <c r="B4" s="16" t="s">
        <v>397</v>
      </c>
      <c r="C4" s="110"/>
      <c r="D4" s="18" t="s">
        <v>398</v>
      </c>
      <c r="E4" s="16" t="s">
        <v>399</v>
      </c>
      <c r="F4" s="110"/>
      <c r="G4" s="18" t="s">
        <v>400</v>
      </c>
      <c r="H4" s="111"/>
    </row>
    <row r="5" customFormat="false" ht="18" hidden="false" customHeight="true" outlineLevel="0" collapsed="false">
      <c r="A5" s="17" t="n">
        <v>2</v>
      </c>
      <c r="B5" s="19" t="s">
        <v>401</v>
      </c>
      <c r="C5" s="110"/>
      <c r="D5" s="65" t="s">
        <v>402</v>
      </c>
      <c r="E5" s="19" t="s">
        <v>403</v>
      </c>
      <c r="F5" s="110"/>
      <c r="G5" s="65" t="s">
        <v>404</v>
      </c>
      <c r="H5" s="112"/>
    </row>
    <row r="6" customFormat="false" ht="18" hidden="false" customHeight="true" outlineLevel="0" collapsed="false">
      <c r="A6" s="13" t="n">
        <v>3</v>
      </c>
      <c r="B6" s="16" t="s">
        <v>405</v>
      </c>
      <c r="C6" s="110"/>
      <c r="D6" s="18" t="s">
        <v>406</v>
      </c>
      <c r="E6" s="16" t="s">
        <v>407</v>
      </c>
      <c r="F6" s="110"/>
      <c r="G6" s="18" t="s">
        <v>408</v>
      </c>
      <c r="H6" s="111"/>
    </row>
    <row r="7" customFormat="false" ht="18" hidden="false" customHeight="true" outlineLevel="0" collapsed="false">
      <c r="A7" s="17" t="n">
        <v>4</v>
      </c>
      <c r="B7" s="19" t="s">
        <v>409</v>
      </c>
      <c r="C7" s="110"/>
      <c r="D7" s="65" t="s">
        <v>410</v>
      </c>
      <c r="E7" s="19" t="s">
        <v>411</v>
      </c>
      <c r="F7" s="110"/>
      <c r="G7" s="65" t="s">
        <v>412</v>
      </c>
      <c r="H7" s="112"/>
    </row>
    <row r="8" customFormat="false" ht="18" hidden="false" customHeight="true" outlineLevel="0" collapsed="false">
      <c r="A8" s="13" t="n">
        <v>5</v>
      </c>
      <c r="B8" s="18" t="s">
        <v>413</v>
      </c>
      <c r="C8" s="110"/>
      <c r="D8" s="18" t="s">
        <v>414</v>
      </c>
      <c r="E8" s="16" t="s">
        <v>415</v>
      </c>
      <c r="F8" s="110"/>
      <c r="G8" s="18" t="s">
        <v>416</v>
      </c>
      <c r="H8" s="111"/>
    </row>
    <row r="9" customFormat="false" ht="18" hidden="false" customHeight="true" outlineLevel="0" collapsed="false">
      <c r="A9" s="17" t="n">
        <v>6</v>
      </c>
      <c r="B9" s="65" t="s">
        <v>417</v>
      </c>
      <c r="C9" s="110"/>
      <c r="D9" s="65" t="s">
        <v>418</v>
      </c>
      <c r="E9" s="19" t="s">
        <v>419</v>
      </c>
      <c r="F9" s="110"/>
      <c r="G9" s="65" t="s">
        <v>420</v>
      </c>
      <c r="H9" s="112"/>
    </row>
    <row r="10" customFormat="false" ht="18" hidden="false" customHeight="true" outlineLevel="0" collapsed="false">
      <c r="A10" s="13" t="n">
        <v>7</v>
      </c>
      <c r="B10" s="18" t="s">
        <v>421</v>
      </c>
      <c r="C10" s="110"/>
      <c r="D10" s="18" t="s">
        <v>422</v>
      </c>
      <c r="E10" s="16" t="s">
        <v>423</v>
      </c>
      <c r="F10" s="110"/>
      <c r="G10" s="18" t="s">
        <v>424</v>
      </c>
      <c r="H10" s="111"/>
    </row>
    <row r="11" customFormat="false" ht="18" hidden="false" customHeight="true" outlineLevel="0" collapsed="false">
      <c r="A11" s="17" t="n">
        <v>8</v>
      </c>
      <c r="B11" s="65" t="s">
        <v>425</v>
      </c>
      <c r="C11" s="110"/>
      <c r="D11" s="65" t="s">
        <v>426</v>
      </c>
      <c r="E11" s="19" t="s">
        <v>427</v>
      </c>
      <c r="F11" s="110"/>
      <c r="G11" s="65" t="s">
        <v>428</v>
      </c>
      <c r="H11" s="112"/>
    </row>
    <row r="12" customFormat="false" ht="18" hidden="false" customHeight="true" outlineLevel="0" collapsed="false">
      <c r="A12" s="13" t="n">
        <v>9</v>
      </c>
      <c r="B12" s="18" t="s">
        <v>429</v>
      </c>
      <c r="C12" s="110"/>
      <c r="D12" s="18" t="s">
        <v>430</v>
      </c>
      <c r="E12" s="16" t="s">
        <v>431</v>
      </c>
      <c r="F12" s="110"/>
      <c r="G12" s="18" t="s">
        <v>432</v>
      </c>
      <c r="H12" s="111"/>
    </row>
    <row r="13" customFormat="false" ht="18" hidden="false" customHeight="true" outlineLevel="0" collapsed="false">
      <c r="A13" s="17" t="n">
        <v>10</v>
      </c>
      <c r="B13" s="65" t="s">
        <v>433</v>
      </c>
      <c r="C13" s="110"/>
      <c r="D13" s="65" t="s">
        <v>434</v>
      </c>
      <c r="E13" s="19" t="s">
        <v>435</v>
      </c>
      <c r="F13" s="110"/>
      <c r="G13" s="65" t="s">
        <v>436</v>
      </c>
      <c r="H13" s="112"/>
    </row>
    <row r="14" customFormat="false" ht="18" hidden="false" customHeight="true" outlineLevel="0" collapsed="false">
      <c r="A14" s="13" t="n">
        <v>11</v>
      </c>
      <c r="B14" s="18" t="s">
        <v>437</v>
      </c>
      <c r="C14" s="110"/>
      <c r="D14" s="18" t="s">
        <v>438</v>
      </c>
      <c r="E14" s="16" t="s">
        <v>439</v>
      </c>
      <c r="F14" s="110"/>
      <c r="G14" s="18" t="s">
        <v>440</v>
      </c>
      <c r="H14" s="111"/>
    </row>
    <row r="15" customFormat="false" ht="18" hidden="false" customHeight="true" outlineLevel="0" collapsed="false">
      <c r="A15" s="17" t="n">
        <v>12</v>
      </c>
      <c r="B15" s="65" t="s">
        <v>441</v>
      </c>
      <c r="C15" s="110"/>
      <c r="D15" s="65" t="s">
        <v>442</v>
      </c>
      <c r="E15" s="19" t="s">
        <v>443</v>
      </c>
      <c r="F15" s="110"/>
      <c r="G15" s="65" t="s">
        <v>444</v>
      </c>
      <c r="H15" s="112"/>
    </row>
    <row r="16" customFormat="false" ht="18" hidden="false" customHeight="true" outlineLevel="0" collapsed="false">
      <c r="A16" s="13" t="n">
        <v>13</v>
      </c>
      <c r="B16" s="18" t="s">
        <v>445</v>
      </c>
      <c r="C16" s="110"/>
      <c r="D16" s="18" t="s">
        <v>446</v>
      </c>
      <c r="E16" s="16" t="s">
        <v>447</v>
      </c>
      <c r="F16" s="110"/>
      <c r="G16" s="18" t="s">
        <v>448</v>
      </c>
      <c r="H16" s="111"/>
    </row>
    <row r="17" customFormat="false" ht="18" hidden="false" customHeight="true" outlineLevel="0" collapsed="false">
      <c r="A17" s="17" t="n">
        <v>14</v>
      </c>
      <c r="B17" s="65" t="s">
        <v>449</v>
      </c>
      <c r="C17" s="110"/>
      <c r="D17" s="65" t="s">
        <v>450</v>
      </c>
      <c r="E17" s="19" t="s">
        <v>451</v>
      </c>
      <c r="F17" s="110"/>
      <c r="G17" s="65" t="s">
        <v>452</v>
      </c>
      <c r="H17" s="112"/>
    </row>
    <row r="18" customFormat="false" ht="18" hidden="false" customHeight="true" outlineLevel="0" collapsed="false">
      <c r="A18" s="13" t="n">
        <v>15</v>
      </c>
      <c r="B18" s="18" t="s">
        <v>453</v>
      </c>
      <c r="C18" s="110"/>
      <c r="D18" s="18" t="s">
        <v>454</v>
      </c>
      <c r="E18" s="16" t="s">
        <v>455</v>
      </c>
      <c r="F18" s="110"/>
      <c r="G18" s="18" t="s">
        <v>456</v>
      </c>
      <c r="H18" s="111"/>
    </row>
    <row r="19" customFormat="false" ht="18" hidden="false" customHeight="true" outlineLevel="0" collapsed="false">
      <c r="A19" s="17" t="n">
        <v>16</v>
      </c>
      <c r="B19" s="65" t="s">
        <v>457</v>
      </c>
      <c r="C19" s="110"/>
      <c r="D19" s="65" t="s">
        <v>458</v>
      </c>
      <c r="E19" s="19" t="s">
        <v>459</v>
      </c>
      <c r="F19" s="110"/>
      <c r="G19" s="65" t="s">
        <v>460</v>
      </c>
      <c r="H19" s="112"/>
    </row>
    <row r="20" customFormat="false" ht="18" hidden="false" customHeight="true" outlineLevel="0" collapsed="false">
      <c r="A20" s="13" t="n">
        <v>17</v>
      </c>
      <c r="B20" s="18" t="s">
        <v>461</v>
      </c>
      <c r="C20" s="110"/>
      <c r="D20" s="18" t="s">
        <v>462</v>
      </c>
      <c r="E20" s="16" t="s">
        <v>463</v>
      </c>
      <c r="F20" s="110"/>
      <c r="G20" s="18" t="s">
        <v>464</v>
      </c>
      <c r="H20" s="111"/>
    </row>
    <row r="21" customFormat="false" ht="18" hidden="false" customHeight="true" outlineLevel="0" collapsed="false">
      <c r="A21" s="17" t="n">
        <v>18</v>
      </c>
      <c r="B21" s="65" t="s">
        <v>465</v>
      </c>
      <c r="C21" s="110"/>
      <c r="D21" s="65" t="s">
        <v>466</v>
      </c>
      <c r="E21" s="19" t="s">
        <v>467</v>
      </c>
      <c r="F21" s="110"/>
      <c r="G21" s="65" t="s">
        <v>468</v>
      </c>
      <c r="H21" s="112"/>
    </row>
    <row r="22" customFormat="false" ht="18" hidden="false" customHeight="true" outlineLevel="0" collapsed="false">
      <c r="A22" s="13" t="n">
        <v>19</v>
      </c>
      <c r="B22" s="18" t="s">
        <v>469</v>
      </c>
      <c r="C22" s="110"/>
      <c r="D22" s="18" t="s">
        <v>470</v>
      </c>
      <c r="E22" s="16" t="s">
        <v>471</v>
      </c>
      <c r="F22" s="110"/>
      <c r="G22" s="18" t="s">
        <v>472</v>
      </c>
      <c r="H22" s="111"/>
    </row>
    <row r="23" customFormat="false" ht="18" hidden="false" customHeight="true" outlineLevel="0" collapsed="false">
      <c r="A23" s="17" t="n">
        <v>20</v>
      </c>
      <c r="B23" s="65" t="s">
        <v>473</v>
      </c>
      <c r="C23" s="110"/>
      <c r="D23" s="65" t="s">
        <v>474</v>
      </c>
      <c r="E23" s="19" t="s">
        <v>475</v>
      </c>
      <c r="F23" s="110"/>
      <c r="G23" s="65" t="s">
        <v>476</v>
      </c>
      <c r="H23" s="112"/>
    </row>
    <row r="24" customFormat="false" ht="18" hidden="false" customHeight="true" outlineLevel="0" collapsed="false">
      <c r="A24" s="13" t="n">
        <v>21</v>
      </c>
      <c r="B24" s="18" t="s">
        <v>477</v>
      </c>
      <c r="C24" s="110"/>
      <c r="D24" s="18" t="s">
        <v>478</v>
      </c>
      <c r="E24" s="16" t="s">
        <v>479</v>
      </c>
      <c r="F24" s="110"/>
      <c r="G24" s="18" t="s">
        <v>480</v>
      </c>
      <c r="H24" s="111"/>
    </row>
    <row r="25" customFormat="false" ht="18" hidden="false" customHeight="true" outlineLevel="0" collapsed="false">
      <c r="A25" s="17" t="n">
        <v>22</v>
      </c>
      <c r="B25" s="65" t="s">
        <v>481</v>
      </c>
      <c r="C25" s="110"/>
      <c r="D25" s="65" t="s">
        <v>482</v>
      </c>
      <c r="E25" s="19" t="s">
        <v>483</v>
      </c>
      <c r="F25" s="110"/>
      <c r="G25" s="65" t="s">
        <v>484</v>
      </c>
      <c r="H25" s="112"/>
    </row>
    <row r="26" customFormat="false" ht="18" hidden="false" customHeight="true" outlineLevel="0" collapsed="false">
      <c r="A26" s="13" t="n">
        <v>23</v>
      </c>
      <c r="B26" s="18" t="s">
        <v>485</v>
      </c>
      <c r="C26" s="110"/>
      <c r="D26" s="18" t="s">
        <v>486</v>
      </c>
      <c r="E26" s="16" t="s">
        <v>487</v>
      </c>
      <c r="F26" s="110"/>
      <c r="G26" s="18" t="s">
        <v>488</v>
      </c>
      <c r="H26" s="111"/>
    </row>
    <row r="27" customFormat="false" ht="18" hidden="false" customHeight="true" outlineLevel="0" collapsed="false">
      <c r="A27" s="17" t="n">
        <v>24</v>
      </c>
      <c r="B27" s="65" t="s">
        <v>489</v>
      </c>
      <c r="C27" s="110"/>
      <c r="D27" s="65" t="s">
        <v>490</v>
      </c>
      <c r="E27" s="19"/>
      <c r="F27" s="110"/>
      <c r="G27" s="65" t="s">
        <v>491</v>
      </c>
      <c r="H27" s="112"/>
    </row>
    <row r="28" customFormat="false" ht="18" hidden="false" customHeight="true" outlineLevel="0" collapsed="false">
      <c r="A28" s="13" t="n">
        <v>25</v>
      </c>
      <c r="B28" s="18" t="s">
        <v>492</v>
      </c>
      <c r="C28" s="110"/>
      <c r="D28" s="18" t="s">
        <v>493</v>
      </c>
      <c r="E28" s="16" t="s">
        <v>494</v>
      </c>
      <c r="F28" s="110"/>
      <c r="G28" s="18" t="s">
        <v>495</v>
      </c>
      <c r="H28" s="111"/>
    </row>
    <row r="29" customFormat="false" ht="18" hidden="false" customHeight="true" outlineLevel="0" collapsed="false">
      <c r="A29" s="17" t="n">
        <v>26</v>
      </c>
      <c r="B29" s="65" t="s">
        <v>496</v>
      </c>
      <c r="C29" s="110"/>
      <c r="D29" s="65" t="s">
        <v>497</v>
      </c>
      <c r="E29" s="19" t="s">
        <v>498</v>
      </c>
      <c r="F29" s="110"/>
      <c r="G29" s="65" t="s">
        <v>499</v>
      </c>
      <c r="H29" s="112"/>
    </row>
    <row r="30" customFormat="false" ht="18" hidden="false" customHeight="true" outlineLevel="0" collapsed="false">
      <c r="A30" s="13" t="n">
        <v>27</v>
      </c>
      <c r="B30" s="18" t="s">
        <v>500</v>
      </c>
      <c r="C30" s="110"/>
      <c r="D30" s="18" t="s">
        <v>501</v>
      </c>
      <c r="E30" s="16" t="s">
        <v>502</v>
      </c>
      <c r="F30" s="110"/>
      <c r="G30" s="18" t="s">
        <v>503</v>
      </c>
      <c r="H30" s="111"/>
    </row>
    <row r="31" customFormat="false" ht="18" hidden="false" customHeight="true" outlineLevel="0" collapsed="false">
      <c r="A31" s="17" t="n">
        <v>28</v>
      </c>
      <c r="B31" s="65" t="s">
        <v>504</v>
      </c>
      <c r="C31" s="110"/>
      <c r="D31" s="65" t="s">
        <v>505</v>
      </c>
      <c r="E31" s="19" t="s">
        <v>506</v>
      </c>
      <c r="F31" s="110"/>
      <c r="G31" s="65" t="s">
        <v>507</v>
      </c>
      <c r="H31" s="112"/>
    </row>
    <row r="32" customFormat="false" ht="18" hidden="false" customHeight="true" outlineLevel="0" collapsed="false">
      <c r="A32" s="13" t="n">
        <v>29</v>
      </c>
      <c r="B32" s="18" t="s">
        <v>508</v>
      </c>
      <c r="C32" s="110"/>
      <c r="D32" s="18" t="s">
        <v>509</v>
      </c>
      <c r="E32" s="16" t="s">
        <v>510</v>
      </c>
      <c r="F32" s="110"/>
      <c r="G32" s="18" t="s">
        <v>511</v>
      </c>
      <c r="H32" s="111"/>
    </row>
    <row r="33" customFormat="false" ht="18" hidden="false" customHeight="true" outlineLevel="0" collapsed="false">
      <c r="A33" s="17" t="n">
        <v>30</v>
      </c>
      <c r="B33" s="65" t="s">
        <v>512</v>
      </c>
      <c r="C33" s="110"/>
      <c r="D33" s="65" t="s">
        <v>513</v>
      </c>
      <c r="E33" s="19" t="s">
        <v>514</v>
      </c>
      <c r="F33" s="110"/>
      <c r="G33" s="65" t="s">
        <v>515</v>
      </c>
      <c r="H33" s="112"/>
    </row>
    <row r="34" customFormat="false" ht="18" hidden="false" customHeight="true" outlineLevel="0" collapsed="false">
      <c r="A34" s="13" t="n">
        <v>31</v>
      </c>
      <c r="B34" s="18" t="s">
        <v>516</v>
      </c>
      <c r="C34" s="110"/>
      <c r="D34" s="18" t="s">
        <v>430</v>
      </c>
      <c r="E34" s="16" t="s">
        <v>517</v>
      </c>
      <c r="F34" s="110"/>
      <c r="G34" s="18" t="s">
        <v>518</v>
      </c>
      <c r="H34" s="111"/>
    </row>
    <row r="35" customFormat="false" ht="18" hidden="false" customHeight="true" outlineLevel="0" collapsed="false">
      <c r="A35" s="17" t="n">
        <v>32</v>
      </c>
      <c r="B35" s="65" t="s">
        <v>519</v>
      </c>
      <c r="C35" s="110"/>
      <c r="D35" s="65" t="s">
        <v>520</v>
      </c>
      <c r="E35" s="19" t="s">
        <v>521</v>
      </c>
      <c r="F35" s="110"/>
      <c r="G35" s="65" t="s">
        <v>522</v>
      </c>
      <c r="H35" s="112"/>
    </row>
    <row r="36" customFormat="false" ht="18" hidden="false" customHeight="true" outlineLevel="0" collapsed="false">
      <c r="A36" s="13" t="n">
        <v>33</v>
      </c>
      <c r="B36" s="18" t="s">
        <v>523</v>
      </c>
      <c r="C36" s="110"/>
      <c r="D36" s="18" t="s">
        <v>524</v>
      </c>
      <c r="E36" s="16" t="s">
        <v>525</v>
      </c>
      <c r="F36" s="110"/>
      <c r="G36" s="18" t="s">
        <v>526</v>
      </c>
      <c r="H36" s="111"/>
    </row>
    <row r="37" customFormat="false" ht="18" hidden="false" customHeight="true" outlineLevel="0" collapsed="false">
      <c r="A37" s="17" t="n">
        <v>34</v>
      </c>
      <c r="B37" s="65" t="s">
        <v>527</v>
      </c>
      <c r="C37" s="110"/>
      <c r="D37" s="65" t="s">
        <v>528</v>
      </c>
      <c r="E37" s="19" t="s">
        <v>529</v>
      </c>
      <c r="F37" s="110"/>
      <c r="G37" s="65" t="s">
        <v>530</v>
      </c>
      <c r="H37" s="112"/>
    </row>
    <row r="38" customFormat="false" ht="18" hidden="false" customHeight="true" outlineLevel="0" collapsed="false">
      <c r="A38" s="13" t="n">
        <v>35</v>
      </c>
      <c r="B38" s="18" t="s">
        <v>531</v>
      </c>
      <c r="C38" s="110"/>
      <c r="D38" s="18" t="s">
        <v>532</v>
      </c>
      <c r="E38" s="16" t="s">
        <v>533</v>
      </c>
      <c r="F38" s="110"/>
      <c r="G38" s="18" t="s">
        <v>534</v>
      </c>
      <c r="H38" s="111"/>
    </row>
    <row r="39" customFormat="false" ht="18" hidden="false" customHeight="true" outlineLevel="0" collapsed="false">
      <c r="A39" s="17" t="n">
        <v>36</v>
      </c>
      <c r="B39" s="65" t="s">
        <v>535</v>
      </c>
      <c r="C39" s="110"/>
      <c r="D39" s="65" t="s">
        <v>536</v>
      </c>
      <c r="E39" s="19" t="s">
        <v>537</v>
      </c>
      <c r="F39" s="110"/>
      <c r="G39" s="65" t="s">
        <v>538</v>
      </c>
      <c r="H39" s="112"/>
    </row>
    <row r="40" customFormat="false" ht="18" hidden="false" customHeight="true" outlineLevel="0" collapsed="false">
      <c r="A40" s="13" t="n">
        <v>37</v>
      </c>
      <c r="B40" s="18" t="s">
        <v>539</v>
      </c>
      <c r="C40" s="110"/>
      <c r="D40" s="18" t="s">
        <v>540</v>
      </c>
      <c r="E40" s="16" t="s">
        <v>541</v>
      </c>
      <c r="F40" s="110"/>
      <c r="G40" s="18" t="s">
        <v>542</v>
      </c>
      <c r="H40" s="111"/>
    </row>
    <row r="41" customFormat="false" ht="18" hidden="false" customHeight="true" outlineLevel="0" collapsed="false">
      <c r="A41" s="17" t="n">
        <v>38</v>
      </c>
      <c r="B41" s="65" t="s">
        <v>543</v>
      </c>
      <c r="C41" s="110"/>
      <c r="D41" s="65" t="s">
        <v>544</v>
      </c>
      <c r="E41" s="19" t="s">
        <v>545</v>
      </c>
      <c r="F41" s="110"/>
      <c r="G41" s="65" t="s">
        <v>546</v>
      </c>
      <c r="H41" s="112"/>
    </row>
    <row r="42" customFormat="false" ht="18" hidden="false" customHeight="true" outlineLevel="0" collapsed="false">
      <c r="A42" s="13" t="n">
        <v>39</v>
      </c>
      <c r="B42" s="18" t="s">
        <v>547</v>
      </c>
      <c r="C42" s="110"/>
      <c r="D42" s="18" t="s">
        <v>548</v>
      </c>
      <c r="E42" s="16" t="s">
        <v>549</v>
      </c>
      <c r="F42" s="110"/>
      <c r="G42" s="18" t="s">
        <v>550</v>
      </c>
      <c r="H42" s="111"/>
    </row>
    <row r="43" customFormat="false" ht="18" hidden="false" customHeight="true" outlineLevel="0" collapsed="false">
      <c r="A43" s="17" t="n">
        <v>40</v>
      </c>
      <c r="B43" s="65" t="s">
        <v>551</v>
      </c>
      <c r="C43" s="110"/>
      <c r="D43" s="65" t="s">
        <v>552</v>
      </c>
      <c r="E43" s="19" t="s">
        <v>553</v>
      </c>
      <c r="F43" s="110"/>
      <c r="G43" s="65" t="s">
        <v>554</v>
      </c>
      <c r="H43" s="112"/>
    </row>
    <row r="44" customFormat="false" ht="18" hidden="false" customHeight="true" outlineLevel="0" collapsed="false">
      <c r="A44" s="13" t="n">
        <v>41</v>
      </c>
      <c r="B44" s="18" t="s">
        <v>555</v>
      </c>
      <c r="C44" s="110"/>
      <c r="D44" s="18" t="s">
        <v>556</v>
      </c>
      <c r="E44" s="16" t="s">
        <v>557</v>
      </c>
      <c r="F44" s="110"/>
      <c r="G44" s="18" t="s">
        <v>558</v>
      </c>
      <c r="H44" s="111"/>
    </row>
    <row r="45" customFormat="false" ht="18" hidden="false" customHeight="true" outlineLevel="0" collapsed="false">
      <c r="A45" s="17" t="n">
        <v>42</v>
      </c>
      <c r="B45" s="65" t="s">
        <v>559</v>
      </c>
      <c r="C45" s="110"/>
      <c r="D45" s="65" t="s">
        <v>560</v>
      </c>
      <c r="E45" s="19" t="s">
        <v>561</v>
      </c>
      <c r="F45" s="110"/>
      <c r="G45" s="65" t="s">
        <v>562</v>
      </c>
      <c r="H45" s="112"/>
    </row>
    <row r="46" customFormat="false" ht="18" hidden="false" customHeight="true" outlineLevel="0" collapsed="false">
      <c r="A46" s="13" t="n">
        <v>43</v>
      </c>
      <c r="B46" s="18" t="s">
        <v>563</v>
      </c>
      <c r="C46" s="110"/>
      <c r="D46" s="18" t="s">
        <v>414</v>
      </c>
      <c r="E46" s="16" t="s">
        <v>415</v>
      </c>
      <c r="F46" s="110"/>
      <c r="G46" s="18" t="s">
        <v>564</v>
      </c>
      <c r="H46" s="111"/>
    </row>
    <row r="47" customFormat="false" ht="18" hidden="false" customHeight="true" outlineLevel="0" collapsed="false">
      <c r="A47" s="17" t="n">
        <v>44</v>
      </c>
      <c r="B47" s="65" t="s">
        <v>565</v>
      </c>
      <c r="C47" s="110"/>
      <c r="D47" s="65" t="s">
        <v>566</v>
      </c>
      <c r="E47" s="19" t="s">
        <v>567</v>
      </c>
      <c r="F47" s="110"/>
      <c r="G47" s="65" t="s">
        <v>568</v>
      </c>
      <c r="H47" s="112"/>
    </row>
    <row r="48" customFormat="false" ht="18" hidden="false" customHeight="true" outlineLevel="0" collapsed="false">
      <c r="A48" s="13" t="n">
        <v>45</v>
      </c>
      <c r="B48" s="18" t="s">
        <v>569</v>
      </c>
      <c r="C48" s="110"/>
      <c r="D48" s="18" t="s">
        <v>570</v>
      </c>
      <c r="E48" s="16" t="s">
        <v>571</v>
      </c>
      <c r="F48" s="110"/>
      <c r="G48" s="18" t="s">
        <v>572</v>
      </c>
      <c r="H48" s="111"/>
    </row>
    <row r="49" customFormat="false" ht="18" hidden="false" customHeight="true" outlineLevel="0" collapsed="false">
      <c r="A49" s="17" t="n">
        <v>46</v>
      </c>
      <c r="B49" s="65" t="s">
        <v>573</v>
      </c>
      <c r="C49" s="110"/>
      <c r="D49" s="65" t="s">
        <v>574</v>
      </c>
      <c r="E49" s="19" t="s">
        <v>575</v>
      </c>
      <c r="F49" s="110"/>
      <c r="G49" s="65" t="s">
        <v>576</v>
      </c>
      <c r="H49" s="112"/>
    </row>
    <row r="50" customFormat="false" ht="18" hidden="false" customHeight="true" outlineLevel="0" collapsed="false">
      <c r="A50" s="13" t="n">
        <v>47</v>
      </c>
      <c r="B50" s="18" t="s">
        <v>577</v>
      </c>
      <c r="C50" s="110"/>
      <c r="D50" s="18" t="s">
        <v>578</v>
      </c>
      <c r="E50" s="16" t="s">
        <v>579</v>
      </c>
      <c r="F50" s="110"/>
      <c r="G50" s="18" t="s">
        <v>580</v>
      </c>
      <c r="H50" s="111"/>
    </row>
    <row r="51" customFormat="false" ht="18" hidden="false" customHeight="true" outlineLevel="0" collapsed="false">
      <c r="A51" s="17" t="n">
        <v>48</v>
      </c>
      <c r="B51" s="65" t="s">
        <v>581</v>
      </c>
      <c r="C51" s="110"/>
      <c r="D51" s="65" t="s">
        <v>582</v>
      </c>
      <c r="E51" s="19" t="s">
        <v>541</v>
      </c>
      <c r="F51" s="110"/>
      <c r="G51" s="65" t="s">
        <v>583</v>
      </c>
      <c r="H51" s="112"/>
    </row>
    <row r="52" customFormat="false" ht="18" hidden="false" customHeight="true" outlineLevel="0" collapsed="false">
      <c r="A52" s="13" t="n">
        <v>49</v>
      </c>
      <c r="B52" s="18" t="s">
        <v>584</v>
      </c>
      <c r="C52" s="110"/>
      <c r="D52" s="18" t="s">
        <v>585</v>
      </c>
      <c r="E52" s="16" t="s">
        <v>586</v>
      </c>
      <c r="F52" s="110"/>
      <c r="G52" s="18" t="s">
        <v>587</v>
      </c>
      <c r="H52" s="111"/>
    </row>
    <row r="53" customFormat="false" ht="18" hidden="false" customHeight="true" outlineLevel="0" collapsed="false">
      <c r="A53" s="17" t="n">
        <v>50</v>
      </c>
      <c r="B53" s="65" t="s">
        <v>588</v>
      </c>
      <c r="C53" s="110"/>
      <c r="D53" s="65" t="s">
        <v>589</v>
      </c>
      <c r="E53" s="19" t="s">
        <v>590</v>
      </c>
      <c r="F53" s="110"/>
      <c r="G53" s="65" t="s">
        <v>591</v>
      </c>
      <c r="H53" s="112"/>
    </row>
    <row r="54" customFormat="false" ht="16.5" hidden="false" customHeight="true" outlineLevel="0" collapsed="false">
      <c r="A54" s="20" t="n">
        <v>51</v>
      </c>
      <c r="B54" s="21" t="s">
        <v>592</v>
      </c>
      <c r="C54" s="20"/>
      <c r="D54" s="21" t="s">
        <v>593</v>
      </c>
      <c r="E54" s="113" t="s">
        <v>594</v>
      </c>
      <c r="F54" s="20"/>
      <c r="G54" s="21" t="s">
        <v>595</v>
      </c>
      <c r="H54" s="113"/>
    </row>
    <row r="55" customFormat="false" ht="13.5" hidden="false" customHeight="true" outlineLevel="0" collapsed="false">
      <c r="A55" s="13" t="n">
        <v>52</v>
      </c>
      <c r="B55" s="21" t="s">
        <v>596</v>
      </c>
      <c r="C55" s="20"/>
      <c r="D55" s="21" t="s">
        <v>597</v>
      </c>
      <c r="E55" s="113" t="s">
        <v>598</v>
      </c>
      <c r="F55" s="20"/>
      <c r="G55" s="21" t="s">
        <v>599</v>
      </c>
      <c r="H55" s="113"/>
    </row>
    <row r="56" customFormat="false" ht="16.5" hidden="false" customHeight="true" outlineLevel="0" collapsed="false">
      <c r="A56" s="20" t="n">
        <v>53</v>
      </c>
      <c r="B56" s="21" t="s">
        <v>596</v>
      </c>
      <c r="C56" s="20"/>
      <c r="D56" s="21" t="s">
        <v>597</v>
      </c>
      <c r="E56" s="113"/>
      <c r="F56" s="20"/>
      <c r="G56" s="21" t="s">
        <v>599</v>
      </c>
      <c r="H56" s="113"/>
    </row>
    <row r="57" customFormat="false" ht="16.5" hidden="false" customHeight="true" outlineLevel="0" collapsed="false">
      <c r="A57" s="20" t="n">
        <v>54</v>
      </c>
      <c r="B57" s="21" t="s">
        <v>600</v>
      </c>
      <c r="C57" s="20"/>
      <c r="D57" s="21" t="s">
        <v>601</v>
      </c>
      <c r="E57" s="113" t="s">
        <v>602</v>
      </c>
      <c r="F57" s="20"/>
      <c r="G57" s="21" t="s">
        <v>603</v>
      </c>
      <c r="H57" s="113"/>
    </row>
    <row r="58" customFormat="false" ht="32.25" hidden="false" customHeight="true" outlineLevel="0" collapsed="false">
      <c r="A58" s="20" t="n">
        <v>55</v>
      </c>
      <c r="B58" s="21" t="s">
        <v>604</v>
      </c>
      <c r="C58" s="20"/>
      <c r="D58" s="21" t="s">
        <v>605</v>
      </c>
      <c r="E58" s="113" t="s">
        <v>606</v>
      </c>
      <c r="F58" s="20"/>
      <c r="G58" s="21" t="s">
        <v>607</v>
      </c>
      <c r="H58" s="113"/>
    </row>
    <row r="59" customFormat="false" ht="32.25" hidden="false" customHeight="true" outlineLevel="0" collapsed="false">
      <c r="A59" s="20" t="n">
        <v>56</v>
      </c>
      <c r="B59" s="21" t="s">
        <v>608</v>
      </c>
      <c r="C59" s="20"/>
      <c r="D59" s="21" t="s">
        <v>609</v>
      </c>
      <c r="E59" s="113" t="s">
        <v>610</v>
      </c>
      <c r="F59" s="20"/>
      <c r="G59" s="21" t="s">
        <v>611</v>
      </c>
      <c r="H59" s="113"/>
    </row>
    <row r="60" customFormat="false" ht="32.25" hidden="false" customHeight="true" outlineLevel="0" collapsed="false">
      <c r="A60" s="20" t="n">
        <v>57</v>
      </c>
      <c r="B60" s="21" t="s">
        <v>612</v>
      </c>
      <c r="C60" s="20"/>
      <c r="D60" s="21" t="s">
        <v>613</v>
      </c>
      <c r="E60" s="113" t="s">
        <v>614</v>
      </c>
      <c r="F60" s="20"/>
      <c r="G60" s="21" t="s">
        <v>615</v>
      </c>
      <c r="H60" s="113"/>
    </row>
    <row r="61" customFormat="false" ht="16.5" hidden="false" customHeight="true" outlineLevel="0" collapsed="false">
      <c r="A61" s="20" t="n">
        <v>58</v>
      </c>
      <c r="B61" s="21" t="s">
        <v>616</v>
      </c>
      <c r="C61" s="20"/>
      <c r="D61" s="21" t="s">
        <v>617</v>
      </c>
      <c r="E61" s="113" t="s">
        <v>618</v>
      </c>
      <c r="F61" s="20"/>
      <c r="G61" s="21" t="s">
        <v>619</v>
      </c>
      <c r="H61" s="113"/>
    </row>
    <row r="62" customFormat="false" ht="32.25" hidden="false" customHeight="true" outlineLevel="0" collapsed="false">
      <c r="A62" s="20" t="n">
        <v>59</v>
      </c>
      <c r="B62" s="21" t="s">
        <v>620</v>
      </c>
      <c r="C62" s="20"/>
      <c r="D62" s="21" t="s">
        <v>621</v>
      </c>
      <c r="E62" s="113" t="s">
        <v>471</v>
      </c>
      <c r="F62" s="20"/>
      <c r="G62" s="21" t="s">
        <v>622</v>
      </c>
      <c r="H62" s="113"/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C4:C53" type="list">
      <formula1>"위탁생산,B2B납품"</formula1>
      <formula2>0</formula2>
    </dataValidation>
    <dataValidation allowBlank="false" errorStyle="stop" operator="between" showDropDown="false" showErrorMessage="false" showInputMessage="false" sqref="F4:F5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6" min="4" style="1" width="12"/>
    <col collapsed="false" customWidth="true" hidden="false" outlineLevel="0" max="8" min="7" style="1" width="14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2"/>
  </cols>
  <sheetData>
    <row r="1" customFormat="false" ht="34.5" hidden="false" customHeight="true" outlineLevel="0" collapsed="false">
      <c r="A1" s="9" t="s">
        <v>623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8" hidden="false" customHeight="true" outlineLevel="0" collapsed="false">
      <c r="A2" s="28" t="s">
        <v>624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30" hidden="false" customHeight="true" outlineLevel="0" collapsed="false">
      <c r="A3" s="12" t="s">
        <v>625</v>
      </c>
      <c r="B3" s="12" t="s">
        <v>140</v>
      </c>
      <c r="C3" s="12" t="s">
        <v>626</v>
      </c>
      <c r="D3" s="12" t="s">
        <v>627</v>
      </c>
      <c r="E3" s="12" t="s">
        <v>628</v>
      </c>
      <c r="F3" s="12" t="s">
        <v>260</v>
      </c>
      <c r="G3" s="12" t="s">
        <v>629</v>
      </c>
      <c r="H3" s="11" t="s">
        <v>229</v>
      </c>
      <c r="I3" s="12" t="s">
        <v>630</v>
      </c>
      <c r="J3" s="12" t="s">
        <v>631</v>
      </c>
      <c r="K3" s="11" t="s">
        <v>233</v>
      </c>
    </row>
    <row r="4" customFormat="false" ht="18" hidden="false" customHeight="true" outlineLevel="0" collapsed="false">
      <c r="A4" s="114" t="s">
        <v>632</v>
      </c>
      <c r="B4" s="18" t="s">
        <v>120</v>
      </c>
      <c r="C4" s="115" t="s">
        <v>633</v>
      </c>
      <c r="D4" s="116" t="s">
        <v>634</v>
      </c>
      <c r="E4" s="117" t="str">
        <f aca="false">IFERROR(SUM(E4:E303),"")</f>
        <v/>
      </c>
      <c r="F4" s="117" t="n">
        <v>4000</v>
      </c>
      <c r="G4" s="118" t="str">
        <f aca="false">IFERROR(SUMIF(D4:D303,"자체구매",G4:G303),"")</f>
        <v/>
      </c>
      <c r="H4" s="119"/>
      <c r="I4" s="120" t="n">
        <v>45985</v>
      </c>
      <c r="J4" s="115" t="s">
        <v>635</v>
      </c>
      <c r="K4" s="20" t="s">
        <v>245</v>
      </c>
    </row>
    <row r="5" customFormat="false" ht="18" hidden="false" customHeight="true" outlineLevel="0" collapsed="false">
      <c r="A5" s="114" t="s">
        <v>636</v>
      </c>
      <c r="B5" s="18" t="s">
        <v>71</v>
      </c>
      <c r="C5" s="115" t="s">
        <v>637</v>
      </c>
      <c r="D5" s="116" t="s">
        <v>634</v>
      </c>
      <c r="E5" s="117" t="n">
        <f aca="false">IFERROR(SUMIF(D4:D303,"위탁공급",E4:E303),"")</f>
        <v>26040</v>
      </c>
      <c r="F5" s="117" t="n">
        <v>7800</v>
      </c>
      <c r="G5" s="118" t="n">
        <f aca="false">IFERROR(E5*F5,"")</f>
        <v>203112000</v>
      </c>
      <c r="H5" s="119"/>
      <c r="I5" s="120" t="n">
        <v>46462</v>
      </c>
      <c r="J5" s="115"/>
      <c r="K5" s="20" t="s">
        <v>245</v>
      </c>
    </row>
    <row r="6" customFormat="false" ht="18" hidden="false" customHeight="true" outlineLevel="0" collapsed="false">
      <c r="A6" s="121" t="n">
        <v>46025</v>
      </c>
      <c r="B6" s="18" t="s">
        <v>120</v>
      </c>
      <c r="C6" s="115" t="s">
        <v>633</v>
      </c>
      <c r="D6" s="122" t="s">
        <v>634</v>
      </c>
      <c r="E6" s="117" t="n">
        <v>200</v>
      </c>
      <c r="F6" s="117" t="n">
        <v>4000</v>
      </c>
      <c r="G6" s="118" t="str">
        <f aca="false">IFERROR(E4*F4,"")</f>
        <v/>
      </c>
      <c r="H6" s="119"/>
      <c r="I6" s="120" t="n">
        <v>45985</v>
      </c>
      <c r="J6" s="115" t="s">
        <v>635</v>
      </c>
      <c r="K6" s="20" t="s">
        <v>245</v>
      </c>
    </row>
    <row r="7" customFormat="false" ht="18" hidden="false" customHeight="true" outlineLevel="0" collapsed="false">
      <c r="A7" s="121" t="n">
        <v>46028</v>
      </c>
      <c r="B7" s="18" t="s">
        <v>71</v>
      </c>
      <c r="C7" s="115" t="s">
        <v>637</v>
      </c>
      <c r="D7" s="122" t="s">
        <v>634</v>
      </c>
      <c r="E7" s="117" t="n">
        <v>10</v>
      </c>
      <c r="F7" s="117" t="n">
        <v>7800</v>
      </c>
      <c r="G7" s="118" t="n">
        <f aca="false">IFERROR(E5*F5,"")</f>
        <v>203112000</v>
      </c>
      <c r="H7" s="119"/>
      <c r="I7" s="120" t="n">
        <v>46462</v>
      </c>
      <c r="J7" s="115"/>
      <c r="K7" s="20" t="s">
        <v>245</v>
      </c>
    </row>
    <row r="8" customFormat="false" ht="18" hidden="false" customHeight="true" outlineLevel="0" collapsed="false">
      <c r="A8" s="121" t="n">
        <v>46031</v>
      </c>
      <c r="B8" s="18" t="s">
        <v>116</v>
      </c>
      <c r="C8" s="115" t="s">
        <v>638</v>
      </c>
      <c r="D8" s="116" t="s">
        <v>639</v>
      </c>
      <c r="E8" s="117" t="n">
        <v>1500</v>
      </c>
      <c r="F8" s="117" t="n">
        <v>2750</v>
      </c>
      <c r="G8" s="118" t="n">
        <f aca="false">IFERROR(E6*F6,"")</f>
        <v>800000</v>
      </c>
      <c r="H8" s="119"/>
      <c r="I8" s="120" t="n">
        <v>46118</v>
      </c>
      <c r="J8" s="115" t="s">
        <v>635</v>
      </c>
      <c r="K8" s="20" t="s">
        <v>245</v>
      </c>
    </row>
    <row r="9" customFormat="false" ht="18" hidden="false" customHeight="true" outlineLevel="0" collapsed="false">
      <c r="A9" s="121" t="n">
        <v>46031</v>
      </c>
      <c r="B9" s="18" t="s">
        <v>116</v>
      </c>
      <c r="C9" s="115" t="s">
        <v>638</v>
      </c>
      <c r="D9" s="116" t="s">
        <v>639</v>
      </c>
      <c r="E9" s="117" t="n">
        <v>500</v>
      </c>
      <c r="F9" s="117" t="n">
        <v>2860</v>
      </c>
      <c r="G9" s="118" t="n">
        <f aca="false">IFERROR(E7*F7,"")</f>
        <v>78000</v>
      </c>
      <c r="H9" s="119"/>
      <c r="I9" s="120" t="n">
        <v>46119</v>
      </c>
      <c r="J9" s="115" t="s">
        <v>635</v>
      </c>
      <c r="K9" s="20" t="s">
        <v>245</v>
      </c>
    </row>
    <row r="10" customFormat="false" ht="18" hidden="false" customHeight="true" outlineLevel="0" collapsed="false">
      <c r="A10" s="121" t="n">
        <v>46032</v>
      </c>
      <c r="B10" s="18" t="s">
        <v>120</v>
      </c>
      <c r="C10" s="115" t="s">
        <v>633</v>
      </c>
      <c r="D10" s="116" t="s">
        <v>634</v>
      </c>
      <c r="E10" s="117" t="n">
        <v>420</v>
      </c>
      <c r="F10" s="117" t="n">
        <v>4000</v>
      </c>
      <c r="G10" s="118" t="n">
        <f aca="false">IFERROR(E8*F8,"")</f>
        <v>4125000</v>
      </c>
      <c r="H10" s="119"/>
      <c r="I10" s="120" t="n">
        <v>45961</v>
      </c>
      <c r="J10" s="115" t="s">
        <v>635</v>
      </c>
      <c r="K10" s="20" t="s">
        <v>245</v>
      </c>
    </row>
    <row r="11" customFormat="false" ht="18" hidden="false" customHeight="true" outlineLevel="0" collapsed="false">
      <c r="A11" s="121" t="n">
        <v>46035</v>
      </c>
      <c r="B11" s="18" t="s">
        <v>120</v>
      </c>
      <c r="C11" s="115" t="s">
        <v>633</v>
      </c>
      <c r="D11" s="122" t="s">
        <v>634</v>
      </c>
      <c r="E11" s="117" t="n">
        <v>200</v>
      </c>
      <c r="F11" s="117" t="n">
        <v>4000</v>
      </c>
      <c r="G11" s="118" t="n">
        <f aca="false">IFERROR(E9*F9,"")</f>
        <v>1430000</v>
      </c>
      <c r="H11" s="119"/>
      <c r="I11" s="120" t="n">
        <v>45961</v>
      </c>
      <c r="J11" s="115" t="s">
        <v>635</v>
      </c>
      <c r="K11" s="20" t="s">
        <v>245</v>
      </c>
    </row>
    <row r="12" customFormat="false" ht="18" hidden="false" customHeight="true" outlineLevel="0" collapsed="false">
      <c r="A12" s="121" t="n">
        <v>46036</v>
      </c>
      <c r="B12" s="18" t="s">
        <v>92</v>
      </c>
      <c r="C12" s="115" t="s">
        <v>637</v>
      </c>
      <c r="D12" s="116" t="s">
        <v>634</v>
      </c>
      <c r="E12" s="117" t="n">
        <v>48</v>
      </c>
      <c r="F12" s="117" t="n">
        <v>1625</v>
      </c>
      <c r="G12" s="118" t="n">
        <f aca="false">IFERROR(E10*F10,"")</f>
        <v>1680000</v>
      </c>
      <c r="H12" s="119"/>
      <c r="I12" s="120" t="n">
        <v>46761</v>
      </c>
      <c r="J12" s="115"/>
      <c r="K12" s="20" t="s">
        <v>245</v>
      </c>
    </row>
    <row r="13" customFormat="false" ht="18" hidden="false" customHeight="true" outlineLevel="0" collapsed="false">
      <c r="A13" s="121" t="n">
        <v>46036</v>
      </c>
      <c r="B13" s="18" t="s">
        <v>120</v>
      </c>
      <c r="C13" s="115" t="s">
        <v>640</v>
      </c>
      <c r="D13" s="116" t="s">
        <v>639</v>
      </c>
      <c r="E13" s="117" t="n">
        <v>2000</v>
      </c>
      <c r="F13" s="117" t="n">
        <v>3287.5</v>
      </c>
      <c r="G13" s="118" t="n">
        <f aca="false">IFERROR(E11*F11,"")</f>
        <v>800000</v>
      </c>
      <c r="H13" s="119"/>
      <c r="I13" s="120" t="n">
        <v>46024</v>
      </c>
      <c r="J13" s="115" t="s">
        <v>635</v>
      </c>
      <c r="K13" s="20" t="s">
        <v>245</v>
      </c>
    </row>
    <row r="14" customFormat="false" ht="18" hidden="false" customHeight="true" outlineLevel="0" collapsed="false">
      <c r="A14" s="121" t="n">
        <v>46037</v>
      </c>
      <c r="B14" s="18" t="s">
        <v>71</v>
      </c>
      <c r="C14" s="115" t="s">
        <v>637</v>
      </c>
      <c r="D14" s="116" t="s">
        <v>634</v>
      </c>
      <c r="E14" s="117" t="n">
        <v>20</v>
      </c>
      <c r="F14" s="117" t="n">
        <v>7800</v>
      </c>
      <c r="G14" s="118" t="n">
        <f aca="false">IFERROR(E12*F12,"")</f>
        <v>78000</v>
      </c>
      <c r="H14" s="119"/>
      <c r="I14" s="120" t="n">
        <v>46462</v>
      </c>
      <c r="J14" s="115"/>
      <c r="K14" s="20" t="s">
        <v>245</v>
      </c>
    </row>
    <row r="15" customFormat="false" ht="18" hidden="false" customHeight="true" outlineLevel="0" collapsed="false">
      <c r="A15" s="121" t="n">
        <v>46037</v>
      </c>
      <c r="B15" s="18" t="s">
        <v>130</v>
      </c>
      <c r="C15" s="115" t="s">
        <v>637</v>
      </c>
      <c r="D15" s="116" t="s">
        <v>634</v>
      </c>
      <c r="E15" s="117" t="n">
        <v>54</v>
      </c>
      <c r="F15" s="117" t="n">
        <v>5361.11</v>
      </c>
      <c r="G15" s="118" t="n">
        <f aca="false">IFERROR(E13*F13,"")</f>
        <v>6575000</v>
      </c>
      <c r="H15" s="119"/>
      <c r="I15" s="120" t="n">
        <v>46386</v>
      </c>
      <c r="J15" s="115"/>
      <c r="K15" s="20" t="s">
        <v>245</v>
      </c>
    </row>
    <row r="16" customFormat="false" ht="18" hidden="false" customHeight="true" outlineLevel="0" collapsed="false">
      <c r="A16" s="121" t="n">
        <v>46038</v>
      </c>
      <c r="B16" s="18" t="s">
        <v>68</v>
      </c>
      <c r="C16" s="115" t="s">
        <v>641</v>
      </c>
      <c r="D16" s="116" t="s">
        <v>634</v>
      </c>
      <c r="E16" s="117" t="n">
        <v>144</v>
      </c>
      <c r="F16" s="117" t="n">
        <v>7150</v>
      </c>
      <c r="G16" s="118" t="n">
        <f aca="false">IFERROR(E14*F14,"")</f>
        <v>156000</v>
      </c>
      <c r="H16" s="119"/>
      <c r="I16" s="120" t="n">
        <v>46176</v>
      </c>
      <c r="J16" s="115"/>
      <c r="K16" s="20" t="s">
        <v>245</v>
      </c>
    </row>
    <row r="17" customFormat="false" ht="18" hidden="false" customHeight="true" outlineLevel="0" collapsed="false">
      <c r="A17" s="121" t="n">
        <v>46038</v>
      </c>
      <c r="B17" s="18" t="s">
        <v>132</v>
      </c>
      <c r="C17" s="115" t="s">
        <v>637</v>
      </c>
      <c r="D17" s="116" t="s">
        <v>634</v>
      </c>
      <c r="E17" s="117" t="n">
        <v>18</v>
      </c>
      <c r="F17" s="117" t="n">
        <v>9200</v>
      </c>
      <c r="G17" s="118" t="n">
        <f aca="false">IFERROR(E15*F15,"")</f>
        <v>289499.94</v>
      </c>
      <c r="H17" s="119"/>
      <c r="I17" s="120" t="n">
        <v>46310</v>
      </c>
      <c r="J17" s="115"/>
      <c r="K17" s="20" t="s">
        <v>245</v>
      </c>
    </row>
    <row r="18" customFormat="false" ht="18" hidden="false" customHeight="true" outlineLevel="0" collapsed="false">
      <c r="A18" s="121" t="n">
        <v>46038</v>
      </c>
      <c r="B18" s="18" t="s">
        <v>68</v>
      </c>
      <c r="C18" s="115" t="s">
        <v>637</v>
      </c>
      <c r="D18" s="116" t="s">
        <v>634</v>
      </c>
      <c r="E18" s="117" t="n">
        <v>10</v>
      </c>
      <c r="F18" s="117" t="n">
        <v>12200</v>
      </c>
      <c r="G18" s="118" t="n">
        <f aca="false">IFERROR(E16*F16,"")</f>
        <v>1029600</v>
      </c>
      <c r="H18" s="119"/>
      <c r="I18" s="120" t="n">
        <v>46217</v>
      </c>
      <c r="J18" s="115"/>
      <c r="K18" s="20" t="s">
        <v>245</v>
      </c>
    </row>
    <row r="19" customFormat="false" ht="18" hidden="false" customHeight="true" outlineLevel="0" collapsed="false">
      <c r="A19" s="121" t="n">
        <v>46038</v>
      </c>
      <c r="B19" s="18" t="s">
        <v>111</v>
      </c>
      <c r="C19" s="115" t="s">
        <v>637</v>
      </c>
      <c r="D19" s="116" t="s">
        <v>634</v>
      </c>
      <c r="E19" s="117" t="n">
        <v>2</v>
      </c>
      <c r="F19" s="117" t="n">
        <v>11500</v>
      </c>
      <c r="G19" s="118" t="n">
        <f aca="false">IFERROR(E17*F17,"")</f>
        <v>165600</v>
      </c>
      <c r="H19" s="119"/>
      <c r="I19" s="120" t="n">
        <v>46673</v>
      </c>
      <c r="J19" s="115"/>
      <c r="K19" s="20" t="s">
        <v>245</v>
      </c>
    </row>
    <row r="20" customFormat="false" ht="18" hidden="false" customHeight="true" outlineLevel="0" collapsed="false">
      <c r="A20" s="121" t="n">
        <v>46038</v>
      </c>
      <c r="B20" s="18" t="s">
        <v>84</v>
      </c>
      <c r="C20" s="115" t="s">
        <v>637</v>
      </c>
      <c r="D20" s="116" t="s">
        <v>634</v>
      </c>
      <c r="E20" s="117" t="n">
        <v>2.5</v>
      </c>
      <c r="F20" s="117" t="n">
        <v>6600</v>
      </c>
      <c r="G20" s="118" t="n">
        <f aca="false">IFERROR(E18*F18,"")</f>
        <v>122000</v>
      </c>
      <c r="H20" s="119"/>
      <c r="I20" s="120" t="n">
        <v>46151</v>
      </c>
      <c r="J20" s="115"/>
      <c r="K20" s="20" t="s">
        <v>245</v>
      </c>
    </row>
    <row r="21" customFormat="false" ht="18" hidden="false" customHeight="true" outlineLevel="0" collapsed="false">
      <c r="A21" s="121" t="n">
        <v>46038</v>
      </c>
      <c r="B21" s="18" t="s">
        <v>97</v>
      </c>
      <c r="C21" s="115" t="s">
        <v>637</v>
      </c>
      <c r="D21" s="116" t="s">
        <v>634</v>
      </c>
      <c r="E21" s="117" t="n">
        <v>36</v>
      </c>
      <c r="F21" s="117" t="n">
        <v>7500</v>
      </c>
      <c r="G21" s="118" t="n">
        <f aca="false">IFERROR(E19*F19,"")</f>
        <v>23000</v>
      </c>
      <c r="H21" s="119"/>
      <c r="I21" s="120" t="n">
        <v>46322</v>
      </c>
      <c r="J21" s="115"/>
      <c r="K21" s="20" t="s">
        <v>245</v>
      </c>
    </row>
    <row r="22" customFormat="false" ht="18" hidden="false" customHeight="true" outlineLevel="0" collapsed="false">
      <c r="A22" s="121" t="n">
        <v>46039</v>
      </c>
      <c r="B22" s="18" t="s">
        <v>62</v>
      </c>
      <c r="C22" s="115" t="s">
        <v>637</v>
      </c>
      <c r="D22" s="116" t="s">
        <v>634</v>
      </c>
      <c r="E22" s="117" t="n">
        <v>4</v>
      </c>
      <c r="F22" s="117" t="n">
        <v>12000</v>
      </c>
      <c r="G22" s="118" t="n">
        <f aca="false">IFERROR(E20*F20,"")</f>
        <v>16500</v>
      </c>
      <c r="H22" s="119"/>
      <c r="I22" s="120" t="n">
        <v>46742</v>
      </c>
      <c r="J22" s="115"/>
      <c r="K22" s="20" t="s">
        <v>245</v>
      </c>
    </row>
    <row r="23" customFormat="false" ht="18" hidden="false" customHeight="true" outlineLevel="0" collapsed="false">
      <c r="A23" s="121" t="n">
        <v>46039</v>
      </c>
      <c r="B23" s="18" t="s">
        <v>122</v>
      </c>
      <c r="C23" s="115" t="s">
        <v>637</v>
      </c>
      <c r="D23" s="116" t="s">
        <v>634</v>
      </c>
      <c r="E23" s="117" t="n">
        <v>20</v>
      </c>
      <c r="F23" s="117" t="n">
        <v>39700</v>
      </c>
      <c r="G23" s="118" t="n">
        <f aca="false">IFERROR(E21*F21,"")</f>
        <v>270000</v>
      </c>
      <c r="H23" s="119"/>
      <c r="I23" s="120" t="n">
        <v>46245</v>
      </c>
      <c r="J23" s="115"/>
      <c r="K23" s="20" t="s">
        <v>245</v>
      </c>
    </row>
    <row r="24" customFormat="false" ht="18" hidden="false" customHeight="true" outlineLevel="0" collapsed="false">
      <c r="A24" s="121" t="n">
        <v>46039</v>
      </c>
      <c r="B24" s="18" t="s">
        <v>92</v>
      </c>
      <c r="C24" s="115" t="s">
        <v>637</v>
      </c>
      <c r="D24" s="116" t="s">
        <v>634</v>
      </c>
      <c r="E24" s="117" t="n">
        <v>48</v>
      </c>
      <c r="F24" s="117" t="n">
        <v>1625</v>
      </c>
      <c r="G24" s="118" t="n">
        <f aca="false">IFERROR(E22*F22,"")</f>
        <v>48000</v>
      </c>
      <c r="H24" s="119"/>
      <c r="I24" s="120" t="n">
        <v>46761</v>
      </c>
      <c r="J24" s="115"/>
      <c r="K24" s="20" t="s">
        <v>245</v>
      </c>
    </row>
    <row r="25" customFormat="false" ht="18" hidden="false" customHeight="true" outlineLevel="0" collapsed="false">
      <c r="A25" s="121" t="n">
        <v>46039</v>
      </c>
      <c r="B25" s="18" t="s">
        <v>74</v>
      </c>
      <c r="C25" s="115" t="s">
        <v>637</v>
      </c>
      <c r="D25" s="116" t="s">
        <v>634</v>
      </c>
      <c r="E25" s="117" t="n">
        <v>1</v>
      </c>
      <c r="F25" s="117" t="n">
        <v>23900</v>
      </c>
      <c r="G25" s="118" t="n">
        <f aca="false">IFERROR(E23*F23,"")</f>
        <v>794000</v>
      </c>
      <c r="H25" s="119"/>
      <c r="I25" s="120" t="n">
        <v>46266</v>
      </c>
      <c r="J25" s="115"/>
      <c r="K25" s="20" t="s">
        <v>245</v>
      </c>
    </row>
    <row r="26" customFormat="false" ht="18" hidden="false" customHeight="true" outlineLevel="0" collapsed="false">
      <c r="A26" s="121" t="n">
        <v>46039</v>
      </c>
      <c r="B26" s="18" t="s">
        <v>97</v>
      </c>
      <c r="C26" s="115" t="s">
        <v>637</v>
      </c>
      <c r="D26" s="116" t="s">
        <v>634</v>
      </c>
      <c r="E26" s="117" t="n">
        <v>84</v>
      </c>
      <c r="F26" s="117" t="n">
        <v>7500</v>
      </c>
      <c r="G26" s="118" t="n">
        <f aca="false">IFERROR(E24*F24,"")</f>
        <v>78000</v>
      </c>
      <c r="H26" s="119"/>
      <c r="I26" s="120" t="n">
        <v>46322</v>
      </c>
      <c r="J26" s="115"/>
      <c r="K26" s="20" t="s">
        <v>245</v>
      </c>
    </row>
    <row r="27" customFormat="false" ht="18" hidden="false" customHeight="true" outlineLevel="0" collapsed="false">
      <c r="A27" s="121" t="n">
        <v>46039</v>
      </c>
      <c r="B27" s="18" t="s">
        <v>132</v>
      </c>
      <c r="C27" s="115" t="s">
        <v>637</v>
      </c>
      <c r="D27" s="116" t="s">
        <v>634</v>
      </c>
      <c r="E27" s="117" t="n">
        <v>10</v>
      </c>
      <c r="F27" s="117" t="n">
        <v>10200</v>
      </c>
      <c r="G27" s="118" t="n">
        <f aca="false">IFERROR(E25*F25,"")</f>
        <v>23900</v>
      </c>
      <c r="H27" s="119"/>
      <c r="I27" s="120" t="n">
        <v>46266</v>
      </c>
      <c r="J27" s="115" t="s">
        <v>642</v>
      </c>
      <c r="K27" s="20" t="s">
        <v>245</v>
      </c>
    </row>
    <row r="28" customFormat="false" ht="18" hidden="false" customHeight="true" outlineLevel="0" collapsed="false">
      <c r="A28" s="121" t="n">
        <v>46039</v>
      </c>
      <c r="B28" s="18" t="s">
        <v>107</v>
      </c>
      <c r="C28" s="115" t="s">
        <v>637</v>
      </c>
      <c r="D28" s="116" t="s">
        <v>634</v>
      </c>
      <c r="E28" s="117" t="n">
        <v>0.5</v>
      </c>
      <c r="F28" s="117" t="n">
        <v>28000</v>
      </c>
      <c r="G28" s="118" t="n">
        <f aca="false">IFERROR(E29*F29,"")</f>
        <v>633600</v>
      </c>
      <c r="H28" s="119"/>
      <c r="I28" s="120" t="n">
        <v>46118</v>
      </c>
      <c r="J28" s="115"/>
      <c r="K28" s="20" t="s">
        <v>245</v>
      </c>
    </row>
    <row r="29" customFormat="false" ht="18" hidden="false" customHeight="true" outlineLevel="0" collapsed="false">
      <c r="A29" s="121" t="n">
        <v>46041</v>
      </c>
      <c r="B29" s="18" t="s">
        <v>115</v>
      </c>
      <c r="C29" s="115" t="s">
        <v>643</v>
      </c>
      <c r="D29" s="116" t="s">
        <v>634</v>
      </c>
      <c r="E29" s="117" t="n">
        <v>400</v>
      </c>
      <c r="F29" s="117" t="n">
        <v>1584</v>
      </c>
      <c r="G29" s="118" t="n">
        <f aca="false">IFERROR(E26*F26,"")</f>
        <v>630000</v>
      </c>
      <c r="H29" s="119"/>
      <c r="I29" s="120" t="n">
        <v>46142</v>
      </c>
      <c r="J29" s="115"/>
      <c r="K29" s="20" t="s">
        <v>245</v>
      </c>
    </row>
    <row r="30" customFormat="false" ht="18" hidden="false" customHeight="true" outlineLevel="0" collapsed="false">
      <c r="A30" s="121" t="n">
        <v>46041</v>
      </c>
      <c r="B30" s="18" t="s">
        <v>99</v>
      </c>
      <c r="C30" s="115" t="s">
        <v>643</v>
      </c>
      <c r="D30" s="116" t="s">
        <v>634</v>
      </c>
      <c r="E30" s="117" t="n">
        <v>300</v>
      </c>
      <c r="F30" s="117" t="n">
        <v>1320</v>
      </c>
      <c r="G30" s="118" t="n">
        <f aca="false">IFERROR(E27*F27,"")</f>
        <v>102000</v>
      </c>
      <c r="H30" s="119"/>
      <c r="I30" s="120" t="n">
        <v>46012</v>
      </c>
      <c r="J30" s="115" t="s">
        <v>642</v>
      </c>
      <c r="K30" s="20" t="s">
        <v>245</v>
      </c>
    </row>
    <row r="31" customFormat="false" ht="18" hidden="false" customHeight="true" outlineLevel="0" collapsed="false">
      <c r="A31" s="121" t="n">
        <v>46041</v>
      </c>
      <c r="B31" s="18" t="s">
        <v>92</v>
      </c>
      <c r="C31" s="115" t="s">
        <v>643</v>
      </c>
      <c r="D31" s="116" t="s">
        <v>634</v>
      </c>
      <c r="E31" s="117" t="n">
        <v>72</v>
      </c>
      <c r="F31" s="117" t="n">
        <v>1695.83</v>
      </c>
      <c r="G31" s="118" t="n">
        <f aca="false">IFERROR(E28*F28,"")</f>
        <v>14000</v>
      </c>
      <c r="H31" s="119"/>
      <c r="I31" s="120" t="n">
        <v>46274</v>
      </c>
      <c r="J31" s="115" t="s">
        <v>642</v>
      </c>
      <c r="K31" s="20" t="s">
        <v>245</v>
      </c>
    </row>
    <row r="32" customFormat="false" ht="18" hidden="false" customHeight="true" outlineLevel="0" collapsed="false">
      <c r="A32" s="121" t="n">
        <v>46042</v>
      </c>
      <c r="B32" s="18" t="s">
        <v>73</v>
      </c>
      <c r="C32" s="115" t="s">
        <v>637</v>
      </c>
      <c r="D32" s="122" t="s">
        <v>634</v>
      </c>
      <c r="E32" s="117" t="n">
        <v>2</v>
      </c>
      <c r="F32" s="117" t="n">
        <v>28000</v>
      </c>
      <c r="G32" s="118" t="n">
        <f aca="false">IFERROR(E30*F30,"")</f>
        <v>396000</v>
      </c>
      <c r="H32" s="119"/>
      <c r="I32" s="120" t="n">
        <v>46724</v>
      </c>
      <c r="J32" s="115" t="s">
        <v>642</v>
      </c>
      <c r="K32" s="20" t="s">
        <v>245</v>
      </c>
    </row>
    <row r="33" customFormat="false" ht="18" hidden="false" customHeight="true" outlineLevel="0" collapsed="false">
      <c r="A33" s="121" t="n">
        <v>46043</v>
      </c>
      <c r="B33" s="18" t="s">
        <v>108</v>
      </c>
      <c r="C33" s="115" t="s">
        <v>637</v>
      </c>
      <c r="D33" s="122" t="s">
        <v>634</v>
      </c>
      <c r="E33" s="117" t="n">
        <v>80</v>
      </c>
      <c r="F33" s="117" t="n">
        <v>1175</v>
      </c>
      <c r="G33" s="118" t="n">
        <f aca="false">IFERROR(E31*F31,"")</f>
        <v>122099.76</v>
      </c>
      <c r="H33" s="119"/>
      <c r="I33" s="120" t="n">
        <v>45982</v>
      </c>
      <c r="J33" s="115" t="s">
        <v>642</v>
      </c>
      <c r="K33" s="20" t="s">
        <v>245</v>
      </c>
    </row>
    <row r="34" customFormat="false" ht="18" hidden="false" customHeight="true" outlineLevel="0" collapsed="false">
      <c r="A34" s="121" t="n">
        <v>46043</v>
      </c>
      <c r="B34" s="18" t="s">
        <v>134</v>
      </c>
      <c r="C34" s="115" t="s">
        <v>644</v>
      </c>
      <c r="D34" s="116" t="s">
        <v>639</v>
      </c>
      <c r="E34" s="117" t="n">
        <v>1000</v>
      </c>
      <c r="F34" s="117" t="n">
        <v>2900</v>
      </c>
      <c r="G34" s="118" t="n">
        <f aca="false">IFERROR(E32*F32,"")</f>
        <v>56000</v>
      </c>
      <c r="H34" s="119"/>
      <c r="I34" s="120" t="n">
        <v>46350</v>
      </c>
      <c r="J34" s="115" t="s">
        <v>642</v>
      </c>
      <c r="K34" s="20" t="s">
        <v>245</v>
      </c>
    </row>
    <row r="35" customFormat="false" ht="18" hidden="false" customHeight="true" outlineLevel="0" collapsed="false">
      <c r="A35" s="121" t="n">
        <v>46043</v>
      </c>
      <c r="B35" s="18" t="s">
        <v>99</v>
      </c>
      <c r="C35" s="115" t="s">
        <v>644</v>
      </c>
      <c r="D35" s="116" t="s">
        <v>639</v>
      </c>
      <c r="E35" s="117" t="n">
        <v>1260</v>
      </c>
      <c r="F35" s="117" t="n">
        <v>1166.67</v>
      </c>
      <c r="G35" s="118" t="n">
        <f aca="false">IFERROR(E33*F33,"")</f>
        <v>94000</v>
      </c>
      <c r="H35" s="119"/>
      <c r="I35" s="120" t="n">
        <v>46024</v>
      </c>
      <c r="J35" s="115" t="s">
        <v>642</v>
      </c>
      <c r="K35" s="20" t="s">
        <v>245</v>
      </c>
    </row>
    <row r="36" customFormat="false" ht="18" hidden="false" customHeight="true" outlineLevel="0" collapsed="false">
      <c r="A36" s="121" t="n">
        <v>46044</v>
      </c>
      <c r="B36" s="18" t="s">
        <v>92</v>
      </c>
      <c r="C36" s="115" t="s">
        <v>637</v>
      </c>
      <c r="D36" s="116" t="s">
        <v>634</v>
      </c>
      <c r="E36" s="117" t="n">
        <v>72</v>
      </c>
      <c r="F36" s="117" t="n">
        <v>1350</v>
      </c>
      <c r="G36" s="118" t="n">
        <f aca="false">IFERROR(E34*F34,"")</f>
        <v>2900000</v>
      </c>
      <c r="H36" s="119"/>
      <c r="I36" s="120" t="n">
        <v>46737</v>
      </c>
      <c r="J36" s="115"/>
      <c r="K36" s="20" t="s">
        <v>245</v>
      </c>
    </row>
    <row r="37" customFormat="false" ht="18" hidden="false" customHeight="true" outlineLevel="0" collapsed="false">
      <c r="A37" s="121" t="n">
        <v>46044</v>
      </c>
      <c r="B37" s="18" t="s">
        <v>84</v>
      </c>
      <c r="C37" s="115" t="s">
        <v>645</v>
      </c>
      <c r="D37" s="122" t="s">
        <v>634</v>
      </c>
      <c r="E37" s="117" t="n">
        <v>60</v>
      </c>
      <c r="F37" s="117" t="n">
        <v>6652</v>
      </c>
      <c r="G37" s="118" t="n">
        <f aca="false">IFERROR(E35*F35,"")</f>
        <v>1470004.2</v>
      </c>
      <c r="H37" s="119"/>
      <c r="I37" s="120" t="n">
        <v>46207</v>
      </c>
      <c r="J37" s="115"/>
      <c r="K37" s="20" t="s">
        <v>245</v>
      </c>
    </row>
    <row r="38" customFormat="false" ht="18" hidden="false" customHeight="true" outlineLevel="0" collapsed="false">
      <c r="A38" s="121" t="n">
        <v>46046</v>
      </c>
      <c r="B38" s="18" t="s">
        <v>115</v>
      </c>
      <c r="C38" s="115" t="s">
        <v>637</v>
      </c>
      <c r="D38" s="116" t="s">
        <v>634</v>
      </c>
      <c r="E38" s="117" t="n">
        <v>60</v>
      </c>
      <c r="F38" s="117" t="n">
        <v>3480</v>
      </c>
      <c r="G38" s="118" t="n">
        <f aca="false">IFERROR(E36*F36,"")</f>
        <v>97200</v>
      </c>
      <c r="H38" s="119"/>
      <c r="I38" s="120" t="n">
        <v>46181</v>
      </c>
      <c r="J38" s="115" t="s">
        <v>642</v>
      </c>
      <c r="K38" s="20" t="s">
        <v>245</v>
      </c>
    </row>
    <row r="39" customFormat="false" ht="18" hidden="false" customHeight="true" outlineLevel="0" collapsed="false">
      <c r="A39" s="121" t="n">
        <v>46049</v>
      </c>
      <c r="B39" s="18" t="s">
        <v>116</v>
      </c>
      <c r="C39" s="115" t="s">
        <v>638</v>
      </c>
      <c r="D39" s="116" t="s">
        <v>639</v>
      </c>
      <c r="E39" s="117" t="n">
        <v>2000</v>
      </c>
      <c r="F39" s="117" t="n">
        <v>2750</v>
      </c>
      <c r="G39" s="118" t="n">
        <f aca="false">IFERROR(E37*F37,"")</f>
        <v>399120</v>
      </c>
      <c r="H39" s="119"/>
      <c r="I39" s="120" t="n">
        <v>46134</v>
      </c>
      <c r="J39" s="115"/>
      <c r="K39" s="20" t="s">
        <v>245</v>
      </c>
    </row>
    <row r="40" customFormat="false" ht="18" hidden="false" customHeight="true" outlineLevel="0" collapsed="false">
      <c r="A40" s="121" t="n">
        <v>46051</v>
      </c>
      <c r="B40" s="18" t="s">
        <v>108</v>
      </c>
      <c r="C40" s="115" t="s">
        <v>637</v>
      </c>
      <c r="D40" s="116" t="s">
        <v>634</v>
      </c>
      <c r="E40" s="117" t="n">
        <v>80</v>
      </c>
      <c r="F40" s="117" t="n">
        <v>1175</v>
      </c>
      <c r="G40" s="118" t="n">
        <f aca="false">IFERROR(E38*F38,"")</f>
        <v>208800</v>
      </c>
      <c r="H40" s="119"/>
      <c r="I40" s="120" t="n">
        <v>45982</v>
      </c>
      <c r="J40" s="115" t="s">
        <v>642</v>
      </c>
      <c r="K40" s="20" t="s">
        <v>245</v>
      </c>
    </row>
    <row r="41" customFormat="false" ht="18" hidden="false" customHeight="true" outlineLevel="0" collapsed="false">
      <c r="A41" s="121" t="n">
        <v>46052</v>
      </c>
      <c r="B41" s="18" t="s">
        <v>121</v>
      </c>
      <c r="C41" s="115" t="s">
        <v>637</v>
      </c>
      <c r="D41" s="122" t="s">
        <v>634</v>
      </c>
      <c r="E41" s="117" t="n">
        <v>160</v>
      </c>
      <c r="F41" s="117" t="n">
        <v>620</v>
      </c>
      <c r="G41" s="118" t="n">
        <f aca="false">IFERROR(E39*F39,"")</f>
        <v>5500000</v>
      </c>
      <c r="H41" s="119"/>
      <c r="I41" s="120" t="s">
        <v>646</v>
      </c>
      <c r="J41" s="115" t="s">
        <v>642</v>
      </c>
      <c r="K41" s="20" t="s">
        <v>245</v>
      </c>
    </row>
    <row r="42" customFormat="false" ht="18" hidden="false" customHeight="true" outlineLevel="0" collapsed="false">
      <c r="A42" s="121" t="n">
        <v>46052</v>
      </c>
      <c r="B42" s="18" t="s">
        <v>104</v>
      </c>
      <c r="C42" s="115" t="s">
        <v>637</v>
      </c>
      <c r="D42" s="122" t="s">
        <v>634</v>
      </c>
      <c r="E42" s="117" t="n">
        <v>8</v>
      </c>
      <c r="F42" s="117" t="n">
        <v>14100</v>
      </c>
      <c r="G42" s="118" t="n">
        <f aca="false">IFERROR(E40*F40,"")</f>
        <v>94000</v>
      </c>
      <c r="H42" s="119"/>
      <c r="I42" s="120" t="n">
        <v>46603</v>
      </c>
      <c r="J42" s="115" t="s">
        <v>642</v>
      </c>
      <c r="K42" s="20" t="s">
        <v>245</v>
      </c>
    </row>
    <row r="43" customFormat="false" ht="18" hidden="false" customHeight="true" outlineLevel="0" collapsed="false">
      <c r="A43" s="121" t="n">
        <v>46052</v>
      </c>
      <c r="B43" s="18" t="s">
        <v>99</v>
      </c>
      <c r="C43" s="115" t="s">
        <v>644</v>
      </c>
      <c r="D43" s="122" t="s">
        <v>639</v>
      </c>
      <c r="E43" s="117" t="n">
        <v>1260</v>
      </c>
      <c r="F43" s="117" t="n">
        <v>1166.67</v>
      </c>
      <c r="G43" s="118" t="n">
        <f aca="false">IFERROR(E41*F41,"")</f>
        <v>99200</v>
      </c>
      <c r="H43" s="119"/>
      <c r="I43" s="120" t="n">
        <v>46032</v>
      </c>
      <c r="J43" s="115" t="s">
        <v>642</v>
      </c>
      <c r="K43" s="20" t="s">
        <v>245</v>
      </c>
    </row>
    <row r="44" customFormat="false" ht="18" hidden="false" customHeight="true" outlineLevel="0" collapsed="false">
      <c r="A44" s="121" t="n">
        <v>46052</v>
      </c>
      <c r="B44" s="18" t="s">
        <v>134</v>
      </c>
      <c r="C44" s="115" t="s">
        <v>644</v>
      </c>
      <c r="D44" s="122" t="s">
        <v>639</v>
      </c>
      <c r="E44" s="117" t="n">
        <v>780</v>
      </c>
      <c r="F44" s="117" t="n">
        <v>2900</v>
      </c>
      <c r="G44" s="118" t="n">
        <f aca="false">IFERROR(E42*F42,"")</f>
        <v>112800</v>
      </c>
      <c r="H44" s="119"/>
      <c r="I44" s="120" t="n">
        <v>46046</v>
      </c>
      <c r="J44" s="115" t="s">
        <v>642</v>
      </c>
      <c r="K44" s="20" t="s">
        <v>245</v>
      </c>
    </row>
    <row r="45" customFormat="false" ht="18" hidden="false" customHeight="true" outlineLevel="0" collapsed="false">
      <c r="A45" s="121" t="n">
        <v>46052</v>
      </c>
      <c r="B45" s="18" t="s">
        <v>108</v>
      </c>
      <c r="C45" s="115" t="s">
        <v>644</v>
      </c>
      <c r="D45" s="122" t="s">
        <v>639</v>
      </c>
      <c r="E45" s="117" t="n">
        <v>500</v>
      </c>
      <c r="F45" s="117" t="n">
        <v>1225</v>
      </c>
      <c r="G45" s="118" t="n">
        <f aca="false">IFERROR(E43*F43,"")</f>
        <v>1470004.2</v>
      </c>
      <c r="H45" s="119"/>
      <c r="I45" s="120" t="n">
        <v>46775</v>
      </c>
      <c r="J45" s="115"/>
      <c r="K45" s="20" t="s">
        <v>245</v>
      </c>
    </row>
    <row r="46" customFormat="false" ht="18" hidden="false" customHeight="true" outlineLevel="0" collapsed="false">
      <c r="A46" s="121" t="n">
        <v>46053</v>
      </c>
      <c r="B46" s="18" t="s">
        <v>120</v>
      </c>
      <c r="C46" s="115" t="s">
        <v>640</v>
      </c>
      <c r="D46" s="116" t="s">
        <v>639</v>
      </c>
      <c r="E46" s="117" t="n">
        <v>1600</v>
      </c>
      <c r="F46" s="117" t="n">
        <v>3287.5</v>
      </c>
      <c r="G46" s="118" t="n">
        <f aca="false">IFERROR(E44*F44,"")</f>
        <v>2262000</v>
      </c>
      <c r="H46" s="119"/>
      <c r="I46" s="120" t="n">
        <v>46041</v>
      </c>
      <c r="J46" s="115" t="s">
        <v>635</v>
      </c>
      <c r="K46" s="20" t="s">
        <v>245</v>
      </c>
    </row>
    <row r="47" customFormat="false" ht="18" hidden="false" customHeight="true" outlineLevel="0" collapsed="false">
      <c r="A47" s="121" t="n">
        <v>46053</v>
      </c>
      <c r="B47" s="18" t="s">
        <v>60</v>
      </c>
      <c r="C47" s="115" t="s">
        <v>640</v>
      </c>
      <c r="D47" s="122" t="s">
        <v>639</v>
      </c>
      <c r="E47" s="117" t="n">
        <v>40</v>
      </c>
      <c r="F47" s="117" t="n">
        <v>8000</v>
      </c>
      <c r="G47" s="118" t="n">
        <f aca="false">IFERROR(E45*F45,"")</f>
        <v>612500</v>
      </c>
      <c r="H47" s="119"/>
      <c r="I47" s="120" t="n">
        <v>46401</v>
      </c>
      <c r="J47" s="115"/>
      <c r="K47" s="20" t="s">
        <v>245</v>
      </c>
    </row>
    <row r="48" customFormat="false" ht="18" hidden="false" customHeight="true" outlineLevel="0" collapsed="false">
      <c r="A48" s="121" t="n">
        <v>46056</v>
      </c>
      <c r="B48" s="18" t="s">
        <v>84</v>
      </c>
      <c r="C48" s="115" t="s">
        <v>645</v>
      </c>
      <c r="D48" s="122" t="s">
        <v>634</v>
      </c>
      <c r="E48" s="117" t="n">
        <v>60</v>
      </c>
      <c r="F48" s="117" t="n">
        <v>6652</v>
      </c>
      <c r="G48" s="118" t="n">
        <f aca="false">IFERROR(E46*F46,"")</f>
        <v>5260000</v>
      </c>
      <c r="H48" s="119"/>
      <c r="I48" s="120" t="n">
        <v>46214</v>
      </c>
      <c r="J48" s="115"/>
      <c r="K48" s="20" t="s">
        <v>247</v>
      </c>
    </row>
    <row r="49" customFormat="false" ht="18" hidden="false" customHeight="true" outlineLevel="0" collapsed="false">
      <c r="A49" s="121" t="n">
        <v>46056</v>
      </c>
      <c r="B49" s="18" t="s">
        <v>116</v>
      </c>
      <c r="C49" s="115" t="s">
        <v>638</v>
      </c>
      <c r="D49" s="116" t="s">
        <v>639</v>
      </c>
      <c r="E49" s="117" t="n">
        <v>1000</v>
      </c>
      <c r="F49" s="117" t="n">
        <v>2750</v>
      </c>
      <c r="G49" s="118" t="n">
        <f aca="false">IFERROR(E47*F47,"")</f>
        <v>320000</v>
      </c>
      <c r="H49" s="119"/>
      <c r="I49" s="120" t="n">
        <v>46141</v>
      </c>
      <c r="J49" s="115"/>
      <c r="K49" s="20" t="s">
        <v>247</v>
      </c>
    </row>
    <row r="50" customFormat="false" ht="18" hidden="false" customHeight="true" outlineLevel="0" collapsed="false">
      <c r="A50" s="121" t="n">
        <v>46056</v>
      </c>
      <c r="B50" s="18" t="s">
        <v>116</v>
      </c>
      <c r="C50" s="115" t="s">
        <v>638</v>
      </c>
      <c r="D50" s="116" t="s">
        <v>639</v>
      </c>
      <c r="E50" s="117" t="n">
        <v>1000</v>
      </c>
      <c r="F50" s="117" t="n">
        <v>2860</v>
      </c>
      <c r="G50" s="118" t="n">
        <f aca="false">IFERROR(E48*F48,"")</f>
        <v>399120</v>
      </c>
      <c r="H50" s="119"/>
      <c r="I50" s="120" t="n">
        <v>46141</v>
      </c>
      <c r="J50" s="115"/>
      <c r="K50" s="20" t="s">
        <v>247</v>
      </c>
    </row>
    <row r="51" customFormat="false" ht="18" hidden="false" customHeight="true" outlineLevel="0" collapsed="false">
      <c r="A51" s="121" t="n">
        <v>46057</v>
      </c>
      <c r="B51" s="18" t="s">
        <v>130</v>
      </c>
      <c r="C51" s="115" t="s">
        <v>637</v>
      </c>
      <c r="D51" s="116" t="s">
        <v>634</v>
      </c>
      <c r="E51" s="117" t="n">
        <v>36</v>
      </c>
      <c r="F51" s="117" t="n">
        <v>5500</v>
      </c>
      <c r="G51" s="118" t="n">
        <f aca="false">IFERROR(E49*F49,"")</f>
        <v>2750000</v>
      </c>
      <c r="H51" s="119"/>
      <c r="I51" s="120" t="n">
        <v>46386</v>
      </c>
      <c r="J51" s="115" t="s">
        <v>647</v>
      </c>
      <c r="K51" s="20" t="s">
        <v>247</v>
      </c>
    </row>
    <row r="52" customFormat="false" ht="18" hidden="false" customHeight="true" outlineLevel="0" collapsed="false">
      <c r="A52" s="121" t="n">
        <v>46057</v>
      </c>
      <c r="B52" s="18" t="s">
        <v>89</v>
      </c>
      <c r="C52" s="115" t="s">
        <v>648</v>
      </c>
      <c r="D52" s="116" t="s">
        <v>634</v>
      </c>
      <c r="E52" s="117" t="n">
        <v>22.68</v>
      </c>
      <c r="F52" s="117" t="n">
        <v>24500</v>
      </c>
      <c r="G52" s="118" t="n">
        <f aca="false">IFERROR(E50*F50,"")</f>
        <v>2860000</v>
      </c>
      <c r="H52" s="119"/>
      <c r="I52" s="120" t="n">
        <v>46150</v>
      </c>
      <c r="J52" s="115"/>
      <c r="K52" s="20" t="s">
        <v>247</v>
      </c>
    </row>
    <row r="53" customFormat="false" ht="18" hidden="false" customHeight="true" outlineLevel="0" collapsed="false">
      <c r="A53" s="121" t="n">
        <v>46059</v>
      </c>
      <c r="B53" s="18" t="s">
        <v>128</v>
      </c>
      <c r="C53" s="115" t="s">
        <v>637</v>
      </c>
      <c r="D53" s="116" t="s">
        <v>634</v>
      </c>
      <c r="E53" s="117" t="n">
        <v>13.61</v>
      </c>
      <c r="F53" s="117" t="n">
        <v>12490.82</v>
      </c>
      <c r="G53" s="118" t="n">
        <f aca="false">IFERROR(E51*F51,"")</f>
        <v>198000</v>
      </c>
      <c r="H53" s="119"/>
      <c r="I53" s="120" t="n">
        <v>45979</v>
      </c>
      <c r="J53" s="115" t="s">
        <v>647</v>
      </c>
      <c r="K53" s="20" t="s">
        <v>247</v>
      </c>
    </row>
    <row r="54" customFormat="false" ht="18" hidden="false" customHeight="true" outlineLevel="0" collapsed="false">
      <c r="A54" s="121" t="n">
        <v>46059</v>
      </c>
      <c r="B54" s="18" t="s">
        <v>115</v>
      </c>
      <c r="C54" s="115" t="s">
        <v>637</v>
      </c>
      <c r="D54" s="116" t="s">
        <v>634</v>
      </c>
      <c r="E54" s="117" t="n">
        <v>60</v>
      </c>
      <c r="F54" s="117" t="n">
        <v>3480</v>
      </c>
      <c r="G54" s="118" t="n">
        <f aca="false">IFERROR(E52*F52,"")</f>
        <v>555660</v>
      </c>
      <c r="H54" s="119"/>
      <c r="I54" s="120" t="n">
        <v>46181</v>
      </c>
      <c r="J54" s="115"/>
      <c r="K54" s="20" t="s">
        <v>247</v>
      </c>
    </row>
    <row r="55" customFormat="false" ht="18" hidden="false" customHeight="true" outlineLevel="0" collapsed="false">
      <c r="A55" s="121" t="n">
        <v>46059</v>
      </c>
      <c r="B55" s="18" t="s">
        <v>82</v>
      </c>
      <c r="C55" s="115" t="s">
        <v>637</v>
      </c>
      <c r="D55" s="116" t="s">
        <v>634</v>
      </c>
      <c r="E55" s="117" t="n">
        <v>20</v>
      </c>
      <c r="F55" s="117" t="n">
        <v>3215</v>
      </c>
      <c r="G55" s="118" t="n">
        <f aca="false">IFERROR(E53*F53,"")</f>
        <v>170000.0602</v>
      </c>
      <c r="H55" s="119"/>
      <c r="I55" s="120" t="s">
        <v>646</v>
      </c>
      <c r="J55" s="115"/>
      <c r="K55" s="20" t="s">
        <v>247</v>
      </c>
    </row>
    <row r="56" customFormat="false" ht="18" hidden="false" customHeight="true" outlineLevel="0" collapsed="false">
      <c r="A56" s="121" t="n">
        <v>46059</v>
      </c>
      <c r="B56" s="18" t="s">
        <v>71</v>
      </c>
      <c r="C56" s="115" t="s">
        <v>637</v>
      </c>
      <c r="D56" s="116" t="s">
        <v>634</v>
      </c>
      <c r="E56" s="117" t="n">
        <v>20</v>
      </c>
      <c r="F56" s="117" t="n">
        <v>7800</v>
      </c>
      <c r="G56" s="118" t="n">
        <f aca="false">IFERROR(E54*F54,"")</f>
        <v>208800</v>
      </c>
      <c r="H56" s="119"/>
      <c r="I56" s="120" t="n">
        <v>46515</v>
      </c>
      <c r="J56" s="115"/>
      <c r="K56" s="20" t="s">
        <v>247</v>
      </c>
    </row>
    <row r="57" customFormat="false" ht="18" hidden="false" customHeight="true" outlineLevel="0" collapsed="false">
      <c r="A57" s="121" t="n">
        <v>46059</v>
      </c>
      <c r="B57" s="18" t="s">
        <v>104</v>
      </c>
      <c r="C57" s="115" t="s">
        <v>637</v>
      </c>
      <c r="D57" s="122" t="s">
        <v>634</v>
      </c>
      <c r="E57" s="117" t="n">
        <v>8</v>
      </c>
      <c r="F57" s="117" t="n">
        <v>14100</v>
      </c>
      <c r="G57" s="118" t="n">
        <f aca="false">IFERROR(E55*F55,"")</f>
        <v>64300</v>
      </c>
      <c r="H57" s="119"/>
      <c r="I57" s="120" t="n">
        <v>46603</v>
      </c>
      <c r="J57" s="115" t="s">
        <v>642</v>
      </c>
      <c r="K57" s="20" t="s">
        <v>247</v>
      </c>
    </row>
    <row r="58" customFormat="false" ht="18" hidden="false" customHeight="true" outlineLevel="0" collapsed="false">
      <c r="A58" s="121" t="n">
        <v>46059</v>
      </c>
      <c r="B58" s="18" t="s">
        <v>73</v>
      </c>
      <c r="C58" s="115" t="s">
        <v>645</v>
      </c>
      <c r="D58" s="122" t="s">
        <v>634</v>
      </c>
      <c r="E58" s="117" t="n">
        <v>4</v>
      </c>
      <c r="F58" s="117" t="n">
        <v>34680</v>
      </c>
      <c r="G58" s="118" t="n">
        <f aca="false">IFERROR(E56*F56,"")</f>
        <v>156000</v>
      </c>
      <c r="H58" s="119"/>
      <c r="I58" s="120" t="n">
        <v>46724</v>
      </c>
      <c r="J58" s="115" t="s">
        <v>635</v>
      </c>
      <c r="K58" s="20" t="s">
        <v>247</v>
      </c>
    </row>
    <row r="59" customFormat="false" ht="18" hidden="false" customHeight="true" outlineLevel="0" collapsed="false">
      <c r="A59" s="121" t="n">
        <v>46059</v>
      </c>
      <c r="B59" s="18" t="s">
        <v>99</v>
      </c>
      <c r="C59" s="115" t="s">
        <v>644</v>
      </c>
      <c r="D59" s="116" t="s">
        <v>639</v>
      </c>
      <c r="E59" s="117" t="n">
        <v>2520</v>
      </c>
      <c r="F59" s="117" t="n">
        <v>1153.33</v>
      </c>
      <c r="G59" s="118" t="n">
        <f aca="false">IFERROR(E57*F57,"")</f>
        <v>112800</v>
      </c>
      <c r="H59" s="119"/>
      <c r="I59" s="120" t="n">
        <v>46032</v>
      </c>
      <c r="J59" s="115" t="s">
        <v>642</v>
      </c>
      <c r="K59" s="20" t="s">
        <v>247</v>
      </c>
    </row>
    <row r="60" customFormat="false" ht="18" hidden="false" customHeight="true" outlineLevel="0" collapsed="false">
      <c r="A60" s="121" t="n">
        <v>46059</v>
      </c>
      <c r="B60" s="18" t="s">
        <v>120</v>
      </c>
      <c r="C60" s="115" t="s">
        <v>640</v>
      </c>
      <c r="D60" s="116" t="s">
        <v>639</v>
      </c>
      <c r="E60" s="117" t="n">
        <v>1800</v>
      </c>
      <c r="F60" s="117" t="n">
        <v>3287.5</v>
      </c>
      <c r="G60" s="118" t="n">
        <f aca="false">IFERROR(E58*F58,"")</f>
        <v>138720</v>
      </c>
      <c r="H60" s="119"/>
      <c r="I60" s="120" t="n">
        <v>46041</v>
      </c>
      <c r="J60" s="115" t="s">
        <v>635</v>
      </c>
      <c r="K60" s="20" t="s">
        <v>247</v>
      </c>
    </row>
    <row r="61" customFormat="false" ht="18" hidden="false" customHeight="true" outlineLevel="0" collapsed="false">
      <c r="A61" s="121" t="n">
        <v>46062</v>
      </c>
      <c r="B61" s="18" t="s">
        <v>114</v>
      </c>
      <c r="C61" s="115" t="s">
        <v>637</v>
      </c>
      <c r="D61" s="116" t="s">
        <v>634</v>
      </c>
      <c r="E61" s="117" t="n">
        <v>2</v>
      </c>
      <c r="F61" s="117" t="n">
        <v>20800</v>
      </c>
      <c r="G61" s="118" t="n">
        <f aca="false">IFERROR(E59*F59,"")</f>
        <v>2906391.6</v>
      </c>
      <c r="H61" s="119"/>
      <c r="I61" s="120" t="n">
        <v>47109</v>
      </c>
      <c r="J61" s="115"/>
      <c r="K61" s="20" t="s">
        <v>247</v>
      </c>
    </row>
    <row r="62" customFormat="false" ht="18" hidden="false" customHeight="true" outlineLevel="0" collapsed="false">
      <c r="A62" s="121" t="n">
        <v>46062</v>
      </c>
      <c r="B62" s="18" t="s">
        <v>63</v>
      </c>
      <c r="C62" s="115" t="s">
        <v>637</v>
      </c>
      <c r="D62" s="116" t="s">
        <v>634</v>
      </c>
      <c r="E62" s="117" t="n">
        <v>5</v>
      </c>
      <c r="F62" s="117" t="n">
        <v>5500</v>
      </c>
      <c r="G62" s="118" t="n">
        <f aca="false">IFERROR(E60*F60,"")</f>
        <v>5917500</v>
      </c>
      <c r="H62" s="119"/>
      <c r="I62" s="120" t="n">
        <v>46113</v>
      </c>
      <c r="J62" s="115"/>
      <c r="K62" s="20" t="s">
        <v>247</v>
      </c>
    </row>
    <row r="63" customFormat="false" ht="18" hidden="false" customHeight="true" outlineLevel="0" collapsed="false">
      <c r="A63" s="121" t="n">
        <v>46062</v>
      </c>
      <c r="B63" s="18" t="s">
        <v>87</v>
      </c>
      <c r="C63" s="115" t="s">
        <v>637</v>
      </c>
      <c r="D63" s="116" t="s">
        <v>634</v>
      </c>
      <c r="E63" s="117" t="n">
        <v>2.1</v>
      </c>
      <c r="F63" s="117" t="n">
        <v>5500</v>
      </c>
      <c r="G63" s="118" t="n">
        <f aca="false">IFERROR(E61*F61,"")</f>
        <v>41600</v>
      </c>
      <c r="H63" s="119"/>
      <c r="I63" s="120" t="n">
        <v>46569</v>
      </c>
      <c r="J63" s="115"/>
      <c r="K63" s="20" t="s">
        <v>247</v>
      </c>
    </row>
    <row r="64" customFormat="false" ht="18" hidden="false" customHeight="true" outlineLevel="0" collapsed="false">
      <c r="A64" s="121" t="n">
        <v>46062</v>
      </c>
      <c r="B64" s="18" t="s">
        <v>86</v>
      </c>
      <c r="C64" s="115" t="s">
        <v>637</v>
      </c>
      <c r="D64" s="116" t="s">
        <v>634</v>
      </c>
      <c r="E64" s="117" t="n">
        <v>4</v>
      </c>
      <c r="F64" s="117" t="n">
        <v>12870</v>
      </c>
      <c r="G64" s="118" t="n">
        <f aca="false">IFERROR(E62*F62,"")</f>
        <v>27500</v>
      </c>
      <c r="H64" s="119"/>
      <c r="I64" s="120" t="n">
        <v>46199</v>
      </c>
      <c r="J64" s="115"/>
      <c r="K64" s="20" t="s">
        <v>247</v>
      </c>
    </row>
    <row r="65" customFormat="false" ht="18" hidden="false" customHeight="true" outlineLevel="0" collapsed="false">
      <c r="A65" s="121" t="n">
        <v>46062</v>
      </c>
      <c r="B65" s="18" t="s">
        <v>115</v>
      </c>
      <c r="C65" s="115" t="s">
        <v>637</v>
      </c>
      <c r="D65" s="116" t="s">
        <v>634</v>
      </c>
      <c r="E65" s="117" t="n">
        <v>60</v>
      </c>
      <c r="F65" s="117" t="n">
        <v>3480</v>
      </c>
      <c r="G65" s="118" t="n">
        <f aca="false">IFERROR(E63*F63,"")</f>
        <v>11550</v>
      </c>
      <c r="H65" s="119"/>
      <c r="I65" s="120" t="n">
        <v>46181</v>
      </c>
      <c r="J65" s="115"/>
      <c r="K65" s="20" t="s">
        <v>247</v>
      </c>
    </row>
    <row r="66" customFormat="false" ht="18" hidden="false" customHeight="true" outlineLevel="0" collapsed="false">
      <c r="A66" s="121" t="n">
        <v>46062</v>
      </c>
      <c r="B66" s="18" t="s">
        <v>122</v>
      </c>
      <c r="C66" s="115" t="s">
        <v>637</v>
      </c>
      <c r="D66" s="116" t="s">
        <v>634</v>
      </c>
      <c r="E66" s="117" t="n">
        <v>60</v>
      </c>
      <c r="F66" s="117" t="n">
        <v>9900</v>
      </c>
      <c r="G66" s="118" t="n">
        <f aca="false">IFERROR(E64*F64,"")</f>
        <v>51480</v>
      </c>
      <c r="H66" s="119"/>
      <c r="I66" s="120" t="n">
        <v>46093</v>
      </c>
      <c r="J66" s="115"/>
      <c r="K66" s="20" t="s">
        <v>247</v>
      </c>
    </row>
    <row r="67" customFormat="false" ht="18" hidden="false" customHeight="true" outlineLevel="0" collapsed="false">
      <c r="A67" s="121" t="n">
        <v>46062</v>
      </c>
      <c r="B67" s="18" t="s">
        <v>97</v>
      </c>
      <c r="C67" s="115" t="s">
        <v>637</v>
      </c>
      <c r="D67" s="116" t="s">
        <v>634</v>
      </c>
      <c r="E67" s="117" t="n">
        <v>48</v>
      </c>
      <c r="F67" s="117" t="n">
        <v>8250</v>
      </c>
      <c r="G67" s="118" t="n">
        <f aca="false">IFERROR(E65*F65,"")</f>
        <v>208800</v>
      </c>
      <c r="H67" s="119"/>
      <c r="I67" s="120" t="n">
        <v>46322</v>
      </c>
      <c r="J67" s="115"/>
      <c r="K67" s="20" t="s">
        <v>247</v>
      </c>
    </row>
    <row r="68" customFormat="false" ht="18" hidden="false" customHeight="true" outlineLevel="0" collapsed="false">
      <c r="A68" s="121" t="n">
        <v>46062</v>
      </c>
      <c r="B68" s="18" t="s">
        <v>115</v>
      </c>
      <c r="C68" s="115" t="s">
        <v>637</v>
      </c>
      <c r="D68" s="116" t="s">
        <v>634</v>
      </c>
      <c r="E68" s="117" t="n">
        <v>60</v>
      </c>
      <c r="F68" s="117" t="n">
        <v>3480</v>
      </c>
      <c r="G68" s="118" t="n">
        <f aca="false">IFERROR(E66*F66,"")</f>
        <v>594000</v>
      </c>
      <c r="H68" s="119"/>
      <c r="I68" s="120" t="n">
        <v>46204</v>
      </c>
      <c r="J68" s="115"/>
      <c r="K68" s="20" t="s">
        <v>247</v>
      </c>
    </row>
    <row r="69" customFormat="false" ht="18" hidden="false" customHeight="true" outlineLevel="0" collapsed="false">
      <c r="A69" s="121" t="n">
        <v>46062</v>
      </c>
      <c r="B69" s="18" t="s">
        <v>104</v>
      </c>
      <c r="C69" s="115" t="s">
        <v>645</v>
      </c>
      <c r="D69" s="116" t="s">
        <v>634</v>
      </c>
      <c r="E69" s="117" t="n">
        <v>8</v>
      </c>
      <c r="F69" s="117" t="n">
        <v>14205</v>
      </c>
      <c r="G69" s="118" t="n">
        <f aca="false">IFERROR(E67*F67,"")</f>
        <v>396000</v>
      </c>
      <c r="H69" s="119"/>
      <c r="I69" s="120" t="n">
        <v>46731</v>
      </c>
      <c r="J69" s="115"/>
      <c r="K69" s="20" t="s">
        <v>247</v>
      </c>
    </row>
    <row r="70" customFormat="false" ht="18" hidden="false" customHeight="true" outlineLevel="0" collapsed="false">
      <c r="A70" s="121" t="n">
        <v>46062</v>
      </c>
      <c r="B70" s="18" t="s">
        <v>84</v>
      </c>
      <c r="C70" s="115" t="s">
        <v>645</v>
      </c>
      <c r="D70" s="116" t="s">
        <v>634</v>
      </c>
      <c r="E70" s="117" t="n">
        <v>60</v>
      </c>
      <c r="F70" s="117" t="n">
        <v>6652</v>
      </c>
      <c r="G70" s="118" t="n">
        <f aca="false">IFERROR(E68*F68,"")</f>
        <v>208800</v>
      </c>
      <c r="H70" s="119"/>
      <c r="I70" s="120" t="n">
        <v>46236</v>
      </c>
      <c r="J70" s="115"/>
      <c r="K70" s="20" t="s">
        <v>247</v>
      </c>
    </row>
    <row r="71" customFormat="false" ht="18" hidden="false" customHeight="true" outlineLevel="0" collapsed="false">
      <c r="A71" s="121" t="n">
        <v>46062</v>
      </c>
      <c r="B71" s="18" t="s">
        <v>62</v>
      </c>
      <c r="C71" s="115" t="s">
        <v>637</v>
      </c>
      <c r="D71" s="116" t="s">
        <v>634</v>
      </c>
      <c r="E71" s="117" t="n">
        <v>2</v>
      </c>
      <c r="F71" s="117" t="n">
        <v>12000</v>
      </c>
      <c r="G71" s="118" t="n">
        <f aca="false">IFERROR(E69*F69,"")</f>
        <v>113640</v>
      </c>
      <c r="H71" s="119"/>
      <c r="I71" s="120" t="n">
        <v>46742</v>
      </c>
      <c r="J71" s="115"/>
      <c r="K71" s="20" t="s">
        <v>247</v>
      </c>
    </row>
    <row r="72" customFormat="false" ht="18" hidden="false" customHeight="true" outlineLevel="0" collapsed="false">
      <c r="A72" s="121" t="n">
        <v>46063</v>
      </c>
      <c r="B72" s="18" t="s">
        <v>118</v>
      </c>
      <c r="C72" s="115" t="s">
        <v>649</v>
      </c>
      <c r="D72" s="122" t="s">
        <v>634</v>
      </c>
      <c r="E72" s="117" t="n">
        <v>20</v>
      </c>
      <c r="F72" s="117" t="n">
        <v>890</v>
      </c>
      <c r="G72" s="118" t="n">
        <f aca="false">IFERROR(E70*F70,"")</f>
        <v>399120</v>
      </c>
      <c r="H72" s="119"/>
      <c r="I72" s="120" t="n">
        <v>46363</v>
      </c>
      <c r="J72" s="115" t="s">
        <v>642</v>
      </c>
      <c r="K72" s="20" t="s">
        <v>247</v>
      </c>
    </row>
    <row r="73" customFormat="false" ht="18" hidden="false" customHeight="true" outlineLevel="0" collapsed="false">
      <c r="A73" s="121" t="n">
        <v>46063</v>
      </c>
      <c r="B73" s="18" t="s">
        <v>107</v>
      </c>
      <c r="C73" s="115" t="s">
        <v>649</v>
      </c>
      <c r="D73" s="122" t="s">
        <v>634</v>
      </c>
      <c r="E73" s="117" t="n">
        <v>0.5</v>
      </c>
      <c r="F73" s="117" t="n">
        <v>11960</v>
      </c>
      <c r="G73" s="118" t="n">
        <f aca="false">IFERROR(E71*F71,"")</f>
        <v>24000</v>
      </c>
      <c r="H73" s="119"/>
      <c r="I73" s="120" t="n">
        <v>46170</v>
      </c>
      <c r="J73" s="115"/>
      <c r="K73" s="20" t="s">
        <v>247</v>
      </c>
    </row>
    <row r="74" customFormat="false" ht="18" hidden="false" customHeight="true" outlineLevel="0" collapsed="false">
      <c r="A74" s="121" t="n">
        <v>46064</v>
      </c>
      <c r="B74" s="18" t="s">
        <v>134</v>
      </c>
      <c r="C74" s="115" t="s">
        <v>644</v>
      </c>
      <c r="D74" s="122" t="s">
        <v>639</v>
      </c>
      <c r="E74" s="117" t="n">
        <v>1000</v>
      </c>
      <c r="F74" s="117" t="n">
        <v>2900</v>
      </c>
      <c r="G74" s="118" t="n">
        <f aca="false">IFERROR(E72*F72,"")</f>
        <v>17800</v>
      </c>
      <c r="H74" s="119"/>
      <c r="I74" s="120" t="n">
        <v>46046</v>
      </c>
      <c r="J74" s="115" t="s">
        <v>642</v>
      </c>
      <c r="K74" s="20" t="s">
        <v>247</v>
      </c>
    </row>
    <row r="75" customFormat="false" ht="18" hidden="false" customHeight="true" outlineLevel="0" collapsed="false">
      <c r="A75" s="121" t="n">
        <v>46064</v>
      </c>
      <c r="B75" s="18" t="s">
        <v>116</v>
      </c>
      <c r="C75" s="115" t="s">
        <v>638</v>
      </c>
      <c r="D75" s="116" t="s">
        <v>639</v>
      </c>
      <c r="E75" s="117" t="n">
        <v>2000</v>
      </c>
      <c r="F75" s="117" t="n">
        <v>2750</v>
      </c>
      <c r="G75" s="118" t="n">
        <f aca="false">IFERROR(E73*F73,"")</f>
        <v>5980</v>
      </c>
      <c r="H75" s="119"/>
      <c r="I75" s="120" t="n">
        <v>46146</v>
      </c>
      <c r="J75" s="115"/>
      <c r="K75" s="20" t="s">
        <v>247</v>
      </c>
    </row>
    <row r="76" customFormat="false" ht="18" hidden="false" customHeight="true" outlineLevel="0" collapsed="false">
      <c r="A76" s="121" t="n">
        <v>46064</v>
      </c>
      <c r="B76" s="18" t="s">
        <v>116</v>
      </c>
      <c r="C76" s="115" t="s">
        <v>638</v>
      </c>
      <c r="D76" s="116" t="s">
        <v>639</v>
      </c>
      <c r="E76" s="117" t="n">
        <v>1000</v>
      </c>
      <c r="F76" s="117" t="n">
        <v>2860</v>
      </c>
      <c r="G76" s="118" t="n">
        <f aca="false">IFERROR(E74*F74,"")</f>
        <v>2900000</v>
      </c>
      <c r="H76" s="119"/>
      <c r="I76" s="120" t="n">
        <v>46144</v>
      </c>
      <c r="J76" s="115"/>
      <c r="K76" s="20" t="s">
        <v>247</v>
      </c>
    </row>
    <row r="77" customFormat="false" ht="18" hidden="false" customHeight="true" outlineLevel="0" collapsed="false">
      <c r="A77" s="121" t="n">
        <v>46066</v>
      </c>
      <c r="B77" s="18" t="s">
        <v>130</v>
      </c>
      <c r="C77" s="115" t="s">
        <v>637</v>
      </c>
      <c r="D77" s="116" t="s">
        <v>634</v>
      </c>
      <c r="E77" s="117" t="n">
        <v>54</v>
      </c>
      <c r="F77" s="117" t="n">
        <v>5453.7</v>
      </c>
      <c r="G77" s="118" t="n">
        <f aca="false">IFERROR(E75*F75,"")</f>
        <v>5500000</v>
      </c>
      <c r="H77" s="119"/>
      <c r="I77" s="120" t="n">
        <v>46394</v>
      </c>
      <c r="J77" s="115"/>
      <c r="K77" s="20" t="s">
        <v>247</v>
      </c>
    </row>
    <row r="78" customFormat="false" ht="18" hidden="false" customHeight="true" outlineLevel="0" collapsed="false">
      <c r="A78" s="121" t="n">
        <v>46066</v>
      </c>
      <c r="B78" s="18" t="s">
        <v>68</v>
      </c>
      <c r="C78" s="115" t="s">
        <v>637</v>
      </c>
      <c r="D78" s="116" t="s">
        <v>634</v>
      </c>
      <c r="E78" s="117" t="n">
        <v>20</v>
      </c>
      <c r="F78" s="117" t="n">
        <v>12600</v>
      </c>
      <c r="G78" s="118" t="n">
        <f aca="false">IFERROR(E76*F76,"")</f>
        <v>2860000</v>
      </c>
      <c r="H78" s="119"/>
      <c r="I78" s="120" t="n">
        <v>46210</v>
      </c>
      <c r="J78" s="115"/>
      <c r="K78" s="20" t="s">
        <v>247</v>
      </c>
    </row>
    <row r="79" customFormat="false" ht="18" hidden="false" customHeight="true" outlineLevel="0" collapsed="false">
      <c r="A79" s="121" t="n">
        <v>46066</v>
      </c>
      <c r="B79" s="18" t="s">
        <v>69</v>
      </c>
      <c r="C79" s="115" t="s">
        <v>637</v>
      </c>
      <c r="D79" s="116" t="s">
        <v>634</v>
      </c>
      <c r="E79" s="117" t="n">
        <v>4</v>
      </c>
      <c r="F79" s="117" t="n">
        <v>12900</v>
      </c>
      <c r="G79" s="118" t="n">
        <f aca="false">IFERROR(E77*F77,"")</f>
        <v>294499.8</v>
      </c>
      <c r="H79" s="119"/>
      <c r="I79" s="120" t="n">
        <v>46329</v>
      </c>
      <c r="J79" s="115"/>
      <c r="K79" s="20" t="s">
        <v>247</v>
      </c>
    </row>
    <row r="80" customFormat="false" ht="18" hidden="false" customHeight="true" outlineLevel="0" collapsed="false">
      <c r="A80" s="121" t="n">
        <v>46066</v>
      </c>
      <c r="B80" s="18" t="s">
        <v>111</v>
      </c>
      <c r="C80" s="115" t="s">
        <v>637</v>
      </c>
      <c r="D80" s="116" t="s">
        <v>634</v>
      </c>
      <c r="E80" s="117" t="n">
        <v>4</v>
      </c>
      <c r="F80" s="117" t="n">
        <v>11500</v>
      </c>
      <c r="G80" s="118" t="n">
        <f aca="false">IFERROR(E78*F78,"")</f>
        <v>252000</v>
      </c>
      <c r="H80" s="119"/>
      <c r="I80" s="120" t="n">
        <v>46352</v>
      </c>
      <c r="J80" s="115"/>
      <c r="K80" s="20" t="s">
        <v>247</v>
      </c>
    </row>
    <row r="81" customFormat="false" ht="18" hidden="false" customHeight="true" outlineLevel="0" collapsed="false">
      <c r="A81" s="121" t="n">
        <v>46066</v>
      </c>
      <c r="B81" s="18" t="s">
        <v>115</v>
      </c>
      <c r="C81" s="115" t="s">
        <v>637</v>
      </c>
      <c r="D81" s="116" t="s">
        <v>634</v>
      </c>
      <c r="E81" s="117" t="n">
        <v>60</v>
      </c>
      <c r="F81" s="117" t="n">
        <v>3480</v>
      </c>
      <c r="G81" s="118" t="n">
        <f aca="false">IFERROR(E79*F79,"")</f>
        <v>51600</v>
      </c>
      <c r="H81" s="119"/>
      <c r="I81" s="120" t="n">
        <v>46181</v>
      </c>
      <c r="J81" s="115"/>
      <c r="K81" s="20" t="s">
        <v>247</v>
      </c>
    </row>
    <row r="82" customFormat="false" ht="18" hidden="false" customHeight="true" outlineLevel="0" collapsed="false">
      <c r="A82" s="121" t="n">
        <v>46066</v>
      </c>
      <c r="B82" s="18" t="s">
        <v>71</v>
      </c>
      <c r="C82" s="115" t="s">
        <v>637</v>
      </c>
      <c r="D82" s="116" t="s">
        <v>634</v>
      </c>
      <c r="E82" s="117" t="n">
        <v>20</v>
      </c>
      <c r="F82" s="117" t="n">
        <v>7800</v>
      </c>
      <c r="G82" s="118" t="n">
        <f aca="false">IFERROR(E80*F80,"")</f>
        <v>46000</v>
      </c>
      <c r="H82" s="119"/>
      <c r="I82" s="120" t="n">
        <v>46150</v>
      </c>
      <c r="J82" s="115"/>
      <c r="K82" s="20" t="s">
        <v>247</v>
      </c>
    </row>
    <row r="83" customFormat="false" ht="18" hidden="false" customHeight="true" outlineLevel="0" collapsed="false">
      <c r="A83" s="121" t="n">
        <v>46066</v>
      </c>
      <c r="B83" s="18" t="s">
        <v>82</v>
      </c>
      <c r="C83" s="115" t="s">
        <v>637</v>
      </c>
      <c r="D83" s="116" t="s">
        <v>634</v>
      </c>
      <c r="E83" s="117" t="n">
        <v>20</v>
      </c>
      <c r="F83" s="117" t="n">
        <v>3215</v>
      </c>
      <c r="G83" s="118" t="n">
        <f aca="false">IFERROR(E81*F81,"")</f>
        <v>208800</v>
      </c>
      <c r="H83" s="119"/>
      <c r="I83" s="120" t="s">
        <v>646</v>
      </c>
      <c r="J83" s="115"/>
      <c r="K83" s="20" t="s">
        <v>247</v>
      </c>
    </row>
    <row r="84" customFormat="false" ht="18" hidden="false" customHeight="true" outlineLevel="0" collapsed="false">
      <c r="A84" s="121" t="n">
        <v>46066</v>
      </c>
      <c r="B84" s="18" t="s">
        <v>129</v>
      </c>
      <c r="C84" s="115" t="s">
        <v>637</v>
      </c>
      <c r="D84" s="116" t="s">
        <v>634</v>
      </c>
      <c r="E84" s="117" t="n">
        <v>10</v>
      </c>
      <c r="F84" s="117" t="n">
        <v>6000</v>
      </c>
      <c r="G84" s="118" t="n">
        <f aca="false">IFERROR(E82*F82,"")</f>
        <v>156000</v>
      </c>
      <c r="H84" s="119"/>
      <c r="I84" s="120" t="n">
        <v>46662</v>
      </c>
      <c r="J84" s="115"/>
      <c r="K84" s="20" t="s">
        <v>247</v>
      </c>
    </row>
    <row r="85" customFormat="false" ht="18" hidden="false" customHeight="true" outlineLevel="0" collapsed="false">
      <c r="A85" s="121" t="n">
        <v>46066</v>
      </c>
      <c r="B85" s="18" t="s">
        <v>125</v>
      </c>
      <c r="C85" s="115" t="s">
        <v>637</v>
      </c>
      <c r="D85" s="116" t="s">
        <v>634</v>
      </c>
      <c r="E85" s="117" t="n">
        <v>10</v>
      </c>
      <c r="F85" s="117" t="n">
        <v>3000</v>
      </c>
      <c r="G85" s="118" t="n">
        <f aca="false">IFERROR(E83*F83,"")</f>
        <v>64300</v>
      </c>
      <c r="H85" s="119"/>
      <c r="I85" s="120" t="n">
        <v>46392</v>
      </c>
      <c r="J85" s="115"/>
      <c r="K85" s="20" t="s">
        <v>247</v>
      </c>
    </row>
    <row r="86" customFormat="false" ht="18" hidden="false" customHeight="true" outlineLevel="0" collapsed="false">
      <c r="A86" s="121" t="n">
        <v>46066</v>
      </c>
      <c r="B86" s="18" t="s">
        <v>95</v>
      </c>
      <c r="C86" s="115" t="s">
        <v>637</v>
      </c>
      <c r="D86" s="116" t="s">
        <v>634</v>
      </c>
      <c r="E86" s="117" t="n">
        <v>10</v>
      </c>
      <c r="F86" s="117" t="n">
        <v>4900</v>
      </c>
      <c r="G86" s="118" t="n">
        <f aca="false">IFERROR(E84*F84,"")</f>
        <v>60000</v>
      </c>
      <c r="H86" s="119"/>
      <c r="I86" s="120" t="n">
        <v>46435</v>
      </c>
      <c r="J86" s="115"/>
      <c r="K86" s="20" t="s">
        <v>247</v>
      </c>
    </row>
    <row r="87" customFormat="false" ht="18" hidden="false" customHeight="true" outlineLevel="0" collapsed="false">
      <c r="A87" s="121" t="n">
        <v>46066</v>
      </c>
      <c r="B87" s="18" t="s">
        <v>68</v>
      </c>
      <c r="C87" s="115" t="s">
        <v>637</v>
      </c>
      <c r="D87" s="116" t="s">
        <v>634</v>
      </c>
      <c r="E87" s="117" t="n">
        <v>10</v>
      </c>
      <c r="F87" s="117" t="n">
        <v>12200</v>
      </c>
      <c r="G87" s="118" t="n">
        <f aca="false">IFERROR(E85*F85,"")</f>
        <v>30000</v>
      </c>
      <c r="H87" s="119"/>
      <c r="I87" s="120" t="n">
        <v>46210</v>
      </c>
      <c r="J87" s="115"/>
      <c r="K87" s="20" t="s">
        <v>247</v>
      </c>
    </row>
    <row r="88" customFormat="false" ht="18" hidden="false" customHeight="true" outlineLevel="0" collapsed="false">
      <c r="A88" s="121" t="n">
        <v>46066</v>
      </c>
      <c r="B88" s="18" t="s">
        <v>69</v>
      </c>
      <c r="C88" s="115" t="s">
        <v>637</v>
      </c>
      <c r="D88" s="116" t="s">
        <v>634</v>
      </c>
      <c r="E88" s="117" t="n">
        <v>2</v>
      </c>
      <c r="F88" s="117" t="n">
        <v>12900</v>
      </c>
      <c r="G88" s="118" t="n">
        <f aca="false">IFERROR(E86*F86,"")</f>
        <v>49000</v>
      </c>
      <c r="H88" s="119"/>
      <c r="I88" s="120" t="n">
        <v>46329</v>
      </c>
      <c r="J88" s="115"/>
      <c r="K88" s="20" t="s">
        <v>247</v>
      </c>
    </row>
    <row r="89" customFormat="false" ht="18" hidden="false" customHeight="true" outlineLevel="0" collapsed="false">
      <c r="A89" s="121" t="n">
        <v>46067</v>
      </c>
      <c r="B89" s="18" t="s">
        <v>111</v>
      </c>
      <c r="C89" s="115" t="s">
        <v>637</v>
      </c>
      <c r="D89" s="116" t="s">
        <v>634</v>
      </c>
      <c r="E89" s="117" t="n">
        <v>2</v>
      </c>
      <c r="F89" s="117" t="n">
        <v>11500</v>
      </c>
      <c r="G89" s="118" t="n">
        <f aca="false">IFERROR(E87*F87,"")</f>
        <v>122000</v>
      </c>
      <c r="H89" s="119"/>
      <c r="I89" s="120" t="n">
        <v>46386</v>
      </c>
      <c r="J89" s="115"/>
      <c r="K89" s="20" t="s">
        <v>247</v>
      </c>
    </row>
    <row r="90" customFormat="false" ht="18" hidden="false" customHeight="true" outlineLevel="0" collapsed="false">
      <c r="A90" s="121" t="n">
        <v>46072</v>
      </c>
      <c r="B90" s="18" t="s">
        <v>84</v>
      </c>
      <c r="C90" s="115" t="s">
        <v>645</v>
      </c>
      <c r="D90" s="116" t="s">
        <v>634</v>
      </c>
      <c r="E90" s="117" t="n">
        <v>100</v>
      </c>
      <c r="F90" s="117" t="n">
        <v>6652</v>
      </c>
      <c r="G90" s="118" t="n">
        <f aca="false">IFERROR(E88*F88,"")</f>
        <v>25800</v>
      </c>
      <c r="H90" s="119"/>
      <c r="I90" s="120" t="n">
        <v>46251</v>
      </c>
      <c r="J90" s="115"/>
      <c r="K90" s="20" t="s">
        <v>247</v>
      </c>
    </row>
    <row r="91" customFormat="false" ht="18" hidden="false" customHeight="true" outlineLevel="0" collapsed="false">
      <c r="A91" s="121" t="n">
        <v>46077</v>
      </c>
      <c r="B91" s="18" t="s">
        <v>115</v>
      </c>
      <c r="C91" s="115" t="s">
        <v>643</v>
      </c>
      <c r="D91" s="116" t="s">
        <v>634</v>
      </c>
      <c r="E91" s="117" t="n">
        <v>40</v>
      </c>
      <c r="F91" s="117" t="n">
        <v>15840</v>
      </c>
      <c r="G91" s="118" t="n">
        <f aca="false">IFERROR(E89*F89,"")</f>
        <v>23000</v>
      </c>
      <c r="H91" s="119"/>
      <c r="I91" s="120" t="n">
        <v>46146</v>
      </c>
      <c r="J91" s="115"/>
      <c r="K91" s="20" t="s">
        <v>247</v>
      </c>
    </row>
    <row r="92" customFormat="false" ht="18" hidden="false" customHeight="true" outlineLevel="0" collapsed="false">
      <c r="A92" s="121" t="n">
        <v>46077</v>
      </c>
      <c r="B92" s="18" t="s">
        <v>92</v>
      </c>
      <c r="C92" s="115" t="s">
        <v>643</v>
      </c>
      <c r="D92" s="122" t="s">
        <v>634</v>
      </c>
      <c r="E92" s="117" t="n">
        <v>144</v>
      </c>
      <c r="F92" s="117" t="n">
        <v>1695.83</v>
      </c>
      <c r="G92" s="118" t="n">
        <f aca="false">IFERROR(E90*F90,"")</f>
        <v>665200</v>
      </c>
      <c r="H92" s="119"/>
      <c r="I92" s="120" t="n">
        <v>46276</v>
      </c>
      <c r="J92" s="115" t="s">
        <v>635</v>
      </c>
      <c r="K92" s="20" t="s">
        <v>247</v>
      </c>
    </row>
    <row r="93" customFormat="false" ht="18" hidden="false" customHeight="true" outlineLevel="0" collapsed="false">
      <c r="A93" s="36" t="n">
        <v>46077</v>
      </c>
      <c r="B93" s="123" t="s">
        <v>118</v>
      </c>
      <c r="C93" s="123" t="s">
        <v>643</v>
      </c>
      <c r="D93" s="124" t="s">
        <v>634</v>
      </c>
      <c r="E93" s="125" t="n">
        <v>200</v>
      </c>
      <c r="F93" s="125" t="n">
        <v>900</v>
      </c>
      <c r="G93" s="118" t="n">
        <f aca="false">IFERROR(E91*F91,"")</f>
        <v>633600</v>
      </c>
      <c r="H93" s="17"/>
      <c r="I93" s="126" t="n">
        <v>46380</v>
      </c>
      <c r="J93" s="19"/>
      <c r="K93" s="127" t="s">
        <v>247</v>
      </c>
    </row>
    <row r="94" customFormat="false" ht="18" hidden="false" customHeight="true" outlineLevel="0" collapsed="false">
      <c r="A94" s="36" t="n">
        <v>46077</v>
      </c>
      <c r="B94" s="123" t="s">
        <v>120</v>
      </c>
      <c r="C94" s="123" t="s">
        <v>633</v>
      </c>
      <c r="D94" s="124" t="s">
        <v>639</v>
      </c>
      <c r="E94" s="125" t="n">
        <v>1000</v>
      </c>
      <c r="F94" s="125" t="n">
        <v>3375</v>
      </c>
      <c r="G94" s="118" t="n">
        <f aca="false">IFERROR(E92*F92,"")</f>
        <v>244199.52</v>
      </c>
      <c r="H94" s="13"/>
      <c r="I94" s="128" t="s">
        <v>646</v>
      </c>
      <c r="J94" s="18" t="s">
        <v>635</v>
      </c>
      <c r="K94" s="127" t="s">
        <v>247</v>
      </c>
    </row>
    <row r="95" customFormat="false" ht="18" hidden="false" customHeight="true" outlineLevel="0" collapsed="false">
      <c r="A95" s="36" t="n">
        <v>46078</v>
      </c>
      <c r="B95" s="123" t="s">
        <v>71</v>
      </c>
      <c r="C95" s="123" t="s">
        <v>637</v>
      </c>
      <c r="D95" s="124" t="s">
        <v>634</v>
      </c>
      <c r="E95" s="125" t="n">
        <v>20</v>
      </c>
      <c r="F95" s="125" t="n">
        <v>7800</v>
      </c>
      <c r="G95" s="118" t="n">
        <v>156000</v>
      </c>
      <c r="H95" s="17"/>
      <c r="I95" s="126" t="n">
        <v>46150</v>
      </c>
      <c r="J95" s="19"/>
      <c r="K95" s="127" t="s">
        <v>247</v>
      </c>
    </row>
    <row r="96" customFormat="false" ht="18" hidden="false" customHeight="true" outlineLevel="0" collapsed="false">
      <c r="A96" s="36" t="n">
        <v>46079</v>
      </c>
      <c r="B96" s="123" t="s">
        <v>125</v>
      </c>
      <c r="C96" s="123" t="s">
        <v>645</v>
      </c>
      <c r="D96" s="124" t="s">
        <v>634</v>
      </c>
      <c r="E96" s="125" t="n">
        <v>3</v>
      </c>
      <c r="F96" s="125" t="n">
        <v>4280</v>
      </c>
      <c r="G96" s="118" t="n">
        <v>12840</v>
      </c>
      <c r="H96" s="13"/>
      <c r="I96" s="128" t="n">
        <v>45915</v>
      </c>
      <c r="J96" s="18" t="s">
        <v>650</v>
      </c>
      <c r="K96" s="127" t="s">
        <v>247</v>
      </c>
    </row>
    <row r="97" customFormat="false" ht="18" hidden="false" customHeight="true" outlineLevel="0" collapsed="false">
      <c r="A97" s="36" t="n">
        <v>46079</v>
      </c>
      <c r="B97" s="123" t="s">
        <v>80</v>
      </c>
      <c r="C97" s="123" t="s">
        <v>645</v>
      </c>
      <c r="D97" s="124" t="s">
        <v>634</v>
      </c>
      <c r="E97" s="125" t="n">
        <v>2</v>
      </c>
      <c r="F97" s="125" t="n">
        <v>34680</v>
      </c>
      <c r="G97" s="118" t="n">
        <v>69360</v>
      </c>
      <c r="H97" s="17"/>
      <c r="I97" s="126" t="n">
        <v>46778</v>
      </c>
      <c r="J97" s="19"/>
      <c r="K97" s="127" t="s">
        <v>247</v>
      </c>
    </row>
    <row r="98" customFormat="false" ht="18" hidden="false" customHeight="true" outlineLevel="0" collapsed="false">
      <c r="A98" s="36" t="n">
        <v>46082</v>
      </c>
      <c r="B98" s="123" t="s">
        <v>130</v>
      </c>
      <c r="C98" s="123" t="s">
        <v>637</v>
      </c>
      <c r="D98" s="124" t="s">
        <v>634</v>
      </c>
      <c r="E98" s="125" t="n">
        <v>54</v>
      </c>
      <c r="F98" s="125" t="n">
        <v>5361.111111</v>
      </c>
      <c r="G98" s="118" t="n">
        <v>289499.999994</v>
      </c>
      <c r="H98" s="13"/>
      <c r="I98" s="128" t="n">
        <v>46386</v>
      </c>
      <c r="J98" s="16"/>
      <c r="K98" s="127" t="s">
        <v>248</v>
      </c>
    </row>
    <row r="99" customFormat="false" ht="18" hidden="false" customHeight="true" outlineLevel="0" collapsed="false">
      <c r="A99" s="36" t="n">
        <v>46082</v>
      </c>
      <c r="B99" s="123" t="s">
        <v>71</v>
      </c>
      <c r="C99" s="123" t="s">
        <v>637</v>
      </c>
      <c r="D99" s="124" t="s">
        <v>634</v>
      </c>
      <c r="E99" s="125" t="n">
        <v>20</v>
      </c>
      <c r="F99" s="125" t="n">
        <v>7800</v>
      </c>
      <c r="G99" s="118" t="n">
        <v>156000</v>
      </c>
      <c r="H99" s="17"/>
      <c r="I99" s="126" t="n">
        <v>46150</v>
      </c>
      <c r="J99" s="19"/>
      <c r="K99" s="127" t="s">
        <v>248</v>
      </c>
    </row>
    <row r="100" customFormat="false" ht="18" hidden="false" customHeight="true" outlineLevel="0" collapsed="false">
      <c r="A100" s="36" t="n">
        <v>46082</v>
      </c>
      <c r="B100" s="123" t="s">
        <v>121</v>
      </c>
      <c r="C100" s="123" t="s">
        <v>637</v>
      </c>
      <c r="D100" s="124" t="s">
        <v>634</v>
      </c>
      <c r="E100" s="125" t="n">
        <v>160</v>
      </c>
      <c r="F100" s="125" t="n">
        <v>625</v>
      </c>
      <c r="G100" s="118" t="n">
        <v>100000</v>
      </c>
      <c r="H100" s="13"/>
      <c r="I100" s="128" t="s">
        <v>646</v>
      </c>
      <c r="J100" s="16"/>
      <c r="K100" s="127" t="s">
        <v>248</v>
      </c>
    </row>
    <row r="101" customFormat="false" ht="18" hidden="false" customHeight="true" outlineLevel="0" collapsed="false">
      <c r="A101" s="36" t="n">
        <v>46085</v>
      </c>
      <c r="B101" s="123" t="s">
        <v>651</v>
      </c>
      <c r="C101" s="123" t="s">
        <v>645</v>
      </c>
      <c r="D101" s="124" t="s">
        <v>634</v>
      </c>
      <c r="E101" s="125" t="n">
        <v>8</v>
      </c>
      <c r="F101" s="125" t="n">
        <v>14205</v>
      </c>
      <c r="G101" s="118" t="n">
        <v>113640</v>
      </c>
      <c r="H101" s="17"/>
      <c r="I101" s="126" t="n">
        <v>46750</v>
      </c>
      <c r="J101" s="19"/>
      <c r="K101" s="127" t="s">
        <v>248</v>
      </c>
    </row>
    <row r="102" customFormat="false" ht="18" hidden="false" customHeight="true" outlineLevel="0" collapsed="false">
      <c r="A102" s="36" t="n">
        <v>46085</v>
      </c>
      <c r="B102" s="123" t="s">
        <v>120</v>
      </c>
      <c r="C102" s="123" t="s">
        <v>633</v>
      </c>
      <c r="D102" s="124" t="s">
        <v>639</v>
      </c>
      <c r="E102" s="125" t="n">
        <v>1200</v>
      </c>
      <c r="F102" s="125" t="n">
        <v>3375</v>
      </c>
      <c r="G102" s="118" t="n">
        <v>4050000</v>
      </c>
      <c r="H102" s="13"/>
      <c r="I102" s="128" t="s">
        <v>646</v>
      </c>
      <c r="J102" s="18" t="s">
        <v>635</v>
      </c>
      <c r="K102" s="127" t="s">
        <v>248</v>
      </c>
    </row>
    <row r="103" customFormat="false" ht="18" hidden="false" customHeight="true" outlineLevel="0" collapsed="false">
      <c r="A103" s="36" t="n">
        <v>46085</v>
      </c>
      <c r="B103" s="123" t="s">
        <v>134</v>
      </c>
      <c r="C103" s="123" t="s">
        <v>644</v>
      </c>
      <c r="D103" s="124" t="s">
        <v>639</v>
      </c>
      <c r="E103" s="125" t="n">
        <v>1000</v>
      </c>
      <c r="F103" s="125" t="n">
        <v>2900</v>
      </c>
      <c r="G103" s="118" t="n">
        <v>2900000</v>
      </c>
      <c r="H103" s="17"/>
      <c r="I103" s="126" t="n">
        <v>46047</v>
      </c>
      <c r="J103" s="65" t="s">
        <v>642</v>
      </c>
      <c r="K103" s="127" t="s">
        <v>248</v>
      </c>
    </row>
    <row r="104" customFormat="false" ht="18" hidden="false" customHeight="true" outlineLevel="0" collapsed="false">
      <c r="A104" s="36" t="n">
        <v>46086</v>
      </c>
      <c r="B104" s="123" t="s">
        <v>68</v>
      </c>
      <c r="C104" s="123" t="s">
        <v>641</v>
      </c>
      <c r="D104" s="124" t="s">
        <v>634</v>
      </c>
      <c r="E104" s="125" t="n">
        <v>144</v>
      </c>
      <c r="F104" s="125" t="n">
        <v>7150</v>
      </c>
      <c r="G104" s="118" t="n">
        <v>1029600</v>
      </c>
      <c r="H104" s="13"/>
      <c r="I104" s="128" t="n">
        <v>46260</v>
      </c>
      <c r="J104" s="16"/>
      <c r="K104" s="127" t="s">
        <v>248</v>
      </c>
    </row>
    <row r="105" customFormat="false" ht="18" hidden="false" customHeight="true" outlineLevel="0" collapsed="false">
      <c r="A105" s="36" t="n">
        <v>46086</v>
      </c>
      <c r="B105" s="123" t="s">
        <v>71</v>
      </c>
      <c r="C105" s="123" t="s">
        <v>637</v>
      </c>
      <c r="D105" s="124" t="s">
        <v>634</v>
      </c>
      <c r="E105" s="125" t="n">
        <v>40</v>
      </c>
      <c r="F105" s="125" t="n">
        <v>7800</v>
      </c>
      <c r="G105" s="118" t="n">
        <v>312000</v>
      </c>
      <c r="H105" s="17"/>
      <c r="I105" s="126" t="n">
        <v>46150</v>
      </c>
      <c r="J105" s="19"/>
      <c r="K105" s="127" t="s">
        <v>248</v>
      </c>
    </row>
    <row r="106" customFormat="false" ht="18" hidden="false" customHeight="true" outlineLevel="0" collapsed="false">
      <c r="A106" s="36" t="n">
        <v>46087</v>
      </c>
      <c r="B106" s="123" t="s">
        <v>651</v>
      </c>
      <c r="C106" s="123" t="s">
        <v>644</v>
      </c>
      <c r="D106" s="124" t="s">
        <v>639</v>
      </c>
      <c r="E106" s="125" t="n">
        <v>80</v>
      </c>
      <c r="F106" s="125" t="n">
        <v>12600</v>
      </c>
      <c r="G106" s="118" t="n">
        <v>1008000</v>
      </c>
      <c r="H106" s="13"/>
      <c r="I106" s="128" t="n">
        <v>46759</v>
      </c>
      <c r="J106" s="16"/>
      <c r="K106" s="127" t="s">
        <v>248</v>
      </c>
    </row>
    <row r="107" customFormat="false" ht="18" hidden="false" customHeight="true" outlineLevel="0" collapsed="false">
      <c r="A107" s="36" t="n">
        <v>46087</v>
      </c>
      <c r="B107" s="123" t="s">
        <v>114</v>
      </c>
      <c r="C107" s="123" t="s">
        <v>645</v>
      </c>
      <c r="D107" s="124" t="s">
        <v>634</v>
      </c>
      <c r="E107" s="125" t="n">
        <v>2</v>
      </c>
      <c r="F107" s="125" t="n">
        <v>20800</v>
      </c>
      <c r="G107" s="118" t="n">
        <v>41600</v>
      </c>
      <c r="H107" s="17"/>
      <c r="I107" s="126" t="n">
        <v>47138</v>
      </c>
      <c r="J107" s="19"/>
      <c r="K107" s="127" t="s">
        <v>248</v>
      </c>
    </row>
    <row r="108" customFormat="false" ht="18" hidden="false" customHeight="true" outlineLevel="0" collapsed="false">
      <c r="A108" s="129"/>
      <c r="B108" s="130"/>
      <c r="C108" s="130"/>
      <c r="D108" s="131"/>
      <c r="E108" s="132"/>
      <c r="F108" s="133"/>
      <c r="G108" s="134" t="n">
        <f aca="false">IFERROR(E108*F108,"")</f>
        <v>0</v>
      </c>
      <c r="H108" s="135"/>
      <c r="I108" s="136"/>
      <c r="J108" s="137"/>
    </row>
    <row r="109" customFormat="false" ht="18" hidden="false" customHeight="true" outlineLevel="0" collapsed="false">
      <c r="A109" s="129"/>
      <c r="B109" s="130"/>
      <c r="C109" s="130"/>
      <c r="D109" s="131"/>
      <c r="E109" s="132"/>
      <c r="F109" s="133"/>
      <c r="G109" s="134" t="n">
        <f aca="false">IFERROR(E109*F109,"")</f>
        <v>0</v>
      </c>
      <c r="H109" s="138"/>
      <c r="I109" s="139"/>
      <c r="J109" s="140"/>
    </row>
    <row r="110" customFormat="false" ht="18" hidden="false" customHeight="true" outlineLevel="0" collapsed="false">
      <c r="A110" s="129"/>
      <c r="B110" s="130"/>
      <c r="C110" s="130"/>
      <c r="D110" s="131"/>
      <c r="E110" s="132"/>
      <c r="F110" s="133"/>
      <c r="G110" s="134" t="n">
        <f aca="false">IFERROR(E110*F110,"")</f>
        <v>0</v>
      </c>
      <c r="H110" s="135"/>
      <c r="I110" s="136"/>
      <c r="J110" s="137"/>
    </row>
    <row r="111" customFormat="false" ht="18" hidden="false" customHeight="true" outlineLevel="0" collapsed="false">
      <c r="A111" s="129"/>
      <c r="B111" s="130"/>
      <c r="C111" s="130"/>
      <c r="D111" s="131"/>
      <c r="E111" s="132"/>
      <c r="F111" s="133"/>
      <c r="G111" s="134" t="n">
        <f aca="false">IFERROR(E111*F111,"")</f>
        <v>0</v>
      </c>
      <c r="H111" s="138"/>
      <c r="I111" s="139"/>
      <c r="J111" s="140"/>
    </row>
    <row r="112" customFormat="false" ht="18" hidden="false" customHeight="true" outlineLevel="0" collapsed="false">
      <c r="A112" s="129"/>
      <c r="B112" s="130"/>
      <c r="C112" s="130"/>
      <c r="D112" s="131"/>
      <c r="E112" s="132"/>
      <c r="F112" s="133"/>
      <c r="G112" s="134" t="n">
        <f aca="false">IFERROR(E112*F112,"")</f>
        <v>0</v>
      </c>
      <c r="H112" s="135"/>
      <c r="I112" s="136"/>
      <c r="J112" s="137"/>
    </row>
    <row r="113" customFormat="false" ht="18" hidden="false" customHeight="true" outlineLevel="0" collapsed="false">
      <c r="A113" s="129"/>
      <c r="B113" s="130"/>
      <c r="C113" s="130"/>
      <c r="D113" s="131"/>
      <c r="E113" s="132"/>
      <c r="F113" s="133"/>
      <c r="G113" s="134" t="n">
        <f aca="false">IFERROR(E113*F113,"")</f>
        <v>0</v>
      </c>
      <c r="H113" s="138"/>
      <c r="I113" s="139"/>
      <c r="J113" s="140"/>
    </row>
    <row r="114" customFormat="false" ht="18" hidden="false" customHeight="true" outlineLevel="0" collapsed="false">
      <c r="A114" s="129"/>
      <c r="B114" s="130"/>
      <c r="C114" s="130"/>
      <c r="D114" s="131"/>
      <c r="E114" s="132"/>
      <c r="F114" s="133"/>
      <c r="G114" s="134" t="n">
        <f aca="false">IFERROR(E114*F114,"")</f>
        <v>0</v>
      </c>
      <c r="H114" s="135"/>
      <c r="I114" s="136"/>
      <c r="J114" s="137"/>
    </row>
    <row r="115" customFormat="false" ht="18" hidden="false" customHeight="true" outlineLevel="0" collapsed="false">
      <c r="A115" s="129"/>
      <c r="B115" s="130"/>
      <c r="C115" s="130"/>
      <c r="D115" s="131"/>
      <c r="E115" s="132"/>
      <c r="F115" s="133"/>
      <c r="G115" s="134" t="n">
        <f aca="false">IFERROR(E115*F115,"")</f>
        <v>0</v>
      </c>
      <c r="H115" s="138"/>
      <c r="I115" s="139"/>
      <c r="J115" s="140"/>
    </row>
    <row r="116" customFormat="false" ht="18" hidden="false" customHeight="true" outlineLevel="0" collapsed="false">
      <c r="A116" s="129"/>
      <c r="B116" s="130"/>
      <c r="C116" s="130"/>
      <c r="D116" s="131"/>
      <c r="E116" s="132"/>
      <c r="F116" s="133"/>
      <c r="G116" s="134" t="n">
        <f aca="false">IFERROR(E116*F116,"")</f>
        <v>0</v>
      </c>
      <c r="H116" s="135"/>
      <c r="I116" s="136"/>
      <c r="J116" s="137"/>
    </row>
    <row r="117" customFormat="false" ht="18" hidden="false" customHeight="true" outlineLevel="0" collapsed="false">
      <c r="A117" s="129"/>
      <c r="B117" s="130"/>
      <c r="C117" s="130"/>
      <c r="D117" s="131"/>
      <c r="E117" s="132"/>
      <c r="F117" s="133"/>
      <c r="G117" s="134" t="n">
        <f aca="false">IFERROR(E117*F117,"")</f>
        <v>0</v>
      </c>
      <c r="H117" s="138"/>
      <c r="I117" s="139"/>
      <c r="J117" s="140"/>
    </row>
    <row r="118" customFormat="false" ht="18" hidden="false" customHeight="true" outlineLevel="0" collapsed="false">
      <c r="A118" s="129"/>
      <c r="B118" s="130"/>
      <c r="C118" s="130"/>
      <c r="D118" s="131"/>
      <c r="E118" s="132"/>
      <c r="F118" s="133"/>
      <c r="G118" s="134" t="n">
        <f aca="false">IFERROR(E118*F118,"")</f>
        <v>0</v>
      </c>
      <c r="H118" s="135"/>
      <c r="I118" s="136"/>
      <c r="J118" s="137"/>
    </row>
    <row r="119" customFormat="false" ht="18" hidden="false" customHeight="true" outlineLevel="0" collapsed="false">
      <c r="A119" s="129"/>
      <c r="B119" s="130"/>
      <c r="C119" s="130"/>
      <c r="D119" s="131"/>
      <c r="E119" s="132"/>
      <c r="F119" s="133"/>
      <c r="G119" s="134" t="n">
        <f aca="false">IFERROR(E119*F119,"")</f>
        <v>0</v>
      </c>
      <c r="H119" s="138"/>
      <c r="I119" s="139"/>
      <c r="J119" s="140"/>
    </row>
    <row r="120" customFormat="false" ht="18" hidden="false" customHeight="true" outlineLevel="0" collapsed="false">
      <c r="A120" s="129"/>
      <c r="B120" s="130"/>
      <c r="C120" s="130"/>
      <c r="D120" s="131"/>
      <c r="E120" s="132"/>
      <c r="F120" s="133"/>
      <c r="G120" s="134" t="n">
        <f aca="false">IFERROR(E120*F120,"")</f>
        <v>0</v>
      </c>
      <c r="H120" s="135"/>
      <c r="I120" s="136"/>
      <c r="J120" s="137"/>
    </row>
    <row r="121" customFormat="false" ht="18" hidden="false" customHeight="true" outlineLevel="0" collapsed="false">
      <c r="A121" s="129"/>
      <c r="B121" s="130"/>
      <c r="C121" s="130"/>
      <c r="D121" s="131"/>
      <c r="E121" s="132"/>
      <c r="F121" s="133"/>
      <c r="G121" s="134" t="n">
        <f aca="false">IFERROR(E121*F121,"")</f>
        <v>0</v>
      </c>
      <c r="H121" s="138"/>
      <c r="I121" s="139"/>
      <c r="J121" s="140"/>
    </row>
    <row r="122" customFormat="false" ht="18" hidden="false" customHeight="true" outlineLevel="0" collapsed="false">
      <c r="A122" s="129"/>
      <c r="B122" s="130"/>
      <c r="C122" s="130"/>
      <c r="D122" s="131"/>
      <c r="E122" s="132"/>
      <c r="F122" s="133"/>
      <c r="G122" s="134" t="n">
        <f aca="false">IFERROR(E122*F122,"")</f>
        <v>0</v>
      </c>
      <c r="H122" s="135"/>
      <c r="I122" s="136"/>
      <c r="J122" s="137"/>
    </row>
    <row r="123" customFormat="false" ht="18" hidden="false" customHeight="true" outlineLevel="0" collapsed="false">
      <c r="A123" s="129"/>
      <c r="B123" s="130"/>
      <c r="C123" s="130"/>
      <c r="D123" s="131"/>
      <c r="E123" s="132"/>
      <c r="F123" s="133"/>
      <c r="G123" s="134" t="n">
        <f aca="false">IFERROR(E123*F123,"")</f>
        <v>0</v>
      </c>
      <c r="H123" s="138"/>
      <c r="I123" s="139"/>
      <c r="J123" s="140"/>
    </row>
    <row r="124" customFormat="false" ht="18" hidden="false" customHeight="true" outlineLevel="0" collapsed="false">
      <c r="A124" s="129"/>
      <c r="B124" s="130"/>
      <c r="C124" s="130"/>
      <c r="D124" s="131"/>
      <c r="E124" s="132"/>
      <c r="F124" s="133"/>
      <c r="G124" s="134" t="n">
        <f aca="false">IFERROR(E124*F124,"")</f>
        <v>0</v>
      </c>
      <c r="H124" s="135"/>
      <c r="I124" s="136"/>
      <c r="J124" s="137"/>
    </row>
    <row r="125" customFormat="false" ht="18" hidden="false" customHeight="true" outlineLevel="0" collapsed="false">
      <c r="A125" s="129"/>
      <c r="B125" s="130"/>
      <c r="C125" s="130"/>
      <c r="D125" s="131"/>
      <c r="E125" s="132"/>
      <c r="F125" s="133"/>
      <c r="G125" s="134" t="n">
        <f aca="false">IFERROR(E125*F125,"")</f>
        <v>0</v>
      </c>
      <c r="H125" s="138"/>
      <c r="I125" s="139"/>
      <c r="J125" s="140"/>
    </row>
    <row r="126" customFormat="false" ht="18" hidden="false" customHeight="true" outlineLevel="0" collapsed="false">
      <c r="A126" s="129"/>
      <c r="B126" s="130"/>
      <c r="C126" s="130"/>
      <c r="D126" s="131"/>
      <c r="E126" s="132"/>
      <c r="F126" s="133"/>
      <c r="G126" s="134" t="n">
        <f aca="false">IFERROR(E126*F126,"")</f>
        <v>0</v>
      </c>
      <c r="H126" s="135"/>
      <c r="I126" s="136"/>
      <c r="J126" s="137"/>
    </row>
    <row r="127" customFormat="false" ht="18" hidden="false" customHeight="true" outlineLevel="0" collapsed="false">
      <c r="A127" s="129"/>
      <c r="B127" s="130"/>
      <c r="C127" s="130"/>
      <c r="D127" s="131"/>
      <c r="E127" s="132"/>
      <c r="F127" s="133"/>
      <c r="G127" s="134" t="n">
        <f aca="false">IFERROR(E127*F127,"")</f>
        <v>0</v>
      </c>
      <c r="H127" s="138"/>
      <c r="I127" s="139"/>
      <c r="J127" s="140"/>
    </row>
    <row r="128" customFormat="false" ht="18" hidden="false" customHeight="true" outlineLevel="0" collapsed="false">
      <c r="A128" s="129"/>
      <c r="B128" s="130"/>
      <c r="C128" s="130"/>
      <c r="D128" s="131"/>
      <c r="E128" s="132"/>
      <c r="F128" s="133"/>
      <c r="G128" s="134" t="n">
        <f aca="false">IFERROR(E128*F128,"")</f>
        <v>0</v>
      </c>
      <c r="H128" s="135"/>
      <c r="I128" s="136"/>
      <c r="J128" s="137"/>
    </row>
    <row r="129" customFormat="false" ht="18" hidden="false" customHeight="true" outlineLevel="0" collapsed="false">
      <c r="A129" s="129"/>
      <c r="B129" s="130"/>
      <c r="C129" s="130"/>
      <c r="D129" s="131"/>
      <c r="E129" s="132"/>
      <c r="F129" s="133"/>
      <c r="G129" s="134" t="n">
        <f aca="false">IFERROR(E129*F129,"")</f>
        <v>0</v>
      </c>
      <c r="H129" s="138"/>
      <c r="I129" s="139"/>
      <c r="J129" s="140"/>
    </row>
    <row r="130" customFormat="false" ht="18" hidden="false" customHeight="true" outlineLevel="0" collapsed="false">
      <c r="A130" s="129"/>
      <c r="B130" s="130"/>
      <c r="C130" s="130"/>
      <c r="D130" s="131"/>
      <c r="E130" s="132"/>
      <c r="F130" s="133"/>
      <c r="G130" s="134" t="n">
        <f aca="false">IFERROR(E130*F130,"")</f>
        <v>0</v>
      </c>
      <c r="H130" s="135"/>
      <c r="I130" s="136"/>
      <c r="J130" s="137"/>
    </row>
    <row r="131" customFormat="false" ht="18" hidden="false" customHeight="true" outlineLevel="0" collapsed="false">
      <c r="A131" s="129"/>
      <c r="B131" s="130"/>
      <c r="C131" s="130"/>
      <c r="D131" s="131"/>
      <c r="E131" s="132"/>
      <c r="F131" s="133"/>
      <c r="G131" s="134" t="n">
        <f aca="false">IFERROR(E131*F131,"")</f>
        <v>0</v>
      </c>
      <c r="H131" s="138"/>
      <c r="I131" s="139"/>
      <c r="J131" s="140"/>
    </row>
    <row r="132" customFormat="false" ht="18" hidden="false" customHeight="true" outlineLevel="0" collapsed="false">
      <c r="A132" s="129"/>
      <c r="B132" s="130"/>
      <c r="C132" s="130"/>
      <c r="D132" s="131"/>
      <c r="E132" s="132"/>
      <c r="F132" s="133"/>
      <c r="G132" s="134" t="n">
        <f aca="false">IFERROR(E132*F132,"")</f>
        <v>0</v>
      </c>
      <c r="H132" s="135"/>
      <c r="I132" s="136"/>
      <c r="J132" s="137"/>
    </row>
    <row r="133" customFormat="false" ht="18" hidden="false" customHeight="true" outlineLevel="0" collapsed="false">
      <c r="A133" s="129"/>
      <c r="B133" s="130"/>
      <c r="C133" s="130"/>
      <c r="D133" s="131"/>
      <c r="E133" s="132"/>
      <c r="F133" s="133"/>
      <c r="G133" s="134" t="n">
        <f aca="false">IFERROR(E133*F133,"")</f>
        <v>0</v>
      </c>
      <c r="H133" s="138"/>
      <c r="I133" s="139"/>
      <c r="J133" s="140"/>
    </row>
    <row r="134" customFormat="false" ht="18" hidden="false" customHeight="true" outlineLevel="0" collapsed="false">
      <c r="A134" s="129"/>
      <c r="B134" s="130"/>
      <c r="C134" s="130"/>
      <c r="D134" s="131"/>
      <c r="E134" s="132"/>
      <c r="F134" s="133"/>
      <c r="G134" s="134" t="n">
        <f aca="false">IFERROR(E134*F134,"")</f>
        <v>0</v>
      </c>
      <c r="H134" s="135"/>
      <c r="I134" s="136"/>
      <c r="J134" s="137"/>
    </row>
    <row r="135" customFormat="false" ht="18" hidden="false" customHeight="true" outlineLevel="0" collapsed="false">
      <c r="A135" s="129"/>
      <c r="B135" s="130"/>
      <c r="C135" s="130"/>
      <c r="D135" s="131"/>
      <c r="E135" s="132"/>
      <c r="F135" s="133"/>
      <c r="G135" s="134" t="n">
        <f aca="false">IFERROR(E135*F135,"")</f>
        <v>0</v>
      </c>
      <c r="H135" s="138"/>
      <c r="I135" s="139"/>
      <c r="J135" s="140"/>
    </row>
    <row r="136" customFormat="false" ht="18" hidden="false" customHeight="true" outlineLevel="0" collapsed="false">
      <c r="A136" s="129"/>
      <c r="B136" s="130"/>
      <c r="C136" s="130"/>
      <c r="D136" s="131"/>
      <c r="E136" s="132"/>
      <c r="F136" s="133"/>
      <c r="G136" s="134" t="n">
        <f aca="false">IFERROR(E136*F136,"")</f>
        <v>0</v>
      </c>
      <c r="H136" s="135"/>
      <c r="I136" s="136"/>
      <c r="J136" s="137"/>
    </row>
    <row r="137" customFormat="false" ht="18" hidden="false" customHeight="true" outlineLevel="0" collapsed="false">
      <c r="A137" s="129"/>
      <c r="B137" s="130"/>
      <c r="C137" s="130"/>
      <c r="D137" s="131"/>
      <c r="E137" s="132"/>
      <c r="F137" s="133"/>
      <c r="G137" s="134" t="n">
        <f aca="false">IFERROR(E137*F137,"")</f>
        <v>0</v>
      </c>
      <c r="H137" s="138"/>
      <c r="I137" s="139"/>
      <c r="J137" s="140"/>
    </row>
    <row r="138" customFormat="false" ht="18" hidden="false" customHeight="true" outlineLevel="0" collapsed="false">
      <c r="A138" s="129"/>
      <c r="B138" s="130"/>
      <c r="C138" s="130"/>
      <c r="D138" s="131"/>
      <c r="E138" s="132"/>
      <c r="F138" s="133"/>
      <c r="G138" s="134" t="n">
        <f aca="false">IFERROR(E138*F138,"")</f>
        <v>0</v>
      </c>
      <c r="H138" s="135"/>
      <c r="I138" s="136"/>
      <c r="J138" s="137"/>
    </row>
    <row r="139" customFormat="false" ht="18" hidden="false" customHeight="true" outlineLevel="0" collapsed="false">
      <c r="A139" s="129"/>
      <c r="B139" s="130"/>
      <c r="C139" s="130"/>
      <c r="D139" s="131"/>
      <c r="E139" s="132"/>
      <c r="F139" s="133"/>
      <c r="G139" s="134" t="n">
        <f aca="false">IFERROR(E139*F139,"")</f>
        <v>0</v>
      </c>
      <c r="H139" s="138"/>
      <c r="I139" s="139"/>
      <c r="J139" s="140"/>
    </row>
    <row r="140" customFormat="false" ht="18" hidden="false" customHeight="true" outlineLevel="0" collapsed="false">
      <c r="A140" s="129"/>
      <c r="B140" s="130"/>
      <c r="C140" s="130"/>
      <c r="D140" s="131"/>
      <c r="E140" s="132"/>
      <c r="F140" s="133"/>
      <c r="G140" s="134" t="n">
        <f aca="false">IFERROR(E140*F140,"")</f>
        <v>0</v>
      </c>
      <c r="H140" s="135"/>
      <c r="I140" s="136"/>
      <c r="J140" s="137"/>
    </row>
    <row r="141" customFormat="false" ht="18" hidden="false" customHeight="true" outlineLevel="0" collapsed="false">
      <c r="A141" s="129"/>
      <c r="B141" s="130"/>
      <c r="C141" s="130"/>
      <c r="D141" s="131"/>
      <c r="E141" s="132"/>
      <c r="F141" s="133"/>
      <c r="G141" s="134" t="n">
        <f aca="false">IFERROR(E141*F141,"")</f>
        <v>0</v>
      </c>
      <c r="H141" s="138"/>
      <c r="I141" s="139"/>
      <c r="J141" s="140"/>
    </row>
    <row r="142" customFormat="false" ht="18" hidden="false" customHeight="true" outlineLevel="0" collapsed="false">
      <c r="A142" s="129"/>
      <c r="B142" s="130"/>
      <c r="C142" s="130"/>
      <c r="D142" s="131"/>
      <c r="E142" s="132"/>
      <c r="F142" s="133"/>
      <c r="G142" s="134" t="n">
        <f aca="false">IFERROR(E142*F142,"")</f>
        <v>0</v>
      </c>
      <c r="H142" s="135"/>
      <c r="I142" s="136"/>
      <c r="J142" s="137"/>
    </row>
    <row r="143" customFormat="false" ht="18" hidden="false" customHeight="true" outlineLevel="0" collapsed="false">
      <c r="A143" s="129"/>
      <c r="B143" s="130"/>
      <c r="C143" s="130"/>
      <c r="D143" s="131"/>
      <c r="E143" s="132"/>
      <c r="F143" s="133"/>
      <c r="G143" s="134" t="n">
        <f aca="false">IFERROR(E143*F143,"")</f>
        <v>0</v>
      </c>
      <c r="H143" s="138"/>
      <c r="I143" s="139"/>
      <c r="J143" s="140"/>
    </row>
    <row r="144" customFormat="false" ht="18" hidden="false" customHeight="true" outlineLevel="0" collapsed="false">
      <c r="A144" s="129"/>
      <c r="B144" s="130"/>
      <c r="C144" s="130"/>
      <c r="D144" s="131"/>
      <c r="E144" s="132"/>
      <c r="F144" s="133"/>
      <c r="G144" s="134" t="n">
        <f aca="false">IFERROR(E144*F144,"")</f>
        <v>0</v>
      </c>
      <c r="H144" s="135"/>
      <c r="I144" s="136"/>
      <c r="J144" s="137"/>
    </row>
    <row r="145" customFormat="false" ht="18" hidden="false" customHeight="true" outlineLevel="0" collapsed="false">
      <c r="A145" s="129"/>
      <c r="B145" s="130"/>
      <c r="C145" s="130"/>
      <c r="D145" s="131"/>
      <c r="E145" s="132"/>
      <c r="F145" s="133"/>
      <c r="G145" s="134" t="n">
        <f aca="false">IFERROR(E145*F145,"")</f>
        <v>0</v>
      </c>
      <c r="H145" s="138"/>
      <c r="I145" s="139"/>
      <c r="J145" s="140"/>
    </row>
    <row r="146" customFormat="false" ht="18" hidden="false" customHeight="true" outlineLevel="0" collapsed="false">
      <c r="A146" s="129"/>
      <c r="B146" s="130"/>
      <c r="C146" s="130"/>
      <c r="D146" s="131"/>
      <c r="E146" s="132"/>
      <c r="F146" s="133"/>
      <c r="G146" s="134" t="n">
        <f aca="false">IFERROR(E146*F146,"")</f>
        <v>0</v>
      </c>
      <c r="H146" s="135"/>
      <c r="I146" s="136"/>
      <c r="J146" s="137"/>
    </row>
    <row r="147" customFormat="false" ht="18" hidden="false" customHeight="true" outlineLevel="0" collapsed="false">
      <c r="A147" s="129"/>
      <c r="B147" s="130"/>
      <c r="C147" s="130"/>
      <c r="D147" s="131"/>
      <c r="E147" s="132"/>
      <c r="F147" s="133"/>
      <c r="G147" s="134" t="n">
        <f aca="false">IFERROR(E147*F147,"")</f>
        <v>0</v>
      </c>
      <c r="H147" s="138"/>
      <c r="I147" s="139"/>
      <c r="J147" s="140"/>
    </row>
    <row r="148" customFormat="false" ht="18" hidden="false" customHeight="true" outlineLevel="0" collapsed="false">
      <c r="A148" s="129"/>
      <c r="B148" s="130"/>
      <c r="C148" s="130"/>
      <c r="D148" s="131"/>
      <c r="E148" s="132"/>
      <c r="F148" s="133"/>
      <c r="G148" s="134" t="n">
        <f aca="false">IFERROR(E148*F148,"")</f>
        <v>0</v>
      </c>
      <c r="H148" s="135"/>
      <c r="I148" s="136"/>
      <c r="J148" s="137"/>
    </row>
    <row r="149" customFormat="false" ht="18" hidden="false" customHeight="true" outlineLevel="0" collapsed="false">
      <c r="A149" s="129"/>
      <c r="B149" s="130"/>
      <c r="C149" s="130"/>
      <c r="D149" s="131"/>
      <c r="E149" s="132"/>
      <c r="F149" s="133"/>
      <c r="G149" s="134" t="n">
        <f aca="false">IFERROR(E149*F149,"")</f>
        <v>0</v>
      </c>
      <c r="H149" s="138"/>
      <c r="I149" s="139"/>
      <c r="J149" s="140"/>
    </row>
    <row r="150" customFormat="false" ht="18" hidden="false" customHeight="true" outlineLevel="0" collapsed="false">
      <c r="A150" s="129"/>
      <c r="B150" s="130"/>
      <c r="C150" s="130"/>
      <c r="D150" s="131"/>
      <c r="E150" s="132"/>
      <c r="F150" s="133"/>
      <c r="G150" s="134" t="n">
        <f aca="false">IFERROR(E150*F150,"")</f>
        <v>0</v>
      </c>
      <c r="H150" s="135"/>
      <c r="I150" s="136"/>
      <c r="J150" s="137"/>
    </row>
    <row r="151" customFormat="false" ht="18" hidden="false" customHeight="true" outlineLevel="0" collapsed="false">
      <c r="A151" s="129"/>
      <c r="B151" s="130"/>
      <c r="C151" s="130"/>
      <c r="D151" s="131"/>
      <c r="E151" s="132"/>
      <c r="F151" s="133"/>
      <c r="G151" s="134" t="n">
        <f aca="false">IFERROR(E151*F151,"")</f>
        <v>0</v>
      </c>
      <c r="H151" s="138"/>
      <c r="I151" s="139"/>
      <c r="J151" s="140"/>
    </row>
    <row r="152" customFormat="false" ht="18" hidden="false" customHeight="true" outlineLevel="0" collapsed="false">
      <c r="A152" s="129"/>
      <c r="B152" s="130"/>
      <c r="C152" s="130"/>
      <c r="D152" s="131"/>
      <c r="E152" s="132"/>
      <c r="F152" s="133"/>
      <c r="G152" s="134" t="n">
        <f aca="false">IFERROR(E152*F152,"")</f>
        <v>0</v>
      </c>
      <c r="H152" s="135"/>
      <c r="I152" s="136"/>
      <c r="J152" s="137"/>
    </row>
    <row r="153" customFormat="false" ht="18" hidden="false" customHeight="true" outlineLevel="0" collapsed="false">
      <c r="A153" s="129"/>
      <c r="B153" s="130"/>
      <c r="C153" s="130"/>
      <c r="D153" s="131"/>
      <c r="E153" s="132"/>
      <c r="F153" s="133"/>
      <c r="G153" s="134" t="n">
        <f aca="false">IFERROR(E153*F153,"")</f>
        <v>0</v>
      </c>
      <c r="H153" s="138"/>
      <c r="I153" s="139"/>
      <c r="J153" s="140"/>
    </row>
    <row r="154" customFormat="false" ht="18" hidden="false" customHeight="true" outlineLevel="0" collapsed="false">
      <c r="A154" s="129"/>
      <c r="B154" s="130"/>
      <c r="C154" s="130"/>
      <c r="D154" s="131"/>
      <c r="E154" s="132"/>
      <c r="F154" s="133"/>
      <c r="G154" s="134" t="n">
        <f aca="false">IFERROR(E154*F154,"")</f>
        <v>0</v>
      </c>
      <c r="H154" s="135"/>
      <c r="I154" s="136"/>
      <c r="J154" s="137"/>
    </row>
    <row r="155" customFormat="false" ht="18" hidden="false" customHeight="true" outlineLevel="0" collapsed="false">
      <c r="A155" s="129"/>
      <c r="B155" s="130"/>
      <c r="C155" s="130"/>
      <c r="D155" s="131"/>
      <c r="E155" s="132"/>
      <c r="F155" s="133"/>
      <c r="G155" s="134" t="n">
        <f aca="false">IFERROR(E155*F155,"")</f>
        <v>0</v>
      </c>
      <c r="H155" s="138"/>
      <c r="I155" s="139"/>
      <c r="J155" s="140"/>
    </row>
    <row r="156" customFormat="false" ht="18" hidden="false" customHeight="true" outlineLevel="0" collapsed="false">
      <c r="A156" s="129"/>
      <c r="B156" s="130"/>
      <c r="C156" s="130"/>
      <c r="D156" s="131"/>
      <c r="E156" s="132"/>
      <c r="F156" s="133"/>
      <c r="G156" s="134" t="n">
        <f aca="false">IFERROR(E156*F156,"")</f>
        <v>0</v>
      </c>
      <c r="H156" s="135"/>
      <c r="I156" s="136"/>
      <c r="J156" s="137"/>
    </row>
    <row r="157" customFormat="false" ht="18" hidden="false" customHeight="true" outlineLevel="0" collapsed="false">
      <c r="A157" s="129"/>
      <c r="B157" s="130"/>
      <c r="C157" s="130"/>
      <c r="D157" s="131"/>
      <c r="E157" s="132"/>
      <c r="F157" s="133"/>
      <c r="G157" s="134" t="n">
        <f aca="false">IFERROR(E157*F157,"")</f>
        <v>0</v>
      </c>
      <c r="H157" s="138"/>
      <c r="I157" s="139"/>
      <c r="J157" s="140"/>
    </row>
    <row r="158" customFormat="false" ht="18" hidden="false" customHeight="true" outlineLevel="0" collapsed="false">
      <c r="A158" s="129"/>
      <c r="B158" s="130"/>
      <c r="C158" s="130"/>
      <c r="D158" s="131"/>
      <c r="E158" s="132"/>
      <c r="F158" s="133"/>
      <c r="G158" s="134" t="n">
        <f aca="false">IFERROR(E158*F158,"")</f>
        <v>0</v>
      </c>
      <c r="H158" s="135"/>
      <c r="I158" s="136"/>
      <c r="J158" s="137"/>
    </row>
    <row r="159" customFormat="false" ht="18" hidden="false" customHeight="true" outlineLevel="0" collapsed="false">
      <c r="A159" s="129"/>
      <c r="B159" s="130"/>
      <c r="C159" s="130"/>
      <c r="D159" s="131"/>
      <c r="E159" s="132"/>
      <c r="F159" s="133"/>
      <c r="G159" s="134" t="n">
        <f aca="false">IFERROR(E159*F159,"")</f>
        <v>0</v>
      </c>
      <c r="H159" s="138"/>
      <c r="I159" s="139"/>
      <c r="J159" s="140"/>
    </row>
    <row r="160" customFormat="false" ht="18" hidden="false" customHeight="true" outlineLevel="0" collapsed="false">
      <c r="A160" s="129"/>
      <c r="B160" s="130"/>
      <c r="C160" s="130"/>
      <c r="D160" s="131"/>
      <c r="E160" s="132"/>
      <c r="F160" s="133"/>
      <c r="G160" s="134" t="n">
        <f aca="false">IFERROR(E160*F160,"")</f>
        <v>0</v>
      </c>
      <c r="H160" s="135"/>
      <c r="I160" s="136"/>
      <c r="J160" s="137"/>
    </row>
    <row r="161" customFormat="false" ht="18" hidden="false" customHeight="true" outlineLevel="0" collapsed="false">
      <c r="A161" s="129"/>
      <c r="B161" s="130"/>
      <c r="C161" s="130"/>
      <c r="D161" s="131"/>
      <c r="E161" s="132"/>
      <c r="F161" s="133"/>
      <c r="G161" s="134" t="n">
        <f aca="false">IFERROR(E161*F161,"")</f>
        <v>0</v>
      </c>
      <c r="H161" s="138"/>
      <c r="I161" s="139"/>
      <c r="J161" s="140"/>
    </row>
    <row r="162" customFormat="false" ht="18" hidden="false" customHeight="true" outlineLevel="0" collapsed="false">
      <c r="A162" s="129"/>
      <c r="B162" s="130"/>
      <c r="C162" s="130"/>
      <c r="D162" s="131"/>
      <c r="E162" s="132"/>
      <c r="F162" s="133"/>
      <c r="G162" s="134" t="n">
        <f aca="false">IFERROR(E162*F162,"")</f>
        <v>0</v>
      </c>
      <c r="H162" s="135"/>
      <c r="I162" s="136"/>
      <c r="J162" s="137"/>
    </row>
    <row r="163" customFormat="false" ht="18" hidden="false" customHeight="true" outlineLevel="0" collapsed="false">
      <c r="A163" s="129"/>
      <c r="B163" s="130"/>
      <c r="C163" s="130"/>
      <c r="D163" s="131"/>
      <c r="E163" s="132"/>
      <c r="F163" s="133"/>
      <c r="G163" s="134" t="n">
        <f aca="false">IFERROR(E163*F163,"")</f>
        <v>0</v>
      </c>
      <c r="H163" s="138"/>
      <c r="I163" s="139"/>
      <c r="J163" s="140"/>
    </row>
    <row r="164" customFormat="false" ht="18" hidden="false" customHeight="true" outlineLevel="0" collapsed="false">
      <c r="A164" s="129"/>
      <c r="B164" s="130"/>
      <c r="C164" s="130"/>
      <c r="D164" s="131"/>
      <c r="E164" s="132"/>
      <c r="F164" s="133"/>
      <c r="G164" s="134" t="n">
        <f aca="false">IFERROR(E164*F164,"")</f>
        <v>0</v>
      </c>
      <c r="H164" s="135"/>
      <c r="I164" s="136"/>
      <c r="J164" s="137"/>
    </row>
    <row r="165" customFormat="false" ht="18" hidden="false" customHeight="true" outlineLevel="0" collapsed="false">
      <c r="A165" s="129"/>
      <c r="B165" s="130"/>
      <c r="C165" s="130"/>
      <c r="D165" s="131"/>
      <c r="E165" s="132"/>
      <c r="F165" s="133"/>
      <c r="G165" s="134" t="n">
        <f aca="false">IFERROR(E165*F165,"")</f>
        <v>0</v>
      </c>
      <c r="H165" s="138"/>
      <c r="I165" s="139"/>
      <c r="J165" s="140"/>
    </row>
    <row r="166" customFormat="false" ht="18" hidden="false" customHeight="true" outlineLevel="0" collapsed="false">
      <c r="A166" s="129"/>
      <c r="B166" s="130"/>
      <c r="C166" s="130"/>
      <c r="D166" s="131"/>
      <c r="E166" s="132"/>
      <c r="F166" s="133"/>
      <c r="G166" s="134" t="n">
        <f aca="false">IFERROR(E166*F166,"")</f>
        <v>0</v>
      </c>
      <c r="H166" s="135"/>
      <c r="I166" s="136"/>
      <c r="J166" s="137"/>
    </row>
    <row r="167" customFormat="false" ht="18" hidden="false" customHeight="true" outlineLevel="0" collapsed="false">
      <c r="A167" s="129"/>
      <c r="B167" s="130"/>
      <c r="C167" s="130"/>
      <c r="D167" s="131"/>
      <c r="E167" s="132"/>
      <c r="F167" s="133"/>
      <c r="G167" s="134" t="n">
        <f aca="false">IFERROR(E167*F167,"")</f>
        <v>0</v>
      </c>
      <c r="H167" s="138"/>
      <c r="I167" s="139"/>
      <c r="J167" s="140"/>
    </row>
    <row r="168" customFormat="false" ht="18" hidden="false" customHeight="true" outlineLevel="0" collapsed="false">
      <c r="A168" s="129"/>
      <c r="B168" s="130"/>
      <c r="C168" s="130"/>
      <c r="D168" s="131"/>
      <c r="E168" s="132"/>
      <c r="F168" s="133"/>
      <c r="G168" s="134" t="n">
        <f aca="false">IFERROR(E168*F168,"")</f>
        <v>0</v>
      </c>
      <c r="H168" s="135"/>
      <c r="I168" s="136"/>
      <c r="J168" s="137"/>
    </row>
    <row r="169" customFormat="false" ht="18" hidden="false" customHeight="true" outlineLevel="0" collapsed="false">
      <c r="A169" s="129"/>
      <c r="B169" s="130"/>
      <c r="C169" s="130"/>
      <c r="D169" s="131"/>
      <c r="E169" s="132"/>
      <c r="F169" s="133"/>
      <c r="G169" s="134" t="n">
        <f aca="false">IFERROR(E169*F169,"")</f>
        <v>0</v>
      </c>
      <c r="H169" s="138"/>
      <c r="I169" s="139"/>
      <c r="J169" s="140"/>
    </row>
    <row r="170" customFormat="false" ht="18" hidden="false" customHeight="true" outlineLevel="0" collapsed="false">
      <c r="A170" s="129"/>
      <c r="B170" s="130"/>
      <c r="C170" s="130"/>
      <c r="D170" s="131"/>
      <c r="E170" s="132"/>
      <c r="F170" s="133"/>
      <c r="G170" s="134" t="n">
        <f aca="false">IFERROR(E170*F170,"")</f>
        <v>0</v>
      </c>
      <c r="H170" s="135"/>
      <c r="I170" s="136"/>
      <c r="J170" s="137"/>
    </row>
    <row r="171" customFormat="false" ht="18" hidden="false" customHeight="true" outlineLevel="0" collapsed="false">
      <c r="A171" s="129"/>
      <c r="B171" s="130"/>
      <c r="C171" s="130"/>
      <c r="D171" s="131"/>
      <c r="E171" s="132"/>
      <c r="F171" s="133"/>
      <c r="G171" s="134" t="n">
        <f aca="false">IFERROR(E171*F171,"")</f>
        <v>0</v>
      </c>
      <c r="H171" s="138"/>
      <c r="I171" s="139"/>
      <c r="J171" s="140"/>
    </row>
    <row r="172" customFormat="false" ht="18" hidden="false" customHeight="true" outlineLevel="0" collapsed="false">
      <c r="A172" s="129"/>
      <c r="B172" s="130"/>
      <c r="C172" s="130"/>
      <c r="D172" s="131"/>
      <c r="E172" s="132"/>
      <c r="F172" s="133"/>
      <c r="G172" s="134" t="n">
        <f aca="false">IFERROR(E172*F172,"")</f>
        <v>0</v>
      </c>
      <c r="H172" s="135"/>
      <c r="I172" s="136"/>
      <c r="J172" s="137"/>
    </row>
    <row r="173" customFormat="false" ht="18" hidden="false" customHeight="true" outlineLevel="0" collapsed="false">
      <c r="A173" s="129"/>
      <c r="B173" s="130"/>
      <c r="C173" s="130"/>
      <c r="D173" s="131"/>
      <c r="E173" s="132"/>
      <c r="F173" s="133"/>
      <c r="G173" s="134" t="n">
        <f aca="false">IFERROR(E173*F173,"")</f>
        <v>0</v>
      </c>
      <c r="H173" s="138"/>
      <c r="I173" s="139"/>
      <c r="J173" s="140"/>
    </row>
    <row r="174" customFormat="false" ht="18" hidden="false" customHeight="true" outlineLevel="0" collapsed="false">
      <c r="A174" s="129"/>
      <c r="B174" s="130"/>
      <c r="C174" s="130"/>
      <c r="D174" s="131"/>
      <c r="E174" s="132"/>
      <c r="F174" s="133"/>
      <c r="G174" s="134" t="n">
        <f aca="false">IFERROR(E174*F174,"")</f>
        <v>0</v>
      </c>
      <c r="H174" s="135"/>
      <c r="I174" s="136"/>
      <c r="J174" s="137"/>
    </row>
    <row r="175" customFormat="false" ht="18" hidden="false" customHeight="true" outlineLevel="0" collapsed="false">
      <c r="A175" s="129"/>
      <c r="B175" s="130"/>
      <c r="C175" s="130"/>
      <c r="D175" s="131"/>
      <c r="E175" s="132"/>
      <c r="F175" s="133"/>
      <c r="G175" s="134" t="n">
        <f aca="false">IFERROR(E175*F175,"")</f>
        <v>0</v>
      </c>
      <c r="H175" s="138"/>
      <c r="I175" s="139"/>
      <c r="J175" s="140"/>
    </row>
    <row r="176" customFormat="false" ht="18" hidden="false" customHeight="true" outlineLevel="0" collapsed="false">
      <c r="A176" s="129"/>
      <c r="B176" s="130"/>
      <c r="C176" s="130"/>
      <c r="D176" s="131"/>
      <c r="E176" s="132"/>
      <c r="F176" s="133"/>
      <c r="G176" s="134" t="n">
        <f aca="false">IFERROR(E176*F176,"")</f>
        <v>0</v>
      </c>
      <c r="H176" s="135"/>
      <c r="I176" s="136"/>
      <c r="J176" s="137"/>
    </row>
    <row r="177" customFormat="false" ht="18" hidden="false" customHeight="true" outlineLevel="0" collapsed="false">
      <c r="A177" s="129"/>
      <c r="B177" s="130"/>
      <c r="C177" s="130"/>
      <c r="D177" s="131"/>
      <c r="E177" s="132"/>
      <c r="F177" s="133"/>
      <c r="G177" s="134" t="n">
        <f aca="false">IFERROR(E177*F177,"")</f>
        <v>0</v>
      </c>
      <c r="H177" s="138"/>
      <c r="I177" s="139"/>
      <c r="J177" s="140"/>
    </row>
    <row r="178" customFormat="false" ht="18" hidden="false" customHeight="true" outlineLevel="0" collapsed="false">
      <c r="A178" s="129"/>
      <c r="B178" s="130"/>
      <c r="C178" s="130"/>
      <c r="D178" s="131"/>
      <c r="E178" s="132"/>
      <c r="F178" s="133"/>
      <c r="G178" s="134" t="n">
        <f aca="false">IFERROR(E178*F178,"")</f>
        <v>0</v>
      </c>
      <c r="H178" s="135"/>
      <c r="I178" s="136"/>
      <c r="J178" s="137"/>
    </row>
    <row r="179" customFormat="false" ht="18" hidden="false" customHeight="true" outlineLevel="0" collapsed="false">
      <c r="A179" s="129"/>
      <c r="B179" s="130"/>
      <c r="C179" s="130"/>
      <c r="D179" s="131"/>
      <c r="E179" s="132"/>
      <c r="F179" s="133"/>
      <c r="G179" s="134" t="n">
        <f aca="false">IFERROR(E179*F179,"")</f>
        <v>0</v>
      </c>
      <c r="H179" s="138"/>
      <c r="I179" s="139"/>
      <c r="J179" s="140"/>
    </row>
    <row r="180" customFormat="false" ht="18" hidden="false" customHeight="true" outlineLevel="0" collapsed="false">
      <c r="A180" s="129"/>
      <c r="B180" s="130"/>
      <c r="C180" s="130"/>
      <c r="D180" s="131"/>
      <c r="E180" s="132"/>
      <c r="F180" s="133"/>
      <c r="G180" s="134" t="n">
        <f aca="false">IFERROR(E180*F180,"")</f>
        <v>0</v>
      </c>
      <c r="H180" s="135"/>
      <c r="I180" s="136"/>
      <c r="J180" s="137"/>
    </row>
    <row r="181" customFormat="false" ht="18" hidden="false" customHeight="true" outlineLevel="0" collapsed="false">
      <c r="A181" s="129"/>
      <c r="B181" s="130"/>
      <c r="C181" s="130"/>
      <c r="D181" s="131"/>
      <c r="E181" s="132"/>
      <c r="F181" s="133"/>
      <c r="G181" s="134" t="n">
        <f aca="false">IFERROR(E181*F181,"")</f>
        <v>0</v>
      </c>
      <c r="H181" s="138"/>
      <c r="I181" s="139"/>
      <c r="J181" s="140"/>
    </row>
    <row r="182" customFormat="false" ht="18" hidden="false" customHeight="true" outlineLevel="0" collapsed="false">
      <c r="A182" s="129"/>
      <c r="B182" s="130"/>
      <c r="C182" s="130"/>
      <c r="D182" s="131"/>
      <c r="E182" s="132"/>
      <c r="F182" s="133"/>
      <c r="G182" s="134" t="n">
        <f aca="false">IFERROR(E182*F182,"")</f>
        <v>0</v>
      </c>
      <c r="H182" s="135"/>
      <c r="I182" s="136"/>
      <c r="J182" s="137"/>
    </row>
    <row r="183" customFormat="false" ht="18" hidden="false" customHeight="true" outlineLevel="0" collapsed="false">
      <c r="A183" s="129"/>
      <c r="B183" s="130"/>
      <c r="C183" s="130"/>
      <c r="D183" s="131"/>
      <c r="E183" s="132"/>
      <c r="F183" s="133"/>
      <c r="G183" s="134" t="n">
        <f aca="false">IFERROR(E183*F183,"")</f>
        <v>0</v>
      </c>
      <c r="H183" s="138"/>
      <c r="I183" s="139"/>
      <c r="J183" s="140"/>
    </row>
    <row r="184" customFormat="false" ht="18" hidden="false" customHeight="true" outlineLevel="0" collapsed="false">
      <c r="A184" s="129"/>
      <c r="B184" s="130"/>
      <c r="C184" s="130"/>
      <c r="D184" s="131"/>
      <c r="E184" s="132"/>
      <c r="F184" s="133"/>
      <c r="G184" s="134" t="n">
        <f aca="false">IFERROR(E184*F184,"")</f>
        <v>0</v>
      </c>
      <c r="H184" s="135"/>
      <c r="I184" s="136"/>
      <c r="J184" s="137"/>
    </row>
    <row r="185" customFormat="false" ht="18" hidden="false" customHeight="true" outlineLevel="0" collapsed="false">
      <c r="A185" s="129"/>
      <c r="B185" s="130"/>
      <c r="C185" s="130"/>
      <c r="D185" s="131"/>
      <c r="E185" s="132"/>
      <c r="F185" s="133"/>
      <c r="G185" s="134" t="n">
        <f aca="false">IFERROR(E185*F185,"")</f>
        <v>0</v>
      </c>
      <c r="H185" s="138"/>
      <c r="I185" s="139"/>
      <c r="J185" s="140"/>
    </row>
    <row r="186" customFormat="false" ht="18" hidden="false" customHeight="true" outlineLevel="0" collapsed="false">
      <c r="A186" s="129"/>
      <c r="B186" s="130"/>
      <c r="C186" s="130"/>
      <c r="D186" s="131"/>
      <c r="E186" s="132"/>
      <c r="F186" s="133"/>
      <c r="G186" s="134" t="n">
        <f aca="false">IFERROR(E186*F186,"")</f>
        <v>0</v>
      </c>
      <c r="H186" s="135"/>
      <c r="I186" s="136"/>
      <c r="J186" s="137"/>
    </row>
    <row r="187" customFormat="false" ht="18" hidden="false" customHeight="true" outlineLevel="0" collapsed="false">
      <c r="A187" s="129"/>
      <c r="B187" s="130"/>
      <c r="C187" s="130"/>
      <c r="D187" s="131"/>
      <c r="E187" s="132"/>
      <c r="F187" s="133"/>
      <c r="G187" s="134" t="n">
        <f aca="false">IFERROR(E187*F187,"")</f>
        <v>0</v>
      </c>
      <c r="H187" s="138"/>
      <c r="I187" s="139"/>
      <c r="J187" s="140"/>
    </row>
    <row r="188" customFormat="false" ht="18" hidden="false" customHeight="true" outlineLevel="0" collapsed="false">
      <c r="A188" s="129"/>
      <c r="B188" s="130"/>
      <c r="C188" s="130"/>
      <c r="D188" s="131"/>
      <c r="E188" s="132"/>
      <c r="F188" s="133"/>
      <c r="G188" s="134" t="n">
        <f aca="false">IFERROR(E188*F188,"")</f>
        <v>0</v>
      </c>
      <c r="H188" s="135"/>
      <c r="I188" s="136"/>
      <c r="J188" s="137"/>
    </row>
    <row r="189" customFormat="false" ht="18" hidden="false" customHeight="true" outlineLevel="0" collapsed="false">
      <c r="A189" s="129"/>
      <c r="B189" s="130"/>
      <c r="C189" s="130"/>
      <c r="D189" s="131"/>
      <c r="E189" s="132"/>
      <c r="F189" s="133"/>
      <c r="G189" s="134" t="n">
        <f aca="false">IFERROR(E189*F189,"")</f>
        <v>0</v>
      </c>
      <c r="H189" s="138"/>
      <c r="I189" s="139"/>
      <c r="J189" s="140"/>
    </row>
    <row r="190" customFormat="false" ht="18" hidden="false" customHeight="true" outlineLevel="0" collapsed="false">
      <c r="A190" s="129"/>
      <c r="B190" s="130"/>
      <c r="C190" s="130"/>
      <c r="D190" s="131"/>
      <c r="E190" s="132"/>
      <c r="F190" s="133"/>
      <c r="G190" s="134" t="n">
        <f aca="false">IFERROR(E190*F190,"")</f>
        <v>0</v>
      </c>
      <c r="H190" s="135"/>
      <c r="I190" s="136"/>
      <c r="J190" s="137"/>
    </row>
    <row r="191" customFormat="false" ht="18" hidden="false" customHeight="true" outlineLevel="0" collapsed="false">
      <c r="A191" s="129"/>
      <c r="B191" s="130"/>
      <c r="C191" s="130"/>
      <c r="D191" s="131"/>
      <c r="E191" s="132"/>
      <c r="F191" s="133"/>
      <c r="G191" s="134" t="n">
        <f aca="false">IFERROR(E191*F191,"")</f>
        <v>0</v>
      </c>
      <c r="H191" s="138"/>
      <c r="I191" s="139"/>
      <c r="J191" s="140"/>
    </row>
    <row r="192" customFormat="false" ht="18" hidden="false" customHeight="true" outlineLevel="0" collapsed="false">
      <c r="A192" s="129"/>
      <c r="B192" s="130"/>
      <c r="C192" s="130"/>
      <c r="D192" s="131"/>
      <c r="E192" s="132"/>
      <c r="F192" s="133"/>
      <c r="G192" s="134" t="n">
        <f aca="false">IFERROR(E192*F192,"")</f>
        <v>0</v>
      </c>
      <c r="H192" s="135"/>
      <c r="I192" s="136"/>
      <c r="J192" s="137"/>
    </row>
    <row r="193" customFormat="false" ht="18" hidden="false" customHeight="true" outlineLevel="0" collapsed="false">
      <c r="A193" s="129"/>
      <c r="B193" s="130"/>
      <c r="C193" s="130"/>
      <c r="D193" s="131"/>
      <c r="E193" s="132"/>
      <c r="F193" s="133"/>
      <c r="G193" s="134" t="n">
        <f aca="false">IFERROR(E193*F193,"")</f>
        <v>0</v>
      </c>
      <c r="H193" s="138"/>
      <c r="I193" s="139"/>
      <c r="J193" s="140"/>
    </row>
    <row r="194" customFormat="false" ht="18" hidden="false" customHeight="true" outlineLevel="0" collapsed="false">
      <c r="A194" s="129"/>
      <c r="B194" s="130"/>
      <c r="C194" s="130"/>
      <c r="D194" s="131"/>
      <c r="E194" s="132"/>
      <c r="F194" s="133"/>
      <c r="G194" s="134" t="n">
        <f aca="false">IFERROR(E194*F194,"")</f>
        <v>0</v>
      </c>
      <c r="H194" s="135"/>
      <c r="I194" s="136"/>
      <c r="J194" s="137"/>
    </row>
    <row r="195" customFormat="false" ht="18" hidden="false" customHeight="true" outlineLevel="0" collapsed="false">
      <c r="A195" s="129"/>
      <c r="B195" s="130"/>
      <c r="C195" s="130"/>
      <c r="D195" s="131"/>
      <c r="E195" s="132"/>
      <c r="F195" s="133"/>
      <c r="G195" s="134" t="n">
        <f aca="false">IFERROR(E195*F195,"")</f>
        <v>0</v>
      </c>
      <c r="H195" s="138"/>
      <c r="I195" s="139"/>
      <c r="J195" s="140"/>
    </row>
    <row r="196" customFormat="false" ht="18" hidden="false" customHeight="true" outlineLevel="0" collapsed="false">
      <c r="A196" s="129"/>
      <c r="B196" s="130"/>
      <c r="C196" s="130"/>
      <c r="D196" s="131"/>
      <c r="E196" s="132"/>
      <c r="F196" s="133"/>
      <c r="G196" s="134" t="n">
        <f aca="false">IFERROR(E196*F196,"")</f>
        <v>0</v>
      </c>
      <c r="H196" s="135"/>
      <c r="I196" s="136"/>
      <c r="J196" s="137"/>
    </row>
    <row r="197" customFormat="false" ht="18" hidden="false" customHeight="true" outlineLevel="0" collapsed="false">
      <c r="A197" s="129"/>
      <c r="B197" s="130"/>
      <c r="C197" s="130"/>
      <c r="D197" s="131"/>
      <c r="E197" s="132"/>
      <c r="F197" s="133"/>
      <c r="G197" s="134" t="n">
        <f aca="false">IFERROR(E197*F197,"")</f>
        <v>0</v>
      </c>
      <c r="H197" s="138"/>
      <c r="I197" s="139"/>
      <c r="J197" s="140"/>
    </row>
    <row r="198" customFormat="false" ht="18" hidden="false" customHeight="true" outlineLevel="0" collapsed="false">
      <c r="A198" s="129"/>
      <c r="B198" s="130"/>
      <c r="C198" s="130"/>
      <c r="D198" s="131"/>
      <c r="E198" s="132"/>
      <c r="F198" s="133"/>
      <c r="G198" s="134" t="n">
        <f aca="false">IFERROR(E198*F198,"")</f>
        <v>0</v>
      </c>
      <c r="H198" s="135"/>
      <c r="I198" s="136"/>
      <c r="J198" s="137"/>
    </row>
    <row r="199" customFormat="false" ht="18" hidden="false" customHeight="true" outlineLevel="0" collapsed="false">
      <c r="A199" s="129"/>
      <c r="B199" s="130"/>
      <c r="C199" s="130"/>
      <c r="D199" s="131"/>
      <c r="E199" s="132"/>
      <c r="F199" s="133"/>
      <c r="G199" s="134" t="n">
        <f aca="false">IFERROR(E199*F199,"")</f>
        <v>0</v>
      </c>
      <c r="H199" s="138"/>
      <c r="I199" s="139"/>
      <c r="J199" s="140"/>
    </row>
    <row r="200" customFormat="false" ht="18" hidden="false" customHeight="true" outlineLevel="0" collapsed="false">
      <c r="A200" s="129"/>
      <c r="B200" s="130"/>
      <c r="C200" s="130"/>
      <c r="D200" s="131"/>
      <c r="E200" s="132"/>
      <c r="F200" s="133"/>
      <c r="G200" s="134" t="n">
        <f aca="false">IFERROR(E200*F200,"")</f>
        <v>0</v>
      </c>
      <c r="H200" s="135"/>
      <c r="I200" s="136"/>
      <c r="J200" s="137"/>
    </row>
    <row r="201" customFormat="false" ht="18" hidden="false" customHeight="true" outlineLevel="0" collapsed="false">
      <c r="A201" s="129"/>
      <c r="B201" s="130"/>
      <c r="C201" s="130"/>
      <c r="D201" s="131"/>
      <c r="E201" s="132"/>
      <c r="F201" s="133"/>
      <c r="G201" s="134" t="n">
        <f aca="false">IFERROR(E201*F201,"")</f>
        <v>0</v>
      </c>
      <c r="H201" s="138"/>
      <c r="I201" s="139"/>
      <c r="J201" s="140"/>
    </row>
    <row r="202" customFormat="false" ht="18" hidden="false" customHeight="true" outlineLevel="0" collapsed="false">
      <c r="A202" s="129"/>
      <c r="B202" s="130"/>
      <c r="C202" s="130"/>
      <c r="D202" s="131"/>
      <c r="E202" s="132"/>
      <c r="F202" s="133"/>
      <c r="G202" s="134" t="n">
        <f aca="false">IFERROR(E202*F202,"")</f>
        <v>0</v>
      </c>
      <c r="H202" s="135"/>
      <c r="I202" s="136"/>
      <c r="J202" s="137"/>
    </row>
    <row r="203" customFormat="false" ht="18" hidden="false" customHeight="true" outlineLevel="0" collapsed="false">
      <c r="A203" s="129"/>
      <c r="B203" s="130"/>
      <c r="C203" s="130"/>
      <c r="D203" s="131"/>
      <c r="E203" s="132"/>
      <c r="F203" s="133"/>
      <c r="G203" s="134" t="n">
        <f aca="false">IFERROR(E203*F203,"")</f>
        <v>0</v>
      </c>
      <c r="H203" s="138"/>
      <c r="I203" s="139"/>
      <c r="J203" s="140"/>
    </row>
    <row r="204" customFormat="false" ht="18" hidden="false" customHeight="true" outlineLevel="0" collapsed="false">
      <c r="A204" s="129"/>
      <c r="B204" s="130"/>
      <c r="C204" s="130"/>
      <c r="D204" s="131"/>
      <c r="E204" s="132"/>
      <c r="F204" s="133"/>
      <c r="G204" s="134" t="n">
        <f aca="false">IFERROR(E204*F204,"")</f>
        <v>0</v>
      </c>
      <c r="H204" s="135"/>
      <c r="I204" s="136"/>
      <c r="J204" s="137"/>
    </row>
    <row r="205" customFormat="false" ht="18" hidden="false" customHeight="true" outlineLevel="0" collapsed="false">
      <c r="A205" s="129"/>
      <c r="B205" s="130"/>
      <c r="C205" s="130"/>
      <c r="D205" s="131"/>
      <c r="E205" s="132"/>
      <c r="F205" s="133"/>
      <c r="G205" s="134" t="n">
        <f aca="false">IFERROR(E205*F205,"")</f>
        <v>0</v>
      </c>
      <c r="H205" s="138"/>
      <c r="I205" s="139"/>
      <c r="J205" s="140"/>
    </row>
    <row r="206" customFormat="false" ht="18" hidden="false" customHeight="true" outlineLevel="0" collapsed="false">
      <c r="A206" s="129"/>
      <c r="B206" s="130"/>
      <c r="C206" s="130"/>
      <c r="D206" s="131"/>
      <c r="E206" s="132"/>
      <c r="F206" s="133"/>
      <c r="G206" s="134" t="n">
        <f aca="false">IFERROR(E206*F206,"")</f>
        <v>0</v>
      </c>
      <c r="H206" s="135"/>
      <c r="I206" s="136"/>
      <c r="J206" s="137"/>
    </row>
    <row r="207" customFormat="false" ht="18" hidden="false" customHeight="true" outlineLevel="0" collapsed="false">
      <c r="A207" s="129"/>
      <c r="B207" s="130"/>
      <c r="C207" s="130"/>
      <c r="D207" s="131"/>
      <c r="E207" s="132"/>
      <c r="F207" s="133"/>
      <c r="G207" s="134" t="n">
        <f aca="false">IFERROR(E207*F207,"")</f>
        <v>0</v>
      </c>
      <c r="H207" s="138"/>
      <c r="I207" s="139"/>
      <c r="J207" s="140"/>
    </row>
    <row r="208" customFormat="false" ht="18" hidden="false" customHeight="true" outlineLevel="0" collapsed="false">
      <c r="A208" s="129"/>
      <c r="B208" s="130"/>
      <c r="C208" s="130"/>
      <c r="D208" s="131"/>
      <c r="E208" s="132"/>
      <c r="F208" s="133"/>
      <c r="G208" s="134" t="n">
        <f aca="false">IFERROR(E208*F208,"")</f>
        <v>0</v>
      </c>
      <c r="H208" s="135"/>
      <c r="I208" s="136"/>
      <c r="J208" s="137"/>
    </row>
    <row r="209" customFormat="false" ht="18" hidden="false" customHeight="true" outlineLevel="0" collapsed="false">
      <c r="A209" s="129"/>
      <c r="B209" s="130"/>
      <c r="C209" s="130"/>
      <c r="D209" s="131"/>
      <c r="E209" s="132"/>
      <c r="F209" s="133"/>
      <c r="G209" s="134" t="n">
        <f aca="false">IFERROR(E209*F209,"")</f>
        <v>0</v>
      </c>
      <c r="H209" s="138"/>
      <c r="I209" s="139"/>
      <c r="J209" s="140"/>
    </row>
    <row r="210" customFormat="false" ht="18" hidden="false" customHeight="true" outlineLevel="0" collapsed="false">
      <c r="A210" s="129"/>
      <c r="B210" s="130"/>
      <c r="C210" s="130"/>
      <c r="D210" s="131"/>
      <c r="E210" s="132"/>
      <c r="F210" s="133"/>
      <c r="G210" s="134" t="n">
        <f aca="false">IFERROR(E210*F210,"")</f>
        <v>0</v>
      </c>
      <c r="H210" s="135"/>
      <c r="I210" s="136"/>
      <c r="J210" s="137"/>
    </row>
    <row r="211" customFormat="false" ht="18" hidden="false" customHeight="true" outlineLevel="0" collapsed="false">
      <c r="A211" s="129"/>
      <c r="B211" s="130"/>
      <c r="C211" s="130"/>
      <c r="D211" s="131"/>
      <c r="E211" s="132"/>
      <c r="F211" s="133"/>
      <c r="G211" s="134" t="n">
        <f aca="false">IFERROR(E211*F211,"")</f>
        <v>0</v>
      </c>
      <c r="H211" s="138"/>
      <c r="I211" s="139"/>
      <c r="J211" s="140"/>
    </row>
    <row r="212" customFormat="false" ht="18" hidden="false" customHeight="true" outlineLevel="0" collapsed="false">
      <c r="A212" s="129"/>
      <c r="B212" s="130"/>
      <c r="C212" s="130"/>
      <c r="D212" s="131"/>
      <c r="E212" s="132"/>
      <c r="F212" s="133"/>
      <c r="G212" s="134" t="n">
        <f aca="false">IFERROR(E212*F212,"")</f>
        <v>0</v>
      </c>
      <c r="H212" s="135"/>
      <c r="I212" s="136"/>
      <c r="J212" s="137"/>
    </row>
    <row r="213" customFormat="false" ht="18" hidden="false" customHeight="true" outlineLevel="0" collapsed="false">
      <c r="A213" s="129"/>
      <c r="B213" s="130"/>
      <c r="C213" s="130"/>
      <c r="D213" s="131"/>
      <c r="E213" s="132"/>
      <c r="F213" s="133"/>
      <c r="G213" s="134" t="n">
        <f aca="false">IFERROR(E213*F213,"")</f>
        <v>0</v>
      </c>
      <c r="H213" s="138"/>
      <c r="I213" s="139"/>
      <c r="J213" s="140"/>
    </row>
    <row r="214" customFormat="false" ht="18" hidden="false" customHeight="true" outlineLevel="0" collapsed="false">
      <c r="A214" s="129"/>
      <c r="B214" s="130"/>
      <c r="C214" s="130"/>
      <c r="D214" s="131"/>
      <c r="E214" s="132"/>
      <c r="F214" s="133"/>
      <c r="G214" s="134" t="n">
        <f aca="false">IFERROR(E214*F214,"")</f>
        <v>0</v>
      </c>
      <c r="H214" s="135"/>
      <c r="I214" s="136"/>
      <c r="J214" s="137"/>
    </row>
    <row r="215" customFormat="false" ht="18" hidden="false" customHeight="true" outlineLevel="0" collapsed="false">
      <c r="A215" s="129"/>
      <c r="B215" s="130"/>
      <c r="C215" s="130"/>
      <c r="D215" s="131"/>
      <c r="E215" s="132"/>
      <c r="F215" s="133"/>
      <c r="G215" s="134" t="n">
        <f aca="false">IFERROR(E215*F215,"")</f>
        <v>0</v>
      </c>
      <c r="H215" s="138"/>
      <c r="I215" s="139"/>
      <c r="J215" s="140"/>
    </row>
    <row r="216" customFormat="false" ht="18" hidden="false" customHeight="true" outlineLevel="0" collapsed="false">
      <c r="A216" s="129"/>
      <c r="B216" s="130"/>
      <c r="C216" s="130"/>
      <c r="D216" s="131"/>
      <c r="E216" s="132"/>
      <c r="F216" s="133"/>
      <c r="G216" s="134" t="n">
        <f aca="false">IFERROR(E216*F216,"")</f>
        <v>0</v>
      </c>
      <c r="H216" s="135"/>
      <c r="I216" s="136"/>
      <c r="J216" s="137"/>
    </row>
    <row r="217" customFormat="false" ht="18" hidden="false" customHeight="true" outlineLevel="0" collapsed="false">
      <c r="A217" s="129"/>
      <c r="B217" s="130"/>
      <c r="C217" s="130"/>
      <c r="D217" s="131"/>
      <c r="E217" s="132"/>
      <c r="F217" s="133"/>
      <c r="G217" s="134" t="n">
        <f aca="false">IFERROR(E217*F217,"")</f>
        <v>0</v>
      </c>
      <c r="H217" s="138"/>
      <c r="I217" s="139"/>
      <c r="J217" s="140"/>
    </row>
    <row r="218" customFormat="false" ht="18" hidden="false" customHeight="true" outlineLevel="0" collapsed="false">
      <c r="A218" s="129"/>
      <c r="B218" s="130"/>
      <c r="C218" s="130"/>
      <c r="D218" s="131"/>
      <c r="E218" s="132"/>
      <c r="F218" s="133"/>
      <c r="G218" s="134" t="n">
        <f aca="false">IFERROR(E218*F218,"")</f>
        <v>0</v>
      </c>
      <c r="H218" s="135"/>
      <c r="I218" s="136"/>
      <c r="J218" s="137"/>
    </row>
    <row r="219" customFormat="false" ht="18" hidden="false" customHeight="true" outlineLevel="0" collapsed="false">
      <c r="A219" s="129"/>
      <c r="B219" s="130"/>
      <c r="C219" s="130"/>
      <c r="D219" s="131"/>
      <c r="E219" s="132"/>
      <c r="F219" s="133"/>
      <c r="G219" s="134" t="n">
        <f aca="false">IFERROR(E219*F219,"")</f>
        <v>0</v>
      </c>
      <c r="H219" s="138"/>
      <c r="I219" s="139"/>
      <c r="J219" s="140"/>
    </row>
    <row r="220" customFormat="false" ht="18" hidden="false" customHeight="true" outlineLevel="0" collapsed="false">
      <c r="A220" s="129"/>
      <c r="B220" s="130"/>
      <c r="C220" s="130"/>
      <c r="D220" s="131"/>
      <c r="E220" s="132"/>
      <c r="F220" s="133"/>
      <c r="G220" s="134" t="n">
        <f aca="false">IFERROR(E220*F220,"")</f>
        <v>0</v>
      </c>
      <c r="H220" s="135"/>
      <c r="I220" s="136"/>
      <c r="J220" s="137"/>
    </row>
    <row r="221" customFormat="false" ht="18" hidden="false" customHeight="true" outlineLevel="0" collapsed="false">
      <c r="A221" s="129"/>
      <c r="B221" s="130"/>
      <c r="C221" s="130"/>
      <c r="D221" s="131"/>
      <c r="E221" s="132"/>
      <c r="F221" s="133"/>
      <c r="G221" s="134" t="n">
        <f aca="false">IFERROR(E221*F221,"")</f>
        <v>0</v>
      </c>
      <c r="H221" s="138"/>
      <c r="I221" s="139"/>
      <c r="J221" s="140"/>
    </row>
    <row r="222" customFormat="false" ht="18" hidden="false" customHeight="true" outlineLevel="0" collapsed="false">
      <c r="A222" s="129"/>
      <c r="B222" s="130"/>
      <c r="C222" s="130"/>
      <c r="D222" s="131"/>
      <c r="E222" s="132"/>
      <c r="F222" s="133"/>
      <c r="G222" s="134" t="n">
        <f aca="false">IFERROR(E222*F222,"")</f>
        <v>0</v>
      </c>
      <c r="H222" s="135"/>
      <c r="I222" s="136"/>
      <c r="J222" s="137"/>
    </row>
    <row r="223" customFormat="false" ht="18" hidden="false" customHeight="true" outlineLevel="0" collapsed="false">
      <c r="A223" s="129"/>
      <c r="B223" s="130"/>
      <c r="C223" s="130"/>
      <c r="D223" s="131"/>
      <c r="E223" s="132"/>
      <c r="F223" s="133"/>
      <c r="G223" s="134" t="n">
        <f aca="false">IFERROR(E223*F223,"")</f>
        <v>0</v>
      </c>
      <c r="H223" s="138"/>
      <c r="I223" s="139"/>
      <c r="J223" s="140"/>
    </row>
    <row r="224" customFormat="false" ht="18" hidden="false" customHeight="true" outlineLevel="0" collapsed="false">
      <c r="A224" s="129"/>
      <c r="B224" s="130"/>
      <c r="C224" s="130"/>
      <c r="D224" s="131"/>
      <c r="E224" s="132"/>
      <c r="F224" s="133"/>
      <c r="G224" s="134" t="n">
        <f aca="false">IFERROR(E224*F224,"")</f>
        <v>0</v>
      </c>
      <c r="H224" s="135"/>
      <c r="I224" s="136"/>
      <c r="J224" s="137"/>
    </row>
    <row r="225" customFormat="false" ht="18" hidden="false" customHeight="true" outlineLevel="0" collapsed="false">
      <c r="A225" s="129"/>
      <c r="B225" s="130"/>
      <c r="C225" s="130"/>
      <c r="D225" s="131"/>
      <c r="E225" s="132"/>
      <c r="F225" s="133"/>
      <c r="G225" s="134" t="n">
        <f aca="false">IFERROR(E225*F225,"")</f>
        <v>0</v>
      </c>
      <c r="H225" s="138"/>
      <c r="I225" s="139"/>
      <c r="J225" s="140"/>
    </row>
    <row r="226" customFormat="false" ht="18" hidden="false" customHeight="true" outlineLevel="0" collapsed="false">
      <c r="A226" s="129"/>
      <c r="B226" s="130"/>
      <c r="C226" s="130"/>
      <c r="D226" s="131"/>
      <c r="E226" s="132"/>
      <c r="F226" s="133"/>
      <c r="G226" s="134" t="n">
        <f aca="false">IFERROR(E226*F226,"")</f>
        <v>0</v>
      </c>
      <c r="H226" s="135"/>
      <c r="I226" s="136"/>
      <c r="J226" s="137"/>
    </row>
    <row r="227" customFormat="false" ht="18" hidden="false" customHeight="true" outlineLevel="0" collapsed="false">
      <c r="A227" s="129"/>
      <c r="B227" s="130"/>
      <c r="C227" s="130"/>
      <c r="D227" s="131"/>
      <c r="E227" s="132"/>
      <c r="F227" s="133"/>
      <c r="G227" s="134" t="n">
        <f aca="false">IFERROR(E227*F227,"")</f>
        <v>0</v>
      </c>
      <c r="H227" s="138"/>
      <c r="I227" s="139"/>
      <c r="J227" s="140"/>
    </row>
    <row r="228" customFormat="false" ht="18" hidden="false" customHeight="true" outlineLevel="0" collapsed="false">
      <c r="A228" s="129"/>
      <c r="B228" s="130"/>
      <c r="C228" s="130"/>
      <c r="D228" s="131"/>
      <c r="E228" s="132"/>
      <c r="F228" s="133"/>
      <c r="G228" s="134" t="n">
        <f aca="false">IFERROR(E228*F228,"")</f>
        <v>0</v>
      </c>
      <c r="H228" s="135"/>
      <c r="I228" s="136"/>
      <c r="J228" s="137"/>
    </row>
    <row r="229" customFormat="false" ht="18" hidden="false" customHeight="true" outlineLevel="0" collapsed="false">
      <c r="A229" s="129"/>
      <c r="B229" s="130"/>
      <c r="C229" s="130"/>
      <c r="D229" s="131"/>
      <c r="E229" s="132"/>
      <c r="F229" s="133"/>
      <c r="G229" s="134" t="n">
        <f aca="false">IFERROR(E229*F229,"")</f>
        <v>0</v>
      </c>
      <c r="H229" s="138"/>
      <c r="I229" s="139"/>
      <c r="J229" s="140"/>
    </row>
    <row r="230" customFormat="false" ht="18" hidden="false" customHeight="true" outlineLevel="0" collapsed="false">
      <c r="A230" s="129"/>
      <c r="B230" s="130"/>
      <c r="C230" s="130"/>
      <c r="D230" s="131"/>
      <c r="E230" s="132"/>
      <c r="F230" s="133"/>
      <c r="G230" s="134" t="n">
        <f aca="false">IFERROR(E230*F230,"")</f>
        <v>0</v>
      </c>
      <c r="H230" s="135"/>
      <c r="I230" s="136"/>
      <c r="J230" s="137"/>
    </row>
    <row r="231" customFormat="false" ht="18" hidden="false" customHeight="true" outlineLevel="0" collapsed="false">
      <c r="A231" s="129"/>
      <c r="B231" s="130"/>
      <c r="C231" s="130"/>
      <c r="D231" s="131"/>
      <c r="E231" s="132"/>
      <c r="F231" s="133"/>
      <c r="G231" s="134" t="n">
        <f aca="false">IFERROR(E231*F231,"")</f>
        <v>0</v>
      </c>
      <c r="H231" s="138"/>
      <c r="I231" s="139"/>
      <c r="J231" s="140"/>
    </row>
    <row r="232" customFormat="false" ht="18" hidden="false" customHeight="true" outlineLevel="0" collapsed="false">
      <c r="A232" s="129"/>
      <c r="B232" s="130"/>
      <c r="C232" s="130"/>
      <c r="D232" s="131"/>
      <c r="E232" s="132"/>
      <c r="F232" s="133"/>
      <c r="G232" s="134" t="n">
        <f aca="false">IFERROR(E232*F232,"")</f>
        <v>0</v>
      </c>
      <c r="H232" s="135"/>
      <c r="I232" s="136"/>
      <c r="J232" s="137"/>
    </row>
    <row r="233" customFormat="false" ht="18" hidden="false" customHeight="true" outlineLevel="0" collapsed="false">
      <c r="A233" s="129"/>
      <c r="B233" s="130"/>
      <c r="C233" s="130"/>
      <c r="D233" s="131"/>
      <c r="E233" s="132"/>
      <c r="F233" s="133"/>
      <c r="G233" s="134" t="n">
        <f aca="false">IFERROR(E233*F233,"")</f>
        <v>0</v>
      </c>
      <c r="H233" s="138"/>
      <c r="I233" s="139"/>
      <c r="J233" s="140"/>
    </row>
    <row r="234" customFormat="false" ht="18" hidden="false" customHeight="true" outlineLevel="0" collapsed="false">
      <c r="A234" s="129"/>
      <c r="B234" s="130"/>
      <c r="C234" s="130"/>
      <c r="D234" s="131"/>
      <c r="E234" s="132"/>
      <c r="F234" s="133"/>
      <c r="G234" s="134" t="n">
        <f aca="false">IFERROR(E234*F234,"")</f>
        <v>0</v>
      </c>
      <c r="H234" s="135"/>
      <c r="I234" s="136"/>
      <c r="J234" s="137"/>
    </row>
    <row r="235" customFormat="false" ht="18" hidden="false" customHeight="true" outlineLevel="0" collapsed="false">
      <c r="A235" s="129"/>
      <c r="B235" s="130"/>
      <c r="C235" s="130"/>
      <c r="D235" s="131"/>
      <c r="E235" s="132"/>
      <c r="F235" s="133"/>
      <c r="G235" s="134" t="n">
        <f aca="false">IFERROR(E235*F235,"")</f>
        <v>0</v>
      </c>
      <c r="H235" s="138"/>
      <c r="I235" s="139"/>
      <c r="J235" s="140"/>
    </row>
    <row r="236" customFormat="false" ht="18" hidden="false" customHeight="true" outlineLevel="0" collapsed="false">
      <c r="A236" s="129"/>
      <c r="B236" s="130"/>
      <c r="C236" s="130"/>
      <c r="D236" s="131"/>
      <c r="E236" s="132"/>
      <c r="F236" s="133"/>
      <c r="G236" s="134" t="n">
        <f aca="false">IFERROR(E236*F236,"")</f>
        <v>0</v>
      </c>
      <c r="H236" s="135"/>
      <c r="I236" s="136"/>
      <c r="J236" s="137"/>
    </row>
    <row r="237" customFormat="false" ht="18" hidden="false" customHeight="true" outlineLevel="0" collapsed="false">
      <c r="A237" s="129"/>
      <c r="B237" s="130"/>
      <c r="C237" s="130"/>
      <c r="D237" s="131"/>
      <c r="E237" s="132"/>
      <c r="F237" s="133"/>
      <c r="G237" s="134" t="n">
        <f aca="false">IFERROR(E237*F237,"")</f>
        <v>0</v>
      </c>
      <c r="H237" s="138"/>
      <c r="I237" s="139"/>
      <c r="J237" s="140"/>
    </row>
    <row r="238" customFormat="false" ht="18" hidden="false" customHeight="true" outlineLevel="0" collapsed="false">
      <c r="A238" s="129"/>
      <c r="B238" s="130"/>
      <c r="C238" s="130"/>
      <c r="D238" s="131"/>
      <c r="E238" s="132"/>
      <c r="F238" s="133"/>
      <c r="G238" s="134" t="n">
        <f aca="false">IFERROR(E238*F238,"")</f>
        <v>0</v>
      </c>
      <c r="H238" s="135"/>
      <c r="I238" s="136"/>
      <c r="J238" s="137"/>
    </row>
    <row r="239" customFormat="false" ht="18" hidden="false" customHeight="true" outlineLevel="0" collapsed="false">
      <c r="A239" s="129"/>
      <c r="B239" s="130"/>
      <c r="C239" s="130"/>
      <c r="D239" s="131"/>
      <c r="E239" s="132"/>
      <c r="F239" s="133"/>
      <c r="G239" s="134" t="n">
        <f aca="false">IFERROR(E239*F239,"")</f>
        <v>0</v>
      </c>
      <c r="H239" s="138"/>
      <c r="I239" s="139"/>
      <c r="J239" s="140"/>
    </row>
    <row r="240" customFormat="false" ht="18" hidden="false" customHeight="true" outlineLevel="0" collapsed="false">
      <c r="A240" s="129"/>
      <c r="B240" s="130"/>
      <c r="C240" s="130"/>
      <c r="D240" s="131"/>
      <c r="E240" s="132"/>
      <c r="F240" s="133"/>
      <c r="G240" s="134" t="n">
        <f aca="false">IFERROR(E240*F240,"")</f>
        <v>0</v>
      </c>
      <c r="H240" s="135"/>
      <c r="I240" s="136"/>
      <c r="J240" s="137"/>
    </row>
    <row r="241" customFormat="false" ht="18" hidden="false" customHeight="true" outlineLevel="0" collapsed="false">
      <c r="A241" s="129"/>
      <c r="B241" s="130"/>
      <c r="C241" s="130"/>
      <c r="D241" s="131"/>
      <c r="E241" s="132"/>
      <c r="F241" s="133"/>
      <c r="G241" s="134" t="n">
        <f aca="false">IFERROR(E241*F241,"")</f>
        <v>0</v>
      </c>
      <c r="H241" s="138"/>
      <c r="I241" s="139"/>
      <c r="J241" s="140"/>
    </row>
    <row r="242" customFormat="false" ht="18" hidden="false" customHeight="true" outlineLevel="0" collapsed="false">
      <c r="A242" s="129"/>
      <c r="B242" s="130"/>
      <c r="C242" s="130"/>
      <c r="D242" s="131"/>
      <c r="E242" s="132"/>
      <c r="F242" s="133"/>
      <c r="G242" s="134" t="n">
        <f aca="false">IFERROR(E242*F242,"")</f>
        <v>0</v>
      </c>
      <c r="H242" s="135"/>
      <c r="I242" s="136"/>
      <c r="J242" s="137"/>
    </row>
    <row r="243" customFormat="false" ht="18" hidden="false" customHeight="true" outlineLevel="0" collapsed="false">
      <c r="A243" s="129"/>
      <c r="B243" s="130"/>
      <c r="C243" s="130"/>
      <c r="D243" s="131"/>
      <c r="E243" s="132"/>
      <c r="F243" s="133"/>
      <c r="G243" s="134" t="n">
        <f aca="false">IFERROR(E243*F243,"")</f>
        <v>0</v>
      </c>
      <c r="H243" s="138"/>
      <c r="I243" s="139"/>
      <c r="J243" s="140"/>
    </row>
    <row r="244" customFormat="false" ht="18" hidden="false" customHeight="true" outlineLevel="0" collapsed="false">
      <c r="A244" s="129"/>
      <c r="B244" s="130"/>
      <c r="C244" s="130"/>
      <c r="D244" s="131"/>
      <c r="E244" s="132"/>
      <c r="F244" s="133"/>
      <c r="G244" s="134" t="n">
        <f aca="false">IFERROR(E244*F244,"")</f>
        <v>0</v>
      </c>
      <c r="H244" s="135"/>
      <c r="I244" s="136"/>
      <c r="J244" s="137"/>
    </row>
    <row r="245" customFormat="false" ht="18" hidden="false" customHeight="true" outlineLevel="0" collapsed="false">
      <c r="A245" s="129"/>
      <c r="B245" s="130"/>
      <c r="C245" s="130"/>
      <c r="D245" s="131"/>
      <c r="E245" s="132"/>
      <c r="F245" s="133"/>
      <c r="G245" s="134" t="n">
        <f aca="false">IFERROR(E245*F245,"")</f>
        <v>0</v>
      </c>
      <c r="H245" s="138"/>
      <c r="I245" s="139"/>
      <c r="J245" s="140"/>
    </row>
    <row r="246" customFormat="false" ht="18" hidden="false" customHeight="true" outlineLevel="0" collapsed="false">
      <c r="A246" s="129"/>
      <c r="B246" s="130"/>
      <c r="C246" s="130"/>
      <c r="D246" s="131"/>
      <c r="E246" s="132"/>
      <c r="F246" s="133"/>
      <c r="G246" s="134" t="n">
        <f aca="false">IFERROR(E246*F246,"")</f>
        <v>0</v>
      </c>
      <c r="H246" s="135"/>
      <c r="I246" s="136"/>
      <c r="J246" s="137"/>
    </row>
    <row r="247" customFormat="false" ht="18" hidden="false" customHeight="true" outlineLevel="0" collapsed="false">
      <c r="A247" s="129"/>
      <c r="B247" s="130"/>
      <c r="C247" s="130"/>
      <c r="D247" s="131"/>
      <c r="E247" s="132"/>
      <c r="F247" s="133"/>
      <c r="G247" s="134" t="n">
        <f aca="false">IFERROR(E247*F247,"")</f>
        <v>0</v>
      </c>
      <c r="H247" s="138"/>
      <c r="I247" s="139"/>
      <c r="J247" s="140"/>
    </row>
    <row r="248" customFormat="false" ht="18" hidden="false" customHeight="true" outlineLevel="0" collapsed="false">
      <c r="A248" s="129"/>
      <c r="B248" s="130"/>
      <c r="C248" s="130"/>
      <c r="D248" s="131"/>
      <c r="E248" s="132"/>
      <c r="F248" s="133"/>
      <c r="G248" s="134" t="n">
        <f aca="false">IFERROR(E248*F248,"")</f>
        <v>0</v>
      </c>
      <c r="H248" s="135"/>
      <c r="I248" s="136"/>
      <c r="J248" s="137"/>
    </row>
    <row r="249" customFormat="false" ht="18" hidden="false" customHeight="true" outlineLevel="0" collapsed="false">
      <c r="A249" s="129"/>
      <c r="B249" s="130"/>
      <c r="C249" s="130"/>
      <c r="D249" s="131"/>
      <c r="E249" s="132"/>
      <c r="F249" s="133"/>
      <c r="G249" s="134" t="n">
        <f aca="false">IFERROR(E249*F249,"")</f>
        <v>0</v>
      </c>
      <c r="H249" s="138"/>
      <c r="I249" s="139"/>
      <c r="J249" s="140"/>
    </row>
    <row r="250" customFormat="false" ht="18" hidden="false" customHeight="true" outlineLevel="0" collapsed="false">
      <c r="A250" s="129"/>
      <c r="B250" s="130"/>
      <c r="C250" s="130"/>
      <c r="D250" s="131"/>
      <c r="E250" s="132"/>
      <c r="F250" s="133"/>
      <c r="G250" s="134" t="n">
        <f aca="false">IFERROR(E250*F250,"")</f>
        <v>0</v>
      </c>
      <c r="H250" s="135"/>
      <c r="I250" s="136"/>
      <c r="J250" s="137"/>
    </row>
    <row r="251" customFormat="false" ht="18" hidden="false" customHeight="true" outlineLevel="0" collapsed="false">
      <c r="A251" s="129"/>
      <c r="B251" s="130"/>
      <c r="C251" s="130"/>
      <c r="D251" s="131"/>
      <c r="E251" s="132"/>
      <c r="F251" s="133"/>
      <c r="G251" s="134" t="n">
        <f aca="false">IFERROR(E251*F251,"")</f>
        <v>0</v>
      </c>
      <c r="H251" s="138"/>
      <c r="I251" s="139"/>
      <c r="J251" s="140"/>
    </row>
    <row r="252" customFormat="false" ht="18" hidden="false" customHeight="true" outlineLevel="0" collapsed="false">
      <c r="A252" s="129"/>
      <c r="B252" s="130"/>
      <c r="C252" s="130"/>
      <c r="D252" s="131"/>
      <c r="E252" s="132"/>
      <c r="F252" s="133"/>
      <c r="G252" s="134" t="n">
        <f aca="false">IFERROR(E252*F252,"")</f>
        <v>0</v>
      </c>
      <c r="H252" s="135"/>
      <c r="I252" s="136"/>
      <c r="J252" s="137"/>
    </row>
    <row r="253" customFormat="false" ht="18" hidden="false" customHeight="true" outlineLevel="0" collapsed="false">
      <c r="A253" s="129"/>
      <c r="B253" s="130"/>
      <c r="C253" s="130"/>
      <c r="D253" s="131"/>
      <c r="E253" s="132"/>
      <c r="F253" s="133"/>
      <c r="G253" s="134" t="n">
        <f aca="false">IFERROR(E253*F253,"")</f>
        <v>0</v>
      </c>
      <c r="H253" s="138"/>
      <c r="I253" s="139"/>
      <c r="J253" s="140"/>
    </row>
    <row r="254" customFormat="false" ht="18" hidden="false" customHeight="true" outlineLevel="0" collapsed="false">
      <c r="A254" s="129"/>
      <c r="B254" s="130"/>
      <c r="C254" s="130"/>
      <c r="D254" s="131"/>
      <c r="E254" s="132"/>
      <c r="F254" s="133"/>
      <c r="G254" s="134" t="n">
        <f aca="false">IFERROR(E254*F254,"")</f>
        <v>0</v>
      </c>
      <c r="H254" s="135"/>
      <c r="I254" s="136"/>
      <c r="J254" s="137"/>
    </row>
    <row r="255" customFormat="false" ht="18" hidden="false" customHeight="true" outlineLevel="0" collapsed="false">
      <c r="A255" s="129"/>
      <c r="B255" s="130"/>
      <c r="C255" s="130"/>
      <c r="D255" s="131"/>
      <c r="E255" s="132"/>
      <c r="F255" s="133"/>
      <c r="G255" s="134" t="n">
        <f aca="false">IFERROR(E255*F255,"")</f>
        <v>0</v>
      </c>
      <c r="H255" s="138"/>
      <c r="I255" s="139"/>
      <c r="J255" s="140"/>
    </row>
    <row r="256" customFormat="false" ht="18" hidden="false" customHeight="true" outlineLevel="0" collapsed="false">
      <c r="A256" s="129"/>
      <c r="B256" s="130"/>
      <c r="C256" s="130"/>
      <c r="D256" s="131"/>
      <c r="E256" s="132"/>
      <c r="F256" s="133"/>
      <c r="G256" s="134" t="n">
        <f aca="false">IFERROR(E256*F256,"")</f>
        <v>0</v>
      </c>
      <c r="H256" s="135"/>
      <c r="I256" s="136"/>
      <c r="J256" s="137"/>
    </row>
    <row r="257" customFormat="false" ht="18" hidden="false" customHeight="true" outlineLevel="0" collapsed="false">
      <c r="A257" s="129"/>
      <c r="B257" s="130"/>
      <c r="C257" s="130"/>
      <c r="D257" s="131"/>
      <c r="E257" s="132"/>
      <c r="F257" s="133"/>
      <c r="G257" s="134" t="n">
        <f aca="false">IFERROR(E257*F257,"")</f>
        <v>0</v>
      </c>
      <c r="H257" s="138"/>
      <c r="I257" s="139"/>
      <c r="J257" s="140"/>
    </row>
    <row r="258" customFormat="false" ht="18" hidden="false" customHeight="true" outlineLevel="0" collapsed="false">
      <c r="A258" s="129"/>
      <c r="B258" s="130"/>
      <c r="C258" s="130"/>
      <c r="D258" s="131"/>
      <c r="E258" s="132"/>
      <c r="F258" s="133"/>
      <c r="G258" s="134" t="n">
        <f aca="false">IFERROR(E258*F258,"")</f>
        <v>0</v>
      </c>
      <c r="H258" s="135"/>
      <c r="I258" s="136"/>
      <c r="J258" s="137"/>
    </row>
    <row r="259" customFormat="false" ht="18" hidden="false" customHeight="true" outlineLevel="0" collapsed="false">
      <c r="A259" s="129"/>
      <c r="B259" s="130"/>
      <c r="C259" s="130"/>
      <c r="D259" s="131"/>
      <c r="E259" s="132"/>
      <c r="F259" s="133"/>
      <c r="G259" s="134" t="n">
        <f aca="false">IFERROR(E259*F259,"")</f>
        <v>0</v>
      </c>
      <c r="H259" s="138"/>
      <c r="I259" s="139"/>
      <c r="J259" s="140"/>
    </row>
    <row r="260" customFormat="false" ht="18" hidden="false" customHeight="true" outlineLevel="0" collapsed="false">
      <c r="A260" s="129"/>
      <c r="B260" s="130"/>
      <c r="C260" s="130"/>
      <c r="D260" s="131"/>
      <c r="E260" s="132"/>
      <c r="F260" s="133"/>
      <c r="G260" s="134" t="n">
        <f aca="false">IFERROR(E260*F260,"")</f>
        <v>0</v>
      </c>
      <c r="H260" s="135"/>
      <c r="I260" s="136"/>
      <c r="J260" s="137"/>
    </row>
    <row r="261" customFormat="false" ht="18" hidden="false" customHeight="true" outlineLevel="0" collapsed="false">
      <c r="A261" s="129"/>
      <c r="B261" s="130"/>
      <c r="C261" s="130"/>
      <c r="D261" s="131"/>
      <c r="E261" s="132"/>
      <c r="F261" s="133"/>
      <c r="G261" s="134" t="n">
        <f aca="false">IFERROR(E261*F261,"")</f>
        <v>0</v>
      </c>
      <c r="H261" s="138"/>
      <c r="I261" s="139"/>
      <c r="J261" s="140"/>
    </row>
    <row r="262" customFormat="false" ht="18" hidden="false" customHeight="true" outlineLevel="0" collapsed="false">
      <c r="A262" s="129"/>
      <c r="B262" s="130"/>
      <c r="C262" s="130"/>
      <c r="D262" s="131"/>
      <c r="E262" s="132"/>
      <c r="F262" s="133"/>
      <c r="G262" s="134" t="n">
        <f aca="false">IFERROR(E262*F262,"")</f>
        <v>0</v>
      </c>
      <c r="H262" s="135"/>
      <c r="I262" s="136"/>
      <c r="J262" s="137"/>
    </row>
    <row r="263" customFormat="false" ht="18" hidden="false" customHeight="true" outlineLevel="0" collapsed="false">
      <c r="A263" s="129"/>
      <c r="B263" s="130"/>
      <c r="C263" s="130"/>
      <c r="D263" s="131"/>
      <c r="E263" s="132"/>
      <c r="F263" s="133"/>
      <c r="G263" s="134" t="n">
        <f aca="false">IFERROR(E263*F263,"")</f>
        <v>0</v>
      </c>
      <c r="H263" s="138"/>
      <c r="I263" s="139"/>
      <c r="J263" s="140"/>
    </row>
    <row r="264" customFormat="false" ht="18" hidden="false" customHeight="true" outlineLevel="0" collapsed="false">
      <c r="A264" s="129"/>
      <c r="B264" s="130"/>
      <c r="C264" s="130"/>
      <c r="D264" s="131"/>
      <c r="E264" s="132"/>
      <c r="F264" s="133"/>
      <c r="G264" s="134" t="n">
        <f aca="false">IFERROR(E264*F264,"")</f>
        <v>0</v>
      </c>
      <c r="H264" s="135"/>
      <c r="I264" s="136"/>
      <c r="J264" s="137"/>
    </row>
    <row r="265" customFormat="false" ht="18" hidden="false" customHeight="true" outlineLevel="0" collapsed="false">
      <c r="A265" s="129"/>
      <c r="B265" s="130"/>
      <c r="C265" s="130"/>
      <c r="D265" s="131"/>
      <c r="E265" s="132"/>
      <c r="F265" s="133"/>
      <c r="G265" s="134" t="n">
        <f aca="false">IFERROR(E265*F265,"")</f>
        <v>0</v>
      </c>
      <c r="H265" s="138"/>
      <c r="I265" s="139"/>
      <c r="J265" s="140"/>
    </row>
    <row r="266" customFormat="false" ht="18" hidden="false" customHeight="true" outlineLevel="0" collapsed="false">
      <c r="A266" s="129"/>
      <c r="B266" s="130"/>
      <c r="C266" s="130"/>
      <c r="D266" s="131"/>
      <c r="E266" s="132"/>
      <c r="F266" s="133"/>
      <c r="G266" s="134" t="n">
        <f aca="false">IFERROR(E266*F266,"")</f>
        <v>0</v>
      </c>
      <c r="H266" s="135"/>
      <c r="I266" s="136"/>
      <c r="J266" s="137"/>
    </row>
    <row r="267" customFormat="false" ht="18" hidden="false" customHeight="true" outlineLevel="0" collapsed="false">
      <c r="A267" s="129"/>
      <c r="B267" s="130"/>
      <c r="C267" s="130"/>
      <c r="D267" s="131"/>
      <c r="E267" s="132"/>
      <c r="F267" s="133"/>
      <c r="G267" s="134" t="n">
        <f aca="false">IFERROR(E267*F267,"")</f>
        <v>0</v>
      </c>
      <c r="H267" s="138"/>
      <c r="I267" s="139"/>
      <c r="J267" s="140"/>
    </row>
    <row r="268" customFormat="false" ht="18" hidden="false" customHeight="true" outlineLevel="0" collapsed="false">
      <c r="A268" s="129"/>
      <c r="B268" s="130"/>
      <c r="C268" s="130"/>
      <c r="D268" s="131"/>
      <c r="E268" s="132"/>
      <c r="F268" s="133"/>
      <c r="G268" s="134" t="n">
        <f aca="false">IFERROR(E268*F268,"")</f>
        <v>0</v>
      </c>
      <c r="H268" s="135"/>
      <c r="I268" s="136"/>
      <c r="J268" s="137"/>
    </row>
    <row r="269" customFormat="false" ht="18" hidden="false" customHeight="true" outlineLevel="0" collapsed="false">
      <c r="A269" s="129"/>
      <c r="B269" s="130"/>
      <c r="C269" s="130"/>
      <c r="D269" s="131"/>
      <c r="E269" s="132"/>
      <c r="F269" s="133"/>
      <c r="G269" s="134" t="n">
        <f aca="false">IFERROR(E269*F269,"")</f>
        <v>0</v>
      </c>
      <c r="H269" s="138"/>
      <c r="I269" s="139"/>
      <c r="J269" s="140"/>
    </row>
    <row r="270" customFormat="false" ht="18" hidden="false" customHeight="true" outlineLevel="0" collapsed="false">
      <c r="A270" s="129"/>
      <c r="B270" s="130"/>
      <c r="C270" s="130"/>
      <c r="D270" s="131"/>
      <c r="E270" s="132"/>
      <c r="F270" s="133"/>
      <c r="G270" s="134" t="n">
        <f aca="false">IFERROR(E270*F270,"")</f>
        <v>0</v>
      </c>
      <c r="H270" s="135"/>
      <c r="I270" s="136"/>
      <c r="J270" s="137"/>
    </row>
    <row r="271" customFormat="false" ht="18" hidden="false" customHeight="true" outlineLevel="0" collapsed="false">
      <c r="A271" s="129"/>
      <c r="B271" s="130"/>
      <c r="C271" s="130"/>
      <c r="D271" s="131"/>
      <c r="E271" s="132"/>
      <c r="F271" s="133"/>
      <c r="G271" s="134" t="n">
        <f aca="false">IFERROR(E271*F271,"")</f>
        <v>0</v>
      </c>
      <c r="H271" s="138"/>
      <c r="I271" s="139"/>
      <c r="J271" s="140"/>
    </row>
    <row r="272" customFormat="false" ht="18" hidden="false" customHeight="true" outlineLevel="0" collapsed="false">
      <c r="A272" s="129"/>
      <c r="B272" s="130"/>
      <c r="C272" s="130"/>
      <c r="D272" s="131"/>
      <c r="E272" s="132"/>
      <c r="F272" s="133"/>
      <c r="G272" s="134" t="n">
        <f aca="false">IFERROR(E272*F272,"")</f>
        <v>0</v>
      </c>
      <c r="H272" s="135"/>
      <c r="I272" s="136"/>
      <c r="J272" s="137"/>
    </row>
    <row r="273" customFormat="false" ht="18" hidden="false" customHeight="true" outlineLevel="0" collapsed="false">
      <c r="A273" s="129"/>
      <c r="B273" s="130"/>
      <c r="C273" s="130"/>
      <c r="D273" s="131"/>
      <c r="E273" s="132"/>
      <c r="F273" s="133"/>
      <c r="G273" s="134" t="n">
        <f aca="false">IFERROR(E273*F273,"")</f>
        <v>0</v>
      </c>
      <c r="H273" s="138"/>
      <c r="I273" s="139"/>
      <c r="J273" s="140"/>
    </row>
    <row r="274" customFormat="false" ht="18" hidden="false" customHeight="true" outlineLevel="0" collapsed="false">
      <c r="A274" s="129"/>
      <c r="B274" s="130"/>
      <c r="C274" s="130"/>
      <c r="D274" s="131"/>
      <c r="E274" s="132"/>
      <c r="F274" s="133"/>
      <c r="G274" s="134" t="n">
        <f aca="false">IFERROR(E274*F274,"")</f>
        <v>0</v>
      </c>
      <c r="H274" s="135"/>
      <c r="I274" s="136"/>
      <c r="J274" s="137"/>
    </row>
    <row r="275" customFormat="false" ht="18" hidden="false" customHeight="true" outlineLevel="0" collapsed="false">
      <c r="A275" s="129"/>
      <c r="B275" s="130"/>
      <c r="C275" s="130"/>
      <c r="D275" s="131"/>
      <c r="E275" s="132"/>
      <c r="F275" s="133"/>
      <c r="G275" s="134" t="n">
        <f aca="false">IFERROR(E275*F275,"")</f>
        <v>0</v>
      </c>
      <c r="H275" s="138"/>
      <c r="I275" s="139"/>
      <c r="J275" s="140"/>
    </row>
    <row r="276" customFormat="false" ht="18" hidden="false" customHeight="true" outlineLevel="0" collapsed="false">
      <c r="A276" s="129"/>
      <c r="B276" s="130"/>
      <c r="C276" s="130"/>
      <c r="D276" s="131"/>
      <c r="E276" s="132"/>
      <c r="F276" s="133"/>
      <c r="G276" s="134" t="n">
        <f aca="false">IFERROR(E276*F276,"")</f>
        <v>0</v>
      </c>
      <c r="H276" s="135"/>
      <c r="I276" s="136"/>
      <c r="J276" s="137"/>
    </row>
    <row r="277" customFormat="false" ht="18" hidden="false" customHeight="true" outlineLevel="0" collapsed="false">
      <c r="A277" s="129"/>
      <c r="B277" s="130"/>
      <c r="C277" s="130"/>
      <c r="D277" s="131"/>
      <c r="E277" s="132"/>
      <c r="F277" s="133"/>
      <c r="G277" s="134" t="n">
        <f aca="false">IFERROR(E277*F277,"")</f>
        <v>0</v>
      </c>
      <c r="H277" s="138"/>
      <c r="I277" s="139"/>
      <c r="J277" s="140"/>
    </row>
    <row r="278" customFormat="false" ht="18" hidden="false" customHeight="true" outlineLevel="0" collapsed="false">
      <c r="A278" s="129"/>
      <c r="B278" s="130"/>
      <c r="C278" s="130"/>
      <c r="D278" s="131"/>
      <c r="E278" s="132"/>
      <c r="F278" s="133"/>
      <c r="G278" s="134" t="n">
        <f aca="false">IFERROR(E278*F278,"")</f>
        <v>0</v>
      </c>
      <c r="H278" s="135"/>
      <c r="I278" s="136"/>
      <c r="J278" s="137"/>
    </row>
    <row r="279" customFormat="false" ht="18" hidden="false" customHeight="true" outlineLevel="0" collapsed="false">
      <c r="A279" s="129"/>
      <c r="B279" s="130"/>
      <c r="C279" s="130"/>
      <c r="D279" s="131"/>
      <c r="E279" s="132"/>
      <c r="F279" s="133"/>
      <c r="G279" s="134" t="n">
        <f aca="false">IFERROR(E279*F279,"")</f>
        <v>0</v>
      </c>
      <c r="H279" s="138"/>
      <c r="I279" s="139"/>
      <c r="J279" s="140"/>
    </row>
    <row r="280" customFormat="false" ht="18" hidden="false" customHeight="true" outlineLevel="0" collapsed="false">
      <c r="A280" s="129"/>
      <c r="B280" s="130"/>
      <c r="C280" s="130"/>
      <c r="D280" s="131"/>
      <c r="E280" s="132"/>
      <c r="F280" s="133"/>
      <c r="G280" s="134" t="n">
        <f aca="false">IFERROR(E280*F280,"")</f>
        <v>0</v>
      </c>
      <c r="H280" s="135"/>
      <c r="I280" s="136"/>
      <c r="J280" s="137"/>
    </row>
    <row r="281" customFormat="false" ht="18" hidden="false" customHeight="true" outlineLevel="0" collapsed="false">
      <c r="A281" s="129"/>
      <c r="B281" s="130"/>
      <c r="C281" s="130"/>
      <c r="D281" s="131"/>
      <c r="E281" s="132"/>
      <c r="F281" s="133"/>
      <c r="G281" s="134" t="n">
        <f aca="false">IFERROR(E281*F281,"")</f>
        <v>0</v>
      </c>
      <c r="H281" s="138"/>
      <c r="I281" s="139"/>
      <c r="J281" s="140"/>
    </row>
    <row r="282" customFormat="false" ht="18" hidden="false" customHeight="true" outlineLevel="0" collapsed="false">
      <c r="A282" s="129"/>
      <c r="B282" s="130"/>
      <c r="C282" s="130"/>
      <c r="D282" s="131"/>
      <c r="E282" s="132"/>
      <c r="F282" s="133"/>
      <c r="G282" s="134" t="n">
        <f aca="false">IFERROR(E282*F282,"")</f>
        <v>0</v>
      </c>
      <c r="H282" s="135"/>
      <c r="I282" s="136"/>
      <c r="J282" s="137"/>
    </row>
    <row r="283" customFormat="false" ht="18" hidden="false" customHeight="true" outlineLevel="0" collapsed="false">
      <c r="A283" s="129"/>
      <c r="B283" s="130"/>
      <c r="C283" s="130"/>
      <c r="D283" s="131"/>
      <c r="E283" s="132"/>
      <c r="F283" s="133"/>
      <c r="G283" s="134" t="n">
        <f aca="false">IFERROR(E283*F283,"")</f>
        <v>0</v>
      </c>
      <c r="H283" s="138"/>
      <c r="I283" s="139"/>
      <c r="J283" s="140"/>
    </row>
    <row r="284" customFormat="false" ht="18" hidden="false" customHeight="true" outlineLevel="0" collapsed="false">
      <c r="A284" s="129"/>
      <c r="B284" s="130"/>
      <c r="C284" s="130"/>
      <c r="D284" s="131"/>
      <c r="E284" s="132"/>
      <c r="F284" s="133"/>
      <c r="G284" s="134" t="n">
        <f aca="false">IFERROR(E284*F284,"")</f>
        <v>0</v>
      </c>
      <c r="H284" s="135"/>
      <c r="I284" s="136"/>
      <c r="J284" s="137"/>
    </row>
    <row r="285" customFormat="false" ht="18" hidden="false" customHeight="true" outlineLevel="0" collapsed="false">
      <c r="A285" s="129"/>
      <c r="B285" s="130"/>
      <c r="C285" s="130"/>
      <c r="D285" s="131"/>
      <c r="E285" s="132"/>
      <c r="F285" s="133"/>
      <c r="G285" s="134" t="n">
        <f aca="false">IFERROR(E285*F285,"")</f>
        <v>0</v>
      </c>
      <c r="H285" s="138"/>
      <c r="I285" s="139"/>
      <c r="J285" s="140"/>
    </row>
    <row r="286" customFormat="false" ht="18" hidden="false" customHeight="true" outlineLevel="0" collapsed="false">
      <c r="A286" s="129"/>
      <c r="B286" s="130"/>
      <c r="C286" s="130"/>
      <c r="D286" s="131"/>
      <c r="E286" s="132"/>
      <c r="F286" s="133"/>
      <c r="G286" s="134" t="n">
        <f aca="false">IFERROR(E286*F286,"")</f>
        <v>0</v>
      </c>
      <c r="H286" s="135"/>
      <c r="I286" s="136"/>
      <c r="J286" s="137"/>
    </row>
    <row r="287" customFormat="false" ht="18" hidden="false" customHeight="true" outlineLevel="0" collapsed="false">
      <c r="A287" s="129"/>
      <c r="B287" s="130"/>
      <c r="C287" s="130"/>
      <c r="D287" s="131"/>
      <c r="E287" s="132"/>
      <c r="F287" s="133"/>
      <c r="G287" s="134" t="n">
        <f aca="false">IFERROR(E287*F287,"")</f>
        <v>0</v>
      </c>
      <c r="H287" s="138"/>
      <c r="I287" s="139"/>
      <c r="J287" s="140"/>
    </row>
    <row r="288" customFormat="false" ht="18" hidden="false" customHeight="true" outlineLevel="0" collapsed="false">
      <c r="A288" s="129"/>
      <c r="B288" s="130"/>
      <c r="C288" s="130"/>
      <c r="D288" s="131"/>
      <c r="E288" s="132"/>
      <c r="F288" s="133"/>
      <c r="G288" s="134" t="n">
        <f aca="false">IFERROR(E288*F288,"")</f>
        <v>0</v>
      </c>
      <c r="H288" s="135"/>
      <c r="I288" s="136"/>
      <c r="J288" s="137"/>
    </row>
    <row r="289" customFormat="false" ht="18" hidden="false" customHeight="true" outlineLevel="0" collapsed="false">
      <c r="A289" s="129"/>
      <c r="B289" s="130"/>
      <c r="C289" s="130"/>
      <c r="D289" s="131"/>
      <c r="E289" s="132"/>
      <c r="F289" s="133"/>
      <c r="G289" s="134" t="n">
        <f aca="false">IFERROR(E289*F289,"")</f>
        <v>0</v>
      </c>
      <c r="H289" s="138"/>
      <c r="I289" s="139"/>
      <c r="J289" s="140"/>
    </row>
    <row r="290" customFormat="false" ht="18" hidden="false" customHeight="true" outlineLevel="0" collapsed="false">
      <c r="A290" s="129"/>
      <c r="B290" s="130"/>
      <c r="C290" s="130"/>
      <c r="D290" s="131"/>
      <c r="E290" s="132"/>
      <c r="F290" s="133"/>
      <c r="G290" s="134" t="n">
        <f aca="false">IFERROR(E290*F290,"")</f>
        <v>0</v>
      </c>
      <c r="H290" s="135"/>
      <c r="I290" s="136"/>
      <c r="J290" s="137"/>
    </row>
    <row r="291" customFormat="false" ht="18" hidden="false" customHeight="true" outlineLevel="0" collapsed="false">
      <c r="A291" s="129"/>
      <c r="B291" s="130"/>
      <c r="C291" s="130"/>
      <c r="D291" s="131"/>
      <c r="E291" s="132"/>
      <c r="F291" s="133"/>
      <c r="G291" s="134" t="n">
        <f aca="false">IFERROR(E291*F291,"")</f>
        <v>0</v>
      </c>
      <c r="H291" s="138"/>
      <c r="I291" s="139"/>
      <c r="J291" s="140"/>
    </row>
    <row r="292" customFormat="false" ht="18" hidden="false" customHeight="true" outlineLevel="0" collapsed="false">
      <c r="A292" s="129"/>
      <c r="B292" s="130"/>
      <c r="C292" s="130"/>
      <c r="D292" s="131"/>
      <c r="E292" s="132"/>
      <c r="F292" s="133"/>
      <c r="G292" s="134" t="n">
        <f aca="false">IFERROR(E292*F292,"")</f>
        <v>0</v>
      </c>
      <c r="H292" s="135"/>
      <c r="I292" s="136"/>
      <c r="J292" s="137"/>
    </row>
    <row r="293" customFormat="false" ht="18" hidden="false" customHeight="true" outlineLevel="0" collapsed="false">
      <c r="A293" s="129"/>
      <c r="B293" s="130"/>
      <c r="C293" s="130"/>
      <c r="D293" s="131"/>
      <c r="E293" s="132"/>
      <c r="F293" s="133"/>
      <c r="G293" s="134" t="n">
        <f aca="false">IFERROR(E293*F293,"")</f>
        <v>0</v>
      </c>
      <c r="H293" s="138"/>
      <c r="I293" s="139"/>
      <c r="J293" s="140"/>
    </row>
    <row r="294" customFormat="false" ht="18" hidden="false" customHeight="true" outlineLevel="0" collapsed="false">
      <c r="A294" s="129"/>
      <c r="B294" s="130"/>
      <c r="C294" s="130"/>
      <c r="D294" s="131"/>
      <c r="E294" s="132"/>
      <c r="F294" s="133"/>
      <c r="G294" s="134" t="n">
        <f aca="false">IFERROR(E294*F294,"")</f>
        <v>0</v>
      </c>
      <c r="H294" s="135"/>
      <c r="I294" s="136"/>
      <c r="J294" s="137"/>
    </row>
    <row r="295" customFormat="false" ht="18" hidden="false" customHeight="true" outlineLevel="0" collapsed="false">
      <c r="A295" s="129"/>
      <c r="B295" s="130"/>
      <c r="C295" s="130"/>
      <c r="D295" s="131"/>
      <c r="E295" s="132"/>
      <c r="F295" s="133"/>
      <c r="G295" s="134" t="n">
        <f aca="false">IFERROR(E295*F295,"")</f>
        <v>0</v>
      </c>
      <c r="H295" s="138"/>
      <c r="I295" s="139"/>
      <c r="J295" s="140"/>
    </row>
    <row r="296" customFormat="false" ht="18" hidden="false" customHeight="true" outlineLevel="0" collapsed="false">
      <c r="A296" s="129"/>
      <c r="B296" s="130"/>
      <c r="C296" s="130"/>
      <c r="D296" s="131"/>
      <c r="E296" s="132"/>
      <c r="F296" s="133"/>
      <c r="G296" s="134" t="n">
        <f aca="false">IFERROR(E296*F296,"")</f>
        <v>0</v>
      </c>
      <c r="H296" s="135"/>
      <c r="I296" s="136"/>
      <c r="J296" s="137"/>
    </row>
    <row r="297" customFormat="false" ht="18" hidden="false" customHeight="true" outlineLevel="0" collapsed="false">
      <c r="A297" s="129"/>
      <c r="B297" s="130"/>
      <c r="C297" s="130"/>
      <c r="D297" s="131"/>
      <c r="E297" s="132"/>
      <c r="F297" s="133"/>
      <c r="G297" s="134" t="n">
        <f aca="false">IFERROR(E297*F297,"")</f>
        <v>0</v>
      </c>
      <c r="H297" s="138"/>
      <c r="I297" s="139"/>
      <c r="J297" s="140"/>
    </row>
    <row r="298" customFormat="false" ht="18" hidden="false" customHeight="true" outlineLevel="0" collapsed="false">
      <c r="A298" s="129"/>
      <c r="B298" s="130"/>
      <c r="C298" s="130"/>
      <c r="D298" s="131"/>
      <c r="E298" s="132"/>
      <c r="F298" s="133"/>
      <c r="G298" s="134" t="n">
        <f aca="false">IFERROR(E298*F298,"")</f>
        <v>0</v>
      </c>
      <c r="H298" s="135"/>
      <c r="I298" s="136"/>
      <c r="J298" s="137"/>
    </row>
    <row r="299" customFormat="false" ht="18" hidden="false" customHeight="true" outlineLevel="0" collapsed="false">
      <c r="A299" s="129"/>
      <c r="B299" s="130"/>
      <c r="C299" s="130"/>
      <c r="D299" s="131"/>
      <c r="E299" s="132"/>
      <c r="F299" s="133"/>
      <c r="G299" s="134" t="n">
        <f aca="false">IFERROR(E299*F299,"")</f>
        <v>0</v>
      </c>
      <c r="H299" s="138"/>
      <c r="I299" s="139"/>
      <c r="J299" s="140"/>
    </row>
    <row r="300" customFormat="false" ht="18" hidden="false" customHeight="true" outlineLevel="0" collapsed="false">
      <c r="A300" s="129"/>
      <c r="B300" s="130"/>
      <c r="C300" s="130"/>
      <c r="D300" s="131"/>
      <c r="E300" s="132"/>
      <c r="F300" s="133"/>
      <c r="G300" s="134" t="n">
        <f aca="false">IFERROR(E300*F300,"")</f>
        <v>0</v>
      </c>
      <c r="H300" s="135"/>
      <c r="I300" s="136"/>
      <c r="J300" s="137"/>
    </row>
    <row r="301" customFormat="false" ht="18" hidden="false" customHeight="true" outlineLevel="0" collapsed="false">
      <c r="A301" s="129"/>
      <c r="B301" s="130"/>
      <c r="C301" s="130"/>
      <c r="D301" s="131"/>
      <c r="E301" s="132"/>
      <c r="F301" s="133"/>
      <c r="G301" s="134" t="n">
        <f aca="false">IFERROR(E301*F301,"")</f>
        <v>0</v>
      </c>
      <c r="H301" s="138"/>
      <c r="I301" s="139"/>
      <c r="J301" s="140"/>
    </row>
    <row r="302" customFormat="false" ht="18" hidden="false" customHeight="true" outlineLevel="0" collapsed="false">
      <c r="A302" s="129"/>
      <c r="B302" s="130"/>
      <c r="C302" s="130"/>
      <c r="D302" s="131"/>
      <c r="E302" s="132"/>
      <c r="F302" s="133"/>
      <c r="G302" s="134" t="n">
        <f aca="false">IFERROR(E302*F302,"")</f>
        <v>0</v>
      </c>
      <c r="H302" s="135"/>
      <c r="I302" s="136"/>
      <c r="J302" s="137"/>
    </row>
    <row r="303" customFormat="false" ht="18" hidden="false" customHeight="true" outlineLevel="0" collapsed="false">
      <c r="A303" s="129"/>
      <c r="B303" s="130"/>
      <c r="C303" s="130"/>
      <c r="D303" s="131"/>
      <c r="E303" s="132"/>
      <c r="F303" s="133"/>
      <c r="G303" s="134" t="n">
        <f aca="false">IFERROR(E303*F303,"")</f>
        <v>0</v>
      </c>
      <c r="H303" s="138"/>
      <c r="I303" s="139"/>
      <c r="J303" s="140"/>
    </row>
    <row r="304" customFormat="false" ht="15" hidden="false" customHeight="true" outlineLevel="0" collapsed="false">
      <c r="A304" s="53" t="s">
        <v>632</v>
      </c>
      <c r="B304" s="53"/>
      <c r="C304" s="53"/>
      <c r="D304" s="53"/>
      <c r="E304" s="141" t="n">
        <f aca="false">IFERROR(SUM(E4:E303),"")</f>
        <v>56444.89</v>
      </c>
      <c r="G304" s="74" t="n">
        <f aca="false">IFERROR(SUMIF(D4:D303,"자체구매",G4:G303),"")</f>
        <v>471741285.360194</v>
      </c>
    </row>
    <row r="305" customFormat="false" ht="15" hidden="false" customHeight="true" outlineLevel="0" collapsed="false">
      <c r="A305" s="142" t="s">
        <v>636</v>
      </c>
      <c r="B305" s="142"/>
      <c r="C305" s="142"/>
      <c r="D305" s="142"/>
      <c r="E305" s="143" t="n">
        <f aca="false">IFERROR(SUMIF(D4:D303,"위탁공급",E4:E303),"")</f>
        <v>26040</v>
      </c>
    </row>
    <row r="306" customFormat="false" ht="15" hidden="false" customHeight="true" outlineLevel="0" collapsed="false">
      <c r="A306" s="144" t="n">
        <v>46078</v>
      </c>
      <c r="B306" s="145" t="s">
        <v>71</v>
      </c>
      <c r="C306" s="145" t="s">
        <v>637</v>
      </c>
      <c r="D306" s="146" t="s">
        <v>634</v>
      </c>
      <c r="E306" s="147" t="n">
        <v>20</v>
      </c>
      <c r="F306" s="147" t="n">
        <v>7800</v>
      </c>
      <c r="G306" s="147" t="n">
        <v>156000</v>
      </c>
      <c r="H306" s="127"/>
      <c r="I306" s="148" t="n">
        <v>46150</v>
      </c>
      <c r="J306" s="127"/>
      <c r="K306" s="127" t="s">
        <v>247</v>
      </c>
    </row>
    <row r="307" customFormat="false" ht="15" hidden="false" customHeight="true" outlineLevel="0" collapsed="false">
      <c r="A307" s="144" t="n">
        <v>46079</v>
      </c>
      <c r="B307" s="145" t="s">
        <v>125</v>
      </c>
      <c r="C307" s="145" t="s">
        <v>645</v>
      </c>
      <c r="D307" s="146" t="s">
        <v>634</v>
      </c>
      <c r="E307" s="147" t="n">
        <v>3</v>
      </c>
      <c r="F307" s="147" t="n">
        <v>4280</v>
      </c>
      <c r="G307" s="147" t="n">
        <v>12840</v>
      </c>
      <c r="H307" s="127"/>
      <c r="I307" s="148" t="n">
        <v>45915</v>
      </c>
      <c r="J307" s="145" t="s">
        <v>650</v>
      </c>
      <c r="K307" s="127" t="s">
        <v>247</v>
      </c>
    </row>
    <row r="308" customFormat="false" ht="15" hidden="false" customHeight="true" outlineLevel="0" collapsed="false">
      <c r="A308" s="144" t="n">
        <v>46079</v>
      </c>
      <c r="B308" s="145" t="s">
        <v>80</v>
      </c>
      <c r="C308" s="145" t="s">
        <v>645</v>
      </c>
      <c r="D308" s="146" t="s">
        <v>634</v>
      </c>
      <c r="E308" s="147" t="n">
        <v>2</v>
      </c>
      <c r="F308" s="147" t="n">
        <v>34680</v>
      </c>
      <c r="G308" s="147" t="n">
        <v>69360</v>
      </c>
      <c r="H308" s="127"/>
      <c r="I308" s="148" t="n">
        <v>46778</v>
      </c>
      <c r="J308" s="127"/>
      <c r="K308" s="127" t="s">
        <v>247</v>
      </c>
    </row>
    <row r="309" customFormat="false" ht="15" hidden="false" customHeight="true" outlineLevel="0" collapsed="false">
      <c r="A309" s="144" t="n">
        <v>46082</v>
      </c>
      <c r="B309" s="145" t="s">
        <v>130</v>
      </c>
      <c r="C309" s="145" t="s">
        <v>637</v>
      </c>
      <c r="D309" s="146" t="s">
        <v>634</v>
      </c>
      <c r="E309" s="147" t="n">
        <v>54</v>
      </c>
      <c r="F309" s="147" t="n">
        <v>5361.111111</v>
      </c>
      <c r="G309" s="147" t="n">
        <v>289499.999994</v>
      </c>
      <c r="H309" s="127"/>
      <c r="I309" s="148" t="n">
        <v>46386</v>
      </c>
      <c r="J309" s="127"/>
      <c r="K309" s="127" t="s">
        <v>248</v>
      </c>
    </row>
    <row r="310" customFormat="false" ht="15" hidden="false" customHeight="true" outlineLevel="0" collapsed="false">
      <c r="A310" s="144" t="n">
        <v>46082</v>
      </c>
      <c r="B310" s="145" t="s">
        <v>71</v>
      </c>
      <c r="C310" s="145" t="s">
        <v>637</v>
      </c>
      <c r="D310" s="146" t="s">
        <v>634</v>
      </c>
      <c r="E310" s="147" t="n">
        <v>20</v>
      </c>
      <c r="F310" s="147" t="n">
        <v>7800</v>
      </c>
      <c r="G310" s="147" t="n">
        <v>156000</v>
      </c>
      <c r="H310" s="127"/>
      <c r="I310" s="148" t="n">
        <v>46150</v>
      </c>
      <c r="J310" s="127"/>
      <c r="K310" s="127" t="s">
        <v>248</v>
      </c>
    </row>
    <row r="311" customFormat="false" ht="15" hidden="false" customHeight="true" outlineLevel="0" collapsed="false">
      <c r="A311" s="144" t="n">
        <v>46082</v>
      </c>
      <c r="B311" s="145" t="s">
        <v>121</v>
      </c>
      <c r="C311" s="145" t="s">
        <v>637</v>
      </c>
      <c r="D311" s="146" t="s">
        <v>634</v>
      </c>
      <c r="E311" s="147" t="n">
        <v>160</v>
      </c>
      <c r="F311" s="147" t="n">
        <v>625</v>
      </c>
      <c r="G311" s="147" t="n">
        <v>100000</v>
      </c>
      <c r="H311" s="127"/>
      <c r="I311" s="127" t="s">
        <v>646</v>
      </c>
      <c r="J311" s="127"/>
      <c r="K311" s="127" t="s">
        <v>248</v>
      </c>
    </row>
    <row r="312" customFormat="false" ht="15" hidden="false" customHeight="true" outlineLevel="0" collapsed="false">
      <c r="A312" s="144" t="n">
        <v>46085</v>
      </c>
      <c r="B312" s="145" t="s">
        <v>651</v>
      </c>
      <c r="C312" s="145" t="s">
        <v>645</v>
      </c>
      <c r="D312" s="146" t="s">
        <v>634</v>
      </c>
      <c r="E312" s="147" t="n">
        <v>8</v>
      </c>
      <c r="F312" s="147" t="n">
        <v>14205</v>
      </c>
      <c r="G312" s="147" t="n">
        <v>113640</v>
      </c>
      <c r="H312" s="127"/>
      <c r="I312" s="148" t="n">
        <v>46750</v>
      </c>
      <c r="J312" s="127"/>
      <c r="K312" s="127" t="s">
        <v>248</v>
      </c>
    </row>
    <row r="313" customFormat="false" ht="15" hidden="false" customHeight="true" outlineLevel="0" collapsed="false">
      <c r="A313" s="144" t="n">
        <v>46085</v>
      </c>
      <c r="B313" s="145" t="s">
        <v>120</v>
      </c>
      <c r="C313" s="145" t="s">
        <v>633</v>
      </c>
      <c r="D313" s="146" t="s">
        <v>639</v>
      </c>
      <c r="E313" s="147" t="n">
        <v>1200</v>
      </c>
      <c r="F313" s="147" t="n">
        <v>3375</v>
      </c>
      <c r="G313" s="147" t="n">
        <v>4050000</v>
      </c>
      <c r="H313" s="127"/>
      <c r="I313" s="127" t="s">
        <v>646</v>
      </c>
      <c r="J313" s="145" t="s">
        <v>635</v>
      </c>
      <c r="K313" s="127" t="s">
        <v>248</v>
      </c>
    </row>
    <row r="314" customFormat="false" ht="15" hidden="false" customHeight="true" outlineLevel="0" collapsed="false">
      <c r="A314" s="144" t="n">
        <v>46085</v>
      </c>
      <c r="B314" s="145" t="s">
        <v>134</v>
      </c>
      <c r="C314" s="145" t="s">
        <v>644</v>
      </c>
      <c r="D314" s="146" t="s">
        <v>639</v>
      </c>
      <c r="E314" s="147" t="n">
        <v>1000</v>
      </c>
      <c r="F314" s="147" t="n">
        <v>2900</v>
      </c>
      <c r="G314" s="147" t="n">
        <v>2900000</v>
      </c>
      <c r="H314" s="127"/>
      <c r="I314" s="148" t="n">
        <v>46047</v>
      </c>
      <c r="J314" s="145" t="s">
        <v>642</v>
      </c>
      <c r="K314" s="127" t="s">
        <v>248</v>
      </c>
    </row>
    <row r="315" customFormat="false" ht="15" hidden="false" customHeight="true" outlineLevel="0" collapsed="false">
      <c r="A315" s="144" t="n">
        <v>46086</v>
      </c>
      <c r="B315" s="145" t="s">
        <v>68</v>
      </c>
      <c r="C315" s="145" t="s">
        <v>641</v>
      </c>
      <c r="D315" s="146" t="s">
        <v>634</v>
      </c>
      <c r="E315" s="147" t="n">
        <v>144</v>
      </c>
      <c r="F315" s="147" t="n">
        <v>7150</v>
      </c>
      <c r="G315" s="147" t="n">
        <v>1029600</v>
      </c>
      <c r="H315" s="127"/>
      <c r="I315" s="148" t="n">
        <v>46260</v>
      </c>
      <c r="J315" s="127"/>
      <c r="K315" s="127" t="s">
        <v>248</v>
      </c>
    </row>
    <row r="316" customFormat="false" ht="15" hidden="false" customHeight="true" outlineLevel="0" collapsed="false">
      <c r="A316" s="144" t="n">
        <v>46086</v>
      </c>
      <c r="B316" s="145" t="s">
        <v>71</v>
      </c>
      <c r="C316" s="145" t="s">
        <v>637</v>
      </c>
      <c r="D316" s="146" t="s">
        <v>634</v>
      </c>
      <c r="E316" s="147" t="n">
        <v>40</v>
      </c>
      <c r="F316" s="147" t="n">
        <v>7800</v>
      </c>
      <c r="G316" s="147" t="n">
        <v>312000</v>
      </c>
      <c r="H316" s="127"/>
      <c r="I316" s="148" t="n">
        <v>46150</v>
      </c>
      <c r="J316" s="127"/>
      <c r="K316" s="127" t="s">
        <v>248</v>
      </c>
    </row>
    <row r="317" customFormat="false" ht="15" hidden="false" customHeight="true" outlineLevel="0" collapsed="false">
      <c r="A317" s="144" t="n">
        <v>46087</v>
      </c>
      <c r="B317" s="145" t="s">
        <v>651</v>
      </c>
      <c r="C317" s="145" t="s">
        <v>644</v>
      </c>
      <c r="D317" s="146" t="s">
        <v>639</v>
      </c>
      <c r="E317" s="147" t="n">
        <v>80</v>
      </c>
      <c r="F317" s="147" t="n">
        <v>12600</v>
      </c>
      <c r="G317" s="147" t="n">
        <v>1008000</v>
      </c>
      <c r="H317" s="127"/>
      <c r="I317" s="148" t="n">
        <v>46759</v>
      </c>
      <c r="J317" s="127"/>
      <c r="K317" s="127" t="s">
        <v>248</v>
      </c>
    </row>
    <row r="318" customFormat="false" ht="15" hidden="false" customHeight="true" outlineLevel="0" collapsed="false">
      <c r="A318" s="144" t="n">
        <v>46087</v>
      </c>
      <c r="B318" s="145" t="s">
        <v>114</v>
      </c>
      <c r="C318" s="145" t="s">
        <v>645</v>
      </c>
      <c r="D318" s="146" t="s">
        <v>634</v>
      </c>
      <c r="E318" s="147" t="n">
        <v>2</v>
      </c>
      <c r="F318" s="147" t="n">
        <v>20800</v>
      </c>
      <c r="G318" s="147" t="n">
        <v>41600</v>
      </c>
      <c r="H318" s="127"/>
      <c r="I318" s="148" t="n">
        <v>47138</v>
      </c>
      <c r="J318" s="127"/>
      <c r="K318" s="127" t="s">
        <v>248</v>
      </c>
    </row>
    <row r="319" customFormat="false" ht="15" hidden="false" customHeight="true" outlineLevel="0" collapsed="false">
      <c r="A319" s="144" t="n">
        <v>46090</v>
      </c>
      <c r="B319" s="145" t="s">
        <v>130</v>
      </c>
      <c r="C319" s="145" t="s">
        <v>644</v>
      </c>
      <c r="D319" s="146" t="s">
        <v>639</v>
      </c>
      <c r="E319" s="147" t="n">
        <v>180</v>
      </c>
      <c r="F319" s="147" t="n">
        <v>4555.56</v>
      </c>
      <c r="G319" s="147" t="n">
        <v>820000</v>
      </c>
      <c r="H319" s="145"/>
      <c r="I319" s="148" t="n">
        <v>46415</v>
      </c>
      <c r="J319" s="145"/>
    </row>
    <row r="320" customFormat="false" ht="15" hidden="false" customHeight="true" outlineLevel="0" collapsed="false">
      <c r="A320" s="144" t="n">
        <v>46090</v>
      </c>
      <c r="B320" s="145" t="s">
        <v>124</v>
      </c>
      <c r="C320" s="145" t="s">
        <v>644</v>
      </c>
      <c r="D320" s="146" t="s">
        <v>639</v>
      </c>
      <c r="E320" s="147" t="n">
        <v>90</v>
      </c>
      <c r="F320" s="147" t="n">
        <v>2444.44</v>
      </c>
      <c r="G320" s="147" t="n">
        <v>220000</v>
      </c>
      <c r="H320" s="145"/>
      <c r="I320" s="148" t="n">
        <v>46527</v>
      </c>
      <c r="J320" s="145"/>
    </row>
    <row r="321" customFormat="false" ht="15" hidden="false" customHeight="true" outlineLevel="0" collapsed="false">
      <c r="A321" s="144" t="n">
        <v>46090</v>
      </c>
      <c r="B321" s="145" t="s">
        <v>92</v>
      </c>
      <c r="C321" s="145" t="s">
        <v>644</v>
      </c>
      <c r="D321" s="146" t="s">
        <v>639</v>
      </c>
      <c r="E321" s="147" t="n">
        <v>480</v>
      </c>
      <c r="F321" s="147" t="n">
        <v>1466.67</v>
      </c>
      <c r="G321" s="147" t="n">
        <v>704000</v>
      </c>
      <c r="H321" s="145"/>
      <c r="I321" s="148" t="n">
        <v>46061</v>
      </c>
      <c r="J321" s="145" t="s">
        <v>642</v>
      </c>
    </row>
    <row r="322" customFormat="false" ht="15" hidden="false" customHeight="true" outlineLevel="0" collapsed="false">
      <c r="A322" s="144" t="n">
        <v>46090</v>
      </c>
      <c r="B322" s="145" t="s">
        <v>121</v>
      </c>
      <c r="C322" s="145" t="s">
        <v>644</v>
      </c>
      <c r="D322" s="146" t="s">
        <v>639</v>
      </c>
      <c r="E322" s="147" t="n">
        <v>100</v>
      </c>
      <c r="F322" s="147" t="n">
        <v>900</v>
      </c>
      <c r="G322" s="147" t="n">
        <v>90000</v>
      </c>
      <c r="H322" s="145"/>
      <c r="I322" s="145"/>
      <c r="J322" s="145"/>
    </row>
    <row r="323" customFormat="false" ht="15" hidden="false" customHeight="true" outlineLevel="0" collapsed="false">
      <c r="A323" s="144" t="n">
        <v>46092</v>
      </c>
      <c r="B323" s="145" t="s">
        <v>120</v>
      </c>
      <c r="C323" s="145" t="s">
        <v>633</v>
      </c>
      <c r="D323" s="146" t="s">
        <v>639</v>
      </c>
      <c r="E323" s="147" t="n">
        <v>1200</v>
      </c>
      <c r="F323" s="147" t="n">
        <v>3375</v>
      </c>
      <c r="G323" s="147" t="n">
        <v>4050000</v>
      </c>
      <c r="H323" s="145"/>
      <c r="I323" s="145"/>
      <c r="J323" s="145"/>
    </row>
    <row r="324" customFormat="false" ht="15" hidden="false" customHeight="true" outlineLevel="0" collapsed="false">
      <c r="A324" s="144" t="n">
        <v>46092</v>
      </c>
      <c r="B324" s="145" t="s">
        <v>71</v>
      </c>
      <c r="C324" s="145" t="s">
        <v>637</v>
      </c>
      <c r="D324" s="146" t="s">
        <v>634</v>
      </c>
      <c r="E324" s="147" t="n">
        <v>40</v>
      </c>
      <c r="F324" s="147" t="n">
        <v>7800</v>
      </c>
      <c r="G324" s="147" t="n">
        <v>312000</v>
      </c>
      <c r="H324" s="145"/>
      <c r="I324" s="148" t="n">
        <v>46523</v>
      </c>
      <c r="J324" s="145"/>
    </row>
  </sheetData>
  <mergeCells count="4">
    <mergeCell ref="A1:K1"/>
    <mergeCell ref="A2:J2"/>
    <mergeCell ref="A304:D304"/>
    <mergeCell ref="A305:D305"/>
  </mergeCells>
  <dataValidations count="2">
    <dataValidation allowBlank="false" error="목록에서 원재료를 선택하세요" errorStyle="stop" errorTitle="원재료명 오류" operator="between" showDropDown="false" showErrorMessage="true" showInputMessage="false" sqref="B4:B303" type="list">
      <formula1>'📋 드롭다운 목록'!$B$2:$B$81</formula1>
      <formula2>0</formula2>
    </dataValidation>
    <dataValidation allowBlank="false" errorStyle="stop" operator="between" showDropDown="false" showErrorMessage="false" showInputMessage="false" sqref="D4:D303" type="list">
      <formula1>"자체구매,위탁공급"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8" min="3" style="1" width="14"/>
    <col collapsed="false" customWidth="true" hidden="false" outlineLevel="0" max="9" min="9" style="1" width="16"/>
  </cols>
  <sheetData>
    <row r="1" customFormat="false" ht="34.5" hidden="false" customHeight="true" outlineLevel="0" collapsed="false">
      <c r="A1" s="9" t="s">
        <v>652</v>
      </c>
      <c r="B1" s="9"/>
      <c r="C1" s="9"/>
      <c r="D1" s="9"/>
      <c r="E1" s="9"/>
      <c r="F1" s="9"/>
      <c r="G1" s="9"/>
      <c r="H1" s="9"/>
      <c r="I1" s="9"/>
    </row>
    <row r="2" customFormat="false" ht="18" hidden="false" customHeight="true" outlineLevel="0" collapsed="false">
      <c r="A2" s="28" t="s">
        <v>653</v>
      </c>
      <c r="B2" s="28"/>
      <c r="C2" s="28"/>
      <c r="D2" s="28"/>
      <c r="E2" s="28"/>
      <c r="F2" s="28"/>
      <c r="G2" s="28"/>
      <c r="H2" s="28"/>
      <c r="I2" s="28"/>
    </row>
    <row r="3" customFormat="false" ht="21.75" hidden="false" customHeight="true" outlineLevel="0" collapsed="false">
      <c r="A3" s="149" t="s">
        <v>654</v>
      </c>
      <c r="B3" s="150" t="s">
        <v>655</v>
      </c>
      <c r="C3" s="150"/>
      <c r="D3" s="151" t="s">
        <v>656</v>
      </c>
    </row>
    <row r="4" customFormat="false" ht="34.5" hidden="false" customHeight="true" outlineLevel="0" collapsed="false">
      <c r="A4" s="11" t="s">
        <v>46</v>
      </c>
      <c r="B4" s="12" t="s">
        <v>140</v>
      </c>
      <c r="C4" s="12" t="s">
        <v>657</v>
      </c>
      <c r="D4" s="12" t="s">
        <v>256</v>
      </c>
      <c r="E4" s="12" t="s">
        <v>257</v>
      </c>
      <c r="F4" s="12" t="s">
        <v>258</v>
      </c>
      <c r="G4" s="12" t="s">
        <v>658</v>
      </c>
      <c r="H4" s="12" t="s">
        <v>659</v>
      </c>
      <c r="I4" s="12" t="s">
        <v>51</v>
      </c>
    </row>
    <row r="5" customFormat="false" ht="18" hidden="false" customHeight="true" outlineLevel="0" collapsed="false">
      <c r="A5" s="13" t="n">
        <v>1</v>
      </c>
      <c r="B5" s="18" t="s">
        <v>53</v>
      </c>
      <c r="C5" s="63" t="n">
        <f aca="false">IFERROR(SUMIFS('📥 원재료 입고'!E$4:E$400,'📥 원재료 입고'!B$4:B$400,B5),0)</f>
        <v>0</v>
      </c>
      <c r="D5" s="62" t="n">
        <f aca="false">IFERROR(SUMIFS('📥 원재료 입고'!E$4:E$400,'📥 원재료 입고'!B$4:B$400,B5,'📥 원재료 입고'!D$4:D$400,"자체구매"),"")</f>
        <v>0</v>
      </c>
      <c r="E5" s="61" t="n">
        <f aca="false">IFERROR(SUMIFS('📥 원재료 입고'!E$4:E$400,'📥 원재료 입고'!B$4:B$400,B5,'📥 원재료 입고'!D$4:D$400,"위탁공급"),"")</f>
        <v>0</v>
      </c>
      <c r="F5" s="64" t="n">
        <f aca="false">SUMIFS('📦 일일 생산 입력'!G$5:G$505,'📦 일일 생산 입력'!$B$5:$B$505,"&gt;="&amp;DATE(2026,1,1))</f>
        <v>2</v>
      </c>
      <c r="G5" s="63" t="n">
        <f aca="false">IFERROR(MAX('📊 월별 원료수불부'!C5+C5-F5,0),"")</f>
        <v>12.64</v>
      </c>
      <c r="H5" s="13" t="str">
        <f aca="false">IFERROR(IF(G5="","—",IF(G5&lt;0,"🚨 부족",IF(G5&lt;5,"⚠️ 부족임박","✅ 정상"))),"—")</f>
        <v>✅ 정상</v>
      </c>
      <c r="I5" s="16"/>
    </row>
    <row r="6" customFormat="false" ht="18" hidden="false" customHeight="true" outlineLevel="0" collapsed="false">
      <c r="A6" s="17" t="n">
        <v>2</v>
      </c>
      <c r="B6" s="65" t="s">
        <v>55</v>
      </c>
      <c r="C6" s="63" t="n">
        <f aca="false">IFERROR(SUMIFS('📥 원재료 입고'!E$4:E$400,'📥 원재료 입고'!B$4:B$400,B6),0)</f>
        <v>0</v>
      </c>
      <c r="D6" s="62" t="n">
        <f aca="false">IFERROR(SUMIFS('📥 원재료 입고'!E$4:E$400,'📥 원재료 입고'!B$4:B$400,B6,'📥 원재료 입고'!D$4:D$400,"자체구매"),"")</f>
        <v>0</v>
      </c>
      <c r="E6" s="61" t="n">
        <f aca="false">IFERROR(SUMIFS('📥 원재료 입고'!E$4:E$400,'📥 원재료 입고'!B$4:B$400,B6,'📥 원재료 입고'!D$4:D$400,"위탁공급"),"")</f>
        <v>0</v>
      </c>
      <c r="F6" s="64" t="n">
        <f aca="false">SUMIFS('📦 일일 생산 입력'!H$5:H$505,'📦 일일 생산 입력'!$B$5:$B$505,"&gt;="&amp;DATE(2026,1,1))</f>
        <v>5</v>
      </c>
      <c r="G6" s="63" t="n">
        <f aca="false">IFERROR(MAX('📊 월별 원료수불부'!C6+C6-F6,0),"")</f>
        <v>18.54</v>
      </c>
      <c r="H6" s="17" t="str">
        <f aca="false">IFERROR(IF(G6="","—",IF(G6&lt;0,"🚨 부족",IF(G6&lt;5,"⚠️ 부족임박","✅ 정상"))),"—")</f>
        <v>✅ 정상</v>
      </c>
      <c r="I6" s="19"/>
    </row>
    <row r="7" customFormat="false" ht="18" hidden="false" customHeight="true" outlineLevel="0" collapsed="false">
      <c r="A7" s="13" t="n">
        <v>3</v>
      </c>
      <c r="B7" s="18" t="s">
        <v>56</v>
      </c>
      <c r="C7" s="63" t="n">
        <f aca="false">IFERROR(SUMIFS('📥 원재료 입고'!E$4:E$400,'📥 원재료 입고'!B$4:B$400,B7),0)</f>
        <v>0</v>
      </c>
      <c r="D7" s="62" t="n">
        <f aca="false">IFERROR(SUMIFS('📥 원재료 입고'!E$4:E$400,'📥 원재료 입고'!B$4:B$400,B7,'📥 원재료 입고'!D$4:D$400,"자체구매"),"")</f>
        <v>0</v>
      </c>
      <c r="E7" s="61" t="n">
        <f aca="false">IFERROR(SUMIFS('📥 원재료 입고'!E$4:E$400,'📥 원재료 입고'!B$4:B$400,B7,'📥 원재료 입고'!D$4:D$400,"위탁공급"),"")</f>
        <v>0</v>
      </c>
      <c r="F7" s="64" t="n">
        <f aca="false">SUMIFS('📦 일일 생산 입력'!I$5:I$505,'📦 일일 생산 입력'!$B$5:$B$505,"&gt;="&amp;DATE(2026,1,1))</f>
        <v>0</v>
      </c>
      <c r="G7" s="63" t="n">
        <f aca="false">IFERROR(MAX('📊 월별 원료수불부'!C7+C7-F7,0),"")</f>
        <v>0.25</v>
      </c>
      <c r="H7" s="13" t="str">
        <f aca="false">IFERROR(IF(G7="","—",IF(G7&lt;0,"🚨 부족",IF(G7&lt;5,"⚠️ 부족임박","✅ 정상"))),"—")</f>
        <v>⚠️ 부족임박</v>
      </c>
      <c r="I7" s="16"/>
    </row>
    <row r="8" customFormat="false" ht="18" hidden="false" customHeight="true" outlineLevel="0" collapsed="false">
      <c r="A8" s="17" t="n">
        <v>4</v>
      </c>
      <c r="B8" s="65" t="s">
        <v>57</v>
      </c>
      <c r="C8" s="63" t="n">
        <f aca="false">IFERROR(SUMIFS('📥 원재료 입고'!E$4:E$400,'📥 원재료 입고'!B$4:B$400,B8),0)</f>
        <v>0</v>
      </c>
      <c r="D8" s="62" t="n">
        <f aca="false">IFERROR(SUMIFS('📥 원재료 입고'!E$4:E$400,'📥 원재료 입고'!B$4:B$400,B8,'📥 원재료 입고'!D$4:D$400,"자체구매"),"")</f>
        <v>0</v>
      </c>
      <c r="E8" s="61" t="n">
        <f aca="false">IFERROR(SUMIFS('📥 원재료 입고'!E$4:E$400,'📥 원재료 입고'!B$4:B$400,B8,'📥 원재료 입고'!D$4:D$400,"위탁공급"),"")</f>
        <v>0</v>
      </c>
      <c r="F8" s="64" t="n">
        <f aca="false">SUMIFS('📦 일일 생산 입력'!J$5:J$505,'📦 일일 생산 입력'!$B$5:$B$505,"&gt;="&amp;DATE(2026,1,1))</f>
        <v>2</v>
      </c>
      <c r="G8" s="63" t="n">
        <f aca="false">IFERROR(MAX('📊 월별 원료수불부'!C8+C8-F8,0),"")</f>
        <v>8.68</v>
      </c>
      <c r="H8" s="17" t="str">
        <f aca="false">IFERROR(IF(G8="","—",IF(G8&lt;0,"🚨 부족",IF(G8&lt;5,"⚠️ 부족임박","✅ 정상"))),"—")</f>
        <v>✅ 정상</v>
      </c>
      <c r="I8" s="19"/>
    </row>
    <row r="9" customFormat="false" ht="18" hidden="false" customHeight="true" outlineLevel="0" collapsed="false">
      <c r="A9" s="13" t="n">
        <v>5</v>
      </c>
      <c r="B9" s="18" t="s">
        <v>58</v>
      </c>
      <c r="C9" s="63" t="n">
        <f aca="false">IFERROR(SUMIFS('📥 원재료 입고'!E$4:E$400,'📥 원재료 입고'!B$4:B$400,B9),0)</f>
        <v>0</v>
      </c>
      <c r="D9" s="62" t="n">
        <f aca="false">IFERROR(SUMIFS('📥 원재료 입고'!E$4:E$400,'📥 원재료 입고'!B$4:B$400,B9,'📥 원재료 입고'!D$4:D$400,"자체구매"),"")</f>
        <v>0</v>
      </c>
      <c r="E9" s="61" t="n">
        <f aca="false">IFERROR(SUMIFS('📥 원재료 입고'!E$4:E$400,'📥 원재료 입고'!B$4:B$400,B9,'📥 원재료 입고'!D$4:D$400,"위탁공급"),"")</f>
        <v>0</v>
      </c>
      <c r="F9" s="64" t="n">
        <f aca="false">SUMIFS('📦 일일 생산 입력'!K$5:K$505,'📦 일일 생산 입력'!$B$5:$B$505,"&gt;="&amp;DATE(2026,1,1))</f>
        <v>4</v>
      </c>
      <c r="G9" s="63" t="n">
        <f aca="false">IFERROR(MAX('📊 월별 원료수불부'!C9+C9-F9,0),"")</f>
        <v>24.69</v>
      </c>
      <c r="H9" s="13" t="str">
        <f aca="false">IFERROR(IF(G9="","—",IF(G9&lt;0,"🚨 부족",IF(G9&lt;5,"⚠️ 부족임박","✅ 정상"))),"—")</f>
        <v>✅ 정상</v>
      </c>
      <c r="I9" s="16"/>
    </row>
    <row r="10" customFormat="false" ht="18" hidden="false" customHeight="true" outlineLevel="0" collapsed="false">
      <c r="A10" s="17" t="n">
        <v>6</v>
      </c>
      <c r="B10" s="65" t="s">
        <v>59</v>
      </c>
      <c r="C10" s="63" t="n">
        <f aca="false">IFERROR(SUMIFS('📥 원재료 입고'!E$4:E$400,'📥 원재료 입고'!B$4:B$400,B10),0)</f>
        <v>0</v>
      </c>
      <c r="D10" s="62" t="n">
        <f aca="false">IFERROR(SUMIFS('📥 원재료 입고'!E$4:E$400,'📥 원재료 입고'!B$4:B$400,B10,'📥 원재료 입고'!D$4:D$400,"자체구매"),"")</f>
        <v>0</v>
      </c>
      <c r="E10" s="61" t="n">
        <f aca="false">IFERROR(SUMIFS('📥 원재료 입고'!E$4:E$400,'📥 원재료 입고'!B$4:B$400,B10,'📥 원재료 입고'!D$4:D$400,"위탁공급"),"")</f>
        <v>0</v>
      </c>
      <c r="F10" s="64" t="n">
        <f aca="false">SUMIFS('📦 일일 생산 입력'!L$5:L$505,'📦 일일 생산 입력'!$B$5:$B$505,"&gt;="&amp;DATE(2026,1,1))</f>
        <v>1</v>
      </c>
      <c r="G10" s="63" t="n">
        <f aca="false">IFERROR(MAX('📊 월별 원료수불부'!C10+C10-F10,0),"")</f>
        <v>8.02</v>
      </c>
      <c r="H10" s="17" t="str">
        <f aca="false">IFERROR(IF(G10="","—",IF(G10&lt;0,"🚨 부족",IF(G10&lt;5,"⚠️ 부족임박","✅ 정상"))),"—")</f>
        <v>✅ 정상</v>
      </c>
      <c r="I10" s="19"/>
    </row>
    <row r="11" customFormat="false" ht="18" hidden="false" customHeight="true" outlineLevel="0" collapsed="false">
      <c r="A11" s="13" t="n">
        <v>7</v>
      </c>
      <c r="B11" s="18" t="s">
        <v>60</v>
      </c>
      <c r="C11" s="63" t="n">
        <f aca="false">IFERROR(SUMIFS('📥 원재료 입고'!E$4:E$400,'📥 원재료 입고'!B$4:B$400,B11),0)</f>
        <v>40</v>
      </c>
      <c r="D11" s="62" t="n">
        <f aca="false">IFERROR(SUMIFS('📥 원재료 입고'!E$4:E$400,'📥 원재료 입고'!B$4:B$400,B11,'📥 원재료 입고'!D$4:D$400,"자체구매"),"")</f>
        <v>0</v>
      </c>
      <c r="E11" s="61" t="n">
        <f aca="false">IFERROR(SUMIFS('📥 원재료 입고'!E$4:E$400,'📥 원재료 입고'!B$4:B$400,B11,'📥 원재료 입고'!D$4:D$400,"위탁공급"),"")</f>
        <v>40</v>
      </c>
      <c r="F11" s="64" t="n">
        <f aca="false">SUMIFS('📦 일일 생산 입력'!M$5:M$505,'📦 일일 생산 입력'!$B$5:$B$505,"&gt;="&amp;DATE(2026,1,1))</f>
        <v>4</v>
      </c>
      <c r="G11" s="63" t="n">
        <f aca="false">IFERROR(MAX('📊 월별 원료수불부'!C11+C11-F11,0),"")</f>
        <v>36</v>
      </c>
      <c r="H11" s="13" t="str">
        <f aca="false">IFERROR(IF(G11="","—",IF(G11&lt;0,"🚨 부족",IF(G11&lt;5,"⚠️ 부족임박","✅ 정상"))),"—")</f>
        <v>✅ 정상</v>
      </c>
      <c r="I11" s="16"/>
    </row>
    <row r="12" customFormat="false" ht="18" hidden="false" customHeight="true" outlineLevel="0" collapsed="false">
      <c r="A12" s="17" t="n">
        <v>8</v>
      </c>
      <c r="B12" s="65" t="s">
        <v>61</v>
      </c>
      <c r="C12" s="63" t="n">
        <f aca="false">IFERROR(SUMIFS('📥 원재료 입고'!E$4:E$400,'📥 원재료 입고'!B$4:B$400,B12),0)</f>
        <v>0</v>
      </c>
      <c r="D12" s="62" t="n">
        <f aca="false">IFERROR(SUMIFS('📥 원재료 입고'!E$4:E$400,'📥 원재료 입고'!B$4:B$400,B12,'📥 원재료 입고'!D$4:D$400,"자체구매"),"")</f>
        <v>0</v>
      </c>
      <c r="E12" s="61" t="n">
        <f aca="false">IFERROR(SUMIFS('📥 원재료 입고'!E$4:E$400,'📥 원재료 입고'!B$4:B$400,B12,'📥 원재료 입고'!D$4:D$400,"위탁공급"),"")</f>
        <v>0</v>
      </c>
      <c r="F12" s="64" t="n">
        <f aca="false">SUMIFS('📦 일일 생산 입력'!N$5:N$505,'📦 일일 생산 입력'!$B$5:$B$505,"&gt;="&amp;DATE(2026,1,1))</f>
        <v>0</v>
      </c>
      <c r="G12" s="63" t="n">
        <f aca="false">IFERROR(MAX('📊 월별 원료수불부'!C12+C12-F12,0),"")</f>
        <v>0</v>
      </c>
      <c r="H12" s="17" t="str">
        <f aca="false">IFERROR(IF(G12="","—",IF(G12&lt;0,"🚨 부족",IF(G12&lt;5,"⚠️ 부족임박","✅ 정상"))),"—")</f>
        <v>⚠️ 부족임박</v>
      </c>
      <c r="I12" s="19"/>
    </row>
    <row r="13" customFormat="false" ht="18" hidden="false" customHeight="true" outlineLevel="0" collapsed="false">
      <c r="A13" s="17"/>
      <c r="B13" s="65" t="s">
        <v>62</v>
      </c>
      <c r="C13" s="63" t="n">
        <f aca="false">IFERROR(SUMIFS('📥 원재료 입고'!E$4:E$400,'📥 원재료 입고'!B$4:B$400,B13),0)</f>
        <v>6</v>
      </c>
      <c r="D13" s="62" t="n">
        <f aca="false">IFERROR(SUMIFS('📥 원재료 입고'!E$4:E$400,'📥 원재료 입고'!B$4:B$400,B13,'📥 원재료 입고'!D$4:D$400,"자체구매"),"")</f>
        <v>6</v>
      </c>
      <c r="E13" s="61" t="n">
        <f aca="false">IFERROR(SUMIFS('📥 원재료 입고'!E$4:E$400,'📥 원재료 입고'!B$4:B$400,B13,'📥 원재료 입고'!D$4:D$400,"위탁공급"),"")</f>
        <v>0</v>
      </c>
      <c r="F13" s="64" t="n">
        <f aca="false">SUMIFS('📦 일일 생산 입력'!O$5:O$505,'📦 일일 생산 입력'!$B$5:$B$505,"&gt;="&amp;DATE(2026,1,1))</f>
        <v>9</v>
      </c>
      <c r="G13" s="63" t="n">
        <f aca="false">IFERROR(MAX('📊 월별 원료수불부'!C13+C13-F13,0),"")</f>
        <v>0.25</v>
      </c>
      <c r="H13" s="17" t="str">
        <f aca="false">IFERROR(IF(G12="","—",IF(G12&lt;0,"🚨 부족",IF(G12&lt;5,"⚠️ 부족임박","✅ 정상"))),"—")</f>
        <v>⚠️ 부족임박</v>
      </c>
      <c r="I13" s="19"/>
    </row>
    <row r="14" customFormat="false" ht="18" hidden="false" customHeight="true" outlineLevel="0" collapsed="false">
      <c r="A14" s="13" t="n">
        <v>10</v>
      </c>
      <c r="B14" s="18" t="s">
        <v>63</v>
      </c>
      <c r="C14" s="63" t="n">
        <f aca="false">IFERROR(SUMIFS('📥 원재료 입고'!E$4:E$400,'📥 원재료 입고'!B$4:B$400,B14),0)</f>
        <v>5</v>
      </c>
      <c r="D14" s="62" t="n">
        <f aca="false">IFERROR(SUMIFS('📥 원재료 입고'!E$4:E$400,'📥 원재료 입고'!B$4:B$400,B14,'📥 원재료 입고'!D$4:D$400,"자체구매"),"")</f>
        <v>5</v>
      </c>
      <c r="E14" s="61" t="n">
        <f aca="false">IFERROR(SUMIFS('📥 원재료 입고'!E$4:E$400,'📥 원재료 입고'!B$4:B$400,B14,'📥 원재료 입고'!D$4:D$400,"위탁공급"),"")</f>
        <v>0</v>
      </c>
      <c r="F14" s="64" t="n">
        <f aca="false">SUMIFS('📦 일일 생산 입력'!P$5:P$505,'📦 일일 생산 입력'!$B$5:$B$505,"&gt;="&amp;DATE(2026,1,1))</f>
        <v>15</v>
      </c>
      <c r="G14" s="63" t="n">
        <f aca="false">IFERROR(MAX('📊 월별 원료수불부'!C14+C14-F14,0),"")</f>
        <v>0.310000000000001</v>
      </c>
      <c r="H14" s="13" t="str">
        <f aca="false">IFERROR(IF(G13="","—",IF(G13&lt;0,"🚨 부족",IF(G13&lt;5,"⚠️ 부족임박","✅ 정상"))),"—")</f>
        <v>⚠️ 부족임박</v>
      </c>
      <c r="I14" s="16"/>
    </row>
    <row r="15" customFormat="false" ht="18" hidden="false" customHeight="true" outlineLevel="0" collapsed="false">
      <c r="A15" s="17" t="n">
        <v>11</v>
      </c>
      <c r="B15" s="65" t="s">
        <v>64</v>
      </c>
      <c r="C15" s="63" t="n">
        <f aca="false">IFERROR(SUMIFS('📥 원재료 입고'!E$4:E$400,'📥 원재료 입고'!B$4:B$400,B15),0)</f>
        <v>0</v>
      </c>
      <c r="D15" s="62" t="n">
        <f aca="false">IFERROR(SUMIFS('📥 원재료 입고'!E$4:E$400,'📥 원재료 입고'!B$4:B$400,B15,'📥 원재료 입고'!D$4:D$400,"자체구매"),"")</f>
        <v>0</v>
      </c>
      <c r="E15" s="61" t="n">
        <f aca="false">IFERROR(SUMIFS('📥 원재료 입고'!E$4:E$400,'📥 원재료 입고'!B$4:B$400,B15,'📥 원재료 입고'!D$4:D$400,"위탁공급"),"")</f>
        <v>0</v>
      </c>
      <c r="F15" s="64" t="n">
        <f aca="false">SUMIFS('📦 일일 생산 입력'!Q$5:Q$505,'📦 일일 생산 입력'!$B$5:$B$505,"&gt;="&amp;DATE(2026,1,1))</f>
        <v>0</v>
      </c>
      <c r="G15" s="63" t="n">
        <f aca="false">IFERROR(MAX('📊 월별 원료수불부'!C15+C15-F15,0),"")</f>
        <v>5</v>
      </c>
      <c r="H15" s="17" t="str">
        <f aca="false">IFERROR(IF(G14="","—",IF(G14&lt;0,"🚨 부족",IF(G14&lt;5,"⚠️ 부족임박","✅ 정상"))),"—")</f>
        <v>⚠️ 부족임박</v>
      </c>
      <c r="I15" s="19"/>
    </row>
    <row r="16" customFormat="false" ht="18" hidden="false" customHeight="true" outlineLevel="0" collapsed="false">
      <c r="A16" s="13" t="n">
        <v>12</v>
      </c>
      <c r="B16" s="18" t="s">
        <v>65</v>
      </c>
      <c r="C16" s="63" t="n">
        <f aca="false">IFERROR(SUMIFS('📥 원재료 입고'!E$4:E$400,'📥 원재료 입고'!B$4:B$400,B16),0)</f>
        <v>0</v>
      </c>
      <c r="D16" s="62" t="n">
        <f aca="false">IFERROR(SUMIFS('📥 원재료 입고'!E$4:E$400,'📥 원재료 입고'!B$4:B$400,B16,'📥 원재료 입고'!D$4:D$400,"자체구매"),"")</f>
        <v>0</v>
      </c>
      <c r="E16" s="61" t="n">
        <f aca="false">IFERROR(SUMIFS('📥 원재료 입고'!E$4:E$400,'📥 원재료 입고'!B$4:B$400,B16,'📥 원재료 입고'!D$4:D$400,"위탁공급"),"")</f>
        <v>0</v>
      </c>
      <c r="F16" s="64" t="n">
        <f aca="false">SUMIFS('📦 일일 생산 입력'!R$5:R$505,'📦 일일 생산 입력'!$B$5:$B$505,"&gt;="&amp;DATE(2026,1,1))</f>
        <v>2</v>
      </c>
      <c r="G16" s="63" t="n">
        <f aca="false">IFERROR(MAX('📊 월별 원료수불부'!C16+C16-F16,0),"")</f>
        <v>0</v>
      </c>
      <c r="H16" s="13" t="str">
        <f aca="false">IFERROR(IF(G15="","—",IF(G15&lt;0,"🚨 부족",IF(G15&lt;5,"⚠️ 부족임박","✅ 정상"))),"—")</f>
        <v>✅ 정상</v>
      </c>
      <c r="I16" s="16"/>
    </row>
    <row r="17" customFormat="false" ht="18" hidden="false" customHeight="true" outlineLevel="0" collapsed="false">
      <c r="A17" s="17" t="n">
        <v>13</v>
      </c>
      <c r="B17" s="65" t="s">
        <v>66</v>
      </c>
      <c r="C17" s="63" t="n">
        <f aca="false">IFERROR(SUMIFS('📥 원재료 입고'!E$4:E$400,'📥 원재료 입고'!B$4:B$400,B17),0)</f>
        <v>0</v>
      </c>
      <c r="D17" s="62" t="n">
        <f aca="false">IFERROR(SUMIFS('📥 원재료 입고'!E$4:E$400,'📥 원재료 입고'!B$4:B$400,B17,'📥 원재료 입고'!D$4:D$400,"자체구매"),"")</f>
        <v>0</v>
      </c>
      <c r="E17" s="61" t="n">
        <f aca="false">IFERROR(SUMIFS('📥 원재료 입고'!E$4:E$400,'📥 원재료 입고'!B$4:B$400,B17,'📥 원재료 입고'!D$4:D$400,"위탁공급"),"")</f>
        <v>0</v>
      </c>
      <c r="F17" s="64" t="n">
        <f aca="false">SUMIFS('📦 일일 생산 입력'!S$5:S$505,'📦 일일 생산 입력'!$B$5:$B$505,"&gt;="&amp;DATE(2026,1,1))</f>
        <v>0</v>
      </c>
      <c r="G17" s="63" t="n">
        <f aca="false">IFERROR(MAX('📊 월별 원료수불부'!C17+C17-F17,0),"")</f>
        <v>0</v>
      </c>
      <c r="H17" s="17" t="str">
        <f aca="false">IFERROR(IF(G16="","—",IF(G16&lt;0,"🚨 부족",IF(G16&lt;5,"⚠️ 부족임박","✅ 정상"))),"—")</f>
        <v>⚠️ 부족임박</v>
      </c>
      <c r="I17" s="19"/>
    </row>
    <row r="18" customFormat="false" ht="18" hidden="false" customHeight="true" outlineLevel="0" collapsed="false">
      <c r="A18" s="13" t="n">
        <v>14</v>
      </c>
      <c r="B18" s="18" t="s">
        <v>67</v>
      </c>
      <c r="C18" s="63" t="n">
        <f aca="false">IFERROR(SUMIFS('📥 원재료 입고'!E$4:E$400,'📥 원재료 입고'!B$4:B$400,B18),0)</f>
        <v>0</v>
      </c>
      <c r="D18" s="62" t="n">
        <f aca="false">IFERROR(SUMIFS('📥 원재료 입고'!E$4:E$400,'📥 원재료 입고'!B$4:B$400,B18,'📥 원재료 입고'!D$4:D$400,"자체구매"),"")</f>
        <v>0</v>
      </c>
      <c r="E18" s="61" t="n">
        <f aca="false">IFERROR(SUMIFS('📥 원재료 입고'!E$4:E$400,'📥 원재료 입고'!B$4:B$400,B18,'📥 원재료 입고'!D$4:D$400,"위탁공급"),"")</f>
        <v>0</v>
      </c>
      <c r="F18" s="64" t="n">
        <f aca="false">SUMIFS('📦 일일 생산 입력'!T$5:T$505,'📦 일일 생산 입력'!$B$5:$B$505,"&gt;="&amp;DATE(2026,1,1))</f>
        <v>0</v>
      </c>
      <c r="G18" s="63" t="n">
        <f aca="false">IFERROR(MAX('📊 월별 원료수불부'!C18+C18-F18,0),"")</f>
        <v>0</v>
      </c>
      <c r="H18" s="13" t="str">
        <f aca="false">IFERROR(IF(G17="","—",IF(G17&lt;0,"🚨 부족",IF(G17&lt;5,"⚠️ 부족임박","✅ 정상"))),"—")</f>
        <v>⚠️ 부족임박</v>
      </c>
      <c r="I18" s="16"/>
    </row>
    <row r="19" customFormat="false" ht="18" hidden="false" customHeight="true" outlineLevel="0" collapsed="false">
      <c r="A19" s="17" t="n">
        <v>15</v>
      </c>
      <c r="B19" s="65" t="s">
        <v>68</v>
      </c>
      <c r="C19" s="63" t="n">
        <f aca="false">IFERROR(SUMIFS('📥 원재료 입고'!E$4:E$400,'📥 원재료 입고'!B$4:B$400,B19),0)</f>
        <v>472</v>
      </c>
      <c r="D19" s="62" t="n">
        <f aca="false">IFERROR(SUMIFS('📥 원재료 입고'!E$4:E$400,'📥 원재료 입고'!B$4:B$400,B19,'📥 원재료 입고'!D$4:D$400,"자체구매"),"")</f>
        <v>472</v>
      </c>
      <c r="E19" s="61" t="n">
        <f aca="false">IFERROR(SUMIFS('📥 원재료 입고'!E$4:E$400,'📥 원재료 입고'!B$4:B$400,B19,'📥 원재료 입고'!D$4:D$400,"위탁공급"),"")</f>
        <v>0</v>
      </c>
      <c r="F19" s="64" t="n">
        <f aca="false">SUMIFS('📦 일일 생산 입력'!U$5:U$505,'📦 일일 생산 입력'!$B$5:$B$505,"&gt;="&amp;DATE(2026,1,1))</f>
        <v>88</v>
      </c>
      <c r="G19" s="63" t="n">
        <f aca="false">IFERROR(MAX('📊 월별 원료수불부'!C19+C19-F19,0),"")</f>
        <v>384</v>
      </c>
      <c r="H19" s="17" t="str">
        <f aca="false">IFERROR(IF(G18="","—",IF(G18&lt;0,"🚨 부족",IF(G18&lt;5,"⚠️ 부족임박","✅ 정상"))),"—")</f>
        <v>⚠️ 부족임박</v>
      </c>
      <c r="I19" s="19"/>
    </row>
    <row r="20" customFormat="false" ht="18" hidden="false" customHeight="true" outlineLevel="0" collapsed="false">
      <c r="A20" s="13" t="n">
        <v>16</v>
      </c>
      <c r="B20" s="18" t="s">
        <v>69</v>
      </c>
      <c r="C20" s="63" t="n">
        <f aca="false">IFERROR(SUMIFS('📥 원재료 입고'!E$4:E$400,'📥 원재료 입고'!B$4:B$400,B20),0)</f>
        <v>6</v>
      </c>
      <c r="D20" s="62" t="n">
        <f aca="false">IFERROR(SUMIFS('📥 원재료 입고'!E$4:E$400,'📥 원재료 입고'!B$4:B$400,B20,'📥 원재료 입고'!D$4:D$400,"자체구매"),"")</f>
        <v>6</v>
      </c>
      <c r="E20" s="61" t="n">
        <f aca="false">IFERROR(SUMIFS('📥 원재료 입고'!E$4:E$400,'📥 원재료 입고'!B$4:B$400,B20,'📥 원재료 입고'!D$4:D$400,"위탁공급"),"")</f>
        <v>0</v>
      </c>
      <c r="F20" s="64" t="n">
        <f aca="false">SUMIFS('📦 일일 생산 입력'!V$5:V$505,'📦 일일 생산 입력'!$B$5:$B$505,"&gt;="&amp;DATE(2026,1,1))</f>
        <v>17</v>
      </c>
      <c r="G20" s="63" t="n">
        <f aca="false">IFERROR(MAX('📊 월별 원료수불부'!C20+C20-F20,0),"")</f>
        <v>0</v>
      </c>
      <c r="H20" s="13" t="str">
        <f aca="false">IFERROR(IF(G19="","—",IF(G19&lt;0,"🚨 부족",IF(G19&lt;5,"⚠️ 부족임박","✅ 정상"))),"—")</f>
        <v>✅ 정상</v>
      </c>
      <c r="I20" s="16"/>
    </row>
    <row r="21" customFormat="false" ht="18" hidden="false" customHeight="true" outlineLevel="0" collapsed="false">
      <c r="A21" s="17" t="n">
        <v>17</v>
      </c>
      <c r="B21" s="65" t="s">
        <v>70</v>
      </c>
      <c r="C21" s="63" t="n">
        <f aca="false">IFERROR(SUMIFS('📥 원재료 입고'!E$4:E$400,'📥 원재료 입고'!B$4:B$400,B21),0)</f>
        <v>0</v>
      </c>
      <c r="D21" s="62" t="n">
        <f aca="false">IFERROR(SUMIFS('📥 원재료 입고'!E$4:E$400,'📥 원재료 입고'!B$4:B$400,B21,'📥 원재료 입고'!D$4:D$400,"자체구매"),"")</f>
        <v>0</v>
      </c>
      <c r="E21" s="61" t="n">
        <f aca="false">IFERROR(SUMIFS('📥 원재료 입고'!E$4:E$400,'📥 원재료 입고'!B$4:B$400,B21,'📥 원재료 입고'!D$4:D$400,"위탁공급"),"")</f>
        <v>0</v>
      </c>
      <c r="F21" s="64" t="n">
        <f aca="false">SUMIFS('📦 일일 생산 입력'!W$5:W$505,'📦 일일 생산 입력'!$B$5:$B$505,"&gt;="&amp;DATE(2026,1,1))</f>
        <v>73</v>
      </c>
      <c r="G21" s="63" t="n">
        <f aca="false">IFERROR(MAX('📊 월별 원료수불부'!C21+C21-F21,0),"")</f>
        <v>0</v>
      </c>
      <c r="H21" s="17" t="str">
        <f aca="false">IFERROR(IF(G20="","—",IF(G20&lt;0,"🚨 부족",IF(G20&lt;5,"⚠️ 부족임박","✅ 정상"))),"—")</f>
        <v>⚠️ 부족임박</v>
      </c>
      <c r="I21" s="19"/>
    </row>
    <row r="22" customFormat="false" ht="18" hidden="false" customHeight="true" outlineLevel="0" collapsed="false">
      <c r="A22" s="13" t="n">
        <v>18</v>
      </c>
      <c r="B22" s="18" t="s">
        <v>71</v>
      </c>
      <c r="C22" s="63" t="n">
        <f aca="false">IFERROR(SUMIFS('📥 원재료 입고'!E$4:E$400,'📥 원재료 입고'!B$4:B$400,B22),0)</f>
        <v>26310</v>
      </c>
      <c r="D22" s="62" t="n">
        <f aca="false">IFERROR(SUMIFS('📥 원재료 입고'!E$4:E$400,'📥 원재료 입고'!B$4:B$400,B22,'📥 원재료 입고'!D$4:D$400,"자체구매"),"")</f>
        <v>26310</v>
      </c>
      <c r="E22" s="61" t="n">
        <f aca="false">IFERROR(SUMIFS('📥 원재료 입고'!E$4:E$400,'📥 원재료 입고'!B$4:B$400,B22,'📥 원재료 입고'!D$4:D$400,"위탁공급"),"")</f>
        <v>0</v>
      </c>
      <c r="F22" s="64" t="n">
        <f aca="false">SUMIFS('📦 일일 생산 입력'!X$5:X$505,'📦 일일 생산 입력'!$B$5:$B$505,"&gt;="&amp;DATE(2026,1,1))</f>
        <v>290</v>
      </c>
      <c r="G22" s="63" t="n">
        <f aca="false">IFERROR(MAX('📊 월별 원료수불부'!C22+C22-F22,0),"")</f>
        <v>26047.46</v>
      </c>
      <c r="H22" s="13" t="str">
        <f aca="false">IFERROR(IF(G21="","—",IF(G21&lt;0,"🚨 부족",IF(G21&lt;5,"⚠️ 부족임박","✅ 정상"))),"—")</f>
        <v>⚠️ 부족임박</v>
      </c>
      <c r="I22" s="16"/>
    </row>
    <row r="23" customFormat="false" ht="18" hidden="false" customHeight="true" outlineLevel="0" collapsed="false">
      <c r="A23" s="17" t="n">
        <v>19</v>
      </c>
      <c r="B23" s="65" t="s">
        <v>72</v>
      </c>
      <c r="C23" s="63" t="n">
        <f aca="false">IFERROR(SUMIFS('📥 원재료 입고'!E$4:E$400,'📥 원재료 입고'!B$4:B$400,B23),0)</f>
        <v>0</v>
      </c>
      <c r="D23" s="62" t="n">
        <f aca="false">IFERROR(SUMIFS('📥 원재료 입고'!E$4:E$400,'📥 원재료 입고'!B$4:B$400,B23,'📥 원재료 입고'!D$4:D$400,"자체구매"),"")</f>
        <v>0</v>
      </c>
      <c r="E23" s="61" t="n">
        <f aca="false">IFERROR(SUMIFS('📥 원재료 입고'!E$4:E$400,'📥 원재료 입고'!B$4:B$400,B23,'📥 원재료 입고'!D$4:D$400,"위탁공급"),"")</f>
        <v>0</v>
      </c>
      <c r="F23" s="64" t="n">
        <f aca="false">SUMIFS('📦 일일 생산 입력'!Y$5:Y$505,'📦 일일 생산 입력'!$B$5:$B$505,"&gt;="&amp;DATE(2026,1,1))</f>
        <v>2</v>
      </c>
      <c r="G23" s="63" t="n">
        <f aca="false">IFERROR(MAX('📊 월별 원료수불부'!C23+C23-F23,0),"")</f>
        <v>0.25</v>
      </c>
      <c r="H23" s="17" t="str">
        <f aca="false">IFERROR(IF(G22="","—",IF(G22&lt;0,"🚨 부족",IF(G22&lt;5,"⚠️ 부족임박","✅ 정상"))),"—")</f>
        <v>✅ 정상</v>
      </c>
      <c r="I23" s="19"/>
    </row>
    <row r="24" customFormat="false" ht="18" hidden="false" customHeight="true" outlineLevel="0" collapsed="false">
      <c r="A24" s="13" t="n">
        <v>20</v>
      </c>
      <c r="B24" s="18" t="s">
        <v>73</v>
      </c>
      <c r="C24" s="63" t="n">
        <f aca="false">IFERROR(SUMIFS('📥 원재료 입고'!E$4:E$400,'📥 원재료 입고'!B$4:B$400,B24),0)</f>
        <v>6</v>
      </c>
      <c r="D24" s="62" t="n">
        <f aca="false">IFERROR(SUMIFS('📥 원재료 입고'!E$4:E$400,'📥 원재료 입고'!B$4:B$400,B24,'📥 원재료 입고'!D$4:D$400,"자체구매"),"")</f>
        <v>6</v>
      </c>
      <c r="E24" s="61" t="n">
        <f aca="false">IFERROR(SUMIFS('📥 원재료 입고'!E$4:E$400,'📥 원재료 입고'!B$4:B$400,B24,'📥 원재료 입고'!D$4:D$400,"위탁공급"),"")</f>
        <v>0</v>
      </c>
      <c r="F24" s="64" t="n">
        <f aca="false">SUMIFS('📦 일일 생산 입력'!Z$5:Z$505,'📦 일일 생산 입력'!$B$5:$B$505,"&gt;="&amp;DATE(2026,1,1))</f>
        <v>16</v>
      </c>
      <c r="G24" s="63" t="n">
        <f aca="false">IFERROR(MAX('📊 월별 원료수불부'!C24+C24-F24,0),"")</f>
        <v>3.71</v>
      </c>
      <c r="H24" s="13" t="str">
        <f aca="false">IFERROR(IF(G23="","—",IF(G23&lt;0,"🚨 부족",IF(G23&lt;5,"⚠️ 부족임박","✅ 정상"))),"—")</f>
        <v>⚠️ 부족임박</v>
      </c>
      <c r="I24" s="16"/>
    </row>
    <row r="25" customFormat="false" ht="18" hidden="false" customHeight="true" outlineLevel="0" collapsed="false">
      <c r="A25" s="17" t="n">
        <v>21</v>
      </c>
      <c r="B25" s="65" t="s">
        <v>74</v>
      </c>
      <c r="C25" s="63" t="n">
        <f aca="false">IFERROR(SUMIFS('📥 원재료 입고'!E$4:E$400,'📥 원재료 입고'!B$4:B$400,B25),0)</f>
        <v>1</v>
      </c>
      <c r="D25" s="62" t="n">
        <f aca="false">IFERROR(SUMIFS('📥 원재료 입고'!E$4:E$400,'📥 원재료 입고'!B$4:B$400,B25,'📥 원재료 입고'!D$4:D$400,"자체구매"),"")</f>
        <v>1</v>
      </c>
      <c r="E25" s="61" t="n">
        <f aca="false">IFERROR(SUMIFS('📥 원재료 입고'!E$4:E$400,'📥 원재료 입고'!B$4:B$400,B25,'📥 원재료 입고'!D$4:D$400,"위탁공급"),"")</f>
        <v>0</v>
      </c>
      <c r="F25" s="64" t="n">
        <f aca="false">SUMIFS('📦 일일 생산 입력'!AA$5:AA$505,'📦 일일 생산 입력'!$B$5:$B$505,"&gt;="&amp;DATE(2026,1,1))</f>
        <v>16</v>
      </c>
      <c r="G25" s="63" t="n">
        <f aca="false">IFERROR(MAX('📊 월별 원료수불부'!C25+C25-F25,0),"")</f>
        <v>3.71</v>
      </c>
      <c r="H25" s="17" t="str">
        <f aca="false">IFERROR(IF(G24="","—",IF(G24&lt;0,"🚨 부족",IF(G24&lt;5,"⚠️ 부족임박","✅ 정상"))),"—")</f>
        <v>⚠️ 부족임박</v>
      </c>
      <c r="I25" s="19"/>
    </row>
    <row r="26" customFormat="false" ht="18" hidden="false" customHeight="true" outlineLevel="0" collapsed="false">
      <c r="A26" s="13" t="n">
        <v>22</v>
      </c>
      <c r="B26" s="18" t="s">
        <v>75</v>
      </c>
      <c r="C26" s="63" t="n">
        <f aca="false">IFERROR(SUMIFS('📥 원재료 입고'!E$4:E$400,'📥 원재료 입고'!B$4:B$400,B26),0)</f>
        <v>0</v>
      </c>
      <c r="D26" s="62" t="n">
        <f aca="false">IFERROR(SUMIFS('📥 원재료 입고'!E$4:E$400,'📥 원재료 입고'!B$4:B$400,B26,'📥 원재료 입고'!D$4:D$400,"자체구매"),"")</f>
        <v>0</v>
      </c>
      <c r="E26" s="61" t="n">
        <f aca="false">IFERROR(SUMIFS('📥 원재료 입고'!E$4:E$400,'📥 원재료 입고'!B$4:B$400,B26,'📥 원재료 입고'!D$4:D$400,"위탁공급"),"")</f>
        <v>0</v>
      </c>
      <c r="F26" s="64" t="n">
        <f aca="false">SUMIFS('📦 일일 생산 입력'!AB$5:AB$505,'📦 일일 생산 입력'!$B$5:$B$505,"&gt;="&amp;DATE(2026,1,1))</f>
        <v>6</v>
      </c>
      <c r="G26" s="63" t="n">
        <f aca="false">IFERROR(MAX('📊 월별 원료수불부'!C26+C26-F26,0),"")</f>
        <v>9.06</v>
      </c>
      <c r="H26" s="13" t="str">
        <f aca="false">IFERROR(IF(G25="","—",IF(G25&lt;0,"🚨 부족",IF(G25&lt;5,"⚠️ 부족임박","✅ 정상"))),"—")</f>
        <v>⚠️ 부족임박</v>
      </c>
      <c r="I26" s="16"/>
    </row>
    <row r="27" customFormat="false" ht="18" hidden="false" customHeight="true" outlineLevel="0" collapsed="false">
      <c r="A27" s="17" t="n">
        <v>23</v>
      </c>
      <c r="B27" s="65" t="s">
        <v>76</v>
      </c>
      <c r="C27" s="63" t="n">
        <f aca="false">IFERROR(SUMIFS('📥 원재료 입고'!E$4:E$400,'📥 원재료 입고'!B$4:B$400,B27),0)</f>
        <v>0</v>
      </c>
      <c r="D27" s="62" t="n">
        <f aca="false">IFERROR(SUMIFS('📥 원재료 입고'!E$4:E$400,'📥 원재료 입고'!B$4:B$400,B27,'📥 원재료 입고'!D$4:D$400,"자체구매"),"")</f>
        <v>0</v>
      </c>
      <c r="E27" s="61" t="n">
        <f aca="false">IFERROR(SUMIFS('📥 원재료 입고'!E$4:E$400,'📥 원재료 입고'!B$4:B$400,B27,'📥 원재료 입고'!D$4:D$400,"위탁공급"),"")</f>
        <v>0</v>
      </c>
      <c r="F27" s="64" t="n">
        <f aca="false">SUMIFS('📦 일일 생산 입력'!AC$5:AC$505,'📦 일일 생산 입력'!$B$5:$B$505,"&gt;="&amp;DATE(2026,1,1))</f>
        <v>0</v>
      </c>
      <c r="G27" s="63" t="n">
        <f aca="false">IFERROR(MAX('📊 월별 원료수불부'!C27+C27-F27,0),"")</f>
        <v>2</v>
      </c>
      <c r="H27" s="17" t="str">
        <f aca="false">IFERROR(IF(G26="","—",IF(G26&lt;0,"🚨 부족",IF(G26&lt;5,"⚠️ 부족임박","✅ 정상"))),"—")</f>
        <v>✅ 정상</v>
      </c>
      <c r="I27" s="19"/>
    </row>
    <row r="28" customFormat="false" ht="18" hidden="false" customHeight="true" outlineLevel="0" collapsed="false">
      <c r="A28" s="13" t="n">
        <v>24</v>
      </c>
      <c r="B28" s="18" t="s">
        <v>77</v>
      </c>
      <c r="C28" s="63" t="n">
        <f aca="false">IFERROR(SUMIFS('📥 원재료 입고'!E$4:E$400,'📥 원재료 입고'!B$4:B$400,B28),0)</f>
        <v>0</v>
      </c>
      <c r="D28" s="62" t="n">
        <f aca="false">IFERROR(SUMIFS('📥 원재료 입고'!E$4:E$400,'📥 원재료 입고'!B$4:B$400,B28,'📥 원재료 입고'!D$4:D$400,"자체구매"),"")</f>
        <v>0</v>
      </c>
      <c r="E28" s="61" t="n">
        <f aca="false">IFERROR(SUMIFS('📥 원재료 입고'!E$4:E$400,'📥 원재료 입고'!B$4:B$400,B28,'📥 원재료 입고'!D$4:D$400,"위탁공급"),"")</f>
        <v>0</v>
      </c>
      <c r="F28" s="64" t="n">
        <f aca="false">SUMIFS('📦 일일 생산 입력'!AD$5:AD$505,'📦 일일 생산 입력'!$B$5:$B$505,"&gt;="&amp;DATE(2026,1,1))</f>
        <v>0</v>
      </c>
      <c r="G28" s="63" t="n">
        <f aca="false">IFERROR(MAX('📊 월별 원료수불부'!C28+C28-F28,0),"")</f>
        <v>10</v>
      </c>
      <c r="H28" s="13" t="str">
        <f aca="false">IFERROR(IF(G27="","—",IF(G27&lt;0,"🚨 부족",IF(G27&lt;5,"⚠️ 부족임박","✅ 정상"))),"—")</f>
        <v>⚠️ 부족임박</v>
      </c>
      <c r="I28" s="16"/>
    </row>
    <row r="29" customFormat="false" ht="18" hidden="false" customHeight="true" outlineLevel="0" collapsed="false">
      <c r="A29" s="17" t="n">
        <v>25</v>
      </c>
      <c r="B29" s="65" t="s">
        <v>78</v>
      </c>
      <c r="C29" s="63" t="n">
        <f aca="false">IFERROR(SUMIFS('📥 원재료 입고'!E$4:E$400,'📥 원재료 입고'!B$4:B$400,B29),0)</f>
        <v>0</v>
      </c>
      <c r="D29" s="62" t="n">
        <f aca="false">IFERROR(SUMIFS('📥 원재료 입고'!E$4:E$400,'📥 원재료 입고'!B$4:B$400,B29,'📥 원재료 입고'!D$4:D$400,"자체구매"),"")</f>
        <v>0</v>
      </c>
      <c r="E29" s="61" t="n">
        <f aca="false">IFERROR(SUMIFS('📥 원재료 입고'!E$4:E$400,'📥 원재료 입고'!B$4:B$400,B29,'📥 원재료 입고'!D$4:D$400,"위탁공급"),"")</f>
        <v>0</v>
      </c>
      <c r="F29" s="64" t="n">
        <f aca="false">SUMIFS('📦 일일 생산 입력'!AE$5:AE$505,'📦 일일 생산 입력'!$B$5:$B$505,"&gt;="&amp;DATE(2026,1,1))</f>
        <v>0</v>
      </c>
      <c r="G29" s="63" t="n">
        <f aca="false">IFERROR(MAX('📊 월별 원료수불부'!C29+C29-F29,0),"")</f>
        <v>0</v>
      </c>
      <c r="H29" s="17" t="str">
        <f aca="false">IFERROR(IF(G28="","—",IF(G28&lt;0,"🚨 부족",IF(G28&lt;5,"⚠️ 부족임박","✅ 정상"))),"—")</f>
        <v>✅ 정상</v>
      </c>
      <c r="I29" s="19"/>
    </row>
    <row r="30" customFormat="false" ht="18" hidden="false" customHeight="true" outlineLevel="0" collapsed="false">
      <c r="A30" s="13" t="n">
        <v>26</v>
      </c>
      <c r="B30" s="18" t="s">
        <v>79</v>
      </c>
      <c r="C30" s="63" t="n">
        <f aca="false">IFERROR(SUMIFS('📥 원재료 입고'!E$4:E$400,'📥 원재료 입고'!B$4:B$400,B30),0)</f>
        <v>0</v>
      </c>
      <c r="D30" s="62" t="n">
        <f aca="false">IFERROR(SUMIFS('📥 원재료 입고'!E$4:E$400,'📥 원재료 입고'!B$4:B$400,B30,'📥 원재료 입고'!D$4:D$400,"자체구매"),"")</f>
        <v>0</v>
      </c>
      <c r="E30" s="61" t="n">
        <f aca="false">IFERROR(SUMIFS('📥 원재료 입고'!E$4:E$400,'📥 원재료 입고'!B$4:B$400,B30,'📥 원재료 입고'!D$4:D$400,"위탁공급"),"")</f>
        <v>0</v>
      </c>
      <c r="F30" s="64" t="n">
        <f aca="false">SUMIFS('📦 일일 생산 입력'!AF$5:AF$505,'📦 일일 생산 입력'!$B$5:$B$505,"&gt;="&amp;DATE(2026,1,1))</f>
        <v>0</v>
      </c>
      <c r="G30" s="63" t="n">
        <f aca="false">IFERROR(MAX('📊 월별 원료수불부'!C30+C30-F30,0),"")</f>
        <v>0</v>
      </c>
      <c r="H30" s="13" t="str">
        <f aca="false">IFERROR(IF(G29="","—",IF(G29&lt;0,"🚨 부족",IF(G29&lt;5,"⚠️ 부족임박","✅ 정상"))),"—")</f>
        <v>⚠️ 부족임박</v>
      </c>
      <c r="I30" s="16"/>
    </row>
    <row r="31" customFormat="false" ht="18" hidden="false" customHeight="true" outlineLevel="0" collapsed="false">
      <c r="A31" s="17" t="n">
        <v>27</v>
      </c>
      <c r="B31" s="65" t="s">
        <v>80</v>
      </c>
      <c r="C31" s="63" t="n">
        <f aca="false">IFERROR(SUMIFS('📥 원재료 입고'!E$4:E$400,'📥 원재료 입고'!B$4:B$400,B31),0)</f>
        <v>4</v>
      </c>
      <c r="D31" s="62" t="n">
        <f aca="false">IFERROR(SUMIFS('📥 원재료 입고'!E$4:E$400,'📥 원재료 입고'!B$4:B$400,B31,'📥 원재료 입고'!D$4:D$400,"자체구매"),"")</f>
        <v>4</v>
      </c>
      <c r="E31" s="61" t="n">
        <f aca="false">IFERROR(SUMIFS('📥 원재료 입고'!E$4:E$400,'📥 원재료 입고'!B$4:B$400,B31,'📥 원재료 입고'!D$4:D$400,"위탁공급"),"")</f>
        <v>0</v>
      </c>
      <c r="F31" s="64" t="n">
        <f aca="false">SUMIFS('📦 일일 생산 입력'!AG$5:AG$505,'📦 일일 생산 입력'!$B$5:$B$505,"&gt;="&amp;DATE(2026,1,1))</f>
        <v>2</v>
      </c>
      <c r="G31" s="63" t="n">
        <f aca="false">IFERROR(MAX('📊 월별 원료수불부'!C31+C31-F31,0),"")</f>
        <v>3.16</v>
      </c>
      <c r="H31" s="17" t="str">
        <f aca="false">IFERROR(IF(G30="","—",IF(G30&lt;0,"🚨 부족",IF(G30&lt;5,"⚠️ 부족임박","✅ 정상"))),"—")</f>
        <v>⚠️ 부족임박</v>
      </c>
      <c r="I31" s="19"/>
    </row>
    <row r="32" customFormat="false" ht="18" hidden="false" customHeight="true" outlineLevel="0" collapsed="false">
      <c r="A32" s="13" t="n">
        <v>28</v>
      </c>
      <c r="B32" s="18" t="s">
        <v>81</v>
      </c>
      <c r="C32" s="63" t="n">
        <f aca="false">IFERROR(SUMIFS('📥 원재료 입고'!E$4:E$400,'📥 원재료 입고'!B$4:B$400,B32),0)</f>
        <v>0</v>
      </c>
      <c r="D32" s="62" t="n">
        <f aca="false">IFERROR(SUMIFS('📥 원재료 입고'!E$4:E$400,'📥 원재료 입고'!B$4:B$400,B32,'📥 원재료 입고'!D$4:D$400,"자체구매"),"")</f>
        <v>0</v>
      </c>
      <c r="E32" s="61" t="n">
        <f aca="false">IFERROR(SUMIFS('📥 원재료 입고'!E$4:E$400,'📥 원재료 입고'!B$4:B$400,B32,'📥 원재료 입고'!D$4:D$400,"위탁공급"),"")</f>
        <v>0</v>
      </c>
      <c r="F32" s="64" t="n">
        <f aca="false">SUMIFS('📦 일일 생산 입력'!AH$5:AH$505,'📦 일일 생산 입력'!$B$5:$B$505,"&gt;="&amp;DATE(2026,1,1))</f>
        <v>0</v>
      </c>
      <c r="G32" s="63" t="n">
        <f aca="false">IFERROR(MAX('📊 월별 원료수불부'!C32+C32-F32,0),"")</f>
        <v>20.48</v>
      </c>
      <c r="H32" s="13" t="str">
        <f aca="false">IFERROR(IF(G31="","—",IF(G31&lt;0,"🚨 부족",IF(G31&lt;5,"⚠️ 부족임박","✅ 정상"))),"—")</f>
        <v>⚠️ 부족임박</v>
      </c>
      <c r="I32" s="16"/>
    </row>
    <row r="33" customFormat="false" ht="18" hidden="false" customHeight="true" outlineLevel="0" collapsed="false">
      <c r="A33" s="17" t="n">
        <v>29</v>
      </c>
      <c r="B33" s="65" t="s">
        <v>82</v>
      </c>
      <c r="C33" s="63" t="n">
        <f aca="false">IFERROR(SUMIFS('📥 원재료 입고'!E$4:E$400,'📥 원재료 입고'!B$4:B$400,B33),0)</f>
        <v>40</v>
      </c>
      <c r="D33" s="62" t="n">
        <f aca="false">IFERROR(SUMIFS('📥 원재료 입고'!E$4:E$400,'📥 원재료 입고'!B$4:B$400,B33,'📥 원재료 입고'!D$4:D$400,"자체구매"),"")</f>
        <v>40</v>
      </c>
      <c r="E33" s="61" t="n">
        <f aca="false">IFERROR(SUMIFS('📥 원재료 입고'!E$4:E$400,'📥 원재료 입고'!B$4:B$400,B33,'📥 원재료 입고'!D$4:D$400,"위탁공급"),"")</f>
        <v>0</v>
      </c>
      <c r="F33" s="64" t="n">
        <f aca="false">SUMIFS('📦 일일 생산 입력'!AI$5:AI$505,'📦 일일 생산 입력'!$B$5:$B$505,"&gt;="&amp;DATE(2026,1,1))</f>
        <v>195</v>
      </c>
      <c r="G33" s="63" t="n">
        <f aca="false">IFERROR(MAX('📊 월별 원료수불부'!C33+C33-F33,0),"")</f>
        <v>0</v>
      </c>
      <c r="H33" s="17" t="str">
        <f aca="false">IFERROR(IF(G32="","—",IF(G32&lt;0,"🚨 부족",IF(G32&lt;5,"⚠️ 부족임박","✅ 정상"))),"—")</f>
        <v>✅ 정상</v>
      </c>
      <c r="I33" s="19"/>
    </row>
    <row r="34" customFormat="false" ht="18" hidden="false" customHeight="true" outlineLevel="0" collapsed="false">
      <c r="A34" s="13" t="n">
        <v>30</v>
      </c>
      <c r="B34" s="18" t="s">
        <v>83</v>
      </c>
      <c r="C34" s="63" t="n">
        <f aca="false">IFERROR(SUMIFS('📥 원재료 입고'!E$4:E$400,'📥 원재료 입고'!B$4:B$400,B34),0)</f>
        <v>0</v>
      </c>
      <c r="D34" s="62" t="n">
        <f aca="false">IFERROR(SUMIFS('📥 원재료 입고'!E$4:E$400,'📥 원재료 입고'!B$4:B$400,B34,'📥 원재료 입고'!D$4:D$400,"자체구매"),"")</f>
        <v>0</v>
      </c>
      <c r="E34" s="61" t="n">
        <f aca="false">IFERROR(SUMIFS('📥 원재료 입고'!E$4:E$400,'📥 원재료 입고'!B$4:B$400,B34,'📥 원재료 입고'!D$4:D$400,"위탁공급"),"")</f>
        <v>0</v>
      </c>
      <c r="F34" s="64" t="n">
        <f aca="false">SUMIFS('📦 일일 생산 입력'!AJ$5:AJ$505,'📦 일일 생산 입력'!$B$5:$B$505,"&gt;="&amp;DATE(2026,1,1))</f>
        <v>0</v>
      </c>
      <c r="G34" s="63" t="n">
        <f aca="false">IFERROR(MAX('📊 월별 원료수불부'!C34+C34-F34,0),"")</f>
        <v>0</v>
      </c>
      <c r="H34" s="13" t="str">
        <f aca="false">IFERROR(IF(G33="","—",IF(G33&lt;0,"🚨 부족",IF(G33&lt;5,"⚠️ 부족임박","✅ 정상"))),"—")</f>
        <v>⚠️ 부족임박</v>
      </c>
      <c r="I34" s="16"/>
    </row>
    <row r="35" customFormat="false" ht="18" hidden="false" customHeight="true" outlineLevel="0" collapsed="false">
      <c r="A35" s="17" t="n">
        <v>31</v>
      </c>
      <c r="B35" s="65" t="s">
        <v>84</v>
      </c>
      <c r="C35" s="63" t="n">
        <f aca="false">IFERROR(SUMIFS('📥 원재료 입고'!E$4:E$400,'📥 원재료 입고'!B$4:B$400,B35),0)</f>
        <v>282.5</v>
      </c>
      <c r="D35" s="62" t="n">
        <f aca="false">IFERROR(SUMIFS('📥 원재료 입고'!E$4:E$400,'📥 원재료 입고'!B$4:B$400,B35,'📥 원재료 입고'!D$4:D$400,"자체구매"),"")</f>
        <v>282.5</v>
      </c>
      <c r="E35" s="61" t="n">
        <f aca="false">IFERROR(SUMIFS('📥 원재료 입고'!E$4:E$400,'📥 원재료 입고'!B$4:B$400,B35,'📥 원재료 입고'!D$4:D$400,"위탁공급"),"")</f>
        <v>0</v>
      </c>
      <c r="F35" s="64" t="n">
        <f aca="false">SUMIFS('📦 일일 생산 입력'!AK$5:AK$505,'📦 일일 생산 입력'!$B$5:$B$505,"&gt;="&amp;DATE(2026,1,1))</f>
        <v>154</v>
      </c>
      <c r="G35" s="63" t="n">
        <f aca="false">IFERROR(MAX('📊 월별 원료수불부'!C35+C35-F35,0),"")</f>
        <v>128.5</v>
      </c>
      <c r="H35" s="17" t="str">
        <f aca="false">IFERROR(IF(G34="","—",IF(G34&lt;0,"🚨 부족",IF(G34&lt;5,"⚠️ 부족임박","✅ 정상"))),"—")</f>
        <v>⚠️ 부족임박</v>
      </c>
      <c r="I35" s="19"/>
    </row>
    <row r="36" customFormat="false" ht="18" hidden="false" customHeight="true" outlineLevel="0" collapsed="false">
      <c r="A36" s="13" t="n">
        <v>32</v>
      </c>
      <c r="B36" s="18" t="s">
        <v>85</v>
      </c>
      <c r="C36" s="63" t="n">
        <f aca="false">IFERROR(SUMIFS('📥 원재료 입고'!E$4:E$400,'📥 원재료 입고'!B$4:B$400,B36),0)</f>
        <v>0</v>
      </c>
      <c r="D36" s="62" t="n">
        <f aca="false">IFERROR(SUMIFS('📥 원재료 입고'!E$4:E$400,'📥 원재료 입고'!B$4:B$400,B36,'📥 원재료 입고'!D$4:D$400,"자체구매"),"")</f>
        <v>0</v>
      </c>
      <c r="E36" s="61" t="n">
        <f aca="false">IFERROR(SUMIFS('📥 원재료 입고'!E$4:E$400,'📥 원재료 입고'!B$4:B$400,B36,'📥 원재료 입고'!D$4:D$400,"위탁공급"),"")</f>
        <v>0</v>
      </c>
      <c r="F36" s="64" t="n">
        <f aca="false">SUMIFS('📦 일일 생산 입력'!AL$5:AL$505,'📦 일일 생산 입력'!$B$5:$B$505,"&gt;="&amp;DATE(2026,1,1))</f>
        <v>0</v>
      </c>
      <c r="G36" s="63" t="n">
        <f aca="false">IFERROR(MAX('📊 월별 원료수불부'!C36+C36-F36,0),"")</f>
        <v>0</v>
      </c>
      <c r="H36" s="13" t="str">
        <f aca="false">IFERROR(IF(G35="","—",IF(G35&lt;0,"🚨 부족",IF(G35&lt;5,"⚠️ 부족임박","✅ 정상"))),"—")</f>
        <v>✅ 정상</v>
      </c>
      <c r="I36" s="16"/>
    </row>
    <row r="37" customFormat="false" ht="18" hidden="false" customHeight="true" outlineLevel="0" collapsed="false">
      <c r="A37" s="17" t="n">
        <v>33</v>
      </c>
      <c r="B37" s="65" t="s">
        <v>86</v>
      </c>
      <c r="C37" s="63" t="n">
        <f aca="false">IFERROR(SUMIFS('📥 원재료 입고'!E$4:E$400,'📥 원재료 입고'!B$4:B$400,B37),0)</f>
        <v>4</v>
      </c>
      <c r="D37" s="62" t="n">
        <f aca="false">IFERROR(SUMIFS('📥 원재료 입고'!E$4:E$400,'📥 원재료 입고'!B$4:B$400,B37,'📥 원재료 입고'!D$4:D$400,"자체구매"),"")</f>
        <v>4</v>
      </c>
      <c r="E37" s="61" t="n">
        <f aca="false">IFERROR(SUMIFS('📥 원재료 입고'!E$4:E$400,'📥 원재료 입고'!B$4:B$400,B37,'📥 원재료 입고'!D$4:D$400,"위탁공급"),"")</f>
        <v>0</v>
      </c>
      <c r="F37" s="64" t="n">
        <f aca="false">SUMIFS('📦 일일 생산 입력'!AM$5:AM$505,'📦 일일 생산 입력'!$B$5:$B$505,"&gt;="&amp;DATE(2026,1,1))</f>
        <v>16</v>
      </c>
      <c r="G37" s="63" t="n">
        <f aca="false">IFERROR(MAX('📊 월별 원료수불부'!C37+C37-F37,0),"")</f>
        <v>0</v>
      </c>
      <c r="H37" s="17" t="str">
        <f aca="false">IFERROR(IF(G36="","—",IF(G36&lt;0,"🚨 부족",IF(G36&lt;5,"⚠️ 부족임박","✅ 정상"))),"—")</f>
        <v>⚠️ 부족임박</v>
      </c>
      <c r="I37" s="19"/>
    </row>
    <row r="38" customFormat="false" ht="18" hidden="false" customHeight="true" outlineLevel="0" collapsed="false">
      <c r="A38" s="13" t="n">
        <v>34</v>
      </c>
      <c r="B38" s="18" t="s">
        <v>87</v>
      </c>
      <c r="C38" s="63" t="n">
        <f aca="false">IFERROR(SUMIFS('📥 원재료 입고'!E$4:E$400,'📥 원재료 입고'!B$4:B$400,B38),0)</f>
        <v>2.1</v>
      </c>
      <c r="D38" s="62" t="n">
        <f aca="false">IFERROR(SUMIFS('📥 원재료 입고'!E$4:E$400,'📥 원재료 입고'!B$4:B$400,B38,'📥 원재료 입고'!D$4:D$400,"자체구매"),"")</f>
        <v>2.1</v>
      </c>
      <c r="E38" s="61" t="n">
        <f aca="false">IFERROR(SUMIFS('📥 원재료 입고'!E$4:E$400,'📥 원재료 입고'!B$4:B$400,B38,'📥 원재료 입고'!D$4:D$400,"위탁공급"),"")</f>
        <v>0</v>
      </c>
      <c r="F38" s="64" t="n">
        <f aca="false">SUMIFS('📦 일일 생산 입력'!AN$5:AN$505,'📦 일일 생산 입력'!$B$5:$B$505,"&gt;="&amp;DATE(2026,1,1))</f>
        <v>0</v>
      </c>
      <c r="G38" s="63" t="n">
        <f aca="false">IFERROR(MAX('📊 월별 원료수불부'!C38+C38-F38,0),"")</f>
        <v>2.1</v>
      </c>
      <c r="H38" s="13" t="str">
        <f aca="false">IFERROR(IF(G37="","—",IF(G37&lt;0,"🚨 부족",IF(G37&lt;5,"⚠️ 부족임박","✅ 정상"))),"—")</f>
        <v>⚠️ 부족임박</v>
      </c>
      <c r="I38" s="16"/>
    </row>
    <row r="39" customFormat="false" ht="18" hidden="false" customHeight="true" outlineLevel="0" collapsed="false">
      <c r="A39" s="17" t="n">
        <v>35</v>
      </c>
      <c r="B39" s="65" t="s">
        <v>88</v>
      </c>
      <c r="C39" s="63" t="n">
        <f aca="false">IFERROR(SUMIFS('📥 원재료 입고'!E$4:E$400,'📥 원재료 입고'!B$4:B$400,B39),0)</f>
        <v>0</v>
      </c>
      <c r="D39" s="62" t="n">
        <f aca="false">IFERROR(SUMIFS('📥 원재료 입고'!E$4:E$400,'📥 원재료 입고'!B$4:B$400,B39,'📥 원재료 입고'!D$4:D$400,"자체구매"),"")</f>
        <v>0</v>
      </c>
      <c r="E39" s="61" t="n">
        <f aca="false">IFERROR(SUMIFS('📥 원재료 입고'!E$4:E$400,'📥 원재료 입고'!B$4:B$400,B39,'📥 원재료 입고'!D$4:D$400,"위탁공급"),"")</f>
        <v>0</v>
      </c>
      <c r="F39" s="64" t="n">
        <f aca="false">SUMIFS('📦 일일 생산 입력'!AO$5:AO$505,'📦 일일 생산 입력'!$B$5:$B$505,"&gt;="&amp;DATE(2026,1,1))</f>
        <v>32</v>
      </c>
      <c r="G39" s="63" t="n">
        <f aca="false">IFERROR(MAX('📊 월별 원료수불부'!C39+C39-F39,0),"")</f>
        <v>0</v>
      </c>
      <c r="H39" s="17" t="str">
        <f aca="false">IFERROR(IF(G38="","—",IF(G38&lt;0,"🚨 부족",IF(G38&lt;5,"⚠️ 부족임박","✅ 정상"))),"—")</f>
        <v>⚠️ 부족임박</v>
      </c>
      <c r="I39" s="19"/>
    </row>
    <row r="40" customFormat="false" ht="18" hidden="false" customHeight="true" outlineLevel="0" collapsed="false">
      <c r="A40" s="13" t="n">
        <v>36</v>
      </c>
      <c r="B40" s="18" t="s">
        <v>89</v>
      </c>
      <c r="C40" s="63" t="n">
        <f aca="false">IFERROR(SUMIFS('📥 원재료 입고'!E$4:E$400,'📥 원재료 입고'!B$4:B$400,B40),0)</f>
        <v>22.68</v>
      </c>
      <c r="D40" s="62" t="n">
        <f aca="false">IFERROR(SUMIFS('📥 원재료 입고'!E$4:E$400,'📥 원재료 입고'!B$4:B$400,B40,'📥 원재료 입고'!D$4:D$400,"자체구매"),"")</f>
        <v>22.68</v>
      </c>
      <c r="E40" s="61" t="n">
        <f aca="false">IFERROR(SUMIFS('📥 원재료 입고'!E$4:E$400,'📥 원재료 입고'!B$4:B$400,B40,'📥 원재료 입고'!D$4:D$400,"위탁공급"),"")</f>
        <v>0</v>
      </c>
      <c r="F40" s="64" t="n">
        <f aca="false">SUMIFS('📦 일일 생산 입력'!AP$5:AP$505,'📦 일일 생산 입력'!$B$5:$B$505,"&gt;="&amp;DATE(2026,1,1))</f>
        <v>52</v>
      </c>
      <c r="G40" s="63" t="n">
        <f aca="false">IFERROR(MAX('📊 월별 원료수불부'!C40+C40-F40,0),"")</f>
        <v>5.94</v>
      </c>
      <c r="H40" s="13" t="str">
        <f aca="false">IFERROR(IF(G39="","—",IF(G39&lt;0,"🚨 부족",IF(G39&lt;5,"⚠️ 부족임박","✅ 정상"))),"—")</f>
        <v>⚠️ 부족임박</v>
      </c>
      <c r="I40" s="16"/>
    </row>
    <row r="41" customFormat="false" ht="18" hidden="false" customHeight="true" outlineLevel="0" collapsed="false">
      <c r="A41" s="17" t="n">
        <v>37</v>
      </c>
      <c r="B41" s="65" t="s">
        <v>90</v>
      </c>
      <c r="C41" s="63" t="n">
        <f aca="false">IFERROR(SUMIFS('📥 원재료 입고'!E$4:E$400,'📥 원재료 입고'!B$4:B$400,B41),0)</f>
        <v>0</v>
      </c>
      <c r="D41" s="62" t="n">
        <f aca="false">IFERROR(SUMIFS('📥 원재료 입고'!E$4:E$400,'📥 원재료 입고'!B$4:B$400,B41,'📥 원재료 입고'!D$4:D$400,"자체구매"),"")</f>
        <v>0</v>
      </c>
      <c r="E41" s="61" t="n">
        <f aca="false">IFERROR(SUMIFS('📥 원재료 입고'!E$4:E$400,'📥 원재료 입고'!B$4:B$400,B41,'📥 원재료 입고'!D$4:D$400,"위탁공급"),"")</f>
        <v>0</v>
      </c>
      <c r="F41" s="64" t="n">
        <f aca="false">SUMIFS('📦 일일 생산 입력'!AQ$5:AQ$505,'📦 일일 생산 입력'!$B$5:$B$505,"&gt;="&amp;DATE(2026,1,1))</f>
        <v>3023</v>
      </c>
      <c r="G41" s="63" t="n">
        <f aca="false">IFERROR(MAX('📊 월별 원료수불부'!C41+C41-F41,0),"")</f>
        <v>144</v>
      </c>
      <c r="H41" s="17" t="str">
        <f aca="false">IFERROR(IF(G40="","—",IF(G40&lt;0,"🚨 부족",IF(G40&lt;5,"⚠️ 부족임박","✅ 정상"))),"—")</f>
        <v>✅ 정상</v>
      </c>
      <c r="I41" s="19"/>
    </row>
    <row r="42" customFormat="false" ht="18" hidden="false" customHeight="true" outlineLevel="0" collapsed="false">
      <c r="A42" s="13" t="n">
        <v>38</v>
      </c>
      <c r="B42" s="18" t="s">
        <v>91</v>
      </c>
      <c r="C42" s="63" t="n">
        <f aca="false">IFERROR(SUMIFS('📥 원재료 입고'!E$4:E$400,'📥 원재료 입고'!B$4:B$400,B42),0)</f>
        <v>0</v>
      </c>
      <c r="D42" s="62" t="n">
        <f aca="false">IFERROR(SUMIFS('📥 원재료 입고'!E$4:E$400,'📥 원재료 입고'!B$4:B$400,B42,'📥 원재료 입고'!D$4:D$400,"자체구매"),"")</f>
        <v>0</v>
      </c>
      <c r="E42" s="61" t="n">
        <f aca="false">IFERROR(SUMIFS('📥 원재료 입고'!E$4:E$400,'📥 원재료 입고'!B$4:B$400,B42,'📥 원재료 입고'!D$4:D$400,"위탁공급"),"")</f>
        <v>0</v>
      </c>
      <c r="F42" s="64" t="n">
        <f aca="false">SUMIFS('📦 일일 생산 입력'!AR$5:AR$505,'📦 일일 생산 입력'!$B$5:$B$505,"&gt;="&amp;DATE(2026,1,1))</f>
        <v>21</v>
      </c>
      <c r="G42" s="63" t="n">
        <f aca="false">IFERROR(MAX('📊 월별 원료수불부'!C42+C42-F42,0),"")</f>
        <v>39</v>
      </c>
      <c r="H42" s="13" t="str">
        <f aca="false">IFERROR(IF(G41="","—",IF(G41&lt;0,"🚨 부족",IF(G41&lt;5,"⚠️ 부족임박","✅ 정상"))),"—")</f>
        <v>✅ 정상</v>
      </c>
      <c r="I42" s="16"/>
    </row>
    <row r="43" customFormat="false" ht="18" hidden="false" customHeight="true" outlineLevel="0" collapsed="false">
      <c r="A43" s="17" t="n">
        <v>39</v>
      </c>
      <c r="B43" s="65" t="s">
        <v>92</v>
      </c>
      <c r="C43" s="63" t="n">
        <f aca="false">IFERROR(SUMIFS('📥 원재료 입고'!E$4:E$400,'📥 원재료 입고'!B$4:B$400,B43),0)</f>
        <v>864</v>
      </c>
      <c r="D43" s="62" t="n">
        <f aca="false">IFERROR(SUMIFS('📥 원재료 입고'!E$4:E$400,'📥 원재료 입고'!B$4:B$400,B43,'📥 원재료 입고'!D$4:D$400,"자체구매"),"")</f>
        <v>384</v>
      </c>
      <c r="E43" s="61" t="n">
        <f aca="false">IFERROR(SUMIFS('📥 원재료 입고'!E$4:E$400,'📥 원재료 입고'!B$4:B$400,B43,'📥 원재료 입고'!D$4:D$400,"위탁공급"),"")</f>
        <v>480</v>
      </c>
      <c r="F43" s="64" t="n">
        <f aca="false">SUMIFS('📦 일일 생산 입력'!AS$5:AS$505,'📦 일일 생산 입력'!$B$5:$B$505,"&gt;="&amp;DATE(2026,1,1))</f>
        <v>381</v>
      </c>
      <c r="G43" s="63" t="n">
        <f aca="false">IFERROR(MAX('📊 월별 원료수불부'!C43+C43-F43,0),"")</f>
        <v>558.58</v>
      </c>
      <c r="H43" s="17" t="str">
        <f aca="false">IFERROR(IF(G42="","—",IF(G42&lt;0,"🚨 부족",IF(G42&lt;5,"⚠️ 부족임박","✅ 정상"))),"—")</f>
        <v>✅ 정상</v>
      </c>
      <c r="I43" s="19"/>
    </row>
    <row r="44" customFormat="false" ht="18" hidden="false" customHeight="true" outlineLevel="0" collapsed="false">
      <c r="A44" s="13" t="n">
        <v>40</v>
      </c>
      <c r="B44" s="18" t="s">
        <v>93</v>
      </c>
      <c r="C44" s="63" t="n">
        <f aca="false">IFERROR(SUMIFS('📥 원재료 입고'!E$4:E$400,'📥 원재료 입고'!B$4:B$400,B44),0)</f>
        <v>0</v>
      </c>
      <c r="D44" s="62" t="n">
        <f aca="false">IFERROR(SUMIFS('📥 원재료 입고'!E$4:E$400,'📥 원재료 입고'!B$4:B$400,B44,'📥 원재료 입고'!D$4:D$400,"자체구매"),"")</f>
        <v>0</v>
      </c>
      <c r="E44" s="61" t="n">
        <f aca="false">IFERROR(SUMIFS('📥 원재료 입고'!E$4:E$400,'📥 원재료 입고'!B$4:B$400,B44,'📥 원재료 입고'!D$4:D$400,"위탁공급"),"")</f>
        <v>0</v>
      </c>
      <c r="F44" s="64" t="n">
        <f aca="false">SUMIFS('📦 일일 생산 입력'!AT$5:AT$505,'📦 일일 생산 입력'!$B$5:$B$505,"&gt;="&amp;DATE(2026,1,1))</f>
        <v>22</v>
      </c>
      <c r="G44" s="63" t="n">
        <f aca="false">IFERROR(MAX('📊 월별 원료수불부'!C44+C44-F44,0),"")</f>
        <v>0</v>
      </c>
      <c r="H44" s="13" t="str">
        <f aca="false">IFERROR(IF(G43="","—",IF(G43&lt;0,"🚨 부족",IF(G43&lt;5,"⚠️ 부족임박","✅ 정상"))),"—")</f>
        <v>✅ 정상</v>
      </c>
      <c r="I44" s="16"/>
    </row>
    <row r="45" customFormat="false" ht="18" hidden="false" customHeight="true" outlineLevel="0" collapsed="false">
      <c r="A45" s="17" t="n">
        <v>41</v>
      </c>
      <c r="B45" s="65" t="s">
        <v>94</v>
      </c>
      <c r="C45" s="63" t="n">
        <f aca="false">IFERROR(SUMIFS('📥 원재료 입고'!E$4:E$400,'📥 원재료 입고'!B$4:B$400,B45),0)</f>
        <v>0</v>
      </c>
      <c r="D45" s="62" t="n">
        <f aca="false">IFERROR(SUMIFS('📥 원재료 입고'!E$4:E$400,'📥 원재료 입고'!B$4:B$400,B45,'📥 원재료 입고'!D$4:D$400,"자체구매"),"")</f>
        <v>0</v>
      </c>
      <c r="E45" s="61" t="n">
        <f aca="false">IFERROR(SUMIFS('📥 원재료 입고'!E$4:E$400,'📥 원재료 입고'!B$4:B$400,B45,'📥 원재료 입고'!D$4:D$400,"위탁공급"),"")</f>
        <v>0</v>
      </c>
      <c r="F45" s="64" t="n">
        <f aca="false">SUMIFS('📦 일일 생산 입력'!AU$5:AU$505,'📦 일일 생산 입력'!$B$5:$B$505,"&gt;="&amp;DATE(2026,1,1))</f>
        <v>15</v>
      </c>
      <c r="G45" s="63" t="n">
        <f aca="false">IFERROR(MAX('📊 월별 원료수불부'!C45+C45-F45,0),"")</f>
        <v>0</v>
      </c>
      <c r="H45" s="17" t="str">
        <f aca="false">IFERROR(IF(G44="","—",IF(G44&lt;0,"🚨 부족",IF(G44&lt;5,"⚠️ 부족임박","✅ 정상"))),"—")</f>
        <v>⚠️ 부족임박</v>
      </c>
      <c r="I45" s="19"/>
    </row>
    <row r="46" customFormat="false" ht="18" hidden="false" customHeight="true" outlineLevel="0" collapsed="false">
      <c r="A46" s="13" t="n">
        <v>42</v>
      </c>
      <c r="B46" s="18" t="s">
        <v>95</v>
      </c>
      <c r="C46" s="63" t="n">
        <f aca="false">IFERROR(SUMIFS('📥 원재료 입고'!E$4:E$400,'📥 원재료 입고'!B$4:B$400,B46),0)</f>
        <v>10</v>
      </c>
      <c r="D46" s="62" t="n">
        <f aca="false">IFERROR(SUMIFS('📥 원재료 입고'!E$4:E$400,'📥 원재료 입고'!B$4:B$400,B46,'📥 원재료 입고'!D$4:D$400,"자체구매"),"")</f>
        <v>10</v>
      </c>
      <c r="E46" s="61" t="n">
        <f aca="false">IFERROR(SUMIFS('📥 원재료 입고'!E$4:E$400,'📥 원재료 입고'!B$4:B$400,B46,'📥 원재료 입고'!D$4:D$400,"위탁공급"),"")</f>
        <v>0</v>
      </c>
      <c r="F46" s="64" t="n">
        <f aca="false">SUMIFS('📦 일일 생산 입력'!AV$5:AV$505,'📦 일일 생산 입력'!$B$5:$B$505,"&gt;="&amp;DATE(2026,1,1))</f>
        <v>6</v>
      </c>
      <c r="G46" s="63" t="n">
        <f aca="false">IFERROR(MAX('📊 월별 원료수불부'!C46+C46-F46,0),"")</f>
        <v>7</v>
      </c>
      <c r="H46" s="13" t="str">
        <f aca="false">IFERROR(IF(G45="","—",IF(G45&lt;0,"🚨 부족",IF(G45&lt;5,"⚠️ 부족임박","✅ 정상"))),"—")</f>
        <v>⚠️ 부족임박</v>
      </c>
      <c r="I46" s="16"/>
    </row>
    <row r="47" customFormat="false" ht="18" hidden="false" customHeight="true" outlineLevel="0" collapsed="false">
      <c r="A47" s="17" t="n">
        <v>43</v>
      </c>
      <c r="B47" s="65" t="s">
        <v>96</v>
      </c>
      <c r="C47" s="63" t="n">
        <f aca="false">IFERROR(SUMIFS('📥 원재료 입고'!E$4:E$400,'📥 원재료 입고'!B$4:B$400,B47),0)</f>
        <v>0</v>
      </c>
      <c r="D47" s="62" t="n">
        <f aca="false">IFERROR(SUMIFS('📥 원재료 입고'!E$4:E$400,'📥 원재료 입고'!B$4:B$400,B47,'📥 원재료 입고'!D$4:D$400,"자체구매"),"")</f>
        <v>0</v>
      </c>
      <c r="E47" s="61" t="n">
        <f aca="false">IFERROR(SUMIFS('📥 원재료 입고'!E$4:E$400,'📥 원재료 입고'!B$4:B$400,B47,'📥 원재료 입고'!D$4:D$400,"위탁공급"),"")</f>
        <v>0</v>
      </c>
      <c r="F47" s="64" t="n">
        <f aca="false">SUMIFS('📦 일일 생산 입력'!AW$5:AW$505,'📦 일일 생산 입력'!$B$5:$B$505,"&gt;="&amp;DATE(2026,1,1))</f>
        <v>17</v>
      </c>
      <c r="G47" s="63" t="n">
        <f aca="false">IFERROR(MAX('📊 월별 원료수불부'!C47+C47-F47,0),"")</f>
        <v>0</v>
      </c>
      <c r="H47" s="17" t="str">
        <f aca="false">IFERROR(IF(G46="","—",IF(G46&lt;0,"🚨 부족",IF(G46&lt;5,"⚠️ 부족임박","✅ 정상"))),"—")</f>
        <v>✅ 정상</v>
      </c>
      <c r="I47" s="19"/>
    </row>
    <row r="48" customFormat="false" ht="18" hidden="false" customHeight="true" outlineLevel="0" collapsed="false">
      <c r="A48" s="13" t="n">
        <v>44</v>
      </c>
      <c r="B48" s="18" t="s">
        <v>97</v>
      </c>
      <c r="C48" s="63" t="n">
        <f aca="false">IFERROR(SUMIFS('📥 원재료 입고'!E$4:E$400,'📥 원재료 입고'!B$4:B$400,B48),0)</f>
        <v>168</v>
      </c>
      <c r="D48" s="62" t="n">
        <f aca="false">IFERROR(SUMIFS('📥 원재료 입고'!E$4:E$400,'📥 원재료 입고'!B$4:B$400,B48,'📥 원재료 입고'!D$4:D$400,"자체구매"),"")</f>
        <v>168</v>
      </c>
      <c r="E48" s="61" t="n">
        <f aca="false">IFERROR(SUMIFS('📥 원재료 입고'!E$4:E$400,'📥 원재료 입고'!B$4:B$400,B48,'📥 원재료 입고'!D$4:D$400,"위탁공급"),"")</f>
        <v>0</v>
      </c>
      <c r="F48" s="64" t="n">
        <f aca="false">SUMIFS('📦 일일 생산 입력'!AX$5:AX$505,'📦 일일 생산 입력'!$B$5:$B$505,"&gt;="&amp;DATE(2026,1,1))</f>
        <v>140</v>
      </c>
      <c r="G48" s="63" t="n">
        <f aca="false">IFERROR(MAX('📊 월별 원료수불부'!C48+C48-F48,0),"")</f>
        <v>28</v>
      </c>
      <c r="H48" s="13" t="str">
        <f aca="false">IFERROR(IF(G47="","—",IF(G47&lt;0,"🚨 부족",IF(G47&lt;5,"⚠️ 부족임박","✅ 정상"))),"—")</f>
        <v>⚠️ 부족임박</v>
      </c>
      <c r="I48" s="16"/>
    </row>
    <row r="49" customFormat="false" ht="18" hidden="false" customHeight="true" outlineLevel="0" collapsed="false">
      <c r="A49" s="17" t="n">
        <v>45</v>
      </c>
      <c r="B49" s="65" t="s">
        <v>98</v>
      </c>
      <c r="C49" s="63" t="n">
        <f aca="false">IFERROR(SUMIFS('📥 원재료 입고'!E$4:E$400,'📥 원재료 입고'!B$4:B$400,B49),0)</f>
        <v>0</v>
      </c>
      <c r="D49" s="62" t="n">
        <f aca="false">IFERROR(SUMIFS('📥 원재료 입고'!E$4:E$400,'📥 원재료 입고'!B$4:B$400,B49,'📥 원재료 입고'!D$4:D$400,"자체구매"),"")</f>
        <v>0</v>
      </c>
      <c r="E49" s="61" t="n">
        <f aca="false">IFERROR(SUMIFS('📥 원재료 입고'!E$4:E$400,'📥 원재료 입고'!B$4:B$400,B49,'📥 원재료 입고'!D$4:D$400,"위탁공급"),"")</f>
        <v>0</v>
      </c>
      <c r="F49" s="64" t="n">
        <f aca="false">SUMIFS('📦 일일 생산 입력'!AY$5:AY$505,'📦 일일 생산 입력'!$B$5:$B$505,"&gt;="&amp;DATE(2026,1,1))</f>
        <v>16</v>
      </c>
      <c r="G49" s="63" t="n">
        <f aca="false">IFERROR(MAX('📊 월별 원료수불부'!C49+C49-F49,0),"")</f>
        <v>0</v>
      </c>
      <c r="H49" s="17" t="str">
        <f aca="false">IFERROR(IF(G48="","—",IF(G48&lt;0,"🚨 부족",IF(G48&lt;5,"⚠️ 부족임박","✅ 정상"))),"—")</f>
        <v>✅ 정상</v>
      </c>
      <c r="I49" s="19"/>
    </row>
    <row r="50" customFormat="false" ht="18" hidden="false" customHeight="true" outlineLevel="0" collapsed="false">
      <c r="A50" s="13" t="n">
        <v>46</v>
      </c>
      <c r="B50" s="18" t="s">
        <v>99</v>
      </c>
      <c r="C50" s="63" t="n">
        <f aca="false">IFERROR(SUMIFS('📥 원재료 입고'!E$4:E$400,'📥 원재료 입고'!B$4:B$400,B50),0)</f>
        <v>5340</v>
      </c>
      <c r="D50" s="62" t="n">
        <f aca="false">IFERROR(SUMIFS('📥 원재료 입고'!E$4:E$400,'📥 원재료 입고'!B$4:B$400,B50,'📥 원재료 입고'!D$4:D$400,"자체구매"),"")</f>
        <v>300</v>
      </c>
      <c r="E50" s="61" t="n">
        <f aca="false">IFERROR(SUMIFS('📥 원재료 입고'!E$4:E$400,'📥 원재료 입고'!B$4:B$400,B50,'📥 원재료 입고'!D$4:D$400,"위탁공급"),"")</f>
        <v>5040</v>
      </c>
      <c r="F50" s="64" t="n">
        <f aca="false">SUMIFS('📦 일일 생산 입력'!AZ$5:AZ$505,'📦 일일 생산 입력'!$B$5:$B$505,"&gt;="&amp;DATE(2026,1,1))</f>
        <v>7192</v>
      </c>
      <c r="G50" s="63" t="n">
        <f aca="false">IFERROR(MAX('📊 월별 원료수불부'!C50+C50-F50,0),"")</f>
        <v>0</v>
      </c>
      <c r="H50" s="13" t="str">
        <f aca="false">IFERROR(IF(G49="","—",IF(G49&lt;0,"🚨 부족",IF(G49&lt;5,"⚠️ 부족임박","✅ 정상"))),"—")</f>
        <v>⚠️ 부족임박</v>
      </c>
      <c r="I50" s="16"/>
    </row>
    <row r="51" customFormat="false" ht="18" hidden="false" customHeight="true" outlineLevel="0" collapsed="false">
      <c r="A51" s="17" t="n">
        <v>47</v>
      </c>
      <c r="B51" s="65" t="s">
        <v>100</v>
      </c>
      <c r="C51" s="63" t="n">
        <f aca="false">IFERROR(SUMIFS('📥 원재료 입고'!E$4:E$400,'📥 원재료 입고'!B$4:B$400,B51),0)</f>
        <v>0</v>
      </c>
      <c r="D51" s="62" t="n">
        <f aca="false">IFERROR(SUMIFS('📥 원재료 입고'!E$4:E$400,'📥 원재료 입고'!B$4:B$400,B51,'📥 원재료 입고'!D$4:D$400,"자체구매"),"")</f>
        <v>0</v>
      </c>
      <c r="E51" s="61" t="n">
        <f aca="false">IFERROR(SUMIFS('📥 원재료 입고'!E$4:E$400,'📥 원재료 입고'!B$4:B$400,B51,'📥 원재료 입고'!D$4:D$400,"위탁공급"),"")</f>
        <v>0</v>
      </c>
      <c r="F51" s="64" t="n">
        <f aca="false">SUMIFS('📦 일일 생산 입력'!BA$5:BA$505,'📦 일일 생산 입력'!$B$5:$B$505,"&gt;="&amp;DATE(2026,1,1))</f>
        <v>16</v>
      </c>
      <c r="G51" s="63" t="n">
        <f aca="false">IFERROR(MAX('📊 월별 원료수불부'!C51+C51-F51,0),"")</f>
        <v>0</v>
      </c>
      <c r="H51" s="17" t="str">
        <f aca="false">IFERROR(IF(G50="","—",IF(G50&lt;0,"🚨 부족",IF(G50&lt;5,"⚠️ 부족임박","✅ 정상"))),"—")</f>
        <v>⚠️ 부족임박</v>
      </c>
      <c r="I51" s="19"/>
    </row>
    <row r="52" customFormat="false" ht="18" hidden="false" customHeight="true" outlineLevel="0" collapsed="false">
      <c r="A52" s="13" t="n">
        <v>48</v>
      </c>
      <c r="B52" s="18" t="s">
        <v>101</v>
      </c>
      <c r="C52" s="63" t="n">
        <f aca="false">IFERROR(SUMIFS('📥 원재료 입고'!E$4:E$400,'📥 원재료 입고'!B$4:B$400,B52),0)</f>
        <v>0</v>
      </c>
      <c r="D52" s="62" t="n">
        <f aca="false">IFERROR(SUMIFS('📥 원재료 입고'!E$4:E$400,'📥 원재료 입고'!B$4:B$400,B52,'📥 원재료 입고'!D$4:D$400,"자체구매"),"")</f>
        <v>0</v>
      </c>
      <c r="E52" s="61" t="n">
        <f aca="false">IFERROR(SUMIFS('📥 원재료 입고'!E$4:E$400,'📥 원재료 입고'!B$4:B$400,B52,'📥 원재료 입고'!D$4:D$400,"위탁공급"),"")</f>
        <v>0</v>
      </c>
      <c r="F52" s="64" t="n">
        <f aca="false">SUMIFS('📦 일일 생산 입력'!BB$5:BB$505,'📦 일일 생산 입력'!$B$5:$B$505,"&gt;="&amp;DATE(2026,1,1))</f>
        <v>0</v>
      </c>
      <c r="G52" s="63" t="n">
        <f aca="false">IFERROR(MAX('📊 월별 원료수불부'!C52+C52-F52,0),"")</f>
        <v>0</v>
      </c>
      <c r="H52" s="13" t="str">
        <f aca="false">IFERROR(IF(G51="","—",IF(G51&lt;0,"🚨 부족",IF(G51&lt;5,"⚠️ 부족임박","✅ 정상"))),"—")</f>
        <v>⚠️ 부족임박</v>
      </c>
      <c r="I52" s="16"/>
    </row>
    <row r="53" customFormat="false" ht="18" hidden="false" customHeight="true" outlineLevel="0" collapsed="false">
      <c r="A53" s="17" t="n">
        <v>49</v>
      </c>
      <c r="B53" s="65" t="s">
        <v>102</v>
      </c>
      <c r="C53" s="63" t="n">
        <f aca="false">IFERROR(SUMIFS('📥 원재료 입고'!E$4:E$400,'📥 원재료 입고'!B$4:B$400,B53),0)</f>
        <v>0</v>
      </c>
      <c r="D53" s="62" t="n">
        <f aca="false">IFERROR(SUMIFS('📥 원재료 입고'!E$4:E$400,'📥 원재료 입고'!B$4:B$400,B53,'📥 원재료 입고'!D$4:D$400,"자체구매"),"")</f>
        <v>0</v>
      </c>
      <c r="E53" s="61" t="n">
        <f aca="false">IFERROR(SUMIFS('📥 원재료 입고'!E$4:E$400,'📥 원재료 입고'!B$4:B$400,B53,'📥 원재료 입고'!D$4:D$400,"위탁공급"),"")</f>
        <v>0</v>
      </c>
      <c r="F53" s="64" t="n">
        <f aca="false">SUMIFS('📦 일일 생산 입력'!BC$5:BC$505,'📦 일일 생산 입력'!$B$5:$B$505,"&gt;="&amp;DATE(2026,1,1))</f>
        <v>0</v>
      </c>
      <c r="G53" s="63" t="n">
        <f aca="false">IFERROR(MAX('📊 월별 원료수불부'!C53+C53-F53,0),"")</f>
        <v>0</v>
      </c>
      <c r="H53" s="17" t="str">
        <f aca="false">IFERROR(IF(G52="","—",IF(G52&lt;0,"🚨 부족",IF(G52&lt;5,"⚠️ 부족임박","✅ 정상"))),"—")</f>
        <v>⚠️ 부족임박</v>
      </c>
      <c r="I53" s="19"/>
    </row>
    <row r="54" customFormat="false" ht="18" hidden="false" customHeight="true" outlineLevel="0" collapsed="false">
      <c r="A54" s="13" t="n">
        <v>50</v>
      </c>
      <c r="B54" s="18" t="s">
        <v>103</v>
      </c>
      <c r="C54" s="63" t="n">
        <f aca="false">IFERROR(SUMIFS('📥 원재료 입고'!E$4:E$400,'📥 원재료 입고'!B$4:B$400,B54),0)</f>
        <v>0</v>
      </c>
      <c r="D54" s="62" t="n">
        <f aca="false">IFERROR(SUMIFS('📥 원재료 입고'!E$4:E$400,'📥 원재료 입고'!B$4:B$400,B54,'📥 원재료 입고'!D$4:D$400,"자체구매"),"")</f>
        <v>0</v>
      </c>
      <c r="E54" s="61" t="n">
        <f aca="false">IFERROR(SUMIFS('📥 원재료 입고'!E$4:E$400,'📥 원재료 입고'!B$4:B$400,B54,'📥 원재료 입고'!D$4:D$400,"위탁공급"),"")</f>
        <v>0</v>
      </c>
      <c r="F54" s="64" t="n">
        <f aca="false">SUMIFS('📦 일일 생산 입력'!BD$5:BD$505,'📦 일일 생산 입력'!$B$5:$B$505,"&gt;="&amp;DATE(2026,1,1))</f>
        <v>0</v>
      </c>
      <c r="G54" s="63" t="n">
        <f aca="false">IFERROR(MAX('📊 월별 원료수불부'!C54+C54-F54,0),"")</f>
        <v>0</v>
      </c>
      <c r="H54" s="13" t="str">
        <f aca="false">IFERROR(IF(G53="","—",IF(G53&lt;0,"🚨 부족",IF(G53&lt;5,"⚠️ 부족임박","✅ 정상"))),"—")</f>
        <v>⚠️ 부족임박</v>
      </c>
      <c r="I54" s="16"/>
    </row>
    <row r="55" customFormat="false" ht="18" hidden="false" customHeight="true" outlineLevel="0" collapsed="false">
      <c r="A55" s="17" t="n">
        <v>51</v>
      </c>
      <c r="B55" s="65" t="s">
        <v>104</v>
      </c>
      <c r="C55" s="63" t="n">
        <f aca="false">IFERROR(SUMIFS('📥 원재료 입고'!E$4:E$400,'📥 원재료 입고'!B$4:B$400,B55),0)</f>
        <v>24</v>
      </c>
      <c r="D55" s="62" t="n">
        <f aca="false">IFERROR(SUMIFS('📥 원재료 입고'!E$4:E$400,'📥 원재료 입고'!B$4:B$400,B55,'📥 원재료 입고'!D$4:D$400,"자체구매"),"")</f>
        <v>24</v>
      </c>
      <c r="E55" s="61" t="n">
        <f aca="false">IFERROR(SUMIFS('📥 원재료 입고'!E$4:E$400,'📥 원재료 입고'!B$4:B$400,B55,'📥 원재료 입고'!D$4:D$400,"위탁공급"),"")</f>
        <v>0</v>
      </c>
      <c r="F55" s="64" t="n">
        <f aca="false">SUMIFS('📦 일일 생산 입력'!BE$5:BE$505,'📦 일일 생산 입력'!$B$5:$B$505,"&gt;="&amp;DATE(2026,1,1))</f>
        <v>58</v>
      </c>
      <c r="G55" s="63" t="n">
        <f aca="false">IFERROR(MAX('📊 월별 원료수불부'!C55+C55-F55,0),"")</f>
        <v>0</v>
      </c>
      <c r="H55" s="17" t="str">
        <f aca="false">IFERROR(IF(G54="","—",IF(G54&lt;0,"🚨 부족",IF(G54&lt;5,"⚠️ 부족임박","✅ 정상"))),"—")</f>
        <v>⚠️ 부족임박</v>
      </c>
      <c r="I55" s="19"/>
    </row>
    <row r="56" customFormat="false" ht="18" hidden="false" customHeight="true" outlineLevel="0" collapsed="false">
      <c r="A56" s="13" t="n">
        <v>52</v>
      </c>
      <c r="B56" s="18" t="s">
        <v>105</v>
      </c>
      <c r="C56" s="63" t="n">
        <f aca="false">IFERROR(SUMIFS('📥 원재료 입고'!E$4:E$400,'📥 원재료 입고'!B$4:B$400,B56),0)</f>
        <v>0</v>
      </c>
      <c r="D56" s="62" t="n">
        <f aca="false">IFERROR(SUMIFS('📥 원재료 입고'!E$4:E$400,'📥 원재료 입고'!B$4:B$400,B56,'📥 원재료 입고'!D$4:D$400,"자체구매"),"")</f>
        <v>0</v>
      </c>
      <c r="E56" s="61" t="n">
        <f aca="false">IFERROR(SUMIFS('📥 원재료 입고'!E$4:E$400,'📥 원재료 입고'!B$4:B$400,B56,'📥 원재료 입고'!D$4:D$400,"위탁공급"),"")</f>
        <v>0</v>
      </c>
      <c r="F56" s="64" t="n">
        <f aca="false">SUMIFS('📦 일일 생산 입력'!BF$5:BF$505,'📦 일일 생산 입력'!$B$5:$B$505,"&gt;="&amp;DATE(2026,1,1))</f>
        <v>2</v>
      </c>
      <c r="G56" s="63" t="n">
        <f aca="false">IFERROR(MAX('📊 월별 원료수불부'!C56+C56-F56,0),"")</f>
        <v>9.15</v>
      </c>
      <c r="H56" s="13" t="str">
        <f aca="false">IFERROR(IF(G55="","—",IF(G55&lt;0,"🚨 부족",IF(G55&lt;5,"⚠️ 부족임박","✅ 정상"))),"—")</f>
        <v>⚠️ 부족임박</v>
      </c>
      <c r="I56" s="16"/>
    </row>
    <row r="57" customFormat="false" ht="18" hidden="false" customHeight="true" outlineLevel="0" collapsed="false">
      <c r="A57" s="17" t="n">
        <v>53</v>
      </c>
      <c r="B57" s="65" t="s">
        <v>106</v>
      </c>
      <c r="C57" s="63" t="n">
        <f aca="false">IFERROR(SUMIFS('📥 원재료 입고'!E$4:E$400,'📥 원재료 입고'!B$4:B$400,B57),0)</f>
        <v>0</v>
      </c>
      <c r="D57" s="62" t="n">
        <f aca="false">IFERROR(SUMIFS('📥 원재료 입고'!E$4:E$400,'📥 원재료 입고'!B$4:B$400,B57,'📥 원재료 입고'!D$4:D$400,"자체구매"),"")</f>
        <v>0</v>
      </c>
      <c r="E57" s="61" t="n">
        <f aca="false">IFERROR(SUMIFS('📥 원재료 입고'!E$4:E$400,'📥 원재료 입고'!B$4:B$400,B57,'📥 원재료 입고'!D$4:D$400,"위탁공급"),"")</f>
        <v>0</v>
      </c>
      <c r="F57" s="64" t="n">
        <f aca="false">SUMIFS('📦 일일 생산 입력'!BG$5:BG$505,'📦 일일 생산 입력'!$B$5:$B$505,"&gt;="&amp;DATE(2026,1,1))</f>
        <v>0</v>
      </c>
      <c r="G57" s="63" t="n">
        <f aca="false">IFERROR(MAX('📊 월별 원료수불부'!C57+C57-F57,0),"")</f>
        <v>0</v>
      </c>
      <c r="H57" s="17" t="str">
        <f aca="false">IFERROR(IF(G56="","—",IF(G56&lt;0,"🚨 부족",IF(G56&lt;5,"⚠️ 부족임박","✅ 정상"))),"—")</f>
        <v>✅ 정상</v>
      </c>
      <c r="I57" s="19"/>
    </row>
    <row r="58" customFormat="false" ht="18" hidden="false" customHeight="true" outlineLevel="0" collapsed="false">
      <c r="A58" s="13" t="n">
        <v>54</v>
      </c>
      <c r="B58" s="18" t="s">
        <v>107</v>
      </c>
      <c r="C58" s="63" t="n">
        <f aca="false">IFERROR(SUMIFS('📥 원재료 입고'!E$4:E$400,'📥 원재료 입고'!B$4:B$400,B58),0)</f>
        <v>1</v>
      </c>
      <c r="D58" s="62" t="n">
        <f aca="false">IFERROR(SUMIFS('📥 원재료 입고'!E$4:E$400,'📥 원재료 입고'!B$4:B$400,B58,'📥 원재료 입고'!D$4:D$400,"자체구매"),"")</f>
        <v>1</v>
      </c>
      <c r="E58" s="61" t="n">
        <f aca="false">IFERROR(SUMIFS('📥 원재료 입고'!E$4:E$400,'📥 원재료 입고'!B$4:B$400,B58,'📥 원재료 입고'!D$4:D$400,"위탁공급"),"")</f>
        <v>0</v>
      </c>
      <c r="F58" s="64" t="n">
        <f aca="false">SUMIFS('📦 일일 생산 입력'!BH$5:BH$505,'📦 일일 생산 입력'!$B$5:$B$505,"&gt;="&amp;DATE(2026,1,1))</f>
        <v>12</v>
      </c>
      <c r="G58" s="63" t="n">
        <f aca="false">IFERROR(MAX('📊 월별 원료수불부'!C58+C58-F58,0),"")</f>
        <v>0</v>
      </c>
      <c r="H58" s="13" t="str">
        <f aca="false">IFERROR(IF(G57="","—",IF(G57&lt;0,"🚨 부족",IF(G57&lt;5,"⚠️ 부족임박","✅ 정상"))),"—")</f>
        <v>⚠️ 부족임박</v>
      </c>
      <c r="I58" s="16"/>
    </row>
    <row r="59" customFormat="false" ht="18" hidden="false" customHeight="true" outlineLevel="0" collapsed="false">
      <c r="A59" s="17" t="n">
        <v>55</v>
      </c>
      <c r="B59" s="65" t="s">
        <v>108</v>
      </c>
      <c r="C59" s="63" t="n">
        <f aca="false">IFERROR(SUMIFS('📥 원재료 입고'!E$4:E$400,'📥 원재료 입고'!B$4:B$400,B59),0)</f>
        <v>660</v>
      </c>
      <c r="D59" s="62" t="n">
        <f aca="false">IFERROR(SUMIFS('📥 원재료 입고'!E$4:E$400,'📥 원재료 입고'!B$4:B$400,B59,'📥 원재료 입고'!D$4:D$400,"자체구매"),"")</f>
        <v>160</v>
      </c>
      <c r="E59" s="61" t="n">
        <f aca="false">IFERROR(SUMIFS('📥 원재료 입고'!E$4:E$400,'📥 원재료 입고'!B$4:B$400,B59,'📥 원재료 입고'!D$4:D$400,"위탁공급"),"")</f>
        <v>500</v>
      </c>
      <c r="F59" s="64" t="n">
        <f aca="false">SUMIFS('📦 일일 생산 입력'!BI$5:BI$505,'📦 일일 생산 입력'!$B$5:$B$505,"&gt;="&amp;DATE(2026,1,1))</f>
        <v>53</v>
      </c>
      <c r="G59" s="63" t="n">
        <f aca="false">IFERROR(MAX('📊 월별 원료수불부'!C59+C59-F59,0),"")</f>
        <v>607</v>
      </c>
      <c r="H59" s="17" t="str">
        <f aca="false">IFERROR(IF(G58="","—",IF(G58&lt;0,"🚨 부족",IF(G58&lt;5,"⚠️ 부족임박","✅ 정상"))),"—")</f>
        <v>⚠️ 부족임박</v>
      </c>
      <c r="I59" s="19"/>
    </row>
    <row r="60" customFormat="false" ht="18" hidden="false" customHeight="true" outlineLevel="0" collapsed="false">
      <c r="A60" s="13" t="n">
        <v>56</v>
      </c>
      <c r="B60" s="18" t="s">
        <v>109</v>
      </c>
      <c r="C60" s="63" t="n">
        <f aca="false">IFERROR(SUMIFS('📥 원재료 입고'!E$4:E$400,'📥 원재료 입고'!B$4:B$400,B60),0)</f>
        <v>0</v>
      </c>
      <c r="D60" s="62" t="n">
        <f aca="false">IFERROR(SUMIFS('📥 원재료 입고'!E$4:E$400,'📥 원재료 입고'!B$4:B$400,B60,'📥 원재료 입고'!D$4:D$400,"자체구매"),"")</f>
        <v>0</v>
      </c>
      <c r="E60" s="61" t="n">
        <f aca="false">IFERROR(SUMIFS('📥 원재료 입고'!E$4:E$400,'📥 원재료 입고'!B$4:B$400,B60,'📥 원재료 입고'!D$4:D$400,"위탁공급"),"")</f>
        <v>0</v>
      </c>
      <c r="F60" s="64" t="n">
        <f aca="false">SUMIFS('📦 일일 생산 입력'!BJ$5:BJ$505,'📦 일일 생산 입력'!$B$5:$B$505,"&gt;="&amp;DATE(2026,1,1))</f>
        <v>1</v>
      </c>
      <c r="G60" s="63" t="n">
        <f aca="false">IFERROR(MAX('📊 월별 원료수불부'!C60+C60-F60,0),"")</f>
        <v>3.24</v>
      </c>
      <c r="H60" s="13" t="str">
        <f aca="false">IFERROR(IF(G59="","—",IF(G59&lt;0,"🚨 부족",IF(G59&lt;5,"⚠️ 부족임박","✅ 정상"))),"—")</f>
        <v>✅ 정상</v>
      </c>
      <c r="I60" s="16"/>
    </row>
    <row r="61" customFormat="false" ht="18" hidden="false" customHeight="true" outlineLevel="0" collapsed="false">
      <c r="A61" s="17" t="n">
        <v>57</v>
      </c>
      <c r="B61" s="65" t="s">
        <v>110</v>
      </c>
      <c r="C61" s="63" t="n">
        <f aca="false">IFERROR(SUMIFS('📥 원재료 입고'!E$4:E$400,'📥 원재료 입고'!B$4:B$400,B61),0)</f>
        <v>0</v>
      </c>
      <c r="D61" s="62" t="n">
        <f aca="false">IFERROR(SUMIFS('📥 원재료 입고'!E$4:E$400,'📥 원재료 입고'!B$4:B$400,B61,'📥 원재료 입고'!D$4:D$400,"자체구매"),"")</f>
        <v>0</v>
      </c>
      <c r="E61" s="61" t="n">
        <f aca="false">IFERROR(SUMIFS('📥 원재료 입고'!E$4:E$400,'📥 원재료 입고'!B$4:B$400,B61,'📥 원재료 입고'!D$4:D$400,"위탁공급"),"")</f>
        <v>0</v>
      </c>
      <c r="F61" s="64" t="n">
        <f aca="false">SUMIFS('📦 일일 생산 입력'!BK$5:BK$505,'📦 일일 생산 입력'!$B$5:$B$505,"&gt;="&amp;DATE(2026,1,1))</f>
        <v>32</v>
      </c>
      <c r="G61" s="63" t="n">
        <f aca="false">IFERROR(MAX('📊 월별 원료수불부'!C61+C61-F61,0),"")</f>
        <v>0</v>
      </c>
      <c r="H61" s="17" t="str">
        <f aca="false">IFERROR(IF(G60="","—",IF(G60&lt;0,"🚨 부족",IF(G60&lt;5,"⚠️ 부족임박","✅ 정상"))),"—")</f>
        <v>⚠️ 부족임박</v>
      </c>
      <c r="I61" s="19"/>
    </row>
    <row r="62" customFormat="false" ht="18" hidden="false" customHeight="true" outlineLevel="0" collapsed="false">
      <c r="A62" s="13" t="n">
        <v>58</v>
      </c>
      <c r="B62" s="18" t="s">
        <v>111</v>
      </c>
      <c r="C62" s="63" t="n">
        <f aca="false">IFERROR(SUMIFS('📥 원재료 입고'!E$4:E$400,'📥 원재료 입고'!B$4:B$400,B62),0)</f>
        <v>8</v>
      </c>
      <c r="D62" s="62" t="n">
        <f aca="false">IFERROR(SUMIFS('📥 원재료 입고'!E$4:E$400,'📥 원재료 입고'!B$4:B$400,B62,'📥 원재료 입고'!D$4:D$400,"자체구매"),"")</f>
        <v>8</v>
      </c>
      <c r="E62" s="61" t="n">
        <f aca="false">IFERROR(SUMIFS('📥 원재료 입고'!E$4:E$400,'📥 원재료 입고'!B$4:B$400,B62,'📥 원재료 입고'!D$4:D$400,"위탁공급"),"")</f>
        <v>0</v>
      </c>
      <c r="F62" s="64" t="n">
        <f aca="false">SUMIFS('📦 일일 생산 입력'!BL$5:BL$505,'📦 일일 생산 입력'!$B$5:$B$505,"&gt;="&amp;DATE(2026,1,1))</f>
        <v>0</v>
      </c>
      <c r="G62" s="63" t="n">
        <f aca="false">IFERROR(MAX('📊 월별 원료수불부'!C62+C62-F62,0),"")</f>
        <v>8</v>
      </c>
      <c r="H62" s="13" t="str">
        <f aca="false">IFERROR(IF(G61="","—",IF(G61&lt;0,"🚨 부족",IF(G61&lt;5,"⚠️ 부족임박","✅ 정상"))),"—")</f>
        <v>⚠️ 부족임박</v>
      </c>
      <c r="I62" s="16"/>
    </row>
    <row r="63" customFormat="false" ht="18" hidden="false" customHeight="true" outlineLevel="0" collapsed="false">
      <c r="A63" s="17" t="n">
        <v>59</v>
      </c>
      <c r="B63" s="65" t="s">
        <v>112</v>
      </c>
      <c r="C63" s="63" t="n">
        <f aca="false">IFERROR(SUMIFS('📥 원재료 입고'!E$4:E$400,'📥 원재료 입고'!B$4:B$400,B63),0)</f>
        <v>0</v>
      </c>
      <c r="D63" s="62" t="n">
        <f aca="false">IFERROR(SUMIFS('📥 원재료 입고'!E$4:E$400,'📥 원재료 입고'!B$4:B$400,B63,'📥 원재료 입고'!D$4:D$400,"자체구매"),"")</f>
        <v>0</v>
      </c>
      <c r="E63" s="61" t="n">
        <f aca="false">IFERROR(SUMIFS('📥 원재료 입고'!E$4:E$400,'📥 원재료 입고'!B$4:B$400,B63,'📥 원재료 입고'!D$4:D$400,"위탁공급"),"")</f>
        <v>0</v>
      </c>
      <c r="F63" s="64" t="n">
        <f aca="false">SUMIFS('📦 일일 생산 입력'!BM$5:BM$505,'📦 일일 생산 입력'!$B$5:$B$505,"&gt;="&amp;DATE(2026,1,1))</f>
        <v>5</v>
      </c>
      <c r="G63" s="63" t="n">
        <f aca="false">IFERROR(MAX('📊 월별 원료수불부'!C63+C63-F63,0),"")</f>
        <v>0.17</v>
      </c>
      <c r="H63" s="17" t="str">
        <f aca="false">IFERROR(IF(G62="","—",IF(G62&lt;0,"🚨 부족",IF(G62&lt;5,"⚠️ 부족임박","✅ 정상"))),"—")</f>
        <v>✅ 정상</v>
      </c>
      <c r="I63" s="19"/>
    </row>
    <row r="64" customFormat="false" ht="18" hidden="false" customHeight="true" outlineLevel="0" collapsed="false">
      <c r="A64" s="13" t="n">
        <v>60</v>
      </c>
      <c r="B64" s="18" t="s">
        <v>113</v>
      </c>
      <c r="C64" s="63" t="n">
        <f aca="false">IFERROR(SUMIFS('📥 원재료 입고'!E$4:E$400,'📥 원재료 입고'!B$4:B$400,B64),0)</f>
        <v>0</v>
      </c>
      <c r="D64" s="62" t="n">
        <f aca="false">IFERROR(SUMIFS('📥 원재료 입고'!E$4:E$400,'📥 원재료 입고'!B$4:B$400,B64,'📥 원재료 입고'!D$4:D$400,"자체구매"),"")</f>
        <v>0</v>
      </c>
      <c r="E64" s="61" t="n">
        <f aca="false">IFERROR(SUMIFS('📥 원재료 입고'!E$4:E$400,'📥 원재료 입고'!B$4:B$400,B64,'📥 원재료 입고'!D$4:D$400,"위탁공급"),"")</f>
        <v>0</v>
      </c>
      <c r="F64" s="64" t="n">
        <f aca="false">SUMIFS('📦 일일 생산 입력'!BN$5:BN$505,'📦 일일 생산 입력'!$B$5:$B$505,"&gt;="&amp;DATE(2026,1,1))</f>
        <v>2729</v>
      </c>
      <c r="G64" s="63" t="n">
        <f aca="false">IFERROR(MAX('📊 월별 원료수불부'!C64+C64-F64,0),"")</f>
        <v>0</v>
      </c>
      <c r="H64" s="13" t="str">
        <f aca="false">IFERROR(IF(G63="","—",IF(G63&lt;0,"🚨 부족",IF(G63&lt;5,"⚠️ 부족임박","✅ 정상"))),"—")</f>
        <v>⚠️ 부족임박</v>
      </c>
      <c r="I64" s="16"/>
    </row>
    <row r="65" customFormat="false" ht="18" hidden="false" customHeight="true" outlineLevel="0" collapsed="false">
      <c r="A65" s="17" t="n">
        <v>61</v>
      </c>
      <c r="B65" s="65" t="s">
        <v>114</v>
      </c>
      <c r="C65" s="63" t="n">
        <f aca="false">IFERROR(SUMIFS('📥 원재료 입고'!E$4:E$400,'📥 원재료 입고'!B$4:B$400,B65),0)</f>
        <v>6</v>
      </c>
      <c r="D65" s="62" t="n">
        <f aca="false">IFERROR(SUMIFS('📥 원재료 입고'!E$4:E$400,'📥 원재료 입고'!B$4:B$400,B65,'📥 원재료 입고'!D$4:D$400,"자체구매"),"")</f>
        <v>6</v>
      </c>
      <c r="E65" s="61" t="n">
        <f aca="false">IFERROR(SUMIFS('📥 원재료 입고'!E$4:E$400,'📥 원재료 입고'!B$4:B$400,B65,'📥 원재료 입고'!D$4:D$400,"위탁공급"),"")</f>
        <v>0</v>
      </c>
      <c r="F65" s="64" t="n">
        <f aca="false">SUMIFS('📦 일일 생산 입력'!BO$5:BO$505,'📦 일일 생산 입력'!$B$5:$B$505,"&gt;="&amp;DATE(2026,1,1))</f>
        <v>7</v>
      </c>
      <c r="G65" s="63" t="n">
        <f aca="false">IFERROR(MAX('📊 월별 원료수불부'!C65+C65-F65,0),"")</f>
        <v>1.49</v>
      </c>
      <c r="H65" s="17" t="str">
        <f aca="false">IFERROR(IF(G64="","—",IF(G64&lt;0,"🚨 부족",IF(G64&lt;5,"⚠️ 부족임박","✅ 정상"))),"—")</f>
        <v>⚠️ 부족임박</v>
      </c>
      <c r="I65" s="19"/>
    </row>
    <row r="66" customFormat="false" ht="18" hidden="false" customHeight="true" outlineLevel="0" collapsed="false">
      <c r="A66" s="13" t="n">
        <v>62</v>
      </c>
      <c r="B66" s="18" t="s">
        <v>115</v>
      </c>
      <c r="C66" s="63" t="n">
        <f aca="false">IFERROR(SUMIFS('📥 원재료 입고'!E$4:E$400,'📥 원재료 입고'!B$4:B$400,B66),0)</f>
        <v>740</v>
      </c>
      <c r="D66" s="62" t="n">
        <f aca="false">IFERROR(SUMIFS('📥 원재료 입고'!E$4:E$400,'📥 원재료 입고'!B$4:B$400,B66,'📥 원재료 입고'!D$4:D$400,"자체구매"),"")</f>
        <v>740</v>
      </c>
      <c r="E66" s="61" t="n">
        <f aca="false">IFERROR(SUMIFS('📥 원재료 입고'!E$4:E$400,'📥 원재료 입고'!B$4:B$400,B66,'📥 원재료 입고'!D$4:D$400,"위탁공급"),"")</f>
        <v>0</v>
      </c>
      <c r="F66" s="64" t="n">
        <f aca="false">SUMIFS('📦 일일 생산 입력'!BP$5:BP$505,'📦 일일 생산 입력'!$B$5:$B$505,"&gt;="&amp;DATE(2026,1,1))</f>
        <v>631</v>
      </c>
      <c r="G66" s="63" t="n">
        <f aca="false">IFERROR(MAX('📊 월별 원료수불부'!C66+C66-F66,0),"")</f>
        <v>109</v>
      </c>
      <c r="H66" s="13" t="str">
        <f aca="false">IFERROR(IF(G65="","—",IF(G65&lt;0,"🚨 부족",IF(G65&lt;5,"⚠️ 부족임박","✅ 정상"))),"—")</f>
        <v>⚠️ 부족임박</v>
      </c>
      <c r="I66" s="16"/>
    </row>
    <row r="67" customFormat="false" ht="18" hidden="false" customHeight="true" outlineLevel="0" collapsed="false">
      <c r="A67" s="17" t="n">
        <v>63</v>
      </c>
      <c r="B67" s="65" t="s">
        <v>116</v>
      </c>
      <c r="C67" s="63" t="n">
        <f aca="false">IFERROR(SUMIFS('📥 원재료 입고'!E$4:E$400,'📥 원재료 입고'!B$4:B$400,B67),0)</f>
        <v>9000</v>
      </c>
      <c r="D67" s="62" t="n">
        <f aca="false">IFERROR(SUMIFS('📥 원재료 입고'!E$4:E$400,'📥 원재료 입고'!B$4:B$400,B67,'📥 원재료 입고'!D$4:D$400,"자체구매"),"")</f>
        <v>0</v>
      </c>
      <c r="E67" s="61" t="n">
        <f aca="false">IFERROR(SUMIFS('📥 원재료 입고'!E$4:E$400,'📥 원재료 입고'!B$4:B$400,B67,'📥 원재료 입고'!D$4:D$400,"위탁공급"),"")</f>
        <v>9000</v>
      </c>
      <c r="F67" s="64" t="n">
        <f aca="false">SUMIFS('📦 일일 생산 입력'!BQ$5:BQ$505,'📦 일일 생산 입력'!$B$5:$B$505,"&gt;="&amp;DATE(2026,1,1))</f>
        <v>8909</v>
      </c>
      <c r="G67" s="63" t="n">
        <f aca="false">IFERROR(MAX('📊 월별 원료수불부'!C67+C67-F67,0),"")</f>
        <v>91</v>
      </c>
      <c r="H67" s="17" t="str">
        <f aca="false">IFERROR(IF(G66="","—",IF(G66&lt;0,"🚨 부족",IF(G66&lt;5,"⚠️ 부족임박","✅ 정상"))),"—")</f>
        <v>✅ 정상</v>
      </c>
      <c r="I67" s="19"/>
    </row>
    <row r="68" customFormat="false" ht="18" hidden="false" customHeight="true" outlineLevel="0" collapsed="false">
      <c r="A68" s="13" t="n">
        <v>64</v>
      </c>
      <c r="B68" s="18" t="s">
        <v>117</v>
      </c>
      <c r="C68" s="63" t="n">
        <f aca="false">IFERROR(SUMIFS('📥 원재료 입고'!E$4:E$400,'📥 원재료 입고'!B$4:B$400,B68),0)</f>
        <v>0</v>
      </c>
      <c r="D68" s="62" t="n">
        <f aca="false">IFERROR(SUMIFS('📥 원재료 입고'!E$4:E$400,'📥 원재료 입고'!B$4:B$400,B68,'📥 원재료 입고'!D$4:D$400,"자체구매"),"")</f>
        <v>0</v>
      </c>
      <c r="E68" s="61" t="n">
        <f aca="false">IFERROR(SUMIFS('📥 원재료 입고'!E$4:E$400,'📥 원재료 입고'!B$4:B$400,B68,'📥 원재료 입고'!D$4:D$400,"위탁공급"),"")</f>
        <v>0</v>
      </c>
      <c r="F68" s="64" t="n">
        <f aca="false">SUMIFS('📦 일일 생산 입력'!BR$5:BR$505,'📦 일일 생산 입력'!$B$5:$B$505,"&gt;="&amp;DATE(2026,1,1))</f>
        <v>1</v>
      </c>
      <c r="G68" s="63" t="n">
        <f aca="false">IFERROR(MAX('📊 월별 원료수불부'!C68+C68-F68,0),"")</f>
        <v>0</v>
      </c>
      <c r="H68" s="13" t="str">
        <f aca="false">IFERROR(IF(G67="","—",IF(G67&lt;0,"🚨 부족",IF(G67&lt;5,"⚠️ 부족임박","✅ 정상"))),"—")</f>
        <v>✅ 정상</v>
      </c>
      <c r="I68" s="16"/>
    </row>
    <row r="69" customFormat="false" ht="18" hidden="false" customHeight="true" outlineLevel="0" collapsed="false">
      <c r="A69" s="17" t="n">
        <v>65</v>
      </c>
      <c r="B69" s="65" t="s">
        <v>118</v>
      </c>
      <c r="C69" s="63" t="n">
        <f aca="false">IFERROR(SUMIFS('📥 원재료 입고'!E$4:E$400,'📥 원재료 입고'!B$4:B$400,B69),0)</f>
        <v>220</v>
      </c>
      <c r="D69" s="62" t="n">
        <f aca="false">IFERROR(SUMIFS('📥 원재료 입고'!E$4:E$400,'📥 원재료 입고'!B$4:B$400,B69,'📥 원재료 입고'!D$4:D$400,"자체구매"),"")</f>
        <v>220</v>
      </c>
      <c r="E69" s="61" t="n">
        <f aca="false">IFERROR(SUMIFS('📥 원재료 입고'!E$4:E$400,'📥 원재료 입고'!B$4:B$400,B69,'📥 원재료 입고'!D$4:D$400,"위탁공급"),"")</f>
        <v>0</v>
      </c>
      <c r="F69" s="64" t="n">
        <f aca="false">SUMIFS('📦 일일 생산 입력'!BS$5:BS$505,'📦 일일 생산 입력'!$B$5:$B$505,"&gt;="&amp;DATE(2026,1,1))</f>
        <v>782</v>
      </c>
      <c r="G69" s="63" t="n">
        <f aca="false">IFERROR(MAX('📊 월별 원료수불부'!C69+C69-F69,0),"")</f>
        <v>0</v>
      </c>
      <c r="H69" s="17" t="str">
        <f aca="false">IFERROR(IF(G68="","—",IF(G68&lt;0,"🚨 부족",IF(G68&lt;5,"⚠️ 부족임박","✅ 정상"))),"—")</f>
        <v>⚠️ 부족임박</v>
      </c>
      <c r="I69" s="19"/>
    </row>
    <row r="70" customFormat="false" ht="18" hidden="false" customHeight="true" outlineLevel="0" collapsed="false">
      <c r="A70" s="13" t="n">
        <v>66</v>
      </c>
      <c r="B70" s="18" t="s">
        <v>119</v>
      </c>
      <c r="C70" s="63" t="n">
        <f aca="false">IFERROR(SUMIFS('📥 원재료 입고'!E$4:E$400,'📥 원재료 입고'!B$4:B$400,B70),0)</f>
        <v>0</v>
      </c>
      <c r="D70" s="62" t="n">
        <f aca="false">IFERROR(SUMIFS('📥 원재료 입고'!E$4:E$400,'📥 원재료 입고'!B$4:B$400,B70,'📥 원재료 입고'!D$4:D$400,"자체구매"),"")</f>
        <v>0</v>
      </c>
      <c r="E70" s="61" t="n">
        <f aca="false">IFERROR(SUMIFS('📥 원재료 입고'!E$4:E$400,'📥 원재료 입고'!B$4:B$400,B70,'📥 원재료 입고'!D$4:D$400,"위탁공급"),"")</f>
        <v>0</v>
      </c>
      <c r="F70" s="64" t="n">
        <f aca="false">SUMIFS('📦 일일 생산 입력'!BT$5:BT$505,'📦 일일 생산 입력'!$B$5:$B$505,"&gt;="&amp;DATE(2026,1,1))</f>
        <v>0</v>
      </c>
      <c r="G70" s="63" t="n">
        <f aca="false">IFERROR(MAX('📊 월별 원료수불부'!C70+C70-F70,0),"")</f>
        <v>13</v>
      </c>
      <c r="H70" s="13" t="str">
        <f aca="false">IFERROR(IF(G69="","—",IF(G69&lt;0,"🚨 부족",IF(G69&lt;5,"⚠️ 부족임박","✅ 정상"))),"—")</f>
        <v>⚠️ 부족임박</v>
      </c>
      <c r="I70" s="16"/>
    </row>
    <row r="71" customFormat="false" ht="18" hidden="false" customHeight="true" outlineLevel="0" collapsed="false">
      <c r="A71" s="17" t="n">
        <v>67</v>
      </c>
      <c r="B71" s="65" t="s">
        <v>120</v>
      </c>
      <c r="C71" s="63" t="n">
        <f aca="false">IFERROR(SUMIFS('📥 원재료 입고'!E$4:E$400,'📥 원재료 입고'!B$4:B$400,B71),0)</f>
        <v>10820</v>
      </c>
      <c r="D71" s="62" t="n">
        <f aca="false">IFERROR(SUMIFS('📥 원재료 입고'!E$4:E$400,'📥 원재료 입고'!B$4:B$400,B71,'📥 원재료 입고'!D$4:D$400,"자체구매"),"")</f>
        <v>820</v>
      </c>
      <c r="E71" s="61" t="n">
        <f aca="false">IFERROR(SUMIFS('📥 원재료 입고'!E$4:E$400,'📥 원재료 입고'!B$4:B$400,B71,'📥 원재료 입고'!D$4:D$400,"위탁공급"),"")</f>
        <v>10000</v>
      </c>
      <c r="F71" s="64" t="n">
        <f aca="false">SUMIFS('📦 일일 생산 입력'!BU$5:BU$505,'📦 일일 생산 입력'!$B$5:$B$505,"&gt;="&amp;DATE(2026,1,1))</f>
        <v>20707</v>
      </c>
      <c r="G71" s="63" t="n">
        <f aca="false">IFERROR(MAX('📊 월별 원료수불부'!C71+C71-F71,0),"")</f>
        <v>0</v>
      </c>
      <c r="H71" s="17" t="str">
        <f aca="false">IFERROR(IF(G70="","—",IF(G70&lt;0,"🚨 부족",IF(G70&lt;5,"⚠️ 부족임박","✅ 정상"))),"—")</f>
        <v>✅ 정상</v>
      </c>
      <c r="I71" s="19"/>
    </row>
    <row r="72" customFormat="false" ht="18" hidden="false" customHeight="true" outlineLevel="0" collapsed="false">
      <c r="A72" s="13" t="n">
        <v>68</v>
      </c>
      <c r="B72" s="18" t="s">
        <v>121</v>
      </c>
      <c r="C72" s="63" t="n">
        <f aca="false">IFERROR(SUMIFS('📥 원재료 입고'!E$4:E$400,'📥 원재료 입고'!B$4:B$400,B72),0)</f>
        <v>580</v>
      </c>
      <c r="D72" s="62" t="n">
        <f aca="false">IFERROR(SUMIFS('📥 원재료 입고'!E$4:E$400,'📥 원재료 입고'!B$4:B$400,B72,'📥 원재료 입고'!D$4:D$400,"자체구매"),"")</f>
        <v>480</v>
      </c>
      <c r="E72" s="61" t="n">
        <f aca="false">IFERROR(SUMIFS('📥 원재료 입고'!E$4:E$400,'📥 원재료 입고'!B$4:B$400,B72,'📥 원재료 입고'!D$4:D$400,"위탁공급"),"")</f>
        <v>100</v>
      </c>
      <c r="F72" s="64" t="n">
        <f aca="false">SUMIFS('📦 일일 생산 입력'!BV$5:BV$505,'📦 일일 생산 입력'!$B$5:$B$505,"&gt;="&amp;DATE(2026,1,1))</f>
        <v>837</v>
      </c>
      <c r="G72" s="63" t="n">
        <f aca="false">IFERROR(MAX('📊 월별 원료수불부'!C72+C72-F72,0),"")</f>
        <v>0</v>
      </c>
      <c r="H72" s="13" t="str">
        <f aca="false">IFERROR(IF(G71="","—",IF(G71&lt;0,"🚨 부족",IF(G71&lt;5,"⚠️ 부족임박","✅ 정상"))),"—")</f>
        <v>⚠️ 부족임박</v>
      </c>
      <c r="I72" s="16"/>
    </row>
    <row r="73" customFormat="false" ht="18" hidden="false" customHeight="true" outlineLevel="0" collapsed="false">
      <c r="A73" s="17" t="n">
        <v>69</v>
      </c>
      <c r="B73" s="65" t="s">
        <v>122</v>
      </c>
      <c r="C73" s="63" t="n">
        <f aca="false">IFERROR(SUMIFS('📥 원재료 입고'!E$4:E$400,'📥 원재료 입고'!B$4:B$400,B73),0)</f>
        <v>80</v>
      </c>
      <c r="D73" s="62" t="n">
        <f aca="false">IFERROR(SUMIFS('📥 원재료 입고'!E$4:E$400,'📥 원재료 입고'!B$4:B$400,B73,'📥 원재료 입고'!D$4:D$400,"자체구매"),"")</f>
        <v>80</v>
      </c>
      <c r="E73" s="61" t="n">
        <f aca="false">IFERROR(SUMIFS('📥 원재료 입고'!E$4:E$400,'📥 원재료 입고'!B$4:B$400,B73,'📥 원재료 입고'!D$4:D$400,"위탁공급"),"")</f>
        <v>0</v>
      </c>
      <c r="F73" s="64" t="n">
        <f aca="false">SUMIFS('📦 일일 생산 입력'!BW$5:BW$505,'📦 일일 생산 입력'!$B$5:$B$505,"&gt;="&amp;DATE(2026,1,1))</f>
        <v>140</v>
      </c>
      <c r="G73" s="63" t="n">
        <f aca="false">IFERROR(MAX('📊 월별 원료수불부'!C73+C73-F73,0),"")</f>
        <v>0</v>
      </c>
      <c r="H73" s="17" t="str">
        <f aca="false">IFERROR(IF(G72="","—",IF(G72&lt;0,"🚨 부족",IF(G72&lt;5,"⚠️ 부족임박","✅ 정상"))),"—")</f>
        <v>⚠️ 부족임박</v>
      </c>
      <c r="I73" s="19"/>
    </row>
    <row r="74" customFormat="false" ht="18" hidden="false" customHeight="true" outlineLevel="0" collapsed="false">
      <c r="A74" s="13" t="n">
        <v>70</v>
      </c>
      <c r="B74" s="18" t="s">
        <v>123</v>
      </c>
      <c r="C74" s="63" t="n">
        <f aca="false">IFERROR(SUMIFS('📥 원재료 입고'!E$4:E$400,'📥 원재료 입고'!B$4:B$400,B74),0)</f>
        <v>0</v>
      </c>
      <c r="D74" s="62" t="n">
        <f aca="false">IFERROR(SUMIFS('📥 원재료 입고'!E$4:E$400,'📥 원재료 입고'!B$4:B$400,B74,'📥 원재료 입고'!D$4:D$400,"자체구매"),"")</f>
        <v>0</v>
      </c>
      <c r="E74" s="61" t="n">
        <f aca="false">IFERROR(SUMIFS('📥 원재료 입고'!E$4:E$400,'📥 원재료 입고'!B$4:B$400,B74,'📥 원재료 입고'!D$4:D$400,"위탁공급"),"")</f>
        <v>0</v>
      </c>
      <c r="F74" s="64" t="n">
        <f aca="false">SUMIFS('📦 일일 생산 입력'!BX$5:BX$505,'📦 일일 생산 입력'!$B$5:$B$505,"&gt;="&amp;DATE(2026,1,1))</f>
        <v>16</v>
      </c>
      <c r="G74" s="63" t="n">
        <f aca="false">IFERROR(MAX('📊 월별 원료수불부'!C74+C74-F74,0),"")</f>
        <v>8.03</v>
      </c>
      <c r="H74" s="13" t="str">
        <f aca="false">IFERROR(IF(G73="","—",IF(G73&lt;0,"🚨 부족",IF(G73&lt;5,"⚠️ 부족임박","✅ 정상"))),"—")</f>
        <v>⚠️ 부족임박</v>
      </c>
      <c r="I74" s="16"/>
    </row>
    <row r="75" customFormat="false" ht="18" hidden="false" customHeight="true" outlineLevel="0" collapsed="false">
      <c r="A75" s="17" t="n">
        <v>71</v>
      </c>
      <c r="B75" s="65" t="s">
        <v>124</v>
      </c>
      <c r="C75" s="63" t="n">
        <f aca="false">IFERROR(SUMIFS('📥 원재료 입고'!E$4:E$400,'📥 원재료 입고'!B$4:B$400,B75),0)</f>
        <v>90</v>
      </c>
      <c r="D75" s="62" t="n">
        <f aca="false">IFERROR(SUMIFS('📥 원재료 입고'!E$4:E$400,'📥 원재료 입고'!B$4:B$400,B75,'📥 원재료 입고'!D$4:D$400,"자체구매"),"")</f>
        <v>0</v>
      </c>
      <c r="E75" s="61" t="n">
        <f aca="false">IFERROR(SUMIFS('📥 원재료 입고'!E$4:E$400,'📥 원재료 입고'!B$4:B$400,B75,'📥 원재료 입고'!D$4:D$400,"위탁공급"),"")</f>
        <v>90</v>
      </c>
      <c r="F75" s="64" t="n">
        <f aca="false">SUMIFS('📦 일일 생산 입력'!BY$5:BY$505,'📦 일일 생산 입력'!$B$5:$B$505,"&gt;="&amp;DATE(2026,1,1))</f>
        <v>15</v>
      </c>
      <c r="G75" s="63" t="n">
        <f aca="false">IFERROR(MAX('📊 월별 원료수불부'!C75+C75-F75,0),"")</f>
        <v>93.24</v>
      </c>
      <c r="H75" s="17" t="str">
        <f aca="false">IFERROR(IF(G74="","—",IF(G74&lt;0,"🚨 부족",IF(G74&lt;5,"⚠️ 부족임박","✅ 정상"))),"—")</f>
        <v>✅ 정상</v>
      </c>
      <c r="I75" s="19"/>
    </row>
    <row r="76" customFormat="false" ht="18" hidden="false" customHeight="true" outlineLevel="0" collapsed="false">
      <c r="A76" s="13" t="n">
        <v>72</v>
      </c>
      <c r="B76" s="18" t="s">
        <v>125</v>
      </c>
      <c r="C76" s="63" t="n">
        <f aca="false">IFERROR(SUMIFS('📥 원재료 입고'!E$4:E$400,'📥 원재료 입고'!B$4:B$400,B76),0)</f>
        <v>16</v>
      </c>
      <c r="D76" s="62" t="n">
        <f aca="false">IFERROR(SUMIFS('📥 원재료 입고'!E$4:E$400,'📥 원재료 입고'!B$4:B$400,B76,'📥 원재료 입고'!D$4:D$400,"자체구매"),"")</f>
        <v>16</v>
      </c>
      <c r="E76" s="61" t="n">
        <f aca="false">IFERROR(SUMIFS('📥 원재료 입고'!E$4:E$400,'📥 원재료 입고'!B$4:B$400,B76,'📥 원재료 입고'!D$4:D$400,"위탁공급"),"")</f>
        <v>0</v>
      </c>
      <c r="F76" s="64" t="n">
        <f aca="false">SUMIFS('📦 일일 생산 입력'!BZ$5:BZ$505,'📦 일일 생산 입력'!$B$5:$B$505,"&gt;="&amp;DATE(2026,1,1))</f>
        <v>3</v>
      </c>
      <c r="G76" s="63" t="n">
        <f aca="false">IFERROR(MAX('📊 월별 원료수불부'!C76+C76-F76,0),"")</f>
        <v>13.93</v>
      </c>
      <c r="H76" s="13" t="str">
        <f aca="false">IFERROR(IF(G75="","—",IF(G75&lt;0,"🚨 부족",IF(G75&lt;5,"⚠️ 부족임박","✅ 정상"))),"—")</f>
        <v>✅ 정상</v>
      </c>
      <c r="I76" s="16"/>
    </row>
    <row r="77" customFormat="false" ht="18" hidden="false" customHeight="true" outlineLevel="0" collapsed="false">
      <c r="A77" s="17" t="n">
        <v>73</v>
      </c>
      <c r="B77" s="65" t="s">
        <v>126</v>
      </c>
      <c r="C77" s="63" t="n">
        <f aca="false">IFERROR(SUMIFS('📥 원재료 입고'!E$4:E$400,'📥 원재료 입고'!B$4:B$400,B77),0)</f>
        <v>0</v>
      </c>
      <c r="D77" s="62" t="n">
        <f aca="false">IFERROR(SUMIFS('📥 원재료 입고'!E$4:E$400,'📥 원재료 입고'!B$4:B$400,B77,'📥 원재료 입고'!D$4:D$400,"자체구매"),"")</f>
        <v>0</v>
      </c>
      <c r="E77" s="61" t="n">
        <f aca="false">IFERROR(SUMIFS('📥 원재료 입고'!E$4:E$400,'📥 원재료 입고'!B$4:B$400,B77,'📥 원재료 입고'!D$4:D$400,"위탁공급"),"")</f>
        <v>0</v>
      </c>
      <c r="F77" s="64" t="n">
        <f aca="false">SUMIFS('📦 일일 생산 입력'!CA$5:CA$505,'📦 일일 생산 입력'!$B$5:$B$505,"&gt;="&amp;DATE(2026,1,1))</f>
        <v>0</v>
      </c>
      <c r="G77" s="63" t="n">
        <f aca="false">IFERROR(MAX('📊 월별 원료수불부'!C77+C77-F77,0),"")</f>
        <v>0</v>
      </c>
      <c r="H77" s="17" t="str">
        <f aca="false">IFERROR(IF(G76="","—",IF(G76&lt;0,"🚨 부족",IF(G76&lt;5,"⚠️ 부족임박","✅ 정상"))),"—")</f>
        <v>✅ 정상</v>
      </c>
      <c r="I77" s="19"/>
    </row>
    <row r="78" customFormat="false" ht="18" hidden="false" customHeight="true" outlineLevel="0" collapsed="false">
      <c r="A78" s="13" t="n">
        <v>74</v>
      </c>
      <c r="B78" s="18" t="s">
        <v>127</v>
      </c>
      <c r="C78" s="63" t="n">
        <f aca="false">IFERROR(SUMIFS('📥 원재료 입고'!E$4:E$400,'📥 원재료 입고'!B$4:B$400,B78),0)</f>
        <v>0</v>
      </c>
      <c r="D78" s="62" t="n">
        <f aca="false">IFERROR(SUMIFS('📥 원재료 입고'!E$4:E$400,'📥 원재료 입고'!B$4:B$400,B78,'📥 원재료 입고'!D$4:D$400,"자체구매"),"")</f>
        <v>0</v>
      </c>
      <c r="E78" s="61" t="n">
        <f aca="false">IFERROR(SUMIFS('📥 원재료 입고'!E$4:E$400,'📥 원재료 입고'!B$4:B$400,B78,'📥 원재료 입고'!D$4:D$400,"위탁공급"),"")</f>
        <v>0</v>
      </c>
      <c r="F78" s="64" t="n">
        <f aca="false">SUMIFS('📦 일일 생산 입력'!CB$5:CB$505,'📦 일일 생산 입력'!$B$5:$B$505,"&gt;="&amp;DATE(2026,1,1))</f>
        <v>0</v>
      </c>
      <c r="G78" s="63" t="n">
        <f aca="false">IFERROR(MAX('📊 월별 원료수불부'!C78+C78-F78,0),"")</f>
        <v>0</v>
      </c>
      <c r="H78" s="13" t="str">
        <f aca="false">IFERROR(IF(G77="","—",IF(G77&lt;0,"🚨 부족",IF(G77&lt;5,"⚠️ 부족임박","✅ 정상"))),"—")</f>
        <v>⚠️ 부족임박</v>
      </c>
      <c r="I78" s="16"/>
    </row>
    <row r="79" customFormat="false" ht="18" hidden="false" customHeight="true" outlineLevel="0" collapsed="false">
      <c r="A79" s="17" t="n">
        <v>75</v>
      </c>
      <c r="B79" s="65" t="s">
        <v>128</v>
      </c>
      <c r="C79" s="63" t="n">
        <f aca="false">IFERROR(SUMIFS('📥 원재료 입고'!E$4:E$400,'📥 원재료 입고'!B$4:B$400,B79),0)</f>
        <v>13.61</v>
      </c>
      <c r="D79" s="62" t="n">
        <f aca="false">IFERROR(SUMIFS('📥 원재료 입고'!E$4:E$400,'📥 원재료 입고'!B$4:B$400,B79,'📥 원재료 입고'!D$4:D$400,"자체구매"),"")</f>
        <v>13.61</v>
      </c>
      <c r="E79" s="61" t="n">
        <f aca="false">IFERROR(SUMIFS('📥 원재료 입고'!E$4:E$400,'📥 원재료 입고'!B$4:B$400,B79,'📥 원재료 입고'!D$4:D$400,"위탁공급"),"")</f>
        <v>0</v>
      </c>
      <c r="F79" s="64" t="n">
        <f aca="false">SUMIFS('📦 일일 생산 입력'!CC$5:CC$505,'📦 일일 생산 입력'!$B$5:$B$505,"&gt;="&amp;DATE(2026,1,1))</f>
        <v>36</v>
      </c>
      <c r="G79" s="63" t="n">
        <f aca="false">IFERROR(MAX('📊 월별 원료수불부'!C79+C79-F79,0),"")</f>
        <v>13.85</v>
      </c>
      <c r="H79" s="17" t="str">
        <f aca="false">IFERROR(IF(G78="","—",IF(G78&lt;0,"🚨 부족",IF(G78&lt;5,"⚠️ 부족임박","✅ 정상"))),"—")</f>
        <v>⚠️ 부족임박</v>
      </c>
      <c r="I79" s="19"/>
    </row>
    <row r="80" customFormat="false" ht="18" hidden="false" customHeight="true" outlineLevel="0" collapsed="false">
      <c r="A80" s="13" t="n">
        <v>76</v>
      </c>
      <c r="B80" s="18" t="s">
        <v>129</v>
      </c>
      <c r="C80" s="63" t="n">
        <f aca="false">IFERROR(SUMIFS('📥 원재료 입고'!E$4:E$400,'📥 원재료 입고'!B$4:B$400,B80),0)</f>
        <v>10</v>
      </c>
      <c r="D80" s="62" t="n">
        <f aca="false">IFERROR(SUMIFS('📥 원재료 입고'!E$4:E$400,'📥 원재료 입고'!B$4:B$400,B80,'📥 원재료 입고'!D$4:D$400,"자체구매"),"")</f>
        <v>10</v>
      </c>
      <c r="E80" s="61" t="n">
        <f aca="false">IFERROR(SUMIFS('📥 원재료 입고'!E$4:E$400,'📥 원재료 입고'!B$4:B$400,B80,'📥 원재료 입고'!D$4:D$400,"위탁공급"),"")</f>
        <v>0</v>
      </c>
      <c r="F80" s="64" t="n">
        <f aca="false">SUMIFS('📦 일일 생산 입력'!CD$5:CD$505,'📦 일일 생산 입력'!$B$5:$B$505,"&gt;="&amp;DATE(2026,1,1))</f>
        <v>3</v>
      </c>
      <c r="G80" s="63" t="n">
        <f aca="false">IFERROR(MAX('📊 월별 원료수불부'!C80+C80-F80,0),"")</f>
        <v>8.48</v>
      </c>
      <c r="H80" s="13" t="str">
        <f aca="false">IFERROR(IF(G79="","—",IF(G79&lt;0,"🚨 부족",IF(G79&lt;5,"⚠️ 부족임박","✅ 정상"))),"—")</f>
        <v>✅ 정상</v>
      </c>
      <c r="I80" s="16"/>
    </row>
    <row r="81" customFormat="false" ht="18" hidden="false" customHeight="true" outlineLevel="0" collapsed="false">
      <c r="A81" s="17" t="n">
        <v>77</v>
      </c>
      <c r="B81" s="65" t="s">
        <v>130</v>
      </c>
      <c r="C81" s="63" t="n">
        <f aca="false">IFERROR(SUMIFS('📥 원재료 입고'!E$4:E$400,'📥 원재료 입고'!B$4:B$400,B81),0)</f>
        <v>432</v>
      </c>
      <c r="D81" s="62" t="n">
        <f aca="false">IFERROR(SUMIFS('📥 원재료 입고'!E$4:E$400,'📥 원재료 입고'!B$4:B$400,B81,'📥 원재료 입고'!D$4:D$400,"자체구매"),"")</f>
        <v>252</v>
      </c>
      <c r="E81" s="61" t="n">
        <f aca="false">IFERROR(SUMIFS('📥 원재료 입고'!E$4:E$400,'📥 원재료 입고'!B$4:B$400,B81,'📥 원재료 입고'!D$4:D$400,"위탁공급"),"")</f>
        <v>180</v>
      </c>
      <c r="F81" s="64" t="n">
        <f aca="false">SUMIFS('📦 일일 생산 입력'!CE$5:CE$505,'📦 일일 생산 입력'!$B$5:$B$505,"&gt;="&amp;DATE(2026,1,1))</f>
        <v>739</v>
      </c>
      <c r="G81" s="63" t="n">
        <f aca="false">IFERROR(MAX('📊 월별 원료수불부'!C81+C81-F81,0),"")</f>
        <v>0</v>
      </c>
      <c r="H81" s="17" t="str">
        <f aca="false">IFERROR(IF(G80="","—",IF(G80&lt;0,"🚨 부족",IF(G80&lt;5,"⚠️ 부족임박","✅ 정상"))),"—")</f>
        <v>✅ 정상</v>
      </c>
      <c r="I81" s="19"/>
    </row>
    <row r="82" customFormat="false" ht="18" hidden="false" customHeight="true" outlineLevel="0" collapsed="false">
      <c r="A82" s="13" t="n">
        <v>78</v>
      </c>
      <c r="B82" s="18" t="s">
        <v>131</v>
      </c>
      <c r="C82" s="63" t="n">
        <f aca="false">IFERROR(SUMIFS('📥 원재료 입고'!E$4:E$400,'📥 원재료 입고'!B$4:B$400,B82),0)</f>
        <v>0</v>
      </c>
      <c r="D82" s="62" t="n">
        <f aca="false">IFERROR(SUMIFS('📥 원재료 입고'!E$4:E$400,'📥 원재료 입고'!B$4:B$400,B82,'📥 원재료 입고'!D$4:D$400,"자체구매"),"")</f>
        <v>0</v>
      </c>
      <c r="E82" s="61" t="n">
        <f aca="false">IFERROR(SUMIFS('📥 원재료 입고'!E$4:E$400,'📥 원재료 입고'!B$4:B$400,B82,'📥 원재료 입고'!D$4:D$400,"위탁공급"),"")</f>
        <v>0</v>
      </c>
      <c r="F82" s="64" t="n">
        <f aca="false">SUMIFS('📦 일일 생산 입력'!CF$5:CF$505,'📦 일일 생산 입력'!$B$5:$B$505,"&gt;="&amp;DATE(2026,1,1))</f>
        <v>0</v>
      </c>
      <c r="G82" s="63" t="n">
        <f aca="false">IFERROR(MAX('📊 월별 원료수불부'!C82+C82-F82,0),"")</f>
        <v>0</v>
      </c>
      <c r="H82" s="13" t="str">
        <f aca="false">IFERROR(IF(G81="","—",IF(G81&lt;0,"🚨 부족",IF(G81&lt;5,"⚠️ 부족임박","✅ 정상"))),"—")</f>
        <v>⚠️ 부족임박</v>
      </c>
      <c r="I82" s="16"/>
    </row>
    <row r="83" customFormat="false" ht="18" hidden="false" customHeight="true" outlineLevel="0" collapsed="false">
      <c r="A83" s="17" t="n">
        <v>79</v>
      </c>
      <c r="B83" s="65" t="s">
        <v>132</v>
      </c>
      <c r="C83" s="63" t="n">
        <f aca="false">IFERROR(SUMIFS('📥 원재료 입고'!E$4:E$400,'📥 원재료 입고'!B$4:B$400,B83),0)</f>
        <v>28</v>
      </c>
      <c r="D83" s="62" t="n">
        <f aca="false">IFERROR(SUMIFS('📥 원재료 입고'!E$4:E$400,'📥 원재료 입고'!B$4:B$400,B83,'📥 원재료 입고'!D$4:D$400,"자체구매"),"")</f>
        <v>28</v>
      </c>
      <c r="E83" s="61" t="n">
        <f aca="false">IFERROR(SUMIFS('📥 원재료 입고'!E$4:E$400,'📥 원재료 입고'!B$4:B$400,B83,'📥 원재료 입고'!D$4:D$400,"위탁공급"),"")</f>
        <v>0</v>
      </c>
      <c r="F83" s="64" t="n">
        <f aca="false">SUMIFS('📦 일일 생산 입력'!CG$5:CG$505,'📦 일일 생산 입력'!$B$5:$B$505,"&gt;="&amp;DATE(2026,1,1))</f>
        <v>45</v>
      </c>
      <c r="G83" s="63" t="n">
        <f aca="false">IFERROR(MAX('📊 월별 원료수불부'!C83+C83-F83,0),"")</f>
        <v>0</v>
      </c>
      <c r="H83" s="17" t="str">
        <f aca="false">IFERROR(IF(G82="","—",IF(G82&lt;0,"🚨 부족",IF(G82&lt;5,"⚠️ 부족임박","✅ 정상"))),"—")</f>
        <v>⚠️ 부족임박</v>
      </c>
      <c r="I83" s="19"/>
    </row>
    <row r="84" customFormat="false" ht="18" hidden="false" customHeight="true" outlineLevel="0" collapsed="false">
      <c r="A84" s="13" t="n">
        <v>80</v>
      </c>
      <c r="B84" s="18" t="s">
        <v>133</v>
      </c>
      <c r="C84" s="63" t="n">
        <f aca="false">IFERROR(SUMIFS('📥 원재료 입고'!E$4:E$400,'📥 원재료 입고'!B$4:B$400,B84),0)</f>
        <v>0</v>
      </c>
      <c r="D84" s="62" t="n">
        <f aca="false">IFERROR(SUMIFS('📥 원재료 입고'!E$4:E$400,'📥 원재료 입고'!B$4:B$400,B84,'📥 원재료 입고'!D$4:D$400,"자체구매"),"")</f>
        <v>0</v>
      </c>
      <c r="E84" s="61" t="n">
        <f aca="false">IFERROR(SUMIFS('📥 원재료 입고'!E$4:E$400,'📥 원재료 입고'!B$4:B$400,B84,'📥 원재료 입고'!D$4:D$400,"위탁공급"),"")</f>
        <v>0</v>
      </c>
      <c r="F84" s="64" t="n">
        <f aca="false">SUMIFS('📦 일일 생산 입력'!CH$5:CH$505,'📦 일일 생산 입력'!$B$5:$B$505,"&gt;="&amp;DATE(2026,1,1))</f>
        <v>9</v>
      </c>
      <c r="G84" s="63" t="n">
        <f aca="false">IFERROR(MAX('📊 월별 원료수불부'!C84+C84-F84,0),"")</f>
        <v>0</v>
      </c>
      <c r="H84" s="13" t="str">
        <f aca="false">IFERROR(IF(G83="","—",IF(G83&lt;0,"🚨 부족",IF(G83&lt;5,"⚠️ 부족임박","✅ 정상"))),"—")</f>
        <v>⚠️ 부족임박</v>
      </c>
      <c r="I84" s="16"/>
    </row>
    <row r="85" customFormat="false" ht="15" hidden="false" customHeight="true" outlineLevel="0" collapsed="false">
      <c r="A85" s="17" t="n">
        <v>81</v>
      </c>
      <c r="B85" s="65" t="s">
        <v>223</v>
      </c>
      <c r="C85" s="63" t="n">
        <f aca="false">IFERROR(SUMIFS('📥 원재료 입고'!E$4:E$400,'📥 원재료 입고'!B$4:B$400,B85),0)</f>
        <v>0</v>
      </c>
      <c r="D85" s="62" t="n">
        <f aca="false">IFERROR(SUMIFS('📥 원재료 입고'!E$4:E$400,'📥 원재료 입고'!B$4:B$400,B85,'📥 원재료 입고'!D$4:D$400,"자체구매"),"")</f>
        <v>0</v>
      </c>
      <c r="E85" s="61" t="n">
        <f aca="false">IFERROR(SUMIFS('📥 원재료 입고'!E$4:E$400,'📥 원재료 입고'!B$4:B$400,B85,'📥 원재료 입고'!D$4:D$400,"위탁공급"),"")</f>
        <v>0</v>
      </c>
      <c r="F85" s="64" t="n">
        <v>0</v>
      </c>
      <c r="G85" s="63" t="n">
        <f aca="false">IFERROR(MAX(0+C85-F85,0),"")</f>
        <v>0</v>
      </c>
      <c r="H85" s="17" t="str">
        <f aca="false">IFERROR(IF(G84="","—",IF(G84&lt;0,"🚨 부족",IF(G84&lt;5,"⚠️ 부족임박","✅ 정상"))),"—")</f>
        <v>⚠️ 부족임박</v>
      </c>
      <c r="I85" s="19"/>
    </row>
    <row r="86" customFormat="false" ht="15" hidden="false" customHeight="true" outlineLevel="0" collapsed="false">
      <c r="A86" s="20"/>
      <c r="B86" s="113"/>
      <c r="C86" s="152"/>
      <c r="D86" s="152"/>
      <c r="E86" s="152"/>
      <c r="F86" s="152"/>
      <c r="G86" s="152"/>
      <c r="H86" s="20"/>
      <c r="I86" s="113"/>
    </row>
    <row r="87" customFormat="false" ht="15" hidden="false" customHeight="true" outlineLevel="0" collapsed="false">
      <c r="A87" s="20"/>
      <c r="B87" s="113"/>
      <c r="C87" s="152"/>
      <c r="D87" s="152"/>
      <c r="E87" s="152"/>
      <c r="F87" s="152"/>
      <c r="G87" s="152"/>
      <c r="H87" s="20"/>
      <c r="I87" s="113"/>
    </row>
    <row r="88" customFormat="false" ht="15" hidden="false" customHeight="true" outlineLevel="0" collapsed="false">
      <c r="A88" s="20"/>
      <c r="B88" s="113"/>
      <c r="C88" s="152"/>
      <c r="D88" s="152"/>
      <c r="E88" s="152"/>
      <c r="F88" s="152"/>
      <c r="G88" s="152"/>
      <c r="H88" s="20"/>
      <c r="I88" s="113"/>
    </row>
  </sheetData>
  <mergeCells count="3">
    <mergeCell ref="A1:I1"/>
    <mergeCell ref="A2:I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</cols>
  <sheetData>
    <row r="1" customFormat="false" ht="15" hidden="false" customHeight="true" outlineLevel="0" collapsed="false">
      <c r="A1" s="153" t="s">
        <v>660</v>
      </c>
      <c r="B1" s="153" t="s">
        <v>140</v>
      </c>
    </row>
    <row r="2" customFormat="false" ht="15" hidden="false" customHeight="true" outlineLevel="0" collapsed="false">
      <c r="A2" s="154" t="s">
        <v>661</v>
      </c>
      <c r="B2" s="155" t="s">
        <v>53</v>
      </c>
    </row>
    <row r="3" customFormat="false" ht="15" hidden="false" customHeight="true" outlineLevel="0" collapsed="false">
      <c r="A3" s="156" t="s">
        <v>142</v>
      </c>
      <c r="B3" s="156" t="s">
        <v>55</v>
      </c>
    </row>
    <row r="4" customFormat="false" ht="15" hidden="false" customHeight="true" outlineLevel="0" collapsed="false">
      <c r="A4" s="155" t="s">
        <v>143</v>
      </c>
      <c r="B4" s="155" t="s">
        <v>56</v>
      </c>
    </row>
    <row r="5" customFormat="false" ht="15" hidden="false" customHeight="true" outlineLevel="0" collapsed="false">
      <c r="A5" s="156" t="s">
        <v>144</v>
      </c>
      <c r="B5" s="156" t="s">
        <v>57</v>
      </c>
    </row>
    <row r="6" customFormat="false" ht="15" hidden="false" customHeight="true" outlineLevel="0" collapsed="false">
      <c r="A6" s="155" t="s">
        <v>145</v>
      </c>
      <c r="B6" s="155" t="s">
        <v>58</v>
      </c>
    </row>
    <row r="7" customFormat="false" ht="15" hidden="false" customHeight="true" outlineLevel="0" collapsed="false">
      <c r="A7" s="156" t="s">
        <v>146</v>
      </c>
      <c r="B7" s="156" t="s">
        <v>59</v>
      </c>
    </row>
    <row r="8" customFormat="false" ht="15" hidden="false" customHeight="true" outlineLevel="0" collapsed="false">
      <c r="A8" s="155" t="s">
        <v>147</v>
      </c>
      <c r="B8" s="155" t="s">
        <v>60</v>
      </c>
    </row>
    <row r="9" customFormat="false" ht="15" hidden="false" customHeight="true" outlineLevel="0" collapsed="false">
      <c r="A9" s="156" t="s">
        <v>148</v>
      </c>
      <c r="B9" s="156" t="s">
        <v>61</v>
      </c>
    </row>
    <row r="10" customFormat="false" ht="15" hidden="false" customHeight="true" outlineLevel="0" collapsed="false">
      <c r="B10" s="156" t="s">
        <v>62</v>
      </c>
    </row>
    <row r="11" customFormat="false" ht="15" hidden="false" customHeight="true" outlineLevel="0" collapsed="false">
      <c r="A11" s="155" t="s">
        <v>149</v>
      </c>
      <c r="B11" s="155" t="s">
        <v>63</v>
      </c>
    </row>
    <row r="12" customFormat="false" ht="15" hidden="false" customHeight="true" outlineLevel="0" collapsed="false">
      <c r="A12" s="156" t="s">
        <v>150</v>
      </c>
      <c r="B12" s="156" t="s">
        <v>64</v>
      </c>
    </row>
    <row r="13" customFormat="false" ht="15" hidden="false" customHeight="true" outlineLevel="0" collapsed="false">
      <c r="A13" s="155" t="s">
        <v>151</v>
      </c>
      <c r="B13" s="155" t="s">
        <v>65</v>
      </c>
    </row>
    <row r="14" customFormat="false" ht="15" hidden="false" customHeight="true" outlineLevel="0" collapsed="false">
      <c r="A14" s="156" t="s">
        <v>152</v>
      </c>
      <c r="B14" s="156" t="s">
        <v>66</v>
      </c>
    </row>
    <row r="15" customFormat="false" ht="15" hidden="false" customHeight="true" outlineLevel="0" collapsed="false">
      <c r="A15" s="155" t="s">
        <v>153</v>
      </c>
      <c r="B15" s="155" t="s">
        <v>67</v>
      </c>
    </row>
    <row r="16" customFormat="false" ht="15" hidden="false" customHeight="true" outlineLevel="0" collapsed="false">
      <c r="A16" s="156" t="s">
        <v>154</v>
      </c>
      <c r="B16" s="156" t="s">
        <v>68</v>
      </c>
    </row>
    <row r="17" customFormat="false" ht="15" hidden="false" customHeight="true" outlineLevel="0" collapsed="false">
      <c r="A17" s="155" t="s">
        <v>155</v>
      </c>
      <c r="B17" s="155" t="s">
        <v>69</v>
      </c>
    </row>
    <row r="18" customFormat="false" ht="15" hidden="false" customHeight="true" outlineLevel="0" collapsed="false">
      <c r="A18" s="156" t="s">
        <v>156</v>
      </c>
      <c r="B18" s="156" t="s">
        <v>70</v>
      </c>
    </row>
    <row r="19" customFormat="false" ht="15" hidden="false" customHeight="true" outlineLevel="0" collapsed="false">
      <c r="A19" s="155" t="s">
        <v>157</v>
      </c>
      <c r="B19" s="155" t="s">
        <v>71</v>
      </c>
    </row>
    <row r="20" customFormat="false" ht="15" hidden="false" customHeight="true" outlineLevel="0" collapsed="false">
      <c r="A20" s="156" t="s">
        <v>158</v>
      </c>
      <c r="B20" s="156" t="s">
        <v>72</v>
      </c>
    </row>
    <row r="21" customFormat="false" ht="15" hidden="false" customHeight="true" outlineLevel="0" collapsed="false">
      <c r="A21" s="155" t="s">
        <v>159</v>
      </c>
      <c r="B21" s="155" t="s">
        <v>73</v>
      </c>
    </row>
    <row r="22" customFormat="false" ht="15" hidden="false" customHeight="true" outlineLevel="0" collapsed="false">
      <c r="A22" s="156" t="s">
        <v>160</v>
      </c>
      <c r="B22" s="156" t="s">
        <v>74</v>
      </c>
    </row>
    <row r="23" customFormat="false" ht="15" hidden="false" customHeight="true" outlineLevel="0" collapsed="false">
      <c r="A23" s="155" t="s">
        <v>161</v>
      </c>
      <c r="B23" s="155" t="s">
        <v>75</v>
      </c>
    </row>
    <row r="24" customFormat="false" ht="15" hidden="false" customHeight="true" outlineLevel="0" collapsed="false">
      <c r="A24" s="156" t="s">
        <v>162</v>
      </c>
      <c r="B24" s="156" t="s">
        <v>76</v>
      </c>
    </row>
    <row r="25" customFormat="false" ht="15" hidden="false" customHeight="true" outlineLevel="0" collapsed="false">
      <c r="A25" s="155" t="s">
        <v>163</v>
      </c>
      <c r="B25" s="155" t="s">
        <v>77</v>
      </c>
    </row>
    <row r="26" customFormat="false" ht="15" hidden="false" customHeight="true" outlineLevel="0" collapsed="false">
      <c r="A26" s="156" t="s">
        <v>164</v>
      </c>
      <c r="B26" s="156" t="s">
        <v>78</v>
      </c>
    </row>
    <row r="27" customFormat="false" ht="15" hidden="false" customHeight="true" outlineLevel="0" collapsed="false">
      <c r="A27" s="155" t="s">
        <v>165</v>
      </c>
      <c r="B27" s="155" t="s">
        <v>79</v>
      </c>
    </row>
    <row r="28" customFormat="false" ht="15" hidden="false" customHeight="true" outlineLevel="0" collapsed="false">
      <c r="A28" s="156" t="s">
        <v>166</v>
      </c>
      <c r="B28" s="156" t="s">
        <v>80</v>
      </c>
    </row>
    <row r="29" customFormat="false" ht="15" hidden="false" customHeight="true" outlineLevel="0" collapsed="false">
      <c r="A29" s="155" t="s">
        <v>167</v>
      </c>
      <c r="B29" s="155" t="s">
        <v>81</v>
      </c>
    </row>
    <row r="30" customFormat="false" ht="15" hidden="false" customHeight="true" outlineLevel="0" collapsed="false">
      <c r="A30" s="156" t="s">
        <v>168</v>
      </c>
      <c r="B30" s="156" t="s">
        <v>82</v>
      </c>
    </row>
    <row r="31" customFormat="false" ht="15" hidden="false" customHeight="true" outlineLevel="0" collapsed="false">
      <c r="A31" s="155" t="s">
        <v>169</v>
      </c>
      <c r="B31" s="155" t="s">
        <v>83</v>
      </c>
    </row>
    <row r="32" customFormat="false" ht="15" hidden="false" customHeight="true" outlineLevel="0" collapsed="false">
      <c r="A32" s="156" t="s">
        <v>170</v>
      </c>
      <c r="B32" s="156" t="s">
        <v>84</v>
      </c>
    </row>
    <row r="33" customFormat="false" ht="15" hidden="false" customHeight="true" outlineLevel="0" collapsed="false">
      <c r="A33" s="155" t="s">
        <v>171</v>
      </c>
      <c r="B33" s="155" t="s">
        <v>85</v>
      </c>
    </row>
    <row r="34" customFormat="false" ht="15" hidden="false" customHeight="true" outlineLevel="0" collapsed="false">
      <c r="A34" s="156" t="s">
        <v>172</v>
      </c>
      <c r="B34" s="156" t="s">
        <v>86</v>
      </c>
    </row>
    <row r="35" customFormat="false" ht="15" hidden="false" customHeight="true" outlineLevel="0" collapsed="false">
      <c r="A35" s="155" t="s">
        <v>173</v>
      </c>
      <c r="B35" s="155" t="s">
        <v>87</v>
      </c>
    </row>
    <row r="36" customFormat="false" ht="15" hidden="false" customHeight="true" outlineLevel="0" collapsed="false">
      <c r="A36" s="156" t="s">
        <v>174</v>
      </c>
      <c r="B36" s="156" t="s">
        <v>88</v>
      </c>
    </row>
    <row r="37" customFormat="false" ht="15" hidden="false" customHeight="true" outlineLevel="0" collapsed="false">
      <c r="A37" s="155" t="s">
        <v>175</v>
      </c>
      <c r="B37" s="155" t="s">
        <v>89</v>
      </c>
    </row>
    <row r="38" customFormat="false" ht="15" hidden="false" customHeight="true" outlineLevel="0" collapsed="false">
      <c r="A38" s="156" t="s">
        <v>176</v>
      </c>
      <c r="B38" s="156" t="s">
        <v>90</v>
      </c>
    </row>
    <row r="39" customFormat="false" ht="15" hidden="false" customHeight="true" outlineLevel="0" collapsed="false">
      <c r="A39" s="155" t="s">
        <v>177</v>
      </c>
      <c r="B39" s="155" t="s">
        <v>91</v>
      </c>
    </row>
    <row r="40" customFormat="false" ht="15" hidden="false" customHeight="true" outlineLevel="0" collapsed="false">
      <c r="A40" s="156" t="s">
        <v>178</v>
      </c>
      <c r="B40" s="156" t="s">
        <v>92</v>
      </c>
    </row>
    <row r="41" customFormat="false" ht="15" hidden="false" customHeight="true" outlineLevel="0" collapsed="false">
      <c r="A41" s="155" t="s">
        <v>179</v>
      </c>
      <c r="B41" s="155" t="s">
        <v>93</v>
      </c>
    </row>
    <row r="42" customFormat="false" ht="15" hidden="false" customHeight="true" outlineLevel="0" collapsed="false">
      <c r="A42" s="156" t="s">
        <v>180</v>
      </c>
      <c r="B42" s="156" t="s">
        <v>94</v>
      </c>
    </row>
    <row r="43" customFormat="false" ht="15" hidden="false" customHeight="true" outlineLevel="0" collapsed="false">
      <c r="A43" s="155" t="s">
        <v>181</v>
      </c>
      <c r="B43" s="155" t="s">
        <v>95</v>
      </c>
    </row>
    <row r="44" customFormat="false" ht="15" hidden="false" customHeight="true" outlineLevel="0" collapsed="false">
      <c r="A44" s="156" t="s">
        <v>182</v>
      </c>
      <c r="B44" s="156" t="s">
        <v>96</v>
      </c>
    </row>
    <row r="45" customFormat="false" ht="15" hidden="false" customHeight="true" outlineLevel="0" collapsed="false">
      <c r="A45" s="155" t="s">
        <v>183</v>
      </c>
      <c r="B45" s="155" t="s">
        <v>97</v>
      </c>
    </row>
    <row r="46" customFormat="false" ht="15" hidden="false" customHeight="true" outlineLevel="0" collapsed="false">
      <c r="A46" s="156" t="s">
        <v>184</v>
      </c>
      <c r="B46" s="156" t="s">
        <v>98</v>
      </c>
    </row>
    <row r="47" customFormat="false" ht="15" hidden="false" customHeight="true" outlineLevel="0" collapsed="false">
      <c r="A47" s="155" t="s">
        <v>185</v>
      </c>
      <c r="B47" s="155" t="s">
        <v>99</v>
      </c>
    </row>
    <row r="48" customFormat="false" ht="15" hidden="false" customHeight="true" outlineLevel="0" collapsed="false">
      <c r="A48" s="156" t="s">
        <v>186</v>
      </c>
      <c r="B48" s="156" t="s">
        <v>100</v>
      </c>
    </row>
    <row r="49" customFormat="false" ht="15" hidden="false" customHeight="true" outlineLevel="0" collapsed="false">
      <c r="A49" s="155" t="s">
        <v>187</v>
      </c>
      <c r="B49" s="155" t="s">
        <v>101</v>
      </c>
    </row>
    <row r="50" customFormat="false" ht="15" hidden="false" customHeight="true" outlineLevel="0" collapsed="false">
      <c r="A50" s="156" t="s">
        <v>188</v>
      </c>
      <c r="B50" s="156" t="s">
        <v>102</v>
      </c>
    </row>
    <row r="51" customFormat="false" ht="15" hidden="false" customHeight="true" outlineLevel="0" collapsed="false">
      <c r="A51" s="155" t="s">
        <v>189</v>
      </c>
      <c r="B51" s="155" t="s">
        <v>103</v>
      </c>
    </row>
    <row r="52" customFormat="false" ht="15" hidden="false" customHeight="true" outlineLevel="0" collapsed="false">
      <c r="A52" s="156" t="s">
        <v>190</v>
      </c>
      <c r="B52" s="156" t="s">
        <v>104</v>
      </c>
    </row>
    <row r="53" customFormat="false" ht="15" hidden="false" customHeight="true" outlineLevel="0" collapsed="false">
      <c r="A53" s="155" t="s">
        <v>191</v>
      </c>
      <c r="B53" s="155" t="s">
        <v>105</v>
      </c>
    </row>
    <row r="54" customFormat="false" ht="15" hidden="false" customHeight="true" outlineLevel="0" collapsed="false">
      <c r="A54" s="156" t="s">
        <v>192</v>
      </c>
      <c r="B54" s="156" t="s">
        <v>106</v>
      </c>
    </row>
    <row r="55" customFormat="false" ht="15" hidden="false" customHeight="true" outlineLevel="0" collapsed="false">
      <c r="A55" s="155" t="s">
        <v>193</v>
      </c>
      <c r="B55" s="155" t="s">
        <v>107</v>
      </c>
    </row>
    <row r="56" customFormat="false" ht="15" hidden="false" customHeight="true" outlineLevel="0" collapsed="false">
      <c r="A56" s="156" t="s">
        <v>194</v>
      </c>
      <c r="B56" s="156" t="s">
        <v>108</v>
      </c>
    </row>
    <row r="57" customFormat="false" ht="15" hidden="false" customHeight="true" outlineLevel="0" collapsed="false">
      <c r="A57" s="155" t="s">
        <v>195</v>
      </c>
      <c r="B57" s="155" t="s">
        <v>109</v>
      </c>
    </row>
    <row r="58" customFormat="false" ht="15" hidden="false" customHeight="true" outlineLevel="0" collapsed="false">
      <c r="A58" s="156" t="s">
        <v>196</v>
      </c>
      <c r="B58" s="156" t="s">
        <v>110</v>
      </c>
    </row>
    <row r="59" customFormat="false" ht="15" hidden="false" customHeight="true" outlineLevel="0" collapsed="false">
      <c r="A59" s="155" t="s">
        <v>197</v>
      </c>
      <c r="B59" s="155" t="s">
        <v>111</v>
      </c>
    </row>
    <row r="60" customFormat="false" ht="15" hidden="false" customHeight="true" outlineLevel="0" collapsed="false">
      <c r="A60" s="156" t="s">
        <v>198</v>
      </c>
      <c r="B60" s="156" t="s">
        <v>112</v>
      </c>
    </row>
    <row r="61" customFormat="false" ht="15" hidden="false" customHeight="true" outlineLevel="0" collapsed="false">
      <c r="A61" s="155" t="s">
        <v>199</v>
      </c>
      <c r="B61" s="155" t="s">
        <v>113</v>
      </c>
    </row>
    <row r="62" customFormat="false" ht="15" hidden="false" customHeight="true" outlineLevel="0" collapsed="false">
      <c r="A62" s="156" t="s">
        <v>200</v>
      </c>
      <c r="B62" s="156" t="s">
        <v>114</v>
      </c>
    </row>
    <row r="63" customFormat="false" ht="15" hidden="false" customHeight="true" outlineLevel="0" collapsed="false">
      <c r="A63" s="155" t="s">
        <v>201</v>
      </c>
      <c r="B63" s="155" t="s">
        <v>115</v>
      </c>
    </row>
    <row r="64" customFormat="false" ht="15" hidden="false" customHeight="true" outlineLevel="0" collapsed="false">
      <c r="A64" s="156" t="s">
        <v>202</v>
      </c>
      <c r="B64" s="156" t="s">
        <v>116</v>
      </c>
    </row>
    <row r="65" customFormat="false" ht="15" hidden="false" customHeight="true" outlineLevel="0" collapsed="false">
      <c r="A65" s="155" t="s">
        <v>203</v>
      </c>
      <c r="B65" s="155" t="s">
        <v>117</v>
      </c>
    </row>
    <row r="66" customFormat="false" ht="15" hidden="false" customHeight="true" outlineLevel="0" collapsed="false">
      <c r="A66" s="156" t="s">
        <v>204</v>
      </c>
      <c r="B66" s="156" t="s">
        <v>118</v>
      </c>
    </row>
    <row r="67" customFormat="false" ht="15" hidden="false" customHeight="true" outlineLevel="0" collapsed="false">
      <c r="A67" s="155" t="s">
        <v>205</v>
      </c>
      <c r="B67" s="155" t="s">
        <v>119</v>
      </c>
    </row>
    <row r="68" customFormat="false" ht="15" hidden="false" customHeight="true" outlineLevel="0" collapsed="false">
      <c r="A68" s="156" t="s">
        <v>206</v>
      </c>
      <c r="B68" s="156" t="s">
        <v>120</v>
      </c>
    </row>
    <row r="69" customFormat="false" ht="15" hidden="false" customHeight="true" outlineLevel="0" collapsed="false">
      <c r="A69" s="155" t="s">
        <v>207</v>
      </c>
      <c r="B69" s="155" t="s">
        <v>121</v>
      </c>
    </row>
    <row r="70" customFormat="false" ht="15" hidden="false" customHeight="true" outlineLevel="0" collapsed="false">
      <c r="A70" s="156" t="s">
        <v>208</v>
      </c>
      <c r="B70" s="156" t="s">
        <v>122</v>
      </c>
    </row>
    <row r="71" customFormat="false" ht="15" hidden="false" customHeight="true" outlineLevel="0" collapsed="false">
      <c r="A71" s="155" t="s">
        <v>209</v>
      </c>
      <c r="B71" s="155" t="s">
        <v>123</v>
      </c>
    </row>
    <row r="72" customFormat="false" ht="15" hidden="false" customHeight="true" outlineLevel="0" collapsed="false">
      <c r="A72" s="156" t="s">
        <v>210</v>
      </c>
      <c r="B72" s="156" t="s">
        <v>124</v>
      </c>
    </row>
    <row r="73" customFormat="false" ht="15" hidden="false" customHeight="true" outlineLevel="0" collapsed="false">
      <c r="A73" s="155" t="s">
        <v>211</v>
      </c>
      <c r="B73" s="155" t="s">
        <v>125</v>
      </c>
    </row>
    <row r="74" customFormat="false" ht="15" hidden="false" customHeight="true" outlineLevel="0" collapsed="false">
      <c r="A74" s="156" t="s">
        <v>212</v>
      </c>
      <c r="B74" s="156" t="s">
        <v>126</v>
      </c>
    </row>
    <row r="75" customFormat="false" ht="15" hidden="false" customHeight="true" outlineLevel="0" collapsed="false">
      <c r="A75" s="155" t="s">
        <v>213</v>
      </c>
      <c r="B75" s="155" t="s">
        <v>127</v>
      </c>
    </row>
    <row r="76" customFormat="false" ht="15" hidden="false" customHeight="true" outlineLevel="0" collapsed="false">
      <c r="A76" s="156" t="s">
        <v>214</v>
      </c>
      <c r="B76" s="156" t="s">
        <v>128</v>
      </c>
    </row>
    <row r="77" customFormat="false" ht="15" hidden="false" customHeight="true" outlineLevel="0" collapsed="false">
      <c r="A77" s="155" t="s">
        <v>215</v>
      </c>
      <c r="B77" s="155" t="s">
        <v>129</v>
      </c>
    </row>
    <row r="78" customFormat="false" ht="15" hidden="false" customHeight="true" outlineLevel="0" collapsed="false">
      <c r="A78" s="156" t="s">
        <v>216</v>
      </c>
      <c r="B78" s="156" t="s">
        <v>130</v>
      </c>
    </row>
    <row r="79" customFormat="false" ht="15" hidden="false" customHeight="true" outlineLevel="0" collapsed="false">
      <c r="A79" s="155" t="s">
        <v>217</v>
      </c>
      <c r="B79" s="155" t="s">
        <v>131</v>
      </c>
    </row>
    <row r="80" customFormat="false" ht="15" hidden="false" customHeight="true" outlineLevel="0" collapsed="false">
      <c r="A80" s="156" t="s">
        <v>218</v>
      </c>
      <c r="B80" s="156" t="s">
        <v>132</v>
      </c>
    </row>
    <row r="81" customFormat="false" ht="15" hidden="false" customHeight="true" outlineLevel="0" collapsed="false">
      <c r="A81" s="155" t="s">
        <v>219</v>
      </c>
      <c r="B81" s="155" t="s">
        <v>133</v>
      </c>
    </row>
    <row r="82" customFormat="false" ht="15" hidden="false" customHeight="true" outlineLevel="0" collapsed="false">
      <c r="A82" s="156" t="s">
        <v>220</v>
      </c>
      <c r="B82" s="156" t="s">
        <v>223</v>
      </c>
    </row>
    <row r="83" customFormat="false" ht="15" hidden="false" customHeight="true" outlineLevel="0" collapsed="false">
      <c r="A83" s="155" t="s">
        <v>220</v>
      </c>
      <c r="B83" s="24" t="s">
        <v>135</v>
      </c>
    </row>
    <row r="84" customFormat="false" ht="15" hidden="false" customHeight="true" outlineLevel="0" collapsed="false">
      <c r="A84" s="24" t="s">
        <v>221</v>
      </c>
      <c r="B84" s="24" t="s">
        <v>136</v>
      </c>
    </row>
    <row r="85" customFormat="false" ht="15" hidden="false" customHeight="true" outlineLevel="0" collapsed="false">
      <c r="A85" s="24" t="s">
        <v>222</v>
      </c>
      <c r="B85" s="24" t="s">
        <v>137</v>
      </c>
    </row>
    <row r="86" customFormat="false" ht="15" hidden="false" customHeight="true" outlineLevel="0" collapsed="false">
      <c r="B86" s="24" t="s">
        <v>138</v>
      </c>
    </row>
    <row r="87" customFormat="false" ht="16.5" hidden="false" customHeight="true" outlineLevel="0" collapsed="false">
      <c r="B87" s="24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25"/>
    <col collapsed="false" customWidth="true" hidden="false" outlineLevel="0" max="7" min="5" style="1" width="12"/>
    <col collapsed="false" customWidth="true" hidden="false" outlineLevel="0" max="8" min="8" style="1" width="15"/>
    <col collapsed="false" customWidth="true" hidden="false" outlineLevel="0" max="9" min="9" style="1" width="30"/>
  </cols>
  <sheetData>
    <row r="1" customFormat="false" ht="34.5" hidden="false" customHeight="true" outlineLevel="0" collapsed="false">
      <c r="A1" s="9" t="s">
        <v>662</v>
      </c>
      <c r="B1" s="9"/>
      <c r="C1" s="9"/>
      <c r="D1" s="9"/>
      <c r="E1" s="9"/>
      <c r="F1" s="9"/>
      <c r="G1" s="9"/>
      <c r="H1" s="9"/>
      <c r="I1" s="9"/>
    </row>
    <row r="2" customFormat="false" ht="13.5" hidden="false" customHeight="true" outlineLevel="0" collapsed="false">
      <c r="A2" s="157" t="s">
        <v>663</v>
      </c>
      <c r="B2" s="157"/>
      <c r="C2" s="157"/>
      <c r="D2" s="157"/>
      <c r="E2" s="157"/>
      <c r="F2" s="157"/>
      <c r="G2" s="157"/>
      <c r="H2" s="157"/>
      <c r="I2" s="157"/>
    </row>
    <row r="3" customFormat="false" ht="30" hidden="false" customHeight="true" outlineLevel="0" collapsed="false">
      <c r="A3" s="12" t="s">
        <v>664</v>
      </c>
      <c r="B3" s="12" t="s">
        <v>391</v>
      </c>
      <c r="C3" s="12" t="s">
        <v>665</v>
      </c>
      <c r="D3" s="12" t="s">
        <v>227</v>
      </c>
      <c r="E3" s="12" t="s">
        <v>666</v>
      </c>
      <c r="F3" s="12" t="s">
        <v>667</v>
      </c>
      <c r="G3" s="12" t="s">
        <v>668</v>
      </c>
      <c r="H3" s="11" t="s">
        <v>229</v>
      </c>
      <c r="I3" s="12" t="s">
        <v>631</v>
      </c>
    </row>
    <row r="4" customFormat="false" ht="15" hidden="false" customHeight="true" outlineLevel="0" collapsed="false">
      <c r="A4" s="144" t="n">
        <v>46008</v>
      </c>
      <c r="B4" s="158" t="s">
        <v>669</v>
      </c>
      <c r="C4" s="159" t="s">
        <v>670</v>
      </c>
      <c r="D4" s="158" t="s">
        <v>155</v>
      </c>
      <c r="E4" s="147" t="n">
        <v>60</v>
      </c>
      <c r="F4" s="147" t="n">
        <v>80</v>
      </c>
      <c r="G4" s="160" t="n">
        <v>4.8</v>
      </c>
      <c r="H4" s="20"/>
      <c r="I4" s="158" t="s">
        <v>671</v>
      </c>
    </row>
    <row r="5" customFormat="false" ht="15" hidden="false" customHeight="true" outlineLevel="0" collapsed="false">
      <c r="A5" s="144" t="n">
        <v>46008</v>
      </c>
      <c r="B5" s="158" t="s">
        <v>669</v>
      </c>
      <c r="C5" s="159" t="s">
        <v>670</v>
      </c>
      <c r="D5" s="158" t="s">
        <v>672</v>
      </c>
      <c r="E5" s="147" t="n">
        <v>1</v>
      </c>
      <c r="F5" s="147"/>
      <c r="G5" s="160" t="n">
        <v>1.8</v>
      </c>
      <c r="H5" s="20"/>
      <c r="I5" s="113"/>
    </row>
    <row r="6" customFormat="false" ht="15" hidden="false" customHeight="true" outlineLevel="0" collapsed="false">
      <c r="A6" s="144" t="n">
        <v>46008</v>
      </c>
      <c r="B6" s="158" t="s">
        <v>669</v>
      </c>
      <c r="C6" s="159" t="s">
        <v>670</v>
      </c>
      <c r="D6" s="158" t="s">
        <v>179</v>
      </c>
      <c r="E6" s="147" t="n">
        <v>1</v>
      </c>
      <c r="F6" s="147" t="n">
        <v>15000</v>
      </c>
      <c r="G6" s="160" t="n">
        <v>15</v>
      </c>
      <c r="H6" s="20"/>
      <c r="I6" s="158" t="s">
        <v>673</v>
      </c>
    </row>
    <row r="7" customFormat="false" ht="15" hidden="false" customHeight="true" outlineLevel="0" collapsed="false">
      <c r="A7" s="144" t="n">
        <v>46008</v>
      </c>
      <c r="B7" s="158" t="s">
        <v>669</v>
      </c>
      <c r="C7" s="159" t="s">
        <v>670</v>
      </c>
      <c r="D7" s="158" t="s">
        <v>183</v>
      </c>
      <c r="E7" s="147" t="n">
        <v>20</v>
      </c>
      <c r="F7" s="147" t="n">
        <v>60</v>
      </c>
      <c r="G7" s="160" t="n">
        <v>1.2</v>
      </c>
      <c r="H7" s="20"/>
      <c r="I7" s="158" t="s">
        <v>674</v>
      </c>
    </row>
    <row r="8" customFormat="false" ht="15" hidden="false" customHeight="true" outlineLevel="0" collapsed="false">
      <c r="A8" s="144" t="n">
        <v>46008</v>
      </c>
      <c r="B8" s="158" t="s">
        <v>669</v>
      </c>
      <c r="C8" s="159" t="s">
        <v>670</v>
      </c>
      <c r="D8" s="158" t="s">
        <v>204</v>
      </c>
      <c r="E8" s="147" t="n">
        <v>60</v>
      </c>
      <c r="F8" s="147" t="n">
        <v>60</v>
      </c>
      <c r="G8" s="160" t="n">
        <v>3.6</v>
      </c>
      <c r="H8" s="20"/>
      <c r="I8" s="158" t="s">
        <v>675</v>
      </c>
    </row>
    <row r="9" customFormat="false" ht="15" hidden="false" customHeight="true" outlineLevel="0" collapsed="false">
      <c r="A9" s="144" t="n">
        <v>46008</v>
      </c>
      <c r="B9" s="158" t="s">
        <v>669</v>
      </c>
      <c r="C9" s="159" t="s">
        <v>670</v>
      </c>
      <c r="D9" s="158" t="s">
        <v>206</v>
      </c>
      <c r="E9" s="147" t="n">
        <v>2</v>
      </c>
      <c r="F9" s="147" t="n">
        <v>15000</v>
      </c>
      <c r="G9" s="160" t="n">
        <v>30</v>
      </c>
      <c r="H9" s="20"/>
      <c r="I9" s="158" t="s">
        <v>676</v>
      </c>
    </row>
    <row r="10" customFormat="false" ht="15" hidden="false" customHeight="true" outlineLevel="0" collapsed="false">
      <c r="A10" s="144" t="n">
        <v>46008</v>
      </c>
      <c r="B10" s="158" t="s">
        <v>669</v>
      </c>
      <c r="C10" s="159" t="s">
        <v>670</v>
      </c>
      <c r="D10" s="158" t="s">
        <v>206</v>
      </c>
      <c r="E10" s="147" t="n">
        <v>1</v>
      </c>
      <c r="F10" s="147" t="n">
        <v>1800</v>
      </c>
      <c r="G10" s="160" t="n">
        <v>1.8</v>
      </c>
      <c r="H10" s="20"/>
      <c r="I10" s="158" t="s">
        <v>672</v>
      </c>
    </row>
    <row r="11" customFormat="false" ht="15" hidden="false" customHeight="true" outlineLevel="0" collapsed="false">
      <c r="A11" s="144" t="n">
        <v>46008</v>
      </c>
      <c r="B11" s="158" t="s">
        <v>669</v>
      </c>
      <c r="C11" s="159" t="s">
        <v>670</v>
      </c>
      <c r="D11" s="158" t="s">
        <v>676</v>
      </c>
      <c r="E11" s="147" t="n">
        <v>1</v>
      </c>
      <c r="F11" s="147"/>
      <c r="G11" s="160" t="n">
        <v>30</v>
      </c>
      <c r="H11" s="20"/>
      <c r="I11" s="113"/>
    </row>
    <row r="12" customFormat="false" ht="15" hidden="false" customHeight="true" outlineLevel="0" collapsed="false">
      <c r="A12" s="144" t="n">
        <v>46008</v>
      </c>
      <c r="B12" s="158" t="s">
        <v>669</v>
      </c>
      <c r="C12" s="159" t="s">
        <v>670</v>
      </c>
      <c r="D12" s="158" t="s">
        <v>673</v>
      </c>
      <c r="E12" s="147" t="n">
        <v>1</v>
      </c>
      <c r="F12" s="147"/>
      <c r="G12" s="160" t="n">
        <v>15</v>
      </c>
      <c r="H12" s="20"/>
      <c r="I12" s="113"/>
    </row>
    <row r="13" customFormat="false" ht="15" hidden="false" customHeight="true" outlineLevel="0" collapsed="false">
      <c r="A13" s="144" t="n">
        <v>46016</v>
      </c>
      <c r="B13" s="158" t="s">
        <v>669</v>
      </c>
      <c r="C13" s="159" t="s">
        <v>670</v>
      </c>
      <c r="D13" s="158" t="s">
        <v>155</v>
      </c>
      <c r="E13" s="147" t="n">
        <v>60</v>
      </c>
      <c r="F13" s="147" t="n">
        <v>80</v>
      </c>
      <c r="G13" s="160" t="n">
        <v>4.8</v>
      </c>
      <c r="H13" s="20"/>
      <c r="I13" s="158" t="s">
        <v>671</v>
      </c>
    </row>
    <row r="14" customFormat="false" ht="15" hidden="false" customHeight="true" outlineLevel="0" collapsed="false">
      <c r="A14" s="144" t="n">
        <v>46016</v>
      </c>
      <c r="B14" s="158" t="s">
        <v>669</v>
      </c>
      <c r="C14" s="159" t="s">
        <v>670</v>
      </c>
      <c r="D14" s="158" t="s">
        <v>677</v>
      </c>
      <c r="E14" s="147" t="n">
        <v>1</v>
      </c>
      <c r="F14" s="147"/>
      <c r="G14" s="160" t="n">
        <v>5.4</v>
      </c>
      <c r="H14" s="20"/>
      <c r="I14" s="113"/>
    </row>
    <row r="15" customFormat="false" ht="15" hidden="false" customHeight="true" outlineLevel="0" collapsed="false">
      <c r="A15" s="144" t="n">
        <v>46016</v>
      </c>
      <c r="B15" s="158" t="s">
        <v>669</v>
      </c>
      <c r="C15" s="159" t="s">
        <v>670</v>
      </c>
      <c r="D15" s="158" t="s">
        <v>678</v>
      </c>
      <c r="E15" s="147" t="n">
        <v>1</v>
      </c>
      <c r="F15" s="147"/>
      <c r="G15" s="160" t="n">
        <v>3.6</v>
      </c>
      <c r="H15" s="20"/>
      <c r="I15" s="113"/>
    </row>
    <row r="16" customFormat="false" ht="15" hidden="false" customHeight="true" outlineLevel="0" collapsed="false">
      <c r="A16" s="144" t="n">
        <v>46016</v>
      </c>
      <c r="B16" s="158" t="s">
        <v>669</v>
      </c>
      <c r="C16" s="159" t="s">
        <v>670</v>
      </c>
      <c r="D16" s="158" t="s">
        <v>221</v>
      </c>
      <c r="E16" s="147" t="n">
        <v>3</v>
      </c>
      <c r="F16" s="147" t="n">
        <v>40</v>
      </c>
      <c r="G16" s="160" t="n">
        <v>0.12</v>
      </c>
      <c r="H16" s="20"/>
      <c r="I16" s="158" t="s">
        <v>221</v>
      </c>
    </row>
    <row r="17" customFormat="false" ht="15" hidden="false" customHeight="true" outlineLevel="0" collapsed="false">
      <c r="A17" s="144" t="n">
        <v>46016</v>
      </c>
      <c r="B17" s="158" t="s">
        <v>669</v>
      </c>
      <c r="C17" s="159" t="s">
        <v>670</v>
      </c>
      <c r="D17" s="158" t="s">
        <v>221</v>
      </c>
      <c r="E17" s="147" t="n">
        <v>1</v>
      </c>
      <c r="F17" s="147"/>
      <c r="G17" s="160" t="n">
        <v>2.4</v>
      </c>
      <c r="H17" s="20"/>
      <c r="I17" s="113"/>
    </row>
    <row r="18" customFormat="false" ht="15" hidden="false" customHeight="true" outlineLevel="0" collapsed="false">
      <c r="A18" s="144" t="n">
        <v>46016</v>
      </c>
      <c r="B18" s="158" t="s">
        <v>669</v>
      </c>
      <c r="C18" s="159" t="s">
        <v>670</v>
      </c>
      <c r="D18" s="158" t="s">
        <v>204</v>
      </c>
      <c r="E18" s="147" t="n">
        <v>60</v>
      </c>
      <c r="F18" s="147" t="n">
        <v>60</v>
      </c>
      <c r="G18" s="160" t="n">
        <v>3.6</v>
      </c>
      <c r="H18" s="20"/>
      <c r="I18" s="158" t="s">
        <v>678</v>
      </c>
    </row>
    <row r="19" customFormat="false" ht="15" hidden="false" customHeight="true" outlineLevel="0" collapsed="false">
      <c r="A19" s="144" t="n">
        <v>46016</v>
      </c>
      <c r="B19" s="158" t="s">
        <v>669</v>
      </c>
      <c r="C19" s="159" t="s">
        <v>670</v>
      </c>
      <c r="D19" s="158" t="s">
        <v>206</v>
      </c>
      <c r="E19" s="147" t="n">
        <v>3</v>
      </c>
      <c r="F19" s="147" t="n">
        <v>1800</v>
      </c>
      <c r="G19" s="160" t="n">
        <v>5.4</v>
      </c>
      <c r="H19" s="20"/>
      <c r="I19" s="158" t="s">
        <v>677</v>
      </c>
    </row>
    <row r="20" customFormat="false" ht="15" hidden="false" customHeight="true" outlineLevel="0" collapsed="false">
      <c r="A20" s="144" t="n">
        <v>46024</v>
      </c>
      <c r="B20" s="113"/>
      <c r="C20" s="159" t="s">
        <v>679</v>
      </c>
      <c r="D20" s="158" t="s">
        <v>142</v>
      </c>
      <c r="E20" s="147" t="n">
        <v>3</v>
      </c>
      <c r="F20" s="147" t="n">
        <v>50</v>
      </c>
      <c r="G20" s="160" t="n">
        <v>3</v>
      </c>
      <c r="H20" s="20"/>
      <c r="I20" s="158" t="s">
        <v>680</v>
      </c>
    </row>
    <row r="21" customFormat="false" ht="15" hidden="false" customHeight="true" outlineLevel="0" collapsed="false">
      <c r="A21" s="144" t="n">
        <v>46024</v>
      </c>
      <c r="B21" s="113"/>
      <c r="C21" s="159" t="s">
        <v>679</v>
      </c>
      <c r="D21" s="158" t="s">
        <v>142</v>
      </c>
      <c r="E21" s="147" t="n">
        <v>10</v>
      </c>
      <c r="F21" s="147" t="n">
        <v>50</v>
      </c>
      <c r="G21" s="160" t="n">
        <v>0.5</v>
      </c>
      <c r="H21" s="20"/>
      <c r="I21" s="158" t="s">
        <v>681</v>
      </c>
    </row>
    <row r="22" customFormat="false" ht="15" hidden="false" customHeight="true" outlineLevel="0" collapsed="false">
      <c r="A22" s="144" t="n">
        <v>46024</v>
      </c>
      <c r="B22" s="113"/>
      <c r="C22" s="159" t="s">
        <v>679</v>
      </c>
      <c r="D22" s="158" t="s">
        <v>143</v>
      </c>
      <c r="E22" s="147" t="n">
        <v>2</v>
      </c>
      <c r="F22" s="147" t="n">
        <v>50</v>
      </c>
      <c r="G22" s="160" t="n">
        <v>2</v>
      </c>
      <c r="H22" s="20"/>
      <c r="I22" s="158" t="s">
        <v>682</v>
      </c>
    </row>
    <row r="23" customFormat="false" ht="15" hidden="false" customHeight="true" outlineLevel="0" collapsed="false">
      <c r="A23" s="144" t="n">
        <v>46024</v>
      </c>
      <c r="B23" s="113"/>
      <c r="C23" s="159" t="s">
        <v>679</v>
      </c>
      <c r="D23" s="158" t="s">
        <v>143</v>
      </c>
      <c r="E23" s="147" t="n">
        <v>2</v>
      </c>
      <c r="F23" s="147" t="n">
        <v>50</v>
      </c>
      <c r="G23" s="160" t="n">
        <v>4</v>
      </c>
      <c r="H23" s="20"/>
      <c r="I23" s="158" t="s">
        <v>683</v>
      </c>
    </row>
    <row r="24" customFormat="false" ht="15" hidden="false" customHeight="true" outlineLevel="0" collapsed="false">
      <c r="A24" s="144" t="n">
        <v>46024</v>
      </c>
      <c r="B24" s="113"/>
      <c r="C24" s="159" t="s">
        <v>679</v>
      </c>
      <c r="D24" s="158" t="s">
        <v>143</v>
      </c>
      <c r="E24" s="147" t="n">
        <v>5</v>
      </c>
      <c r="F24" s="147" t="n">
        <v>50</v>
      </c>
      <c r="G24" s="160" t="n">
        <v>0.25</v>
      </c>
      <c r="H24" s="20"/>
      <c r="I24" s="158" t="s">
        <v>684</v>
      </c>
    </row>
    <row r="25" customFormat="false" ht="15" hidden="false" customHeight="true" outlineLevel="0" collapsed="false">
      <c r="A25" s="144" t="n">
        <v>46024</v>
      </c>
      <c r="B25" s="113"/>
      <c r="C25" s="159" t="s">
        <v>679</v>
      </c>
      <c r="D25" s="158" t="s">
        <v>144</v>
      </c>
      <c r="E25" s="147" t="n">
        <v>4</v>
      </c>
      <c r="F25" s="147" t="n">
        <v>1000</v>
      </c>
      <c r="G25" s="160" t="n">
        <v>8</v>
      </c>
      <c r="H25" s="20"/>
      <c r="I25" s="158" t="s">
        <v>685</v>
      </c>
    </row>
    <row r="26" customFormat="false" ht="15" hidden="false" customHeight="true" outlineLevel="0" collapsed="false">
      <c r="A26" s="144" t="n">
        <v>46024</v>
      </c>
      <c r="B26" s="113"/>
      <c r="C26" s="159" t="s">
        <v>679</v>
      </c>
      <c r="D26" s="158" t="s">
        <v>145</v>
      </c>
      <c r="E26" s="147" t="n">
        <v>5</v>
      </c>
      <c r="F26" s="147" t="n">
        <v>50</v>
      </c>
      <c r="G26" s="160" t="n">
        <v>0.25</v>
      </c>
      <c r="H26" s="20"/>
      <c r="I26" s="158" t="s">
        <v>684</v>
      </c>
    </row>
    <row r="27" customFormat="false" ht="15" hidden="false" customHeight="true" outlineLevel="0" collapsed="false">
      <c r="A27" s="144" t="n">
        <v>46024</v>
      </c>
      <c r="B27" s="113"/>
      <c r="C27" s="159" t="s">
        <v>679</v>
      </c>
      <c r="D27" s="158" t="s">
        <v>146</v>
      </c>
      <c r="E27" s="147" t="n">
        <v>10</v>
      </c>
      <c r="F27" s="147" t="n">
        <v>50</v>
      </c>
      <c r="G27" s="160" t="n">
        <v>0.5</v>
      </c>
      <c r="H27" s="20"/>
      <c r="I27" s="158" t="s">
        <v>681</v>
      </c>
    </row>
    <row r="28" customFormat="false" ht="15" hidden="false" customHeight="true" outlineLevel="0" collapsed="false">
      <c r="A28" s="144" t="n">
        <v>46024</v>
      </c>
      <c r="B28" s="113"/>
      <c r="C28" s="159" t="s">
        <v>679</v>
      </c>
      <c r="D28" s="158" t="s">
        <v>147</v>
      </c>
      <c r="E28" s="147" t="n">
        <v>10</v>
      </c>
      <c r="F28" s="147" t="n">
        <v>50</v>
      </c>
      <c r="G28" s="160" t="n">
        <v>0.5</v>
      </c>
      <c r="H28" s="20"/>
      <c r="I28" s="158" t="s">
        <v>681</v>
      </c>
    </row>
    <row r="29" customFormat="false" ht="15" hidden="false" customHeight="true" outlineLevel="0" collapsed="false">
      <c r="A29" s="144" t="n">
        <v>46024</v>
      </c>
      <c r="B29" s="113"/>
      <c r="C29" s="159" t="s">
        <v>679</v>
      </c>
      <c r="D29" s="158" t="s">
        <v>148</v>
      </c>
      <c r="E29" s="147" t="n">
        <v>4</v>
      </c>
      <c r="F29" s="147" t="n">
        <v>50</v>
      </c>
      <c r="G29" s="160" t="n">
        <v>0.2</v>
      </c>
      <c r="H29" s="20"/>
      <c r="I29" s="158" t="s">
        <v>684</v>
      </c>
    </row>
    <row r="30" customFormat="false" ht="15" hidden="false" customHeight="true" outlineLevel="0" collapsed="false">
      <c r="A30" s="144" t="n">
        <v>46024</v>
      </c>
      <c r="B30" s="113"/>
      <c r="C30" s="159" t="s">
        <v>679</v>
      </c>
      <c r="D30" s="158" t="s">
        <v>155</v>
      </c>
      <c r="E30" s="147" t="n">
        <v>12</v>
      </c>
      <c r="F30" s="147" t="n">
        <v>80</v>
      </c>
      <c r="G30" s="160" t="n">
        <v>19.2</v>
      </c>
      <c r="H30" s="20"/>
      <c r="I30" s="113" t="s">
        <v>686</v>
      </c>
    </row>
    <row r="31" customFormat="false" ht="15" hidden="false" customHeight="true" outlineLevel="0" collapsed="false">
      <c r="A31" s="144" t="n">
        <v>46024</v>
      </c>
      <c r="B31" s="113"/>
      <c r="C31" s="159" t="s">
        <v>679</v>
      </c>
      <c r="D31" s="158" t="s">
        <v>159</v>
      </c>
      <c r="E31" s="147" t="n">
        <v>4</v>
      </c>
      <c r="F31" s="147" t="n">
        <v>50</v>
      </c>
      <c r="G31" s="160" t="n">
        <v>0.2</v>
      </c>
      <c r="H31" s="20"/>
      <c r="I31" s="158" t="s">
        <v>684</v>
      </c>
    </row>
    <row r="32" customFormat="false" ht="15" hidden="false" customHeight="true" outlineLevel="0" collapsed="false">
      <c r="A32" s="144" t="n">
        <v>46024</v>
      </c>
      <c r="B32" s="113"/>
      <c r="C32" s="159" t="s">
        <v>679</v>
      </c>
      <c r="D32" s="158" t="s">
        <v>174</v>
      </c>
      <c r="E32" s="147" t="n">
        <v>4</v>
      </c>
      <c r="F32" s="147" t="n">
        <v>1000</v>
      </c>
      <c r="G32" s="160" t="n">
        <v>4</v>
      </c>
      <c r="H32" s="20"/>
      <c r="I32" s="158" t="s">
        <v>687</v>
      </c>
    </row>
    <row r="33" customFormat="false" ht="15" hidden="false" customHeight="true" outlineLevel="0" collapsed="false">
      <c r="A33" s="144" t="n">
        <v>46024</v>
      </c>
      <c r="B33" s="113"/>
      <c r="C33" s="159" t="s">
        <v>679</v>
      </c>
      <c r="D33" s="158" t="s">
        <v>179</v>
      </c>
      <c r="E33" s="147" t="n">
        <v>1</v>
      </c>
      <c r="F33" s="147" t="n">
        <v>40</v>
      </c>
      <c r="G33" s="160" t="n">
        <v>0.8</v>
      </c>
      <c r="H33" s="20"/>
      <c r="I33" s="158" t="s">
        <v>688</v>
      </c>
    </row>
    <row r="34" customFormat="false" ht="15" hidden="false" customHeight="true" outlineLevel="0" collapsed="false">
      <c r="A34" s="144" t="n">
        <v>46024</v>
      </c>
      <c r="B34" s="113"/>
      <c r="C34" s="159" t="s">
        <v>679</v>
      </c>
      <c r="D34" s="158" t="s">
        <v>183</v>
      </c>
      <c r="E34" s="147" t="n">
        <v>17</v>
      </c>
      <c r="F34" s="147" t="n">
        <v>60</v>
      </c>
      <c r="G34" s="160" t="n">
        <v>30.6</v>
      </c>
      <c r="H34" s="20"/>
      <c r="I34" s="158" t="s">
        <v>689</v>
      </c>
    </row>
    <row r="35" customFormat="false" ht="15" hidden="false" customHeight="true" outlineLevel="0" collapsed="false">
      <c r="A35" s="144" t="n">
        <v>46024</v>
      </c>
      <c r="B35" s="113"/>
      <c r="C35" s="159" t="s">
        <v>679</v>
      </c>
      <c r="D35" s="158" t="s">
        <v>184</v>
      </c>
      <c r="E35" s="147" t="n">
        <v>2</v>
      </c>
      <c r="F35" s="147" t="n">
        <v>50</v>
      </c>
      <c r="G35" s="160" t="n">
        <v>2</v>
      </c>
      <c r="H35" s="20"/>
      <c r="I35" s="158" t="s">
        <v>690</v>
      </c>
    </row>
    <row r="36" customFormat="false" ht="15" hidden="false" customHeight="true" outlineLevel="0" collapsed="false">
      <c r="A36" s="144" t="n">
        <v>46024</v>
      </c>
      <c r="B36" s="113"/>
      <c r="C36" s="159" t="s">
        <v>679</v>
      </c>
      <c r="D36" s="158" t="s">
        <v>184</v>
      </c>
      <c r="E36" s="147" t="n">
        <v>2</v>
      </c>
      <c r="F36" s="147" t="n">
        <v>50</v>
      </c>
      <c r="G36" s="160" t="n">
        <v>4</v>
      </c>
      <c r="H36" s="20"/>
      <c r="I36" s="158" t="s">
        <v>691</v>
      </c>
    </row>
    <row r="37" customFormat="false" ht="15" hidden="false" customHeight="true" outlineLevel="0" collapsed="false">
      <c r="A37" s="144" t="n">
        <v>46024</v>
      </c>
      <c r="B37" s="113"/>
      <c r="C37" s="159" t="s">
        <v>679</v>
      </c>
      <c r="D37" s="158" t="s">
        <v>184</v>
      </c>
      <c r="E37" s="147" t="n">
        <v>5</v>
      </c>
      <c r="F37" s="147" t="n">
        <v>50</v>
      </c>
      <c r="G37" s="160" t="n">
        <v>0.25</v>
      </c>
      <c r="H37" s="20"/>
      <c r="I37" s="158" t="s">
        <v>684</v>
      </c>
    </row>
    <row r="38" customFormat="false" ht="15" hidden="false" customHeight="true" outlineLevel="0" collapsed="false">
      <c r="A38" s="144" t="n">
        <v>46024</v>
      </c>
      <c r="B38" s="113"/>
      <c r="C38" s="159" t="s">
        <v>679</v>
      </c>
      <c r="D38" s="158" t="s">
        <v>186</v>
      </c>
      <c r="E38" s="147" t="n">
        <v>4</v>
      </c>
      <c r="F38" s="147" t="n">
        <v>50</v>
      </c>
      <c r="G38" s="160" t="n">
        <v>0.2</v>
      </c>
      <c r="H38" s="20"/>
      <c r="I38" s="158" t="s">
        <v>684</v>
      </c>
    </row>
    <row r="39" customFormat="false" ht="15" hidden="false" customHeight="true" outlineLevel="0" collapsed="false">
      <c r="A39" s="144" t="n">
        <v>46024</v>
      </c>
      <c r="B39" s="113"/>
      <c r="C39" s="159" t="s">
        <v>679</v>
      </c>
      <c r="D39" s="158" t="s">
        <v>192</v>
      </c>
      <c r="E39" s="147" t="n">
        <v>5</v>
      </c>
      <c r="F39" s="147" t="n">
        <v>50</v>
      </c>
      <c r="G39" s="160" t="n">
        <v>0.25</v>
      </c>
      <c r="H39" s="20"/>
      <c r="I39" s="158" t="s">
        <v>684</v>
      </c>
    </row>
    <row r="40" customFormat="false" ht="15" hidden="false" customHeight="true" outlineLevel="0" collapsed="false">
      <c r="A40" s="144" t="n">
        <v>46024</v>
      </c>
      <c r="B40" s="113"/>
      <c r="C40" s="159" t="s">
        <v>679</v>
      </c>
      <c r="D40" s="158" t="s">
        <v>195</v>
      </c>
      <c r="E40" s="147" t="n">
        <v>4</v>
      </c>
      <c r="F40" s="147" t="n">
        <v>50</v>
      </c>
      <c r="G40" s="160" t="n">
        <v>0.2</v>
      </c>
      <c r="H40" s="20"/>
      <c r="I40" s="158" t="s">
        <v>684</v>
      </c>
    </row>
    <row r="41" customFormat="false" ht="15" hidden="false" customHeight="true" outlineLevel="0" collapsed="false">
      <c r="A41" s="144" t="n">
        <v>46024</v>
      </c>
      <c r="B41" s="113"/>
      <c r="C41" s="159" t="s">
        <v>679</v>
      </c>
      <c r="D41" s="158" t="s">
        <v>222</v>
      </c>
      <c r="E41" s="147" t="n">
        <v>1</v>
      </c>
      <c r="F41" s="147" t="n">
        <v>40</v>
      </c>
      <c r="G41" s="160" t="n">
        <v>0.8</v>
      </c>
      <c r="H41" s="20"/>
      <c r="I41" s="158" t="s">
        <v>692</v>
      </c>
    </row>
    <row r="42" customFormat="false" ht="15" hidden="false" customHeight="true" outlineLevel="0" collapsed="false">
      <c r="A42" s="144" t="n">
        <v>46024</v>
      </c>
      <c r="B42" s="113"/>
      <c r="C42" s="159" t="s">
        <v>679</v>
      </c>
      <c r="D42" s="158" t="s">
        <v>221</v>
      </c>
      <c r="E42" s="147" t="n">
        <v>1</v>
      </c>
      <c r="F42" s="147" t="n">
        <v>40</v>
      </c>
      <c r="G42" s="160" t="n">
        <v>0.8</v>
      </c>
      <c r="H42" s="20"/>
      <c r="I42" s="158" t="s">
        <v>693</v>
      </c>
    </row>
    <row r="43" customFormat="false" ht="15" hidden="false" customHeight="true" outlineLevel="0" collapsed="false">
      <c r="A43" s="144" t="n">
        <v>46024</v>
      </c>
      <c r="B43" s="113"/>
      <c r="C43" s="159" t="s">
        <v>679</v>
      </c>
      <c r="D43" s="158" t="s">
        <v>204</v>
      </c>
      <c r="E43" s="147" t="n">
        <v>17</v>
      </c>
      <c r="F43" s="147" t="n">
        <v>60</v>
      </c>
      <c r="G43" s="160" t="n">
        <v>30.6</v>
      </c>
      <c r="H43" s="20"/>
      <c r="I43" s="158" t="s">
        <v>694</v>
      </c>
    </row>
    <row r="44" customFormat="false" ht="15" hidden="false" customHeight="true" outlineLevel="0" collapsed="false">
      <c r="A44" s="144" t="n">
        <v>46024</v>
      </c>
      <c r="B44" s="113"/>
      <c r="C44" s="159" t="s">
        <v>679</v>
      </c>
      <c r="D44" s="158" t="s">
        <v>236</v>
      </c>
      <c r="E44" s="147" t="n">
        <v>11</v>
      </c>
      <c r="F44" s="147" t="n">
        <v>60</v>
      </c>
      <c r="G44" s="160" t="n">
        <v>19.8</v>
      </c>
      <c r="H44" s="20"/>
      <c r="I44" s="158" t="s">
        <v>695</v>
      </c>
    </row>
    <row r="45" customFormat="false" ht="15" hidden="false" customHeight="true" outlineLevel="0" collapsed="false">
      <c r="A45" s="144" t="n">
        <v>46024</v>
      </c>
      <c r="B45" s="113"/>
      <c r="C45" s="159" t="s">
        <v>679</v>
      </c>
      <c r="D45" s="158" t="s">
        <v>206</v>
      </c>
      <c r="E45" s="147" t="n">
        <v>2</v>
      </c>
      <c r="F45" s="147" t="n">
        <v>30</v>
      </c>
      <c r="G45" s="160" t="n">
        <v>3.6</v>
      </c>
      <c r="H45" s="20"/>
      <c r="I45" s="158" t="s">
        <v>696</v>
      </c>
    </row>
    <row r="46" customFormat="false" ht="15" hidden="false" customHeight="true" outlineLevel="0" collapsed="false">
      <c r="A46" s="144" t="n">
        <v>46024</v>
      </c>
      <c r="B46" s="113"/>
      <c r="C46" s="159" t="s">
        <v>679</v>
      </c>
      <c r="D46" s="158" t="s">
        <v>219</v>
      </c>
      <c r="E46" s="147" t="n">
        <v>4</v>
      </c>
      <c r="F46" s="147" t="n">
        <v>50</v>
      </c>
      <c r="G46" s="160" t="n">
        <v>0.2</v>
      </c>
      <c r="H46" s="20"/>
      <c r="I46" s="158" t="s">
        <v>684</v>
      </c>
    </row>
    <row r="47" customFormat="false" ht="15" hidden="false" customHeight="true" outlineLevel="0" collapsed="false">
      <c r="A47" s="144" t="n">
        <v>46024</v>
      </c>
      <c r="B47" s="113"/>
      <c r="C47" s="159" t="s">
        <v>679</v>
      </c>
      <c r="D47" s="158" t="s">
        <v>220</v>
      </c>
      <c r="E47" s="147" t="n">
        <v>10</v>
      </c>
      <c r="F47" s="147" t="n">
        <v>50</v>
      </c>
      <c r="G47" s="160" t="n">
        <v>0.5</v>
      </c>
      <c r="H47" s="20"/>
      <c r="I47" s="158" t="s">
        <v>681</v>
      </c>
    </row>
    <row r="48" customFormat="false" ht="15" hidden="false" customHeight="true" outlineLevel="0" collapsed="false">
      <c r="A48" s="144" t="n">
        <v>46027</v>
      </c>
      <c r="B48" s="113"/>
      <c r="C48" s="159" t="s">
        <v>679</v>
      </c>
      <c r="D48" s="113" t="s">
        <v>267</v>
      </c>
      <c r="E48" s="147" t="n">
        <v>3</v>
      </c>
      <c r="F48" s="147" t="n">
        <v>60</v>
      </c>
      <c r="G48" s="160" t="n">
        <v>3.6</v>
      </c>
      <c r="H48" s="20"/>
      <c r="I48" s="158" t="s">
        <v>697</v>
      </c>
    </row>
    <row r="49" customFormat="false" ht="15" hidden="false" customHeight="true" outlineLevel="0" collapsed="false">
      <c r="A49" s="144" t="n">
        <v>46027</v>
      </c>
      <c r="B49" s="113"/>
      <c r="C49" s="159" t="s">
        <v>679</v>
      </c>
      <c r="D49" s="158" t="s">
        <v>142</v>
      </c>
      <c r="E49" s="147" t="n">
        <v>35</v>
      </c>
      <c r="F49" s="147" t="n">
        <v>50</v>
      </c>
      <c r="G49" s="160" t="n">
        <v>1.75</v>
      </c>
      <c r="H49" s="20"/>
      <c r="I49" s="158" t="s">
        <v>698</v>
      </c>
    </row>
    <row r="50" customFormat="false" ht="15" hidden="false" customHeight="true" outlineLevel="0" collapsed="false">
      <c r="A50" s="144" t="n">
        <v>46027</v>
      </c>
      <c r="B50" s="113"/>
      <c r="C50" s="159" t="s">
        <v>679</v>
      </c>
      <c r="D50" s="158" t="s">
        <v>143</v>
      </c>
      <c r="E50" s="147" t="n">
        <v>2</v>
      </c>
      <c r="F50" s="147" t="n">
        <v>50</v>
      </c>
      <c r="G50" s="160" t="n">
        <v>2</v>
      </c>
      <c r="H50" s="20"/>
      <c r="I50" s="158" t="s">
        <v>682</v>
      </c>
    </row>
    <row r="51" customFormat="false" ht="15" hidden="false" customHeight="true" outlineLevel="0" collapsed="false">
      <c r="A51" s="144" t="n">
        <v>46027</v>
      </c>
      <c r="B51" s="113"/>
      <c r="C51" s="159" t="s">
        <v>679</v>
      </c>
      <c r="D51" s="158" t="s">
        <v>143</v>
      </c>
      <c r="E51" s="147" t="n">
        <v>4</v>
      </c>
      <c r="F51" s="147" t="n">
        <v>50</v>
      </c>
      <c r="G51" s="160" t="n">
        <v>8</v>
      </c>
      <c r="H51" s="20"/>
      <c r="I51" s="158" t="s">
        <v>683</v>
      </c>
    </row>
    <row r="52" customFormat="false" ht="15" hidden="false" customHeight="true" outlineLevel="0" collapsed="false">
      <c r="A52" s="144" t="n">
        <v>46027</v>
      </c>
      <c r="B52" s="113"/>
      <c r="C52" s="159" t="s">
        <v>679</v>
      </c>
      <c r="D52" s="158" t="s">
        <v>144</v>
      </c>
      <c r="E52" s="147" t="n">
        <v>1</v>
      </c>
      <c r="F52" s="147" t="n">
        <v>1000</v>
      </c>
      <c r="G52" s="160" t="n">
        <v>1</v>
      </c>
      <c r="H52" s="20"/>
      <c r="I52" s="158" t="s">
        <v>699</v>
      </c>
    </row>
    <row r="53" customFormat="false" ht="15" hidden="false" customHeight="true" outlineLevel="0" collapsed="false">
      <c r="A53" s="144" t="n">
        <v>46027</v>
      </c>
      <c r="B53" s="113"/>
      <c r="C53" s="159" t="s">
        <v>679</v>
      </c>
      <c r="D53" s="158" t="s">
        <v>144</v>
      </c>
      <c r="E53" s="147" t="n">
        <v>19</v>
      </c>
      <c r="F53" s="147" t="n">
        <v>1000</v>
      </c>
      <c r="G53" s="160" t="n">
        <v>38</v>
      </c>
      <c r="H53" s="20"/>
      <c r="I53" s="158" t="s">
        <v>685</v>
      </c>
    </row>
    <row r="54" customFormat="false" ht="15" hidden="false" customHeight="true" outlineLevel="0" collapsed="false">
      <c r="A54" s="144" t="n">
        <v>46027</v>
      </c>
      <c r="B54" s="113"/>
      <c r="C54" s="159" t="s">
        <v>679</v>
      </c>
      <c r="D54" s="158" t="s">
        <v>146</v>
      </c>
      <c r="E54" s="147" t="n">
        <v>35</v>
      </c>
      <c r="F54" s="147" t="n">
        <v>50</v>
      </c>
      <c r="G54" s="160" t="n">
        <v>1.75</v>
      </c>
      <c r="H54" s="20"/>
      <c r="I54" s="158" t="s">
        <v>698</v>
      </c>
    </row>
    <row r="55" customFormat="false" ht="15" hidden="false" customHeight="true" outlineLevel="0" collapsed="false">
      <c r="A55" s="144" t="n">
        <v>46027</v>
      </c>
      <c r="B55" s="113"/>
      <c r="C55" s="159" t="s">
        <v>679</v>
      </c>
      <c r="D55" s="158" t="s">
        <v>147</v>
      </c>
      <c r="E55" s="147" t="n">
        <v>5</v>
      </c>
      <c r="F55" s="147" t="n">
        <v>50</v>
      </c>
      <c r="G55" s="160" t="n">
        <v>5</v>
      </c>
      <c r="H55" s="20"/>
      <c r="I55" s="158" t="s">
        <v>700</v>
      </c>
    </row>
    <row r="56" customFormat="false" ht="15" hidden="false" customHeight="true" outlineLevel="0" collapsed="false">
      <c r="A56" s="144" t="n">
        <v>46027</v>
      </c>
      <c r="B56" s="113"/>
      <c r="C56" s="159" t="s">
        <v>679</v>
      </c>
      <c r="D56" s="158" t="s">
        <v>147</v>
      </c>
      <c r="E56" s="147" t="n">
        <v>35</v>
      </c>
      <c r="F56" s="147" t="n">
        <v>50</v>
      </c>
      <c r="G56" s="160" t="n">
        <v>1.75</v>
      </c>
      <c r="H56" s="20"/>
      <c r="I56" s="158" t="s">
        <v>698</v>
      </c>
    </row>
    <row r="57" customFormat="false" ht="15" hidden="false" customHeight="true" outlineLevel="0" collapsed="false">
      <c r="A57" s="144" t="n">
        <v>46027</v>
      </c>
      <c r="B57" s="113"/>
      <c r="C57" s="159" t="s">
        <v>679</v>
      </c>
      <c r="D57" s="158" t="s">
        <v>155</v>
      </c>
      <c r="E57" s="147" t="n">
        <v>2</v>
      </c>
      <c r="F57" s="147" t="n">
        <v>80</v>
      </c>
      <c r="G57" s="160" t="n">
        <v>3.2</v>
      </c>
      <c r="H57" s="20"/>
      <c r="I57" s="113" t="s">
        <v>686</v>
      </c>
    </row>
    <row r="58" customFormat="false" ht="15" hidden="false" customHeight="true" outlineLevel="0" collapsed="false">
      <c r="A58" s="144" t="n">
        <v>46027</v>
      </c>
      <c r="B58" s="113"/>
      <c r="C58" s="159" t="s">
        <v>679</v>
      </c>
      <c r="D58" s="158" t="s">
        <v>183</v>
      </c>
      <c r="E58" s="147" t="n">
        <v>50</v>
      </c>
      <c r="F58" s="147" t="n">
        <v>60</v>
      </c>
      <c r="G58" s="160" t="n">
        <v>90</v>
      </c>
      <c r="H58" s="20"/>
      <c r="I58" s="158" t="s">
        <v>689</v>
      </c>
    </row>
    <row r="59" customFormat="false" ht="15" hidden="false" customHeight="true" outlineLevel="0" collapsed="false">
      <c r="A59" s="144" t="n">
        <v>46027</v>
      </c>
      <c r="B59" s="113"/>
      <c r="C59" s="159" t="s">
        <v>679</v>
      </c>
      <c r="D59" s="158" t="s">
        <v>184</v>
      </c>
      <c r="E59" s="147" t="n">
        <v>4</v>
      </c>
      <c r="F59" s="147" t="n">
        <v>50</v>
      </c>
      <c r="G59" s="160" t="n">
        <v>4</v>
      </c>
      <c r="H59" s="20"/>
      <c r="I59" s="158" t="s">
        <v>701</v>
      </c>
    </row>
    <row r="60" customFormat="false" ht="15" hidden="false" customHeight="true" outlineLevel="0" collapsed="false">
      <c r="A60" s="144" t="n">
        <v>46027</v>
      </c>
      <c r="B60" s="113"/>
      <c r="C60" s="159" t="s">
        <v>679</v>
      </c>
      <c r="D60" s="158" t="s">
        <v>184</v>
      </c>
      <c r="E60" s="147" t="n">
        <v>4</v>
      </c>
      <c r="F60" s="147" t="n">
        <v>50</v>
      </c>
      <c r="G60" s="160" t="n">
        <v>8</v>
      </c>
      <c r="H60" s="20"/>
      <c r="I60" s="158" t="s">
        <v>691</v>
      </c>
    </row>
    <row r="61" customFormat="false" ht="15" hidden="false" customHeight="true" outlineLevel="0" collapsed="false">
      <c r="A61" s="144" t="n">
        <v>46027</v>
      </c>
      <c r="B61" s="113"/>
      <c r="C61" s="159" t="s">
        <v>679</v>
      </c>
      <c r="D61" s="158" t="s">
        <v>195</v>
      </c>
      <c r="E61" s="147" t="n">
        <v>2</v>
      </c>
      <c r="F61" s="147" t="n">
        <v>50</v>
      </c>
      <c r="G61" s="160" t="n">
        <v>1</v>
      </c>
      <c r="H61" s="20"/>
      <c r="I61" s="158" t="s">
        <v>702</v>
      </c>
    </row>
    <row r="62" customFormat="false" ht="15" hidden="false" customHeight="true" outlineLevel="0" collapsed="false">
      <c r="A62" s="144" t="n">
        <v>46027</v>
      </c>
      <c r="B62" s="113"/>
      <c r="C62" s="159" t="s">
        <v>679</v>
      </c>
      <c r="D62" s="158" t="s">
        <v>222</v>
      </c>
      <c r="E62" s="147" t="n">
        <v>2</v>
      </c>
      <c r="F62" s="147" t="n">
        <v>40</v>
      </c>
      <c r="G62" s="160" t="n">
        <v>1.6</v>
      </c>
      <c r="H62" s="20"/>
      <c r="I62" s="158" t="s">
        <v>692</v>
      </c>
    </row>
    <row r="63" customFormat="false" ht="15" hidden="false" customHeight="true" outlineLevel="0" collapsed="false">
      <c r="A63" s="144" t="n">
        <v>46027</v>
      </c>
      <c r="B63" s="113"/>
      <c r="C63" s="159" t="s">
        <v>679</v>
      </c>
      <c r="D63" s="158" t="s">
        <v>204</v>
      </c>
      <c r="E63" s="147" t="n">
        <v>4</v>
      </c>
      <c r="F63" s="147" t="n">
        <v>1000</v>
      </c>
      <c r="G63" s="160" t="n">
        <v>7.2</v>
      </c>
      <c r="H63" s="20"/>
      <c r="I63" s="158" t="s">
        <v>703</v>
      </c>
    </row>
    <row r="64" customFormat="false" ht="15" hidden="false" customHeight="true" outlineLevel="0" collapsed="false">
      <c r="A64" s="144" t="n">
        <v>46027</v>
      </c>
      <c r="B64" s="113"/>
      <c r="C64" s="159" t="s">
        <v>679</v>
      </c>
      <c r="D64" s="158" t="s">
        <v>204</v>
      </c>
      <c r="E64" s="147" t="n">
        <v>28</v>
      </c>
      <c r="F64" s="147" t="n">
        <v>60</v>
      </c>
      <c r="G64" s="160" t="n">
        <v>50.4</v>
      </c>
      <c r="H64" s="20"/>
      <c r="I64" s="158" t="s">
        <v>694</v>
      </c>
    </row>
    <row r="65" customFormat="false" ht="15" hidden="false" customHeight="true" outlineLevel="0" collapsed="false">
      <c r="A65" s="144" t="n">
        <v>46027</v>
      </c>
      <c r="B65" s="113"/>
      <c r="C65" s="159" t="s">
        <v>679</v>
      </c>
      <c r="D65" s="158" t="s">
        <v>236</v>
      </c>
      <c r="E65" s="147" t="n">
        <v>13</v>
      </c>
      <c r="F65" s="147" t="n">
        <v>60</v>
      </c>
      <c r="G65" s="160" t="n">
        <v>23.4</v>
      </c>
      <c r="H65" s="20"/>
      <c r="I65" s="158" t="s">
        <v>695</v>
      </c>
    </row>
    <row r="66" customFormat="false" ht="15" hidden="false" customHeight="true" outlineLevel="0" collapsed="false">
      <c r="A66" s="144" t="n">
        <v>46027</v>
      </c>
      <c r="B66" s="113"/>
      <c r="C66" s="159" t="s">
        <v>679</v>
      </c>
      <c r="D66" s="158" t="s">
        <v>206</v>
      </c>
      <c r="E66" s="147" t="n">
        <v>2</v>
      </c>
      <c r="F66" s="147" t="n">
        <v>30</v>
      </c>
      <c r="G66" s="160" t="n">
        <v>3.6</v>
      </c>
      <c r="H66" s="20"/>
      <c r="I66" s="158" t="s">
        <v>696</v>
      </c>
    </row>
    <row r="67" customFormat="false" ht="15" hidden="false" customHeight="true" outlineLevel="0" collapsed="false">
      <c r="A67" s="144" t="n">
        <v>46027</v>
      </c>
      <c r="B67" s="113"/>
      <c r="C67" s="159" t="s">
        <v>679</v>
      </c>
      <c r="D67" s="158" t="s">
        <v>207</v>
      </c>
      <c r="E67" s="147" t="n">
        <v>5</v>
      </c>
      <c r="F67" s="147" t="n">
        <v>1000</v>
      </c>
      <c r="G67" s="160" t="n">
        <v>5</v>
      </c>
      <c r="H67" s="20"/>
      <c r="I67" s="158" t="s">
        <v>704</v>
      </c>
    </row>
    <row r="68" customFormat="false" ht="15" hidden="false" customHeight="true" outlineLevel="0" collapsed="false">
      <c r="A68" s="144" t="n">
        <v>46027</v>
      </c>
      <c r="B68" s="113"/>
      <c r="C68" s="159" t="s">
        <v>679</v>
      </c>
      <c r="D68" s="158" t="s">
        <v>220</v>
      </c>
      <c r="E68" s="147" t="n">
        <v>35</v>
      </c>
      <c r="F68" s="147" t="n">
        <v>50</v>
      </c>
      <c r="G68" s="160" t="n">
        <v>1.75</v>
      </c>
      <c r="H68" s="20"/>
      <c r="I68" s="158" t="s">
        <v>698</v>
      </c>
    </row>
    <row r="69" customFormat="false" ht="15" hidden="false" customHeight="true" outlineLevel="0" collapsed="false">
      <c r="A69" s="144" t="n">
        <v>46028</v>
      </c>
      <c r="B69" s="113"/>
      <c r="C69" s="159" t="s">
        <v>679</v>
      </c>
      <c r="D69" s="113" t="s">
        <v>267</v>
      </c>
      <c r="E69" s="147" t="n">
        <v>1</v>
      </c>
      <c r="F69" s="147" t="n">
        <v>60</v>
      </c>
      <c r="G69" s="160" t="n">
        <v>1.2</v>
      </c>
      <c r="H69" s="20"/>
      <c r="I69" s="113" t="s">
        <v>705</v>
      </c>
    </row>
    <row r="70" customFormat="false" ht="15" hidden="false" customHeight="true" outlineLevel="0" collapsed="false">
      <c r="A70" s="144" t="n">
        <v>46028</v>
      </c>
      <c r="B70" s="113"/>
      <c r="C70" s="159" t="s">
        <v>679</v>
      </c>
      <c r="D70" s="158" t="s">
        <v>142</v>
      </c>
      <c r="E70" s="147" t="n">
        <v>5</v>
      </c>
      <c r="F70" s="147" t="n">
        <v>50</v>
      </c>
      <c r="G70" s="160" t="n">
        <v>0.25</v>
      </c>
      <c r="H70" s="20"/>
      <c r="I70" s="158" t="s">
        <v>706</v>
      </c>
    </row>
    <row r="71" customFormat="false" ht="15" hidden="false" customHeight="true" outlineLevel="0" collapsed="false">
      <c r="A71" s="144" t="n">
        <v>46028</v>
      </c>
      <c r="B71" s="113"/>
      <c r="C71" s="159" t="s">
        <v>679</v>
      </c>
      <c r="D71" s="158" t="s">
        <v>143</v>
      </c>
      <c r="E71" s="147" t="n">
        <v>4</v>
      </c>
      <c r="F71" s="147" t="n">
        <v>50</v>
      </c>
      <c r="G71" s="160" t="n">
        <v>4</v>
      </c>
      <c r="H71" s="20"/>
      <c r="I71" s="158" t="s">
        <v>682</v>
      </c>
    </row>
    <row r="72" customFormat="false" ht="15" hidden="false" customHeight="true" outlineLevel="0" collapsed="false">
      <c r="A72" s="144" t="n">
        <v>46028</v>
      </c>
      <c r="B72" s="113"/>
      <c r="C72" s="159" t="s">
        <v>679</v>
      </c>
      <c r="D72" s="158" t="s">
        <v>144</v>
      </c>
      <c r="E72" s="147" t="n">
        <v>4</v>
      </c>
      <c r="F72" s="147" t="n">
        <v>1000</v>
      </c>
      <c r="G72" s="160" t="n">
        <v>8</v>
      </c>
      <c r="H72" s="20"/>
      <c r="I72" s="158" t="s">
        <v>685</v>
      </c>
    </row>
    <row r="73" customFormat="false" ht="15" hidden="false" customHeight="true" outlineLevel="0" collapsed="false">
      <c r="A73" s="144" t="n">
        <v>46028</v>
      </c>
      <c r="B73" s="113"/>
      <c r="C73" s="159" t="s">
        <v>679</v>
      </c>
      <c r="D73" s="158" t="s">
        <v>146</v>
      </c>
      <c r="E73" s="147" t="n">
        <v>5</v>
      </c>
      <c r="F73" s="147" t="n">
        <v>50</v>
      </c>
      <c r="G73" s="160" t="n">
        <v>0.25</v>
      </c>
      <c r="H73" s="20"/>
      <c r="I73" s="158" t="s">
        <v>706</v>
      </c>
    </row>
    <row r="74" customFormat="false" ht="15" hidden="false" customHeight="true" outlineLevel="0" collapsed="false">
      <c r="A74" s="144" t="n">
        <v>46028</v>
      </c>
      <c r="B74" s="113"/>
      <c r="C74" s="159" t="s">
        <v>679</v>
      </c>
      <c r="D74" s="158" t="s">
        <v>147</v>
      </c>
      <c r="E74" s="147" t="n">
        <v>1</v>
      </c>
      <c r="F74" s="147" t="n">
        <v>50</v>
      </c>
      <c r="G74" s="160" t="n">
        <v>1</v>
      </c>
      <c r="H74" s="20"/>
      <c r="I74" s="158" t="s">
        <v>700</v>
      </c>
    </row>
    <row r="75" customFormat="false" ht="15" hidden="false" customHeight="true" outlineLevel="0" collapsed="false">
      <c r="A75" s="144" t="n">
        <v>46028</v>
      </c>
      <c r="B75" s="113"/>
      <c r="C75" s="159" t="s">
        <v>679</v>
      </c>
      <c r="D75" s="158" t="s">
        <v>147</v>
      </c>
      <c r="E75" s="147" t="n">
        <v>5</v>
      </c>
      <c r="F75" s="147" t="n">
        <v>50</v>
      </c>
      <c r="G75" s="160" t="n">
        <v>0.25</v>
      </c>
      <c r="H75" s="20"/>
      <c r="I75" s="158" t="s">
        <v>706</v>
      </c>
    </row>
    <row r="76" customFormat="false" ht="15" hidden="false" customHeight="true" outlineLevel="0" collapsed="false">
      <c r="A76" s="144" t="n">
        <v>46028</v>
      </c>
      <c r="B76" s="113"/>
      <c r="C76" s="159" t="s">
        <v>679</v>
      </c>
      <c r="D76" s="158" t="s">
        <v>155</v>
      </c>
      <c r="E76" s="147" t="n">
        <v>1</v>
      </c>
      <c r="F76" s="147" t="n">
        <v>80</v>
      </c>
      <c r="G76" s="160" t="n">
        <v>1.6</v>
      </c>
      <c r="H76" s="20"/>
      <c r="I76" s="113" t="s">
        <v>686</v>
      </c>
    </row>
    <row r="77" customFormat="false" ht="15" hidden="false" customHeight="true" outlineLevel="0" collapsed="false">
      <c r="A77" s="144" t="n">
        <v>46028</v>
      </c>
      <c r="B77" s="113"/>
      <c r="C77" s="159" t="s">
        <v>679</v>
      </c>
      <c r="D77" s="158" t="s">
        <v>161</v>
      </c>
      <c r="E77" s="147" t="n">
        <v>2</v>
      </c>
      <c r="F77" s="147" t="n">
        <v>1000</v>
      </c>
      <c r="G77" s="160" t="n">
        <v>2</v>
      </c>
      <c r="H77" s="20"/>
      <c r="I77" s="158" t="s">
        <v>707</v>
      </c>
    </row>
    <row r="78" customFormat="false" ht="15" hidden="false" customHeight="true" outlineLevel="0" collapsed="false">
      <c r="A78" s="144" t="n">
        <v>46028</v>
      </c>
      <c r="B78" s="113"/>
      <c r="C78" s="159" t="s">
        <v>679</v>
      </c>
      <c r="D78" s="158" t="s">
        <v>174</v>
      </c>
      <c r="E78" s="147" t="n">
        <v>2</v>
      </c>
      <c r="F78" s="147" t="n">
        <v>1000</v>
      </c>
      <c r="G78" s="160" t="n">
        <v>2</v>
      </c>
      <c r="H78" s="20"/>
      <c r="I78" s="158" t="s">
        <v>687</v>
      </c>
    </row>
    <row r="79" customFormat="false" ht="15" hidden="false" customHeight="true" outlineLevel="0" collapsed="false">
      <c r="A79" s="144" t="n">
        <v>46028</v>
      </c>
      <c r="B79" s="113"/>
      <c r="C79" s="159" t="s">
        <v>679</v>
      </c>
      <c r="D79" s="158" t="s">
        <v>183</v>
      </c>
      <c r="E79" s="147" t="n">
        <v>19</v>
      </c>
      <c r="F79" s="147" t="n">
        <v>60</v>
      </c>
      <c r="G79" s="160" t="n">
        <v>34.2</v>
      </c>
      <c r="H79" s="20"/>
      <c r="I79" s="158" t="s">
        <v>689</v>
      </c>
    </row>
    <row r="80" customFormat="false" ht="15" hidden="false" customHeight="true" outlineLevel="0" collapsed="false">
      <c r="A80" s="144" t="n">
        <v>46028</v>
      </c>
      <c r="B80" s="113"/>
      <c r="C80" s="159" t="s">
        <v>679</v>
      </c>
      <c r="D80" s="158" t="s">
        <v>184</v>
      </c>
      <c r="E80" s="147" t="n">
        <v>2</v>
      </c>
      <c r="F80" s="147" t="n">
        <v>50</v>
      </c>
      <c r="G80" s="160" t="n">
        <v>2</v>
      </c>
      <c r="H80" s="20"/>
      <c r="I80" s="158" t="s">
        <v>701</v>
      </c>
    </row>
    <row r="81" customFormat="false" ht="15" hidden="false" customHeight="true" outlineLevel="0" collapsed="false">
      <c r="A81" s="144" t="n">
        <v>46028</v>
      </c>
      <c r="B81" s="113"/>
      <c r="C81" s="159" t="s">
        <v>679</v>
      </c>
      <c r="D81" s="158" t="s">
        <v>222</v>
      </c>
      <c r="E81" s="147" t="n">
        <v>1</v>
      </c>
      <c r="F81" s="147" t="n">
        <v>40</v>
      </c>
      <c r="G81" s="160" t="n">
        <v>0.8</v>
      </c>
      <c r="H81" s="20"/>
      <c r="I81" s="158" t="s">
        <v>692</v>
      </c>
    </row>
    <row r="82" customFormat="false" ht="15" hidden="false" customHeight="true" outlineLevel="0" collapsed="false">
      <c r="A82" s="144" t="n">
        <v>46028</v>
      </c>
      <c r="B82" s="113"/>
      <c r="C82" s="159" t="s">
        <v>679</v>
      </c>
      <c r="D82" s="158" t="s">
        <v>221</v>
      </c>
      <c r="E82" s="147" t="n">
        <v>2</v>
      </c>
      <c r="F82" s="147" t="n">
        <v>40</v>
      </c>
      <c r="G82" s="160" t="n">
        <v>1.6</v>
      </c>
      <c r="H82" s="20"/>
      <c r="I82" s="158" t="s">
        <v>693</v>
      </c>
    </row>
    <row r="83" customFormat="false" ht="15" hidden="false" customHeight="true" outlineLevel="0" collapsed="false">
      <c r="A83" s="144" t="n">
        <v>46028</v>
      </c>
      <c r="B83" s="113"/>
      <c r="C83" s="159" t="s">
        <v>679</v>
      </c>
      <c r="D83" s="158" t="s">
        <v>204</v>
      </c>
      <c r="E83" s="147" t="n">
        <v>2</v>
      </c>
      <c r="F83" s="147" t="n">
        <v>60</v>
      </c>
      <c r="G83" s="160" t="n">
        <v>1.8</v>
      </c>
      <c r="H83" s="20"/>
      <c r="I83" s="158" t="s">
        <v>708</v>
      </c>
    </row>
    <row r="84" customFormat="false" ht="15" hidden="false" customHeight="true" outlineLevel="0" collapsed="false">
      <c r="A84" s="144" t="n">
        <v>46028</v>
      </c>
      <c r="B84" s="113"/>
      <c r="C84" s="159" t="s">
        <v>679</v>
      </c>
      <c r="D84" s="158" t="s">
        <v>204</v>
      </c>
      <c r="E84" s="147" t="n">
        <v>15</v>
      </c>
      <c r="F84" s="147" t="n">
        <v>60</v>
      </c>
      <c r="G84" s="160" t="n">
        <v>27</v>
      </c>
      <c r="H84" s="20"/>
      <c r="I84" s="158" t="s">
        <v>694</v>
      </c>
    </row>
    <row r="85" customFormat="false" ht="15" hidden="false" customHeight="true" outlineLevel="0" collapsed="false">
      <c r="A85" s="144" t="n">
        <v>46028</v>
      </c>
      <c r="B85" s="113"/>
      <c r="C85" s="159" t="s">
        <v>679</v>
      </c>
      <c r="D85" s="158" t="s">
        <v>236</v>
      </c>
      <c r="E85" s="147" t="n">
        <v>2</v>
      </c>
      <c r="F85" s="147" t="n">
        <v>60</v>
      </c>
      <c r="G85" s="160" t="n">
        <v>1.8</v>
      </c>
      <c r="H85" s="20"/>
      <c r="I85" s="158" t="s">
        <v>709</v>
      </c>
    </row>
    <row r="86" customFormat="false" ht="15" hidden="false" customHeight="true" outlineLevel="0" collapsed="false">
      <c r="A86" s="144" t="n">
        <v>46028</v>
      </c>
      <c r="B86" s="113"/>
      <c r="C86" s="159" t="s">
        <v>679</v>
      </c>
      <c r="D86" s="158" t="s">
        <v>236</v>
      </c>
      <c r="E86" s="147" t="n">
        <v>8</v>
      </c>
      <c r="F86" s="147" t="n">
        <v>60</v>
      </c>
      <c r="G86" s="160" t="n">
        <v>14.4</v>
      </c>
      <c r="H86" s="20"/>
      <c r="I86" s="158" t="s">
        <v>695</v>
      </c>
    </row>
    <row r="87" customFormat="false" ht="15" hidden="false" customHeight="true" outlineLevel="0" collapsed="false">
      <c r="A87" s="144" t="n">
        <v>46028</v>
      </c>
      <c r="B87" s="113"/>
      <c r="C87" s="159" t="s">
        <v>679</v>
      </c>
      <c r="D87" s="158" t="s">
        <v>206</v>
      </c>
      <c r="E87" s="147" t="n">
        <v>2</v>
      </c>
      <c r="F87" s="147" t="n">
        <v>30</v>
      </c>
      <c r="G87" s="160" t="n">
        <v>3.6</v>
      </c>
      <c r="H87" s="20"/>
      <c r="I87" s="158" t="s">
        <v>696</v>
      </c>
    </row>
    <row r="88" customFormat="false" ht="15" hidden="false" customHeight="true" outlineLevel="0" collapsed="false">
      <c r="A88" s="144" t="n">
        <v>46028</v>
      </c>
      <c r="B88" s="113"/>
      <c r="C88" s="159" t="s">
        <v>679</v>
      </c>
      <c r="D88" s="158" t="s">
        <v>207</v>
      </c>
      <c r="E88" s="147" t="n">
        <v>1</v>
      </c>
      <c r="F88" s="147" t="n">
        <v>1000</v>
      </c>
      <c r="G88" s="160" t="n">
        <v>2</v>
      </c>
      <c r="H88" s="20"/>
      <c r="I88" s="158" t="s">
        <v>710</v>
      </c>
    </row>
    <row r="89" customFormat="false" ht="15" hidden="false" customHeight="true" outlineLevel="0" collapsed="false">
      <c r="A89" s="144" t="n">
        <v>46028</v>
      </c>
      <c r="B89" s="113"/>
      <c r="C89" s="159" t="s">
        <v>679</v>
      </c>
      <c r="D89" s="158" t="s">
        <v>212</v>
      </c>
      <c r="E89" s="147" t="n">
        <v>2</v>
      </c>
      <c r="F89" s="147" t="n">
        <v>50</v>
      </c>
      <c r="G89" s="160" t="n">
        <v>1</v>
      </c>
      <c r="H89" s="20"/>
      <c r="I89" s="158" t="s">
        <v>711</v>
      </c>
    </row>
    <row r="90" customFormat="false" ht="15" hidden="false" customHeight="true" outlineLevel="0" collapsed="false">
      <c r="A90" s="144" t="n">
        <v>46028</v>
      </c>
      <c r="B90" s="113"/>
      <c r="C90" s="159" t="s">
        <v>679</v>
      </c>
      <c r="D90" s="158" t="s">
        <v>220</v>
      </c>
      <c r="E90" s="147" t="n">
        <v>5</v>
      </c>
      <c r="F90" s="147" t="n">
        <v>50</v>
      </c>
      <c r="G90" s="160" t="n">
        <v>0.25</v>
      </c>
      <c r="H90" s="20"/>
      <c r="I90" s="158" t="s">
        <v>706</v>
      </c>
    </row>
    <row r="91" customFormat="false" ht="15" hidden="false" customHeight="true" outlineLevel="0" collapsed="false">
      <c r="A91" s="144" t="n">
        <v>46028</v>
      </c>
      <c r="B91" s="113"/>
      <c r="C91" s="159" t="s">
        <v>679</v>
      </c>
      <c r="D91" s="158" t="s">
        <v>220</v>
      </c>
      <c r="E91" s="147" t="n">
        <v>2</v>
      </c>
      <c r="F91" s="147" t="n">
        <v>50</v>
      </c>
      <c r="G91" s="160" t="n">
        <v>2</v>
      </c>
      <c r="H91" s="20"/>
      <c r="I91" s="158" t="s">
        <v>712</v>
      </c>
    </row>
    <row r="92" customFormat="false" ht="15" hidden="false" customHeight="true" outlineLevel="0" collapsed="false">
      <c r="A92" s="144" t="n">
        <v>46029</v>
      </c>
      <c r="B92" s="113"/>
      <c r="C92" s="159" t="s">
        <v>679</v>
      </c>
      <c r="D92" s="113" t="s">
        <v>267</v>
      </c>
      <c r="E92" s="147" t="n">
        <v>1</v>
      </c>
      <c r="F92" s="147" t="n">
        <v>60</v>
      </c>
      <c r="G92" s="160" t="n">
        <v>1.2</v>
      </c>
      <c r="H92" s="20"/>
      <c r="I92" s="158" t="s">
        <v>697</v>
      </c>
    </row>
    <row r="93" customFormat="false" ht="15" hidden="false" customHeight="true" outlineLevel="0" collapsed="false">
      <c r="A93" s="144" t="n">
        <v>46029</v>
      </c>
      <c r="B93" s="113"/>
      <c r="C93" s="159" t="s">
        <v>679</v>
      </c>
      <c r="D93" s="158" t="s">
        <v>142</v>
      </c>
      <c r="E93" s="147" t="n">
        <v>5</v>
      </c>
      <c r="F93" s="147" t="n">
        <v>50</v>
      </c>
      <c r="G93" s="160" t="n">
        <v>0.25</v>
      </c>
      <c r="H93" s="20"/>
      <c r="I93" s="158" t="s">
        <v>706</v>
      </c>
    </row>
    <row r="94" customFormat="false" ht="15" hidden="false" customHeight="true" outlineLevel="0" collapsed="false">
      <c r="A94" s="144" t="n">
        <v>46029</v>
      </c>
      <c r="B94" s="113"/>
      <c r="C94" s="159" t="s">
        <v>679</v>
      </c>
      <c r="D94" s="158" t="s">
        <v>143</v>
      </c>
      <c r="E94" s="147" t="n">
        <v>4</v>
      </c>
      <c r="F94" s="147" t="n">
        <v>50</v>
      </c>
      <c r="G94" s="160" t="n">
        <v>4</v>
      </c>
      <c r="H94" s="20"/>
      <c r="I94" s="158" t="s">
        <v>682</v>
      </c>
    </row>
    <row r="95" customFormat="false" ht="15" hidden="false" customHeight="true" outlineLevel="0" collapsed="false">
      <c r="A95" s="144" t="n">
        <v>46029</v>
      </c>
      <c r="B95" s="113"/>
      <c r="C95" s="159" t="s">
        <v>679</v>
      </c>
      <c r="D95" s="158" t="s">
        <v>143</v>
      </c>
      <c r="E95" s="147" t="n">
        <v>3</v>
      </c>
      <c r="F95" s="147" t="n">
        <v>50</v>
      </c>
      <c r="G95" s="160" t="n">
        <v>6</v>
      </c>
      <c r="H95" s="20"/>
      <c r="I95" s="158" t="s">
        <v>683</v>
      </c>
    </row>
    <row r="96" customFormat="false" ht="15" hidden="false" customHeight="true" outlineLevel="0" collapsed="false">
      <c r="A96" s="144" t="n">
        <v>46029</v>
      </c>
      <c r="B96" s="113"/>
      <c r="C96" s="159" t="s">
        <v>679</v>
      </c>
      <c r="D96" s="158" t="s">
        <v>143</v>
      </c>
      <c r="E96" s="147" t="n">
        <v>3</v>
      </c>
      <c r="F96" s="147" t="n">
        <v>50</v>
      </c>
      <c r="G96" s="160" t="n">
        <v>0.15</v>
      </c>
      <c r="H96" s="20"/>
      <c r="I96" s="158" t="s">
        <v>713</v>
      </c>
    </row>
    <row r="97" customFormat="false" ht="15" hidden="false" customHeight="true" outlineLevel="0" collapsed="false">
      <c r="A97" s="144" t="n">
        <v>46029</v>
      </c>
      <c r="B97" s="113"/>
      <c r="C97" s="159" t="s">
        <v>679</v>
      </c>
      <c r="D97" s="158" t="s">
        <v>144</v>
      </c>
      <c r="E97" s="147" t="n">
        <v>7</v>
      </c>
      <c r="F97" s="147" t="n">
        <v>1000</v>
      </c>
      <c r="G97" s="160" t="n">
        <v>14</v>
      </c>
      <c r="H97" s="20"/>
      <c r="I97" s="158" t="s">
        <v>685</v>
      </c>
    </row>
    <row r="98" customFormat="false" ht="15" hidden="false" customHeight="true" outlineLevel="0" collapsed="false">
      <c r="A98" s="144" t="n">
        <v>46029</v>
      </c>
      <c r="B98" s="113"/>
      <c r="C98" s="159" t="s">
        <v>679</v>
      </c>
      <c r="D98" s="158" t="s">
        <v>145</v>
      </c>
      <c r="E98" s="147" t="n">
        <v>2</v>
      </c>
      <c r="F98" s="147" t="n">
        <v>50</v>
      </c>
      <c r="G98" s="160" t="n">
        <v>0.1</v>
      </c>
      <c r="H98" s="20"/>
      <c r="I98" s="158" t="s">
        <v>713</v>
      </c>
    </row>
    <row r="99" customFormat="false" ht="15" hidden="false" customHeight="true" outlineLevel="0" collapsed="false">
      <c r="A99" s="144" t="n">
        <v>46029</v>
      </c>
      <c r="B99" s="113"/>
      <c r="C99" s="159" t="s">
        <v>679</v>
      </c>
      <c r="D99" s="158" t="s">
        <v>146</v>
      </c>
      <c r="E99" s="147" t="n">
        <v>5</v>
      </c>
      <c r="F99" s="147" t="n">
        <v>50</v>
      </c>
      <c r="G99" s="160" t="n">
        <v>0.25</v>
      </c>
      <c r="H99" s="20"/>
      <c r="I99" s="158" t="s">
        <v>706</v>
      </c>
    </row>
    <row r="100" customFormat="false" ht="15" hidden="false" customHeight="true" outlineLevel="0" collapsed="false">
      <c r="A100" s="144" t="n">
        <v>46029</v>
      </c>
      <c r="B100" s="113"/>
      <c r="C100" s="159" t="s">
        <v>679</v>
      </c>
      <c r="D100" s="158" t="s">
        <v>147</v>
      </c>
      <c r="E100" s="147" t="n">
        <v>5</v>
      </c>
      <c r="F100" s="147" t="n">
        <v>50</v>
      </c>
      <c r="G100" s="160" t="n">
        <v>0.25</v>
      </c>
      <c r="H100" s="20"/>
      <c r="I100" s="158" t="s">
        <v>706</v>
      </c>
    </row>
    <row r="101" customFormat="false" ht="15" hidden="false" customHeight="true" outlineLevel="0" collapsed="false">
      <c r="A101" s="144" t="n">
        <v>46029</v>
      </c>
      <c r="B101" s="113"/>
      <c r="C101" s="159" t="s">
        <v>679</v>
      </c>
      <c r="D101" s="158" t="s">
        <v>148</v>
      </c>
      <c r="E101" s="147" t="n">
        <v>2</v>
      </c>
      <c r="F101" s="147" t="n">
        <v>50</v>
      </c>
      <c r="G101" s="160" t="n">
        <v>0.1</v>
      </c>
      <c r="H101" s="20"/>
      <c r="I101" s="158" t="s">
        <v>713</v>
      </c>
    </row>
    <row r="102" customFormat="false" ht="15" hidden="false" customHeight="true" outlineLevel="0" collapsed="false">
      <c r="A102" s="144" t="n">
        <v>46029</v>
      </c>
      <c r="B102" s="113"/>
      <c r="C102" s="159" t="s">
        <v>679</v>
      </c>
      <c r="D102" s="158" t="s">
        <v>155</v>
      </c>
      <c r="E102" s="147" t="n">
        <v>4</v>
      </c>
      <c r="F102" s="147" t="n">
        <v>80</v>
      </c>
      <c r="G102" s="160" t="n">
        <v>6.4</v>
      </c>
      <c r="H102" s="20"/>
      <c r="I102" s="113" t="s">
        <v>686</v>
      </c>
    </row>
    <row r="103" customFormat="false" ht="15" hidden="false" customHeight="true" outlineLevel="0" collapsed="false">
      <c r="A103" s="144" t="n">
        <v>46029</v>
      </c>
      <c r="B103" s="113"/>
      <c r="C103" s="159" t="s">
        <v>679</v>
      </c>
      <c r="D103" s="158" t="s">
        <v>159</v>
      </c>
      <c r="E103" s="147" t="n">
        <v>2</v>
      </c>
      <c r="F103" s="147" t="n">
        <v>50</v>
      </c>
      <c r="G103" s="160" t="n">
        <v>0.1</v>
      </c>
      <c r="H103" s="20"/>
      <c r="I103" s="158" t="s">
        <v>713</v>
      </c>
    </row>
    <row r="104" customFormat="false" ht="15" hidden="false" customHeight="true" outlineLevel="0" collapsed="false">
      <c r="A104" s="144" t="n">
        <v>46029</v>
      </c>
      <c r="B104" s="113"/>
      <c r="C104" s="159" t="s">
        <v>679</v>
      </c>
      <c r="D104" s="158" t="s">
        <v>161</v>
      </c>
      <c r="E104" s="147" t="n">
        <v>2</v>
      </c>
      <c r="F104" s="147" t="n">
        <v>1000</v>
      </c>
      <c r="G104" s="160" t="n">
        <v>2</v>
      </c>
      <c r="H104" s="20"/>
      <c r="I104" s="158" t="s">
        <v>714</v>
      </c>
    </row>
    <row r="105" customFormat="false" ht="15" hidden="false" customHeight="true" outlineLevel="0" collapsed="false">
      <c r="A105" s="144" t="n">
        <v>46029</v>
      </c>
      <c r="B105" s="113"/>
      <c r="C105" s="159" t="s">
        <v>679</v>
      </c>
      <c r="D105" s="158" t="s">
        <v>174</v>
      </c>
      <c r="E105" s="147" t="n">
        <v>2</v>
      </c>
      <c r="F105" s="147" t="n">
        <v>1000</v>
      </c>
      <c r="G105" s="160" t="n">
        <v>2</v>
      </c>
      <c r="H105" s="20"/>
      <c r="I105" s="158" t="s">
        <v>714</v>
      </c>
    </row>
    <row r="106" customFormat="false" ht="15" hidden="false" customHeight="true" outlineLevel="0" collapsed="false">
      <c r="A106" s="144" t="n">
        <v>46029</v>
      </c>
      <c r="B106" s="113"/>
      <c r="C106" s="159" t="s">
        <v>679</v>
      </c>
      <c r="D106" s="158" t="s">
        <v>179</v>
      </c>
      <c r="E106" s="147" t="n">
        <v>2</v>
      </c>
      <c r="F106" s="147" t="n">
        <v>1000</v>
      </c>
      <c r="G106" s="160" t="n">
        <v>2</v>
      </c>
      <c r="H106" s="20"/>
      <c r="I106" s="158" t="s">
        <v>715</v>
      </c>
    </row>
    <row r="107" customFormat="false" ht="15" hidden="false" customHeight="true" outlineLevel="0" collapsed="false">
      <c r="A107" s="144" t="n">
        <v>46029</v>
      </c>
      <c r="B107" s="113"/>
      <c r="C107" s="159" t="s">
        <v>679</v>
      </c>
      <c r="D107" s="158" t="s">
        <v>183</v>
      </c>
      <c r="E107" s="147" t="n">
        <v>20</v>
      </c>
      <c r="F107" s="147" t="n">
        <v>60</v>
      </c>
      <c r="G107" s="160" t="n">
        <v>36</v>
      </c>
      <c r="H107" s="20"/>
      <c r="I107" s="158" t="s">
        <v>689</v>
      </c>
    </row>
    <row r="108" customFormat="false" ht="15" hidden="false" customHeight="true" outlineLevel="0" collapsed="false">
      <c r="A108" s="144" t="n">
        <v>46029</v>
      </c>
      <c r="B108" s="113"/>
      <c r="C108" s="159" t="s">
        <v>679</v>
      </c>
      <c r="D108" s="158" t="s">
        <v>184</v>
      </c>
      <c r="E108" s="147" t="n">
        <v>2</v>
      </c>
      <c r="F108" s="147" t="n">
        <v>50</v>
      </c>
      <c r="G108" s="160" t="n">
        <v>4</v>
      </c>
      <c r="H108" s="20"/>
      <c r="I108" s="158" t="s">
        <v>691</v>
      </c>
    </row>
    <row r="109" customFormat="false" ht="15" hidden="false" customHeight="true" outlineLevel="0" collapsed="false">
      <c r="A109" s="144" t="n">
        <v>46029</v>
      </c>
      <c r="B109" s="113"/>
      <c r="C109" s="159" t="s">
        <v>679</v>
      </c>
      <c r="D109" s="158" t="s">
        <v>184</v>
      </c>
      <c r="E109" s="147" t="n">
        <v>3</v>
      </c>
      <c r="F109" s="147" t="n">
        <v>50</v>
      </c>
      <c r="G109" s="160" t="n">
        <v>0.15</v>
      </c>
      <c r="H109" s="20"/>
      <c r="I109" s="158" t="s">
        <v>713</v>
      </c>
    </row>
    <row r="110" customFormat="false" ht="15" hidden="false" customHeight="true" outlineLevel="0" collapsed="false">
      <c r="A110" s="144" t="n">
        <v>46029</v>
      </c>
      <c r="B110" s="113"/>
      <c r="C110" s="159" t="s">
        <v>679</v>
      </c>
      <c r="D110" s="158" t="s">
        <v>186</v>
      </c>
      <c r="E110" s="147" t="n">
        <v>2</v>
      </c>
      <c r="F110" s="147" t="n">
        <v>50</v>
      </c>
      <c r="G110" s="160" t="n">
        <v>0.1</v>
      </c>
      <c r="H110" s="20"/>
      <c r="I110" s="158" t="s">
        <v>713</v>
      </c>
    </row>
    <row r="111" customFormat="false" ht="15" hidden="false" customHeight="true" outlineLevel="0" collapsed="false">
      <c r="A111" s="144" t="n">
        <v>46029</v>
      </c>
      <c r="B111" s="113"/>
      <c r="C111" s="159" t="s">
        <v>679</v>
      </c>
      <c r="D111" s="158" t="s">
        <v>192</v>
      </c>
      <c r="E111" s="147" t="n">
        <v>2</v>
      </c>
      <c r="F111" s="147" t="n">
        <v>50</v>
      </c>
      <c r="G111" s="160" t="n">
        <v>0.1</v>
      </c>
      <c r="H111" s="20"/>
      <c r="I111" s="158" t="s">
        <v>713</v>
      </c>
    </row>
    <row r="112" customFormat="false" ht="15" hidden="false" customHeight="true" outlineLevel="0" collapsed="false">
      <c r="A112" s="144" t="n">
        <v>46029</v>
      </c>
      <c r="B112" s="113"/>
      <c r="C112" s="159" t="s">
        <v>679</v>
      </c>
      <c r="D112" s="158" t="s">
        <v>195</v>
      </c>
      <c r="E112" s="147" t="n">
        <v>2</v>
      </c>
      <c r="F112" s="147" t="n">
        <v>50</v>
      </c>
      <c r="G112" s="160" t="n">
        <v>0.1</v>
      </c>
      <c r="H112" s="20"/>
      <c r="I112" s="158" t="s">
        <v>713</v>
      </c>
    </row>
    <row r="113" customFormat="false" ht="15" hidden="false" customHeight="true" outlineLevel="0" collapsed="false">
      <c r="A113" s="144" t="n">
        <v>46029</v>
      </c>
      <c r="B113" s="113"/>
      <c r="C113" s="159" t="s">
        <v>679</v>
      </c>
      <c r="D113" s="158" t="s">
        <v>204</v>
      </c>
      <c r="E113" s="147" t="n">
        <v>2</v>
      </c>
      <c r="F113" s="147" t="n">
        <v>60</v>
      </c>
      <c r="G113" s="160" t="n">
        <v>1.8</v>
      </c>
      <c r="H113" s="20"/>
      <c r="I113" s="158" t="s">
        <v>708</v>
      </c>
    </row>
    <row r="114" customFormat="false" ht="15" hidden="false" customHeight="true" outlineLevel="0" collapsed="false">
      <c r="A114" s="144" t="n">
        <v>46029</v>
      </c>
      <c r="B114" s="113"/>
      <c r="C114" s="159" t="s">
        <v>679</v>
      </c>
      <c r="D114" s="158" t="s">
        <v>204</v>
      </c>
      <c r="E114" s="147" t="n">
        <v>14</v>
      </c>
      <c r="F114" s="147" t="n">
        <v>60</v>
      </c>
      <c r="G114" s="160" t="n">
        <v>25.2</v>
      </c>
      <c r="H114" s="20"/>
      <c r="I114" s="158" t="s">
        <v>694</v>
      </c>
    </row>
    <row r="115" customFormat="false" ht="15" hidden="false" customHeight="true" outlineLevel="0" collapsed="false">
      <c r="A115" s="144" t="n">
        <v>46029</v>
      </c>
      <c r="B115" s="113"/>
      <c r="C115" s="159" t="s">
        <v>679</v>
      </c>
      <c r="D115" s="158" t="s">
        <v>236</v>
      </c>
      <c r="E115" s="147" t="n">
        <v>2</v>
      </c>
      <c r="F115" s="147" t="n">
        <v>60</v>
      </c>
      <c r="G115" s="160" t="n">
        <v>1.8</v>
      </c>
      <c r="H115" s="20"/>
      <c r="I115" s="158" t="s">
        <v>709</v>
      </c>
    </row>
    <row r="116" customFormat="false" ht="15" hidden="false" customHeight="true" outlineLevel="0" collapsed="false">
      <c r="A116" s="144" t="n">
        <v>46029</v>
      </c>
      <c r="B116" s="113"/>
      <c r="C116" s="159" t="s">
        <v>679</v>
      </c>
      <c r="D116" s="158" t="s">
        <v>236</v>
      </c>
      <c r="E116" s="147" t="n">
        <v>9</v>
      </c>
      <c r="F116" s="147" t="n">
        <v>60</v>
      </c>
      <c r="G116" s="160" t="n">
        <v>16.2</v>
      </c>
      <c r="H116" s="20"/>
      <c r="I116" s="158" t="s">
        <v>695</v>
      </c>
    </row>
    <row r="117" customFormat="false" ht="15" hidden="false" customHeight="true" outlineLevel="0" collapsed="false">
      <c r="A117" s="144" t="n">
        <v>46029</v>
      </c>
      <c r="B117" s="113"/>
      <c r="C117" s="159" t="s">
        <v>679</v>
      </c>
      <c r="D117" s="158" t="s">
        <v>206</v>
      </c>
      <c r="E117" s="147" t="n">
        <v>2</v>
      </c>
      <c r="F117" s="147" t="n">
        <v>30</v>
      </c>
      <c r="G117" s="160" t="n">
        <v>3.6</v>
      </c>
      <c r="H117" s="20"/>
      <c r="I117" s="158" t="s">
        <v>696</v>
      </c>
    </row>
    <row r="118" customFormat="false" ht="15" hidden="false" customHeight="true" outlineLevel="0" collapsed="false">
      <c r="A118" s="144" t="n">
        <v>46029</v>
      </c>
      <c r="B118" s="113"/>
      <c r="C118" s="159" t="s">
        <v>679</v>
      </c>
      <c r="D118" s="158" t="s">
        <v>219</v>
      </c>
      <c r="E118" s="147" t="n">
        <v>2</v>
      </c>
      <c r="F118" s="147" t="n">
        <v>50</v>
      </c>
      <c r="G118" s="160" t="n">
        <v>0.1</v>
      </c>
      <c r="H118" s="20"/>
      <c r="I118" s="158" t="s">
        <v>713</v>
      </c>
    </row>
    <row r="119" customFormat="false" ht="15" hidden="false" customHeight="true" outlineLevel="0" collapsed="false">
      <c r="A119" s="144" t="n">
        <v>46029</v>
      </c>
      <c r="B119" s="113"/>
      <c r="C119" s="159" t="s">
        <v>679</v>
      </c>
      <c r="D119" s="158" t="s">
        <v>220</v>
      </c>
      <c r="E119" s="147" t="n">
        <v>5</v>
      </c>
      <c r="F119" s="147" t="n">
        <v>50</v>
      </c>
      <c r="G119" s="160" t="n">
        <v>0.25</v>
      </c>
      <c r="H119" s="20"/>
      <c r="I119" s="158" t="s">
        <v>706</v>
      </c>
    </row>
    <row r="120" customFormat="false" ht="15" hidden="false" customHeight="true" outlineLevel="0" collapsed="false">
      <c r="A120" s="144" t="n">
        <v>46030</v>
      </c>
      <c r="B120" s="113"/>
      <c r="C120" s="159" t="s">
        <v>679</v>
      </c>
      <c r="D120" s="158" t="s">
        <v>142</v>
      </c>
      <c r="E120" s="147" t="n">
        <v>40</v>
      </c>
      <c r="F120" s="147" t="n">
        <v>50</v>
      </c>
      <c r="G120" s="160" t="n">
        <v>2</v>
      </c>
      <c r="H120" s="20"/>
      <c r="I120" s="158" t="s">
        <v>716</v>
      </c>
    </row>
    <row r="121" customFormat="false" ht="15" hidden="false" customHeight="true" outlineLevel="0" collapsed="false">
      <c r="A121" s="144" t="n">
        <v>46030</v>
      </c>
      <c r="B121" s="113"/>
      <c r="C121" s="159" t="s">
        <v>679</v>
      </c>
      <c r="D121" s="158" t="s">
        <v>143</v>
      </c>
      <c r="E121" s="147" t="n">
        <v>2</v>
      </c>
      <c r="F121" s="147" t="n">
        <v>50</v>
      </c>
      <c r="G121" s="160" t="n">
        <v>2</v>
      </c>
      <c r="H121" s="20"/>
      <c r="I121" s="158" t="s">
        <v>682</v>
      </c>
    </row>
    <row r="122" customFormat="false" ht="15" hidden="false" customHeight="true" outlineLevel="0" collapsed="false">
      <c r="A122" s="144" t="n">
        <v>46030</v>
      </c>
      <c r="B122" s="113"/>
      <c r="C122" s="159" t="s">
        <v>679</v>
      </c>
      <c r="D122" s="158" t="s">
        <v>143</v>
      </c>
      <c r="E122" s="147" t="n">
        <v>2</v>
      </c>
      <c r="F122" s="147" t="n">
        <v>50</v>
      </c>
      <c r="G122" s="160" t="n">
        <v>4</v>
      </c>
      <c r="H122" s="20"/>
      <c r="I122" s="158" t="s">
        <v>683</v>
      </c>
    </row>
    <row r="123" customFormat="false" ht="15" hidden="false" customHeight="true" outlineLevel="0" collapsed="false">
      <c r="A123" s="144" t="n">
        <v>46030</v>
      </c>
      <c r="B123" s="113"/>
      <c r="C123" s="159" t="s">
        <v>679</v>
      </c>
      <c r="D123" s="158" t="s">
        <v>143</v>
      </c>
      <c r="E123" s="147" t="n">
        <v>3</v>
      </c>
      <c r="F123" s="147" t="n">
        <v>50</v>
      </c>
      <c r="G123" s="160" t="n">
        <v>0.15</v>
      </c>
      <c r="H123" s="20"/>
      <c r="I123" s="158" t="s">
        <v>713</v>
      </c>
    </row>
    <row r="124" customFormat="false" ht="15" hidden="false" customHeight="true" outlineLevel="0" collapsed="false">
      <c r="A124" s="144" t="n">
        <v>46030</v>
      </c>
      <c r="B124" s="113"/>
      <c r="C124" s="159" t="s">
        <v>679</v>
      </c>
      <c r="D124" s="158" t="s">
        <v>143</v>
      </c>
      <c r="E124" s="147" t="n">
        <v>5</v>
      </c>
      <c r="F124" s="147" t="n">
        <v>50</v>
      </c>
      <c r="G124" s="160" t="n">
        <v>0.25</v>
      </c>
      <c r="H124" s="20"/>
      <c r="I124" s="158" t="s">
        <v>684</v>
      </c>
    </row>
    <row r="125" customFormat="false" ht="15" hidden="false" customHeight="true" outlineLevel="0" collapsed="false">
      <c r="A125" s="144" t="n">
        <v>46030</v>
      </c>
      <c r="B125" s="113"/>
      <c r="C125" s="159" t="s">
        <v>679</v>
      </c>
      <c r="D125" s="158" t="s">
        <v>144</v>
      </c>
      <c r="E125" s="147" t="n">
        <v>4</v>
      </c>
      <c r="F125" s="147" t="n">
        <v>1000</v>
      </c>
      <c r="G125" s="160" t="n">
        <v>8</v>
      </c>
      <c r="H125" s="20"/>
      <c r="I125" s="158" t="s">
        <v>685</v>
      </c>
    </row>
    <row r="126" customFormat="false" ht="15" hidden="false" customHeight="true" outlineLevel="0" collapsed="false">
      <c r="A126" s="144" t="n">
        <v>46030</v>
      </c>
      <c r="B126" s="113"/>
      <c r="C126" s="159" t="s">
        <v>679</v>
      </c>
      <c r="D126" s="158" t="s">
        <v>145</v>
      </c>
      <c r="E126" s="147" t="n">
        <v>2</v>
      </c>
      <c r="F126" s="147" t="n">
        <v>50</v>
      </c>
      <c r="G126" s="160" t="n">
        <v>0.1</v>
      </c>
      <c r="H126" s="20"/>
      <c r="I126" s="158" t="s">
        <v>713</v>
      </c>
    </row>
    <row r="127" customFormat="false" ht="15" hidden="false" customHeight="true" outlineLevel="0" collapsed="false">
      <c r="A127" s="144" t="n">
        <v>46030</v>
      </c>
      <c r="B127" s="113"/>
      <c r="C127" s="159" t="s">
        <v>679</v>
      </c>
      <c r="D127" s="158" t="s">
        <v>145</v>
      </c>
      <c r="E127" s="147" t="n">
        <v>5</v>
      </c>
      <c r="F127" s="147" t="n">
        <v>50</v>
      </c>
      <c r="G127" s="160" t="n">
        <v>0.25</v>
      </c>
      <c r="H127" s="20"/>
      <c r="I127" s="158" t="s">
        <v>684</v>
      </c>
    </row>
    <row r="128" customFormat="false" ht="15" hidden="false" customHeight="true" outlineLevel="0" collapsed="false">
      <c r="A128" s="144" t="n">
        <v>46030</v>
      </c>
      <c r="B128" s="113"/>
      <c r="C128" s="159" t="s">
        <v>679</v>
      </c>
      <c r="D128" s="158" t="s">
        <v>146</v>
      </c>
      <c r="E128" s="147" t="n">
        <v>1</v>
      </c>
      <c r="F128" s="147" t="n">
        <v>50</v>
      </c>
      <c r="G128" s="160" t="n">
        <v>1</v>
      </c>
      <c r="H128" s="20"/>
      <c r="I128" s="158" t="s">
        <v>717</v>
      </c>
    </row>
    <row r="129" customFormat="false" ht="15" hidden="false" customHeight="true" outlineLevel="0" collapsed="false">
      <c r="A129" s="144" t="n">
        <v>46030</v>
      </c>
      <c r="B129" s="113"/>
      <c r="C129" s="159" t="s">
        <v>679</v>
      </c>
      <c r="D129" s="158" t="s">
        <v>146</v>
      </c>
      <c r="E129" s="147" t="n">
        <v>40</v>
      </c>
      <c r="F129" s="147" t="n">
        <v>50</v>
      </c>
      <c r="G129" s="160" t="n">
        <v>2</v>
      </c>
      <c r="H129" s="20"/>
      <c r="I129" s="158" t="s">
        <v>716</v>
      </c>
    </row>
    <row r="130" customFormat="false" ht="15" hidden="false" customHeight="true" outlineLevel="0" collapsed="false">
      <c r="A130" s="144" t="n">
        <v>46030</v>
      </c>
      <c r="B130" s="113"/>
      <c r="C130" s="159" t="s">
        <v>679</v>
      </c>
      <c r="D130" s="158" t="s">
        <v>147</v>
      </c>
      <c r="E130" s="147" t="n">
        <v>40</v>
      </c>
      <c r="F130" s="147" t="n">
        <v>50</v>
      </c>
      <c r="G130" s="160" t="n">
        <v>2</v>
      </c>
      <c r="H130" s="20"/>
      <c r="I130" s="158" t="s">
        <v>716</v>
      </c>
    </row>
    <row r="131" customFormat="false" ht="15" hidden="false" customHeight="true" outlineLevel="0" collapsed="false">
      <c r="A131" s="144" t="n">
        <v>46030</v>
      </c>
      <c r="B131" s="113"/>
      <c r="C131" s="159" t="s">
        <v>679</v>
      </c>
      <c r="D131" s="158" t="s">
        <v>148</v>
      </c>
      <c r="E131" s="147" t="n">
        <v>2</v>
      </c>
      <c r="F131" s="147" t="n">
        <v>50</v>
      </c>
      <c r="G131" s="160" t="n">
        <v>0.1</v>
      </c>
      <c r="H131" s="20"/>
      <c r="I131" s="158" t="s">
        <v>713</v>
      </c>
    </row>
    <row r="132" customFormat="false" ht="15" hidden="false" customHeight="true" outlineLevel="0" collapsed="false">
      <c r="A132" s="144" t="n">
        <v>46030</v>
      </c>
      <c r="B132" s="113"/>
      <c r="C132" s="159" t="s">
        <v>679</v>
      </c>
      <c r="D132" s="158" t="s">
        <v>148</v>
      </c>
      <c r="E132" s="147" t="n">
        <v>4</v>
      </c>
      <c r="F132" s="147" t="n">
        <v>50</v>
      </c>
      <c r="G132" s="160" t="n">
        <v>0.2</v>
      </c>
      <c r="H132" s="20"/>
      <c r="I132" s="158" t="s">
        <v>684</v>
      </c>
    </row>
    <row r="133" customFormat="false" ht="15" hidden="false" customHeight="true" outlineLevel="0" collapsed="false">
      <c r="A133" s="144" t="n">
        <v>46030</v>
      </c>
      <c r="B133" s="113"/>
      <c r="C133" s="159" t="s">
        <v>679</v>
      </c>
      <c r="D133" s="158" t="s">
        <v>155</v>
      </c>
      <c r="E133" s="147" t="n">
        <v>6</v>
      </c>
      <c r="F133" s="147" t="n">
        <v>80</v>
      </c>
      <c r="G133" s="160" t="n">
        <v>9.6</v>
      </c>
      <c r="H133" s="20"/>
      <c r="I133" s="113" t="s">
        <v>686</v>
      </c>
    </row>
    <row r="134" customFormat="false" ht="15" hidden="false" customHeight="true" outlineLevel="0" collapsed="false">
      <c r="A134" s="144" t="n">
        <v>46030</v>
      </c>
      <c r="B134" s="113"/>
      <c r="C134" s="159" t="s">
        <v>679</v>
      </c>
      <c r="D134" s="158" t="s">
        <v>159</v>
      </c>
      <c r="E134" s="147" t="n">
        <v>2</v>
      </c>
      <c r="F134" s="147" t="n">
        <v>50</v>
      </c>
      <c r="G134" s="160" t="n">
        <v>0.1</v>
      </c>
      <c r="H134" s="20"/>
      <c r="I134" s="158" t="s">
        <v>713</v>
      </c>
    </row>
    <row r="135" customFormat="false" ht="15" hidden="false" customHeight="true" outlineLevel="0" collapsed="false">
      <c r="A135" s="144" t="n">
        <v>46030</v>
      </c>
      <c r="B135" s="113"/>
      <c r="C135" s="159" t="s">
        <v>679</v>
      </c>
      <c r="D135" s="158" t="s">
        <v>159</v>
      </c>
      <c r="E135" s="147" t="n">
        <v>4</v>
      </c>
      <c r="F135" s="147" t="n">
        <v>50</v>
      </c>
      <c r="G135" s="160" t="n">
        <v>0.2</v>
      </c>
      <c r="H135" s="20"/>
      <c r="I135" s="158" t="s">
        <v>684</v>
      </c>
    </row>
    <row r="136" customFormat="false" ht="15" hidden="false" customHeight="true" outlineLevel="0" collapsed="false">
      <c r="A136" s="144" t="n">
        <v>46030</v>
      </c>
      <c r="B136" s="113"/>
      <c r="C136" s="159" t="s">
        <v>679</v>
      </c>
      <c r="D136" s="158" t="s">
        <v>174</v>
      </c>
      <c r="E136" s="147" t="n">
        <v>9</v>
      </c>
      <c r="F136" s="147" t="n">
        <v>1000</v>
      </c>
      <c r="G136" s="160" t="n">
        <v>9</v>
      </c>
      <c r="H136" s="20"/>
      <c r="I136" s="158" t="s">
        <v>687</v>
      </c>
    </row>
    <row r="137" customFormat="false" ht="15" hidden="false" customHeight="true" outlineLevel="0" collapsed="false">
      <c r="A137" s="144" t="n">
        <v>46030</v>
      </c>
      <c r="B137" s="113"/>
      <c r="C137" s="159" t="s">
        <v>679</v>
      </c>
      <c r="D137" s="158" t="s">
        <v>181</v>
      </c>
      <c r="E137" s="147" t="n">
        <v>4</v>
      </c>
      <c r="F137" s="147" t="n">
        <v>1000</v>
      </c>
      <c r="G137" s="160" t="n">
        <v>4</v>
      </c>
      <c r="H137" s="20"/>
      <c r="I137" s="113" t="s">
        <v>718</v>
      </c>
    </row>
    <row r="138" customFormat="false" ht="15" hidden="false" customHeight="true" outlineLevel="0" collapsed="false">
      <c r="A138" s="144" t="n">
        <v>46030</v>
      </c>
      <c r="B138" s="113"/>
      <c r="C138" s="159" t="s">
        <v>679</v>
      </c>
      <c r="D138" s="158" t="s">
        <v>183</v>
      </c>
      <c r="E138" s="147" t="n">
        <v>16</v>
      </c>
      <c r="F138" s="147" t="n">
        <v>60</v>
      </c>
      <c r="G138" s="160" t="n">
        <v>28.8</v>
      </c>
      <c r="H138" s="20"/>
      <c r="I138" s="158" t="s">
        <v>689</v>
      </c>
    </row>
    <row r="139" customFormat="false" ht="15" hidden="false" customHeight="true" outlineLevel="0" collapsed="false">
      <c r="A139" s="144" t="n">
        <v>46030</v>
      </c>
      <c r="B139" s="113"/>
      <c r="C139" s="159" t="s">
        <v>679</v>
      </c>
      <c r="D139" s="158" t="s">
        <v>184</v>
      </c>
      <c r="E139" s="147" t="n">
        <v>3</v>
      </c>
      <c r="F139" s="147" t="n">
        <v>50</v>
      </c>
      <c r="G139" s="160" t="n">
        <v>6</v>
      </c>
      <c r="H139" s="20"/>
      <c r="I139" s="158" t="s">
        <v>691</v>
      </c>
    </row>
    <row r="140" customFormat="false" ht="15" hidden="false" customHeight="true" outlineLevel="0" collapsed="false">
      <c r="A140" s="144" t="n">
        <v>46030</v>
      </c>
      <c r="B140" s="113"/>
      <c r="C140" s="159" t="s">
        <v>679</v>
      </c>
      <c r="D140" s="158" t="s">
        <v>184</v>
      </c>
      <c r="E140" s="147" t="n">
        <v>3</v>
      </c>
      <c r="F140" s="147" t="n">
        <v>50</v>
      </c>
      <c r="G140" s="160" t="n">
        <v>0.15</v>
      </c>
      <c r="H140" s="20"/>
      <c r="I140" s="158" t="s">
        <v>713</v>
      </c>
    </row>
    <row r="141" customFormat="false" ht="15" hidden="false" customHeight="true" outlineLevel="0" collapsed="false">
      <c r="A141" s="144" t="n">
        <v>46030</v>
      </c>
      <c r="B141" s="113"/>
      <c r="C141" s="159" t="s">
        <v>679</v>
      </c>
      <c r="D141" s="158" t="s">
        <v>184</v>
      </c>
      <c r="E141" s="147" t="n">
        <v>5</v>
      </c>
      <c r="F141" s="147" t="n">
        <v>50</v>
      </c>
      <c r="G141" s="160" t="n">
        <v>0.25</v>
      </c>
      <c r="H141" s="20"/>
      <c r="I141" s="158" t="s">
        <v>684</v>
      </c>
    </row>
    <row r="142" customFormat="false" ht="15" hidden="false" customHeight="true" outlineLevel="0" collapsed="false">
      <c r="A142" s="144" t="n">
        <v>46030</v>
      </c>
      <c r="B142" s="113"/>
      <c r="C142" s="159" t="s">
        <v>679</v>
      </c>
      <c r="D142" s="158" t="s">
        <v>186</v>
      </c>
      <c r="E142" s="147" t="n">
        <v>2</v>
      </c>
      <c r="F142" s="147" t="n">
        <v>50</v>
      </c>
      <c r="G142" s="160" t="n">
        <v>0.1</v>
      </c>
      <c r="H142" s="20"/>
      <c r="I142" s="158" t="s">
        <v>713</v>
      </c>
    </row>
    <row r="143" customFormat="false" ht="15" hidden="false" customHeight="true" outlineLevel="0" collapsed="false">
      <c r="A143" s="144" t="n">
        <v>46030</v>
      </c>
      <c r="B143" s="113"/>
      <c r="C143" s="159" t="s">
        <v>679</v>
      </c>
      <c r="D143" s="158" t="s">
        <v>186</v>
      </c>
      <c r="E143" s="147" t="n">
        <v>4</v>
      </c>
      <c r="F143" s="147" t="n">
        <v>50</v>
      </c>
      <c r="G143" s="160" t="n">
        <v>0.2</v>
      </c>
      <c r="H143" s="20"/>
      <c r="I143" s="158" t="s">
        <v>684</v>
      </c>
    </row>
    <row r="144" customFormat="false" ht="15" hidden="false" customHeight="true" outlineLevel="0" collapsed="false">
      <c r="A144" s="144" t="n">
        <v>46030</v>
      </c>
      <c r="B144" s="113"/>
      <c r="C144" s="159" t="s">
        <v>679</v>
      </c>
      <c r="D144" s="158" t="s">
        <v>192</v>
      </c>
      <c r="E144" s="147" t="n">
        <v>2</v>
      </c>
      <c r="F144" s="147" t="n">
        <v>50</v>
      </c>
      <c r="G144" s="160" t="n">
        <v>0.1</v>
      </c>
      <c r="H144" s="20"/>
      <c r="I144" s="158" t="s">
        <v>713</v>
      </c>
    </row>
    <row r="145" customFormat="false" ht="15" hidden="false" customHeight="true" outlineLevel="0" collapsed="false">
      <c r="A145" s="144" t="n">
        <v>46030</v>
      </c>
      <c r="B145" s="113"/>
      <c r="C145" s="159" t="s">
        <v>679</v>
      </c>
      <c r="D145" s="158" t="s">
        <v>192</v>
      </c>
      <c r="E145" s="147" t="n">
        <v>5</v>
      </c>
      <c r="F145" s="147" t="n">
        <v>50</v>
      </c>
      <c r="G145" s="160" t="n">
        <v>0.25</v>
      </c>
      <c r="H145" s="20"/>
      <c r="I145" s="158" t="s">
        <v>684</v>
      </c>
    </row>
    <row r="146" customFormat="false" ht="15" hidden="false" customHeight="true" outlineLevel="0" collapsed="false">
      <c r="A146" s="144" t="n">
        <v>46030</v>
      </c>
      <c r="B146" s="113"/>
      <c r="C146" s="159" t="s">
        <v>679</v>
      </c>
      <c r="D146" s="158" t="s">
        <v>195</v>
      </c>
      <c r="E146" s="147" t="n">
        <v>2</v>
      </c>
      <c r="F146" s="147" t="n">
        <v>50</v>
      </c>
      <c r="G146" s="160" t="n">
        <v>0.1</v>
      </c>
      <c r="H146" s="20"/>
      <c r="I146" s="158" t="s">
        <v>713</v>
      </c>
    </row>
    <row r="147" customFormat="false" ht="15" hidden="false" customHeight="true" outlineLevel="0" collapsed="false">
      <c r="A147" s="144" t="n">
        <v>46030</v>
      </c>
      <c r="B147" s="113"/>
      <c r="C147" s="159" t="s">
        <v>679</v>
      </c>
      <c r="D147" s="158" t="s">
        <v>195</v>
      </c>
      <c r="E147" s="147" t="n">
        <v>4</v>
      </c>
      <c r="F147" s="147" t="n">
        <v>50</v>
      </c>
      <c r="G147" s="160" t="n">
        <v>0.2</v>
      </c>
      <c r="H147" s="20"/>
      <c r="I147" s="158" t="s">
        <v>684</v>
      </c>
    </row>
    <row r="148" customFormat="false" ht="15" hidden="false" customHeight="true" outlineLevel="0" collapsed="false">
      <c r="A148" s="144" t="n">
        <v>46030</v>
      </c>
      <c r="B148" s="113"/>
      <c r="C148" s="159" t="s">
        <v>679</v>
      </c>
      <c r="D148" s="158" t="s">
        <v>222</v>
      </c>
      <c r="E148" s="147" t="n">
        <v>2</v>
      </c>
      <c r="F148" s="147" t="n">
        <v>40</v>
      </c>
      <c r="G148" s="160" t="n">
        <v>1.6</v>
      </c>
      <c r="H148" s="20"/>
      <c r="I148" s="158" t="s">
        <v>692</v>
      </c>
    </row>
    <row r="149" customFormat="false" ht="15" hidden="false" customHeight="true" outlineLevel="0" collapsed="false">
      <c r="A149" s="144" t="n">
        <v>46030</v>
      </c>
      <c r="B149" s="113"/>
      <c r="C149" s="159" t="s">
        <v>679</v>
      </c>
      <c r="D149" s="158" t="s">
        <v>221</v>
      </c>
      <c r="E149" s="147" t="n">
        <v>2</v>
      </c>
      <c r="F149" s="147" t="n">
        <v>40</v>
      </c>
      <c r="G149" s="160" t="n">
        <v>1.6</v>
      </c>
      <c r="H149" s="20"/>
      <c r="I149" s="158" t="s">
        <v>693</v>
      </c>
    </row>
    <row r="150" customFormat="false" ht="15" hidden="false" customHeight="true" outlineLevel="0" collapsed="false">
      <c r="A150" s="144" t="n">
        <v>46030</v>
      </c>
      <c r="B150" s="113"/>
      <c r="C150" s="159" t="s">
        <v>679</v>
      </c>
      <c r="D150" s="158" t="s">
        <v>204</v>
      </c>
      <c r="E150" s="147" t="n">
        <v>12</v>
      </c>
      <c r="F150" s="147" t="n">
        <v>60</v>
      </c>
      <c r="G150" s="160" t="n">
        <v>21.6</v>
      </c>
      <c r="H150" s="20"/>
      <c r="I150" s="158" t="s">
        <v>694</v>
      </c>
    </row>
    <row r="151" customFormat="false" ht="15" hidden="false" customHeight="true" outlineLevel="0" collapsed="false">
      <c r="A151" s="144" t="n">
        <v>46030</v>
      </c>
      <c r="B151" s="113"/>
      <c r="C151" s="159" t="s">
        <v>679</v>
      </c>
      <c r="D151" s="158" t="s">
        <v>236</v>
      </c>
      <c r="E151" s="147" t="n">
        <v>8</v>
      </c>
      <c r="F151" s="147" t="n">
        <v>60</v>
      </c>
      <c r="G151" s="160" t="n">
        <v>14.4</v>
      </c>
      <c r="H151" s="20"/>
      <c r="I151" s="158" t="s">
        <v>695</v>
      </c>
    </row>
    <row r="152" customFormat="false" ht="15" hidden="false" customHeight="true" outlineLevel="0" collapsed="false">
      <c r="A152" s="144" t="n">
        <v>46030</v>
      </c>
      <c r="B152" s="113"/>
      <c r="C152" s="159" t="s">
        <v>679</v>
      </c>
      <c r="D152" s="158" t="s">
        <v>219</v>
      </c>
      <c r="E152" s="147" t="n">
        <v>2</v>
      </c>
      <c r="F152" s="147" t="n">
        <v>50</v>
      </c>
      <c r="G152" s="160" t="n">
        <v>0.1</v>
      </c>
      <c r="H152" s="20"/>
      <c r="I152" s="158" t="s">
        <v>713</v>
      </c>
    </row>
    <row r="153" customFormat="false" ht="15" hidden="false" customHeight="true" outlineLevel="0" collapsed="false">
      <c r="A153" s="144" t="n">
        <v>46030</v>
      </c>
      <c r="B153" s="113"/>
      <c r="C153" s="159" t="s">
        <v>679</v>
      </c>
      <c r="D153" s="158" t="s">
        <v>219</v>
      </c>
      <c r="E153" s="147" t="n">
        <v>4</v>
      </c>
      <c r="F153" s="147" t="n">
        <v>50</v>
      </c>
      <c r="G153" s="160" t="n">
        <v>0.2</v>
      </c>
      <c r="H153" s="20"/>
      <c r="I153" s="158" t="s">
        <v>684</v>
      </c>
    </row>
    <row r="154" customFormat="false" ht="15" hidden="false" customHeight="true" outlineLevel="0" collapsed="false">
      <c r="A154" s="144" t="n">
        <v>46030</v>
      </c>
      <c r="B154" s="113"/>
      <c r="C154" s="159" t="s">
        <v>679</v>
      </c>
      <c r="D154" s="158" t="s">
        <v>220</v>
      </c>
      <c r="E154" s="147" t="n">
        <v>40</v>
      </c>
      <c r="F154" s="147" t="n">
        <v>50</v>
      </c>
      <c r="G154" s="160" t="n">
        <v>2</v>
      </c>
      <c r="H154" s="20"/>
      <c r="I154" s="158" t="s">
        <v>716</v>
      </c>
    </row>
    <row r="155" customFormat="false" ht="15" hidden="false" customHeight="true" outlineLevel="0" collapsed="false">
      <c r="A155" s="144" t="n">
        <v>46031</v>
      </c>
      <c r="B155" s="113"/>
      <c r="C155" s="159" t="s">
        <v>679</v>
      </c>
      <c r="D155" s="113" t="s">
        <v>267</v>
      </c>
      <c r="E155" s="147" t="n">
        <v>1</v>
      </c>
      <c r="F155" s="147" t="n">
        <v>60</v>
      </c>
      <c r="G155" s="160" t="n">
        <v>1.2</v>
      </c>
      <c r="H155" s="20"/>
      <c r="I155" s="113" t="s">
        <v>705</v>
      </c>
    </row>
    <row r="156" customFormat="false" ht="15" hidden="false" customHeight="true" outlineLevel="0" collapsed="false">
      <c r="A156" s="144" t="n">
        <v>46031</v>
      </c>
      <c r="B156" s="113"/>
      <c r="C156" s="159" t="s">
        <v>679</v>
      </c>
      <c r="D156" s="158" t="s">
        <v>142</v>
      </c>
      <c r="E156" s="147" t="n">
        <v>10</v>
      </c>
      <c r="F156" s="147" t="n">
        <v>50</v>
      </c>
      <c r="G156" s="160" t="n">
        <v>0.5</v>
      </c>
      <c r="H156" s="20"/>
      <c r="I156" s="158" t="s">
        <v>681</v>
      </c>
    </row>
    <row r="157" customFormat="false" ht="15" hidden="false" customHeight="true" outlineLevel="0" collapsed="false">
      <c r="A157" s="144" t="n">
        <v>46031</v>
      </c>
      <c r="B157" s="113"/>
      <c r="C157" s="159" t="s">
        <v>679</v>
      </c>
      <c r="D157" s="158" t="s">
        <v>143</v>
      </c>
      <c r="E157" s="147" t="n">
        <v>5</v>
      </c>
      <c r="F157" s="147" t="n">
        <v>50</v>
      </c>
      <c r="G157" s="160" t="n">
        <v>10</v>
      </c>
      <c r="H157" s="20"/>
      <c r="I157" s="158" t="s">
        <v>683</v>
      </c>
    </row>
    <row r="158" customFormat="false" ht="15" hidden="false" customHeight="true" outlineLevel="0" collapsed="false">
      <c r="A158" s="144" t="n">
        <v>46031</v>
      </c>
      <c r="B158" s="113"/>
      <c r="C158" s="159" t="s">
        <v>679</v>
      </c>
      <c r="D158" s="158" t="s">
        <v>144</v>
      </c>
      <c r="E158" s="147" t="n">
        <v>6</v>
      </c>
      <c r="F158" s="147" t="n">
        <v>1000</v>
      </c>
      <c r="G158" s="160" t="n">
        <v>12</v>
      </c>
      <c r="H158" s="20"/>
      <c r="I158" s="158" t="s">
        <v>685</v>
      </c>
    </row>
    <row r="159" customFormat="false" ht="15" hidden="false" customHeight="true" outlineLevel="0" collapsed="false">
      <c r="A159" s="144" t="n">
        <v>46031</v>
      </c>
      <c r="B159" s="113"/>
      <c r="C159" s="159" t="s">
        <v>679</v>
      </c>
      <c r="D159" s="158" t="s">
        <v>146</v>
      </c>
      <c r="E159" s="147" t="n">
        <v>10</v>
      </c>
      <c r="F159" s="147" t="n">
        <v>50</v>
      </c>
      <c r="G159" s="160" t="n">
        <v>0.5</v>
      </c>
      <c r="H159" s="20"/>
      <c r="I159" s="158" t="s">
        <v>681</v>
      </c>
    </row>
    <row r="160" customFormat="false" ht="15" hidden="false" customHeight="true" outlineLevel="0" collapsed="false">
      <c r="A160" s="144" t="n">
        <v>46031</v>
      </c>
      <c r="B160" s="113"/>
      <c r="C160" s="159" t="s">
        <v>679</v>
      </c>
      <c r="D160" s="158" t="s">
        <v>147</v>
      </c>
      <c r="E160" s="147" t="n">
        <v>10</v>
      </c>
      <c r="F160" s="147" t="n">
        <v>50</v>
      </c>
      <c r="G160" s="160" t="n">
        <v>0.5</v>
      </c>
      <c r="H160" s="20"/>
      <c r="I160" s="158" t="s">
        <v>681</v>
      </c>
    </row>
    <row r="161" customFormat="false" ht="15" hidden="false" customHeight="true" outlineLevel="0" collapsed="false">
      <c r="A161" s="144" t="n">
        <v>46031</v>
      </c>
      <c r="B161" s="113"/>
      <c r="C161" s="159" t="s">
        <v>679</v>
      </c>
      <c r="D161" s="158" t="s">
        <v>155</v>
      </c>
      <c r="E161" s="147" t="n">
        <v>5</v>
      </c>
      <c r="F161" s="147" t="n">
        <v>80</v>
      </c>
      <c r="G161" s="160" t="n">
        <v>8</v>
      </c>
      <c r="H161" s="20"/>
      <c r="I161" s="113" t="s">
        <v>686</v>
      </c>
    </row>
    <row r="162" customFormat="false" ht="15" hidden="false" customHeight="true" outlineLevel="0" collapsed="false">
      <c r="A162" s="144" t="n">
        <v>46031</v>
      </c>
      <c r="B162" s="113"/>
      <c r="C162" s="159" t="s">
        <v>679</v>
      </c>
      <c r="D162" s="158" t="s">
        <v>169</v>
      </c>
      <c r="E162" s="147" t="n">
        <v>2</v>
      </c>
      <c r="F162" s="147" t="n">
        <v>1000</v>
      </c>
      <c r="G162" s="160" t="n">
        <v>2</v>
      </c>
      <c r="H162" s="20"/>
      <c r="I162" s="158" t="s">
        <v>719</v>
      </c>
    </row>
    <row r="163" customFormat="false" ht="15" hidden="false" customHeight="true" outlineLevel="0" collapsed="false">
      <c r="A163" s="144" t="n">
        <v>46031</v>
      </c>
      <c r="B163" s="113"/>
      <c r="C163" s="159" t="s">
        <v>679</v>
      </c>
      <c r="D163" s="158" t="s">
        <v>174</v>
      </c>
      <c r="E163" s="147" t="n">
        <v>2</v>
      </c>
      <c r="F163" s="147" t="n">
        <v>1000</v>
      </c>
      <c r="G163" s="160" t="n">
        <v>2</v>
      </c>
      <c r="H163" s="20"/>
      <c r="I163" s="158" t="s">
        <v>687</v>
      </c>
    </row>
    <row r="164" customFormat="false" ht="15" hidden="false" customHeight="true" outlineLevel="0" collapsed="false">
      <c r="A164" s="144" t="n">
        <v>46031</v>
      </c>
      <c r="B164" s="113"/>
      <c r="C164" s="159" t="s">
        <v>679</v>
      </c>
      <c r="D164" s="158" t="s">
        <v>183</v>
      </c>
      <c r="E164" s="147" t="n">
        <v>15</v>
      </c>
      <c r="F164" s="147" t="n">
        <v>60</v>
      </c>
      <c r="G164" s="160" t="n">
        <v>27</v>
      </c>
      <c r="H164" s="20"/>
      <c r="I164" s="158" t="s">
        <v>689</v>
      </c>
    </row>
    <row r="165" customFormat="false" ht="15" hidden="false" customHeight="true" outlineLevel="0" collapsed="false">
      <c r="A165" s="144" t="n">
        <v>46031</v>
      </c>
      <c r="B165" s="113"/>
      <c r="C165" s="159" t="s">
        <v>679</v>
      </c>
      <c r="D165" s="158" t="s">
        <v>184</v>
      </c>
      <c r="E165" s="147" t="n">
        <v>3</v>
      </c>
      <c r="F165" s="147" t="n">
        <v>50</v>
      </c>
      <c r="G165" s="160" t="n">
        <v>6</v>
      </c>
      <c r="H165" s="20"/>
      <c r="I165" s="158" t="s">
        <v>691</v>
      </c>
    </row>
    <row r="166" customFormat="false" ht="15" hidden="false" customHeight="true" outlineLevel="0" collapsed="false">
      <c r="A166" s="144" t="n">
        <v>46031</v>
      </c>
      <c r="B166" s="113"/>
      <c r="C166" s="159" t="s">
        <v>679</v>
      </c>
      <c r="D166" s="158" t="s">
        <v>222</v>
      </c>
      <c r="E166" s="147" t="n">
        <v>1</v>
      </c>
      <c r="F166" s="147" t="n">
        <v>40</v>
      </c>
      <c r="G166" s="160" t="n">
        <v>0.8</v>
      </c>
      <c r="H166" s="20"/>
      <c r="I166" s="158" t="s">
        <v>692</v>
      </c>
    </row>
    <row r="167" customFormat="false" ht="15" hidden="false" customHeight="true" outlineLevel="0" collapsed="false">
      <c r="A167" s="144" t="n">
        <v>46031</v>
      </c>
      <c r="B167" s="113"/>
      <c r="C167" s="159" t="s">
        <v>679</v>
      </c>
      <c r="D167" s="158" t="s">
        <v>204</v>
      </c>
      <c r="E167" s="147" t="n">
        <v>15</v>
      </c>
      <c r="F167" s="147" t="n">
        <v>60</v>
      </c>
      <c r="G167" s="160" t="n">
        <v>27</v>
      </c>
      <c r="H167" s="20"/>
      <c r="I167" s="158" t="s">
        <v>694</v>
      </c>
    </row>
    <row r="168" customFormat="false" ht="15" hidden="false" customHeight="true" outlineLevel="0" collapsed="false">
      <c r="A168" s="144" t="n">
        <v>46031</v>
      </c>
      <c r="B168" s="113"/>
      <c r="C168" s="159" t="s">
        <v>679</v>
      </c>
      <c r="D168" s="158" t="s">
        <v>236</v>
      </c>
      <c r="E168" s="147" t="n">
        <v>5</v>
      </c>
      <c r="F168" s="147" t="n">
        <v>60</v>
      </c>
      <c r="G168" s="160" t="n">
        <v>9</v>
      </c>
      <c r="H168" s="20"/>
      <c r="I168" s="158" t="s">
        <v>695</v>
      </c>
    </row>
    <row r="169" customFormat="false" ht="15" hidden="false" customHeight="true" outlineLevel="0" collapsed="false">
      <c r="A169" s="144" t="n">
        <v>46031</v>
      </c>
      <c r="B169" s="113"/>
      <c r="C169" s="159" t="s">
        <v>679</v>
      </c>
      <c r="D169" s="158" t="s">
        <v>220</v>
      </c>
      <c r="E169" s="147" t="n">
        <v>10</v>
      </c>
      <c r="F169" s="147" t="n">
        <v>50</v>
      </c>
      <c r="G169" s="160" t="n">
        <v>0.5</v>
      </c>
      <c r="H169" s="20"/>
      <c r="I169" s="158" t="s">
        <v>681</v>
      </c>
    </row>
    <row r="170" customFormat="false" ht="15" hidden="false" customHeight="true" outlineLevel="0" collapsed="false">
      <c r="A170" s="144" t="n">
        <v>46034</v>
      </c>
      <c r="B170" s="113"/>
      <c r="C170" s="159" t="s">
        <v>679</v>
      </c>
      <c r="D170" s="113" t="s">
        <v>267</v>
      </c>
      <c r="E170" s="147" t="n">
        <v>2</v>
      </c>
      <c r="F170" s="147" t="n">
        <v>60</v>
      </c>
      <c r="G170" s="160" t="n">
        <v>2.4</v>
      </c>
      <c r="H170" s="20"/>
      <c r="I170" s="158" t="s">
        <v>697</v>
      </c>
    </row>
    <row r="171" customFormat="false" ht="15" hidden="false" customHeight="true" outlineLevel="0" collapsed="false">
      <c r="A171" s="144" t="n">
        <v>46034</v>
      </c>
      <c r="B171" s="113"/>
      <c r="C171" s="159" t="s">
        <v>679</v>
      </c>
      <c r="D171" s="158" t="s">
        <v>142</v>
      </c>
      <c r="E171" s="147" t="n">
        <v>5</v>
      </c>
      <c r="F171" s="147" t="n">
        <v>50</v>
      </c>
      <c r="G171" s="160" t="n">
        <v>0.25</v>
      </c>
      <c r="H171" s="20"/>
      <c r="I171" s="158" t="s">
        <v>706</v>
      </c>
    </row>
    <row r="172" customFormat="false" ht="15" hidden="false" customHeight="true" outlineLevel="0" collapsed="false">
      <c r="A172" s="144" t="n">
        <v>46034</v>
      </c>
      <c r="B172" s="113"/>
      <c r="C172" s="159" t="s">
        <v>679</v>
      </c>
      <c r="D172" s="158" t="s">
        <v>143</v>
      </c>
      <c r="E172" s="147" t="n">
        <v>4</v>
      </c>
      <c r="F172" s="147" t="n">
        <v>50</v>
      </c>
      <c r="G172" s="160" t="n">
        <v>4</v>
      </c>
      <c r="H172" s="20"/>
      <c r="I172" s="158" t="s">
        <v>682</v>
      </c>
    </row>
    <row r="173" customFormat="false" ht="15" hidden="false" customHeight="true" outlineLevel="0" collapsed="false">
      <c r="A173" s="144" t="n">
        <v>46034</v>
      </c>
      <c r="B173" s="113"/>
      <c r="C173" s="159" t="s">
        <v>679</v>
      </c>
      <c r="D173" s="158" t="s">
        <v>143</v>
      </c>
      <c r="E173" s="147" t="n">
        <v>1</v>
      </c>
      <c r="F173" s="147" t="n">
        <v>50</v>
      </c>
      <c r="G173" s="160" t="n">
        <v>2</v>
      </c>
      <c r="H173" s="20"/>
      <c r="I173" s="158" t="s">
        <v>683</v>
      </c>
    </row>
    <row r="174" customFormat="false" ht="15" hidden="false" customHeight="true" outlineLevel="0" collapsed="false">
      <c r="A174" s="144" t="n">
        <v>46034</v>
      </c>
      <c r="B174" s="113"/>
      <c r="C174" s="159" t="s">
        <v>679</v>
      </c>
      <c r="D174" s="158" t="s">
        <v>144</v>
      </c>
      <c r="E174" s="147" t="n">
        <v>3</v>
      </c>
      <c r="F174" s="147" t="n">
        <v>1000</v>
      </c>
      <c r="G174" s="160" t="n">
        <v>6</v>
      </c>
      <c r="H174" s="20"/>
      <c r="I174" s="158" t="s">
        <v>685</v>
      </c>
    </row>
    <row r="175" customFormat="false" ht="15" hidden="false" customHeight="true" outlineLevel="0" collapsed="false">
      <c r="A175" s="144" t="n">
        <v>46034</v>
      </c>
      <c r="B175" s="113"/>
      <c r="C175" s="159" t="s">
        <v>679</v>
      </c>
      <c r="D175" s="158" t="s">
        <v>146</v>
      </c>
      <c r="E175" s="147" t="n">
        <v>5</v>
      </c>
      <c r="F175" s="147" t="n">
        <v>50</v>
      </c>
      <c r="G175" s="160" t="n">
        <v>0.25</v>
      </c>
      <c r="H175" s="20"/>
      <c r="I175" s="158" t="s">
        <v>706</v>
      </c>
    </row>
    <row r="176" customFormat="false" ht="15" hidden="false" customHeight="true" outlineLevel="0" collapsed="false">
      <c r="A176" s="144" t="n">
        <v>46034</v>
      </c>
      <c r="B176" s="113"/>
      <c r="C176" s="159" t="s">
        <v>679</v>
      </c>
      <c r="D176" s="158" t="s">
        <v>147</v>
      </c>
      <c r="E176" s="147" t="n">
        <v>5</v>
      </c>
      <c r="F176" s="147" t="n">
        <v>50</v>
      </c>
      <c r="G176" s="160" t="n">
        <v>0.25</v>
      </c>
      <c r="H176" s="20"/>
      <c r="I176" s="158" t="s">
        <v>706</v>
      </c>
    </row>
    <row r="177" customFormat="false" ht="15" hidden="false" customHeight="true" outlineLevel="0" collapsed="false">
      <c r="A177" s="144" t="n">
        <v>46034</v>
      </c>
      <c r="B177" s="113"/>
      <c r="C177" s="159" t="s">
        <v>679</v>
      </c>
      <c r="D177" s="158" t="s">
        <v>155</v>
      </c>
      <c r="E177" s="147" t="n">
        <v>2</v>
      </c>
      <c r="F177" s="147" t="n">
        <v>80</v>
      </c>
      <c r="G177" s="160" t="n">
        <v>3.2</v>
      </c>
      <c r="H177" s="20"/>
      <c r="I177" s="113" t="s">
        <v>686</v>
      </c>
    </row>
    <row r="178" customFormat="false" ht="15" hidden="false" customHeight="true" outlineLevel="0" collapsed="false">
      <c r="A178" s="144" t="n">
        <v>46034</v>
      </c>
      <c r="B178" s="113"/>
      <c r="C178" s="159" t="s">
        <v>679</v>
      </c>
      <c r="D178" s="158" t="s">
        <v>174</v>
      </c>
      <c r="E178" s="147" t="n">
        <v>2</v>
      </c>
      <c r="F178" s="147" t="n">
        <v>1000</v>
      </c>
      <c r="G178" s="160" t="n">
        <v>2</v>
      </c>
      <c r="H178" s="20"/>
      <c r="I178" s="158" t="s">
        <v>687</v>
      </c>
    </row>
    <row r="179" customFormat="false" ht="15" hidden="false" customHeight="true" outlineLevel="0" collapsed="false">
      <c r="A179" s="144" t="n">
        <v>46034</v>
      </c>
      <c r="B179" s="113"/>
      <c r="C179" s="159" t="s">
        <v>679</v>
      </c>
      <c r="D179" s="158" t="s">
        <v>183</v>
      </c>
      <c r="E179" s="147" t="n">
        <v>20</v>
      </c>
      <c r="F179" s="147" t="n">
        <v>60</v>
      </c>
      <c r="G179" s="160" t="n">
        <v>36</v>
      </c>
      <c r="H179" s="20"/>
      <c r="I179" s="158" t="s">
        <v>689</v>
      </c>
    </row>
    <row r="180" customFormat="false" ht="15" hidden="false" customHeight="true" outlineLevel="0" collapsed="false">
      <c r="A180" s="144" t="n">
        <v>46034</v>
      </c>
      <c r="B180" s="113"/>
      <c r="C180" s="159" t="s">
        <v>679</v>
      </c>
      <c r="D180" s="158" t="s">
        <v>184</v>
      </c>
      <c r="E180" s="147" t="n">
        <v>3</v>
      </c>
      <c r="F180" s="147" t="n">
        <v>50</v>
      </c>
      <c r="G180" s="160" t="n">
        <v>6</v>
      </c>
      <c r="H180" s="20"/>
      <c r="I180" s="158" t="s">
        <v>691</v>
      </c>
    </row>
    <row r="181" customFormat="false" ht="15" hidden="false" customHeight="true" outlineLevel="0" collapsed="false">
      <c r="A181" s="144" t="n">
        <v>46034</v>
      </c>
      <c r="B181" s="113"/>
      <c r="C181" s="159" t="s">
        <v>679</v>
      </c>
      <c r="D181" s="158" t="s">
        <v>204</v>
      </c>
      <c r="E181" s="147" t="n">
        <v>10</v>
      </c>
      <c r="F181" s="147" t="n">
        <v>60</v>
      </c>
      <c r="G181" s="160" t="n">
        <v>18</v>
      </c>
      <c r="H181" s="20"/>
      <c r="I181" s="158" t="s">
        <v>694</v>
      </c>
    </row>
    <row r="182" customFormat="false" ht="15" hidden="false" customHeight="true" outlineLevel="0" collapsed="false">
      <c r="A182" s="144" t="n">
        <v>46034</v>
      </c>
      <c r="B182" s="113"/>
      <c r="C182" s="159" t="s">
        <v>679</v>
      </c>
      <c r="D182" s="158" t="s">
        <v>236</v>
      </c>
      <c r="E182" s="147" t="n">
        <v>8</v>
      </c>
      <c r="F182" s="147" t="n">
        <v>60</v>
      </c>
      <c r="G182" s="160" t="n">
        <v>14.4</v>
      </c>
      <c r="H182" s="20"/>
      <c r="I182" s="158" t="s">
        <v>695</v>
      </c>
    </row>
    <row r="183" customFormat="false" ht="15" hidden="false" customHeight="true" outlineLevel="0" collapsed="false">
      <c r="A183" s="144" t="n">
        <v>46034</v>
      </c>
      <c r="B183" s="113"/>
      <c r="C183" s="159" t="s">
        <v>679</v>
      </c>
      <c r="D183" s="158" t="s">
        <v>206</v>
      </c>
      <c r="E183" s="147" t="n">
        <v>2</v>
      </c>
      <c r="F183" s="147" t="n">
        <v>30</v>
      </c>
      <c r="G183" s="160" t="n">
        <v>3.6</v>
      </c>
      <c r="H183" s="20"/>
      <c r="I183" s="158" t="s">
        <v>696</v>
      </c>
    </row>
    <row r="184" customFormat="false" ht="15" hidden="false" customHeight="true" outlineLevel="0" collapsed="false">
      <c r="A184" s="144" t="n">
        <v>46034</v>
      </c>
      <c r="B184" s="113"/>
      <c r="C184" s="159" t="s">
        <v>679</v>
      </c>
      <c r="D184" s="158" t="s">
        <v>220</v>
      </c>
      <c r="E184" s="147" t="n">
        <v>5</v>
      </c>
      <c r="F184" s="147" t="n">
        <v>50</v>
      </c>
      <c r="G184" s="160" t="n">
        <v>0.25</v>
      </c>
      <c r="H184" s="20"/>
      <c r="I184" s="158" t="s">
        <v>706</v>
      </c>
    </row>
    <row r="185" customFormat="false" ht="15" hidden="false" customHeight="true" outlineLevel="0" collapsed="false">
      <c r="A185" s="144" t="n">
        <v>46035</v>
      </c>
      <c r="B185" s="113"/>
      <c r="C185" s="159" t="s">
        <v>679</v>
      </c>
      <c r="D185" s="158" t="s">
        <v>143</v>
      </c>
      <c r="E185" s="147" t="n">
        <v>2</v>
      </c>
      <c r="F185" s="147" t="n">
        <v>50</v>
      </c>
      <c r="G185" s="160" t="n">
        <v>2</v>
      </c>
      <c r="H185" s="20"/>
      <c r="I185" s="158" t="s">
        <v>720</v>
      </c>
    </row>
    <row r="186" customFormat="false" ht="15" hidden="false" customHeight="true" outlineLevel="0" collapsed="false">
      <c r="A186" s="144" t="n">
        <v>46035</v>
      </c>
      <c r="B186" s="113"/>
      <c r="C186" s="159" t="s">
        <v>679</v>
      </c>
      <c r="D186" s="158" t="s">
        <v>143</v>
      </c>
      <c r="E186" s="147" t="n">
        <v>5</v>
      </c>
      <c r="F186" s="147" t="n">
        <v>50</v>
      </c>
      <c r="G186" s="160" t="n">
        <v>0.25</v>
      </c>
      <c r="H186" s="20"/>
      <c r="I186" s="158" t="s">
        <v>684</v>
      </c>
    </row>
    <row r="187" customFormat="false" ht="15" hidden="false" customHeight="true" outlineLevel="0" collapsed="false">
      <c r="A187" s="144" t="n">
        <v>46035</v>
      </c>
      <c r="B187" s="113"/>
      <c r="C187" s="159" t="s">
        <v>679</v>
      </c>
      <c r="D187" s="158" t="s">
        <v>145</v>
      </c>
      <c r="E187" s="147" t="n">
        <v>5</v>
      </c>
      <c r="F187" s="147" t="n">
        <v>50</v>
      </c>
      <c r="G187" s="160" t="n">
        <v>0.25</v>
      </c>
      <c r="H187" s="20"/>
      <c r="I187" s="158" t="s">
        <v>684</v>
      </c>
    </row>
    <row r="188" customFormat="false" ht="15" hidden="false" customHeight="true" outlineLevel="0" collapsed="false">
      <c r="A188" s="144" t="n">
        <v>46035</v>
      </c>
      <c r="B188" s="113"/>
      <c r="C188" s="159" t="s">
        <v>679</v>
      </c>
      <c r="D188" s="158" t="s">
        <v>148</v>
      </c>
      <c r="E188" s="147" t="n">
        <v>4</v>
      </c>
      <c r="F188" s="147" t="n">
        <v>50</v>
      </c>
      <c r="G188" s="160" t="n">
        <v>0.2</v>
      </c>
      <c r="H188" s="20"/>
      <c r="I188" s="158" t="s">
        <v>684</v>
      </c>
    </row>
    <row r="189" customFormat="false" ht="15" hidden="false" customHeight="true" outlineLevel="0" collapsed="false">
      <c r="A189" s="144" t="n">
        <v>46035</v>
      </c>
      <c r="B189" s="113"/>
      <c r="C189" s="159" t="s">
        <v>679</v>
      </c>
      <c r="D189" s="158" t="s">
        <v>155</v>
      </c>
      <c r="E189" s="147" t="n">
        <v>8</v>
      </c>
      <c r="F189" s="147" t="n">
        <v>80</v>
      </c>
      <c r="G189" s="160" t="n">
        <v>12.8</v>
      </c>
      <c r="H189" s="20"/>
      <c r="I189" s="113" t="s">
        <v>686</v>
      </c>
    </row>
    <row r="190" customFormat="false" ht="15" hidden="false" customHeight="true" outlineLevel="0" collapsed="false">
      <c r="A190" s="144" t="n">
        <v>46035</v>
      </c>
      <c r="B190" s="113"/>
      <c r="C190" s="159" t="s">
        <v>679</v>
      </c>
      <c r="D190" s="158" t="s">
        <v>159</v>
      </c>
      <c r="E190" s="147" t="n">
        <v>4</v>
      </c>
      <c r="F190" s="147" t="n">
        <v>50</v>
      </c>
      <c r="G190" s="160" t="n">
        <v>0.2</v>
      </c>
      <c r="H190" s="20"/>
      <c r="I190" s="158" t="s">
        <v>684</v>
      </c>
    </row>
    <row r="191" customFormat="false" ht="15" hidden="false" customHeight="true" outlineLevel="0" collapsed="false">
      <c r="A191" s="144" t="n">
        <v>46035</v>
      </c>
      <c r="B191" s="113"/>
      <c r="C191" s="159" t="s">
        <v>679</v>
      </c>
      <c r="D191" s="158" t="s">
        <v>161</v>
      </c>
      <c r="E191" s="147" t="n">
        <v>6</v>
      </c>
      <c r="F191" s="147" t="n">
        <v>1000</v>
      </c>
      <c r="G191" s="160" t="n">
        <v>6</v>
      </c>
      <c r="H191" s="20"/>
      <c r="I191" s="158" t="s">
        <v>707</v>
      </c>
    </row>
    <row r="192" customFormat="false" ht="15" hidden="false" customHeight="true" outlineLevel="0" collapsed="false">
      <c r="A192" s="144" t="n">
        <v>46035</v>
      </c>
      <c r="B192" s="113"/>
      <c r="C192" s="159" t="s">
        <v>679</v>
      </c>
      <c r="D192" s="158" t="s">
        <v>174</v>
      </c>
      <c r="E192" s="147" t="n">
        <v>6</v>
      </c>
      <c r="F192" s="147" t="n">
        <v>1000</v>
      </c>
      <c r="G192" s="160" t="n">
        <v>6</v>
      </c>
      <c r="H192" s="20"/>
      <c r="I192" s="158" t="s">
        <v>687</v>
      </c>
    </row>
    <row r="193" customFormat="false" ht="15" hidden="false" customHeight="true" outlineLevel="0" collapsed="false">
      <c r="A193" s="144" t="n">
        <v>46035</v>
      </c>
      <c r="B193" s="113"/>
      <c r="C193" s="159" t="s">
        <v>679</v>
      </c>
      <c r="D193" s="158" t="s">
        <v>179</v>
      </c>
      <c r="E193" s="147" t="n">
        <v>1</v>
      </c>
      <c r="F193" s="147" t="n">
        <v>1000</v>
      </c>
      <c r="G193" s="160" t="n">
        <v>1</v>
      </c>
      <c r="H193" s="20"/>
      <c r="I193" s="158" t="s">
        <v>715</v>
      </c>
    </row>
    <row r="194" customFormat="false" ht="15" hidden="false" customHeight="true" outlineLevel="0" collapsed="false">
      <c r="A194" s="144" t="n">
        <v>46035</v>
      </c>
      <c r="B194" s="113"/>
      <c r="C194" s="159" t="s">
        <v>679</v>
      </c>
      <c r="D194" s="158" t="s">
        <v>183</v>
      </c>
      <c r="E194" s="147" t="n">
        <v>6</v>
      </c>
      <c r="F194" s="147" t="n">
        <v>60</v>
      </c>
      <c r="G194" s="160" t="n">
        <v>10.8</v>
      </c>
      <c r="H194" s="20"/>
      <c r="I194" s="158" t="s">
        <v>689</v>
      </c>
    </row>
    <row r="195" customFormat="false" ht="15" hidden="false" customHeight="true" outlineLevel="0" collapsed="false">
      <c r="A195" s="144" t="n">
        <v>46035</v>
      </c>
      <c r="B195" s="113"/>
      <c r="C195" s="159" t="s">
        <v>679</v>
      </c>
      <c r="D195" s="158" t="s">
        <v>184</v>
      </c>
      <c r="E195" s="147" t="n">
        <v>2</v>
      </c>
      <c r="F195" s="147" t="n">
        <v>50</v>
      </c>
      <c r="G195" s="160" t="n">
        <v>2</v>
      </c>
      <c r="H195" s="20"/>
      <c r="I195" s="158" t="s">
        <v>701</v>
      </c>
    </row>
    <row r="196" customFormat="false" ht="15" hidden="false" customHeight="true" outlineLevel="0" collapsed="false">
      <c r="A196" s="144" t="n">
        <v>46035</v>
      </c>
      <c r="B196" s="113"/>
      <c r="C196" s="159" t="s">
        <v>679</v>
      </c>
      <c r="D196" s="158" t="s">
        <v>184</v>
      </c>
      <c r="E196" s="147" t="n">
        <v>2</v>
      </c>
      <c r="F196" s="147" t="n">
        <v>50</v>
      </c>
      <c r="G196" s="160" t="n">
        <v>2</v>
      </c>
      <c r="H196" s="20"/>
      <c r="I196" s="158" t="s">
        <v>720</v>
      </c>
    </row>
    <row r="197" customFormat="false" ht="15" hidden="false" customHeight="true" outlineLevel="0" collapsed="false">
      <c r="A197" s="144" t="n">
        <v>46035</v>
      </c>
      <c r="B197" s="113"/>
      <c r="C197" s="159" t="s">
        <v>679</v>
      </c>
      <c r="D197" s="158" t="s">
        <v>184</v>
      </c>
      <c r="E197" s="147" t="n">
        <v>5</v>
      </c>
      <c r="F197" s="147" t="n">
        <v>50</v>
      </c>
      <c r="G197" s="160" t="n">
        <v>0.25</v>
      </c>
      <c r="H197" s="20"/>
      <c r="I197" s="158" t="s">
        <v>684</v>
      </c>
    </row>
    <row r="198" customFormat="false" ht="15" hidden="false" customHeight="true" outlineLevel="0" collapsed="false">
      <c r="A198" s="144" t="n">
        <v>46035</v>
      </c>
      <c r="B198" s="113"/>
      <c r="C198" s="159" t="s">
        <v>679</v>
      </c>
      <c r="D198" s="158" t="s">
        <v>186</v>
      </c>
      <c r="E198" s="147" t="n">
        <v>4</v>
      </c>
      <c r="F198" s="147" t="n">
        <v>50</v>
      </c>
      <c r="G198" s="160" t="n">
        <v>0.2</v>
      </c>
      <c r="H198" s="20"/>
      <c r="I198" s="158" t="s">
        <v>684</v>
      </c>
    </row>
    <row r="199" customFormat="false" ht="15" hidden="false" customHeight="true" outlineLevel="0" collapsed="false">
      <c r="A199" s="144" t="n">
        <v>46035</v>
      </c>
      <c r="B199" s="113"/>
      <c r="C199" s="159" t="s">
        <v>679</v>
      </c>
      <c r="D199" s="158" t="s">
        <v>192</v>
      </c>
      <c r="E199" s="147" t="n">
        <v>5</v>
      </c>
      <c r="F199" s="147" t="n">
        <v>50</v>
      </c>
      <c r="G199" s="160" t="n">
        <v>0.25</v>
      </c>
      <c r="H199" s="20"/>
      <c r="I199" s="158" t="s">
        <v>684</v>
      </c>
    </row>
    <row r="200" customFormat="false" ht="15" hidden="false" customHeight="true" outlineLevel="0" collapsed="false">
      <c r="A200" s="144" t="n">
        <v>46035</v>
      </c>
      <c r="B200" s="113"/>
      <c r="C200" s="159" t="s">
        <v>679</v>
      </c>
      <c r="D200" s="158" t="s">
        <v>195</v>
      </c>
      <c r="E200" s="147" t="n">
        <v>4</v>
      </c>
      <c r="F200" s="147" t="n">
        <v>50</v>
      </c>
      <c r="G200" s="160" t="n">
        <v>0.2</v>
      </c>
      <c r="H200" s="20"/>
      <c r="I200" s="158" t="s">
        <v>684</v>
      </c>
    </row>
    <row r="201" customFormat="false" ht="15" hidden="false" customHeight="true" outlineLevel="0" collapsed="false">
      <c r="A201" s="144" t="n">
        <v>46035</v>
      </c>
      <c r="B201" s="113"/>
      <c r="C201" s="159" t="s">
        <v>679</v>
      </c>
      <c r="D201" s="158" t="s">
        <v>222</v>
      </c>
      <c r="E201" s="147" t="n">
        <v>5</v>
      </c>
      <c r="F201" s="147" t="n">
        <v>40</v>
      </c>
      <c r="G201" s="160" t="n">
        <v>4</v>
      </c>
      <c r="H201" s="20"/>
      <c r="I201" s="158" t="s">
        <v>692</v>
      </c>
    </row>
    <row r="202" customFormat="false" ht="15" hidden="false" customHeight="true" outlineLevel="0" collapsed="false">
      <c r="A202" s="144" t="n">
        <v>46035</v>
      </c>
      <c r="B202" s="113"/>
      <c r="C202" s="159" t="s">
        <v>679</v>
      </c>
      <c r="D202" s="158" t="s">
        <v>221</v>
      </c>
      <c r="E202" s="147" t="n">
        <v>2</v>
      </c>
      <c r="F202" s="147" t="n">
        <v>40</v>
      </c>
      <c r="G202" s="160" t="n">
        <v>1.6</v>
      </c>
      <c r="H202" s="20"/>
      <c r="I202" s="158" t="s">
        <v>693</v>
      </c>
    </row>
    <row r="203" customFormat="false" ht="15" hidden="false" customHeight="true" outlineLevel="0" collapsed="false">
      <c r="A203" s="144" t="n">
        <v>46035</v>
      </c>
      <c r="B203" s="113"/>
      <c r="C203" s="159" t="s">
        <v>679</v>
      </c>
      <c r="D203" s="158" t="s">
        <v>204</v>
      </c>
      <c r="E203" s="147" t="n">
        <v>21</v>
      </c>
      <c r="F203" s="147" t="n">
        <v>60</v>
      </c>
      <c r="G203" s="160" t="n">
        <v>37.8</v>
      </c>
      <c r="H203" s="20"/>
      <c r="I203" s="158" t="s">
        <v>694</v>
      </c>
    </row>
    <row r="204" customFormat="false" ht="15" hidden="false" customHeight="true" outlineLevel="0" collapsed="false">
      <c r="A204" s="144" t="n">
        <v>46035</v>
      </c>
      <c r="B204" s="113"/>
      <c r="C204" s="159" t="s">
        <v>679</v>
      </c>
      <c r="D204" s="158" t="s">
        <v>236</v>
      </c>
      <c r="E204" s="147" t="n">
        <v>11</v>
      </c>
      <c r="F204" s="147" t="n">
        <v>60</v>
      </c>
      <c r="G204" s="160" t="n">
        <v>19.8</v>
      </c>
      <c r="H204" s="20"/>
      <c r="I204" s="158" t="s">
        <v>695</v>
      </c>
    </row>
    <row r="205" customFormat="false" ht="15" hidden="false" customHeight="true" outlineLevel="0" collapsed="false">
      <c r="A205" s="144" t="n">
        <v>46035</v>
      </c>
      <c r="B205" s="113"/>
      <c r="C205" s="159" t="s">
        <v>679</v>
      </c>
      <c r="D205" s="158" t="s">
        <v>206</v>
      </c>
      <c r="E205" s="147" t="n">
        <v>2</v>
      </c>
      <c r="F205" s="147" t="n">
        <v>30</v>
      </c>
      <c r="G205" s="160" t="n">
        <v>3.6</v>
      </c>
      <c r="H205" s="20"/>
      <c r="I205" s="158" t="s">
        <v>696</v>
      </c>
    </row>
    <row r="206" customFormat="false" ht="15" hidden="false" customHeight="true" outlineLevel="0" collapsed="false">
      <c r="A206" s="144" t="n">
        <v>46035</v>
      </c>
      <c r="B206" s="113"/>
      <c r="C206" s="159" t="s">
        <v>679</v>
      </c>
      <c r="D206" s="158" t="s">
        <v>219</v>
      </c>
      <c r="E206" s="147" t="n">
        <v>4</v>
      </c>
      <c r="F206" s="147" t="n">
        <v>50</v>
      </c>
      <c r="G206" s="160" t="n">
        <v>0.2</v>
      </c>
      <c r="H206" s="20"/>
      <c r="I206" s="158" t="s">
        <v>684</v>
      </c>
    </row>
    <row r="207" customFormat="false" ht="15" hidden="false" customHeight="true" outlineLevel="0" collapsed="false">
      <c r="A207" s="144" t="n">
        <v>46036</v>
      </c>
      <c r="B207" s="113"/>
      <c r="C207" s="159" t="s">
        <v>679</v>
      </c>
      <c r="D207" s="113" t="s">
        <v>267</v>
      </c>
      <c r="E207" s="147" t="n">
        <v>2</v>
      </c>
      <c r="F207" s="147" t="n">
        <v>60</v>
      </c>
      <c r="G207" s="160" t="n">
        <v>2.4</v>
      </c>
      <c r="H207" s="20"/>
      <c r="I207" s="113" t="s">
        <v>705</v>
      </c>
    </row>
    <row r="208" customFormat="false" ht="15" hidden="false" customHeight="true" outlineLevel="0" collapsed="false">
      <c r="A208" s="144" t="n">
        <v>46036</v>
      </c>
      <c r="B208" s="113"/>
      <c r="C208" s="159" t="s">
        <v>679</v>
      </c>
      <c r="D208" s="158" t="s">
        <v>142</v>
      </c>
      <c r="E208" s="147" t="n">
        <v>10</v>
      </c>
      <c r="F208" s="147" t="n">
        <v>50</v>
      </c>
      <c r="G208" s="160" t="n">
        <v>0.5</v>
      </c>
      <c r="H208" s="20"/>
      <c r="I208" s="158" t="s">
        <v>681</v>
      </c>
    </row>
    <row r="209" customFormat="false" ht="15" hidden="false" customHeight="true" outlineLevel="0" collapsed="false">
      <c r="A209" s="144" t="n">
        <v>46036</v>
      </c>
      <c r="B209" s="113"/>
      <c r="C209" s="159" t="s">
        <v>679</v>
      </c>
      <c r="D209" s="158" t="s">
        <v>143</v>
      </c>
      <c r="E209" s="147" t="n">
        <v>1</v>
      </c>
      <c r="F209" s="147" t="n">
        <v>50</v>
      </c>
      <c r="G209" s="160" t="n">
        <v>2</v>
      </c>
      <c r="H209" s="20"/>
      <c r="I209" s="158" t="s">
        <v>683</v>
      </c>
    </row>
    <row r="210" customFormat="false" ht="15" hidden="false" customHeight="true" outlineLevel="0" collapsed="false">
      <c r="A210" s="144" t="n">
        <v>46036</v>
      </c>
      <c r="B210" s="113"/>
      <c r="C210" s="159" t="s">
        <v>679</v>
      </c>
      <c r="D210" s="158" t="s">
        <v>143</v>
      </c>
      <c r="E210" s="147" t="n">
        <v>6</v>
      </c>
      <c r="F210" s="147" t="n">
        <v>50</v>
      </c>
      <c r="G210" s="160" t="n">
        <v>0.3</v>
      </c>
      <c r="H210" s="20"/>
      <c r="I210" s="158" t="s">
        <v>721</v>
      </c>
    </row>
    <row r="211" customFormat="false" ht="15" hidden="false" customHeight="true" outlineLevel="0" collapsed="false">
      <c r="A211" s="144" t="n">
        <v>46036</v>
      </c>
      <c r="B211" s="113"/>
      <c r="C211" s="159" t="s">
        <v>679</v>
      </c>
      <c r="D211" s="158" t="s">
        <v>143</v>
      </c>
      <c r="E211" s="147" t="n">
        <v>5</v>
      </c>
      <c r="F211" s="147" t="n">
        <v>50</v>
      </c>
      <c r="G211" s="160" t="n">
        <v>0.25</v>
      </c>
      <c r="H211" s="20"/>
      <c r="I211" s="158" t="s">
        <v>684</v>
      </c>
    </row>
    <row r="212" customFormat="false" ht="15" hidden="false" customHeight="true" outlineLevel="0" collapsed="false">
      <c r="A212" s="144" t="n">
        <v>46036</v>
      </c>
      <c r="B212" s="113"/>
      <c r="C212" s="159" t="s">
        <v>679</v>
      </c>
      <c r="D212" s="158" t="s">
        <v>144</v>
      </c>
      <c r="E212" s="147" t="n">
        <v>1</v>
      </c>
      <c r="F212" s="147" t="n">
        <v>1000</v>
      </c>
      <c r="G212" s="160" t="n">
        <v>1</v>
      </c>
      <c r="H212" s="20"/>
      <c r="I212" s="158" t="s">
        <v>699</v>
      </c>
    </row>
    <row r="213" customFormat="false" ht="15" hidden="false" customHeight="true" outlineLevel="0" collapsed="false">
      <c r="A213" s="144" t="n">
        <v>46036</v>
      </c>
      <c r="B213" s="113"/>
      <c r="C213" s="159" t="s">
        <v>679</v>
      </c>
      <c r="D213" s="158" t="s">
        <v>144</v>
      </c>
      <c r="E213" s="147" t="n">
        <v>6</v>
      </c>
      <c r="F213" s="147" t="n">
        <v>1000</v>
      </c>
      <c r="G213" s="160" t="n">
        <v>12</v>
      </c>
      <c r="H213" s="20"/>
      <c r="I213" s="158" t="s">
        <v>685</v>
      </c>
    </row>
    <row r="214" customFormat="false" ht="15" hidden="false" customHeight="true" outlineLevel="0" collapsed="false">
      <c r="A214" s="144" t="n">
        <v>46036</v>
      </c>
      <c r="B214" s="113"/>
      <c r="C214" s="159" t="s">
        <v>679</v>
      </c>
      <c r="D214" s="158" t="s">
        <v>145</v>
      </c>
      <c r="E214" s="147" t="n">
        <v>4</v>
      </c>
      <c r="F214" s="147" t="n">
        <v>50</v>
      </c>
      <c r="G214" s="160" t="n">
        <v>0.2</v>
      </c>
      <c r="H214" s="20"/>
      <c r="I214" s="158" t="s">
        <v>721</v>
      </c>
    </row>
    <row r="215" customFormat="false" ht="15" hidden="false" customHeight="true" outlineLevel="0" collapsed="false">
      <c r="A215" s="144" t="n">
        <v>46036</v>
      </c>
      <c r="B215" s="113"/>
      <c r="C215" s="159" t="s">
        <v>679</v>
      </c>
      <c r="D215" s="158" t="s">
        <v>145</v>
      </c>
      <c r="E215" s="147" t="n">
        <v>5</v>
      </c>
      <c r="F215" s="147" t="n">
        <v>50</v>
      </c>
      <c r="G215" s="160" t="n">
        <v>0.25</v>
      </c>
      <c r="H215" s="20"/>
      <c r="I215" s="158" t="s">
        <v>684</v>
      </c>
    </row>
    <row r="216" customFormat="false" ht="15" hidden="false" customHeight="true" outlineLevel="0" collapsed="false">
      <c r="A216" s="144" t="n">
        <v>46036</v>
      </c>
      <c r="B216" s="113"/>
      <c r="C216" s="159" t="s">
        <v>679</v>
      </c>
      <c r="D216" s="158" t="s">
        <v>146</v>
      </c>
      <c r="E216" s="147" t="n">
        <v>10</v>
      </c>
      <c r="F216" s="147" t="n">
        <v>50</v>
      </c>
      <c r="G216" s="160" t="n">
        <v>0.5</v>
      </c>
      <c r="H216" s="20"/>
      <c r="I216" s="158" t="s">
        <v>681</v>
      </c>
    </row>
    <row r="217" customFormat="false" ht="15" hidden="false" customHeight="true" outlineLevel="0" collapsed="false">
      <c r="A217" s="144" t="n">
        <v>46036</v>
      </c>
      <c r="B217" s="113"/>
      <c r="C217" s="159" t="s">
        <v>679</v>
      </c>
      <c r="D217" s="158" t="s">
        <v>147</v>
      </c>
      <c r="E217" s="147" t="n">
        <v>10</v>
      </c>
      <c r="F217" s="147" t="n">
        <v>50</v>
      </c>
      <c r="G217" s="160" t="n">
        <v>0.5</v>
      </c>
      <c r="H217" s="20"/>
      <c r="I217" s="158" t="s">
        <v>681</v>
      </c>
    </row>
    <row r="218" customFormat="false" ht="15" hidden="false" customHeight="true" outlineLevel="0" collapsed="false">
      <c r="A218" s="144" t="n">
        <v>46036</v>
      </c>
      <c r="B218" s="113"/>
      <c r="C218" s="159" t="s">
        <v>679</v>
      </c>
      <c r="D218" s="158" t="s">
        <v>148</v>
      </c>
      <c r="E218" s="147" t="n">
        <v>4</v>
      </c>
      <c r="F218" s="147" t="n">
        <v>50</v>
      </c>
      <c r="G218" s="160" t="n">
        <v>0.2</v>
      </c>
      <c r="H218" s="20"/>
      <c r="I218" s="158" t="s">
        <v>721</v>
      </c>
    </row>
    <row r="219" customFormat="false" ht="15" hidden="false" customHeight="true" outlineLevel="0" collapsed="false">
      <c r="A219" s="144" t="n">
        <v>46036</v>
      </c>
      <c r="B219" s="113"/>
      <c r="C219" s="159" t="s">
        <v>679</v>
      </c>
      <c r="D219" s="158" t="s">
        <v>148</v>
      </c>
      <c r="E219" s="147" t="n">
        <v>4</v>
      </c>
      <c r="F219" s="147" t="n">
        <v>50</v>
      </c>
      <c r="G219" s="160" t="n">
        <v>0.2</v>
      </c>
      <c r="H219" s="20"/>
      <c r="I219" s="158" t="s">
        <v>684</v>
      </c>
    </row>
    <row r="220" customFormat="false" ht="15" hidden="false" customHeight="true" outlineLevel="0" collapsed="false">
      <c r="A220" s="144" t="n">
        <v>46036</v>
      </c>
      <c r="B220" s="113"/>
      <c r="C220" s="159" t="s">
        <v>679</v>
      </c>
      <c r="D220" s="158" t="s">
        <v>155</v>
      </c>
      <c r="E220" s="147" t="n">
        <v>4</v>
      </c>
      <c r="F220" s="147" t="n">
        <v>80</v>
      </c>
      <c r="G220" s="160" t="n">
        <v>6.4</v>
      </c>
      <c r="H220" s="20"/>
      <c r="I220" s="113" t="s">
        <v>686</v>
      </c>
    </row>
    <row r="221" customFormat="false" ht="15" hidden="false" customHeight="true" outlineLevel="0" collapsed="false">
      <c r="A221" s="144" t="n">
        <v>46036</v>
      </c>
      <c r="B221" s="113"/>
      <c r="C221" s="159" t="s">
        <v>679</v>
      </c>
      <c r="D221" s="158" t="s">
        <v>159</v>
      </c>
      <c r="E221" s="147" t="n">
        <v>4</v>
      </c>
      <c r="F221" s="147" t="n">
        <v>50</v>
      </c>
      <c r="G221" s="160" t="n">
        <v>0.2</v>
      </c>
      <c r="H221" s="20"/>
      <c r="I221" s="158" t="s">
        <v>721</v>
      </c>
    </row>
    <row r="222" customFormat="false" ht="15" hidden="false" customHeight="true" outlineLevel="0" collapsed="false">
      <c r="A222" s="144" t="n">
        <v>46036</v>
      </c>
      <c r="B222" s="113"/>
      <c r="C222" s="159" t="s">
        <v>679</v>
      </c>
      <c r="D222" s="158" t="s">
        <v>159</v>
      </c>
      <c r="E222" s="147" t="n">
        <v>4</v>
      </c>
      <c r="F222" s="147" t="n">
        <v>50</v>
      </c>
      <c r="G222" s="160" t="n">
        <v>0.2</v>
      </c>
      <c r="H222" s="20"/>
      <c r="I222" s="158" t="s">
        <v>684</v>
      </c>
    </row>
    <row r="223" customFormat="false" ht="15" hidden="false" customHeight="true" outlineLevel="0" collapsed="false">
      <c r="A223" s="144" t="n">
        <v>46036</v>
      </c>
      <c r="B223" s="113"/>
      <c r="C223" s="159" t="s">
        <v>679</v>
      </c>
      <c r="D223" s="158" t="s">
        <v>183</v>
      </c>
      <c r="E223" s="147" t="n">
        <v>1</v>
      </c>
      <c r="F223" s="147" t="n">
        <v>60</v>
      </c>
      <c r="G223" s="160" t="n">
        <v>0.6</v>
      </c>
      <c r="H223" s="20"/>
      <c r="I223" s="113" t="s">
        <v>722</v>
      </c>
    </row>
    <row r="224" customFormat="false" ht="15" hidden="false" customHeight="true" outlineLevel="0" collapsed="false">
      <c r="A224" s="144" t="n">
        <v>46036</v>
      </c>
      <c r="B224" s="113"/>
      <c r="C224" s="159" t="s">
        <v>679</v>
      </c>
      <c r="D224" s="158" t="s">
        <v>183</v>
      </c>
      <c r="E224" s="147" t="n">
        <v>12</v>
      </c>
      <c r="F224" s="147" t="n">
        <v>60</v>
      </c>
      <c r="G224" s="160" t="n">
        <v>21.6</v>
      </c>
      <c r="H224" s="20"/>
      <c r="I224" s="158" t="s">
        <v>689</v>
      </c>
    </row>
    <row r="225" customFormat="false" ht="15" hidden="false" customHeight="true" outlineLevel="0" collapsed="false">
      <c r="A225" s="144" t="n">
        <v>46036</v>
      </c>
      <c r="B225" s="113"/>
      <c r="C225" s="159" t="s">
        <v>679</v>
      </c>
      <c r="D225" s="158" t="s">
        <v>184</v>
      </c>
      <c r="E225" s="147" t="n">
        <v>1</v>
      </c>
      <c r="F225" s="147" t="n">
        <v>50</v>
      </c>
      <c r="G225" s="160" t="n">
        <v>2</v>
      </c>
      <c r="H225" s="20"/>
      <c r="I225" s="158" t="s">
        <v>691</v>
      </c>
    </row>
    <row r="226" customFormat="false" ht="15" hidden="false" customHeight="true" outlineLevel="0" collapsed="false">
      <c r="A226" s="144" t="n">
        <v>46036</v>
      </c>
      <c r="B226" s="113"/>
      <c r="C226" s="159" t="s">
        <v>679</v>
      </c>
      <c r="D226" s="158" t="s">
        <v>184</v>
      </c>
      <c r="E226" s="147" t="n">
        <v>6</v>
      </c>
      <c r="F226" s="147" t="n">
        <v>50</v>
      </c>
      <c r="G226" s="160" t="n">
        <v>0.3</v>
      </c>
      <c r="H226" s="20"/>
      <c r="I226" s="158" t="s">
        <v>721</v>
      </c>
    </row>
    <row r="227" customFormat="false" ht="15" hidden="false" customHeight="true" outlineLevel="0" collapsed="false">
      <c r="A227" s="144" t="n">
        <v>46036</v>
      </c>
      <c r="B227" s="113"/>
      <c r="C227" s="159" t="s">
        <v>679</v>
      </c>
      <c r="D227" s="158" t="s">
        <v>184</v>
      </c>
      <c r="E227" s="147" t="n">
        <v>5</v>
      </c>
      <c r="F227" s="147" t="n">
        <v>50</v>
      </c>
      <c r="G227" s="160" t="n">
        <v>0.25</v>
      </c>
      <c r="H227" s="20"/>
      <c r="I227" s="158" t="s">
        <v>684</v>
      </c>
    </row>
    <row r="228" customFormat="false" ht="15" hidden="false" customHeight="true" outlineLevel="0" collapsed="false">
      <c r="A228" s="144" t="n">
        <v>46036</v>
      </c>
      <c r="B228" s="113"/>
      <c r="C228" s="159" t="s">
        <v>679</v>
      </c>
      <c r="D228" s="158" t="s">
        <v>186</v>
      </c>
      <c r="E228" s="147" t="n">
        <v>4</v>
      </c>
      <c r="F228" s="147" t="n">
        <v>50</v>
      </c>
      <c r="G228" s="160" t="n">
        <v>0.2</v>
      </c>
      <c r="H228" s="20"/>
      <c r="I228" s="158" t="s">
        <v>721</v>
      </c>
    </row>
    <row r="229" customFormat="false" ht="15" hidden="false" customHeight="true" outlineLevel="0" collapsed="false">
      <c r="A229" s="144" t="n">
        <v>46036</v>
      </c>
      <c r="B229" s="113"/>
      <c r="C229" s="159" t="s">
        <v>679</v>
      </c>
      <c r="D229" s="158" t="s">
        <v>186</v>
      </c>
      <c r="E229" s="147" t="n">
        <v>4</v>
      </c>
      <c r="F229" s="147" t="n">
        <v>50</v>
      </c>
      <c r="G229" s="160" t="n">
        <v>0.2</v>
      </c>
      <c r="H229" s="20"/>
      <c r="I229" s="158" t="s">
        <v>684</v>
      </c>
    </row>
    <row r="230" customFormat="false" ht="15" hidden="false" customHeight="true" outlineLevel="0" collapsed="false">
      <c r="A230" s="144" t="n">
        <v>46036</v>
      </c>
      <c r="B230" s="113"/>
      <c r="C230" s="159" t="s">
        <v>679</v>
      </c>
      <c r="D230" s="158" t="s">
        <v>192</v>
      </c>
      <c r="E230" s="147" t="n">
        <v>4</v>
      </c>
      <c r="F230" s="147" t="n">
        <v>50</v>
      </c>
      <c r="G230" s="160" t="n">
        <v>0.2</v>
      </c>
      <c r="H230" s="20"/>
      <c r="I230" s="158" t="s">
        <v>721</v>
      </c>
    </row>
    <row r="231" customFormat="false" ht="15" hidden="false" customHeight="true" outlineLevel="0" collapsed="false">
      <c r="A231" s="144" t="n">
        <v>46036</v>
      </c>
      <c r="B231" s="113"/>
      <c r="C231" s="159" t="s">
        <v>679</v>
      </c>
      <c r="D231" s="158" t="s">
        <v>192</v>
      </c>
      <c r="E231" s="147" t="n">
        <v>5</v>
      </c>
      <c r="F231" s="147" t="n">
        <v>50</v>
      </c>
      <c r="G231" s="160" t="n">
        <v>0.25</v>
      </c>
      <c r="H231" s="20"/>
      <c r="I231" s="158" t="s">
        <v>684</v>
      </c>
    </row>
    <row r="232" customFormat="false" ht="15" hidden="false" customHeight="true" outlineLevel="0" collapsed="false">
      <c r="A232" s="144" t="n">
        <v>46036</v>
      </c>
      <c r="B232" s="113"/>
      <c r="C232" s="159" t="s">
        <v>679</v>
      </c>
      <c r="D232" s="158" t="s">
        <v>195</v>
      </c>
      <c r="E232" s="147" t="n">
        <v>4</v>
      </c>
      <c r="F232" s="147" t="n">
        <v>50</v>
      </c>
      <c r="G232" s="160" t="n">
        <v>0.2</v>
      </c>
      <c r="H232" s="20"/>
      <c r="I232" s="158" t="s">
        <v>721</v>
      </c>
    </row>
    <row r="233" customFormat="false" ht="15" hidden="false" customHeight="true" outlineLevel="0" collapsed="false">
      <c r="A233" s="144" t="n">
        <v>46036</v>
      </c>
      <c r="B233" s="113"/>
      <c r="C233" s="159" t="s">
        <v>679</v>
      </c>
      <c r="D233" s="158" t="s">
        <v>195</v>
      </c>
      <c r="E233" s="147" t="n">
        <v>4</v>
      </c>
      <c r="F233" s="147" t="n">
        <v>50</v>
      </c>
      <c r="G233" s="160" t="n">
        <v>0.2</v>
      </c>
      <c r="H233" s="20"/>
      <c r="I233" s="158" t="s">
        <v>684</v>
      </c>
    </row>
    <row r="234" customFormat="false" ht="15" hidden="false" customHeight="true" outlineLevel="0" collapsed="false">
      <c r="A234" s="144" t="n">
        <v>46036</v>
      </c>
      <c r="B234" s="113"/>
      <c r="C234" s="159" t="s">
        <v>679</v>
      </c>
      <c r="D234" s="158" t="s">
        <v>222</v>
      </c>
      <c r="E234" s="147" t="n">
        <v>1</v>
      </c>
      <c r="F234" s="147" t="n">
        <v>40</v>
      </c>
      <c r="G234" s="160" t="n">
        <v>0.2</v>
      </c>
      <c r="H234" s="20"/>
      <c r="I234" s="113" t="s">
        <v>722</v>
      </c>
    </row>
    <row r="235" customFormat="false" ht="15" hidden="false" customHeight="true" outlineLevel="0" collapsed="false">
      <c r="A235" s="144" t="n">
        <v>46036</v>
      </c>
      <c r="B235" s="113"/>
      <c r="C235" s="159" t="s">
        <v>679</v>
      </c>
      <c r="D235" s="158" t="s">
        <v>221</v>
      </c>
      <c r="E235" s="147" t="n">
        <v>1</v>
      </c>
      <c r="F235" s="147" t="n">
        <v>40</v>
      </c>
      <c r="G235" s="160" t="n">
        <v>0.2</v>
      </c>
      <c r="H235" s="20"/>
      <c r="I235" s="113" t="s">
        <v>722</v>
      </c>
    </row>
    <row r="236" customFormat="false" ht="15" hidden="false" customHeight="true" outlineLevel="0" collapsed="false">
      <c r="A236" s="144" t="n">
        <v>46036</v>
      </c>
      <c r="B236" s="113"/>
      <c r="C236" s="159" t="s">
        <v>679</v>
      </c>
      <c r="D236" s="158" t="s">
        <v>204</v>
      </c>
      <c r="E236" s="147" t="n">
        <v>1</v>
      </c>
      <c r="F236" s="147" t="n">
        <v>60</v>
      </c>
      <c r="G236" s="160" t="n">
        <v>0.3</v>
      </c>
      <c r="H236" s="20"/>
      <c r="I236" s="113" t="s">
        <v>722</v>
      </c>
    </row>
    <row r="237" customFormat="false" ht="15" hidden="false" customHeight="true" outlineLevel="0" collapsed="false">
      <c r="A237" s="144" t="n">
        <v>46036</v>
      </c>
      <c r="B237" s="113"/>
      <c r="C237" s="159" t="s">
        <v>679</v>
      </c>
      <c r="D237" s="158" t="s">
        <v>204</v>
      </c>
      <c r="E237" s="147" t="n">
        <v>13</v>
      </c>
      <c r="F237" s="147" t="n">
        <v>60</v>
      </c>
      <c r="G237" s="160" t="n">
        <v>23.4</v>
      </c>
      <c r="H237" s="20"/>
      <c r="I237" s="158" t="s">
        <v>694</v>
      </c>
    </row>
    <row r="238" customFormat="false" ht="15" hidden="false" customHeight="true" outlineLevel="0" collapsed="false">
      <c r="A238" s="144" t="n">
        <v>46036</v>
      </c>
      <c r="B238" s="113"/>
      <c r="C238" s="159" t="s">
        <v>679</v>
      </c>
      <c r="D238" s="158" t="s">
        <v>236</v>
      </c>
      <c r="E238" s="147" t="n">
        <v>1</v>
      </c>
      <c r="F238" s="147" t="n">
        <v>60</v>
      </c>
      <c r="G238" s="160" t="n">
        <v>0.3</v>
      </c>
      <c r="H238" s="20"/>
      <c r="I238" s="113" t="s">
        <v>722</v>
      </c>
    </row>
    <row r="239" customFormat="false" ht="15" hidden="false" customHeight="true" outlineLevel="0" collapsed="false">
      <c r="A239" s="144" t="n">
        <v>46036</v>
      </c>
      <c r="B239" s="113"/>
      <c r="C239" s="159" t="s">
        <v>679</v>
      </c>
      <c r="D239" s="158" t="s">
        <v>236</v>
      </c>
      <c r="E239" s="147" t="n">
        <v>4</v>
      </c>
      <c r="F239" s="147" t="n">
        <v>60</v>
      </c>
      <c r="G239" s="160" t="n">
        <v>7.2</v>
      </c>
      <c r="H239" s="20"/>
      <c r="I239" s="158" t="s">
        <v>695</v>
      </c>
    </row>
    <row r="240" customFormat="false" ht="15" hidden="false" customHeight="true" outlineLevel="0" collapsed="false">
      <c r="A240" s="144" t="n">
        <v>46036</v>
      </c>
      <c r="B240" s="113"/>
      <c r="C240" s="159" t="s">
        <v>679</v>
      </c>
      <c r="D240" s="158" t="s">
        <v>206</v>
      </c>
      <c r="E240" s="147" t="n">
        <v>3</v>
      </c>
      <c r="F240" s="147" t="n">
        <v>30</v>
      </c>
      <c r="G240" s="160" t="n">
        <v>5.4</v>
      </c>
      <c r="H240" s="20"/>
      <c r="I240" s="158" t="s">
        <v>696</v>
      </c>
    </row>
    <row r="241" customFormat="false" ht="15" hidden="false" customHeight="true" outlineLevel="0" collapsed="false">
      <c r="A241" s="144" t="n">
        <v>46036</v>
      </c>
      <c r="B241" s="113"/>
      <c r="C241" s="159" t="s">
        <v>679</v>
      </c>
      <c r="D241" s="158" t="s">
        <v>206</v>
      </c>
      <c r="E241" s="147" t="n">
        <v>1</v>
      </c>
      <c r="F241" s="147" t="n">
        <v>40</v>
      </c>
      <c r="G241" s="160" t="n">
        <v>0.8</v>
      </c>
      <c r="H241" s="20"/>
      <c r="I241" s="158" t="s">
        <v>723</v>
      </c>
    </row>
    <row r="242" customFormat="false" ht="15" hidden="false" customHeight="true" outlineLevel="0" collapsed="false">
      <c r="A242" s="144" t="n">
        <v>46036</v>
      </c>
      <c r="B242" s="113"/>
      <c r="C242" s="159" t="s">
        <v>679</v>
      </c>
      <c r="D242" s="158" t="s">
        <v>219</v>
      </c>
      <c r="E242" s="147" t="n">
        <v>4</v>
      </c>
      <c r="F242" s="147" t="n">
        <v>50</v>
      </c>
      <c r="G242" s="160" t="n">
        <v>0.2</v>
      </c>
      <c r="H242" s="20"/>
      <c r="I242" s="158" t="s">
        <v>721</v>
      </c>
    </row>
    <row r="243" customFormat="false" ht="15" hidden="false" customHeight="true" outlineLevel="0" collapsed="false">
      <c r="A243" s="144" t="n">
        <v>46036</v>
      </c>
      <c r="B243" s="113"/>
      <c r="C243" s="159" t="s">
        <v>679</v>
      </c>
      <c r="D243" s="158" t="s">
        <v>219</v>
      </c>
      <c r="E243" s="147" t="n">
        <v>4</v>
      </c>
      <c r="F243" s="147" t="n">
        <v>50</v>
      </c>
      <c r="G243" s="160" t="n">
        <v>0.2</v>
      </c>
      <c r="H243" s="20"/>
      <c r="I243" s="158" t="s">
        <v>684</v>
      </c>
    </row>
    <row r="244" customFormat="false" ht="15" hidden="false" customHeight="true" outlineLevel="0" collapsed="false">
      <c r="A244" s="144" t="n">
        <v>46036</v>
      </c>
      <c r="B244" s="113"/>
      <c r="C244" s="159" t="s">
        <v>679</v>
      </c>
      <c r="D244" s="158" t="s">
        <v>220</v>
      </c>
      <c r="E244" s="147" t="n">
        <v>10</v>
      </c>
      <c r="F244" s="147" t="n">
        <v>50</v>
      </c>
      <c r="G244" s="160" t="n">
        <v>0.5</v>
      </c>
      <c r="H244" s="20"/>
      <c r="I244" s="158" t="s">
        <v>681</v>
      </c>
    </row>
    <row r="245" customFormat="false" ht="15" hidden="false" customHeight="true" outlineLevel="0" collapsed="false">
      <c r="A245" s="144" t="n">
        <v>46036</v>
      </c>
      <c r="B245" s="158" t="s">
        <v>669</v>
      </c>
      <c r="C245" s="159" t="s">
        <v>670</v>
      </c>
      <c r="D245" s="158" t="s">
        <v>155</v>
      </c>
      <c r="E245" s="147" t="n">
        <v>40</v>
      </c>
      <c r="F245" s="147" t="n">
        <v>80</v>
      </c>
      <c r="G245" s="160" t="n">
        <v>3.2</v>
      </c>
      <c r="H245" s="20"/>
      <c r="I245" s="158" t="s">
        <v>671</v>
      </c>
    </row>
    <row r="246" customFormat="false" ht="15" hidden="false" customHeight="true" outlineLevel="0" collapsed="false">
      <c r="A246" s="144" t="n">
        <v>46036</v>
      </c>
      <c r="B246" s="158" t="s">
        <v>669</v>
      </c>
      <c r="C246" s="159" t="s">
        <v>670</v>
      </c>
      <c r="D246" s="158" t="s">
        <v>183</v>
      </c>
      <c r="E246" s="147" t="n">
        <v>40</v>
      </c>
      <c r="F246" s="147" t="n">
        <v>60</v>
      </c>
      <c r="G246" s="160" t="n">
        <v>2.4</v>
      </c>
      <c r="H246" s="20"/>
      <c r="I246" s="158" t="s">
        <v>674</v>
      </c>
    </row>
    <row r="247" customFormat="false" ht="15" hidden="false" customHeight="true" outlineLevel="0" collapsed="false">
      <c r="A247" s="144" t="n">
        <v>46036</v>
      </c>
      <c r="B247" s="158" t="s">
        <v>669</v>
      </c>
      <c r="C247" s="159" t="s">
        <v>670</v>
      </c>
      <c r="D247" s="158" t="s">
        <v>678</v>
      </c>
      <c r="E247" s="147" t="n">
        <v>1</v>
      </c>
      <c r="F247" s="147"/>
      <c r="G247" s="160" t="n">
        <v>2.4</v>
      </c>
      <c r="H247" s="20"/>
      <c r="I247" s="113"/>
    </row>
    <row r="248" customFormat="false" ht="15" hidden="false" customHeight="true" outlineLevel="0" collapsed="false">
      <c r="A248" s="144" t="n">
        <v>46036</v>
      </c>
      <c r="B248" s="158" t="s">
        <v>669</v>
      </c>
      <c r="C248" s="159" t="s">
        <v>670</v>
      </c>
      <c r="D248" s="158" t="s">
        <v>204</v>
      </c>
      <c r="E248" s="147" t="n">
        <v>40</v>
      </c>
      <c r="F248" s="147" t="n">
        <v>60</v>
      </c>
      <c r="G248" s="160" t="n">
        <v>2.4</v>
      </c>
      <c r="H248" s="20"/>
      <c r="I248" s="158" t="s">
        <v>678</v>
      </c>
    </row>
    <row r="249" customFormat="false" ht="15" hidden="false" customHeight="true" outlineLevel="0" collapsed="false">
      <c r="A249" s="144" t="n">
        <v>46036</v>
      </c>
      <c r="B249" s="158" t="s">
        <v>669</v>
      </c>
      <c r="C249" s="159" t="s">
        <v>670</v>
      </c>
      <c r="D249" s="158" t="s">
        <v>724</v>
      </c>
      <c r="E249" s="147" t="n">
        <v>1</v>
      </c>
      <c r="F249" s="147"/>
      <c r="G249" s="160" t="n">
        <v>2</v>
      </c>
      <c r="H249" s="20"/>
      <c r="I249" s="113"/>
    </row>
    <row r="250" customFormat="false" ht="15" hidden="false" customHeight="true" outlineLevel="0" collapsed="false">
      <c r="A250" s="144" t="n">
        <v>46036</v>
      </c>
      <c r="B250" s="158" t="s">
        <v>669</v>
      </c>
      <c r="C250" s="159" t="s">
        <v>670</v>
      </c>
      <c r="D250" s="158" t="s">
        <v>207</v>
      </c>
      <c r="E250" s="147" t="n">
        <v>2</v>
      </c>
      <c r="F250" s="147" t="n">
        <v>1000</v>
      </c>
      <c r="G250" s="160" t="n">
        <v>2</v>
      </c>
      <c r="H250" s="20"/>
      <c r="I250" s="158" t="s">
        <v>724</v>
      </c>
    </row>
    <row r="251" customFormat="false" ht="15" hidden="false" customHeight="true" outlineLevel="0" collapsed="false">
      <c r="A251" s="144" t="n">
        <v>46037</v>
      </c>
      <c r="B251" s="113"/>
      <c r="C251" s="159" t="s">
        <v>679</v>
      </c>
      <c r="D251" s="158" t="s">
        <v>142</v>
      </c>
      <c r="E251" s="147" t="n">
        <v>10</v>
      </c>
      <c r="F251" s="147" t="n">
        <v>50</v>
      </c>
      <c r="G251" s="160" t="n">
        <v>0.5</v>
      </c>
      <c r="H251" s="20"/>
      <c r="I251" s="158" t="s">
        <v>681</v>
      </c>
    </row>
    <row r="252" customFormat="false" ht="15" hidden="false" customHeight="true" outlineLevel="0" collapsed="false">
      <c r="A252" s="144" t="n">
        <v>46037</v>
      </c>
      <c r="B252" s="113"/>
      <c r="C252" s="159" t="s">
        <v>679</v>
      </c>
      <c r="D252" s="158" t="s">
        <v>143</v>
      </c>
      <c r="E252" s="147" t="n">
        <v>2</v>
      </c>
      <c r="F252" s="147" t="n">
        <v>50</v>
      </c>
      <c r="G252" s="160" t="n">
        <v>4</v>
      </c>
      <c r="H252" s="20"/>
      <c r="I252" s="158" t="s">
        <v>725</v>
      </c>
    </row>
    <row r="253" customFormat="false" ht="15" hidden="false" customHeight="true" outlineLevel="0" collapsed="false">
      <c r="A253" s="144" t="n">
        <v>46037</v>
      </c>
      <c r="B253" s="113"/>
      <c r="C253" s="159" t="s">
        <v>679</v>
      </c>
      <c r="D253" s="158" t="s">
        <v>143</v>
      </c>
      <c r="E253" s="147" t="n">
        <v>3</v>
      </c>
      <c r="F253" s="147" t="n">
        <v>50</v>
      </c>
      <c r="G253" s="160" t="n">
        <v>0.15</v>
      </c>
      <c r="H253" s="20"/>
      <c r="I253" s="158" t="s">
        <v>713</v>
      </c>
    </row>
    <row r="254" customFormat="false" ht="15" hidden="false" customHeight="true" outlineLevel="0" collapsed="false">
      <c r="A254" s="144" t="n">
        <v>46037</v>
      </c>
      <c r="B254" s="113"/>
      <c r="C254" s="159" t="s">
        <v>679</v>
      </c>
      <c r="D254" s="158" t="s">
        <v>144</v>
      </c>
      <c r="E254" s="147" t="n">
        <v>3</v>
      </c>
      <c r="F254" s="147" t="n">
        <v>1000</v>
      </c>
      <c r="G254" s="160" t="n">
        <v>6</v>
      </c>
      <c r="H254" s="20"/>
      <c r="I254" s="158" t="s">
        <v>685</v>
      </c>
    </row>
    <row r="255" customFormat="false" ht="15" hidden="false" customHeight="true" outlineLevel="0" collapsed="false">
      <c r="A255" s="144" t="n">
        <v>46037</v>
      </c>
      <c r="B255" s="113"/>
      <c r="C255" s="159" t="s">
        <v>679</v>
      </c>
      <c r="D255" s="158" t="s">
        <v>145</v>
      </c>
      <c r="E255" s="147" t="n">
        <v>2</v>
      </c>
      <c r="F255" s="147" t="n">
        <v>50</v>
      </c>
      <c r="G255" s="160" t="n">
        <v>0.1</v>
      </c>
      <c r="H255" s="20"/>
      <c r="I255" s="158" t="s">
        <v>713</v>
      </c>
    </row>
    <row r="256" customFormat="false" ht="15" hidden="false" customHeight="true" outlineLevel="0" collapsed="false">
      <c r="A256" s="144" t="n">
        <v>46037</v>
      </c>
      <c r="B256" s="113"/>
      <c r="C256" s="159" t="s">
        <v>679</v>
      </c>
      <c r="D256" s="158" t="s">
        <v>146</v>
      </c>
      <c r="E256" s="147" t="n">
        <v>10</v>
      </c>
      <c r="F256" s="147" t="n">
        <v>50</v>
      </c>
      <c r="G256" s="160" t="n">
        <v>0.5</v>
      </c>
      <c r="H256" s="20"/>
      <c r="I256" s="158" t="s">
        <v>681</v>
      </c>
    </row>
    <row r="257" customFormat="false" ht="15" hidden="false" customHeight="true" outlineLevel="0" collapsed="false">
      <c r="A257" s="144" t="n">
        <v>46037</v>
      </c>
      <c r="B257" s="113"/>
      <c r="C257" s="159" t="s">
        <v>679</v>
      </c>
      <c r="D257" s="158" t="s">
        <v>147</v>
      </c>
      <c r="E257" s="147" t="n">
        <v>10</v>
      </c>
      <c r="F257" s="147" t="n">
        <v>50</v>
      </c>
      <c r="G257" s="160" t="n">
        <v>0.5</v>
      </c>
      <c r="H257" s="20"/>
      <c r="I257" s="158" t="s">
        <v>681</v>
      </c>
    </row>
    <row r="258" customFormat="false" ht="15" hidden="false" customHeight="true" outlineLevel="0" collapsed="false">
      <c r="A258" s="144" t="n">
        <v>46037</v>
      </c>
      <c r="B258" s="113"/>
      <c r="C258" s="159" t="s">
        <v>679</v>
      </c>
      <c r="D258" s="158" t="s">
        <v>148</v>
      </c>
      <c r="E258" s="147" t="n">
        <v>2</v>
      </c>
      <c r="F258" s="147" t="n">
        <v>50</v>
      </c>
      <c r="G258" s="160" t="n">
        <v>0.1</v>
      </c>
      <c r="H258" s="20"/>
      <c r="I258" s="158" t="s">
        <v>713</v>
      </c>
    </row>
    <row r="259" customFormat="false" ht="15" hidden="false" customHeight="true" outlineLevel="0" collapsed="false">
      <c r="A259" s="144" t="n">
        <v>46037</v>
      </c>
      <c r="B259" s="113"/>
      <c r="C259" s="159" t="s">
        <v>679</v>
      </c>
      <c r="D259" s="158" t="s">
        <v>155</v>
      </c>
      <c r="E259" s="147" t="n">
        <v>3</v>
      </c>
      <c r="F259" s="147" t="n">
        <v>80</v>
      </c>
      <c r="G259" s="160" t="n">
        <v>4.8</v>
      </c>
      <c r="H259" s="20"/>
      <c r="I259" s="113" t="s">
        <v>686</v>
      </c>
    </row>
    <row r="260" customFormat="false" ht="15" hidden="false" customHeight="true" outlineLevel="0" collapsed="false">
      <c r="A260" s="144" t="n">
        <v>46037</v>
      </c>
      <c r="B260" s="113"/>
      <c r="C260" s="159" t="s">
        <v>679</v>
      </c>
      <c r="D260" s="158" t="s">
        <v>159</v>
      </c>
      <c r="E260" s="147" t="n">
        <v>2</v>
      </c>
      <c r="F260" s="147" t="n">
        <v>50</v>
      </c>
      <c r="G260" s="160" t="n">
        <v>0.1</v>
      </c>
      <c r="H260" s="20"/>
      <c r="I260" s="158" t="s">
        <v>713</v>
      </c>
    </row>
    <row r="261" customFormat="false" ht="15" hidden="false" customHeight="true" outlineLevel="0" collapsed="false">
      <c r="A261" s="144" t="n">
        <v>46037</v>
      </c>
      <c r="B261" s="113"/>
      <c r="C261" s="159" t="s">
        <v>679</v>
      </c>
      <c r="D261" s="158" t="s">
        <v>169</v>
      </c>
      <c r="E261" s="147" t="n">
        <v>2</v>
      </c>
      <c r="F261" s="147" t="n">
        <v>1000</v>
      </c>
      <c r="G261" s="160" t="n">
        <v>2</v>
      </c>
      <c r="H261" s="20"/>
      <c r="I261" s="158" t="s">
        <v>719</v>
      </c>
    </row>
    <row r="262" customFormat="false" ht="15" hidden="false" customHeight="true" outlineLevel="0" collapsed="false">
      <c r="A262" s="144" t="n">
        <v>46037</v>
      </c>
      <c r="B262" s="113"/>
      <c r="C262" s="159" t="s">
        <v>679</v>
      </c>
      <c r="D262" s="158" t="s">
        <v>181</v>
      </c>
      <c r="E262" s="147" t="n">
        <v>1</v>
      </c>
      <c r="F262" s="147" t="n">
        <v>1000</v>
      </c>
      <c r="G262" s="160" t="n">
        <v>1</v>
      </c>
      <c r="H262" s="20"/>
      <c r="I262" s="113" t="s">
        <v>718</v>
      </c>
    </row>
    <row r="263" customFormat="false" ht="15" hidden="false" customHeight="true" outlineLevel="0" collapsed="false">
      <c r="A263" s="144" t="n">
        <v>46037</v>
      </c>
      <c r="B263" s="113"/>
      <c r="C263" s="159" t="s">
        <v>679</v>
      </c>
      <c r="D263" s="158" t="s">
        <v>183</v>
      </c>
      <c r="E263" s="147" t="n">
        <v>12</v>
      </c>
      <c r="F263" s="147" t="n">
        <v>60</v>
      </c>
      <c r="G263" s="160" t="n">
        <v>21.6</v>
      </c>
      <c r="H263" s="20"/>
      <c r="I263" s="158" t="s">
        <v>689</v>
      </c>
    </row>
    <row r="264" customFormat="false" ht="15" hidden="false" customHeight="true" outlineLevel="0" collapsed="false">
      <c r="A264" s="144" t="n">
        <v>46037</v>
      </c>
      <c r="B264" s="113"/>
      <c r="C264" s="159" t="s">
        <v>679</v>
      </c>
      <c r="D264" s="158" t="s">
        <v>184</v>
      </c>
      <c r="E264" s="147" t="n">
        <v>3</v>
      </c>
      <c r="F264" s="147" t="n">
        <v>50</v>
      </c>
      <c r="G264" s="160" t="n">
        <v>0.15</v>
      </c>
      <c r="H264" s="20"/>
      <c r="I264" s="158" t="s">
        <v>713</v>
      </c>
    </row>
    <row r="265" customFormat="false" ht="15" hidden="false" customHeight="true" outlineLevel="0" collapsed="false">
      <c r="A265" s="144" t="n">
        <v>46037</v>
      </c>
      <c r="B265" s="113"/>
      <c r="C265" s="159" t="s">
        <v>679</v>
      </c>
      <c r="D265" s="158" t="s">
        <v>186</v>
      </c>
      <c r="E265" s="147" t="n">
        <v>2</v>
      </c>
      <c r="F265" s="147" t="n">
        <v>50</v>
      </c>
      <c r="G265" s="160" t="n">
        <v>0.1</v>
      </c>
      <c r="H265" s="20"/>
      <c r="I265" s="158" t="s">
        <v>713</v>
      </c>
    </row>
    <row r="266" customFormat="false" ht="15" hidden="false" customHeight="true" outlineLevel="0" collapsed="false">
      <c r="A266" s="144" t="n">
        <v>46037</v>
      </c>
      <c r="B266" s="113"/>
      <c r="C266" s="159" t="s">
        <v>679</v>
      </c>
      <c r="D266" s="158" t="s">
        <v>192</v>
      </c>
      <c r="E266" s="147" t="n">
        <v>2</v>
      </c>
      <c r="F266" s="147" t="n">
        <v>50</v>
      </c>
      <c r="G266" s="160" t="n">
        <v>0.1</v>
      </c>
      <c r="H266" s="20"/>
      <c r="I266" s="158" t="s">
        <v>713</v>
      </c>
    </row>
    <row r="267" customFormat="false" ht="15" hidden="false" customHeight="true" outlineLevel="0" collapsed="false">
      <c r="A267" s="144" t="n">
        <v>46037</v>
      </c>
      <c r="B267" s="113"/>
      <c r="C267" s="159" t="s">
        <v>679</v>
      </c>
      <c r="D267" s="158" t="s">
        <v>195</v>
      </c>
      <c r="E267" s="147" t="n">
        <v>2</v>
      </c>
      <c r="F267" s="147" t="n">
        <v>50</v>
      </c>
      <c r="G267" s="160" t="n">
        <v>0.1</v>
      </c>
      <c r="H267" s="20"/>
      <c r="I267" s="158" t="s">
        <v>713</v>
      </c>
    </row>
    <row r="268" customFormat="false" ht="15" hidden="false" customHeight="true" outlineLevel="0" collapsed="false">
      <c r="A268" s="144" t="n">
        <v>46037</v>
      </c>
      <c r="B268" s="113"/>
      <c r="C268" s="159" t="s">
        <v>679</v>
      </c>
      <c r="D268" s="158" t="s">
        <v>222</v>
      </c>
      <c r="E268" s="147" t="n">
        <v>2</v>
      </c>
      <c r="F268" s="147" t="n">
        <v>40</v>
      </c>
      <c r="G268" s="160" t="n">
        <v>1.6</v>
      </c>
      <c r="H268" s="20"/>
      <c r="I268" s="158" t="s">
        <v>692</v>
      </c>
    </row>
    <row r="269" customFormat="false" ht="15" hidden="false" customHeight="true" outlineLevel="0" collapsed="false">
      <c r="A269" s="144" t="n">
        <v>46037</v>
      </c>
      <c r="B269" s="113"/>
      <c r="C269" s="159" t="s">
        <v>679</v>
      </c>
      <c r="D269" s="158" t="s">
        <v>204</v>
      </c>
      <c r="E269" s="147" t="n">
        <v>2</v>
      </c>
      <c r="F269" s="147" t="n">
        <v>60</v>
      </c>
      <c r="G269" s="160" t="n">
        <v>1.8</v>
      </c>
      <c r="H269" s="20"/>
      <c r="I269" s="158" t="s">
        <v>708</v>
      </c>
    </row>
    <row r="270" customFormat="false" ht="15" hidden="false" customHeight="true" outlineLevel="0" collapsed="false">
      <c r="A270" s="144" t="n">
        <v>46037</v>
      </c>
      <c r="B270" s="113"/>
      <c r="C270" s="159" t="s">
        <v>679</v>
      </c>
      <c r="D270" s="158" t="s">
        <v>204</v>
      </c>
      <c r="E270" s="147" t="n">
        <v>23</v>
      </c>
      <c r="F270" s="147" t="n">
        <v>60</v>
      </c>
      <c r="G270" s="160" t="n">
        <v>41.4</v>
      </c>
      <c r="H270" s="20"/>
      <c r="I270" s="158" t="s">
        <v>694</v>
      </c>
    </row>
    <row r="271" customFormat="false" ht="15" hidden="false" customHeight="true" outlineLevel="0" collapsed="false">
      <c r="A271" s="144" t="n">
        <v>46037</v>
      </c>
      <c r="B271" s="113"/>
      <c r="C271" s="159" t="s">
        <v>679</v>
      </c>
      <c r="D271" s="158" t="s">
        <v>236</v>
      </c>
      <c r="E271" s="147" t="n">
        <v>2</v>
      </c>
      <c r="F271" s="147" t="n">
        <v>60</v>
      </c>
      <c r="G271" s="160" t="n">
        <v>1.8</v>
      </c>
      <c r="H271" s="20"/>
      <c r="I271" s="158" t="s">
        <v>709</v>
      </c>
    </row>
    <row r="272" customFormat="false" ht="15" hidden="false" customHeight="true" outlineLevel="0" collapsed="false">
      <c r="A272" s="144" t="n">
        <v>46037</v>
      </c>
      <c r="B272" s="113"/>
      <c r="C272" s="159" t="s">
        <v>679</v>
      </c>
      <c r="D272" s="158" t="s">
        <v>236</v>
      </c>
      <c r="E272" s="147" t="n">
        <v>15</v>
      </c>
      <c r="F272" s="147" t="n">
        <v>60</v>
      </c>
      <c r="G272" s="160" t="n">
        <v>27</v>
      </c>
      <c r="H272" s="20"/>
      <c r="I272" s="158" t="s">
        <v>695</v>
      </c>
    </row>
    <row r="273" customFormat="false" ht="15" hidden="false" customHeight="true" outlineLevel="0" collapsed="false">
      <c r="A273" s="144" t="n">
        <v>46037</v>
      </c>
      <c r="B273" s="113"/>
      <c r="C273" s="159" t="s">
        <v>679</v>
      </c>
      <c r="D273" s="158" t="s">
        <v>206</v>
      </c>
      <c r="E273" s="147" t="n">
        <v>1</v>
      </c>
      <c r="F273" s="147" t="n">
        <v>30</v>
      </c>
      <c r="G273" s="160" t="n">
        <v>1.8</v>
      </c>
      <c r="H273" s="20"/>
      <c r="I273" s="158" t="s">
        <v>696</v>
      </c>
    </row>
    <row r="274" customFormat="false" ht="15" hidden="false" customHeight="true" outlineLevel="0" collapsed="false">
      <c r="A274" s="144" t="n">
        <v>46037</v>
      </c>
      <c r="B274" s="113"/>
      <c r="C274" s="159" t="s">
        <v>679</v>
      </c>
      <c r="D274" s="158" t="s">
        <v>219</v>
      </c>
      <c r="E274" s="147" t="n">
        <v>2</v>
      </c>
      <c r="F274" s="147" t="n">
        <v>50</v>
      </c>
      <c r="G274" s="160" t="n">
        <v>0.1</v>
      </c>
      <c r="H274" s="20"/>
      <c r="I274" s="158" t="s">
        <v>713</v>
      </c>
    </row>
    <row r="275" customFormat="false" ht="15" hidden="false" customHeight="true" outlineLevel="0" collapsed="false">
      <c r="A275" s="144" t="n">
        <v>46037</v>
      </c>
      <c r="B275" s="113"/>
      <c r="C275" s="159" t="s">
        <v>679</v>
      </c>
      <c r="D275" s="158" t="s">
        <v>220</v>
      </c>
      <c r="E275" s="147" t="n">
        <v>10</v>
      </c>
      <c r="F275" s="147" t="n">
        <v>50</v>
      </c>
      <c r="G275" s="160" t="n">
        <v>0.5</v>
      </c>
      <c r="H275" s="20"/>
      <c r="I275" s="158" t="s">
        <v>681</v>
      </c>
    </row>
    <row r="276" customFormat="false" ht="15" hidden="false" customHeight="true" outlineLevel="0" collapsed="false">
      <c r="A276" s="144" t="n">
        <v>46038</v>
      </c>
      <c r="B276" s="113"/>
      <c r="C276" s="159" t="s">
        <v>679</v>
      </c>
      <c r="D276" s="113" t="s">
        <v>267</v>
      </c>
      <c r="E276" s="147" t="n">
        <v>1</v>
      </c>
      <c r="F276" s="147" t="n">
        <v>60</v>
      </c>
      <c r="G276" s="160" t="n">
        <v>1.2</v>
      </c>
      <c r="H276" s="20"/>
      <c r="I276" s="113" t="s">
        <v>705</v>
      </c>
    </row>
    <row r="277" customFormat="false" ht="15" hidden="false" customHeight="true" outlineLevel="0" collapsed="false">
      <c r="A277" s="144" t="n">
        <v>46038</v>
      </c>
      <c r="B277" s="113"/>
      <c r="C277" s="159" t="s">
        <v>679</v>
      </c>
      <c r="D277" s="158" t="s">
        <v>142</v>
      </c>
      <c r="E277" s="147" t="n">
        <v>5</v>
      </c>
      <c r="F277" s="147" t="n">
        <v>50</v>
      </c>
      <c r="G277" s="160" t="n">
        <v>0.25</v>
      </c>
      <c r="H277" s="20"/>
      <c r="I277" s="158" t="s">
        <v>706</v>
      </c>
    </row>
    <row r="278" customFormat="false" ht="15" hidden="false" customHeight="true" outlineLevel="0" collapsed="false">
      <c r="A278" s="144" t="n">
        <v>46038</v>
      </c>
      <c r="B278" s="113"/>
      <c r="C278" s="159" t="s">
        <v>679</v>
      </c>
      <c r="D278" s="158" t="s">
        <v>143</v>
      </c>
      <c r="E278" s="147" t="n">
        <v>5</v>
      </c>
      <c r="F278" s="147" t="n">
        <v>50</v>
      </c>
      <c r="G278" s="160" t="n">
        <v>0.25</v>
      </c>
      <c r="H278" s="20"/>
      <c r="I278" s="158" t="s">
        <v>684</v>
      </c>
    </row>
    <row r="279" customFormat="false" ht="15" hidden="false" customHeight="true" outlineLevel="0" collapsed="false">
      <c r="A279" s="144" t="n">
        <v>46038</v>
      </c>
      <c r="B279" s="113"/>
      <c r="C279" s="159" t="s">
        <v>679</v>
      </c>
      <c r="D279" s="158" t="s">
        <v>144</v>
      </c>
      <c r="E279" s="147" t="n">
        <v>5</v>
      </c>
      <c r="F279" s="147" t="n">
        <v>1000</v>
      </c>
      <c r="G279" s="160" t="n">
        <v>5</v>
      </c>
      <c r="H279" s="20"/>
      <c r="I279" s="158" t="s">
        <v>699</v>
      </c>
    </row>
    <row r="280" customFormat="false" ht="15" hidden="false" customHeight="true" outlineLevel="0" collapsed="false">
      <c r="A280" s="144" t="n">
        <v>46038</v>
      </c>
      <c r="B280" s="113"/>
      <c r="C280" s="159" t="s">
        <v>679</v>
      </c>
      <c r="D280" s="158" t="s">
        <v>144</v>
      </c>
      <c r="E280" s="147" t="n">
        <v>3</v>
      </c>
      <c r="F280" s="147" t="n">
        <v>1000</v>
      </c>
      <c r="G280" s="160" t="n">
        <v>6</v>
      </c>
      <c r="H280" s="20"/>
      <c r="I280" s="158" t="s">
        <v>685</v>
      </c>
    </row>
    <row r="281" customFormat="false" ht="15" hidden="false" customHeight="true" outlineLevel="0" collapsed="false">
      <c r="A281" s="144" t="n">
        <v>46038</v>
      </c>
      <c r="B281" s="113"/>
      <c r="C281" s="159" t="s">
        <v>679</v>
      </c>
      <c r="D281" s="158" t="s">
        <v>145</v>
      </c>
      <c r="E281" s="147" t="n">
        <v>5</v>
      </c>
      <c r="F281" s="147" t="n">
        <v>50</v>
      </c>
      <c r="G281" s="160" t="n">
        <v>0.25</v>
      </c>
      <c r="H281" s="20"/>
      <c r="I281" s="158" t="s">
        <v>684</v>
      </c>
    </row>
    <row r="282" customFormat="false" ht="15" hidden="false" customHeight="true" outlineLevel="0" collapsed="false">
      <c r="A282" s="144" t="n">
        <v>46038</v>
      </c>
      <c r="B282" s="113"/>
      <c r="C282" s="159" t="s">
        <v>679</v>
      </c>
      <c r="D282" s="158" t="s">
        <v>146</v>
      </c>
      <c r="E282" s="147" t="n">
        <v>5</v>
      </c>
      <c r="F282" s="147" t="n">
        <v>50</v>
      </c>
      <c r="G282" s="160" t="n">
        <v>0.25</v>
      </c>
      <c r="H282" s="20"/>
      <c r="I282" s="158" t="s">
        <v>706</v>
      </c>
    </row>
    <row r="283" customFormat="false" ht="15" hidden="false" customHeight="true" outlineLevel="0" collapsed="false">
      <c r="A283" s="144" t="n">
        <v>46038</v>
      </c>
      <c r="B283" s="113"/>
      <c r="C283" s="159" t="s">
        <v>679</v>
      </c>
      <c r="D283" s="158" t="s">
        <v>147</v>
      </c>
      <c r="E283" s="147" t="n">
        <v>1</v>
      </c>
      <c r="F283" s="147" t="n">
        <v>50</v>
      </c>
      <c r="G283" s="160" t="n">
        <v>1</v>
      </c>
      <c r="H283" s="20"/>
      <c r="I283" s="158" t="s">
        <v>700</v>
      </c>
    </row>
    <row r="284" customFormat="false" ht="15" hidden="false" customHeight="true" outlineLevel="0" collapsed="false">
      <c r="A284" s="144" t="n">
        <v>46038</v>
      </c>
      <c r="B284" s="113"/>
      <c r="C284" s="159" t="s">
        <v>679</v>
      </c>
      <c r="D284" s="158" t="s">
        <v>147</v>
      </c>
      <c r="E284" s="147" t="n">
        <v>5</v>
      </c>
      <c r="F284" s="147" t="n">
        <v>50</v>
      </c>
      <c r="G284" s="160" t="n">
        <v>0.25</v>
      </c>
      <c r="H284" s="20"/>
      <c r="I284" s="158" t="s">
        <v>706</v>
      </c>
    </row>
    <row r="285" customFormat="false" ht="15" hidden="false" customHeight="true" outlineLevel="0" collapsed="false">
      <c r="A285" s="144" t="n">
        <v>46038</v>
      </c>
      <c r="B285" s="113"/>
      <c r="C285" s="159" t="s">
        <v>679</v>
      </c>
      <c r="D285" s="158" t="s">
        <v>148</v>
      </c>
      <c r="E285" s="147" t="n">
        <v>4</v>
      </c>
      <c r="F285" s="147" t="n">
        <v>50</v>
      </c>
      <c r="G285" s="160" t="n">
        <v>0.2</v>
      </c>
      <c r="H285" s="20"/>
      <c r="I285" s="158" t="s">
        <v>684</v>
      </c>
    </row>
    <row r="286" customFormat="false" ht="15" hidden="false" customHeight="true" outlineLevel="0" collapsed="false">
      <c r="A286" s="144" t="n">
        <v>46038</v>
      </c>
      <c r="B286" s="113"/>
      <c r="C286" s="159" t="s">
        <v>679</v>
      </c>
      <c r="D286" s="158" t="s">
        <v>155</v>
      </c>
      <c r="E286" s="147" t="n">
        <v>4</v>
      </c>
      <c r="F286" s="147" t="n">
        <v>80</v>
      </c>
      <c r="G286" s="160" t="n">
        <v>6.4</v>
      </c>
      <c r="H286" s="20"/>
      <c r="I286" s="113" t="s">
        <v>686</v>
      </c>
    </row>
    <row r="287" customFormat="false" ht="15" hidden="false" customHeight="true" outlineLevel="0" collapsed="false">
      <c r="A287" s="144" t="n">
        <v>46038</v>
      </c>
      <c r="B287" s="113"/>
      <c r="C287" s="159" t="s">
        <v>679</v>
      </c>
      <c r="D287" s="158" t="s">
        <v>159</v>
      </c>
      <c r="E287" s="147" t="n">
        <v>4</v>
      </c>
      <c r="F287" s="147" t="n">
        <v>50</v>
      </c>
      <c r="G287" s="160" t="n">
        <v>0.2</v>
      </c>
      <c r="H287" s="20"/>
      <c r="I287" s="158" t="s">
        <v>684</v>
      </c>
    </row>
    <row r="288" customFormat="false" ht="15" hidden="false" customHeight="true" outlineLevel="0" collapsed="false">
      <c r="A288" s="144" t="n">
        <v>46038</v>
      </c>
      <c r="B288" s="113"/>
      <c r="C288" s="159" t="s">
        <v>679</v>
      </c>
      <c r="D288" s="158" t="s">
        <v>161</v>
      </c>
      <c r="E288" s="147" t="n">
        <v>2</v>
      </c>
      <c r="F288" s="147" t="n">
        <v>1000</v>
      </c>
      <c r="G288" s="160" t="n">
        <v>2</v>
      </c>
      <c r="H288" s="20"/>
      <c r="I288" s="158" t="s">
        <v>707</v>
      </c>
    </row>
    <row r="289" customFormat="false" ht="15" hidden="false" customHeight="true" outlineLevel="0" collapsed="false">
      <c r="A289" s="144" t="n">
        <v>46038</v>
      </c>
      <c r="B289" s="113"/>
      <c r="C289" s="159" t="s">
        <v>679</v>
      </c>
      <c r="D289" s="158" t="s">
        <v>174</v>
      </c>
      <c r="E289" s="147" t="n">
        <v>4</v>
      </c>
      <c r="F289" s="147" t="n">
        <v>1000</v>
      </c>
      <c r="G289" s="160" t="n">
        <v>4</v>
      </c>
      <c r="H289" s="20"/>
      <c r="I289" s="158" t="s">
        <v>687</v>
      </c>
    </row>
    <row r="290" customFormat="false" ht="15" hidden="false" customHeight="true" outlineLevel="0" collapsed="false">
      <c r="A290" s="144" t="n">
        <v>46038</v>
      </c>
      <c r="B290" s="113"/>
      <c r="C290" s="159" t="s">
        <v>679</v>
      </c>
      <c r="D290" s="158" t="s">
        <v>179</v>
      </c>
      <c r="E290" s="147" t="n">
        <v>1</v>
      </c>
      <c r="F290" s="147" t="n">
        <v>1000</v>
      </c>
      <c r="G290" s="160" t="n">
        <v>1</v>
      </c>
      <c r="H290" s="20"/>
      <c r="I290" s="158" t="s">
        <v>715</v>
      </c>
    </row>
    <row r="291" customFormat="false" ht="15" hidden="false" customHeight="true" outlineLevel="0" collapsed="false">
      <c r="A291" s="144" t="n">
        <v>46038</v>
      </c>
      <c r="B291" s="113"/>
      <c r="C291" s="159" t="s">
        <v>679</v>
      </c>
      <c r="D291" s="158" t="s">
        <v>179</v>
      </c>
      <c r="E291" s="147" t="n">
        <v>1</v>
      </c>
      <c r="F291" s="147" t="n">
        <v>40</v>
      </c>
      <c r="G291" s="160" t="n">
        <v>0.8</v>
      </c>
      <c r="H291" s="20"/>
      <c r="I291" s="158" t="s">
        <v>688</v>
      </c>
    </row>
    <row r="292" customFormat="false" ht="15" hidden="false" customHeight="true" outlineLevel="0" collapsed="false">
      <c r="A292" s="144" t="n">
        <v>46038</v>
      </c>
      <c r="B292" s="113"/>
      <c r="C292" s="159" t="s">
        <v>679</v>
      </c>
      <c r="D292" s="158" t="s">
        <v>183</v>
      </c>
      <c r="E292" s="147" t="n">
        <v>12</v>
      </c>
      <c r="F292" s="147" t="n">
        <v>60</v>
      </c>
      <c r="G292" s="160" t="n">
        <v>21.6</v>
      </c>
      <c r="H292" s="20"/>
      <c r="I292" s="158" t="s">
        <v>689</v>
      </c>
    </row>
    <row r="293" customFormat="false" ht="15" hidden="false" customHeight="true" outlineLevel="0" collapsed="false">
      <c r="A293" s="144" t="n">
        <v>46038</v>
      </c>
      <c r="B293" s="113"/>
      <c r="C293" s="159" t="s">
        <v>679</v>
      </c>
      <c r="D293" s="158" t="s">
        <v>184</v>
      </c>
      <c r="E293" s="147" t="n">
        <v>1</v>
      </c>
      <c r="F293" s="147" t="n">
        <v>50</v>
      </c>
      <c r="G293" s="160" t="n">
        <v>2</v>
      </c>
      <c r="H293" s="20"/>
      <c r="I293" s="158" t="s">
        <v>691</v>
      </c>
    </row>
    <row r="294" customFormat="false" ht="15" hidden="false" customHeight="true" outlineLevel="0" collapsed="false">
      <c r="A294" s="144" t="n">
        <v>46038</v>
      </c>
      <c r="B294" s="113"/>
      <c r="C294" s="159" t="s">
        <v>679</v>
      </c>
      <c r="D294" s="158" t="s">
        <v>184</v>
      </c>
      <c r="E294" s="147" t="n">
        <v>5</v>
      </c>
      <c r="F294" s="147" t="n">
        <v>50</v>
      </c>
      <c r="G294" s="160" t="n">
        <v>0.25</v>
      </c>
      <c r="H294" s="20"/>
      <c r="I294" s="158" t="s">
        <v>684</v>
      </c>
    </row>
    <row r="295" customFormat="false" ht="15" hidden="false" customHeight="true" outlineLevel="0" collapsed="false">
      <c r="A295" s="144" t="n">
        <v>46038</v>
      </c>
      <c r="B295" s="113"/>
      <c r="C295" s="159" t="s">
        <v>679</v>
      </c>
      <c r="D295" s="158" t="s">
        <v>186</v>
      </c>
      <c r="E295" s="147" t="n">
        <v>4</v>
      </c>
      <c r="F295" s="147" t="n">
        <v>50</v>
      </c>
      <c r="G295" s="160" t="n">
        <v>0.2</v>
      </c>
      <c r="H295" s="20"/>
      <c r="I295" s="158" t="s">
        <v>684</v>
      </c>
    </row>
    <row r="296" customFormat="false" ht="15" hidden="false" customHeight="true" outlineLevel="0" collapsed="false">
      <c r="A296" s="144" t="n">
        <v>46038</v>
      </c>
      <c r="B296" s="113"/>
      <c r="C296" s="159" t="s">
        <v>679</v>
      </c>
      <c r="D296" s="158" t="s">
        <v>192</v>
      </c>
      <c r="E296" s="147" t="n">
        <v>5</v>
      </c>
      <c r="F296" s="147" t="n">
        <v>50</v>
      </c>
      <c r="G296" s="160" t="n">
        <v>0.25</v>
      </c>
      <c r="H296" s="20"/>
      <c r="I296" s="158" t="s">
        <v>684</v>
      </c>
    </row>
    <row r="297" customFormat="false" ht="15" hidden="false" customHeight="true" outlineLevel="0" collapsed="false">
      <c r="A297" s="144" t="n">
        <v>46038</v>
      </c>
      <c r="B297" s="113"/>
      <c r="C297" s="159" t="s">
        <v>679</v>
      </c>
      <c r="D297" s="158" t="s">
        <v>195</v>
      </c>
      <c r="E297" s="147" t="n">
        <v>4</v>
      </c>
      <c r="F297" s="147" t="n">
        <v>50</v>
      </c>
      <c r="G297" s="160" t="n">
        <v>0.2</v>
      </c>
      <c r="H297" s="20"/>
      <c r="I297" s="158" t="s">
        <v>684</v>
      </c>
    </row>
    <row r="298" customFormat="false" ht="15" hidden="false" customHeight="true" outlineLevel="0" collapsed="false">
      <c r="A298" s="144" t="n">
        <v>46038</v>
      </c>
      <c r="B298" s="113"/>
      <c r="C298" s="159" t="s">
        <v>679</v>
      </c>
      <c r="D298" s="158" t="s">
        <v>204</v>
      </c>
      <c r="E298" s="147" t="n">
        <v>12</v>
      </c>
      <c r="F298" s="147" t="n">
        <v>60</v>
      </c>
      <c r="G298" s="160" t="n">
        <v>21.6</v>
      </c>
      <c r="H298" s="20"/>
      <c r="I298" s="158" t="s">
        <v>694</v>
      </c>
    </row>
    <row r="299" customFormat="false" ht="15" hidden="false" customHeight="true" outlineLevel="0" collapsed="false">
      <c r="A299" s="144" t="n">
        <v>46038</v>
      </c>
      <c r="B299" s="113"/>
      <c r="C299" s="159" t="s">
        <v>679</v>
      </c>
      <c r="D299" s="158" t="s">
        <v>236</v>
      </c>
      <c r="E299" s="147" t="n">
        <v>4</v>
      </c>
      <c r="F299" s="147" t="n">
        <v>60</v>
      </c>
      <c r="G299" s="160" t="n">
        <v>7.2</v>
      </c>
      <c r="H299" s="20"/>
      <c r="I299" s="158" t="s">
        <v>695</v>
      </c>
    </row>
    <row r="300" customFormat="false" ht="15" hidden="false" customHeight="true" outlineLevel="0" collapsed="false">
      <c r="A300" s="144" t="n">
        <v>46038</v>
      </c>
      <c r="B300" s="113"/>
      <c r="C300" s="159" t="s">
        <v>679</v>
      </c>
      <c r="D300" s="158" t="s">
        <v>206</v>
      </c>
      <c r="E300" s="147" t="n">
        <v>2</v>
      </c>
      <c r="F300" s="147" t="n">
        <v>30</v>
      </c>
      <c r="G300" s="160" t="n">
        <v>3.6</v>
      </c>
      <c r="H300" s="20"/>
      <c r="I300" s="158" t="s">
        <v>696</v>
      </c>
    </row>
    <row r="301" customFormat="false" ht="15" hidden="false" customHeight="true" outlineLevel="0" collapsed="false">
      <c r="A301" s="144" t="n">
        <v>46038</v>
      </c>
      <c r="B301" s="113"/>
      <c r="C301" s="159" t="s">
        <v>679</v>
      </c>
      <c r="D301" s="158" t="s">
        <v>219</v>
      </c>
      <c r="E301" s="147" t="n">
        <v>4</v>
      </c>
      <c r="F301" s="147" t="n">
        <v>50</v>
      </c>
      <c r="G301" s="160" t="n">
        <v>0.2</v>
      </c>
      <c r="H301" s="20"/>
      <c r="I301" s="158" t="s">
        <v>684</v>
      </c>
    </row>
    <row r="302" customFormat="false" ht="15" hidden="false" customHeight="true" outlineLevel="0" collapsed="false">
      <c r="A302" s="144" t="n">
        <v>46038</v>
      </c>
      <c r="B302" s="113"/>
      <c r="C302" s="159" t="s">
        <v>679</v>
      </c>
      <c r="D302" s="158" t="s">
        <v>220</v>
      </c>
      <c r="E302" s="147" t="n">
        <v>5</v>
      </c>
      <c r="F302" s="147" t="n">
        <v>50</v>
      </c>
      <c r="G302" s="160" t="n">
        <v>0.25</v>
      </c>
      <c r="H302" s="20"/>
      <c r="I302" s="158" t="s">
        <v>706</v>
      </c>
    </row>
    <row r="303" customFormat="false" ht="15" hidden="false" customHeight="true" outlineLevel="0" collapsed="false">
      <c r="A303" s="144" t="n">
        <v>46039</v>
      </c>
      <c r="B303" s="158" t="s">
        <v>669</v>
      </c>
      <c r="C303" s="159" t="s">
        <v>670</v>
      </c>
      <c r="D303" s="113" t="s">
        <v>726</v>
      </c>
      <c r="E303" s="147" t="n">
        <v>1</v>
      </c>
      <c r="F303" s="147"/>
      <c r="G303" s="160" t="n">
        <v>1.6</v>
      </c>
      <c r="H303" s="20"/>
      <c r="I303" s="113"/>
    </row>
    <row r="304" customFormat="false" ht="15" hidden="false" customHeight="true" outlineLevel="0" collapsed="false">
      <c r="A304" s="144" t="n">
        <v>46039</v>
      </c>
      <c r="B304" s="158" t="s">
        <v>669</v>
      </c>
      <c r="C304" s="159" t="s">
        <v>670</v>
      </c>
      <c r="D304" s="158" t="s">
        <v>155</v>
      </c>
      <c r="E304" s="147" t="n">
        <v>20</v>
      </c>
      <c r="F304" s="147" t="n">
        <v>80</v>
      </c>
      <c r="G304" s="160" t="n">
        <v>1.6</v>
      </c>
      <c r="H304" s="20"/>
      <c r="I304" s="113" t="s">
        <v>726</v>
      </c>
    </row>
    <row r="305" customFormat="false" ht="15" hidden="false" customHeight="true" outlineLevel="0" collapsed="false">
      <c r="A305" s="144" t="n">
        <v>46039</v>
      </c>
      <c r="B305" s="158" t="s">
        <v>669</v>
      </c>
      <c r="C305" s="159" t="s">
        <v>670</v>
      </c>
      <c r="D305" s="158" t="s">
        <v>222</v>
      </c>
      <c r="E305" s="147" t="n">
        <v>20</v>
      </c>
      <c r="F305" s="147" t="n">
        <v>40</v>
      </c>
      <c r="G305" s="160" t="n">
        <v>0.8</v>
      </c>
      <c r="H305" s="20"/>
      <c r="I305" s="158" t="s">
        <v>727</v>
      </c>
    </row>
    <row r="306" customFormat="false" ht="15" hidden="false" customHeight="true" outlineLevel="0" collapsed="false">
      <c r="A306" s="144" t="n">
        <v>46039</v>
      </c>
      <c r="B306" s="158" t="s">
        <v>669</v>
      </c>
      <c r="C306" s="159" t="s">
        <v>670</v>
      </c>
      <c r="D306" s="158" t="s">
        <v>221</v>
      </c>
      <c r="E306" s="147" t="n">
        <v>20</v>
      </c>
      <c r="F306" s="147" t="n">
        <v>40</v>
      </c>
      <c r="G306" s="160" t="n">
        <v>0.8</v>
      </c>
      <c r="H306" s="20"/>
      <c r="I306" s="158" t="s">
        <v>221</v>
      </c>
    </row>
    <row r="307" customFormat="false" ht="15" hidden="false" customHeight="true" outlineLevel="0" collapsed="false">
      <c r="A307" s="144" t="n">
        <v>46039</v>
      </c>
      <c r="B307" s="158" t="s">
        <v>669</v>
      </c>
      <c r="C307" s="159" t="s">
        <v>670</v>
      </c>
      <c r="D307" s="158" t="s">
        <v>727</v>
      </c>
      <c r="E307" s="147" t="n">
        <v>1</v>
      </c>
      <c r="F307" s="147"/>
      <c r="G307" s="160" t="n">
        <v>0.8</v>
      </c>
      <c r="H307" s="20"/>
      <c r="I307" s="113"/>
    </row>
    <row r="308" customFormat="false" ht="15" hidden="false" customHeight="true" outlineLevel="0" collapsed="false">
      <c r="A308" s="144" t="n">
        <v>46041</v>
      </c>
      <c r="B308" s="113"/>
      <c r="C308" s="159" t="s">
        <v>679</v>
      </c>
      <c r="D308" s="113" t="s">
        <v>267</v>
      </c>
      <c r="E308" s="147" t="n">
        <v>2</v>
      </c>
      <c r="F308" s="147" t="n">
        <v>60</v>
      </c>
      <c r="G308" s="160" t="n">
        <v>2.4</v>
      </c>
      <c r="H308" s="20"/>
      <c r="I308" s="113" t="s">
        <v>705</v>
      </c>
    </row>
    <row r="309" customFormat="false" ht="15" hidden="false" customHeight="true" outlineLevel="0" collapsed="false">
      <c r="A309" s="144" t="n">
        <v>46041</v>
      </c>
      <c r="B309" s="113"/>
      <c r="C309" s="159" t="s">
        <v>679</v>
      </c>
      <c r="D309" s="158" t="s">
        <v>142</v>
      </c>
      <c r="E309" s="147" t="n">
        <v>1</v>
      </c>
      <c r="F309" s="147" t="n">
        <v>50</v>
      </c>
      <c r="G309" s="160" t="n">
        <v>1</v>
      </c>
      <c r="H309" s="20"/>
      <c r="I309" s="158" t="s">
        <v>680</v>
      </c>
    </row>
    <row r="310" customFormat="false" ht="15" hidden="false" customHeight="true" outlineLevel="0" collapsed="false">
      <c r="A310" s="144" t="n">
        <v>46041</v>
      </c>
      <c r="B310" s="113"/>
      <c r="C310" s="159" t="s">
        <v>679</v>
      </c>
      <c r="D310" s="158" t="s">
        <v>142</v>
      </c>
      <c r="E310" s="147" t="n">
        <v>5</v>
      </c>
      <c r="F310" s="147" t="n">
        <v>50</v>
      </c>
      <c r="G310" s="160" t="n">
        <v>0.25</v>
      </c>
      <c r="H310" s="20"/>
      <c r="I310" s="158" t="s">
        <v>706</v>
      </c>
    </row>
    <row r="311" customFormat="false" ht="15" hidden="false" customHeight="true" outlineLevel="0" collapsed="false">
      <c r="A311" s="144" t="n">
        <v>46041</v>
      </c>
      <c r="B311" s="113"/>
      <c r="C311" s="159" t="s">
        <v>679</v>
      </c>
      <c r="D311" s="158" t="s">
        <v>143</v>
      </c>
      <c r="E311" s="147" t="n">
        <v>10</v>
      </c>
      <c r="F311" s="147" t="n">
        <v>50</v>
      </c>
      <c r="G311" s="160" t="n">
        <v>10</v>
      </c>
      <c r="H311" s="20"/>
      <c r="I311" s="158" t="s">
        <v>682</v>
      </c>
    </row>
    <row r="312" customFormat="false" ht="15" hidden="false" customHeight="true" outlineLevel="0" collapsed="false">
      <c r="A312" s="144" t="n">
        <v>46041</v>
      </c>
      <c r="B312" s="113"/>
      <c r="C312" s="159" t="s">
        <v>679</v>
      </c>
      <c r="D312" s="158" t="s">
        <v>143</v>
      </c>
      <c r="E312" s="147" t="n">
        <v>4</v>
      </c>
      <c r="F312" s="147" t="n">
        <v>50</v>
      </c>
      <c r="G312" s="160" t="n">
        <v>8</v>
      </c>
      <c r="H312" s="20"/>
      <c r="I312" s="158" t="s">
        <v>683</v>
      </c>
    </row>
    <row r="313" customFormat="false" ht="15" hidden="false" customHeight="true" outlineLevel="0" collapsed="false">
      <c r="A313" s="144" t="n">
        <v>46041</v>
      </c>
      <c r="B313" s="113"/>
      <c r="C313" s="159" t="s">
        <v>679</v>
      </c>
      <c r="D313" s="158" t="s">
        <v>144</v>
      </c>
      <c r="E313" s="147" t="n">
        <v>11</v>
      </c>
      <c r="F313" s="147" t="n">
        <v>1000</v>
      </c>
      <c r="G313" s="160" t="n">
        <v>22</v>
      </c>
      <c r="H313" s="20"/>
      <c r="I313" s="158" t="s">
        <v>685</v>
      </c>
    </row>
    <row r="314" customFormat="false" ht="15" hidden="false" customHeight="true" outlineLevel="0" collapsed="false">
      <c r="A314" s="144" t="n">
        <v>46041</v>
      </c>
      <c r="B314" s="113"/>
      <c r="C314" s="159" t="s">
        <v>679</v>
      </c>
      <c r="D314" s="158" t="s">
        <v>146</v>
      </c>
      <c r="E314" s="147" t="n">
        <v>5</v>
      </c>
      <c r="F314" s="147" t="n">
        <v>50</v>
      </c>
      <c r="G314" s="160" t="n">
        <v>0.25</v>
      </c>
      <c r="H314" s="20"/>
      <c r="I314" s="158" t="s">
        <v>706</v>
      </c>
    </row>
    <row r="315" customFormat="false" ht="15" hidden="false" customHeight="true" outlineLevel="0" collapsed="false">
      <c r="A315" s="144" t="n">
        <v>46041</v>
      </c>
      <c r="B315" s="113"/>
      <c r="C315" s="159" t="s">
        <v>679</v>
      </c>
      <c r="D315" s="158" t="s">
        <v>147</v>
      </c>
      <c r="E315" s="147" t="n">
        <v>1</v>
      </c>
      <c r="F315" s="147" t="n">
        <v>50</v>
      </c>
      <c r="G315" s="160" t="n">
        <v>1</v>
      </c>
      <c r="H315" s="20"/>
      <c r="I315" s="158" t="s">
        <v>700</v>
      </c>
    </row>
    <row r="316" customFormat="false" ht="15" hidden="false" customHeight="true" outlineLevel="0" collapsed="false">
      <c r="A316" s="144" t="n">
        <v>46041</v>
      </c>
      <c r="B316" s="113"/>
      <c r="C316" s="159" t="s">
        <v>679</v>
      </c>
      <c r="D316" s="158" t="s">
        <v>147</v>
      </c>
      <c r="E316" s="147" t="n">
        <v>5</v>
      </c>
      <c r="F316" s="147" t="n">
        <v>50</v>
      </c>
      <c r="G316" s="160" t="n">
        <v>0.25</v>
      </c>
      <c r="H316" s="20"/>
      <c r="I316" s="158" t="s">
        <v>706</v>
      </c>
    </row>
    <row r="317" customFormat="false" ht="15" hidden="false" customHeight="true" outlineLevel="0" collapsed="false">
      <c r="A317" s="144" t="n">
        <v>46041</v>
      </c>
      <c r="B317" s="113"/>
      <c r="C317" s="159" t="s">
        <v>679</v>
      </c>
      <c r="D317" s="158" t="s">
        <v>155</v>
      </c>
      <c r="E317" s="147" t="n">
        <v>5</v>
      </c>
      <c r="F317" s="147" t="n">
        <v>80</v>
      </c>
      <c r="G317" s="160" t="n">
        <v>8</v>
      </c>
      <c r="H317" s="20"/>
      <c r="I317" s="113" t="s">
        <v>686</v>
      </c>
    </row>
    <row r="318" customFormat="false" ht="15" hidden="false" customHeight="true" outlineLevel="0" collapsed="false">
      <c r="A318" s="144" t="n">
        <v>46041</v>
      </c>
      <c r="B318" s="113"/>
      <c r="C318" s="159" t="s">
        <v>679</v>
      </c>
      <c r="D318" s="158" t="s">
        <v>161</v>
      </c>
      <c r="E318" s="147" t="n">
        <v>2</v>
      </c>
      <c r="F318" s="147" t="n">
        <v>1000</v>
      </c>
      <c r="G318" s="160" t="n">
        <v>2</v>
      </c>
      <c r="H318" s="20"/>
      <c r="I318" s="158" t="s">
        <v>707</v>
      </c>
    </row>
    <row r="319" customFormat="false" ht="15" hidden="false" customHeight="true" outlineLevel="0" collapsed="false">
      <c r="A319" s="144" t="n">
        <v>46041</v>
      </c>
      <c r="B319" s="113"/>
      <c r="C319" s="159" t="s">
        <v>679</v>
      </c>
      <c r="D319" s="158" t="s">
        <v>161</v>
      </c>
      <c r="E319" s="147" t="n">
        <v>2</v>
      </c>
      <c r="F319" s="147" t="n">
        <v>1000</v>
      </c>
      <c r="G319" s="160" t="n">
        <v>2</v>
      </c>
      <c r="H319" s="20"/>
      <c r="I319" s="158" t="s">
        <v>714</v>
      </c>
    </row>
    <row r="320" customFormat="false" ht="15" hidden="false" customHeight="true" outlineLevel="0" collapsed="false">
      <c r="A320" s="144" t="n">
        <v>46041</v>
      </c>
      <c r="B320" s="113"/>
      <c r="C320" s="159" t="s">
        <v>679</v>
      </c>
      <c r="D320" s="158" t="s">
        <v>173</v>
      </c>
      <c r="E320" s="147" t="n">
        <v>2</v>
      </c>
      <c r="F320" s="147" t="n">
        <v>50</v>
      </c>
      <c r="G320" s="160" t="n">
        <v>1</v>
      </c>
      <c r="H320" s="20"/>
      <c r="I320" s="158" t="s">
        <v>728</v>
      </c>
    </row>
    <row r="321" customFormat="false" ht="15" hidden="false" customHeight="true" outlineLevel="0" collapsed="false">
      <c r="A321" s="144" t="n">
        <v>46041</v>
      </c>
      <c r="B321" s="113"/>
      <c r="C321" s="159" t="s">
        <v>679</v>
      </c>
      <c r="D321" s="158" t="s">
        <v>174</v>
      </c>
      <c r="E321" s="147" t="n">
        <v>6</v>
      </c>
      <c r="F321" s="147" t="n">
        <v>1000</v>
      </c>
      <c r="G321" s="160" t="n">
        <v>6</v>
      </c>
      <c r="H321" s="20"/>
      <c r="I321" s="158" t="s">
        <v>687</v>
      </c>
    </row>
    <row r="322" customFormat="false" ht="15" hidden="false" customHeight="true" outlineLevel="0" collapsed="false">
      <c r="A322" s="144" t="n">
        <v>46041</v>
      </c>
      <c r="B322" s="113"/>
      <c r="C322" s="159" t="s">
        <v>679</v>
      </c>
      <c r="D322" s="158" t="s">
        <v>174</v>
      </c>
      <c r="E322" s="147" t="n">
        <v>2</v>
      </c>
      <c r="F322" s="147" t="n">
        <v>1000</v>
      </c>
      <c r="G322" s="160" t="n">
        <v>2</v>
      </c>
      <c r="H322" s="20"/>
      <c r="I322" s="158" t="s">
        <v>714</v>
      </c>
    </row>
    <row r="323" customFormat="false" ht="15" hidden="false" customHeight="true" outlineLevel="0" collapsed="false">
      <c r="A323" s="144" t="n">
        <v>46041</v>
      </c>
      <c r="B323" s="113"/>
      <c r="C323" s="159" t="s">
        <v>679</v>
      </c>
      <c r="D323" s="158" t="s">
        <v>181</v>
      </c>
      <c r="E323" s="147" t="n">
        <v>6</v>
      </c>
      <c r="F323" s="147" t="n">
        <v>1000</v>
      </c>
      <c r="G323" s="160" t="n">
        <v>6</v>
      </c>
      <c r="H323" s="20"/>
      <c r="I323" s="113" t="s">
        <v>718</v>
      </c>
    </row>
    <row r="324" customFormat="false" ht="15" hidden="false" customHeight="true" outlineLevel="0" collapsed="false">
      <c r="A324" s="144" t="n">
        <v>46041</v>
      </c>
      <c r="B324" s="113"/>
      <c r="C324" s="159" t="s">
        <v>679</v>
      </c>
      <c r="D324" s="158" t="s">
        <v>183</v>
      </c>
      <c r="E324" s="147" t="n">
        <v>1</v>
      </c>
      <c r="F324" s="147" t="n">
        <v>60</v>
      </c>
      <c r="G324" s="160" t="n">
        <v>0.6</v>
      </c>
      <c r="H324" s="20"/>
      <c r="I324" s="113" t="s">
        <v>722</v>
      </c>
    </row>
    <row r="325" customFormat="false" ht="15" hidden="false" customHeight="true" outlineLevel="0" collapsed="false">
      <c r="A325" s="144" t="n">
        <v>46041</v>
      </c>
      <c r="B325" s="113"/>
      <c r="C325" s="159" t="s">
        <v>679</v>
      </c>
      <c r="D325" s="158" t="s">
        <v>183</v>
      </c>
      <c r="E325" s="147" t="n">
        <v>26</v>
      </c>
      <c r="F325" s="147" t="n">
        <v>60</v>
      </c>
      <c r="G325" s="160" t="n">
        <v>46.8</v>
      </c>
      <c r="H325" s="20"/>
      <c r="I325" s="158" t="s">
        <v>689</v>
      </c>
    </row>
    <row r="326" customFormat="false" ht="15" hidden="false" customHeight="true" outlineLevel="0" collapsed="false">
      <c r="A326" s="144" t="n">
        <v>46041</v>
      </c>
      <c r="B326" s="113"/>
      <c r="C326" s="159" t="s">
        <v>679</v>
      </c>
      <c r="D326" s="158" t="s">
        <v>184</v>
      </c>
      <c r="E326" s="147" t="n">
        <v>10</v>
      </c>
      <c r="F326" s="147" t="n">
        <v>50</v>
      </c>
      <c r="G326" s="160" t="n">
        <v>10</v>
      </c>
      <c r="H326" s="20"/>
      <c r="I326" s="158" t="s">
        <v>690</v>
      </c>
    </row>
    <row r="327" customFormat="false" ht="15" hidden="false" customHeight="true" outlineLevel="0" collapsed="false">
      <c r="A327" s="144" t="n">
        <v>46041</v>
      </c>
      <c r="B327" s="113"/>
      <c r="C327" s="159" t="s">
        <v>679</v>
      </c>
      <c r="D327" s="158" t="s">
        <v>184</v>
      </c>
      <c r="E327" s="147" t="n">
        <v>3</v>
      </c>
      <c r="F327" s="147" t="n">
        <v>50</v>
      </c>
      <c r="G327" s="160" t="n">
        <v>6</v>
      </c>
      <c r="H327" s="20"/>
      <c r="I327" s="158" t="s">
        <v>691</v>
      </c>
    </row>
    <row r="328" customFormat="false" ht="15" hidden="false" customHeight="true" outlineLevel="0" collapsed="false">
      <c r="A328" s="144" t="n">
        <v>46041</v>
      </c>
      <c r="B328" s="113"/>
      <c r="C328" s="159" t="s">
        <v>679</v>
      </c>
      <c r="D328" s="158" t="s">
        <v>222</v>
      </c>
      <c r="E328" s="147" t="n">
        <v>1</v>
      </c>
      <c r="F328" s="147" t="n">
        <v>40</v>
      </c>
      <c r="G328" s="160" t="n">
        <v>0.2</v>
      </c>
      <c r="H328" s="20"/>
      <c r="I328" s="113" t="s">
        <v>722</v>
      </c>
    </row>
    <row r="329" customFormat="false" ht="15" hidden="false" customHeight="true" outlineLevel="0" collapsed="false">
      <c r="A329" s="144" t="n">
        <v>46041</v>
      </c>
      <c r="B329" s="113"/>
      <c r="C329" s="159" t="s">
        <v>679</v>
      </c>
      <c r="D329" s="158" t="s">
        <v>222</v>
      </c>
      <c r="E329" s="147" t="n">
        <v>1</v>
      </c>
      <c r="F329" s="147" t="n">
        <v>40</v>
      </c>
      <c r="G329" s="160" t="n">
        <v>0.8</v>
      </c>
      <c r="H329" s="20"/>
      <c r="I329" s="158" t="s">
        <v>692</v>
      </c>
    </row>
    <row r="330" customFormat="false" ht="15" hidden="false" customHeight="true" outlineLevel="0" collapsed="false">
      <c r="A330" s="144" t="n">
        <v>46041</v>
      </c>
      <c r="B330" s="113"/>
      <c r="C330" s="159" t="s">
        <v>679</v>
      </c>
      <c r="D330" s="158" t="s">
        <v>221</v>
      </c>
      <c r="E330" s="147" t="n">
        <v>1</v>
      </c>
      <c r="F330" s="147" t="n">
        <v>40</v>
      </c>
      <c r="G330" s="160" t="n">
        <v>0.2</v>
      </c>
      <c r="H330" s="20"/>
      <c r="I330" s="113" t="s">
        <v>722</v>
      </c>
    </row>
    <row r="331" customFormat="false" ht="15" hidden="false" customHeight="true" outlineLevel="0" collapsed="false">
      <c r="A331" s="144" t="n">
        <v>46041</v>
      </c>
      <c r="B331" s="113"/>
      <c r="C331" s="159" t="s">
        <v>679</v>
      </c>
      <c r="D331" s="158" t="s">
        <v>204</v>
      </c>
      <c r="E331" s="147" t="n">
        <v>1</v>
      </c>
      <c r="F331" s="147" t="n">
        <v>60</v>
      </c>
      <c r="G331" s="160" t="n">
        <v>0.3</v>
      </c>
      <c r="H331" s="20"/>
      <c r="I331" s="113" t="s">
        <v>722</v>
      </c>
    </row>
    <row r="332" customFormat="false" ht="15" hidden="false" customHeight="true" outlineLevel="0" collapsed="false">
      <c r="A332" s="144" t="n">
        <v>46041</v>
      </c>
      <c r="B332" s="113"/>
      <c r="C332" s="159" t="s">
        <v>679</v>
      </c>
      <c r="D332" s="158" t="s">
        <v>204</v>
      </c>
      <c r="E332" s="147" t="n">
        <v>17</v>
      </c>
      <c r="F332" s="147" t="n">
        <v>60</v>
      </c>
      <c r="G332" s="160" t="n">
        <v>30.6</v>
      </c>
      <c r="H332" s="20"/>
      <c r="I332" s="158" t="s">
        <v>694</v>
      </c>
    </row>
    <row r="333" customFormat="false" ht="15" hidden="false" customHeight="true" outlineLevel="0" collapsed="false">
      <c r="A333" s="144" t="n">
        <v>46041</v>
      </c>
      <c r="B333" s="113"/>
      <c r="C333" s="159" t="s">
        <v>679</v>
      </c>
      <c r="D333" s="158" t="s">
        <v>236</v>
      </c>
      <c r="E333" s="147" t="n">
        <v>1</v>
      </c>
      <c r="F333" s="147" t="n">
        <v>60</v>
      </c>
      <c r="G333" s="160" t="n">
        <v>0.3</v>
      </c>
      <c r="H333" s="20"/>
      <c r="I333" s="113" t="s">
        <v>722</v>
      </c>
    </row>
    <row r="334" customFormat="false" ht="15" hidden="false" customHeight="true" outlineLevel="0" collapsed="false">
      <c r="A334" s="144" t="n">
        <v>46041</v>
      </c>
      <c r="B334" s="113"/>
      <c r="C334" s="159" t="s">
        <v>679</v>
      </c>
      <c r="D334" s="158" t="s">
        <v>236</v>
      </c>
      <c r="E334" s="147" t="n">
        <v>7</v>
      </c>
      <c r="F334" s="147" t="n">
        <v>60</v>
      </c>
      <c r="G334" s="160" t="n">
        <v>12.6</v>
      </c>
      <c r="H334" s="20"/>
      <c r="I334" s="158" t="s">
        <v>695</v>
      </c>
    </row>
    <row r="335" customFormat="false" ht="15" hidden="false" customHeight="true" outlineLevel="0" collapsed="false">
      <c r="A335" s="144" t="n">
        <v>46041</v>
      </c>
      <c r="B335" s="113"/>
      <c r="C335" s="159" t="s">
        <v>679</v>
      </c>
      <c r="D335" s="158" t="s">
        <v>206</v>
      </c>
      <c r="E335" s="147" t="n">
        <v>1</v>
      </c>
      <c r="F335" s="147" t="n">
        <v>30</v>
      </c>
      <c r="G335" s="160" t="n">
        <v>1.8</v>
      </c>
      <c r="H335" s="20"/>
      <c r="I335" s="158" t="s">
        <v>696</v>
      </c>
    </row>
    <row r="336" customFormat="false" ht="15" hidden="false" customHeight="true" outlineLevel="0" collapsed="false">
      <c r="A336" s="144" t="n">
        <v>46041</v>
      </c>
      <c r="B336" s="113"/>
      <c r="C336" s="159" t="s">
        <v>679</v>
      </c>
      <c r="D336" s="158" t="s">
        <v>207</v>
      </c>
      <c r="E336" s="147" t="n">
        <v>1</v>
      </c>
      <c r="F336" s="147" t="n">
        <v>1000</v>
      </c>
      <c r="G336" s="160" t="n">
        <v>2</v>
      </c>
      <c r="H336" s="20"/>
      <c r="I336" s="158" t="s">
        <v>710</v>
      </c>
    </row>
    <row r="337" customFormat="false" ht="15" hidden="false" customHeight="true" outlineLevel="0" collapsed="false">
      <c r="A337" s="144" t="n">
        <v>46041</v>
      </c>
      <c r="B337" s="113"/>
      <c r="C337" s="159" t="s">
        <v>679</v>
      </c>
      <c r="D337" s="158" t="s">
        <v>220</v>
      </c>
      <c r="E337" s="147" t="n">
        <v>5</v>
      </c>
      <c r="F337" s="147" t="n">
        <v>50</v>
      </c>
      <c r="G337" s="160" t="n">
        <v>0.25</v>
      </c>
      <c r="H337" s="20"/>
      <c r="I337" s="158" t="s">
        <v>706</v>
      </c>
    </row>
    <row r="338" customFormat="false" ht="15" hidden="false" customHeight="true" outlineLevel="0" collapsed="false">
      <c r="A338" s="144" t="n">
        <v>46041</v>
      </c>
      <c r="B338" s="158" t="s">
        <v>669</v>
      </c>
      <c r="C338" s="159" t="s">
        <v>670</v>
      </c>
      <c r="D338" s="158" t="s">
        <v>729</v>
      </c>
      <c r="E338" s="147" t="n">
        <v>1</v>
      </c>
      <c r="F338" s="147"/>
      <c r="G338" s="160" t="n">
        <v>3</v>
      </c>
      <c r="H338" s="20"/>
      <c r="I338" s="113"/>
    </row>
    <row r="339" customFormat="false" ht="15" hidden="false" customHeight="true" outlineLevel="0" collapsed="false">
      <c r="A339" s="144" t="n">
        <v>46041</v>
      </c>
      <c r="B339" s="158" t="s">
        <v>669</v>
      </c>
      <c r="C339" s="159" t="s">
        <v>670</v>
      </c>
      <c r="D339" s="158" t="s">
        <v>181</v>
      </c>
      <c r="E339" s="147" t="n">
        <v>3</v>
      </c>
      <c r="F339" s="147" t="n">
        <v>1000</v>
      </c>
      <c r="G339" s="160" t="n">
        <v>3</v>
      </c>
      <c r="H339" s="20"/>
      <c r="I339" s="158" t="s">
        <v>729</v>
      </c>
    </row>
    <row r="340" customFormat="false" ht="15" hidden="false" customHeight="true" outlineLevel="0" collapsed="false">
      <c r="A340" s="144" t="n">
        <v>46042</v>
      </c>
      <c r="B340" s="113"/>
      <c r="C340" s="159" t="s">
        <v>679</v>
      </c>
      <c r="D340" s="158" t="s">
        <v>142</v>
      </c>
      <c r="E340" s="147" t="n">
        <v>10</v>
      </c>
      <c r="F340" s="147" t="n">
        <v>50</v>
      </c>
      <c r="G340" s="160" t="n">
        <v>0.5</v>
      </c>
      <c r="H340" s="20"/>
      <c r="I340" s="158" t="s">
        <v>681</v>
      </c>
    </row>
    <row r="341" customFormat="false" ht="15" hidden="false" customHeight="true" outlineLevel="0" collapsed="false">
      <c r="A341" s="144" t="n">
        <v>46042</v>
      </c>
      <c r="B341" s="113"/>
      <c r="C341" s="159" t="s">
        <v>679</v>
      </c>
      <c r="D341" s="158" t="s">
        <v>143</v>
      </c>
      <c r="E341" s="147" t="n">
        <v>6</v>
      </c>
      <c r="F341" s="147" t="n">
        <v>50</v>
      </c>
      <c r="G341" s="160" t="n">
        <v>6</v>
      </c>
      <c r="H341" s="20"/>
      <c r="I341" s="158" t="s">
        <v>682</v>
      </c>
    </row>
    <row r="342" customFormat="false" ht="15" hidden="false" customHeight="true" outlineLevel="0" collapsed="false">
      <c r="A342" s="144" t="n">
        <v>46042</v>
      </c>
      <c r="B342" s="113"/>
      <c r="C342" s="159" t="s">
        <v>679</v>
      </c>
      <c r="D342" s="158" t="s">
        <v>143</v>
      </c>
      <c r="E342" s="147" t="n">
        <v>3</v>
      </c>
      <c r="F342" s="147" t="n">
        <v>50</v>
      </c>
      <c r="G342" s="160" t="n">
        <v>6</v>
      </c>
      <c r="H342" s="20"/>
      <c r="I342" s="158" t="s">
        <v>683</v>
      </c>
    </row>
    <row r="343" customFormat="false" ht="15" hidden="false" customHeight="true" outlineLevel="0" collapsed="false">
      <c r="A343" s="144" t="n">
        <v>46042</v>
      </c>
      <c r="B343" s="113"/>
      <c r="C343" s="159" t="s">
        <v>679</v>
      </c>
      <c r="D343" s="158" t="s">
        <v>143</v>
      </c>
      <c r="E343" s="147" t="n">
        <v>3</v>
      </c>
      <c r="F343" s="147" t="n">
        <v>50</v>
      </c>
      <c r="G343" s="160" t="n">
        <v>0.15</v>
      </c>
      <c r="H343" s="20"/>
      <c r="I343" s="158" t="s">
        <v>713</v>
      </c>
    </row>
    <row r="344" customFormat="false" ht="15" hidden="false" customHeight="true" outlineLevel="0" collapsed="false">
      <c r="A344" s="144" t="n">
        <v>46042</v>
      </c>
      <c r="B344" s="113"/>
      <c r="C344" s="159" t="s">
        <v>679</v>
      </c>
      <c r="D344" s="158" t="s">
        <v>144</v>
      </c>
      <c r="E344" s="147" t="n">
        <v>5</v>
      </c>
      <c r="F344" s="147" t="n">
        <v>1000</v>
      </c>
      <c r="G344" s="160" t="n">
        <v>5</v>
      </c>
      <c r="H344" s="20"/>
      <c r="I344" s="158" t="s">
        <v>699</v>
      </c>
    </row>
    <row r="345" customFormat="false" ht="15" hidden="false" customHeight="true" outlineLevel="0" collapsed="false">
      <c r="A345" s="144" t="n">
        <v>46042</v>
      </c>
      <c r="B345" s="113"/>
      <c r="C345" s="159" t="s">
        <v>679</v>
      </c>
      <c r="D345" s="158" t="s">
        <v>144</v>
      </c>
      <c r="E345" s="147" t="n">
        <v>3</v>
      </c>
      <c r="F345" s="147" t="n">
        <v>1000</v>
      </c>
      <c r="G345" s="160" t="n">
        <v>6</v>
      </c>
      <c r="H345" s="20"/>
      <c r="I345" s="158" t="s">
        <v>685</v>
      </c>
    </row>
    <row r="346" customFormat="false" ht="15" hidden="false" customHeight="true" outlineLevel="0" collapsed="false">
      <c r="A346" s="144" t="n">
        <v>46042</v>
      </c>
      <c r="B346" s="113"/>
      <c r="C346" s="159" t="s">
        <v>679</v>
      </c>
      <c r="D346" s="158" t="s">
        <v>145</v>
      </c>
      <c r="E346" s="147" t="n">
        <v>2</v>
      </c>
      <c r="F346" s="147" t="n">
        <v>50</v>
      </c>
      <c r="G346" s="160" t="n">
        <v>0.1</v>
      </c>
      <c r="H346" s="20"/>
      <c r="I346" s="158" t="s">
        <v>713</v>
      </c>
    </row>
    <row r="347" customFormat="false" ht="15" hidden="false" customHeight="true" outlineLevel="0" collapsed="false">
      <c r="A347" s="144" t="n">
        <v>46042</v>
      </c>
      <c r="B347" s="113"/>
      <c r="C347" s="159" t="s">
        <v>679</v>
      </c>
      <c r="D347" s="158" t="s">
        <v>146</v>
      </c>
      <c r="E347" s="147" t="n">
        <v>10</v>
      </c>
      <c r="F347" s="147" t="n">
        <v>50</v>
      </c>
      <c r="G347" s="160" t="n">
        <v>0.5</v>
      </c>
      <c r="H347" s="20"/>
      <c r="I347" s="158" t="s">
        <v>681</v>
      </c>
    </row>
    <row r="348" customFormat="false" ht="15" hidden="false" customHeight="true" outlineLevel="0" collapsed="false">
      <c r="A348" s="144" t="n">
        <v>46042</v>
      </c>
      <c r="B348" s="113"/>
      <c r="C348" s="159" t="s">
        <v>679</v>
      </c>
      <c r="D348" s="158" t="s">
        <v>147</v>
      </c>
      <c r="E348" s="147" t="n">
        <v>10</v>
      </c>
      <c r="F348" s="147" t="n">
        <v>50</v>
      </c>
      <c r="G348" s="160" t="n">
        <v>0.5</v>
      </c>
      <c r="H348" s="20"/>
      <c r="I348" s="158" t="s">
        <v>681</v>
      </c>
    </row>
    <row r="349" customFormat="false" ht="15" hidden="false" customHeight="true" outlineLevel="0" collapsed="false">
      <c r="A349" s="144" t="n">
        <v>46042</v>
      </c>
      <c r="B349" s="113"/>
      <c r="C349" s="159" t="s">
        <v>679</v>
      </c>
      <c r="D349" s="158" t="s">
        <v>148</v>
      </c>
      <c r="E349" s="147" t="n">
        <v>2</v>
      </c>
      <c r="F349" s="147" t="n">
        <v>50</v>
      </c>
      <c r="G349" s="160" t="n">
        <v>0.1</v>
      </c>
      <c r="H349" s="20"/>
      <c r="I349" s="158" t="s">
        <v>713</v>
      </c>
    </row>
    <row r="350" customFormat="false" ht="15" hidden="false" customHeight="true" outlineLevel="0" collapsed="false">
      <c r="A350" s="144" t="n">
        <v>46042</v>
      </c>
      <c r="B350" s="113"/>
      <c r="C350" s="159" t="s">
        <v>679</v>
      </c>
      <c r="D350" s="158" t="s">
        <v>155</v>
      </c>
      <c r="E350" s="147" t="n">
        <v>2</v>
      </c>
      <c r="F350" s="147" t="n">
        <v>80</v>
      </c>
      <c r="G350" s="160" t="n">
        <v>3.2</v>
      </c>
      <c r="H350" s="20"/>
      <c r="I350" s="113" t="s">
        <v>686</v>
      </c>
    </row>
    <row r="351" customFormat="false" ht="15" hidden="false" customHeight="true" outlineLevel="0" collapsed="false">
      <c r="A351" s="144" t="n">
        <v>46042</v>
      </c>
      <c r="B351" s="113"/>
      <c r="C351" s="159" t="s">
        <v>679</v>
      </c>
      <c r="D351" s="158" t="s">
        <v>159</v>
      </c>
      <c r="E351" s="147" t="n">
        <v>2</v>
      </c>
      <c r="F351" s="147" t="n">
        <v>50</v>
      </c>
      <c r="G351" s="160" t="n">
        <v>0.1</v>
      </c>
      <c r="H351" s="20"/>
      <c r="I351" s="158" t="s">
        <v>713</v>
      </c>
    </row>
    <row r="352" customFormat="false" ht="15" hidden="false" customHeight="true" outlineLevel="0" collapsed="false">
      <c r="A352" s="144" t="n">
        <v>46042</v>
      </c>
      <c r="B352" s="113"/>
      <c r="C352" s="159" t="s">
        <v>679</v>
      </c>
      <c r="D352" s="158" t="s">
        <v>174</v>
      </c>
      <c r="E352" s="147" t="n">
        <v>2</v>
      </c>
      <c r="F352" s="147" t="n">
        <v>1000</v>
      </c>
      <c r="G352" s="160" t="n">
        <v>2</v>
      </c>
      <c r="H352" s="20"/>
      <c r="I352" s="158" t="s">
        <v>687</v>
      </c>
    </row>
    <row r="353" customFormat="false" ht="15" hidden="false" customHeight="true" outlineLevel="0" collapsed="false">
      <c r="A353" s="144" t="n">
        <v>46042</v>
      </c>
      <c r="B353" s="113"/>
      <c r="C353" s="159" t="s">
        <v>679</v>
      </c>
      <c r="D353" s="158" t="s">
        <v>174</v>
      </c>
      <c r="E353" s="147" t="n">
        <v>2</v>
      </c>
      <c r="F353" s="147" t="n">
        <v>1000</v>
      </c>
      <c r="G353" s="160" t="n">
        <v>4</v>
      </c>
      <c r="H353" s="20"/>
      <c r="I353" s="158" t="s">
        <v>730</v>
      </c>
    </row>
    <row r="354" customFormat="false" ht="15" hidden="false" customHeight="true" outlineLevel="0" collapsed="false">
      <c r="A354" s="144" t="n">
        <v>46042</v>
      </c>
      <c r="B354" s="113"/>
      <c r="C354" s="159" t="s">
        <v>679</v>
      </c>
      <c r="D354" s="158" t="s">
        <v>179</v>
      </c>
      <c r="E354" s="147" t="n">
        <v>1</v>
      </c>
      <c r="F354" s="147" t="n">
        <v>1000</v>
      </c>
      <c r="G354" s="160" t="n">
        <v>1</v>
      </c>
      <c r="H354" s="20"/>
      <c r="I354" s="158" t="s">
        <v>715</v>
      </c>
    </row>
    <row r="355" customFormat="false" ht="15" hidden="false" customHeight="true" outlineLevel="0" collapsed="false">
      <c r="A355" s="144" t="n">
        <v>46042</v>
      </c>
      <c r="B355" s="113"/>
      <c r="C355" s="159" t="s">
        <v>679</v>
      </c>
      <c r="D355" s="158" t="s">
        <v>181</v>
      </c>
      <c r="E355" s="147" t="n">
        <v>2</v>
      </c>
      <c r="F355" s="147" t="n">
        <v>1000</v>
      </c>
      <c r="G355" s="160" t="n">
        <v>2</v>
      </c>
      <c r="H355" s="20"/>
      <c r="I355" s="113" t="s">
        <v>718</v>
      </c>
    </row>
    <row r="356" customFormat="false" ht="15" hidden="false" customHeight="true" outlineLevel="0" collapsed="false">
      <c r="A356" s="144" t="n">
        <v>46042</v>
      </c>
      <c r="B356" s="113"/>
      <c r="C356" s="159" t="s">
        <v>679</v>
      </c>
      <c r="D356" s="158" t="s">
        <v>183</v>
      </c>
      <c r="E356" s="147" t="n">
        <v>12</v>
      </c>
      <c r="F356" s="147" t="n">
        <v>60</v>
      </c>
      <c r="G356" s="160" t="n">
        <v>21.6</v>
      </c>
      <c r="H356" s="20"/>
      <c r="I356" s="158" t="s">
        <v>689</v>
      </c>
    </row>
    <row r="357" customFormat="false" ht="15" hidden="false" customHeight="true" outlineLevel="0" collapsed="false">
      <c r="A357" s="144" t="n">
        <v>46042</v>
      </c>
      <c r="B357" s="113"/>
      <c r="C357" s="159" t="s">
        <v>679</v>
      </c>
      <c r="D357" s="158" t="s">
        <v>184</v>
      </c>
      <c r="E357" s="147" t="n">
        <v>3</v>
      </c>
      <c r="F357" s="147" t="n">
        <v>50</v>
      </c>
      <c r="G357" s="160" t="n">
        <v>3</v>
      </c>
      <c r="H357" s="20"/>
      <c r="I357" s="158" t="s">
        <v>690</v>
      </c>
    </row>
    <row r="358" customFormat="false" ht="15" hidden="false" customHeight="true" outlineLevel="0" collapsed="false">
      <c r="A358" s="144" t="n">
        <v>46042</v>
      </c>
      <c r="B358" s="113"/>
      <c r="C358" s="159" t="s">
        <v>679</v>
      </c>
      <c r="D358" s="158" t="s">
        <v>184</v>
      </c>
      <c r="E358" s="147" t="n">
        <v>3</v>
      </c>
      <c r="F358" s="147" t="n">
        <v>50</v>
      </c>
      <c r="G358" s="160" t="n">
        <v>0.15</v>
      </c>
      <c r="H358" s="20"/>
      <c r="I358" s="158" t="s">
        <v>713</v>
      </c>
    </row>
    <row r="359" customFormat="false" ht="15" hidden="false" customHeight="true" outlineLevel="0" collapsed="false">
      <c r="A359" s="144" t="n">
        <v>46042</v>
      </c>
      <c r="B359" s="113"/>
      <c r="C359" s="159" t="s">
        <v>679</v>
      </c>
      <c r="D359" s="158" t="s">
        <v>186</v>
      </c>
      <c r="E359" s="147" t="n">
        <v>2</v>
      </c>
      <c r="F359" s="147" t="n">
        <v>50</v>
      </c>
      <c r="G359" s="160" t="n">
        <v>0.1</v>
      </c>
      <c r="H359" s="20"/>
      <c r="I359" s="158" t="s">
        <v>713</v>
      </c>
    </row>
    <row r="360" customFormat="false" ht="15" hidden="false" customHeight="true" outlineLevel="0" collapsed="false">
      <c r="A360" s="144" t="n">
        <v>46042</v>
      </c>
      <c r="B360" s="113"/>
      <c r="C360" s="159" t="s">
        <v>679</v>
      </c>
      <c r="D360" s="158" t="s">
        <v>192</v>
      </c>
      <c r="E360" s="147" t="n">
        <v>2</v>
      </c>
      <c r="F360" s="147" t="n">
        <v>50</v>
      </c>
      <c r="G360" s="160" t="n">
        <v>0.1</v>
      </c>
      <c r="H360" s="20"/>
      <c r="I360" s="158" t="s">
        <v>713</v>
      </c>
    </row>
    <row r="361" customFormat="false" ht="15" hidden="false" customHeight="true" outlineLevel="0" collapsed="false">
      <c r="A361" s="144" t="n">
        <v>46042</v>
      </c>
      <c r="B361" s="113"/>
      <c r="C361" s="159" t="s">
        <v>679</v>
      </c>
      <c r="D361" s="158" t="s">
        <v>195</v>
      </c>
      <c r="E361" s="147" t="n">
        <v>2</v>
      </c>
      <c r="F361" s="147" t="n">
        <v>50</v>
      </c>
      <c r="G361" s="160" t="n">
        <v>0.1</v>
      </c>
      <c r="H361" s="20"/>
      <c r="I361" s="158" t="s">
        <v>713</v>
      </c>
    </row>
    <row r="362" customFormat="false" ht="15" hidden="false" customHeight="true" outlineLevel="0" collapsed="false">
      <c r="A362" s="144" t="n">
        <v>46042</v>
      </c>
      <c r="B362" s="113"/>
      <c r="C362" s="159" t="s">
        <v>679</v>
      </c>
      <c r="D362" s="158" t="s">
        <v>222</v>
      </c>
      <c r="E362" s="147" t="n">
        <v>1</v>
      </c>
      <c r="F362" s="147" t="n">
        <v>40</v>
      </c>
      <c r="G362" s="160" t="n">
        <v>0.8</v>
      </c>
      <c r="H362" s="20"/>
      <c r="I362" s="158" t="s">
        <v>692</v>
      </c>
    </row>
    <row r="363" customFormat="false" ht="15" hidden="false" customHeight="true" outlineLevel="0" collapsed="false">
      <c r="A363" s="144" t="n">
        <v>46042</v>
      </c>
      <c r="B363" s="113"/>
      <c r="C363" s="159" t="s">
        <v>679</v>
      </c>
      <c r="D363" s="158" t="s">
        <v>221</v>
      </c>
      <c r="E363" s="147" t="n">
        <v>1</v>
      </c>
      <c r="F363" s="147" t="n">
        <v>40</v>
      </c>
      <c r="G363" s="160" t="n">
        <v>0.8</v>
      </c>
      <c r="H363" s="20"/>
      <c r="I363" s="158" t="s">
        <v>693</v>
      </c>
    </row>
    <row r="364" customFormat="false" ht="15" hidden="false" customHeight="true" outlineLevel="0" collapsed="false">
      <c r="A364" s="144" t="n">
        <v>46042</v>
      </c>
      <c r="B364" s="113"/>
      <c r="C364" s="159" t="s">
        <v>679</v>
      </c>
      <c r="D364" s="158" t="s">
        <v>204</v>
      </c>
      <c r="E364" s="147" t="n">
        <v>35</v>
      </c>
      <c r="F364" s="147" t="n">
        <v>60</v>
      </c>
      <c r="G364" s="160" t="n">
        <v>63</v>
      </c>
      <c r="H364" s="20"/>
      <c r="I364" s="158" t="s">
        <v>694</v>
      </c>
    </row>
    <row r="365" customFormat="false" ht="15" hidden="false" customHeight="true" outlineLevel="0" collapsed="false">
      <c r="A365" s="144" t="n">
        <v>46042</v>
      </c>
      <c r="B365" s="113"/>
      <c r="C365" s="159" t="s">
        <v>679</v>
      </c>
      <c r="D365" s="158" t="s">
        <v>236</v>
      </c>
      <c r="E365" s="147" t="n">
        <v>12</v>
      </c>
      <c r="F365" s="147" t="n">
        <v>60</v>
      </c>
      <c r="G365" s="160" t="n">
        <v>21.6</v>
      </c>
      <c r="H365" s="20"/>
      <c r="I365" s="158" t="s">
        <v>695</v>
      </c>
    </row>
    <row r="366" customFormat="false" ht="15" hidden="false" customHeight="true" outlineLevel="0" collapsed="false">
      <c r="A366" s="144" t="n">
        <v>46042</v>
      </c>
      <c r="B366" s="113"/>
      <c r="C366" s="159" t="s">
        <v>679</v>
      </c>
      <c r="D366" s="158" t="s">
        <v>206</v>
      </c>
      <c r="E366" s="147" t="n">
        <v>1</v>
      </c>
      <c r="F366" s="147" t="n">
        <v>30</v>
      </c>
      <c r="G366" s="160" t="n">
        <v>0.9</v>
      </c>
      <c r="H366" s="20"/>
      <c r="I366" s="158" t="s">
        <v>731</v>
      </c>
    </row>
    <row r="367" customFormat="false" ht="15" hidden="false" customHeight="true" outlineLevel="0" collapsed="false">
      <c r="A367" s="144" t="n">
        <v>46042</v>
      </c>
      <c r="B367" s="113"/>
      <c r="C367" s="159" t="s">
        <v>679</v>
      </c>
      <c r="D367" s="158" t="s">
        <v>219</v>
      </c>
      <c r="E367" s="147" t="n">
        <v>2</v>
      </c>
      <c r="F367" s="147" t="n">
        <v>50</v>
      </c>
      <c r="G367" s="160" t="n">
        <v>0.1</v>
      </c>
      <c r="H367" s="20"/>
      <c r="I367" s="158" t="s">
        <v>713</v>
      </c>
    </row>
    <row r="368" customFormat="false" ht="15" hidden="false" customHeight="true" outlineLevel="0" collapsed="false">
      <c r="A368" s="144" t="n">
        <v>46042</v>
      </c>
      <c r="B368" s="113"/>
      <c r="C368" s="159" t="s">
        <v>679</v>
      </c>
      <c r="D368" s="158" t="s">
        <v>220</v>
      </c>
      <c r="E368" s="147" t="n">
        <v>10</v>
      </c>
      <c r="F368" s="147" t="n">
        <v>50</v>
      </c>
      <c r="G368" s="160" t="n">
        <v>0.5</v>
      </c>
      <c r="H368" s="20"/>
      <c r="I368" s="158" t="s">
        <v>681</v>
      </c>
    </row>
    <row r="369" customFormat="false" ht="15" hidden="false" customHeight="true" outlineLevel="0" collapsed="false">
      <c r="A369" s="144" t="n">
        <v>46042</v>
      </c>
      <c r="B369" s="113"/>
      <c r="C369" s="159" t="s">
        <v>679</v>
      </c>
      <c r="D369" s="158" t="s">
        <v>220</v>
      </c>
      <c r="E369" s="147" t="n">
        <v>2</v>
      </c>
      <c r="F369" s="147" t="n">
        <v>50</v>
      </c>
      <c r="G369" s="160" t="n">
        <v>2</v>
      </c>
      <c r="H369" s="20"/>
      <c r="I369" s="158" t="s">
        <v>712</v>
      </c>
    </row>
    <row r="370" customFormat="false" ht="15" hidden="false" customHeight="true" outlineLevel="0" collapsed="false">
      <c r="A370" s="144" t="n">
        <v>46043</v>
      </c>
      <c r="B370" s="113"/>
      <c r="C370" s="159" t="s">
        <v>679</v>
      </c>
      <c r="D370" s="158" t="s">
        <v>143</v>
      </c>
      <c r="E370" s="147" t="n">
        <v>3</v>
      </c>
      <c r="F370" s="147" t="n">
        <v>50</v>
      </c>
      <c r="G370" s="160" t="n">
        <v>3</v>
      </c>
      <c r="H370" s="20"/>
      <c r="I370" s="158" t="s">
        <v>682</v>
      </c>
    </row>
    <row r="371" customFormat="false" ht="15" hidden="false" customHeight="true" outlineLevel="0" collapsed="false">
      <c r="A371" s="144" t="n">
        <v>46043</v>
      </c>
      <c r="B371" s="113"/>
      <c r="C371" s="159" t="s">
        <v>679</v>
      </c>
      <c r="D371" s="158" t="s">
        <v>143</v>
      </c>
      <c r="E371" s="147" t="n">
        <v>4</v>
      </c>
      <c r="F371" s="147" t="n">
        <v>50</v>
      </c>
      <c r="G371" s="160" t="n">
        <v>8</v>
      </c>
      <c r="H371" s="20"/>
      <c r="I371" s="158" t="s">
        <v>683</v>
      </c>
    </row>
    <row r="372" customFormat="false" ht="15" hidden="false" customHeight="true" outlineLevel="0" collapsed="false">
      <c r="A372" s="144" t="n">
        <v>46043</v>
      </c>
      <c r="B372" s="113"/>
      <c r="C372" s="159" t="s">
        <v>679</v>
      </c>
      <c r="D372" s="158" t="s">
        <v>144</v>
      </c>
      <c r="E372" s="147" t="n">
        <v>1</v>
      </c>
      <c r="F372" s="147" t="n">
        <v>1000</v>
      </c>
      <c r="G372" s="160" t="n">
        <v>1</v>
      </c>
      <c r="H372" s="20"/>
      <c r="I372" s="158" t="s">
        <v>699</v>
      </c>
    </row>
    <row r="373" customFormat="false" ht="15" hidden="false" customHeight="true" outlineLevel="0" collapsed="false">
      <c r="A373" s="144" t="n">
        <v>46043</v>
      </c>
      <c r="B373" s="113"/>
      <c r="C373" s="159" t="s">
        <v>679</v>
      </c>
      <c r="D373" s="158" t="s">
        <v>144</v>
      </c>
      <c r="E373" s="147" t="n">
        <v>3</v>
      </c>
      <c r="F373" s="147" t="n">
        <v>1000</v>
      </c>
      <c r="G373" s="160" t="n">
        <v>6</v>
      </c>
      <c r="H373" s="20"/>
      <c r="I373" s="158" t="s">
        <v>685</v>
      </c>
    </row>
    <row r="374" customFormat="false" ht="15" hidden="false" customHeight="true" outlineLevel="0" collapsed="false">
      <c r="A374" s="144" t="n">
        <v>46043</v>
      </c>
      <c r="B374" s="113"/>
      <c r="C374" s="159" t="s">
        <v>679</v>
      </c>
      <c r="D374" s="158" t="s">
        <v>155</v>
      </c>
      <c r="E374" s="147" t="n">
        <v>1</v>
      </c>
      <c r="F374" s="147" t="n">
        <v>80</v>
      </c>
      <c r="G374" s="160" t="n">
        <v>1.6</v>
      </c>
      <c r="H374" s="20"/>
      <c r="I374" s="113" t="s">
        <v>686</v>
      </c>
    </row>
    <row r="375" customFormat="false" ht="15" hidden="false" customHeight="true" outlineLevel="0" collapsed="false">
      <c r="A375" s="144" t="n">
        <v>46043</v>
      </c>
      <c r="B375" s="113"/>
      <c r="C375" s="159" t="s">
        <v>679</v>
      </c>
      <c r="D375" s="158" t="s">
        <v>174</v>
      </c>
      <c r="E375" s="147" t="n">
        <v>2</v>
      </c>
      <c r="F375" s="147" t="n">
        <v>1000</v>
      </c>
      <c r="G375" s="160" t="n">
        <v>2</v>
      </c>
      <c r="H375" s="20"/>
      <c r="I375" s="158" t="s">
        <v>687</v>
      </c>
    </row>
    <row r="376" customFormat="false" ht="15" hidden="false" customHeight="true" outlineLevel="0" collapsed="false">
      <c r="A376" s="144" t="n">
        <v>46043</v>
      </c>
      <c r="B376" s="113"/>
      <c r="C376" s="159" t="s">
        <v>679</v>
      </c>
      <c r="D376" s="158" t="s">
        <v>179</v>
      </c>
      <c r="E376" s="147" t="n">
        <v>2</v>
      </c>
      <c r="F376" s="147" t="n">
        <v>1000</v>
      </c>
      <c r="G376" s="160" t="n">
        <v>2</v>
      </c>
      <c r="H376" s="20"/>
      <c r="I376" s="158" t="s">
        <v>715</v>
      </c>
    </row>
    <row r="377" customFormat="false" ht="15" hidden="false" customHeight="true" outlineLevel="0" collapsed="false">
      <c r="A377" s="144" t="n">
        <v>46043</v>
      </c>
      <c r="B377" s="113"/>
      <c r="C377" s="159" t="s">
        <v>679</v>
      </c>
      <c r="D377" s="158" t="s">
        <v>181</v>
      </c>
      <c r="E377" s="147" t="n">
        <v>2</v>
      </c>
      <c r="F377" s="147" t="n">
        <v>1000</v>
      </c>
      <c r="G377" s="160" t="n">
        <v>2</v>
      </c>
      <c r="H377" s="20"/>
      <c r="I377" s="113" t="s">
        <v>718</v>
      </c>
    </row>
    <row r="378" customFormat="false" ht="15" hidden="false" customHeight="true" outlineLevel="0" collapsed="false">
      <c r="A378" s="144" t="n">
        <v>46043</v>
      </c>
      <c r="B378" s="113"/>
      <c r="C378" s="159" t="s">
        <v>679</v>
      </c>
      <c r="D378" s="158" t="s">
        <v>183</v>
      </c>
      <c r="E378" s="147" t="n">
        <v>10</v>
      </c>
      <c r="F378" s="147" t="n">
        <v>60</v>
      </c>
      <c r="G378" s="160" t="n">
        <v>18</v>
      </c>
      <c r="H378" s="20"/>
      <c r="I378" s="158" t="s">
        <v>689</v>
      </c>
    </row>
    <row r="379" customFormat="false" ht="15" hidden="false" customHeight="true" outlineLevel="0" collapsed="false">
      <c r="A379" s="144" t="n">
        <v>46043</v>
      </c>
      <c r="B379" s="113"/>
      <c r="C379" s="159" t="s">
        <v>679</v>
      </c>
      <c r="D379" s="158" t="s">
        <v>222</v>
      </c>
      <c r="E379" s="147" t="n">
        <v>4</v>
      </c>
      <c r="F379" s="147" t="n">
        <v>40</v>
      </c>
      <c r="G379" s="160" t="n">
        <v>3.2</v>
      </c>
      <c r="H379" s="20"/>
      <c r="I379" s="158" t="s">
        <v>692</v>
      </c>
    </row>
    <row r="380" customFormat="false" ht="15" hidden="false" customHeight="true" outlineLevel="0" collapsed="false">
      <c r="A380" s="144" t="n">
        <v>46043</v>
      </c>
      <c r="B380" s="113"/>
      <c r="C380" s="159" t="s">
        <v>679</v>
      </c>
      <c r="D380" s="158" t="s">
        <v>221</v>
      </c>
      <c r="E380" s="147" t="n">
        <v>1</v>
      </c>
      <c r="F380" s="147" t="n">
        <v>40</v>
      </c>
      <c r="G380" s="160" t="n">
        <v>0.8</v>
      </c>
      <c r="H380" s="20"/>
      <c r="I380" s="158" t="s">
        <v>693</v>
      </c>
    </row>
    <row r="381" customFormat="false" ht="15" hidden="false" customHeight="true" outlineLevel="0" collapsed="false">
      <c r="A381" s="144" t="n">
        <v>46043</v>
      </c>
      <c r="B381" s="113"/>
      <c r="C381" s="159" t="s">
        <v>679</v>
      </c>
      <c r="D381" s="158" t="s">
        <v>204</v>
      </c>
      <c r="E381" s="147" t="n">
        <v>19</v>
      </c>
      <c r="F381" s="147" t="n">
        <v>60</v>
      </c>
      <c r="G381" s="160" t="n">
        <v>34.2</v>
      </c>
      <c r="H381" s="20"/>
      <c r="I381" s="158" t="s">
        <v>694</v>
      </c>
    </row>
    <row r="382" customFormat="false" ht="15" hidden="false" customHeight="true" outlineLevel="0" collapsed="false">
      <c r="A382" s="144" t="n">
        <v>46043</v>
      </c>
      <c r="B382" s="113"/>
      <c r="C382" s="159" t="s">
        <v>679</v>
      </c>
      <c r="D382" s="158" t="s">
        <v>236</v>
      </c>
      <c r="E382" s="147" t="n">
        <v>14</v>
      </c>
      <c r="F382" s="147" t="n">
        <v>60</v>
      </c>
      <c r="G382" s="160" t="n">
        <v>25.2</v>
      </c>
      <c r="H382" s="20"/>
      <c r="I382" s="158" t="s">
        <v>695</v>
      </c>
    </row>
    <row r="383" customFormat="false" ht="15" hidden="false" customHeight="true" outlineLevel="0" collapsed="false">
      <c r="A383" s="144" t="n">
        <v>46043</v>
      </c>
      <c r="B383" s="113"/>
      <c r="C383" s="159" t="s">
        <v>679</v>
      </c>
      <c r="D383" s="158" t="s">
        <v>206</v>
      </c>
      <c r="E383" s="147" t="n">
        <v>2</v>
      </c>
      <c r="F383" s="147" t="n">
        <v>30</v>
      </c>
      <c r="G383" s="160" t="n">
        <v>3.6</v>
      </c>
      <c r="H383" s="20"/>
      <c r="I383" s="158" t="s">
        <v>696</v>
      </c>
    </row>
    <row r="384" customFormat="false" ht="15" hidden="false" customHeight="true" outlineLevel="0" collapsed="false">
      <c r="A384" s="144" t="n">
        <v>46044</v>
      </c>
      <c r="B384" s="158" t="s">
        <v>732</v>
      </c>
      <c r="C384" s="159" t="s">
        <v>670</v>
      </c>
      <c r="D384" s="158" t="s">
        <v>242</v>
      </c>
      <c r="E384" s="147" t="n">
        <v>224</v>
      </c>
      <c r="F384" s="147" t="n">
        <v>360</v>
      </c>
      <c r="G384" s="160" t="n">
        <v>80.64</v>
      </c>
      <c r="H384" s="20"/>
      <c r="I384" s="158" t="s">
        <v>733</v>
      </c>
    </row>
    <row r="385" customFormat="false" ht="15" hidden="false" customHeight="true" outlineLevel="0" collapsed="false">
      <c r="A385" s="144" t="n">
        <v>46044</v>
      </c>
      <c r="B385" s="158" t="s">
        <v>732</v>
      </c>
      <c r="C385" s="159" t="s">
        <v>670</v>
      </c>
      <c r="D385" s="158" t="s">
        <v>240</v>
      </c>
      <c r="E385" s="147" t="n">
        <v>269</v>
      </c>
      <c r="F385" s="147" t="n">
        <v>360</v>
      </c>
      <c r="G385" s="160" t="n">
        <v>96.84</v>
      </c>
      <c r="H385" s="20"/>
      <c r="I385" s="158" t="s">
        <v>734</v>
      </c>
    </row>
    <row r="386" customFormat="false" ht="15" hidden="false" customHeight="true" outlineLevel="0" collapsed="false">
      <c r="A386" s="144" t="n">
        <v>46044</v>
      </c>
      <c r="B386" s="158" t="s">
        <v>732</v>
      </c>
      <c r="C386" s="159" t="s">
        <v>670</v>
      </c>
      <c r="D386" s="158" t="s">
        <v>241</v>
      </c>
      <c r="E386" s="147" t="n">
        <v>140</v>
      </c>
      <c r="F386" s="147" t="n">
        <v>360</v>
      </c>
      <c r="G386" s="160" t="n">
        <v>50.4</v>
      </c>
      <c r="H386" s="20"/>
      <c r="I386" s="158" t="s">
        <v>735</v>
      </c>
    </row>
    <row r="387" customFormat="false" ht="15" hidden="false" customHeight="true" outlineLevel="0" collapsed="false">
      <c r="A387" s="144" t="n">
        <v>46044</v>
      </c>
      <c r="B387" s="158" t="s">
        <v>732</v>
      </c>
      <c r="C387" s="159" t="s">
        <v>670</v>
      </c>
      <c r="D387" s="158" t="s">
        <v>246</v>
      </c>
      <c r="E387" s="147" t="n">
        <v>247</v>
      </c>
      <c r="F387" s="147" t="n">
        <v>360</v>
      </c>
      <c r="G387" s="160" t="n">
        <v>88.92</v>
      </c>
      <c r="H387" s="20"/>
      <c r="I387" s="158" t="s">
        <v>736</v>
      </c>
    </row>
    <row r="388" customFormat="false" ht="15" hidden="false" customHeight="true" outlineLevel="0" collapsed="false">
      <c r="A388" s="144" t="n">
        <v>46044</v>
      </c>
      <c r="B388" s="158" t="s">
        <v>732</v>
      </c>
      <c r="C388" s="159" t="s">
        <v>670</v>
      </c>
      <c r="D388" s="158" t="s">
        <v>243</v>
      </c>
      <c r="E388" s="147" t="n">
        <v>174</v>
      </c>
      <c r="F388" s="147" t="n">
        <v>360</v>
      </c>
      <c r="G388" s="160" t="n">
        <v>62.64</v>
      </c>
      <c r="H388" s="20"/>
      <c r="I388" s="158" t="s">
        <v>737</v>
      </c>
    </row>
    <row r="389" customFormat="false" ht="15" hidden="false" customHeight="true" outlineLevel="0" collapsed="false">
      <c r="A389" s="144" t="n">
        <v>46044</v>
      </c>
      <c r="B389" s="158" t="s">
        <v>732</v>
      </c>
      <c r="C389" s="159" t="s">
        <v>670</v>
      </c>
      <c r="D389" s="158" t="s">
        <v>244</v>
      </c>
      <c r="E389" s="147" t="n">
        <v>226</v>
      </c>
      <c r="F389" s="147" t="n">
        <v>360</v>
      </c>
      <c r="G389" s="160" t="n">
        <v>81.36</v>
      </c>
      <c r="H389" s="20"/>
      <c r="I389" s="158" t="s">
        <v>738</v>
      </c>
    </row>
    <row r="390" customFormat="false" ht="15" hidden="false" customHeight="true" outlineLevel="0" collapsed="false">
      <c r="A390" s="144" t="n">
        <v>46044</v>
      </c>
      <c r="B390" s="158" t="s">
        <v>669</v>
      </c>
      <c r="C390" s="159" t="s">
        <v>670</v>
      </c>
      <c r="D390" s="113" t="s">
        <v>739</v>
      </c>
      <c r="E390" s="147" t="n">
        <v>1</v>
      </c>
      <c r="F390" s="147"/>
      <c r="G390" s="160" t="n">
        <v>1.2</v>
      </c>
      <c r="H390" s="20"/>
      <c r="I390" s="113"/>
    </row>
    <row r="391" customFormat="false" ht="15" hidden="false" customHeight="true" outlineLevel="0" collapsed="false">
      <c r="A391" s="144" t="n">
        <v>46044</v>
      </c>
      <c r="B391" s="158" t="s">
        <v>669</v>
      </c>
      <c r="C391" s="159" t="s">
        <v>670</v>
      </c>
      <c r="D391" s="158" t="s">
        <v>155</v>
      </c>
      <c r="E391" s="147" t="n">
        <v>15</v>
      </c>
      <c r="F391" s="147" t="n">
        <v>80</v>
      </c>
      <c r="G391" s="160" t="n">
        <v>1.2</v>
      </c>
      <c r="H391" s="20"/>
      <c r="I391" s="113" t="s">
        <v>740</v>
      </c>
    </row>
    <row r="392" customFormat="false" ht="15" hidden="false" customHeight="true" outlineLevel="0" collapsed="false">
      <c r="A392" s="144" t="n">
        <v>46045</v>
      </c>
      <c r="B392" s="113"/>
      <c r="C392" s="159" t="s">
        <v>679</v>
      </c>
      <c r="D392" s="113" t="s">
        <v>267</v>
      </c>
      <c r="E392" s="147" t="n">
        <v>1</v>
      </c>
      <c r="F392" s="147" t="n">
        <v>60</v>
      </c>
      <c r="G392" s="160" t="n">
        <v>1.2</v>
      </c>
      <c r="H392" s="20"/>
      <c r="I392" s="113" t="s">
        <v>705</v>
      </c>
    </row>
    <row r="393" customFormat="false" ht="15" hidden="false" customHeight="true" outlineLevel="0" collapsed="false">
      <c r="A393" s="144" t="n">
        <v>46045</v>
      </c>
      <c r="B393" s="113"/>
      <c r="C393" s="159" t="s">
        <v>679</v>
      </c>
      <c r="D393" s="158" t="s">
        <v>142</v>
      </c>
      <c r="E393" s="147" t="n">
        <v>5</v>
      </c>
      <c r="F393" s="147" t="n">
        <v>50</v>
      </c>
      <c r="G393" s="160" t="n">
        <v>0.25</v>
      </c>
      <c r="H393" s="20"/>
      <c r="I393" s="158" t="s">
        <v>706</v>
      </c>
    </row>
    <row r="394" customFormat="false" ht="15" hidden="false" customHeight="true" outlineLevel="0" collapsed="false">
      <c r="A394" s="144" t="n">
        <v>46045</v>
      </c>
      <c r="B394" s="113"/>
      <c r="C394" s="159" t="s">
        <v>679</v>
      </c>
      <c r="D394" s="158" t="s">
        <v>143</v>
      </c>
      <c r="E394" s="147" t="n">
        <v>2</v>
      </c>
      <c r="F394" s="147" t="n">
        <v>50</v>
      </c>
      <c r="G394" s="160" t="n">
        <v>2</v>
      </c>
      <c r="H394" s="20"/>
      <c r="I394" s="158" t="s">
        <v>682</v>
      </c>
    </row>
    <row r="395" customFormat="false" ht="15" hidden="false" customHeight="true" outlineLevel="0" collapsed="false">
      <c r="A395" s="144" t="n">
        <v>46045</v>
      </c>
      <c r="B395" s="113"/>
      <c r="C395" s="159" t="s">
        <v>679</v>
      </c>
      <c r="D395" s="158" t="s">
        <v>143</v>
      </c>
      <c r="E395" s="147" t="n">
        <v>1</v>
      </c>
      <c r="F395" s="147" t="n">
        <v>50</v>
      </c>
      <c r="G395" s="160" t="n">
        <v>2</v>
      </c>
      <c r="H395" s="20"/>
      <c r="I395" s="158" t="s">
        <v>683</v>
      </c>
    </row>
    <row r="396" customFormat="false" ht="15" hidden="false" customHeight="true" outlineLevel="0" collapsed="false">
      <c r="A396" s="144" t="n">
        <v>46045</v>
      </c>
      <c r="B396" s="113"/>
      <c r="C396" s="159" t="s">
        <v>679</v>
      </c>
      <c r="D396" s="158" t="s">
        <v>144</v>
      </c>
      <c r="E396" s="147" t="n">
        <v>1</v>
      </c>
      <c r="F396" s="147" t="n">
        <v>1000</v>
      </c>
      <c r="G396" s="160" t="n">
        <v>1</v>
      </c>
      <c r="H396" s="20"/>
      <c r="I396" s="158" t="s">
        <v>699</v>
      </c>
    </row>
    <row r="397" customFormat="false" ht="15" hidden="false" customHeight="true" outlineLevel="0" collapsed="false">
      <c r="A397" s="144" t="n">
        <v>46045</v>
      </c>
      <c r="B397" s="113"/>
      <c r="C397" s="159" t="s">
        <v>679</v>
      </c>
      <c r="D397" s="158" t="s">
        <v>144</v>
      </c>
      <c r="E397" s="147" t="n">
        <v>1</v>
      </c>
      <c r="F397" s="147" t="n">
        <v>1000</v>
      </c>
      <c r="G397" s="160" t="n">
        <v>2</v>
      </c>
      <c r="H397" s="20"/>
      <c r="I397" s="158" t="s">
        <v>685</v>
      </c>
    </row>
    <row r="398" customFormat="false" ht="15" hidden="false" customHeight="true" outlineLevel="0" collapsed="false">
      <c r="A398" s="144" t="n">
        <v>46045</v>
      </c>
      <c r="B398" s="113"/>
      <c r="C398" s="159" t="s">
        <v>679</v>
      </c>
      <c r="D398" s="158" t="s">
        <v>146</v>
      </c>
      <c r="E398" s="147" t="n">
        <v>1</v>
      </c>
      <c r="F398" s="147" t="n">
        <v>50</v>
      </c>
      <c r="G398" s="160" t="n">
        <v>1</v>
      </c>
      <c r="H398" s="20"/>
      <c r="I398" s="158" t="s">
        <v>717</v>
      </c>
    </row>
    <row r="399" customFormat="false" ht="15" hidden="false" customHeight="true" outlineLevel="0" collapsed="false">
      <c r="A399" s="144" t="n">
        <v>46045</v>
      </c>
      <c r="B399" s="113"/>
      <c r="C399" s="159" t="s">
        <v>679</v>
      </c>
      <c r="D399" s="158" t="s">
        <v>146</v>
      </c>
      <c r="E399" s="147" t="n">
        <v>5</v>
      </c>
      <c r="F399" s="147" t="n">
        <v>50</v>
      </c>
      <c r="G399" s="160" t="n">
        <v>0.25</v>
      </c>
      <c r="H399" s="20"/>
      <c r="I399" s="158" t="s">
        <v>706</v>
      </c>
    </row>
    <row r="400" customFormat="false" ht="15" hidden="false" customHeight="true" outlineLevel="0" collapsed="false">
      <c r="A400" s="144" t="n">
        <v>46045</v>
      </c>
      <c r="B400" s="113"/>
      <c r="C400" s="159" t="s">
        <v>679</v>
      </c>
      <c r="D400" s="158" t="s">
        <v>147</v>
      </c>
      <c r="E400" s="147" t="n">
        <v>2</v>
      </c>
      <c r="F400" s="147" t="n">
        <v>50</v>
      </c>
      <c r="G400" s="160" t="n">
        <v>2</v>
      </c>
      <c r="H400" s="20"/>
      <c r="I400" s="158" t="s">
        <v>700</v>
      </c>
    </row>
    <row r="401" customFormat="false" ht="15" hidden="false" customHeight="true" outlineLevel="0" collapsed="false">
      <c r="A401" s="144" t="n">
        <v>46045</v>
      </c>
      <c r="B401" s="113"/>
      <c r="C401" s="159" t="s">
        <v>679</v>
      </c>
      <c r="D401" s="158" t="s">
        <v>147</v>
      </c>
      <c r="E401" s="147" t="n">
        <v>5</v>
      </c>
      <c r="F401" s="147" t="n">
        <v>50</v>
      </c>
      <c r="G401" s="160" t="n">
        <v>0.25</v>
      </c>
      <c r="H401" s="20"/>
      <c r="I401" s="158" t="s">
        <v>706</v>
      </c>
    </row>
    <row r="402" customFormat="false" ht="15" hidden="false" customHeight="true" outlineLevel="0" collapsed="false">
      <c r="A402" s="144" t="n">
        <v>46045</v>
      </c>
      <c r="B402" s="113"/>
      <c r="C402" s="159" t="s">
        <v>679</v>
      </c>
      <c r="D402" s="158" t="s">
        <v>155</v>
      </c>
      <c r="E402" s="147" t="n">
        <v>5</v>
      </c>
      <c r="F402" s="147" t="n">
        <v>80</v>
      </c>
      <c r="G402" s="160" t="n">
        <v>8</v>
      </c>
      <c r="H402" s="20"/>
      <c r="I402" s="113" t="s">
        <v>686</v>
      </c>
    </row>
    <row r="403" customFormat="false" ht="15" hidden="false" customHeight="true" outlineLevel="0" collapsed="false">
      <c r="A403" s="144" t="n">
        <v>46045</v>
      </c>
      <c r="B403" s="113"/>
      <c r="C403" s="159" t="s">
        <v>679</v>
      </c>
      <c r="D403" s="158" t="s">
        <v>174</v>
      </c>
      <c r="E403" s="147" t="n">
        <v>2</v>
      </c>
      <c r="F403" s="147" t="n">
        <v>1000</v>
      </c>
      <c r="G403" s="160" t="n">
        <v>2</v>
      </c>
      <c r="H403" s="20"/>
      <c r="I403" s="158" t="s">
        <v>687</v>
      </c>
    </row>
    <row r="404" customFormat="false" ht="15" hidden="false" customHeight="true" outlineLevel="0" collapsed="false">
      <c r="A404" s="144" t="n">
        <v>46045</v>
      </c>
      <c r="B404" s="113"/>
      <c r="C404" s="159" t="s">
        <v>679</v>
      </c>
      <c r="D404" s="158" t="s">
        <v>179</v>
      </c>
      <c r="E404" s="147" t="n">
        <v>1</v>
      </c>
      <c r="F404" s="147" t="n">
        <v>1000</v>
      </c>
      <c r="G404" s="160" t="n">
        <v>1</v>
      </c>
      <c r="H404" s="20"/>
      <c r="I404" s="158" t="s">
        <v>715</v>
      </c>
    </row>
    <row r="405" customFormat="false" ht="15" hidden="false" customHeight="true" outlineLevel="0" collapsed="false">
      <c r="A405" s="144" t="n">
        <v>46045</v>
      </c>
      <c r="B405" s="113"/>
      <c r="C405" s="159" t="s">
        <v>679</v>
      </c>
      <c r="D405" s="158" t="s">
        <v>179</v>
      </c>
      <c r="E405" s="147" t="n">
        <v>1</v>
      </c>
      <c r="F405" s="147" t="n">
        <v>40</v>
      </c>
      <c r="G405" s="160" t="n">
        <v>0.8</v>
      </c>
      <c r="H405" s="20"/>
      <c r="I405" s="158" t="s">
        <v>688</v>
      </c>
    </row>
    <row r="406" customFormat="false" ht="15" hidden="false" customHeight="true" outlineLevel="0" collapsed="false">
      <c r="A406" s="144" t="n">
        <v>46045</v>
      </c>
      <c r="B406" s="113"/>
      <c r="C406" s="159" t="s">
        <v>679</v>
      </c>
      <c r="D406" s="158" t="s">
        <v>183</v>
      </c>
      <c r="E406" s="147" t="n">
        <v>1</v>
      </c>
      <c r="F406" s="147" t="n">
        <v>60</v>
      </c>
      <c r="G406" s="160" t="n">
        <v>0.6</v>
      </c>
      <c r="H406" s="20"/>
      <c r="I406" s="113" t="s">
        <v>722</v>
      </c>
    </row>
    <row r="407" customFormat="false" ht="15" hidden="false" customHeight="true" outlineLevel="0" collapsed="false">
      <c r="A407" s="144" t="n">
        <v>46045</v>
      </c>
      <c r="B407" s="113"/>
      <c r="C407" s="159" t="s">
        <v>679</v>
      </c>
      <c r="D407" s="158" t="s">
        <v>183</v>
      </c>
      <c r="E407" s="147" t="n">
        <v>9</v>
      </c>
      <c r="F407" s="147" t="n">
        <v>60</v>
      </c>
      <c r="G407" s="160" t="n">
        <v>16.2</v>
      </c>
      <c r="H407" s="20"/>
      <c r="I407" s="158" t="s">
        <v>689</v>
      </c>
    </row>
    <row r="408" customFormat="false" ht="15" hidden="false" customHeight="true" outlineLevel="0" collapsed="false">
      <c r="A408" s="144" t="n">
        <v>46045</v>
      </c>
      <c r="B408" s="113"/>
      <c r="C408" s="159" t="s">
        <v>679</v>
      </c>
      <c r="D408" s="158" t="s">
        <v>184</v>
      </c>
      <c r="E408" s="147" t="n">
        <v>4</v>
      </c>
      <c r="F408" s="147" t="n">
        <v>50</v>
      </c>
      <c r="G408" s="160" t="n">
        <v>4</v>
      </c>
      <c r="H408" s="20"/>
      <c r="I408" s="158" t="s">
        <v>690</v>
      </c>
    </row>
    <row r="409" customFormat="false" ht="15" hidden="false" customHeight="true" outlineLevel="0" collapsed="false">
      <c r="A409" s="144" t="n">
        <v>46045</v>
      </c>
      <c r="B409" s="113"/>
      <c r="C409" s="159" t="s">
        <v>679</v>
      </c>
      <c r="D409" s="158" t="s">
        <v>222</v>
      </c>
      <c r="E409" s="147" t="n">
        <v>1</v>
      </c>
      <c r="F409" s="147" t="n">
        <v>40</v>
      </c>
      <c r="G409" s="160" t="n">
        <v>0.2</v>
      </c>
      <c r="H409" s="20"/>
      <c r="I409" s="113" t="s">
        <v>722</v>
      </c>
    </row>
    <row r="410" customFormat="false" ht="15" hidden="false" customHeight="true" outlineLevel="0" collapsed="false">
      <c r="A410" s="144" t="n">
        <v>46045</v>
      </c>
      <c r="B410" s="113"/>
      <c r="C410" s="159" t="s">
        <v>679</v>
      </c>
      <c r="D410" s="158" t="s">
        <v>222</v>
      </c>
      <c r="E410" s="147" t="n">
        <v>1</v>
      </c>
      <c r="F410" s="147" t="n">
        <v>40</v>
      </c>
      <c r="G410" s="160" t="n">
        <v>0.8</v>
      </c>
      <c r="H410" s="20"/>
      <c r="I410" s="158" t="s">
        <v>692</v>
      </c>
    </row>
    <row r="411" customFormat="false" ht="15" hidden="false" customHeight="true" outlineLevel="0" collapsed="false">
      <c r="A411" s="144" t="n">
        <v>46045</v>
      </c>
      <c r="B411" s="113"/>
      <c r="C411" s="159" t="s">
        <v>679</v>
      </c>
      <c r="D411" s="158" t="s">
        <v>221</v>
      </c>
      <c r="E411" s="147" t="n">
        <v>1</v>
      </c>
      <c r="F411" s="147" t="n">
        <v>40</v>
      </c>
      <c r="G411" s="160" t="n">
        <v>0.2</v>
      </c>
      <c r="H411" s="20"/>
      <c r="I411" s="113" t="s">
        <v>722</v>
      </c>
    </row>
    <row r="412" customFormat="false" ht="15" hidden="false" customHeight="true" outlineLevel="0" collapsed="false">
      <c r="A412" s="144" t="n">
        <v>46045</v>
      </c>
      <c r="B412" s="113"/>
      <c r="C412" s="159" t="s">
        <v>679</v>
      </c>
      <c r="D412" s="158" t="s">
        <v>204</v>
      </c>
      <c r="E412" s="147" t="n">
        <v>1</v>
      </c>
      <c r="F412" s="147" t="n">
        <v>60</v>
      </c>
      <c r="G412" s="160" t="n">
        <v>0.3</v>
      </c>
      <c r="H412" s="20"/>
      <c r="I412" s="113" t="s">
        <v>722</v>
      </c>
    </row>
    <row r="413" customFormat="false" ht="15" hidden="false" customHeight="true" outlineLevel="0" collapsed="false">
      <c r="A413" s="144" t="n">
        <v>46045</v>
      </c>
      <c r="B413" s="113"/>
      <c r="C413" s="159" t="s">
        <v>679</v>
      </c>
      <c r="D413" s="158" t="s">
        <v>204</v>
      </c>
      <c r="E413" s="147" t="n">
        <v>2</v>
      </c>
      <c r="F413" s="147" t="n">
        <v>60</v>
      </c>
      <c r="G413" s="160" t="n">
        <v>1.8</v>
      </c>
      <c r="H413" s="20"/>
      <c r="I413" s="158" t="s">
        <v>708</v>
      </c>
    </row>
    <row r="414" customFormat="false" ht="15" hidden="false" customHeight="true" outlineLevel="0" collapsed="false">
      <c r="A414" s="144" t="n">
        <v>46045</v>
      </c>
      <c r="B414" s="113"/>
      <c r="C414" s="159" t="s">
        <v>679</v>
      </c>
      <c r="D414" s="158" t="s">
        <v>204</v>
      </c>
      <c r="E414" s="147" t="n">
        <v>30</v>
      </c>
      <c r="F414" s="147" t="n">
        <v>60</v>
      </c>
      <c r="G414" s="160" t="n">
        <v>54</v>
      </c>
      <c r="H414" s="20"/>
      <c r="I414" s="158" t="s">
        <v>694</v>
      </c>
    </row>
    <row r="415" customFormat="false" ht="15" hidden="false" customHeight="true" outlineLevel="0" collapsed="false">
      <c r="A415" s="144" t="n">
        <v>46045</v>
      </c>
      <c r="B415" s="113"/>
      <c r="C415" s="159" t="s">
        <v>679</v>
      </c>
      <c r="D415" s="158" t="s">
        <v>236</v>
      </c>
      <c r="E415" s="147" t="n">
        <v>1</v>
      </c>
      <c r="F415" s="147" t="n">
        <v>60</v>
      </c>
      <c r="G415" s="160" t="n">
        <v>0.3</v>
      </c>
      <c r="H415" s="20"/>
      <c r="I415" s="113" t="s">
        <v>722</v>
      </c>
    </row>
    <row r="416" customFormat="false" ht="15" hidden="false" customHeight="true" outlineLevel="0" collapsed="false">
      <c r="A416" s="144" t="n">
        <v>46045</v>
      </c>
      <c r="B416" s="113"/>
      <c r="C416" s="159" t="s">
        <v>679</v>
      </c>
      <c r="D416" s="158" t="s">
        <v>236</v>
      </c>
      <c r="E416" s="147" t="n">
        <v>2</v>
      </c>
      <c r="F416" s="147" t="n">
        <v>60</v>
      </c>
      <c r="G416" s="160" t="n">
        <v>1.8</v>
      </c>
      <c r="H416" s="20"/>
      <c r="I416" s="158" t="s">
        <v>709</v>
      </c>
    </row>
    <row r="417" customFormat="false" ht="15" hidden="false" customHeight="true" outlineLevel="0" collapsed="false">
      <c r="A417" s="144" t="n">
        <v>46045</v>
      </c>
      <c r="B417" s="113"/>
      <c r="C417" s="159" t="s">
        <v>679</v>
      </c>
      <c r="D417" s="158" t="s">
        <v>236</v>
      </c>
      <c r="E417" s="147" t="n">
        <v>12</v>
      </c>
      <c r="F417" s="147" t="n">
        <v>60</v>
      </c>
      <c r="G417" s="160" t="n">
        <v>21.6</v>
      </c>
      <c r="H417" s="20"/>
      <c r="I417" s="158" t="s">
        <v>695</v>
      </c>
    </row>
    <row r="418" customFormat="false" ht="15" hidden="false" customHeight="true" outlineLevel="0" collapsed="false">
      <c r="A418" s="144" t="n">
        <v>46045</v>
      </c>
      <c r="B418" s="113"/>
      <c r="C418" s="159" t="s">
        <v>679</v>
      </c>
      <c r="D418" s="158" t="s">
        <v>206</v>
      </c>
      <c r="E418" s="147" t="n">
        <v>1</v>
      </c>
      <c r="F418" s="147" t="n">
        <v>30</v>
      </c>
      <c r="G418" s="160" t="n">
        <v>1.8</v>
      </c>
      <c r="H418" s="20"/>
      <c r="I418" s="158" t="s">
        <v>696</v>
      </c>
    </row>
    <row r="419" customFormat="false" ht="15" hidden="false" customHeight="true" outlineLevel="0" collapsed="false">
      <c r="A419" s="144" t="n">
        <v>46045</v>
      </c>
      <c r="B419" s="113"/>
      <c r="C419" s="159" t="s">
        <v>679</v>
      </c>
      <c r="D419" s="158" t="s">
        <v>212</v>
      </c>
      <c r="E419" s="147" t="n">
        <v>2</v>
      </c>
      <c r="F419" s="147" t="n">
        <v>50</v>
      </c>
      <c r="G419" s="160" t="n">
        <v>1</v>
      </c>
      <c r="H419" s="20"/>
      <c r="I419" s="158" t="s">
        <v>711</v>
      </c>
    </row>
    <row r="420" customFormat="false" ht="15" hidden="false" customHeight="true" outlineLevel="0" collapsed="false">
      <c r="A420" s="144" t="n">
        <v>46045</v>
      </c>
      <c r="B420" s="113"/>
      <c r="C420" s="159" t="s">
        <v>679</v>
      </c>
      <c r="D420" s="158" t="s">
        <v>220</v>
      </c>
      <c r="E420" s="147" t="n">
        <v>5</v>
      </c>
      <c r="F420" s="147" t="n">
        <v>50</v>
      </c>
      <c r="G420" s="160" t="n">
        <v>0.25</v>
      </c>
      <c r="H420" s="20"/>
      <c r="I420" s="158" t="s">
        <v>706</v>
      </c>
    </row>
    <row r="421" customFormat="false" ht="15" hidden="false" customHeight="true" outlineLevel="0" collapsed="false">
      <c r="A421" s="144" t="n">
        <v>46045</v>
      </c>
      <c r="B421" s="158" t="s">
        <v>732</v>
      </c>
      <c r="C421" s="159" t="s">
        <v>670</v>
      </c>
      <c r="D421" s="158" t="s">
        <v>242</v>
      </c>
      <c r="E421" s="147" t="n">
        <v>37</v>
      </c>
      <c r="F421" s="147" t="n">
        <v>360</v>
      </c>
      <c r="G421" s="160" t="n">
        <v>13.32</v>
      </c>
      <c r="H421" s="20"/>
      <c r="I421" s="158" t="s">
        <v>733</v>
      </c>
    </row>
    <row r="422" customFormat="false" ht="15" hidden="false" customHeight="true" outlineLevel="0" collapsed="false">
      <c r="A422" s="144" t="n">
        <v>46045</v>
      </c>
      <c r="B422" s="158" t="s">
        <v>732</v>
      </c>
      <c r="C422" s="159" t="s">
        <v>670</v>
      </c>
      <c r="D422" s="158" t="s">
        <v>240</v>
      </c>
      <c r="E422" s="147" t="n">
        <v>43</v>
      </c>
      <c r="F422" s="147" t="n">
        <v>360</v>
      </c>
      <c r="G422" s="160" t="n">
        <v>15.48</v>
      </c>
      <c r="H422" s="20"/>
      <c r="I422" s="158" t="s">
        <v>734</v>
      </c>
    </row>
    <row r="423" customFormat="false" ht="15" hidden="false" customHeight="true" outlineLevel="0" collapsed="false">
      <c r="A423" s="144" t="n">
        <v>46045</v>
      </c>
      <c r="B423" s="158" t="s">
        <v>732</v>
      </c>
      <c r="C423" s="159" t="s">
        <v>670</v>
      </c>
      <c r="D423" s="158" t="s">
        <v>241</v>
      </c>
      <c r="E423" s="147" t="n">
        <v>30</v>
      </c>
      <c r="F423" s="147" t="n">
        <v>360</v>
      </c>
      <c r="G423" s="160" t="n">
        <v>10.8</v>
      </c>
      <c r="H423" s="20"/>
      <c r="I423" s="158" t="s">
        <v>735</v>
      </c>
    </row>
    <row r="424" customFormat="false" ht="15" hidden="false" customHeight="true" outlineLevel="0" collapsed="false">
      <c r="A424" s="144" t="n">
        <v>46045</v>
      </c>
      <c r="B424" s="158" t="s">
        <v>732</v>
      </c>
      <c r="C424" s="159" t="s">
        <v>670</v>
      </c>
      <c r="D424" s="158" t="s">
        <v>246</v>
      </c>
      <c r="E424" s="147" t="n">
        <v>53</v>
      </c>
      <c r="F424" s="147" t="n">
        <v>360</v>
      </c>
      <c r="G424" s="160" t="n">
        <v>19.08</v>
      </c>
      <c r="H424" s="20"/>
      <c r="I424" s="158" t="s">
        <v>736</v>
      </c>
    </row>
    <row r="425" customFormat="false" ht="15" hidden="false" customHeight="true" outlineLevel="0" collapsed="false">
      <c r="A425" s="144" t="n">
        <v>46045</v>
      </c>
      <c r="B425" s="158" t="s">
        <v>732</v>
      </c>
      <c r="C425" s="159" t="s">
        <v>670</v>
      </c>
      <c r="D425" s="158" t="s">
        <v>243</v>
      </c>
      <c r="E425" s="147" t="n">
        <v>45</v>
      </c>
      <c r="F425" s="147" t="n">
        <v>360</v>
      </c>
      <c r="G425" s="160" t="n">
        <v>16.2</v>
      </c>
      <c r="H425" s="20"/>
      <c r="I425" s="158" t="s">
        <v>737</v>
      </c>
    </row>
    <row r="426" customFormat="false" ht="15" hidden="false" customHeight="true" outlineLevel="0" collapsed="false">
      <c r="A426" s="144" t="n">
        <v>46045</v>
      </c>
      <c r="B426" s="158" t="s">
        <v>732</v>
      </c>
      <c r="C426" s="159" t="s">
        <v>670</v>
      </c>
      <c r="D426" s="158" t="s">
        <v>244</v>
      </c>
      <c r="E426" s="147" t="n">
        <v>45</v>
      </c>
      <c r="F426" s="147" t="n">
        <v>360</v>
      </c>
      <c r="G426" s="160" t="n">
        <v>16.2</v>
      </c>
      <c r="H426" s="20"/>
      <c r="I426" s="158" t="s">
        <v>738</v>
      </c>
    </row>
    <row r="427" customFormat="false" ht="15" hidden="false" customHeight="true" outlineLevel="0" collapsed="false">
      <c r="A427" s="144" t="n">
        <v>46048</v>
      </c>
      <c r="B427" s="113"/>
      <c r="C427" s="159" t="s">
        <v>679</v>
      </c>
      <c r="D427" s="113" t="s">
        <v>267</v>
      </c>
      <c r="E427" s="147" t="n">
        <v>1</v>
      </c>
      <c r="F427" s="147" t="n">
        <v>60</v>
      </c>
      <c r="G427" s="160" t="n">
        <v>1.2</v>
      </c>
      <c r="H427" s="20"/>
      <c r="I427" s="113" t="s">
        <v>705</v>
      </c>
    </row>
    <row r="428" customFormat="false" ht="15" hidden="false" customHeight="true" outlineLevel="0" collapsed="false">
      <c r="A428" s="144" t="n">
        <v>46048</v>
      </c>
      <c r="B428" s="113"/>
      <c r="C428" s="159" t="s">
        <v>679</v>
      </c>
      <c r="D428" s="113" t="s">
        <v>267</v>
      </c>
      <c r="E428" s="147" t="n">
        <v>2</v>
      </c>
      <c r="F428" s="147" t="n">
        <v>60</v>
      </c>
      <c r="G428" s="160" t="n">
        <v>2.4</v>
      </c>
      <c r="H428" s="20"/>
      <c r="I428" s="158" t="s">
        <v>697</v>
      </c>
    </row>
    <row r="429" customFormat="false" ht="15" hidden="false" customHeight="true" outlineLevel="0" collapsed="false">
      <c r="A429" s="144" t="n">
        <v>46048</v>
      </c>
      <c r="B429" s="113"/>
      <c r="C429" s="159" t="s">
        <v>679</v>
      </c>
      <c r="D429" s="158" t="s">
        <v>142</v>
      </c>
      <c r="E429" s="147" t="n">
        <v>5</v>
      </c>
      <c r="F429" s="147" t="n">
        <v>50</v>
      </c>
      <c r="G429" s="160" t="n">
        <v>0.25</v>
      </c>
      <c r="H429" s="20"/>
      <c r="I429" s="158" t="s">
        <v>706</v>
      </c>
    </row>
    <row r="430" customFormat="false" ht="15" hidden="false" customHeight="true" outlineLevel="0" collapsed="false">
      <c r="A430" s="144" t="n">
        <v>46048</v>
      </c>
      <c r="B430" s="113"/>
      <c r="C430" s="159" t="s">
        <v>679</v>
      </c>
      <c r="D430" s="158" t="s">
        <v>143</v>
      </c>
      <c r="E430" s="147" t="n">
        <v>6</v>
      </c>
      <c r="F430" s="147" t="n">
        <v>50</v>
      </c>
      <c r="G430" s="160" t="n">
        <v>6</v>
      </c>
      <c r="H430" s="20"/>
      <c r="I430" s="158" t="s">
        <v>682</v>
      </c>
    </row>
    <row r="431" customFormat="false" ht="15" hidden="false" customHeight="true" outlineLevel="0" collapsed="false">
      <c r="A431" s="144" t="n">
        <v>46048</v>
      </c>
      <c r="B431" s="113"/>
      <c r="C431" s="159" t="s">
        <v>679</v>
      </c>
      <c r="D431" s="158" t="s">
        <v>143</v>
      </c>
      <c r="E431" s="147" t="n">
        <v>1</v>
      </c>
      <c r="F431" s="147" t="n">
        <v>50</v>
      </c>
      <c r="G431" s="160" t="n">
        <v>2</v>
      </c>
      <c r="H431" s="20"/>
      <c r="I431" s="158" t="s">
        <v>683</v>
      </c>
    </row>
    <row r="432" customFormat="false" ht="15" hidden="false" customHeight="true" outlineLevel="0" collapsed="false">
      <c r="A432" s="144" t="n">
        <v>46048</v>
      </c>
      <c r="B432" s="113"/>
      <c r="C432" s="159" t="s">
        <v>679</v>
      </c>
      <c r="D432" s="158" t="s">
        <v>143</v>
      </c>
      <c r="E432" s="147" t="n">
        <v>10</v>
      </c>
      <c r="F432" s="147" t="n">
        <v>50</v>
      </c>
      <c r="G432" s="160" t="n">
        <v>0.5</v>
      </c>
      <c r="H432" s="20"/>
      <c r="I432" s="158" t="s">
        <v>741</v>
      </c>
    </row>
    <row r="433" customFormat="false" ht="15" hidden="false" customHeight="true" outlineLevel="0" collapsed="false">
      <c r="A433" s="144" t="n">
        <v>46048</v>
      </c>
      <c r="B433" s="113"/>
      <c r="C433" s="159" t="s">
        <v>679</v>
      </c>
      <c r="D433" s="158" t="s">
        <v>144</v>
      </c>
      <c r="E433" s="147" t="n">
        <v>8</v>
      </c>
      <c r="F433" s="147" t="n">
        <v>1000</v>
      </c>
      <c r="G433" s="160" t="n">
        <v>16</v>
      </c>
      <c r="H433" s="20"/>
      <c r="I433" s="158" t="s">
        <v>685</v>
      </c>
    </row>
    <row r="434" customFormat="false" ht="15" hidden="false" customHeight="true" outlineLevel="0" collapsed="false">
      <c r="A434" s="144" t="n">
        <v>46048</v>
      </c>
      <c r="B434" s="113"/>
      <c r="C434" s="159" t="s">
        <v>679</v>
      </c>
      <c r="D434" s="158" t="s">
        <v>145</v>
      </c>
      <c r="E434" s="147" t="n">
        <v>10</v>
      </c>
      <c r="F434" s="147" t="n">
        <v>50</v>
      </c>
      <c r="G434" s="160" t="n">
        <v>0.5</v>
      </c>
      <c r="H434" s="20"/>
      <c r="I434" s="158" t="s">
        <v>741</v>
      </c>
    </row>
    <row r="435" customFormat="false" ht="15" hidden="false" customHeight="true" outlineLevel="0" collapsed="false">
      <c r="A435" s="144" t="n">
        <v>46048</v>
      </c>
      <c r="B435" s="113"/>
      <c r="C435" s="159" t="s">
        <v>679</v>
      </c>
      <c r="D435" s="158" t="s">
        <v>146</v>
      </c>
      <c r="E435" s="147" t="n">
        <v>1</v>
      </c>
      <c r="F435" s="147" t="n">
        <v>50</v>
      </c>
      <c r="G435" s="160" t="n">
        <v>1</v>
      </c>
      <c r="H435" s="20"/>
      <c r="I435" s="158" t="s">
        <v>717</v>
      </c>
    </row>
    <row r="436" customFormat="false" ht="15" hidden="false" customHeight="true" outlineLevel="0" collapsed="false">
      <c r="A436" s="144" t="n">
        <v>46048</v>
      </c>
      <c r="B436" s="113"/>
      <c r="C436" s="159" t="s">
        <v>679</v>
      </c>
      <c r="D436" s="158" t="s">
        <v>146</v>
      </c>
      <c r="E436" s="147" t="n">
        <v>5</v>
      </c>
      <c r="F436" s="147" t="n">
        <v>50</v>
      </c>
      <c r="G436" s="160" t="n">
        <v>0.25</v>
      </c>
      <c r="H436" s="20"/>
      <c r="I436" s="158" t="s">
        <v>706</v>
      </c>
    </row>
    <row r="437" customFormat="false" ht="15" hidden="false" customHeight="true" outlineLevel="0" collapsed="false">
      <c r="A437" s="144" t="n">
        <v>46048</v>
      </c>
      <c r="B437" s="113"/>
      <c r="C437" s="159" t="s">
        <v>679</v>
      </c>
      <c r="D437" s="158" t="s">
        <v>147</v>
      </c>
      <c r="E437" s="147" t="n">
        <v>1</v>
      </c>
      <c r="F437" s="147" t="n">
        <v>50</v>
      </c>
      <c r="G437" s="160" t="n">
        <v>1</v>
      </c>
      <c r="H437" s="20"/>
      <c r="I437" s="158" t="s">
        <v>700</v>
      </c>
    </row>
    <row r="438" customFormat="false" ht="15" hidden="false" customHeight="true" outlineLevel="0" collapsed="false">
      <c r="A438" s="144" t="n">
        <v>46048</v>
      </c>
      <c r="B438" s="113"/>
      <c r="C438" s="159" t="s">
        <v>679</v>
      </c>
      <c r="D438" s="158" t="s">
        <v>147</v>
      </c>
      <c r="E438" s="147" t="n">
        <v>5</v>
      </c>
      <c r="F438" s="147" t="n">
        <v>50</v>
      </c>
      <c r="G438" s="160" t="n">
        <v>0.25</v>
      </c>
      <c r="H438" s="20"/>
      <c r="I438" s="158" t="s">
        <v>706</v>
      </c>
    </row>
    <row r="439" customFormat="false" ht="15" hidden="false" customHeight="true" outlineLevel="0" collapsed="false">
      <c r="A439" s="144" t="n">
        <v>46048</v>
      </c>
      <c r="B439" s="113"/>
      <c r="C439" s="159" t="s">
        <v>679</v>
      </c>
      <c r="D439" s="158" t="s">
        <v>148</v>
      </c>
      <c r="E439" s="147" t="n">
        <v>8</v>
      </c>
      <c r="F439" s="147" t="n">
        <v>50</v>
      </c>
      <c r="G439" s="160" t="n">
        <v>0.4</v>
      </c>
      <c r="H439" s="20"/>
      <c r="I439" s="158" t="s">
        <v>741</v>
      </c>
    </row>
    <row r="440" customFormat="false" ht="15" hidden="false" customHeight="true" outlineLevel="0" collapsed="false">
      <c r="A440" s="144" t="n">
        <v>46048</v>
      </c>
      <c r="B440" s="113"/>
      <c r="C440" s="159" t="s">
        <v>679</v>
      </c>
      <c r="D440" s="158" t="s">
        <v>155</v>
      </c>
      <c r="E440" s="147" t="n">
        <v>7</v>
      </c>
      <c r="F440" s="147" t="n">
        <v>80</v>
      </c>
      <c r="G440" s="160" t="n">
        <v>11.2</v>
      </c>
      <c r="H440" s="20"/>
      <c r="I440" s="113" t="s">
        <v>686</v>
      </c>
    </row>
    <row r="441" customFormat="false" ht="15" hidden="false" customHeight="true" outlineLevel="0" collapsed="false">
      <c r="A441" s="144" t="n">
        <v>46048</v>
      </c>
      <c r="B441" s="113"/>
      <c r="C441" s="159" t="s">
        <v>679</v>
      </c>
      <c r="D441" s="158" t="s">
        <v>159</v>
      </c>
      <c r="E441" s="147" t="n">
        <v>8</v>
      </c>
      <c r="F441" s="147" t="n">
        <v>50</v>
      </c>
      <c r="G441" s="160" t="n">
        <v>0.4</v>
      </c>
      <c r="H441" s="20"/>
      <c r="I441" s="158" t="s">
        <v>741</v>
      </c>
    </row>
    <row r="442" customFormat="false" ht="15" hidden="false" customHeight="true" outlineLevel="0" collapsed="false">
      <c r="A442" s="144" t="n">
        <v>46048</v>
      </c>
      <c r="B442" s="113"/>
      <c r="C442" s="159" t="s">
        <v>679</v>
      </c>
      <c r="D442" s="158" t="s">
        <v>174</v>
      </c>
      <c r="E442" s="147" t="n">
        <v>2</v>
      </c>
      <c r="F442" s="147" t="n">
        <v>1000</v>
      </c>
      <c r="G442" s="160" t="n">
        <v>2</v>
      </c>
      <c r="H442" s="20"/>
      <c r="I442" s="158" t="s">
        <v>687</v>
      </c>
    </row>
    <row r="443" customFormat="false" ht="15" hidden="false" customHeight="true" outlineLevel="0" collapsed="false">
      <c r="A443" s="144" t="n">
        <v>46048</v>
      </c>
      <c r="B443" s="113"/>
      <c r="C443" s="159" t="s">
        <v>679</v>
      </c>
      <c r="D443" s="158" t="s">
        <v>179</v>
      </c>
      <c r="E443" s="147" t="n">
        <v>1</v>
      </c>
      <c r="F443" s="147" t="n">
        <v>1000</v>
      </c>
      <c r="G443" s="160" t="n">
        <v>1</v>
      </c>
      <c r="H443" s="20"/>
      <c r="I443" s="158" t="s">
        <v>715</v>
      </c>
    </row>
    <row r="444" customFormat="false" ht="15" hidden="false" customHeight="true" outlineLevel="0" collapsed="false">
      <c r="A444" s="144" t="n">
        <v>46048</v>
      </c>
      <c r="B444" s="113"/>
      <c r="C444" s="159" t="s">
        <v>679</v>
      </c>
      <c r="D444" s="158" t="s">
        <v>181</v>
      </c>
      <c r="E444" s="147" t="n">
        <v>8</v>
      </c>
      <c r="F444" s="147" t="n">
        <v>1000</v>
      </c>
      <c r="G444" s="160" t="n">
        <v>8</v>
      </c>
      <c r="H444" s="20"/>
      <c r="I444" s="113" t="s">
        <v>718</v>
      </c>
    </row>
    <row r="445" customFormat="false" ht="15" hidden="false" customHeight="true" outlineLevel="0" collapsed="false">
      <c r="A445" s="144" t="n">
        <v>46048</v>
      </c>
      <c r="B445" s="113"/>
      <c r="C445" s="159" t="s">
        <v>679</v>
      </c>
      <c r="D445" s="158" t="s">
        <v>183</v>
      </c>
      <c r="E445" s="147" t="n">
        <v>1</v>
      </c>
      <c r="F445" s="147" t="n">
        <v>60</v>
      </c>
      <c r="G445" s="160" t="n">
        <v>0.6</v>
      </c>
      <c r="H445" s="20"/>
      <c r="I445" s="113" t="s">
        <v>722</v>
      </c>
    </row>
    <row r="446" customFormat="false" ht="15" hidden="false" customHeight="true" outlineLevel="0" collapsed="false">
      <c r="A446" s="144" t="n">
        <v>46048</v>
      </c>
      <c r="B446" s="113"/>
      <c r="C446" s="159" t="s">
        <v>679</v>
      </c>
      <c r="D446" s="158" t="s">
        <v>183</v>
      </c>
      <c r="E446" s="147" t="n">
        <v>19</v>
      </c>
      <c r="F446" s="147" t="n">
        <v>60</v>
      </c>
      <c r="G446" s="160" t="n">
        <v>34.2</v>
      </c>
      <c r="H446" s="20"/>
      <c r="I446" s="158" t="s">
        <v>689</v>
      </c>
    </row>
    <row r="447" customFormat="false" ht="15" hidden="false" customHeight="true" outlineLevel="0" collapsed="false">
      <c r="A447" s="144" t="n">
        <v>46048</v>
      </c>
      <c r="B447" s="113"/>
      <c r="C447" s="159" t="s">
        <v>679</v>
      </c>
      <c r="D447" s="158" t="s">
        <v>184</v>
      </c>
      <c r="E447" s="147" t="n">
        <v>4</v>
      </c>
      <c r="F447" s="147" t="n">
        <v>50</v>
      </c>
      <c r="G447" s="160" t="n">
        <v>4</v>
      </c>
      <c r="H447" s="20"/>
      <c r="I447" s="158" t="s">
        <v>690</v>
      </c>
    </row>
    <row r="448" customFormat="false" ht="15" hidden="false" customHeight="true" outlineLevel="0" collapsed="false">
      <c r="A448" s="144" t="n">
        <v>46048</v>
      </c>
      <c r="B448" s="113"/>
      <c r="C448" s="159" t="s">
        <v>679</v>
      </c>
      <c r="D448" s="158" t="s">
        <v>184</v>
      </c>
      <c r="E448" s="147" t="n">
        <v>10</v>
      </c>
      <c r="F448" s="147" t="n">
        <v>50</v>
      </c>
      <c r="G448" s="160" t="n">
        <v>0.5</v>
      </c>
      <c r="H448" s="20"/>
      <c r="I448" s="158" t="s">
        <v>741</v>
      </c>
    </row>
    <row r="449" customFormat="false" ht="15" hidden="false" customHeight="true" outlineLevel="0" collapsed="false">
      <c r="A449" s="144" t="n">
        <v>46048</v>
      </c>
      <c r="B449" s="113"/>
      <c r="C449" s="159" t="s">
        <v>679</v>
      </c>
      <c r="D449" s="158" t="s">
        <v>186</v>
      </c>
      <c r="E449" s="147" t="n">
        <v>8</v>
      </c>
      <c r="F449" s="147" t="n">
        <v>50</v>
      </c>
      <c r="G449" s="160" t="n">
        <v>0.4</v>
      </c>
      <c r="H449" s="20"/>
      <c r="I449" s="158" t="s">
        <v>741</v>
      </c>
    </row>
    <row r="450" customFormat="false" ht="15" hidden="false" customHeight="true" outlineLevel="0" collapsed="false">
      <c r="A450" s="144" t="n">
        <v>46048</v>
      </c>
      <c r="B450" s="113"/>
      <c r="C450" s="159" t="s">
        <v>679</v>
      </c>
      <c r="D450" s="158" t="s">
        <v>192</v>
      </c>
      <c r="E450" s="147" t="n">
        <v>10</v>
      </c>
      <c r="F450" s="147" t="n">
        <v>50</v>
      </c>
      <c r="G450" s="160" t="n">
        <v>0.5</v>
      </c>
      <c r="H450" s="20"/>
      <c r="I450" s="158" t="s">
        <v>741</v>
      </c>
    </row>
    <row r="451" customFormat="false" ht="15" hidden="false" customHeight="true" outlineLevel="0" collapsed="false">
      <c r="A451" s="144" t="n">
        <v>46048</v>
      </c>
      <c r="B451" s="113"/>
      <c r="C451" s="159" t="s">
        <v>679</v>
      </c>
      <c r="D451" s="158" t="s">
        <v>195</v>
      </c>
      <c r="E451" s="147" t="n">
        <v>8</v>
      </c>
      <c r="F451" s="147" t="n">
        <v>50</v>
      </c>
      <c r="G451" s="160" t="n">
        <v>0.4</v>
      </c>
      <c r="H451" s="20"/>
      <c r="I451" s="158" t="s">
        <v>741</v>
      </c>
    </row>
    <row r="452" customFormat="false" ht="15" hidden="false" customHeight="true" outlineLevel="0" collapsed="false">
      <c r="A452" s="144" t="n">
        <v>46048</v>
      </c>
      <c r="B452" s="113"/>
      <c r="C452" s="159" t="s">
        <v>679</v>
      </c>
      <c r="D452" s="158" t="s">
        <v>222</v>
      </c>
      <c r="E452" s="147" t="n">
        <v>1</v>
      </c>
      <c r="F452" s="147" t="n">
        <v>40</v>
      </c>
      <c r="G452" s="160" t="n">
        <v>0.2</v>
      </c>
      <c r="H452" s="20"/>
      <c r="I452" s="113" t="s">
        <v>722</v>
      </c>
    </row>
    <row r="453" customFormat="false" ht="15" hidden="false" customHeight="true" outlineLevel="0" collapsed="false">
      <c r="A453" s="144" t="n">
        <v>46048</v>
      </c>
      <c r="B453" s="113"/>
      <c r="C453" s="159" t="s">
        <v>679</v>
      </c>
      <c r="D453" s="158" t="s">
        <v>222</v>
      </c>
      <c r="E453" s="147" t="n">
        <v>4</v>
      </c>
      <c r="F453" s="147" t="n">
        <v>40</v>
      </c>
      <c r="G453" s="160" t="n">
        <v>3.2</v>
      </c>
      <c r="H453" s="20"/>
      <c r="I453" s="158" t="s">
        <v>692</v>
      </c>
    </row>
    <row r="454" customFormat="false" ht="15" hidden="false" customHeight="true" outlineLevel="0" collapsed="false">
      <c r="A454" s="144" t="n">
        <v>46048</v>
      </c>
      <c r="B454" s="113"/>
      <c r="C454" s="159" t="s">
        <v>679</v>
      </c>
      <c r="D454" s="158" t="s">
        <v>221</v>
      </c>
      <c r="E454" s="147" t="n">
        <v>1</v>
      </c>
      <c r="F454" s="147" t="n">
        <v>40</v>
      </c>
      <c r="G454" s="160" t="n">
        <v>0.2</v>
      </c>
      <c r="H454" s="20"/>
      <c r="I454" s="113" t="s">
        <v>722</v>
      </c>
    </row>
    <row r="455" customFormat="false" ht="15" hidden="false" customHeight="true" outlineLevel="0" collapsed="false">
      <c r="A455" s="144" t="n">
        <v>46048</v>
      </c>
      <c r="B455" s="113"/>
      <c r="C455" s="159" t="s">
        <v>679</v>
      </c>
      <c r="D455" s="158" t="s">
        <v>221</v>
      </c>
      <c r="E455" s="147" t="n">
        <v>2</v>
      </c>
      <c r="F455" s="147" t="n">
        <v>40</v>
      </c>
      <c r="G455" s="160" t="n">
        <v>1.6</v>
      </c>
      <c r="H455" s="20"/>
      <c r="I455" s="158" t="s">
        <v>693</v>
      </c>
    </row>
    <row r="456" customFormat="false" ht="15" hidden="false" customHeight="true" outlineLevel="0" collapsed="false">
      <c r="A456" s="144" t="n">
        <v>46048</v>
      </c>
      <c r="B456" s="113"/>
      <c r="C456" s="159" t="s">
        <v>679</v>
      </c>
      <c r="D456" s="158" t="s">
        <v>204</v>
      </c>
      <c r="E456" s="147" t="n">
        <v>1</v>
      </c>
      <c r="F456" s="147" t="n">
        <v>60</v>
      </c>
      <c r="G456" s="160" t="n">
        <v>0.3</v>
      </c>
      <c r="H456" s="20"/>
      <c r="I456" s="113" t="s">
        <v>722</v>
      </c>
    </row>
    <row r="457" customFormat="false" ht="15" hidden="false" customHeight="true" outlineLevel="0" collapsed="false">
      <c r="A457" s="144" t="n">
        <v>46048</v>
      </c>
      <c r="B457" s="113"/>
      <c r="C457" s="159" t="s">
        <v>679</v>
      </c>
      <c r="D457" s="158" t="s">
        <v>204</v>
      </c>
      <c r="E457" s="147" t="n">
        <v>38</v>
      </c>
      <c r="F457" s="147" t="n">
        <v>60</v>
      </c>
      <c r="G457" s="160" t="n">
        <v>68.4</v>
      </c>
      <c r="H457" s="20"/>
      <c r="I457" s="158" t="s">
        <v>694</v>
      </c>
    </row>
    <row r="458" customFormat="false" ht="15" hidden="false" customHeight="true" outlineLevel="0" collapsed="false">
      <c r="A458" s="144" t="n">
        <v>46048</v>
      </c>
      <c r="B458" s="113"/>
      <c r="C458" s="159" t="s">
        <v>679</v>
      </c>
      <c r="D458" s="158" t="s">
        <v>204</v>
      </c>
      <c r="E458" s="147" t="n">
        <v>1</v>
      </c>
      <c r="F458" s="147" t="n">
        <v>60</v>
      </c>
      <c r="G458" s="160" t="n">
        <v>3.6</v>
      </c>
      <c r="H458" s="20"/>
      <c r="I458" s="158" t="s">
        <v>742</v>
      </c>
    </row>
    <row r="459" customFormat="false" ht="15" hidden="false" customHeight="true" outlineLevel="0" collapsed="false">
      <c r="A459" s="144" t="n">
        <v>46048</v>
      </c>
      <c r="B459" s="113"/>
      <c r="C459" s="159" t="s">
        <v>679</v>
      </c>
      <c r="D459" s="158" t="s">
        <v>236</v>
      </c>
      <c r="E459" s="147" t="n">
        <v>1</v>
      </c>
      <c r="F459" s="147" t="n">
        <v>60</v>
      </c>
      <c r="G459" s="160" t="n">
        <v>0.3</v>
      </c>
      <c r="H459" s="20"/>
      <c r="I459" s="113" t="s">
        <v>722</v>
      </c>
    </row>
    <row r="460" customFormat="false" ht="15" hidden="false" customHeight="true" outlineLevel="0" collapsed="false">
      <c r="A460" s="144" t="n">
        <v>46048</v>
      </c>
      <c r="B460" s="113"/>
      <c r="C460" s="159" t="s">
        <v>679</v>
      </c>
      <c r="D460" s="158" t="s">
        <v>236</v>
      </c>
      <c r="E460" s="147" t="n">
        <v>16</v>
      </c>
      <c r="F460" s="147" t="n">
        <v>60</v>
      </c>
      <c r="G460" s="160" t="n">
        <v>28.8</v>
      </c>
      <c r="H460" s="20"/>
      <c r="I460" s="158" t="s">
        <v>695</v>
      </c>
    </row>
    <row r="461" customFormat="false" ht="15" hidden="false" customHeight="true" outlineLevel="0" collapsed="false">
      <c r="A461" s="144" t="n">
        <v>46048</v>
      </c>
      <c r="B461" s="113"/>
      <c r="C461" s="159" t="s">
        <v>679</v>
      </c>
      <c r="D461" s="158" t="s">
        <v>206</v>
      </c>
      <c r="E461" s="147" t="n">
        <v>2</v>
      </c>
      <c r="F461" s="147" t="n">
        <v>30</v>
      </c>
      <c r="G461" s="160" t="n">
        <v>1.8</v>
      </c>
      <c r="H461" s="20"/>
      <c r="I461" s="158" t="s">
        <v>731</v>
      </c>
    </row>
    <row r="462" customFormat="false" ht="15" hidden="false" customHeight="true" outlineLevel="0" collapsed="false">
      <c r="A462" s="144" t="n">
        <v>46048</v>
      </c>
      <c r="B462" s="113"/>
      <c r="C462" s="159" t="s">
        <v>679</v>
      </c>
      <c r="D462" s="158" t="s">
        <v>219</v>
      </c>
      <c r="E462" s="147" t="n">
        <v>8</v>
      </c>
      <c r="F462" s="147" t="n">
        <v>50</v>
      </c>
      <c r="G462" s="160" t="n">
        <v>0.4</v>
      </c>
      <c r="H462" s="20"/>
      <c r="I462" s="158" t="s">
        <v>741</v>
      </c>
    </row>
    <row r="463" customFormat="false" ht="15" hidden="false" customHeight="true" outlineLevel="0" collapsed="false">
      <c r="A463" s="144" t="n">
        <v>46048</v>
      </c>
      <c r="B463" s="113"/>
      <c r="C463" s="159" t="s">
        <v>679</v>
      </c>
      <c r="D463" s="158" t="s">
        <v>220</v>
      </c>
      <c r="E463" s="147" t="n">
        <v>5</v>
      </c>
      <c r="F463" s="147" t="n">
        <v>50</v>
      </c>
      <c r="G463" s="160" t="n">
        <v>0.25</v>
      </c>
      <c r="H463" s="20"/>
      <c r="I463" s="158" t="s">
        <v>706</v>
      </c>
    </row>
    <row r="464" customFormat="false" ht="15" hidden="false" customHeight="true" outlineLevel="0" collapsed="false">
      <c r="A464" s="144" t="n">
        <v>46048</v>
      </c>
      <c r="B464" s="113"/>
      <c r="C464" s="159" t="s">
        <v>679</v>
      </c>
      <c r="D464" s="158" t="s">
        <v>220</v>
      </c>
      <c r="E464" s="147" t="n">
        <v>1</v>
      </c>
      <c r="F464" s="147" t="n">
        <v>50</v>
      </c>
      <c r="G464" s="160" t="n">
        <v>1</v>
      </c>
      <c r="H464" s="20"/>
      <c r="I464" s="158" t="s">
        <v>712</v>
      </c>
    </row>
    <row r="465" customFormat="false" ht="15" hidden="false" customHeight="true" outlineLevel="0" collapsed="false">
      <c r="A465" s="144" t="n">
        <v>46048</v>
      </c>
      <c r="B465" s="158" t="s">
        <v>732</v>
      </c>
      <c r="C465" s="159" t="s">
        <v>670</v>
      </c>
      <c r="D465" s="158" t="s">
        <v>242</v>
      </c>
      <c r="E465" s="147" t="n">
        <v>42</v>
      </c>
      <c r="F465" s="147" t="n">
        <v>360</v>
      </c>
      <c r="G465" s="160" t="n">
        <v>15.12</v>
      </c>
      <c r="H465" s="20"/>
      <c r="I465" s="158" t="s">
        <v>733</v>
      </c>
    </row>
    <row r="466" customFormat="false" ht="15" hidden="false" customHeight="true" outlineLevel="0" collapsed="false">
      <c r="A466" s="144" t="n">
        <v>46048</v>
      </c>
      <c r="B466" s="158" t="s">
        <v>732</v>
      </c>
      <c r="C466" s="159" t="s">
        <v>670</v>
      </c>
      <c r="D466" s="158" t="s">
        <v>240</v>
      </c>
      <c r="E466" s="147" t="n">
        <v>74</v>
      </c>
      <c r="F466" s="147" t="n">
        <v>360</v>
      </c>
      <c r="G466" s="160" t="n">
        <v>26.64</v>
      </c>
      <c r="H466" s="20"/>
      <c r="I466" s="158" t="s">
        <v>734</v>
      </c>
    </row>
    <row r="467" customFormat="false" ht="15" hidden="false" customHeight="true" outlineLevel="0" collapsed="false">
      <c r="A467" s="144" t="n">
        <v>46048</v>
      </c>
      <c r="B467" s="158" t="s">
        <v>732</v>
      </c>
      <c r="C467" s="159" t="s">
        <v>670</v>
      </c>
      <c r="D467" s="158" t="s">
        <v>241</v>
      </c>
      <c r="E467" s="147" t="n">
        <v>25</v>
      </c>
      <c r="F467" s="147" t="n">
        <v>360</v>
      </c>
      <c r="G467" s="160" t="n">
        <v>9</v>
      </c>
      <c r="H467" s="20"/>
      <c r="I467" s="158" t="s">
        <v>735</v>
      </c>
    </row>
    <row r="468" customFormat="false" ht="15" hidden="false" customHeight="true" outlineLevel="0" collapsed="false">
      <c r="A468" s="144" t="n">
        <v>46048</v>
      </c>
      <c r="B468" s="158" t="s">
        <v>732</v>
      </c>
      <c r="C468" s="159" t="s">
        <v>670</v>
      </c>
      <c r="D468" s="158" t="s">
        <v>246</v>
      </c>
      <c r="E468" s="147" t="n">
        <v>58</v>
      </c>
      <c r="F468" s="147" t="n">
        <v>360</v>
      </c>
      <c r="G468" s="160" t="n">
        <v>20.88</v>
      </c>
      <c r="H468" s="20"/>
      <c r="I468" s="158" t="s">
        <v>736</v>
      </c>
    </row>
    <row r="469" customFormat="false" ht="15" hidden="false" customHeight="true" outlineLevel="0" collapsed="false">
      <c r="A469" s="144" t="n">
        <v>46048</v>
      </c>
      <c r="B469" s="158" t="s">
        <v>732</v>
      </c>
      <c r="C469" s="159" t="s">
        <v>670</v>
      </c>
      <c r="D469" s="158" t="s">
        <v>243</v>
      </c>
      <c r="E469" s="147" t="n">
        <v>54</v>
      </c>
      <c r="F469" s="147" t="n">
        <v>360</v>
      </c>
      <c r="G469" s="160" t="n">
        <v>19.44</v>
      </c>
      <c r="H469" s="20"/>
      <c r="I469" s="158" t="s">
        <v>737</v>
      </c>
    </row>
    <row r="470" customFormat="false" ht="15" hidden="false" customHeight="true" outlineLevel="0" collapsed="false">
      <c r="A470" s="144" t="n">
        <v>46048</v>
      </c>
      <c r="B470" s="158" t="s">
        <v>732</v>
      </c>
      <c r="C470" s="159" t="s">
        <v>670</v>
      </c>
      <c r="D470" s="158" t="s">
        <v>244</v>
      </c>
      <c r="E470" s="147" t="n">
        <v>46</v>
      </c>
      <c r="F470" s="147" t="n">
        <v>360</v>
      </c>
      <c r="G470" s="160" t="n">
        <v>16.56</v>
      </c>
      <c r="H470" s="20"/>
      <c r="I470" s="158" t="s">
        <v>738</v>
      </c>
    </row>
    <row r="471" customFormat="false" ht="15" hidden="false" customHeight="true" outlineLevel="0" collapsed="false">
      <c r="A471" s="144" t="n">
        <v>46049</v>
      </c>
      <c r="B471" s="113"/>
      <c r="C471" s="159" t="s">
        <v>679</v>
      </c>
      <c r="D471" s="113" t="s">
        <v>267</v>
      </c>
      <c r="E471" s="147" t="n">
        <v>1</v>
      </c>
      <c r="F471" s="147" t="n">
        <v>60</v>
      </c>
      <c r="G471" s="160" t="n">
        <v>1.2</v>
      </c>
      <c r="H471" s="20"/>
      <c r="I471" s="113" t="s">
        <v>705</v>
      </c>
    </row>
    <row r="472" customFormat="false" ht="15" hidden="false" customHeight="true" outlineLevel="0" collapsed="false">
      <c r="A472" s="144" t="n">
        <v>46049</v>
      </c>
      <c r="B472" s="113"/>
      <c r="C472" s="159" t="s">
        <v>679</v>
      </c>
      <c r="D472" s="158" t="s">
        <v>142</v>
      </c>
      <c r="E472" s="147" t="n">
        <v>5</v>
      </c>
      <c r="F472" s="147" t="n">
        <v>50</v>
      </c>
      <c r="G472" s="160" t="n">
        <v>0.25</v>
      </c>
      <c r="H472" s="20"/>
      <c r="I472" s="158" t="s">
        <v>706</v>
      </c>
    </row>
    <row r="473" customFormat="false" ht="15" hidden="false" customHeight="true" outlineLevel="0" collapsed="false">
      <c r="A473" s="144" t="n">
        <v>46049</v>
      </c>
      <c r="B473" s="113"/>
      <c r="C473" s="159" t="s">
        <v>679</v>
      </c>
      <c r="D473" s="158" t="s">
        <v>143</v>
      </c>
      <c r="E473" s="147" t="n">
        <v>6</v>
      </c>
      <c r="F473" s="147" t="n">
        <v>50</v>
      </c>
      <c r="G473" s="160" t="n">
        <v>6</v>
      </c>
      <c r="H473" s="20"/>
      <c r="I473" s="158" t="s">
        <v>682</v>
      </c>
    </row>
    <row r="474" customFormat="false" ht="15" hidden="false" customHeight="true" outlineLevel="0" collapsed="false">
      <c r="A474" s="144" t="n">
        <v>46049</v>
      </c>
      <c r="B474" s="113"/>
      <c r="C474" s="159" t="s">
        <v>679</v>
      </c>
      <c r="D474" s="158" t="s">
        <v>143</v>
      </c>
      <c r="E474" s="147" t="n">
        <v>2</v>
      </c>
      <c r="F474" s="147" t="n">
        <v>50</v>
      </c>
      <c r="G474" s="160" t="n">
        <v>4</v>
      </c>
      <c r="H474" s="20"/>
      <c r="I474" s="158" t="s">
        <v>683</v>
      </c>
    </row>
    <row r="475" customFormat="false" ht="15" hidden="false" customHeight="true" outlineLevel="0" collapsed="false">
      <c r="A475" s="144" t="n">
        <v>46049</v>
      </c>
      <c r="B475" s="113"/>
      <c r="C475" s="159" t="s">
        <v>679</v>
      </c>
      <c r="D475" s="158" t="s">
        <v>143</v>
      </c>
      <c r="E475" s="147" t="n">
        <v>1</v>
      </c>
      <c r="F475" s="147" t="n">
        <v>50</v>
      </c>
      <c r="G475" s="160" t="n">
        <v>2</v>
      </c>
      <c r="H475" s="20"/>
      <c r="I475" s="158" t="s">
        <v>725</v>
      </c>
    </row>
    <row r="476" customFormat="false" ht="15" hidden="false" customHeight="true" outlineLevel="0" collapsed="false">
      <c r="A476" s="144" t="n">
        <v>46049</v>
      </c>
      <c r="B476" s="113"/>
      <c r="C476" s="159" t="s">
        <v>679</v>
      </c>
      <c r="D476" s="158" t="s">
        <v>144</v>
      </c>
      <c r="E476" s="147" t="n">
        <v>4</v>
      </c>
      <c r="F476" s="147" t="n">
        <v>1000</v>
      </c>
      <c r="G476" s="160" t="n">
        <v>8</v>
      </c>
      <c r="H476" s="20"/>
      <c r="I476" s="158" t="s">
        <v>685</v>
      </c>
    </row>
    <row r="477" customFormat="false" ht="15" hidden="false" customHeight="true" outlineLevel="0" collapsed="false">
      <c r="A477" s="144" t="n">
        <v>46049</v>
      </c>
      <c r="B477" s="113"/>
      <c r="C477" s="159" t="s">
        <v>679</v>
      </c>
      <c r="D477" s="158" t="s">
        <v>146</v>
      </c>
      <c r="E477" s="147" t="n">
        <v>5</v>
      </c>
      <c r="F477" s="147" t="n">
        <v>50</v>
      </c>
      <c r="G477" s="160" t="n">
        <v>0.25</v>
      </c>
      <c r="H477" s="20"/>
      <c r="I477" s="158" t="s">
        <v>706</v>
      </c>
    </row>
    <row r="478" customFormat="false" ht="15" hidden="false" customHeight="true" outlineLevel="0" collapsed="false">
      <c r="A478" s="144" t="n">
        <v>46049</v>
      </c>
      <c r="B478" s="113"/>
      <c r="C478" s="159" t="s">
        <v>679</v>
      </c>
      <c r="D478" s="158" t="s">
        <v>147</v>
      </c>
      <c r="E478" s="147" t="n">
        <v>5</v>
      </c>
      <c r="F478" s="147" t="n">
        <v>50</v>
      </c>
      <c r="G478" s="160" t="n">
        <v>0.25</v>
      </c>
      <c r="H478" s="20"/>
      <c r="I478" s="158" t="s">
        <v>706</v>
      </c>
    </row>
    <row r="479" customFormat="false" ht="15" hidden="false" customHeight="true" outlineLevel="0" collapsed="false">
      <c r="A479" s="144" t="n">
        <v>46049</v>
      </c>
      <c r="B479" s="113"/>
      <c r="C479" s="159" t="s">
        <v>679</v>
      </c>
      <c r="D479" s="158" t="s">
        <v>161</v>
      </c>
      <c r="E479" s="147" t="n">
        <v>2</v>
      </c>
      <c r="F479" s="147" t="n">
        <v>1000</v>
      </c>
      <c r="G479" s="160" t="n">
        <v>2</v>
      </c>
      <c r="H479" s="20"/>
      <c r="I479" s="158" t="s">
        <v>707</v>
      </c>
    </row>
    <row r="480" customFormat="false" ht="15" hidden="false" customHeight="true" outlineLevel="0" collapsed="false">
      <c r="A480" s="144" t="n">
        <v>46049</v>
      </c>
      <c r="B480" s="113"/>
      <c r="C480" s="159" t="s">
        <v>679</v>
      </c>
      <c r="D480" s="158" t="s">
        <v>169</v>
      </c>
      <c r="E480" s="147" t="n">
        <v>2</v>
      </c>
      <c r="F480" s="147" t="n">
        <v>1000</v>
      </c>
      <c r="G480" s="160" t="n">
        <v>2</v>
      </c>
      <c r="H480" s="20"/>
      <c r="I480" s="158" t="s">
        <v>719</v>
      </c>
    </row>
    <row r="481" customFormat="false" ht="15" hidden="false" customHeight="true" outlineLevel="0" collapsed="false">
      <c r="A481" s="144" t="n">
        <v>46049</v>
      </c>
      <c r="B481" s="113"/>
      <c r="C481" s="159" t="s">
        <v>679</v>
      </c>
      <c r="D481" s="158" t="s">
        <v>174</v>
      </c>
      <c r="E481" s="147" t="n">
        <v>4</v>
      </c>
      <c r="F481" s="147" t="n">
        <v>1000</v>
      </c>
      <c r="G481" s="160" t="n">
        <v>4</v>
      </c>
      <c r="H481" s="20"/>
      <c r="I481" s="158" t="s">
        <v>687</v>
      </c>
    </row>
    <row r="482" customFormat="false" ht="15" hidden="false" customHeight="true" outlineLevel="0" collapsed="false">
      <c r="A482" s="144" t="n">
        <v>46049</v>
      </c>
      <c r="B482" s="113"/>
      <c r="C482" s="159" t="s">
        <v>679</v>
      </c>
      <c r="D482" s="158" t="s">
        <v>181</v>
      </c>
      <c r="E482" s="147" t="n">
        <v>4</v>
      </c>
      <c r="F482" s="147" t="n">
        <v>1000</v>
      </c>
      <c r="G482" s="160" t="n">
        <v>4</v>
      </c>
      <c r="H482" s="20"/>
      <c r="I482" s="113" t="s">
        <v>718</v>
      </c>
    </row>
    <row r="483" customFormat="false" ht="15" hidden="false" customHeight="true" outlineLevel="0" collapsed="false">
      <c r="A483" s="144" t="n">
        <v>46049</v>
      </c>
      <c r="B483" s="113"/>
      <c r="C483" s="159" t="s">
        <v>679</v>
      </c>
      <c r="D483" s="158" t="s">
        <v>183</v>
      </c>
      <c r="E483" s="147" t="n">
        <v>15</v>
      </c>
      <c r="F483" s="147" t="n">
        <v>60</v>
      </c>
      <c r="G483" s="160" t="n">
        <v>27</v>
      </c>
      <c r="H483" s="20"/>
      <c r="I483" s="158" t="s">
        <v>689</v>
      </c>
    </row>
    <row r="484" customFormat="false" ht="15" hidden="false" customHeight="true" outlineLevel="0" collapsed="false">
      <c r="A484" s="144" t="n">
        <v>46049</v>
      </c>
      <c r="B484" s="113"/>
      <c r="C484" s="159" t="s">
        <v>679</v>
      </c>
      <c r="D484" s="158" t="s">
        <v>184</v>
      </c>
      <c r="E484" s="147" t="n">
        <v>4</v>
      </c>
      <c r="F484" s="147" t="n">
        <v>50</v>
      </c>
      <c r="G484" s="160" t="n">
        <v>4</v>
      </c>
      <c r="H484" s="20"/>
      <c r="I484" s="158" t="s">
        <v>690</v>
      </c>
    </row>
    <row r="485" customFormat="false" ht="15" hidden="false" customHeight="true" outlineLevel="0" collapsed="false">
      <c r="A485" s="144" t="n">
        <v>46049</v>
      </c>
      <c r="B485" s="113"/>
      <c r="C485" s="159" t="s">
        <v>679</v>
      </c>
      <c r="D485" s="158" t="s">
        <v>222</v>
      </c>
      <c r="E485" s="147" t="n">
        <v>1</v>
      </c>
      <c r="F485" s="147" t="n">
        <v>40</v>
      </c>
      <c r="G485" s="160" t="n">
        <v>0.8</v>
      </c>
      <c r="H485" s="20"/>
      <c r="I485" s="158" t="s">
        <v>692</v>
      </c>
    </row>
    <row r="486" customFormat="false" ht="15" hidden="false" customHeight="true" outlineLevel="0" collapsed="false">
      <c r="A486" s="144" t="n">
        <v>46049</v>
      </c>
      <c r="B486" s="113"/>
      <c r="C486" s="159" t="s">
        <v>679</v>
      </c>
      <c r="D486" s="158" t="s">
        <v>221</v>
      </c>
      <c r="E486" s="147" t="n">
        <v>1</v>
      </c>
      <c r="F486" s="147" t="n">
        <v>40</v>
      </c>
      <c r="G486" s="160" t="n">
        <v>0.8</v>
      </c>
      <c r="H486" s="20"/>
      <c r="I486" s="158" t="s">
        <v>693</v>
      </c>
    </row>
    <row r="487" customFormat="false" ht="15" hidden="false" customHeight="true" outlineLevel="0" collapsed="false">
      <c r="A487" s="144" t="n">
        <v>46049</v>
      </c>
      <c r="B487" s="113"/>
      <c r="C487" s="159" t="s">
        <v>679</v>
      </c>
      <c r="D487" s="158" t="s">
        <v>204</v>
      </c>
      <c r="E487" s="147" t="n">
        <v>25</v>
      </c>
      <c r="F487" s="147" t="n">
        <v>60</v>
      </c>
      <c r="G487" s="160" t="n">
        <v>45</v>
      </c>
      <c r="H487" s="20"/>
      <c r="I487" s="158" t="s">
        <v>694</v>
      </c>
    </row>
    <row r="488" customFormat="false" ht="15" hidden="false" customHeight="true" outlineLevel="0" collapsed="false">
      <c r="A488" s="144" t="n">
        <v>46049</v>
      </c>
      <c r="B488" s="113"/>
      <c r="C488" s="159" t="s">
        <v>679</v>
      </c>
      <c r="D488" s="158" t="s">
        <v>236</v>
      </c>
      <c r="E488" s="147" t="n">
        <v>23</v>
      </c>
      <c r="F488" s="147" t="n">
        <v>60</v>
      </c>
      <c r="G488" s="160" t="n">
        <v>41.4</v>
      </c>
      <c r="H488" s="20"/>
      <c r="I488" s="158" t="s">
        <v>695</v>
      </c>
    </row>
    <row r="489" customFormat="false" ht="15" hidden="false" customHeight="true" outlineLevel="0" collapsed="false">
      <c r="A489" s="144" t="n">
        <v>46049</v>
      </c>
      <c r="B489" s="113"/>
      <c r="C489" s="159" t="s">
        <v>679</v>
      </c>
      <c r="D489" s="158" t="s">
        <v>220</v>
      </c>
      <c r="E489" s="147" t="n">
        <v>5</v>
      </c>
      <c r="F489" s="147" t="n">
        <v>50</v>
      </c>
      <c r="G489" s="160" t="n">
        <v>0.25</v>
      </c>
      <c r="H489" s="20"/>
      <c r="I489" s="158" t="s">
        <v>706</v>
      </c>
    </row>
    <row r="490" customFormat="false" ht="15" hidden="false" customHeight="true" outlineLevel="0" collapsed="false">
      <c r="A490" s="144" t="n">
        <v>46049</v>
      </c>
      <c r="B490" s="158" t="s">
        <v>743</v>
      </c>
      <c r="C490" s="159" t="s">
        <v>670</v>
      </c>
      <c r="D490" s="158" t="s">
        <v>191</v>
      </c>
      <c r="E490" s="147" t="n">
        <v>168</v>
      </c>
      <c r="F490" s="147" t="n">
        <v>9600</v>
      </c>
      <c r="G490" s="160" t="n">
        <v>1612.8</v>
      </c>
      <c r="H490" s="20"/>
      <c r="I490" s="113" t="s">
        <v>744</v>
      </c>
    </row>
    <row r="491" customFormat="false" ht="15" hidden="false" customHeight="true" outlineLevel="0" collapsed="false">
      <c r="A491" s="144" t="n">
        <v>46049</v>
      </c>
      <c r="B491" s="158" t="s">
        <v>732</v>
      </c>
      <c r="C491" s="159" t="s">
        <v>670</v>
      </c>
      <c r="D491" s="158" t="s">
        <v>242</v>
      </c>
      <c r="E491" s="147" t="n">
        <v>20</v>
      </c>
      <c r="F491" s="147" t="n">
        <v>360</v>
      </c>
      <c r="G491" s="160" t="n">
        <v>7.2</v>
      </c>
      <c r="H491" s="20"/>
      <c r="I491" s="158" t="s">
        <v>733</v>
      </c>
    </row>
    <row r="492" customFormat="false" ht="15" hidden="false" customHeight="true" outlineLevel="0" collapsed="false">
      <c r="A492" s="144" t="n">
        <v>46049</v>
      </c>
      <c r="B492" s="158" t="s">
        <v>732</v>
      </c>
      <c r="C492" s="159" t="s">
        <v>670</v>
      </c>
      <c r="D492" s="158" t="s">
        <v>240</v>
      </c>
      <c r="E492" s="147" t="n">
        <v>20</v>
      </c>
      <c r="F492" s="147" t="n">
        <v>360</v>
      </c>
      <c r="G492" s="160" t="n">
        <v>7.2</v>
      </c>
      <c r="H492" s="20"/>
      <c r="I492" s="158" t="s">
        <v>734</v>
      </c>
    </row>
    <row r="493" customFormat="false" ht="15" hidden="false" customHeight="true" outlineLevel="0" collapsed="false">
      <c r="A493" s="144" t="n">
        <v>46049</v>
      </c>
      <c r="B493" s="158" t="s">
        <v>732</v>
      </c>
      <c r="C493" s="159" t="s">
        <v>670</v>
      </c>
      <c r="D493" s="158" t="s">
        <v>241</v>
      </c>
      <c r="E493" s="147" t="n">
        <v>16</v>
      </c>
      <c r="F493" s="147" t="n">
        <v>360</v>
      </c>
      <c r="G493" s="160" t="n">
        <v>5.76</v>
      </c>
      <c r="H493" s="20"/>
      <c r="I493" s="158" t="s">
        <v>735</v>
      </c>
    </row>
    <row r="494" customFormat="false" ht="15" hidden="false" customHeight="true" outlineLevel="0" collapsed="false">
      <c r="A494" s="144" t="n">
        <v>46049</v>
      </c>
      <c r="B494" s="158" t="s">
        <v>732</v>
      </c>
      <c r="C494" s="159" t="s">
        <v>670</v>
      </c>
      <c r="D494" s="158" t="s">
        <v>246</v>
      </c>
      <c r="E494" s="147" t="n">
        <v>34</v>
      </c>
      <c r="F494" s="147" t="n">
        <v>360</v>
      </c>
      <c r="G494" s="160" t="n">
        <v>12.24</v>
      </c>
      <c r="H494" s="20"/>
      <c r="I494" s="158" t="s">
        <v>736</v>
      </c>
    </row>
    <row r="495" customFormat="false" ht="15" hidden="false" customHeight="true" outlineLevel="0" collapsed="false">
      <c r="A495" s="144" t="n">
        <v>46049</v>
      </c>
      <c r="B495" s="158" t="s">
        <v>732</v>
      </c>
      <c r="C495" s="159" t="s">
        <v>670</v>
      </c>
      <c r="D495" s="158" t="s">
        <v>243</v>
      </c>
      <c r="E495" s="147" t="n">
        <v>30</v>
      </c>
      <c r="F495" s="147" t="n">
        <v>360</v>
      </c>
      <c r="G495" s="160" t="n">
        <v>10.8</v>
      </c>
      <c r="H495" s="20"/>
      <c r="I495" s="158" t="s">
        <v>737</v>
      </c>
    </row>
    <row r="496" customFormat="false" ht="15" hidden="false" customHeight="true" outlineLevel="0" collapsed="false">
      <c r="A496" s="144" t="n">
        <v>46049</v>
      </c>
      <c r="B496" s="158" t="s">
        <v>732</v>
      </c>
      <c r="C496" s="159" t="s">
        <v>670</v>
      </c>
      <c r="D496" s="158" t="s">
        <v>244</v>
      </c>
      <c r="E496" s="147" t="n">
        <v>24</v>
      </c>
      <c r="F496" s="147" t="n">
        <v>360</v>
      </c>
      <c r="G496" s="160" t="n">
        <v>8.64</v>
      </c>
      <c r="H496" s="20"/>
      <c r="I496" s="158" t="s">
        <v>738</v>
      </c>
    </row>
    <row r="497" customFormat="false" ht="15" hidden="false" customHeight="true" outlineLevel="0" collapsed="false">
      <c r="A497" s="144" t="n">
        <v>46049</v>
      </c>
      <c r="B497" s="158" t="s">
        <v>669</v>
      </c>
      <c r="C497" s="159" t="s">
        <v>670</v>
      </c>
      <c r="D497" s="158" t="s">
        <v>206</v>
      </c>
      <c r="E497" s="147" t="n">
        <v>1</v>
      </c>
      <c r="F497" s="147" t="n">
        <v>15000</v>
      </c>
      <c r="G497" s="160" t="n">
        <v>15</v>
      </c>
      <c r="H497" s="20"/>
      <c r="I497" s="158" t="s">
        <v>676</v>
      </c>
    </row>
    <row r="498" customFormat="false" ht="15" hidden="false" customHeight="true" outlineLevel="0" collapsed="false">
      <c r="A498" s="144" t="n">
        <v>46049</v>
      </c>
      <c r="B498" s="158" t="s">
        <v>669</v>
      </c>
      <c r="C498" s="159" t="s">
        <v>670</v>
      </c>
      <c r="D498" s="158" t="s">
        <v>676</v>
      </c>
      <c r="E498" s="147" t="n">
        <v>1</v>
      </c>
      <c r="F498" s="147"/>
      <c r="G498" s="160" t="n">
        <v>15</v>
      </c>
      <c r="H498" s="20"/>
      <c r="I498" s="113"/>
    </row>
    <row r="499" customFormat="false" ht="15" hidden="false" customHeight="true" outlineLevel="0" collapsed="false">
      <c r="A499" s="144" t="n">
        <v>46050</v>
      </c>
      <c r="B499" s="113"/>
      <c r="C499" s="159" t="s">
        <v>679</v>
      </c>
      <c r="D499" s="158" t="s">
        <v>142</v>
      </c>
      <c r="E499" s="147" t="n">
        <v>5</v>
      </c>
      <c r="F499" s="147" t="n">
        <v>50</v>
      </c>
      <c r="G499" s="160" t="n">
        <v>0.25</v>
      </c>
      <c r="H499" s="20"/>
      <c r="I499" s="158" t="s">
        <v>706</v>
      </c>
    </row>
    <row r="500" customFormat="false" ht="15" hidden="false" customHeight="true" outlineLevel="0" collapsed="false">
      <c r="A500" s="144" t="n">
        <v>46050</v>
      </c>
      <c r="B500" s="113"/>
      <c r="C500" s="159" t="s">
        <v>679</v>
      </c>
      <c r="D500" s="158" t="s">
        <v>143</v>
      </c>
      <c r="E500" s="147" t="n">
        <v>6</v>
      </c>
      <c r="F500" s="147" t="n">
        <v>50</v>
      </c>
      <c r="G500" s="160" t="n">
        <v>6</v>
      </c>
      <c r="H500" s="20"/>
      <c r="I500" s="158" t="s">
        <v>682</v>
      </c>
    </row>
    <row r="501" customFormat="false" ht="15" hidden="false" customHeight="true" outlineLevel="0" collapsed="false">
      <c r="A501" s="144" t="n">
        <v>46050</v>
      </c>
      <c r="B501" s="113"/>
      <c r="C501" s="159" t="s">
        <v>679</v>
      </c>
      <c r="D501" s="158" t="s">
        <v>143</v>
      </c>
      <c r="E501" s="147" t="n">
        <v>1</v>
      </c>
      <c r="F501" s="147" t="n">
        <v>50</v>
      </c>
      <c r="G501" s="160" t="n">
        <v>2</v>
      </c>
      <c r="H501" s="20"/>
      <c r="I501" s="158" t="s">
        <v>683</v>
      </c>
    </row>
    <row r="502" customFormat="false" ht="15" hidden="false" customHeight="true" outlineLevel="0" collapsed="false">
      <c r="A502" s="144" t="n">
        <v>46050</v>
      </c>
      <c r="B502" s="113"/>
      <c r="C502" s="159" t="s">
        <v>679</v>
      </c>
      <c r="D502" s="158" t="s">
        <v>143</v>
      </c>
      <c r="E502" s="147" t="n">
        <v>5</v>
      </c>
      <c r="F502" s="147" t="n">
        <v>50</v>
      </c>
      <c r="G502" s="160" t="n">
        <v>0.25</v>
      </c>
      <c r="H502" s="20"/>
      <c r="I502" s="158" t="s">
        <v>684</v>
      </c>
    </row>
    <row r="503" customFormat="false" ht="15" hidden="false" customHeight="true" outlineLevel="0" collapsed="false">
      <c r="A503" s="144" t="n">
        <v>46050</v>
      </c>
      <c r="B503" s="113"/>
      <c r="C503" s="159" t="s">
        <v>679</v>
      </c>
      <c r="D503" s="158" t="s">
        <v>144</v>
      </c>
      <c r="E503" s="147" t="n">
        <v>9</v>
      </c>
      <c r="F503" s="147" t="n">
        <v>1000</v>
      </c>
      <c r="G503" s="160" t="n">
        <v>18</v>
      </c>
      <c r="H503" s="20"/>
      <c r="I503" s="158" t="s">
        <v>685</v>
      </c>
    </row>
    <row r="504" customFormat="false" ht="15" hidden="false" customHeight="true" outlineLevel="0" collapsed="false">
      <c r="A504" s="144" t="n">
        <v>46050</v>
      </c>
      <c r="B504" s="113"/>
      <c r="C504" s="159" t="s">
        <v>679</v>
      </c>
      <c r="D504" s="158" t="s">
        <v>145</v>
      </c>
      <c r="E504" s="147" t="n">
        <v>5</v>
      </c>
      <c r="F504" s="147" t="n">
        <v>50</v>
      </c>
      <c r="G504" s="160" t="n">
        <v>0.25</v>
      </c>
      <c r="H504" s="20"/>
      <c r="I504" s="158" t="s">
        <v>684</v>
      </c>
    </row>
    <row r="505" customFormat="false" ht="15" hidden="false" customHeight="true" outlineLevel="0" collapsed="false">
      <c r="A505" s="144" t="n">
        <v>46050</v>
      </c>
      <c r="B505" s="113"/>
      <c r="C505" s="159" t="s">
        <v>679</v>
      </c>
      <c r="D505" s="158" t="s">
        <v>146</v>
      </c>
      <c r="E505" s="147" t="n">
        <v>5</v>
      </c>
      <c r="F505" s="147" t="n">
        <v>50</v>
      </c>
      <c r="G505" s="160" t="n">
        <v>0.25</v>
      </c>
      <c r="H505" s="20"/>
      <c r="I505" s="158" t="s">
        <v>706</v>
      </c>
    </row>
    <row r="506" customFormat="false" ht="15" hidden="false" customHeight="true" outlineLevel="0" collapsed="false">
      <c r="A506" s="144" t="n">
        <v>46050</v>
      </c>
      <c r="B506" s="113"/>
      <c r="C506" s="159" t="s">
        <v>679</v>
      </c>
      <c r="D506" s="158" t="s">
        <v>147</v>
      </c>
      <c r="E506" s="147" t="n">
        <v>5</v>
      </c>
      <c r="F506" s="147" t="n">
        <v>50</v>
      </c>
      <c r="G506" s="160" t="n">
        <v>0.25</v>
      </c>
      <c r="H506" s="20"/>
      <c r="I506" s="158" t="s">
        <v>706</v>
      </c>
    </row>
    <row r="507" customFormat="false" ht="15" hidden="false" customHeight="true" outlineLevel="0" collapsed="false">
      <c r="A507" s="144" t="n">
        <v>46050</v>
      </c>
      <c r="B507" s="113"/>
      <c r="C507" s="159" t="s">
        <v>679</v>
      </c>
      <c r="D507" s="158" t="s">
        <v>148</v>
      </c>
      <c r="E507" s="147" t="n">
        <v>4</v>
      </c>
      <c r="F507" s="147" t="n">
        <v>50</v>
      </c>
      <c r="G507" s="160" t="n">
        <v>0.2</v>
      </c>
      <c r="H507" s="20"/>
      <c r="I507" s="158" t="s">
        <v>684</v>
      </c>
    </row>
    <row r="508" customFormat="false" ht="15" hidden="false" customHeight="true" outlineLevel="0" collapsed="false">
      <c r="A508" s="144" t="n">
        <v>46050</v>
      </c>
      <c r="B508" s="113"/>
      <c r="C508" s="159" t="s">
        <v>679</v>
      </c>
      <c r="D508" s="158" t="s">
        <v>155</v>
      </c>
      <c r="E508" s="147" t="n">
        <v>1</v>
      </c>
      <c r="F508" s="147" t="n">
        <v>80</v>
      </c>
      <c r="G508" s="160" t="n">
        <v>1.6</v>
      </c>
      <c r="H508" s="20"/>
      <c r="I508" s="113" t="s">
        <v>686</v>
      </c>
    </row>
    <row r="509" customFormat="false" ht="15" hidden="false" customHeight="true" outlineLevel="0" collapsed="false">
      <c r="A509" s="144" t="n">
        <v>46050</v>
      </c>
      <c r="B509" s="113"/>
      <c r="C509" s="159" t="s">
        <v>679</v>
      </c>
      <c r="D509" s="158" t="s">
        <v>159</v>
      </c>
      <c r="E509" s="147" t="n">
        <v>4</v>
      </c>
      <c r="F509" s="147" t="n">
        <v>50</v>
      </c>
      <c r="G509" s="160" t="n">
        <v>0.2</v>
      </c>
      <c r="H509" s="20"/>
      <c r="I509" s="158" t="s">
        <v>684</v>
      </c>
    </row>
    <row r="510" customFormat="false" ht="15" hidden="false" customHeight="true" outlineLevel="0" collapsed="false">
      <c r="A510" s="144" t="n">
        <v>46050</v>
      </c>
      <c r="B510" s="113"/>
      <c r="C510" s="159" t="s">
        <v>679</v>
      </c>
      <c r="D510" s="158" t="s">
        <v>161</v>
      </c>
      <c r="E510" s="147" t="n">
        <v>2</v>
      </c>
      <c r="F510" s="147" t="n">
        <v>1000</v>
      </c>
      <c r="G510" s="160" t="n">
        <v>2</v>
      </c>
      <c r="H510" s="20"/>
      <c r="I510" s="158" t="s">
        <v>707</v>
      </c>
    </row>
    <row r="511" customFormat="false" ht="15" hidden="false" customHeight="true" outlineLevel="0" collapsed="false">
      <c r="A511" s="144" t="n">
        <v>46050</v>
      </c>
      <c r="B511" s="113"/>
      <c r="C511" s="159" t="s">
        <v>679</v>
      </c>
      <c r="D511" s="158" t="s">
        <v>169</v>
      </c>
      <c r="E511" s="147" t="n">
        <v>2</v>
      </c>
      <c r="F511" s="147" t="n">
        <v>1000</v>
      </c>
      <c r="G511" s="160" t="n">
        <v>2</v>
      </c>
      <c r="H511" s="20"/>
      <c r="I511" s="158" t="s">
        <v>719</v>
      </c>
    </row>
    <row r="512" customFormat="false" ht="15" hidden="false" customHeight="true" outlineLevel="0" collapsed="false">
      <c r="A512" s="144" t="n">
        <v>46050</v>
      </c>
      <c r="B512" s="113"/>
      <c r="C512" s="159" t="s">
        <v>679</v>
      </c>
      <c r="D512" s="158" t="s">
        <v>174</v>
      </c>
      <c r="E512" s="147" t="n">
        <v>2</v>
      </c>
      <c r="F512" s="147" t="n">
        <v>1000</v>
      </c>
      <c r="G512" s="160" t="n">
        <v>2</v>
      </c>
      <c r="H512" s="20"/>
      <c r="I512" s="158" t="s">
        <v>687</v>
      </c>
    </row>
    <row r="513" customFormat="false" ht="15" hidden="false" customHeight="true" outlineLevel="0" collapsed="false">
      <c r="A513" s="144" t="n">
        <v>46050</v>
      </c>
      <c r="B513" s="113"/>
      <c r="C513" s="159" t="s">
        <v>679</v>
      </c>
      <c r="D513" s="158" t="s">
        <v>174</v>
      </c>
      <c r="E513" s="147" t="n">
        <v>1</v>
      </c>
      <c r="F513" s="147" t="n">
        <v>1000</v>
      </c>
      <c r="G513" s="160" t="n">
        <v>1</v>
      </c>
      <c r="H513" s="20"/>
      <c r="I513" s="158" t="s">
        <v>745</v>
      </c>
    </row>
    <row r="514" customFormat="false" ht="15" hidden="false" customHeight="true" outlineLevel="0" collapsed="false">
      <c r="A514" s="144" t="n">
        <v>46050</v>
      </c>
      <c r="B514" s="113"/>
      <c r="C514" s="159" t="s">
        <v>679</v>
      </c>
      <c r="D514" s="158" t="s">
        <v>179</v>
      </c>
      <c r="E514" s="147" t="n">
        <v>1</v>
      </c>
      <c r="F514" s="147" t="n">
        <v>40</v>
      </c>
      <c r="G514" s="160" t="n">
        <v>0.8</v>
      </c>
      <c r="H514" s="20"/>
      <c r="I514" s="158" t="s">
        <v>688</v>
      </c>
    </row>
    <row r="515" customFormat="false" ht="15" hidden="false" customHeight="true" outlineLevel="0" collapsed="false">
      <c r="A515" s="144" t="n">
        <v>46050</v>
      </c>
      <c r="B515" s="113"/>
      <c r="C515" s="159" t="s">
        <v>679</v>
      </c>
      <c r="D515" s="158" t="s">
        <v>183</v>
      </c>
      <c r="E515" s="147" t="n">
        <v>7</v>
      </c>
      <c r="F515" s="147" t="n">
        <v>60</v>
      </c>
      <c r="G515" s="160" t="n">
        <v>12.6</v>
      </c>
      <c r="H515" s="20"/>
      <c r="I515" s="158" t="s">
        <v>689</v>
      </c>
    </row>
    <row r="516" customFormat="false" ht="15" hidden="false" customHeight="true" outlineLevel="0" collapsed="false">
      <c r="A516" s="144" t="n">
        <v>46050</v>
      </c>
      <c r="B516" s="113"/>
      <c r="C516" s="159" t="s">
        <v>679</v>
      </c>
      <c r="D516" s="158" t="s">
        <v>184</v>
      </c>
      <c r="E516" s="147" t="n">
        <v>2</v>
      </c>
      <c r="F516" s="147" t="n">
        <v>50</v>
      </c>
      <c r="G516" s="160" t="n">
        <v>2</v>
      </c>
      <c r="H516" s="20"/>
      <c r="I516" s="158" t="s">
        <v>690</v>
      </c>
    </row>
    <row r="517" customFormat="false" ht="15" hidden="false" customHeight="true" outlineLevel="0" collapsed="false">
      <c r="A517" s="144" t="n">
        <v>46050</v>
      </c>
      <c r="B517" s="113"/>
      <c r="C517" s="159" t="s">
        <v>679</v>
      </c>
      <c r="D517" s="158" t="s">
        <v>184</v>
      </c>
      <c r="E517" s="147" t="n">
        <v>5</v>
      </c>
      <c r="F517" s="147" t="n">
        <v>50</v>
      </c>
      <c r="G517" s="160" t="n">
        <v>0.25</v>
      </c>
      <c r="H517" s="20"/>
      <c r="I517" s="158" t="s">
        <v>684</v>
      </c>
    </row>
    <row r="518" customFormat="false" ht="15" hidden="false" customHeight="true" outlineLevel="0" collapsed="false">
      <c r="A518" s="144" t="n">
        <v>46050</v>
      </c>
      <c r="B518" s="113"/>
      <c r="C518" s="159" t="s">
        <v>679</v>
      </c>
      <c r="D518" s="158" t="s">
        <v>186</v>
      </c>
      <c r="E518" s="147" t="n">
        <v>4</v>
      </c>
      <c r="F518" s="147" t="n">
        <v>50</v>
      </c>
      <c r="G518" s="160" t="n">
        <v>0.2</v>
      </c>
      <c r="H518" s="20"/>
      <c r="I518" s="158" t="s">
        <v>684</v>
      </c>
    </row>
    <row r="519" customFormat="false" ht="15" hidden="false" customHeight="true" outlineLevel="0" collapsed="false">
      <c r="A519" s="144" t="n">
        <v>46050</v>
      </c>
      <c r="B519" s="113"/>
      <c r="C519" s="159" t="s">
        <v>679</v>
      </c>
      <c r="D519" s="158" t="s">
        <v>192</v>
      </c>
      <c r="E519" s="147" t="n">
        <v>5</v>
      </c>
      <c r="F519" s="147" t="n">
        <v>50</v>
      </c>
      <c r="G519" s="160" t="n">
        <v>0.25</v>
      </c>
      <c r="H519" s="20"/>
      <c r="I519" s="158" t="s">
        <v>684</v>
      </c>
    </row>
    <row r="520" customFormat="false" ht="15" hidden="false" customHeight="true" outlineLevel="0" collapsed="false">
      <c r="A520" s="144" t="n">
        <v>46050</v>
      </c>
      <c r="B520" s="113"/>
      <c r="C520" s="159" t="s">
        <v>679</v>
      </c>
      <c r="D520" s="158" t="s">
        <v>195</v>
      </c>
      <c r="E520" s="147" t="n">
        <v>4</v>
      </c>
      <c r="F520" s="147" t="n">
        <v>50</v>
      </c>
      <c r="G520" s="160" t="n">
        <v>0.2</v>
      </c>
      <c r="H520" s="20"/>
      <c r="I520" s="158" t="s">
        <v>684</v>
      </c>
    </row>
    <row r="521" customFormat="false" ht="15" hidden="false" customHeight="true" outlineLevel="0" collapsed="false">
      <c r="A521" s="144" t="n">
        <v>46050</v>
      </c>
      <c r="B521" s="113"/>
      <c r="C521" s="159" t="s">
        <v>679</v>
      </c>
      <c r="D521" s="158" t="s">
        <v>222</v>
      </c>
      <c r="E521" s="147" t="n">
        <v>3</v>
      </c>
      <c r="F521" s="147" t="n">
        <v>40</v>
      </c>
      <c r="G521" s="160" t="n">
        <v>2.4</v>
      </c>
      <c r="H521" s="20"/>
      <c r="I521" s="158" t="s">
        <v>692</v>
      </c>
    </row>
    <row r="522" customFormat="false" ht="15" hidden="false" customHeight="true" outlineLevel="0" collapsed="false">
      <c r="A522" s="144" t="n">
        <v>46050</v>
      </c>
      <c r="B522" s="113"/>
      <c r="C522" s="159" t="s">
        <v>679</v>
      </c>
      <c r="D522" s="158" t="s">
        <v>221</v>
      </c>
      <c r="E522" s="147" t="n">
        <v>1</v>
      </c>
      <c r="F522" s="147" t="n">
        <v>40</v>
      </c>
      <c r="G522" s="160" t="n">
        <v>0.8</v>
      </c>
      <c r="H522" s="20"/>
      <c r="I522" s="158" t="s">
        <v>693</v>
      </c>
    </row>
    <row r="523" customFormat="false" ht="15" hidden="false" customHeight="true" outlineLevel="0" collapsed="false">
      <c r="A523" s="144" t="n">
        <v>46050</v>
      </c>
      <c r="B523" s="113"/>
      <c r="C523" s="159" t="s">
        <v>679</v>
      </c>
      <c r="D523" s="158" t="s">
        <v>204</v>
      </c>
      <c r="E523" s="147" t="n">
        <v>1</v>
      </c>
      <c r="F523" s="147" t="n">
        <v>60</v>
      </c>
      <c r="G523" s="160" t="n">
        <v>0.9</v>
      </c>
      <c r="H523" s="20"/>
      <c r="I523" s="158" t="s">
        <v>745</v>
      </c>
    </row>
    <row r="524" customFormat="false" ht="15" hidden="false" customHeight="true" outlineLevel="0" collapsed="false">
      <c r="A524" s="144" t="n">
        <v>46050</v>
      </c>
      <c r="B524" s="113"/>
      <c r="C524" s="159" t="s">
        <v>679</v>
      </c>
      <c r="D524" s="158" t="s">
        <v>204</v>
      </c>
      <c r="E524" s="147" t="n">
        <v>36</v>
      </c>
      <c r="F524" s="147" t="n">
        <v>60</v>
      </c>
      <c r="G524" s="160" t="n">
        <v>64.8</v>
      </c>
      <c r="H524" s="20"/>
      <c r="I524" s="158" t="s">
        <v>694</v>
      </c>
    </row>
    <row r="525" customFormat="false" ht="15" hidden="false" customHeight="true" outlineLevel="0" collapsed="false">
      <c r="A525" s="144" t="n">
        <v>46050</v>
      </c>
      <c r="B525" s="113"/>
      <c r="C525" s="159" t="s">
        <v>679</v>
      </c>
      <c r="D525" s="158" t="s">
        <v>236</v>
      </c>
      <c r="E525" s="147" t="n">
        <v>1</v>
      </c>
      <c r="F525" s="147" t="n">
        <v>60</v>
      </c>
      <c r="G525" s="160" t="n">
        <v>0.9</v>
      </c>
      <c r="H525" s="20"/>
      <c r="I525" s="158" t="s">
        <v>745</v>
      </c>
    </row>
    <row r="526" customFormat="false" ht="15" hidden="false" customHeight="true" outlineLevel="0" collapsed="false">
      <c r="A526" s="144" t="n">
        <v>46050</v>
      </c>
      <c r="B526" s="113"/>
      <c r="C526" s="159" t="s">
        <v>679</v>
      </c>
      <c r="D526" s="158" t="s">
        <v>236</v>
      </c>
      <c r="E526" s="147" t="n">
        <v>27</v>
      </c>
      <c r="F526" s="147" t="n">
        <v>60</v>
      </c>
      <c r="G526" s="160" t="n">
        <v>48.6</v>
      </c>
      <c r="H526" s="20"/>
      <c r="I526" s="158" t="s">
        <v>695</v>
      </c>
    </row>
    <row r="527" customFormat="false" ht="15" hidden="false" customHeight="true" outlineLevel="0" collapsed="false">
      <c r="A527" s="144" t="n">
        <v>46050</v>
      </c>
      <c r="B527" s="113"/>
      <c r="C527" s="159" t="s">
        <v>679</v>
      </c>
      <c r="D527" s="158" t="s">
        <v>206</v>
      </c>
      <c r="E527" s="147" t="n">
        <v>1</v>
      </c>
      <c r="F527" s="147" t="n">
        <v>30</v>
      </c>
      <c r="G527" s="160" t="n">
        <v>1.8</v>
      </c>
      <c r="H527" s="20"/>
      <c r="I527" s="158" t="s">
        <v>696</v>
      </c>
    </row>
    <row r="528" customFormat="false" ht="15" hidden="false" customHeight="true" outlineLevel="0" collapsed="false">
      <c r="A528" s="144" t="n">
        <v>46050</v>
      </c>
      <c r="B528" s="113"/>
      <c r="C528" s="159" t="s">
        <v>679</v>
      </c>
      <c r="D528" s="158" t="s">
        <v>219</v>
      </c>
      <c r="E528" s="147" t="n">
        <v>4</v>
      </c>
      <c r="F528" s="147" t="n">
        <v>50</v>
      </c>
      <c r="G528" s="160" t="n">
        <v>0.2</v>
      </c>
      <c r="H528" s="20"/>
      <c r="I528" s="158" t="s">
        <v>684</v>
      </c>
    </row>
    <row r="529" customFormat="false" ht="15" hidden="false" customHeight="true" outlineLevel="0" collapsed="false">
      <c r="A529" s="144" t="n">
        <v>46050</v>
      </c>
      <c r="B529" s="113"/>
      <c r="C529" s="159" t="s">
        <v>679</v>
      </c>
      <c r="D529" s="158" t="s">
        <v>220</v>
      </c>
      <c r="E529" s="147" t="n">
        <v>5</v>
      </c>
      <c r="F529" s="147" t="n">
        <v>50</v>
      </c>
      <c r="G529" s="160" t="n">
        <v>0.25</v>
      </c>
      <c r="H529" s="20"/>
      <c r="I529" s="158" t="s">
        <v>706</v>
      </c>
    </row>
    <row r="530" customFormat="false" ht="15" hidden="false" customHeight="true" outlineLevel="0" collapsed="false">
      <c r="A530" s="144" t="n">
        <v>46050</v>
      </c>
      <c r="B530" s="158" t="s">
        <v>732</v>
      </c>
      <c r="C530" s="159" t="s">
        <v>670</v>
      </c>
      <c r="D530" s="158" t="s">
        <v>242</v>
      </c>
      <c r="E530" s="147" t="n">
        <v>7</v>
      </c>
      <c r="F530" s="147" t="n">
        <v>360</v>
      </c>
      <c r="G530" s="160" t="n">
        <v>2.52</v>
      </c>
      <c r="H530" s="20"/>
      <c r="I530" s="158" t="s">
        <v>733</v>
      </c>
    </row>
    <row r="531" customFormat="false" ht="15" hidden="false" customHeight="true" outlineLevel="0" collapsed="false">
      <c r="A531" s="144" t="n">
        <v>46050</v>
      </c>
      <c r="B531" s="158" t="s">
        <v>732</v>
      </c>
      <c r="C531" s="159" t="s">
        <v>670</v>
      </c>
      <c r="D531" s="158" t="s">
        <v>240</v>
      </c>
      <c r="E531" s="147" t="n">
        <v>8</v>
      </c>
      <c r="F531" s="147" t="n">
        <v>360</v>
      </c>
      <c r="G531" s="160" t="n">
        <v>2.88</v>
      </c>
      <c r="H531" s="20"/>
      <c r="I531" s="158" t="s">
        <v>734</v>
      </c>
    </row>
    <row r="532" customFormat="false" ht="15" hidden="false" customHeight="true" outlineLevel="0" collapsed="false">
      <c r="A532" s="144" t="n">
        <v>46050</v>
      </c>
      <c r="B532" s="158" t="s">
        <v>732</v>
      </c>
      <c r="C532" s="159" t="s">
        <v>670</v>
      </c>
      <c r="D532" s="158" t="s">
        <v>241</v>
      </c>
      <c r="E532" s="147" t="n">
        <v>7</v>
      </c>
      <c r="F532" s="147" t="n">
        <v>360</v>
      </c>
      <c r="G532" s="160" t="n">
        <v>2.52</v>
      </c>
      <c r="H532" s="20"/>
      <c r="I532" s="158" t="s">
        <v>735</v>
      </c>
    </row>
    <row r="533" customFormat="false" ht="15" hidden="false" customHeight="true" outlineLevel="0" collapsed="false">
      <c r="A533" s="144" t="n">
        <v>46050</v>
      </c>
      <c r="B533" s="158" t="s">
        <v>732</v>
      </c>
      <c r="C533" s="159" t="s">
        <v>670</v>
      </c>
      <c r="D533" s="158" t="s">
        <v>243</v>
      </c>
      <c r="E533" s="147" t="n">
        <v>18</v>
      </c>
      <c r="F533" s="147" t="n">
        <v>360</v>
      </c>
      <c r="G533" s="160" t="n">
        <v>6.48</v>
      </c>
      <c r="H533" s="20"/>
      <c r="I533" s="158" t="s">
        <v>737</v>
      </c>
    </row>
    <row r="534" customFormat="false" ht="15" hidden="false" customHeight="true" outlineLevel="0" collapsed="false">
      <c r="A534" s="144" t="n">
        <v>46050</v>
      </c>
      <c r="B534" s="158" t="s">
        <v>732</v>
      </c>
      <c r="C534" s="159" t="s">
        <v>670</v>
      </c>
      <c r="D534" s="158" t="s">
        <v>244</v>
      </c>
      <c r="E534" s="147" t="n">
        <v>2</v>
      </c>
      <c r="F534" s="147" t="n">
        <v>360</v>
      </c>
      <c r="G534" s="160" t="n">
        <v>0.72</v>
      </c>
      <c r="H534" s="20"/>
      <c r="I534" s="158" t="s">
        <v>738</v>
      </c>
    </row>
    <row r="535" customFormat="false" ht="15" hidden="false" customHeight="true" outlineLevel="0" collapsed="false">
      <c r="A535" s="144" t="n">
        <v>46050</v>
      </c>
      <c r="B535" s="158" t="s">
        <v>746</v>
      </c>
      <c r="C535" s="159" t="s">
        <v>670</v>
      </c>
      <c r="D535" s="158" t="s">
        <v>242</v>
      </c>
      <c r="E535" s="147" t="n">
        <v>39</v>
      </c>
      <c r="F535" s="147" t="n">
        <v>360</v>
      </c>
      <c r="G535" s="160" t="n">
        <v>14.04</v>
      </c>
      <c r="H535" s="20"/>
      <c r="I535" s="158" t="s">
        <v>747</v>
      </c>
    </row>
    <row r="536" customFormat="false" ht="15" hidden="false" customHeight="true" outlineLevel="0" collapsed="false">
      <c r="A536" s="144" t="n">
        <v>46050</v>
      </c>
      <c r="B536" s="158" t="s">
        <v>746</v>
      </c>
      <c r="C536" s="159" t="s">
        <v>670</v>
      </c>
      <c r="D536" s="158" t="s">
        <v>240</v>
      </c>
      <c r="E536" s="147" t="n">
        <v>57</v>
      </c>
      <c r="F536" s="147" t="n">
        <v>360</v>
      </c>
      <c r="G536" s="160" t="n">
        <v>20.52</v>
      </c>
      <c r="H536" s="20"/>
      <c r="I536" s="158" t="s">
        <v>748</v>
      </c>
    </row>
    <row r="537" customFormat="false" ht="15" hidden="false" customHeight="true" outlineLevel="0" collapsed="false">
      <c r="A537" s="144" t="n">
        <v>46050</v>
      </c>
      <c r="B537" s="158" t="s">
        <v>746</v>
      </c>
      <c r="C537" s="159" t="s">
        <v>670</v>
      </c>
      <c r="D537" s="158" t="s">
        <v>241</v>
      </c>
      <c r="E537" s="147" t="n">
        <v>37</v>
      </c>
      <c r="F537" s="147" t="n">
        <v>360</v>
      </c>
      <c r="G537" s="160" t="n">
        <v>13.32</v>
      </c>
      <c r="H537" s="20"/>
      <c r="I537" s="158" t="s">
        <v>749</v>
      </c>
    </row>
    <row r="538" customFormat="false" ht="15" hidden="false" customHeight="true" outlineLevel="0" collapsed="false">
      <c r="A538" s="144" t="n">
        <v>46050</v>
      </c>
      <c r="B538" s="158" t="s">
        <v>746</v>
      </c>
      <c r="C538" s="159" t="s">
        <v>670</v>
      </c>
      <c r="D538" s="158" t="s">
        <v>246</v>
      </c>
      <c r="E538" s="147" t="n">
        <v>41</v>
      </c>
      <c r="F538" s="147" t="n">
        <v>360</v>
      </c>
      <c r="G538" s="160" t="n">
        <v>14.76</v>
      </c>
      <c r="H538" s="20"/>
      <c r="I538" s="158" t="s">
        <v>750</v>
      </c>
    </row>
    <row r="539" customFormat="false" ht="15" hidden="false" customHeight="true" outlineLevel="0" collapsed="false">
      <c r="A539" s="144" t="n">
        <v>46050</v>
      </c>
      <c r="B539" s="158" t="s">
        <v>746</v>
      </c>
      <c r="C539" s="159" t="s">
        <v>670</v>
      </c>
      <c r="D539" s="158" t="s">
        <v>243</v>
      </c>
      <c r="E539" s="147" t="n">
        <v>35</v>
      </c>
      <c r="F539" s="147" t="n">
        <v>360</v>
      </c>
      <c r="G539" s="160" t="n">
        <v>12.6</v>
      </c>
      <c r="H539" s="20"/>
      <c r="I539" s="158" t="s">
        <v>751</v>
      </c>
    </row>
    <row r="540" customFormat="false" ht="15" hidden="false" customHeight="true" outlineLevel="0" collapsed="false">
      <c r="A540" s="144" t="n">
        <v>46050</v>
      </c>
      <c r="B540" s="158" t="s">
        <v>746</v>
      </c>
      <c r="C540" s="159" t="s">
        <v>670</v>
      </c>
      <c r="D540" s="158" t="s">
        <v>244</v>
      </c>
      <c r="E540" s="147" t="n">
        <v>38</v>
      </c>
      <c r="F540" s="147" t="n">
        <v>360</v>
      </c>
      <c r="G540" s="160" t="n">
        <v>13.68</v>
      </c>
      <c r="H540" s="20"/>
      <c r="I540" s="158" t="s">
        <v>752</v>
      </c>
    </row>
    <row r="541" customFormat="false" ht="15" hidden="false" customHeight="true" outlineLevel="0" collapsed="false">
      <c r="A541" s="144" t="n">
        <v>46051</v>
      </c>
      <c r="B541" s="113"/>
      <c r="C541" s="159" t="s">
        <v>679</v>
      </c>
      <c r="D541" s="113" t="s">
        <v>267</v>
      </c>
      <c r="E541" s="147" t="n">
        <v>1</v>
      </c>
      <c r="F541" s="147" t="n">
        <v>60</v>
      </c>
      <c r="G541" s="160" t="n">
        <v>1.2</v>
      </c>
      <c r="H541" s="20"/>
      <c r="I541" s="113" t="s">
        <v>705</v>
      </c>
    </row>
    <row r="542" customFormat="false" ht="15" hidden="false" customHeight="true" outlineLevel="0" collapsed="false">
      <c r="A542" s="144" t="n">
        <v>46051</v>
      </c>
      <c r="B542" s="113"/>
      <c r="C542" s="159" t="s">
        <v>679</v>
      </c>
      <c r="D542" s="158" t="s">
        <v>142</v>
      </c>
      <c r="E542" s="147" t="n">
        <v>2</v>
      </c>
      <c r="F542" s="147" t="n">
        <v>50</v>
      </c>
      <c r="G542" s="160" t="n">
        <v>2</v>
      </c>
      <c r="H542" s="20"/>
      <c r="I542" s="158" t="s">
        <v>680</v>
      </c>
    </row>
    <row r="543" customFormat="false" ht="15" hidden="false" customHeight="true" outlineLevel="0" collapsed="false">
      <c r="A543" s="144" t="n">
        <v>46051</v>
      </c>
      <c r="B543" s="113"/>
      <c r="C543" s="159" t="s">
        <v>679</v>
      </c>
      <c r="D543" s="158" t="s">
        <v>143</v>
      </c>
      <c r="E543" s="147" t="n">
        <v>10</v>
      </c>
      <c r="F543" s="147" t="n">
        <v>50</v>
      </c>
      <c r="G543" s="160" t="n">
        <v>10</v>
      </c>
      <c r="H543" s="20"/>
      <c r="I543" s="158" t="s">
        <v>682</v>
      </c>
    </row>
    <row r="544" customFormat="false" ht="15" hidden="false" customHeight="true" outlineLevel="0" collapsed="false">
      <c r="A544" s="144" t="n">
        <v>46051</v>
      </c>
      <c r="B544" s="113"/>
      <c r="C544" s="159" t="s">
        <v>679</v>
      </c>
      <c r="D544" s="158" t="s">
        <v>143</v>
      </c>
      <c r="E544" s="147" t="n">
        <v>2</v>
      </c>
      <c r="F544" s="147" t="n">
        <v>50</v>
      </c>
      <c r="G544" s="160" t="n">
        <v>4</v>
      </c>
      <c r="H544" s="20"/>
      <c r="I544" s="158" t="s">
        <v>683</v>
      </c>
    </row>
    <row r="545" customFormat="false" ht="15" hidden="false" customHeight="true" outlineLevel="0" collapsed="false">
      <c r="A545" s="144" t="n">
        <v>46051</v>
      </c>
      <c r="B545" s="113"/>
      <c r="C545" s="159" t="s">
        <v>679</v>
      </c>
      <c r="D545" s="158" t="s">
        <v>143</v>
      </c>
      <c r="E545" s="147" t="n">
        <v>3</v>
      </c>
      <c r="F545" s="147" t="n">
        <v>50</v>
      </c>
      <c r="G545" s="160" t="n">
        <v>0.15</v>
      </c>
      <c r="H545" s="20"/>
      <c r="I545" s="158" t="s">
        <v>713</v>
      </c>
    </row>
    <row r="546" customFormat="false" ht="15" hidden="false" customHeight="true" outlineLevel="0" collapsed="false">
      <c r="A546" s="144" t="n">
        <v>46051</v>
      </c>
      <c r="B546" s="113"/>
      <c r="C546" s="159" t="s">
        <v>679</v>
      </c>
      <c r="D546" s="158" t="s">
        <v>144</v>
      </c>
      <c r="E546" s="147" t="n">
        <v>7</v>
      </c>
      <c r="F546" s="147" t="n">
        <v>1000</v>
      </c>
      <c r="G546" s="160" t="n">
        <v>14</v>
      </c>
      <c r="H546" s="20"/>
      <c r="I546" s="158" t="s">
        <v>685</v>
      </c>
    </row>
    <row r="547" customFormat="false" ht="15" hidden="false" customHeight="true" outlineLevel="0" collapsed="false">
      <c r="A547" s="144" t="n">
        <v>46051</v>
      </c>
      <c r="B547" s="113"/>
      <c r="C547" s="159" t="s">
        <v>679</v>
      </c>
      <c r="D547" s="158" t="s">
        <v>145</v>
      </c>
      <c r="E547" s="147" t="n">
        <v>2</v>
      </c>
      <c r="F547" s="147" t="n">
        <v>50</v>
      </c>
      <c r="G547" s="160" t="n">
        <v>0.1</v>
      </c>
      <c r="H547" s="20"/>
      <c r="I547" s="158" t="s">
        <v>713</v>
      </c>
    </row>
    <row r="548" customFormat="false" ht="15" hidden="false" customHeight="true" outlineLevel="0" collapsed="false">
      <c r="A548" s="144" t="n">
        <v>46051</v>
      </c>
      <c r="B548" s="113"/>
      <c r="C548" s="159" t="s">
        <v>679</v>
      </c>
      <c r="D548" s="158" t="s">
        <v>148</v>
      </c>
      <c r="E548" s="147" t="n">
        <v>2</v>
      </c>
      <c r="F548" s="147" t="n">
        <v>50</v>
      </c>
      <c r="G548" s="160" t="n">
        <v>0.1</v>
      </c>
      <c r="H548" s="20"/>
      <c r="I548" s="158" t="s">
        <v>713</v>
      </c>
    </row>
    <row r="549" customFormat="false" ht="15" hidden="false" customHeight="true" outlineLevel="0" collapsed="false">
      <c r="A549" s="144" t="n">
        <v>46051</v>
      </c>
      <c r="B549" s="113"/>
      <c r="C549" s="159" t="s">
        <v>679</v>
      </c>
      <c r="D549" s="158" t="s">
        <v>155</v>
      </c>
      <c r="E549" s="147" t="n">
        <v>5</v>
      </c>
      <c r="F549" s="147" t="n">
        <v>80</v>
      </c>
      <c r="G549" s="160" t="n">
        <v>8</v>
      </c>
      <c r="H549" s="20"/>
      <c r="I549" s="113" t="s">
        <v>686</v>
      </c>
    </row>
    <row r="550" customFormat="false" ht="15" hidden="false" customHeight="true" outlineLevel="0" collapsed="false">
      <c r="A550" s="144" t="n">
        <v>46051</v>
      </c>
      <c r="B550" s="113"/>
      <c r="C550" s="159" t="s">
        <v>679</v>
      </c>
      <c r="D550" s="158" t="s">
        <v>159</v>
      </c>
      <c r="E550" s="147" t="n">
        <v>2</v>
      </c>
      <c r="F550" s="147" t="n">
        <v>50</v>
      </c>
      <c r="G550" s="160" t="n">
        <v>0.1</v>
      </c>
      <c r="H550" s="20"/>
      <c r="I550" s="158" t="s">
        <v>713</v>
      </c>
    </row>
    <row r="551" customFormat="false" ht="15" hidden="false" customHeight="true" outlineLevel="0" collapsed="false">
      <c r="A551" s="144" t="n">
        <v>46051</v>
      </c>
      <c r="B551" s="113"/>
      <c r="C551" s="159" t="s">
        <v>679</v>
      </c>
      <c r="D551" s="158" t="s">
        <v>169</v>
      </c>
      <c r="E551" s="147" t="n">
        <v>2</v>
      </c>
      <c r="F551" s="147" t="n">
        <v>1000</v>
      </c>
      <c r="G551" s="160" t="n">
        <v>2</v>
      </c>
      <c r="H551" s="20"/>
      <c r="I551" s="158" t="s">
        <v>719</v>
      </c>
    </row>
    <row r="552" customFormat="false" ht="15" hidden="false" customHeight="true" outlineLevel="0" collapsed="false">
      <c r="A552" s="144" t="n">
        <v>46051</v>
      </c>
      <c r="B552" s="113"/>
      <c r="C552" s="159" t="s">
        <v>679</v>
      </c>
      <c r="D552" s="158" t="s">
        <v>173</v>
      </c>
      <c r="E552" s="147" t="n">
        <v>2</v>
      </c>
      <c r="F552" s="147" t="n">
        <v>50</v>
      </c>
      <c r="G552" s="160" t="n">
        <v>1</v>
      </c>
      <c r="H552" s="20"/>
      <c r="I552" s="158" t="s">
        <v>728</v>
      </c>
    </row>
    <row r="553" customFormat="false" ht="15" hidden="false" customHeight="true" outlineLevel="0" collapsed="false">
      <c r="A553" s="144" t="n">
        <v>46051</v>
      </c>
      <c r="B553" s="113"/>
      <c r="C553" s="159" t="s">
        <v>679</v>
      </c>
      <c r="D553" s="158" t="s">
        <v>174</v>
      </c>
      <c r="E553" s="147" t="n">
        <v>4</v>
      </c>
      <c r="F553" s="147" t="n">
        <v>1000</v>
      </c>
      <c r="G553" s="160" t="n">
        <v>4</v>
      </c>
      <c r="H553" s="20"/>
      <c r="I553" s="158" t="s">
        <v>687</v>
      </c>
    </row>
    <row r="554" customFormat="false" ht="15" hidden="false" customHeight="true" outlineLevel="0" collapsed="false">
      <c r="A554" s="144" t="n">
        <v>46051</v>
      </c>
      <c r="B554" s="113"/>
      <c r="C554" s="159" t="s">
        <v>679</v>
      </c>
      <c r="D554" s="158" t="s">
        <v>179</v>
      </c>
      <c r="E554" s="147" t="n">
        <v>1</v>
      </c>
      <c r="F554" s="147" t="n">
        <v>40</v>
      </c>
      <c r="G554" s="160" t="n">
        <v>0.8</v>
      </c>
      <c r="H554" s="20"/>
      <c r="I554" s="158" t="s">
        <v>688</v>
      </c>
    </row>
    <row r="555" customFormat="false" ht="15" hidden="false" customHeight="true" outlineLevel="0" collapsed="false">
      <c r="A555" s="144" t="n">
        <v>46051</v>
      </c>
      <c r="B555" s="113"/>
      <c r="C555" s="159" t="s">
        <v>679</v>
      </c>
      <c r="D555" s="158" t="s">
        <v>181</v>
      </c>
      <c r="E555" s="147" t="n">
        <v>8</v>
      </c>
      <c r="F555" s="147" t="n">
        <v>1000</v>
      </c>
      <c r="G555" s="160" t="n">
        <v>8</v>
      </c>
      <c r="H555" s="20"/>
      <c r="I555" s="113" t="s">
        <v>718</v>
      </c>
    </row>
    <row r="556" customFormat="false" ht="15" hidden="false" customHeight="true" outlineLevel="0" collapsed="false">
      <c r="A556" s="144" t="n">
        <v>46051</v>
      </c>
      <c r="B556" s="113"/>
      <c r="C556" s="159" t="s">
        <v>679</v>
      </c>
      <c r="D556" s="158" t="s">
        <v>183</v>
      </c>
      <c r="E556" s="147" t="n">
        <v>4</v>
      </c>
      <c r="F556" s="147" t="n">
        <v>60</v>
      </c>
      <c r="G556" s="160" t="n">
        <v>7.2</v>
      </c>
      <c r="H556" s="20"/>
      <c r="I556" s="158" t="s">
        <v>689</v>
      </c>
    </row>
    <row r="557" customFormat="false" ht="15" hidden="false" customHeight="true" outlineLevel="0" collapsed="false">
      <c r="A557" s="144" t="n">
        <v>46051</v>
      </c>
      <c r="B557" s="113"/>
      <c r="C557" s="159" t="s">
        <v>679</v>
      </c>
      <c r="D557" s="158" t="s">
        <v>184</v>
      </c>
      <c r="E557" s="147" t="n">
        <v>3</v>
      </c>
      <c r="F557" s="147" t="n">
        <v>50</v>
      </c>
      <c r="G557" s="160" t="n">
        <v>0.15</v>
      </c>
      <c r="H557" s="20"/>
      <c r="I557" s="158" t="s">
        <v>713</v>
      </c>
    </row>
    <row r="558" customFormat="false" ht="15" hidden="false" customHeight="true" outlineLevel="0" collapsed="false">
      <c r="A558" s="144" t="n">
        <v>46051</v>
      </c>
      <c r="B558" s="113"/>
      <c r="C558" s="159" t="s">
        <v>679</v>
      </c>
      <c r="D558" s="158" t="s">
        <v>186</v>
      </c>
      <c r="E558" s="147" t="n">
        <v>2</v>
      </c>
      <c r="F558" s="147" t="n">
        <v>50</v>
      </c>
      <c r="G558" s="160" t="n">
        <v>0.1</v>
      </c>
      <c r="H558" s="20"/>
      <c r="I558" s="158" t="s">
        <v>713</v>
      </c>
    </row>
    <row r="559" customFormat="false" ht="15" hidden="false" customHeight="true" outlineLevel="0" collapsed="false">
      <c r="A559" s="144" t="n">
        <v>46051</v>
      </c>
      <c r="B559" s="113"/>
      <c r="C559" s="159" t="s">
        <v>679</v>
      </c>
      <c r="D559" s="158" t="s">
        <v>192</v>
      </c>
      <c r="E559" s="147" t="n">
        <v>2</v>
      </c>
      <c r="F559" s="147" t="n">
        <v>50</v>
      </c>
      <c r="G559" s="160" t="n">
        <v>0.1</v>
      </c>
      <c r="H559" s="20"/>
      <c r="I559" s="158" t="s">
        <v>713</v>
      </c>
    </row>
    <row r="560" customFormat="false" ht="15" hidden="false" customHeight="true" outlineLevel="0" collapsed="false">
      <c r="A560" s="144" t="n">
        <v>46051</v>
      </c>
      <c r="B560" s="113"/>
      <c r="C560" s="159" t="s">
        <v>679</v>
      </c>
      <c r="D560" s="158" t="s">
        <v>195</v>
      </c>
      <c r="E560" s="147" t="n">
        <v>2</v>
      </c>
      <c r="F560" s="147" t="n">
        <v>50</v>
      </c>
      <c r="G560" s="160" t="n">
        <v>0.1</v>
      </c>
      <c r="H560" s="20"/>
      <c r="I560" s="158" t="s">
        <v>713</v>
      </c>
    </row>
    <row r="561" customFormat="false" ht="15" hidden="false" customHeight="true" outlineLevel="0" collapsed="false">
      <c r="A561" s="144" t="n">
        <v>46051</v>
      </c>
      <c r="B561" s="113"/>
      <c r="C561" s="159" t="s">
        <v>679</v>
      </c>
      <c r="D561" s="158" t="s">
        <v>222</v>
      </c>
      <c r="E561" s="147" t="n">
        <v>4</v>
      </c>
      <c r="F561" s="147" t="n">
        <v>40</v>
      </c>
      <c r="G561" s="160" t="n">
        <v>3.2</v>
      </c>
      <c r="H561" s="20"/>
      <c r="I561" s="158" t="s">
        <v>692</v>
      </c>
    </row>
    <row r="562" customFormat="false" ht="15" hidden="false" customHeight="true" outlineLevel="0" collapsed="false">
      <c r="A562" s="144" t="n">
        <v>46051</v>
      </c>
      <c r="B562" s="113"/>
      <c r="C562" s="159" t="s">
        <v>679</v>
      </c>
      <c r="D562" s="158" t="s">
        <v>204</v>
      </c>
      <c r="E562" s="147" t="n">
        <v>18</v>
      </c>
      <c r="F562" s="147" t="n">
        <v>60</v>
      </c>
      <c r="G562" s="160" t="n">
        <v>32.4</v>
      </c>
      <c r="H562" s="20"/>
      <c r="I562" s="158" t="s">
        <v>694</v>
      </c>
    </row>
    <row r="563" customFormat="false" ht="15" hidden="false" customHeight="true" outlineLevel="0" collapsed="false">
      <c r="A563" s="144" t="n">
        <v>46051</v>
      </c>
      <c r="B563" s="113"/>
      <c r="C563" s="159" t="s">
        <v>679</v>
      </c>
      <c r="D563" s="158" t="s">
        <v>236</v>
      </c>
      <c r="E563" s="147" t="n">
        <v>6</v>
      </c>
      <c r="F563" s="147" t="n">
        <v>60</v>
      </c>
      <c r="G563" s="160" t="n">
        <v>10.8</v>
      </c>
      <c r="H563" s="20"/>
      <c r="I563" s="158" t="s">
        <v>695</v>
      </c>
    </row>
    <row r="564" customFormat="false" ht="15" hidden="false" customHeight="true" outlineLevel="0" collapsed="false">
      <c r="A564" s="144" t="n">
        <v>46051</v>
      </c>
      <c r="B564" s="113"/>
      <c r="C564" s="159" t="s">
        <v>679</v>
      </c>
      <c r="D564" s="158" t="s">
        <v>206</v>
      </c>
      <c r="E564" s="147" t="n">
        <v>1</v>
      </c>
      <c r="F564" s="147" t="n">
        <v>30</v>
      </c>
      <c r="G564" s="160" t="n">
        <v>1.8</v>
      </c>
      <c r="H564" s="20"/>
      <c r="I564" s="158" t="s">
        <v>696</v>
      </c>
    </row>
    <row r="565" customFormat="false" ht="15" hidden="false" customHeight="true" outlineLevel="0" collapsed="false">
      <c r="A565" s="144" t="n">
        <v>46051</v>
      </c>
      <c r="B565" s="113"/>
      <c r="C565" s="159" t="s">
        <v>679</v>
      </c>
      <c r="D565" s="158" t="s">
        <v>207</v>
      </c>
      <c r="E565" s="147" t="n">
        <v>3</v>
      </c>
      <c r="F565" s="147" t="n">
        <v>1000</v>
      </c>
      <c r="G565" s="160" t="n">
        <v>6</v>
      </c>
      <c r="H565" s="20"/>
      <c r="I565" s="158" t="s">
        <v>710</v>
      </c>
    </row>
    <row r="566" customFormat="false" ht="15" hidden="false" customHeight="true" outlineLevel="0" collapsed="false">
      <c r="A566" s="144" t="n">
        <v>46051</v>
      </c>
      <c r="B566" s="113"/>
      <c r="C566" s="159" t="s">
        <v>679</v>
      </c>
      <c r="D566" s="158" t="s">
        <v>219</v>
      </c>
      <c r="E566" s="147" t="n">
        <v>2</v>
      </c>
      <c r="F566" s="147" t="n">
        <v>50</v>
      </c>
      <c r="G566" s="160" t="n">
        <v>0.1</v>
      </c>
      <c r="H566" s="20"/>
      <c r="I566" s="158" t="s">
        <v>713</v>
      </c>
    </row>
    <row r="567" customFormat="false" ht="15" hidden="false" customHeight="true" outlineLevel="0" collapsed="false">
      <c r="A567" s="144" t="n">
        <v>46051</v>
      </c>
      <c r="B567" s="158" t="s">
        <v>732</v>
      </c>
      <c r="C567" s="159" t="s">
        <v>670</v>
      </c>
      <c r="D567" s="158" t="s">
        <v>242</v>
      </c>
      <c r="E567" s="147" t="n">
        <v>2</v>
      </c>
      <c r="F567" s="147" t="n">
        <v>360</v>
      </c>
      <c r="G567" s="160" t="n">
        <v>0.72</v>
      </c>
      <c r="H567" s="20"/>
      <c r="I567" s="158" t="s">
        <v>733</v>
      </c>
    </row>
    <row r="568" customFormat="false" ht="15" hidden="false" customHeight="true" outlineLevel="0" collapsed="false">
      <c r="A568" s="144" t="n">
        <v>46051</v>
      </c>
      <c r="B568" s="158" t="s">
        <v>732</v>
      </c>
      <c r="C568" s="159" t="s">
        <v>670</v>
      </c>
      <c r="D568" s="158" t="s">
        <v>241</v>
      </c>
      <c r="E568" s="147" t="n">
        <v>1</v>
      </c>
      <c r="F568" s="147" t="n">
        <v>360</v>
      </c>
      <c r="G568" s="160" t="n">
        <v>0.36</v>
      </c>
      <c r="H568" s="20"/>
      <c r="I568" s="158" t="s">
        <v>735</v>
      </c>
    </row>
    <row r="569" customFormat="false" ht="15" hidden="false" customHeight="true" outlineLevel="0" collapsed="false">
      <c r="A569" s="144" t="n">
        <v>46051</v>
      </c>
      <c r="B569" s="158" t="s">
        <v>732</v>
      </c>
      <c r="C569" s="159" t="s">
        <v>670</v>
      </c>
      <c r="D569" s="158" t="s">
        <v>243</v>
      </c>
      <c r="E569" s="147" t="n">
        <v>10</v>
      </c>
      <c r="F569" s="147" t="n">
        <v>360</v>
      </c>
      <c r="G569" s="160" t="n">
        <v>3.6</v>
      </c>
      <c r="H569" s="20"/>
      <c r="I569" s="158" t="s">
        <v>737</v>
      </c>
    </row>
    <row r="570" customFormat="false" ht="15" hidden="false" customHeight="true" outlineLevel="0" collapsed="false">
      <c r="A570" s="144" t="n">
        <v>46051</v>
      </c>
      <c r="B570" s="158" t="s">
        <v>732</v>
      </c>
      <c r="C570" s="159" t="s">
        <v>670</v>
      </c>
      <c r="D570" s="158" t="s">
        <v>244</v>
      </c>
      <c r="E570" s="147" t="n">
        <v>2</v>
      </c>
      <c r="F570" s="147" t="n">
        <v>360</v>
      </c>
      <c r="G570" s="160" t="n">
        <v>0.72</v>
      </c>
      <c r="H570" s="20"/>
      <c r="I570" s="158" t="s">
        <v>738</v>
      </c>
    </row>
    <row r="571" customFormat="false" ht="15" hidden="false" customHeight="true" outlineLevel="0" collapsed="false">
      <c r="A571" s="144" t="n">
        <v>46051</v>
      </c>
      <c r="B571" s="158" t="s">
        <v>753</v>
      </c>
      <c r="C571" s="159" t="s">
        <v>670</v>
      </c>
      <c r="D571" s="158" t="s">
        <v>178</v>
      </c>
      <c r="E571" s="147" t="n">
        <v>1</v>
      </c>
      <c r="F571" s="147"/>
      <c r="G571" s="160" t="n">
        <v>39</v>
      </c>
      <c r="H571" s="20"/>
      <c r="I571" s="113"/>
    </row>
    <row r="572" customFormat="false" ht="15" hidden="false" customHeight="true" outlineLevel="0" collapsed="false">
      <c r="A572" s="144" t="n">
        <v>46051</v>
      </c>
      <c r="B572" s="158" t="s">
        <v>753</v>
      </c>
      <c r="C572" s="159" t="s">
        <v>670</v>
      </c>
      <c r="D572" s="158" t="s">
        <v>179</v>
      </c>
      <c r="E572" s="147" t="n">
        <v>39</v>
      </c>
      <c r="F572" s="147" t="n">
        <v>1000</v>
      </c>
      <c r="G572" s="160" t="n">
        <v>39</v>
      </c>
      <c r="H572" s="20"/>
      <c r="I572" s="158" t="s">
        <v>754</v>
      </c>
    </row>
    <row r="573" customFormat="false" ht="15" hidden="false" customHeight="true" outlineLevel="0" collapsed="false">
      <c r="A573" s="144" t="n">
        <v>46051</v>
      </c>
      <c r="B573" s="158" t="s">
        <v>753</v>
      </c>
      <c r="C573" s="159" t="s">
        <v>670</v>
      </c>
      <c r="D573" s="158" t="s">
        <v>206</v>
      </c>
      <c r="E573" s="147" t="n">
        <v>51</v>
      </c>
      <c r="F573" s="147" t="n">
        <v>1000</v>
      </c>
      <c r="G573" s="160" t="n">
        <v>51</v>
      </c>
      <c r="H573" s="20"/>
      <c r="I573" s="158" t="s">
        <v>755</v>
      </c>
    </row>
    <row r="574" customFormat="false" ht="15" hidden="false" customHeight="true" outlineLevel="0" collapsed="false">
      <c r="A574" s="144" t="n">
        <v>46052</v>
      </c>
      <c r="B574" s="113"/>
      <c r="C574" s="159" t="s">
        <v>679</v>
      </c>
      <c r="D574" s="113" t="s">
        <v>267</v>
      </c>
      <c r="E574" s="147" t="n">
        <v>1</v>
      </c>
      <c r="F574" s="147" t="n">
        <v>60</v>
      </c>
      <c r="G574" s="160" t="n">
        <v>1.2</v>
      </c>
      <c r="H574" s="20"/>
      <c r="I574" s="113" t="s">
        <v>705</v>
      </c>
    </row>
    <row r="575" customFormat="false" ht="15" hidden="false" customHeight="true" outlineLevel="0" collapsed="false">
      <c r="A575" s="144" t="n">
        <v>46052</v>
      </c>
      <c r="B575" s="113"/>
      <c r="C575" s="159" t="s">
        <v>679</v>
      </c>
      <c r="D575" s="113" t="s">
        <v>267</v>
      </c>
      <c r="E575" s="147" t="n">
        <v>11</v>
      </c>
      <c r="F575" s="147" t="n">
        <v>60</v>
      </c>
      <c r="G575" s="160" t="n">
        <v>13.2</v>
      </c>
      <c r="H575" s="20"/>
      <c r="I575" s="158" t="s">
        <v>697</v>
      </c>
    </row>
    <row r="576" customFormat="false" ht="15" hidden="false" customHeight="true" outlineLevel="0" collapsed="false">
      <c r="A576" s="144" t="n">
        <v>46052</v>
      </c>
      <c r="B576" s="113"/>
      <c r="C576" s="159" t="s">
        <v>679</v>
      </c>
      <c r="D576" s="158" t="s">
        <v>143</v>
      </c>
      <c r="E576" s="147" t="n">
        <v>4</v>
      </c>
      <c r="F576" s="147" t="n">
        <v>50</v>
      </c>
      <c r="G576" s="160" t="n">
        <v>4</v>
      </c>
      <c r="H576" s="20"/>
      <c r="I576" s="158" t="s">
        <v>682</v>
      </c>
    </row>
    <row r="577" customFormat="false" ht="15" hidden="false" customHeight="true" outlineLevel="0" collapsed="false">
      <c r="A577" s="144" t="n">
        <v>46052</v>
      </c>
      <c r="B577" s="113"/>
      <c r="C577" s="159" t="s">
        <v>679</v>
      </c>
      <c r="D577" s="158" t="s">
        <v>143</v>
      </c>
      <c r="E577" s="147" t="n">
        <v>3</v>
      </c>
      <c r="F577" s="147" t="n">
        <v>50</v>
      </c>
      <c r="G577" s="160" t="n">
        <v>6</v>
      </c>
      <c r="H577" s="20"/>
      <c r="I577" s="158" t="s">
        <v>683</v>
      </c>
    </row>
    <row r="578" customFormat="false" ht="15" hidden="false" customHeight="true" outlineLevel="0" collapsed="false">
      <c r="A578" s="144" t="n">
        <v>46052</v>
      </c>
      <c r="B578" s="113"/>
      <c r="C578" s="159" t="s">
        <v>679</v>
      </c>
      <c r="D578" s="158" t="s">
        <v>144</v>
      </c>
      <c r="E578" s="147" t="n">
        <v>4</v>
      </c>
      <c r="F578" s="147" t="n">
        <v>1000</v>
      </c>
      <c r="G578" s="160" t="n">
        <v>8</v>
      </c>
      <c r="H578" s="20"/>
      <c r="I578" s="158" t="s">
        <v>685</v>
      </c>
    </row>
    <row r="579" customFormat="false" ht="15" hidden="false" customHeight="true" outlineLevel="0" collapsed="false">
      <c r="A579" s="144" t="n">
        <v>46052</v>
      </c>
      <c r="B579" s="113"/>
      <c r="C579" s="159" t="s">
        <v>679</v>
      </c>
      <c r="D579" s="158" t="s">
        <v>147</v>
      </c>
      <c r="E579" s="147" t="n">
        <v>1</v>
      </c>
      <c r="F579" s="147" t="n">
        <v>50</v>
      </c>
      <c r="G579" s="160" t="n">
        <v>1</v>
      </c>
      <c r="H579" s="20"/>
      <c r="I579" s="158" t="s">
        <v>700</v>
      </c>
    </row>
    <row r="580" customFormat="false" ht="15" hidden="false" customHeight="true" outlineLevel="0" collapsed="false">
      <c r="A580" s="144" t="n">
        <v>46052</v>
      </c>
      <c r="B580" s="113"/>
      <c r="C580" s="159" t="s">
        <v>679</v>
      </c>
      <c r="D580" s="158" t="s">
        <v>181</v>
      </c>
      <c r="E580" s="147" t="n">
        <v>2</v>
      </c>
      <c r="F580" s="147" t="n">
        <v>1000</v>
      </c>
      <c r="G580" s="160" t="n">
        <v>2</v>
      </c>
      <c r="H580" s="20"/>
      <c r="I580" s="113" t="s">
        <v>718</v>
      </c>
    </row>
    <row r="581" customFormat="false" ht="15" hidden="false" customHeight="true" outlineLevel="0" collapsed="false">
      <c r="A581" s="144" t="n">
        <v>46052</v>
      </c>
      <c r="B581" s="113"/>
      <c r="C581" s="159" t="s">
        <v>679</v>
      </c>
      <c r="D581" s="158" t="s">
        <v>183</v>
      </c>
      <c r="E581" s="147" t="n">
        <v>15</v>
      </c>
      <c r="F581" s="147" t="n">
        <v>60</v>
      </c>
      <c r="G581" s="160" t="n">
        <v>27</v>
      </c>
      <c r="H581" s="20"/>
      <c r="I581" s="158" t="s">
        <v>689</v>
      </c>
    </row>
    <row r="582" customFormat="false" ht="15" hidden="false" customHeight="true" outlineLevel="0" collapsed="false">
      <c r="A582" s="144" t="n">
        <v>46052</v>
      </c>
      <c r="B582" s="113"/>
      <c r="C582" s="159" t="s">
        <v>679</v>
      </c>
      <c r="D582" s="158" t="s">
        <v>184</v>
      </c>
      <c r="E582" s="147" t="n">
        <v>2</v>
      </c>
      <c r="F582" s="147" t="n">
        <v>50</v>
      </c>
      <c r="G582" s="160" t="n">
        <v>2</v>
      </c>
      <c r="H582" s="20"/>
      <c r="I582" s="158" t="s">
        <v>690</v>
      </c>
    </row>
    <row r="583" customFormat="false" ht="15" hidden="false" customHeight="true" outlineLevel="0" collapsed="false">
      <c r="A583" s="144" t="n">
        <v>46052</v>
      </c>
      <c r="B583" s="113"/>
      <c r="C583" s="159" t="s">
        <v>679</v>
      </c>
      <c r="D583" s="158" t="s">
        <v>184</v>
      </c>
      <c r="E583" s="147" t="n">
        <v>2</v>
      </c>
      <c r="F583" s="147" t="n">
        <v>50</v>
      </c>
      <c r="G583" s="160" t="n">
        <v>4</v>
      </c>
      <c r="H583" s="20"/>
      <c r="I583" s="158" t="s">
        <v>691</v>
      </c>
    </row>
    <row r="584" customFormat="false" ht="15" hidden="false" customHeight="true" outlineLevel="0" collapsed="false">
      <c r="A584" s="144" t="n">
        <v>46052</v>
      </c>
      <c r="B584" s="113"/>
      <c r="C584" s="159" t="s">
        <v>679</v>
      </c>
      <c r="D584" s="158" t="s">
        <v>222</v>
      </c>
      <c r="E584" s="147" t="n">
        <v>5</v>
      </c>
      <c r="F584" s="147" t="n">
        <v>40</v>
      </c>
      <c r="G584" s="160" t="n">
        <v>4</v>
      </c>
      <c r="H584" s="20"/>
      <c r="I584" s="158" t="s">
        <v>692</v>
      </c>
    </row>
    <row r="585" customFormat="false" ht="15" hidden="false" customHeight="true" outlineLevel="0" collapsed="false">
      <c r="A585" s="144" t="n">
        <v>46052</v>
      </c>
      <c r="B585" s="113"/>
      <c r="C585" s="159" t="s">
        <v>679</v>
      </c>
      <c r="D585" s="158" t="s">
        <v>221</v>
      </c>
      <c r="E585" s="147" t="n">
        <v>1</v>
      </c>
      <c r="F585" s="147" t="n">
        <v>40</v>
      </c>
      <c r="G585" s="160" t="n">
        <v>0.8</v>
      </c>
      <c r="H585" s="20"/>
      <c r="I585" s="158" t="s">
        <v>693</v>
      </c>
    </row>
    <row r="586" customFormat="false" ht="15" hidden="false" customHeight="true" outlineLevel="0" collapsed="false">
      <c r="A586" s="144" t="n">
        <v>46052</v>
      </c>
      <c r="B586" s="113"/>
      <c r="C586" s="159" t="s">
        <v>679</v>
      </c>
      <c r="D586" s="158" t="s">
        <v>204</v>
      </c>
      <c r="E586" s="147" t="n">
        <v>25</v>
      </c>
      <c r="F586" s="147" t="n">
        <v>60</v>
      </c>
      <c r="G586" s="160" t="n">
        <v>45</v>
      </c>
      <c r="H586" s="20"/>
      <c r="I586" s="158" t="s">
        <v>694</v>
      </c>
    </row>
    <row r="587" customFormat="false" ht="15" hidden="false" customHeight="true" outlineLevel="0" collapsed="false">
      <c r="A587" s="144" t="n">
        <v>46052</v>
      </c>
      <c r="B587" s="113"/>
      <c r="C587" s="159" t="s">
        <v>679</v>
      </c>
      <c r="D587" s="158" t="s">
        <v>236</v>
      </c>
      <c r="E587" s="147" t="n">
        <v>15</v>
      </c>
      <c r="F587" s="147" t="n">
        <v>60</v>
      </c>
      <c r="G587" s="160" t="n">
        <v>27</v>
      </c>
      <c r="H587" s="20"/>
      <c r="I587" s="158" t="s">
        <v>695</v>
      </c>
    </row>
    <row r="588" customFormat="false" ht="15" hidden="false" customHeight="true" outlineLevel="0" collapsed="false">
      <c r="A588" s="144" t="n">
        <v>46052</v>
      </c>
      <c r="B588" s="113"/>
      <c r="C588" s="159" t="s">
        <v>679</v>
      </c>
      <c r="D588" s="158" t="s">
        <v>206</v>
      </c>
      <c r="E588" s="147" t="n">
        <v>1</v>
      </c>
      <c r="F588" s="147" t="n">
        <v>30</v>
      </c>
      <c r="G588" s="160" t="n">
        <v>1.8</v>
      </c>
      <c r="H588" s="20"/>
      <c r="I588" s="158" t="s">
        <v>696</v>
      </c>
    </row>
    <row r="589" customFormat="false" ht="15" hidden="false" customHeight="true" outlineLevel="0" collapsed="false">
      <c r="A589" s="144" t="n">
        <v>46052</v>
      </c>
      <c r="B589" s="113"/>
      <c r="C589" s="159" t="s">
        <v>679</v>
      </c>
      <c r="D589" s="158" t="s">
        <v>207</v>
      </c>
      <c r="E589" s="147" t="n">
        <v>5</v>
      </c>
      <c r="F589" s="147" t="n">
        <v>1000</v>
      </c>
      <c r="G589" s="160" t="n">
        <v>5</v>
      </c>
      <c r="H589" s="20"/>
      <c r="I589" s="158" t="s">
        <v>704</v>
      </c>
    </row>
    <row r="590" customFormat="false" ht="15" hidden="false" customHeight="true" outlineLevel="0" collapsed="false">
      <c r="A590" s="144" t="n">
        <v>46052</v>
      </c>
      <c r="B590" s="158" t="s">
        <v>743</v>
      </c>
      <c r="C590" s="159" t="s">
        <v>670</v>
      </c>
      <c r="D590" s="158" t="s">
        <v>191</v>
      </c>
      <c r="E590" s="147" t="n">
        <v>285</v>
      </c>
      <c r="F590" s="147" t="n">
        <v>9600</v>
      </c>
      <c r="G590" s="160" t="n">
        <v>2736</v>
      </c>
      <c r="H590" s="20"/>
      <c r="I590" s="113" t="s">
        <v>756</v>
      </c>
    </row>
    <row r="591" customFormat="false" ht="15" hidden="false" customHeight="true" outlineLevel="0" collapsed="false">
      <c r="A591" s="144" t="n">
        <v>46052</v>
      </c>
      <c r="B591" s="158" t="s">
        <v>732</v>
      </c>
      <c r="C591" s="159" t="s">
        <v>670</v>
      </c>
      <c r="D591" s="158" t="s">
        <v>242</v>
      </c>
      <c r="E591" s="147" t="n">
        <v>7</v>
      </c>
      <c r="F591" s="147" t="n">
        <v>360</v>
      </c>
      <c r="G591" s="160" t="n">
        <v>2.52</v>
      </c>
      <c r="H591" s="20"/>
      <c r="I591" s="158" t="s">
        <v>733</v>
      </c>
    </row>
    <row r="592" customFormat="false" ht="15" hidden="false" customHeight="true" outlineLevel="0" collapsed="false">
      <c r="A592" s="144" t="n">
        <v>46052</v>
      </c>
      <c r="B592" s="158" t="s">
        <v>732</v>
      </c>
      <c r="C592" s="159" t="s">
        <v>670</v>
      </c>
      <c r="D592" s="158" t="s">
        <v>241</v>
      </c>
      <c r="E592" s="147" t="n">
        <v>5</v>
      </c>
      <c r="F592" s="147" t="n">
        <v>360</v>
      </c>
      <c r="G592" s="160" t="n">
        <v>1.8</v>
      </c>
      <c r="H592" s="20"/>
      <c r="I592" s="158" t="s">
        <v>735</v>
      </c>
    </row>
    <row r="593" customFormat="false" ht="15" hidden="false" customHeight="true" outlineLevel="0" collapsed="false">
      <c r="A593" s="144" t="n">
        <v>46052</v>
      </c>
      <c r="B593" s="158" t="s">
        <v>732</v>
      </c>
      <c r="C593" s="159" t="s">
        <v>670</v>
      </c>
      <c r="D593" s="158" t="s">
        <v>246</v>
      </c>
      <c r="E593" s="147" t="n">
        <v>1</v>
      </c>
      <c r="F593" s="147" t="n">
        <v>360</v>
      </c>
      <c r="G593" s="160" t="n">
        <v>0.36</v>
      </c>
      <c r="H593" s="20"/>
      <c r="I593" s="158" t="s">
        <v>736</v>
      </c>
    </row>
    <row r="594" customFormat="false" ht="15" hidden="false" customHeight="true" outlineLevel="0" collapsed="false">
      <c r="A594" s="144" t="n">
        <v>46052</v>
      </c>
      <c r="B594" s="158" t="s">
        <v>732</v>
      </c>
      <c r="C594" s="159" t="s">
        <v>670</v>
      </c>
      <c r="D594" s="158" t="s">
        <v>243</v>
      </c>
      <c r="E594" s="147" t="n">
        <v>7</v>
      </c>
      <c r="F594" s="147" t="n">
        <v>360</v>
      </c>
      <c r="G594" s="160" t="n">
        <v>2.52</v>
      </c>
      <c r="H594" s="20"/>
      <c r="I594" s="158" t="s">
        <v>737</v>
      </c>
    </row>
    <row r="595" customFormat="false" ht="15" hidden="false" customHeight="true" outlineLevel="0" collapsed="false">
      <c r="A595" s="144" t="n">
        <v>46052</v>
      </c>
      <c r="B595" s="158" t="s">
        <v>732</v>
      </c>
      <c r="C595" s="159" t="s">
        <v>670</v>
      </c>
      <c r="D595" s="158" t="s">
        <v>244</v>
      </c>
      <c r="E595" s="147" t="n">
        <v>7</v>
      </c>
      <c r="F595" s="147" t="n">
        <v>360</v>
      </c>
      <c r="G595" s="160" t="n">
        <v>2.52</v>
      </c>
      <c r="H595" s="20"/>
      <c r="I595" s="158" t="s">
        <v>738</v>
      </c>
    </row>
    <row r="596" customFormat="false" ht="15" hidden="false" customHeight="true" outlineLevel="0" collapsed="false">
      <c r="A596" s="144" t="n">
        <v>46052</v>
      </c>
      <c r="B596" s="158" t="s">
        <v>753</v>
      </c>
      <c r="C596" s="159" t="s">
        <v>670</v>
      </c>
      <c r="D596" s="158" t="s">
        <v>246</v>
      </c>
      <c r="E596" s="147" t="n">
        <v>200</v>
      </c>
      <c r="F596" s="147" t="n">
        <v>60</v>
      </c>
      <c r="G596" s="160" t="n">
        <v>12</v>
      </c>
      <c r="H596" s="20"/>
      <c r="I596" s="158" t="s">
        <v>757</v>
      </c>
    </row>
    <row r="597" customFormat="false" ht="15" hidden="false" customHeight="true" outlineLevel="0" collapsed="false">
      <c r="A597" s="144" t="n">
        <v>46052</v>
      </c>
      <c r="B597" s="158" t="s">
        <v>753</v>
      </c>
      <c r="C597" s="159" t="s">
        <v>670</v>
      </c>
      <c r="D597" s="158" t="s">
        <v>155</v>
      </c>
      <c r="E597" s="147" t="n">
        <v>40</v>
      </c>
      <c r="F597" s="147" t="n">
        <v>60</v>
      </c>
      <c r="G597" s="160" t="n">
        <v>2.4</v>
      </c>
      <c r="H597" s="20"/>
      <c r="I597" s="158" t="s">
        <v>758</v>
      </c>
    </row>
    <row r="598" customFormat="false" ht="15" hidden="false" customHeight="true" outlineLevel="0" collapsed="false">
      <c r="A598" s="144" t="n">
        <v>46052</v>
      </c>
      <c r="B598" s="158" t="s">
        <v>753</v>
      </c>
      <c r="C598" s="159" t="s">
        <v>670</v>
      </c>
      <c r="D598" s="158" t="s">
        <v>759</v>
      </c>
      <c r="E598" s="147" t="n">
        <v>1</v>
      </c>
      <c r="F598" s="147"/>
      <c r="G598" s="160" t="n">
        <v>12</v>
      </c>
      <c r="H598" s="20"/>
      <c r="I598" s="113"/>
    </row>
    <row r="599" customFormat="false" ht="15" hidden="false" customHeight="true" outlineLevel="0" collapsed="false">
      <c r="A599" s="144" t="n">
        <v>46052</v>
      </c>
      <c r="B599" s="158" t="s">
        <v>753</v>
      </c>
      <c r="C599" s="159" t="s">
        <v>670</v>
      </c>
      <c r="D599" s="158" t="s">
        <v>760</v>
      </c>
      <c r="E599" s="147" t="n">
        <v>1</v>
      </c>
      <c r="F599" s="147"/>
      <c r="G599" s="160" t="n">
        <v>2.4</v>
      </c>
      <c r="H599" s="20"/>
      <c r="I599" s="113"/>
    </row>
    <row r="600" customFormat="false" ht="15" hidden="false" customHeight="true" outlineLevel="0" collapsed="false">
      <c r="A600" s="144" t="n">
        <v>46054</v>
      </c>
      <c r="B600" s="158" t="s">
        <v>669</v>
      </c>
      <c r="C600" s="159" t="s">
        <v>670</v>
      </c>
      <c r="D600" s="113" t="s">
        <v>761</v>
      </c>
      <c r="E600" s="147" t="n">
        <v>1</v>
      </c>
      <c r="F600" s="147"/>
      <c r="G600" s="160" t="n">
        <v>48</v>
      </c>
      <c r="H600" s="20"/>
      <c r="I600" s="113"/>
    </row>
    <row r="601" customFormat="false" ht="15" hidden="false" customHeight="true" outlineLevel="0" collapsed="false">
      <c r="A601" s="144" t="n">
        <v>46054</v>
      </c>
      <c r="B601" s="158" t="s">
        <v>669</v>
      </c>
      <c r="C601" s="159" t="s">
        <v>670</v>
      </c>
      <c r="D601" s="113" t="s">
        <v>761</v>
      </c>
      <c r="E601" s="147" t="n">
        <v>1</v>
      </c>
      <c r="F601" s="147"/>
      <c r="G601" s="160" t="n">
        <v>48</v>
      </c>
      <c r="H601" s="20"/>
      <c r="I601" s="113"/>
    </row>
    <row r="602" customFormat="false" ht="15" hidden="false" customHeight="true" outlineLevel="0" collapsed="false">
      <c r="A602" s="144" t="n">
        <v>46054</v>
      </c>
      <c r="B602" s="158" t="s">
        <v>669</v>
      </c>
      <c r="C602" s="159" t="s">
        <v>670</v>
      </c>
      <c r="D602" s="113" t="s">
        <v>761</v>
      </c>
      <c r="E602" s="147" t="n">
        <v>1</v>
      </c>
      <c r="F602" s="147"/>
      <c r="G602" s="160" t="n">
        <v>1.6</v>
      </c>
      <c r="H602" s="20"/>
      <c r="I602" s="113"/>
    </row>
    <row r="603" customFormat="false" ht="15" hidden="false" customHeight="true" outlineLevel="0" collapsed="false">
      <c r="A603" s="144" t="n">
        <v>46054</v>
      </c>
      <c r="B603" s="158" t="s">
        <v>669</v>
      </c>
      <c r="C603" s="159" t="s">
        <v>670</v>
      </c>
      <c r="D603" s="158" t="s">
        <v>155</v>
      </c>
      <c r="E603" s="147" t="n">
        <v>1160</v>
      </c>
      <c r="F603" s="147" t="n">
        <v>80</v>
      </c>
      <c r="G603" s="160" t="n">
        <v>92.8</v>
      </c>
      <c r="H603" s="20"/>
      <c r="I603" s="113" t="s">
        <v>762</v>
      </c>
    </row>
    <row r="604" customFormat="false" ht="15" hidden="false" customHeight="true" outlineLevel="0" collapsed="false">
      <c r="A604" s="144" t="n">
        <v>46054</v>
      </c>
      <c r="B604" s="158" t="s">
        <v>669</v>
      </c>
      <c r="C604" s="159" t="s">
        <v>670</v>
      </c>
      <c r="D604" s="158" t="s">
        <v>155</v>
      </c>
      <c r="E604" s="147" t="n">
        <v>1</v>
      </c>
      <c r="F604" s="147"/>
      <c r="G604" s="160" t="n">
        <v>16</v>
      </c>
      <c r="H604" s="20"/>
      <c r="I604" s="113"/>
    </row>
    <row r="605" customFormat="false" ht="15" hidden="false" customHeight="true" outlineLevel="0" collapsed="false">
      <c r="A605" s="144" t="n">
        <v>46054</v>
      </c>
      <c r="B605" s="158" t="s">
        <v>669</v>
      </c>
      <c r="C605" s="159" t="s">
        <v>670</v>
      </c>
      <c r="D605" s="158" t="s">
        <v>155</v>
      </c>
      <c r="E605" s="147" t="n">
        <v>1</v>
      </c>
      <c r="F605" s="147"/>
      <c r="G605" s="160" t="n">
        <v>1.6</v>
      </c>
      <c r="H605" s="20"/>
      <c r="I605" s="113"/>
    </row>
    <row r="606" customFormat="false" ht="15" hidden="false" customHeight="true" outlineLevel="0" collapsed="false">
      <c r="A606" s="144" t="n">
        <v>46054</v>
      </c>
      <c r="B606" s="158" t="s">
        <v>669</v>
      </c>
      <c r="C606" s="159" t="s">
        <v>670</v>
      </c>
      <c r="D606" s="158" t="s">
        <v>763</v>
      </c>
      <c r="E606" s="147" t="n">
        <v>1</v>
      </c>
      <c r="F606" s="147"/>
      <c r="G606" s="160" t="n">
        <v>196</v>
      </c>
      <c r="H606" s="20"/>
      <c r="I606" s="113"/>
    </row>
    <row r="607" customFormat="false" ht="15" hidden="false" customHeight="true" outlineLevel="0" collapsed="false">
      <c r="A607" s="144" t="n">
        <v>46054</v>
      </c>
      <c r="B607" s="158" t="s">
        <v>669</v>
      </c>
      <c r="C607" s="159" t="s">
        <v>670</v>
      </c>
      <c r="D607" s="158" t="s">
        <v>221</v>
      </c>
      <c r="E607" s="147" t="n">
        <v>1</v>
      </c>
      <c r="F607" s="147"/>
      <c r="G607" s="160" t="n">
        <v>8</v>
      </c>
      <c r="H607" s="20"/>
      <c r="I607" s="113"/>
    </row>
    <row r="608" customFormat="false" ht="15" hidden="false" customHeight="true" outlineLevel="0" collapsed="false">
      <c r="A608" s="144" t="n">
        <v>46054</v>
      </c>
      <c r="B608" s="158" t="s">
        <v>669</v>
      </c>
      <c r="C608" s="159" t="s">
        <v>670</v>
      </c>
      <c r="D608" s="158" t="s">
        <v>204</v>
      </c>
      <c r="E608" s="147" t="n">
        <v>1</v>
      </c>
      <c r="F608" s="147"/>
      <c r="G608" s="160" t="n">
        <v>12.6</v>
      </c>
      <c r="H608" s="20"/>
      <c r="I608" s="113"/>
    </row>
    <row r="609" customFormat="false" ht="15" hidden="false" customHeight="true" outlineLevel="0" collapsed="false">
      <c r="A609" s="144" t="n">
        <v>46054</v>
      </c>
      <c r="B609" s="158" t="s">
        <v>669</v>
      </c>
      <c r="C609" s="159" t="s">
        <v>670</v>
      </c>
      <c r="D609" s="158" t="s">
        <v>209</v>
      </c>
      <c r="E609" s="147" t="n">
        <v>1</v>
      </c>
      <c r="F609" s="147"/>
      <c r="G609" s="160" t="n">
        <v>1.2</v>
      </c>
      <c r="H609" s="20"/>
      <c r="I609" s="113"/>
    </row>
    <row r="610" customFormat="false" ht="15" hidden="false" customHeight="true" outlineLevel="0" collapsed="false">
      <c r="A610" s="144" t="n">
        <v>46055</v>
      </c>
      <c r="B610" s="113"/>
      <c r="C610" s="159" t="s">
        <v>679</v>
      </c>
      <c r="D610" s="113" t="s">
        <v>267</v>
      </c>
      <c r="E610" s="147" t="n">
        <v>8</v>
      </c>
      <c r="F610" s="147" t="n">
        <v>60</v>
      </c>
      <c r="G610" s="160" t="n">
        <v>9.6</v>
      </c>
      <c r="H610" s="20"/>
      <c r="I610" s="113" t="s">
        <v>705</v>
      </c>
    </row>
    <row r="611" customFormat="false" ht="15" hidden="false" customHeight="true" outlineLevel="0" collapsed="false">
      <c r="A611" s="144" t="n">
        <v>46055</v>
      </c>
      <c r="B611" s="113"/>
      <c r="C611" s="159" t="s">
        <v>679</v>
      </c>
      <c r="D611" s="113" t="s">
        <v>267</v>
      </c>
      <c r="E611" s="147" t="n">
        <v>5</v>
      </c>
      <c r="F611" s="147" t="n">
        <v>60</v>
      </c>
      <c r="G611" s="160" t="n">
        <v>6</v>
      </c>
      <c r="H611" s="20"/>
      <c r="I611" s="158" t="s">
        <v>697</v>
      </c>
    </row>
    <row r="612" customFormat="false" ht="15" hidden="false" customHeight="true" outlineLevel="0" collapsed="false">
      <c r="A612" s="144" t="n">
        <v>46055</v>
      </c>
      <c r="B612" s="113"/>
      <c r="C612" s="159" t="s">
        <v>679</v>
      </c>
      <c r="D612" s="158" t="s">
        <v>142</v>
      </c>
      <c r="E612" s="147" t="n">
        <v>70</v>
      </c>
      <c r="F612" s="147" t="n">
        <v>50</v>
      </c>
      <c r="G612" s="160" t="n">
        <v>3.5</v>
      </c>
      <c r="H612" s="20"/>
      <c r="I612" s="158" t="s">
        <v>764</v>
      </c>
    </row>
    <row r="613" customFormat="false" ht="15" hidden="false" customHeight="true" outlineLevel="0" collapsed="false">
      <c r="A613" s="144" t="n">
        <v>46055</v>
      </c>
      <c r="B613" s="113"/>
      <c r="C613" s="159" t="s">
        <v>679</v>
      </c>
      <c r="D613" s="158" t="s">
        <v>143</v>
      </c>
      <c r="E613" s="147" t="n">
        <v>8</v>
      </c>
      <c r="F613" s="147" t="n">
        <v>50</v>
      </c>
      <c r="G613" s="160" t="n">
        <v>8</v>
      </c>
      <c r="H613" s="20"/>
      <c r="I613" s="158" t="s">
        <v>682</v>
      </c>
    </row>
    <row r="614" customFormat="false" ht="15" hidden="false" customHeight="true" outlineLevel="0" collapsed="false">
      <c r="A614" s="144" t="n">
        <v>46055</v>
      </c>
      <c r="B614" s="113"/>
      <c r="C614" s="159" t="s">
        <v>679</v>
      </c>
      <c r="D614" s="158" t="s">
        <v>143</v>
      </c>
      <c r="E614" s="147" t="n">
        <v>5</v>
      </c>
      <c r="F614" s="147" t="n">
        <v>50</v>
      </c>
      <c r="G614" s="160" t="n">
        <v>10</v>
      </c>
      <c r="H614" s="20"/>
      <c r="I614" s="158" t="s">
        <v>683</v>
      </c>
    </row>
    <row r="615" customFormat="false" ht="15" hidden="false" customHeight="true" outlineLevel="0" collapsed="false">
      <c r="A615" s="144" t="n">
        <v>46055</v>
      </c>
      <c r="B615" s="113"/>
      <c r="C615" s="159" t="s">
        <v>679</v>
      </c>
      <c r="D615" s="158" t="s">
        <v>143</v>
      </c>
      <c r="E615" s="147" t="n">
        <v>2</v>
      </c>
      <c r="F615" s="147" t="n">
        <v>50</v>
      </c>
      <c r="G615" s="160" t="n">
        <v>0.5</v>
      </c>
      <c r="H615" s="20"/>
      <c r="I615" s="158" t="s">
        <v>765</v>
      </c>
    </row>
    <row r="616" customFormat="false" ht="15" hidden="false" customHeight="true" outlineLevel="0" collapsed="false">
      <c r="A616" s="144" t="n">
        <v>46055</v>
      </c>
      <c r="B616" s="113"/>
      <c r="C616" s="159" t="s">
        <v>679</v>
      </c>
      <c r="D616" s="158" t="s">
        <v>143</v>
      </c>
      <c r="E616" s="147" t="n">
        <v>3</v>
      </c>
      <c r="F616" s="147" t="n">
        <v>50</v>
      </c>
      <c r="G616" s="160" t="n">
        <v>0.15</v>
      </c>
      <c r="H616" s="20"/>
      <c r="I616" s="158" t="s">
        <v>713</v>
      </c>
    </row>
    <row r="617" customFormat="false" ht="15" hidden="false" customHeight="true" outlineLevel="0" collapsed="false">
      <c r="A617" s="144" t="n">
        <v>46055</v>
      </c>
      <c r="B617" s="113"/>
      <c r="C617" s="159" t="s">
        <v>679</v>
      </c>
      <c r="D617" s="158" t="s">
        <v>143</v>
      </c>
      <c r="E617" s="147" t="n">
        <v>5</v>
      </c>
      <c r="F617" s="147" t="n">
        <v>50</v>
      </c>
      <c r="G617" s="160" t="n">
        <v>0.25</v>
      </c>
      <c r="H617" s="20"/>
      <c r="I617" s="158" t="s">
        <v>684</v>
      </c>
    </row>
    <row r="618" customFormat="false" ht="15" hidden="false" customHeight="true" outlineLevel="0" collapsed="false">
      <c r="A618" s="144" t="n">
        <v>46055</v>
      </c>
      <c r="B618" s="113"/>
      <c r="C618" s="159" t="s">
        <v>679</v>
      </c>
      <c r="D618" s="158" t="s">
        <v>144</v>
      </c>
      <c r="E618" s="147" t="n">
        <v>7</v>
      </c>
      <c r="F618" s="147" t="n">
        <v>1000</v>
      </c>
      <c r="G618" s="160" t="n">
        <v>14</v>
      </c>
      <c r="H618" s="20"/>
      <c r="I618" s="158" t="s">
        <v>685</v>
      </c>
    </row>
    <row r="619" customFormat="false" ht="15" hidden="false" customHeight="true" outlineLevel="0" collapsed="false">
      <c r="A619" s="144" t="n">
        <v>46055</v>
      </c>
      <c r="B619" s="113"/>
      <c r="C619" s="159" t="s">
        <v>679</v>
      </c>
      <c r="D619" s="158" t="s">
        <v>145</v>
      </c>
      <c r="E619" s="147" t="n">
        <v>2</v>
      </c>
      <c r="F619" s="147" t="n">
        <v>50</v>
      </c>
      <c r="G619" s="160" t="n">
        <v>0.1</v>
      </c>
      <c r="H619" s="20"/>
      <c r="I619" s="158" t="s">
        <v>713</v>
      </c>
    </row>
    <row r="620" customFormat="false" ht="15" hidden="false" customHeight="true" outlineLevel="0" collapsed="false">
      <c r="A620" s="144" t="n">
        <v>46055</v>
      </c>
      <c r="B620" s="113"/>
      <c r="C620" s="159" t="s">
        <v>679</v>
      </c>
      <c r="D620" s="158" t="s">
        <v>145</v>
      </c>
      <c r="E620" s="147" t="n">
        <v>5</v>
      </c>
      <c r="F620" s="147" t="n">
        <v>50</v>
      </c>
      <c r="G620" s="160" t="n">
        <v>0.25</v>
      </c>
      <c r="H620" s="20"/>
      <c r="I620" s="158" t="s">
        <v>684</v>
      </c>
    </row>
    <row r="621" customFormat="false" ht="15" hidden="false" customHeight="true" outlineLevel="0" collapsed="false">
      <c r="A621" s="144" t="n">
        <v>46055</v>
      </c>
      <c r="B621" s="113"/>
      <c r="C621" s="159" t="s">
        <v>679</v>
      </c>
      <c r="D621" s="158" t="s">
        <v>146</v>
      </c>
      <c r="E621" s="147" t="n">
        <v>70</v>
      </c>
      <c r="F621" s="147" t="n">
        <v>50</v>
      </c>
      <c r="G621" s="160" t="n">
        <v>3.5</v>
      </c>
      <c r="H621" s="20"/>
      <c r="I621" s="158" t="s">
        <v>764</v>
      </c>
    </row>
    <row r="622" customFormat="false" ht="15" hidden="false" customHeight="true" outlineLevel="0" collapsed="false">
      <c r="A622" s="144" t="n">
        <v>46055</v>
      </c>
      <c r="B622" s="113"/>
      <c r="C622" s="159" t="s">
        <v>679</v>
      </c>
      <c r="D622" s="158" t="s">
        <v>147</v>
      </c>
      <c r="E622" s="147" t="n">
        <v>1</v>
      </c>
      <c r="F622" s="147" t="n">
        <v>50</v>
      </c>
      <c r="G622" s="160" t="n">
        <v>2</v>
      </c>
      <c r="H622" s="20"/>
      <c r="I622" s="158" t="s">
        <v>766</v>
      </c>
    </row>
    <row r="623" customFormat="false" ht="15" hidden="false" customHeight="true" outlineLevel="0" collapsed="false">
      <c r="A623" s="144" t="n">
        <v>46055</v>
      </c>
      <c r="B623" s="113"/>
      <c r="C623" s="159" t="s">
        <v>679</v>
      </c>
      <c r="D623" s="158" t="s">
        <v>147</v>
      </c>
      <c r="E623" s="147" t="n">
        <v>7</v>
      </c>
      <c r="F623" s="147" t="n">
        <v>50</v>
      </c>
      <c r="G623" s="160" t="n">
        <v>7</v>
      </c>
      <c r="H623" s="20"/>
      <c r="I623" s="158" t="s">
        <v>700</v>
      </c>
    </row>
    <row r="624" customFormat="false" ht="15" hidden="false" customHeight="true" outlineLevel="0" collapsed="false">
      <c r="A624" s="144" t="n">
        <v>46055</v>
      </c>
      <c r="B624" s="113"/>
      <c r="C624" s="159" t="s">
        <v>679</v>
      </c>
      <c r="D624" s="158" t="s">
        <v>147</v>
      </c>
      <c r="E624" s="147" t="n">
        <v>70</v>
      </c>
      <c r="F624" s="147" t="n">
        <v>50</v>
      </c>
      <c r="G624" s="160" t="n">
        <v>3.5</v>
      </c>
      <c r="H624" s="20"/>
      <c r="I624" s="158" t="s">
        <v>764</v>
      </c>
    </row>
    <row r="625" customFormat="false" ht="15" hidden="false" customHeight="true" outlineLevel="0" collapsed="false">
      <c r="A625" s="144" t="n">
        <v>46055</v>
      </c>
      <c r="B625" s="113"/>
      <c r="C625" s="159" t="s">
        <v>679</v>
      </c>
      <c r="D625" s="158" t="s">
        <v>148</v>
      </c>
      <c r="E625" s="147" t="n">
        <v>2</v>
      </c>
      <c r="F625" s="147" t="n">
        <v>50</v>
      </c>
      <c r="G625" s="160" t="n">
        <v>0.1</v>
      </c>
      <c r="H625" s="20"/>
      <c r="I625" s="158" t="s">
        <v>713</v>
      </c>
    </row>
    <row r="626" customFormat="false" ht="15" hidden="false" customHeight="true" outlineLevel="0" collapsed="false">
      <c r="A626" s="144" t="n">
        <v>46055</v>
      </c>
      <c r="B626" s="113"/>
      <c r="C626" s="159" t="s">
        <v>679</v>
      </c>
      <c r="D626" s="158" t="s">
        <v>148</v>
      </c>
      <c r="E626" s="147" t="n">
        <v>4</v>
      </c>
      <c r="F626" s="147" t="n">
        <v>50</v>
      </c>
      <c r="G626" s="160" t="n">
        <v>0.2</v>
      </c>
      <c r="H626" s="20"/>
      <c r="I626" s="158" t="s">
        <v>684</v>
      </c>
    </row>
    <row r="627" customFormat="false" ht="15" hidden="false" customHeight="true" outlineLevel="0" collapsed="false">
      <c r="A627" s="144" t="n">
        <v>46055</v>
      </c>
      <c r="B627" s="113"/>
      <c r="C627" s="159" t="s">
        <v>679</v>
      </c>
      <c r="D627" s="158" t="s">
        <v>155</v>
      </c>
      <c r="E627" s="147" t="n">
        <v>12</v>
      </c>
      <c r="F627" s="147" t="n">
        <v>80</v>
      </c>
      <c r="G627" s="160" t="n">
        <v>14.4</v>
      </c>
      <c r="H627" s="20"/>
      <c r="I627" s="113" t="s">
        <v>767</v>
      </c>
    </row>
    <row r="628" customFormat="false" ht="15" hidden="false" customHeight="true" outlineLevel="0" collapsed="false">
      <c r="A628" s="144" t="n">
        <v>46055</v>
      </c>
      <c r="B628" s="113"/>
      <c r="C628" s="159" t="s">
        <v>679</v>
      </c>
      <c r="D628" s="158" t="s">
        <v>155</v>
      </c>
      <c r="E628" s="147" t="n">
        <v>10</v>
      </c>
      <c r="F628" s="147" t="n">
        <v>80</v>
      </c>
      <c r="G628" s="160" t="n">
        <v>16</v>
      </c>
      <c r="H628" s="20"/>
      <c r="I628" s="113" t="s">
        <v>686</v>
      </c>
    </row>
    <row r="629" customFormat="false" ht="15" hidden="false" customHeight="true" outlineLevel="0" collapsed="false">
      <c r="A629" s="144" t="n">
        <v>46055</v>
      </c>
      <c r="B629" s="113"/>
      <c r="C629" s="159" t="s">
        <v>679</v>
      </c>
      <c r="D629" s="158" t="s">
        <v>155</v>
      </c>
      <c r="E629" s="147" t="n">
        <v>38</v>
      </c>
      <c r="F629" s="147" t="n">
        <v>80</v>
      </c>
      <c r="G629" s="160" t="n">
        <v>45.6</v>
      </c>
      <c r="H629" s="20"/>
      <c r="I629" s="158" t="s">
        <v>768</v>
      </c>
    </row>
    <row r="630" customFormat="false" ht="15" hidden="false" customHeight="true" outlineLevel="0" collapsed="false">
      <c r="A630" s="144" t="n">
        <v>46055</v>
      </c>
      <c r="B630" s="113"/>
      <c r="C630" s="159" t="s">
        <v>679</v>
      </c>
      <c r="D630" s="158" t="s">
        <v>155</v>
      </c>
      <c r="E630" s="147" t="n">
        <v>8</v>
      </c>
      <c r="F630" s="147" t="n">
        <v>80</v>
      </c>
      <c r="G630" s="160" t="n">
        <v>12.8</v>
      </c>
      <c r="H630" s="20"/>
      <c r="I630" s="158" t="s">
        <v>769</v>
      </c>
    </row>
    <row r="631" customFormat="false" ht="15" hidden="false" customHeight="true" outlineLevel="0" collapsed="false">
      <c r="A631" s="144" t="n">
        <v>46055</v>
      </c>
      <c r="B631" s="113"/>
      <c r="C631" s="159" t="s">
        <v>679</v>
      </c>
      <c r="D631" s="158" t="s">
        <v>159</v>
      </c>
      <c r="E631" s="147" t="n">
        <v>2</v>
      </c>
      <c r="F631" s="147" t="n">
        <v>50</v>
      </c>
      <c r="G631" s="160" t="n">
        <v>0.1</v>
      </c>
      <c r="H631" s="20"/>
      <c r="I631" s="158" t="s">
        <v>713</v>
      </c>
    </row>
    <row r="632" customFormat="false" ht="15" hidden="false" customHeight="true" outlineLevel="0" collapsed="false">
      <c r="A632" s="144" t="n">
        <v>46055</v>
      </c>
      <c r="B632" s="113"/>
      <c r="C632" s="159" t="s">
        <v>679</v>
      </c>
      <c r="D632" s="158" t="s">
        <v>159</v>
      </c>
      <c r="E632" s="147" t="n">
        <v>4</v>
      </c>
      <c r="F632" s="147" t="n">
        <v>50</v>
      </c>
      <c r="G632" s="160" t="n">
        <v>0.2</v>
      </c>
      <c r="H632" s="20"/>
      <c r="I632" s="158" t="s">
        <v>684</v>
      </c>
    </row>
    <row r="633" customFormat="false" ht="15" hidden="false" customHeight="true" outlineLevel="0" collapsed="false">
      <c r="A633" s="144" t="n">
        <v>46055</v>
      </c>
      <c r="B633" s="113"/>
      <c r="C633" s="159" t="s">
        <v>679</v>
      </c>
      <c r="D633" s="158" t="s">
        <v>161</v>
      </c>
      <c r="E633" s="147" t="n">
        <v>8</v>
      </c>
      <c r="F633" s="147" t="n">
        <v>1000</v>
      </c>
      <c r="G633" s="160" t="n">
        <v>8</v>
      </c>
      <c r="H633" s="20"/>
      <c r="I633" s="158" t="s">
        <v>714</v>
      </c>
    </row>
    <row r="634" customFormat="false" ht="15" hidden="false" customHeight="true" outlineLevel="0" collapsed="false">
      <c r="A634" s="144" t="n">
        <v>46055</v>
      </c>
      <c r="B634" s="113"/>
      <c r="C634" s="159" t="s">
        <v>679</v>
      </c>
      <c r="D634" s="158" t="s">
        <v>169</v>
      </c>
      <c r="E634" s="147" t="n">
        <v>2</v>
      </c>
      <c r="F634" s="147" t="n">
        <v>1000</v>
      </c>
      <c r="G634" s="160" t="n">
        <v>2</v>
      </c>
      <c r="H634" s="20"/>
      <c r="I634" s="158" t="s">
        <v>719</v>
      </c>
    </row>
    <row r="635" customFormat="false" ht="15" hidden="false" customHeight="true" outlineLevel="0" collapsed="false">
      <c r="A635" s="144" t="n">
        <v>46055</v>
      </c>
      <c r="B635" s="113"/>
      <c r="C635" s="159" t="s">
        <v>679</v>
      </c>
      <c r="D635" s="158" t="s">
        <v>173</v>
      </c>
      <c r="E635" s="147" t="n">
        <v>2</v>
      </c>
      <c r="F635" s="147" t="n">
        <v>50</v>
      </c>
      <c r="G635" s="160" t="n">
        <v>0.5</v>
      </c>
      <c r="H635" s="20"/>
      <c r="I635" s="158" t="s">
        <v>765</v>
      </c>
    </row>
    <row r="636" customFormat="false" ht="15" hidden="false" customHeight="true" outlineLevel="0" collapsed="false">
      <c r="A636" s="144" t="n">
        <v>46055</v>
      </c>
      <c r="B636" s="113"/>
      <c r="C636" s="159" t="s">
        <v>679</v>
      </c>
      <c r="D636" s="158" t="s">
        <v>173</v>
      </c>
      <c r="E636" s="147" t="n">
        <v>2</v>
      </c>
      <c r="F636" s="147" t="n">
        <v>50</v>
      </c>
      <c r="G636" s="160" t="n">
        <v>1</v>
      </c>
      <c r="H636" s="20"/>
      <c r="I636" s="158" t="s">
        <v>728</v>
      </c>
    </row>
    <row r="637" customFormat="false" ht="15" hidden="false" customHeight="true" outlineLevel="0" collapsed="false">
      <c r="A637" s="144" t="n">
        <v>46055</v>
      </c>
      <c r="B637" s="113"/>
      <c r="C637" s="159" t="s">
        <v>679</v>
      </c>
      <c r="D637" s="158" t="s">
        <v>174</v>
      </c>
      <c r="E637" s="147" t="n">
        <v>8</v>
      </c>
      <c r="F637" s="147" t="n">
        <v>1000</v>
      </c>
      <c r="G637" s="160" t="n">
        <v>8</v>
      </c>
      <c r="H637" s="20"/>
      <c r="I637" s="158" t="s">
        <v>714</v>
      </c>
    </row>
    <row r="638" customFormat="false" ht="15" hidden="false" customHeight="true" outlineLevel="0" collapsed="false">
      <c r="A638" s="144" t="n">
        <v>46055</v>
      </c>
      <c r="B638" s="113"/>
      <c r="C638" s="159" t="s">
        <v>679</v>
      </c>
      <c r="D638" s="158" t="s">
        <v>174</v>
      </c>
      <c r="E638" s="147" t="n">
        <v>16</v>
      </c>
      <c r="F638" s="147" t="n">
        <v>1000</v>
      </c>
      <c r="G638" s="160" t="n">
        <v>32</v>
      </c>
      <c r="H638" s="20"/>
      <c r="I638" s="158" t="s">
        <v>730</v>
      </c>
    </row>
    <row r="639" customFormat="false" ht="15" hidden="false" customHeight="true" outlineLevel="0" collapsed="false">
      <c r="A639" s="144" t="n">
        <v>46055</v>
      </c>
      <c r="B639" s="113"/>
      <c r="C639" s="159" t="s">
        <v>679</v>
      </c>
      <c r="D639" s="158" t="s">
        <v>174</v>
      </c>
      <c r="E639" s="147" t="n">
        <v>1</v>
      </c>
      <c r="F639" s="147" t="n">
        <v>1000</v>
      </c>
      <c r="G639" s="160" t="n">
        <v>1</v>
      </c>
      <c r="H639" s="20"/>
      <c r="I639" s="158" t="s">
        <v>745</v>
      </c>
    </row>
    <row r="640" customFormat="false" ht="15" hidden="false" customHeight="true" outlineLevel="0" collapsed="false">
      <c r="A640" s="144" t="n">
        <v>46055</v>
      </c>
      <c r="B640" s="113"/>
      <c r="C640" s="159" t="s">
        <v>679</v>
      </c>
      <c r="D640" s="158" t="s">
        <v>179</v>
      </c>
      <c r="E640" s="147" t="n">
        <v>3</v>
      </c>
      <c r="F640" s="147" t="n">
        <v>1000</v>
      </c>
      <c r="G640" s="160" t="n">
        <v>3</v>
      </c>
      <c r="H640" s="20"/>
      <c r="I640" s="158" t="s">
        <v>715</v>
      </c>
    </row>
    <row r="641" customFormat="false" ht="15" hidden="false" customHeight="true" outlineLevel="0" collapsed="false">
      <c r="A641" s="144" t="n">
        <v>46055</v>
      </c>
      <c r="B641" s="113"/>
      <c r="C641" s="159" t="s">
        <v>679</v>
      </c>
      <c r="D641" s="158" t="s">
        <v>179</v>
      </c>
      <c r="E641" s="147" t="n">
        <v>1</v>
      </c>
      <c r="F641" s="147" t="n">
        <v>40</v>
      </c>
      <c r="G641" s="160" t="n">
        <v>0.8</v>
      </c>
      <c r="H641" s="20"/>
      <c r="I641" s="158" t="s">
        <v>688</v>
      </c>
    </row>
    <row r="642" customFormat="false" ht="15" hidden="false" customHeight="true" outlineLevel="0" collapsed="false">
      <c r="A642" s="144" t="n">
        <v>46055</v>
      </c>
      <c r="B642" s="113"/>
      <c r="C642" s="159" t="s">
        <v>679</v>
      </c>
      <c r="D642" s="158" t="s">
        <v>183</v>
      </c>
      <c r="E642" s="147" t="n">
        <v>55</v>
      </c>
      <c r="F642" s="147" t="n">
        <v>60</v>
      </c>
      <c r="G642" s="160" t="n">
        <v>99</v>
      </c>
      <c r="H642" s="20"/>
      <c r="I642" s="158" t="s">
        <v>689</v>
      </c>
    </row>
    <row r="643" customFormat="false" ht="15" hidden="false" customHeight="true" outlineLevel="0" collapsed="false">
      <c r="A643" s="144" t="n">
        <v>46055</v>
      </c>
      <c r="B643" s="113"/>
      <c r="C643" s="159" t="s">
        <v>679</v>
      </c>
      <c r="D643" s="158" t="s">
        <v>184</v>
      </c>
      <c r="E643" s="147" t="n">
        <v>1</v>
      </c>
      <c r="F643" s="147" t="n">
        <v>50</v>
      </c>
      <c r="G643" s="160" t="n">
        <v>1</v>
      </c>
      <c r="H643" s="20"/>
      <c r="I643" s="158" t="s">
        <v>701</v>
      </c>
    </row>
    <row r="644" customFormat="false" ht="15" hidden="false" customHeight="true" outlineLevel="0" collapsed="false">
      <c r="A644" s="144" t="n">
        <v>46055</v>
      </c>
      <c r="B644" s="113"/>
      <c r="C644" s="159" t="s">
        <v>679</v>
      </c>
      <c r="D644" s="158" t="s">
        <v>184</v>
      </c>
      <c r="E644" s="147" t="n">
        <v>6</v>
      </c>
      <c r="F644" s="147" t="n">
        <v>50</v>
      </c>
      <c r="G644" s="160" t="n">
        <v>12</v>
      </c>
      <c r="H644" s="20"/>
      <c r="I644" s="158" t="s">
        <v>691</v>
      </c>
    </row>
    <row r="645" customFormat="false" ht="15" hidden="false" customHeight="true" outlineLevel="0" collapsed="false">
      <c r="A645" s="144" t="n">
        <v>46055</v>
      </c>
      <c r="B645" s="113"/>
      <c r="C645" s="159" t="s">
        <v>679</v>
      </c>
      <c r="D645" s="158" t="s">
        <v>184</v>
      </c>
      <c r="E645" s="147" t="n">
        <v>3</v>
      </c>
      <c r="F645" s="147" t="n">
        <v>50</v>
      </c>
      <c r="G645" s="160" t="n">
        <v>0.15</v>
      </c>
      <c r="H645" s="20"/>
      <c r="I645" s="158" t="s">
        <v>713</v>
      </c>
    </row>
    <row r="646" customFormat="false" ht="15" hidden="false" customHeight="true" outlineLevel="0" collapsed="false">
      <c r="A646" s="144" t="n">
        <v>46055</v>
      </c>
      <c r="B646" s="113"/>
      <c r="C646" s="159" t="s">
        <v>679</v>
      </c>
      <c r="D646" s="158" t="s">
        <v>184</v>
      </c>
      <c r="E646" s="147" t="n">
        <v>5</v>
      </c>
      <c r="F646" s="147" t="n">
        <v>50</v>
      </c>
      <c r="G646" s="160" t="n">
        <v>0.25</v>
      </c>
      <c r="H646" s="20"/>
      <c r="I646" s="158" t="s">
        <v>684</v>
      </c>
    </row>
    <row r="647" customFormat="false" ht="15" hidden="false" customHeight="true" outlineLevel="0" collapsed="false">
      <c r="A647" s="144" t="n">
        <v>46055</v>
      </c>
      <c r="B647" s="113"/>
      <c r="C647" s="159" t="s">
        <v>679</v>
      </c>
      <c r="D647" s="158" t="s">
        <v>186</v>
      </c>
      <c r="E647" s="147" t="n">
        <v>2</v>
      </c>
      <c r="F647" s="147" t="n">
        <v>50</v>
      </c>
      <c r="G647" s="160" t="n">
        <v>0.1</v>
      </c>
      <c r="H647" s="20"/>
      <c r="I647" s="158" t="s">
        <v>713</v>
      </c>
    </row>
    <row r="648" customFormat="false" ht="15" hidden="false" customHeight="true" outlineLevel="0" collapsed="false">
      <c r="A648" s="144" t="n">
        <v>46055</v>
      </c>
      <c r="B648" s="113"/>
      <c r="C648" s="159" t="s">
        <v>679</v>
      </c>
      <c r="D648" s="158" t="s">
        <v>186</v>
      </c>
      <c r="E648" s="147" t="n">
        <v>4</v>
      </c>
      <c r="F648" s="147" t="n">
        <v>50</v>
      </c>
      <c r="G648" s="160" t="n">
        <v>0.2</v>
      </c>
      <c r="H648" s="20"/>
      <c r="I648" s="158" t="s">
        <v>684</v>
      </c>
    </row>
    <row r="649" customFormat="false" ht="15" hidden="false" customHeight="true" outlineLevel="0" collapsed="false">
      <c r="A649" s="144" t="n">
        <v>46055</v>
      </c>
      <c r="B649" s="113"/>
      <c r="C649" s="159" t="s">
        <v>679</v>
      </c>
      <c r="D649" s="158" t="s">
        <v>192</v>
      </c>
      <c r="E649" s="147" t="n">
        <v>2</v>
      </c>
      <c r="F649" s="147" t="n">
        <v>50</v>
      </c>
      <c r="G649" s="160" t="n">
        <v>0.1</v>
      </c>
      <c r="H649" s="20"/>
      <c r="I649" s="158" t="s">
        <v>713</v>
      </c>
    </row>
    <row r="650" customFormat="false" ht="15" hidden="false" customHeight="true" outlineLevel="0" collapsed="false">
      <c r="A650" s="144" t="n">
        <v>46055</v>
      </c>
      <c r="B650" s="113"/>
      <c r="C650" s="159" t="s">
        <v>679</v>
      </c>
      <c r="D650" s="158" t="s">
        <v>192</v>
      </c>
      <c r="E650" s="147" t="n">
        <v>5</v>
      </c>
      <c r="F650" s="147" t="n">
        <v>50</v>
      </c>
      <c r="G650" s="160" t="n">
        <v>0.25</v>
      </c>
      <c r="H650" s="20"/>
      <c r="I650" s="158" t="s">
        <v>684</v>
      </c>
    </row>
    <row r="651" customFormat="false" ht="15" hidden="false" customHeight="true" outlineLevel="0" collapsed="false">
      <c r="A651" s="144" t="n">
        <v>46055</v>
      </c>
      <c r="B651" s="113"/>
      <c r="C651" s="159" t="s">
        <v>679</v>
      </c>
      <c r="D651" s="158" t="s">
        <v>195</v>
      </c>
      <c r="E651" s="147" t="n">
        <v>2</v>
      </c>
      <c r="F651" s="147" t="n">
        <v>50</v>
      </c>
      <c r="G651" s="160" t="n">
        <v>0.1</v>
      </c>
      <c r="H651" s="20"/>
      <c r="I651" s="158" t="s">
        <v>713</v>
      </c>
    </row>
    <row r="652" customFormat="false" ht="15" hidden="false" customHeight="true" outlineLevel="0" collapsed="false">
      <c r="A652" s="144" t="n">
        <v>46055</v>
      </c>
      <c r="B652" s="113"/>
      <c r="C652" s="159" t="s">
        <v>679</v>
      </c>
      <c r="D652" s="158" t="s">
        <v>195</v>
      </c>
      <c r="E652" s="147" t="n">
        <v>4</v>
      </c>
      <c r="F652" s="147" t="n">
        <v>50</v>
      </c>
      <c r="G652" s="160" t="n">
        <v>0.2</v>
      </c>
      <c r="H652" s="20"/>
      <c r="I652" s="158" t="s">
        <v>684</v>
      </c>
    </row>
    <row r="653" customFormat="false" ht="15" hidden="false" customHeight="true" outlineLevel="0" collapsed="false">
      <c r="A653" s="144" t="n">
        <v>46055</v>
      </c>
      <c r="B653" s="113"/>
      <c r="C653" s="159" t="s">
        <v>679</v>
      </c>
      <c r="D653" s="158" t="s">
        <v>222</v>
      </c>
      <c r="E653" s="147" t="n">
        <v>6</v>
      </c>
      <c r="F653" s="147" t="n">
        <v>40</v>
      </c>
      <c r="G653" s="160" t="n">
        <v>4.8</v>
      </c>
      <c r="H653" s="20"/>
      <c r="I653" s="158" t="s">
        <v>692</v>
      </c>
    </row>
    <row r="654" customFormat="false" ht="15" hidden="false" customHeight="true" outlineLevel="0" collapsed="false">
      <c r="A654" s="144" t="n">
        <v>46055</v>
      </c>
      <c r="B654" s="113"/>
      <c r="C654" s="159" t="s">
        <v>679</v>
      </c>
      <c r="D654" s="158" t="s">
        <v>221</v>
      </c>
      <c r="E654" s="147" t="n">
        <v>4</v>
      </c>
      <c r="F654" s="147" t="n">
        <v>40</v>
      </c>
      <c r="G654" s="160" t="n">
        <v>3.2</v>
      </c>
      <c r="H654" s="20"/>
      <c r="I654" s="158" t="s">
        <v>693</v>
      </c>
    </row>
    <row r="655" customFormat="false" ht="15" hidden="false" customHeight="true" outlineLevel="0" collapsed="false">
      <c r="A655" s="144" t="n">
        <v>46055</v>
      </c>
      <c r="B655" s="113"/>
      <c r="C655" s="159" t="s">
        <v>679</v>
      </c>
      <c r="D655" s="158" t="s">
        <v>204</v>
      </c>
      <c r="E655" s="147" t="n">
        <v>1</v>
      </c>
      <c r="F655" s="147" t="n">
        <v>60</v>
      </c>
      <c r="G655" s="160" t="n">
        <v>0.9</v>
      </c>
      <c r="H655" s="20"/>
      <c r="I655" s="158" t="s">
        <v>745</v>
      </c>
    </row>
    <row r="656" customFormat="false" ht="15" hidden="false" customHeight="true" outlineLevel="0" collapsed="false">
      <c r="A656" s="144" t="n">
        <v>46055</v>
      </c>
      <c r="B656" s="113"/>
      <c r="C656" s="159" t="s">
        <v>679</v>
      </c>
      <c r="D656" s="158" t="s">
        <v>204</v>
      </c>
      <c r="E656" s="147" t="n">
        <v>8</v>
      </c>
      <c r="F656" s="147" t="n">
        <v>1000</v>
      </c>
      <c r="G656" s="160" t="n">
        <v>14.4</v>
      </c>
      <c r="H656" s="20"/>
      <c r="I656" s="158" t="s">
        <v>703</v>
      </c>
    </row>
    <row r="657" customFormat="false" ht="15" hidden="false" customHeight="true" outlineLevel="0" collapsed="false">
      <c r="A657" s="144" t="n">
        <v>46055</v>
      </c>
      <c r="B657" s="113"/>
      <c r="C657" s="159" t="s">
        <v>679</v>
      </c>
      <c r="D657" s="158" t="s">
        <v>204</v>
      </c>
      <c r="E657" s="147" t="n">
        <v>648</v>
      </c>
      <c r="F657" s="147" t="n">
        <v>60</v>
      </c>
      <c r="G657" s="160" t="n">
        <v>583.2</v>
      </c>
      <c r="H657" s="20"/>
      <c r="I657" s="158" t="s">
        <v>770</v>
      </c>
    </row>
    <row r="658" customFormat="false" ht="15" hidden="false" customHeight="true" outlineLevel="0" collapsed="false">
      <c r="A658" s="144" t="n">
        <v>46055</v>
      </c>
      <c r="B658" s="113"/>
      <c r="C658" s="159" t="s">
        <v>679</v>
      </c>
      <c r="D658" s="158" t="s">
        <v>204</v>
      </c>
      <c r="E658" s="147" t="n">
        <v>8</v>
      </c>
      <c r="F658" s="147" t="n">
        <v>60</v>
      </c>
      <c r="G658" s="160" t="n">
        <v>14.4</v>
      </c>
      <c r="H658" s="20"/>
      <c r="I658" s="158" t="s">
        <v>694</v>
      </c>
    </row>
    <row r="659" customFormat="false" ht="15" hidden="false" customHeight="true" outlineLevel="0" collapsed="false">
      <c r="A659" s="144" t="n">
        <v>46055</v>
      </c>
      <c r="B659" s="113"/>
      <c r="C659" s="159" t="s">
        <v>679</v>
      </c>
      <c r="D659" s="158" t="s">
        <v>204</v>
      </c>
      <c r="E659" s="147" t="n">
        <v>113</v>
      </c>
      <c r="F659" s="147" t="n">
        <v>60</v>
      </c>
      <c r="G659" s="160" t="n">
        <v>203.4</v>
      </c>
      <c r="H659" s="20"/>
      <c r="I659" s="158" t="s">
        <v>771</v>
      </c>
    </row>
    <row r="660" customFormat="false" ht="15" hidden="false" customHeight="true" outlineLevel="0" collapsed="false">
      <c r="A660" s="144" t="n">
        <v>46055</v>
      </c>
      <c r="B660" s="113"/>
      <c r="C660" s="159" t="s">
        <v>679</v>
      </c>
      <c r="D660" s="158" t="s">
        <v>204</v>
      </c>
      <c r="E660" s="147" t="n">
        <v>42</v>
      </c>
      <c r="F660" s="147" t="n">
        <v>60</v>
      </c>
      <c r="G660" s="160" t="n">
        <v>151.2</v>
      </c>
      <c r="H660" s="20"/>
      <c r="I660" s="158" t="s">
        <v>742</v>
      </c>
    </row>
    <row r="661" customFormat="false" ht="15" hidden="false" customHeight="true" outlineLevel="0" collapsed="false">
      <c r="A661" s="144" t="n">
        <v>46055</v>
      </c>
      <c r="B661" s="113"/>
      <c r="C661" s="159" t="s">
        <v>679</v>
      </c>
      <c r="D661" s="158" t="s">
        <v>236</v>
      </c>
      <c r="E661" s="147" t="n">
        <v>1</v>
      </c>
      <c r="F661" s="147" t="n">
        <v>60</v>
      </c>
      <c r="G661" s="160" t="n">
        <v>0.9</v>
      </c>
      <c r="H661" s="20"/>
      <c r="I661" s="158" t="s">
        <v>745</v>
      </c>
    </row>
    <row r="662" customFormat="false" ht="15" hidden="false" customHeight="true" outlineLevel="0" collapsed="false">
      <c r="A662" s="144" t="n">
        <v>46055</v>
      </c>
      <c r="B662" s="113"/>
      <c r="C662" s="159" t="s">
        <v>679</v>
      </c>
      <c r="D662" s="158" t="s">
        <v>236</v>
      </c>
      <c r="E662" s="147" t="n">
        <v>9</v>
      </c>
      <c r="F662" s="147" t="n">
        <v>60</v>
      </c>
      <c r="G662" s="160" t="n">
        <v>16.2</v>
      </c>
      <c r="H662" s="20"/>
      <c r="I662" s="158" t="s">
        <v>695</v>
      </c>
    </row>
    <row r="663" customFormat="false" ht="15" hidden="false" customHeight="true" outlineLevel="0" collapsed="false">
      <c r="A663" s="144" t="n">
        <v>46055</v>
      </c>
      <c r="B663" s="113"/>
      <c r="C663" s="159" t="s">
        <v>679</v>
      </c>
      <c r="D663" s="158" t="s">
        <v>236</v>
      </c>
      <c r="E663" s="147" t="n">
        <v>12</v>
      </c>
      <c r="F663" s="147" t="n">
        <v>60</v>
      </c>
      <c r="G663" s="160" t="n">
        <v>43.2</v>
      </c>
      <c r="H663" s="20"/>
      <c r="I663" s="158" t="s">
        <v>772</v>
      </c>
    </row>
    <row r="664" customFormat="false" ht="15" hidden="false" customHeight="true" outlineLevel="0" collapsed="false">
      <c r="A664" s="144" t="n">
        <v>46055</v>
      </c>
      <c r="B664" s="113"/>
      <c r="C664" s="159" t="s">
        <v>679</v>
      </c>
      <c r="D664" s="158" t="s">
        <v>236</v>
      </c>
      <c r="E664" s="147" t="n">
        <v>648</v>
      </c>
      <c r="F664" s="147" t="n">
        <v>60</v>
      </c>
      <c r="G664" s="160" t="n">
        <v>583.2</v>
      </c>
      <c r="H664" s="20"/>
      <c r="I664" s="158" t="s">
        <v>770</v>
      </c>
    </row>
    <row r="665" customFormat="false" ht="15" hidden="false" customHeight="true" outlineLevel="0" collapsed="false">
      <c r="A665" s="144" t="n">
        <v>46055</v>
      </c>
      <c r="B665" s="113"/>
      <c r="C665" s="159" t="s">
        <v>679</v>
      </c>
      <c r="D665" s="158" t="s">
        <v>236</v>
      </c>
      <c r="E665" s="147" t="n">
        <v>113</v>
      </c>
      <c r="F665" s="147" t="n">
        <v>60</v>
      </c>
      <c r="G665" s="160" t="n">
        <v>203.4</v>
      </c>
      <c r="H665" s="20"/>
      <c r="I665" s="158" t="s">
        <v>771</v>
      </c>
    </row>
    <row r="666" customFormat="false" ht="15" hidden="false" customHeight="true" outlineLevel="0" collapsed="false">
      <c r="A666" s="144" t="n">
        <v>46055</v>
      </c>
      <c r="B666" s="113"/>
      <c r="C666" s="159" t="s">
        <v>679</v>
      </c>
      <c r="D666" s="158" t="s">
        <v>206</v>
      </c>
      <c r="E666" s="147" t="n">
        <v>3</v>
      </c>
      <c r="F666" s="147" t="n">
        <v>30</v>
      </c>
      <c r="G666" s="160" t="n">
        <v>5.4</v>
      </c>
      <c r="H666" s="20"/>
      <c r="I666" s="158" t="s">
        <v>696</v>
      </c>
    </row>
    <row r="667" customFormat="false" ht="15" hidden="false" customHeight="true" outlineLevel="0" collapsed="false">
      <c r="A667" s="144" t="n">
        <v>46055</v>
      </c>
      <c r="B667" s="113"/>
      <c r="C667" s="159" t="s">
        <v>679</v>
      </c>
      <c r="D667" s="158" t="s">
        <v>206</v>
      </c>
      <c r="E667" s="147" t="n">
        <v>1</v>
      </c>
      <c r="F667" s="147" t="n">
        <v>30</v>
      </c>
      <c r="G667" s="160" t="n">
        <v>0.9</v>
      </c>
      <c r="H667" s="20"/>
      <c r="I667" s="158" t="s">
        <v>731</v>
      </c>
    </row>
    <row r="668" customFormat="false" ht="15" hidden="false" customHeight="true" outlineLevel="0" collapsed="false">
      <c r="A668" s="144" t="n">
        <v>46055</v>
      </c>
      <c r="B668" s="113"/>
      <c r="C668" s="159" t="s">
        <v>679</v>
      </c>
      <c r="D668" s="158" t="s">
        <v>212</v>
      </c>
      <c r="E668" s="147" t="n">
        <v>2</v>
      </c>
      <c r="F668" s="147" t="n">
        <v>50</v>
      </c>
      <c r="G668" s="160" t="n">
        <v>0.5</v>
      </c>
      <c r="H668" s="20"/>
      <c r="I668" s="158" t="s">
        <v>765</v>
      </c>
    </row>
    <row r="669" customFormat="false" ht="15" hidden="false" customHeight="true" outlineLevel="0" collapsed="false">
      <c r="A669" s="144" t="n">
        <v>46055</v>
      </c>
      <c r="B669" s="113"/>
      <c r="C669" s="159" t="s">
        <v>679</v>
      </c>
      <c r="D669" s="158" t="s">
        <v>219</v>
      </c>
      <c r="E669" s="147" t="n">
        <v>2</v>
      </c>
      <c r="F669" s="147" t="n">
        <v>50</v>
      </c>
      <c r="G669" s="160" t="n">
        <v>0.1</v>
      </c>
      <c r="H669" s="20"/>
      <c r="I669" s="158" t="s">
        <v>713</v>
      </c>
    </row>
    <row r="670" customFormat="false" ht="15" hidden="false" customHeight="true" outlineLevel="0" collapsed="false">
      <c r="A670" s="144" t="n">
        <v>46055</v>
      </c>
      <c r="B670" s="113"/>
      <c r="C670" s="159" t="s">
        <v>679</v>
      </c>
      <c r="D670" s="158" t="s">
        <v>219</v>
      </c>
      <c r="E670" s="147" t="n">
        <v>4</v>
      </c>
      <c r="F670" s="147" t="n">
        <v>50</v>
      </c>
      <c r="G670" s="160" t="n">
        <v>0.2</v>
      </c>
      <c r="H670" s="20"/>
      <c r="I670" s="158" t="s">
        <v>684</v>
      </c>
    </row>
    <row r="671" customFormat="false" ht="15" hidden="false" customHeight="true" outlineLevel="0" collapsed="false">
      <c r="A671" s="144" t="n">
        <v>46055</v>
      </c>
      <c r="B671" s="113"/>
      <c r="C671" s="159" t="s">
        <v>679</v>
      </c>
      <c r="D671" s="158" t="s">
        <v>220</v>
      </c>
      <c r="E671" s="147" t="n">
        <v>70</v>
      </c>
      <c r="F671" s="147" t="n">
        <v>50</v>
      </c>
      <c r="G671" s="160" t="n">
        <v>3.5</v>
      </c>
      <c r="H671" s="20"/>
      <c r="I671" s="158" t="s">
        <v>764</v>
      </c>
    </row>
    <row r="672" customFormat="false" ht="15" hidden="false" customHeight="true" outlineLevel="0" collapsed="false">
      <c r="A672" s="144" t="n">
        <v>46055</v>
      </c>
      <c r="B672" s="158" t="s">
        <v>732</v>
      </c>
      <c r="C672" s="159" t="s">
        <v>670</v>
      </c>
      <c r="D672" s="158" t="s">
        <v>242</v>
      </c>
      <c r="E672" s="147" t="n">
        <v>17</v>
      </c>
      <c r="F672" s="147" t="n">
        <v>360</v>
      </c>
      <c r="G672" s="160" t="n">
        <v>6.12</v>
      </c>
      <c r="H672" s="20"/>
      <c r="I672" s="158" t="s">
        <v>733</v>
      </c>
    </row>
    <row r="673" customFormat="false" ht="15" hidden="false" customHeight="true" outlineLevel="0" collapsed="false">
      <c r="A673" s="144" t="n">
        <v>46055</v>
      </c>
      <c r="B673" s="158" t="s">
        <v>732</v>
      </c>
      <c r="C673" s="159" t="s">
        <v>670</v>
      </c>
      <c r="D673" s="158" t="s">
        <v>241</v>
      </c>
      <c r="E673" s="147" t="n">
        <v>8</v>
      </c>
      <c r="F673" s="147" t="n">
        <v>360</v>
      </c>
      <c r="G673" s="160" t="n">
        <v>2.88</v>
      </c>
      <c r="H673" s="20"/>
      <c r="I673" s="158" t="s">
        <v>735</v>
      </c>
    </row>
    <row r="674" customFormat="false" ht="15" hidden="false" customHeight="true" outlineLevel="0" collapsed="false">
      <c r="A674" s="144" t="n">
        <v>46055</v>
      </c>
      <c r="B674" s="158" t="s">
        <v>732</v>
      </c>
      <c r="C674" s="159" t="s">
        <v>670</v>
      </c>
      <c r="D674" s="158" t="s">
        <v>243</v>
      </c>
      <c r="E674" s="147" t="n">
        <v>25</v>
      </c>
      <c r="F674" s="147" t="n">
        <v>360</v>
      </c>
      <c r="G674" s="160" t="n">
        <v>9</v>
      </c>
      <c r="H674" s="20"/>
      <c r="I674" s="158" t="s">
        <v>737</v>
      </c>
    </row>
    <row r="675" customFormat="false" ht="15" hidden="false" customHeight="true" outlineLevel="0" collapsed="false">
      <c r="A675" s="144" t="n">
        <v>46055</v>
      </c>
      <c r="B675" s="158" t="s">
        <v>732</v>
      </c>
      <c r="C675" s="159" t="s">
        <v>670</v>
      </c>
      <c r="D675" s="158" t="s">
        <v>244</v>
      </c>
      <c r="E675" s="147" t="n">
        <v>23</v>
      </c>
      <c r="F675" s="147" t="n">
        <v>360</v>
      </c>
      <c r="G675" s="160" t="n">
        <v>8.28</v>
      </c>
      <c r="H675" s="20"/>
      <c r="I675" s="158" t="s">
        <v>738</v>
      </c>
    </row>
    <row r="676" customFormat="false" ht="15" hidden="false" customHeight="true" outlineLevel="0" collapsed="false">
      <c r="A676" s="144" t="n">
        <v>46055</v>
      </c>
      <c r="B676" s="158" t="s">
        <v>746</v>
      </c>
      <c r="C676" s="159" t="s">
        <v>670</v>
      </c>
      <c r="D676" s="158" t="s">
        <v>242</v>
      </c>
      <c r="E676" s="147" t="n">
        <v>1</v>
      </c>
      <c r="F676" s="147" t="n">
        <v>360</v>
      </c>
      <c r="G676" s="160" t="n">
        <v>0.36</v>
      </c>
      <c r="H676" s="20"/>
      <c r="I676" s="158" t="s">
        <v>747</v>
      </c>
    </row>
    <row r="677" customFormat="false" ht="15" hidden="false" customHeight="true" outlineLevel="0" collapsed="false">
      <c r="A677" s="144" t="n">
        <v>46055</v>
      </c>
      <c r="B677" s="158" t="s">
        <v>746</v>
      </c>
      <c r="C677" s="159" t="s">
        <v>670</v>
      </c>
      <c r="D677" s="158" t="s">
        <v>241</v>
      </c>
      <c r="E677" s="147" t="n">
        <v>3</v>
      </c>
      <c r="F677" s="147" t="n">
        <v>360</v>
      </c>
      <c r="G677" s="160" t="n">
        <v>1.08</v>
      </c>
      <c r="H677" s="20"/>
      <c r="I677" s="158" t="s">
        <v>749</v>
      </c>
    </row>
    <row r="678" customFormat="false" ht="15" hidden="false" customHeight="true" outlineLevel="0" collapsed="false">
      <c r="A678" s="144" t="n">
        <v>46055</v>
      </c>
      <c r="B678" s="158" t="s">
        <v>746</v>
      </c>
      <c r="C678" s="159" t="s">
        <v>670</v>
      </c>
      <c r="D678" s="158" t="s">
        <v>243</v>
      </c>
      <c r="E678" s="147" t="n">
        <v>2</v>
      </c>
      <c r="F678" s="147" t="n">
        <v>360</v>
      </c>
      <c r="G678" s="160" t="n">
        <v>0.72</v>
      </c>
      <c r="H678" s="20"/>
      <c r="I678" s="158" t="s">
        <v>751</v>
      </c>
    </row>
    <row r="679" customFormat="false" ht="15" hidden="false" customHeight="true" outlineLevel="0" collapsed="false">
      <c r="A679" s="144" t="n">
        <v>46055</v>
      </c>
      <c r="B679" s="158" t="s">
        <v>746</v>
      </c>
      <c r="C679" s="159" t="s">
        <v>670</v>
      </c>
      <c r="D679" s="158" t="s">
        <v>244</v>
      </c>
      <c r="E679" s="147" t="n">
        <v>4</v>
      </c>
      <c r="F679" s="147" t="n">
        <v>360</v>
      </c>
      <c r="G679" s="160" t="n">
        <v>1.44</v>
      </c>
      <c r="H679" s="20"/>
      <c r="I679" s="158" t="s">
        <v>752</v>
      </c>
    </row>
    <row r="680" customFormat="false" ht="15" hidden="false" customHeight="true" outlineLevel="0" collapsed="false">
      <c r="A680" s="144" t="n">
        <v>46056</v>
      </c>
      <c r="B680" s="113"/>
      <c r="C680" s="159" t="s">
        <v>679</v>
      </c>
      <c r="D680" s="158" t="s">
        <v>142</v>
      </c>
      <c r="E680" s="147" t="n">
        <v>10</v>
      </c>
      <c r="F680" s="147" t="n">
        <v>50</v>
      </c>
      <c r="G680" s="160" t="n">
        <v>0.5</v>
      </c>
      <c r="H680" s="20"/>
      <c r="I680" s="158" t="s">
        <v>681</v>
      </c>
    </row>
    <row r="681" customFormat="false" ht="15" hidden="false" customHeight="true" outlineLevel="0" collapsed="false">
      <c r="A681" s="144" t="n">
        <v>46056</v>
      </c>
      <c r="B681" s="113"/>
      <c r="C681" s="159" t="s">
        <v>679</v>
      </c>
      <c r="D681" s="158" t="s">
        <v>143</v>
      </c>
      <c r="E681" s="147" t="n">
        <v>11</v>
      </c>
      <c r="F681" s="147" t="n">
        <v>50</v>
      </c>
      <c r="G681" s="160" t="n">
        <v>11</v>
      </c>
      <c r="H681" s="20"/>
      <c r="I681" s="158" t="s">
        <v>682</v>
      </c>
    </row>
    <row r="682" customFormat="false" ht="15" hidden="false" customHeight="true" outlineLevel="0" collapsed="false">
      <c r="A682" s="144" t="n">
        <v>46056</v>
      </c>
      <c r="B682" s="113"/>
      <c r="C682" s="159" t="s">
        <v>679</v>
      </c>
      <c r="D682" s="158" t="s">
        <v>143</v>
      </c>
      <c r="E682" s="147" t="n">
        <v>1</v>
      </c>
      <c r="F682" s="147" t="n">
        <v>50</v>
      </c>
      <c r="G682" s="160" t="n">
        <v>2</v>
      </c>
      <c r="H682" s="20"/>
      <c r="I682" s="158" t="s">
        <v>683</v>
      </c>
    </row>
    <row r="683" customFormat="false" ht="15" hidden="false" customHeight="true" outlineLevel="0" collapsed="false">
      <c r="A683" s="144" t="n">
        <v>46056</v>
      </c>
      <c r="B683" s="113"/>
      <c r="C683" s="159" t="s">
        <v>679</v>
      </c>
      <c r="D683" s="158" t="s">
        <v>143</v>
      </c>
      <c r="E683" s="147" t="n">
        <v>1</v>
      </c>
      <c r="F683" s="147" t="n">
        <v>50</v>
      </c>
      <c r="G683" s="160" t="n">
        <v>0.25</v>
      </c>
      <c r="H683" s="20"/>
      <c r="I683" s="158" t="s">
        <v>765</v>
      </c>
    </row>
    <row r="684" customFormat="false" ht="15" hidden="false" customHeight="true" outlineLevel="0" collapsed="false">
      <c r="A684" s="144" t="n">
        <v>46056</v>
      </c>
      <c r="B684" s="113"/>
      <c r="C684" s="159" t="s">
        <v>679</v>
      </c>
      <c r="D684" s="158" t="s">
        <v>143</v>
      </c>
      <c r="E684" s="147" t="n">
        <v>10</v>
      </c>
      <c r="F684" s="147" t="n">
        <v>50</v>
      </c>
      <c r="G684" s="160" t="n">
        <v>0.5</v>
      </c>
      <c r="H684" s="20"/>
      <c r="I684" s="158" t="s">
        <v>741</v>
      </c>
    </row>
    <row r="685" customFormat="false" ht="15" hidden="false" customHeight="true" outlineLevel="0" collapsed="false">
      <c r="A685" s="144" t="n">
        <v>46056</v>
      </c>
      <c r="B685" s="113"/>
      <c r="C685" s="159" t="s">
        <v>679</v>
      </c>
      <c r="D685" s="158" t="s">
        <v>144</v>
      </c>
      <c r="E685" s="147" t="n">
        <v>2</v>
      </c>
      <c r="F685" s="147" t="n">
        <v>1000</v>
      </c>
      <c r="G685" s="160" t="n">
        <v>4</v>
      </c>
      <c r="H685" s="20"/>
      <c r="I685" s="158" t="s">
        <v>685</v>
      </c>
    </row>
    <row r="686" customFormat="false" ht="15" hidden="false" customHeight="true" outlineLevel="0" collapsed="false">
      <c r="A686" s="144" t="n">
        <v>46056</v>
      </c>
      <c r="B686" s="113"/>
      <c r="C686" s="159" t="s">
        <v>679</v>
      </c>
      <c r="D686" s="158" t="s">
        <v>145</v>
      </c>
      <c r="E686" s="147" t="n">
        <v>10</v>
      </c>
      <c r="F686" s="147" t="n">
        <v>50</v>
      </c>
      <c r="G686" s="160" t="n">
        <v>0.5</v>
      </c>
      <c r="H686" s="20"/>
      <c r="I686" s="158" t="s">
        <v>741</v>
      </c>
    </row>
    <row r="687" customFormat="false" ht="15" hidden="false" customHeight="true" outlineLevel="0" collapsed="false">
      <c r="A687" s="144" t="n">
        <v>46056</v>
      </c>
      <c r="B687" s="113"/>
      <c r="C687" s="159" t="s">
        <v>679</v>
      </c>
      <c r="D687" s="158" t="s">
        <v>146</v>
      </c>
      <c r="E687" s="147" t="n">
        <v>10</v>
      </c>
      <c r="F687" s="147" t="n">
        <v>50</v>
      </c>
      <c r="G687" s="160" t="n">
        <v>0.5</v>
      </c>
      <c r="H687" s="20"/>
      <c r="I687" s="158" t="s">
        <v>681</v>
      </c>
    </row>
    <row r="688" customFormat="false" ht="15" hidden="false" customHeight="true" outlineLevel="0" collapsed="false">
      <c r="A688" s="144" t="n">
        <v>46056</v>
      </c>
      <c r="B688" s="113"/>
      <c r="C688" s="159" t="s">
        <v>679</v>
      </c>
      <c r="D688" s="158" t="s">
        <v>147</v>
      </c>
      <c r="E688" s="147" t="n">
        <v>10</v>
      </c>
      <c r="F688" s="147" t="n">
        <v>50</v>
      </c>
      <c r="G688" s="160" t="n">
        <v>0.5</v>
      </c>
      <c r="H688" s="20"/>
      <c r="I688" s="158" t="s">
        <v>681</v>
      </c>
    </row>
    <row r="689" customFormat="false" ht="15" hidden="false" customHeight="true" outlineLevel="0" collapsed="false">
      <c r="A689" s="144" t="n">
        <v>46056</v>
      </c>
      <c r="B689" s="113"/>
      <c r="C689" s="159" t="s">
        <v>679</v>
      </c>
      <c r="D689" s="158" t="s">
        <v>148</v>
      </c>
      <c r="E689" s="147" t="n">
        <v>8</v>
      </c>
      <c r="F689" s="147" t="n">
        <v>50</v>
      </c>
      <c r="G689" s="160" t="n">
        <v>0.4</v>
      </c>
      <c r="H689" s="20"/>
      <c r="I689" s="158" t="s">
        <v>741</v>
      </c>
    </row>
    <row r="690" customFormat="false" ht="15" hidden="false" customHeight="true" outlineLevel="0" collapsed="false">
      <c r="A690" s="144" t="n">
        <v>46056</v>
      </c>
      <c r="B690" s="113"/>
      <c r="C690" s="159" t="s">
        <v>679</v>
      </c>
      <c r="D690" s="158" t="s">
        <v>155</v>
      </c>
      <c r="E690" s="147" t="n">
        <v>1</v>
      </c>
      <c r="F690" s="147" t="n">
        <v>80</v>
      </c>
      <c r="G690" s="160" t="n">
        <v>1.2</v>
      </c>
      <c r="H690" s="20"/>
      <c r="I690" s="113" t="s">
        <v>767</v>
      </c>
    </row>
    <row r="691" customFormat="false" ht="15" hidden="false" customHeight="true" outlineLevel="0" collapsed="false">
      <c r="A691" s="144" t="n">
        <v>46056</v>
      </c>
      <c r="B691" s="113"/>
      <c r="C691" s="159" t="s">
        <v>679</v>
      </c>
      <c r="D691" s="158" t="s">
        <v>155</v>
      </c>
      <c r="E691" s="147" t="n">
        <v>38</v>
      </c>
      <c r="F691" s="147" t="n">
        <v>80</v>
      </c>
      <c r="G691" s="160" t="n">
        <v>60.8</v>
      </c>
      <c r="H691" s="20"/>
      <c r="I691" s="113" t="s">
        <v>686</v>
      </c>
    </row>
    <row r="692" customFormat="false" ht="15" hidden="false" customHeight="true" outlineLevel="0" collapsed="false">
      <c r="A692" s="144" t="n">
        <v>46056</v>
      </c>
      <c r="B692" s="113"/>
      <c r="C692" s="159" t="s">
        <v>679</v>
      </c>
      <c r="D692" s="158" t="s">
        <v>155</v>
      </c>
      <c r="E692" s="147" t="n">
        <v>1</v>
      </c>
      <c r="F692" s="147" t="n">
        <v>80</v>
      </c>
      <c r="G692" s="160" t="n">
        <v>1.2</v>
      </c>
      <c r="H692" s="20"/>
      <c r="I692" s="158" t="s">
        <v>768</v>
      </c>
    </row>
    <row r="693" customFormat="false" ht="15" hidden="false" customHeight="true" outlineLevel="0" collapsed="false">
      <c r="A693" s="144" t="n">
        <v>46056</v>
      </c>
      <c r="B693" s="113"/>
      <c r="C693" s="159" t="s">
        <v>679</v>
      </c>
      <c r="D693" s="158" t="s">
        <v>155</v>
      </c>
      <c r="E693" s="147" t="n">
        <v>1</v>
      </c>
      <c r="F693" s="147" t="n">
        <v>80</v>
      </c>
      <c r="G693" s="160" t="n">
        <v>1.6</v>
      </c>
      <c r="H693" s="20"/>
      <c r="I693" s="158" t="s">
        <v>769</v>
      </c>
    </row>
    <row r="694" customFormat="false" ht="15" hidden="false" customHeight="true" outlineLevel="0" collapsed="false">
      <c r="A694" s="144" t="n">
        <v>46056</v>
      </c>
      <c r="B694" s="113"/>
      <c r="C694" s="159" t="s">
        <v>679</v>
      </c>
      <c r="D694" s="158" t="s">
        <v>159</v>
      </c>
      <c r="E694" s="147" t="n">
        <v>8</v>
      </c>
      <c r="F694" s="147" t="n">
        <v>50</v>
      </c>
      <c r="G694" s="160" t="n">
        <v>0.4</v>
      </c>
      <c r="H694" s="20"/>
      <c r="I694" s="158" t="s">
        <v>741</v>
      </c>
    </row>
    <row r="695" customFormat="false" ht="15" hidden="false" customHeight="true" outlineLevel="0" collapsed="false">
      <c r="A695" s="144" t="n">
        <v>46056</v>
      </c>
      <c r="B695" s="113"/>
      <c r="C695" s="159" t="s">
        <v>679</v>
      </c>
      <c r="D695" s="158" t="s">
        <v>161</v>
      </c>
      <c r="E695" s="147" t="n">
        <v>2</v>
      </c>
      <c r="F695" s="147" t="n">
        <v>1000</v>
      </c>
      <c r="G695" s="160" t="n">
        <v>2</v>
      </c>
      <c r="H695" s="20"/>
      <c r="I695" s="158" t="s">
        <v>714</v>
      </c>
    </row>
    <row r="696" customFormat="false" ht="15" hidden="false" customHeight="true" outlineLevel="0" collapsed="false">
      <c r="A696" s="144" t="n">
        <v>46056</v>
      </c>
      <c r="B696" s="113"/>
      <c r="C696" s="159" t="s">
        <v>679</v>
      </c>
      <c r="D696" s="158" t="s">
        <v>169</v>
      </c>
      <c r="E696" s="147" t="n">
        <v>1</v>
      </c>
      <c r="F696" s="147" t="n">
        <v>1000</v>
      </c>
      <c r="G696" s="160" t="n">
        <v>1</v>
      </c>
      <c r="H696" s="20"/>
      <c r="I696" s="158" t="s">
        <v>719</v>
      </c>
    </row>
    <row r="697" customFormat="false" ht="15" hidden="false" customHeight="true" outlineLevel="0" collapsed="false">
      <c r="A697" s="144" t="n">
        <v>46056</v>
      </c>
      <c r="B697" s="113"/>
      <c r="C697" s="159" t="s">
        <v>679</v>
      </c>
      <c r="D697" s="158" t="s">
        <v>173</v>
      </c>
      <c r="E697" s="147" t="n">
        <v>1</v>
      </c>
      <c r="F697" s="147" t="n">
        <v>50</v>
      </c>
      <c r="G697" s="160" t="n">
        <v>0.25</v>
      </c>
      <c r="H697" s="20"/>
      <c r="I697" s="158" t="s">
        <v>765</v>
      </c>
    </row>
    <row r="698" customFormat="false" ht="15" hidden="false" customHeight="true" outlineLevel="0" collapsed="false">
      <c r="A698" s="144" t="n">
        <v>46056</v>
      </c>
      <c r="B698" s="113"/>
      <c r="C698" s="159" t="s">
        <v>679</v>
      </c>
      <c r="D698" s="158" t="s">
        <v>174</v>
      </c>
      <c r="E698" s="147" t="n">
        <v>2</v>
      </c>
      <c r="F698" s="147" t="n">
        <v>1000</v>
      </c>
      <c r="G698" s="160" t="n">
        <v>2</v>
      </c>
      <c r="H698" s="20"/>
      <c r="I698" s="158" t="s">
        <v>714</v>
      </c>
    </row>
    <row r="699" customFormat="false" ht="15" hidden="false" customHeight="true" outlineLevel="0" collapsed="false">
      <c r="A699" s="144" t="n">
        <v>46056</v>
      </c>
      <c r="B699" s="113"/>
      <c r="C699" s="159" t="s">
        <v>679</v>
      </c>
      <c r="D699" s="158" t="s">
        <v>174</v>
      </c>
      <c r="E699" s="147" t="n">
        <v>2</v>
      </c>
      <c r="F699" s="147" t="n">
        <v>1000</v>
      </c>
      <c r="G699" s="160" t="n">
        <v>4</v>
      </c>
      <c r="H699" s="20"/>
      <c r="I699" s="158" t="s">
        <v>730</v>
      </c>
    </row>
    <row r="700" customFormat="false" ht="15" hidden="false" customHeight="true" outlineLevel="0" collapsed="false">
      <c r="A700" s="144" t="n">
        <v>46056</v>
      </c>
      <c r="B700" s="113"/>
      <c r="C700" s="159" t="s">
        <v>679</v>
      </c>
      <c r="D700" s="158" t="s">
        <v>181</v>
      </c>
      <c r="E700" s="147" t="n">
        <v>1</v>
      </c>
      <c r="F700" s="147" t="n">
        <v>1000</v>
      </c>
      <c r="G700" s="160" t="n">
        <v>2</v>
      </c>
      <c r="H700" s="20"/>
      <c r="I700" s="113" t="s">
        <v>773</v>
      </c>
    </row>
    <row r="701" customFormat="false" ht="15" hidden="false" customHeight="true" outlineLevel="0" collapsed="false">
      <c r="A701" s="144" t="n">
        <v>46056</v>
      </c>
      <c r="B701" s="113"/>
      <c r="C701" s="159" t="s">
        <v>679</v>
      </c>
      <c r="D701" s="158" t="s">
        <v>183</v>
      </c>
      <c r="E701" s="147" t="n">
        <v>5</v>
      </c>
      <c r="F701" s="147" t="n">
        <v>60</v>
      </c>
      <c r="G701" s="160" t="n">
        <v>9</v>
      </c>
      <c r="H701" s="20"/>
      <c r="I701" s="158" t="s">
        <v>689</v>
      </c>
    </row>
    <row r="702" customFormat="false" ht="15" hidden="false" customHeight="true" outlineLevel="0" collapsed="false">
      <c r="A702" s="144" t="n">
        <v>46056</v>
      </c>
      <c r="B702" s="113"/>
      <c r="C702" s="159" t="s">
        <v>679</v>
      </c>
      <c r="D702" s="158" t="s">
        <v>184</v>
      </c>
      <c r="E702" s="147" t="n">
        <v>10</v>
      </c>
      <c r="F702" s="147" t="n">
        <v>50</v>
      </c>
      <c r="G702" s="160" t="n">
        <v>0.5</v>
      </c>
      <c r="H702" s="20"/>
      <c r="I702" s="158" t="s">
        <v>741</v>
      </c>
    </row>
    <row r="703" customFormat="false" ht="15" hidden="false" customHeight="true" outlineLevel="0" collapsed="false">
      <c r="A703" s="144" t="n">
        <v>46056</v>
      </c>
      <c r="B703" s="113"/>
      <c r="C703" s="159" t="s">
        <v>679</v>
      </c>
      <c r="D703" s="158" t="s">
        <v>186</v>
      </c>
      <c r="E703" s="147" t="n">
        <v>8</v>
      </c>
      <c r="F703" s="147" t="n">
        <v>50</v>
      </c>
      <c r="G703" s="160" t="n">
        <v>0.4</v>
      </c>
      <c r="H703" s="20"/>
      <c r="I703" s="158" t="s">
        <v>741</v>
      </c>
    </row>
    <row r="704" customFormat="false" ht="15" hidden="false" customHeight="true" outlineLevel="0" collapsed="false">
      <c r="A704" s="144" t="n">
        <v>46056</v>
      </c>
      <c r="B704" s="113"/>
      <c r="C704" s="159" t="s">
        <v>679</v>
      </c>
      <c r="D704" s="158" t="s">
        <v>192</v>
      </c>
      <c r="E704" s="147" t="n">
        <v>10</v>
      </c>
      <c r="F704" s="147" t="n">
        <v>50</v>
      </c>
      <c r="G704" s="160" t="n">
        <v>0.5</v>
      </c>
      <c r="H704" s="20"/>
      <c r="I704" s="158" t="s">
        <v>741</v>
      </c>
    </row>
    <row r="705" customFormat="false" ht="15" hidden="false" customHeight="true" outlineLevel="0" collapsed="false">
      <c r="A705" s="144" t="n">
        <v>46056</v>
      </c>
      <c r="B705" s="113"/>
      <c r="C705" s="159" t="s">
        <v>679</v>
      </c>
      <c r="D705" s="158" t="s">
        <v>195</v>
      </c>
      <c r="E705" s="147" t="n">
        <v>8</v>
      </c>
      <c r="F705" s="147" t="n">
        <v>50</v>
      </c>
      <c r="G705" s="160" t="n">
        <v>0.4</v>
      </c>
      <c r="H705" s="20"/>
      <c r="I705" s="158" t="s">
        <v>741</v>
      </c>
    </row>
    <row r="706" customFormat="false" ht="15" hidden="false" customHeight="true" outlineLevel="0" collapsed="false">
      <c r="A706" s="144" t="n">
        <v>46056</v>
      </c>
      <c r="B706" s="113"/>
      <c r="C706" s="159" t="s">
        <v>679</v>
      </c>
      <c r="D706" s="158" t="s">
        <v>222</v>
      </c>
      <c r="E706" s="147" t="n">
        <v>4</v>
      </c>
      <c r="F706" s="147" t="n">
        <v>40</v>
      </c>
      <c r="G706" s="160" t="n">
        <v>3.2</v>
      </c>
      <c r="H706" s="20"/>
      <c r="I706" s="158" t="s">
        <v>692</v>
      </c>
    </row>
    <row r="707" customFormat="false" ht="15" hidden="false" customHeight="true" outlineLevel="0" collapsed="false">
      <c r="A707" s="144" t="n">
        <v>46056</v>
      </c>
      <c r="B707" s="113"/>
      <c r="C707" s="159" t="s">
        <v>679</v>
      </c>
      <c r="D707" s="158" t="s">
        <v>204</v>
      </c>
      <c r="E707" s="147" t="n">
        <v>2</v>
      </c>
      <c r="F707" s="147" t="n">
        <v>1000</v>
      </c>
      <c r="G707" s="160" t="n">
        <v>3.6</v>
      </c>
      <c r="H707" s="20"/>
      <c r="I707" s="158" t="s">
        <v>703</v>
      </c>
    </row>
    <row r="708" customFormat="false" ht="15" hidden="false" customHeight="true" outlineLevel="0" collapsed="false">
      <c r="A708" s="144" t="n">
        <v>46056</v>
      </c>
      <c r="B708" s="113"/>
      <c r="C708" s="159" t="s">
        <v>679</v>
      </c>
      <c r="D708" s="158" t="s">
        <v>204</v>
      </c>
      <c r="E708" s="147" t="n">
        <v>1</v>
      </c>
      <c r="F708" s="147" t="n">
        <v>60</v>
      </c>
      <c r="G708" s="160" t="n">
        <v>1.8</v>
      </c>
      <c r="H708" s="20"/>
      <c r="I708" s="158" t="s">
        <v>694</v>
      </c>
    </row>
    <row r="709" customFormat="false" ht="15" hidden="false" customHeight="true" outlineLevel="0" collapsed="false">
      <c r="A709" s="144" t="n">
        <v>46056</v>
      </c>
      <c r="B709" s="113"/>
      <c r="C709" s="159" t="s">
        <v>679</v>
      </c>
      <c r="D709" s="158" t="s">
        <v>204</v>
      </c>
      <c r="E709" s="147" t="n">
        <v>22</v>
      </c>
      <c r="F709" s="147" t="n">
        <v>60</v>
      </c>
      <c r="G709" s="160" t="n">
        <v>39.6</v>
      </c>
      <c r="H709" s="20"/>
      <c r="I709" s="158" t="s">
        <v>771</v>
      </c>
    </row>
    <row r="710" customFormat="false" ht="15" hidden="false" customHeight="true" outlineLevel="0" collapsed="false">
      <c r="A710" s="144" t="n">
        <v>46056</v>
      </c>
      <c r="B710" s="113"/>
      <c r="C710" s="159" t="s">
        <v>679</v>
      </c>
      <c r="D710" s="158" t="s">
        <v>204</v>
      </c>
      <c r="E710" s="147" t="n">
        <v>8</v>
      </c>
      <c r="F710" s="147" t="n">
        <v>60</v>
      </c>
      <c r="G710" s="160" t="n">
        <v>28.8</v>
      </c>
      <c r="H710" s="20"/>
      <c r="I710" s="158" t="s">
        <v>742</v>
      </c>
    </row>
    <row r="711" customFormat="false" ht="15" hidden="false" customHeight="true" outlineLevel="0" collapsed="false">
      <c r="A711" s="144" t="n">
        <v>46056</v>
      </c>
      <c r="B711" s="113"/>
      <c r="C711" s="159" t="s">
        <v>679</v>
      </c>
      <c r="D711" s="158" t="s">
        <v>236</v>
      </c>
      <c r="E711" s="147" t="n">
        <v>3</v>
      </c>
      <c r="F711" s="147" t="n">
        <v>60</v>
      </c>
      <c r="G711" s="160" t="n">
        <v>10.8</v>
      </c>
      <c r="H711" s="20"/>
      <c r="I711" s="158" t="s">
        <v>772</v>
      </c>
    </row>
    <row r="712" customFormat="false" ht="15" hidden="false" customHeight="true" outlineLevel="0" collapsed="false">
      <c r="A712" s="144" t="n">
        <v>46056</v>
      </c>
      <c r="B712" s="113"/>
      <c r="C712" s="159" t="s">
        <v>679</v>
      </c>
      <c r="D712" s="158" t="s">
        <v>236</v>
      </c>
      <c r="E712" s="147" t="n">
        <v>22</v>
      </c>
      <c r="F712" s="147" t="n">
        <v>60</v>
      </c>
      <c r="G712" s="160" t="n">
        <v>39.6</v>
      </c>
      <c r="H712" s="20"/>
      <c r="I712" s="158" t="s">
        <v>771</v>
      </c>
    </row>
    <row r="713" customFormat="false" ht="15" hidden="false" customHeight="true" outlineLevel="0" collapsed="false">
      <c r="A713" s="144" t="n">
        <v>46056</v>
      </c>
      <c r="B713" s="113"/>
      <c r="C713" s="159" t="s">
        <v>679</v>
      </c>
      <c r="D713" s="158" t="s">
        <v>212</v>
      </c>
      <c r="E713" s="147" t="n">
        <v>1</v>
      </c>
      <c r="F713" s="147" t="n">
        <v>50</v>
      </c>
      <c r="G713" s="160" t="n">
        <v>0.25</v>
      </c>
      <c r="H713" s="20"/>
      <c r="I713" s="158" t="s">
        <v>765</v>
      </c>
    </row>
    <row r="714" customFormat="false" ht="15" hidden="false" customHeight="true" outlineLevel="0" collapsed="false">
      <c r="A714" s="144" t="n">
        <v>46056</v>
      </c>
      <c r="B714" s="113"/>
      <c r="C714" s="159" t="s">
        <v>679</v>
      </c>
      <c r="D714" s="158" t="s">
        <v>212</v>
      </c>
      <c r="E714" s="147" t="n">
        <v>1</v>
      </c>
      <c r="F714" s="147" t="n">
        <v>50</v>
      </c>
      <c r="G714" s="160" t="n">
        <v>0.5</v>
      </c>
      <c r="H714" s="20"/>
      <c r="I714" s="158" t="s">
        <v>711</v>
      </c>
    </row>
    <row r="715" customFormat="false" ht="15" hidden="false" customHeight="true" outlineLevel="0" collapsed="false">
      <c r="A715" s="144" t="n">
        <v>46056</v>
      </c>
      <c r="B715" s="113"/>
      <c r="C715" s="159" t="s">
        <v>679</v>
      </c>
      <c r="D715" s="158" t="s">
        <v>219</v>
      </c>
      <c r="E715" s="147" t="n">
        <v>8</v>
      </c>
      <c r="F715" s="147" t="n">
        <v>50</v>
      </c>
      <c r="G715" s="160" t="n">
        <v>0.4</v>
      </c>
      <c r="H715" s="20"/>
      <c r="I715" s="158" t="s">
        <v>741</v>
      </c>
    </row>
    <row r="716" customFormat="false" ht="15" hidden="false" customHeight="true" outlineLevel="0" collapsed="false">
      <c r="A716" s="144" t="n">
        <v>46056</v>
      </c>
      <c r="B716" s="113"/>
      <c r="C716" s="159" t="s">
        <v>679</v>
      </c>
      <c r="D716" s="158" t="s">
        <v>220</v>
      </c>
      <c r="E716" s="147" t="n">
        <v>10</v>
      </c>
      <c r="F716" s="147" t="n">
        <v>50</v>
      </c>
      <c r="G716" s="160" t="n">
        <v>0.5</v>
      </c>
      <c r="H716" s="20"/>
      <c r="I716" s="158" t="s">
        <v>681</v>
      </c>
    </row>
    <row r="717" customFormat="false" ht="15" hidden="false" customHeight="true" outlineLevel="0" collapsed="false">
      <c r="A717" s="144" t="n">
        <v>46056</v>
      </c>
      <c r="B717" s="158" t="s">
        <v>743</v>
      </c>
      <c r="C717" s="159" t="s">
        <v>670</v>
      </c>
      <c r="D717" s="158" t="s">
        <v>191</v>
      </c>
      <c r="E717" s="147" t="n">
        <v>268</v>
      </c>
      <c r="F717" s="147" t="n">
        <v>9600</v>
      </c>
      <c r="G717" s="160" t="n">
        <v>2572.8</v>
      </c>
      <c r="H717" s="20"/>
      <c r="I717" s="113" t="s">
        <v>774</v>
      </c>
    </row>
    <row r="718" customFormat="false" ht="15" hidden="false" customHeight="true" outlineLevel="0" collapsed="false">
      <c r="A718" s="144" t="n">
        <v>46056</v>
      </c>
      <c r="B718" s="158" t="s">
        <v>732</v>
      </c>
      <c r="C718" s="159" t="s">
        <v>670</v>
      </c>
      <c r="D718" s="158" t="s">
        <v>242</v>
      </c>
      <c r="E718" s="147" t="n">
        <v>4</v>
      </c>
      <c r="F718" s="147" t="n">
        <v>360</v>
      </c>
      <c r="G718" s="160" t="n">
        <v>1.44</v>
      </c>
      <c r="H718" s="20"/>
      <c r="I718" s="158" t="s">
        <v>733</v>
      </c>
    </row>
    <row r="719" customFormat="false" ht="15" hidden="false" customHeight="true" outlineLevel="0" collapsed="false">
      <c r="A719" s="144" t="n">
        <v>46056</v>
      </c>
      <c r="B719" s="158" t="s">
        <v>732</v>
      </c>
      <c r="C719" s="159" t="s">
        <v>670</v>
      </c>
      <c r="D719" s="158" t="s">
        <v>242</v>
      </c>
      <c r="E719" s="147" t="n">
        <v>4</v>
      </c>
      <c r="F719" s="147" t="n">
        <v>360</v>
      </c>
      <c r="G719" s="160" t="n">
        <v>1.44</v>
      </c>
      <c r="H719" s="20"/>
      <c r="I719" s="158" t="s">
        <v>733</v>
      </c>
    </row>
    <row r="720" customFormat="false" ht="15" hidden="false" customHeight="true" outlineLevel="0" collapsed="false">
      <c r="A720" s="144" t="n">
        <v>46056</v>
      </c>
      <c r="B720" s="158" t="s">
        <v>732</v>
      </c>
      <c r="C720" s="159" t="s">
        <v>670</v>
      </c>
      <c r="D720" s="158" t="s">
        <v>241</v>
      </c>
      <c r="E720" s="147" t="n">
        <v>4</v>
      </c>
      <c r="F720" s="147" t="n">
        <v>360</v>
      </c>
      <c r="G720" s="160" t="n">
        <v>1.44</v>
      </c>
      <c r="H720" s="20"/>
      <c r="I720" s="158" t="s">
        <v>735</v>
      </c>
    </row>
    <row r="721" customFormat="false" ht="15" hidden="false" customHeight="true" outlineLevel="0" collapsed="false">
      <c r="A721" s="144" t="n">
        <v>46056</v>
      </c>
      <c r="B721" s="158" t="s">
        <v>732</v>
      </c>
      <c r="C721" s="159" t="s">
        <v>670</v>
      </c>
      <c r="D721" s="158" t="s">
        <v>241</v>
      </c>
      <c r="E721" s="147" t="n">
        <v>4</v>
      </c>
      <c r="F721" s="147" t="n">
        <v>360</v>
      </c>
      <c r="G721" s="160" t="n">
        <v>1.44</v>
      </c>
      <c r="H721" s="20"/>
      <c r="I721" s="158" t="s">
        <v>735</v>
      </c>
    </row>
    <row r="722" customFormat="false" ht="15" hidden="false" customHeight="true" outlineLevel="0" collapsed="false">
      <c r="A722" s="144" t="n">
        <v>46056</v>
      </c>
      <c r="B722" s="158" t="s">
        <v>732</v>
      </c>
      <c r="C722" s="159" t="s">
        <v>670</v>
      </c>
      <c r="D722" s="158" t="s">
        <v>243</v>
      </c>
      <c r="E722" s="147" t="n">
        <v>6</v>
      </c>
      <c r="F722" s="147" t="n">
        <v>360</v>
      </c>
      <c r="G722" s="160" t="n">
        <v>2.16</v>
      </c>
      <c r="H722" s="20"/>
      <c r="I722" s="158" t="s">
        <v>737</v>
      </c>
    </row>
    <row r="723" customFormat="false" ht="15" hidden="false" customHeight="true" outlineLevel="0" collapsed="false">
      <c r="A723" s="144" t="n">
        <v>46056</v>
      </c>
      <c r="B723" s="158" t="s">
        <v>732</v>
      </c>
      <c r="C723" s="159" t="s">
        <v>670</v>
      </c>
      <c r="D723" s="158" t="s">
        <v>243</v>
      </c>
      <c r="E723" s="147" t="n">
        <v>6</v>
      </c>
      <c r="F723" s="147" t="n">
        <v>360</v>
      </c>
      <c r="G723" s="160" t="n">
        <v>2.16</v>
      </c>
      <c r="H723" s="20"/>
      <c r="I723" s="158" t="s">
        <v>737</v>
      </c>
    </row>
    <row r="724" customFormat="false" ht="15" hidden="false" customHeight="true" outlineLevel="0" collapsed="false">
      <c r="A724" s="144" t="n">
        <v>46056</v>
      </c>
      <c r="B724" s="158" t="s">
        <v>732</v>
      </c>
      <c r="C724" s="159" t="s">
        <v>670</v>
      </c>
      <c r="D724" s="158" t="s">
        <v>244</v>
      </c>
      <c r="E724" s="147" t="n">
        <v>4</v>
      </c>
      <c r="F724" s="147" t="n">
        <v>360</v>
      </c>
      <c r="G724" s="160" t="n">
        <v>1.44</v>
      </c>
      <c r="H724" s="20"/>
      <c r="I724" s="158" t="s">
        <v>738</v>
      </c>
    </row>
    <row r="725" customFormat="false" ht="15" hidden="false" customHeight="true" outlineLevel="0" collapsed="false">
      <c r="A725" s="144" t="n">
        <v>46056</v>
      </c>
      <c r="B725" s="158" t="s">
        <v>732</v>
      </c>
      <c r="C725" s="159" t="s">
        <v>670</v>
      </c>
      <c r="D725" s="158" t="s">
        <v>244</v>
      </c>
      <c r="E725" s="147" t="n">
        <v>4</v>
      </c>
      <c r="F725" s="147" t="n">
        <v>360</v>
      </c>
      <c r="G725" s="160" t="n">
        <v>1.44</v>
      </c>
      <c r="H725" s="20"/>
      <c r="I725" s="158" t="s">
        <v>738</v>
      </c>
    </row>
    <row r="726" customFormat="false" ht="15" hidden="false" customHeight="true" outlineLevel="0" collapsed="false">
      <c r="A726" s="144" t="n">
        <v>46057</v>
      </c>
      <c r="B726" s="113"/>
      <c r="C726" s="159" t="s">
        <v>679</v>
      </c>
      <c r="D726" s="113" t="s">
        <v>267</v>
      </c>
      <c r="E726" s="147" t="n">
        <v>1</v>
      </c>
      <c r="F726" s="147" t="n">
        <v>60</v>
      </c>
      <c r="G726" s="160" t="n">
        <v>1.2</v>
      </c>
      <c r="H726" s="20"/>
      <c r="I726" s="158" t="s">
        <v>697</v>
      </c>
    </row>
    <row r="727" customFormat="false" ht="15" hidden="false" customHeight="true" outlineLevel="0" collapsed="false">
      <c r="A727" s="144" t="n">
        <v>46057</v>
      </c>
      <c r="B727" s="113"/>
      <c r="C727" s="159" t="s">
        <v>679</v>
      </c>
      <c r="D727" s="158" t="s">
        <v>142</v>
      </c>
      <c r="E727" s="147" t="n">
        <v>5</v>
      </c>
      <c r="F727" s="147" t="n">
        <v>50</v>
      </c>
      <c r="G727" s="160" t="n">
        <v>0.25</v>
      </c>
      <c r="H727" s="20"/>
      <c r="I727" s="158" t="s">
        <v>706</v>
      </c>
    </row>
    <row r="728" customFormat="false" ht="15" hidden="false" customHeight="true" outlineLevel="0" collapsed="false">
      <c r="A728" s="144" t="n">
        <v>46057</v>
      </c>
      <c r="B728" s="113"/>
      <c r="C728" s="159" t="s">
        <v>679</v>
      </c>
      <c r="D728" s="158" t="s">
        <v>143</v>
      </c>
      <c r="E728" s="147" t="n">
        <v>11</v>
      </c>
      <c r="F728" s="147" t="n">
        <v>50</v>
      </c>
      <c r="G728" s="160" t="n">
        <v>11</v>
      </c>
      <c r="H728" s="20"/>
      <c r="I728" s="158" t="s">
        <v>682</v>
      </c>
    </row>
    <row r="729" customFormat="false" ht="15" hidden="false" customHeight="true" outlineLevel="0" collapsed="false">
      <c r="A729" s="144" t="n">
        <v>46057</v>
      </c>
      <c r="B729" s="113"/>
      <c r="C729" s="159" t="s">
        <v>679</v>
      </c>
      <c r="D729" s="158" t="s">
        <v>143</v>
      </c>
      <c r="E729" s="147" t="n">
        <v>3</v>
      </c>
      <c r="F729" s="147" t="n">
        <v>50</v>
      </c>
      <c r="G729" s="160" t="n">
        <v>6</v>
      </c>
      <c r="H729" s="20"/>
      <c r="I729" s="158" t="s">
        <v>683</v>
      </c>
    </row>
    <row r="730" customFormat="false" ht="15" hidden="false" customHeight="true" outlineLevel="0" collapsed="false">
      <c r="A730" s="144" t="n">
        <v>46057</v>
      </c>
      <c r="B730" s="113"/>
      <c r="C730" s="159" t="s">
        <v>679</v>
      </c>
      <c r="D730" s="158" t="s">
        <v>143</v>
      </c>
      <c r="E730" s="147" t="n">
        <v>10</v>
      </c>
      <c r="F730" s="147" t="n">
        <v>50</v>
      </c>
      <c r="G730" s="160" t="n">
        <v>0.5</v>
      </c>
      <c r="H730" s="20"/>
      <c r="I730" s="158" t="s">
        <v>741</v>
      </c>
    </row>
    <row r="731" customFormat="false" ht="15" hidden="false" customHeight="true" outlineLevel="0" collapsed="false">
      <c r="A731" s="144" t="n">
        <v>46057</v>
      </c>
      <c r="B731" s="113"/>
      <c r="C731" s="159" t="s">
        <v>679</v>
      </c>
      <c r="D731" s="158" t="s">
        <v>144</v>
      </c>
      <c r="E731" s="147" t="n">
        <v>2</v>
      </c>
      <c r="F731" s="147" t="n">
        <v>1000</v>
      </c>
      <c r="G731" s="160" t="n">
        <v>2</v>
      </c>
      <c r="H731" s="20"/>
      <c r="I731" s="158" t="s">
        <v>699</v>
      </c>
    </row>
    <row r="732" customFormat="false" ht="15" hidden="false" customHeight="true" outlineLevel="0" collapsed="false">
      <c r="A732" s="144" t="n">
        <v>46057</v>
      </c>
      <c r="B732" s="113"/>
      <c r="C732" s="159" t="s">
        <v>679</v>
      </c>
      <c r="D732" s="158" t="s">
        <v>144</v>
      </c>
      <c r="E732" s="147" t="n">
        <v>7</v>
      </c>
      <c r="F732" s="147" t="n">
        <v>1000</v>
      </c>
      <c r="G732" s="160" t="n">
        <v>14</v>
      </c>
      <c r="H732" s="20"/>
      <c r="I732" s="158" t="s">
        <v>685</v>
      </c>
    </row>
    <row r="733" customFormat="false" ht="15" hidden="false" customHeight="true" outlineLevel="0" collapsed="false">
      <c r="A733" s="144" t="n">
        <v>46057</v>
      </c>
      <c r="B733" s="113"/>
      <c r="C733" s="159" t="s">
        <v>679</v>
      </c>
      <c r="D733" s="158" t="s">
        <v>145</v>
      </c>
      <c r="E733" s="147" t="n">
        <v>10</v>
      </c>
      <c r="F733" s="147" t="n">
        <v>50</v>
      </c>
      <c r="G733" s="160" t="n">
        <v>0.5</v>
      </c>
      <c r="H733" s="20"/>
      <c r="I733" s="158" t="s">
        <v>741</v>
      </c>
    </row>
    <row r="734" customFormat="false" ht="15" hidden="false" customHeight="true" outlineLevel="0" collapsed="false">
      <c r="A734" s="144" t="n">
        <v>46057</v>
      </c>
      <c r="B734" s="113"/>
      <c r="C734" s="159" t="s">
        <v>679</v>
      </c>
      <c r="D734" s="158" t="s">
        <v>146</v>
      </c>
      <c r="E734" s="147" t="n">
        <v>5</v>
      </c>
      <c r="F734" s="147" t="n">
        <v>50</v>
      </c>
      <c r="G734" s="160" t="n">
        <v>0.25</v>
      </c>
      <c r="H734" s="20"/>
      <c r="I734" s="158" t="s">
        <v>706</v>
      </c>
    </row>
    <row r="735" customFormat="false" ht="15" hidden="false" customHeight="true" outlineLevel="0" collapsed="false">
      <c r="A735" s="144" t="n">
        <v>46057</v>
      </c>
      <c r="B735" s="113"/>
      <c r="C735" s="159" t="s">
        <v>679</v>
      </c>
      <c r="D735" s="158" t="s">
        <v>147</v>
      </c>
      <c r="E735" s="147" t="n">
        <v>1</v>
      </c>
      <c r="F735" s="147" t="n">
        <v>50</v>
      </c>
      <c r="G735" s="160" t="n">
        <v>1</v>
      </c>
      <c r="H735" s="20"/>
      <c r="I735" s="158" t="s">
        <v>700</v>
      </c>
    </row>
    <row r="736" customFormat="false" ht="15" hidden="false" customHeight="true" outlineLevel="0" collapsed="false">
      <c r="A736" s="144" t="n">
        <v>46057</v>
      </c>
      <c r="B736" s="113"/>
      <c r="C736" s="159" t="s">
        <v>679</v>
      </c>
      <c r="D736" s="158" t="s">
        <v>147</v>
      </c>
      <c r="E736" s="147" t="n">
        <v>5</v>
      </c>
      <c r="F736" s="147" t="n">
        <v>50</v>
      </c>
      <c r="G736" s="160" t="n">
        <v>0.25</v>
      </c>
      <c r="H736" s="20"/>
      <c r="I736" s="158" t="s">
        <v>706</v>
      </c>
    </row>
    <row r="737" customFormat="false" ht="15" hidden="false" customHeight="true" outlineLevel="0" collapsed="false">
      <c r="A737" s="144" t="n">
        <v>46057</v>
      </c>
      <c r="B737" s="113"/>
      <c r="C737" s="159" t="s">
        <v>679</v>
      </c>
      <c r="D737" s="158" t="s">
        <v>148</v>
      </c>
      <c r="E737" s="147" t="n">
        <v>8</v>
      </c>
      <c r="F737" s="147" t="n">
        <v>50</v>
      </c>
      <c r="G737" s="160" t="n">
        <v>0.4</v>
      </c>
      <c r="H737" s="20"/>
      <c r="I737" s="158" t="s">
        <v>741</v>
      </c>
    </row>
    <row r="738" customFormat="false" ht="15" hidden="false" customHeight="true" outlineLevel="0" collapsed="false">
      <c r="A738" s="144" t="n">
        <v>46057</v>
      </c>
      <c r="B738" s="113"/>
      <c r="C738" s="159" t="s">
        <v>679</v>
      </c>
      <c r="D738" s="158" t="s">
        <v>155</v>
      </c>
      <c r="E738" s="147" t="n">
        <v>25</v>
      </c>
      <c r="F738" s="147" t="n">
        <v>80</v>
      </c>
      <c r="G738" s="160" t="n">
        <v>40</v>
      </c>
      <c r="H738" s="20"/>
      <c r="I738" s="113" t="s">
        <v>686</v>
      </c>
    </row>
    <row r="739" customFormat="false" ht="15" hidden="false" customHeight="true" outlineLevel="0" collapsed="false">
      <c r="A739" s="144" t="n">
        <v>46057</v>
      </c>
      <c r="B739" s="113"/>
      <c r="C739" s="159" t="s">
        <v>679</v>
      </c>
      <c r="D739" s="158" t="s">
        <v>155</v>
      </c>
      <c r="E739" s="147" t="n">
        <v>2</v>
      </c>
      <c r="F739" s="147" t="n">
        <v>80</v>
      </c>
      <c r="G739" s="160" t="n">
        <v>2.4</v>
      </c>
      <c r="H739" s="20"/>
      <c r="I739" s="158" t="s">
        <v>768</v>
      </c>
    </row>
    <row r="740" customFormat="false" ht="15" hidden="false" customHeight="true" outlineLevel="0" collapsed="false">
      <c r="A740" s="144" t="n">
        <v>46057</v>
      </c>
      <c r="B740" s="113"/>
      <c r="C740" s="159" t="s">
        <v>679</v>
      </c>
      <c r="D740" s="158" t="s">
        <v>159</v>
      </c>
      <c r="E740" s="147" t="n">
        <v>8</v>
      </c>
      <c r="F740" s="147" t="n">
        <v>50</v>
      </c>
      <c r="G740" s="160" t="n">
        <v>0.4</v>
      </c>
      <c r="H740" s="20"/>
      <c r="I740" s="158" t="s">
        <v>741</v>
      </c>
    </row>
    <row r="741" customFormat="false" ht="15" hidden="false" customHeight="true" outlineLevel="0" collapsed="false">
      <c r="A741" s="144" t="n">
        <v>46057</v>
      </c>
      <c r="B741" s="113"/>
      <c r="C741" s="159" t="s">
        <v>679</v>
      </c>
      <c r="D741" s="158" t="s">
        <v>169</v>
      </c>
      <c r="E741" s="147" t="n">
        <v>1</v>
      </c>
      <c r="F741" s="147" t="n">
        <v>1000</v>
      </c>
      <c r="G741" s="160" t="n">
        <v>1</v>
      </c>
      <c r="H741" s="20"/>
      <c r="I741" s="158" t="s">
        <v>719</v>
      </c>
    </row>
    <row r="742" customFormat="false" ht="15" hidden="false" customHeight="true" outlineLevel="0" collapsed="false">
      <c r="A742" s="144" t="n">
        <v>46057</v>
      </c>
      <c r="B742" s="113"/>
      <c r="C742" s="159" t="s">
        <v>679</v>
      </c>
      <c r="D742" s="158" t="s">
        <v>169</v>
      </c>
      <c r="E742" s="147" t="n">
        <v>1</v>
      </c>
      <c r="F742" s="147" t="n">
        <v>1000</v>
      </c>
      <c r="G742" s="160" t="n">
        <v>2</v>
      </c>
      <c r="H742" s="20"/>
      <c r="I742" s="158" t="s">
        <v>775</v>
      </c>
    </row>
    <row r="743" customFormat="false" ht="15" hidden="false" customHeight="true" outlineLevel="0" collapsed="false">
      <c r="A743" s="144" t="n">
        <v>46057</v>
      </c>
      <c r="B743" s="113"/>
      <c r="C743" s="159" t="s">
        <v>679</v>
      </c>
      <c r="D743" s="158" t="s">
        <v>174</v>
      </c>
      <c r="E743" s="147" t="n">
        <v>2</v>
      </c>
      <c r="F743" s="147" t="n">
        <v>1000</v>
      </c>
      <c r="G743" s="160" t="n">
        <v>4</v>
      </c>
      <c r="H743" s="20"/>
      <c r="I743" s="158" t="s">
        <v>730</v>
      </c>
    </row>
    <row r="744" customFormat="false" ht="15" hidden="false" customHeight="true" outlineLevel="0" collapsed="false">
      <c r="A744" s="144" t="n">
        <v>46057</v>
      </c>
      <c r="B744" s="113"/>
      <c r="C744" s="159" t="s">
        <v>679</v>
      </c>
      <c r="D744" s="158" t="s">
        <v>174</v>
      </c>
      <c r="E744" s="147" t="n">
        <v>1</v>
      </c>
      <c r="F744" s="147" t="n">
        <v>1000</v>
      </c>
      <c r="G744" s="160" t="n">
        <v>1</v>
      </c>
      <c r="H744" s="20"/>
      <c r="I744" s="158" t="s">
        <v>745</v>
      </c>
    </row>
    <row r="745" customFormat="false" ht="15" hidden="false" customHeight="true" outlineLevel="0" collapsed="false">
      <c r="A745" s="144" t="n">
        <v>46057</v>
      </c>
      <c r="B745" s="113"/>
      <c r="C745" s="159" t="s">
        <v>679</v>
      </c>
      <c r="D745" s="158" t="s">
        <v>181</v>
      </c>
      <c r="E745" s="147" t="n">
        <v>3</v>
      </c>
      <c r="F745" s="147" t="n">
        <v>1000</v>
      </c>
      <c r="G745" s="160" t="n">
        <v>6</v>
      </c>
      <c r="H745" s="20"/>
      <c r="I745" s="113" t="s">
        <v>773</v>
      </c>
    </row>
    <row r="746" customFormat="false" ht="15" hidden="false" customHeight="true" outlineLevel="0" collapsed="false">
      <c r="A746" s="144" t="n">
        <v>46057</v>
      </c>
      <c r="B746" s="113"/>
      <c r="C746" s="159" t="s">
        <v>679</v>
      </c>
      <c r="D746" s="158" t="s">
        <v>183</v>
      </c>
      <c r="E746" s="147" t="n">
        <v>1</v>
      </c>
      <c r="F746" s="147" t="n">
        <v>60</v>
      </c>
      <c r="G746" s="160" t="n">
        <v>0.6</v>
      </c>
      <c r="H746" s="20"/>
      <c r="I746" s="113" t="s">
        <v>722</v>
      </c>
    </row>
    <row r="747" customFormat="false" ht="15" hidden="false" customHeight="true" outlineLevel="0" collapsed="false">
      <c r="A747" s="144" t="n">
        <v>46057</v>
      </c>
      <c r="B747" s="113"/>
      <c r="C747" s="159" t="s">
        <v>679</v>
      </c>
      <c r="D747" s="158" t="s">
        <v>183</v>
      </c>
      <c r="E747" s="147" t="n">
        <v>17</v>
      </c>
      <c r="F747" s="147" t="n">
        <v>60</v>
      </c>
      <c r="G747" s="160" t="n">
        <v>30.6</v>
      </c>
      <c r="H747" s="20"/>
      <c r="I747" s="158" t="s">
        <v>689</v>
      </c>
    </row>
    <row r="748" customFormat="false" ht="15" hidden="false" customHeight="true" outlineLevel="0" collapsed="false">
      <c r="A748" s="144" t="n">
        <v>46057</v>
      </c>
      <c r="B748" s="113"/>
      <c r="C748" s="159" t="s">
        <v>679</v>
      </c>
      <c r="D748" s="158" t="s">
        <v>184</v>
      </c>
      <c r="E748" s="147" t="n">
        <v>4</v>
      </c>
      <c r="F748" s="147" t="n">
        <v>50</v>
      </c>
      <c r="G748" s="160" t="n">
        <v>8</v>
      </c>
      <c r="H748" s="20"/>
      <c r="I748" s="158" t="s">
        <v>691</v>
      </c>
    </row>
    <row r="749" customFormat="false" ht="15" hidden="false" customHeight="true" outlineLevel="0" collapsed="false">
      <c r="A749" s="144" t="n">
        <v>46057</v>
      </c>
      <c r="B749" s="113"/>
      <c r="C749" s="159" t="s">
        <v>679</v>
      </c>
      <c r="D749" s="158" t="s">
        <v>184</v>
      </c>
      <c r="E749" s="147" t="n">
        <v>10</v>
      </c>
      <c r="F749" s="147" t="n">
        <v>50</v>
      </c>
      <c r="G749" s="160" t="n">
        <v>0.5</v>
      </c>
      <c r="H749" s="20"/>
      <c r="I749" s="158" t="s">
        <v>741</v>
      </c>
    </row>
    <row r="750" customFormat="false" ht="15" hidden="false" customHeight="true" outlineLevel="0" collapsed="false">
      <c r="A750" s="144" t="n">
        <v>46057</v>
      </c>
      <c r="B750" s="113"/>
      <c r="C750" s="159" t="s">
        <v>679</v>
      </c>
      <c r="D750" s="158" t="s">
        <v>186</v>
      </c>
      <c r="E750" s="147" t="n">
        <v>8</v>
      </c>
      <c r="F750" s="147" t="n">
        <v>50</v>
      </c>
      <c r="G750" s="160" t="n">
        <v>0.4</v>
      </c>
      <c r="H750" s="20"/>
      <c r="I750" s="158" t="s">
        <v>741</v>
      </c>
    </row>
    <row r="751" customFormat="false" ht="15" hidden="false" customHeight="true" outlineLevel="0" collapsed="false">
      <c r="A751" s="144" t="n">
        <v>46057</v>
      </c>
      <c r="B751" s="113"/>
      <c r="C751" s="159" t="s">
        <v>679</v>
      </c>
      <c r="D751" s="158" t="s">
        <v>192</v>
      </c>
      <c r="E751" s="147" t="n">
        <v>10</v>
      </c>
      <c r="F751" s="147" t="n">
        <v>50</v>
      </c>
      <c r="G751" s="160" t="n">
        <v>0.5</v>
      </c>
      <c r="H751" s="20"/>
      <c r="I751" s="158" t="s">
        <v>741</v>
      </c>
    </row>
    <row r="752" customFormat="false" ht="15" hidden="false" customHeight="true" outlineLevel="0" collapsed="false">
      <c r="A752" s="144" t="n">
        <v>46057</v>
      </c>
      <c r="B752" s="113"/>
      <c r="C752" s="159" t="s">
        <v>679</v>
      </c>
      <c r="D752" s="158" t="s">
        <v>195</v>
      </c>
      <c r="E752" s="147" t="n">
        <v>8</v>
      </c>
      <c r="F752" s="147" t="n">
        <v>50</v>
      </c>
      <c r="G752" s="160" t="n">
        <v>0.4</v>
      </c>
      <c r="H752" s="20"/>
      <c r="I752" s="158" t="s">
        <v>741</v>
      </c>
    </row>
    <row r="753" customFormat="false" ht="15" hidden="false" customHeight="true" outlineLevel="0" collapsed="false">
      <c r="A753" s="144" t="n">
        <v>46057</v>
      </c>
      <c r="B753" s="113"/>
      <c r="C753" s="159" t="s">
        <v>679</v>
      </c>
      <c r="D753" s="158" t="s">
        <v>222</v>
      </c>
      <c r="E753" s="147" t="n">
        <v>1</v>
      </c>
      <c r="F753" s="147" t="n">
        <v>40</v>
      </c>
      <c r="G753" s="160" t="n">
        <v>0.2</v>
      </c>
      <c r="H753" s="20"/>
      <c r="I753" s="113" t="s">
        <v>722</v>
      </c>
    </row>
    <row r="754" customFormat="false" ht="15" hidden="false" customHeight="true" outlineLevel="0" collapsed="false">
      <c r="A754" s="144" t="n">
        <v>46057</v>
      </c>
      <c r="B754" s="113"/>
      <c r="C754" s="159" t="s">
        <v>679</v>
      </c>
      <c r="D754" s="158" t="s">
        <v>222</v>
      </c>
      <c r="E754" s="147" t="n">
        <v>3</v>
      </c>
      <c r="F754" s="147" t="n">
        <v>40</v>
      </c>
      <c r="G754" s="160" t="n">
        <v>2.4</v>
      </c>
      <c r="H754" s="20"/>
      <c r="I754" s="158" t="s">
        <v>692</v>
      </c>
    </row>
    <row r="755" customFormat="false" ht="15" hidden="false" customHeight="true" outlineLevel="0" collapsed="false">
      <c r="A755" s="144" t="n">
        <v>46057</v>
      </c>
      <c r="B755" s="113"/>
      <c r="C755" s="159" t="s">
        <v>679</v>
      </c>
      <c r="D755" s="158" t="s">
        <v>221</v>
      </c>
      <c r="E755" s="147" t="n">
        <v>1</v>
      </c>
      <c r="F755" s="147" t="n">
        <v>40</v>
      </c>
      <c r="G755" s="160" t="n">
        <v>0.2</v>
      </c>
      <c r="H755" s="20"/>
      <c r="I755" s="113" t="s">
        <v>722</v>
      </c>
    </row>
    <row r="756" customFormat="false" ht="15" hidden="false" customHeight="true" outlineLevel="0" collapsed="false">
      <c r="A756" s="144" t="n">
        <v>46057</v>
      </c>
      <c r="B756" s="113"/>
      <c r="C756" s="159" t="s">
        <v>679</v>
      </c>
      <c r="D756" s="158" t="s">
        <v>221</v>
      </c>
      <c r="E756" s="147" t="n">
        <v>2</v>
      </c>
      <c r="F756" s="147" t="n">
        <v>40</v>
      </c>
      <c r="G756" s="160" t="n">
        <v>1.6</v>
      </c>
      <c r="H756" s="20"/>
      <c r="I756" s="158" t="s">
        <v>693</v>
      </c>
    </row>
    <row r="757" customFormat="false" ht="15" hidden="false" customHeight="true" outlineLevel="0" collapsed="false">
      <c r="A757" s="144" t="n">
        <v>46057</v>
      </c>
      <c r="B757" s="113"/>
      <c r="C757" s="159" t="s">
        <v>679</v>
      </c>
      <c r="D757" s="158" t="s">
        <v>204</v>
      </c>
      <c r="E757" s="147" t="n">
        <v>1</v>
      </c>
      <c r="F757" s="147" t="n">
        <v>60</v>
      </c>
      <c r="G757" s="160" t="n">
        <v>0.3</v>
      </c>
      <c r="H757" s="20"/>
      <c r="I757" s="113" t="s">
        <v>722</v>
      </c>
    </row>
    <row r="758" customFormat="false" ht="15" hidden="false" customHeight="true" outlineLevel="0" collapsed="false">
      <c r="A758" s="144" t="n">
        <v>46057</v>
      </c>
      <c r="B758" s="113"/>
      <c r="C758" s="159" t="s">
        <v>679</v>
      </c>
      <c r="D758" s="158" t="s">
        <v>204</v>
      </c>
      <c r="E758" s="147" t="n">
        <v>1</v>
      </c>
      <c r="F758" s="147" t="n">
        <v>60</v>
      </c>
      <c r="G758" s="160" t="n">
        <v>0.9</v>
      </c>
      <c r="H758" s="20"/>
      <c r="I758" s="158" t="s">
        <v>745</v>
      </c>
    </row>
    <row r="759" customFormat="false" ht="15" hidden="false" customHeight="true" outlineLevel="0" collapsed="false">
      <c r="A759" s="144" t="n">
        <v>46057</v>
      </c>
      <c r="B759" s="113"/>
      <c r="C759" s="159" t="s">
        <v>679</v>
      </c>
      <c r="D759" s="158" t="s">
        <v>204</v>
      </c>
      <c r="E759" s="147" t="n">
        <v>2</v>
      </c>
      <c r="F759" s="147" t="n">
        <v>60</v>
      </c>
      <c r="G759" s="160" t="n">
        <v>1.8</v>
      </c>
      <c r="H759" s="20"/>
      <c r="I759" s="158" t="s">
        <v>770</v>
      </c>
    </row>
    <row r="760" customFormat="false" ht="15" hidden="false" customHeight="true" outlineLevel="0" collapsed="false">
      <c r="A760" s="144" t="n">
        <v>46057</v>
      </c>
      <c r="B760" s="113"/>
      <c r="C760" s="159" t="s">
        <v>679</v>
      </c>
      <c r="D760" s="158" t="s">
        <v>204</v>
      </c>
      <c r="E760" s="147" t="n">
        <v>84</v>
      </c>
      <c r="F760" s="147" t="n">
        <v>60</v>
      </c>
      <c r="G760" s="160" t="n">
        <v>151.2</v>
      </c>
      <c r="H760" s="20"/>
      <c r="I760" s="158" t="s">
        <v>771</v>
      </c>
    </row>
    <row r="761" customFormat="false" ht="15" hidden="false" customHeight="true" outlineLevel="0" collapsed="false">
      <c r="A761" s="144" t="n">
        <v>46057</v>
      </c>
      <c r="B761" s="113"/>
      <c r="C761" s="159" t="s">
        <v>679</v>
      </c>
      <c r="D761" s="158" t="s">
        <v>204</v>
      </c>
      <c r="E761" s="147" t="n">
        <v>11</v>
      </c>
      <c r="F761" s="147" t="n">
        <v>60</v>
      </c>
      <c r="G761" s="160" t="n">
        <v>39.6</v>
      </c>
      <c r="H761" s="20"/>
      <c r="I761" s="158" t="s">
        <v>742</v>
      </c>
    </row>
    <row r="762" customFormat="false" ht="15" hidden="false" customHeight="true" outlineLevel="0" collapsed="false">
      <c r="A762" s="144" t="n">
        <v>46057</v>
      </c>
      <c r="B762" s="113"/>
      <c r="C762" s="159" t="s">
        <v>679</v>
      </c>
      <c r="D762" s="158" t="s">
        <v>236</v>
      </c>
      <c r="E762" s="147" t="n">
        <v>1</v>
      </c>
      <c r="F762" s="147" t="n">
        <v>60</v>
      </c>
      <c r="G762" s="160" t="n">
        <v>0.3</v>
      </c>
      <c r="H762" s="20"/>
      <c r="I762" s="113" t="s">
        <v>722</v>
      </c>
    </row>
    <row r="763" customFormat="false" ht="15" hidden="false" customHeight="true" outlineLevel="0" collapsed="false">
      <c r="A763" s="144" t="n">
        <v>46057</v>
      </c>
      <c r="B763" s="113"/>
      <c r="C763" s="159" t="s">
        <v>679</v>
      </c>
      <c r="D763" s="158" t="s">
        <v>236</v>
      </c>
      <c r="E763" s="147" t="n">
        <v>1</v>
      </c>
      <c r="F763" s="147" t="n">
        <v>60</v>
      </c>
      <c r="G763" s="160" t="n">
        <v>0.9</v>
      </c>
      <c r="H763" s="20"/>
      <c r="I763" s="158" t="s">
        <v>745</v>
      </c>
    </row>
    <row r="764" customFormat="false" ht="15" hidden="false" customHeight="true" outlineLevel="0" collapsed="false">
      <c r="A764" s="144" t="n">
        <v>46057</v>
      </c>
      <c r="B764" s="113"/>
      <c r="C764" s="159" t="s">
        <v>679</v>
      </c>
      <c r="D764" s="158" t="s">
        <v>236</v>
      </c>
      <c r="E764" s="147" t="n">
        <v>3</v>
      </c>
      <c r="F764" s="147" t="n">
        <v>60</v>
      </c>
      <c r="G764" s="160" t="n">
        <v>5.4</v>
      </c>
      <c r="H764" s="20"/>
      <c r="I764" s="158" t="s">
        <v>695</v>
      </c>
    </row>
    <row r="765" customFormat="false" ht="15" hidden="false" customHeight="true" outlineLevel="0" collapsed="false">
      <c r="A765" s="144" t="n">
        <v>46057</v>
      </c>
      <c r="B765" s="113"/>
      <c r="C765" s="159" t="s">
        <v>679</v>
      </c>
      <c r="D765" s="158" t="s">
        <v>236</v>
      </c>
      <c r="E765" s="147" t="n">
        <v>7</v>
      </c>
      <c r="F765" s="147" t="n">
        <v>60</v>
      </c>
      <c r="G765" s="160" t="n">
        <v>25.2</v>
      </c>
      <c r="H765" s="20"/>
      <c r="I765" s="158" t="s">
        <v>772</v>
      </c>
    </row>
    <row r="766" customFormat="false" ht="15" hidden="false" customHeight="true" outlineLevel="0" collapsed="false">
      <c r="A766" s="144" t="n">
        <v>46057</v>
      </c>
      <c r="B766" s="113"/>
      <c r="C766" s="159" t="s">
        <v>679</v>
      </c>
      <c r="D766" s="158" t="s">
        <v>236</v>
      </c>
      <c r="E766" s="147" t="n">
        <v>2</v>
      </c>
      <c r="F766" s="147" t="n">
        <v>60</v>
      </c>
      <c r="G766" s="160" t="n">
        <v>1.8</v>
      </c>
      <c r="H766" s="20"/>
      <c r="I766" s="158" t="s">
        <v>770</v>
      </c>
    </row>
    <row r="767" customFormat="false" ht="15" hidden="false" customHeight="true" outlineLevel="0" collapsed="false">
      <c r="A767" s="144" t="n">
        <v>46057</v>
      </c>
      <c r="B767" s="113"/>
      <c r="C767" s="159" t="s">
        <v>679</v>
      </c>
      <c r="D767" s="158" t="s">
        <v>236</v>
      </c>
      <c r="E767" s="147" t="n">
        <v>84</v>
      </c>
      <c r="F767" s="147" t="n">
        <v>60</v>
      </c>
      <c r="G767" s="160" t="n">
        <v>151.2</v>
      </c>
      <c r="H767" s="20"/>
      <c r="I767" s="158" t="s">
        <v>771</v>
      </c>
    </row>
    <row r="768" customFormat="false" ht="15" hidden="false" customHeight="true" outlineLevel="0" collapsed="false">
      <c r="A768" s="144" t="n">
        <v>46057</v>
      </c>
      <c r="B768" s="113"/>
      <c r="C768" s="159" t="s">
        <v>679</v>
      </c>
      <c r="D768" s="158" t="s">
        <v>206</v>
      </c>
      <c r="E768" s="147" t="n">
        <v>1</v>
      </c>
      <c r="F768" s="147" t="n">
        <v>30</v>
      </c>
      <c r="G768" s="160" t="n">
        <v>1.8</v>
      </c>
      <c r="H768" s="20"/>
      <c r="I768" s="158" t="s">
        <v>696</v>
      </c>
    </row>
    <row r="769" customFormat="false" ht="15" hidden="false" customHeight="true" outlineLevel="0" collapsed="false">
      <c r="A769" s="144" t="n">
        <v>46057</v>
      </c>
      <c r="B769" s="113"/>
      <c r="C769" s="159" t="s">
        <v>679</v>
      </c>
      <c r="D769" s="158" t="s">
        <v>219</v>
      </c>
      <c r="E769" s="147" t="n">
        <v>8</v>
      </c>
      <c r="F769" s="147" t="n">
        <v>50</v>
      </c>
      <c r="G769" s="160" t="n">
        <v>0.4</v>
      </c>
      <c r="H769" s="20"/>
      <c r="I769" s="158" t="s">
        <v>741</v>
      </c>
    </row>
    <row r="770" customFormat="false" ht="15" hidden="false" customHeight="true" outlineLevel="0" collapsed="false">
      <c r="A770" s="144" t="n">
        <v>46057</v>
      </c>
      <c r="B770" s="113"/>
      <c r="C770" s="159" t="s">
        <v>679</v>
      </c>
      <c r="D770" s="158" t="s">
        <v>220</v>
      </c>
      <c r="E770" s="147" t="n">
        <v>5</v>
      </c>
      <c r="F770" s="147" t="n">
        <v>50</v>
      </c>
      <c r="G770" s="160" t="n">
        <v>0.25</v>
      </c>
      <c r="H770" s="20"/>
      <c r="I770" s="158" t="s">
        <v>706</v>
      </c>
    </row>
    <row r="771" customFormat="false" ht="15" hidden="false" customHeight="true" outlineLevel="0" collapsed="false">
      <c r="A771" s="144" t="n">
        <v>46057</v>
      </c>
      <c r="B771" s="113"/>
      <c r="C771" s="159" t="s">
        <v>679</v>
      </c>
      <c r="D771" s="158" t="s">
        <v>220</v>
      </c>
      <c r="E771" s="147" t="n">
        <v>1</v>
      </c>
      <c r="F771" s="147" t="n">
        <v>50</v>
      </c>
      <c r="G771" s="160" t="n">
        <v>1</v>
      </c>
      <c r="H771" s="20"/>
      <c r="I771" s="158" t="s">
        <v>712</v>
      </c>
    </row>
    <row r="772" customFormat="false" ht="15" hidden="false" customHeight="true" outlineLevel="0" collapsed="false">
      <c r="A772" s="144" t="n">
        <v>46057</v>
      </c>
      <c r="B772" s="158" t="s">
        <v>732</v>
      </c>
      <c r="C772" s="159" t="s">
        <v>670</v>
      </c>
      <c r="D772" s="158" t="s">
        <v>242</v>
      </c>
      <c r="E772" s="147" t="n">
        <v>5</v>
      </c>
      <c r="F772" s="147" t="n">
        <v>360</v>
      </c>
      <c r="G772" s="160" t="n">
        <v>1.8</v>
      </c>
      <c r="H772" s="20"/>
      <c r="I772" s="158" t="s">
        <v>733</v>
      </c>
    </row>
    <row r="773" customFormat="false" ht="15" hidden="false" customHeight="true" outlineLevel="0" collapsed="false">
      <c r="A773" s="144" t="n">
        <v>46057</v>
      </c>
      <c r="B773" s="158" t="s">
        <v>732</v>
      </c>
      <c r="C773" s="159" t="s">
        <v>670</v>
      </c>
      <c r="D773" s="158" t="s">
        <v>241</v>
      </c>
      <c r="E773" s="147" t="n">
        <v>3</v>
      </c>
      <c r="F773" s="147" t="n">
        <v>360</v>
      </c>
      <c r="G773" s="160" t="n">
        <v>1.08</v>
      </c>
      <c r="H773" s="20"/>
      <c r="I773" s="158" t="s">
        <v>735</v>
      </c>
    </row>
    <row r="774" customFormat="false" ht="15" hidden="false" customHeight="true" outlineLevel="0" collapsed="false">
      <c r="A774" s="144" t="n">
        <v>46057</v>
      </c>
      <c r="B774" s="158" t="s">
        <v>732</v>
      </c>
      <c r="C774" s="159" t="s">
        <v>670</v>
      </c>
      <c r="D774" s="158" t="s">
        <v>243</v>
      </c>
      <c r="E774" s="147" t="n">
        <v>9</v>
      </c>
      <c r="F774" s="147" t="n">
        <v>360</v>
      </c>
      <c r="G774" s="160" t="n">
        <v>3.24</v>
      </c>
      <c r="H774" s="20"/>
      <c r="I774" s="158" t="s">
        <v>737</v>
      </c>
    </row>
    <row r="775" customFormat="false" ht="15" hidden="false" customHeight="true" outlineLevel="0" collapsed="false">
      <c r="A775" s="144" t="n">
        <v>46057</v>
      </c>
      <c r="B775" s="158" t="s">
        <v>732</v>
      </c>
      <c r="C775" s="159" t="s">
        <v>670</v>
      </c>
      <c r="D775" s="158" t="s">
        <v>244</v>
      </c>
      <c r="E775" s="147" t="n">
        <v>5</v>
      </c>
      <c r="F775" s="147" t="n">
        <v>360</v>
      </c>
      <c r="G775" s="160" t="n">
        <v>1.8</v>
      </c>
      <c r="H775" s="20"/>
      <c r="I775" s="158" t="s">
        <v>738</v>
      </c>
    </row>
    <row r="776" customFormat="false" ht="15" hidden="false" customHeight="true" outlineLevel="0" collapsed="false">
      <c r="A776" s="144" t="n">
        <v>46057</v>
      </c>
      <c r="B776" s="158" t="s">
        <v>669</v>
      </c>
      <c r="C776" s="159" t="s">
        <v>670</v>
      </c>
      <c r="D776" s="158" t="s">
        <v>155</v>
      </c>
      <c r="E776" s="147" t="n">
        <v>1200</v>
      </c>
      <c r="F776" s="147" t="n">
        <v>80</v>
      </c>
      <c r="G776" s="160" t="n">
        <v>96</v>
      </c>
      <c r="H776" s="20"/>
      <c r="I776" s="113" t="s">
        <v>762</v>
      </c>
    </row>
    <row r="777" customFormat="false" ht="15" hidden="false" customHeight="true" outlineLevel="0" collapsed="false">
      <c r="A777" s="144" t="n">
        <v>46057</v>
      </c>
      <c r="B777" s="158" t="s">
        <v>669</v>
      </c>
      <c r="C777" s="159" t="s">
        <v>670</v>
      </c>
      <c r="D777" s="158" t="s">
        <v>221</v>
      </c>
      <c r="E777" s="147" t="n">
        <v>10</v>
      </c>
      <c r="F777" s="147" t="n">
        <v>800</v>
      </c>
      <c r="G777" s="160" t="n">
        <v>8</v>
      </c>
      <c r="H777" s="20"/>
      <c r="I777" s="158" t="s">
        <v>776</v>
      </c>
    </row>
    <row r="778" customFormat="false" ht="15" hidden="false" customHeight="true" outlineLevel="0" collapsed="false">
      <c r="A778" s="144" t="n">
        <v>46058</v>
      </c>
      <c r="B778" s="113"/>
      <c r="C778" s="159" t="s">
        <v>679</v>
      </c>
      <c r="D778" s="158" t="s">
        <v>142</v>
      </c>
      <c r="E778" s="147" t="n">
        <v>10</v>
      </c>
      <c r="F778" s="147" t="n">
        <v>50</v>
      </c>
      <c r="G778" s="160" t="n">
        <v>0.5</v>
      </c>
      <c r="H778" s="20"/>
      <c r="I778" s="158" t="s">
        <v>681</v>
      </c>
    </row>
    <row r="779" customFormat="false" ht="15" hidden="false" customHeight="true" outlineLevel="0" collapsed="false">
      <c r="A779" s="144" t="n">
        <v>46058</v>
      </c>
      <c r="B779" s="113"/>
      <c r="C779" s="159" t="s">
        <v>679</v>
      </c>
      <c r="D779" s="158" t="s">
        <v>143</v>
      </c>
      <c r="E779" s="147" t="n">
        <v>6</v>
      </c>
      <c r="F779" s="147" t="n">
        <v>50</v>
      </c>
      <c r="G779" s="160" t="n">
        <v>6</v>
      </c>
      <c r="H779" s="20"/>
      <c r="I779" s="158" t="s">
        <v>682</v>
      </c>
    </row>
    <row r="780" customFormat="false" ht="15" hidden="false" customHeight="true" outlineLevel="0" collapsed="false">
      <c r="A780" s="144" t="n">
        <v>46058</v>
      </c>
      <c r="B780" s="113"/>
      <c r="C780" s="159" t="s">
        <v>679</v>
      </c>
      <c r="D780" s="158" t="s">
        <v>143</v>
      </c>
      <c r="E780" s="147" t="n">
        <v>2</v>
      </c>
      <c r="F780" s="147" t="n">
        <v>50</v>
      </c>
      <c r="G780" s="160" t="n">
        <v>4</v>
      </c>
      <c r="H780" s="20"/>
      <c r="I780" s="158" t="s">
        <v>683</v>
      </c>
    </row>
    <row r="781" customFormat="false" ht="15" hidden="false" customHeight="true" outlineLevel="0" collapsed="false">
      <c r="A781" s="144" t="n">
        <v>46058</v>
      </c>
      <c r="B781" s="113"/>
      <c r="C781" s="159" t="s">
        <v>679</v>
      </c>
      <c r="D781" s="158" t="s">
        <v>143</v>
      </c>
      <c r="E781" s="147" t="n">
        <v>1</v>
      </c>
      <c r="F781" s="147" t="n">
        <v>50</v>
      </c>
      <c r="G781" s="160" t="n">
        <v>0.25</v>
      </c>
      <c r="H781" s="20"/>
      <c r="I781" s="158" t="s">
        <v>765</v>
      </c>
    </row>
    <row r="782" customFormat="false" ht="15" hidden="false" customHeight="true" outlineLevel="0" collapsed="false">
      <c r="A782" s="144" t="n">
        <v>46058</v>
      </c>
      <c r="B782" s="113"/>
      <c r="C782" s="159" t="s">
        <v>679</v>
      </c>
      <c r="D782" s="158" t="s">
        <v>143</v>
      </c>
      <c r="E782" s="147" t="n">
        <v>6</v>
      </c>
      <c r="F782" s="147" t="n">
        <v>50</v>
      </c>
      <c r="G782" s="160" t="n">
        <v>0.3</v>
      </c>
      <c r="H782" s="20"/>
      <c r="I782" s="158" t="s">
        <v>721</v>
      </c>
    </row>
    <row r="783" customFormat="false" ht="15" hidden="false" customHeight="true" outlineLevel="0" collapsed="false">
      <c r="A783" s="144" t="n">
        <v>46058</v>
      </c>
      <c r="B783" s="113"/>
      <c r="C783" s="159" t="s">
        <v>679</v>
      </c>
      <c r="D783" s="158" t="s">
        <v>143</v>
      </c>
      <c r="E783" s="147" t="n">
        <v>10</v>
      </c>
      <c r="F783" s="147" t="n">
        <v>50</v>
      </c>
      <c r="G783" s="160" t="n">
        <v>0.5</v>
      </c>
      <c r="H783" s="20"/>
      <c r="I783" s="158" t="s">
        <v>741</v>
      </c>
    </row>
    <row r="784" customFormat="false" ht="15" hidden="false" customHeight="true" outlineLevel="0" collapsed="false">
      <c r="A784" s="144" t="n">
        <v>46058</v>
      </c>
      <c r="B784" s="113"/>
      <c r="C784" s="159" t="s">
        <v>679</v>
      </c>
      <c r="D784" s="158" t="s">
        <v>144</v>
      </c>
      <c r="E784" s="147" t="n">
        <v>8</v>
      </c>
      <c r="F784" s="147" t="n">
        <v>1000</v>
      </c>
      <c r="G784" s="160" t="n">
        <v>16</v>
      </c>
      <c r="H784" s="20"/>
      <c r="I784" s="158" t="s">
        <v>685</v>
      </c>
    </row>
    <row r="785" customFormat="false" ht="15" hidden="false" customHeight="true" outlineLevel="0" collapsed="false">
      <c r="A785" s="144" t="n">
        <v>46058</v>
      </c>
      <c r="B785" s="113"/>
      <c r="C785" s="159" t="s">
        <v>679</v>
      </c>
      <c r="D785" s="158" t="s">
        <v>145</v>
      </c>
      <c r="E785" s="147" t="n">
        <v>4</v>
      </c>
      <c r="F785" s="147" t="n">
        <v>50</v>
      </c>
      <c r="G785" s="160" t="n">
        <v>0.2</v>
      </c>
      <c r="H785" s="20"/>
      <c r="I785" s="158" t="s">
        <v>721</v>
      </c>
    </row>
    <row r="786" customFormat="false" ht="15" hidden="false" customHeight="true" outlineLevel="0" collapsed="false">
      <c r="A786" s="144" t="n">
        <v>46058</v>
      </c>
      <c r="B786" s="113"/>
      <c r="C786" s="159" t="s">
        <v>679</v>
      </c>
      <c r="D786" s="158" t="s">
        <v>145</v>
      </c>
      <c r="E786" s="147" t="n">
        <v>10</v>
      </c>
      <c r="F786" s="147" t="n">
        <v>50</v>
      </c>
      <c r="G786" s="160" t="n">
        <v>0.5</v>
      </c>
      <c r="H786" s="20"/>
      <c r="I786" s="158" t="s">
        <v>741</v>
      </c>
    </row>
    <row r="787" customFormat="false" ht="15" hidden="false" customHeight="true" outlineLevel="0" collapsed="false">
      <c r="A787" s="144" t="n">
        <v>46058</v>
      </c>
      <c r="B787" s="113"/>
      <c r="C787" s="159" t="s">
        <v>679</v>
      </c>
      <c r="D787" s="158" t="s">
        <v>146</v>
      </c>
      <c r="E787" s="147" t="n">
        <v>10</v>
      </c>
      <c r="F787" s="147" t="n">
        <v>50</v>
      </c>
      <c r="G787" s="160" t="n">
        <v>0.5</v>
      </c>
      <c r="H787" s="20"/>
      <c r="I787" s="158" t="s">
        <v>681</v>
      </c>
    </row>
    <row r="788" customFormat="false" ht="15" hidden="false" customHeight="true" outlineLevel="0" collapsed="false">
      <c r="A788" s="144" t="n">
        <v>46058</v>
      </c>
      <c r="B788" s="113"/>
      <c r="C788" s="159" t="s">
        <v>679</v>
      </c>
      <c r="D788" s="158" t="s">
        <v>147</v>
      </c>
      <c r="E788" s="147" t="n">
        <v>10</v>
      </c>
      <c r="F788" s="147" t="n">
        <v>50</v>
      </c>
      <c r="G788" s="160" t="n">
        <v>0.5</v>
      </c>
      <c r="H788" s="20"/>
      <c r="I788" s="158" t="s">
        <v>681</v>
      </c>
    </row>
    <row r="789" customFormat="false" ht="15" hidden="false" customHeight="true" outlineLevel="0" collapsed="false">
      <c r="A789" s="144" t="n">
        <v>46058</v>
      </c>
      <c r="B789" s="113"/>
      <c r="C789" s="159" t="s">
        <v>679</v>
      </c>
      <c r="D789" s="158" t="s">
        <v>148</v>
      </c>
      <c r="E789" s="147" t="n">
        <v>4</v>
      </c>
      <c r="F789" s="147" t="n">
        <v>50</v>
      </c>
      <c r="G789" s="160" t="n">
        <v>0.2</v>
      </c>
      <c r="H789" s="20"/>
      <c r="I789" s="158" t="s">
        <v>721</v>
      </c>
    </row>
    <row r="790" customFormat="false" ht="15" hidden="false" customHeight="true" outlineLevel="0" collapsed="false">
      <c r="A790" s="144" t="n">
        <v>46058</v>
      </c>
      <c r="B790" s="113"/>
      <c r="C790" s="159" t="s">
        <v>679</v>
      </c>
      <c r="D790" s="158" t="s">
        <v>148</v>
      </c>
      <c r="E790" s="147" t="n">
        <v>8</v>
      </c>
      <c r="F790" s="147" t="n">
        <v>50</v>
      </c>
      <c r="G790" s="160" t="n">
        <v>0.4</v>
      </c>
      <c r="H790" s="20"/>
      <c r="I790" s="158" t="s">
        <v>741</v>
      </c>
    </row>
    <row r="791" customFormat="false" ht="15" hidden="false" customHeight="true" outlineLevel="0" collapsed="false">
      <c r="A791" s="144" t="n">
        <v>46058</v>
      </c>
      <c r="B791" s="113"/>
      <c r="C791" s="159" t="s">
        <v>679</v>
      </c>
      <c r="D791" s="158" t="s">
        <v>155</v>
      </c>
      <c r="E791" s="147" t="n">
        <v>9</v>
      </c>
      <c r="F791" s="147" t="n">
        <v>80</v>
      </c>
      <c r="G791" s="160" t="n">
        <v>14.4</v>
      </c>
      <c r="H791" s="20"/>
      <c r="I791" s="113" t="s">
        <v>686</v>
      </c>
    </row>
    <row r="792" customFormat="false" ht="15" hidden="false" customHeight="true" outlineLevel="0" collapsed="false">
      <c r="A792" s="144" t="n">
        <v>46058</v>
      </c>
      <c r="B792" s="113"/>
      <c r="C792" s="159" t="s">
        <v>679</v>
      </c>
      <c r="D792" s="158" t="s">
        <v>159</v>
      </c>
      <c r="E792" s="147" t="n">
        <v>4</v>
      </c>
      <c r="F792" s="147" t="n">
        <v>50</v>
      </c>
      <c r="G792" s="160" t="n">
        <v>0.2</v>
      </c>
      <c r="H792" s="20"/>
      <c r="I792" s="158" t="s">
        <v>721</v>
      </c>
    </row>
    <row r="793" customFormat="false" ht="15" hidden="false" customHeight="true" outlineLevel="0" collapsed="false">
      <c r="A793" s="144" t="n">
        <v>46058</v>
      </c>
      <c r="B793" s="113"/>
      <c r="C793" s="159" t="s">
        <v>679</v>
      </c>
      <c r="D793" s="158" t="s">
        <v>159</v>
      </c>
      <c r="E793" s="147" t="n">
        <v>8</v>
      </c>
      <c r="F793" s="147" t="n">
        <v>50</v>
      </c>
      <c r="G793" s="160" t="n">
        <v>0.4</v>
      </c>
      <c r="H793" s="20"/>
      <c r="I793" s="158" t="s">
        <v>741</v>
      </c>
    </row>
    <row r="794" customFormat="false" ht="15" hidden="false" customHeight="true" outlineLevel="0" collapsed="false">
      <c r="A794" s="144" t="n">
        <v>46058</v>
      </c>
      <c r="B794" s="113"/>
      <c r="C794" s="159" t="s">
        <v>679</v>
      </c>
      <c r="D794" s="158" t="s">
        <v>173</v>
      </c>
      <c r="E794" s="147" t="n">
        <v>1</v>
      </c>
      <c r="F794" s="147" t="n">
        <v>50</v>
      </c>
      <c r="G794" s="160" t="n">
        <v>0.25</v>
      </c>
      <c r="H794" s="20"/>
      <c r="I794" s="158" t="s">
        <v>765</v>
      </c>
    </row>
    <row r="795" customFormat="false" ht="15" hidden="false" customHeight="true" outlineLevel="0" collapsed="false">
      <c r="A795" s="144" t="n">
        <v>46058</v>
      </c>
      <c r="B795" s="113"/>
      <c r="C795" s="159" t="s">
        <v>679</v>
      </c>
      <c r="D795" s="158" t="s">
        <v>179</v>
      </c>
      <c r="E795" s="147" t="n">
        <v>2</v>
      </c>
      <c r="F795" s="147" t="n">
        <v>1000</v>
      </c>
      <c r="G795" s="160" t="n">
        <v>2</v>
      </c>
      <c r="H795" s="20"/>
      <c r="I795" s="158" t="s">
        <v>715</v>
      </c>
    </row>
    <row r="796" customFormat="false" ht="15" hidden="false" customHeight="true" outlineLevel="0" collapsed="false">
      <c r="A796" s="144" t="n">
        <v>46058</v>
      </c>
      <c r="B796" s="113"/>
      <c r="C796" s="159" t="s">
        <v>679</v>
      </c>
      <c r="D796" s="158" t="s">
        <v>179</v>
      </c>
      <c r="E796" s="147" t="n">
        <v>1</v>
      </c>
      <c r="F796" s="147" t="n">
        <v>40</v>
      </c>
      <c r="G796" s="160" t="n">
        <v>0.8</v>
      </c>
      <c r="H796" s="20"/>
      <c r="I796" s="158" t="s">
        <v>688</v>
      </c>
    </row>
    <row r="797" customFormat="false" ht="15" hidden="false" customHeight="true" outlineLevel="0" collapsed="false">
      <c r="A797" s="144" t="n">
        <v>46058</v>
      </c>
      <c r="B797" s="113"/>
      <c r="C797" s="159" t="s">
        <v>679</v>
      </c>
      <c r="D797" s="158" t="s">
        <v>181</v>
      </c>
      <c r="E797" s="147" t="n">
        <v>1</v>
      </c>
      <c r="F797" s="147" t="n">
        <v>1000</v>
      </c>
      <c r="G797" s="160" t="n">
        <v>2</v>
      </c>
      <c r="H797" s="20"/>
      <c r="I797" s="113" t="s">
        <v>773</v>
      </c>
    </row>
    <row r="798" customFormat="false" ht="15" hidden="false" customHeight="true" outlineLevel="0" collapsed="false">
      <c r="A798" s="144" t="n">
        <v>46058</v>
      </c>
      <c r="B798" s="113"/>
      <c r="C798" s="159" t="s">
        <v>679</v>
      </c>
      <c r="D798" s="158" t="s">
        <v>183</v>
      </c>
      <c r="E798" s="147" t="n">
        <v>2</v>
      </c>
      <c r="F798" s="147" t="n">
        <v>60</v>
      </c>
      <c r="G798" s="160" t="n">
        <v>1.2</v>
      </c>
      <c r="H798" s="20"/>
      <c r="I798" s="113" t="s">
        <v>722</v>
      </c>
    </row>
    <row r="799" customFormat="false" ht="15" hidden="false" customHeight="true" outlineLevel="0" collapsed="false">
      <c r="A799" s="144" t="n">
        <v>46058</v>
      </c>
      <c r="B799" s="113"/>
      <c r="C799" s="159" t="s">
        <v>679</v>
      </c>
      <c r="D799" s="158" t="s">
        <v>183</v>
      </c>
      <c r="E799" s="147" t="n">
        <v>9</v>
      </c>
      <c r="F799" s="147" t="n">
        <v>60</v>
      </c>
      <c r="G799" s="160" t="n">
        <v>16.2</v>
      </c>
      <c r="H799" s="20"/>
      <c r="I799" s="158" t="s">
        <v>689</v>
      </c>
    </row>
    <row r="800" customFormat="false" ht="15" hidden="false" customHeight="true" outlineLevel="0" collapsed="false">
      <c r="A800" s="144" t="n">
        <v>46058</v>
      </c>
      <c r="B800" s="113"/>
      <c r="C800" s="159" t="s">
        <v>679</v>
      </c>
      <c r="D800" s="158" t="s">
        <v>184</v>
      </c>
      <c r="E800" s="147" t="n">
        <v>1</v>
      </c>
      <c r="F800" s="147" t="n">
        <v>50</v>
      </c>
      <c r="G800" s="160" t="n">
        <v>2</v>
      </c>
      <c r="H800" s="20"/>
      <c r="I800" s="158" t="s">
        <v>691</v>
      </c>
    </row>
    <row r="801" customFormat="false" ht="15" hidden="false" customHeight="true" outlineLevel="0" collapsed="false">
      <c r="A801" s="144" t="n">
        <v>46058</v>
      </c>
      <c r="B801" s="113"/>
      <c r="C801" s="159" t="s">
        <v>679</v>
      </c>
      <c r="D801" s="158" t="s">
        <v>184</v>
      </c>
      <c r="E801" s="147" t="n">
        <v>6</v>
      </c>
      <c r="F801" s="147" t="n">
        <v>50</v>
      </c>
      <c r="G801" s="160" t="n">
        <v>0.3</v>
      </c>
      <c r="H801" s="20"/>
      <c r="I801" s="158" t="s">
        <v>721</v>
      </c>
    </row>
    <row r="802" customFormat="false" ht="15" hidden="false" customHeight="true" outlineLevel="0" collapsed="false">
      <c r="A802" s="144" t="n">
        <v>46058</v>
      </c>
      <c r="B802" s="113"/>
      <c r="C802" s="159" t="s">
        <v>679</v>
      </c>
      <c r="D802" s="158" t="s">
        <v>184</v>
      </c>
      <c r="E802" s="147" t="n">
        <v>10</v>
      </c>
      <c r="F802" s="147" t="n">
        <v>50</v>
      </c>
      <c r="G802" s="160" t="n">
        <v>0.5</v>
      </c>
      <c r="H802" s="20"/>
      <c r="I802" s="158" t="s">
        <v>741</v>
      </c>
    </row>
    <row r="803" customFormat="false" ht="15" hidden="false" customHeight="true" outlineLevel="0" collapsed="false">
      <c r="A803" s="144" t="n">
        <v>46058</v>
      </c>
      <c r="B803" s="113"/>
      <c r="C803" s="159" t="s">
        <v>679</v>
      </c>
      <c r="D803" s="158" t="s">
        <v>186</v>
      </c>
      <c r="E803" s="147" t="n">
        <v>4</v>
      </c>
      <c r="F803" s="147" t="n">
        <v>50</v>
      </c>
      <c r="G803" s="160" t="n">
        <v>0.2</v>
      </c>
      <c r="H803" s="20"/>
      <c r="I803" s="158" t="s">
        <v>721</v>
      </c>
    </row>
    <row r="804" customFormat="false" ht="15" hidden="false" customHeight="true" outlineLevel="0" collapsed="false">
      <c r="A804" s="144" t="n">
        <v>46058</v>
      </c>
      <c r="B804" s="113"/>
      <c r="C804" s="159" t="s">
        <v>679</v>
      </c>
      <c r="D804" s="158" t="s">
        <v>186</v>
      </c>
      <c r="E804" s="147" t="n">
        <v>8</v>
      </c>
      <c r="F804" s="147" t="n">
        <v>50</v>
      </c>
      <c r="G804" s="160" t="n">
        <v>0.4</v>
      </c>
      <c r="H804" s="20"/>
      <c r="I804" s="158" t="s">
        <v>741</v>
      </c>
    </row>
    <row r="805" customFormat="false" ht="15" hidden="false" customHeight="true" outlineLevel="0" collapsed="false">
      <c r="A805" s="144" t="n">
        <v>46058</v>
      </c>
      <c r="B805" s="113"/>
      <c r="C805" s="159" t="s">
        <v>679</v>
      </c>
      <c r="D805" s="158" t="s">
        <v>192</v>
      </c>
      <c r="E805" s="147" t="n">
        <v>4</v>
      </c>
      <c r="F805" s="147" t="n">
        <v>50</v>
      </c>
      <c r="G805" s="160" t="n">
        <v>0.2</v>
      </c>
      <c r="H805" s="20"/>
      <c r="I805" s="158" t="s">
        <v>721</v>
      </c>
    </row>
    <row r="806" customFormat="false" ht="15" hidden="false" customHeight="true" outlineLevel="0" collapsed="false">
      <c r="A806" s="144" t="n">
        <v>46058</v>
      </c>
      <c r="B806" s="113"/>
      <c r="C806" s="159" t="s">
        <v>679</v>
      </c>
      <c r="D806" s="158" t="s">
        <v>192</v>
      </c>
      <c r="E806" s="147" t="n">
        <v>10</v>
      </c>
      <c r="F806" s="147" t="n">
        <v>50</v>
      </c>
      <c r="G806" s="160" t="n">
        <v>0.5</v>
      </c>
      <c r="H806" s="20"/>
      <c r="I806" s="158" t="s">
        <v>741</v>
      </c>
    </row>
    <row r="807" customFormat="false" ht="15" hidden="false" customHeight="true" outlineLevel="0" collapsed="false">
      <c r="A807" s="144" t="n">
        <v>46058</v>
      </c>
      <c r="B807" s="113"/>
      <c r="C807" s="159" t="s">
        <v>679</v>
      </c>
      <c r="D807" s="158" t="s">
        <v>195</v>
      </c>
      <c r="E807" s="147" t="n">
        <v>4</v>
      </c>
      <c r="F807" s="147" t="n">
        <v>50</v>
      </c>
      <c r="G807" s="160" t="n">
        <v>0.2</v>
      </c>
      <c r="H807" s="20"/>
      <c r="I807" s="158" t="s">
        <v>721</v>
      </c>
    </row>
    <row r="808" customFormat="false" ht="15" hidden="false" customHeight="true" outlineLevel="0" collapsed="false">
      <c r="A808" s="144" t="n">
        <v>46058</v>
      </c>
      <c r="B808" s="113"/>
      <c r="C808" s="159" t="s">
        <v>679</v>
      </c>
      <c r="D808" s="158" t="s">
        <v>195</v>
      </c>
      <c r="E808" s="147" t="n">
        <v>8</v>
      </c>
      <c r="F808" s="147" t="n">
        <v>50</v>
      </c>
      <c r="G808" s="160" t="n">
        <v>0.4</v>
      </c>
      <c r="H808" s="20"/>
      <c r="I808" s="158" t="s">
        <v>741</v>
      </c>
    </row>
    <row r="809" customFormat="false" ht="15" hidden="false" customHeight="true" outlineLevel="0" collapsed="false">
      <c r="A809" s="144" t="n">
        <v>46058</v>
      </c>
      <c r="B809" s="113"/>
      <c r="C809" s="159" t="s">
        <v>679</v>
      </c>
      <c r="D809" s="158" t="s">
        <v>222</v>
      </c>
      <c r="E809" s="147" t="n">
        <v>2</v>
      </c>
      <c r="F809" s="147" t="n">
        <v>40</v>
      </c>
      <c r="G809" s="160" t="n">
        <v>0.4</v>
      </c>
      <c r="H809" s="20"/>
      <c r="I809" s="113" t="s">
        <v>722</v>
      </c>
    </row>
    <row r="810" customFormat="false" ht="15" hidden="false" customHeight="true" outlineLevel="0" collapsed="false">
      <c r="A810" s="144" t="n">
        <v>46058</v>
      </c>
      <c r="B810" s="113"/>
      <c r="C810" s="159" t="s">
        <v>679</v>
      </c>
      <c r="D810" s="158" t="s">
        <v>222</v>
      </c>
      <c r="E810" s="147" t="n">
        <v>4</v>
      </c>
      <c r="F810" s="147" t="n">
        <v>40</v>
      </c>
      <c r="G810" s="160" t="n">
        <v>3.2</v>
      </c>
      <c r="H810" s="20"/>
      <c r="I810" s="158" t="s">
        <v>692</v>
      </c>
    </row>
    <row r="811" customFormat="false" ht="15" hidden="false" customHeight="true" outlineLevel="0" collapsed="false">
      <c r="A811" s="144" t="n">
        <v>46058</v>
      </c>
      <c r="B811" s="113"/>
      <c r="C811" s="159" t="s">
        <v>679</v>
      </c>
      <c r="D811" s="158" t="s">
        <v>221</v>
      </c>
      <c r="E811" s="147" t="n">
        <v>2</v>
      </c>
      <c r="F811" s="147" t="n">
        <v>40</v>
      </c>
      <c r="G811" s="160" t="n">
        <v>0.4</v>
      </c>
      <c r="H811" s="20"/>
      <c r="I811" s="113" t="s">
        <v>722</v>
      </c>
    </row>
    <row r="812" customFormat="false" ht="15" hidden="false" customHeight="true" outlineLevel="0" collapsed="false">
      <c r="A812" s="144" t="n">
        <v>46058</v>
      </c>
      <c r="B812" s="113"/>
      <c r="C812" s="159" t="s">
        <v>679</v>
      </c>
      <c r="D812" s="158" t="s">
        <v>221</v>
      </c>
      <c r="E812" s="147" t="n">
        <v>6</v>
      </c>
      <c r="F812" s="147" t="n">
        <v>40</v>
      </c>
      <c r="G812" s="160" t="n">
        <v>4.8</v>
      </c>
      <c r="H812" s="20"/>
      <c r="I812" s="158" t="s">
        <v>693</v>
      </c>
    </row>
    <row r="813" customFormat="false" ht="15" hidden="false" customHeight="true" outlineLevel="0" collapsed="false">
      <c r="A813" s="144" t="n">
        <v>46058</v>
      </c>
      <c r="B813" s="113"/>
      <c r="C813" s="159" t="s">
        <v>679</v>
      </c>
      <c r="D813" s="158" t="s">
        <v>221</v>
      </c>
      <c r="E813" s="147" t="n">
        <v>2</v>
      </c>
      <c r="F813" s="147" t="n">
        <v>40</v>
      </c>
      <c r="G813" s="160" t="n">
        <v>3.2</v>
      </c>
      <c r="H813" s="20"/>
      <c r="I813" s="158" t="s">
        <v>777</v>
      </c>
    </row>
    <row r="814" customFormat="false" ht="15" hidden="false" customHeight="true" outlineLevel="0" collapsed="false">
      <c r="A814" s="144" t="n">
        <v>46058</v>
      </c>
      <c r="B814" s="113"/>
      <c r="C814" s="159" t="s">
        <v>679</v>
      </c>
      <c r="D814" s="158" t="s">
        <v>204</v>
      </c>
      <c r="E814" s="147" t="n">
        <v>2</v>
      </c>
      <c r="F814" s="147" t="n">
        <v>60</v>
      </c>
      <c r="G814" s="160" t="n">
        <v>0.6</v>
      </c>
      <c r="H814" s="20"/>
      <c r="I814" s="113" t="s">
        <v>722</v>
      </c>
    </row>
    <row r="815" customFormat="false" ht="15" hidden="false" customHeight="true" outlineLevel="0" collapsed="false">
      <c r="A815" s="144" t="n">
        <v>46058</v>
      </c>
      <c r="B815" s="113"/>
      <c r="C815" s="159" t="s">
        <v>679</v>
      </c>
      <c r="D815" s="158" t="s">
        <v>204</v>
      </c>
      <c r="E815" s="147" t="n">
        <v>60</v>
      </c>
      <c r="F815" s="147" t="n">
        <v>1000</v>
      </c>
      <c r="G815" s="160" t="n">
        <v>108</v>
      </c>
      <c r="H815" s="20"/>
      <c r="I815" s="158" t="s">
        <v>703</v>
      </c>
    </row>
    <row r="816" customFormat="false" ht="15" hidden="false" customHeight="true" outlineLevel="0" collapsed="false">
      <c r="A816" s="144" t="n">
        <v>46058</v>
      </c>
      <c r="B816" s="113"/>
      <c r="C816" s="159" t="s">
        <v>679</v>
      </c>
      <c r="D816" s="158" t="s">
        <v>204</v>
      </c>
      <c r="E816" s="147" t="n">
        <v>2</v>
      </c>
      <c r="F816" s="147" t="n">
        <v>60</v>
      </c>
      <c r="G816" s="160" t="n">
        <v>3.6</v>
      </c>
      <c r="H816" s="20"/>
      <c r="I816" s="158" t="s">
        <v>694</v>
      </c>
    </row>
    <row r="817" customFormat="false" ht="15" hidden="false" customHeight="true" outlineLevel="0" collapsed="false">
      <c r="A817" s="144" t="n">
        <v>46058</v>
      </c>
      <c r="B817" s="113"/>
      <c r="C817" s="159" t="s">
        <v>679</v>
      </c>
      <c r="D817" s="158" t="s">
        <v>204</v>
      </c>
      <c r="E817" s="147" t="n">
        <v>54</v>
      </c>
      <c r="F817" s="147" t="n">
        <v>60</v>
      </c>
      <c r="G817" s="160" t="n">
        <v>97.2</v>
      </c>
      <c r="H817" s="20"/>
      <c r="I817" s="158" t="s">
        <v>771</v>
      </c>
    </row>
    <row r="818" customFormat="false" ht="15" hidden="false" customHeight="true" outlineLevel="0" collapsed="false">
      <c r="A818" s="144" t="n">
        <v>46058</v>
      </c>
      <c r="B818" s="113"/>
      <c r="C818" s="159" t="s">
        <v>679</v>
      </c>
      <c r="D818" s="158" t="s">
        <v>204</v>
      </c>
      <c r="E818" s="147" t="n">
        <v>30</v>
      </c>
      <c r="F818" s="147" t="n">
        <v>60</v>
      </c>
      <c r="G818" s="160" t="n">
        <v>108</v>
      </c>
      <c r="H818" s="20"/>
      <c r="I818" s="158" t="s">
        <v>742</v>
      </c>
    </row>
    <row r="819" customFormat="false" ht="15" hidden="false" customHeight="true" outlineLevel="0" collapsed="false">
      <c r="A819" s="144" t="n">
        <v>46058</v>
      </c>
      <c r="B819" s="113"/>
      <c r="C819" s="159" t="s">
        <v>679</v>
      </c>
      <c r="D819" s="158" t="s">
        <v>236</v>
      </c>
      <c r="E819" s="147" t="n">
        <v>2</v>
      </c>
      <c r="F819" s="147" t="n">
        <v>60</v>
      </c>
      <c r="G819" s="160" t="n">
        <v>0.6</v>
      </c>
      <c r="H819" s="20"/>
      <c r="I819" s="113" t="s">
        <v>722</v>
      </c>
    </row>
    <row r="820" customFormat="false" ht="15" hidden="false" customHeight="true" outlineLevel="0" collapsed="false">
      <c r="A820" s="144" t="n">
        <v>46058</v>
      </c>
      <c r="B820" s="113"/>
      <c r="C820" s="159" t="s">
        <v>679</v>
      </c>
      <c r="D820" s="158" t="s">
        <v>236</v>
      </c>
      <c r="E820" s="147" t="n">
        <v>12</v>
      </c>
      <c r="F820" s="147" t="n">
        <v>60</v>
      </c>
      <c r="G820" s="160" t="n">
        <v>43.2</v>
      </c>
      <c r="H820" s="20"/>
      <c r="I820" s="158" t="s">
        <v>772</v>
      </c>
    </row>
    <row r="821" customFormat="false" ht="15" hidden="false" customHeight="true" outlineLevel="0" collapsed="false">
      <c r="A821" s="144" t="n">
        <v>46058</v>
      </c>
      <c r="B821" s="113"/>
      <c r="C821" s="159" t="s">
        <v>679</v>
      </c>
      <c r="D821" s="158" t="s">
        <v>236</v>
      </c>
      <c r="E821" s="147" t="n">
        <v>54</v>
      </c>
      <c r="F821" s="147" t="n">
        <v>60</v>
      </c>
      <c r="G821" s="160" t="n">
        <v>97.2</v>
      </c>
      <c r="H821" s="20"/>
      <c r="I821" s="158" t="s">
        <v>771</v>
      </c>
    </row>
    <row r="822" customFormat="false" ht="15" hidden="false" customHeight="true" outlineLevel="0" collapsed="false">
      <c r="A822" s="144" t="n">
        <v>46058</v>
      </c>
      <c r="B822" s="113"/>
      <c r="C822" s="159" t="s">
        <v>679</v>
      </c>
      <c r="D822" s="158" t="s">
        <v>206</v>
      </c>
      <c r="E822" s="147" t="n">
        <v>1</v>
      </c>
      <c r="F822" s="147" t="n">
        <v>30</v>
      </c>
      <c r="G822" s="160" t="n">
        <v>1.8</v>
      </c>
      <c r="H822" s="20"/>
      <c r="I822" s="158" t="s">
        <v>696</v>
      </c>
    </row>
    <row r="823" customFormat="false" ht="15" hidden="false" customHeight="true" outlineLevel="0" collapsed="false">
      <c r="A823" s="144" t="n">
        <v>46058</v>
      </c>
      <c r="B823" s="113"/>
      <c r="C823" s="159" t="s">
        <v>679</v>
      </c>
      <c r="D823" s="158" t="s">
        <v>206</v>
      </c>
      <c r="E823" s="147" t="n">
        <v>1</v>
      </c>
      <c r="F823" s="147" t="n">
        <v>1000</v>
      </c>
      <c r="G823" s="160" t="n">
        <v>1</v>
      </c>
      <c r="H823" s="20"/>
      <c r="I823" s="158" t="s">
        <v>778</v>
      </c>
    </row>
    <row r="824" customFormat="false" ht="15" hidden="false" customHeight="true" outlineLevel="0" collapsed="false">
      <c r="A824" s="144" t="n">
        <v>46058</v>
      </c>
      <c r="B824" s="113"/>
      <c r="C824" s="159" t="s">
        <v>679</v>
      </c>
      <c r="D824" s="158" t="s">
        <v>207</v>
      </c>
      <c r="E824" s="147" t="n">
        <v>2</v>
      </c>
      <c r="F824" s="147" t="n">
        <v>1000</v>
      </c>
      <c r="G824" s="160" t="n">
        <v>4</v>
      </c>
      <c r="H824" s="20"/>
      <c r="I824" s="158" t="s">
        <v>710</v>
      </c>
    </row>
    <row r="825" customFormat="false" ht="15" hidden="false" customHeight="true" outlineLevel="0" collapsed="false">
      <c r="A825" s="144" t="n">
        <v>46058</v>
      </c>
      <c r="B825" s="113"/>
      <c r="C825" s="159" t="s">
        <v>679</v>
      </c>
      <c r="D825" s="158" t="s">
        <v>212</v>
      </c>
      <c r="E825" s="147" t="n">
        <v>1</v>
      </c>
      <c r="F825" s="147" t="n">
        <v>50</v>
      </c>
      <c r="G825" s="160" t="n">
        <v>0.25</v>
      </c>
      <c r="H825" s="20"/>
      <c r="I825" s="158" t="s">
        <v>765</v>
      </c>
    </row>
    <row r="826" customFormat="false" ht="15" hidden="false" customHeight="true" outlineLevel="0" collapsed="false">
      <c r="A826" s="144" t="n">
        <v>46058</v>
      </c>
      <c r="B826" s="113"/>
      <c r="C826" s="159" t="s">
        <v>679</v>
      </c>
      <c r="D826" s="158" t="s">
        <v>212</v>
      </c>
      <c r="E826" s="147" t="n">
        <v>1</v>
      </c>
      <c r="F826" s="147" t="n">
        <v>50</v>
      </c>
      <c r="G826" s="160" t="n">
        <v>0.5</v>
      </c>
      <c r="H826" s="20"/>
      <c r="I826" s="158" t="s">
        <v>711</v>
      </c>
    </row>
    <row r="827" customFormat="false" ht="15" hidden="false" customHeight="true" outlineLevel="0" collapsed="false">
      <c r="A827" s="144" t="n">
        <v>46058</v>
      </c>
      <c r="B827" s="113"/>
      <c r="C827" s="159" t="s">
        <v>679</v>
      </c>
      <c r="D827" s="158" t="s">
        <v>219</v>
      </c>
      <c r="E827" s="147" t="n">
        <v>4</v>
      </c>
      <c r="F827" s="147" t="n">
        <v>50</v>
      </c>
      <c r="G827" s="160" t="n">
        <v>0.2</v>
      </c>
      <c r="H827" s="20"/>
      <c r="I827" s="158" t="s">
        <v>721</v>
      </c>
    </row>
    <row r="828" customFormat="false" ht="15" hidden="false" customHeight="true" outlineLevel="0" collapsed="false">
      <c r="A828" s="144" t="n">
        <v>46058</v>
      </c>
      <c r="B828" s="113"/>
      <c r="C828" s="159" t="s">
        <v>679</v>
      </c>
      <c r="D828" s="158" t="s">
        <v>219</v>
      </c>
      <c r="E828" s="147" t="n">
        <v>8</v>
      </c>
      <c r="F828" s="147" t="n">
        <v>50</v>
      </c>
      <c r="G828" s="160" t="n">
        <v>0.4</v>
      </c>
      <c r="H828" s="20"/>
      <c r="I828" s="158" t="s">
        <v>741</v>
      </c>
    </row>
    <row r="829" customFormat="false" ht="15" hidden="false" customHeight="true" outlineLevel="0" collapsed="false">
      <c r="A829" s="144" t="n">
        <v>46058</v>
      </c>
      <c r="B829" s="113"/>
      <c r="C829" s="159" t="s">
        <v>679</v>
      </c>
      <c r="D829" s="158" t="s">
        <v>220</v>
      </c>
      <c r="E829" s="147" t="n">
        <v>10</v>
      </c>
      <c r="F829" s="147" t="n">
        <v>50</v>
      </c>
      <c r="G829" s="160" t="n">
        <v>0.5</v>
      </c>
      <c r="H829" s="20"/>
      <c r="I829" s="158" t="s">
        <v>681</v>
      </c>
    </row>
    <row r="830" customFormat="false" ht="15" hidden="false" customHeight="true" outlineLevel="0" collapsed="false">
      <c r="A830" s="144" t="n">
        <v>46058</v>
      </c>
      <c r="B830" s="158" t="s">
        <v>732</v>
      </c>
      <c r="C830" s="159" t="s">
        <v>670</v>
      </c>
      <c r="D830" s="158" t="s">
        <v>242</v>
      </c>
      <c r="E830" s="147" t="n">
        <v>7</v>
      </c>
      <c r="F830" s="147" t="n">
        <v>360</v>
      </c>
      <c r="G830" s="160" t="n">
        <v>2.52</v>
      </c>
      <c r="H830" s="20"/>
      <c r="I830" s="158" t="s">
        <v>733</v>
      </c>
    </row>
    <row r="831" customFormat="false" ht="15" hidden="false" customHeight="true" outlineLevel="0" collapsed="false">
      <c r="A831" s="144" t="n">
        <v>46058</v>
      </c>
      <c r="B831" s="158" t="s">
        <v>732</v>
      </c>
      <c r="C831" s="159" t="s">
        <v>670</v>
      </c>
      <c r="D831" s="158" t="s">
        <v>241</v>
      </c>
      <c r="E831" s="147" t="n">
        <v>3</v>
      </c>
      <c r="F831" s="147" t="n">
        <v>360</v>
      </c>
      <c r="G831" s="160" t="n">
        <v>1.08</v>
      </c>
      <c r="H831" s="20"/>
      <c r="I831" s="158" t="s">
        <v>735</v>
      </c>
    </row>
    <row r="832" customFormat="false" ht="15" hidden="false" customHeight="true" outlineLevel="0" collapsed="false">
      <c r="A832" s="144" t="n">
        <v>46058</v>
      </c>
      <c r="B832" s="158" t="s">
        <v>732</v>
      </c>
      <c r="C832" s="159" t="s">
        <v>670</v>
      </c>
      <c r="D832" s="158" t="s">
        <v>243</v>
      </c>
      <c r="E832" s="147" t="n">
        <v>8</v>
      </c>
      <c r="F832" s="147" t="n">
        <v>360</v>
      </c>
      <c r="G832" s="160" t="n">
        <v>2.88</v>
      </c>
      <c r="H832" s="20"/>
      <c r="I832" s="158" t="s">
        <v>737</v>
      </c>
    </row>
    <row r="833" customFormat="false" ht="15" hidden="false" customHeight="true" outlineLevel="0" collapsed="false">
      <c r="A833" s="144" t="n">
        <v>46058</v>
      </c>
      <c r="B833" s="158" t="s">
        <v>732</v>
      </c>
      <c r="C833" s="159" t="s">
        <v>670</v>
      </c>
      <c r="D833" s="158" t="s">
        <v>244</v>
      </c>
      <c r="E833" s="147" t="n">
        <v>4</v>
      </c>
      <c r="F833" s="147" t="n">
        <v>360</v>
      </c>
      <c r="G833" s="160" t="n">
        <v>1.44</v>
      </c>
      <c r="H833" s="20"/>
      <c r="I833" s="158" t="s">
        <v>738</v>
      </c>
    </row>
    <row r="834" customFormat="false" ht="15" hidden="false" customHeight="true" outlineLevel="0" collapsed="false">
      <c r="A834" s="144" t="n">
        <v>46058</v>
      </c>
      <c r="B834" s="158" t="s">
        <v>746</v>
      </c>
      <c r="C834" s="159" t="s">
        <v>670</v>
      </c>
      <c r="D834" s="158" t="s">
        <v>240</v>
      </c>
      <c r="E834" s="147" t="n">
        <v>3</v>
      </c>
      <c r="F834" s="147" t="n">
        <v>360</v>
      </c>
      <c r="G834" s="160" t="n">
        <v>1.08</v>
      </c>
      <c r="H834" s="20"/>
      <c r="I834" s="158" t="s">
        <v>748</v>
      </c>
    </row>
    <row r="835" customFormat="false" ht="15" hidden="false" customHeight="true" outlineLevel="0" collapsed="false">
      <c r="A835" s="144" t="n">
        <v>46059</v>
      </c>
      <c r="B835" s="113"/>
      <c r="C835" s="159" t="s">
        <v>679</v>
      </c>
      <c r="D835" s="158" t="s">
        <v>142</v>
      </c>
      <c r="E835" s="147" t="n">
        <v>2</v>
      </c>
      <c r="F835" s="147" t="n">
        <v>50</v>
      </c>
      <c r="G835" s="160" t="n">
        <v>2</v>
      </c>
      <c r="H835" s="20"/>
      <c r="I835" s="158" t="s">
        <v>680</v>
      </c>
    </row>
    <row r="836" customFormat="false" ht="15" hidden="false" customHeight="true" outlineLevel="0" collapsed="false">
      <c r="A836" s="144" t="n">
        <v>46059</v>
      </c>
      <c r="B836" s="113"/>
      <c r="C836" s="159" t="s">
        <v>679</v>
      </c>
      <c r="D836" s="158" t="s">
        <v>142</v>
      </c>
      <c r="E836" s="147" t="n">
        <v>5</v>
      </c>
      <c r="F836" s="147" t="n">
        <v>50</v>
      </c>
      <c r="G836" s="160" t="n">
        <v>0.25</v>
      </c>
      <c r="H836" s="20"/>
      <c r="I836" s="158" t="s">
        <v>706</v>
      </c>
    </row>
    <row r="837" customFormat="false" ht="15" hidden="false" customHeight="true" outlineLevel="0" collapsed="false">
      <c r="A837" s="144" t="n">
        <v>46059</v>
      </c>
      <c r="B837" s="113"/>
      <c r="C837" s="159" t="s">
        <v>679</v>
      </c>
      <c r="D837" s="158" t="s">
        <v>143</v>
      </c>
      <c r="E837" s="147" t="n">
        <v>4</v>
      </c>
      <c r="F837" s="147" t="n">
        <v>50</v>
      </c>
      <c r="G837" s="160" t="n">
        <v>4</v>
      </c>
      <c r="H837" s="20"/>
      <c r="I837" s="158" t="s">
        <v>682</v>
      </c>
    </row>
    <row r="838" customFormat="false" ht="15" hidden="false" customHeight="true" outlineLevel="0" collapsed="false">
      <c r="A838" s="144" t="n">
        <v>46059</v>
      </c>
      <c r="B838" s="113"/>
      <c r="C838" s="159" t="s">
        <v>679</v>
      </c>
      <c r="D838" s="158" t="s">
        <v>143</v>
      </c>
      <c r="E838" s="147" t="n">
        <v>2</v>
      </c>
      <c r="F838" s="147" t="n">
        <v>50</v>
      </c>
      <c r="G838" s="160" t="n">
        <v>4</v>
      </c>
      <c r="H838" s="20"/>
      <c r="I838" s="158" t="s">
        <v>683</v>
      </c>
    </row>
    <row r="839" customFormat="false" ht="15" hidden="false" customHeight="true" outlineLevel="0" collapsed="false">
      <c r="A839" s="144" t="n">
        <v>46059</v>
      </c>
      <c r="B839" s="113"/>
      <c r="C839" s="159" t="s">
        <v>679</v>
      </c>
      <c r="D839" s="158" t="s">
        <v>143</v>
      </c>
      <c r="E839" s="147" t="n">
        <v>15</v>
      </c>
      <c r="F839" s="147" t="n">
        <v>50</v>
      </c>
      <c r="G839" s="160" t="n">
        <v>0.75</v>
      </c>
      <c r="H839" s="20"/>
      <c r="I839" s="158" t="s">
        <v>779</v>
      </c>
    </row>
    <row r="840" customFormat="false" ht="15" hidden="false" customHeight="true" outlineLevel="0" collapsed="false">
      <c r="A840" s="144" t="n">
        <v>46059</v>
      </c>
      <c r="B840" s="113"/>
      <c r="C840" s="159" t="s">
        <v>679</v>
      </c>
      <c r="D840" s="158" t="s">
        <v>144</v>
      </c>
      <c r="E840" s="147" t="n">
        <v>1</v>
      </c>
      <c r="F840" s="147" t="n">
        <v>1000</v>
      </c>
      <c r="G840" s="160" t="n">
        <v>1</v>
      </c>
      <c r="H840" s="20"/>
      <c r="I840" s="158" t="s">
        <v>699</v>
      </c>
    </row>
    <row r="841" customFormat="false" ht="15" hidden="false" customHeight="true" outlineLevel="0" collapsed="false">
      <c r="A841" s="144" t="n">
        <v>46059</v>
      </c>
      <c r="B841" s="113"/>
      <c r="C841" s="159" t="s">
        <v>679</v>
      </c>
      <c r="D841" s="158" t="s">
        <v>144</v>
      </c>
      <c r="E841" s="147" t="n">
        <v>6</v>
      </c>
      <c r="F841" s="147" t="n">
        <v>1000</v>
      </c>
      <c r="G841" s="160" t="n">
        <v>12</v>
      </c>
      <c r="H841" s="20"/>
      <c r="I841" s="158" t="s">
        <v>685</v>
      </c>
    </row>
    <row r="842" customFormat="false" ht="15" hidden="false" customHeight="true" outlineLevel="0" collapsed="false">
      <c r="A842" s="144" t="n">
        <v>46059</v>
      </c>
      <c r="B842" s="113"/>
      <c r="C842" s="159" t="s">
        <v>679</v>
      </c>
      <c r="D842" s="158" t="s">
        <v>145</v>
      </c>
      <c r="E842" s="147" t="n">
        <v>15</v>
      </c>
      <c r="F842" s="147" t="n">
        <v>50</v>
      </c>
      <c r="G842" s="160" t="n">
        <v>0.75</v>
      </c>
      <c r="H842" s="20"/>
      <c r="I842" s="158" t="s">
        <v>779</v>
      </c>
    </row>
    <row r="843" customFormat="false" ht="15" hidden="false" customHeight="true" outlineLevel="0" collapsed="false">
      <c r="A843" s="144" t="n">
        <v>46059</v>
      </c>
      <c r="B843" s="113"/>
      <c r="C843" s="159" t="s">
        <v>679</v>
      </c>
      <c r="D843" s="158" t="s">
        <v>146</v>
      </c>
      <c r="E843" s="147" t="n">
        <v>1</v>
      </c>
      <c r="F843" s="147" t="n">
        <v>50</v>
      </c>
      <c r="G843" s="160" t="n">
        <v>1</v>
      </c>
      <c r="H843" s="20"/>
      <c r="I843" s="158" t="s">
        <v>717</v>
      </c>
    </row>
    <row r="844" customFormat="false" ht="15" hidden="false" customHeight="true" outlineLevel="0" collapsed="false">
      <c r="A844" s="144" t="n">
        <v>46059</v>
      </c>
      <c r="B844" s="113"/>
      <c r="C844" s="159" t="s">
        <v>679</v>
      </c>
      <c r="D844" s="158" t="s">
        <v>146</v>
      </c>
      <c r="E844" s="147" t="n">
        <v>5</v>
      </c>
      <c r="F844" s="147" t="n">
        <v>50</v>
      </c>
      <c r="G844" s="160" t="n">
        <v>0.25</v>
      </c>
      <c r="H844" s="20"/>
      <c r="I844" s="158" t="s">
        <v>706</v>
      </c>
    </row>
    <row r="845" customFormat="false" ht="15" hidden="false" customHeight="true" outlineLevel="0" collapsed="false">
      <c r="A845" s="144" t="n">
        <v>46059</v>
      </c>
      <c r="B845" s="113"/>
      <c r="C845" s="159" t="s">
        <v>679</v>
      </c>
      <c r="D845" s="158" t="s">
        <v>147</v>
      </c>
      <c r="E845" s="147" t="n">
        <v>3</v>
      </c>
      <c r="F845" s="147" t="n">
        <v>50</v>
      </c>
      <c r="G845" s="160" t="n">
        <v>3</v>
      </c>
      <c r="H845" s="20"/>
      <c r="I845" s="158" t="s">
        <v>700</v>
      </c>
    </row>
    <row r="846" customFormat="false" ht="15" hidden="false" customHeight="true" outlineLevel="0" collapsed="false">
      <c r="A846" s="144" t="n">
        <v>46059</v>
      </c>
      <c r="B846" s="113"/>
      <c r="C846" s="159" t="s">
        <v>679</v>
      </c>
      <c r="D846" s="158" t="s">
        <v>147</v>
      </c>
      <c r="E846" s="147" t="n">
        <v>2</v>
      </c>
      <c r="F846" s="147" t="n">
        <v>50</v>
      </c>
      <c r="G846" s="160" t="n">
        <v>4</v>
      </c>
      <c r="H846" s="20"/>
      <c r="I846" s="158" t="s">
        <v>780</v>
      </c>
    </row>
    <row r="847" customFormat="false" ht="15" hidden="false" customHeight="true" outlineLevel="0" collapsed="false">
      <c r="A847" s="144" t="n">
        <v>46059</v>
      </c>
      <c r="B847" s="113"/>
      <c r="C847" s="159" t="s">
        <v>679</v>
      </c>
      <c r="D847" s="158" t="s">
        <v>147</v>
      </c>
      <c r="E847" s="147" t="n">
        <v>5</v>
      </c>
      <c r="F847" s="147" t="n">
        <v>50</v>
      </c>
      <c r="G847" s="160" t="n">
        <v>0.25</v>
      </c>
      <c r="H847" s="20"/>
      <c r="I847" s="158" t="s">
        <v>706</v>
      </c>
    </row>
    <row r="848" customFormat="false" ht="15" hidden="false" customHeight="true" outlineLevel="0" collapsed="false">
      <c r="A848" s="144" t="n">
        <v>46059</v>
      </c>
      <c r="B848" s="113"/>
      <c r="C848" s="159" t="s">
        <v>679</v>
      </c>
      <c r="D848" s="158" t="s">
        <v>148</v>
      </c>
      <c r="E848" s="147" t="n">
        <v>12</v>
      </c>
      <c r="F848" s="147" t="n">
        <v>50</v>
      </c>
      <c r="G848" s="160" t="n">
        <v>0.6</v>
      </c>
      <c r="H848" s="20"/>
      <c r="I848" s="158" t="s">
        <v>779</v>
      </c>
    </row>
    <row r="849" customFormat="false" ht="15" hidden="false" customHeight="true" outlineLevel="0" collapsed="false">
      <c r="A849" s="144" t="n">
        <v>46059</v>
      </c>
      <c r="B849" s="113"/>
      <c r="C849" s="159" t="s">
        <v>679</v>
      </c>
      <c r="D849" s="158" t="s">
        <v>155</v>
      </c>
      <c r="E849" s="147" t="n">
        <v>16</v>
      </c>
      <c r="F849" s="147" t="n">
        <v>80</v>
      </c>
      <c r="G849" s="160" t="n">
        <v>25.6</v>
      </c>
      <c r="H849" s="20"/>
      <c r="I849" s="113" t="s">
        <v>686</v>
      </c>
    </row>
    <row r="850" customFormat="false" ht="15" hidden="false" customHeight="true" outlineLevel="0" collapsed="false">
      <c r="A850" s="144" t="n">
        <v>46059</v>
      </c>
      <c r="B850" s="113"/>
      <c r="C850" s="159" t="s">
        <v>679</v>
      </c>
      <c r="D850" s="158" t="s">
        <v>159</v>
      </c>
      <c r="E850" s="147" t="n">
        <v>12</v>
      </c>
      <c r="F850" s="147" t="n">
        <v>50</v>
      </c>
      <c r="G850" s="160" t="n">
        <v>0.6</v>
      </c>
      <c r="H850" s="20"/>
      <c r="I850" s="158" t="s">
        <v>779</v>
      </c>
    </row>
    <row r="851" customFormat="false" ht="15" hidden="false" customHeight="true" outlineLevel="0" collapsed="false">
      <c r="A851" s="144" t="n">
        <v>46059</v>
      </c>
      <c r="B851" s="113"/>
      <c r="C851" s="159" t="s">
        <v>679</v>
      </c>
      <c r="D851" s="158" t="s">
        <v>161</v>
      </c>
      <c r="E851" s="147" t="n">
        <v>2</v>
      </c>
      <c r="F851" s="147" t="n">
        <v>1000</v>
      </c>
      <c r="G851" s="160" t="n">
        <v>2</v>
      </c>
      <c r="H851" s="20"/>
      <c r="I851" s="158" t="s">
        <v>714</v>
      </c>
    </row>
    <row r="852" customFormat="false" ht="15" hidden="false" customHeight="true" outlineLevel="0" collapsed="false">
      <c r="A852" s="144" t="n">
        <v>46059</v>
      </c>
      <c r="B852" s="113"/>
      <c r="C852" s="159" t="s">
        <v>679</v>
      </c>
      <c r="D852" s="158" t="s">
        <v>174</v>
      </c>
      <c r="E852" s="147" t="n">
        <v>2</v>
      </c>
      <c r="F852" s="147" t="n">
        <v>1000</v>
      </c>
      <c r="G852" s="160" t="n">
        <v>2</v>
      </c>
      <c r="H852" s="20"/>
      <c r="I852" s="158" t="s">
        <v>714</v>
      </c>
    </row>
    <row r="853" customFormat="false" ht="15" hidden="false" customHeight="true" outlineLevel="0" collapsed="false">
      <c r="A853" s="144" t="n">
        <v>46059</v>
      </c>
      <c r="B853" s="113"/>
      <c r="C853" s="159" t="s">
        <v>679</v>
      </c>
      <c r="D853" s="158" t="s">
        <v>174</v>
      </c>
      <c r="E853" s="147" t="n">
        <v>1</v>
      </c>
      <c r="F853" s="147" t="n">
        <v>1000</v>
      </c>
      <c r="G853" s="160" t="n">
        <v>2</v>
      </c>
      <c r="H853" s="20"/>
      <c r="I853" s="158" t="s">
        <v>730</v>
      </c>
    </row>
    <row r="854" customFormat="false" ht="15" hidden="false" customHeight="true" outlineLevel="0" collapsed="false">
      <c r="A854" s="144" t="n">
        <v>46059</v>
      </c>
      <c r="B854" s="113"/>
      <c r="C854" s="159" t="s">
        <v>679</v>
      </c>
      <c r="D854" s="158" t="s">
        <v>181</v>
      </c>
      <c r="E854" s="147" t="n">
        <v>1</v>
      </c>
      <c r="F854" s="147" t="n">
        <v>1000</v>
      </c>
      <c r="G854" s="160" t="n">
        <v>1</v>
      </c>
      <c r="H854" s="20"/>
      <c r="I854" s="113" t="s">
        <v>718</v>
      </c>
    </row>
    <row r="855" customFormat="false" ht="15" hidden="false" customHeight="true" outlineLevel="0" collapsed="false">
      <c r="A855" s="144" t="n">
        <v>46059</v>
      </c>
      <c r="B855" s="113"/>
      <c r="C855" s="159" t="s">
        <v>679</v>
      </c>
      <c r="D855" s="158" t="s">
        <v>183</v>
      </c>
      <c r="E855" s="147" t="n">
        <v>20</v>
      </c>
      <c r="F855" s="147" t="n">
        <v>60</v>
      </c>
      <c r="G855" s="160" t="n">
        <v>36</v>
      </c>
      <c r="H855" s="20"/>
      <c r="I855" s="158" t="s">
        <v>689</v>
      </c>
    </row>
    <row r="856" customFormat="false" ht="15" hidden="false" customHeight="true" outlineLevel="0" collapsed="false">
      <c r="A856" s="144" t="n">
        <v>46059</v>
      </c>
      <c r="B856" s="113"/>
      <c r="C856" s="159" t="s">
        <v>679</v>
      </c>
      <c r="D856" s="158" t="s">
        <v>184</v>
      </c>
      <c r="E856" s="147" t="n">
        <v>1</v>
      </c>
      <c r="F856" s="147" t="n">
        <v>50</v>
      </c>
      <c r="G856" s="160" t="n">
        <v>2</v>
      </c>
      <c r="H856" s="20"/>
      <c r="I856" s="158" t="s">
        <v>691</v>
      </c>
    </row>
    <row r="857" customFormat="false" ht="15" hidden="false" customHeight="true" outlineLevel="0" collapsed="false">
      <c r="A857" s="144" t="n">
        <v>46059</v>
      </c>
      <c r="B857" s="113"/>
      <c r="C857" s="159" t="s">
        <v>679</v>
      </c>
      <c r="D857" s="158" t="s">
        <v>184</v>
      </c>
      <c r="E857" s="147" t="n">
        <v>15</v>
      </c>
      <c r="F857" s="147" t="n">
        <v>50</v>
      </c>
      <c r="G857" s="160" t="n">
        <v>0.75</v>
      </c>
      <c r="H857" s="20"/>
      <c r="I857" s="158" t="s">
        <v>779</v>
      </c>
    </row>
    <row r="858" customFormat="false" ht="15" hidden="false" customHeight="true" outlineLevel="0" collapsed="false">
      <c r="A858" s="144" t="n">
        <v>46059</v>
      </c>
      <c r="B858" s="113"/>
      <c r="C858" s="159" t="s">
        <v>679</v>
      </c>
      <c r="D858" s="158" t="s">
        <v>186</v>
      </c>
      <c r="E858" s="147" t="n">
        <v>12</v>
      </c>
      <c r="F858" s="147" t="n">
        <v>50</v>
      </c>
      <c r="G858" s="160" t="n">
        <v>0.6</v>
      </c>
      <c r="H858" s="20"/>
      <c r="I858" s="158" t="s">
        <v>779</v>
      </c>
    </row>
    <row r="859" customFormat="false" ht="15" hidden="false" customHeight="true" outlineLevel="0" collapsed="false">
      <c r="A859" s="144" t="n">
        <v>46059</v>
      </c>
      <c r="B859" s="113"/>
      <c r="C859" s="159" t="s">
        <v>679</v>
      </c>
      <c r="D859" s="158" t="s">
        <v>192</v>
      </c>
      <c r="E859" s="147" t="n">
        <v>15</v>
      </c>
      <c r="F859" s="147" t="n">
        <v>50</v>
      </c>
      <c r="G859" s="160" t="n">
        <v>0.75</v>
      </c>
      <c r="H859" s="20"/>
      <c r="I859" s="158" t="s">
        <v>779</v>
      </c>
    </row>
    <row r="860" customFormat="false" ht="15" hidden="false" customHeight="true" outlineLevel="0" collapsed="false">
      <c r="A860" s="144" t="n">
        <v>46059</v>
      </c>
      <c r="B860" s="113"/>
      <c r="C860" s="159" t="s">
        <v>679</v>
      </c>
      <c r="D860" s="158" t="s">
        <v>195</v>
      </c>
      <c r="E860" s="147" t="n">
        <v>12</v>
      </c>
      <c r="F860" s="147" t="n">
        <v>50</v>
      </c>
      <c r="G860" s="160" t="n">
        <v>0.6</v>
      </c>
      <c r="H860" s="20"/>
      <c r="I860" s="158" t="s">
        <v>779</v>
      </c>
    </row>
    <row r="861" customFormat="false" ht="15" hidden="false" customHeight="true" outlineLevel="0" collapsed="false">
      <c r="A861" s="144" t="n">
        <v>46059</v>
      </c>
      <c r="B861" s="113"/>
      <c r="C861" s="159" t="s">
        <v>679</v>
      </c>
      <c r="D861" s="158" t="s">
        <v>222</v>
      </c>
      <c r="E861" s="147" t="n">
        <v>3</v>
      </c>
      <c r="F861" s="147" t="n">
        <v>40</v>
      </c>
      <c r="G861" s="160" t="n">
        <v>2.4</v>
      </c>
      <c r="H861" s="20"/>
      <c r="I861" s="158" t="s">
        <v>692</v>
      </c>
    </row>
    <row r="862" customFormat="false" ht="15" hidden="false" customHeight="true" outlineLevel="0" collapsed="false">
      <c r="A862" s="144" t="n">
        <v>46059</v>
      </c>
      <c r="B862" s="113"/>
      <c r="C862" s="159" t="s">
        <v>679</v>
      </c>
      <c r="D862" s="158" t="s">
        <v>204</v>
      </c>
      <c r="E862" s="147" t="n">
        <v>3</v>
      </c>
      <c r="F862" s="147" t="n">
        <v>60</v>
      </c>
      <c r="G862" s="160" t="n">
        <v>5.4</v>
      </c>
      <c r="H862" s="20"/>
      <c r="I862" s="158" t="s">
        <v>694</v>
      </c>
    </row>
    <row r="863" customFormat="false" ht="15" hidden="false" customHeight="true" outlineLevel="0" collapsed="false">
      <c r="A863" s="144" t="n">
        <v>46059</v>
      </c>
      <c r="B863" s="113"/>
      <c r="C863" s="159" t="s">
        <v>679</v>
      </c>
      <c r="D863" s="158" t="s">
        <v>204</v>
      </c>
      <c r="E863" s="147" t="n">
        <v>38</v>
      </c>
      <c r="F863" s="147" t="n">
        <v>60</v>
      </c>
      <c r="G863" s="160" t="n">
        <v>68.4</v>
      </c>
      <c r="H863" s="20"/>
      <c r="I863" s="158" t="s">
        <v>771</v>
      </c>
    </row>
    <row r="864" customFormat="false" ht="15" hidden="false" customHeight="true" outlineLevel="0" collapsed="false">
      <c r="A864" s="144" t="n">
        <v>46059</v>
      </c>
      <c r="B864" s="113"/>
      <c r="C864" s="159" t="s">
        <v>679</v>
      </c>
      <c r="D864" s="158" t="s">
        <v>204</v>
      </c>
      <c r="E864" s="147" t="n">
        <v>7</v>
      </c>
      <c r="F864" s="147" t="n">
        <v>60</v>
      </c>
      <c r="G864" s="160" t="n">
        <v>25.2</v>
      </c>
      <c r="H864" s="20"/>
      <c r="I864" s="158" t="s">
        <v>742</v>
      </c>
    </row>
    <row r="865" customFormat="false" ht="15" hidden="false" customHeight="true" outlineLevel="0" collapsed="false">
      <c r="A865" s="144" t="n">
        <v>46059</v>
      </c>
      <c r="B865" s="113"/>
      <c r="C865" s="159" t="s">
        <v>679</v>
      </c>
      <c r="D865" s="158" t="s">
        <v>236</v>
      </c>
      <c r="E865" s="147" t="n">
        <v>1</v>
      </c>
      <c r="F865" s="147" t="n">
        <v>60</v>
      </c>
      <c r="G865" s="160" t="n">
        <v>1.8</v>
      </c>
      <c r="H865" s="20"/>
      <c r="I865" s="158" t="s">
        <v>695</v>
      </c>
    </row>
    <row r="866" customFormat="false" ht="15" hidden="false" customHeight="true" outlineLevel="0" collapsed="false">
      <c r="A866" s="144" t="n">
        <v>46059</v>
      </c>
      <c r="B866" s="113"/>
      <c r="C866" s="159" t="s">
        <v>679</v>
      </c>
      <c r="D866" s="158" t="s">
        <v>236</v>
      </c>
      <c r="E866" s="147" t="n">
        <v>3</v>
      </c>
      <c r="F866" s="147" t="n">
        <v>60</v>
      </c>
      <c r="G866" s="160" t="n">
        <v>10.8</v>
      </c>
      <c r="H866" s="20"/>
      <c r="I866" s="158" t="s">
        <v>772</v>
      </c>
    </row>
    <row r="867" customFormat="false" ht="15" hidden="false" customHeight="true" outlineLevel="0" collapsed="false">
      <c r="A867" s="144" t="n">
        <v>46059</v>
      </c>
      <c r="B867" s="113"/>
      <c r="C867" s="159" t="s">
        <v>679</v>
      </c>
      <c r="D867" s="158" t="s">
        <v>236</v>
      </c>
      <c r="E867" s="147" t="n">
        <v>38</v>
      </c>
      <c r="F867" s="147" t="n">
        <v>60</v>
      </c>
      <c r="G867" s="160" t="n">
        <v>68.4</v>
      </c>
      <c r="H867" s="20"/>
      <c r="I867" s="158" t="s">
        <v>771</v>
      </c>
    </row>
    <row r="868" customFormat="false" ht="15" hidden="false" customHeight="true" outlineLevel="0" collapsed="false">
      <c r="A868" s="144" t="n">
        <v>46059</v>
      </c>
      <c r="B868" s="113"/>
      <c r="C868" s="159" t="s">
        <v>679</v>
      </c>
      <c r="D868" s="158" t="s">
        <v>206</v>
      </c>
      <c r="E868" s="147" t="n">
        <v>2</v>
      </c>
      <c r="F868" s="147" t="n">
        <v>30</v>
      </c>
      <c r="G868" s="160" t="n">
        <v>3.6</v>
      </c>
      <c r="H868" s="20"/>
      <c r="I868" s="158" t="s">
        <v>696</v>
      </c>
    </row>
    <row r="869" customFormat="false" ht="15" hidden="false" customHeight="true" outlineLevel="0" collapsed="false">
      <c r="A869" s="144" t="n">
        <v>46059</v>
      </c>
      <c r="B869" s="113"/>
      <c r="C869" s="159" t="s">
        <v>679</v>
      </c>
      <c r="D869" s="158" t="s">
        <v>219</v>
      </c>
      <c r="E869" s="147" t="n">
        <v>12</v>
      </c>
      <c r="F869" s="147" t="n">
        <v>50</v>
      </c>
      <c r="G869" s="160" t="n">
        <v>0.6</v>
      </c>
      <c r="H869" s="20"/>
      <c r="I869" s="158" t="s">
        <v>779</v>
      </c>
    </row>
    <row r="870" customFormat="false" ht="15" hidden="false" customHeight="true" outlineLevel="0" collapsed="false">
      <c r="A870" s="144" t="n">
        <v>46059</v>
      </c>
      <c r="B870" s="113"/>
      <c r="C870" s="159" t="s">
        <v>679</v>
      </c>
      <c r="D870" s="158" t="s">
        <v>220</v>
      </c>
      <c r="E870" s="147" t="n">
        <v>5</v>
      </c>
      <c r="F870" s="147" t="n">
        <v>50</v>
      </c>
      <c r="G870" s="160" t="n">
        <v>0.25</v>
      </c>
      <c r="H870" s="20"/>
      <c r="I870" s="158" t="s">
        <v>706</v>
      </c>
    </row>
    <row r="871" customFormat="false" ht="15" hidden="false" customHeight="true" outlineLevel="0" collapsed="false">
      <c r="A871" s="144" t="n">
        <v>46059</v>
      </c>
      <c r="B871" s="158" t="s">
        <v>781</v>
      </c>
      <c r="C871" s="159" t="s">
        <v>670</v>
      </c>
      <c r="D871" s="158" t="s">
        <v>169</v>
      </c>
      <c r="E871" s="147" t="n">
        <v>1</v>
      </c>
      <c r="F871" s="147" t="n">
        <v>300000</v>
      </c>
      <c r="G871" s="160" t="n">
        <v>300</v>
      </c>
      <c r="H871" s="20"/>
      <c r="I871" s="113"/>
    </row>
    <row r="872" customFormat="false" ht="15" hidden="false" customHeight="true" outlineLevel="0" collapsed="false">
      <c r="A872" s="144" t="n">
        <v>46059</v>
      </c>
      <c r="B872" s="158" t="s">
        <v>781</v>
      </c>
      <c r="C872" s="159" t="s">
        <v>670</v>
      </c>
      <c r="D872" s="158" t="s">
        <v>184</v>
      </c>
      <c r="E872" s="147" t="n">
        <v>1</v>
      </c>
      <c r="F872" s="147" t="n">
        <v>179900</v>
      </c>
      <c r="G872" s="160" t="n">
        <v>179.9</v>
      </c>
      <c r="H872" s="20"/>
      <c r="I872" s="113"/>
    </row>
    <row r="873" customFormat="false" ht="15" hidden="false" customHeight="true" outlineLevel="0" collapsed="false">
      <c r="A873" s="144" t="n">
        <v>46059</v>
      </c>
      <c r="B873" s="158" t="s">
        <v>743</v>
      </c>
      <c r="C873" s="159" t="s">
        <v>670</v>
      </c>
      <c r="D873" s="158" t="s">
        <v>191</v>
      </c>
      <c r="E873" s="147" t="n">
        <v>321</v>
      </c>
      <c r="F873" s="147" t="n">
        <v>9600</v>
      </c>
      <c r="G873" s="160" t="n">
        <v>3081.6</v>
      </c>
      <c r="H873" s="20"/>
      <c r="I873" s="113" t="s">
        <v>782</v>
      </c>
    </row>
    <row r="874" customFormat="false" ht="15" hidden="false" customHeight="true" outlineLevel="0" collapsed="false">
      <c r="A874" s="144" t="n">
        <v>46059</v>
      </c>
      <c r="B874" s="158" t="s">
        <v>732</v>
      </c>
      <c r="C874" s="159" t="s">
        <v>670</v>
      </c>
      <c r="D874" s="158" t="s">
        <v>242</v>
      </c>
      <c r="E874" s="147" t="n">
        <v>3</v>
      </c>
      <c r="F874" s="147" t="n">
        <v>360</v>
      </c>
      <c r="G874" s="160" t="n">
        <v>1.08</v>
      </c>
      <c r="H874" s="20"/>
      <c r="I874" s="158" t="s">
        <v>733</v>
      </c>
    </row>
    <row r="875" customFormat="false" ht="15" hidden="false" customHeight="true" outlineLevel="0" collapsed="false">
      <c r="A875" s="144" t="n">
        <v>46059</v>
      </c>
      <c r="B875" s="158" t="s">
        <v>732</v>
      </c>
      <c r="C875" s="159" t="s">
        <v>670</v>
      </c>
      <c r="D875" s="158" t="s">
        <v>241</v>
      </c>
      <c r="E875" s="147" t="n">
        <v>4</v>
      </c>
      <c r="F875" s="147" t="n">
        <v>360</v>
      </c>
      <c r="G875" s="160" t="n">
        <v>1.44</v>
      </c>
      <c r="H875" s="20"/>
      <c r="I875" s="158" t="s">
        <v>735</v>
      </c>
    </row>
    <row r="876" customFormat="false" ht="15" hidden="false" customHeight="true" outlineLevel="0" collapsed="false">
      <c r="A876" s="144" t="n">
        <v>46059</v>
      </c>
      <c r="B876" s="158" t="s">
        <v>732</v>
      </c>
      <c r="C876" s="159" t="s">
        <v>670</v>
      </c>
      <c r="D876" s="158" t="s">
        <v>243</v>
      </c>
      <c r="E876" s="147" t="n">
        <v>6</v>
      </c>
      <c r="F876" s="147" t="n">
        <v>360</v>
      </c>
      <c r="G876" s="160" t="n">
        <v>2.16</v>
      </c>
      <c r="H876" s="20"/>
      <c r="I876" s="158" t="s">
        <v>737</v>
      </c>
    </row>
    <row r="877" customFormat="false" ht="15" hidden="false" customHeight="true" outlineLevel="0" collapsed="false">
      <c r="A877" s="144" t="n">
        <v>46059</v>
      </c>
      <c r="B877" s="158" t="s">
        <v>732</v>
      </c>
      <c r="C877" s="159" t="s">
        <v>670</v>
      </c>
      <c r="D877" s="158" t="s">
        <v>244</v>
      </c>
      <c r="E877" s="147" t="n">
        <v>4</v>
      </c>
      <c r="F877" s="147" t="n">
        <v>360</v>
      </c>
      <c r="G877" s="160" t="n">
        <v>1.44</v>
      </c>
      <c r="H877" s="20"/>
      <c r="I877" s="158" t="s">
        <v>738</v>
      </c>
    </row>
    <row r="878" customFormat="false" ht="15" hidden="false" customHeight="true" outlineLevel="0" collapsed="false">
      <c r="A878" s="144" t="n">
        <v>46060</v>
      </c>
      <c r="B878" s="158" t="s">
        <v>753</v>
      </c>
      <c r="C878" s="159" t="s">
        <v>670</v>
      </c>
      <c r="D878" s="158" t="s">
        <v>155</v>
      </c>
      <c r="E878" s="147" t="n">
        <v>160</v>
      </c>
      <c r="F878" s="147" t="n">
        <v>80</v>
      </c>
      <c r="G878" s="160" t="n">
        <v>12.8</v>
      </c>
      <c r="H878" s="20"/>
      <c r="I878" s="158" t="s">
        <v>783</v>
      </c>
    </row>
    <row r="879" customFormat="false" ht="15" hidden="false" customHeight="true" outlineLevel="0" collapsed="false">
      <c r="A879" s="144" t="n">
        <v>46060</v>
      </c>
      <c r="B879" s="158" t="s">
        <v>753</v>
      </c>
      <c r="C879" s="159" t="s">
        <v>670</v>
      </c>
      <c r="D879" s="158" t="s">
        <v>179</v>
      </c>
      <c r="E879" s="147" t="n">
        <v>30</v>
      </c>
      <c r="F879" s="147" t="n">
        <v>1000</v>
      </c>
      <c r="G879" s="160" t="n">
        <v>30</v>
      </c>
      <c r="H879" s="20"/>
      <c r="I879" s="158" t="s">
        <v>784</v>
      </c>
    </row>
    <row r="880" customFormat="false" ht="15" hidden="false" customHeight="true" outlineLevel="0" collapsed="false">
      <c r="A880" s="144" t="n">
        <v>46060</v>
      </c>
      <c r="B880" s="158" t="s">
        <v>753</v>
      </c>
      <c r="C880" s="159" t="s">
        <v>670</v>
      </c>
      <c r="D880" s="158" t="s">
        <v>206</v>
      </c>
      <c r="E880" s="147" t="n">
        <v>15</v>
      </c>
      <c r="F880" s="147" t="n">
        <v>1000</v>
      </c>
      <c r="G880" s="160" t="n">
        <v>15</v>
      </c>
      <c r="H880" s="20"/>
      <c r="I880" s="158" t="s">
        <v>785</v>
      </c>
    </row>
    <row r="881" customFormat="false" ht="15" hidden="false" customHeight="true" outlineLevel="0" collapsed="false">
      <c r="A881" s="144" t="n">
        <v>46060</v>
      </c>
      <c r="B881" s="158" t="s">
        <v>753</v>
      </c>
      <c r="C881" s="159" t="s">
        <v>670</v>
      </c>
      <c r="D881" s="158" t="s">
        <v>676</v>
      </c>
      <c r="E881" s="147" t="n">
        <v>1</v>
      </c>
      <c r="F881" s="147"/>
      <c r="G881" s="160" t="n">
        <v>15</v>
      </c>
      <c r="H881" s="20"/>
      <c r="I881" s="113"/>
    </row>
    <row r="882" customFormat="false" ht="15" hidden="false" customHeight="true" outlineLevel="0" collapsed="false">
      <c r="A882" s="144" t="n">
        <v>46060</v>
      </c>
      <c r="B882" s="158" t="s">
        <v>753</v>
      </c>
      <c r="C882" s="159" t="s">
        <v>670</v>
      </c>
      <c r="D882" s="158" t="s">
        <v>673</v>
      </c>
      <c r="E882" s="147" t="n">
        <v>1</v>
      </c>
      <c r="F882" s="147"/>
      <c r="G882" s="160" t="n">
        <v>30</v>
      </c>
      <c r="H882" s="20"/>
      <c r="I882" s="113"/>
    </row>
    <row r="883" customFormat="false" ht="15" hidden="false" customHeight="true" outlineLevel="0" collapsed="false">
      <c r="A883" s="144" t="n">
        <v>46062</v>
      </c>
      <c r="B883" s="113"/>
      <c r="C883" s="159" t="s">
        <v>679</v>
      </c>
      <c r="D883" s="113" t="s">
        <v>267</v>
      </c>
      <c r="E883" s="147" t="n">
        <v>3</v>
      </c>
      <c r="F883" s="147" t="n">
        <v>60</v>
      </c>
      <c r="G883" s="160" t="n">
        <v>3.6</v>
      </c>
      <c r="H883" s="20"/>
      <c r="I883" s="113" t="s">
        <v>705</v>
      </c>
    </row>
    <row r="884" customFormat="false" ht="15" hidden="false" customHeight="true" outlineLevel="0" collapsed="false">
      <c r="A884" s="144" t="n">
        <v>46062</v>
      </c>
      <c r="B884" s="113"/>
      <c r="C884" s="159" t="s">
        <v>679</v>
      </c>
      <c r="D884" s="158" t="s">
        <v>142</v>
      </c>
      <c r="E884" s="147" t="n">
        <v>2</v>
      </c>
      <c r="F884" s="147" t="n">
        <v>50</v>
      </c>
      <c r="G884" s="160" t="n">
        <v>2</v>
      </c>
      <c r="H884" s="20"/>
      <c r="I884" s="158" t="s">
        <v>680</v>
      </c>
    </row>
    <row r="885" customFormat="false" ht="15" hidden="false" customHeight="true" outlineLevel="0" collapsed="false">
      <c r="A885" s="144" t="n">
        <v>46062</v>
      </c>
      <c r="B885" s="113"/>
      <c r="C885" s="159" t="s">
        <v>679</v>
      </c>
      <c r="D885" s="158" t="s">
        <v>142</v>
      </c>
      <c r="E885" s="147" t="n">
        <v>35</v>
      </c>
      <c r="F885" s="147" t="n">
        <v>50</v>
      </c>
      <c r="G885" s="160" t="n">
        <v>1.75</v>
      </c>
      <c r="H885" s="20"/>
      <c r="I885" s="158" t="s">
        <v>698</v>
      </c>
    </row>
    <row r="886" customFormat="false" ht="15" hidden="false" customHeight="true" outlineLevel="0" collapsed="false">
      <c r="A886" s="144" t="n">
        <v>46062</v>
      </c>
      <c r="B886" s="113"/>
      <c r="C886" s="159" t="s">
        <v>679</v>
      </c>
      <c r="D886" s="158" t="s">
        <v>143</v>
      </c>
      <c r="E886" s="147" t="n">
        <v>4</v>
      </c>
      <c r="F886" s="147" t="n">
        <v>50</v>
      </c>
      <c r="G886" s="160" t="n">
        <v>4</v>
      </c>
      <c r="H886" s="20"/>
      <c r="I886" s="158" t="s">
        <v>682</v>
      </c>
    </row>
    <row r="887" customFormat="false" ht="15" hidden="false" customHeight="true" outlineLevel="0" collapsed="false">
      <c r="A887" s="144" t="n">
        <v>46062</v>
      </c>
      <c r="B887" s="113"/>
      <c r="C887" s="159" t="s">
        <v>679</v>
      </c>
      <c r="D887" s="158" t="s">
        <v>143</v>
      </c>
      <c r="E887" s="147" t="n">
        <v>8</v>
      </c>
      <c r="F887" s="147" t="n">
        <v>50</v>
      </c>
      <c r="G887" s="160" t="n">
        <v>16</v>
      </c>
      <c r="H887" s="20"/>
      <c r="I887" s="158" t="s">
        <v>683</v>
      </c>
    </row>
    <row r="888" customFormat="false" ht="15" hidden="false" customHeight="true" outlineLevel="0" collapsed="false">
      <c r="A888" s="144" t="n">
        <v>46062</v>
      </c>
      <c r="B888" s="113"/>
      <c r="C888" s="159" t="s">
        <v>679</v>
      </c>
      <c r="D888" s="158" t="s">
        <v>143</v>
      </c>
      <c r="E888" s="147" t="n">
        <v>2</v>
      </c>
      <c r="F888" s="147" t="n">
        <v>50</v>
      </c>
      <c r="G888" s="160" t="n">
        <v>0.5</v>
      </c>
      <c r="H888" s="20"/>
      <c r="I888" s="158" t="s">
        <v>765</v>
      </c>
    </row>
    <row r="889" customFormat="false" ht="15" hidden="false" customHeight="true" outlineLevel="0" collapsed="false">
      <c r="A889" s="144" t="n">
        <v>46062</v>
      </c>
      <c r="B889" s="113"/>
      <c r="C889" s="159" t="s">
        <v>679</v>
      </c>
      <c r="D889" s="158" t="s">
        <v>143</v>
      </c>
      <c r="E889" s="147" t="n">
        <v>60</v>
      </c>
      <c r="F889" s="147" t="n">
        <v>50</v>
      </c>
      <c r="G889" s="160" t="n">
        <v>60</v>
      </c>
      <c r="H889" s="20"/>
      <c r="I889" s="158" t="s">
        <v>720</v>
      </c>
    </row>
    <row r="890" customFormat="false" ht="15" hidden="false" customHeight="true" outlineLevel="0" collapsed="false">
      <c r="A890" s="144" t="n">
        <v>46062</v>
      </c>
      <c r="B890" s="113"/>
      <c r="C890" s="159" t="s">
        <v>679</v>
      </c>
      <c r="D890" s="158" t="s">
        <v>143</v>
      </c>
      <c r="E890" s="147" t="n">
        <v>5</v>
      </c>
      <c r="F890" s="147" t="n">
        <v>50</v>
      </c>
      <c r="G890" s="160" t="n">
        <v>0.25</v>
      </c>
      <c r="H890" s="20"/>
      <c r="I890" s="158" t="s">
        <v>684</v>
      </c>
    </row>
    <row r="891" customFormat="false" ht="15" hidden="false" customHeight="true" outlineLevel="0" collapsed="false">
      <c r="A891" s="144" t="n">
        <v>46062</v>
      </c>
      <c r="B891" s="113"/>
      <c r="C891" s="159" t="s">
        <v>679</v>
      </c>
      <c r="D891" s="158" t="s">
        <v>144</v>
      </c>
      <c r="E891" s="147" t="n">
        <v>5</v>
      </c>
      <c r="F891" s="147" t="n">
        <v>1000</v>
      </c>
      <c r="G891" s="160" t="n">
        <v>10</v>
      </c>
      <c r="H891" s="20"/>
      <c r="I891" s="158" t="s">
        <v>685</v>
      </c>
    </row>
    <row r="892" customFormat="false" ht="15" hidden="false" customHeight="true" outlineLevel="0" collapsed="false">
      <c r="A892" s="144" t="n">
        <v>46062</v>
      </c>
      <c r="B892" s="113"/>
      <c r="C892" s="159" t="s">
        <v>679</v>
      </c>
      <c r="D892" s="158" t="s">
        <v>145</v>
      </c>
      <c r="E892" s="147" t="n">
        <v>5</v>
      </c>
      <c r="F892" s="147" t="n">
        <v>50</v>
      </c>
      <c r="G892" s="160" t="n">
        <v>0.25</v>
      </c>
      <c r="H892" s="20"/>
      <c r="I892" s="158" t="s">
        <v>684</v>
      </c>
    </row>
    <row r="893" customFormat="false" ht="15" hidden="false" customHeight="true" outlineLevel="0" collapsed="false">
      <c r="A893" s="144" t="n">
        <v>46062</v>
      </c>
      <c r="B893" s="113"/>
      <c r="C893" s="159" t="s">
        <v>679</v>
      </c>
      <c r="D893" s="158" t="s">
        <v>146</v>
      </c>
      <c r="E893" s="147" t="n">
        <v>35</v>
      </c>
      <c r="F893" s="147" t="n">
        <v>50</v>
      </c>
      <c r="G893" s="160" t="n">
        <v>1.75</v>
      </c>
      <c r="H893" s="20"/>
      <c r="I893" s="158" t="s">
        <v>698</v>
      </c>
    </row>
    <row r="894" customFormat="false" ht="15" hidden="false" customHeight="true" outlineLevel="0" collapsed="false">
      <c r="A894" s="144" t="n">
        <v>46062</v>
      </c>
      <c r="B894" s="113"/>
      <c r="C894" s="159" t="s">
        <v>679</v>
      </c>
      <c r="D894" s="158" t="s">
        <v>147</v>
      </c>
      <c r="E894" s="147" t="n">
        <v>35</v>
      </c>
      <c r="F894" s="147" t="n">
        <v>50</v>
      </c>
      <c r="G894" s="160" t="n">
        <v>1.75</v>
      </c>
      <c r="H894" s="20"/>
      <c r="I894" s="158" t="s">
        <v>698</v>
      </c>
    </row>
    <row r="895" customFormat="false" ht="15" hidden="false" customHeight="true" outlineLevel="0" collapsed="false">
      <c r="A895" s="144" t="n">
        <v>46062</v>
      </c>
      <c r="B895" s="113"/>
      <c r="C895" s="159" t="s">
        <v>679</v>
      </c>
      <c r="D895" s="158" t="s">
        <v>148</v>
      </c>
      <c r="E895" s="147" t="n">
        <v>4</v>
      </c>
      <c r="F895" s="147" t="n">
        <v>50</v>
      </c>
      <c r="G895" s="160" t="n">
        <v>0.2</v>
      </c>
      <c r="H895" s="20"/>
      <c r="I895" s="158" t="s">
        <v>684</v>
      </c>
    </row>
    <row r="896" customFormat="false" ht="15" hidden="false" customHeight="true" outlineLevel="0" collapsed="false">
      <c r="A896" s="144" t="n">
        <v>46062</v>
      </c>
      <c r="B896" s="113"/>
      <c r="C896" s="159" t="s">
        <v>679</v>
      </c>
      <c r="D896" s="158" t="s">
        <v>155</v>
      </c>
      <c r="E896" s="147" t="n">
        <v>10</v>
      </c>
      <c r="F896" s="147" t="n">
        <v>80</v>
      </c>
      <c r="G896" s="160" t="n">
        <v>12</v>
      </c>
      <c r="H896" s="20"/>
      <c r="I896" s="113" t="s">
        <v>767</v>
      </c>
    </row>
    <row r="897" customFormat="false" ht="15" hidden="false" customHeight="true" outlineLevel="0" collapsed="false">
      <c r="A897" s="144" t="n">
        <v>46062</v>
      </c>
      <c r="B897" s="113"/>
      <c r="C897" s="159" t="s">
        <v>679</v>
      </c>
      <c r="D897" s="158" t="s">
        <v>155</v>
      </c>
      <c r="E897" s="147" t="n">
        <v>14</v>
      </c>
      <c r="F897" s="147" t="n">
        <v>80</v>
      </c>
      <c r="G897" s="160" t="n">
        <v>22.4</v>
      </c>
      <c r="H897" s="20"/>
      <c r="I897" s="113" t="s">
        <v>686</v>
      </c>
    </row>
    <row r="898" customFormat="false" ht="15" hidden="false" customHeight="true" outlineLevel="0" collapsed="false">
      <c r="A898" s="144" t="n">
        <v>46062</v>
      </c>
      <c r="B898" s="113"/>
      <c r="C898" s="159" t="s">
        <v>679</v>
      </c>
      <c r="D898" s="158" t="s">
        <v>159</v>
      </c>
      <c r="E898" s="147" t="n">
        <v>4</v>
      </c>
      <c r="F898" s="147" t="n">
        <v>50</v>
      </c>
      <c r="G898" s="160" t="n">
        <v>0.2</v>
      </c>
      <c r="H898" s="20"/>
      <c r="I898" s="158" t="s">
        <v>684</v>
      </c>
    </row>
    <row r="899" customFormat="false" ht="15" hidden="false" customHeight="true" outlineLevel="0" collapsed="false">
      <c r="A899" s="144" t="n">
        <v>46062</v>
      </c>
      <c r="B899" s="113"/>
      <c r="C899" s="159" t="s">
        <v>679</v>
      </c>
      <c r="D899" s="158" t="s">
        <v>173</v>
      </c>
      <c r="E899" s="147" t="n">
        <v>2</v>
      </c>
      <c r="F899" s="147" t="n">
        <v>50</v>
      </c>
      <c r="G899" s="160" t="n">
        <v>0.5</v>
      </c>
      <c r="H899" s="20"/>
      <c r="I899" s="158" t="s">
        <v>765</v>
      </c>
    </row>
    <row r="900" customFormat="false" ht="15" hidden="false" customHeight="true" outlineLevel="0" collapsed="false">
      <c r="A900" s="144" t="n">
        <v>46062</v>
      </c>
      <c r="B900" s="113"/>
      <c r="C900" s="159" t="s">
        <v>679</v>
      </c>
      <c r="D900" s="158" t="s">
        <v>174</v>
      </c>
      <c r="E900" s="147" t="n">
        <v>1</v>
      </c>
      <c r="F900" s="147" t="n">
        <v>1000</v>
      </c>
      <c r="G900" s="160" t="n">
        <v>1</v>
      </c>
      <c r="H900" s="20"/>
      <c r="I900" s="158" t="s">
        <v>687</v>
      </c>
    </row>
    <row r="901" customFormat="false" ht="15" hidden="false" customHeight="true" outlineLevel="0" collapsed="false">
      <c r="A901" s="144" t="n">
        <v>46062</v>
      </c>
      <c r="B901" s="113"/>
      <c r="C901" s="159" t="s">
        <v>679</v>
      </c>
      <c r="D901" s="158" t="s">
        <v>174</v>
      </c>
      <c r="E901" s="147" t="n">
        <v>36</v>
      </c>
      <c r="F901" s="147" t="n">
        <v>1000</v>
      </c>
      <c r="G901" s="160" t="n">
        <v>72</v>
      </c>
      <c r="H901" s="20"/>
      <c r="I901" s="158" t="s">
        <v>730</v>
      </c>
    </row>
    <row r="902" customFormat="false" ht="15" hidden="false" customHeight="true" outlineLevel="0" collapsed="false">
      <c r="A902" s="144" t="n">
        <v>46062</v>
      </c>
      <c r="B902" s="113"/>
      <c r="C902" s="159" t="s">
        <v>679</v>
      </c>
      <c r="D902" s="158" t="s">
        <v>179</v>
      </c>
      <c r="E902" s="147" t="n">
        <v>4</v>
      </c>
      <c r="F902" s="147" t="n">
        <v>1000</v>
      </c>
      <c r="G902" s="160" t="n">
        <v>4</v>
      </c>
      <c r="H902" s="20"/>
      <c r="I902" s="158" t="s">
        <v>715</v>
      </c>
    </row>
    <row r="903" customFormat="false" ht="15" hidden="false" customHeight="true" outlineLevel="0" collapsed="false">
      <c r="A903" s="144" t="n">
        <v>46062</v>
      </c>
      <c r="B903" s="113"/>
      <c r="C903" s="159" t="s">
        <v>679</v>
      </c>
      <c r="D903" s="158" t="s">
        <v>181</v>
      </c>
      <c r="E903" s="147" t="n">
        <v>2</v>
      </c>
      <c r="F903" s="147" t="n">
        <v>1000</v>
      </c>
      <c r="G903" s="160" t="n">
        <v>2</v>
      </c>
      <c r="H903" s="20"/>
      <c r="I903" s="113" t="s">
        <v>718</v>
      </c>
    </row>
    <row r="904" customFormat="false" ht="15" hidden="false" customHeight="true" outlineLevel="0" collapsed="false">
      <c r="A904" s="144" t="n">
        <v>46062</v>
      </c>
      <c r="B904" s="113"/>
      <c r="C904" s="159" t="s">
        <v>679</v>
      </c>
      <c r="D904" s="158" t="s">
        <v>183</v>
      </c>
      <c r="E904" s="147" t="n">
        <v>620</v>
      </c>
      <c r="F904" s="147" t="n">
        <v>60</v>
      </c>
      <c r="G904" s="160" t="n">
        <v>1116</v>
      </c>
      <c r="H904" s="20"/>
      <c r="I904" s="158" t="s">
        <v>689</v>
      </c>
    </row>
    <row r="905" customFormat="false" ht="15" hidden="false" customHeight="true" outlineLevel="0" collapsed="false">
      <c r="A905" s="144" t="n">
        <v>46062</v>
      </c>
      <c r="B905" s="113"/>
      <c r="C905" s="159" t="s">
        <v>679</v>
      </c>
      <c r="D905" s="158" t="s">
        <v>184</v>
      </c>
      <c r="E905" s="147" t="n">
        <v>1</v>
      </c>
      <c r="F905" s="147" t="n">
        <v>50</v>
      </c>
      <c r="G905" s="160" t="n">
        <v>1</v>
      </c>
      <c r="H905" s="20"/>
      <c r="I905" s="158" t="s">
        <v>701</v>
      </c>
    </row>
    <row r="906" customFormat="false" ht="15" hidden="false" customHeight="true" outlineLevel="0" collapsed="false">
      <c r="A906" s="144" t="n">
        <v>46062</v>
      </c>
      <c r="B906" s="113"/>
      <c r="C906" s="159" t="s">
        <v>679</v>
      </c>
      <c r="D906" s="158" t="s">
        <v>184</v>
      </c>
      <c r="E906" s="147" t="n">
        <v>2</v>
      </c>
      <c r="F906" s="147" t="n">
        <v>50</v>
      </c>
      <c r="G906" s="160" t="n">
        <v>4</v>
      </c>
      <c r="H906" s="20"/>
      <c r="I906" s="158" t="s">
        <v>691</v>
      </c>
    </row>
    <row r="907" customFormat="false" ht="15" hidden="false" customHeight="true" outlineLevel="0" collapsed="false">
      <c r="A907" s="144" t="n">
        <v>46062</v>
      </c>
      <c r="B907" s="113"/>
      <c r="C907" s="159" t="s">
        <v>679</v>
      </c>
      <c r="D907" s="158" t="s">
        <v>184</v>
      </c>
      <c r="E907" s="147" t="n">
        <v>60</v>
      </c>
      <c r="F907" s="147" t="n">
        <v>50</v>
      </c>
      <c r="G907" s="160" t="n">
        <v>60</v>
      </c>
      <c r="H907" s="20"/>
      <c r="I907" s="158" t="s">
        <v>720</v>
      </c>
    </row>
    <row r="908" customFormat="false" ht="15" hidden="false" customHeight="true" outlineLevel="0" collapsed="false">
      <c r="A908" s="144" t="n">
        <v>46062</v>
      </c>
      <c r="B908" s="113"/>
      <c r="C908" s="159" t="s">
        <v>679</v>
      </c>
      <c r="D908" s="158" t="s">
        <v>184</v>
      </c>
      <c r="E908" s="147" t="n">
        <v>5</v>
      </c>
      <c r="F908" s="147" t="n">
        <v>50</v>
      </c>
      <c r="G908" s="160" t="n">
        <v>0.25</v>
      </c>
      <c r="H908" s="20"/>
      <c r="I908" s="158" t="s">
        <v>684</v>
      </c>
    </row>
    <row r="909" customFormat="false" ht="15" hidden="false" customHeight="true" outlineLevel="0" collapsed="false">
      <c r="A909" s="144" t="n">
        <v>46062</v>
      </c>
      <c r="B909" s="113"/>
      <c r="C909" s="159" t="s">
        <v>679</v>
      </c>
      <c r="D909" s="158" t="s">
        <v>186</v>
      </c>
      <c r="E909" s="147" t="n">
        <v>4</v>
      </c>
      <c r="F909" s="147" t="n">
        <v>50</v>
      </c>
      <c r="G909" s="160" t="n">
        <v>0.2</v>
      </c>
      <c r="H909" s="20"/>
      <c r="I909" s="158" t="s">
        <v>684</v>
      </c>
    </row>
    <row r="910" customFormat="false" ht="15" hidden="false" customHeight="true" outlineLevel="0" collapsed="false">
      <c r="A910" s="144" t="n">
        <v>46062</v>
      </c>
      <c r="B910" s="113"/>
      <c r="C910" s="159" t="s">
        <v>679</v>
      </c>
      <c r="D910" s="158" t="s">
        <v>192</v>
      </c>
      <c r="E910" s="147" t="n">
        <v>5</v>
      </c>
      <c r="F910" s="147" t="n">
        <v>50</v>
      </c>
      <c r="G910" s="160" t="n">
        <v>0.25</v>
      </c>
      <c r="H910" s="20"/>
      <c r="I910" s="158" t="s">
        <v>684</v>
      </c>
    </row>
    <row r="911" customFormat="false" ht="15" hidden="false" customHeight="true" outlineLevel="0" collapsed="false">
      <c r="A911" s="144" t="n">
        <v>46062</v>
      </c>
      <c r="B911" s="113"/>
      <c r="C911" s="159" t="s">
        <v>679</v>
      </c>
      <c r="D911" s="158" t="s">
        <v>195</v>
      </c>
      <c r="E911" s="147" t="n">
        <v>1</v>
      </c>
      <c r="F911" s="147" t="n">
        <v>50</v>
      </c>
      <c r="G911" s="160" t="n">
        <v>0.5</v>
      </c>
      <c r="H911" s="20"/>
      <c r="I911" s="158" t="s">
        <v>702</v>
      </c>
    </row>
    <row r="912" customFormat="false" ht="15" hidden="false" customHeight="true" outlineLevel="0" collapsed="false">
      <c r="A912" s="144" t="n">
        <v>46062</v>
      </c>
      <c r="B912" s="113"/>
      <c r="C912" s="159" t="s">
        <v>679</v>
      </c>
      <c r="D912" s="158" t="s">
        <v>195</v>
      </c>
      <c r="E912" s="147" t="n">
        <v>4</v>
      </c>
      <c r="F912" s="147" t="n">
        <v>50</v>
      </c>
      <c r="G912" s="160" t="n">
        <v>0.2</v>
      </c>
      <c r="H912" s="20"/>
      <c r="I912" s="158" t="s">
        <v>684</v>
      </c>
    </row>
    <row r="913" customFormat="false" ht="15" hidden="false" customHeight="true" outlineLevel="0" collapsed="false">
      <c r="A913" s="144" t="n">
        <v>46062</v>
      </c>
      <c r="B913" s="113"/>
      <c r="C913" s="159" t="s">
        <v>679</v>
      </c>
      <c r="D913" s="158" t="s">
        <v>222</v>
      </c>
      <c r="E913" s="147" t="n">
        <v>3</v>
      </c>
      <c r="F913" s="147" t="n">
        <v>40</v>
      </c>
      <c r="G913" s="160" t="n">
        <v>2.4</v>
      </c>
      <c r="H913" s="20"/>
      <c r="I913" s="158" t="s">
        <v>692</v>
      </c>
    </row>
    <row r="914" customFormat="false" ht="15" hidden="false" customHeight="true" outlineLevel="0" collapsed="false">
      <c r="A914" s="144" t="n">
        <v>46062</v>
      </c>
      <c r="B914" s="113"/>
      <c r="C914" s="159" t="s">
        <v>679</v>
      </c>
      <c r="D914" s="158" t="s">
        <v>221</v>
      </c>
      <c r="E914" s="147" t="n">
        <v>1</v>
      </c>
      <c r="F914" s="147" t="n">
        <v>40</v>
      </c>
      <c r="G914" s="160" t="n">
        <v>0.8</v>
      </c>
      <c r="H914" s="20"/>
      <c r="I914" s="158" t="s">
        <v>693</v>
      </c>
    </row>
    <row r="915" customFormat="false" ht="15" hidden="false" customHeight="true" outlineLevel="0" collapsed="false">
      <c r="A915" s="144" t="n">
        <v>46062</v>
      </c>
      <c r="B915" s="113"/>
      <c r="C915" s="159" t="s">
        <v>679</v>
      </c>
      <c r="D915" s="158" t="s">
        <v>204</v>
      </c>
      <c r="E915" s="147" t="n">
        <v>2</v>
      </c>
      <c r="F915" s="147" t="n">
        <v>1000</v>
      </c>
      <c r="G915" s="160" t="n">
        <v>3.6</v>
      </c>
      <c r="H915" s="20"/>
      <c r="I915" s="158" t="s">
        <v>703</v>
      </c>
    </row>
    <row r="916" customFormat="false" ht="15" hidden="false" customHeight="true" outlineLevel="0" collapsed="false">
      <c r="A916" s="144" t="n">
        <v>46062</v>
      </c>
      <c r="B916" s="113"/>
      <c r="C916" s="159" t="s">
        <v>679</v>
      </c>
      <c r="D916" s="158" t="s">
        <v>204</v>
      </c>
      <c r="E916" s="147" t="n">
        <v>16</v>
      </c>
      <c r="F916" s="147" t="n">
        <v>60</v>
      </c>
      <c r="G916" s="160" t="n">
        <v>14.4</v>
      </c>
      <c r="H916" s="20"/>
      <c r="I916" s="158" t="s">
        <v>770</v>
      </c>
    </row>
    <row r="917" customFormat="false" ht="15" hidden="false" customHeight="true" outlineLevel="0" collapsed="false">
      <c r="A917" s="144" t="n">
        <v>46062</v>
      </c>
      <c r="B917" s="113"/>
      <c r="C917" s="159" t="s">
        <v>679</v>
      </c>
      <c r="D917" s="158" t="s">
        <v>204</v>
      </c>
      <c r="E917" s="147" t="n">
        <v>8</v>
      </c>
      <c r="F917" s="147" t="n">
        <v>60</v>
      </c>
      <c r="G917" s="160" t="n">
        <v>14.4</v>
      </c>
      <c r="H917" s="20"/>
      <c r="I917" s="158" t="s">
        <v>694</v>
      </c>
    </row>
    <row r="918" customFormat="false" ht="15" hidden="false" customHeight="true" outlineLevel="0" collapsed="false">
      <c r="A918" s="144" t="n">
        <v>46062</v>
      </c>
      <c r="B918" s="113"/>
      <c r="C918" s="159" t="s">
        <v>679</v>
      </c>
      <c r="D918" s="158" t="s">
        <v>204</v>
      </c>
      <c r="E918" s="147" t="n">
        <v>30</v>
      </c>
      <c r="F918" s="147" t="n">
        <v>60</v>
      </c>
      <c r="G918" s="160" t="n">
        <v>54</v>
      </c>
      <c r="H918" s="20"/>
      <c r="I918" s="158" t="s">
        <v>771</v>
      </c>
    </row>
    <row r="919" customFormat="false" ht="15" hidden="false" customHeight="true" outlineLevel="0" collapsed="false">
      <c r="A919" s="144" t="n">
        <v>46062</v>
      </c>
      <c r="B919" s="113"/>
      <c r="C919" s="159" t="s">
        <v>679</v>
      </c>
      <c r="D919" s="158" t="s">
        <v>204</v>
      </c>
      <c r="E919" s="147" t="n">
        <v>54</v>
      </c>
      <c r="F919" s="147" t="n">
        <v>60</v>
      </c>
      <c r="G919" s="160" t="n">
        <v>194.4</v>
      </c>
      <c r="H919" s="20"/>
      <c r="I919" s="158" t="s">
        <v>742</v>
      </c>
    </row>
    <row r="920" customFormat="false" ht="15" hidden="false" customHeight="true" outlineLevel="0" collapsed="false">
      <c r="A920" s="144" t="n">
        <v>46062</v>
      </c>
      <c r="B920" s="113"/>
      <c r="C920" s="159" t="s">
        <v>679</v>
      </c>
      <c r="D920" s="158" t="s">
        <v>236</v>
      </c>
      <c r="E920" s="147" t="n">
        <v>1</v>
      </c>
      <c r="F920" s="147" t="n">
        <v>60</v>
      </c>
      <c r="G920" s="160" t="n">
        <v>1.8</v>
      </c>
      <c r="H920" s="20"/>
      <c r="I920" s="158" t="s">
        <v>695</v>
      </c>
    </row>
    <row r="921" customFormat="false" ht="15" hidden="false" customHeight="true" outlineLevel="0" collapsed="false">
      <c r="A921" s="144" t="n">
        <v>46062</v>
      </c>
      <c r="B921" s="113"/>
      <c r="C921" s="159" t="s">
        <v>679</v>
      </c>
      <c r="D921" s="158" t="s">
        <v>236</v>
      </c>
      <c r="E921" s="147" t="n">
        <v>15</v>
      </c>
      <c r="F921" s="147" t="n">
        <v>60</v>
      </c>
      <c r="G921" s="160" t="n">
        <v>54</v>
      </c>
      <c r="H921" s="20"/>
      <c r="I921" s="158" t="s">
        <v>772</v>
      </c>
    </row>
    <row r="922" customFormat="false" ht="15" hidden="false" customHeight="true" outlineLevel="0" collapsed="false">
      <c r="A922" s="144" t="n">
        <v>46062</v>
      </c>
      <c r="B922" s="113"/>
      <c r="C922" s="159" t="s">
        <v>679</v>
      </c>
      <c r="D922" s="158" t="s">
        <v>236</v>
      </c>
      <c r="E922" s="147" t="n">
        <v>16</v>
      </c>
      <c r="F922" s="147" t="n">
        <v>60</v>
      </c>
      <c r="G922" s="160" t="n">
        <v>14.4</v>
      </c>
      <c r="H922" s="20"/>
      <c r="I922" s="158" t="s">
        <v>770</v>
      </c>
    </row>
    <row r="923" customFormat="false" ht="15" hidden="false" customHeight="true" outlineLevel="0" collapsed="false">
      <c r="A923" s="144" t="n">
        <v>46062</v>
      </c>
      <c r="B923" s="113"/>
      <c r="C923" s="159" t="s">
        <v>679</v>
      </c>
      <c r="D923" s="158" t="s">
        <v>236</v>
      </c>
      <c r="E923" s="147" t="n">
        <v>30</v>
      </c>
      <c r="F923" s="147" t="n">
        <v>60</v>
      </c>
      <c r="G923" s="160" t="n">
        <v>54</v>
      </c>
      <c r="H923" s="20"/>
      <c r="I923" s="158" t="s">
        <v>771</v>
      </c>
    </row>
    <row r="924" customFormat="false" ht="15" hidden="false" customHeight="true" outlineLevel="0" collapsed="false">
      <c r="A924" s="144" t="n">
        <v>46062</v>
      </c>
      <c r="B924" s="113"/>
      <c r="C924" s="159" t="s">
        <v>679</v>
      </c>
      <c r="D924" s="158" t="s">
        <v>207</v>
      </c>
      <c r="E924" s="147" t="n">
        <v>8</v>
      </c>
      <c r="F924" s="147" t="n">
        <v>1000</v>
      </c>
      <c r="G924" s="160" t="n">
        <v>8</v>
      </c>
      <c r="H924" s="20"/>
      <c r="I924" s="158" t="s">
        <v>704</v>
      </c>
    </row>
    <row r="925" customFormat="false" ht="15" hidden="false" customHeight="true" outlineLevel="0" collapsed="false">
      <c r="A925" s="144" t="n">
        <v>46062</v>
      </c>
      <c r="B925" s="113"/>
      <c r="C925" s="159" t="s">
        <v>679</v>
      </c>
      <c r="D925" s="158" t="s">
        <v>212</v>
      </c>
      <c r="E925" s="147" t="n">
        <v>2</v>
      </c>
      <c r="F925" s="147" t="n">
        <v>50</v>
      </c>
      <c r="G925" s="160" t="n">
        <v>0.5</v>
      </c>
      <c r="H925" s="20"/>
      <c r="I925" s="158" t="s">
        <v>765</v>
      </c>
    </row>
    <row r="926" customFormat="false" ht="15" hidden="false" customHeight="true" outlineLevel="0" collapsed="false">
      <c r="A926" s="144" t="n">
        <v>46062</v>
      </c>
      <c r="B926" s="113"/>
      <c r="C926" s="159" t="s">
        <v>679</v>
      </c>
      <c r="D926" s="158" t="s">
        <v>219</v>
      </c>
      <c r="E926" s="147" t="n">
        <v>4</v>
      </c>
      <c r="F926" s="147" t="n">
        <v>50</v>
      </c>
      <c r="G926" s="160" t="n">
        <v>0.2</v>
      </c>
      <c r="H926" s="20"/>
      <c r="I926" s="158" t="s">
        <v>684</v>
      </c>
    </row>
    <row r="927" customFormat="false" ht="15" hidden="false" customHeight="true" outlineLevel="0" collapsed="false">
      <c r="A927" s="144" t="n">
        <v>46062</v>
      </c>
      <c r="B927" s="113"/>
      <c r="C927" s="159" t="s">
        <v>679</v>
      </c>
      <c r="D927" s="158" t="s">
        <v>220</v>
      </c>
      <c r="E927" s="147" t="n">
        <v>35</v>
      </c>
      <c r="F927" s="147" t="n">
        <v>50</v>
      </c>
      <c r="G927" s="160" t="n">
        <v>1.75</v>
      </c>
      <c r="H927" s="20"/>
      <c r="I927" s="158" t="s">
        <v>698</v>
      </c>
    </row>
    <row r="928" customFormat="false" ht="15" hidden="false" customHeight="true" outlineLevel="0" collapsed="false">
      <c r="A928" s="144" t="n">
        <v>46062</v>
      </c>
      <c r="B928" s="158" t="s">
        <v>732</v>
      </c>
      <c r="C928" s="159" t="s">
        <v>670</v>
      </c>
      <c r="D928" s="158" t="s">
        <v>242</v>
      </c>
      <c r="E928" s="147" t="n">
        <v>15</v>
      </c>
      <c r="F928" s="147" t="n">
        <v>360</v>
      </c>
      <c r="G928" s="160" t="n">
        <v>5.4</v>
      </c>
      <c r="H928" s="20"/>
      <c r="I928" s="158" t="s">
        <v>733</v>
      </c>
    </row>
    <row r="929" customFormat="false" ht="15" hidden="false" customHeight="true" outlineLevel="0" collapsed="false">
      <c r="A929" s="144" t="n">
        <v>46062</v>
      </c>
      <c r="B929" s="158" t="s">
        <v>732</v>
      </c>
      <c r="C929" s="159" t="s">
        <v>670</v>
      </c>
      <c r="D929" s="158" t="s">
        <v>240</v>
      </c>
      <c r="E929" s="147" t="n">
        <v>19</v>
      </c>
      <c r="F929" s="147" t="n">
        <v>360</v>
      </c>
      <c r="G929" s="160" t="n">
        <v>6.84</v>
      </c>
      <c r="H929" s="20"/>
      <c r="I929" s="158" t="s">
        <v>734</v>
      </c>
    </row>
    <row r="930" customFormat="false" ht="15" hidden="false" customHeight="true" outlineLevel="0" collapsed="false">
      <c r="A930" s="144" t="n">
        <v>46062</v>
      </c>
      <c r="B930" s="158" t="s">
        <v>732</v>
      </c>
      <c r="C930" s="159" t="s">
        <v>670</v>
      </c>
      <c r="D930" s="158" t="s">
        <v>241</v>
      </c>
      <c r="E930" s="147" t="n">
        <v>9</v>
      </c>
      <c r="F930" s="147" t="n">
        <v>360</v>
      </c>
      <c r="G930" s="160" t="n">
        <v>3.24</v>
      </c>
      <c r="H930" s="20"/>
      <c r="I930" s="158" t="s">
        <v>735</v>
      </c>
    </row>
    <row r="931" customFormat="false" ht="15" hidden="false" customHeight="true" outlineLevel="0" collapsed="false">
      <c r="A931" s="144" t="n">
        <v>46062</v>
      </c>
      <c r="B931" s="158" t="s">
        <v>732</v>
      </c>
      <c r="C931" s="159" t="s">
        <v>670</v>
      </c>
      <c r="D931" s="158" t="s">
        <v>246</v>
      </c>
      <c r="E931" s="147" t="n">
        <v>40</v>
      </c>
      <c r="F931" s="147" t="n">
        <v>360</v>
      </c>
      <c r="G931" s="160" t="n">
        <v>14.4</v>
      </c>
      <c r="H931" s="20"/>
      <c r="I931" s="158" t="s">
        <v>736</v>
      </c>
    </row>
    <row r="932" customFormat="false" ht="15" hidden="false" customHeight="true" outlineLevel="0" collapsed="false">
      <c r="A932" s="144" t="n">
        <v>46062</v>
      </c>
      <c r="B932" s="158" t="s">
        <v>732</v>
      </c>
      <c r="C932" s="159" t="s">
        <v>670</v>
      </c>
      <c r="D932" s="158" t="s">
        <v>243</v>
      </c>
      <c r="E932" s="147" t="n">
        <v>21</v>
      </c>
      <c r="F932" s="147" t="n">
        <v>360</v>
      </c>
      <c r="G932" s="160" t="n">
        <v>7.56</v>
      </c>
      <c r="H932" s="20"/>
      <c r="I932" s="158" t="s">
        <v>737</v>
      </c>
    </row>
    <row r="933" customFormat="false" ht="15" hidden="false" customHeight="true" outlineLevel="0" collapsed="false">
      <c r="A933" s="144" t="n">
        <v>46062</v>
      </c>
      <c r="B933" s="158" t="s">
        <v>732</v>
      </c>
      <c r="C933" s="159" t="s">
        <v>670</v>
      </c>
      <c r="D933" s="158" t="s">
        <v>244</v>
      </c>
      <c r="E933" s="147" t="n">
        <v>6</v>
      </c>
      <c r="F933" s="147" t="n">
        <v>360</v>
      </c>
      <c r="G933" s="160" t="n">
        <v>2.16</v>
      </c>
      <c r="H933" s="20"/>
      <c r="I933" s="158" t="s">
        <v>738</v>
      </c>
    </row>
    <row r="934" customFormat="false" ht="15" hidden="false" customHeight="true" outlineLevel="0" collapsed="false">
      <c r="A934" s="144" t="n">
        <v>46062</v>
      </c>
      <c r="B934" s="158" t="s">
        <v>753</v>
      </c>
      <c r="C934" s="159" t="s">
        <v>670</v>
      </c>
      <c r="D934" s="158" t="s">
        <v>242</v>
      </c>
      <c r="E934" s="147" t="n">
        <v>50</v>
      </c>
      <c r="F934" s="147" t="n">
        <v>60</v>
      </c>
      <c r="G934" s="160" t="n">
        <v>3</v>
      </c>
      <c r="H934" s="20"/>
      <c r="I934" s="158" t="s">
        <v>786</v>
      </c>
    </row>
    <row r="935" customFormat="false" ht="15" hidden="false" customHeight="true" outlineLevel="0" collapsed="false">
      <c r="A935" s="144" t="n">
        <v>46062</v>
      </c>
      <c r="B935" s="158" t="s">
        <v>753</v>
      </c>
      <c r="C935" s="159" t="s">
        <v>670</v>
      </c>
      <c r="D935" s="158" t="s">
        <v>240</v>
      </c>
      <c r="E935" s="147" t="n">
        <v>75</v>
      </c>
      <c r="F935" s="147" t="n">
        <v>60</v>
      </c>
      <c r="G935" s="160" t="n">
        <v>4.5</v>
      </c>
      <c r="H935" s="20"/>
      <c r="I935" s="158" t="s">
        <v>787</v>
      </c>
    </row>
    <row r="936" customFormat="false" ht="15" hidden="false" customHeight="true" outlineLevel="0" collapsed="false">
      <c r="A936" s="144" t="n">
        <v>46062</v>
      </c>
      <c r="B936" s="158" t="s">
        <v>753</v>
      </c>
      <c r="C936" s="159" t="s">
        <v>670</v>
      </c>
      <c r="D936" s="158" t="s">
        <v>241</v>
      </c>
      <c r="E936" s="147" t="n">
        <v>175</v>
      </c>
      <c r="F936" s="147" t="n">
        <v>60</v>
      </c>
      <c r="G936" s="160" t="n">
        <v>10.5</v>
      </c>
      <c r="H936" s="20"/>
      <c r="I936" s="158" t="s">
        <v>788</v>
      </c>
    </row>
    <row r="937" customFormat="false" ht="15" hidden="false" customHeight="true" outlineLevel="0" collapsed="false">
      <c r="A937" s="144" t="n">
        <v>46062</v>
      </c>
      <c r="B937" s="158" t="s">
        <v>753</v>
      </c>
      <c r="C937" s="159" t="s">
        <v>670</v>
      </c>
      <c r="D937" s="158" t="s">
        <v>246</v>
      </c>
      <c r="E937" s="147" t="n">
        <v>500</v>
      </c>
      <c r="F937" s="147" t="n">
        <v>60</v>
      </c>
      <c r="G937" s="160" t="n">
        <v>30</v>
      </c>
      <c r="H937" s="20"/>
      <c r="I937" s="158" t="s">
        <v>789</v>
      </c>
    </row>
    <row r="938" customFormat="false" ht="15" hidden="false" customHeight="true" outlineLevel="0" collapsed="false">
      <c r="A938" s="144" t="n">
        <v>46062</v>
      </c>
      <c r="B938" s="158" t="s">
        <v>753</v>
      </c>
      <c r="C938" s="159" t="s">
        <v>670</v>
      </c>
      <c r="D938" s="158" t="s">
        <v>243</v>
      </c>
      <c r="E938" s="147" t="n">
        <v>50</v>
      </c>
      <c r="F938" s="147" t="n">
        <v>60</v>
      </c>
      <c r="G938" s="160" t="n">
        <v>3</v>
      </c>
      <c r="H938" s="20"/>
      <c r="I938" s="158" t="s">
        <v>790</v>
      </c>
    </row>
    <row r="939" customFormat="false" ht="15" hidden="false" customHeight="true" outlineLevel="0" collapsed="false">
      <c r="A939" s="144" t="n">
        <v>46062</v>
      </c>
      <c r="B939" s="158" t="s">
        <v>753</v>
      </c>
      <c r="C939" s="159" t="s">
        <v>670</v>
      </c>
      <c r="D939" s="158" t="s">
        <v>244</v>
      </c>
      <c r="E939" s="147" t="n">
        <v>50</v>
      </c>
      <c r="F939" s="147" t="n">
        <v>60</v>
      </c>
      <c r="G939" s="160" t="n">
        <v>3</v>
      </c>
      <c r="H939" s="20"/>
      <c r="I939" s="158" t="s">
        <v>791</v>
      </c>
    </row>
    <row r="940" customFormat="false" ht="15" hidden="false" customHeight="true" outlineLevel="0" collapsed="false">
      <c r="A940" s="144" t="n">
        <v>46062</v>
      </c>
      <c r="B940" s="158" t="s">
        <v>753</v>
      </c>
      <c r="C940" s="159" t="s">
        <v>670</v>
      </c>
      <c r="D940" s="158" t="s">
        <v>221</v>
      </c>
      <c r="E940" s="147" t="n">
        <v>100</v>
      </c>
      <c r="F940" s="147" t="n">
        <v>40</v>
      </c>
      <c r="G940" s="160" t="n">
        <v>4</v>
      </c>
      <c r="H940" s="20"/>
      <c r="I940" s="158" t="s">
        <v>792</v>
      </c>
    </row>
    <row r="941" customFormat="false" ht="15" hidden="false" customHeight="true" outlineLevel="0" collapsed="false">
      <c r="A941" s="144" t="n">
        <v>46062</v>
      </c>
      <c r="B941" s="158" t="s">
        <v>753</v>
      </c>
      <c r="C941" s="159" t="s">
        <v>670</v>
      </c>
      <c r="D941" s="158" t="s">
        <v>206</v>
      </c>
      <c r="E941" s="147" t="n">
        <v>15</v>
      </c>
      <c r="F941" s="147" t="n">
        <v>1000</v>
      </c>
      <c r="G941" s="160" t="n">
        <v>15</v>
      </c>
      <c r="H941" s="20"/>
      <c r="I941" s="158" t="s">
        <v>785</v>
      </c>
    </row>
    <row r="942" customFormat="false" ht="15" hidden="false" customHeight="true" outlineLevel="0" collapsed="false">
      <c r="A942" s="144" t="n">
        <v>46062</v>
      </c>
      <c r="B942" s="158" t="s">
        <v>753</v>
      </c>
      <c r="C942" s="159" t="s">
        <v>670</v>
      </c>
      <c r="D942" s="158" t="s">
        <v>676</v>
      </c>
      <c r="E942" s="147" t="n">
        <v>1</v>
      </c>
      <c r="F942" s="147"/>
      <c r="G942" s="160" t="n">
        <v>15</v>
      </c>
      <c r="H942" s="20"/>
      <c r="I942" s="113"/>
    </row>
    <row r="943" customFormat="false" ht="15" hidden="false" customHeight="true" outlineLevel="0" collapsed="false">
      <c r="A943" s="144" t="n">
        <v>46063</v>
      </c>
      <c r="B943" s="113"/>
      <c r="C943" s="159" t="s">
        <v>679</v>
      </c>
      <c r="D943" s="113" t="s">
        <v>267</v>
      </c>
      <c r="E943" s="147" t="n">
        <v>1</v>
      </c>
      <c r="F943" s="147" t="n">
        <v>60</v>
      </c>
      <c r="G943" s="160" t="n">
        <v>1.2</v>
      </c>
      <c r="H943" s="20"/>
      <c r="I943" s="113" t="s">
        <v>705</v>
      </c>
    </row>
    <row r="944" customFormat="false" ht="15" hidden="false" customHeight="true" outlineLevel="0" collapsed="false">
      <c r="A944" s="144" t="n">
        <v>46063</v>
      </c>
      <c r="B944" s="113"/>
      <c r="C944" s="159" t="s">
        <v>679</v>
      </c>
      <c r="D944" s="113" t="s">
        <v>267</v>
      </c>
      <c r="E944" s="147" t="n">
        <v>3</v>
      </c>
      <c r="F944" s="147" t="n">
        <v>60</v>
      </c>
      <c r="G944" s="160" t="n">
        <v>3.6</v>
      </c>
      <c r="H944" s="20"/>
      <c r="I944" s="158" t="s">
        <v>697</v>
      </c>
    </row>
    <row r="945" customFormat="false" ht="15" hidden="false" customHeight="true" outlineLevel="0" collapsed="false">
      <c r="A945" s="144" t="n">
        <v>46063</v>
      </c>
      <c r="B945" s="113"/>
      <c r="C945" s="159" t="s">
        <v>679</v>
      </c>
      <c r="D945" s="158" t="s">
        <v>142</v>
      </c>
      <c r="E945" s="147" t="n">
        <v>10</v>
      </c>
      <c r="F945" s="147" t="n">
        <v>50</v>
      </c>
      <c r="G945" s="160" t="n">
        <v>0.5</v>
      </c>
      <c r="H945" s="20"/>
      <c r="I945" s="158" t="s">
        <v>681</v>
      </c>
    </row>
    <row r="946" customFormat="false" ht="15" hidden="false" customHeight="true" outlineLevel="0" collapsed="false">
      <c r="A946" s="144" t="n">
        <v>46063</v>
      </c>
      <c r="B946" s="113"/>
      <c r="C946" s="159" t="s">
        <v>679</v>
      </c>
      <c r="D946" s="158" t="s">
        <v>143</v>
      </c>
      <c r="E946" s="147" t="n">
        <v>2</v>
      </c>
      <c r="F946" s="147" t="n">
        <v>50</v>
      </c>
      <c r="G946" s="160" t="n">
        <v>2</v>
      </c>
      <c r="H946" s="20"/>
      <c r="I946" s="158" t="s">
        <v>682</v>
      </c>
    </row>
    <row r="947" customFormat="false" ht="15" hidden="false" customHeight="true" outlineLevel="0" collapsed="false">
      <c r="A947" s="144" t="n">
        <v>46063</v>
      </c>
      <c r="B947" s="113"/>
      <c r="C947" s="159" t="s">
        <v>679</v>
      </c>
      <c r="D947" s="158" t="s">
        <v>143</v>
      </c>
      <c r="E947" s="147" t="n">
        <v>1</v>
      </c>
      <c r="F947" s="147" t="n">
        <v>50</v>
      </c>
      <c r="G947" s="160" t="n">
        <v>2</v>
      </c>
      <c r="H947" s="20"/>
      <c r="I947" s="158" t="s">
        <v>683</v>
      </c>
    </row>
    <row r="948" customFormat="false" ht="15" hidden="false" customHeight="true" outlineLevel="0" collapsed="false">
      <c r="A948" s="144" t="n">
        <v>46063</v>
      </c>
      <c r="B948" s="113"/>
      <c r="C948" s="159" t="s">
        <v>679</v>
      </c>
      <c r="D948" s="158" t="s">
        <v>143</v>
      </c>
      <c r="E948" s="147" t="n">
        <v>8</v>
      </c>
      <c r="F948" s="147" t="n">
        <v>50</v>
      </c>
      <c r="G948" s="160" t="n">
        <v>8</v>
      </c>
      <c r="H948" s="20"/>
      <c r="I948" s="158" t="s">
        <v>720</v>
      </c>
    </row>
    <row r="949" customFormat="false" ht="15" hidden="false" customHeight="true" outlineLevel="0" collapsed="false">
      <c r="A949" s="144" t="n">
        <v>46063</v>
      </c>
      <c r="B949" s="113"/>
      <c r="C949" s="159" t="s">
        <v>679</v>
      </c>
      <c r="D949" s="158" t="s">
        <v>143</v>
      </c>
      <c r="E949" s="147" t="n">
        <v>20</v>
      </c>
      <c r="F949" s="147" t="n">
        <v>50</v>
      </c>
      <c r="G949" s="160" t="n">
        <v>1</v>
      </c>
      <c r="H949" s="20"/>
      <c r="I949" s="158" t="s">
        <v>793</v>
      </c>
    </row>
    <row r="950" customFormat="false" ht="15" hidden="false" customHeight="true" outlineLevel="0" collapsed="false">
      <c r="A950" s="144" t="n">
        <v>46063</v>
      </c>
      <c r="B950" s="113"/>
      <c r="C950" s="159" t="s">
        <v>679</v>
      </c>
      <c r="D950" s="158" t="s">
        <v>144</v>
      </c>
      <c r="E950" s="147" t="n">
        <v>2</v>
      </c>
      <c r="F950" s="147" t="n">
        <v>1000</v>
      </c>
      <c r="G950" s="160" t="n">
        <v>4</v>
      </c>
      <c r="H950" s="20"/>
      <c r="I950" s="158" t="s">
        <v>685</v>
      </c>
    </row>
    <row r="951" customFormat="false" ht="15" hidden="false" customHeight="true" outlineLevel="0" collapsed="false">
      <c r="A951" s="144" t="n">
        <v>46063</v>
      </c>
      <c r="B951" s="113"/>
      <c r="C951" s="159" t="s">
        <v>679</v>
      </c>
      <c r="D951" s="158" t="s">
        <v>145</v>
      </c>
      <c r="E951" s="147" t="n">
        <v>20</v>
      </c>
      <c r="F951" s="147" t="n">
        <v>50</v>
      </c>
      <c r="G951" s="160" t="n">
        <v>1</v>
      </c>
      <c r="H951" s="20"/>
      <c r="I951" s="158" t="s">
        <v>793</v>
      </c>
    </row>
    <row r="952" customFormat="false" ht="15" hidden="false" customHeight="true" outlineLevel="0" collapsed="false">
      <c r="A952" s="144" t="n">
        <v>46063</v>
      </c>
      <c r="B952" s="113"/>
      <c r="C952" s="159" t="s">
        <v>679</v>
      </c>
      <c r="D952" s="158" t="s">
        <v>146</v>
      </c>
      <c r="E952" s="147" t="n">
        <v>10</v>
      </c>
      <c r="F952" s="147" t="n">
        <v>50</v>
      </c>
      <c r="G952" s="160" t="n">
        <v>0.5</v>
      </c>
      <c r="H952" s="20"/>
      <c r="I952" s="158" t="s">
        <v>681</v>
      </c>
    </row>
    <row r="953" customFormat="false" ht="15" hidden="false" customHeight="true" outlineLevel="0" collapsed="false">
      <c r="A953" s="144" t="n">
        <v>46063</v>
      </c>
      <c r="B953" s="113"/>
      <c r="C953" s="159" t="s">
        <v>679</v>
      </c>
      <c r="D953" s="158" t="s">
        <v>147</v>
      </c>
      <c r="E953" s="147" t="n">
        <v>3</v>
      </c>
      <c r="F953" s="147" t="n">
        <v>50</v>
      </c>
      <c r="G953" s="160" t="n">
        <v>3</v>
      </c>
      <c r="H953" s="20"/>
      <c r="I953" s="158" t="s">
        <v>700</v>
      </c>
    </row>
    <row r="954" customFormat="false" ht="15" hidden="false" customHeight="true" outlineLevel="0" collapsed="false">
      <c r="A954" s="144" t="n">
        <v>46063</v>
      </c>
      <c r="B954" s="113"/>
      <c r="C954" s="159" t="s">
        <v>679</v>
      </c>
      <c r="D954" s="158" t="s">
        <v>147</v>
      </c>
      <c r="E954" s="147" t="n">
        <v>10</v>
      </c>
      <c r="F954" s="147" t="n">
        <v>50</v>
      </c>
      <c r="G954" s="160" t="n">
        <v>0.5</v>
      </c>
      <c r="H954" s="20"/>
      <c r="I954" s="158" t="s">
        <v>681</v>
      </c>
    </row>
    <row r="955" customFormat="false" ht="15" hidden="false" customHeight="true" outlineLevel="0" collapsed="false">
      <c r="A955" s="144" t="n">
        <v>46063</v>
      </c>
      <c r="B955" s="113"/>
      <c r="C955" s="159" t="s">
        <v>679</v>
      </c>
      <c r="D955" s="158" t="s">
        <v>148</v>
      </c>
      <c r="E955" s="147" t="n">
        <v>16</v>
      </c>
      <c r="F955" s="147" t="n">
        <v>50</v>
      </c>
      <c r="G955" s="160" t="n">
        <v>0.8</v>
      </c>
      <c r="H955" s="20"/>
      <c r="I955" s="158" t="s">
        <v>793</v>
      </c>
    </row>
    <row r="956" customFormat="false" ht="15" hidden="false" customHeight="true" outlineLevel="0" collapsed="false">
      <c r="A956" s="144" t="n">
        <v>46063</v>
      </c>
      <c r="B956" s="113"/>
      <c r="C956" s="159" t="s">
        <v>679</v>
      </c>
      <c r="D956" s="158" t="s">
        <v>155</v>
      </c>
      <c r="E956" s="147" t="n">
        <v>13</v>
      </c>
      <c r="F956" s="147" t="n">
        <v>80</v>
      </c>
      <c r="G956" s="160" t="n">
        <v>15.6</v>
      </c>
      <c r="H956" s="20"/>
      <c r="I956" s="113" t="s">
        <v>767</v>
      </c>
    </row>
    <row r="957" customFormat="false" ht="15" hidden="false" customHeight="true" outlineLevel="0" collapsed="false">
      <c r="A957" s="144" t="n">
        <v>46063</v>
      </c>
      <c r="B957" s="113"/>
      <c r="C957" s="159" t="s">
        <v>679</v>
      </c>
      <c r="D957" s="158" t="s">
        <v>155</v>
      </c>
      <c r="E957" s="147" t="n">
        <v>4</v>
      </c>
      <c r="F957" s="147" t="n">
        <v>80</v>
      </c>
      <c r="G957" s="160" t="n">
        <v>6.4</v>
      </c>
      <c r="H957" s="20"/>
      <c r="I957" s="113" t="s">
        <v>686</v>
      </c>
    </row>
    <row r="958" customFormat="false" ht="15" hidden="false" customHeight="true" outlineLevel="0" collapsed="false">
      <c r="A958" s="144" t="n">
        <v>46063</v>
      </c>
      <c r="B958" s="113"/>
      <c r="C958" s="159" t="s">
        <v>679</v>
      </c>
      <c r="D958" s="158" t="s">
        <v>155</v>
      </c>
      <c r="E958" s="147" t="n">
        <v>1</v>
      </c>
      <c r="F958" s="147" t="n">
        <v>80</v>
      </c>
      <c r="G958" s="160" t="n">
        <v>1.2</v>
      </c>
      <c r="H958" s="20"/>
      <c r="I958" s="158" t="s">
        <v>768</v>
      </c>
    </row>
    <row r="959" customFormat="false" ht="15" hidden="false" customHeight="true" outlineLevel="0" collapsed="false">
      <c r="A959" s="144" t="n">
        <v>46063</v>
      </c>
      <c r="B959" s="113"/>
      <c r="C959" s="159" t="s">
        <v>679</v>
      </c>
      <c r="D959" s="158" t="s">
        <v>159</v>
      </c>
      <c r="E959" s="147" t="n">
        <v>16</v>
      </c>
      <c r="F959" s="147" t="n">
        <v>50</v>
      </c>
      <c r="G959" s="160" t="n">
        <v>0.8</v>
      </c>
      <c r="H959" s="20"/>
      <c r="I959" s="158" t="s">
        <v>793</v>
      </c>
    </row>
    <row r="960" customFormat="false" ht="15" hidden="false" customHeight="true" outlineLevel="0" collapsed="false">
      <c r="A960" s="144" t="n">
        <v>46063</v>
      </c>
      <c r="B960" s="113"/>
      <c r="C960" s="159" t="s">
        <v>679</v>
      </c>
      <c r="D960" s="158" t="s">
        <v>174</v>
      </c>
      <c r="E960" s="147" t="n">
        <v>5</v>
      </c>
      <c r="F960" s="147" t="n">
        <v>1000</v>
      </c>
      <c r="G960" s="160" t="n">
        <v>10</v>
      </c>
      <c r="H960" s="20"/>
      <c r="I960" s="158" t="s">
        <v>730</v>
      </c>
    </row>
    <row r="961" customFormat="false" ht="15" hidden="false" customHeight="true" outlineLevel="0" collapsed="false">
      <c r="A961" s="144" t="n">
        <v>46063</v>
      </c>
      <c r="B961" s="113"/>
      <c r="C961" s="159" t="s">
        <v>679</v>
      </c>
      <c r="D961" s="158" t="s">
        <v>174</v>
      </c>
      <c r="E961" s="147" t="n">
        <v>1</v>
      </c>
      <c r="F961" s="147" t="n">
        <v>1000</v>
      </c>
      <c r="G961" s="160" t="n">
        <v>1</v>
      </c>
      <c r="H961" s="20"/>
      <c r="I961" s="158" t="s">
        <v>745</v>
      </c>
    </row>
    <row r="962" customFormat="false" ht="15" hidden="false" customHeight="true" outlineLevel="0" collapsed="false">
      <c r="A962" s="144" t="n">
        <v>46063</v>
      </c>
      <c r="B962" s="113"/>
      <c r="C962" s="159" t="s">
        <v>679</v>
      </c>
      <c r="D962" s="158" t="s">
        <v>179</v>
      </c>
      <c r="E962" s="147" t="n">
        <v>1</v>
      </c>
      <c r="F962" s="147" t="n">
        <v>1000</v>
      </c>
      <c r="G962" s="160" t="n">
        <v>1</v>
      </c>
      <c r="H962" s="20"/>
      <c r="I962" s="158" t="s">
        <v>715</v>
      </c>
    </row>
    <row r="963" customFormat="false" ht="15" hidden="false" customHeight="true" outlineLevel="0" collapsed="false">
      <c r="A963" s="144" t="n">
        <v>46063</v>
      </c>
      <c r="B963" s="113"/>
      <c r="C963" s="159" t="s">
        <v>679</v>
      </c>
      <c r="D963" s="158" t="s">
        <v>181</v>
      </c>
      <c r="E963" s="147" t="n">
        <v>2</v>
      </c>
      <c r="F963" s="147" t="n">
        <v>1000</v>
      </c>
      <c r="G963" s="160" t="n">
        <v>2</v>
      </c>
      <c r="H963" s="20"/>
      <c r="I963" s="113" t="s">
        <v>718</v>
      </c>
    </row>
    <row r="964" customFormat="false" ht="15" hidden="false" customHeight="true" outlineLevel="0" collapsed="false">
      <c r="A964" s="144" t="n">
        <v>46063</v>
      </c>
      <c r="B964" s="113"/>
      <c r="C964" s="159" t="s">
        <v>679</v>
      </c>
      <c r="D964" s="158" t="s">
        <v>181</v>
      </c>
      <c r="E964" s="147" t="n">
        <v>1</v>
      </c>
      <c r="F964" s="147" t="n">
        <v>1000</v>
      </c>
      <c r="G964" s="160" t="n">
        <v>2</v>
      </c>
      <c r="H964" s="20"/>
      <c r="I964" s="113" t="s">
        <v>773</v>
      </c>
    </row>
    <row r="965" customFormat="false" ht="15" hidden="false" customHeight="true" outlineLevel="0" collapsed="false">
      <c r="A965" s="144" t="n">
        <v>46063</v>
      </c>
      <c r="B965" s="113"/>
      <c r="C965" s="159" t="s">
        <v>679</v>
      </c>
      <c r="D965" s="158" t="s">
        <v>183</v>
      </c>
      <c r="E965" s="147" t="n">
        <v>1</v>
      </c>
      <c r="F965" s="147" t="n">
        <v>60</v>
      </c>
      <c r="G965" s="160" t="n">
        <v>0.6</v>
      </c>
      <c r="H965" s="20"/>
      <c r="I965" s="113" t="s">
        <v>722</v>
      </c>
    </row>
    <row r="966" customFormat="false" ht="15" hidden="false" customHeight="true" outlineLevel="0" collapsed="false">
      <c r="A966" s="144" t="n">
        <v>46063</v>
      </c>
      <c r="B966" s="113"/>
      <c r="C966" s="159" t="s">
        <v>679</v>
      </c>
      <c r="D966" s="158" t="s">
        <v>183</v>
      </c>
      <c r="E966" s="147" t="n">
        <v>71</v>
      </c>
      <c r="F966" s="147" t="n">
        <v>60</v>
      </c>
      <c r="G966" s="160" t="n">
        <v>127.8</v>
      </c>
      <c r="H966" s="20"/>
      <c r="I966" s="158" t="s">
        <v>689</v>
      </c>
    </row>
    <row r="967" customFormat="false" ht="15" hidden="false" customHeight="true" outlineLevel="0" collapsed="false">
      <c r="A967" s="144" t="n">
        <v>46063</v>
      </c>
      <c r="B967" s="113"/>
      <c r="C967" s="159" t="s">
        <v>679</v>
      </c>
      <c r="D967" s="158" t="s">
        <v>184</v>
      </c>
      <c r="E967" s="147" t="n">
        <v>8</v>
      </c>
      <c r="F967" s="147" t="n">
        <v>50</v>
      </c>
      <c r="G967" s="160" t="n">
        <v>8</v>
      </c>
      <c r="H967" s="20"/>
      <c r="I967" s="158" t="s">
        <v>720</v>
      </c>
    </row>
    <row r="968" customFormat="false" ht="15" hidden="false" customHeight="true" outlineLevel="0" collapsed="false">
      <c r="A968" s="144" t="n">
        <v>46063</v>
      </c>
      <c r="B968" s="113"/>
      <c r="C968" s="159" t="s">
        <v>679</v>
      </c>
      <c r="D968" s="158" t="s">
        <v>184</v>
      </c>
      <c r="E968" s="147" t="n">
        <v>20</v>
      </c>
      <c r="F968" s="147" t="n">
        <v>50</v>
      </c>
      <c r="G968" s="160" t="n">
        <v>1</v>
      </c>
      <c r="H968" s="20"/>
      <c r="I968" s="158" t="s">
        <v>793</v>
      </c>
    </row>
    <row r="969" customFormat="false" ht="15" hidden="false" customHeight="true" outlineLevel="0" collapsed="false">
      <c r="A969" s="144" t="n">
        <v>46063</v>
      </c>
      <c r="B969" s="113"/>
      <c r="C969" s="159" t="s">
        <v>679</v>
      </c>
      <c r="D969" s="158" t="s">
        <v>186</v>
      </c>
      <c r="E969" s="147" t="n">
        <v>16</v>
      </c>
      <c r="F969" s="147" t="n">
        <v>50</v>
      </c>
      <c r="G969" s="160" t="n">
        <v>0.8</v>
      </c>
      <c r="H969" s="20"/>
      <c r="I969" s="158" t="s">
        <v>793</v>
      </c>
    </row>
    <row r="970" customFormat="false" ht="15" hidden="false" customHeight="true" outlineLevel="0" collapsed="false">
      <c r="A970" s="144" t="n">
        <v>46063</v>
      </c>
      <c r="B970" s="113"/>
      <c r="C970" s="159" t="s">
        <v>679</v>
      </c>
      <c r="D970" s="158" t="s">
        <v>192</v>
      </c>
      <c r="E970" s="147" t="n">
        <v>20</v>
      </c>
      <c r="F970" s="147" t="n">
        <v>50</v>
      </c>
      <c r="G970" s="160" t="n">
        <v>1</v>
      </c>
      <c r="H970" s="20"/>
      <c r="I970" s="158" t="s">
        <v>793</v>
      </c>
    </row>
    <row r="971" customFormat="false" ht="15" hidden="false" customHeight="true" outlineLevel="0" collapsed="false">
      <c r="A971" s="144" t="n">
        <v>46063</v>
      </c>
      <c r="B971" s="113"/>
      <c r="C971" s="159" t="s">
        <v>679</v>
      </c>
      <c r="D971" s="158" t="s">
        <v>195</v>
      </c>
      <c r="E971" s="147" t="n">
        <v>16</v>
      </c>
      <c r="F971" s="147" t="n">
        <v>50</v>
      </c>
      <c r="G971" s="160" t="n">
        <v>0.8</v>
      </c>
      <c r="H971" s="20"/>
      <c r="I971" s="158" t="s">
        <v>793</v>
      </c>
    </row>
    <row r="972" customFormat="false" ht="15" hidden="false" customHeight="true" outlineLevel="0" collapsed="false">
      <c r="A972" s="144" t="n">
        <v>46063</v>
      </c>
      <c r="B972" s="113"/>
      <c r="C972" s="159" t="s">
        <v>679</v>
      </c>
      <c r="D972" s="158" t="s">
        <v>222</v>
      </c>
      <c r="E972" s="147" t="n">
        <v>1</v>
      </c>
      <c r="F972" s="147" t="n">
        <v>40</v>
      </c>
      <c r="G972" s="160" t="n">
        <v>0.2</v>
      </c>
      <c r="H972" s="20"/>
      <c r="I972" s="113" t="s">
        <v>722</v>
      </c>
    </row>
    <row r="973" customFormat="false" ht="15" hidden="false" customHeight="true" outlineLevel="0" collapsed="false">
      <c r="A973" s="144" t="n">
        <v>46063</v>
      </c>
      <c r="B973" s="113"/>
      <c r="C973" s="159" t="s">
        <v>679</v>
      </c>
      <c r="D973" s="158" t="s">
        <v>222</v>
      </c>
      <c r="E973" s="147" t="n">
        <v>9</v>
      </c>
      <c r="F973" s="147" t="n">
        <v>40</v>
      </c>
      <c r="G973" s="160" t="n">
        <v>7.2</v>
      </c>
      <c r="H973" s="20"/>
      <c r="I973" s="158" t="s">
        <v>692</v>
      </c>
    </row>
    <row r="974" customFormat="false" ht="15" hidden="false" customHeight="true" outlineLevel="0" collapsed="false">
      <c r="A974" s="144" t="n">
        <v>46063</v>
      </c>
      <c r="B974" s="113"/>
      <c r="C974" s="159" t="s">
        <v>679</v>
      </c>
      <c r="D974" s="158" t="s">
        <v>221</v>
      </c>
      <c r="E974" s="147" t="n">
        <v>1</v>
      </c>
      <c r="F974" s="147" t="n">
        <v>40</v>
      </c>
      <c r="G974" s="160" t="n">
        <v>0.2</v>
      </c>
      <c r="H974" s="20"/>
      <c r="I974" s="113" t="s">
        <v>722</v>
      </c>
    </row>
    <row r="975" customFormat="false" ht="15" hidden="false" customHeight="true" outlineLevel="0" collapsed="false">
      <c r="A975" s="144" t="n">
        <v>46063</v>
      </c>
      <c r="B975" s="113"/>
      <c r="C975" s="159" t="s">
        <v>679</v>
      </c>
      <c r="D975" s="158" t="s">
        <v>204</v>
      </c>
      <c r="E975" s="147" t="n">
        <v>1</v>
      </c>
      <c r="F975" s="147" t="n">
        <v>60</v>
      </c>
      <c r="G975" s="160" t="n">
        <v>0.3</v>
      </c>
      <c r="H975" s="20"/>
      <c r="I975" s="113" t="s">
        <v>722</v>
      </c>
    </row>
    <row r="976" customFormat="false" ht="15" hidden="false" customHeight="true" outlineLevel="0" collapsed="false">
      <c r="A976" s="144" t="n">
        <v>46063</v>
      </c>
      <c r="B976" s="113"/>
      <c r="C976" s="159" t="s">
        <v>679</v>
      </c>
      <c r="D976" s="158" t="s">
        <v>204</v>
      </c>
      <c r="E976" s="147" t="n">
        <v>1</v>
      </c>
      <c r="F976" s="147" t="n">
        <v>60</v>
      </c>
      <c r="G976" s="160" t="n">
        <v>0.9</v>
      </c>
      <c r="H976" s="20"/>
      <c r="I976" s="158" t="s">
        <v>745</v>
      </c>
    </row>
    <row r="977" customFormat="false" ht="15" hidden="false" customHeight="true" outlineLevel="0" collapsed="false">
      <c r="A977" s="144" t="n">
        <v>46063</v>
      </c>
      <c r="B977" s="113"/>
      <c r="C977" s="159" t="s">
        <v>679</v>
      </c>
      <c r="D977" s="158" t="s">
        <v>204</v>
      </c>
      <c r="E977" s="147" t="n">
        <v>4</v>
      </c>
      <c r="F977" s="147" t="n">
        <v>1000</v>
      </c>
      <c r="G977" s="160" t="n">
        <v>7.2</v>
      </c>
      <c r="H977" s="20"/>
      <c r="I977" s="158" t="s">
        <v>703</v>
      </c>
    </row>
    <row r="978" customFormat="false" ht="15" hidden="false" customHeight="true" outlineLevel="0" collapsed="false">
      <c r="A978" s="144" t="n">
        <v>46063</v>
      </c>
      <c r="B978" s="113"/>
      <c r="C978" s="159" t="s">
        <v>679</v>
      </c>
      <c r="D978" s="158" t="s">
        <v>204</v>
      </c>
      <c r="E978" s="147" t="n">
        <v>6</v>
      </c>
      <c r="F978" s="147" t="n">
        <v>60</v>
      </c>
      <c r="G978" s="160" t="n">
        <v>5.4</v>
      </c>
      <c r="H978" s="20"/>
      <c r="I978" s="158" t="s">
        <v>770</v>
      </c>
    </row>
    <row r="979" customFormat="false" ht="15" hidden="false" customHeight="true" outlineLevel="0" collapsed="false">
      <c r="A979" s="144" t="n">
        <v>46063</v>
      </c>
      <c r="B979" s="113"/>
      <c r="C979" s="159" t="s">
        <v>679</v>
      </c>
      <c r="D979" s="158" t="s">
        <v>204</v>
      </c>
      <c r="E979" s="147" t="n">
        <v>3</v>
      </c>
      <c r="F979" s="147" t="n">
        <v>60</v>
      </c>
      <c r="G979" s="160" t="n">
        <v>5.4</v>
      </c>
      <c r="H979" s="20"/>
      <c r="I979" s="158" t="s">
        <v>694</v>
      </c>
    </row>
    <row r="980" customFormat="false" ht="15" hidden="false" customHeight="true" outlineLevel="0" collapsed="false">
      <c r="A980" s="144" t="n">
        <v>46063</v>
      </c>
      <c r="B980" s="113"/>
      <c r="C980" s="159" t="s">
        <v>679</v>
      </c>
      <c r="D980" s="158" t="s">
        <v>204</v>
      </c>
      <c r="E980" s="147" t="n">
        <v>26</v>
      </c>
      <c r="F980" s="147" t="n">
        <v>60</v>
      </c>
      <c r="G980" s="160" t="n">
        <v>46.8</v>
      </c>
      <c r="H980" s="20"/>
      <c r="I980" s="158" t="s">
        <v>771</v>
      </c>
    </row>
    <row r="981" customFormat="false" ht="15" hidden="false" customHeight="true" outlineLevel="0" collapsed="false">
      <c r="A981" s="144" t="n">
        <v>46063</v>
      </c>
      <c r="B981" s="113"/>
      <c r="C981" s="159" t="s">
        <v>679</v>
      </c>
      <c r="D981" s="158" t="s">
        <v>204</v>
      </c>
      <c r="E981" s="147" t="n">
        <v>13</v>
      </c>
      <c r="F981" s="147" t="n">
        <v>60</v>
      </c>
      <c r="G981" s="160" t="n">
        <v>46.8</v>
      </c>
      <c r="H981" s="20"/>
      <c r="I981" s="158" t="s">
        <v>742</v>
      </c>
    </row>
    <row r="982" customFormat="false" ht="15" hidden="false" customHeight="true" outlineLevel="0" collapsed="false">
      <c r="A982" s="144" t="n">
        <v>46063</v>
      </c>
      <c r="B982" s="113"/>
      <c r="C982" s="159" t="s">
        <v>679</v>
      </c>
      <c r="D982" s="158" t="s">
        <v>236</v>
      </c>
      <c r="E982" s="147" t="n">
        <v>1</v>
      </c>
      <c r="F982" s="147" t="n">
        <v>60</v>
      </c>
      <c r="G982" s="160" t="n">
        <v>0.3</v>
      </c>
      <c r="H982" s="20"/>
      <c r="I982" s="113" t="s">
        <v>722</v>
      </c>
    </row>
    <row r="983" customFormat="false" ht="15" hidden="false" customHeight="true" outlineLevel="0" collapsed="false">
      <c r="A983" s="144" t="n">
        <v>46063</v>
      </c>
      <c r="B983" s="113"/>
      <c r="C983" s="159" t="s">
        <v>679</v>
      </c>
      <c r="D983" s="158" t="s">
        <v>236</v>
      </c>
      <c r="E983" s="147" t="n">
        <v>1</v>
      </c>
      <c r="F983" s="147" t="n">
        <v>60</v>
      </c>
      <c r="G983" s="160" t="n">
        <v>0.9</v>
      </c>
      <c r="H983" s="20"/>
      <c r="I983" s="158" t="s">
        <v>745</v>
      </c>
    </row>
    <row r="984" customFormat="false" ht="15" hidden="false" customHeight="true" outlineLevel="0" collapsed="false">
      <c r="A984" s="144" t="n">
        <v>46063</v>
      </c>
      <c r="B984" s="113"/>
      <c r="C984" s="159" t="s">
        <v>679</v>
      </c>
      <c r="D984" s="158" t="s">
        <v>236</v>
      </c>
      <c r="E984" s="147" t="n">
        <v>2</v>
      </c>
      <c r="F984" s="147" t="n">
        <v>60</v>
      </c>
      <c r="G984" s="160" t="n">
        <v>7.2</v>
      </c>
      <c r="H984" s="20"/>
      <c r="I984" s="158" t="s">
        <v>772</v>
      </c>
    </row>
    <row r="985" customFormat="false" ht="15" hidden="false" customHeight="true" outlineLevel="0" collapsed="false">
      <c r="A985" s="144" t="n">
        <v>46063</v>
      </c>
      <c r="B985" s="113"/>
      <c r="C985" s="159" t="s">
        <v>679</v>
      </c>
      <c r="D985" s="158" t="s">
        <v>236</v>
      </c>
      <c r="E985" s="147" t="n">
        <v>6</v>
      </c>
      <c r="F985" s="147" t="n">
        <v>60</v>
      </c>
      <c r="G985" s="160" t="n">
        <v>5.4</v>
      </c>
      <c r="H985" s="20"/>
      <c r="I985" s="158" t="s">
        <v>770</v>
      </c>
    </row>
    <row r="986" customFormat="false" ht="15" hidden="false" customHeight="true" outlineLevel="0" collapsed="false">
      <c r="A986" s="144" t="n">
        <v>46063</v>
      </c>
      <c r="B986" s="113"/>
      <c r="C986" s="159" t="s">
        <v>679</v>
      </c>
      <c r="D986" s="158" t="s">
        <v>236</v>
      </c>
      <c r="E986" s="147" t="n">
        <v>26</v>
      </c>
      <c r="F986" s="147" t="n">
        <v>60</v>
      </c>
      <c r="G986" s="160" t="n">
        <v>46.8</v>
      </c>
      <c r="H986" s="20"/>
      <c r="I986" s="158" t="s">
        <v>771</v>
      </c>
    </row>
    <row r="987" customFormat="false" ht="15" hidden="false" customHeight="true" outlineLevel="0" collapsed="false">
      <c r="A987" s="144" t="n">
        <v>46063</v>
      </c>
      <c r="B987" s="113"/>
      <c r="C987" s="159" t="s">
        <v>679</v>
      </c>
      <c r="D987" s="158" t="s">
        <v>206</v>
      </c>
      <c r="E987" s="147" t="n">
        <v>1</v>
      </c>
      <c r="F987" s="147" t="n">
        <v>30</v>
      </c>
      <c r="G987" s="160" t="n">
        <v>1.8</v>
      </c>
      <c r="H987" s="20"/>
      <c r="I987" s="158" t="s">
        <v>696</v>
      </c>
    </row>
    <row r="988" customFormat="false" ht="15" hidden="false" customHeight="true" outlineLevel="0" collapsed="false">
      <c r="A988" s="144" t="n">
        <v>46063</v>
      </c>
      <c r="B988" s="113"/>
      <c r="C988" s="159" t="s">
        <v>679</v>
      </c>
      <c r="D988" s="158" t="s">
        <v>206</v>
      </c>
      <c r="E988" s="147" t="n">
        <v>1</v>
      </c>
      <c r="F988" s="147" t="n">
        <v>30</v>
      </c>
      <c r="G988" s="160" t="n">
        <v>0.9</v>
      </c>
      <c r="H988" s="20"/>
      <c r="I988" s="158" t="s">
        <v>731</v>
      </c>
    </row>
    <row r="989" customFormat="false" ht="15" hidden="false" customHeight="true" outlineLevel="0" collapsed="false">
      <c r="A989" s="144" t="n">
        <v>46063</v>
      </c>
      <c r="B989" s="113"/>
      <c r="C989" s="159" t="s">
        <v>679</v>
      </c>
      <c r="D989" s="158" t="s">
        <v>206</v>
      </c>
      <c r="E989" s="147" t="n">
        <v>1</v>
      </c>
      <c r="F989" s="147" t="n">
        <v>1000</v>
      </c>
      <c r="G989" s="160" t="n">
        <v>1</v>
      </c>
      <c r="H989" s="20"/>
      <c r="I989" s="158" t="s">
        <v>778</v>
      </c>
    </row>
    <row r="990" customFormat="false" ht="15" hidden="false" customHeight="true" outlineLevel="0" collapsed="false">
      <c r="A990" s="144" t="n">
        <v>46063</v>
      </c>
      <c r="B990" s="113"/>
      <c r="C990" s="159" t="s">
        <v>679</v>
      </c>
      <c r="D990" s="158" t="s">
        <v>219</v>
      </c>
      <c r="E990" s="147" t="n">
        <v>16</v>
      </c>
      <c r="F990" s="147" t="n">
        <v>50</v>
      </c>
      <c r="G990" s="160" t="n">
        <v>0.8</v>
      </c>
      <c r="H990" s="20"/>
      <c r="I990" s="158" t="s">
        <v>793</v>
      </c>
    </row>
    <row r="991" customFormat="false" ht="15" hidden="false" customHeight="true" outlineLevel="0" collapsed="false">
      <c r="A991" s="144" t="n">
        <v>46063</v>
      </c>
      <c r="B991" s="113"/>
      <c r="C991" s="159" t="s">
        <v>679</v>
      </c>
      <c r="D991" s="158" t="s">
        <v>220</v>
      </c>
      <c r="E991" s="147" t="n">
        <v>10</v>
      </c>
      <c r="F991" s="147" t="n">
        <v>50</v>
      </c>
      <c r="G991" s="160" t="n">
        <v>0.5</v>
      </c>
      <c r="H991" s="20"/>
      <c r="I991" s="158" t="s">
        <v>681</v>
      </c>
    </row>
    <row r="992" customFormat="false" ht="15" hidden="false" customHeight="true" outlineLevel="0" collapsed="false">
      <c r="A992" s="144" t="n">
        <v>46063</v>
      </c>
      <c r="B992" s="158" t="s">
        <v>732</v>
      </c>
      <c r="C992" s="159" t="s">
        <v>670</v>
      </c>
      <c r="D992" s="158" t="s">
        <v>242</v>
      </c>
      <c r="E992" s="147" t="n">
        <v>949</v>
      </c>
      <c r="F992" s="147" t="n">
        <v>60</v>
      </c>
      <c r="G992" s="160" t="n">
        <v>56.94</v>
      </c>
      <c r="H992" s="20"/>
      <c r="I992" s="158" t="s">
        <v>794</v>
      </c>
    </row>
    <row r="993" customFormat="false" ht="15" hidden="false" customHeight="true" outlineLevel="0" collapsed="false">
      <c r="A993" s="144" t="n">
        <v>46063</v>
      </c>
      <c r="B993" s="158" t="s">
        <v>732</v>
      </c>
      <c r="C993" s="159" t="s">
        <v>670</v>
      </c>
      <c r="D993" s="158" t="s">
        <v>240</v>
      </c>
      <c r="E993" s="147" t="n">
        <v>949</v>
      </c>
      <c r="F993" s="147" t="n">
        <v>60</v>
      </c>
      <c r="G993" s="160" t="n">
        <v>56.94</v>
      </c>
      <c r="H993" s="20"/>
      <c r="I993" s="158" t="s">
        <v>794</v>
      </c>
    </row>
    <row r="994" customFormat="false" ht="15" hidden="false" customHeight="true" outlineLevel="0" collapsed="false">
      <c r="A994" s="144" t="n">
        <v>46063</v>
      </c>
      <c r="B994" s="158" t="s">
        <v>732</v>
      </c>
      <c r="C994" s="159" t="s">
        <v>670</v>
      </c>
      <c r="D994" s="158" t="s">
        <v>241</v>
      </c>
      <c r="E994" s="147" t="n">
        <v>949</v>
      </c>
      <c r="F994" s="147" t="n">
        <v>60</v>
      </c>
      <c r="G994" s="160" t="n">
        <v>56.94</v>
      </c>
      <c r="H994" s="20"/>
      <c r="I994" s="158" t="s">
        <v>794</v>
      </c>
    </row>
    <row r="995" customFormat="false" ht="15" hidden="false" customHeight="true" outlineLevel="0" collapsed="false">
      <c r="A995" s="144" t="n">
        <v>46063</v>
      </c>
      <c r="B995" s="158" t="s">
        <v>732</v>
      </c>
      <c r="C995" s="159" t="s">
        <v>670</v>
      </c>
      <c r="D995" s="158" t="s">
        <v>246</v>
      </c>
      <c r="E995" s="147" t="n">
        <v>949</v>
      </c>
      <c r="F995" s="147" t="n">
        <v>60</v>
      </c>
      <c r="G995" s="160" t="n">
        <v>56.94</v>
      </c>
      <c r="H995" s="20"/>
      <c r="I995" s="158" t="s">
        <v>794</v>
      </c>
    </row>
    <row r="996" customFormat="false" ht="15" hidden="false" customHeight="true" outlineLevel="0" collapsed="false">
      <c r="A996" s="144" t="n">
        <v>46063</v>
      </c>
      <c r="B996" s="158" t="s">
        <v>732</v>
      </c>
      <c r="C996" s="159" t="s">
        <v>670</v>
      </c>
      <c r="D996" s="158" t="s">
        <v>243</v>
      </c>
      <c r="E996" s="147" t="n">
        <v>949</v>
      </c>
      <c r="F996" s="147" t="n">
        <v>60</v>
      </c>
      <c r="G996" s="160" t="n">
        <v>56.94</v>
      </c>
      <c r="H996" s="20"/>
      <c r="I996" s="158" t="s">
        <v>794</v>
      </c>
    </row>
    <row r="997" customFormat="false" ht="15" hidden="false" customHeight="true" outlineLevel="0" collapsed="false">
      <c r="A997" s="144" t="n">
        <v>46063</v>
      </c>
      <c r="B997" s="158" t="s">
        <v>732</v>
      </c>
      <c r="C997" s="159" t="s">
        <v>670</v>
      </c>
      <c r="D997" s="158" t="s">
        <v>244</v>
      </c>
      <c r="E997" s="147" t="n">
        <v>949</v>
      </c>
      <c r="F997" s="147" t="n">
        <v>60</v>
      </c>
      <c r="G997" s="160" t="n">
        <v>56.94</v>
      </c>
      <c r="H997" s="20"/>
      <c r="I997" s="158" t="s">
        <v>794</v>
      </c>
    </row>
    <row r="998" customFormat="false" ht="15" hidden="false" customHeight="true" outlineLevel="0" collapsed="false">
      <c r="A998" s="144" t="n">
        <v>46063</v>
      </c>
      <c r="B998" s="158" t="s">
        <v>753</v>
      </c>
      <c r="C998" s="159" t="s">
        <v>670</v>
      </c>
      <c r="D998" s="158" t="s">
        <v>242</v>
      </c>
      <c r="E998" s="147" t="n">
        <v>150</v>
      </c>
      <c r="F998" s="147" t="n">
        <v>60</v>
      </c>
      <c r="G998" s="160" t="n">
        <v>9</v>
      </c>
      <c r="H998" s="20"/>
      <c r="I998" s="158" t="s">
        <v>786</v>
      </c>
    </row>
    <row r="999" customFormat="false" ht="15" hidden="false" customHeight="true" outlineLevel="0" collapsed="false">
      <c r="A999" s="144" t="n">
        <v>46063</v>
      </c>
      <c r="B999" s="158" t="s">
        <v>753</v>
      </c>
      <c r="C999" s="159" t="s">
        <v>670</v>
      </c>
      <c r="D999" s="158" t="s">
        <v>240</v>
      </c>
      <c r="E999" s="147" t="n">
        <v>125</v>
      </c>
      <c r="F999" s="147" t="n">
        <v>60</v>
      </c>
      <c r="G999" s="160" t="n">
        <v>7.5</v>
      </c>
      <c r="H999" s="20"/>
      <c r="I999" s="158" t="s">
        <v>787</v>
      </c>
    </row>
    <row r="1000" customFormat="false" ht="15" hidden="false" customHeight="true" outlineLevel="0" collapsed="false">
      <c r="A1000" s="144" t="n">
        <v>46063</v>
      </c>
      <c r="B1000" s="158" t="s">
        <v>753</v>
      </c>
      <c r="C1000" s="159" t="s">
        <v>670</v>
      </c>
      <c r="D1000" s="158" t="s">
        <v>241</v>
      </c>
      <c r="E1000" s="147" t="n">
        <v>75</v>
      </c>
      <c r="F1000" s="147" t="n">
        <v>60</v>
      </c>
      <c r="G1000" s="160" t="n">
        <v>4.5</v>
      </c>
      <c r="H1000" s="20"/>
      <c r="I1000" s="158" t="s">
        <v>788</v>
      </c>
    </row>
    <row r="1001" customFormat="false" ht="15" hidden="false" customHeight="true" outlineLevel="0" collapsed="false">
      <c r="A1001" s="144" t="n">
        <v>46063</v>
      </c>
      <c r="B1001" s="158" t="s">
        <v>753</v>
      </c>
      <c r="C1001" s="159" t="s">
        <v>670</v>
      </c>
      <c r="D1001" s="158" t="s">
        <v>243</v>
      </c>
      <c r="E1001" s="147" t="n">
        <v>200</v>
      </c>
      <c r="F1001" s="147" t="n">
        <v>60</v>
      </c>
      <c r="G1001" s="160" t="n">
        <v>12</v>
      </c>
      <c r="H1001" s="20"/>
      <c r="I1001" s="158" t="s">
        <v>790</v>
      </c>
    </row>
    <row r="1002" customFormat="false" ht="15" hidden="false" customHeight="true" outlineLevel="0" collapsed="false">
      <c r="A1002" s="144" t="n">
        <v>46063</v>
      </c>
      <c r="B1002" s="158" t="s">
        <v>753</v>
      </c>
      <c r="C1002" s="159" t="s">
        <v>670</v>
      </c>
      <c r="D1002" s="158" t="s">
        <v>244</v>
      </c>
      <c r="E1002" s="147" t="n">
        <v>150</v>
      </c>
      <c r="F1002" s="147" t="n">
        <v>60</v>
      </c>
      <c r="G1002" s="160" t="n">
        <v>9</v>
      </c>
      <c r="H1002" s="20"/>
      <c r="I1002" s="158" t="s">
        <v>791</v>
      </c>
    </row>
    <row r="1003" customFormat="false" ht="15" hidden="false" customHeight="true" outlineLevel="0" collapsed="false">
      <c r="A1003" s="144" t="n">
        <v>46063</v>
      </c>
      <c r="B1003" s="158" t="s">
        <v>753</v>
      </c>
      <c r="C1003" s="159" t="s">
        <v>670</v>
      </c>
      <c r="D1003" s="158" t="s">
        <v>155</v>
      </c>
      <c r="E1003" s="147" t="n">
        <v>100</v>
      </c>
      <c r="F1003" s="147" t="n">
        <v>80</v>
      </c>
      <c r="G1003" s="160" t="n">
        <v>8</v>
      </c>
      <c r="H1003" s="20"/>
      <c r="I1003" s="113" t="s">
        <v>795</v>
      </c>
    </row>
    <row r="1004" customFormat="false" ht="15" hidden="false" customHeight="true" outlineLevel="0" collapsed="false">
      <c r="A1004" s="144" t="n">
        <v>46064</v>
      </c>
      <c r="B1004" s="113"/>
      <c r="C1004" s="159" t="s">
        <v>679</v>
      </c>
      <c r="D1004" s="113" t="s">
        <v>267</v>
      </c>
      <c r="E1004" s="147" t="n">
        <v>2</v>
      </c>
      <c r="F1004" s="147" t="n">
        <v>60</v>
      </c>
      <c r="G1004" s="160" t="n">
        <v>2.4</v>
      </c>
      <c r="H1004" s="20"/>
      <c r="I1004" s="113" t="s">
        <v>705</v>
      </c>
    </row>
    <row r="1005" customFormat="false" ht="15" hidden="false" customHeight="true" outlineLevel="0" collapsed="false">
      <c r="A1005" s="144" t="n">
        <v>46064</v>
      </c>
      <c r="B1005" s="113"/>
      <c r="C1005" s="159" t="s">
        <v>679</v>
      </c>
      <c r="D1005" s="158" t="s">
        <v>143</v>
      </c>
      <c r="E1005" s="147" t="n">
        <v>2</v>
      </c>
      <c r="F1005" s="147" t="n">
        <v>50</v>
      </c>
      <c r="G1005" s="160" t="n">
        <v>4</v>
      </c>
      <c r="H1005" s="20"/>
      <c r="I1005" s="158" t="s">
        <v>683</v>
      </c>
    </row>
    <row r="1006" customFormat="false" ht="15" hidden="false" customHeight="true" outlineLevel="0" collapsed="false">
      <c r="A1006" s="144" t="n">
        <v>46064</v>
      </c>
      <c r="B1006" s="113"/>
      <c r="C1006" s="159" t="s">
        <v>679</v>
      </c>
      <c r="D1006" s="158" t="s">
        <v>143</v>
      </c>
      <c r="E1006" s="147" t="n">
        <v>4</v>
      </c>
      <c r="F1006" s="147" t="n">
        <v>50</v>
      </c>
      <c r="G1006" s="160" t="n">
        <v>4</v>
      </c>
      <c r="H1006" s="20"/>
      <c r="I1006" s="158" t="s">
        <v>720</v>
      </c>
    </row>
    <row r="1007" customFormat="false" ht="15" hidden="false" customHeight="true" outlineLevel="0" collapsed="false">
      <c r="A1007" s="144" t="n">
        <v>46064</v>
      </c>
      <c r="B1007" s="113"/>
      <c r="C1007" s="159" t="s">
        <v>679</v>
      </c>
      <c r="D1007" s="158" t="s">
        <v>143</v>
      </c>
      <c r="E1007" s="147" t="n">
        <v>10</v>
      </c>
      <c r="F1007" s="147" t="n">
        <v>50</v>
      </c>
      <c r="G1007" s="160" t="n">
        <v>0.5</v>
      </c>
      <c r="H1007" s="20"/>
      <c r="I1007" s="158" t="s">
        <v>741</v>
      </c>
    </row>
    <row r="1008" customFormat="false" ht="15" hidden="false" customHeight="true" outlineLevel="0" collapsed="false">
      <c r="A1008" s="144" t="n">
        <v>46064</v>
      </c>
      <c r="B1008" s="113"/>
      <c r="C1008" s="159" t="s">
        <v>679</v>
      </c>
      <c r="D1008" s="158" t="s">
        <v>144</v>
      </c>
      <c r="E1008" s="147" t="n">
        <v>12</v>
      </c>
      <c r="F1008" s="147" t="n">
        <v>1000</v>
      </c>
      <c r="G1008" s="160" t="n">
        <v>24</v>
      </c>
      <c r="H1008" s="20"/>
      <c r="I1008" s="158" t="s">
        <v>685</v>
      </c>
    </row>
    <row r="1009" customFormat="false" ht="15" hidden="false" customHeight="true" outlineLevel="0" collapsed="false">
      <c r="A1009" s="144" t="n">
        <v>46064</v>
      </c>
      <c r="B1009" s="113"/>
      <c r="C1009" s="159" t="s">
        <v>679</v>
      </c>
      <c r="D1009" s="158" t="s">
        <v>145</v>
      </c>
      <c r="E1009" s="147" t="n">
        <v>10</v>
      </c>
      <c r="F1009" s="147" t="n">
        <v>50</v>
      </c>
      <c r="G1009" s="160" t="n">
        <v>0.5</v>
      </c>
      <c r="H1009" s="20"/>
      <c r="I1009" s="158" t="s">
        <v>741</v>
      </c>
    </row>
    <row r="1010" customFormat="false" ht="15" hidden="false" customHeight="true" outlineLevel="0" collapsed="false">
      <c r="A1010" s="144" t="n">
        <v>46064</v>
      </c>
      <c r="B1010" s="113"/>
      <c r="C1010" s="159" t="s">
        <v>679</v>
      </c>
      <c r="D1010" s="158" t="s">
        <v>147</v>
      </c>
      <c r="E1010" s="147" t="n">
        <v>1</v>
      </c>
      <c r="F1010" s="147" t="n">
        <v>50</v>
      </c>
      <c r="G1010" s="160" t="n">
        <v>1</v>
      </c>
      <c r="H1010" s="20"/>
      <c r="I1010" s="158" t="s">
        <v>700</v>
      </c>
    </row>
    <row r="1011" customFormat="false" ht="15" hidden="false" customHeight="true" outlineLevel="0" collapsed="false">
      <c r="A1011" s="144" t="n">
        <v>46064</v>
      </c>
      <c r="B1011" s="113"/>
      <c r="C1011" s="159" t="s">
        <v>679</v>
      </c>
      <c r="D1011" s="158" t="s">
        <v>148</v>
      </c>
      <c r="E1011" s="147" t="n">
        <v>8</v>
      </c>
      <c r="F1011" s="147" t="n">
        <v>50</v>
      </c>
      <c r="G1011" s="160" t="n">
        <v>0.4</v>
      </c>
      <c r="H1011" s="20"/>
      <c r="I1011" s="158" t="s">
        <v>741</v>
      </c>
    </row>
    <row r="1012" customFormat="false" ht="15" hidden="false" customHeight="true" outlineLevel="0" collapsed="false">
      <c r="A1012" s="144" t="n">
        <v>46064</v>
      </c>
      <c r="B1012" s="113"/>
      <c r="C1012" s="159" t="s">
        <v>679</v>
      </c>
      <c r="D1012" s="158" t="s">
        <v>155</v>
      </c>
      <c r="E1012" s="147" t="n">
        <v>4</v>
      </c>
      <c r="F1012" s="147" t="n">
        <v>80</v>
      </c>
      <c r="G1012" s="160" t="n">
        <v>6.4</v>
      </c>
      <c r="H1012" s="20"/>
      <c r="I1012" s="113" t="s">
        <v>686</v>
      </c>
    </row>
    <row r="1013" customFormat="false" ht="15" hidden="false" customHeight="true" outlineLevel="0" collapsed="false">
      <c r="A1013" s="144" t="n">
        <v>46064</v>
      </c>
      <c r="B1013" s="113"/>
      <c r="C1013" s="159" t="s">
        <v>679</v>
      </c>
      <c r="D1013" s="158" t="s">
        <v>159</v>
      </c>
      <c r="E1013" s="147" t="n">
        <v>8</v>
      </c>
      <c r="F1013" s="147" t="n">
        <v>50</v>
      </c>
      <c r="G1013" s="160" t="n">
        <v>0.4</v>
      </c>
      <c r="H1013" s="20"/>
      <c r="I1013" s="158" t="s">
        <v>741</v>
      </c>
    </row>
    <row r="1014" customFormat="false" ht="15" hidden="false" customHeight="true" outlineLevel="0" collapsed="false">
      <c r="A1014" s="144" t="n">
        <v>46064</v>
      </c>
      <c r="B1014" s="113"/>
      <c r="C1014" s="159" t="s">
        <v>679</v>
      </c>
      <c r="D1014" s="158" t="s">
        <v>174</v>
      </c>
      <c r="E1014" s="147" t="n">
        <v>1</v>
      </c>
      <c r="F1014" s="147" t="n">
        <v>1000</v>
      </c>
      <c r="G1014" s="160" t="n">
        <v>1</v>
      </c>
      <c r="H1014" s="20"/>
      <c r="I1014" s="158" t="s">
        <v>687</v>
      </c>
    </row>
    <row r="1015" customFormat="false" ht="15" hidden="false" customHeight="true" outlineLevel="0" collapsed="false">
      <c r="A1015" s="144" t="n">
        <v>46064</v>
      </c>
      <c r="B1015" s="113"/>
      <c r="C1015" s="159" t="s">
        <v>679</v>
      </c>
      <c r="D1015" s="158" t="s">
        <v>174</v>
      </c>
      <c r="E1015" s="147" t="n">
        <v>2</v>
      </c>
      <c r="F1015" s="147" t="n">
        <v>1000</v>
      </c>
      <c r="G1015" s="160" t="n">
        <v>4</v>
      </c>
      <c r="H1015" s="20"/>
      <c r="I1015" s="158" t="s">
        <v>730</v>
      </c>
    </row>
    <row r="1016" customFormat="false" ht="15" hidden="false" customHeight="true" outlineLevel="0" collapsed="false">
      <c r="A1016" s="144" t="n">
        <v>46064</v>
      </c>
      <c r="B1016" s="113"/>
      <c r="C1016" s="159" t="s">
        <v>679</v>
      </c>
      <c r="D1016" s="158" t="s">
        <v>174</v>
      </c>
      <c r="E1016" s="147" t="n">
        <v>1</v>
      </c>
      <c r="F1016" s="147" t="n">
        <v>1000</v>
      </c>
      <c r="G1016" s="160" t="n">
        <v>1</v>
      </c>
      <c r="H1016" s="20"/>
      <c r="I1016" s="158" t="s">
        <v>745</v>
      </c>
    </row>
    <row r="1017" customFormat="false" ht="15" hidden="false" customHeight="true" outlineLevel="0" collapsed="false">
      <c r="A1017" s="144" t="n">
        <v>46064</v>
      </c>
      <c r="B1017" s="113"/>
      <c r="C1017" s="159" t="s">
        <v>679</v>
      </c>
      <c r="D1017" s="158" t="s">
        <v>181</v>
      </c>
      <c r="E1017" s="147" t="n">
        <v>1</v>
      </c>
      <c r="F1017" s="147" t="n">
        <v>1000</v>
      </c>
      <c r="G1017" s="160" t="n">
        <v>2</v>
      </c>
      <c r="H1017" s="20"/>
      <c r="I1017" s="113" t="s">
        <v>773</v>
      </c>
    </row>
    <row r="1018" customFormat="false" ht="15" hidden="false" customHeight="true" outlineLevel="0" collapsed="false">
      <c r="A1018" s="144" t="n">
        <v>46064</v>
      </c>
      <c r="B1018" s="113"/>
      <c r="C1018" s="159" t="s">
        <v>679</v>
      </c>
      <c r="D1018" s="158" t="s">
        <v>183</v>
      </c>
      <c r="E1018" s="147" t="n">
        <v>10</v>
      </c>
      <c r="F1018" s="147" t="n">
        <v>60</v>
      </c>
      <c r="G1018" s="160" t="n">
        <v>18</v>
      </c>
      <c r="H1018" s="20"/>
      <c r="I1018" s="158" t="s">
        <v>689</v>
      </c>
    </row>
    <row r="1019" customFormat="false" ht="15" hidden="false" customHeight="true" outlineLevel="0" collapsed="false">
      <c r="A1019" s="144" t="n">
        <v>46064</v>
      </c>
      <c r="B1019" s="113"/>
      <c r="C1019" s="159" t="s">
        <v>679</v>
      </c>
      <c r="D1019" s="158" t="s">
        <v>184</v>
      </c>
      <c r="E1019" s="147" t="n">
        <v>1</v>
      </c>
      <c r="F1019" s="147" t="n">
        <v>50</v>
      </c>
      <c r="G1019" s="160" t="n">
        <v>2</v>
      </c>
      <c r="H1019" s="20"/>
      <c r="I1019" s="158" t="s">
        <v>691</v>
      </c>
    </row>
    <row r="1020" customFormat="false" ht="15" hidden="false" customHeight="true" outlineLevel="0" collapsed="false">
      <c r="A1020" s="144" t="n">
        <v>46064</v>
      </c>
      <c r="B1020" s="113"/>
      <c r="C1020" s="159" t="s">
        <v>679</v>
      </c>
      <c r="D1020" s="158" t="s">
        <v>184</v>
      </c>
      <c r="E1020" s="147" t="n">
        <v>4</v>
      </c>
      <c r="F1020" s="147" t="n">
        <v>50</v>
      </c>
      <c r="G1020" s="160" t="n">
        <v>4</v>
      </c>
      <c r="H1020" s="20"/>
      <c r="I1020" s="158" t="s">
        <v>720</v>
      </c>
    </row>
    <row r="1021" customFormat="false" ht="15" hidden="false" customHeight="true" outlineLevel="0" collapsed="false">
      <c r="A1021" s="144" t="n">
        <v>46064</v>
      </c>
      <c r="B1021" s="113"/>
      <c r="C1021" s="159" t="s">
        <v>679</v>
      </c>
      <c r="D1021" s="158" t="s">
        <v>184</v>
      </c>
      <c r="E1021" s="147" t="n">
        <v>10</v>
      </c>
      <c r="F1021" s="147" t="n">
        <v>50</v>
      </c>
      <c r="G1021" s="160" t="n">
        <v>0.5</v>
      </c>
      <c r="H1021" s="20"/>
      <c r="I1021" s="158" t="s">
        <v>741</v>
      </c>
    </row>
    <row r="1022" customFormat="false" ht="15" hidden="false" customHeight="true" outlineLevel="0" collapsed="false">
      <c r="A1022" s="144" t="n">
        <v>46064</v>
      </c>
      <c r="B1022" s="113"/>
      <c r="C1022" s="159" t="s">
        <v>679</v>
      </c>
      <c r="D1022" s="158" t="s">
        <v>186</v>
      </c>
      <c r="E1022" s="147" t="n">
        <v>8</v>
      </c>
      <c r="F1022" s="147" t="n">
        <v>50</v>
      </c>
      <c r="G1022" s="160" t="n">
        <v>0.4</v>
      </c>
      <c r="H1022" s="20"/>
      <c r="I1022" s="158" t="s">
        <v>741</v>
      </c>
    </row>
    <row r="1023" customFormat="false" ht="15" hidden="false" customHeight="true" outlineLevel="0" collapsed="false">
      <c r="A1023" s="144" t="n">
        <v>46064</v>
      </c>
      <c r="B1023" s="113"/>
      <c r="C1023" s="159" t="s">
        <v>679</v>
      </c>
      <c r="D1023" s="158" t="s">
        <v>192</v>
      </c>
      <c r="E1023" s="147" t="n">
        <v>10</v>
      </c>
      <c r="F1023" s="147" t="n">
        <v>50</v>
      </c>
      <c r="G1023" s="160" t="n">
        <v>0.5</v>
      </c>
      <c r="H1023" s="20"/>
      <c r="I1023" s="158" t="s">
        <v>741</v>
      </c>
    </row>
    <row r="1024" customFormat="false" ht="15" hidden="false" customHeight="true" outlineLevel="0" collapsed="false">
      <c r="A1024" s="144" t="n">
        <v>46064</v>
      </c>
      <c r="B1024" s="113"/>
      <c r="C1024" s="159" t="s">
        <v>679</v>
      </c>
      <c r="D1024" s="158" t="s">
        <v>195</v>
      </c>
      <c r="E1024" s="147" t="n">
        <v>8</v>
      </c>
      <c r="F1024" s="147" t="n">
        <v>50</v>
      </c>
      <c r="G1024" s="160" t="n">
        <v>0.4</v>
      </c>
      <c r="H1024" s="20"/>
      <c r="I1024" s="158" t="s">
        <v>741</v>
      </c>
    </row>
    <row r="1025" customFormat="false" ht="15" hidden="false" customHeight="true" outlineLevel="0" collapsed="false">
      <c r="A1025" s="144" t="n">
        <v>46064</v>
      </c>
      <c r="B1025" s="113"/>
      <c r="C1025" s="159" t="s">
        <v>679</v>
      </c>
      <c r="D1025" s="158" t="s">
        <v>222</v>
      </c>
      <c r="E1025" s="147" t="n">
        <v>4</v>
      </c>
      <c r="F1025" s="147" t="n">
        <v>40</v>
      </c>
      <c r="G1025" s="160" t="n">
        <v>3.2</v>
      </c>
      <c r="H1025" s="20"/>
      <c r="I1025" s="158" t="s">
        <v>692</v>
      </c>
    </row>
    <row r="1026" customFormat="false" ht="15" hidden="false" customHeight="true" outlineLevel="0" collapsed="false">
      <c r="A1026" s="144" t="n">
        <v>46064</v>
      </c>
      <c r="B1026" s="113"/>
      <c r="C1026" s="159" t="s">
        <v>679</v>
      </c>
      <c r="D1026" s="158" t="s">
        <v>221</v>
      </c>
      <c r="E1026" s="147" t="n">
        <v>1</v>
      </c>
      <c r="F1026" s="147" t="n">
        <v>40</v>
      </c>
      <c r="G1026" s="160" t="n">
        <v>0.8</v>
      </c>
      <c r="H1026" s="20"/>
      <c r="I1026" s="158" t="s">
        <v>693</v>
      </c>
    </row>
    <row r="1027" customFormat="false" ht="15" hidden="false" customHeight="true" outlineLevel="0" collapsed="false">
      <c r="A1027" s="144" t="n">
        <v>46064</v>
      </c>
      <c r="B1027" s="113"/>
      <c r="C1027" s="159" t="s">
        <v>679</v>
      </c>
      <c r="D1027" s="158" t="s">
        <v>204</v>
      </c>
      <c r="E1027" s="147" t="n">
        <v>1</v>
      </c>
      <c r="F1027" s="147" t="n">
        <v>60</v>
      </c>
      <c r="G1027" s="160" t="n">
        <v>0.9</v>
      </c>
      <c r="H1027" s="20"/>
      <c r="I1027" s="158" t="s">
        <v>745</v>
      </c>
    </row>
    <row r="1028" customFormat="false" ht="15" hidden="false" customHeight="true" outlineLevel="0" collapsed="false">
      <c r="A1028" s="144" t="n">
        <v>46064</v>
      </c>
      <c r="B1028" s="113"/>
      <c r="C1028" s="159" t="s">
        <v>679</v>
      </c>
      <c r="D1028" s="158" t="s">
        <v>204</v>
      </c>
      <c r="E1028" s="147" t="n">
        <v>20</v>
      </c>
      <c r="F1028" s="147" t="n">
        <v>1000</v>
      </c>
      <c r="G1028" s="160" t="n">
        <v>36</v>
      </c>
      <c r="H1028" s="20"/>
      <c r="I1028" s="158" t="s">
        <v>703</v>
      </c>
    </row>
    <row r="1029" customFormat="false" ht="15" hidden="false" customHeight="true" outlineLevel="0" collapsed="false">
      <c r="A1029" s="144" t="n">
        <v>46064</v>
      </c>
      <c r="B1029" s="113"/>
      <c r="C1029" s="159" t="s">
        <v>679</v>
      </c>
      <c r="D1029" s="158" t="s">
        <v>204</v>
      </c>
      <c r="E1029" s="147" t="n">
        <v>28</v>
      </c>
      <c r="F1029" s="147" t="n">
        <v>60</v>
      </c>
      <c r="G1029" s="160" t="n">
        <v>50.4</v>
      </c>
      <c r="H1029" s="20"/>
      <c r="I1029" s="158" t="s">
        <v>771</v>
      </c>
    </row>
    <row r="1030" customFormat="false" ht="15" hidden="false" customHeight="true" outlineLevel="0" collapsed="false">
      <c r="A1030" s="144" t="n">
        <v>46064</v>
      </c>
      <c r="B1030" s="113"/>
      <c r="C1030" s="159" t="s">
        <v>679</v>
      </c>
      <c r="D1030" s="158" t="s">
        <v>204</v>
      </c>
      <c r="E1030" s="147" t="n">
        <v>14</v>
      </c>
      <c r="F1030" s="147" t="n">
        <v>60</v>
      </c>
      <c r="G1030" s="160" t="n">
        <v>50.4</v>
      </c>
      <c r="H1030" s="20"/>
      <c r="I1030" s="158" t="s">
        <v>742</v>
      </c>
    </row>
    <row r="1031" customFormat="false" ht="15" hidden="false" customHeight="true" outlineLevel="0" collapsed="false">
      <c r="A1031" s="144" t="n">
        <v>46064</v>
      </c>
      <c r="B1031" s="113"/>
      <c r="C1031" s="159" t="s">
        <v>679</v>
      </c>
      <c r="D1031" s="158" t="s">
        <v>236</v>
      </c>
      <c r="E1031" s="147" t="n">
        <v>1</v>
      </c>
      <c r="F1031" s="147" t="n">
        <v>60</v>
      </c>
      <c r="G1031" s="160" t="n">
        <v>0.9</v>
      </c>
      <c r="H1031" s="20"/>
      <c r="I1031" s="158" t="s">
        <v>745</v>
      </c>
    </row>
    <row r="1032" customFormat="false" ht="15" hidden="false" customHeight="true" outlineLevel="0" collapsed="false">
      <c r="A1032" s="144" t="n">
        <v>46064</v>
      </c>
      <c r="B1032" s="113"/>
      <c r="C1032" s="159" t="s">
        <v>679</v>
      </c>
      <c r="D1032" s="158" t="s">
        <v>236</v>
      </c>
      <c r="E1032" s="147" t="n">
        <v>1</v>
      </c>
      <c r="F1032" s="147" t="n">
        <v>60</v>
      </c>
      <c r="G1032" s="160" t="n">
        <v>1.8</v>
      </c>
      <c r="H1032" s="20"/>
      <c r="I1032" s="158" t="s">
        <v>695</v>
      </c>
    </row>
    <row r="1033" customFormat="false" ht="15" hidden="false" customHeight="true" outlineLevel="0" collapsed="false">
      <c r="A1033" s="144" t="n">
        <v>46064</v>
      </c>
      <c r="B1033" s="113"/>
      <c r="C1033" s="159" t="s">
        <v>679</v>
      </c>
      <c r="D1033" s="158" t="s">
        <v>236</v>
      </c>
      <c r="E1033" s="147" t="n">
        <v>2</v>
      </c>
      <c r="F1033" s="147" t="n">
        <v>60</v>
      </c>
      <c r="G1033" s="160" t="n">
        <v>7.2</v>
      </c>
      <c r="H1033" s="20"/>
      <c r="I1033" s="158" t="s">
        <v>772</v>
      </c>
    </row>
    <row r="1034" customFormat="false" ht="15" hidden="false" customHeight="true" outlineLevel="0" collapsed="false">
      <c r="A1034" s="144" t="n">
        <v>46064</v>
      </c>
      <c r="B1034" s="113"/>
      <c r="C1034" s="159" t="s">
        <v>679</v>
      </c>
      <c r="D1034" s="158" t="s">
        <v>236</v>
      </c>
      <c r="E1034" s="147" t="n">
        <v>28</v>
      </c>
      <c r="F1034" s="147" t="n">
        <v>60</v>
      </c>
      <c r="G1034" s="160" t="n">
        <v>50.4</v>
      </c>
      <c r="H1034" s="20"/>
      <c r="I1034" s="158" t="s">
        <v>771</v>
      </c>
    </row>
    <row r="1035" customFormat="false" ht="15" hidden="false" customHeight="true" outlineLevel="0" collapsed="false">
      <c r="A1035" s="144" t="n">
        <v>46064</v>
      </c>
      <c r="B1035" s="113"/>
      <c r="C1035" s="159" t="s">
        <v>679</v>
      </c>
      <c r="D1035" s="158" t="s">
        <v>206</v>
      </c>
      <c r="E1035" s="147" t="n">
        <v>2</v>
      </c>
      <c r="F1035" s="147" t="n">
        <v>30</v>
      </c>
      <c r="G1035" s="160" t="n">
        <v>1.8</v>
      </c>
      <c r="H1035" s="20"/>
      <c r="I1035" s="158" t="s">
        <v>731</v>
      </c>
    </row>
    <row r="1036" customFormat="false" ht="15" hidden="false" customHeight="true" outlineLevel="0" collapsed="false">
      <c r="A1036" s="144" t="n">
        <v>46064</v>
      </c>
      <c r="B1036" s="113"/>
      <c r="C1036" s="159" t="s">
        <v>679</v>
      </c>
      <c r="D1036" s="158" t="s">
        <v>206</v>
      </c>
      <c r="E1036" s="147" t="n">
        <v>1</v>
      </c>
      <c r="F1036" s="147" t="n">
        <v>40</v>
      </c>
      <c r="G1036" s="160" t="n">
        <v>0.8</v>
      </c>
      <c r="H1036" s="20"/>
      <c r="I1036" s="158" t="s">
        <v>723</v>
      </c>
    </row>
    <row r="1037" customFormat="false" ht="15" hidden="false" customHeight="true" outlineLevel="0" collapsed="false">
      <c r="A1037" s="144" t="n">
        <v>46064</v>
      </c>
      <c r="B1037" s="113"/>
      <c r="C1037" s="159" t="s">
        <v>679</v>
      </c>
      <c r="D1037" s="158" t="s">
        <v>207</v>
      </c>
      <c r="E1037" s="147" t="n">
        <v>1</v>
      </c>
      <c r="F1037" s="147" t="n">
        <v>1000</v>
      </c>
      <c r="G1037" s="160" t="n">
        <v>2</v>
      </c>
      <c r="H1037" s="20"/>
      <c r="I1037" s="158" t="s">
        <v>710</v>
      </c>
    </row>
    <row r="1038" customFormat="false" ht="15" hidden="false" customHeight="true" outlineLevel="0" collapsed="false">
      <c r="A1038" s="144" t="n">
        <v>46064</v>
      </c>
      <c r="B1038" s="113"/>
      <c r="C1038" s="159" t="s">
        <v>679</v>
      </c>
      <c r="D1038" s="158" t="s">
        <v>219</v>
      </c>
      <c r="E1038" s="147" t="n">
        <v>8</v>
      </c>
      <c r="F1038" s="147" t="n">
        <v>50</v>
      </c>
      <c r="G1038" s="160" t="n">
        <v>0.4</v>
      </c>
      <c r="H1038" s="20"/>
      <c r="I1038" s="158" t="s">
        <v>741</v>
      </c>
    </row>
    <row r="1039" customFormat="false" ht="15" hidden="false" customHeight="true" outlineLevel="0" collapsed="false">
      <c r="A1039" s="144" t="n">
        <v>46065</v>
      </c>
      <c r="B1039" s="113"/>
      <c r="C1039" s="159" t="s">
        <v>679</v>
      </c>
      <c r="D1039" s="113" t="s">
        <v>267</v>
      </c>
      <c r="E1039" s="147" t="n">
        <v>1</v>
      </c>
      <c r="F1039" s="147" t="n">
        <v>60</v>
      </c>
      <c r="G1039" s="160" t="n">
        <v>1.2</v>
      </c>
      <c r="H1039" s="20"/>
      <c r="I1039" s="113" t="s">
        <v>705</v>
      </c>
    </row>
    <row r="1040" customFormat="false" ht="15" hidden="false" customHeight="true" outlineLevel="0" collapsed="false">
      <c r="A1040" s="144" t="n">
        <v>46065</v>
      </c>
      <c r="B1040" s="113"/>
      <c r="C1040" s="159" t="s">
        <v>679</v>
      </c>
      <c r="D1040" s="158" t="s">
        <v>143</v>
      </c>
      <c r="E1040" s="147" t="n">
        <v>1</v>
      </c>
      <c r="F1040" s="147" t="n">
        <v>50</v>
      </c>
      <c r="G1040" s="160" t="n">
        <v>1</v>
      </c>
      <c r="H1040" s="20"/>
      <c r="I1040" s="158" t="s">
        <v>682</v>
      </c>
    </row>
    <row r="1041" customFormat="false" ht="15" hidden="false" customHeight="true" outlineLevel="0" collapsed="false">
      <c r="A1041" s="144" t="n">
        <v>46065</v>
      </c>
      <c r="B1041" s="113"/>
      <c r="C1041" s="159" t="s">
        <v>679</v>
      </c>
      <c r="D1041" s="158" t="s">
        <v>143</v>
      </c>
      <c r="E1041" s="147" t="n">
        <v>2</v>
      </c>
      <c r="F1041" s="147" t="n">
        <v>50</v>
      </c>
      <c r="G1041" s="160" t="n">
        <v>0.5</v>
      </c>
      <c r="H1041" s="20"/>
      <c r="I1041" s="158" t="s">
        <v>765</v>
      </c>
    </row>
    <row r="1042" customFormat="false" ht="15" hidden="false" customHeight="true" outlineLevel="0" collapsed="false">
      <c r="A1042" s="144" t="n">
        <v>46065</v>
      </c>
      <c r="B1042" s="113"/>
      <c r="C1042" s="159" t="s">
        <v>679</v>
      </c>
      <c r="D1042" s="158" t="s">
        <v>143</v>
      </c>
      <c r="E1042" s="147" t="n">
        <v>4</v>
      </c>
      <c r="F1042" s="147" t="n">
        <v>50</v>
      </c>
      <c r="G1042" s="160" t="n">
        <v>4</v>
      </c>
      <c r="H1042" s="20"/>
      <c r="I1042" s="158" t="s">
        <v>720</v>
      </c>
    </row>
    <row r="1043" customFormat="false" ht="15" hidden="false" customHeight="true" outlineLevel="0" collapsed="false">
      <c r="A1043" s="144" t="n">
        <v>46065</v>
      </c>
      <c r="B1043" s="113"/>
      <c r="C1043" s="159" t="s">
        <v>679</v>
      </c>
      <c r="D1043" s="158" t="s">
        <v>144</v>
      </c>
      <c r="E1043" s="147" t="n">
        <v>1</v>
      </c>
      <c r="F1043" s="147" t="n">
        <v>1000</v>
      </c>
      <c r="G1043" s="160" t="n">
        <v>1</v>
      </c>
      <c r="H1043" s="20"/>
      <c r="I1043" s="158" t="s">
        <v>699</v>
      </c>
    </row>
    <row r="1044" customFormat="false" ht="15" hidden="false" customHeight="true" outlineLevel="0" collapsed="false">
      <c r="A1044" s="144" t="n">
        <v>46065</v>
      </c>
      <c r="B1044" s="113"/>
      <c r="C1044" s="159" t="s">
        <v>679</v>
      </c>
      <c r="D1044" s="158" t="s">
        <v>144</v>
      </c>
      <c r="E1044" s="147" t="n">
        <v>7</v>
      </c>
      <c r="F1044" s="147" t="n">
        <v>1000</v>
      </c>
      <c r="G1044" s="160" t="n">
        <v>14</v>
      </c>
      <c r="H1044" s="20"/>
      <c r="I1044" s="158" t="s">
        <v>685</v>
      </c>
    </row>
    <row r="1045" customFormat="false" ht="15" hidden="false" customHeight="true" outlineLevel="0" collapsed="false">
      <c r="A1045" s="144" t="n">
        <v>46065</v>
      </c>
      <c r="B1045" s="113"/>
      <c r="C1045" s="159" t="s">
        <v>679</v>
      </c>
      <c r="D1045" s="158" t="s">
        <v>147</v>
      </c>
      <c r="E1045" s="147" t="n">
        <v>1</v>
      </c>
      <c r="F1045" s="147" t="n">
        <v>50</v>
      </c>
      <c r="G1045" s="160" t="n">
        <v>1</v>
      </c>
      <c r="H1045" s="20"/>
      <c r="I1045" s="158" t="s">
        <v>700</v>
      </c>
    </row>
    <row r="1046" customFormat="false" ht="15" hidden="false" customHeight="true" outlineLevel="0" collapsed="false">
      <c r="A1046" s="144" t="n">
        <v>46065</v>
      </c>
      <c r="B1046" s="113"/>
      <c r="C1046" s="159" t="s">
        <v>679</v>
      </c>
      <c r="D1046" s="158" t="s">
        <v>155</v>
      </c>
      <c r="E1046" s="147" t="n">
        <v>2</v>
      </c>
      <c r="F1046" s="147" t="n">
        <v>80</v>
      </c>
      <c r="G1046" s="160" t="n">
        <v>2.4</v>
      </c>
      <c r="H1046" s="20"/>
      <c r="I1046" s="113" t="s">
        <v>767</v>
      </c>
    </row>
    <row r="1047" customFormat="false" ht="15" hidden="false" customHeight="true" outlineLevel="0" collapsed="false">
      <c r="A1047" s="144" t="n">
        <v>46065</v>
      </c>
      <c r="B1047" s="113"/>
      <c r="C1047" s="159" t="s">
        <v>679</v>
      </c>
      <c r="D1047" s="158" t="s">
        <v>155</v>
      </c>
      <c r="E1047" s="147" t="n">
        <v>1</v>
      </c>
      <c r="F1047" s="147" t="n">
        <v>80</v>
      </c>
      <c r="G1047" s="160" t="n">
        <v>1.6</v>
      </c>
      <c r="H1047" s="20"/>
      <c r="I1047" s="113" t="s">
        <v>686</v>
      </c>
    </row>
    <row r="1048" customFormat="false" ht="15" hidden="false" customHeight="true" outlineLevel="0" collapsed="false">
      <c r="A1048" s="144" t="n">
        <v>46065</v>
      </c>
      <c r="B1048" s="113"/>
      <c r="C1048" s="159" t="s">
        <v>679</v>
      </c>
      <c r="D1048" s="158" t="s">
        <v>155</v>
      </c>
      <c r="E1048" s="147" t="n">
        <v>5</v>
      </c>
      <c r="F1048" s="147" t="n">
        <v>80</v>
      </c>
      <c r="G1048" s="160" t="n">
        <v>8</v>
      </c>
      <c r="H1048" s="20"/>
      <c r="I1048" s="158" t="s">
        <v>769</v>
      </c>
    </row>
    <row r="1049" customFormat="false" ht="15" hidden="false" customHeight="true" outlineLevel="0" collapsed="false">
      <c r="A1049" s="144" t="n">
        <v>46065</v>
      </c>
      <c r="B1049" s="113"/>
      <c r="C1049" s="159" t="s">
        <v>679</v>
      </c>
      <c r="D1049" s="158" t="s">
        <v>173</v>
      </c>
      <c r="E1049" s="147" t="n">
        <v>2</v>
      </c>
      <c r="F1049" s="147" t="n">
        <v>50</v>
      </c>
      <c r="G1049" s="160" t="n">
        <v>0.5</v>
      </c>
      <c r="H1049" s="20"/>
      <c r="I1049" s="158" t="s">
        <v>765</v>
      </c>
    </row>
    <row r="1050" customFormat="false" ht="15" hidden="false" customHeight="true" outlineLevel="0" collapsed="false">
      <c r="A1050" s="144" t="n">
        <v>46065</v>
      </c>
      <c r="B1050" s="113"/>
      <c r="C1050" s="159" t="s">
        <v>679</v>
      </c>
      <c r="D1050" s="158" t="s">
        <v>174</v>
      </c>
      <c r="E1050" s="147" t="n">
        <v>11</v>
      </c>
      <c r="F1050" s="147" t="n">
        <v>1000</v>
      </c>
      <c r="G1050" s="160" t="n">
        <v>22</v>
      </c>
      <c r="H1050" s="20"/>
      <c r="I1050" s="158" t="s">
        <v>730</v>
      </c>
    </row>
    <row r="1051" customFormat="false" ht="15" hidden="false" customHeight="true" outlineLevel="0" collapsed="false">
      <c r="A1051" s="144" t="n">
        <v>46065</v>
      </c>
      <c r="B1051" s="113"/>
      <c r="C1051" s="159" t="s">
        <v>679</v>
      </c>
      <c r="D1051" s="158" t="s">
        <v>181</v>
      </c>
      <c r="E1051" s="147" t="n">
        <v>1</v>
      </c>
      <c r="F1051" s="147" t="n">
        <v>1000</v>
      </c>
      <c r="G1051" s="160" t="n">
        <v>2</v>
      </c>
      <c r="H1051" s="20"/>
      <c r="I1051" s="113" t="s">
        <v>773</v>
      </c>
    </row>
    <row r="1052" customFormat="false" ht="15" hidden="false" customHeight="true" outlineLevel="0" collapsed="false">
      <c r="A1052" s="144" t="n">
        <v>46065</v>
      </c>
      <c r="B1052" s="113"/>
      <c r="C1052" s="159" t="s">
        <v>679</v>
      </c>
      <c r="D1052" s="158" t="s">
        <v>183</v>
      </c>
      <c r="E1052" s="147" t="n">
        <v>2</v>
      </c>
      <c r="F1052" s="147" t="n">
        <v>60</v>
      </c>
      <c r="G1052" s="160" t="n">
        <v>3.6</v>
      </c>
      <c r="H1052" s="20"/>
      <c r="I1052" s="158" t="s">
        <v>689</v>
      </c>
    </row>
    <row r="1053" customFormat="false" ht="15" hidden="false" customHeight="true" outlineLevel="0" collapsed="false">
      <c r="A1053" s="144" t="n">
        <v>46065</v>
      </c>
      <c r="B1053" s="113"/>
      <c r="C1053" s="159" t="s">
        <v>679</v>
      </c>
      <c r="D1053" s="158" t="s">
        <v>184</v>
      </c>
      <c r="E1053" s="147" t="n">
        <v>4</v>
      </c>
      <c r="F1053" s="147" t="n">
        <v>50</v>
      </c>
      <c r="G1053" s="160" t="n">
        <v>4</v>
      </c>
      <c r="H1053" s="20"/>
      <c r="I1053" s="158" t="s">
        <v>720</v>
      </c>
    </row>
    <row r="1054" customFormat="false" ht="15" hidden="false" customHeight="true" outlineLevel="0" collapsed="false">
      <c r="A1054" s="144" t="n">
        <v>46065</v>
      </c>
      <c r="B1054" s="113"/>
      <c r="C1054" s="159" t="s">
        <v>679</v>
      </c>
      <c r="D1054" s="158" t="s">
        <v>222</v>
      </c>
      <c r="E1054" s="147" t="n">
        <v>3</v>
      </c>
      <c r="F1054" s="147" t="n">
        <v>40</v>
      </c>
      <c r="G1054" s="160" t="n">
        <v>2.4</v>
      </c>
      <c r="H1054" s="20"/>
      <c r="I1054" s="158" t="s">
        <v>692</v>
      </c>
    </row>
    <row r="1055" customFormat="false" ht="15" hidden="false" customHeight="true" outlineLevel="0" collapsed="false">
      <c r="A1055" s="144" t="n">
        <v>46065</v>
      </c>
      <c r="B1055" s="113"/>
      <c r="C1055" s="159" t="s">
        <v>679</v>
      </c>
      <c r="D1055" s="158" t="s">
        <v>204</v>
      </c>
      <c r="E1055" s="147" t="n">
        <v>5</v>
      </c>
      <c r="F1055" s="147" t="n">
        <v>60</v>
      </c>
      <c r="G1055" s="160" t="n">
        <v>9</v>
      </c>
      <c r="H1055" s="20"/>
      <c r="I1055" s="158" t="s">
        <v>694</v>
      </c>
    </row>
    <row r="1056" customFormat="false" ht="15" hidden="false" customHeight="true" outlineLevel="0" collapsed="false">
      <c r="A1056" s="144" t="n">
        <v>46065</v>
      </c>
      <c r="B1056" s="113"/>
      <c r="C1056" s="159" t="s">
        <v>679</v>
      </c>
      <c r="D1056" s="158" t="s">
        <v>204</v>
      </c>
      <c r="E1056" s="147" t="n">
        <v>14</v>
      </c>
      <c r="F1056" s="147" t="n">
        <v>60</v>
      </c>
      <c r="G1056" s="160" t="n">
        <v>25.2</v>
      </c>
      <c r="H1056" s="20"/>
      <c r="I1056" s="158" t="s">
        <v>771</v>
      </c>
    </row>
    <row r="1057" customFormat="false" ht="15" hidden="false" customHeight="true" outlineLevel="0" collapsed="false">
      <c r="A1057" s="144" t="n">
        <v>46065</v>
      </c>
      <c r="B1057" s="113"/>
      <c r="C1057" s="159" t="s">
        <v>679</v>
      </c>
      <c r="D1057" s="158" t="s">
        <v>204</v>
      </c>
      <c r="E1057" s="147" t="n">
        <v>19</v>
      </c>
      <c r="F1057" s="147" t="n">
        <v>60</v>
      </c>
      <c r="G1057" s="160" t="n">
        <v>68.4</v>
      </c>
      <c r="H1057" s="20"/>
      <c r="I1057" s="158" t="s">
        <v>742</v>
      </c>
    </row>
    <row r="1058" customFormat="false" ht="15" hidden="false" customHeight="true" outlineLevel="0" collapsed="false">
      <c r="A1058" s="144" t="n">
        <v>46065</v>
      </c>
      <c r="B1058" s="113"/>
      <c r="C1058" s="159" t="s">
        <v>679</v>
      </c>
      <c r="D1058" s="158" t="s">
        <v>236</v>
      </c>
      <c r="E1058" s="147" t="n">
        <v>2</v>
      </c>
      <c r="F1058" s="147" t="n">
        <v>60</v>
      </c>
      <c r="G1058" s="160" t="n">
        <v>7.2</v>
      </c>
      <c r="H1058" s="20"/>
      <c r="I1058" s="158" t="s">
        <v>772</v>
      </c>
    </row>
    <row r="1059" customFormat="false" ht="15" hidden="false" customHeight="true" outlineLevel="0" collapsed="false">
      <c r="A1059" s="144" t="n">
        <v>46065</v>
      </c>
      <c r="B1059" s="113"/>
      <c r="C1059" s="159" t="s">
        <v>679</v>
      </c>
      <c r="D1059" s="158" t="s">
        <v>236</v>
      </c>
      <c r="E1059" s="147" t="n">
        <v>14</v>
      </c>
      <c r="F1059" s="147" t="n">
        <v>60</v>
      </c>
      <c r="G1059" s="160" t="n">
        <v>25.2</v>
      </c>
      <c r="H1059" s="20"/>
      <c r="I1059" s="158" t="s">
        <v>771</v>
      </c>
    </row>
    <row r="1060" customFormat="false" ht="15" hidden="false" customHeight="true" outlineLevel="0" collapsed="false">
      <c r="A1060" s="144" t="n">
        <v>46065</v>
      </c>
      <c r="B1060" s="113"/>
      <c r="C1060" s="159" t="s">
        <v>679</v>
      </c>
      <c r="D1060" s="158" t="s">
        <v>212</v>
      </c>
      <c r="E1060" s="147" t="n">
        <v>2</v>
      </c>
      <c r="F1060" s="147" t="n">
        <v>50</v>
      </c>
      <c r="G1060" s="160" t="n">
        <v>0.5</v>
      </c>
      <c r="H1060" s="20"/>
      <c r="I1060" s="158" t="s">
        <v>765</v>
      </c>
    </row>
    <row r="1061" customFormat="false" ht="15" hidden="false" customHeight="true" outlineLevel="0" collapsed="false">
      <c r="A1061" s="144" t="n">
        <v>46065</v>
      </c>
      <c r="B1061" s="158" t="s">
        <v>781</v>
      </c>
      <c r="C1061" s="159" t="s">
        <v>670</v>
      </c>
      <c r="D1061" s="158" t="s">
        <v>143</v>
      </c>
      <c r="E1061" s="147" t="n">
        <v>1</v>
      </c>
      <c r="F1061" s="147" t="n">
        <v>185800</v>
      </c>
      <c r="G1061" s="160" t="n">
        <v>185.8</v>
      </c>
      <c r="H1061" s="20"/>
      <c r="I1061" s="113"/>
    </row>
    <row r="1062" customFormat="false" ht="15" hidden="false" customHeight="true" outlineLevel="0" collapsed="false">
      <c r="A1062" s="144" t="n">
        <v>46065</v>
      </c>
      <c r="B1062" s="158" t="s">
        <v>781</v>
      </c>
      <c r="C1062" s="159" t="s">
        <v>670</v>
      </c>
      <c r="D1062" s="158" t="s">
        <v>169</v>
      </c>
      <c r="E1062" s="147" t="n">
        <v>1</v>
      </c>
      <c r="F1062" s="147" t="n">
        <v>300000</v>
      </c>
      <c r="G1062" s="160" t="n">
        <v>300</v>
      </c>
      <c r="H1062" s="20"/>
      <c r="I1062" s="113"/>
    </row>
    <row r="1063" customFormat="false" ht="15" hidden="false" customHeight="true" outlineLevel="0" collapsed="false">
      <c r="A1063" s="144" t="n">
        <v>46065</v>
      </c>
      <c r="B1063" s="158" t="s">
        <v>781</v>
      </c>
      <c r="C1063" s="159" t="s">
        <v>670</v>
      </c>
      <c r="D1063" s="158" t="s">
        <v>184</v>
      </c>
      <c r="E1063" s="147" t="n">
        <v>1</v>
      </c>
      <c r="F1063" s="147" t="n">
        <v>179800</v>
      </c>
      <c r="G1063" s="160" t="n">
        <v>179.8</v>
      </c>
      <c r="H1063" s="20"/>
      <c r="I1063" s="113"/>
    </row>
    <row r="1064" customFormat="false" ht="15" hidden="false" customHeight="true" outlineLevel="0" collapsed="false">
      <c r="A1064" s="144" t="n">
        <v>46065</v>
      </c>
      <c r="B1064" s="158" t="s">
        <v>743</v>
      </c>
      <c r="C1064" s="159" t="s">
        <v>670</v>
      </c>
      <c r="D1064" s="158" t="s">
        <v>191</v>
      </c>
      <c r="E1064" s="147" t="n">
        <v>240</v>
      </c>
      <c r="F1064" s="147" t="n">
        <v>9600</v>
      </c>
      <c r="G1064" s="160" t="n">
        <v>2304</v>
      </c>
      <c r="H1064" s="20"/>
      <c r="I1064" s="113" t="s">
        <v>796</v>
      </c>
    </row>
    <row r="1065" customFormat="false" ht="15" hidden="false" customHeight="true" outlineLevel="0" collapsed="false">
      <c r="A1065" s="144" t="n">
        <v>46065</v>
      </c>
      <c r="B1065" s="158" t="s">
        <v>732</v>
      </c>
      <c r="C1065" s="159" t="s">
        <v>670</v>
      </c>
      <c r="D1065" s="158" t="s">
        <v>242</v>
      </c>
      <c r="E1065" s="147" t="n">
        <v>3</v>
      </c>
      <c r="F1065" s="147" t="n">
        <v>360</v>
      </c>
      <c r="G1065" s="160" t="n">
        <v>1.08</v>
      </c>
      <c r="H1065" s="20"/>
      <c r="I1065" s="158" t="s">
        <v>733</v>
      </c>
    </row>
    <row r="1066" customFormat="false" ht="15" hidden="false" customHeight="true" outlineLevel="0" collapsed="false">
      <c r="A1066" s="144" t="n">
        <v>46065</v>
      </c>
      <c r="B1066" s="158" t="s">
        <v>732</v>
      </c>
      <c r="C1066" s="159" t="s">
        <v>670</v>
      </c>
      <c r="D1066" s="158" t="s">
        <v>241</v>
      </c>
      <c r="E1066" s="147" t="n">
        <v>2</v>
      </c>
      <c r="F1066" s="147" t="n">
        <v>360</v>
      </c>
      <c r="G1066" s="160" t="n">
        <v>0.72</v>
      </c>
      <c r="H1066" s="20"/>
      <c r="I1066" s="158" t="s">
        <v>735</v>
      </c>
    </row>
    <row r="1067" customFormat="false" ht="15" hidden="false" customHeight="true" outlineLevel="0" collapsed="false">
      <c r="A1067" s="144" t="n">
        <v>46065</v>
      </c>
      <c r="B1067" s="158" t="s">
        <v>732</v>
      </c>
      <c r="C1067" s="159" t="s">
        <v>670</v>
      </c>
      <c r="D1067" s="158" t="s">
        <v>243</v>
      </c>
      <c r="E1067" s="147" t="n">
        <v>6</v>
      </c>
      <c r="F1067" s="147" t="n">
        <v>360</v>
      </c>
      <c r="G1067" s="160" t="n">
        <v>2.16</v>
      </c>
      <c r="H1067" s="20"/>
      <c r="I1067" s="158" t="s">
        <v>737</v>
      </c>
    </row>
    <row r="1068" customFormat="false" ht="15" hidden="false" customHeight="true" outlineLevel="0" collapsed="false">
      <c r="A1068" s="144" t="n">
        <v>46065</v>
      </c>
      <c r="B1068" s="158" t="s">
        <v>732</v>
      </c>
      <c r="C1068" s="159" t="s">
        <v>670</v>
      </c>
      <c r="D1068" s="158" t="s">
        <v>244</v>
      </c>
      <c r="E1068" s="147" t="n">
        <v>4</v>
      </c>
      <c r="F1068" s="147" t="n">
        <v>360</v>
      </c>
      <c r="G1068" s="160" t="n">
        <v>1.44</v>
      </c>
      <c r="H1068" s="20"/>
      <c r="I1068" s="158" t="s">
        <v>738</v>
      </c>
    </row>
    <row r="1069" customFormat="false" ht="15" hidden="false" customHeight="true" outlineLevel="0" collapsed="false">
      <c r="A1069" s="144" t="n">
        <v>46065</v>
      </c>
      <c r="B1069" s="158" t="s">
        <v>753</v>
      </c>
      <c r="C1069" s="159" t="s">
        <v>670</v>
      </c>
      <c r="D1069" s="158" t="s">
        <v>242</v>
      </c>
      <c r="E1069" s="147" t="n">
        <v>250</v>
      </c>
      <c r="F1069" s="147" t="n">
        <v>60</v>
      </c>
      <c r="G1069" s="160" t="n">
        <v>15</v>
      </c>
      <c r="H1069" s="20"/>
      <c r="I1069" s="158" t="s">
        <v>786</v>
      </c>
    </row>
    <row r="1070" customFormat="false" ht="15" hidden="false" customHeight="true" outlineLevel="0" collapsed="false">
      <c r="A1070" s="144" t="n">
        <v>46065</v>
      </c>
      <c r="B1070" s="158" t="s">
        <v>753</v>
      </c>
      <c r="C1070" s="159" t="s">
        <v>670</v>
      </c>
      <c r="D1070" s="158" t="s">
        <v>240</v>
      </c>
      <c r="E1070" s="147" t="n">
        <v>150</v>
      </c>
      <c r="F1070" s="147" t="n">
        <v>60</v>
      </c>
      <c r="G1070" s="160" t="n">
        <v>9</v>
      </c>
      <c r="H1070" s="20"/>
      <c r="I1070" s="158" t="s">
        <v>787</v>
      </c>
    </row>
    <row r="1071" customFormat="false" ht="15" hidden="false" customHeight="true" outlineLevel="0" collapsed="false">
      <c r="A1071" s="144" t="n">
        <v>46065</v>
      </c>
      <c r="B1071" s="158" t="s">
        <v>753</v>
      </c>
      <c r="C1071" s="159" t="s">
        <v>670</v>
      </c>
      <c r="D1071" s="158" t="s">
        <v>241</v>
      </c>
      <c r="E1071" s="147" t="n">
        <v>100</v>
      </c>
      <c r="F1071" s="147" t="n">
        <v>60</v>
      </c>
      <c r="G1071" s="160" t="n">
        <v>6</v>
      </c>
      <c r="H1071" s="20"/>
      <c r="I1071" s="158" t="s">
        <v>788</v>
      </c>
    </row>
    <row r="1072" customFormat="false" ht="15" hidden="false" customHeight="true" outlineLevel="0" collapsed="false">
      <c r="A1072" s="144" t="n">
        <v>46065</v>
      </c>
      <c r="B1072" s="158" t="s">
        <v>753</v>
      </c>
      <c r="C1072" s="159" t="s">
        <v>670</v>
      </c>
      <c r="D1072" s="158" t="s">
        <v>246</v>
      </c>
      <c r="E1072" s="147" t="n">
        <v>50</v>
      </c>
      <c r="F1072" s="147" t="n">
        <v>60</v>
      </c>
      <c r="G1072" s="160" t="n">
        <v>3</v>
      </c>
      <c r="H1072" s="20"/>
      <c r="I1072" s="158" t="s">
        <v>789</v>
      </c>
    </row>
    <row r="1073" customFormat="false" ht="15" hidden="false" customHeight="true" outlineLevel="0" collapsed="false">
      <c r="A1073" s="144" t="n">
        <v>46065</v>
      </c>
      <c r="B1073" s="158" t="s">
        <v>753</v>
      </c>
      <c r="C1073" s="159" t="s">
        <v>670</v>
      </c>
      <c r="D1073" s="158" t="s">
        <v>243</v>
      </c>
      <c r="E1073" s="147" t="n">
        <v>150</v>
      </c>
      <c r="F1073" s="147" t="n">
        <v>60</v>
      </c>
      <c r="G1073" s="160" t="n">
        <v>9</v>
      </c>
      <c r="H1073" s="20"/>
      <c r="I1073" s="158" t="s">
        <v>790</v>
      </c>
    </row>
    <row r="1074" customFormat="false" ht="15" hidden="false" customHeight="true" outlineLevel="0" collapsed="false">
      <c r="A1074" s="144" t="n">
        <v>46065</v>
      </c>
      <c r="B1074" s="158" t="s">
        <v>753</v>
      </c>
      <c r="C1074" s="159" t="s">
        <v>670</v>
      </c>
      <c r="D1074" s="158" t="s">
        <v>244</v>
      </c>
      <c r="E1074" s="147" t="n">
        <v>250</v>
      </c>
      <c r="F1074" s="147" t="n">
        <v>60</v>
      </c>
      <c r="G1074" s="160" t="n">
        <v>15</v>
      </c>
      <c r="H1074" s="20"/>
      <c r="I1074" s="158" t="s">
        <v>791</v>
      </c>
    </row>
    <row r="1075" customFormat="false" ht="15" hidden="false" customHeight="true" outlineLevel="0" collapsed="false">
      <c r="A1075" s="144" t="n">
        <v>46065</v>
      </c>
      <c r="B1075" s="158" t="s">
        <v>753</v>
      </c>
      <c r="C1075" s="159" t="s">
        <v>670</v>
      </c>
      <c r="D1075" s="158" t="s">
        <v>156</v>
      </c>
      <c r="E1075" s="147" t="n">
        <v>160</v>
      </c>
      <c r="F1075" s="147" t="n">
        <v>80</v>
      </c>
      <c r="G1075" s="160" t="n">
        <v>12.8</v>
      </c>
      <c r="H1075" s="20"/>
      <c r="I1075" s="158" t="s">
        <v>797</v>
      </c>
    </row>
    <row r="1076" customFormat="false" ht="15" hidden="false" customHeight="true" outlineLevel="0" collapsed="false">
      <c r="A1076" s="144" t="n">
        <v>46065</v>
      </c>
      <c r="B1076" s="158" t="s">
        <v>753</v>
      </c>
      <c r="C1076" s="159" t="s">
        <v>670</v>
      </c>
      <c r="D1076" s="158" t="s">
        <v>157</v>
      </c>
      <c r="E1076" s="147" t="n">
        <v>160</v>
      </c>
      <c r="F1076" s="147" t="n">
        <v>80</v>
      </c>
      <c r="G1076" s="160" t="n">
        <v>12.8</v>
      </c>
      <c r="H1076" s="20"/>
      <c r="I1076" s="158" t="s">
        <v>798</v>
      </c>
    </row>
    <row r="1077" customFormat="false" ht="15" hidden="false" customHeight="true" outlineLevel="0" collapsed="false">
      <c r="A1077" s="144" t="n">
        <v>46065</v>
      </c>
      <c r="B1077" s="158" t="s">
        <v>753</v>
      </c>
      <c r="C1077" s="159" t="s">
        <v>670</v>
      </c>
      <c r="D1077" s="158" t="s">
        <v>158</v>
      </c>
      <c r="E1077" s="147" t="n">
        <v>160</v>
      </c>
      <c r="F1077" s="147" t="n">
        <v>80</v>
      </c>
      <c r="G1077" s="160" t="n">
        <v>12.8</v>
      </c>
      <c r="H1077" s="20"/>
      <c r="I1077" s="158" t="s">
        <v>799</v>
      </c>
    </row>
    <row r="1078" customFormat="false" ht="15" hidden="false" customHeight="true" outlineLevel="0" collapsed="false">
      <c r="A1078" s="144" t="n">
        <v>46065</v>
      </c>
      <c r="B1078" s="158" t="s">
        <v>753</v>
      </c>
      <c r="C1078" s="159" t="s">
        <v>670</v>
      </c>
      <c r="D1078" s="158" t="s">
        <v>800</v>
      </c>
      <c r="E1078" s="147" t="n">
        <v>1</v>
      </c>
      <c r="F1078" s="147"/>
      <c r="G1078" s="160" t="n">
        <v>12.8</v>
      </c>
      <c r="H1078" s="20"/>
      <c r="I1078" s="113"/>
    </row>
    <row r="1079" customFormat="false" ht="15" hidden="false" customHeight="true" outlineLevel="0" collapsed="false">
      <c r="A1079" s="144" t="n">
        <v>46065</v>
      </c>
      <c r="B1079" s="158" t="s">
        <v>753</v>
      </c>
      <c r="C1079" s="159" t="s">
        <v>670</v>
      </c>
      <c r="D1079" s="158" t="s">
        <v>801</v>
      </c>
      <c r="E1079" s="147" t="n">
        <v>1</v>
      </c>
      <c r="F1079" s="147"/>
      <c r="G1079" s="160" t="n">
        <v>12.8</v>
      </c>
      <c r="H1079" s="20"/>
      <c r="I1079" s="113"/>
    </row>
    <row r="1080" customFormat="false" ht="15" hidden="false" customHeight="true" outlineLevel="0" collapsed="false">
      <c r="A1080" s="144" t="n">
        <v>46065</v>
      </c>
      <c r="B1080" s="158" t="s">
        <v>753</v>
      </c>
      <c r="C1080" s="159" t="s">
        <v>670</v>
      </c>
      <c r="D1080" s="158" t="s">
        <v>802</v>
      </c>
      <c r="E1080" s="147" t="n">
        <v>1</v>
      </c>
      <c r="F1080" s="147"/>
      <c r="G1080" s="160" t="n">
        <v>12.8</v>
      </c>
      <c r="H1080" s="20"/>
      <c r="I1080" s="113"/>
    </row>
    <row r="1081" customFormat="false" ht="15" hidden="false" customHeight="true" outlineLevel="0" collapsed="false">
      <c r="A1081" s="144" t="n">
        <v>46065</v>
      </c>
      <c r="B1081" s="158" t="s">
        <v>753</v>
      </c>
      <c r="C1081" s="159" t="s">
        <v>670</v>
      </c>
      <c r="D1081" s="158" t="s">
        <v>179</v>
      </c>
      <c r="E1081" s="147" t="n">
        <v>30</v>
      </c>
      <c r="F1081" s="147" t="n">
        <v>1000</v>
      </c>
      <c r="G1081" s="160" t="n">
        <v>30</v>
      </c>
      <c r="H1081" s="20"/>
      <c r="I1081" s="158" t="s">
        <v>803</v>
      </c>
    </row>
    <row r="1082" customFormat="false" ht="15" hidden="false" customHeight="true" outlineLevel="0" collapsed="false">
      <c r="A1082" s="144" t="n">
        <v>46065</v>
      </c>
      <c r="B1082" s="158" t="s">
        <v>753</v>
      </c>
      <c r="C1082" s="159" t="s">
        <v>670</v>
      </c>
      <c r="D1082" s="158" t="s">
        <v>204</v>
      </c>
      <c r="E1082" s="147" t="n">
        <v>150</v>
      </c>
      <c r="F1082" s="147" t="n">
        <v>60</v>
      </c>
      <c r="G1082" s="160" t="n">
        <v>9</v>
      </c>
      <c r="H1082" s="20"/>
      <c r="I1082" s="158" t="s">
        <v>804</v>
      </c>
    </row>
    <row r="1083" customFormat="false" ht="15" hidden="false" customHeight="true" outlineLevel="0" collapsed="false">
      <c r="A1083" s="144" t="n">
        <v>46065</v>
      </c>
      <c r="B1083" s="158" t="s">
        <v>753</v>
      </c>
      <c r="C1083" s="159" t="s">
        <v>670</v>
      </c>
      <c r="D1083" s="158" t="s">
        <v>805</v>
      </c>
      <c r="E1083" s="147" t="n">
        <v>1</v>
      </c>
      <c r="F1083" s="147"/>
      <c r="G1083" s="160" t="n">
        <v>9</v>
      </c>
      <c r="H1083" s="20"/>
      <c r="I1083" s="113"/>
    </row>
    <row r="1084" customFormat="false" ht="15" hidden="false" customHeight="true" outlineLevel="0" collapsed="false">
      <c r="A1084" s="144" t="n">
        <v>46065</v>
      </c>
      <c r="B1084" s="158" t="s">
        <v>753</v>
      </c>
      <c r="C1084" s="159" t="s">
        <v>670</v>
      </c>
      <c r="D1084" s="158" t="s">
        <v>206</v>
      </c>
      <c r="E1084" s="147" t="n">
        <v>63</v>
      </c>
      <c r="F1084" s="147" t="n">
        <v>1000</v>
      </c>
      <c r="G1084" s="160" t="n">
        <v>63</v>
      </c>
      <c r="H1084" s="20"/>
      <c r="I1084" s="158" t="s">
        <v>785</v>
      </c>
    </row>
    <row r="1085" customFormat="false" ht="15" hidden="false" customHeight="true" outlineLevel="0" collapsed="false">
      <c r="A1085" s="144" t="n">
        <v>46065</v>
      </c>
      <c r="B1085" s="158" t="s">
        <v>753</v>
      </c>
      <c r="C1085" s="159" t="s">
        <v>670</v>
      </c>
      <c r="D1085" s="158" t="s">
        <v>676</v>
      </c>
      <c r="E1085" s="147" t="n">
        <v>1</v>
      </c>
      <c r="F1085" s="147"/>
      <c r="G1085" s="160" t="n">
        <v>63</v>
      </c>
      <c r="H1085" s="20"/>
      <c r="I1085" s="113"/>
    </row>
    <row r="1086" customFormat="false" ht="15" hidden="false" customHeight="true" outlineLevel="0" collapsed="false">
      <c r="A1086" s="144" t="n">
        <v>46065</v>
      </c>
      <c r="B1086" s="158" t="s">
        <v>753</v>
      </c>
      <c r="C1086" s="159" t="s">
        <v>670</v>
      </c>
      <c r="D1086" s="158" t="s">
        <v>673</v>
      </c>
      <c r="E1086" s="147" t="n">
        <v>1</v>
      </c>
      <c r="F1086" s="147"/>
      <c r="G1086" s="160" t="n">
        <v>30</v>
      </c>
      <c r="H1086" s="20"/>
      <c r="I1086" s="113"/>
    </row>
    <row r="1087" customFormat="false" ht="15" hidden="false" customHeight="true" outlineLevel="0" collapsed="false">
      <c r="A1087" s="144" t="n">
        <v>46066</v>
      </c>
      <c r="B1087" s="158" t="s">
        <v>669</v>
      </c>
      <c r="C1087" s="159" t="s">
        <v>670</v>
      </c>
      <c r="D1087" s="113" t="s">
        <v>267</v>
      </c>
      <c r="E1087" s="147" t="n">
        <v>20</v>
      </c>
      <c r="F1087" s="147" t="n">
        <v>60</v>
      </c>
      <c r="G1087" s="160" t="n">
        <v>1.2</v>
      </c>
      <c r="H1087" s="20"/>
      <c r="I1087" s="158" t="s">
        <v>209</v>
      </c>
    </row>
    <row r="1088" customFormat="false" ht="15" hidden="false" customHeight="true" outlineLevel="0" collapsed="false">
      <c r="A1088" s="144" t="n">
        <v>46066</v>
      </c>
      <c r="B1088" s="158" t="s">
        <v>669</v>
      </c>
      <c r="C1088" s="159" t="s">
        <v>670</v>
      </c>
      <c r="D1088" s="158" t="s">
        <v>155</v>
      </c>
      <c r="E1088" s="147" t="n">
        <v>200</v>
      </c>
      <c r="F1088" s="147" t="n">
        <v>80</v>
      </c>
      <c r="G1088" s="160" t="n">
        <v>16</v>
      </c>
      <c r="H1088" s="20"/>
      <c r="I1088" s="158" t="s">
        <v>806</v>
      </c>
    </row>
    <row r="1089" customFormat="false" ht="15" hidden="false" customHeight="true" outlineLevel="0" collapsed="false">
      <c r="A1089" s="144" t="n">
        <v>46066</v>
      </c>
      <c r="B1089" s="158" t="s">
        <v>669</v>
      </c>
      <c r="C1089" s="159" t="s">
        <v>670</v>
      </c>
      <c r="D1089" s="158" t="s">
        <v>155</v>
      </c>
      <c r="E1089" s="147" t="n">
        <v>600</v>
      </c>
      <c r="F1089" s="147" t="n">
        <v>80</v>
      </c>
      <c r="G1089" s="160" t="n">
        <v>48</v>
      </c>
      <c r="H1089" s="20"/>
      <c r="I1089" s="113" t="s">
        <v>807</v>
      </c>
    </row>
    <row r="1090" customFormat="false" ht="15" hidden="false" customHeight="true" outlineLevel="0" collapsed="false">
      <c r="A1090" s="144" t="n">
        <v>46066</v>
      </c>
      <c r="B1090" s="158" t="s">
        <v>669</v>
      </c>
      <c r="C1090" s="159" t="s">
        <v>670</v>
      </c>
      <c r="D1090" s="158" t="s">
        <v>155</v>
      </c>
      <c r="E1090" s="147" t="n">
        <v>600</v>
      </c>
      <c r="F1090" s="147" t="n">
        <v>80</v>
      </c>
      <c r="G1090" s="160" t="n">
        <v>48</v>
      </c>
      <c r="H1090" s="20"/>
      <c r="I1090" s="113" t="s">
        <v>807</v>
      </c>
    </row>
    <row r="1091" customFormat="false" ht="15" hidden="false" customHeight="true" outlineLevel="0" collapsed="false">
      <c r="A1091" s="144" t="n">
        <v>46066</v>
      </c>
      <c r="B1091" s="158" t="s">
        <v>669</v>
      </c>
      <c r="C1091" s="159" t="s">
        <v>670</v>
      </c>
      <c r="D1091" s="158" t="s">
        <v>155</v>
      </c>
      <c r="E1091" s="147" t="n">
        <v>20</v>
      </c>
      <c r="F1091" s="147" t="n">
        <v>80</v>
      </c>
      <c r="G1091" s="160" t="n">
        <v>1.6</v>
      </c>
      <c r="H1091" s="20"/>
      <c r="I1091" s="158" t="s">
        <v>806</v>
      </c>
    </row>
    <row r="1092" customFormat="false" ht="15" hidden="false" customHeight="true" outlineLevel="0" collapsed="false">
      <c r="A1092" s="144" t="n">
        <v>46066</v>
      </c>
      <c r="B1092" s="158" t="s">
        <v>669</v>
      </c>
      <c r="C1092" s="159" t="s">
        <v>670</v>
      </c>
      <c r="D1092" s="158" t="s">
        <v>155</v>
      </c>
      <c r="E1092" s="147" t="n">
        <v>20</v>
      </c>
      <c r="F1092" s="147" t="n">
        <v>80</v>
      </c>
      <c r="G1092" s="160" t="n">
        <v>1.6</v>
      </c>
      <c r="H1092" s="20"/>
      <c r="I1092" s="113" t="s">
        <v>807</v>
      </c>
    </row>
    <row r="1093" customFormat="false" ht="15" hidden="false" customHeight="true" outlineLevel="0" collapsed="false">
      <c r="A1093" s="144" t="n">
        <v>46066</v>
      </c>
      <c r="B1093" s="158" t="s">
        <v>669</v>
      </c>
      <c r="C1093" s="159" t="s">
        <v>670</v>
      </c>
      <c r="D1093" s="158" t="s">
        <v>155</v>
      </c>
      <c r="E1093" s="147" t="n">
        <v>1176</v>
      </c>
      <c r="F1093" s="147" t="n">
        <v>80</v>
      </c>
      <c r="G1093" s="160" t="n">
        <v>94.08</v>
      </c>
      <c r="H1093" s="20"/>
      <c r="I1093" s="158" t="s">
        <v>808</v>
      </c>
    </row>
    <row r="1094" customFormat="false" ht="15" hidden="false" customHeight="true" outlineLevel="0" collapsed="false">
      <c r="A1094" s="144" t="n">
        <v>46066</v>
      </c>
      <c r="B1094" s="158" t="s">
        <v>669</v>
      </c>
      <c r="C1094" s="159" t="s">
        <v>670</v>
      </c>
      <c r="D1094" s="158" t="s">
        <v>156</v>
      </c>
      <c r="E1094" s="147" t="n">
        <v>196</v>
      </c>
      <c r="F1094" s="147" t="n">
        <v>80</v>
      </c>
      <c r="G1094" s="160" t="n">
        <v>15.68</v>
      </c>
      <c r="H1094" s="20"/>
      <c r="I1094" s="158" t="s">
        <v>809</v>
      </c>
    </row>
    <row r="1095" customFormat="false" ht="15" hidden="false" customHeight="true" outlineLevel="0" collapsed="false">
      <c r="A1095" s="144" t="n">
        <v>46066</v>
      </c>
      <c r="B1095" s="158" t="s">
        <v>669</v>
      </c>
      <c r="C1095" s="159" t="s">
        <v>670</v>
      </c>
      <c r="D1095" s="158" t="s">
        <v>157</v>
      </c>
      <c r="E1095" s="147" t="n">
        <v>196</v>
      </c>
      <c r="F1095" s="147" t="n">
        <v>80</v>
      </c>
      <c r="G1095" s="160" t="n">
        <v>15.68</v>
      </c>
      <c r="H1095" s="20"/>
      <c r="I1095" s="158" t="s">
        <v>809</v>
      </c>
    </row>
    <row r="1096" customFormat="false" ht="15" hidden="false" customHeight="true" outlineLevel="0" collapsed="false">
      <c r="A1096" s="144" t="n">
        <v>46066</v>
      </c>
      <c r="B1096" s="158" t="s">
        <v>669</v>
      </c>
      <c r="C1096" s="159" t="s">
        <v>670</v>
      </c>
      <c r="D1096" s="158" t="s">
        <v>158</v>
      </c>
      <c r="E1096" s="147" t="n">
        <v>196</v>
      </c>
      <c r="F1096" s="147" t="n">
        <v>80</v>
      </c>
      <c r="G1096" s="160" t="n">
        <v>15.68</v>
      </c>
      <c r="H1096" s="20"/>
      <c r="I1096" s="158" t="s">
        <v>809</v>
      </c>
    </row>
    <row r="1097" customFormat="false" ht="15" hidden="false" customHeight="true" outlineLevel="0" collapsed="false">
      <c r="A1097" s="144" t="n">
        <v>46066</v>
      </c>
      <c r="B1097" s="158" t="s">
        <v>669</v>
      </c>
      <c r="C1097" s="159" t="s">
        <v>670</v>
      </c>
      <c r="D1097" s="158" t="s">
        <v>221</v>
      </c>
      <c r="E1097" s="147" t="n">
        <v>200</v>
      </c>
      <c r="F1097" s="147" t="n">
        <v>40</v>
      </c>
      <c r="G1097" s="160" t="n">
        <v>8</v>
      </c>
      <c r="H1097" s="20"/>
      <c r="I1097" s="158" t="s">
        <v>221</v>
      </c>
    </row>
    <row r="1098" customFormat="false" ht="15" hidden="false" customHeight="true" outlineLevel="0" collapsed="false">
      <c r="A1098" s="144" t="n">
        <v>46066</v>
      </c>
      <c r="B1098" s="158" t="s">
        <v>669</v>
      </c>
      <c r="C1098" s="159" t="s">
        <v>670</v>
      </c>
      <c r="D1098" s="158" t="s">
        <v>204</v>
      </c>
      <c r="E1098" s="147" t="n">
        <v>210</v>
      </c>
      <c r="F1098" s="147" t="n">
        <v>60</v>
      </c>
      <c r="G1098" s="160" t="n">
        <v>12.6</v>
      </c>
      <c r="H1098" s="20"/>
      <c r="I1098" s="158" t="s">
        <v>204</v>
      </c>
    </row>
    <row r="1099" customFormat="false" ht="15" hidden="false" customHeight="true" outlineLevel="0" collapsed="false">
      <c r="A1099" s="144" t="n">
        <v>46072</v>
      </c>
      <c r="B1099" s="113"/>
      <c r="C1099" s="159" t="s">
        <v>679</v>
      </c>
      <c r="D1099" s="113" t="s">
        <v>267</v>
      </c>
      <c r="E1099" s="147" t="n">
        <v>2</v>
      </c>
      <c r="F1099" s="147" t="n">
        <v>60</v>
      </c>
      <c r="G1099" s="160" t="n">
        <v>2.4</v>
      </c>
      <c r="H1099" s="20"/>
      <c r="I1099" s="113" t="s">
        <v>705</v>
      </c>
    </row>
    <row r="1100" customFormat="false" ht="15" hidden="false" customHeight="true" outlineLevel="0" collapsed="false">
      <c r="A1100" s="144" t="n">
        <v>46072</v>
      </c>
      <c r="B1100" s="113"/>
      <c r="C1100" s="159" t="s">
        <v>679</v>
      </c>
      <c r="D1100" s="113" t="s">
        <v>267</v>
      </c>
      <c r="E1100" s="147" t="n">
        <v>1</v>
      </c>
      <c r="F1100" s="147" t="n">
        <v>60</v>
      </c>
      <c r="G1100" s="160" t="n">
        <v>1.2</v>
      </c>
      <c r="H1100" s="20"/>
      <c r="I1100" s="158" t="s">
        <v>697</v>
      </c>
    </row>
    <row r="1101" customFormat="false" ht="15" hidden="false" customHeight="true" outlineLevel="0" collapsed="false">
      <c r="A1101" s="144" t="n">
        <v>46072</v>
      </c>
      <c r="B1101" s="113"/>
      <c r="C1101" s="159" t="s">
        <v>679</v>
      </c>
      <c r="D1101" s="158" t="s">
        <v>142</v>
      </c>
      <c r="E1101" s="147" t="n">
        <v>10</v>
      </c>
      <c r="F1101" s="147" t="n">
        <v>50</v>
      </c>
      <c r="G1101" s="160" t="n">
        <v>0.5</v>
      </c>
      <c r="H1101" s="20"/>
      <c r="I1101" s="158" t="s">
        <v>681</v>
      </c>
    </row>
    <row r="1102" customFormat="false" ht="15" hidden="false" customHeight="true" outlineLevel="0" collapsed="false">
      <c r="A1102" s="144" t="n">
        <v>46072</v>
      </c>
      <c r="B1102" s="113"/>
      <c r="C1102" s="159" t="s">
        <v>679</v>
      </c>
      <c r="D1102" s="158" t="s">
        <v>143</v>
      </c>
      <c r="E1102" s="147" t="n">
        <v>6</v>
      </c>
      <c r="F1102" s="147" t="n">
        <v>50</v>
      </c>
      <c r="G1102" s="160" t="n">
        <v>6</v>
      </c>
      <c r="H1102" s="20"/>
      <c r="I1102" s="158" t="s">
        <v>682</v>
      </c>
    </row>
    <row r="1103" customFormat="false" ht="15" hidden="false" customHeight="true" outlineLevel="0" collapsed="false">
      <c r="A1103" s="144" t="n">
        <v>46072</v>
      </c>
      <c r="B1103" s="113"/>
      <c r="C1103" s="159" t="s">
        <v>679</v>
      </c>
      <c r="D1103" s="158" t="s">
        <v>143</v>
      </c>
      <c r="E1103" s="147" t="n">
        <v>2</v>
      </c>
      <c r="F1103" s="147" t="n">
        <v>50</v>
      </c>
      <c r="G1103" s="160" t="n">
        <v>4</v>
      </c>
      <c r="H1103" s="20"/>
      <c r="I1103" s="158" t="s">
        <v>683</v>
      </c>
    </row>
    <row r="1104" customFormat="false" ht="15" hidden="false" customHeight="true" outlineLevel="0" collapsed="false">
      <c r="A1104" s="144" t="n">
        <v>46072</v>
      </c>
      <c r="B1104" s="113"/>
      <c r="C1104" s="159" t="s">
        <v>679</v>
      </c>
      <c r="D1104" s="158" t="s">
        <v>143</v>
      </c>
      <c r="E1104" s="147" t="n">
        <v>2</v>
      </c>
      <c r="F1104" s="147" t="n">
        <v>50</v>
      </c>
      <c r="G1104" s="160" t="n">
        <v>4</v>
      </c>
      <c r="H1104" s="20"/>
      <c r="I1104" s="158" t="s">
        <v>725</v>
      </c>
    </row>
    <row r="1105" customFormat="false" ht="15" hidden="false" customHeight="true" outlineLevel="0" collapsed="false">
      <c r="A1105" s="144" t="n">
        <v>46072</v>
      </c>
      <c r="B1105" s="113"/>
      <c r="C1105" s="159" t="s">
        <v>679</v>
      </c>
      <c r="D1105" s="158" t="s">
        <v>143</v>
      </c>
      <c r="E1105" s="147" t="n">
        <v>10</v>
      </c>
      <c r="F1105" s="147" t="n">
        <v>50</v>
      </c>
      <c r="G1105" s="160" t="n">
        <v>10</v>
      </c>
      <c r="H1105" s="20"/>
      <c r="I1105" s="158" t="s">
        <v>720</v>
      </c>
    </row>
    <row r="1106" customFormat="false" ht="15" hidden="false" customHeight="true" outlineLevel="0" collapsed="false">
      <c r="A1106" s="144" t="n">
        <v>46072</v>
      </c>
      <c r="B1106" s="113"/>
      <c r="C1106" s="159" t="s">
        <v>679</v>
      </c>
      <c r="D1106" s="158" t="s">
        <v>144</v>
      </c>
      <c r="E1106" s="147" t="n">
        <v>14</v>
      </c>
      <c r="F1106" s="147" t="n">
        <v>1000</v>
      </c>
      <c r="G1106" s="160" t="n">
        <v>28</v>
      </c>
      <c r="H1106" s="20"/>
      <c r="I1106" s="158" t="s">
        <v>685</v>
      </c>
    </row>
    <row r="1107" customFormat="false" ht="15" hidden="false" customHeight="true" outlineLevel="0" collapsed="false">
      <c r="A1107" s="144" t="n">
        <v>46072</v>
      </c>
      <c r="B1107" s="113"/>
      <c r="C1107" s="159" t="s">
        <v>679</v>
      </c>
      <c r="D1107" s="158" t="s">
        <v>146</v>
      </c>
      <c r="E1107" s="147" t="n">
        <v>1</v>
      </c>
      <c r="F1107" s="147" t="n">
        <v>50</v>
      </c>
      <c r="G1107" s="160" t="n">
        <v>1</v>
      </c>
      <c r="H1107" s="20"/>
      <c r="I1107" s="158" t="s">
        <v>717</v>
      </c>
    </row>
    <row r="1108" customFormat="false" ht="15" hidden="false" customHeight="true" outlineLevel="0" collapsed="false">
      <c r="A1108" s="144" t="n">
        <v>46072</v>
      </c>
      <c r="B1108" s="113"/>
      <c r="C1108" s="159" t="s">
        <v>679</v>
      </c>
      <c r="D1108" s="158" t="s">
        <v>146</v>
      </c>
      <c r="E1108" s="147" t="n">
        <v>10</v>
      </c>
      <c r="F1108" s="147" t="n">
        <v>50</v>
      </c>
      <c r="G1108" s="160" t="n">
        <v>0.5</v>
      </c>
      <c r="H1108" s="20"/>
      <c r="I1108" s="158" t="s">
        <v>681</v>
      </c>
    </row>
    <row r="1109" customFormat="false" ht="15" hidden="false" customHeight="true" outlineLevel="0" collapsed="false">
      <c r="A1109" s="144" t="n">
        <v>46072</v>
      </c>
      <c r="B1109" s="127"/>
      <c r="C1109" s="159" t="s">
        <v>679</v>
      </c>
      <c r="D1109" s="161" t="s">
        <v>147</v>
      </c>
      <c r="E1109" s="147" t="n">
        <v>1</v>
      </c>
      <c r="F1109" s="147" t="n">
        <v>50</v>
      </c>
      <c r="G1109" s="160" t="n">
        <v>1</v>
      </c>
      <c r="H1109" s="127"/>
      <c r="I1109" s="161" t="s">
        <v>700</v>
      </c>
    </row>
    <row r="1110" customFormat="false" ht="15" hidden="false" customHeight="true" outlineLevel="0" collapsed="false">
      <c r="A1110" s="144" t="n">
        <v>46072</v>
      </c>
      <c r="B1110" s="127"/>
      <c r="C1110" s="159" t="s">
        <v>679</v>
      </c>
      <c r="D1110" s="161" t="s">
        <v>147</v>
      </c>
      <c r="E1110" s="147" t="n">
        <v>10</v>
      </c>
      <c r="F1110" s="147" t="n">
        <v>50</v>
      </c>
      <c r="G1110" s="160" t="n">
        <v>0.5</v>
      </c>
      <c r="H1110" s="127"/>
      <c r="I1110" s="161" t="s">
        <v>681</v>
      </c>
    </row>
    <row r="1111" customFormat="false" ht="15" hidden="false" customHeight="true" outlineLevel="0" collapsed="false">
      <c r="A1111" s="144" t="n">
        <v>46072</v>
      </c>
      <c r="B1111" s="127"/>
      <c r="C1111" s="159" t="s">
        <v>679</v>
      </c>
      <c r="D1111" s="161" t="s">
        <v>155</v>
      </c>
      <c r="E1111" s="147" t="n">
        <v>12</v>
      </c>
      <c r="F1111" s="147" t="n">
        <v>80</v>
      </c>
      <c r="G1111" s="160" t="n">
        <v>19.2</v>
      </c>
      <c r="H1111" s="127"/>
      <c r="I1111" s="127" t="s">
        <v>686</v>
      </c>
    </row>
    <row r="1112" customFormat="false" ht="15" hidden="false" customHeight="true" outlineLevel="0" collapsed="false">
      <c r="A1112" s="144" t="n">
        <v>46072</v>
      </c>
      <c r="B1112" s="127"/>
      <c r="C1112" s="159" t="s">
        <v>679</v>
      </c>
      <c r="D1112" s="161" t="s">
        <v>155</v>
      </c>
      <c r="E1112" s="147" t="n">
        <v>1</v>
      </c>
      <c r="F1112" s="147" t="n">
        <v>80</v>
      </c>
      <c r="G1112" s="160" t="n">
        <v>1.6</v>
      </c>
      <c r="H1112" s="127"/>
      <c r="I1112" s="161" t="s">
        <v>769</v>
      </c>
    </row>
    <row r="1113" customFormat="false" ht="15" hidden="false" customHeight="true" outlineLevel="0" collapsed="false">
      <c r="A1113" s="144" t="n">
        <v>46072</v>
      </c>
      <c r="B1113" s="127"/>
      <c r="C1113" s="159" t="s">
        <v>679</v>
      </c>
      <c r="D1113" s="161" t="s">
        <v>161</v>
      </c>
      <c r="E1113" s="147" t="n">
        <v>6</v>
      </c>
      <c r="F1113" s="147" t="n">
        <v>1000</v>
      </c>
      <c r="G1113" s="160" t="n">
        <v>12</v>
      </c>
      <c r="H1113" s="127"/>
      <c r="I1113" s="161" t="s">
        <v>810</v>
      </c>
    </row>
    <row r="1114" customFormat="false" ht="15" hidden="false" customHeight="true" outlineLevel="0" collapsed="false">
      <c r="A1114" s="144" t="n">
        <v>46072</v>
      </c>
      <c r="B1114" s="127"/>
      <c r="C1114" s="159" t="s">
        <v>679</v>
      </c>
      <c r="D1114" s="161" t="s">
        <v>173</v>
      </c>
      <c r="E1114" s="147" t="n">
        <v>2</v>
      </c>
      <c r="F1114" s="147" t="n">
        <v>50</v>
      </c>
      <c r="G1114" s="160" t="n">
        <v>1</v>
      </c>
      <c r="H1114" s="127"/>
      <c r="I1114" s="161" t="s">
        <v>728</v>
      </c>
    </row>
    <row r="1115" customFormat="false" ht="15" hidden="false" customHeight="true" outlineLevel="0" collapsed="false">
      <c r="A1115" s="144" t="n">
        <v>46072</v>
      </c>
      <c r="B1115" s="127"/>
      <c r="C1115" s="159" t="s">
        <v>679</v>
      </c>
      <c r="D1115" s="161" t="s">
        <v>174</v>
      </c>
      <c r="E1115" s="147" t="n">
        <v>35</v>
      </c>
      <c r="F1115" s="147" t="n">
        <v>1000</v>
      </c>
      <c r="G1115" s="160" t="n">
        <v>70</v>
      </c>
      <c r="H1115" s="127"/>
      <c r="I1115" s="161" t="s">
        <v>730</v>
      </c>
    </row>
    <row r="1116" customFormat="false" ht="15" hidden="false" customHeight="true" outlineLevel="0" collapsed="false">
      <c r="A1116" s="144" t="n">
        <v>46072</v>
      </c>
      <c r="B1116" s="127"/>
      <c r="C1116" s="159" t="s">
        <v>679</v>
      </c>
      <c r="D1116" s="161" t="s">
        <v>183</v>
      </c>
      <c r="E1116" s="147" t="n">
        <v>12</v>
      </c>
      <c r="F1116" s="147" t="n">
        <v>60</v>
      </c>
      <c r="G1116" s="160" t="n">
        <v>21.6</v>
      </c>
      <c r="H1116" s="127"/>
      <c r="I1116" s="161" t="s">
        <v>689</v>
      </c>
    </row>
    <row r="1117" customFormat="false" ht="15" hidden="false" customHeight="true" outlineLevel="0" collapsed="false">
      <c r="A1117" s="144" t="n">
        <v>46072</v>
      </c>
      <c r="B1117" s="127"/>
      <c r="C1117" s="159" t="s">
        <v>679</v>
      </c>
      <c r="D1117" s="161" t="s">
        <v>184</v>
      </c>
      <c r="E1117" s="147" t="n">
        <v>4</v>
      </c>
      <c r="F1117" s="147" t="n">
        <v>50</v>
      </c>
      <c r="G1117" s="160" t="n">
        <v>8</v>
      </c>
      <c r="H1117" s="127"/>
      <c r="I1117" s="161" t="s">
        <v>691</v>
      </c>
    </row>
    <row r="1118" customFormat="false" ht="15" hidden="false" customHeight="true" outlineLevel="0" collapsed="false">
      <c r="A1118" s="144" t="n">
        <v>46072</v>
      </c>
      <c r="B1118" s="127"/>
      <c r="C1118" s="159" t="s">
        <v>679</v>
      </c>
      <c r="D1118" s="161" t="s">
        <v>184</v>
      </c>
      <c r="E1118" s="147" t="n">
        <v>10</v>
      </c>
      <c r="F1118" s="147" t="n">
        <v>50</v>
      </c>
      <c r="G1118" s="160" t="n">
        <v>10</v>
      </c>
      <c r="H1118" s="127"/>
      <c r="I1118" s="161" t="s">
        <v>720</v>
      </c>
    </row>
    <row r="1119" customFormat="false" ht="15" hidden="false" customHeight="true" outlineLevel="0" collapsed="false">
      <c r="A1119" s="144" t="n">
        <v>46072</v>
      </c>
      <c r="B1119" s="127"/>
      <c r="C1119" s="159" t="s">
        <v>679</v>
      </c>
      <c r="D1119" s="161" t="s">
        <v>222</v>
      </c>
      <c r="E1119" s="147" t="n">
        <v>13</v>
      </c>
      <c r="F1119" s="147" t="n">
        <v>40</v>
      </c>
      <c r="G1119" s="160" t="n">
        <v>10.4</v>
      </c>
      <c r="H1119" s="127"/>
      <c r="I1119" s="161" t="s">
        <v>692</v>
      </c>
    </row>
    <row r="1120" customFormat="false" ht="15" hidden="false" customHeight="true" outlineLevel="0" collapsed="false">
      <c r="A1120" s="144" t="n">
        <v>46072</v>
      </c>
      <c r="B1120" s="127"/>
      <c r="C1120" s="159" t="s">
        <v>679</v>
      </c>
      <c r="D1120" s="161" t="s">
        <v>204</v>
      </c>
      <c r="E1120" s="147" t="n">
        <v>12</v>
      </c>
      <c r="F1120" s="147" t="n">
        <v>1000</v>
      </c>
      <c r="G1120" s="160" t="n">
        <v>21.6</v>
      </c>
      <c r="H1120" s="127"/>
      <c r="I1120" s="161" t="s">
        <v>703</v>
      </c>
    </row>
    <row r="1121" customFormat="false" ht="15" hidden="false" customHeight="true" outlineLevel="0" collapsed="false">
      <c r="A1121" s="144" t="n">
        <v>46072</v>
      </c>
      <c r="B1121" s="127"/>
      <c r="C1121" s="159" t="s">
        <v>679</v>
      </c>
      <c r="D1121" s="161" t="s">
        <v>204</v>
      </c>
      <c r="E1121" s="147" t="n">
        <v>4</v>
      </c>
      <c r="F1121" s="147" t="n">
        <v>60</v>
      </c>
      <c r="G1121" s="160" t="n">
        <v>3.6</v>
      </c>
      <c r="H1121" s="127"/>
      <c r="I1121" s="161" t="s">
        <v>770</v>
      </c>
    </row>
    <row r="1122" customFormat="false" ht="15" hidden="false" customHeight="true" outlineLevel="0" collapsed="false">
      <c r="A1122" s="144" t="n">
        <v>46072</v>
      </c>
      <c r="B1122" s="127"/>
      <c r="C1122" s="159" t="s">
        <v>679</v>
      </c>
      <c r="D1122" s="161" t="s">
        <v>204</v>
      </c>
      <c r="E1122" s="147" t="n">
        <v>1</v>
      </c>
      <c r="F1122" s="147" t="n">
        <v>60</v>
      </c>
      <c r="G1122" s="160" t="n">
        <v>0.9</v>
      </c>
      <c r="H1122" s="127"/>
      <c r="I1122" s="161" t="s">
        <v>708</v>
      </c>
    </row>
    <row r="1123" customFormat="false" ht="15" hidden="false" customHeight="true" outlineLevel="0" collapsed="false">
      <c r="A1123" s="144" t="n">
        <v>46072</v>
      </c>
      <c r="B1123" s="127"/>
      <c r="C1123" s="159" t="s">
        <v>679</v>
      </c>
      <c r="D1123" s="161" t="s">
        <v>204</v>
      </c>
      <c r="E1123" s="147" t="n">
        <v>3</v>
      </c>
      <c r="F1123" s="147" t="n">
        <v>60</v>
      </c>
      <c r="G1123" s="160" t="n">
        <v>5.4</v>
      </c>
      <c r="H1123" s="127"/>
      <c r="I1123" s="161" t="s">
        <v>694</v>
      </c>
    </row>
    <row r="1124" customFormat="false" ht="15" hidden="false" customHeight="true" outlineLevel="0" collapsed="false">
      <c r="A1124" s="144" t="n">
        <v>46072</v>
      </c>
      <c r="B1124" s="127"/>
      <c r="C1124" s="159" t="s">
        <v>679</v>
      </c>
      <c r="D1124" s="161" t="s">
        <v>204</v>
      </c>
      <c r="E1124" s="147" t="n">
        <v>14</v>
      </c>
      <c r="F1124" s="147" t="n">
        <v>60</v>
      </c>
      <c r="G1124" s="160" t="n">
        <v>25.2</v>
      </c>
      <c r="H1124" s="127"/>
      <c r="I1124" s="161" t="s">
        <v>771</v>
      </c>
    </row>
    <row r="1125" customFormat="false" ht="15" hidden="false" customHeight="true" outlineLevel="0" collapsed="false">
      <c r="A1125" s="144" t="n">
        <v>46072</v>
      </c>
      <c r="B1125" s="127"/>
      <c r="C1125" s="159" t="s">
        <v>679</v>
      </c>
      <c r="D1125" s="161" t="s">
        <v>204</v>
      </c>
      <c r="E1125" s="147" t="n">
        <v>8</v>
      </c>
      <c r="F1125" s="147" t="n">
        <v>60</v>
      </c>
      <c r="G1125" s="160" t="n">
        <v>28.8</v>
      </c>
      <c r="H1125" s="127"/>
      <c r="I1125" s="161" t="s">
        <v>742</v>
      </c>
    </row>
    <row r="1126" customFormat="false" ht="15" hidden="false" customHeight="true" outlineLevel="0" collapsed="false">
      <c r="A1126" s="144" t="n">
        <v>46072</v>
      </c>
      <c r="B1126" s="127"/>
      <c r="C1126" s="159" t="s">
        <v>679</v>
      </c>
      <c r="D1126" s="161" t="s">
        <v>236</v>
      </c>
      <c r="E1126" s="147" t="n">
        <v>4</v>
      </c>
      <c r="F1126" s="147" t="n">
        <v>60</v>
      </c>
      <c r="G1126" s="160" t="n">
        <v>7.2</v>
      </c>
      <c r="H1126" s="127"/>
      <c r="I1126" s="161" t="s">
        <v>695</v>
      </c>
    </row>
    <row r="1127" customFormat="false" ht="15" hidden="false" customHeight="true" outlineLevel="0" collapsed="false">
      <c r="A1127" s="144" t="n">
        <v>46072</v>
      </c>
      <c r="B1127" s="127"/>
      <c r="C1127" s="159" t="s">
        <v>679</v>
      </c>
      <c r="D1127" s="161" t="s">
        <v>236</v>
      </c>
      <c r="E1127" s="147" t="n">
        <v>4</v>
      </c>
      <c r="F1127" s="147" t="n">
        <v>60</v>
      </c>
      <c r="G1127" s="160" t="n">
        <v>14.4</v>
      </c>
      <c r="H1127" s="127"/>
      <c r="I1127" s="161" t="s">
        <v>772</v>
      </c>
    </row>
    <row r="1128" customFormat="false" ht="15" hidden="false" customHeight="true" outlineLevel="0" collapsed="false">
      <c r="A1128" s="144" t="n">
        <v>46072</v>
      </c>
      <c r="B1128" s="127"/>
      <c r="C1128" s="159" t="s">
        <v>679</v>
      </c>
      <c r="D1128" s="161" t="s">
        <v>236</v>
      </c>
      <c r="E1128" s="147" t="n">
        <v>4</v>
      </c>
      <c r="F1128" s="147" t="n">
        <v>60</v>
      </c>
      <c r="G1128" s="160" t="n">
        <v>3.6</v>
      </c>
      <c r="H1128" s="127"/>
      <c r="I1128" s="161" t="s">
        <v>770</v>
      </c>
    </row>
    <row r="1129" customFormat="false" ht="15" hidden="false" customHeight="true" outlineLevel="0" collapsed="false">
      <c r="A1129" s="144" t="n">
        <v>46072</v>
      </c>
      <c r="B1129" s="127"/>
      <c r="C1129" s="159" t="s">
        <v>679</v>
      </c>
      <c r="D1129" s="161" t="s">
        <v>236</v>
      </c>
      <c r="E1129" s="147" t="n">
        <v>14</v>
      </c>
      <c r="F1129" s="147" t="n">
        <v>60</v>
      </c>
      <c r="G1129" s="160" t="n">
        <v>25.2</v>
      </c>
      <c r="H1129" s="127"/>
      <c r="I1129" s="161" t="s">
        <v>771</v>
      </c>
    </row>
    <row r="1130" customFormat="false" ht="15" hidden="false" customHeight="true" outlineLevel="0" collapsed="false">
      <c r="A1130" s="144" t="n">
        <v>46072</v>
      </c>
      <c r="B1130" s="127"/>
      <c r="C1130" s="159" t="s">
        <v>679</v>
      </c>
      <c r="D1130" s="161" t="s">
        <v>206</v>
      </c>
      <c r="E1130" s="147" t="n">
        <v>2</v>
      </c>
      <c r="F1130" s="147" t="n">
        <v>30</v>
      </c>
      <c r="G1130" s="160" t="n">
        <v>1.8</v>
      </c>
      <c r="H1130" s="127"/>
      <c r="I1130" s="161" t="s">
        <v>731</v>
      </c>
    </row>
    <row r="1131" customFormat="false" ht="15" hidden="false" customHeight="true" outlineLevel="0" collapsed="false">
      <c r="A1131" s="144" t="n">
        <v>46072</v>
      </c>
      <c r="B1131" s="127"/>
      <c r="C1131" s="159" t="s">
        <v>679</v>
      </c>
      <c r="D1131" s="161" t="s">
        <v>220</v>
      </c>
      <c r="E1131" s="147" t="n">
        <v>10</v>
      </c>
      <c r="F1131" s="147" t="n">
        <v>50</v>
      </c>
      <c r="G1131" s="160" t="n">
        <v>0.5</v>
      </c>
      <c r="H1131" s="127"/>
      <c r="I1131" s="161" t="s">
        <v>681</v>
      </c>
    </row>
    <row r="1132" customFormat="false" ht="15" hidden="false" customHeight="true" outlineLevel="0" collapsed="false">
      <c r="A1132" s="144" t="n">
        <v>46073</v>
      </c>
      <c r="B1132" s="127"/>
      <c r="C1132" s="159" t="s">
        <v>679</v>
      </c>
      <c r="D1132" s="161" t="s">
        <v>143</v>
      </c>
      <c r="E1132" s="147" t="n">
        <v>2</v>
      </c>
      <c r="F1132" s="147" t="n">
        <v>50</v>
      </c>
      <c r="G1132" s="160" t="n">
        <v>2</v>
      </c>
      <c r="H1132" s="127"/>
      <c r="I1132" s="161" t="s">
        <v>682</v>
      </c>
    </row>
    <row r="1133" customFormat="false" ht="15" hidden="false" customHeight="true" outlineLevel="0" collapsed="false">
      <c r="A1133" s="144" t="n">
        <v>46073</v>
      </c>
      <c r="B1133" s="127"/>
      <c r="C1133" s="159" t="s">
        <v>679</v>
      </c>
      <c r="D1133" s="161" t="s">
        <v>143</v>
      </c>
      <c r="E1133" s="147" t="n">
        <v>1</v>
      </c>
      <c r="F1133" s="147" t="n">
        <v>50</v>
      </c>
      <c r="G1133" s="160" t="n">
        <v>2</v>
      </c>
      <c r="H1133" s="127"/>
      <c r="I1133" s="161" t="s">
        <v>683</v>
      </c>
    </row>
    <row r="1134" customFormat="false" ht="15" hidden="false" customHeight="true" outlineLevel="0" collapsed="false">
      <c r="A1134" s="144" t="n">
        <v>46073</v>
      </c>
      <c r="B1134" s="127"/>
      <c r="C1134" s="159" t="s">
        <v>679</v>
      </c>
      <c r="D1134" s="161" t="s">
        <v>144</v>
      </c>
      <c r="E1134" s="147" t="n">
        <v>9</v>
      </c>
      <c r="F1134" s="147" t="n">
        <v>1000</v>
      </c>
      <c r="G1134" s="160" t="n">
        <v>18</v>
      </c>
      <c r="H1134" s="127"/>
      <c r="I1134" s="161" t="s">
        <v>685</v>
      </c>
    </row>
    <row r="1135" customFormat="false" ht="15" hidden="false" customHeight="true" outlineLevel="0" collapsed="false">
      <c r="A1135" s="144" t="n">
        <v>46073</v>
      </c>
      <c r="B1135" s="127"/>
      <c r="C1135" s="159" t="s">
        <v>679</v>
      </c>
      <c r="D1135" s="161" t="s">
        <v>147</v>
      </c>
      <c r="E1135" s="147" t="n">
        <v>1</v>
      </c>
      <c r="F1135" s="147" t="n">
        <v>50</v>
      </c>
      <c r="G1135" s="160" t="n">
        <v>1</v>
      </c>
      <c r="H1135" s="127"/>
      <c r="I1135" s="161" t="s">
        <v>700</v>
      </c>
    </row>
    <row r="1136" customFormat="false" ht="15" hidden="false" customHeight="true" outlineLevel="0" collapsed="false">
      <c r="A1136" s="144" t="n">
        <v>46073</v>
      </c>
      <c r="B1136" s="127"/>
      <c r="C1136" s="159" t="s">
        <v>679</v>
      </c>
      <c r="D1136" s="161" t="s">
        <v>155</v>
      </c>
      <c r="E1136" s="147" t="n">
        <v>18</v>
      </c>
      <c r="F1136" s="147" t="n">
        <v>80</v>
      </c>
      <c r="G1136" s="160" t="n">
        <v>28.8</v>
      </c>
      <c r="H1136" s="127"/>
      <c r="I1136" s="127" t="s">
        <v>686</v>
      </c>
    </row>
    <row r="1137" customFormat="false" ht="15" hidden="false" customHeight="true" outlineLevel="0" collapsed="false">
      <c r="A1137" s="144" t="n">
        <v>46073</v>
      </c>
      <c r="B1137" s="127"/>
      <c r="C1137" s="159" t="s">
        <v>679</v>
      </c>
      <c r="D1137" s="161" t="s">
        <v>161</v>
      </c>
      <c r="E1137" s="147" t="n">
        <v>2</v>
      </c>
      <c r="F1137" s="147" t="n">
        <v>1000</v>
      </c>
      <c r="G1137" s="160" t="n">
        <v>2</v>
      </c>
      <c r="H1137" s="127"/>
      <c r="I1137" s="161" t="s">
        <v>707</v>
      </c>
    </row>
    <row r="1138" customFormat="false" ht="15" hidden="false" customHeight="true" outlineLevel="0" collapsed="false">
      <c r="A1138" s="144" t="n">
        <v>46073</v>
      </c>
      <c r="B1138" s="127"/>
      <c r="C1138" s="159" t="s">
        <v>679</v>
      </c>
      <c r="D1138" s="161" t="s">
        <v>173</v>
      </c>
      <c r="E1138" s="147" t="n">
        <v>2</v>
      </c>
      <c r="F1138" s="147" t="n">
        <v>50</v>
      </c>
      <c r="G1138" s="160" t="n">
        <v>1</v>
      </c>
      <c r="H1138" s="127"/>
      <c r="I1138" s="161" t="s">
        <v>728</v>
      </c>
    </row>
    <row r="1139" customFormat="false" ht="15" hidden="false" customHeight="true" outlineLevel="0" collapsed="false">
      <c r="A1139" s="144" t="n">
        <v>46073</v>
      </c>
      <c r="B1139" s="127"/>
      <c r="C1139" s="159" t="s">
        <v>679</v>
      </c>
      <c r="D1139" s="161" t="s">
        <v>174</v>
      </c>
      <c r="E1139" s="147" t="n">
        <v>16</v>
      </c>
      <c r="F1139" s="147" t="n">
        <v>1000</v>
      </c>
      <c r="G1139" s="160" t="n">
        <v>16</v>
      </c>
      <c r="H1139" s="127"/>
      <c r="I1139" s="161" t="s">
        <v>687</v>
      </c>
    </row>
    <row r="1140" customFormat="false" ht="15" hidden="false" customHeight="true" outlineLevel="0" collapsed="false">
      <c r="A1140" s="144" t="n">
        <v>46073</v>
      </c>
      <c r="B1140" s="127"/>
      <c r="C1140" s="159" t="s">
        <v>679</v>
      </c>
      <c r="D1140" s="161" t="s">
        <v>183</v>
      </c>
      <c r="E1140" s="147" t="n">
        <v>1</v>
      </c>
      <c r="F1140" s="147" t="n">
        <v>60</v>
      </c>
      <c r="G1140" s="160" t="n">
        <v>0.6</v>
      </c>
      <c r="H1140" s="127"/>
      <c r="I1140" s="127" t="s">
        <v>722</v>
      </c>
    </row>
    <row r="1141" customFormat="false" ht="15" hidden="false" customHeight="true" outlineLevel="0" collapsed="false">
      <c r="A1141" s="144" t="n">
        <v>46073</v>
      </c>
      <c r="B1141" s="127"/>
      <c r="C1141" s="159" t="s">
        <v>679</v>
      </c>
      <c r="D1141" s="161" t="s">
        <v>183</v>
      </c>
      <c r="E1141" s="147" t="n">
        <v>2</v>
      </c>
      <c r="F1141" s="147" t="n">
        <v>60</v>
      </c>
      <c r="G1141" s="160" t="n">
        <v>3.6</v>
      </c>
      <c r="H1141" s="127"/>
      <c r="I1141" s="161" t="s">
        <v>689</v>
      </c>
    </row>
    <row r="1142" customFormat="false" ht="15" hidden="false" customHeight="true" outlineLevel="0" collapsed="false">
      <c r="A1142" s="144" t="n">
        <v>46073</v>
      </c>
      <c r="B1142" s="127"/>
      <c r="C1142" s="159" t="s">
        <v>679</v>
      </c>
      <c r="D1142" s="161" t="s">
        <v>184</v>
      </c>
      <c r="E1142" s="147" t="n">
        <v>4</v>
      </c>
      <c r="F1142" s="147" t="n">
        <v>50</v>
      </c>
      <c r="G1142" s="160" t="n">
        <v>4</v>
      </c>
      <c r="H1142" s="127"/>
      <c r="I1142" s="161" t="s">
        <v>690</v>
      </c>
    </row>
    <row r="1143" customFormat="false" ht="15" hidden="false" customHeight="true" outlineLevel="0" collapsed="false">
      <c r="A1143" s="144" t="n">
        <v>46073</v>
      </c>
      <c r="B1143" s="127"/>
      <c r="C1143" s="159" t="s">
        <v>679</v>
      </c>
      <c r="D1143" s="161" t="s">
        <v>222</v>
      </c>
      <c r="E1143" s="147" t="n">
        <v>1</v>
      </c>
      <c r="F1143" s="147" t="n">
        <v>40</v>
      </c>
      <c r="G1143" s="160" t="n">
        <v>0.2</v>
      </c>
      <c r="H1143" s="127"/>
      <c r="I1143" s="127" t="s">
        <v>722</v>
      </c>
    </row>
    <row r="1144" customFormat="false" ht="15" hidden="false" customHeight="true" outlineLevel="0" collapsed="false">
      <c r="A1144" s="144" t="n">
        <v>46073</v>
      </c>
      <c r="B1144" s="127"/>
      <c r="C1144" s="159" t="s">
        <v>679</v>
      </c>
      <c r="D1144" s="161" t="s">
        <v>222</v>
      </c>
      <c r="E1144" s="147" t="n">
        <v>3</v>
      </c>
      <c r="F1144" s="147" t="n">
        <v>40</v>
      </c>
      <c r="G1144" s="160" t="n">
        <v>2.4</v>
      </c>
      <c r="H1144" s="127"/>
      <c r="I1144" s="161" t="s">
        <v>692</v>
      </c>
    </row>
    <row r="1145" customFormat="false" ht="15" hidden="false" customHeight="true" outlineLevel="0" collapsed="false">
      <c r="A1145" s="144" t="n">
        <v>46073</v>
      </c>
      <c r="B1145" s="127"/>
      <c r="C1145" s="159" t="s">
        <v>679</v>
      </c>
      <c r="D1145" s="161" t="s">
        <v>221</v>
      </c>
      <c r="E1145" s="147" t="n">
        <v>1</v>
      </c>
      <c r="F1145" s="147" t="n">
        <v>40</v>
      </c>
      <c r="G1145" s="160" t="n">
        <v>0.2</v>
      </c>
      <c r="H1145" s="127"/>
      <c r="I1145" s="127" t="s">
        <v>722</v>
      </c>
    </row>
    <row r="1146" customFormat="false" ht="15" hidden="false" customHeight="true" outlineLevel="0" collapsed="false">
      <c r="A1146" s="144" t="n">
        <v>46073</v>
      </c>
      <c r="B1146" s="127"/>
      <c r="C1146" s="159" t="s">
        <v>679</v>
      </c>
      <c r="D1146" s="161" t="s">
        <v>221</v>
      </c>
      <c r="E1146" s="147" t="n">
        <v>2</v>
      </c>
      <c r="F1146" s="147" t="n">
        <v>40</v>
      </c>
      <c r="G1146" s="160" t="n">
        <v>1.6</v>
      </c>
      <c r="H1146" s="127"/>
      <c r="I1146" s="161" t="s">
        <v>693</v>
      </c>
    </row>
    <row r="1147" customFormat="false" ht="15" hidden="false" customHeight="true" outlineLevel="0" collapsed="false">
      <c r="A1147" s="144" t="n">
        <v>46073</v>
      </c>
      <c r="B1147" s="127"/>
      <c r="C1147" s="159" t="s">
        <v>679</v>
      </c>
      <c r="D1147" s="161" t="s">
        <v>204</v>
      </c>
      <c r="E1147" s="147" t="n">
        <v>1</v>
      </c>
      <c r="F1147" s="147" t="n">
        <v>60</v>
      </c>
      <c r="G1147" s="160" t="n">
        <v>0.3</v>
      </c>
      <c r="H1147" s="127"/>
      <c r="I1147" s="127" t="s">
        <v>722</v>
      </c>
    </row>
    <row r="1148" customFormat="false" ht="15" hidden="false" customHeight="true" outlineLevel="0" collapsed="false">
      <c r="A1148" s="144" t="n">
        <v>46073</v>
      </c>
      <c r="B1148" s="127"/>
      <c r="C1148" s="159" t="s">
        <v>679</v>
      </c>
      <c r="D1148" s="161" t="s">
        <v>204</v>
      </c>
      <c r="E1148" s="147" t="n">
        <v>12</v>
      </c>
      <c r="F1148" s="147" t="n">
        <v>60</v>
      </c>
      <c r="G1148" s="160" t="n">
        <v>21.6</v>
      </c>
      <c r="H1148" s="127"/>
      <c r="I1148" s="161" t="s">
        <v>694</v>
      </c>
    </row>
    <row r="1149" customFormat="false" ht="15" hidden="false" customHeight="true" outlineLevel="0" collapsed="false">
      <c r="A1149" s="144" t="n">
        <v>46073</v>
      </c>
      <c r="B1149" s="127"/>
      <c r="C1149" s="159" t="s">
        <v>679</v>
      </c>
      <c r="D1149" s="161" t="s">
        <v>236</v>
      </c>
      <c r="E1149" s="147" t="n">
        <v>1</v>
      </c>
      <c r="F1149" s="147" t="n">
        <v>60</v>
      </c>
      <c r="G1149" s="160" t="n">
        <v>0.3</v>
      </c>
      <c r="H1149" s="127"/>
      <c r="I1149" s="127" t="s">
        <v>722</v>
      </c>
    </row>
    <row r="1150" customFormat="false" ht="15" hidden="false" customHeight="true" outlineLevel="0" collapsed="false">
      <c r="A1150" s="144" t="n">
        <v>46073</v>
      </c>
      <c r="B1150" s="127"/>
      <c r="C1150" s="159" t="s">
        <v>679</v>
      </c>
      <c r="D1150" s="161" t="s">
        <v>236</v>
      </c>
      <c r="E1150" s="147" t="n">
        <v>9</v>
      </c>
      <c r="F1150" s="147" t="n">
        <v>60</v>
      </c>
      <c r="G1150" s="160" t="n">
        <v>16.2</v>
      </c>
      <c r="H1150" s="127"/>
      <c r="I1150" s="161" t="s">
        <v>695</v>
      </c>
    </row>
    <row r="1151" customFormat="false" ht="15" hidden="false" customHeight="true" outlineLevel="0" collapsed="false">
      <c r="A1151" s="144" t="n">
        <v>46073</v>
      </c>
      <c r="B1151" s="127"/>
      <c r="C1151" s="159" t="s">
        <v>679</v>
      </c>
      <c r="D1151" s="161" t="s">
        <v>207</v>
      </c>
      <c r="E1151" s="147" t="n">
        <v>5</v>
      </c>
      <c r="F1151" s="147" t="n">
        <v>1000</v>
      </c>
      <c r="G1151" s="160" t="n">
        <v>5</v>
      </c>
      <c r="H1151" s="127"/>
      <c r="I1151" s="161" t="s">
        <v>704</v>
      </c>
    </row>
    <row r="1152" customFormat="false" ht="15" hidden="false" customHeight="true" outlineLevel="0" collapsed="false">
      <c r="A1152" s="144" t="n">
        <v>46073</v>
      </c>
      <c r="B1152" s="127"/>
      <c r="C1152" s="159" t="s">
        <v>679</v>
      </c>
      <c r="D1152" s="161" t="s">
        <v>207</v>
      </c>
      <c r="E1152" s="147" t="n">
        <v>1</v>
      </c>
      <c r="F1152" s="147" t="n">
        <v>1000</v>
      </c>
      <c r="G1152" s="160" t="n">
        <v>2</v>
      </c>
      <c r="H1152" s="127"/>
      <c r="I1152" s="161" t="s">
        <v>710</v>
      </c>
    </row>
    <row r="1153" customFormat="false" ht="15" hidden="false" customHeight="true" outlineLevel="0" collapsed="false">
      <c r="A1153" s="144" t="n">
        <v>46073</v>
      </c>
      <c r="B1153" s="161" t="s">
        <v>669</v>
      </c>
      <c r="C1153" s="159" t="s">
        <v>670</v>
      </c>
      <c r="D1153" s="127" t="s">
        <v>761</v>
      </c>
      <c r="E1153" s="147" t="n">
        <v>1</v>
      </c>
      <c r="F1153" s="147"/>
      <c r="G1153" s="160" t="n">
        <v>8</v>
      </c>
      <c r="H1153" s="127"/>
      <c r="I1153" s="127"/>
    </row>
    <row r="1154" customFormat="false" ht="15" hidden="false" customHeight="true" outlineLevel="0" collapsed="false">
      <c r="A1154" s="144" t="n">
        <v>46073</v>
      </c>
      <c r="B1154" s="161" t="s">
        <v>669</v>
      </c>
      <c r="C1154" s="159" t="s">
        <v>670</v>
      </c>
      <c r="D1154" s="161" t="s">
        <v>155</v>
      </c>
      <c r="E1154" s="147" t="n">
        <v>1</v>
      </c>
      <c r="F1154" s="147"/>
      <c r="G1154" s="160" t="n">
        <v>8</v>
      </c>
      <c r="H1154" s="127"/>
      <c r="I1154" s="127"/>
    </row>
    <row r="1155" customFormat="false" ht="15" hidden="false" customHeight="true" outlineLevel="0" collapsed="false">
      <c r="A1155" s="144" t="n">
        <v>46073</v>
      </c>
      <c r="B1155" s="161" t="s">
        <v>669</v>
      </c>
      <c r="C1155" s="159" t="s">
        <v>670</v>
      </c>
      <c r="D1155" s="161" t="s">
        <v>204</v>
      </c>
      <c r="E1155" s="147" t="n">
        <v>1</v>
      </c>
      <c r="F1155" s="147"/>
      <c r="G1155" s="160" t="n">
        <v>9</v>
      </c>
      <c r="H1155" s="127"/>
      <c r="I1155" s="127"/>
    </row>
    <row r="1156" customFormat="false" ht="15" hidden="false" customHeight="true" outlineLevel="0" collapsed="false">
      <c r="A1156" s="144" t="n">
        <v>46073</v>
      </c>
      <c r="B1156" s="161" t="s">
        <v>753</v>
      </c>
      <c r="C1156" s="159" t="s">
        <v>670</v>
      </c>
      <c r="D1156" s="161" t="s">
        <v>242</v>
      </c>
      <c r="E1156" s="147" t="n">
        <v>1</v>
      </c>
      <c r="F1156" s="147"/>
      <c r="G1156" s="160" t="n">
        <v>6</v>
      </c>
      <c r="H1156" s="127"/>
      <c r="I1156" s="127"/>
    </row>
    <row r="1157" customFormat="false" ht="15" hidden="false" customHeight="true" outlineLevel="0" collapsed="false">
      <c r="A1157" s="144" t="n">
        <v>46073</v>
      </c>
      <c r="B1157" s="161" t="s">
        <v>753</v>
      </c>
      <c r="C1157" s="159" t="s">
        <v>670</v>
      </c>
      <c r="D1157" s="161" t="s">
        <v>240</v>
      </c>
      <c r="E1157" s="147" t="n">
        <v>1</v>
      </c>
      <c r="F1157" s="147"/>
      <c r="G1157" s="160" t="n">
        <v>6</v>
      </c>
      <c r="H1157" s="127"/>
      <c r="I1157" s="127"/>
    </row>
    <row r="1158" customFormat="false" ht="15" hidden="false" customHeight="true" outlineLevel="0" collapsed="false">
      <c r="A1158" s="144" t="n">
        <v>46073</v>
      </c>
      <c r="B1158" s="161" t="s">
        <v>753</v>
      </c>
      <c r="C1158" s="159" t="s">
        <v>670</v>
      </c>
      <c r="D1158" s="161" t="s">
        <v>241</v>
      </c>
      <c r="E1158" s="147" t="n">
        <v>1</v>
      </c>
      <c r="F1158" s="147"/>
      <c r="G1158" s="160" t="n">
        <v>6</v>
      </c>
      <c r="H1158" s="127"/>
      <c r="I1158" s="127"/>
    </row>
    <row r="1159" customFormat="false" ht="15" hidden="false" customHeight="true" outlineLevel="0" collapsed="false">
      <c r="A1159" s="144" t="n">
        <v>46073</v>
      </c>
      <c r="B1159" s="161" t="s">
        <v>753</v>
      </c>
      <c r="C1159" s="159" t="s">
        <v>670</v>
      </c>
      <c r="D1159" s="161" t="s">
        <v>246</v>
      </c>
      <c r="E1159" s="147" t="n">
        <v>1</v>
      </c>
      <c r="F1159" s="147"/>
      <c r="G1159" s="160" t="n">
        <v>6</v>
      </c>
      <c r="H1159" s="127"/>
      <c r="I1159" s="127"/>
    </row>
    <row r="1160" customFormat="false" ht="15" hidden="false" customHeight="true" outlineLevel="0" collapsed="false">
      <c r="A1160" s="144" t="n">
        <v>46073</v>
      </c>
      <c r="B1160" s="161" t="s">
        <v>753</v>
      </c>
      <c r="C1160" s="159" t="s">
        <v>670</v>
      </c>
      <c r="D1160" s="161" t="s">
        <v>243</v>
      </c>
      <c r="E1160" s="147" t="n">
        <v>1</v>
      </c>
      <c r="F1160" s="147"/>
      <c r="G1160" s="160" t="n">
        <v>6</v>
      </c>
      <c r="H1160" s="127"/>
      <c r="I1160" s="127"/>
    </row>
    <row r="1161" customFormat="false" ht="15" hidden="false" customHeight="true" outlineLevel="0" collapsed="false">
      <c r="A1161" s="144" t="n">
        <v>46073</v>
      </c>
      <c r="B1161" s="161" t="s">
        <v>753</v>
      </c>
      <c r="C1161" s="159" t="s">
        <v>670</v>
      </c>
      <c r="D1161" s="161" t="s">
        <v>244</v>
      </c>
      <c r="E1161" s="147" t="n">
        <v>1</v>
      </c>
      <c r="F1161" s="147"/>
      <c r="G1161" s="160" t="n">
        <v>5.4</v>
      </c>
      <c r="H1161" s="127"/>
      <c r="I1161" s="127"/>
    </row>
    <row r="1162" customFormat="false" ht="15" hidden="false" customHeight="true" outlineLevel="0" collapsed="false">
      <c r="A1162" s="144" t="n">
        <v>46073</v>
      </c>
      <c r="B1162" s="161" t="s">
        <v>753</v>
      </c>
      <c r="C1162" s="159" t="s">
        <v>670</v>
      </c>
      <c r="D1162" s="161" t="s">
        <v>178</v>
      </c>
      <c r="E1162" s="147" t="n">
        <v>1</v>
      </c>
      <c r="F1162" s="147"/>
      <c r="G1162" s="160" t="n">
        <v>15</v>
      </c>
      <c r="H1162" s="127"/>
      <c r="I1162" s="127"/>
    </row>
    <row r="1163" customFormat="false" ht="15" hidden="false" customHeight="true" outlineLevel="0" collapsed="false">
      <c r="A1163" s="144" t="n">
        <v>46076</v>
      </c>
      <c r="B1163" s="127"/>
      <c r="C1163" s="159" t="s">
        <v>679</v>
      </c>
      <c r="D1163" s="161" t="s">
        <v>143</v>
      </c>
      <c r="E1163" s="147" t="n">
        <v>1</v>
      </c>
      <c r="F1163" s="147"/>
      <c r="G1163" s="160" t="n">
        <v>10</v>
      </c>
      <c r="H1163" s="127"/>
      <c r="I1163" s="127"/>
    </row>
    <row r="1164" customFormat="false" ht="15" hidden="false" customHeight="true" outlineLevel="0" collapsed="false">
      <c r="A1164" s="144" t="n">
        <v>46076</v>
      </c>
      <c r="B1164" s="127"/>
      <c r="C1164" s="159" t="s">
        <v>679</v>
      </c>
      <c r="D1164" s="161" t="s">
        <v>144</v>
      </c>
      <c r="E1164" s="147" t="n">
        <v>1</v>
      </c>
      <c r="F1164" s="147"/>
      <c r="G1164" s="160" t="n">
        <v>17</v>
      </c>
      <c r="H1164" s="127"/>
      <c r="I1164" s="127"/>
    </row>
    <row r="1165" customFormat="false" ht="15" hidden="false" customHeight="true" outlineLevel="0" collapsed="false">
      <c r="A1165" s="144" t="n">
        <v>46076</v>
      </c>
      <c r="B1165" s="127"/>
      <c r="C1165" s="159" t="s">
        <v>679</v>
      </c>
      <c r="D1165" s="161" t="s">
        <v>147</v>
      </c>
      <c r="E1165" s="147" t="n">
        <v>1</v>
      </c>
      <c r="F1165" s="147"/>
      <c r="G1165" s="160" t="n">
        <v>1</v>
      </c>
      <c r="H1165" s="127"/>
      <c r="I1165" s="127"/>
    </row>
    <row r="1166" customFormat="false" ht="15" hidden="false" customHeight="true" outlineLevel="0" collapsed="false">
      <c r="A1166" s="144" t="n">
        <v>46076</v>
      </c>
      <c r="B1166" s="127"/>
      <c r="C1166" s="159" t="s">
        <v>679</v>
      </c>
      <c r="D1166" s="161" t="s">
        <v>155</v>
      </c>
      <c r="E1166" s="147" t="n">
        <v>1</v>
      </c>
      <c r="F1166" s="147"/>
      <c r="G1166" s="160" t="n">
        <v>11.2</v>
      </c>
      <c r="H1166" s="127"/>
      <c r="I1166" s="127"/>
    </row>
    <row r="1167" customFormat="false" ht="15" hidden="false" customHeight="true" outlineLevel="0" collapsed="false">
      <c r="A1167" s="144" t="n">
        <v>46076</v>
      </c>
      <c r="B1167" s="127"/>
      <c r="C1167" s="159" t="s">
        <v>679</v>
      </c>
      <c r="D1167" s="161" t="s">
        <v>174</v>
      </c>
      <c r="E1167" s="147" t="n">
        <v>1</v>
      </c>
      <c r="F1167" s="147"/>
      <c r="G1167" s="160" t="n">
        <v>20</v>
      </c>
      <c r="H1167" s="127"/>
      <c r="I1167" s="127"/>
    </row>
    <row r="1168" customFormat="false" ht="15" hidden="false" customHeight="true" outlineLevel="0" collapsed="false">
      <c r="A1168" s="144" t="n">
        <v>46076</v>
      </c>
      <c r="B1168" s="127"/>
      <c r="C1168" s="159" t="s">
        <v>679</v>
      </c>
      <c r="D1168" s="161" t="s">
        <v>181</v>
      </c>
      <c r="E1168" s="147" t="n">
        <v>1</v>
      </c>
      <c r="F1168" s="147"/>
      <c r="G1168" s="160" t="n">
        <v>1</v>
      </c>
      <c r="H1168" s="127"/>
      <c r="I1168" s="127"/>
    </row>
    <row r="1169" customFormat="false" ht="15" hidden="false" customHeight="true" outlineLevel="0" collapsed="false">
      <c r="A1169" s="144" t="n">
        <v>46076</v>
      </c>
      <c r="B1169" s="127"/>
      <c r="C1169" s="159" t="s">
        <v>679</v>
      </c>
      <c r="D1169" s="161" t="s">
        <v>183</v>
      </c>
      <c r="E1169" s="147" t="n">
        <v>1</v>
      </c>
      <c r="F1169" s="147"/>
      <c r="G1169" s="160" t="n">
        <v>14.4</v>
      </c>
      <c r="H1169" s="127"/>
      <c r="I1169" s="127"/>
    </row>
    <row r="1170" customFormat="false" ht="15" hidden="false" customHeight="true" outlineLevel="0" collapsed="false">
      <c r="A1170" s="144" t="n">
        <v>46076</v>
      </c>
      <c r="B1170" s="127"/>
      <c r="C1170" s="159" t="s">
        <v>679</v>
      </c>
      <c r="D1170" s="161" t="s">
        <v>222</v>
      </c>
      <c r="E1170" s="147" t="n">
        <v>1</v>
      </c>
      <c r="F1170" s="147"/>
      <c r="G1170" s="160" t="n">
        <v>0.8</v>
      </c>
      <c r="H1170" s="127"/>
      <c r="I1170" s="127"/>
    </row>
    <row r="1171" customFormat="false" ht="15" hidden="false" customHeight="true" outlineLevel="0" collapsed="false">
      <c r="A1171" s="144" t="n">
        <v>46076</v>
      </c>
      <c r="B1171" s="127"/>
      <c r="C1171" s="159" t="s">
        <v>679</v>
      </c>
      <c r="D1171" s="161" t="s">
        <v>221</v>
      </c>
      <c r="E1171" s="147" t="n">
        <v>1</v>
      </c>
      <c r="F1171" s="147"/>
      <c r="G1171" s="160" t="n">
        <v>0.8</v>
      </c>
      <c r="H1171" s="127"/>
      <c r="I1171" s="127"/>
    </row>
    <row r="1172" customFormat="false" ht="15" hidden="false" customHeight="true" outlineLevel="0" collapsed="false">
      <c r="A1172" s="144" t="n">
        <v>46076</v>
      </c>
      <c r="B1172" s="127"/>
      <c r="C1172" s="159" t="s">
        <v>679</v>
      </c>
      <c r="D1172" s="161" t="s">
        <v>204</v>
      </c>
      <c r="E1172" s="147" t="n">
        <v>1</v>
      </c>
      <c r="F1172" s="147"/>
      <c r="G1172" s="160" t="n">
        <v>48.6</v>
      </c>
      <c r="H1172" s="127"/>
      <c r="I1172" s="127"/>
    </row>
    <row r="1173" customFormat="false" ht="15" hidden="false" customHeight="true" outlineLevel="0" collapsed="false">
      <c r="A1173" s="144" t="n">
        <v>46076</v>
      </c>
      <c r="B1173" s="127"/>
      <c r="C1173" s="159" t="s">
        <v>679</v>
      </c>
      <c r="D1173" s="161" t="s">
        <v>236</v>
      </c>
      <c r="E1173" s="147" t="n">
        <v>1</v>
      </c>
      <c r="F1173" s="147"/>
      <c r="G1173" s="160" t="n">
        <v>21.6</v>
      </c>
      <c r="H1173" s="127"/>
      <c r="I1173" s="127"/>
    </row>
    <row r="1174" customFormat="false" ht="15" hidden="false" customHeight="true" outlineLevel="0" collapsed="false">
      <c r="A1174" s="144" t="n">
        <v>46076</v>
      </c>
      <c r="B1174" s="127"/>
      <c r="C1174" s="159" t="s">
        <v>679</v>
      </c>
      <c r="D1174" s="161" t="s">
        <v>220</v>
      </c>
      <c r="E1174" s="147" t="n">
        <v>1</v>
      </c>
      <c r="F1174" s="147"/>
      <c r="G1174" s="160" t="n">
        <v>1</v>
      </c>
      <c r="H1174" s="127"/>
      <c r="I1174" s="127"/>
    </row>
    <row r="1175" customFormat="false" ht="15" hidden="false" customHeight="true" outlineLevel="0" collapsed="false">
      <c r="A1175" s="144" t="n">
        <v>46076</v>
      </c>
      <c r="B1175" s="161" t="s">
        <v>781</v>
      </c>
      <c r="C1175" s="159" t="s">
        <v>670</v>
      </c>
      <c r="D1175" s="161" t="s">
        <v>143</v>
      </c>
      <c r="E1175" s="147" t="n">
        <v>1</v>
      </c>
      <c r="F1175" s="147" t="n">
        <v>185700</v>
      </c>
      <c r="G1175" s="160" t="n">
        <v>185.7</v>
      </c>
      <c r="H1175" s="127"/>
      <c r="I1175" s="127"/>
    </row>
    <row r="1176" customFormat="false" ht="15" hidden="false" customHeight="true" outlineLevel="0" collapsed="false">
      <c r="A1176" s="144" t="n">
        <v>46076</v>
      </c>
      <c r="B1176" s="161" t="s">
        <v>743</v>
      </c>
      <c r="C1176" s="159" t="s">
        <v>670</v>
      </c>
      <c r="D1176" s="161" t="s">
        <v>191</v>
      </c>
      <c r="E1176" s="147" t="n">
        <v>274</v>
      </c>
      <c r="F1176" s="147" t="n">
        <v>9600</v>
      </c>
      <c r="G1176" s="160" t="n">
        <v>2630.4</v>
      </c>
      <c r="H1176" s="127"/>
      <c r="I1176" s="127" t="s">
        <v>811</v>
      </c>
    </row>
    <row r="1177" customFormat="false" ht="15" hidden="false" customHeight="true" outlineLevel="0" collapsed="false">
      <c r="A1177" s="144" t="n">
        <v>46076</v>
      </c>
      <c r="B1177" s="161" t="s">
        <v>753</v>
      </c>
      <c r="C1177" s="159" t="s">
        <v>670</v>
      </c>
      <c r="D1177" s="161" t="s">
        <v>242</v>
      </c>
      <c r="E1177" s="147" t="n">
        <v>1</v>
      </c>
      <c r="F1177" s="147"/>
      <c r="G1177" s="160" t="n">
        <v>6</v>
      </c>
      <c r="H1177" s="127"/>
      <c r="I1177" s="127"/>
    </row>
    <row r="1178" customFormat="false" ht="15" hidden="false" customHeight="true" outlineLevel="0" collapsed="false">
      <c r="A1178" s="144" t="n">
        <v>46076</v>
      </c>
      <c r="B1178" s="161" t="s">
        <v>753</v>
      </c>
      <c r="C1178" s="159" t="s">
        <v>670</v>
      </c>
      <c r="D1178" s="161" t="s">
        <v>240</v>
      </c>
      <c r="E1178" s="147" t="n">
        <v>1</v>
      </c>
      <c r="F1178" s="147"/>
      <c r="G1178" s="160" t="n">
        <v>6</v>
      </c>
      <c r="H1178" s="127"/>
      <c r="I1178" s="127"/>
    </row>
    <row r="1179" customFormat="false" ht="15" hidden="false" customHeight="true" outlineLevel="0" collapsed="false">
      <c r="A1179" s="144" t="n">
        <v>46076</v>
      </c>
      <c r="B1179" s="161" t="s">
        <v>753</v>
      </c>
      <c r="C1179" s="159" t="s">
        <v>670</v>
      </c>
      <c r="D1179" s="161" t="s">
        <v>241</v>
      </c>
      <c r="E1179" s="147" t="n">
        <v>1</v>
      </c>
      <c r="F1179" s="147"/>
      <c r="G1179" s="160" t="n">
        <v>6</v>
      </c>
      <c r="H1179" s="127"/>
      <c r="I1179" s="127"/>
    </row>
    <row r="1180" customFormat="false" ht="15" hidden="false" customHeight="true" outlineLevel="0" collapsed="false">
      <c r="A1180" s="144" t="n">
        <v>46076</v>
      </c>
      <c r="B1180" s="161" t="s">
        <v>753</v>
      </c>
      <c r="C1180" s="159" t="s">
        <v>670</v>
      </c>
      <c r="D1180" s="161" t="s">
        <v>246</v>
      </c>
      <c r="E1180" s="147" t="n">
        <v>1</v>
      </c>
      <c r="F1180" s="147"/>
      <c r="G1180" s="160" t="n">
        <v>6</v>
      </c>
      <c r="H1180" s="127"/>
      <c r="I1180" s="127"/>
    </row>
    <row r="1181" customFormat="false" ht="15" hidden="false" customHeight="true" outlineLevel="0" collapsed="false">
      <c r="A1181" s="144" t="n">
        <v>46076</v>
      </c>
      <c r="B1181" s="161" t="s">
        <v>753</v>
      </c>
      <c r="C1181" s="159" t="s">
        <v>670</v>
      </c>
      <c r="D1181" s="161" t="s">
        <v>243</v>
      </c>
      <c r="E1181" s="147" t="n">
        <v>1</v>
      </c>
      <c r="F1181" s="147"/>
      <c r="G1181" s="160" t="n">
        <v>6</v>
      </c>
      <c r="H1181" s="127"/>
      <c r="I1181" s="127"/>
    </row>
    <row r="1182" customFormat="false" ht="15" hidden="false" customHeight="true" outlineLevel="0" collapsed="false">
      <c r="A1182" s="144" t="n">
        <v>46076</v>
      </c>
      <c r="B1182" s="161" t="s">
        <v>753</v>
      </c>
      <c r="C1182" s="159" t="s">
        <v>670</v>
      </c>
      <c r="D1182" s="161" t="s">
        <v>244</v>
      </c>
      <c r="E1182" s="147" t="n">
        <v>1</v>
      </c>
      <c r="F1182" s="147"/>
      <c r="G1182" s="160" t="n">
        <v>6</v>
      </c>
      <c r="H1182" s="127"/>
      <c r="I1182" s="127"/>
    </row>
    <row r="1183" customFormat="false" ht="15" hidden="false" customHeight="true" outlineLevel="0" collapsed="false">
      <c r="A1183" s="144" t="n">
        <v>46076</v>
      </c>
      <c r="B1183" s="161" t="s">
        <v>753</v>
      </c>
      <c r="C1183" s="159" t="s">
        <v>670</v>
      </c>
      <c r="D1183" s="161" t="s">
        <v>178</v>
      </c>
      <c r="E1183" s="147" t="n">
        <v>1</v>
      </c>
      <c r="F1183" s="147"/>
      <c r="G1183" s="160" t="n">
        <v>30</v>
      </c>
      <c r="H1183" s="127"/>
      <c r="I1183" s="127"/>
    </row>
    <row r="1184" customFormat="false" ht="15" hidden="false" customHeight="true" outlineLevel="0" collapsed="false">
      <c r="A1184" s="144" t="n">
        <v>46077</v>
      </c>
      <c r="B1184" s="127"/>
      <c r="C1184" s="159" t="s">
        <v>679</v>
      </c>
      <c r="D1184" s="161" t="s">
        <v>143</v>
      </c>
      <c r="E1184" s="147" t="n">
        <v>1</v>
      </c>
      <c r="F1184" s="147"/>
      <c r="G1184" s="160" t="n">
        <v>8</v>
      </c>
      <c r="H1184" s="127"/>
      <c r="I1184" s="127"/>
    </row>
    <row r="1185" customFormat="false" ht="15" hidden="false" customHeight="true" outlineLevel="0" collapsed="false">
      <c r="A1185" s="144" t="n">
        <v>46077</v>
      </c>
      <c r="B1185" s="127"/>
      <c r="C1185" s="159" t="s">
        <v>679</v>
      </c>
      <c r="D1185" s="161" t="s">
        <v>144</v>
      </c>
      <c r="E1185" s="147" t="n">
        <v>1</v>
      </c>
      <c r="F1185" s="147"/>
      <c r="G1185" s="160" t="n">
        <v>18</v>
      </c>
      <c r="H1185" s="127"/>
      <c r="I1185" s="127"/>
    </row>
    <row r="1186" customFormat="false" ht="15" hidden="false" customHeight="true" outlineLevel="0" collapsed="false">
      <c r="A1186" s="144" t="n">
        <v>46077</v>
      </c>
      <c r="B1186" s="127"/>
      <c r="C1186" s="159" t="s">
        <v>679</v>
      </c>
      <c r="D1186" s="161" t="s">
        <v>147</v>
      </c>
      <c r="E1186" s="147" t="n">
        <v>1</v>
      </c>
      <c r="F1186" s="147"/>
      <c r="G1186" s="160" t="n">
        <v>2</v>
      </c>
      <c r="H1186" s="127"/>
      <c r="I1186" s="127"/>
    </row>
    <row r="1187" customFormat="false" ht="15" hidden="false" customHeight="true" outlineLevel="0" collapsed="false">
      <c r="A1187" s="144" t="n">
        <v>46077</v>
      </c>
      <c r="B1187" s="127"/>
      <c r="C1187" s="159" t="s">
        <v>679</v>
      </c>
      <c r="D1187" s="161" t="s">
        <v>155</v>
      </c>
      <c r="E1187" s="147" t="n">
        <v>1</v>
      </c>
      <c r="F1187" s="147"/>
      <c r="G1187" s="160" t="n">
        <v>6.4</v>
      </c>
      <c r="H1187" s="127"/>
      <c r="I1187" s="127"/>
    </row>
    <row r="1188" customFormat="false" ht="15" hidden="false" customHeight="true" outlineLevel="0" collapsed="false">
      <c r="A1188" s="144" t="n">
        <v>46077</v>
      </c>
      <c r="B1188" s="127"/>
      <c r="C1188" s="159" t="s">
        <v>679</v>
      </c>
      <c r="D1188" s="161" t="s">
        <v>159</v>
      </c>
      <c r="E1188" s="147" t="n">
        <v>1</v>
      </c>
      <c r="F1188" s="147"/>
      <c r="G1188" s="160" t="n">
        <v>2</v>
      </c>
      <c r="H1188" s="127"/>
      <c r="I1188" s="127"/>
    </row>
    <row r="1189" customFormat="false" ht="15" hidden="false" customHeight="true" outlineLevel="0" collapsed="false">
      <c r="A1189" s="144" t="n">
        <v>46077</v>
      </c>
      <c r="B1189" s="127"/>
      <c r="C1189" s="159" t="s">
        <v>679</v>
      </c>
      <c r="D1189" s="161" t="s">
        <v>161</v>
      </c>
      <c r="E1189" s="147" t="n">
        <v>1</v>
      </c>
      <c r="F1189" s="147"/>
      <c r="G1189" s="160" t="n">
        <v>4</v>
      </c>
      <c r="H1189" s="127"/>
      <c r="I1189" s="127"/>
    </row>
    <row r="1190" customFormat="false" ht="15" hidden="false" customHeight="true" outlineLevel="0" collapsed="false">
      <c r="A1190" s="144" t="n">
        <v>46077</v>
      </c>
      <c r="B1190" s="127"/>
      <c r="C1190" s="159" t="s">
        <v>679</v>
      </c>
      <c r="D1190" s="161" t="s">
        <v>163</v>
      </c>
      <c r="E1190" s="147" t="n">
        <v>1</v>
      </c>
      <c r="F1190" s="147"/>
      <c r="G1190" s="160" t="n">
        <v>1.8</v>
      </c>
      <c r="H1190" s="127"/>
      <c r="I1190" s="127"/>
    </row>
    <row r="1191" customFormat="false" ht="15" hidden="false" customHeight="true" outlineLevel="0" collapsed="false">
      <c r="A1191" s="144" t="n">
        <v>46077</v>
      </c>
      <c r="B1191" s="127"/>
      <c r="C1191" s="159" t="s">
        <v>679</v>
      </c>
      <c r="D1191" s="161" t="s">
        <v>174</v>
      </c>
      <c r="E1191" s="147" t="n">
        <v>1</v>
      </c>
      <c r="F1191" s="147"/>
      <c r="G1191" s="160" t="n">
        <v>10</v>
      </c>
      <c r="H1191" s="127"/>
      <c r="I1191" s="127"/>
    </row>
    <row r="1192" customFormat="false" ht="15" hidden="false" customHeight="true" outlineLevel="0" collapsed="false">
      <c r="A1192" s="144" t="n">
        <v>46077</v>
      </c>
      <c r="B1192" s="127"/>
      <c r="C1192" s="159" t="s">
        <v>679</v>
      </c>
      <c r="D1192" s="161" t="s">
        <v>183</v>
      </c>
      <c r="E1192" s="147" t="n">
        <v>1</v>
      </c>
      <c r="F1192" s="147"/>
      <c r="G1192" s="160" t="n">
        <v>7.2</v>
      </c>
      <c r="H1192" s="127"/>
      <c r="I1192" s="127"/>
    </row>
    <row r="1193" customFormat="false" ht="15" hidden="false" customHeight="true" outlineLevel="0" collapsed="false">
      <c r="A1193" s="144" t="n">
        <v>46077</v>
      </c>
      <c r="B1193" s="127"/>
      <c r="C1193" s="159" t="s">
        <v>679</v>
      </c>
      <c r="D1193" s="161" t="s">
        <v>184</v>
      </c>
      <c r="E1193" s="147" t="n">
        <v>1</v>
      </c>
      <c r="F1193" s="147"/>
      <c r="G1193" s="160" t="n">
        <v>4</v>
      </c>
      <c r="H1193" s="127"/>
      <c r="I1193" s="127"/>
    </row>
    <row r="1194" customFormat="false" ht="15" hidden="false" customHeight="true" outlineLevel="0" collapsed="false">
      <c r="A1194" s="144" t="n">
        <v>46077</v>
      </c>
      <c r="B1194" s="127"/>
      <c r="C1194" s="159" t="s">
        <v>679</v>
      </c>
      <c r="D1194" s="161" t="s">
        <v>222</v>
      </c>
      <c r="E1194" s="147" t="n">
        <v>1</v>
      </c>
      <c r="F1194" s="147"/>
      <c r="G1194" s="160" t="n">
        <v>1.6</v>
      </c>
      <c r="H1194" s="127"/>
      <c r="I1194" s="127"/>
    </row>
    <row r="1195" customFormat="false" ht="15" hidden="false" customHeight="true" outlineLevel="0" collapsed="false">
      <c r="A1195" s="144" t="n">
        <v>46077</v>
      </c>
      <c r="B1195" s="127"/>
      <c r="C1195" s="159" t="s">
        <v>679</v>
      </c>
      <c r="D1195" s="161" t="s">
        <v>204</v>
      </c>
      <c r="E1195" s="147" t="n">
        <v>1</v>
      </c>
      <c r="F1195" s="147"/>
      <c r="G1195" s="160" t="n">
        <v>28.8</v>
      </c>
      <c r="H1195" s="127"/>
      <c r="I1195" s="127"/>
    </row>
    <row r="1196" customFormat="false" ht="15" hidden="false" customHeight="true" outlineLevel="0" collapsed="false">
      <c r="A1196" s="144" t="n">
        <v>46077</v>
      </c>
      <c r="B1196" s="127"/>
      <c r="C1196" s="159" t="s">
        <v>679</v>
      </c>
      <c r="D1196" s="161" t="s">
        <v>236</v>
      </c>
      <c r="E1196" s="147" t="n">
        <v>1</v>
      </c>
      <c r="F1196" s="147"/>
      <c r="G1196" s="160" t="n">
        <v>14.4</v>
      </c>
      <c r="H1196" s="127"/>
      <c r="I1196" s="127"/>
    </row>
    <row r="1197" customFormat="false" ht="15" hidden="false" customHeight="true" outlineLevel="0" collapsed="false">
      <c r="A1197" s="144" t="n">
        <v>46077</v>
      </c>
      <c r="B1197" s="127"/>
      <c r="C1197" s="159" t="s">
        <v>679</v>
      </c>
      <c r="D1197" s="161" t="s">
        <v>220</v>
      </c>
      <c r="E1197" s="147" t="n">
        <v>1</v>
      </c>
      <c r="F1197" s="147"/>
      <c r="G1197" s="160" t="n">
        <v>2</v>
      </c>
      <c r="H1197" s="127"/>
      <c r="I1197" s="127"/>
    </row>
    <row r="1198" customFormat="false" ht="15" hidden="false" customHeight="true" outlineLevel="0" collapsed="false">
      <c r="A1198" s="144" t="n">
        <v>46078</v>
      </c>
      <c r="B1198" s="127"/>
      <c r="C1198" s="159" t="s">
        <v>679</v>
      </c>
      <c r="D1198" s="161" t="s">
        <v>143</v>
      </c>
      <c r="E1198" s="147" t="n">
        <v>1</v>
      </c>
      <c r="F1198" s="147"/>
      <c r="G1198" s="160" t="n">
        <v>10</v>
      </c>
      <c r="H1198" s="127"/>
      <c r="I1198" s="127"/>
    </row>
    <row r="1199" customFormat="false" ht="15" hidden="false" customHeight="true" outlineLevel="0" collapsed="false">
      <c r="A1199" s="144" t="n">
        <v>46078</v>
      </c>
      <c r="B1199" s="127"/>
      <c r="C1199" s="159" t="s">
        <v>679</v>
      </c>
      <c r="D1199" s="161" t="s">
        <v>144</v>
      </c>
      <c r="E1199" s="147" t="n">
        <v>1</v>
      </c>
      <c r="F1199" s="147"/>
      <c r="G1199" s="160" t="n">
        <v>6</v>
      </c>
      <c r="H1199" s="127"/>
      <c r="I1199" s="127"/>
    </row>
    <row r="1200" customFormat="false" ht="15" hidden="false" customHeight="true" outlineLevel="0" collapsed="false">
      <c r="A1200" s="144" t="n">
        <v>46078</v>
      </c>
      <c r="B1200" s="127"/>
      <c r="C1200" s="159" t="s">
        <v>679</v>
      </c>
      <c r="D1200" s="161" t="s">
        <v>155</v>
      </c>
      <c r="E1200" s="147" t="n">
        <v>1</v>
      </c>
      <c r="F1200" s="147"/>
      <c r="G1200" s="160" t="n">
        <v>11.2</v>
      </c>
      <c r="H1200" s="127"/>
      <c r="I1200" s="127"/>
    </row>
    <row r="1201" customFormat="false" ht="15" hidden="false" customHeight="true" outlineLevel="0" collapsed="false">
      <c r="A1201" s="144" t="n">
        <v>46078</v>
      </c>
      <c r="B1201" s="127"/>
      <c r="C1201" s="159" t="s">
        <v>679</v>
      </c>
      <c r="D1201" s="161" t="s">
        <v>159</v>
      </c>
      <c r="E1201" s="147" t="n">
        <v>1</v>
      </c>
      <c r="F1201" s="147"/>
      <c r="G1201" s="160" t="n">
        <v>2</v>
      </c>
      <c r="H1201" s="127"/>
      <c r="I1201" s="127"/>
    </row>
    <row r="1202" customFormat="false" ht="15" hidden="false" customHeight="true" outlineLevel="0" collapsed="false">
      <c r="A1202" s="144" t="n">
        <v>46078</v>
      </c>
      <c r="B1202" s="127"/>
      <c r="C1202" s="159" t="s">
        <v>679</v>
      </c>
      <c r="D1202" s="161" t="s">
        <v>174</v>
      </c>
      <c r="E1202" s="147" t="n">
        <v>1</v>
      </c>
      <c r="F1202" s="147"/>
      <c r="G1202" s="160" t="n">
        <v>10.9</v>
      </c>
      <c r="H1202" s="127"/>
      <c r="I1202" s="127"/>
    </row>
    <row r="1203" customFormat="false" ht="15" hidden="false" customHeight="true" outlineLevel="0" collapsed="false">
      <c r="A1203" s="144" t="n">
        <v>46078</v>
      </c>
      <c r="B1203" s="127"/>
      <c r="C1203" s="159" t="s">
        <v>679</v>
      </c>
      <c r="D1203" s="161" t="s">
        <v>183</v>
      </c>
      <c r="E1203" s="147" t="n">
        <v>1</v>
      </c>
      <c r="F1203" s="147"/>
      <c r="G1203" s="160" t="n">
        <v>1.8</v>
      </c>
      <c r="H1203" s="127"/>
      <c r="I1203" s="127"/>
    </row>
    <row r="1204" customFormat="false" ht="15" hidden="false" customHeight="true" outlineLevel="0" collapsed="false">
      <c r="A1204" s="144" t="n">
        <v>46078</v>
      </c>
      <c r="B1204" s="127"/>
      <c r="C1204" s="159" t="s">
        <v>679</v>
      </c>
      <c r="D1204" s="161" t="s">
        <v>184</v>
      </c>
      <c r="E1204" s="147" t="n">
        <v>1</v>
      </c>
      <c r="F1204" s="147"/>
      <c r="G1204" s="160" t="n">
        <v>2</v>
      </c>
      <c r="H1204" s="127"/>
      <c r="I1204" s="127"/>
    </row>
    <row r="1205" customFormat="false" ht="15" hidden="false" customHeight="true" outlineLevel="0" collapsed="false">
      <c r="A1205" s="144" t="n">
        <v>46078</v>
      </c>
      <c r="B1205" s="127"/>
      <c r="C1205" s="159" t="s">
        <v>679</v>
      </c>
      <c r="D1205" s="161" t="s">
        <v>222</v>
      </c>
      <c r="E1205" s="147" t="n">
        <v>1</v>
      </c>
      <c r="F1205" s="147"/>
      <c r="G1205" s="160" t="n">
        <v>2.4</v>
      </c>
      <c r="H1205" s="127"/>
      <c r="I1205" s="127"/>
    </row>
    <row r="1206" customFormat="false" ht="15" hidden="false" customHeight="true" outlineLevel="0" collapsed="false">
      <c r="A1206" s="144" t="n">
        <v>46078</v>
      </c>
      <c r="B1206" s="127"/>
      <c r="C1206" s="159" t="s">
        <v>679</v>
      </c>
      <c r="D1206" s="161" t="s">
        <v>204</v>
      </c>
      <c r="E1206" s="147" t="n">
        <v>1</v>
      </c>
      <c r="F1206" s="147"/>
      <c r="G1206" s="160" t="n">
        <v>26.1</v>
      </c>
      <c r="H1206" s="127"/>
      <c r="I1206" s="127"/>
    </row>
    <row r="1207" customFormat="false" ht="15" hidden="false" customHeight="true" outlineLevel="0" collapsed="false">
      <c r="A1207" s="144" t="n">
        <v>46078</v>
      </c>
      <c r="B1207" s="127"/>
      <c r="C1207" s="159" t="s">
        <v>679</v>
      </c>
      <c r="D1207" s="161" t="s">
        <v>236</v>
      </c>
      <c r="E1207" s="147" t="n">
        <v>1</v>
      </c>
      <c r="F1207" s="147"/>
      <c r="G1207" s="160" t="n">
        <v>15.3</v>
      </c>
      <c r="H1207" s="127"/>
      <c r="I1207" s="127"/>
    </row>
    <row r="1208" customFormat="false" ht="15" hidden="false" customHeight="true" outlineLevel="0" collapsed="false">
      <c r="A1208" s="144" t="n">
        <v>46078</v>
      </c>
      <c r="B1208" s="127"/>
      <c r="C1208" s="159" t="s">
        <v>679</v>
      </c>
      <c r="D1208" s="161" t="s">
        <v>220</v>
      </c>
      <c r="E1208" s="147" t="n">
        <v>1</v>
      </c>
      <c r="F1208" s="147"/>
      <c r="G1208" s="160" t="n">
        <v>1</v>
      </c>
      <c r="H1208" s="127"/>
      <c r="I1208" s="127"/>
    </row>
    <row r="1209" customFormat="false" ht="15" hidden="false" customHeight="true" outlineLevel="0" collapsed="false">
      <c r="A1209" s="144" t="n">
        <v>46079</v>
      </c>
      <c r="B1209" s="127"/>
      <c r="C1209" s="159" t="s">
        <v>679</v>
      </c>
      <c r="D1209" s="161" t="s">
        <v>144</v>
      </c>
      <c r="E1209" s="147" t="n">
        <v>1</v>
      </c>
      <c r="F1209" s="147"/>
      <c r="G1209" s="160" t="n">
        <v>26</v>
      </c>
      <c r="H1209" s="127"/>
      <c r="I1209" s="127"/>
    </row>
    <row r="1210" customFormat="false" ht="15" hidden="false" customHeight="true" outlineLevel="0" collapsed="false">
      <c r="A1210" s="144" t="n">
        <v>46079</v>
      </c>
      <c r="B1210" s="127"/>
      <c r="C1210" s="159" t="s">
        <v>679</v>
      </c>
      <c r="D1210" s="161" t="s">
        <v>147</v>
      </c>
      <c r="E1210" s="147" t="n">
        <v>1</v>
      </c>
      <c r="F1210" s="147"/>
      <c r="G1210" s="160" t="n">
        <v>2</v>
      </c>
      <c r="H1210" s="127"/>
      <c r="I1210" s="127"/>
    </row>
    <row r="1211" customFormat="false" ht="15" hidden="false" customHeight="true" outlineLevel="0" collapsed="false">
      <c r="A1211" s="144" t="n">
        <v>46079</v>
      </c>
      <c r="B1211" s="127"/>
      <c r="C1211" s="159" t="s">
        <v>679</v>
      </c>
      <c r="D1211" s="161" t="s">
        <v>155</v>
      </c>
      <c r="E1211" s="147" t="n">
        <v>1</v>
      </c>
      <c r="F1211" s="147"/>
      <c r="G1211" s="160" t="n">
        <v>1.6</v>
      </c>
      <c r="H1211" s="127"/>
      <c r="I1211" s="127"/>
    </row>
    <row r="1212" customFormat="false" ht="15" hidden="false" customHeight="true" outlineLevel="0" collapsed="false">
      <c r="A1212" s="144" t="n">
        <v>46079</v>
      </c>
      <c r="B1212" s="127"/>
      <c r="C1212" s="159" t="s">
        <v>679</v>
      </c>
      <c r="D1212" s="161" t="s">
        <v>174</v>
      </c>
      <c r="E1212" s="147" t="n">
        <v>1</v>
      </c>
      <c r="F1212" s="147"/>
      <c r="G1212" s="160" t="n">
        <v>2</v>
      </c>
      <c r="H1212" s="127"/>
      <c r="I1212" s="127"/>
    </row>
    <row r="1213" customFormat="false" ht="15" hidden="false" customHeight="true" outlineLevel="0" collapsed="false">
      <c r="A1213" s="144" t="n">
        <v>46079</v>
      </c>
      <c r="B1213" s="127"/>
      <c r="C1213" s="159" t="s">
        <v>679</v>
      </c>
      <c r="D1213" s="161" t="s">
        <v>181</v>
      </c>
      <c r="E1213" s="147" t="n">
        <v>1</v>
      </c>
      <c r="F1213" s="147"/>
      <c r="G1213" s="160" t="n">
        <v>1</v>
      </c>
      <c r="H1213" s="127"/>
      <c r="I1213" s="127"/>
    </row>
    <row r="1214" customFormat="false" ht="15" hidden="false" customHeight="true" outlineLevel="0" collapsed="false">
      <c r="A1214" s="144" t="n">
        <v>46079</v>
      </c>
      <c r="B1214" s="127"/>
      <c r="C1214" s="159" t="s">
        <v>679</v>
      </c>
      <c r="D1214" s="161" t="s">
        <v>183</v>
      </c>
      <c r="E1214" s="147" t="n">
        <v>1</v>
      </c>
      <c r="F1214" s="147"/>
      <c r="G1214" s="160" t="n">
        <v>9</v>
      </c>
      <c r="H1214" s="127"/>
      <c r="I1214" s="127"/>
    </row>
    <row r="1215" customFormat="false" ht="15" hidden="false" customHeight="true" outlineLevel="0" collapsed="false">
      <c r="A1215" s="144" t="n">
        <v>46079</v>
      </c>
      <c r="B1215" s="127"/>
      <c r="C1215" s="159" t="s">
        <v>679</v>
      </c>
      <c r="D1215" s="161" t="s">
        <v>184</v>
      </c>
      <c r="E1215" s="147" t="n">
        <v>1</v>
      </c>
      <c r="F1215" s="147"/>
      <c r="G1215" s="160" t="n">
        <v>2</v>
      </c>
      <c r="H1215" s="127"/>
      <c r="I1215" s="127"/>
    </row>
    <row r="1216" customFormat="false" ht="15" hidden="false" customHeight="true" outlineLevel="0" collapsed="false">
      <c r="A1216" s="144" t="n">
        <v>46079</v>
      </c>
      <c r="B1216" s="127"/>
      <c r="C1216" s="159" t="s">
        <v>679</v>
      </c>
      <c r="D1216" s="161" t="s">
        <v>222</v>
      </c>
      <c r="E1216" s="147" t="n">
        <v>1</v>
      </c>
      <c r="F1216" s="147"/>
      <c r="G1216" s="160" t="n">
        <v>3.2</v>
      </c>
      <c r="H1216" s="127"/>
      <c r="I1216" s="127"/>
    </row>
    <row r="1217" customFormat="false" ht="15" hidden="false" customHeight="true" outlineLevel="0" collapsed="false">
      <c r="A1217" s="144" t="n">
        <v>46079</v>
      </c>
      <c r="B1217" s="127"/>
      <c r="C1217" s="159" t="s">
        <v>679</v>
      </c>
      <c r="D1217" s="161" t="s">
        <v>204</v>
      </c>
      <c r="E1217" s="147" t="n">
        <v>1</v>
      </c>
      <c r="F1217" s="147"/>
      <c r="G1217" s="160" t="n">
        <v>12.6</v>
      </c>
      <c r="H1217" s="127"/>
      <c r="I1217" s="127"/>
    </row>
    <row r="1218" customFormat="false" ht="15" hidden="false" customHeight="true" outlineLevel="0" collapsed="false">
      <c r="A1218" s="144" t="n">
        <v>46079</v>
      </c>
      <c r="B1218" s="127"/>
      <c r="C1218" s="159" t="s">
        <v>679</v>
      </c>
      <c r="D1218" s="161" t="s">
        <v>236</v>
      </c>
      <c r="E1218" s="147" t="n">
        <v>1</v>
      </c>
      <c r="F1218" s="147"/>
      <c r="G1218" s="160" t="n">
        <v>7.2</v>
      </c>
      <c r="H1218" s="127"/>
      <c r="I1218" s="127"/>
    </row>
    <row r="1219" customFormat="false" ht="15" hidden="false" customHeight="true" outlineLevel="0" collapsed="false">
      <c r="A1219" s="144" t="n">
        <v>46079</v>
      </c>
      <c r="B1219" s="127"/>
      <c r="C1219" s="159" t="s">
        <v>679</v>
      </c>
      <c r="D1219" s="161" t="s">
        <v>220</v>
      </c>
      <c r="E1219" s="147" t="n">
        <v>1</v>
      </c>
      <c r="F1219" s="147"/>
      <c r="G1219" s="160" t="n">
        <v>2</v>
      </c>
      <c r="H1219" s="127"/>
      <c r="I1219" s="127"/>
    </row>
    <row r="1220" customFormat="false" ht="15" hidden="false" customHeight="true" outlineLevel="0" collapsed="false">
      <c r="A1220" s="144" t="n">
        <v>46080</v>
      </c>
      <c r="B1220" s="127"/>
      <c r="C1220" s="159" t="s">
        <v>679</v>
      </c>
      <c r="D1220" s="161" t="s">
        <v>143</v>
      </c>
      <c r="E1220" s="147" t="n">
        <v>1</v>
      </c>
      <c r="F1220" s="147"/>
      <c r="G1220" s="160" t="n">
        <v>4</v>
      </c>
      <c r="H1220" s="127"/>
      <c r="I1220" s="127"/>
    </row>
    <row r="1221" customFormat="false" ht="15" hidden="false" customHeight="true" outlineLevel="0" collapsed="false">
      <c r="A1221" s="144" t="n">
        <v>46080</v>
      </c>
      <c r="B1221" s="127"/>
      <c r="C1221" s="159" t="s">
        <v>679</v>
      </c>
      <c r="D1221" s="161" t="s">
        <v>144</v>
      </c>
      <c r="E1221" s="147" t="n">
        <v>1</v>
      </c>
      <c r="F1221" s="147"/>
      <c r="G1221" s="160" t="n">
        <v>14</v>
      </c>
      <c r="H1221" s="127"/>
      <c r="I1221" s="127"/>
    </row>
    <row r="1222" customFormat="false" ht="15" hidden="false" customHeight="true" outlineLevel="0" collapsed="false">
      <c r="A1222" s="144" t="n">
        <v>46080</v>
      </c>
      <c r="B1222" s="127"/>
      <c r="C1222" s="159" t="s">
        <v>679</v>
      </c>
      <c r="D1222" s="161" t="s">
        <v>155</v>
      </c>
      <c r="E1222" s="147" t="n">
        <v>1</v>
      </c>
      <c r="F1222" s="147"/>
      <c r="G1222" s="160" t="n">
        <v>3.4</v>
      </c>
      <c r="H1222" s="127"/>
      <c r="I1222" s="127"/>
    </row>
    <row r="1223" customFormat="false" ht="15" hidden="false" customHeight="true" outlineLevel="0" collapsed="false">
      <c r="A1223" s="144" t="n">
        <v>46080</v>
      </c>
      <c r="B1223" s="127"/>
      <c r="C1223" s="159" t="s">
        <v>679</v>
      </c>
      <c r="D1223" s="161" t="s">
        <v>159</v>
      </c>
      <c r="E1223" s="147" t="n">
        <v>1</v>
      </c>
      <c r="F1223" s="147"/>
      <c r="G1223" s="160" t="n">
        <v>2</v>
      </c>
      <c r="H1223" s="127"/>
      <c r="I1223" s="127"/>
    </row>
    <row r="1224" customFormat="false" ht="15" hidden="false" customHeight="true" outlineLevel="0" collapsed="false">
      <c r="A1224" s="144" t="n">
        <v>46080</v>
      </c>
      <c r="B1224" s="127"/>
      <c r="C1224" s="159" t="s">
        <v>679</v>
      </c>
      <c r="D1224" s="161" t="s">
        <v>174</v>
      </c>
      <c r="E1224" s="147" t="n">
        <v>1</v>
      </c>
      <c r="F1224" s="147"/>
      <c r="G1224" s="160" t="n">
        <v>8</v>
      </c>
      <c r="H1224" s="127"/>
      <c r="I1224" s="127"/>
    </row>
    <row r="1225" customFormat="false" ht="15" hidden="false" customHeight="true" outlineLevel="0" collapsed="false">
      <c r="A1225" s="144" t="n">
        <v>46080</v>
      </c>
      <c r="B1225" s="127"/>
      <c r="C1225" s="159" t="s">
        <v>679</v>
      </c>
      <c r="D1225" s="161" t="s">
        <v>178</v>
      </c>
      <c r="E1225" s="147" t="n">
        <v>1</v>
      </c>
      <c r="F1225" s="147"/>
      <c r="G1225" s="160" t="n">
        <v>1</v>
      </c>
      <c r="H1225" s="127"/>
      <c r="I1225" s="127"/>
    </row>
    <row r="1226" customFormat="false" ht="15" hidden="false" customHeight="true" outlineLevel="0" collapsed="false">
      <c r="A1226" s="144" t="n">
        <v>46080</v>
      </c>
      <c r="B1226" s="127"/>
      <c r="C1226" s="159" t="s">
        <v>679</v>
      </c>
      <c r="D1226" s="161" t="s">
        <v>183</v>
      </c>
      <c r="E1226" s="147" t="n">
        <v>1</v>
      </c>
      <c r="F1226" s="147"/>
      <c r="G1226" s="160" t="n">
        <v>1.8</v>
      </c>
      <c r="H1226" s="127"/>
      <c r="I1226" s="127"/>
    </row>
    <row r="1227" customFormat="false" ht="15" hidden="false" customHeight="true" outlineLevel="0" collapsed="false">
      <c r="A1227" s="144" t="n">
        <v>46080</v>
      </c>
      <c r="B1227" s="127"/>
      <c r="C1227" s="159" t="s">
        <v>679</v>
      </c>
      <c r="D1227" s="161" t="s">
        <v>184</v>
      </c>
      <c r="E1227" s="147" t="n">
        <v>1</v>
      </c>
      <c r="F1227" s="147"/>
      <c r="G1227" s="160" t="n">
        <v>2</v>
      </c>
      <c r="H1227" s="127"/>
      <c r="I1227" s="127"/>
    </row>
    <row r="1228" customFormat="false" ht="15" hidden="false" customHeight="true" outlineLevel="0" collapsed="false">
      <c r="A1228" s="144" t="n">
        <v>46080</v>
      </c>
      <c r="B1228" s="127"/>
      <c r="C1228" s="159" t="s">
        <v>679</v>
      </c>
      <c r="D1228" s="161" t="s">
        <v>222</v>
      </c>
      <c r="E1228" s="147" t="n">
        <v>1</v>
      </c>
      <c r="F1228" s="147"/>
      <c r="G1228" s="160" t="n">
        <v>0.8</v>
      </c>
      <c r="H1228" s="127"/>
      <c r="I1228" s="127"/>
    </row>
    <row r="1229" customFormat="false" ht="15" hidden="false" customHeight="true" outlineLevel="0" collapsed="false">
      <c r="A1229" s="144" t="n">
        <v>46080</v>
      </c>
      <c r="B1229" s="127"/>
      <c r="C1229" s="159" t="s">
        <v>679</v>
      </c>
      <c r="D1229" s="161" t="s">
        <v>204</v>
      </c>
      <c r="E1229" s="147" t="n">
        <v>1</v>
      </c>
      <c r="F1229" s="147"/>
      <c r="G1229" s="160" t="n">
        <v>16.2</v>
      </c>
      <c r="H1229" s="127"/>
      <c r="I1229" s="127"/>
    </row>
    <row r="1230" customFormat="false" ht="15" hidden="false" customHeight="true" outlineLevel="0" collapsed="false">
      <c r="A1230" s="144" t="n">
        <v>46080</v>
      </c>
      <c r="B1230" s="127"/>
      <c r="C1230" s="159" t="s">
        <v>679</v>
      </c>
      <c r="D1230" s="161" t="s">
        <v>236</v>
      </c>
      <c r="E1230" s="147" t="n">
        <v>1</v>
      </c>
      <c r="F1230" s="147"/>
      <c r="G1230" s="160" t="n">
        <v>10.8</v>
      </c>
      <c r="H1230" s="127"/>
      <c r="I1230" s="127"/>
    </row>
    <row r="1231" customFormat="false" ht="15" hidden="false" customHeight="true" outlineLevel="0" collapsed="false">
      <c r="A1231" s="144" t="n">
        <v>46080</v>
      </c>
      <c r="B1231" s="161" t="s">
        <v>669</v>
      </c>
      <c r="C1231" s="159" t="s">
        <v>670</v>
      </c>
      <c r="D1231" s="161" t="s">
        <v>183</v>
      </c>
      <c r="E1231" s="147" t="n">
        <v>1</v>
      </c>
      <c r="F1231" s="147" t="n">
        <v>1200</v>
      </c>
      <c r="G1231" s="160" t="n">
        <v>1.2</v>
      </c>
      <c r="H1231" s="127"/>
      <c r="I1231" s="127"/>
    </row>
    <row r="1232" customFormat="false" ht="15" hidden="false" customHeight="true" outlineLevel="0" collapsed="false">
      <c r="A1232" s="144" t="n">
        <v>46080</v>
      </c>
      <c r="B1232" s="161" t="s">
        <v>669</v>
      </c>
      <c r="C1232" s="159" t="s">
        <v>670</v>
      </c>
      <c r="D1232" s="161" t="s">
        <v>222</v>
      </c>
      <c r="E1232" s="147" t="n">
        <v>1</v>
      </c>
      <c r="F1232" s="147" t="n">
        <v>800</v>
      </c>
      <c r="G1232" s="160" t="n">
        <v>0.8</v>
      </c>
      <c r="H1232" s="127"/>
      <c r="I1232" s="127"/>
    </row>
    <row r="1233" customFormat="false" ht="15" hidden="false" customHeight="true" outlineLevel="0" collapsed="false">
      <c r="A1233" s="144" t="n">
        <v>46080</v>
      </c>
      <c r="B1233" s="161" t="s">
        <v>753</v>
      </c>
      <c r="C1233" s="159" t="s">
        <v>670</v>
      </c>
      <c r="D1233" s="161" t="s">
        <v>242</v>
      </c>
      <c r="E1233" s="147" t="n">
        <v>100</v>
      </c>
      <c r="F1233" s="147" t="n">
        <v>60</v>
      </c>
      <c r="G1233" s="160" t="n">
        <v>6</v>
      </c>
      <c r="H1233" s="127"/>
      <c r="I1233" s="127"/>
    </row>
    <row r="1234" customFormat="false" ht="15" hidden="false" customHeight="true" outlineLevel="0" collapsed="false">
      <c r="A1234" s="144" t="n">
        <v>46080</v>
      </c>
      <c r="B1234" s="161" t="s">
        <v>753</v>
      </c>
      <c r="C1234" s="159" t="s">
        <v>670</v>
      </c>
      <c r="D1234" s="161" t="s">
        <v>240</v>
      </c>
      <c r="E1234" s="147" t="n">
        <v>100</v>
      </c>
      <c r="F1234" s="147" t="n">
        <v>60</v>
      </c>
      <c r="G1234" s="160" t="n">
        <v>6</v>
      </c>
      <c r="H1234" s="127"/>
      <c r="I1234" s="127"/>
    </row>
    <row r="1235" customFormat="false" ht="15" hidden="false" customHeight="true" outlineLevel="0" collapsed="false">
      <c r="A1235" s="144" t="n">
        <v>46080</v>
      </c>
      <c r="B1235" s="161" t="s">
        <v>753</v>
      </c>
      <c r="C1235" s="159" t="s">
        <v>670</v>
      </c>
      <c r="D1235" s="161" t="s">
        <v>240</v>
      </c>
      <c r="E1235" s="147" t="n">
        <v>100</v>
      </c>
      <c r="F1235" s="147" t="n">
        <v>60</v>
      </c>
      <c r="G1235" s="160" t="n">
        <v>6</v>
      </c>
      <c r="H1235" s="127"/>
      <c r="I1235" s="127"/>
    </row>
    <row r="1236" customFormat="false" ht="15" hidden="false" customHeight="true" outlineLevel="0" collapsed="false">
      <c r="A1236" s="144" t="n">
        <v>46080</v>
      </c>
      <c r="B1236" s="161" t="s">
        <v>753</v>
      </c>
      <c r="C1236" s="159" t="s">
        <v>670</v>
      </c>
      <c r="D1236" s="161" t="s">
        <v>241</v>
      </c>
      <c r="E1236" s="147" t="n">
        <v>100</v>
      </c>
      <c r="F1236" s="147" t="n">
        <v>60</v>
      </c>
      <c r="G1236" s="160" t="n">
        <v>6</v>
      </c>
      <c r="H1236" s="127"/>
      <c r="I1236" s="127"/>
    </row>
    <row r="1237" customFormat="false" ht="15" hidden="false" customHeight="true" outlineLevel="0" collapsed="false">
      <c r="A1237" s="144" t="n">
        <v>46080</v>
      </c>
      <c r="B1237" s="161" t="s">
        <v>753</v>
      </c>
      <c r="C1237" s="159" t="s">
        <v>670</v>
      </c>
      <c r="D1237" s="161" t="s">
        <v>241</v>
      </c>
      <c r="E1237" s="147" t="n">
        <v>100</v>
      </c>
      <c r="F1237" s="147" t="n">
        <v>60</v>
      </c>
      <c r="G1237" s="160" t="n">
        <v>6</v>
      </c>
      <c r="H1237" s="127"/>
      <c r="I1237" s="127"/>
    </row>
    <row r="1238" customFormat="false" ht="15" hidden="false" customHeight="true" outlineLevel="0" collapsed="false">
      <c r="A1238" s="144" t="n">
        <v>46080</v>
      </c>
      <c r="B1238" s="161" t="s">
        <v>753</v>
      </c>
      <c r="C1238" s="159" t="s">
        <v>670</v>
      </c>
      <c r="D1238" s="161" t="s">
        <v>246</v>
      </c>
      <c r="E1238" s="147" t="n">
        <v>100</v>
      </c>
      <c r="F1238" s="147" t="n">
        <v>60</v>
      </c>
      <c r="G1238" s="160" t="n">
        <v>6</v>
      </c>
      <c r="H1238" s="127"/>
      <c r="I1238" s="127"/>
    </row>
    <row r="1239" customFormat="false" ht="15" hidden="false" customHeight="true" outlineLevel="0" collapsed="false">
      <c r="A1239" s="144" t="n">
        <v>46080</v>
      </c>
      <c r="B1239" s="161" t="s">
        <v>753</v>
      </c>
      <c r="C1239" s="159" t="s">
        <v>670</v>
      </c>
      <c r="D1239" s="161" t="s">
        <v>243</v>
      </c>
      <c r="E1239" s="147" t="n">
        <v>100</v>
      </c>
      <c r="F1239" s="147" t="n">
        <v>60</v>
      </c>
      <c r="G1239" s="160" t="n">
        <v>6</v>
      </c>
      <c r="H1239" s="127"/>
      <c r="I1239" s="127"/>
    </row>
    <row r="1240" customFormat="false" ht="15" hidden="false" customHeight="true" outlineLevel="0" collapsed="false">
      <c r="A1240" s="144" t="n">
        <v>46080</v>
      </c>
      <c r="B1240" s="161" t="s">
        <v>753</v>
      </c>
      <c r="C1240" s="159" t="s">
        <v>670</v>
      </c>
      <c r="D1240" s="161" t="s">
        <v>243</v>
      </c>
      <c r="E1240" s="147" t="n">
        <v>100</v>
      </c>
      <c r="F1240" s="147" t="n">
        <v>60</v>
      </c>
      <c r="G1240" s="160" t="n">
        <v>6</v>
      </c>
      <c r="H1240" s="127"/>
      <c r="I1240" s="127"/>
    </row>
    <row r="1241" customFormat="false" ht="15" hidden="false" customHeight="true" outlineLevel="0" collapsed="false">
      <c r="A1241" s="144" t="n">
        <v>46080</v>
      </c>
      <c r="B1241" s="161" t="s">
        <v>753</v>
      </c>
      <c r="C1241" s="159" t="s">
        <v>670</v>
      </c>
      <c r="D1241" s="161" t="s">
        <v>244</v>
      </c>
      <c r="E1241" s="147" t="n">
        <v>100</v>
      </c>
      <c r="F1241" s="147" t="n">
        <v>60</v>
      </c>
      <c r="G1241" s="160" t="n">
        <v>6</v>
      </c>
      <c r="H1241" s="127"/>
      <c r="I1241" s="127"/>
    </row>
    <row r="1242" customFormat="false" ht="15" hidden="false" customHeight="true" outlineLevel="0" collapsed="false">
      <c r="A1242" s="144" t="n">
        <v>46080</v>
      </c>
      <c r="B1242" s="161" t="s">
        <v>753</v>
      </c>
      <c r="C1242" s="159" t="s">
        <v>670</v>
      </c>
      <c r="D1242" s="161" t="s">
        <v>244</v>
      </c>
      <c r="E1242" s="147" t="n">
        <v>100</v>
      </c>
      <c r="F1242" s="147" t="n">
        <v>60</v>
      </c>
      <c r="G1242" s="160" t="n">
        <v>6</v>
      </c>
      <c r="H1242" s="127"/>
      <c r="I1242" s="127"/>
    </row>
    <row r="1243" customFormat="false" ht="15" hidden="false" customHeight="true" outlineLevel="0" collapsed="false">
      <c r="A1243" s="144" t="n">
        <v>46080</v>
      </c>
      <c r="B1243" s="161" t="s">
        <v>753</v>
      </c>
      <c r="C1243" s="159" t="s">
        <v>670</v>
      </c>
      <c r="D1243" s="161" t="s">
        <v>155</v>
      </c>
      <c r="E1243" s="147" t="n">
        <v>100</v>
      </c>
      <c r="F1243" s="147" t="n">
        <v>80</v>
      </c>
      <c r="G1243" s="160" t="n">
        <v>8</v>
      </c>
      <c r="H1243" s="127"/>
      <c r="I1243" s="127"/>
    </row>
    <row r="1244" customFormat="false" ht="15" hidden="false" customHeight="true" outlineLevel="0" collapsed="false">
      <c r="A1244" s="144" t="n">
        <v>46080</v>
      </c>
      <c r="B1244" s="161" t="s">
        <v>753</v>
      </c>
      <c r="C1244" s="159" t="s">
        <v>670</v>
      </c>
      <c r="D1244" s="161" t="s">
        <v>178</v>
      </c>
      <c r="E1244" s="147" t="n">
        <v>1</v>
      </c>
      <c r="F1244" s="147" t="n">
        <v>30000</v>
      </c>
      <c r="G1244" s="160" t="n">
        <v>30</v>
      </c>
      <c r="H1244" s="127"/>
      <c r="I1244" s="127"/>
    </row>
    <row r="1245" customFormat="false" ht="15" hidden="false" customHeight="true" outlineLevel="0" collapsed="false">
      <c r="A1245" s="144" t="n">
        <v>46080</v>
      </c>
      <c r="B1245" s="161" t="s">
        <v>753</v>
      </c>
      <c r="C1245" s="159" t="s">
        <v>670</v>
      </c>
      <c r="D1245" s="161" t="s">
        <v>204</v>
      </c>
      <c r="E1245" s="147" t="n">
        <v>150</v>
      </c>
      <c r="F1245" s="147" t="n">
        <v>60</v>
      </c>
      <c r="G1245" s="160" t="n">
        <v>9</v>
      </c>
      <c r="H1245" s="127"/>
      <c r="I1245" s="127"/>
    </row>
    <row r="1246" customFormat="false" ht="15" hidden="false" customHeight="true" outlineLevel="0" collapsed="false">
      <c r="A1246" s="144" t="n">
        <v>46080</v>
      </c>
      <c r="B1246" s="161" t="s">
        <v>753</v>
      </c>
      <c r="C1246" s="159" t="s">
        <v>670</v>
      </c>
      <c r="D1246" s="161" t="s">
        <v>805</v>
      </c>
      <c r="E1246" s="147" t="n">
        <v>1</v>
      </c>
      <c r="F1246" s="147"/>
      <c r="G1246" s="160" t="n">
        <v>9</v>
      </c>
      <c r="H1246" s="127"/>
      <c r="I1246" s="127"/>
    </row>
    <row r="1247" customFormat="false" ht="15" hidden="false" customHeight="true" outlineLevel="0" collapsed="false">
      <c r="A1247" s="144" t="n">
        <v>46080</v>
      </c>
      <c r="B1247" s="161" t="s">
        <v>753</v>
      </c>
      <c r="C1247" s="159" t="s">
        <v>670</v>
      </c>
      <c r="D1247" s="161" t="s">
        <v>206</v>
      </c>
      <c r="E1247" s="147" t="n">
        <v>1</v>
      </c>
      <c r="F1247" s="147" t="n">
        <v>30000</v>
      </c>
      <c r="G1247" s="160" t="n">
        <v>30</v>
      </c>
      <c r="H1247" s="127"/>
      <c r="I1247" s="127"/>
    </row>
    <row r="1248" customFormat="false" ht="15" hidden="false" customHeight="true" outlineLevel="0" collapsed="false">
      <c r="A1248" s="144" t="n">
        <v>46080</v>
      </c>
      <c r="B1248" s="161" t="s">
        <v>753</v>
      </c>
      <c r="C1248" s="159" t="s">
        <v>670</v>
      </c>
      <c r="D1248" s="161" t="s">
        <v>206</v>
      </c>
      <c r="E1248" s="147" t="n">
        <v>1</v>
      </c>
      <c r="F1248" s="147" t="n">
        <v>15000</v>
      </c>
      <c r="G1248" s="160" t="n">
        <v>15</v>
      </c>
      <c r="H1248" s="127"/>
      <c r="I1248" s="127"/>
    </row>
    <row r="1249" customFormat="false" ht="15" hidden="false" customHeight="true" outlineLevel="0" collapsed="false">
      <c r="A1249" s="144" t="n">
        <v>46084</v>
      </c>
      <c r="B1249" s="127"/>
      <c r="C1249" s="159" t="s">
        <v>679</v>
      </c>
      <c r="D1249" s="161" t="s">
        <v>143</v>
      </c>
      <c r="E1249" s="147" t="n">
        <v>1</v>
      </c>
      <c r="F1249" s="147"/>
      <c r="G1249" s="160" t="n">
        <v>10.5</v>
      </c>
      <c r="H1249" s="127"/>
      <c r="I1249" s="127"/>
    </row>
    <row r="1250" customFormat="false" ht="15" hidden="false" customHeight="true" outlineLevel="0" collapsed="false">
      <c r="A1250" s="144" t="n">
        <v>46084</v>
      </c>
      <c r="B1250" s="127"/>
      <c r="C1250" s="159" t="s">
        <v>679</v>
      </c>
      <c r="D1250" s="161" t="s">
        <v>144</v>
      </c>
      <c r="E1250" s="147" t="n">
        <v>1</v>
      </c>
      <c r="F1250" s="147"/>
      <c r="G1250" s="160" t="n">
        <v>48</v>
      </c>
      <c r="H1250" s="127"/>
      <c r="I1250" s="127"/>
    </row>
    <row r="1251" customFormat="false" ht="15" hidden="false" customHeight="true" outlineLevel="0" collapsed="false">
      <c r="A1251" s="144" t="n">
        <v>46084</v>
      </c>
      <c r="B1251" s="127"/>
      <c r="C1251" s="159" t="s">
        <v>679</v>
      </c>
      <c r="D1251" s="161" t="s">
        <v>147</v>
      </c>
      <c r="E1251" s="147" t="n">
        <v>1</v>
      </c>
      <c r="F1251" s="147"/>
      <c r="G1251" s="160" t="n">
        <v>4</v>
      </c>
      <c r="H1251" s="127"/>
      <c r="I1251" s="127"/>
    </row>
    <row r="1252" customFormat="false" ht="15" hidden="false" customHeight="true" outlineLevel="0" collapsed="false">
      <c r="A1252" s="144" t="n">
        <v>46084</v>
      </c>
      <c r="B1252" s="127"/>
      <c r="C1252" s="159" t="s">
        <v>679</v>
      </c>
      <c r="D1252" s="161" t="s">
        <v>155</v>
      </c>
      <c r="E1252" s="147" t="n">
        <v>1</v>
      </c>
      <c r="F1252" s="147"/>
      <c r="G1252" s="160" t="n">
        <v>38.4</v>
      </c>
      <c r="H1252" s="127"/>
      <c r="I1252" s="127"/>
    </row>
    <row r="1253" customFormat="false" ht="15" hidden="false" customHeight="true" outlineLevel="0" collapsed="false">
      <c r="A1253" s="144" t="n">
        <v>46084</v>
      </c>
      <c r="B1253" s="127"/>
      <c r="C1253" s="159" t="s">
        <v>679</v>
      </c>
      <c r="D1253" s="161" t="s">
        <v>159</v>
      </c>
      <c r="E1253" s="147" t="n">
        <v>1</v>
      </c>
      <c r="F1253" s="147"/>
      <c r="G1253" s="160" t="n">
        <v>5</v>
      </c>
      <c r="H1253" s="127"/>
      <c r="I1253" s="127"/>
    </row>
    <row r="1254" customFormat="false" ht="15" hidden="false" customHeight="true" outlineLevel="0" collapsed="false">
      <c r="A1254" s="144" t="n">
        <v>46084</v>
      </c>
      <c r="B1254" s="127"/>
      <c r="C1254" s="159" t="s">
        <v>679</v>
      </c>
      <c r="D1254" s="161" t="s">
        <v>161</v>
      </c>
      <c r="E1254" s="147" t="n">
        <v>1</v>
      </c>
      <c r="F1254" s="147"/>
      <c r="G1254" s="160" t="n">
        <v>40</v>
      </c>
      <c r="H1254" s="127"/>
      <c r="I1254" s="127"/>
    </row>
    <row r="1255" customFormat="false" ht="15" hidden="false" customHeight="true" outlineLevel="0" collapsed="false">
      <c r="A1255" s="144" t="n">
        <v>46084</v>
      </c>
      <c r="B1255" s="127"/>
      <c r="C1255" s="159" t="s">
        <v>679</v>
      </c>
      <c r="D1255" s="161" t="s">
        <v>163</v>
      </c>
      <c r="E1255" s="147" t="n">
        <v>1</v>
      </c>
      <c r="F1255" s="147"/>
      <c r="G1255" s="160" t="n">
        <v>0.9</v>
      </c>
      <c r="H1255" s="127"/>
      <c r="I1255" s="127"/>
    </row>
    <row r="1256" customFormat="false" ht="15" hidden="false" customHeight="true" outlineLevel="0" collapsed="false">
      <c r="A1256" s="144" t="n">
        <v>46084</v>
      </c>
      <c r="B1256" s="127"/>
      <c r="C1256" s="159" t="s">
        <v>679</v>
      </c>
      <c r="D1256" s="161" t="s">
        <v>169</v>
      </c>
      <c r="E1256" s="147" t="n">
        <v>1</v>
      </c>
      <c r="F1256" s="147"/>
      <c r="G1256" s="160" t="n">
        <v>2</v>
      </c>
      <c r="H1256" s="127"/>
      <c r="I1256" s="127"/>
    </row>
    <row r="1257" customFormat="false" ht="15" hidden="false" customHeight="true" outlineLevel="0" collapsed="false">
      <c r="A1257" s="144" t="n">
        <v>46084</v>
      </c>
      <c r="B1257" s="127"/>
      <c r="C1257" s="159" t="s">
        <v>679</v>
      </c>
      <c r="D1257" s="161" t="s">
        <v>174</v>
      </c>
      <c r="E1257" s="147" t="n">
        <v>1</v>
      </c>
      <c r="F1257" s="147"/>
      <c r="G1257" s="160" t="n">
        <v>189</v>
      </c>
      <c r="H1257" s="127"/>
      <c r="I1257" s="127"/>
    </row>
    <row r="1258" customFormat="false" ht="15" hidden="false" customHeight="true" outlineLevel="0" collapsed="false">
      <c r="A1258" s="144" t="n">
        <v>46084</v>
      </c>
      <c r="B1258" s="127"/>
      <c r="C1258" s="159" t="s">
        <v>679</v>
      </c>
      <c r="D1258" s="161" t="s">
        <v>181</v>
      </c>
      <c r="E1258" s="147" t="n">
        <v>1</v>
      </c>
      <c r="F1258" s="147"/>
      <c r="G1258" s="160" t="n">
        <v>2</v>
      </c>
      <c r="H1258" s="127"/>
      <c r="I1258" s="127"/>
    </row>
    <row r="1259" customFormat="false" ht="15" hidden="false" customHeight="true" outlineLevel="0" collapsed="false">
      <c r="A1259" s="144" t="n">
        <v>46084</v>
      </c>
      <c r="B1259" s="127"/>
      <c r="C1259" s="159" t="s">
        <v>679</v>
      </c>
      <c r="D1259" s="161" t="s">
        <v>183</v>
      </c>
      <c r="E1259" s="147" t="n">
        <v>1</v>
      </c>
      <c r="F1259" s="147"/>
      <c r="G1259" s="160" t="n">
        <v>9</v>
      </c>
      <c r="H1259" s="127"/>
      <c r="I1259" s="127"/>
    </row>
    <row r="1260" customFormat="false" ht="15" hidden="false" customHeight="true" outlineLevel="0" collapsed="false">
      <c r="A1260" s="144" t="n">
        <v>46084</v>
      </c>
      <c r="B1260" s="127"/>
      <c r="C1260" s="159" t="s">
        <v>679</v>
      </c>
      <c r="D1260" s="161" t="s">
        <v>184</v>
      </c>
      <c r="E1260" s="147" t="n">
        <v>1</v>
      </c>
      <c r="F1260" s="147"/>
      <c r="G1260" s="160" t="n">
        <v>15</v>
      </c>
      <c r="H1260" s="127"/>
      <c r="I1260" s="127"/>
    </row>
    <row r="1261" customFormat="false" ht="15" hidden="false" customHeight="true" outlineLevel="0" collapsed="false">
      <c r="A1261" s="144" t="n">
        <v>46084</v>
      </c>
      <c r="B1261" s="127"/>
      <c r="C1261" s="159" t="s">
        <v>679</v>
      </c>
      <c r="D1261" s="161" t="s">
        <v>222</v>
      </c>
      <c r="E1261" s="147" t="n">
        <v>1</v>
      </c>
      <c r="F1261" s="147"/>
      <c r="G1261" s="160" t="n">
        <v>0.8</v>
      </c>
      <c r="H1261" s="127"/>
      <c r="I1261" s="127"/>
    </row>
    <row r="1262" customFormat="false" ht="15" hidden="false" customHeight="true" outlineLevel="0" collapsed="false">
      <c r="A1262" s="144" t="n">
        <v>46084</v>
      </c>
      <c r="B1262" s="127"/>
      <c r="C1262" s="159" t="s">
        <v>679</v>
      </c>
      <c r="D1262" s="161" t="s">
        <v>221</v>
      </c>
      <c r="E1262" s="147" t="n">
        <v>1</v>
      </c>
      <c r="F1262" s="147"/>
      <c r="G1262" s="160" t="n">
        <v>1.6</v>
      </c>
      <c r="H1262" s="127"/>
      <c r="I1262" s="127"/>
    </row>
    <row r="1263" customFormat="false" ht="15" hidden="false" customHeight="true" outlineLevel="0" collapsed="false">
      <c r="A1263" s="144" t="n">
        <v>46084</v>
      </c>
      <c r="B1263" s="127"/>
      <c r="C1263" s="159" t="s">
        <v>679</v>
      </c>
      <c r="D1263" s="161" t="s">
        <v>204</v>
      </c>
      <c r="E1263" s="147" t="n">
        <v>1</v>
      </c>
      <c r="F1263" s="147"/>
      <c r="G1263" s="160" t="n">
        <v>46.8</v>
      </c>
      <c r="H1263" s="127"/>
      <c r="I1263" s="127"/>
    </row>
    <row r="1264" customFormat="false" ht="15" hidden="false" customHeight="true" outlineLevel="0" collapsed="false">
      <c r="A1264" s="144" t="n">
        <v>46084</v>
      </c>
      <c r="B1264" s="127"/>
      <c r="C1264" s="159" t="s">
        <v>679</v>
      </c>
      <c r="D1264" s="161" t="s">
        <v>236</v>
      </c>
      <c r="E1264" s="147" t="n">
        <v>1</v>
      </c>
      <c r="F1264" s="147"/>
      <c r="G1264" s="160" t="n">
        <v>63</v>
      </c>
      <c r="H1264" s="127"/>
      <c r="I1264" s="127"/>
    </row>
    <row r="1265" customFormat="false" ht="15" hidden="false" customHeight="true" outlineLevel="0" collapsed="false">
      <c r="A1265" s="144" t="n">
        <v>46084</v>
      </c>
      <c r="B1265" s="127"/>
      <c r="C1265" s="159" t="s">
        <v>679</v>
      </c>
      <c r="D1265" s="161" t="s">
        <v>209</v>
      </c>
      <c r="E1265" s="147" t="n">
        <v>1</v>
      </c>
      <c r="F1265" s="147"/>
      <c r="G1265" s="160" t="n">
        <v>1.2</v>
      </c>
      <c r="H1265" s="127"/>
      <c r="I1265" s="127"/>
    </row>
    <row r="1266" customFormat="false" ht="15" hidden="false" customHeight="true" outlineLevel="0" collapsed="false">
      <c r="A1266" s="144" t="n">
        <v>46084</v>
      </c>
      <c r="B1266" s="127"/>
      <c r="C1266" s="159" t="s">
        <v>679</v>
      </c>
      <c r="D1266" s="161" t="s">
        <v>220</v>
      </c>
      <c r="E1266" s="147" t="n">
        <v>1</v>
      </c>
      <c r="F1266" s="147"/>
      <c r="G1266" s="160" t="n">
        <v>1</v>
      </c>
      <c r="H1266" s="127"/>
      <c r="I1266" s="127"/>
    </row>
    <row r="1267" customFormat="false" ht="15" hidden="false" customHeight="true" outlineLevel="0" collapsed="false">
      <c r="A1267" s="144" t="n">
        <v>46085</v>
      </c>
      <c r="B1267" s="127"/>
      <c r="C1267" s="159" t="s">
        <v>679</v>
      </c>
      <c r="D1267" s="161" t="s">
        <v>143</v>
      </c>
      <c r="E1267" s="147" t="n">
        <v>1</v>
      </c>
      <c r="F1267" s="147"/>
      <c r="G1267" s="160" t="n">
        <v>8</v>
      </c>
      <c r="H1267" s="127"/>
      <c r="I1267" s="127"/>
    </row>
    <row r="1268" customFormat="false" ht="15" hidden="false" customHeight="true" outlineLevel="0" collapsed="false">
      <c r="A1268" s="144" t="n">
        <v>46085</v>
      </c>
      <c r="B1268" s="127"/>
      <c r="C1268" s="159" t="s">
        <v>679</v>
      </c>
      <c r="D1268" s="161" t="s">
        <v>144</v>
      </c>
      <c r="E1268" s="147" t="n">
        <v>1</v>
      </c>
      <c r="F1268" s="147"/>
      <c r="G1268" s="160" t="n">
        <v>12</v>
      </c>
      <c r="H1268" s="127"/>
      <c r="I1268" s="127"/>
    </row>
    <row r="1269" customFormat="false" ht="15" hidden="false" customHeight="true" outlineLevel="0" collapsed="false">
      <c r="A1269" s="144" t="n">
        <v>46085</v>
      </c>
      <c r="B1269" s="127"/>
      <c r="C1269" s="159" t="s">
        <v>679</v>
      </c>
      <c r="D1269" s="161" t="s">
        <v>146</v>
      </c>
      <c r="E1269" s="147" t="n">
        <v>1</v>
      </c>
      <c r="F1269" s="147"/>
      <c r="G1269" s="160" t="n">
        <v>1</v>
      </c>
      <c r="H1269" s="127"/>
      <c r="I1269" s="127"/>
    </row>
    <row r="1270" customFormat="false" ht="15" hidden="false" customHeight="true" outlineLevel="0" collapsed="false">
      <c r="A1270" s="144" t="n">
        <v>46085</v>
      </c>
      <c r="B1270" s="127"/>
      <c r="C1270" s="159" t="s">
        <v>679</v>
      </c>
      <c r="D1270" s="161" t="s">
        <v>147</v>
      </c>
      <c r="E1270" s="147" t="n">
        <v>1</v>
      </c>
      <c r="F1270" s="147"/>
      <c r="G1270" s="160" t="n">
        <v>1</v>
      </c>
      <c r="H1270" s="127"/>
      <c r="I1270" s="127"/>
    </row>
    <row r="1271" customFormat="false" ht="15" hidden="false" customHeight="true" outlineLevel="0" collapsed="false">
      <c r="A1271" s="144" t="n">
        <v>46085</v>
      </c>
      <c r="B1271" s="127"/>
      <c r="C1271" s="159" t="s">
        <v>679</v>
      </c>
      <c r="D1271" s="161" t="s">
        <v>155</v>
      </c>
      <c r="E1271" s="147" t="n">
        <v>1</v>
      </c>
      <c r="F1271" s="147"/>
      <c r="G1271" s="160" t="n">
        <v>14.4</v>
      </c>
      <c r="H1271" s="127"/>
      <c r="I1271" s="127"/>
    </row>
    <row r="1272" customFormat="false" ht="15" hidden="false" customHeight="true" outlineLevel="0" collapsed="false">
      <c r="A1272" s="144" t="n">
        <v>46085</v>
      </c>
      <c r="B1272" s="127"/>
      <c r="C1272" s="159" t="s">
        <v>679</v>
      </c>
      <c r="D1272" s="161" t="s">
        <v>159</v>
      </c>
      <c r="E1272" s="147" t="n">
        <v>1</v>
      </c>
      <c r="F1272" s="147"/>
      <c r="G1272" s="160" t="n">
        <v>2</v>
      </c>
      <c r="H1272" s="127"/>
      <c r="I1272" s="127"/>
    </row>
    <row r="1273" customFormat="false" ht="15" hidden="false" customHeight="true" outlineLevel="0" collapsed="false">
      <c r="A1273" s="144" t="n">
        <v>46085</v>
      </c>
      <c r="B1273" s="127"/>
      <c r="C1273" s="159" t="s">
        <v>679</v>
      </c>
      <c r="D1273" s="161" t="s">
        <v>169</v>
      </c>
      <c r="E1273" s="147" t="n">
        <v>1</v>
      </c>
      <c r="F1273" s="147"/>
      <c r="G1273" s="160" t="n">
        <v>4</v>
      </c>
      <c r="H1273" s="127"/>
      <c r="I1273" s="127"/>
    </row>
    <row r="1274" customFormat="false" ht="15" hidden="false" customHeight="true" outlineLevel="0" collapsed="false">
      <c r="A1274" s="144" t="n">
        <v>46085</v>
      </c>
      <c r="B1274" s="127"/>
      <c r="C1274" s="159" t="s">
        <v>679</v>
      </c>
      <c r="D1274" s="161" t="s">
        <v>174</v>
      </c>
      <c r="E1274" s="147" t="n">
        <v>1</v>
      </c>
      <c r="F1274" s="147"/>
      <c r="G1274" s="160" t="n">
        <v>12</v>
      </c>
      <c r="H1274" s="127"/>
      <c r="I1274" s="127"/>
    </row>
    <row r="1275" customFormat="false" ht="15" hidden="false" customHeight="true" outlineLevel="0" collapsed="false">
      <c r="A1275" s="144" t="n">
        <v>46085</v>
      </c>
      <c r="B1275" s="127"/>
      <c r="C1275" s="159" t="s">
        <v>679</v>
      </c>
      <c r="D1275" s="161" t="s">
        <v>183</v>
      </c>
      <c r="E1275" s="147" t="n">
        <v>1</v>
      </c>
      <c r="F1275" s="147"/>
      <c r="G1275" s="160" t="n">
        <v>46.8</v>
      </c>
      <c r="H1275" s="127"/>
      <c r="I1275" s="127"/>
    </row>
    <row r="1276" customFormat="false" ht="15" hidden="false" customHeight="true" outlineLevel="0" collapsed="false">
      <c r="A1276" s="144" t="n">
        <v>46085</v>
      </c>
      <c r="B1276" s="127"/>
      <c r="C1276" s="159" t="s">
        <v>679</v>
      </c>
      <c r="D1276" s="161" t="s">
        <v>184</v>
      </c>
      <c r="E1276" s="147" t="n">
        <v>1</v>
      </c>
      <c r="F1276" s="147"/>
      <c r="G1276" s="160" t="n">
        <v>2</v>
      </c>
      <c r="H1276" s="127"/>
      <c r="I1276" s="127"/>
    </row>
    <row r="1277" customFormat="false" ht="15" hidden="false" customHeight="true" outlineLevel="0" collapsed="false">
      <c r="A1277" s="144" t="n">
        <v>46085</v>
      </c>
      <c r="B1277" s="127"/>
      <c r="C1277" s="159" t="s">
        <v>679</v>
      </c>
      <c r="D1277" s="161" t="s">
        <v>222</v>
      </c>
      <c r="E1277" s="147" t="n">
        <v>1</v>
      </c>
      <c r="F1277" s="147"/>
      <c r="G1277" s="160" t="n">
        <v>1.6</v>
      </c>
      <c r="H1277" s="127"/>
      <c r="I1277" s="127"/>
    </row>
    <row r="1278" customFormat="false" ht="15" hidden="false" customHeight="true" outlineLevel="0" collapsed="false">
      <c r="A1278" s="144" t="n">
        <v>46085</v>
      </c>
      <c r="B1278" s="127"/>
      <c r="C1278" s="159" t="s">
        <v>679</v>
      </c>
      <c r="D1278" s="161" t="s">
        <v>221</v>
      </c>
      <c r="E1278" s="147" t="n">
        <v>1</v>
      </c>
      <c r="F1278" s="147"/>
      <c r="G1278" s="160" t="n">
        <v>0.8</v>
      </c>
      <c r="H1278" s="127"/>
      <c r="I1278" s="127"/>
    </row>
    <row r="1279" customFormat="false" ht="15" hidden="false" customHeight="true" outlineLevel="0" collapsed="false">
      <c r="A1279" s="144" t="n">
        <v>46085</v>
      </c>
      <c r="B1279" s="127"/>
      <c r="C1279" s="159" t="s">
        <v>679</v>
      </c>
      <c r="D1279" s="161" t="s">
        <v>204</v>
      </c>
      <c r="E1279" s="147" t="n">
        <v>1</v>
      </c>
      <c r="F1279" s="147"/>
      <c r="G1279" s="160" t="n">
        <v>36</v>
      </c>
      <c r="H1279" s="127"/>
      <c r="I1279" s="127"/>
    </row>
    <row r="1280" customFormat="false" ht="15" hidden="false" customHeight="true" outlineLevel="0" collapsed="false">
      <c r="A1280" s="144" t="n">
        <v>46085</v>
      </c>
      <c r="B1280" s="127"/>
      <c r="C1280" s="159" t="s">
        <v>679</v>
      </c>
      <c r="D1280" s="161" t="s">
        <v>236</v>
      </c>
      <c r="E1280" s="147" t="n">
        <v>1</v>
      </c>
      <c r="F1280" s="147"/>
      <c r="G1280" s="160" t="n">
        <v>28.8</v>
      </c>
      <c r="H1280" s="127"/>
      <c r="I1280" s="127"/>
    </row>
    <row r="1281" customFormat="false" ht="15" hidden="false" customHeight="true" outlineLevel="0" collapsed="false">
      <c r="A1281" s="144" t="n">
        <v>46085</v>
      </c>
      <c r="B1281" s="127"/>
      <c r="C1281" s="159" t="s">
        <v>679</v>
      </c>
      <c r="D1281" s="161" t="s">
        <v>209</v>
      </c>
      <c r="E1281" s="147" t="n">
        <v>1</v>
      </c>
      <c r="F1281" s="147"/>
      <c r="G1281" s="160" t="n">
        <v>2.4</v>
      </c>
      <c r="H1281" s="127"/>
      <c r="I1281" s="127"/>
    </row>
    <row r="1282" customFormat="false" ht="15" hidden="false" customHeight="true" outlineLevel="0" collapsed="false">
      <c r="A1282" s="144" t="n">
        <v>46085</v>
      </c>
      <c r="B1282" s="127"/>
      <c r="C1282" s="159" t="s">
        <v>679</v>
      </c>
      <c r="D1282" s="161" t="s">
        <v>220</v>
      </c>
      <c r="E1282" s="147" t="n">
        <v>1</v>
      </c>
      <c r="F1282" s="147"/>
      <c r="G1282" s="160" t="n">
        <v>1</v>
      </c>
      <c r="H1282" s="127"/>
      <c r="I1282" s="127"/>
    </row>
    <row r="1283" customFormat="false" ht="15" hidden="false" customHeight="true" outlineLevel="0" collapsed="false">
      <c r="A1283" s="144" t="n">
        <v>46085</v>
      </c>
      <c r="B1283" s="161" t="s">
        <v>732</v>
      </c>
      <c r="C1283" s="159" t="s">
        <v>670</v>
      </c>
      <c r="D1283" s="161" t="s">
        <v>242</v>
      </c>
      <c r="E1283" s="147" t="n">
        <v>1</v>
      </c>
      <c r="F1283" s="147"/>
      <c r="G1283" s="160" t="n">
        <v>5.3</v>
      </c>
      <c r="H1283" s="127"/>
      <c r="I1283" s="127"/>
    </row>
    <row r="1284" customFormat="false" ht="15" hidden="false" customHeight="true" outlineLevel="0" collapsed="false">
      <c r="A1284" s="144" t="n">
        <v>46085</v>
      </c>
      <c r="B1284" s="161" t="s">
        <v>732</v>
      </c>
      <c r="C1284" s="159" t="s">
        <v>670</v>
      </c>
      <c r="D1284" s="161" t="s">
        <v>240</v>
      </c>
      <c r="E1284" s="147" t="n">
        <v>1</v>
      </c>
      <c r="F1284" s="147"/>
      <c r="G1284" s="160" t="n">
        <v>5.3</v>
      </c>
      <c r="H1284" s="127"/>
      <c r="I1284" s="127"/>
    </row>
    <row r="1285" customFormat="false" ht="15" hidden="false" customHeight="true" outlineLevel="0" collapsed="false">
      <c r="A1285" s="144" t="n">
        <v>46085</v>
      </c>
      <c r="B1285" s="161" t="s">
        <v>732</v>
      </c>
      <c r="C1285" s="159" t="s">
        <v>670</v>
      </c>
      <c r="D1285" s="161" t="s">
        <v>241</v>
      </c>
      <c r="E1285" s="147" t="n">
        <v>1</v>
      </c>
      <c r="F1285" s="147"/>
      <c r="G1285" s="160" t="n">
        <v>5.3</v>
      </c>
      <c r="H1285" s="127"/>
      <c r="I1285" s="127"/>
    </row>
    <row r="1286" customFormat="false" ht="15" hidden="false" customHeight="true" outlineLevel="0" collapsed="false">
      <c r="A1286" s="144" t="n">
        <v>46085</v>
      </c>
      <c r="B1286" s="161" t="s">
        <v>732</v>
      </c>
      <c r="C1286" s="159" t="s">
        <v>670</v>
      </c>
      <c r="D1286" s="161" t="s">
        <v>246</v>
      </c>
      <c r="E1286" s="147" t="n">
        <v>1</v>
      </c>
      <c r="F1286" s="147"/>
      <c r="G1286" s="160" t="n">
        <v>5.3</v>
      </c>
      <c r="H1286" s="127"/>
      <c r="I1286" s="127"/>
    </row>
    <row r="1287" customFormat="false" ht="15" hidden="false" customHeight="true" outlineLevel="0" collapsed="false">
      <c r="A1287" s="144" t="n">
        <v>46085</v>
      </c>
      <c r="B1287" s="161" t="s">
        <v>732</v>
      </c>
      <c r="C1287" s="159" t="s">
        <v>670</v>
      </c>
      <c r="D1287" s="161" t="s">
        <v>243</v>
      </c>
      <c r="E1287" s="147" t="n">
        <v>1</v>
      </c>
      <c r="F1287" s="147"/>
      <c r="G1287" s="160" t="n">
        <v>5.3</v>
      </c>
      <c r="H1287" s="127"/>
      <c r="I1287" s="127"/>
    </row>
    <row r="1288" customFormat="false" ht="15" hidden="false" customHeight="true" outlineLevel="0" collapsed="false">
      <c r="A1288" s="144" t="n">
        <v>46085</v>
      </c>
      <c r="B1288" s="161" t="s">
        <v>732</v>
      </c>
      <c r="C1288" s="159" t="s">
        <v>670</v>
      </c>
      <c r="D1288" s="161" t="s">
        <v>244</v>
      </c>
      <c r="E1288" s="147" t="n">
        <v>1</v>
      </c>
      <c r="F1288" s="147"/>
      <c r="G1288" s="160" t="n">
        <v>5.3</v>
      </c>
      <c r="H1288" s="127"/>
      <c r="I1288" s="127"/>
    </row>
    <row r="1289" customFormat="false" ht="15" hidden="false" customHeight="true" outlineLevel="0" collapsed="false">
      <c r="A1289" s="144" t="n">
        <v>46086</v>
      </c>
      <c r="B1289" s="127"/>
      <c r="C1289" s="159" t="s">
        <v>679</v>
      </c>
      <c r="D1289" s="127" t="s">
        <v>267</v>
      </c>
      <c r="E1289" s="147" t="n">
        <v>1</v>
      </c>
      <c r="F1289" s="147"/>
      <c r="G1289" s="160" t="n">
        <v>2.4</v>
      </c>
      <c r="H1289" s="127"/>
      <c r="I1289" s="127"/>
    </row>
    <row r="1290" customFormat="false" ht="15" hidden="false" customHeight="true" outlineLevel="0" collapsed="false">
      <c r="A1290" s="144" t="n">
        <v>46086</v>
      </c>
      <c r="B1290" s="127"/>
      <c r="C1290" s="159" t="s">
        <v>679</v>
      </c>
      <c r="D1290" s="127" t="s">
        <v>812</v>
      </c>
      <c r="E1290" s="147" t="n">
        <v>1</v>
      </c>
      <c r="F1290" s="147"/>
      <c r="G1290" s="160" t="n">
        <v>1.2</v>
      </c>
      <c r="H1290" s="127"/>
      <c r="I1290" s="127"/>
    </row>
    <row r="1291" customFormat="false" ht="15" hidden="false" customHeight="true" outlineLevel="0" collapsed="false">
      <c r="A1291" s="144" t="n">
        <v>46086</v>
      </c>
      <c r="B1291" s="127"/>
      <c r="C1291" s="159" t="s">
        <v>679</v>
      </c>
      <c r="D1291" s="161" t="s">
        <v>142</v>
      </c>
      <c r="E1291" s="147" t="n">
        <v>1</v>
      </c>
      <c r="F1291" s="147"/>
      <c r="G1291" s="160" t="n">
        <v>1</v>
      </c>
      <c r="H1291" s="127"/>
      <c r="I1291" s="127"/>
    </row>
    <row r="1292" customFormat="false" ht="15" hidden="false" customHeight="true" outlineLevel="0" collapsed="false">
      <c r="A1292" s="144" t="n">
        <v>46086</v>
      </c>
      <c r="B1292" s="127"/>
      <c r="C1292" s="159" t="s">
        <v>679</v>
      </c>
      <c r="D1292" s="161" t="s">
        <v>143</v>
      </c>
      <c r="E1292" s="147" t="n">
        <v>1</v>
      </c>
      <c r="F1292" s="147"/>
      <c r="G1292" s="160" t="n">
        <v>6</v>
      </c>
      <c r="H1292" s="127"/>
      <c r="I1292" s="127"/>
    </row>
    <row r="1293" customFormat="false" ht="15" hidden="false" customHeight="true" outlineLevel="0" collapsed="false">
      <c r="A1293" s="144" t="n">
        <v>46086</v>
      </c>
      <c r="B1293" s="127"/>
      <c r="C1293" s="159" t="s">
        <v>679</v>
      </c>
      <c r="D1293" s="161" t="s">
        <v>144</v>
      </c>
      <c r="E1293" s="147" t="n">
        <v>1</v>
      </c>
      <c r="F1293" s="147"/>
      <c r="G1293" s="160" t="n">
        <v>20</v>
      </c>
      <c r="H1293" s="127"/>
      <c r="I1293" s="127"/>
    </row>
    <row r="1294" customFormat="false" ht="15" hidden="false" customHeight="true" outlineLevel="0" collapsed="false">
      <c r="A1294" s="144" t="n">
        <v>46086</v>
      </c>
      <c r="B1294" s="127"/>
      <c r="C1294" s="159" t="s">
        <v>679</v>
      </c>
      <c r="D1294" s="161" t="s">
        <v>155</v>
      </c>
      <c r="E1294" s="147" t="n">
        <v>1</v>
      </c>
      <c r="F1294" s="147"/>
      <c r="G1294" s="160" t="n">
        <v>22.4</v>
      </c>
      <c r="H1294" s="127"/>
      <c r="I1294" s="127"/>
    </row>
    <row r="1295" customFormat="false" ht="15" hidden="false" customHeight="true" outlineLevel="0" collapsed="false">
      <c r="A1295" s="144" t="n">
        <v>46086</v>
      </c>
      <c r="B1295" s="127"/>
      <c r="C1295" s="159" t="s">
        <v>679</v>
      </c>
      <c r="D1295" s="161" t="s">
        <v>161</v>
      </c>
      <c r="E1295" s="147" t="n">
        <v>1</v>
      </c>
      <c r="F1295" s="147"/>
      <c r="G1295" s="160" t="n">
        <v>8</v>
      </c>
      <c r="H1295" s="127"/>
      <c r="I1295" s="127"/>
    </row>
    <row r="1296" customFormat="false" ht="15" hidden="false" customHeight="true" outlineLevel="0" collapsed="false">
      <c r="A1296" s="144" t="n">
        <v>46086</v>
      </c>
      <c r="B1296" s="127"/>
      <c r="C1296" s="159" t="s">
        <v>679</v>
      </c>
      <c r="D1296" s="161" t="s">
        <v>174</v>
      </c>
      <c r="E1296" s="147" t="n">
        <v>1</v>
      </c>
      <c r="F1296" s="147"/>
      <c r="G1296" s="160" t="n">
        <v>4</v>
      </c>
      <c r="H1296" s="127"/>
      <c r="I1296" s="127"/>
    </row>
    <row r="1297" customFormat="false" ht="15" hidden="false" customHeight="true" outlineLevel="0" collapsed="false">
      <c r="A1297" s="144" t="n">
        <v>46086</v>
      </c>
      <c r="B1297" s="127"/>
      <c r="C1297" s="159" t="s">
        <v>679</v>
      </c>
      <c r="D1297" s="161" t="s">
        <v>181</v>
      </c>
      <c r="E1297" s="147" t="n">
        <v>1</v>
      </c>
      <c r="F1297" s="147"/>
      <c r="G1297" s="160" t="n">
        <v>2</v>
      </c>
      <c r="H1297" s="127"/>
      <c r="I1297" s="127"/>
    </row>
    <row r="1298" customFormat="false" ht="15" hidden="false" customHeight="true" outlineLevel="0" collapsed="false">
      <c r="A1298" s="144" t="n">
        <v>46086</v>
      </c>
      <c r="B1298" s="127"/>
      <c r="C1298" s="159" t="s">
        <v>679</v>
      </c>
      <c r="D1298" s="161" t="s">
        <v>183</v>
      </c>
      <c r="E1298" s="147" t="n">
        <v>1</v>
      </c>
      <c r="F1298" s="147"/>
      <c r="G1298" s="160" t="n">
        <v>50.4</v>
      </c>
      <c r="H1298" s="127"/>
      <c r="I1298" s="127"/>
    </row>
    <row r="1299" customFormat="false" ht="15" hidden="false" customHeight="true" outlineLevel="0" collapsed="false">
      <c r="A1299" s="144" t="n">
        <v>46086</v>
      </c>
      <c r="B1299" s="127"/>
      <c r="C1299" s="159" t="s">
        <v>679</v>
      </c>
      <c r="D1299" s="161" t="s">
        <v>222</v>
      </c>
      <c r="E1299" s="147" t="n">
        <v>1</v>
      </c>
      <c r="F1299" s="147"/>
      <c r="G1299" s="160" t="n">
        <v>1.6</v>
      </c>
      <c r="H1299" s="127"/>
      <c r="I1299" s="127"/>
    </row>
    <row r="1300" customFormat="false" ht="15" hidden="false" customHeight="true" outlineLevel="0" collapsed="false">
      <c r="A1300" s="144" t="n">
        <v>46086</v>
      </c>
      <c r="B1300" s="127"/>
      <c r="C1300" s="159" t="s">
        <v>679</v>
      </c>
      <c r="D1300" s="161" t="s">
        <v>204</v>
      </c>
      <c r="E1300" s="147" t="n">
        <v>1</v>
      </c>
      <c r="F1300" s="147"/>
      <c r="G1300" s="160" t="n">
        <v>73.8</v>
      </c>
      <c r="H1300" s="127"/>
      <c r="I1300" s="127"/>
    </row>
    <row r="1301" customFormat="false" ht="15" hidden="false" customHeight="true" outlineLevel="0" collapsed="false">
      <c r="A1301" s="144" t="n">
        <v>46086</v>
      </c>
      <c r="B1301" s="127"/>
      <c r="C1301" s="159" t="s">
        <v>679</v>
      </c>
      <c r="D1301" s="161" t="s">
        <v>236</v>
      </c>
      <c r="E1301" s="147" t="n">
        <v>1</v>
      </c>
      <c r="F1301" s="147"/>
      <c r="G1301" s="160" t="n">
        <v>9</v>
      </c>
      <c r="H1301" s="127"/>
      <c r="I1301" s="127"/>
    </row>
    <row r="1302" customFormat="false" ht="15" hidden="false" customHeight="true" outlineLevel="0" collapsed="false">
      <c r="A1302" s="144" t="n">
        <v>46086</v>
      </c>
      <c r="B1302" s="127"/>
      <c r="C1302" s="159" t="s">
        <v>679</v>
      </c>
      <c r="D1302" s="161" t="s">
        <v>207</v>
      </c>
      <c r="E1302" s="147" t="n">
        <v>1</v>
      </c>
      <c r="F1302" s="147"/>
      <c r="G1302" s="160" t="n">
        <v>2</v>
      </c>
      <c r="H1302" s="127"/>
      <c r="I1302" s="127"/>
    </row>
    <row r="1303" customFormat="false" ht="15" hidden="false" customHeight="true" outlineLevel="0" collapsed="false">
      <c r="A1303" s="144" t="n">
        <v>46087</v>
      </c>
      <c r="B1303" s="127"/>
      <c r="C1303" s="159" t="s">
        <v>679</v>
      </c>
      <c r="D1303" s="161" t="s">
        <v>143</v>
      </c>
      <c r="E1303" s="147" t="n">
        <v>1</v>
      </c>
      <c r="F1303" s="147"/>
      <c r="G1303" s="160" t="n">
        <v>4</v>
      </c>
      <c r="H1303" s="127"/>
      <c r="I1303" s="127"/>
    </row>
    <row r="1304" customFormat="false" ht="15" hidden="false" customHeight="true" outlineLevel="0" collapsed="false">
      <c r="A1304" s="144" t="n">
        <v>46087</v>
      </c>
      <c r="B1304" s="127"/>
      <c r="C1304" s="159" t="s">
        <v>679</v>
      </c>
      <c r="D1304" s="161" t="s">
        <v>144</v>
      </c>
      <c r="E1304" s="147" t="n">
        <v>1</v>
      </c>
      <c r="F1304" s="147"/>
      <c r="G1304" s="160" t="n">
        <v>7</v>
      </c>
      <c r="H1304" s="127"/>
      <c r="I1304" s="127"/>
    </row>
    <row r="1305" customFormat="false" ht="15" hidden="false" customHeight="true" outlineLevel="0" collapsed="false">
      <c r="A1305" s="144" t="n">
        <v>46087</v>
      </c>
      <c r="B1305" s="127"/>
      <c r="C1305" s="159" t="s">
        <v>679</v>
      </c>
      <c r="D1305" s="161" t="s">
        <v>147</v>
      </c>
      <c r="E1305" s="147" t="n">
        <v>1</v>
      </c>
      <c r="F1305" s="147"/>
      <c r="G1305" s="160" t="n">
        <v>4</v>
      </c>
      <c r="H1305" s="127"/>
      <c r="I1305" s="127"/>
    </row>
    <row r="1306" customFormat="false" ht="15" hidden="false" customHeight="true" outlineLevel="0" collapsed="false">
      <c r="A1306" s="144" t="n">
        <v>46087</v>
      </c>
      <c r="B1306" s="127"/>
      <c r="C1306" s="159" t="s">
        <v>679</v>
      </c>
      <c r="D1306" s="161" t="s">
        <v>155</v>
      </c>
      <c r="E1306" s="147" t="n">
        <v>1</v>
      </c>
      <c r="F1306" s="147"/>
      <c r="G1306" s="160" t="n">
        <v>22.4</v>
      </c>
      <c r="H1306" s="127"/>
      <c r="I1306" s="127"/>
    </row>
    <row r="1307" customFormat="false" ht="15" hidden="false" customHeight="true" outlineLevel="0" collapsed="false">
      <c r="A1307" s="144" t="n">
        <v>46087</v>
      </c>
      <c r="B1307" s="127"/>
      <c r="C1307" s="159" t="s">
        <v>679</v>
      </c>
      <c r="D1307" s="161" t="s">
        <v>161</v>
      </c>
      <c r="E1307" s="147" t="n">
        <v>1</v>
      </c>
      <c r="F1307" s="147"/>
      <c r="G1307" s="160" t="n">
        <v>18</v>
      </c>
      <c r="H1307" s="127"/>
      <c r="I1307" s="127"/>
    </row>
    <row r="1308" customFormat="false" ht="15" hidden="false" customHeight="true" outlineLevel="0" collapsed="false">
      <c r="A1308" s="144" t="n">
        <v>46087</v>
      </c>
      <c r="B1308" s="127"/>
      <c r="C1308" s="159" t="s">
        <v>679</v>
      </c>
      <c r="D1308" s="161" t="s">
        <v>174</v>
      </c>
      <c r="E1308" s="147" t="n">
        <v>1</v>
      </c>
      <c r="F1308" s="147"/>
      <c r="G1308" s="160" t="n">
        <v>4</v>
      </c>
      <c r="H1308" s="127"/>
      <c r="I1308" s="127"/>
    </row>
    <row r="1309" customFormat="false" ht="15" hidden="false" customHeight="true" outlineLevel="0" collapsed="false">
      <c r="A1309" s="144" t="n">
        <v>46087</v>
      </c>
      <c r="B1309" s="127"/>
      <c r="C1309" s="159" t="s">
        <v>679</v>
      </c>
      <c r="D1309" s="161" t="s">
        <v>181</v>
      </c>
      <c r="E1309" s="147" t="n">
        <v>1</v>
      </c>
      <c r="F1309" s="147"/>
      <c r="G1309" s="160" t="n">
        <v>2</v>
      </c>
      <c r="H1309" s="127"/>
      <c r="I1309" s="127"/>
    </row>
    <row r="1310" customFormat="false" ht="15" hidden="false" customHeight="true" outlineLevel="0" collapsed="false">
      <c r="A1310" s="144" t="n">
        <v>46087</v>
      </c>
      <c r="B1310" s="127"/>
      <c r="C1310" s="159" t="s">
        <v>679</v>
      </c>
      <c r="D1310" s="161" t="s">
        <v>183</v>
      </c>
      <c r="E1310" s="147" t="n">
        <v>1</v>
      </c>
      <c r="F1310" s="147"/>
      <c r="G1310" s="160" t="n">
        <v>12.6</v>
      </c>
      <c r="H1310" s="127"/>
      <c r="I1310" s="127"/>
    </row>
    <row r="1311" customFormat="false" ht="15" hidden="false" customHeight="true" outlineLevel="0" collapsed="false">
      <c r="A1311" s="144" t="n">
        <v>46087</v>
      </c>
      <c r="B1311" s="127"/>
      <c r="C1311" s="159" t="s">
        <v>679</v>
      </c>
      <c r="D1311" s="161" t="s">
        <v>184</v>
      </c>
      <c r="E1311" s="147" t="n">
        <v>1</v>
      </c>
      <c r="F1311" s="147"/>
      <c r="G1311" s="160" t="n">
        <v>2</v>
      </c>
      <c r="H1311" s="127"/>
      <c r="I1311" s="127"/>
    </row>
    <row r="1312" customFormat="false" ht="15" hidden="false" customHeight="true" outlineLevel="0" collapsed="false">
      <c r="A1312" s="144" t="n">
        <v>46087</v>
      </c>
      <c r="B1312" s="127"/>
      <c r="C1312" s="159" t="s">
        <v>679</v>
      </c>
      <c r="D1312" s="161" t="s">
        <v>222</v>
      </c>
      <c r="E1312" s="147" t="n">
        <v>1</v>
      </c>
      <c r="F1312" s="147"/>
      <c r="G1312" s="160" t="n">
        <v>0.8</v>
      </c>
      <c r="H1312" s="127"/>
      <c r="I1312" s="127"/>
    </row>
    <row r="1313" customFormat="false" ht="15" hidden="false" customHeight="true" outlineLevel="0" collapsed="false">
      <c r="A1313" s="144" t="n">
        <v>46087</v>
      </c>
      <c r="B1313" s="127"/>
      <c r="C1313" s="159" t="s">
        <v>679</v>
      </c>
      <c r="D1313" s="161" t="s">
        <v>221</v>
      </c>
      <c r="E1313" s="147" t="n">
        <v>1</v>
      </c>
      <c r="F1313" s="147"/>
      <c r="G1313" s="160" t="n">
        <v>0.8</v>
      </c>
      <c r="H1313" s="127"/>
      <c r="I1313" s="127"/>
    </row>
    <row r="1314" customFormat="false" ht="15" hidden="false" customHeight="true" outlineLevel="0" collapsed="false">
      <c r="A1314" s="144" t="n">
        <v>46087</v>
      </c>
      <c r="B1314" s="127"/>
      <c r="C1314" s="159" t="s">
        <v>679</v>
      </c>
      <c r="D1314" s="161" t="s">
        <v>204</v>
      </c>
      <c r="E1314" s="147" t="n">
        <v>1</v>
      </c>
      <c r="F1314" s="147"/>
      <c r="G1314" s="160" t="n">
        <v>48.6</v>
      </c>
      <c r="H1314" s="127"/>
      <c r="I1314" s="127"/>
    </row>
    <row r="1315" customFormat="false" ht="15" hidden="false" customHeight="true" outlineLevel="0" collapsed="false">
      <c r="A1315" s="144" t="n">
        <v>46087</v>
      </c>
      <c r="B1315" s="127"/>
      <c r="C1315" s="159" t="s">
        <v>679</v>
      </c>
      <c r="D1315" s="161" t="s">
        <v>236</v>
      </c>
      <c r="E1315" s="147" t="n">
        <v>1</v>
      </c>
      <c r="F1315" s="147"/>
      <c r="G1315" s="160" t="n">
        <v>25.2</v>
      </c>
      <c r="H1315" s="127"/>
      <c r="I1315" s="127"/>
    </row>
    <row r="1316" customFormat="false" ht="15" hidden="false" customHeight="true" outlineLevel="0" collapsed="false">
      <c r="A1316" s="144" t="n">
        <v>46087</v>
      </c>
      <c r="B1316" s="127"/>
      <c r="C1316" s="159" t="s">
        <v>679</v>
      </c>
      <c r="D1316" s="161" t="s">
        <v>212</v>
      </c>
      <c r="E1316" s="147" t="n">
        <v>1</v>
      </c>
      <c r="F1316" s="147"/>
      <c r="G1316" s="160" t="n">
        <v>1</v>
      </c>
      <c r="H1316" s="127"/>
      <c r="I1316" s="127"/>
    </row>
    <row r="1317" customFormat="false" ht="15" hidden="false" customHeight="true" outlineLevel="0" collapsed="false">
      <c r="A1317" s="144" t="n">
        <v>46087</v>
      </c>
      <c r="B1317" s="127"/>
      <c r="C1317" s="159" t="s">
        <v>679</v>
      </c>
      <c r="D1317" s="161" t="s">
        <v>220</v>
      </c>
      <c r="E1317" s="147" t="n">
        <v>1</v>
      </c>
      <c r="F1317" s="147"/>
      <c r="G1317" s="160" t="n">
        <v>1</v>
      </c>
      <c r="H1317" s="127"/>
      <c r="I1317" s="127"/>
    </row>
    <row r="1318" customFormat="false" ht="15" hidden="false" customHeight="true" outlineLevel="0" collapsed="false">
      <c r="A1318" s="144" t="n">
        <v>46087</v>
      </c>
      <c r="B1318" s="161" t="s">
        <v>732</v>
      </c>
      <c r="C1318" s="159" t="s">
        <v>670</v>
      </c>
      <c r="D1318" s="161" t="s">
        <v>242</v>
      </c>
      <c r="E1318" s="147" t="n">
        <v>1</v>
      </c>
      <c r="F1318" s="147"/>
      <c r="G1318" s="160" t="n">
        <v>1.1</v>
      </c>
      <c r="H1318" s="127"/>
      <c r="I1318" s="127"/>
    </row>
    <row r="1319" customFormat="false" ht="15" hidden="false" customHeight="true" outlineLevel="0" collapsed="false">
      <c r="A1319" s="144" t="n">
        <v>46087</v>
      </c>
      <c r="B1319" s="161" t="s">
        <v>732</v>
      </c>
      <c r="C1319" s="159" t="s">
        <v>670</v>
      </c>
      <c r="D1319" s="161" t="s">
        <v>240</v>
      </c>
      <c r="E1319" s="147" t="n">
        <v>1</v>
      </c>
      <c r="F1319" s="147"/>
      <c r="G1319" s="160" t="n">
        <v>1.1</v>
      </c>
      <c r="H1319" s="127"/>
      <c r="I1319" s="127"/>
    </row>
    <row r="1320" customFormat="false" ht="15" hidden="false" customHeight="true" outlineLevel="0" collapsed="false">
      <c r="A1320" s="144" t="n">
        <v>46087</v>
      </c>
      <c r="B1320" s="161" t="s">
        <v>732</v>
      </c>
      <c r="C1320" s="159" t="s">
        <v>670</v>
      </c>
      <c r="D1320" s="161" t="s">
        <v>241</v>
      </c>
      <c r="E1320" s="147" t="n">
        <v>1</v>
      </c>
      <c r="F1320" s="147"/>
      <c r="G1320" s="160" t="n">
        <v>1.1</v>
      </c>
      <c r="H1320" s="127"/>
      <c r="I1320" s="127"/>
    </row>
    <row r="1321" customFormat="false" ht="15" hidden="false" customHeight="true" outlineLevel="0" collapsed="false">
      <c r="A1321" s="144" t="n">
        <v>46087</v>
      </c>
      <c r="B1321" s="161" t="s">
        <v>732</v>
      </c>
      <c r="C1321" s="159" t="s">
        <v>670</v>
      </c>
      <c r="D1321" s="161" t="s">
        <v>246</v>
      </c>
      <c r="E1321" s="147" t="n">
        <v>1</v>
      </c>
      <c r="F1321" s="147"/>
      <c r="G1321" s="160" t="n">
        <v>1.1</v>
      </c>
      <c r="H1321" s="127"/>
      <c r="I1321" s="127"/>
    </row>
    <row r="1322" customFormat="false" ht="15" hidden="false" customHeight="true" outlineLevel="0" collapsed="false">
      <c r="A1322" s="144" t="n">
        <v>46087</v>
      </c>
      <c r="B1322" s="161" t="s">
        <v>732</v>
      </c>
      <c r="C1322" s="159" t="s">
        <v>670</v>
      </c>
      <c r="D1322" s="161" t="s">
        <v>243</v>
      </c>
      <c r="E1322" s="147" t="n">
        <v>1</v>
      </c>
      <c r="F1322" s="147"/>
      <c r="G1322" s="160" t="n">
        <v>1.1</v>
      </c>
      <c r="H1322" s="127"/>
      <c r="I1322" s="127"/>
    </row>
    <row r="1323" customFormat="false" ht="15" hidden="false" customHeight="true" outlineLevel="0" collapsed="false">
      <c r="A1323" s="144" t="n">
        <v>46087</v>
      </c>
      <c r="B1323" s="161" t="s">
        <v>732</v>
      </c>
      <c r="C1323" s="159" t="s">
        <v>670</v>
      </c>
      <c r="D1323" s="161" t="s">
        <v>244</v>
      </c>
      <c r="E1323" s="147" t="n">
        <v>1</v>
      </c>
      <c r="F1323" s="147"/>
      <c r="G1323" s="160" t="n">
        <v>1.1</v>
      </c>
      <c r="H1323" s="127"/>
      <c r="I1323" s="127"/>
    </row>
    <row r="1324" customFormat="false" ht="15" hidden="false" customHeight="true" outlineLevel="0" collapsed="false">
      <c r="A1324" s="144" t="n">
        <v>46087</v>
      </c>
      <c r="B1324" s="161" t="s">
        <v>669</v>
      </c>
      <c r="C1324" s="159" t="s">
        <v>670</v>
      </c>
      <c r="D1324" s="161" t="s">
        <v>183</v>
      </c>
      <c r="E1324" s="147" t="n">
        <v>1</v>
      </c>
      <c r="F1324" s="147"/>
      <c r="G1324" s="160" t="n">
        <v>1.2</v>
      </c>
      <c r="H1324" s="127"/>
      <c r="I1324" s="127"/>
    </row>
    <row r="1325" customFormat="false" ht="15" hidden="false" customHeight="true" outlineLevel="0" collapsed="false">
      <c r="A1325" s="144" t="n">
        <v>46087</v>
      </c>
      <c r="B1325" s="161" t="s">
        <v>669</v>
      </c>
      <c r="C1325" s="159" t="s">
        <v>670</v>
      </c>
      <c r="D1325" s="161" t="s">
        <v>222</v>
      </c>
      <c r="E1325" s="147" t="n">
        <v>1</v>
      </c>
      <c r="F1325" s="147"/>
      <c r="G1325" s="160" t="n">
        <v>0.8</v>
      </c>
      <c r="H1325" s="127"/>
      <c r="I1325" s="127"/>
    </row>
    <row r="1326" customFormat="false" ht="15" hidden="false" customHeight="true" outlineLevel="0" collapsed="false">
      <c r="A1326" s="144" t="n">
        <v>46087</v>
      </c>
      <c r="B1326" s="161" t="s">
        <v>753</v>
      </c>
      <c r="C1326" s="159" t="s">
        <v>670</v>
      </c>
      <c r="D1326" s="161" t="s">
        <v>242</v>
      </c>
      <c r="E1326" s="147" t="n">
        <v>4</v>
      </c>
      <c r="F1326" s="147" t="n">
        <v>1500</v>
      </c>
      <c r="G1326" s="160" t="n">
        <v>6</v>
      </c>
      <c r="H1326" s="127"/>
      <c r="I1326" s="127"/>
    </row>
    <row r="1327" customFormat="false" ht="15" hidden="false" customHeight="true" outlineLevel="0" collapsed="false">
      <c r="A1327" s="144" t="n">
        <v>46087</v>
      </c>
      <c r="B1327" s="161" t="s">
        <v>753</v>
      </c>
      <c r="C1327" s="159" t="s">
        <v>670</v>
      </c>
      <c r="D1327" s="161" t="s">
        <v>240</v>
      </c>
      <c r="E1327" s="147" t="n">
        <v>4</v>
      </c>
      <c r="F1327" s="147" t="n">
        <v>1500</v>
      </c>
      <c r="G1327" s="160" t="n">
        <v>6</v>
      </c>
      <c r="H1327" s="127"/>
      <c r="I1327" s="127"/>
    </row>
    <row r="1328" customFormat="false" ht="15" hidden="false" customHeight="true" outlineLevel="0" collapsed="false">
      <c r="A1328" s="144" t="n">
        <v>46087</v>
      </c>
      <c r="B1328" s="161" t="s">
        <v>753</v>
      </c>
      <c r="C1328" s="159" t="s">
        <v>670</v>
      </c>
      <c r="D1328" s="161" t="s">
        <v>243</v>
      </c>
      <c r="E1328" s="147" t="n">
        <v>4</v>
      </c>
      <c r="F1328" s="147" t="n">
        <v>1500</v>
      </c>
      <c r="G1328" s="160" t="n">
        <v>6</v>
      </c>
      <c r="H1328" s="127"/>
      <c r="I1328" s="127"/>
    </row>
    <row r="1329" customFormat="false" ht="15" hidden="false" customHeight="true" outlineLevel="0" collapsed="false">
      <c r="A1329" s="144" t="n">
        <v>46087</v>
      </c>
      <c r="B1329" s="161" t="s">
        <v>753</v>
      </c>
      <c r="C1329" s="159" t="s">
        <v>670</v>
      </c>
      <c r="D1329" s="161" t="s">
        <v>155</v>
      </c>
      <c r="E1329" s="147" t="n">
        <v>5</v>
      </c>
      <c r="F1329" s="147" t="n">
        <v>1600</v>
      </c>
      <c r="G1329" s="160" t="n">
        <v>8</v>
      </c>
      <c r="H1329" s="127"/>
      <c r="I1329" s="127"/>
    </row>
    <row r="1330" customFormat="false" ht="15" hidden="false" customHeight="true" outlineLevel="0" collapsed="false">
      <c r="A1330" s="144" t="n">
        <v>46087</v>
      </c>
      <c r="B1330" s="161" t="s">
        <v>753</v>
      </c>
      <c r="C1330" s="159" t="s">
        <v>670</v>
      </c>
      <c r="D1330" s="161" t="s">
        <v>155</v>
      </c>
      <c r="E1330" s="147" t="n">
        <v>3</v>
      </c>
      <c r="F1330" s="147" t="n">
        <v>1600</v>
      </c>
      <c r="G1330" s="160" t="n">
        <v>4.8</v>
      </c>
      <c r="H1330" s="127"/>
      <c r="I1330" s="127"/>
    </row>
    <row r="1331" customFormat="false" ht="15" hidden="false" customHeight="true" outlineLevel="0" collapsed="false">
      <c r="A1331" s="144" t="n">
        <v>46087</v>
      </c>
      <c r="B1331" s="161" t="s">
        <v>753</v>
      </c>
      <c r="C1331" s="159" t="s">
        <v>670</v>
      </c>
      <c r="D1331" s="161" t="s">
        <v>163</v>
      </c>
      <c r="E1331" s="147" t="n">
        <v>4</v>
      </c>
      <c r="F1331" s="147" t="n">
        <v>1800</v>
      </c>
      <c r="G1331" s="160" t="n">
        <v>7.2</v>
      </c>
      <c r="H1331" s="127"/>
      <c r="I1331" s="127"/>
    </row>
    <row r="1332" customFormat="false" ht="15" hidden="false" customHeight="true" outlineLevel="0" collapsed="false">
      <c r="A1332" s="144" t="n">
        <v>46087</v>
      </c>
      <c r="B1332" s="161" t="s">
        <v>753</v>
      </c>
      <c r="C1332" s="159" t="s">
        <v>670</v>
      </c>
      <c r="D1332" s="161" t="s">
        <v>163</v>
      </c>
      <c r="E1332" s="147" t="n">
        <v>1</v>
      </c>
      <c r="F1332" s="147"/>
      <c r="G1332" s="160" t="n">
        <v>0.1</v>
      </c>
      <c r="H1332" s="127"/>
      <c r="I1332" s="127"/>
    </row>
    <row r="1333" customFormat="false" ht="15" hidden="false" customHeight="true" outlineLevel="0" collapsed="false">
      <c r="A1333" s="144" t="n">
        <v>46087</v>
      </c>
      <c r="B1333" s="161" t="s">
        <v>753</v>
      </c>
      <c r="C1333" s="159" t="s">
        <v>670</v>
      </c>
      <c r="D1333" s="161" t="s">
        <v>183</v>
      </c>
      <c r="E1333" s="147" t="n">
        <v>8</v>
      </c>
      <c r="F1333" s="147" t="n">
        <v>1200</v>
      </c>
      <c r="G1333" s="160" t="n">
        <v>9.6</v>
      </c>
      <c r="H1333" s="127"/>
      <c r="I1333" s="127"/>
    </row>
    <row r="1334" customFormat="false" ht="15" hidden="false" customHeight="true" outlineLevel="0" collapsed="false">
      <c r="A1334" s="144" t="n">
        <v>46087</v>
      </c>
      <c r="B1334" s="161" t="s">
        <v>753</v>
      </c>
      <c r="C1334" s="159" t="s">
        <v>670</v>
      </c>
      <c r="D1334" s="161" t="s">
        <v>221</v>
      </c>
      <c r="E1334" s="147" t="n">
        <v>8</v>
      </c>
      <c r="F1334" s="147" t="n">
        <v>800</v>
      </c>
      <c r="G1334" s="160" t="n">
        <v>6.4</v>
      </c>
      <c r="H1334" s="127"/>
      <c r="I1334" s="127"/>
    </row>
    <row r="1335" customFormat="false" ht="15" hidden="false" customHeight="true" outlineLevel="0" collapsed="false">
      <c r="A1335" s="144" t="n">
        <v>46087</v>
      </c>
      <c r="B1335" s="161" t="s">
        <v>753</v>
      </c>
      <c r="C1335" s="159" t="s">
        <v>670</v>
      </c>
      <c r="D1335" s="161" t="s">
        <v>236</v>
      </c>
      <c r="E1335" s="147" t="n">
        <v>8</v>
      </c>
      <c r="F1335" s="147" t="n">
        <v>1200</v>
      </c>
      <c r="G1335" s="160" t="n">
        <v>9.6</v>
      </c>
      <c r="H1335" s="127"/>
      <c r="I1335" s="127"/>
    </row>
    <row r="1336" customFormat="false" ht="15" hidden="false" customHeight="true" outlineLevel="0" collapsed="false">
      <c r="A1336" s="144" t="n">
        <v>46090</v>
      </c>
      <c r="B1336" s="127"/>
      <c r="C1336" s="159" t="s">
        <v>679</v>
      </c>
      <c r="D1336" s="161" t="s">
        <v>142</v>
      </c>
      <c r="E1336" s="147" t="n">
        <v>1</v>
      </c>
      <c r="F1336" s="147"/>
      <c r="G1336" s="160" t="n">
        <v>2</v>
      </c>
      <c r="H1336" s="127"/>
      <c r="I1336" s="127"/>
    </row>
    <row r="1337" customFormat="false" ht="15" hidden="false" customHeight="true" outlineLevel="0" collapsed="false">
      <c r="A1337" s="144" t="n">
        <v>46090</v>
      </c>
      <c r="B1337" s="127"/>
      <c r="C1337" s="159" t="s">
        <v>679</v>
      </c>
      <c r="D1337" s="161" t="s">
        <v>143</v>
      </c>
      <c r="E1337" s="147" t="n">
        <v>1</v>
      </c>
      <c r="F1337" s="147"/>
      <c r="G1337" s="160" t="n">
        <v>12</v>
      </c>
      <c r="H1337" s="127"/>
      <c r="I1337" s="127"/>
    </row>
    <row r="1338" customFormat="false" ht="15" hidden="false" customHeight="true" outlineLevel="0" collapsed="false">
      <c r="A1338" s="144" t="n">
        <v>46090</v>
      </c>
      <c r="B1338" s="127"/>
      <c r="C1338" s="159" t="s">
        <v>679</v>
      </c>
      <c r="D1338" s="161" t="s">
        <v>144</v>
      </c>
      <c r="E1338" s="147" t="n">
        <v>1</v>
      </c>
      <c r="F1338" s="147"/>
      <c r="G1338" s="160" t="n">
        <v>14</v>
      </c>
      <c r="H1338" s="127"/>
      <c r="I1338" s="127"/>
    </row>
    <row r="1339" customFormat="false" ht="15" hidden="false" customHeight="true" outlineLevel="0" collapsed="false">
      <c r="A1339" s="144" t="n">
        <v>46090</v>
      </c>
      <c r="B1339" s="127"/>
      <c r="C1339" s="159" t="s">
        <v>679</v>
      </c>
      <c r="D1339" s="161" t="s">
        <v>146</v>
      </c>
      <c r="E1339" s="147" t="n">
        <v>1</v>
      </c>
      <c r="F1339" s="147"/>
      <c r="G1339" s="160" t="n">
        <v>1</v>
      </c>
      <c r="H1339" s="127"/>
      <c r="I1339" s="127"/>
    </row>
    <row r="1340" customFormat="false" ht="15" hidden="false" customHeight="true" outlineLevel="0" collapsed="false">
      <c r="A1340" s="144" t="n">
        <v>46090</v>
      </c>
      <c r="B1340" s="127"/>
      <c r="C1340" s="159" t="s">
        <v>679</v>
      </c>
      <c r="D1340" s="161" t="s">
        <v>155</v>
      </c>
      <c r="E1340" s="147" t="n">
        <v>1</v>
      </c>
      <c r="F1340" s="147"/>
      <c r="G1340" s="160" t="n">
        <v>3.2</v>
      </c>
      <c r="H1340" s="127"/>
      <c r="I1340" s="127"/>
    </row>
    <row r="1341" customFormat="false" ht="15" hidden="false" customHeight="true" outlineLevel="0" collapsed="false">
      <c r="A1341" s="144" t="n">
        <v>46090</v>
      </c>
      <c r="B1341" s="127"/>
      <c r="C1341" s="159" t="s">
        <v>679</v>
      </c>
      <c r="D1341" s="161" t="s">
        <v>163</v>
      </c>
      <c r="E1341" s="147" t="n">
        <v>1</v>
      </c>
      <c r="F1341" s="147"/>
      <c r="G1341" s="160" t="n">
        <v>7.2</v>
      </c>
      <c r="H1341" s="127"/>
      <c r="I1341" s="127"/>
    </row>
    <row r="1342" customFormat="false" ht="15" hidden="false" customHeight="true" outlineLevel="0" collapsed="false">
      <c r="A1342" s="144" t="n">
        <v>46090</v>
      </c>
      <c r="B1342" s="127"/>
      <c r="C1342" s="159" t="s">
        <v>679</v>
      </c>
      <c r="D1342" s="161" t="s">
        <v>174</v>
      </c>
      <c r="E1342" s="147" t="n">
        <v>1</v>
      </c>
      <c r="F1342" s="147"/>
      <c r="G1342" s="160" t="n">
        <v>44</v>
      </c>
      <c r="H1342" s="127"/>
      <c r="I1342" s="127"/>
    </row>
    <row r="1343" customFormat="false" ht="15" hidden="false" customHeight="true" outlineLevel="0" collapsed="false">
      <c r="A1343" s="144" t="n">
        <v>46090</v>
      </c>
      <c r="B1343" s="127"/>
      <c r="C1343" s="159" t="s">
        <v>679</v>
      </c>
      <c r="D1343" s="161" t="s">
        <v>178</v>
      </c>
      <c r="E1343" s="147" t="n">
        <v>1</v>
      </c>
      <c r="F1343" s="147"/>
      <c r="G1343" s="160" t="n">
        <v>1</v>
      </c>
      <c r="H1343" s="127"/>
      <c r="I1343" s="127"/>
    </row>
    <row r="1344" customFormat="false" ht="15" hidden="false" customHeight="true" outlineLevel="0" collapsed="false">
      <c r="A1344" s="144" t="n">
        <v>46090</v>
      </c>
      <c r="B1344" s="127"/>
      <c r="C1344" s="159" t="s">
        <v>679</v>
      </c>
      <c r="D1344" s="161" t="s">
        <v>183</v>
      </c>
      <c r="E1344" s="147" t="n">
        <v>1</v>
      </c>
      <c r="F1344" s="147"/>
      <c r="G1344" s="160" t="n">
        <v>16.2</v>
      </c>
      <c r="H1344" s="127"/>
      <c r="I1344" s="127"/>
    </row>
    <row r="1345" customFormat="false" ht="15" hidden="false" customHeight="true" outlineLevel="0" collapsed="false">
      <c r="A1345" s="144" t="n">
        <v>46090</v>
      </c>
      <c r="B1345" s="127"/>
      <c r="C1345" s="159" t="s">
        <v>679</v>
      </c>
      <c r="D1345" s="161" t="s">
        <v>184</v>
      </c>
      <c r="E1345" s="147" t="n">
        <v>1</v>
      </c>
      <c r="F1345" s="147"/>
      <c r="G1345" s="160" t="n">
        <v>2</v>
      </c>
      <c r="H1345" s="127"/>
      <c r="I1345" s="127"/>
    </row>
    <row r="1346" customFormat="false" ht="15" hidden="false" customHeight="true" outlineLevel="0" collapsed="false">
      <c r="A1346" s="144" t="n">
        <v>46090</v>
      </c>
      <c r="B1346" s="127"/>
      <c r="C1346" s="159" t="s">
        <v>679</v>
      </c>
      <c r="D1346" s="161" t="s">
        <v>222</v>
      </c>
      <c r="E1346" s="147" t="n">
        <v>1</v>
      </c>
      <c r="F1346" s="147"/>
      <c r="G1346" s="160" t="n">
        <v>1.6</v>
      </c>
      <c r="H1346" s="127"/>
      <c r="I1346" s="127"/>
    </row>
    <row r="1347" customFormat="false" ht="15" hidden="false" customHeight="true" outlineLevel="0" collapsed="false">
      <c r="A1347" s="144" t="n">
        <v>46090</v>
      </c>
      <c r="B1347" s="127"/>
      <c r="C1347" s="159" t="s">
        <v>679</v>
      </c>
      <c r="D1347" s="161" t="s">
        <v>221</v>
      </c>
      <c r="E1347" s="147" t="n">
        <v>1</v>
      </c>
      <c r="F1347" s="147"/>
      <c r="G1347" s="160" t="n">
        <v>0.8</v>
      </c>
      <c r="H1347" s="127"/>
      <c r="I1347" s="127"/>
    </row>
    <row r="1348" customFormat="false" ht="15" hidden="false" customHeight="true" outlineLevel="0" collapsed="false">
      <c r="A1348" s="144" t="n">
        <v>46090</v>
      </c>
      <c r="B1348" s="127"/>
      <c r="C1348" s="159" t="s">
        <v>679</v>
      </c>
      <c r="D1348" s="161" t="s">
        <v>204</v>
      </c>
      <c r="E1348" s="147" t="n">
        <v>1</v>
      </c>
      <c r="F1348" s="147"/>
      <c r="G1348" s="160" t="n">
        <v>39.6</v>
      </c>
      <c r="H1348" s="127"/>
      <c r="I1348" s="127"/>
    </row>
    <row r="1349" customFormat="false" ht="15" hidden="false" customHeight="true" outlineLevel="0" collapsed="false">
      <c r="A1349" s="144" t="n">
        <v>46090</v>
      </c>
      <c r="B1349" s="127"/>
      <c r="C1349" s="159" t="s">
        <v>679</v>
      </c>
      <c r="D1349" s="161" t="s">
        <v>236</v>
      </c>
      <c r="E1349" s="147" t="n">
        <v>1</v>
      </c>
      <c r="F1349" s="147"/>
      <c r="G1349" s="160" t="n">
        <v>32.4</v>
      </c>
      <c r="H1349" s="127"/>
      <c r="I1349" s="127"/>
    </row>
    <row r="1350" customFormat="false" ht="15" hidden="false" customHeight="true" outlineLevel="0" collapsed="false">
      <c r="A1350" s="144" t="n">
        <v>46090</v>
      </c>
      <c r="B1350" s="127"/>
      <c r="C1350" s="159" t="s">
        <v>679</v>
      </c>
      <c r="D1350" s="161" t="s">
        <v>207</v>
      </c>
      <c r="E1350" s="147" t="n">
        <v>1</v>
      </c>
      <c r="F1350" s="147"/>
      <c r="G1350" s="160" t="n">
        <v>5</v>
      </c>
      <c r="H1350" s="127"/>
      <c r="I1350" s="127"/>
    </row>
    <row r="1351" customFormat="false" ht="15" hidden="false" customHeight="true" outlineLevel="0" collapsed="false">
      <c r="A1351" s="144" t="n">
        <v>46090</v>
      </c>
      <c r="B1351" s="127"/>
      <c r="C1351" s="159" t="s">
        <v>679</v>
      </c>
      <c r="D1351" s="161" t="s">
        <v>220</v>
      </c>
      <c r="E1351" s="147" t="n">
        <v>1</v>
      </c>
      <c r="F1351" s="147"/>
      <c r="G1351" s="160" t="n">
        <v>2</v>
      </c>
      <c r="H1351" s="127"/>
      <c r="I1351" s="127"/>
    </row>
    <row r="1352" customFormat="false" ht="15" hidden="false" customHeight="true" outlineLevel="0" collapsed="false">
      <c r="A1352" s="144" t="n">
        <v>46090</v>
      </c>
      <c r="B1352" s="161" t="s">
        <v>732</v>
      </c>
      <c r="C1352" s="159" t="s">
        <v>670</v>
      </c>
      <c r="D1352" s="161" t="s">
        <v>242</v>
      </c>
      <c r="E1352" s="147" t="n">
        <v>1</v>
      </c>
      <c r="F1352" s="147"/>
      <c r="G1352" s="160" t="n">
        <v>1.1</v>
      </c>
      <c r="H1352" s="127"/>
      <c r="I1352" s="127"/>
    </row>
    <row r="1353" customFormat="false" ht="15" hidden="false" customHeight="true" outlineLevel="0" collapsed="false">
      <c r="A1353" s="144" t="n">
        <v>46090</v>
      </c>
      <c r="B1353" s="161" t="s">
        <v>732</v>
      </c>
      <c r="C1353" s="159" t="s">
        <v>670</v>
      </c>
      <c r="D1353" s="161" t="s">
        <v>240</v>
      </c>
      <c r="E1353" s="147" t="n">
        <v>1</v>
      </c>
      <c r="F1353" s="147"/>
      <c r="G1353" s="160" t="n">
        <v>1.1</v>
      </c>
      <c r="H1353" s="127"/>
      <c r="I1353" s="127"/>
    </row>
    <row r="1354" customFormat="false" ht="15" hidden="false" customHeight="true" outlineLevel="0" collapsed="false">
      <c r="A1354" s="144" t="n">
        <v>46090</v>
      </c>
      <c r="B1354" s="161" t="s">
        <v>732</v>
      </c>
      <c r="C1354" s="159" t="s">
        <v>670</v>
      </c>
      <c r="D1354" s="161" t="s">
        <v>241</v>
      </c>
      <c r="E1354" s="147" t="n">
        <v>1</v>
      </c>
      <c r="F1354" s="147"/>
      <c r="G1354" s="160" t="n">
        <v>1.1</v>
      </c>
      <c r="H1354" s="127"/>
      <c r="I1354" s="127"/>
    </row>
    <row r="1355" customFormat="false" ht="15" hidden="false" customHeight="true" outlineLevel="0" collapsed="false">
      <c r="A1355" s="144" t="n">
        <v>46090</v>
      </c>
      <c r="B1355" s="161" t="s">
        <v>732</v>
      </c>
      <c r="C1355" s="159" t="s">
        <v>670</v>
      </c>
      <c r="D1355" s="161" t="s">
        <v>246</v>
      </c>
      <c r="E1355" s="147" t="n">
        <v>1</v>
      </c>
      <c r="F1355" s="147"/>
      <c r="G1355" s="160" t="n">
        <v>1.1</v>
      </c>
      <c r="H1355" s="127"/>
      <c r="I1355" s="127"/>
    </row>
    <row r="1356" customFormat="false" ht="15" hidden="false" customHeight="true" outlineLevel="0" collapsed="false">
      <c r="A1356" s="144" t="n">
        <v>46090</v>
      </c>
      <c r="B1356" s="161" t="s">
        <v>732</v>
      </c>
      <c r="C1356" s="159" t="s">
        <v>670</v>
      </c>
      <c r="D1356" s="161" t="s">
        <v>243</v>
      </c>
      <c r="E1356" s="147" t="n">
        <v>1</v>
      </c>
      <c r="F1356" s="147"/>
      <c r="G1356" s="160" t="n">
        <v>1.1</v>
      </c>
      <c r="H1356" s="127"/>
      <c r="I1356" s="127"/>
    </row>
    <row r="1357" customFormat="false" ht="15" hidden="false" customHeight="true" outlineLevel="0" collapsed="false">
      <c r="A1357" s="144" t="n">
        <v>46090</v>
      </c>
      <c r="B1357" s="161" t="s">
        <v>732</v>
      </c>
      <c r="C1357" s="159" t="s">
        <v>670</v>
      </c>
      <c r="D1357" s="161" t="s">
        <v>244</v>
      </c>
      <c r="E1357" s="147" t="n">
        <v>1</v>
      </c>
      <c r="F1357" s="147"/>
      <c r="G1357" s="160" t="n">
        <v>1.1</v>
      </c>
      <c r="H1357" s="127"/>
      <c r="I1357" s="127"/>
    </row>
    <row r="1358" customFormat="false" ht="15" hidden="false" customHeight="true" outlineLevel="0" collapsed="false">
      <c r="A1358" s="144" t="n">
        <v>46090</v>
      </c>
      <c r="B1358" s="161" t="s">
        <v>753</v>
      </c>
      <c r="C1358" s="159" t="s">
        <v>670</v>
      </c>
      <c r="D1358" s="161" t="s">
        <v>242</v>
      </c>
      <c r="E1358" s="147" t="n">
        <v>1</v>
      </c>
      <c r="F1358" s="147" t="n">
        <v>1200</v>
      </c>
      <c r="G1358" s="160" t="n">
        <v>1.2</v>
      </c>
      <c r="H1358" s="127"/>
      <c r="I1358" s="127"/>
    </row>
    <row r="1359" customFormat="false" ht="15" hidden="false" customHeight="true" outlineLevel="0" collapsed="false">
      <c r="A1359" s="144" t="n">
        <v>46090</v>
      </c>
      <c r="B1359" s="161" t="s">
        <v>753</v>
      </c>
      <c r="C1359" s="159" t="s">
        <v>670</v>
      </c>
      <c r="D1359" s="161" t="s">
        <v>240</v>
      </c>
      <c r="E1359" s="147" t="n">
        <v>1</v>
      </c>
      <c r="F1359" s="147" t="n">
        <v>1200</v>
      </c>
      <c r="G1359" s="160" t="n">
        <v>1.2</v>
      </c>
      <c r="H1359" s="127"/>
      <c r="I1359" s="127"/>
    </row>
    <row r="1360" customFormat="false" ht="15" hidden="false" customHeight="true" outlineLevel="0" collapsed="false">
      <c r="A1360" s="144" t="n">
        <v>46090</v>
      </c>
      <c r="B1360" s="161" t="s">
        <v>753</v>
      </c>
      <c r="C1360" s="159" t="s">
        <v>670</v>
      </c>
      <c r="D1360" s="161" t="s">
        <v>241</v>
      </c>
      <c r="E1360" s="147" t="n">
        <v>1</v>
      </c>
      <c r="F1360" s="147" t="n">
        <v>1200</v>
      </c>
      <c r="G1360" s="160" t="n">
        <v>1.2</v>
      </c>
      <c r="H1360" s="127"/>
      <c r="I1360" s="127"/>
    </row>
    <row r="1361" customFormat="false" ht="15" hidden="false" customHeight="true" outlineLevel="0" collapsed="false">
      <c r="A1361" s="144" t="n">
        <v>46090</v>
      </c>
      <c r="B1361" s="161" t="s">
        <v>753</v>
      </c>
      <c r="C1361" s="159" t="s">
        <v>670</v>
      </c>
      <c r="D1361" s="161" t="s">
        <v>246</v>
      </c>
      <c r="E1361" s="147" t="n">
        <v>1</v>
      </c>
      <c r="F1361" s="147" t="n">
        <v>1200</v>
      </c>
      <c r="G1361" s="160" t="n">
        <v>1.2</v>
      </c>
      <c r="H1361" s="127"/>
      <c r="I1361" s="127"/>
    </row>
    <row r="1362" customFormat="false" ht="15" hidden="false" customHeight="true" outlineLevel="0" collapsed="false">
      <c r="A1362" s="144" t="n">
        <v>46090</v>
      </c>
      <c r="B1362" s="161" t="s">
        <v>753</v>
      </c>
      <c r="C1362" s="159" t="s">
        <v>670</v>
      </c>
      <c r="D1362" s="161" t="s">
        <v>243</v>
      </c>
      <c r="E1362" s="147" t="n">
        <v>1</v>
      </c>
      <c r="F1362" s="147" t="n">
        <v>1200</v>
      </c>
      <c r="G1362" s="160" t="n">
        <v>1.2</v>
      </c>
      <c r="H1362" s="127"/>
      <c r="I1362" s="127"/>
    </row>
    <row r="1363" customFormat="false" ht="15" hidden="false" customHeight="true" outlineLevel="0" collapsed="false">
      <c r="A1363" s="144" t="n">
        <v>46090</v>
      </c>
      <c r="B1363" s="161" t="s">
        <v>753</v>
      </c>
      <c r="C1363" s="159" t="s">
        <v>670</v>
      </c>
      <c r="D1363" s="161" t="s">
        <v>244</v>
      </c>
      <c r="E1363" s="147" t="n">
        <v>1</v>
      </c>
      <c r="F1363" s="147" t="n">
        <v>1200</v>
      </c>
      <c r="G1363" s="160" t="n">
        <v>1.2</v>
      </c>
      <c r="H1363" s="127"/>
      <c r="I1363" s="127"/>
    </row>
    <row r="1364" customFormat="false" ht="15" hidden="false" customHeight="true" outlineLevel="0" collapsed="false">
      <c r="A1364" s="144" t="n">
        <v>46090</v>
      </c>
      <c r="B1364" s="161" t="s">
        <v>753</v>
      </c>
      <c r="C1364" s="159" t="s">
        <v>670</v>
      </c>
      <c r="D1364" s="161" t="s">
        <v>160</v>
      </c>
      <c r="E1364" s="147" t="n">
        <v>2</v>
      </c>
      <c r="F1364" s="147" t="n">
        <v>1000</v>
      </c>
      <c r="G1364" s="160" t="n">
        <v>2</v>
      </c>
      <c r="H1364" s="127"/>
      <c r="I1364" s="127"/>
    </row>
    <row r="1365" customFormat="false" ht="15" hidden="false" customHeight="true" outlineLevel="0" collapsed="false">
      <c r="A1365" s="144" t="n">
        <v>46090</v>
      </c>
      <c r="B1365" s="161" t="s">
        <v>753</v>
      </c>
      <c r="C1365" s="159" t="s">
        <v>670</v>
      </c>
      <c r="D1365" s="161" t="s">
        <v>813</v>
      </c>
      <c r="E1365" s="147" t="n">
        <v>1</v>
      </c>
      <c r="F1365" s="147"/>
      <c r="G1365" s="160" t="n">
        <v>0.1</v>
      </c>
      <c r="H1365" s="127"/>
      <c r="I1365" s="127"/>
    </row>
    <row r="1366" customFormat="false" ht="15" hidden="false" customHeight="true" outlineLevel="0" collapsed="false">
      <c r="A1366" s="144" t="n">
        <v>46091</v>
      </c>
      <c r="B1366" s="127"/>
      <c r="C1366" s="159" t="s">
        <v>679</v>
      </c>
      <c r="D1366" s="127" t="s">
        <v>814</v>
      </c>
      <c r="E1366" s="147" t="n">
        <v>1</v>
      </c>
      <c r="F1366" s="147"/>
      <c r="G1366" s="160" t="n">
        <v>1.2</v>
      </c>
      <c r="H1366" s="127"/>
      <c r="I1366" s="127"/>
    </row>
    <row r="1367" customFormat="false" ht="15" hidden="false" customHeight="true" outlineLevel="0" collapsed="false">
      <c r="A1367" s="144" t="n">
        <v>46091</v>
      </c>
      <c r="B1367" s="127"/>
      <c r="C1367" s="159" t="s">
        <v>679</v>
      </c>
      <c r="D1367" s="161" t="s">
        <v>143</v>
      </c>
      <c r="E1367" s="147" t="n">
        <v>1</v>
      </c>
      <c r="F1367" s="147"/>
      <c r="G1367" s="160" t="n">
        <v>34</v>
      </c>
      <c r="H1367" s="127"/>
      <c r="I1367" s="127"/>
    </row>
    <row r="1368" customFormat="false" ht="15" hidden="false" customHeight="true" outlineLevel="0" collapsed="false">
      <c r="A1368" s="144" t="n">
        <v>46091</v>
      </c>
      <c r="B1368" s="127"/>
      <c r="C1368" s="159" t="s">
        <v>679</v>
      </c>
      <c r="D1368" s="161" t="s">
        <v>144</v>
      </c>
      <c r="E1368" s="147" t="n">
        <v>1</v>
      </c>
      <c r="F1368" s="147"/>
      <c r="G1368" s="160" t="n">
        <v>6</v>
      </c>
      <c r="H1368" s="127"/>
      <c r="I1368" s="127"/>
    </row>
    <row r="1369" customFormat="false" ht="15" hidden="false" customHeight="true" outlineLevel="0" collapsed="false">
      <c r="A1369" s="144" t="n">
        <v>46091</v>
      </c>
      <c r="B1369" s="127"/>
      <c r="C1369" s="159" t="s">
        <v>679</v>
      </c>
      <c r="D1369" s="161" t="s">
        <v>147</v>
      </c>
      <c r="E1369" s="147" t="n">
        <v>1</v>
      </c>
      <c r="F1369" s="147"/>
      <c r="G1369" s="160" t="n">
        <v>2</v>
      </c>
      <c r="H1369" s="127"/>
      <c r="I1369" s="127"/>
    </row>
    <row r="1370" customFormat="false" ht="15" hidden="false" customHeight="true" outlineLevel="0" collapsed="false">
      <c r="A1370" s="144" t="n">
        <v>46091</v>
      </c>
      <c r="B1370" s="127"/>
      <c r="C1370" s="159" t="s">
        <v>679</v>
      </c>
      <c r="D1370" s="161" t="s">
        <v>174</v>
      </c>
      <c r="E1370" s="147" t="n">
        <v>1</v>
      </c>
      <c r="F1370" s="147"/>
      <c r="G1370" s="160" t="n">
        <v>44</v>
      </c>
      <c r="H1370" s="127"/>
      <c r="I1370" s="127"/>
    </row>
    <row r="1371" customFormat="false" ht="15" hidden="false" customHeight="true" outlineLevel="0" collapsed="false">
      <c r="A1371" s="144" t="n">
        <v>46091</v>
      </c>
      <c r="B1371" s="127"/>
      <c r="C1371" s="159" t="s">
        <v>679</v>
      </c>
      <c r="D1371" s="161" t="s">
        <v>183</v>
      </c>
      <c r="E1371" s="147" t="n">
        <v>1</v>
      </c>
      <c r="F1371" s="147"/>
      <c r="G1371" s="160" t="n">
        <v>435.6</v>
      </c>
      <c r="H1371" s="127"/>
      <c r="I1371" s="127"/>
    </row>
    <row r="1372" customFormat="false" ht="15" hidden="false" customHeight="true" outlineLevel="0" collapsed="false">
      <c r="A1372" s="144" t="n">
        <v>46091</v>
      </c>
      <c r="B1372" s="127"/>
      <c r="C1372" s="159" t="s">
        <v>679</v>
      </c>
      <c r="D1372" s="161" t="s">
        <v>184</v>
      </c>
      <c r="E1372" s="147" t="n">
        <v>1</v>
      </c>
      <c r="F1372" s="147"/>
      <c r="G1372" s="160" t="n">
        <v>4</v>
      </c>
      <c r="H1372" s="127"/>
      <c r="I1372" s="127"/>
    </row>
    <row r="1373" customFormat="false" ht="15" hidden="false" customHeight="true" outlineLevel="0" collapsed="false">
      <c r="A1373" s="144" t="n">
        <v>46091</v>
      </c>
      <c r="B1373" s="127"/>
      <c r="C1373" s="159" t="s">
        <v>679</v>
      </c>
      <c r="D1373" s="161" t="s">
        <v>222</v>
      </c>
      <c r="E1373" s="147" t="n">
        <v>1</v>
      </c>
      <c r="F1373" s="147"/>
      <c r="G1373" s="160" t="n">
        <v>1.6</v>
      </c>
      <c r="H1373" s="127"/>
      <c r="I1373" s="127"/>
    </row>
    <row r="1374" customFormat="false" ht="15" hidden="false" customHeight="true" outlineLevel="0" collapsed="false">
      <c r="A1374" s="144" t="n">
        <v>46091</v>
      </c>
      <c r="B1374" s="127"/>
      <c r="C1374" s="159" t="s">
        <v>679</v>
      </c>
      <c r="D1374" s="161" t="s">
        <v>204</v>
      </c>
      <c r="E1374" s="147" t="n">
        <v>1</v>
      </c>
      <c r="F1374" s="147"/>
      <c r="G1374" s="160" t="n">
        <v>23.4</v>
      </c>
      <c r="H1374" s="127"/>
      <c r="I1374" s="127"/>
    </row>
    <row r="1375" customFormat="false" ht="15" hidden="false" customHeight="true" outlineLevel="0" collapsed="false">
      <c r="A1375" s="144" t="n">
        <v>46091</v>
      </c>
      <c r="B1375" s="127"/>
      <c r="C1375" s="159" t="s">
        <v>679</v>
      </c>
      <c r="D1375" s="161" t="s">
        <v>236</v>
      </c>
      <c r="E1375" s="147" t="n">
        <v>1</v>
      </c>
      <c r="F1375" s="147"/>
      <c r="G1375" s="160" t="n">
        <v>7.2</v>
      </c>
      <c r="H1375" s="127"/>
      <c r="I1375" s="127"/>
    </row>
    <row r="1376" customFormat="false" ht="15" hidden="false" customHeight="true" outlineLevel="0" collapsed="false">
      <c r="A1376" s="144" t="n">
        <v>46091</v>
      </c>
      <c r="B1376" s="127"/>
      <c r="C1376" s="159" t="s">
        <v>679</v>
      </c>
      <c r="D1376" s="161" t="s">
        <v>815</v>
      </c>
      <c r="E1376" s="147" t="n">
        <v>1</v>
      </c>
      <c r="F1376" s="147"/>
      <c r="G1376" s="160" t="n">
        <v>1.8</v>
      </c>
      <c r="H1376" s="127"/>
      <c r="I1376" s="127"/>
    </row>
    <row r="1377" customFormat="false" ht="15" hidden="false" customHeight="true" outlineLevel="0" collapsed="false">
      <c r="A1377" s="144" t="n">
        <v>46091</v>
      </c>
      <c r="B1377" s="127"/>
      <c r="C1377" s="159" t="s">
        <v>679</v>
      </c>
      <c r="D1377" s="161" t="s">
        <v>207</v>
      </c>
      <c r="E1377" s="147" t="n">
        <v>1</v>
      </c>
      <c r="F1377" s="147"/>
      <c r="G1377" s="160" t="n">
        <v>2</v>
      </c>
      <c r="H1377" s="127"/>
      <c r="I1377" s="127"/>
    </row>
    <row r="1378" customFormat="false" ht="15" hidden="false" customHeight="true" outlineLevel="0" collapsed="false">
      <c r="A1378" s="144" t="n">
        <v>46091</v>
      </c>
      <c r="B1378" s="127"/>
      <c r="C1378" s="159" t="s">
        <v>679</v>
      </c>
      <c r="D1378" s="161" t="s">
        <v>220</v>
      </c>
      <c r="E1378" s="147" t="n">
        <v>1</v>
      </c>
      <c r="F1378" s="147"/>
      <c r="G1378" s="160" t="n">
        <v>2</v>
      </c>
      <c r="H1378" s="127"/>
      <c r="I1378" s="127"/>
    </row>
    <row r="1379" customFormat="false" ht="15" hidden="false" customHeight="true" outlineLevel="0" collapsed="false">
      <c r="A1379" s="144" t="n">
        <v>46091</v>
      </c>
      <c r="B1379" s="161" t="s">
        <v>732</v>
      </c>
      <c r="C1379" s="159" t="s">
        <v>670</v>
      </c>
      <c r="D1379" s="161" t="s">
        <v>242</v>
      </c>
      <c r="E1379" s="147" t="n">
        <v>1</v>
      </c>
      <c r="F1379" s="147"/>
      <c r="G1379" s="160" t="n">
        <v>0.2</v>
      </c>
      <c r="H1379" s="127"/>
      <c r="I1379" s="127"/>
    </row>
    <row r="1380" customFormat="false" ht="15" hidden="false" customHeight="false" outlineLevel="0" collapsed="false">
      <c r="A1380" s="144" t="n">
        <v>46091</v>
      </c>
      <c r="B1380" s="162" t="s">
        <v>732</v>
      </c>
      <c r="C1380" s="159" t="s">
        <v>670</v>
      </c>
      <c r="D1380" s="162" t="s">
        <v>240</v>
      </c>
      <c r="E1380" s="147" t="n">
        <v>1</v>
      </c>
      <c r="F1380" s="147"/>
      <c r="G1380" s="160" t="n">
        <v>0.2</v>
      </c>
      <c r="H1380" s="162"/>
      <c r="I1380" s="162"/>
    </row>
    <row r="1381" customFormat="false" ht="15" hidden="false" customHeight="false" outlineLevel="0" collapsed="false">
      <c r="A1381" s="144" t="n">
        <v>46091</v>
      </c>
      <c r="B1381" s="162" t="s">
        <v>732</v>
      </c>
      <c r="C1381" s="159" t="s">
        <v>670</v>
      </c>
      <c r="D1381" s="162" t="s">
        <v>241</v>
      </c>
      <c r="E1381" s="147" t="n">
        <v>1</v>
      </c>
      <c r="F1381" s="147"/>
      <c r="G1381" s="160" t="n">
        <v>0.2</v>
      </c>
      <c r="H1381" s="162"/>
      <c r="I1381" s="162"/>
    </row>
    <row r="1382" customFormat="false" ht="15" hidden="false" customHeight="false" outlineLevel="0" collapsed="false">
      <c r="A1382" s="144" t="n">
        <v>46091</v>
      </c>
      <c r="B1382" s="162" t="s">
        <v>732</v>
      </c>
      <c r="C1382" s="159" t="s">
        <v>670</v>
      </c>
      <c r="D1382" s="162" t="s">
        <v>246</v>
      </c>
      <c r="E1382" s="147" t="n">
        <v>1</v>
      </c>
      <c r="F1382" s="147"/>
      <c r="G1382" s="160" t="n">
        <v>0.2</v>
      </c>
      <c r="H1382" s="162"/>
      <c r="I1382" s="162"/>
    </row>
    <row r="1383" customFormat="false" ht="15" hidden="false" customHeight="false" outlineLevel="0" collapsed="false">
      <c r="A1383" s="144" t="n">
        <v>46091</v>
      </c>
      <c r="B1383" s="162" t="s">
        <v>732</v>
      </c>
      <c r="C1383" s="159" t="s">
        <v>670</v>
      </c>
      <c r="D1383" s="162" t="s">
        <v>243</v>
      </c>
      <c r="E1383" s="147" t="n">
        <v>1</v>
      </c>
      <c r="F1383" s="147"/>
      <c r="G1383" s="160" t="n">
        <v>0.2</v>
      </c>
      <c r="H1383" s="162"/>
      <c r="I1383" s="162"/>
    </row>
    <row r="1384" customFormat="false" ht="15" hidden="false" customHeight="false" outlineLevel="0" collapsed="false">
      <c r="A1384" s="144" t="n">
        <v>46091</v>
      </c>
      <c r="B1384" s="162" t="s">
        <v>732</v>
      </c>
      <c r="C1384" s="159" t="s">
        <v>670</v>
      </c>
      <c r="D1384" s="162" t="s">
        <v>244</v>
      </c>
      <c r="E1384" s="147" t="n">
        <v>1</v>
      </c>
      <c r="F1384" s="147"/>
      <c r="G1384" s="160" t="n">
        <v>0.2</v>
      </c>
      <c r="H1384" s="162"/>
      <c r="I1384" s="162"/>
    </row>
    <row r="1385" customFormat="false" ht="15" hidden="false" customHeight="false" outlineLevel="0" collapsed="false">
      <c r="A1385" s="144" t="n">
        <v>46091</v>
      </c>
      <c r="B1385" s="162" t="s">
        <v>753</v>
      </c>
      <c r="C1385" s="159" t="s">
        <v>670</v>
      </c>
      <c r="D1385" s="162" t="s">
        <v>179</v>
      </c>
      <c r="E1385" s="147" t="n">
        <v>1</v>
      </c>
      <c r="F1385" s="147" t="n">
        <v>30000</v>
      </c>
      <c r="G1385" s="160" t="n">
        <v>30</v>
      </c>
      <c r="H1385" s="162"/>
      <c r="I1385" s="162"/>
    </row>
    <row r="1386" customFormat="false" ht="15" hidden="false" customHeight="false" outlineLevel="0" collapsed="false">
      <c r="A1386" s="144" t="n">
        <v>46091</v>
      </c>
      <c r="B1386" s="162" t="s">
        <v>753</v>
      </c>
      <c r="C1386" s="159" t="s">
        <v>670</v>
      </c>
      <c r="D1386" s="162" t="s">
        <v>236</v>
      </c>
      <c r="E1386" s="147" t="n">
        <v>24</v>
      </c>
      <c r="F1386" s="147" t="n">
        <v>1200</v>
      </c>
      <c r="G1386" s="160" t="n">
        <v>28.8</v>
      </c>
      <c r="H1386" s="162"/>
      <c r="I1386" s="162"/>
    </row>
    <row r="1387" customFormat="false" ht="15" hidden="false" customHeight="false" outlineLevel="0" collapsed="false">
      <c r="A1387" s="144" t="n">
        <v>46091</v>
      </c>
      <c r="B1387" s="162" t="s">
        <v>753</v>
      </c>
      <c r="C1387" s="159" t="s">
        <v>670</v>
      </c>
      <c r="D1387" s="162" t="s">
        <v>673</v>
      </c>
      <c r="E1387" s="147" t="n">
        <v>1</v>
      </c>
      <c r="F1387" s="147"/>
      <c r="G1387" s="160" t="n">
        <v>30</v>
      </c>
      <c r="H1387" s="162"/>
      <c r="I1387" s="162"/>
    </row>
    <row r="1388" customFormat="false" ht="15" hidden="false" customHeight="false" outlineLevel="0" collapsed="false">
      <c r="A1388" s="144" t="n">
        <v>46092</v>
      </c>
      <c r="B1388" s="162"/>
      <c r="C1388" s="159" t="s">
        <v>679</v>
      </c>
      <c r="D1388" s="162" t="s">
        <v>142</v>
      </c>
      <c r="E1388" s="147" t="n">
        <v>1</v>
      </c>
      <c r="F1388" s="147"/>
      <c r="G1388" s="160" t="n">
        <v>2</v>
      </c>
      <c r="H1388" s="162"/>
      <c r="I1388" s="162"/>
    </row>
    <row r="1389" customFormat="false" ht="15" hidden="false" customHeight="false" outlineLevel="0" collapsed="false">
      <c r="A1389" s="144" t="n">
        <v>46092</v>
      </c>
      <c r="B1389" s="162"/>
      <c r="C1389" s="159" t="s">
        <v>679</v>
      </c>
      <c r="D1389" s="162" t="s">
        <v>143</v>
      </c>
      <c r="E1389" s="147" t="n">
        <v>1</v>
      </c>
      <c r="F1389" s="147"/>
      <c r="G1389" s="160" t="n">
        <v>30</v>
      </c>
      <c r="H1389" s="162"/>
      <c r="I1389" s="162"/>
    </row>
    <row r="1390" customFormat="false" ht="15" hidden="false" customHeight="false" outlineLevel="0" collapsed="false">
      <c r="A1390" s="144" t="n">
        <v>46092</v>
      </c>
      <c r="B1390" s="162"/>
      <c r="C1390" s="159" t="s">
        <v>679</v>
      </c>
      <c r="D1390" s="162" t="s">
        <v>816</v>
      </c>
      <c r="E1390" s="147" t="n">
        <v>1</v>
      </c>
      <c r="F1390" s="147"/>
      <c r="G1390" s="160" t="n">
        <v>1.5</v>
      </c>
      <c r="H1390" s="162"/>
      <c r="I1390" s="162"/>
    </row>
    <row r="1391" customFormat="false" ht="15" hidden="false" customHeight="false" outlineLevel="0" collapsed="false">
      <c r="A1391" s="144" t="n">
        <v>46092</v>
      </c>
      <c r="B1391" s="162"/>
      <c r="C1391" s="159" t="s">
        <v>679</v>
      </c>
      <c r="D1391" s="162" t="s">
        <v>144</v>
      </c>
      <c r="E1391" s="147" t="n">
        <v>1</v>
      </c>
      <c r="F1391" s="147"/>
      <c r="G1391" s="160" t="n">
        <v>15</v>
      </c>
      <c r="H1391" s="162"/>
      <c r="I1391" s="162"/>
    </row>
    <row r="1392" customFormat="false" ht="15" hidden="false" customHeight="false" outlineLevel="0" collapsed="false">
      <c r="A1392" s="144" t="n">
        <v>46092</v>
      </c>
      <c r="B1392" s="162"/>
      <c r="C1392" s="159" t="s">
        <v>679</v>
      </c>
      <c r="D1392" s="162" t="s">
        <v>155</v>
      </c>
      <c r="E1392" s="147" t="n">
        <v>1</v>
      </c>
      <c r="F1392" s="147"/>
      <c r="G1392" s="160" t="n">
        <v>1.6</v>
      </c>
      <c r="H1392" s="162"/>
      <c r="I1392" s="162"/>
    </row>
    <row r="1393" customFormat="false" ht="15" hidden="false" customHeight="false" outlineLevel="0" collapsed="false">
      <c r="A1393" s="144" t="n">
        <v>46092</v>
      </c>
      <c r="B1393" s="162"/>
      <c r="C1393" s="159" t="s">
        <v>679</v>
      </c>
      <c r="D1393" s="162" t="s">
        <v>163</v>
      </c>
      <c r="E1393" s="147" t="n">
        <v>1</v>
      </c>
      <c r="F1393" s="147"/>
      <c r="G1393" s="160" t="n">
        <v>1.8</v>
      </c>
      <c r="H1393" s="162"/>
      <c r="I1393" s="162"/>
    </row>
    <row r="1394" customFormat="false" ht="15" hidden="false" customHeight="false" outlineLevel="0" collapsed="false">
      <c r="A1394" s="144" t="n">
        <v>46092</v>
      </c>
      <c r="B1394" s="162"/>
      <c r="C1394" s="159" t="s">
        <v>679</v>
      </c>
      <c r="D1394" s="162" t="s">
        <v>174</v>
      </c>
      <c r="E1394" s="147" t="n">
        <v>1</v>
      </c>
      <c r="F1394" s="147"/>
      <c r="G1394" s="160" t="n">
        <v>44</v>
      </c>
      <c r="H1394" s="162"/>
      <c r="I1394" s="162"/>
    </row>
    <row r="1395" customFormat="false" ht="15" hidden="false" customHeight="false" outlineLevel="0" collapsed="false">
      <c r="A1395" s="144" t="n">
        <v>46092</v>
      </c>
      <c r="B1395" s="162"/>
      <c r="C1395" s="159" t="s">
        <v>679</v>
      </c>
      <c r="D1395" s="162" t="s">
        <v>183</v>
      </c>
      <c r="E1395" s="147" t="n">
        <v>1</v>
      </c>
      <c r="F1395" s="147"/>
      <c r="G1395" s="160" t="n">
        <v>241.2</v>
      </c>
      <c r="H1395" s="162"/>
      <c r="I1395" s="162"/>
    </row>
    <row r="1396" customFormat="false" ht="15" hidden="false" customHeight="false" outlineLevel="0" collapsed="false">
      <c r="A1396" s="144" t="n">
        <v>46092</v>
      </c>
      <c r="B1396" s="162"/>
      <c r="C1396" s="159" t="s">
        <v>679</v>
      </c>
      <c r="D1396" s="162" t="s">
        <v>184</v>
      </c>
      <c r="E1396" s="147" t="n">
        <v>1</v>
      </c>
      <c r="F1396" s="147"/>
      <c r="G1396" s="160" t="n">
        <v>10</v>
      </c>
      <c r="H1396" s="162"/>
      <c r="I1396" s="162"/>
    </row>
    <row r="1397" customFormat="false" ht="15" hidden="false" customHeight="false" outlineLevel="0" collapsed="false">
      <c r="A1397" s="144" t="n">
        <v>46092</v>
      </c>
      <c r="B1397" s="162"/>
      <c r="C1397" s="159" t="s">
        <v>679</v>
      </c>
      <c r="D1397" s="162" t="s">
        <v>222</v>
      </c>
      <c r="E1397" s="147" t="n">
        <v>1</v>
      </c>
      <c r="F1397" s="147"/>
      <c r="G1397" s="160" t="n">
        <v>1.6</v>
      </c>
      <c r="H1397" s="162"/>
      <c r="I1397" s="162"/>
    </row>
    <row r="1398" customFormat="false" ht="15" hidden="false" customHeight="false" outlineLevel="0" collapsed="false">
      <c r="A1398" s="144" t="n">
        <v>46092</v>
      </c>
      <c r="B1398" s="162"/>
      <c r="C1398" s="159" t="s">
        <v>679</v>
      </c>
      <c r="D1398" s="162" t="s">
        <v>204</v>
      </c>
      <c r="E1398" s="147" t="n">
        <v>1</v>
      </c>
      <c r="F1398" s="147"/>
      <c r="G1398" s="160" t="n">
        <v>46.8</v>
      </c>
      <c r="H1398" s="162"/>
      <c r="I1398" s="162"/>
    </row>
    <row r="1399" customFormat="false" ht="15" hidden="false" customHeight="false" outlineLevel="0" collapsed="false">
      <c r="A1399" s="144" t="n">
        <v>46092</v>
      </c>
      <c r="B1399" s="162"/>
      <c r="C1399" s="159" t="s">
        <v>679</v>
      </c>
      <c r="D1399" s="162" t="s">
        <v>236</v>
      </c>
      <c r="E1399" s="147" t="n">
        <v>1</v>
      </c>
      <c r="F1399" s="147"/>
      <c r="G1399" s="160" t="n">
        <v>28.8</v>
      </c>
      <c r="H1399" s="162"/>
      <c r="I1399" s="162"/>
    </row>
    <row r="1400" customFormat="false" ht="15" hidden="false" customHeight="false" outlineLevel="0" collapsed="false">
      <c r="A1400" s="144" t="n">
        <v>46092</v>
      </c>
      <c r="B1400" s="162"/>
      <c r="C1400" s="159" t="s">
        <v>679</v>
      </c>
      <c r="D1400" s="162" t="s">
        <v>815</v>
      </c>
      <c r="E1400" s="147" t="n">
        <v>1</v>
      </c>
      <c r="F1400" s="147"/>
      <c r="G1400" s="160" t="n">
        <v>1.8</v>
      </c>
      <c r="H1400" s="162"/>
      <c r="I1400" s="162"/>
    </row>
    <row r="1401" customFormat="false" ht="15" hidden="false" customHeight="false" outlineLevel="0" collapsed="false">
      <c r="A1401" s="144" t="n">
        <v>46092</v>
      </c>
      <c r="B1401" s="162"/>
      <c r="C1401" s="159" t="s">
        <v>679</v>
      </c>
      <c r="D1401" s="162" t="s">
        <v>209</v>
      </c>
      <c r="E1401" s="147" t="n">
        <v>1</v>
      </c>
      <c r="F1401" s="147"/>
      <c r="G1401" s="160" t="n">
        <v>1.2</v>
      </c>
      <c r="H1401" s="162"/>
      <c r="I1401" s="162"/>
    </row>
    <row r="1402" customFormat="false" ht="15" hidden="false" customHeight="false" outlineLevel="0" collapsed="false">
      <c r="A1402" s="144" t="n">
        <v>46092</v>
      </c>
      <c r="B1402" s="162"/>
      <c r="C1402" s="159" t="s">
        <v>679</v>
      </c>
      <c r="D1402" s="162" t="s">
        <v>220</v>
      </c>
      <c r="E1402" s="147" t="n">
        <v>1</v>
      </c>
      <c r="F1402" s="147"/>
      <c r="G1402" s="160" t="n">
        <v>1</v>
      </c>
      <c r="H1402" s="162"/>
      <c r="I1402" s="162"/>
    </row>
    <row r="1403" customFormat="false" ht="15" hidden="false" customHeight="false" outlineLevel="0" collapsed="false">
      <c r="A1403" s="144" t="n">
        <v>46092</v>
      </c>
      <c r="B1403" s="162" t="s">
        <v>732</v>
      </c>
      <c r="C1403" s="159" t="s">
        <v>670</v>
      </c>
      <c r="D1403" s="162" t="s">
        <v>242</v>
      </c>
      <c r="E1403" s="147" t="n">
        <v>1</v>
      </c>
      <c r="F1403" s="147"/>
      <c r="G1403" s="160" t="n">
        <v>0.3</v>
      </c>
      <c r="H1403" s="162"/>
      <c r="I1403" s="162"/>
    </row>
    <row r="1404" customFormat="false" ht="15" hidden="false" customHeight="false" outlineLevel="0" collapsed="false">
      <c r="A1404" s="144" t="n">
        <v>46092</v>
      </c>
      <c r="B1404" s="162" t="s">
        <v>732</v>
      </c>
      <c r="C1404" s="159" t="s">
        <v>670</v>
      </c>
      <c r="D1404" s="162" t="s">
        <v>240</v>
      </c>
      <c r="E1404" s="147" t="n">
        <v>1</v>
      </c>
      <c r="F1404" s="147"/>
      <c r="G1404" s="160" t="n">
        <v>0.3</v>
      </c>
      <c r="H1404" s="162"/>
      <c r="I1404" s="162"/>
    </row>
    <row r="1405" customFormat="false" ht="15" hidden="false" customHeight="false" outlineLevel="0" collapsed="false">
      <c r="A1405" s="144" t="n">
        <v>46092</v>
      </c>
      <c r="B1405" s="162" t="s">
        <v>732</v>
      </c>
      <c r="C1405" s="159" t="s">
        <v>670</v>
      </c>
      <c r="D1405" s="162" t="s">
        <v>241</v>
      </c>
      <c r="E1405" s="147" t="n">
        <v>1</v>
      </c>
      <c r="F1405" s="147"/>
      <c r="G1405" s="160" t="n">
        <v>0.3</v>
      </c>
      <c r="H1405" s="162"/>
      <c r="I1405" s="162"/>
    </row>
    <row r="1406" customFormat="false" ht="15" hidden="false" customHeight="false" outlineLevel="0" collapsed="false">
      <c r="A1406" s="144" t="n">
        <v>46092</v>
      </c>
      <c r="B1406" s="162" t="s">
        <v>732</v>
      </c>
      <c r="C1406" s="159" t="s">
        <v>670</v>
      </c>
      <c r="D1406" s="162" t="s">
        <v>246</v>
      </c>
      <c r="E1406" s="147" t="n">
        <v>1</v>
      </c>
      <c r="F1406" s="147"/>
      <c r="G1406" s="160" t="n">
        <v>0.3</v>
      </c>
      <c r="H1406" s="162"/>
      <c r="I1406" s="162"/>
    </row>
    <row r="1407" customFormat="false" ht="15" hidden="false" customHeight="false" outlineLevel="0" collapsed="false">
      <c r="A1407" s="144" t="n">
        <v>46092</v>
      </c>
      <c r="B1407" s="162" t="s">
        <v>732</v>
      </c>
      <c r="C1407" s="159" t="s">
        <v>670</v>
      </c>
      <c r="D1407" s="162" t="s">
        <v>243</v>
      </c>
      <c r="E1407" s="147" t="n">
        <v>1</v>
      </c>
      <c r="F1407" s="147"/>
      <c r="G1407" s="160" t="n">
        <v>0.3</v>
      </c>
      <c r="H1407" s="162"/>
      <c r="I1407" s="162"/>
    </row>
    <row r="1408" customFormat="false" ht="15" hidden="false" customHeight="false" outlineLevel="0" collapsed="false">
      <c r="A1408" s="144" t="n">
        <v>46092</v>
      </c>
      <c r="B1408" s="162" t="s">
        <v>732</v>
      </c>
      <c r="C1408" s="159" t="s">
        <v>670</v>
      </c>
      <c r="D1408" s="162" t="s">
        <v>244</v>
      </c>
      <c r="E1408" s="147" t="n">
        <v>1</v>
      </c>
      <c r="F1408" s="147"/>
      <c r="G1408" s="160" t="n">
        <v>0.3</v>
      </c>
      <c r="H1408" s="162"/>
      <c r="I1408" s="162"/>
    </row>
    <row r="1409" customFormat="false" ht="15" hidden="false" customHeight="false" outlineLevel="0" collapsed="false">
      <c r="A1409" s="144" t="n">
        <v>46093</v>
      </c>
      <c r="B1409" s="162"/>
      <c r="C1409" s="159" t="s">
        <v>679</v>
      </c>
      <c r="D1409" s="163" t="s">
        <v>814</v>
      </c>
      <c r="E1409" s="147" t="n">
        <v>1</v>
      </c>
      <c r="F1409" s="147"/>
      <c r="G1409" s="160" t="n">
        <v>1.2</v>
      </c>
      <c r="H1409" s="163"/>
      <c r="I1409" s="163"/>
    </row>
    <row r="1410" customFormat="false" ht="15" hidden="false" customHeight="false" outlineLevel="0" collapsed="false">
      <c r="A1410" s="144" t="n">
        <v>46093</v>
      </c>
      <c r="B1410" s="163"/>
      <c r="C1410" s="159" t="s">
        <v>679</v>
      </c>
      <c r="D1410" s="163" t="s">
        <v>817</v>
      </c>
      <c r="E1410" s="147" t="n">
        <v>1</v>
      </c>
      <c r="F1410" s="147"/>
      <c r="G1410" s="160" t="n">
        <v>1.6</v>
      </c>
      <c r="H1410" s="163"/>
      <c r="I1410" s="163"/>
    </row>
    <row r="1411" customFormat="false" ht="15" hidden="false" customHeight="false" outlineLevel="0" collapsed="false">
      <c r="A1411" s="144" t="n">
        <v>46093</v>
      </c>
      <c r="B1411" s="163"/>
      <c r="C1411" s="159" t="s">
        <v>679</v>
      </c>
      <c r="D1411" s="162" t="s">
        <v>143</v>
      </c>
      <c r="E1411" s="147" t="n">
        <v>1</v>
      </c>
      <c r="F1411" s="147"/>
      <c r="G1411" s="160" t="n">
        <v>8</v>
      </c>
      <c r="H1411" s="163"/>
      <c r="I1411" s="163"/>
    </row>
    <row r="1412" customFormat="false" ht="15" hidden="false" customHeight="false" outlineLevel="0" collapsed="false">
      <c r="A1412" s="144" t="n">
        <v>46093</v>
      </c>
      <c r="B1412" s="163"/>
      <c r="C1412" s="159" t="s">
        <v>679</v>
      </c>
      <c r="D1412" s="162" t="s">
        <v>144</v>
      </c>
      <c r="E1412" s="147" t="n">
        <v>1</v>
      </c>
      <c r="F1412" s="147"/>
      <c r="G1412" s="160" t="n">
        <v>6</v>
      </c>
      <c r="H1412" s="163"/>
      <c r="I1412" s="163"/>
    </row>
    <row r="1413" customFormat="false" ht="15" hidden="false" customHeight="false" outlineLevel="0" collapsed="false">
      <c r="A1413" s="144" t="n">
        <v>46093</v>
      </c>
      <c r="B1413" s="163"/>
      <c r="C1413" s="159" t="s">
        <v>679</v>
      </c>
      <c r="D1413" s="162" t="s">
        <v>174</v>
      </c>
      <c r="E1413" s="147" t="n">
        <v>1</v>
      </c>
      <c r="F1413" s="147"/>
      <c r="G1413" s="160" t="n">
        <v>15.9</v>
      </c>
      <c r="H1413" s="163"/>
      <c r="I1413" s="163"/>
    </row>
    <row r="1414" customFormat="false" ht="15" hidden="false" customHeight="false" outlineLevel="0" collapsed="false">
      <c r="A1414" s="144" t="n">
        <v>46093</v>
      </c>
      <c r="B1414" s="163"/>
      <c r="C1414" s="159" t="s">
        <v>679</v>
      </c>
      <c r="D1414" s="162" t="s">
        <v>183</v>
      </c>
      <c r="E1414" s="147" t="n">
        <v>1</v>
      </c>
      <c r="F1414" s="147"/>
      <c r="G1414" s="160" t="n">
        <v>73.8</v>
      </c>
      <c r="H1414" s="163"/>
      <c r="I1414" s="163"/>
    </row>
    <row r="1415" customFormat="false" ht="15" hidden="false" customHeight="false" outlineLevel="0" collapsed="false">
      <c r="A1415" s="144" t="n">
        <v>46093</v>
      </c>
      <c r="B1415" s="163"/>
      <c r="C1415" s="159" t="s">
        <v>679</v>
      </c>
      <c r="D1415" s="162" t="s">
        <v>184</v>
      </c>
      <c r="E1415" s="147" t="n">
        <v>1</v>
      </c>
      <c r="F1415" s="147"/>
      <c r="G1415" s="160" t="n">
        <v>6</v>
      </c>
      <c r="H1415" s="163"/>
      <c r="I1415" s="163"/>
    </row>
    <row r="1416" customFormat="false" ht="15" hidden="false" customHeight="false" outlineLevel="0" collapsed="false">
      <c r="A1416" s="144" t="n">
        <v>46093</v>
      </c>
      <c r="B1416" s="163"/>
      <c r="C1416" s="159" t="s">
        <v>679</v>
      </c>
      <c r="D1416" s="162" t="s">
        <v>204</v>
      </c>
      <c r="E1416" s="147" t="n">
        <v>1</v>
      </c>
      <c r="F1416" s="147"/>
      <c r="G1416" s="160" t="n">
        <v>11.7</v>
      </c>
      <c r="H1416" s="163"/>
      <c r="I1416" s="163"/>
    </row>
    <row r="1417" customFormat="false" ht="15" hidden="false" customHeight="false" outlineLevel="0" collapsed="false">
      <c r="A1417" s="144" t="n">
        <v>46093</v>
      </c>
      <c r="B1417" s="163"/>
      <c r="C1417" s="159" t="s">
        <v>679</v>
      </c>
      <c r="D1417" s="162" t="s">
        <v>818</v>
      </c>
      <c r="E1417" s="147" t="n">
        <v>1</v>
      </c>
      <c r="F1417" s="147"/>
      <c r="G1417" s="160" t="n">
        <v>0.9</v>
      </c>
      <c r="H1417" s="163"/>
      <c r="I1417" s="163"/>
    </row>
    <row r="1418" customFormat="false" ht="15" hidden="false" customHeight="false" outlineLevel="0" collapsed="false">
      <c r="A1418" s="144" t="n">
        <v>46093</v>
      </c>
      <c r="B1418" s="163"/>
      <c r="C1418" s="159" t="s">
        <v>679</v>
      </c>
      <c r="D1418" s="162" t="s">
        <v>236</v>
      </c>
      <c r="E1418" s="147" t="n">
        <v>1</v>
      </c>
      <c r="F1418" s="147"/>
      <c r="G1418" s="160" t="n">
        <v>9.9</v>
      </c>
      <c r="H1418" s="163"/>
      <c r="I1418" s="163"/>
    </row>
    <row r="1419" customFormat="false" ht="15" hidden="false" customHeight="false" outlineLevel="0" collapsed="false">
      <c r="A1419" s="144" t="n">
        <v>46093</v>
      </c>
      <c r="B1419" s="163"/>
      <c r="C1419" s="159" t="s">
        <v>679</v>
      </c>
      <c r="D1419" s="162" t="s">
        <v>220</v>
      </c>
      <c r="E1419" s="147" t="n">
        <v>1</v>
      </c>
      <c r="F1419" s="147"/>
      <c r="G1419" s="160" t="n">
        <v>1</v>
      </c>
      <c r="H1419" s="163"/>
      <c r="I1419" s="163"/>
    </row>
    <row r="1420" customFormat="false" ht="15" hidden="false" customHeight="false" outlineLevel="0" collapsed="false">
      <c r="A1420" s="144" t="n">
        <v>46093</v>
      </c>
      <c r="B1420" s="162" t="s">
        <v>732</v>
      </c>
      <c r="C1420" s="159" t="s">
        <v>670</v>
      </c>
      <c r="D1420" s="162" t="s">
        <v>242</v>
      </c>
      <c r="E1420" s="147" t="n">
        <v>1</v>
      </c>
      <c r="F1420" s="147"/>
      <c r="G1420" s="160" t="n">
        <v>0.2</v>
      </c>
      <c r="H1420" s="163"/>
      <c r="I1420" s="163"/>
    </row>
    <row r="1421" customFormat="false" ht="15" hidden="false" customHeight="false" outlineLevel="0" collapsed="false">
      <c r="A1421" s="144" t="n">
        <v>46093</v>
      </c>
      <c r="B1421" s="162" t="s">
        <v>732</v>
      </c>
      <c r="C1421" s="159" t="s">
        <v>670</v>
      </c>
      <c r="D1421" s="162" t="s">
        <v>240</v>
      </c>
      <c r="E1421" s="147" t="n">
        <v>1</v>
      </c>
      <c r="F1421" s="147"/>
      <c r="G1421" s="160" t="n">
        <v>0.2</v>
      </c>
      <c r="H1421" s="163"/>
      <c r="I1421" s="163"/>
    </row>
    <row r="1422" customFormat="false" ht="15" hidden="false" customHeight="false" outlineLevel="0" collapsed="false">
      <c r="A1422" s="144" t="n">
        <v>46093</v>
      </c>
      <c r="B1422" s="162" t="s">
        <v>732</v>
      </c>
      <c r="C1422" s="159" t="s">
        <v>670</v>
      </c>
      <c r="D1422" s="162" t="s">
        <v>241</v>
      </c>
      <c r="E1422" s="147" t="n">
        <v>1</v>
      </c>
      <c r="F1422" s="147"/>
      <c r="G1422" s="160" t="n">
        <v>0.2</v>
      </c>
      <c r="H1422" s="163"/>
      <c r="I1422" s="163"/>
    </row>
    <row r="1423" customFormat="false" ht="15" hidden="false" customHeight="false" outlineLevel="0" collapsed="false">
      <c r="A1423" s="144" t="n">
        <v>46093</v>
      </c>
      <c r="B1423" s="162" t="s">
        <v>732</v>
      </c>
      <c r="C1423" s="159" t="s">
        <v>670</v>
      </c>
      <c r="D1423" s="162" t="s">
        <v>246</v>
      </c>
      <c r="E1423" s="147" t="n">
        <v>1</v>
      </c>
      <c r="F1423" s="147"/>
      <c r="G1423" s="160" t="n">
        <v>0.2</v>
      </c>
      <c r="H1423" s="163"/>
      <c r="I1423" s="163"/>
    </row>
    <row r="1424" customFormat="false" ht="15" hidden="false" customHeight="false" outlineLevel="0" collapsed="false">
      <c r="A1424" s="144" t="n">
        <v>46093</v>
      </c>
      <c r="B1424" s="162" t="s">
        <v>732</v>
      </c>
      <c r="C1424" s="159" t="s">
        <v>670</v>
      </c>
      <c r="D1424" s="162" t="s">
        <v>243</v>
      </c>
      <c r="E1424" s="147" t="n">
        <v>1</v>
      </c>
      <c r="F1424" s="147"/>
      <c r="G1424" s="160" t="n">
        <v>0.2</v>
      </c>
      <c r="H1424" s="163"/>
      <c r="I1424" s="163"/>
    </row>
    <row r="1425" customFormat="false" ht="15" hidden="false" customHeight="false" outlineLevel="0" collapsed="false">
      <c r="A1425" s="144" t="n">
        <v>46093</v>
      </c>
      <c r="B1425" s="162" t="s">
        <v>732</v>
      </c>
      <c r="C1425" s="159" t="s">
        <v>670</v>
      </c>
      <c r="D1425" s="162" t="s">
        <v>244</v>
      </c>
      <c r="E1425" s="147" t="n">
        <v>1</v>
      </c>
      <c r="F1425" s="147"/>
      <c r="G1425" s="160" t="n">
        <v>0.2</v>
      </c>
      <c r="H1425" s="163"/>
      <c r="I1425" s="163"/>
    </row>
    <row r="1426" customFormat="false" ht="15" hidden="false" customHeight="false" outlineLevel="0" collapsed="false">
      <c r="A1426" s="144" t="n">
        <v>46094</v>
      </c>
      <c r="B1426" s="163"/>
      <c r="C1426" s="159" t="s">
        <v>679</v>
      </c>
      <c r="D1426" s="163" t="s">
        <v>814</v>
      </c>
      <c r="E1426" s="147" t="n">
        <v>1</v>
      </c>
      <c r="F1426" s="147"/>
      <c r="G1426" s="160" t="n">
        <v>1.2</v>
      </c>
      <c r="H1426" s="163"/>
      <c r="I1426" s="163"/>
    </row>
    <row r="1427" customFormat="false" ht="15" hidden="false" customHeight="false" outlineLevel="0" collapsed="false">
      <c r="A1427" s="144" t="n">
        <v>46094</v>
      </c>
      <c r="B1427" s="163"/>
      <c r="C1427" s="159" t="s">
        <v>679</v>
      </c>
      <c r="D1427" s="163" t="s">
        <v>267</v>
      </c>
      <c r="E1427" s="147" t="n">
        <v>1</v>
      </c>
      <c r="F1427" s="147"/>
      <c r="G1427" s="160" t="n">
        <v>1.2</v>
      </c>
      <c r="H1427" s="163"/>
      <c r="I1427" s="163"/>
    </row>
    <row r="1428" customFormat="false" ht="15" hidden="false" customHeight="false" outlineLevel="0" collapsed="false">
      <c r="A1428" s="144" t="n">
        <v>46094</v>
      </c>
      <c r="B1428" s="163"/>
      <c r="C1428" s="159" t="s">
        <v>679</v>
      </c>
      <c r="D1428" s="162" t="s">
        <v>143</v>
      </c>
      <c r="E1428" s="147" t="n">
        <v>1</v>
      </c>
      <c r="F1428" s="147"/>
      <c r="G1428" s="160" t="n">
        <v>12</v>
      </c>
      <c r="H1428" s="163"/>
      <c r="I1428" s="163"/>
    </row>
    <row r="1429" customFormat="false" ht="15" hidden="false" customHeight="false" outlineLevel="0" collapsed="false">
      <c r="A1429" s="144" t="n">
        <v>46094</v>
      </c>
      <c r="B1429" s="163"/>
      <c r="C1429" s="159" t="s">
        <v>679</v>
      </c>
      <c r="D1429" s="162" t="s">
        <v>144</v>
      </c>
      <c r="E1429" s="147" t="n">
        <v>1</v>
      </c>
      <c r="F1429" s="147"/>
      <c r="G1429" s="160" t="n">
        <v>11</v>
      </c>
      <c r="H1429" s="163"/>
      <c r="I1429" s="163"/>
    </row>
    <row r="1430" customFormat="false" ht="15" hidden="false" customHeight="false" outlineLevel="0" collapsed="false">
      <c r="A1430" s="144" t="n">
        <v>46094</v>
      </c>
      <c r="B1430" s="163"/>
      <c r="C1430" s="159" t="s">
        <v>679</v>
      </c>
      <c r="D1430" s="162" t="s">
        <v>155</v>
      </c>
      <c r="E1430" s="147" t="n">
        <v>1</v>
      </c>
      <c r="F1430" s="147"/>
      <c r="G1430" s="160" t="n">
        <v>3.2</v>
      </c>
      <c r="H1430" s="163"/>
      <c r="I1430" s="163"/>
    </row>
    <row r="1431" customFormat="false" ht="15" hidden="false" customHeight="false" outlineLevel="0" collapsed="false">
      <c r="A1431" s="144" t="n">
        <v>46094</v>
      </c>
      <c r="B1431" s="163"/>
      <c r="C1431" s="159" t="s">
        <v>679</v>
      </c>
      <c r="D1431" s="162" t="s">
        <v>159</v>
      </c>
      <c r="E1431" s="147" t="n">
        <v>1</v>
      </c>
      <c r="F1431" s="147"/>
      <c r="G1431" s="160" t="n">
        <v>2</v>
      </c>
      <c r="H1431" s="163"/>
      <c r="I1431" s="163"/>
    </row>
    <row r="1432" customFormat="false" ht="15" hidden="false" customHeight="false" outlineLevel="0" collapsed="false">
      <c r="A1432" s="144" t="n">
        <v>46094</v>
      </c>
      <c r="B1432" s="163"/>
      <c r="C1432" s="159" t="s">
        <v>679</v>
      </c>
      <c r="D1432" s="162" t="s">
        <v>819</v>
      </c>
      <c r="E1432" s="147" t="n">
        <v>1</v>
      </c>
      <c r="F1432" s="147"/>
      <c r="G1432" s="160" t="n">
        <v>3.2</v>
      </c>
      <c r="H1432" s="163"/>
      <c r="I1432" s="163"/>
    </row>
    <row r="1433" customFormat="false" ht="15" hidden="false" customHeight="false" outlineLevel="0" collapsed="false">
      <c r="A1433" s="144" t="n">
        <v>46094</v>
      </c>
      <c r="B1433" s="163"/>
      <c r="C1433" s="159" t="s">
        <v>679</v>
      </c>
      <c r="D1433" s="162" t="s">
        <v>174</v>
      </c>
      <c r="E1433" s="147" t="n">
        <v>1</v>
      </c>
      <c r="F1433" s="147"/>
      <c r="G1433" s="160" t="n">
        <v>24</v>
      </c>
      <c r="H1433" s="163"/>
      <c r="I1433" s="163"/>
    </row>
    <row r="1434" customFormat="false" ht="15" hidden="false" customHeight="false" outlineLevel="0" collapsed="false">
      <c r="A1434" s="144" t="n">
        <v>46094</v>
      </c>
      <c r="B1434" s="163"/>
      <c r="C1434" s="159" t="s">
        <v>679</v>
      </c>
      <c r="D1434" s="162" t="s">
        <v>178</v>
      </c>
      <c r="E1434" s="147" t="n">
        <v>1</v>
      </c>
      <c r="F1434" s="147"/>
      <c r="G1434" s="160" t="n">
        <v>1</v>
      </c>
      <c r="H1434" s="163"/>
      <c r="I1434" s="163"/>
    </row>
    <row r="1435" customFormat="false" ht="15" hidden="false" customHeight="false" outlineLevel="0" collapsed="false">
      <c r="A1435" s="144" t="n">
        <v>46094</v>
      </c>
      <c r="B1435" s="163"/>
      <c r="C1435" s="159" t="s">
        <v>679</v>
      </c>
      <c r="D1435" s="162" t="s">
        <v>183</v>
      </c>
      <c r="E1435" s="147" t="n">
        <v>1</v>
      </c>
      <c r="F1435" s="147"/>
      <c r="G1435" s="160" t="n">
        <v>39.6</v>
      </c>
      <c r="H1435" s="163"/>
      <c r="I1435" s="163"/>
    </row>
    <row r="1436" customFormat="false" ht="15" hidden="false" customHeight="false" outlineLevel="0" collapsed="false">
      <c r="A1436" s="144" t="n">
        <v>46094</v>
      </c>
      <c r="B1436" s="163"/>
      <c r="C1436" s="159" t="s">
        <v>679</v>
      </c>
      <c r="D1436" s="162" t="s">
        <v>222</v>
      </c>
      <c r="E1436" s="147" t="n">
        <v>1</v>
      </c>
      <c r="F1436" s="147"/>
      <c r="G1436" s="160" t="n">
        <v>3.2</v>
      </c>
      <c r="H1436" s="163"/>
      <c r="I1436" s="163"/>
    </row>
    <row r="1437" customFormat="false" ht="15" hidden="false" customHeight="false" outlineLevel="0" collapsed="false">
      <c r="A1437" s="144" t="n">
        <v>46094</v>
      </c>
      <c r="B1437" s="163"/>
      <c r="C1437" s="159" t="s">
        <v>679</v>
      </c>
      <c r="D1437" s="162" t="s">
        <v>204</v>
      </c>
      <c r="E1437" s="147" t="n">
        <v>1</v>
      </c>
      <c r="F1437" s="147"/>
      <c r="G1437" s="160" t="n">
        <v>25.2</v>
      </c>
      <c r="H1437" s="163"/>
      <c r="I1437" s="163"/>
    </row>
    <row r="1438" customFormat="false" ht="15" hidden="false" customHeight="false" outlineLevel="0" collapsed="false">
      <c r="A1438" s="144" t="n">
        <v>46094</v>
      </c>
      <c r="B1438" s="163"/>
      <c r="C1438" s="159" t="s">
        <v>679</v>
      </c>
      <c r="D1438" s="162" t="s">
        <v>236</v>
      </c>
      <c r="E1438" s="147" t="n">
        <v>1</v>
      </c>
      <c r="F1438" s="147"/>
      <c r="G1438" s="160" t="n">
        <v>7.2</v>
      </c>
      <c r="H1438" s="163"/>
      <c r="I1438" s="163"/>
    </row>
    <row r="1439" customFormat="false" ht="15" hidden="false" customHeight="false" outlineLevel="0" collapsed="false">
      <c r="A1439" s="144" t="n">
        <v>46094</v>
      </c>
      <c r="B1439" s="163"/>
      <c r="C1439" s="159" t="s">
        <v>679</v>
      </c>
      <c r="D1439" s="162" t="s">
        <v>207</v>
      </c>
      <c r="E1439" s="147" t="n">
        <v>1</v>
      </c>
      <c r="F1439" s="147"/>
      <c r="G1439" s="160" t="n">
        <v>1</v>
      </c>
      <c r="H1439" s="163"/>
      <c r="I1439" s="163"/>
    </row>
    <row r="1440" customFormat="false" ht="15" hidden="false" customHeight="false" outlineLevel="0" collapsed="false">
      <c r="A1440" s="144" t="n">
        <v>46094</v>
      </c>
      <c r="B1440" s="163"/>
      <c r="C1440" s="159" t="s">
        <v>679</v>
      </c>
      <c r="D1440" s="162" t="s">
        <v>220</v>
      </c>
      <c r="E1440" s="147" t="n">
        <v>1</v>
      </c>
      <c r="F1440" s="147"/>
      <c r="G1440" s="160" t="n">
        <v>1</v>
      </c>
      <c r="H1440" s="163"/>
      <c r="I1440" s="163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4" min="4" style="1" width="15"/>
  </cols>
  <sheetData>
    <row r="1" customFormat="false" ht="34.5" hidden="false" customHeight="true" outlineLevel="0" collapsed="false">
      <c r="A1" s="9" t="s">
        <v>820</v>
      </c>
      <c r="B1" s="9"/>
      <c r="C1" s="9"/>
      <c r="D1" s="9"/>
    </row>
    <row r="4" customFormat="false" ht="15" hidden="false" customHeight="true" outlineLevel="0" collapsed="false">
      <c r="A4" s="164" t="s">
        <v>821</v>
      </c>
    </row>
    <row r="5" customFormat="false" ht="30" hidden="false" customHeight="true" outlineLevel="0" collapsed="false">
      <c r="A5" s="11" t="s">
        <v>46</v>
      </c>
      <c r="B5" s="12" t="s">
        <v>660</v>
      </c>
      <c r="C5" s="12" t="s">
        <v>822</v>
      </c>
      <c r="D5" s="12" t="s">
        <v>823</v>
      </c>
    </row>
    <row r="6" customFormat="false" ht="15" hidden="false" customHeight="true" outlineLevel="0" collapsed="false">
      <c r="A6" s="165" t="n">
        <v>1</v>
      </c>
      <c r="B6" s="166" t="s">
        <v>191</v>
      </c>
      <c r="C6" s="167" t="n">
        <v>6</v>
      </c>
      <c r="D6" s="168" t="n">
        <v>14937.6</v>
      </c>
    </row>
    <row r="7" customFormat="false" ht="16.5" hidden="false" customHeight="true" outlineLevel="0" collapsed="false">
      <c r="A7" s="165" t="n">
        <v>2</v>
      </c>
      <c r="B7" s="166" t="s">
        <v>204</v>
      </c>
      <c r="C7" s="167" t="n">
        <v>96</v>
      </c>
      <c r="D7" s="168" t="n">
        <v>3582.6</v>
      </c>
    </row>
    <row r="8" customFormat="false" ht="15" hidden="false" customHeight="true" outlineLevel="0" collapsed="false">
      <c r="A8" s="165" t="n">
        <v>3</v>
      </c>
      <c r="B8" s="166" t="s">
        <v>205</v>
      </c>
      <c r="C8" s="167" t="n">
        <v>79</v>
      </c>
      <c r="D8" s="168" t="n">
        <v>2295.9</v>
      </c>
    </row>
    <row r="9" customFormat="false" ht="15" hidden="false" customHeight="true" outlineLevel="0" collapsed="false">
      <c r="A9" s="165" t="n">
        <v>4</v>
      </c>
      <c r="B9" s="166" t="s">
        <v>183</v>
      </c>
      <c r="C9" s="167" t="n">
        <v>51</v>
      </c>
      <c r="D9" s="168" t="n">
        <v>2228.4</v>
      </c>
    </row>
    <row r="10" customFormat="false" ht="15" hidden="false" customHeight="true" outlineLevel="0" collapsed="false">
      <c r="A10" s="165" t="n">
        <v>5</v>
      </c>
      <c r="B10" s="166" t="s">
        <v>155</v>
      </c>
      <c r="C10" s="167" t="n">
        <v>68</v>
      </c>
      <c r="D10" s="168" t="n">
        <v>1056.3</v>
      </c>
    </row>
    <row r="11" customFormat="false" ht="15" hidden="false" customHeight="true" outlineLevel="0" collapsed="false">
      <c r="A11" s="165" t="n">
        <v>6</v>
      </c>
      <c r="B11" s="166" t="s">
        <v>143</v>
      </c>
      <c r="C11" s="167" t="n">
        <v>99</v>
      </c>
      <c r="D11" s="168" t="n">
        <v>809.8</v>
      </c>
    </row>
    <row r="12" customFormat="false" ht="15" hidden="false" customHeight="true" outlineLevel="0" collapsed="false">
      <c r="A12" s="165" t="n">
        <v>7</v>
      </c>
      <c r="B12" s="166" t="s">
        <v>169</v>
      </c>
      <c r="C12" s="167" t="n">
        <v>13</v>
      </c>
      <c r="D12" s="168" t="n">
        <v>622</v>
      </c>
    </row>
    <row r="13" customFormat="false" ht="16.5" hidden="false" customHeight="true" outlineLevel="0" collapsed="false">
      <c r="A13" s="165" t="n">
        <v>8</v>
      </c>
      <c r="B13" s="166" t="s">
        <v>174</v>
      </c>
      <c r="C13" s="167" t="n">
        <v>48</v>
      </c>
      <c r="D13" s="168" t="n">
        <v>619.9</v>
      </c>
    </row>
    <row r="14" customFormat="false" ht="16.5" hidden="false" customHeight="true" outlineLevel="0" collapsed="false">
      <c r="A14" s="165" t="n">
        <v>9</v>
      </c>
      <c r="B14" s="166" t="s">
        <v>184</v>
      </c>
      <c r="C14" s="167" t="n">
        <v>70</v>
      </c>
      <c r="D14" s="168" t="n">
        <v>617.5</v>
      </c>
    </row>
    <row r="15" customFormat="false" ht="15" hidden="false" customHeight="true" outlineLevel="0" collapsed="false">
      <c r="A15" s="165" t="n">
        <v>10</v>
      </c>
      <c r="B15" s="166" t="s">
        <v>144</v>
      </c>
      <c r="C15" s="167" t="n">
        <v>49</v>
      </c>
      <c r="D15" s="168" t="n">
        <v>576</v>
      </c>
    </row>
    <row r="16" customFormat="false" ht="16.5" hidden="false" customHeight="true" outlineLevel="0" collapsed="false">
      <c r="A16" s="165" t="n">
        <v>11</v>
      </c>
      <c r="B16" s="166" t="s">
        <v>152</v>
      </c>
      <c r="C16" s="167" t="n">
        <v>14</v>
      </c>
      <c r="D16" s="168" t="n">
        <v>280.1</v>
      </c>
    </row>
    <row r="17" customFormat="false" ht="16.5" hidden="false" customHeight="true" outlineLevel="0" collapsed="false">
      <c r="A17" s="165" t="n">
        <v>12</v>
      </c>
      <c r="B17" s="166" t="s">
        <v>206</v>
      </c>
      <c r="C17" s="167" t="n">
        <v>38</v>
      </c>
      <c r="D17" s="168" t="n">
        <v>267.3</v>
      </c>
    </row>
    <row r="18" customFormat="false" ht="16.5" hidden="false" customHeight="true" outlineLevel="0" collapsed="false">
      <c r="A18" s="165" t="n">
        <v>13</v>
      </c>
      <c r="B18" s="166" t="s">
        <v>150</v>
      </c>
      <c r="C18" s="167" t="n">
        <v>15</v>
      </c>
      <c r="D18" s="168" t="n">
        <v>262.9</v>
      </c>
    </row>
    <row r="19" customFormat="false" ht="16.5" hidden="false" customHeight="true" outlineLevel="0" collapsed="false">
      <c r="A19" s="165" t="n">
        <v>14</v>
      </c>
      <c r="B19" s="166" t="s">
        <v>153</v>
      </c>
      <c r="C19" s="167" t="n">
        <v>24</v>
      </c>
      <c r="D19" s="168" t="n">
        <v>254.8</v>
      </c>
    </row>
    <row r="20" customFormat="false" ht="15" hidden="false" customHeight="true" outlineLevel="0" collapsed="false">
      <c r="A20" s="165" t="n">
        <v>15</v>
      </c>
      <c r="B20" s="166" t="s">
        <v>154</v>
      </c>
      <c r="C20" s="167" t="n">
        <v>24</v>
      </c>
      <c r="D20" s="168" t="n">
        <v>252.7</v>
      </c>
    </row>
    <row r="21" customFormat="false" ht="15" hidden="false" customHeight="true" outlineLevel="0" collapsed="false">
      <c r="A21" s="165" t="n">
        <v>16</v>
      </c>
      <c r="B21" s="166" t="s">
        <v>149</v>
      </c>
      <c r="C21" s="167" t="n">
        <v>24</v>
      </c>
      <c r="D21" s="168" t="n">
        <v>248.8</v>
      </c>
    </row>
    <row r="22" customFormat="false" ht="16.5" hidden="false" customHeight="true" outlineLevel="0" collapsed="false">
      <c r="A22" s="165" t="n">
        <v>17</v>
      </c>
      <c r="B22" s="166" t="s">
        <v>151</v>
      </c>
      <c r="C22" s="167" t="n">
        <v>24</v>
      </c>
      <c r="D22" s="168" t="n">
        <v>193.8</v>
      </c>
    </row>
    <row r="23" customFormat="false" ht="15" hidden="false" customHeight="true" outlineLevel="0" collapsed="false">
      <c r="A23" s="165" t="n">
        <v>18</v>
      </c>
      <c r="B23" s="166" t="s">
        <v>179</v>
      </c>
      <c r="C23" s="167" t="n">
        <v>22</v>
      </c>
      <c r="D23" s="168" t="n">
        <v>138.6</v>
      </c>
    </row>
    <row r="24" customFormat="false" ht="15" hidden="false" customHeight="true" outlineLevel="0" collapsed="false">
      <c r="A24" s="165" t="n">
        <v>19</v>
      </c>
      <c r="B24" s="166" t="s">
        <v>161</v>
      </c>
      <c r="C24" s="167" t="n">
        <v>17</v>
      </c>
      <c r="D24" s="168" t="n">
        <v>116</v>
      </c>
    </row>
    <row r="25" customFormat="false" ht="15" hidden="false" customHeight="true" outlineLevel="0" collapsed="false">
      <c r="A25" s="165" t="n">
        <v>20</v>
      </c>
      <c r="B25" s="166" t="s">
        <v>222</v>
      </c>
      <c r="C25" s="167" t="n">
        <v>46</v>
      </c>
      <c r="D25" s="168" t="n">
        <v>92.2</v>
      </c>
    </row>
    <row r="26" customFormat="false" ht="15" hidden="false" customHeight="true" outlineLevel="0" collapsed="false">
      <c r="A26" s="165" t="n">
        <v>21</v>
      </c>
      <c r="B26" s="166" t="s">
        <v>824</v>
      </c>
      <c r="C26" s="167" t="n">
        <v>27</v>
      </c>
      <c r="D26" s="168" t="n">
        <v>73.2</v>
      </c>
    </row>
    <row r="27" customFormat="false" ht="15" hidden="false" customHeight="true" outlineLevel="0" collapsed="false">
      <c r="A27" s="165" t="n">
        <v>22</v>
      </c>
      <c r="B27" s="166" t="s">
        <v>181</v>
      </c>
      <c r="C27" s="167" t="n">
        <v>24</v>
      </c>
      <c r="D27" s="168" t="n">
        <v>69</v>
      </c>
    </row>
    <row r="28" customFormat="false" ht="15" hidden="false" customHeight="true" outlineLevel="0" collapsed="false">
      <c r="A28" s="165" t="n">
        <v>23</v>
      </c>
      <c r="B28" s="166" t="s">
        <v>147</v>
      </c>
      <c r="C28" s="167" t="n">
        <v>47</v>
      </c>
      <c r="D28" s="168" t="n">
        <v>66.2</v>
      </c>
    </row>
    <row r="29" customFormat="false" ht="15" hidden="false" customHeight="true" outlineLevel="0" collapsed="false">
      <c r="A29" s="165" t="n">
        <v>24</v>
      </c>
      <c r="B29" s="166" t="s">
        <v>221</v>
      </c>
      <c r="C29" s="167" t="n">
        <v>35</v>
      </c>
      <c r="D29" s="168" t="n">
        <v>54.7</v>
      </c>
    </row>
    <row r="30" customFormat="false" ht="15" hidden="false" customHeight="true" outlineLevel="0" collapsed="false">
      <c r="A30" s="165" t="n">
        <v>25</v>
      </c>
      <c r="B30" s="166" t="s">
        <v>207</v>
      </c>
      <c r="C30" s="167" t="n">
        <v>13</v>
      </c>
      <c r="D30" s="168" t="n">
        <v>50</v>
      </c>
    </row>
    <row r="31" customFormat="false" ht="15" hidden="false" customHeight="true" outlineLevel="0" collapsed="false">
      <c r="A31" s="165" t="n">
        <v>26</v>
      </c>
      <c r="B31" s="166" t="s">
        <v>220</v>
      </c>
      <c r="C31" s="167" t="n">
        <v>36</v>
      </c>
      <c r="D31" s="168" t="n">
        <v>33.2</v>
      </c>
    </row>
    <row r="32" customFormat="false" ht="15" hidden="false" customHeight="true" outlineLevel="0" collapsed="false">
      <c r="A32" s="165" t="n">
        <v>27</v>
      </c>
      <c r="B32" s="166" t="s">
        <v>142</v>
      </c>
      <c r="C32" s="167" t="n">
        <v>31</v>
      </c>
      <c r="D32" s="168" t="n">
        <v>29.2</v>
      </c>
    </row>
    <row r="33" customFormat="false" ht="15" hidden="false" customHeight="true" outlineLevel="0" collapsed="false">
      <c r="A33" s="165" t="n">
        <v>28</v>
      </c>
      <c r="B33" s="166" t="s">
        <v>156</v>
      </c>
      <c r="C33" s="167" t="n">
        <v>2</v>
      </c>
      <c r="D33" s="168" t="n">
        <v>28.5</v>
      </c>
    </row>
    <row r="34" customFormat="false" ht="15" hidden="false" customHeight="true" outlineLevel="0" collapsed="false">
      <c r="A34" s="165" t="n">
        <v>29</v>
      </c>
      <c r="B34" s="166" t="s">
        <v>157</v>
      </c>
      <c r="C34" s="167" t="n">
        <v>2</v>
      </c>
      <c r="D34" s="168" t="n">
        <v>28.5</v>
      </c>
    </row>
    <row r="35" customFormat="false" ht="15" hidden="false" customHeight="true" outlineLevel="0" collapsed="false">
      <c r="A35" s="165" t="n">
        <v>30</v>
      </c>
      <c r="B35" s="166" t="s">
        <v>158</v>
      </c>
      <c r="C35" s="167" t="n">
        <v>2</v>
      </c>
      <c r="D35" s="168" t="n">
        <v>28.5</v>
      </c>
    </row>
    <row r="36" customFormat="false" ht="15" hidden="false" customHeight="true" outlineLevel="0" collapsed="false">
      <c r="A36" s="165" t="n">
        <v>31</v>
      </c>
      <c r="B36" s="166" t="s">
        <v>146</v>
      </c>
      <c r="C36" s="167" t="n">
        <v>31</v>
      </c>
      <c r="D36" s="168" t="n">
        <v>23.2</v>
      </c>
    </row>
    <row r="37" customFormat="false" ht="15" hidden="false" customHeight="true" outlineLevel="0" collapsed="false">
      <c r="A37" s="165" t="n">
        <v>32</v>
      </c>
      <c r="B37" s="166" t="s">
        <v>159</v>
      </c>
      <c r="C37" s="167" t="n">
        <v>28</v>
      </c>
      <c r="D37" s="168" t="n">
        <v>19</v>
      </c>
    </row>
    <row r="38" customFormat="false" ht="15" hidden="false" customHeight="true" outlineLevel="0" collapsed="false">
      <c r="A38" s="165" t="n">
        <v>33</v>
      </c>
      <c r="B38" s="166" t="s">
        <v>163</v>
      </c>
      <c r="C38" s="167" t="n">
        <v>3</v>
      </c>
      <c r="D38" s="168" t="n">
        <v>9.9</v>
      </c>
    </row>
    <row r="39" customFormat="false" ht="15" hidden="false" customHeight="true" outlineLevel="0" collapsed="false">
      <c r="A39" s="165" t="n">
        <v>34</v>
      </c>
      <c r="B39" s="166" t="s">
        <v>195</v>
      </c>
      <c r="C39" s="167" t="n">
        <v>25</v>
      </c>
      <c r="D39" s="168" t="n">
        <v>7.5</v>
      </c>
    </row>
    <row r="40" customFormat="false" ht="15" hidden="false" customHeight="true" outlineLevel="0" collapsed="false">
      <c r="A40" s="165" t="n">
        <v>35</v>
      </c>
      <c r="B40" s="166" t="s">
        <v>145</v>
      </c>
      <c r="C40" s="167" t="n">
        <v>23</v>
      </c>
      <c r="D40" s="168" t="n">
        <v>7.3</v>
      </c>
    </row>
    <row r="41" customFormat="false" ht="15" hidden="false" customHeight="true" outlineLevel="0" collapsed="false">
      <c r="A41" s="165" t="n">
        <v>36</v>
      </c>
      <c r="B41" s="166" t="s">
        <v>192</v>
      </c>
      <c r="C41" s="167" t="n">
        <v>23</v>
      </c>
      <c r="D41" s="168" t="n">
        <v>7.3</v>
      </c>
    </row>
    <row r="42" customFormat="false" ht="15" hidden="false" customHeight="true" outlineLevel="0" collapsed="false">
      <c r="A42" s="165" t="n">
        <v>37</v>
      </c>
      <c r="B42" s="166" t="s">
        <v>173</v>
      </c>
      <c r="C42" s="167" t="n">
        <v>10</v>
      </c>
      <c r="D42" s="168" t="n">
        <v>7</v>
      </c>
    </row>
    <row r="43" customFormat="false" ht="15" hidden="false" customHeight="true" outlineLevel="0" collapsed="false">
      <c r="A43" s="165" t="n">
        <v>38</v>
      </c>
      <c r="B43" s="166" t="s">
        <v>148</v>
      </c>
      <c r="C43" s="167" t="n">
        <v>23</v>
      </c>
      <c r="D43" s="168" t="n">
        <v>6</v>
      </c>
    </row>
    <row r="44" customFormat="false" ht="15" hidden="false" customHeight="true" outlineLevel="0" collapsed="false">
      <c r="A44" s="165" t="n">
        <v>39</v>
      </c>
      <c r="B44" s="166" t="s">
        <v>186</v>
      </c>
      <c r="C44" s="167" t="n">
        <v>23</v>
      </c>
      <c r="D44" s="168" t="n">
        <v>6</v>
      </c>
    </row>
    <row r="45" customFormat="false" ht="15" hidden="false" customHeight="true" outlineLevel="0" collapsed="false">
      <c r="A45" s="165" t="n">
        <v>40</v>
      </c>
      <c r="B45" s="169" t="s">
        <v>219</v>
      </c>
      <c r="C45" s="170" t="n">
        <v>23</v>
      </c>
      <c r="D45" s="171" t="n">
        <v>6</v>
      </c>
    </row>
    <row r="46" customFormat="false" ht="15" hidden="false" customHeight="true" outlineLevel="0" collapsed="false">
      <c r="A46" s="165" t="n">
        <v>41</v>
      </c>
      <c r="B46" s="169" t="s">
        <v>212</v>
      </c>
      <c r="C46" s="170" t="n">
        <v>10</v>
      </c>
      <c r="D46" s="171" t="n">
        <v>6</v>
      </c>
    </row>
    <row r="47" customFormat="false" ht="15" hidden="false" customHeight="true" outlineLevel="0" collapsed="false">
      <c r="A47" s="165" t="n">
        <v>42</v>
      </c>
      <c r="B47" s="166" t="s">
        <v>209</v>
      </c>
      <c r="C47" s="167" t="n">
        <v>2</v>
      </c>
      <c r="D47" s="168" t="n">
        <v>3.6</v>
      </c>
    </row>
    <row r="48" customFormat="false" ht="15" hidden="false" customHeight="true" outlineLevel="0" collapsed="false">
      <c r="A48" s="165" t="n">
        <v>43</v>
      </c>
      <c r="B48" s="166" t="s">
        <v>178</v>
      </c>
      <c r="C48" s="167" t="n">
        <v>2</v>
      </c>
      <c r="D48" s="168" t="n">
        <v>2</v>
      </c>
    </row>
    <row r="49" customFormat="false" ht="15" hidden="false" customHeight="true" outlineLevel="0" collapsed="false">
      <c r="A49" s="172" t="n">
        <v>44</v>
      </c>
      <c r="B49" s="169" t="s">
        <v>825</v>
      </c>
      <c r="C49" s="170" t="n">
        <v>1</v>
      </c>
      <c r="D49" s="171" t="n">
        <v>1.2</v>
      </c>
    </row>
    <row r="50" customFormat="false" ht="15" hidden="false" customHeight="true" outlineLevel="0" collapsed="false">
      <c r="A50" s="173"/>
      <c r="B50" s="169" t="s">
        <v>826</v>
      </c>
      <c r="C50" s="170" t="n">
        <v>1273</v>
      </c>
      <c r="D50" s="171" t="n">
        <v>30026.1</v>
      </c>
    </row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5" min="4" style="1" width="14"/>
  </cols>
  <sheetData>
    <row r="1" customFormat="false" ht="39.75" hidden="false" customHeight="true" outlineLevel="0" collapsed="false">
      <c r="A1" s="174" t="s">
        <v>827</v>
      </c>
      <c r="B1" s="174"/>
      <c r="C1" s="174"/>
      <c r="D1" s="174"/>
      <c r="E1" s="174"/>
    </row>
    <row r="2" customFormat="false" ht="15" hidden="false" customHeight="true" outlineLevel="0" collapsed="false">
      <c r="A2" s="175" t="s">
        <v>828</v>
      </c>
      <c r="B2" s="175"/>
      <c r="C2" s="175"/>
      <c r="D2" s="175"/>
      <c r="E2" s="175"/>
    </row>
    <row r="3" customFormat="false" ht="15" hidden="false" customHeight="true" outlineLevel="0" collapsed="false">
      <c r="A3" s="20" t="n">
        <v>1</v>
      </c>
      <c r="B3" s="176" t="s">
        <v>829</v>
      </c>
      <c r="C3" s="176"/>
      <c r="D3" s="177" t="n">
        <v>350</v>
      </c>
      <c r="E3" s="20" t="s">
        <v>830</v>
      </c>
    </row>
    <row r="4" customFormat="false" ht="15" hidden="false" customHeight="true" outlineLevel="0" collapsed="false">
      <c r="A4" s="178" t="n">
        <v>2</v>
      </c>
      <c r="B4" s="179" t="s">
        <v>831</v>
      </c>
      <c r="C4" s="179"/>
      <c r="D4" s="180" t="n">
        <v>0</v>
      </c>
      <c r="E4" s="178" t="s">
        <v>832</v>
      </c>
    </row>
    <row r="5" customFormat="false" ht="15" hidden="false" customHeight="true" outlineLevel="0" collapsed="false">
      <c r="A5" s="20" t="n">
        <v>3</v>
      </c>
      <c r="B5" s="176" t="s">
        <v>833</v>
      </c>
      <c r="C5" s="176"/>
      <c r="D5" s="177" t="n">
        <v>0</v>
      </c>
      <c r="E5" s="20" t="s">
        <v>832</v>
      </c>
    </row>
    <row r="7" customFormat="false" ht="15" hidden="false" customHeight="true" outlineLevel="0" collapsed="false">
      <c r="A7" s="181" t="s">
        <v>834</v>
      </c>
      <c r="B7" s="181"/>
      <c r="C7" s="181"/>
      <c r="D7" s="181"/>
      <c r="E7" s="181"/>
    </row>
    <row r="8" customFormat="false" ht="15" hidden="false" customHeight="true" outlineLevel="0" collapsed="false">
      <c r="A8" s="182" t="s">
        <v>46</v>
      </c>
      <c r="B8" s="183" t="s">
        <v>835</v>
      </c>
      <c r="C8" s="183" t="s">
        <v>660</v>
      </c>
      <c r="D8" s="183" t="s">
        <v>836</v>
      </c>
      <c r="E8" s="183"/>
    </row>
    <row r="9" customFormat="false" ht="15" hidden="false" customHeight="true" outlineLevel="0" collapsed="false">
      <c r="A9" s="20" t="n">
        <v>1</v>
      </c>
      <c r="B9" s="184" t="n">
        <v>45940</v>
      </c>
      <c r="C9" s="21" t="s">
        <v>204</v>
      </c>
      <c r="D9" s="152" t="n">
        <v>210</v>
      </c>
      <c r="E9" s="173"/>
    </row>
    <row r="10" customFormat="false" ht="15" hidden="false" customHeight="true" outlineLevel="0" collapsed="false">
      <c r="A10" s="178" t="n">
        <v>2</v>
      </c>
      <c r="B10" s="185" t="n">
        <v>45940</v>
      </c>
      <c r="C10" s="186" t="s">
        <v>205</v>
      </c>
      <c r="D10" s="187" t="n">
        <v>140</v>
      </c>
      <c r="E10" s="188"/>
    </row>
    <row r="11" customFormat="false" ht="15" hidden="false" customHeight="true" outlineLevel="0" collapsed="false">
      <c r="A11" s="189" t="s">
        <v>837</v>
      </c>
      <c r="B11" s="189"/>
      <c r="C11" s="189"/>
      <c r="D11" s="190" t="n">
        <v>350</v>
      </c>
      <c r="E11" s="191"/>
    </row>
    <row r="14" customFormat="false" ht="39.75" hidden="false" customHeight="true" outlineLevel="0" collapsed="false">
      <c r="A14" s="174" t="s">
        <v>838</v>
      </c>
      <c r="B14" s="174"/>
      <c r="C14" s="174"/>
      <c r="D14" s="174"/>
      <c r="E14" s="174"/>
    </row>
    <row r="15" customFormat="false" ht="15" hidden="false" customHeight="true" outlineLevel="0" collapsed="false">
      <c r="A15" s="175" t="s">
        <v>828</v>
      </c>
      <c r="B15" s="175"/>
      <c r="C15" s="175"/>
      <c r="D15" s="175"/>
      <c r="E15" s="175"/>
    </row>
    <row r="16" customFormat="false" ht="15" hidden="false" customHeight="true" outlineLevel="0" collapsed="false">
      <c r="A16" s="20" t="n">
        <v>1</v>
      </c>
      <c r="B16" s="176" t="s">
        <v>829</v>
      </c>
      <c r="C16" s="176"/>
      <c r="D16" s="177" t="n">
        <v>1220</v>
      </c>
      <c r="E16" s="20" t="s">
        <v>839</v>
      </c>
    </row>
    <row r="17" customFormat="false" ht="15" hidden="false" customHeight="true" outlineLevel="0" collapsed="false">
      <c r="A17" s="178" t="n">
        <v>2</v>
      </c>
      <c r="B17" s="179" t="s">
        <v>831</v>
      </c>
      <c r="C17" s="179"/>
      <c r="D17" s="180" t="n">
        <v>0</v>
      </c>
      <c r="E17" s="178" t="s">
        <v>832</v>
      </c>
    </row>
    <row r="18" customFormat="false" ht="15" hidden="false" customHeight="true" outlineLevel="0" collapsed="false">
      <c r="A18" s="20" t="n">
        <v>3</v>
      </c>
      <c r="B18" s="176" t="s">
        <v>833</v>
      </c>
      <c r="C18" s="176"/>
      <c r="D18" s="177" t="n">
        <v>0</v>
      </c>
      <c r="E18" s="20" t="s">
        <v>832</v>
      </c>
    </row>
    <row r="20" customFormat="false" ht="15" hidden="false" customHeight="true" outlineLevel="0" collapsed="false">
      <c r="A20" s="181" t="s">
        <v>834</v>
      </c>
      <c r="B20" s="181"/>
      <c r="C20" s="181"/>
      <c r="D20" s="181"/>
      <c r="E20" s="181"/>
    </row>
    <row r="21" customFormat="false" ht="15" hidden="false" customHeight="true" outlineLevel="0" collapsed="false">
      <c r="A21" s="182" t="s">
        <v>46</v>
      </c>
      <c r="B21" s="183" t="s">
        <v>835</v>
      </c>
      <c r="C21" s="183" t="s">
        <v>660</v>
      </c>
      <c r="D21" s="183" t="s">
        <v>836</v>
      </c>
      <c r="E21" s="183"/>
    </row>
    <row r="22" customFormat="false" ht="15" hidden="false" customHeight="true" outlineLevel="0" collapsed="false">
      <c r="A22" s="20" t="n">
        <v>1</v>
      </c>
      <c r="B22" s="184" t="n">
        <v>45943</v>
      </c>
      <c r="C22" s="21" t="s">
        <v>204</v>
      </c>
      <c r="D22" s="152" t="n">
        <v>140</v>
      </c>
      <c r="E22" s="173"/>
    </row>
    <row r="23" customFormat="false" ht="15" hidden="false" customHeight="true" outlineLevel="0" collapsed="false">
      <c r="A23" s="178" t="n">
        <v>2</v>
      </c>
      <c r="B23" s="185" t="n">
        <v>45943</v>
      </c>
      <c r="C23" s="186" t="s">
        <v>205</v>
      </c>
      <c r="D23" s="187" t="n">
        <v>210</v>
      </c>
      <c r="E23" s="188"/>
    </row>
    <row r="24" customFormat="false" ht="15" hidden="false" customHeight="true" outlineLevel="0" collapsed="false">
      <c r="A24" s="20" t="n">
        <v>3</v>
      </c>
      <c r="B24" s="184" t="n">
        <v>45944</v>
      </c>
      <c r="C24" s="21" t="s">
        <v>143</v>
      </c>
      <c r="D24" s="152" t="n">
        <v>180</v>
      </c>
      <c r="E24" s="173"/>
    </row>
    <row r="25" customFormat="false" ht="15" hidden="false" customHeight="true" outlineLevel="0" collapsed="false">
      <c r="A25" s="178" t="n">
        <v>4</v>
      </c>
      <c r="B25" s="185" t="n">
        <v>45945</v>
      </c>
      <c r="C25" s="186" t="s">
        <v>143</v>
      </c>
      <c r="D25" s="187" t="n">
        <v>60</v>
      </c>
      <c r="E25" s="188"/>
    </row>
    <row r="26" customFormat="false" ht="15" hidden="false" customHeight="true" outlineLevel="0" collapsed="false">
      <c r="A26" s="20" t="n">
        <v>5</v>
      </c>
      <c r="B26" s="184" t="n">
        <v>45945</v>
      </c>
      <c r="C26" s="21" t="s">
        <v>184</v>
      </c>
      <c r="D26" s="152" t="n">
        <v>120</v>
      </c>
      <c r="E26" s="173"/>
    </row>
    <row r="27" customFormat="false" ht="15" hidden="false" customHeight="true" outlineLevel="0" collapsed="false">
      <c r="A27" s="178" t="n">
        <v>6</v>
      </c>
      <c r="B27" s="185" t="n">
        <v>45946</v>
      </c>
      <c r="C27" s="186" t="s">
        <v>142</v>
      </c>
      <c r="D27" s="187" t="n">
        <v>40</v>
      </c>
      <c r="E27" s="188"/>
    </row>
    <row r="28" customFormat="false" ht="15" hidden="false" customHeight="true" outlineLevel="0" collapsed="false">
      <c r="A28" s="20" t="n">
        <v>7</v>
      </c>
      <c r="B28" s="184" t="n">
        <v>45946</v>
      </c>
      <c r="C28" s="21" t="s">
        <v>183</v>
      </c>
      <c r="D28" s="152" t="n">
        <v>280</v>
      </c>
      <c r="E28" s="173"/>
    </row>
    <row r="29" customFormat="false" ht="15" hidden="false" customHeight="true" outlineLevel="0" collapsed="false">
      <c r="A29" s="178" t="n">
        <v>8</v>
      </c>
      <c r="B29" s="185" t="n">
        <v>45946</v>
      </c>
      <c r="C29" s="186" t="s">
        <v>220</v>
      </c>
      <c r="D29" s="187" t="n">
        <v>40</v>
      </c>
      <c r="E29" s="188"/>
    </row>
    <row r="30" customFormat="false" ht="15" hidden="false" customHeight="true" outlineLevel="0" collapsed="false">
      <c r="A30" s="20" t="n">
        <v>9</v>
      </c>
      <c r="B30" s="184" t="n">
        <v>45947</v>
      </c>
      <c r="C30" s="21" t="s">
        <v>146</v>
      </c>
      <c r="D30" s="152" t="n">
        <v>40</v>
      </c>
      <c r="E30" s="173"/>
    </row>
    <row r="31" customFormat="false" ht="15" hidden="false" customHeight="true" outlineLevel="0" collapsed="false">
      <c r="A31" s="178" t="n">
        <v>10</v>
      </c>
      <c r="B31" s="185" t="n">
        <v>45947</v>
      </c>
      <c r="C31" s="186" t="s">
        <v>147</v>
      </c>
      <c r="D31" s="187" t="n">
        <v>40</v>
      </c>
      <c r="E31" s="188"/>
    </row>
    <row r="32" customFormat="false" ht="15" hidden="false" customHeight="true" outlineLevel="0" collapsed="false">
      <c r="A32" s="20" t="n">
        <v>11</v>
      </c>
      <c r="B32" s="184" t="n">
        <v>45947</v>
      </c>
      <c r="C32" s="21" t="s">
        <v>155</v>
      </c>
      <c r="D32" s="152" t="n">
        <v>70</v>
      </c>
      <c r="E32" s="173"/>
    </row>
    <row r="33" customFormat="false" ht="15" hidden="false" customHeight="true" outlineLevel="0" collapsed="false">
      <c r="A33" s="189" t="s">
        <v>837</v>
      </c>
      <c r="B33" s="189"/>
      <c r="C33" s="189"/>
      <c r="D33" s="190" t="n">
        <v>1220</v>
      </c>
      <c r="E33" s="191"/>
    </row>
    <row r="36" customFormat="false" ht="39.75" hidden="false" customHeight="true" outlineLevel="0" collapsed="false">
      <c r="A36" s="174" t="s">
        <v>840</v>
      </c>
      <c r="B36" s="174"/>
      <c r="C36" s="174"/>
      <c r="D36" s="174"/>
      <c r="E36" s="174"/>
    </row>
    <row r="37" customFormat="false" ht="15" hidden="false" customHeight="true" outlineLevel="0" collapsed="false">
      <c r="A37" s="175" t="s">
        <v>828</v>
      </c>
      <c r="B37" s="175"/>
      <c r="C37" s="175"/>
      <c r="D37" s="175"/>
      <c r="E37" s="175"/>
    </row>
    <row r="38" customFormat="false" ht="15" hidden="false" customHeight="true" outlineLevel="0" collapsed="false">
      <c r="A38" s="20" t="n">
        <v>1</v>
      </c>
      <c r="B38" s="176" t="s">
        <v>829</v>
      </c>
      <c r="C38" s="176"/>
      <c r="D38" s="177" t="n">
        <v>1318.5</v>
      </c>
      <c r="E38" s="20" t="s">
        <v>841</v>
      </c>
    </row>
    <row r="39" customFormat="false" ht="15" hidden="false" customHeight="true" outlineLevel="0" collapsed="false">
      <c r="A39" s="178" t="n">
        <v>2</v>
      </c>
      <c r="B39" s="179" t="s">
        <v>831</v>
      </c>
      <c r="C39" s="179"/>
      <c r="D39" s="180" t="n">
        <v>0</v>
      </c>
      <c r="E39" s="178" t="s">
        <v>832</v>
      </c>
    </row>
    <row r="40" customFormat="false" ht="15" hidden="false" customHeight="true" outlineLevel="0" collapsed="false">
      <c r="A40" s="20" t="n">
        <v>3</v>
      </c>
      <c r="B40" s="176" t="s">
        <v>833</v>
      </c>
      <c r="C40" s="176"/>
      <c r="D40" s="177" t="n">
        <v>0</v>
      </c>
      <c r="E40" s="20" t="s">
        <v>832</v>
      </c>
    </row>
    <row r="42" customFormat="false" ht="15" hidden="false" customHeight="true" outlineLevel="0" collapsed="false">
      <c r="A42" s="181" t="s">
        <v>834</v>
      </c>
      <c r="B42" s="181"/>
      <c r="C42" s="181"/>
      <c r="D42" s="181"/>
      <c r="E42" s="181"/>
    </row>
    <row r="43" customFormat="false" ht="15" hidden="false" customHeight="true" outlineLevel="0" collapsed="false">
      <c r="A43" s="182" t="s">
        <v>46</v>
      </c>
      <c r="B43" s="183" t="s">
        <v>835</v>
      </c>
      <c r="C43" s="183" t="s">
        <v>660</v>
      </c>
      <c r="D43" s="183" t="s">
        <v>836</v>
      </c>
      <c r="E43" s="183"/>
    </row>
    <row r="44" customFormat="false" ht="15" hidden="false" customHeight="true" outlineLevel="0" collapsed="false">
      <c r="A44" s="20" t="n">
        <v>1</v>
      </c>
      <c r="B44" s="184" t="n">
        <v>45950</v>
      </c>
      <c r="C44" s="21" t="s">
        <v>144</v>
      </c>
      <c r="D44" s="152" t="n">
        <v>70</v>
      </c>
      <c r="E44" s="173"/>
    </row>
    <row r="45" customFormat="false" ht="15" hidden="false" customHeight="true" outlineLevel="0" collapsed="false">
      <c r="A45" s="178" t="n">
        <v>2</v>
      </c>
      <c r="B45" s="185" t="n">
        <v>45950</v>
      </c>
      <c r="C45" s="186" t="s">
        <v>155</v>
      </c>
      <c r="D45" s="187" t="n">
        <v>140</v>
      </c>
      <c r="E45" s="188"/>
    </row>
    <row r="46" customFormat="false" ht="15" hidden="false" customHeight="true" outlineLevel="0" collapsed="false">
      <c r="A46" s="20" t="n">
        <v>3</v>
      </c>
      <c r="B46" s="184" t="n">
        <v>45950</v>
      </c>
      <c r="C46" s="21" t="s">
        <v>156</v>
      </c>
      <c r="D46" s="152" t="n">
        <v>70</v>
      </c>
      <c r="E46" s="173"/>
    </row>
    <row r="47" customFormat="false" ht="15" hidden="false" customHeight="true" outlineLevel="0" collapsed="false">
      <c r="A47" s="178" t="n">
        <v>4</v>
      </c>
      <c r="B47" s="185" t="n">
        <v>45950</v>
      </c>
      <c r="C47" s="186" t="s">
        <v>157</v>
      </c>
      <c r="D47" s="187" t="n">
        <v>70</v>
      </c>
      <c r="E47" s="188"/>
    </row>
    <row r="48" customFormat="false" ht="15" hidden="false" customHeight="true" outlineLevel="0" collapsed="false">
      <c r="A48" s="20" t="n">
        <v>5</v>
      </c>
      <c r="B48" s="184" t="n">
        <v>45950</v>
      </c>
      <c r="C48" s="21" t="s">
        <v>158</v>
      </c>
      <c r="D48" s="152" t="n">
        <v>70</v>
      </c>
      <c r="E48" s="173"/>
    </row>
    <row r="49" customFormat="false" ht="15" hidden="false" customHeight="true" outlineLevel="0" collapsed="false">
      <c r="A49" s="178" t="n">
        <v>6</v>
      </c>
      <c r="B49" s="185" t="n">
        <v>45951</v>
      </c>
      <c r="C49" s="186" t="s">
        <v>143</v>
      </c>
      <c r="D49" s="187" t="n">
        <v>132.5</v>
      </c>
      <c r="E49" s="188"/>
    </row>
    <row r="50" customFormat="false" ht="15" hidden="false" customHeight="true" outlineLevel="0" collapsed="false">
      <c r="A50" s="20" t="n">
        <v>7</v>
      </c>
      <c r="B50" s="184" t="n">
        <v>45951</v>
      </c>
      <c r="C50" s="21" t="s">
        <v>161</v>
      </c>
      <c r="D50" s="152" t="n">
        <v>68</v>
      </c>
      <c r="E50" s="173"/>
    </row>
    <row r="51" customFormat="false" ht="15" hidden="false" customHeight="true" outlineLevel="0" collapsed="false">
      <c r="A51" s="178" t="n">
        <v>8</v>
      </c>
      <c r="B51" s="185" t="n">
        <v>45951</v>
      </c>
      <c r="C51" s="186" t="s">
        <v>183</v>
      </c>
      <c r="D51" s="187" t="n">
        <v>280</v>
      </c>
      <c r="E51" s="188"/>
    </row>
    <row r="52" customFormat="false" ht="15" hidden="false" customHeight="true" outlineLevel="0" collapsed="false">
      <c r="A52" s="20" t="n">
        <v>9</v>
      </c>
      <c r="B52" s="184" t="n">
        <v>45952</v>
      </c>
      <c r="C52" s="21" t="s">
        <v>155</v>
      </c>
      <c r="D52" s="152" t="n">
        <v>70</v>
      </c>
      <c r="E52" s="173"/>
    </row>
    <row r="53" customFormat="false" ht="15" hidden="false" customHeight="true" outlineLevel="0" collapsed="false">
      <c r="A53" s="178" t="n">
        <v>10</v>
      </c>
      <c r="B53" s="185" t="n">
        <v>45952</v>
      </c>
      <c r="C53" s="186" t="s">
        <v>161</v>
      </c>
      <c r="D53" s="187" t="n">
        <v>68</v>
      </c>
      <c r="E53" s="188"/>
    </row>
    <row r="54" customFormat="false" ht="15" hidden="false" customHeight="true" outlineLevel="0" collapsed="false">
      <c r="A54" s="20" t="n">
        <v>11</v>
      </c>
      <c r="B54" s="184" t="n">
        <v>45952</v>
      </c>
      <c r="C54" s="21" t="s">
        <v>163</v>
      </c>
      <c r="D54" s="152" t="n">
        <v>210</v>
      </c>
      <c r="E54" s="173"/>
    </row>
    <row r="55" customFormat="false" ht="15" hidden="false" customHeight="true" outlineLevel="0" collapsed="false">
      <c r="A55" s="178" t="n">
        <v>12</v>
      </c>
      <c r="B55" s="185" t="n">
        <v>45953</v>
      </c>
      <c r="C55" s="186" t="s">
        <v>144</v>
      </c>
      <c r="D55" s="187" t="n">
        <v>70</v>
      </c>
      <c r="E55" s="188"/>
    </row>
    <row r="56" customFormat="false" ht="15" hidden="false" customHeight="true" outlineLevel="0" collapsed="false">
      <c r="A56" s="189" t="s">
        <v>837</v>
      </c>
      <c r="B56" s="189"/>
      <c r="C56" s="189"/>
      <c r="D56" s="190" t="n">
        <v>1318.5</v>
      </c>
      <c r="E56" s="191"/>
    </row>
    <row r="59" customFormat="false" ht="39.75" hidden="false" customHeight="true" outlineLevel="0" collapsed="false">
      <c r="A59" s="174" t="s">
        <v>842</v>
      </c>
      <c r="B59" s="174"/>
      <c r="C59" s="174"/>
      <c r="D59" s="174"/>
      <c r="E59" s="174"/>
    </row>
    <row r="60" customFormat="false" ht="15" hidden="false" customHeight="true" outlineLevel="0" collapsed="false">
      <c r="A60" s="175" t="s">
        <v>828</v>
      </c>
      <c r="B60" s="175"/>
      <c r="C60" s="175"/>
      <c r="D60" s="175"/>
      <c r="E60" s="175"/>
    </row>
    <row r="61" customFormat="false" ht="15" hidden="false" customHeight="true" outlineLevel="0" collapsed="false">
      <c r="A61" s="20" t="n">
        <v>1</v>
      </c>
      <c r="B61" s="176" t="s">
        <v>829</v>
      </c>
      <c r="C61" s="176"/>
      <c r="D61" s="177" t="n">
        <v>2285</v>
      </c>
      <c r="E61" s="20" t="s">
        <v>843</v>
      </c>
    </row>
    <row r="62" customFormat="false" ht="15" hidden="false" customHeight="true" outlineLevel="0" collapsed="false">
      <c r="A62" s="178" t="n">
        <v>2</v>
      </c>
      <c r="B62" s="179" t="s">
        <v>831</v>
      </c>
      <c r="C62" s="179"/>
      <c r="D62" s="180" t="n">
        <v>0</v>
      </c>
      <c r="E62" s="178" t="s">
        <v>832</v>
      </c>
    </row>
    <row r="63" customFormat="false" ht="15" hidden="false" customHeight="true" outlineLevel="0" collapsed="false">
      <c r="A63" s="20" t="n">
        <v>3</v>
      </c>
      <c r="B63" s="176" t="s">
        <v>833</v>
      </c>
      <c r="C63" s="176"/>
      <c r="D63" s="177" t="n">
        <v>0</v>
      </c>
      <c r="E63" s="20" t="s">
        <v>832</v>
      </c>
    </row>
    <row r="65" customFormat="false" ht="15" hidden="false" customHeight="true" outlineLevel="0" collapsed="false">
      <c r="A65" s="181" t="s">
        <v>834</v>
      </c>
      <c r="B65" s="181"/>
      <c r="C65" s="181"/>
      <c r="D65" s="181"/>
      <c r="E65" s="181"/>
    </row>
    <row r="66" customFormat="false" ht="15" hidden="false" customHeight="true" outlineLevel="0" collapsed="false">
      <c r="A66" s="182" t="s">
        <v>46</v>
      </c>
      <c r="B66" s="183" t="s">
        <v>835</v>
      </c>
      <c r="C66" s="183" t="s">
        <v>660</v>
      </c>
      <c r="D66" s="183" t="s">
        <v>836</v>
      </c>
      <c r="E66" s="183"/>
    </row>
    <row r="67" customFormat="false" ht="15" hidden="false" customHeight="true" outlineLevel="0" collapsed="false">
      <c r="A67" s="20" t="n">
        <v>1</v>
      </c>
      <c r="B67" s="184" t="n">
        <v>45957</v>
      </c>
      <c r="C67" s="21" t="s">
        <v>183</v>
      </c>
      <c r="D67" s="152" t="n">
        <v>420</v>
      </c>
      <c r="E67" s="173"/>
    </row>
    <row r="68" customFormat="false" ht="15" hidden="false" customHeight="true" outlineLevel="0" collapsed="false">
      <c r="A68" s="178" t="n">
        <v>2</v>
      </c>
      <c r="B68" s="185" t="n">
        <v>45958</v>
      </c>
      <c r="C68" s="186" t="s">
        <v>183</v>
      </c>
      <c r="D68" s="187" t="n">
        <v>210</v>
      </c>
      <c r="E68" s="188"/>
    </row>
    <row r="69" customFormat="false" ht="15" hidden="false" customHeight="true" outlineLevel="0" collapsed="false">
      <c r="A69" s="20" t="n">
        <v>3</v>
      </c>
      <c r="B69" s="184" t="n">
        <v>45958</v>
      </c>
      <c r="C69" s="21" t="s">
        <v>209</v>
      </c>
      <c r="D69" s="152" t="n">
        <v>70</v>
      </c>
      <c r="E69" s="173"/>
    </row>
    <row r="70" customFormat="false" ht="15" hidden="false" customHeight="true" outlineLevel="0" collapsed="false">
      <c r="A70" s="178" t="n">
        <v>4</v>
      </c>
      <c r="B70" s="185" t="n">
        <v>45958</v>
      </c>
      <c r="C70" s="186" t="s">
        <v>211</v>
      </c>
      <c r="D70" s="187" t="n">
        <v>70</v>
      </c>
      <c r="E70" s="188"/>
    </row>
    <row r="71" customFormat="false" ht="15" hidden="false" customHeight="true" outlineLevel="0" collapsed="false">
      <c r="A71" s="20" t="n">
        <v>5</v>
      </c>
      <c r="B71" s="184" t="n">
        <v>45959</v>
      </c>
      <c r="C71" s="21" t="s">
        <v>143</v>
      </c>
      <c r="D71" s="152" t="n">
        <v>107.5</v>
      </c>
      <c r="E71" s="173"/>
    </row>
    <row r="72" customFormat="false" ht="15" hidden="false" customHeight="true" outlineLevel="0" collapsed="false">
      <c r="A72" s="178" t="n">
        <v>6</v>
      </c>
      <c r="B72" s="185" t="n">
        <v>45959</v>
      </c>
      <c r="C72" s="186" t="s">
        <v>155</v>
      </c>
      <c r="D72" s="187" t="n">
        <v>210</v>
      </c>
      <c r="E72" s="188"/>
    </row>
    <row r="73" customFormat="false" ht="15" hidden="false" customHeight="true" outlineLevel="0" collapsed="false">
      <c r="A73" s="20" t="n">
        <v>7</v>
      </c>
      <c r="B73" s="184" t="n">
        <v>45959</v>
      </c>
      <c r="C73" s="21" t="s">
        <v>184</v>
      </c>
      <c r="D73" s="152" t="n">
        <v>72.5</v>
      </c>
      <c r="E73" s="173"/>
    </row>
    <row r="74" customFormat="false" ht="15" hidden="false" customHeight="true" outlineLevel="0" collapsed="false">
      <c r="A74" s="178" t="n">
        <v>8</v>
      </c>
      <c r="B74" s="185" t="n">
        <v>45959</v>
      </c>
      <c r="C74" s="186" t="s">
        <v>204</v>
      </c>
      <c r="D74" s="187" t="n">
        <v>140</v>
      </c>
      <c r="E74" s="188"/>
    </row>
    <row r="75" customFormat="false" ht="15" hidden="false" customHeight="true" outlineLevel="0" collapsed="false">
      <c r="A75" s="20" t="n">
        <v>9</v>
      </c>
      <c r="B75" s="184" t="n">
        <v>45960</v>
      </c>
      <c r="C75" s="21" t="s">
        <v>143</v>
      </c>
      <c r="D75" s="152" t="n">
        <v>315</v>
      </c>
      <c r="E75" s="173"/>
    </row>
    <row r="76" customFormat="false" ht="15" hidden="false" customHeight="true" outlineLevel="0" collapsed="false">
      <c r="A76" s="178" t="n">
        <v>10</v>
      </c>
      <c r="B76" s="185" t="n">
        <v>45960</v>
      </c>
      <c r="C76" s="186" t="s">
        <v>184</v>
      </c>
      <c r="D76" s="187" t="n">
        <v>172.5</v>
      </c>
      <c r="E76" s="188"/>
    </row>
    <row r="77" customFormat="false" ht="15" hidden="false" customHeight="true" outlineLevel="0" collapsed="false">
      <c r="A77" s="20" t="n">
        <v>11</v>
      </c>
      <c r="B77" s="184" t="n">
        <v>45961</v>
      </c>
      <c r="C77" s="21" t="s">
        <v>143</v>
      </c>
      <c r="D77" s="152" t="n">
        <v>322.5</v>
      </c>
      <c r="E77" s="173"/>
    </row>
    <row r="78" customFormat="false" ht="15" hidden="false" customHeight="true" outlineLevel="0" collapsed="false">
      <c r="A78" s="178" t="n">
        <v>12</v>
      </c>
      <c r="B78" s="185" t="n">
        <v>45961</v>
      </c>
      <c r="C78" s="186" t="s">
        <v>184</v>
      </c>
      <c r="D78" s="187" t="n">
        <v>75</v>
      </c>
      <c r="E78" s="188"/>
    </row>
    <row r="79" customFormat="false" ht="15" hidden="false" customHeight="true" outlineLevel="0" collapsed="false">
      <c r="A79" s="20" t="n">
        <v>13</v>
      </c>
      <c r="B79" s="184" t="n">
        <v>45961</v>
      </c>
      <c r="C79" s="21" t="s">
        <v>212</v>
      </c>
      <c r="D79" s="152" t="n">
        <v>100</v>
      </c>
      <c r="E79" s="173"/>
    </row>
    <row r="80" customFormat="false" ht="15" hidden="false" customHeight="true" outlineLevel="0" collapsed="false">
      <c r="A80" s="189" t="s">
        <v>837</v>
      </c>
      <c r="B80" s="189"/>
      <c r="C80" s="189"/>
      <c r="D80" s="190" t="n">
        <v>2285</v>
      </c>
      <c r="E80" s="191"/>
    </row>
    <row r="83" customFormat="false" ht="39.75" hidden="false" customHeight="true" outlineLevel="0" collapsed="false">
      <c r="A83" s="174" t="s">
        <v>844</v>
      </c>
      <c r="B83" s="174"/>
      <c r="C83" s="174"/>
      <c r="D83" s="174"/>
      <c r="E83" s="174"/>
    </row>
    <row r="84" customFormat="false" ht="15" hidden="false" customHeight="true" outlineLevel="0" collapsed="false">
      <c r="A84" s="175" t="s">
        <v>828</v>
      </c>
      <c r="B84" s="175"/>
      <c r="C84" s="175"/>
      <c r="D84" s="175"/>
      <c r="E84" s="175"/>
    </row>
    <row r="85" customFormat="false" ht="15" hidden="false" customHeight="true" outlineLevel="0" collapsed="false">
      <c r="A85" s="20" t="n">
        <v>1</v>
      </c>
      <c r="B85" s="176" t="s">
        <v>829</v>
      </c>
      <c r="C85" s="176"/>
      <c r="D85" s="177" t="n">
        <v>2528</v>
      </c>
      <c r="E85" s="20" t="s">
        <v>839</v>
      </c>
    </row>
    <row r="86" customFormat="false" ht="15" hidden="false" customHeight="true" outlineLevel="0" collapsed="false">
      <c r="A86" s="178" t="n">
        <v>2</v>
      </c>
      <c r="B86" s="179" t="s">
        <v>831</v>
      </c>
      <c r="C86" s="179"/>
      <c r="D86" s="180" t="n">
        <v>0</v>
      </c>
      <c r="E86" s="178" t="s">
        <v>832</v>
      </c>
    </row>
    <row r="87" customFormat="false" ht="15" hidden="false" customHeight="true" outlineLevel="0" collapsed="false">
      <c r="A87" s="20" t="n">
        <v>3</v>
      </c>
      <c r="B87" s="176" t="s">
        <v>833</v>
      </c>
      <c r="C87" s="176"/>
      <c r="D87" s="177" t="n">
        <v>0</v>
      </c>
      <c r="E87" s="20" t="s">
        <v>832</v>
      </c>
    </row>
    <row r="89" customFormat="false" ht="15" hidden="false" customHeight="true" outlineLevel="0" collapsed="false">
      <c r="A89" s="181" t="s">
        <v>834</v>
      </c>
      <c r="B89" s="181"/>
      <c r="C89" s="181"/>
      <c r="D89" s="181"/>
      <c r="E89" s="181"/>
    </row>
    <row r="90" customFormat="false" ht="15" hidden="false" customHeight="true" outlineLevel="0" collapsed="false">
      <c r="A90" s="182" t="s">
        <v>46</v>
      </c>
      <c r="B90" s="183" t="s">
        <v>835</v>
      </c>
      <c r="C90" s="183" t="s">
        <v>660</v>
      </c>
      <c r="D90" s="183" t="s">
        <v>836</v>
      </c>
      <c r="E90" s="183"/>
    </row>
    <row r="91" customFormat="false" ht="15" hidden="false" customHeight="true" outlineLevel="0" collapsed="false">
      <c r="A91" s="20" t="n">
        <v>1</v>
      </c>
      <c r="B91" s="184" t="n">
        <v>45964</v>
      </c>
      <c r="C91" s="21" t="s">
        <v>143</v>
      </c>
      <c r="D91" s="152" t="n">
        <v>287.5</v>
      </c>
      <c r="E91" s="173"/>
    </row>
    <row r="92" customFormat="false" ht="15" hidden="false" customHeight="true" outlineLevel="0" collapsed="false">
      <c r="A92" s="178" t="n">
        <v>2</v>
      </c>
      <c r="B92" s="185" t="n">
        <v>45964</v>
      </c>
      <c r="C92" s="186" t="s">
        <v>144</v>
      </c>
      <c r="D92" s="187" t="n">
        <v>70</v>
      </c>
      <c r="E92" s="188"/>
    </row>
    <row r="93" customFormat="false" ht="15" hidden="false" customHeight="true" outlineLevel="0" collapsed="false">
      <c r="A93" s="20" t="n">
        <v>3</v>
      </c>
      <c r="B93" s="184" t="n">
        <v>45964</v>
      </c>
      <c r="C93" s="21" t="s">
        <v>184</v>
      </c>
      <c r="D93" s="152" t="n">
        <v>197.5</v>
      </c>
      <c r="E93" s="173"/>
    </row>
    <row r="94" customFormat="false" ht="15" hidden="false" customHeight="true" outlineLevel="0" collapsed="false">
      <c r="A94" s="178" t="n">
        <v>4</v>
      </c>
      <c r="B94" s="185" t="n">
        <v>45965</v>
      </c>
      <c r="C94" s="186" t="s">
        <v>143</v>
      </c>
      <c r="D94" s="187" t="n">
        <v>105</v>
      </c>
      <c r="E94" s="188"/>
    </row>
    <row r="95" customFormat="false" ht="15" hidden="false" customHeight="true" outlineLevel="0" collapsed="false">
      <c r="A95" s="20" t="n">
        <v>5</v>
      </c>
      <c r="B95" s="184" t="n">
        <v>45965</v>
      </c>
      <c r="C95" s="21" t="s">
        <v>169</v>
      </c>
      <c r="D95" s="152" t="n">
        <v>53</v>
      </c>
      <c r="E95" s="173"/>
    </row>
    <row r="96" customFormat="false" ht="15" hidden="false" customHeight="true" outlineLevel="0" collapsed="false">
      <c r="A96" s="178" t="n">
        <v>6</v>
      </c>
      <c r="B96" s="185" t="n">
        <v>45965</v>
      </c>
      <c r="C96" s="186" t="s">
        <v>184</v>
      </c>
      <c r="D96" s="187" t="n">
        <v>75</v>
      </c>
      <c r="E96" s="188"/>
    </row>
    <row r="97" customFormat="false" ht="15" hidden="false" customHeight="true" outlineLevel="0" collapsed="false">
      <c r="A97" s="20" t="n">
        <v>7</v>
      </c>
      <c r="B97" s="184" t="n">
        <v>45965</v>
      </c>
      <c r="C97" s="21" t="s">
        <v>204</v>
      </c>
      <c r="D97" s="152" t="n">
        <v>210</v>
      </c>
      <c r="E97" s="173"/>
    </row>
    <row r="98" customFormat="false" ht="15" hidden="false" customHeight="true" outlineLevel="0" collapsed="false">
      <c r="A98" s="178" t="n">
        <v>8</v>
      </c>
      <c r="B98" s="185" t="n">
        <v>45965</v>
      </c>
      <c r="C98" s="186" t="s">
        <v>205</v>
      </c>
      <c r="D98" s="187" t="n">
        <v>140</v>
      </c>
      <c r="E98" s="188"/>
    </row>
    <row r="99" customFormat="false" ht="15" hidden="false" customHeight="true" outlineLevel="0" collapsed="false">
      <c r="A99" s="20" t="n">
        <v>9</v>
      </c>
      <c r="B99" s="184" t="n">
        <v>45966</v>
      </c>
      <c r="C99" s="21" t="s">
        <v>143</v>
      </c>
      <c r="D99" s="152" t="n">
        <v>175</v>
      </c>
      <c r="E99" s="173"/>
    </row>
    <row r="100" customFormat="false" ht="15" hidden="false" customHeight="true" outlineLevel="0" collapsed="false">
      <c r="A100" s="178" t="n">
        <v>10</v>
      </c>
      <c r="B100" s="185" t="n">
        <v>45966</v>
      </c>
      <c r="C100" s="186" t="s">
        <v>144</v>
      </c>
      <c r="D100" s="187" t="n">
        <v>70</v>
      </c>
      <c r="E100" s="188"/>
    </row>
    <row r="101" customFormat="false" ht="15" hidden="false" customHeight="true" outlineLevel="0" collapsed="false">
      <c r="A101" s="20" t="n">
        <v>11</v>
      </c>
      <c r="B101" s="184" t="n">
        <v>45966</v>
      </c>
      <c r="C101" s="21" t="s">
        <v>147</v>
      </c>
      <c r="D101" s="152" t="n">
        <v>80</v>
      </c>
      <c r="E101" s="173"/>
    </row>
    <row r="102" customFormat="false" ht="15" hidden="false" customHeight="true" outlineLevel="0" collapsed="false">
      <c r="A102" s="178" t="n">
        <v>12</v>
      </c>
      <c r="B102" s="185" t="n">
        <v>45966</v>
      </c>
      <c r="C102" s="186" t="s">
        <v>155</v>
      </c>
      <c r="D102" s="187" t="n">
        <v>140</v>
      </c>
      <c r="E102" s="188"/>
    </row>
    <row r="103" customFormat="false" ht="15" hidden="false" customHeight="true" outlineLevel="0" collapsed="false">
      <c r="A103" s="20" t="n">
        <v>13</v>
      </c>
      <c r="B103" s="184" t="n">
        <v>45966</v>
      </c>
      <c r="C103" s="21" t="s">
        <v>184</v>
      </c>
      <c r="D103" s="152" t="n">
        <v>97.5</v>
      </c>
      <c r="E103" s="173"/>
    </row>
    <row r="104" customFormat="false" ht="15" hidden="false" customHeight="true" outlineLevel="0" collapsed="false">
      <c r="A104" s="178" t="n">
        <v>14</v>
      </c>
      <c r="B104" s="185" t="n">
        <v>45967</v>
      </c>
      <c r="C104" s="186" t="s">
        <v>183</v>
      </c>
      <c r="D104" s="187" t="n">
        <v>350</v>
      </c>
      <c r="E104" s="188"/>
    </row>
    <row r="105" customFormat="false" ht="15" hidden="false" customHeight="true" outlineLevel="0" collapsed="false">
      <c r="A105" s="20" t="n">
        <v>15</v>
      </c>
      <c r="B105" s="184" t="n">
        <v>45968</v>
      </c>
      <c r="C105" s="21" t="s">
        <v>143</v>
      </c>
      <c r="D105" s="152" t="n">
        <v>255</v>
      </c>
      <c r="E105" s="173"/>
    </row>
    <row r="106" customFormat="false" ht="15" hidden="false" customHeight="true" outlineLevel="0" collapsed="false">
      <c r="A106" s="178" t="n">
        <v>16</v>
      </c>
      <c r="B106" s="185" t="n">
        <v>45968</v>
      </c>
      <c r="C106" s="186" t="s">
        <v>184</v>
      </c>
      <c r="D106" s="187" t="n">
        <v>172.5</v>
      </c>
      <c r="E106" s="188"/>
    </row>
    <row r="107" customFormat="false" ht="15" hidden="false" customHeight="true" outlineLevel="0" collapsed="false">
      <c r="A107" s="20" t="n">
        <v>17</v>
      </c>
      <c r="B107" s="184" t="n">
        <v>45968</v>
      </c>
      <c r="C107" s="21" t="s">
        <v>215</v>
      </c>
      <c r="D107" s="152" t="n">
        <v>50</v>
      </c>
      <c r="E107" s="173"/>
    </row>
    <row r="108" customFormat="false" ht="15" hidden="false" customHeight="true" outlineLevel="0" collapsed="false">
      <c r="A108" s="189" t="s">
        <v>837</v>
      </c>
      <c r="B108" s="189"/>
      <c r="C108" s="189"/>
      <c r="D108" s="190" t="n">
        <v>2528</v>
      </c>
      <c r="E108" s="191"/>
    </row>
    <row r="111" customFormat="false" ht="39.75" hidden="false" customHeight="true" outlineLevel="0" collapsed="false">
      <c r="A111" s="174" t="s">
        <v>845</v>
      </c>
      <c r="B111" s="174"/>
      <c r="C111" s="174"/>
      <c r="D111" s="174"/>
      <c r="E111" s="174"/>
    </row>
    <row r="112" customFormat="false" ht="15" hidden="false" customHeight="true" outlineLevel="0" collapsed="false">
      <c r="A112" s="175" t="s">
        <v>828</v>
      </c>
      <c r="B112" s="175"/>
      <c r="C112" s="175"/>
      <c r="D112" s="175"/>
      <c r="E112" s="175"/>
    </row>
    <row r="113" customFormat="false" ht="15" hidden="false" customHeight="true" outlineLevel="0" collapsed="false">
      <c r="A113" s="20" t="n">
        <v>1</v>
      </c>
      <c r="B113" s="176" t="s">
        <v>829</v>
      </c>
      <c r="C113" s="176"/>
      <c r="D113" s="177" t="n">
        <v>1706</v>
      </c>
      <c r="E113" s="20" t="s">
        <v>841</v>
      </c>
    </row>
    <row r="114" customFormat="false" ht="15" hidden="false" customHeight="true" outlineLevel="0" collapsed="false">
      <c r="A114" s="178" t="n">
        <v>2</v>
      </c>
      <c r="B114" s="179" t="s">
        <v>831</v>
      </c>
      <c r="C114" s="179"/>
      <c r="D114" s="180" t="n">
        <v>0</v>
      </c>
      <c r="E114" s="178" t="s">
        <v>832</v>
      </c>
    </row>
    <row r="115" customFormat="false" ht="15" hidden="false" customHeight="true" outlineLevel="0" collapsed="false">
      <c r="A115" s="20" t="n">
        <v>3</v>
      </c>
      <c r="B115" s="176" t="s">
        <v>833</v>
      </c>
      <c r="C115" s="176"/>
      <c r="D115" s="177" t="n">
        <v>0</v>
      </c>
      <c r="E115" s="20" t="s">
        <v>832</v>
      </c>
    </row>
    <row r="117" customFormat="false" ht="15" hidden="false" customHeight="true" outlineLevel="0" collapsed="false">
      <c r="A117" s="181" t="s">
        <v>834</v>
      </c>
      <c r="B117" s="181"/>
      <c r="C117" s="181"/>
      <c r="D117" s="181"/>
      <c r="E117" s="181"/>
    </row>
    <row r="118" customFormat="false" ht="15" hidden="false" customHeight="true" outlineLevel="0" collapsed="false">
      <c r="A118" s="182" t="s">
        <v>46</v>
      </c>
      <c r="B118" s="183" t="s">
        <v>835</v>
      </c>
      <c r="C118" s="183" t="s">
        <v>660</v>
      </c>
      <c r="D118" s="183" t="s">
        <v>836</v>
      </c>
      <c r="E118" s="183"/>
    </row>
    <row r="119" customFormat="false" ht="15" hidden="false" customHeight="true" outlineLevel="0" collapsed="false">
      <c r="A119" s="20" t="n">
        <v>1</v>
      </c>
      <c r="B119" s="184" t="n">
        <v>45971</v>
      </c>
      <c r="C119" s="21" t="s">
        <v>143</v>
      </c>
      <c r="D119" s="152" t="n">
        <v>100</v>
      </c>
      <c r="E119" s="173"/>
    </row>
    <row r="120" customFormat="false" ht="15" hidden="false" customHeight="true" outlineLevel="0" collapsed="false">
      <c r="A120" s="178" t="n">
        <v>2</v>
      </c>
      <c r="B120" s="185" t="n">
        <v>45971</v>
      </c>
      <c r="C120" s="186" t="s">
        <v>156</v>
      </c>
      <c r="D120" s="187" t="n">
        <v>70</v>
      </c>
      <c r="E120" s="188"/>
    </row>
    <row r="121" customFormat="false" ht="15" hidden="false" customHeight="true" outlineLevel="0" collapsed="false">
      <c r="A121" s="20" t="n">
        <v>3</v>
      </c>
      <c r="B121" s="184" t="n">
        <v>45971</v>
      </c>
      <c r="C121" s="21" t="s">
        <v>157</v>
      </c>
      <c r="D121" s="152" t="n">
        <v>70</v>
      </c>
      <c r="E121" s="173"/>
    </row>
    <row r="122" customFormat="false" ht="15" hidden="false" customHeight="true" outlineLevel="0" collapsed="false">
      <c r="A122" s="178" t="n">
        <v>4</v>
      </c>
      <c r="B122" s="185" t="n">
        <v>45971</v>
      </c>
      <c r="C122" s="186" t="s">
        <v>158</v>
      </c>
      <c r="D122" s="187" t="n">
        <v>70</v>
      </c>
      <c r="E122" s="188"/>
    </row>
    <row r="123" customFormat="false" ht="15" hidden="false" customHeight="true" outlineLevel="0" collapsed="false">
      <c r="A123" s="20" t="n">
        <v>5</v>
      </c>
      <c r="B123" s="184" t="n">
        <v>45971</v>
      </c>
      <c r="C123" s="21" t="s">
        <v>184</v>
      </c>
      <c r="D123" s="152" t="n">
        <v>50</v>
      </c>
      <c r="E123" s="173"/>
    </row>
    <row r="124" customFormat="false" ht="15" hidden="false" customHeight="true" outlineLevel="0" collapsed="false">
      <c r="A124" s="178" t="n">
        <v>6</v>
      </c>
      <c r="B124" s="185" t="n">
        <v>45972</v>
      </c>
      <c r="C124" s="186" t="s">
        <v>144</v>
      </c>
      <c r="D124" s="187" t="n">
        <v>70</v>
      </c>
      <c r="E124" s="188"/>
    </row>
    <row r="125" customFormat="false" ht="15" hidden="false" customHeight="true" outlineLevel="0" collapsed="false">
      <c r="A125" s="20" t="n">
        <v>7</v>
      </c>
      <c r="B125" s="184" t="n">
        <v>45972</v>
      </c>
      <c r="C125" s="21" t="s">
        <v>161</v>
      </c>
      <c r="D125" s="152" t="n">
        <v>51</v>
      </c>
      <c r="E125" s="173"/>
    </row>
    <row r="126" customFormat="false" ht="15" hidden="false" customHeight="true" outlineLevel="0" collapsed="false">
      <c r="A126" s="178" t="n">
        <v>8</v>
      </c>
      <c r="B126" s="185" t="n">
        <v>45972</v>
      </c>
      <c r="C126" s="186" t="s">
        <v>174</v>
      </c>
      <c r="D126" s="187" t="n">
        <v>85</v>
      </c>
      <c r="E126" s="188"/>
    </row>
    <row r="127" customFormat="false" ht="15" hidden="false" customHeight="true" outlineLevel="0" collapsed="false">
      <c r="A127" s="20" t="n">
        <v>9</v>
      </c>
      <c r="B127" s="184" t="n">
        <v>45973</v>
      </c>
      <c r="C127" s="21" t="s">
        <v>143</v>
      </c>
      <c r="D127" s="152" t="n">
        <v>350</v>
      </c>
      <c r="E127" s="173"/>
    </row>
    <row r="128" customFormat="false" ht="15" hidden="false" customHeight="true" outlineLevel="0" collapsed="false">
      <c r="A128" s="178" t="n">
        <v>10</v>
      </c>
      <c r="B128" s="185" t="n">
        <v>45973</v>
      </c>
      <c r="C128" s="186" t="s">
        <v>184</v>
      </c>
      <c r="D128" s="187" t="n">
        <v>150</v>
      </c>
      <c r="E128" s="188"/>
    </row>
    <row r="129" customFormat="false" ht="15" hidden="false" customHeight="true" outlineLevel="0" collapsed="false">
      <c r="A129" s="20" t="n">
        <v>11</v>
      </c>
      <c r="B129" s="184" t="n">
        <v>45974</v>
      </c>
      <c r="C129" s="21" t="s">
        <v>143</v>
      </c>
      <c r="D129" s="152" t="n">
        <v>150</v>
      </c>
      <c r="E129" s="173"/>
    </row>
    <row r="130" customFormat="false" ht="15" hidden="false" customHeight="true" outlineLevel="0" collapsed="false">
      <c r="A130" s="178" t="n">
        <v>12</v>
      </c>
      <c r="B130" s="185" t="n">
        <v>45974</v>
      </c>
      <c r="C130" s="186" t="s">
        <v>144</v>
      </c>
      <c r="D130" s="187" t="n">
        <v>140</v>
      </c>
      <c r="E130" s="188"/>
    </row>
    <row r="131" customFormat="false" ht="15" hidden="false" customHeight="true" outlineLevel="0" collapsed="false">
      <c r="A131" s="20" t="n">
        <v>13</v>
      </c>
      <c r="B131" s="184" t="n">
        <v>45975</v>
      </c>
      <c r="C131" s="21" t="s">
        <v>143</v>
      </c>
      <c r="D131" s="152" t="n">
        <v>205</v>
      </c>
      <c r="E131" s="173"/>
    </row>
    <row r="132" customFormat="false" ht="15" hidden="false" customHeight="true" outlineLevel="0" collapsed="false">
      <c r="A132" s="178" t="n">
        <v>14</v>
      </c>
      <c r="B132" s="185" t="n">
        <v>45975</v>
      </c>
      <c r="C132" s="186" t="s">
        <v>184</v>
      </c>
      <c r="D132" s="187" t="n">
        <v>70</v>
      </c>
      <c r="E132" s="188"/>
    </row>
    <row r="133" customFormat="false" ht="15" hidden="false" customHeight="true" outlineLevel="0" collapsed="false">
      <c r="A133" s="20" t="n">
        <v>15</v>
      </c>
      <c r="B133" s="184" t="n">
        <v>45975</v>
      </c>
      <c r="C133" s="21" t="s">
        <v>215</v>
      </c>
      <c r="D133" s="152" t="n">
        <v>75</v>
      </c>
      <c r="E133" s="173"/>
    </row>
    <row r="134" customFormat="false" ht="15" hidden="false" customHeight="true" outlineLevel="0" collapsed="false">
      <c r="A134" s="189" t="s">
        <v>837</v>
      </c>
      <c r="B134" s="189"/>
      <c r="C134" s="189"/>
      <c r="D134" s="190" t="n">
        <v>1706</v>
      </c>
      <c r="E134" s="191"/>
    </row>
    <row r="137" customFormat="false" ht="39.75" hidden="false" customHeight="true" outlineLevel="0" collapsed="false">
      <c r="A137" s="174" t="s">
        <v>846</v>
      </c>
      <c r="B137" s="174"/>
      <c r="C137" s="174"/>
      <c r="D137" s="174"/>
      <c r="E137" s="174"/>
    </row>
    <row r="138" customFormat="false" ht="15" hidden="false" customHeight="true" outlineLevel="0" collapsed="false">
      <c r="A138" s="175" t="s">
        <v>828</v>
      </c>
      <c r="B138" s="175"/>
      <c r="C138" s="175"/>
      <c r="D138" s="175"/>
      <c r="E138" s="175"/>
    </row>
    <row r="139" customFormat="false" ht="15" hidden="false" customHeight="true" outlineLevel="0" collapsed="false">
      <c r="A139" s="20" t="n">
        <v>1</v>
      </c>
      <c r="B139" s="176" t="s">
        <v>829</v>
      </c>
      <c r="C139" s="176"/>
      <c r="D139" s="177" t="n">
        <v>774</v>
      </c>
      <c r="E139" s="20" t="s">
        <v>847</v>
      </c>
    </row>
    <row r="140" customFormat="false" ht="15" hidden="false" customHeight="true" outlineLevel="0" collapsed="false">
      <c r="A140" s="178" t="n">
        <v>2</v>
      </c>
      <c r="B140" s="179" t="s">
        <v>831</v>
      </c>
      <c r="C140" s="179"/>
      <c r="D140" s="180" t="n">
        <v>0</v>
      </c>
      <c r="E140" s="178" t="s">
        <v>832</v>
      </c>
    </row>
    <row r="141" customFormat="false" ht="15" hidden="false" customHeight="true" outlineLevel="0" collapsed="false">
      <c r="A141" s="20" t="n">
        <v>3</v>
      </c>
      <c r="B141" s="176" t="s">
        <v>833</v>
      </c>
      <c r="C141" s="176"/>
      <c r="D141" s="177" t="n">
        <v>0</v>
      </c>
      <c r="E141" s="20" t="s">
        <v>832</v>
      </c>
    </row>
    <row r="143" customFormat="false" ht="15" hidden="false" customHeight="true" outlineLevel="0" collapsed="false">
      <c r="A143" s="181" t="s">
        <v>834</v>
      </c>
      <c r="B143" s="181"/>
      <c r="C143" s="181"/>
      <c r="D143" s="181"/>
      <c r="E143" s="181"/>
    </row>
    <row r="144" customFormat="false" ht="15" hidden="false" customHeight="true" outlineLevel="0" collapsed="false">
      <c r="A144" s="182" t="s">
        <v>46</v>
      </c>
      <c r="B144" s="183" t="s">
        <v>835</v>
      </c>
      <c r="C144" s="183" t="s">
        <v>660</v>
      </c>
      <c r="D144" s="183" t="s">
        <v>836</v>
      </c>
      <c r="E144" s="183"/>
    </row>
    <row r="145" customFormat="false" ht="15" hidden="false" customHeight="true" outlineLevel="0" collapsed="false">
      <c r="A145" s="20" t="n">
        <v>1</v>
      </c>
      <c r="B145" s="184" t="n">
        <v>45978</v>
      </c>
      <c r="C145" s="21" t="s">
        <v>143</v>
      </c>
      <c r="D145" s="152" t="n">
        <v>70</v>
      </c>
      <c r="E145" s="173"/>
    </row>
    <row r="146" customFormat="false" ht="15" hidden="false" customHeight="true" outlineLevel="0" collapsed="false">
      <c r="A146" s="178" t="n">
        <v>2</v>
      </c>
      <c r="B146" s="185" t="n">
        <v>45978</v>
      </c>
      <c r="C146" s="186" t="s">
        <v>184</v>
      </c>
      <c r="D146" s="187" t="n">
        <v>50</v>
      </c>
      <c r="E146" s="188"/>
    </row>
    <row r="147" customFormat="false" ht="15" hidden="false" customHeight="true" outlineLevel="0" collapsed="false">
      <c r="A147" s="20" t="n">
        <v>3</v>
      </c>
      <c r="B147" s="184" t="n">
        <v>45978</v>
      </c>
      <c r="C147" s="21" t="s">
        <v>205</v>
      </c>
      <c r="D147" s="152" t="n">
        <v>70</v>
      </c>
      <c r="E147" s="173"/>
    </row>
    <row r="148" customFormat="false" ht="15" hidden="false" customHeight="true" outlineLevel="0" collapsed="false">
      <c r="A148" s="178" t="n">
        <v>4</v>
      </c>
      <c r="B148" s="185" t="n">
        <v>45979</v>
      </c>
      <c r="C148" s="186" t="s">
        <v>143</v>
      </c>
      <c r="D148" s="187" t="n">
        <v>32.5</v>
      </c>
      <c r="E148" s="188"/>
    </row>
    <row r="149" customFormat="false" ht="15" hidden="false" customHeight="true" outlineLevel="0" collapsed="false">
      <c r="A149" s="20" t="n">
        <v>5</v>
      </c>
      <c r="B149" s="184" t="n">
        <v>45979</v>
      </c>
      <c r="C149" s="21" t="s">
        <v>184</v>
      </c>
      <c r="D149" s="152" t="n">
        <v>122.5</v>
      </c>
      <c r="E149" s="173"/>
    </row>
    <row r="150" customFormat="false" ht="15" hidden="false" customHeight="true" outlineLevel="0" collapsed="false">
      <c r="A150" s="178" t="n">
        <v>6</v>
      </c>
      <c r="B150" s="185" t="n">
        <v>45979</v>
      </c>
      <c r="C150" s="186" t="s">
        <v>204</v>
      </c>
      <c r="D150" s="187" t="n">
        <v>70</v>
      </c>
      <c r="E150" s="188"/>
    </row>
    <row r="151" customFormat="false" ht="15" hidden="false" customHeight="true" outlineLevel="0" collapsed="false">
      <c r="A151" s="20" t="n">
        <v>7</v>
      </c>
      <c r="B151" s="184" t="n">
        <v>45979</v>
      </c>
      <c r="C151" s="21" t="s">
        <v>205</v>
      </c>
      <c r="D151" s="152" t="n">
        <v>70</v>
      </c>
      <c r="E151" s="173"/>
    </row>
    <row r="152" customFormat="false" ht="15" hidden="false" customHeight="true" outlineLevel="0" collapsed="false">
      <c r="A152" s="178" t="n">
        <v>8</v>
      </c>
      <c r="B152" s="185" t="n">
        <v>45980</v>
      </c>
      <c r="C152" s="186" t="s">
        <v>161</v>
      </c>
      <c r="D152" s="187" t="n">
        <v>102</v>
      </c>
      <c r="E152" s="188"/>
    </row>
    <row r="153" customFormat="false" ht="15" hidden="false" customHeight="true" outlineLevel="0" collapsed="false">
      <c r="A153" s="20" t="n">
        <v>9</v>
      </c>
      <c r="B153" s="184" t="n">
        <v>45980</v>
      </c>
      <c r="C153" s="21" t="s">
        <v>174</v>
      </c>
      <c r="D153" s="152" t="n">
        <v>187</v>
      </c>
      <c r="E153" s="173"/>
    </row>
    <row r="154" customFormat="false" ht="15" hidden="false" customHeight="true" outlineLevel="0" collapsed="false">
      <c r="A154" s="189" t="s">
        <v>837</v>
      </c>
      <c r="B154" s="189"/>
      <c r="C154" s="189"/>
      <c r="D154" s="190" t="n">
        <v>774</v>
      </c>
      <c r="E154" s="191"/>
    </row>
    <row r="157" customFormat="false" ht="39.75" hidden="false" customHeight="true" outlineLevel="0" collapsed="false">
      <c r="A157" s="174" t="s">
        <v>848</v>
      </c>
      <c r="B157" s="174"/>
      <c r="C157" s="174"/>
      <c r="D157" s="174"/>
      <c r="E157" s="174"/>
    </row>
    <row r="158" customFormat="false" ht="15" hidden="false" customHeight="true" outlineLevel="0" collapsed="false">
      <c r="A158" s="175" t="s">
        <v>828</v>
      </c>
      <c r="B158" s="175"/>
      <c r="C158" s="175"/>
      <c r="D158" s="175"/>
      <c r="E158" s="175"/>
    </row>
    <row r="159" customFormat="false" ht="15" hidden="false" customHeight="true" outlineLevel="0" collapsed="false">
      <c r="A159" s="20" t="n">
        <v>1</v>
      </c>
      <c r="B159" s="176" t="s">
        <v>829</v>
      </c>
      <c r="C159" s="176"/>
      <c r="D159" s="177" t="n">
        <v>1452.5</v>
      </c>
      <c r="E159" s="20" t="s">
        <v>849</v>
      </c>
    </row>
    <row r="160" customFormat="false" ht="15" hidden="false" customHeight="true" outlineLevel="0" collapsed="false">
      <c r="A160" s="178" t="n">
        <v>2</v>
      </c>
      <c r="B160" s="179" t="s">
        <v>831</v>
      </c>
      <c r="C160" s="179"/>
      <c r="D160" s="180" t="n">
        <v>0</v>
      </c>
      <c r="E160" s="178" t="s">
        <v>832</v>
      </c>
    </row>
    <row r="161" customFormat="false" ht="15" hidden="false" customHeight="true" outlineLevel="0" collapsed="false">
      <c r="A161" s="20" t="n">
        <v>3</v>
      </c>
      <c r="B161" s="176" t="s">
        <v>833</v>
      </c>
      <c r="C161" s="176"/>
      <c r="D161" s="177" t="n">
        <v>0</v>
      </c>
      <c r="E161" s="20" t="s">
        <v>832</v>
      </c>
    </row>
    <row r="163" customFormat="false" ht="15" hidden="false" customHeight="true" outlineLevel="0" collapsed="false">
      <c r="A163" s="181" t="s">
        <v>834</v>
      </c>
      <c r="B163" s="181"/>
      <c r="C163" s="181"/>
      <c r="D163" s="181"/>
      <c r="E163" s="181"/>
    </row>
    <row r="164" customFormat="false" ht="15" hidden="false" customHeight="true" outlineLevel="0" collapsed="false">
      <c r="A164" s="182" t="s">
        <v>46</v>
      </c>
      <c r="B164" s="183" t="s">
        <v>835</v>
      </c>
      <c r="C164" s="183" t="s">
        <v>660</v>
      </c>
      <c r="D164" s="183" t="s">
        <v>836</v>
      </c>
      <c r="E164" s="183"/>
    </row>
    <row r="165" customFormat="false" ht="15" hidden="false" customHeight="true" outlineLevel="0" collapsed="false">
      <c r="A165" s="20" t="n">
        <v>1</v>
      </c>
      <c r="B165" s="184" t="n">
        <v>45985</v>
      </c>
      <c r="C165" s="21" t="s">
        <v>143</v>
      </c>
      <c r="D165" s="152" t="n">
        <v>237.5</v>
      </c>
      <c r="E165" s="173"/>
    </row>
    <row r="166" customFormat="false" ht="15" hidden="false" customHeight="true" outlineLevel="0" collapsed="false">
      <c r="A166" s="178" t="n">
        <v>2</v>
      </c>
      <c r="B166" s="185" t="n">
        <v>45986</v>
      </c>
      <c r="C166" s="186" t="s">
        <v>143</v>
      </c>
      <c r="D166" s="187" t="n">
        <v>100</v>
      </c>
      <c r="E166" s="188"/>
    </row>
    <row r="167" customFormat="false" ht="15" hidden="false" customHeight="true" outlineLevel="0" collapsed="false">
      <c r="A167" s="20" t="n">
        <v>3</v>
      </c>
      <c r="B167" s="184" t="n">
        <v>45986</v>
      </c>
      <c r="C167" s="21" t="s">
        <v>144</v>
      </c>
      <c r="D167" s="152" t="n">
        <v>35</v>
      </c>
      <c r="E167" s="173"/>
    </row>
    <row r="168" customFormat="false" ht="15" hidden="false" customHeight="true" outlineLevel="0" collapsed="false">
      <c r="A168" s="178" t="n">
        <v>4</v>
      </c>
      <c r="B168" s="185" t="n">
        <v>45986</v>
      </c>
      <c r="C168" s="186" t="s">
        <v>184</v>
      </c>
      <c r="D168" s="187" t="n">
        <v>50</v>
      </c>
      <c r="E168" s="188"/>
    </row>
    <row r="169" customFormat="false" ht="15" hidden="false" customHeight="true" outlineLevel="0" collapsed="false">
      <c r="A169" s="20" t="n">
        <v>5</v>
      </c>
      <c r="B169" s="184" t="n">
        <v>45986</v>
      </c>
      <c r="C169" s="21" t="s">
        <v>204</v>
      </c>
      <c r="D169" s="152" t="n">
        <v>140</v>
      </c>
      <c r="E169" s="173"/>
    </row>
    <row r="170" customFormat="false" ht="15" hidden="false" customHeight="true" outlineLevel="0" collapsed="false">
      <c r="A170" s="178" t="n">
        <v>6</v>
      </c>
      <c r="B170" s="185" t="n">
        <v>45987</v>
      </c>
      <c r="C170" s="186" t="s">
        <v>143</v>
      </c>
      <c r="D170" s="187" t="n">
        <v>80</v>
      </c>
      <c r="E170" s="188"/>
    </row>
    <row r="171" customFormat="false" ht="15" hidden="false" customHeight="true" outlineLevel="0" collapsed="false">
      <c r="A171" s="20" t="n">
        <v>7</v>
      </c>
      <c r="B171" s="184" t="n">
        <v>45987</v>
      </c>
      <c r="C171" s="21" t="s">
        <v>183</v>
      </c>
      <c r="D171" s="152" t="n">
        <v>140</v>
      </c>
      <c r="E171" s="173"/>
    </row>
    <row r="172" customFormat="false" ht="15" hidden="false" customHeight="true" outlineLevel="0" collapsed="false">
      <c r="A172" s="178" t="n">
        <v>8</v>
      </c>
      <c r="B172" s="185" t="n">
        <v>45987</v>
      </c>
      <c r="C172" s="186" t="s">
        <v>184</v>
      </c>
      <c r="D172" s="187" t="n">
        <v>75</v>
      </c>
      <c r="E172" s="188"/>
    </row>
    <row r="173" customFormat="false" ht="15" hidden="false" customHeight="true" outlineLevel="0" collapsed="false">
      <c r="A173" s="20" t="n">
        <v>9</v>
      </c>
      <c r="B173" s="184" t="n">
        <v>45988</v>
      </c>
      <c r="C173" s="21" t="s">
        <v>143</v>
      </c>
      <c r="D173" s="152" t="n">
        <v>145</v>
      </c>
      <c r="E173" s="173"/>
    </row>
    <row r="174" customFormat="false" ht="15" hidden="false" customHeight="true" outlineLevel="0" collapsed="false">
      <c r="A174" s="178" t="n">
        <v>10</v>
      </c>
      <c r="B174" s="185" t="n">
        <v>45988</v>
      </c>
      <c r="C174" s="186" t="s">
        <v>184</v>
      </c>
      <c r="D174" s="187" t="n">
        <v>100</v>
      </c>
      <c r="E174" s="188"/>
    </row>
    <row r="175" customFormat="false" ht="15" hidden="false" customHeight="true" outlineLevel="0" collapsed="false">
      <c r="A175" s="20" t="n">
        <v>11</v>
      </c>
      <c r="B175" s="184" t="n">
        <v>45989</v>
      </c>
      <c r="C175" s="21" t="s">
        <v>144</v>
      </c>
      <c r="D175" s="152" t="n">
        <v>70</v>
      </c>
      <c r="E175" s="173"/>
    </row>
    <row r="176" customFormat="false" ht="15" hidden="false" customHeight="true" outlineLevel="0" collapsed="false">
      <c r="A176" s="178" t="n">
        <v>12</v>
      </c>
      <c r="B176" s="185" t="n">
        <v>45989</v>
      </c>
      <c r="C176" s="186" t="s">
        <v>204</v>
      </c>
      <c r="D176" s="187" t="n">
        <v>280</v>
      </c>
      <c r="E176" s="188"/>
    </row>
    <row r="177" customFormat="false" ht="15" hidden="false" customHeight="true" outlineLevel="0" collapsed="false">
      <c r="A177" s="189" t="s">
        <v>837</v>
      </c>
      <c r="B177" s="189"/>
      <c r="C177" s="189"/>
      <c r="D177" s="190" t="n">
        <v>1452.5</v>
      </c>
      <c r="E177" s="191"/>
    </row>
    <row r="180" customFormat="false" ht="39.75" hidden="false" customHeight="true" outlineLevel="0" collapsed="false">
      <c r="A180" s="174" t="s">
        <v>850</v>
      </c>
      <c r="B180" s="174"/>
      <c r="C180" s="174"/>
      <c r="D180" s="174"/>
      <c r="E180" s="174"/>
    </row>
    <row r="181" customFormat="false" ht="15" hidden="false" customHeight="true" outlineLevel="0" collapsed="false">
      <c r="A181" s="175" t="s">
        <v>828</v>
      </c>
      <c r="B181" s="175"/>
      <c r="C181" s="175"/>
      <c r="D181" s="175"/>
      <c r="E181" s="175"/>
    </row>
    <row r="182" customFormat="false" ht="15" hidden="false" customHeight="true" outlineLevel="0" collapsed="false">
      <c r="A182" s="20" t="n">
        <v>1</v>
      </c>
      <c r="B182" s="176" t="s">
        <v>829</v>
      </c>
      <c r="C182" s="176"/>
      <c r="D182" s="177" t="n">
        <v>1184.5</v>
      </c>
      <c r="E182" s="20" t="s">
        <v>851</v>
      </c>
    </row>
    <row r="183" customFormat="false" ht="15" hidden="false" customHeight="true" outlineLevel="0" collapsed="false">
      <c r="A183" s="178" t="n">
        <v>2</v>
      </c>
      <c r="B183" s="179" t="s">
        <v>831</v>
      </c>
      <c r="C183" s="179"/>
      <c r="D183" s="180" t="n">
        <v>0</v>
      </c>
      <c r="E183" s="178" t="s">
        <v>832</v>
      </c>
    </row>
    <row r="184" customFormat="false" ht="15" hidden="false" customHeight="true" outlineLevel="0" collapsed="false">
      <c r="A184" s="20" t="n">
        <v>3</v>
      </c>
      <c r="B184" s="176" t="s">
        <v>833</v>
      </c>
      <c r="C184" s="176"/>
      <c r="D184" s="177" t="n">
        <v>0</v>
      </c>
      <c r="E184" s="20" t="s">
        <v>832</v>
      </c>
    </row>
    <row r="186" customFormat="false" ht="15" hidden="false" customHeight="true" outlineLevel="0" collapsed="false">
      <c r="A186" s="181" t="s">
        <v>834</v>
      </c>
      <c r="B186" s="181"/>
      <c r="C186" s="181"/>
      <c r="D186" s="181"/>
      <c r="E186" s="181"/>
    </row>
    <row r="187" customFormat="false" ht="15" hidden="false" customHeight="true" outlineLevel="0" collapsed="false">
      <c r="A187" s="182" t="s">
        <v>46</v>
      </c>
      <c r="B187" s="183" t="s">
        <v>835</v>
      </c>
      <c r="C187" s="183" t="s">
        <v>660</v>
      </c>
      <c r="D187" s="183" t="s">
        <v>836</v>
      </c>
      <c r="E187" s="183"/>
    </row>
    <row r="188" customFormat="false" ht="15" hidden="false" customHeight="true" outlineLevel="0" collapsed="false">
      <c r="A188" s="20" t="n">
        <v>1</v>
      </c>
      <c r="B188" s="184" t="n">
        <v>45992</v>
      </c>
      <c r="C188" s="21" t="s">
        <v>143</v>
      </c>
      <c r="D188" s="152" t="n">
        <v>63.5</v>
      </c>
      <c r="E188" s="173"/>
    </row>
    <row r="189" customFormat="false" ht="15" hidden="false" customHeight="true" outlineLevel="0" collapsed="false">
      <c r="A189" s="178" t="n">
        <v>2</v>
      </c>
      <c r="B189" s="185" t="n">
        <v>45992</v>
      </c>
      <c r="C189" s="186" t="s">
        <v>183</v>
      </c>
      <c r="D189" s="187" t="n">
        <v>210</v>
      </c>
      <c r="E189" s="188"/>
    </row>
    <row r="190" customFormat="false" ht="15" hidden="false" customHeight="true" outlineLevel="0" collapsed="false">
      <c r="A190" s="20" t="n">
        <v>3</v>
      </c>
      <c r="B190" s="184" t="n">
        <v>45992</v>
      </c>
      <c r="C190" s="21" t="s">
        <v>221</v>
      </c>
      <c r="D190" s="152" t="n">
        <v>70</v>
      </c>
      <c r="E190" s="173"/>
    </row>
    <row r="191" customFormat="false" ht="15" hidden="false" customHeight="true" outlineLevel="0" collapsed="false">
      <c r="A191" s="178" t="n">
        <v>4</v>
      </c>
      <c r="B191" s="185" t="n">
        <v>45993</v>
      </c>
      <c r="C191" s="186" t="s">
        <v>143</v>
      </c>
      <c r="D191" s="187" t="n">
        <v>142.5</v>
      </c>
      <c r="E191" s="188"/>
    </row>
    <row r="192" customFormat="false" ht="15" hidden="false" customHeight="true" outlineLevel="0" collapsed="false">
      <c r="A192" s="20" t="n">
        <v>5</v>
      </c>
      <c r="B192" s="184" t="n">
        <v>45993</v>
      </c>
      <c r="C192" s="21" t="s">
        <v>184</v>
      </c>
      <c r="D192" s="152" t="n">
        <v>100</v>
      </c>
      <c r="E192" s="173"/>
    </row>
    <row r="193" customFormat="false" ht="15" hidden="false" customHeight="true" outlineLevel="0" collapsed="false">
      <c r="A193" s="178" t="n">
        <v>6</v>
      </c>
      <c r="B193" s="185" t="n">
        <v>45994</v>
      </c>
      <c r="C193" s="186" t="s">
        <v>143</v>
      </c>
      <c r="D193" s="187" t="n">
        <v>77.5</v>
      </c>
      <c r="E193" s="188"/>
    </row>
    <row r="194" customFormat="false" ht="15" hidden="false" customHeight="true" outlineLevel="0" collapsed="false">
      <c r="A194" s="20" t="n">
        <v>7</v>
      </c>
      <c r="B194" s="184" t="n">
        <v>45994</v>
      </c>
      <c r="C194" s="21" t="s">
        <v>184</v>
      </c>
      <c r="D194" s="152" t="n">
        <v>75</v>
      </c>
      <c r="E194" s="173"/>
    </row>
    <row r="195" customFormat="false" ht="15" hidden="false" customHeight="true" outlineLevel="0" collapsed="false">
      <c r="A195" s="178" t="n">
        <v>8</v>
      </c>
      <c r="B195" s="185" t="n">
        <v>45994</v>
      </c>
      <c r="C195" s="186" t="s">
        <v>222</v>
      </c>
      <c r="D195" s="187" t="n">
        <v>70</v>
      </c>
      <c r="E195" s="188"/>
    </row>
    <row r="196" customFormat="false" ht="15" hidden="false" customHeight="true" outlineLevel="0" collapsed="false">
      <c r="A196" s="20" t="n">
        <v>9</v>
      </c>
      <c r="B196" s="184" t="n">
        <v>45994</v>
      </c>
      <c r="C196" s="21" t="s">
        <v>221</v>
      </c>
      <c r="D196" s="152" t="n">
        <v>70</v>
      </c>
      <c r="E196" s="173"/>
    </row>
    <row r="197" customFormat="false" ht="15" hidden="false" customHeight="true" outlineLevel="0" collapsed="false">
      <c r="A197" s="178" t="n">
        <v>10</v>
      </c>
      <c r="B197" s="185" t="n">
        <v>45995</v>
      </c>
      <c r="C197" s="186" t="s">
        <v>169</v>
      </c>
      <c r="D197" s="187" t="n">
        <v>26</v>
      </c>
      <c r="E197" s="188"/>
    </row>
    <row r="198" customFormat="false" ht="15" hidden="false" customHeight="true" outlineLevel="0" collapsed="false">
      <c r="A198" s="20" t="n">
        <v>11</v>
      </c>
      <c r="B198" s="184" t="n">
        <v>45995</v>
      </c>
      <c r="C198" s="21" t="s">
        <v>222</v>
      </c>
      <c r="D198" s="152" t="n">
        <v>70</v>
      </c>
      <c r="E198" s="173"/>
    </row>
    <row r="199" customFormat="false" ht="15" hidden="false" customHeight="true" outlineLevel="0" collapsed="false">
      <c r="A199" s="178" t="n">
        <v>12</v>
      </c>
      <c r="B199" s="185" t="n">
        <v>45995</v>
      </c>
      <c r="C199" s="186" t="s">
        <v>203</v>
      </c>
      <c r="D199" s="187" t="n">
        <v>70</v>
      </c>
      <c r="E199" s="188"/>
    </row>
    <row r="200" customFormat="false" ht="15" hidden="false" customHeight="true" outlineLevel="0" collapsed="false">
      <c r="A200" s="20" t="n">
        <v>13</v>
      </c>
      <c r="B200" s="184" t="n">
        <v>45996</v>
      </c>
      <c r="C200" s="21" t="s">
        <v>222</v>
      </c>
      <c r="D200" s="152" t="n">
        <v>70</v>
      </c>
      <c r="E200" s="173"/>
    </row>
    <row r="201" customFormat="false" ht="15" hidden="false" customHeight="true" outlineLevel="0" collapsed="false">
      <c r="A201" s="178" t="n">
        <v>14</v>
      </c>
      <c r="B201" s="185" t="n">
        <v>45996</v>
      </c>
      <c r="C201" s="186" t="s">
        <v>221</v>
      </c>
      <c r="D201" s="187" t="n">
        <v>70</v>
      </c>
      <c r="E201" s="188"/>
    </row>
    <row r="202" customFormat="false" ht="15" hidden="false" customHeight="true" outlineLevel="0" collapsed="false">
      <c r="A202" s="189" t="s">
        <v>837</v>
      </c>
      <c r="B202" s="189"/>
      <c r="C202" s="189"/>
      <c r="D202" s="190" t="n">
        <v>1184.5</v>
      </c>
      <c r="E202" s="191"/>
    </row>
    <row r="205" customFormat="false" ht="39.75" hidden="false" customHeight="true" outlineLevel="0" collapsed="false">
      <c r="A205" s="174" t="s">
        <v>852</v>
      </c>
      <c r="B205" s="174"/>
      <c r="C205" s="174"/>
      <c r="D205" s="174"/>
      <c r="E205" s="174"/>
    </row>
    <row r="206" customFormat="false" ht="15" hidden="false" customHeight="true" outlineLevel="0" collapsed="false">
      <c r="A206" s="175" t="s">
        <v>828</v>
      </c>
      <c r="B206" s="175"/>
      <c r="C206" s="175"/>
      <c r="D206" s="175"/>
      <c r="E206" s="175"/>
    </row>
    <row r="207" customFormat="false" ht="15" hidden="false" customHeight="true" outlineLevel="0" collapsed="false">
      <c r="A207" s="20" t="n">
        <v>1</v>
      </c>
      <c r="B207" s="176" t="s">
        <v>829</v>
      </c>
      <c r="C207" s="176"/>
      <c r="D207" s="177" t="n">
        <v>848.5</v>
      </c>
      <c r="E207" s="20" t="s">
        <v>853</v>
      </c>
    </row>
    <row r="208" customFormat="false" ht="15" hidden="false" customHeight="true" outlineLevel="0" collapsed="false">
      <c r="A208" s="178" t="n">
        <v>2</v>
      </c>
      <c r="B208" s="179" t="s">
        <v>831</v>
      </c>
      <c r="C208" s="179"/>
      <c r="D208" s="180" t="n">
        <v>0</v>
      </c>
      <c r="E208" s="178" t="s">
        <v>832</v>
      </c>
    </row>
    <row r="209" customFormat="false" ht="15" hidden="false" customHeight="true" outlineLevel="0" collapsed="false">
      <c r="A209" s="20" t="n">
        <v>3</v>
      </c>
      <c r="B209" s="176" t="s">
        <v>833</v>
      </c>
      <c r="C209" s="176"/>
      <c r="D209" s="177" t="n">
        <v>0</v>
      </c>
      <c r="E209" s="20" t="s">
        <v>832</v>
      </c>
    </row>
    <row r="211" customFormat="false" ht="15" hidden="false" customHeight="true" outlineLevel="0" collapsed="false">
      <c r="A211" s="181" t="s">
        <v>834</v>
      </c>
      <c r="B211" s="181"/>
      <c r="C211" s="181"/>
      <c r="D211" s="181"/>
      <c r="E211" s="181"/>
    </row>
    <row r="212" customFormat="false" ht="15" hidden="false" customHeight="true" outlineLevel="0" collapsed="false">
      <c r="A212" s="182" t="s">
        <v>46</v>
      </c>
      <c r="B212" s="183" t="s">
        <v>835</v>
      </c>
      <c r="C212" s="183" t="s">
        <v>660</v>
      </c>
      <c r="D212" s="183" t="s">
        <v>836</v>
      </c>
      <c r="E212" s="183"/>
    </row>
    <row r="213" customFormat="false" ht="15" hidden="false" customHeight="true" outlineLevel="0" collapsed="false">
      <c r="A213" s="20" t="n">
        <v>1</v>
      </c>
      <c r="B213" s="184" t="n">
        <v>45999</v>
      </c>
      <c r="C213" s="21" t="s">
        <v>143</v>
      </c>
      <c r="D213" s="152" t="n">
        <v>107.5</v>
      </c>
      <c r="E213" s="173"/>
    </row>
    <row r="214" customFormat="false" ht="15" hidden="false" customHeight="true" outlineLevel="0" collapsed="false">
      <c r="A214" s="178" t="n">
        <v>2</v>
      </c>
      <c r="B214" s="185" t="n">
        <v>45999</v>
      </c>
      <c r="C214" s="186" t="s">
        <v>146</v>
      </c>
      <c r="D214" s="187" t="n">
        <v>18</v>
      </c>
      <c r="E214" s="188"/>
    </row>
    <row r="215" customFormat="false" ht="15" hidden="false" customHeight="true" outlineLevel="0" collapsed="false">
      <c r="A215" s="20" t="n">
        <v>3</v>
      </c>
      <c r="B215" s="184" t="n">
        <v>45999</v>
      </c>
      <c r="C215" s="21" t="s">
        <v>147</v>
      </c>
      <c r="D215" s="152" t="n">
        <v>18</v>
      </c>
      <c r="E215" s="173"/>
    </row>
    <row r="216" customFormat="false" ht="15" hidden="false" customHeight="true" outlineLevel="0" collapsed="false">
      <c r="A216" s="178" t="n">
        <v>4</v>
      </c>
      <c r="B216" s="185" t="n">
        <v>45999</v>
      </c>
      <c r="C216" s="186" t="s">
        <v>184</v>
      </c>
      <c r="D216" s="187" t="n">
        <v>75</v>
      </c>
      <c r="E216" s="188"/>
    </row>
    <row r="217" customFormat="false" ht="15" hidden="false" customHeight="true" outlineLevel="0" collapsed="false">
      <c r="A217" s="20" t="n">
        <v>5</v>
      </c>
      <c r="B217" s="184" t="n">
        <v>46000</v>
      </c>
      <c r="C217" s="21" t="s">
        <v>144</v>
      </c>
      <c r="D217" s="152" t="n">
        <v>140</v>
      </c>
      <c r="E217" s="173"/>
    </row>
    <row r="218" customFormat="false" ht="15" hidden="false" customHeight="true" outlineLevel="0" collapsed="false">
      <c r="A218" s="178" t="n">
        <v>6</v>
      </c>
      <c r="B218" s="185" t="n">
        <v>46000</v>
      </c>
      <c r="C218" s="186" t="s">
        <v>222</v>
      </c>
      <c r="D218" s="187" t="n">
        <v>70</v>
      </c>
      <c r="E218" s="188"/>
    </row>
    <row r="219" customFormat="false" ht="15" hidden="false" customHeight="true" outlineLevel="0" collapsed="false">
      <c r="A219" s="20" t="n">
        <v>7</v>
      </c>
      <c r="B219" s="184" t="n">
        <v>46000</v>
      </c>
      <c r="C219" s="21" t="s">
        <v>205</v>
      </c>
      <c r="D219" s="152" t="n">
        <v>140</v>
      </c>
      <c r="E219" s="173"/>
    </row>
    <row r="220" customFormat="false" ht="15" hidden="false" customHeight="true" outlineLevel="0" collapsed="false">
      <c r="A220" s="178" t="n">
        <v>8</v>
      </c>
      <c r="B220" s="185" t="n">
        <v>46002</v>
      </c>
      <c r="C220" s="186" t="s">
        <v>155</v>
      </c>
      <c r="D220" s="187" t="n">
        <v>35</v>
      </c>
      <c r="E220" s="188"/>
    </row>
    <row r="221" customFormat="false" ht="15" hidden="false" customHeight="true" outlineLevel="0" collapsed="false">
      <c r="A221" s="20" t="n">
        <v>9</v>
      </c>
      <c r="B221" s="184" t="n">
        <v>46002</v>
      </c>
      <c r="C221" s="21" t="s">
        <v>190</v>
      </c>
      <c r="D221" s="152" t="n">
        <v>35</v>
      </c>
      <c r="E221" s="173"/>
    </row>
    <row r="222" customFormat="false" ht="15" hidden="false" customHeight="true" outlineLevel="0" collapsed="false">
      <c r="A222" s="178" t="n">
        <v>10</v>
      </c>
      <c r="B222" s="185" t="n">
        <v>46002</v>
      </c>
      <c r="C222" s="186" t="s">
        <v>204</v>
      </c>
      <c r="D222" s="187" t="n">
        <v>70</v>
      </c>
      <c r="E222" s="188"/>
    </row>
    <row r="223" customFormat="false" ht="15" hidden="false" customHeight="true" outlineLevel="0" collapsed="false">
      <c r="A223" s="20" t="n">
        <v>11</v>
      </c>
      <c r="B223" s="184" t="n">
        <v>46002</v>
      </c>
      <c r="C223" s="21" t="s">
        <v>206</v>
      </c>
      <c r="D223" s="152" t="n">
        <v>70</v>
      </c>
      <c r="E223" s="173"/>
    </row>
    <row r="224" customFormat="false" ht="15" hidden="false" customHeight="true" outlineLevel="0" collapsed="false">
      <c r="A224" s="178" t="n">
        <v>12</v>
      </c>
      <c r="B224" s="185" t="n">
        <v>46002</v>
      </c>
      <c r="C224" s="186" t="s">
        <v>207</v>
      </c>
      <c r="D224" s="187" t="n">
        <v>70</v>
      </c>
      <c r="E224" s="188"/>
    </row>
    <row r="225" customFormat="false" ht="15" hidden="false" customHeight="true" outlineLevel="0" collapsed="false">
      <c r="A225" s="189" t="s">
        <v>837</v>
      </c>
      <c r="B225" s="189"/>
      <c r="C225" s="189"/>
      <c r="D225" s="190" t="n">
        <v>848.5</v>
      </c>
      <c r="E225" s="191"/>
    </row>
    <row r="228" customFormat="false" ht="39.75" hidden="false" customHeight="true" outlineLevel="0" collapsed="false">
      <c r="A228" s="174" t="s">
        <v>854</v>
      </c>
      <c r="B228" s="174"/>
      <c r="C228" s="174"/>
      <c r="D228" s="174"/>
      <c r="E228" s="174"/>
    </row>
    <row r="229" customFormat="false" ht="15" hidden="false" customHeight="true" outlineLevel="0" collapsed="false">
      <c r="A229" s="175" t="s">
        <v>828</v>
      </c>
      <c r="B229" s="175"/>
      <c r="C229" s="175"/>
      <c r="D229" s="175"/>
      <c r="E229" s="175"/>
    </row>
    <row r="230" customFormat="false" ht="15" hidden="false" customHeight="true" outlineLevel="0" collapsed="false">
      <c r="A230" s="20" t="n">
        <v>1</v>
      </c>
      <c r="B230" s="176" t="s">
        <v>829</v>
      </c>
      <c r="C230" s="176"/>
      <c r="D230" s="177" t="n">
        <v>1313.5</v>
      </c>
      <c r="E230" s="20" t="s">
        <v>839</v>
      </c>
    </row>
    <row r="231" customFormat="false" ht="15" hidden="false" customHeight="true" outlineLevel="0" collapsed="false">
      <c r="A231" s="178" t="n">
        <v>2</v>
      </c>
      <c r="B231" s="179" t="s">
        <v>831</v>
      </c>
      <c r="C231" s="179"/>
      <c r="D231" s="180" t="n">
        <v>103.2</v>
      </c>
      <c r="E231" s="178" t="s">
        <v>843</v>
      </c>
    </row>
    <row r="232" customFormat="false" ht="15" hidden="false" customHeight="true" outlineLevel="0" collapsed="false">
      <c r="A232" s="20" t="n">
        <v>3</v>
      </c>
      <c r="B232" s="176" t="s">
        <v>833</v>
      </c>
      <c r="C232" s="176"/>
      <c r="D232" s="177" t="n">
        <v>0</v>
      </c>
      <c r="E232" s="20" t="s">
        <v>832</v>
      </c>
    </row>
    <row r="234" customFormat="false" ht="15" hidden="false" customHeight="true" outlineLevel="0" collapsed="false">
      <c r="A234" s="181" t="s">
        <v>834</v>
      </c>
      <c r="B234" s="181"/>
      <c r="C234" s="181"/>
      <c r="D234" s="181"/>
      <c r="E234" s="181"/>
    </row>
    <row r="235" customFormat="false" ht="15" hidden="false" customHeight="true" outlineLevel="0" collapsed="false">
      <c r="A235" s="182" t="s">
        <v>46</v>
      </c>
      <c r="B235" s="183" t="s">
        <v>835</v>
      </c>
      <c r="C235" s="183" t="s">
        <v>660</v>
      </c>
      <c r="D235" s="183" t="s">
        <v>836</v>
      </c>
      <c r="E235" s="183"/>
    </row>
    <row r="236" customFormat="false" ht="15" hidden="false" customHeight="true" outlineLevel="0" collapsed="false">
      <c r="A236" s="20" t="n">
        <v>1</v>
      </c>
      <c r="B236" s="184" t="n">
        <v>46006</v>
      </c>
      <c r="C236" s="21" t="s">
        <v>179</v>
      </c>
      <c r="D236" s="152" t="n">
        <v>70</v>
      </c>
      <c r="E236" s="173"/>
    </row>
    <row r="237" customFormat="false" ht="15" hidden="false" customHeight="true" outlineLevel="0" collapsed="false">
      <c r="A237" s="178" t="n">
        <v>2</v>
      </c>
      <c r="B237" s="185" t="n">
        <v>46006</v>
      </c>
      <c r="C237" s="186" t="s">
        <v>183</v>
      </c>
      <c r="D237" s="187" t="n">
        <v>70</v>
      </c>
      <c r="E237" s="188"/>
    </row>
    <row r="238" customFormat="false" ht="15" hidden="false" customHeight="true" outlineLevel="0" collapsed="false">
      <c r="A238" s="20" t="n">
        <v>3</v>
      </c>
      <c r="B238" s="184" t="n">
        <v>46006</v>
      </c>
      <c r="C238" s="21" t="s">
        <v>206</v>
      </c>
      <c r="D238" s="152" t="n">
        <v>140</v>
      </c>
      <c r="E238" s="173"/>
    </row>
    <row r="239" customFormat="false" ht="15" hidden="false" customHeight="true" outlineLevel="0" collapsed="false">
      <c r="A239" s="178" t="n">
        <v>4</v>
      </c>
      <c r="B239" s="185" t="n">
        <v>46007</v>
      </c>
      <c r="C239" s="186" t="s">
        <v>142</v>
      </c>
      <c r="D239" s="187" t="n">
        <v>18</v>
      </c>
      <c r="E239" s="188"/>
    </row>
    <row r="240" customFormat="false" ht="15" hidden="false" customHeight="true" outlineLevel="0" collapsed="false">
      <c r="A240" s="20" t="n">
        <v>5</v>
      </c>
      <c r="B240" s="184" t="n">
        <v>46007</v>
      </c>
      <c r="C240" s="21" t="s">
        <v>179</v>
      </c>
      <c r="D240" s="152" t="n">
        <v>70</v>
      </c>
      <c r="E240" s="173"/>
    </row>
    <row r="241" customFormat="false" ht="15" hidden="false" customHeight="true" outlineLevel="0" collapsed="false">
      <c r="A241" s="178" t="n">
        <v>6</v>
      </c>
      <c r="B241" s="185" t="n">
        <v>46007</v>
      </c>
      <c r="C241" s="186" t="s">
        <v>183</v>
      </c>
      <c r="D241" s="187" t="n">
        <v>140</v>
      </c>
      <c r="E241" s="188"/>
    </row>
    <row r="242" customFormat="false" ht="15" hidden="false" customHeight="true" outlineLevel="0" collapsed="false">
      <c r="A242" s="20" t="n">
        <v>7</v>
      </c>
      <c r="B242" s="184" t="n">
        <v>46007</v>
      </c>
      <c r="C242" s="21" t="s">
        <v>206</v>
      </c>
      <c r="D242" s="152" t="n">
        <v>70</v>
      </c>
      <c r="E242" s="173"/>
    </row>
    <row r="243" customFormat="false" ht="15" hidden="false" customHeight="true" outlineLevel="0" collapsed="false">
      <c r="A243" s="178" t="n">
        <v>8</v>
      </c>
      <c r="B243" s="185" t="n">
        <v>46007</v>
      </c>
      <c r="C243" s="186" t="s">
        <v>220</v>
      </c>
      <c r="D243" s="187" t="n">
        <v>18</v>
      </c>
      <c r="E243" s="188"/>
    </row>
    <row r="244" customFormat="false" ht="15" hidden="false" customHeight="true" outlineLevel="0" collapsed="false">
      <c r="A244" s="20" t="n">
        <v>9</v>
      </c>
      <c r="B244" s="184" t="n">
        <v>46008</v>
      </c>
      <c r="C244" s="21" t="s">
        <v>155</v>
      </c>
      <c r="D244" s="152" t="n">
        <v>70</v>
      </c>
      <c r="E244" s="173"/>
    </row>
    <row r="245" customFormat="false" ht="15" hidden="false" customHeight="true" outlineLevel="0" collapsed="false">
      <c r="A245" s="178" t="n">
        <v>10</v>
      </c>
      <c r="B245" s="185" t="n">
        <v>46008</v>
      </c>
      <c r="C245" s="186" t="s">
        <v>204</v>
      </c>
      <c r="D245" s="187" t="n">
        <v>140</v>
      </c>
      <c r="E245" s="188"/>
    </row>
    <row r="246" customFormat="false" ht="15" hidden="false" customHeight="true" outlineLevel="0" collapsed="false">
      <c r="A246" s="20" t="n">
        <v>11</v>
      </c>
      <c r="B246" s="184" t="n">
        <v>46008</v>
      </c>
      <c r="C246" s="21" t="s">
        <v>209</v>
      </c>
      <c r="D246" s="152" t="n">
        <v>70</v>
      </c>
      <c r="E246" s="173"/>
    </row>
    <row r="247" customFormat="false" ht="15" hidden="false" customHeight="true" outlineLevel="0" collapsed="false">
      <c r="A247" s="178" t="n">
        <v>12</v>
      </c>
      <c r="B247" s="185" t="n">
        <v>46009</v>
      </c>
      <c r="C247" s="186" t="s">
        <v>174</v>
      </c>
      <c r="D247" s="187" t="n">
        <v>255</v>
      </c>
      <c r="E247" s="188"/>
    </row>
    <row r="248" customFormat="false" ht="15" hidden="false" customHeight="true" outlineLevel="0" collapsed="false">
      <c r="A248" s="20" t="n">
        <v>13</v>
      </c>
      <c r="B248" s="184" t="n">
        <v>46010</v>
      </c>
      <c r="C248" s="21" t="s">
        <v>143</v>
      </c>
      <c r="D248" s="152" t="n">
        <v>182.5</v>
      </c>
      <c r="E248" s="173"/>
    </row>
    <row r="249" customFormat="false" ht="15" hidden="false" customHeight="true" outlineLevel="0" collapsed="false">
      <c r="A249" s="189" t="s">
        <v>837</v>
      </c>
      <c r="B249" s="189"/>
      <c r="C249" s="189"/>
      <c r="D249" s="190" t="n">
        <v>1313.5</v>
      </c>
      <c r="E249" s="191"/>
    </row>
    <row r="251" customFormat="false" ht="15" hidden="false" customHeight="true" outlineLevel="0" collapsed="false">
      <c r="A251" s="192" t="s">
        <v>855</v>
      </c>
      <c r="B251" s="192"/>
      <c r="C251" s="192"/>
      <c r="D251" s="192"/>
      <c r="E251" s="192"/>
    </row>
    <row r="252" customFormat="false" ht="15" hidden="false" customHeight="true" outlineLevel="0" collapsed="false">
      <c r="A252" s="182" t="s">
        <v>46</v>
      </c>
      <c r="B252" s="183"/>
      <c r="C252" s="183" t="s">
        <v>660</v>
      </c>
      <c r="D252" s="183" t="s">
        <v>856</v>
      </c>
      <c r="E252" s="183"/>
    </row>
    <row r="253" customFormat="false" ht="15" hidden="false" customHeight="true" outlineLevel="0" collapsed="false">
      <c r="A253" s="20" t="n">
        <v>1</v>
      </c>
      <c r="B253" s="173"/>
      <c r="C253" s="21" t="s">
        <v>206</v>
      </c>
      <c r="D253" s="152" t="n">
        <v>31.8</v>
      </c>
      <c r="E253" s="173"/>
    </row>
    <row r="254" customFormat="false" ht="15" hidden="false" customHeight="true" outlineLevel="0" collapsed="false">
      <c r="A254" s="178" t="n">
        <v>2</v>
      </c>
      <c r="B254" s="188"/>
      <c r="C254" s="186" t="s">
        <v>857</v>
      </c>
      <c r="D254" s="187" t="n">
        <v>30</v>
      </c>
      <c r="E254" s="188"/>
    </row>
    <row r="255" customFormat="false" ht="15" hidden="false" customHeight="true" outlineLevel="0" collapsed="false">
      <c r="A255" s="20" t="n">
        <v>3</v>
      </c>
      <c r="B255" s="173"/>
      <c r="C255" s="21" t="s">
        <v>179</v>
      </c>
      <c r="D255" s="152" t="n">
        <v>15</v>
      </c>
      <c r="E255" s="173"/>
    </row>
    <row r="256" customFormat="false" ht="15" hidden="false" customHeight="true" outlineLevel="0" collapsed="false">
      <c r="A256" s="178" t="n">
        <v>4</v>
      </c>
      <c r="B256" s="188"/>
      <c r="C256" s="186" t="s">
        <v>858</v>
      </c>
      <c r="D256" s="187" t="n">
        <v>15</v>
      </c>
      <c r="E256" s="188"/>
    </row>
    <row r="257" customFormat="false" ht="15" hidden="false" customHeight="true" outlineLevel="0" collapsed="false">
      <c r="A257" s="20" t="n">
        <v>5</v>
      </c>
      <c r="B257" s="173"/>
      <c r="C257" s="21" t="s">
        <v>155</v>
      </c>
      <c r="D257" s="152" t="n">
        <v>4.8</v>
      </c>
      <c r="E257" s="173"/>
    </row>
    <row r="258" customFormat="false" ht="15" hidden="false" customHeight="true" outlineLevel="0" collapsed="false">
      <c r="A258" s="178" t="n">
        <v>6</v>
      </c>
      <c r="B258" s="188"/>
      <c r="C258" s="186" t="s">
        <v>204</v>
      </c>
      <c r="D258" s="187" t="n">
        <v>3.6</v>
      </c>
      <c r="E258" s="188"/>
    </row>
    <row r="259" customFormat="false" ht="15" hidden="false" customHeight="true" outlineLevel="0" collapsed="false">
      <c r="A259" s="20" t="n">
        <v>7</v>
      </c>
      <c r="B259" s="173"/>
      <c r="C259" s="21" t="s">
        <v>859</v>
      </c>
      <c r="D259" s="152" t="n">
        <v>1.8</v>
      </c>
      <c r="E259" s="173"/>
    </row>
    <row r="260" customFormat="false" ht="15" hidden="false" customHeight="true" outlineLevel="0" collapsed="false">
      <c r="A260" s="178" t="n">
        <v>8</v>
      </c>
      <c r="B260" s="188"/>
      <c r="C260" s="186" t="s">
        <v>183</v>
      </c>
      <c r="D260" s="187" t="n">
        <v>1.2</v>
      </c>
      <c r="E260" s="188"/>
    </row>
    <row r="261" customFormat="false" ht="15" hidden="false" customHeight="true" outlineLevel="0" collapsed="false">
      <c r="A261" s="189" t="s">
        <v>837</v>
      </c>
      <c r="B261" s="189"/>
      <c r="C261" s="189"/>
      <c r="D261" s="190" t="n">
        <v>103.2</v>
      </c>
      <c r="E261" s="191"/>
    </row>
    <row r="264" customFormat="false" ht="39.75" hidden="false" customHeight="true" outlineLevel="0" collapsed="false">
      <c r="A264" s="174" t="s">
        <v>860</v>
      </c>
      <c r="B264" s="174"/>
      <c r="C264" s="174"/>
      <c r="D264" s="174"/>
      <c r="E264" s="174"/>
    </row>
    <row r="265" customFormat="false" ht="15" hidden="false" customHeight="true" outlineLevel="0" collapsed="false">
      <c r="A265" s="175" t="s">
        <v>828</v>
      </c>
      <c r="B265" s="175"/>
      <c r="C265" s="175"/>
      <c r="D265" s="175"/>
      <c r="E265" s="175"/>
    </row>
    <row r="266" customFormat="false" ht="15" hidden="false" customHeight="true" outlineLevel="0" collapsed="false">
      <c r="A266" s="20" t="n">
        <v>1</v>
      </c>
      <c r="B266" s="176" t="s">
        <v>829</v>
      </c>
      <c r="C266" s="176"/>
      <c r="D266" s="177" t="n">
        <v>630</v>
      </c>
      <c r="E266" s="20" t="s">
        <v>851</v>
      </c>
    </row>
    <row r="267" customFormat="false" ht="15" hidden="false" customHeight="true" outlineLevel="0" collapsed="false">
      <c r="A267" s="178" t="n">
        <v>2</v>
      </c>
      <c r="B267" s="179" t="s">
        <v>831</v>
      </c>
      <c r="C267" s="179"/>
      <c r="D267" s="180" t="n">
        <v>25.3</v>
      </c>
      <c r="E267" s="178" t="s">
        <v>847</v>
      </c>
    </row>
    <row r="268" customFormat="false" ht="15" hidden="false" customHeight="true" outlineLevel="0" collapsed="false">
      <c r="A268" s="20" t="n">
        <v>3</v>
      </c>
      <c r="B268" s="176" t="s">
        <v>833</v>
      </c>
      <c r="C268" s="176"/>
      <c r="D268" s="177" t="n">
        <v>0</v>
      </c>
      <c r="E268" s="20" t="s">
        <v>832</v>
      </c>
    </row>
    <row r="270" customFormat="false" ht="15" hidden="false" customHeight="true" outlineLevel="0" collapsed="false">
      <c r="A270" s="181" t="s">
        <v>834</v>
      </c>
      <c r="B270" s="181"/>
      <c r="C270" s="181"/>
      <c r="D270" s="181"/>
      <c r="E270" s="181"/>
    </row>
    <row r="271" customFormat="false" ht="15" hidden="false" customHeight="true" outlineLevel="0" collapsed="false">
      <c r="A271" s="182" t="s">
        <v>46</v>
      </c>
      <c r="B271" s="183" t="s">
        <v>835</v>
      </c>
      <c r="C271" s="183" t="s">
        <v>660</v>
      </c>
      <c r="D271" s="183" t="s">
        <v>836</v>
      </c>
      <c r="E271" s="183"/>
    </row>
    <row r="272" customFormat="false" ht="15" hidden="false" customHeight="true" outlineLevel="0" collapsed="false">
      <c r="A272" s="20" t="n">
        <v>1</v>
      </c>
      <c r="B272" s="184" t="n">
        <v>46013</v>
      </c>
      <c r="C272" s="21" t="s">
        <v>144</v>
      </c>
      <c r="D272" s="152" t="n">
        <v>140</v>
      </c>
      <c r="E272" s="173"/>
    </row>
    <row r="273" customFormat="false" ht="15" hidden="false" customHeight="true" outlineLevel="0" collapsed="false">
      <c r="A273" s="178" t="n">
        <v>2</v>
      </c>
      <c r="B273" s="185" t="n">
        <v>46013</v>
      </c>
      <c r="C273" s="186" t="s">
        <v>183</v>
      </c>
      <c r="D273" s="187" t="n">
        <v>140</v>
      </c>
      <c r="E273" s="188"/>
    </row>
    <row r="274" customFormat="false" ht="15" hidden="false" customHeight="true" outlineLevel="0" collapsed="false">
      <c r="A274" s="20" t="n">
        <v>3</v>
      </c>
      <c r="B274" s="184" t="n">
        <v>46014</v>
      </c>
      <c r="C274" s="21" t="s">
        <v>150</v>
      </c>
      <c r="D274" s="152" t="n">
        <v>70</v>
      </c>
      <c r="E274" s="173"/>
    </row>
    <row r="275" customFormat="false" ht="15" hidden="false" customHeight="true" outlineLevel="0" collapsed="false">
      <c r="A275" s="178" t="n">
        <v>4</v>
      </c>
      <c r="B275" s="185" t="n">
        <v>46014</v>
      </c>
      <c r="C275" s="186" t="s">
        <v>151</v>
      </c>
      <c r="D275" s="187" t="n">
        <v>70</v>
      </c>
      <c r="E275" s="188"/>
    </row>
    <row r="276" customFormat="false" ht="15" hidden="false" customHeight="true" outlineLevel="0" collapsed="false">
      <c r="A276" s="20" t="n">
        <v>5</v>
      </c>
      <c r="B276" s="184" t="n">
        <v>46015</v>
      </c>
      <c r="C276" s="21" t="s">
        <v>149</v>
      </c>
      <c r="D276" s="152" t="n">
        <v>70</v>
      </c>
      <c r="E276" s="173"/>
    </row>
    <row r="277" customFormat="false" ht="15" hidden="false" customHeight="true" outlineLevel="0" collapsed="false">
      <c r="A277" s="178" t="n">
        <v>6</v>
      </c>
      <c r="B277" s="185" t="n">
        <v>46015</v>
      </c>
      <c r="C277" s="186" t="s">
        <v>153</v>
      </c>
      <c r="D277" s="187" t="n">
        <v>70</v>
      </c>
      <c r="E277" s="188"/>
    </row>
    <row r="278" customFormat="false" ht="15" hidden="false" customHeight="true" outlineLevel="0" collapsed="false">
      <c r="A278" s="20" t="n">
        <v>7</v>
      </c>
      <c r="B278" s="184" t="n">
        <v>46015</v>
      </c>
      <c r="C278" s="21" t="s">
        <v>154</v>
      </c>
      <c r="D278" s="152" t="n">
        <v>70</v>
      </c>
      <c r="E278" s="173"/>
    </row>
    <row r="279" customFormat="false" ht="15" hidden="false" customHeight="true" outlineLevel="0" collapsed="false">
      <c r="A279" s="189" t="s">
        <v>837</v>
      </c>
      <c r="B279" s="189"/>
      <c r="C279" s="189"/>
      <c r="D279" s="190" t="n">
        <v>630</v>
      </c>
      <c r="E279" s="191"/>
    </row>
    <row r="281" customFormat="false" ht="15" hidden="false" customHeight="true" outlineLevel="0" collapsed="false">
      <c r="A281" s="192" t="s">
        <v>855</v>
      </c>
      <c r="B281" s="192"/>
      <c r="C281" s="192"/>
      <c r="D281" s="192"/>
      <c r="E281" s="192"/>
    </row>
    <row r="282" customFormat="false" ht="15" hidden="false" customHeight="true" outlineLevel="0" collapsed="false">
      <c r="A282" s="182" t="s">
        <v>46</v>
      </c>
      <c r="B282" s="183"/>
      <c r="C282" s="183" t="s">
        <v>660</v>
      </c>
      <c r="D282" s="183" t="s">
        <v>856</v>
      </c>
      <c r="E282" s="183"/>
    </row>
    <row r="283" customFormat="false" ht="15" hidden="false" customHeight="true" outlineLevel="0" collapsed="false">
      <c r="A283" s="20" t="n">
        <v>1</v>
      </c>
      <c r="B283" s="173"/>
      <c r="C283" s="21" t="s">
        <v>677</v>
      </c>
      <c r="D283" s="152" t="n">
        <v>5.4</v>
      </c>
      <c r="E283" s="173"/>
    </row>
    <row r="284" customFormat="false" ht="15" hidden="false" customHeight="true" outlineLevel="0" collapsed="false">
      <c r="A284" s="178" t="n">
        <v>2</v>
      </c>
      <c r="B284" s="188"/>
      <c r="C284" s="186" t="s">
        <v>206</v>
      </c>
      <c r="D284" s="187" t="n">
        <v>5.4</v>
      </c>
      <c r="E284" s="188"/>
    </row>
    <row r="285" customFormat="false" ht="15" hidden="false" customHeight="true" outlineLevel="0" collapsed="false">
      <c r="A285" s="20" t="n">
        <v>3</v>
      </c>
      <c r="B285" s="173"/>
      <c r="C285" s="21" t="s">
        <v>155</v>
      </c>
      <c r="D285" s="152" t="n">
        <v>4.8</v>
      </c>
      <c r="E285" s="173"/>
    </row>
    <row r="286" customFormat="false" ht="15" hidden="false" customHeight="true" outlineLevel="0" collapsed="false">
      <c r="A286" s="178" t="n">
        <v>4</v>
      </c>
      <c r="B286" s="188"/>
      <c r="C286" s="186" t="s">
        <v>678</v>
      </c>
      <c r="D286" s="187" t="n">
        <v>3.6</v>
      </c>
      <c r="E286" s="188"/>
    </row>
    <row r="287" customFormat="false" ht="15" hidden="false" customHeight="true" outlineLevel="0" collapsed="false">
      <c r="A287" s="20" t="n">
        <v>5</v>
      </c>
      <c r="B287" s="173"/>
      <c r="C287" s="21" t="s">
        <v>204</v>
      </c>
      <c r="D287" s="152" t="n">
        <v>3.6</v>
      </c>
      <c r="E287" s="173"/>
    </row>
    <row r="288" customFormat="false" ht="15" hidden="false" customHeight="true" outlineLevel="0" collapsed="false">
      <c r="A288" s="178" t="n">
        <v>6</v>
      </c>
      <c r="B288" s="188"/>
      <c r="C288" s="186" t="s">
        <v>221</v>
      </c>
      <c r="D288" s="187" t="n">
        <v>2.5</v>
      </c>
      <c r="E288" s="188"/>
    </row>
    <row r="289" customFormat="false" ht="15" hidden="false" customHeight="true" outlineLevel="0" collapsed="false">
      <c r="A289" s="189" t="s">
        <v>837</v>
      </c>
      <c r="B289" s="189"/>
      <c r="C289" s="189"/>
      <c r="D289" s="190" t="n">
        <v>25.3</v>
      </c>
      <c r="E289" s="191"/>
    </row>
    <row r="292" customFormat="false" ht="39.75" hidden="false" customHeight="true" outlineLevel="0" collapsed="false">
      <c r="A292" s="174" t="s">
        <v>861</v>
      </c>
      <c r="B292" s="174"/>
      <c r="C292" s="174"/>
      <c r="D292" s="174"/>
      <c r="E292" s="174"/>
    </row>
    <row r="293" customFormat="false" ht="15" hidden="false" customHeight="true" outlineLevel="0" collapsed="false">
      <c r="A293" s="175" t="s">
        <v>828</v>
      </c>
      <c r="B293" s="175"/>
      <c r="C293" s="175"/>
      <c r="D293" s="175"/>
      <c r="E293" s="175"/>
    </row>
    <row r="294" customFormat="false" ht="15" hidden="false" customHeight="true" outlineLevel="0" collapsed="false">
      <c r="A294" s="20" t="n">
        <v>1</v>
      </c>
      <c r="B294" s="176" t="s">
        <v>829</v>
      </c>
      <c r="C294" s="176"/>
      <c r="D294" s="177" t="n">
        <v>825</v>
      </c>
      <c r="E294" s="20" t="s">
        <v>841</v>
      </c>
    </row>
    <row r="295" customFormat="false" ht="15" hidden="false" customHeight="true" outlineLevel="0" collapsed="false">
      <c r="A295" s="178" t="n">
        <v>2</v>
      </c>
      <c r="B295" s="179" t="s">
        <v>831</v>
      </c>
      <c r="C295" s="179"/>
      <c r="D295" s="180" t="n">
        <v>137.2</v>
      </c>
      <c r="E295" s="178" t="s">
        <v>862</v>
      </c>
    </row>
    <row r="296" customFormat="false" ht="15" hidden="false" customHeight="true" outlineLevel="0" collapsed="false">
      <c r="A296" s="20" t="n">
        <v>3</v>
      </c>
      <c r="B296" s="176" t="s">
        <v>833</v>
      </c>
      <c r="C296" s="176"/>
      <c r="D296" s="177" t="n">
        <v>200</v>
      </c>
      <c r="E296" s="20" t="s">
        <v>863</v>
      </c>
    </row>
    <row r="298" customFormat="false" ht="15" hidden="false" customHeight="true" outlineLevel="0" collapsed="false">
      <c r="A298" s="181" t="s">
        <v>834</v>
      </c>
      <c r="B298" s="181"/>
      <c r="C298" s="181"/>
      <c r="D298" s="181"/>
      <c r="E298" s="181"/>
    </row>
    <row r="299" customFormat="false" ht="15" hidden="false" customHeight="true" outlineLevel="0" collapsed="false">
      <c r="A299" s="182" t="s">
        <v>46</v>
      </c>
      <c r="B299" s="183" t="s">
        <v>835</v>
      </c>
      <c r="C299" s="183" t="s">
        <v>660</v>
      </c>
      <c r="D299" s="183" t="s">
        <v>836</v>
      </c>
      <c r="E299" s="183"/>
    </row>
    <row r="300" customFormat="false" ht="15" hidden="false" customHeight="true" outlineLevel="0" collapsed="false">
      <c r="A300" s="20" t="n">
        <v>1</v>
      </c>
      <c r="B300" s="184" t="n">
        <v>46020</v>
      </c>
      <c r="C300" s="21" t="s">
        <v>204</v>
      </c>
      <c r="D300" s="152" t="n">
        <v>140</v>
      </c>
      <c r="E300" s="173"/>
    </row>
    <row r="301" customFormat="false" ht="15" hidden="false" customHeight="true" outlineLevel="0" collapsed="false">
      <c r="A301" s="178" t="n">
        <v>2</v>
      </c>
      <c r="B301" s="185" t="n">
        <v>46020</v>
      </c>
      <c r="C301" s="186" t="s">
        <v>205</v>
      </c>
      <c r="D301" s="187" t="n">
        <v>210</v>
      </c>
      <c r="E301" s="188"/>
    </row>
    <row r="302" customFormat="false" ht="15" hidden="false" customHeight="true" outlineLevel="0" collapsed="false">
      <c r="A302" s="20" t="n">
        <v>3</v>
      </c>
      <c r="B302" s="184" t="n">
        <v>46021</v>
      </c>
      <c r="C302" s="21" t="s">
        <v>159</v>
      </c>
      <c r="D302" s="152" t="n">
        <v>35</v>
      </c>
      <c r="E302" s="173"/>
    </row>
    <row r="303" customFormat="false" ht="15" hidden="false" customHeight="true" outlineLevel="0" collapsed="false">
      <c r="A303" s="178" t="n">
        <v>4</v>
      </c>
      <c r="B303" s="185" t="n">
        <v>46021</v>
      </c>
      <c r="C303" s="186" t="s">
        <v>193</v>
      </c>
      <c r="D303" s="187" t="n">
        <v>15</v>
      </c>
      <c r="E303" s="188"/>
    </row>
    <row r="304" customFormat="false" ht="15" hidden="false" customHeight="true" outlineLevel="0" collapsed="false">
      <c r="A304" s="20" t="n">
        <v>5</v>
      </c>
      <c r="B304" s="184" t="n">
        <v>46021</v>
      </c>
      <c r="C304" s="21" t="s">
        <v>195</v>
      </c>
      <c r="D304" s="152" t="n">
        <v>25</v>
      </c>
      <c r="E304" s="173"/>
    </row>
    <row r="305" customFormat="false" ht="15" hidden="false" customHeight="true" outlineLevel="0" collapsed="false">
      <c r="A305" s="178" t="n">
        <v>6</v>
      </c>
      <c r="B305" s="185" t="n">
        <v>46021</v>
      </c>
      <c r="C305" s="186" t="s">
        <v>206</v>
      </c>
      <c r="D305" s="187" t="n">
        <v>140</v>
      </c>
      <c r="E305" s="188"/>
    </row>
    <row r="306" customFormat="false" ht="15" hidden="false" customHeight="true" outlineLevel="0" collapsed="false">
      <c r="A306" s="20" t="n">
        <v>7</v>
      </c>
      <c r="B306" s="184" t="n">
        <v>46021</v>
      </c>
      <c r="C306" s="21" t="s">
        <v>219</v>
      </c>
      <c r="D306" s="152" t="n">
        <v>20</v>
      </c>
      <c r="E306" s="173"/>
    </row>
    <row r="307" customFormat="false" ht="15" hidden="false" customHeight="true" outlineLevel="0" collapsed="false">
      <c r="A307" s="178" t="n">
        <v>8</v>
      </c>
      <c r="B307" s="185" t="n">
        <v>46024</v>
      </c>
      <c r="C307" s="186" t="s">
        <v>143</v>
      </c>
      <c r="D307" s="187" t="n">
        <v>195</v>
      </c>
      <c r="E307" s="188"/>
    </row>
    <row r="308" customFormat="false" ht="15" hidden="false" customHeight="true" outlineLevel="0" collapsed="false">
      <c r="A308" s="20" t="n">
        <v>9</v>
      </c>
      <c r="B308" s="184" t="n">
        <v>46024</v>
      </c>
      <c r="C308" s="21" t="s">
        <v>215</v>
      </c>
      <c r="D308" s="152" t="n">
        <v>45</v>
      </c>
      <c r="E308" s="173"/>
    </row>
    <row r="309" customFormat="false" ht="15" hidden="false" customHeight="true" outlineLevel="0" collapsed="false">
      <c r="A309" s="189" t="s">
        <v>837</v>
      </c>
      <c r="B309" s="189"/>
      <c r="C309" s="189"/>
      <c r="D309" s="190" t="n">
        <v>825</v>
      </c>
      <c r="E309" s="191"/>
    </row>
    <row r="311" customFormat="false" ht="15" hidden="false" customHeight="true" outlineLevel="0" collapsed="false">
      <c r="A311" s="192" t="s">
        <v>855</v>
      </c>
      <c r="B311" s="192"/>
      <c r="C311" s="192"/>
      <c r="D311" s="192"/>
      <c r="E311" s="192"/>
    </row>
    <row r="312" customFormat="false" ht="15" hidden="false" customHeight="true" outlineLevel="0" collapsed="false">
      <c r="A312" s="182" t="s">
        <v>46</v>
      </c>
      <c r="B312" s="183"/>
      <c r="C312" s="183" t="s">
        <v>660</v>
      </c>
      <c r="D312" s="183" t="s">
        <v>856</v>
      </c>
      <c r="E312" s="183"/>
    </row>
    <row r="313" customFormat="false" ht="15" hidden="false" customHeight="true" outlineLevel="0" collapsed="false">
      <c r="A313" s="20" t="n">
        <v>1</v>
      </c>
      <c r="B313" s="173"/>
      <c r="C313" s="21" t="s">
        <v>183</v>
      </c>
      <c r="D313" s="152" t="n">
        <v>30.6</v>
      </c>
      <c r="E313" s="173"/>
    </row>
    <row r="314" customFormat="false" ht="15" hidden="false" customHeight="true" outlineLevel="0" collapsed="false">
      <c r="A314" s="178" t="n">
        <v>2</v>
      </c>
      <c r="B314" s="188"/>
      <c r="C314" s="186" t="s">
        <v>204</v>
      </c>
      <c r="D314" s="187" t="n">
        <v>30.6</v>
      </c>
      <c r="E314" s="188"/>
    </row>
    <row r="315" customFormat="false" ht="15" hidden="false" customHeight="true" outlineLevel="0" collapsed="false">
      <c r="A315" s="20" t="n">
        <v>3</v>
      </c>
      <c r="B315" s="173"/>
      <c r="C315" s="21" t="s">
        <v>205</v>
      </c>
      <c r="D315" s="152" t="n">
        <v>19.8</v>
      </c>
      <c r="E315" s="173"/>
    </row>
    <row r="316" customFormat="false" ht="15" hidden="false" customHeight="true" outlineLevel="0" collapsed="false">
      <c r="A316" s="178" t="n">
        <v>4</v>
      </c>
      <c r="B316" s="188"/>
      <c r="C316" s="186" t="s">
        <v>155</v>
      </c>
      <c r="D316" s="187" t="n">
        <v>19.2</v>
      </c>
      <c r="E316" s="188"/>
    </row>
    <row r="317" customFormat="false" ht="15" hidden="false" customHeight="true" outlineLevel="0" collapsed="false">
      <c r="A317" s="20" t="n">
        <v>5</v>
      </c>
      <c r="B317" s="173"/>
      <c r="C317" s="21" t="s">
        <v>144</v>
      </c>
      <c r="D317" s="152" t="n">
        <v>8</v>
      </c>
      <c r="E317" s="173"/>
    </row>
    <row r="318" customFormat="false" ht="15" hidden="false" customHeight="true" outlineLevel="0" collapsed="false">
      <c r="A318" s="178" t="n">
        <v>6</v>
      </c>
      <c r="B318" s="188"/>
      <c r="C318" s="186" t="s">
        <v>143</v>
      </c>
      <c r="D318" s="187" t="n">
        <v>6.2</v>
      </c>
      <c r="E318" s="188"/>
    </row>
    <row r="319" customFormat="false" ht="15" hidden="false" customHeight="true" outlineLevel="0" collapsed="false">
      <c r="A319" s="20" t="n">
        <v>7</v>
      </c>
      <c r="B319" s="173"/>
      <c r="C319" s="21" t="s">
        <v>184</v>
      </c>
      <c r="D319" s="152" t="n">
        <v>6.2</v>
      </c>
      <c r="E319" s="173"/>
    </row>
    <row r="320" customFormat="false" ht="15" hidden="false" customHeight="true" outlineLevel="0" collapsed="false">
      <c r="A320" s="178" t="n">
        <v>8</v>
      </c>
      <c r="B320" s="188"/>
      <c r="C320" s="186" t="s">
        <v>174</v>
      </c>
      <c r="D320" s="187" t="n">
        <v>4</v>
      </c>
      <c r="E320" s="188"/>
    </row>
    <row r="321" customFormat="false" ht="15" hidden="false" customHeight="true" outlineLevel="0" collapsed="false">
      <c r="A321" s="20" t="n">
        <v>9</v>
      </c>
      <c r="B321" s="173"/>
      <c r="C321" s="21" t="s">
        <v>206</v>
      </c>
      <c r="D321" s="152" t="n">
        <v>3.6</v>
      </c>
      <c r="E321" s="173"/>
    </row>
    <row r="322" customFormat="false" ht="15" hidden="false" customHeight="true" outlineLevel="0" collapsed="false">
      <c r="A322" s="178" t="n">
        <v>10</v>
      </c>
      <c r="B322" s="188"/>
      <c r="C322" s="186" t="s">
        <v>142</v>
      </c>
      <c r="D322" s="187" t="n">
        <v>3.5</v>
      </c>
      <c r="E322" s="188"/>
    </row>
    <row r="323" customFormat="false" ht="15" hidden="false" customHeight="true" outlineLevel="0" collapsed="false">
      <c r="A323" s="20" t="n">
        <v>11</v>
      </c>
      <c r="B323" s="173"/>
      <c r="C323" s="21" t="s">
        <v>179</v>
      </c>
      <c r="D323" s="152" t="n">
        <v>0.8</v>
      </c>
      <c r="E323" s="173"/>
    </row>
    <row r="324" customFormat="false" ht="15" hidden="false" customHeight="true" outlineLevel="0" collapsed="false">
      <c r="A324" s="178" t="n">
        <v>12</v>
      </c>
      <c r="B324" s="188"/>
      <c r="C324" s="186" t="s">
        <v>222</v>
      </c>
      <c r="D324" s="187" t="n">
        <v>0.8</v>
      </c>
      <c r="E324" s="188"/>
    </row>
    <row r="325" customFormat="false" ht="15" hidden="false" customHeight="true" outlineLevel="0" collapsed="false">
      <c r="A325" s="20" t="n">
        <v>13</v>
      </c>
      <c r="B325" s="173"/>
      <c r="C325" s="21" t="s">
        <v>221</v>
      </c>
      <c r="D325" s="152" t="n">
        <v>0.8</v>
      </c>
      <c r="E325" s="173"/>
    </row>
    <row r="326" customFormat="false" ht="15" hidden="false" customHeight="true" outlineLevel="0" collapsed="false">
      <c r="A326" s="178" t="n">
        <v>14</v>
      </c>
      <c r="B326" s="188"/>
      <c r="C326" s="186" t="s">
        <v>146</v>
      </c>
      <c r="D326" s="187" t="n">
        <v>0.5</v>
      </c>
      <c r="E326" s="188"/>
    </row>
    <row r="327" customFormat="false" ht="15" hidden="false" customHeight="true" outlineLevel="0" collapsed="false">
      <c r="A327" s="20" t="n">
        <v>15</v>
      </c>
      <c r="B327" s="173"/>
      <c r="C327" s="21" t="s">
        <v>147</v>
      </c>
      <c r="D327" s="152" t="n">
        <v>0.5</v>
      </c>
      <c r="E327" s="173"/>
    </row>
    <row r="328" customFormat="false" ht="15" hidden="false" customHeight="true" outlineLevel="0" collapsed="false">
      <c r="A328" s="178" t="n">
        <v>16</v>
      </c>
      <c r="B328" s="188"/>
      <c r="C328" s="186" t="s">
        <v>220</v>
      </c>
      <c r="D328" s="187" t="n">
        <v>0.5</v>
      </c>
      <c r="E328" s="188"/>
    </row>
    <row r="329" customFormat="false" ht="15" hidden="false" customHeight="true" outlineLevel="0" collapsed="false">
      <c r="A329" s="20" t="n">
        <v>17</v>
      </c>
      <c r="B329" s="173"/>
      <c r="C329" s="21" t="s">
        <v>145</v>
      </c>
      <c r="D329" s="152" t="n">
        <v>0.2</v>
      </c>
      <c r="E329" s="173"/>
    </row>
    <row r="330" customFormat="false" ht="15" hidden="false" customHeight="true" outlineLevel="0" collapsed="false">
      <c r="A330" s="178" t="n">
        <v>18</v>
      </c>
      <c r="B330" s="188"/>
      <c r="C330" s="186" t="s">
        <v>192</v>
      </c>
      <c r="D330" s="187" t="n">
        <v>0.2</v>
      </c>
      <c r="E330" s="188"/>
    </row>
    <row r="331" customFormat="false" ht="15" hidden="false" customHeight="true" outlineLevel="0" collapsed="false">
      <c r="A331" s="20" t="n">
        <v>19</v>
      </c>
      <c r="B331" s="173"/>
      <c r="C331" s="21" t="s">
        <v>148</v>
      </c>
      <c r="D331" s="152" t="n">
        <v>0.2</v>
      </c>
      <c r="E331" s="173"/>
    </row>
    <row r="332" customFormat="false" ht="15" hidden="false" customHeight="true" outlineLevel="0" collapsed="false">
      <c r="A332" s="178" t="n">
        <v>20</v>
      </c>
      <c r="B332" s="188"/>
      <c r="C332" s="186" t="s">
        <v>159</v>
      </c>
      <c r="D332" s="187" t="n">
        <v>0.2</v>
      </c>
      <c r="E332" s="188"/>
    </row>
    <row r="333" customFormat="false" ht="15" hidden="false" customHeight="true" outlineLevel="0" collapsed="false">
      <c r="A333" s="20" t="n">
        <v>21</v>
      </c>
      <c r="B333" s="173"/>
      <c r="C333" s="21" t="s">
        <v>186</v>
      </c>
      <c r="D333" s="152" t="n">
        <v>0.2</v>
      </c>
      <c r="E333" s="173"/>
    </row>
    <row r="334" customFormat="false" ht="15" hidden="false" customHeight="true" outlineLevel="0" collapsed="false">
      <c r="A334" s="178" t="n">
        <v>22</v>
      </c>
      <c r="B334" s="188"/>
      <c r="C334" s="186" t="s">
        <v>195</v>
      </c>
      <c r="D334" s="187" t="n">
        <v>0.2</v>
      </c>
      <c r="E334" s="188"/>
    </row>
    <row r="335" customFormat="false" ht="15" hidden="false" customHeight="true" outlineLevel="0" collapsed="false">
      <c r="A335" s="20" t="n">
        <v>23</v>
      </c>
      <c r="B335" s="173"/>
      <c r="C335" s="21" t="s">
        <v>219</v>
      </c>
      <c r="D335" s="152" t="n">
        <v>0.2</v>
      </c>
      <c r="E335" s="173"/>
    </row>
    <row r="336" customFormat="false" ht="15" hidden="false" customHeight="true" outlineLevel="0" collapsed="false">
      <c r="A336" s="189" t="s">
        <v>837</v>
      </c>
      <c r="B336" s="189"/>
      <c r="C336" s="189"/>
      <c r="D336" s="190" t="n">
        <v>137.2</v>
      </c>
      <c r="E336" s="191"/>
    </row>
    <row r="338" customFormat="false" ht="15" hidden="false" customHeight="true" outlineLevel="0" collapsed="false">
      <c r="A338" s="193" t="s">
        <v>864</v>
      </c>
      <c r="B338" s="193"/>
      <c r="C338" s="193"/>
      <c r="D338" s="193"/>
      <c r="E338" s="193"/>
    </row>
    <row r="339" customFormat="false" ht="15" hidden="false" customHeight="true" outlineLevel="0" collapsed="false">
      <c r="A339" s="182" t="s">
        <v>46</v>
      </c>
      <c r="B339" s="183" t="s">
        <v>835</v>
      </c>
      <c r="C339" s="183" t="s">
        <v>140</v>
      </c>
      <c r="D339" s="183" t="s">
        <v>865</v>
      </c>
      <c r="E339" s="183"/>
    </row>
    <row r="340" customFormat="false" ht="15" hidden="false" customHeight="true" outlineLevel="0" collapsed="false">
      <c r="A340" s="20" t="n">
        <v>1</v>
      </c>
      <c r="B340" s="184" t="n">
        <v>46025</v>
      </c>
      <c r="C340" s="21" t="s">
        <v>120</v>
      </c>
      <c r="D340" s="152" t="n">
        <v>200</v>
      </c>
      <c r="E340" s="173"/>
    </row>
    <row r="341" customFormat="false" ht="15" hidden="false" customHeight="true" outlineLevel="0" collapsed="false">
      <c r="A341" s="189" t="s">
        <v>837</v>
      </c>
      <c r="B341" s="189"/>
      <c r="C341" s="189"/>
      <c r="D341" s="190" t="n">
        <v>200</v>
      </c>
      <c r="E341" s="191"/>
    </row>
    <row r="343" customFormat="false" ht="39.75" hidden="false" customHeight="true" outlineLevel="0" collapsed="false">
      <c r="A343" s="174" t="s">
        <v>866</v>
      </c>
      <c r="B343" s="174"/>
      <c r="C343" s="174"/>
      <c r="D343" s="174"/>
      <c r="E343" s="174"/>
    </row>
    <row r="344" customFormat="false" ht="15" hidden="false" customHeight="true" outlineLevel="0" collapsed="false">
      <c r="A344" s="175" t="s">
        <v>828</v>
      </c>
      <c r="B344" s="175"/>
      <c r="C344" s="175"/>
      <c r="D344" s="175"/>
      <c r="E344" s="175"/>
    </row>
    <row r="345" customFormat="false" ht="15" hidden="false" customHeight="true" outlineLevel="0" collapsed="false">
      <c r="A345" s="20" t="n">
        <v>1</v>
      </c>
      <c r="B345" s="176" t="s">
        <v>829</v>
      </c>
      <c r="C345" s="176"/>
      <c r="D345" s="177" t="n">
        <v>740</v>
      </c>
      <c r="E345" s="20" t="s">
        <v>853</v>
      </c>
    </row>
    <row r="346" customFormat="false" ht="15" hidden="false" customHeight="true" outlineLevel="0" collapsed="false">
      <c r="A346" s="178" t="n">
        <v>2</v>
      </c>
      <c r="B346" s="179" t="s">
        <v>831</v>
      </c>
      <c r="C346" s="179"/>
      <c r="D346" s="180" t="n">
        <v>732.8</v>
      </c>
      <c r="E346" s="178" t="s">
        <v>867</v>
      </c>
    </row>
    <row r="347" customFormat="false" ht="15" hidden="false" customHeight="true" outlineLevel="0" collapsed="false">
      <c r="A347" s="20" t="n">
        <v>3</v>
      </c>
      <c r="B347" s="176" t="s">
        <v>833</v>
      </c>
      <c r="C347" s="176"/>
      <c r="D347" s="177" t="n">
        <v>2430</v>
      </c>
      <c r="E347" s="20" t="s">
        <v>868</v>
      </c>
    </row>
    <row r="349" customFormat="false" ht="15" hidden="false" customHeight="true" outlineLevel="0" collapsed="false">
      <c r="A349" s="181" t="s">
        <v>834</v>
      </c>
      <c r="B349" s="181"/>
      <c r="C349" s="181"/>
      <c r="D349" s="181"/>
      <c r="E349" s="181"/>
    </row>
    <row r="350" customFormat="false" ht="15" hidden="false" customHeight="true" outlineLevel="0" collapsed="false">
      <c r="A350" s="182" t="s">
        <v>46</v>
      </c>
      <c r="B350" s="183" t="s">
        <v>835</v>
      </c>
      <c r="C350" s="183" t="s">
        <v>660</v>
      </c>
      <c r="D350" s="183" t="s">
        <v>836</v>
      </c>
      <c r="E350" s="183"/>
    </row>
    <row r="351" customFormat="false" ht="15" hidden="false" customHeight="true" outlineLevel="0" collapsed="false">
      <c r="A351" s="20" t="n">
        <v>1</v>
      </c>
      <c r="B351" s="184" t="n">
        <v>46027</v>
      </c>
      <c r="C351" s="21" t="s">
        <v>144</v>
      </c>
      <c r="D351" s="152" t="n">
        <v>70</v>
      </c>
      <c r="E351" s="173"/>
    </row>
    <row r="352" customFormat="false" ht="15" hidden="false" customHeight="true" outlineLevel="0" collapsed="false">
      <c r="A352" s="178" t="n">
        <v>2</v>
      </c>
      <c r="B352" s="185" t="n">
        <v>46027</v>
      </c>
      <c r="C352" s="186" t="s">
        <v>179</v>
      </c>
      <c r="D352" s="187" t="n">
        <v>70</v>
      </c>
      <c r="E352" s="188"/>
    </row>
    <row r="353" customFormat="false" ht="15" hidden="false" customHeight="true" outlineLevel="0" collapsed="false">
      <c r="A353" s="20" t="n">
        <v>3</v>
      </c>
      <c r="B353" s="184" t="n">
        <v>46027</v>
      </c>
      <c r="C353" s="21" t="s">
        <v>183</v>
      </c>
      <c r="D353" s="152" t="n">
        <v>140</v>
      </c>
      <c r="E353" s="173"/>
    </row>
    <row r="354" customFormat="false" ht="15" hidden="false" customHeight="true" outlineLevel="0" collapsed="false">
      <c r="A354" s="178" t="n">
        <v>4</v>
      </c>
      <c r="B354" s="185" t="n">
        <v>46028</v>
      </c>
      <c r="C354" s="186" t="s">
        <v>148</v>
      </c>
      <c r="D354" s="187" t="n">
        <v>27.5</v>
      </c>
      <c r="E354" s="188"/>
    </row>
    <row r="355" customFormat="false" ht="15" hidden="false" customHeight="true" outlineLevel="0" collapsed="false">
      <c r="A355" s="20" t="n">
        <v>5</v>
      </c>
      <c r="B355" s="184" t="n">
        <v>46028</v>
      </c>
      <c r="C355" s="21" t="s">
        <v>159</v>
      </c>
      <c r="D355" s="152" t="n">
        <v>77.5</v>
      </c>
      <c r="E355" s="173"/>
    </row>
    <row r="356" customFormat="false" ht="15" hidden="false" customHeight="true" outlineLevel="0" collapsed="false">
      <c r="A356" s="178" t="n">
        <v>6</v>
      </c>
      <c r="B356" s="185" t="n">
        <v>46028</v>
      </c>
      <c r="C356" s="186" t="s">
        <v>160</v>
      </c>
      <c r="D356" s="187" t="n">
        <v>20</v>
      </c>
      <c r="E356" s="188"/>
    </row>
    <row r="357" customFormat="false" ht="15" hidden="false" customHeight="true" outlineLevel="0" collapsed="false">
      <c r="A357" s="20" t="n">
        <v>7</v>
      </c>
      <c r="B357" s="184" t="n">
        <v>46028</v>
      </c>
      <c r="C357" s="21" t="s">
        <v>193</v>
      </c>
      <c r="D357" s="152" t="n">
        <v>45</v>
      </c>
      <c r="E357" s="173"/>
    </row>
    <row r="358" customFormat="false" ht="15" hidden="false" customHeight="true" outlineLevel="0" collapsed="false">
      <c r="A358" s="178" t="n">
        <v>8</v>
      </c>
      <c r="B358" s="185" t="n">
        <v>46029</v>
      </c>
      <c r="C358" s="186" t="s">
        <v>145</v>
      </c>
      <c r="D358" s="187" t="n">
        <v>50</v>
      </c>
      <c r="E358" s="188"/>
    </row>
    <row r="359" customFormat="false" ht="15" hidden="false" customHeight="true" outlineLevel="0" collapsed="false">
      <c r="A359" s="20" t="n">
        <v>9</v>
      </c>
      <c r="B359" s="184" t="n">
        <v>46029</v>
      </c>
      <c r="C359" s="21" t="s">
        <v>192</v>
      </c>
      <c r="D359" s="152" t="n">
        <v>25</v>
      </c>
      <c r="E359" s="173"/>
    </row>
    <row r="360" customFormat="false" ht="15" hidden="false" customHeight="true" outlineLevel="0" collapsed="false">
      <c r="A360" s="178" t="n">
        <v>10</v>
      </c>
      <c r="B360" s="185" t="n">
        <v>46029</v>
      </c>
      <c r="C360" s="186" t="s">
        <v>195</v>
      </c>
      <c r="D360" s="187" t="n">
        <v>50</v>
      </c>
      <c r="E360" s="188"/>
    </row>
    <row r="361" customFormat="false" ht="15" hidden="false" customHeight="true" outlineLevel="0" collapsed="false">
      <c r="A361" s="20" t="n">
        <v>11</v>
      </c>
      <c r="B361" s="184" t="n">
        <v>46029</v>
      </c>
      <c r="C361" s="21" t="s">
        <v>219</v>
      </c>
      <c r="D361" s="152" t="n">
        <v>37.5</v>
      </c>
      <c r="E361" s="173"/>
    </row>
    <row r="362" customFormat="false" ht="15" hidden="false" customHeight="true" outlineLevel="0" collapsed="false">
      <c r="A362" s="178" t="n">
        <v>12</v>
      </c>
      <c r="B362" s="185" t="n">
        <v>46031</v>
      </c>
      <c r="C362" s="186" t="s">
        <v>212</v>
      </c>
      <c r="D362" s="187" t="n">
        <v>127.5</v>
      </c>
      <c r="E362" s="188"/>
    </row>
    <row r="363" customFormat="false" ht="15" hidden="false" customHeight="true" outlineLevel="0" collapsed="false">
      <c r="A363" s="189" t="s">
        <v>837</v>
      </c>
      <c r="B363" s="189"/>
      <c r="C363" s="189"/>
      <c r="D363" s="190" t="n">
        <v>740</v>
      </c>
      <c r="E363" s="191"/>
    </row>
    <row r="365" customFormat="false" ht="15" hidden="false" customHeight="true" outlineLevel="0" collapsed="false">
      <c r="A365" s="192" t="s">
        <v>855</v>
      </c>
      <c r="B365" s="192"/>
      <c r="C365" s="192"/>
      <c r="D365" s="192"/>
      <c r="E365" s="192"/>
    </row>
    <row r="366" customFormat="false" ht="15" hidden="false" customHeight="true" outlineLevel="0" collapsed="false">
      <c r="A366" s="182" t="s">
        <v>46</v>
      </c>
      <c r="B366" s="183"/>
      <c r="C366" s="183" t="s">
        <v>660</v>
      </c>
      <c r="D366" s="183" t="s">
        <v>856</v>
      </c>
      <c r="E366" s="183"/>
    </row>
    <row r="367" customFormat="false" ht="15" hidden="false" customHeight="true" outlineLevel="0" collapsed="false">
      <c r="A367" s="20" t="n">
        <v>1</v>
      </c>
      <c r="B367" s="173"/>
      <c r="C367" s="21" t="s">
        <v>183</v>
      </c>
      <c r="D367" s="152" t="n">
        <v>216</v>
      </c>
      <c r="E367" s="173"/>
    </row>
    <row r="368" customFormat="false" ht="15" hidden="false" customHeight="true" outlineLevel="0" collapsed="false">
      <c r="A368" s="178" t="n">
        <v>2</v>
      </c>
      <c r="B368" s="188"/>
      <c r="C368" s="186" t="s">
        <v>204</v>
      </c>
      <c r="D368" s="187" t="n">
        <v>162</v>
      </c>
      <c r="E368" s="188"/>
    </row>
    <row r="369" customFormat="false" ht="15" hidden="false" customHeight="true" outlineLevel="0" collapsed="false">
      <c r="A369" s="20" t="n">
        <v>3</v>
      </c>
      <c r="B369" s="173"/>
      <c r="C369" s="21" t="s">
        <v>144</v>
      </c>
      <c r="D369" s="152" t="n">
        <v>81</v>
      </c>
      <c r="E369" s="173"/>
    </row>
    <row r="370" customFormat="false" ht="15" hidden="false" customHeight="true" outlineLevel="0" collapsed="false">
      <c r="A370" s="178" t="n">
        <v>4</v>
      </c>
      <c r="B370" s="188"/>
      <c r="C370" s="186" t="s">
        <v>205</v>
      </c>
      <c r="D370" s="187" t="n">
        <v>81</v>
      </c>
      <c r="E370" s="188"/>
    </row>
    <row r="371" customFormat="false" ht="15" hidden="false" customHeight="true" outlineLevel="0" collapsed="false">
      <c r="A371" s="20" t="n">
        <v>5</v>
      </c>
      <c r="B371" s="173"/>
      <c r="C371" s="21" t="s">
        <v>143</v>
      </c>
      <c r="D371" s="152" t="n">
        <v>40.5</v>
      </c>
      <c r="E371" s="173"/>
    </row>
    <row r="372" customFormat="false" ht="15" hidden="false" customHeight="true" outlineLevel="0" collapsed="false">
      <c r="A372" s="178" t="n">
        <v>6</v>
      </c>
      <c r="B372" s="188"/>
      <c r="C372" s="186" t="s">
        <v>184</v>
      </c>
      <c r="D372" s="187" t="n">
        <v>30.5</v>
      </c>
      <c r="E372" s="188"/>
    </row>
    <row r="373" customFormat="false" ht="15" hidden="false" customHeight="true" outlineLevel="0" collapsed="false">
      <c r="A373" s="20" t="n">
        <v>7</v>
      </c>
      <c r="B373" s="173"/>
      <c r="C373" s="21" t="s">
        <v>155</v>
      </c>
      <c r="D373" s="152" t="n">
        <v>28.8</v>
      </c>
      <c r="E373" s="173"/>
    </row>
    <row r="374" customFormat="false" ht="15" hidden="false" customHeight="true" outlineLevel="0" collapsed="false">
      <c r="A374" s="178" t="n">
        <v>8</v>
      </c>
      <c r="B374" s="188"/>
      <c r="C374" s="186" t="s">
        <v>174</v>
      </c>
      <c r="D374" s="187" t="n">
        <v>15</v>
      </c>
      <c r="E374" s="188"/>
    </row>
    <row r="375" customFormat="false" ht="15" hidden="false" customHeight="true" outlineLevel="0" collapsed="false">
      <c r="A375" s="20" t="n">
        <v>9</v>
      </c>
      <c r="B375" s="173"/>
      <c r="C375" s="21" t="s">
        <v>206</v>
      </c>
      <c r="D375" s="152" t="n">
        <v>10.8</v>
      </c>
      <c r="E375" s="173"/>
    </row>
    <row r="376" customFormat="false" ht="15" hidden="false" customHeight="true" outlineLevel="0" collapsed="false">
      <c r="A376" s="178" t="n">
        <v>10</v>
      </c>
      <c r="B376" s="188"/>
      <c r="C376" s="186" t="s">
        <v>147</v>
      </c>
      <c r="D376" s="187" t="n">
        <v>10.8</v>
      </c>
      <c r="E376" s="188"/>
    </row>
    <row r="377" customFormat="false" ht="15" hidden="false" customHeight="true" outlineLevel="0" collapsed="false">
      <c r="A377" s="20" t="n">
        <v>11</v>
      </c>
      <c r="B377" s="173"/>
      <c r="C377" s="113" t="s">
        <v>267</v>
      </c>
      <c r="D377" s="152" t="n">
        <v>7.2</v>
      </c>
      <c r="E377" s="173"/>
    </row>
    <row r="378" customFormat="false" ht="15" hidden="false" customHeight="true" outlineLevel="0" collapsed="false">
      <c r="A378" s="178" t="n">
        <v>12</v>
      </c>
      <c r="B378" s="188"/>
      <c r="C378" s="186" t="s">
        <v>207</v>
      </c>
      <c r="D378" s="187" t="n">
        <v>7</v>
      </c>
      <c r="E378" s="188"/>
    </row>
    <row r="379" customFormat="false" ht="15" hidden="false" customHeight="true" outlineLevel="0" collapsed="false">
      <c r="A379" s="20" t="n">
        <v>13</v>
      </c>
      <c r="B379" s="173"/>
      <c r="C379" s="21" t="s">
        <v>220</v>
      </c>
      <c r="D379" s="152" t="n">
        <v>6.8</v>
      </c>
      <c r="E379" s="173"/>
    </row>
    <row r="380" customFormat="false" ht="15" hidden="false" customHeight="true" outlineLevel="0" collapsed="false">
      <c r="A380" s="178" t="n">
        <v>14</v>
      </c>
      <c r="B380" s="188"/>
      <c r="C380" s="186" t="s">
        <v>146</v>
      </c>
      <c r="D380" s="187" t="n">
        <v>5.8</v>
      </c>
      <c r="E380" s="188"/>
    </row>
    <row r="381" customFormat="false" ht="15" hidden="false" customHeight="true" outlineLevel="0" collapsed="false">
      <c r="A381" s="20" t="n">
        <v>15</v>
      </c>
      <c r="B381" s="173"/>
      <c r="C381" s="21" t="s">
        <v>222</v>
      </c>
      <c r="D381" s="152" t="n">
        <v>4.8</v>
      </c>
      <c r="E381" s="173"/>
    </row>
    <row r="382" customFormat="false" ht="15" hidden="false" customHeight="true" outlineLevel="0" collapsed="false">
      <c r="A382" s="178" t="n">
        <v>16</v>
      </c>
      <c r="B382" s="188"/>
      <c r="C382" s="186" t="s">
        <v>142</v>
      </c>
      <c r="D382" s="187" t="n">
        <v>4.8</v>
      </c>
      <c r="E382" s="188"/>
    </row>
    <row r="383" customFormat="false" ht="15" hidden="false" customHeight="true" outlineLevel="0" collapsed="false">
      <c r="A383" s="20" t="n">
        <v>17</v>
      </c>
      <c r="B383" s="173"/>
      <c r="C383" s="21" t="s">
        <v>161</v>
      </c>
      <c r="D383" s="152" t="n">
        <v>4</v>
      </c>
      <c r="E383" s="173"/>
    </row>
    <row r="384" customFormat="false" ht="15" hidden="false" customHeight="true" outlineLevel="0" collapsed="false">
      <c r="A384" s="178" t="n">
        <v>18</v>
      </c>
      <c r="B384" s="188"/>
      <c r="C384" s="186" t="s">
        <v>181</v>
      </c>
      <c r="D384" s="187" t="n">
        <v>4</v>
      </c>
      <c r="E384" s="188"/>
    </row>
    <row r="385" customFormat="false" ht="15" hidden="false" customHeight="true" outlineLevel="0" collapsed="false">
      <c r="A385" s="20" t="n">
        <v>19</v>
      </c>
      <c r="B385" s="173"/>
      <c r="C385" s="21" t="s">
        <v>221</v>
      </c>
      <c r="D385" s="152" t="n">
        <v>3.2</v>
      </c>
      <c r="E385" s="173"/>
    </row>
    <row r="386" customFormat="false" ht="15" hidden="false" customHeight="true" outlineLevel="0" collapsed="false">
      <c r="A386" s="178" t="n">
        <v>20</v>
      </c>
      <c r="B386" s="188"/>
      <c r="C386" s="186" t="s">
        <v>179</v>
      </c>
      <c r="D386" s="187" t="n">
        <v>2</v>
      </c>
      <c r="E386" s="188"/>
    </row>
    <row r="387" customFormat="false" ht="15" hidden="false" customHeight="true" outlineLevel="0" collapsed="false">
      <c r="A387" s="20" t="n">
        <v>21</v>
      </c>
      <c r="B387" s="173"/>
      <c r="C387" s="21" t="s">
        <v>169</v>
      </c>
      <c r="D387" s="152" t="n">
        <v>2</v>
      </c>
      <c r="E387" s="173"/>
    </row>
    <row r="388" customFormat="false" ht="15" hidden="false" customHeight="true" outlineLevel="0" collapsed="false">
      <c r="A388" s="178" t="n">
        <v>22</v>
      </c>
      <c r="B388" s="188"/>
      <c r="C388" s="186" t="s">
        <v>195</v>
      </c>
      <c r="D388" s="187" t="n">
        <v>1.4</v>
      </c>
      <c r="E388" s="188"/>
    </row>
    <row r="389" customFormat="false" ht="15" hidden="false" customHeight="true" outlineLevel="0" collapsed="false">
      <c r="A389" s="20" t="n">
        <v>23</v>
      </c>
      <c r="B389" s="173"/>
      <c r="C389" s="21" t="s">
        <v>212</v>
      </c>
      <c r="D389" s="152" t="n">
        <v>1</v>
      </c>
      <c r="E389" s="173"/>
    </row>
    <row r="390" customFormat="false" ht="15" hidden="false" customHeight="true" outlineLevel="0" collapsed="false">
      <c r="A390" s="178" t="n">
        <v>24</v>
      </c>
      <c r="B390" s="188"/>
      <c r="C390" s="186" t="s">
        <v>145</v>
      </c>
      <c r="D390" s="187" t="n">
        <v>0.5</v>
      </c>
      <c r="E390" s="188"/>
    </row>
    <row r="391" customFormat="false" ht="15" hidden="false" customHeight="true" outlineLevel="0" collapsed="false">
      <c r="A391" s="20" t="n">
        <v>25</v>
      </c>
      <c r="B391" s="173"/>
      <c r="C391" s="21" t="s">
        <v>192</v>
      </c>
      <c r="D391" s="152" t="n">
        <v>0.5</v>
      </c>
      <c r="E391" s="173"/>
    </row>
    <row r="392" customFormat="false" ht="15" hidden="false" customHeight="true" outlineLevel="0" collapsed="false">
      <c r="A392" s="178" t="n">
        <v>26</v>
      </c>
      <c r="B392" s="188"/>
      <c r="C392" s="186" t="s">
        <v>148</v>
      </c>
      <c r="D392" s="187" t="n">
        <v>0.4</v>
      </c>
      <c r="E392" s="188"/>
    </row>
    <row r="393" customFormat="false" ht="15" hidden="false" customHeight="true" outlineLevel="0" collapsed="false">
      <c r="A393" s="20" t="n">
        <v>27</v>
      </c>
      <c r="B393" s="173"/>
      <c r="C393" s="21" t="s">
        <v>159</v>
      </c>
      <c r="D393" s="152" t="n">
        <v>0.4</v>
      </c>
      <c r="E393" s="173"/>
    </row>
    <row r="394" customFormat="false" ht="15" hidden="false" customHeight="true" outlineLevel="0" collapsed="false">
      <c r="A394" s="178" t="n">
        <v>28</v>
      </c>
      <c r="B394" s="188"/>
      <c r="C394" s="186" t="s">
        <v>186</v>
      </c>
      <c r="D394" s="187" t="n">
        <v>0.4</v>
      </c>
      <c r="E394" s="188"/>
    </row>
    <row r="395" customFormat="false" ht="15" hidden="false" customHeight="true" outlineLevel="0" collapsed="false">
      <c r="A395" s="20" t="n">
        <v>29</v>
      </c>
      <c r="B395" s="173"/>
      <c r="C395" s="21" t="s">
        <v>219</v>
      </c>
      <c r="D395" s="152" t="n">
        <v>0.4</v>
      </c>
      <c r="E395" s="173"/>
    </row>
    <row r="396" customFormat="false" ht="15" hidden="false" customHeight="true" outlineLevel="0" collapsed="false">
      <c r="A396" s="189" t="s">
        <v>837</v>
      </c>
      <c r="B396" s="189"/>
      <c r="C396" s="189"/>
      <c r="D396" s="190" t="n">
        <v>732.8</v>
      </c>
      <c r="E396" s="191"/>
    </row>
    <row r="398" customFormat="false" ht="15" hidden="false" customHeight="true" outlineLevel="0" collapsed="false">
      <c r="A398" s="193" t="s">
        <v>864</v>
      </c>
      <c r="B398" s="193"/>
      <c r="C398" s="193"/>
      <c r="D398" s="193"/>
      <c r="E398" s="193"/>
    </row>
    <row r="399" customFormat="false" ht="15" hidden="false" customHeight="true" outlineLevel="0" collapsed="false">
      <c r="A399" s="182" t="s">
        <v>46</v>
      </c>
      <c r="B399" s="183" t="s">
        <v>835</v>
      </c>
      <c r="C399" s="183" t="s">
        <v>140</v>
      </c>
      <c r="D399" s="183" t="s">
        <v>865</v>
      </c>
      <c r="E399" s="183"/>
    </row>
    <row r="400" customFormat="false" ht="15" hidden="false" customHeight="true" outlineLevel="0" collapsed="false">
      <c r="A400" s="20" t="n">
        <v>1</v>
      </c>
      <c r="B400" s="184" t="n">
        <v>46028</v>
      </c>
      <c r="C400" s="21" t="s">
        <v>71</v>
      </c>
      <c r="D400" s="152" t="n">
        <v>10</v>
      </c>
      <c r="E400" s="173"/>
    </row>
    <row r="401" customFormat="false" ht="15" hidden="false" customHeight="true" outlineLevel="0" collapsed="false">
      <c r="A401" s="178" t="n">
        <v>2</v>
      </c>
      <c r="B401" s="185" t="n">
        <v>46031</v>
      </c>
      <c r="C401" s="186" t="s">
        <v>116</v>
      </c>
      <c r="D401" s="187" t="n">
        <v>1500</v>
      </c>
      <c r="E401" s="188"/>
    </row>
    <row r="402" customFormat="false" ht="15" hidden="false" customHeight="true" outlineLevel="0" collapsed="false">
      <c r="A402" s="20" t="n">
        <v>3</v>
      </c>
      <c r="B402" s="184" t="n">
        <v>46031</v>
      </c>
      <c r="C402" s="21" t="s">
        <v>116</v>
      </c>
      <c r="D402" s="152" t="n">
        <v>500</v>
      </c>
      <c r="E402" s="173"/>
    </row>
    <row r="403" customFormat="false" ht="15" hidden="false" customHeight="true" outlineLevel="0" collapsed="false">
      <c r="A403" s="178" t="n">
        <v>4</v>
      </c>
      <c r="B403" s="185" t="n">
        <v>46032</v>
      </c>
      <c r="C403" s="186" t="s">
        <v>120</v>
      </c>
      <c r="D403" s="187" t="n">
        <v>420</v>
      </c>
      <c r="E403" s="188"/>
    </row>
    <row r="404" customFormat="false" ht="15" hidden="false" customHeight="true" outlineLevel="0" collapsed="false">
      <c r="A404" s="189" t="s">
        <v>837</v>
      </c>
      <c r="B404" s="189"/>
      <c r="C404" s="189"/>
      <c r="D404" s="190" t="n">
        <v>2430</v>
      </c>
      <c r="E404" s="191"/>
    </row>
    <row r="406" customFormat="false" ht="39.75" hidden="false" customHeight="true" outlineLevel="0" collapsed="false">
      <c r="A406" s="174" t="s">
        <v>869</v>
      </c>
      <c r="B406" s="174"/>
      <c r="C406" s="174"/>
      <c r="D406" s="174"/>
      <c r="E406" s="174"/>
    </row>
    <row r="407" customFormat="false" ht="15" hidden="false" customHeight="true" outlineLevel="0" collapsed="false">
      <c r="A407" s="175" t="s">
        <v>828</v>
      </c>
      <c r="B407" s="175"/>
      <c r="C407" s="175"/>
      <c r="D407" s="175"/>
      <c r="E407" s="175"/>
    </row>
    <row r="408" customFormat="false" ht="15" hidden="false" customHeight="true" outlineLevel="0" collapsed="false">
      <c r="A408" s="20" t="n">
        <v>1</v>
      </c>
      <c r="B408" s="176" t="s">
        <v>829</v>
      </c>
      <c r="C408" s="176"/>
      <c r="D408" s="177" t="n">
        <v>1057.5</v>
      </c>
      <c r="E408" s="20" t="s">
        <v>839</v>
      </c>
    </row>
    <row r="409" customFormat="false" ht="15" hidden="false" customHeight="true" outlineLevel="0" collapsed="false">
      <c r="A409" s="178" t="n">
        <v>2</v>
      </c>
      <c r="B409" s="179" t="s">
        <v>831</v>
      </c>
      <c r="C409" s="179"/>
      <c r="D409" s="180" t="n">
        <v>526</v>
      </c>
      <c r="E409" s="178" t="s">
        <v>870</v>
      </c>
    </row>
    <row r="410" customFormat="false" ht="15" hidden="false" customHeight="true" outlineLevel="0" collapsed="false">
      <c r="A410" s="20" t="n">
        <v>3</v>
      </c>
      <c r="B410" s="176" t="s">
        <v>833</v>
      </c>
      <c r="C410" s="176"/>
      <c r="D410" s="177" t="n">
        <v>2702</v>
      </c>
      <c r="E410" s="20" t="s">
        <v>871</v>
      </c>
    </row>
    <row r="412" customFormat="false" ht="15" hidden="false" customHeight="true" outlineLevel="0" collapsed="false">
      <c r="A412" s="181" t="s">
        <v>834</v>
      </c>
      <c r="B412" s="181"/>
      <c r="C412" s="181"/>
      <c r="D412" s="181"/>
      <c r="E412" s="181"/>
    </row>
    <row r="413" customFormat="false" ht="15" hidden="false" customHeight="true" outlineLevel="0" collapsed="false">
      <c r="A413" s="182" t="s">
        <v>46</v>
      </c>
      <c r="B413" s="183" t="s">
        <v>835</v>
      </c>
      <c r="C413" s="183" t="s">
        <v>660</v>
      </c>
      <c r="D413" s="183" t="s">
        <v>836</v>
      </c>
      <c r="E413" s="183"/>
    </row>
    <row r="414" customFormat="false" ht="15" hidden="false" customHeight="true" outlineLevel="0" collapsed="false">
      <c r="A414" s="20" t="n">
        <v>1</v>
      </c>
      <c r="B414" s="184" t="n">
        <v>46034</v>
      </c>
      <c r="C414" s="21" t="s">
        <v>183</v>
      </c>
      <c r="D414" s="152" t="n">
        <v>140</v>
      </c>
      <c r="E414" s="173"/>
    </row>
    <row r="415" customFormat="false" ht="15" hidden="false" customHeight="true" outlineLevel="0" collapsed="false">
      <c r="A415" s="178" t="n">
        <v>2</v>
      </c>
      <c r="B415" s="185" t="n">
        <v>46034</v>
      </c>
      <c r="C415" s="186" t="s">
        <v>204</v>
      </c>
      <c r="D415" s="187" t="n">
        <v>210</v>
      </c>
      <c r="E415" s="188"/>
    </row>
    <row r="416" customFormat="false" ht="15" hidden="false" customHeight="true" outlineLevel="0" collapsed="false">
      <c r="A416" s="20" t="n">
        <v>3</v>
      </c>
      <c r="B416" s="184" t="n">
        <v>46035</v>
      </c>
      <c r="C416" s="21" t="s">
        <v>144</v>
      </c>
      <c r="D416" s="152" t="n">
        <v>70</v>
      </c>
      <c r="E416" s="173"/>
    </row>
    <row r="417" customFormat="false" ht="15" hidden="false" customHeight="true" outlineLevel="0" collapsed="false">
      <c r="A417" s="178" t="n">
        <v>4</v>
      </c>
      <c r="B417" s="185" t="n">
        <v>46035</v>
      </c>
      <c r="C417" s="186" t="s">
        <v>183</v>
      </c>
      <c r="D417" s="187" t="n">
        <v>70</v>
      </c>
      <c r="E417" s="188"/>
    </row>
    <row r="418" customFormat="false" ht="15" hidden="false" customHeight="true" outlineLevel="0" collapsed="false">
      <c r="A418" s="20" t="n">
        <v>5</v>
      </c>
      <c r="B418" s="184" t="n">
        <v>46035</v>
      </c>
      <c r="C418" s="21" t="s">
        <v>186</v>
      </c>
      <c r="D418" s="152" t="n">
        <v>37.5</v>
      </c>
      <c r="E418" s="173"/>
    </row>
    <row r="419" customFormat="false" ht="15" hidden="false" customHeight="true" outlineLevel="0" collapsed="false">
      <c r="A419" s="178" t="n">
        <v>6</v>
      </c>
      <c r="B419" s="185" t="n">
        <v>46036</v>
      </c>
      <c r="C419" s="186" t="s">
        <v>147</v>
      </c>
      <c r="D419" s="187" t="n">
        <v>40</v>
      </c>
      <c r="E419" s="188"/>
    </row>
    <row r="420" customFormat="false" ht="15" hidden="false" customHeight="true" outlineLevel="0" collapsed="false">
      <c r="A420" s="20" t="n">
        <v>7</v>
      </c>
      <c r="B420" s="184" t="n">
        <v>46036</v>
      </c>
      <c r="C420" s="21" t="s">
        <v>156</v>
      </c>
      <c r="D420" s="152" t="n">
        <v>70</v>
      </c>
      <c r="E420" s="173"/>
    </row>
    <row r="421" customFormat="false" ht="15" hidden="false" customHeight="true" outlineLevel="0" collapsed="false">
      <c r="A421" s="178" t="n">
        <v>8</v>
      </c>
      <c r="B421" s="185" t="n">
        <v>46036</v>
      </c>
      <c r="C421" s="186" t="s">
        <v>157</v>
      </c>
      <c r="D421" s="187" t="n">
        <v>70</v>
      </c>
      <c r="E421" s="188"/>
    </row>
    <row r="422" customFormat="false" ht="15" hidden="false" customHeight="true" outlineLevel="0" collapsed="false">
      <c r="A422" s="20" t="n">
        <v>9</v>
      </c>
      <c r="B422" s="184" t="n">
        <v>46036</v>
      </c>
      <c r="C422" s="21" t="s">
        <v>158</v>
      </c>
      <c r="D422" s="152" t="n">
        <v>70</v>
      </c>
      <c r="E422" s="173"/>
    </row>
    <row r="423" customFormat="false" ht="15" hidden="false" customHeight="true" outlineLevel="0" collapsed="false">
      <c r="A423" s="178" t="n">
        <v>10</v>
      </c>
      <c r="B423" s="185" t="n">
        <v>46037</v>
      </c>
      <c r="C423" s="186" t="s">
        <v>183</v>
      </c>
      <c r="D423" s="187" t="n">
        <v>70</v>
      </c>
      <c r="E423" s="188"/>
    </row>
    <row r="424" customFormat="false" ht="15" hidden="false" customHeight="true" outlineLevel="0" collapsed="false">
      <c r="A424" s="20" t="n">
        <v>11</v>
      </c>
      <c r="B424" s="184" t="n">
        <v>46038</v>
      </c>
      <c r="C424" s="21" t="s">
        <v>179</v>
      </c>
      <c r="D424" s="152" t="n">
        <v>70</v>
      </c>
      <c r="E424" s="173"/>
    </row>
    <row r="425" customFormat="false" ht="15" hidden="false" customHeight="true" outlineLevel="0" collapsed="false">
      <c r="A425" s="178" t="n">
        <v>12</v>
      </c>
      <c r="B425" s="185" t="n">
        <v>46038</v>
      </c>
      <c r="C425" s="186" t="s">
        <v>206</v>
      </c>
      <c r="D425" s="187" t="n">
        <v>140</v>
      </c>
      <c r="E425" s="188"/>
    </row>
    <row r="426" customFormat="false" ht="15" hidden="false" customHeight="true" outlineLevel="0" collapsed="false">
      <c r="A426" s="189" t="s">
        <v>837</v>
      </c>
      <c r="B426" s="189"/>
      <c r="C426" s="189"/>
      <c r="D426" s="190" t="n">
        <v>1057.5</v>
      </c>
      <c r="E426" s="191"/>
    </row>
    <row r="428" customFormat="false" ht="15" hidden="false" customHeight="true" outlineLevel="0" collapsed="false">
      <c r="A428" s="192" t="s">
        <v>855</v>
      </c>
      <c r="B428" s="192"/>
      <c r="C428" s="192"/>
      <c r="D428" s="192"/>
      <c r="E428" s="192"/>
    </row>
    <row r="429" customFormat="false" ht="15" hidden="false" customHeight="true" outlineLevel="0" collapsed="false">
      <c r="A429" s="182" t="s">
        <v>46</v>
      </c>
      <c r="B429" s="183"/>
      <c r="C429" s="183" t="s">
        <v>660</v>
      </c>
      <c r="D429" s="183" t="s">
        <v>856</v>
      </c>
      <c r="E429" s="183"/>
    </row>
    <row r="430" customFormat="false" ht="15" hidden="false" customHeight="true" outlineLevel="0" collapsed="false">
      <c r="A430" s="20" t="n">
        <v>1</v>
      </c>
      <c r="B430" s="173"/>
      <c r="C430" s="21" t="s">
        <v>204</v>
      </c>
      <c r="D430" s="152" t="n">
        <v>146.7</v>
      </c>
      <c r="E430" s="173"/>
    </row>
    <row r="431" customFormat="false" ht="15" hidden="false" customHeight="true" outlineLevel="0" collapsed="false">
      <c r="A431" s="178" t="n">
        <v>2</v>
      </c>
      <c r="B431" s="188"/>
      <c r="C431" s="186" t="s">
        <v>183</v>
      </c>
      <c r="D431" s="187" t="n">
        <v>114.6</v>
      </c>
      <c r="E431" s="188"/>
    </row>
    <row r="432" customFormat="false" ht="15" hidden="false" customHeight="true" outlineLevel="0" collapsed="false">
      <c r="A432" s="20" t="n">
        <v>3</v>
      </c>
      <c r="B432" s="173"/>
      <c r="C432" s="21" t="s">
        <v>205</v>
      </c>
      <c r="D432" s="152" t="n">
        <v>77.7</v>
      </c>
      <c r="E432" s="173"/>
    </row>
    <row r="433" customFormat="false" ht="15" hidden="false" customHeight="true" outlineLevel="0" collapsed="false">
      <c r="A433" s="178" t="n">
        <v>4</v>
      </c>
      <c r="B433" s="188"/>
      <c r="C433" s="186" t="s">
        <v>155</v>
      </c>
      <c r="D433" s="187" t="n">
        <v>38.4</v>
      </c>
      <c r="E433" s="188"/>
    </row>
    <row r="434" customFormat="false" ht="15" hidden="false" customHeight="true" outlineLevel="0" collapsed="false">
      <c r="A434" s="20" t="n">
        <v>5</v>
      </c>
      <c r="B434" s="173"/>
      <c r="C434" s="21" t="s">
        <v>144</v>
      </c>
      <c r="D434" s="152" t="n">
        <v>36</v>
      </c>
      <c r="E434" s="173"/>
    </row>
    <row r="435" customFormat="false" ht="15" hidden="false" customHeight="true" outlineLevel="0" collapsed="false">
      <c r="A435" s="178" t="n">
        <v>6</v>
      </c>
      <c r="B435" s="188"/>
      <c r="C435" s="186" t="s">
        <v>206</v>
      </c>
      <c r="D435" s="187" t="n">
        <v>18.8</v>
      </c>
      <c r="E435" s="188"/>
    </row>
    <row r="436" customFormat="false" ht="15" hidden="false" customHeight="true" outlineLevel="0" collapsed="false">
      <c r="A436" s="20" t="n">
        <v>7</v>
      </c>
      <c r="B436" s="173"/>
      <c r="C436" s="21" t="s">
        <v>143</v>
      </c>
      <c r="D436" s="152" t="n">
        <v>15.2</v>
      </c>
      <c r="E436" s="173"/>
    </row>
    <row r="437" customFormat="false" ht="15" hidden="false" customHeight="true" outlineLevel="0" collapsed="false">
      <c r="A437" s="178" t="n">
        <v>8</v>
      </c>
      <c r="B437" s="188"/>
      <c r="C437" s="186" t="s">
        <v>184</v>
      </c>
      <c r="D437" s="187" t="n">
        <v>15.2</v>
      </c>
      <c r="E437" s="188"/>
    </row>
    <row r="438" customFormat="false" ht="15" hidden="false" customHeight="true" outlineLevel="0" collapsed="false">
      <c r="A438" s="20" t="n">
        <v>9</v>
      </c>
      <c r="B438" s="173"/>
      <c r="C438" s="21" t="s">
        <v>174</v>
      </c>
      <c r="D438" s="152" t="n">
        <v>12</v>
      </c>
      <c r="E438" s="173"/>
    </row>
    <row r="439" customFormat="false" ht="15" hidden="false" customHeight="true" outlineLevel="0" collapsed="false">
      <c r="A439" s="178" t="n">
        <v>10</v>
      </c>
      <c r="B439" s="188"/>
      <c r="C439" s="186" t="s">
        <v>161</v>
      </c>
      <c r="D439" s="187" t="n">
        <v>8</v>
      </c>
      <c r="E439" s="188"/>
    </row>
    <row r="440" customFormat="false" ht="15" hidden="false" customHeight="true" outlineLevel="0" collapsed="false">
      <c r="A440" s="20" t="n">
        <v>11</v>
      </c>
      <c r="B440" s="173"/>
      <c r="C440" s="21" t="s">
        <v>222</v>
      </c>
      <c r="D440" s="152" t="n">
        <v>6.6</v>
      </c>
      <c r="E440" s="173"/>
    </row>
    <row r="441" customFormat="false" ht="15" hidden="false" customHeight="true" outlineLevel="0" collapsed="false">
      <c r="A441" s="178" t="n">
        <v>12</v>
      </c>
      <c r="B441" s="188"/>
      <c r="C441" s="194" t="s">
        <v>267</v>
      </c>
      <c r="D441" s="187" t="n">
        <v>6</v>
      </c>
      <c r="E441" s="188"/>
    </row>
    <row r="442" customFormat="false" ht="15" hidden="false" customHeight="true" outlineLevel="0" collapsed="false">
      <c r="A442" s="20" t="n">
        <v>13</v>
      </c>
      <c r="B442" s="173"/>
      <c r="C442" s="21" t="s">
        <v>179</v>
      </c>
      <c r="D442" s="152" t="n">
        <v>2.8</v>
      </c>
      <c r="E442" s="173"/>
    </row>
    <row r="443" customFormat="false" ht="15" hidden="false" customHeight="true" outlineLevel="0" collapsed="false">
      <c r="A443" s="178" t="n">
        <v>14</v>
      </c>
      <c r="B443" s="188"/>
      <c r="C443" s="186" t="s">
        <v>221</v>
      </c>
      <c r="D443" s="187" t="n">
        <v>2.6</v>
      </c>
      <c r="E443" s="188"/>
    </row>
    <row r="444" customFormat="false" ht="15" hidden="false" customHeight="true" outlineLevel="0" collapsed="false">
      <c r="A444" s="20" t="n">
        <v>15</v>
      </c>
      <c r="B444" s="173"/>
      <c r="C444" s="21" t="s">
        <v>147</v>
      </c>
      <c r="D444" s="152" t="n">
        <v>2.5</v>
      </c>
      <c r="E444" s="173"/>
    </row>
    <row r="445" customFormat="false" ht="15" hidden="false" customHeight="true" outlineLevel="0" collapsed="false">
      <c r="A445" s="178" t="n">
        <v>16</v>
      </c>
      <c r="B445" s="188"/>
      <c r="C445" s="186" t="s">
        <v>678</v>
      </c>
      <c r="D445" s="187" t="n">
        <v>2.4</v>
      </c>
      <c r="E445" s="188"/>
    </row>
    <row r="446" customFormat="false" ht="15" hidden="false" customHeight="true" outlineLevel="0" collapsed="false">
      <c r="A446" s="20" t="n">
        <v>17</v>
      </c>
      <c r="B446" s="173"/>
      <c r="C446" s="21" t="s">
        <v>724</v>
      </c>
      <c r="D446" s="152" t="n">
        <v>2</v>
      </c>
      <c r="E446" s="173"/>
    </row>
    <row r="447" customFormat="false" ht="15" hidden="false" customHeight="true" outlineLevel="0" collapsed="false">
      <c r="A447" s="178" t="n">
        <v>18</v>
      </c>
      <c r="B447" s="188"/>
      <c r="C447" s="186" t="s">
        <v>207</v>
      </c>
      <c r="D447" s="187" t="n">
        <v>2</v>
      </c>
      <c r="E447" s="188"/>
    </row>
    <row r="448" customFormat="false" ht="15" hidden="false" customHeight="true" outlineLevel="0" collapsed="false">
      <c r="A448" s="20" t="n">
        <v>19</v>
      </c>
      <c r="B448" s="173"/>
      <c r="C448" s="21" t="s">
        <v>169</v>
      </c>
      <c r="D448" s="152" t="n">
        <v>2</v>
      </c>
      <c r="E448" s="173"/>
    </row>
    <row r="449" customFormat="false" ht="15" hidden="false" customHeight="true" outlineLevel="0" collapsed="false">
      <c r="A449" s="178" t="n">
        <v>20</v>
      </c>
      <c r="B449" s="188"/>
      <c r="C449" s="194" t="s">
        <v>726</v>
      </c>
      <c r="D449" s="187" t="n">
        <v>1.6</v>
      </c>
      <c r="E449" s="188"/>
    </row>
    <row r="450" customFormat="false" ht="15" hidden="false" customHeight="true" outlineLevel="0" collapsed="false">
      <c r="A450" s="20" t="n">
        <v>21</v>
      </c>
      <c r="B450" s="173"/>
      <c r="C450" s="21" t="s">
        <v>142</v>
      </c>
      <c r="D450" s="152" t="n">
        <v>1.5</v>
      </c>
      <c r="E450" s="173"/>
    </row>
    <row r="451" customFormat="false" ht="15" hidden="false" customHeight="true" outlineLevel="0" collapsed="false">
      <c r="A451" s="178" t="n">
        <v>22</v>
      </c>
      <c r="B451" s="188"/>
      <c r="C451" s="186" t="s">
        <v>146</v>
      </c>
      <c r="D451" s="187" t="n">
        <v>1.5</v>
      </c>
      <c r="E451" s="188"/>
    </row>
    <row r="452" customFormat="false" ht="15" hidden="false" customHeight="true" outlineLevel="0" collapsed="false">
      <c r="A452" s="20" t="n">
        <v>23</v>
      </c>
      <c r="B452" s="173"/>
      <c r="C452" s="21" t="s">
        <v>220</v>
      </c>
      <c r="D452" s="152" t="n">
        <v>1.5</v>
      </c>
      <c r="E452" s="173"/>
    </row>
    <row r="453" customFormat="false" ht="15" hidden="false" customHeight="true" outlineLevel="0" collapsed="false">
      <c r="A453" s="178" t="n">
        <v>24</v>
      </c>
      <c r="B453" s="188"/>
      <c r="C453" s="186" t="s">
        <v>145</v>
      </c>
      <c r="D453" s="187" t="n">
        <v>1</v>
      </c>
      <c r="E453" s="188"/>
    </row>
    <row r="454" customFormat="false" ht="15" hidden="false" customHeight="true" outlineLevel="0" collapsed="false">
      <c r="A454" s="20" t="n">
        <v>25</v>
      </c>
      <c r="B454" s="173"/>
      <c r="C454" s="21" t="s">
        <v>192</v>
      </c>
      <c r="D454" s="152" t="n">
        <v>1</v>
      </c>
      <c r="E454" s="173"/>
    </row>
    <row r="455" customFormat="false" ht="15" hidden="false" customHeight="true" outlineLevel="0" collapsed="false">
      <c r="A455" s="178" t="n">
        <v>26</v>
      </c>
      <c r="B455" s="188"/>
      <c r="C455" s="186" t="s">
        <v>181</v>
      </c>
      <c r="D455" s="187" t="n">
        <v>1</v>
      </c>
      <c r="E455" s="188"/>
    </row>
    <row r="456" customFormat="false" ht="15" hidden="false" customHeight="true" outlineLevel="0" collapsed="false">
      <c r="A456" s="20" t="n">
        <v>27</v>
      </c>
      <c r="B456" s="173"/>
      <c r="C456" s="21" t="s">
        <v>148</v>
      </c>
      <c r="D456" s="152" t="n">
        <v>0.9</v>
      </c>
      <c r="E456" s="173"/>
    </row>
    <row r="457" customFormat="false" ht="15" hidden="false" customHeight="true" outlineLevel="0" collapsed="false">
      <c r="A457" s="178" t="n">
        <v>28</v>
      </c>
      <c r="B457" s="188"/>
      <c r="C457" s="186" t="s">
        <v>159</v>
      </c>
      <c r="D457" s="187" t="n">
        <v>0.9</v>
      </c>
      <c r="E457" s="188"/>
    </row>
    <row r="458" customFormat="false" ht="15" hidden="false" customHeight="true" outlineLevel="0" collapsed="false">
      <c r="A458" s="20" t="n">
        <v>29</v>
      </c>
      <c r="B458" s="173"/>
      <c r="C458" s="21" t="s">
        <v>186</v>
      </c>
      <c r="D458" s="152" t="n">
        <v>0.9</v>
      </c>
      <c r="E458" s="173"/>
    </row>
    <row r="459" customFormat="false" ht="15" hidden="false" customHeight="true" outlineLevel="0" collapsed="false">
      <c r="A459" s="178" t="n">
        <v>30</v>
      </c>
      <c r="B459" s="188"/>
      <c r="C459" s="186" t="s">
        <v>195</v>
      </c>
      <c r="D459" s="187" t="n">
        <v>0.9</v>
      </c>
      <c r="E459" s="188"/>
    </row>
    <row r="460" customFormat="false" ht="15" hidden="false" customHeight="true" outlineLevel="0" collapsed="false">
      <c r="A460" s="20" t="n">
        <v>31</v>
      </c>
      <c r="B460" s="173"/>
      <c r="C460" s="21" t="s">
        <v>219</v>
      </c>
      <c r="D460" s="152" t="n">
        <v>0.9</v>
      </c>
      <c r="E460" s="173"/>
    </row>
    <row r="461" customFormat="false" ht="15" hidden="false" customHeight="true" outlineLevel="0" collapsed="false">
      <c r="A461" s="178" t="n">
        <v>32</v>
      </c>
      <c r="B461" s="188"/>
      <c r="C461" s="186" t="s">
        <v>727</v>
      </c>
      <c r="D461" s="187" t="n">
        <v>0.8</v>
      </c>
      <c r="E461" s="188"/>
    </row>
    <row r="462" customFormat="false" ht="15" hidden="false" customHeight="true" outlineLevel="0" collapsed="false">
      <c r="A462" s="189" t="s">
        <v>837</v>
      </c>
      <c r="B462" s="189"/>
      <c r="C462" s="189"/>
      <c r="D462" s="190" t="n">
        <v>526</v>
      </c>
      <c r="E462" s="191"/>
    </row>
    <row r="464" customFormat="false" ht="15" hidden="false" customHeight="true" outlineLevel="0" collapsed="false">
      <c r="A464" s="193" t="s">
        <v>864</v>
      </c>
      <c r="B464" s="193"/>
      <c r="C464" s="193"/>
      <c r="D464" s="193"/>
      <c r="E464" s="193"/>
    </row>
    <row r="465" customFormat="false" ht="15" hidden="false" customHeight="true" outlineLevel="0" collapsed="false">
      <c r="A465" s="182" t="s">
        <v>46</v>
      </c>
      <c r="B465" s="183" t="s">
        <v>835</v>
      </c>
      <c r="C465" s="183" t="s">
        <v>140</v>
      </c>
      <c r="D465" s="183" t="s">
        <v>865</v>
      </c>
      <c r="E465" s="183"/>
    </row>
    <row r="466" customFormat="false" ht="15" hidden="false" customHeight="true" outlineLevel="0" collapsed="false">
      <c r="A466" s="20" t="n">
        <v>1</v>
      </c>
      <c r="B466" s="184" t="n">
        <v>46035</v>
      </c>
      <c r="C466" s="21" t="s">
        <v>120</v>
      </c>
      <c r="D466" s="152" t="n">
        <v>200</v>
      </c>
      <c r="E466" s="173"/>
    </row>
    <row r="467" customFormat="false" ht="15" hidden="false" customHeight="true" outlineLevel="0" collapsed="false">
      <c r="A467" s="178" t="n">
        <v>2</v>
      </c>
      <c r="B467" s="185" t="n">
        <v>46036</v>
      </c>
      <c r="C467" s="186" t="s">
        <v>92</v>
      </c>
      <c r="D467" s="187" t="n">
        <v>48</v>
      </c>
      <c r="E467" s="188"/>
    </row>
    <row r="468" customFormat="false" ht="15" hidden="false" customHeight="true" outlineLevel="0" collapsed="false">
      <c r="A468" s="20" t="n">
        <v>3</v>
      </c>
      <c r="B468" s="184" t="n">
        <v>46036</v>
      </c>
      <c r="C468" s="21" t="s">
        <v>120</v>
      </c>
      <c r="D468" s="152" t="n">
        <v>2000</v>
      </c>
      <c r="E468" s="173"/>
    </row>
    <row r="469" customFormat="false" ht="15" hidden="false" customHeight="true" outlineLevel="0" collapsed="false">
      <c r="A469" s="178" t="n">
        <v>4</v>
      </c>
      <c r="B469" s="185" t="n">
        <v>46037</v>
      </c>
      <c r="C469" s="186" t="s">
        <v>71</v>
      </c>
      <c r="D469" s="187" t="n">
        <v>20</v>
      </c>
      <c r="E469" s="188"/>
    </row>
    <row r="470" customFormat="false" ht="15" hidden="false" customHeight="true" outlineLevel="0" collapsed="false">
      <c r="A470" s="20" t="n">
        <v>5</v>
      </c>
      <c r="B470" s="184" t="n">
        <v>46037</v>
      </c>
      <c r="C470" s="21" t="s">
        <v>130</v>
      </c>
      <c r="D470" s="152" t="n">
        <v>54</v>
      </c>
      <c r="E470" s="173"/>
    </row>
    <row r="471" customFormat="false" ht="15" hidden="false" customHeight="true" outlineLevel="0" collapsed="false">
      <c r="A471" s="178" t="n">
        <v>6</v>
      </c>
      <c r="B471" s="185" t="n">
        <v>46038</v>
      </c>
      <c r="C471" s="186" t="s">
        <v>68</v>
      </c>
      <c r="D471" s="187" t="n">
        <v>144</v>
      </c>
      <c r="E471" s="188"/>
    </row>
    <row r="472" customFormat="false" ht="15" hidden="false" customHeight="true" outlineLevel="0" collapsed="false">
      <c r="A472" s="20" t="n">
        <v>7</v>
      </c>
      <c r="B472" s="184" t="n">
        <v>46038</v>
      </c>
      <c r="C472" s="21" t="s">
        <v>68</v>
      </c>
      <c r="D472" s="152" t="n">
        <v>10</v>
      </c>
      <c r="E472" s="173"/>
    </row>
    <row r="473" customFormat="false" ht="15" hidden="false" customHeight="true" outlineLevel="0" collapsed="false">
      <c r="A473" s="178" t="n">
        <v>8</v>
      </c>
      <c r="B473" s="185" t="n">
        <v>46038</v>
      </c>
      <c r="C473" s="186" t="s">
        <v>84</v>
      </c>
      <c r="D473" s="187" t="n">
        <v>2.5</v>
      </c>
      <c r="E473" s="188"/>
    </row>
    <row r="474" customFormat="false" ht="15" hidden="false" customHeight="true" outlineLevel="0" collapsed="false">
      <c r="A474" s="20" t="n">
        <v>9</v>
      </c>
      <c r="B474" s="184" t="n">
        <v>46038</v>
      </c>
      <c r="C474" s="21" t="s">
        <v>97</v>
      </c>
      <c r="D474" s="152" t="n">
        <v>36</v>
      </c>
      <c r="E474" s="173"/>
    </row>
    <row r="475" customFormat="false" ht="15" hidden="false" customHeight="true" outlineLevel="0" collapsed="false">
      <c r="A475" s="178" t="n">
        <v>10</v>
      </c>
      <c r="B475" s="185" t="n">
        <v>46038</v>
      </c>
      <c r="C475" s="186" t="s">
        <v>111</v>
      </c>
      <c r="D475" s="187" t="n">
        <v>2</v>
      </c>
      <c r="E475" s="188"/>
    </row>
    <row r="476" customFormat="false" ht="15" hidden="false" customHeight="true" outlineLevel="0" collapsed="false">
      <c r="A476" s="20" t="n">
        <v>11</v>
      </c>
      <c r="B476" s="184" t="n">
        <v>46038</v>
      </c>
      <c r="C476" s="21" t="s">
        <v>132</v>
      </c>
      <c r="D476" s="152" t="n">
        <v>18</v>
      </c>
      <c r="E476" s="173"/>
    </row>
    <row r="477" customFormat="false" ht="15" hidden="false" customHeight="true" outlineLevel="0" collapsed="false">
      <c r="A477" s="178" t="n">
        <v>12</v>
      </c>
      <c r="B477" s="185" t="n">
        <v>46039</v>
      </c>
      <c r="C477" s="186" t="s">
        <v>62</v>
      </c>
      <c r="D477" s="187" t="n">
        <v>4</v>
      </c>
      <c r="E477" s="188"/>
    </row>
    <row r="478" customFormat="false" ht="15" hidden="false" customHeight="true" outlineLevel="0" collapsed="false">
      <c r="A478" s="20" t="n">
        <v>13</v>
      </c>
      <c r="B478" s="184" t="n">
        <v>46039</v>
      </c>
      <c r="C478" s="21" t="s">
        <v>74</v>
      </c>
      <c r="D478" s="152" t="n">
        <v>1</v>
      </c>
      <c r="E478" s="173"/>
    </row>
    <row r="479" customFormat="false" ht="15" hidden="false" customHeight="true" outlineLevel="0" collapsed="false">
      <c r="A479" s="178" t="n">
        <v>14</v>
      </c>
      <c r="B479" s="185" t="n">
        <v>46039</v>
      </c>
      <c r="C479" s="186" t="s">
        <v>92</v>
      </c>
      <c r="D479" s="187" t="n">
        <v>48</v>
      </c>
      <c r="E479" s="188"/>
    </row>
    <row r="480" customFormat="false" ht="15" hidden="false" customHeight="true" outlineLevel="0" collapsed="false">
      <c r="A480" s="20" t="n">
        <v>15</v>
      </c>
      <c r="B480" s="184" t="n">
        <v>46039</v>
      </c>
      <c r="C480" s="21" t="s">
        <v>97</v>
      </c>
      <c r="D480" s="152" t="n">
        <v>84</v>
      </c>
      <c r="E480" s="173"/>
    </row>
    <row r="481" customFormat="false" ht="15" hidden="false" customHeight="true" outlineLevel="0" collapsed="false">
      <c r="A481" s="178" t="n">
        <v>16</v>
      </c>
      <c r="B481" s="185" t="n">
        <v>46039</v>
      </c>
      <c r="C481" s="186" t="s">
        <v>107</v>
      </c>
      <c r="D481" s="187" t="n">
        <v>0.5</v>
      </c>
      <c r="E481" s="188"/>
    </row>
    <row r="482" customFormat="false" ht="15" hidden="false" customHeight="true" outlineLevel="0" collapsed="false">
      <c r="A482" s="20" t="n">
        <v>17</v>
      </c>
      <c r="B482" s="184" t="n">
        <v>46039</v>
      </c>
      <c r="C482" s="21" t="s">
        <v>122</v>
      </c>
      <c r="D482" s="152" t="n">
        <v>20</v>
      </c>
      <c r="E482" s="173"/>
    </row>
    <row r="483" customFormat="false" ht="15" hidden="false" customHeight="true" outlineLevel="0" collapsed="false">
      <c r="A483" s="178" t="n">
        <v>18</v>
      </c>
      <c r="B483" s="185" t="n">
        <v>46039</v>
      </c>
      <c r="C483" s="186" t="s">
        <v>132</v>
      </c>
      <c r="D483" s="187" t="n">
        <v>10</v>
      </c>
      <c r="E483" s="188"/>
    </row>
    <row r="484" customFormat="false" ht="15" hidden="false" customHeight="true" outlineLevel="0" collapsed="false">
      <c r="A484" s="189" t="s">
        <v>837</v>
      </c>
      <c r="B484" s="189"/>
      <c r="C484" s="189"/>
      <c r="D484" s="190" t="n">
        <v>2702</v>
      </c>
      <c r="E484" s="191"/>
    </row>
    <row r="486" customFormat="false" ht="39.75" hidden="false" customHeight="true" outlineLevel="0" collapsed="false">
      <c r="A486" s="174" t="s">
        <v>872</v>
      </c>
      <c r="B486" s="174"/>
      <c r="C486" s="174"/>
      <c r="D486" s="174"/>
      <c r="E486" s="174"/>
    </row>
    <row r="487" customFormat="false" ht="15" hidden="false" customHeight="true" outlineLevel="0" collapsed="false">
      <c r="A487" s="175" t="s">
        <v>828</v>
      </c>
      <c r="B487" s="175"/>
      <c r="C487" s="175"/>
      <c r="D487" s="175"/>
      <c r="E487" s="175"/>
    </row>
    <row r="488" customFormat="false" ht="15" hidden="false" customHeight="true" outlineLevel="0" collapsed="false">
      <c r="A488" s="20" t="n">
        <v>1</v>
      </c>
      <c r="B488" s="176" t="s">
        <v>829</v>
      </c>
      <c r="C488" s="176"/>
      <c r="D488" s="177" t="n">
        <v>2560</v>
      </c>
      <c r="E488" s="20" t="s">
        <v>843</v>
      </c>
    </row>
    <row r="489" customFormat="false" ht="15" hidden="false" customHeight="true" outlineLevel="0" collapsed="false">
      <c r="A489" s="178" t="n">
        <v>2</v>
      </c>
      <c r="B489" s="179" t="s">
        <v>831</v>
      </c>
      <c r="C489" s="179"/>
      <c r="D489" s="180" t="n">
        <v>1136</v>
      </c>
      <c r="E489" s="178" t="s">
        <v>873</v>
      </c>
    </row>
    <row r="490" customFormat="false" ht="15" hidden="false" customHeight="true" outlineLevel="0" collapsed="false">
      <c r="A490" s="20" t="n">
        <v>3</v>
      </c>
      <c r="B490" s="176" t="s">
        <v>833</v>
      </c>
      <c r="C490" s="176"/>
      <c r="D490" s="177" t="n">
        <v>3306</v>
      </c>
      <c r="E490" s="20" t="s">
        <v>851</v>
      </c>
    </row>
    <row r="492" customFormat="false" ht="15" hidden="false" customHeight="true" outlineLevel="0" collapsed="false">
      <c r="A492" s="181" t="s">
        <v>834</v>
      </c>
      <c r="B492" s="181"/>
      <c r="C492" s="181"/>
      <c r="D492" s="181"/>
      <c r="E492" s="181"/>
    </row>
    <row r="493" customFormat="false" ht="15" hidden="false" customHeight="true" outlineLevel="0" collapsed="false">
      <c r="A493" s="182" t="s">
        <v>46</v>
      </c>
      <c r="B493" s="183" t="s">
        <v>835</v>
      </c>
      <c r="C493" s="183" t="s">
        <v>660</v>
      </c>
      <c r="D493" s="183" t="s">
        <v>836</v>
      </c>
      <c r="E493" s="183"/>
    </row>
    <row r="494" customFormat="false" ht="15" hidden="false" customHeight="true" outlineLevel="0" collapsed="false">
      <c r="A494" s="20" t="n">
        <v>1</v>
      </c>
      <c r="B494" s="184" t="n">
        <v>46041</v>
      </c>
      <c r="C494" s="21" t="s">
        <v>149</v>
      </c>
      <c r="D494" s="152" t="n">
        <v>220</v>
      </c>
      <c r="E494" s="173"/>
    </row>
    <row r="495" customFormat="false" ht="15" hidden="false" customHeight="true" outlineLevel="0" collapsed="false">
      <c r="A495" s="178" t="n">
        <v>2</v>
      </c>
      <c r="B495" s="185" t="n">
        <v>46041</v>
      </c>
      <c r="C495" s="186" t="s">
        <v>152</v>
      </c>
      <c r="D495" s="187" t="n">
        <v>220</v>
      </c>
      <c r="E495" s="188"/>
    </row>
    <row r="496" customFormat="false" ht="15" hidden="false" customHeight="true" outlineLevel="0" collapsed="false">
      <c r="A496" s="20" t="n">
        <v>3</v>
      </c>
      <c r="B496" s="184" t="n">
        <v>46041</v>
      </c>
      <c r="C496" s="21" t="s">
        <v>153</v>
      </c>
      <c r="D496" s="152" t="n">
        <v>220</v>
      </c>
      <c r="E496" s="173"/>
    </row>
    <row r="497" customFormat="false" ht="15" hidden="false" customHeight="true" outlineLevel="0" collapsed="false">
      <c r="A497" s="178" t="n">
        <v>4</v>
      </c>
      <c r="B497" s="185" t="n">
        <v>46042</v>
      </c>
      <c r="C497" s="186" t="s">
        <v>150</v>
      </c>
      <c r="D497" s="187" t="n">
        <v>220</v>
      </c>
      <c r="E497" s="188"/>
    </row>
    <row r="498" customFormat="false" ht="15" hidden="false" customHeight="true" outlineLevel="0" collapsed="false">
      <c r="A498" s="20" t="n">
        <v>5</v>
      </c>
      <c r="B498" s="184" t="n">
        <v>46042</v>
      </c>
      <c r="C498" s="21" t="s">
        <v>151</v>
      </c>
      <c r="D498" s="152" t="n">
        <v>220</v>
      </c>
      <c r="E498" s="173"/>
    </row>
    <row r="499" customFormat="false" ht="15" hidden="false" customHeight="true" outlineLevel="0" collapsed="false">
      <c r="A499" s="178" t="n">
        <v>6</v>
      </c>
      <c r="B499" s="185" t="n">
        <v>46042</v>
      </c>
      <c r="C499" s="186" t="s">
        <v>154</v>
      </c>
      <c r="D499" s="187" t="n">
        <v>220</v>
      </c>
      <c r="E499" s="188"/>
    </row>
    <row r="500" customFormat="false" ht="15" hidden="false" customHeight="true" outlineLevel="0" collapsed="false">
      <c r="A500" s="20" t="n">
        <v>7</v>
      </c>
      <c r="B500" s="184" t="n">
        <v>46044</v>
      </c>
      <c r="C500" s="21" t="s">
        <v>144</v>
      </c>
      <c r="D500" s="152" t="n">
        <v>140</v>
      </c>
      <c r="E500" s="173"/>
    </row>
    <row r="501" customFormat="false" ht="15" hidden="false" customHeight="true" outlineLevel="0" collapsed="false">
      <c r="A501" s="178" t="n">
        <v>8</v>
      </c>
      <c r="B501" s="185" t="n">
        <v>46044</v>
      </c>
      <c r="C501" s="186" t="s">
        <v>191</v>
      </c>
      <c r="D501" s="187" t="n">
        <v>550</v>
      </c>
      <c r="E501" s="188"/>
    </row>
    <row r="502" customFormat="false" ht="15" hidden="false" customHeight="true" outlineLevel="0" collapsed="false">
      <c r="A502" s="20" t="n">
        <v>9</v>
      </c>
      <c r="B502" s="184" t="n">
        <v>46045</v>
      </c>
      <c r="C502" s="21" t="s">
        <v>191</v>
      </c>
      <c r="D502" s="152" t="n">
        <v>550</v>
      </c>
      <c r="E502" s="173"/>
    </row>
    <row r="503" customFormat="false" ht="15" hidden="false" customHeight="true" outlineLevel="0" collapsed="false">
      <c r="A503" s="189" t="s">
        <v>837</v>
      </c>
      <c r="B503" s="189"/>
      <c r="C503" s="189"/>
      <c r="D503" s="190" t="n">
        <v>2560</v>
      </c>
      <c r="E503" s="191"/>
    </row>
    <row r="505" customFormat="false" ht="15" hidden="false" customHeight="true" outlineLevel="0" collapsed="false">
      <c r="A505" s="192" t="s">
        <v>855</v>
      </c>
      <c r="B505" s="192"/>
      <c r="C505" s="192"/>
      <c r="D505" s="192"/>
      <c r="E505" s="192"/>
    </row>
    <row r="506" customFormat="false" ht="15" hidden="false" customHeight="true" outlineLevel="0" collapsed="false">
      <c r="A506" s="182" t="s">
        <v>46</v>
      </c>
      <c r="B506" s="183"/>
      <c r="C506" s="183" t="s">
        <v>660</v>
      </c>
      <c r="D506" s="183" t="s">
        <v>856</v>
      </c>
      <c r="E506" s="183"/>
    </row>
    <row r="507" customFormat="false" ht="15" hidden="false" customHeight="true" outlineLevel="0" collapsed="false">
      <c r="A507" s="20" t="n">
        <v>1</v>
      </c>
      <c r="B507" s="173"/>
      <c r="C507" s="21" t="s">
        <v>204</v>
      </c>
      <c r="D507" s="152" t="n">
        <v>184.2</v>
      </c>
      <c r="E507" s="173"/>
    </row>
    <row r="508" customFormat="false" ht="15" hidden="false" customHeight="true" outlineLevel="0" collapsed="false">
      <c r="A508" s="178" t="n">
        <v>2</v>
      </c>
      <c r="B508" s="188"/>
      <c r="C508" s="186" t="s">
        <v>150</v>
      </c>
      <c r="D508" s="187" t="n">
        <v>112.3</v>
      </c>
      <c r="E508" s="188"/>
    </row>
    <row r="509" customFormat="false" ht="15" hidden="false" customHeight="true" outlineLevel="0" collapsed="false">
      <c r="A509" s="20" t="n">
        <v>3</v>
      </c>
      <c r="B509" s="173"/>
      <c r="C509" s="21" t="s">
        <v>152</v>
      </c>
      <c r="D509" s="152" t="n">
        <v>108</v>
      </c>
      <c r="E509" s="173"/>
    </row>
    <row r="510" customFormat="false" ht="15" hidden="false" customHeight="true" outlineLevel="0" collapsed="false">
      <c r="A510" s="178" t="n">
        <v>4</v>
      </c>
      <c r="B510" s="188"/>
      <c r="C510" s="186" t="s">
        <v>183</v>
      </c>
      <c r="D510" s="187" t="n">
        <v>103.8</v>
      </c>
      <c r="E510" s="188"/>
    </row>
    <row r="511" customFormat="false" ht="15" hidden="false" customHeight="true" outlineLevel="0" collapsed="false">
      <c r="A511" s="20" t="n">
        <v>5</v>
      </c>
      <c r="B511" s="173"/>
      <c r="C511" s="21" t="s">
        <v>154</v>
      </c>
      <c r="D511" s="152" t="n">
        <v>97.6</v>
      </c>
      <c r="E511" s="173"/>
    </row>
    <row r="512" customFormat="false" ht="15" hidden="false" customHeight="true" outlineLevel="0" collapsed="false">
      <c r="A512" s="178" t="n">
        <v>6</v>
      </c>
      <c r="B512" s="188"/>
      <c r="C512" s="186" t="s">
        <v>149</v>
      </c>
      <c r="D512" s="187" t="n">
        <v>94</v>
      </c>
      <c r="E512" s="188"/>
    </row>
    <row r="513" customFormat="false" ht="15" hidden="false" customHeight="true" outlineLevel="0" collapsed="false">
      <c r="A513" s="20" t="n">
        <v>7</v>
      </c>
      <c r="B513" s="173"/>
      <c r="C513" s="21" t="s">
        <v>205</v>
      </c>
      <c r="D513" s="152" t="n">
        <v>83.4</v>
      </c>
      <c r="E513" s="173"/>
    </row>
    <row r="514" customFormat="false" ht="15" hidden="false" customHeight="true" outlineLevel="0" collapsed="false">
      <c r="A514" s="178" t="n">
        <v>8</v>
      </c>
      <c r="B514" s="188"/>
      <c r="C514" s="186" t="s">
        <v>153</v>
      </c>
      <c r="D514" s="187" t="n">
        <v>78.8</v>
      </c>
      <c r="E514" s="188"/>
    </row>
    <row r="515" customFormat="false" ht="15" hidden="false" customHeight="true" outlineLevel="0" collapsed="false">
      <c r="A515" s="20" t="n">
        <v>9</v>
      </c>
      <c r="B515" s="173"/>
      <c r="C515" s="21" t="s">
        <v>151</v>
      </c>
      <c r="D515" s="152" t="n">
        <v>61.2</v>
      </c>
      <c r="E515" s="173"/>
    </row>
    <row r="516" customFormat="false" ht="15" hidden="false" customHeight="true" outlineLevel="0" collapsed="false">
      <c r="A516" s="178" t="n">
        <v>10</v>
      </c>
      <c r="B516" s="188"/>
      <c r="C516" s="186" t="s">
        <v>143</v>
      </c>
      <c r="D516" s="187" t="n">
        <v>45.1</v>
      </c>
      <c r="E516" s="188"/>
    </row>
    <row r="517" customFormat="false" ht="15" hidden="false" customHeight="true" outlineLevel="0" collapsed="false">
      <c r="A517" s="20" t="n">
        <v>11</v>
      </c>
      <c r="B517" s="173"/>
      <c r="C517" s="21" t="s">
        <v>144</v>
      </c>
      <c r="D517" s="152" t="n">
        <v>43</v>
      </c>
      <c r="E517" s="173"/>
    </row>
    <row r="518" customFormat="false" ht="15" hidden="false" customHeight="true" outlineLevel="0" collapsed="false">
      <c r="A518" s="178" t="n">
        <v>12</v>
      </c>
      <c r="B518" s="188"/>
      <c r="C518" s="186" t="s">
        <v>184</v>
      </c>
      <c r="D518" s="187" t="n">
        <v>23.1</v>
      </c>
      <c r="E518" s="188"/>
    </row>
    <row r="519" customFormat="false" ht="15" hidden="false" customHeight="true" outlineLevel="0" collapsed="false">
      <c r="A519" s="20" t="n">
        <v>13</v>
      </c>
      <c r="B519" s="173"/>
      <c r="C519" s="21" t="s">
        <v>155</v>
      </c>
      <c r="D519" s="152" t="n">
        <v>22</v>
      </c>
      <c r="E519" s="173"/>
    </row>
    <row r="520" customFormat="false" ht="15" hidden="false" customHeight="true" outlineLevel="0" collapsed="false">
      <c r="A520" s="178" t="n">
        <v>14</v>
      </c>
      <c r="B520" s="188"/>
      <c r="C520" s="186" t="s">
        <v>174</v>
      </c>
      <c r="D520" s="187" t="n">
        <v>18</v>
      </c>
      <c r="E520" s="188"/>
    </row>
    <row r="521" customFormat="false" ht="15" hidden="false" customHeight="true" outlineLevel="0" collapsed="false">
      <c r="A521" s="20" t="n">
        <v>15</v>
      </c>
      <c r="B521" s="173"/>
      <c r="C521" s="21" t="s">
        <v>181</v>
      </c>
      <c r="D521" s="152" t="n">
        <v>13</v>
      </c>
      <c r="E521" s="173"/>
    </row>
    <row r="522" customFormat="false" ht="15" hidden="false" customHeight="true" outlineLevel="0" collapsed="false">
      <c r="A522" s="178" t="n">
        <v>16</v>
      </c>
      <c r="B522" s="188"/>
      <c r="C522" s="186" t="s">
        <v>206</v>
      </c>
      <c r="D522" s="187" t="n">
        <v>8.1</v>
      </c>
      <c r="E522" s="188"/>
    </row>
    <row r="523" customFormat="false" ht="15" hidden="false" customHeight="true" outlineLevel="0" collapsed="false">
      <c r="A523" s="20" t="n">
        <v>17</v>
      </c>
      <c r="B523" s="173"/>
      <c r="C523" s="21" t="s">
        <v>222</v>
      </c>
      <c r="D523" s="152" t="n">
        <v>6</v>
      </c>
      <c r="E523" s="173"/>
    </row>
    <row r="524" customFormat="false" ht="15" hidden="false" customHeight="true" outlineLevel="0" collapsed="false">
      <c r="A524" s="178" t="n">
        <v>18</v>
      </c>
      <c r="B524" s="188"/>
      <c r="C524" s="186" t="s">
        <v>179</v>
      </c>
      <c r="D524" s="187" t="n">
        <v>4.8</v>
      </c>
      <c r="E524" s="188"/>
    </row>
    <row r="525" customFormat="false" ht="15" hidden="false" customHeight="true" outlineLevel="0" collapsed="false">
      <c r="A525" s="20" t="n">
        <v>19</v>
      </c>
      <c r="B525" s="173"/>
      <c r="C525" s="21" t="s">
        <v>147</v>
      </c>
      <c r="D525" s="152" t="n">
        <v>4</v>
      </c>
      <c r="E525" s="173"/>
    </row>
    <row r="526" customFormat="false" ht="15" hidden="false" customHeight="true" outlineLevel="0" collapsed="false">
      <c r="A526" s="178" t="n">
        <v>20</v>
      </c>
      <c r="B526" s="188"/>
      <c r="C526" s="186" t="s">
        <v>161</v>
      </c>
      <c r="D526" s="187" t="n">
        <v>4</v>
      </c>
      <c r="E526" s="188"/>
    </row>
    <row r="527" customFormat="false" ht="15" hidden="false" customHeight="true" outlineLevel="0" collapsed="false">
      <c r="A527" s="20" t="n">
        <v>21</v>
      </c>
      <c r="B527" s="173"/>
      <c r="C527" s="113" t="s">
        <v>267</v>
      </c>
      <c r="D527" s="152" t="n">
        <v>3.6</v>
      </c>
      <c r="E527" s="173"/>
    </row>
    <row r="528" customFormat="false" ht="15" hidden="false" customHeight="true" outlineLevel="0" collapsed="false">
      <c r="A528" s="178" t="n">
        <v>22</v>
      </c>
      <c r="B528" s="188"/>
      <c r="C528" s="186" t="s">
        <v>220</v>
      </c>
      <c r="D528" s="187" t="n">
        <v>3</v>
      </c>
      <c r="E528" s="188"/>
    </row>
    <row r="529" customFormat="false" ht="15" hidden="false" customHeight="true" outlineLevel="0" collapsed="false">
      <c r="A529" s="20" t="n">
        <v>23</v>
      </c>
      <c r="B529" s="173"/>
      <c r="C529" s="21" t="s">
        <v>729</v>
      </c>
      <c r="D529" s="152" t="n">
        <v>3</v>
      </c>
      <c r="E529" s="173"/>
    </row>
    <row r="530" customFormat="false" ht="15" hidden="false" customHeight="true" outlineLevel="0" collapsed="false">
      <c r="A530" s="178" t="n">
        <v>24</v>
      </c>
      <c r="B530" s="188"/>
      <c r="C530" s="186" t="s">
        <v>142</v>
      </c>
      <c r="D530" s="187" t="n">
        <v>2</v>
      </c>
      <c r="E530" s="188"/>
    </row>
    <row r="531" customFormat="false" ht="15" hidden="false" customHeight="true" outlineLevel="0" collapsed="false">
      <c r="A531" s="20" t="n">
        <v>25</v>
      </c>
      <c r="B531" s="173"/>
      <c r="C531" s="21" t="s">
        <v>146</v>
      </c>
      <c r="D531" s="152" t="n">
        <v>2</v>
      </c>
      <c r="E531" s="173"/>
    </row>
    <row r="532" customFormat="false" ht="15" hidden="false" customHeight="true" outlineLevel="0" collapsed="false">
      <c r="A532" s="178" t="n">
        <v>26</v>
      </c>
      <c r="B532" s="188"/>
      <c r="C532" s="186" t="s">
        <v>221</v>
      </c>
      <c r="D532" s="187" t="n">
        <v>2</v>
      </c>
      <c r="E532" s="188"/>
    </row>
    <row r="533" customFormat="false" ht="15" hidden="false" customHeight="true" outlineLevel="0" collapsed="false">
      <c r="A533" s="20" t="n">
        <v>27</v>
      </c>
      <c r="B533" s="173"/>
      <c r="C533" s="21" t="s">
        <v>207</v>
      </c>
      <c r="D533" s="152" t="n">
        <v>2</v>
      </c>
      <c r="E533" s="173"/>
    </row>
    <row r="534" customFormat="false" ht="15" hidden="false" customHeight="true" outlineLevel="0" collapsed="false">
      <c r="A534" s="178" t="n">
        <v>28</v>
      </c>
      <c r="B534" s="188"/>
      <c r="C534" s="194" t="s">
        <v>739</v>
      </c>
      <c r="D534" s="187" t="n">
        <v>1.2</v>
      </c>
      <c r="E534" s="188"/>
    </row>
    <row r="535" customFormat="false" ht="15" hidden="false" customHeight="true" outlineLevel="0" collapsed="false">
      <c r="A535" s="20" t="n">
        <v>29</v>
      </c>
      <c r="B535" s="173"/>
      <c r="C535" s="21" t="s">
        <v>173</v>
      </c>
      <c r="D535" s="152" t="n">
        <v>1</v>
      </c>
      <c r="E535" s="173"/>
    </row>
    <row r="536" customFormat="false" ht="15" hidden="false" customHeight="true" outlineLevel="0" collapsed="false">
      <c r="A536" s="178" t="n">
        <v>30</v>
      </c>
      <c r="B536" s="188"/>
      <c r="C536" s="186" t="s">
        <v>212</v>
      </c>
      <c r="D536" s="187" t="n">
        <v>1</v>
      </c>
      <c r="E536" s="188"/>
    </row>
    <row r="537" customFormat="false" ht="15" hidden="false" customHeight="true" outlineLevel="0" collapsed="false">
      <c r="A537" s="20" t="n">
        <v>31</v>
      </c>
      <c r="B537" s="173"/>
      <c r="C537" s="21" t="s">
        <v>145</v>
      </c>
      <c r="D537" s="152" t="n">
        <v>0.1</v>
      </c>
      <c r="E537" s="173"/>
    </row>
    <row r="538" customFormat="false" ht="15" hidden="false" customHeight="true" outlineLevel="0" collapsed="false">
      <c r="A538" s="178" t="n">
        <v>32</v>
      </c>
      <c r="B538" s="188"/>
      <c r="C538" s="186" t="s">
        <v>148</v>
      </c>
      <c r="D538" s="187" t="n">
        <v>0.1</v>
      </c>
      <c r="E538" s="188"/>
    </row>
    <row r="539" customFormat="false" ht="15" hidden="false" customHeight="true" outlineLevel="0" collapsed="false">
      <c r="A539" s="20" t="n">
        <v>33</v>
      </c>
      <c r="B539" s="173"/>
      <c r="C539" s="21" t="s">
        <v>159</v>
      </c>
      <c r="D539" s="152" t="n">
        <v>0.1</v>
      </c>
      <c r="E539" s="173"/>
    </row>
    <row r="540" customFormat="false" ht="15" hidden="false" customHeight="true" outlineLevel="0" collapsed="false">
      <c r="A540" s="178" t="n">
        <v>34</v>
      </c>
      <c r="B540" s="188"/>
      <c r="C540" s="186" t="s">
        <v>186</v>
      </c>
      <c r="D540" s="187" t="n">
        <v>0.1</v>
      </c>
      <c r="E540" s="188"/>
    </row>
    <row r="541" customFormat="false" ht="15" hidden="false" customHeight="true" outlineLevel="0" collapsed="false">
      <c r="A541" s="20" t="n">
        <v>35</v>
      </c>
      <c r="B541" s="173"/>
      <c r="C541" s="21" t="s">
        <v>192</v>
      </c>
      <c r="D541" s="152" t="n">
        <v>0.1</v>
      </c>
      <c r="E541" s="173"/>
    </row>
    <row r="542" customFormat="false" ht="15" hidden="false" customHeight="true" outlineLevel="0" collapsed="false">
      <c r="A542" s="178" t="n">
        <v>36</v>
      </c>
      <c r="B542" s="188"/>
      <c r="C542" s="186" t="s">
        <v>195</v>
      </c>
      <c r="D542" s="187" t="n">
        <v>0.1</v>
      </c>
      <c r="E542" s="188"/>
    </row>
    <row r="543" customFormat="false" ht="15" hidden="false" customHeight="true" outlineLevel="0" collapsed="false">
      <c r="A543" s="20" t="n">
        <v>37</v>
      </c>
      <c r="B543" s="173"/>
      <c r="C543" s="21" t="s">
        <v>219</v>
      </c>
      <c r="D543" s="152" t="n">
        <v>0.1</v>
      </c>
      <c r="E543" s="173"/>
    </row>
    <row r="544" customFormat="false" ht="15" hidden="false" customHeight="true" outlineLevel="0" collapsed="false">
      <c r="A544" s="189" t="s">
        <v>837</v>
      </c>
      <c r="B544" s="189"/>
      <c r="C544" s="189"/>
      <c r="D544" s="190" t="n">
        <v>1136</v>
      </c>
      <c r="E544" s="191"/>
    </row>
    <row r="546" customFormat="false" ht="15" hidden="false" customHeight="true" outlineLevel="0" collapsed="false">
      <c r="A546" s="193" t="s">
        <v>864</v>
      </c>
      <c r="B546" s="193"/>
      <c r="C546" s="193"/>
      <c r="D546" s="193"/>
      <c r="E546" s="193"/>
    </row>
    <row r="547" customFormat="false" ht="15" hidden="false" customHeight="true" outlineLevel="0" collapsed="false">
      <c r="A547" s="182" t="s">
        <v>46</v>
      </c>
      <c r="B547" s="183" t="s">
        <v>835</v>
      </c>
      <c r="C547" s="183" t="s">
        <v>140</v>
      </c>
      <c r="D547" s="183" t="s">
        <v>865</v>
      </c>
      <c r="E547" s="183"/>
    </row>
    <row r="548" customFormat="false" ht="15" hidden="false" customHeight="true" outlineLevel="0" collapsed="false">
      <c r="A548" s="20" t="n">
        <v>1</v>
      </c>
      <c r="B548" s="184" t="n">
        <v>46041</v>
      </c>
      <c r="C548" s="21" t="s">
        <v>92</v>
      </c>
      <c r="D548" s="152" t="n">
        <v>72</v>
      </c>
      <c r="E548" s="173"/>
    </row>
    <row r="549" customFormat="false" ht="15" hidden="false" customHeight="true" outlineLevel="0" collapsed="false">
      <c r="A549" s="178" t="n">
        <v>2</v>
      </c>
      <c r="B549" s="185" t="n">
        <v>46041</v>
      </c>
      <c r="C549" s="186" t="s">
        <v>99</v>
      </c>
      <c r="D549" s="187" t="n">
        <v>300</v>
      </c>
      <c r="E549" s="188"/>
    </row>
    <row r="550" customFormat="false" ht="15" hidden="false" customHeight="true" outlineLevel="0" collapsed="false">
      <c r="A550" s="20" t="n">
        <v>3</v>
      </c>
      <c r="B550" s="184" t="n">
        <v>46041</v>
      </c>
      <c r="C550" s="21" t="s">
        <v>115</v>
      </c>
      <c r="D550" s="152" t="n">
        <v>400</v>
      </c>
      <c r="E550" s="173"/>
    </row>
    <row r="551" customFormat="false" ht="15" hidden="false" customHeight="true" outlineLevel="0" collapsed="false">
      <c r="A551" s="178" t="n">
        <v>4</v>
      </c>
      <c r="B551" s="185" t="n">
        <v>46042</v>
      </c>
      <c r="C551" s="186" t="s">
        <v>73</v>
      </c>
      <c r="D551" s="187" t="n">
        <v>2</v>
      </c>
      <c r="E551" s="188"/>
    </row>
    <row r="552" customFormat="false" ht="15" hidden="false" customHeight="true" outlineLevel="0" collapsed="false">
      <c r="A552" s="20" t="n">
        <v>5</v>
      </c>
      <c r="B552" s="184" t="n">
        <v>46043</v>
      </c>
      <c r="C552" s="21" t="s">
        <v>99</v>
      </c>
      <c r="D552" s="152" t="n">
        <v>1260</v>
      </c>
      <c r="E552" s="173"/>
    </row>
    <row r="553" customFormat="false" ht="15" hidden="false" customHeight="true" outlineLevel="0" collapsed="false">
      <c r="A553" s="178" t="n">
        <v>6</v>
      </c>
      <c r="B553" s="185" t="n">
        <v>46043</v>
      </c>
      <c r="C553" s="186" t="s">
        <v>108</v>
      </c>
      <c r="D553" s="187" t="n">
        <v>80</v>
      </c>
      <c r="E553" s="188"/>
    </row>
    <row r="554" customFormat="false" ht="15" hidden="false" customHeight="true" outlineLevel="0" collapsed="false">
      <c r="A554" s="20" t="n">
        <v>7</v>
      </c>
      <c r="B554" s="184" t="n">
        <v>46043</v>
      </c>
      <c r="C554" s="21" t="s">
        <v>134</v>
      </c>
      <c r="D554" s="152" t="n">
        <v>1000</v>
      </c>
      <c r="E554" s="173"/>
    </row>
    <row r="555" customFormat="false" ht="15" hidden="false" customHeight="true" outlineLevel="0" collapsed="false">
      <c r="A555" s="178" t="n">
        <v>8</v>
      </c>
      <c r="B555" s="185" t="n">
        <v>46044</v>
      </c>
      <c r="C555" s="186" t="s">
        <v>84</v>
      </c>
      <c r="D555" s="187" t="n">
        <v>60</v>
      </c>
      <c r="E555" s="188"/>
    </row>
    <row r="556" customFormat="false" ht="15" hidden="false" customHeight="true" outlineLevel="0" collapsed="false">
      <c r="A556" s="20" t="n">
        <v>9</v>
      </c>
      <c r="B556" s="184" t="n">
        <v>46044</v>
      </c>
      <c r="C556" s="21" t="s">
        <v>92</v>
      </c>
      <c r="D556" s="152" t="n">
        <v>72</v>
      </c>
      <c r="E556" s="173"/>
    </row>
    <row r="557" customFormat="false" ht="15" hidden="false" customHeight="true" outlineLevel="0" collapsed="false">
      <c r="A557" s="178" t="n">
        <v>10</v>
      </c>
      <c r="B557" s="185" t="n">
        <v>46046</v>
      </c>
      <c r="C557" s="186" t="s">
        <v>115</v>
      </c>
      <c r="D557" s="187" t="n">
        <v>60</v>
      </c>
      <c r="E557" s="188"/>
    </row>
    <row r="558" customFormat="false" ht="15" hidden="false" customHeight="true" outlineLevel="0" collapsed="false">
      <c r="A558" s="189" t="s">
        <v>837</v>
      </c>
      <c r="B558" s="189"/>
      <c r="C558" s="189"/>
      <c r="D558" s="190" t="n">
        <v>3306</v>
      </c>
      <c r="E558" s="191"/>
    </row>
    <row r="560" customFormat="false" ht="39.75" hidden="false" customHeight="true" outlineLevel="0" collapsed="false">
      <c r="A560" s="174" t="s">
        <v>874</v>
      </c>
      <c r="B560" s="174"/>
      <c r="C560" s="174"/>
      <c r="D560" s="174"/>
      <c r="E560" s="174"/>
    </row>
    <row r="561" customFormat="false" ht="15" hidden="false" customHeight="true" outlineLevel="0" collapsed="false">
      <c r="A561" s="175" t="s">
        <v>828</v>
      </c>
      <c r="B561" s="175"/>
      <c r="C561" s="175"/>
      <c r="D561" s="175"/>
      <c r="E561" s="175"/>
    </row>
    <row r="562" customFormat="false" ht="15" hidden="false" customHeight="true" outlineLevel="0" collapsed="false">
      <c r="A562" s="20" t="n">
        <v>1</v>
      </c>
      <c r="B562" s="176" t="s">
        <v>829</v>
      </c>
      <c r="C562" s="176"/>
      <c r="D562" s="177" t="n">
        <v>5500</v>
      </c>
      <c r="E562" s="20" t="s">
        <v>849</v>
      </c>
    </row>
    <row r="563" customFormat="false" ht="15" hidden="false" customHeight="true" outlineLevel="0" collapsed="false">
      <c r="A563" s="178" t="n">
        <v>2</v>
      </c>
      <c r="B563" s="179" t="s">
        <v>831</v>
      </c>
      <c r="C563" s="179"/>
      <c r="D563" s="180" t="n">
        <v>6041.8</v>
      </c>
      <c r="E563" s="178" t="s">
        <v>875</v>
      </c>
    </row>
    <row r="564" customFormat="false" ht="15" hidden="false" customHeight="true" outlineLevel="0" collapsed="false">
      <c r="A564" s="20" t="n">
        <v>3</v>
      </c>
      <c r="B564" s="176" t="s">
        <v>833</v>
      </c>
      <c r="C564" s="176"/>
      <c r="D564" s="177" t="n">
        <v>6428</v>
      </c>
      <c r="E564" s="20" t="s">
        <v>843</v>
      </c>
    </row>
    <row r="566" customFormat="false" ht="15" hidden="false" customHeight="true" outlineLevel="0" collapsed="false">
      <c r="A566" s="181" t="s">
        <v>834</v>
      </c>
      <c r="B566" s="181"/>
      <c r="C566" s="181"/>
      <c r="D566" s="181"/>
      <c r="E566" s="181"/>
    </row>
    <row r="567" customFormat="false" ht="15" hidden="false" customHeight="true" outlineLevel="0" collapsed="false">
      <c r="A567" s="182" t="s">
        <v>46</v>
      </c>
      <c r="B567" s="183" t="s">
        <v>835</v>
      </c>
      <c r="C567" s="183" t="s">
        <v>660</v>
      </c>
      <c r="D567" s="183" t="s">
        <v>836</v>
      </c>
      <c r="E567" s="183"/>
    </row>
    <row r="568" customFormat="false" ht="15" hidden="false" customHeight="true" outlineLevel="0" collapsed="false">
      <c r="A568" s="20" t="n">
        <v>1</v>
      </c>
      <c r="B568" s="184" t="n">
        <v>46048</v>
      </c>
      <c r="C568" s="21" t="s">
        <v>183</v>
      </c>
      <c r="D568" s="152" t="n">
        <v>220</v>
      </c>
      <c r="E568" s="173"/>
    </row>
    <row r="569" customFormat="false" ht="15" hidden="false" customHeight="true" outlineLevel="0" collapsed="false">
      <c r="A569" s="178" t="n">
        <v>2</v>
      </c>
      <c r="B569" s="185" t="n">
        <v>46048</v>
      </c>
      <c r="C569" s="186" t="s">
        <v>191</v>
      </c>
      <c r="D569" s="187" t="n">
        <v>660</v>
      </c>
      <c r="E569" s="188"/>
    </row>
    <row r="570" customFormat="false" ht="15" hidden="false" customHeight="true" outlineLevel="0" collapsed="false">
      <c r="A570" s="20" t="n">
        <v>3</v>
      </c>
      <c r="B570" s="184" t="n">
        <v>46048</v>
      </c>
      <c r="C570" s="21" t="s">
        <v>204</v>
      </c>
      <c r="D570" s="152" t="n">
        <v>110</v>
      </c>
      <c r="E570" s="173"/>
    </row>
    <row r="571" customFormat="false" ht="15" hidden="false" customHeight="true" outlineLevel="0" collapsed="false">
      <c r="A571" s="178" t="n">
        <v>4</v>
      </c>
      <c r="B571" s="185" t="n">
        <v>46048</v>
      </c>
      <c r="C571" s="186" t="s">
        <v>205</v>
      </c>
      <c r="D571" s="187" t="n">
        <v>110</v>
      </c>
      <c r="E571" s="188"/>
    </row>
    <row r="572" customFormat="false" ht="15" hidden="false" customHeight="true" outlineLevel="0" collapsed="false">
      <c r="A572" s="20" t="n">
        <v>5</v>
      </c>
      <c r="B572" s="184" t="n">
        <v>46049</v>
      </c>
      <c r="C572" s="21" t="s">
        <v>191</v>
      </c>
      <c r="D572" s="152" t="n">
        <v>990</v>
      </c>
      <c r="E572" s="173"/>
    </row>
    <row r="573" customFormat="false" ht="15" hidden="false" customHeight="true" outlineLevel="0" collapsed="false">
      <c r="A573" s="178" t="n">
        <v>6</v>
      </c>
      <c r="B573" s="185" t="n">
        <v>46049</v>
      </c>
      <c r="C573" s="186" t="s">
        <v>205</v>
      </c>
      <c r="D573" s="187" t="n">
        <v>110</v>
      </c>
      <c r="E573" s="188"/>
    </row>
    <row r="574" customFormat="false" ht="15" hidden="false" customHeight="true" outlineLevel="0" collapsed="false">
      <c r="A574" s="20" t="n">
        <v>7</v>
      </c>
      <c r="B574" s="184" t="n">
        <v>46050</v>
      </c>
      <c r="C574" s="21" t="s">
        <v>155</v>
      </c>
      <c r="D574" s="152" t="n">
        <v>110</v>
      </c>
      <c r="E574" s="173"/>
    </row>
    <row r="575" customFormat="false" ht="15" hidden="false" customHeight="true" outlineLevel="0" collapsed="false">
      <c r="A575" s="178" t="n">
        <v>8</v>
      </c>
      <c r="B575" s="185" t="n">
        <v>46050</v>
      </c>
      <c r="C575" s="186" t="s">
        <v>191</v>
      </c>
      <c r="D575" s="187" t="n">
        <v>990</v>
      </c>
      <c r="E575" s="188"/>
    </row>
    <row r="576" customFormat="false" ht="15" hidden="false" customHeight="true" outlineLevel="0" collapsed="false">
      <c r="A576" s="20" t="n">
        <v>9</v>
      </c>
      <c r="B576" s="184" t="n">
        <v>46051</v>
      </c>
      <c r="C576" s="21" t="s">
        <v>191</v>
      </c>
      <c r="D576" s="152" t="n">
        <v>990</v>
      </c>
      <c r="E576" s="173"/>
    </row>
    <row r="577" customFormat="false" ht="15" hidden="false" customHeight="true" outlineLevel="0" collapsed="false">
      <c r="A577" s="178" t="n">
        <v>10</v>
      </c>
      <c r="B577" s="185" t="n">
        <v>46051</v>
      </c>
      <c r="C577" s="186" t="s">
        <v>204</v>
      </c>
      <c r="D577" s="187" t="n">
        <v>110</v>
      </c>
      <c r="E577" s="188"/>
    </row>
    <row r="578" customFormat="false" ht="15" hidden="false" customHeight="true" outlineLevel="0" collapsed="false">
      <c r="A578" s="20" t="n">
        <v>11</v>
      </c>
      <c r="B578" s="184" t="n">
        <v>46052</v>
      </c>
      <c r="C578" s="21" t="s">
        <v>183</v>
      </c>
      <c r="D578" s="152" t="n">
        <v>990</v>
      </c>
      <c r="E578" s="173"/>
    </row>
    <row r="579" customFormat="false" ht="15" hidden="false" customHeight="true" outlineLevel="0" collapsed="false">
      <c r="A579" s="178" t="n">
        <v>12</v>
      </c>
      <c r="B579" s="185" t="n">
        <v>46052</v>
      </c>
      <c r="C579" s="186" t="s">
        <v>204</v>
      </c>
      <c r="D579" s="187" t="n">
        <v>110</v>
      </c>
      <c r="E579" s="188"/>
    </row>
    <row r="580" customFormat="false" ht="15" hidden="false" customHeight="true" outlineLevel="0" collapsed="false">
      <c r="A580" s="189" t="s">
        <v>837</v>
      </c>
      <c r="B580" s="189"/>
      <c r="C580" s="189"/>
      <c r="D580" s="190" t="n">
        <v>5500</v>
      </c>
      <c r="E580" s="191"/>
    </row>
    <row r="582" customFormat="false" ht="15" hidden="false" customHeight="true" outlineLevel="0" collapsed="false">
      <c r="A582" s="192" t="s">
        <v>855</v>
      </c>
      <c r="B582" s="192"/>
      <c r="C582" s="192"/>
      <c r="D582" s="192"/>
      <c r="E582" s="192"/>
    </row>
    <row r="583" customFormat="false" ht="15" hidden="false" customHeight="true" outlineLevel="0" collapsed="false">
      <c r="A583" s="182" t="s">
        <v>46</v>
      </c>
      <c r="B583" s="183"/>
      <c r="C583" s="183" t="s">
        <v>660</v>
      </c>
      <c r="D583" s="183" t="s">
        <v>856</v>
      </c>
      <c r="E583" s="183"/>
    </row>
    <row r="584" customFormat="false" ht="15" hidden="false" customHeight="true" outlineLevel="0" collapsed="false">
      <c r="A584" s="20" t="n">
        <v>1</v>
      </c>
      <c r="B584" s="173"/>
      <c r="C584" s="21" t="s">
        <v>191</v>
      </c>
      <c r="D584" s="152" t="n">
        <v>4348.8</v>
      </c>
      <c r="E584" s="173"/>
    </row>
    <row r="585" customFormat="false" ht="15" hidden="false" customHeight="true" outlineLevel="0" collapsed="false">
      <c r="A585" s="178" t="n">
        <v>2</v>
      </c>
      <c r="B585" s="188"/>
      <c r="C585" s="186" t="s">
        <v>204</v>
      </c>
      <c r="D585" s="187" t="n">
        <v>273</v>
      </c>
      <c r="E585" s="188"/>
    </row>
    <row r="586" customFormat="false" ht="15" hidden="false" customHeight="true" outlineLevel="0" collapsed="false">
      <c r="A586" s="20" t="n">
        <v>3</v>
      </c>
      <c r="B586" s="173"/>
      <c r="C586" s="21" t="s">
        <v>876</v>
      </c>
      <c r="D586" s="152" t="n">
        <v>196</v>
      </c>
      <c r="E586" s="173"/>
    </row>
    <row r="587" customFormat="false" ht="15" hidden="false" customHeight="true" outlineLevel="0" collapsed="false">
      <c r="A587" s="178" t="n">
        <v>4</v>
      </c>
      <c r="B587" s="188"/>
      <c r="C587" s="186" t="s">
        <v>205</v>
      </c>
      <c r="D587" s="187" t="n">
        <v>157.8</v>
      </c>
      <c r="E587" s="188"/>
    </row>
    <row r="588" customFormat="false" ht="15" hidden="false" customHeight="true" outlineLevel="0" collapsed="false">
      <c r="A588" s="20" t="n">
        <v>5</v>
      </c>
      <c r="B588" s="173"/>
      <c r="C588" s="21" t="s">
        <v>155</v>
      </c>
      <c r="D588" s="152" t="n">
        <v>133.6</v>
      </c>
      <c r="E588" s="173"/>
    </row>
    <row r="589" customFormat="false" ht="15" hidden="false" customHeight="true" outlineLevel="0" collapsed="false">
      <c r="A589" s="178" t="n">
        <v>6</v>
      </c>
      <c r="B589" s="188"/>
      <c r="C589" s="186" t="s">
        <v>183</v>
      </c>
      <c r="D589" s="187" t="n">
        <v>108.6</v>
      </c>
      <c r="E589" s="188"/>
    </row>
    <row r="590" customFormat="false" ht="15" hidden="false" customHeight="true" outlineLevel="0" collapsed="false">
      <c r="A590" s="20" t="n">
        <v>7</v>
      </c>
      <c r="B590" s="173"/>
      <c r="C590" s="113" t="s">
        <v>761</v>
      </c>
      <c r="D590" s="152" t="n">
        <v>97.6</v>
      </c>
      <c r="E590" s="173"/>
    </row>
    <row r="591" customFormat="false" ht="15" hidden="false" customHeight="true" outlineLevel="0" collapsed="false">
      <c r="A591" s="178" t="n">
        <v>8</v>
      </c>
      <c r="B591" s="188"/>
      <c r="C591" s="186" t="s">
        <v>206</v>
      </c>
      <c r="D591" s="187" t="n">
        <v>73.2</v>
      </c>
      <c r="E591" s="188"/>
    </row>
    <row r="592" customFormat="false" ht="15" hidden="false" customHeight="true" outlineLevel="0" collapsed="false">
      <c r="A592" s="20" t="n">
        <v>9</v>
      </c>
      <c r="B592" s="173"/>
      <c r="C592" s="21" t="s">
        <v>144</v>
      </c>
      <c r="D592" s="152" t="n">
        <v>64</v>
      </c>
      <c r="E592" s="173"/>
    </row>
    <row r="593" customFormat="false" ht="15" hidden="false" customHeight="true" outlineLevel="0" collapsed="false">
      <c r="A593" s="178" t="n">
        <v>10</v>
      </c>
      <c r="B593" s="188"/>
      <c r="C593" s="186" t="s">
        <v>152</v>
      </c>
      <c r="D593" s="187" t="n">
        <v>60.2</v>
      </c>
      <c r="E593" s="188"/>
    </row>
    <row r="594" customFormat="false" ht="15" hidden="false" customHeight="true" outlineLevel="0" collapsed="false">
      <c r="A594" s="20" t="n">
        <v>11</v>
      </c>
      <c r="B594" s="173"/>
      <c r="C594" s="21" t="s">
        <v>150</v>
      </c>
      <c r="D594" s="152" t="n">
        <v>57.2</v>
      </c>
      <c r="E594" s="173"/>
    </row>
    <row r="595" customFormat="false" ht="15" hidden="false" customHeight="true" outlineLevel="0" collapsed="false">
      <c r="A595" s="178" t="n">
        <v>12</v>
      </c>
      <c r="B595" s="188"/>
      <c r="C595" s="186" t="s">
        <v>153</v>
      </c>
      <c r="D595" s="187" t="n">
        <v>55.4</v>
      </c>
      <c r="E595" s="188"/>
    </row>
    <row r="596" customFormat="false" ht="15" hidden="false" customHeight="true" outlineLevel="0" collapsed="false">
      <c r="A596" s="20" t="n">
        <v>13</v>
      </c>
      <c r="B596" s="173"/>
      <c r="C596" s="21" t="s">
        <v>143</v>
      </c>
      <c r="D596" s="152" t="n">
        <v>52.9</v>
      </c>
      <c r="E596" s="173"/>
    </row>
    <row r="597" customFormat="false" ht="15" hidden="false" customHeight="true" outlineLevel="0" collapsed="false">
      <c r="A597" s="178" t="n">
        <v>14</v>
      </c>
      <c r="B597" s="188"/>
      <c r="C597" s="186" t="s">
        <v>154</v>
      </c>
      <c r="D597" s="187" t="n">
        <v>42.8</v>
      </c>
      <c r="E597" s="188"/>
    </row>
    <row r="598" customFormat="false" ht="15" hidden="false" customHeight="true" outlineLevel="0" collapsed="false">
      <c r="A598" s="20" t="n">
        <v>15</v>
      </c>
      <c r="B598" s="173"/>
      <c r="C598" s="21" t="s">
        <v>149</v>
      </c>
      <c r="D598" s="152" t="n">
        <v>42.1</v>
      </c>
      <c r="E598" s="173"/>
    </row>
    <row r="599" customFormat="false" ht="15" hidden="false" customHeight="true" outlineLevel="0" collapsed="false">
      <c r="A599" s="178" t="n">
        <v>16</v>
      </c>
      <c r="B599" s="188"/>
      <c r="C599" s="186" t="s">
        <v>179</v>
      </c>
      <c r="D599" s="187" t="n">
        <v>41.6</v>
      </c>
      <c r="E599" s="188"/>
    </row>
    <row r="600" customFormat="false" ht="15" hidden="false" customHeight="true" outlineLevel="0" collapsed="false">
      <c r="A600" s="20" t="n">
        <v>17</v>
      </c>
      <c r="B600" s="173"/>
      <c r="C600" s="21" t="s">
        <v>178</v>
      </c>
      <c r="D600" s="152" t="n">
        <v>39</v>
      </c>
      <c r="E600" s="173"/>
    </row>
    <row r="601" customFormat="false" ht="15" hidden="false" customHeight="true" outlineLevel="0" collapsed="false">
      <c r="A601" s="178" t="n">
        <v>18</v>
      </c>
      <c r="B601" s="188"/>
      <c r="C601" s="186" t="s">
        <v>151</v>
      </c>
      <c r="D601" s="187" t="n">
        <v>32.8</v>
      </c>
      <c r="E601" s="188"/>
    </row>
    <row r="602" customFormat="false" ht="15" hidden="false" customHeight="true" outlineLevel="0" collapsed="false">
      <c r="A602" s="20" t="n">
        <v>19</v>
      </c>
      <c r="B602" s="173"/>
      <c r="C602" s="21" t="s">
        <v>181</v>
      </c>
      <c r="D602" s="152" t="n">
        <v>22</v>
      </c>
      <c r="E602" s="173"/>
    </row>
    <row r="603" customFormat="false" ht="15" hidden="false" customHeight="true" outlineLevel="0" collapsed="false">
      <c r="A603" s="178" t="n">
        <v>20</v>
      </c>
      <c r="B603" s="188"/>
      <c r="C603" s="194" t="s">
        <v>267</v>
      </c>
      <c r="D603" s="187" t="n">
        <v>20.4</v>
      </c>
      <c r="E603" s="188"/>
    </row>
    <row r="604" customFormat="false" ht="15" hidden="false" customHeight="true" outlineLevel="0" collapsed="false">
      <c r="A604" s="20" t="n">
        <v>21</v>
      </c>
      <c r="B604" s="173"/>
      <c r="C604" s="21" t="s">
        <v>184</v>
      </c>
      <c r="D604" s="152" t="n">
        <v>16.9</v>
      </c>
      <c r="E604" s="173"/>
    </row>
    <row r="605" customFormat="false" ht="15" hidden="false" customHeight="true" outlineLevel="0" collapsed="false">
      <c r="A605" s="178" t="n">
        <v>22</v>
      </c>
      <c r="B605" s="188"/>
      <c r="C605" s="186" t="s">
        <v>857</v>
      </c>
      <c r="D605" s="187" t="n">
        <v>15</v>
      </c>
      <c r="E605" s="188"/>
    </row>
    <row r="606" customFormat="false" ht="15" hidden="false" customHeight="true" outlineLevel="0" collapsed="false">
      <c r="A606" s="20" t="n">
        <v>23</v>
      </c>
      <c r="B606" s="173"/>
      <c r="C606" s="21" t="s">
        <v>222</v>
      </c>
      <c r="D606" s="152" t="n">
        <v>13.8</v>
      </c>
      <c r="E606" s="173"/>
    </row>
    <row r="607" customFormat="false" ht="15" hidden="false" customHeight="true" outlineLevel="0" collapsed="false">
      <c r="A607" s="178" t="n">
        <v>24</v>
      </c>
      <c r="B607" s="188"/>
      <c r="C607" s="186" t="s">
        <v>174</v>
      </c>
      <c r="D607" s="187" t="n">
        <v>13</v>
      </c>
      <c r="E607" s="188"/>
    </row>
    <row r="608" customFormat="false" ht="15" hidden="false" customHeight="true" outlineLevel="0" collapsed="false">
      <c r="A608" s="20" t="n">
        <v>25</v>
      </c>
      <c r="B608" s="173"/>
      <c r="C608" s="21" t="s">
        <v>221</v>
      </c>
      <c r="D608" s="152" t="n">
        <v>12.2</v>
      </c>
      <c r="E608" s="173"/>
    </row>
    <row r="609" customFormat="false" ht="15" hidden="false" customHeight="true" outlineLevel="0" collapsed="false">
      <c r="A609" s="178" t="n">
        <v>26</v>
      </c>
      <c r="B609" s="188"/>
      <c r="C609" s="186" t="s">
        <v>759</v>
      </c>
      <c r="D609" s="187" t="n">
        <v>12</v>
      </c>
      <c r="E609" s="188"/>
    </row>
    <row r="610" customFormat="false" ht="15" hidden="false" customHeight="true" outlineLevel="0" collapsed="false">
      <c r="A610" s="20" t="n">
        <v>27</v>
      </c>
      <c r="B610" s="173"/>
      <c r="C610" s="21" t="s">
        <v>207</v>
      </c>
      <c r="D610" s="152" t="n">
        <v>11</v>
      </c>
      <c r="E610" s="173"/>
    </row>
    <row r="611" customFormat="false" ht="15" hidden="false" customHeight="true" outlineLevel="0" collapsed="false">
      <c r="A611" s="178" t="n">
        <v>28</v>
      </c>
      <c r="B611" s="188"/>
      <c r="C611" s="186" t="s">
        <v>169</v>
      </c>
      <c r="D611" s="187" t="n">
        <v>6</v>
      </c>
      <c r="E611" s="188"/>
    </row>
    <row r="612" customFormat="false" ht="15" hidden="false" customHeight="true" outlineLevel="0" collapsed="false">
      <c r="A612" s="20" t="n">
        <v>29</v>
      </c>
      <c r="B612" s="173"/>
      <c r="C612" s="21" t="s">
        <v>161</v>
      </c>
      <c r="D612" s="152" t="n">
        <v>4</v>
      </c>
      <c r="E612" s="173"/>
    </row>
    <row r="613" customFormat="false" ht="15" hidden="false" customHeight="true" outlineLevel="0" collapsed="false">
      <c r="A613" s="178" t="n">
        <v>30</v>
      </c>
      <c r="B613" s="188"/>
      <c r="C613" s="186" t="s">
        <v>142</v>
      </c>
      <c r="D613" s="187" t="n">
        <v>2.8</v>
      </c>
      <c r="E613" s="188"/>
    </row>
    <row r="614" customFormat="false" ht="15" hidden="false" customHeight="true" outlineLevel="0" collapsed="false">
      <c r="A614" s="20" t="n">
        <v>31</v>
      </c>
      <c r="B614" s="173"/>
      <c r="C614" s="21" t="s">
        <v>147</v>
      </c>
      <c r="D614" s="152" t="n">
        <v>2.8</v>
      </c>
      <c r="E614" s="173"/>
    </row>
    <row r="615" customFormat="false" ht="15" hidden="false" customHeight="true" outlineLevel="0" collapsed="false">
      <c r="A615" s="178" t="n">
        <v>32</v>
      </c>
      <c r="B615" s="188"/>
      <c r="C615" s="186" t="s">
        <v>877</v>
      </c>
      <c r="D615" s="187" t="n">
        <v>2.4</v>
      </c>
      <c r="E615" s="188"/>
    </row>
    <row r="616" customFormat="false" ht="15" hidden="false" customHeight="true" outlineLevel="0" collapsed="false">
      <c r="A616" s="20" t="n">
        <v>33</v>
      </c>
      <c r="B616" s="173"/>
      <c r="C616" s="21" t="s">
        <v>146</v>
      </c>
      <c r="D616" s="152" t="n">
        <v>1.8</v>
      </c>
      <c r="E616" s="173"/>
    </row>
    <row r="617" customFormat="false" ht="15" hidden="false" customHeight="true" outlineLevel="0" collapsed="false">
      <c r="A617" s="178" t="n">
        <v>34</v>
      </c>
      <c r="B617" s="188"/>
      <c r="C617" s="186" t="s">
        <v>220</v>
      </c>
      <c r="D617" s="187" t="n">
        <v>1.8</v>
      </c>
      <c r="E617" s="188"/>
    </row>
    <row r="618" customFormat="false" ht="15" hidden="false" customHeight="true" outlineLevel="0" collapsed="false">
      <c r="A618" s="20" t="n">
        <v>35</v>
      </c>
      <c r="B618" s="173"/>
      <c r="C618" s="21" t="s">
        <v>209</v>
      </c>
      <c r="D618" s="152" t="n">
        <v>1.2</v>
      </c>
      <c r="E618" s="173"/>
    </row>
    <row r="619" customFormat="false" ht="15" hidden="false" customHeight="true" outlineLevel="0" collapsed="false">
      <c r="A619" s="178" t="n">
        <v>36</v>
      </c>
      <c r="B619" s="188"/>
      <c r="C619" s="186" t="s">
        <v>173</v>
      </c>
      <c r="D619" s="187" t="n">
        <v>1</v>
      </c>
      <c r="E619" s="188"/>
    </row>
    <row r="620" customFormat="false" ht="15" hidden="false" customHeight="true" outlineLevel="0" collapsed="false">
      <c r="A620" s="20" t="n">
        <v>37</v>
      </c>
      <c r="B620" s="173"/>
      <c r="C620" s="21" t="s">
        <v>145</v>
      </c>
      <c r="D620" s="152" t="n">
        <v>0.8</v>
      </c>
      <c r="E620" s="173"/>
    </row>
    <row r="621" customFormat="false" ht="15" hidden="false" customHeight="true" outlineLevel="0" collapsed="false">
      <c r="A621" s="178" t="n">
        <v>38</v>
      </c>
      <c r="B621" s="188"/>
      <c r="C621" s="186" t="s">
        <v>192</v>
      </c>
      <c r="D621" s="187" t="n">
        <v>0.8</v>
      </c>
      <c r="E621" s="188"/>
    </row>
    <row r="622" customFormat="false" ht="15" hidden="false" customHeight="true" outlineLevel="0" collapsed="false">
      <c r="A622" s="20" t="n">
        <v>39</v>
      </c>
      <c r="B622" s="173"/>
      <c r="C622" s="21" t="s">
        <v>148</v>
      </c>
      <c r="D622" s="152" t="n">
        <v>0.7</v>
      </c>
      <c r="E622" s="173"/>
    </row>
    <row r="623" customFormat="false" ht="15" hidden="false" customHeight="true" outlineLevel="0" collapsed="false">
      <c r="A623" s="178" t="n">
        <v>40</v>
      </c>
      <c r="B623" s="188"/>
      <c r="C623" s="186" t="s">
        <v>159</v>
      </c>
      <c r="D623" s="187" t="n">
        <v>0.7</v>
      </c>
      <c r="E623" s="188"/>
    </row>
    <row r="624" customFormat="false" ht="15" hidden="false" customHeight="true" outlineLevel="0" collapsed="false">
      <c r="A624" s="20" t="n">
        <v>41</v>
      </c>
      <c r="B624" s="173"/>
      <c r="C624" s="21" t="s">
        <v>186</v>
      </c>
      <c r="D624" s="152" t="n">
        <v>0.7</v>
      </c>
      <c r="E624" s="173"/>
    </row>
    <row r="625" customFormat="false" ht="15" hidden="false" customHeight="true" outlineLevel="0" collapsed="false">
      <c r="A625" s="178" t="n">
        <v>42</v>
      </c>
      <c r="B625" s="188"/>
      <c r="C625" s="186" t="s">
        <v>195</v>
      </c>
      <c r="D625" s="187" t="n">
        <v>0.7</v>
      </c>
      <c r="E625" s="188"/>
    </row>
    <row r="626" customFormat="false" ht="15" hidden="false" customHeight="true" outlineLevel="0" collapsed="false">
      <c r="A626" s="20" t="n">
        <v>43</v>
      </c>
      <c r="B626" s="173"/>
      <c r="C626" s="21" t="s">
        <v>219</v>
      </c>
      <c r="D626" s="152" t="n">
        <v>0.7</v>
      </c>
      <c r="E626" s="173"/>
    </row>
    <row r="627" customFormat="false" ht="15" hidden="false" customHeight="true" outlineLevel="0" collapsed="false">
      <c r="A627" s="189" t="s">
        <v>837</v>
      </c>
      <c r="B627" s="189"/>
      <c r="C627" s="189"/>
      <c r="D627" s="190" t="n">
        <v>6041.8</v>
      </c>
      <c r="E627" s="191"/>
    </row>
    <row r="629" customFormat="false" ht="15" hidden="false" customHeight="true" outlineLevel="0" collapsed="false">
      <c r="A629" s="193" t="s">
        <v>864</v>
      </c>
      <c r="B629" s="193"/>
      <c r="C629" s="193"/>
      <c r="D629" s="193"/>
      <c r="E629" s="193"/>
    </row>
    <row r="630" customFormat="false" ht="15" hidden="false" customHeight="true" outlineLevel="0" collapsed="false">
      <c r="A630" s="182" t="s">
        <v>46</v>
      </c>
      <c r="B630" s="183" t="s">
        <v>835</v>
      </c>
      <c r="C630" s="183" t="s">
        <v>140</v>
      </c>
      <c r="D630" s="183" t="s">
        <v>865</v>
      </c>
      <c r="E630" s="183"/>
    </row>
    <row r="631" customFormat="false" ht="15" hidden="false" customHeight="true" outlineLevel="0" collapsed="false">
      <c r="A631" s="20" t="n">
        <v>1</v>
      </c>
      <c r="B631" s="184" t="n">
        <v>46049</v>
      </c>
      <c r="C631" s="21" t="s">
        <v>116</v>
      </c>
      <c r="D631" s="152" t="n">
        <v>2000</v>
      </c>
      <c r="E631" s="173"/>
    </row>
    <row r="632" customFormat="false" ht="15" hidden="false" customHeight="true" outlineLevel="0" collapsed="false">
      <c r="A632" s="178" t="n">
        <v>2</v>
      </c>
      <c r="B632" s="185" t="n">
        <v>46051</v>
      </c>
      <c r="C632" s="186" t="s">
        <v>108</v>
      </c>
      <c r="D632" s="187" t="n">
        <v>80</v>
      </c>
      <c r="E632" s="188"/>
    </row>
    <row r="633" customFormat="false" ht="15" hidden="false" customHeight="true" outlineLevel="0" collapsed="false">
      <c r="A633" s="20" t="n">
        <v>3</v>
      </c>
      <c r="B633" s="184" t="n">
        <v>46052</v>
      </c>
      <c r="C633" s="21" t="s">
        <v>99</v>
      </c>
      <c r="D633" s="152" t="n">
        <v>1260</v>
      </c>
      <c r="E633" s="173"/>
    </row>
    <row r="634" customFormat="false" ht="15" hidden="false" customHeight="true" outlineLevel="0" collapsed="false">
      <c r="A634" s="178" t="n">
        <v>4</v>
      </c>
      <c r="B634" s="185" t="n">
        <v>46052</v>
      </c>
      <c r="C634" s="186" t="s">
        <v>104</v>
      </c>
      <c r="D634" s="187" t="n">
        <v>8</v>
      </c>
      <c r="E634" s="188"/>
    </row>
    <row r="635" customFormat="false" ht="15" hidden="false" customHeight="true" outlineLevel="0" collapsed="false">
      <c r="A635" s="20" t="n">
        <v>5</v>
      </c>
      <c r="B635" s="184" t="n">
        <v>46052</v>
      </c>
      <c r="C635" s="21" t="s">
        <v>108</v>
      </c>
      <c r="D635" s="152" t="n">
        <v>500</v>
      </c>
      <c r="E635" s="173"/>
    </row>
    <row r="636" customFormat="false" ht="15" hidden="false" customHeight="true" outlineLevel="0" collapsed="false">
      <c r="A636" s="178" t="n">
        <v>6</v>
      </c>
      <c r="B636" s="185" t="n">
        <v>46052</v>
      </c>
      <c r="C636" s="186" t="s">
        <v>134</v>
      </c>
      <c r="D636" s="187" t="n">
        <v>780</v>
      </c>
      <c r="E636" s="188"/>
    </row>
    <row r="637" customFormat="false" ht="15" hidden="false" customHeight="true" outlineLevel="0" collapsed="false">
      <c r="A637" s="20" t="n">
        <v>7</v>
      </c>
      <c r="B637" s="184" t="n">
        <v>46052</v>
      </c>
      <c r="C637" s="21" t="s">
        <v>121</v>
      </c>
      <c r="D637" s="152" t="n">
        <v>160</v>
      </c>
      <c r="E637" s="173"/>
    </row>
    <row r="638" customFormat="false" ht="15" hidden="false" customHeight="true" outlineLevel="0" collapsed="false">
      <c r="A638" s="178" t="n">
        <v>8</v>
      </c>
      <c r="B638" s="185" t="n">
        <v>46053</v>
      </c>
      <c r="C638" s="186" t="s">
        <v>60</v>
      </c>
      <c r="D638" s="187" t="n">
        <v>40</v>
      </c>
      <c r="E638" s="188"/>
    </row>
    <row r="639" customFormat="false" ht="15" hidden="false" customHeight="true" outlineLevel="0" collapsed="false">
      <c r="A639" s="20" t="n">
        <v>9</v>
      </c>
      <c r="B639" s="184" t="n">
        <v>46053</v>
      </c>
      <c r="C639" s="21" t="s">
        <v>120</v>
      </c>
      <c r="D639" s="152" t="n">
        <v>1600</v>
      </c>
      <c r="E639" s="173"/>
    </row>
    <row r="640" customFormat="false" ht="15" hidden="false" customHeight="true" outlineLevel="0" collapsed="false">
      <c r="A640" s="189" t="s">
        <v>837</v>
      </c>
      <c r="B640" s="189"/>
      <c r="C640" s="189"/>
      <c r="D640" s="190" t="n">
        <v>6428</v>
      </c>
      <c r="E640" s="191"/>
    </row>
    <row r="642" customFormat="false" ht="39.75" hidden="false" customHeight="true" outlineLevel="0" collapsed="false">
      <c r="A642" s="174" t="s">
        <v>878</v>
      </c>
      <c r="B642" s="174"/>
      <c r="C642" s="174"/>
      <c r="D642" s="174"/>
      <c r="E642" s="174"/>
    </row>
    <row r="643" customFormat="false" ht="15" hidden="false" customHeight="true" outlineLevel="0" collapsed="false">
      <c r="A643" s="175" t="s">
        <v>828</v>
      </c>
      <c r="B643" s="175"/>
      <c r="C643" s="175"/>
      <c r="D643" s="175"/>
      <c r="E643" s="175"/>
    </row>
    <row r="644" customFormat="false" ht="15" hidden="false" customHeight="true" outlineLevel="0" collapsed="false">
      <c r="A644" s="20" t="n">
        <v>1</v>
      </c>
      <c r="B644" s="176" t="s">
        <v>829</v>
      </c>
      <c r="C644" s="176"/>
      <c r="D644" s="177" t="n">
        <v>8481.2</v>
      </c>
      <c r="E644" s="20" t="s">
        <v>879</v>
      </c>
    </row>
    <row r="645" customFormat="false" ht="15" hidden="false" customHeight="true" outlineLevel="0" collapsed="false">
      <c r="A645" s="178" t="n">
        <v>2</v>
      </c>
      <c r="B645" s="179" t="s">
        <v>831</v>
      </c>
      <c r="C645" s="179"/>
      <c r="D645" s="180" t="n">
        <v>10171.1</v>
      </c>
      <c r="E645" s="178" t="s">
        <v>880</v>
      </c>
    </row>
    <row r="646" customFormat="false" ht="15" hidden="false" customHeight="true" outlineLevel="0" collapsed="false">
      <c r="A646" s="20" t="n">
        <v>3</v>
      </c>
      <c r="B646" s="176" t="s">
        <v>833</v>
      </c>
      <c r="C646" s="176"/>
      <c r="D646" s="177" t="n">
        <v>6564.3</v>
      </c>
      <c r="E646" s="20" t="s">
        <v>853</v>
      </c>
    </row>
    <row r="648" customFormat="false" ht="15" hidden="false" customHeight="true" outlineLevel="0" collapsed="false">
      <c r="A648" s="181" t="s">
        <v>834</v>
      </c>
      <c r="B648" s="181"/>
      <c r="C648" s="181"/>
      <c r="D648" s="181"/>
      <c r="E648" s="181"/>
    </row>
    <row r="649" customFormat="false" ht="15" hidden="false" customHeight="true" outlineLevel="0" collapsed="false">
      <c r="A649" s="182" t="s">
        <v>46</v>
      </c>
      <c r="B649" s="183" t="s">
        <v>835</v>
      </c>
      <c r="C649" s="183" t="s">
        <v>660</v>
      </c>
      <c r="D649" s="183" t="s">
        <v>836</v>
      </c>
      <c r="E649" s="183"/>
    </row>
    <row r="650" customFormat="false" ht="15" hidden="false" customHeight="true" outlineLevel="0" collapsed="false">
      <c r="A650" s="20" t="n">
        <v>1</v>
      </c>
      <c r="B650" s="184" t="n">
        <v>46055</v>
      </c>
      <c r="C650" s="21" t="s">
        <v>169</v>
      </c>
      <c r="D650" s="152" t="n">
        <v>300</v>
      </c>
      <c r="E650" s="173"/>
    </row>
    <row r="651" customFormat="false" ht="15" hidden="false" customHeight="true" outlineLevel="0" collapsed="false">
      <c r="A651" s="178" t="n">
        <v>2</v>
      </c>
      <c r="B651" s="185" t="n">
        <v>46055</v>
      </c>
      <c r="C651" s="186" t="s">
        <v>191</v>
      </c>
      <c r="D651" s="187" t="n">
        <v>1100</v>
      </c>
      <c r="E651" s="188"/>
    </row>
    <row r="652" customFormat="false" ht="15" hidden="false" customHeight="true" outlineLevel="0" collapsed="false">
      <c r="A652" s="20" t="n">
        <v>3</v>
      </c>
      <c r="B652" s="184" t="n">
        <v>46056</v>
      </c>
      <c r="C652" s="21" t="s">
        <v>169</v>
      </c>
      <c r="D652" s="152" t="n">
        <v>300</v>
      </c>
      <c r="E652" s="173"/>
    </row>
    <row r="653" customFormat="false" ht="15" hidden="false" customHeight="true" outlineLevel="0" collapsed="false">
      <c r="A653" s="178" t="n">
        <v>4</v>
      </c>
      <c r="B653" s="185" t="n">
        <v>46056</v>
      </c>
      <c r="C653" s="186" t="s">
        <v>191</v>
      </c>
      <c r="D653" s="187" t="n">
        <v>990</v>
      </c>
      <c r="E653" s="188"/>
    </row>
    <row r="654" customFormat="false" ht="15" hidden="false" customHeight="true" outlineLevel="0" collapsed="false">
      <c r="A654" s="20" t="n">
        <v>5</v>
      </c>
      <c r="B654" s="184" t="n">
        <v>46056</v>
      </c>
      <c r="C654" s="21" t="s">
        <v>205</v>
      </c>
      <c r="D654" s="152" t="n">
        <v>110</v>
      </c>
      <c r="E654" s="173"/>
    </row>
    <row r="655" customFormat="false" ht="15" hidden="false" customHeight="true" outlineLevel="0" collapsed="false">
      <c r="A655" s="178" t="n">
        <v>6</v>
      </c>
      <c r="B655" s="185" t="n">
        <v>46057</v>
      </c>
      <c r="C655" s="186" t="s">
        <v>184</v>
      </c>
      <c r="D655" s="187" t="n">
        <v>179.9</v>
      </c>
      <c r="E655" s="188"/>
    </row>
    <row r="656" customFormat="false" ht="15" hidden="false" customHeight="true" outlineLevel="0" collapsed="false">
      <c r="A656" s="20" t="n">
        <v>7</v>
      </c>
      <c r="B656" s="184" t="n">
        <v>46057</v>
      </c>
      <c r="C656" s="21" t="s">
        <v>191</v>
      </c>
      <c r="D656" s="152" t="n">
        <v>1100</v>
      </c>
      <c r="E656" s="173"/>
    </row>
    <row r="657" customFormat="false" ht="15" hidden="false" customHeight="true" outlineLevel="0" collapsed="false">
      <c r="A657" s="178" t="n">
        <v>8</v>
      </c>
      <c r="B657" s="185" t="n">
        <v>46057</v>
      </c>
      <c r="C657" s="186" t="s">
        <v>204</v>
      </c>
      <c r="D657" s="187" t="n">
        <v>220</v>
      </c>
      <c r="E657" s="188"/>
    </row>
    <row r="658" customFormat="false" ht="15" hidden="false" customHeight="true" outlineLevel="0" collapsed="false">
      <c r="A658" s="20" t="n">
        <v>9</v>
      </c>
      <c r="B658" s="184" t="n">
        <v>46057</v>
      </c>
      <c r="C658" s="21" t="s">
        <v>205</v>
      </c>
      <c r="D658" s="152" t="n">
        <v>110</v>
      </c>
      <c r="E658" s="173"/>
    </row>
    <row r="659" customFormat="false" ht="15" hidden="false" customHeight="true" outlineLevel="0" collapsed="false">
      <c r="A659" s="178" t="n">
        <v>10</v>
      </c>
      <c r="B659" s="185" t="n">
        <v>46058</v>
      </c>
      <c r="C659" s="186" t="s">
        <v>155</v>
      </c>
      <c r="D659" s="187" t="n">
        <v>220</v>
      </c>
      <c r="E659" s="188"/>
    </row>
    <row r="660" customFormat="false" ht="15" hidden="false" customHeight="true" outlineLevel="0" collapsed="false">
      <c r="A660" s="20" t="n">
        <v>11</v>
      </c>
      <c r="B660" s="184" t="n">
        <v>46058</v>
      </c>
      <c r="C660" s="21" t="s">
        <v>183</v>
      </c>
      <c r="D660" s="152" t="n">
        <v>110</v>
      </c>
      <c r="E660" s="173"/>
    </row>
    <row r="661" customFormat="false" ht="15" hidden="false" customHeight="true" outlineLevel="0" collapsed="false">
      <c r="A661" s="178" t="n">
        <v>12</v>
      </c>
      <c r="B661" s="185" t="n">
        <v>46058</v>
      </c>
      <c r="C661" s="186" t="s">
        <v>184</v>
      </c>
      <c r="D661" s="187" t="n">
        <v>179.8</v>
      </c>
      <c r="E661" s="188"/>
    </row>
    <row r="662" customFormat="false" ht="15" hidden="false" customHeight="true" outlineLevel="0" collapsed="false">
      <c r="A662" s="20" t="n">
        <v>13</v>
      </c>
      <c r="B662" s="184" t="n">
        <v>46058</v>
      </c>
      <c r="C662" s="21" t="s">
        <v>191</v>
      </c>
      <c r="D662" s="152" t="n">
        <v>990</v>
      </c>
      <c r="E662" s="173"/>
    </row>
    <row r="663" customFormat="false" ht="15" hidden="false" customHeight="true" outlineLevel="0" collapsed="false">
      <c r="A663" s="178" t="n">
        <v>14</v>
      </c>
      <c r="B663" s="185" t="n">
        <v>46058</v>
      </c>
      <c r="C663" s="186" t="s">
        <v>204</v>
      </c>
      <c r="D663" s="187" t="n">
        <v>220</v>
      </c>
      <c r="E663" s="188"/>
    </row>
    <row r="664" customFormat="false" ht="15" hidden="false" customHeight="true" outlineLevel="0" collapsed="false">
      <c r="A664" s="20" t="n">
        <v>15</v>
      </c>
      <c r="B664" s="184" t="n">
        <v>46059</v>
      </c>
      <c r="C664" s="21" t="s">
        <v>143</v>
      </c>
      <c r="D664" s="152" t="n">
        <v>185.8</v>
      </c>
      <c r="E664" s="173"/>
    </row>
    <row r="665" customFormat="false" ht="15" hidden="false" customHeight="true" outlineLevel="0" collapsed="false">
      <c r="A665" s="178" t="n">
        <v>16</v>
      </c>
      <c r="B665" s="185" t="n">
        <v>46059</v>
      </c>
      <c r="C665" s="186" t="s">
        <v>156</v>
      </c>
      <c r="D665" s="187" t="n">
        <v>110</v>
      </c>
      <c r="E665" s="188"/>
    </row>
    <row r="666" customFormat="false" ht="15" hidden="false" customHeight="true" outlineLevel="0" collapsed="false">
      <c r="A666" s="20" t="n">
        <v>17</v>
      </c>
      <c r="B666" s="184" t="n">
        <v>46059</v>
      </c>
      <c r="C666" s="21" t="s">
        <v>157</v>
      </c>
      <c r="D666" s="152" t="n">
        <v>110</v>
      </c>
      <c r="E666" s="173"/>
    </row>
    <row r="667" customFormat="false" ht="15" hidden="false" customHeight="true" outlineLevel="0" collapsed="false">
      <c r="A667" s="178" t="n">
        <v>18</v>
      </c>
      <c r="B667" s="185" t="n">
        <v>46059</v>
      </c>
      <c r="C667" s="186" t="s">
        <v>183</v>
      </c>
      <c r="D667" s="187" t="n">
        <v>110</v>
      </c>
      <c r="E667" s="188"/>
    </row>
    <row r="668" customFormat="false" ht="15" hidden="false" customHeight="true" outlineLevel="0" collapsed="false">
      <c r="A668" s="20" t="n">
        <v>19</v>
      </c>
      <c r="B668" s="184" t="n">
        <v>46059</v>
      </c>
      <c r="C668" s="21" t="s">
        <v>191</v>
      </c>
      <c r="D668" s="152" t="n">
        <v>880</v>
      </c>
      <c r="E668" s="173"/>
    </row>
    <row r="669" customFormat="false" ht="15" hidden="false" customHeight="true" outlineLevel="0" collapsed="false">
      <c r="A669" s="178" t="n">
        <v>20</v>
      </c>
      <c r="B669" s="185" t="n">
        <v>46059</v>
      </c>
      <c r="C669" s="186" t="s">
        <v>205</v>
      </c>
      <c r="D669" s="187" t="n">
        <v>220</v>
      </c>
      <c r="E669" s="188"/>
    </row>
    <row r="670" customFormat="false" ht="15" hidden="false" customHeight="true" outlineLevel="0" collapsed="false">
      <c r="A670" s="20" t="n">
        <v>21</v>
      </c>
      <c r="B670" s="184" t="n">
        <v>46061</v>
      </c>
      <c r="C670" s="21" t="s">
        <v>143</v>
      </c>
      <c r="D670" s="152" t="n">
        <v>185.7</v>
      </c>
      <c r="E670" s="173"/>
    </row>
    <row r="671" customFormat="false" ht="15" hidden="false" customHeight="true" outlineLevel="0" collapsed="false">
      <c r="A671" s="178" t="n">
        <v>22</v>
      </c>
      <c r="B671" s="185" t="n">
        <v>46061</v>
      </c>
      <c r="C671" s="186" t="s">
        <v>149</v>
      </c>
      <c r="D671" s="187" t="n">
        <v>110</v>
      </c>
      <c r="E671" s="188"/>
    </row>
    <row r="672" customFormat="false" ht="15" hidden="false" customHeight="true" outlineLevel="0" collapsed="false">
      <c r="A672" s="20" t="n">
        <v>23</v>
      </c>
      <c r="B672" s="184" t="n">
        <v>46061</v>
      </c>
      <c r="C672" s="21" t="s">
        <v>150</v>
      </c>
      <c r="D672" s="152" t="n">
        <v>110</v>
      </c>
      <c r="E672" s="173"/>
    </row>
    <row r="673" customFormat="false" ht="15" hidden="false" customHeight="true" outlineLevel="0" collapsed="false">
      <c r="A673" s="178" t="n">
        <v>24</v>
      </c>
      <c r="B673" s="185" t="n">
        <v>46061</v>
      </c>
      <c r="C673" s="186" t="s">
        <v>152</v>
      </c>
      <c r="D673" s="187" t="n">
        <v>220</v>
      </c>
      <c r="E673" s="188"/>
    </row>
    <row r="674" customFormat="false" ht="15" hidden="false" customHeight="true" outlineLevel="0" collapsed="false">
      <c r="A674" s="20" t="n">
        <v>25</v>
      </c>
      <c r="B674" s="184" t="n">
        <v>46061</v>
      </c>
      <c r="C674" s="21" t="s">
        <v>153</v>
      </c>
      <c r="D674" s="152" t="n">
        <v>110</v>
      </c>
      <c r="E674" s="173"/>
    </row>
    <row r="675" customFormat="false" ht="15" hidden="false" customHeight="true" outlineLevel="0" collapsed="false">
      <c r="A675" s="189" t="s">
        <v>837</v>
      </c>
      <c r="B675" s="189"/>
      <c r="C675" s="189"/>
      <c r="D675" s="190" t="n">
        <v>8481.2</v>
      </c>
      <c r="E675" s="191"/>
    </row>
    <row r="677" customFormat="false" ht="15" hidden="false" customHeight="true" outlineLevel="0" collapsed="false">
      <c r="A677" s="192" t="s">
        <v>855</v>
      </c>
      <c r="B677" s="192"/>
      <c r="C677" s="192"/>
      <c r="D677" s="192"/>
      <c r="E677" s="192"/>
    </row>
    <row r="678" customFormat="false" ht="15" hidden="false" customHeight="true" outlineLevel="0" collapsed="false">
      <c r="A678" s="182" t="s">
        <v>46</v>
      </c>
      <c r="B678" s="183"/>
      <c r="C678" s="183" t="s">
        <v>660</v>
      </c>
      <c r="D678" s="183" t="s">
        <v>856</v>
      </c>
      <c r="E678" s="183"/>
    </row>
    <row r="679" customFormat="false" ht="15" hidden="false" customHeight="true" outlineLevel="0" collapsed="false">
      <c r="A679" s="20" t="n">
        <v>1</v>
      </c>
      <c r="B679" s="173"/>
      <c r="C679" s="21" t="s">
        <v>191</v>
      </c>
      <c r="D679" s="152" t="n">
        <v>5654.4</v>
      </c>
      <c r="E679" s="173"/>
    </row>
    <row r="680" customFormat="false" ht="15" hidden="false" customHeight="true" outlineLevel="0" collapsed="false">
      <c r="A680" s="178" t="n">
        <v>2</v>
      </c>
      <c r="B680" s="188"/>
      <c r="C680" s="186" t="s">
        <v>204</v>
      </c>
      <c r="D680" s="187" t="n">
        <v>1651.5</v>
      </c>
      <c r="E680" s="188"/>
    </row>
    <row r="681" customFormat="false" ht="15" hidden="false" customHeight="true" outlineLevel="0" collapsed="false">
      <c r="A681" s="20" t="n">
        <v>3</v>
      </c>
      <c r="B681" s="173"/>
      <c r="C681" s="21" t="s">
        <v>205</v>
      </c>
      <c r="D681" s="152" t="n">
        <v>1304.1</v>
      </c>
      <c r="E681" s="173"/>
    </row>
    <row r="682" customFormat="false" ht="15" hidden="false" customHeight="true" outlineLevel="0" collapsed="false">
      <c r="A682" s="178" t="n">
        <v>4</v>
      </c>
      <c r="B682" s="188"/>
      <c r="C682" s="186" t="s">
        <v>155</v>
      </c>
      <c r="D682" s="187" t="n">
        <v>344.8</v>
      </c>
      <c r="E682" s="188"/>
    </row>
    <row r="683" customFormat="false" ht="15" hidden="false" customHeight="true" outlineLevel="0" collapsed="false">
      <c r="A683" s="20" t="n">
        <v>5</v>
      </c>
      <c r="B683" s="173"/>
      <c r="C683" s="21" t="s">
        <v>169</v>
      </c>
      <c r="D683" s="152" t="n">
        <v>306</v>
      </c>
      <c r="E683" s="173"/>
    </row>
    <row r="684" customFormat="false" ht="15" hidden="false" customHeight="true" outlineLevel="0" collapsed="false">
      <c r="A684" s="178" t="n">
        <v>6</v>
      </c>
      <c r="B684" s="188"/>
      <c r="C684" s="186" t="s">
        <v>184</v>
      </c>
      <c r="D684" s="187" t="n">
        <v>207.8</v>
      </c>
      <c r="E684" s="188"/>
    </row>
    <row r="685" customFormat="false" ht="15" hidden="false" customHeight="true" outlineLevel="0" collapsed="false">
      <c r="A685" s="20" t="n">
        <v>7</v>
      </c>
      <c r="B685" s="173"/>
      <c r="C685" s="21" t="s">
        <v>183</v>
      </c>
      <c r="D685" s="152" t="n">
        <v>192.6</v>
      </c>
      <c r="E685" s="173"/>
    </row>
    <row r="686" customFormat="false" ht="15" hidden="false" customHeight="true" outlineLevel="0" collapsed="false">
      <c r="A686" s="178" t="n">
        <v>8</v>
      </c>
      <c r="B686" s="188"/>
      <c r="C686" s="186" t="s">
        <v>143</v>
      </c>
      <c r="D686" s="187" t="n">
        <v>69.9</v>
      </c>
      <c r="E686" s="188"/>
    </row>
    <row r="687" customFormat="false" ht="15" hidden="false" customHeight="true" outlineLevel="0" collapsed="false">
      <c r="A687" s="20" t="n">
        <v>9</v>
      </c>
      <c r="B687" s="173"/>
      <c r="C687" s="21" t="s">
        <v>144</v>
      </c>
      <c r="D687" s="152" t="n">
        <v>63</v>
      </c>
      <c r="E687" s="173"/>
    </row>
    <row r="688" customFormat="false" ht="15" hidden="false" customHeight="true" outlineLevel="0" collapsed="false">
      <c r="A688" s="178" t="n">
        <v>10</v>
      </c>
      <c r="B688" s="188"/>
      <c r="C688" s="186" t="s">
        <v>174</v>
      </c>
      <c r="D688" s="187" t="n">
        <v>56</v>
      </c>
      <c r="E688" s="188"/>
    </row>
    <row r="689" customFormat="false" ht="15" hidden="false" customHeight="true" outlineLevel="0" collapsed="false">
      <c r="A689" s="20" t="n">
        <v>11</v>
      </c>
      <c r="B689" s="173"/>
      <c r="C689" s="21" t="s">
        <v>179</v>
      </c>
      <c r="D689" s="152" t="n">
        <v>36.6</v>
      </c>
      <c r="E689" s="173"/>
    </row>
    <row r="690" customFormat="false" ht="15" hidden="false" customHeight="true" outlineLevel="0" collapsed="false">
      <c r="A690" s="178" t="n">
        <v>12</v>
      </c>
      <c r="B690" s="188"/>
      <c r="C690" s="186" t="s">
        <v>858</v>
      </c>
      <c r="D690" s="187" t="n">
        <v>30</v>
      </c>
      <c r="E690" s="188"/>
    </row>
    <row r="691" customFormat="false" ht="15" hidden="false" customHeight="true" outlineLevel="0" collapsed="false">
      <c r="A691" s="20" t="n">
        <v>13</v>
      </c>
      <c r="B691" s="173"/>
      <c r="C691" s="21" t="s">
        <v>206</v>
      </c>
      <c r="D691" s="152" t="n">
        <v>29.5</v>
      </c>
      <c r="E691" s="173"/>
    </row>
    <row r="692" customFormat="false" ht="15" hidden="false" customHeight="true" outlineLevel="0" collapsed="false">
      <c r="A692" s="178" t="n">
        <v>14</v>
      </c>
      <c r="B692" s="188"/>
      <c r="C692" s="186" t="s">
        <v>153</v>
      </c>
      <c r="D692" s="187" t="n">
        <v>22.3</v>
      </c>
      <c r="E692" s="188"/>
    </row>
    <row r="693" customFormat="false" ht="15" hidden="false" customHeight="true" outlineLevel="0" collapsed="false">
      <c r="A693" s="20" t="n">
        <v>15</v>
      </c>
      <c r="B693" s="173"/>
      <c r="C693" s="21" t="s">
        <v>147</v>
      </c>
      <c r="D693" s="152" t="n">
        <v>22</v>
      </c>
      <c r="E693" s="173"/>
    </row>
    <row r="694" customFormat="false" ht="15" hidden="false" customHeight="true" outlineLevel="0" collapsed="false">
      <c r="A694" s="178" t="n">
        <v>16</v>
      </c>
      <c r="B694" s="188"/>
      <c r="C694" s="186" t="s">
        <v>221</v>
      </c>
      <c r="D694" s="187" t="n">
        <v>21.4</v>
      </c>
      <c r="E694" s="188"/>
    </row>
    <row r="695" customFormat="false" ht="15" hidden="false" customHeight="true" outlineLevel="0" collapsed="false">
      <c r="A695" s="20" t="n">
        <v>17</v>
      </c>
      <c r="B695" s="173"/>
      <c r="C695" s="21" t="s">
        <v>154</v>
      </c>
      <c r="D695" s="152" t="n">
        <v>17.3</v>
      </c>
      <c r="E695" s="173"/>
    </row>
    <row r="696" customFormat="false" ht="15" hidden="false" customHeight="true" outlineLevel="0" collapsed="false">
      <c r="A696" s="178" t="n">
        <v>18</v>
      </c>
      <c r="B696" s="188"/>
      <c r="C696" s="194" t="s">
        <v>267</v>
      </c>
      <c r="D696" s="187" t="n">
        <v>16.8</v>
      </c>
      <c r="E696" s="188"/>
    </row>
    <row r="697" customFormat="false" ht="15" hidden="false" customHeight="true" outlineLevel="0" collapsed="false">
      <c r="A697" s="20" t="n">
        <v>19</v>
      </c>
      <c r="B697" s="173"/>
      <c r="C697" s="21" t="s">
        <v>222</v>
      </c>
      <c r="D697" s="152" t="n">
        <v>16.6</v>
      </c>
      <c r="E697" s="173"/>
    </row>
    <row r="698" customFormat="false" ht="15" hidden="false" customHeight="true" outlineLevel="0" collapsed="false">
      <c r="A698" s="178" t="n">
        <v>20</v>
      </c>
      <c r="B698" s="188"/>
      <c r="C698" s="186" t="s">
        <v>857</v>
      </c>
      <c r="D698" s="187" t="n">
        <v>15</v>
      </c>
      <c r="E698" s="188"/>
    </row>
    <row r="699" customFormat="false" ht="15" hidden="false" customHeight="true" outlineLevel="0" collapsed="false">
      <c r="A699" s="20" t="n">
        <v>21</v>
      </c>
      <c r="B699" s="173"/>
      <c r="C699" s="21" t="s">
        <v>149</v>
      </c>
      <c r="D699" s="152" t="n">
        <v>14.8</v>
      </c>
      <c r="E699" s="173"/>
    </row>
    <row r="700" customFormat="false" ht="15" hidden="false" customHeight="true" outlineLevel="0" collapsed="false">
      <c r="A700" s="178" t="n">
        <v>22</v>
      </c>
      <c r="B700" s="188"/>
      <c r="C700" s="186" t="s">
        <v>161</v>
      </c>
      <c r="D700" s="187" t="n">
        <v>12</v>
      </c>
      <c r="E700" s="188"/>
    </row>
    <row r="701" customFormat="false" ht="15" hidden="false" customHeight="true" outlineLevel="0" collapsed="false">
      <c r="A701" s="20" t="n">
        <v>23</v>
      </c>
      <c r="B701" s="173"/>
      <c r="C701" s="21" t="s">
        <v>181</v>
      </c>
      <c r="D701" s="152" t="n">
        <v>11</v>
      </c>
      <c r="E701" s="173"/>
    </row>
    <row r="702" customFormat="false" ht="15" hidden="false" customHeight="true" outlineLevel="0" collapsed="false">
      <c r="A702" s="178" t="n">
        <v>24</v>
      </c>
      <c r="B702" s="188"/>
      <c r="C702" s="186" t="s">
        <v>151</v>
      </c>
      <c r="D702" s="187" t="n">
        <v>10.4</v>
      </c>
      <c r="E702" s="188"/>
    </row>
    <row r="703" customFormat="false" ht="15" hidden="false" customHeight="true" outlineLevel="0" collapsed="false">
      <c r="A703" s="20" t="n">
        <v>25</v>
      </c>
      <c r="B703" s="173"/>
      <c r="C703" s="21" t="s">
        <v>142</v>
      </c>
      <c r="D703" s="152" t="n">
        <v>7</v>
      </c>
      <c r="E703" s="173"/>
    </row>
    <row r="704" customFormat="false" ht="15" hidden="false" customHeight="true" outlineLevel="0" collapsed="false">
      <c r="A704" s="178" t="n">
        <v>26</v>
      </c>
      <c r="B704" s="188"/>
      <c r="C704" s="186" t="s">
        <v>146</v>
      </c>
      <c r="D704" s="187" t="n">
        <v>6</v>
      </c>
      <c r="E704" s="188"/>
    </row>
    <row r="705" customFormat="false" ht="15" hidden="false" customHeight="true" outlineLevel="0" collapsed="false">
      <c r="A705" s="20" t="n">
        <v>27</v>
      </c>
      <c r="B705" s="173"/>
      <c r="C705" s="21" t="s">
        <v>220</v>
      </c>
      <c r="D705" s="152" t="n">
        <v>6</v>
      </c>
      <c r="E705" s="173"/>
    </row>
    <row r="706" customFormat="false" ht="15" hidden="false" customHeight="true" outlineLevel="0" collapsed="false">
      <c r="A706" s="178" t="n">
        <v>28</v>
      </c>
      <c r="B706" s="188"/>
      <c r="C706" s="186" t="s">
        <v>207</v>
      </c>
      <c r="D706" s="187" t="n">
        <v>4</v>
      </c>
      <c r="E706" s="188"/>
    </row>
    <row r="707" customFormat="false" ht="15" hidden="false" customHeight="true" outlineLevel="0" collapsed="false">
      <c r="A707" s="20" t="n">
        <v>29</v>
      </c>
      <c r="B707" s="173"/>
      <c r="C707" s="21" t="s">
        <v>145</v>
      </c>
      <c r="D707" s="152" t="n">
        <v>2.8</v>
      </c>
      <c r="E707" s="173"/>
    </row>
    <row r="708" customFormat="false" ht="15" hidden="false" customHeight="true" outlineLevel="0" collapsed="false">
      <c r="A708" s="178" t="n">
        <v>30</v>
      </c>
      <c r="B708" s="188"/>
      <c r="C708" s="186" t="s">
        <v>192</v>
      </c>
      <c r="D708" s="187" t="n">
        <v>2.8</v>
      </c>
      <c r="E708" s="188"/>
    </row>
    <row r="709" customFormat="false" ht="15" hidden="false" customHeight="true" outlineLevel="0" collapsed="false">
      <c r="A709" s="20" t="n">
        <v>31</v>
      </c>
      <c r="B709" s="173"/>
      <c r="C709" s="21" t="s">
        <v>148</v>
      </c>
      <c r="D709" s="152" t="n">
        <v>2.3</v>
      </c>
      <c r="E709" s="173"/>
    </row>
    <row r="710" customFormat="false" ht="15" hidden="false" customHeight="true" outlineLevel="0" collapsed="false">
      <c r="A710" s="178" t="n">
        <v>32</v>
      </c>
      <c r="B710" s="188"/>
      <c r="C710" s="186" t="s">
        <v>159</v>
      </c>
      <c r="D710" s="187" t="n">
        <v>2.3</v>
      </c>
      <c r="E710" s="188"/>
    </row>
    <row r="711" customFormat="false" ht="15" hidden="false" customHeight="true" outlineLevel="0" collapsed="false">
      <c r="A711" s="20" t="n">
        <v>33</v>
      </c>
      <c r="B711" s="173"/>
      <c r="C711" s="21" t="s">
        <v>186</v>
      </c>
      <c r="D711" s="152" t="n">
        <v>2.3</v>
      </c>
      <c r="E711" s="173"/>
    </row>
    <row r="712" customFormat="false" ht="15" hidden="false" customHeight="true" outlineLevel="0" collapsed="false">
      <c r="A712" s="178" t="n">
        <v>34</v>
      </c>
      <c r="B712" s="188"/>
      <c r="C712" s="186" t="s">
        <v>195</v>
      </c>
      <c r="D712" s="187" t="n">
        <v>2.3</v>
      </c>
      <c r="E712" s="188"/>
    </row>
    <row r="713" customFormat="false" ht="15" hidden="false" customHeight="true" outlineLevel="0" collapsed="false">
      <c r="A713" s="20" t="n">
        <v>35</v>
      </c>
      <c r="B713" s="173"/>
      <c r="C713" s="21" t="s">
        <v>219</v>
      </c>
      <c r="D713" s="152" t="n">
        <v>2.3</v>
      </c>
      <c r="E713" s="173"/>
    </row>
    <row r="714" customFormat="false" ht="15" hidden="false" customHeight="true" outlineLevel="0" collapsed="false">
      <c r="A714" s="178" t="n">
        <v>36</v>
      </c>
      <c r="B714" s="188"/>
      <c r="C714" s="186" t="s">
        <v>173</v>
      </c>
      <c r="D714" s="187" t="n">
        <v>2</v>
      </c>
      <c r="E714" s="188"/>
    </row>
    <row r="715" customFormat="false" ht="15" hidden="false" customHeight="true" outlineLevel="0" collapsed="false">
      <c r="A715" s="20" t="n">
        <v>37</v>
      </c>
      <c r="B715" s="173"/>
      <c r="C715" s="21" t="s">
        <v>212</v>
      </c>
      <c r="D715" s="152" t="n">
        <v>2</v>
      </c>
      <c r="E715" s="173"/>
    </row>
    <row r="716" customFormat="false" ht="15" hidden="false" customHeight="true" outlineLevel="0" collapsed="false">
      <c r="A716" s="178" t="n">
        <v>38</v>
      </c>
      <c r="B716" s="188"/>
      <c r="C716" s="186" t="s">
        <v>150</v>
      </c>
      <c r="D716" s="187" t="n">
        <v>1.1</v>
      </c>
      <c r="E716" s="188"/>
    </row>
    <row r="717" customFormat="false" ht="15" hidden="false" customHeight="true" outlineLevel="0" collapsed="false">
      <c r="A717" s="189" t="s">
        <v>837</v>
      </c>
      <c r="B717" s="189"/>
      <c r="C717" s="189"/>
      <c r="D717" s="190" t="n">
        <v>10171.1</v>
      </c>
      <c r="E717" s="191"/>
    </row>
    <row r="719" customFormat="false" ht="15" hidden="false" customHeight="true" outlineLevel="0" collapsed="false">
      <c r="A719" s="193" t="s">
        <v>864</v>
      </c>
      <c r="B719" s="193"/>
      <c r="C719" s="193"/>
      <c r="D719" s="193"/>
      <c r="E719" s="193"/>
    </row>
    <row r="720" customFormat="false" ht="15" hidden="false" customHeight="true" outlineLevel="0" collapsed="false">
      <c r="A720" s="182" t="s">
        <v>46</v>
      </c>
      <c r="B720" s="183" t="s">
        <v>835</v>
      </c>
      <c r="C720" s="183" t="s">
        <v>140</v>
      </c>
      <c r="D720" s="183" t="s">
        <v>865</v>
      </c>
      <c r="E720" s="183"/>
    </row>
    <row r="721" customFormat="false" ht="15" hidden="false" customHeight="true" outlineLevel="0" collapsed="false">
      <c r="A721" s="20" t="n">
        <v>1</v>
      </c>
      <c r="B721" s="184" t="n">
        <v>46056</v>
      </c>
      <c r="C721" s="21" t="s">
        <v>84</v>
      </c>
      <c r="D721" s="152" t="n">
        <v>60</v>
      </c>
      <c r="E721" s="173"/>
    </row>
    <row r="722" customFormat="false" ht="15" hidden="false" customHeight="true" outlineLevel="0" collapsed="false">
      <c r="A722" s="178" t="n">
        <v>2</v>
      </c>
      <c r="B722" s="185" t="n">
        <v>46056</v>
      </c>
      <c r="C722" s="186" t="s">
        <v>116</v>
      </c>
      <c r="D722" s="187" t="n">
        <v>1000</v>
      </c>
      <c r="E722" s="188"/>
    </row>
    <row r="723" customFormat="false" ht="15" hidden="false" customHeight="true" outlineLevel="0" collapsed="false">
      <c r="A723" s="20" t="n">
        <v>3</v>
      </c>
      <c r="B723" s="184" t="n">
        <v>46056</v>
      </c>
      <c r="C723" s="21" t="s">
        <v>116</v>
      </c>
      <c r="D723" s="152" t="n">
        <v>1000</v>
      </c>
      <c r="E723" s="173"/>
    </row>
    <row r="724" customFormat="false" ht="15" hidden="false" customHeight="true" outlineLevel="0" collapsed="false">
      <c r="A724" s="178" t="n">
        <v>4</v>
      </c>
      <c r="B724" s="185" t="n">
        <v>46057</v>
      </c>
      <c r="C724" s="186" t="s">
        <v>89</v>
      </c>
      <c r="D724" s="187" t="n">
        <v>22.7</v>
      </c>
      <c r="E724" s="188"/>
    </row>
    <row r="725" customFormat="false" ht="15" hidden="false" customHeight="true" outlineLevel="0" collapsed="false">
      <c r="A725" s="20" t="n">
        <v>5</v>
      </c>
      <c r="B725" s="184" t="n">
        <v>46057</v>
      </c>
      <c r="C725" s="21" t="s">
        <v>130</v>
      </c>
      <c r="D725" s="152" t="n">
        <v>36</v>
      </c>
      <c r="E725" s="173"/>
    </row>
    <row r="726" customFormat="false" ht="15" hidden="false" customHeight="true" outlineLevel="0" collapsed="false">
      <c r="A726" s="178" t="n">
        <v>6</v>
      </c>
      <c r="B726" s="185" t="n">
        <v>46059</v>
      </c>
      <c r="C726" s="186" t="s">
        <v>71</v>
      </c>
      <c r="D726" s="187" t="n">
        <v>20</v>
      </c>
      <c r="E726" s="188"/>
    </row>
    <row r="727" customFormat="false" ht="15" hidden="false" customHeight="true" outlineLevel="0" collapsed="false">
      <c r="A727" s="20" t="n">
        <v>7</v>
      </c>
      <c r="B727" s="184" t="n">
        <v>46059</v>
      </c>
      <c r="C727" s="21" t="s">
        <v>73</v>
      </c>
      <c r="D727" s="152" t="n">
        <v>4</v>
      </c>
      <c r="E727" s="173"/>
    </row>
    <row r="728" customFormat="false" ht="15" hidden="false" customHeight="true" outlineLevel="0" collapsed="false">
      <c r="A728" s="178" t="n">
        <v>8</v>
      </c>
      <c r="B728" s="185" t="n">
        <v>46059</v>
      </c>
      <c r="C728" s="186" t="s">
        <v>82</v>
      </c>
      <c r="D728" s="187" t="n">
        <v>20</v>
      </c>
      <c r="E728" s="188"/>
    </row>
    <row r="729" customFormat="false" ht="15" hidden="false" customHeight="true" outlineLevel="0" collapsed="false">
      <c r="A729" s="20" t="n">
        <v>9</v>
      </c>
      <c r="B729" s="184" t="n">
        <v>46059</v>
      </c>
      <c r="C729" s="21" t="s">
        <v>99</v>
      </c>
      <c r="D729" s="152" t="n">
        <v>2520</v>
      </c>
      <c r="E729" s="173"/>
    </row>
    <row r="730" customFormat="false" ht="15" hidden="false" customHeight="true" outlineLevel="0" collapsed="false">
      <c r="A730" s="178" t="n">
        <v>10</v>
      </c>
      <c r="B730" s="185" t="n">
        <v>46059</v>
      </c>
      <c r="C730" s="186" t="s">
        <v>104</v>
      </c>
      <c r="D730" s="187" t="n">
        <v>8</v>
      </c>
      <c r="E730" s="188"/>
    </row>
    <row r="731" customFormat="false" ht="15" hidden="false" customHeight="true" outlineLevel="0" collapsed="false">
      <c r="A731" s="20" t="n">
        <v>11</v>
      </c>
      <c r="B731" s="184" t="n">
        <v>46059</v>
      </c>
      <c r="C731" s="21" t="s">
        <v>115</v>
      </c>
      <c r="D731" s="152" t="n">
        <v>60</v>
      </c>
      <c r="E731" s="173"/>
    </row>
    <row r="732" customFormat="false" ht="15" hidden="false" customHeight="true" outlineLevel="0" collapsed="false">
      <c r="A732" s="178" t="n">
        <v>12</v>
      </c>
      <c r="B732" s="185" t="n">
        <v>46059</v>
      </c>
      <c r="C732" s="186" t="s">
        <v>120</v>
      </c>
      <c r="D732" s="187" t="n">
        <v>1800</v>
      </c>
      <c r="E732" s="188"/>
    </row>
    <row r="733" customFormat="false" ht="15" hidden="false" customHeight="true" outlineLevel="0" collapsed="false">
      <c r="A733" s="20" t="n">
        <v>13</v>
      </c>
      <c r="B733" s="184" t="n">
        <v>46059</v>
      </c>
      <c r="C733" s="21" t="s">
        <v>128</v>
      </c>
      <c r="D733" s="152" t="n">
        <v>13.6</v>
      </c>
      <c r="E733" s="173"/>
    </row>
    <row r="734" customFormat="false" ht="15" hidden="false" customHeight="true" outlineLevel="0" collapsed="false">
      <c r="A734" s="189" t="s">
        <v>837</v>
      </c>
      <c r="B734" s="189"/>
      <c r="C734" s="189"/>
      <c r="D734" s="190" t="n">
        <v>6564.3</v>
      </c>
      <c r="E734" s="191"/>
    </row>
    <row r="736" customFormat="false" ht="39.75" hidden="false" customHeight="true" outlineLevel="0" collapsed="false">
      <c r="A736" s="174" t="s">
        <v>881</v>
      </c>
      <c r="B736" s="174"/>
      <c r="C736" s="174"/>
      <c r="D736" s="174"/>
      <c r="E736" s="174"/>
    </row>
    <row r="737" customFormat="false" ht="15" hidden="false" customHeight="true" outlineLevel="0" collapsed="false">
      <c r="A737" s="175" t="s">
        <v>828</v>
      </c>
      <c r="B737" s="175"/>
      <c r="C737" s="175"/>
      <c r="D737" s="175"/>
      <c r="E737" s="175"/>
    </row>
    <row r="738" customFormat="false" ht="15" hidden="false" customHeight="true" outlineLevel="0" collapsed="false">
      <c r="A738" s="20" t="n">
        <v>1</v>
      </c>
      <c r="B738" s="176" t="s">
        <v>829</v>
      </c>
      <c r="C738" s="176"/>
      <c r="D738" s="177" t="n">
        <v>3990</v>
      </c>
      <c r="E738" s="20" t="s">
        <v>847</v>
      </c>
    </row>
    <row r="739" customFormat="false" ht="15" hidden="false" customHeight="true" outlineLevel="0" collapsed="false">
      <c r="A739" s="178" t="n">
        <v>2</v>
      </c>
      <c r="B739" s="179" t="s">
        <v>831</v>
      </c>
      <c r="C739" s="179"/>
      <c r="D739" s="180" t="n">
        <v>6810.6</v>
      </c>
      <c r="E739" s="178" t="s">
        <v>882</v>
      </c>
    </row>
    <row r="740" customFormat="false" ht="15" hidden="false" customHeight="true" outlineLevel="0" collapsed="false">
      <c r="A740" s="20" t="n">
        <v>3</v>
      </c>
      <c r="B740" s="176" t="s">
        <v>833</v>
      </c>
      <c r="C740" s="176"/>
      <c r="D740" s="177" t="n">
        <v>4557.6</v>
      </c>
      <c r="E740" s="20" t="s">
        <v>862</v>
      </c>
    </row>
    <row r="742" customFormat="false" ht="15" hidden="false" customHeight="true" outlineLevel="0" collapsed="false">
      <c r="A742" s="181" t="s">
        <v>834</v>
      </c>
      <c r="B742" s="181"/>
      <c r="C742" s="181"/>
      <c r="D742" s="181"/>
      <c r="E742" s="181"/>
    </row>
    <row r="743" customFormat="false" ht="15" hidden="false" customHeight="true" outlineLevel="0" collapsed="false">
      <c r="A743" s="182" t="s">
        <v>46</v>
      </c>
      <c r="B743" s="183" t="s">
        <v>835</v>
      </c>
      <c r="C743" s="183" t="s">
        <v>660</v>
      </c>
      <c r="D743" s="183" t="s">
        <v>836</v>
      </c>
      <c r="E743" s="183"/>
    </row>
    <row r="744" customFormat="false" ht="15" hidden="false" customHeight="true" outlineLevel="0" collapsed="false">
      <c r="A744" s="20" t="n">
        <v>1</v>
      </c>
      <c r="B744" s="184" t="n">
        <v>46062</v>
      </c>
      <c r="C744" s="21" t="s">
        <v>144</v>
      </c>
      <c r="D744" s="152" t="n">
        <v>70</v>
      </c>
      <c r="E744" s="173"/>
    </row>
    <row r="745" customFormat="false" ht="15" hidden="false" customHeight="true" outlineLevel="0" collapsed="false">
      <c r="A745" s="178" t="n">
        <v>2</v>
      </c>
      <c r="B745" s="185" t="n">
        <v>46062</v>
      </c>
      <c r="C745" s="186" t="s">
        <v>183</v>
      </c>
      <c r="D745" s="187" t="n">
        <v>440</v>
      </c>
      <c r="E745" s="188"/>
    </row>
    <row r="746" customFormat="false" ht="15" hidden="false" customHeight="true" outlineLevel="0" collapsed="false">
      <c r="A746" s="20" t="n">
        <v>3</v>
      </c>
      <c r="B746" s="184" t="n">
        <v>46062</v>
      </c>
      <c r="C746" s="21" t="s">
        <v>191</v>
      </c>
      <c r="D746" s="152" t="n">
        <v>660</v>
      </c>
      <c r="E746" s="173"/>
    </row>
    <row r="747" customFormat="false" ht="15" hidden="false" customHeight="true" outlineLevel="0" collapsed="false">
      <c r="A747" s="178" t="n">
        <v>4</v>
      </c>
      <c r="B747" s="185" t="n">
        <v>46062</v>
      </c>
      <c r="C747" s="186" t="s">
        <v>204</v>
      </c>
      <c r="D747" s="187" t="n">
        <v>220</v>
      </c>
      <c r="E747" s="188"/>
    </row>
    <row r="748" customFormat="false" ht="15" hidden="false" customHeight="true" outlineLevel="0" collapsed="false">
      <c r="A748" s="20" t="n">
        <v>5</v>
      </c>
      <c r="B748" s="184" t="n">
        <v>46063</v>
      </c>
      <c r="C748" s="21" t="s">
        <v>191</v>
      </c>
      <c r="D748" s="152" t="n">
        <v>770</v>
      </c>
      <c r="E748" s="173"/>
    </row>
    <row r="749" customFormat="false" ht="15" hidden="false" customHeight="true" outlineLevel="0" collapsed="false">
      <c r="A749" s="178" t="n">
        <v>6</v>
      </c>
      <c r="B749" s="185" t="n">
        <v>46063</v>
      </c>
      <c r="C749" s="186" t="s">
        <v>204</v>
      </c>
      <c r="D749" s="187" t="n">
        <v>440</v>
      </c>
      <c r="E749" s="188"/>
    </row>
    <row r="750" customFormat="false" ht="15" hidden="false" customHeight="true" outlineLevel="0" collapsed="false">
      <c r="A750" s="20" t="n">
        <v>7</v>
      </c>
      <c r="B750" s="184" t="n">
        <v>46063</v>
      </c>
      <c r="C750" s="21" t="s">
        <v>205</v>
      </c>
      <c r="D750" s="152" t="n">
        <v>220</v>
      </c>
      <c r="E750" s="173"/>
    </row>
    <row r="751" customFormat="false" ht="15" hidden="false" customHeight="true" outlineLevel="0" collapsed="false">
      <c r="A751" s="178" t="n">
        <v>8</v>
      </c>
      <c r="B751" s="185" t="n">
        <v>46064</v>
      </c>
      <c r="C751" s="186" t="s">
        <v>191</v>
      </c>
      <c r="D751" s="187" t="n">
        <v>1100</v>
      </c>
      <c r="E751" s="188"/>
    </row>
    <row r="752" customFormat="false" ht="15" hidden="false" customHeight="true" outlineLevel="0" collapsed="false">
      <c r="A752" s="20" t="n">
        <v>9</v>
      </c>
      <c r="B752" s="184" t="n">
        <v>46064</v>
      </c>
      <c r="C752" s="21" t="s">
        <v>206</v>
      </c>
      <c r="D752" s="152" t="n">
        <v>70</v>
      </c>
      <c r="E752" s="173"/>
    </row>
    <row r="753" customFormat="false" ht="15" hidden="false" customHeight="true" outlineLevel="0" collapsed="false">
      <c r="A753" s="189" t="s">
        <v>837</v>
      </c>
      <c r="B753" s="189"/>
      <c r="C753" s="189"/>
      <c r="D753" s="190" t="n">
        <v>3990</v>
      </c>
      <c r="E753" s="191"/>
    </row>
    <row r="755" customFormat="false" ht="15" hidden="false" customHeight="true" outlineLevel="0" collapsed="false">
      <c r="A755" s="192" t="s">
        <v>855</v>
      </c>
      <c r="B755" s="192"/>
      <c r="C755" s="192"/>
      <c r="D755" s="192"/>
      <c r="E755" s="192"/>
    </row>
    <row r="756" customFormat="false" ht="15" hidden="false" customHeight="true" outlineLevel="0" collapsed="false">
      <c r="A756" s="182" t="s">
        <v>46</v>
      </c>
      <c r="B756" s="183"/>
      <c r="C756" s="183" t="s">
        <v>660</v>
      </c>
      <c r="D756" s="183" t="s">
        <v>856</v>
      </c>
      <c r="E756" s="183"/>
    </row>
    <row r="757" customFormat="false" ht="15" hidden="false" customHeight="true" outlineLevel="0" collapsed="false">
      <c r="A757" s="20" t="n">
        <v>1</v>
      </c>
      <c r="B757" s="173"/>
      <c r="C757" s="21" t="s">
        <v>191</v>
      </c>
      <c r="D757" s="152" t="n">
        <v>2304</v>
      </c>
      <c r="E757" s="173"/>
    </row>
    <row r="758" customFormat="false" ht="15" hidden="false" customHeight="true" outlineLevel="0" collapsed="false">
      <c r="A758" s="178" t="n">
        <v>2</v>
      </c>
      <c r="B758" s="188"/>
      <c r="C758" s="186" t="s">
        <v>183</v>
      </c>
      <c r="D758" s="187" t="n">
        <v>1266</v>
      </c>
      <c r="E758" s="188"/>
    </row>
    <row r="759" customFormat="false" ht="15" hidden="false" customHeight="true" outlineLevel="0" collapsed="false">
      <c r="A759" s="20" t="n">
        <v>3</v>
      </c>
      <c r="B759" s="173"/>
      <c r="C759" s="21" t="s">
        <v>204</v>
      </c>
      <c r="D759" s="152" t="n">
        <v>655.5</v>
      </c>
      <c r="E759" s="173"/>
    </row>
    <row r="760" customFormat="false" ht="15" hidden="false" customHeight="true" outlineLevel="0" collapsed="false">
      <c r="A760" s="178" t="n">
        <v>4</v>
      </c>
      <c r="B760" s="188"/>
      <c r="C760" s="186" t="s">
        <v>169</v>
      </c>
      <c r="D760" s="187" t="n">
        <v>300</v>
      </c>
      <c r="E760" s="188"/>
    </row>
    <row r="761" customFormat="false" ht="15" hidden="false" customHeight="true" outlineLevel="0" collapsed="false">
      <c r="A761" s="20" t="n">
        <v>5</v>
      </c>
      <c r="B761" s="173"/>
      <c r="C761" s="21" t="s">
        <v>143</v>
      </c>
      <c r="D761" s="152" t="n">
        <v>293.6</v>
      </c>
      <c r="E761" s="173"/>
    </row>
    <row r="762" customFormat="false" ht="15" hidden="false" customHeight="true" outlineLevel="0" collapsed="false">
      <c r="A762" s="178" t="n">
        <v>6</v>
      </c>
      <c r="B762" s="188"/>
      <c r="C762" s="186" t="s">
        <v>155</v>
      </c>
      <c r="D762" s="187" t="n">
        <v>293.3</v>
      </c>
      <c r="E762" s="188"/>
    </row>
    <row r="763" customFormat="false" ht="15" hidden="false" customHeight="true" outlineLevel="0" collapsed="false">
      <c r="A763" s="20" t="n">
        <v>7</v>
      </c>
      <c r="B763" s="173"/>
      <c r="C763" s="21" t="s">
        <v>205</v>
      </c>
      <c r="D763" s="152" t="n">
        <v>277.5</v>
      </c>
      <c r="E763" s="173"/>
    </row>
    <row r="764" customFormat="false" ht="15" hidden="false" customHeight="true" outlineLevel="0" collapsed="false">
      <c r="A764" s="178" t="n">
        <v>8</v>
      </c>
      <c r="B764" s="188"/>
      <c r="C764" s="186" t="s">
        <v>184</v>
      </c>
      <c r="D764" s="187" t="n">
        <v>264.6</v>
      </c>
      <c r="E764" s="188"/>
    </row>
    <row r="765" customFormat="false" ht="15" hidden="false" customHeight="true" outlineLevel="0" collapsed="false">
      <c r="A765" s="20" t="n">
        <v>9</v>
      </c>
      <c r="B765" s="173"/>
      <c r="C765" s="21" t="s">
        <v>174</v>
      </c>
      <c r="D765" s="152" t="n">
        <v>112</v>
      </c>
      <c r="E765" s="173"/>
    </row>
    <row r="766" customFormat="false" ht="15" hidden="false" customHeight="true" outlineLevel="0" collapsed="false">
      <c r="A766" s="178" t="n">
        <v>10</v>
      </c>
      <c r="B766" s="188"/>
      <c r="C766" s="186" t="s">
        <v>152</v>
      </c>
      <c r="D766" s="187" t="n">
        <v>104.3</v>
      </c>
      <c r="E766" s="188"/>
    </row>
    <row r="767" customFormat="false" ht="15" hidden="false" customHeight="true" outlineLevel="0" collapsed="false">
      <c r="A767" s="20" t="n">
        <v>11</v>
      </c>
      <c r="B767" s="173"/>
      <c r="C767" s="21" t="s">
        <v>153</v>
      </c>
      <c r="D767" s="152" t="n">
        <v>90.7</v>
      </c>
      <c r="E767" s="173"/>
    </row>
    <row r="768" customFormat="false" ht="15" hidden="false" customHeight="true" outlineLevel="0" collapsed="false">
      <c r="A768" s="178" t="n">
        <v>12</v>
      </c>
      <c r="B768" s="188"/>
      <c r="C768" s="186" t="s">
        <v>149</v>
      </c>
      <c r="D768" s="187" t="n">
        <v>90.4</v>
      </c>
      <c r="E768" s="188"/>
    </row>
    <row r="769" customFormat="false" ht="15" hidden="false" customHeight="true" outlineLevel="0" collapsed="false">
      <c r="A769" s="20" t="n">
        <v>13</v>
      </c>
      <c r="B769" s="173"/>
      <c r="C769" s="21" t="s">
        <v>154</v>
      </c>
      <c r="D769" s="152" t="n">
        <v>87.5</v>
      </c>
      <c r="E769" s="173"/>
    </row>
    <row r="770" customFormat="false" ht="15" hidden="false" customHeight="true" outlineLevel="0" collapsed="false">
      <c r="A770" s="178" t="n">
        <v>14</v>
      </c>
      <c r="B770" s="188"/>
      <c r="C770" s="186" t="s">
        <v>150</v>
      </c>
      <c r="D770" s="187" t="n">
        <v>84.8</v>
      </c>
      <c r="E770" s="188"/>
    </row>
    <row r="771" customFormat="false" ht="15" hidden="false" customHeight="true" outlineLevel="0" collapsed="false">
      <c r="A771" s="20" t="n">
        <v>15</v>
      </c>
      <c r="B771" s="173"/>
      <c r="C771" s="21" t="s">
        <v>206</v>
      </c>
      <c r="D771" s="152" t="n">
        <v>84.3</v>
      </c>
      <c r="E771" s="173"/>
    </row>
    <row r="772" customFormat="false" ht="15" hidden="false" customHeight="true" outlineLevel="0" collapsed="false">
      <c r="A772" s="178" t="n">
        <v>16</v>
      </c>
      <c r="B772" s="188"/>
      <c r="C772" s="186" t="s">
        <v>151</v>
      </c>
      <c r="D772" s="187" t="n">
        <v>81.9</v>
      </c>
      <c r="E772" s="188"/>
    </row>
    <row r="773" customFormat="false" ht="15" hidden="false" customHeight="true" outlineLevel="0" collapsed="false">
      <c r="A773" s="20" t="n">
        <v>17</v>
      </c>
      <c r="B773" s="173"/>
      <c r="C773" s="21" t="s">
        <v>857</v>
      </c>
      <c r="D773" s="152" t="n">
        <v>78</v>
      </c>
      <c r="E773" s="173"/>
    </row>
    <row r="774" customFormat="false" ht="15" hidden="false" customHeight="true" outlineLevel="0" collapsed="false">
      <c r="A774" s="178" t="n">
        <v>18</v>
      </c>
      <c r="B774" s="188"/>
      <c r="C774" s="186" t="s">
        <v>144</v>
      </c>
      <c r="D774" s="187" t="n">
        <v>53</v>
      </c>
      <c r="E774" s="188"/>
    </row>
    <row r="775" customFormat="false" ht="15" hidden="false" customHeight="true" outlineLevel="0" collapsed="false">
      <c r="A775" s="20" t="n">
        <v>19</v>
      </c>
      <c r="B775" s="173"/>
      <c r="C775" s="21" t="s">
        <v>179</v>
      </c>
      <c r="D775" s="152" t="n">
        <v>35</v>
      </c>
      <c r="E775" s="173"/>
    </row>
    <row r="776" customFormat="false" ht="15" hidden="false" customHeight="true" outlineLevel="0" collapsed="false">
      <c r="A776" s="178" t="n">
        <v>20</v>
      </c>
      <c r="B776" s="188"/>
      <c r="C776" s="186" t="s">
        <v>858</v>
      </c>
      <c r="D776" s="187" t="n">
        <v>30</v>
      </c>
      <c r="E776" s="188"/>
    </row>
    <row r="777" customFormat="false" ht="15" hidden="false" customHeight="true" outlineLevel="0" collapsed="false">
      <c r="A777" s="20" t="n">
        <v>21</v>
      </c>
      <c r="B777" s="173"/>
      <c r="C777" s="21" t="s">
        <v>156</v>
      </c>
      <c r="D777" s="152" t="n">
        <v>28.5</v>
      </c>
      <c r="E777" s="173"/>
    </row>
    <row r="778" customFormat="false" ht="15" hidden="false" customHeight="true" outlineLevel="0" collapsed="false">
      <c r="A778" s="178" t="n">
        <v>22</v>
      </c>
      <c r="B778" s="188"/>
      <c r="C778" s="186" t="s">
        <v>157</v>
      </c>
      <c r="D778" s="187" t="n">
        <v>28.5</v>
      </c>
      <c r="E778" s="188"/>
    </row>
    <row r="779" customFormat="false" ht="15" hidden="false" customHeight="true" outlineLevel="0" collapsed="false">
      <c r="A779" s="20" t="n">
        <v>23</v>
      </c>
      <c r="B779" s="173"/>
      <c r="C779" s="21" t="s">
        <v>158</v>
      </c>
      <c r="D779" s="152" t="n">
        <v>28.5</v>
      </c>
      <c r="E779" s="173"/>
    </row>
    <row r="780" customFormat="false" ht="15" hidden="false" customHeight="true" outlineLevel="0" collapsed="false">
      <c r="A780" s="178" t="n">
        <v>24</v>
      </c>
      <c r="B780" s="188"/>
      <c r="C780" s="186" t="s">
        <v>222</v>
      </c>
      <c r="D780" s="187" t="n">
        <v>15.4</v>
      </c>
      <c r="E780" s="188"/>
    </row>
    <row r="781" customFormat="false" ht="15" hidden="false" customHeight="true" outlineLevel="0" collapsed="false">
      <c r="A781" s="20" t="n">
        <v>25</v>
      </c>
      <c r="B781" s="173"/>
      <c r="C781" s="21" t="s">
        <v>221</v>
      </c>
      <c r="D781" s="152" t="n">
        <v>13.8</v>
      </c>
      <c r="E781" s="173"/>
    </row>
    <row r="782" customFormat="false" ht="15" hidden="false" customHeight="true" outlineLevel="0" collapsed="false">
      <c r="A782" s="178" t="n">
        <v>26</v>
      </c>
      <c r="B782" s="188"/>
      <c r="C782" s="194" t="s">
        <v>267</v>
      </c>
      <c r="D782" s="187" t="n">
        <v>13.2</v>
      </c>
      <c r="E782" s="188"/>
    </row>
    <row r="783" customFormat="false" ht="15" hidden="false" customHeight="true" outlineLevel="0" collapsed="false">
      <c r="A783" s="20" t="n">
        <v>27</v>
      </c>
      <c r="B783" s="173"/>
      <c r="C783" s="21" t="s">
        <v>883</v>
      </c>
      <c r="D783" s="152" t="n">
        <v>12.8</v>
      </c>
      <c r="E783" s="173"/>
    </row>
    <row r="784" customFormat="false" ht="15" hidden="false" customHeight="true" outlineLevel="0" collapsed="false">
      <c r="A784" s="178" t="n">
        <v>28</v>
      </c>
      <c r="B784" s="188"/>
      <c r="C784" s="186" t="s">
        <v>884</v>
      </c>
      <c r="D784" s="187" t="n">
        <v>12.8</v>
      </c>
      <c r="E784" s="188"/>
    </row>
    <row r="785" customFormat="false" ht="15" hidden="false" customHeight="true" outlineLevel="0" collapsed="false">
      <c r="A785" s="20" t="n">
        <v>29</v>
      </c>
      <c r="B785" s="173"/>
      <c r="C785" s="21" t="s">
        <v>885</v>
      </c>
      <c r="D785" s="152" t="n">
        <v>12.8</v>
      </c>
      <c r="E785" s="173"/>
    </row>
    <row r="786" customFormat="false" ht="15" hidden="false" customHeight="true" outlineLevel="0" collapsed="false">
      <c r="A786" s="178" t="n">
        <v>30</v>
      </c>
      <c r="B786" s="188"/>
      <c r="C786" s="186" t="s">
        <v>181</v>
      </c>
      <c r="D786" s="187" t="n">
        <v>10</v>
      </c>
      <c r="E786" s="188"/>
    </row>
    <row r="787" customFormat="false" ht="15" hidden="false" customHeight="true" outlineLevel="0" collapsed="false">
      <c r="A787" s="20" t="n">
        <v>31</v>
      </c>
      <c r="B787" s="173"/>
      <c r="C787" s="21" t="s">
        <v>207</v>
      </c>
      <c r="D787" s="152" t="n">
        <v>10</v>
      </c>
      <c r="E787" s="173"/>
    </row>
    <row r="788" customFormat="false" ht="15" hidden="false" customHeight="true" outlineLevel="0" collapsed="false">
      <c r="A788" s="178" t="n">
        <v>32</v>
      </c>
      <c r="B788" s="188"/>
      <c r="C788" s="186" t="s">
        <v>886</v>
      </c>
      <c r="D788" s="187" t="n">
        <v>9</v>
      </c>
      <c r="E788" s="188"/>
    </row>
    <row r="789" customFormat="false" ht="15" hidden="false" customHeight="true" outlineLevel="0" collapsed="false">
      <c r="A789" s="20" t="n">
        <v>33</v>
      </c>
      <c r="B789" s="173"/>
      <c r="C789" s="21" t="s">
        <v>147</v>
      </c>
      <c r="D789" s="152" t="n">
        <v>7.2</v>
      </c>
      <c r="E789" s="173"/>
    </row>
    <row r="790" customFormat="false" ht="15" hidden="false" customHeight="true" outlineLevel="0" collapsed="false">
      <c r="A790" s="178" t="n">
        <v>34</v>
      </c>
      <c r="B790" s="188"/>
      <c r="C790" s="186" t="s">
        <v>142</v>
      </c>
      <c r="D790" s="187" t="n">
        <v>4.2</v>
      </c>
      <c r="E790" s="188"/>
    </row>
    <row r="791" customFormat="false" ht="15" hidden="false" customHeight="true" outlineLevel="0" collapsed="false">
      <c r="A791" s="20" t="n">
        <v>35</v>
      </c>
      <c r="B791" s="173"/>
      <c r="C791" s="21" t="s">
        <v>146</v>
      </c>
      <c r="D791" s="152" t="n">
        <v>2.2</v>
      </c>
      <c r="E791" s="173"/>
    </row>
    <row r="792" customFormat="false" ht="15" hidden="false" customHeight="true" outlineLevel="0" collapsed="false">
      <c r="A792" s="178" t="n">
        <v>36</v>
      </c>
      <c r="B792" s="188"/>
      <c r="C792" s="186" t="s">
        <v>220</v>
      </c>
      <c r="D792" s="187" t="n">
        <v>2.2</v>
      </c>
      <c r="E792" s="188"/>
    </row>
    <row r="793" customFormat="false" ht="15" hidden="false" customHeight="true" outlineLevel="0" collapsed="false">
      <c r="A793" s="20" t="n">
        <v>37</v>
      </c>
      <c r="B793" s="173"/>
      <c r="C793" s="21" t="s">
        <v>195</v>
      </c>
      <c r="D793" s="152" t="n">
        <v>1.9</v>
      </c>
      <c r="E793" s="173"/>
    </row>
    <row r="794" customFormat="false" ht="15" hidden="false" customHeight="true" outlineLevel="0" collapsed="false">
      <c r="A794" s="178" t="n">
        <v>38</v>
      </c>
      <c r="B794" s="188"/>
      <c r="C794" s="186" t="s">
        <v>145</v>
      </c>
      <c r="D794" s="187" t="n">
        <v>1.8</v>
      </c>
      <c r="E794" s="188"/>
    </row>
    <row r="795" customFormat="false" ht="15" hidden="false" customHeight="true" outlineLevel="0" collapsed="false">
      <c r="A795" s="20" t="n">
        <v>39</v>
      </c>
      <c r="B795" s="173"/>
      <c r="C795" s="21" t="s">
        <v>192</v>
      </c>
      <c r="D795" s="152" t="n">
        <v>1.8</v>
      </c>
      <c r="E795" s="173"/>
    </row>
    <row r="796" customFormat="false" ht="15" hidden="false" customHeight="true" outlineLevel="0" collapsed="false">
      <c r="A796" s="178" t="n">
        <v>40</v>
      </c>
      <c r="B796" s="188"/>
      <c r="C796" s="186" t="s">
        <v>148</v>
      </c>
      <c r="D796" s="187" t="n">
        <v>1.4</v>
      </c>
      <c r="E796" s="188"/>
    </row>
    <row r="797" customFormat="false" ht="15" hidden="false" customHeight="true" outlineLevel="0" collapsed="false">
      <c r="A797" s="20" t="n">
        <v>41</v>
      </c>
      <c r="B797" s="173"/>
      <c r="C797" s="21" t="s">
        <v>159</v>
      </c>
      <c r="D797" s="152" t="n">
        <v>1.4</v>
      </c>
      <c r="E797" s="173"/>
    </row>
    <row r="798" customFormat="false" ht="15" hidden="false" customHeight="true" outlineLevel="0" collapsed="false">
      <c r="A798" s="178" t="n">
        <v>42</v>
      </c>
      <c r="B798" s="188"/>
      <c r="C798" s="186" t="s">
        <v>186</v>
      </c>
      <c r="D798" s="187" t="n">
        <v>1.4</v>
      </c>
      <c r="E798" s="188"/>
    </row>
    <row r="799" customFormat="false" ht="15" hidden="false" customHeight="true" outlineLevel="0" collapsed="false">
      <c r="A799" s="20" t="n">
        <v>43</v>
      </c>
      <c r="B799" s="173"/>
      <c r="C799" s="21" t="s">
        <v>219</v>
      </c>
      <c r="D799" s="152" t="n">
        <v>1.4</v>
      </c>
      <c r="E799" s="173"/>
    </row>
    <row r="800" customFormat="false" ht="15" hidden="false" customHeight="true" outlineLevel="0" collapsed="false">
      <c r="A800" s="178" t="n">
        <v>44</v>
      </c>
      <c r="B800" s="188"/>
      <c r="C800" s="186" t="s">
        <v>173</v>
      </c>
      <c r="D800" s="187" t="n">
        <v>1</v>
      </c>
      <c r="E800" s="188"/>
    </row>
    <row r="801" customFormat="false" ht="15" hidden="false" customHeight="true" outlineLevel="0" collapsed="false">
      <c r="A801" s="20" t="n">
        <v>45</v>
      </c>
      <c r="B801" s="173"/>
      <c r="C801" s="21" t="s">
        <v>212</v>
      </c>
      <c r="D801" s="152" t="n">
        <v>1</v>
      </c>
      <c r="E801" s="173"/>
    </row>
    <row r="802" customFormat="false" ht="15" hidden="false" customHeight="true" outlineLevel="0" collapsed="false">
      <c r="A802" s="189" t="s">
        <v>837</v>
      </c>
      <c r="B802" s="189"/>
      <c r="C802" s="189"/>
      <c r="D802" s="190" t="n">
        <v>6810.6</v>
      </c>
      <c r="E802" s="191"/>
    </row>
    <row r="804" customFormat="false" ht="15" hidden="false" customHeight="true" outlineLevel="0" collapsed="false">
      <c r="A804" s="193" t="s">
        <v>864</v>
      </c>
      <c r="B804" s="193"/>
      <c r="C804" s="193"/>
      <c r="D804" s="193"/>
      <c r="E804" s="193"/>
    </row>
    <row r="805" customFormat="false" ht="15" hidden="false" customHeight="true" outlineLevel="0" collapsed="false">
      <c r="A805" s="182" t="s">
        <v>46</v>
      </c>
      <c r="B805" s="183" t="s">
        <v>835</v>
      </c>
      <c r="C805" s="183" t="s">
        <v>140</v>
      </c>
      <c r="D805" s="183" t="s">
        <v>865</v>
      </c>
      <c r="E805" s="183"/>
    </row>
    <row r="806" customFormat="false" ht="15" hidden="false" customHeight="true" outlineLevel="0" collapsed="false">
      <c r="A806" s="20" t="n">
        <v>1</v>
      </c>
      <c r="B806" s="184" t="n">
        <v>46062</v>
      </c>
      <c r="C806" s="21" t="s">
        <v>62</v>
      </c>
      <c r="D806" s="152" t="n">
        <v>2</v>
      </c>
      <c r="E806" s="173"/>
    </row>
    <row r="807" customFormat="false" ht="15" hidden="false" customHeight="true" outlineLevel="0" collapsed="false">
      <c r="A807" s="178" t="n">
        <v>2</v>
      </c>
      <c r="B807" s="185" t="n">
        <v>46062</v>
      </c>
      <c r="C807" s="186" t="s">
        <v>63</v>
      </c>
      <c r="D807" s="187" t="n">
        <v>5</v>
      </c>
      <c r="E807" s="188"/>
    </row>
    <row r="808" customFormat="false" ht="15" hidden="false" customHeight="true" outlineLevel="0" collapsed="false">
      <c r="A808" s="20" t="n">
        <v>3</v>
      </c>
      <c r="B808" s="184" t="n">
        <v>46062</v>
      </c>
      <c r="C808" s="21" t="s">
        <v>84</v>
      </c>
      <c r="D808" s="152" t="n">
        <v>60</v>
      </c>
      <c r="E808" s="173"/>
    </row>
    <row r="809" customFormat="false" ht="15" hidden="false" customHeight="true" outlineLevel="0" collapsed="false">
      <c r="A809" s="178" t="n">
        <v>4</v>
      </c>
      <c r="B809" s="185" t="n">
        <v>46062</v>
      </c>
      <c r="C809" s="186" t="s">
        <v>86</v>
      </c>
      <c r="D809" s="187" t="n">
        <v>4</v>
      </c>
      <c r="E809" s="188"/>
    </row>
    <row r="810" customFormat="false" ht="15" hidden="false" customHeight="true" outlineLevel="0" collapsed="false">
      <c r="A810" s="20" t="n">
        <v>5</v>
      </c>
      <c r="B810" s="184" t="n">
        <v>46062</v>
      </c>
      <c r="C810" s="21" t="s">
        <v>87</v>
      </c>
      <c r="D810" s="152" t="n">
        <v>2.1</v>
      </c>
      <c r="E810" s="173"/>
    </row>
    <row r="811" customFormat="false" ht="15" hidden="false" customHeight="true" outlineLevel="0" collapsed="false">
      <c r="A811" s="178" t="n">
        <v>6</v>
      </c>
      <c r="B811" s="185" t="n">
        <v>46062</v>
      </c>
      <c r="C811" s="186" t="s">
        <v>97</v>
      </c>
      <c r="D811" s="187" t="n">
        <v>48</v>
      </c>
      <c r="E811" s="188"/>
    </row>
    <row r="812" customFormat="false" ht="15" hidden="false" customHeight="true" outlineLevel="0" collapsed="false">
      <c r="A812" s="20" t="n">
        <v>7</v>
      </c>
      <c r="B812" s="184" t="n">
        <v>46062</v>
      </c>
      <c r="C812" s="21" t="s">
        <v>104</v>
      </c>
      <c r="D812" s="152" t="n">
        <v>8</v>
      </c>
      <c r="E812" s="173"/>
    </row>
    <row r="813" customFormat="false" ht="15" hidden="false" customHeight="true" outlineLevel="0" collapsed="false">
      <c r="A813" s="178" t="n">
        <v>8</v>
      </c>
      <c r="B813" s="185" t="n">
        <v>46062</v>
      </c>
      <c r="C813" s="186" t="s">
        <v>114</v>
      </c>
      <c r="D813" s="187" t="n">
        <v>2</v>
      </c>
      <c r="E813" s="188"/>
    </row>
    <row r="814" customFormat="false" ht="15" hidden="false" customHeight="true" outlineLevel="0" collapsed="false">
      <c r="A814" s="20" t="n">
        <v>9</v>
      </c>
      <c r="B814" s="184" t="n">
        <v>46062</v>
      </c>
      <c r="C814" s="21" t="s">
        <v>115</v>
      </c>
      <c r="D814" s="152" t="n">
        <v>60</v>
      </c>
      <c r="E814" s="173"/>
    </row>
    <row r="815" customFormat="false" ht="15" hidden="false" customHeight="true" outlineLevel="0" collapsed="false">
      <c r="A815" s="178" t="n">
        <v>10</v>
      </c>
      <c r="B815" s="185" t="n">
        <v>46062</v>
      </c>
      <c r="C815" s="186" t="s">
        <v>115</v>
      </c>
      <c r="D815" s="187" t="n">
        <v>60</v>
      </c>
      <c r="E815" s="188"/>
    </row>
    <row r="816" customFormat="false" ht="15" hidden="false" customHeight="true" outlineLevel="0" collapsed="false">
      <c r="A816" s="20" t="n">
        <v>11</v>
      </c>
      <c r="B816" s="184" t="n">
        <v>46062</v>
      </c>
      <c r="C816" s="21" t="s">
        <v>122</v>
      </c>
      <c r="D816" s="152" t="n">
        <v>60</v>
      </c>
      <c r="E816" s="173"/>
    </row>
    <row r="817" customFormat="false" ht="15" hidden="false" customHeight="true" outlineLevel="0" collapsed="false">
      <c r="A817" s="178" t="n">
        <v>12</v>
      </c>
      <c r="B817" s="185" t="n">
        <v>46063</v>
      </c>
      <c r="C817" s="186" t="s">
        <v>107</v>
      </c>
      <c r="D817" s="187" t="n">
        <v>0.5</v>
      </c>
      <c r="E817" s="188"/>
    </row>
    <row r="818" customFormat="false" ht="15" hidden="false" customHeight="true" outlineLevel="0" collapsed="false">
      <c r="A818" s="20" t="n">
        <v>13</v>
      </c>
      <c r="B818" s="184" t="n">
        <v>46063</v>
      </c>
      <c r="C818" s="21" t="s">
        <v>118</v>
      </c>
      <c r="D818" s="152" t="n">
        <v>20</v>
      </c>
      <c r="E818" s="173"/>
    </row>
    <row r="819" customFormat="false" ht="15" hidden="false" customHeight="true" outlineLevel="0" collapsed="false">
      <c r="A819" s="178" t="n">
        <v>14</v>
      </c>
      <c r="B819" s="185" t="n">
        <v>46064</v>
      </c>
      <c r="C819" s="186" t="s">
        <v>116</v>
      </c>
      <c r="D819" s="187" t="n">
        <v>2000</v>
      </c>
      <c r="E819" s="188"/>
    </row>
    <row r="820" customFormat="false" ht="15" hidden="false" customHeight="true" outlineLevel="0" collapsed="false">
      <c r="A820" s="20" t="n">
        <v>15</v>
      </c>
      <c r="B820" s="184" t="n">
        <v>46064</v>
      </c>
      <c r="C820" s="21" t="s">
        <v>116</v>
      </c>
      <c r="D820" s="152" t="n">
        <v>1000</v>
      </c>
      <c r="E820" s="173"/>
    </row>
    <row r="821" customFormat="false" ht="15" hidden="false" customHeight="true" outlineLevel="0" collapsed="false">
      <c r="A821" s="178" t="n">
        <v>16</v>
      </c>
      <c r="B821" s="185" t="n">
        <v>46064</v>
      </c>
      <c r="C821" s="186" t="s">
        <v>134</v>
      </c>
      <c r="D821" s="187" t="n">
        <v>1000</v>
      </c>
      <c r="E821" s="188"/>
    </row>
    <row r="822" customFormat="false" ht="15" hidden="false" customHeight="true" outlineLevel="0" collapsed="false">
      <c r="A822" s="20" t="n">
        <v>17</v>
      </c>
      <c r="B822" s="184" t="n">
        <v>46066</v>
      </c>
      <c r="C822" s="21" t="s">
        <v>68</v>
      </c>
      <c r="D822" s="152" t="n">
        <v>20</v>
      </c>
      <c r="E822" s="173"/>
    </row>
    <row r="823" customFormat="false" ht="15" hidden="false" customHeight="true" outlineLevel="0" collapsed="false">
      <c r="A823" s="178" t="n">
        <v>18</v>
      </c>
      <c r="B823" s="185" t="n">
        <v>46066</v>
      </c>
      <c r="C823" s="186" t="s">
        <v>68</v>
      </c>
      <c r="D823" s="187" t="n">
        <v>10</v>
      </c>
      <c r="E823" s="188"/>
    </row>
    <row r="824" customFormat="false" ht="15" hidden="false" customHeight="true" outlineLevel="0" collapsed="false">
      <c r="A824" s="20" t="n">
        <v>19</v>
      </c>
      <c r="B824" s="184" t="n">
        <v>46066</v>
      </c>
      <c r="C824" s="21" t="s">
        <v>69</v>
      </c>
      <c r="D824" s="152" t="n">
        <v>4</v>
      </c>
      <c r="E824" s="173"/>
    </row>
    <row r="825" customFormat="false" ht="15" hidden="false" customHeight="true" outlineLevel="0" collapsed="false">
      <c r="A825" s="178" t="n">
        <v>20</v>
      </c>
      <c r="B825" s="185" t="n">
        <v>46066</v>
      </c>
      <c r="C825" s="186" t="s">
        <v>69</v>
      </c>
      <c r="D825" s="187" t="n">
        <v>2</v>
      </c>
      <c r="E825" s="188"/>
    </row>
    <row r="826" customFormat="false" ht="15" hidden="false" customHeight="true" outlineLevel="0" collapsed="false">
      <c r="A826" s="20" t="n">
        <v>21</v>
      </c>
      <c r="B826" s="184" t="n">
        <v>46066</v>
      </c>
      <c r="C826" s="21" t="s">
        <v>71</v>
      </c>
      <c r="D826" s="152" t="n">
        <v>20</v>
      </c>
      <c r="E826" s="173"/>
    </row>
    <row r="827" customFormat="false" ht="15" hidden="false" customHeight="true" outlineLevel="0" collapsed="false">
      <c r="A827" s="178" t="n">
        <v>22</v>
      </c>
      <c r="B827" s="185" t="n">
        <v>46066</v>
      </c>
      <c r="C827" s="186" t="s">
        <v>82</v>
      </c>
      <c r="D827" s="187" t="n">
        <v>20</v>
      </c>
      <c r="E827" s="188"/>
    </row>
    <row r="828" customFormat="false" ht="15" hidden="false" customHeight="true" outlineLevel="0" collapsed="false">
      <c r="A828" s="20" t="n">
        <v>23</v>
      </c>
      <c r="B828" s="184" t="n">
        <v>46066</v>
      </c>
      <c r="C828" s="21" t="s">
        <v>95</v>
      </c>
      <c r="D828" s="152" t="n">
        <v>10</v>
      </c>
      <c r="E828" s="173"/>
    </row>
    <row r="829" customFormat="false" ht="15" hidden="false" customHeight="true" outlineLevel="0" collapsed="false">
      <c r="A829" s="178" t="n">
        <v>24</v>
      </c>
      <c r="B829" s="185" t="n">
        <v>46066</v>
      </c>
      <c r="C829" s="186" t="s">
        <v>111</v>
      </c>
      <c r="D829" s="187" t="n">
        <v>4</v>
      </c>
      <c r="E829" s="188"/>
    </row>
    <row r="830" customFormat="false" ht="15" hidden="false" customHeight="true" outlineLevel="0" collapsed="false">
      <c r="A830" s="20" t="n">
        <v>25</v>
      </c>
      <c r="B830" s="184" t="n">
        <v>46066</v>
      </c>
      <c r="C830" s="21" t="s">
        <v>115</v>
      </c>
      <c r="D830" s="152" t="n">
        <v>60</v>
      </c>
      <c r="E830" s="173"/>
    </row>
    <row r="831" customFormat="false" ht="15" hidden="false" customHeight="true" outlineLevel="0" collapsed="false">
      <c r="A831" s="178" t="n">
        <v>26</v>
      </c>
      <c r="B831" s="185" t="n">
        <v>46066</v>
      </c>
      <c r="C831" s="186" t="s">
        <v>125</v>
      </c>
      <c r="D831" s="187" t="n">
        <v>10</v>
      </c>
      <c r="E831" s="188"/>
    </row>
    <row r="832" customFormat="false" ht="15" hidden="false" customHeight="true" outlineLevel="0" collapsed="false">
      <c r="A832" s="20" t="n">
        <v>27</v>
      </c>
      <c r="B832" s="184" t="n">
        <v>46066</v>
      </c>
      <c r="C832" s="21" t="s">
        <v>129</v>
      </c>
      <c r="D832" s="152" t="n">
        <v>10</v>
      </c>
      <c r="E832" s="173"/>
    </row>
    <row r="833" customFormat="false" ht="15" hidden="false" customHeight="true" outlineLevel="0" collapsed="false">
      <c r="A833" s="178" t="n">
        <v>28</v>
      </c>
      <c r="B833" s="185" t="n">
        <v>46066</v>
      </c>
      <c r="C833" s="186" t="s">
        <v>130</v>
      </c>
      <c r="D833" s="187" t="n">
        <v>54</v>
      </c>
      <c r="E833" s="188"/>
    </row>
    <row r="834" customFormat="false" ht="15" hidden="false" customHeight="true" outlineLevel="0" collapsed="false">
      <c r="A834" s="20" t="n">
        <v>29</v>
      </c>
      <c r="B834" s="184" t="n">
        <v>46067</v>
      </c>
      <c r="C834" s="21" t="s">
        <v>111</v>
      </c>
      <c r="D834" s="152" t="n">
        <v>2</v>
      </c>
      <c r="E834" s="173"/>
    </row>
    <row r="835" customFormat="false" ht="15" hidden="false" customHeight="true" outlineLevel="0" collapsed="false">
      <c r="A835" s="189" t="s">
        <v>837</v>
      </c>
      <c r="B835" s="189"/>
      <c r="C835" s="189"/>
      <c r="D835" s="190" t="n">
        <v>4557.6</v>
      </c>
      <c r="E835" s="191"/>
    </row>
    <row r="837" customFormat="false" ht="39.75" hidden="false" customHeight="true" outlineLevel="0" collapsed="false">
      <c r="A837" s="174" t="s">
        <v>887</v>
      </c>
      <c r="B837" s="174"/>
      <c r="C837" s="174"/>
      <c r="D837" s="174"/>
      <c r="E837" s="174"/>
    </row>
    <row r="838" customFormat="false" ht="15" hidden="false" customHeight="true" outlineLevel="0" collapsed="false">
      <c r="A838" s="175" t="s">
        <v>828</v>
      </c>
      <c r="B838" s="175"/>
      <c r="C838" s="175"/>
      <c r="D838" s="175"/>
      <c r="E838" s="175"/>
    </row>
    <row r="839" customFormat="false" ht="15" hidden="false" customHeight="true" outlineLevel="0" collapsed="false">
      <c r="A839" s="20" t="n">
        <v>1</v>
      </c>
      <c r="B839" s="176" t="s">
        <v>829</v>
      </c>
      <c r="C839" s="176"/>
      <c r="D839" s="177" t="n">
        <v>2700</v>
      </c>
      <c r="E839" s="20" t="s">
        <v>847</v>
      </c>
    </row>
    <row r="840" customFormat="false" ht="15" hidden="false" customHeight="true" outlineLevel="0" collapsed="false">
      <c r="A840" s="178" t="n">
        <v>2</v>
      </c>
      <c r="B840" s="179" t="s">
        <v>831</v>
      </c>
      <c r="C840" s="179"/>
      <c r="D840" s="180" t="n">
        <v>555.3</v>
      </c>
      <c r="E840" s="178" t="s">
        <v>888</v>
      </c>
    </row>
    <row r="841" customFormat="false" ht="15" hidden="false" customHeight="true" outlineLevel="0" collapsed="false">
      <c r="A841" s="20" t="n">
        <v>3</v>
      </c>
      <c r="B841" s="176" t="s">
        <v>833</v>
      </c>
      <c r="C841" s="176"/>
      <c r="D841" s="177" t="n">
        <v>100</v>
      </c>
      <c r="E841" s="20" t="s">
        <v>863</v>
      </c>
    </row>
    <row r="843" customFormat="false" ht="15" hidden="false" customHeight="true" outlineLevel="0" collapsed="false">
      <c r="A843" s="181" t="s">
        <v>834</v>
      </c>
      <c r="B843" s="181"/>
      <c r="C843" s="181"/>
      <c r="D843" s="181"/>
      <c r="E843" s="181"/>
    </row>
    <row r="844" customFormat="false" ht="15" hidden="false" customHeight="true" outlineLevel="0" collapsed="false">
      <c r="A844" s="182" t="s">
        <v>46</v>
      </c>
      <c r="B844" s="183" t="s">
        <v>835</v>
      </c>
      <c r="C844" s="183" t="s">
        <v>660</v>
      </c>
      <c r="D844" s="183" t="s">
        <v>836</v>
      </c>
      <c r="E844" s="183"/>
    </row>
    <row r="845" customFormat="false" ht="15" hidden="false" customHeight="true" outlineLevel="0" collapsed="false">
      <c r="A845" s="20" t="n">
        <v>1</v>
      </c>
      <c r="B845" s="184" t="n">
        <v>46072</v>
      </c>
      <c r="C845" s="21" t="s">
        <v>144</v>
      </c>
      <c r="D845" s="152" t="n">
        <v>70</v>
      </c>
      <c r="E845" s="173"/>
    </row>
    <row r="846" customFormat="false" ht="15" hidden="false" customHeight="true" outlineLevel="0" collapsed="false">
      <c r="A846" s="178" t="n">
        <v>2</v>
      </c>
      <c r="B846" s="185" t="n">
        <v>46072</v>
      </c>
      <c r="C846" s="186" t="s">
        <v>191</v>
      </c>
      <c r="D846" s="187" t="n">
        <v>1100</v>
      </c>
      <c r="E846" s="188"/>
    </row>
    <row r="847" customFormat="false" ht="15" hidden="false" customHeight="true" outlineLevel="0" collapsed="false">
      <c r="A847" s="20" t="n">
        <v>3</v>
      </c>
      <c r="B847" s="184" t="n">
        <v>46072</v>
      </c>
      <c r="C847" s="21" t="s">
        <v>204</v>
      </c>
      <c r="D847" s="152" t="n">
        <v>220</v>
      </c>
      <c r="E847" s="173"/>
    </row>
    <row r="848" customFormat="false" ht="15" hidden="false" customHeight="true" outlineLevel="0" collapsed="false">
      <c r="A848" s="178" t="n">
        <v>4</v>
      </c>
      <c r="B848" s="185" t="n">
        <v>46073</v>
      </c>
      <c r="C848" s="186" t="s">
        <v>179</v>
      </c>
      <c r="D848" s="187" t="n">
        <v>70</v>
      </c>
      <c r="E848" s="188"/>
    </row>
    <row r="849" customFormat="false" ht="15" hidden="false" customHeight="true" outlineLevel="0" collapsed="false">
      <c r="A849" s="20" t="n">
        <v>5</v>
      </c>
      <c r="B849" s="184" t="n">
        <v>46073</v>
      </c>
      <c r="C849" s="21" t="s">
        <v>191</v>
      </c>
      <c r="D849" s="152" t="n">
        <v>1100</v>
      </c>
      <c r="E849" s="173"/>
    </row>
    <row r="850" customFormat="false" ht="15" hidden="false" customHeight="true" outlineLevel="0" collapsed="false">
      <c r="A850" s="178" t="n">
        <v>6</v>
      </c>
      <c r="B850" s="185" t="n">
        <v>46073</v>
      </c>
      <c r="C850" s="186" t="s">
        <v>206</v>
      </c>
      <c r="D850" s="187" t="n">
        <v>70</v>
      </c>
      <c r="E850" s="188"/>
    </row>
    <row r="851" customFormat="false" ht="15" hidden="false" customHeight="true" outlineLevel="0" collapsed="false">
      <c r="A851" s="20" t="n">
        <v>7</v>
      </c>
      <c r="B851" s="184" t="n">
        <v>46073</v>
      </c>
      <c r="C851" s="21" t="s">
        <v>207</v>
      </c>
      <c r="D851" s="152" t="n">
        <v>70</v>
      </c>
      <c r="E851" s="173"/>
    </row>
    <row r="852" customFormat="false" ht="15" hidden="false" customHeight="true" outlineLevel="0" collapsed="false">
      <c r="A852" s="189" t="s">
        <v>837</v>
      </c>
      <c r="B852" s="189"/>
      <c r="C852" s="189"/>
      <c r="D852" s="190" t="n">
        <v>2700</v>
      </c>
      <c r="E852" s="191"/>
    </row>
    <row r="854" customFormat="false" ht="15" hidden="false" customHeight="true" outlineLevel="0" collapsed="false">
      <c r="A854" s="192" t="s">
        <v>855</v>
      </c>
      <c r="B854" s="192"/>
      <c r="C854" s="192"/>
      <c r="D854" s="192"/>
      <c r="E854" s="192"/>
    </row>
    <row r="855" customFormat="false" ht="15" hidden="false" customHeight="true" outlineLevel="0" collapsed="false">
      <c r="A855" s="182" t="s">
        <v>46</v>
      </c>
      <c r="B855" s="183"/>
      <c r="C855" s="183" t="s">
        <v>660</v>
      </c>
      <c r="D855" s="183" t="s">
        <v>856</v>
      </c>
      <c r="E855" s="183"/>
    </row>
    <row r="856" customFormat="false" ht="15" hidden="false" customHeight="true" outlineLevel="0" collapsed="false">
      <c r="A856" s="20" t="n">
        <v>1</v>
      </c>
      <c r="B856" s="173"/>
      <c r="C856" s="21" t="s">
        <v>204</v>
      </c>
      <c r="D856" s="152" t="n">
        <v>116.4</v>
      </c>
      <c r="E856" s="173"/>
    </row>
    <row r="857" customFormat="false" ht="15" hidden="false" customHeight="true" outlineLevel="0" collapsed="false">
      <c r="A857" s="178" t="n">
        <v>2</v>
      </c>
      <c r="B857" s="188"/>
      <c r="C857" s="186" t="s">
        <v>174</v>
      </c>
      <c r="D857" s="187" t="n">
        <v>86</v>
      </c>
      <c r="E857" s="188"/>
    </row>
    <row r="858" customFormat="false" ht="15" hidden="false" customHeight="true" outlineLevel="0" collapsed="false">
      <c r="A858" s="20" t="n">
        <v>3</v>
      </c>
      <c r="B858" s="173"/>
      <c r="C858" s="21" t="s">
        <v>205</v>
      </c>
      <c r="D858" s="152" t="n">
        <v>66.9</v>
      </c>
      <c r="E858" s="173"/>
    </row>
    <row r="859" customFormat="false" ht="15" hidden="false" customHeight="true" outlineLevel="0" collapsed="false">
      <c r="A859" s="178" t="n">
        <v>4</v>
      </c>
      <c r="B859" s="188"/>
      <c r="C859" s="186" t="s">
        <v>155</v>
      </c>
      <c r="D859" s="187" t="n">
        <v>57.6</v>
      </c>
      <c r="E859" s="188"/>
    </row>
    <row r="860" customFormat="false" ht="15" hidden="false" customHeight="true" outlineLevel="0" collapsed="false">
      <c r="A860" s="20" t="n">
        <v>5</v>
      </c>
      <c r="B860" s="173"/>
      <c r="C860" s="21" t="s">
        <v>144</v>
      </c>
      <c r="D860" s="152" t="n">
        <v>46</v>
      </c>
      <c r="E860" s="173"/>
    </row>
    <row r="861" customFormat="false" ht="15" hidden="false" customHeight="true" outlineLevel="0" collapsed="false">
      <c r="A861" s="178" t="n">
        <v>6</v>
      </c>
      <c r="B861" s="188"/>
      <c r="C861" s="186" t="s">
        <v>143</v>
      </c>
      <c r="D861" s="187" t="n">
        <v>28</v>
      </c>
      <c r="E861" s="188"/>
    </row>
    <row r="862" customFormat="false" ht="15" hidden="false" customHeight="true" outlineLevel="0" collapsed="false">
      <c r="A862" s="20" t="n">
        <v>7</v>
      </c>
      <c r="B862" s="173"/>
      <c r="C862" s="21" t="s">
        <v>183</v>
      </c>
      <c r="D862" s="152" t="n">
        <v>25.8</v>
      </c>
      <c r="E862" s="173"/>
    </row>
    <row r="863" customFormat="false" ht="15" hidden="false" customHeight="true" outlineLevel="0" collapsed="false">
      <c r="A863" s="178" t="n">
        <v>8</v>
      </c>
      <c r="B863" s="188"/>
      <c r="C863" s="186" t="s">
        <v>184</v>
      </c>
      <c r="D863" s="187" t="n">
        <v>22</v>
      </c>
      <c r="E863" s="188"/>
    </row>
    <row r="864" customFormat="false" ht="15" hidden="false" customHeight="true" outlineLevel="0" collapsed="false">
      <c r="A864" s="20" t="n">
        <v>9</v>
      </c>
      <c r="B864" s="173"/>
      <c r="C864" s="21" t="s">
        <v>178</v>
      </c>
      <c r="D864" s="152" t="n">
        <v>15</v>
      </c>
      <c r="E864" s="173"/>
    </row>
    <row r="865" customFormat="false" ht="15" hidden="false" customHeight="true" outlineLevel="0" collapsed="false">
      <c r="A865" s="178" t="n">
        <v>10</v>
      </c>
      <c r="B865" s="188"/>
      <c r="C865" s="186" t="s">
        <v>161</v>
      </c>
      <c r="D865" s="187" t="n">
        <v>14</v>
      </c>
      <c r="E865" s="188"/>
    </row>
    <row r="866" customFormat="false" ht="15" hidden="false" customHeight="true" outlineLevel="0" collapsed="false">
      <c r="A866" s="20" t="n">
        <v>11</v>
      </c>
      <c r="B866" s="173"/>
      <c r="C866" s="21" t="s">
        <v>222</v>
      </c>
      <c r="D866" s="152" t="n">
        <v>13</v>
      </c>
      <c r="E866" s="173"/>
    </row>
    <row r="867" customFormat="false" ht="15" hidden="false" customHeight="true" outlineLevel="0" collapsed="false">
      <c r="A867" s="178" t="n">
        <v>12</v>
      </c>
      <c r="B867" s="188"/>
      <c r="C867" s="194" t="s">
        <v>761</v>
      </c>
      <c r="D867" s="187" t="n">
        <v>8</v>
      </c>
      <c r="E867" s="188"/>
    </row>
    <row r="868" customFormat="false" ht="15" hidden="false" customHeight="true" outlineLevel="0" collapsed="false">
      <c r="A868" s="20" t="n">
        <v>13</v>
      </c>
      <c r="B868" s="173"/>
      <c r="C868" s="21" t="s">
        <v>207</v>
      </c>
      <c r="D868" s="152" t="n">
        <v>7</v>
      </c>
      <c r="E868" s="173"/>
    </row>
    <row r="869" customFormat="false" ht="15" hidden="false" customHeight="true" outlineLevel="0" collapsed="false">
      <c r="A869" s="178" t="n">
        <v>14</v>
      </c>
      <c r="B869" s="188"/>
      <c r="C869" s="186" t="s">
        <v>149</v>
      </c>
      <c r="D869" s="187" t="n">
        <v>6</v>
      </c>
      <c r="E869" s="188"/>
    </row>
    <row r="870" customFormat="false" ht="15" hidden="false" customHeight="true" outlineLevel="0" collapsed="false">
      <c r="A870" s="20" t="n">
        <v>15</v>
      </c>
      <c r="B870" s="173"/>
      <c r="C870" s="21" t="s">
        <v>150</v>
      </c>
      <c r="D870" s="152" t="n">
        <v>6</v>
      </c>
      <c r="E870" s="173"/>
    </row>
    <row r="871" customFormat="false" ht="15" hidden="false" customHeight="true" outlineLevel="0" collapsed="false">
      <c r="A871" s="178" t="n">
        <v>16</v>
      </c>
      <c r="B871" s="188"/>
      <c r="C871" s="186" t="s">
        <v>151</v>
      </c>
      <c r="D871" s="187" t="n">
        <v>6</v>
      </c>
      <c r="E871" s="188"/>
    </row>
    <row r="872" customFormat="false" ht="15" hidden="false" customHeight="true" outlineLevel="0" collapsed="false">
      <c r="A872" s="20" t="n">
        <v>17</v>
      </c>
      <c r="B872" s="173"/>
      <c r="C872" s="21" t="s">
        <v>152</v>
      </c>
      <c r="D872" s="152" t="n">
        <v>6</v>
      </c>
      <c r="E872" s="173"/>
    </row>
    <row r="873" customFormat="false" ht="15" hidden="false" customHeight="true" outlineLevel="0" collapsed="false">
      <c r="A873" s="178" t="n">
        <v>18</v>
      </c>
      <c r="B873" s="188"/>
      <c r="C873" s="186" t="s">
        <v>153</v>
      </c>
      <c r="D873" s="187" t="n">
        <v>6</v>
      </c>
      <c r="E873" s="188"/>
    </row>
    <row r="874" customFormat="false" ht="15" hidden="false" customHeight="true" outlineLevel="0" collapsed="false">
      <c r="A874" s="20" t="n">
        <v>19</v>
      </c>
      <c r="B874" s="173"/>
      <c r="C874" s="21" t="s">
        <v>154</v>
      </c>
      <c r="D874" s="152" t="n">
        <v>5.4</v>
      </c>
      <c r="E874" s="173"/>
    </row>
    <row r="875" customFormat="false" ht="15" hidden="false" customHeight="true" outlineLevel="0" collapsed="false">
      <c r="A875" s="178" t="n">
        <v>20</v>
      </c>
      <c r="B875" s="188"/>
      <c r="C875" s="194" t="s">
        <v>267</v>
      </c>
      <c r="D875" s="187" t="n">
        <v>3.6</v>
      </c>
      <c r="E875" s="188"/>
    </row>
    <row r="876" customFormat="false" ht="15" hidden="false" customHeight="true" outlineLevel="0" collapsed="false">
      <c r="A876" s="20" t="n">
        <v>21</v>
      </c>
      <c r="B876" s="173"/>
      <c r="C876" s="21" t="s">
        <v>147</v>
      </c>
      <c r="D876" s="152" t="n">
        <v>2.5</v>
      </c>
      <c r="E876" s="173"/>
    </row>
    <row r="877" customFormat="false" ht="15" hidden="false" customHeight="true" outlineLevel="0" collapsed="false">
      <c r="A877" s="178" t="n">
        <v>22</v>
      </c>
      <c r="B877" s="188"/>
      <c r="C877" s="186" t="s">
        <v>173</v>
      </c>
      <c r="D877" s="187" t="n">
        <v>2</v>
      </c>
      <c r="E877" s="188"/>
    </row>
    <row r="878" customFormat="false" ht="15" hidden="false" customHeight="true" outlineLevel="0" collapsed="false">
      <c r="A878" s="20" t="n">
        <v>23</v>
      </c>
      <c r="B878" s="173"/>
      <c r="C878" s="21" t="s">
        <v>206</v>
      </c>
      <c r="D878" s="152" t="n">
        <v>1.8</v>
      </c>
      <c r="E878" s="173"/>
    </row>
    <row r="879" customFormat="false" ht="15" hidden="false" customHeight="true" outlineLevel="0" collapsed="false">
      <c r="A879" s="178" t="n">
        <v>24</v>
      </c>
      <c r="B879" s="188"/>
      <c r="C879" s="186" t="s">
        <v>221</v>
      </c>
      <c r="D879" s="187" t="n">
        <v>1.8</v>
      </c>
      <c r="E879" s="188"/>
    </row>
    <row r="880" customFormat="false" ht="15" hidden="false" customHeight="true" outlineLevel="0" collapsed="false">
      <c r="A880" s="20" t="n">
        <v>25</v>
      </c>
      <c r="B880" s="173"/>
      <c r="C880" s="21" t="s">
        <v>146</v>
      </c>
      <c r="D880" s="152" t="n">
        <v>1.5</v>
      </c>
      <c r="E880" s="173"/>
    </row>
    <row r="881" customFormat="false" ht="15" hidden="false" customHeight="true" outlineLevel="0" collapsed="false">
      <c r="A881" s="178" t="n">
        <v>26</v>
      </c>
      <c r="B881" s="188"/>
      <c r="C881" s="186" t="s">
        <v>142</v>
      </c>
      <c r="D881" s="187" t="n">
        <v>0.5</v>
      </c>
      <c r="E881" s="188"/>
    </row>
    <row r="882" customFormat="false" ht="15" hidden="false" customHeight="true" outlineLevel="0" collapsed="false">
      <c r="A882" s="20" t="n">
        <v>27</v>
      </c>
      <c r="B882" s="173"/>
      <c r="C882" s="21" t="s">
        <v>220</v>
      </c>
      <c r="D882" s="152" t="n">
        <v>0.5</v>
      </c>
      <c r="E882" s="173"/>
    </row>
    <row r="883" customFormat="false" ht="15" hidden="false" customHeight="true" outlineLevel="0" collapsed="false">
      <c r="A883" s="189" t="s">
        <v>837</v>
      </c>
      <c r="B883" s="189"/>
      <c r="C883" s="189"/>
      <c r="D883" s="190" t="n">
        <v>555.3</v>
      </c>
      <c r="E883" s="191"/>
    </row>
    <row r="885" customFormat="false" ht="15" hidden="false" customHeight="true" outlineLevel="0" collapsed="false">
      <c r="A885" s="193" t="s">
        <v>864</v>
      </c>
      <c r="B885" s="193"/>
      <c r="C885" s="193"/>
      <c r="D885" s="193"/>
      <c r="E885" s="193"/>
    </row>
    <row r="886" customFormat="false" ht="15" hidden="false" customHeight="true" outlineLevel="0" collapsed="false">
      <c r="A886" s="182" t="s">
        <v>46</v>
      </c>
      <c r="B886" s="183" t="s">
        <v>835</v>
      </c>
      <c r="C886" s="183" t="s">
        <v>140</v>
      </c>
      <c r="D886" s="183" t="s">
        <v>865</v>
      </c>
      <c r="E886" s="183"/>
    </row>
    <row r="887" customFormat="false" ht="15" hidden="false" customHeight="true" outlineLevel="0" collapsed="false">
      <c r="A887" s="20" t="n">
        <v>1</v>
      </c>
      <c r="B887" s="184" t="n">
        <v>46072</v>
      </c>
      <c r="C887" s="21" t="s">
        <v>84</v>
      </c>
      <c r="D887" s="152" t="n">
        <v>100</v>
      </c>
      <c r="E887" s="173"/>
    </row>
    <row r="888" customFormat="false" ht="15" hidden="false" customHeight="true" outlineLevel="0" collapsed="false">
      <c r="A888" s="189" t="s">
        <v>837</v>
      </c>
      <c r="B888" s="189"/>
      <c r="C888" s="189"/>
      <c r="D888" s="190" t="n">
        <v>100</v>
      </c>
      <c r="E888" s="191"/>
    </row>
    <row r="890" customFormat="false" ht="39.75" hidden="false" customHeight="true" outlineLevel="0" collapsed="false">
      <c r="A890" s="174" t="s">
        <v>889</v>
      </c>
      <c r="B890" s="174"/>
      <c r="C890" s="174"/>
      <c r="D890" s="174"/>
      <c r="E890" s="174"/>
    </row>
    <row r="891" customFormat="false" ht="15" hidden="false" customHeight="true" outlineLevel="0" collapsed="false">
      <c r="A891" s="175" t="s">
        <v>828</v>
      </c>
      <c r="B891" s="175"/>
      <c r="C891" s="175"/>
      <c r="D891" s="175"/>
      <c r="E891" s="175"/>
    </row>
    <row r="892" customFormat="false" ht="15" hidden="false" customHeight="true" outlineLevel="0" collapsed="false">
      <c r="A892" s="20" t="n">
        <v>1</v>
      </c>
      <c r="B892" s="176" t="s">
        <v>829</v>
      </c>
      <c r="C892" s="176"/>
      <c r="D892" s="177" t="n">
        <v>6470</v>
      </c>
      <c r="E892" s="20" t="s">
        <v>841</v>
      </c>
    </row>
    <row r="893" customFormat="false" ht="15" hidden="false" customHeight="true" outlineLevel="0" collapsed="false">
      <c r="A893" s="178" t="n">
        <v>2</v>
      </c>
      <c r="B893" s="179" t="s">
        <v>831</v>
      </c>
      <c r="C893" s="179"/>
      <c r="D893" s="180" t="n">
        <v>3524</v>
      </c>
      <c r="E893" s="178" t="s">
        <v>890</v>
      </c>
    </row>
    <row r="894" customFormat="false" ht="15" hidden="false" customHeight="true" outlineLevel="0" collapsed="false">
      <c r="A894" s="20" t="n">
        <v>3</v>
      </c>
      <c r="B894" s="176" t="s">
        <v>833</v>
      </c>
      <c r="C894" s="176"/>
      <c r="D894" s="177" t="n">
        <v>1902</v>
      </c>
      <c r="E894" s="20" t="s">
        <v>841</v>
      </c>
    </row>
    <row r="896" customFormat="false" ht="15" hidden="false" customHeight="true" outlineLevel="0" collapsed="false">
      <c r="A896" s="181" t="s">
        <v>834</v>
      </c>
      <c r="B896" s="181"/>
      <c r="C896" s="181"/>
      <c r="D896" s="181"/>
      <c r="E896" s="181"/>
    </row>
    <row r="897" customFormat="false" ht="15" hidden="false" customHeight="true" outlineLevel="0" collapsed="false">
      <c r="A897" s="182" t="s">
        <v>46</v>
      </c>
      <c r="B897" s="183" t="s">
        <v>835</v>
      </c>
      <c r="C897" s="183" t="s">
        <v>660</v>
      </c>
      <c r="D897" s="183" t="s">
        <v>836</v>
      </c>
      <c r="E897" s="183"/>
    </row>
    <row r="898" customFormat="false" ht="15" hidden="false" customHeight="true" outlineLevel="0" collapsed="false">
      <c r="A898" s="20" t="n">
        <v>1</v>
      </c>
      <c r="B898" s="184" t="n">
        <v>46076</v>
      </c>
      <c r="C898" s="21" t="s">
        <v>144</v>
      </c>
      <c r="D898" s="152" t="n">
        <v>140</v>
      </c>
      <c r="E898" s="173"/>
    </row>
    <row r="899" customFormat="false" ht="15" hidden="false" customHeight="true" outlineLevel="0" collapsed="false">
      <c r="A899" s="178" t="n">
        <v>2</v>
      </c>
      <c r="B899" s="185" t="n">
        <v>46076</v>
      </c>
      <c r="C899" s="186" t="s">
        <v>155</v>
      </c>
      <c r="D899" s="187" t="n">
        <v>220</v>
      </c>
      <c r="E899" s="188"/>
    </row>
    <row r="900" customFormat="false" ht="15" hidden="false" customHeight="true" outlineLevel="0" collapsed="false">
      <c r="A900" s="20" t="n">
        <v>3</v>
      </c>
      <c r="B900" s="184" t="n">
        <v>46076</v>
      </c>
      <c r="C900" s="21" t="s">
        <v>191</v>
      </c>
      <c r="D900" s="152" t="n">
        <v>1100</v>
      </c>
      <c r="E900" s="173"/>
    </row>
    <row r="901" customFormat="false" ht="15" hidden="false" customHeight="true" outlineLevel="0" collapsed="false">
      <c r="A901" s="178" t="n">
        <v>4</v>
      </c>
      <c r="B901" s="185" t="n">
        <v>46077</v>
      </c>
      <c r="C901" s="186" t="s">
        <v>191</v>
      </c>
      <c r="D901" s="187" t="n">
        <v>1100</v>
      </c>
      <c r="E901" s="188"/>
    </row>
    <row r="902" customFormat="false" ht="15" hidden="false" customHeight="true" outlineLevel="0" collapsed="false">
      <c r="A902" s="20" t="n">
        <v>5</v>
      </c>
      <c r="B902" s="184" t="n">
        <v>46077</v>
      </c>
      <c r="C902" s="21" t="s">
        <v>222</v>
      </c>
      <c r="D902" s="152" t="n">
        <v>110</v>
      </c>
      <c r="E902" s="173"/>
    </row>
    <row r="903" customFormat="false" ht="15" hidden="false" customHeight="true" outlineLevel="0" collapsed="false">
      <c r="A903" s="178" t="n">
        <v>6</v>
      </c>
      <c r="B903" s="185" t="n">
        <v>46078</v>
      </c>
      <c r="C903" s="186" t="s">
        <v>153</v>
      </c>
      <c r="D903" s="187" t="n">
        <v>110</v>
      </c>
      <c r="E903" s="188"/>
    </row>
    <row r="904" customFormat="false" ht="15" hidden="false" customHeight="true" outlineLevel="0" collapsed="false">
      <c r="A904" s="20" t="n">
        <v>7</v>
      </c>
      <c r="B904" s="184" t="n">
        <v>46078</v>
      </c>
      <c r="C904" s="21" t="s">
        <v>163</v>
      </c>
      <c r="D904" s="152" t="n">
        <v>70</v>
      </c>
      <c r="E904" s="173"/>
    </row>
    <row r="905" customFormat="false" ht="15" hidden="false" customHeight="true" outlineLevel="0" collapsed="false">
      <c r="A905" s="178" t="n">
        <v>8</v>
      </c>
      <c r="B905" s="185" t="n">
        <v>46078</v>
      </c>
      <c r="C905" s="186" t="s">
        <v>191</v>
      </c>
      <c r="D905" s="187" t="n">
        <v>1100</v>
      </c>
      <c r="E905" s="188"/>
    </row>
    <row r="906" customFormat="false" ht="15" hidden="false" customHeight="true" outlineLevel="0" collapsed="false">
      <c r="A906" s="20" t="n">
        <v>9</v>
      </c>
      <c r="B906" s="184" t="n">
        <v>46079</v>
      </c>
      <c r="C906" s="21" t="s">
        <v>147</v>
      </c>
      <c r="D906" s="152" t="n">
        <v>40</v>
      </c>
      <c r="E906" s="173"/>
    </row>
    <row r="907" customFormat="false" ht="15" hidden="false" customHeight="true" outlineLevel="0" collapsed="false">
      <c r="A907" s="178" t="n">
        <v>10</v>
      </c>
      <c r="B907" s="185" t="n">
        <v>46079</v>
      </c>
      <c r="C907" s="186" t="s">
        <v>163</v>
      </c>
      <c r="D907" s="187" t="n">
        <v>70</v>
      </c>
      <c r="E907" s="188"/>
    </row>
    <row r="908" customFormat="false" ht="15" hidden="false" customHeight="true" outlineLevel="0" collapsed="false">
      <c r="A908" s="20" t="n">
        <v>11</v>
      </c>
      <c r="B908" s="184" t="n">
        <v>46079</v>
      </c>
      <c r="C908" s="21" t="s">
        <v>191</v>
      </c>
      <c r="D908" s="152" t="n">
        <v>1100</v>
      </c>
      <c r="E908" s="173"/>
    </row>
    <row r="909" customFormat="false" ht="15" hidden="false" customHeight="true" outlineLevel="0" collapsed="false">
      <c r="A909" s="178" t="n">
        <v>12</v>
      </c>
      <c r="B909" s="185" t="n">
        <v>46080</v>
      </c>
      <c r="C909" s="186" t="s">
        <v>179</v>
      </c>
      <c r="D909" s="187" t="n">
        <v>140</v>
      </c>
      <c r="E909" s="188"/>
    </row>
    <row r="910" customFormat="false" ht="15" hidden="false" customHeight="true" outlineLevel="0" collapsed="false">
      <c r="A910" s="20" t="n">
        <v>13</v>
      </c>
      <c r="B910" s="184" t="n">
        <v>46080</v>
      </c>
      <c r="C910" s="21" t="s">
        <v>191</v>
      </c>
      <c r="D910" s="152" t="n">
        <v>1100</v>
      </c>
      <c r="E910" s="173"/>
    </row>
    <row r="911" customFormat="false" ht="15" hidden="false" customHeight="true" outlineLevel="0" collapsed="false">
      <c r="A911" s="178" t="n">
        <v>14</v>
      </c>
      <c r="B911" s="185" t="n">
        <v>46080</v>
      </c>
      <c r="C911" s="186" t="s">
        <v>206</v>
      </c>
      <c r="D911" s="187" t="n">
        <v>70</v>
      </c>
      <c r="E911" s="188"/>
    </row>
    <row r="912" customFormat="false" ht="15" hidden="false" customHeight="true" outlineLevel="0" collapsed="false">
      <c r="A912" s="189" t="s">
        <v>837</v>
      </c>
      <c r="B912" s="189"/>
      <c r="C912" s="189"/>
      <c r="D912" s="190" t="n">
        <v>6470</v>
      </c>
      <c r="E912" s="191"/>
    </row>
    <row r="914" customFormat="false" ht="15" hidden="false" customHeight="true" outlineLevel="0" collapsed="false">
      <c r="A914" s="192" t="s">
        <v>855</v>
      </c>
      <c r="B914" s="192"/>
      <c r="C914" s="192"/>
      <c r="D914" s="192"/>
      <c r="E914" s="192"/>
    </row>
    <row r="915" customFormat="false" ht="15" hidden="false" customHeight="true" outlineLevel="0" collapsed="false">
      <c r="A915" s="182" t="s">
        <v>46</v>
      </c>
      <c r="B915" s="183"/>
      <c r="C915" s="183" t="s">
        <v>660</v>
      </c>
      <c r="D915" s="183" t="s">
        <v>856</v>
      </c>
      <c r="E915" s="183"/>
    </row>
    <row r="916" customFormat="false" ht="15" hidden="false" customHeight="true" outlineLevel="0" collapsed="false">
      <c r="A916" s="20" t="n">
        <v>1</v>
      </c>
      <c r="B916" s="173"/>
      <c r="C916" s="21" t="s">
        <v>191</v>
      </c>
      <c r="D916" s="152" t="n">
        <v>2630.4</v>
      </c>
      <c r="E916" s="173"/>
    </row>
    <row r="917" customFormat="false" ht="15" hidden="false" customHeight="true" outlineLevel="0" collapsed="false">
      <c r="A917" s="178" t="n">
        <v>2</v>
      </c>
      <c r="B917" s="188"/>
      <c r="C917" s="186" t="s">
        <v>143</v>
      </c>
      <c r="D917" s="187" t="n">
        <v>217.7</v>
      </c>
      <c r="E917" s="188"/>
    </row>
    <row r="918" customFormat="false" ht="15" hidden="false" customHeight="true" outlineLevel="0" collapsed="false">
      <c r="A918" s="20" t="n">
        <v>3</v>
      </c>
      <c r="B918" s="173"/>
      <c r="C918" s="21" t="s">
        <v>204</v>
      </c>
      <c r="D918" s="152" t="n">
        <v>141.3</v>
      </c>
      <c r="E918" s="173"/>
    </row>
    <row r="919" customFormat="false" ht="15" hidden="false" customHeight="true" outlineLevel="0" collapsed="false">
      <c r="A919" s="178" t="n">
        <v>4</v>
      </c>
      <c r="B919" s="188"/>
      <c r="C919" s="186" t="s">
        <v>144</v>
      </c>
      <c r="D919" s="187" t="n">
        <v>81</v>
      </c>
      <c r="E919" s="188"/>
    </row>
    <row r="920" customFormat="false" ht="15" hidden="false" customHeight="true" outlineLevel="0" collapsed="false">
      <c r="A920" s="20" t="n">
        <v>5</v>
      </c>
      <c r="B920" s="173"/>
      <c r="C920" s="21" t="s">
        <v>205</v>
      </c>
      <c r="D920" s="152" t="n">
        <v>69.3</v>
      </c>
      <c r="E920" s="173"/>
    </row>
    <row r="921" customFormat="false" ht="15" hidden="false" customHeight="true" outlineLevel="0" collapsed="false">
      <c r="A921" s="178" t="n">
        <v>6</v>
      </c>
      <c r="B921" s="188"/>
      <c r="C921" s="186" t="s">
        <v>178</v>
      </c>
      <c r="D921" s="187" t="n">
        <v>61</v>
      </c>
      <c r="E921" s="188"/>
    </row>
    <row r="922" customFormat="false" ht="15" hidden="false" customHeight="true" outlineLevel="0" collapsed="false">
      <c r="A922" s="20" t="n">
        <v>7</v>
      </c>
      <c r="B922" s="173"/>
      <c r="C922" s="21" t="s">
        <v>174</v>
      </c>
      <c r="D922" s="152" t="n">
        <v>50.9</v>
      </c>
      <c r="E922" s="173"/>
    </row>
    <row r="923" customFormat="false" ht="15" hidden="false" customHeight="true" outlineLevel="0" collapsed="false">
      <c r="A923" s="178" t="n">
        <v>8</v>
      </c>
      <c r="B923" s="188"/>
      <c r="C923" s="186" t="s">
        <v>206</v>
      </c>
      <c r="D923" s="187" t="n">
        <v>45</v>
      </c>
      <c r="E923" s="188"/>
    </row>
    <row r="924" customFormat="false" ht="15" hidden="false" customHeight="true" outlineLevel="0" collapsed="false">
      <c r="A924" s="20" t="n">
        <v>9</v>
      </c>
      <c r="B924" s="173"/>
      <c r="C924" s="21" t="s">
        <v>155</v>
      </c>
      <c r="D924" s="152" t="n">
        <v>41.8</v>
      </c>
      <c r="E924" s="173"/>
    </row>
    <row r="925" customFormat="false" ht="15" hidden="false" customHeight="true" outlineLevel="0" collapsed="false">
      <c r="A925" s="178" t="n">
        <v>10</v>
      </c>
      <c r="B925" s="188"/>
      <c r="C925" s="186" t="s">
        <v>183</v>
      </c>
      <c r="D925" s="187" t="n">
        <v>35.4</v>
      </c>
      <c r="E925" s="188"/>
    </row>
    <row r="926" customFormat="false" ht="15" hidden="false" customHeight="true" outlineLevel="0" collapsed="false">
      <c r="A926" s="20" t="n">
        <v>11</v>
      </c>
      <c r="B926" s="173"/>
      <c r="C926" s="21" t="s">
        <v>150</v>
      </c>
      <c r="D926" s="152" t="n">
        <v>18</v>
      </c>
      <c r="E926" s="173"/>
    </row>
    <row r="927" customFormat="false" ht="15" hidden="false" customHeight="true" outlineLevel="0" collapsed="false">
      <c r="A927" s="178" t="n">
        <v>12</v>
      </c>
      <c r="B927" s="188"/>
      <c r="C927" s="186" t="s">
        <v>151</v>
      </c>
      <c r="D927" s="187" t="n">
        <v>18</v>
      </c>
      <c r="E927" s="188"/>
    </row>
    <row r="928" customFormat="false" ht="15" hidden="false" customHeight="true" outlineLevel="0" collapsed="false">
      <c r="A928" s="20" t="n">
        <v>13</v>
      </c>
      <c r="B928" s="173"/>
      <c r="C928" s="21" t="s">
        <v>153</v>
      </c>
      <c r="D928" s="152" t="n">
        <v>18</v>
      </c>
      <c r="E928" s="173"/>
    </row>
    <row r="929" customFormat="false" ht="15" hidden="false" customHeight="true" outlineLevel="0" collapsed="false">
      <c r="A929" s="178" t="n">
        <v>14</v>
      </c>
      <c r="B929" s="188"/>
      <c r="C929" s="186" t="s">
        <v>154</v>
      </c>
      <c r="D929" s="187" t="n">
        <v>18</v>
      </c>
      <c r="E929" s="188"/>
    </row>
    <row r="930" customFormat="false" ht="15" hidden="false" customHeight="true" outlineLevel="0" collapsed="false">
      <c r="A930" s="20" t="n">
        <v>15</v>
      </c>
      <c r="B930" s="173"/>
      <c r="C930" s="21" t="s">
        <v>149</v>
      </c>
      <c r="D930" s="152" t="n">
        <v>12</v>
      </c>
      <c r="E930" s="173"/>
    </row>
    <row r="931" customFormat="false" ht="15" hidden="false" customHeight="true" outlineLevel="0" collapsed="false">
      <c r="A931" s="178" t="n">
        <v>16</v>
      </c>
      <c r="B931" s="188"/>
      <c r="C931" s="186" t="s">
        <v>152</v>
      </c>
      <c r="D931" s="187" t="n">
        <v>12</v>
      </c>
      <c r="E931" s="188"/>
    </row>
    <row r="932" customFormat="false" ht="15" hidden="false" customHeight="true" outlineLevel="0" collapsed="false">
      <c r="A932" s="20" t="n">
        <v>17</v>
      </c>
      <c r="B932" s="173"/>
      <c r="C932" s="21" t="s">
        <v>184</v>
      </c>
      <c r="D932" s="152" t="n">
        <v>10</v>
      </c>
      <c r="E932" s="173"/>
    </row>
    <row r="933" customFormat="false" ht="15" hidden="false" customHeight="true" outlineLevel="0" collapsed="false">
      <c r="A933" s="178" t="n">
        <v>18</v>
      </c>
      <c r="B933" s="188"/>
      <c r="C933" s="186" t="s">
        <v>222</v>
      </c>
      <c r="D933" s="187" t="n">
        <v>9.6</v>
      </c>
      <c r="E933" s="188"/>
    </row>
    <row r="934" customFormat="false" ht="15" hidden="false" customHeight="true" outlineLevel="0" collapsed="false">
      <c r="A934" s="20" t="n">
        <v>19</v>
      </c>
      <c r="B934" s="173"/>
      <c r="C934" s="21" t="s">
        <v>886</v>
      </c>
      <c r="D934" s="152" t="n">
        <v>9</v>
      </c>
      <c r="E934" s="173"/>
    </row>
    <row r="935" customFormat="false" ht="15" hidden="false" customHeight="true" outlineLevel="0" collapsed="false">
      <c r="A935" s="178" t="n">
        <v>20</v>
      </c>
      <c r="B935" s="188"/>
      <c r="C935" s="186" t="s">
        <v>220</v>
      </c>
      <c r="D935" s="187" t="n">
        <v>6</v>
      </c>
      <c r="E935" s="188"/>
    </row>
    <row r="936" customFormat="false" ht="15" hidden="false" customHeight="true" outlineLevel="0" collapsed="false">
      <c r="A936" s="20" t="n">
        <v>21</v>
      </c>
      <c r="B936" s="173"/>
      <c r="C936" s="21" t="s">
        <v>159</v>
      </c>
      <c r="D936" s="152" t="n">
        <v>6</v>
      </c>
      <c r="E936" s="173"/>
    </row>
    <row r="937" customFormat="false" ht="15" hidden="false" customHeight="true" outlineLevel="0" collapsed="false">
      <c r="A937" s="178" t="n">
        <v>22</v>
      </c>
      <c r="B937" s="188"/>
      <c r="C937" s="186" t="s">
        <v>147</v>
      </c>
      <c r="D937" s="187" t="n">
        <v>5</v>
      </c>
      <c r="E937" s="188"/>
    </row>
    <row r="938" customFormat="false" ht="15" hidden="false" customHeight="true" outlineLevel="0" collapsed="false">
      <c r="A938" s="20" t="n">
        <v>23</v>
      </c>
      <c r="B938" s="173"/>
      <c r="C938" s="21" t="s">
        <v>161</v>
      </c>
      <c r="D938" s="152" t="n">
        <v>4</v>
      </c>
      <c r="E938" s="173"/>
    </row>
    <row r="939" customFormat="false" ht="15" hidden="false" customHeight="true" outlineLevel="0" collapsed="false">
      <c r="A939" s="178" t="n">
        <v>24</v>
      </c>
      <c r="B939" s="188"/>
      <c r="C939" s="186" t="s">
        <v>181</v>
      </c>
      <c r="D939" s="187" t="n">
        <v>2</v>
      </c>
      <c r="E939" s="188"/>
    </row>
    <row r="940" customFormat="false" ht="15" hidden="false" customHeight="true" outlineLevel="0" collapsed="false">
      <c r="A940" s="20" t="n">
        <v>25</v>
      </c>
      <c r="B940" s="173"/>
      <c r="C940" s="21" t="s">
        <v>163</v>
      </c>
      <c r="D940" s="152" t="n">
        <v>1.8</v>
      </c>
      <c r="E940" s="173"/>
    </row>
    <row r="941" customFormat="false" ht="15" hidden="false" customHeight="true" outlineLevel="0" collapsed="false">
      <c r="A941" s="178" t="n">
        <v>26</v>
      </c>
      <c r="B941" s="188"/>
      <c r="C941" s="186" t="s">
        <v>221</v>
      </c>
      <c r="D941" s="187" t="n">
        <v>0.8</v>
      </c>
      <c r="E941" s="188"/>
    </row>
    <row r="942" customFormat="false" ht="15" hidden="false" customHeight="true" outlineLevel="0" collapsed="false">
      <c r="A942" s="189" t="s">
        <v>837</v>
      </c>
      <c r="B942" s="189"/>
      <c r="C942" s="189"/>
      <c r="D942" s="190" t="n">
        <v>3524</v>
      </c>
      <c r="E942" s="191"/>
    </row>
    <row r="944" customFormat="false" ht="15" hidden="false" customHeight="true" outlineLevel="0" collapsed="false">
      <c r="A944" s="193" t="s">
        <v>864</v>
      </c>
      <c r="B944" s="193"/>
      <c r="C944" s="193"/>
      <c r="D944" s="193"/>
      <c r="E944" s="193"/>
    </row>
    <row r="945" customFormat="false" ht="15" hidden="false" customHeight="true" outlineLevel="0" collapsed="false">
      <c r="A945" s="182" t="s">
        <v>46</v>
      </c>
      <c r="B945" s="183" t="s">
        <v>835</v>
      </c>
      <c r="C945" s="183" t="s">
        <v>140</v>
      </c>
      <c r="D945" s="183" t="s">
        <v>865</v>
      </c>
      <c r="E945" s="183"/>
    </row>
    <row r="946" customFormat="false" ht="15" hidden="false" customHeight="true" outlineLevel="0" collapsed="false">
      <c r="A946" s="20" t="n">
        <v>1</v>
      </c>
      <c r="B946" s="184" t="n">
        <v>46077</v>
      </c>
      <c r="C946" s="21" t="s">
        <v>92</v>
      </c>
      <c r="D946" s="152" t="n">
        <v>144</v>
      </c>
      <c r="E946" s="173"/>
    </row>
    <row r="947" customFormat="false" ht="15" hidden="false" customHeight="true" outlineLevel="0" collapsed="false">
      <c r="A947" s="178" t="n">
        <v>2</v>
      </c>
      <c r="B947" s="185" t="n">
        <v>46077</v>
      </c>
      <c r="C947" s="186" t="s">
        <v>115</v>
      </c>
      <c r="D947" s="187" t="n">
        <v>40</v>
      </c>
      <c r="E947" s="188"/>
    </row>
    <row r="948" customFormat="false" ht="15" hidden="false" customHeight="true" outlineLevel="0" collapsed="false">
      <c r="A948" s="20" t="n">
        <v>3</v>
      </c>
      <c r="B948" s="184" t="n">
        <v>46077</v>
      </c>
      <c r="C948" s="21" t="s">
        <v>118</v>
      </c>
      <c r="D948" s="152" t="n">
        <v>200</v>
      </c>
      <c r="E948" s="173"/>
    </row>
    <row r="949" customFormat="false" ht="15" hidden="false" customHeight="true" outlineLevel="0" collapsed="false">
      <c r="A949" s="178" t="n">
        <v>4</v>
      </c>
      <c r="B949" s="185" t="n">
        <v>46077</v>
      </c>
      <c r="C949" s="186" t="s">
        <v>120</v>
      </c>
      <c r="D949" s="187" t="n">
        <v>1000</v>
      </c>
      <c r="E949" s="188"/>
    </row>
    <row r="950" customFormat="false" ht="15" hidden="false" customHeight="true" outlineLevel="0" collapsed="false">
      <c r="A950" s="20" t="n">
        <v>5</v>
      </c>
      <c r="B950" s="184" t="n">
        <v>46078</v>
      </c>
      <c r="C950" s="21" t="s">
        <v>71</v>
      </c>
      <c r="D950" s="152" t="n">
        <v>20</v>
      </c>
      <c r="E950" s="173"/>
    </row>
    <row r="951" customFormat="false" ht="15" hidden="false" customHeight="true" outlineLevel="0" collapsed="false">
      <c r="A951" s="178" t="n">
        <v>6</v>
      </c>
      <c r="B951" s="185" t="n">
        <v>46078</v>
      </c>
      <c r="C951" s="186" t="s">
        <v>71</v>
      </c>
      <c r="D951" s="187" t="n">
        <v>20</v>
      </c>
      <c r="E951" s="188"/>
    </row>
    <row r="952" customFormat="false" ht="15" hidden="false" customHeight="true" outlineLevel="0" collapsed="false">
      <c r="A952" s="20" t="n">
        <v>7</v>
      </c>
      <c r="B952" s="184" t="n">
        <v>46079</v>
      </c>
      <c r="C952" s="21" t="s">
        <v>80</v>
      </c>
      <c r="D952" s="152" t="n">
        <v>2</v>
      </c>
      <c r="E952" s="173"/>
    </row>
    <row r="953" customFormat="false" ht="15" hidden="false" customHeight="true" outlineLevel="0" collapsed="false">
      <c r="A953" s="178" t="n">
        <v>8</v>
      </c>
      <c r="B953" s="185" t="n">
        <v>46079</v>
      </c>
      <c r="C953" s="186" t="s">
        <v>80</v>
      </c>
      <c r="D953" s="187" t="n">
        <v>2</v>
      </c>
      <c r="E953" s="188"/>
    </row>
    <row r="954" customFormat="false" ht="15" hidden="false" customHeight="true" outlineLevel="0" collapsed="false">
      <c r="A954" s="20" t="n">
        <v>9</v>
      </c>
      <c r="B954" s="184" t="n">
        <v>46079</v>
      </c>
      <c r="C954" s="21" t="s">
        <v>125</v>
      </c>
      <c r="D954" s="152" t="n">
        <v>3</v>
      </c>
      <c r="E954" s="173"/>
    </row>
    <row r="955" customFormat="false" ht="15" hidden="false" customHeight="true" outlineLevel="0" collapsed="false">
      <c r="A955" s="178" t="n">
        <v>10</v>
      </c>
      <c r="B955" s="185" t="n">
        <v>46079</v>
      </c>
      <c r="C955" s="186" t="s">
        <v>125</v>
      </c>
      <c r="D955" s="187" t="n">
        <v>3</v>
      </c>
      <c r="E955" s="188"/>
    </row>
    <row r="956" customFormat="false" ht="15" hidden="false" customHeight="true" outlineLevel="0" collapsed="false">
      <c r="A956" s="20" t="n">
        <v>11</v>
      </c>
      <c r="B956" s="184" t="n">
        <v>46082</v>
      </c>
      <c r="C956" s="21" t="s">
        <v>71</v>
      </c>
      <c r="D956" s="152" t="n">
        <v>20</v>
      </c>
      <c r="E956" s="173"/>
    </row>
    <row r="957" customFormat="false" ht="15" hidden="false" customHeight="true" outlineLevel="0" collapsed="false">
      <c r="A957" s="178" t="n">
        <v>12</v>
      </c>
      <c r="B957" s="185" t="n">
        <v>46082</v>
      </c>
      <c r="C957" s="186" t="s">
        <v>71</v>
      </c>
      <c r="D957" s="187" t="n">
        <v>20</v>
      </c>
      <c r="E957" s="188"/>
    </row>
    <row r="958" customFormat="false" ht="15" hidden="false" customHeight="true" outlineLevel="0" collapsed="false">
      <c r="A958" s="20" t="n">
        <v>13</v>
      </c>
      <c r="B958" s="184" t="n">
        <v>46082</v>
      </c>
      <c r="C958" s="21" t="s">
        <v>121</v>
      </c>
      <c r="D958" s="152" t="n">
        <v>160</v>
      </c>
      <c r="E958" s="173"/>
    </row>
    <row r="959" customFormat="false" ht="15" hidden="false" customHeight="true" outlineLevel="0" collapsed="false">
      <c r="A959" s="178" t="n">
        <v>14</v>
      </c>
      <c r="B959" s="185" t="n">
        <v>46082</v>
      </c>
      <c r="C959" s="186" t="s">
        <v>121</v>
      </c>
      <c r="D959" s="187" t="n">
        <v>160</v>
      </c>
      <c r="E959" s="188"/>
    </row>
    <row r="960" customFormat="false" ht="15" hidden="false" customHeight="true" outlineLevel="0" collapsed="false">
      <c r="A960" s="20" t="n">
        <v>15</v>
      </c>
      <c r="B960" s="184" t="n">
        <v>46082</v>
      </c>
      <c r="C960" s="21" t="s">
        <v>130</v>
      </c>
      <c r="D960" s="152" t="n">
        <v>54</v>
      </c>
      <c r="E960" s="173"/>
    </row>
    <row r="961" customFormat="false" ht="15" hidden="false" customHeight="true" outlineLevel="0" collapsed="false">
      <c r="A961" s="178" t="n">
        <v>16</v>
      </c>
      <c r="B961" s="185" t="n">
        <v>46082</v>
      </c>
      <c r="C961" s="186" t="s">
        <v>130</v>
      </c>
      <c r="D961" s="187" t="n">
        <v>54</v>
      </c>
      <c r="E961" s="188"/>
    </row>
    <row r="962" customFormat="false" ht="15" hidden="false" customHeight="true" outlineLevel="0" collapsed="false">
      <c r="A962" s="189" t="s">
        <v>837</v>
      </c>
      <c r="B962" s="189"/>
      <c r="C962" s="189"/>
      <c r="D962" s="190" t="n">
        <v>1902</v>
      </c>
      <c r="E962" s="191"/>
    </row>
    <row r="964" customFormat="false" ht="39.75" hidden="false" customHeight="true" outlineLevel="0" collapsed="false">
      <c r="A964" s="174" t="s">
        <v>891</v>
      </c>
      <c r="B964" s="174"/>
      <c r="C964" s="174"/>
      <c r="D964" s="174"/>
      <c r="E964" s="174"/>
    </row>
    <row r="965" customFormat="false" ht="15" hidden="false" customHeight="true" outlineLevel="0" collapsed="false">
      <c r="A965" s="175" t="s">
        <v>828</v>
      </c>
      <c r="B965" s="175"/>
      <c r="C965" s="175"/>
      <c r="D965" s="175"/>
      <c r="E965" s="175"/>
    </row>
    <row r="966" customFormat="false" ht="15" hidden="false" customHeight="true" outlineLevel="0" collapsed="false">
      <c r="A966" s="20" t="n">
        <v>1</v>
      </c>
      <c r="B966" s="176" t="s">
        <v>829</v>
      </c>
      <c r="C966" s="176"/>
      <c r="D966" s="177" t="n">
        <v>5649</v>
      </c>
      <c r="E966" s="20" t="s">
        <v>843</v>
      </c>
    </row>
    <row r="967" customFormat="false" ht="15" hidden="false" customHeight="true" outlineLevel="0" collapsed="false">
      <c r="A967" s="178" t="n">
        <v>2</v>
      </c>
      <c r="B967" s="179" t="s">
        <v>831</v>
      </c>
      <c r="C967" s="179"/>
      <c r="D967" s="180" t="n">
        <v>1113.3</v>
      </c>
      <c r="E967" s="178" t="s">
        <v>892</v>
      </c>
    </row>
    <row r="968" customFormat="false" ht="15" hidden="false" customHeight="true" outlineLevel="0" collapsed="false">
      <c r="A968" s="20" t="n">
        <v>3</v>
      </c>
      <c r="B968" s="176" t="s">
        <v>833</v>
      </c>
      <c r="C968" s="176"/>
      <c r="D968" s="177" t="n">
        <v>4948</v>
      </c>
      <c r="E968" s="20" t="s">
        <v>847</v>
      </c>
    </row>
    <row r="970" customFormat="false" ht="15" hidden="false" customHeight="true" outlineLevel="0" collapsed="false">
      <c r="A970" s="181" t="s">
        <v>834</v>
      </c>
      <c r="B970" s="181"/>
      <c r="C970" s="181"/>
      <c r="D970" s="181"/>
      <c r="E970" s="181"/>
    </row>
    <row r="971" customFormat="false" ht="15" hidden="false" customHeight="true" outlineLevel="0" collapsed="false">
      <c r="A971" s="182" t="s">
        <v>46</v>
      </c>
      <c r="B971" s="183" t="s">
        <v>835</v>
      </c>
      <c r="C971" s="183" t="s">
        <v>660</v>
      </c>
      <c r="D971" s="183" t="s">
        <v>836</v>
      </c>
      <c r="E971" s="183"/>
    </row>
    <row r="972" customFormat="false" ht="15" hidden="false" customHeight="true" outlineLevel="0" collapsed="false">
      <c r="A972" s="20" t="n">
        <v>1</v>
      </c>
      <c r="B972" s="184" t="n">
        <v>46084</v>
      </c>
      <c r="C972" s="21" t="s">
        <v>174</v>
      </c>
      <c r="D972" s="152" t="n">
        <v>255</v>
      </c>
      <c r="E972" s="173"/>
    </row>
    <row r="973" customFormat="false" ht="15" hidden="false" customHeight="true" outlineLevel="0" collapsed="false">
      <c r="A973" s="178" t="n">
        <v>2</v>
      </c>
      <c r="B973" s="185" t="n">
        <v>46084</v>
      </c>
      <c r="C973" s="186" t="s">
        <v>191</v>
      </c>
      <c r="D973" s="187" t="n">
        <v>880</v>
      </c>
      <c r="E973" s="188"/>
    </row>
    <row r="974" customFormat="false" ht="15" hidden="false" customHeight="true" outlineLevel="0" collapsed="false">
      <c r="A974" s="20" t="n">
        <v>3</v>
      </c>
      <c r="B974" s="184" t="n">
        <v>46085</v>
      </c>
      <c r="C974" s="21" t="s">
        <v>144</v>
      </c>
      <c r="D974" s="152" t="n">
        <v>70</v>
      </c>
      <c r="E974" s="173"/>
    </row>
    <row r="975" customFormat="false" ht="15" hidden="false" customHeight="true" outlineLevel="0" collapsed="false">
      <c r="A975" s="178" t="n">
        <v>4</v>
      </c>
      <c r="B975" s="185" t="n">
        <v>46085</v>
      </c>
      <c r="C975" s="186" t="s">
        <v>191</v>
      </c>
      <c r="D975" s="187" t="n">
        <v>1100</v>
      </c>
      <c r="E975" s="188"/>
    </row>
    <row r="976" customFormat="false" ht="15" hidden="false" customHeight="true" outlineLevel="0" collapsed="false">
      <c r="A976" s="20" t="n">
        <v>5</v>
      </c>
      <c r="B976" s="184" t="n">
        <v>46085</v>
      </c>
      <c r="C976" s="21" t="s">
        <v>204</v>
      </c>
      <c r="D976" s="152" t="n">
        <v>110</v>
      </c>
      <c r="E976" s="173"/>
    </row>
    <row r="977" customFormat="false" ht="15" hidden="false" customHeight="true" outlineLevel="0" collapsed="false">
      <c r="A977" s="178" t="n">
        <v>6</v>
      </c>
      <c r="B977" s="185" t="n">
        <v>46085</v>
      </c>
      <c r="C977" s="186" t="s">
        <v>205</v>
      </c>
      <c r="D977" s="187" t="n">
        <v>110</v>
      </c>
      <c r="E977" s="188"/>
    </row>
    <row r="978" customFormat="false" ht="15" hidden="false" customHeight="true" outlineLevel="0" collapsed="false">
      <c r="A978" s="20" t="n">
        <v>7</v>
      </c>
      <c r="B978" s="184" t="n">
        <v>46086</v>
      </c>
      <c r="C978" s="21" t="s">
        <v>161</v>
      </c>
      <c r="D978" s="152" t="n">
        <v>170</v>
      </c>
      <c r="E978" s="173"/>
    </row>
    <row r="979" customFormat="false" ht="15" hidden="false" customHeight="true" outlineLevel="0" collapsed="false">
      <c r="A979" s="178" t="n">
        <v>8</v>
      </c>
      <c r="B979" s="185" t="n">
        <v>46086</v>
      </c>
      <c r="C979" s="186" t="s">
        <v>169</v>
      </c>
      <c r="D979" s="187" t="n">
        <v>22</v>
      </c>
      <c r="E979" s="188"/>
    </row>
    <row r="980" customFormat="false" ht="15" hidden="false" customHeight="true" outlineLevel="0" collapsed="false">
      <c r="A980" s="20" t="n">
        <v>9</v>
      </c>
      <c r="B980" s="184" t="n">
        <v>46086</v>
      </c>
      <c r="C980" s="21" t="s">
        <v>174</v>
      </c>
      <c r="D980" s="152" t="n">
        <v>170</v>
      </c>
      <c r="E980" s="173"/>
    </row>
    <row r="981" customFormat="false" ht="15" hidden="false" customHeight="true" outlineLevel="0" collapsed="false">
      <c r="A981" s="178" t="n">
        <v>10</v>
      </c>
      <c r="B981" s="185" t="n">
        <v>46086</v>
      </c>
      <c r="C981" s="186" t="s">
        <v>191</v>
      </c>
      <c r="D981" s="187" t="n">
        <v>1100</v>
      </c>
      <c r="E981" s="188"/>
    </row>
    <row r="982" customFormat="false" ht="15" hidden="false" customHeight="true" outlineLevel="0" collapsed="false">
      <c r="A982" s="20" t="n">
        <v>11</v>
      </c>
      <c r="B982" s="184" t="n">
        <v>46086</v>
      </c>
      <c r="C982" s="21" t="s">
        <v>205</v>
      </c>
      <c r="D982" s="152" t="n">
        <v>110</v>
      </c>
      <c r="E982" s="173"/>
    </row>
    <row r="983" customFormat="false" ht="15" hidden="false" customHeight="true" outlineLevel="0" collapsed="false">
      <c r="A983" s="178" t="n">
        <v>12</v>
      </c>
      <c r="B983" s="185" t="n">
        <v>46087</v>
      </c>
      <c r="C983" s="186" t="s">
        <v>160</v>
      </c>
      <c r="D983" s="187" t="n">
        <v>12</v>
      </c>
      <c r="E983" s="188"/>
    </row>
    <row r="984" customFormat="false" ht="15" hidden="false" customHeight="true" outlineLevel="0" collapsed="false">
      <c r="A984" s="20" t="n">
        <v>13</v>
      </c>
      <c r="B984" s="184" t="n">
        <v>46087</v>
      </c>
      <c r="C984" s="21" t="s">
        <v>191</v>
      </c>
      <c r="D984" s="152" t="n">
        <v>330</v>
      </c>
      <c r="E984" s="173"/>
    </row>
    <row r="985" customFormat="false" ht="15" hidden="false" customHeight="true" outlineLevel="0" collapsed="false">
      <c r="A985" s="178" t="n">
        <v>14</v>
      </c>
      <c r="B985" s="185" t="n">
        <v>46087</v>
      </c>
      <c r="C985" s="186" t="s">
        <v>191</v>
      </c>
      <c r="D985" s="187" t="n">
        <v>1100</v>
      </c>
      <c r="E985" s="188"/>
    </row>
    <row r="986" customFormat="false" ht="15" hidden="false" customHeight="true" outlineLevel="0" collapsed="false">
      <c r="A986" s="20" t="n">
        <v>15</v>
      </c>
      <c r="B986" s="184" t="n">
        <v>46087</v>
      </c>
      <c r="C986" s="21" t="s">
        <v>204</v>
      </c>
      <c r="D986" s="152" t="n">
        <v>110</v>
      </c>
      <c r="E986" s="173"/>
    </row>
    <row r="987" customFormat="false" ht="15" hidden="false" customHeight="true" outlineLevel="0" collapsed="false">
      <c r="A987" s="189" t="s">
        <v>837</v>
      </c>
      <c r="B987" s="189"/>
      <c r="C987" s="189"/>
      <c r="D987" s="190" t="n">
        <v>5649</v>
      </c>
      <c r="E987" s="191"/>
    </row>
    <row r="989" customFormat="false" ht="15" hidden="false" customHeight="true" outlineLevel="0" collapsed="false">
      <c r="A989" s="192" t="s">
        <v>855</v>
      </c>
      <c r="B989" s="192"/>
      <c r="C989" s="192"/>
      <c r="D989" s="192"/>
      <c r="E989" s="192"/>
    </row>
    <row r="990" customFormat="false" ht="15" hidden="false" customHeight="true" outlineLevel="0" collapsed="false">
      <c r="A990" s="182" t="s">
        <v>46</v>
      </c>
      <c r="B990" s="183"/>
      <c r="C990" s="183" t="s">
        <v>660</v>
      </c>
      <c r="D990" s="183" t="s">
        <v>856</v>
      </c>
      <c r="E990" s="183"/>
    </row>
    <row r="991" customFormat="false" ht="15" hidden="false" customHeight="true" outlineLevel="0" collapsed="false">
      <c r="A991" s="20" t="n">
        <v>1</v>
      </c>
      <c r="B991" s="173"/>
      <c r="C991" s="21" t="s">
        <v>174</v>
      </c>
      <c r="D991" s="152" t="n">
        <v>209</v>
      </c>
      <c r="E991" s="173"/>
    </row>
    <row r="992" customFormat="false" ht="15" hidden="false" customHeight="true" outlineLevel="0" collapsed="false">
      <c r="A992" s="178" t="n">
        <v>2</v>
      </c>
      <c r="B992" s="188"/>
      <c r="C992" s="186" t="s">
        <v>204</v>
      </c>
      <c r="D992" s="187" t="n">
        <v>205.2</v>
      </c>
      <c r="E992" s="188"/>
    </row>
    <row r="993" customFormat="false" ht="15" hidden="false" customHeight="true" outlineLevel="0" collapsed="false">
      <c r="A993" s="20" t="n">
        <v>3</v>
      </c>
      <c r="B993" s="173"/>
      <c r="C993" s="21" t="s">
        <v>205</v>
      </c>
      <c r="D993" s="152" t="n">
        <v>135.6</v>
      </c>
      <c r="E993" s="173"/>
    </row>
    <row r="994" customFormat="false" ht="15" hidden="false" customHeight="true" outlineLevel="0" collapsed="false">
      <c r="A994" s="178" t="n">
        <v>4</v>
      </c>
      <c r="B994" s="188"/>
      <c r="C994" s="186" t="s">
        <v>183</v>
      </c>
      <c r="D994" s="187" t="n">
        <v>129.6</v>
      </c>
      <c r="E994" s="188"/>
    </row>
    <row r="995" customFormat="false" ht="15" hidden="false" customHeight="true" outlineLevel="0" collapsed="false">
      <c r="A995" s="20" t="n">
        <v>5</v>
      </c>
      <c r="B995" s="173"/>
      <c r="C995" s="21" t="s">
        <v>155</v>
      </c>
      <c r="D995" s="152" t="n">
        <v>110.4</v>
      </c>
      <c r="E995" s="173"/>
    </row>
    <row r="996" customFormat="false" ht="15" hidden="false" customHeight="true" outlineLevel="0" collapsed="false">
      <c r="A996" s="178" t="n">
        <v>6</v>
      </c>
      <c r="B996" s="188"/>
      <c r="C996" s="186" t="s">
        <v>144</v>
      </c>
      <c r="D996" s="187" t="n">
        <v>87</v>
      </c>
      <c r="E996" s="188"/>
    </row>
    <row r="997" customFormat="false" ht="15" hidden="false" customHeight="true" outlineLevel="0" collapsed="false">
      <c r="A997" s="20" t="n">
        <v>7</v>
      </c>
      <c r="B997" s="173"/>
      <c r="C997" s="21" t="s">
        <v>161</v>
      </c>
      <c r="D997" s="152" t="n">
        <v>66</v>
      </c>
      <c r="E997" s="173"/>
    </row>
    <row r="998" customFormat="false" ht="15" hidden="false" customHeight="true" outlineLevel="0" collapsed="false">
      <c r="A998" s="178" t="n">
        <v>8</v>
      </c>
      <c r="B998" s="188"/>
      <c r="C998" s="186" t="s">
        <v>143</v>
      </c>
      <c r="D998" s="187" t="n">
        <v>28.5</v>
      </c>
      <c r="E998" s="188"/>
    </row>
    <row r="999" customFormat="false" ht="15" hidden="false" customHeight="true" outlineLevel="0" collapsed="false">
      <c r="A999" s="20" t="n">
        <v>9</v>
      </c>
      <c r="B999" s="173"/>
      <c r="C999" s="21" t="s">
        <v>184</v>
      </c>
      <c r="D999" s="152" t="n">
        <v>19</v>
      </c>
      <c r="E999" s="173"/>
    </row>
    <row r="1000" customFormat="false" ht="15" hidden="false" customHeight="true" outlineLevel="0" collapsed="false">
      <c r="A1000" s="178" t="n">
        <v>10</v>
      </c>
      <c r="B1000" s="188"/>
      <c r="C1000" s="186" t="s">
        <v>149</v>
      </c>
      <c r="D1000" s="187" t="n">
        <v>12.4</v>
      </c>
      <c r="E1000" s="188"/>
    </row>
    <row r="1001" customFormat="false" ht="15" hidden="false" customHeight="true" outlineLevel="0" collapsed="false">
      <c r="A1001" s="20" t="n">
        <v>11</v>
      </c>
      <c r="B1001" s="173"/>
      <c r="C1001" s="21" t="s">
        <v>150</v>
      </c>
      <c r="D1001" s="152" t="n">
        <v>12.4</v>
      </c>
      <c r="E1001" s="173"/>
    </row>
    <row r="1002" customFormat="false" ht="15" hidden="false" customHeight="true" outlineLevel="0" collapsed="false">
      <c r="A1002" s="178" t="n">
        <v>12</v>
      </c>
      <c r="B1002" s="188"/>
      <c r="C1002" s="186" t="s">
        <v>153</v>
      </c>
      <c r="D1002" s="187" t="n">
        <v>12.4</v>
      </c>
      <c r="E1002" s="188"/>
    </row>
    <row r="1003" customFormat="false" ht="15" hidden="false" customHeight="true" outlineLevel="0" collapsed="false">
      <c r="A1003" s="20" t="n">
        <v>13</v>
      </c>
      <c r="B1003" s="173"/>
      <c r="C1003" s="21" t="s">
        <v>221</v>
      </c>
      <c r="D1003" s="152" t="n">
        <v>9.6</v>
      </c>
      <c r="E1003" s="173"/>
    </row>
    <row r="1004" customFormat="false" ht="15" hidden="false" customHeight="true" outlineLevel="0" collapsed="false">
      <c r="A1004" s="178" t="n">
        <v>14</v>
      </c>
      <c r="B1004" s="188"/>
      <c r="C1004" s="186" t="s">
        <v>147</v>
      </c>
      <c r="D1004" s="187" t="n">
        <v>9</v>
      </c>
      <c r="E1004" s="188"/>
    </row>
    <row r="1005" customFormat="false" ht="15" hidden="false" customHeight="true" outlineLevel="0" collapsed="false">
      <c r="A1005" s="20" t="n">
        <v>15</v>
      </c>
      <c r="B1005" s="173"/>
      <c r="C1005" s="21" t="s">
        <v>163</v>
      </c>
      <c r="D1005" s="152" t="n">
        <v>8.2</v>
      </c>
      <c r="E1005" s="173"/>
    </row>
    <row r="1006" customFormat="false" ht="15" hidden="false" customHeight="true" outlineLevel="0" collapsed="false">
      <c r="A1006" s="178" t="n">
        <v>16</v>
      </c>
      <c r="B1006" s="188"/>
      <c r="C1006" s="186" t="s">
        <v>159</v>
      </c>
      <c r="D1006" s="187" t="n">
        <v>7</v>
      </c>
      <c r="E1006" s="188"/>
    </row>
    <row r="1007" customFormat="false" ht="15" hidden="false" customHeight="true" outlineLevel="0" collapsed="false">
      <c r="A1007" s="20" t="n">
        <v>17</v>
      </c>
      <c r="B1007" s="173"/>
      <c r="C1007" s="21" t="s">
        <v>151</v>
      </c>
      <c r="D1007" s="152" t="n">
        <v>6.4</v>
      </c>
      <c r="E1007" s="173"/>
    </row>
    <row r="1008" customFormat="false" ht="15" hidden="false" customHeight="true" outlineLevel="0" collapsed="false">
      <c r="A1008" s="178" t="n">
        <v>18</v>
      </c>
      <c r="B1008" s="188"/>
      <c r="C1008" s="186" t="s">
        <v>152</v>
      </c>
      <c r="D1008" s="187" t="n">
        <v>6.4</v>
      </c>
      <c r="E1008" s="188"/>
    </row>
    <row r="1009" customFormat="false" ht="15" hidden="false" customHeight="true" outlineLevel="0" collapsed="false">
      <c r="A1009" s="20" t="n">
        <v>19</v>
      </c>
      <c r="B1009" s="173"/>
      <c r="C1009" s="21" t="s">
        <v>154</v>
      </c>
      <c r="D1009" s="152" t="n">
        <v>6.4</v>
      </c>
      <c r="E1009" s="173"/>
    </row>
    <row r="1010" customFormat="false" ht="15" hidden="false" customHeight="true" outlineLevel="0" collapsed="false">
      <c r="A1010" s="178" t="n">
        <v>20</v>
      </c>
      <c r="B1010" s="188"/>
      <c r="C1010" s="186" t="s">
        <v>169</v>
      </c>
      <c r="D1010" s="187" t="n">
        <v>6</v>
      </c>
      <c r="E1010" s="188"/>
    </row>
    <row r="1011" customFormat="false" ht="15" hidden="false" customHeight="true" outlineLevel="0" collapsed="false">
      <c r="A1011" s="20" t="n">
        <v>21</v>
      </c>
      <c r="B1011" s="173"/>
      <c r="C1011" s="21" t="s">
        <v>181</v>
      </c>
      <c r="D1011" s="152" t="n">
        <v>6</v>
      </c>
      <c r="E1011" s="173"/>
    </row>
    <row r="1012" customFormat="false" ht="15" hidden="false" customHeight="true" outlineLevel="0" collapsed="false">
      <c r="A1012" s="178" t="n">
        <v>22</v>
      </c>
      <c r="B1012" s="188"/>
      <c r="C1012" s="186" t="s">
        <v>222</v>
      </c>
      <c r="D1012" s="187" t="n">
        <v>5.6</v>
      </c>
      <c r="E1012" s="188"/>
    </row>
    <row r="1013" customFormat="false" ht="15" hidden="false" customHeight="true" outlineLevel="0" collapsed="false">
      <c r="A1013" s="20" t="n">
        <v>23</v>
      </c>
      <c r="B1013" s="173"/>
      <c r="C1013" s="21" t="s">
        <v>209</v>
      </c>
      <c r="D1013" s="152" t="n">
        <v>3.6</v>
      </c>
      <c r="E1013" s="173"/>
    </row>
    <row r="1014" customFormat="false" ht="15" hidden="false" customHeight="true" outlineLevel="0" collapsed="false">
      <c r="A1014" s="178" t="n">
        <v>24</v>
      </c>
      <c r="B1014" s="188"/>
      <c r="C1014" s="186" t="s">
        <v>220</v>
      </c>
      <c r="D1014" s="187" t="n">
        <v>3</v>
      </c>
      <c r="E1014" s="188"/>
    </row>
    <row r="1015" customFormat="false" ht="15" hidden="false" customHeight="true" outlineLevel="0" collapsed="false">
      <c r="A1015" s="20" t="n">
        <v>25</v>
      </c>
      <c r="B1015" s="173"/>
      <c r="C1015" s="113" t="s">
        <v>267</v>
      </c>
      <c r="D1015" s="152" t="n">
        <v>2.4</v>
      </c>
      <c r="E1015" s="173"/>
    </row>
    <row r="1016" customFormat="false" ht="15" hidden="false" customHeight="true" outlineLevel="0" collapsed="false">
      <c r="A1016" s="178" t="n">
        <v>26</v>
      </c>
      <c r="B1016" s="188"/>
      <c r="C1016" s="186" t="s">
        <v>207</v>
      </c>
      <c r="D1016" s="187" t="n">
        <v>2</v>
      </c>
      <c r="E1016" s="188"/>
    </row>
    <row r="1017" customFormat="false" ht="15" hidden="false" customHeight="true" outlineLevel="0" collapsed="false">
      <c r="A1017" s="20" t="n">
        <v>27</v>
      </c>
      <c r="B1017" s="173"/>
      <c r="C1017" s="113" t="s">
        <v>812</v>
      </c>
      <c r="D1017" s="152" t="n">
        <v>1.2</v>
      </c>
      <c r="E1017" s="173"/>
    </row>
    <row r="1018" customFormat="false" ht="15" hidden="false" customHeight="true" outlineLevel="0" collapsed="false">
      <c r="A1018" s="178" t="n">
        <v>28</v>
      </c>
      <c r="B1018" s="188"/>
      <c r="C1018" s="186" t="s">
        <v>146</v>
      </c>
      <c r="D1018" s="187" t="n">
        <v>1</v>
      </c>
      <c r="E1018" s="188"/>
    </row>
    <row r="1019" customFormat="false" ht="15" hidden="false" customHeight="true" outlineLevel="0" collapsed="false">
      <c r="A1019" s="20" t="n">
        <v>29</v>
      </c>
      <c r="B1019" s="173"/>
      <c r="C1019" s="21" t="s">
        <v>142</v>
      </c>
      <c r="D1019" s="152" t="n">
        <v>1</v>
      </c>
      <c r="E1019" s="173"/>
    </row>
    <row r="1020" customFormat="false" ht="15" hidden="false" customHeight="true" outlineLevel="0" collapsed="false">
      <c r="A1020" s="178" t="n">
        <v>30</v>
      </c>
      <c r="B1020" s="188"/>
      <c r="C1020" s="186" t="s">
        <v>212</v>
      </c>
      <c r="D1020" s="187" t="n">
        <v>1</v>
      </c>
      <c r="E1020" s="188"/>
    </row>
    <row r="1021" customFormat="false" ht="15" hidden="false" customHeight="true" outlineLevel="0" collapsed="false">
      <c r="A1021" s="189" t="s">
        <v>837</v>
      </c>
      <c r="B1021" s="189"/>
      <c r="C1021" s="189"/>
      <c r="D1021" s="190" t="n">
        <v>1113.3</v>
      </c>
      <c r="E1021" s="191"/>
    </row>
    <row r="1023" customFormat="false" ht="15" hidden="false" customHeight="true" outlineLevel="0" collapsed="false">
      <c r="A1023" s="193" t="s">
        <v>864</v>
      </c>
      <c r="B1023" s="193"/>
      <c r="C1023" s="193"/>
      <c r="D1023" s="193"/>
      <c r="E1023" s="193"/>
    </row>
    <row r="1024" customFormat="false" ht="15" hidden="false" customHeight="true" outlineLevel="0" collapsed="false">
      <c r="A1024" s="182" t="s">
        <v>46</v>
      </c>
      <c r="B1024" s="183" t="s">
        <v>835</v>
      </c>
      <c r="C1024" s="183" t="s">
        <v>140</v>
      </c>
      <c r="D1024" s="183" t="s">
        <v>865</v>
      </c>
      <c r="E1024" s="183"/>
    </row>
    <row r="1025" customFormat="false" ht="15" hidden="false" customHeight="true" outlineLevel="0" collapsed="false">
      <c r="A1025" s="20" t="n">
        <v>1</v>
      </c>
      <c r="B1025" s="184" t="n">
        <v>46085</v>
      </c>
      <c r="C1025" s="21" t="s">
        <v>651</v>
      </c>
      <c r="D1025" s="152" t="n">
        <v>8</v>
      </c>
      <c r="E1025" s="173"/>
    </row>
    <row r="1026" customFormat="false" ht="15" hidden="false" customHeight="true" outlineLevel="0" collapsed="false">
      <c r="A1026" s="178" t="n">
        <v>2</v>
      </c>
      <c r="B1026" s="185" t="n">
        <v>46085</v>
      </c>
      <c r="C1026" s="186" t="s">
        <v>651</v>
      </c>
      <c r="D1026" s="187" t="n">
        <v>8</v>
      </c>
      <c r="E1026" s="188"/>
    </row>
    <row r="1027" customFormat="false" ht="15" hidden="false" customHeight="true" outlineLevel="0" collapsed="false">
      <c r="A1027" s="20" t="n">
        <v>3</v>
      </c>
      <c r="B1027" s="184" t="n">
        <v>46085</v>
      </c>
      <c r="C1027" s="21" t="s">
        <v>134</v>
      </c>
      <c r="D1027" s="152" t="n">
        <v>1000</v>
      </c>
      <c r="E1027" s="173"/>
    </row>
    <row r="1028" customFormat="false" ht="15" hidden="false" customHeight="true" outlineLevel="0" collapsed="false">
      <c r="A1028" s="178" t="n">
        <v>4</v>
      </c>
      <c r="B1028" s="185" t="n">
        <v>46085</v>
      </c>
      <c r="C1028" s="186" t="s">
        <v>134</v>
      </c>
      <c r="D1028" s="187" t="n">
        <v>1000</v>
      </c>
      <c r="E1028" s="188"/>
    </row>
    <row r="1029" customFormat="false" ht="15" hidden="false" customHeight="true" outlineLevel="0" collapsed="false">
      <c r="A1029" s="20" t="n">
        <v>5</v>
      </c>
      <c r="B1029" s="184" t="n">
        <v>46085</v>
      </c>
      <c r="C1029" s="21" t="s">
        <v>120</v>
      </c>
      <c r="D1029" s="152" t="n">
        <v>1200</v>
      </c>
      <c r="E1029" s="173"/>
    </row>
    <row r="1030" customFormat="false" ht="15" hidden="false" customHeight="true" outlineLevel="0" collapsed="false">
      <c r="A1030" s="178" t="n">
        <v>6</v>
      </c>
      <c r="B1030" s="185" t="n">
        <v>46085</v>
      </c>
      <c r="C1030" s="186" t="s">
        <v>120</v>
      </c>
      <c r="D1030" s="187" t="n">
        <v>1200</v>
      </c>
      <c r="E1030" s="188"/>
    </row>
    <row r="1031" customFormat="false" ht="15" hidden="false" customHeight="true" outlineLevel="0" collapsed="false">
      <c r="A1031" s="20" t="n">
        <v>7</v>
      </c>
      <c r="B1031" s="184" t="n">
        <v>46086</v>
      </c>
      <c r="C1031" s="21" t="s">
        <v>68</v>
      </c>
      <c r="D1031" s="152" t="n">
        <v>144</v>
      </c>
      <c r="E1031" s="173"/>
    </row>
    <row r="1032" customFormat="false" ht="15" hidden="false" customHeight="true" outlineLevel="0" collapsed="false">
      <c r="A1032" s="178" t="n">
        <v>8</v>
      </c>
      <c r="B1032" s="185" t="n">
        <v>46086</v>
      </c>
      <c r="C1032" s="186" t="s">
        <v>68</v>
      </c>
      <c r="D1032" s="187" t="n">
        <v>144</v>
      </c>
      <c r="E1032" s="188"/>
    </row>
    <row r="1033" customFormat="false" ht="15" hidden="false" customHeight="true" outlineLevel="0" collapsed="false">
      <c r="A1033" s="20" t="n">
        <v>9</v>
      </c>
      <c r="B1033" s="184" t="n">
        <v>46086</v>
      </c>
      <c r="C1033" s="21" t="s">
        <v>71</v>
      </c>
      <c r="D1033" s="152" t="n">
        <v>40</v>
      </c>
      <c r="E1033" s="173"/>
    </row>
    <row r="1034" customFormat="false" ht="15" hidden="false" customHeight="true" outlineLevel="0" collapsed="false">
      <c r="A1034" s="178" t="n">
        <v>10</v>
      </c>
      <c r="B1034" s="185" t="n">
        <v>46086</v>
      </c>
      <c r="C1034" s="186" t="s">
        <v>71</v>
      </c>
      <c r="D1034" s="187" t="n">
        <v>40</v>
      </c>
      <c r="E1034" s="188"/>
    </row>
    <row r="1035" customFormat="false" ht="15" hidden="false" customHeight="true" outlineLevel="0" collapsed="false">
      <c r="A1035" s="20" t="n">
        <v>11</v>
      </c>
      <c r="B1035" s="184" t="n">
        <v>46087</v>
      </c>
      <c r="C1035" s="21" t="s">
        <v>651</v>
      </c>
      <c r="D1035" s="152" t="n">
        <v>80</v>
      </c>
      <c r="E1035" s="173"/>
    </row>
    <row r="1036" customFormat="false" ht="15" hidden="false" customHeight="true" outlineLevel="0" collapsed="false">
      <c r="A1036" s="178" t="n">
        <v>12</v>
      </c>
      <c r="B1036" s="185" t="n">
        <v>46087</v>
      </c>
      <c r="C1036" s="186" t="s">
        <v>651</v>
      </c>
      <c r="D1036" s="187" t="n">
        <v>80</v>
      </c>
      <c r="E1036" s="188"/>
    </row>
    <row r="1037" customFormat="false" ht="15" hidden="false" customHeight="true" outlineLevel="0" collapsed="false">
      <c r="A1037" s="20" t="n">
        <v>13</v>
      </c>
      <c r="B1037" s="184" t="n">
        <v>46087</v>
      </c>
      <c r="C1037" s="21" t="s">
        <v>114</v>
      </c>
      <c r="D1037" s="152" t="n">
        <v>2</v>
      </c>
      <c r="E1037" s="173"/>
    </row>
    <row r="1038" customFormat="false" ht="15" hidden="false" customHeight="true" outlineLevel="0" collapsed="false">
      <c r="A1038" s="178" t="n">
        <v>14</v>
      </c>
      <c r="B1038" s="185" t="n">
        <v>46087</v>
      </c>
      <c r="C1038" s="186" t="s">
        <v>114</v>
      </c>
      <c r="D1038" s="187" t="n">
        <v>2</v>
      </c>
      <c r="E1038" s="188"/>
    </row>
    <row r="1039" customFormat="false" ht="15" hidden="false" customHeight="true" outlineLevel="0" collapsed="false">
      <c r="A1039" s="189" t="s">
        <v>837</v>
      </c>
      <c r="B1039" s="189"/>
      <c r="C1039" s="189"/>
      <c r="D1039" s="190" t="n">
        <v>4948</v>
      </c>
      <c r="E1039" s="191"/>
    </row>
    <row r="1041" customFormat="false" ht="39.75" hidden="false" customHeight="true" outlineLevel="0" collapsed="false">
      <c r="A1041" s="174" t="s">
        <v>893</v>
      </c>
      <c r="B1041" s="174"/>
      <c r="C1041" s="174"/>
      <c r="D1041" s="174"/>
      <c r="E1041" s="174"/>
    </row>
    <row r="1042" customFormat="false" ht="15" hidden="false" customHeight="true" outlineLevel="0" collapsed="false">
      <c r="A1042" s="175" t="s">
        <v>828</v>
      </c>
      <c r="B1042" s="175"/>
      <c r="C1042" s="175"/>
      <c r="D1042" s="175"/>
      <c r="E1042" s="175"/>
    </row>
    <row r="1043" customFormat="false" ht="15" hidden="false" customHeight="true" outlineLevel="0" collapsed="false">
      <c r="A1043" s="20" t="n">
        <v>1</v>
      </c>
      <c r="B1043" s="176" t="s">
        <v>829</v>
      </c>
      <c r="C1043" s="176"/>
      <c r="D1043" s="177" t="n">
        <v>0</v>
      </c>
      <c r="E1043" s="20" t="s">
        <v>832</v>
      </c>
    </row>
    <row r="1044" customFormat="false" ht="15" hidden="false" customHeight="true" outlineLevel="0" collapsed="false">
      <c r="A1044" s="178" t="n">
        <v>2</v>
      </c>
      <c r="B1044" s="179" t="s">
        <v>831</v>
      </c>
      <c r="C1044" s="179"/>
      <c r="D1044" s="180" t="n">
        <v>288.7</v>
      </c>
      <c r="E1044" s="178" t="s">
        <v>890</v>
      </c>
    </row>
    <row r="1045" customFormat="false" ht="15" hidden="false" customHeight="true" outlineLevel="0" collapsed="false">
      <c r="A1045" s="20" t="n">
        <v>3</v>
      </c>
      <c r="B1045" s="176" t="s">
        <v>833</v>
      </c>
      <c r="C1045" s="176"/>
      <c r="D1045" s="177" t="n">
        <v>2090</v>
      </c>
      <c r="E1045" s="20" t="s">
        <v>847</v>
      </c>
    </row>
    <row r="1047" customFormat="false" ht="15" hidden="false" customHeight="true" outlineLevel="0" collapsed="false">
      <c r="A1047" s="192" t="s">
        <v>855</v>
      </c>
      <c r="B1047" s="192"/>
      <c r="C1047" s="192"/>
      <c r="D1047" s="192"/>
      <c r="E1047" s="192"/>
    </row>
    <row r="1048" customFormat="false" ht="15" hidden="false" customHeight="true" outlineLevel="0" collapsed="false">
      <c r="A1048" s="182" t="s">
        <v>46</v>
      </c>
      <c r="B1048" s="183"/>
      <c r="C1048" s="183" t="s">
        <v>660</v>
      </c>
      <c r="D1048" s="183" t="s">
        <v>856</v>
      </c>
      <c r="E1048" s="183"/>
    </row>
    <row r="1049" customFormat="false" ht="15" hidden="false" customHeight="true" outlineLevel="0" collapsed="false">
      <c r="A1049" s="20" t="n">
        <v>1</v>
      </c>
      <c r="B1049" s="173"/>
      <c r="C1049" s="21" t="s">
        <v>205</v>
      </c>
      <c r="D1049" s="152" t="n">
        <v>61.2</v>
      </c>
      <c r="E1049" s="173"/>
    </row>
    <row r="1050" customFormat="false" ht="15" hidden="false" customHeight="true" outlineLevel="0" collapsed="false">
      <c r="A1050" s="178" t="n">
        <v>2</v>
      </c>
      <c r="B1050" s="188"/>
      <c r="C1050" s="186" t="s">
        <v>174</v>
      </c>
      <c r="D1050" s="187" t="n">
        <v>44</v>
      </c>
      <c r="E1050" s="188"/>
    </row>
    <row r="1051" customFormat="false" ht="15" hidden="false" customHeight="true" outlineLevel="0" collapsed="false">
      <c r="A1051" s="20" t="n">
        <v>3</v>
      </c>
      <c r="B1051" s="173"/>
      <c r="C1051" s="21" t="s">
        <v>204</v>
      </c>
      <c r="D1051" s="152" t="n">
        <v>39.6</v>
      </c>
      <c r="E1051" s="173"/>
    </row>
    <row r="1052" customFormat="false" ht="15" hidden="false" customHeight="true" outlineLevel="0" collapsed="false">
      <c r="A1052" s="178" t="n">
        <v>4</v>
      </c>
      <c r="B1052" s="188"/>
      <c r="C1052" s="186" t="s">
        <v>179</v>
      </c>
      <c r="D1052" s="187" t="n">
        <v>30</v>
      </c>
      <c r="E1052" s="188"/>
    </row>
    <row r="1053" customFormat="false" ht="15" hidden="false" customHeight="true" outlineLevel="0" collapsed="false">
      <c r="A1053" s="20" t="n">
        <v>5</v>
      </c>
      <c r="B1053" s="173"/>
      <c r="C1053" s="21" t="s">
        <v>858</v>
      </c>
      <c r="D1053" s="152" t="n">
        <v>30</v>
      </c>
      <c r="E1053" s="173"/>
    </row>
    <row r="1054" customFormat="false" ht="15" hidden="false" customHeight="true" outlineLevel="0" collapsed="false">
      <c r="A1054" s="178" t="n">
        <v>6</v>
      </c>
      <c r="B1054" s="188"/>
      <c r="C1054" s="186" t="s">
        <v>183</v>
      </c>
      <c r="D1054" s="187" t="n">
        <v>16.2</v>
      </c>
      <c r="E1054" s="188"/>
    </row>
    <row r="1055" customFormat="false" ht="15" hidden="false" customHeight="true" outlineLevel="0" collapsed="false">
      <c r="A1055" s="20" t="n">
        <v>7</v>
      </c>
      <c r="B1055" s="173"/>
      <c r="C1055" s="21" t="s">
        <v>144</v>
      </c>
      <c r="D1055" s="152" t="n">
        <v>14</v>
      </c>
      <c r="E1055" s="173"/>
    </row>
    <row r="1056" customFormat="false" ht="15" hidden="false" customHeight="true" outlineLevel="0" collapsed="false">
      <c r="A1056" s="178" t="n">
        <v>8</v>
      </c>
      <c r="B1056" s="188"/>
      <c r="C1056" s="186" t="s">
        <v>143</v>
      </c>
      <c r="D1056" s="187" t="n">
        <v>12</v>
      </c>
      <c r="E1056" s="188"/>
    </row>
    <row r="1057" customFormat="false" ht="15" hidden="false" customHeight="true" outlineLevel="0" collapsed="false">
      <c r="A1057" s="20" t="n">
        <v>9</v>
      </c>
      <c r="B1057" s="173"/>
      <c r="C1057" s="21" t="s">
        <v>163</v>
      </c>
      <c r="D1057" s="152" t="n">
        <v>7.2</v>
      </c>
      <c r="E1057" s="173"/>
    </row>
    <row r="1058" customFormat="false" ht="15" hidden="false" customHeight="true" outlineLevel="0" collapsed="false">
      <c r="A1058" s="178" t="n">
        <v>10</v>
      </c>
      <c r="B1058" s="188"/>
      <c r="C1058" s="186" t="s">
        <v>207</v>
      </c>
      <c r="D1058" s="187" t="n">
        <v>5</v>
      </c>
      <c r="E1058" s="188"/>
    </row>
    <row r="1059" customFormat="false" ht="15" hidden="false" customHeight="true" outlineLevel="0" collapsed="false">
      <c r="A1059" s="20" t="n">
        <v>11</v>
      </c>
      <c r="B1059" s="173"/>
      <c r="C1059" s="21" t="s">
        <v>155</v>
      </c>
      <c r="D1059" s="152" t="n">
        <v>3.2</v>
      </c>
      <c r="E1059" s="173"/>
    </row>
    <row r="1060" customFormat="false" ht="15" hidden="false" customHeight="true" outlineLevel="0" collapsed="false">
      <c r="A1060" s="178" t="n">
        <v>12</v>
      </c>
      <c r="B1060" s="188"/>
      <c r="C1060" s="186" t="s">
        <v>149</v>
      </c>
      <c r="D1060" s="187" t="n">
        <v>2.3</v>
      </c>
      <c r="E1060" s="188"/>
    </row>
    <row r="1061" customFormat="false" ht="15" hidden="false" customHeight="true" outlineLevel="0" collapsed="false">
      <c r="A1061" s="20" t="n">
        <v>13</v>
      </c>
      <c r="B1061" s="173"/>
      <c r="C1061" s="21" t="s">
        <v>150</v>
      </c>
      <c r="D1061" s="152" t="n">
        <v>2.3</v>
      </c>
      <c r="E1061" s="173"/>
    </row>
    <row r="1062" customFormat="false" ht="15" hidden="false" customHeight="true" outlineLevel="0" collapsed="false">
      <c r="A1062" s="178" t="n">
        <v>14</v>
      </c>
      <c r="B1062" s="188"/>
      <c r="C1062" s="186" t="s">
        <v>151</v>
      </c>
      <c r="D1062" s="187" t="n">
        <v>2.3</v>
      </c>
      <c r="E1062" s="188"/>
    </row>
    <row r="1063" customFormat="false" ht="15" hidden="false" customHeight="true" outlineLevel="0" collapsed="false">
      <c r="A1063" s="20" t="n">
        <v>15</v>
      </c>
      <c r="B1063" s="173"/>
      <c r="C1063" s="21" t="s">
        <v>152</v>
      </c>
      <c r="D1063" s="152" t="n">
        <v>2.3</v>
      </c>
      <c r="E1063" s="173"/>
    </row>
    <row r="1064" customFormat="false" ht="15" hidden="false" customHeight="true" outlineLevel="0" collapsed="false">
      <c r="A1064" s="178" t="n">
        <v>16</v>
      </c>
      <c r="B1064" s="188"/>
      <c r="C1064" s="186" t="s">
        <v>153</v>
      </c>
      <c r="D1064" s="187" t="n">
        <v>2.3</v>
      </c>
      <c r="E1064" s="188"/>
    </row>
    <row r="1065" customFormat="false" ht="15" hidden="false" customHeight="true" outlineLevel="0" collapsed="false">
      <c r="A1065" s="20" t="n">
        <v>17</v>
      </c>
      <c r="B1065" s="173"/>
      <c r="C1065" s="21" t="s">
        <v>154</v>
      </c>
      <c r="D1065" s="152" t="n">
        <v>2.3</v>
      </c>
      <c r="E1065" s="173"/>
    </row>
    <row r="1066" customFormat="false" ht="15" hidden="false" customHeight="true" outlineLevel="0" collapsed="false">
      <c r="A1066" s="178" t="n">
        <v>18</v>
      </c>
      <c r="B1066" s="188"/>
      <c r="C1066" s="186" t="s">
        <v>142</v>
      </c>
      <c r="D1066" s="187" t="n">
        <v>2</v>
      </c>
      <c r="E1066" s="188"/>
    </row>
    <row r="1067" customFormat="false" ht="15" hidden="false" customHeight="true" outlineLevel="0" collapsed="false">
      <c r="A1067" s="20" t="n">
        <v>19</v>
      </c>
      <c r="B1067" s="173"/>
      <c r="C1067" s="21" t="s">
        <v>184</v>
      </c>
      <c r="D1067" s="152" t="n">
        <v>2</v>
      </c>
      <c r="E1067" s="173"/>
    </row>
    <row r="1068" customFormat="false" ht="15" hidden="false" customHeight="true" outlineLevel="0" collapsed="false">
      <c r="A1068" s="178" t="n">
        <v>20</v>
      </c>
      <c r="B1068" s="188"/>
      <c r="C1068" s="186" t="s">
        <v>220</v>
      </c>
      <c r="D1068" s="187" t="n">
        <v>2</v>
      </c>
      <c r="E1068" s="188"/>
    </row>
    <row r="1069" customFormat="false" ht="15" hidden="false" customHeight="true" outlineLevel="0" collapsed="false">
      <c r="A1069" s="20" t="n">
        <v>21</v>
      </c>
      <c r="B1069" s="173"/>
      <c r="C1069" s="21" t="s">
        <v>160</v>
      </c>
      <c r="D1069" s="152" t="n">
        <v>2</v>
      </c>
      <c r="E1069" s="173"/>
    </row>
    <row r="1070" customFormat="false" ht="15" hidden="false" customHeight="true" outlineLevel="0" collapsed="false">
      <c r="A1070" s="178" t="n">
        <v>22</v>
      </c>
      <c r="B1070" s="188"/>
      <c r="C1070" s="186" t="s">
        <v>222</v>
      </c>
      <c r="D1070" s="187" t="n">
        <v>1.6</v>
      </c>
      <c r="E1070" s="188"/>
    </row>
    <row r="1071" customFormat="false" ht="15" hidden="false" customHeight="true" outlineLevel="0" collapsed="false">
      <c r="A1071" s="20" t="n">
        <v>23</v>
      </c>
      <c r="B1071" s="173"/>
      <c r="C1071" s="21" t="s">
        <v>146</v>
      </c>
      <c r="D1071" s="152" t="n">
        <v>1</v>
      </c>
      <c r="E1071" s="173"/>
    </row>
    <row r="1072" customFormat="false" ht="15" hidden="false" customHeight="true" outlineLevel="0" collapsed="false">
      <c r="A1072" s="178" t="n">
        <v>24</v>
      </c>
      <c r="B1072" s="188"/>
      <c r="C1072" s="186" t="s">
        <v>178</v>
      </c>
      <c r="D1072" s="187" t="n">
        <v>1</v>
      </c>
      <c r="E1072" s="188"/>
    </row>
    <row r="1073" customFormat="false" ht="15" hidden="false" customHeight="true" outlineLevel="0" collapsed="false">
      <c r="A1073" s="20" t="n">
        <v>25</v>
      </c>
      <c r="B1073" s="173"/>
      <c r="C1073" s="21" t="s">
        <v>221</v>
      </c>
      <c r="D1073" s="152" t="n">
        <v>0.8</v>
      </c>
      <c r="E1073" s="173"/>
    </row>
    <row r="1074" customFormat="false" ht="15" hidden="false" customHeight="true" outlineLevel="0" collapsed="false">
      <c r="A1074" s="178" t="n">
        <v>26</v>
      </c>
      <c r="B1074" s="188"/>
      <c r="C1074" s="186" t="s">
        <v>894</v>
      </c>
      <c r="D1074" s="187" t="n">
        <v>0.1</v>
      </c>
      <c r="E1074" s="188"/>
    </row>
    <row r="1075" customFormat="false" ht="15" hidden="false" customHeight="true" outlineLevel="0" collapsed="false">
      <c r="A1075" s="189" t="s">
        <v>837</v>
      </c>
      <c r="B1075" s="189"/>
      <c r="C1075" s="189"/>
      <c r="D1075" s="190" t="n">
        <v>288.7</v>
      </c>
      <c r="E1075" s="191"/>
    </row>
    <row r="1077" customFormat="false" ht="15" hidden="false" customHeight="true" outlineLevel="0" collapsed="false">
      <c r="A1077" s="193" t="s">
        <v>864</v>
      </c>
      <c r="B1077" s="193"/>
      <c r="C1077" s="193"/>
      <c r="D1077" s="193"/>
      <c r="E1077" s="193"/>
    </row>
    <row r="1078" customFormat="false" ht="15" hidden="false" customHeight="true" outlineLevel="0" collapsed="false">
      <c r="A1078" s="182" t="s">
        <v>46</v>
      </c>
      <c r="B1078" s="183" t="s">
        <v>835</v>
      </c>
      <c r="C1078" s="183" t="s">
        <v>140</v>
      </c>
      <c r="D1078" s="183" t="s">
        <v>865</v>
      </c>
      <c r="E1078" s="183"/>
    </row>
    <row r="1079" customFormat="false" ht="15" hidden="false" customHeight="true" outlineLevel="0" collapsed="false">
      <c r="A1079" s="20" t="n">
        <v>1</v>
      </c>
      <c r="B1079" s="184" t="n">
        <v>46090</v>
      </c>
      <c r="C1079" s="21" t="s">
        <v>92</v>
      </c>
      <c r="D1079" s="152" t="n">
        <v>480</v>
      </c>
      <c r="E1079" s="173"/>
    </row>
    <row r="1080" customFormat="false" ht="15" hidden="false" customHeight="true" outlineLevel="0" collapsed="false">
      <c r="A1080" s="178" t="n">
        <v>2</v>
      </c>
      <c r="B1080" s="185" t="n">
        <v>46090</v>
      </c>
      <c r="C1080" s="186" t="s">
        <v>121</v>
      </c>
      <c r="D1080" s="187" t="n">
        <v>100</v>
      </c>
      <c r="E1080" s="188"/>
    </row>
    <row r="1081" customFormat="false" ht="15" hidden="false" customHeight="true" outlineLevel="0" collapsed="false">
      <c r="A1081" s="20" t="n">
        <v>3</v>
      </c>
      <c r="B1081" s="184" t="n">
        <v>46090</v>
      </c>
      <c r="C1081" s="21" t="s">
        <v>124</v>
      </c>
      <c r="D1081" s="152" t="n">
        <v>90</v>
      </c>
      <c r="E1081" s="173"/>
    </row>
    <row r="1082" customFormat="false" ht="15" hidden="false" customHeight="true" outlineLevel="0" collapsed="false">
      <c r="A1082" s="178" t="n">
        <v>4</v>
      </c>
      <c r="B1082" s="185" t="n">
        <v>46090</v>
      </c>
      <c r="C1082" s="186" t="s">
        <v>130</v>
      </c>
      <c r="D1082" s="187" t="n">
        <v>180</v>
      </c>
      <c r="E1082" s="188"/>
    </row>
    <row r="1083" customFormat="false" ht="15" hidden="false" customHeight="true" outlineLevel="0" collapsed="false">
      <c r="A1083" s="20" t="n">
        <v>5</v>
      </c>
      <c r="B1083" s="184" t="n">
        <v>46092</v>
      </c>
      <c r="C1083" s="21" t="s">
        <v>71</v>
      </c>
      <c r="D1083" s="152" t="n">
        <v>40</v>
      </c>
      <c r="E1083" s="173"/>
    </row>
    <row r="1084" customFormat="false" ht="15" hidden="false" customHeight="true" outlineLevel="0" collapsed="false">
      <c r="A1084" s="178" t="n">
        <v>6</v>
      </c>
      <c r="B1084" s="185" t="n">
        <v>46092</v>
      </c>
      <c r="C1084" s="186" t="s">
        <v>120</v>
      </c>
      <c r="D1084" s="187" t="n">
        <v>1200</v>
      </c>
      <c r="E1084" s="188"/>
    </row>
    <row r="1085" customFormat="false" ht="15" hidden="false" customHeight="true" outlineLevel="0" collapsed="false">
      <c r="A1085" s="189" t="s">
        <v>837</v>
      </c>
      <c r="B1085" s="189"/>
      <c r="C1085" s="189"/>
      <c r="D1085" s="190" t="n">
        <v>2090</v>
      </c>
      <c r="E1085" s="191"/>
    </row>
  </sheetData>
  <mergeCells count="207">
    <mergeCell ref="A1:E1"/>
    <mergeCell ref="A2:E2"/>
    <mergeCell ref="B3:C3"/>
    <mergeCell ref="B4:C4"/>
    <mergeCell ref="B5:C5"/>
    <mergeCell ref="A7:E7"/>
    <mergeCell ref="A11:C11"/>
    <mergeCell ref="A14:E14"/>
    <mergeCell ref="A15:E15"/>
    <mergeCell ref="B16:C16"/>
    <mergeCell ref="B17:C17"/>
    <mergeCell ref="B18:C18"/>
    <mergeCell ref="A20:E20"/>
    <mergeCell ref="A33:C33"/>
    <mergeCell ref="A36:E36"/>
    <mergeCell ref="A37:E37"/>
    <mergeCell ref="B38:C38"/>
    <mergeCell ref="B39:C39"/>
    <mergeCell ref="B40:C40"/>
    <mergeCell ref="A42:E42"/>
    <mergeCell ref="A56:C56"/>
    <mergeCell ref="A59:E59"/>
    <mergeCell ref="A60:E60"/>
    <mergeCell ref="B61:C61"/>
    <mergeCell ref="B62:C62"/>
    <mergeCell ref="B63:C63"/>
    <mergeCell ref="A65:E65"/>
    <mergeCell ref="A80:C80"/>
    <mergeCell ref="A83:E83"/>
    <mergeCell ref="A84:E84"/>
    <mergeCell ref="B85:C85"/>
    <mergeCell ref="B86:C86"/>
    <mergeCell ref="B87:C87"/>
    <mergeCell ref="A89:E89"/>
    <mergeCell ref="A108:C108"/>
    <mergeCell ref="A111:E111"/>
    <mergeCell ref="A112:E112"/>
    <mergeCell ref="B113:C113"/>
    <mergeCell ref="B114:C114"/>
    <mergeCell ref="B115:C115"/>
    <mergeCell ref="A117:E117"/>
    <mergeCell ref="A134:C134"/>
    <mergeCell ref="A137:E137"/>
    <mergeCell ref="A138:E138"/>
    <mergeCell ref="B139:C139"/>
    <mergeCell ref="B140:C140"/>
    <mergeCell ref="B141:C141"/>
    <mergeCell ref="A143:E143"/>
    <mergeCell ref="A154:C154"/>
    <mergeCell ref="A157:E157"/>
    <mergeCell ref="A158:E158"/>
    <mergeCell ref="B159:C159"/>
    <mergeCell ref="B160:C160"/>
    <mergeCell ref="B161:C161"/>
    <mergeCell ref="A163:E163"/>
    <mergeCell ref="A177:C177"/>
    <mergeCell ref="A180:E180"/>
    <mergeCell ref="A181:E181"/>
    <mergeCell ref="B182:C182"/>
    <mergeCell ref="B183:C183"/>
    <mergeCell ref="B184:C184"/>
    <mergeCell ref="A186:E186"/>
    <mergeCell ref="A202:C202"/>
    <mergeCell ref="A205:E205"/>
    <mergeCell ref="A206:E206"/>
    <mergeCell ref="B207:C207"/>
    <mergeCell ref="B208:C208"/>
    <mergeCell ref="B209:C209"/>
    <mergeCell ref="A211:E211"/>
    <mergeCell ref="A225:C225"/>
    <mergeCell ref="A228:E228"/>
    <mergeCell ref="A229:E229"/>
    <mergeCell ref="B230:C230"/>
    <mergeCell ref="B231:C231"/>
    <mergeCell ref="B232:C232"/>
    <mergeCell ref="A234:E234"/>
    <mergeCell ref="A249:C249"/>
    <mergeCell ref="A251:E251"/>
    <mergeCell ref="A261:C261"/>
    <mergeCell ref="A264:E264"/>
    <mergeCell ref="A265:E265"/>
    <mergeCell ref="B266:C266"/>
    <mergeCell ref="B267:C267"/>
    <mergeCell ref="B268:C268"/>
    <mergeCell ref="A270:E270"/>
    <mergeCell ref="A279:C279"/>
    <mergeCell ref="A281:E281"/>
    <mergeCell ref="A289:C289"/>
    <mergeCell ref="A292:E292"/>
    <mergeCell ref="A293:E293"/>
    <mergeCell ref="B294:C294"/>
    <mergeCell ref="B295:C295"/>
    <mergeCell ref="B296:C296"/>
    <mergeCell ref="A298:E298"/>
    <mergeCell ref="A309:C309"/>
    <mergeCell ref="A311:E311"/>
    <mergeCell ref="A336:C336"/>
    <mergeCell ref="A338:E338"/>
    <mergeCell ref="A341:C341"/>
    <mergeCell ref="A343:E343"/>
    <mergeCell ref="A344:E344"/>
    <mergeCell ref="B345:C345"/>
    <mergeCell ref="B346:C346"/>
    <mergeCell ref="B347:C347"/>
    <mergeCell ref="A349:E349"/>
    <mergeCell ref="A363:C363"/>
    <mergeCell ref="A365:E365"/>
    <mergeCell ref="A396:C396"/>
    <mergeCell ref="A398:E398"/>
    <mergeCell ref="A404:C404"/>
    <mergeCell ref="A406:E406"/>
    <mergeCell ref="A407:E407"/>
    <mergeCell ref="B408:C408"/>
    <mergeCell ref="B409:C409"/>
    <mergeCell ref="B410:C410"/>
    <mergeCell ref="A412:E412"/>
    <mergeCell ref="A426:C426"/>
    <mergeCell ref="A428:E428"/>
    <mergeCell ref="A462:C462"/>
    <mergeCell ref="A464:E464"/>
    <mergeCell ref="A484:C484"/>
    <mergeCell ref="A486:E486"/>
    <mergeCell ref="A487:E487"/>
    <mergeCell ref="B488:C488"/>
    <mergeCell ref="B489:C489"/>
    <mergeCell ref="B490:C490"/>
    <mergeCell ref="A492:E492"/>
    <mergeCell ref="A503:C503"/>
    <mergeCell ref="A505:E505"/>
    <mergeCell ref="A544:C544"/>
    <mergeCell ref="A546:E546"/>
    <mergeCell ref="A558:C558"/>
    <mergeCell ref="A560:E560"/>
    <mergeCell ref="A561:E561"/>
    <mergeCell ref="B562:C562"/>
    <mergeCell ref="B563:C563"/>
    <mergeCell ref="B564:C564"/>
    <mergeCell ref="A566:E566"/>
    <mergeCell ref="A580:C580"/>
    <mergeCell ref="A582:E582"/>
    <mergeCell ref="A627:C627"/>
    <mergeCell ref="A629:E629"/>
    <mergeCell ref="A640:C640"/>
    <mergeCell ref="A642:E642"/>
    <mergeCell ref="A643:E643"/>
    <mergeCell ref="B644:C644"/>
    <mergeCell ref="B645:C645"/>
    <mergeCell ref="B646:C646"/>
    <mergeCell ref="A648:E648"/>
    <mergeCell ref="A675:C675"/>
    <mergeCell ref="A677:E677"/>
    <mergeCell ref="A717:C717"/>
    <mergeCell ref="A719:E719"/>
    <mergeCell ref="A734:C734"/>
    <mergeCell ref="A736:E736"/>
    <mergeCell ref="A737:E737"/>
    <mergeCell ref="B738:C738"/>
    <mergeCell ref="B739:C739"/>
    <mergeCell ref="B740:C740"/>
    <mergeCell ref="A742:E742"/>
    <mergeCell ref="A753:C753"/>
    <mergeCell ref="A755:E755"/>
    <mergeCell ref="A802:C802"/>
    <mergeCell ref="A804:E804"/>
    <mergeCell ref="A835:C835"/>
    <mergeCell ref="A837:E837"/>
    <mergeCell ref="A838:E838"/>
    <mergeCell ref="B839:C839"/>
    <mergeCell ref="B840:C840"/>
    <mergeCell ref="B841:C841"/>
    <mergeCell ref="A843:E843"/>
    <mergeCell ref="A852:C852"/>
    <mergeCell ref="A854:E854"/>
    <mergeCell ref="A883:C883"/>
    <mergeCell ref="A885:E885"/>
    <mergeCell ref="A888:C888"/>
    <mergeCell ref="A890:E890"/>
    <mergeCell ref="A891:E891"/>
    <mergeCell ref="B892:C892"/>
    <mergeCell ref="B893:C893"/>
    <mergeCell ref="B894:C894"/>
    <mergeCell ref="A896:E896"/>
    <mergeCell ref="A912:C912"/>
    <mergeCell ref="A914:E914"/>
    <mergeCell ref="A942:C942"/>
    <mergeCell ref="A944:E944"/>
    <mergeCell ref="A962:C962"/>
    <mergeCell ref="A964:E964"/>
    <mergeCell ref="A965:E965"/>
    <mergeCell ref="B966:C966"/>
    <mergeCell ref="B967:C967"/>
    <mergeCell ref="B968:C968"/>
    <mergeCell ref="A970:E970"/>
    <mergeCell ref="A987:C987"/>
    <mergeCell ref="A989:E989"/>
    <mergeCell ref="A1021:C1021"/>
    <mergeCell ref="A1023:E1023"/>
    <mergeCell ref="A1039:C1039"/>
    <mergeCell ref="A1041:E1041"/>
    <mergeCell ref="A1042:E1042"/>
    <mergeCell ref="B1043:C1043"/>
    <mergeCell ref="B1044:C1044"/>
    <mergeCell ref="B1045:C1045"/>
    <mergeCell ref="A1047:E1047"/>
    <mergeCell ref="A1075:C1075"/>
    <mergeCell ref="A1077:E1077"/>
    <mergeCell ref="A1085:C108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2" manualBreakCount="22">
    <brk id="13" man="true" max="16383" min="0"/>
    <brk id="35" man="true" max="16383" min="0"/>
    <brk id="58" man="true" max="16383" min="0"/>
    <brk id="82" man="true" max="16383" min="0"/>
    <brk id="110" man="true" max="16383" min="0"/>
    <brk id="136" man="true" max="16383" min="0"/>
    <brk id="156" man="true" max="16383" min="0"/>
    <brk id="179" man="true" max="16383" min="0"/>
    <brk id="204" man="true" max="16383" min="0"/>
    <brk id="227" man="true" max="16383" min="0"/>
    <brk id="263" man="true" max="16383" min="0"/>
    <brk id="291" man="true" max="16383" min="0"/>
    <brk id="342" man="true" max="16383" min="0"/>
    <brk id="405" man="true" max="16383" min="0"/>
    <brk id="485" man="true" max="16383" min="0"/>
    <brk id="559" man="true" max="16383" min="0"/>
    <brk id="641" man="true" max="16383" min="0"/>
    <brk id="735" man="true" max="16383" min="0"/>
    <brk id="836" man="true" max="16383" min="0"/>
    <brk id="889" man="true" max="16383" min="0"/>
    <brk id="963" man="true" max="16383" min="0"/>
    <brk id="1040" man="true" max="16383" min="0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11"/>
    <col collapsed="false" customWidth="true" hidden="false" outlineLevel="0" max="8" min="6" style="1" width="6"/>
    <col collapsed="false" customWidth="true" hidden="false" outlineLevel="0" max="10" min="9" style="1" width="5"/>
    <col collapsed="false" customWidth="true" hidden="false" outlineLevel="0" max="11" min="11" style="1" width="10"/>
    <col collapsed="false" customWidth="true" hidden="false" outlineLevel="0" max="12" min="12" style="1" width="5"/>
    <col collapsed="false" customWidth="true" hidden="false" outlineLevel="0" max="13" min="13" style="1" width="12"/>
  </cols>
  <sheetData>
    <row r="1" customFormat="false" ht="19.5" hidden="false" customHeight="true" outlineLevel="0" collapsed="false">
      <c r="A1" s="195" t="s">
        <v>895</v>
      </c>
      <c r="B1" s="195"/>
      <c r="C1" s="195"/>
      <c r="D1" s="195"/>
      <c r="E1" s="195"/>
      <c r="F1" s="195"/>
      <c r="G1" s="195"/>
      <c r="H1" s="195"/>
      <c r="I1" s="195"/>
      <c r="J1" s="196" t="s">
        <v>896</v>
      </c>
      <c r="K1" s="197" t="s">
        <v>897</v>
      </c>
      <c r="L1" s="173"/>
      <c r="M1" s="173"/>
    </row>
    <row r="2" customFormat="false" ht="19.5" hidden="false" customHeight="true" outlineLevel="0" collapsed="false">
      <c r="J2" s="196"/>
      <c r="K2" s="197" t="s">
        <v>898</v>
      </c>
      <c r="L2" s="173"/>
      <c r="M2" s="173"/>
    </row>
    <row r="3" customFormat="false" ht="39.75" hidden="false" customHeight="true" outlineLevel="0" collapsed="false">
      <c r="A3" s="198" t="s">
        <v>899</v>
      </c>
      <c r="B3" s="198" t="s">
        <v>900</v>
      </c>
      <c r="C3" s="198" t="s">
        <v>901</v>
      </c>
      <c r="D3" s="198" t="s">
        <v>902</v>
      </c>
      <c r="E3" s="198" t="s">
        <v>903</v>
      </c>
      <c r="F3" s="198" t="s">
        <v>904</v>
      </c>
      <c r="G3" s="198" t="s">
        <v>905</v>
      </c>
      <c r="H3" s="198" t="s">
        <v>906</v>
      </c>
      <c r="I3" s="198" t="s">
        <v>907</v>
      </c>
      <c r="J3" s="198" t="s">
        <v>908</v>
      </c>
      <c r="K3" s="198" t="s">
        <v>909</v>
      </c>
      <c r="L3" s="198" t="s">
        <v>910</v>
      </c>
      <c r="M3" s="198" t="s">
        <v>911</v>
      </c>
    </row>
    <row r="4" customFormat="false" ht="19.5" hidden="false" customHeight="true" outlineLevel="0" collapsed="false">
      <c r="A4" s="199" t="n">
        <v>46025</v>
      </c>
      <c r="B4" s="200" t="s">
        <v>120</v>
      </c>
      <c r="C4" s="201" t="s">
        <v>912</v>
      </c>
      <c r="D4" s="202" t="s">
        <v>913</v>
      </c>
      <c r="E4" s="203" t="n">
        <v>45985</v>
      </c>
      <c r="F4" s="204" t="s">
        <v>914</v>
      </c>
      <c r="G4" s="202" t="s">
        <v>913</v>
      </c>
      <c r="H4" s="202" t="s">
        <v>913</v>
      </c>
      <c r="I4" s="202" t="s">
        <v>913</v>
      </c>
      <c r="J4" s="202" t="s">
        <v>362</v>
      </c>
      <c r="K4" s="202" t="s">
        <v>913</v>
      </c>
      <c r="L4" s="202" t="s">
        <v>913</v>
      </c>
      <c r="M4" s="202"/>
    </row>
    <row r="5" customFormat="false" ht="19.5" hidden="false" customHeight="true" outlineLevel="0" collapsed="false">
      <c r="A5" s="199" t="n">
        <v>46028</v>
      </c>
      <c r="B5" s="200" t="s">
        <v>71</v>
      </c>
      <c r="C5" s="201" t="s">
        <v>912</v>
      </c>
      <c r="D5" s="202" t="s">
        <v>913</v>
      </c>
      <c r="E5" s="203" t="n">
        <v>46462</v>
      </c>
      <c r="F5" s="204" t="s">
        <v>914</v>
      </c>
      <c r="G5" s="202" t="s">
        <v>913</v>
      </c>
      <c r="H5" s="202" t="s">
        <v>913</v>
      </c>
      <c r="I5" s="202" t="s">
        <v>913</v>
      </c>
      <c r="J5" s="202" t="s">
        <v>362</v>
      </c>
      <c r="K5" s="202" t="s">
        <v>913</v>
      </c>
      <c r="L5" s="202" t="s">
        <v>913</v>
      </c>
      <c r="M5" s="202"/>
    </row>
    <row r="6" customFormat="false" ht="19.5" hidden="false" customHeight="true" outlineLevel="0" collapsed="false">
      <c r="A6" s="199" t="n">
        <v>46031</v>
      </c>
      <c r="B6" s="200" t="s">
        <v>116</v>
      </c>
      <c r="C6" s="202" t="s">
        <v>915</v>
      </c>
      <c r="D6" s="202" t="s">
        <v>915</v>
      </c>
      <c r="E6" s="203" t="n">
        <v>46118</v>
      </c>
      <c r="F6" s="204" t="s">
        <v>914</v>
      </c>
      <c r="G6" s="202" t="s">
        <v>913</v>
      </c>
      <c r="H6" s="202" t="s">
        <v>913</v>
      </c>
      <c r="I6" s="202" t="s">
        <v>913</v>
      </c>
      <c r="J6" s="202" t="s">
        <v>362</v>
      </c>
      <c r="K6" s="202" t="s">
        <v>913</v>
      </c>
      <c r="L6" s="202" t="s">
        <v>913</v>
      </c>
      <c r="M6" s="202"/>
    </row>
    <row r="7" customFormat="false" ht="19.5" hidden="false" customHeight="true" outlineLevel="0" collapsed="false">
      <c r="A7" s="199" t="n">
        <v>46031</v>
      </c>
      <c r="B7" s="200" t="s">
        <v>116</v>
      </c>
      <c r="C7" s="202" t="s">
        <v>915</v>
      </c>
      <c r="D7" s="202" t="s">
        <v>915</v>
      </c>
      <c r="E7" s="203" t="n">
        <v>46119</v>
      </c>
      <c r="F7" s="204" t="s">
        <v>914</v>
      </c>
      <c r="G7" s="202" t="s">
        <v>913</v>
      </c>
      <c r="H7" s="202" t="s">
        <v>913</v>
      </c>
      <c r="I7" s="202" t="s">
        <v>913</v>
      </c>
      <c r="J7" s="202" t="s">
        <v>362</v>
      </c>
      <c r="K7" s="202" t="s">
        <v>913</v>
      </c>
      <c r="L7" s="202" t="s">
        <v>913</v>
      </c>
      <c r="M7" s="202"/>
    </row>
    <row r="8" customFormat="false" ht="19.5" hidden="false" customHeight="true" outlineLevel="0" collapsed="false">
      <c r="A8" s="199" t="n">
        <v>46032</v>
      </c>
      <c r="B8" s="200" t="s">
        <v>120</v>
      </c>
      <c r="C8" s="201" t="s">
        <v>912</v>
      </c>
      <c r="D8" s="202" t="s">
        <v>913</v>
      </c>
      <c r="E8" s="203" t="n">
        <v>45961</v>
      </c>
      <c r="F8" s="204" t="s">
        <v>914</v>
      </c>
      <c r="G8" s="202" t="s">
        <v>913</v>
      </c>
      <c r="H8" s="202" t="s">
        <v>913</v>
      </c>
      <c r="I8" s="202" t="s">
        <v>913</v>
      </c>
      <c r="J8" s="202" t="s">
        <v>362</v>
      </c>
      <c r="K8" s="202" t="s">
        <v>913</v>
      </c>
      <c r="L8" s="202" t="s">
        <v>913</v>
      </c>
      <c r="M8" s="202"/>
    </row>
    <row r="9" customFormat="false" ht="19.5" hidden="false" customHeight="true" outlineLevel="0" collapsed="false">
      <c r="A9" s="199" t="n">
        <v>46035</v>
      </c>
      <c r="B9" s="200" t="s">
        <v>120</v>
      </c>
      <c r="C9" s="201" t="s">
        <v>912</v>
      </c>
      <c r="D9" s="202" t="s">
        <v>913</v>
      </c>
      <c r="E9" s="203" t="n">
        <v>45961</v>
      </c>
      <c r="F9" s="204" t="s">
        <v>914</v>
      </c>
      <c r="G9" s="202" t="s">
        <v>913</v>
      </c>
      <c r="H9" s="202" t="s">
        <v>913</v>
      </c>
      <c r="I9" s="202" t="s">
        <v>913</v>
      </c>
      <c r="J9" s="202" t="s">
        <v>362</v>
      </c>
      <c r="K9" s="202" t="s">
        <v>913</v>
      </c>
      <c r="L9" s="202" t="s">
        <v>913</v>
      </c>
      <c r="M9" s="202"/>
    </row>
    <row r="10" customFormat="false" ht="19.5" hidden="false" customHeight="true" outlineLevel="0" collapsed="false">
      <c r="A10" s="199" t="n">
        <v>46036</v>
      </c>
      <c r="B10" s="200" t="s">
        <v>92</v>
      </c>
      <c r="C10" s="202" t="s">
        <v>915</v>
      </c>
      <c r="D10" s="202" t="s">
        <v>913</v>
      </c>
      <c r="E10" s="203" t="n">
        <v>46761</v>
      </c>
      <c r="F10" s="204" t="s">
        <v>914</v>
      </c>
      <c r="G10" s="202" t="s">
        <v>913</v>
      </c>
      <c r="H10" s="202" t="s">
        <v>913</v>
      </c>
      <c r="I10" s="202" t="s">
        <v>913</v>
      </c>
      <c r="J10" s="202" t="s">
        <v>362</v>
      </c>
      <c r="K10" s="202" t="s">
        <v>913</v>
      </c>
      <c r="L10" s="202" t="s">
        <v>913</v>
      </c>
      <c r="M10" s="202"/>
    </row>
    <row r="11" customFormat="false" ht="19.5" hidden="false" customHeight="true" outlineLevel="0" collapsed="false">
      <c r="A11" s="199" t="n">
        <v>46036</v>
      </c>
      <c r="B11" s="200" t="s">
        <v>120</v>
      </c>
      <c r="C11" s="201" t="s">
        <v>912</v>
      </c>
      <c r="D11" s="202" t="s">
        <v>915</v>
      </c>
      <c r="E11" s="203" t="n">
        <v>46024</v>
      </c>
      <c r="F11" s="204" t="s">
        <v>914</v>
      </c>
      <c r="G11" s="202" t="s">
        <v>913</v>
      </c>
      <c r="H11" s="202" t="s">
        <v>913</v>
      </c>
      <c r="I11" s="202" t="s">
        <v>913</v>
      </c>
      <c r="J11" s="202" t="s">
        <v>362</v>
      </c>
      <c r="K11" s="202" t="s">
        <v>913</v>
      </c>
      <c r="L11" s="202" t="s">
        <v>913</v>
      </c>
      <c r="M11" s="202"/>
    </row>
    <row r="12" customFormat="false" ht="19.5" hidden="false" customHeight="true" outlineLevel="0" collapsed="false">
      <c r="A12" s="199" t="n">
        <v>46037</v>
      </c>
      <c r="B12" s="200" t="s">
        <v>71</v>
      </c>
      <c r="C12" s="201" t="s">
        <v>912</v>
      </c>
      <c r="D12" s="202" t="s">
        <v>913</v>
      </c>
      <c r="E12" s="203" t="n">
        <v>46462</v>
      </c>
      <c r="F12" s="204" t="s">
        <v>914</v>
      </c>
      <c r="G12" s="202" t="s">
        <v>913</v>
      </c>
      <c r="H12" s="202" t="s">
        <v>913</v>
      </c>
      <c r="I12" s="202" t="s">
        <v>913</v>
      </c>
      <c r="J12" s="202" t="s">
        <v>362</v>
      </c>
      <c r="K12" s="202" t="s">
        <v>913</v>
      </c>
      <c r="L12" s="202" t="s">
        <v>913</v>
      </c>
      <c r="M12" s="202"/>
    </row>
    <row r="13" customFormat="false" ht="19.5" hidden="false" customHeight="true" outlineLevel="0" collapsed="false">
      <c r="A13" s="199" t="n">
        <v>46037</v>
      </c>
      <c r="B13" s="200" t="s">
        <v>130</v>
      </c>
      <c r="C13" s="202" t="s">
        <v>915</v>
      </c>
      <c r="D13" s="202" t="s">
        <v>913</v>
      </c>
      <c r="E13" s="203" t="n">
        <v>46386</v>
      </c>
      <c r="F13" s="204" t="s">
        <v>914</v>
      </c>
      <c r="G13" s="202" t="s">
        <v>913</v>
      </c>
      <c r="H13" s="202" t="s">
        <v>913</v>
      </c>
      <c r="I13" s="202" t="s">
        <v>913</v>
      </c>
      <c r="J13" s="202" t="s">
        <v>362</v>
      </c>
      <c r="K13" s="202" t="s">
        <v>913</v>
      </c>
      <c r="L13" s="202" t="s">
        <v>913</v>
      </c>
      <c r="M13" s="202"/>
    </row>
    <row r="14" customFormat="false" ht="19.5" hidden="false" customHeight="true" outlineLevel="0" collapsed="false">
      <c r="A14" s="199" t="n">
        <v>46038</v>
      </c>
      <c r="B14" s="200" t="s">
        <v>68</v>
      </c>
      <c r="C14" s="202" t="s">
        <v>915</v>
      </c>
      <c r="D14" s="202" t="s">
        <v>913</v>
      </c>
      <c r="E14" s="203" t="n">
        <v>46176</v>
      </c>
      <c r="F14" s="204" t="s">
        <v>914</v>
      </c>
      <c r="G14" s="202" t="s">
        <v>913</v>
      </c>
      <c r="H14" s="202" t="s">
        <v>913</v>
      </c>
      <c r="I14" s="202" t="s">
        <v>913</v>
      </c>
      <c r="J14" s="202" t="s">
        <v>362</v>
      </c>
      <c r="K14" s="202" t="s">
        <v>913</v>
      </c>
      <c r="L14" s="202" t="s">
        <v>913</v>
      </c>
      <c r="M14" s="202"/>
    </row>
    <row r="15" customFormat="false" ht="19.5" hidden="false" customHeight="true" outlineLevel="0" collapsed="false">
      <c r="A15" s="199" t="n">
        <v>46038</v>
      </c>
      <c r="B15" s="200" t="s">
        <v>132</v>
      </c>
      <c r="C15" s="202" t="s">
        <v>915</v>
      </c>
      <c r="D15" s="202" t="s">
        <v>913</v>
      </c>
      <c r="E15" s="203" t="n">
        <v>46310</v>
      </c>
      <c r="F15" s="204" t="s">
        <v>914</v>
      </c>
      <c r="G15" s="202" t="s">
        <v>913</v>
      </c>
      <c r="H15" s="202" t="s">
        <v>913</v>
      </c>
      <c r="I15" s="202" t="s">
        <v>913</v>
      </c>
      <c r="J15" s="202" t="s">
        <v>362</v>
      </c>
      <c r="K15" s="202" t="s">
        <v>913</v>
      </c>
      <c r="L15" s="202" t="s">
        <v>913</v>
      </c>
      <c r="M15" s="202"/>
    </row>
    <row r="16" customFormat="false" ht="19.5" hidden="false" customHeight="true" outlineLevel="0" collapsed="false">
      <c r="A16" s="199" t="n">
        <v>46038</v>
      </c>
      <c r="B16" s="200" t="s">
        <v>68</v>
      </c>
      <c r="C16" s="202" t="s">
        <v>915</v>
      </c>
      <c r="D16" s="202" t="s">
        <v>913</v>
      </c>
      <c r="E16" s="203" t="n">
        <v>46217</v>
      </c>
      <c r="F16" s="204" t="s">
        <v>914</v>
      </c>
      <c r="G16" s="202" t="s">
        <v>913</v>
      </c>
      <c r="H16" s="202" t="s">
        <v>913</v>
      </c>
      <c r="I16" s="202" t="s">
        <v>913</v>
      </c>
      <c r="J16" s="202" t="s">
        <v>362</v>
      </c>
      <c r="K16" s="202" t="s">
        <v>913</v>
      </c>
      <c r="L16" s="202" t="s">
        <v>913</v>
      </c>
      <c r="M16" s="202"/>
    </row>
    <row r="17" customFormat="false" ht="19.5" hidden="false" customHeight="true" outlineLevel="0" collapsed="false">
      <c r="A17" s="199" t="n">
        <v>46038</v>
      </c>
      <c r="B17" s="200" t="s">
        <v>111</v>
      </c>
      <c r="C17" s="201" t="s">
        <v>916</v>
      </c>
      <c r="D17" s="202" t="s">
        <v>913</v>
      </c>
      <c r="E17" s="203" t="n">
        <v>46673</v>
      </c>
      <c r="F17" s="204" t="s">
        <v>914</v>
      </c>
      <c r="G17" s="202" t="s">
        <v>913</v>
      </c>
      <c r="H17" s="202" t="s">
        <v>913</v>
      </c>
      <c r="I17" s="202" t="s">
        <v>913</v>
      </c>
      <c r="J17" s="202" t="s">
        <v>362</v>
      </c>
      <c r="K17" s="202" t="s">
        <v>913</v>
      </c>
      <c r="L17" s="202" t="s">
        <v>913</v>
      </c>
      <c r="M17" s="202"/>
    </row>
    <row r="18" customFormat="false" ht="19.5" hidden="false" customHeight="true" outlineLevel="0" collapsed="false">
      <c r="A18" s="199" t="n">
        <v>46038</v>
      </c>
      <c r="B18" s="200" t="s">
        <v>84</v>
      </c>
      <c r="C18" s="202" t="s">
        <v>915</v>
      </c>
      <c r="D18" s="202" t="s">
        <v>913</v>
      </c>
      <c r="E18" s="203" t="n">
        <v>46151</v>
      </c>
      <c r="F18" s="204" t="s">
        <v>914</v>
      </c>
      <c r="G18" s="202" t="s">
        <v>913</v>
      </c>
      <c r="H18" s="202" t="s">
        <v>913</v>
      </c>
      <c r="I18" s="202" t="s">
        <v>913</v>
      </c>
      <c r="J18" s="202" t="s">
        <v>362</v>
      </c>
      <c r="K18" s="202" t="s">
        <v>913</v>
      </c>
      <c r="L18" s="202" t="s">
        <v>913</v>
      </c>
      <c r="M18" s="202"/>
    </row>
    <row r="19" customFormat="false" ht="19.5" hidden="false" customHeight="true" outlineLevel="0" collapsed="false">
      <c r="A19" s="199" t="n">
        <v>46038</v>
      </c>
      <c r="B19" s="200" t="s">
        <v>97</v>
      </c>
      <c r="C19" s="202" t="s">
        <v>915</v>
      </c>
      <c r="D19" s="202" t="s">
        <v>913</v>
      </c>
      <c r="E19" s="203" t="n">
        <v>46322</v>
      </c>
      <c r="F19" s="204" t="s">
        <v>914</v>
      </c>
      <c r="G19" s="202" t="s">
        <v>913</v>
      </c>
      <c r="H19" s="202" t="s">
        <v>913</v>
      </c>
      <c r="I19" s="202" t="s">
        <v>913</v>
      </c>
      <c r="J19" s="202" t="s">
        <v>362</v>
      </c>
      <c r="K19" s="202" t="s">
        <v>913</v>
      </c>
      <c r="L19" s="202" t="s">
        <v>913</v>
      </c>
      <c r="M19" s="202"/>
    </row>
    <row r="20" customFormat="false" ht="19.5" hidden="false" customHeight="true" outlineLevel="0" collapsed="false">
      <c r="A20" s="199" t="n">
        <v>46039</v>
      </c>
      <c r="B20" s="200" t="s">
        <v>62</v>
      </c>
      <c r="C20" s="202" t="s">
        <v>915</v>
      </c>
      <c r="D20" s="202" t="s">
        <v>913</v>
      </c>
      <c r="E20" s="203" t="n">
        <v>46742</v>
      </c>
      <c r="F20" s="204" t="s">
        <v>914</v>
      </c>
      <c r="G20" s="202" t="s">
        <v>913</v>
      </c>
      <c r="H20" s="202" t="s">
        <v>913</v>
      </c>
      <c r="I20" s="202" t="s">
        <v>913</v>
      </c>
      <c r="J20" s="202" t="s">
        <v>362</v>
      </c>
      <c r="K20" s="202" t="s">
        <v>913</v>
      </c>
      <c r="L20" s="202" t="s">
        <v>913</v>
      </c>
      <c r="M20" s="202"/>
    </row>
    <row r="21" customFormat="false" ht="19.5" hidden="false" customHeight="true" outlineLevel="0" collapsed="false">
      <c r="A21" s="199" t="n">
        <v>46039</v>
      </c>
      <c r="B21" s="200" t="s">
        <v>122</v>
      </c>
      <c r="C21" s="202" t="s">
        <v>915</v>
      </c>
      <c r="D21" s="202" t="s">
        <v>913</v>
      </c>
      <c r="E21" s="203" t="n">
        <v>46245</v>
      </c>
      <c r="F21" s="204" t="s">
        <v>914</v>
      </c>
      <c r="G21" s="202" t="s">
        <v>913</v>
      </c>
      <c r="H21" s="202" t="s">
        <v>913</v>
      </c>
      <c r="I21" s="202" t="s">
        <v>913</v>
      </c>
      <c r="J21" s="202" t="s">
        <v>362</v>
      </c>
      <c r="K21" s="202" t="s">
        <v>913</v>
      </c>
      <c r="L21" s="202" t="s">
        <v>913</v>
      </c>
      <c r="M21" s="202"/>
    </row>
    <row r="22" customFormat="false" ht="19.5" hidden="false" customHeight="true" outlineLevel="0" collapsed="false">
      <c r="A22" s="199" t="n">
        <v>46039</v>
      </c>
      <c r="B22" s="200" t="s">
        <v>92</v>
      </c>
      <c r="C22" s="202" t="s">
        <v>915</v>
      </c>
      <c r="D22" s="202" t="s">
        <v>913</v>
      </c>
      <c r="E22" s="203" t="n">
        <v>46761</v>
      </c>
      <c r="F22" s="204" t="s">
        <v>914</v>
      </c>
      <c r="G22" s="202" t="s">
        <v>913</v>
      </c>
      <c r="H22" s="202" t="s">
        <v>913</v>
      </c>
      <c r="I22" s="202" t="s">
        <v>913</v>
      </c>
      <c r="J22" s="202" t="s">
        <v>362</v>
      </c>
      <c r="K22" s="202" t="s">
        <v>913</v>
      </c>
      <c r="L22" s="202" t="s">
        <v>913</v>
      </c>
      <c r="M22" s="202"/>
    </row>
    <row r="23" customFormat="false" ht="19.5" hidden="false" customHeight="true" outlineLevel="0" collapsed="false">
      <c r="A23" s="199" t="n">
        <v>46039</v>
      </c>
      <c r="B23" s="200" t="s">
        <v>74</v>
      </c>
      <c r="C23" s="202" t="s">
        <v>915</v>
      </c>
      <c r="D23" s="202" t="s">
        <v>913</v>
      </c>
      <c r="E23" s="203" t="n">
        <v>46266</v>
      </c>
      <c r="F23" s="204" t="s">
        <v>914</v>
      </c>
      <c r="G23" s="202" t="s">
        <v>913</v>
      </c>
      <c r="H23" s="202" t="s">
        <v>913</v>
      </c>
      <c r="I23" s="202" t="s">
        <v>913</v>
      </c>
      <c r="J23" s="202" t="s">
        <v>362</v>
      </c>
      <c r="K23" s="202" t="s">
        <v>913</v>
      </c>
      <c r="L23" s="202" t="s">
        <v>913</v>
      </c>
      <c r="M23" s="202"/>
    </row>
    <row r="24" customFormat="false" ht="12.75" hidden="false" customHeight="true" outlineLevel="0" collapsed="false">
      <c r="A24" s="205" t="s">
        <v>917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</row>
    <row r="26" customFormat="false" ht="19.5" hidden="false" customHeight="true" outlineLevel="0" collapsed="false">
      <c r="A26" s="195" t="s">
        <v>918</v>
      </c>
      <c r="B26" s="195"/>
      <c r="C26" s="195"/>
      <c r="D26" s="195"/>
      <c r="E26" s="195"/>
      <c r="F26" s="195"/>
      <c r="G26" s="195"/>
      <c r="H26" s="195"/>
      <c r="I26" s="195"/>
      <c r="J26" s="196" t="s">
        <v>896</v>
      </c>
      <c r="K26" s="197" t="s">
        <v>897</v>
      </c>
      <c r="L26" s="173"/>
      <c r="M26" s="173"/>
    </row>
    <row r="27" customFormat="false" ht="19.5" hidden="false" customHeight="true" outlineLevel="0" collapsed="false">
      <c r="J27" s="196"/>
      <c r="K27" s="197" t="s">
        <v>898</v>
      </c>
      <c r="L27" s="173"/>
      <c r="M27" s="173"/>
    </row>
    <row r="28" customFormat="false" ht="39.75" hidden="false" customHeight="true" outlineLevel="0" collapsed="false">
      <c r="A28" s="198" t="s">
        <v>899</v>
      </c>
      <c r="B28" s="198" t="s">
        <v>900</v>
      </c>
      <c r="C28" s="198" t="s">
        <v>901</v>
      </c>
      <c r="D28" s="198" t="s">
        <v>902</v>
      </c>
      <c r="E28" s="198" t="s">
        <v>903</v>
      </c>
      <c r="F28" s="198" t="s">
        <v>904</v>
      </c>
      <c r="G28" s="198" t="s">
        <v>905</v>
      </c>
      <c r="H28" s="198" t="s">
        <v>906</v>
      </c>
      <c r="I28" s="198" t="s">
        <v>907</v>
      </c>
      <c r="J28" s="198" t="s">
        <v>908</v>
      </c>
      <c r="K28" s="198" t="s">
        <v>909</v>
      </c>
      <c r="L28" s="198" t="s">
        <v>910</v>
      </c>
      <c r="M28" s="198" t="s">
        <v>911</v>
      </c>
    </row>
    <row r="29" customFormat="false" ht="19.5" hidden="false" customHeight="true" outlineLevel="0" collapsed="false">
      <c r="A29" s="199" t="n">
        <v>46039</v>
      </c>
      <c r="B29" s="200" t="s">
        <v>97</v>
      </c>
      <c r="C29" s="202" t="s">
        <v>915</v>
      </c>
      <c r="D29" s="202" t="s">
        <v>913</v>
      </c>
      <c r="E29" s="203" t="n">
        <v>46322</v>
      </c>
      <c r="F29" s="204" t="s">
        <v>914</v>
      </c>
      <c r="G29" s="202" t="s">
        <v>913</v>
      </c>
      <c r="H29" s="202" t="s">
        <v>913</v>
      </c>
      <c r="I29" s="202" t="s">
        <v>913</v>
      </c>
      <c r="J29" s="202" t="s">
        <v>362</v>
      </c>
      <c r="K29" s="202" t="s">
        <v>913</v>
      </c>
      <c r="L29" s="202" t="s">
        <v>913</v>
      </c>
      <c r="M29" s="202"/>
    </row>
    <row r="30" customFormat="false" ht="19.5" hidden="false" customHeight="true" outlineLevel="0" collapsed="false">
      <c r="A30" s="199" t="n">
        <v>46039</v>
      </c>
      <c r="B30" s="200" t="s">
        <v>132</v>
      </c>
      <c r="C30" s="202" t="s">
        <v>915</v>
      </c>
      <c r="D30" s="202" t="s">
        <v>913</v>
      </c>
      <c r="E30" s="203" t="n">
        <v>46266</v>
      </c>
      <c r="F30" s="204" t="s">
        <v>914</v>
      </c>
      <c r="G30" s="202" t="s">
        <v>913</v>
      </c>
      <c r="H30" s="202" t="s">
        <v>913</v>
      </c>
      <c r="I30" s="202" t="s">
        <v>913</v>
      </c>
      <c r="J30" s="202" t="s">
        <v>362</v>
      </c>
      <c r="K30" s="202" t="s">
        <v>913</v>
      </c>
      <c r="L30" s="202" t="s">
        <v>913</v>
      </c>
      <c r="M30" s="202"/>
    </row>
    <row r="31" customFormat="false" ht="19.5" hidden="false" customHeight="true" outlineLevel="0" collapsed="false">
      <c r="A31" s="199" t="n">
        <v>46039</v>
      </c>
      <c r="B31" s="200" t="s">
        <v>107</v>
      </c>
      <c r="C31" s="202" t="s">
        <v>915</v>
      </c>
      <c r="D31" s="202" t="s">
        <v>913</v>
      </c>
      <c r="E31" s="203" t="n">
        <v>46118</v>
      </c>
      <c r="F31" s="204" t="s">
        <v>914</v>
      </c>
      <c r="G31" s="202" t="s">
        <v>913</v>
      </c>
      <c r="H31" s="202" t="s">
        <v>913</v>
      </c>
      <c r="I31" s="202" t="s">
        <v>913</v>
      </c>
      <c r="J31" s="202" t="s">
        <v>362</v>
      </c>
      <c r="K31" s="202" t="s">
        <v>913</v>
      </c>
      <c r="L31" s="202" t="s">
        <v>913</v>
      </c>
      <c r="M31" s="202"/>
    </row>
    <row r="32" customFormat="false" ht="19.5" hidden="false" customHeight="true" outlineLevel="0" collapsed="false">
      <c r="A32" s="199" t="n">
        <v>46041</v>
      </c>
      <c r="B32" s="200" t="s">
        <v>115</v>
      </c>
      <c r="C32" s="202" t="s">
        <v>915</v>
      </c>
      <c r="D32" s="202" t="s">
        <v>913</v>
      </c>
      <c r="E32" s="203" t="n">
        <v>46142</v>
      </c>
      <c r="F32" s="204" t="s">
        <v>914</v>
      </c>
      <c r="G32" s="202" t="s">
        <v>913</v>
      </c>
      <c r="H32" s="202" t="s">
        <v>913</v>
      </c>
      <c r="I32" s="202" t="s">
        <v>913</v>
      </c>
      <c r="J32" s="202" t="s">
        <v>362</v>
      </c>
      <c r="K32" s="202" t="s">
        <v>913</v>
      </c>
      <c r="L32" s="202" t="s">
        <v>913</v>
      </c>
      <c r="M32" s="202"/>
    </row>
    <row r="33" customFormat="false" ht="19.5" hidden="false" customHeight="true" outlineLevel="0" collapsed="false">
      <c r="A33" s="199" t="n">
        <v>46041</v>
      </c>
      <c r="B33" s="200" t="s">
        <v>99</v>
      </c>
      <c r="C33" s="202" t="s">
        <v>915</v>
      </c>
      <c r="D33" s="202" t="s">
        <v>913</v>
      </c>
      <c r="E33" s="203" t="n">
        <v>46012</v>
      </c>
      <c r="F33" s="204" t="s">
        <v>914</v>
      </c>
      <c r="G33" s="202" t="s">
        <v>913</v>
      </c>
      <c r="H33" s="202" t="s">
        <v>913</v>
      </c>
      <c r="I33" s="202" t="s">
        <v>913</v>
      </c>
      <c r="J33" s="202" t="s">
        <v>362</v>
      </c>
      <c r="K33" s="202" t="s">
        <v>913</v>
      </c>
      <c r="L33" s="202" t="s">
        <v>913</v>
      </c>
      <c r="M33" s="202"/>
    </row>
    <row r="34" customFormat="false" ht="19.5" hidden="false" customHeight="true" outlineLevel="0" collapsed="false">
      <c r="A34" s="199" t="n">
        <v>46041</v>
      </c>
      <c r="B34" s="200" t="s">
        <v>92</v>
      </c>
      <c r="C34" s="202" t="s">
        <v>915</v>
      </c>
      <c r="D34" s="202" t="s">
        <v>913</v>
      </c>
      <c r="E34" s="203" t="n">
        <v>46274</v>
      </c>
      <c r="F34" s="204" t="s">
        <v>914</v>
      </c>
      <c r="G34" s="202" t="s">
        <v>913</v>
      </c>
      <c r="H34" s="202" t="s">
        <v>913</v>
      </c>
      <c r="I34" s="202" t="s">
        <v>913</v>
      </c>
      <c r="J34" s="202" t="s">
        <v>362</v>
      </c>
      <c r="K34" s="202" t="s">
        <v>913</v>
      </c>
      <c r="L34" s="202" t="s">
        <v>913</v>
      </c>
      <c r="M34" s="202"/>
    </row>
    <row r="35" customFormat="false" ht="19.5" hidden="false" customHeight="true" outlineLevel="0" collapsed="false">
      <c r="A35" s="199" t="n">
        <v>46042</v>
      </c>
      <c r="B35" s="200" t="s">
        <v>73</v>
      </c>
      <c r="C35" s="202" t="s">
        <v>915</v>
      </c>
      <c r="D35" s="202" t="s">
        <v>913</v>
      </c>
      <c r="E35" s="203" t="n">
        <v>46724</v>
      </c>
      <c r="F35" s="204" t="s">
        <v>914</v>
      </c>
      <c r="G35" s="202" t="s">
        <v>913</v>
      </c>
      <c r="H35" s="202" t="s">
        <v>913</v>
      </c>
      <c r="I35" s="202" t="s">
        <v>913</v>
      </c>
      <c r="J35" s="202" t="s">
        <v>362</v>
      </c>
      <c r="K35" s="202" t="s">
        <v>913</v>
      </c>
      <c r="L35" s="202" t="s">
        <v>913</v>
      </c>
      <c r="M35" s="202"/>
    </row>
    <row r="36" customFormat="false" ht="19.5" hidden="false" customHeight="true" outlineLevel="0" collapsed="false">
      <c r="A36" s="199" t="n">
        <v>46043</v>
      </c>
      <c r="B36" s="200" t="s">
        <v>108</v>
      </c>
      <c r="C36" s="202" t="s">
        <v>915</v>
      </c>
      <c r="D36" s="202" t="s">
        <v>913</v>
      </c>
      <c r="E36" s="203" t="n">
        <v>45982</v>
      </c>
      <c r="F36" s="204" t="s">
        <v>914</v>
      </c>
      <c r="G36" s="202" t="s">
        <v>913</v>
      </c>
      <c r="H36" s="202" t="s">
        <v>913</v>
      </c>
      <c r="I36" s="202" t="s">
        <v>913</v>
      </c>
      <c r="J36" s="202" t="s">
        <v>362</v>
      </c>
      <c r="K36" s="202" t="s">
        <v>913</v>
      </c>
      <c r="L36" s="202" t="s">
        <v>913</v>
      </c>
      <c r="M36" s="202"/>
    </row>
    <row r="37" customFormat="false" ht="19.5" hidden="false" customHeight="true" outlineLevel="0" collapsed="false">
      <c r="A37" s="199" t="n">
        <v>46043</v>
      </c>
      <c r="B37" s="200" t="s">
        <v>134</v>
      </c>
      <c r="C37" s="201" t="s">
        <v>919</v>
      </c>
      <c r="D37" s="202" t="s">
        <v>915</v>
      </c>
      <c r="E37" s="203" t="n">
        <v>46350</v>
      </c>
      <c r="F37" s="204" t="s">
        <v>914</v>
      </c>
      <c r="G37" s="202" t="s">
        <v>913</v>
      </c>
      <c r="H37" s="202" t="s">
        <v>913</v>
      </c>
      <c r="I37" s="202" t="s">
        <v>913</v>
      </c>
      <c r="J37" s="202" t="s">
        <v>362</v>
      </c>
      <c r="K37" s="202" t="s">
        <v>913</v>
      </c>
      <c r="L37" s="202" t="s">
        <v>913</v>
      </c>
      <c r="M37" s="202"/>
    </row>
    <row r="38" customFormat="false" ht="19.5" hidden="false" customHeight="true" outlineLevel="0" collapsed="false">
      <c r="A38" s="199" t="n">
        <v>46043</v>
      </c>
      <c r="B38" s="200" t="s">
        <v>99</v>
      </c>
      <c r="C38" s="202" t="s">
        <v>915</v>
      </c>
      <c r="D38" s="202" t="s">
        <v>915</v>
      </c>
      <c r="E38" s="203" t="n">
        <v>46024</v>
      </c>
      <c r="F38" s="204" t="s">
        <v>914</v>
      </c>
      <c r="G38" s="202" t="s">
        <v>913</v>
      </c>
      <c r="H38" s="202" t="s">
        <v>913</v>
      </c>
      <c r="I38" s="202" t="s">
        <v>913</v>
      </c>
      <c r="J38" s="202" t="s">
        <v>362</v>
      </c>
      <c r="K38" s="202" t="s">
        <v>913</v>
      </c>
      <c r="L38" s="202" t="s">
        <v>913</v>
      </c>
      <c r="M38" s="202"/>
    </row>
    <row r="39" customFormat="false" ht="19.5" hidden="false" customHeight="true" outlineLevel="0" collapsed="false">
      <c r="A39" s="199" t="n">
        <v>46044</v>
      </c>
      <c r="B39" s="200" t="s">
        <v>92</v>
      </c>
      <c r="C39" s="202" t="s">
        <v>915</v>
      </c>
      <c r="D39" s="202" t="s">
        <v>913</v>
      </c>
      <c r="E39" s="203" t="n">
        <v>46737</v>
      </c>
      <c r="F39" s="204" t="s">
        <v>914</v>
      </c>
      <c r="G39" s="202" t="s">
        <v>913</v>
      </c>
      <c r="H39" s="202" t="s">
        <v>913</v>
      </c>
      <c r="I39" s="202" t="s">
        <v>913</v>
      </c>
      <c r="J39" s="202" t="s">
        <v>362</v>
      </c>
      <c r="K39" s="202" t="s">
        <v>913</v>
      </c>
      <c r="L39" s="202" t="s">
        <v>913</v>
      </c>
      <c r="M39" s="202"/>
    </row>
    <row r="40" customFormat="false" ht="19.5" hidden="false" customHeight="true" outlineLevel="0" collapsed="false">
      <c r="A40" s="199" t="n">
        <v>46044</v>
      </c>
      <c r="B40" s="200" t="s">
        <v>84</v>
      </c>
      <c r="C40" s="202" t="s">
        <v>915</v>
      </c>
      <c r="D40" s="202" t="s">
        <v>913</v>
      </c>
      <c r="E40" s="203" t="n">
        <v>46207</v>
      </c>
      <c r="F40" s="204" t="s">
        <v>914</v>
      </c>
      <c r="G40" s="202" t="s">
        <v>913</v>
      </c>
      <c r="H40" s="202" t="s">
        <v>913</v>
      </c>
      <c r="I40" s="202" t="s">
        <v>913</v>
      </c>
      <c r="J40" s="202" t="s">
        <v>362</v>
      </c>
      <c r="K40" s="202" t="s">
        <v>913</v>
      </c>
      <c r="L40" s="202" t="s">
        <v>913</v>
      </c>
      <c r="M40" s="202"/>
    </row>
    <row r="41" customFormat="false" ht="19.5" hidden="false" customHeight="true" outlineLevel="0" collapsed="false">
      <c r="A41" s="199" t="n">
        <v>46046</v>
      </c>
      <c r="B41" s="200" t="s">
        <v>115</v>
      </c>
      <c r="C41" s="202" t="s">
        <v>915</v>
      </c>
      <c r="D41" s="202" t="s">
        <v>913</v>
      </c>
      <c r="E41" s="203" t="n">
        <v>46181</v>
      </c>
      <c r="F41" s="204" t="s">
        <v>914</v>
      </c>
      <c r="G41" s="202" t="s">
        <v>913</v>
      </c>
      <c r="H41" s="202" t="s">
        <v>913</v>
      </c>
      <c r="I41" s="202" t="s">
        <v>913</v>
      </c>
      <c r="J41" s="202" t="s">
        <v>362</v>
      </c>
      <c r="K41" s="202" t="s">
        <v>913</v>
      </c>
      <c r="L41" s="202" t="s">
        <v>913</v>
      </c>
      <c r="M41" s="202"/>
    </row>
    <row r="42" customFormat="false" ht="19.5" hidden="false" customHeight="true" outlineLevel="0" collapsed="false">
      <c r="A42" s="199" t="n">
        <v>46049</v>
      </c>
      <c r="B42" s="200" t="s">
        <v>116</v>
      </c>
      <c r="C42" s="202" t="s">
        <v>915</v>
      </c>
      <c r="D42" s="202" t="s">
        <v>915</v>
      </c>
      <c r="E42" s="203" t="n">
        <v>46134</v>
      </c>
      <c r="F42" s="204" t="s">
        <v>914</v>
      </c>
      <c r="G42" s="202" t="s">
        <v>913</v>
      </c>
      <c r="H42" s="202" t="s">
        <v>913</v>
      </c>
      <c r="I42" s="202" t="s">
        <v>913</v>
      </c>
      <c r="J42" s="202" t="s">
        <v>362</v>
      </c>
      <c r="K42" s="202" t="s">
        <v>913</v>
      </c>
      <c r="L42" s="202" t="s">
        <v>913</v>
      </c>
      <c r="M42" s="202"/>
    </row>
    <row r="43" customFormat="false" ht="19.5" hidden="false" customHeight="true" outlineLevel="0" collapsed="false">
      <c r="A43" s="199" t="n">
        <v>46051</v>
      </c>
      <c r="B43" s="200" t="s">
        <v>108</v>
      </c>
      <c r="C43" s="202" t="s">
        <v>915</v>
      </c>
      <c r="D43" s="202" t="s">
        <v>913</v>
      </c>
      <c r="E43" s="203" t="n">
        <v>45982</v>
      </c>
      <c r="F43" s="204" t="s">
        <v>914</v>
      </c>
      <c r="G43" s="202" t="s">
        <v>913</v>
      </c>
      <c r="H43" s="202" t="s">
        <v>913</v>
      </c>
      <c r="I43" s="202" t="s">
        <v>913</v>
      </c>
      <c r="J43" s="202" t="s">
        <v>362</v>
      </c>
      <c r="K43" s="202" t="s">
        <v>913</v>
      </c>
      <c r="L43" s="202" t="s">
        <v>913</v>
      </c>
      <c r="M43" s="202"/>
    </row>
    <row r="44" customFormat="false" ht="19.5" hidden="false" customHeight="true" outlineLevel="0" collapsed="false">
      <c r="A44" s="199" t="n">
        <v>46052</v>
      </c>
      <c r="B44" s="200" t="s">
        <v>121</v>
      </c>
      <c r="C44" s="202" t="s">
        <v>915</v>
      </c>
      <c r="D44" s="202" t="s">
        <v>913</v>
      </c>
      <c r="E44" s="202" t="s">
        <v>915</v>
      </c>
      <c r="F44" s="204" t="s">
        <v>914</v>
      </c>
      <c r="G44" s="202" t="s">
        <v>913</v>
      </c>
      <c r="H44" s="202" t="s">
        <v>913</v>
      </c>
      <c r="I44" s="202" t="s">
        <v>913</v>
      </c>
      <c r="J44" s="202" t="s">
        <v>362</v>
      </c>
      <c r="K44" s="202" t="s">
        <v>913</v>
      </c>
      <c r="L44" s="202" t="s">
        <v>913</v>
      </c>
      <c r="M44" s="202"/>
    </row>
    <row r="45" customFormat="false" ht="19.5" hidden="false" customHeight="true" outlineLevel="0" collapsed="false">
      <c r="A45" s="199" t="n">
        <v>46052</v>
      </c>
      <c r="B45" s="200" t="s">
        <v>104</v>
      </c>
      <c r="C45" s="201" t="s">
        <v>912</v>
      </c>
      <c r="D45" s="202" t="s">
        <v>913</v>
      </c>
      <c r="E45" s="203" t="n">
        <v>46603</v>
      </c>
      <c r="F45" s="204" t="s">
        <v>914</v>
      </c>
      <c r="G45" s="202" t="s">
        <v>913</v>
      </c>
      <c r="H45" s="202" t="s">
        <v>913</v>
      </c>
      <c r="I45" s="202" t="s">
        <v>913</v>
      </c>
      <c r="J45" s="202" t="s">
        <v>362</v>
      </c>
      <c r="K45" s="202" t="s">
        <v>913</v>
      </c>
      <c r="L45" s="202" t="s">
        <v>913</v>
      </c>
      <c r="M45" s="202"/>
    </row>
    <row r="46" customFormat="false" ht="19.5" hidden="false" customHeight="true" outlineLevel="0" collapsed="false">
      <c r="A46" s="199" t="n">
        <v>46052</v>
      </c>
      <c r="B46" s="200" t="s">
        <v>99</v>
      </c>
      <c r="C46" s="202" t="s">
        <v>915</v>
      </c>
      <c r="D46" s="202" t="s">
        <v>915</v>
      </c>
      <c r="E46" s="203" t="n">
        <v>46032</v>
      </c>
      <c r="F46" s="204" t="s">
        <v>914</v>
      </c>
      <c r="G46" s="202" t="s">
        <v>913</v>
      </c>
      <c r="H46" s="202" t="s">
        <v>913</v>
      </c>
      <c r="I46" s="202" t="s">
        <v>913</v>
      </c>
      <c r="J46" s="202" t="s">
        <v>362</v>
      </c>
      <c r="K46" s="202" t="s">
        <v>913</v>
      </c>
      <c r="L46" s="202" t="s">
        <v>913</v>
      </c>
      <c r="M46" s="202"/>
    </row>
    <row r="47" customFormat="false" ht="19.5" hidden="false" customHeight="true" outlineLevel="0" collapsed="false">
      <c r="A47" s="199" t="n">
        <v>46052</v>
      </c>
      <c r="B47" s="200" t="s">
        <v>134</v>
      </c>
      <c r="C47" s="201" t="s">
        <v>919</v>
      </c>
      <c r="D47" s="202" t="s">
        <v>915</v>
      </c>
      <c r="E47" s="203" t="n">
        <v>46046</v>
      </c>
      <c r="F47" s="204" t="s">
        <v>914</v>
      </c>
      <c r="G47" s="202" t="s">
        <v>913</v>
      </c>
      <c r="H47" s="202" t="s">
        <v>913</v>
      </c>
      <c r="I47" s="202" t="s">
        <v>913</v>
      </c>
      <c r="J47" s="202" t="s">
        <v>362</v>
      </c>
      <c r="K47" s="202" t="s">
        <v>913</v>
      </c>
      <c r="L47" s="202" t="s">
        <v>913</v>
      </c>
      <c r="M47" s="202"/>
    </row>
    <row r="48" customFormat="false" ht="19.5" hidden="false" customHeight="true" outlineLevel="0" collapsed="false">
      <c r="A48" s="199" t="n">
        <v>46052</v>
      </c>
      <c r="B48" s="200" t="s">
        <v>108</v>
      </c>
      <c r="C48" s="202" t="s">
        <v>915</v>
      </c>
      <c r="D48" s="202" t="s">
        <v>915</v>
      </c>
      <c r="E48" s="203" t="n">
        <v>46775</v>
      </c>
      <c r="F48" s="204" t="s">
        <v>914</v>
      </c>
      <c r="G48" s="202" t="s">
        <v>913</v>
      </c>
      <c r="H48" s="202" t="s">
        <v>913</v>
      </c>
      <c r="I48" s="202" t="s">
        <v>913</v>
      </c>
      <c r="J48" s="202" t="s">
        <v>362</v>
      </c>
      <c r="K48" s="202" t="s">
        <v>913</v>
      </c>
      <c r="L48" s="202" t="s">
        <v>913</v>
      </c>
      <c r="M48" s="202"/>
    </row>
    <row r="49" customFormat="false" ht="12.75" hidden="false" customHeight="true" outlineLevel="0" collapsed="false">
      <c r="A49" s="205" t="s">
        <v>917</v>
      </c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</row>
    <row r="51" customFormat="false" ht="19.5" hidden="false" customHeight="true" outlineLevel="0" collapsed="false">
      <c r="A51" s="195" t="s">
        <v>920</v>
      </c>
      <c r="B51" s="195"/>
      <c r="C51" s="195"/>
      <c r="D51" s="195"/>
      <c r="E51" s="195"/>
      <c r="F51" s="195"/>
      <c r="G51" s="195"/>
      <c r="H51" s="195"/>
      <c r="I51" s="195"/>
      <c r="J51" s="196" t="s">
        <v>896</v>
      </c>
      <c r="K51" s="197" t="s">
        <v>897</v>
      </c>
      <c r="L51" s="173"/>
      <c r="M51" s="173"/>
    </row>
    <row r="52" customFormat="false" ht="19.5" hidden="false" customHeight="true" outlineLevel="0" collapsed="false">
      <c r="J52" s="196"/>
      <c r="K52" s="197" t="s">
        <v>898</v>
      </c>
      <c r="L52" s="173"/>
      <c r="M52" s="173"/>
    </row>
    <row r="53" customFormat="false" ht="39.75" hidden="false" customHeight="true" outlineLevel="0" collapsed="false">
      <c r="A53" s="198" t="s">
        <v>899</v>
      </c>
      <c r="B53" s="198" t="s">
        <v>900</v>
      </c>
      <c r="C53" s="198" t="s">
        <v>901</v>
      </c>
      <c r="D53" s="198" t="s">
        <v>902</v>
      </c>
      <c r="E53" s="198" t="s">
        <v>903</v>
      </c>
      <c r="F53" s="198" t="s">
        <v>904</v>
      </c>
      <c r="G53" s="198" t="s">
        <v>905</v>
      </c>
      <c r="H53" s="198" t="s">
        <v>906</v>
      </c>
      <c r="I53" s="198" t="s">
        <v>907</v>
      </c>
      <c r="J53" s="198" t="s">
        <v>908</v>
      </c>
      <c r="K53" s="198" t="s">
        <v>909</v>
      </c>
      <c r="L53" s="198" t="s">
        <v>910</v>
      </c>
      <c r="M53" s="198" t="s">
        <v>911</v>
      </c>
    </row>
    <row r="54" customFormat="false" ht="19.5" hidden="false" customHeight="true" outlineLevel="0" collapsed="false">
      <c r="A54" s="199" t="n">
        <v>46053</v>
      </c>
      <c r="B54" s="200" t="s">
        <v>120</v>
      </c>
      <c r="C54" s="201" t="s">
        <v>912</v>
      </c>
      <c r="D54" s="202" t="s">
        <v>915</v>
      </c>
      <c r="E54" s="203" t="n">
        <v>46041</v>
      </c>
      <c r="F54" s="204" t="s">
        <v>914</v>
      </c>
      <c r="G54" s="202" t="s">
        <v>913</v>
      </c>
      <c r="H54" s="202" t="s">
        <v>913</v>
      </c>
      <c r="I54" s="202" t="s">
        <v>913</v>
      </c>
      <c r="J54" s="202" t="s">
        <v>362</v>
      </c>
      <c r="K54" s="202" t="s">
        <v>913</v>
      </c>
      <c r="L54" s="202" t="s">
        <v>913</v>
      </c>
      <c r="M54" s="202"/>
    </row>
    <row r="55" customFormat="false" ht="19.5" hidden="false" customHeight="true" outlineLevel="0" collapsed="false">
      <c r="A55" s="199" t="n">
        <v>46053</v>
      </c>
      <c r="B55" s="200" t="s">
        <v>60</v>
      </c>
      <c r="C55" s="202" t="s">
        <v>915</v>
      </c>
      <c r="D55" s="202" t="s">
        <v>915</v>
      </c>
      <c r="E55" s="203" t="n">
        <v>46401</v>
      </c>
      <c r="F55" s="204" t="s">
        <v>914</v>
      </c>
      <c r="G55" s="202" t="s">
        <v>913</v>
      </c>
      <c r="H55" s="202" t="s">
        <v>913</v>
      </c>
      <c r="I55" s="202" t="s">
        <v>913</v>
      </c>
      <c r="J55" s="202" t="s">
        <v>362</v>
      </c>
      <c r="K55" s="202" t="s">
        <v>913</v>
      </c>
      <c r="L55" s="202" t="s">
        <v>913</v>
      </c>
      <c r="M55" s="202"/>
    </row>
    <row r="56" customFormat="false" ht="19.5" hidden="false" customHeight="true" outlineLevel="0" collapsed="false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</row>
    <row r="57" customFormat="false" ht="19.5" hidden="false" customHeight="true" outlineLevel="0" collapsed="false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</row>
    <row r="58" customFormat="false" ht="19.5" hidden="false" customHeight="true" outlineLevel="0" collapsed="false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</row>
    <row r="59" customFormat="false" ht="19.5" hidden="false" customHeight="true" outlineLevel="0" collapsed="false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</row>
    <row r="60" customFormat="false" ht="19.5" hidden="false" customHeight="true" outlineLevel="0" collapsed="false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</row>
    <row r="61" customFormat="false" ht="19.5" hidden="false" customHeight="true" outlineLevel="0" collapsed="false">
      <c r="A61" s="173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</row>
    <row r="62" customFormat="false" ht="19.5" hidden="false" customHeight="true" outlineLevel="0" collapsed="false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</row>
    <row r="63" customFormat="false" ht="19.5" hidden="false" customHeight="true" outlineLevel="0" collapsed="false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64" customFormat="false" ht="19.5" hidden="false" customHeight="true" outlineLevel="0" collapsed="false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</row>
    <row r="65" customFormat="false" ht="19.5" hidden="false" customHeight="true" outlineLevel="0" collapsed="false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</row>
    <row r="66" customFormat="false" ht="19.5" hidden="false" customHeight="true" outlineLevel="0" collapsed="false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</row>
    <row r="67" customFormat="false" ht="19.5" hidden="false" customHeight="true" outlineLevel="0" collapsed="false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</row>
    <row r="68" customFormat="false" ht="19.5" hidden="false" customHeight="true" outlineLevel="0" collapsed="false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</row>
    <row r="69" customFormat="false" ht="19.5" hidden="false" customHeight="true" outlineLevel="0" collapsed="false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</row>
    <row r="70" customFormat="false" ht="19.5" hidden="false" customHeight="true" outlineLevel="0" collapsed="false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</row>
    <row r="71" customFormat="false" ht="19.5" hidden="false" customHeight="true" outlineLevel="0" collapsed="false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2" customFormat="false" ht="19.5" hidden="false" customHeight="true" outlineLevel="0" collapsed="false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3" customFormat="false" ht="19.5" hidden="false" customHeight="true" outlineLevel="0" collapsed="false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</row>
    <row r="74" customFormat="false" ht="12.75" hidden="false" customHeight="true" outlineLevel="0" collapsed="false">
      <c r="A74" s="205" t="s">
        <v>917</v>
      </c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</row>
    <row r="76" customFormat="false" ht="19.5" hidden="false" customHeight="true" outlineLevel="0" collapsed="false">
      <c r="A76" s="195" t="s">
        <v>921</v>
      </c>
      <c r="B76" s="195"/>
      <c r="C76" s="195"/>
      <c r="D76" s="195"/>
      <c r="E76" s="195"/>
      <c r="F76" s="195"/>
      <c r="G76" s="195"/>
      <c r="H76" s="195"/>
      <c r="I76" s="195"/>
      <c r="J76" s="196" t="s">
        <v>896</v>
      </c>
      <c r="K76" s="197" t="s">
        <v>897</v>
      </c>
      <c r="L76" s="173"/>
      <c r="M76" s="173"/>
    </row>
    <row r="77" customFormat="false" ht="19.5" hidden="false" customHeight="true" outlineLevel="0" collapsed="false">
      <c r="J77" s="196"/>
      <c r="K77" s="197" t="s">
        <v>898</v>
      </c>
      <c r="L77" s="173"/>
      <c r="M77" s="173"/>
    </row>
    <row r="78" customFormat="false" ht="39.75" hidden="false" customHeight="true" outlineLevel="0" collapsed="false">
      <c r="A78" s="198" t="s">
        <v>899</v>
      </c>
      <c r="B78" s="198" t="s">
        <v>900</v>
      </c>
      <c r="C78" s="198" t="s">
        <v>901</v>
      </c>
      <c r="D78" s="198" t="s">
        <v>902</v>
      </c>
      <c r="E78" s="198" t="s">
        <v>903</v>
      </c>
      <c r="F78" s="198" t="s">
        <v>904</v>
      </c>
      <c r="G78" s="198" t="s">
        <v>905</v>
      </c>
      <c r="H78" s="198" t="s">
        <v>906</v>
      </c>
      <c r="I78" s="198" t="s">
        <v>907</v>
      </c>
      <c r="J78" s="198" t="s">
        <v>908</v>
      </c>
      <c r="K78" s="198" t="s">
        <v>909</v>
      </c>
      <c r="L78" s="198" t="s">
        <v>910</v>
      </c>
      <c r="M78" s="198" t="s">
        <v>911</v>
      </c>
    </row>
    <row r="79" customFormat="false" ht="19.5" hidden="false" customHeight="true" outlineLevel="0" collapsed="false">
      <c r="A79" s="199" t="n">
        <v>46056</v>
      </c>
      <c r="B79" s="200" t="s">
        <v>84</v>
      </c>
      <c r="C79" s="202" t="s">
        <v>915</v>
      </c>
      <c r="D79" s="202" t="s">
        <v>913</v>
      </c>
      <c r="E79" s="203" t="n">
        <v>46214</v>
      </c>
      <c r="F79" s="204" t="s">
        <v>914</v>
      </c>
      <c r="G79" s="202" t="s">
        <v>913</v>
      </c>
      <c r="H79" s="202" t="s">
        <v>913</v>
      </c>
      <c r="I79" s="202" t="s">
        <v>913</v>
      </c>
      <c r="J79" s="202" t="s">
        <v>362</v>
      </c>
      <c r="K79" s="202" t="s">
        <v>913</v>
      </c>
      <c r="L79" s="202" t="s">
        <v>913</v>
      </c>
      <c r="M79" s="202"/>
    </row>
    <row r="80" customFormat="false" ht="19.5" hidden="false" customHeight="true" outlineLevel="0" collapsed="false">
      <c r="A80" s="199" t="n">
        <v>46056</v>
      </c>
      <c r="B80" s="200" t="s">
        <v>116</v>
      </c>
      <c r="C80" s="202" t="s">
        <v>915</v>
      </c>
      <c r="D80" s="202" t="s">
        <v>915</v>
      </c>
      <c r="E80" s="203" t="n">
        <v>46141</v>
      </c>
      <c r="F80" s="204" t="s">
        <v>914</v>
      </c>
      <c r="G80" s="202" t="s">
        <v>913</v>
      </c>
      <c r="H80" s="202" t="s">
        <v>913</v>
      </c>
      <c r="I80" s="202" t="s">
        <v>913</v>
      </c>
      <c r="J80" s="202" t="s">
        <v>362</v>
      </c>
      <c r="K80" s="202" t="s">
        <v>913</v>
      </c>
      <c r="L80" s="202" t="s">
        <v>913</v>
      </c>
      <c r="M80" s="202"/>
    </row>
    <row r="81" customFormat="false" ht="19.5" hidden="false" customHeight="true" outlineLevel="0" collapsed="false">
      <c r="A81" s="199" t="n">
        <v>46056</v>
      </c>
      <c r="B81" s="200" t="s">
        <v>116</v>
      </c>
      <c r="C81" s="202" t="s">
        <v>915</v>
      </c>
      <c r="D81" s="202" t="s">
        <v>915</v>
      </c>
      <c r="E81" s="203" t="n">
        <v>46141</v>
      </c>
      <c r="F81" s="204" t="s">
        <v>914</v>
      </c>
      <c r="G81" s="202" t="s">
        <v>913</v>
      </c>
      <c r="H81" s="202" t="s">
        <v>913</v>
      </c>
      <c r="I81" s="202" t="s">
        <v>913</v>
      </c>
      <c r="J81" s="202" t="s">
        <v>362</v>
      </c>
      <c r="K81" s="202" t="s">
        <v>913</v>
      </c>
      <c r="L81" s="202" t="s">
        <v>913</v>
      </c>
      <c r="M81" s="202"/>
    </row>
    <row r="82" customFormat="false" ht="19.5" hidden="false" customHeight="true" outlineLevel="0" collapsed="false">
      <c r="A82" s="199" t="n">
        <v>46057</v>
      </c>
      <c r="B82" s="200" t="s">
        <v>130</v>
      </c>
      <c r="C82" s="202" t="s">
        <v>915</v>
      </c>
      <c r="D82" s="202" t="s">
        <v>913</v>
      </c>
      <c r="E82" s="203" t="n">
        <v>46386</v>
      </c>
      <c r="F82" s="204" t="s">
        <v>914</v>
      </c>
      <c r="G82" s="202" t="s">
        <v>913</v>
      </c>
      <c r="H82" s="202" t="s">
        <v>913</v>
      </c>
      <c r="I82" s="202" t="s">
        <v>913</v>
      </c>
      <c r="J82" s="202" t="s">
        <v>362</v>
      </c>
      <c r="K82" s="202" t="s">
        <v>913</v>
      </c>
      <c r="L82" s="202" t="s">
        <v>913</v>
      </c>
      <c r="M82" s="202"/>
    </row>
    <row r="83" customFormat="false" ht="19.5" hidden="false" customHeight="true" outlineLevel="0" collapsed="false">
      <c r="A83" s="199" t="n">
        <v>46057</v>
      </c>
      <c r="B83" s="200" t="s">
        <v>89</v>
      </c>
      <c r="C83" s="201" t="s">
        <v>922</v>
      </c>
      <c r="D83" s="202" t="s">
        <v>913</v>
      </c>
      <c r="E83" s="203" t="n">
        <v>46150</v>
      </c>
      <c r="F83" s="204" t="s">
        <v>914</v>
      </c>
      <c r="G83" s="202" t="s">
        <v>913</v>
      </c>
      <c r="H83" s="202" t="s">
        <v>913</v>
      </c>
      <c r="I83" s="202" t="s">
        <v>913</v>
      </c>
      <c r="J83" s="202" t="s">
        <v>362</v>
      </c>
      <c r="K83" s="202" t="s">
        <v>913</v>
      </c>
      <c r="L83" s="202" t="s">
        <v>913</v>
      </c>
      <c r="M83" s="202"/>
    </row>
    <row r="84" customFormat="false" ht="19.5" hidden="false" customHeight="true" outlineLevel="0" collapsed="false">
      <c r="A84" s="199" t="n">
        <v>46059</v>
      </c>
      <c r="B84" s="200" t="s">
        <v>128</v>
      </c>
      <c r="C84" s="201" t="s">
        <v>919</v>
      </c>
      <c r="D84" s="202" t="s">
        <v>913</v>
      </c>
      <c r="E84" s="203" t="n">
        <v>45979</v>
      </c>
      <c r="F84" s="204" t="s">
        <v>914</v>
      </c>
      <c r="G84" s="202" t="s">
        <v>913</v>
      </c>
      <c r="H84" s="202" t="s">
        <v>913</v>
      </c>
      <c r="I84" s="202" t="s">
        <v>913</v>
      </c>
      <c r="J84" s="202" t="s">
        <v>362</v>
      </c>
      <c r="K84" s="202" t="s">
        <v>913</v>
      </c>
      <c r="L84" s="202" t="s">
        <v>913</v>
      </c>
      <c r="M84" s="202"/>
    </row>
    <row r="85" customFormat="false" ht="19.5" hidden="false" customHeight="true" outlineLevel="0" collapsed="false">
      <c r="A85" s="199" t="n">
        <v>46059</v>
      </c>
      <c r="B85" s="200" t="s">
        <v>115</v>
      </c>
      <c r="C85" s="202" t="s">
        <v>915</v>
      </c>
      <c r="D85" s="202" t="s">
        <v>913</v>
      </c>
      <c r="E85" s="203" t="n">
        <v>46181</v>
      </c>
      <c r="F85" s="204" t="s">
        <v>914</v>
      </c>
      <c r="G85" s="202" t="s">
        <v>913</v>
      </c>
      <c r="H85" s="202" t="s">
        <v>913</v>
      </c>
      <c r="I85" s="202" t="s">
        <v>913</v>
      </c>
      <c r="J85" s="202" t="s">
        <v>362</v>
      </c>
      <c r="K85" s="202" t="s">
        <v>913</v>
      </c>
      <c r="L85" s="202" t="s">
        <v>913</v>
      </c>
      <c r="M85" s="202"/>
    </row>
    <row r="86" customFormat="false" ht="19.5" hidden="false" customHeight="true" outlineLevel="0" collapsed="false">
      <c r="A86" s="199" t="n">
        <v>46059</v>
      </c>
      <c r="B86" s="200" t="s">
        <v>82</v>
      </c>
      <c r="C86" s="201" t="s">
        <v>923</v>
      </c>
      <c r="D86" s="202" t="s">
        <v>913</v>
      </c>
      <c r="E86" s="202" t="s">
        <v>915</v>
      </c>
      <c r="F86" s="204" t="s">
        <v>914</v>
      </c>
      <c r="G86" s="202" t="s">
        <v>913</v>
      </c>
      <c r="H86" s="202" t="s">
        <v>913</v>
      </c>
      <c r="I86" s="202" t="s">
        <v>913</v>
      </c>
      <c r="J86" s="202" t="s">
        <v>362</v>
      </c>
      <c r="K86" s="202" t="s">
        <v>913</v>
      </c>
      <c r="L86" s="202" t="s">
        <v>913</v>
      </c>
      <c r="M86" s="202"/>
    </row>
    <row r="87" customFormat="false" ht="19.5" hidden="false" customHeight="true" outlineLevel="0" collapsed="false">
      <c r="A87" s="199" t="n">
        <v>46059</v>
      </c>
      <c r="B87" s="200" t="s">
        <v>71</v>
      </c>
      <c r="C87" s="201" t="s">
        <v>912</v>
      </c>
      <c r="D87" s="202" t="s">
        <v>913</v>
      </c>
      <c r="E87" s="203" t="n">
        <v>46515</v>
      </c>
      <c r="F87" s="204" t="s">
        <v>914</v>
      </c>
      <c r="G87" s="202" t="s">
        <v>913</v>
      </c>
      <c r="H87" s="202" t="s">
        <v>913</v>
      </c>
      <c r="I87" s="202" t="s">
        <v>913</v>
      </c>
      <c r="J87" s="202" t="s">
        <v>362</v>
      </c>
      <c r="K87" s="202" t="s">
        <v>913</v>
      </c>
      <c r="L87" s="202" t="s">
        <v>913</v>
      </c>
      <c r="M87" s="202"/>
    </row>
    <row r="88" customFormat="false" ht="19.5" hidden="false" customHeight="true" outlineLevel="0" collapsed="false">
      <c r="A88" s="199" t="n">
        <v>46059</v>
      </c>
      <c r="B88" s="200" t="s">
        <v>104</v>
      </c>
      <c r="C88" s="201" t="s">
        <v>912</v>
      </c>
      <c r="D88" s="202" t="s">
        <v>913</v>
      </c>
      <c r="E88" s="203" t="n">
        <v>46603</v>
      </c>
      <c r="F88" s="204" t="s">
        <v>914</v>
      </c>
      <c r="G88" s="202" t="s">
        <v>913</v>
      </c>
      <c r="H88" s="202" t="s">
        <v>913</v>
      </c>
      <c r="I88" s="202" t="s">
        <v>913</v>
      </c>
      <c r="J88" s="202" t="s">
        <v>362</v>
      </c>
      <c r="K88" s="202" t="s">
        <v>913</v>
      </c>
      <c r="L88" s="202" t="s">
        <v>913</v>
      </c>
      <c r="M88" s="202"/>
    </row>
    <row r="89" customFormat="false" ht="19.5" hidden="false" customHeight="true" outlineLevel="0" collapsed="false">
      <c r="A89" s="199" t="n">
        <v>46059</v>
      </c>
      <c r="B89" s="200" t="s">
        <v>73</v>
      </c>
      <c r="C89" s="202" t="s">
        <v>915</v>
      </c>
      <c r="D89" s="202" t="s">
        <v>913</v>
      </c>
      <c r="E89" s="203" t="n">
        <v>46724</v>
      </c>
      <c r="F89" s="204" t="s">
        <v>914</v>
      </c>
      <c r="G89" s="202" t="s">
        <v>913</v>
      </c>
      <c r="H89" s="202" t="s">
        <v>913</v>
      </c>
      <c r="I89" s="202" t="s">
        <v>913</v>
      </c>
      <c r="J89" s="202" t="s">
        <v>362</v>
      </c>
      <c r="K89" s="202" t="s">
        <v>913</v>
      </c>
      <c r="L89" s="202" t="s">
        <v>913</v>
      </c>
      <c r="M89" s="202"/>
    </row>
    <row r="90" customFormat="false" ht="19.5" hidden="false" customHeight="true" outlineLevel="0" collapsed="false">
      <c r="A90" s="199" t="n">
        <v>46059</v>
      </c>
      <c r="B90" s="200" t="s">
        <v>99</v>
      </c>
      <c r="C90" s="202" t="s">
        <v>915</v>
      </c>
      <c r="D90" s="202" t="s">
        <v>915</v>
      </c>
      <c r="E90" s="203" t="n">
        <v>46032</v>
      </c>
      <c r="F90" s="204" t="s">
        <v>914</v>
      </c>
      <c r="G90" s="202" t="s">
        <v>913</v>
      </c>
      <c r="H90" s="202" t="s">
        <v>913</v>
      </c>
      <c r="I90" s="202" t="s">
        <v>913</v>
      </c>
      <c r="J90" s="202" t="s">
        <v>362</v>
      </c>
      <c r="K90" s="202" t="s">
        <v>913</v>
      </c>
      <c r="L90" s="202" t="s">
        <v>913</v>
      </c>
      <c r="M90" s="202"/>
    </row>
    <row r="91" customFormat="false" ht="19.5" hidden="false" customHeight="true" outlineLevel="0" collapsed="false">
      <c r="A91" s="199" t="n">
        <v>46059</v>
      </c>
      <c r="B91" s="200" t="s">
        <v>120</v>
      </c>
      <c r="C91" s="201" t="s">
        <v>912</v>
      </c>
      <c r="D91" s="202" t="s">
        <v>915</v>
      </c>
      <c r="E91" s="203" t="n">
        <v>46041</v>
      </c>
      <c r="F91" s="204" t="s">
        <v>914</v>
      </c>
      <c r="G91" s="202" t="s">
        <v>913</v>
      </c>
      <c r="H91" s="202" t="s">
        <v>913</v>
      </c>
      <c r="I91" s="202" t="s">
        <v>913</v>
      </c>
      <c r="J91" s="202" t="s">
        <v>362</v>
      </c>
      <c r="K91" s="202" t="s">
        <v>913</v>
      </c>
      <c r="L91" s="202" t="s">
        <v>913</v>
      </c>
      <c r="M91" s="202"/>
    </row>
    <row r="92" customFormat="false" ht="19.5" hidden="false" customHeight="true" outlineLevel="0" collapsed="false">
      <c r="A92" s="199" t="n">
        <v>46062</v>
      </c>
      <c r="B92" s="200" t="s">
        <v>114</v>
      </c>
      <c r="C92" s="202" t="s">
        <v>915</v>
      </c>
      <c r="D92" s="202" t="s">
        <v>913</v>
      </c>
      <c r="E92" s="203" t="n">
        <v>47109</v>
      </c>
      <c r="F92" s="204" t="s">
        <v>914</v>
      </c>
      <c r="G92" s="202" t="s">
        <v>913</v>
      </c>
      <c r="H92" s="202" t="s">
        <v>913</v>
      </c>
      <c r="I92" s="202" t="s">
        <v>913</v>
      </c>
      <c r="J92" s="202" t="s">
        <v>362</v>
      </c>
      <c r="K92" s="202" t="s">
        <v>913</v>
      </c>
      <c r="L92" s="202" t="s">
        <v>913</v>
      </c>
      <c r="M92" s="202"/>
    </row>
    <row r="93" customFormat="false" ht="19.5" hidden="false" customHeight="true" outlineLevel="0" collapsed="false">
      <c r="A93" s="199" t="n">
        <v>46062</v>
      </c>
      <c r="B93" s="200" t="s">
        <v>63</v>
      </c>
      <c r="C93" s="202" t="s">
        <v>915</v>
      </c>
      <c r="D93" s="202" t="s">
        <v>913</v>
      </c>
      <c r="E93" s="203" t="n">
        <v>46113</v>
      </c>
      <c r="F93" s="204" t="s">
        <v>914</v>
      </c>
      <c r="G93" s="202" t="s">
        <v>913</v>
      </c>
      <c r="H93" s="202" t="s">
        <v>913</v>
      </c>
      <c r="I93" s="202" t="s">
        <v>913</v>
      </c>
      <c r="J93" s="202" t="s">
        <v>362</v>
      </c>
      <c r="K93" s="202" t="s">
        <v>913</v>
      </c>
      <c r="L93" s="202" t="s">
        <v>913</v>
      </c>
      <c r="M93" s="202"/>
    </row>
    <row r="94" customFormat="false" ht="19.5" hidden="false" customHeight="true" outlineLevel="0" collapsed="false">
      <c r="A94" s="199" t="n">
        <v>46062</v>
      </c>
      <c r="B94" s="200" t="s">
        <v>87</v>
      </c>
      <c r="C94" s="202" t="s">
        <v>915</v>
      </c>
      <c r="D94" s="202" t="s">
        <v>913</v>
      </c>
      <c r="E94" s="203" t="n">
        <v>46569</v>
      </c>
      <c r="F94" s="204" t="s">
        <v>914</v>
      </c>
      <c r="G94" s="202" t="s">
        <v>913</v>
      </c>
      <c r="H94" s="202" t="s">
        <v>913</v>
      </c>
      <c r="I94" s="202" t="s">
        <v>913</v>
      </c>
      <c r="J94" s="202" t="s">
        <v>362</v>
      </c>
      <c r="K94" s="202" t="s">
        <v>913</v>
      </c>
      <c r="L94" s="202" t="s">
        <v>913</v>
      </c>
      <c r="M94" s="202"/>
    </row>
    <row r="95" customFormat="false" ht="19.5" hidden="false" customHeight="true" outlineLevel="0" collapsed="false">
      <c r="A95" s="199" t="n">
        <v>46062</v>
      </c>
      <c r="B95" s="200" t="s">
        <v>86</v>
      </c>
      <c r="C95" s="202" t="s">
        <v>915</v>
      </c>
      <c r="D95" s="202" t="s">
        <v>913</v>
      </c>
      <c r="E95" s="203" t="n">
        <v>46199</v>
      </c>
      <c r="F95" s="204" t="s">
        <v>914</v>
      </c>
      <c r="G95" s="202" t="s">
        <v>913</v>
      </c>
      <c r="H95" s="202" t="s">
        <v>913</v>
      </c>
      <c r="I95" s="202" t="s">
        <v>913</v>
      </c>
      <c r="J95" s="202" t="s">
        <v>362</v>
      </c>
      <c r="K95" s="202" t="s">
        <v>913</v>
      </c>
      <c r="L95" s="202" t="s">
        <v>913</v>
      </c>
      <c r="M95" s="202"/>
    </row>
    <row r="96" customFormat="false" ht="19.5" hidden="false" customHeight="true" outlineLevel="0" collapsed="false">
      <c r="A96" s="199" t="n">
        <v>46062</v>
      </c>
      <c r="B96" s="200" t="s">
        <v>115</v>
      </c>
      <c r="C96" s="202" t="s">
        <v>915</v>
      </c>
      <c r="D96" s="202" t="s">
        <v>913</v>
      </c>
      <c r="E96" s="203" t="n">
        <v>46181</v>
      </c>
      <c r="F96" s="204" t="s">
        <v>914</v>
      </c>
      <c r="G96" s="202" t="s">
        <v>913</v>
      </c>
      <c r="H96" s="202" t="s">
        <v>913</v>
      </c>
      <c r="I96" s="202" t="s">
        <v>913</v>
      </c>
      <c r="J96" s="202" t="s">
        <v>362</v>
      </c>
      <c r="K96" s="202" t="s">
        <v>913</v>
      </c>
      <c r="L96" s="202" t="s">
        <v>913</v>
      </c>
      <c r="M96" s="202"/>
    </row>
    <row r="97" customFormat="false" ht="19.5" hidden="false" customHeight="true" outlineLevel="0" collapsed="false">
      <c r="A97" s="199" t="n">
        <v>46062</v>
      </c>
      <c r="B97" s="200" t="s">
        <v>122</v>
      </c>
      <c r="C97" s="202" t="s">
        <v>915</v>
      </c>
      <c r="D97" s="202" t="s">
        <v>913</v>
      </c>
      <c r="E97" s="203" t="n">
        <v>46093</v>
      </c>
      <c r="F97" s="204" t="s">
        <v>914</v>
      </c>
      <c r="G97" s="202" t="s">
        <v>913</v>
      </c>
      <c r="H97" s="202" t="s">
        <v>913</v>
      </c>
      <c r="I97" s="202" t="s">
        <v>913</v>
      </c>
      <c r="J97" s="202" t="s">
        <v>362</v>
      </c>
      <c r="K97" s="202" t="s">
        <v>913</v>
      </c>
      <c r="L97" s="202" t="s">
        <v>913</v>
      </c>
      <c r="M97" s="202"/>
    </row>
    <row r="98" customFormat="false" ht="19.5" hidden="false" customHeight="true" outlineLevel="0" collapsed="false">
      <c r="A98" s="199" t="n">
        <v>46062</v>
      </c>
      <c r="B98" s="200" t="s">
        <v>97</v>
      </c>
      <c r="C98" s="202" t="s">
        <v>915</v>
      </c>
      <c r="D98" s="202" t="s">
        <v>913</v>
      </c>
      <c r="E98" s="203" t="n">
        <v>46322</v>
      </c>
      <c r="F98" s="204" t="s">
        <v>914</v>
      </c>
      <c r="G98" s="202" t="s">
        <v>913</v>
      </c>
      <c r="H98" s="202" t="s">
        <v>913</v>
      </c>
      <c r="I98" s="202" t="s">
        <v>913</v>
      </c>
      <c r="J98" s="202" t="s">
        <v>362</v>
      </c>
      <c r="K98" s="202" t="s">
        <v>913</v>
      </c>
      <c r="L98" s="202" t="s">
        <v>913</v>
      </c>
      <c r="M98" s="202"/>
    </row>
    <row r="99" customFormat="false" ht="12.75" hidden="false" customHeight="true" outlineLevel="0" collapsed="false">
      <c r="A99" s="205" t="s">
        <v>917</v>
      </c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</row>
    <row r="101" customFormat="false" ht="19.5" hidden="false" customHeight="true" outlineLevel="0" collapsed="false">
      <c r="A101" s="195" t="s">
        <v>924</v>
      </c>
      <c r="B101" s="195"/>
      <c r="C101" s="195"/>
      <c r="D101" s="195"/>
      <c r="E101" s="195"/>
      <c r="F101" s="195"/>
      <c r="G101" s="195"/>
      <c r="H101" s="195"/>
      <c r="I101" s="195"/>
      <c r="J101" s="196" t="s">
        <v>896</v>
      </c>
      <c r="K101" s="197" t="s">
        <v>897</v>
      </c>
      <c r="L101" s="173"/>
      <c r="M101" s="173"/>
    </row>
    <row r="102" customFormat="false" ht="19.5" hidden="false" customHeight="true" outlineLevel="0" collapsed="false">
      <c r="J102" s="196"/>
      <c r="K102" s="197" t="s">
        <v>898</v>
      </c>
      <c r="L102" s="173"/>
      <c r="M102" s="173"/>
    </row>
    <row r="103" customFormat="false" ht="39.75" hidden="false" customHeight="true" outlineLevel="0" collapsed="false">
      <c r="A103" s="198" t="s">
        <v>899</v>
      </c>
      <c r="B103" s="198" t="s">
        <v>900</v>
      </c>
      <c r="C103" s="198" t="s">
        <v>901</v>
      </c>
      <c r="D103" s="198" t="s">
        <v>902</v>
      </c>
      <c r="E103" s="198" t="s">
        <v>903</v>
      </c>
      <c r="F103" s="198" t="s">
        <v>904</v>
      </c>
      <c r="G103" s="198" t="s">
        <v>905</v>
      </c>
      <c r="H103" s="198" t="s">
        <v>906</v>
      </c>
      <c r="I103" s="198" t="s">
        <v>907</v>
      </c>
      <c r="J103" s="198" t="s">
        <v>908</v>
      </c>
      <c r="K103" s="198" t="s">
        <v>909</v>
      </c>
      <c r="L103" s="198" t="s">
        <v>910</v>
      </c>
      <c r="M103" s="198" t="s">
        <v>911</v>
      </c>
    </row>
    <row r="104" customFormat="false" ht="19.5" hidden="false" customHeight="true" outlineLevel="0" collapsed="false">
      <c r="A104" s="199" t="n">
        <v>46062</v>
      </c>
      <c r="B104" s="200" t="s">
        <v>115</v>
      </c>
      <c r="C104" s="202" t="s">
        <v>915</v>
      </c>
      <c r="D104" s="202" t="s">
        <v>913</v>
      </c>
      <c r="E104" s="203" t="n">
        <v>46204</v>
      </c>
      <c r="F104" s="204" t="s">
        <v>914</v>
      </c>
      <c r="G104" s="202" t="s">
        <v>913</v>
      </c>
      <c r="H104" s="202" t="s">
        <v>913</v>
      </c>
      <c r="I104" s="202" t="s">
        <v>913</v>
      </c>
      <c r="J104" s="202" t="s">
        <v>362</v>
      </c>
      <c r="K104" s="202" t="s">
        <v>913</v>
      </c>
      <c r="L104" s="202" t="s">
        <v>913</v>
      </c>
      <c r="M104" s="202"/>
    </row>
    <row r="105" customFormat="false" ht="19.5" hidden="false" customHeight="true" outlineLevel="0" collapsed="false">
      <c r="A105" s="199" t="n">
        <v>46062</v>
      </c>
      <c r="B105" s="200" t="s">
        <v>104</v>
      </c>
      <c r="C105" s="201" t="s">
        <v>912</v>
      </c>
      <c r="D105" s="202" t="s">
        <v>913</v>
      </c>
      <c r="E105" s="203" t="n">
        <v>46731</v>
      </c>
      <c r="F105" s="204" t="s">
        <v>914</v>
      </c>
      <c r="G105" s="202" t="s">
        <v>913</v>
      </c>
      <c r="H105" s="202" t="s">
        <v>913</v>
      </c>
      <c r="I105" s="202" t="s">
        <v>913</v>
      </c>
      <c r="J105" s="202" t="s">
        <v>362</v>
      </c>
      <c r="K105" s="202" t="s">
        <v>913</v>
      </c>
      <c r="L105" s="202" t="s">
        <v>913</v>
      </c>
      <c r="M105" s="202"/>
    </row>
    <row r="106" customFormat="false" ht="19.5" hidden="false" customHeight="true" outlineLevel="0" collapsed="false">
      <c r="A106" s="199" t="n">
        <v>46062</v>
      </c>
      <c r="B106" s="200" t="s">
        <v>84</v>
      </c>
      <c r="C106" s="202" t="s">
        <v>915</v>
      </c>
      <c r="D106" s="202" t="s">
        <v>913</v>
      </c>
      <c r="E106" s="203" t="n">
        <v>46236</v>
      </c>
      <c r="F106" s="204" t="s">
        <v>914</v>
      </c>
      <c r="G106" s="202" t="s">
        <v>913</v>
      </c>
      <c r="H106" s="202" t="s">
        <v>913</v>
      </c>
      <c r="I106" s="202" t="s">
        <v>913</v>
      </c>
      <c r="J106" s="202" t="s">
        <v>362</v>
      </c>
      <c r="K106" s="202" t="s">
        <v>913</v>
      </c>
      <c r="L106" s="202" t="s">
        <v>913</v>
      </c>
      <c r="M106" s="202"/>
    </row>
    <row r="107" customFormat="false" ht="19.5" hidden="false" customHeight="true" outlineLevel="0" collapsed="false">
      <c r="A107" s="199" t="n">
        <v>46062</v>
      </c>
      <c r="B107" s="200" t="s">
        <v>62</v>
      </c>
      <c r="C107" s="202" t="s">
        <v>915</v>
      </c>
      <c r="D107" s="202" t="s">
        <v>913</v>
      </c>
      <c r="E107" s="203" t="n">
        <v>46742</v>
      </c>
      <c r="F107" s="204" t="s">
        <v>914</v>
      </c>
      <c r="G107" s="202" t="s">
        <v>913</v>
      </c>
      <c r="H107" s="202" t="s">
        <v>913</v>
      </c>
      <c r="I107" s="202" t="s">
        <v>913</v>
      </c>
      <c r="J107" s="202" t="s">
        <v>362</v>
      </c>
      <c r="K107" s="202" t="s">
        <v>913</v>
      </c>
      <c r="L107" s="202" t="s">
        <v>913</v>
      </c>
      <c r="M107" s="202"/>
    </row>
    <row r="108" customFormat="false" ht="19.5" hidden="false" customHeight="true" outlineLevel="0" collapsed="false">
      <c r="A108" s="199" t="n">
        <v>46063</v>
      </c>
      <c r="B108" s="200" t="s">
        <v>118</v>
      </c>
      <c r="C108" s="202" t="s">
        <v>915</v>
      </c>
      <c r="D108" s="202" t="s">
        <v>913</v>
      </c>
      <c r="E108" s="203" t="n">
        <v>46363</v>
      </c>
      <c r="F108" s="204" t="s">
        <v>914</v>
      </c>
      <c r="G108" s="202" t="s">
        <v>913</v>
      </c>
      <c r="H108" s="202" t="s">
        <v>913</v>
      </c>
      <c r="I108" s="202" t="s">
        <v>913</v>
      </c>
      <c r="J108" s="202" t="s">
        <v>362</v>
      </c>
      <c r="K108" s="202" t="s">
        <v>913</v>
      </c>
      <c r="L108" s="202" t="s">
        <v>913</v>
      </c>
      <c r="M108" s="202"/>
    </row>
    <row r="109" customFormat="false" ht="19.5" hidden="false" customHeight="true" outlineLevel="0" collapsed="false">
      <c r="A109" s="199" t="n">
        <v>46063</v>
      </c>
      <c r="B109" s="200" t="s">
        <v>107</v>
      </c>
      <c r="C109" s="202" t="s">
        <v>915</v>
      </c>
      <c r="D109" s="202" t="s">
        <v>913</v>
      </c>
      <c r="E109" s="203" t="n">
        <v>46170</v>
      </c>
      <c r="F109" s="204" t="s">
        <v>914</v>
      </c>
      <c r="G109" s="202" t="s">
        <v>913</v>
      </c>
      <c r="H109" s="202" t="s">
        <v>913</v>
      </c>
      <c r="I109" s="202" t="s">
        <v>913</v>
      </c>
      <c r="J109" s="202" t="s">
        <v>362</v>
      </c>
      <c r="K109" s="202" t="s">
        <v>913</v>
      </c>
      <c r="L109" s="202" t="s">
        <v>913</v>
      </c>
      <c r="M109" s="202"/>
    </row>
    <row r="110" customFormat="false" ht="19.5" hidden="false" customHeight="true" outlineLevel="0" collapsed="false">
      <c r="A110" s="199" t="n">
        <v>46064</v>
      </c>
      <c r="B110" s="200" t="s">
        <v>134</v>
      </c>
      <c r="C110" s="201" t="s">
        <v>919</v>
      </c>
      <c r="D110" s="202" t="s">
        <v>915</v>
      </c>
      <c r="E110" s="203" t="n">
        <v>46046</v>
      </c>
      <c r="F110" s="204" t="s">
        <v>914</v>
      </c>
      <c r="G110" s="202" t="s">
        <v>913</v>
      </c>
      <c r="H110" s="202" t="s">
        <v>913</v>
      </c>
      <c r="I110" s="202" t="s">
        <v>913</v>
      </c>
      <c r="J110" s="202" t="s">
        <v>362</v>
      </c>
      <c r="K110" s="202" t="s">
        <v>913</v>
      </c>
      <c r="L110" s="202" t="s">
        <v>913</v>
      </c>
      <c r="M110" s="202"/>
    </row>
    <row r="111" customFormat="false" ht="19.5" hidden="false" customHeight="true" outlineLevel="0" collapsed="false">
      <c r="A111" s="199" t="n">
        <v>46064</v>
      </c>
      <c r="B111" s="200" t="s">
        <v>116</v>
      </c>
      <c r="C111" s="202" t="s">
        <v>915</v>
      </c>
      <c r="D111" s="202" t="s">
        <v>915</v>
      </c>
      <c r="E111" s="203" t="n">
        <v>46146</v>
      </c>
      <c r="F111" s="204" t="s">
        <v>914</v>
      </c>
      <c r="G111" s="202" t="s">
        <v>913</v>
      </c>
      <c r="H111" s="202" t="s">
        <v>913</v>
      </c>
      <c r="I111" s="202" t="s">
        <v>913</v>
      </c>
      <c r="J111" s="202" t="s">
        <v>362</v>
      </c>
      <c r="K111" s="202" t="s">
        <v>913</v>
      </c>
      <c r="L111" s="202" t="s">
        <v>913</v>
      </c>
      <c r="M111" s="202"/>
    </row>
    <row r="112" customFormat="false" ht="19.5" hidden="false" customHeight="true" outlineLevel="0" collapsed="false">
      <c r="A112" s="199" t="n">
        <v>46064</v>
      </c>
      <c r="B112" s="200" t="s">
        <v>116</v>
      </c>
      <c r="C112" s="202" t="s">
        <v>915</v>
      </c>
      <c r="D112" s="202" t="s">
        <v>915</v>
      </c>
      <c r="E112" s="203" t="n">
        <v>46144</v>
      </c>
      <c r="F112" s="204" t="s">
        <v>914</v>
      </c>
      <c r="G112" s="202" t="s">
        <v>913</v>
      </c>
      <c r="H112" s="202" t="s">
        <v>913</v>
      </c>
      <c r="I112" s="202" t="s">
        <v>913</v>
      </c>
      <c r="J112" s="202" t="s">
        <v>362</v>
      </c>
      <c r="K112" s="202" t="s">
        <v>913</v>
      </c>
      <c r="L112" s="202" t="s">
        <v>913</v>
      </c>
      <c r="M112" s="202"/>
    </row>
    <row r="113" customFormat="false" ht="19.5" hidden="false" customHeight="true" outlineLevel="0" collapsed="false">
      <c r="A113" s="199" t="n">
        <v>46066</v>
      </c>
      <c r="B113" s="200" t="s">
        <v>130</v>
      </c>
      <c r="C113" s="202" t="s">
        <v>915</v>
      </c>
      <c r="D113" s="202" t="s">
        <v>913</v>
      </c>
      <c r="E113" s="203" t="n">
        <v>46394</v>
      </c>
      <c r="F113" s="204" t="s">
        <v>914</v>
      </c>
      <c r="G113" s="202" t="s">
        <v>913</v>
      </c>
      <c r="H113" s="202" t="s">
        <v>913</v>
      </c>
      <c r="I113" s="202" t="s">
        <v>913</v>
      </c>
      <c r="J113" s="202" t="s">
        <v>362</v>
      </c>
      <c r="K113" s="202" t="s">
        <v>913</v>
      </c>
      <c r="L113" s="202" t="s">
        <v>913</v>
      </c>
      <c r="M113" s="202"/>
    </row>
    <row r="114" customFormat="false" ht="19.5" hidden="false" customHeight="true" outlineLevel="0" collapsed="false">
      <c r="A114" s="199" t="n">
        <v>46066</v>
      </c>
      <c r="B114" s="200" t="s">
        <v>68</v>
      </c>
      <c r="C114" s="202" t="s">
        <v>915</v>
      </c>
      <c r="D114" s="202" t="s">
        <v>913</v>
      </c>
      <c r="E114" s="203" t="n">
        <v>46210</v>
      </c>
      <c r="F114" s="204" t="s">
        <v>914</v>
      </c>
      <c r="G114" s="202" t="s">
        <v>913</v>
      </c>
      <c r="H114" s="202" t="s">
        <v>913</v>
      </c>
      <c r="I114" s="202" t="s">
        <v>913</v>
      </c>
      <c r="J114" s="202" t="s">
        <v>362</v>
      </c>
      <c r="K114" s="202" t="s">
        <v>913</v>
      </c>
      <c r="L114" s="202" t="s">
        <v>913</v>
      </c>
      <c r="M114" s="202"/>
    </row>
    <row r="115" customFormat="false" ht="19.5" hidden="false" customHeight="true" outlineLevel="0" collapsed="false">
      <c r="A115" s="199" t="n">
        <v>46066</v>
      </c>
      <c r="B115" s="200" t="s">
        <v>69</v>
      </c>
      <c r="C115" s="202" t="s">
        <v>915</v>
      </c>
      <c r="D115" s="202" t="s">
        <v>913</v>
      </c>
      <c r="E115" s="203" t="n">
        <v>46329</v>
      </c>
      <c r="F115" s="204" t="s">
        <v>914</v>
      </c>
      <c r="G115" s="202" t="s">
        <v>913</v>
      </c>
      <c r="H115" s="202" t="s">
        <v>913</v>
      </c>
      <c r="I115" s="202" t="s">
        <v>913</v>
      </c>
      <c r="J115" s="202" t="s">
        <v>362</v>
      </c>
      <c r="K115" s="202" t="s">
        <v>913</v>
      </c>
      <c r="L115" s="202" t="s">
        <v>913</v>
      </c>
      <c r="M115" s="202"/>
    </row>
    <row r="116" customFormat="false" ht="19.5" hidden="false" customHeight="true" outlineLevel="0" collapsed="false">
      <c r="A116" s="199" t="n">
        <v>46066</v>
      </c>
      <c r="B116" s="200" t="s">
        <v>111</v>
      </c>
      <c r="C116" s="201" t="s">
        <v>916</v>
      </c>
      <c r="D116" s="202" t="s">
        <v>913</v>
      </c>
      <c r="E116" s="203" t="n">
        <v>46352</v>
      </c>
      <c r="F116" s="204" t="s">
        <v>914</v>
      </c>
      <c r="G116" s="202" t="s">
        <v>913</v>
      </c>
      <c r="H116" s="202" t="s">
        <v>913</v>
      </c>
      <c r="I116" s="202" t="s">
        <v>913</v>
      </c>
      <c r="J116" s="202" t="s">
        <v>362</v>
      </c>
      <c r="K116" s="202" t="s">
        <v>913</v>
      </c>
      <c r="L116" s="202" t="s">
        <v>913</v>
      </c>
      <c r="M116" s="202"/>
    </row>
    <row r="117" customFormat="false" ht="19.5" hidden="false" customHeight="true" outlineLevel="0" collapsed="false">
      <c r="A117" s="199" t="n">
        <v>46066</v>
      </c>
      <c r="B117" s="200" t="s">
        <v>115</v>
      </c>
      <c r="C117" s="202" t="s">
        <v>915</v>
      </c>
      <c r="D117" s="202" t="s">
        <v>913</v>
      </c>
      <c r="E117" s="203" t="n">
        <v>46181</v>
      </c>
      <c r="F117" s="204" t="s">
        <v>914</v>
      </c>
      <c r="G117" s="202" t="s">
        <v>913</v>
      </c>
      <c r="H117" s="202" t="s">
        <v>913</v>
      </c>
      <c r="I117" s="202" t="s">
        <v>913</v>
      </c>
      <c r="J117" s="202" t="s">
        <v>362</v>
      </c>
      <c r="K117" s="202" t="s">
        <v>913</v>
      </c>
      <c r="L117" s="202" t="s">
        <v>913</v>
      </c>
      <c r="M117" s="202"/>
    </row>
    <row r="118" customFormat="false" ht="19.5" hidden="false" customHeight="true" outlineLevel="0" collapsed="false">
      <c r="A118" s="199" t="n">
        <v>46066</v>
      </c>
      <c r="B118" s="200" t="s">
        <v>71</v>
      </c>
      <c r="C118" s="201" t="s">
        <v>912</v>
      </c>
      <c r="D118" s="202" t="s">
        <v>913</v>
      </c>
      <c r="E118" s="203" t="n">
        <v>46150</v>
      </c>
      <c r="F118" s="204" t="s">
        <v>914</v>
      </c>
      <c r="G118" s="202" t="s">
        <v>913</v>
      </c>
      <c r="H118" s="202" t="s">
        <v>913</v>
      </c>
      <c r="I118" s="202" t="s">
        <v>913</v>
      </c>
      <c r="J118" s="202" t="s">
        <v>362</v>
      </c>
      <c r="K118" s="202" t="s">
        <v>913</v>
      </c>
      <c r="L118" s="202" t="s">
        <v>913</v>
      </c>
      <c r="M118" s="202"/>
    </row>
    <row r="119" customFormat="false" ht="19.5" hidden="false" customHeight="true" outlineLevel="0" collapsed="false">
      <c r="A119" s="199" t="n">
        <v>46066</v>
      </c>
      <c r="B119" s="200" t="s">
        <v>82</v>
      </c>
      <c r="C119" s="201" t="s">
        <v>923</v>
      </c>
      <c r="D119" s="202" t="s">
        <v>913</v>
      </c>
      <c r="E119" s="202" t="s">
        <v>915</v>
      </c>
      <c r="F119" s="204" t="s">
        <v>914</v>
      </c>
      <c r="G119" s="202" t="s">
        <v>913</v>
      </c>
      <c r="H119" s="202" t="s">
        <v>913</v>
      </c>
      <c r="I119" s="202" t="s">
        <v>913</v>
      </c>
      <c r="J119" s="202" t="s">
        <v>362</v>
      </c>
      <c r="K119" s="202" t="s">
        <v>913</v>
      </c>
      <c r="L119" s="202" t="s">
        <v>913</v>
      </c>
      <c r="M119" s="202"/>
    </row>
    <row r="120" customFormat="false" ht="19.5" hidden="false" customHeight="true" outlineLevel="0" collapsed="false">
      <c r="A120" s="199" t="n">
        <v>46066</v>
      </c>
      <c r="B120" s="200" t="s">
        <v>129</v>
      </c>
      <c r="C120" s="201" t="s">
        <v>925</v>
      </c>
      <c r="D120" s="202" t="s">
        <v>913</v>
      </c>
      <c r="E120" s="203" t="n">
        <v>46662</v>
      </c>
      <c r="F120" s="204" t="s">
        <v>914</v>
      </c>
      <c r="G120" s="202" t="s">
        <v>913</v>
      </c>
      <c r="H120" s="202" t="s">
        <v>913</v>
      </c>
      <c r="I120" s="202" t="s">
        <v>913</v>
      </c>
      <c r="J120" s="202" t="s">
        <v>362</v>
      </c>
      <c r="K120" s="202" t="s">
        <v>913</v>
      </c>
      <c r="L120" s="202" t="s">
        <v>913</v>
      </c>
      <c r="M120" s="202"/>
    </row>
    <row r="121" customFormat="false" ht="19.5" hidden="false" customHeight="true" outlineLevel="0" collapsed="false">
      <c r="A121" s="199" t="n">
        <v>46066</v>
      </c>
      <c r="B121" s="200" t="s">
        <v>125</v>
      </c>
      <c r="C121" s="202" t="s">
        <v>915</v>
      </c>
      <c r="D121" s="202" t="s">
        <v>913</v>
      </c>
      <c r="E121" s="203" t="n">
        <v>46392</v>
      </c>
      <c r="F121" s="204" t="s">
        <v>914</v>
      </c>
      <c r="G121" s="202" t="s">
        <v>913</v>
      </c>
      <c r="H121" s="202" t="s">
        <v>913</v>
      </c>
      <c r="I121" s="202" t="s">
        <v>913</v>
      </c>
      <c r="J121" s="202" t="s">
        <v>362</v>
      </c>
      <c r="K121" s="202" t="s">
        <v>913</v>
      </c>
      <c r="L121" s="202" t="s">
        <v>913</v>
      </c>
      <c r="M121" s="202"/>
    </row>
    <row r="122" customFormat="false" ht="19.5" hidden="false" customHeight="true" outlineLevel="0" collapsed="false">
      <c r="A122" s="199" t="n">
        <v>46066</v>
      </c>
      <c r="B122" s="200" t="s">
        <v>95</v>
      </c>
      <c r="C122" s="202" t="s">
        <v>915</v>
      </c>
      <c r="D122" s="202" t="s">
        <v>913</v>
      </c>
      <c r="E122" s="203" t="n">
        <v>46435</v>
      </c>
      <c r="F122" s="204" t="s">
        <v>914</v>
      </c>
      <c r="G122" s="202" t="s">
        <v>913</v>
      </c>
      <c r="H122" s="202" t="s">
        <v>913</v>
      </c>
      <c r="I122" s="202" t="s">
        <v>913</v>
      </c>
      <c r="J122" s="202" t="s">
        <v>362</v>
      </c>
      <c r="K122" s="202" t="s">
        <v>913</v>
      </c>
      <c r="L122" s="202" t="s">
        <v>913</v>
      </c>
      <c r="M122" s="202"/>
    </row>
    <row r="123" customFormat="false" ht="19.5" hidden="false" customHeight="true" outlineLevel="0" collapsed="false">
      <c r="A123" s="199" t="n">
        <v>46066</v>
      </c>
      <c r="B123" s="200" t="s">
        <v>68</v>
      </c>
      <c r="C123" s="202" t="s">
        <v>915</v>
      </c>
      <c r="D123" s="202" t="s">
        <v>913</v>
      </c>
      <c r="E123" s="203" t="n">
        <v>46210</v>
      </c>
      <c r="F123" s="204" t="s">
        <v>914</v>
      </c>
      <c r="G123" s="202" t="s">
        <v>913</v>
      </c>
      <c r="H123" s="202" t="s">
        <v>913</v>
      </c>
      <c r="I123" s="202" t="s">
        <v>913</v>
      </c>
      <c r="J123" s="202" t="s">
        <v>362</v>
      </c>
      <c r="K123" s="202" t="s">
        <v>913</v>
      </c>
      <c r="L123" s="202" t="s">
        <v>913</v>
      </c>
      <c r="M123" s="202"/>
    </row>
    <row r="124" customFormat="false" ht="12.75" hidden="false" customHeight="true" outlineLevel="0" collapsed="false">
      <c r="A124" s="205" t="s">
        <v>917</v>
      </c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</row>
    <row r="126" customFormat="false" ht="19.5" hidden="false" customHeight="true" outlineLevel="0" collapsed="false">
      <c r="A126" s="195" t="s">
        <v>926</v>
      </c>
      <c r="B126" s="195"/>
      <c r="C126" s="195"/>
      <c r="D126" s="195"/>
      <c r="E126" s="195"/>
      <c r="F126" s="195"/>
      <c r="G126" s="195"/>
      <c r="H126" s="195"/>
      <c r="I126" s="195"/>
      <c r="J126" s="196" t="s">
        <v>896</v>
      </c>
      <c r="K126" s="197" t="s">
        <v>897</v>
      </c>
      <c r="L126" s="173"/>
      <c r="M126" s="173"/>
    </row>
    <row r="127" customFormat="false" ht="19.5" hidden="false" customHeight="true" outlineLevel="0" collapsed="false">
      <c r="J127" s="196"/>
      <c r="K127" s="197" t="s">
        <v>898</v>
      </c>
      <c r="L127" s="173"/>
      <c r="M127" s="173"/>
    </row>
    <row r="128" customFormat="false" ht="39.75" hidden="false" customHeight="true" outlineLevel="0" collapsed="false">
      <c r="A128" s="198" t="s">
        <v>899</v>
      </c>
      <c r="B128" s="198" t="s">
        <v>900</v>
      </c>
      <c r="C128" s="198" t="s">
        <v>901</v>
      </c>
      <c r="D128" s="198" t="s">
        <v>902</v>
      </c>
      <c r="E128" s="198" t="s">
        <v>903</v>
      </c>
      <c r="F128" s="198" t="s">
        <v>904</v>
      </c>
      <c r="G128" s="198" t="s">
        <v>905</v>
      </c>
      <c r="H128" s="198" t="s">
        <v>906</v>
      </c>
      <c r="I128" s="198" t="s">
        <v>907</v>
      </c>
      <c r="J128" s="198" t="s">
        <v>908</v>
      </c>
      <c r="K128" s="198" t="s">
        <v>909</v>
      </c>
      <c r="L128" s="198" t="s">
        <v>910</v>
      </c>
      <c r="M128" s="198" t="s">
        <v>911</v>
      </c>
    </row>
    <row r="129" customFormat="false" ht="19.5" hidden="false" customHeight="true" outlineLevel="0" collapsed="false">
      <c r="A129" s="199" t="n">
        <v>46066</v>
      </c>
      <c r="B129" s="200" t="s">
        <v>69</v>
      </c>
      <c r="C129" s="202" t="s">
        <v>915</v>
      </c>
      <c r="D129" s="202" t="s">
        <v>913</v>
      </c>
      <c r="E129" s="203" t="n">
        <v>46329</v>
      </c>
      <c r="F129" s="204" t="s">
        <v>914</v>
      </c>
      <c r="G129" s="202" t="s">
        <v>913</v>
      </c>
      <c r="H129" s="202" t="s">
        <v>913</v>
      </c>
      <c r="I129" s="202" t="s">
        <v>913</v>
      </c>
      <c r="J129" s="202" t="s">
        <v>362</v>
      </c>
      <c r="K129" s="202" t="s">
        <v>913</v>
      </c>
      <c r="L129" s="202" t="s">
        <v>913</v>
      </c>
      <c r="M129" s="202"/>
    </row>
    <row r="130" customFormat="false" ht="19.5" hidden="false" customHeight="true" outlineLevel="0" collapsed="false">
      <c r="A130" s="199" t="n">
        <v>46067</v>
      </c>
      <c r="B130" s="200" t="s">
        <v>111</v>
      </c>
      <c r="C130" s="201" t="s">
        <v>916</v>
      </c>
      <c r="D130" s="202" t="s">
        <v>913</v>
      </c>
      <c r="E130" s="203" t="n">
        <v>46386</v>
      </c>
      <c r="F130" s="204" t="s">
        <v>914</v>
      </c>
      <c r="G130" s="202" t="s">
        <v>913</v>
      </c>
      <c r="H130" s="202" t="s">
        <v>913</v>
      </c>
      <c r="I130" s="202" t="s">
        <v>913</v>
      </c>
      <c r="J130" s="202" t="s">
        <v>362</v>
      </c>
      <c r="K130" s="202" t="s">
        <v>913</v>
      </c>
      <c r="L130" s="202" t="s">
        <v>913</v>
      </c>
      <c r="M130" s="202"/>
    </row>
    <row r="131" customFormat="false" ht="19.5" hidden="false" customHeight="true" outlineLevel="0" collapsed="false">
      <c r="A131" s="199" t="n">
        <v>46072</v>
      </c>
      <c r="B131" s="200" t="s">
        <v>84</v>
      </c>
      <c r="C131" s="202" t="s">
        <v>915</v>
      </c>
      <c r="D131" s="202" t="s">
        <v>913</v>
      </c>
      <c r="E131" s="203" t="n">
        <v>46251</v>
      </c>
      <c r="F131" s="204" t="s">
        <v>914</v>
      </c>
      <c r="G131" s="202" t="s">
        <v>913</v>
      </c>
      <c r="H131" s="202" t="s">
        <v>913</v>
      </c>
      <c r="I131" s="202" t="s">
        <v>913</v>
      </c>
      <c r="J131" s="202" t="s">
        <v>362</v>
      </c>
      <c r="K131" s="202" t="s">
        <v>913</v>
      </c>
      <c r="L131" s="202" t="s">
        <v>913</v>
      </c>
      <c r="M131" s="202"/>
    </row>
    <row r="132" customFormat="false" ht="19.5" hidden="false" customHeight="true" outlineLevel="0" collapsed="false">
      <c r="A132" s="199" t="n">
        <v>46077</v>
      </c>
      <c r="B132" s="200" t="s">
        <v>115</v>
      </c>
      <c r="C132" s="202" t="s">
        <v>915</v>
      </c>
      <c r="D132" s="202" t="s">
        <v>913</v>
      </c>
      <c r="E132" s="203" t="n">
        <v>46146</v>
      </c>
      <c r="F132" s="204" t="s">
        <v>914</v>
      </c>
      <c r="G132" s="202" t="s">
        <v>913</v>
      </c>
      <c r="H132" s="202" t="s">
        <v>913</v>
      </c>
      <c r="I132" s="202" t="s">
        <v>913</v>
      </c>
      <c r="J132" s="202" t="s">
        <v>362</v>
      </c>
      <c r="K132" s="202" t="s">
        <v>913</v>
      </c>
      <c r="L132" s="202" t="s">
        <v>913</v>
      </c>
      <c r="M132" s="202"/>
    </row>
    <row r="133" customFormat="false" ht="19.5" hidden="false" customHeight="true" outlineLevel="0" collapsed="false">
      <c r="A133" s="199" t="n">
        <v>46077</v>
      </c>
      <c r="B133" s="200" t="s">
        <v>92</v>
      </c>
      <c r="C133" s="202" t="s">
        <v>915</v>
      </c>
      <c r="D133" s="202" t="s">
        <v>913</v>
      </c>
      <c r="E133" s="203" t="n">
        <v>46276</v>
      </c>
      <c r="F133" s="204" t="s">
        <v>914</v>
      </c>
      <c r="G133" s="202" t="s">
        <v>913</v>
      </c>
      <c r="H133" s="202" t="s">
        <v>913</v>
      </c>
      <c r="I133" s="202" t="s">
        <v>913</v>
      </c>
      <c r="J133" s="202" t="s">
        <v>362</v>
      </c>
      <c r="K133" s="202" t="s">
        <v>913</v>
      </c>
      <c r="L133" s="202" t="s">
        <v>913</v>
      </c>
      <c r="M133" s="202"/>
    </row>
    <row r="134" customFormat="false" ht="19.5" hidden="false" customHeight="true" outlineLevel="0" collapsed="false">
      <c r="A134" s="199" t="n">
        <v>46077</v>
      </c>
      <c r="B134" s="200" t="s">
        <v>118</v>
      </c>
      <c r="C134" s="202" t="s">
        <v>915</v>
      </c>
      <c r="D134" s="202" t="s">
        <v>913</v>
      </c>
      <c r="E134" s="203" t="n">
        <v>46380</v>
      </c>
      <c r="F134" s="204" t="s">
        <v>914</v>
      </c>
      <c r="G134" s="202" t="s">
        <v>913</v>
      </c>
      <c r="H134" s="202" t="s">
        <v>913</v>
      </c>
      <c r="I134" s="202" t="s">
        <v>913</v>
      </c>
      <c r="J134" s="202" t="s">
        <v>362</v>
      </c>
      <c r="K134" s="202" t="s">
        <v>913</v>
      </c>
      <c r="L134" s="202" t="s">
        <v>913</v>
      </c>
      <c r="M134" s="202"/>
    </row>
    <row r="135" customFormat="false" ht="19.5" hidden="false" customHeight="true" outlineLevel="0" collapsed="false">
      <c r="A135" s="199" t="n">
        <v>46077</v>
      </c>
      <c r="B135" s="200" t="s">
        <v>120</v>
      </c>
      <c r="C135" s="201" t="s">
        <v>912</v>
      </c>
      <c r="D135" s="202" t="s">
        <v>915</v>
      </c>
      <c r="E135" s="202" t="s">
        <v>915</v>
      </c>
      <c r="F135" s="204" t="s">
        <v>914</v>
      </c>
      <c r="G135" s="202" t="s">
        <v>913</v>
      </c>
      <c r="H135" s="202" t="s">
        <v>913</v>
      </c>
      <c r="I135" s="202" t="s">
        <v>913</v>
      </c>
      <c r="J135" s="202" t="s">
        <v>362</v>
      </c>
      <c r="K135" s="202" t="s">
        <v>913</v>
      </c>
      <c r="L135" s="202" t="s">
        <v>913</v>
      </c>
      <c r="M135" s="202"/>
    </row>
    <row r="136" customFormat="false" ht="19.5" hidden="false" customHeight="true" outlineLevel="0" collapsed="false">
      <c r="A136" s="199" t="n">
        <v>46078</v>
      </c>
      <c r="B136" s="200" t="s">
        <v>71</v>
      </c>
      <c r="C136" s="201" t="s">
        <v>912</v>
      </c>
      <c r="D136" s="202" t="s">
        <v>913</v>
      </c>
      <c r="E136" s="203" t="n">
        <v>46150</v>
      </c>
      <c r="F136" s="204" t="s">
        <v>914</v>
      </c>
      <c r="G136" s="202" t="s">
        <v>913</v>
      </c>
      <c r="H136" s="202" t="s">
        <v>913</v>
      </c>
      <c r="I136" s="202" t="s">
        <v>913</v>
      </c>
      <c r="J136" s="202" t="s">
        <v>362</v>
      </c>
      <c r="K136" s="202" t="s">
        <v>913</v>
      </c>
      <c r="L136" s="202" t="s">
        <v>913</v>
      </c>
      <c r="M136" s="202"/>
    </row>
    <row r="137" customFormat="false" ht="19.5" hidden="false" customHeight="true" outlineLevel="0" collapsed="false">
      <c r="A137" s="199" t="n">
        <v>46078</v>
      </c>
      <c r="B137" s="200" t="s">
        <v>71</v>
      </c>
      <c r="C137" s="201" t="s">
        <v>912</v>
      </c>
      <c r="D137" s="202" t="s">
        <v>913</v>
      </c>
      <c r="E137" s="203" t="n">
        <v>46150</v>
      </c>
      <c r="F137" s="204" t="s">
        <v>914</v>
      </c>
      <c r="G137" s="202" t="s">
        <v>913</v>
      </c>
      <c r="H137" s="202" t="s">
        <v>913</v>
      </c>
      <c r="I137" s="202" t="s">
        <v>913</v>
      </c>
      <c r="J137" s="202" t="s">
        <v>362</v>
      </c>
      <c r="K137" s="202" t="s">
        <v>913</v>
      </c>
      <c r="L137" s="202" t="s">
        <v>913</v>
      </c>
      <c r="M137" s="202"/>
    </row>
    <row r="138" customFormat="false" ht="19.5" hidden="false" customHeight="true" outlineLevel="0" collapsed="false">
      <c r="A138" s="199" t="n">
        <v>46079</v>
      </c>
      <c r="B138" s="200" t="s">
        <v>125</v>
      </c>
      <c r="C138" s="202" t="s">
        <v>915</v>
      </c>
      <c r="D138" s="202" t="s">
        <v>913</v>
      </c>
      <c r="E138" s="203" t="n">
        <v>45915</v>
      </c>
      <c r="F138" s="204" t="s">
        <v>914</v>
      </c>
      <c r="G138" s="202" t="s">
        <v>913</v>
      </c>
      <c r="H138" s="202" t="s">
        <v>913</v>
      </c>
      <c r="I138" s="202" t="s">
        <v>913</v>
      </c>
      <c r="J138" s="202" t="s">
        <v>362</v>
      </c>
      <c r="K138" s="202" t="s">
        <v>913</v>
      </c>
      <c r="L138" s="202" t="s">
        <v>913</v>
      </c>
      <c r="M138" s="202"/>
    </row>
    <row r="139" customFormat="false" ht="19.5" hidden="false" customHeight="true" outlineLevel="0" collapsed="false">
      <c r="A139" s="199" t="n">
        <v>46079</v>
      </c>
      <c r="B139" s="200" t="s">
        <v>80</v>
      </c>
      <c r="C139" s="202" t="s">
        <v>915</v>
      </c>
      <c r="D139" s="202" t="s">
        <v>913</v>
      </c>
      <c r="E139" s="203" t="n">
        <v>46778</v>
      </c>
      <c r="F139" s="204" t="s">
        <v>914</v>
      </c>
      <c r="G139" s="202" t="s">
        <v>913</v>
      </c>
      <c r="H139" s="202" t="s">
        <v>913</v>
      </c>
      <c r="I139" s="202" t="s">
        <v>913</v>
      </c>
      <c r="J139" s="202" t="s">
        <v>362</v>
      </c>
      <c r="K139" s="202" t="s">
        <v>913</v>
      </c>
      <c r="L139" s="202" t="s">
        <v>913</v>
      </c>
      <c r="M139" s="202"/>
    </row>
    <row r="140" customFormat="false" ht="19.5" hidden="false" customHeight="true" outlineLevel="0" collapsed="false">
      <c r="A140" s="199" t="n">
        <v>46079</v>
      </c>
      <c r="B140" s="200" t="s">
        <v>125</v>
      </c>
      <c r="C140" s="202" t="s">
        <v>915</v>
      </c>
      <c r="D140" s="202" t="s">
        <v>913</v>
      </c>
      <c r="E140" s="203" t="n">
        <v>45915</v>
      </c>
      <c r="F140" s="204" t="s">
        <v>914</v>
      </c>
      <c r="G140" s="202" t="s">
        <v>913</v>
      </c>
      <c r="H140" s="202" t="s">
        <v>913</v>
      </c>
      <c r="I140" s="202" t="s">
        <v>913</v>
      </c>
      <c r="J140" s="202" t="s">
        <v>362</v>
      </c>
      <c r="K140" s="202" t="s">
        <v>913</v>
      </c>
      <c r="L140" s="202" t="s">
        <v>913</v>
      </c>
      <c r="M140" s="202"/>
    </row>
    <row r="141" customFormat="false" ht="19.5" hidden="false" customHeight="true" outlineLevel="0" collapsed="false">
      <c r="A141" s="199" t="n">
        <v>46079</v>
      </c>
      <c r="B141" s="200" t="s">
        <v>80</v>
      </c>
      <c r="C141" s="202" t="s">
        <v>915</v>
      </c>
      <c r="D141" s="202" t="s">
        <v>913</v>
      </c>
      <c r="E141" s="203" t="n">
        <v>46778</v>
      </c>
      <c r="F141" s="204" t="s">
        <v>914</v>
      </c>
      <c r="G141" s="202" t="s">
        <v>913</v>
      </c>
      <c r="H141" s="202" t="s">
        <v>913</v>
      </c>
      <c r="I141" s="202" t="s">
        <v>913</v>
      </c>
      <c r="J141" s="202" t="s">
        <v>362</v>
      </c>
      <c r="K141" s="202" t="s">
        <v>913</v>
      </c>
      <c r="L141" s="202" t="s">
        <v>913</v>
      </c>
      <c r="M141" s="202"/>
    </row>
    <row r="142" customFormat="false" ht="19.5" hidden="false" customHeight="true" outlineLevel="0" collapsed="false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</row>
    <row r="143" customFormat="false" ht="19.5" hidden="false" customHeight="true" outlineLevel="0" collapsed="false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</row>
    <row r="144" customFormat="false" ht="19.5" hidden="false" customHeight="true" outlineLevel="0" collapsed="false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</row>
    <row r="145" customFormat="false" ht="19.5" hidden="false" customHeight="true" outlineLevel="0" collapsed="false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</row>
    <row r="146" customFormat="false" ht="19.5" hidden="false" customHeight="true" outlineLevel="0" collapsed="false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</row>
    <row r="147" customFormat="false" ht="19.5" hidden="false" customHeight="true" outlineLevel="0" collapsed="false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</row>
    <row r="148" customFormat="false" ht="19.5" hidden="false" customHeight="true" outlineLevel="0" collapsed="false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</row>
    <row r="149" customFormat="false" ht="12.75" hidden="false" customHeight="true" outlineLevel="0" collapsed="false">
      <c r="A149" s="205" t="s">
        <v>917</v>
      </c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</row>
    <row r="151" customFormat="false" ht="19.5" hidden="false" customHeight="true" outlineLevel="0" collapsed="false">
      <c r="A151" s="195" t="s">
        <v>927</v>
      </c>
      <c r="B151" s="195"/>
      <c r="C151" s="195"/>
      <c r="D151" s="195"/>
      <c r="E151" s="195"/>
      <c r="F151" s="195"/>
      <c r="G151" s="195"/>
      <c r="H151" s="195"/>
      <c r="I151" s="195"/>
      <c r="J151" s="196" t="s">
        <v>896</v>
      </c>
      <c r="K151" s="197" t="s">
        <v>897</v>
      </c>
      <c r="L151" s="173"/>
      <c r="M151" s="173"/>
    </row>
    <row r="152" customFormat="false" ht="19.5" hidden="false" customHeight="true" outlineLevel="0" collapsed="false">
      <c r="J152" s="196"/>
      <c r="K152" s="197" t="s">
        <v>898</v>
      </c>
      <c r="L152" s="173"/>
      <c r="M152" s="173"/>
    </row>
    <row r="153" customFormat="false" ht="39.75" hidden="false" customHeight="true" outlineLevel="0" collapsed="false">
      <c r="A153" s="198" t="s">
        <v>899</v>
      </c>
      <c r="B153" s="198" t="s">
        <v>900</v>
      </c>
      <c r="C153" s="198" t="s">
        <v>901</v>
      </c>
      <c r="D153" s="198" t="s">
        <v>902</v>
      </c>
      <c r="E153" s="198" t="s">
        <v>903</v>
      </c>
      <c r="F153" s="198" t="s">
        <v>904</v>
      </c>
      <c r="G153" s="198" t="s">
        <v>905</v>
      </c>
      <c r="H153" s="198" t="s">
        <v>906</v>
      </c>
      <c r="I153" s="198" t="s">
        <v>907</v>
      </c>
      <c r="J153" s="198" t="s">
        <v>908</v>
      </c>
      <c r="K153" s="198" t="s">
        <v>909</v>
      </c>
      <c r="L153" s="198" t="s">
        <v>910</v>
      </c>
      <c r="M153" s="198" t="s">
        <v>911</v>
      </c>
    </row>
    <row r="154" customFormat="false" ht="19.5" hidden="false" customHeight="true" outlineLevel="0" collapsed="false">
      <c r="A154" s="199" t="n">
        <v>46082</v>
      </c>
      <c r="B154" s="200" t="s">
        <v>130</v>
      </c>
      <c r="C154" s="202" t="s">
        <v>915</v>
      </c>
      <c r="D154" s="202" t="s">
        <v>913</v>
      </c>
      <c r="E154" s="203" t="n">
        <v>46386</v>
      </c>
      <c r="F154" s="204" t="s">
        <v>914</v>
      </c>
      <c r="G154" s="202" t="s">
        <v>913</v>
      </c>
      <c r="H154" s="202" t="s">
        <v>913</v>
      </c>
      <c r="I154" s="202" t="s">
        <v>913</v>
      </c>
      <c r="J154" s="202" t="s">
        <v>362</v>
      </c>
      <c r="K154" s="202" t="s">
        <v>913</v>
      </c>
      <c r="L154" s="202" t="s">
        <v>913</v>
      </c>
      <c r="M154" s="202"/>
    </row>
    <row r="155" customFormat="false" ht="19.5" hidden="false" customHeight="true" outlineLevel="0" collapsed="false">
      <c r="A155" s="199" t="n">
        <v>46082</v>
      </c>
      <c r="B155" s="200" t="s">
        <v>71</v>
      </c>
      <c r="C155" s="201" t="s">
        <v>912</v>
      </c>
      <c r="D155" s="202" t="s">
        <v>913</v>
      </c>
      <c r="E155" s="203" t="n">
        <v>46150</v>
      </c>
      <c r="F155" s="204" t="s">
        <v>914</v>
      </c>
      <c r="G155" s="202" t="s">
        <v>913</v>
      </c>
      <c r="H155" s="202" t="s">
        <v>913</v>
      </c>
      <c r="I155" s="202" t="s">
        <v>913</v>
      </c>
      <c r="J155" s="202" t="s">
        <v>362</v>
      </c>
      <c r="K155" s="202" t="s">
        <v>913</v>
      </c>
      <c r="L155" s="202" t="s">
        <v>913</v>
      </c>
      <c r="M155" s="202"/>
    </row>
    <row r="156" customFormat="false" ht="19.5" hidden="false" customHeight="true" outlineLevel="0" collapsed="false">
      <c r="A156" s="199" t="n">
        <v>46082</v>
      </c>
      <c r="B156" s="200" t="s">
        <v>121</v>
      </c>
      <c r="C156" s="202" t="s">
        <v>915</v>
      </c>
      <c r="D156" s="202" t="s">
        <v>913</v>
      </c>
      <c r="E156" s="202" t="s">
        <v>915</v>
      </c>
      <c r="F156" s="204" t="s">
        <v>914</v>
      </c>
      <c r="G156" s="202" t="s">
        <v>913</v>
      </c>
      <c r="H156" s="202" t="s">
        <v>913</v>
      </c>
      <c r="I156" s="202" t="s">
        <v>913</v>
      </c>
      <c r="J156" s="202" t="s">
        <v>362</v>
      </c>
      <c r="K156" s="202" t="s">
        <v>913</v>
      </c>
      <c r="L156" s="202" t="s">
        <v>913</v>
      </c>
      <c r="M156" s="202"/>
    </row>
    <row r="157" customFormat="false" ht="19.5" hidden="false" customHeight="true" outlineLevel="0" collapsed="false">
      <c r="A157" s="199" t="n">
        <v>46082</v>
      </c>
      <c r="B157" s="200" t="s">
        <v>130</v>
      </c>
      <c r="C157" s="202" t="s">
        <v>915</v>
      </c>
      <c r="D157" s="202" t="s">
        <v>913</v>
      </c>
      <c r="E157" s="203" t="n">
        <v>46386</v>
      </c>
      <c r="F157" s="204" t="s">
        <v>914</v>
      </c>
      <c r="G157" s="202" t="s">
        <v>913</v>
      </c>
      <c r="H157" s="202" t="s">
        <v>913</v>
      </c>
      <c r="I157" s="202" t="s">
        <v>913</v>
      </c>
      <c r="J157" s="202" t="s">
        <v>362</v>
      </c>
      <c r="K157" s="202" t="s">
        <v>913</v>
      </c>
      <c r="L157" s="202" t="s">
        <v>913</v>
      </c>
      <c r="M157" s="202"/>
    </row>
    <row r="158" customFormat="false" ht="19.5" hidden="false" customHeight="true" outlineLevel="0" collapsed="false">
      <c r="A158" s="199" t="n">
        <v>46082</v>
      </c>
      <c r="B158" s="200" t="s">
        <v>71</v>
      </c>
      <c r="C158" s="201" t="s">
        <v>912</v>
      </c>
      <c r="D158" s="202" t="s">
        <v>913</v>
      </c>
      <c r="E158" s="203" t="n">
        <v>46150</v>
      </c>
      <c r="F158" s="204" t="s">
        <v>914</v>
      </c>
      <c r="G158" s="202" t="s">
        <v>913</v>
      </c>
      <c r="H158" s="202" t="s">
        <v>913</v>
      </c>
      <c r="I158" s="202" t="s">
        <v>913</v>
      </c>
      <c r="J158" s="202" t="s">
        <v>362</v>
      </c>
      <c r="K158" s="202" t="s">
        <v>913</v>
      </c>
      <c r="L158" s="202" t="s">
        <v>913</v>
      </c>
      <c r="M158" s="202"/>
    </row>
    <row r="159" customFormat="false" ht="19.5" hidden="false" customHeight="true" outlineLevel="0" collapsed="false">
      <c r="A159" s="199" t="n">
        <v>46082</v>
      </c>
      <c r="B159" s="200" t="s">
        <v>121</v>
      </c>
      <c r="C159" s="202" t="s">
        <v>915</v>
      </c>
      <c r="D159" s="202" t="s">
        <v>913</v>
      </c>
      <c r="E159" s="202" t="s">
        <v>915</v>
      </c>
      <c r="F159" s="204" t="s">
        <v>914</v>
      </c>
      <c r="G159" s="202" t="s">
        <v>913</v>
      </c>
      <c r="H159" s="202" t="s">
        <v>913</v>
      </c>
      <c r="I159" s="202" t="s">
        <v>913</v>
      </c>
      <c r="J159" s="202" t="s">
        <v>362</v>
      </c>
      <c r="K159" s="202" t="s">
        <v>913</v>
      </c>
      <c r="L159" s="202" t="s">
        <v>913</v>
      </c>
      <c r="M159" s="202"/>
    </row>
    <row r="160" customFormat="false" ht="19.5" hidden="false" customHeight="true" outlineLevel="0" collapsed="false">
      <c r="A160" s="199" t="n">
        <v>46085</v>
      </c>
      <c r="B160" s="200" t="s">
        <v>651</v>
      </c>
      <c r="C160" s="202" t="s">
        <v>915</v>
      </c>
      <c r="D160" s="202" t="s">
        <v>913</v>
      </c>
      <c r="E160" s="203" t="n">
        <v>46750</v>
      </c>
      <c r="F160" s="204" t="s">
        <v>914</v>
      </c>
      <c r="G160" s="202" t="s">
        <v>913</v>
      </c>
      <c r="H160" s="202" t="s">
        <v>913</v>
      </c>
      <c r="I160" s="202" t="s">
        <v>913</v>
      </c>
      <c r="J160" s="202" t="s">
        <v>362</v>
      </c>
      <c r="K160" s="202" t="s">
        <v>913</v>
      </c>
      <c r="L160" s="202" t="s">
        <v>913</v>
      </c>
      <c r="M160" s="202"/>
    </row>
    <row r="161" customFormat="false" ht="19.5" hidden="false" customHeight="true" outlineLevel="0" collapsed="false">
      <c r="A161" s="199" t="n">
        <v>46085</v>
      </c>
      <c r="B161" s="200" t="s">
        <v>120</v>
      </c>
      <c r="C161" s="201" t="s">
        <v>912</v>
      </c>
      <c r="D161" s="202" t="s">
        <v>915</v>
      </c>
      <c r="E161" s="202" t="s">
        <v>915</v>
      </c>
      <c r="F161" s="204" t="s">
        <v>914</v>
      </c>
      <c r="G161" s="202" t="s">
        <v>913</v>
      </c>
      <c r="H161" s="202" t="s">
        <v>913</v>
      </c>
      <c r="I161" s="202" t="s">
        <v>913</v>
      </c>
      <c r="J161" s="202" t="s">
        <v>362</v>
      </c>
      <c r="K161" s="202" t="s">
        <v>913</v>
      </c>
      <c r="L161" s="202" t="s">
        <v>913</v>
      </c>
      <c r="M161" s="202"/>
    </row>
    <row r="162" customFormat="false" ht="19.5" hidden="false" customHeight="true" outlineLevel="0" collapsed="false">
      <c r="A162" s="199" t="n">
        <v>46085</v>
      </c>
      <c r="B162" s="200" t="s">
        <v>134</v>
      </c>
      <c r="C162" s="201" t="s">
        <v>919</v>
      </c>
      <c r="D162" s="202" t="s">
        <v>915</v>
      </c>
      <c r="E162" s="203" t="n">
        <v>46047</v>
      </c>
      <c r="F162" s="204" t="s">
        <v>914</v>
      </c>
      <c r="G162" s="202" t="s">
        <v>913</v>
      </c>
      <c r="H162" s="202" t="s">
        <v>913</v>
      </c>
      <c r="I162" s="202" t="s">
        <v>913</v>
      </c>
      <c r="J162" s="202" t="s">
        <v>362</v>
      </c>
      <c r="K162" s="202" t="s">
        <v>913</v>
      </c>
      <c r="L162" s="202" t="s">
        <v>913</v>
      </c>
      <c r="M162" s="202"/>
    </row>
    <row r="163" customFormat="false" ht="19.5" hidden="false" customHeight="true" outlineLevel="0" collapsed="false">
      <c r="A163" s="199" t="n">
        <v>46085</v>
      </c>
      <c r="B163" s="200" t="s">
        <v>651</v>
      </c>
      <c r="C163" s="202" t="s">
        <v>915</v>
      </c>
      <c r="D163" s="202" t="s">
        <v>913</v>
      </c>
      <c r="E163" s="203" t="n">
        <v>46750</v>
      </c>
      <c r="F163" s="204" t="s">
        <v>914</v>
      </c>
      <c r="G163" s="202" t="s">
        <v>913</v>
      </c>
      <c r="H163" s="202" t="s">
        <v>913</v>
      </c>
      <c r="I163" s="202" t="s">
        <v>913</v>
      </c>
      <c r="J163" s="202" t="s">
        <v>362</v>
      </c>
      <c r="K163" s="202" t="s">
        <v>913</v>
      </c>
      <c r="L163" s="202" t="s">
        <v>913</v>
      </c>
      <c r="M163" s="202"/>
    </row>
    <row r="164" customFormat="false" ht="19.5" hidden="false" customHeight="true" outlineLevel="0" collapsed="false">
      <c r="A164" s="199" t="n">
        <v>46085</v>
      </c>
      <c r="B164" s="200" t="s">
        <v>120</v>
      </c>
      <c r="C164" s="201" t="s">
        <v>912</v>
      </c>
      <c r="D164" s="202" t="s">
        <v>915</v>
      </c>
      <c r="E164" s="202" t="s">
        <v>915</v>
      </c>
      <c r="F164" s="204" t="s">
        <v>914</v>
      </c>
      <c r="G164" s="202" t="s">
        <v>913</v>
      </c>
      <c r="H164" s="202" t="s">
        <v>913</v>
      </c>
      <c r="I164" s="202" t="s">
        <v>913</v>
      </c>
      <c r="J164" s="202" t="s">
        <v>362</v>
      </c>
      <c r="K164" s="202" t="s">
        <v>913</v>
      </c>
      <c r="L164" s="202" t="s">
        <v>913</v>
      </c>
      <c r="M164" s="202"/>
    </row>
    <row r="165" customFormat="false" ht="19.5" hidden="false" customHeight="true" outlineLevel="0" collapsed="false">
      <c r="A165" s="199" t="n">
        <v>46085</v>
      </c>
      <c r="B165" s="200" t="s">
        <v>134</v>
      </c>
      <c r="C165" s="201" t="s">
        <v>919</v>
      </c>
      <c r="D165" s="202" t="s">
        <v>915</v>
      </c>
      <c r="E165" s="203" t="n">
        <v>46047</v>
      </c>
      <c r="F165" s="204" t="s">
        <v>914</v>
      </c>
      <c r="G165" s="202" t="s">
        <v>913</v>
      </c>
      <c r="H165" s="202" t="s">
        <v>913</v>
      </c>
      <c r="I165" s="202" t="s">
        <v>913</v>
      </c>
      <c r="J165" s="202" t="s">
        <v>362</v>
      </c>
      <c r="K165" s="202" t="s">
        <v>913</v>
      </c>
      <c r="L165" s="202" t="s">
        <v>913</v>
      </c>
      <c r="M165" s="202"/>
    </row>
    <row r="166" customFormat="false" ht="19.5" hidden="false" customHeight="true" outlineLevel="0" collapsed="false">
      <c r="A166" s="199" t="n">
        <v>46086</v>
      </c>
      <c r="B166" s="200" t="s">
        <v>68</v>
      </c>
      <c r="C166" s="202" t="s">
        <v>915</v>
      </c>
      <c r="D166" s="202" t="s">
        <v>913</v>
      </c>
      <c r="E166" s="203" t="n">
        <v>46260</v>
      </c>
      <c r="F166" s="204" t="s">
        <v>914</v>
      </c>
      <c r="G166" s="202" t="s">
        <v>913</v>
      </c>
      <c r="H166" s="202" t="s">
        <v>913</v>
      </c>
      <c r="I166" s="202" t="s">
        <v>913</v>
      </c>
      <c r="J166" s="202" t="s">
        <v>362</v>
      </c>
      <c r="K166" s="202" t="s">
        <v>913</v>
      </c>
      <c r="L166" s="202" t="s">
        <v>913</v>
      </c>
      <c r="M166" s="202"/>
    </row>
    <row r="167" customFormat="false" ht="19.5" hidden="false" customHeight="true" outlineLevel="0" collapsed="false">
      <c r="A167" s="199" t="n">
        <v>46086</v>
      </c>
      <c r="B167" s="200" t="s">
        <v>71</v>
      </c>
      <c r="C167" s="201" t="s">
        <v>912</v>
      </c>
      <c r="D167" s="202" t="s">
        <v>913</v>
      </c>
      <c r="E167" s="203" t="n">
        <v>46150</v>
      </c>
      <c r="F167" s="204" t="s">
        <v>914</v>
      </c>
      <c r="G167" s="202" t="s">
        <v>913</v>
      </c>
      <c r="H167" s="202" t="s">
        <v>913</v>
      </c>
      <c r="I167" s="202" t="s">
        <v>913</v>
      </c>
      <c r="J167" s="202" t="s">
        <v>362</v>
      </c>
      <c r="K167" s="202" t="s">
        <v>913</v>
      </c>
      <c r="L167" s="202" t="s">
        <v>913</v>
      </c>
      <c r="M167" s="202"/>
    </row>
    <row r="168" customFormat="false" ht="19.5" hidden="false" customHeight="true" outlineLevel="0" collapsed="false">
      <c r="A168" s="199" t="n">
        <v>46086</v>
      </c>
      <c r="B168" s="200" t="s">
        <v>68</v>
      </c>
      <c r="C168" s="202" t="s">
        <v>915</v>
      </c>
      <c r="D168" s="202" t="s">
        <v>913</v>
      </c>
      <c r="E168" s="203" t="n">
        <v>46260</v>
      </c>
      <c r="F168" s="204" t="s">
        <v>914</v>
      </c>
      <c r="G168" s="202" t="s">
        <v>913</v>
      </c>
      <c r="H168" s="202" t="s">
        <v>913</v>
      </c>
      <c r="I168" s="202" t="s">
        <v>913</v>
      </c>
      <c r="J168" s="202" t="s">
        <v>362</v>
      </c>
      <c r="K168" s="202" t="s">
        <v>913</v>
      </c>
      <c r="L168" s="202" t="s">
        <v>913</v>
      </c>
      <c r="M168" s="202"/>
    </row>
    <row r="169" customFormat="false" ht="19.5" hidden="false" customHeight="true" outlineLevel="0" collapsed="false">
      <c r="A169" s="199" t="n">
        <v>46086</v>
      </c>
      <c r="B169" s="200" t="s">
        <v>71</v>
      </c>
      <c r="C169" s="201" t="s">
        <v>912</v>
      </c>
      <c r="D169" s="202" t="s">
        <v>913</v>
      </c>
      <c r="E169" s="203" t="n">
        <v>46150</v>
      </c>
      <c r="F169" s="204" t="s">
        <v>914</v>
      </c>
      <c r="G169" s="202" t="s">
        <v>913</v>
      </c>
      <c r="H169" s="202" t="s">
        <v>913</v>
      </c>
      <c r="I169" s="202" t="s">
        <v>913</v>
      </c>
      <c r="J169" s="202" t="s">
        <v>362</v>
      </c>
      <c r="K169" s="202" t="s">
        <v>913</v>
      </c>
      <c r="L169" s="202" t="s">
        <v>913</v>
      </c>
      <c r="M169" s="202"/>
    </row>
    <row r="170" customFormat="false" ht="19.5" hidden="false" customHeight="true" outlineLevel="0" collapsed="false">
      <c r="A170" s="199" t="n">
        <v>46087</v>
      </c>
      <c r="B170" s="200" t="s">
        <v>651</v>
      </c>
      <c r="C170" s="202" t="s">
        <v>915</v>
      </c>
      <c r="D170" s="202" t="s">
        <v>915</v>
      </c>
      <c r="E170" s="203" t="n">
        <v>46759</v>
      </c>
      <c r="F170" s="204" t="s">
        <v>914</v>
      </c>
      <c r="G170" s="202" t="s">
        <v>913</v>
      </c>
      <c r="H170" s="202" t="s">
        <v>913</v>
      </c>
      <c r="I170" s="202" t="s">
        <v>913</v>
      </c>
      <c r="J170" s="202" t="s">
        <v>362</v>
      </c>
      <c r="K170" s="202" t="s">
        <v>913</v>
      </c>
      <c r="L170" s="202" t="s">
        <v>913</v>
      </c>
      <c r="M170" s="202"/>
    </row>
    <row r="171" customFormat="false" ht="19.5" hidden="false" customHeight="true" outlineLevel="0" collapsed="false">
      <c r="A171" s="199" t="n">
        <v>46087</v>
      </c>
      <c r="B171" s="200" t="s">
        <v>114</v>
      </c>
      <c r="C171" s="202" t="s">
        <v>915</v>
      </c>
      <c r="D171" s="202" t="s">
        <v>913</v>
      </c>
      <c r="E171" s="203" t="n">
        <v>47138</v>
      </c>
      <c r="F171" s="204" t="s">
        <v>914</v>
      </c>
      <c r="G171" s="202" t="s">
        <v>913</v>
      </c>
      <c r="H171" s="202" t="s">
        <v>913</v>
      </c>
      <c r="I171" s="202" t="s">
        <v>913</v>
      </c>
      <c r="J171" s="202" t="s">
        <v>362</v>
      </c>
      <c r="K171" s="202" t="s">
        <v>913</v>
      </c>
      <c r="L171" s="202" t="s">
        <v>913</v>
      </c>
      <c r="M171" s="202"/>
    </row>
    <row r="172" customFormat="false" ht="19.5" hidden="false" customHeight="true" outlineLevel="0" collapsed="false">
      <c r="A172" s="199" t="n">
        <v>46087</v>
      </c>
      <c r="B172" s="200" t="s">
        <v>651</v>
      </c>
      <c r="C172" s="202" t="s">
        <v>915</v>
      </c>
      <c r="D172" s="202" t="s">
        <v>915</v>
      </c>
      <c r="E172" s="203" t="n">
        <v>46759</v>
      </c>
      <c r="F172" s="204" t="s">
        <v>914</v>
      </c>
      <c r="G172" s="202" t="s">
        <v>913</v>
      </c>
      <c r="H172" s="202" t="s">
        <v>913</v>
      </c>
      <c r="I172" s="202" t="s">
        <v>913</v>
      </c>
      <c r="J172" s="202" t="s">
        <v>362</v>
      </c>
      <c r="K172" s="202" t="s">
        <v>913</v>
      </c>
      <c r="L172" s="202" t="s">
        <v>913</v>
      </c>
      <c r="M172" s="202"/>
    </row>
    <row r="173" customFormat="false" ht="19.5" hidden="false" customHeight="true" outlineLevel="0" collapsed="false">
      <c r="A173" s="199" t="n">
        <v>46087</v>
      </c>
      <c r="B173" s="200" t="s">
        <v>114</v>
      </c>
      <c r="C173" s="202" t="s">
        <v>915</v>
      </c>
      <c r="D173" s="202" t="s">
        <v>913</v>
      </c>
      <c r="E173" s="203" t="n">
        <v>47138</v>
      </c>
      <c r="F173" s="204" t="s">
        <v>914</v>
      </c>
      <c r="G173" s="202" t="s">
        <v>913</v>
      </c>
      <c r="H173" s="202" t="s">
        <v>913</v>
      </c>
      <c r="I173" s="202" t="s">
        <v>913</v>
      </c>
      <c r="J173" s="202" t="s">
        <v>362</v>
      </c>
      <c r="K173" s="202" t="s">
        <v>913</v>
      </c>
      <c r="L173" s="202" t="s">
        <v>913</v>
      </c>
      <c r="M173" s="202"/>
    </row>
    <row r="174" customFormat="false" ht="12.75" hidden="false" customHeight="true" outlineLevel="0" collapsed="false">
      <c r="A174" s="205" t="s">
        <v>917</v>
      </c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</row>
    <row r="176" customFormat="false" ht="19.5" hidden="false" customHeight="true" outlineLevel="0" collapsed="false">
      <c r="A176" s="195" t="s">
        <v>928</v>
      </c>
      <c r="B176" s="195"/>
      <c r="C176" s="195"/>
      <c r="D176" s="195"/>
      <c r="E176" s="195"/>
      <c r="F176" s="195"/>
      <c r="G176" s="195"/>
      <c r="H176" s="195"/>
      <c r="I176" s="195"/>
      <c r="J176" s="196" t="s">
        <v>896</v>
      </c>
      <c r="K176" s="197" t="s">
        <v>897</v>
      </c>
      <c r="L176" s="173"/>
      <c r="M176" s="173"/>
    </row>
    <row r="177" customFormat="false" ht="19.5" hidden="false" customHeight="true" outlineLevel="0" collapsed="false">
      <c r="J177" s="196"/>
      <c r="K177" s="197" t="s">
        <v>898</v>
      </c>
      <c r="L177" s="173"/>
      <c r="M177" s="173"/>
    </row>
    <row r="178" customFormat="false" ht="39.75" hidden="false" customHeight="true" outlineLevel="0" collapsed="false">
      <c r="A178" s="198" t="s">
        <v>899</v>
      </c>
      <c r="B178" s="198" t="s">
        <v>900</v>
      </c>
      <c r="C178" s="198" t="s">
        <v>901</v>
      </c>
      <c r="D178" s="198" t="s">
        <v>902</v>
      </c>
      <c r="E178" s="198" t="s">
        <v>903</v>
      </c>
      <c r="F178" s="198" t="s">
        <v>904</v>
      </c>
      <c r="G178" s="198" t="s">
        <v>905</v>
      </c>
      <c r="H178" s="198" t="s">
        <v>906</v>
      </c>
      <c r="I178" s="198" t="s">
        <v>907</v>
      </c>
      <c r="J178" s="198" t="s">
        <v>908</v>
      </c>
      <c r="K178" s="198" t="s">
        <v>909</v>
      </c>
      <c r="L178" s="198" t="s">
        <v>910</v>
      </c>
      <c r="M178" s="198" t="s">
        <v>911</v>
      </c>
    </row>
    <row r="179" customFormat="false" ht="19.5" hidden="false" customHeight="true" outlineLevel="0" collapsed="false">
      <c r="A179" s="199" t="n">
        <v>46090</v>
      </c>
      <c r="B179" s="200" t="s">
        <v>130</v>
      </c>
      <c r="C179" s="202" t="s">
        <v>915</v>
      </c>
      <c r="D179" s="202" t="s">
        <v>915</v>
      </c>
      <c r="E179" s="203" t="n">
        <v>46415</v>
      </c>
      <c r="F179" s="204" t="s">
        <v>914</v>
      </c>
      <c r="G179" s="202" t="s">
        <v>913</v>
      </c>
      <c r="H179" s="202" t="s">
        <v>913</v>
      </c>
      <c r="I179" s="202" t="s">
        <v>913</v>
      </c>
      <c r="J179" s="202" t="s">
        <v>362</v>
      </c>
      <c r="K179" s="202" t="s">
        <v>913</v>
      </c>
      <c r="L179" s="202" t="s">
        <v>913</v>
      </c>
      <c r="M179" s="202"/>
    </row>
    <row r="180" customFormat="false" ht="19.5" hidden="false" customHeight="true" outlineLevel="0" collapsed="false">
      <c r="A180" s="199" t="n">
        <v>46090</v>
      </c>
      <c r="B180" s="200" t="s">
        <v>124</v>
      </c>
      <c r="C180" s="202" t="s">
        <v>915</v>
      </c>
      <c r="D180" s="202" t="s">
        <v>915</v>
      </c>
      <c r="E180" s="203" t="n">
        <v>46527</v>
      </c>
      <c r="F180" s="204" t="s">
        <v>914</v>
      </c>
      <c r="G180" s="202" t="s">
        <v>913</v>
      </c>
      <c r="H180" s="202" t="s">
        <v>913</v>
      </c>
      <c r="I180" s="202" t="s">
        <v>913</v>
      </c>
      <c r="J180" s="202" t="s">
        <v>362</v>
      </c>
      <c r="K180" s="202" t="s">
        <v>913</v>
      </c>
      <c r="L180" s="202" t="s">
        <v>913</v>
      </c>
      <c r="M180" s="202"/>
    </row>
    <row r="181" customFormat="false" ht="19.5" hidden="false" customHeight="true" outlineLevel="0" collapsed="false">
      <c r="A181" s="199" t="n">
        <v>46090</v>
      </c>
      <c r="B181" s="200" t="s">
        <v>92</v>
      </c>
      <c r="C181" s="202" t="s">
        <v>915</v>
      </c>
      <c r="D181" s="202" t="s">
        <v>915</v>
      </c>
      <c r="E181" s="203" t="n">
        <v>46061</v>
      </c>
      <c r="F181" s="204" t="s">
        <v>914</v>
      </c>
      <c r="G181" s="202" t="s">
        <v>913</v>
      </c>
      <c r="H181" s="202" t="s">
        <v>913</v>
      </c>
      <c r="I181" s="202" t="s">
        <v>913</v>
      </c>
      <c r="J181" s="202" t="s">
        <v>362</v>
      </c>
      <c r="K181" s="202" t="s">
        <v>913</v>
      </c>
      <c r="L181" s="202" t="s">
        <v>913</v>
      </c>
      <c r="M181" s="202"/>
    </row>
    <row r="182" customFormat="false" ht="19.5" hidden="false" customHeight="true" outlineLevel="0" collapsed="false">
      <c r="A182" s="199" t="n">
        <v>46090</v>
      </c>
      <c r="B182" s="200" t="s">
        <v>121</v>
      </c>
      <c r="C182" s="202" t="s">
        <v>915</v>
      </c>
      <c r="D182" s="202" t="s">
        <v>915</v>
      </c>
      <c r="E182" s="202" t="s">
        <v>915</v>
      </c>
      <c r="F182" s="204" t="s">
        <v>914</v>
      </c>
      <c r="G182" s="202" t="s">
        <v>913</v>
      </c>
      <c r="H182" s="202" t="s">
        <v>913</v>
      </c>
      <c r="I182" s="202" t="s">
        <v>913</v>
      </c>
      <c r="J182" s="202" t="s">
        <v>362</v>
      </c>
      <c r="K182" s="202" t="s">
        <v>913</v>
      </c>
      <c r="L182" s="202" t="s">
        <v>913</v>
      </c>
      <c r="M182" s="202"/>
    </row>
    <row r="183" customFormat="false" ht="19.5" hidden="false" customHeight="true" outlineLevel="0" collapsed="false">
      <c r="A183" s="199" t="n">
        <v>46092</v>
      </c>
      <c r="B183" s="200" t="s">
        <v>120</v>
      </c>
      <c r="C183" s="201" t="s">
        <v>912</v>
      </c>
      <c r="D183" s="202" t="s">
        <v>915</v>
      </c>
      <c r="E183" s="202" t="s">
        <v>915</v>
      </c>
      <c r="F183" s="204" t="s">
        <v>914</v>
      </c>
      <c r="G183" s="202" t="s">
        <v>913</v>
      </c>
      <c r="H183" s="202" t="s">
        <v>913</v>
      </c>
      <c r="I183" s="202" t="s">
        <v>913</v>
      </c>
      <c r="J183" s="202" t="s">
        <v>362</v>
      </c>
      <c r="K183" s="202" t="s">
        <v>913</v>
      </c>
      <c r="L183" s="202" t="s">
        <v>913</v>
      </c>
      <c r="M183" s="202"/>
    </row>
    <row r="184" customFormat="false" ht="19.5" hidden="false" customHeight="true" outlineLevel="0" collapsed="false">
      <c r="A184" s="199" t="n">
        <v>46092</v>
      </c>
      <c r="B184" s="200" t="s">
        <v>71</v>
      </c>
      <c r="C184" s="201" t="s">
        <v>912</v>
      </c>
      <c r="D184" s="202" t="s">
        <v>913</v>
      </c>
      <c r="E184" s="203" t="n">
        <v>46523</v>
      </c>
      <c r="F184" s="204" t="s">
        <v>914</v>
      </c>
      <c r="G184" s="202" t="s">
        <v>913</v>
      </c>
      <c r="H184" s="202" t="s">
        <v>913</v>
      </c>
      <c r="I184" s="202" t="s">
        <v>913</v>
      </c>
      <c r="J184" s="202" t="s">
        <v>362</v>
      </c>
      <c r="K184" s="202" t="s">
        <v>913</v>
      </c>
      <c r="L184" s="202" t="s">
        <v>913</v>
      </c>
      <c r="M184" s="202"/>
    </row>
    <row r="185" customFormat="false" ht="19.5" hidden="false" customHeight="true" outlineLevel="0" collapsed="false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</row>
    <row r="186" customFormat="false" ht="19.5" hidden="false" customHeight="true" outlineLevel="0" collapsed="false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</row>
    <row r="187" customFormat="false" ht="19.5" hidden="false" customHeight="true" outlineLevel="0" collapsed="false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</row>
    <row r="188" customFormat="false" ht="19.5" hidden="false" customHeight="true" outlineLevel="0" collapsed="false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</row>
    <row r="189" customFormat="false" ht="19.5" hidden="false" customHeight="true" outlineLevel="0" collapsed="false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</row>
    <row r="190" customFormat="false" ht="19.5" hidden="false" customHeight="true" outlineLevel="0" collapsed="false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</row>
    <row r="191" customFormat="false" ht="19.5" hidden="false" customHeight="true" outlineLevel="0" collapsed="false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</row>
    <row r="192" customFormat="false" ht="19.5" hidden="false" customHeight="true" outlineLevel="0" collapsed="false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</row>
    <row r="193" customFormat="false" ht="19.5" hidden="false" customHeight="true" outlineLevel="0" collapsed="false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</row>
    <row r="194" customFormat="false" ht="19.5" hidden="false" customHeight="true" outlineLevel="0" collapsed="false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</row>
    <row r="195" customFormat="false" ht="19.5" hidden="false" customHeight="true" outlineLevel="0" collapsed="false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</row>
    <row r="196" customFormat="false" ht="19.5" hidden="false" customHeight="true" outlineLevel="0" collapsed="false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</row>
    <row r="197" customFormat="false" ht="19.5" hidden="false" customHeight="true" outlineLevel="0" collapsed="false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</row>
    <row r="198" customFormat="false" ht="19.5" hidden="false" customHeight="true" outlineLevel="0" collapsed="false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</row>
    <row r="199" customFormat="false" ht="12.75" hidden="false" customHeight="true" outlineLevel="0" collapsed="false">
      <c r="A199" s="205" t="s">
        <v>917</v>
      </c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</row>
  </sheetData>
  <mergeCells count="40">
    <mergeCell ref="A1:I1"/>
    <mergeCell ref="J1:J2"/>
    <mergeCell ref="L1:M1"/>
    <mergeCell ref="L2:M2"/>
    <mergeCell ref="A24:M24"/>
    <mergeCell ref="A26:I26"/>
    <mergeCell ref="J26:J27"/>
    <mergeCell ref="L26:M26"/>
    <mergeCell ref="L27:M27"/>
    <mergeCell ref="A49:M49"/>
    <mergeCell ref="A51:I51"/>
    <mergeCell ref="J51:J52"/>
    <mergeCell ref="L51:M51"/>
    <mergeCell ref="L52:M52"/>
    <mergeCell ref="A74:M74"/>
    <mergeCell ref="A76:I76"/>
    <mergeCell ref="J76:J77"/>
    <mergeCell ref="L76:M76"/>
    <mergeCell ref="L77:M77"/>
    <mergeCell ref="A99:M99"/>
    <mergeCell ref="A101:I101"/>
    <mergeCell ref="J101:J102"/>
    <mergeCell ref="L101:M101"/>
    <mergeCell ref="L102:M102"/>
    <mergeCell ref="A124:M124"/>
    <mergeCell ref="A126:I126"/>
    <mergeCell ref="J126:J127"/>
    <mergeCell ref="L126:M126"/>
    <mergeCell ref="L127:M127"/>
    <mergeCell ref="A149:M149"/>
    <mergeCell ref="A151:I151"/>
    <mergeCell ref="J151:J152"/>
    <mergeCell ref="L151:M151"/>
    <mergeCell ref="L152:M152"/>
    <mergeCell ref="A174:M174"/>
    <mergeCell ref="A176:I176"/>
    <mergeCell ref="J176:J177"/>
    <mergeCell ref="L176:M176"/>
    <mergeCell ref="L177:M177"/>
    <mergeCell ref="A199:M199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7" manualBreakCount="7">
    <brk id="25" man="true" max="16383" min="0"/>
    <brk id="50" man="true" max="16383" min="0"/>
    <brk id="75" man="true" max="16383" min="0"/>
    <brk id="100" man="true" max="16383" min="0"/>
    <brk id="125" man="true" max="16383" min="0"/>
    <brk id="150" man="true" max="16383" min="0"/>
    <brk id="175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5" min="4" style="0" width="14"/>
  </cols>
  <sheetData>
    <row r="1" customFormat="false" ht="37.5" hidden="false" customHeight="true" outlineLevel="0" collapsed="false">
      <c r="A1" s="206" t="s">
        <v>929</v>
      </c>
      <c r="B1" s="206"/>
      <c r="C1" s="206"/>
      <c r="D1" s="206"/>
      <c r="E1" s="206"/>
    </row>
    <row r="2" customFormat="false" ht="15" hidden="false" customHeight="false" outlineLevel="0" collapsed="false">
      <c r="A2" s="207" t="s">
        <v>930</v>
      </c>
      <c r="B2" s="207"/>
      <c r="C2" s="207"/>
      <c r="D2" s="207"/>
      <c r="E2" s="207"/>
    </row>
    <row r="3" customFormat="false" ht="14.15" hidden="false" customHeight="false" outlineLevel="0" collapsed="false">
      <c r="A3" s="208" t="s">
        <v>931</v>
      </c>
      <c r="B3" s="208"/>
      <c r="C3" s="208"/>
      <c r="D3" s="208"/>
      <c r="E3" s="208"/>
    </row>
    <row r="4" customFormat="false" ht="15" hidden="false" customHeight="false" outlineLevel="0" collapsed="false">
      <c r="A4" s="182" t="s">
        <v>46</v>
      </c>
      <c r="B4" s="182"/>
      <c r="C4" s="209" t="s">
        <v>932</v>
      </c>
      <c r="D4" s="209" t="s">
        <v>933</v>
      </c>
      <c r="E4" s="182"/>
    </row>
    <row r="5" customFormat="false" ht="15" hidden="false" customHeight="false" outlineLevel="0" collapsed="false">
      <c r="A5" s="20" t="n">
        <v>1</v>
      </c>
      <c r="B5" s="210"/>
      <c r="C5" s="162" t="s">
        <v>934</v>
      </c>
      <c r="D5" s="23" t="n">
        <v>148</v>
      </c>
      <c r="E5" s="210"/>
    </row>
    <row r="6" customFormat="false" ht="15" hidden="false" customHeight="false" outlineLevel="0" collapsed="false">
      <c r="A6" s="178" t="n">
        <v>2</v>
      </c>
      <c r="B6" s="211"/>
      <c r="C6" s="212" t="s">
        <v>935</v>
      </c>
      <c r="D6" s="213" t="n">
        <v>87</v>
      </c>
      <c r="E6" s="211"/>
    </row>
    <row r="7" customFormat="false" ht="15" hidden="false" customHeight="false" outlineLevel="0" collapsed="false">
      <c r="A7" s="20" t="n">
        <v>3</v>
      </c>
      <c r="B7" s="210"/>
      <c r="C7" s="162" t="s">
        <v>936</v>
      </c>
      <c r="D7" s="23" t="n">
        <v>35</v>
      </c>
      <c r="E7" s="210"/>
    </row>
    <row r="8" customFormat="false" ht="15" hidden="false" customHeight="false" outlineLevel="0" collapsed="false">
      <c r="A8" s="178" t="n">
        <v>4</v>
      </c>
      <c r="B8" s="211"/>
      <c r="C8" s="212" t="s">
        <v>937</v>
      </c>
      <c r="D8" s="213" t="n">
        <v>17</v>
      </c>
      <c r="E8" s="211"/>
    </row>
    <row r="9" customFormat="false" ht="15" hidden="false" customHeight="false" outlineLevel="0" collapsed="false">
      <c r="A9" s="20" t="n">
        <v>5</v>
      </c>
      <c r="B9" s="210"/>
      <c r="C9" s="162" t="s">
        <v>113</v>
      </c>
      <c r="D9" s="23" t="n">
        <v>16</v>
      </c>
      <c r="E9" s="210"/>
    </row>
    <row r="10" customFormat="false" ht="15" hidden="false" customHeight="false" outlineLevel="0" collapsed="false">
      <c r="A10" s="178" t="n">
        <v>6</v>
      </c>
      <c r="B10" s="211"/>
      <c r="C10" s="212" t="s">
        <v>938</v>
      </c>
      <c r="D10" s="213" t="n">
        <v>10</v>
      </c>
      <c r="E10" s="211"/>
    </row>
    <row r="11" customFormat="false" ht="15" hidden="false" customHeight="false" outlineLevel="0" collapsed="false">
      <c r="A11" s="20" t="n">
        <v>7</v>
      </c>
      <c r="B11" s="210"/>
      <c r="C11" s="162" t="s">
        <v>939</v>
      </c>
      <c r="D11" s="23" t="n">
        <v>10</v>
      </c>
      <c r="E11" s="210"/>
    </row>
    <row r="12" customFormat="false" ht="15" hidden="false" customHeight="false" outlineLevel="0" collapsed="false">
      <c r="A12" s="178" t="n">
        <v>8</v>
      </c>
      <c r="B12" s="211"/>
      <c r="C12" s="212" t="s">
        <v>940</v>
      </c>
      <c r="D12" s="213" t="n">
        <v>8</v>
      </c>
      <c r="E12" s="211"/>
    </row>
    <row r="13" customFormat="false" ht="15" hidden="false" customHeight="false" outlineLevel="0" collapsed="false">
      <c r="A13" s="20" t="n">
        <v>9</v>
      </c>
      <c r="B13" s="210"/>
      <c r="C13" s="162" t="s">
        <v>99</v>
      </c>
      <c r="D13" s="23" t="n">
        <v>8</v>
      </c>
      <c r="E13" s="210"/>
    </row>
    <row r="14" customFormat="false" ht="15" hidden="false" customHeight="false" outlineLevel="0" collapsed="false">
      <c r="A14" s="178" t="n">
        <v>10</v>
      </c>
      <c r="B14" s="211"/>
      <c r="C14" s="212" t="s">
        <v>941</v>
      </c>
      <c r="D14" s="213" t="n">
        <v>3</v>
      </c>
      <c r="E14" s="211"/>
    </row>
    <row r="15" customFormat="false" ht="15" hidden="false" customHeight="false" outlineLevel="0" collapsed="false">
      <c r="A15" s="20" t="n">
        <v>11</v>
      </c>
      <c r="B15" s="210"/>
      <c r="C15" s="162" t="s">
        <v>118</v>
      </c>
      <c r="D15" s="23" t="n">
        <v>3</v>
      </c>
      <c r="E15" s="210"/>
    </row>
    <row r="16" customFormat="false" ht="15" hidden="false" customHeight="false" outlineLevel="0" collapsed="false">
      <c r="A16" s="178" t="n">
        <v>12</v>
      </c>
      <c r="B16" s="211"/>
      <c r="C16" s="212" t="s">
        <v>121</v>
      </c>
      <c r="D16" s="213" t="n">
        <v>3</v>
      </c>
      <c r="E16" s="211"/>
    </row>
    <row r="17" customFormat="false" ht="15" hidden="false" customHeight="false" outlineLevel="0" collapsed="false">
      <c r="A17" s="20" t="n">
        <v>13</v>
      </c>
      <c r="B17" s="210"/>
      <c r="C17" s="162" t="s">
        <v>942</v>
      </c>
      <c r="D17" s="23" t="n">
        <v>1</v>
      </c>
      <c r="E17" s="210"/>
    </row>
    <row r="18" customFormat="false" ht="15" hidden="false" customHeight="false" outlineLevel="0" collapsed="false">
      <c r="A18" s="214" t="s">
        <v>943</v>
      </c>
      <c r="B18" s="214"/>
      <c r="C18" s="214"/>
      <c r="D18" s="215" t="n">
        <v>349</v>
      </c>
      <c r="E18" s="216"/>
    </row>
    <row r="20" customFormat="false" ht="15" hidden="false" customHeight="false" outlineLevel="0" collapsed="false">
      <c r="A20" s="217" t="s">
        <v>944</v>
      </c>
      <c r="B20" s="217"/>
      <c r="C20" s="217"/>
      <c r="D20" s="217"/>
      <c r="E20" s="217"/>
    </row>
    <row r="21" customFormat="false" ht="15" hidden="false" customHeight="false" outlineLevel="0" collapsed="false">
      <c r="A21" s="182" t="s">
        <v>46</v>
      </c>
      <c r="B21" s="182"/>
      <c r="C21" s="209" t="s">
        <v>932</v>
      </c>
      <c r="D21" s="209" t="s">
        <v>945</v>
      </c>
      <c r="E21" s="182"/>
    </row>
    <row r="22" customFormat="false" ht="15" hidden="false" customHeight="false" outlineLevel="0" collapsed="false">
      <c r="A22" s="20" t="n">
        <v>1</v>
      </c>
      <c r="B22" s="210"/>
      <c r="C22" s="162" t="s">
        <v>934</v>
      </c>
      <c r="D22" s="23" t="n">
        <v>148</v>
      </c>
      <c r="E22" s="210"/>
    </row>
    <row r="23" customFormat="false" ht="15" hidden="false" customHeight="false" outlineLevel="0" collapsed="false">
      <c r="A23" s="178" t="n">
        <v>2</v>
      </c>
      <c r="B23" s="211"/>
      <c r="C23" s="212" t="s">
        <v>935</v>
      </c>
      <c r="D23" s="213" t="n">
        <v>87</v>
      </c>
      <c r="E23" s="211"/>
    </row>
    <row r="24" customFormat="false" ht="15" hidden="false" customHeight="false" outlineLevel="0" collapsed="false">
      <c r="A24" s="20" t="n">
        <v>3</v>
      </c>
      <c r="B24" s="210"/>
      <c r="C24" s="162" t="s">
        <v>936</v>
      </c>
      <c r="D24" s="23" t="n">
        <v>35</v>
      </c>
      <c r="E24" s="210"/>
    </row>
    <row r="25" customFormat="false" ht="15" hidden="false" customHeight="false" outlineLevel="0" collapsed="false">
      <c r="A25" s="178" t="n">
        <v>4</v>
      </c>
      <c r="B25" s="211"/>
      <c r="C25" s="212" t="s">
        <v>937</v>
      </c>
      <c r="D25" s="213" t="n">
        <v>17</v>
      </c>
      <c r="E25" s="211"/>
    </row>
    <row r="26" customFormat="false" ht="15" hidden="false" customHeight="false" outlineLevel="0" collapsed="false">
      <c r="A26" s="20" t="n">
        <v>5</v>
      </c>
      <c r="B26" s="210"/>
      <c r="C26" s="162" t="s">
        <v>113</v>
      </c>
      <c r="D26" s="23" t="n">
        <v>16</v>
      </c>
      <c r="E26" s="210"/>
    </row>
    <row r="27" customFormat="false" ht="15" hidden="false" customHeight="false" outlineLevel="0" collapsed="false">
      <c r="A27" s="178" t="n">
        <v>6</v>
      </c>
      <c r="B27" s="211"/>
      <c r="C27" s="212" t="s">
        <v>938</v>
      </c>
      <c r="D27" s="213" t="n">
        <v>10</v>
      </c>
      <c r="E27" s="211"/>
    </row>
    <row r="28" customFormat="false" ht="15" hidden="false" customHeight="false" outlineLevel="0" collapsed="false">
      <c r="A28" s="20" t="n">
        <v>7</v>
      </c>
      <c r="B28" s="210"/>
      <c r="C28" s="162" t="s">
        <v>939</v>
      </c>
      <c r="D28" s="23" t="n">
        <v>10</v>
      </c>
      <c r="E28" s="210"/>
    </row>
    <row r="29" customFormat="false" ht="15" hidden="false" customHeight="false" outlineLevel="0" collapsed="false">
      <c r="A29" s="178" t="n">
        <v>8</v>
      </c>
      <c r="B29" s="211"/>
      <c r="C29" s="212" t="s">
        <v>940</v>
      </c>
      <c r="D29" s="213" t="n">
        <v>8</v>
      </c>
      <c r="E29" s="211"/>
    </row>
    <row r="30" customFormat="false" ht="15" hidden="false" customHeight="false" outlineLevel="0" collapsed="false">
      <c r="A30" s="20" t="n">
        <v>9</v>
      </c>
      <c r="B30" s="210"/>
      <c r="C30" s="162" t="s">
        <v>99</v>
      </c>
      <c r="D30" s="23" t="n">
        <v>8</v>
      </c>
      <c r="E30" s="210"/>
    </row>
    <row r="31" customFormat="false" ht="15" hidden="false" customHeight="false" outlineLevel="0" collapsed="false">
      <c r="A31" s="178" t="n">
        <v>10</v>
      </c>
      <c r="B31" s="211"/>
      <c r="C31" s="212" t="s">
        <v>941</v>
      </c>
      <c r="D31" s="213" t="n">
        <v>3</v>
      </c>
      <c r="E31" s="211"/>
    </row>
    <row r="32" customFormat="false" ht="15" hidden="false" customHeight="false" outlineLevel="0" collapsed="false">
      <c r="A32" s="20" t="n">
        <v>11</v>
      </c>
      <c r="B32" s="210"/>
      <c r="C32" s="162" t="s">
        <v>118</v>
      </c>
      <c r="D32" s="23" t="n">
        <v>3</v>
      </c>
      <c r="E32" s="210"/>
    </row>
    <row r="33" customFormat="false" ht="15" hidden="false" customHeight="false" outlineLevel="0" collapsed="false">
      <c r="A33" s="178" t="n">
        <v>12</v>
      </c>
      <c r="B33" s="211"/>
      <c r="C33" s="212" t="s">
        <v>121</v>
      </c>
      <c r="D33" s="213" t="n">
        <v>3</v>
      </c>
      <c r="E33" s="211"/>
    </row>
    <row r="34" customFormat="false" ht="15" hidden="false" customHeight="false" outlineLevel="0" collapsed="false">
      <c r="A34" s="20" t="n">
        <v>13</v>
      </c>
      <c r="B34" s="210"/>
      <c r="C34" s="162" t="s">
        <v>942</v>
      </c>
      <c r="D34" s="23" t="n">
        <v>1</v>
      </c>
      <c r="E34" s="210"/>
    </row>
    <row r="35" customFormat="false" ht="15" hidden="false" customHeight="false" outlineLevel="0" collapsed="false">
      <c r="A35" s="218" t="s">
        <v>946</v>
      </c>
      <c r="B35" s="218"/>
      <c r="C35" s="218"/>
      <c r="D35" s="219" t="n">
        <v>349</v>
      </c>
      <c r="E35" s="220"/>
    </row>
    <row r="37" customFormat="false" ht="37.5" hidden="false" customHeight="true" outlineLevel="0" collapsed="false">
      <c r="A37" s="206" t="s">
        <v>947</v>
      </c>
      <c r="B37" s="206"/>
      <c r="C37" s="206"/>
      <c r="D37" s="206"/>
      <c r="E37" s="206"/>
    </row>
    <row r="38" customFormat="false" ht="15" hidden="false" customHeight="false" outlineLevel="0" collapsed="false">
      <c r="A38" s="207" t="s">
        <v>948</v>
      </c>
      <c r="B38" s="207"/>
      <c r="C38" s="207"/>
      <c r="D38" s="207"/>
      <c r="E38" s="207"/>
    </row>
    <row r="39" customFormat="false" ht="14.15" hidden="false" customHeight="false" outlineLevel="0" collapsed="false">
      <c r="A39" s="208" t="s">
        <v>949</v>
      </c>
      <c r="B39" s="208"/>
      <c r="C39" s="208"/>
      <c r="D39" s="208"/>
      <c r="E39" s="208"/>
    </row>
    <row r="40" customFormat="false" ht="15" hidden="false" customHeight="false" outlineLevel="0" collapsed="false">
      <c r="A40" s="182" t="s">
        <v>46</v>
      </c>
      <c r="B40" s="182"/>
      <c r="C40" s="209" t="s">
        <v>932</v>
      </c>
      <c r="D40" s="209" t="s">
        <v>933</v>
      </c>
      <c r="E40" s="182"/>
    </row>
    <row r="41" customFormat="false" ht="15" hidden="false" customHeight="false" outlineLevel="0" collapsed="false">
      <c r="A41" s="20" t="n">
        <v>1</v>
      </c>
      <c r="B41" s="210"/>
      <c r="C41" s="162" t="s">
        <v>934</v>
      </c>
      <c r="D41" s="23" t="n">
        <v>145</v>
      </c>
      <c r="E41" s="210"/>
    </row>
    <row r="42" customFormat="false" ht="15" hidden="false" customHeight="false" outlineLevel="0" collapsed="false">
      <c r="A42" s="178" t="n">
        <v>2</v>
      </c>
      <c r="B42" s="211"/>
      <c r="C42" s="212" t="s">
        <v>935</v>
      </c>
      <c r="D42" s="213" t="n">
        <v>58</v>
      </c>
      <c r="E42" s="211"/>
    </row>
    <row r="43" customFormat="false" ht="15" hidden="false" customHeight="false" outlineLevel="0" collapsed="false">
      <c r="A43" s="20" t="n">
        <v>3</v>
      </c>
      <c r="B43" s="210"/>
      <c r="C43" s="162" t="s">
        <v>936</v>
      </c>
      <c r="D43" s="23" t="n">
        <v>52</v>
      </c>
      <c r="E43" s="210"/>
    </row>
    <row r="44" customFormat="false" ht="15" hidden="false" customHeight="false" outlineLevel="0" collapsed="false">
      <c r="A44" s="178" t="n">
        <v>4</v>
      </c>
      <c r="B44" s="211"/>
      <c r="C44" s="212" t="s">
        <v>937</v>
      </c>
      <c r="D44" s="213" t="n">
        <v>26</v>
      </c>
      <c r="E44" s="211"/>
    </row>
    <row r="45" customFormat="false" ht="15" hidden="false" customHeight="false" outlineLevel="0" collapsed="false">
      <c r="A45" s="20" t="n">
        <v>5</v>
      </c>
      <c r="B45" s="210"/>
      <c r="C45" s="162" t="s">
        <v>113</v>
      </c>
      <c r="D45" s="23" t="n">
        <v>24</v>
      </c>
      <c r="E45" s="210"/>
    </row>
    <row r="46" customFormat="false" ht="15" hidden="false" customHeight="false" outlineLevel="0" collapsed="false">
      <c r="A46" s="178" t="n">
        <v>6</v>
      </c>
      <c r="B46" s="211"/>
      <c r="C46" s="212" t="s">
        <v>939</v>
      </c>
      <c r="D46" s="213" t="n">
        <v>10</v>
      </c>
      <c r="E46" s="211"/>
    </row>
    <row r="47" customFormat="false" ht="15" hidden="false" customHeight="false" outlineLevel="0" collapsed="false">
      <c r="A47" s="20" t="n">
        <v>7</v>
      </c>
      <c r="B47" s="210"/>
      <c r="C47" s="162" t="s">
        <v>938</v>
      </c>
      <c r="D47" s="23" t="n">
        <v>9</v>
      </c>
      <c r="E47" s="210"/>
    </row>
    <row r="48" customFormat="false" ht="15" hidden="false" customHeight="false" outlineLevel="0" collapsed="false">
      <c r="A48" s="178" t="n">
        <v>8</v>
      </c>
      <c r="B48" s="211"/>
      <c r="C48" s="212" t="s">
        <v>940</v>
      </c>
      <c r="D48" s="213" t="n">
        <v>7</v>
      </c>
      <c r="E48" s="211"/>
    </row>
    <row r="49" customFormat="false" ht="15" hidden="false" customHeight="false" outlineLevel="0" collapsed="false">
      <c r="A49" s="20" t="n">
        <v>9</v>
      </c>
      <c r="B49" s="210"/>
      <c r="C49" s="162" t="s">
        <v>99</v>
      </c>
      <c r="D49" s="23" t="n">
        <v>7</v>
      </c>
      <c r="E49" s="210"/>
    </row>
    <row r="50" customFormat="false" ht="15" hidden="false" customHeight="false" outlineLevel="0" collapsed="false">
      <c r="A50" s="178" t="n">
        <v>10</v>
      </c>
      <c r="B50" s="211"/>
      <c r="C50" s="212" t="s">
        <v>941</v>
      </c>
      <c r="D50" s="213" t="n">
        <v>4</v>
      </c>
      <c r="E50" s="211"/>
    </row>
    <row r="51" customFormat="false" ht="15" hidden="false" customHeight="false" outlineLevel="0" collapsed="false">
      <c r="A51" s="20" t="n">
        <v>11</v>
      </c>
      <c r="B51" s="210"/>
      <c r="C51" s="162" t="s">
        <v>118</v>
      </c>
      <c r="D51" s="23" t="n">
        <v>3</v>
      </c>
      <c r="E51" s="210"/>
    </row>
    <row r="52" customFormat="false" ht="15" hidden="false" customHeight="false" outlineLevel="0" collapsed="false">
      <c r="A52" s="178" t="n">
        <v>12</v>
      </c>
      <c r="B52" s="211"/>
      <c r="C52" s="212" t="s">
        <v>121</v>
      </c>
      <c r="D52" s="213" t="n">
        <v>2</v>
      </c>
      <c r="E52" s="211"/>
    </row>
    <row r="53" customFormat="false" ht="15" hidden="false" customHeight="false" outlineLevel="0" collapsed="false">
      <c r="A53" s="20" t="n">
        <v>13</v>
      </c>
      <c r="B53" s="210"/>
      <c r="C53" s="162" t="s">
        <v>942</v>
      </c>
      <c r="D53" s="23" t="n">
        <v>2</v>
      </c>
      <c r="E53" s="210"/>
    </row>
    <row r="54" customFormat="false" ht="15" hidden="false" customHeight="false" outlineLevel="0" collapsed="false">
      <c r="A54" s="214" t="s">
        <v>950</v>
      </c>
      <c r="B54" s="214"/>
      <c r="C54" s="214"/>
      <c r="D54" s="215" t="n">
        <v>349</v>
      </c>
      <c r="E54" s="216"/>
    </row>
    <row r="55" customFormat="false" ht="14.15" hidden="false" customHeight="false" outlineLevel="0" collapsed="false">
      <c r="A55" s="208" t="s">
        <v>951</v>
      </c>
      <c r="B55" s="208"/>
      <c r="C55" s="208"/>
      <c r="D55" s="208"/>
      <c r="E55" s="208"/>
    </row>
    <row r="56" customFormat="false" ht="15" hidden="false" customHeight="false" outlineLevel="0" collapsed="false">
      <c r="A56" s="182" t="s">
        <v>46</v>
      </c>
      <c r="B56" s="182"/>
      <c r="C56" s="209" t="s">
        <v>932</v>
      </c>
      <c r="D56" s="209" t="s">
        <v>933</v>
      </c>
      <c r="E56" s="182"/>
    </row>
    <row r="57" customFormat="false" ht="15" hidden="false" customHeight="false" outlineLevel="0" collapsed="false">
      <c r="A57" s="20" t="n">
        <v>1</v>
      </c>
      <c r="B57" s="210"/>
      <c r="C57" s="162" t="s">
        <v>952</v>
      </c>
      <c r="D57" s="23" t="n">
        <v>121</v>
      </c>
      <c r="E57" s="210"/>
    </row>
    <row r="58" customFormat="false" ht="15" hidden="false" customHeight="false" outlineLevel="0" collapsed="false">
      <c r="A58" s="178" t="n">
        <v>2</v>
      </c>
      <c r="B58" s="211"/>
      <c r="C58" s="212" t="s">
        <v>113</v>
      </c>
      <c r="D58" s="213" t="n">
        <v>23</v>
      </c>
      <c r="E58" s="211"/>
    </row>
    <row r="59" customFormat="false" ht="15" hidden="false" customHeight="false" outlineLevel="0" collapsed="false">
      <c r="A59" s="20" t="n">
        <v>3</v>
      </c>
      <c r="B59" s="210"/>
      <c r="C59" s="162" t="s">
        <v>953</v>
      </c>
      <c r="D59" s="23" t="n">
        <v>15</v>
      </c>
      <c r="E59" s="210"/>
    </row>
    <row r="60" customFormat="false" ht="15" hidden="false" customHeight="false" outlineLevel="0" collapsed="false">
      <c r="A60" s="178" t="n">
        <v>4</v>
      </c>
      <c r="B60" s="211"/>
      <c r="C60" s="212" t="s">
        <v>99</v>
      </c>
      <c r="D60" s="213" t="n">
        <v>15</v>
      </c>
      <c r="E60" s="211"/>
    </row>
    <row r="61" customFormat="false" ht="15" hidden="false" customHeight="false" outlineLevel="0" collapsed="false">
      <c r="A61" s="20" t="n">
        <v>5</v>
      </c>
      <c r="B61" s="210"/>
      <c r="C61" s="162" t="s">
        <v>954</v>
      </c>
      <c r="D61" s="23" t="n">
        <v>4</v>
      </c>
      <c r="E61" s="210"/>
    </row>
    <row r="62" customFormat="false" ht="15" hidden="false" customHeight="false" outlineLevel="0" collapsed="false">
      <c r="A62" s="178" t="n">
        <v>6</v>
      </c>
      <c r="B62" s="211"/>
      <c r="C62" s="212" t="s">
        <v>121</v>
      </c>
      <c r="D62" s="213" t="n">
        <v>2</v>
      </c>
      <c r="E62" s="211"/>
    </row>
    <row r="63" customFormat="false" ht="15" hidden="false" customHeight="false" outlineLevel="0" collapsed="false">
      <c r="A63" s="214" t="s">
        <v>955</v>
      </c>
      <c r="B63" s="214"/>
      <c r="C63" s="214"/>
      <c r="D63" s="215" t="n">
        <v>180</v>
      </c>
      <c r="E63" s="216"/>
    </row>
    <row r="64" customFormat="false" ht="14.15" hidden="false" customHeight="false" outlineLevel="0" collapsed="false">
      <c r="A64" s="208" t="s">
        <v>956</v>
      </c>
      <c r="B64" s="208"/>
      <c r="C64" s="208"/>
      <c r="D64" s="208"/>
      <c r="E64" s="208"/>
    </row>
    <row r="65" customFormat="false" ht="15" hidden="false" customHeight="false" outlineLevel="0" collapsed="false">
      <c r="A65" s="182" t="s">
        <v>46</v>
      </c>
      <c r="B65" s="182"/>
      <c r="C65" s="209" t="s">
        <v>932</v>
      </c>
      <c r="D65" s="209" t="s">
        <v>933</v>
      </c>
      <c r="E65" s="182"/>
    </row>
    <row r="66" customFormat="false" ht="15" hidden="false" customHeight="false" outlineLevel="0" collapsed="false">
      <c r="A66" s="20" t="n">
        <v>1</v>
      </c>
      <c r="B66" s="210"/>
      <c r="C66" s="162" t="s">
        <v>952</v>
      </c>
      <c r="D66" s="23" t="n">
        <v>123</v>
      </c>
      <c r="E66" s="210"/>
    </row>
    <row r="67" customFormat="false" ht="15" hidden="false" customHeight="false" outlineLevel="0" collapsed="false">
      <c r="A67" s="178" t="n">
        <v>2</v>
      </c>
      <c r="B67" s="211"/>
      <c r="C67" s="212" t="s">
        <v>99</v>
      </c>
      <c r="D67" s="213" t="n">
        <v>19</v>
      </c>
      <c r="E67" s="211"/>
    </row>
    <row r="68" customFormat="false" ht="15" hidden="false" customHeight="false" outlineLevel="0" collapsed="false">
      <c r="A68" s="20" t="n">
        <v>3</v>
      </c>
      <c r="B68" s="210"/>
      <c r="C68" s="162" t="s">
        <v>113</v>
      </c>
      <c r="D68" s="23" t="n">
        <v>19</v>
      </c>
      <c r="E68" s="210"/>
    </row>
    <row r="69" customFormat="false" ht="15" hidden="false" customHeight="false" outlineLevel="0" collapsed="false">
      <c r="A69" s="178" t="n">
        <v>4</v>
      </c>
      <c r="B69" s="211"/>
      <c r="C69" s="212" t="s">
        <v>957</v>
      </c>
      <c r="D69" s="213" t="n">
        <v>11</v>
      </c>
      <c r="E69" s="211"/>
    </row>
    <row r="70" customFormat="false" ht="15" hidden="false" customHeight="false" outlineLevel="0" collapsed="false">
      <c r="A70" s="20" t="n">
        <v>5</v>
      </c>
      <c r="B70" s="210"/>
      <c r="C70" s="162" t="s">
        <v>953</v>
      </c>
      <c r="D70" s="23" t="n">
        <v>5</v>
      </c>
      <c r="E70" s="210"/>
    </row>
    <row r="71" customFormat="false" ht="15" hidden="false" customHeight="false" outlineLevel="0" collapsed="false">
      <c r="A71" s="178" t="n">
        <v>6</v>
      </c>
      <c r="B71" s="211"/>
      <c r="C71" s="212" t="s">
        <v>121</v>
      </c>
      <c r="D71" s="213" t="n">
        <v>2</v>
      </c>
      <c r="E71" s="211"/>
    </row>
    <row r="72" customFormat="false" ht="15" hidden="false" customHeight="false" outlineLevel="0" collapsed="false">
      <c r="A72" s="20" t="n">
        <v>7</v>
      </c>
      <c r="B72" s="210"/>
      <c r="C72" s="162" t="s">
        <v>954</v>
      </c>
      <c r="D72" s="23" t="n">
        <v>1</v>
      </c>
      <c r="E72" s="210"/>
    </row>
    <row r="73" customFormat="false" ht="15" hidden="false" customHeight="false" outlineLevel="0" collapsed="false">
      <c r="A73" s="214" t="s">
        <v>958</v>
      </c>
      <c r="B73" s="214"/>
      <c r="C73" s="214"/>
      <c r="D73" s="215" t="n">
        <v>180</v>
      </c>
      <c r="E73" s="216"/>
    </row>
    <row r="74" customFormat="false" ht="14.15" hidden="false" customHeight="false" outlineLevel="0" collapsed="false">
      <c r="A74" s="208" t="s">
        <v>959</v>
      </c>
      <c r="B74" s="208"/>
      <c r="C74" s="208"/>
      <c r="D74" s="208"/>
      <c r="E74" s="208"/>
    </row>
    <row r="75" customFormat="false" ht="15" hidden="false" customHeight="false" outlineLevel="0" collapsed="false">
      <c r="A75" s="182" t="s">
        <v>46</v>
      </c>
      <c r="B75" s="182"/>
      <c r="C75" s="209" t="s">
        <v>932</v>
      </c>
      <c r="D75" s="209" t="s">
        <v>933</v>
      </c>
      <c r="E75" s="182"/>
    </row>
    <row r="76" customFormat="false" ht="15" hidden="false" customHeight="false" outlineLevel="0" collapsed="false">
      <c r="A76" s="20" t="n">
        <v>1</v>
      </c>
      <c r="B76" s="210"/>
      <c r="C76" s="162" t="s">
        <v>934</v>
      </c>
      <c r="D76" s="23" t="n">
        <v>182</v>
      </c>
      <c r="E76" s="210"/>
    </row>
    <row r="77" customFormat="false" ht="15" hidden="false" customHeight="false" outlineLevel="0" collapsed="false">
      <c r="A77" s="178" t="n">
        <v>2</v>
      </c>
      <c r="B77" s="211"/>
      <c r="C77" s="212" t="s">
        <v>935</v>
      </c>
      <c r="D77" s="213" t="n">
        <v>125</v>
      </c>
      <c r="E77" s="211"/>
    </row>
    <row r="78" customFormat="false" ht="15" hidden="false" customHeight="false" outlineLevel="0" collapsed="false">
      <c r="A78" s="20" t="n">
        <v>3</v>
      </c>
      <c r="B78" s="210"/>
      <c r="C78" s="162" t="s">
        <v>99</v>
      </c>
      <c r="D78" s="23" t="n">
        <v>14</v>
      </c>
      <c r="E78" s="210"/>
    </row>
    <row r="79" customFormat="false" ht="15" hidden="false" customHeight="false" outlineLevel="0" collapsed="false">
      <c r="A79" s="178" t="n">
        <v>4</v>
      </c>
      <c r="B79" s="211"/>
      <c r="C79" s="212" t="s">
        <v>113</v>
      </c>
      <c r="D79" s="213" t="n">
        <v>14</v>
      </c>
      <c r="E79" s="211"/>
    </row>
    <row r="80" customFormat="false" ht="15" hidden="false" customHeight="false" outlineLevel="0" collapsed="false">
      <c r="A80" s="20" t="n">
        <v>5</v>
      </c>
      <c r="B80" s="210"/>
      <c r="C80" s="162" t="s">
        <v>940</v>
      </c>
      <c r="D80" s="23" t="n">
        <v>7</v>
      </c>
      <c r="E80" s="210"/>
    </row>
    <row r="81" customFormat="false" ht="15" hidden="false" customHeight="false" outlineLevel="0" collapsed="false">
      <c r="A81" s="178" t="n">
        <v>6</v>
      </c>
      <c r="B81" s="211"/>
      <c r="C81" s="212" t="s">
        <v>93</v>
      </c>
      <c r="D81" s="213" t="n">
        <v>4</v>
      </c>
      <c r="E81" s="211"/>
    </row>
    <row r="82" customFormat="false" ht="15" hidden="false" customHeight="false" outlineLevel="0" collapsed="false">
      <c r="A82" s="20" t="n">
        <v>7</v>
      </c>
      <c r="B82" s="210"/>
      <c r="C82" s="162" t="s">
        <v>108</v>
      </c>
      <c r="D82" s="23" t="n">
        <v>3</v>
      </c>
      <c r="E82" s="210"/>
    </row>
    <row r="83" customFormat="false" ht="15" hidden="false" customHeight="false" outlineLevel="0" collapsed="false">
      <c r="A83" s="178" t="n">
        <v>8</v>
      </c>
      <c r="B83" s="211"/>
      <c r="C83" s="212" t="s">
        <v>960</v>
      </c>
      <c r="D83" s="213" t="n">
        <v>2</v>
      </c>
      <c r="E83" s="211"/>
    </row>
    <row r="84" customFormat="false" ht="15" hidden="false" customHeight="false" outlineLevel="0" collapsed="false">
      <c r="A84" s="20" t="n">
        <v>9</v>
      </c>
      <c r="B84" s="210"/>
      <c r="C84" s="162" t="s">
        <v>60</v>
      </c>
      <c r="D84" s="23" t="n">
        <v>2</v>
      </c>
      <c r="E84" s="210"/>
    </row>
    <row r="85" customFormat="false" ht="15" hidden="false" customHeight="false" outlineLevel="0" collapsed="false">
      <c r="A85" s="178" t="n">
        <v>10</v>
      </c>
      <c r="B85" s="211"/>
      <c r="C85" s="212" t="s">
        <v>961</v>
      </c>
      <c r="D85" s="213" t="n">
        <v>2</v>
      </c>
      <c r="E85" s="211"/>
    </row>
    <row r="86" customFormat="false" ht="15" hidden="false" customHeight="false" outlineLevel="0" collapsed="false">
      <c r="A86" s="20" t="n">
        <v>11</v>
      </c>
      <c r="B86" s="210"/>
      <c r="C86" s="162" t="s">
        <v>121</v>
      </c>
      <c r="D86" s="23" t="n">
        <v>2</v>
      </c>
      <c r="E86" s="210"/>
    </row>
    <row r="87" customFormat="false" ht="15" hidden="false" customHeight="false" outlineLevel="0" collapsed="false">
      <c r="A87" s="178" t="n">
        <v>12</v>
      </c>
      <c r="B87" s="211"/>
      <c r="C87" s="212" t="s">
        <v>118</v>
      </c>
      <c r="D87" s="213" t="n">
        <v>1</v>
      </c>
      <c r="E87" s="211"/>
    </row>
    <row r="88" customFormat="false" ht="15" hidden="false" customHeight="false" outlineLevel="0" collapsed="false">
      <c r="A88" s="20" t="n">
        <v>13</v>
      </c>
      <c r="B88" s="210"/>
      <c r="C88" s="162" t="s">
        <v>942</v>
      </c>
      <c r="D88" s="23" t="n">
        <v>1</v>
      </c>
      <c r="E88" s="210"/>
    </row>
    <row r="89" customFormat="false" ht="15" hidden="false" customHeight="false" outlineLevel="0" collapsed="false">
      <c r="A89" s="178" t="n">
        <v>14</v>
      </c>
      <c r="B89" s="211"/>
      <c r="C89" s="212" t="s">
        <v>962</v>
      </c>
      <c r="D89" s="213" t="n">
        <v>1</v>
      </c>
      <c r="E89" s="211"/>
    </row>
    <row r="90" customFormat="false" ht="15" hidden="false" customHeight="false" outlineLevel="0" collapsed="false">
      <c r="A90" s="20" t="n">
        <v>15</v>
      </c>
      <c r="B90" s="210"/>
      <c r="C90" s="162" t="s">
        <v>109</v>
      </c>
      <c r="D90" s="23" t="n">
        <v>1</v>
      </c>
      <c r="E90" s="210"/>
    </row>
    <row r="91" customFormat="false" ht="15" hidden="false" customHeight="false" outlineLevel="0" collapsed="false">
      <c r="A91" s="214" t="s">
        <v>963</v>
      </c>
      <c r="B91" s="214"/>
      <c r="C91" s="214"/>
      <c r="D91" s="215" t="n">
        <v>361</v>
      </c>
      <c r="E91" s="216"/>
    </row>
    <row r="92" customFormat="false" ht="14.15" hidden="false" customHeight="false" outlineLevel="0" collapsed="false">
      <c r="A92" s="208" t="s">
        <v>964</v>
      </c>
      <c r="B92" s="208"/>
      <c r="C92" s="208"/>
      <c r="D92" s="208"/>
      <c r="E92" s="208"/>
    </row>
    <row r="93" customFormat="false" ht="15" hidden="false" customHeight="false" outlineLevel="0" collapsed="false">
      <c r="A93" s="182" t="s">
        <v>46</v>
      </c>
      <c r="B93" s="182"/>
      <c r="C93" s="209" t="s">
        <v>932</v>
      </c>
      <c r="D93" s="209" t="s">
        <v>933</v>
      </c>
      <c r="E93" s="182"/>
    </row>
    <row r="94" customFormat="false" ht="15" hidden="false" customHeight="false" outlineLevel="0" collapsed="false">
      <c r="A94" s="20" t="n">
        <v>1</v>
      </c>
      <c r="B94" s="210"/>
      <c r="C94" s="162" t="s">
        <v>934</v>
      </c>
      <c r="D94" s="23" t="n">
        <v>76</v>
      </c>
      <c r="E94" s="210"/>
    </row>
    <row r="95" customFormat="false" ht="15" hidden="false" customHeight="false" outlineLevel="0" collapsed="false">
      <c r="A95" s="178" t="n">
        <v>2</v>
      </c>
      <c r="B95" s="211"/>
      <c r="C95" s="212" t="s">
        <v>935</v>
      </c>
      <c r="D95" s="213" t="n">
        <v>28</v>
      </c>
      <c r="E95" s="211"/>
    </row>
    <row r="96" customFormat="false" ht="15" hidden="false" customHeight="false" outlineLevel="0" collapsed="false">
      <c r="A96" s="20" t="n">
        <v>3</v>
      </c>
      <c r="B96" s="210"/>
      <c r="C96" s="162" t="s">
        <v>113</v>
      </c>
      <c r="D96" s="23" t="n">
        <v>14</v>
      </c>
      <c r="E96" s="210"/>
    </row>
    <row r="97" customFormat="false" ht="15" hidden="false" customHeight="false" outlineLevel="0" collapsed="false">
      <c r="A97" s="178" t="n">
        <v>4</v>
      </c>
      <c r="B97" s="211"/>
      <c r="C97" s="212" t="s">
        <v>99</v>
      </c>
      <c r="D97" s="213" t="n">
        <v>7</v>
      </c>
      <c r="E97" s="211"/>
    </row>
    <row r="98" customFormat="false" ht="15" hidden="false" customHeight="false" outlineLevel="0" collapsed="false">
      <c r="A98" s="20" t="n">
        <v>5</v>
      </c>
      <c r="B98" s="210"/>
      <c r="C98" s="162" t="s">
        <v>93</v>
      </c>
      <c r="D98" s="23" t="n">
        <v>5</v>
      </c>
      <c r="E98" s="210"/>
    </row>
    <row r="99" customFormat="false" ht="15" hidden="false" customHeight="false" outlineLevel="0" collapsed="false">
      <c r="A99" s="178" t="n">
        <v>6</v>
      </c>
      <c r="B99" s="211"/>
      <c r="C99" s="212" t="s">
        <v>965</v>
      </c>
      <c r="D99" s="213" t="n">
        <v>3</v>
      </c>
      <c r="E99" s="211"/>
    </row>
    <row r="100" customFormat="false" ht="15" hidden="false" customHeight="false" outlineLevel="0" collapsed="false">
      <c r="A100" s="20" t="n">
        <v>7</v>
      </c>
      <c r="B100" s="210"/>
      <c r="C100" s="162" t="s">
        <v>108</v>
      </c>
      <c r="D100" s="23" t="n">
        <v>2</v>
      </c>
      <c r="E100" s="210"/>
    </row>
    <row r="101" customFormat="false" ht="15" hidden="false" customHeight="false" outlineLevel="0" collapsed="false">
      <c r="A101" s="178" t="n">
        <v>8</v>
      </c>
      <c r="B101" s="211"/>
      <c r="C101" s="212" t="s">
        <v>966</v>
      </c>
      <c r="D101" s="213" t="n">
        <v>2</v>
      </c>
      <c r="E101" s="211"/>
    </row>
    <row r="102" customFormat="false" ht="15" hidden="false" customHeight="false" outlineLevel="0" collapsed="false">
      <c r="A102" s="20" t="n">
        <v>9</v>
      </c>
      <c r="B102" s="210"/>
      <c r="C102" s="162" t="s">
        <v>967</v>
      </c>
      <c r="D102" s="23" t="n">
        <v>1</v>
      </c>
      <c r="E102" s="210"/>
    </row>
    <row r="103" customFormat="false" ht="15" hidden="false" customHeight="false" outlineLevel="0" collapsed="false">
      <c r="A103" s="178" t="n">
        <v>10</v>
      </c>
      <c r="B103" s="211"/>
      <c r="C103" s="212" t="s">
        <v>53</v>
      </c>
      <c r="D103" s="213" t="n">
        <v>1</v>
      </c>
      <c r="E103" s="211"/>
    </row>
    <row r="104" customFormat="false" ht="15" hidden="false" customHeight="false" outlineLevel="0" collapsed="false">
      <c r="A104" s="20" t="n">
        <v>11</v>
      </c>
      <c r="B104" s="210"/>
      <c r="C104" s="162" t="s">
        <v>57</v>
      </c>
      <c r="D104" s="23" t="n">
        <v>1</v>
      </c>
      <c r="E104" s="210"/>
    </row>
    <row r="105" customFormat="false" ht="15" hidden="false" customHeight="false" outlineLevel="0" collapsed="false">
      <c r="A105" s="178" t="n">
        <v>12</v>
      </c>
      <c r="B105" s="211"/>
      <c r="C105" s="212" t="s">
        <v>80</v>
      </c>
      <c r="D105" s="213" t="n">
        <v>1</v>
      </c>
      <c r="E105" s="211"/>
    </row>
    <row r="106" customFormat="false" ht="15" hidden="false" customHeight="false" outlineLevel="0" collapsed="false">
      <c r="A106" s="20" t="n">
        <v>13</v>
      </c>
      <c r="B106" s="210"/>
      <c r="C106" s="162" t="s">
        <v>940</v>
      </c>
      <c r="D106" s="23" t="n">
        <v>1</v>
      </c>
      <c r="E106" s="210"/>
    </row>
    <row r="107" customFormat="false" ht="15" hidden="false" customHeight="false" outlineLevel="0" collapsed="false">
      <c r="A107" s="214" t="s">
        <v>968</v>
      </c>
      <c r="B107" s="214"/>
      <c r="C107" s="214"/>
      <c r="D107" s="215" t="n">
        <v>142</v>
      </c>
      <c r="E107" s="216"/>
    </row>
    <row r="109" customFormat="false" ht="15" hidden="false" customHeight="false" outlineLevel="0" collapsed="false">
      <c r="A109" s="217" t="s">
        <v>944</v>
      </c>
      <c r="B109" s="217"/>
      <c r="C109" s="217"/>
      <c r="D109" s="217"/>
      <c r="E109" s="217"/>
    </row>
    <row r="110" customFormat="false" ht="15" hidden="false" customHeight="false" outlineLevel="0" collapsed="false">
      <c r="A110" s="182" t="s">
        <v>46</v>
      </c>
      <c r="B110" s="182"/>
      <c r="C110" s="209" t="s">
        <v>932</v>
      </c>
      <c r="D110" s="209" t="s">
        <v>945</v>
      </c>
      <c r="E110" s="182"/>
    </row>
    <row r="111" customFormat="false" ht="15" hidden="false" customHeight="false" outlineLevel="0" collapsed="false">
      <c r="A111" s="20" t="n">
        <v>1</v>
      </c>
      <c r="B111" s="210"/>
      <c r="C111" s="162" t="s">
        <v>934</v>
      </c>
      <c r="D111" s="23" t="n">
        <v>403</v>
      </c>
      <c r="E111" s="210"/>
    </row>
    <row r="112" customFormat="false" ht="15" hidden="false" customHeight="false" outlineLevel="0" collapsed="false">
      <c r="A112" s="178" t="n">
        <v>2</v>
      </c>
      <c r="B112" s="211"/>
      <c r="C112" s="212" t="s">
        <v>952</v>
      </c>
      <c r="D112" s="213" t="n">
        <v>244</v>
      </c>
      <c r="E112" s="211"/>
    </row>
    <row r="113" customFormat="false" ht="15" hidden="false" customHeight="false" outlineLevel="0" collapsed="false">
      <c r="A113" s="20" t="n">
        <v>3</v>
      </c>
      <c r="B113" s="210"/>
      <c r="C113" s="162" t="s">
        <v>935</v>
      </c>
      <c r="D113" s="23" t="n">
        <v>211</v>
      </c>
      <c r="E113" s="210"/>
    </row>
    <row r="114" customFormat="false" ht="15" hidden="false" customHeight="false" outlineLevel="0" collapsed="false">
      <c r="A114" s="178" t="n">
        <v>4</v>
      </c>
      <c r="B114" s="211"/>
      <c r="C114" s="212" t="s">
        <v>113</v>
      </c>
      <c r="D114" s="213" t="n">
        <v>94</v>
      </c>
      <c r="E114" s="211"/>
    </row>
    <row r="115" customFormat="false" ht="15" hidden="false" customHeight="false" outlineLevel="0" collapsed="false">
      <c r="A115" s="20" t="n">
        <v>5</v>
      </c>
      <c r="B115" s="210"/>
      <c r="C115" s="162" t="s">
        <v>99</v>
      </c>
      <c r="D115" s="23" t="n">
        <v>62</v>
      </c>
      <c r="E115" s="210"/>
    </row>
    <row r="116" customFormat="false" ht="15" hidden="false" customHeight="false" outlineLevel="0" collapsed="false">
      <c r="A116" s="178" t="n">
        <v>6</v>
      </c>
      <c r="B116" s="211"/>
      <c r="C116" s="212" t="s">
        <v>936</v>
      </c>
      <c r="D116" s="213" t="n">
        <v>52</v>
      </c>
      <c r="E116" s="211"/>
    </row>
    <row r="117" customFormat="false" ht="15" hidden="false" customHeight="false" outlineLevel="0" collapsed="false">
      <c r="A117" s="20" t="n">
        <v>7</v>
      </c>
      <c r="B117" s="210"/>
      <c r="C117" s="162" t="s">
        <v>937</v>
      </c>
      <c r="D117" s="23" t="n">
        <v>26</v>
      </c>
      <c r="E117" s="210"/>
    </row>
    <row r="118" customFormat="false" ht="15" hidden="false" customHeight="false" outlineLevel="0" collapsed="false">
      <c r="A118" s="178" t="n">
        <v>8</v>
      </c>
      <c r="B118" s="211"/>
      <c r="C118" s="212" t="s">
        <v>953</v>
      </c>
      <c r="D118" s="213" t="n">
        <v>20</v>
      </c>
      <c r="E118" s="211"/>
    </row>
    <row r="119" customFormat="false" ht="15" hidden="false" customHeight="false" outlineLevel="0" collapsed="false">
      <c r="A119" s="20" t="n">
        <v>9</v>
      </c>
      <c r="B119" s="210"/>
      <c r="C119" s="162" t="s">
        <v>940</v>
      </c>
      <c r="D119" s="23" t="n">
        <v>15</v>
      </c>
      <c r="E119" s="210"/>
    </row>
    <row r="120" customFormat="false" ht="15" hidden="false" customHeight="false" outlineLevel="0" collapsed="false">
      <c r="A120" s="178" t="n">
        <v>10</v>
      </c>
      <c r="B120" s="211"/>
      <c r="C120" s="212" t="s">
        <v>957</v>
      </c>
      <c r="D120" s="213" t="n">
        <v>11</v>
      </c>
      <c r="E120" s="211"/>
    </row>
    <row r="121" customFormat="false" ht="15" hidden="false" customHeight="false" outlineLevel="0" collapsed="false">
      <c r="A121" s="20" t="n">
        <v>11</v>
      </c>
      <c r="B121" s="210"/>
      <c r="C121" s="162" t="s">
        <v>939</v>
      </c>
      <c r="D121" s="23" t="n">
        <v>10</v>
      </c>
      <c r="E121" s="210"/>
    </row>
    <row r="122" customFormat="false" ht="15" hidden="false" customHeight="false" outlineLevel="0" collapsed="false">
      <c r="A122" s="178" t="n">
        <v>12</v>
      </c>
      <c r="B122" s="211"/>
      <c r="C122" s="212" t="s">
        <v>938</v>
      </c>
      <c r="D122" s="213" t="n">
        <v>9</v>
      </c>
      <c r="E122" s="211"/>
    </row>
    <row r="123" customFormat="false" ht="15" hidden="false" customHeight="false" outlineLevel="0" collapsed="false">
      <c r="A123" s="20" t="n">
        <v>13</v>
      </c>
      <c r="B123" s="210"/>
      <c r="C123" s="162" t="s">
        <v>93</v>
      </c>
      <c r="D123" s="23" t="n">
        <v>9</v>
      </c>
      <c r="E123" s="210"/>
    </row>
    <row r="124" customFormat="false" ht="15" hidden="false" customHeight="false" outlineLevel="0" collapsed="false">
      <c r="A124" s="178" t="n">
        <v>14</v>
      </c>
      <c r="B124" s="211"/>
      <c r="C124" s="212" t="s">
        <v>121</v>
      </c>
      <c r="D124" s="213" t="n">
        <v>8</v>
      </c>
      <c r="E124" s="211"/>
    </row>
    <row r="125" customFormat="false" ht="15" hidden="false" customHeight="false" outlineLevel="0" collapsed="false">
      <c r="A125" s="20" t="n">
        <v>15</v>
      </c>
      <c r="B125" s="210"/>
      <c r="C125" s="162" t="s">
        <v>954</v>
      </c>
      <c r="D125" s="23" t="n">
        <v>5</v>
      </c>
      <c r="E125" s="210"/>
    </row>
    <row r="126" customFormat="false" ht="15" hidden="false" customHeight="false" outlineLevel="0" collapsed="false">
      <c r="A126" s="178" t="n">
        <v>16</v>
      </c>
      <c r="B126" s="211"/>
      <c r="C126" s="212" t="s">
        <v>108</v>
      </c>
      <c r="D126" s="213" t="n">
        <v>5</v>
      </c>
      <c r="E126" s="211"/>
    </row>
    <row r="127" customFormat="false" ht="15" hidden="false" customHeight="false" outlineLevel="0" collapsed="false">
      <c r="A127" s="20" t="n">
        <v>17</v>
      </c>
      <c r="B127" s="210"/>
      <c r="C127" s="162" t="s">
        <v>941</v>
      </c>
      <c r="D127" s="23" t="n">
        <v>4</v>
      </c>
      <c r="E127" s="210"/>
    </row>
    <row r="128" customFormat="false" ht="15" hidden="false" customHeight="false" outlineLevel="0" collapsed="false">
      <c r="A128" s="178" t="n">
        <v>18</v>
      </c>
      <c r="B128" s="211"/>
      <c r="C128" s="212" t="s">
        <v>118</v>
      </c>
      <c r="D128" s="213" t="n">
        <v>4</v>
      </c>
      <c r="E128" s="211"/>
    </row>
    <row r="129" customFormat="false" ht="15" hidden="false" customHeight="false" outlineLevel="0" collapsed="false">
      <c r="A129" s="20" t="n">
        <v>19</v>
      </c>
      <c r="B129" s="210"/>
      <c r="C129" s="162" t="s">
        <v>942</v>
      </c>
      <c r="D129" s="23" t="n">
        <v>3</v>
      </c>
      <c r="E129" s="210"/>
    </row>
    <row r="130" customFormat="false" ht="15" hidden="false" customHeight="false" outlineLevel="0" collapsed="false">
      <c r="A130" s="178" t="n">
        <v>20</v>
      </c>
      <c r="B130" s="211"/>
      <c r="C130" s="212" t="s">
        <v>965</v>
      </c>
      <c r="D130" s="213" t="n">
        <v>3</v>
      </c>
      <c r="E130" s="211"/>
    </row>
    <row r="131" customFormat="false" ht="15" hidden="false" customHeight="false" outlineLevel="0" collapsed="false">
      <c r="A131" s="20" t="n">
        <v>21</v>
      </c>
      <c r="B131" s="210"/>
      <c r="C131" s="162" t="s">
        <v>960</v>
      </c>
      <c r="D131" s="23" t="n">
        <v>2</v>
      </c>
      <c r="E131" s="210"/>
    </row>
    <row r="132" customFormat="false" ht="15" hidden="false" customHeight="false" outlineLevel="0" collapsed="false">
      <c r="A132" s="178" t="n">
        <v>22</v>
      </c>
      <c r="B132" s="211"/>
      <c r="C132" s="212" t="s">
        <v>60</v>
      </c>
      <c r="D132" s="213" t="n">
        <v>2</v>
      </c>
      <c r="E132" s="211"/>
    </row>
    <row r="133" customFormat="false" ht="15" hidden="false" customHeight="false" outlineLevel="0" collapsed="false">
      <c r="A133" s="20" t="n">
        <v>23</v>
      </c>
      <c r="B133" s="210"/>
      <c r="C133" s="162" t="s">
        <v>961</v>
      </c>
      <c r="D133" s="23" t="n">
        <v>2</v>
      </c>
      <c r="E133" s="210"/>
    </row>
    <row r="134" customFormat="false" ht="15" hidden="false" customHeight="false" outlineLevel="0" collapsed="false">
      <c r="A134" s="178" t="n">
        <v>24</v>
      </c>
      <c r="B134" s="211"/>
      <c r="C134" s="212" t="s">
        <v>966</v>
      </c>
      <c r="D134" s="213" t="n">
        <v>2</v>
      </c>
      <c r="E134" s="211"/>
    </row>
    <row r="135" customFormat="false" ht="15" hidden="false" customHeight="false" outlineLevel="0" collapsed="false">
      <c r="A135" s="20" t="n">
        <v>25</v>
      </c>
      <c r="B135" s="210"/>
      <c r="C135" s="162" t="s">
        <v>962</v>
      </c>
      <c r="D135" s="23" t="n">
        <v>1</v>
      </c>
      <c r="E135" s="210"/>
    </row>
    <row r="136" customFormat="false" ht="15" hidden="false" customHeight="false" outlineLevel="0" collapsed="false">
      <c r="A136" s="178" t="n">
        <v>26</v>
      </c>
      <c r="B136" s="211"/>
      <c r="C136" s="212" t="s">
        <v>109</v>
      </c>
      <c r="D136" s="213" t="n">
        <v>1</v>
      </c>
      <c r="E136" s="211"/>
    </row>
    <row r="137" customFormat="false" ht="15" hidden="false" customHeight="false" outlineLevel="0" collapsed="false">
      <c r="A137" s="20" t="n">
        <v>27</v>
      </c>
      <c r="B137" s="210"/>
      <c r="C137" s="162" t="s">
        <v>967</v>
      </c>
      <c r="D137" s="23" t="n">
        <v>1</v>
      </c>
      <c r="E137" s="210"/>
    </row>
    <row r="138" customFormat="false" ht="15" hidden="false" customHeight="false" outlineLevel="0" collapsed="false">
      <c r="A138" s="178" t="n">
        <v>28</v>
      </c>
      <c r="B138" s="211"/>
      <c r="C138" s="212" t="s">
        <v>53</v>
      </c>
      <c r="D138" s="213" t="n">
        <v>1</v>
      </c>
      <c r="E138" s="211"/>
    </row>
    <row r="139" customFormat="false" ht="15" hidden="false" customHeight="false" outlineLevel="0" collapsed="false">
      <c r="A139" s="20" t="n">
        <v>29</v>
      </c>
      <c r="B139" s="210"/>
      <c r="C139" s="162" t="s">
        <v>57</v>
      </c>
      <c r="D139" s="23" t="n">
        <v>1</v>
      </c>
      <c r="E139" s="210"/>
    </row>
    <row r="140" customFormat="false" ht="15" hidden="false" customHeight="false" outlineLevel="0" collapsed="false">
      <c r="A140" s="178" t="n">
        <v>30</v>
      </c>
      <c r="B140" s="211"/>
      <c r="C140" s="212" t="s">
        <v>80</v>
      </c>
      <c r="D140" s="213" t="n">
        <v>1</v>
      </c>
      <c r="E140" s="211"/>
    </row>
    <row r="141" customFormat="false" ht="15" hidden="false" customHeight="false" outlineLevel="0" collapsed="false">
      <c r="A141" s="218" t="s">
        <v>969</v>
      </c>
      <c r="B141" s="218"/>
      <c r="C141" s="218"/>
      <c r="D141" s="219" t="n">
        <v>1212</v>
      </c>
      <c r="E141" s="220"/>
    </row>
    <row r="143" customFormat="false" ht="37.5" hidden="false" customHeight="true" outlineLevel="0" collapsed="false">
      <c r="A143" s="206" t="s">
        <v>970</v>
      </c>
      <c r="B143" s="206"/>
      <c r="C143" s="206"/>
      <c r="D143" s="206"/>
      <c r="E143" s="206"/>
    </row>
    <row r="144" customFormat="false" ht="15" hidden="false" customHeight="false" outlineLevel="0" collapsed="false">
      <c r="A144" s="207" t="s">
        <v>971</v>
      </c>
      <c r="B144" s="207"/>
      <c r="C144" s="207"/>
      <c r="D144" s="207"/>
      <c r="E144" s="207"/>
    </row>
    <row r="145" customFormat="false" ht="14.15" hidden="false" customHeight="false" outlineLevel="0" collapsed="false">
      <c r="A145" s="208" t="s">
        <v>972</v>
      </c>
      <c r="B145" s="208"/>
      <c r="C145" s="208"/>
      <c r="D145" s="208"/>
      <c r="E145" s="208"/>
    </row>
    <row r="146" customFormat="false" ht="15" hidden="false" customHeight="false" outlineLevel="0" collapsed="false">
      <c r="A146" s="182" t="s">
        <v>46</v>
      </c>
      <c r="B146" s="182"/>
      <c r="C146" s="209" t="s">
        <v>932</v>
      </c>
      <c r="D146" s="209" t="s">
        <v>933</v>
      </c>
      <c r="E146" s="182"/>
    </row>
    <row r="147" customFormat="false" ht="15" hidden="false" customHeight="false" outlineLevel="0" collapsed="false">
      <c r="A147" s="20" t="n">
        <v>1</v>
      </c>
      <c r="B147" s="210"/>
      <c r="C147" s="162" t="s">
        <v>934</v>
      </c>
      <c r="D147" s="23" t="n">
        <v>168</v>
      </c>
      <c r="E147" s="210"/>
    </row>
    <row r="148" customFormat="false" ht="15" hidden="false" customHeight="false" outlineLevel="0" collapsed="false">
      <c r="A148" s="178" t="n">
        <v>2</v>
      </c>
      <c r="B148" s="211"/>
      <c r="C148" s="212" t="s">
        <v>935</v>
      </c>
      <c r="D148" s="213" t="n">
        <v>125</v>
      </c>
      <c r="E148" s="211"/>
    </row>
    <row r="149" customFormat="false" ht="15" hidden="false" customHeight="false" outlineLevel="0" collapsed="false">
      <c r="A149" s="20" t="n">
        <v>3</v>
      </c>
      <c r="B149" s="210"/>
      <c r="C149" s="162" t="s">
        <v>113</v>
      </c>
      <c r="D149" s="23" t="n">
        <v>63</v>
      </c>
      <c r="E149" s="210"/>
    </row>
    <row r="150" customFormat="false" ht="15" hidden="false" customHeight="false" outlineLevel="0" collapsed="false">
      <c r="A150" s="178" t="n">
        <v>4</v>
      </c>
      <c r="B150" s="211"/>
      <c r="C150" s="212" t="s">
        <v>965</v>
      </c>
      <c r="D150" s="213" t="n">
        <v>15</v>
      </c>
      <c r="E150" s="211"/>
    </row>
    <row r="151" customFormat="false" ht="15" hidden="false" customHeight="false" outlineLevel="0" collapsed="false">
      <c r="A151" s="20" t="n">
        <v>5</v>
      </c>
      <c r="B151" s="210"/>
      <c r="C151" s="162" t="s">
        <v>966</v>
      </c>
      <c r="D151" s="23" t="n">
        <v>10</v>
      </c>
      <c r="E151" s="210"/>
    </row>
    <row r="152" customFormat="false" ht="15" hidden="false" customHeight="false" outlineLevel="0" collapsed="false">
      <c r="A152" s="178" t="n">
        <v>6</v>
      </c>
      <c r="B152" s="211"/>
      <c r="C152" s="212" t="s">
        <v>99</v>
      </c>
      <c r="D152" s="213" t="n">
        <v>9</v>
      </c>
      <c r="E152" s="211"/>
    </row>
    <row r="153" customFormat="false" ht="15" hidden="false" customHeight="false" outlineLevel="0" collapsed="false">
      <c r="A153" s="20" t="n">
        <v>7</v>
      </c>
      <c r="B153" s="210"/>
      <c r="C153" s="162" t="s">
        <v>108</v>
      </c>
      <c r="D153" s="23" t="n">
        <v>7</v>
      </c>
      <c r="E153" s="210"/>
    </row>
    <row r="154" customFormat="false" ht="15" hidden="false" customHeight="false" outlineLevel="0" collapsed="false">
      <c r="A154" s="178" t="n">
        <v>8</v>
      </c>
      <c r="B154" s="211"/>
      <c r="C154" s="212" t="s">
        <v>940</v>
      </c>
      <c r="D154" s="213" t="n">
        <v>6</v>
      </c>
      <c r="E154" s="211"/>
    </row>
    <row r="155" customFormat="false" ht="15" hidden="false" customHeight="false" outlineLevel="0" collapsed="false">
      <c r="A155" s="20" t="n">
        <v>9</v>
      </c>
      <c r="B155" s="210"/>
      <c r="C155" s="162" t="s">
        <v>121</v>
      </c>
      <c r="D155" s="23" t="n">
        <v>5</v>
      </c>
      <c r="E155" s="210"/>
    </row>
    <row r="156" customFormat="false" ht="15" hidden="false" customHeight="false" outlineLevel="0" collapsed="false">
      <c r="A156" s="178" t="n">
        <v>10</v>
      </c>
      <c r="B156" s="211"/>
      <c r="C156" s="212" t="s">
        <v>93</v>
      </c>
      <c r="D156" s="213" t="n">
        <v>4</v>
      </c>
      <c r="E156" s="211"/>
    </row>
    <row r="157" customFormat="false" ht="15" hidden="false" customHeight="false" outlineLevel="0" collapsed="false">
      <c r="A157" s="20" t="n">
        <v>11</v>
      </c>
      <c r="B157" s="210"/>
      <c r="C157" s="162" t="s">
        <v>939</v>
      </c>
      <c r="D157" s="23" t="n">
        <v>2</v>
      </c>
      <c r="E157" s="210"/>
    </row>
    <row r="158" customFormat="false" ht="15" hidden="false" customHeight="false" outlineLevel="0" collapsed="false">
      <c r="A158" s="178" t="n">
        <v>12</v>
      </c>
      <c r="B158" s="211"/>
      <c r="C158" s="212" t="s">
        <v>118</v>
      </c>
      <c r="D158" s="213" t="n">
        <v>1</v>
      </c>
      <c r="E158" s="211"/>
    </row>
    <row r="159" customFormat="false" ht="15" hidden="false" customHeight="false" outlineLevel="0" collapsed="false">
      <c r="A159" s="20" t="n">
        <v>13</v>
      </c>
      <c r="B159" s="210"/>
      <c r="C159" s="162" t="s">
        <v>973</v>
      </c>
      <c r="D159" s="23" t="n">
        <v>1</v>
      </c>
      <c r="E159" s="210"/>
    </row>
    <row r="160" customFormat="false" ht="15" hidden="false" customHeight="false" outlineLevel="0" collapsed="false">
      <c r="A160" s="178" t="n">
        <v>14</v>
      </c>
      <c r="B160" s="211"/>
      <c r="C160" s="212" t="s">
        <v>974</v>
      </c>
      <c r="D160" s="213" t="n">
        <v>1</v>
      </c>
      <c r="E160" s="211"/>
    </row>
    <row r="161" customFormat="false" ht="15" hidden="false" customHeight="false" outlineLevel="0" collapsed="false">
      <c r="A161" s="20" t="n">
        <v>15</v>
      </c>
      <c r="B161" s="210"/>
      <c r="C161" s="162" t="s">
        <v>941</v>
      </c>
      <c r="D161" s="23" t="n">
        <v>1</v>
      </c>
      <c r="E161" s="210"/>
    </row>
    <row r="162" customFormat="false" ht="15" hidden="false" customHeight="false" outlineLevel="0" collapsed="false">
      <c r="A162" s="214" t="s">
        <v>975</v>
      </c>
      <c r="B162" s="214"/>
      <c r="C162" s="214"/>
      <c r="D162" s="215" t="n">
        <v>418</v>
      </c>
      <c r="E162" s="216"/>
    </row>
    <row r="163" customFormat="false" ht="14.15" hidden="false" customHeight="false" outlineLevel="0" collapsed="false">
      <c r="A163" s="208" t="s">
        <v>976</v>
      </c>
      <c r="B163" s="208"/>
      <c r="C163" s="208"/>
      <c r="D163" s="208"/>
      <c r="E163" s="208"/>
    </row>
    <row r="164" customFormat="false" ht="15" hidden="false" customHeight="false" outlineLevel="0" collapsed="false">
      <c r="A164" s="182" t="s">
        <v>46</v>
      </c>
      <c r="B164" s="182"/>
      <c r="C164" s="209" t="s">
        <v>932</v>
      </c>
      <c r="D164" s="209" t="s">
        <v>933</v>
      </c>
      <c r="E164" s="182"/>
    </row>
    <row r="165" customFormat="false" ht="15" hidden="false" customHeight="false" outlineLevel="0" collapsed="false">
      <c r="A165" s="20" t="n">
        <v>1</v>
      </c>
      <c r="B165" s="210"/>
      <c r="C165" s="162" t="s">
        <v>934</v>
      </c>
      <c r="D165" s="23" t="n">
        <v>134</v>
      </c>
      <c r="E165" s="210"/>
    </row>
    <row r="166" customFormat="false" ht="15" hidden="false" customHeight="false" outlineLevel="0" collapsed="false">
      <c r="A166" s="178" t="n">
        <v>2</v>
      </c>
      <c r="B166" s="211"/>
      <c r="C166" s="212" t="s">
        <v>935</v>
      </c>
      <c r="D166" s="213" t="n">
        <v>125</v>
      </c>
      <c r="E166" s="211"/>
    </row>
    <row r="167" customFormat="false" ht="15" hidden="false" customHeight="false" outlineLevel="0" collapsed="false">
      <c r="A167" s="20" t="n">
        <v>3</v>
      </c>
      <c r="B167" s="210"/>
      <c r="C167" s="162" t="s">
        <v>952</v>
      </c>
      <c r="D167" s="23" t="n">
        <v>122</v>
      </c>
      <c r="E167" s="210"/>
    </row>
    <row r="168" customFormat="false" ht="15" hidden="false" customHeight="false" outlineLevel="0" collapsed="false">
      <c r="A168" s="178" t="n">
        <v>4</v>
      </c>
      <c r="B168" s="211"/>
      <c r="C168" s="212" t="s">
        <v>113</v>
      </c>
      <c r="D168" s="213" t="n">
        <v>40</v>
      </c>
      <c r="E168" s="211"/>
    </row>
    <row r="169" customFormat="false" ht="15" hidden="false" customHeight="false" outlineLevel="0" collapsed="false">
      <c r="A169" s="20" t="n">
        <v>5</v>
      </c>
      <c r="B169" s="210"/>
      <c r="C169" s="162" t="s">
        <v>99</v>
      </c>
      <c r="D169" s="23" t="n">
        <v>18</v>
      </c>
      <c r="E169" s="210"/>
    </row>
    <row r="170" customFormat="false" ht="15" hidden="false" customHeight="false" outlineLevel="0" collapsed="false">
      <c r="A170" s="178" t="n">
        <v>6</v>
      </c>
      <c r="B170" s="211"/>
      <c r="C170" s="212" t="s">
        <v>953</v>
      </c>
      <c r="D170" s="213" t="n">
        <v>11</v>
      </c>
      <c r="E170" s="211"/>
    </row>
    <row r="171" customFormat="false" ht="15" hidden="false" customHeight="false" outlineLevel="0" collapsed="false">
      <c r="A171" s="20" t="n">
        <v>7</v>
      </c>
      <c r="B171" s="210"/>
      <c r="C171" s="162" t="s">
        <v>977</v>
      </c>
      <c r="D171" s="23" t="n">
        <v>8</v>
      </c>
      <c r="E171" s="210"/>
    </row>
    <row r="172" customFormat="false" ht="15" hidden="false" customHeight="false" outlineLevel="0" collapsed="false">
      <c r="A172" s="178" t="n">
        <v>8</v>
      </c>
      <c r="B172" s="211"/>
      <c r="C172" s="212" t="s">
        <v>940</v>
      </c>
      <c r="D172" s="213" t="n">
        <v>8</v>
      </c>
      <c r="E172" s="211"/>
    </row>
    <row r="173" customFormat="false" ht="15" hidden="false" customHeight="false" outlineLevel="0" collapsed="false">
      <c r="A173" s="20" t="n">
        <v>9</v>
      </c>
      <c r="B173" s="210"/>
      <c r="C173" s="162" t="s">
        <v>121</v>
      </c>
      <c r="D173" s="23" t="n">
        <v>4</v>
      </c>
      <c r="E173" s="210"/>
    </row>
    <row r="174" customFormat="false" ht="15" hidden="false" customHeight="false" outlineLevel="0" collapsed="false">
      <c r="A174" s="178" t="n">
        <v>10</v>
      </c>
      <c r="B174" s="211"/>
      <c r="C174" s="212" t="s">
        <v>954</v>
      </c>
      <c r="D174" s="213" t="n">
        <v>3</v>
      </c>
      <c r="E174" s="211"/>
    </row>
    <row r="175" customFormat="false" ht="15" hidden="false" customHeight="false" outlineLevel="0" collapsed="false">
      <c r="A175" s="20" t="n">
        <v>11</v>
      </c>
      <c r="B175" s="210"/>
      <c r="C175" s="162" t="s">
        <v>108</v>
      </c>
      <c r="D175" s="23" t="n">
        <v>3</v>
      </c>
      <c r="E175" s="210"/>
    </row>
    <row r="176" customFormat="false" ht="15" hidden="false" customHeight="false" outlineLevel="0" collapsed="false">
      <c r="A176" s="178" t="n">
        <v>12</v>
      </c>
      <c r="B176" s="211"/>
      <c r="C176" s="212" t="s">
        <v>978</v>
      </c>
      <c r="D176" s="213" t="n">
        <v>1</v>
      </c>
      <c r="E176" s="211"/>
    </row>
    <row r="177" customFormat="false" ht="15" hidden="false" customHeight="false" outlineLevel="0" collapsed="false">
      <c r="A177" s="20" t="n">
        <v>13</v>
      </c>
      <c r="B177" s="210"/>
      <c r="C177" s="162" t="s">
        <v>941</v>
      </c>
      <c r="D177" s="23" t="n">
        <v>1</v>
      </c>
      <c r="E177" s="210"/>
    </row>
    <row r="178" customFormat="false" ht="15" hidden="false" customHeight="false" outlineLevel="0" collapsed="false">
      <c r="A178" s="178" t="n">
        <v>14</v>
      </c>
      <c r="B178" s="211"/>
      <c r="C178" s="212" t="s">
        <v>979</v>
      </c>
      <c r="D178" s="213" t="n">
        <v>1</v>
      </c>
      <c r="E178" s="211"/>
    </row>
    <row r="179" customFormat="false" ht="15" hidden="false" customHeight="false" outlineLevel="0" collapsed="false">
      <c r="A179" s="20" t="n">
        <v>15</v>
      </c>
      <c r="B179" s="210"/>
      <c r="C179" s="162" t="s">
        <v>118</v>
      </c>
      <c r="D179" s="23" t="n">
        <v>1</v>
      </c>
      <c r="E179" s="210"/>
    </row>
    <row r="180" customFormat="false" ht="15" hidden="false" customHeight="false" outlineLevel="0" collapsed="false">
      <c r="A180" s="178" t="n">
        <v>16</v>
      </c>
      <c r="B180" s="211"/>
      <c r="C180" s="212" t="s">
        <v>942</v>
      </c>
      <c r="D180" s="213" t="n">
        <v>1</v>
      </c>
      <c r="E180" s="211"/>
    </row>
    <row r="181" customFormat="false" ht="15" hidden="false" customHeight="false" outlineLevel="0" collapsed="false">
      <c r="A181" s="214" t="s">
        <v>980</v>
      </c>
      <c r="B181" s="214"/>
      <c r="C181" s="214"/>
      <c r="D181" s="215" t="n">
        <v>481</v>
      </c>
      <c r="E181" s="216"/>
    </row>
    <row r="182" customFormat="false" ht="14.15" hidden="false" customHeight="false" outlineLevel="0" collapsed="false">
      <c r="A182" s="208" t="s">
        <v>981</v>
      </c>
      <c r="B182" s="208"/>
      <c r="C182" s="208"/>
      <c r="D182" s="208"/>
      <c r="E182" s="208"/>
    </row>
    <row r="183" customFormat="false" ht="15" hidden="false" customHeight="false" outlineLevel="0" collapsed="false">
      <c r="A183" s="182" t="s">
        <v>46</v>
      </c>
      <c r="B183" s="182"/>
      <c r="C183" s="209" t="s">
        <v>932</v>
      </c>
      <c r="D183" s="209" t="s">
        <v>933</v>
      </c>
      <c r="E183" s="182"/>
    </row>
    <row r="184" customFormat="false" ht="15" hidden="false" customHeight="false" outlineLevel="0" collapsed="false">
      <c r="A184" s="20" t="n">
        <v>1</v>
      </c>
      <c r="B184" s="210"/>
      <c r="C184" s="162" t="s">
        <v>934</v>
      </c>
      <c r="D184" s="23" t="n">
        <v>179</v>
      </c>
      <c r="E184" s="210"/>
    </row>
    <row r="185" customFormat="false" ht="15" hidden="false" customHeight="false" outlineLevel="0" collapsed="false">
      <c r="A185" s="178" t="n">
        <v>2</v>
      </c>
      <c r="B185" s="211"/>
      <c r="C185" s="212" t="s">
        <v>952</v>
      </c>
      <c r="D185" s="213" t="n">
        <v>33</v>
      </c>
      <c r="E185" s="211"/>
    </row>
    <row r="186" customFormat="false" ht="15" hidden="false" customHeight="false" outlineLevel="0" collapsed="false">
      <c r="A186" s="20" t="n">
        <v>3</v>
      </c>
      <c r="B186" s="210"/>
      <c r="C186" s="162" t="s">
        <v>935</v>
      </c>
      <c r="D186" s="23" t="n">
        <v>28</v>
      </c>
      <c r="E186" s="210"/>
    </row>
    <row r="187" customFormat="false" ht="15" hidden="false" customHeight="false" outlineLevel="0" collapsed="false">
      <c r="A187" s="178" t="n">
        <v>4</v>
      </c>
      <c r="B187" s="211"/>
      <c r="C187" s="212" t="s">
        <v>113</v>
      </c>
      <c r="D187" s="213" t="n">
        <v>23</v>
      </c>
      <c r="E187" s="211"/>
    </row>
    <row r="188" customFormat="false" ht="15" hidden="false" customHeight="false" outlineLevel="0" collapsed="false">
      <c r="A188" s="20" t="n">
        <v>5</v>
      </c>
      <c r="B188" s="210"/>
      <c r="C188" s="162" t="s">
        <v>940</v>
      </c>
      <c r="D188" s="23" t="n">
        <v>13</v>
      </c>
      <c r="E188" s="210"/>
    </row>
    <row r="189" customFormat="false" ht="15" hidden="false" customHeight="false" outlineLevel="0" collapsed="false">
      <c r="A189" s="178" t="n">
        <v>6</v>
      </c>
      <c r="B189" s="211"/>
      <c r="C189" s="212" t="s">
        <v>939</v>
      </c>
      <c r="D189" s="213" t="n">
        <v>11</v>
      </c>
      <c r="E189" s="211"/>
    </row>
    <row r="190" customFormat="false" ht="15" hidden="false" customHeight="false" outlineLevel="0" collapsed="false">
      <c r="A190" s="20" t="n">
        <v>7</v>
      </c>
      <c r="B190" s="210"/>
      <c r="C190" s="162" t="s">
        <v>982</v>
      </c>
      <c r="D190" s="23" t="n">
        <v>9</v>
      </c>
      <c r="E190" s="210"/>
    </row>
    <row r="191" customFormat="false" ht="15" hidden="false" customHeight="false" outlineLevel="0" collapsed="false">
      <c r="A191" s="178" t="n">
        <v>8</v>
      </c>
      <c r="B191" s="211"/>
      <c r="C191" s="212" t="s">
        <v>977</v>
      </c>
      <c r="D191" s="213" t="n">
        <v>8</v>
      </c>
      <c r="E191" s="211"/>
    </row>
    <row r="192" customFormat="false" ht="15" hidden="false" customHeight="false" outlineLevel="0" collapsed="false">
      <c r="A192" s="20" t="n">
        <v>9</v>
      </c>
      <c r="B192" s="210"/>
      <c r="C192" s="162" t="s">
        <v>99</v>
      </c>
      <c r="D192" s="23" t="n">
        <v>6</v>
      </c>
      <c r="E192" s="210"/>
    </row>
    <row r="193" customFormat="false" ht="15" hidden="false" customHeight="false" outlineLevel="0" collapsed="false">
      <c r="A193" s="178" t="n">
        <v>10</v>
      </c>
      <c r="B193" s="211"/>
      <c r="C193" s="212" t="s">
        <v>95</v>
      </c>
      <c r="D193" s="213" t="n">
        <v>5</v>
      </c>
      <c r="E193" s="211"/>
    </row>
    <row r="194" customFormat="false" ht="15" hidden="false" customHeight="false" outlineLevel="0" collapsed="false">
      <c r="A194" s="20" t="n">
        <v>11</v>
      </c>
      <c r="B194" s="210"/>
      <c r="C194" s="162" t="s">
        <v>125</v>
      </c>
      <c r="D194" s="23" t="n">
        <v>4</v>
      </c>
      <c r="E194" s="210"/>
    </row>
    <row r="195" customFormat="false" ht="15" hidden="false" customHeight="false" outlineLevel="0" collapsed="false">
      <c r="A195" s="178" t="n">
        <v>12</v>
      </c>
      <c r="B195" s="211"/>
      <c r="C195" s="212" t="s">
        <v>983</v>
      </c>
      <c r="D195" s="213" t="n">
        <v>4</v>
      </c>
      <c r="E195" s="211"/>
    </row>
    <row r="196" customFormat="false" ht="15" hidden="false" customHeight="false" outlineLevel="0" collapsed="false">
      <c r="A196" s="20" t="n">
        <v>13</v>
      </c>
      <c r="B196" s="210"/>
      <c r="C196" s="162" t="s">
        <v>965</v>
      </c>
      <c r="D196" s="23" t="n">
        <v>3</v>
      </c>
      <c r="E196" s="210"/>
    </row>
    <row r="197" customFormat="false" ht="15" hidden="false" customHeight="false" outlineLevel="0" collapsed="false">
      <c r="A197" s="178" t="n">
        <v>14</v>
      </c>
      <c r="B197" s="211"/>
      <c r="C197" s="212" t="s">
        <v>966</v>
      </c>
      <c r="D197" s="213" t="n">
        <v>3</v>
      </c>
      <c r="E197" s="211"/>
    </row>
    <row r="198" customFormat="false" ht="15" hidden="false" customHeight="false" outlineLevel="0" collapsed="false">
      <c r="A198" s="20" t="n">
        <v>15</v>
      </c>
      <c r="B198" s="210"/>
      <c r="C198" s="162" t="s">
        <v>121</v>
      </c>
      <c r="D198" s="23" t="n">
        <v>3</v>
      </c>
      <c r="E198" s="210"/>
    </row>
    <row r="199" customFormat="false" ht="15" hidden="false" customHeight="false" outlineLevel="0" collapsed="false">
      <c r="A199" s="178" t="n">
        <v>16</v>
      </c>
      <c r="B199" s="211"/>
      <c r="C199" s="212" t="s">
        <v>938</v>
      </c>
      <c r="D199" s="213" t="n">
        <v>3</v>
      </c>
      <c r="E199" s="211"/>
    </row>
    <row r="200" customFormat="false" ht="15" hidden="false" customHeight="false" outlineLevel="0" collapsed="false">
      <c r="A200" s="20" t="n">
        <v>17</v>
      </c>
      <c r="B200" s="210"/>
      <c r="C200" s="162" t="s">
        <v>108</v>
      </c>
      <c r="D200" s="23" t="n">
        <v>2</v>
      </c>
      <c r="E200" s="210"/>
    </row>
    <row r="201" customFormat="false" ht="15" hidden="false" customHeight="false" outlineLevel="0" collapsed="false">
      <c r="A201" s="178" t="n">
        <v>18</v>
      </c>
      <c r="B201" s="211"/>
      <c r="C201" s="212" t="s">
        <v>941</v>
      </c>
      <c r="D201" s="213" t="n">
        <v>2</v>
      </c>
      <c r="E201" s="211"/>
    </row>
    <row r="202" customFormat="false" ht="15" hidden="false" customHeight="false" outlineLevel="0" collapsed="false">
      <c r="A202" s="20" t="n">
        <v>19</v>
      </c>
      <c r="B202" s="210"/>
      <c r="C202" s="162" t="s">
        <v>118</v>
      </c>
      <c r="D202" s="23" t="n">
        <v>2</v>
      </c>
      <c r="E202" s="210"/>
    </row>
    <row r="203" customFormat="false" ht="15" hidden="false" customHeight="false" outlineLevel="0" collapsed="false">
      <c r="A203" s="178" t="n">
        <v>20</v>
      </c>
      <c r="B203" s="211"/>
      <c r="C203" s="212" t="s">
        <v>93</v>
      </c>
      <c r="D203" s="213" t="n">
        <v>1</v>
      </c>
      <c r="E203" s="211"/>
    </row>
    <row r="204" customFormat="false" ht="15" hidden="false" customHeight="false" outlineLevel="0" collapsed="false">
      <c r="A204" s="20" t="n">
        <v>21</v>
      </c>
      <c r="B204" s="210"/>
      <c r="C204" s="162" t="s">
        <v>978</v>
      </c>
      <c r="D204" s="23" t="n">
        <v>1</v>
      </c>
      <c r="E204" s="210"/>
    </row>
    <row r="205" customFormat="false" ht="15" hidden="false" customHeight="false" outlineLevel="0" collapsed="false">
      <c r="A205" s="178" t="n">
        <v>22</v>
      </c>
      <c r="B205" s="211"/>
      <c r="C205" s="212" t="s">
        <v>979</v>
      </c>
      <c r="D205" s="213" t="n">
        <v>1</v>
      </c>
      <c r="E205" s="211"/>
    </row>
    <row r="206" customFormat="false" ht="15" hidden="false" customHeight="false" outlineLevel="0" collapsed="false">
      <c r="A206" s="20" t="n">
        <v>23</v>
      </c>
      <c r="B206" s="210"/>
      <c r="C206" s="162" t="s">
        <v>967</v>
      </c>
      <c r="D206" s="23" t="n">
        <v>1</v>
      </c>
      <c r="E206" s="210"/>
    </row>
    <row r="207" customFormat="false" ht="15" hidden="false" customHeight="false" outlineLevel="0" collapsed="false">
      <c r="A207" s="178" t="n">
        <v>24</v>
      </c>
      <c r="B207" s="211"/>
      <c r="C207" s="212" t="s">
        <v>973</v>
      </c>
      <c r="D207" s="213" t="n">
        <v>1</v>
      </c>
      <c r="E207" s="211"/>
    </row>
    <row r="208" customFormat="false" ht="15" hidden="false" customHeight="false" outlineLevel="0" collapsed="false">
      <c r="A208" s="20" t="n">
        <v>25</v>
      </c>
      <c r="B208" s="210"/>
      <c r="C208" s="162" t="s">
        <v>942</v>
      </c>
      <c r="D208" s="23" t="n">
        <v>1</v>
      </c>
      <c r="E208" s="210"/>
    </row>
    <row r="209" customFormat="false" ht="15" hidden="false" customHeight="false" outlineLevel="0" collapsed="false">
      <c r="A209" s="214" t="s">
        <v>984</v>
      </c>
      <c r="B209" s="214"/>
      <c r="C209" s="214"/>
      <c r="D209" s="215" t="n">
        <v>347</v>
      </c>
      <c r="E209" s="216"/>
    </row>
    <row r="210" customFormat="false" ht="14.15" hidden="false" customHeight="false" outlineLevel="0" collapsed="false">
      <c r="A210" s="208" t="s">
        <v>985</v>
      </c>
      <c r="B210" s="208"/>
      <c r="C210" s="208"/>
      <c r="D210" s="208"/>
      <c r="E210" s="208"/>
    </row>
    <row r="211" customFormat="false" ht="15" hidden="false" customHeight="false" outlineLevel="0" collapsed="false">
      <c r="A211" s="182" t="s">
        <v>46</v>
      </c>
      <c r="B211" s="182"/>
      <c r="C211" s="209" t="s">
        <v>932</v>
      </c>
      <c r="D211" s="209" t="s">
        <v>933</v>
      </c>
      <c r="E211" s="182"/>
    </row>
    <row r="212" customFormat="false" ht="15" hidden="false" customHeight="false" outlineLevel="0" collapsed="false">
      <c r="A212" s="20" t="n">
        <v>1</v>
      </c>
      <c r="B212" s="210"/>
      <c r="C212" s="162" t="s">
        <v>934</v>
      </c>
      <c r="D212" s="23" t="n">
        <v>33</v>
      </c>
      <c r="E212" s="210"/>
    </row>
    <row r="213" customFormat="false" ht="15" hidden="false" customHeight="false" outlineLevel="0" collapsed="false">
      <c r="A213" s="178" t="n">
        <v>2</v>
      </c>
      <c r="B213" s="211"/>
      <c r="C213" s="212" t="s">
        <v>113</v>
      </c>
      <c r="D213" s="213" t="n">
        <v>27</v>
      </c>
      <c r="E213" s="211"/>
    </row>
    <row r="214" customFormat="false" ht="15" hidden="false" customHeight="false" outlineLevel="0" collapsed="false">
      <c r="A214" s="20" t="n">
        <v>3</v>
      </c>
      <c r="B214" s="210"/>
      <c r="C214" s="162" t="s">
        <v>940</v>
      </c>
      <c r="D214" s="23" t="n">
        <v>3</v>
      </c>
      <c r="E214" s="210"/>
    </row>
    <row r="215" customFormat="false" ht="15" hidden="false" customHeight="false" outlineLevel="0" collapsed="false">
      <c r="A215" s="178" t="n">
        <v>4</v>
      </c>
      <c r="B215" s="211"/>
      <c r="C215" s="212" t="s">
        <v>99</v>
      </c>
      <c r="D215" s="213" t="n">
        <v>3</v>
      </c>
      <c r="E215" s="211"/>
    </row>
    <row r="216" customFormat="false" ht="15" hidden="false" customHeight="false" outlineLevel="0" collapsed="false">
      <c r="A216" s="20" t="n">
        <v>5</v>
      </c>
      <c r="B216" s="210"/>
      <c r="C216" s="162" t="s">
        <v>939</v>
      </c>
      <c r="D216" s="23" t="n">
        <v>2</v>
      </c>
      <c r="E216" s="210"/>
    </row>
    <row r="217" customFormat="false" ht="15" hidden="false" customHeight="false" outlineLevel="0" collapsed="false">
      <c r="A217" s="178" t="n">
        <v>6</v>
      </c>
      <c r="B217" s="211"/>
      <c r="C217" s="212" t="s">
        <v>118</v>
      </c>
      <c r="D217" s="213" t="n">
        <v>1</v>
      </c>
      <c r="E217" s="211"/>
    </row>
    <row r="218" customFormat="false" ht="15" hidden="false" customHeight="false" outlineLevel="0" collapsed="false">
      <c r="A218" s="20" t="n">
        <v>7</v>
      </c>
      <c r="B218" s="210"/>
      <c r="C218" s="162" t="s">
        <v>121</v>
      </c>
      <c r="D218" s="23" t="n">
        <v>1</v>
      </c>
      <c r="E218" s="210"/>
    </row>
    <row r="219" customFormat="false" ht="15" hidden="false" customHeight="false" outlineLevel="0" collapsed="false">
      <c r="A219" s="214" t="s">
        <v>986</v>
      </c>
      <c r="B219" s="214"/>
      <c r="C219" s="214"/>
      <c r="D219" s="215" t="n">
        <v>70</v>
      </c>
      <c r="E219" s="216"/>
    </row>
    <row r="221" customFormat="false" ht="15" hidden="false" customHeight="false" outlineLevel="0" collapsed="false">
      <c r="A221" s="217" t="s">
        <v>944</v>
      </c>
      <c r="B221" s="217"/>
      <c r="C221" s="217"/>
      <c r="D221" s="217"/>
      <c r="E221" s="217"/>
    </row>
    <row r="222" customFormat="false" ht="15" hidden="false" customHeight="false" outlineLevel="0" collapsed="false">
      <c r="A222" s="182" t="s">
        <v>46</v>
      </c>
      <c r="B222" s="182"/>
      <c r="C222" s="209" t="s">
        <v>932</v>
      </c>
      <c r="D222" s="209" t="s">
        <v>945</v>
      </c>
      <c r="E222" s="182"/>
    </row>
    <row r="223" customFormat="false" ht="15" hidden="false" customHeight="false" outlineLevel="0" collapsed="false">
      <c r="A223" s="20" t="n">
        <v>1</v>
      </c>
      <c r="B223" s="210"/>
      <c r="C223" s="162" t="s">
        <v>934</v>
      </c>
      <c r="D223" s="23" t="n">
        <v>514</v>
      </c>
      <c r="E223" s="210"/>
    </row>
    <row r="224" customFormat="false" ht="15" hidden="false" customHeight="false" outlineLevel="0" collapsed="false">
      <c r="A224" s="178" t="n">
        <v>2</v>
      </c>
      <c r="B224" s="211"/>
      <c r="C224" s="212" t="s">
        <v>935</v>
      </c>
      <c r="D224" s="213" t="n">
        <v>278</v>
      </c>
      <c r="E224" s="211"/>
    </row>
    <row r="225" customFormat="false" ht="15" hidden="false" customHeight="false" outlineLevel="0" collapsed="false">
      <c r="A225" s="20" t="n">
        <v>3</v>
      </c>
      <c r="B225" s="210"/>
      <c r="C225" s="162" t="s">
        <v>952</v>
      </c>
      <c r="D225" s="23" t="n">
        <v>155</v>
      </c>
      <c r="E225" s="210"/>
    </row>
    <row r="226" customFormat="false" ht="15" hidden="false" customHeight="false" outlineLevel="0" collapsed="false">
      <c r="A226" s="178" t="n">
        <v>4</v>
      </c>
      <c r="B226" s="211"/>
      <c r="C226" s="212" t="s">
        <v>113</v>
      </c>
      <c r="D226" s="213" t="n">
        <v>153</v>
      </c>
      <c r="E226" s="211"/>
    </row>
    <row r="227" customFormat="false" ht="15" hidden="false" customHeight="false" outlineLevel="0" collapsed="false">
      <c r="A227" s="20" t="n">
        <v>5</v>
      </c>
      <c r="B227" s="210"/>
      <c r="C227" s="162" t="s">
        <v>99</v>
      </c>
      <c r="D227" s="23" t="n">
        <v>36</v>
      </c>
      <c r="E227" s="210"/>
    </row>
    <row r="228" customFormat="false" ht="15" hidden="false" customHeight="false" outlineLevel="0" collapsed="false">
      <c r="A228" s="178" t="n">
        <v>6</v>
      </c>
      <c r="B228" s="211"/>
      <c r="C228" s="212" t="s">
        <v>940</v>
      </c>
      <c r="D228" s="213" t="n">
        <v>30</v>
      </c>
      <c r="E228" s="211"/>
    </row>
    <row r="229" customFormat="false" ht="15" hidden="false" customHeight="false" outlineLevel="0" collapsed="false">
      <c r="A229" s="20" t="n">
        <v>7</v>
      </c>
      <c r="B229" s="210"/>
      <c r="C229" s="162" t="s">
        <v>965</v>
      </c>
      <c r="D229" s="23" t="n">
        <v>18</v>
      </c>
      <c r="E229" s="210"/>
    </row>
    <row r="230" customFormat="false" ht="15" hidden="false" customHeight="false" outlineLevel="0" collapsed="false">
      <c r="A230" s="178" t="n">
        <v>8</v>
      </c>
      <c r="B230" s="211"/>
      <c r="C230" s="212" t="s">
        <v>977</v>
      </c>
      <c r="D230" s="213" t="n">
        <v>16</v>
      </c>
      <c r="E230" s="211"/>
    </row>
    <row r="231" customFormat="false" ht="15" hidden="false" customHeight="false" outlineLevel="0" collapsed="false">
      <c r="A231" s="20" t="n">
        <v>9</v>
      </c>
      <c r="B231" s="210"/>
      <c r="C231" s="162" t="s">
        <v>939</v>
      </c>
      <c r="D231" s="23" t="n">
        <v>15</v>
      </c>
      <c r="E231" s="210"/>
    </row>
    <row r="232" customFormat="false" ht="15" hidden="false" customHeight="false" outlineLevel="0" collapsed="false">
      <c r="A232" s="178" t="n">
        <v>10</v>
      </c>
      <c r="B232" s="211"/>
      <c r="C232" s="212" t="s">
        <v>121</v>
      </c>
      <c r="D232" s="213" t="n">
        <v>13</v>
      </c>
      <c r="E232" s="211"/>
    </row>
    <row r="233" customFormat="false" ht="15" hidden="false" customHeight="false" outlineLevel="0" collapsed="false">
      <c r="A233" s="20" t="n">
        <v>11</v>
      </c>
      <c r="B233" s="210"/>
      <c r="C233" s="162" t="s">
        <v>966</v>
      </c>
      <c r="D233" s="23" t="n">
        <v>13</v>
      </c>
      <c r="E233" s="210"/>
    </row>
    <row r="234" customFormat="false" ht="15" hidden="false" customHeight="false" outlineLevel="0" collapsed="false">
      <c r="A234" s="178" t="n">
        <v>12</v>
      </c>
      <c r="B234" s="211"/>
      <c r="C234" s="212" t="s">
        <v>108</v>
      </c>
      <c r="D234" s="213" t="n">
        <v>12</v>
      </c>
      <c r="E234" s="211"/>
    </row>
    <row r="235" customFormat="false" ht="15" hidden="false" customHeight="false" outlineLevel="0" collapsed="false">
      <c r="A235" s="20" t="n">
        <v>13</v>
      </c>
      <c r="B235" s="210"/>
      <c r="C235" s="162" t="s">
        <v>953</v>
      </c>
      <c r="D235" s="23" t="n">
        <v>11</v>
      </c>
      <c r="E235" s="210"/>
    </row>
    <row r="236" customFormat="false" ht="15" hidden="false" customHeight="false" outlineLevel="0" collapsed="false">
      <c r="A236" s="178" t="n">
        <v>14</v>
      </c>
      <c r="B236" s="211"/>
      <c r="C236" s="212" t="s">
        <v>982</v>
      </c>
      <c r="D236" s="213" t="n">
        <v>9</v>
      </c>
      <c r="E236" s="211"/>
    </row>
    <row r="237" customFormat="false" ht="15" hidden="false" customHeight="false" outlineLevel="0" collapsed="false">
      <c r="A237" s="20" t="n">
        <v>15</v>
      </c>
      <c r="B237" s="210"/>
      <c r="C237" s="162" t="s">
        <v>118</v>
      </c>
      <c r="D237" s="23" t="n">
        <v>5</v>
      </c>
      <c r="E237" s="210"/>
    </row>
    <row r="238" customFormat="false" ht="15" hidden="false" customHeight="false" outlineLevel="0" collapsed="false">
      <c r="A238" s="178" t="n">
        <v>16</v>
      </c>
      <c r="B238" s="211"/>
      <c r="C238" s="212" t="s">
        <v>93</v>
      </c>
      <c r="D238" s="213" t="n">
        <v>5</v>
      </c>
      <c r="E238" s="211"/>
    </row>
    <row r="239" customFormat="false" ht="15" hidden="false" customHeight="false" outlineLevel="0" collapsed="false">
      <c r="A239" s="20" t="n">
        <v>17</v>
      </c>
      <c r="B239" s="210"/>
      <c r="C239" s="162" t="s">
        <v>95</v>
      </c>
      <c r="D239" s="23" t="n">
        <v>5</v>
      </c>
      <c r="E239" s="210"/>
    </row>
    <row r="240" customFormat="false" ht="15" hidden="false" customHeight="false" outlineLevel="0" collapsed="false">
      <c r="A240" s="178" t="n">
        <v>18</v>
      </c>
      <c r="B240" s="211"/>
      <c r="C240" s="212" t="s">
        <v>941</v>
      </c>
      <c r="D240" s="213" t="n">
        <v>4</v>
      </c>
      <c r="E240" s="211"/>
    </row>
    <row r="241" customFormat="false" ht="15" hidden="false" customHeight="false" outlineLevel="0" collapsed="false">
      <c r="A241" s="20" t="n">
        <v>19</v>
      </c>
      <c r="B241" s="210"/>
      <c r="C241" s="162" t="s">
        <v>125</v>
      </c>
      <c r="D241" s="23" t="n">
        <v>4</v>
      </c>
      <c r="E241" s="210"/>
    </row>
    <row r="242" customFormat="false" ht="15" hidden="false" customHeight="false" outlineLevel="0" collapsed="false">
      <c r="A242" s="178" t="n">
        <v>20</v>
      </c>
      <c r="B242" s="211"/>
      <c r="C242" s="212" t="s">
        <v>983</v>
      </c>
      <c r="D242" s="213" t="n">
        <v>4</v>
      </c>
      <c r="E242" s="211"/>
    </row>
    <row r="243" customFormat="false" ht="15" hidden="false" customHeight="false" outlineLevel="0" collapsed="false">
      <c r="A243" s="20" t="n">
        <v>21</v>
      </c>
      <c r="B243" s="210"/>
      <c r="C243" s="162" t="s">
        <v>954</v>
      </c>
      <c r="D243" s="23" t="n">
        <v>3</v>
      </c>
      <c r="E243" s="210"/>
    </row>
    <row r="244" customFormat="false" ht="15" hidden="false" customHeight="false" outlineLevel="0" collapsed="false">
      <c r="A244" s="178" t="n">
        <v>22</v>
      </c>
      <c r="B244" s="211"/>
      <c r="C244" s="212" t="s">
        <v>938</v>
      </c>
      <c r="D244" s="213" t="n">
        <v>3</v>
      </c>
      <c r="E244" s="211"/>
    </row>
    <row r="245" customFormat="false" ht="15" hidden="false" customHeight="false" outlineLevel="0" collapsed="false">
      <c r="A245" s="20" t="n">
        <v>23</v>
      </c>
      <c r="B245" s="210"/>
      <c r="C245" s="162" t="s">
        <v>973</v>
      </c>
      <c r="D245" s="23" t="n">
        <v>2</v>
      </c>
      <c r="E245" s="210"/>
    </row>
    <row r="246" customFormat="false" ht="15" hidden="false" customHeight="false" outlineLevel="0" collapsed="false">
      <c r="A246" s="178" t="n">
        <v>24</v>
      </c>
      <c r="B246" s="211"/>
      <c r="C246" s="212" t="s">
        <v>978</v>
      </c>
      <c r="D246" s="213" t="n">
        <v>2</v>
      </c>
      <c r="E246" s="211"/>
    </row>
    <row r="247" customFormat="false" ht="15" hidden="false" customHeight="false" outlineLevel="0" collapsed="false">
      <c r="A247" s="20" t="n">
        <v>25</v>
      </c>
      <c r="B247" s="210"/>
      <c r="C247" s="162" t="s">
        <v>979</v>
      </c>
      <c r="D247" s="23" t="n">
        <v>2</v>
      </c>
      <c r="E247" s="210"/>
    </row>
    <row r="248" customFormat="false" ht="15" hidden="false" customHeight="false" outlineLevel="0" collapsed="false">
      <c r="A248" s="178" t="n">
        <v>26</v>
      </c>
      <c r="B248" s="211"/>
      <c r="C248" s="212" t="s">
        <v>942</v>
      </c>
      <c r="D248" s="213" t="n">
        <v>2</v>
      </c>
      <c r="E248" s="211"/>
    </row>
    <row r="249" customFormat="false" ht="15" hidden="false" customHeight="false" outlineLevel="0" collapsed="false">
      <c r="A249" s="20" t="n">
        <v>27</v>
      </c>
      <c r="B249" s="210"/>
      <c r="C249" s="162" t="s">
        <v>974</v>
      </c>
      <c r="D249" s="23" t="n">
        <v>1</v>
      </c>
      <c r="E249" s="210"/>
    </row>
    <row r="250" customFormat="false" ht="15" hidden="false" customHeight="false" outlineLevel="0" collapsed="false">
      <c r="A250" s="178" t="n">
        <v>28</v>
      </c>
      <c r="B250" s="211"/>
      <c r="C250" s="212" t="s">
        <v>967</v>
      </c>
      <c r="D250" s="213" t="n">
        <v>1</v>
      </c>
      <c r="E250" s="211"/>
    </row>
    <row r="251" customFormat="false" ht="15" hidden="false" customHeight="false" outlineLevel="0" collapsed="false">
      <c r="A251" s="218" t="s">
        <v>987</v>
      </c>
      <c r="B251" s="218"/>
      <c r="C251" s="218"/>
      <c r="D251" s="219" t="n">
        <v>1316</v>
      </c>
      <c r="E251" s="220"/>
    </row>
    <row r="253" customFormat="false" ht="37.5" hidden="false" customHeight="true" outlineLevel="0" collapsed="false">
      <c r="A253" s="206" t="s">
        <v>988</v>
      </c>
      <c r="B253" s="206"/>
      <c r="C253" s="206"/>
      <c r="D253" s="206"/>
      <c r="E253" s="206"/>
    </row>
    <row r="254" customFormat="false" ht="15" hidden="false" customHeight="false" outlineLevel="0" collapsed="false">
      <c r="A254" s="207" t="s">
        <v>989</v>
      </c>
      <c r="B254" s="207"/>
      <c r="C254" s="207"/>
      <c r="D254" s="207"/>
      <c r="E254" s="207"/>
    </row>
    <row r="255" customFormat="false" ht="14.15" hidden="false" customHeight="false" outlineLevel="0" collapsed="false">
      <c r="A255" s="208" t="s">
        <v>990</v>
      </c>
      <c r="B255" s="208"/>
      <c r="C255" s="208"/>
      <c r="D255" s="208"/>
      <c r="E255" s="208"/>
    </row>
    <row r="256" customFormat="false" ht="15" hidden="false" customHeight="false" outlineLevel="0" collapsed="false">
      <c r="A256" s="182" t="s">
        <v>46</v>
      </c>
      <c r="B256" s="182"/>
      <c r="C256" s="209" t="s">
        <v>932</v>
      </c>
      <c r="D256" s="209" t="s">
        <v>933</v>
      </c>
      <c r="E256" s="182"/>
    </row>
    <row r="257" customFormat="false" ht="15" hidden="false" customHeight="false" outlineLevel="0" collapsed="false">
      <c r="A257" s="20" t="n">
        <v>1</v>
      </c>
      <c r="B257" s="210"/>
      <c r="C257" s="162" t="s">
        <v>934</v>
      </c>
      <c r="D257" s="23" t="n">
        <v>201</v>
      </c>
      <c r="E257" s="210"/>
    </row>
    <row r="258" customFormat="false" ht="15" hidden="false" customHeight="false" outlineLevel="0" collapsed="false">
      <c r="A258" s="178" t="n">
        <v>2</v>
      </c>
      <c r="B258" s="211"/>
      <c r="C258" s="212" t="s">
        <v>935</v>
      </c>
      <c r="D258" s="213" t="n">
        <v>188</v>
      </c>
      <c r="E258" s="211"/>
    </row>
    <row r="259" customFormat="false" ht="15" hidden="false" customHeight="false" outlineLevel="0" collapsed="false">
      <c r="A259" s="20" t="n">
        <v>3</v>
      </c>
      <c r="B259" s="210"/>
      <c r="C259" s="162" t="s">
        <v>940</v>
      </c>
      <c r="D259" s="23" t="n">
        <v>10</v>
      </c>
      <c r="E259" s="210"/>
    </row>
    <row r="260" customFormat="false" ht="15" hidden="false" customHeight="false" outlineLevel="0" collapsed="false">
      <c r="A260" s="178" t="n">
        <v>4</v>
      </c>
      <c r="B260" s="211"/>
      <c r="C260" s="212" t="s">
        <v>99</v>
      </c>
      <c r="D260" s="213" t="n">
        <v>10</v>
      </c>
      <c r="E260" s="211"/>
    </row>
    <row r="261" customFormat="false" ht="15" hidden="false" customHeight="false" outlineLevel="0" collapsed="false">
      <c r="A261" s="20" t="n">
        <v>5</v>
      </c>
      <c r="B261" s="210"/>
      <c r="C261" s="162" t="s">
        <v>108</v>
      </c>
      <c r="D261" s="23" t="n">
        <v>5</v>
      </c>
      <c r="E261" s="210"/>
    </row>
    <row r="262" customFormat="false" ht="15" hidden="false" customHeight="false" outlineLevel="0" collapsed="false">
      <c r="A262" s="178" t="n">
        <v>6</v>
      </c>
      <c r="B262" s="211"/>
      <c r="C262" s="212" t="s">
        <v>121</v>
      </c>
      <c r="D262" s="213" t="n">
        <v>3</v>
      </c>
      <c r="E262" s="211"/>
    </row>
    <row r="263" customFormat="false" ht="15" hidden="false" customHeight="false" outlineLevel="0" collapsed="false">
      <c r="A263" s="20" t="n">
        <v>7</v>
      </c>
      <c r="B263" s="210"/>
      <c r="C263" s="162" t="s">
        <v>942</v>
      </c>
      <c r="D263" s="23" t="n">
        <v>2</v>
      </c>
      <c r="E263" s="210"/>
    </row>
    <row r="264" customFormat="false" ht="15" hidden="false" customHeight="false" outlineLevel="0" collapsed="false">
      <c r="A264" s="178" t="n">
        <v>8</v>
      </c>
      <c r="B264" s="211"/>
      <c r="C264" s="212" t="s">
        <v>118</v>
      </c>
      <c r="D264" s="213" t="n">
        <v>1</v>
      </c>
      <c r="E264" s="211"/>
    </row>
    <row r="265" customFormat="false" ht="15" hidden="false" customHeight="false" outlineLevel="0" collapsed="false">
      <c r="A265" s="214" t="s">
        <v>991</v>
      </c>
      <c r="B265" s="214"/>
      <c r="C265" s="214"/>
      <c r="D265" s="215" t="n">
        <v>420</v>
      </c>
      <c r="E265" s="216"/>
    </row>
    <row r="266" customFormat="false" ht="14.15" hidden="false" customHeight="false" outlineLevel="0" collapsed="false">
      <c r="A266" s="208" t="s">
        <v>992</v>
      </c>
      <c r="B266" s="208"/>
      <c r="C266" s="208"/>
      <c r="D266" s="208"/>
      <c r="E266" s="208"/>
    </row>
    <row r="267" customFormat="false" ht="15" hidden="false" customHeight="false" outlineLevel="0" collapsed="false">
      <c r="A267" s="182" t="s">
        <v>46</v>
      </c>
      <c r="B267" s="182"/>
      <c r="C267" s="209" t="s">
        <v>932</v>
      </c>
      <c r="D267" s="209" t="s">
        <v>933</v>
      </c>
      <c r="E267" s="182"/>
    </row>
    <row r="268" customFormat="false" ht="15" hidden="false" customHeight="false" outlineLevel="0" collapsed="false">
      <c r="A268" s="20" t="n">
        <v>1</v>
      </c>
      <c r="B268" s="210"/>
      <c r="C268" s="162" t="s">
        <v>934</v>
      </c>
      <c r="D268" s="23" t="n">
        <v>165</v>
      </c>
      <c r="E268" s="210"/>
    </row>
    <row r="269" customFormat="false" ht="15" hidden="false" customHeight="false" outlineLevel="0" collapsed="false">
      <c r="A269" s="178" t="n">
        <v>2</v>
      </c>
      <c r="B269" s="211"/>
      <c r="C269" s="212" t="s">
        <v>935</v>
      </c>
      <c r="D269" s="213" t="n">
        <v>144</v>
      </c>
      <c r="E269" s="211"/>
    </row>
    <row r="270" customFormat="false" ht="15" hidden="false" customHeight="false" outlineLevel="0" collapsed="false">
      <c r="A270" s="20" t="n">
        <v>3</v>
      </c>
      <c r="B270" s="210"/>
      <c r="C270" s="162" t="s">
        <v>113</v>
      </c>
      <c r="D270" s="23" t="n">
        <v>9</v>
      </c>
      <c r="E270" s="210"/>
    </row>
    <row r="271" customFormat="false" ht="15" hidden="false" customHeight="false" outlineLevel="0" collapsed="false">
      <c r="A271" s="178" t="n">
        <v>4</v>
      </c>
      <c r="B271" s="211"/>
      <c r="C271" s="212" t="s">
        <v>940</v>
      </c>
      <c r="D271" s="213" t="n">
        <v>8</v>
      </c>
      <c r="E271" s="211"/>
    </row>
    <row r="272" customFormat="false" ht="15" hidden="false" customHeight="false" outlineLevel="0" collapsed="false">
      <c r="A272" s="20" t="n">
        <v>5</v>
      </c>
      <c r="B272" s="210"/>
      <c r="C272" s="162" t="s">
        <v>99</v>
      </c>
      <c r="D272" s="23" t="n">
        <v>8</v>
      </c>
      <c r="E272" s="210"/>
    </row>
    <row r="273" customFormat="false" ht="15" hidden="false" customHeight="false" outlineLevel="0" collapsed="false">
      <c r="A273" s="178" t="n">
        <v>6</v>
      </c>
      <c r="B273" s="211"/>
      <c r="C273" s="212" t="s">
        <v>966</v>
      </c>
      <c r="D273" s="213" t="n">
        <v>6</v>
      </c>
      <c r="E273" s="211"/>
    </row>
    <row r="274" customFormat="false" ht="15" hidden="false" customHeight="false" outlineLevel="0" collapsed="false">
      <c r="A274" s="20" t="n">
        <v>7</v>
      </c>
      <c r="B274" s="210"/>
      <c r="C274" s="162" t="s">
        <v>108</v>
      </c>
      <c r="D274" s="23" t="n">
        <v>3</v>
      </c>
      <c r="E274" s="210"/>
    </row>
    <row r="275" customFormat="false" ht="15" hidden="false" customHeight="false" outlineLevel="0" collapsed="false">
      <c r="A275" s="178" t="n">
        <v>8</v>
      </c>
      <c r="B275" s="211"/>
      <c r="C275" s="212" t="s">
        <v>121</v>
      </c>
      <c r="D275" s="213" t="n">
        <v>3</v>
      </c>
      <c r="E275" s="211"/>
    </row>
    <row r="276" customFormat="false" ht="15" hidden="false" customHeight="false" outlineLevel="0" collapsed="false">
      <c r="A276" s="20" t="n">
        <v>9</v>
      </c>
      <c r="B276" s="210"/>
      <c r="C276" s="162" t="s">
        <v>942</v>
      </c>
      <c r="D276" s="23" t="n">
        <v>1</v>
      </c>
      <c r="E276" s="210"/>
    </row>
    <row r="277" customFormat="false" ht="15" hidden="false" customHeight="false" outlineLevel="0" collapsed="false">
      <c r="A277" s="178" t="n">
        <v>10</v>
      </c>
      <c r="B277" s="211"/>
      <c r="C277" s="212" t="s">
        <v>118</v>
      </c>
      <c r="D277" s="213" t="n">
        <v>1</v>
      </c>
      <c r="E277" s="211"/>
    </row>
    <row r="278" customFormat="false" ht="15" hidden="false" customHeight="false" outlineLevel="0" collapsed="false">
      <c r="A278" s="20" t="n">
        <v>11</v>
      </c>
      <c r="B278" s="210"/>
      <c r="C278" s="162" t="s">
        <v>973</v>
      </c>
      <c r="D278" s="23" t="n">
        <v>1</v>
      </c>
      <c r="E278" s="210"/>
    </row>
    <row r="279" customFormat="false" ht="15" hidden="false" customHeight="false" outlineLevel="0" collapsed="false">
      <c r="A279" s="214" t="s">
        <v>993</v>
      </c>
      <c r="B279" s="214"/>
      <c r="C279" s="214"/>
      <c r="D279" s="215" t="n">
        <v>349</v>
      </c>
      <c r="E279" s="216"/>
    </row>
    <row r="280" customFormat="false" ht="14.15" hidden="false" customHeight="false" outlineLevel="0" collapsed="false">
      <c r="A280" s="208" t="s">
        <v>994</v>
      </c>
      <c r="B280" s="208"/>
      <c r="C280" s="208"/>
      <c r="D280" s="208"/>
      <c r="E280" s="208"/>
    </row>
    <row r="281" customFormat="false" ht="15" hidden="false" customHeight="false" outlineLevel="0" collapsed="false">
      <c r="A281" s="182" t="s">
        <v>46</v>
      </c>
      <c r="B281" s="182"/>
      <c r="C281" s="209" t="s">
        <v>932</v>
      </c>
      <c r="D281" s="209" t="s">
        <v>933</v>
      </c>
      <c r="E281" s="182"/>
    </row>
    <row r="282" customFormat="false" ht="15" hidden="false" customHeight="false" outlineLevel="0" collapsed="false">
      <c r="A282" s="20" t="n">
        <v>1</v>
      </c>
      <c r="B282" s="210"/>
      <c r="C282" s="162" t="s">
        <v>934</v>
      </c>
      <c r="D282" s="23" t="n">
        <v>152</v>
      </c>
      <c r="E282" s="210"/>
    </row>
    <row r="283" customFormat="false" ht="15" hidden="false" customHeight="false" outlineLevel="0" collapsed="false">
      <c r="A283" s="178" t="n">
        <v>2</v>
      </c>
      <c r="B283" s="211"/>
      <c r="C283" s="212" t="s">
        <v>935</v>
      </c>
      <c r="D283" s="213" t="n">
        <v>142</v>
      </c>
      <c r="E283" s="211"/>
    </row>
    <row r="284" customFormat="false" ht="15" hidden="false" customHeight="false" outlineLevel="0" collapsed="false">
      <c r="A284" s="20" t="n">
        <v>3</v>
      </c>
      <c r="B284" s="210"/>
      <c r="C284" s="162" t="s">
        <v>952</v>
      </c>
      <c r="D284" s="23" t="n">
        <v>122</v>
      </c>
      <c r="E284" s="210"/>
    </row>
    <row r="285" customFormat="false" ht="15" hidden="false" customHeight="false" outlineLevel="0" collapsed="false">
      <c r="A285" s="178" t="n">
        <v>4</v>
      </c>
      <c r="B285" s="211"/>
      <c r="C285" s="212" t="s">
        <v>99</v>
      </c>
      <c r="D285" s="213" t="n">
        <v>24</v>
      </c>
      <c r="E285" s="211"/>
    </row>
    <row r="286" customFormat="false" ht="15" hidden="false" customHeight="false" outlineLevel="0" collapsed="false">
      <c r="A286" s="20" t="n">
        <v>5</v>
      </c>
      <c r="B286" s="210"/>
      <c r="C286" s="162" t="s">
        <v>113</v>
      </c>
      <c r="D286" s="23" t="n">
        <v>21</v>
      </c>
      <c r="E286" s="210"/>
    </row>
    <row r="287" customFormat="false" ht="15" hidden="false" customHeight="false" outlineLevel="0" collapsed="false">
      <c r="A287" s="178" t="n">
        <v>6</v>
      </c>
      <c r="B287" s="211"/>
      <c r="C287" s="212" t="s">
        <v>953</v>
      </c>
      <c r="D287" s="213" t="n">
        <v>9</v>
      </c>
      <c r="E287" s="211"/>
    </row>
    <row r="288" customFormat="false" ht="15" hidden="false" customHeight="false" outlineLevel="0" collapsed="false">
      <c r="A288" s="20" t="n">
        <v>7</v>
      </c>
      <c r="B288" s="210"/>
      <c r="C288" s="162" t="s">
        <v>965</v>
      </c>
      <c r="D288" s="23" t="n">
        <v>9</v>
      </c>
      <c r="E288" s="210"/>
    </row>
    <row r="289" customFormat="false" ht="15" hidden="false" customHeight="false" outlineLevel="0" collapsed="false">
      <c r="A289" s="178" t="n">
        <v>8</v>
      </c>
      <c r="B289" s="211"/>
      <c r="C289" s="212" t="s">
        <v>940</v>
      </c>
      <c r="D289" s="213" t="n">
        <v>7</v>
      </c>
      <c r="E289" s="211"/>
    </row>
    <row r="290" customFormat="false" ht="15" hidden="false" customHeight="false" outlineLevel="0" collapsed="false">
      <c r="A290" s="20" t="n">
        <v>9</v>
      </c>
      <c r="B290" s="210"/>
      <c r="C290" s="162" t="s">
        <v>108</v>
      </c>
      <c r="D290" s="23" t="n">
        <v>7</v>
      </c>
      <c r="E290" s="210"/>
    </row>
    <row r="291" customFormat="false" ht="15" hidden="false" customHeight="false" outlineLevel="0" collapsed="false">
      <c r="A291" s="178" t="n">
        <v>10</v>
      </c>
      <c r="B291" s="211"/>
      <c r="C291" s="212" t="s">
        <v>966</v>
      </c>
      <c r="D291" s="213" t="n">
        <v>7</v>
      </c>
      <c r="E291" s="211"/>
    </row>
    <row r="292" customFormat="false" ht="15" hidden="false" customHeight="false" outlineLevel="0" collapsed="false">
      <c r="A292" s="20" t="n">
        <v>11</v>
      </c>
      <c r="B292" s="210"/>
      <c r="C292" s="162" t="s">
        <v>957</v>
      </c>
      <c r="D292" s="23" t="n">
        <v>7</v>
      </c>
      <c r="E292" s="210"/>
    </row>
    <row r="293" customFormat="false" ht="15" hidden="false" customHeight="false" outlineLevel="0" collapsed="false">
      <c r="A293" s="178" t="n">
        <v>12</v>
      </c>
      <c r="B293" s="211"/>
      <c r="C293" s="212" t="s">
        <v>938</v>
      </c>
      <c r="D293" s="213" t="n">
        <v>5</v>
      </c>
      <c r="E293" s="211"/>
    </row>
    <row r="294" customFormat="false" ht="15" hidden="false" customHeight="false" outlineLevel="0" collapsed="false">
      <c r="A294" s="20" t="n">
        <v>13</v>
      </c>
      <c r="B294" s="210"/>
      <c r="C294" s="162" t="s">
        <v>121</v>
      </c>
      <c r="D294" s="23" t="n">
        <v>4</v>
      </c>
      <c r="E294" s="210"/>
    </row>
    <row r="295" customFormat="false" ht="15" hidden="false" customHeight="false" outlineLevel="0" collapsed="false">
      <c r="A295" s="178" t="n">
        <v>14</v>
      </c>
      <c r="B295" s="211"/>
      <c r="C295" s="212" t="s">
        <v>939</v>
      </c>
      <c r="D295" s="213" t="n">
        <v>4</v>
      </c>
      <c r="E295" s="211"/>
    </row>
    <row r="296" customFormat="false" ht="15" hidden="false" customHeight="false" outlineLevel="0" collapsed="false">
      <c r="A296" s="20" t="n">
        <v>15</v>
      </c>
      <c r="B296" s="210"/>
      <c r="C296" s="162" t="s">
        <v>954</v>
      </c>
      <c r="D296" s="23" t="n">
        <v>2</v>
      </c>
      <c r="E296" s="210"/>
    </row>
    <row r="297" customFormat="false" ht="15" hidden="false" customHeight="false" outlineLevel="0" collapsed="false">
      <c r="A297" s="178" t="n">
        <v>16</v>
      </c>
      <c r="B297" s="211"/>
      <c r="C297" s="212" t="s">
        <v>93</v>
      </c>
      <c r="D297" s="213" t="n">
        <v>2</v>
      </c>
      <c r="E297" s="211"/>
    </row>
    <row r="298" customFormat="false" ht="15" hidden="false" customHeight="false" outlineLevel="0" collapsed="false">
      <c r="A298" s="20" t="n">
        <v>17</v>
      </c>
      <c r="B298" s="210"/>
      <c r="C298" s="162" t="s">
        <v>942</v>
      </c>
      <c r="D298" s="23" t="n">
        <v>2</v>
      </c>
      <c r="E298" s="210"/>
    </row>
    <row r="299" customFormat="false" ht="15" hidden="false" customHeight="false" outlineLevel="0" collapsed="false">
      <c r="A299" s="178" t="n">
        <v>18</v>
      </c>
      <c r="B299" s="211"/>
      <c r="C299" s="212" t="s">
        <v>941</v>
      </c>
      <c r="D299" s="213" t="n">
        <v>2</v>
      </c>
      <c r="E299" s="211"/>
    </row>
    <row r="300" customFormat="false" ht="15" hidden="false" customHeight="false" outlineLevel="0" collapsed="false">
      <c r="A300" s="20" t="n">
        <v>19</v>
      </c>
      <c r="B300" s="210"/>
      <c r="C300" s="162" t="s">
        <v>118</v>
      </c>
      <c r="D300" s="23" t="n">
        <v>1</v>
      </c>
      <c r="E300" s="210"/>
    </row>
    <row r="301" customFormat="false" ht="15" hidden="false" customHeight="false" outlineLevel="0" collapsed="false">
      <c r="A301" s="214" t="s">
        <v>995</v>
      </c>
      <c r="B301" s="214"/>
      <c r="C301" s="214"/>
      <c r="D301" s="215" t="n">
        <v>529</v>
      </c>
      <c r="E301" s="216"/>
    </row>
    <row r="302" customFormat="false" ht="14.15" hidden="false" customHeight="false" outlineLevel="0" collapsed="false">
      <c r="A302" s="208" t="s">
        <v>996</v>
      </c>
      <c r="B302" s="208"/>
      <c r="C302" s="208"/>
      <c r="D302" s="208"/>
      <c r="E302" s="208"/>
    </row>
    <row r="303" customFormat="false" ht="15" hidden="false" customHeight="false" outlineLevel="0" collapsed="false">
      <c r="A303" s="182" t="s">
        <v>46</v>
      </c>
      <c r="B303" s="182"/>
      <c r="C303" s="209" t="s">
        <v>932</v>
      </c>
      <c r="D303" s="209" t="s">
        <v>933</v>
      </c>
      <c r="E303" s="182"/>
    </row>
    <row r="304" customFormat="false" ht="15" hidden="false" customHeight="false" outlineLevel="0" collapsed="false">
      <c r="A304" s="20" t="n">
        <v>1</v>
      </c>
      <c r="B304" s="210"/>
      <c r="C304" s="162" t="s">
        <v>952</v>
      </c>
      <c r="D304" s="23" t="n">
        <v>332</v>
      </c>
      <c r="E304" s="210"/>
    </row>
    <row r="305" customFormat="false" ht="15" hidden="false" customHeight="false" outlineLevel="0" collapsed="false">
      <c r="A305" s="178" t="n">
        <v>2</v>
      </c>
      <c r="B305" s="211"/>
      <c r="C305" s="212" t="s">
        <v>113</v>
      </c>
      <c r="D305" s="213" t="n">
        <v>56</v>
      </c>
      <c r="E305" s="211"/>
    </row>
    <row r="306" customFormat="false" ht="15" hidden="false" customHeight="false" outlineLevel="0" collapsed="false">
      <c r="A306" s="20" t="n">
        <v>3</v>
      </c>
      <c r="B306" s="210"/>
      <c r="C306" s="162" t="s">
        <v>99</v>
      </c>
      <c r="D306" s="23" t="n">
        <v>45</v>
      </c>
      <c r="E306" s="210"/>
    </row>
    <row r="307" customFormat="false" ht="15" hidden="false" customHeight="false" outlineLevel="0" collapsed="false">
      <c r="A307" s="178" t="n">
        <v>4</v>
      </c>
      <c r="B307" s="211"/>
      <c r="C307" s="212" t="s">
        <v>953</v>
      </c>
      <c r="D307" s="213" t="n">
        <v>26</v>
      </c>
      <c r="E307" s="211"/>
    </row>
    <row r="308" customFormat="false" ht="15" hidden="false" customHeight="false" outlineLevel="0" collapsed="false">
      <c r="A308" s="20" t="n">
        <v>5</v>
      </c>
      <c r="B308" s="210"/>
      <c r="C308" s="162" t="s">
        <v>957</v>
      </c>
      <c r="D308" s="23" t="n">
        <v>16</v>
      </c>
      <c r="E308" s="210"/>
    </row>
    <row r="309" customFormat="false" ht="15" hidden="false" customHeight="false" outlineLevel="0" collapsed="false">
      <c r="A309" s="178" t="n">
        <v>6</v>
      </c>
      <c r="B309" s="211"/>
      <c r="C309" s="212" t="s">
        <v>954</v>
      </c>
      <c r="D309" s="213" t="n">
        <v>7</v>
      </c>
      <c r="E309" s="211"/>
    </row>
    <row r="310" customFormat="false" ht="15" hidden="false" customHeight="false" outlineLevel="0" collapsed="false">
      <c r="A310" s="20" t="n">
        <v>7</v>
      </c>
      <c r="B310" s="210"/>
      <c r="C310" s="162" t="s">
        <v>121</v>
      </c>
      <c r="D310" s="23" t="n">
        <v>5</v>
      </c>
      <c r="E310" s="210"/>
    </row>
    <row r="311" customFormat="false" ht="15" hidden="false" customHeight="false" outlineLevel="0" collapsed="false">
      <c r="A311" s="214" t="s">
        <v>997</v>
      </c>
      <c r="B311" s="214"/>
      <c r="C311" s="214"/>
      <c r="D311" s="215" t="n">
        <v>487</v>
      </c>
      <c r="E311" s="216"/>
    </row>
    <row r="312" customFormat="false" ht="14.15" hidden="false" customHeight="false" outlineLevel="0" collapsed="false">
      <c r="A312" s="208" t="s">
        <v>998</v>
      </c>
      <c r="B312" s="208"/>
      <c r="C312" s="208"/>
      <c r="D312" s="208"/>
      <c r="E312" s="208"/>
    </row>
    <row r="313" customFormat="false" ht="15" hidden="false" customHeight="false" outlineLevel="0" collapsed="false">
      <c r="A313" s="182" t="s">
        <v>46</v>
      </c>
      <c r="B313" s="182"/>
      <c r="C313" s="209" t="s">
        <v>932</v>
      </c>
      <c r="D313" s="209" t="s">
        <v>933</v>
      </c>
      <c r="E313" s="182"/>
    </row>
    <row r="314" customFormat="false" ht="15" hidden="false" customHeight="false" outlineLevel="0" collapsed="false">
      <c r="A314" s="20" t="n">
        <v>1</v>
      </c>
      <c r="B314" s="210"/>
      <c r="C314" s="162" t="s">
        <v>952</v>
      </c>
      <c r="D314" s="23" t="n">
        <v>330</v>
      </c>
      <c r="E314" s="210"/>
    </row>
    <row r="315" customFormat="false" ht="15" hidden="false" customHeight="false" outlineLevel="0" collapsed="false">
      <c r="A315" s="178" t="n">
        <v>2</v>
      </c>
      <c r="B315" s="211"/>
      <c r="C315" s="212" t="s">
        <v>113</v>
      </c>
      <c r="D315" s="213" t="n">
        <v>60</v>
      </c>
      <c r="E315" s="211"/>
    </row>
    <row r="316" customFormat="false" ht="15" hidden="false" customHeight="false" outlineLevel="0" collapsed="false">
      <c r="A316" s="20" t="n">
        <v>3</v>
      </c>
      <c r="B316" s="210"/>
      <c r="C316" s="162" t="s">
        <v>99</v>
      </c>
      <c r="D316" s="23" t="n">
        <v>43</v>
      </c>
      <c r="E316" s="210"/>
    </row>
    <row r="317" customFormat="false" ht="15" hidden="false" customHeight="false" outlineLevel="0" collapsed="false">
      <c r="A317" s="178" t="n">
        <v>4</v>
      </c>
      <c r="B317" s="211"/>
      <c r="C317" s="212" t="s">
        <v>953</v>
      </c>
      <c r="D317" s="213" t="n">
        <v>35</v>
      </c>
      <c r="E317" s="211"/>
    </row>
    <row r="318" customFormat="false" ht="15" hidden="false" customHeight="false" outlineLevel="0" collapsed="false">
      <c r="A318" s="20" t="n">
        <v>5</v>
      </c>
      <c r="B318" s="210"/>
      <c r="C318" s="162" t="s">
        <v>954</v>
      </c>
      <c r="D318" s="23" t="n">
        <v>9</v>
      </c>
      <c r="E318" s="210"/>
    </row>
    <row r="319" customFormat="false" ht="15" hidden="false" customHeight="false" outlineLevel="0" collapsed="false">
      <c r="A319" s="178" t="n">
        <v>6</v>
      </c>
      <c r="B319" s="211"/>
      <c r="C319" s="212" t="s">
        <v>999</v>
      </c>
      <c r="D319" s="213" t="n">
        <v>8</v>
      </c>
      <c r="E319" s="211"/>
    </row>
    <row r="320" customFormat="false" ht="15" hidden="false" customHeight="false" outlineLevel="0" collapsed="false">
      <c r="A320" s="20" t="n">
        <v>7</v>
      </c>
      <c r="B320" s="210"/>
      <c r="C320" s="162" t="s">
        <v>957</v>
      </c>
      <c r="D320" s="23" t="n">
        <v>7</v>
      </c>
      <c r="E320" s="210"/>
    </row>
    <row r="321" customFormat="false" ht="15" hidden="false" customHeight="false" outlineLevel="0" collapsed="false">
      <c r="A321" s="178" t="n">
        <v>8</v>
      </c>
      <c r="B321" s="211"/>
      <c r="C321" s="212" t="s">
        <v>121</v>
      </c>
      <c r="D321" s="213" t="n">
        <v>6</v>
      </c>
      <c r="E321" s="211"/>
    </row>
    <row r="322" customFormat="false" ht="15" hidden="false" customHeight="false" outlineLevel="0" collapsed="false">
      <c r="A322" s="20" t="n">
        <v>9</v>
      </c>
      <c r="B322" s="210"/>
      <c r="C322" s="162" t="s">
        <v>973</v>
      </c>
      <c r="D322" s="23" t="n">
        <v>2</v>
      </c>
      <c r="E322" s="210"/>
    </row>
    <row r="323" customFormat="false" ht="15" hidden="false" customHeight="false" outlineLevel="0" collapsed="false">
      <c r="A323" s="214" t="s">
        <v>1000</v>
      </c>
      <c r="B323" s="214"/>
      <c r="C323" s="214"/>
      <c r="D323" s="215" t="n">
        <v>500</v>
      </c>
      <c r="E323" s="216"/>
    </row>
    <row r="325" customFormat="false" ht="15" hidden="false" customHeight="false" outlineLevel="0" collapsed="false">
      <c r="A325" s="217" t="s">
        <v>944</v>
      </c>
      <c r="B325" s="217"/>
      <c r="C325" s="217"/>
      <c r="D325" s="217"/>
      <c r="E325" s="217"/>
    </row>
    <row r="326" customFormat="false" ht="15" hidden="false" customHeight="false" outlineLevel="0" collapsed="false">
      <c r="A326" s="182" t="s">
        <v>46</v>
      </c>
      <c r="B326" s="182"/>
      <c r="C326" s="209" t="s">
        <v>932</v>
      </c>
      <c r="D326" s="209" t="s">
        <v>945</v>
      </c>
      <c r="E326" s="182"/>
    </row>
    <row r="327" customFormat="false" ht="15" hidden="false" customHeight="false" outlineLevel="0" collapsed="false">
      <c r="A327" s="20" t="n">
        <v>1</v>
      </c>
      <c r="B327" s="210"/>
      <c r="C327" s="162" t="s">
        <v>952</v>
      </c>
      <c r="D327" s="23" t="n">
        <v>784</v>
      </c>
      <c r="E327" s="210"/>
    </row>
    <row r="328" customFormat="false" ht="15" hidden="false" customHeight="false" outlineLevel="0" collapsed="false">
      <c r="A328" s="178" t="n">
        <v>2</v>
      </c>
      <c r="B328" s="211"/>
      <c r="C328" s="212" t="s">
        <v>934</v>
      </c>
      <c r="D328" s="213" t="n">
        <v>518</v>
      </c>
      <c r="E328" s="211"/>
    </row>
    <row r="329" customFormat="false" ht="15" hidden="false" customHeight="false" outlineLevel="0" collapsed="false">
      <c r="A329" s="20" t="n">
        <v>3</v>
      </c>
      <c r="B329" s="210"/>
      <c r="C329" s="162" t="s">
        <v>935</v>
      </c>
      <c r="D329" s="23" t="n">
        <v>474</v>
      </c>
      <c r="E329" s="210"/>
    </row>
    <row r="330" customFormat="false" ht="15" hidden="false" customHeight="false" outlineLevel="0" collapsed="false">
      <c r="A330" s="178" t="n">
        <v>4</v>
      </c>
      <c r="B330" s="211"/>
      <c r="C330" s="212" t="s">
        <v>113</v>
      </c>
      <c r="D330" s="213" t="n">
        <v>146</v>
      </c>
      <c r="E330" s="211"/>
    </row>
    <row r="331" customFormat="false" ht="15" hidden="false" customHeight="false" outlineLevel="0" collapsed="false">
      <c r="A331" s="20" t="n">
        <v>5</v>
      </c>
      <c r="B331" s="210"/>
      <c r="C331" s="162" t="s">
        <v>99</v>
      </c>
      <c r="D331" s="23" t="n">
        <v>130</v>
      </c>
      <c r="E331" s="210"/>
    </row>
    <row r="332" customFormat="false" ht="15" hidden="false" customHeight="false" outlineLevel="0" collapsed="false">
      <c r="A332" s="178" t="n">
        <v>6</v>
      </c>
      <c r="B332" s="211"/>
      <c r="C332" s="212" t="s">
        <v>953</v>
      </c>
      <c r="D332" s="213" t="n">
        <v>70</v>
      </c>
      <c r="E332" s="211"/>
    </row>
    <row r="333" customFormat="false" ht="15" hidden="false" customHeight="false" outlineLevel="0" collapsed="false">
      <c r="A333" s="20" t="n">
        <v>7</v>
      </c>
      <c r="B333" s="210"/>
      <c r="C333" s="162" t="s">
        <v>957</v>
      </c>
      <c r="D333" s="23" t="n">
        <v>30</v>
      </c>
      <c r="E333" s="210"/>
    </row>
    <row r="334" customFormat="false" ht="15" hidden="false" customHeight="false" outlineLevel="0" collapsed="false">
      <c r="A334" s="178" t="n">
        <v>8</v>
      </c>
      <c r="B334" s="211"/>
      <c r="C334" s="212" t="s">
        <v>940</v>
      </c>
      <c r="D334" s="213" t="n">
        <v>25</v>
      </c>
      <c r="E334" s="211"/>
    </row>
    <row r="335" customFormat="false" ht="15" hidden="false" customHeight="false" outlineLevel="0" collapsed="false">
      <c r="A335" s="20" t="n">
        <v>9</v>
      </c>
      <c r="B335" s="210"/>
      <c r="C335" s="162" t="s">
        <v>121</v>
      </c>
      <c r="D335" s="23" t="n">
        <v>21</v>
      </c>
      <c r="E335" s="210"/>
    </row>
    <row r="336" customFormat="false" ht="15" hidden="false" customHeight="false" outlineLevel="0" collapsed="false">
      <c r="A336" s="178" t="n">
        <v>10</v>
      </c>
      <c r="B336" s="211"/>
      <c r="C336" s="212" t="s">
        <v>954</v>
      </c>
      <c r="D336" s="213" t="n">
        <v>18</v>
      </c>
      <c r="E336" s="211"/>
    </row>
    <row r="337" customFormat="false" ht="15" hidden="false" customHeight="false" outlineLevel="0" collapsed="false">
      <c r="A337" s="20" t="n">
        <v>11</v>
      </c>
      <c r="B337" s="210"/>
      <c r="C337" s="162" t="s">
        <v>108</v>
      </c>
      <c r="D337" s="23" t="n">
        <v>15</v>
      </c>
      <c r="E337" s="210"/>
    </row>
    <row r="338" customFormat="false" ht="15" hidden="false" customHeight="false" outlineLevel="0" collapsed="false">
      <c r="A338" s="178" t="n">
        <v>12</v>
      </c>
      <c r="B338" s="211"/>
      <c r="C338" s="212" t="s">
        <v>966</v>
      </c>
      <c r="D338" s="213" t="n">
        <v>13</v>
      </c>
      <c r="E338" s="211"/>
    </row>
    <row r="339" customFormat="false" ht="15" hidden="false" customHeight="false" outlineLevel="0" collapsed="false">
      <c r="A339" s="20" t="n">
        <v>13</v>
      </c>
      <c r="B339" s="210"/>
      <c r="C339" s="162" t="s">
        <v>965</v>
      </c>
      <c r="D339" s="23" t="n">
        <v>9</v>
      </c>
      <c r="E339" s="210"/>
    </row>
    <row r="340" customFormat="false" ht="15" hidden="false" customHeight="false" outlineLevel="0" collapsed="false">
      <c r="A340" s="178" t="n">
        <v>14</v>
      </c>
      <c r="B340" s="211"/>
      <c r="C340" s="212" t="s">
        <v>999</v>
      </c>
      <c r="D340" s="213" t="n">
        <v>8</v>
      </c>
      <c r="E340" s="211"/>
    </row>
    <row r="341" customFormat="false" ht="15" hidden="false" customHeight="false" outlineLevel="0" collapsed="false">
      <c r="A341" s="20" t="n">
        <v>15</v>
      </c>
      <c r="B341" s="210"/>
      <c r="C341" s="162" t="s">
        <v>942</v>
      </c>
      <c r="D341" s="23" t="n">
        <v>5</v>
      </c>
      <c r="E341" s="210"/>
    </row>
    <row r="342" customFormat="false" ht="15" hidden="false" customHeight="false" outlineLevel="0" collapsed="false">
      <c r="A342" s="178" t="n">
        <v>16</v>
      </c>
      <c r="B342" s="211"/>
      <c r="C342" s="212" t="s">
        <v>938</v>
      </c>
      <c r="D342" s="213" t="n">
        <v>5</v>
      </c>
      <c r="E342" s="211"/>
    </row>
    <row r="343" customFormat="false" ht="15" hidden="false" customHeight="false" outlineLevel="0" collapsed="false">
      <c r="A343" s="20" t="n">
        <v>17</v>
      </c>
      <c r="B343" s="210"/>
      <c r="C343" s="162" t="s">
        <v>939</v>
      </c>
      <c r="D343" s="23" t="n">
        <v>4</v>
      </c>
      <c r="E343" s="210"/>
    </row>
    <row r="344" customFormat="false" ht="15" hidden="false" customHeight="false" outlineLevel="0" collapsed="false">
      <c r="A344" s="178" t="n">
        <v>18</v>
      </c>
      <c r="B344" s="211"/>
      <c r="C344" s="212" t="s">
        <v>118</v>
      </c>
      <c r="D344" s="213" t="n">
        <v>3</v>
      </c>
      <c r="E344" s="211"/>
    </row>
    <row r="345" customFormat="false" ht="15" hidden="false" customHeight="false" outlineLevel="0" collapsed="false">
      <c r="A345" s="20" t="n">
        <v>19</v>
      </c>
      <c r="B345" s="210"/>
      <c r="C345" s="162" t="s">
        <v>973</v>
      </c>
      <c r="D345" s="23" t="n">
        <v>3</v>
      </c>
      <c r="E345" s="210"/>
    </row>
    <row r="346" customFormat="false" ht="15" hidden="false" customHeight="false" outlineLevel="0" collapsed="false">
      <c r="A346" s="178" t="n">
        <v>20</v>
      </c>
      <c r="B346" s="211"/>
      <c r="C346" s="212" t="s">
        <v>93</v>
      </c>
      <c r="D346" s="213" t="n">
        <v>2</v>
      </c>
      <c r="E346" s="211"/>
    </row>
    <row r="347" customFormat="false" ht="15" hidden="false" customHeight="false" outlineLevel="0" collapsed="false">
      <c r="A347" s="20" t="n">
        <v>21</v>
      </c>
      <c r="B347" s="210"/>
      <c r="C347" s="162" t="s">
        <v>941</v>
      </c>
      <c r="D347" s="23" t="n">
        <v>2</v>
      </c>
      <c r="E347" s="210"/>
    </row>
    <row r="348" customFormat="false" ht="15" hidden="false" customHeight="false" outlineLevel="0" collapsed="false">
      <c r="A348" s="218" t="s">
        <v>1001</v>
      </c>
      <c r="B348" s="218"/>
      <c r="C348" s="218"/>
      <c r="D348" s="219" t="n">
        <v>2285</v>
      </c>
      <c r="E348" s="220"/>
    </row>
    <row r="350" customFormat="false" ht="37.5" hidden="false" customHeight="true" outlineLevel="0" collapsed="false">
      <c r="A350" s="206" t="s">
        <v>1002</v>
      </c>
      <c r="B350" s="206"/>
      <c r="C350" s="206"/>
      <c r="D350" s="206"/>
      <c r="E350" s="206"/>
    </row>
    <row r="351" customFormat="false" ht="15" hidden="false" customHeight="false" outlineLevel="0" collapsed="false">
      <c r="A351" s="207" t="s">
        <v>1003</v>
      </c>
      <c r="B351" s="207"/>
      <c r="C351" s="207"/>
      <c r="D351" s="207"/>
      <c r="E351" s="207"/>
    </row>
    <row r="352" customFormat="false" ht="14.15" hidden="false" customHeight="false" outlineLevel="0" collapsed="false">
      <c r="A352" s="208" t="s">
        <v>1004</v>
      </c>
      <c r="B352" s="208"/>
      <c r="C352" s="208"/>
      <c r="D352" s="208"/>
      <c r="E352" s="208"/>
    </row>
    <row r="353" customFormat="false" ht="15" hidden="false" customHeight="false" outlineLevel="0" collapsed="false">
      <c r="A353" s="182" t="s">
        <v>46</v>
      </c>
      <c r="B353" s="182"/>
      <c r="C353" s="209" t="s">
        <v>932</v>
      </c>
      <c r="D353" s="209" t="s">
        <v>933</v>
      </c>
      <c r="E353" s="182"/>
    </row>
    <row r="354" customFormat="false" ht="15" hidden="false" customHeight="false" outlineLevel="0" collapsed="false">
      <c r="A354" s="20" t="n">
        <v>1</v>
      </c>
      <c r="B354" s="210"/>
      <c r="C354" s="162" t="s">
        <v>952</v>
      </c>
      <c r="D354" s="23" t="n">
        <v>330</v>
      </c>
      <c r="E354" s="210"/>
    </row>
    <row r="355" customFormat="false" ht="15" hidden="false" customHeight="false" outlineLevel="0" collapsed="false">
      <c r="A355" s="178" t="n">
        <v>2</v>
      </c>
      <c r="B355" s="211"/>
      <c r="C355" s="212" t="s">
        <v>113</v>
      </c>
      <c r="D355" s="213" t="n">
        <v>81</v>
      </c>
      <c r="E355" s="211"/>
    </row>
    <row r="356" customFormat="false" ht="15" hidden="false" customHeight="false" outlineLevel="0" collapsed="false">
      <c r="A356" s="20" t="n">
        <v>3</v>
      </c>
      <c r="B356" s="210"/>
      <c r="C356" s="162" t="s">
        <v>99</v>
      </c>
      <c r="D356" s="23" t="n">
        <v>49</v>
      </c>
      <c r="E356" s="210"/>
    </row>
    <row r="357" customFormat="false" ht="15" hidden="false" customHeight="false" outlineLevel="0" collapsed="false">
      <c r="A357" s="178" t="n">
        <v>4</v>
      </c>
      <c r="B357" s="211"/>
      <c r="C357" s="212" t="s">
        <v>934</v>
      </c>
      <c r="D357" s="213" t="n">
        <v>33</v>
      </c>
      <c r="E357" s="211"/>
    </row>
    <row r="358" customFormat="false" ht="15" hidden="false" customHeight="false" outlineLevel="0" collapsed="false">
      <c r="A358" s="20" t="n">
        <v>5</v>
      </c>
      <c r="B358" s="210"/>
      <c r="C358" s="162" t="s">
        <v>953</v>
      </c>
      <c r="D358" s="23" t="n">
        <v>24</v>
      </c>
      <c r="E358" s="210"/>
    </row>
    <row r="359" customFormat="false" ht="15" hidden="false" customHeight="false" outlineLevel="0" collapsed="false">
      <c r="A359" s="178" t="n">
        <v>6</v>
      </c>
      <c r="B359" s="211"/>
      <c r="C359" s="212" t="s">
        <v>957</v>
      </c>
      <c r="D359" s="213" t="n">
        <v>18</v>
      </c>
      <c r="E359" s="211"/>
    </row>
    <row r="360" customFormat="false" ht="15" hidden="false" customHeight="false" outlineLevel="0" collapsed="false">
      <c r="A360" s="20" t="n">
        <v>7</v>
      </c>
      <c r="B360" s="210"/>
      <c r="C360" s="162" t="s">
        <v>954</v>
      </c>
      <c r="D360" s="23" t="n">
        <v>6</v>
      </c>
      <c r="E360" s="210"/>
    </row>
    <row r="361" customFormat="false" ht="15" hidden="false" customHeight="false" outlineLevel="0" collapsed="false">
      <c r="A361" s="178" t="n">
        <v>8</v>
      </c>
      <c r="B361" s="211"/>
      <c r="C361" s="212" t="s">
        <v>121</v>
      </c>
      <c r="D361" s="213" t="n">
        <v>6</v>
      </c>
      <c r="E361" s="211"/>
    </row>
    <row r="362" customFormat="false" ht="15" hidden="false" customHeight="false" outlineLevel="0" collapsed="false">
      <c r="A362" s="20" t="n">
        <v>9</v>
      </c>
      <c r="B362" s="210"/>
      <c r="C362" s="162" t="s">
        <v>940</v>
      </c>
      <c r="D362" s="23" t="n">
        <v>3</v>
      </c>
      <c r="E362" s="210"/>
    </row>
    <row r="363" customFormat="false" ht="15" hidden="false" customHeight="false" outlineLevel="0" collapsed="false">
      <c r="A363" s="178" t="n">
        <v>10</v>
      </c>
      <c r="B363" s="211"/>
      <c r="C363" s="212" t="s">
        <v>939</v>
      </c>
      <c r="D363" s="213" t="n">
        <v>2</v>
      </c>
      <c r="E363" s="211"/>
    </row>
    <row r="364" customFormat="false" ht="15" hidden="false" customHeight="false" outlineLevel="0" collapsed="false">
      <c r="A364" s="20" t="n">
        <v>11</v>
      </c>
      <c r="B364" s="210"/>
      <c r="C364" s="162" t="s">
        <v>118</v>
      </c>
      <c r="D364" s="23" t="n">
        <v>1</v>
      </c>
      <c r="E364" s="210"/>
    </row>
    <row r="365" customFormat="false" ht="15" hidden="false" customHeight="false" outlineLevel="0" collapsed="false">
      <c r="A365" s="214" t="s">
        <v>1005</v>
      </c>
      <c r="B365" s="214"/>
      <c r="C365" s="214"/>
      <c r="D365" s="215" t="n">
        <v>553</v>
      </c>
      <c r="E365" s="216"/>
    </row>
    <row r="366" customFormat="false" ht="14.15" hidden="false" customHeight="false" outlineLevel="0" collapsed="false">
      <c r="A366" s="208" t="s">
        <v>1006</v>
      </c>
      <c r="B366" s="208"/>
      <c r="C366" s="208"/>
      <c r="D366" s="208"/>
      <c r="E366" s="208"/>
    </row>
    <row r="367" customFormat="false" ht="15" hidden="false" customHeight="false" outlineLevel="0" collapsed="false">
      <c r="A367" s="182" t="s">
        <v>46</v>
      </c>
      <c r="B367" s="182"/>
      <c r="C367" s="209" t="s">
        <v>932</v>
      </c>
      <c r="D367" s="209" t="s">
        <v>933</v>
      </c>
      <c r="E367" s="182"/>
    </row>
    <row r="368" customFormat="false" ht="15" hidden="false" customHeight="false" outlineLevel="0" collapsed="false">
      <c r="A368" s="20" t="n">
        <v>1</v>
      </c>
      <c r="B368" s="210"/>
      <c r="C368" s="162" t="s">
        <v>952</v>
      </c>
      <c r="D368" s="23" t="n">
        <v>175</v>
      </c>
      <c r="E368" s="210"/>
    </row>
    <row r="369" customFormat="false" ht="15" hidden="false" customHeight="false" outlineLevel="0" collapsed="false">
      <c r="A369" s="178" t="n">
        <v>2</v>
      </c>
      <c r="B369" s="211"/>
      <c r="C369" s="212" t="s">
        <v>934</v>
      </c>
      <c r="D369" s="213" t="n">
        <v>148</v>
      </c>
      <c r="E369" s="211"/>
    </row>
    <row r="370" customFormat="false" ht="15" hidden="false" customHeight="false" outlineLevel="0" collapsed="false">
      <c r="A370" s="20" t="n">
        <v>3</v>
      </c>
      <c r="B370" s="210"/>
      <c r="C370" s="162" t="s">
        <v>935</v>
      </c>
      <c r="D370" s="23" t="n">
        <v>87</v>
      </c>
      <c r="E370" s="210"/>
    </row>
    <row r="371" customFormat="false" ht="15" hidden="false" customHeight="false" outlineLevel="0" collapsed="false">
      <c r="A371" s="178" t="n">
        <v>4</v>
      </c>
      <c r="B371" s="211"/>
      <c r="C371" s="212" t="s">
        <v>113</v>
      </c>
      <c r="D371" s="213" t="n">
        <v>36</v>
      </c>
      <c r="E371" s="211"/>
    </row>
    <row r="372" customFormat="false" ht="15" hidden="false" customHeight="false" outlineLevel="0" collapsed="false">
      <c r="A372" s="20" t="n">
        <v>5</v>
      </c>
      <c r="B372" s="210"/>
      <c r="C372" s="162" t="s">
        <v>936</v>
      </c>
      <c r="D372" s="23" t="n">
        <v>35</v>
      </c>
      <c r="E372" s="210"/>
    </row>
    <row r="373" customFormat="false" ht="15" hidden="false" customHeight="false" outlineLevel="0" collapsed="false">
      <c r="A373" s="178" t="n">
        <v>6</v>
      </c>
      <c r="B373" s="211"/>
      <c r="C373" s="212" t="s">
        <v>99</v>
      </c>
      <c r="D373" s="213" t="n">
        <v>25</v>
      </c>
      <c r="E373" s="211"/>
    </row>
    <row r="374" customFormat="false" ht="15" hidden="false" customHeight="false" outlineLevel="0" collapsed="false">
      <c r="A374" s="20" t="n">
        <v>7</v>
      </c>
      <c r="B374" s="210"/>
      <c r="C374" s="162" t="s">
        <v>937</v>
      </c>
      <c r="D374" s="23" t="n">
        <v>17</v>
      </c>
      <c r="E374" s="210"/>
    </row>
    <row r="375" customFormat="false" ht="15" hidden="false" customHeight="false" outlineLevel="0" collapsed="false">
      <c r="A375" s="178" t="n">
        <v>8</v>
      </c>
      <c r="B375" s="211"/>
      <c r="C375" s="212" t="s">
        <v>938</v>
      </c>
      <c r="D375" s="213" t="n">
        <v>10</v>
      </c>
      <c r="E375" s="211"/>
    </row>
    <row r="376" customFormat="false" ht="15" hidden="false" customHeight="false" outlineLevel="0" collapsed="false">
      <c r="A376" s="20" t="n">
        <v>9</v>
      </c>
      <c r="B376" s="210"/>
      <c r="C376" s="162" t="s">
        <v>939</v>
      </c>
      <c r="D376" s="23" t="n">
        <v>10</v>
      </c>
      <c r="E376" s="210"/>
    </row>
    <row r="377" customFormat="false" ht="15" hidden="false" customHeight="false" outlineLevel="0" collapsed="false">
      <c r="A377" s="178" t="n">
        <v>10</v>
      </c>
      <c r="B377" s="211"/>
      <c r="C377" s="212" t="s">
        <v>953</v>
      </c>
      <c r="D377" s="213" t="n">
        <v>9</v>
      </c>
      <c r="E377" s="211"/>
    </row>
    <row r="378" customFormat="false" ht="15" hidden="false" customHeight="false" outlineLevel="0" collapsed="false">
      <c r="A378" s="20" t="n">
        <v>11</v>
      </c>
      <c r="B378" s="210"/>
      <c r="C378" s="162" t="s">
        <v>940</v>
      </c>
      <c r="D378" s="23" t="n">
        <v>8</v>
      </c>
      <c r="E378" s="210"/>
    </row>
    <row r="379" customFormat="false" ht="15" hidden="false" customHeight="false" outlineLevel="0" collapsed="false">
      <c r="A379" s="178" t="n">
        <v>12</v>
      </c>
      <c r="B379" s="211"/>
      <c r="C379" s="212" t="s">
        <v>957</v>
      </c>
      <c r="D379" s="213" t="n">
        <v>7</v>
      </c>
      <c r="E379" s="211"/>
    </row>
    <row r="380" customFormat="false" ht="15" hidden="false" customHeight="false" outlineLevel="0" collapsed="false">
      <c r="A380" s="20" t="n">
        <v>13</v>
      </c>
      <c r="B380" s="210"/>
      <c r="C380" s="162" t="s">
        <v>121</v>
      </c>
      <c r="D380" s="23" t="n">
        <v>6</v>
      </c>
      <c r="E380" s="210"/>
    </row>
    <row r="381" customFormat="false" ht="15" hidden="false" customHeight="false" outlineLevel="0" collapsed="false">
      <c r="A381" s="178" t="n">
        <v>14</v>
      </c>
      <c r="B381" s="211"/>
      <c r="C381" s="212" t="s">
        <v>941</v>
      </c>
      <c r="D381" s="213" t="n">
        <v>3</v>
      </c>
      <c r="E381" s="211"/>
    </row>
    <row r="382" customFormat="false" ht="15" hidden="false" customHeight="false" outlineLevel="0" collapsed="false">
      <c r="A382" s="20" t="n">
        <v>15</v>
      </c>
      <c r="B382" s="210"/>
      <c r="C382" s="162" t="s">
        <v>118</v>
      </c>
      <c r="D382" s="23" t="n">
        <v>3</v>
      </c>
      <c r="E382" s="210"/>
    </row>
    <row r="383" customFormat="false" ht="15" hidden="false" customHeight="false" outlineLevel="0" collapsed="false">
      <c r="A383" s="178" t="n">
        <v>16</v>
      </c>
      <c r="B383" s="211"/>
      <c r="C383" s="212" t="s">
        <v>954</v>
      </c>
      <c r="D383" s="213" t="n">
        <v>2</v>
      </c>
      <c r="E383" s="211"/>
    </row>
    <row r="384" customFormat="false" ht="15" hidden="false" customHeight="false" outlineLevel="0" collapsed="false">
      <c r="A384" s="20" t="n">
        <v>17</v>
      </c>
      <c r="B384" s="210"/>
      <c r="C384" s="162" t="s">
        <v>942</v>
      </c>
      <c r="D384" s="23" t="n">
        <v>1</v>
      </c>
      <c r="E384" s="210"/>
    </row>
    <row r="385" customFormat="false" ht="15" hidden="false" customHeight="false" outlineLevel="0" collapsed="false">
      <c r="A385" s="214" t="s">
        <v>1007</v>
      </c>
      <c r="B385" s="214"/>
      <c r="C385" s="214"/>
      <c r="D385" s="215" t="n">
        <v>582</v>
      </c>
      <c r="E385" s="216"/>
    </row>
    <row r="386" customFormat="false" ht="14.15" hidden="false" customHeight="false" outlineLevel="0" collapsed="false">
      <c r="A386" s="208" t="s">
        <v>1008</v>
      </c>
      <c r="B386" s="208"/>
      <c r="C386" s="208"/>
      <c r="D386" s="208"/>
      <c r="E386" s="208"/>
    </row>
    <row r="387" customFormat="false" ht="15" hidden="false" customHeight="false" outlineLevel="0" collapsed="false">
      <c r="A387" s="182" t="s">
        <v>46</v>
      </c>
      <c r="B387" s="182"/>
      <c r="C387" s="209" t="s">
        <v>932</v>
      </c>
      <c r="D387" s="209" t="s">
        <v>933</v>
      </c>
      <c r="E387" s="182"/>
    </row>
    <row r="388" customFormat="false" ht="15" hidden="false" customHeight="false" outlineLevel="0" collapsed="false">
      <c r="A388" s="20" t="n">
        <v>1</v>
      </c>
      <c r="B388" s="210"/>
      <c r="C388" s="162" t="s">
        <v>952</v>
      </c>
      <c r="D388" s="23" t="n">
        <v>186</v>
      </c>
      <c r="E388" s="210"/>
    </row>
    <row r="389" customFormat="false" ht="15" hidden="false" customHeight="false" outlineLevel="0" collapsed="false">
      <c r="A389" s="178" t="n">
        <v>2</v>
      </c>
      <c r="B389" s="211"/>
      <c r="C389" s="212" t="s">
        <v>934</v>
      </c>
      <c r="D389" s="213" t="n">
        <v>139</v>
      </c>
      <c r="E389" s="211"/>
    </row>
    <row r="390" customFormat="false" ht="15" hidden="false" customHeight="false" outlineLevel="0" collapsed="false">
      <c r="A390" s="20" t="n">
        <v>3</v>
      </c>
      <c r="B390" s="210"/>
      <c r="C390" s="162" t="s">
        <v>113</v>
      </c>
      <c r="D390" s="23" t="n">
        <v>72</v>
      </c>
      <c r="E390" s="210"/>
    </row>
    <row r="391" customFormat="false" ht="15" hidden="false" customHeight="false" outlineLevel="0" collapsed="false">
      <c r="A391" s="178" t="n">
        <v>4</v>
      </c>
      <c r="B391" s="211"/>
      <c r="C391" s="212" t="s">
        <v>935</v>
      </c>
      <c r="D391" s="213" t="n">
        <v>56</v>
      </c>
      <c r="E391" s="211"/>
    </row>
    <row r="392" customFormat="false" ht="15" hidden="false" customHeight="false" outlineLevel="0" collapsed="false">
      <c r="A392" s="20" t="n">
        <v>5</v>
      </c>
      <c r="B392" s="210"/>
      <c r="C392" s="162" t="s">
        <v>99</v>
      </c>
      <c r="D392" s="23" t="n">
        <v>39</v>
      </c>
      <c r="E392" s="210"/>
    </row>
    <row r="393" customFormat="false" ht="15" hidden="false" customHeight="false" outlineLevel="0" collapsed="false">
      <c r="A393" s="178" t="n">
        <v>6</v>
      </c>
      <c r="B393" s="211"/>
      <c r="C393" s="212" t="s">
        <v>953</v>
      </c>
      <c r="D393" s="213" t="n">
        <v>15</v>
      </c>
      <c r="E393" s="211"/>
    </row>
    <row r="394" customFormat="false" ht="15" hidden="false" customHeight="false" outlineLevel="0" collapsed="false">
      <c r="A394" s="20" t="n">
        <v>7</v>
      </c>
      <c r="B394" s="210"/>
      <c r="C394" s="162" t="s">
        <v>957</v>
      </c>
      <c r="D394" s="23" t="n">
        <v>9</v>
      </c>
      <c r="E394" s="210"/>
    </row>
    <row r="395" customFormat="false" ht="15" hidden="false" customHeight="false" outlineLevel="0" collapsed="false">
      <c r="A395" s="178" t="n">
        <v>8</v>
      </c>
      <c r="B395" s="211"/>
      <c r="C395" s="212" t="s">
        <v>940</v>
      </c>
      <c r="D395" s="213" t="n">
        <v>6</v>
      </c>
      <c r="E395" s="211"/>
    </row>
    <row r="396" customFormat="false" ht="15" hidden="false" customHeight="false" outlineLevel="0" collapsed="false">
      <c r="A396" s="20" t="n">
        <v>9</v>
      </c>
      <c r="B396" s="210"/>
      <c r="C396" s="162" t="s">
        <v>965</v>
      </c>
      <c r="D396" s="23" t="n">
        <v>6</v>
      </c>
      <c r="E396" s="210"/>
    </row>
    <row r="397" customFormat="false" ht="15" hidden="false" customHeight="false" outlineLevel="0" collapsed="false">
      <c r="A397" s="178" t="n">
        <v>10</v>
      </c>
      <c r="B397" s="211"/>
      <c r="C397" s="212" t="s">
        <v>121</v>
      </c>
      <c r="D397" s="213" t="n">
        <v>5</v>
      </c>
      <c r="E397" s="211"/>
    </row>
    <row r="398" customFormat="false" ht="15" hidden="false" customHeight="false" outlineLevel="0" collapsed="false">
      <c r="A398" s="20" t="n">
        <v>11</v>
      </c>
      <c r="B398" s="210"/>
      <c r="C398" s="162" t="s">
        <v>966</v>
      </c>
      <c r="D398" s="23" t="n">
        <v>5</v>
      </c>
      <c r="E398" s="210"/>
    </row>
    <row r="399" customFormat="false" ht="15" hidden="false" customHeight="false" outlineLevel="0" collapsed="false">
      <c r="A399" s="178" t="n">
        <v>12</v>
      </c>
      <c r="B399" s="211"/>
      <c r="C399" s="212" t="s">
        <v>954</v>
      </c>
      <c r="D399" s="213" t="n">
        <v>4</v>
      </c>
      <c r="E399" s="211"/>
    </row>
    <row r="400" customFormat="false" ht="15" hidden="false" customHeight="false" outlineLevel="0" collapsed="false">
      <c r="A400" s="20" t="n">
        <v>13</v>
      </c>
      <c r="B400" s="210"/>
      <c r="C400" s="162" t="s">
        <v>93</v>
      </c>
      <c r="D400" s="23" t="n">
        <v>4</v>
      </c>
      <c r="E400" s="210"/>
    </row>
    <row r="401" customFormat="false" ht="15" hidden="false" customHeight="false" outlineLevel="0" collapsed="false">
      <c r="A401" s="178" t="n">
        <v>14</v>
      </c>
      <c r="B401" s="211"/>
      <c r="C401" s="212" t="s">
        <v>108</v>
      </c>
      <c r="D401" s="213" t="n">
        <v>4</v>
      </c>
      <c r="E401" s="211"/>
    </row>
    <row r="402" customFormat="false" ht="15" hidden="false" customHeight="false" outlineLevel="0" collapsed="false">
      <c r="A402" s="20" t="n">
        <v>15</v>
      </c>
      <c r="B402" s="210"/>
      <c r="C402" s="162" t="s">
        <v>939</v>
      </c>
      <c r="D402" s="23" t="n">
        <v>2</v>
      </c>
      <c r="E402" s="210"/>
    </row>
    <row r="403" customFormat="false" ht="15" hidden="false" customHeight="false" outlineLevel="0" collapsed="false">
      <c r="A403" s="178" t="n">
        <v>16</v>
      </c>
      <c r="B403" s="211"/>
      <c r="C403" s="212" t="s">
        <v>80</v>
      </c>
      <c r="D403" s="213" t="n">
        <v>2</v>
      </c>
      <c r="E403" s="211"/>
    </row>
    <row r="404" customFormat="false" ht="15" hidden="false" customHeight="false" outlineLevel="0" collapsed="false">
      <c r="A404" s="20" t="n">
        <v>17</v>
      </c>
      <c r="B404" s="210"/>
      <c r="C404" s="162" t="s">
        <v>118</v>
      </c>
      <c r="D404" s="23" t="n">
        <v>1</v>
      </c>
      <c r="E404" s="210"/>
    </row>
    <row r="405" customFormat="false" ht="15" hidden="false" customHeight="false" outlineLevel="0" collapsed="false">
      <c r="A405" s="178" t="n">
        <v>18</v>
      </c>
      <c r="B405" s="211"/>
      <c r="C405" s="212" t="s">
        <v>53</v>
      </c>
      <c r="D405" s="213" t="n">
        <v>1</v>
      </c>
      <c r="E405" s="211"/>
    </row>
    <row r="406" customFormat="false" ht="15" hidden="false" customHeight="false" outlineLevel="0" collapsed="false">
      <c r="A406" s="20" t="n">
        <v>19</v>
      </c>
      <c r="B406" s="210"/>
      <c r="C406" s="162" t="s">
        <v>57</v>
      </c>
      <c r="D406" s="23" t="n">
        <v>1</v>
      </c>
      <c r="E406" s="210"/>
    </row>
    <row r="407" customFormat="false" ht="15" hidden="false" customHeight="false" outlineLevel="0" collapsed="false">
      <c r="A407" s="178" t="n">
        <v>20</v>
      </c>
      <c r="B407" s="211"/>
      <c r="C407" s="212" t="s">
        <v>1009</v>
      </c>
      <c r="D407" s="213" t="n">
        <v>1</v>
      </c>
      <c r="E407" s="211"/>
    </row>
    <row r="408" customFormat="false" ht="15" hidden="false" customHeight="false" outlineLevel="0" collapsed="false">
      <c r="A408" s="20" t="n">
        <v>21</v>
      </c>
      <c r="B408" s="210"/>
      <c r="C408" s="162" t="s">
        <v>125</v>
      </c>
      <c r="D408" s="23" t="n">
        <v>1</v>
      </c>
      <c r="E408" s="210"/>
    </row>
    <row r="409" customFormat="false" ht="15" hidden="false" customHeight="false" outlineLevel="0" collapsed="false">
      <c r="A409" s="178" t="n">
        <v>22</v>
      </c>
      <c r="B409" s="211"/>
      <c r="C409" s="212" t="s">
        <v>983</v>
      </c>
      <c r="D409" s="213" t="n">
        <v>1</v>
      </c>
      <c r="E409" s="211"/>
    </row>
    <row r="410" customFormat="false" ht="15" hidden="false" customHeight="false" outlineLevel="0" collapsed="false">
      <c r="A410" s="214" t="s">
        <v>1010</v>
      </c>
      <c r="B410" s="214"/>
      <c r="C410" s="214"/>
      <c r="D410" s="215" t="n">
        <v>560</v>
      </c>
      <c r="E410" s="216"/>
    </row>
    <row r="411" customFormat="false" ht="14.15" hidden="false" customHeight="false" outlineLevel="0" collapsed="false">
      <c r="A411" s="208" t="s">
        <v>1011</v>
      </c>
      <c r="B411" s="208"/>
      <c r="C411" s="208"/>
      <c r="D411" s="208"/>
      <c r="E411" s="208"/>
    </row>
    <row r="412" customFormat="false" ht="15" hidden="false" customHeight="false" outlineLevel="0" collapsed="false">
      <c r="A412" s="182" t="s">
        <v>46</v>
      </c>
      <c r="B412" s="182"/>
      <c r="C412" s="209" t="s">
        <v>932</v>
      </c>
      <c r="D412" s="209" t="s">
        <v>933</v>
      </c>
      <c r="E412" s="182"/>
    </row>
    <row r="413" customFormat="false" ht="15" hidden="false" customHeight="false" outlineLevel="0" collapsed="false">
      <c r="A413" s="20" t="n">
        <v>1</v>
      </c>
      <c r="B413" s="210"/>
      <c r="C413" s="162" t="s">
        <v>934</v>
      </c>
      <c r="D413" s="23" t="n">
        <v>167</v>
      </c>
      <c r="E413" s="210"/>
    </row>
    <row r="414" customFormat="false" ht="15" hidden="false" customHeight="false" outlineLevel="0" collapsed="false">
      <c r="A414" s="178" t="n">
        <v>2</v>
      </c>
      <c r="B414" s="211"/>
      <c r="C414" s="212" t="s">
        <v>935</v>
      </c>
      <c r="D414" s="213" t="n">
        <v>157</v>
      </c>
      <c r="E414" s="211"/>
    </row>
    <row r="415" customFormat="false" ht="15" hidden="false" customHeight="false" outlineLevel="0" collapsed="false">
      <c r="A415" s="20" t="n">
        <v>3</v>
      </c>
      <c r="B415" s="210"/>
      <c r="C415" s="162" t="s">
        <v>940</v>
      </c>
      <c r="D415" s="23" t="n">
        <v>8</v>
      </c>
      <c r="E415" s="210"/>
    </row>
    <row r="416" customFormat="false" ht="15" hidden="false" customHeight="false" outlineLevel="0" collapsed="false">
      <c r="A416" s="178" t="n">
        <v>4</v>
      </c>
      <c r="B416" s="211"/>
      <c r="C416" s="212" t="s">
        <v>99</v>
      </c>
      <c r="D416" s="213" t="n">
        <v>8</v>
      </c>
      <c r="E416" s="211"/>
    </row>
    <row r="417" customFormat="false" ht="15" hidden="false" customHeight="false" outlineLevel="0" collapsed="false">
      <c r="A417" s="20" t="n">
        <v>5</v>
      </c>
      <c r="B417" s="210"/>
      <c r="C417" s="162" t="s">
        <v>108</v>
      </c>
      <c r="D417" s="23" t="n">
        <v>4</v>
      </c>
      <c r="E417" s="210"/>
    </row>
    <row r="418" customFormat="false" ht="15" hidden="false" customHeight="false" outlineLevel="0" collapsed="false">
      <c r="A418" s="178" t="n">
        <v>6</v>
      </c>
      <c r="B418" s="211"/>
      <c r="C418" s="212" t="s">
        <v>121</v>
      </c>
      <c r="D418" s="213" t="n">
        <v>3</v>
      </c>
      <c r="E418" s="211"/>
    </row>
    <row r="419" customFormat="false" ht="15" hidden="false" customHeight="false" outlineLevel="0" collapsed="false">
      <c r="A419" s="20" t="n">
        <v>7</v>
      </c>
      <c r="B419" s="210"/>
      <c r="C419" s="162" t="s">
        <v>118</v>
      </c>
      <c r="D419" s="23" t="n">
        <v>1</v>
      </c>
      <c r="E419" s="210"/>
    </row>
    <row r="420" customFormat="false" ht="15" hidden="false" customHeight="false" outlineLevel="0" collapsed="false">
      <c r="A420" s="178" t="n">
        <v>8</v>
      </c>
      <c r="B420" s="211"/>
      <c r="C420" s="212" t="s">
        <v>942</v>
      </c>
      <c r="D420" s="213" t="n">
        <v>1</v>
      </c>
      <c r="E420" s="211"/>
    </row>
    <row r="421" customFormat="false" ht="15" hidden="false" customHeight="false" outlineLevel="0" collapsed="false">
      <c r="A421" s="214" t="s">
        <v>1012</v>
      </c>
      <c r="B421" s="214"/>
      <c r="C421" s="214"/>
      <c r="D421" s="215" t="n">
        <v>349</v>
      </c>
      <c r="E421" s="216"/>
    </row>
    <row r="422" customFormat="false" ht="14.15" hidden="false" customHeight="false" outlineLevel="0" collapsed="false">
      <c r="A422" s="208" t="s">
        <v>1013</v>
      </c>
      <c r="B422" s="208"/>
      <c r="C422" s="208"/>
      <c r="D422" s="208"/>
      <c r="E422" s="208"/>
    </row>
    <row r="423" customFormat="false" ht="15" hidden="false" customHeight="false" outlineLevel="0" collapsed="false">
      <c r="A423" s="182" t="s">
        <v>46</v>
      </c>
      <c r="B423" s="182"/>
      <c r="C423" s="209" t="s">
        <v>932</v>
      </c>
      <c r="D423" s="209" t="s">
        <v>933</v>
      </c>
      <c r="E423" s="182"/>
    </row>
    <row r="424" customFormat="false" ht="15" hidden="false" customHeight="false" outlineLevel="0" collapsed="false">
      <c r="A424" s="20" t="n">
        <v>1</v>
      </c>
      <c r="B424" s="210"/>
      <c r="C424" s="162" t="s">
        <v>952</v>
      </c>
      <c r="D424" s="23" t="n">
        <v>326</v>
      </c>
      <c r="E424" s="210"/>
    </row>
    <row r="425" customFormat="false" ht="15" hidden="false" customHeight="false" outlineLevel="0" collapsed="false">
      <c r="A425" s="178" t="n">
        <v>2</v>
      </c>
      <c r="B425" s="211"/>
      <c r="C425" s="212" t="s">
        <v>113</v>
      </c>
      <c r="D425" s="213" t="n">
        <v>55</v>
      </c>
      <c r="E425" s="211"/>
    </row>
    <row r="426" customFormat="false" ht="15" hidden="false" customHeight="false" outlineLevel="0" collapsed="false">
      <c r="A426" s="20" t="n">
        <v>3</v>
      </c>
      <c r="B426" s="210"/>
      <c r="C426" s="162" t="s">
        <v>99</v>
      </c>
      <c r="D426" s="23" t="n">
        <v>44</v>
      </c>
      <c r="E426" s="210"/>
    </row>
    <row r="427" customFormat="false" ht="15" hidden="false" customHeight="false" outlineLevel="0" collapsed="false">
      <c r="A427" s="178" t="n">
        <v>4</v>
      </c>
      <c r="B427" s="211"/>
      <c r="C427" s="212" t="s">
        <v>953</v>
      </c>
      <c r="D427" s="213" t="n">
        <v>21</v>
      </c>
      <c r="E427" s="211"/>
    </row>
    <row r="428" customFormat="false" ht="15" hidden="false" customHeight="false" outlineLevel="0" collapsed="false">
      <c r="A428" s="20" t="n">
        <v>5</v>
      </c>
      <c r="B428" s="210"/>
      <c r="C428" s="162" t="s">
        <v>957</v>
      </c>
      <c r="D428" s="23" t="n">
        <v>16</v>
      </c>
      <c r="E428" s="210"/>
    </row>
    <row r="429" customFormat="false" ht="15" hidden="false" customHeight="false" outlineLevel="0" collapsed="false">
      <c r="A429" s="178" t="n">
        <v>6</v>
      </c>
      <c r="B429" s="211"/>
      <c r="C429" s="212" t="s">
        <v>954</v>
      </c>
      <c r="D429" s="213" t="n">
        <v>6</v>
      </c>
      <c r="E429" s="211"/>
    </row>
    <row r="430" customFormat="false" ht="15" hidden="false" customHeight="false" outlineLevel="0" collapsed="false">
      <c r="A430" s="20" t="n">
        <v>7</v>
      </c>
      <c r="B430" s="210"/>
      <c r="C430" s="162" t="s">
        <v>121</v>
      </c>
      <c r="D430" s="23" t="n">
        <v>6</v>
      </c>
      <c r="E430" s="210"/>
    </row>
    <row r="431" customFormat="false" ht="15" hidden="false" customHeight="false" outlineLevel="0" collapsed="false">
      <c r="A431" s="178" t="n">
        <v>8</v>
      </c>
      <c r="B431" s="211"/>
      <c r="C431" s="212" t="s">
        <v>999</v>
      </c>
      <c r="D431" s="213" t="n">
        <v>4</v>
      </c>
      <c r="E431" s="211"/>
    </row>
    <row r="432" customFormat="false" ht="15" hidden="false" customHeight="false" outlineLevel="0" collapsed="false">
      <c r="A432" s="20" t="n">
        <v>9</v>
      </c>
      <c r="B432" s="210"/>
      <c r="C432" s="162" t="s">
        <v>973</v>
      </c>
      <c r="D432" s="23" t="n">
        <v>1</v>
      </c>
      <c r="E432" s="210"/>
    </row>
    <row r="433" customFormat="false" ht="15" hidden="false" customHeight="false" outlineLevel="0" collapsed="false">
      <c r="A433" s="214" t="s">
        <v>1014</v>
      </c>
      <c r="B433" s="214"/>
      <c r="C433" s="214"/>
      <c r="D433" s="215" t="n">
        <v>479</v>
      </c>
      <c r="E433" s="216"/>
    </row>
    <row r="435" customFormat="false" ht="15" hidden="false" customHeight="false" outlineLevel="0" collapsed="false">
      <c r="A435" s="217" t="s">
        <v>944</v>
      </c>
      <c r="B435" s="217"/>
      <c r="C435" s="217"/>
      <c r="D435" s="217"/>
      <c r="E435" s="217"/>
    </row>
    <row r="436" customFormat="false" ht="15" hidden="false" customHeight="false" outlineLevel="0" collapsed="false">
      <c r="A436" s="182" t="s">
        <v>46</v>
      </c>
      <c r="B436" s="182"/>
      <c r="C436" s="209" t="s">
        <v>932</v>
      </c>
      <c r="D436" s="209" t="s">
        <v>945</v>
      </c>
      <c r="E436" s="182"/>
    </row>
    <row r="437" customFormat="false" ht="15" hidden="false" customHeight="false" outlineLevel="0" collapsed="false">
      <c r="A437" s="20" t="n">
        <v>1</v>
      </c>
      <c r="B437" s="210"/>
      <c r="C437" s="162" t="s">
        <v>952</v>
      </c>
      <c r="D437" s="23" t="n">
        <v>1017</v>
      </c>
      <c r="E437" s="210"/>
    </row>
    <row r="438" customFormat="false" ht="15" hidden="false" customHeight="false" outlineLevel="0" collapsed="false">
      <c r="A438" s="178" t="n">
        <v>2</v>
      </c>
      <c r="B438" s="211"/>
      <c r="C438" s="212" t="s">
        <v>934</v>
      </c>
      <c r="D438" s="213" t="n">
        <v>487</v>
      </c>
      <c r="E438" s="211"/>
    </row>
    <row r="439" customFormat="false" ht="15" hidden="false" customHeight="false" outlineLevel="0" collapsed="false">
      <c r="A439" s="20" t="n">
        <v>3</v>
      </c>
      <c r="B439" s="210"/>
      <c r="C439" s="162" t="s">
        <v>935</v>
      </c>
      <c r="D439" s="23" t="n">
        <v>300</v>
      </c>
      <c r="E439" s="210"/>
    </row>
    <row r="440" customFormat="false" ht="15" hidden="false" customHeight="false" outlineLevel="0" collapsed="false">
      <c r="A440" s="178" t="n">
        <v>4</v>
      </c>
      <c r="B440" s="211"/>
      <c r="C440" s="212" t="s">
        <v>113</v>
      </c>
      <c r="D440" s="213" t="n">
        <v>244</v>
      </c>
      <c r="E440" s="211"/>
    </row>
    <row r="441" customFormat="false" ht="15" hidden="false" customHeight="false" outlineLevel="0" collapsed="false">
      <c r="A441" s="20" t="n">
        <v>5</v>
      </c>
      <c r="B441" s="210"/>
      <c r="C441" s="162" t="s">
        <v>99</v>
      </c>
      <c r="D441" s="23" t="n">
        <v>165</v>
      </c>
      <c r="E441" s="210"/>
    </row>
    <row r="442" customFormat="false" ht="15" hidden="false" customHeight="false" outlineLevel="0" collapsed="false">
      <c r="A442" s="178" t="n">
        <v>6</v>
      </c>
      <c r="B442" s="211"/>
      <c r="C442" s="212" t="s">
        <v>953</v>
      </c>
      <c r="D442" s="213" t="n">
        <v>69</v>
      </c>
      <c r="E442" s="211"/>
    </row>
    <row r="443" customFormat="false" ht="15" hidden="false" customHeight="false" outlineLevel="0" collapsed="false">
      <c r="A443" s="20" t="n">
        <v>7</v>
      </c>
      <c r="B443" s="210"/>
      <c r="C443" s="162" t="s">
        <v>957</v>
      </c>
      <c r="D443" s="23" t="n">
        <v>50</v>
      </c>
      <c r="E443" s="210"/>
    </row>
    <row r="444" customFormat="false" ht="15" hidden="false" customHeight="false" outlineLevel="0" collapsed="false">
      <c r="A444" s="178" t="n">
        <v>8</v>
      </c>
      <c r="B444" s="211"/>
      <c r="C444" s="212" t="s">
        <v>936</v>
      </c>
      <c r="D444" s="213" t="n">
        <v>35</v>
      </c>
      <c r="E444" s="211"/>
    </row>
    <row r="445" customFormat="false" ht="15" hidden="false" customHeight="false" outlineLevel="0" collapsed="false">
      <c r="A445" s="20" t="n">
        <v>9</v>
      </c>
      <c r="B445" s="210"/>
      <c r="C445" s="162" t="s">
        <v>121</v>
      </c>
      <c r="D445" s="23" t="n">
        <v>26</v>
      </c>
      <c r="E445" s="210"/>
    </row>
    <row r="446" customFormat="false" ht="15" hidden="false" customHeight="false" outlineLevel="0" collapsed="false">
      <c r="A446" s="178" t="n">
        <v>10</v>
      </c>
      <c r="B446" s="211"/>
      <c r="C446" s="212" t="s">
        <v>940</v>
      </c>
      <c r="D446" s="213" t="n">
        <v>25</v>
      </c>
      <c r="E446" s="211"/>
    </row>
    <row r="447" customFormat="false" ht="15" hidden="false" customHeight="false" outlineLevel="0" collapsed="false">
      <c r="A447" s="20" t="n">
        <v>11</v>
      </c>
      <c r="B447" s="210"/>
      <c r="C447" s="162" t="s">
        <v>954</v>
      </c>
      <c r="D447" s="23" t="n">
        <v>18</v>
      </c>
      <c r="E447" s="210"/>
    </row>
    <row r="448" customFormat="false" ht="15" hidden="false" customHeight="false" outlineLevel="0" collapsed="false">
      <c r="A448" s="178" t="n">
        <v>12</v>
      </c>
      <c r="B448" s="211"/>
      <c r="C448" s="212" t="s">
        <v>937</v>
      </c>
      <c r="D448" s="213" t="n">
        <v>17</v>
      </c>
      <c r="E448" s="211"/>
    </row>
    <row r="449" customFormat="false" ht="15" hidden="false" customHeight="false" outlineLevel="0" collapsed="false">
      <c r="A449" s="20" t="n">
        <v>13</v>
      </c>
      <c r="B449" s="210"/>
      <c r="C449" s="162" t="s">
        <v>939</v>
      </c>
      <c r="D449" s="23" t="n">
        <v>14</v>
      </c>
      <c r="E449" s="210"/>
    </row>
    <row r="450" customFormat="false" ht="15" hidden="false" customHeight="false" outlineLevel="0" collapsed="false">
      <c r="A450" s="178" t="n">
        <v>14</v>
      </c>
      <c r="B450" s="211"/>
      <c r="C450" s="212" t="s">
        <v>938</v>
      </c>
      <c r="D450" s="213" t="n">
        <v>10</v>
      </c>
      <c r="E450" s="211"/>
    </row>
    <row r="451" customFormat="false" ht="15" hidden="false" customHeight="false" outlineLevel="0" collapsed="false">
      <c r="A451" s="20" t="n">
        <v>15</v>
      </c>
      <c r="B451" s="210"/>
      <c r="C451" s="162" t="s">
        <v>108</v>
      </c>
      <c r="D451" s="23" t="n">
        <v>8</v>
      </c>
      <c r="E451" s="210"/>
    </row>
    <row r="452" customFormat="false" ht="15" hidden="false" customHeight="false" outlineLevel="0" collapsed="false">
      <c r="A452" s="178" t="n">
        <v>16</v>
      </c>
      <c r="B452" s="211"/>
      <c r="C452" s="212" t="s">
        <v>118</v>
      </c>
      <c r="D452" s="213" t="n">
        <v>6</v>
      </c>
      <c r="E452" s="211"/>
    </row>
    <row r="453" customFormat="false" ht="15" hidden="false" customHeight="false" outlineLevel="0" collapsed="false">
      <c r="A453" s="20" t="n">
        <v>17</v>
      </c>
      <c r="B453" s="210"/>
      <c r="C453" s="162" t="s">
        <v>965</v>
      </c>
      <c r="D453" s="23" t="n">
        <v>6</v>
      </c>
      <c r="E453" s="210"/>
    </row>
    <row r="454" customFormat="false" ht="15" hidden="false" customHeight="false" outlineLevel="0" collapsed="false">
      <c r="A454" s="178" t="n">
        <v>18</v>
      </c>
      <c r="B454" s="211"/>
      <c r="C454" s="212" t="s">
        <v>966</v>
      </c>
      <c r="D454" s="213" t="n">
        <v>5</v>
      </c>
      <c r="E454" s="211"/>
    </row>
    <row r="455" customFormat="false" ht="15" hidden="false" customHeight="false" outlineLevel="0" collapsed="false">
      <c r="A455" s="20" t="n">
        <v>19</v>
      </c>
      <c r="B455" s="210"/>
      <c r="C455" s="162" t="s">
        <v>93</v>
      </c>
      <c r="D455" s="23" t="n">
        <v>4</v>
      </c>
      <c r="E455" s="210"/>
    </row>
    <row r="456" customFormat="false" ht="15" hidden="false" customHeight="false" outlineLevel="0" collapsed="false">
      <c r="A456" s="178" t="n">
        <v>20</v>
      </c>
      <c r="B456" s="211"/>
      <c r="C456" s="212" t="s">
        <v>999</v>
      </c>
      <c r="D456" s="213" t="n">
        <v>4</v>
      </c>
      <c r="E456" s="211"/>
    </row>
    <row r="457" customFormat="false" ht="15" hidden="false" customHeight="false" outlineLevel="0" collapsed="false">
      <c r="A457" s="20" t="n">
        <v>21</v>
      </c>
      <c r="B457" s="210"/>
      <c r="C457" s="162" t="s">
        <v>941</v>
      </c>
      <c r="D457" s="23" t="n">
        <v>3</v>
      </c>
      <c r="E457" s="210"/>
    </row>
    <row r="458" customFormat="false" ht="15" hidden="false" customHeight="false" outlineLevel="0" collapsed="false">
      <c r="A458" s="178" t="n">
        <v>22</v>
      </c>
      <c r="B458" s="211"/>
      <c r="C458" s="212" t="s">
        <v>942</v>
      </c>
      <c r="D458" s="213" t="n">
        <v>2</v>
      </c>
      <c r="E458" s="211"/>
    </row>
    <row r="459" customFormat="false" ht="15" hidden="false" customHeight="false" outlineLevel="0" collapsed="false">
      <c r="A459" s="20" t="n">
        <v>23</v>
      </c>
      <c r="B459" s="210"/>
      <c r="C459" s="162" t="s">
        <v>80</v>
      </c>
      <c r="D459" s="23" t="n">
        <v>2</v>
      </c>
      <c r="E459" s="210"/>
    </row>
    <row r="460" customFormat="false" ht="15" hidden="false" customHeight="false" outlineLevel="0" collapsed="false">
      <c r="A460" s="178" t="n">
        <v>24</v>
      </c>
      <c r="B460" s="211"/>
      <c r="C460" s="212" t="s">
        <v>53</v>
      </c>
      <c r="D460" s="213" t="n">
        <v>1</v>
      </c>
      <c r="E460" s="211"/>
    </row>
    <row r="461" customFormat="false" ht="15" hidden="false" customHeight="false" outlineLevel="0" collapsed="false">
      <c r="A461" s="20" t="n">
        <v>25</v>
      </c>
      <c r="B461" s="210"/>
      <c r="C461" s="162" t="s">
        <v>57</v>
      </c>
      <c r="D461" s="23" t="n">
        <v>1</v>
      </c>
      <c r="E461" s="210"/>
    </row>
    <row r="462" customFormat="false" ht="15" hidden="false" customHeight="false" outlineLevel="0" collapsed="false">
      <c r="A462" s="178" t="n">
        <v>26</v>
      </c>
      <c r="B462" s="211"/>
      <c r="C462" s="212" t="s">
        <v>1009</v>
      </c>
      <c r="D462" s="213" t="n">
        <v>1</v>
      </c>
      <c r="E462" s="211"/>
    </row>
    <row r="463" customFormat="false" ht="15" hidden="false" customHeight="false" outlineLevel="0" collapsed="false">
      <c r="A463" s="20" t="n">
        <v>27</v>
      </c>
      <c r="B463" s="210"/>
      <c r="C463" s="162" t="s">
        <v>125</v>
      </c>
      <c r="D463" s="23" t="n">
        <v>1</v>
      </c>
      <c r="E463" s="210"/>
    </row>
    <row r="464" customFormat="false" ht="15" hidden="false" customHeight="false" outlineLevel="0" collapsed="false">
      <c r="A464" s="178" t="n">
        <v>28</v>
      </c>
      <c r="B464" s="211"/>
      <c r="C464" s="212" t="s">
        <v>983</v>
      </c>
      <c r="D464" s="213" t="n">
        <v>1</v>
      </c>
      <c r="E464" s="211"/>
    </row>
    <row r="465" customFormat="false" ht="15" hidden="false" customHeight="false" outlineLevel="0" collapsed="false">
      <c r="A465" s="20" t="n">
        <v>29</v>
      </c>
      <c r="B465" s="210"/>
      <c r="C465" s="162" t="s">
        <v>973</v>
      </c>
      <c r="D465" s="23" t="n">
        <v>1</v>
      </c>
      <c r="E465" s="210"/>
    </row>
    <row r="466" customFormat="false" ht="15" hidden="false" customHeight="false" outlineLevel="0" collapsed="false">
      <c r="A466" s="218" t="s">
        <v>1015</v>
      </c>
      <c r="B466" s="218"/>
      <c r="C466" s="218"/>
      <c r="D466" s="219" t="n">
        <v>2523</v>
      </c>
      <c r="E466" s="220"/>
    </row>
    <row r="468" customFormat="false" ht="37.5" hidden="false" customHeight="true" outlineLevel="0" collapsed="false">
      <c r="A468" s="206" t="s">
        <v>1016</v>
      </c>
      <c r="B468" s="206"/>
      <c r="C468" s="206"/>
      <c r="D468" s="206"/>
      <c r="E468" s="206"/>
    </row>
    <row r="469" customFormat="false" ht="15" hidden="false" customHeight="false" outlineLevel="0" collapsed="false">
      <c r="A469" s="207" t="s">
        <v>1017</v>
      </c>
      <c r="B469" s="207"/>
      <c r="C469" s="207"/>
      <c r="D469" s="207"/>
      <c r="E469" s="207"/>
    </row>
    <row r="470" customFormat="false" ht="14.15" hidden="false" customHeight="false" outlineLevel="0" collapsed="false">
      <c r="A470" s="208" t="s">
        <v>1018</v>
      </c>
      <c r="B470" s="208"/>
      <c r="C470" s="208"/>
      <c r="D470" s="208"/>
      <c r="E470" s="208"/>
    </row>
    <row r="471" customFormat="false" ht="15" hidden="false" customHeight="false" outlineLevel="0" collapsed="false">
      <c r="A471" s="182" t="s">
        <v>46</v>
      </c>
      <c r="B471" s="182"/>
      <c r="C471" s="209" t="s">
        <v>932</v>
      </c>
      <c r="D471" s="209" t="s">
        <v>933</v>
      </c>
      <c r="E471" s="182"/>
    </row>
    <row r="472" customFormat="false" ht="15" hidden="false" customHeight="false" outlineLevel="0" collapsed="false">
      <c r="A472" s="20" t="n">
        <v>1</v>
      </c>
      <c r="B472" s="210"/>
      <c r="C472" s="162" t="s">
        <v>952</v>
      </c>
      <c r="D472" s="23" t="n">
        <v>102</v>
      </c>
      <c r="E472" s="210"/>
    </row>
    <row r="473" customFormat="false" ht="15" hidden="false" customHeight="false" outlineLevel="0" collapsed="false">
      <c r="A473" s="178" t="n">
        <v>2</v>
      </c>
      <c r="B473" s="211"/>
      <c r="C473" s="212" t="s">
        <v>934</v>
      </c>
      <c r="D473" s="213" t="n">
        <v>75</v>
      </c>
      <c r="E473" s="211"/>
    </row>
    <row r="474" customFormat="false" ht="15" hidden="false" customHeight="false" outlineLevel="0" collapsed="false">
      <c r="A474" s="20" t="n">
        <v>3</v>
      </c>
      <c r="B474" s="210"/>
      <c r="C474" s="162" t="s">
        <v>935</v>
      </c>
      <c r="D474" s="23" t="n">
        <v>69</v>
      </c>
      <c r="E474" s="210"/>
    </row>
    <row r="475" customFormat="false" ht="15" hidden="false" customHeight="false" outlineLevel="0" collapsed="false">
      <c r="A475" s="178" t="n">
        <v>4</v>
      </c>
      <c r="B475" s="211"/>
      <c r="C475" s="212" t="s">
        <v>113</v>
      </c>
      <c r="D475" s="213" t="n">
        <v>54</v>
      </c>
      <c r="E475" s="211"/>
    </row>
    <row r="476" customFormat="false" ht="15" hidden="false" customHeight="false" outlineLevel="0" collapsed="false">
      <c r="A476" s="20" t="n">
        <v>5</v>
      </c>
      <c r="B476" s="210"/>
      <c r="C476" s="162" t="s">
        <v>99</v>
      </c>
      <c r="D476" s="23" t="n">
        <v>17</v>
      </c>
      <c r="E476" s="210"/>
    </row>
    <row r="477" customFormat="false" ht="15" hidden="false" customHeight="false" outlineLevel="0" collapsed="false">
      <c r="A477" s="178" t="n">
        <v>6</v>
      </c>
      <c r="B477" s="211"/>
      <c r="C477" s="212" t="s">
        <v>965</v>
      </c>
      <c r="D477" s="213" t="n">
        <v>9</v>
      </c>
      <c r="E477" s="211"/>
    </row>
    <row r="478" customFormat="false" ht="15" hidden="false" customHeight="false" outlineLevel="0" collapsed="false">
      <c r="A478" s="20" t="n">
        <v>7</v>
      </c>
      <c r="B478" s="210"/>
      <c r="C478" s="162" t="s">
        <v>953</v>
      </c>
      <c r="D478" s="23" t="n">
        <v>8</v>
      </c>
      <c r="E478" s="210"/>
    </row>
    <row r="479" customFormat="false" ht="15" hidden="false" customHeight="false" outlineLevel="0" collapsed="false">
      <c r="A479" s="178" t="n">
        <v>8</v>
      </c>
      <c r="B479" s="211"/>
      <c r="C479" s="212" t="s">
        <v>966</v>
      </c>
      <c r="D479" s="213" t="n">
        <v>6</v>
      </c>
      <c r="E479" s="211"/>
    </row>
    <row r="480" customFormat="false" ht="15" hidden="false" customHeight="false" outlineLevel="0" collapsed="false">
      <c r="A480" s="20" t="n">
        <v>9</v>
      </c>
      <c r="B480" s="210"/>
      <c r="C480" s="162" t="s">
        <v>121</v>
      </c>
      <c r="D480" s="23" t="n">
        <v>5</v>
      </c>
      <c r="E480" s="210"/>
    </row>
    <row r="481" customFormat="false" ht="15" hidden="false" customHeight="false" outlineLevel="0" collapsed="false">
      <c r="A481" s="178" t="n">
        <v>10</v>
      </c>
      <c r="B481" s="211"/>
      <c r="C481" s="212" t="s">
        <v>957</v>
      </c>
      <c r="D481" s="213" t="n">
        <v>5</v>
      </c>
      <c r="E481" s="211"/>
    </row>
    <row r="482" customFormat="false" ht="15" hidden="false" customHeight="false" outlineLevel="0" collapsed="false">
      <c r="A482" s="20" t="n">
        <v>11</v>
      </c>
      <c r="B482" s="210"/>
      <c r="C482" s="162" t="s">
        <v>93</v>
      </c>
      <c r="D482" s="23" t="n">
        <v>3</v>
      </c>
      <c r="E482" s="210"/>
    </row>
    <row r="483" customFormat="false" ht="15" hidden="false" customHeight="false" outlineLevel="0" collapsed="false">
      <c r="A483" s="178" t="n">
        <v>12</v>
      </c>
      <c r="B483" s="211"/>
      <c r="C483" s="212" t="s">
        <v>108</v>
      </c>
      <c r="D483" s="213" t="n">
        <v>3</v>
      </c>
      <c r="E483" s="211"/>
    </row>
    <row r="484" customFormat="false" ht="15" hidden="false" customHeight="false" outlineLevel="0" collapsed="false">
      <c r="A484" s="20" t="n">
        <v>13</v>
      </c>
      <c r="B484" s="210"/>
      <c r="C484" s="162" t="s">
        <v>954</v>
      </c>
      <c r="D484" s="23" t="n">
        <v>2</v>
      </c>
      <c r="E484" s="210"/>
    </row>
    <row r="485" customFormat="false" ht="15" hidden="false" customHeight="false" outlineLevel="0" collapsed="false">
      <c r="A485" s="178" t="n">
        <v>14</v>
      </c>
      <c r="B485" s="211"/>
      <c r="C485" s="212" t="s">
        <v>973</v>
      </c>
      <c r="D485" s="213" t="n">
        <v>1</v>
      </c>
      <c r="E485" s="211"/>
    </row>
    <row r="486" customFormat="false" ht="15" hidden="false" customHeight="false" outlineLevel="0" collapsed="false">
      <c r="A486" s="20" t="n">
        <v>15</v>
      </c>
      <c r="B486" s="210"/>
      <c r="C486" s="162" t="s">
        <v>974</v>
      </c>
      <c r="D486" s="23" t="n">
        <v>1</v>
      </c>
      <c r="E486" s="210"/>
    </row>
    <row r="487" customFormat="false" ht="15" hidden="false" customHeight="false" outlineLevel="0" collapsed="false">
      <c r="A487" s="178" t="n">
        <v>16</v>
      </c>
      <c r="B487" s="211"/>
      <c r="C487" s="212" t="s">
        <v>941</v>
      </c>
      <c r="D487" s="213" t="n">
        <v>1</v>
      </c>
      <c r="E487" s="211"/>
    </row>
    <row r="488" customFormat="false" ht="15" hidden="false" customHeight="false" outlineLevel="0" collapsed="false">
      <c r="A488" s="214" t="s">
        <v>1019</v>
      </c>
      <c r="B488" s="214"/>
      <c r="C488" s="214"/>
      <c r="D488" s="215" t="n">
        <v>361</v>
      </c>
      <c r="E488" s="216"/>
    </row>
    <row r="489" customFormat="false" ht="14.15" hidden="false" customHeight="false" outlineLevel="0" collapsed="false">
      <c r="A489" s="208" t="s">
        <v>1020</v>
      </c>
      <c r="B489" s="208"/>
      <c r="C489" s="208"/>
      <c r="D489" s="208"/>
      <c r="E489" s="208"/>
    </row>
    <row r="490" customFormat="false" ht="15" hidden="false" customHeight="false" outlineLevel="0" collapsed="false">
      <c r="A490" s="182" t="s">
        <v>46</v>
      </c>
      <c r="B490" s="182"/>
      <c r="C490" s="209" t="s">
        <v>932</v>
      </c>
      <c r="D490" s="209" t="s">
        <v>933</v>
      </c>
      <c r="E490" s="182"/>
    </row>
    <row r="491" customFormat="false" ht="15" hidden="false" customHeight="false" outlineLevel="0" collapsed="false">
      <c r="A491" s="20" t="n">
        <v>1</v>
      </c>
      <c r="B491" s="210"/>
      <c r="C491" s="162" t="s">
        <v>113</v>
      </c>
      <c r="D491" s="23" t="n">
        <v>72</v>
      </c>
      <c r="E491" s="210"/>
    </row>
    <row r="492" customFormat="false" ht="15" hidden="false" customHeight="false" outlineLevel="0" collapsed="false">
      <c r="A492" s="178" t="n">
        <v>2</v>
      </c>
      <c r="B492" s="211"/>
      <c r="C492" s="212" t="s">
        <v>952</v>
      </c>
      <c r="D492" s="213" t="n">
        <v>66</v>
      </c>
      <c r="E492" s="211"/>
    </row>
    <row r="493" customFormat="false" ht="15" hidden="false" customHeight="false" outlineLevel="0" collapsed="false">
      <c r="A493" s="20" t="n">
        <v>3</v>
      </c>
      <c r="B493" s="210"/>
      <c r="C493" s="162" t="s">
        <v>934</v>
      </c>
      <c r="D493" s="23" t="n">
        <v>33</v>
      </c>
      <c r="E493" s="210"/>
    </row>
    <row r="494" customFormat="false" ht="15" hidden="false" customHeight="false" outlineLevel="0" collapsed="false">
      <c r="A494" s="178" t="n">
        <v>4</v>
      </c>
      <c r="B494" s="211"/>
      <c r="C494" s="212" t="s">
        <v>938</v>
      </c>
      <c r="D494" s="213" t="n">
        <v>10</v>
      </c>
      <c r="E494" s="211"/>
    </row>
    <row r="495" customFormat="false" ht="15" hidden="false" customHeight="false" outlineLevel="0" collapsed="false">
      <c r="A495" s="20" t="n">
        <v>5</v>
      </c>
      <c r="B495" s="210"/>
      <c r="C495" s="162" t="s">
        <v>940</v>
      </c>
      <c r="D495" s="23" t="n">
        <v>6</v>
      </c>
      <c r="E495" s="210"/>
    </row>
    <row r="496" customFormat="false" ht="15" hidden="false" customHeight="false" outlineLevel="0" collapsed="false">
      <c r="A496" s="178" t="n">
        <v>6</v>
      </c>
      <c r="B496" s="211"/>
      <c r="C496" s="212" t="s">
        <v>977</v>
      </c>
      <c r="D496" s="213" t="n">
        <v>6</v>
      </c>
      <c r="E496" s="211"/>
    </row>
    <row r="497" customFormat="false" ht="15" hidden="false" customHeight="false" outlineLevel="0" collapsed="false">
      <c r="A497" s="20" t="n">
        <v>7</v>
      </c>
      <c r="B497" s="210"/>
      <c r="C497" s="162" t="s">
        <v>99</v>
      </c>
      <c r="D497" s="23" t="n">
        <v>3</v>
      </c>
      <c r="E497" s="210"/>
    </row>
    <row r="498" customFormat="false" ht="15" hidden="false" customHeight="false" outlineLevel="0" collapsed="false">
      <c r="A498" s="178" t="n">
        <v>8</v>
      </c>
      <c r="B498" s="211"/>
      <c r="C498" s="212" t="s">
        <v>939</v>
      </c>
      <c r="D498" s="213" t="n">
        <v>2</v>
      </c>
      <c r="E498" s="211"/>
    </row>
    <row r="499" customFormat="false" ht="15" hidden="false" customHeight="false" outlineLevel="0" collapsed="false">
      <c r="A499" s="20" t="n">
        <v>9</v>
      </c>
      <c r="B499" s="210"/>
      <c r="C499" s="162" t="s">
        <v>121</v>
      </c>
      <c r="D499" s="23" t="n">
        <v>2</v>
      </c>
      <c r="E499" s="210"/>
    </row>
    <row r="500" customFormat="false" ht="15" hidden="false" customHeight="false" outlineLevel="0" collapsed="false">
      <c r="A500" s="178" t="n">
        <v>10</v>
      </c>
      <c r="B500" s="211"/>
      <c r="C500" s="212" t="s">
        <v>978</v>
      </c>
      <c r="D500" s="213" t="n">
        <v>2</v>
      </c>
      <c r="E500" s="211"/>
    </row>
    <row r="501" customFormat="false" ht="15" hidden="false" customHeight="false" outlineLevel="0" collapsed="false">
      <c r="A501" s="20" t="n">
        <v>11</v>
      </c>
      <c r="B501" s="210"/>
      <c r="C501" s="162" t="s">
        <v>979</v>
      </c>
      <c r="D501" s="23" t="n">
        <v>2</v>
      </c>
      <c r="E501" s="210"/>
    </row>
    <row r="502" customFormat="false" ht="15" hidden="false" customHeight="false" outlineLevel="0" collapsed="false">
      <c r="A502" s="178" t="n">
        <v>12</v>
      </c>
      <c r="B502" s="211"/>
      <c r="C502" s="212" t="s">
        <v>118</v>
      </c>
      <c r="D502" s="213" t="n">
        <v>1</v>
      </c>
      <c r="E502" s="211"/>
    </row>
    <row r="503" customFormat="false" ht="15" hidden="false" customHeight="false" outlineLevel="0" collapsed="false">
      <c r="A503" s="20" t="n">
        <v>13</v>
      </c>
      <c r="B503" s="210"/>
      <c r="C503" s="162" t="s">
        <v>941</v>
      </c>
      <c r="D503" s="23" t="n">
        <v>1</v>
      </c>
      <c r="E503" s="210"/>
    </row>
    <row r="504" customFormat="false" ht="15" hidden="false" customHeight="false" outlineLevel="0" collapsed="false">
      <c r="A504" s="214" t="s">
        <v>1021</v>
      </c>
      <c r="B504" s="214"/>
      <c r="C504" s="214"/>
      <c r="D504" s="215" t="n">
        <v>206</v>
      </c>
      <c r="E504" s="216"/>
    </row>
    <row r="505" customFormat="false" ht="14.15" hidden="false" customHeight="false" outlineLevel="0" collapsed="false">
      <c r="A505" s="208" t="s">
        <v>1022</v>
      </c>
      <c r="B505" s="208"/>
      <c r="C505" s="208"/>
      <c r="D505" s="208"/>
      <c r="E505" s="208"/>
    </row>
    <row r="506" customFormat="false" ht="15" hidden="false" customHeight="false" outlineLevel="0" collapsed="false">
      <c r="A506" s="182" t="s">
        <v>46</v>
      </c>
      <c r="B506" s="182"/>
      <c r="C506" s="209" t="s">
        <v>932</v>
      </c>
      <c r="D506" s="209" t="s">
        <v>933</v>
      </c>
      <c r="E506" s="182"/>
    </row>
    <row r="507" customFormat="false" ht="15" hidden="false" customHeight="false" outlineLevel="0" collapsed="false">
      <c r="A507" s="20" t="n">
        <v>1</v>
      </c>
      <c r="B507" s="210"/>
      <c r="C507" s="162" t="s">
        <v>952</v>
      </c>
      <c r="D507" s="23" t="n">
        <v>340</v>
      </c>
      <c r="E507" s="210"/>
    </row>
    <row r="508" customFormat="false" ht="15" hidden="false" customHeight="false" outlineLevel="0" collapsed="false">
      <c r="A508" s="178" t="n">
        <v>2</v>
      </c>
      <c r="B508" s="211"/>
      <c r="C508" s="212" t="s">
        <v>113</v>
      </c>
      <c r="D508" s="213" t="n">
        <v>58</v>
      </c>
      <c r="E508" s="211"/>
    </row>
    <row r="509" customFormat="false" ht="15" hidden="false" customHeight="false" outlineLevel="0" collapsed="false">
      <c r="A509" s="20" t="n">
        <v>3</v>
      </c>
      <c r="B509" s="210"/>
      <c r="C509" s="162" t="s">
        <v>99</v>
      </c>
      <c r="D509" s="23" t="n">
        <v>46</v>
      </c>
      <c r="E509" s="210"/>
    </row>
    <row r="510" customFormat="false" ht="15" hidden="false" customHeight="false" outlineLevel="0" collapsed="false">
      <c r="A510" s="178" t="n">
        <v>4</v>
      </c>
      <c r="B510" s="211"/>
      <c r="C510" s="212" t="s">
        <v>953</v>
      </c>
      <c r="D510" s="213" t="n">
        <v>29</v>
      </c>
      <c r="E510" s="211"/>
    </row>
    <row r="511" customFormat="false" ht="15" hidden="false" customHeight="false" outlineLevel="0" collapsed="false">
      <c r="A511" s="20" t="n">
        <v>5</v>
      </c>
      <c r="B511" s="210"/>
      <c r="C511" s="162" t="s">
        <v>957</v>
      </c>
      <c r="D511" s="23" t="n">
        <v>14</v>
      </c>
      <c r="E511" s="210"/>
    </row>
    <row r="512" customFormat="false" ht="15" hidden="false" customHeight="false" outlineLevel="0" collapsed="false">
      <c r="A512" s="178" t="n">
        <v>6</v>
      </c>
      <c r="B512" s="211"/>
      <c r="C512" s="212" t="s">
        <v>954</v>
      </c>
      <c r="D512" s="213" t="n">
        <v>8</v>
      </c>
      <c r="E512" s="211"/>
    </row>
    <row r="513" customFormat="false" ht="15" hidden="false" customHeight="false" outlineLevel="0" collapsed="false">
      <c r="A513" s="20" t="n">
        <v>7</v>
      </c>
      <c r="B513" s="210"/>
      <c r="C513" s="162" t="s">
        <v>121</v>
      </c>
      <c r="D513" s="23" t="n">
        <v>6</v>
      </c>
      <c r="E513" s="210"/>
    </row>
    <row r="514" customFormat="false" ht="15" hidden="false" customHeight="false" outlineLevel="0" collapsed="false">
      <c r="A514" s="214" t="s">
        <v>1023</v>
      </c>
      <c r="B514" s="214"/>
      <c r="C514" s="214"/>
      <c r="D514" s="215" t="n">
        <v>501</v>
      </c>
      <c r="E514" s="216"/>
    </row>
    <row r="515" customFormat="false" ht="14.15" hidden="false" customHeight="false" outlineLevel="0" collapsed="false">
      <c r="A515" s="208" t="s">
        <v>1024</v>
      </c>
      <c r="B515" s="208"/>
      <c r="C515" s="208"/>
      <c r="D515" s="208"/>
      <c r="E515" s="208"/>
    </row>
    <row r="516" customFormat="false" ht="15" hidden="false" customHeight="false" outlineLevel="0" collapsed="false">
      <c r="A516" s="182" t="s">
        <v>46</v>
      </c>
      <c r="B516" s="182"/>
      <c r="C516" s="209" t="s">
        <v>932</v>
      </c>
      <c r="D516" s="209" t="s">
        <v>933</v>
      </c>
      <c r="E516" s="182"/>
    </row>
    <row r="517" customFormat="false" ht="15" hidden="false" customHeight="false" outlineLevel="0" collapsed="false">
      <c r="A517" s="20" t="n">
        <v>1</v>
      </c>
      <c r="B517" s="210"/>
      <c r="C517" s="162" t="s">
        <v>952</v>
      </c>
      <c r="D517" s="23" t="n">
        <v>101</v>
      </c>
      <c r="E517" s="210"/>
    </row>
    <row r="518" customFormat="false" ht="15" hidden="false" customHeight="false" outlineLevel="0" collapsed="false">
      <c r="A518" s="178" t="n">
        <v>2</v>
      </c>
      <c r="B518" s="211"/>
      <c r="C518" s="212" t="s">
        <v>113</v>
      </c>
      <c r="D518" s="213" t="n">
        <v>72</v>
      </c>
      <c r="E518" s="211"/>
    </row>
    <row r="519" customFormat="false" ht="15" hidden="false" customHeight="false" outlineLevel="0" collapsed="false">
      <c r="A519" s="20" t="n">
        <v>3</v>
      </c>
      <c r="B519" s="210"/>
      <c r="C519" s="162" t="s">
        <v>934</v>
      </c>
      <c r="D519" s="23" t="n">
        <v>67</v>
      </c>
      <c r="E519" s="210"/>
    </row>
    <row r="520" customFormat="false" ht="15" hidden="false" customHeight="false" outlineLevel="0" collapsed="false">
      <c r="A520" s="178" t="n">
        <v>4</v>
      </c>
      <c r="B520" s="211"/>
      <c r="C520" s="212" t="s">
        <v>99</v>
      </c>
      <c r="D520" s="213" t="n">
        <v>20</v>
      </c>
      <c r="E520" s="211"/>
    </row>
    <row r="521" customFormat="false" ht="15" hidden="false" customHeight="false" outlineLevel="0" collapsed="false">
      <c r="A521" s="20" t="n">
        <v>5</v>
      </c>
      <c r="B521" s="210"/>
      <c r="C521" s="162" t="s">
        <v>953</v>
      </c>
      <c r="D521" s="23" t="n">
        <v>13</v>
      </c>
      <c r="E521" s="210"/>
    </row>
    <row r="522" customFormat="false" ht="15" hidden="false" customHeight="false" outlineLevel="0" collapsed="false">
      <c r="A522" s="178" t="n">
        <v>6</v>
      </c>
      <c r="B522" s="211"/>
      <c r="C522" s="212" t="s">
        <v>940</v>
      </c>
      <c r="D522" s="213" t="n">
        <v>7</v>
      </c>
      <c r="E522" s="211"/>
    </row>
    <row r="523" customFormat="false" ht="15" hidden="false" customHeight="false" outlineLevel="0" collapsed="false">
      <c r="A523" s="20" t="n">
        <v>7</v>
      </c>
      <c r="B523" s="210"/>
      <c r="C523" s="162" t="s">
        <v>939</v>
      </c>
      <c r="D523" s="23" t="n">
        <v>4</v>
      </c>
      <c r="E523" s="210"/>
    </row>
    <row r="524" customFormat="false" ht="15" hidden="false" customHeight="false" outlineLevel="0" collapsed="false">
      <c r="A524" s="178" t="n">
        <v>8</v>
      </c>
      <c r="B524" s="211"/>
      <c r="C524" s="212" t="s">
        <v>954</v>
      </c>
      <c r="D524" s="213" t="n">
        <v>3</v>
      </c>
      <c r="E524" s="211"/>
    </row>
    <row r="525" customFormat="false" ht="15" hidden="false" customHeight="false" outlineLevel="0" collapsed="false">
      <c r="A525" s="20" t="n">
        <v>9</v>
      </c>
      <c r="B525" s="210"/>
      <c r="C525" s="162" t="s">
        <v>121</v>
      </c>
      <c r="D525" s="23" t="n">
        <v>3</v>
      </c>
      <c r="E525" s="210"/>
    </row>
    <row r="526" customFormat="false" ht="15" hidden="false" customHeight="false" outlineLevel="0" collapsed="false">
      <c r="A526" s="178" t="n">
        <v>10</v>
      </c>
      <c r="B526" s="211"/>
      <c r="C526" s="212" t="s">
        <v>118</v>
      </c>
      <c r="D526" s="213" t="n">
        <v>1</v>
      </c>
      <c r="E526" s="211"/>
    </row>
    <row r="527" customFormat="false" ht="15" hidden="false" customHeight="false" outlineLevel="0" collapsed="false">
      <c r="A527" s="20" t="n">
        <v>11</v>
      </c>
      <c r="B527" s="210"/>
      <c r="C527" s="162" t="s">
        <v>942</v>
      </c>
      <c r="D527" s="23" t="n">
        <v>1</v>
      </c>
      <c r="E527" s="210"/>
    </row>
    <row r="528" customFormat="false" ht="15" hidden="false" customHeight="false" outlineLevel="0" collapsed="false">
      <c r="A528" s="214" t="s">
        <v>1025</v>
      </c>
      <c r="B528" s="214"/>
      <c r="C528" s="214"/>
      <c r="D528" s="215" t="n">
        <v>292</v>
      </c>
      <c r="E528" s="216"/>
    </row>
    <row r="529" customFormat="false" ht="14.15" hidden="false" customHeight="false" outlineLevel="0" collapsed="false">
      <c r="A529" s="208" t="s">
        <v>1026</v>
      </c>
      <c r="B529" s="208"/>
      <c r="C529" s="208"/>
      <c r="D529" s="208"/>
      <c r="E529" s="208"/>
    </row>
    <row r="530" customFormat="false" ht="15" hidden="false" customHeight="false" outlineLevel="0" collapsed="false">
      <c r="A530" s="182" t="s">
        <v>46</v>
      </c>
      <c r="B530" s="182"/>
      <c r="C530" s="209" t="s">
        <v>932</v>
      </c>
      <c r="D530" s="209" t="s">
        <v>933</v>
      </c>
      <c r="E530" s="182"/>
    </row>
    <row r="531" customFormat="false" ht="15" hidden="false" customHeight="false" outlineLevel="0" collapsed="false">
      <c r="A531" s="20" t="n">
        <v>1</v>
      </c>
      <c r="B531" s="210"/>
      <c r="C531" s="162" t="s">
        <v>952</v>
      </c>
      <c r="D531" s="23" t="n">
        <v>237</v>
      </c>
      <c r="E531" s="210"/>
    </row>
    <row r="532" customFormat="false" ht="15" hidden="false" customHeight="false" outlineLevel="0" collapsed="false">
      <c r="A532" s="178" t="n">
        <v>2</v>
      </c>
      <c r="B532" s="211"/>
      <c r="C532" s="212" t="s">
        <v>113</v>
      </c>
      <c r="D532" s="213" t="n">
        <v>42</v>
      </c>
      <c r="E532" s="211"/>
    </row>
    <row r="533" customFormat="false" ht="15" hidden="false" customHeight="false" outlineLevel="0" collapsed="false">
      <c r="A533" s="20" t="n">
        <v>3</v>
      </c>
      <c r="B533" s="210"/>
      <c r="C533" s="162" t="s">
        <v>99</v>
      </c>
      <c r="D533" s="23" t="n">
        <v>31</v>
      </c>
      <c r="E533" s="210"/>
    </row>
    <row r="534" customFormat="false" ht="15" hidden="false" customHeight="false" outlineLevel="0" collapsed="false">
      <c r="A534" s="178" t="n">
        <v>4</v>
      </c>
      <c r="B534" s="211"/>
      <c r="C534" s="212" t="s">
        <v>953</v>
      </c>
      <c r="D534" s="213" t="n">
        <v>17</v>
      </c>
      <c r="E534" s="211"/>
    </row>
    <row r="535" customFormat="false" ht="15" hidden="false" customHeight="false" outlineLevel="0" collapsed="false">
      <c r="A535" s="20" t="n">
        <v>5</v>
      </c>
      <c r="B535" s="210"/>
      <c r="C535" s="162" t="s">
        <v>957</v>
      </c>
      <c r="D535" s="23" t="n">
        <v>6</v>
      </c>
      <c r="E535" s="210"/>
    </row>
    <row r="536" customFormat="false" ht="15" hidden="false" customHeight="false" outlineLevel="0" collapsed="false">
      <c r="A536" s="178" t="n">
        <v>6</v>
      </c>
      <c r="B536" s="211"/>
      <c r="C536" s="212" t="s">
        <v>999</v>
      </c>
      <c r="D536" s="213" t="n">
        <v>6</v>
      </c>
      <c r="E536" s="211"/>
    </row>
    <row r="537" customFormat="false" ht="15" hidden="false" customHeight="false" outlineLevel="0" collapsed="false">
      <c r="A537" s="20" t="n">
        <v>7</v>
      </c>
      <c r="B537" s="210"/>
      <c r="C537" s="162" t="s">
        <v>954</v>
      </c>
      <c r="D537" s="23" t="n">
        <v>5</v>
      </c>
      <c r="E537" s="210"/>
    </row>
    <row r="538" customFormat="false" ht="15" hidden="false" customHeight="false" outlineLevel="0" collapsed="false">
      <c r="A538" s="178" t="n">
        <v>8</v>
      </c>
      <c r="B538" s="211"/>
      <c r="C538" s="212" t="s">
        <v>121</v>
      </c>
      <c r="D538" s="213" t="n">
        <v>4</v>
      </c>
      <c r="E538" s="211"/>
    </row>
    <row r="539" customFormat="false" ht="15" hidden="false" customHeight="false" outlineLevel="0" collapsed="false">
      <c r="A539" s="20" t="n">
        <v>9</v>
      </c>
      <c r="B539" s="210"/>
      <c r="C539" s="162" t="s">
        <v>973</v>
      </c>
      <c r="D539" s="23" t="n">
        <v>1</v>
      </c>
      <c r="E539" s="210"/>
    </row>
    <row r="540" customFormat="false" ht="15" hidden="false" customHeight="false" outlineLevel="0" collapsed="false">
      <c r="A540" s="214" t="s">
        <v>1027</v>
      </c>
      <c r="B540" s="214"/>
      <c r="C540" s="214"/>
      <c r="D540" s="215" t="n">
        <v>349</v>
      </c>
      <c r="E540" s="216"/>
    </row>
    <row r="542" customFormat="false" ht="15" hidden="false" customHeight="false" outlineLevel="0" collapsed="false">
      <c r="A542" s="217" t="s">
        <v>944</v>
      </c>
      <c r="B542" s="217"/>
      <c r="C542" s="217"/>
      <c r="D542" s="217"/>
      <c r="E542" s="217"/>
    </row>
    <row r="543" customFormat="false" ht="15" hidden="false" customHeight="false" outlineLevel="0" collapsed="false">
      <c r="A543" s="182" t="s">
        <v>46</v>
      </c>
      <c r="B543" s="182"/>
      <c r="C543" s="209" t="s">
        <v>932</v>
      </c>
      <c r="D543" s="209" t="s">
        <v>945</v>
      </c>
      <c r="E543" s="182"/>
    </row>
    <row r="544" customFormat="false" ht="15" hidden="false" customHeight="false" outlineLevel="0" collapsed="false">
      <c r="A544" s="20" t="n">
        <v>1</v>
      </c>
      <c r="B544" s="210"/>
      <c r="C544" s="162" t="s">
        <v>952</v>
      </c>
      <c r="D544" s="23" t="n">
        <v>846</v>
      </c>
      <c r="E544" s="210"/>
    </row>
    <row r="545" customFormat="false" ht="15" hidden="false" customHeight="false" outlineLevel="0" collapsed="false">
      <c r="A545" s="178" t="n">
        <v>2</v>
      </c>
      <c r="B545" s="211"/>
      <c r="C545" s="212" t="s">
        <v>113</v>
      </c>
      <c r="D545" s="213" t="n">
        <v>298</v>
      </c>
      <c r="E545" s="211"/>
    </row>
    <row r="546" customFormat="false" ht="15" hidden="false" customHeight="false" outlineLevel="0" collapsed="false">
      <c r="A546" s="20" t="n">
        <v>3</v>
      </c>
      <c r="B546" s="210"/>
      <c r="C546" s="162" t="s">
        <v>934</v>
      </c>
      <c r="D546" s="23" t="n">
        <v>175</v>
      </c>
      <c r="E546" s="210"/>
    </row>
    <row r="547" customFormat="false" ht="15" hidden="false" customHeight="false" outlineLevel="0" collapsed="false">
      <c r="A547" s="178" t="n">
        <v>4</v>
      </c>
      <c r="B547" s="211"/>
      <c r="C547" s="212" t="s">
        <v>99</v>
      </c>
      <c r="D547" s="213" t="n">
        <v>117</v>
      </c>
      <c r="E547" s="211"/>
    </row>
    <row r="548" customFormat="false" ht="15" hidden="false" customHeight="false" outlineLevel="0" collapsed="false">
      <c r="A548" s="20" t="n">
        <v>5</v>
      </c>
      <c r="B548" s="210"/>
      <c r="C548" s="162" t="s">
        <v>935</v>
      </c>
      <c r="D548" s="23" t="n">
        <v>69</v>
      </c>
      <c r="E548" s="210"/>
    </row>
    <row r="549" customFormat="false" ht="15" hidden="false" customHeight="false" outlineLevel="0" collapsed="false">
      <c r="A549" s="178" t="n">
        <v>6</v>
      </c>
      <c r="B549" s="211"/>
      <c r="C549" s="212" t="s">
        <v>953</v>
      </c>
      <c r="D549" s="213" t="n">
        <v>67</v>
      </c>
      <c r="E549" s="211"/>
    </row>
    <row r="550" customFormat="false" ht="15" hidden="false" customHeight="false" outlineLevel="0" collapsed="false">
      <c r="A550" s="20" t="n">
        <v>7</v>
      </c>
      <c r="B550" s="210"/>
      <c r="C550" s="162" t="s">
        <v>957</v>
      </c>
      <c r="D550" s="23" t="n">
        <v>25</v>
      </c>
      <c r="E550" s="210"/>
    </row>
    <row r="551" customFormat="false" ht="15" hidden="false" customHeight="false" outlineLevel="0" collapsed="false">
      <c r="A551" s="178" t="n">
        <v>8</v>
      </c>
      <c r="B551" s="211"/>
      <c r="C551" s="212" t="s">
        <v>121</v>
      </c>
      <c r="D551" s="213" t="n">
        <v>20</v>
      </c>
      <c r="E551" s="211"/>
    </row>
    <row r="552" customFormat="false" ht="15" hidden="false" customHeight="false" outlineLevel="0" collapsed="false">
      <c r="A552" s="20" t="n">
        <v>9</v>
      </c>
      <c r="B552" s="210"/>
      <c r="C552" s="162" t="s">
        <v>954</v>
      </c>
      <c r="D552" s="23" t="n">
        <v>18</v>
      </c>
      <c r="E552" s="210"/>
    </row>
    <row r="553" customFormat="false" ht="15" hidden="false" customHeight="false" outlineLevel="0" collapsed="false">
      <c r="A553" s="178" t="n">
        <v>10</v>
      </c>
      <c r="B553" s="211"/>
      <c r="C553" s="212" t="s">
        <v>940</v>
      </c>
      <c r="D553" s="213" t="n">
        <v>13</v>
      </c>
      <c r="E553" s="211"/>
    </row>
    <row r="554" customFormat="false" ht="15" hidden="false" customHeight="false" outlineLevel="0" collapsed="false">
      <c r="A554" s="20" t="n">
        <v>11</v>
      </c>
      <c r="B554" s="210"/>
      <c r="C554" s="162" t="s">
        <v>938</v>
      </c>
      <c r="D554" s="23" t="n">
        <v>10</v>
      </c>
      <c r="E554" s="210"/>
    </row>
    <row r="555" customFormat="false" ht="15" hidden="false" customHeight="false" outlineLevel="0" collapsed="false">
      <c r="A555" s="178" t="n">
        <v>12</v>
      </c>
      <c r="B555" s="211"/>
      <c r="C555" s="212" t="s">
        <v>965</v>
      </c>
      <c r="D555" s="213" t="n">
        <v>9</v>
      </c>
      <c r="E555" s="211"/>
    </row>
    <row r="556" customFormat="false" ht="15" hidden="false" customHeight="false" outlineLevel="0" collapsed="false">
      <c r="A556" s="20" t="n">
        <v>13</v>
      </c>
      <c r="B556" s="210"/>
      <c r="C556" s="162" t="s">
        <v>966</v>
      </c>
      <c r="D556" s="23" t="n">
        <v>6</v>
      </c>
      <c r="E556" s="210"/>
    </row>
    <row r="557" customFormat="false" ht="15" hidden="false" customHeight="false" outlineLevel="0" collapsed="false">
      <c r="A557" s="178" t="n">
        <v>14</v>
      </c>
      <c r="B557" s="211"/>
      <c r="C557" s="212" t="s">
        <v>939</v>
      </c>
      <c r="D557" s="213" t="n">
        <v>6</v>
      </c>
      <c r="E557" s="211"/>
    </row>
    <row r="558" customFormat="false" ht="15" hidden="false" customHeight="false" outlineLevel="0" collapsed="false">
      <c r="A558" s="20" t="n">
        <v>15</v>
      </c>
      <c r="B558" s="210"/>
      <c r="C558" s="162" t="s">
        <v>977</v>
      </c>
      <c r="D558" s="23" t="n">
        <v>6</v>
      </c>
      <c r="E558" s="210"/>
    </row>
    <row r="559" customFormat="false" ht="15" hidden="false" customHeight="false" outlineLevel="0" collapsed="false">
      <c r="A559" s="178" t="n">
        <v>16</v>
      </c>
      <c r="B559" s="211"/>
      <c r="C559" s="212" t="s">
        <v>999</v>
      </c>
      <c r="D559" s="213" t="n">
        <v>6</v>
      </c>
      <c r="E559" s="211"/>
    </row>
    <row r="560" customFormat="false" ht="15" hidden="false" customHeight="false" outlineLevel="0" collapsed="false">
      <c r="A560" s="20" t="n">
        <v>17</v>
      </c>
      <c r="B560" s="210"/>
      <c r="C560" s="162" t="s">
        <v>93</v>
      </c>
      <c r="D560" s="23" t="n">
        <v>3</v>
      </c>
      <c r="E560" s="210"/>
    </row>
    <row r="561" customFormat="false" ht="15" hidden="false" customHeight="false" outlineLevel="0" collapsed="false">
      <c r="A561" s="178" t="n">
        <v>18</v>
      </c>
      <c r="B561" s="211"/>
      <c r="C561" s="212" t="s">
        <v>108</v>
      </c>
      <c r="D561" s="213" t="n">
        <v>3</v>
      </c>
      <c r="E561" s="211"/>
    </row>
    <row r="562" customFormat="false" ht="15" hidden="false" customHeight="false" outlineLevel="0" collapsed="false">
      <c r="A562" s="20" t="n">
        <v>19</v>
      </c>
      <c r="B562" s="210"/>
      <c r="C562" s="162" t="s">
        <v>973</v>
      </c>
      <c r="D562" s="23" t="n">
        <v>2</v>
      </c>
      <c r="E562" s="210"/>
    </row>
    <row r="563" customFormat="false" ht="15" hidden="false" customHeight="false" outlineLevel="0" collapsed="false">
      <c r="A563" s="178" t="n">
        <v>20</v>
      </c>
      <c r="B563" s="211"/>
      <c r="C563" s="212" t="s">
        <v>941</v>
      </c>
      <c r="D563" s="213" t="n">
        <v>2</v>
      </c>
      <c r="E563" s="211"/>
    </row>
    <row r="564" customFormat="false" ht="15" hidden="false" customHeight="false" outlineLevel="0" collapsed="false">
      <c r="A564" s="20" t="n">
        <v>21</v>
      </c>
      <c r="B564" s="210"/>
      <c r="C564" s="162" t="s">
        <v>118</v>
      </c>
      <c r="D564" s="23" t="n">
        <v>2</v>
      </c>
      <c r="E564" s="210"/>
    </row>
    <row r="565" customFormat="false" ht="15" hidden="false" customHeight="false" outlineLevel="0" collapsed="false">
      <c r="A565" s="178" t="n">
        <v>22</v>
      </c>
      <c r="B565" s="211"/>
      <c r="C565" s="212" t="s">
        <v>978</v>
      </c>
      <c r="D565" s="213" t="n">
        <v>2</v>
      </c>
      <c r="E565" s="211"/>
    </row>
    <row r="566" customFormat="false" ht="15" hidden="false" customHeight="false" outlineLevel="0" collapsed="false">
      <c r="A566" s="20" t="n">
        <v>23</v>
      </c>
      <c r="B566" s="210"/>
      <c r="C566" s="162" t="s">
        <v>979</v>
      </c>
      <c r="D566" s="23" t="n">
        <v>2</v>
      </c>
      <c r="E566" s="210"/>
    </row>
    <row r="567" customFormat="false" ht="15" hidden="false" customHeight="false" outlineLevel="0" collapsed="false">
      <c r="A567" s="178" t="n">
        <v>24</v>
      </c>
      <c r="B567" s="211"/>
      <c r="C567" s="212" t="s">
        <v>974</v>
      </c>
      <c r="D567" s="213" t="n">
        <v>1</v>
      </c>
      <c r="E567" s="211"/>
    </row>
    <row r="568" customFormat="false" ht="15" hidden="false" customHeight="false" outlineLevel="0" collapsed="false">
      <c r="A568" s="20" t="n">
        <v>25</v>
      </c>
      <c r="B568" s="210"/>
      <c r="C568" s="162" t="s">
        <v>942</v>
      </c>
      <c r="D568" s="23" t="n">
        <v>1</v>
      </c>
      <c r="E568" s="210"/>
    </row>
    <row r="569" customFormat="false" ht="15" hidden="false" customHeight="false" outlineLevel="0" collapsed="false">
      <c r="A569" s="218" t="s">
        <v>1028</v>
      </c>
      <c r="B569" s="218"/>
      <c r="C569" s="218"/>
      <c r="D569" s="219" t="n">
        <v>1709</v>
      </c>
      <c r="E569" s="220"/>
    </row>
    <row r="571" customFormat="false" ht="37.5" hidden="false" customHeight="true" outlineLevel="0" collapsed="false">
      <c r="A571" s="206" t="s">
        <v>1029</v>
      </c>
      <c r="B571" s="206"/>
      <c r="C571" s="206"/>
      <c r="D571" s="206"/>
      <c r="E571" s="206"/>
    </row>
    <row r="572" customFormat="false" ht="15" hidden="false" customHeight="false" outlineLevel="0" collapsed="false">
      <c r="A572" s="207" t="s">
        <v>1030</v>
      </c>
      <c r="B572" s="207"/>
      <c r="C572" s="207"/>
      <c r="D572" s="207"/>
      <c r="E572" s="207"/>
    </row>
    <row r="573" customFormat="false" ht="14.15" hidden="false" customHeight="false" outlineLevel="0" collapsed="false">
      <c r="A573" s="208" t="s">
        <v>1031</v>
      </c>
      <c r="B573" s="208"/>
      <c r="C573" s="208"/>
      <c r="D573" s="208"/>
      <c r="E573" s="208"/>
    </row>
    <row r="574" customFormat="false" ht="15" hidden="false" customHeight="false" outlineLevel="0" collapsed="false">
      <c r="A574" s="182" t="s">
        <v>46</v>
      </c>
      <c r="B574" s="182"/>
      <c r="C574" s="209" t="s">
        <v>932</v>
      </c>
      <c r="D574" s="209" t="s">
        <v>933</v>
      </c>
      <c r="E574" s="182"/>
    </row>
    <row r="575" customFormat="false" ht="15" hidden="false" customHeight="false" outlineLevel="0" collapsed="false">
      <c r="A575" s="20" t="n">
        <v>1</v>
      </c>
      <c r="B575" s="210"/>
      <c r="C575" s="162" t="s">
        <v>952</v>
      </c>
      <c r="D575" s="23" t="n">
        <v>82</v>
      </c>
      <c r="E575" s="210"/>
    </row>
    <row r="576" customFormat="false" ht="15" hidden="false" customHeight="false" outlineLevel="0" collapsed="false">
      <c r="A576" s="178" t="n">
        <v>2</v>
      </c>
      <c r="B576" s="211"/>
      <c r="C576" s="212" t="s">
        <v>934</v>
      </c>
      <c r="D576" s="213" t="n">
        <v>28</v>
      </c>
      <c r="E576" s="211"/>
    </row>
    <row r="577" customFormat="false" ht="15" hidden="false" customHeight="false" outlineLevel="0" collapsed="false">
      <c r="A577" s="20" t="n">
        <v>3</v>
      </c>
      <c r="B577" s="210"/>
      <c r="C577" s="162" t="s">
        <v>113</v>
      </c>
      <c r="D577" s="23" t="n">
        <v>22</v>
      </c>
      <c r="E577" s="210"/>
    </row>
    <row r="578" customFormat="false" ht="15" hidden="false" customHeight="false" outlineLevel="0" collapsed="false">
      <c r="A578" s="178" t="n">
        <v>4</v>
      </c>
      <c r="B578" s="211"/>
      <c r="C578" s="212" t="s">
        <v>936</v>
      </c>
      <c r="D578" s="213" t="n">
        <v>17</v>
      </c>
      <c r="E578" s="211"/>
    </row>
    <row r="579" customFormat="false" ht="15" hidden="false" customHeight="false" outlineLevel="0" collapsed="false">
      <c r="A579" s="20" t="n">
        <v>5</v>
      </c>
      <c r="B579" s="210"/>
      <c r="C579" s="162" t="s">
        <v>99</v>
      </c>
      <c r="D579" s="23" t="n">
        <v>13</v>
      </c>
      <c r="E579" s="210"/>
    </row>
    <row r="580" customFormat="false" ht="15" hidden="false" customHeight="false" outlineLevel="0" collapsed="false">
      <c r="A580" s="178" t="n">
        <v>6</v>
      </c>
      <c r="B580" s="211"/>
      <c r="C580" s="212" t="s">
        <v>937</v>
      </c>
      <c r="D580" s="213" t="n">
        <v>9</v>
      </c>
      <c r="E580" s="211"/>
    </row>
    <row r="581" customFormat="false" ht="15" hidden="false" customHeight="false" outlineLevel="0" collapsed="false">
      <c r="A581" s="20" t="n">
        <v>7</v>
      </c>
      <c r="B581" s="210"/>
      <c r="C581" s="162" t="s">
        <v>953</v>
      </c>
      <c r="D581" s="23" t="n">
        <v>6</v>
      </c>
      <c r="E581" s="210"/>
    </row>
    <row r="582" customFormat="false" ht="15" hidden="false" customHeight="false" outlineLevel="0" collapsed="false">
      <c r="A582" s="178" t="n">
        <v>8</v>
      </c>
      <c r="B582" s="211"/>
      <c r="C582" s="212" t="s">
        <v>957</v>
      </c>
      <c r="D582" s="213" t="n">
        <v>5</v>
      </c>
      <c r="E582" s="211"/>
    </row>
    <row r="583" customFormat="false" ht="15" hidden="false" customHeight="false" outlineLevel="0" collapsed="false">
      <c r="A583" s="20" t="n">
        <v>9</v>
      </c>
      <c r="B583" s="210"/>
      <c r="C583" s="162" t="s">
        <v>954</v>
      </c>
      <c r="D583" s="23" t="n">
        <v>2</v>
      </c>
      <c r="E583" s="210"/>
    </row>
    <row r="584" customFormat="false" ht="15" hidden="false" customHeight="false" outlineLevel="0" collapsed="false">
      <c r="A584" s="178" t="n">
        <v>10</v>
      </c>
      <c r="B584" s="211"/>
      <c r="C584" s="212" t="s">
        <v>121</v>
      </c>
      <c r="D584" s="213" t="n">
        <v>2</v>
      </c>
      <c r="E584" s="211"/>
    </row>
    <row r="585" customFormat="false" ht="15" hidden="false" customHeight="false" outlineLevel="0" collapsed="false">
      <c r="A585" s="20" t="n">
        <v>11</v>
      </c>
      <c r="B585" s="210"/>
      <c r="C585" s="162" t="s">
        <v>939</v>
      </c>
      <c r="D585" s="23" t="n">
        <v>2</v>
      </c>
      <c r="E585" s="210"/>
    </row>
    <row r="586" customFormat="false" ht="15" hidden="false" customHeight="false" outlineLevel="0" collapsed="false">
      <c r="A586" s="178" t="n">
        <v>12</v>
      </c>
      <c r="B586" s="211"/>
      <c r="C586" s="212" t="s">
        <v>938</v>
      </c>
      <c r="D586" s="213" t="n">
        <v>1</v>
      </c>
      <c r="E586" s="211"/>
    </row>
    <row r="587" customFormat="false" ht="15" hidden="false" customHeight="false" outlineLevel="0" collapsed="false">
      <c r="A587" s="20" t="n">
        <v>13</v>
      </c>
      <c r="B587" s="210"/>
      <c r="C587" s="162" t="s">
        <v>940</v>
      </c>
      <c r="D587" s="23" t="n">
        <v>1</v>
      </c>
      <c r="E587" s="210"/>
    </row>
    <row r="588" customFormat="false" ht="15" hidden="false" customHeight="false" outlineLevel="0" collapsed="false">
      <c r="A588" s="178" t="n">
        <v>14</v>
      </c>
      <c r="B588" s="211"/>
      <c r="C588" s="212" t="s">
        <v>941</v>
      </c>
      <c r="D588" s="213" t="n">
        <v>1</v>
      </c>
      <c r="E588" s="211"/>
    </row>
    <row r="589" customFormat="false" ht="15" hidden="false" customHeight="false" outlineLevel="0" collapsed="false">
      <c r="A589" s="20" t="n">
        <v>15</v>
      </c>
      <c r="B589" s="210"/>
      <c r="C589" s="162" t="s">
        <v>118</v>
      </c>
      <c r="D589" s="23" t="n">
        <v>1</v>
      </c>
      <c r="E589" s="210"/>
    </row>
    <row r="590" customFormat="false" ht="15" hidden="false" customHeight="false" outlineLevel="0" collapsed="false">
      <c r="A590" s="214" t="s">
        <v>1032</v>
      </c>
      <c r="B590" s="214"/>
      <c r="C590" s="214"/>
      <c r="D590" s="215" t="n">
        <v>192</v>
      </c>
      <c r="E590" s="216"/>
    </row>
    <row r="591" customFormat="false" ht="14.15" hidden="false" customHeight="false" outlineLevel="0" collapsed="false">
      <c r="A591" s="208" t="s">
        <v>1033</v>
      </c>
      <c r="B591" s="208"/>
      <c r="C591" s="208"/>
      <c r="D591" s="208"/>
      <c r="E591" s="208"/>
    </row>
    <row r="592" customFormat="false" ht="15" hidden="false" customHeight="false" outlineLevel="0" collapsed="false">
      <c r="A592" s="182" t="s">
        <v>46</v>
      </c>
      <c r="B592" s="182"/>
      <c r="C592" s="209" t="s">
        <v>932</v>
      </c>
      <c r="D592" s="209" t="s">
        <v>933</v>
      </c>
      <c r="E592" s="182"/>
    </row>
    <row r="593" customFormat="false" ht="15" hidden="false" customHeight="false" outlineLevel="0" collapsed="false">
      <c r="A593" s="20" t="n">
        <v>1</v>
      </c>
      <c r="B593" s="210"/>
      <c r="C593" s="162" t="s">
        <v>952</v>
      </c>
      <c r="D593" s="23" t="n">
        <v>107</v>
      </c>
      <c r="E593" s="210"/>
    </row>
    <row r="594" customFormat="false" ht="15" hidden="false" customHeight="false" outlineLevel="0" collapsed="false">
      <c r="A594" s="178" t="n">
        <v>2</v>
      </c>
      <c r="B594" s="211"/>
      <c r="C594" s="212" t="s">
        <v>934</v>
      </c>
      <c r="D594" s="213" t="n">
        <v>59</v>
      </c>
      <c r="E594" s="211"/>
    </row>
    <row r="595" customFormat="false" ht="15" hidden="false" customHeight="false" outlineLevel="0" collapsed="false">
      <c r="A595" s="20" t="n">
        <v>3</v>
      </c>
      <c r="B595" s="210"/>
      <c r="C595" s="162" t="s">
        <v>935</v>
      </c>
      <c r="D595" s="23" t="n">
        <v>29</v>
      </c>
      <c r="E595" s="210"/>
    </row>
    <row r="596" customFormat="false" ht="15" hidden="false" customHeight="false" outlineLevel="0" collapsed="false">
      <c r="A596" s="178" t="n">
        <v>4</v>
      </c>
      <c r="B596" s="211"/>
      <c r="C596" s="212" t="s">
        <v>113</v>
      </c>
      <c r="D596" s="213" t="n">
        <v>23</v>
      </c>
      <c r="E596" s="211"/>
    </row>
    <row r="597" customFormat="false" ht="15" hidden="false" customHeight="false" outlineLevel="0" collapsed="false">
      <c r="A597" s="20" t="n">
        <v>5</v>
      </c>
      <c r="B597" s="210"/>
      <c r="C597" s="162" t="s">
        <v>99</v>
      </c>
      <c r="D597" s="23" t="n">
        <v>20</v>
      </c>
      <c r="E597" s="210"/>
    </row>
    <row r="598" customFormat="false" ht="15" hidden="false" customHeight="false" outlineLevel="0" collapsed="false">
      <c r="A598" s="178" t="n">
        <v>6</v>
      </c>
      <c r="B598" s="211"/>
      <c r="C598" s="212" t="s">
        <v>936</v>
      </c>
      <c r="D598" s="213" t="n">
        <v>17</v>
      </c>
      <c r="E598" s="211"/>
    </row>
    <row r="599" customFormat="false" ht="15" hidden="false" customHeight="false" outlineLevel="0" collapsed="false">
      <c r="A599" s="20" t="n">
        <v>7</v>
      </c>
      <c r="B599" s="210"/>
      <c r="C599" s="162" t="s">
        <v>957</v>
      </c>
      <c r="D599" s="23" t="n">
        <v>11</v>
      </c>
      <c r="E599" s="210"/>
    </row>
    <row r="600" customFormat="false" ht="15" hidden="false" customHeight="false" outlineLevel="0" collapsed="false">
      <c r="A600" s="178" t="n">
        <v>8</v>
      </c>
      <c r="B600" s="211"/>
      <c r="C600" s="212" t="s">
        <v>937</v>
      </c>
      <c r="D600" s="213" t="n">
        <v>9</v>
      </c>
      <c r="E600" s="211"/>
    </row>
    <row r="601" customFormat="false" ht="15" hidden="false" customHeight="false" outlineLevel="0" collapsed="false">
      <c r="A601" s="20" t="n">
        <v>9</v>
      </c>
      <c r="B601" s="210"/>
      <c r="C601" s="162" t="s">
        <v>939</v>
      </c>
      <c r="D601" s="23" t="n">
        <v>4</v>
      </c>
      <c r="E601" s="210"/>
    </row>
    <row r="602" customFormat="false" ht="15" hidden="false" customHeight="false" outlineLevel="0" collapsed="false">
      <c r="A602" s="178" t="n">
        <v>10</v>
      </c>
      <c r="B602" s="211"/>
      <c r="C602" s="212" t="s">
        <v>953</v>
      </c>
      <c r="D602" s="213" t="n">
        <v>3</v>
      </c>
      <c r="E602" s="211"/>
    </row>
    <row r="603" customFormat="false" ht="15" hidden="false" customHeight="false" outlineLevel="0" collapsed="false">
      <c r="A603" s="20" t="n">
        <v>11</v>
      </c>
      <c r="B603" s="210"/>
      <c r="C603" s="162" t="s">
        <v>938</v>
      </c>
      <c r="D603" s="23" t="n">
        <v>3</v>
      </c>
      <c r="E603" s="210"/>
    </row>
    <row r="604" customFormat="false" ht="15" hidden="false" customHeight="false" outlineLevel="0" collapsed="false">
      <c r="A604" s="178" t="n">
        <v>12</v>
      </c>
      <c r="B604" s="211"/>
      <c r="C604" s="212" t="s">
        <v>940</v>
      </c>
      <c r="D604" s="213" t="n">
        <v>3</v>
      </c>
      <c r="E604" s="211"/>
    </row>
    <row r="605" customFormat="false" ht="15" hidden="false" customHeight="false" outlineLevel="0" collapsed="false">
      <c r="A605" s="20" t="n">
        <v>13</v>
      </c>
      <c r="B605" s="210"/>
      <c r="C605" s="162" t="s">
        <v>121</v>
      </c>
      <c r="D605" s="23" t="n">
        <v>2</v>
      </c>
      <c r="E605" s="210"/>
    </row>
    <row r="606" customFormat="false" ht="15" hidden="false" customHeight="false" outlineLevel="0" collapsed="false">
      <c r="A606" s="178" t="n">
        <v>14</v>
      </c>
      <c r="B606" s="211"/>
      <c r="C606" s="212" t="s">
        <v>941</v>
      </c>
      <c r="D606" s="213" t="n">
        <v>2</v>
      </c>
      <c r="E606" s="211"/>
    </row>
    <row r="607" customFormat="false" ht="15" hidden="false" customHeight="false" outlineLevel="0" collapsed="false">
      <c r="A607" s="20" t="n">
        <v>15</v>
      </c>
      <c r="B607" s="210"/>
      <c r="C607" s="162" t="s">
        <v>118</v>
      </c>
      <c r="D607" s="23" t="n">
        <v>2</v>
      </c>
      <c r="E607" s="210"/>
    </row>
    <row r="608" customFormat="false" ht="15" hidden="false" customHeight="false" outlineLevel="0" collapsed="false">
      <c r="A608" s="178" t="n">
        <v>16</v>
      </c>
      <c r="B608" s="211"/>
      <c r="C608" s="212" t="s">
        <v>954</v>
      </c>
      <c r="D608" s="213" t="n">
        <v>1</v>
      </c>
      <c r="E608" s="211"/>
    </row>
    <row r="609" customFormat="false" ht="15" hidden="false" customHeight="false" outlineLevel="0" collapsed="false">
      <c r="A609" s="214" t="s">
        <v>1034</v>
      </c>
      <c r="B609" s="214"/>
      <c r="C609" s="214"/>
      <c r="D609" s="215" t="n">
        <v>295</v>
      </c>
      <c r="E609" s="216"/>
    </row>
    <row r="610" customFormat="false" ht="14.15" hidden="false" customHeight="false" outlineLevel="0" collapsed="false">
      <c r="A610" s="208" t="s">
        <v>1035</v>
      </c>
      <c r="B610" s="208"/>
      <c r="C610" s="208"/>
      <c r="D610" s="208"/>
      <c r="E610" s="208"/>
    </row>
    <row r="611" customFormat="false" ht="15" hidden="false" customHeight="false" outlineLevel="0" collapsed="false">
      <c r="A611" s="182" t="s">
        <v>46</v>
      </c>
      <c r="B611" s="182"/>
      <c r="C611" s="209" t="s">
        <v>932</v>
      </c>
      <c r="D611" s="209" t="s">
        <v>933</v>
      </c>
      <c r="E611" s="182"/>
    </row>
    <row r="612" customFormat="false" ht="15" hidden="false" customHeight="false" outlineLevel="0" collapsed="false">
      <c r="A612" s="20" t="n">
        <v>1</v>
      </c>
      <c r="B612" s="210"/>
      <c r="C612" s="162" t="s">
        <v>952</v>
      </c>
      <c r="D612" s="23" t="n">
        <v>140</v>
      </c>
      <c r="E612" s="210"/>
    </row>
    <row r="613" customFormat="false" ht="15" hidden="false" customHeight="false" outlineLevel="0" collapsed="false">
      <c r="A613" s="178" t="n">
        <v>2</v>
      </c>
      <c r="B613" s="211"/>
      <c r="C613" s="212" t="s">
        <v>113</v>
      </c>
      <c r="D613" s="213" t="n">
        <v>96</v>
      </c>
      <c r="E613" s="211"/>
    </row>
    <row r="614" customFormat="false" ht="15" hidden="false" customHeight="false" outlineLevel="0" collapsed="false">
      <c r="A614" s="20" t="n">
        <v>3</v>
      </c>
      <c r="B614" s="210"/>
      <c r="C614" s="162" t="s">
        <v>938</v>
      </c>
      <c r="D614" s="23" t="n">
        <v>23</v>
      </c>
      <c r="E614" s="210"/>
    </row>
    <row r="615" customFormat="false" ht="15" hidden="false" customHeight="false" outlineLevel="0" collapsed="false">
      <c r="A615" s="178" t="n">
        <v>4</v>
      </c>
      <c r="B615" s="211"/>
      <c r="C615" s="212" t="s">
        <v>977</v>
      </c>
      <c r="D615" s="213" t="n">
        <v>12</v>
      </c>
      <c r="E615" s="211"/>
    </row>
    <row r="616" customFormat="false" ht="15" hidden="false" customHeight="false" outlineLevel="0" collapsed="false">
      <c r="A616" s="20" t="n">
        <v>5</v>
      </c>
      <c r="B616" s="210"/>
      <c r="C616" s="162" t="s">
        <v>940</v>
      </c>
      <c r="D616" s="23" t="n">
        <v>6</v>
      </c>
      <c r="E616" s="210"/>
    </row>
    <row r="617" customFormat="false" ht="15" hidden="false" customHeight="false" outlineLevel="0" collapsed="false">
      <c r="A617" s="178" t="n">
        <v>6</v>
      </c>
      <c r="B617" s="211"/>
      <c r="C617" s="212" t="s">
        <v>978</v>
      </c>
      <c r="D617" s="213" t="n">
        <v>3</v>
      </c>
      <c r="E617" s="211"/>
    </row>
    <row r="618" customFormat="false" ht="15" hidden="false" customHeight="false" outlineLevel="0" collapsed="false">
      <c r="A618" s="20" t="n">
        <v>7</v>
      </c>
      <c r="B618" s="210"/>
      <c r="C618" s="162" t="s">
        <v>941</v>
      </c>
      <c r="D618" s="23" t="n">
        <v>3</v>
      </c>
      <c r="E618" s="210"/>
    </row>
    <row r="619" customFormat="false" ht="15" hidden="false" customHeight="false" outlineLevel="0" collapsed="false">
      <c r="A619" s="178" t="n">
        <v>8</v>
      </c>
      <c r="B619" s="211"/>
      <c r="C619" s="212" t="s">
        <v>121</v>
      </c>
      <c r="D619" s="213" t="n">
        <v>3</v>
      </c>
      <c r="E619" s="211"/>
    </row>
    <row r="620" customFormat="false" ht="15" hidden="false" customHeight="false" outlineLevel="0" collapsed="false">
      <c r="A620" s="20" t="n">
        <v>9</v>
      </c>
      <c r="B620" s="210"/>
      <c r="C620" s="162" t="s">
        <v>979</v>
      </c>
      <c r="D620" s="23" t="n">
        <v>3</v>
      </c>
      <c r="E620" s="210"/>
    </row>
    <row r="621" customFormat="false" ht="15" hidden="false" customHeight="false" outlineLevel="0" collapsed="false">
      <c r="A621" s="214" t="s">
        <v>1036</v>
      </c>
      <c r="B621" s="214"/>
      <c r="C621" s="214"/>
      <c r="D621" s="215" t="n">
        <v>289</v>
      </c>
      <c r="E621" s="216"/>
    </row>
    <row r="623" customFormat="false" ht="15" hidden="false" customHeight="false" outlineLevel="0" collapsed="false">
      <c r="A623" s="217" t="s">
        <v>944</v>
      </c>
      <c r="B623" s="217"/>
      <c r="C623" s="217"/>
      <c r="D623" s="217"/>
      <c r="E623" s="217"/>
    </row>
    <row r="624" customFormat="false" ht="15" hidden="false" customHeight="false" outlineLevel="0" collapsed="false">
      <c r="A624" s="182" t="s">
        <v>46</v>
      </c>
      <c r="B624" s="182"/>
      <c r="C624" s="209" t="s">
        <v>932</v>
      </c>
      <c r="D624" s="209" t="s">
        <v>945</v>
      </c>
      <c r="E624" s="182"/>
    </row>
    <row r="625" customFormat="false" ht="15" hidden="false" customHeight="false" outlineLevel="0" collapsed="false">
      <c r="A625" s="20" t="n">
        <v>1</v>
      </c>
      <c r="B625" s="210"/>
      <c r="C625" s="162" t="s">
        <v>952</v>
      </c>
      <c r="D625" s="23" t="n">
        <v>329</v>
      </c>
      <c r="E625" s="210"/>
    </row>
    <row r="626" customFormat="false" ht="15" hidden="false" customHeight="false" outlineLevel="0" collapsed="false">
      <c r="A626" s="178" t="n">
        <v>2</v>
      </c>
      <c r="B626" s="211"/>
      <c r="C626" s="212" t="s">
        <v>113</v>
      </c>
      <c r="D626" s="213" t="n">
        <v>141</v>
      </c>
      <c r="E626" s="211"/>
    </row>
    <row r="627" customFormat="false" ht="15" hidden="false" customHeight="false" outlineLevel="0" collapsed="false">
      <c r="A627" s="20" t="n">
        <v>3</v>
      </c>
      <c r="B627" s="210"/>
      <c r="C627" s="162" t="s">
        <v>934</v>
      </c>
      <c r="D627" s="23" t="n">
        <v>87</v>
      </c>
      <c r="E627" s="210"/>
    </row>
    <row r="628" customFormat="false" ht="15" hidden="false" customHeight="false" outlineLevel="0" collapsed="false">
      <c r="A628" s="178" t="n">
        <v>4</v>
      </c>
      <c r="B628" s="211"/>
      <c r="C628" s="212" t="s">
        <v>936</v>
      </c>
      <c r="D628" s="213" t="n">
        <v>34</v>
      </c>
      <c r="E628" s="211"/>
    </row>
    <row r="629" customFormat="false" ht="15" hidden="false" customHeight="false" outlineLevel="0" collapsed="false">
      <c r="A629" s="20" t="n">
        <v>5</v>
      </c>
      <c r="B629" s="210"/>
      <c r="C629" s="162" t="s">
        <v>99</v>
      </c>
      <c r="D629" s="23" t="n">
        <v>33</v>
      </c>
      <c r="E629" s="210"/>
    </row>
    <row r="630" customFormat="false" ht="15" hidden="false" customHeight="false" outlineLevel="0" collapsed="false">
      <c r="A630" s="178" t="n">
        <v>6</v>
      </c>
      <c r="B630" s="211"/>
      <c r="C630" s="212" t="s">
        <v>935</v>
      </c>
      <c r="D630" s="213" t="n">
        <v>29</v>
      </c>
      <c r="E630" s="211"/>
    </row>
    <row r="631" customFormat="false" ht="15" hidden="false" customHeight="false" outlineLevel="0" collapsed="false">
      <c r="A631" s="20" t="n">
        <v>7</v>
      </c>
      <c r="B631" s="210"/>
      <c r="C631" s="162" t="s">
        <v>938</v>
      </c>
      <c r="D631" s="23" t="n">
        <v>27</v>
      </c>
      <c r="E631" s="210"/>
    </row>
    <row r="632" customFormat="false" ht="15" hidden="false" customHeight="false" outlineLevel="0" collapsed="false">
      <c r="A632" s="178" t="n">
        <v>8</v>
      </c>
      <c r="B632" s="211"/>
      <c r="C632" s="212" t="s">
        <v>937</v>
      </c>
      <c r="D632" s="213" t="n">
        <v>18</v>
      </c>
      <c r="E632" s="211"/>
    </row>
    <row r="633" customFormat="false" ht="15" hidden="false" customHeight="false" outlineLevel="0" collapsed="false">
      <c r="A633" s="20" t="n">
        <v>9</v>
      </c>
      <c r="B633" s="210"/>
      <c r="C633" s="162" t="s">
        <v>957</v>
      </c>
      <c r="D633" s="23" t="n">
        <v>16</v>
      </c>
      <c r="E633" s="210"/>
    </row>
    <row r="634" customFormat="false" ht="15" hidden="false" customHeight="false" outlineLevel="0" collapsed="false">
      <c r="A634" s="178" t="n">
        <v>10</v>
      </c>
      <c r="B634" s="211"/>
      <c r="C634" s="212" t="s">
        <v>977</v>
      </c>
      <c r="D634" s="213" t="n">
        <v>12</v>
      </c>
      <c r="E634" s="211"/>
    </row>
    <row r="635" customFormat="false" ht="15" hidden="false" customHeight="false" outlineLevel="0" collapsed="false">
      <c r="A635" s="20" t="n">
        <v>11</v>
      </c>
      <c r="B635" s="210"/>
      <c r="C635" s="162" t="s">
        <v>940</v>
      </c>
      <c r="D635" s="23" t="n">
        <v>10</v>
      </c>
      <c r="E635" s="210"/>
    </row>
    <row r="636" customFormat="false" ht="15" hidden="false" customHeight="false" outlineLevel="0" collapsed="false">
      <c r="A636" s="178" t="n">
        <v>12</v>
      </c>
      <c r="B636" s="211"/>
      <c r="C636" s="212" t="s">
        <v>953</v>
      </c>
      <c r="D636" s="213" t="n">
        <v>9</v>
      </c>
      <c r="E636" s="211"/>
    </row>
    <row r="637" customFormat="false" ht="15" hidden="false" customHeight="false" outlineLevel="0" collapsed="false">
      <c r="A637" s="20" t="n">
        <v>13</v>
      </c>
      <c r="B637" s="210"/>
      <c r="C637" s="162" t="s">
        <v>121</v>
      </c>
      <c r="D637" s="23" t="n">
        <v>7</v>
      </c>
      <c r="E637" s="210"/>
    </row>
    <row r="638" customFormat="false" ht="15" hidden="false" customHeight="false" outlineLevel="0" collapsed="false">
      <c r="A638" s="178" t="n">
        <v>14</v>
      </c>
      <c r="B638" s="211"/>
      <c r="C638" s="212" t="s">
        <v>939</v>
      </c>
      <c r="D638" s="213" t="n">
        <v>6</v>
      </c>
      <c r="E638" s="211"/>
    </row>
    <row r="639" customFormat="false" ht="15" hidden="false" customHeight="false" outlineLevel="0" collapsed="false">
      <c r="A639" s="20" t="n">
        <v>15</v>
      </c>
      <c r="B639" s="210"/>
      <c r="C639" s="162" t="s">
        <v>941</v>
      </c>
      <c r="D639" s="23" t="n">
        <v>6</v>
      </c>
      <c r="E639" s="210"/>
    </row>
    <row r="640" customFormat="false" ht="15" hidden="false" customHeight="false" outlineLevel="0" collapsed="false">
      <c r="A640" s="178" t="n">
        <v>16</v>
      </c>
      <c r="B640" s="211"/>
      <c r="C640" s="212" t="s">
        <v>954</v>
      </c>
      <c r="D640" s="213" t="n">
        <v>3</v>
      </c>
      <c r="E640" s="211"/>
    </row>
    <row r="641" customFormat="false" ht="15" hidden="false" customHeight="false" outlineLevel="0" collapsed="false">
      <c r="A641" s="20" t="n">
        <v>17</v>
      </c>
      <c r="B641" s="210"/>
      <c r="C641" s="162" t="s">
        <v>118</v>
      </c>
      <c r="D641" s="23" t="n">
        <v>3</v>
      </c>
      <c r="E641" s="210"/>
    </row>
    <row r="642" customFormat="false" ht="15" hidden="false" customHeight="false" outlineLevel="0" collapsed="false">
      <c r="A642" s="178" t="n">
        <v>18</v>
      </c>
      <c r="B642" s="211"/>
      <c r="C642" s="212" t="s">
        <v>978</v>
      </c>
      <c r="D642" s="213" t="n">
        <v>3</v>
      </c>
      <c r="E642" s="211"/>
    </row>
    <row r="643" customFormat="false" ht="15" hidden="false" customHeight="false" outlineLevel="0" collapsed="false">
      <c r="A643" s="20" t="n">
        <v>19</v>
      </c>
      <c r="B643" s="210"/>
      <c r="C643" s="162" t="s">
        <v>979</v>
      </c>
      <c r="D643" s="23" t="n">
        <v>3</v>
      </c>
      <c r="E643" s="210"/>
    </row>
    <row r="644" customFormat="false" ht="15" hidden="false" customHeight="false" outlineLevel="0" collapsed="false">
      <c r="A644" s="218" t="s">
        <v>1037</v>
      </c>
      <c r="B644" s="218"/>
      <c r="C644" s="218"/>
      <c r="D644" s="219" t="n">
        <v>776</v>
      </c>
      <c r="E644" s="220"/>
    </row>
    <row r="646" customFormat="false" ht="37.5" hidden="false" customHeight="true" outlineLevel="0" collapsed="false">
      <c r="A646" s="206" t="s">
        <v>1038</v>
      </c>
      <c r="B646" s="206"/>
      <c r="C646" s="206"/>
      <c r="D646" s="206"/>
      <c r="E646" s="206"/>
    </row>
    <row r="647" customFormat="false" ht="15" hidden="false" customHeight="false" outlineLevel="0" collapsed="false">
      <c r="A647" s="207" t="s">
        <v>1039</v>
      </c>
      <c r="B647" s="207"/>
      <c r="C647" s="207"/>
      <c r="D647" s="207"/>
      <c r="E647" s="207"/>
    </row>
    <row r="648" customFormat="false" ht="14.15" hidden="false" customHeight="false" outlineLevel="0" collapsed="false">
      <c r="A648" s="208" t="s">
        <v>1040</v>
      </c>
      <c r="B648" s="208"/>
      <c r="C648" s="208"/>
      <c r="D648" s="208"/>
      <c r="E648" s="208"/>
    </row>
    <row r="649" customFormat="false" ht="15" hidden="false" customHeight="false" outlineLevel="0" collapsed="false">
      <c r="A649" s="182" t="s">
        <v>46</v>
      </c>
      <c r="B649" s="182"/>
      <c r="C649" s="209" t="s">
        <v>932</v>
      </c>
      <c r="D649" s="209" t="s">
        <v>933</v>
      </c>
      <c r="E649" s="182"/>
    </row>
    <row r="650" customFormat="false" ht="15" hidden="false" customHeight="false" outlineLevel="0" collapsed="false">
      <c r="A650" s="20" t="n">
        <v>1</v>
      </c>
      <c r="B650" s="210"/>
      <c r="C650" s="162" t="s">
        <v>952</v>
      </c>
      <c r="D650" s="23" t="n">
        <v>160</v>
      </c>
      <c r="E650" s="210"/>
    </row>
    <row r="651" customFormat="false" ht="15" hidden="false" customHeight="false" outlineLevel="0" collapsed="false">
      <c r="A651" s="178" t="n">
        <v>2</v>
      </c>
      <c r="B651" s="211"/>
      <c r="C651" s="212" t="s">
        <v>113</v>
      </c>
      <c r="D651" s="213" t="n">
        <v>30</v>
      </c>
      <c r="E651" s="211"/>
    </row>
    <row r="652" customFormat="false" ht="15" hidden="false" customHeight="false" outlineLevel="0" collapsed="false">
      <c r="A652" s="20" t="n">
        <v>3</v>
      </c>
      <c r="B652" s="210"/>
      <c r="C652" s="162" t="s">
        <v>953</v>
      </c>
      <c r="D652" s="23" t="n">
        <v>20</v>
      </c>
      <c r="E652" s="210"/>
    </row>
    <row r="653" customFormat="false" ht="15" hidden="false" customHeight="false" outlineLevel="0" collapsed="false">
      <c r="A653" s="178" t="n">
        <v>4</v>
      </c>
      <c r="B653" s="211"/>
      <c r="C653" s="212" t="s">
        <v>99</v>
      </c>
      <c r="D653" s="213" t="n">
        <v>20</v>
      </c>
      <c r="E653" s="211"/>
    </row>
    <row r="654" customFormat="false" ht="15" hidden="false" customHeight="false" outlineLevel="0" collapsed="false">
      <c r="A654" s="20" t="n">
        <v>5</v>
      </c>
      <c r="B654" s="210"/>
      <c r="C654" s="162" t="s">
        <v>954</v>
      </c>
      <c r="D654" s="23" t="n">
        <v>5</v>
      </c>
      <c r="E654" s="210"/>
    </row>
    <row r="655" customFormat="false" ht="15" hidden="false" customHeight="false" outlineLevel="0" collapsed="false">
      <c r="A655" s="178" t="n">
        <v>6</v>
      </c>
      <c r="B655" s="211"/>
      <c r="C655" s="212" t="s">
        <v>121</v>
      </c>
      <c r="D655" s="213" t="n">
        <v>3</v>
      </c>
      <c r="E655" s="211"/>
    </row>
    <row r="656" customFormat="false" ht="15" hidden="false" customHeight="false" outlineLevel="0" collapsed="false">
      <c r="A656" s="214" t="s">
        <v>1041</v>
      </c>
      <c r="B656" s="214"/>
      <c r="C656" s="214"/>
      <c r="D656" s="215" t="n">
        <v>238</v>
      </c>
      <c r="E656" s="216"/>
    </row>
    <row r="657" customFormat="false" ht="14.15" hidden="false" customHeight="false" outlineLevel="0" collapsed="false">
      <c r="A657" s="208" t="s">
        <v>1042</v>
      </c>
      <c r="B657" s="208"/>
      <c r="C657" s="208"/>
      <c r="D657" s="208"/>
      <c r="E657" s="208"/>
    </row>
    <row r="658" customFormat="false" ht="15" hidden="false" customHeight="false" outlineLevel="0" collapsed="false">
      <c r="A658" s="182" t="s">
        <v>46</v>
      </c>
      <c r="B658" s="182"/>
      <c r="C658" s="209" t="s">
        <v>932</v>
      </c>
      <c r="D658" s="209" t="s">
        <v>933</v>
      </c>
      <c r="E658" s="182"/>
    </row>
    <row r="659" customFormat="false" ht="15" hidden="false" customHeight="false" outlineLevel="0" collapsed="false">
      <c r="A659" s="20" t="n">
        <v>1</v>
      </c>
      <c r="B659" s="210"/>
      <c r="C659" s="162" t="s">
        <v>952</v>
      </c>
      <c r="D659" s="23" t="n">
        <v>102</v>
      </c>
      <c r="E659" s="210"/>
    </row>
    <row r="660" customFormat="false" ht="15" hidden="false" customHeight="false" outlineLevel="0" collapsed="false">
      <c r="A660" s="178" t="n">
        <v>2</v>
      </c>
      <c r="B660" s="211"/>
      <c r="C660" s="212" t="s">
        <v>934</v>
      </c>
      <c r="D660" s="213" t="n">
        <v>79</v>
      </c>
      <c r="E660" s="211"/>
    </row>
    <row r="661" customFormat="false" ht="15" hidden="false" customHeight="false" outlineLevel="0" collapsed="false">
      <c r="A661" s="20" t="n">
        <v>3</v>
      </c>
      <c r="B661" s="210"/>
      <c r="C661" s="162" t="s">
        <v>935</v>
      </c>
      <c r="D661" s="23" t="n">
        <v>58</v>
      </c>
      <c r="E661" s="210"/>
    </row>
    <row r="662" customFormat="false" ht="15" hidden="false" customHeight="false" outlineLevel="0" collapsed="false">
      <c r="A662" s="178" t="n">
        <v>4</v>
      </c>
      <c r="B662" s="211"/>
      <c r="C662" s="212" t="s">
        <v>113</v>
      </c>
      <c r="D662" s="213" t="n">
        <v>31</v>
      </c>
      <c r="E662" s="211"/>
    </row>
    <row r="663" customFormat="false" ht="15" hidden="false" customHeight="false" outlineLevel="0" collapsed="false">
      <c r="A663" s="20" t="n">
        <v>5</v>
      </c>
      <c r="B663" s="210"/>
      <c r="C663" s="162" t="s">
        <v>99</v>
      </c>
      <c r="D663" s="23" t="n">
        <v>19</v>
      </c>
      <c r="E663" s="210"/>
    </row>
    <row r="664" customFormat="false" ht="15" hidden="false" customHeight="false" outlineLevel="0" collapsed="false">
      <c r="A664" s="178" t="n">
        <v>6</v>
      </c>
      <c r="B664" s="211"/>
      <c r="C664" s="212" t="s">
        <v>953</v>
      </c>
      <c r="D664" s="213" t="n">
        <v>8</v>
      </c>
      <c r="E664" s="211"/>
    </row>
    <row r="665" customFormat="false" ht="15" hidden="false" customHeight="false" outlineLevel="0" collapsed="false">
      <c r="A665" s="20" t="n">
        <v>7</v>
      </c>
      <c r="B665" s="210"/>
      <c r="C665" s="162" t="s">
        <v>939</v>
      </c>
      <c r="D665" s="23" t="n">
        <v>5</v>
      </c>
      <c r="E665" s="210"/>
    </row>
    <row r="666" customFormat="false" ht="15" hidden="false" customHeight="false" outlineLevel="0" collapsed="false">
      <c r="A666" s="178" t="n">
        <v>8</v>
      </c>
      <c r="B666" s="211"/>
      <c r="C666" s="212" t="s">
        <v>940</v>
      </c>
      <c r="D666" s="213" t="n">
        <v>5</v>
      </c>
      <c r="E666" s="211"/>
    </row>
    <row r="667" customFormat="false" ht="15" hidden="false" customHeight="false" outlineLevel="0" collapsed="false">
      <c r="A667" s="20" t="n">
        <v>9</v>
      </c>
      <c r="B667" s="210"/>
      <c r="C667" s="162" t="s">
        <v>957</v>
      </c>
      <c r="D667" s="23" t="n">
        <v>5</v>
      </c>
      <c r="E667" s="210"/>
    </row>
    <row r="668" customFormat="false" ht="15" hidden="false" customHeight="false" outlineLevel="0" collapsed="false">
      <c r="A668" s="178" t="n">
        <v>10</v>
      </c>
      <c r="B668" s="211"/>
      <c r="C668" s="212" t="s">
        <v>938</v>
      </c>
      <c r="D668" s="213" t="n">
        <v>5</v>
      </c>
      <c r="E668" s="211"/>
    </row>
    <row r="669" customFormat="false" ht="15" hidden="false" customHeight="false" outlineLevel="0" collapsed="false">
      <c r="A669" s="20" t="n">
        <v>11</v>
      </c>
      <c r="B669" s="210"/>
      <c r="C669" s="162" t="s">
        <v>121</v>
      </c>
      <c r="D669" s="23" t="n">
        <v>3</v>
      </c>
      <c r="E669" s="210"/>
    </row>
    <row r="670" customFormat="false" ht="15" hidden="false" customHeight="false" outlineLevel="0" collapsed="false">
      <c r="A670" s="178" t="n">
        <v>12</v>
      </c>
      <c r="B670" s="211"/>
      <c r="C670" s="212" t="s">
        <v>954</v>
      </c>
      <c r="D670" s="213" t="n">
        <v>2</v>
      </c>
      <c r="E670" s="211"/>
    </row>
    <row r="671" customFormat="false" ht="15" hidden="false" customHeight="false" outlineLevel="0" collapsed="false">
      <c r="A671" s="20" t="n">
        <v>13</v>
      </c>
      <c r="B671" s="210"/>
      <c r="C671" s="162" t="s">
        <v>941</v>
      </c>
      <c r="D671" s="23" t="n">
        <v>2</v>
      </c>
      <c r="E671" s="210"/>
    </row>
    <row r="672" customFormat="false" ht="15" hidden="false" customHeight="false" outlineLevel="0" collapsed="false">
      <c r="A672" s="178" t="n">
        <v>14</v>
      </c>
      <c r="B672" s="211"/>
      <c r="C672" s="212" t="s">
        <v>118</v>
      </c>
      <c r="D672" s="213" t="n">
        <v>1</v>
      </c>
      <c r="E672" s="211"/>
    </row>
    <row r="673" customFormat="false" ht="15" hidden="false" customHeight="false" outlineLevel="0" collapsed="false">
      <c r="A673" s="20" t="n">
        <v>15</v>
      </c>
      <c r="B673" s="210"/>
      <c r="C673" s="162" t="s">
        <v>942</v>
      </c>
      <c r="D673" s="23" t="n">
        <v>1</v>
      </c>
      <c r="E673" s="210"/>
    </row>
    <row r="674" customFormat="false" ht="15" hidden="false" customHeight="false" outlineLevel="0" collapsed="false">
      <c r="A674" s="214" t="s">
        <v>1043</v>
      </c>
      <c r="B674" s="214"/>
      <c r="C674" s="214"/>
      <c r="D674" s="215" t="n">
        <v>326</v>
      </c>
      <c r="E674" s="216"/>
    </row>
    <row r="675" customFormat="false" ht="14.15" hidden="false" customHeight="false" outlineLevel="0" collapsed="false">
      <c r="A675" s="208" t="s">
        <v>1044</v>
      </c>
      <c r="B675" s="208"/>
      <c r="C675" s="208"/>
      <c r="D675" s="208"/>
      <c r="E675" s="208"/>
    </row>
    <row r="676" customFormat="false" ht="15" hidden="false" customHeight="false" outlineLevel="0" collapsed="false">
      <c r="A676" s="182" t="s">
        <v>46</v>
      </c>
      <c r="B676" s="182"/>
      <c r="C676" s="209" t="s">
        <v>932</v>
      </c>
      <c r="D676" s="209" t="s">
        <v>933</v>
      </c>
      <c r="E676" s="182"/>
    </row>
    <row r="677" customFormat="false" ht="15" hidden="false" customHeight="false" outlineLevel="0" collapsed="false">
      <c r="A677" s="20" t="n">
        <v>1</v>
      </c>
      <c r="B677" s="210"/>
      <c r="C677" s="162" t="s">
        <v>952</v>
      </c>
      <c r="D677" s="23" t="n">
        <v>106</v>
      </c>
      <c r="E677" s="210"/>
    </row>
    <row r="678" customFormat="false" ht="15" hidden="false" customHeight="false" outlineLevel="0" collapsed="false">
      <c r="A678" s="178" t="n">
        <v>2</v>
      </c>
      <c r="B678" s="211"/>
      <c r="C678" s="212" t="s">
        <v>934</v>
      </c>
      <c r="D678" s="213" t="n">
        <v>67</v>
      </c>
      <c r="E678" s="211"/>
    </row>
    <row r="679" customFormat="false" ht="15" hidden="false" customHeight="false" outlineLevel="0" collapsed="false">
      <c r="A679" s="20" t="n">
        <v>3</v>
      </c>
      <c r="B679" s="210"/>
      <c r="C679" s="162" t="s">
        <v>935</v>
      </c>
      <c r="D679" s="23" t="n">
        <v>63</v>
      </c>
      <c r="E679" s="210"/>
    </row>
    <row r="680" customFormat="false" ht="15" hidden="false" customHeight="false" outlineLevel="0" collapsed="false">
      <c r="A680" s="178" t="n">
        <v>4</v>
      </c>
      <c r="B680" s="211"/>
      <c r="C680" s="212" t="s">
        <v>99</v>
      </c>
      <c r="D680" s="213" t="n">
        <v>18</v>
      </c>
      <c r="E680" s="211"/>
    </row>
    <row r="681" customFormat="false" ht="15" hidden="false" customHeight="false" outlineLevel="0" collapsed="false">
      <c r="A681" s="20" t="n">
        <v>5</v>
      </c>
      <c r="B681" s="210"/>
      <c r="C681" s="162" t="s">
        <v>113</v>
      </c>
      <c r="D681" s="23" t="n">
        <v>17</v>
      </c>
      <c r="E681" s="210"/>
    </row>
    <row r="682" customFormat="false" ht="15" hidden="false" customHeight="false" outlineLevel="0" collapsed="false">
      <c r="A682" s="178" t="n">
        <v>6</v>
      </c>
      <c r="B682" s="211"/>
      <c r="C682" s="212" t="s">
        <v>953</v>
      </c>
      <c r="D682" s="213" t="n">
        <v>7</v>
      </c>
      <c r="E682" s="211"/>
    </row>
    <row r="683" customFormat="false" ht="15" hidden="false" customHeight="false" outlineLevel="0" collapsed="false">
      <c r="A683" s="20" t="n">
        <v>7</v>
      </c>
      <c r="B683" s="210"/>
      <c r="C683" s="162" t="s">
        <v>957</v>
      </c>
      <c r="D683" s="23" t="n">
        <v>7</v>
      </c>
      <c r="E683" s="210"/>
    </row>
    <row r="684" customFormat="false" ht="15" hidden="false" customHeight="false" outlineLevel="0" collapsed="false">
      <c r="A684" s="178" t="n">
        <v>8</v>
      </c>
      <c r="B684" s="211"/>
      <c r="C684" s="212" t="s">
        <v>121</v>
      </c>
      <c r="D684" s="213" t="n">
        <v>3</v>
      </c>
      <c r="E684" s="211"/>
    </row>
    <row r="685" customFormat="false" ht="15" hidden="false" customHeight="false" outlineLevel="0" collapsed="false">
      <c r="A685" s="20" t="n">
        <v>9</v>
      </c>
      <c r="B685" s="210"/>
      <c r="C685" s="162" t="s">
        <v>940</v>
      </c>
      <c r="D685" s="23" t="n">
        <v>3</v>
      </c>
      <c r="E685" s="210"/>
    </row>
    <row r="686" customFormat="false" ht="15" hidden="false" customHeight="false" outlineLevel="0" collapsed="false">
      <c r="A686" s="178" t="n">
        <v>10</v>
      </c>
      <c r="B686" s="211"/>
      <c r="C686" s="212" t="s">
        <v>954</v>
      </c>
      <c r="D686" s="213" t="n">
        <v>2</v>
      </c>
      <c r="E686" s="211"/>
    </row>
    <row r="687" customFormat="false" ht="15" hidden="false" customHeight="false" outlineLevel="0" collapsed="false">
      <c r="A687" s="20" t="n">
        <v>11</v>
      </c>
      <c r="B687" s="210"/>
      <c r="C687" s="162" t="s">
        <v>108</v>
      </c>
      <c r="D687" s="23" t="n">
        <v>2</v>
      </c>
      <c r="E687" s="210"/>
    </row>
    <row r="688" customFormat="false" ht="15" hidden="false" customHeight="false" outlineLevel="0" collapsed="false">
      <c r="A688" s="178" t="n">
        <v>12</v>
      </c>
      <c r="B688" s="211"/>
      <c r="C688" s="212" t="s">
        <v>942</v>
      </c>
      <c r="D688" s="213" t="n">
        <v>1</v>
      </c>
      <c r="E688" s="211"/>
    </row>
    <row r="689" customFormat="false" ht="15" hidden="false" customHeight="false" outlineLevel="0" collapsed="false">
      <c r="A689" s="214" t="s">
        <v>1045</v>
      </c>
      <c r="B689" s="214"/>
      <c r="C689" s="214"/>
      <c r="D689" s="215" t="n">
        <v>296</v>
      </c>
      <c r="E689" s="216"/>
    </row>
    <row r="690" customFormat="false" ht="14.15" hidden="false" customHeight="false" outlineLevel="0" collapsed="false">
      <c r="A690" s="208" t="s">
        <v>1046</v>
      </c>
      <c r="B690" s="208"/>
      <c r="C690" s="208"/>
      <c r="D690" s="208"/>
      <c r="E690" s="208"/>
    </row>
    <row r="691" customFormat="false" ht="15" hidden="false" customHeight="false" outlineLevel="0" collapsed="false">
      <c r="A691" s="182" t="s">
        <v>46</v>
      </c>
      <c r="B691" s="182"/>
      <c r="C691" s="209" t="s">
        <v>932</v>
      </c>
      <c r="D691" s="209" t="s">
        <v>933</v>
      </c>
      <c r="E691" s="182"/>
    </row>
    <row r="692" customFormat="false" ht="15" hidden="false" customHeight="false" outlineLevel="0" collapsed="false">
      <c r="A692" s="20" t="n">
        <v>1</v>
      </c>
      <c r="B692" s="210"/>
      <c r="C692" s="162" t="s">
        <v>952</v>
      </c>
      <c r="D692" s="23" t="n">
        <v>168</v>
      </c>
      <c r="E692" s="210"/>
    </row>
    <row r="693" customFormat="false" ht="15" hidden="false" customHeight="false" outlineLevel="0" collapsed="false">
      <c r="A693" s="178" t="n">
        <v>2</v>
      </c>
      <c r="B693" s="211"/>
      <c r="C693" s="212" t="s">
        <v>113</v>
      </c>
      <c r="D693" s="213" t="n">
        <v>27</v>
      </c>
      <c r="E693" s="211"/>
    </row>
    <row r="694" customFormat="false" ht="15" hidden="false" customHeight="false" outlineLevel="0" collapsed="false">
      <c r="A694" s="20" t="n">
        <v>3</v>
      </c>
      <c r="B694" s="210"/>
      <c r="C694" s="162" t="s">
        <v>99</v>
      </c>
      <c r="D694" s="23" t="n">
        <v>23</v>
      </c>
      <c r="E694" s="210"/>
    </row>
    <row r="695" customFormat="false" ht="15" hidden="false" customHeight="false" outlineLevel="0" collapsed="false">
      <c r="A695" s="178" t="n">
        <v>4</v>
      </c>
      <c r="B695" s="211"/>
      <c r="C695" s="212" t="s">
        <v>953</v>
      </c>
      <c r="D695" s="213" t="n">
        <v>12</v>
      </c>
      <c r="E695" s="211"/>
    </row>
    <row r="696" customFormat="false" ht="15" hidden="false" customHeight="false" outlineLevel="0" collapsed="false">
      <c r="A696" s="20" t="n">
        <v>5</v>
      </c>
      <c r="B696" s="210"/>
      <c r="C696" s="162" t="s">
        <v>957</v>
      </c>
      <c r="D696" s="23" t="n">
        <v>9</v>
      </c>
      <c r="E696" s="210"/>
    </row>
    <row r="697" customFormat="false" ht="15" hidden="false" customHeight="false" outlineLevel="0" collapsed="false">
      <c r="A697" s="178" t="n">
        <v>6</v>
      </c>
      <c r="B697" s="211"/>
      <c r="C697" s="212" t="s">
        <v>954</v>
      </c>
      <c r="D697" s="213" t="n">
        <v>3</v>
      </c>
      <c r="E697" s="211"/>
    </row>
    <row r="698" customFormat="false" ht="15" hidden="false" customHeight="false" outlineLevel="0" collapsed="false">
      <c r="A698" s="20" t="n">
        <v>7</v>
      </c>
      <c r="B698" s="210"/>
      <c r="C698" s="162" t="s">
        <v>121</v>
      </c>
      <c r="D698" s="23" t="n">
        <v>3</v>
      </c>
      <c r="E698" s="210"/>
    </row>
    <row r="699" customFormat="false" ht="15" hidden="false" customHeight="false" outlineLevel="0" collapsed="false">
      <c r="A699" s="214" t="s">
        <v>1047</v>
      </c>
      <c r="B699" s="214"/>
      <c r="C699" s="214"/>
      <c r="D699" s="215" t="n">
        <v>245</v>
      </c>
      <c r="E699" s="216"/>
    </row>
    <row r="700" customFormat="false" ht="14.15" hidden="false" customHeight="false" outlineLevel="0" collapsed="false">
      <c r="A700" s="208" t="s">
        <v>1048</v>
      </c>
      <c r="B700" s="208"/>
      <c r="C700" s="208"/>
      <c r="D700" s="208"/>
      <c r="E700" s="208"/>
    </row>
    <row r="701" customFormat="false" ht="15" hidden="false" customHeight="false" outlineLevel="0" collapsed="false">
      <c r="A701" s="182" t="s">
        <v>46</v>
      </c>
      <c r="B701" s="182"/>
      <c r="C701" s="209" t="s">
        <v>932</v>
      </c>
      <c r="D701" s="209" t="s">
        <v>933</v>
      </c>
      <c r="E701" s="182"/>
    </row>
    <row r="702" customFormat="false" ht="15" hidden="false" customHeight="false" outlineLevel="0" collapsed="false">
      <c r="A702" s="20" t="n">
        <v>1</v>
      </c>
      <c r="B702" s="210"/>
      <c r="C702" s="162" t="s">
        <v>934</v>
      </c>
      <c r="D702" s="23" t="n">
        <v>157</v>
      </c>
      <c r="E702" s="210"/>
    </row>
    <row r="703" customFormat="false" ht="15" hidden="false" customHeight="false" outlineLevel="0" collapsed="false">
      <c r="A703" s="178" t="n">
        <v>2</v>
      </c>
      <c r="B703" s="211"/>
      <c r="C703" s="212" t="s">
        <v>935</v>
      </c>
      <c r="D703" s="213" t="n">
        <v>116</v>
      </c>
      <c r="E703" s="211"/>
    </row>
    <row r="704" customFormat="false" ht="15" hidden="false" customHeight="false" outlineLevel="0" collapsed="false">
      <c r="A704" s="20" t="n">
        <v>3</v>
      </c>
      <c r="B704" s="210"/>
      <c r="C704" s="162" t="s">
        <v>113</v>
      </c>
      <c r="D704" s="23" t="n">
        <v>27</v>
      </c>
      <c r="E704" s="210"/>
    </row>
    <row r="705" customFormat="false" ht="15" hidden="false" customHeight="false" outlineLevel="0" collapsed="false">
      <c r="A705" s="178" t="n">
        <v>4</v>
      </c>
      <c r="B705" s="211"/>
      <c r="C705" s="212" t="s">
        <v>939</v>
      </c>
      <c r="D705" s="213" t="n">
        <v>10</v>
      </c>
      <c r="E705" s="211"/>
    </row>
    <row r="706" customFormat="false" ht="15" hidden="false" customHeight="false" outlineLevel="0" collapsed="false">
      <c r="A706" s="20" t="n">
        <v>5</v>
      </c>
      <c r="B706" s="210"/>
      <c r="C706" s="162" t="s">
        <v>940</v>
      </c>
      <c r="D706" s="23" t="n">
        <v>9</v>
      </c>
      <c r="E706" s="210"/>
    </row>
    <row r="707" customFormat="false" ht="15" hidden="false" customHeight="false" outlineLevel="0" collapsed="false">
      <c r="A707" s="178" t="n">
        <v>6</v>
      </c>
      <c r="B707" s="211"/>
      <c r="C707" s="212" t="s">
        <v>99</v>
      </c>
      <c r="D707" s="213" t="n">
        <v>9</v>
      </c>
      <c r="E707" s="211"/>
    </row>
    <row r="708" customFormat="false" ht="15" hidden="false" customHeight="false" outlineLevel="0" collapsed="false">
      <c r="A708" s="20" t="n">
        <v>7</v>
      </c>
      <c r="B708" s="210"/>
      <c r="C708" s="162" t="s">
        <v>938</v>
      </c>
      <c r="D708" s="23" t="n">
        <v>9</v>
      </c>
      <c r="E708" s="210"/>
    </row>
    <row r="709" customFormat="false" ht="15" hidden="false" customHeight="false" outlineLevel="0" collapsed="false">
      <c r="A709" s="178" t="n">
        <v>8</v>
      </c>
      <c r="B709" s="211"/>
      <c r="C709" s="212" t="s">
        <v>118</v>
      </c>
      <c r="D709" s="213" t="n">
        <v>4</v>
      </c>
      <c r="E709" s="211"/>
    </row>
    <row r="710" customFormat="false" ht="15" hidden="false" customHeight="false" outlineLevel="0" collapsed="false">
      <c r="A710" s="20" t="n">
        <v>9</v>
      </c>
      <c r="B710" s="210"/>
      <c r="C710" s="162" t="s">
        <v>121</v>
      </c>
      <c r="D710" s="23" t="n">
        <v>3</v>
      </c>
      <c r="E710" s="210"/>
    </row>
    <row r="711" customFormat="false" ht="15" hidden="false" customHeight="false" outlineLevel="0" collapsed="false">
      <c r="A711" s="178" t="n">
        <v>10</v>
      </c>
      <c r="B711" s="211"/>
      <c r="C711" s="212" t="s">
        <v>941</v>
      </c>
      <c r="D711" s="213" t="n">
        <v>3</v>
      </c>
      <c r="E711" s="211"/>
    </row>
    <row r="712" customFormat="false" ht="15" hidden="false" customHeight="false" outlineLevel="0" collapsed="false">
      <c r="A712" s="20" t="n">
        <v>11</v>
      </c>
      <c r="B712" s="210"/>
      <c r="C712" s="162" t="s">
        <v>942</v>
      </c>
      <c r="D712" s="23" t="n">
        <v>1</v>
      </c>
      <c r="E712" s="210"/>
    </row>
    <row r="713" customFormat="false" ht="15" hidden="false" customHeight="false" outlineLevel="0" collapsed="false">
      <c r="A713" s="214" t="s">
        <v>1049</v>
      </c>
      <c r="B713" s="214"/>
      <c r="C713" s="214"/>
      <c r="D713" s="215" t="n">
        <v>348</v>
      </c>
      <c r="E713" s="216"/>
    </row>
    <row r="715" customFormat="false" ht="15" hidden="false" customHeight="false" outlineLevel="0" collapsed="false">
      <c r="A715" s="217" t="s">
        <v>944</v>
      </c>
      <c r="B715" s="217"/>
      <c r="C715" s="217"/>
      <c r="D715" s="217"/>
      <c r="E715" s="217"/>
    </row>
    <row r="716" customFormat="false" ht="15" hidden="false" customHeight="false" outlineLevel="0" collapsed="false">
      <c r="A716" s="182" t="s">
        <v>46</v>
      </c>
      <c r="B716" s="182"/>
      <c r="C716" s="209" t="s">
        <v>932</v>
      </c>
      <c r="D716" s="209" t="s">
        <v>945</v>
      </c>
      <c r="E716" s="182"/>
    </row>
    <row r="717" customFormat="false" ht="15" hidden="false" customHeight="false" outlineLevel="0" collapsed="false">
      <c r="A717" s="20" t="n">
        <v>1</v>
      </c>
      <c r="B717" s="210"/>
      <c r="C717" s="162" t="s">
        <v>952</v>
      </c>
      <c r="D717" s="23" t="n">
        <v>536</v>
      </c>
      <c r="E717" s="210"/>
    </row>
    <row r="718" customFormat="false" ht="15" hidden="false" customHeight="false" outlineLevel="0" collapsed="false">
      <c r="A718" s="178" t="n">
        <v>2</v>
      </c>
      <c r="B718" s="211"/>
      <c r="C718" s="212" t="s">
        <v>934</v>
      </c>
      <c r="D718" s="213" t="n">
        <v>303</v>
      </c>
      <c r="E718" s="211"/>
    </row>
    <row r="719" customFormat="false" ht="15" hidden="false" customHeight="false" outlineLevel="0" collapsed="false">
      <c r="A719" s="20" t="n">
        <v>3</v>
      </c>
      <c r="B719" s="210"/>
      <c r="C719" s="162" t="s">
        <v>935</v>
      </c>
      <c r="D719" s="23" t="n">
        <v>237</v>
      </c>
      <c r="E719" s="210"/>
    </row>
    <row r="720" customFormat="false" ht="15" hidden="false" customHeight="false" outlineLevel="0" collapsed="false">
      <c r="A720" s="178" t="n">
        <v>4</v>
      </c>
      <c r="B720" s="211"/>
      <c r="C720" s="212" t="s">
        <v>113</v>
      </c>
      <c r="D720" s="213" t="n">
        <v>132</v>
      </c>
      <c r="E720" s="211"/>
    </row>
    <row r="721" customFormat="false" ht="15" hidden="false" customHeight="false" outlineLevel="0" collapsed="false">
      <c r="A721" s="20" t="n">
        <v>5</v>
      </c>
      <c r="B721" s="210"/>
      <c r="C721" s="162" t="s">
        <v>99</v>
      </c>
      <c r="D721" s="23" t="n">
        <v>89</v>
      </c>
      <c r="E721" s="210"/>
    </row>
    <row r="722" customFormat="false" ht="15" hidden="false" customHeight="false" outlineLevel="0" collapsed="false">
      <c r="A722" s="178" t="n">
        <v>6</v>
      </c>
      <c r="B722" s="211"/>
      <c r="C722" s="212" t="s">
        <v>953</v>
      </c>
      <c r="D722" s="213" t="n">
        <v>47</v>
      </c>
      <c r="E722" s="211"/>
    </row>
    <row r="723" customFormat="false" ht="15" hidden="false" customHeight="false" outlineLevel="0" collapsed="false">
      <c r="A723" s="20" t="n">
        <v>7</v>
      </c>
      <c r="B723" s="210"/>
      <c r="C723" s="162" t="s">
        <v>957</v>
      </c>
      <c r="D723" s="23" t="n">
        <v>21</v>
      </c>
      <c r="E723" s="210"/>
    </row>
    <row r="724" customFormat="false" ht="15" hidden="false" customHeight="false" outlineLevel="0" collapsed="false">
      <c r="A724" s="178" t="n">
        <v>8</v>
      </c>
      <c r="B724" s="211"/>
      <c r="C724" s="212" t="s">
        <v>940</v>
      </c>
      <c r="D724" s="213" t="n">
        <v>17</v>
      </c>
      <c r="E724" s="211"/>
    </row>
    <row r="725" customFormat="false" ht="15" hidden="false" customHeight="false" outlineLevel="0" collapsed="false">
      <c r="A725" s="20" t="n">
        <v>9</v>
      </c>
      <c r="B725" s="210"/>
      <c r="C725" s="162" t="s">
        <v>121</v>
      </c>
      <c r="D725" s="23" t="n">
        <v>15</v>
      </c>
      <c r="E725" s="210"/>
    </row>
    <row r="726" customFormat="false" ht="15" hidden="false" customHeight="false" outlineLevel="0" collapsed="false">
      <c r="A726" s="178" t="n">
        <v>10</v>
      </c>
      <c r="B726" s="211"/>
      <c r="C726" s="212" t="s">
        <v>939</v>
      </c>
      <c r="D726" s="213" t="n">
        <v>15</v>
      </c>
      <c r="E726" s="211"/>
    </row>
    <row r="727" customFormat="false" ht="15" hidden="false" customHeight="false" outlineLevel="0" collapsed="false">
      <c r="A727" s="20" t="n">
        <v>11</v>
      </c>
      <c r="B727" s="210"/>
      <c r="C727" s="162" t="s">
        <v>938</v>
      </c>
      <c r="D727" s="23" t="n">
        <v>14</v>
      </c>
      <c r="E727" s="210"/>
    </row>
    <row r="728" customFormat="false" ht="15" hidden="false" customHeight="false" outlineLevel="0" collapsed="false">
      <c r="A728" s="178" t="n">
        <v>12</v>
      </c>
      <c r="B728" s="211"/>
      <c r="C728" s="212" t="s">
        <v>954</v>
      </c>
      <c r="D728" s="213" t="n">
        <v>12</v>
      </c>
      <c r="E728" s="211"/>
    </row>
    <row r="729" customFormat="false" ht="15" hidden="false" customHeight="false" outlineLevel="0" collapsed="false">
      <c r="A729" s="20" t="n">
        <v>13</v>
      </c>
      <c r="B729" s="210"/>
      <c r="C729" s="162" t="s">
        <v>941</v>
      </c>
      <c r="D729" s="23" t="n">
        <v>5</v>
      </c>
      <c r="E729" s="210"/>
    </row>
    <row r="730" customFormat="false" ht="15" hidden="false" customHeight="false" outlineLevel="0" collapsed="false">
      <c r="A730" s="178" t="n">
        <v>14</v>
      </c>
      <c r="B730" s="211"/>
      <c r="C730" s="212" t="s">
        <v>118</v>
      </c>
      <c r="D730" s="213" t="n">
        <v>5</v>
      </c>
      <c r="E730" s="211"/>
    </row>
    <row r="731" customFormat="false" ht="15" hidden="false" customHeight="false" outlineLevel="0" collapsed="false">
      <c r="A731" s="20" t="n">
        <v>15</v>
      </c>
      <c r="B731" s="210"/>
      <c r="C731" s="162" t="s">
        <v>942</v>
      </c>
      <c r="D731" s="23" t="n">
        <v>3</v>
      </c>
      <c r="E731" s="210"/>
    </row>
    <row r="732" customFormat="false" ht="15" hidden="false" customHeight="false" outlineLevel="0" collapsed="false">
      <c r="A732" s="178" t="n">
        <v>16</v>
      </c>
      <c r="B732" s="211"/>
      <c r="C732" s="212" t="s">
        <v>108</v>
      </c>
      <c r="D732" s="213" t="n">
        <v>2</v>
      </c>
      <c r="E732" s="211"/>
    </row>
    <row r="733" customFormat="false" ht="15" hidden="false" customHeight="false" outlineLevel="0" collapsed="false">
      <c r="A733" s="218" t="s">
        <v>1050</v>
      </c>
      <c r="B733" s="218"/>
      <c r="C733" s="218"/>
      <c r="D733" s="219" t="n">
        <v>1453</v>
      </c>
      <c r="E733" s="220"/>
    </row>
    <row r="735" customFormat="false" ht="37.5" hidden="false" customHeight="true" outlineLevel="0" collapsed="false">
      <c r="A735" s="206" t="s">
        <v>1051</v>
      </c>
      <c r="B735" s="206"/>
      <c r="C735" s="206"/>
      <c r="D735" s="206"/>
      <c r="E735" s="206"/>
    </row>
    <row r="736" customFormat="false" ht="15" hidden="false" customHeight="false" outlineLevel="0" collapsed="false">
      <c r="A736" s="207" t="s">
        <v>1052</v>
      </c>
      <c r="B736" s="207"/>
      <c r="C736" s="207"/>
      <c r="D736" s="207"/>
      <c r="E736" s="207"/>
    </row>
    <row r="737" customFormat="false" ht="14.15" hidden="false" customHeight="false" outlineLevel="0" collapsed="false">
      <c r="A737" s="208" t="s">
        <v>1053</v>
      </c>
      <c r="B737" s="208"/>
      <c r="C737" s="208"/>
      <c r="D737" s="208"/>
      <c r="E737" s="208"/>
    </row>
    <row r="738" customFormat="false" ht="15" hidden="false" customHeight="false" outlineLevel="0" collapsed="false">
      <c r="A738" s="182" t="s">
        <v>46</v>
      </c>
      <c r="B738" s="182"/>
      <c r="C738" s="209" t="s">
        <v>932</v>
      </c>
      <c r="D738" s="209" t="s">
        <v>933</v>
      </c>
      <c r="E738" s="182"/>
    </row>
    <row r="739" customFormat="false" ht="15" hidden="false" customHeight="false" outlineLevel="0" collapsed="false">
      <c r="A739" s="20" t="n">
        <v>1</v>
      </c>
      <c r="B739" s="210"/>
      <c r="C739" s="162" t="s">
        <v>934</v>
      </c>
      <c r="D739" s="23" t="n">
        <v>121</v>
      </c>
      <c r="E739" s="210"/>
    </row>
    <row r="740" customFormat="false" ht="15" hidden="false" customHeight="false" outlineLevel="0" collapsed="false">
      <c r="A740" s="178" t="n">
        <v>2</v>
      </c>
      <c r="B740" s="211"/>
      <c r="C740" s="212" t="s">
        <v>935</v>
      </c>
      <c r="D740" s="213" t="n">
        <v>94</v>
      </c>
      <c r="E740" s="211"/>
    </row>
    <row r="741" customFormat="false" ht="15" hidden="false" customHeight="false" outlineLevel="0" collapsed="false">
      <c r="A741" s="20" t="n">
        <v>3</v>
      </c>
      <c r="B741" s="210"/>
      <c r="C741" s="162" t="s">
        <v>952</v>
      </c>
      <c r="D741" s="23" t="n">
        <v>43</v>
      </c>
      <c r="E741" s="210"/>
    </row>
    <row r="742" customFormat="false" ht="15" hidden="false" customHeight="false" outlineLevel="0" collapsed="false">
      <c r="A742" s="178" t="n">
        <v>4</v>
      </c>
      <c r="B742" s="211"/>
      <c r="C742" s="212" t="s">
        <v>936</v>
      </c>
      <c r="D742" s="213" t="n">
        <v>23</v>
      </c>
      <c r="E742" s="211"/>
    </row>
    <row r="743" customFormat="false" ht="15" hidden="false" customHeight="false" outlineLevel="0" collapsed="false">
      <c r="A743" s="20" t="n">
        <v>5</v>
      </c>
      <c r="B743" s="210"/>
      <c r="C743" s="162" t="s">
        <v>113</v>
      </c>
      <c r="D743" s="23" t="n">
        <v>19</v>
      </c>
      <c r="E743" s="210"/>
    </row>
    <row r="744" customFormat="false" ht="15" hidden="false" customHeight="false" outlineLevel="0" collapsed="false">
      <c r="A744" s="178" t="n">
        <v>6</v>
      </c>
      <c r="B744" s="211"/>
      <c r="C744" s="212" t="s">
        <v>99</v>
      </c>
      <c r="D744" s="213" t="n">
        <v>12</v>
      </c>
      <c r="E744" s="211"/>
    </row>
    <row r="745" customFormat="false" ht="15" hidden="false" customHeight="false" outlineLevel="0" collapsed="false">
      <c r="A745" s="20" t="n">
        <v>7</v>
      </c>
      <c r="B745" s="210"/>
      <c r="C745" s="162" t="s">
        <v>940</v>
      </c>
      <c r="D745" s="23" t="n">
        <v>7</v>
      </c>
      <c r="E745" s="210"/>
    </row>
    <row r="746" customFormat="false" ht="15" hidden="false" customHeight="false" outlineLevel="0" collapsed="false">
      <c r="A746" s="178" t="n">
        <v>8</v>
      </c>
      <c r="B746" s="211"/>
      <c r="C746" s="212" t="s">
        <v>937</v>
      </c>
      <c r="D746" s="213" t="n">
        <v>6</v>
      </c>
      <c r="E746" s="211"/>
    </row>
    <row r="747" customFormat="false" ht="15" hidden="false" customHeight="false" outlineLevel="0" collapsed="false">
      <c r="A747" s="20" t="n">
        <v>9</v>
      </c>
      <c r="B747" s="210"/>
      <c r="C747" s="162" t="s">
        <v>953</v>
      </c>
      <c r="D747" s="23" t="n">
        <v>5</v>
      </c>
      <c r="E747" s="210"/>
    </row>
    <row r="748" customFormat="false" ht="15" hidden="false" customHeight="false" outlineLevel="0" collapsed="false">
      <c r="A748" s="178" t="n">
        <v>10</v>
      </c>
      <c r="B748" s="211"/>
      <c r="C748" s="212" t="s">
        <v>1054</v>
      </c>
      <c r="D748" s="213" t="n">
        <v>5</v>
      </c>
      <c r="E748" s="211"/>
    </row>
    <row r="749" customFormat="false" ht="15" hidden="false" customHeight="false" outlineLevel="0" collapsed="false">
      <c r="A749" s="20" t="n">
        <v>11</v>
      </c>
      <c r="B749" s="210"/>
      <c r="C749" s="162" t="s">
        <v>121</v>
      </c>
      <c r="D749" s="23" t="n">
        <v>3</v>
      </c>
      <c r="E749" s="210"/>
    </row>
    <row r="750" customFormat="false" ht="15" hidden="false" customHeight="false" outlineLevel="0" collapsed="false">
      <c r="A750" s="178" t="n">
        <v>12</v>
      </c>
      <c r="B750" s="211"/>
      <c r="C750" s="212" t="s">
        <v>108</v>
      </c>
      <c r="D750" s="213" t="n">
        <v>3</v>
      </c>
      <c r="E750" s="211"/>
    </row>
    <row r="751" customFormat="false" ht="15" hidden="false" customHeight="false" outlineLevel="0" collapsed="false">
      <c r="A751" s="20" t="n">
        <v>13</v>
      </c>
      <c r="B751" s="210"/>
      <c r="C751" s="162" t="s">
        <v>954</v>
      </c>
      <c r="D751" s="23" t="n">
        <v>1</v>
      </c>
      <c r="E751" s="210"/>
    </row>
    <row r="752" customFormat="false" ht="15" hidden="false" customHeight="false" outlineLevel="0" collapsed="false">
      <c r="A752" s="178" t="n">
        <v>14</v>
      </c>
      <c r="B752" s="211"/>
      <c r="C752" s="212" t="s">
        <v>942</v>
      </c>
      <c r="D752" s="213" t="n">
        <v>1</v>
      </c>
      <c r="E752" s="211"/>
    </row>
    <row r="753" customFormat="false" ht="15" hidden="false" customHeight="false" outlineLevel="0" collapsed="false">
      <c r="A753" s="214" t="s">
        <v>1055</v>
      </c>
      <c r="B753" s="214"/>
      <c r="C753" s="214"/>
      <c r="D753" s="215" t="n">
        <v>343</v>
      </c>
      <c r="E753" s="216"/>
    </row>
    <row r="754" customFormat="false" ht="14.15" hidden="false" customHeight="false" outlineLevel="0" collapsed="false">
      <c r="A754" s="208" t="s">
        <v>1056</v>
      </c>
      <c r="B754" s="208"/>
      <c r="C754" s="208"/>
      <c r="D754" s="208"/>
      <c r="E754" s="208"/>
    </row>
    <row r="755" customFormat="false" ht="15" hidden="false" customHeight="false" outlineLevel="0" collapsed="false">
      <c r="A755" s="182" t="s">
        <v>46</v>
      </c>
      <c r="B755" s="182"/>
      <c r="C755" s="209" t="s">
        <v>932</v>
      </c>
      <c r="D755" s="209" t="s">
        <v>933</v>
      </c>
      <c r="E755" s="182"/>
    </row>
    <row r="756" customFormat="false" ht="15" hidden="false" customHeight="false" outlineLevel="0" collapsed="false">
      <c r="A756" s="20" t="n">
        <v>1</v>
      </c>
      <c r="B756" s="210"/>
      <c r="C756" s="162" t="s">
        <v>952</v>
      </c>
      <c r="D756" s="23" t="n">
        <v>166</v>
      </c>
      <c r="E756" s="210"/>
    </row>
    <row r="757" customFormat="false" ht="15" hidden="false" customHeight="false" outlineLevel="0" collapsed="false">
      <c r="A757" s="178" t="n">
        <v>2</v>
      </c>
      <c r="B757" s="211"/>
      <c r="C757" s="212" t="s">
        <v>113</v>
      </c>
      <c r="D757" s="213" t="n">
        <v>27</v>
      </c>
      <c r="E757" s="211"/>
    </row>
    <row r="758" customFormat="false" ht="15" hidden="false" customHeight="false" outlineLevel="0" collapsed="false">
      <c r="A758" s="20" t="n">
        <v>3</v>
      </c>
      <c r="B758" s="210"/>
      <c r="C758" s="162" t="s">
        <v>99</v>
      </c>
      <c r="D758" s="23" t="n">
        <v>23</v>
      </c>
      <c r="E758" s="210"/>
    </row>
    <row r="759" customFormat="false" ht="15" hidden="false" customHeight="false" outlineLevel="0" collapsed="false">
      <c r="A759" s="178" t="n">
        <v>4</v>
      </c>
      <c r="B759" s="211"/>
      <c r="C759" s="212" t="s">
        <v>953</v>
      </c>
      <c r="D759" s="213" t="n">
        <v>12</v>
      </c>
      <c r="E759" s="211"/>
    </row>
    <row r="760" customFormat="false" ht="15" hidden="false" customHeight="false" outlineLevel="0" collapsed="false">
      <c r="A760" s="20" t="n">
        <v>5</v>
      </c>
      <c r="B760" s="210"/>
      <c r="C760" s="162" t="s">
        <v>957</v>
      </c>
      <c r="D760" s="23" t="n">
        <v>9</v>
      </c>
      <c r="E760" s="210"/>
    </row>
    <row r="761" customFormat="false" ht="15" hidden="false" customHeight="false" outlineLevel="0" collapsed="false">
      <c r="A761" s="178" t="n">
        <v>6</v>
      </c>
      <c r="B761" s="211"/>
      <c r="C761" s="212" t="s">
        <v>954</v>
      </c>
      <c r="D761" s="213" t="n">
        <v>3</v>
      </c>
      <c r="E761" s="211"/>
    </row>
    <row r="762" customFormat="false" ht="15" hidden="false" customHeight="false" outlineLevel="0" collapsed="false">
      <c r="A762" s="20" t="n">
        <v>7</v>
      </c>
      <c r="B762" s="210"/>
      <c r="C762" s="162" t="s">
        <v>121</v>
      </c>
      <c r="D762" s="23" t="n">
        <v>3</v>
      </c>
      <c r="E762" s="210"/>
    </row>
    <row r="763" customFormat="false" ht="15" hidden="false" customHeight="false" outlineLevel="0" collapsed="false">
      <c r="A763" s="214" t="s">
        <v>1057</v>
      </c>
      <c r="B763" s="214"/>
      <c r="C763" s="214"/>
      <c r="D763" s="215" t="n">
        <v>243</v>
      </c>
      <c r="E763" s="216"/>
    </row>
    <row r="764" customFormat="false" ht="14.15" hidden="false" customHeight="false" outlineLevel="0" collapsed="false">
      <c r="A764" s="208" t="s">
        <v>1058</v>
      </c>
      <c r="B764" s="208"/>
      <c r="C764" s="208"/>
      <c r="D764" s="208"/>
      <c r="E764" s="208"/>
    </row>
    <row r="765" customFormat="false" ht="15" hidden="false" customHeight="false" outlineLevel="0" collapsed="false">
      <c r="A765" s="182" t="s">
        <v>46</v>
      </c>
      <c r="B765" s="182"/>
      <c r="C765" s="209" t="s">
        <v>932</v>
      </c>
      <c r="D765" s="209" t="s">
        <v>933</v>
      </c>
      <c r="E765" s="182"/>
    </row>
    <row r="766" customFormat="false" ht="15" hidden="false" customHeight="false" outlineLevel="0" collapsed="false">
      <c r="A766" s="20" t="n">
        <v>1</v>
      </c>
      <c r="B766" s="210"/>
      <c r="C766" s="162" t="s">
        <v>952</v>
      </c>
      <c r="D766" s="23" t="n">
        <v>104</v>
      </c>
      <c r="E766" s="210"/>
    </row>
    <row r="767" customFormat="false" ht="15" hidden="false" customHeight="false" outlineLevel="0" collapsed="false">
      <c r="A767" s="178" t="n">
        <v>2</v>
      </c>
      <c r="B767" s="211"/>
      <c r="C767" s="212" t="s">
        <v>936</v>
      </c>
      <c r="D767" s="213" t="n">
        <v>44</v>
      </c>
      <c r="E767" s="211"/>
    </row>
    <row r="768" customFormat="false" ht="15" hidden="false" customHeight="false" outlineLevel="0" collapsed="false">
      <c r="A768" s="20" t="n">
        <v>3</v>
      </c>
      <c r="B768" s="210"/>
      <c r="C768" s="162" t="s">
        <v>934</v>
      </c>
      <c r="D768" s="23" t="n">
        <v>40</v>
      </c>
      <c r="E768" s="210"/>
    </row>
    <row r="769" customFormat="false" ht="15" hidden="false" customHeight="false" outlineLevel="0" collapsed="false">
      <c r="A769" s="178" t="n">
        <v>4</v>
      </c>
      <c r="B769" s="211"/>
      <c r="C769" s="212" t="s">
        <v>113</v>
      </c>
      <c r="D769" s="213" t="n">
        <v>36</v>
      </c>
      <c r="E769" s="211"/>
    </row>
    <row r="770" customFormat="false" ht="15" hidden="false" customHeight="false" outlineLevel="0" collapsed="false">
      <c r="A770" s="20" t="n">
        <v>5</v>
      </c>
      <c r="B770" s="210"/>
      <c r="C770" s="162" t="s">
        <v>99</v>
      </c>
      <c r="D770" s="23" t="n">
        <v>19</v>
      </c>
      <c r="E770" s="210"/>
    </row>
    <row r="771" customFormat="false" ht="15" hidden="false" customHeight="false" outlineLevel="0" collapsed="false">
      <c r="A771" s="178" t="n">
        <v>6</v>
      </c>
      <c r="B771" s="211"/>
      <c r="C771" s="212" t="s">
        <v>937</v>
      </c>
      <c r="D771" s="213" t="n">
        <v>11</v>
      </c>
      <c r="E771" s="211"/>
    </row>
    <row r="772" customFormat="false" ht="15" hidden="false" customHeight="false" outlineLevel="0" collapsed="false">
      <c r="A772" s="20" t="n">
        <v>7</v>
      </c>
      <c r="B772" s="210"/>
      <c r="C772" s="162" t="s">
        <v>1054</v>
      </c>
      <c r="D772" s="23" t="n">
        <v>10</v>
      </c>
      <c r="E772" s="210"/>
    </row>
    <row r="773" customFormat="false" ht="15" hidden="false" customHeight="false" outlineLevel="0" collapsed="false">
      <c r="A773" s="178" t="n">
        <v>8</v>
      </c>
      <c r="B773" s="211"/>
      <c r="C773" s="212" t="s">
        <v>953</v>
      </c>
      <c r="D773" s="213" t="n">
        <v>7</v>
      </c>
      <c r="E773" s="211"/>
    </row>
    <row r="774" customFormat="false" ht="15" hidden="false" customHeight="false" outlineLevel="0" collapsed="false">
      <c r="A774" s="20" t="n">
        <v>9</v>
      </c>
      <c r="B774" s="210"/>
      <c r="C774" s="162" t="s">
        <v>957</v>
      </c>
      <c r="D774" s="23" t="n">
        <v>7</v>
      </c>
      <c r="E774" s="210"/>
    </row>
    <row r="775" customFormat="false" ht="15" hidden="false" customHeight="false" outlineLevel="0" collapsed="false">
      <c r="A775" s="178" t="n">
        <v>10</v>
      </c>
      <c r="B775" s="211"/>
      <c r="C775" s="212" t="s">
        <v>938</v>
      </c>
      <c r="D775" s="213" t="n">
        <v>4</v>
      </c>
      <c r="E775" s="211"/>
    </row>
    <row r="776" customFormat="false" ht="15" hidden="false" customHeight="false" outlineLevel="0" collapsed="false">
      <c r="A776" s="20" t="n">
        <v>11</v>
      </c>
      <c r="B776" s="210"/>
      <c r="C776" s="162" t="s">
        <v>940</v>
      </c>
      <c r="D776" s="23" t="n">
        <v>4</v>
      </c>
      <c r="E776" s="210"/>
    </row>
    <row r="777" customFormat="false" ht="15" hidden="false" customHeight="false" outlineLevel="0" collapsed="false">
      <c r="A777" s="178" t="n">
        <v>12</v>
      </c>
      <c r="B777" s="211"/>
      <c r="C777" s="212" t="s">
        <v>954</v>
      </c>
      <c r="D777" s="213" t="n">
        <v>2</v>
      </c>
      <c r="E777" s="211"/>
    </row>
    <row r="778" customFormat="false" ht="15" hidden="false" customHeight="false" outlineLevel="0" collapsed="false">
      <c r="A778" s="20" t="n">
        <v>13</v>
      </c>
      <c r="B778" s="210"/>
      <c r="C778" s="162" t="s">
        <v>121</v>
      </c>
      <c r="D778" s="23" t="n">
        <v>2</v>
      </c>
      <c r="E778" s="210"/>
    </row>
    <row r="779" customFormat="false" ht="15" hidden="false" customHeight="false" outlineLevel="0" collapsed="false">
      <c r="A779" s="178" t="n">
        <v>14</v>
      </c>
      <c r="B779" s="211"/>
      <c r="C779" s="212" t="s">
        <v>941</v>
      </c>
      <c r="D779" s="213" t="n">
        <v>2</v>
      </c>
      <c r="E779" s="211"/>
    </row>
    <row r="780" customFormat="false" ht="15" hidden="false" customHeight="false" outlineLevel="0" collapsed="false">
      <c r="A780" s="214" t="s">
        <v>1059</v>
      </c>
      <c r="B780" s="214"/>
      <c r="C780" s="214"/>
      <c r="D780" s="215" t="n">
        <v>292</v>
      </c>
      <c r="E780" s="216"/>
    </row>
    <row r="781" customFormat="false" ht="14.15" hidden="false" customHeight="false" outlineLevel="0" collapsed="false">
      <c r="A781" s="208" t="s">
        <v>1060</v>
      </c>
      <c r="B781" s="208"/>
      <c r="C781" s="208"/>
      <c r="D781" s="208"/>
      <c r="E781" s="208"/>
    </row>
    <row r="782" customFormat="false" ht="15" hidden="false" customHeight="false" outlineLevel="0" collapsed="false">
      <c r="A782" s="182" t="s">
        <v>46</v>
      </c>
      <c r="B782" s="182"/>
      <c r="C782" s="209" t="s">
        <v>932</v>
      </c>
      <c r="D782" s="209" t="s">
        <v>933</v>
      </c>
      <c r="E782" s="182"/>
    </row>
    <row r="783" customFormat="false" ht="15" hidden="false" customHeight="false" outlineLevel="0" collapsed="false">
      <c r="A783" s="20" t="n">
        <v>1</v>
      </c>
      <c r="B783" s="210"/>
      <c r="C783" s="162" t="s">
        <v>934</v>
      </c>
      <c r="D783" s="23" t="n">
        <v>40</v>
      </c>
      <c r="E783" s="210"/>
    </row>
    <row r="784" customFormat="false" ht="15" hidden="false" customHeight="false" outlineLevel="0" collapsed="false">
      <c r="A784" s="178" t="n">
        <v>2</v>
      </c>
      <c r="B784" s="211"/>
      <c r="C784" s="212" t="s">
        <v>952</v>
      </c>
      <c r="D784" s="213" t="n">
        <v>26</v>
      </c>
      <c r="E784" s="211"/>
    </row>
    <row r="785" customFormat="false" ht="15" hidden="false" customHeight="false" outlineLevel="0" collapsed="false">
      <c r="A785" s="20" t="n">
        <v>3</v>
      </c>
      <c r="B785" s="210"/>
      <c r="C785" s="162" t="s">
        <v>1061</v>
      </c>
      <c r="D785" s="23" t="n">
        <v>23</v>
      </c>
      <c r="E785" s="210"/>
    </row>
    <row r="786" customFormat="false" ht="15" hidden="false" customHeight="false" outlineLevel="0" collapsed="false">
      <c r="A786" s="178" t="n">
        <v>4</v>
      </c>
      <c r="B786" s="211"/>
      <c r="C786" s="212" t="s">
        <v>936</v>
      </c>
      <c r="D786" s="213" t="n">
        <v>21</v>
      </c>
      <c r="E786" s="211"/>
    </row>
    <row r="787" customFormat="false" ht="15" hidden="false" customHeight="false" outlineLevel="0" collapsed="false">
      <c r="A787" s="20" t="n">
        <v>5</v>
      </c>
      <c r="B787" s="210"/>
      <c r="C787" s="162" t="s">
        <v>113</v>
      </c>
      <c r="D787" s="23" t="n">
        <v>19</v>
      </c>
      <c r="E787" s="210"/>
    </row>
    <row r="788" customFormat="false" ht="15" hidden="false" customHeight="false" outlineLevel="0" collapsed="false">
      <c r="A788" s="178" t="n">
        <v>6</v>
      </c>
      <c r="B788" s="211"/>
      <c r="C788" s="212" t="s">
        <v>937</v>
      </c>
      <c r="D788" s="213" t="n">
        <v>11</v>
      </c>
      <c r="E788" s="211"/>
    </row>
    <row r="789" customFormat="false" ht="15" hidden="false" customHeight="false" outlineLevel="0" collapsed="false">
      <c r="A789" s="20" t="n">
        <v>7</v>
      </c>
      <c r="B789" s="210"/>
      <c r="C789" s="162" t="s">
        <v>1054</v>
      </c>
      <c r="D789" s="23" t="n">
        <v>5</v>
      </c>
      <c r="E789" s="210"/>
    </row>
    <row r="790" customFormat="false" ht="15" hidden="false" customHeight="false" outlineLevel="0" collapsed="false">
      <c r="A790" s="178" t="n">
        <v>8</v>
      </c>
      <c r="B790" s="211"/>
      <c r="C790" s="212" t="s">
        <v>939</v>
      </c>
      <c r="D790" s="213" t="n">
        <v>5</v>
      </c>
      <c r="E790" s="211"/>
    </row>
    <row r="791" customFormat="false" ht="15" hidden="false" customHeight="false" outlineLevel="0" collapsed="false">
      <c r="A791" s="20" t="n">
        <v>9</v>
      </c>
      <c r="B791" s="210"/>
      <c r="C791" s="162" t="s">
        <v>938</v>
      </c>
      <c r="D791" s="23" t="n">
        <v>4</v>
      </c>
      <c r="E791" s="210"/>
    </row>
    <row r="792" customFormat="false" ht="15" hidden="false" customHeight="false" outlineLevel="0" collapsed="false">
      <c r="A792" s="178" t="n">
        <v>10</v>
      </c>
      <c r="B792" s="211"/>
      <c r="C792" s="212" t="s">
        <v>940</v>
      </c>
      <c r="D792" s="213" t="n">
        <v>4</v>
      </c>
      <c r="E792" s="211"/>
    </row>
    <row r="793" customFormat="false" ht="15" hidden="false" customHeight="false" outlineLevel="0" collapsed="false">
      <c r="A793" s="20" t="n">
        <v>11</v>
      </c>
      <c r="B793" s="210"/>
      <c r="C793" s="162" t="s">
        <v>99</v>
      </c>
      <c r="D793" s="23" t="n">
        <v>4</v>
      </c>
      <c r="E793" s="210"/>
    </row>
    <row r="794" customFormat="false" ht="15" hidden="false" customHeight="false" outlineLevel="0" collapsed="false">
      <c r="A794" s="178" t="n">
        <v>12</v>
      </c>
      <c r="B794" s="211"/>
      <c r="C794" s="212" t="s">
        <v>941</v>
      </c>
      <c r="D794" s="213" t="n">
        <v>2</v>
      </c>
      <c r="E794" s="211"/>
    </row>
    <row r="795" customFormat="false" ht="15" hidden="false" customHeight="false" outlineLevel="0" collapsed="false">
      <c r="A795" s="214" t="s">
        <v>1062</v>
      </c>
      <c r="B795" s="214"/>
      <c r="C795" s="214"/>
      <c r="D795" s="215" t="n">
        <v>164</v>
      </c>
      <c r="E795" s="216"/>
    </row>
    <row r="796" customFormat="false" ht="14.15" hidden="false" customHeight="false" outlineLevel="0" collapsed="false">
      <c r="A796" s="208" t="s">
        <v>1063</v>
      </c>
      <c r="B796" s="208"/>
      <c r="C796" s="208"/>
      <c r="D796" s="208"/>
      <c r="E796" s="208"/>
    </row>
    <row r="797" customFormat="false" ht="15" hidden="false" customHeight="false" outlineLevel="0" collapsed="false">
      <c r="A797" s="182" t="s">
        <v>46</v>
      </c>
      <c r="B797" s="182"/>
      <c r="C797" s="209" t="s">
        <v>932</v>
      </c>
      <c r="D797" s="209" t="s">
        <v>933</v>
      </c>
      <c r="E797" s="182"/>
    </row>
    <row r="798" customFormat="false" ht="15" hidden="false" customHeight="false" outlineLevel="0" collapsed="false">
      <c r="A798" s="20" t="n">
        <v>1</v>
      </c>
      <c r="B798" s="210"/>
      <c r="C798" s="162" t="s">
        <v>936</v>
      </c>
      <c r="D798" s="23" t="n">
        <v>44</v>
      </c>
      <c r="E798" s="210"/>
    </row>
    <row r="799" customFormat="false" ht="15" hidden="false" customHeight="false" outlineLevel="0" collapsed="false">
      <c r="A799" s="178" t="n">
        <v>2</v>
      </c>
      <c r="B799" s="211"/>
      <c r="C799" s="212" t="s">
        <v>934</v>
      </c>
      <c r="D799" s="213" t="n">
        <v>40</v>
      </c>
      <c r="E799" s="211"/>
    </row>
    <row r="800" customFormat="false" ht="15" hidden="false" customHeight="false" outlineLevel="0" collapsed="false">
      <c r="A800" s="20" t="n">
        <v>3</v>
      </c>
      <c r="B800" s="210"/>
      <c r="C800" s="162" t="s">
        <v>113</v>
      </c>
      <c r="D800" s="23" t="n">
        <v>19</v>
      </c>
      <c r="E800" s="210"/>
    </row>
    <row r="801" customFormat="false" ht="15" hidden="false" customHeight="false" outlineLevel="0" collapsed="false">
      <c r="A801" s="178" t="n">
        <v>4</v>
      </c>
      <c r="B801" s="211"/>
      <c r="C801" s="212" t="s">
        <v>937</v>
      </c>
      <c r="D801" s="213" t="n">
        <v>11</v>
      </c>
      <c r="E801" s="211"/>
    </row>
    <row r="802" customFormat="false" ht="15" hidden="false" customHeight="false" outlineLevel="0" collapsed="false">
      <c r="A802" s="20" t="n">
        <v>5</v>
      </c>
      <c r="B802" s="210"/>
      <c r="C802" s="162" t="s">
        <v>1054</v>
      </c>
      <c r="D802" s="23" t="n">
        <v>10</v>
      </c>
      <c r="E802" s="210"/>
    </row>
    <row r="803" customFormat="false" ht="15" hidden="false" customHeight="false" outlineLevel="0" collapsed="false">
      <c r="A803" s="178" t="n">
        <v>6</v>
      </c>
      <c r="B803" s="211"/>
      <c r="C803" s="212" t="s">
        <v>938</v>
      </c>
      <c r="D803" s="213" t="n">
        <v>4</v>
      </c>
      <c r="E803" s="211"/>
    </row>
    <row r="804" customFormat="false" ht="15" hidden="false" customHeight="false" outlineLevel="0" collapsed="false">
      <c r="A804" s="20" t="n">
        <v>7</v>
      </c>
      <c r="B804" s="210"/>
      <c r="C804" s="162" t="s">
        <v>940</v>
      </c>
      <c r="D804" s="23" t="n">
        <v>4</v>
      </c>
      <c r="E804" s="210"/>
    </row>
    <row r="805" customFormat="false" ht="15" hidden="false" customHeight="false" outlineLevel="0" collapsed="false">
      <c r="A805" s="178" t="n">
        <v>8</v>
      </c>
      <c r="B805" s="211"/>
      <c r="C805" s="212" t="s">
        <v>99</v>
      </c>
      <c r="D805" s="213" t="n">
        <v>4</v>
      </c>
      <c r="E805" s="211"/>
    </row>
    <row r="806" customFormat="false" ht="15" hidden="false" customHeight="false" outlineLevel="0" collapsed="false">
      <c r="A806" s="20" t="n">
        <v>9</v>
      </c>
      <c r="B806" s="210"/>
      <c r="C806" s="162" t="s">
        <v>941</v>
      </c>
      <c r="D806" s="23" t="n">
        <v>2</v>
      </c>
      <c r="E806" s="210"/>
    </row>
    <row r="807" customFormat="false" ht="15" hidden="false" customHeight="false" outlineLevel="0" collapsed="false">
      <c r="A807" s="214" t="s">
        <v>1064</v>
      </c>
      <c r="B807" s="214"/>
      <c r="C807" s="214"/>
      <c r="D807" s="215" t="n">
        <v>138</v>
      </c>
      <c r="E807" s="216"/>
    </row>
    <row r="809" customFormat="false" ht="15" hidden="false" customHeight="false" outlineLevel="0" collapsed="false">
      <c r="A809" s="217" t="s">
        <v>944</v>
      </c>
      <c r="B809" s="217"/>
      <c r="C809" s="217"/>
      <c r="D809" s="217"/>
      <c r="E809" s="217"/>
    </row>
    <row r="810" customFormat="false" ht="15" hidden="false" customHeight="false" outlineLevel="0" collapsed="false">
      <c r="A810" s="182" t="s">
        <v>46</v>
      </c>
      <c r="B810" s="182"/>
      <c r="C810" s="209" t="s">
        <v>932</v>
      </c>
      <c r="D810" s="209" t="s">
        <v>945</v>
      </c>
      <c r="E810" s="182"/>
    </row>
    <row r="811" customFormat="false" ht="15" hidden="false" customHeight="false" outlineLevel="0" collapsed="false">
      <c r="A811" s="20" t="n">
        <v>1</v>
      </c>
      <c r="B811" s="210"/>
      <c r="C811" s="162" t="s">
        <v>952</v>
      </c>
      <c r="D811" s="23" t="n">
        <v>339</v>
      </c>
      <c r="E811" s="210"/>
    </row>
    <row r="812" customFormat="false" ht="15" hidden="false" customHeight="false" outlineLevel="0" collapsed="false">
      <c r="A812" s="178" t="n">
        <v>2</v>
      </c>
      <c r="B812" s="211"/>
      <c r="C812" s="212" t="s">
        <v>934</v>
      </c>
      <c r="D812" s="213" t="n">
        <v>241</v>
      </c>
      <c r="E812" s="211"/>
    </row>
    <row r="813" customFormat="false" ht="15" hidden="false" customHeight="false" outlineLevel="0" collapsed="false">
      <c r="A813" s="20" t="n">
        <v>3</v>
      </c>
      <c r="B813" s="210"/>
      <c r="C813" s="162" t="s">
        <v>936</v>
      </c>
      <c r="D813" s="23" t="n">
        <v>132</v>
      </c>
      <c r="E813" s="210"/>
    </row>
    <row r="814" customFormat="false" ht="15" hidden="false" customHeight="false" outlineLevel="0" collapsed="false">
      <c r="A814" s="178" t="n">
        <v>4</v>
      </c>
      <c r="B814" s="211"/>
      <c r="C814" s="212" t="s">
        <v>113</v>
      </c>
      <c r="D814" s="213" t="n">
        <v>120</v>
      </c>
      <c r="E814" s="211"/>
    </row>
    <row r="815" customFormat="false" ht="15" hidden="false" customHeight="false" outlineLevel="0" collapsed="false">
      <c r="A815" s="20" t="n">
        <v>5</v>
      </c>
      <c r="B815" s="210"/>
      <c r="C815" s="162" t="s">
        <v>935</v>
      </c>
      <c r="D815" s="23" t="n">
        <v>94</v>
      </c>
      <c r="E815" s="210"/>
    </row>
    <row r="816" customFormat="false" ht="15" hidden="false" customHeight="false" outlineLevel="0" collapsed="false">
      <c r="A816" s="178" t="n">
        <v>6</v>
      </c>
      <c r="B816" s="211"/>
      <c r="C816" s="212" t="s">
        <v>99</v>
      </c>
      <c r="D816" s="213" t="n">
        <v>62</v>
      </c>
      <c r="E816" s="211"/>
    </row>
    <row r="817" customFormat="false" ht="15" hidden="false" customHeight="false" outlineLevel="0" collapsed="false">
      <c r="A817" s="20" t="n">
        <v>7</v>
      </c>
      <c r="B817" s="210"/>
      <c r="C817" s="162" t="s">
        <v>937</v>
      </c>
      <c r="D817" s="23" t="n">
        <v>39</v>
      </c>
      <c r="E817" s="210"/>
    </row>
    <row r="818" customFormat="false" ht="15" hidden="false" customHeight="false" outlineLevel="0" collapsed="false">
      <c r="A818" s="178" t="n">
        <v>8</v>
      </c>
      <c r="B818" s="211"/>
      <c r="C818" s="212" t="s">
        <v>1054</v>
      </c>
      <c r="D818" s="213" t="n">
        <v>30</v>
      </c>
      <c r="E818" s="211"/>
    </row>
    <row r="819" customFormat="false" ht="15" hidden="false" customHeight="false" outlineLevel="0" collapsed="false">
      <c r="A819" s="20" t="n">
        <v>9</v>
      </c>
      <c r="B819" s="210"/>
      <c r="C819" s="162" t="s">
        <v>953</v>
      </c>
      <c r="D819" s="23" t="n">
        <v>24</v>
      </c>
      <c r="E819" s="210"/>
    </row>
    <row r="820" customFormat="false" ht="15" hidden="false" customHeight="false" outlineLevel="0" collapsed="false">
      <c r="A820" s="178" t="n">
        <v>10</v>
      </c>
      <c r="B820" s="211"/>
      <c r="C820" s="212" t="s">
        <v>1061</v>
      </c>
      <c r="D820" s="213" t="n">
        <v>23</v>
      </c>
      <c r="E820" s="211"/>
    </row>
    <row r="821" customFormat="false" ht="15" hidden="false" customHeight="false" outlineLevel="0" collapsed="false">
      <c r="A821" s="20" t="n">
        <v>11</v>
      </c>
      <c r="B821" s="210"/>
      <c r="C821" s="162" t="s">
        <v>940</v>
      </c>
      <c r="D821" s="23" t="n">
        <v>19</v>
      </c>
      <c r="E821" s="210"/>
    </row>
    <row r="822" customFormat="false" ht="15" hidden="false" customHeight="false" outlineLevel="0" collapsed="false">
      <c r="A822" s="178" t="n">
        <v>12</v>
      </c>
      <c r="B822" s="211"/>
      <c r="C822" s="212" t="s">
        <v>957</v>
      </c>
      <c r="D822" s="213" t="n">
        <v>16</v>
      </c>
      <c r="E822" s="211"/>
    </row>
    <row r="823" customFormat="false" ht="15" hidden="false" customHeight="false" outlineLevel="0" collapsed="false">
      <c r="A823" s="20" t="n">
        <v>13</v>
      </c>
      <c r="B823" s="210"/>
      <c r="C823" s="162" t="s">
        <v>938</v>
      </c>
      <c r="D823" s="23" t="n">
        <v>12</v>
      </c>
      <c r="E823" s="210"/>
    </row>
    <row r="824" customFormat="false" ht="15" hidden="false" customHeight="false" outlineLevel="0" collapsed="false">
      <c r="A824" s="178" t="n">
        <v>14</v>
      </c>
      <c r="B824" s="211"/>
      <c r="C824" s="212" t="s">
        <v>121</v>
      </c>
      <c r="D824" s="213" t="n">
        <v>8</v>
      </c>
      <c r="E824" s="211"/>
    </row>
    <row r="825" customFormat="false" ht="15" hidden="false" customHeight="false" outlineLevel="0" collapsed="false">
      <c r="A825" s="20" t="n">
        <v>15</v>
      </c>
      <c r="B825" s="210"/>
      <c r="C825" s="162" t="s">
        <v>954</v>
      </c>
      <c r="D825" s="23" t="n">
        <v>6</v>
      </c>
      <c r="E825" s="210"/>
    </row>
    <row r="826" customFormat="false" ht="15" hidden="false" customHeight="false" outlineLevel="0" collapsed="false">
      <c r="A826" s="178" t="n">
        <v>16</v>
      </c>
      <c r="B826" s="211"/>
      <c r="C826" s="212" t="s">
        <v>941</v>
      </c>
      <c r="D826" s="213" t="n">
        <v>6</v>
      </c>
      <c r="E826" s="211"/>
    </row>
    <row r="827" customFormat="false" ht="15" hidden="false" customHeight="false" outlineLevel="0" collapsed="false">
      <c r="A827" s="20" t="n">
        <v>17</v>
      </c>
      <c r="B827" s="210"/>
      <c r="C827" s="162" t="s">
        <v>939</v>
      </c>
      <c r="D827" s="23" t="n">
        <v>5</v>
      </c>
      <c r="E827" s="210"/>
    </row>
    <row r="828" customFormat="false" ht="15" hidden="false" customHeight="false" outlineLevel="0" collapsed="false">
      <c r="A828" s="178" t="n">
        <v>18</v>
      </c>
      <c r="B828" s="211"/>
      <c r="C828" s="212" t="s">
        <v>108</v>
      </c>
      <c r="D828" s="213" t="n">
        <v>3</v>
      </c>
      <c r="E828" s="211"/>
    </row>
    <row r="829" customFormat="false" ht="15" hidden="false" customHeight="false" outlineLevel="0" collapsed="false">
      <c r="A829" s="20" t="n">
        <v>19</v>
      </c>
      <c r="B829" s="210"/>
      <c r="C829" s="162" t="s">
        <v>942</v>
      </c>
      <c r="D829" s="23" t="n">
        <v>1</v>
      </c>
      <c r="E829" s="210"/>
    </row>
    <row r="830" customFormat="false" ht="15" hidden="false" customHeight="false" outlineLevel="0" collapsed="false">
      <c r="A830" s="218" t="s">
        <v>1065</v>
      </c>
      <c r="B830" s="218"/>
      <c r="C830" s="218"/>
      <c r="D830" s="219" t="n">
        <v>1180</v>
      </c>
      <c r="E830" s="220"/>
    </row>
    <row r="832" customFormat="false" ht="37.5" hidden="false" customHeight="true" outlineLevel="0" collapsed="false">
      <c r="A832" s="206" t="s">
        <v>1066</v>
      </c>
      <c r="B832" s="206"/>
      <c r="C832" s="206"/>
      <c r="D832" s="206"/>
      <c r="E832" s="206"/>
    </row>
    <row r="833" customFormat="false" ht="15" hidden="false" customHeight="false" outlineLevel="0" collapsed="false">
      <c r="A833" s="207" t="s">
        <v>1067</v>
      </c>
      <c r="B833" s="207"/>
      <c r="C833" s="207"/>
      <c r="D833" s="207"/>
      <c r="E833" s="207"/>
    </row>
    <row r="834" customFormat="false" ht="14.15" hidden="false" customHeight="false" outlineLevel="0" collapsed="false">
      <c r="A834" s="208" t="s">
        <v>1068</v>
      </c>
      <c r="B834" s="208"/>
      <c r="C834" s="208"/>
      <c r="D834" s="208"/>
      <c r="E834" s="208"/>
    </row>
    <row r="835" customFormat="false" ht="15" hidden="false" customHeight="false" outlineLevel="0" collapsed="false">
      <c r="A835" s="182" t="s">
        <v>46</v>
      </c>
      <c r="B835" s="182"/>
      <c r="C835" s="209" t="s">
        <v>932</v>
      </c>
      <c r="D835" s="209" t="s">
        <v>933</v>
      </c>
      <c r="E835" s="182"/>
    </row>
    <row r="836" customFormat="false" ht="15" hidden="false" customHeight="false" outlineLevel="0" collapsed="false">
      <c r="A836" s="20" t="n">
        <v>1</v>
      </c>
      <c r="B836" s="210"/>
      <c r="C836" s="162" t="s">
        <v>952</v>
      </c>
      <c r="D836" s="23" t="n">
        <v>124</v>
      </c>
      <c r="E836" s="210"/>
    </row>
    <row r="837" customFormat="false" ht="15" hidden="false" customHeight="false" outlineLevel="0" collapsed="false">
      <c r="A837" s="178" t="n">
        <v>2</v>
      </c>
      <c r="B837" s="211"/>
      <c r="C837" s="212" t="s">
        <v>113</v>
      </c>
      <c r="D837" s="213" t="n">
        <v>27</v>
      </c>
      <c r="E837" s="211"/>
    </row>
    <row r="838" customFormat="false" ht="15" hidden="false" customHeight="false" outlineLevel="0" collapsed="false">
      <c r="A838" s="20" t="n">
        <v>3</v>
      </c>
      <c r="B838" s="210"/>
      <c r="C838" s="162" t="s">
        <v>99</v>
      </c>
      <c r="D838" s="23" t="n">
        <v>21</v>
      </c>
      <c r="E838" s="210"/>
    </row>
    <row r="839" customFormat="false" ht="15" hidden="false" customHeight="false" outlineLevel="0" collapsed="false">
      <c r="A839" s="178" t="n">
        <v>4</v>
      </c>
      <c r="B839" s="211"/>
      <c r="C839" s="212" t="s">
        <v>934</v>
      </c>
      <c r="D839" s="213" t="n">
        <v>20</v>
      </c>
      <c r="E839" s="211"/>
    </row>
    <row r="840" customFormat="false" ht="15" hidden="false" customHeight="false" outlineLevel="0" collapsed="false">
      <c r="A840" s="20" t="n">
        <v>5</v>
      </c>
      <c r="B840" s="210"/>
      <c r="C840" s="162" t="s">
        <v>953</v>
      </c>
      <c r="D840" s="23" t="n">
        <v>9</v>
      </c>
      <c r="E840" s="210"/>
    </row>
    <row r="841" customFormat="false" ht="15" hidden="false" customHeight="false" outlineLevel="0" collapsed="false">
      <c r="A841" s="178" t="n">
        <v>6</v>
      </c>
      <c r="B841" s="211"/>
      <c r="C841" s="212" t="s">
        <v>957</v>
      </c>
      <c r="D841" s="213" t="n">
        <v>7</v>
      </c>
      <c r="E841" s="211"/>
    </row>
    <row r="842" customFormat="false" ht="15" hidden="false" customHeight="false" outlineLevel="0" collapsed="false">
      <c r="A842" s="20" t="n">
        <v>7</v>
      </c>
      <c r="B842" s="210"/>
      <c r="C842" s="162" t="s">
        <v>954</v>
      </c>
      <c r="D842" s="23" t="n">
        <v>2</v>
      </c>
      <c r="E842" s="210"/>
    </row>
    <row r="843" customFormat="false" ht="15" hidden="false" customHeight="false" outlineLevel="0" collapsed="false">
      <c r="A843" s="178" t="n">
        <v>8</v>
      </c>
      <c r="B843" s="211"/>
      <c r="C843" s="212" t="s">
        <v>121</v>
      </c>
      <c r="D843" s="213" t="n">
        <v>2</v>
      </c>
      <c r="E843" s="211"/>
    </row>
    <row r="844" customFormat="false" ht="15" hidden="false" customHeight="false" outlineLevel="0" collapsed="false">
      <c r="A844" s="20" t="n">
        <v>9</v>
      </c>
      <c r="B844" s="210"/>
      <c r="C844" s="162" t="s">
        <v>93</v>
      </c>
      <c r="D844" s="23" t="n">
        <v>2</v>
      </c>
      <c r="E844" s="210"/>
    </row>
    <row r="845" customFormat="false" ht="15" hidden="false" customHeight="false" outlineLevel="0" collapsed="false">
      <c r="A845" s="178" t="n">
        <v>10</v>
      </c>
      <c r="B845" s="211"/>
      <c r="C845" s="212" t="s">
        <v>80</v>
      </c>
      <c r="D845" s="213" t="n">
        <v>1</v>
      </c>
      <c r="E845" s="211"/>
    </row>
    <row r="846" customFormat="false" ht="15" hidden="false" customHeight="false" outlineLevel="0" collapsed="false">
      <c r="A846" s="214" t="s">
        <v>1069</v>
      </c>
      <c r="B846" s="214"/>
      <c r="C846" s="214"/>
      <c r="D846" s="215" t="n">
        <v>215</v>
      </c>
      <c r="E846" s="216"/>
    </row>
    <row r="847" customFormat="false" ht="14.15" hidden="false" customHeight="false" outlineLevel="0" collapsed="false">
      <c r="A847" s="208" t="s">
        <v>1070</v>
      </c>
      <c r="B847" s="208"/>
      <c r="C847" s="208"/>
      <c r="D847" s="208"/>
      <c r="E847" s="208"/>
    </row>
    <row r="848" customFormat="false" ht="15" hidden="false" customHeight="false" outlineLevel="0" collapsed="false">
      <c r="A848" s="182" t="s">
        <v>46</v>
      </c>
      <c r="B848" s="182"/>
      <c r="C848" s="209" t="s">
        <v>932</v>
      </c>
      <c r="D848" s="209" t="s">
        <v>933</v>
      </c>
      <c r="E848" s="182"/>
    </row>
    <row r="849" customFormat="false" ht="15" hidden="false" customHeight="false" outlineLevel="0" collapsed="false">
      <c r="A849" s="20" t="n">
        <v>1</v>
      </c>
      <c r="B849" s="210"/>
      <c r="C849" s="162" t="s">
        <v>934</v>
      </c>
      <c r="D849" s="23" t="n">
        <v>141</v>
      </c>
      <c r="E849" s="210"/>
    </row>
    <row r="850" customFormat="false" ht="15" hidden="false" customHeight="false" outlineLevel="0" collapsed="false">
      <c r="A850" s="178" t="n">
        <v>2</v>
      </c>
      <c r="B850" s="211"/>
      <c r="C850" s="212" t="s">
        <v>113</v>
      </c>
      <c r="D850" s="213" t="n">
        <v>77</v>
      </c>
      <c r="E850" s="211"/>
    </row>
    <row r="851" customFormat="false" ht="15" hidden="false" customHeight="false" outlineLevel="0" collapsed="false">
      <c r="A851" s="20" t="n">
        <v>3</v>
      </c>
      <c r="B851" s="210"/>
      <c r="C851" s="162" t="s">
        <v>936</v>
      </c>
      <c r="D851" s="23" t="n">
        <v>56</v>
      </c>
      <c r="E851" s="210"/>
    </row>
    <row r="852" customFormat="false" ht="15" hidden="false" customHeight="false" outlineLevel="0" collapsed="false">
      <c r="A852" s="178" t="n">
        <v>4</v>
      </c>
      <c r="B852" s="211"/>
      <c r="C852" s="212" t="s">
        <v>937</v>
      </c>
      <c r="D852" s="213" t="n">
        <v>22</v>
      </c>
      <c r="E852" s="211"/>
    </row>
    <row r="853" customFormat="false" ht="15" hidden="false" customHeight="false" outlineLevel="0" collapsed="false">
      <c r="A853" s="20" t="n">
        <v>5</v>
      </c>
      <c r="B853" s="210"/>
      <c r="C853" s="162" t="s">
        <v>940</v>
      </c>
      <c r="D853" s="23" t="n">
        <v>12</v>
      </c>
      <c r="E853" s="210"/>
    </row>
    <row r="854" customFormat="false" ht="15" hidden="false" customHeight="false" outlineLevel="0" collapsed="false">
      <c r="A854" s="178" t="n">
        <v>6</v>
      </c>
      <c r="B854" s="211"/>
      <c r="C854" s="212" t="s">
        <v>99</v>
      </c>
      <c r="D854" s="213" t="n">
        <v>12</v>
      </c>
      <c r="E854" s="211"/>
    </row>
    <row r="855" customFormat="false" ht="15" hidden="false" customHeight="false" outlineLevel="0" collapsed="false">
      <c r="A855" s="20" t="n">
        <v>7</v>
      </c>
      <c r="B855" s="210"/>
      <c r="C855" s="162" t="s">
        <v>939</v>
      </c>
      <c r="D855" s="23" t="n">
        <v>8</v>
      </c>
      <c r="E855" s="210"/>
    </row>
    <row r="856" customFormat="false" ht="15" hidden="false" customHeight="false" outlineLevel="0" collapsed="false">
      <c r="A856" s="178" t="n">
        <v>8</v>
      </c>
      <c r="B856" s="211"/>
      <c r="C856" s="212" t="s">
        <v>938</v>
      </c>
      <c r="D856" s="213" t="n">
        <v>7</v>
      </c>
      <c r="E856" s="211"/>
    </row>
    <row r="857" customFormat="false" ht="15" hidden="false" customHeight="false" outlineLevel="0" collapsed="false">
      <c r="A857" s="20" t="n">
        <v>9</v>
      </c>
      <c r="B857" s="210"/>
      <c r="C857" s="162" t="s">
        <v>1054</v>
      </c>
      <c r="D857" s="23" t="n">
        <v>5</v>
      </c>
      <c r="E857" s="210"/>
    </row>
    <row r="858" customFormat="false" ht="15" hidden="false" customHeight="false" outlineLevel="0" collapsed="false">
      <c r="A858" s="178" t="n">
        <v>10</v>
      </c>
      <c r="B858" s="211"/>
      <c r="C858" s="212" t="s">
        <v>941</v>
      </c>
      <c r="D858" s="213" t="n">
        <v>3</v>
      </c>
      <c r="E858" s="211"/>
    </row>
    <row r="859" customFormat="false" ht="15" hidden="false" customHeight="false" outlineLevel="0" collapsed="false">
      <c r="A859" s="20" t="n">
        <v>11</v>
      </c>
      <c r="B859" s="210"/>
      <c r="C859" s="162" t="s">
        <v>118</v>
      </c>
      <c r="D859" s="23" t="n">
        <v>2</v>
      </c>
      <c r="E859" s="210"/>
    </row>
    <row r="860" customFormat="false" ht="15" hidden="false" customHeight="false" outlineLevel="0" collapsed="false">
      <c r="A860" s="178" t="n">
        <v>12</v>
      </c>
      <c r="B860" s="211"/>
      <c r="C860" s="212" t="s">
        <v>121</v>
      </c>
      <c r="D860" s="213" t="n">
        <v>2</v>
      </c>
      <c r="E860" s="211"/>
    </row>
    <row r="861" customFormat="false" ht="15" hidden="false" customHeight="false" outlineLevel="0" collapsed="false">
      <c r="A861" s="20" t="n">
        <v>13</v>
      </c>
      <c r="B861" s="210"/>
      <c r="C861" s="162" t="s">
        <v>942</v>
      </c>
      <c r="D861" s="23" t="n">
        <v>1</v>
      </c>
      <c r="E861" s="210"/>
    </row>
    <row r="862" customFormat="false" ht="15" hidden="false" customHeight="false" outlineLevel="0" collapsed="false">
      <c r="A862" s="214" t="s">
        <v>1071</v>
      </c>
      <c r="B862" s="214"/>
      <c r="C862" s="214"/>
      <c r="D862" s="215" t="n">
        <v>348</v>
      </c>
      <c r="E862" s="216"/>
    </row>
    <row r="863" customFormat="false" ht="14.15" hidden="false" customHeight="false" outlineLevel="0" collapsed="false">
      <c r="A863" s="208" t="s">
        <v>1072</v>
      </c>
      <c r="B863" s="208"/>
      <c r="C863" s="208"/>
      <c r="D863" s="208"/>
      <c r="E863" s="208"/>
    </row>
    <row r="864" customFormat="false" ht="15" hidden="false" customHeight="false" outlineLevel="0" collapsed="false">
      <c r="A864" s="182" t="s">
        <v>46</v>
      </c>
      <c r="B864" s="182"/>
      <c r="C864" s="209" t="s">
        <v>932</v>
      </c>
      <c r="D864" s="209" t="s">
        <v>933</v>
      </c>
      <c r="E864" s="182"/>
    </row>
    <row r="865" customFormat="false" ht="15" hidden="false" customHeight="false" outlineLevel="0" collapsed="false">
      <c r="A865" s="20" t="n">
        <v>1</v>
      </c>
      <c r="B865" s="210"/>
      <c r="C865" s="162" t="s">
        <v>934</v>
      </c>
      <c r="D865" s="23" t="n">
        <v>140</v>
      </c>
      <c r="E865" s="210"/>
    </row>
    <row r="866" customFormat="false" ht="15" hidden="false" customHeight="false" outlineLevel="0" collapsed="false">
      <c r="A866" s="178" t="n">
        <v>2</v>
      </c>
      <c r="B866" s="211"/>
      <c r="C866" s="212" t="s">
        <v>113</v>
      </c>
      <c r="D866" s="213" t="n">
        <v>55</v>
      </c>
      <c r="E866" s="211"/>
    </row>
    <row r="867" customFormat="false" ht="15" hidden="false" customHeight="false" outlineLevel="0" collapsed="false">
      <c r="A867" s="20" t="n">
        <v>3</v>
      </c>
      <c r="B867" s="210"/>
      <c r="C867" s="162" t="s">
        <v>935</v>
      </c>
      <c r="D867" s="23" t="n">
        <v>43</v>
      </c>
      <c r="E867" s="210"/>
    </row>
    <row r="868" customFormat="false" ht="15" hidden="false" customHeight="false" outlineLevel="0" collapsed="false">
      <c r="A868" s="178" t="n">
        <v>4</v>
      </c>
      <c r="B868" s="211"/>
      <c r="C868" s="212" t="s">
        <v>940</v>
      </c>
      <c r="D868" s="213" t="n">
        <v>9</v>
      </c>
      <c r="E868" s="211"/>
    </row>
    <row r="869" customFormat="false" ht="15" hidden="false" customHeight="false" outlineLevel="0" collapsed="false">
      <c r="A869" s="20" t="n">
        <v>5</v>
      </c>
      <c r="B869" s="210"/>
      <c r="C869" s="162" t="s">
        <v>99</v>
      </c>
      <c r="D869" s="23" t="n">
        <v>9</v>
      </c>
      <c r="E869" s="210"/>
    </row>
    <row r="870" customFormat="false" ht="15" hidden="false" customHeight="false" outlineLevel="0" collapsed="false">
      <c r="A870" s="178" t="n">
        <v>6</v>
      </c>
      <c r="B870" s="211"/>
      <c r="C870" s="212" t="s">
        <v>939</v>
      </c>
      <c r="D870" s="213" t="n">
        <v>4</v>
      </c>
      <c r="E870" s="211"/>
    </row>
    <row r="871" customFormat="false" ht="15" hidden="false" customHeight="false" outlineLevel="0" collapsed="false">
      <c r="A871" s="20" t="n">
        <v>7</v>
      </c>
      <c r="B871" s="210"/>
      <c r="C871" s="162" t="s">
        <v>118</v>
      </c>
      <c r="D871" s="23" t="n">
        <v>3</v>
      </c>
      <c r="E871" s="210"/>
    </row>
    <row r="872" customFormat="false" ht="15" hidden="false" customHeight="false" outlineLevel="0" collapsed="false">
      <c r="A872" s="178" t="n">
        <v>8</v>
      </c>
      <c r="B872" s="211"/>
      <c r="C872" s="212" t="s">
        <v>121</v>
      </c>
      <c r="D872" s="213" t="n">
        <v>3</v>
      </c>
      <c r="E872" s="211"/>
    </row>
    <row r="873" customFormat="false" ht="15" hidden="false" customHeight="false" outlineLevel="0" collapsed="false">
      <c r="A873" s="20" t="n">
        <v>9</v>
      </c>
      <c r="B873" s="210"/>
      <c r="C873" s="162" t="s">
        <v>965</v>
      </c>
      <c r="D873" s="23" t="n">
        <v>2</v>
      </c>
      <c r="E873" s="210"/>
    </row>
    <row r="874" customFormat="false" ht="15" hidden="false" customHeight="false" outlineLevel="0" collapsed="false">
      <c r="A874" s="178" t="n">
        <v>10</v>
      </c>
      <c r="B874" s="211"/>
      <c r="C874" s="212" t="s">
        <v>966</v>
      </c>
      <c r="D874" s="213" t="n">
        <v>2</v>
      </c>
      <c r="E874" s="211"/>
    </row>
    <row r="875" customFormat="false" ht="15" hidden="false" customHeight="false" outlineLevel="0" collapsed="false">
      <c r="A875" s="20" t="n">
        <v>11</v>
      </c>
      <c r="B875" s="210"/>
      <c r="C875" s="162" t="s">
        <v>938</v>
      </c>
      <c r="D875" s="23" t="n">
        <v>2</v>
      </c>
      <c r="E875" s="210"/>
    </row>
    <row r="876" customFormat="false" ht="15" hidden="false" customHeight="false" outlineLevel="0" collapsed="false">
      <c r="A876" s="178" t="n">
        <v>12</v>
      </c>
      <c r="B876" s="211"/>
      <c r="C876" s="212" t="s">
        <v>108</v>
      </c>
      <c r="D876" s="213" t="n">
        <v>1</v>
      </c>
      <c r="E876" s="211"/>
    </row>
    <row r="877" customFormat="false" ht="15" hidden="false" customHeight="false" outlineLevel="0" collapsed="false">
      <c r="A877" s="20" t="n">
        <v>13</v>
      </c>
      <c r="B877" s="210"/>
      <c r="C877" s="162" t="s">
        <v>973</v>
      </c>
      <c r="D877" s="23" t="n">
        <v>1</v>
      </c>
      <c r="E877" s="210"/>
    </row>
    <row r="878" customFormat="false" ht="15" hidden="false" customHeight="false" outlineLevel="0" collapsed="false">
      <c r="A878" s="178" t="n">
        <v>14</v>
      </c>
      <c r="B878" s="211"/>
      <c r="C878" s="212" t="s">
        <v>1073</v>
      </c>
      <c r="D878" s="213" t="n">
        <v>1</v>
      </c>
      <c r="E878" s="211"/>
    </row>
    <row r="879" customFormat="false" ht="15" hidden="false" customHeight="false" outlineLevel="0" collapsed="false">
      <c r="A879" s="20" t="n">
        <v>15</v>
      </c>
      <c r="B879" s="210"/>
      <c r="C879" s="162" t="s">
        <v>1074</v>
      </c>
      <c r="D879" s="23" t="n">
        <v>1</v>
      </c>
      <c r="E879" s="210"/>
    </row>
    <row r="880" customFormat="false" ht="15" hidden="false" customHeight="false" outlineLevel="0" collapsed="false">
      <c r="A880" s="178" t="n">
        <v>16</v>
      </c>
      <c r="B880" s="211"/>
      <c r="C880" s="212" t="s">
        <v>125</v>
      </c>
      <c r="D880" s="213" t="n">
        <v>1</v>
      </c>
      <c r="E880" s="211"/>
    </row>
    <row r="881" customFormat="false" ht="15" hidden="false" customHeight="false" outlineLevel="0" collapsed="false">
      <c r="A881" s="20" t="n">
        <v>17</v>
      </c>
      <c r="B881" s="210"/>
      <c r="C881" s="162" t="s">
        <v>983</v>
      </c>
      <c r="D881" s="23" t="n">
        <v>1</v>
      </c>
      <c r="E881" s="210"/>
    </row>
    <row r="882" customFormat="false" ht="15" hidden="false" customHeight="false" outlineLevel="0" collapsed="false">
      <c r="A882" s="178" t="n">
        <v>18</v>
      </c>
      <c r="B882" s="211"/>
      <c r="C882" s="212" t="s">
        <v>1075</v>
      </c>
      <c r="D882" s="213" t="n">
        <v>1</v>
      </c>
      <c r="E882" s="211"/>
    </row>
    <row r="883" customFormat="false" ht="15" hidden="false" customHeight="false" outlineLevel="0" collapsed="false">
      <c r="A883" s="20" t="n">
        <v>19</v>
      </c>
      <c r="B883" s="210"/>
      <c r="C883" s="162" t="s">
        <v>941</v>
      </c>
      <c r="D883" s="23" t="n">
        <v>1</v>
      </c>
      <c r="E883" s="210"/>
    </row>
    <row r="884" customFormat="false" ht="15" hidden="false" customHeight="false" outlineLevel="0" collapsed="false">
      <c r="A884" s="214" t="s">
        <v>1076</v>
      </c>
      <c r="B884" s="214"/>
      <c r="C884" s="214"/>
      <c r="D884" s="215" t="n">
        <v>280</v>
      </c>
      <c r="E884" s="216"/>
    </row>
    <row r="886" customFormat="false" ht="15" hidden="false" customHeight="false" outlineLevel="0" collapsed="false">
      <c r="A886" s="217" t="s">
        <v>944</v>
      </c>
      <c r="B886" s="217"/>
      <c r="C886" s="217"/>
      <c r="D886" s="217"/>
      <c r="E886" s="217"/>
    </row>
    <row r="887" customFormat="false" ht="15" hidden="false" customHeight="false" outlineLevel="0" collapsed="false">
      <c r="A887" s="182" t="s">
        <v>46</v>
      </c>
      <c r="B887" s="182"/>
      <c r="C887" s="209" t="s">
        <v>932</v>
      </c>
      <c r="D887" s="209" t="s">
        <v>945</v>
      </c>
      <c r="E887" s="182"/>
    </row>
    <row r="888" customFormat="false" ht="15" hidden="false" customHeight="false" outlineLevel="0" collapsed="false">
      <c r="A888" s="20" t="n">
        <v>1</v>
      </c>
      <c r="B888" s="210"/>
      <c r="C888" s="162" t="s">
        <v>934</v>
      </c>
      <c r="D888" s="23" t="n">
        <v>301</v>
      </c>
      <c r="E888" s="210"/>
    </row>
    <row r="889" customFormat="false" ht="15" hidden="false" customHeight="false" outlineLevel="0" collapsed="false">
      <c r="A889" s="178" t="n">
        <v>2</v>
      </c>
      <c r="B889" s="211"/>
      <c r="C889" s="212" t="s">
        <v>113</v>
      </c>
      <c r="D889" s="213" t="n">
        <v>159</v>
      </c>
      <c r="E889" s="211"/>
    </row>
    <row r="890" customFormat="false" ht="15" hidden="false" customHeight="false" outlineLevel="0" collapsed="false">
      <c r="A890" s="20" t="n">
        <v>3</v>
      </c>
      <c r="B890" s="210"/>
      <c r="C890" s="162" t="s">
        <v>952</v>
      </c>
      <c r="D890" s="23" t="n">
        <v>124</v>
      </c>
      <c r="E890" s="210"/>
    </row>
    <row r="891" customFormat="false" ht="15" hidden="false" customHeight="false" outlineLevel="0" collapsed="false">
      <c r="A891" s="178" t="n">
        <v>4</v>
      </c>
      <c r="B891" s="211"/>
      <c r="C891" s="212" t="s">
        <v>936</v>
      </c>
      <c r="D891" s="213" t="n">
        <v>56</v>
      </c>
      <c r="E891" s="211"/>
    </row>
    <row r="892" customFormat="false" ht="15" hidden="false" customHeight="false" outlineLevel="0" collapsed="false">
      <c r="A892" s="20" t="n">
        <v>5</v>
      </c>
      <c r="B892" s="210"/>
      <c r="C892" s="162" t="s">
        <v>935</v>
      </c>
      <c r="D892" s="23" t="n">
        <v>43</v>
      </c>
      <c r="E892" s="210"/>
    </row>
    <row r="893" customFormat="false" ht="15" hidden="false" customHeight="false" outlineLevel="0" collapsed="false">
      <c r="A893" s="178" t="n">
        <v>6</v>
      </c>
      <c r="B893" s="211"/>
      <c r="C893" s="212" t="s">
        <v>99</v>
      </c>
      <c r="D893" s="213" t="n">
        <v>42</v>
      </c>
      <c r="E893" s="211"/>
    </row>
    <row r="894" customFormat="false" ht="15" hidden="false" customHeight="false" outlineLevel="0" collapsed="false">
      <c r="A894" s="20" t="n">
        <v>7</v>
      </c>
      <c r="B894" s="210"/>
      <c r="C894" s="162" t="s">
        <v>937</v>
      </c>
      <c r="D894" s="23" t="n">
        <v>22</v>
      </c>
      <c r="E894" s="210"/>
    </row>
    <row r="895" customFormat="false" ht="15" hidden="false" customHeight="false" outlineLevel="0" collapsed="false">
      <c r="A895" s="178" t="n">
        <v>8</v>
      </c>
      <c r="B895" s="211"/>
      <c r="C895" s="212" t="s">
        <v>940</v>
      </c>
      <c r="D895" s="213" t="n">
        <v>21</v>
      </c>
      <c r="E895" s="211"/>
    </row>
    <row r="896" customFormat="false" ht="15" hidden="false" customHeight="false" outlineLevel="0" collapsed="false">
      <c r="A896" s="20" t="n">
        <v>9</v>
      </c>
      <c r="B896" s="210"/>
      <c r="C896" s="162" t="s">
        <v>939</v>
      </c>
      <c r="D896" s="23" t="n">
        <v>12</v>
      </c>
      <c r="E896" s="210"/>
    </row>
    <row r="897" customFormat="false" ht="15" hidden="false" customHeight="false" outlineLevel="0" collapsed="false">
      <c r="A897" s="178" t="n">
        <v>10</v>
      </c>
      <c r="B897" s="211"/>
      <c r="C897" s="212" t="s">
        <v>953</v>
      </c>
      <c r="D897" s="213" t="n">
        <v>9</v>
      </c>
      <c r="E897" s="211"/>
    </row>
    <row r="898" customFormat="false" ht="15" hidden="false" customHeight="false" outlineLevel="0" collapsed="false">
      <c r="A898" s="20" t="n">
        <v>11</v>
      </c>
      <c r="B898" s="210"/>
      <c r="C898" s="162" t="s">
        <v>938</v>
      </c>
      <c r="D898" s="23" t="n">
        <v>9</v>
      </c>
      <c r="E898" s="210"/>
    </row>
    <row r="899" customFormat="false" ht="15" hidden="false" customHeight="false" outlineLevel="0" collapsed="false">
      <c r="A899" s="178" t="n">
        <v>12</v>
      </c>
      <c r="B899" s="211"/>
      <c r="C899" s="212" t="s">
        <v>121</v>
      </c>
      <c r="D899" s="213" t="n">
        <v>7</v>
      </c>
      <c r="E899" s="211"/>
    </row>
    <row r="900" customFormat="false" ht="15" hidden="false" customHeight="false" outlineLevel="0" collapsed="false">
      <c r="A900" s="20" t="n">
        <v>13</v>
      </c>
      <c r="B900" s="210"/>
      <c r="C900" s="162" t="s">
        <v>957</v>
      </c>
      <c r="D900" s="23" t="n">
        <v>7</v>
      </c>
      <c r="E900" s="210"/>
    </row>
    <row r="901" customFormat="false" ht="15" hidden="false" customHeight="false" outlineLevel="0" collapsed="false">
      <c r="A901" s="178" t="n">
        <v>14</v>
      </c>
      <c r="B901" s="211"/>
      <c r="C901" s="212" t="s">
        <v>118</v>
      </c>
      <c r="D901" s="213" t="n">
        <v>5</v>
      </c>
      <c r="E901" s="211"/>
    </row>
    <row r="902" customFormat="false" ht="15" hidden="false" customHeight="false" outlineLevel="0" collapsed="false">
      <c r="A902" s="20" t="n">
        <v>15</v>
      </c>
      <c r="B902" s="210"/>
      <c r="C902" s="162" t="s">
        <v>1054</v>
      </c>
      <c r="D902" s="23" t="n">
        <v>5</v>
      </c>
      <c r="E902" s="210"/>
    </row>
    <row r="903" customFormat="false" ht="15" hidden="false" customHeight="false" outlineLevel="0" collapsed="false">
      <c r="A903" s="178" t="n">
        <v>16</v>
      </c>
      <c r="B903" s="211"/>
      <c r="C903" s="212" t="s">
        <v>941</v>
      </c>
      <c r="D903" s="213" t="n">
        <v>4</v>
      </c>
      <c r="E903" s="211"/>
    </row>
    <row r="904" customFormat="false" ht="15" hidden="false" customHeight="false" outlineLevel="0" collapsed="false">
      <c r="A904" s="20" t="n">
        <v>17</v>
      </c>
      <c r="B904" s="210"/>
      <c r="C904" s="162" t="s">
        <v>954</v>
      </c>
      <c r="D904" s="23" t="n">
        <v>2</v>
      </c>
      <c r="E904" s="210"/>
    </row>
    <row r="905" customFormat="false" ht="15" hidden="false" customHeight="false" outlineLevel="0" collapsed="false">
      <c r="A905" s="178" t="n">
        <v>18</v>
      </c>
      <c r="B905" s="211"/>
      <c r="C905" s="212" t="s">
        <v>93</v>
      </c>
      <c r="D905" s="213" t="n">
        <v>2</v>
      </c>
      <c r="E905" s="211"/>
    </row>
    <row r="906" customFormat="false" ht="15" hidden="false" customHeight="false" outlineLevel="0" collapsed="false">
      <c r="A906" s="20" t="n">
        <v>19</v>
      </c>
      <c r="B906" s="210"/>
      <c r="C906" s="162" t="s">
        <v>965</v>
      </c>
      <c r="D906" s="23" t="n">
        <v>2</v>
      </c>
      <c r="E906" s="210"/>
    </row>
    <row r="907" customFormat="false" ht="15" hidden="false" customHeight="false" outlineLevel="0" collapsed="false">
      <c r="A907" s="178" t="n">
        <v>20</v>
      </c>
      <c r="B907" s="211"/>
      <c r="C907" s="212" t="s">
        <v>966</v>
      </c>
      <c r="D907" s="213" t="n">
        <v>2</v>
      </c>
      <c r="E907" s="211"/>
    </row>
    <row r="908" customFormat="false" ht="15" hidden="false" customHeight="false" outlineLevel="0" collapsed="false">
      <c r="A908" s="20" t="n">
        <v>21</v>
      </c>
      <c r="B908" s="210"/>
      <c r="C908" s="162" t="s">
        <v>80</v>
      </c>
      <c r="D908" s="23" t="n">
        <v>1</v>
      </c>
      <c r="E908" s="210"/>
    </row>
    <row r="909" customFormat="false" ht="15" hidden="false" customHeight="false" outlineLevel="0" collapsed="false">
      <c r="A909" s="178" t="n">
        <v>22</v>
      </c>
      <c r="B909" s="211"/>
      <c r="C909" s="212" t="s">
        <v>942</v>
      </c>
      <c r="D909" s="213" t="n">
        <v>1</v>
      </c>
      <c r="E909" s="211"/>
    </row>
    <row r="910" customFormat="false" ht="15" hidden="false" customHeight="false" outlineLevel="0" collapsed="false">
      <c r="A910" s="20" t="n">
        <v>23</v>
      </c>
      <c r="B910" s="210"/>
      <c r="C910" s="162" t="s">
        <v>108</v>
      </c>
      <c r="D910" s="23" t="n">
        <v>1</v>
      </c>
      <c r="E910" s="210"/>
    </row>
    <row r="911" customFormat="false" ht="15" hidden="false" customHeight="false" outlineLevel="0" collapsed="false">
      <c r="A911" s="178" t="n">
        <v>24</v>
      </c>
      <c r="B911" s="211"/>
      <c r="C911" s="212" t="s">
        <v>973</v>
      </c>
      <c r="D911" s="213" t="n">
        <v>1</v>
      </c>
      <c r="E911" s="211"/>
    </row>
    <row r="912" customFormat="false" ht="15" hidden="false" customHeight="false" outlineLevel="0" collapsed="false">
      <c r="A912" s="20" t="n">
        <v>25</v>
      </c>
      <c r="B912" s="210"/>
      <c r="C912" s="162" t="s">
        <v>1073</v>
      </c>
      <c r="D912" s="23" t="n">
        <v>1</v>
      </c>
      <c r="E912" s="210"/>
    </row>
    <row r="913" customFormat="false" ht="15" hidden="false" customHeight="false" outlineLevel="0" collapsed="false">
      <c r="A913" s="178" t="n">
        <v>26</v>
      </c>
      <c r="B913" s="211"/>
      <c r="C913" s="212" t="s">
        <v>1074</v>
      </c>
      <c r="D913" s="213" t="n">
        <v>1</v>
      </c>
      <c r="E913" s="211"/>
    </row>
    <row r="914" customFormat="false" ht="15" hidden="false" customHeight="false" outlineLevel="0" collapsed="false">
      <c r="A914" s="20" t="n">
        <v>27</v>
      </c>
      <c r="B914" s="210"/>
      <c r="C914" s="162" t="s">
        <v>125</v>
      </c>
      <c r="D914" s="23" t="n">
        <v>1</v>
      </c>
      <c r="E914" s="210"/>
    </row>
    <row r="915" customFormat="false" ht="15" hidden="false" customHeight="false" outlineLevel="0" collapsed="false">
      <c r="A915" s="178" t="n">
        <v>28</v>
      </c>
      <c r="B915" s="211"/>
      <c r="C915" s="212" t="s">
        <v>983</v>
      </c>
      <c r="D915" s="213" t="n">
        <v>1</v>
      </c>
      <c r="E915" s="211"/>
    </row>
    <row r="916" customFormat="false" ht="15" hidden="false" customHeight="false" outlineLevel="0" collapsed="false">
      <c r="A916" s="20" t="n">
        <v>29</v>
      </c>
      <c r="B916" s="210"/>
      <c r="C916" s="162" t="s">
        <v>1075</v>
      </c>
      <c r="D916" s="23" t="n">
        <v>1</v>
      </c>
      <c r="E916" s="210"/>
    </row>
    <row r="917" customFormat="false" ht="15" hidden="false" customHeight="false" outlineLevel="0" collapsed="false">
      <c r="A917" s="218" t="s">
        <v>1077</v>
      </c>
      <c r="B917" s="218"/>
      <c r="C917" s="218"/>
      <c r="D917" s="219" t="n">
        <v>843</v>
      </c>
      <c r="E917" s="220"/>
    </row>
    <row r="919" customFormat="false" ht="37.5" hidden="false" customHeight="true" outlineLevel="0" collapsed="false">
      <c r="A919" s="206" t="s">
        <v>1078</v>
      </c>
      <c r="B919" s="206"/>
      <c r="C919" s="206"/>
      <c r="D919" s="206"/>
      <c r="E919" s="206"/>
    </row>
    <row r="920" customFormat="false" ht="15" hidden="false" customHeight="false" outlineLevel="0" collapsed="false">
      <c r="A920" s="207" t="s">
        <v>1079</v>
      </c>
      <c r="B920" s="207"/>
      <c r="C920" s="207"/>
      <c r="D920" s="207"/>
      <c r="E920" s="207"/>
    </row>
    <row r="921" customFormat="false" ht="14.15" hidden="false" customHeight="false" outlineLevel="0" collapsed="false">
      <c r="A921" s="208" t="s">
        <v>1080</v>
      </c>
      <c r="B921" s="208"/>
      <c r="C921" s="208"/>
      <c r="D921" s="208"/>
      <c r="E921" s="208"/>
    </row>
    <row r="922" customFormat="false" ht="15" hidden="false" customHeight="false" outlineLevel="0" collapsed="false">
      <c r="A922" s="182" t="s">
        <v>46</v>
      </c>
      <c r="B922" s="182"/>
      <c r="C922" s="209" t="s">
        <v>932</v>
      </c>
      <c r="D922" s="209" t="s">
        <v>933</v>
      </c>
      <c r="E922" s="182"/>
    </row>
    <row r="923" customFormat="false" ht="15" hidden="false" customHeight="false" outlineLevel="0" collapsed="false">
      <c r="A923" s="20" t="n">
        <v>1</v>
      </c>
      <c r="B923" s="210"/>
      <c r="C923" s="162" t="s">
        <v>934</v>
      </c>
      <c r="D923" s="23" t="n">
        <v>131</v>
      </c>
      <c r="E923" s="210"/>
    </row>
    <row r="924" customFormat="false" ht="15" hidden="false" customHeight="false" outlineLevel="0" collapsed="false">
      <c r="A924" s="178" t="n">
        <v>2</v>
      </c>
      <c r="B924" s="211"/>
      <c r="C924" s="212" t="s">
        <v>113</v>
      </c>
      <c r="D924" s="213" t="n">
        <v>82</v>
      </c>
      <c r="E924" s="211"/>
    </row>
    <row r="925" customFormat="false" ht="15" hidden="false" customHeight="false" outlineLevel="0" collapsed="false">
      <c r="A925" s="20" t="n">
        <v>3</v>
      </c>
      <c r="B925" s="210"/>
      <c r="C925" s="162" t="s">
        <v>935</v>
      </c>
      <c r="D925" s="23" t="n">
        <v>31</v>
      </c>
      <c r="E925" s="210"/>
    </row>
    <row r="926" customFormat="false" ht="15" hidden="false" customHeight="false" outlineLevel="0" collapsed="false">
      <c r="A926" s="178" t="n">
        <v>4</v>
      </c>
      <c r="B926" s="211"/>
      <c r="C926" s="212" t="s">
        <v>940</v>
      </c>
      <c r="D926" s="213" t="n">
        <v>12</v>
      </c>
      <c r="E926" s="211"/>
    </row>
    <row r="927" customFormat="false" ht="15" hidden="false" customHeight="false" outlineLevel="0" collapsed="false">
      <c r="A927" s="20" t="n">
        <v>5</v>
      </c>
      <c r="B927" s="210"/>
      <c r="C927" s="162" t="s">
        <v>99</v>
      </c>
      <c r="D927" s="23" t="n">
        <v>12</v>
      </c>
      <c r="E927" s="210"/>
    </row>
    <row r="928" customFormat="false" ht="15" hidden="false" customHeight="false" outlineLevel="0" collapsed="false">
      <c r="A928" s="178" t="n">
        <v>6</v>
      </c>
      <c r="B928" s="211"/>
      <c r="C928" s="212" t="s">
        <v>938</v>
      </c>
      <c r="D928" s="213" t="n">
        <v>6</v>
      </c>
      <c r="E928" s="211"/>
    </row>
    <row r="929" customFormat="false" ht="15" hidden="false" customHeight="false" outlineLevel="0" collapsed="false">
      <c r="A929" s="20" t="n">
        <v>7</v>
      </c>
      <c r="B929" s="210"/>
      <c r="C929" s="162" t="s">
        <v>121</v>
      </c>
      <c r="D929" s="23" t="n">
        <v>3</v>
      </c>
      <c r="E929" s="210"/>
    </row>
    <row r="930" customFormat="false" ht="15" hidden="false" customHeight="false" outlineLevel="0" collapsed="false">
      <c r="A930" s="178" t="n">
        <v>8</v>
      </c>
      <c r="B930" s="211"/>
      <c r="C930" s="212" t="s">
        <v>118</v>
      </c>
      <c r="D930" s="213" t="n">
        <v>2</v>
      </c>
      <c r="E930" s="211"/>
    </row>
    <row r="931" customFormat="false" ht="15" hidden="false" customHeight="false" outlineLevel="0" collapsed="false">
      <c r="A931" s="20" t="n">
        <v>9</v>
      </c>
      <c r="B931" s="210"/>
      <c r="C931" s="162" t="s">
        <v>108</v>
      </c>
      <c r="D931" s="23" t="n">
        <v>1</v>
      </c>
      <c r="E931" s="210"/>
    </row>
    <row r="932" customFormat="false" ht="15" hidden="false" customHeight="false" outlineLevel="0" collapsed="false">
      <c r="A932" s="178" t="n">
        <v>10</v>
      </c>
      <c r="B932" s="211"/>
      <c r="C932" s="212" t="s">
        <v>942</v>
      </c>
      <c r="D932" s="213" t="n">
        <v>1</v>
      </c>
      <c r="E932" s="211"/>
    </row>
    <row r="933" customFormat="false" ht="15" hidden="false" customHeight="false" outlineLevel="0" collapsed="false">
      <c r="A933" s="214" t="s">
        <v>1081</v>
      </c>
      <c r="B933" s="214"/>
      <c r="C933" s="214"/>
      <c r="D933" s="215" t="n">
        <v>281</v>
      </c>
      <c r="E933" s="216"/>
    </row>
    <row r="934" customFormat="false" ht="14.15" hidden="false" customHeight="false" outlineLevel="0" collapsed="false">
      <c r="A934" s="208" t="s">
        <v>1082</v>
      </c>
      <c r="B934" s="208"/>
      <c r="C934" s="208"/>
      <c r="D934" s="208"/>
      <c r="E934" s="208"/>
    </row>
    <row r="935" customFormat="false" ht="15" hidden="false" customHeight="false" outlineLevel="0" collapsed="false">
      <c r="A935" s="182" t="s">
        <v>46</v>
      </c>
      <c r="B935" s="182"/>
      <c r="C935" s="209" t="s">
        <v>932</v>
      </c>
      <c r="D935" s="209" t="s">
        <v>933</v>
      </c>
      <c r="E935" s="182"/>
    </row>
    <row r="936" customFormat="false" ht="15" hidden="false" customHeight="false" outlineLevel="0" collapsed="false">
      <c r="A936" s="20" t="n">
        <v>1</v>
      </c>
      <c r="B936" s="210"/>
      <c r="C936" s="162" t="s">
        <v>934</v>
      </c>
      <c r="D936" s="23" t="n">
        <v>153</v>
      </c>
      <c r="E936" s="210"/>
    </row>
    <row r="937" customFormat="false" ht="15" hidden="false" customHeight="false" outlineLevel="0" collapsed="false">
      <c r="A937" s="178" t="n">
        <v>2</v>
      </c>
      <c r="B937" s="211"/>
      <c r="C937" s="212" t="s">
        <v>935</v>
      </c>
      <c r="D937" s="213" t="n">
        <v>63</v>
      </c>
      <c r="E937" s="211"/>
    </row>
    <row r="938" customFormat="false" ht="15" hidden="false" customHeight="false" outlineLevel="0" collapsed="false">
      <c r="A938" s="20" t="n">
        <v>3</v>
      </c>
      <c r="B938" s="210"/>
      <c r="C938" s="162" t="s">
        <v>113</v>
      </c>
      <c r="D938" s="23" t="n">
        <v>59</v>
      </c>
      <c r="E938" s="210"/>
    </row>
    <row r="939" customFormat="false" ht="15" hidden="false" customHeight="false" outlineLevel="0" collapsed="false">
      <c r="A939" s="178" t="n">
        <v>4</v>
      </c>
      <c r="B939" s="211"/>
      <c r="C939" s="212" t="s">
        <v>99</v>
      </c>
      <c r="D939" s="213" t="n">
        <v>12</v>
      </c>
      <c r="E939" s="211"/>
    </row>
    <row r="940" customFormat="false" ht="15" hidden="false" customHeight="false" outlineLevel="0" collapsed="false">
      <c r="A940" s="20" t="n">
        <v>5</v>
      </c>
      <c r="B940" s="210"/>
      <c r="C940" s="162" t="s">
        <v>940</v>
      </c>
      <c r="D940" s="23" t="n">
        <v>9</v>
      </c>
      <c r="E940" s="210"/>
    </row>
    <row r="941" customFormat="false" ht="15" hidden="false" customHeight="false" outlineLevel="0" collapsed="false">
      <c r="A941" s="178" t="n">
        <v>6</v>
      </c>
      <c r="B941" s="211"/>
      <c r="C941" s="212" t="s">
        <v>938</v>
      </c>
      <c r="D941" s="213" t="n">
        <v>6</v>
      </c>
      <c r="E941" s="211"/>
    </row>
    <row r="942" customFormat="false" ht="15" hidden="false" customHeight="false" outlineLevel="0" collapsed="false">
      <c r="A942" s="20" t="n">
        <v>7</v>
      </c>
      <c r="B942" s="210"/>
      <c r="C942" s="162" t="s">
        <v>121</v>
      </c>
      <c r="D942" s="23" t="n">
        <v>3</v>
      </c>
      <c r="E942" s="210"/>
    </row>
    <row r="943" customFormat="false" ht="15" hidden="false" customHeight="false" outlineLevel="0" collapsed="false">
      <c r="A943" s="178" t="n">
        <v>8</v>
      </c>
      <c r="B943" s="211"/>
      <c r="C943" s="212" t="s">
        <v>93</v>
      </c>
      <c r="D943" s="213" t="n">
        <v>2</v>
      </c>
      <c r="E943" s="211"/>
    </row>
    <row r="944" customFormat="false" ht="15" hidden="false" customHeight="false" outlineLevel="0" collapsed="false">
      <c r="A944" s="20" t="n">
        <v>9</v>
      </c>
      <c r="B944" s="210"/>
      <c r="C944" s="162" t="s">
        <v>118</v>
      </c>
      <c r="D944" s="23" t="n">
        <v>2</v>
      </c>
      <c r="E944" s="210"/>
    </row>
    <row r="945" customFormat="false" ht="15" hidden="false" customHeight="false" outlineLevel="0" collapsed="false">
      <c r="A945" s="178" t="n">
        <v>10</v>
      </c>
      <c r="B945" s="211"/>
      <c r="C945" s="212" t="s">
        <v>108</v>
      </c>
      <c r="D945" s="213" t="n">
        <v>2</v>
      </c>
      <c r="E945" s="211"/>
    </row>
    <row r="946" customFormat="false" ht="15" hidden="false" customHeight="false" outlineLevel="0" collapsed="false">
      <c r="A946" s="20" t="n">
        <v>11</v>
      </c>
      <c r="B946" s="210"/>
      <c r="C946" s="162" t="s">
        <v>960</v>
      </c>
      <c r="D946" s="23" t="n">
        <v>1</v>
      </c>
      <c r="E946" s="210"/>
    </row>
    <row r="947" customFormat="false" ht="15" hidden="false" customHeight="false" outlineLevel="0" collapsed="false">
      <c r="A947" s="178" t="n">
        <v>12</v>
      </c>
      <c r="B947" s="211"/>
      <c r="C947" s="212" t="s">
        <v>60</v>
      </c>
      <c r="D947" s="213" t="n">
        <v>1</v>
      </c>
      <c r="E947" s="211"/>
    </row>
    <row r="948" customFormat="false" ht="15" hidden="false" customHeight="false" outlineLevel="0" collapsed="false">
      <c r="A948" s="20" t="n">
        <v>13</v>
      </c>
      <c r="B948" s="210"/>
      <c r="C948" s="162" t="s">
        <v>961</v>
      </c>
      <c r="D948" s="23" t="n">
        <v>1</v>
      </c>
      <c r="E948" s="210"/>
    </row>
    <row r="949" customFormat="false" ht="15" hidden="false" customHeight="false" outlineLevel="0" collapsed="false">
      <c r="A949" s="178" t="n">
        <v>14</v>
      </c>
      <c r="B949" s="211"/>
      <c r="C949" s="212" t="s">
        <v>942</v>
      </c>
      <c r="D949" s="213" t="n">
        <v>1</v>
      </c>
      <c r="E949" s="211"/>
    </row>
    <row r="950" customFormat="false" ht="15" hidden="false" customHeight="false" outlineLevel="0" collapsed="false">
      <c r="A950" s="20" t="n">
        <v>15</v>
      </c>
      <c r="B950" s="210"/>
      <c r="C950" s="162" t="s">
        <v>962</v>
      </c>
      <c r="D950" s="23" t="n">
        <v>1</v>
      </c>
      <c r="E950" s="210"/>
    </row>
    <row r="951" customFormat="false" ht="15" hidden="false" customHeight="false" outlineLevel="0" collapsed="false">
      <c r="A951" s="214" t="s">
        <v>1083</v>
      </c>
      <c r="B951" s="214"/>
      <c r="C951" s="214"/>
      <c r="D951" s="215" t="n">
        <v>316</v>
      </c>
      <c r="E951" s="216"/>
    </row>
    <row r="952" customFormat="false" ht="14.15" hidden="false" customHeight="false" outlineLevel="0" collapsed="false">
      <c r="A952" s="208" t="s">
        <v>1084</v>
      </c>
      <c r="B952" s="208"/>
      <c r="C952" s="208"/>
      <c r="D952" s="208"/>
      <c r="E952" s="208"/>
    </row>
    <row r="953" customFormat="false" ht="15" hidden="false" customHeight="false" outlineLevel="0" collapsed="false">
      <c r="A953" s="182" t="s">
        <v>46</v>
      </c>
      <c r="B953" s="182"/>
      <c r="C953" s="209" t="s">
        <v>932</v>
      </c>
      <c r="D953" s="209" t="s">
        <v>933</v>
      </c>
      <c r="E953" s="182"/>
    </row>
    <row r="954" customFormat="false" ht="15" hidden="false" customHeight="false" outlineLevel="0" collapsed="false">
      <c r="A954" s="20" t="n">
        <v>1</v>
      </c>
      <c r="B954" s="210"/>
      <c r="C954" s="162" t="s">
        <v>934</v>
      </c>
      <c r="D954" s="23" t="n">
        <v>130</v>
      </c>
      <c r="E954" s="210"/>
    </row>
    <row r="955" customFormat="false" ht="15" hidden="false" customHeight="false" outlineLevel="0" collapsed="false">
      <c r="A955" s="178" t="n">
        <v>2</v>
      </c>
      <c r="B955" s="211"/>
      <c r="C955" s="212" t="s">
        <v>935</v>
      </c>
      <c r="D955" s="213" t="n">
        <v>110</v>
      </c>
      <c r="E955" s="211"/>
    </row>
    <row r="956" customFormat="false" ht="15" hidden="false" customHeight="false" outlineLevel="0" collapsed="false">
      <c r="A956" s="20" t="n">
        <v>3</v>
      </c>
      <c r="B956" s="210"/>
      <c r="C956" s="162" t="s">
        <v>940</v>
      </c>
      <c r="D956" s="23" t="n">
        <v>6</v>
      </c>
      <c r="E956" s="210"/>
    </row>
    <row r="957" customFormat="false" ht="15" hidden="false" customHeight="false" outlineLevel="0" collapsed="false">
      <c r="A957" s="178" t="n">
        <v>4</v>
      </c>
      <c r="B957" s="211"/>
      <c r="C957" s="212" t="s">
        <v>99</v>
      </c>
      <c r="D957" s="213" t="n">
        <v>6</v>
      </c>
      <c r="E957" s="211"/>
    </row>
    <row r="958" customFormat="false" ht="15" hidden="false" customHeight="false" outlineLevel="0" collapsed="false">
      <c r="A958" s="20" t="n">
        <v>5</v>
      </c>
      <c r="B958" s="210"/>
      <c r="C958" s="162" t="s">
        <v>966</v>
      </c>
      <c r="D958" s="23" t="n">
        <v>5</v>
      </c>
      <c r="E958" s="210"/>
    </row>
    <row r="959" customFormat="false" ht="15" hidden="false" customHeight="false" outlineLevel="0" collapsed="false">
      <c r="A959" s="178" t="n">
        <v>6</v>
      </c>
      <c r="B959" s="211"/>
      <c r="C959" s="212" t="s">
        <v>938</v>
      </c>
      <c r="D959" s="213" t="n">
        <v>5</v>
      </c>
      <c r="E959" s="211"/>
    </row>
    <row r="960" customFormat="false" ht="15" hidden="false" customHeight="false" outlineLevel="0" collapsed="false">
      <c r="A960" s="20" t="n">
        <v>7</v>
      </c>
      <c r="B960" s="210"/>
      <c r="C960" s="162" t="s">
        <v>939</v>
      </c>
      <c r="D960" s="23" t="n">
        <v>4</v>
      </c>
      <c r="E960" s="210"/>
    </row>
    <row r="961" customFormat="false" ht="15" hidden="false" customHeight="false" outlineLevel="0" collapsed="false">
      <c r="A961" s="178" t="n">
        <v>8</v>
      </c>
      <c r="B961" s="211"/>
      <c r="C961" s="212" t="s">
        <v>965</v>
      </c>
      <c r="D961" s="213" t="n">
        <v>3</v>
      </c>
      <c r="E961" s="211"/>
    </row>
    <row r="962" customFormat="false" ht="15" hidden="false" customHeight="false" outlineLevel="0" collapsed="false">
      <c r="A962" s="20" t="n">
        <v>9</v>
      </c>
      <c r="B962" s="210"/>
      <c r="C962" s="162" t="s">
        <v>108</v>
      </c>
      <c r="D962" s="23" t="n">
        <v>2</v>
      </c>
      <c r="E962" s="210"/>
    </row>
    <row r="963" customFormat="false" ht="15" hidden="false" customHeight="false" outlineLevel="0" collapsed="false">
      <c r="A963" s="178" t="n">
        <v>10</v>
      </c>
      <c r="B963" s="211"/>
      <c r="C963" s="212" t="s">
        <v>941</v>
      </c>
      <c r="D963" s="213" t="n">
        <v>2</v>
      </c>
      <c r="E963" s="211"/>
    </row>
    <row r="964" customFormat="false" ht="15" hidden="false" customHeight="false" outlineLevel="0" collapsed="false">
      <c r="A964" s="20" t="n">
        <v>11</v>
      </c>
      <c r="B964" s="210"/>
      <c r="C964" s="162" t="s">
        <v>118</v>
      </c>
      <c r="D964" s="23" t="n">
        <v>2</v>
      </c>
      <c r="E964" s="210"/>
    </row>
    <row r="965" customFormat="false" ht="15" hidden="false" customHeight="false" outlineLevel="0" collapsed="false">
      <c r="A965" s="178" t="n">
        <v>12</v>
      </c>
      <c r="B965" s="211"/>
      <c r="C965" s="212" t="s">
        <v>121</v>
      </c>
      <c r="D965" s="213" t="n">
        <v>2</v>
      </c>
      <c r="E965" s="211"/>
    </row>
    <row r="966" customFormat="false" ht="15" hidden="false" customHeight="false" outlineLevel="0" collapsed="false">
      <c r="A966" s="20" t="n">
        <v>13</v>
      </c>
      <c r="B966" s="210"/>
      <c r="C966" s="162" t="s">
        <v>93</v>
      </c>
      <c r="D966" s="23" t="n">
        <v>1</v>
      </c>
      <c r="E966" s="210"/>
    </row>
    <row r="967" customFormat="false" ht="15" hidden="false" customHeight="false" outlineLevel="0" collapsed="false">
      <c r="A967" s="178" t="n">
        <v>14</v>
      </c>
      <c r="B967" s="211"/>
      <c r="C967" s="212" t="s">
        <v>942</v>
      </c>
      <c r="D967" s="213" t="n">
        <v>1</v>
      </c>
      <c r="E967" s="211"/>
    </row>
    <row r="968" customFormat="false" ht="15" hidden="false" customHeight="false" outlineLevel="0" collapsed="false">
      <c r="A968" s="214" t="s">
        <v>1085</v>
      </c>
      <c r="B968" s="214"/>
      <c r="C968" s="214"/>
      <c r="D968" s="215" t="n">
        <v>279</v>
      </c>
      <c r="E968" s="216"/>
    </row>
    <row r="969" customFormat="false" ht="14.15" hidden="false" customHeight="false" outlineLevel="0" collapsed="false">
      <c r="A969" s="208" t="s">
        <v>1086</v>
      </c>
      <c r="B969" s="208"/>
      <c r="C969" s="208"/>
      <c r="D969" s="208"/>
      <c r="E969" s="208"/>
    </row>
    <row r="970" customFormat="false" ht="15" hidden="false" customHeight="false" outlineLevel="0" collapsed="false">
      <c r="A970" s="182" t="s">
        <v>46</v>
      </c>
      <c r="B970" s="182"/>
      <c r="C970" s="209" t="s">
        <v>932</v>
      </c>
      <c r="D970" s="209" t="s">
        <v>933</v>
      </c>
      <c r="E970" s="182"/>
    </row>
    <row r="971" customFormat="false" ht="15" hidden="false" customHeight="false" outlineLevel="0" collapsed="false">
      <c r="A971" s="20" t="n">
        <v>1</v>
      </c>
      <c r="B971" s="210"/>
      <c r="C971" s="162" t="s">
        <v>952</v>
      </c>
      <c r="D971" s="23" t="n">
        <v>123</v>
      </c>
      <c r="E971" s="210"/>
    </row>
    <row r="972" customFormat="false" ht="15" hidden="false" customHeight="false" outlineLevel="0" collapsed="false">
      <c r="A972" s="178" t="n">
        <v>2</v>
      </c>
      <c r="B972" s="211"/>
      <c r="C972" s="212" t="s">
        <v>113</v>
      </c>
      <c r="D972" s="213" t="n">
        <v>85</v>
      </c>
      <c r="E972" s="211"/>
    </row>
    <row r="973" customFormat="false" ht="15" hidden="false" customHeight="false" outlineLevel="0" collapsed="false">
      <c r="A973" s="20" t="n">
        <v>3</v>
      </c>
      <c r="B973" s="210"/>
      <c r="C973" s="162" t="s">
        <v>938</v>
      </c>
      <c r="D973" s="23" t="n">
        <v>31</v>
      </c>
      <c r="E973" s="210"/>
    </row>
    <row r="974" customFormat="false" ht="15" hidden="false" customHeight="false" outlineLevel="0" collapsed="false">
      <c r="A974" s="178" t="n">
        <v>4</v>
      </c>
      <c r="B974" s="211"/>
      <c r="C974" s="212" t="s">
        <v>940</v>
      </c>
      <c r="D974" s="213" t="n">
        <v>5</v>
      </c>
      <c r="E974" s="211"/>
    </row>
    <row r="975" customFormat="false" ht="15" hidden="false" customHeight="false" outlineLevel="0" collapsed="false">
      <c r="A975" s="20" t="n">
        <v>5</v>
      </c>
      <c r="B975" s="210"/>
      <c r="C975" s="162" t="s">
        <v>978</v>
      </c>
      <c r="D975" s="23" t="n">
        <v>3</v>
      </c>
      <c r="E975" s="210"/>
    </row>
    <row r="976" customFormat="false" ht="15" hidden="false" customHeight="false" outlineLevel="0" collapsed="false">
      <c r="A976" s="178" t="n">
        <v>6</v>
      </c>
      <c r="B976" s="211"/>
      <c r="C976" s="212" t="s">
        <v>979</v>
      </c>
      <c r="D976" s="213" t="n">
        <v>3</v>
      </c>
      <c r="E976" s="211"/>
    </row>
    <row r="977" customFormat="false" ht="15" hidden="false" customHeight="false" outlineLevel="0" collapsed="false">
      <c r="A977" s="20" t="n">
        <v>7</v>
      </c>
      <c r="B977" s="210"/>
      <c r="C977" s="162" t="s">
        <v>941</v>
      </c>
      <c r="D977" s="23" t="n">
        <v>2</v>
      </c>
      <c r="E977" s="210"/>
    </row>
    <row r="978" customFormat="false" ht="15" hidden="false" customHeight="false" outlineLevel="0" collapsed="false">
      <c r="A978" s="178" t="n">
        <v>8</v>
      </c>
      <c r="B978" s="211"/>
      <c r="C978" s="212" t="s">
        <v>121</v>
      </c>
      <c r="D978" s="213" t="n">
        <v>2</v>
      </c>
      <c r="E978" s="211"/>
    </row>
    <row r="979" customFormat="false" ht="15" hidden="false" customHeight="false" outlineLevel="0" collapsed="false">
      <c r="A979" s="214" t="s">
        <v>1087</v>
      </c>
      <c r="B979" s="214"/>
      <c r="C979" s="214"/>
      <c r="D979" s="215" t="n">
        <v>254</v>
      </c>
      <c r="E979" s="216"/>
    </row>
    <row r="980" customFormat="false" ht="14.15" hidden="false" customHeight="false" outlineLevel="0" collapsed="false">
      <c r="A980" s="208" t="s">
        <v>1088</v>
      </c>
      <c r="B980" s="208"/>
      <c r="C980" s="208"/>
      <c r="D980" s="208"/>
      <c r="E980" s="208"/>
    </row>
    <row r="981" customFormat="false" ht="15" hidden="false" customHeight="false" outlineLevel="0" collapsed="false">
      <c r="A981" s="182" t="s">
        <v>46</v>
      </c>
      <c r="B981" s="182"/>
      <c r="C981" s="209" t="s">
        <v>932</v>
      </c>
      <c r="D981" s="209" t="s">
        <v>933</v>
      </c>
      <c r="E981" s="182"/>
    </row>
    <row r="982" customFormat="false" ht="15" hidden="false" customHeight="false" outlineLevel="0" collapsed="false">
      <c r="A982" s="20" t="n">
        <v>1</v>
      </c>
      <c r="B982" s="210"/>
      <c r="C982" s="162" t="s">
        <v>952</v>
      </c>
      <c r="D982" s="23" t="n">
        <v>123</v>
      </c>
      <c r="E982" s="210"/>
    </row>
    <row r="983" customFormat="false" ht="15" hidden="false" customHeight="false" outlineLevel="0" collapsed="false">
      <c r="A983" s="178" t="n">
        <v>2</v>
      </c>
      <c r="B983" s="211"/>
      <c r="C983" s="212" t="s">
        <v>113</v>
      </c>
      <c r="D983" s="213" t="n">
        <v>23</v>
      </c>
      <c r="E983" s="211"/>
    </row>
    <row r="984" customFormat="false" ht="15" hidden="false" customHeight="false" outlineLevel="0" collapsed="false">
      <c r="A984" s="20" t="n">
        <v>3</v>
      </c>
      <c r="B984" s="210"/>
      <c r="C984" s="162" t="s">
        <v>953</v>
      </c>
      <c r="D984" s="23" t="n">
        <v>15</v>
      </c>
      <c r="E984" s="210"/>
    </row>
    <row r="985" customFormat="false" ht="15" hidden="false" customHeight="false" outlineLevel="0" collapsed="false">
      <c r="A985" s="178" t="n">
        <v>4</v>
      </c>
      <c r="B985" s="211"/>
      <c r="C985" s="212" t="s">
        <v>99</v>
      </c>
      <c r="D985" s="213" t="n">
        <v>15</v>
      </c>
      <c r="E985" s="211"/>
    </row>
    <row r="986" customFormat="false" ht="15" hidden="false" customHeight="false" outlineLevel="0" collapsed="false">
      <c r="A986" s="20" t="n">
        <v>5</v>
      </c>
      <c r="B986" s="210"/>
      <c r="C986" s="162" t="s">
        <v>954</v>
      </c>
      <c r="D986" s="23" t="n">
        <v>4</v>
      </c>
      <c r="E986" s="210"/>
    </row>
    <row r="987" customFormat="false" ht="15" hidden="false" customHeight="false" outlineLevel="0" collapsed="false">
      <c r="A987" s="178" t="n">
        <v>6</v>
      </c>
      <c r="B987" s="211"/>
      <c r="C987" s="212" t="s">
        <v>121</v>
      </c>
      <c r="D987" s="213" t="n">
        <v>2</v>
      </c>
      <c r="E987" s="211"/>
    </row>
    <row r="988" customFormat="false" ht="15" hidden="false" customHeight="false" outlineLevel="0" collapsed="false">
      <c r="A988" s="214" t="s">
        <v>1089</v>
      </c>
      <c r="B988" s="214"/>
      <c r="C988" s="214"/>
      <c r="D988" s="215" t="n">
        <v>182</v>
      </c>
      <c r="E988" s="216"/>
    </row>
    <row r="990" customFormat="false" ht="15" hidden="false" customHeight="false" outlineLevel="0" collapsed="false">
      <c r="A990" s="217" t="s">
        <v>944</v>
      </c>
      <c r="B990" s="217"/>
      <c r="C990" s="217"/>
      <c r="D990" s="217"/>
      <c r="E990" s="217"/>
    </row>
    <row r="991" customFormat="false" ht="15" hidden="false" customHeight="false" outlineLevel="0" collapsed="false">
      <c r="A991" s="182" t="s">
        <v>46</v>
      </c>
      <c r="B991" s="182"/>
      <c r="C991" s="209" t="s">
        <v>932</v>
      </c>
      <c r="D991" s="209" t="s">
        <v>945</v>
      </c>
      <c r="E991" s="182"/>
    </row>
    <row r="992" customFormat="false" ht="15" hidden="false" customHeight="false" outlineLevel="0" collapsed="false">
      <c r="A992" s="20" t="n">
        <v>1</v>
      </c>
      <c r="B992" s="210"/>
      <c r="C992" s="162" t="s">
        <v>934</v>
      </c>
      <c r="D992" s="23" t="n">
        <v>414</v>
      </c>
      <c r="E992" s="210"/>
    </row>
    <row r="993" customFormat="false" ht="15" hidden="false" customHeight="false" outlineLevel="0" collapsed="false">
      <c r="A993" s="178" t="n">
        <v>2</v>
      </c>
      <c r="B993" s="211"/>
      <c r="C993" s="212" t="s">
        <v>113</v>
      </c>
      <c r="D993" s="213" t="n">
        <v>249</v>
      </c>
      <c r="E993" s="211"/>
    </row>
    <row r="994" customFormat="false" ht="15" hidden="false" customHeight="false" outlineLevel="0" collapsed="false">
      <c r="A994" s="20" t="n">
        <v>3</v>
      </c>
      <c r="B994" s="210"/>
      <c r="C994" s="162" t="s">
        <v>952</v>
      </c>
      <c r="D994" s="23" t="n">
        <v>246</v>
      </c>
      <c r="E994" s="210"/>
    </row>
    <row r="995" customFormat="false" ht="15" hidden="false" customHeight="false" outlineLevel="0" collapsed="false">
      <c r="A995" s="178" t="n">
        <v>4</v>
      </c>
      <c r="B995" s="211"/>
      <c r="C995" s="212" t="s">
        <v>935</v>
      </c>
      <c r="D995" s="213" t="n">
        <v>204</v>
      </c>
      <c r="E995" s="211"/>
    </row>
    <row r="996" customFormat="false" ht="15" hidden="false" customHeight="false" outlineLevel="0" collapsed="false">
      <c r="A996" s="20" t="n">
        <v>5</v>
      </c>
      <c r="B996" s="210"/>
      <c r="C996" s="162" t="s">
        <v>938</v>
      </c>
      <c r="D996" s="23" t="n">
        <v>48</v>
      </c>
      <c r="E996" s="210"/>
    </row>
    <row r="997" customFormat="false" ht="15" hidden="false" customHeight="false" outlineLevel="0" collapsed="false">
      <c r="A997" s="178" t="n">
        <v>6</v>
      </c>
      <c r="B997" s="211"/>
      <c r="C997" s="212" t="s">
        <v>99</v>
      </c>
      <c r="D997" s="213" t="n">
        <v>45</v>
      </c>
      <c r="E997" s="211"/>
    </row>
    <row r="998" customFormat="false" ht="15" hidden="false" customHeight="false" outlineLevel="0" collapsed="false">
      <c r="A998" s="20" t="n">
        <v>7</v>
      </c>
      <c r="B998" s="210"/>
      <c r="C998" s="162" t="s">
        <v>940</v>
      </c>
      <c r="D998" s="23" t="n">
        <v>32</v>
      </c>
      <c r="E998" s="210"/>
    </row>
    <row r="999" customFormat="false" ht="15" hidden="false" customHeight="false" outlineLevel="0" collapsed="false">
      <c r="A999" s="178" t="n">
        <v>8</v>
      </c>
      <c r="B999" s="211"/>
      <c r="C999" s="212" t="s">
        <v>953</v>
      </c>
      <c r="D999" s="213" t="n">
        <v>15</v>
      </c>
      <c r="E999" s="211"/>
    </row>
    <row r="1000" customFormat="false" ht="15" hidden="false" customHeight="false" outlineLevel="0" collapsed="false">
      <c r="A1000" s="20" t="n">
        <v>9</v>
      </c>
      <c r="B1000" s="210"/>
      <c r="C1000" s="162" t="s">
        <v>121</v>
      </c>
      <c r="D1000" s="23" t="n">
        <v>12</v>
      </c>
      <c r="E1000" s="210"/>
    </row>
    <row r="1001" customFormat="false" ht="15" hidden="false" customHeight="false" outlineLevel="0" collapsed="false">
      <c r="A1001" s="178" t="n">
        <v>10</v>
      </c>
      <c r="B1001" s="211"/>
      <c r="C1001" s="212" t="s">
        <v>118</v>
      </c>
      <c r="D1001" s="213" t="n">
        <v>6</v>
      </c>
      <c r="E1001" s="211"/>
    </row>
    <row r="1002" customFormat="false" ht="15" hidden="false" customHeight="false" outlineLevel="0" collapsed="false">
      <c r="A1002" s="20" t="n">
        <v>11</v>
      </c>
      <c r="B1002" s="210"/>
      <c r="C1002" s="162" t="s">
        <v>108</v>
      </c>
      <c r="D1002" s="23" t="n">
        <v>5</v>
      </c>
      <c r="E1002" s="210"/>
    </row>
    <row r="1003" customFormat="false" ht="15" hidden="false" customHeight="false" outlineLevel="0" collapsed="false">
      <c r="A1003" s="178" t="n">
        <v>12</v>
      </c>
      <c r="B1003" s="211"/>
      <c r="C1003" s="212" t="s">
        <v>966</v>
      </c>
      <c r="D1003" s="213" t="n">
        <v>5</v>
      </c>
      <c r="E1003" s="211"/>
    </row>
    <row r="1004" customFormat="false" ht="15" hidden="false" customHeight="false" outlineLevel="0" collapsed="false">
      <c r="A1004" s="20" t="n">
        <v>13</v>
      </c>
      <c r="B1004" s="210"/>
      <c r="C1004" s="162" t="s">
        <v>939</v>
      </c>
      <c r="D1004" s="23" t="n">
        <v>4</v>
      </c>
      <c r="E1004" s="210"/>
    </row>
    <row r="1005" customFormat="false" ht="15" hidden="false" customHeight="false" outlineLevel="0" collapsed="false">
      <c r="A1005" s="178" t="n">
        <v>14</v>
      </c>
      <c r="B1005" s="211"/>
      <c r="C1005" s="212" t="s">
        <v>941</v>
      </c>
      <c r="D1005" s="213" t="n">
        <v>4</v>
      </c>
      <c r="E1005" s="211"/>
    </row>
    <row r="1006" customFormat="false" ht="15" hidden="false" customHeight="false" outlineLevel="0" collapsed="false">
      <c r="A1006" s="20" t="n">
        <v>15</v>
      </c>
      <c r="B1006" s="210"/>
      <c r="C1006" s="162" t="s">
        <v>954</v>
      </c>
      <c r="D1006" s="23" t="n">
        <v>4</v>
      </c>
      <c r="E1006" s="210"/>
    </row>
    <row r="1007" customFormat="false" ht="15" hidden="false" customHeight="false" outlineLevel="0" collapsed="false">
      <c r="A1007" s="178" t="n">
        <v>16</v>
      </c>
      <c r="B1007" s="211"/>
      <c r="C1007" s="212" t="s">
        <v>942</v>
      </c>
      <c r="D1007" s="213" t="n">
        <v>3</v>
      </c>
      <c r="E1007" s="211"/>
    </row>
    <row r="1008" customFormat="false" ht="15" hidden="false" customHeight="false" outlineLevel="0" collapsed="false">
      <c r="A1008" s="20" t="n">
        <v>17</v>
      </c>
      <c r="B1008" s="210"/>
      <c r="C1008" s="162" t="s">
        <v>93</v>
      </c>
      <c r="D1008" s="23" t="n">
        <v>3</v>
      </c>
      <c r="E1008" s="210"/>
    </row>
    <row r="1009" customFormat="false" ht="15" hidden="false" customHeight="false" outlineLevel="0" collapsed="false">
      <c r="A1009" s="178" t="n">
        <v>18</v>
      </c>
      <c r="B1009" s="211"/>
      <c r="C1009" s="212" t="s">
        <v>965</v>
      </c>
      <c r="D1009" s="213" t="n">
        <v>3</v>
      </c>
      <c r="E1009" s="211"/>
    </row>
    <row r="1010" customFormat="false" ht="15" hidden="false" customHeight="false" outlineLevel="0" collapsed="false">
      <c r="A1010" s="20" t="n">
        <v>19</v>
      </c>
      <c r="B1010" s="210"/>
      <c r="C1010" s="162" t="s">
        <v>978</v>
      </c>
      <c r="D1010" s="23" t="n">
        <v>3</v>
      </c>
      <c r="E1010" s="210"/>
    </row>
    <row r="1011" customFormat="false" ht="15" hidden="false" customHeight="false" outlineLevel="0" collapsed="false">
      <c r="A1011" s="178" t="n">
        <v>20</v>
      </c>
      <c r="B1011" s="211"/>
      <c r="C1011" s="212" t="s">
        <v>979</v>
      </c>
      <c r="D1011" s="213" t="n">
        <v>3</v>
      </c>
      <c r="E1011" s="211"/>
    </row>
    <row r="1012" customFormat="false" ht="15" hidden="false" customHeight="false" outlineLevel="0" collapsed="false">
      <c r="A1012" s="20" t="n">
        <v>21</v>
      </c>
      <c r="B1012" s="210"/>
      <c r="C1012" s="162" t="s">
        <v>960</v>
      </c>
      <c r="D1012" s="23" t="n">
        <v>1</v>
      </c>
      <c r="E1012" s="210"/>
    </row>
    <row r="1013" customFormat="false" ht="15" hidden="false" customHeight="false" outlineLevel="0" collapsed="false">
      <c r="A1013" s="178" t="n">
        <v>22</v>
      </c>
      <c r="B1013" s="211"/>
      <c r="C1013" s="212" t="s">
        <v>60</v>
      </c>
      <c r="D1013" s="213" t="n">
        <v>1</v>
      </c>
      <c r="E1013" s="211"/>
    </row>
    <row r="1014" customFormat="false" ht="15" hidden="false" customHeight="false" outlineLevel="0" collapsed="false">
      <c r="A1014" s="20" t="n">
        <v>23</v>
      </c>
      <c r="B1014" s="210"/>
      <c r="C1014" s="162" t="s">
        <v>961</v>
      </c>
      <c r="D1014" s="23" t="n">
        <v>1</v>
      </c>
      <c r="E1014" s="210"/>
    </row>
    <row r="1015" customFormat="false" ht="15" hidden="false" customHeight="false" outlineLevel="0" collapsed="false">
      <c r="A1015" s="178" t="n">
        <v>24</v>
      </c>
      <c r="B1015" s="211"/>
      <c r="C1015" s="212" t="s">
        <v>962</v>
      </c>
      <c r="D1015" s="213" t="n">
        <v>1</v>
      </c>
      <c r="E1015" s="211"/>
    </row>
    <row r="1016" customFormat="false" ht="15" hidden="false" customHeight="false" outlineLevel="0" collapsed="false">
      <c r="A1016" s="218" t="s">
        <v>1090</v>
      </c>
      <c r="B1016" s="218"/>
      <c r="C1016" s="218"/>
      <c r="D1016" s="219" t="n">
        <v>1312</v>
      </c>
      <c r="E1016" s="220"/>
    </row>
    <row r="1018" customFormat="false" ht="37.5" hidden="false" customHeight="true" outlineLevel="0" collapsed="false">
      <c r="A1018" s="206" t="s">
        <v>1091</v>
      </c>
      <c r="B1018" s="206"/>
      <c r="C1018" s="206"/>
      <c r="D1018" s="206"/>
      <c r="E1018" s="206"/>
    </row>
    <row r="1019" customFormat="false" ht="15" hidden="false" customHeight="false" outlineLevel="0" collapsed="false">
      <c r="A1019" s="207" t="s">
        <v>1092</v>
      </c>
      <c r="B1019" s="207"/>
      <c r="C1019" s="207"/>
      <c r="D1019" s="207"/>
      <c r="E1019" s="207"/>
    </row>
    <row r="1020" customFormat="false" ht="14.15" hidden="false" customHeight="false" outlineLevel="0" collapsed="false">
      <c r="A1020" s="208" t="s">
        <v>1093</v>
      </c>
      <c r="B1020" s="208"/>
      <c r="C1020" s="208"/>
      <c r="D1020" s="208"/>
      <c r="E1020" s="208"/>
    </row>
    <row r="1021" customFormat="false" ht="15" hidden="false" customHeight="false" outlineLevel="0" collapsed="false">
      <c r="A1021" s="182" t="s">
        <v>46</v>
      </c>
      <c r="B1021" s="182"/>
      <c r="C1021" s="209" t="s">
        <v>932</v>
      </c>
      <c r="D1021" s="209" t="s">
        <v>933</v>
      </c>
      <c r="E1021" s="182"/>
    </row>
    <row r="1022" customFormat="false" ht="15" hidden="false" customHeight="false" outlineLevel="0" collapsed="false">
      <c r="A1022" s="20" t="n">
        <v>1</v>
      </c>
      <c r="B1022" s="210"/>
      <c r="C1022" s="162" t="s">
        <v>934</v>
      </c>
      <c r="D1022" s="23" t="n">
        <v>134</v>
      </c>
      <c r="E1022" s="210"/>
    </row>
    <row r="1023" customFormat="false" ht="15" hidden="false" customHeight="false" outlineLevel="0" collapsed="false">
      <c r="A1023" s="178" t="n">
        <v>2</v>
      </c>
      <c r="B1023" s="211"/>
      <c r="C1023" s="212" t="s">
        <v>935</v>
      </c>
      <c r="D1023" s="213" t="n">
        <v>63</v>
      </c>
      <c r="E1023" s="211"/>
    </row>
    <row r="1024" customFormat="false" ht="15" hidden="false" customHeight="false" outlineLevel="0" collapsed="false">
      <c r="A1024" s="20" t="n">
        <v>3</v>
      </c>
      <c r="B1024" s="210"/>
      <c r="C1024" s="162" t="s">
        <v>113</v>
      </c>
      <c r="D1024" s="23" t="n">
        <v>53</v>
      </c>
      <c r="E1024" s="210"/>
    </row>
    <row r="1025" customFormat="false" ht="15" hidden="false" customHeight="false" outlineLevel="0" collapsed="false">
      <c r="A1025" s="178" t="n">
        <v>4</v>
      </c>
      <c r="B1025" s="211"/>
      <c r="C1025" s="212" t="s">
        <v>940</v>
      </c>
      <c r="D1025" s="213" t="n">
        <v>10</v>
      </c>
      <c r="E1025" s="211"/>
    </row>
    <row r="1026" customFormat="false" ht="15" hidden="false" customHeight="false" outlineLevel="0" collapsed="false">
      <c r="A1026" s="20" t="n">
        <v>5</v>
      </c>
      <c r="B1026" s="210"/>
      <c r="C1026" s="162" t="s">
        <v>99</v>
      </c>
      <c r="D1026" s="23" t="n">
        <v>10</v>
      </c>
      <c r="E1026" s="210"/>
    </row>
    <row r="1027" customFormat="false" ht="15" hidden="false" customHeight="false" outlineLevel="0" collapsed="false">
      <c r="A1027" s="178" t="n">
        <v>6</v>
      </c>
      <c r="B1027" s="211"/>
      <c r="C1027" s="212" t="s">
        <v>939</v>
      </c>
      <c r="D1027" s="213" t="n">
        <v>4</v>
      </c>
      <c r="E1027" s="211"/>
    </row>
    <row r="1028" customFormat="false" ht="15" hidden="false" customHeight="false" outlineLevel="0" collapsed="false">
      <c r="A1028" s="20" t="n">
        <v>7</v>
      </c>
      <c r="B1028" s="210"/>
      <c r="C1028" s="162" t="s">
        <v>121</v>
      </c>
      <c r="D1028" s="23" t="n">
        <v>2</v>
      </c>
      <c r="E1028" s="210"/>
    </row>
    <row r="1029" customFormat="false" ht="15" hidden="false" customHeight="false" outlineLevel="0" collapsed="false">
      <c r="A1029" s="178" t="n">
        <v>8</v>
      </c>
      <c r="B1029" s="211"/>
      <c r="C1029" s="212" t="s">
        <v>942</v>
      </c>
      <c r="D1029" s="213" t="n">
        <v>2</v>
      </c>
      <c r="E1029" s="211"/>
    </row>
    <row r="1030" customFormat="false" ht="15" hidden="false" customHeight="false" outlineLevel="0" collapsed="false">
      <c r="A1030" s="20" t="n">
        <v>9</v>
      </c>
      <c r="B1030" s="210"/>
      <c r="C1030" s="162" t="s">
        <v>108</v>
      </c>
      <c r="D1030" s="23" t="n">
        <v>2</v>
      </c>
      <c r="E1030" s="210"/>
    </row>
    <row r="1031" customFormat="false" ht="15" hidden="false" customHeight="false" outlineLevel="0" collapsed="false">
      <c r="A1031" s="178" t="n">
        <v>10</v>
      </c>
      <c r="B1031" s="211"/>
      <c r="C1031" s="212" t="s">
        <v>118</v>
      </c>
      <c r="D1031" s="213" t="n">
        <v>1</v>
      </c>
      <c r="E1031" s="211"/>
    </row>
    <row r="1032" customFormat="false" ht="15" hidden="false" customHeight="false" outlineLevel="0" collapsed="false">
      <c r="A1032" s="214" t="s">
        <v>1094</v>
      </c>
      <c r="B1032" s="214"/>
      <c r="C1032" s="214"/>
      <c r="D1032" s="215" t="n">
        <v>281</v>
      </c>
      <c r="E1032" s="216"/>
    </row>
    <row r="1033" customFormat="false" ht="14.15" hidden="false" customHeight="false" outlineLevel="0" collapsed="false">
      <c r="A1033" s="208" t="s">
        <v>1095</v>
      </c>
      <c r="B1033" s="208"/>
      <c r="C1033" s="208"/>
      <c r="D1033" s="208"/>
      <c r="E1033" s="208"/>
    </row>
    <row r="1034" customFormat="false" ht="15" hidden="false" customHeight="false" outlineLevel="0" collapsed="false">
      <c r="A1034" s="182" t="s">
        <v>46</v>
      </c>
      <c r="B1034" s="182"/>
      <c r="C1034" s="209" t="s">
        <v>932</v>
      </c>
      <c r="D1034" s="209" t="s">
        <v>933</v>
      </c>
      <c r="E1034" s="182"/>
    </row>
    <row r="1035" customFormat="false" ht="15" hidden="false" customHeight="false" outlineLevel="0" collapsed="false">
      <c r="A1035" s="20" t="n">
        <v>1</v>
      </c>
      <c r="B1035" s="210"/>
      <c r="C1035" s="162" t="s">
        <v>934</v>
      </c>
      <c r="D1035" s="23" t="n">
        <v>74</v>
      </c>
      <c r="E1035" s="210"/>
    </row>
    <row r="1036" customFormat="false" ht="15" hidden="false" customHeight="false" outlineLevel="0" collapsed="false">
      <c r="A1036" s="178" t="n">
        <v>2</v>
      </c>
      <c r="B1036" s="211"/>
      <c r="C1036" s="212" t="s">
        <v>936</v>
      </c>
      <c r="D1036" s="213" t="n">
        <v>14</v>
      </c>
      <c r="E1036" s="211"/>
    </row>
    <row r="1037" customFormat="false" ht="15" hidden="false" customHeight="false" outlineLevel="0" collapsed="false">
      <c r="A1037" s="20" t="n">
        <v>3</v>
      </c>
      <c r="B1037" s="210"/>
      <c r="C1037" s="162" t="s">
        <v>97</v>
      </c>
      <c r="D1037" s="23" t="n">
        <v>10</v>
      </c>
      <c r="E1037" s="210"/>
    </row>
    <row r="1038" customFormat="false" ht="15" hidden="false" customHeight="false" outlineLevel="0" collapsed="false">
      <c r="A1038" s="178" t="n">
        <v>4</v>
      </c>
      <c r="B1038" s="211"/>
      <c r="C1038" s="212" t="s">
        <v>1096</v>
      </c>
      <c r="D1038" s="213" t="n">
        <v>10</v>
      </c>
      <c r="E1038" s="211"/>
    </row>
    <row r="1039" customFormat="false" ht="15" hidden="false" customHeight="false" outlineLevel="0" collapsed="false">
      <c r="A1039" s="20" t="n">
        <v>5</v>
      </c>
      <c r="B1039" s="210"/>
      <c r="C1039" s="162" t="s">
        <v>940</v>
      </c>
      <c r="D1039" s="23" t="n">
        <v>8</v>
      </c>
      <c r="E1039" s="210"/>
    </row>
    <row r="1040" customFormat="false" ht="15" hidden="false" customHeight="false" outlineLevel="0" collapsed="false">
      <c r="A1040" s="178" t="n">
        <v>6</v>
      </c>
      <c r="B1040" s="211"/>
      <c r="C1040" s="212" t="s">
        <v>73</v>
      </c>
      <c r="D1040" s="213" t="n">
        <v>5</v>
      </c>
      <c r="E1040" s="211"/>
    </row>
    <row r="1041" customFormat="false" ht="15" hidden="false" customHeight="false" outlineLevel="0" collapsed="false">
      <c r="A1041" s="20" t="n">
        <v>7</v>
      </c>
      <c r="B1041" s="210"/>
      <c r="C1041" s="162" t="s">
        <v>1054</v>
      </c>
      <c r="D1041" s="23" t="n">
        <v>4</v>
      </c>
      <c r="E1041" s="210"/>
    </row>
    <row r="1042" customFormat="false" ht="15" hidden="false" customHeight="false" outlineLevel="0" collapsed="false">
      <c r="A1042" s="178" t="n">
        <v>8</v>
      </c>
      <c r="B1042" s="211"/>
      <c r="C1042" s="212" t="s">
        <v>113</v>
      </c>
      <c r="D1042" s="213" t="n">
        <v>4</v>
      </c>
      <c r="E1042" s="211"/>
    </row>
    <row r="1043" customFormat="false" ht="15" hidden="false" customHeight="false" outlineLevel="0" collapsed="false">
      <c r="A1043" s="20" t="n">
        <v>9</v>
      </c>
      <c r="B1043" s="210"/>
      <c r="C1043" s="162" t="s">
        <v>132</v>
      </c>
      <c r="D1043" s="23" t="n">
        <v>4</v>
      </c>
      <c r="E1043" s="210"/>
    </row>
    <row r="1044" customFormat="false" ht="15" hidden="false" customHeight="false" outlineLevel="0" collapsed="false">
      <c r="A1044" s="178" t="n">
        <v>10</v>
      </c>
      <c r="B1044" s="211"/>
      <c r="C1044" s="212" t="s">
        <v>86</v>
      </c>
      <c r="D1044" s="213" t="n">
        <v>2</v>
      </c>
      <c r="E1044" s="211"/>
    </row>
    <row r="1045" customFormat="false" ht="15" hidden="false" customHeight="false" outlineLevel="0" collapsed="false">
      <c r="A1045" s="20" t="n">
        <v>11</v>
      </c>
      <c r="B1045" s="210"/>
      <c r="C1045" s="162" t="s">
        <v>99</v>
      </c>
      <c r="D1045" s="23" t="n">
        <v>2</v>
      </c>
      <c r="E1045" s="210"/>
    </row>
    <row r="1046" customFormat="false" ht="15" hidden="false" customHeight="false" outlineLevel="0" collapsed="false">
      <c r="A1046" s="178" t="n">
        <v>12</v>
      </c>
      <c r="B1046" s="211"/>
      <c r="C1046" s="212" t="s">
        <v>100</v>
      </c>
      <c r="D1046" s="213" t="n">
        <v>2</v>
      </c>
      <c r="E1046" s="211"/>
    </row>
    <row r="1047" customFormat="false" ht="15" hidden="false" customHeight="false" outlineLevel="0" collapsed="false">
      <c r="A1047" s="214" t="s">
        <v>1097</v>
      </c>
      <c r="B1047" s="214"/>
      <c r="C1047" s="214"/>
      <c r="D1047" s="215" t="n">
        <v>139</v>
      </c>
      <c r="E1047" s="216"/>
    </row>
    <row r="1048" customFormat="false" ht="14.15" hidden="false" customHeight="false" outlineLevel="0" collapsed="false">
      <c r="A1048" s="208" t="s">
        <v>1098</v>
      </c>
      <c r="B1048" s="208"/>
      <c r="C1048" s="208"/>
      <c r="D1048" s="208"/>
      <c r="E1048" s="208"/>
    </row>
    <row r="1049" customFormat="false" ht="15" hidden="false" customHeight="false" outlineLevel="0" collapsed="false">
      <c r="A1049" s="182" t="s">
        <v>46</v>
      </c>
      <c r="B1049" s="182"/>
      <c r="C1049" s="209" t="s">
        <v>932</v>
      </c>
      <c r="D1049" s="209" t="s">
        <v>933</v>
      </c>
      <c r="E1049" s="182"/>
    </row>
    <row r="1050" customFormat="false" ht="15" hidden="false" customHeight="false" outlineLevel="0" collapsed="false">
      <c r="A1050" s="20" t="n">
        <v>1</v>
      </c>
      <c r="B1050" s="210"/>
      <c r="C1050" s="162" t="s">
        <v>934</v>
      </c>
      <c r="D1050" s="23" t="n">
        <v>111</v>
      </c>
      <c r="E1050" s="210"/>
    </row>
    <row r="1051" customFormat="false" ht="15" hidden="false" customHeight="false" outlineLevel="0" collapsed="false">
      <c r="A1051" s="178" t="n">
        <v>2</v>
      </c>
      <c r="B1051" s="211"/>
      <c r="C1051" s="212" t="s">
        <v>936</v>
      </c>
      <c r="D1051" s="213" t="n">
        <v>21</v>
      </c>
      <c r="E1051" s="211"/>
    </row>
    <row r="1052" customFormat="false" ht="15" hidden="false" customHeight="false" outlineLevel="0" collapsed="false">
      <c r="A1052" s="20" t="n">
        <v>3</v>
      </c>
      <c r="B1052" s="210"/>
      <c r="C1052" s="162" t="s">
        <v>97</v>
      </c>
      <c r="D1052" s="23" t="n">
        <v>15</v>
      </c>
      <c r="E1052" s="210"/>
    </row>
    <row r="1053" customFormat="false" ht="15" hidden="false" customHeight="false" outlineLevel="0" collapsed="false">
      <c r="A1053" s="178" t="n">
        <v>4</v>
      </c>
      <c r="B1053" s="211"/>
      <c r="C1053" s="212" t="s">
        <v>1096</v>
      </c>
      <c r="D1053" s="213" t="n">
        <v>15</v>
      </c>
      <c r="E1053" s="211"/>
    </row>
    <row r="1054" customFormat="false" ht="15" hidden="false" customHeight="false" outlineLevel="0" collapsed="false">
      <c r="A1054" s="20" t="n">
        <v>5</v>
      </c>
      <c r="B1054" s="210"/>
      <c r="C1054" s="162" t="s">
        <v>940</v>
      </c>
      <c r="D1054" s="23" t="n">
        <v>12</v>
      </c>
      <c r="E1054" s="210"/>
    </row>
    <row r="1055" customFormat="false" ht="15" hidden="false" customHeight="false" outlineLevel="0" collapsed="false">
      <c r="A1055" s="178" t="n">
        <v>6</v>
      </c>
      <c r="B1055" s="211"/>
      <c r="C1055" s="212" t="s">
        <v>1054</v>
      </c>
      <c r="D1055" s="213" t="n">
        <v>6</v>
      </c>
      <c r="E1055" s="211"/>
    </row>
    <row r="1056" customFormat="false" ht="15" hidden="false" customHeight="false" outlineLevel="0" collapsed="false">
      <c r="A1056" s="20" t="n">
        <v>7</v>
      </c>
      <c r="B1056" s="210"/>
      <c r="C1056" s="162" t="s">
        <v>113</v>
      </c>
      <c r="D1056" s="23" t="n">
        <v>6</v>
      </c>
      <c r="E1056" s="210"/>
    </row>
    <row r="1057" customFormat="false" ht="15" hidden="false" customHeight="false" outlineLevel="0" collapsed="false">
      <c r="A1057" s="178" t="n">
        <v>8</v>
      </c>
      <c r="B1057" s="211"/>
      <c r="C1057" s="212" t="s">
        <v>132</v>
      </c>
      <c r="D1057" s="213" t="n">
        <v>6</v>
      </c>
      <c r="E1057" s="211"/>
    </row>
    <row r="1058" customFormat="false" ht="15" hidden="false" customHeight="false" outlineLevel="0" collapsed="false">
      <c r="A1058" s="20" t="n">
        <v>9</v>
      </c>
      <c r="B1058" s="210"/>
      <c r="C1058" s="162" t="s">
        <v>88</v>
      </c>
      <c r="D1058" s="23" t="n">
        <v>5</v>
      </c>
      <c r="E1058" s="210"/>
    </row>
    <row r="1059" customFormat="false" ht="15" hidden="false" customHeight="false" outlineLevel="0" collapsed="false">
      <c r="A1059" s="178" t="n">
        <v>10</v>
      </c>
      <c r="B1059" s="211"/>
      <c r="C1059" s="212" t="s">
        <v>962</v>
      </c>
      <c r="D1059" s="213" t="n">
        <v>5</v>
      </c>
      <c r="E1059" s="211"/>
    </row>
    <row r="1060" customFormat="false" ht="15" hidden="false" customHeight="false" outlineLevel="0" collapsed="false">
      <c r="A1060" s="20" t="n">
        <v>11</v>
      </c>
      <c r="B1060" s="210"/>
      <c r="C1060" s="162" t="s">
        <v>63</v>
      </c>
      <c r="D1060" s="23" t="n">
        <v>3</v>
      </c>
      <c r="E1060" s="210"/>
    </row>
    <row r="1061" customFormat="false" ht="15" hidden="false" customHeight="false" outlineLevel="0" collapsed="false">
      <c r="A1061" s="178" t="n">
        <v>12</v>
      </c>
      <c r="B1061" s="211"/>
      <c r="C1061" s="212" t="s">
        <v>99</v>
      </c>
      <c r="D1061" s="213" t="n">
        <v>3</v>
      </c>
      <c r="E1061" s="211"/>
    </row>
    <row r="1062" customFormat="false" ht="15" hidden="false" customHeight="false" outlineLevel="0" collapsed="false">
      <c r="A1062" s="20" t="n">
        <v>13</v>
      </c>
      <c r="B1062" s="210"/>
      <c r="C1062" s="162" t="s">
        <v>62</v>
      </c>
      <c r="D1062" s="23" t="n">
        <v>2</v>
      </c>
      <c r="E1062" s="210"/>
    </row>
    <row r="1063" customFormat="false" ht="15" hidden="false" customHeight="false" outlineLevel="0" collapsed="false">
      <c r="A1063" s="214" t="s">
        <v>1099</v>
      </c>
      <c r="B1063" s="214"/>
      <c r="C1063" s="214"/>
      <c r="D1063" s="215" t="n">
        <v>210</v>
      </c>
      <c r="E1063" s="216"/>
    </row>
    <row r="1065" customFormat="false" ht="15" hidden="false" customHeight="false" outlineLevel="0" collapsed="false">
      <c r="A1065" s="217" t="s">
        <v>944</v>
      </c>
      <c r="B1065" s="217"/>
      <c r="C1065" s="217"/>
      <c r="D1065" s="217"/>
      <c r="E1065" s="217"/>
    </row>
    <row r="1066" customFormat="false" ht="15" hidden="false" customHeight="false" outlineLevel="0" collapsed="false">
      <c r="A1066" s="182" t="s">
        <v>46</v>
      </c>
      <c r="B1066" s="182"/>
      <c r="C1066" s="209" t="s">
        <v>932</v>
      </c>
      <c r="D1066" s="209" t="s">
        <v>945</v>
      </c>
      <c r="E1066" s="182"/>
    </row>
    <row r="1067" customFormat="false" ht="15" hidden="false" customHeight="false" outlineLevel="0" collapsed="false">
      <c r="A1067" s="20" t="n">
        <v>1</v>
      </c>
      <c r="B1067" s="210"/>
      <c r="C1067" s="162" t="s">
        <v>934</v>
      </c>
      <c r="D1067" s="23" t="n">
        <v>319</v>
      </c>
      <c r="E1067" s="210"/>
    </row>
    <row r="1068" customFormat="false" ht="15" hidden="false" customHeight="false" outlineLevel="0" collapsed="false">
      <c r="A1068" s="178" t="n">
        <v>2</v>
      </c>
      <c r="B1068" s="211"/>
      <c r="C1068" s="212" t="s">
        <v>113</v>
      </c>
      <c r="D1068" s="213" t="n">
        <v>63</v>
      </c>
      <c r="E1068" s="211"/>
    </row>
    <row r="1069" customFormat="false" ht="15" hidden="false" customHeight="false" outlineLevel="0" collapsed="false">
      <c r="A1069" s="20" t="n">
        <v>3</v>
      </c>
      <c r="B1069" s="210"/>
      <c r="C1069" s="162" t="s">
        <v>935</v>
      </c>
      <c r="D1069" s="23" t="n">
        <v>63</v>
      </c>
      <c r="E1069" s="210"/>
    </row>
    <row r="1070" customFormat="false" ht="15" hidden="false" customHeight="false" outlineLevel="0" collapsed="false">
      <c r="A1070" s="178" t="n">
        <v>4</v>
      </c>
      <c r="B1070" s="211"/>
      <c r="C1070" s="212" t="s">
        <v>936</v>
      </c>
      <c r="D1070" s="213" t="n">
        <v>35</v>
      </c>
      <c r="E1070" s="211"/>
    </row>
    <row r="1071" customFormat="false" ht="15" hidden="false" customHeight="false" outlineLevel="0" collapsed="false">
      <c r="A1071" s="20" t="n">
        <v>5</v>
      </c>
      <c r="B1071" s="210"/>
      <c r="C1071" s="162" t="s">
        <v>940</v>
      </c>
      <c r="D1071" s="23" t="n">
        <v>30</v>
      </c>
      <c r="E1071" s="210"/>
    </row>
    <row r="1072" customFormat="false" ht="15" hidden="false" customHeight="false" outlineLevel="0" collapsed="false">
      <c r="A1072" s="178" t="n">
        <v>6</v>
      </c>
      <c r="B1072" s="211"/>
      <c r="C1072" s="212" t="s">
        <v>97</v>
      </c>
      <c r="D1072" s="213" t="n">
        <v>25</v>
      </c>
      <c r="E1072" s="211"/>
    </row>
    <row r="1073" customFormat="false" ht="15" hidden="false" customHeight="false" outlineLevel="0" collapsed="false">
      <c r="A1073" s="20" t="n">
        <v>7</v>
      </c>
      <c r="B1073" s="210"/>
      <c r="C1073" s="162" t="s">
        <v>1096</v>
      </c>
      <c r="D1073" s="23" t="n">
        <v>25</v>
      </c>
      <c r="E1073" s="210"/>
    </row>
    <row r="1074" customFormat="false" ht="15" hidden="false" customHeight="false" outlineLevel="0" collapsed="false">
      <c r="A1074" s="178" t="n">
        <v>8</v>
      </c>
      <c r="B1074" s="211"/>
      <c r="C1074" s="212" t="s">
        <v>99</v>
      </c>
      <c r="D1074" s="213" t="n">
        <v>15</v>
      </c>
      <c r="E1074" s="211"/>
    </row>
    <row r="1075" customFormat="false" ht="15" hidden="false" customHeight="false" outlineLevel="0" collapsed="false">
      <c r="A1075" s="20" t="n">
        <v>9</v>
      </c>
      <c r="B1075" s="210"/>
      <c r="C1075" s="162" t="s">
        <v>1054</v>
      </c>
      <c r="D1075" s="23" t="n">
        <v>10</v>
      </c>
      <c r="E1075" s="210"/>
    </row>
    <row r="1076" customFormat="false" ht="15" hidden="false" customHeight="false" outlineLevel="0" collapsed="false">
      <c r="A1076" s="178" t="n">
        <v>10</v>
      </c>
      <c r="B1076" s="211"/>
      <c r="C1076" s="212" t="s">
        <v>132</v>
      </c>
      <c r="D1076" s="213" t="n">
        <v>10</v>
      </c>
      <c r="E1076" s="211"/>
    </row>
    <row r="1077" customFormat="false" ht="15" hidden="false" customHeight="false" outlineLevel="0" collapsed="false">
      <c r="A1077" s="20" t="n">
        <v>11</v>
      </c>
      <c r="B1077" s="210"/>
      <c r="C1077" s="162" t="s">
        <v>73</v>
      </c>
      <c r="D1077" s="23" t="n">
        <v>5</v>
      </c>
      <c r="E1077" s="210"/>
    </row>
    <row r="1078" customFormat="false" ht="15" hidden="false" customHeight="false" outlineLevel="0" collapsed="false">
      <c r="A1078" s="178" t="n">
        <v>12</v>
      </c>
      <c r="B1078" s="211"/>
      <c r="C1078" s="212" t="s">
        <v>88</v>
      </c>
      <c r="D1078" s="213" t="n">
        <v>5</v>
      </c>
      <c r="E1078" s="211"/>
    </row>
    <row r="1079" customFormat="false" ht="15" hidden="false" customHeight="false" outlineLevel="0" collapsed="false">
      <c r="A1079" s="20" t="n">
        <v>13</v>
      </c>
      <c r="B1079" s="210"/>
      <c r="C1079" s="162" t="s">
        <v>962</v>
      </c>
      <c r="D1079" s="23" t="n">
        <v>5</v>
      </c>
      <c r="E1079" s="210"/>
    </row>
    <row r="1080" customFormat="false" ht="15" hidden="false" customHeight="false" outlineLevel="0" collapsed="false">
      <c r="A1080" s="178" t="n">
        <v>14</v>
      </c>
      <c r="B1080" s="211"/>
      <c r="C1080" s="212" t="s">
        <v>939</v>
      </c>
      <c r="D1080" s="213" t="n">
        <v>4</v>
      </c>
      <c r="E1080" s="211"/>
    </row>
    <row r="1081" customFormat="false" ht="15" hidden="false" customHeight="false" outlineLevel="0" collapsed="false">
      <c r="A1081" s="20" t="n">
        <v>15</v>
      </c>
      <c r="B1081" s="210"/>
      <c r="C1081" s="162" t="s">
        <v>63</v>
      </c>
      <c r="D1081" s="23" t="n">
        <v>3</v>
      </c>
      <c r="E1081" s="210"/>
    </row>
    <row r="1082" customFormat="false" ht="15" hidden="false" customHeight="false" outlineLevel="0" collapsed="false">
      <c r="A1082" s="178" t="n">
        <v>16</v>
      </c>
      <c r="B1082" s="211"/>
      <c r="C1082" s="212" t="s">
        <v>121</v>
      </c>
      <c r="D1082" s="213" t="n">
        <v>2</v>
      </c>
      <c r="E1082" s="211"/>
    </row>
    <row r="1083" customFormat="false" ht="15" hidden="false" customHeight="false" outlineLevel="0" collapsed="false">
      <c r="A1083" s="20" t="n">
        <v>17</v>
      </c>
      <c r="B1083" s="210"/>
      <c r="C1083" s="162" t="s">
        <v>942</v>
      </c>
      <c r="D1083" s="23" t="n">
        <v>2</v>
      </c>
      <c r="E1083" s="210"/>
    </row>
    <row r="1084" customFormat="false" ht="15" hidden="false" customHeight="false" outlineLevel="0" collapsed="false">
      <c r="A1084" s="178" t="n">
        <v>18</v>
      </c>
      <c r="B1084" s="211"/>
      <c r="C1084" s="212" t="s">
        <v>108</v>
      </c>
      <c r="D1084" s="213" t="n">
        <v>2</v>
      </c>
      <c r="E1084" s="211"/>
    </row>
    <row r="1085" customFormat="false" ht="15" hidden="false" customHeight="false" outlineLevel="0" collapsed="false">
      <c r="A1085" s="20" t="n">
        <v>19</v>
      </c>
      <c r="B1085" s="210"/>
      <c r="C1085" s="162" t="s">
        <v>86</v>
      </c>
      <c r="D1085" s="23" t="n">
        <v>2</v>
      </c>
      <c r="E1085" s="210"/>
    </row>
    <row r="1086" customFormat="false" ht="15" hidden="false" customHeight="false" outlineLevel="0" collapsed="false">
      <c r="A1086" s="178" t="n">
        <v>20</v>
      </c>
      <c r="B1086" s="211"/>
      <c r="C1086" s="212" t="s">
        <v>100</v>
      </c>
      <c r="D1086" s="213" t="n">
        <v>2</v>
      </c>
      <c r="E1086" s="211"/>
    </row>
    <row r="1087" customFormat="false" ht="15" hidden="false" customHeight="false" outlineLevel="0" collapsed="false">
      <c r="A1087" s="20" t="n">
        <v>21</v>
      </c>
      <c r="B1087" s="210"/>
      <c r="C1087" s="162" t="s">
        <v>62</v>
      </c>
      <c r="D1087" s="23" t="n">
        <v>2</v>
      </c>
      <c r="E1087" s="210"/>
    </row>
    <row r="1088" customFormat="false" ht="15" hidden="false" customHeight="false" outlineLevel="0" collapsed="false">
      <c r="A1088" s="178" t="n">
        <v>22</v>
      </c>
      <c r="B1088" s="211"/>
      <c r="C1088" s="212" t="s">
        <v>118</v>
      </c>
      <c r="D1088" s="213" t="n">
        <v>1</v>
      </c>
      <c r="E1088" s="211"/>
    </row>
    <row r="1089" customFormat="false" ht="15" hidden="false" customHeight="false" outlineLevel="0" collapsed="false">
      <c r="A1089" s="218" t="s">
        <v>1100</v>
      </c>
      <c r="B1089" s="218"/>
      <c r="C1089" s="218"/>
      <c r="D1089" s="219" t="n">
        <v>630</v>
      </c>
      <c r="E1089" s="220"/>
    </row>
    <row r="1091" customFormat="false" ht="37.5" hidden="false" customHeight="true" outlineLevel="0" collapsed="false">
      <c r="A1091" s="206" t="s">
        <v>1101</v>
      </c>
      <c r="B1091" s="206"/>
      <c r="C1091" s="206"/>
      <c r="D1091" s="206"/>
      <c r="E1091" s="206"/>
    </row>
    <row r="1092" customFormat="false" ht="15" hidden="false" customHeight="false" outlineLevel="0" collapsed="false">
      <c r="A1092" s="207" t="s">
        <v>1102</v>
      </c>
      <c r="B1092" s="207"/>
      <c r="C1092" s="207"/>
      <c r="D1092" s="207"/>
      <c r="E1092" s="207"/>
    </row>
    <row r="1093" customFormat="false" ht="14.15" hidden="false" customHeight="false" outlineLevel="0" collapsed="false">
      <c r="A1093" s="208" t="s">
        <v>1103</v>
      </c>
      <c r="B1093" s="208"/>
      <c r="C1093" s="208"/>
      <c r="D1093" s="208"/>
      <c r="E1093" s="208"/>
    </row>
    <row r="1094" customFormat="false" ht="15" hidden="false" customHeight="false" outlineLevel="0" collapsed="false">
      <c r="A1094" s="182" t="s">
        <v>46</v>
      </c>
      <c r="B1094" s="182"/>
      <c r="C1094" s="209" t="s">
        <v>932</v>
      </c>
      <c r="D1094" s="209" t="s">
        <v>933</v>
      </c>
      <c r="E1094" s="182"/>
    </row>
    <row r="1095" customFormat="false" ht="15" hidden="false" customHeight="false" outlineLevel="0" collapsed="false">
      <c r="A1095" s="20" t="n">
        <v>1</v>
      </c>
      <c r="B1095" s="210"/>
      <c r="C1095" s="162" t="s">
        <v>934</v>
      </c>
      <c r="D1095" s="23" t="n">
        <v>145</v>
      </c>
      <c r="E1095" s="210"/>
    </row>
    <row r="1096" customFormat="false" ht="15" hidden="false" customHeight="false" outlineLevel="0" collapsed="false">
      <c r="A1096" s="178" t="n">
        <v>2</v>
      </c>
      <c r="B1096" s="211"/>
      <c r="C1096" s="212" t="s">
        <v>935</v>
      </c>
      <c r="D1096" s="213" t="n">
        <v>58</v>
      </c>
      <c r="E1096" s="211"/>
    </row>
    <row r="1097" customFormat="false" ht="15" hidden="false" customHeight="false" outlineLevel="0" collapsed="false">
      <c r="A1097" s="20" t="n">
        <v>3</v>
      </c>
      <c r="B1097" s="210"/>
      <c r="C1097" s="162" t="s">
        <v>936</v>
      </c>
      <c r="D1097" s="23" t="n">
        <v>52</v>
      </c>
      <c r="E1097" s="210"/>
    </row>
    <row r="1098" customFormat="false" ht="15" hidden="false" customHeight="false" outlineLevel="0" collapsed="false">
      <c r="A1098" s="178" t="n">
        <v>4</v>
      </c>
      <c r="B1098" s="211"/>
      <c r="C1098" s="212" t="s">
        <v>937</v>
      </c>
      <c r="D1098" s="213" t="n">
        <v>26</v>
      </c>
      <c r="E1098" s="211"/>
    </row>
    <row r="1099" customFormat="false" ht="15" hidden="false" customHeight="false" outlineLevel="0" collapsed="false">
      <c r="A1099" s="20" t="n">
        <v>5</v>
      </c>
      <c r="B1099" s="210"/>
      <c r="C1099" s="162" t="s">
        <v>113</v>
      </c>
      <c r="D1099" s="23" t="n">
        <v>24</v>
      </c>
      <c r="E1099" s="210"/>
    </row>
    <row r="1100" customFormat="false" ht="15" hidden="false" customHeight="false" outlineLevel="0" collapsed="false">
      <c r="A1100" s="178" t="n">
        <v>6</v>
      </c>
      <c r="B1100" s="211"/>
      <c r="C1100" s="212" t="s">
        <v>939</v>
      </c>
      <c r="D1100" s="213" t="n">
        <v>10</v>
      </c>
      <c r="E1100" s="211"/>
    </row>
    <row r="1101" customFormat="false" ht="15" hidden="false" customHeight="false" outlineLevel="0" collapsed="false">
      <c r="A1101" s="20" t="n">
        <v>7</v>
      </c>
      <c r="B1101" s="210"/>
      <c r="C1101" s="162" t="s">
        <v>938</v>
      </c>
      <c r="D1101" s="23" t="n">
        <v>9</v>
      </c>
      <c r="E1101" s="210"/>
    </row>
    <row r="1102" customFormat="false" ht="15" hidden="false" customHeight="false" outlineLevel="0" collapsed="false">
      <c r="A1102" s="178" t="n">
        <v>8</v>
      </c>
      <c r="B1102" s="211"/>
      <c r="C1102" s="212" t="s">
        <v>940</v>
      </c>
      <c r="D1102" s="213" t="n">
        <v>7</v>
      </c>
      <c r="E1102" s="211"/>
    </row>
    <row r="1103" customFormat="false" ht="15" hidden="false" customHeight="false" outlineLevel="0" collapsed="false">
      <c r="A1103" s="20" t="n">
        <v>9</v>
      </c>
      <c r="B1103" s="210"/>
      <c r="C1103" s="162" t="s">
        <v>99</v>
      </c>
      <c r="D1103" s="23" t="n">
        <v>7</v>
      </c>
      <c r="E1103" s="210"/>
    </row>
    <row r="1104" customFormat="false" ht="15" hidden="false" customHeight="false" outlineLevel="0" collapsed="false">
      <c r="A1104" s="178" t="n">
        <v>10</v>
      </c>
      <c r="B1104" s="211"/>
      <c r="C1104" s="212" t="s">
        <v>941</v>
      </c>
      <c r="D1104" s="213" t="n">
        <v>4</v>
      </c>
      <c r="E1104" s="211"/>
    </row>
    <row r="1105" customFormat="false" ht="15" hidden="false" customHeight="false" outlineLevel="0" collapsed="false">
      <c r="A1105" s="20" t="n">
        <v>11</v>
      </c>
      <c r="B1105" s="210"/>
      <c r="C1105" s="162" t="s">
        <v>118</v>
      </c>
      <c r="D1105" s="23" t="n">
        <v>3</v>
      </c>
      <c r="E1105" s="210"/>
    </row>
    <row r="1106" customFormat="false" ht="15" hidden="false" customHeight="false" outlineLevel="0" collapsed="false">
      <c r="A1106" s="178" t="n">
        <v>12</v>
      </c>
      <c r="B1106" s="211"/>
      <c r="C1106" s="212" t="s">
        <v>121</v>
      </c>
      <c r="D1106" s="213" t="n">
        <v>2</v>
      </c>
      <c r="E1106" s="211"/>
    </row>
    <row r="1107" customFormat="false" ht="15" hidden="false" customHeight="false" outlineLevel="0" collapsed="false">
      <c r="A1107" s="20" t="n">
        <v>13</v>
      </c>
      <c r="B1107" s="210"/>
      <c r="C1107" s="162" t="s">
        <v>942</v>
      </c>
      <c r="D1107" s="23" t="n">
        <v>2</v>
      </c>
      <c r="E1107" s="210"/>
    </row>
    <row r="1108" customFormat="false" ht="15" hidden="false" customHeight="false" outlineLevel="0" collapsed="false">
      <c r="A1108" s="214" t="s">
        <v>1104</v>
      </c>
      <c r="B1108" s="214"/>
      <c r="C1108" s="214"/>
      <c r="D1108" s="215" t="n">
        <v>349</v>
      </c>
      <c r="E1108" s="216"/>
    </row>
    <row r="1109" customFormat="false" ht="14.15" hidden="false" customHeight="false" outlineLevel="0" collapsed="false">
      <c r="A1109" s="208" t="s">
        <v>1105</v>
      </c>
      <c r="B1109" s="208"/>
      <c r="C1109" s="208"/>
      <c r="D1109" s="208"/>
      <c r="E1109" s="208"/>
    </row>
    <row r="1110" customFormat="false" ht="15" hidden="false" customHeight="false" outlineLevel="0" collapsed="false">
      <c r="A1110" s="182" t="s">
        <v>46</v>
      </c>
      <c r="B1110" s="182"/>
      <c r="C1110" s="209" t="s">
        <v>932</v>
      </c>
      <c r="D1110" s="209" t="s">
        <v>933</v>
      </c>
      <c r="E1110" s="182"/>
    </row>
    <row r="1111" customFormat="false" ht="15" hidden="false" customHeight="false" outlineLevel="0" collapsed="false">
      <c r="A1111" s="20" t="n">
        <v>1</v>
      </c>
      <c r="B1111" s="210"/>
      <c r="C1111" s="162" t="s">
        <v>113</v>
      </c>
      <c r="D1111" s="23" t="n">
        <v>72</v>
      </c>
      <c r="E1111" s="210"/>
    </row>
    <row r="1112" customFormat="false" ht="15" hidden="false" customHeight="false" outlineLevel="0" collapsed="false">
      <c r="A1112" s="178" t="n">
        <v>2</v>
      </c>
      <c r="B1112" s="211"/>
      <c r="C1112" s="212" t="s">
        <v>934</v>
      </c>
      <c r="D1112" s="213" t="n">
        <v>67</v>
      </c>
      <c r="E1112" s="211"/>
    </row>
    <row r="1113" customFormat="false" ht="15" hidden="false" customHeight="false" outlineLevel="0" collapsed="false">
      <c r="A1113" s="20" t="n">
        <v>3</v>
      </c>
      <c r="B1113" s="210"/>
      <c r="C1113" s="162" t="s">
        <v>952</v>
      </c>
      <c r="D1113" s="23" t="n">
        <v>59</v>
      </c>
      <c r="E1113" s="210"/>
    </row>
    <row r="1114" customFormat="false" ht="15" hidden="false" customHeight="false" outlineLevel="0" collapsed="false">
      <c r="A1114" s="178" t="n">
        <v>4</v>
      </c>
      <c r="B1114" s="211"/>
      <c r="C1114" s="212" t="s">
        <v>99</v>
      </c>
      <c r="D1114" s="213" t="n">
        <v>17</v>
      </c>
      <c r="E1114" s="211"/>
    </row>
    <row r="1115" customFormat="false" ht="15" hidden="false" customHeight="false" outlineLevel="0" collapsed="false">
      <c r="A1115" s="20" t="n">
        <v>5</v>
      </c>
      <c r="B1115" s="210"/>
      <c r="C1115" s="162" t="s">
        <v>940</v>
      </c>
      <c r="D1115" s="23" t="n">
        <v>7</v>
      </c>
      <c r="E1115" s="210"/>
    </row>
    <row r="1116" customFormat="false" ht="15" hidden="false" customHeight="false" outlineLevel="0" collapsed="false">
      <c r="A1116" s="178" t="n">
        <v>6</v>
      </c>
      <c r="B1116" s="211"/>
      <c r="C1116" s="212" t="s">
        <v>1054</v>
      </c>
      <c r="D1116" s="213" t="n">
        <v>4</v>
      </c>
      <c r="E1116" s="211"/>
    </row>
    <row r="1117" customFormat="false" ht="15" hidden="false" customHeight="false" outlineLevel="0" collapsed="false">
      <c r="A1117" s="20" t="n">
        <v>7</v>
      </c>
      <c r="B1117" s="210"/>
      <c r="C1117" s="162" t="s">
        <v>1106</v>
      </c>
      <c r="D1117" s="23" t="n">
        <v>2</v>
      </c>
      <c r="E1117" s="210"/>
    </row>
    <row r="1118" customFormat="false" ht="15" hidden="false" customHeight="false" outlineLevel="0" collapsed="false">
      <c r="A1118" s="178" t="n">
        <v>8</v>
      </c>
      <c r="B1118" s="211"/>
      <c r="C1118" s="212" t="s">
        <v>960</v>
      </c>
      <c r="D1118" s="213" t="n">
        <v>1</v>
      </c>
      <c r="E1118" s="211"/>
    </row>
    <row r="1119" customFormat="false" ht="15" hidden="false" customHeight="false" outlineLevel="0" collapsed="false">
      <c r="A1119" s="20" t="n">
        <v>9</v>
      </c>
      <c r="B1119" s="210"/>
      <c r="C1119" s="162" t="s">
        <v>967</v>
      </c>
      <c r="D1119" s="23" t="n">
        <v>1</v>
      </c>
      <c r="E1119" s="210"/>
    </row>
    <row r="1120" customFormat="false" ht="15" hidden="false" customHeight="false" outlineLevel="0" collapsed="false">
      <c r="A1120" s="178" t="n">
        <v>10</v>
      </c>
      <c r="B1120" s="211"/>
      <c r="C1120" s="212" t="s">
        <v>60</v>
      </c>
      <c r="D1120" s="213" t="n">
        <v>1</v>
      </c>
      <c r="E1120" s="211"/>
    </row>
    <row r="1121" customFormat="false" ht="15" hidden="false" customHeight="false" outlineLevel="0" collapsed="false">
      <c r="A1121" s="20" t="n">
        <v>11</v>
      </c>
      <c r="B1121" s="210"/>
      <c r="C1121" s="162" t="s">
        <v>93</v>
      </c>
      <c r="D1121" s="23" t="n">
        <v>1</v>
      </c>
      <c r="E1121" s="210"/>
    </row>
    <row r="1122" customFormat="false" ht="15" hidden="false" customHeight="false" outlineLevel="0" collapsed="false">
      <c r="A1122" s="178" t="n">
        <v>12</v>
      </c>
      <c r="B1122" s="211"/>
      <c r="C1122" s="212" t="s">
        <v>118</v>
      </c>
      <c r="D1122" s="213" t="n">
        <v>1</v>
      </c>
      <c r="E1122" s="211"/>
    </row>
    <row r="1123" customFormat="false" ht="15" hidden="false" customHeight="false" outlineLevel="0" collapsed="false">
      <c r="A1123" s="20" t="n">
        <v>13</v>
      </c>
      <c r="B1123" s="210"/>
      <c r="C1123" s="162" t="s">
        <v>121</v>
      </c>
      <c r="D1123" s="23" t="n">
        <v>1</v>
      </c>
      <c r="E1123" s="210"/>
    </row>
    <row r="1124" customFormat="false" ht="15" hidden="false" customHeight="false" outlineLevel="0" collapsed="false">
      <c r="A1124" s="178" t="n">
        <v>14</v>
      </c>
      <c r="B1124" s="211"/>
      <c r="C1124" s="212" t="s">
        <v>942</v>
      </c>
      <c r="D1124" s="213" t="n">
        <v>1</v>
      </c>
      <c r="E1124" s="211"/>
    </row>
    <row r="1125" customFormat="false" ht="15" hidden="false" customHeight="false" outlineLevel="0" collapsed="false">
      <c r="A1125" s="20" t="n">
        <v>15</v>
      </c>
      <c r="B1125" s="210"/>
      <c r="C1125" s="162" t="s">
        <v>109</v>
      </c>
      <c r="D1125" s="23" t="n">
        <v>1</v>
      </c>
      <c r="E1125" s="210"/>
    </row>
    <row r="1126" customFormat="false" ht="15" hidden="false" customHeight="false" outlineLevel="0" collapsed="false">
      <c r="A1126" s="214" t="s">
        <v>1107</v>
      </c>
      <c r="B1126" s="214"/>
      <c r="C1126" s="214"/>
      <c r="D1126" s="215" t="n">
        <v>236</v>
      </c>
      <c r="E1126" s="216"/>
    </row>
    <row r="1127" customFormat="false" ht="14.15" hidden="false" customHeight="false" outlineLevel="0" collapsed="false">
      <c r="A1127" s="208" t="s">
        <v>1108</v>
      </c>
      <c r="B1127" s="208"/>
      <c r="C1127" s="208"/>
      <c r="D1127" s="208"/>
      <c r="E1127" s="208"/>
    </row>
    <row r="1128" customFormat="false" ht="15" hidden="false" customHeight="false" outlineLevel="0" collapsed="false">
      <c r="A1128" s="182" t="s">
        <v>46</v>
      </c>
      <c r="B1128" s="182"/>
      <c r="C1128" s="209" t="s">
        <v>932</v>
      </c>
      <c r="D1128" s="209" t="s">
        <v>933</v>
      </c>
      <c r="E1128" s="182"/>
    </row>
    <row r="1129" customFormat="false" ht="15" hidden="false" customHeight="false" outlineLevel="0" collapsed="false">
      <c r="A1129" s="20" t="n">
        <v>1</v>
      </c>
      <c r="B1129" s="210"/>
      <c r="C1129" s="162" t="s">
        <v>952</v>
      </c>
      <c r="D1129" s="23" t="n">
        <v>161</v>
      </c>
      <c r="E1129" s="210"/>
    </row>
    <row r="1130" customFormat="false" ht="15" hidden="false" customHeight="false" outlineLevel="0" collapsed="false">
      <c r="A1130" s="178" t="n">
        <v>2</v>
      </c>
      <c r="B1130" s="211"/>
      <c r="C1130" s="212" t="s">
        <v>113</v>
      </c>
      <c r="D1130" s="213" t="n">
        <v>31</v>
      </c>
      <c r="E1130" s="211"/>
    </row>
    <row r="1131" customFormat="false" ht="15" hidden="false" customHeight="false" outlineLevel="0" collapsed="false">
      <c r="A1131" s="20" t="n">
        <v>3</v>
      </c>
      <c r="B1131" s="210"/>
      <c r="C1131" s="162" t="s">
        <v>99</v>
      </c>
      <c r="D1131" s="23" t="n">
        <v>20</v>
      </c>
      <c r="E1131" s="210"/>
    </row>
    <row r="1132" customFormat="false" ht="15" hidden="false" customHeight="false" outlineLevel="0" collapsed="false">
      <c r="A1132" s="178" t="n">
        <v>4</v>
      </c>
      <c r="B1132" s="211"/>
      <c r="C1132" s="212" t="s">
        <v>953</v>
      </c>
      <c r="D1132" s="213" t="n">
        <v>16</v>
      </c>
      <c r="E1132" s="211"/>
    </row>
    <row r="1133" customFormat="false" ht="15" hidden="false" customHeight="false" outlineLevel="0" collapsed="false">
      <c r="A1133" s="20" t="n">
        <v>5</v>
      </c>
      <c r="B1133" s="210"/>
      <c r="C1133" s="162" t="s">
        <v>954</v>
      </c>
      <c r="D1133" s="23" t="n">
        <v>4</v>
      </c>
      <c r="E1133" s="210"/>
    </row>
    <row r="1134" customFormat="false" ht="15" hidden="false" customHeight="false" outlineLevel="0" collapsed="false">
      <c r="A1134" s="178" t="n">
        <v>6</v>
      </c>
      <c r="B1134" s="211"/>
      <c r="C1134" s="212" t="s">
        <v>999</v>
      </c>
      <c r="D1134" s="213" t="n">
        <v>4</v>
      </c>
      <c r="E1134" s="211"/>
    </row>
    <row r="1135" customFormat="false" ht="15" hidden="false" customHeight="false" outlineLevel="0" collapsed="false">
      <c r="A1135" s="20" t="n">
        <v>7</v>
      </c>
      <c r="B1135" s="210"/>
      <c r="C1135" s="162" t="s">
        <v>121</v>
      </c>
      <c r="D1135" s="23" t="n">
        <v>2</v>
      </c>
      <c r="E1135" s="210"/>
    </row>
    <row r="1136" customFormat="false" ht="15" hidden="false" customHeight="false" outlineLevel="0" collapsed="false">
      <c r="A1136" s="178" t="n">
        <v>8</v>
      </c>
      <c r="B1136" s="211"/>
      <c r="C1136" s="212" t="s">
        <v>973</v>
      </c>
      <c r="D1136" s="213" t="n">
        <v>1</v>
      </c>
      <c r="E1136" s="211"/>
    </row>
    <row r="1137" customFormat="false" ht="15" hidden="false" customHeight="false" outlineLevel="0" collapsed="false">
      <c r="A1137" s="214" t="s">
        <v>1109</v>
      </c>
      <c r="B1137" s="214"/>
      <c r="C1137" s="214"/>
      <c r="D1137" s="215" t="n">
        <v>239</v>
      </c>
      <c r="E1137" s="216"/>
    </row>
    <row r="1139" customFormat="false" ht="15" hidden="false" customHeight="false" outlineLevel="0" collapsed="false">
      <c r="A1139" s="217" t="s">
        <v>944</v>
      </c>
      <c r="B1139" s="217"/>
      <c r="C1139" s="217"/>
      <c r="D1139" s="217"/>
      <c r="E1139" s="217"/>
    </row>
    <row r="1140" customFormat="false" ht="15" hidden="false" customHeight="false" outlineLevel="0" collapsed="false">
      <c r="A1140" s="182" t="s">
        <v>46</v>
      </c>
      <c r="B1140" s="182"/>
      <c r="C1140" s="209" t="s">
        <v>932</v>
      </c>
      <c r="D1140" s="209" t="s">
        <v>945</v>
      </c>
      <c r="E1140" s="182"/>
    </row>
    <row r="1141" customFormat="false" ht="15" hidden="false" customHeight="false" outlineLevel="0" collapsed="false">
      <c r="A1141" s="20" t="n">
        <v>1</v>
      </c>
      <c r="B1141" s="210"/>
      <c r="C1141" s="162" t="s">
        <v>952</v>
      </c>
      <c r="D1141" s="23" t="n">
        <v>220</v>
      </c>
      <c r="E1141" s="210"/>
    </row>
    <row r="1142" customFormat="false" ht="15" hidden="false" customHeight="false" outlineLevel="0" collapsed="false">
      <c r="A1142" s="178" t="n">
        <v>2</v>
      </c>
      <c r="B1142" s="211"/>
      <c r="C1142" s="212" t="s">
        <v>934</v>
      </c>
      <c r="D1142" s="213" t="n">
        <v>212</v>
      </c>
      <c r="E1142" s="211"/>
    </row>
    <row r="1143" customFormat="false" ht="15" hidden="false" customHeight="false" outlineLevel="0" collapsed="false">
      <c r="A1143" s="20" t="n">
        <v>3</v>
      </c>
      <c r="B1143" s="210"/>
      <c r="C1143" s="162" t="s">
        <v>113</v>
      </c>
      <c r="D1143" s="23" t="n">
        <v>127</v>
      </c>
      <c r="E1143" s="210"/>
    </row>
    <row r="1144" customFormat="false" ht="15" hidden="false" customHeight="false" outlineLevel="0" collapsed="false">
      <c r="A1144" s="178" t="n">
        <v>4</v>
      </c>
      <c r="B1144" s="211"/>
      <c r="C1144" s="212" t="s">
        <v>935</v>
      </c>
      <c r="D1144" s="213" t="n">
        <v>58</v>
      </c>
      <c r="E1144" s="211"/>
    </row>
    <row r="1145" customFormat="false" ht="15" hidden="false" customHeight="false" outlineLevel="0" collapsed="false">
      <c r="A1145" s="20" t="n">
        <v>5</v>
      </c>
      <c r="B1145" s="210"/>
      <c r="C1145" s="162" t="s">
        <v>936</v>
      </c>
      <c r="D1145" s="23" t="n">
        <v>52</v>
      </c>
      <c r="E1145" s="210"/>
    </row>
    <row r="1146" customFormat="false" ht="15" hidden="false" customHeight="false" outlineLevel="0" collapsed="false">
      <c r="A1146" s="178" t="n">
        <v>6</v>
      </c>
      <c r="B1146" s="211"/>
      <c r="C1146" s="212" t="s">
        <v>99</v>
      </c>
      <c r="D1146" s="213" t="n">
        <v>44</v>
      </c>
      <c r="E1146" s="211"/>
    </row>
    <row r="1147" customFormat="false" ht="15" hidden="false" customHeight="false" outlineLevel="0" collapsed="false">
      <c r="A1147" s="20" t="n">
        <v>7</v>
      </c>
      <c r="B1147" s="210"/>
      <c r="C1147" s="162" t="s">
        <v>937</v>
      </c>
      <c r="D1147" s="23" t="n">
        <v>26</v>
      </c>
      <c r="E1147" s="210"/>
    </row>
    <row r="1148" customFormat="false" ht="15" hidden="false" customHeight="false" outlineLevel="0" collapsed="false">
      <c r="A1148" s="178" t="n">
        <v>8</v>
      </c>
      <c r="B1148" s="211"/>
      <c r="C1148" s="212" t="s">
        <v>953</v>
      </c>
      <c r="D1148" s="213" t="n">
        <v>16</v>
      </c>
      <c r="E1148" s="211"/>
    </row>
    <row r="1149" customFormat="false" ht="15" hidden="false" customHeight="false" outlineLevel="0" collapsed="false">
      <c r="A1149" s="20" t="n">
        <v>9</v>
      </c>
      <c r="B1149" s="210"/>
      <c r="C1149" s="162" t="s">
        <v>940</v>
      </c>
      <c r="D1149" s="23" t="n">
        <v>14</v>
      </c>
      <c r="E1149" s="210"/>
    </row>
    <row r="1150" customFormat="false" ht="15" hidden="false" customHeight="false" outlineLevel="0" collapsed="false">
      <c r="A1150" s="178" t="n">
        <v>10</v>
      </c>
      <c r="B1150" s="211"/>
      <c r="C1150" s="212" t="s">
        <v>939</v>
      </c>
      <c r="D1150" s="213" t="n">
        <v>10</v>
      </c>
      <c r="E1150" s="211"/>
    </row>
    <row r="1151" customFormat="false" ht="15" hidden="false" customHeight="false" outlineLevel="0" collapsed="false">
      <c r="A1151" s="20" t="n">
        <v>11</v>
      </c>
      <c r="B1151" s="210"/>
      <c r="C1151" s="162" t="s">
        <v>938</v>
      </c>
      <c r="D1151" s="23" t="n">
        <v>9</v>
      </c>
      <c r="E1151" s="210"/>
    </row>
    <row r="1152" customFormat="false" ht="15" hidden="false" customHeight="false" outlineLevel="0" collapsed="false">
      <c r="A1152" s="178" t="n">
        <v>12</v>
      </c>
      <c r="B1152" s="211"/>
      <c r="C1152" s="212" t="s">
        <v>121</v>
      </c>
      <c r="D1152" s="213" t="n">
        <v>5</v>
      </c>
      <c r="E1152" s="211"/>
    </row>
    <row r="1153" customFormat="false" ht="15" hidden="false" customHeight="false" outlineLevel="0" collapsed="false">
      <c r="A1153" s="20" t="n">
        <v>13</v>
      </c>
      <c r="B1153" s="210"/>
      <c r="C1153" s="162" t="s">
        <v>941</v>
      </c>
      <c r="D1153" s="23" t="n">
        <v>4</v>
      </c>
      <c r="E1153" s="210"/>
    </row>
    <row r="1154" customFormat="false" ht="15" hidden="false" customHeight="false" outlineLevel="0" collapsed="false">
      <c r="A1154" s="178" t="n">
        <v>14</v>
      </c>
      <c r="B1154" s="211"/>
      <c r="C1154" s="212" t="s">
        <v>118</v>
      </c>
      <c r="D1154" s="213" t="n">
        <v>4</v>
      </c>
      <c r="E1154" s="211"/>
    </row>
    <row r="1155" customFormat="false" ht="15" hidden="false" customHeight="false" outlineLevel="0" collapsed="false">
      <c r="A1155" s="20" t="n">
        <v>15</v>
      </c>
      <c r="B1155" s="210"/>
      <c r="C1155" s="162" t="s">
        <v>1054</v>
      </c>
      <c r="D1155" s="23" t="n">
        <v>4</v>
      </c>
      <c r="E1155" s="210"/>
    </row>
    <row r="1156" customFormat="false" ht="15" hidden="false" customHeight="false" outlineLevel="0" collapsed="false">
      <c r="A1156" s="178" t="n">
        <v>16</v>
      </c>
      <c r="B1156" s="211"/>
      <c r="C1156" s="212" t="s">
        <v>954</v>
      </c>
      <c r="D1156" s="213" t="n">
        <v>4</v>
      </c>
      <c r="E1156" s="211"/>
    </row>
    <row r="1157" customFormat="false" ht="15" hidden="false" customHeight="false" outlineLevel="0" collapsed="false">
      <c r="A1157" s="20" t="n">
        <v>17</v>
      </c>
      <c r="B1157" s="210"/>
      <c r="C1157" s="162" t="s">
        <v>999</v>
      </c>
      <c r="D1157" s="23" t="n">
        <v>4</v>
      </c>
      <c r="E1157" s="210"/>
    </row>
    <row r="1158" customFormat="false" ht="15" hidden="false" customHeight="false" outlineLevel="0" collapsed="false">
      <c r="A1158" s="178" t="n">
        <v>18</v>
      </c>
      <c r="B1158" s="211"/>
      <c r="C1158" s="212" t="s">
        <v>942</v>
      </c>
      <c r="D1158" s="213" t="n">
        <v>3</v>
      </c>
      <c r="E1158" s="211"/>
    </row>
    <row r="1159" customFormat="false" ht="15" hidden="false" customHeight="false" outlineLevel="0" collapsed="false">
      <c r="A1159" s="20" t="n">
        <v>19</v>
      </c>
      <c r="B1159" s="210"/>
      <c r="C1159" s="162" t="s">
        <v>1106</v>
      </c>
      <c r="D1159" s="23" t="n">
        <v>2</v>
      </c>
      <c r="E1159" s="210"/>
    </row>
    <row r="1160" customFormat="false" ht="15" hidden="false" customHeight="false" outlineLevel="0" collapsed="false">
      <c r="A1160" s="178" t="n">
        <v>20</v>
      </c>
      <c r="B1160" s="211"/>
      <c r="C1160" s="212" t="s">
        <v>960</v>
      </c>
      <c r="D1160" s="213" t="n">
        <v>1</v>
      </c>
      <c r="E1160" s="211"/>
    </row>
    <row r="1161" customFormat="false" ht="15" hidden="false" customHeight="false" outlineLevel="0" collapsed="false">
      <c r="A1161" s="20" t="n">
        <v>21</v>
      </c>
      <c r="B1161" s="210"/>
      <c r="C1161" s="162" t="s">
        <v>967</v>
      </c>
      <c r="D1161" s="23" t="n">
        <v>1</v>
      </c>
      <c r="E1161" s="210"/>
    </row>
    <row r="1162" customFormat="false" ht="15" hidden="false" customHeight="false" outlineLevel="0" collapsed="false">
      <c r="A1162" s="178" t="n">
        <v>22</v>
      </c>
      <c r="B1162" s="211"/>
      <c r="C1162" s="212" t="s">
        <v>60</v>
      </c>
      <c r="D1162" s="213" t="n">
        <v>1</v>
      </c>
      <c r="E1162" s="211"/>
    </row>
    <row r="1163" customFormat="false" ht="15" hidden="false" customHeight="false" outlineLevel="0" collapsed="false">
      <c r="A1163" s="20" t="n">
        <v>23</v>
      </c>
      <c r="B1163" s="210"/>
      <c r="C1163" s="162" t="s">
        <v>93</v>
      </c>
      <c r="D1163" s="23" t="n">
        <v>1</v>
      </c>
      <c r="E1163" s="210"/>
    </row>
    <row r="1164" customFormat="false" ht="15" hidden="false" customHeight="false" outlineLevel="0" collapsed="false">
      <c r="A1164" s="178" t="n">
        <v>24</v>
      </c>
      <c r="B1164" s="211"/>
      <c r="C1164" s="212" t="s">
        <v>109</v>
      </c>
      <c r="D1164" s="213" t="n">
        <v>1</v>
      </c>
      <c r="E1164" s="211"/>
    </row>
    <row r="1165" customFormat="false" ht="15" hidden="false" customHeight="false" outlineLevel="0" collapsed="false">
      <c r="A1165" s="20" t="n">
        <v>25</v>
      </c>
      <c r="B1165" s="210"/>
      <c r="C1165" s="162" t="s">
        <v>973</v>
      </c>
      <c r="D1165" s="23" t="n">
        <v>1</v>
      </c>
      <c r="E1165" s="210"/>
    </row>
    <row r="1166" customFormat="false" ht="15" hidden="false" customHeight="false" outlineLevel="0" collapsed="false">
      <c r="A1166" s="218" t="s">
        <v>1110</v>
      </c>
      <c r="B1166" s="218"/>
      <c r="C1166" s="218"/>
      <c r="D1166" s="219" t="n">
        <v>824</v>
      </c>
      <c r="E1166" s="220"/>
    </row>
    <row r="1168" customFormat="false" ht="37.5" hidden="false" customHeight="true" outlineLevel="0" collapsed="false">
      <c r="A1168" s="206" t="s">
        <v>1111</v>
      </c>
      <c r="B1168" s="206"/>
      <c r="C1168" s="206"/>
      <c r="D1168" s="206"/>
      <c r="E1168" s="206"/>
    </row>
    <row r="1169" customFormat="false" ht="15" hidden="false" customHeight="false" outlineLevel="0" collapsed="false">
      <c r="A1169" s="207" t="s">
        <v>1112</v>
      </c>
      <c r="B1169" s="207"/>
      <c r="C1169" s="207"/>
      <c r="D1169" s="207"/>
      <c r="E1169" s="207"/>
    </row>
    <row r="1170" customFormat="false" ht="14.15" hidden="false" customHeight="false" outlineLevel="0" collapsed="false">
      <c r="A1170" s="208" t="s">
        <v>1113</v>
      </c>
      <c r="B1170" s="208"/>
      <c r="C1170" s="208"/>
      <c r="D1170" s="208"/>
      <c r="E1170" s="208"/>
    </row>
    <row r="1171" customFormat="false" ht="15" hidden="false" customHeight="false" outlineLevel="0" collapsed="false">
      <c r="A1171" s="182" t="s">
        <v>46</v>
      </c>
      <c r="B1171" s="182"/>
      <c r="C1171" s="209" t="s">
        <v>932</v>
      </c>
      <c r="D1171" s="209" t="s">
        <v>933</v>
      </c>
      <c r="E1171" s="182"/>
    </row>
    <row r="1172" customFormat="false" ht="15" hidden="false" customHeight="false" outlineLevel="0" collapsed="false">
      <c r="A1172" s="20" t="n">
        <v>1</v>
      </c>
      <c r="B1172" s="210"/>
      <c r="C1172" s="162" t="s">
        <v>934</v>
      </c>
      <c r="D1172" s="23" t="n">
        <v>131</v>
      </c>
      <c r="E1172" s="210"/>
    </row>
    <row r="1173" customFormat="false" ht="15" hidden="false" customHeight="false" outlineLevel="0" collapsed="false">
      <c r="A1173" s="178" t="n">
        <v>2</v>
      </c>
      <c r="B1173" s="211"/>
      <c r="C1173" s="212" t="s">
        <v>935</v>
      </c>
      <c r="D1173" s="213" t="n">
        <v>63</v>
      </c>
      <c r="E1173" s="211"/>
    </row>
    <row r="1174" customFormat="false" ht="15" hidden="false" customHeight="false" outlineLevel="0" collapsed="false">
      <c r="A1174" s="20" t="n">
        <v>3</v>
      </c>
      <c r="B1174" s="210"/>
      <c r="C1174" s="162" t="s">
        <v>113</v>
      </c>
      <c r="D1174" s="23" t="n">
        <v>52</v>
      </c>
      <c r="E1174" s="210"/>
    </row>
    <row r="1175" customFormat="false" ht="15" hidden="false" customHeight="false" outlineLevel="0" collapsed="false">
      <c r="A1175" s="178" t="n">
        <v>4</v>
      </c>
      <c r="B1175" s="211"/>
      <c r="C1175" s="212" t="s">
        <v>940</v>
      </c>
      <c r="D1175" s="213" t="n">
        <v>9</v>
      </c>
      <c r="E1175" s="211"/>
    </row>
    <row r="1176" customFormat="false" ht="15" hidden="false" customHeight="false" outlineLevel="0" collapsed="false">
      <c r="A1176" s="20" t="n">
        <v>5</v>
      </c>
      <c r="B1176" s="210"/>
      <c r="C1176" s="162" t="s">
        <v>99</v>
      </c>
      <c r="D1176" s="23" t="n">
        <v>9</v>
      </c>
      <c r="E1176" s="210"/>
    </row>
    <row r="1177" customFormat="false" ht="15" hidden="false" customHeight="false" outlineLevel="0" collapsed="false">
      <c r="A1177" s="178" t="n">
        <v>6</v>
      </c>
      <c r="B1177" s="211"/>
      <c r="C1177" s="212" t="s">
        <v>938</v>
      </c>
      <c r="D1177" s="213" t="n">
        <v>6</v>
      </c>
      <c r="E1177" s="211"/>
    </row>
    <row r="1178" customFormat="false" ht="15" hidden="false" customHeight="false" outlineLevel="0" collapsed="false">
      <c r="A1178" s="20" t="n">
        <v>7</v>
      </c>
      <c r="B1178" s="210"/>
      <c r="C1178" s="162" t="s">
        <v>121</v>
      </c>
      <c r="D1178" s="23" t="n">
        <v>3</v>
      </c>
      <c r="E1178" s="210"/>
    </row>
    <row r="1179" customFormat="false" ht="15" hidden="false" customHeight="false" outlineLevel="0" collapsed="false">
      <c r="A1179" s="178" t="n">
        <v>8</v>
      </c>
      <c r="B1179" s="211"/>
      <c r="C1179" s="212" t="s">
        <v>939</v>
      </c>
      <c r="D1179" s="213" t="n">
        <v>2</v>
      </c>
      <c r="E1179" s="211"/>
    </row>
    <row r="1180" customFormat="false" ht="15" hidden="false" customHeight="false" outlineLevel="0" collapsed="false">
      <c r="A1180" s="20" t="n">
        <v>9</v>
      </c>
      <c r="B1180" s="210"/>
      <c r="C1180" s="162" t="s">
        <v>118</v>
      </c>
      <c r="D1180" s="23" t="n">
        <v>2</v>
      </c>
      <c r="E1180" s="210"/>
    </row>
    <row r="1181" customFormat="false" ht="15" hidden="false" customHeight="false" outlineLevel="0" collapsed="false">
      <c r="A1181" s="178" t="n">
        <v>10</v>
      </c>
      <c r="B1181" s="211"/>
      <c r="C1181" s="212" t="s">
        <v>108</v>
      </c>
      <c r="D1181" s="213" t="n">
        <v>2</v>
      </c>
      <c r="E1181" s="211"/>
    </row>
    <row r="1182" customFormat="false" ht="15" hidden="false" customHeight="false" outlineLevel="0" collapsed="false">
      <c r="A1182" s="20" t="n">
        <v>11</v>
      </c>
      <c r="B1182" s="210"/>
      <c r="C1182" s="162" t="s">
        <v>942</v>
      </c>
      <c r="D1182" s="23" t="n">
        <v>1</v>
      </c>
      <c r="E1182" s="210"/>
    </row>
    <row r="1183" customFormat="false" ht="15" hidden="false" customHeight="false" outlineLevel="0" collapsed="false">
      <c r="A1183" s="214" t="s">
        <v>1114</v>
      </c>
      <c r="B1183" s="214"/>
      <c r="C1183" s="214"/>
      <c r="D1183" s="215" t="n">
        <v>280</v>
      </c>
      <c r="E1183" s="216"/>
    </row>
    <row r="1184" customFormat="false" ht="14.15" hidden="false" customHeight="false" outlineLevel="0" collapsed="false">
      <c r="A1184" s="208" t="s">
        <v>1115</v>
      </c>
      <c r="B1184" s="208"/>
      <c r="C1184" s="208"/>
      <c r="D1184" s="208"/>
      <c r="E1184" s="208"/>
    </row>
    <row r="1185" customFormat="false" ht="15" hidden="false" customHeight="false" outlineLevel="0" collapsed="false">
      <c r="A1185" s="182" t="s">
        <v>46</v>
      </c>
      <c r="B1185" s="182"/>
      <c r="C1185" s="209" t="s">
        <v>932</v>
      </c>
      <c r="D1185" s="209" t="s">
        <v>933</v>
      </c>
      <c r="E1185" s="182"/>
    </row>
    <row r="1186" customFormat="false" ht="15" hidden="false" customHeight="false" outlineLevel="0" collapsed="false">
      <c r="A1186" s="20" t="n">
        <v>1</v>
      </c>
      <c r="B1186" s="210"/>
      <c r="C1186" s="162" t="s">
        <v>952</v>
      </c>
      <c r="D1186" s="23" t="n">
        <v>96</v>
      </c>
      <c r="E1186" s="210"/>
    </row>
    <row r="1187" customFormat="false" ht="15" hidden="false" customHeight="false" outlineLevel="0" collapsed="false">
      <c r="A1187" s="178" t="n">
        <v>2</v>
      </c>
      <c r="B1187" s="211"/>
      <c r="C1187" s="212" t="s">
        <v>113</v>
      </c>
      <c r="D1187" s="213" t="n">
        <v>28</v>
      </c>
      <c r="E1187" s="211"/>
    </row>
    <row r="1188" customFormat="false" ht="15" hidden="false" customHeight="false" outlineLevel="0" collapsed="false">
      <c r="A1188" s="20" t="n">
        <v>3</v>
      </c>
      <c r="B1188" s="210"/>
      <c r="C1188" s="162" t="s">
        <v>99</v>
      </c>
      <c r="D1188" s="23" t="n">
        <v>18</v>
      </c>
      <c r="E1188" s="210"/>
    </row>
    <row r="1189" customFormat="false" ht="15" hidden="false" customHeight="false" outlineLevel="0" collapsed="false">
      <c r="A1189" s="178" t="n">
        <v>4</v>
      </c>
      <c r="B1189" s="211"/>
      <c r="C1189" s="212" t="s">
        <v>934</v>
      </c>
      <c r="D1189" s="213" t="n">
        <v>11</v>
      </c>
      <c r="E1189" s="211"/>
    </row>
    <row r="1190" customFormat="false" ht="15" hidden="false" customHeight="false" outlineLevel="0" collapsed="false">
      <c r="A1190" s="20" t="n">
        <v>5</v>
      </c>
      <c r="B1190" s="210"/>
      <c r="C1190" s="162" t="s">
        <v>1106</v>
      </c>
      <c r="D1190" s="23" t="n">
        <v>5</v>
      </c>
      <c r="E1190" s="210"/>
    </row>
    <row r="1191" customFormat="false" ht="15" hidden="false" customHeight="false" outlineLevel="0" collapsed="false">
      <c r="A1191" s="178" t="n">
        <v>6</v>
      </c>
      <c r="B1191" s="211"/>
      <c r="C1191" s="212" t="s">
        <v>960</v>
      </c>
      <c r="D1191" s="213" t="n">
        <v>4</v>
      </c>
      <c r="E1191" s="211"/>
    </row>
    <row r="1192" customFormat="false" ht="15" hidden="false" customHeight="false" outlineLevel="0" collapsed="false">
      <c r="A1192" s="20" t="n">
        <v>7</v>
      </c>
      <c r="B1192" s="210"/>
      <c r="C1192" s="162" t="s">
        <v>60</v>
      </c>
      <c r="D1192" s="23" t="n">
        <v>3</v>
      </c>
      <c r="E1192" s="210"/>
    </row>
    <row r="1193" customFormat="false" ht="15" hidden="false" customHeight="false" outlineLevel="0" collapsed="false">
      <c r="A1193" s="178" t="n">
        <v>8</v>
      </c>
      <c r="B1193" s="211"/>
      <c r="C1193" s="212" t="s">
        <v>93</v>
      </c>
      <c r="D1193" s="213" t="n">
        <v>3</v>
      </c>
      <c r="E1193" s="211"/>
    </row>
    <row r="1194" customFormat="false" ht="15" hidden="false" customHeight="false" outlineLevel="0" collapsed="false">
      <c r="A1194" s="20" t="n">
        <v>9</v>
      </c>
      <c r="B1194" s="210"/>
      <c r="C1194" s="162" t="s">
        <v>967</v>
      </c>
      <c r="D1194" s="23" t="n">
        <v>2</v>
      </c>
      <c r="E1194" s="210"/>
    </row>
    <row r="1195" customFormat="false" ht="15" hidden="false" customHeight="false" outlineLevel="0" collapsed="false">
      <c r="A1195" s="178" t="n">
        <v>10</v>
      </c>
      <c r="B1195" s="211"/>
      <c r="C1195" s="212" t="s">
        <v>121</v>
      </c>
      <c r="D1195" s="213" t="n">
        <v>1</v>
      </c>
      <c r="E1195" s="211"/>
    </row>
    <row r="1196" customFormat="false" ht="15" hidden="false" customHeight="false" outlineLevel="0" collapsed="false">
      <c r="A1196" s="214" t="s">
        <v>1116</v>
      </c>
      <c r="B1196" s="214"/>
      <c r="C1196" s="214"/>
      <c r="D1196" s="215" t="n">
        <v>171</v>
      </c>
      <c r="E1196" s="216"/>
    </row>
    <row r="1197" customFormat="false" ht="14.15" hidden="false" customHeight="false" outlineLevel="0" collapsed="false">
      <c r="A1197" s="208" t="s">
        <v>1117</v>
      </c>
      <c r="B1197" s="208"/>
      <c r="C1197" s="208"/>
      <c r="D1197" s="208"/>
      <c r="E1197" s="208"/>
    </row>
    <row r="1198" customFormat="false" ht="15" hidden="false" customHeight="false" outlineLevel="0" collapsed="false">
      <c r="A1198" s="182" t="s">
        <v>46</v>
      </c>
      <c r="B1198" s="182"/>
      <c r="C1198" s="209" t="s">
        <v>932</v>
      </c>
      <c r="D1198" s="209" t="s">
        <v>933</v>
      </c>
      <c r="E1198" s="182"/>
    </row>
    <row r="1199" customFormat="false" ht="15" hidden="false" customHeight="false" outlineLevel="0" collapsed="false">
      <c r="A1199" s="20" t="n">
        <v>1</v>
      </c>
      <c r="B1199" s="210"/>
      <c r="C1199" s="162" t="s">
        <v>952</v>
      </c>
      <c r="D1199" s="23" t="n">
        <v>101</v>
      </c>
      <c r="E1199" s="210"/>
    </row>
    <row r="1200" customFormat="false" ht="15" hidden="false" customHeight="false" outlineLevel="0" collapsed="false">
      <c r="A1200" s="178" t="n">
        <v>2</v>
      </c>
      <c r="B1200" s="211"/>
      <c r="C1200" s="212" t="s">
        <v>113</v>
      </c>
      <c r="D1200" s="213" t="n">
        <v>26</v>
      </c>
      <c r="E1200" s="211"/>
    </row>
    <row r="1201" customFormat="false" ht="15" hidden="false" customHeight="false" outlineLevel="0" collapsed="false">
      <c r="A1201" s="20" t="n">
        <v>3</v>
      </c>
      <c r="B1201" s="210"/>
      <c r="C1201" s="162" t="s">
        <v>99</v>
      </c>
      <c r="D1201" s="23" t="n">
        <v>17</v>
      </c>
      <c r="E1201" s="210"/>
    </row>
    <row r="1202" customFormat="false" ht="15" hidden="false" customHeight="false" outlineLevel="0" collapsed="false">
      <c r="A1202" s="178" t="n">
        <v>4</v>
      </c>
      <c r="B1202" s="211"/>
      <c r="C1202" s="212" t="s">
        <v>1054</v>
      </c>
      <c r="D1202" s="213" t="n">
        <v>8</v>
      </c>
      <c r="E1202" s="211"/>
    </row>
    <row r="1203" customFormat="false" ht="15" hidden="false" customHeight="false" outlineLevel="0" collapsed="false">
      <c r="A1203" s="20" t="n">
        <v>5</v>
      </c>
      <c r="B1203" s="210"/>
      <c r="C1203" s="162" t="s">
        <v>93</v>
      </c>
      <c r="D1203" s="23" t="n">
        <v>2</v>
      </c>
      <c r="E1203" s="210"/>
    </row>
    <row r="1204" customFormat="false" ht="15" hidden="false" customHeight="false" outlineLevel="0" collapsed="false">
      <c r="A1204" s="178" t="n">
        <v>6</v>
      </c>
      <c r="B1204" s="211"/>
      <c r="C1204" s="212" t="s">
        <v>999</v>
      </c>
      <c r="D1204" s="213" t="n">
        <v>2</v>
      </c>
      <c r="E1204" s="211"/>
    </row>
    <row r="1205" customFormat="false" ht="15" hidden="false" customHeight="false" outlineLevel="0" collapsed="false">
      <c r="A1205" s="20" t="n">
        <v>7</v>
      </c>
      <c r="B1205" s="210"/>
      <c r="C1205" s="162" t="s">
        <v>105</v>
      </c>
      <c r="D1205" s="23" t="n">
        <v>2</v>
      </c>
      <c r="E1205" s="210"/>
    </row>
    <row r="1206" customFormat="false" ht="15" hidden="false" customHeight="false" outlineLevel="0" collapsed="false">
      <c r="A1206" s="178" t="n">
        <v>8</v>
      </c>
      <c r="B1206" s="211"/>
      <c r="C1206" s="212" t="s">
        <v>121</v>
      </c>
      <c r="D1206" s="213" t="n">
        <v>2</v>
      </c>
      <c r="E1206" s="211"/>
    </row>
    <row r="1207" customFormat="false" ht="15" hidden="false" customHeight="false" outlineLevel="0" collapsed="false">
      <c r="A1207" s="20" t="n">
        <v>9</v>
      </c>
      <c r="B1207" s="210"/>
      <c r="C1207" s="162" t="s">
        <v>967</v>
      </c>
      <c r="D1207" s="23" t="n">
        <v>1</v>
      </c>
      <c r="E1207" s="210"/>
    </row>
    <row r="1208" customFormat="false" ht="15" hidden="false" customHeight="false" outlineLevel="0" collapsed="false">
      <c r="A1208" s="178" t="n">
        <v>10</v>
      </c>
      <c r="B1208" s="211"/>
      <c r="C1208" s="212" t="s">
        <v>1118</v>
      </c>
      <c r="D1208" s="213" t="n">
        <v>1</v>
      </c>
      <c r="E1208" s="211"/>
    </row>
    <row r="1209" customFormat="false" ht="15" hidden="false" customHeight="false" outlineLevel="0" collapsed="false">
      <c r="A1209" s="20" t="n">
        <v>11</v>
      </c>
      <c r="B1209" s="210"/>
      <c r="C1209" s="162" t="s">
        <v>1119</v>
      </c>
      <c r="D1209" s="23" t="n">
        <v>1</v>
      </c>
      <c r="E1209" s="210"/>
    </row>
    <row r="1210" customFormat="false" ht="15" hidden="false" customHeight="false" outlineLevel="0" collapsed="false">
      <c r="A1210" s="178" t="n">
        <v>12</v>
      </c>
      <c r="B1210" s="211"/>
      <c r="C1210" s="212" t="s">
        <v>962</v>
      </c>
      <c r="D1210" s="213" t="n">
        <v>1</v>
      </c>
      <c r="E1210" s="211"/>
    </row>
    <row r="1211" customFormat="false" ht="15" hidden="false" customHeight="false" outlineLevel="0" collapsed="false">
      <c r="A1211" s="20" t="n">
        <v>13</v>
      </c>
      <c r="B1211" s="210"/>
      <c r="C1211" s="162" t="s">
        <v>109</v>
      </c>
      <c r="D1211" s="23" t="n">
        <v>1</v>
      </c>
      <c r="E1211" s="210"/>
    </row>
    <row r="1212" customFormat="false" ht="15" hidden="false" customHeight="false" outlineLevel="0" collapsed="false">
      <c r="A1212" s="214" t="s">
        <v>1120</v>
      </c>
      <c r="B1212" s="214"/>
      <c r="C1212" s="214"/>
      <c r="D1212" s="215" t="n">
        <v>165</v>
      </c>
      <c r="E1212" s="216"/>
    </row>
    <row r="1213" customFormat="false" ht="14.15" hidden="false" customHeight="false" outlineLevel="0" collapsed="false">
      <c r="A1213" s="208" t="s">
        <v>1121</v>
      </c>
      <c r="B1213" s="208"/>
      <c r="C1213" s="208"/>
      <c r="D1213" s="208"/>
      <c r="E1213" s="208"/>
    </row>
    <row r="1214" customFormat="false" ht="15" hidden="false" customHeight="false" outlineLevel="0" collapsed="false">
      <c r="A1214" s="182" t="s">
        <v>46</v>
      </c>
      <c r="B1214" s="182"/>
      <c r="C1214" s="209" t="s">
        <v>932</v>
      </c>
      <c r="D1214" s="209" t="s">
        <v>933</v>
      </c>
      <c r="E1214" s="182"/>
    </row>
    <row r="1215" customFormat="false" ht="15" hidden="false" customHeight="false" outlineLevel="0" collapsed="false">
      <c r="A1215" s="20" t="n">
        <v>1</v>
      </c>
      <c r="B1215" s="210"/>
      <c r="C1215" s="162" t="s">
        <v>952</v>
      </c>
      <c r="D1215" s="23" t="n">
        <v>77</v>
      </c>
      <c r="E1215" s="210"/>
    </row>
    <row r="1216" customFormat="false" ht="15" hidden="false" customHeight="false" outlineLevel="0" collapsed="false">
      <c r="A1216" s="178" t="n">
        <v>2</v>
      </c>
      <c r="B1216" s="211"/>
      <c r="C1216" s="212" t="s">
        <v>113</v>
      </c>
      <c r="D1216" s="213" t="n">
        <v>15</v>
      </c>
      <c r="E1216" s="211"/>
    </row>
    <row r="1217" customFormat="false" ht="15" hidden="false" customHeight="false" outlineLevel="0" collapsed="false">
      <c r="A1217" s="20" t="n">
        <v>3</v>
      </c>
      <c r="B1217" s="210"/>
      <c r="C1217" s="162" t="s">
        <v>953</v>
      </c>
      <c r="D1217" s="23" t="n">
        <v>10</v>
      </c>
      <c r="E1217" s="210"/>
    </row>
    <row r="1218" customFormat="false" ht="15" hidden="false" customHeight="false" outlineLevel="0" collapsed="false">
      <c r="A1218" s="178" t="n">
        <v>4</v>
      </c>
      <c r="B1218" s="211"/>
      <c r="C1218" s="212" t="s">
        <v>999</v>
      </c>
      <c r="D1218" s="213" t="n">
        <v>10</v>
      </c>
      <c r="E1218" s="211"/>
    </row>
    <row r="1219" customFormat="false" ht="15" hidden="false" customHeight="false" outlineLevel="0" collapsed="false">
      <c r="A1219" s="20" t="n">
        <v>5</v>
      </c>
      <c r="B1219" s="210"/>
      <c r="C1219" s="162" t="s">
        <v>99</v>
      </c>
      <c r="D1219" s="23" t="n">
        <v>10</v>
      </c>
      <c r="E1219" s="210"/>
    </row>
    <row r="1220" customFormat="false" ht="15" hidden="false" customHeight="false" outlineLevel="0" collapsed="false">
      <c r="A1220" s="178" t="n">
        <v>6</v>
      </c>
      <c r="B1220" s="211"/>
      <c r="C1220" s="212" t="s">
        <v>973</v>
      </c>
      <c r="D1220" s="213" t="n">
        <v>2</v>
      </c>
      <c r="E1220" s="211"/>
    </row>
    <row r="1221" customFormat="false" ht="15" hidden="false" customHeight="false" outlineLevel="0" collapsed="false">
      <c r="A1221" s="20" t="n">
        <v>7</v>
      </c>
      <c r="B1221" s="210"/>
      <c r="C1221" s="162" t="s">
        <v>954</v>
      </c>
      <c r="D1221" s="23" t="n">
        <v>2</v>
      </c>
      <c r="E1221" s="210"/>
    </row>
    <row r="1222" customFormat="false" ht="15" hidden="false" customHeight="false" outlineLevel="0" collapsed="false">
      <c r="A1222" s="178" t="n">
        <v>8</v>
      </c>
      <c r="B1222" s="211"/>
      <c r="C1222" s="212" t="s">
        <v>121</v>
      </c>
      <c r="D1222" s="213" t="n">
        <v>1</v>
      </c>
      <c r="E1222" s="211"/>
    </row>
    <row r="1223" customFormat="false" ht="15" hidden="false" customHeight="false" outlineLevel="0" collapsed="false">
      <c r="A1223" s="214" t="s">
        <v>1122</v>
      </c>
      <c r="B1223" s="214"/>
      <c r="C1223" s="214"/>
      <c r="D1223" s="215" t="n">
        <v>127</v>
      </c>
      <c r="E1223" s="216"/>
    </row>
    <row r="1225" customFormat="false" ht="15" hidden="false" customHeight="false" outlineLevel="0" collapsed="false">
      <c r="A1225" s="217" t="s">
        <v>944</v>
      </c>
      <c r="B1225" s="217"/>
      <c r="C1225" s="217"/>
      <c r="D1225" s="217"/>
      <c r="E1225" s="217"/>
    </row>
    <row r="1226" customFormat="false" ht="15" hidden="false" customHeight="false" outlineLevel="0" collapsed="false">
      <c r="A1226" s="182" t="s">
        <v>46</v>
      </c>
      <c r="B1226" s="182"/>
      <c r="C1226" s="209" t="s">
        <v>932</v>
      </c>
      <c r="D1226" s="209" t="s">
        <v>945</v>
      </c>
      <c r="E1226" s="182"/>
    </row>
    <row r="1227" customFormat="false" ht="15" hidden="false" customHeight="false" outlineLevel="0" collapsed="false">
      <c r="A1227" s="20" t="n">
        <v>1</v>
      </c>
      <c r="B1227" s="210"/>
      <c r="C1227" s="162" t="s">
        <v>952</v>
      </c>
      <c r="D1227" s="23" t="n">
        <v>274</v>
      </c>
      <c r="E1227" s="210"/>
    </row>
    <row r="1228" customFormat="false" ht="15" hidden="false" customHeight="false" outlineLevel="0" collapsed="false">
      <c r="A1228" s="178" t="n">
        <v>2</v>
      </c>
      <c r="B1228" s="211"/>
      <c r="C1228" s="212" t="s">
        <v>934</v>
      </c>
      <c r="D1228" s="213" t="n">
        <v>142</v>
      </c>
      <c r="E1228" s="211"/>
    </row>
    <row r="1229" customFormat="false" ht="15" hidden="false" customHeight="false" outlineLevel="0" collapsed="false">
      <c r="A1229" s="20" t="n">
        <v>3</v>
      </c>
      <c r="B1229" s="210"/>
      <c r="C1229" s="162" t="s">
        <v>113</v>
      </c>
      <c r="D1229" s="23" t="n">
        <v>121</v>
      </c>
      <c r="E1229" s="210"/>
    </row>
    <row r="1230" customFormat="false" ht="15" hidden="false" customHeight="false" outlineLevel="0" collapsed="false">
      <c r="A1230" s="178" t="n">
        <v>4</v>
      </c>
      <c r="B1230" s="211"/>
      <c r="C1230" s="212" t="s">
        <v>935</v>
      </c>
      <c r="D1230" s="213" t="n">
        <v>63</v>
      </c>
      <c r="E1230" s="211"/>
    </row>
    <row r="1231" customFormat="false" ht="15" hidden="false" customHeight="false" outlineLevel="0" collapsed="false">
      <c r="A1231" s="20" t="n">
        <v>5</v>
      </c>
      <c r="B1231" s="210"/>
      <c r="C1231" s="162" t="s">
        <v>99</v>
      </c>
      <c r="D1231" s="23" t="n">
        <v>54</v>
      </c>
      <c r="E1231" s="210"/>
    </row>
    <row r="1232" customFormat="false" ht="15" hidden="false" customHeight="false" outlineLevel="0" collapsed="false">
      <c r="A1232" s="178" t="n">
        <v>6</v>
      </c>
      <c r="B1232" s="211"/>
      <c r="C1232" s="212" t="s">
        <v>999</v>
      </c>
      <c r="D1232" s="213" t="n">
        <v>12</v>
      </c>
      <c r="E1232" s="211"/>
    </row>
    <row r="1233" customFormat="false" ht="15" hidden="false" customHeight="false" outlineLevel="0" collapsed="false">
      <c r="A1233" s="20" t="n">
        <v>7</v>
      </c>
      <c r="B1233" s="210"/>
      <c r="C1233" s="162" t="s">
        <v>953</v>
      </c>
      <c r="D1233" s="23" t="n">
        <v>10</v>
      </c>
      <c r="E1233" s="210"/>
    </row>
    <row r="1234" customFormat="false" ht="15" hidden="false" customHeight="false" outlineLevel="0" collapsed="false">
      <c r="A1234" s="178" t="n">
        <v>8</v>
      </c>
      <c r="B1234" s="211"/>
      <c r="C1234" s="212" t="s">
        <v>940</v>
      </c>
      <c r="D1234" s="213" t="n">
        <v>9</v>
      </c>
      <c r="E1234" s="211"/>
    </row>
    <row r="1235" customFormat="false" ht="15" hidden="false" customHeight="false" outlineLevel="0" collapsed="false">
      <c r="A1235" s="20" t="n">
        <v>9</v>
      </c>
      <c r="B1235" s="210"/>
      <c r="C1235" s="162" t="s">
        <v>1054</v>
      </c>
      <c r="D1235" s="23" t="n">
        <v>8</v>
      </c>
      <c r="E1235" s="210"/>
    </row>
    <row r="1236" customFormat="false" ht="15" hidden="false" customHeight="false" outlineLevel="0" collapsed="false">
      <c r="A1236" s="178" t="n">
        <v>10</v>
      </c>
      <c r="B1236" s="211"/>
      <c r="C1236" s="212" t="s">
        <v>121</v>
      </c>
      <c r="D1236" s="213" t="n">
        <v>7</v>
      </c>
      <c r="E1236" s="211"/>
    </row>
    <row r="1237" customFormat="false" ht="15" hidden="false" customHeight="false" outlineLevel="0" collapsed="false">
      <c r="A1237" s="20" t="n">
        <v>11</v>
      </c>
      <c r="B1237" s="210"/>
      <c r="C1237" s="162" t="s">
        <v>938</v>
      </c>
      <c r="D1237" s="23" t="n">
        <v>6</v>
      </c>
      <c r="E1237" s="210"/>
    </row>
    <row r="1238" customFormat="false" ht="15" hidden="false" customHeight="false" outlineLevel="0" collapsed="false">
      <c r="A1238" s="178" t="n">
        <v>12</v>
      </c>
      <c r="B1238" s="211"/>
      <c r="C1238" s="212" t="s">
        <v>93</v>
      </c>
      <c r="D1238" s="213" t="n">
        <v>5</v>
      </c>
      <c r="E1238" s="211"/>
    </row>
    <row r="1239" customFormat="false" ht="15" hidden="false" customHeight="false" outlineLevel="0" collapsed="false">
      <c r="A1239" s="20" t="n">
        <v>13</v>
      </c>
      <c r="B1239" s="210"/>
      <c r="C1239" s="162" t="s">
        <v>1106</v>
      </c>
      <c r="D1239" s="23" t="n">
        <v>5</v>
      </c>
      <c r="E1239" s="210"/>
    </row>
    <row r="1240" customFormat="false" ht="15" hidden="false" customHeight="false" outlineLevel="0" collapsed="false">
      <c r="A1240" s="178" t="n">
        <v>14</v>
      </c>
      <c r="B1240" s="211"/>
      <c r="C1240" s="212" t="s">
        <v>960</v>
      </c>
      <c r="D1240" s="213" t="n">
        <v>4</v>
      </c>
      <c r="E1240" s="211"/>
    </row>
    <row r="1241" customFormat="false" ht="15" hidden="false" customHeight="false" outlineLevel="0" collapsed="false">
      <c r="A1241" s="20" t="n">
        <v>15</v>
      </c>
      <c r="B1241" s="210"/>
      <c r="C1241" s="162" t="s">
        <v>967</v>
      </c>
      <c r="D1241" s="23" t="n">
        <v>3</v>
      </c>
      <c r="E1241" s="210"/>
    </row>
    <row r="1242" customFormat="false" ht="15" hidden="false" customHeight="false" outlineLevel="0" collapsed="false">
      <c r="A1242" s="178" t="n">
        <v>16</v>
      </c>
      <c r="B1242" s="211"/>
      <c r="C1242" s="212" t="s">
        <v>60</v>
      </c>
      <c r="D1242" s="213" t="n">
        <v>3</v>
      </c>
      <c r="E1242" s="211"/>
    </row>
    <row r="1243" customFormat="false" ht="15" hidden="false" customHeight="false" outlineLevel="0" collapsed="false">
      <c r="A1243" s="20" t="n">
        <v>17</v>
      </c>
      <c r="B1243" s="210"/>
      <c r="C1243" s="162" t="s">
        <v>939</v>
      </c>
      <c r="D1243" s="23" t="n">
        <v>2</v>
      </c>
      <c r="E1243" s="210"/>
    </row>
    <row r="1244" customFormat="false" ht="15" hidden="false" customHeight="false" outlineLevel="0" collapsed="false">
      <c r="A1244" s="178" t="n">
        <v>18</v>
      </c>
      <c r="B1244" s="211"/>
      <c r="C1244" s="212" t="s">
        <v>118</v>
      </c>
      <c r="D1244" s="213" t="n">
        <v>2</v>
      </c>
      <c r="E1244" s="211"/>
    </row>
    <row r="1245" customFormat="false" ht="15" hidden="false" customHeight="false" outlineLevel="0" collapsed="false">
      <c r="A1245" s="20" t="n">
        <v>19</v>
      </c>
      <c r="B1245" s="210"/>
      <c r="C1245" s="162" t="s">
        <v>108</v>
      </c>
      <c r="D1245" s="23" t="n">
        <v>2</v>
      </c>
      <c r="E1245" s="210"/>
    </row>
    <row r="1246" customFormat="false" ht="15" hidden="false" customHeight="false" outlineLevel="0" collapsed="false">
      <c r="A1246" s="178" t="n">
        <v>20</v>
      </c>
      <c r="B1246" s="211"/>
      <c r="C1246" s="212" t="s">
        <v>105</v>
      </c>
      <c r="D1246" s="213" t="n">
        <v>2</v>
      </c>
      <c r="E1246" s="211"/>
    </row>
    <row r="1247" customFormat="false" ht="15" hidden="false" customHeight="false" outlineLevel="0" collapsed="false">
      <c r="A1247" s="20" t="n">
        <v>21</v>
      </c>
      <c r="B1247" s="210"/>
      <c r="C1247" s="162" t="s">
        <v>973</v>
      </c>
      <c r="D1247" s="23" t="n">
        <v>2</v>
      </c>
      <c r="E1247" s="210"/>
    </row>
    <row r="1248" customFormat="false" ht="15" hidden="false" customHeight="false" outlineLevel="0" collapsed="false">
      <c r="A1248" s="178" t="n">
        <v>22</v>
      </c>
      <c r="B1248" s="211"/>
      <c r="C1248" s="212" t="s">
        <v>954</v>
      </c>
      <c r="D1248" s="213" t="n">
        <v>2</v>
      </c>
      <c r="E1248" s="211"/>
    </row>
    <row r="1249" customFormat="false" ht="15" hidden="false" customHeight="false" outlineLevel="0" collapsed="false">
      <c r="A1249" s="20" t="n">
        <v>23</v>
      </c>
      <c r="B1249" s="210"/>
      <c r="C1249" s="162" t="s">
        <v>942</v>
      </c>
      <c r="D1249" s="23" t="n">
        <v>1</v>
      </c>
      <c r="E1249" s="210"/>
    </row>
    <row r="1250" customFormat="false" ht="15" hidden="false" customHeight="false" outlineLevel="0" collapsed="false">
      <c r="A1250" s="178" t="n">
        <v>24</v>
      </c>
      <c r="B1250" s="211"/>
      <c r="C1250" s="212" t="s">
        <v>1118</v>
      </c>
      <c r="D1250" s="213" t="n">
        <v>1</v>
      </c>
      <c r="E1250" s="211"/>
    </row>
    <row r="1251" customFormat="false" ht="15" hidden="false" customHeight="false" outlineLevel="0" collapsed="false">
      <c r="A1251" s="20" t="n">
        <v>25</v>
      </c>
      <c r="B1251" s="210"/>
      <c r="C1251" s="162" t="s">
        <v>1119</v>
      </c>
      <c r="D1251" s="23" t="n">
        <v>1</v>
      </c>
      <c r="E1251" s="210"/>
    </row>
    <row r="1252" customFormat="false" ht="15" hidden="false" customHeight="false" outlineLevel="0" collapsed="false">
      <c r="A1252" s="178" t="n">
        <v>26</v>
      </c>
      <c r="B1252" s="211"/>
      <c r="C1252" s="212" t="s">
        <v>962</v>
      </c>
      <c r="D1252" s="213" t="n">
        <v>1</v>
      </c>
      <c r="E1252" s="211"/>
    </row>
    <row r="1253" customFormat="false" ht="15" hidden="false" customHeight="false" outlineLevel="0" collapsed="false">
      <c r="A1253" s="20" t="n">
        <v>27</v>
      </c>
      <c r="B1253" s="210"/>
      <c r="C1253" s="162" t="s">
        <v>109</v>
      </c>
      <c r="D1253" s="23" t="n">
        <v>1</v>
      </c>
      <c r="E1253" s="210"/>
    </row>
    <row r="1254" customFormat="false" ht="15" hidden="false" customHeight="false" outlineLevel="0" collapsed="false">
      <c r="A1254" s="218" t="s">
        <v>1123</v>
      </c>
      <c r="B1254" s="218"/>
      <c r="C1254" s="218"/>
      <c r="D1254" s="219" t="n">
        <v>743</v>
      </c>
      <c r="E1254" s="220"/>
    </row>
    <row r="1256" customFormat="false" ht="37.5" hidden="false" customHeight="true" outlineLevel="0" collapsed="false">
      <c r="A1256" s="206" t="s">
        <v>1124</v>
      </c>
      <c r="B1256" s="206"/>
      <c r="C1256" s="206"/>
      <c r="D1256" s="206"/>
      <c r="E1256" s="206"/>
    </row>
    <row r="1257" customFormat="false" ht="15" hidden="false" customHeight="false" outlineLevel="0" collapsed="false">
      <c r="A1257" s="207" t="s">
        <v>1125</v>
      </c>
      <c r="B1257" s="207"/>
      <c r="C1257" s="207"/>
      <c r="D1257" s="207"/>
      <c r="E1257" s="207"/>
    </row>
    <row r="1258" customFormat="false" ht="14.15" hidden="false" customHeight="false" outlineLevel="0" collapsed="false">
      <c r="A1258" s="208" t="s">
        <v>1126</v>
      </c>
      <c r="B1258" s="208"/>
      <c r="C1258" s="208"/>
      <c r="D1258" s="208"/>
      <c r="E1258" s="208"/>
    </row>
    <row r="1259" customFormat="false" ht="15" hidden="false" customHeight="false" outlineLevel="0" collapsed="false">
      <c r="A1259" s="182" t="s">
        <v>46</v>
      </c>
      <c r="B1259" s="182"/>
      <c r="C1259" s="209" t="s">
        <v>932</v>
      </c>
      <c r="D1259" s="209" t="s">
        <v>933</v>
      </c>
      <c r="E1259" s="182"/>
    </row>
    <row r="1260" customFormat="false" ht="15" hidden="false" customHeight="false" outlineLevel="0" collapsed="false">
      <c r="A1260" s="20" t="n">
        <v>1</v>
      </c>
      <c r="B1260" s="210"/>
      <c r="C1260" s="162" t="s">
        <v>934</v>
      </c>
      <c r="D1260" s="23" t="n">
        <v>160</v>
      </c>
      <c r="E1260" s="210"/>
    </row>
    <row r="1261" customFormat="false" ht="15" hidden="false" customHeight="false" outlineLevel="0" collapsed="false">
      <c r="A1261" s="178" t="n">
        <v>2</v>
      </c>
      <c r="B1261" s="211"/>
      <c r="C1261" s="212" t="s">
        <v>935</v>
      </c>
      <c r="D1261" s="213" t="n">
        <v>150</v>
      </c>
      <c r="E1261" s="211"/>
    </row>
    <row r="1262" customFormat="false" ht="15" hidden="false" customHeight="false" outlineLevel="0" collapsed="false">
      <c r="A1262" s="20" t="n">
        <v>3</v>
      </c>
      <c r="B1262" s="210"/>
      <c r="C1262" s="162" t="s">
        <v>940</v>
      </c>
      <c r="D1262" s="23" t="n">
        <v>8</v>
      </c>
      <c r="E1262" s="210"/>
    </row>
    <row r="1263" customFormat="false" ht="15" hidden="false" customHeight="false" outlineLevel="0" collapsed="false">
      <c r="A1263" s="178" t="n">
        <v>4</v>
      </c>
      <c r="B1263" s="211"/>
      <c r="C1263" s="212" t="s">
        <v>99</v>
      </c>
      <c r="D1263" s="213" t="n">
        <v>8</v>
      </c>
      <c r="E1263" s="211"/>
    </row>
    <row r="1264" customFormat="false" ht="15" hidden="false" customHeight="false" outlineLevel="0" collapsed="false">
      <c r="A1264" s="20" t="n">
        <v>5</v>
      </c>
      <c r="B1264" s="210"/>
      <c r="C1264" s="162" t="s">
        <v>938</v>
      </c>
      <c r="D1264" s="23" t="n">
        <v>7</v>
      </c>
      <c r="E1264" s="210"/>
    </row>
    <row r="1265" customFormat="false" ht="15" hidden="false" customHeight="false" outlineLevel="0" collapsed="false">
      <c r="A1265" s="178" t="n">
        <v>6</v>
      </c>
      <c r="B1265" s="211"/>
      <c r="C1265" s="212" t="s">
        <v>939</v>
      </c>
      <c r="D1265" s="213" t="n">
        <v>6</v>
      </c>
      <c r="E1265" s="211"/>
    </row>
    <row r="1266" customFormat="false" ht="15" hidden="false" customHeight="false" outlineLevel="0" collapsed="false">
      <c r="A1266" s="20" t="n">
        <v>7</v>
      </c>
      <c r="B1266" s="210"/>
      <c r="C1266" s="162" t="s">
        <v>121</v>
      </c>
      <c r="D1266" s="23" t="n">
        <v>3</v>
      </c>
      <c r="E1266" s="210"/>
    </row>
    <row r="1267" customFormat="false" ht="15" hidden="false" customHeight="false" outlineLevel="0" collapsed="false">
      <c r="A1267" s="178" t="n">
        <v>8</v>
      </c>
      <c r="B1267" s="211"/>
      <c r="C1267" s="212" t="s">
        <v>108</v>
      </c>
      <c r="D1267" s="213" t="n">
        <v>2</v>
      </c>
      <c r="E1267" s="211"/>
    </row>
    <row r="1268" customFormat="false" ht="15" hidden="false" customHeight="false" outlineLevel="0" collapsed="false">
      <c r="A1268" s="20" t="n">
        <v>9</v>
      </c>
      <c r="B1268" s="210"/>
      <c r="C1268" s="162" t="s">
        <v>942</v>
      </c>
      <c r="D1268" s="23" t="n">
        <v>2</v>
      </c>
      <c r="E1268" s="210"/>
    </row>
    <row r="1269" customFormat="false" ht="15" hidden="false" customHeight="false" outlineLevel="0" collapsed="false">
      <c r="A1269" s="178" t="n">
        <v>10</v>
      </c>
      <c r="B1269" s="211"/>
      <c r="C1269" s="212" t="s">
        <v>941</v>
      </c>
      <c r="D1269" s="213" t="n">
        <v>2</v>
      </c>
      <c r="E1269" s="211"/>
    </row>
    <row r="1270" customFormat="false" ht="15" hidden="false" customHeight="false" outlineLevel="0" collapsed="false">
      <c r="A1270" s="20" t="n">
        <v>11</v>
      </c>
      <c r="B1270" s="210"/>
      <c r="C1270" s="162" t="s">
        <v>118</v>
      </c>
      <c r="D1270" s="23" t="n">
        <v>2</v>
      </c>
      <c r="E1270" s="210"/>
    </row>
    <row r="1271" customFormat="false" ht="15" hidden="false" customHeight="false" outlineLevel="0" collapsed="false">
      <c r="A1271" s="214" t="s">
        <v>1127</v>
      </c>
      <c r="B1271" s="214"/>
      <c r="C1271" s="214"/>
      <c r="D1271" s="215" t="n">
        <v>350</v>
      </c>
      <c r="E1271" s="216"/>
    </row>
    <row r="1272" customFormat="false" ht="14.15" hidden="false" customHeight="false" outlineLevel="0" collapsed="false">
      <c r="A1272" s="208" t="s">
        <v>1128</v>
      </c>
      <c r="B1272" s="208"/>
      <c r="C1272" s="208"/>
      <c r="D1272" s="208"/>
      <c r="E1272" s="208"/>
    </row>
    <row r="1273" customFormat="false" ht="15" hidden="false" customHeight="false" outlineLevel="0" collapsed="false">
      <c r="A1273" s="182" t="s">
        <v>46</v>
      </c>
      <c r="B1273" s="182"/>
      <c r="C1273" s="209" t="s">
        <v>932</v>
      </c>
      <c r="D1273" s="209" t="s">
        <v>933</v>
      </c>
      <c r="E1273" s="182"/>
    </row>
    <row r="1274" customFormat="false" ht="15" hidden="false" customHeight="false" outlineLevel="0" collapsed="false">
      <c r="A1274" s="20" t="n">
        <v>1</v>
      </c>
      <c r="B1274" s="210"/>
      <c r="C1274" s="162" t="s">
        <v>934</v>
      </c>
      <c r="D1274" s="23" t="n">
        <v>66</v>
      </c>
      <c r="E1274" s="210"/>
    </row>
    <row r="1275" customFormat="false" ht="15" hidden="false" customHeight="false" outlineLevel="0" collapsed="false">
      <c r="A1275" s="178" t="n">
        <v>2</v>
      </c>
      <c r="B1275" s="211"/>
      <c r="C1275" s="212" t="s">
        <v>113</v>
      </c>
      <c r="D1275" s="213" t="n">
        <v>33</v>
      </c>
      <c r="E1275" s="211"/>
    </row>
    <row r="1276" customFormat="false" ht="15" hidden="false" customHeight="false" outlineLevel="0" collapsed="false">
      <c r="A1276" s="20" t="n">
        <v>3</v>
      </c>
      <c r="B1276" s="210"/>
      <c r="C1276" s="162" t="s">
        <v>935</v>
      </c>
      <c r="D1276" s="23" t="n">
        <v>31</v>
      </c>
      <c r="E1276" s="210"/>
    </row>
    <row r="1277" customFormat="false" ht="15" hidden="false" customHeight="false" outlineLevel="0" collapsed="false">
      <c r="A1277" s="178" t="n">
        <v>4</v>
      </c>
      <c r="B1277" s="211"/>
      <c r="C1277" s="212" t="s">
        <v>952</v>
      </c>
      <c r="D1277" s="213" t="n">
        <v>23</v>
      </c>
      <c r="E1277" s="211"/>
    </row>
    <row r="1278" customFormat="false" ht="15" hidden="false" customHeight="false" outlineLevel="0" collapsed="false">
      <c r="A1278" s="20" t="n">
        <v>5</v>
      </c>
      <c r="B1278" s="210"/>
      <c r="C1278" s="162" t="s">
        <v>99</v>
      </c>
      <c r="D1278" s="23" t="n">
        <v>9</v>
      </c>
      <c r="E1278" s="210"/>
    </row>
    <row r="1279" customFormat="false" ht="15" hidden="false" customHeight="false" outlineLevel="0" collapsed="false">
      <c r="A1279" s="178" t="n">
        <v>6</v>
      </c>
      <c r="B1279" s="211"/>
      <c r="C1279" s="212" t="s">
        <v>940</v>
      </c>
      <c r="D1279" s="213" t="n">
        <v>5</v>
      </c>
      <c r="E1279" s="211"/>
    </row>
    <row r="1280" customFormat="false" ht="15" hidden="false" customHeight="false" outlineLevel="0" collapsed="false">
      <c r="A1280" s="20" t="n">
        <v>7</v>
      </c>
      <c r="B1280" s="210"/>
      <c r="C1280" s="162" t="s">
        <v>939</v>
      </c>
      <c r="D1280" s="23" t="n">
        <v>2</v>
      </c>
      <c r="E1280" s="210"/>
    </row>
    <row r="1281" customFormat="false" ht="15" hidden="false" customHeight="false" outlineLevel="0" collapsed="false">
      <c r="A1281" s="178" t="n">
        <v>8</v>
      </c>
      <c r="B1281" s="211"/>
      <c r="C1281" s="212" t="s">
        <v>121</v>
      </c>
      <c r="D1281" s="213" t="n">
        <v>2</v>
      </c>
      <c r="E1281" s="211"/>
    </row>
    <row r="1282" customFormat="false" ht="15" hidden="false" customHeight="false" outlineLevel="0" collapsed="false">
      <c r="A1282" s="20" t="n">
        <v>9</v>
      </c>
      <c r="B1282" s="210"/>
      <c r="C1282" s="162" t="s">
        <v>1129</v>
      </c>
      <c r="D1282" s="23" t="n">
        <v>2</v>
      </c>
      <c r="E1282" s="210"/>
    </row>
    <row r="1283" customFormat="false" ht="15" hidden="false" customHeight="false" outlineLevel="0" collapsed="false">
      <c r="A1283" s="178" t="n">
        <v>10</v>
      </c>
      <c r="B1283" s="211"/>
      <c r="C1283" s="212" t="s">
        <v>118</v>
      </c>
      <c r="D1283" s="213" t="n">
        <v>1</v>
      </c>
      <c r="E1283" s="211"/>
    </row>
    <row r="1284" customFormat="false" ht="15" hidden="false" customHeight="false" outlineLevel="0" collapsed="false">
      <c r="A1284" s="20" t="n">
        <v>11</v>
      </c>
      <c r="B1284" s="210"/>
      <c r="C1284" s="162" t="s">
        <v>108</v>
      </c>
      <c r="D1284" s="23" t="n">
        <v>1</v>
      </c>
      <c r="E1284" s="210"/>
    </row>
    <row r="1285" customFormat="false" ht="15" hidden="false" customHeight="false" outlineLevel="0" collapsed="false">
      <c r="A1285" s="178" t="n">
        <v>12</v>
      </c>
      <c r="B1285" s="211"/>
      <c r="C1285" s="212" t="s">
        <v>93</v>
      </c>
      <c r="D1285" s="213" t="n">
        <v>1</v>
      </c>
      <c r="E1285" s="211"/>
    </row>
    <row r="1286" customFormat="false" ht="15" hidden="false" customHeight="false" outlineLevel="0" collapsed="false">
      <c r="A1286" s="214" t="s">
        <v>1130</v>
      </c>
      <c r="B1286" s="214"/>
      <c r="C1286" s="214"/>
      <c r="D1286" s="215" t="n">
        <v>176</v>
      </c>
      <c r="E1286" s="216"/>
    </row>
    <row r="1287" customFormat="false" ht="14.15" hidden="false" customHeight="false" outlineLevel="0" collapsed="false">
      <c r="A1287" s="208" t="s">
        <v>1131</v>
      </c>
      <c r="B1287" s="208"/>
      <c r="C1287" s="208"/>
      <c r="D1287" s="208"/>
      <c r="E1287" s="208"/>
    </row>
    <row r="1288" customFormat="false" ht="15" hidden="false" customHeight="false" outlineLevel="0" collapsed="false">
      <c r="A1288" s="182" t="s">
        <v>46</v>
      </c>
      <c r="B1288" s="182"/>
      <c r="C1288" s="209" t="s">
        <v>932</v>
      </c>
      <c r="D1288" s="209" t="s">
        <v>933</v>
      </c>
      <c r="E1288" s="182"/>
    </row>
    <row r="1289" customFormat="false" ht="15" hidden="false" customHeight="false" outlineLevel="0" collapsed="false">
      <c r="A1289" s="20" t="n">
        <v>1</v>
      </c>
      <c r="B1289" s="210"/>
      <c r="C1289" s="162" t="s">
        <v>934</v>
      </c>
      <c r="D1289" s="23" t="n">
        <v>98</v>
      </c>
      <c r="E1289" s="210"/>
    </row>
    <row r="1290" customFormat="false" ht="15" hidden="false" customHeight="false" outlineLevel="0" collapsed="false">
      <c r="A1290" s="178" t="n">
        <v>2</v>
      </c>
      <c r="B1290" s="211"/>
      <c r="C1290" s="212" t="s">
        <v>935</v>
      </c>
      <c r="D1290" s="213" t="n">
        <v>69</v>
      </c>
      <c r="E1290" s="211"/>
    </row>
    <row r="1291" customFormat="false" ht="15" hidden="false" customHeight="false" outlineLevel="0" collapsed="false">
      <c r="A1291" s="20" t="n">
        <v>3</v>
      </c>
      <c r="B1291" s="210"/>
      <c r="C1291" s="162" t="s">
        <v>113</v>
      </c>
      <c r="D1291" s="23" t="n">
        <v>43</v>
      </c>
      <c r="E1291" s="210"/>
    </row>
    <row r="1292" customFormat="false" ht="15" hidden="false" customHeight="false" outlineLevel="0" collapsed="false">
      <c r="A1292" s="178" t="n">
        <v>4</v>
      </c>
      <c r="B1292" s="211"/>
      <c r="C1292" s="212" t="s">
        <v>965</v>
      </c>
      <c r="D1292" s="213" t="n">
        <v>9</v>
      </c>
      <c r="E1292" s="211"/>
    </row>
    <row r="1293" customFormat="false" ht="15" hidden="false" customHeight="false" outlineLevel="0" collapsed="false">
      <c r="A1293" s="20" t="n">
        <v>5</v>
      </c>
      <c r="B1293" s="210"/>
      <c r="C1293" s="162" t="s">
        <v>99</v>
      </c>
      <c r="D1293" s="23" t="n">
        <v>6</v>
      </c>
      <c r="E1293" s="210"/>
    </row>
    <row r="1294" customFormat="false" ht="15" hidden="false" customHeight="false" outlineLevel="0" collapsed="false">
      <c r="A1294" s="178" t="n">
        <v>6</v>
      </c>
      <c r="B1294" s="211"/>
      <c r="C1294" s="212" t="s">
        <v>966</v>
      </c>
      <c r="D1294" s="213" t="n">
        <v>6</v>
      </c>
      <c r="E1294" s="211"/>
    </row>
    <row r="1295" customFormat="false" ht="15" hidden="false" customHeight="false" outlineLevel="0" collapsed="false">
      <c r="A1295" s="20" t="n">
        <v>7</v>
      </c>
      <c r="B1295" s="210"/>
      <c r="C1295" s="162" t="s">
        <v>93</v>
      </c>
      <c r="D1295" s="23" t="n">
        <v>5</v>
      </c>
      <c r="E1295" s="210"/>
    </row>
    <row r="1296" customFormat="false" ht="15" hidden="false" customHeight="false" outlineLevel="0" collapsed="false">
      <c r="A1296" s="178" t="n">
        <v>8</v>
      </c>
      <c r="B1296" s="211"/>
      <c r="C1296" s="212" t="s">
        <v>108</v>
      </c>
      <c r="D1296" s="213" t="n">
        <v>3</v>
      </c>
      <c r="E1296" s="211"/>
    </row>
    <row r="1297" customFormat="false" ht="15" hidden="false" customHeight="false" outlineLevel="0" collapsed="false">
      <c r="A1297" s="20" t="n">
        <v>9</v>
      </c>
      <c r="B1297" s="210"/>
      <c r="C1297" s="162" t="s">
        <v>121</v>
      </c>
      <c r="D1297" s="23" t="n">
        <v>3</v>
      </c>
      <c r="E1297" s="210"/>
    </row>
    <row r="1298" customFormat="false" ht="15" hidden="false" customHeight="false" outlineLevel="0" collapsed="false">
      <c r="A1298" s="178" t="n">
        <v>10</v>
      </c>
      <c r="B1298" s="211"/>
      <c r="C1298" s="212" t="s">
        <v>53</v>
      </c>
      <c r="D1298" s="213" t="n">
        <v>1</v>
      </c>
      <c r="E1298" s="211"/>
    </row>
    <row r="1299" customFormat="false" ht="15" hidden="false" customHeight="false" outlineLevel="0" collapsed="false">
      <c r="A1299" s="20" t="n">
        <v>11</v>
      </c>
      <c r="B1299" s="210"/>
      <c r="C1299" s="162" t="s">
        <v>57</v>
      </c>
      <c r="D1299" s="23" t="n">
        <v>1</v>
      </c>
      <c r="E1299" s="210"/>
    </row>
    <row r="1300" customFormat="false" ht="15" hidden="false" customHeight="false" outlineLevel="0" collapsed="false">
      <c r="A1300" s="178" t="n">
        <v>12</v>
      </c>
      <c r="B1300" s="211"/>
      <c r="C1300" s="212" t="s">
        <v>80</v>
      </c>
      <c r="D1300" s="213" t="n">
        <v>1</v>
      </c>
      <c r="E1300" s="211"/>
    </row>
    <row r="1301" customFormat="false" ht="15" hidden="false" customHeight="false" outlineLevel="0" collapsed="false">
      <c r="A1301" s="20" t="n">
        <v>13</v>
      </c>
      <c r="B1301" s="210"/>
      <c r="C1301" s="162" t="s">
        <v>973</v>
      </c>
      <c r="D1301" s="23" t="n">
        <v>1</v>
      </c>
      <c r="E1301" s="210"/>
    </row>
    <row r="1302" customFormat="false" ht="15" hidden="false" customHeight="false" outlineLevel="0" collapsed="false">
      <c r="A1302" s="178" t="n">
        <v>14</v>
      </c>
      <c r="B1302" s="211"/>
      <c r="C1302" s="212" t="s">
        <v>974</v>
      </c>
      <c r="D1302" s="213" t="n">
        <v>1</v>
      </c>
      <c r="E1302" s="211"/>
    </row>
    <row r="1303" customFormat="false" ht="15" hidden="false" customHeight="false" outlineLevel="0" collapsed="false">
      <c r="A1303" s="20" t="n">
        <v>15</v>
      </c>
      <c r="B1303" s="210"/>
      <c r="C1303" s="162" t="s">
        <v>941</v>
      </c>
      <c r="D1303" s="23" t="n">
        <v>1</v>
      </c>
      <c r="E1303" s="210"/>
    </row>
    <row r="1304" customFormat="false" ht="15" hidden="false" customHeight="false" outlineLevel="0" collapsed="false">
      <c r="A1304" s="214" t="s">
        <v>1132</v>
      </c>
      <c r="B1304" s="214"/>
      <c r="C1304" s="214"/>
      <c r="D1304" s="215" t="n">
        <v>248</v>
      </c>
      <c r="E1304" s="216"/>
    </row>
    <row r="1305" customFormat="false" ht="14.15" hidden="false" customHeight="false" outlineLevel="0" collapsed="false">
      <c r="A1305" s="208" t="s">
        <v>1133</v>
      </c>
      <c r="B1305" s="208"/>
      <c r="C1305" s="208"/>
      <c r="D1305" s="208"/>
      <c r="E1305" s="208"/>
    </row>
    <row r="1306" customFormat="false" ht="15" hidden="false" customHeight="false" outlineLevel="0" collapsed="false">
      <c r="A1306" s="182" t="s">
        <v>46</v>
      </c>
      <c r="B1306" s="182"/>
      <c r="C1306" s="209" t="s">
        <v>932</v>
      </c>
      <c r="D1306" s="209" t="s">
        <v>933</v>
      </c>
      <c r="E1306" s="182"/>
    </row>
    <row r="1307" customFormat="false" ht="15" hidden="false" customHeight="false" outlineLevel="0" collapsed="false">
      <c r="A1307" s="20" t="n">
        <v>1</v>
      </c>
      <c r="B1307" s="210"/>
      <c r="C1307" s="162" t="s">
        <v>934</v>
      </c>
      <c r="D1307" s="23" t="n">
        <v>33</v>
      </c>
      <c r="E1307" s="210"/>
    </row>
    <row r="1308" customFormat="false" ht="15" hidden="false" customHeight="false" outlineLevel="0" collapsed="false">
      <c r="A1308" s="178" t="n">
        <v>2</v>
      </c>
      <c r="B1308" s="211"/>
      <c r="C1308" s="212" t="s">
        <v>935</v>
      </c>
      <c r="D1308" s="213" t="n">
        <v>31</v>
      </c>
      <c r="E1308" s="211"/>
    </row>
    <row r="1309" customFormat="false" ht="15" hidden="false" customHeight="false" outlineLevel="0" collapsed="false">
      <c r="A1309" s="20" t="n">
        <v>3</v>
      </c>
      <c r="B1309" s="210"/>
      <c r="C1309" s="162" t="s">
        <v>940</v>
      </c>
      <c r="D1309" s="23" t="n">
        <v>2</v>
      </c>
      <c r="E1309" s="210"/>
    </row>
    <row r="1310" customFormat="false" ht="15" hidden="false" customHeight="false" outlineLevel="0" collapsed="false">
      <c r="A1310" s="178" t="n">
        <v>4</v>
      </c>
      <c r="B1310" s="211"/>
      <c r="C1310" s="212" t="s">
        <v>99</v>
      </c>
      <c r="D1310" s="213" t="n">
        <v>2</v>
      </c>
      <c r="E1310" s="211"/>
    </row>
    <row r="1311" customFormat="false" ht="15" hidden="false" customHeight="false" outlineLevel="0" collapsed="false">
      <c r="A1311" s="20" t="n">
        <v>5</v>
      </c>
      <c r="B1311" s="210"/>
      <c r="C1311" s="162" t="s">
        <v>108</v>
      </c>
      <c r="D1311" s="23" t="n">
        <v>1</v>
      </c>
      <c r="E1311" s="210"/>
    </row>
    <row r="1312" customFormat="false" ht="15" hidden="false" customHeight="false" outlineLevel="0" collapsed="false">
      <c r="A1312" s="178" t="n">
        <v>6</v>
      </c>
      <c r="B1312" s="211"/>
      <c r="C1312" s="212" t="s">
        <v>121</v>
      </c>
      <c r="D1312" s="213" t="n">
        <v>1</v>
      </c>
      <c r="E1312" s="211"/>
    </row>
    <row r="1313" customFormat="false" ht="15" hidden="false" customHeight="false" outlineLevel="0" collapsed="false">
      <c r="A1313" s="214" t="s">
        <v>1134</v>
      </c>
      <c r="B1313" s="214"/>
      <c r="C1313" s="214"/>
      <c r="D1313" s="215" t="n">
        <v>70</v>
      </c>
      <c r="E1313" s="216"/>
    </row>
    <row r="1314" customFormat="false" ht="14.15" hidden="false" customHeight="false" outlineLevel="0" collapsed="false">
      <c r="A1314" s="208" t="s">
        <v>1135</v>
      </c>
      <c r="B1314" s="208"/>
      <c r="C1314" s="208"/>
      <c r="D1314" s="208"/>
      <c r="E1314" s="208"/>
    </row>
    <row r="1315" customFormat="false" ht="15" hidden="false" customHeight="false" outlineLevel="0" collapsed="false">
      <c r="A1315" s="182" t="s">
        <v>46</v>
      </c>
      <c r="B1315" s="182"/>
      <c r="C1315" s="209" t="s">
        <v>932</v>
      </c>
      <c r="D1315" s="209" t="s">
        <v>933</v>
      </c>
      <c r="E1315" s="182"/>
    </row>
    <row r="1316" customFormat="false" ht="15" hidden="false" customHeight="false" outlineLevel="0" collapsed="false">
      <c r="A1316" s="20" t="n">
        <v>1</v>
      </c>
      <c r="B1316" s="210"/>
      <c r="C1316" s="162" t="s">
        <v>934</v>
      </c>
      <c r="D1316" s="23" t="n">
        <v>98</v>
      </c>
      <c r="E1316" s="210"/>
    </row>
    <row r="1317" customFormat="false" ht="15" hidden="false" customHeight="false" outlineLevel="0" collapsed="false">
      <c r="A1317" s="178" t="n">
        <v>2</v>
      </c>
      <c r="B1317" s="211"/>
      <c r="C1317" s="212" t="s">
        <v>113</v>
      </c>
      <c r="D1317" s="213" t="n">
        <v>82</v>
      </c>
      <c r="E1317" s="211"/>
    </row>
    <row r="1318" customFormat="false" ht="15" hidden="false" customHeight="false" outlineLevel="0" collapsed="false">
      <c r="A1318" s="20" t="n">
        <v>3</v>
      </c>
      <c r="B1318" s="210"/>
      <c r="C1318" s="162" t="s">
        <v>940</v>
      </c>
      <c r="D1318" s="23" t="n">
        <v>10</v>
      </c>
      <c r="E1318" s="210"/>
    </row>
    <row r="1319" customFormat="false" ht="15" hidden="false" customHeight="false" outlineLevel="0" collapsed="false">
      <c r="A1319" s="178" t="n">
        <v>4</v>
      </c>
      <c r="B1319" s="211"/>
      <c r="C1319" s="212" t="s">
        <v>99</v>
      </c>
      <c r="D1319" s="213" t="n">
        <v>10</v>
      </c>
      <c r="E1319" s="211"/>
    </row>
    <row r="1320" customFormat="false" ht="15" hidden="false" customHeight="false" outlineLevel="0" collapsed="false">
      <c r="A1320" s="20" t="n">
        <v>5</v>
      </c>
      <c r="B1320" s="210"/>
      <c r="C1320" s="162" t="s">
        <v>938</v>
      </c>
      <c r="D1320" s="23" t="n">
        <v>6</v>
      </c>
      <c r="E1320" s="210"/>
    </row>
    <row r="1321" customFormat="false" ht="15" hidden="false" customHeight="false" outlineLevel="0" collapsed="false">
      <c r="A1321" s="178" t="n">
        <v>6</v>
      </c>
      <c r="B1321" s="211"/>
      <c r="C1321" s="212" t="s">
        <v>118</v>
      </c>
      <c r="D1321" s="213" t="n">
        <v>2</v>
      </c>
      <c r="E1321" s="211"/>
    </row>
    <row r="1322" customFormat="false" ht="15" hidden="false" customHeight="false" outlineLevel="0" collapsed="false">
      <c r="A1322" s="20" t="n">
        <v>7</v>
      </c>
      <c r="B1322" s="210"/>
      <c r="C1322" s="162" t="s">
        <v>121</v>
      </c>
      <c r="D1322" s="23" t="n">
        <v>2</v>
      </c>
      <c r="E1322" s="210"/>
    </row>
    <row r="1323" customFormat="false" ht="15" hidden="false" customHeight="false" outlineLevel="0" collapsed="false">
      <c r="A1323" s="178" t="n">
        <v>8</v>
      </c>
      <c r="B1323" s="211"/>
      <c r="C1323" s="212" t="s">
        <v>942</v>
      </c>
      <c r="D1323" s="213" t="n">
        <v>1</v>
      </c>
      <c r="E1323" s="211"/>
    </row>
    <row r="1324" customFormat="false" ht="15" hidden="false" customHeight="false" outlineLevel="0" collapsed="false">
      <c r="A1324" s="214" t="s">
        <v>1136</v>
      </c>
      <c r="B1324" s="214"/>
      <c r="C1324" s="214"/>
      <c r="D1324" s="215" t="n">
        <v>211</v>
      </c>
      <c r="E1324" s="216"/>
    </row>
    <row r="1326" customFormat="false" ht="15" hidden="false" customHeight="false" outlineLevel="0" collapsed="false">
      <c r="A1326" s="217" t="s">
        <v>944</v>
      </c>
      <c r="B1326" s="217"/>
      <c r="C1326" s="217"/>
      <c r="D1326" s="217"/>
      <c r="E1326" s="217"/>
    </row>
    <row r="1327" customFormat="false" ht="15" hidden="false" customHeight="false" outlineLevel="0" collapsed="false">
      <c r="A1327" s="182" t="s">
        <v>46</v>
      </c>
      <c r="B1327" s="182"/>
      <c r="C1327" s="209" t="s">
        <v>932</v>
      </c>
      <c r="D1327" s="209" t="s">
        <v>945</v>
      </c>
      <c r="E1327" s="182"/>
    </row>
    <row r="1328" customFormat="false" ht="15" hidden="false" customHeight="false" outlineLevel="0" collapsed="false">
      <c r="A1328" s="20" t="n">
        <v>1</v>
      </c>
      <c r="B1328" s="210"/>
      <c r="C1328" s="162" t="s">
        <v>934</v>
      </c>
      <c r="D1328" s="23" t="n">
        <v>455</v>
      </c>
      <c r="E1328" s="210"/>
    </row>
    <row r="1329" customFormat="false" ht="15" hidden="false" customHeight="false" outlineLevel="0" collapsed="false">
      <c r="A1329" s="178" t="n">
        <v>2</v>
      </c>
      <c r="B1329" s="211"/>
      <c r="C1329" s="212" t="s">
        <v>935</v>
      </c>
      <c r="D1329" s="213" t="n">
        <v>281</v>
      </c>
      <c r="E1329" s="211"/>
    </row>
    <row r="1330" customFormat="false" ht="15" hidden="false" customHeight="false" outlineLevel="0" collapsed="false">
      <c r="A1330" s="20" t="n">
        <v>3</v>
      </c>
      <c r="B1330" s="210"/>
      <c r="C1330" s="162" t="s">
        <v>113</v>
      </c>
      <c r="D1330" s="23" t="n">
        <v>158</v>
      </c>
      <c r="E1330" s="210"/>
    </row>
    <row r="1331" customFormat="false" ht="15" hidden="false" customHeight="false" outlineLevel="0" collapsed="false">
      <c r="A1331" s="178" t="n">
        <v>4</v>
      </c>
      <c r="B1331" s="211"/>
      <c r="C1331" s="212" t="s">
        <v>99</v>
      </c>
      <c r="D1331" s="213" t="n">
        <v>35</v>
      </c>
      <c r="E1331" s="211"/>
    </row>
    <row r="1332" customFormat="false" ht="15" hidden="false" customHeight="false" outlineLevel="0" collapsed="false">
      <c r="A1332" s="20" t="n">
        <v>5</v>
      </c>
      <c r="B1332" s="210"/>
      <c r="C1332" s="162" t="s">
        <v>940</v>
      </c>
      <c r="D1332" s="23" t="n">
        <v>25</v>
      </c>
      <c r="E1332" s="210"/>
    </row>
    <row r="1333" customFormat="false" ht="15" hidden="false" customHeight="false" outlineLevel="0" collapsed="false">
      <c r="A1333" s="178" t="n">
        <v>6</v>
      </c>
      <c r="B1333" s="211"/>
      <c r="C1333" s="212" t="s">
        <v>952</v>
      </c>
      <c r="D1333" s="213" t="n">
        <v>23</v>
      </c>
      <c r="E1333" s="211"/>
    </row>
    <row r="1334" customFormat="false" ht="15" hidden="false" customHeight="false" outlineLevel="0" collapsed="false">
      <c r="A1334" s="20" t="n">
        <v>7</v>
      </c>
      <c r="B1334" s="210"/>
      <c r="C1334" s="162" t="s">
        <v>938</v>
      </c>
      <c r="D1334" s="23" t="n">
        <v>13</v>
      </c>
      <c r="E1334" s="210"/>
    </row>
    <row r="1335" customFormat="false" ht="15" hidden="false" customHeight="false" outlineLevel="0" collapsed="false">
      <c r="A1335" s="178" t="n">
        <v>8</v>
      </c>
      <c r="B1335" s="211"/>
      <c r="C1335" s="212" t="s">
        <v>121</v>
      </c>
      <c r="D1335" s="213" t="n">
        <v>11</v>
      </c>
      <c r="E1335" s="211"/>
    </row>
    <row r="1336" customFormat="false" ht="15" hidden="false" customHeight="false" outlineLevel="0" collapsed="false">
      <c r="A1336" s="20" t="n">
        <v>9</v>
      </c>
      <c r="B1336" s="210"/>
      <c r="C1336" s="162" t="s">
        <v>965</v>
      </c>
      <c r="D1336" s="23" t="n">
        <v>9</v>
      </c>
      <c r="E1336" s="210"/>
    </row>
    <row r="1337" customFormat="false" ht="15" hidden="false" customHeight="false" outlineLevel="0" collapsed="false">
      <c r="A1337" s="178" t="n">
        <v>10</v>
      </c>
      <c r="B1337" s="211"/>
      <c r="C1337" s="212" t="s">
        <v>939</v>
      </c>
      <c r="D1337" s="213" t="n">
        <v>8</v>
      </c>
      <c r="E1337" s="211"/>
    </row>
    <row r="1338" customFormat="false" ht="15" hidden="false" customHeight="false" outlineLevel="0" collapsed="false">
      <c r="A1338" s="20" t="n">
        <v>11</v>
      </c>
      <c r="B1338" s="210"/>
      <c r="C1338" s="162" t="s">
        <v>108</v>
      </c>
      <c r="D1338" s="23" t="n">
        <v>7</v>
      </c>
      <c r="E1338" s="210"/>
    </row>
    <row r="1339" customFormat="false" ht="15" hidden="false" customHeight="false" outlineLevel="0" collapsed="false">
      <c r="A1339" s="178" t="n">
        <v>12</v>
      </c>
      <c r="B1339" s="211"/>
      <c r="C1339" s="212" t="s">
        <v>93</v>
      </c>
      <c r="D1339" s="213" t="n">
        <v>6</v>
      </c>
      <c r="E1339" s="211"/>
    </row>
    <row r="1340" customFormat="false" ht="15" hidden="false" customHeight="false" outlineLevel="0" collapsed="false">
      <c r="A1340" s="20" t="n">
        <v>13</v>
      </c>
      <c r="B1340" s="210"/>
      <c r="C1340" s="162" t="s">
        <v>966</v>
      </c>
      <c r="D1340" s="23" t="n">
        <v>6</v>
      </c>
      <c r="E1340" s="210"/>
    </row>
    <row r="1341" customFormat="false" ht="15" hidden="false" customHeight="false" outlineLevel="0" collapsed="false">
      <c r="A1341" s="178" t="n">
        <v>14</v>
      </c>
      <c r="B1341" s="211"/>
      <c r="C1341" s="212" t="s">
        <v>118</v>
      </c>
      <c r="D1341" s="213" t="n">
        <v>5</v>
      </c>
      <c r="E1341" s="211"/>
    </row>
    <row r="1342" customFormat="false" ht="15" hidden="false" customHeight="false" outlineLevel="0" collapsed="false">
      <c r="A1342" s="20" t="n">
        <v>15</v>
      </c>
      <c r="B1342" s="210"/>
      <c r="C1342" s="162" t="s">
        <v>942</v>
      </c>
      <c r="D1342" s="23" t="n">
        <v>3</v>
      </c>
      <c r="E1342" s="210"/>
    </row>
    <row r="1343" customFormat="false" ht="15" hidden="false" customHeight="false" outlineLevel="0" collapsed="false">
      <c r="A1343" s="178" t="n">
        <v>16</v>
      </c>
      <c r="B1343" s="211"/>
      <c r="C1343" s="212" t="s">
        <v>941</v>
      </c>
      <c r="D1343" s="213" t="n">
        <v>3</v>
      </c>
      <c r="E1343" s="211"/>
    </row>
    <row r="1344" customFormat="false" ht="15" hidden="false" customHeight="false" outlineLevel="0" collapsed="false">
      <c r="A1344" s="20" t="n">
        <v>17</v>
      </c>
      <c r="B1344" s="210"/>
      <c r="C1344" s="162" t="s">
        <v>1129</v>
      </c>
      <c r="D1344" s="23" t="n">
        <v>2</v>
      </c>
      <c r="E1344" s="210"/>
    </row>
    <row r="1345" customFormat="false" ht="15" hidden="false" customHeight="false" outlineLevel="0" collapsed="false">
      <c r="A1345" s="178" t="n">
        <v>18</v>
      </c>
      <c r="B1345" s="211"/>
      <c r="C1345" s="212" t="s">
        <v>53</v>
      </c>
      <c r="D1345" s="213" t="n">
        <v>1</v>
      </c>
      <c r="E1345" s="211"/>
    </row>
    <row r="1346" customFormat="false" ht="15" hidden="false" customHeight="false" outlineLevel="0" collapsed="false">
      <c r="A1346" s="20" t="n">
        <v>19</v>
      </c>
      <c r="B1346" s="210"/>
      <c r="C1346" s="162" t="s">
        <v>57</v>
      </c>
      <c r="D1346" s="23" t="n">
        <v>1</v>
      </c>
      <c r="E1346" s="210"/>
    </row>
    <row r="1347" customFormat="false" ht="15" hidden="false" customHeight="false" outlineLevel="0" collapsed="false">
      <c r="A1347" s="178" t="n">
        <v>20</v>
      </c>
      <c r="B1347" s="211"/>
      <c r="C1347" s="212" t="s">
        <v>80</v>
      </c>
      <c r="D1347" s="213" t="n">
        <v>1</v>
      </c>
      <c r="E1347" s="211"/>
    </row>
    <row r="1348" customFormat="false" ht="15" hidden="false" customHeight="false" outlineLevel="0" collapsed="false">
      <c r="A1348" s="20" t="n">
        <v>21</v>
      </c>
      <c r="B1348" s="210"/>
      <c r="C1348" s="162" t="s">
        <v>973</v>
      </c>
      <c r="D1348" s="23" t="n">
        <v>1</v>
      </c>
      <c r="E1348" s="210"/>
    </row>
    <row r="1349" customFormat="false" ht="15" hidden="false" customHeight="false" outlineLevel="0" collapsed="false">
      <c r="A1349" s="178" t="n">
        <v>22</v>
      </c>
      <c r="B1349" s="211"/>
      <c r="C1349" s="212" t="s">
        <v>974</v>
      </c>
      <c r="D1349" s="213" t="n">
        <v>1</v>
      </c>
      <c r="E1349" s="211"/>
    </row>
    <row r="1350" customFormat="false" ht="15" hidden="false" customHeight="false" outlineLevel="0" collapsed="false">
      <c r="A1350" s="218" t="s">
        <v>1137</v>
      </c>
      <c r="B1350" s="218"/>
      <c r="C1350" s="218"/>
      <c r="D1350" s="219" t="n">
        <v>1055</v>
      </c>
      <c r="E1350" s="220"/>
    </row>
    <row r="1352" customFormat="false" ht="37.5" hidden="false" customHeight="true" outlineLevel="0" collapsed="false">
      <c r="A1352" s="206" t="s">
        <v>1138</v>
      </c>
      <c r="B1352" s="206"/>
      <c r="C1352" s="206"/>
      <c r="D1352" s="206"/>
      <c r="E1352" s="206"/>
    </row>
    <row r="1353" customFormat="false" ht="15" hidden="false" customHeight="false" outlineLevel="0" collapsed="false">
      <c r="A1353" s="207" t="s">
        <v>1139</v>
      </c>
      <c r="B1353" s="207"/>
      <c r="C1353" s="207"/>
      <c r="D1353" s="207"/>
      <c r="E1353" s="207"/>
    </row>
    <row r="1354" customFormat="false" ht="14.15" hidden="false" customHeight="false" outlineLevel="0" collapsed="false">
      <c r="A1354" s="208" t="s">
        <v>1140</v>
      </c>
      <c r="B1354" s="208"/>
      <c r="C1354" s="208"/>
      <c r="D1354" s="208"/>
      <c r="E1354" s="208"/>
    </row>
    <row r="1355" customFormat="false" ht="15" hidden="false" customHeight="false" outlineLevel="0" collapsed="false">
      <c r="A1355" s="182" t="s">
        <v>46</v>
      </c>
      <c r="B1355" s="182"/>
      <c r="C1355" s="209" t="s">
        <v>932</v>
      </c>
      <c r="D1355" s="209" t="s">
        <v>933</v>
      </c>
      <c r="E1355" s="182"/>
    </row>
    <row r="1356" customFormat="false" ht="15" hidden="false" customHeight="false" outlineLevel="0" collapsed="false">
      <c r="A1356" s="20" t="n">
        <v>1</v>
      </c>
      <c r="B1356" s="210"/>
      <c r="C1356" s="162" t="s">
        <v>934</v>
      </c>
      <c r="D1356" s="23" t="n">
        <v>351</v>
      </c>
      <c r="E1356" s="210"/>
    </row>
    <row r="1357" customFormat="false" ht="15" hidden="false" customHeight="false" outlineLevel="0" collapsed="false">
      <c r="A1357" s="178" t="n">
        <v>2</v>
      </c>
      <c r="B1357" s="211"/>
      <c r="C1357" s="212" t="s">
        <v>936</v>
      </c>
      <c r="D1357" s="213" t="n">
        <v>66</v>
      </c>
      <c r="E1357" s="211"/>
    </row>
    <row r="1358" customFormat="false" ht="15" hidden="false" customHeight="false" outlineLevel="0" collapsed="false">
      <c r="A1358" s="20" t="n">
        <v>3</v>
      </c>
      <c r="B1358" s="210"/>
      <c r="C1358" s="162" t="s">
        <v>97</v>
      </c>
      <c r="D1358" s="23" t="n">
        <v>45</v>
      </c>
      <c r="E1358" s="210"/>
    </row>
    <row r="1359" customFormat="false" ht="15" hidden="false" customHeight="false" outlineLevel="0" collapsed="false">
      <c r="A1359" s="178" t="n">
        <v>4</v>
      </c>
      <c r="B1359" s="211"/>
      <c r="C1359" s="212" t="s">
        <v>1096</v>
      </c>
      <c r="D1359" s="213" t="n">
        <v>45</v>
      </c>
      <c r="E1359" s="211"/>
    </row>
    <row r="1360" customFormat="false" ht="15" hidden="false" customHeight="false" outlineLevel="0" collapsed="false">
      <c r="A1360" s="20" t="n">
        <v>5</v>
      </c>
      <c r="B1360" s="210"/>
      <c r="C1360" s="162" t="s">
        <v>940</v>
      </c>
      <c r="D1360" s="23" t="n">
        <v>36</v>
      </c>
      <c r="E1360" s="210"/>
    </row>
    <row r="1361" customFormat="false" ht="15" hidden="false" customHeight="false" outlineLevel="0" collapsed="false">
      <c r="A1361" s="178" t="n">
        <v>6</v>
      </c>
      <c r="B1361" s="211"/>
      <c r="C1361" s="212" t="s">
        <v>1054</v>
      </c>
      <c r="D1361" s="213" t="n">
        <v>21</v>
      </c>
      <c r="E1361" s="211"/>
    </row>
    <row r="1362" customFormat="false" ht="15" hidden="false" customHeight="false" outlineLevel="0" collapsed="false">
      <c r="A1362" s="20" t="n">
        <v>7</v>
      </c>
      <c r="B1362" s="210"/>
      <c r="C1362" s="162" t="s">
        <v>113</v>
      </c>
      <c r="D1362" s="23" t="n">
        <v>21</v>
      </c>
      <c r="E1362" s="210"/>
    </row>
    <row r="1363" customFormat="false" ht="15" hidden="false" customHeight="false" outlineLevel="0" collapsed="false">
      <c r="A1363" s="178" t="n">
        <v>8</v>
      </c>
      <c r="B1363" s="211"/>
      <c r="C1363" s="212" t="s">
        <v>88</v>
      </c>
      <c r="D1363" s="213" t="n">
        <v>16</v>
      </c>
      <c r="E1363" s="211"/>
    </row>
    <row r="1364" customFormat="false" ht="15" hidden="false" customHeight="false" outlineLevel="0" collapsed="false">
      <c r="A1364" s="20" t="n">
        <v>9</v>
      </c>
      <c r="B1364" s="210"/>
      <c r="C1364" s="162" t="s">
        <v>132</v>
      </c>
      <c r="D1364" s="23" t="n">
        <v>15</v>
      </c>
      <c r="E1364" s="210"/>
    </row>
    <row r="1365" customFormat="false" ht="15" hidden="false" customHeight="false" outlineLevel="0" collapsed="false">
      <c r="A1365" s="178" t="n">
        <v>10</v>
      </c>
      <c r="B1365" s="211"/>
      <c r="C1365" s="212" t="s">
        <v>63</v>
      </c>
      <c r="D1365" s="213" t="n">
        <v>10</v>
      </c>
      <c r="E1365" s="211"/>
    </row>
    <row r="1366" customFormat="false" ht="15" hidden="false" customHeight="false" outlineLevel="0" collapsed="false">
      <c r="A1366" s="20" t="n">
        <v>11</v>
      </c>
      <c r="B1366" s="210"/>
      <c r="C1366" s="162" t="s">
        <v>99</v>
      </c>
      <c r="D1366" s="23" t="n">
        <v>9</v>
      </c>
      <c r="E1366" s="210"/>
    </row>
    <row r="1367" customFormat="false" ht="15" hidden="false" customHeight="false" outlineLevel="0" collapsed="false">
      <c r="A1367" s="178" t="n">
        <v>12</v>
      </c>
      <c r="B1367" s="211"/>
      <c r="C1367" s="212" t="s">
        <v>74</v>
      </c>
      <c r="D1367" s="213" t="n">
        <v>8</v>
      </c>
      <c r="E1367" s="211"/>
    </row>
    <row r="1368" customFormat="false" ht="15" hidden="false" customHeight="false" outlineLevel="0" collapsed="false">
      <c r="A1368" s="20" t="n">
        <v>13</v>
      </c>
      <c r="B1368" s="210"/>
      <c r="C1368" s="162" t="s">
        <v>1141</v>
      </c>
      <c r="D1368" s="23" t="n">
        <v>8</v>
      </c>
      <c r="E1368" s="210"/>
    </row>
    <row r="1369" customFormat="false" ht="15" hidden="false" customHeight="false" outlineLevel="0" collapsed="false">
      <c r="A1369" s="178" t="n">
        <v>14</v>
      </c>
      <c r="B1369" s="211"/>
      <c r="C1369" s="212" t="s">
        <v>62</v>
      </c>
      <c r="D1369" s="213" t="n">
        <v>6</v>
      </c>
      <c r="E1369" s="211"/>
    </row>
    <row r="1370" customFormat="false" ht="15" hidden="false" customHeight="false" outlineLevel="0" collapsed="false">
      <c r="A1370" s="20" t="n">
        <v>15</v>
      </c>
      <c r="B1370" s="210"/>
      <c r="C1370" s="162" t="s">
        <v>107</v>
      </c>
      <c r="D1370" s="23" t="n">
        <v>3</v>
      </c>
      <c r="E1370" s="210"/>
    </row>
    <row r="1371" customFormat="false" ht="15" hidden="false" customHeight="false" outlineLevel="0" collapsed="false">
      <c r="A1371" s="178" t="n">
        <v>16</v>
      </c>
      <c r="B1371" s="211"/>
      <c r="C1371" s="212" t="s">
        <v>114</v>
      </c>
      <c r="D1371" s="213" t="n">
        <v>3</v>
      </c>
      <c r="E1371" s="211"/>
    </row>
    <row r="1372" customFormat="false" ht="15" hidden="false" customHeight="false" outlineLevel="0" collapsed="false">
      <c r="A1372" s="20" t="n">
        <v>17</v>
      </c>
      <c r="B1372" s="210"/>
      <c r="C1372" s="162" t="s">
        <v>118</v>
      </c>
      <c r="D1372" s="23" t="n">
        <v>3</v>
      </c>
      <c r="E1372" s="210"/>
    </row>
    <row r="1373" customFormat="false" ht="15" hidden="false" customHeight="false" outlineLevel="0" collapsed="false">
      <c r="A1373" s="214" t="s">
        <v>1142</v>
      </c>
      <c r="B1373" s="214"/>
      <c r="C1373" s="214"/>
      <c r="D1373" s="215" t="n">
        <v>666</v>
      </c>
      <c r="E1373" s="216"/>
    </row>
    <row r="1374" customFormat="false" ht="14.15" hidden="false" customHeight="false" outlineLevel="0" collapsed="false">
      <c r="A1374" s="208" t="s">
        <v>1143</v>
      </c>
      <c r="B1374" s="208"/>
      <c r="C1374" s="208"/>
      <c r="D1374" s="208"/>
      <c r="E1374" s="208"/>
    </row>
    <row r="1375" customFormat="false" ht="15" hidden="false" customHeight="false" outlineLevel="0" collapsed="false">
      <c r="A1375" s="182" t="s">
        <v>46</v>
      </c>
      <c r="B1375" s="182"/>
      <c r="C1375" s="209" t="s">
        <v>932</v>
      </c>
      <c r="D1375" s="209" t="s">
        <v>933</v>
      </c>
      <c r="E1375" s="182"/>
    </row>
    <row r="1376" customFormat="false" ht="15" hidden="false" customHeight="false" outlineLevel="0" collapsed="false">
      <c r="A1376" s="20" t="n">
        <v>1</v>
      </c>
      <c r="B1376" s="210"/>
      <c r="C1376" s="162" t="s">
        <v>934</v>
      </c>
      <c r="D1376" s="23" t="n">
        <v>351</v>
      </c>
      <c r="E1376" s="210"/>
    </row>
    <row r="1377" customFormat="false" ht="15" hidden="false" customHeight="false" outlineLevel="0" collapsed="false">
      <c r="A1377" s="178" t="n">
        <v>2</v>
      </c>
      <c r="B1377" s="211"/>
      <c r="C1377" s="212" t="s">
        <v>936</v>
      </c>
      <c r="D1377" s="213" t="n">
        <v>66</v>
      </c>
      <c r="E1377" s="211"/>
    </row>
    <row r="1378" customFormat="false" ht="15" hidden="false" customHeight="false" outlineLevel="0" collapsed="false">
      <c r="A1378" s="20" t="n">
        <v>3</v>
      </c>
      <c r="B1378" s="210"/>
      <c r="C1378" s="162" t="s">
        <v>97</v>
      </c>
      <c r="D1378" s="23" t="n">
        <v>45</v>
      </c>
      <c r="E1378" s="210"/>
    </row>
    <row r="1379" customFormat="false" ht="15" hidden="false" customHeight="false" outlineLevel="0" collapsed="false">
      <c r="A1379" s="178" t="n">
        <v>4</v>
      </c>
      <c r="B1379" s="211"/>
      <c r="C1379" s="212" t="s">
        <v>1096</v>
      </c>
      <c r="D1379" s="213" t="n">
        <v>45</v>
      </c>
      <c r="E1379" s="211"/>
    </row>
    <row r="1380" customFormat="false" ht="15" hidden="false" customHeight="false" outlineLevel="0" collapsed="false">
      <c r="A1380" s="20" t="n">
        <v>5</v>
      </c>
      <c r="B1380" s="210"/>
      <c r="C1380" s="162" t="s">
        <v>940</v>
      </c>
      <c r="D1380" s="23" t="n">
        <v>36</v>
      </c>
      <c r="E1380" s="210"/>
    </row>
    <row r="1381" customFormat="false" ht="15" hidden="false" customHeight="false" outlineLevel="0" collapsed="false">
      <c r="A1381" s="178" t="n">
        <v>6</v>
      </c>
      <c r="B1381" s="211"/>
      <c r="C1381" s="212" t="s">
        <v>1054</v>
      </c>
      <c r="D1381" s="213" t="n">
        <v>21</v>
      </c>
      <c r="E1381" s="211"/>
    </row>
    <row r="1382" customFormat="false" ht="15" hidden="false" customHeight="false" outlineLevel="0" collapsed="false">
      <c r="A1382" s="20" t="n">
        <v>7</v>
      </c>
      <c r="B1382" s="210"/>
      <c r="C1382" s="162" t="s">
        <v>113</v>
      </c>
      <c r="D1382" s="23" t="n">
        <v>21</v>
      </c>
      <c r="E1382" s="210"/>
    </row>
    <row r="1383" customFormat="false" ht="15" hidden="false" customHeight="false" outlineLevel="0" collapsed="false">
      <c r="A1383" s="178" t="n">
        <v>8</v>
      </c>
      <c r="B1383" s="211"/>
      <c r="C1383" s="212" t="s">
        <v>73</v>
      </c>
      <c r="D1383" s="213" t="n">
        <v>16</v>
      </c>
      <c r="E1383" s="211"/>
    </row>
    <row r="1384" customFormat="false" ht="15" hidden="false" customHeight="false" outlineLevel="0" collapsed="false">
      <c r="A1384" s="20" t="n">
        <v>9</v>
      </c>
      <c r="B1384" s="210"/>
      <c r="C1384" s="162" t="s">
        <v>962</v>
      </c>
      <c r="D1384" s="23" t="n">
        <v>16</v>
      </c>
      <c r="E1384" s="210"/>
    </row>
    <row r="1385" customFormat="false" ht="15" hidden="false" customHeight="false" outlineLevel="0" collapsed="false">
      <c r="A1385" s="178" t="n">
        <v>10</v>
      </c>
      <c r="B1385" s="211"/>
      <c r="C1385" s="212" t="s">
        <v>132</v>
      </c>
      <c r="D1385" s="213" t="n">
        <v>15</v>
      </c>
      <c r="E1385" s="211"/>
    </row>
    <row r="1386" customFormat="false" ht="15" hidden="false" customHeight="false" outlineLevel="0" collapsed="false">
      <c r="A1386" s="20" t="n">
        <v>11</v>
      </c>
      <c r="B1386" s="210"/>
      <c r="C1386" s="162" t="s">
        <v>99</v>
      </c>
      <c r="D1386" s="23" t="n">
        <v>9</v>
      </c>
      <c r="E1386" s="210"/>
    </row>
    <row r="1387" customFormat="false" ht="15" hidden="false" customHeight="false" outlineLevel="0" collapsed="false">
      <c r="A1387" s="178" t="n">
        <v>12</v>
      </c>
      <c r="B1387" s="211"/>
      <c r="C1387" s="212" t="s">
        <v>86</v>
      </c>
      <c r="D1387" s="213" t="n">
        <v>8</v>
      </c>
      <c r="E1387" s="211"/>
    </row>
    <row r="1388" customFormat="false" ht="15" hidden="false" customHeight="false" outlineLevel="0" collapsed="false">
      <c r="A1388" s="20" t="n">
        <v>13</v>
      </c>
      <c r="B1388" s="210"/>
      <c r="C1388" s="162" t="s">
        <v>100</v>
      </c>
      <c r="D1388" s="23" t="n">
        <v>8</v>
      </c>
      <c r="E1388" s="210"/>
    </row>
    <row r="1389" customFormat="false" ht="15" hidden="false" customHeight="false" outlineLevel="0" collapsed="false">
      <c r="A1389" s="178" t="n">
        <v>14</v>
      </c>
      <c r="B1389" s="211"/>
      <c r="C1389" s="212" t="s">
        <v>107</v>
      </c>
      <c r="D1389" s="213" t="n">
        <v>3</v>
      </c>
      <c r="E1389" s="211"/>
    </row>
    <row r="1390" customFormat="false" ht="15" hidden="false" customHeight="false" outlineLevel="0" collapsed="false">
      <c r="A1390" s="20" t="n">
        <v>15</v>
      </c>
      <c r="B1390" s="210"/>
      <c r="C1390" s="162" t="s">
        <v>114</v>
      </c>
      <c r="D1390" s="23" t="n">
        <v>3</v>
      </c>
      <c r="E1390" s="210"/>
    </row>
    <row r="1391" customFormat="false" ht="15" hidden="false" customHeight="false" outlineLevel="0" collapsed="false">
      <c r="A1391" s="178" t="n">
        <v>16</v>
      </c>
      <c r="B1391" s="211"/>
      <c r="C1391" s="212" t="s">
        <v>118</v>
      </c>
      <c r="D1391" s="213" t="n">
        <v>3</v>
      </c>
      <c r="E1391" s="211"/>
    </row>
    <row r="1392" customFormat="false" ht="15" hidden="false" customHeight="false" outlineLevel="0" collapsed="false">
      <c r="A1392" s="214" t="s">
        <v>1144</v>
      </c>
      <c r="B1392" s="214"/>
      <c r="C1392" s="214"/>
      <c r="D1392" s="215" t="n">
        <v>666</v>
      </c>
      <c r="E1392" s="216"/>
    </row>
    <row r="1393" customFormat="false" ht="14.15" hidden="false" customHeight="false" outlineLevel="0" collapsed="false">
      <c r="A1393" s="208" t="s">
        <v>1145</v>
      </c>
      <c r="B1393" s="208"/>
      <c r="C1393" s="208"/>
      <c r="D1393" s="208"/>
      <c r="E1393" s="208"/>
    </row>
    <row r="1394" customFormat="false" ht="15" hidden="false" customHeight="false" outlineLevel="0" collapsed="false">
      <c r="A1394" s="182" t="s">
        <v>46</v>
      </c>
      <c r="B1394" s="182"/>
      <c r="C1394" s="209" t="s">
        <v>932</v>
      </c>
      <c r="D1394" s="209" t="s">
        <v>933</v>
      </c>
      <c r="E1394" s="182"/>
    </row>
    <row r="1395" customFormat="false" ht="15" hidden="false" customHeight="false" outlineLevel="0" collapsed="false">
      <c r="A1395" s="20" t="n">
        <v>1</v>
      </c>
      <c r="B1395" s="210"/>
      <c r="C1395" s="162" t="s">
        <v>934</v>
      </c>
      <c r="D1395" s="23" t="n">
        <v>304</v>
      </c>
      <c r="E1395" s="210"/>
    </row>
    <row r="1396" customFormat="false" ht="15" hidden="false" customHeight="false" outlineLevel="0" collapsed="false">
      <c r="A1396" s="178" t="n">
        <v>2</v>
      </c>
      <c r="B1396" s="211"/>
      <c r="C1396" s="212" t="s">
        <v>99</v>
      </c>
      <c r="D1396" s="213" t="n">
        <v>112</v>
      </c>
      <c r="E1396" s="211"/>
    </row>
    <row r="1397" customFormat="false" ht="15" hidden="false" customHeight="false" outlineLevel="0" collapsed="false">
      <c r="A1397" s="20" t="n">
        <v>3</v>
      </c>
      <c r="B1397" s="210"/>
      <c r="C1397" s="162" t="s">
        <v>935</v>
      </c>
      <c r="D1397" s="23" t="n">
        <v>99</v>
      </c>
      <c r="E1397" s="210"/>
    </row>
    <row r="1398" customFormat="false" ht="15" hidden="false" customHeight="false" outlineLevel="0" collapsed="false">
      <c r="A1398" s="178" t="n">
        <v>4</v>
      </c>
      <c r="B1398" s="211"/>
      <c r="C1398" s="212" t="s">
        <v>113</v>
      </c>
      <c r="D1398" s="213" t="n">
        <v>70</v>
      </c>
      <c r="E1398" s="211"/>
    </row>
    <row r="1399" customFormat="false" ht="15" hidden="false" customHeight="false" outlineLevel="0" collapsed="false">
      <c r="A1399" s="20" t="n">
        <v>5</v>
      </c>
      <c r="B1399" s="210"/>
      <c r="C1399" s="162" t="s">
        <v>1146</v>
      </c>
      <c r="D1399" s="23" t="n">
        <v>50</v>
      </c>
      <c r="E1399" s="210"/>
    </row>
    <row r="1400" customFormat="false" ht="15" hidden="false" customHeight="false" outlineLevel="0" collapsed="false">
      <c r="A1400" s="178" t="n">
        <v>6</v>
      </c>
      <c r="B1400" s="211"/>
      <c r="C1400" s="212" t="s">
        <v>118</v>
      </c>
      <c r="D1400" s="213" t="n">
        <v>12</v>
      </c>
      <c r="E1400" s="211"/>
    </row>
    <row r="1401" customFormat="false" ht="15" hidden="false" customHeight="false" outlineLevel="0" collapsed="false">
      <c r="A1401" s="20" t="n">
        <v>7</v>
      </c>
      <c r="B1401" s="210"/>
      <c r="C1401" s="162" t="s">
        <v>121</v>
      </c>
      <c r="D1401" s="23" t="n">
        <v>12</v>
      </c>
      <c r="E1401" s="210"/>
    </row>
    <row r="1402" customFormat="false" ht="15" hidden="false" customHeight="false" outlineLevel="0" collapsed="false">
      <c r="A1402" s="178" t="n">
        <v>8</v>
      </c>
      <c r="B1402" s="211"/>
      <c r="C1402" s="212" t="s">
        <v>942</v>
      </c>
      <c r="D1402" s="213" t="n">
        <v>12</v>
      </c>
      <c r="E1402" s="211"/>
    </row>
    <row r="1403" customFormat="false" ht="15" hidden="false" customHeight="false" outlineLevel="0" collapsed="false">
      <c r="A1403" s="20" t="n">
        <v>9</v>
      </c>
      <c r="B1403" s="210"/>
      <c r="C1403" s="162" t="s">
        <v>952</v>
      </c>
      <c r="D1403" s="23" t="n">
        <v>11</v>
      </c>
      <c r="E1403" s="210"/>
    </row>
    <row r="1404" customFormat="false" ht="15" hidden="false" customHeight="false" outlineLevel="0" collapsed="false">
      <c r="A1404" s="178" t="n">
        <v>10</v>
      </c>
      <c r="B1404" s="211"/>
      <c r="C1404" s="212" t="s">
        <v>940</v>
      </c>
      <c r="D1404" s="213" t="n">
        <v>7</v>
      </c>
      <c r="E1404" s="211"/>
    </row>
    <row r="1405" customFormat="false" ht="15" hidden="false" customHeight="false" outlineLevel="0" collapsed="false">
      <c r="A1405" s="20" t="n">
        <v>11</v>
      </c>
      <c r="B1405" s="210"/>
      <c r="C1405" s="162" t="s">
        <v>939</v>
      </c>
      <c r="D1405" s="23" t="n">
        <v>4</v>
      </c>
      <c r="E1405" s="210"/>
    </row>
    <row r="1406" customFormat="false" ht="15" hidden="false" customHeight="false" outlineLevel="0" collapsed="false">
      <c r="A1406" s="214" t="s">
        <v>1147</v>
      </c>
      <c r="B1406" s="214"/>
      <c r="C1406" s="214"/>
      <c r="D1406" s="215" t="n">
        <v>693</v>
      </c>
      <c r="E1406" s="216"/>
    </row>
    <row r="1407" customFormat="false" ht="14.15" hidden="false" customHeight="false" outlineLevel="0" collapsed="false">
      <c r="A1407" s="208" t="s">
        <v>1148</v>
      </c>
      <c r="B1407" s="208"/>
      <c r="C1407" s="208"/>
      <c r="D1407" s="208"/>
      <c r="E1407" s="208"/>
    </row>
    <row r="1408" customFormat="false" ht="15" hidden="false" customHeight="false" outlineLevel="0" collapsed="false">
      <c r="A1408" s="182" t="s">
        <v>46</v>
      </c>
      <c r="B1408" s="182"/>
      <c r="C1408" s="209" t="s">
        <v>932</v>
      </c>
      <c r="D1408" s="209" t="s">
        <v>933</v>
      </c>
      <c r="E1408" s="182"/>
    </row>
    <row r="1409" customFormat="false" ht="15" hidden="false" customHeight="false" outlineLevel="0" collapsed="false">
      <c r="A1409" s="20" t="n">
        <v>1</v>
      </c>
      <c r="B1409" s="210"/>
      <c r="C1409" s="162" t="s">
        <v>934</v>
      </c>
      <c r="D1409" s="23" t="n">
        <v>237</v>
      </c>
      <c r="E1409" s="210"/>
    </row>
    <row r="1410" customFormat="false" ht="15" hidden="false" customHeight="false" outlineLevel="0" collapsed="false">
      <c r="A1410" s="178" t="n">
        <v>2</v>
      </c>
      <c r="B1410" s="211"/>
      <c r="C1410" s="212" t="s">
        <v>99</v>
      </c>
      <c r="D1410" s="213" t="n">
        <v>105</v>
      </c>
      <c r="E1410" s="211"/>
    </row>
    <row r="1411" customFormat="false" ht="15" hidden="false" customHeight="false" outlineLevel="0" collapsed="false">
      <c r="A1411" s="20" t="n">
        <v>3</v>
      </c>
      <c r="B1411" s="210"/>
      <c r="C1411" s="162" t="s">
        <v>935</v>
      </c>
      <c r="D1411" s="23" t="n">
        <v>99</v>
      </c>
      <c r="E1411" s="210"/>
    </row>
    <row r="1412" customFormat="false" ht="15" hidden="false" customHeight="false" outlineLevel="0" collapsed="false">
      <c r="A1412" s="178" t="n">
        <v>4</v>
      </c>
      <c r="B1412" s="211"/>
      <c r="C1412" s="212" t="s">
        <v>1146</v>
      </c>
      <c r="D1412" s="213" t="n">
        <v>50</v>
      </c>
      <c r="E1412" s="211"/>
    </row>
    <row r="1413" customFormat="false" ht="15" hidden="false" customHeight="false" outlineLevel="0" collapsed="false">
      <c r="A1413" s="20" t="n">
        <v>5</v>
      </c>
      <c r="B1413" s="210"/>
      <c r="C1413" s="162" t="s">
        <v>113</v>
      </c>
      <c r="D1413" s="23" t="n">
        <v>17</v>
      </c>
      <c r="E1413" s="210"/>
    </row>
    <row r="1414" customFormat="false" ht="15" hidden="false" customHeight="false" outlineLevel="0" collapsed="false">
      <c r="A1414" s="178" t="n">
        <v>6</v>
      </c>
      <c r="B1414" s="211"/>
      <c r="C1414" s="212" t="s">
        <v>952</v>
      </c>
      <c r="D1414" s="213" t="n">
        <v>11</v>
      </c>
      <c r="E1414" s="211"/>
    </row>
    <row r="1415" customFormat="false" ht="15" hidden="false" customHeight="false" outlineLevel="0" collapsed="false">
      <c r="A1415" s="20" t="n">
        <v>7</v>
      </c>
      <c r="B1415" s="210"/>
      <c r="C1415" s="162" t="s">
        <v>118</v>
      </c>
      <c r="D1415" s="23" t="n">
        <v>11</v>
      </c>
      <c r="E1415" s="210"/>
    </row>
    <row r="1416" customFormat="false" ht="15" hidden="false" customHeight="false" outlineLevel="0" collapsed="false">
      <c r="A1416" s="178" t="n">
        <v>8</v>
      </c>
      <c r="B1416" s="211"/>
      <c r="C1416" s="212" t="s">
        <v>121</v>
      </c>
      <c r="D1416" s="213" t="n">
        <v>11</v>
      </c>
      <c r="E1416" s="211"/>
    </row>
    <row r="1417" customFormat="false" ht="15" hidden="false" customHeight="false" outlineLevel="0" collapsed="false">
      <c r="A1417" s="20" t="n">
        <v>9</v>
      </c>
      <c r="B1417" s="210"/>
      <c r="C1417" s="162" t="s">
        <v>942</v>
      </c>
      <c r="D1417" s="23" t="n">
        <v>11</v>
      </c>
      <c r="E1417" s="210"/>
    </row>
    <row r="1418" customFormat="false" ht="15" hidden="false" customHeight="false" outlineLevel="0" collapsed="false">
      <c r="A1418" s="214" t="s">
        <v>1149</v>
      </c>
      <c r="B1418" s="214"/>
      <c r="C1418" s="214"/>
      <c r="D1418" s="215" t="n">
        <v>552</v>
      </c>
      <c r="E1418" s="216"/>
    </row>
    <row r="1420" customFormat="false" ht="15" hidden="false" customHeight="false" outlineLevel="0" collapsed="false">
      <c r="A1420" s="217" t="s">
        <v>944</v>
      </c>
      <c r="B1420" s="217"/>
      <c r="C1420" s="217"/>
      <c r="D1420" s="217"/>
      <c r="E1420" s="217"/>
    </row>
    <row r="1421" customFormat="false" ht="15" hidden="false" customHeight="false" outlineLevel="0" collapsed="false">
      <c r="A1421" s="182" t="s">
        <v>46</v>
      </c>
      <c r="B1421" s="182"/>
      <c r="C1421" s="209" t="s">
        <v>932</v>
      </c>
      <c r="D1421" s="209" t="s">
        <v>945</v>
      </c>
      <c r="E1421" s="182"/>
    </row>
    <row r="1422" customFormat="false" ht="15" hidden="false" customHeight="false" outlineLevel="0" collapsed="false">
      <c r="A1422" s="20" t="n">
        <v>1</v>
      </c>
      <c r="B1422" s="210"/>
      <c r="C1422" s="162" t="s">
        <v>934</v>
      </c>
      <c r="D1422" s="23" t="n">
        <v>1243</v>
      </c>
      <c r="E1422" s="210"/>
    </row>
    <row r="1423" customFormat="false" ht="15" hidden="false" customHeight="false" outlineLevel="0" collapsed="false">
      <c r="A1423" s="178" t="n">
        <v>2</v>
      </c>
      <c r="B1423" s="211"/>
      <c r="C1423" s="212" t="s">
        <v>99</v>
      </c>
      <c r="D1423" s="213" t="n">
        <v>235</v>
      </c>
      <c r="E1423" s="211"/>
    </row>
    <row r="1424" customFormat="false" ht="15" hidden="false" customHeight="false" outlineLevel="0" collapsed="false">
      <c r="A1424" s="20" t="n">
        <v>3</v>
      </c>
      <c r="B1424" s="210"/>
      <c r="C1424" s="162" t="s">
        <v>935</v>
      </c>
      <c r="D1424" s="23" t="n">
        <v>198</v>
      </c>
      <c r="E1424" s="210"/>
    </row>
    <row r="1425" customFormat="false" ht="15" hidden="false" customHeight="false" outlineLevel="0" collapsed="false">
      <c r="A1425" s="178" t="n">
        <v>4</v>
      </c>
      <c r="B1425" s="211"/>
      <c r="C1425" s="212" t="s">
        <v>936</v>
      </c>
      <c r="D1425" s="213" t="n">
        <v>132</v>
      </c>
      <c r="E1425" s="211"/>
    </row>
    <row r="1426" customFormat="false" ht="15" hidden="false" customHeight="false" outlineLevel="0" collapsed="false">
      <c r="A1426" s="20" t="n">
        <v>5</v>
      </c>
      <c r="B1426" s="210"/>
      <c r="C1426" s="162" t="s">
        <v>113</v>
      </c>
      <c r="D1426" s="23" t="n">
        <v>129</v>
      </c>
      <c r="E1426" s="210"/>
    </row>
    <row r="1427" customFormat="false" ht="15" hidden="false" customHeight="false" outlineLevel="0" collapsed="false">
      <c r="A1427" s="178" t="n">
        <v>6</v>
      </c>
      <c r="B1427" s="211"/>
      <c r="C1427" s="212" t="s">
        <v>1146</v>
      </c>
      <c r="D1427" s="213" t="n">
        <v>100</v>
      </c>
      <c r="E1427" s="211"/>
    </row>
    <row r="1428" customFormat="false" ht="15" hidden="false" customHeight="false" outlineLevel="0" collapsed="false">
      <c r="A1428" s="20" t="n">
        <v>7</v>
      </c>
      <c r="B1428" s="210"/>
      <c r="C1428" s="162" t="s">
        <v>97</v>
      </c>
      <c r="D1428" s="23" t="n">
        <v>90</v>
      </c>
      <c r="E1428" s="210"/>
    </row>
    <row r="1429" customFormat="false" ht="15" hidden="false" customHeight="false" outlineLevel="0" collapsed="false">
      <c r="A1429" s="178" t="n">
        <v>8</v>
      </c>
      <c r="B1429" s="211"/>
      <c r="C1429" s="212" t="s">
        <v>1096</v>
      </c>
      <c r="D1429" s="213" t="n">
        <v>90</v>
      </c>
      <c r="E1429" s="211"/>
    </row>
    <row r="1430" customFormat="false" ht="15" hidden="false" customHeight="false" outlineLevel="0" collapsed="false">
      <c r="A1430" s="20" t="n">
        <v>9</v>
      </c>
      <c r="B1430" s="210"/>
      <c r="C1430" s="162" t="s">
        <v>940</v>
      </c>
      <c r="D1430" s="23" t="n">
        <v>79</v>
      </c>
      <c r="E1430" s="210"/>
    </row>
    <row r="1431" customFormat="false" ht="15" hidden="false" customHeight="false" outlineLevel="0" collapsed="false">
      <c r="A1431" s="178" t="n">
        <v>10</v>
      </c>
      <c r="B1431" s="211"/>
      <c r="C1431" s="212" t="s">
        <v>1054</v>
      </c>
      <c r="D1431" s="213" t="n">
        <v>42</v>
      </c>
      <c r="E1431" s="211"/>
    </row>
    <row r="1432" customFormat="false" ht="15" hidden="false" customHeight="false" outlineLevel="0" collapsed="false">
      <c r="A1432" s="20" t="n">
        <v>11</v>
      </c>
      <c r="B1432" s="210"/>
      <c r="C1432" s="162" t="s">
        <v>132</v>
      </c>
      <c r="D1432" s="23" t="n">
        <v>30</v>
      </c>
      <c r="E1432" s="210"/>
    </row>
    <row r="1433" customFormat="false" ht="15" hidden="false" customHeight="false" outlineLevel="0" collapsed="false">
      <c r="A1433" s="178" t="n">
        <v>12</v>
      </c>
      <c r="B1433" s="211"/>
      <c r="C1433" s="212" t="s">
        <v>118</v>
      </c>
      <c r="D1433" s="213" t="n">
        <v>29</v>
      </c>
      <c r="E1433" s="211"/>
    </row>
    <row r="1434" customFormat="false" ht="15" hidden="false" customHeight="false" outlineLevel="0" collapsed="false">
      <c r="A1434" s="20" t="n">
        <v>13</v>
      </c>
      <c r="B1434" s="210"/>
      <c r="C1434" s="162" t="s">
        <v>121</v>
      </c>
      <c r="D1434" s="23" t="n">
        <v>23</v>
      </c>
      <c r="E1434" s="210"/>
    </row>
    <row r="1435" customFormat="false" ht="15" hidden="false" customHeight="false" outlineLevel="0" collapsed="false">
      <c r="A1435" s="178" t="n">
        <v>14</v>
      </c>
      <c r="B1435" s="211"/>
      <c r="C1435" s="212" t="s">
        <v>942</v>
      </c>
      <c r="D1435" s="213" t="n">
        <v>23</v>
      </c>
      <c r="E1435" s="211"/>
    </row>
    <row r="1436" customFormat="false" ht="15" hidden="false" customHeight="false" outlineLevel="0" collapsed="false">
      <c r="A1436" s="20" t="n">
        <v>15</v>
      </c>
      <c r="B1436" s="210"/>
      <c r="C1436" s="162" t="s">
        <v>952</v>
      </c>
      <c r="D1436" s="23" t="n">
        <v>22</v>
      </c>
      <c r="E1436" s="210"/>
    </row>
    <row r="1437" customFormat="false" ht="15" hidden="false" customHeight="false" outlineLevel="0" collapsed="false">
      <c r="A1437" s="178" t="n">
        <v>16</v>
      </c>
      <c r="B1437" s="211"/>
      <c r="C1437" s="212" t="s">
        <v>88</v>
      </c>
      <c r="D1437" s="213" t="n">
        <v>16</v>
      </c>
      <c r="E1437" s="211"/>
    </row>
    <row r="1438" customFormat="false" ht="15" hidden="false" customHeight="false" outlineLevel="0" collapsed="false">
      <c r="A1438" s="20" t="n">
        <v>17</v>
      </c>
      <c r="B1438" s="210"/>
      <c r="C1438" s="162" t="s">
        <v>73</v>
      </c>
      <c r="D1438" s="23" t="n">
        <v>16</v>
      </c>
      <c r="E1438" s="210"/>
    </row>
    <row r="1439" customFormat="false" ht="15" hidden="false" customHeight="false" outlineLevel="0" collapsed="false">
      <c r="A1439" s="178" t="n">
        <v>18</v>
      </c>
      <c r="B1439" s="211"/>
      <c r="C1439" s="212" t="s">
        <v>962</v>
      </c>
      <c r="D1439" s="213" t="n">
        <v>16</v>
      </c>
      <c r="E1439" s="211"/>
    </row>
    <row r="1440" customFormat="false" ht="15" hidden="false" customHeight="false" outlineLevel="0" collapsed="false">
      <c r="A1440" s="20" t="n">
        <v>19</v>
      </c>
      <c r="B1440" s="210"/>
      <c r="C1440" s="162" t="s">
        <v>63</v>
      </c>
      <c r="D1440" s="23" t="n">
        <v>10</v>
      </c>
      <c r="E1440" s="210"/>
    </row>
    <row r="1441" customFormat="false" ht="15" hidden="false" customHeight="false" outlineLevel="0" collapsed="false">
      <c r="A1441" s="178" t="n">
        <v>20</v>
      </c>
      <c r="B1441" s="211"/>
      <c r="C1441" s="212" t="s">
        <v>74</v>
      </c>
      <c r="D1441" s="213" t="n">
        <v>8</v>
      </c>
      <c r="E1441" s="211"/>
    </row>
    <row r="1442" customFormat="false" ht="15" hidden="false" customHeight="false" outlineLevel="0" collapsed="false">
      <c r="A1442" s="20" t="n">
        <v>21</v>
      </c>
      <c r="B1442" s="210"/>
      <c r="C1442" s="162" t="s">
        <v>1141</v>
      </c>
      <c r="D1442" s="23" t="n">
        <v>8</v>
      </c>
      <c r="E1442" s="210"/>
    </row>
    <row r="1443" customFormat="false" ht="15" hidden="false" customHeight="false" outlineLevel="0" collapsed="false">
      <c r="A1443" s="178" t="n">
        <v>22</v>
      </c>
      <c r="B1443" s="211"/>
      <c r="C1443" s="212" t="s">
        <v>86</v>
      </c>
      <c r="D1443" s="213" t="n">
        <v>8</v>
      </c>
      <c r="E1443" s="211"/>
    </row>
    <row r="1444" customFormat="false" ht="15" hidden="false" customHeight="false" outlineLevel="0" collapsed="false">
      <c r="A1444" s="20" t="n">
        <v>23</v>
      </c>
      <c r="B1444" s="210"/>
      <c r="C1444" s="162" t="s">
        <v>100</v>
      </c>
      <c r="D1444" s="23" t="n">
        <v>8</v>
      </c>
      <c r="E1444" s="210"/>
    </row>
    <row r="1445" customFormat="false" ht="15" hidden="false" customHeight="false" outlineLevel="0" collapsed="false">
      <c r="A1445" s="178" t="n">
        <v>24</v>
      </c>
      <c r="B1445" s="211"/>
      <c r="C1445" s="212" t="s">
        <v>62</v>
      </c>
      <c r="D1445" s="213" t="n">
        <v>6</v>
      </c>
      <c r="E1445" s="211"/>
    </row>
    <row r="1446" customFormat="false" ht="15" hidden="false" customHeight="false" outlineLevel="0" collapsed="false">
      <c r="A1446" s="20" t="n">
        <v>25</v>
      </c>
      <c r="B1446" s="210"/>
      <c r="C1446" s="162" t="s">
        <v>107</v>
      </c>
      <c r="D1446" s="23" t="n">
        <v>6</v>
      </c>
      <c r="E1446" s="210"/>
    </row>
    <row r="1447" customFormat="false" ht="15" hidden="false" customHeight="false" outlineLevel="0" collapsed="false">
      <c r="A1447" s="178" t="n">
        <v>26</v>
      </c>
      <c r="B1447" s="211"/>
      <c r="C1447" s="212" t="s">
        <v>114</v>
      </c>
      <c r="D1447" s="213" t="n">
        <v>6</v>
      </c>
      <c r="E1447" s="211"/>
    </row>
    <row r="1448" customFormat="false" ht="15" hidden="false" customHeight="false" outlineLevel="0" collapsed="false">
      <c r="A1448" s="20" t="n">
        <v>27</v>
      </c>
      <c r="B1448" s="210"/>
      <c r="C1448" s="162" t="s">
        <v>939</v>
      </c>
      <c r="D1448" s="23" t="n">
        <v>4</v>
      </c>
      <c r="E1448" s="210"/>
    </row>
    <row r="1449" customFormat="false" ht="15" hidden="false" customHeight="false" outlineLevel="0" collapsed="false">
      <c r="A1449" s="218" t="s">
        <v>1150</v>
      </c>
      <c r="B1449" s="218"/>
      <c r="C1449" s="218"/>
      <c r="D1449" s="219" t="n">
        <v>2577</v>
      </c>
      <c r="E1449" s="220"/>
    </row>
    <row r="1451" customFormat="false" ht="37.5" hidden="false" customHeight="true" outlineLevel="0" collapsed="false">
      <c r="A1451" s="206" t="s">
        <v>1151</v>
      </c>
      <c r="B1451" s="206"/>
      <c r="C1451" s="206"/>
      <c r="D1451" s="206"/>
      <c r="E1451" s="206"/>
    </row>
    <row r="1452" customFormat="false" ht="15" hidden="false" customHeight="false" outlineLevel="0" collapsed="false">
      <c r="A1452" s="207" t="s">
        <v>1152</v>
      </c>
      <c r="B1452" s="207"/>
      <c r="C1452" s="207"/>
      <c r="D1452" s="207"/>
      <c r="E1452" s="207"/>
    </row>
    <row r="1453" customFormat="false" ht="14.15" hidden="false" customHeight="false" outlineLevel="0" collapsed="false">
      <c r="A1453" s="208" t="s">
        <v>1153</v>
      </c>
      <c r="B1453" s="208"/>
      <c r="C1453" s="208"/>
      <c r="D1453" s="208"/>
      <c r="E1453" s="208"/>
    </row>
    <row r="1454" customFormat="false" ht="15" hidden="false" customHeight="false" outlineLevel="0" collapsed="false">
      <c r="A1454" s="182" t="s">
        <v>46</v>
      </c>
      <c r="B1454" s="182"/>
      <c r="C1454" s="209" t="s">
        <v>932</v>
      </c>
      <c r="D1454" s="209" t="s">
        <v>933</v>
      </c>
      <c r="E1454" s="182"/>
    </row>
    <row r="1455" customFormat="false" ht="15" hidden="false" customHeight="false" outlineLevel="0" collapsed="false">
      <c r="A1455" s="20" t="n">
        <v>1</v>
      </c>
      <c r="B1455" s="210"/>
      <c r="C1455" s="162" t="s">
        <v>934</v>
      </c>
      <c r="D1455" s="23" t="n">
        <v>482</v>
      </c>
      <c r="E1455" s="210"/>
    </row>
    <row r="1456" customFormat="false" ht="15" hidden="false" customHeight="false" outlineLevel="0" collapsed="false">
      <c r="A1456" s="178" t="n">
        <v>2</v>
      </c>
      <c r="B1456" s="211"/>
      <c r="C1456" s="212" t="s">
        <v>935</v>
      </c>
      <c r="D1456" s="213" t="n">
        <v>264</v>
      </c>
      <c r="E1456" s="211"/>
    </row>
    <row r="1457" customFormat="false" ht="15" hidden="false" customHeight="false" outlineLevel="0" collapsed="false">
      <c r="A1457" s="20" t="n">
        <v>3</v>
      </c>
      <c r="B1457" s="210"/>
      <c r="C1457" s="162" t="s">
        <v>99</v>
      </c>
      <c r="D1457" s="23" t="n">
        <v>134</v>
      </c>
      <c r="E1457" s="210"/>
    </row>
    <row r="1458" customFormat="false" ht="15" hidden="false" customHeight="false" outlineLevel="0" collapsed="false">
      <c r="A1458" s="178" t="n">
        <v>4</v>
      </c>
      <c r="B1458" s="211"/>
      <c r="C1458" s="212" t="s">
        <v>1146</v>
      </c>
      <c r="D1458" s="213" t="n">
        <v>59</v>
      </c>
      <c r="E1458" s="211"/>
    </row>
    <row r="1459" customFormat="false" ht="15" hidden="false" customHeight="false" outlineLevel="0" collapsed="false">
      <c r="A1459" s="20" t="n">
        <v>5</v>
      </c>
      <c r="B1459" s="210"/>
      <c r="C1459" s="162" t="s">
        <v>113</v>
      </c>
      <c r="D1459" s="23" t="n">
        <v>33</v>
      </c>
      <c r="E1459" s="210"/>
    </row>
    <row r="1460" customFormat="false" ht="15" hidden="false" customHeight="false" outlineLevel="0" collapsed="false">
      <c r="A1460" s="178" t="n">
        <v>6</v>
      </c>
      <c r="B1460" s="211"/>
      <c r="C1460" s="212" t="s">
        <v>936</v>
      </c>
      <c r="D1460" s="213" t="n">
        <v>27</v>
      </c>
      <c r="E1460" s="211"/>
    </row>
    <row r="1461" customFormat="false" ht="15" hidden="false" customHeight="false" outlineLevel="0" collapsed="false">
      <c r="A1461" s="20" t="n">
        <v>7</v>
      </c>
      <c r="B1461" s="210"/>
      <c r="C1461" s="162" t="s">
        <v>121</v>
      </c>
      <c r="D1461" s="23" t="n">
        <v>17</v>
      </c>
      <c r="E1461" s="210"/>
    </row>
    <row r="1462" customFormat="false" ht="15" hidden="false" customHeight="false" outlineLevel="0" collapsed="false">
      <c r="A1462" s="178" t="n">
        <v>8</v>
      </c>
      <c r="B1462" s="211"/>
      <c r="C1462" s="212" t="s">
        <v>118</v>
      </c>
      <c r="D1462" s="213" t="n">
        <v>15</v>
      </c>
      <c r="E1462" s="211"/>
    </row>
    <row r="1463" customFormat="false" ht="15" hidden="false" customHeight="false" outlineLevel="0" collapsed="false">
      <c r="A1463" s="20" t="n">
        <v>9</v>
      </c>
      <c r="B1463" s="210"/>
      <c r="C1463" s="162" t="s">
        <v>942</v>
      </c>
      <c r="D1463" s="23" t="n">
        <v>14</v>
      </c>
      <c r="E1463" s="210"/>
    </row>
    <row r="1464" customFormat="false" ht="15" hidden="false" customHeight="false" outlineLevel="0" collapsed="false">
      <c r="A1464" s="178" t="n">
        <v>10</v>
      </c>
      <c r="B1464" s="211"/>
      <c r="C1464" s="212" t="s">
        <v>937</v>
      </c>
      <c r="D1464" s="213" t="n">
        <v>14</v>
      </c>
      <c r="E1464" s="211"/>
    </row>
    <row r="1465" customFormat="false" ht="15" hidden="false" customHeight="false" outlineLevel="0" collapsed="false">
      <c r="A1465" s="20" t="n">
        <v>11</v>
      </c>
      <c r="B1465" s="210"/>
      <c r="C1465" s="162" t="s">
        <v>952</v>
      </c>
      <c r="D1465" s="23" t="n">
        <v>13</v>
      </c>
      <c r="E1465" s="210"/>
    </row>
    <row r="1466" customFormat="false" ht="15" hidden="false" customHeight="false" outlineLevel="0" collapsed="false">
      <c r="A1466" s="178" t="n">
        <v>12</v>
      </c>
      <c r="B1466" s="211"/>
      <c r="C1466" s="212" t="s">
        <v>940</v>
      </c>
      <c r="D1466" s="213" t="n">
        <v>9</v>
      </c>
      <c r="E1466" s="211"/>
    </row>
    <row r="1467" customFormat="false" ht="15" hidden="false" customHeight="false" outlineLevel="0" collapsed="false">
      <c r="A1467" s="20" t="n">
        <v>13</v>
      </c>
      <c r="B1467" s="210"/>
      <c r="C1467" s="162" t="s">
        <v>938</v>
      </c>
      <c r="D1467" s="23" t="n">
        <v>6</v>
      </c>
      <c r="E1467" s="210"/>
    </row>
    <row r="1468" customFormat="false" ht="15" hidden="false" customHeight="false" outlineLevel="0" collapsed="false">
      <c r="A1468" s="178" t="n">
        <v>14</v>
      </c>
      <c r="B1468" s="211"/>
      <c r="C1468" s="212" t="s">
        <v>939</v>
      </c>
      <c r="D1468" s="213" t="n">
        <v>6</v>
      </c>
      <c r="E1468" s="211"/>
    </row>
    <row r="1469" customFormat="false" ht="15" hidden="false" customHeight="false" outlineLevel="0" collapsed="false">
      <c r="A1469" s="20" t="n">
        <v>15</v>
      </c>
      <c r="B1469" s="210"/>
      <c r="C1469" s="162" t="s">
        <v>108</v>
      </c>
      <c r="D1469" s="23" t="n">
        <v>3</v>
      </c>
      <c r="E1469" s="210"/>
    </row>
    <row r="1470" customFormat="false" ht="15" hidden="false" customHeight="false" outlineLevel="0" collapsed="false">
      <c r="A1470" s="178" t="n">
        <v>16</v>
      </c>
      <c r="B1470" s="211"/>
      <c r="C1470" s="212" t="s">
        <v>941</v>
      </c>
      <c r="D1470" s="213" t="n">
        <v>2</v>
      </c>
      <c r="E1470" s="211"/>
    </row>
    <row r="1471" customFormat="false" ht="15" hidden="false" customHeight="false" outlineLevel="0" collapsed="false">
      <c r="A1471" s="214" t="s">
        <v>1154</v>
      </c>
      <c r="B1471" s="214"/>
      <c r="C1471" s="214"/>
      <c r="D1471" s="215" t="n">
        <v>1098</v>
      </c>
      <c r="E1471" s="216"/>
    </row>
    <row r="1472" customFormat="false" ht="14.15" hidden="false" customHeight="false" outlineLevel="0" collapsed="false">
      <c r="A1472" s="208" t="s">
        <v>1155</v>
      </c>
      <c r="B1472" s="208"/>
      <c r="C1472" s="208"/>
      <c r="D1472" s="208"/>
      <c r="E1472" s="208"/>
    </row>
    <row r="1473" customFormat="false" ht="15" hidden="false" customHeight="false" outlineLevel="0" collapsed="false">
      <c r="A1473" s="182" t="s">
        <v>46</v>
      </c>
      <c r="B1473" s="182"/>
      <c r="C1473" s="209" t="s">
        <v>932</v>
      </c>
      <c r="D1473" s="209" t="s">
        <v>933</v>
      </c>
      <c r="E1473" s="182"/>
    </row>
    <row r="1474" customFormat="false" ht="15" hidden="false" customHeight="false" outlineLevel="0" collapsed="false">
      <c r="A1474" s="20" t="n">
        <v>1</v>
      </c>
      <c r="B1474" s="210"/>
      <c r="C1474" s="162" t="s">
        <v>934</v>
      </c>
      <c r="D1474" s="23" t="n">
        <v>470</v>
      </c>
      <c r="E1474" s="210"/>
    </row>
    <row r="1475" customFormat="false" ht="15" hidden="false" customHeight="false" outlineLevel="0" collapsed="false">
      <c r="A1475" s="178" t="n">
        <v>2</v>
      </c>
      <c r="B1475" s="211"/>
      <c r="C1475" s="212" t="s">
        <v>99</v>
      </c>
      <c r="D1475" s="213" t="n">
        <v>190</v>
      </c>
      <c r="E1475" s="211"/>
    </row>
    <row r="1476" customFormat="false" ht="15" hidden="false" customHeight="false" outlineLevel="0" collapsed="false">
      <c r="A1476" s="20" t="n">
        <v>3</v>
      </c>
      <c r="B1476" s="210"/>
      <c r="C1476" s="162" t="s">
        <v>935</v>
      </c>
      <c r="D1476" s="23" t="n">
        <v>178</v>
      </c>
      <c r="E1476" s="210"/>
    </row>
    <row r="1477" customFormat="false" ht="15" hidden="false" customHeight="false" outlineLevel="0" collapsed="false">
      <c r="A1477" s="178" t="n">
        <v>4</v>
      </c>
      <c r="B1477" s="211"/>
      <c r="C1477" s="212" t="s">
        <v>1146</v>
      </c>
      <c r="D1477" s="213" t="n">
        <v>89</v>
      </c>
      <c r="E1477" s="211"/>
    </row>
    <row r="1478" customFormat="false" ht="15" hidden="false" customHeight="false" outlineLevel="0" collapsed="false">
      <c r="A1478" s="20" t="n">
        <v>5</v>
      </c>
      <c r="B1478" s="210"/>
      <c r="C1478" s="162" t="s">
        <v>113</v>
      </c>
      <c r="D1478" s="23" t="n">
        <v>43</v>
      </c>
      <c r="E1478" s="210"/>
    </row>
    <row r="1479" customFormat="false" ht="15" hidden="false" customHeight="false" outlineLevel="0" collapsed="false">
      <c r="A1479" s="178" t="n">
        <v>6</v>
      </c>
      <c r="B1479" s="211"/>
      <c r="C1479" s="212" t="s">
        <v>936</v>
      </c>
      <c r="D1479" s="213" t="n">
        <v>27</v>
      </c>
      <c r="E1479" s="211"/>
    </row>
    <row r="1480" customFormat="false" ht="15" hidden="false" customHeight="false" outlineLevel="0" collapsed="false">
      <c r="A1480" s="20" t="n">
        <v>7</v>
      </c>
      <c r="B1480" s="210"/>
      <c r="C1480" s="162" t="s">
        <v>118</v>
      </c>
      <c r="D1480" s="23" t="n">
        <v>21</v>
      </c>
      <c r="E1480" s="210"/>
    </row>
    <row r="1481" customFormat="false" ht="15" hidden="false" customHeight="false" outlineLevel="0" collapsed="false">
      <c r="A1481" s="178" t="n">
        <v>8</v>
      </c>
      <c r="B1481" s="211"/>
      <c r="C1481" s="212" t="s">
        <v>121</v>
      </c>
      <c r="D1481" s="213" t="n">
        <v>21</v>
      </c>
      <c r="E1481" s="211"/>
    </row>
    <row r="1482" customFormat="false" ht="15" hidden="false" customHeight="false" outlineLevel="0" collapsed="false">
      <c r="A1482" s="20" t="n">
        <v>9</v>
      </c>
      <c r="B1482" s="210"/>
      <c r="C1482" s="162" t="s">
        <v>952</v>
      </c>
      <c r="D1482" s="23" t="n">
        <v>20</v>
      </c>
      <c r="E1482" s="210"/>
    </row>
    <row r="1483" customFormat="false" ht="15" hidden="false" customHeight="false" outlineLevel="0" collapsed="false">
      <c r="A1483" s="178" t="n">
        <v>10</v>
      </c>
      <c r="B1483" s="211"/>
      <c r="C1483" s="212" t="s">
        <v>942</v>
      </c>
      <c r="D1483" s="213" t="n">
        <v>20</v>
      </c>
      <c r="E1483" s="211"/>
    </row>
    <row r="1484" customFormat="false" ht="15" hidden="false" customHeight="false" outlineLevel="0" collapsed="false">
      <c r="A1484" s="20" t="n">
        <v>11</v>
      </c>
      <c r="B1484" s="210"/>
      <c r="C1484" s="162" t="s">
        <v>937</v>
      </c>
      <c r="D1484" s="23" t="n">
        <v>14</v>
      </c>
      <c r="E1484" s="210"/>
    </row>
    <row r="1485" customFormat="false" ht="15" hidden="false" customHeight="false" outlineLevel="0" collapsed="false">
      <c r="A1485" s="178" t="n">
        <v>12</v>
      </c>
      <c r="B1485" s="211"/>
      <c r="C1485" s="212" t="s">
        <v>939</v>
      </c>
      <c r="D1485" s="213" t="n">
        <v>3</v>
      </c>
      <c r="E1485" s="211"/>
    </row>
    <row r="1486" customFormat="false" ht="15" hidden="false" customHeight="false" outlineLevel="0" collapsed="false">
      <c r="A1486" s="20" t="n">
        <v>13</v>
      </c>
      <c r="B1486" s="210"/>
      <c r="C1486" s="162" t="s">
        <v>938</v>
      </c>
      <c r="D1486" s="23" t="n">
        <v>2</v>
      </c>
      <c r="E1486" s="210"/>
    </row>
    <row r="1487" customFormat="false" ht="15" hidden="false" customHeight="false" outlineLevel="0" collapsed="false">
      <c r="A1487" s="178" t="n">
        <v>14</v>
      </c>
      <c r="B1487" s="211"/>
      <c r="C1487" s="212" t="s">
        <v>940</v>
      </c>
      <c r="D1487" s="213" t="n">
        <v>2</v>
      </c>
      <c r="E1487" s="211"/>
    </row>
    <row r="1488" customFormat="false" ht="15" hidden="false" customHeight="false" outlineLevel="0" collapsed="false">
      <c r="A1488" s="20" t="n">
        <v>15</v>
      </c>
      <c r="B1488" s="210"/>
      <c r="C1488" s="162" t="s">
        <v>941</v>
      </c>
      <c r="D1488" s="23" t="n">
        <v>1</v>
      </c>
      <c r="E1488" s="210"/>
    </row>
    <row r="1489" customFormat="false" ht="15" hidden="false" customHeight="false" outlineLevel="0" collapsed="false">
      <c r="A1489" s="214" t="s">
        <v>1156</v>
      </c>
      <c r="B1489" s="214"/>
      <c r="C1489" s="214"/>
      <c r="D1489" s="215" t="n">
        <v>1101</v>
      </c>
      <c r="E1489" s="216"/>
    </row>
    <row r="1490" customFormat="false" ht="14.15" hidden="false" customHeight="false" outlineLevel="0" collapsed="false">
      <c r="A1490" s="208" t="s">
        <v>1157</v>
      </c>
      <c r="B1490" s="208"/>
      <c r="C1490" s="208"/>
      <c r="D1490" s="208"/>
      <c r="E1490" s="208"/>
    </row>
    <row r="1491" customFormat="false" ht="15" hidden="false" customHeight="false" outlineLevel="0" collapsed="false">
      <c r="A1491" s="182" t="s">
        <v>46</v>
      </c>
      <c r="B1491" s="182"/>
      <c r="C1491" s="209" t="s">
        <v>932</v>
      </c>
      <c r="D1491" s="209" t="s">
        <v>933</v>
      </c>
      <c r="E1491" s="182"/>
    </row>
    <row r="1492" customFormat="false" ht="15" hidden="false" customHeight="false" outlineLevel="0" collapsed="false">
      <c r="A1492" s="20" t="n">
        <v>1</v>
      </c>
      <c r="B1492" s="210"/>
      <c r="C1492" s="162" t="s">
        <v>934</v>
      </c>
      <c r="D1492" s="23" t="n">
        <v>473</v>
      </c>
      <c r="E1492" s="210"/>
    </row>
    <row r="1493" customFormat="false" ht="15" hidden="false" customHeight="false" outlineLevel="0" collapsed="false">
      <c r="A1493" s="178" t="n">
        <v>2</v>
      </c>
      <c r="B1493" s="211"/>
      <c r="C1493" s="212" t="s">
        <v>935</v>
      </c>
      <c r="D1493" s="213" t="n">
        <v>222</v>
      </c>
      <c r="E1493" s="211"/>
    </row>
    <row r="1494" customFormat="false" ht="15" hidden="false" customHeight="false" outlineLevel="0" collapsed="false">
      <c r="A1494" s="20" t="n">
        <v>3</v>
      </c>
      <c r="B1494" s="210"/>
      <c r="C1494" s="162" t="s">
        <v>99</v>
      </c>
      <c r="D1494" s="23" t="n">
        <v>190</v>
      </c>
      <c r="E1494" s="210"/>
    </row>
    <row r="1495" customFormat="false" ht="15" hidden="false" customHeight="false" outlineLevel="0" collapsed="false">
      <c r="A1495" s="178" t="n">
        <v>4</v>
      </c>
      <c r="B1495" s="211"/>
      <c r="C1495" s="212" t="s">
        <v>1146</v>
      </c>
      <c r="D1495" s="213" t="n">
        <v>89</v>
      </c>
      <c r="E1495" s="211"/>
    </row>
    <row r="1496" customFormat="false" ht="15" hidden="false" customHeight="false" outlineLevel="0" collapsed="false">
      <c r="A1496" s="20" t="n">
        <v>5</v>
      </c>
      <c r="B1496" s="210"/>
      <c r="C1496" s="162" t="s">
        <v>113</v>
      </c>
      <c r="D1496" s="23" t="n">
        <v>30</v>
      </c>
      <c r="E1496" s="210"/>
    </row>
    <row r="1497" customFormat="false" ht="15" hidden="false" customHeight="false" outlineLevel="0" collapsed="false">
      <c r="A1497" s="178" t="n">
        <v>6</v>
      </c>
      <c r="B1497" s="211"/>
      <c r="C1497" s="212" t="s">
        <v>121</v>
      </c>
      <c r="D1497" s="213" t="n">
        <v>21</v>
      </c>
      <c r="E1497" s="211"/>
    </row>
    <row r="1498" customFormat="false" ht="15" hidden="false" customHeight="false" outlineLevel="0" collapsed="false">
      <c r="A1498" s="20" t="n">
        <v>7</v>
      </c>
      <c r="B1498" s="210"/>
      <c r="C1498" s="162" t="s">
        <v>952</v>
      </c>
      <c r="D1498" s="23" t="n">
        <v>20</v>
      </c>
      <c r="E1498" s="210"/>
    </row>
    <row r="1499" customFormat="false" ht="15" hidden="false" customHeight="false" outlineLevel="0" collapsed="false">
      <c r="A1499" s="178" t="n">
        <v>8</v>
      </c>
      <c r="B1499" s="211"/>
      <c r="C1499" s="212" t="s">
        <v>118</v>
      </c>
      <c r="D1499" s="213" t="n">
        <v>20</v>
      </c>
      <c r="E1499" s="211"/>
    </row>
    <row r="1500" customFormat="false" ht="15" hidden="false" customHeight="false" outlineLevel="0" collapsed="false">
      <c r="A1500" s="20" t="n">
        <v>9</v>
      </c>
      <c r="B1500" s="210"/>
      <c r="C1500" s="162" t="s">
        <v>942</v>
      </c>
      <c r="D1500" s="23" t="n">
        <v>20</v>
      </c>
      <c r="E1500" s="210"/>
    </row>
    <row r="1501" customFormat="false" ht="15" hidden="false" customHeight="false" outlineLevel="0" collapsed="false">
      <c r="A1501" s="178" t="n">
        <v>10</v>
      </c>
      <c r="B1501" s="211"/>
      <c r="C1501" s="212" t="s">
        <v>965</v>
      </c>
      <c r="D1501" s="213" t="n">
        <v>5</v>
      </c>
      <c r="E1501" s="211"/>
    </row>
    <row r="1502" customFormat="false" ht="15" hidden="false" customHeight="false" outlineLevel="0" collapsed="false">
      <c r="A1502" s="20" t="n">
        <v>11</v>
      </c>
      <c r="B1502" s="210"/>
      <c r="C1502" s="162" t="s">
        <v>108</v>
      </c>
      <c r="D1502" s="23" t="n">
        <v>4</v>
      </c>
      <c r="E1502" s="210"/>
    </row>
    <row r="1503" customFormat="false" ht="15" hidden="false" customHeight="false" outlineLevel="0" collapsed="false">
      <c r="A1503" s="178" t="n">
        <v>12</v>
      </c>
      <c r="B1503" s="211"/>
      <c r="C1503" s="212" t="s">
        <v>966</v>
      </c>
      <c r="D1503" s="213" t="n">
        <v>4</v>
      </c>
      <c r="E1503" s="211"/>
    </row>
    <row r="1504" customFormat="false" ht="15" hidden="false" customHeight="false" outlineLevel="0" collapsed="false">
      <c r="A1504" s="20" t="n">
        <v>13</v>
      </c>
      <c r="B1504" s="210"/>
      <c r="C1504" s="162" t="s">
        <v>940</v>
      </c>
      <c r="D1504" s="23" t="n">
        <v>2</v>
      </c>
      <c r="E1504" s="210"/>
    </row>
    <row r="1505" customFormat="false" ht="15" hidden="false" customHeight="false" outlineLevel="0" collapsed="false">
      <c r="A1505" s="178" t="n">
        <v>14</v>
      </c>
      <c r="B1505" s="211"/>
      <c r="C1505" s="212" t="s">
        <v>93</v>
      </c>
      <c r="D1505" s="213" t="n">
        <v>1</v>
      </c>
      <c r="E1505" s="211"/>
    </row>
    <row r="1506" customFormat="false" ht="15" hidden="false" customHeight="false" outlineLevel="0" collapsed="false">
      <c r="A1506" s="214" t="s">
        <v>1158</v>
      </c>
      <c r="B1506" s="214"/>
      <c r="C1506" s="214"/>
      <c r="D1506" s="215" t="n">
        <v>1101</v>
      </c>
      <c r="E1506" s="216"/>
    </row>
    <row r="1507" customFormat="false" ht="14.15" hidden="false" customHeight="false" outlineLevel="0" collapsed="false">
      <c r="A1507" s="208" t="s">
        <v>1159</v>
      </c>
      <c r="B1507" s="208"/>
      <c r="C1507" s="208"/>
      <c r="D1507" s="208"/>
      <c r="E1507" s="208"/>
    </row>
    <row r="1508" customFormat="false" ht="15" hidden="false" customHeight="false" outlineLevel="0" collapsed="false">
      <c r="A1508" s="182" t="s">
        <v>46</v>
      </c>
      <c r="B1508" s="182"/>
      <c r="C1508" s="209" t="s">
        <v>932</v>
      </c>
      <c r="D1508" s="209" t="s">
        <v>933</v>
      </c>
      <c r="E1508" s="182"/>
    </row>
    <row r="1509" customFormat="false" ht="15" hidden="false" customHeight="false" outlineLevel="0" collapsed="false">
      <c r="A1509" s="20" t="n">
        <v>1</v>
      </c>
      <c r="B1509" s="210"/>
      <c r="C1509" s="162" t="s">
        <v>934</v>
      </c>
      <c r="D1509" s="23" t="n">
        <v>475</v>
      </c>
      <c r="E1509" s="210"/>
    </row>
    <row r="1510" customFormat="false" ht="15" hidden="false" customHeight="false" outlineLevel="0" collapsed="false">
      <c r="A1510" s="178" t="n">
        <v>2</v>
      </c>
      <c r="B1510" s="211"/>
      <c r="C1510" s="212" t="s">
        <v>935</v>
      </c>
      <c r="D1510" s="213" t="n">
        <v>224</v>
      </c>
      <c r="E1510" s="211"/>
    </row>
    <row r="1511" customFormat="false" ht="15" hidden="false" customHeight="false" outlineLevel="0" collapsed="false">
      <c r="A1511" s="20" t="n">
        <v>3</v>
      </c>
      <c r="B1511" s="210"/>
      <c r="C1511" s="162" t="s">
        <v>99</v>
      </c>
      <c r="D1511" s="23" t="n">
        <v>190</v>
      </c>
      <c r="E1511" s="210"/>
    </row>
    <row r="1512" customFormat="false" ht="15" hidden="false" customHeight="false" outlineLevel="0" collapsed="false">
      <c r="A1512" s="178" t="n">
        <v>4</v>
      </c>
      <c r="B1512" s="211"/>
      <c r="C1512" s="212" t="s">
        <v>1146</v>
      </c>
      <c r="D1512" s="213" t="n">
        <v>89</v>
      </c>
      <c r="E1512" s="211"/>
    </row>
    <row r="1513" customFormat="false" ht="15" hidden="false" customHeight="false" outlineLevel="0" collapsed="false">
      <c r="A1513" s="20" t="n">
        <v>5</v>
      </c>
      <c r="B1513" s="210"/>
      <c r="C1513" s="162" t="s">
        <v>113</v>
      </c>
      <c r="D1513" s="23" t="n">
        <v>30</v>
      </c>
      <c r="E1513" s="210"/>
    </row>
    <row r="1514" customFormat="false" ht="15" hidden="false" customHeight="false" outlineLevel="0" collapsed="false">
      <c r="A1514" s="178" t="n">
        <v>6</v>
      </c>
      <c r="B1514" s="211"/>
      <c r="C1514" s="212" t="s">
        <v>118</v>
      </c>
      <c r="D1514" s="213" t="n">
        <v>21</v>
      </c>
      <c r="E1514" s="211"/>
    </row>
    <row r="1515" customFormat="false" ht="15" hidden="false" customHeight="false" outlineLevel="0" collapsed="false">
      <c r="A1515" s="20" t="n">
        <v>7</v>
      </c>
      <c r="B1515" s="210"/>
      <c r="C1515" s="162" t="s">
        <v>121</v>
      </c>
      <c r="D1515" s="23" t="n">
        <v>21</v>
      </c>
      <c r="E1515" s="210"/>
    </row>
    <row r="1516" customFormat="false" ht="15" hidden="false" customHeight="false" outlineLevel="0" collapsed="false">
      <c r="A1516" s="178" t="n">
        <v>8</v>
      </c>
      <c r="B1516" s="211"/>
      <c r="C1516" s="212" t="s">
        <v>952</v>
      </c>
      <c r="D1516" s="213" t="n">
        <v>20</v>
      </c>
      <c r="E1516" s="211"/>
    </row>
    <row r="1517" customFormat="false" ht="15" hidden="false" customHeight="false" outlineLevel="0" collapsed="false">
      <c r="A1517" s="20" t="n">
        <v>9</v>
      </c>
      <c r="B1517" s="210"/>
      <c r="C1517" s="162" t="s">
        <v>942</v>
      </c>
      <c r="D1517" s="23" t="n">
        <v>20</v>
      </c>
      <c r="E1517" s="210"/>
    </row>
    <row r="1518" customFormat="false" ht="15" hidden="false" customHeight="false" outlineLevel="0" collapsed="false">
      <c r="A1518" s="178" t="n">
        <v>10</v>
      </c>
      <c r="B1518" s="211"/>
      <c r="C1518" s="212" t="s">
        <v>938</v>
      </c>
      <c r="D1518" s="213" t="n">
        <v>4</v>
      </c>
      <c r="E1518" s="211"/>
    </row>
    <row r="1519" customFormat="false" ht="15" hidden="false" customHeight="false" outlineLevel="0" collapsed="false">
      <c r="A1519" s="20" t="n">
        <v>11</v>
      </c>
      <c r="B1519" s="210"/>
      <c r="C1519" s="162" t="s">
        <v>939</v>
      </c>
      <c r="D1519" s="23" t="n">
        <v>3</v>
      </c>
      <c r="E1519" s="210"/>
    </row>
    <row r="1520" customFormat="false" ht="15" hidden="false" customHeight="false" outlineLevel="0" collapsed="false">
      <c r="A1520" s="178" t="n">
        <v>12</v>
      </c>
      <c r="B1520" s="211"/>
      <c r="C1520" s="212" t="s">
        <v>940</v>
      </c>
      <c r="D1520" s="213" t="n">
        <v>2</v>
      </c>
      <c r="E1520" s="211"/>
    </row>
    <row r="1521" customFormat="false" ht="15" hidden="false" customHeight="false" outlineLevel="0" collapsed="false">
      <c r="A1521" s="20" t="n">
        <v>13</v>
      </c>
      <c r="B1521" s="210"/>
      <c r="C1521" s="162" t="s">
        <v>941</v>
      </c>
      <c r="D1521" s="23" t="n">
        <v>1</v>
      </c>
      <c r="E1521" s="210"/>
    </row>
    <row r="1522" customFormat="false" ht="15" hidden="false" customHeight="false" outlineLevel="0" collapsed="false">
      <c r="A1522" s="214" t="s">
        <v>1160</v>
      </c>
      <c r="B1522" s="214"/>
      <c r="C1522" s="214"/>
      <c r="D1522" s="215" t="n">
        <v>1100</v>
      </c>
      <c r="E1522" s="216"/>
    </row>
    <row r="1523" customFormat="false" ht="14.15" hidden="false" customHeight="false" outlineLevel="0" collapsed="false">
      <c r="A1523" s="208" t="s">
        <v>1161</v>
      </c>
      <c r="B1523" s="208"/>
      <c r="C1523" s="208"/>
      <c r="D1523" s="208"/>
      <c r="E1523" s="208"/>
    </row>
    <row r="1524" customFormat="false" ht="15" hidden="false" customHeight="false" outlineLevel="0" collapsed="false">
      <c r="A1524" s="182" t="s">
        <v>46</v>
      </c>
      <c r="B1524" s="182"/>
      <c r="C1524" s="209" t="s">
        <v>932</v>
      </c>
      <c r="D1524" s="209" t="s">
        <v>933</v>
      </c>
      <c r="E1524" s="182"/>
    </row>
    <row r="1525" customFormat="false" ht="15" hidden="false" customHeight="false" outlineLevel="0" collapsed="false">
      <c r="A1525" s="20" t="n">
        <v>1</v>
      </c>
      <c r="B1525" s="210"/>
      <c r="C1525" s="162" t="s">
        <v>934</v>
      </c>
      <c r="D1525" s="23" t="n">
        <v>522</v>
      </c>
      <c r="E1525" s="210"/>
    </row>
    <row r="1526" customFormat="false" ht="15" hidden="false" customHeight="false" outlineLevel="0" collapsed="false">
      <c r="A1526" s="178" t="n">
        <v>2</v>
      </c>
      <c r="B1526" s="211"/>
      <c r="C1526" s="212" t="s">
        <v>935</v>
      </c>
      <c r="D1526" s="213" t="n">
        <v>490</v>
      </c>
      <c r="E1526" s="211"/>
    </row>
    <row r="1527" customFormat="false" ht="15" hidden="false" customHeight="false" outlineLevel="0" collapsed="false">
      <c r="A1527" s="20" t="n">
        <v>3</v>
      </c>
      <c r="B1527" s="210"/>
      <c r="C1527" s="162" t="s">
        <v>940</v>
      </c>
      <c r="D1527" s="23" t="n">
        <v>26</v>
      </c>
      <c r="E1527" s="210"/>
    </row>
    <row r="1528" customFormat="false" ht="15" hidden="false" customHeight="false" outlineLevel="0" collapsed="false">
      <c r="A1528" s="178" t="n">
        <v>4</v>
      </c>
      <c r="B1528" s="211"/>
      <c r="C1528" s="212" t="s">
        <v>99</v>
      </c>
      <c r="D1528" s="213" t="n">
        <v>26</v>
      </c>
      <c r="E1528" s="211"/>
    </row>
    <row r="1529" customFormat="false" ht="15" hidden="false" customHeight="false" outlineLevel="0" collapsed="false">
      <c r="A1529" s="20" t="n">
        <v>5</v>
      </c>
      <c r="B1529" s="210"/>
      <c r="C1529" s="162" t="s">
        <v>108</v>
      </c>
      <c r="D1529" s="23" t="n">
        <v>12</v>
      </c>
      <c r="E1529" s="210"/>
    </row>
    <row r="1530" customFormat="false" ht="15" hidden="false" customHeight="false" outlineLevel="0" collapsed="false">
      <c r="A1530" s="178" t="n">
        <v>6</v>
      </c>
      <c r="B1530" s="211"/>
      <c r="C1530" s="212" t="s">
        <v>121</v>
      </c>
      <c r="D1530" s="213" t="n">
        <v>9</v>
      </c>
      <c r="E1530" s="211"/>
    </row>
    <row r="1531" customFormat="false" ht="15" hidden="false" customHeight="false" outlineLevel="0" collapsed="false">
      <c r="A1531" s="20" t="n">
        <v>7</v>
      </c>
      <c r="B1531" s="210"/>
      <c r="C1531" s="162" t="s">
        <v>942</v>
      </c>
      <c r="D1531" s="23" t="n">
        <v>4</v>
      </c>
      <c r="E1531" s="210"/>
    </row>
    <row r="1532" customFormat="false" ht="15" hidden="false" customHeight="false" outlineLevel="0" collapsed="false">
      <c r="A1532" s="178" t="n">
        <v>8</v>
      </c>
      <c r="B1532" s="211"/>
      <c r="C1532" s="212" t="s">
        <v>938</v>
      </c>
      <c r="D1532" s="213" t="n">
        <v>4</v>
      </c>
      <c r="E1532" s="211"/>
    </row>
    <row r="1533" customFormat="false" ht="15" hidden="false" customHeight="false" outlineLevel="0" collapsed="false">
      <c r="A1533" s="20" t="n">
        <v>9</v>
      </c>
      <c r="B1533" s="210"/>
      <c r="C1533" s="162" t="s">
        <v>118</v>
      </c>
      <c r="D1533" s="23" t="n">
        <v>3</v>
      </c>
      <c r="E1533" s="210"/>
    </row>
    <row r="1534" customFormat="false" ht="15" hidden="false" customHeight="false" outlineLevel="0" collapsed="false">
      <c r="A1534" s="178" t="n">
        <v>10</v>
      </c>
      <c r="B1534" s="211"/>
      <c r="C1534" s="212" t="s">
        <v>939</v>
      </c>
      <c r="D1534" s="213" t="n">
        <v>3</v>
      </c>
      <c r="E1534" s="211"/>
    </row>
    <row r="1535" customFormat="false" ht="15" hidden="false" customHeight="false" outlineLevel="0" collapsed="false">
      <c r="A1535" s="20" t="n">
        <v>11</v>
      </c>
      <c r="B1535" s="210"/>
      <c r="C1535" s="162" t="s">
        <v>941</v>
      </c>
      <c r="D1535" s="23" t="n">
        <v>1</v>
      </c>
      <c r="E1535" s="210"/>
    </row>
    <row r="1536" customFormat="false" ht="15" hidden="false" customHeight="false" outlineLevel="0" collapsed="false">
      <c r="A1536" s="214" t="s">
        <v>1162</v>
      </c>
      <c r="B1536" s="214"/>
      <c r="C1536" s="214"/>
      <c r="D1536" s="215" t="n">
        <v>1100</v>
      </c>
      <c r="E1536" s="216"/>
    </row>
    <row r="1538" customFormat="false" ht="15" hidden="false" customHeight="false" outlineLevel="0" collapsed="false">
      <c r="A1538" s="217" t="s">
        <v>944</v>
      </c>
      <c r="B1538" s="217"/>
      <c r="C1538" s="217"/>
      <c r="D1538" s="217"/>
      <c r="E1538" s="217"/>
    </row>
    <row r="1539" customFormat="false" ht="15" hidden="false" customHeight="false" outlineLevel="0" collapsed="false">
      <c r="A1539" s="182" t="s">
        <v>46</v>
      </c>
      <c r="B1539" s="182"/>
      <c r="C1539" s="209" t="s">
        <v>932</v>
      </c>
      <c r="D1539" s="209" t="s">
        <v>945</v>
      </c>
      <c r="E1539" s="182"/>
    </row>
    <row r="1540" customFormat="false" ht="15" hidden="false" customHeight="false" outlineLevel="0" collapsed="false">
      <c r="A1540" s="20" t="n">
        <v>1</v>
      </c>
      <c r="B1540" s="210"/>
      <c r="C1540" s="162" t="s">
        <v>934</v>
      </c>
      <c r="D1540" s="23" t="n">
        <v>2422</v>
      </c>
      <c r="E1540" s="210"/>
    </row>
    <row r="1541" customFormat="false" ht="15" hidden="false" customHeight="false" outlineLevel="0" collapsed="false">
      <c r="A1541" s="178" t="n">
        <v>2</v>
      </c>
      <c r="B1541" s="211"/>
      <c r="C1541" s="212" t="s">
        <v>935</v>
      </c>
      <c r="D1541" s="213" t="n">
        <v>1378</v>
      </c>
      <c r="E1541" s="211"/>
    </row>
    <row r="1542" customFormat="false" ht="15" hidden="false" customHeight="false" outlineLevel="0" collapsed="false">
      <c r="A1542" s="20" t="n">
        <v>3</v>
      </c>
      <c r="B1542" s="210"/>
      <c r="C1542" s="162" t="s">
        <v>99</v>
      </c>
      <c r="D1542" s="23" t="n">
        <v>730</v>
      </c>
      <c r="E1542" s="210"/>
    </row>
    <row r="1543" customFormat="false" ht="15" hidden="false" customHeight="false" outlineLevel="0" collapsed="false">
      <c r="A1543" s="178" t="n">
        <v>4</v>
      </c>
      <c r="B1543" s="211"/>
      <c r="C1543" s="212" t="s">
        <v>1146</v>
      </c>
      <c r="D1543" s="213" t="n">
        <v>326</v>
      </c>
      <c r="E1543" s="211"/>
    </row>
    <row r="1544" customFormat="false" ht="15" hidden="false" customHeight="false" outlineLevel="0" collapsed="false">
      <c r="A1544" s="20" t="n">
        <v>5</v>
      </c>
      <c r="B1544" s="210"/>
      <c r="C1544" s="162" t="s">
        <v>113</v>
      </c>
      <c r="D1544" s="23" t="n">
        <v>136</v>
      </c>
      <c r="E1544" s="210"/>
    </row>
    <row r="1545" customFormat="false" ht="15" hidden="false" customHeight="false" outlineLevel="0" collapsed="false">
      <c r="A1545" s="178" t="n">
        <v>6</v>
      </c>
      <c r="B1545" s="211"/>
      <c r="C1545" s="212" t="s">
        <v>121</v>
      </c>
      <c r="D1545" s="213" t="n">
        <v>89</v>
      </c>
      <c r="E1545" s="211"/>
    </row>
    <row r="1546" customFormat="false" ht="15" hidden="false" customHeight="false" outlineLevel="0" collapsed="false">
      <c r="A1546" s="20" t="n">
        <v>7</v>
      </c>
      <c r="B1546" s="210"/>
      <c r="C1546" s="162" t="s">
        <v>118</v>
      </c>
      <c r="D1546" s="23" t="n">
        <v>80</v>
      </c>
      <c r="E1546" s="210"/>
    </row>
    <row r="1547" customFormat="false" ht="15" hidden="false" customHeight="false" outlineLevel="0" collapsed="false">
      <c r="A1547" s="178" t="n">
        <v>8</v>
      </c>
      <c r="B1547" s="211"/>
      <c r="C1547" s="212" t="s">
        <v>942</v>
      </c>
      <c r="D1547" s="213" t="n">
        <v>78</v>
      </c>
      <c r="E1547" s="211"/>
    </row>
    <row r="1548" customFormat="false" ht="15" hidden="false" customHeight="false" outlineLevel="0" collapsed="false">
      <c r="A1548" s="20" t="n">
        <v>9</v>
      </c>
      <c r="B1548" s="210"/>
      <c r="C1548" s="162" t="s">
        <v>952</v>
      </c>
      <c r="D1548" s="23" t="n">
        <v>73</v>
      </c>
      <c r="E1548" s="210"/>
    </row>
    <row r="1549" customFormat="false" ht="15" hidden="false" customHeight="false" outlineLevel="0" collapsed="false">
      <c r="A1549" s="178" t="n">
        <v>10</v>
      </c>
      <c r="B1549" s="211"/>
      <c r="C1549" s="212" t="s">
        <v>936</v>
      </c>
      <c r="D1549" s="213" t="n">
        <v>54</v>
      </c>
      <c r="E1549" s="211"/>
    </row>
    <row r="1550" customFormat="false" ht="15" hidden="false" customHeight="false" outlineLevel="0" collapsed="false">
      <c r="A1550" s="20" t="n">
        <v>11</v>
      </c>
      <c r="B1550" s="210"/>
      <c r="C1550" s="162" t="s">
        <v>940</v>
      </c>
      <c r="D1550" s="23" t="n">
        <v>41</v>
      </c>
      <c r="E1550" s="210"/>
    </row>
    <row r="1551" customFormat="false" ht="15" hidden="false" customHeight="false" outlineLevel="0" collapsed="false">
      <c r="A1551" s="178" t="n">
        <v>12</v>
      </c>
      <c r="B1551" s="211"/>
      <c r="C1551" s="212" t="s">
        <v>937</v>
      </c>
      <c r="D1551" s="213" t="n">
        <v>28</v>
      </c>
      <c r="E1551" s="211"/>
    </row>
    <row r="1552" customFormat="false" ht="15" hidden="false" customHeight="false" outlineLevel="0" collapsed="false">
      <c r="A1552" s="20" t="n">
        <v>13</v>
      </c>
      <c r="B1552" s="210"/>
      <c r="C1552" s="162" t="s">
        <v>108</v>
      </c>
      <c r="D1552" s="23" t="n">
        <v>19</v>
      </c>
      <c r="E1552" s="210"/>
    </row>
    <row r="1553" customFormat="false" ht="15" hidden="false" customHeight="false" outlineLevel="0" collapsed="false">
      <c r="A1553" s="178" t="n">
        <v>14</v>
      </c>
      <c r="B1553" s="211"/>
      <c r="C1553" s="212" t="s">
        <v>938</v>
      </c>
      <c r="D1553" s="213" t="n">
        <v>16</v>
      </c>
      <c r="E1553" s="211"/>
    </row>
    <row r="1554" customFormat="false" ht="15" hidden="false" customHeight="false" outlineLevel="0" collapsed="false">
      <c r="A1554" s="20" t="n">
        <v>15</v>
      </c>
      <c r="B1554" s="210"/>
      <c r="C1554" s="162" t="s">
        <v>939</v>
      </c>
      <c r="D1554" s="23" t="n">
        <v>15</v>
      </c>
      <c r="E1554" s="210"/>
    </row>
    <row r="1555" customFormat="false" ht="15" hidden="false" customHeight="false" outlineLevel="0" collapsed="false">
      <c r="A1555" s="178" t="n">
        <v>16</v>
      </c>
      <c r="B1555" s="211"/>
      <c r="C1555" s="212" t="s">
        <v>941</v>
      </c>
      <c r="D1555" s="213" t="n">
        <v>5</v>
      </c>
      <c r="E1555" s="211"/>
    </row>
    <row r="1556" customFormat="false" ht="15" hidden="false" customHeight="false" outlineLevel="0" collapsed="false">
      <c r="A1556" s="20" t="n">
        <v>17</v>
      </c>
      <c r="B1556" s="210"/>
      <c r="C1556" s="162" t="s">
        <v>965</v>
      </c>
      <c r="D1556" s="23" t="n">
        <v>5</v>
      </c>
      <c r="E1556" s="210"/>
    </row>
    <row r="1557" customFormat="false" ht="15" hidden="false" customHeight="false" outlineLevel="0" collapsed="false">
      <c r="A1557" s="178" t="n">
        <v>18</v>
      </c>
      <c r="B1557" s="211"/>
      <c r="C1557" s="212" t="s">
        <v>966</v>
      </c>
      <c r="D1557" s="213" t="n">
        <v>4</v>
      </c>
      <c r="E1557" s="211"/>
    </row>
    <row r="1558" customFormat="false" ht="15" hidden="false" customHeight="false" outlineLevel="0" collapsed="false">
      <c r="A1558" s="20" t="n">
        <v>19</v>
      </c>
      <c r="B1558" s="210"/>
      <c r="C1558" s="162" t="s">
        <v>93</v>
      </c>
      <c r="D1558" s="23" t="n">
        <v>1</v>
      </c>
      <c r="E1558" s="210"/>
    </row>
    <row r="1559" customFormat="false" ht="15" hidden="false" customHeight="false" outlineLevel="0" collapsed="false">
      <c r="A1559" s="218" t="s">
        <v>1163</v>
      </c>
      <c r="B1559" s="218"/>
      <c r="C1559" s="218"/>
      <c r="D1559" s="219" t="n">
        <v>5500</v>
      </c>
      <c r="E1559" s="220"/>
    </row>
    <row r="1561" customFormat="false" ht="37.5" hidden="false" customHeight="true" outlineLevel="0" collapsed="false">
      <c r="A1561" s="206" t="s">
        <v>1164</v>
      </c>
      <c r="B1561" s="206"/>
      <c r="C1561" s="206"/>
      <c r="D1561" s="206"/>
      <c r="E1561" s="206"/>
    </row>
    <row r="1562" customFormat="false" ht="15" hidden="false" customHeight="false" outlineLevel="0" collapsed="false">
      <c r="A1562" s="207" t="s">
        <v>1165</v>
      </c>
      <c r="B1562" s="207"/>
      <c r="C1562" s="207"/>
      <c r="D1562" s="207"/>
      <c r="E1562" s="207"/>
    </row>
    <row r="1563" customFormat="false" ht="14.15" hidden="false" customHeight="false" outlineLevel="0" collapsed="false">
      <c r="A1563" s="208" t="s">
        <v>1166</v>
      </c>
      <c r="B1563" s="208"/>
      <c r="C1563" s="208"/>
      <c r="D1563" s="208"/>
      <c r="E1563" s="208"/>
    </row>
    <row r="1564" customFormat="false" ht="15" hidden="false" customHeight="false" outlineLevel="0" collapsed="false">
      <c r="A1564" s="182" t="s">
        <v>46</v>
      </c>
      <c r="B1564" s="182"/>
      <c r="C1564" s="209" t="s">
        <v>932</v>
      </c>
      <c r="D1564" s="209" t="s">
        <v>933</v>
      </c>
      <c r="E1564" s="182"/>
    </row>
    <row r="1565" customFormat="false" ht="15" hidden="false" customHeight="false" outlineLevel="0" collapsed="false">
      <c r="A1565" s="20" t="n">
        <v>1</v>
      </c>
      <c r="B1565" s="210"/>
      <c r="C1565" s="162" t="s">
        <v>934</v>
      </c>
      <c r="D1565" s="23" t="n">
        <v>473</v>
      </c>
      <c r="E1565" s="210"/>
    </row>
    <row r="1566" customFormat="false" ht="15" hidden="false" customHeight="false" outlineLevel="0" collapsed="false">
      <c r="A1566" s="178" t="n">
        <v>2</v>
      </c>
      <c r="B1566" s="211"/>
      <c r="C1566" s="212" t="s">
        <v>952</v>
      </c>
      <c r="D1566" s="213" t="n">
        <v>319</v>
      </c>
      <c r="E1566" s="211"/>
    </row>
    <row r="1567" customFormat="false" ht="15" hidden="false" customHeight="false" outlineLevel="0" collapsed="false">
      <c r="A1567" s="20" t="n">
        <v>3</v>
      </c>
      <c r="B1567" s="210"/>
      <c r="C1567" s="162" t="s">
        <v>99</v>
      </c>
      <c r="D1567" s="23" t="n">
        <v>209</v>
      </c>
      <c r="E1567" s="210"/>
    </row>
    <row r="1568" customFormat="false" ht="15" hidden="false" customHeight="false" outlineLevel="0" collapsed="false">
      <c r="A1568" s="178" t="n">
        <v>4</v>
      </c>
      <c r="B1568" s="211"/>
      <c r="C1568" s="212" t="s">
        <v>935</v>
      </c>
      <c r="D1568" s="213" t="n">
        <v>198</v>
      </c>
      <c r="E1568" s="211"/>
    </row>
    <row r="1569" customFormat="false" ht="15" hidden="false" customHeight="false" outlineLevel="0" collapsed="false">
      <c r="A1569" s="20" t="n">
        <v>5</v>
      </c>
      <c r="B1569" s="210"/>
      <c r="C1569" s="162" t="s">
        <v>1146</v>
      </c>
      <c r="D1569" s="23" t="n">
        <v>99</v>
      </c>
      <c r="E1569" s="210"/>
    </row>
    <row r="1570" customFormat="false" ht="15" hidden="false" customHeight="false" outlineLevel="0" collapsed="false">
      <c r="A1570" s="178" t="n">
        <v>6</v>
      </c>
      <c r="B1570" s="211"/>
      <c r="C1570" s="212" t="s">
        <v>113</v>
      </c>
      <c r="D1570" s="213" t="n">
        <v>33</v>
      </c>
      <c r="E1570" s="211"/>
    </row>
    <row r="1571" customFormat="false" ht="15" hidden="false" customHeight="false" outlineLevel="0" collapsed="false">
      <c r="A1571" s="20" t="n">
        <v>7</v>
      </c>
      <c r="B1571" s="210"/>
      <c r="C1571" s="162" t="s">
        <v>121</v>
      </c>
      <c r="D1571" s="23" t="n">
        <v>25</v>
      </c>
      <c r="E1571" s="210"/>
    </row>
    <row r="1572" customFormat="false" ht="15" hidden="false" customHeight="false" outlineLevel="0" collapsed="false">
      <c r="A1572" s="178" t="n">
        <v>8</v>
      </c>
      <c r="B1572" s="211"/>
      <c r="C1572" s="212" t="s">
        <v>118</v>
      </c>
      <c r="D1572" s="213" t="n">
        <v>22</v>
      </c>
      <c r="E1572" s="211"/>
    </row>
    <row r="1573" customFormat="false" ht="15" hidden="false" customHeight="false" outlineLevel="0" collapsed="false">
      <c r="A1573" s="20" t="n">
        <v>9</v>
      </c>
      <c r="B1573" s="210"/>
      <c r="C1573" s="162" t="s">
        <v>942</v>
      </c>
      <c r="D1573" s="23" t="n">
        <v>22</v>
      </c>
      <c r="E1573" s="210"/>
    </row>
    <row r="1574" customFormat="false" ht="15" hidden="false" customHeight="false" outlineLevel="0" collapsed="false">
      <c r="A1574" s="214" t="s">
        <v>1167</v>
      </c>
      <c r="B1574" s="214"/>
      <c r="C1574" s="214"/>
      <c r="D1574" s="215" t="n">
        <v>1400</v>
      </c>
      <c r="E1574" s="216"/>
    </row>
    <row r="1575" customFormat="false" ht="14.15" hidden="false" customHeight="false" outlineLevel="0" collapsed="false">
      <c r="A1575" s="208" t="s">
        <v>1168</v>
      </c>
      <c r="B1575" s="208"/>
      <c r="C1575" s="208"/>
      <c r="D1575" s="208"/>
      <c r="E1575" s="208"/>
    </row>
    <row r="1576" customFormat="false" ht="15" hidden="false" customHeight="false" outlineLevel="0" collapsed="false">
      <c r="A1576" s="182" t="s">
        <v>46</v>
      </c>
      <c r="B1576" s="182"/>
      <c r="C1576" s="209" t="s">
        <v>932</v>
      </c>
      <c r="D1576" s="209" t="s">
        <v>933</v>
      </c>
      <c r="E1576" s="182"/>
    </row>
    <row r="1577" customFormat="false" ht="15" hidden="false" customHeight="false" outlineLevel="0" collapsed="false">
      <c r="A1577" s="20" t="n">
        <v>1</v>
      </c>
      <c r="B1577" s="210"/>
      <c r="C1577" s="162" t="s">
        <v>934</v>
      </c>
      <c r="D1577" s="23" t="n">
        <v>470</v>
      </c>
      <c r="E1577" s="210"/>
    </row>
    <row r="1578" customFormat="false" ht="15" hidden="false" customHeight="false" outlineLevel="0" collapsed="false">
      <c r="A1578" s="178" t="n">
        <v>2</v>
      </c>
      <c r="B1578" s="211"/>
      <c r="C1578" s="212" t="s">
        <v>952</v>
      </c>
      <c r="D1578" s="213" t="n">
        <v>317</v>
      </c>
      <c r="E1578" s="211"/>
    </row>
    <row r="1579" customFormat="false" ht="15" hidden="false" customHeight="false" outlineLevel="0" collapsed="false">
      <c r="A1579" s="20" t="n">
        <v>3</v>
      </c>
      <c r="B1579" s="210"/>
      <c r="C1579" s="162" t="s">
        <v>99</v>
      </c>
      <c r="D1579" s="23" t="n">
        <v>190</v>
      </c>
      <c r="E1579" s="210"/>
    </row>
    <row r="1580" customFormat="false" ht="15" hidden="false" customHeight="false" outlineLevel="0" collapsed="false">
      <c r="A1580" s="178" t="n">
        <v>4</v>
      </c>
      <c r="B1580" s="211"/>
      <c r="C1580" s="212" t="s">
        <v>935</v>
      </c>
      <c r="D1580" s="213" t="n">
        <v>178</v>
      </c>
      <c r="E1580" s="211"/>
    </row>
    <row r="1581" customFormat="false" ht="15" hidden="false" customHeight="false" outlineLevel="0" collapsed="false">
      <c r="A1581" s="20" t="n">
        <v>5</v>
      </c>
      <c r="B1581" s="210"/>
      <c r="C1581" s="162" t="s">
        <v>1146</v>
      </c>
      <c r="D1581" s="23" t="n">
        <v>89</v>
      </c>
      <c r="E1581" s="210"/>
    </row>
    <row r="1582" customFormat="false" ht="15" hidden="false" customHeight="false" outlineLevel="0" collapsed="false">
      <c r="A1582" s="178" t="n">
        <v>6</v>
      </c>
      <c r="B1582" s="211"/>
      <c r="C1582" s="212" t="s">
        <v>113</v>
      </c>
      <c r="D1582" s="213" t="n">
        <v>43</v>
      </c>
      <c r="E1582" s="211"/>
    </row>
    <row r="1583" customFormat="false" ht="15" hidden="false" customHeight="false" outlineLevel="0" collapsed="false">
      <c r="A1583" s="20" t="n">
        <v>7</v>
      </c>
      <c r="B1583" s="210"/>
      <c r="C1583" s="162" t="s">
        <v>936</v>
      </c>
      <c r="D1583" s="23" t="n">
        <v>27</v>
      </c>
      <c r="E1583" s="210"/>
    </row>
    <row r="1584" customFormat="false" ht="15" hidden="false" customHeight="false" outlineLevel="0" collapsed="false">
      <c r="A1584" s="178" t="n">
        <v>8</v>
      </c>
      <c r="B1584" s="211"/>
      <c r="C1584" s="212" t="s">
        <v>121</v>
      </c>
      <c r="D1584" s="213" t="n">
        <v>24</v>
      </c>
      <c r="E1584" s="211"/>
    </row>
    <row r="1585" customFormat="false" ht="15" hidden="false" customHeight="false" outlineLevel="0" collapsed="false">
      <c r="A1585" s="20" t="n">
        <v>9</v>
      </c>
      <c r="B1585" s="210"/>
      <c r="C1585" s="162" t="s">
        <v>118</v>
      </c>
      <c r="D1585" s="23" t="n">
        <v>21</v>
      </c>
      <c r="E1585" s="210"/>
    </row>
    <row r="1586" customFormat="false" ht="15" hidden="false" customHeight="false" outlineLevel="0" collapsed="false">
      <c r="A1586" s="178" t="n">
        <v>10</v>
      </c>
      <c r="B1586" s="211"/>
      <c r="C1586" s="212" t="s">
        <v>942</v>
      </c>
      <c r="D1586" s="213" t="n">
        <v>20</v>
      </c>
      <c r="E1586" s="211"/>
    </row>
    <row r="1587" customFormat="false" ht="15" hidden="false" customHeight="false" outlineLevel="0" collapsed="false">
      <c r="A1587" s="20" t="n">
        <v>11</v>
      </c>
      <c r="B1587" s="210"/>
      <c r="C1587" s="162" t="s">
        <v>937</v>
      </c>
      <c r="D1587" s="23" t="n">
        <v>14</v>
      </c>
      <c r="E1587" s="210"/>
    </row>
    <row r="1588" customFormat="false" ht="15" hidden="false" customHeight="false" outlineLevel="0" collapsed="false">
      <c r="A1588" s="178" t="n">
        <v>12</v>
      </c>
      <c r="B1588" s="211"/>
      <c r="C1588" s="212" t="s">
        <v>939</v>
      </c>
      <c r="D1588" s="213" t="n">
        <v>3</v>
      </c>
      <c r="E1588" s="211"/>
    </row>
    <row r="1589" customFormat="false" ht="15" hidden="false" customHeight="false" outlineLevel="0" collapsed="false">
      <c r="A1589" s="20" t="n">
        <v>13</v>
      </c>
      <c r="B1589" s="210"/>
      <c r="C1589" s="162" t="s">
        <v>938</v>
      </c>
      <c r="D1589" s="23" t="n">
        <v>2</v>
      </c>
      <c r="E1589" s="210"/>
    </row>
    <row r="1590" customFormat="false" ht="15" hidden="false" customHeight="false" outlineLevel="0" collapsed="false">
      <c r="A1590" s="178" t="n">
        <v>14</v>
      </c>
      <c r="B1590" s="211"/>
      <c r="C1590" s="212" t="s">
        <v>940</v>
      </c>
      <c r="D1590" s="213" t="n">
        <v>2</v>
      </c>
      <c r="E1590" s="211"/>
    </row>
    <row r="1591" customFormat="false" ht="15" hidden="false" customHeight="false" outlineLevel="0" collapsed="false">
      <c r="A1591" s="20" t="n">
        <v>15</v>
      </c>
      <c r="B1591" s="210"/>
      <c r="C1591" s="162" t="s">
        <v>941</v>
      </c>
      <c r="D1591" s="23" t="n">
        <v>1</v>
      </c>
      <c r="E1591" s="210"/>
    </row>
    <row r="1592" customFormat="false" ht="15" hidden="false" customHeight="false" outlineLevel="0" collapsed="false">
      <c r="A1592" s="214" t="s">
        <v>1169</v>
      </c>
      <c r="B1592" s="214"/>
      <c r="C1592" s="214"/>
      <c r="D1592" s="215" t="n">
        <v>1401</v>
      </c>
      <c r="E1592" s="216"/>
    </row>
    <row r="1593" customFormat="false" ht="14.15" hidden="false" customHeight="false" outlineLevel="0" collapsed="false">
      <c r="A1593" s="208" t="s">
        <v>1170</v>
      </c>
      <c r="B1593" s="208"/>
      <c r="C1593" s="208"/>
      <c r="D1593" s="208"/>
      <c r="E1593" s="208"/>
    </row>
    <row r="1594" customFormat="false" ht="15" hidden="false" customHeight="false" outlineLevel="0" collapsed="false">
      <c r="A1594" s="182" t="s">
        <v>46</v>
      </c>
      <c r="B1594" s="182"/>
      <c r="C1594" s="209" t="s">
        <v>932</v>
      </c>
      <c r="D1594" s="209" t="s">
        <v>933</v>
      </c>
      <c r="E1594" s="182"/>
    </row>
    <row r="1595" customFormat="false" ht="15" hidden="false" customHeight="false" outlineLevel="0" collapsed="false">
      <c r="A1595" s="20" t="n">
        <v>1</v>
      </c>
      <c r="B1595" s="210"/>
      <c r="C1595" s="162" t="s">
        <v>934</v>
      </c>
      <c r="D1595" s="23" t="n">
        <v>615</v>
      </c>
      <c r="E1595" s="210"/>
    </row>
    <row r="1596" customFormat="false" ht="15" hidden="false" customHeight="false" outlineLevel="0" collapsed="false">
      <c r="A1596" s="178" t="n">
        <v>2</v>
      </c>
      <c r="B1596" s="211"/>
      <c r="C1596" s="212" t="s">
        <v>935</v>
      </c>
      <c r="D1596" s="213" t="n">
        <v>290</v>
      </c>
      <c r="E1596" s="211"/>
    </row>
    <row r="1597" customFormat="false" ht="15" hidden="false" customHeight="false" outlineLevel="0" collapsed="false">
      <c r="A1597" s="20" t="n">
        <v>3</v>
      </c>
      <c r="B1597" s="210"/>
      <c r="C1597" s="162" t="s">
        <v>99</v>
      </c>
      <c r="D1597" s="23" t="n">
        <v>236</v>
      </c>
      <c r="E1597" s="210"/>
    </row>
    <row r="1598" customFormat="false" ht="15" hidden="false" customHeight="false" outlineLevel="0" collapsed="false">
      <c r="A1598" s="178" t="n">
        <v>4</v>
      </c>
      <c r="B1598" s="211"/>
      <c r="C1598" s="212" t="s">
        <v>952</v>
      </c>
      <c r="D1598" s="213" t="n">
        <v>147</v>
      </c>
      <c r="E1598" s="211"/>
    </row>
    <row r="1599" customFormat="false" ht="15" hidden="false" customHeight="false" outlineLevel="0" collapsed="false">
      <c r="A1599" s="20" t="n">
        <v>5</v>
      </c>
      <c r="B1599" s="210"/>
      <c r="C1599" s="162" t="s">
        <v>1146</v>
      </c>
      <c r="D1599" s="23" t="n">
        <v>99</v>
      </c>
      <c r="E1599" s="210"/>
    </row>
    <row r="1600" customFormat="false" ht="15" hidden="false" customHeight="false" outlineLevel="0" collapsed="false">
      <c r="A1600" s="178" t="n">
        <v>6</v>
      </c>
      <c r="B1600" s="211"/>
      <c r="C1600" s="212" t="s">
        <v>113</v>
      </c>
      <c r="D1600" s="213" t="n">
        <v>62</v>
      </c>
      <c r="E1600" s="211"/>
    </row>
    <row r="1601" customFormat="false" ht="15" hidden="false" customHeight="false" outlineLevel="0" collapsed="false">
      <c r="A1601" s="20" t="n">
        <v>7</v>
      </c>
      <c r="B1601" s="210"/>
      <c r="C1601" s="162" t="s">
        <v>121</v>
      </c>
      <c r="D1601" s="23" t="n">
        <v>27</v>
      </c>
      <c r="E1601" s="210"/>
    </row>
    <row r="1602" customFormat="false" ht="15" hidden="false" customHeight="false" outlineLevel="0" collapsed="false">
      <c r="A1602" s="178" t="n">
        <v>8</v>
      </c>
      <c r="B1602" s="211"/>
      <c r="C1602" s="212" t="s">
        <v>936</v>
      </c>
      <c r="D1602" s="213" t="n">
        <v>27</v>
      </c>
      <c r="E1602" s="211"/>
    </row>
    <row r="1603" customFormat="false" ht="15" hidden="false" customHeight="false" outlineLevel="0" collapsed="false">
      <c r="A1603" s="20" t="n">
        <v>9</v>
      </c>
      <c r="B1603" s="210"/>
      <c r="C1603" s="162" t="s">
        <v>118</v>
      </c>
      <c r="D1603" s="23" t="n">
        <v>25</v>
      </c>
      <c r="E1603" s="210"/>
    </row>
    <row r="1604" customFormat="false" ht="15" hidden="false" customHeight="false" outlineLevel="0" collapsed="false">
      <c r="A1604" s="178" t="n">
        <v>10</v>
      </c>
      <c r="B1604" s="211"/>
      <c r="C1604" s="212" t="s">
        <v>942</v>
      </c>
      <c r="D1604" s="213" t="n">
        <v>23</v>
      </c>
      <c r="E1604" s="211"/>
    </row>
    <row r="1605" customFormat="false" ht="15" hidden="false" customHeight="false" outlineLevel="0" collapsed="false">
      <c r="A1605" s="20" t="n">
        <v>11</v>
      </c>
      <c r="B1605" s="210"/>
      <c r="C1605" s="162" t="s">
        <v>957</v>
      </c>
      <c r="D1605" s="23" t="n">
        <v>16</v>
      </c>
      <c r="E1605" s="210"/>
    </row>
    <row r="1606" customFormat="false" ht="15" hidden="false" customHeight="false" outlineLevel="0" collapsed="false">
      <c r="A1606" s="178" t="n">
        <v>12</v>
      </c>
      <c r="B1606" s="211"/>
      <c r="C1606" s="212" t="s">
        <v>937</v>
      </c>
      <c r="D1606" s="213" t="n">
        <v>14</v>
      </c>
      <c r="E1606" s="211"/>
    </row>
    <row r="1607" customFormat="false" ht="15" hidden="false" customHeight="false" outlineLevel="0" collapsed="false">
      <c r="A1607" s="20" t="n">
        <v>13</v>
      </c>
      <c r="B1607" s="210"/>
      <c r="C1607" s="162" t="s">
        <v>939</v>
      </c>
      <c r="D1607" s="23" t="n">
        <v>10</v>
      </c>
      <c r="E1607" s="210"/>
    </row>
    <row r="1608" customFormat="false" ht="15" hidden="false" customHeight="false" outlineLevel="0" collapsed="false">
      <c r="A1608" s="178" t="n">
        <v>14</v>
      </c>
      <c r="B1608" s="211"/>
      <c r="C1608" s="212" t="s">
        <v>938</v>
      </c>
      <c r="D1608" s="213" t="n">
        <v>9</v>
      </c>
      <c r="E1608" s="211"/>
    </row>
    <row r="1609" customFormat="false" ht="15" hidden="false" customHeight="false" outlineLevel="0" collapsed="false">
      <c r="A1609" s="20" t="n">
        <v>15</v>
      </c>
      <c r="B1609" s="210"/>
      <c r="C1609" s="162" t="s">
        <v>940</v>
      </c>
      <c r="D1609" s="23" t="n">
        <v>7</v>
      </c>
      <c r="E1609" s="210"/>
    </row>
    <row r="1610" customFormat="false" ht="15" hidden="false" customHeight="false" outlineLevel="0" collapsed="false">
      <c r="A1610" s="178" t="n">
        <v>16</v>
      </c>
      <c r="B1610" s="211"/>
      <c r="C1610" s="212" t="s">
        <v>941</v>
      </c>
      <c r="D1610" s="213" t="n">
        <v>3</v>
      </c>
      <c r="E1610" s="211"/>
    </row>
    <row r="1611" customFormat="false" ht="15" hidden="false" customHeight="false" outlineLevel="0" collapsed="false">
      <c r="A1611" s="214" t="s">
        <v>1171</v>
      </c>
      <c r="B1611" s="214"/>
      <c r="C1611" s="214"/>
      <c r="D1611" s="215" t="n">
        <v>1610</v>
      </c>
      <c r="E1611" s="216"/>
    </row>
    <row r="1612" customFormat="false" ht="14.15" hidden="false" customHeight="false" outlineLevel="0" collapsed="false">
      <c r="A1612" s="208" t="s">
        <v>1172</v>
      </c>
      <c r="B1612" s="208"/>
      <c r="C1612" s="208"/>
      <c r="D1612" s="208"/>
      <c r="E1612" s="208"/>
    </row>
    <row r="1613" customFormat="false" ht="15" hidden="false" customHeight="false" outlineLevel="0" collapsed="false">
      <c r="A1613" s="182" t="s">
        <v>46</v>
      </c>
      <c r="B1613" s="182"/>
      <c r="C1613" s="209" t="s">
        <v>932</v>
      </c>
      <c r="D1613" s="209" t="s">
        <v>933</v>
      </c>
      <c r="E1613" s="182"/>
    </row>
    <row r="1614" customFormat="false" ht="15" hidden="false" customHeight="false" outlineLevel="0" collapsed="false">
      <c r="A1614" s="20" t="n">
        <v>1</v>
      </c>
      <c r="B1614" s="210"/>
      <c r="C1614" s="162" t="s">
        <v>934</v>
      </c>
      <c r="D1614" s="23" t="n">
        <v>672</v>
      </c>
      <c r="E1614" s="210"/>
    </row>
    <row r="1615" customFormat="false" ht="15" hidden="false" customHeight="false" outlineLevel="0" collapsed="false">
      <c r="A1615" s="178" t="n">
        <v>2</v>
      </c>
      <c r="B1615" s="211"/>
      <c r="C1615" s="212" t="s">
        <v>935</v>
      </c>
      <c r="D1615" s="213" t="n">
        <v>407</v>
      </c>
      <c r="E1615" s="211"/>
    </row>
    <row r="1616" customFormat="false" ht="15" hidden="false" customHeight="false" outlineLevel="0" collapsed="false">
      <c r="A1616" s="20" t="n">
        <v>3</v>
      </c>
      <c r="B1616" s="210"/>
      <c r="C1616" s="162" t="s">
        <v>99</v>
      </c>
      <c r="D1616" s="23" t="n">
        <v>221</v>
      </c>
      <c r="E1616" s="210"/>
    </row>
    <row r="1617" customFormat="false" ht="15" hidden="false" customHeight="false" outlineLevel="0" collapsed="false">
      <c r="A1617" s="178" t="n">
        <v>4</v>
      </c>
      <c r="B1617" s="211"/>
      <c r="C1617" s="212" t="s">
        <v>952</v>
      </c>
      <c r="D1617" s="213" t="n">
        <v>145</v>
      </c>
      <c r="E1617" s="211"/>
    </row>
    <row r="1618" customFormat="false" ht="15" hidden="false" customHeight="false" outlineLevel="0" collapsed="false">
      <c r="A1618" s="20" t="n">
        <v>5</v>
      </c>
      <c r="B1618" s="210"/>
      <c r="C1618" s="162" t="s">
        <v>1146</v>
      </c>
      <c r="D1618" s="23" t="n">
        <v>89</v>
      </c>
      <c r="E1618" s="210"/>
    </row>
    <row r="1619" customFormat="false" ht="15" hidden="false" customHeight="false" outlineLevel="0" collapsed="false">
      <c r="A1619" s="178" t="n">
        <v>6</v>
      </c>
      <c r="B1619" s="211"/>
      <c r="C1619" s="212" t="s">
        <v>113</v>
      </c>
      <c r="D1619" s="213" t="n">
        <v>46</v>
      </c>
      <c r="E1619" s="211"/>
    </row>
    <row r="1620" customFormat="false" ht="15" hidden="false" customHeight="false" outlineLevel="0" collapsed="false">
      <c r="A1620" s="20" t="n">
        <v>7</v>
      </c>
      <c r="B1620" s="210"/>
      <c r="C1620" s="162" t="s">
        <v>121</v>
      </c>
      <c r="D1620" s="23" t="n">
        <v>27</v>
      </c>
      <c r="E1620" s="210"/>
    </row>
    <row r="1621" customFormat="false" ht="15" hidden="false" customHeight="false" outlineLevel="0" collapsed="false">
      <c r="A1621" s="178" t="n">
        <v>8</v>
      </c>
      <c r="B1621" s="211"/>
      <c r="C1621" s="212" t="s">
        <v>942</v>
      </c>
      <c r="D1621" s="213" t="n">
        <v>22</v>
      </c>
      <c r="E1621" s="211"/>
    </row>
    <row r="1622" customFormat="false" ht="15" hidden="false" customHeight="false" outlineLevel="0" collapsed="false">
      <c r="A1622" s="20" t="n">
        <v>9</v>
      </c>
      <c r="B1622" s="210"/>
      <c r="C1622" s="162" t="s">
        <v>118</v>
      </c>
      <c r="D1622" s="23" t="n">
        <v>22</v>
      </c>
      <c r="E1622" s="210"/>
    </row>
    <row r="1623" customFormat="false" ht="15" hidden="false" customHeight="false" outlineLevel="0" collapsed="false">
      <c r="A1623" s="178" t="n">
        <v>10</v>
      </c>
      <c r="B1623" s="211"/>
      <c r="C1623" s="212" t="s">
        <v>957</v>
      </c>
      <c r="D1623" s="213" t="n">
        <v>16</v>
      </c>
      <c r="E1623" s="211"/>
    </row>
    <row r="1624" customFormat="false" ht="15" hidden="false" customHeight="false" outlineLevel="0" collapsed="false">
      <c r="A1624" s="20" t="n">
        <v>11</v>
      </c>
      <c r="B1624" s="210"/>
      <c r="C1624" s="162" t="s">
        <v>940</v>
      </c>
      <c r="D1624" s="23" t="n">
        <v>13</v>
      </c>
      <c r="E1624" s="210"/>
    </row>
    <row r="1625" customFormat="false" ht="15" hidden="false" customHeight="false" outlineLevel="0" collapsed="false">
      <c r="A1625" s="178" t="n">
        <v>12</v>
      </c>
      <c r="B1625" s="211"/>
      <c r="C1625" s="212" t="s">
        <v>965</v>
      </c>
      <c r="D1625" s="213" t="n">
        <v>9</v>
      </c>
      <c r="E1625" s="211"/>
    </row>
    <row r="1626" customFormat="false" ht="15" hidden="false" customHeight="false" outlineLevel="0" collapsed="false">
      <c r="A1626" s="20" t="n">
        <v>13</v>
      </c>
      <c r="B1626" s="210"/>
      <c r="C1626" s="162" t="s">
        <v>108</v>
      </c>
      <c r="D1626" s="23" t="n">
        <v>8</v>
      </c>
      <c r="E1626" s="210"/>
    </row>
    <row r="1627" customFormat="false" ht="15" hidden="false" customHeight="false" outlineLevel="0" collapsed="false">
      <c r="A1627" s="178" t="n">
        <v>14</v>
      </c>
      <c r="B1627" s="211"/>
      <c r="C1627" s="212" t="s">
        <v>966</v>
      </c>
      <c r="D1627" s="213" t="n">
        <v>7</v>
      </c>
      <c r="E1627" s="211"/>
    </row>
    <row r="1628" customFormat="false" ht="15" hidden="false" customHeight="false" outlineLevel="0" collapsed="false">
      <c r="A1628" s="20" t="n">
        <v>15</v>
      </c>
      <c r="B1628" s="210"/>
      <c r="C1628" s="162" t="s">
        <v>938</v>
      </c>
      <c r="D1628" s="23" t="n">
        <v>7</v>
      </c>
      <c r="E1628" s="210"/>
    </row>
    <row r="1629" customFormat="false" ht="15" hidden="false" customHeight="false" outlineLevel="0" collapsed="false">
      <c r="A1629" s="178" t="n">
        <v>16</v>
      </c>
      <c r="B1629" s="211"/>
      <c r="C1629" s="212" t="s">
        <v>939</v>
      </c>
      <c r="D1629" s="213" t="n">
        <v>7</v>
      </c>
      <c r="E1629" s="211"/>
    </row>
    <row r="1630" customFormat="false" ht="15" hidden="false" customHeight="false" outlineLevel="0" collapsed="false">
      <c r="A1630" s="20" t="n">
        <v>17</v>
      </c>
      <c r="B1630" s="210"/>
      <c r="C1630" s="162" t="s">
        <v>93</v>
      </c>
      <c r="D1630" s="23" t="n">
        <v>2</v>
      </c>
      <c r="E1630" s="210"/>
    </row>
    <row r="1631" customFormat="false" ht="15" hidden="false" customHeight="false" outlineLevel="0" collapsed="false">
      <c r="A1631" s="178" t="n">
        <v>18</v>
      </c>
      <c r="B1631" s="211"/>
      <c r="C1631" s="212" t="s">
        <v>941</v>
      </c>
      <c r="D1631" s="213" t="n">
        <v>2</v>
      </c>
      <c r="E1631" s="211"/>
    </row>
    <row r="1632" customFormat="false" ht="15" hidden="false" customHeight="false" outlineLevel="0" collapsed="false">
      <c r="A1632" s="214" t="s">
        <v>1173</v>
      </c>
      <c r="B1632" s="214"/>
      <c r="C1632" s="214"/>
      <c r="D1632" s="215" t="n">
        <v>1722</v>
      </c>
      <c r="E1632" s="216"/>
    </row>
    <row r="1633" customFormat="false" ht="14.15" hidden="false" customHeight="false" outlineLevel="0" collapsed="false">
      <c r="A1633" s="208" t="s">
        <v>1174</v>
      </c>
      <c r="B1633" s="208"/>
      <c r="C1633" s="208"/>
      <c r="D1633" s="208"/>
      <c r="E1633" s="208"/>
    </row>
    <row r="1634" customFormat="false" ht="15" hidden="false" customHeight="false" outlineLevel="0" collapsed="false">
      <c r="A1634" s="182" t="s">
        <v>46</v>
      </c>
      <c r="B1634" s="182"/>
      <c r="C1634" s="209" t="s">
        <v>932</v>
      </c>
      <c r="D1634" s="209" t="s">
        <v>933</v>
      </c>
      <c r="E1634" s="182"/>
    </row>
    <row r="1635" customFormat="false" ht="15" hidden="false" customHeight="false" outlineLevel="0" collapsed="false">
      <c r="A1635" s="20" t="n">
        <v>1</v>
      </c>
      <c r="B1635" s="210"/>
      <c r="C1635" s="162" t="s">
        <v>934</v>
      </c>
      <c r="D1635" s="23" t="n">
        <v>596</v>
      </c>
      <c r="E1635" s="210"/>
    </row>
    <row r="1636" customFormat="false" ht="15" hidden="false" customHeight="false" outlineLevel="0" collapsed="false">
      <c r="A1636" s="178" t="n">
        <v>2</v>
      </c>
      <c r="B1636" s="211"/>
      <c r="C1636" s="212" t="s">
        <v>935</v>
      </c>
      <c r="D1636" s="213" t="n">
        <v>281</v>
      </c>
      <c r="E1636" s="211"/>
    </row>
    <row r="1637" customFormat="false" ht="15" hidden="false" customHeight="false" outlineLevel="0" collapsed="false">
      <c r="A1637" s="20" t="n">
        <v>3</v>
      </c>
      <c r="B1637" s="210"/>
      <c r="C1637" s="162" t="s">
        <v>99</v>
      </c>
      <c r="D1637" s="23" t="n">
        <v>194</v>
      </c>
      <c r="E1637" s="210"/>
    </row>
    <row r="1638" customFormat="false" ht="15" hidden="false" customHeight="false" outlineLevel="0" collapsed="false">
      <c r="A1638" s="178" t="n">
        <v>4</v>
      </c>
      <c r="B1638" s="211"/>
      <c r="C1638" s="212" t="s">
        <v>952</v>
      </c>
      <c r="D1638" s="213" t="n">
        <v>143</v>
      </c>
      <c r="E1638" s="211"/>
    </row>
    <row r="1639" customFormat="false" ht="15" hidden="false" customHeight="false" outlineLevel="0" collapsed="false">
      <c r="A1639" s="20" t="n">
        <v>5</v>
      </c>
      <c r="B1639" s="210"/>
      <c r="C1639" s="162" t="s">
        <v>113</v>
      </c>
      <c r="D1639" s="23" t="n">
        <v>113</v>
      </c>
      <c r="E1639" s="210"/>
    </row>
    <row r="1640" customFormat="false" ht="15" hidden="false" customHeight="false" outlineLevel="0" collapsed="false">
      <c r="A1640" s="178" t="n">
        <v>6</v>
      </c>
      <c r="B1640" s="211"/>
      <c r="C1640" s="212" t="s">
        <v>1146</v>
      </c>
      <c r="D1640" s="213" t="n">
        <v>79</v>
      </c>
      <c r="E1640" s="211"/>
    </row>
    <row r="1641" customFormat="false" ht="15" hidden="false" customHeight="false" outlineLevel="0" collapsed="false">
      <c r="A1641" s="20" t="n">
        <v>7</v>
      </c>
      <c r="B1641" s="210"/>
      <c r="C1641" s="162" t="s">
        <v>936</v>
      </c>
      <c r="D1641" s="23" t="n">
        <v>55</v>
      </c>
      <c r="E1641" s="210"/>
    </row>
    <row r="1642" customFormat="false" ht="15" hidden="false" customHeight="false" outlineLevel="0" collapsed="false">
      <c r="A1642" s="178" t="n">
        <v>8</v>
      </c>
      <c r="B1642" s="211"/>
      <c r="C1642" s="212" t="s">
        <v>937</v>
      </c>
      <c r="D1642" s="213" t="n">
        <v>27</v>
      </c>
      <c r="E1642" s="211"/>
    </row>
    <row r="1643" customFormat="false" ht="15" hidden="false" customHeight="false" outlineLevel="0" collapsed="false">
      <c r="A1643" s="20" t="n">
        <v>9</v>
      </c>
      <c r="B1643" s="210"/>
      <c r="C1643" s="162" t="s">
        <v>121</v>
      </c>
      <c r="D1643" s="23" t="n">
        <v>25</v>
      </c>
      <c r="E1643" s="210"/>
    </row>
    <row r="1644" customFormat="false" ht="15" hidden="false" customHeight="false" outlineLevel="0" collapsed="false">
      <c r="A1644" s="178" t="n">
        <v>10</v>
      </c>
      <c r="B1644" s="211"/>
      <c r="C1644" s="212" t="s">
        <v>118</v>
      </c>
      <c r="D1644" s="213" t="n">
        <v>20</v>
      </c>
      <c r="E1644" s="211"/>
    </row>
    <row r="1645" customFormat="false" ht="15" hidden="false" customHeight="false" outlineLevel="0" collapsed="false">
      <c r="A1645" s="20" t="n">
        <v>11</v>
      </c>
      <c r="B1645" s="210"/>
      <c r="C1645" s="162" t="s">
        <v>942</v>
      </c>
      <c r="D1645" s="23" t="n">
        <v>19</v>
      </c>
      <c r="E1645" s="210"/>
    </row>
    <row r="1646" customFormat="false" ht="15" hidden="false" customHeight="false" outlineLevel="0" collapsed="false">
      <c r="A1646" s="178" t="n">
        <v>12</v>
      </c>
      <c r="B1646" s="211"/>
      <c r="C1646" s="212" t="s">
        <v>953</v>
      </c>
      <c r="D1646" s="213" t="n">
        <v>16</v>
      </c>
      <c r="E1646" s="211"/>
    </row>
    <row r="1647" customFormat="false" ht="15" hidden="false" customHeight="false" outlineLevel="0" collapsed="false">
      <c r="A1647" s="20" t="n">
        <v>13</v>
      </c>
      <c r="B1647" s="210"/>
      <c r="C1647" s="162" t="s">
        <v>965</v>
      </c>
      <c r="D1647" s="23" t="n">
        <v>10</v>
      </c>
      <c r="E1647" s="210"/>
    </row>
    <row r="1648" customFormat="false" ht="15" hidden="false" customHeight="false" outlineLevel="0" collapsed="false">
      <c r="A1648" s="178" t="n">
        <v>14</v>
      </c>
      <c r="B1648" s="211"/>
      <c r="C1648" s="212" t="s">
        <v>940</v>
      </c>
      <c r="D1648" s="213" t="n">
        <v>7</v>
      </c>
      <c r="E1648" s="211"/>
    </row>
    <row r="1649" customFormat="false" ht="15" hidden="false" customHeight="false" outlineLevel="0" collapsed="false">
      <c r="A1649" s="20" t="n">
        <v>15</v>
      </c>
      <c r="B1649" s="210"/>
      <c r="C1649" s="162" t="s">
        <v>966</v>
      </c>
      <c r="D1649" s="23" t="n">
        <v>6</v>
      </c>
      <c r="E1649" s="210"/>
    </row>
    <row r="1650" customFormat="false" ht="15" hidden="false" customHeight="false" outlineLevel="0" collapsed="false">
      <c r="A1650" s="178" t="n">
        <v>16</v>
      </c>
      <c r="B1650" s="211"/>
      <c r="C1650" s="212" t="s">
        <v>939</v>
      </c>
      <c r="D1650" s="213" t="n">
        <v>6</v>
      </c>
      <c r="E1650" s="211"/>
    </row>
    <row r="1651" customFormat="false" ht="15" hidden="false" customHeight="false" outlineLevel="0" collapsed="false">
      <c r="A1651" s="20" t="n">
        <v>17</v>
      </c>
      <c r="B1651" s="210"/>
      <c r="C1651" s="162" t="s">
        <v>954</v>
      </c>
      <c r="D1651" s="23" t="n">
        <v>4</v>
      </c>
      <c r="E1651" s="210"/>
    </row>
    <row r="1652" customFormat="false" ht="15" hidden="false" customHeight="false" outlineLevel="0" collapsed="false">
      <c r="A1652" s="178" t="n">
        <v>18</v>
      </c>
      <c r="B1652" s="211"/>
      <c r="C1652" s="212" t="s">
        <v>938</v>
      </c>
      <c r="D1652" s="213" t="n">
        <v>4</v>
      </c>
      <c r="E1652" s="211"/>
    </row>
    <row r="1653" customFormat="false" ht="15" hidden="false" customHeight="false" outlineLevel="0" collapsed="false">
      <c r="A1653" s="20" t="n">
        <v>19</v>
      </c>
      <c r="B1653" s="210"/>
      <c r="C1653" s="162" t="s">
        <v>108</v>
      </c>
      <c r="D1653" s="23" t="n">
        <v>3</v>
      </c>
      <c r="E1653" s="210"/>
    </row>
    <row r="1654" customFormat="false" ht="15" hidden="false" customHeight="false" outlineLevel="0" collapsed="false">
      <c r="A1654" s="178" t="n">
        <v>20</v>
      </c>
      <c r="B1654" s="211"/>
      <c r="C1654" s="212" t="s">
        <v>93</v>
      </c>
      <c r="D1654" s="213" t="n">
        <v>2</v>
      </c>
      <c r="E1654" s="211"/>
    </row>
    <row r="1655" customFormat="false" ht="15" hidden="false" customHeight="false" outlineLevel="0" collapsed="false">
      <c r="A1655" s="20" t="n">
        <v>21</v>
      </c>
      <c r="B1655" s="210"/>
      <c r="C1655" s="162" t="s">
        <v>941</v>
      </c>
      <c r="D1655" s="23" t="n">
        <v>2</v>
      </c>
      <c r="E1655" s="210"/>
    </row>
    <row r="1656" customFormat="false" ht="15" hidden="false" customHeight="false" outlineLevel="0" collapsed="false">
      <c r="A1656" s="178" t="n">
        <v>22</v>
      </c>
      <c r="B1656" s="211"/>
      <c r="C1656" s="212" t="s">
        <v>973</v>
      </c>
      <c r="D1656" s="213" t="n">
        <v>1</v>
      </c>
      <c r="E1656" s="211"/>
    </row>
    <row r="1657" customFormat="false" ht="15" hidden="false" customHeight="false" outlineLevel="0" collapsed="false">
      <c r="A1657" s="20" t="n">
        <v>23</v>
      </c>
      <c r="B1657" s="210"/>
      <c r="C1657" s="162" t="s">
        <v>974</v>
      </c>
      <c r="D1657" s="23" t="n">
        <v>1</v>
      </c>
      <c r="E1657" s="210"/>
    </row>
    <row r="1658" customFormat="false" ht="15" hidden="false" customHeight="false" outlineLevel="0" collapsed="false">
      <c r="A1658" s="214" t="s">
        <v>1175</v>
      </c>
      <c r="B1658" s="214"/>
      <c r="C1658" s="214"/>
      <c r="D1658" s="215" t="n">
        <v>1614</v>
      </c>
      <c r="E1658" s="216"/>
    </row>
    <row r="1659" customFormat="false" ht="14.15" hidden="false" customHeight="false" outlineLevel="0" collapsed="false">
      <c r="A1659" s="208" t="s">
        <v>1176</v>
      </c>
      <c r="B1659" s="208"/>
      <c r="C1659" s="208"/>
      <c r="D1659" s="208"/>
      <c r="E1659" s="208"/>
    </row>
    <row r="1660" customFormat="false" ht="15" hidden="false" customHeight="false" outlineLevel="0" collapsed="false">
      <c r="A1660" s="182" t="s">
        <v>46</v>
      </c>
      <c r="B1660" s="182"/>
      <c r="C1660" s="209" t="s">
        <v>932</v>
      </c>
      <c r="D1660" s="209" t="s">
        <v>933</v>
      </c>
      <c r="E1660" s="182"/>
    </row>
    <row r="1661" customFormat="false" ht="15" hidden="false" customHeight="false" outlineLevel="0" collapsed="false">
      <c r="A1661" s="20" t="n">
        <v>1</v>
      </c>
      <c r="B1661" s="210"/>
      <c r="C1661" s="162" t="s">
        <v>934</v>
      </c>
      <c r="D1661" s="23" t="n">
        <v>294</v>
      </c>
      <c r="E1661" s="210"/>
    </row>
    <row r="1662" customFormat="false" ht="15" hidden="false" customHeight="false" outlineLevel="0" collapsed="false">
      <c r="A1662" s="178" t="n">
        <v>2</v>
      </c>
      <c r="B1662" s="211"/>
      <c r="C1662" s="212" t="s">
        <v>952</v>
      </c>
      <c r="D1662" s="213" t="n">
        <v>125</v>
      </c>
      <c r="E1662" s="211"/>
    </row>
    <row r="1663" customFormat="false" ht="15" hidden="false" customHeight="false" outlineLevel="0" collapsed="false">
      <c r="A1663" s="20" t="n">
        <v>3</v>
      </c>
      <c r="B1663" s="210"/>
      <c r="C1663" s="162" t="s">
        <v>936</v>
      </c>
      <c r="D1663" s="23" t="n">
        <v>55</v>
      </c>
      <c r="E1663" s="210"/>
    </row>
    <row r="1664" customFormat="false" ht="15" hidden="false" customHeight="false" outlineLevel="0" collapsed="false">
      <c r="A1664" s="178" t="n">
        <v>4</v>
      </c>
      <c r="B1664" s="211"/>
      <c r="C1664" s="212" t="s">
        <v>113</v>
      </c>
      <c r="D1664" s="213" t="n">
        <v>39</v>
      </c>
      <c r="E1664" s="211"/>
    </row>
    <row r="1665" customFormat="false" ht="15" hidden="false" customHeight="false" outlineLevel="0" collapsed="false">
      <c r="A1665" s="20" t="n">
        <v>5</v>
      </c>
      <c r="B1665" s="210"/>
      <c r="C1665" s="162" t="s">
        <v>97</v>
      </c>
      <c r="D1665" s="23" t="n">
        <v>36</v>
      </c>
      <c r="E1665" s="210"/>
    </row>
    <row r="1666" customFormat="false" ht="15" hidden="false" customHeight="false" outlineLevel="0" collapsed="false">
      <c r="A1666" s="178" t="n">
        <v>6</v>
      </c>
      <c r="B1666" s="211"/>
      <c r="C1666" s="212" t="s">
        <v>1096</v>
      </c>
      <c r="D1666" s="213" t="n">
        <v>36</v>
      </c>
      <c r="E1666" s="211"/>
    </row>
    <row r="1667" customFormat="false" ht="15" hidden="false" customHeight="false" outlineLevel="0" collapsed="false">
      <c r="A1667" s="20" t="n">
        <v>7</v>
      </c>
      <c r="B1667" s="210"/>
      <c r="C1667" s="162" t="s">
        <v>940</v>
      </c>
      <c r="D1667" s="23" t="n">
        <v>30</v>
      </c>
      <c r="E1667" s="210"/>
    </row>
    <row r="1668" customFormat="false" ht="15" hidden="false" customHeight="false" outlineLevel="0" collapsed="false">
      <c r="A1668" s="178" t="n">
        <v>8</v>
      </c>
      <c r="B1668" s="211"/>
      <c r="C1668" s="212" t="s">
        <v>99</v>
      </c>
      <c r="D1668" s="213" t="n">
        <v>25</v>
      </c>
      <c r="E1668" s="211"/>
    </row>
    <row r="1669" customFormat="false" ht="15" hidden="false" customHeight="false" outlineLevel="0" collapsed="false">
      <c r="A1669" s="20" t="n">
        <v>9</v>
      </c>
      <c r="B1669" s="210"/>
      <c r="C1669" s="162" t="s">
        <v>953</v>
      </c>
      <c r="D1669" s="23" t="n">
        <v>16</v>
      </c>
      <c r="E1669" s="210"/>
    </row>
    <row r="1670" customFormat="false" ht="15" hidden="false" customHeight="false" outlineLevel="0" collapsed="false">
      <c r="A1670" s="178" t="n">
        <v>10</v>
      </c>
      <c r="B1670" s="211"/>
      <c r="C1670" s="212" t="s">
        <v>1054</v>
      </c>
      <c r="D1670" s="213" t="n">
        <v>16</v>
      </c>
      <c r="E1670" s="211"/>
    </row>
    <row r="1671" customFormat="false" ht="15" hidden="false" customHeight="false" outlineLevel="0" collapsed="false">
      <c r="A1671" s="20" t="n">
        <v>11</v>
      </c>
      <c r="B1671" s="210"/>
      <c r="C1671" s="162" t="s">
        <v>132</v>
      </c>
      <c r="D1671" s="23" t="n">
        <v>11</v>
      </c>
      <c r="E1671" s="210"/>
    </row>
    <row r="1672" customFormat="false" ht="15" hidden="false" customHeight="false" outlineLevel="0" collapsed="false">
      <c r="A1672" s="178" t="n">
        <v>12</v>
      </c>
      <c r="B1672" s="211"/>
      <c r="C1672" s="212" t="s">
        <v>74</v>
      </c>
      <c r="D1672" s="213" t="n">
        <v>8</v>
      </c>
      <c r="E1672" s="211"/>
    </row>
    <row r="1673" customFormat="false" ht="15" hidden="false" customHeight="false" outlineLevel="0" collapsed="false">
      <c r="A1673" s="20" t="n">
        <v>13</v>
      </c>
      <c r="B1673" s="210"/>
      <c r="C1673" s="162" t="s">
        <v>1141</v>
      </c>
      <c r="D1673" s="23" t="n">
        <v>8</v>
      </c>
      <c r="E1673" s="210"/>
    </row>
    <row r="1674" customFormat="false" ht="15" hidden="false" customHeight="false" outlineLevel="0" collapsed="false">
      <c r="A1674" s="178" t="n">
        <v>14</v>
      </c>
      <c r="B1674" s="211"/>
      <c r="C1674" s="212" t="s">
        <v>88</v>
      </c>
      <c r="D1674" s="213" t="n">
        <v>8</v>
      </c>
      <c r="E1674" s="211"/>
    </row>
    <row r="1675" customFormat="false" ht="15" hidden="false" customHeight="false" outlineLevel="0" collapsed="false">
      <c r="A1675" s="20" t="n">
        <v>15</v>
      </c>
      <c r="B1675" s="210"/>
      <c r="C1675" s="162" t="s">
        <v>63</v>
      </c>
      <c r="D1675" s="23" t="n">
        <v>5</v>
      </c>
      <c r="E1675" s="210"/>
    </row>
    <row r="1676" customFormat="false" ht="15" hidden="false" customHeight="false" outlineLevel="0" collapsed="false">
      <c r="A1676" s="178" t="n">
        <v>16</v>
      </c>
      <c r="B1676" s="211"/>
      <c r="C1676" s="212" t="s">
        <v>954</v>
      </c>
      <c r="D1676" s="213" t="n">
        <v>4</v>
      </c>
      <c r="E1676" s="211"/>
    </row>
    <row r="1677" customFormat="false" ht="15" hidden="false" customHeight="false" outlineLevel="0" collapsed="false">
      <c r="A1677" s="20" t="n">
        <v>17</v>
      </c>
      <c r="B1677" s="210"/>
      <c r="C1677" s="162" t="s">
        <v>107</v>
      </c>
      <c r="D1677" s="23" t="n">
        <v>4</v>
      </c>
      <c r="E1677" s="210"/>
    </row>
    <row r="1678" customFormat="false" ht="15" hidden="false" customHeight="false" outlineLevel="0" collapsed="false">
      <c r="A1678" s="178" t="n">
        <v>18</v>
      </c>
      <c r="B1678" s="211"/>
      <c r="C1678" s="212" t="s">
        <v>86</v>
      </c>
      <c r="D1678" s="213" t="n">
        <v>4</v>
      </c>
      <c r="E1678" s="211"/>
    </row>
    <row r="1679" customFormat="false" ht="15" hidden="false" customHeight="false" outlineLevel="0" collapsed="false">
      <c r="A1679" s="20" t="n">
        <v>19</v>
      </c>
      <c r="B1679" s="210"/>
      <c r="C1679" s="162" t="s">
        <v>100</v>
      </c>
      <c r="D1679" s="23" t="n">
        <v>4</v>
      </c>
      <c r="E1679" s="210"/>
    </row>
    <row r="1680" customFormat="false" ht="15" hidden="false" customHeight="false" outlineLevel="0" collapsed="false">
      <c r="A1680" s="178" t="n">
        <v>20</v>
      </c>
      <c r="B1680" s="211"/>
      <c r="C1680" s="212" t="s">
        <v>62</v>
      </c>
      <c r="D1680" s="213" t="n">
        <v>3</v>
      </c>
      <c r="E1680" s="211"/>
    </row>
    <row r="1681" customFormat="false" ht="15" hidden="false" customHeight="false" outlineLevel="0" collapsed="false">
      <c r="A1681" s="20" t="n">
        <v>21</v>
      </c>
      <c r="B1681" s="210"/>
      <c r="C1681" s="162" t="s">
        <v>121</v>
      </c>
      <c r="D1681" s="23" t="n">
        <v>2</v>
      </c>
      <c r="E1681" s="210"/>
    </row>
    <row r="1682" customFormat="false" ht="15" hidden="false" customHeight="false" outlineLevel="0" collapsed="false">
      <c r="A1682" s="178" t="n">
        <v>22</v>
      </c>
      <c r="B1682" s="211"/>
      <c r="C1682" s="212" t="s">
        <v>114</v>
      </c>
      <c r="D1682" s="213" t="n">
        <v>1</v>
      </c>
      <c r="E1682" s="211"/>
    </row>
    <row r="1683" customFormat="false" ht="15" hidden="false" customHeight="false" outlineLevel="0" collapsed="false">
      <c r="A1683" s="20" t="n">
        <v>23</v>
      </c>
      <c r="B1683" s="210"/>
      <c r="C1683" s="162" t="s">
        <v>118</v>
      </c>
      <c r="D1683" s="23" t="n">
        <v>1</v>
      </c>
      <c r="E1683" s="210"/>
    </row>
    <row r="1684" customFormat="false" ht="15" hidden="false" customHeight="false" outlineLevel="0" collapsed="false">
      <c r="A1684" s="214" t="s">
        <v>1177</v>
      </c>
      <c r="B1684" s="214"/>
      <c r="C1684" s="214"/>
      <c r="D1684" s="215" t="n">
        <v>735</v>
      </c>
      <c r="E1684" s="216"/>
    </row>
    <row r="1686" customFormat="false" ht="15" hidden="false" customHeight="false" outlineLevel="0" collapsed="false">
      <c r="A1686" s="217" t="s">
        <v>944</v>
      </c>
      <c r="B1686" s="217"/>
      <c r="C1686" s="217"/>
      <c r="D1686" s="217"/>
      <c r="E1686" s="217"/>
    </row>
    <row r="1687" customFormat="false" ht="15" hidden="false" customHeight="false" outlineLevel="0" collapsed="false">
      <c r="A1687" s="182" t="s">
        <v>46</v>
      </c>
      <c r="B1687" s="182"/>
      <c r="C1687" s="209" t="s">
        <v>932</v>
      </c>
      <c r="D1687" s="209" t="s">
        <v>945</v>
      </c>
      <c r="E1687" s="182"/>
    </row>
    <row r="1688" customFormat="false" ht="15" hidden="false" customHeight="false" outlineLevel="0" collapsed="false">
      <c r="A1688" s="20" t="n">
        <v>1</v>
      </c>
      <c r="B1688" s="210"/>
      <c r="C1688" s="162" t="s">
        <v>934</v>
      </c>
      <c r="D1688" s="23" t="n">
        <v>3120</v>
      </c>
      <c r="E1688" s="210"/>
    </row>
    <row r="1689" customFormat="false" ht="15" hidden="false" customHeight="false" outlineLevel="0" collapsed="false">
      <c r="A1689" s="178" t="n">
        <v>2</v>
      </c>
      <c r="B1689" s="211"/>
      <c r="C1689" s="212" t="s">
        <v>935</v>
      </c>
      <c r="D1689" s="213" t="n">
        <v>1354</v>
      </c>
      <c r="E1689" s="211"/>
    </row>
    <row r="1690" customFormat="false" ht="15" hidden="false" customHeight="false" outlineLevel="0" collapsed="false">
      <c r="A1690" s="20" t="n">
        <v>3</v>
      </c>
      <c r="B1690" s="210"/>
      <c r="C1690" s="162" t="s">
        <v>952</v>
      </c>
      <c r="D1690" s="23" t="n">
        <v>1196</v>
      </c>
      <c r="E1690" s="210"/>
    </row>
    <row r="1691" customFormat="false" ht="15" hidden="false" customHeight="false" outlineLevel="0" collapsed="false">
      <c r="A1691" s="178" t="n">
        <v>4</v>
      </c>
      <c r="B1691" s="211"/>
      <c r="C1691" s="212" t="s">
        <v>99</v>
      </c>
      <c r="D1691" s="213" t="n">
        <v>1075</v>
      </c>
      <c r="E1691" s="211"/>
    </row>
    <row r="1692" customFormat="false" ht="15" hidden="false" customHeight="false" outlineLevel="0" collapsed="false">
      <c r="A1692" s="20" t="n">
        <v>5</v>
      </c>
      <c r="B1692" s="210"/>
      <c r="C1692" s="162" t="s">
        <v>1146</v>
      </c>
      <c r="D1692" s="23" t="n">
        <v>455</v>
      </c>
      <c r="E1692" s="210"/>
    </row>
    <row r="1693" customFormat="false" ht="15" hidden="false" customHeight="false" outlineLevel="0" collapsed="false">
      <c r="A1693" s="178" t="n">
        <v>6</v>
      </c>
      <c r="B1693" s="211"/>
      <c r="C1693" s="212" t="s">
        <v>113</v>
      </c>
      <c r="D1693" s="213" t="n">
        <v>336</v>
      </c>
      <c r="E1693" s="211"/>
    </row>
    <row r="1694" customFormat="false" ht="15" hidden="false" customHeight="false" outlineLevel="0" collapsed="false">
      <c r="A1694" s="20" t="n">
        <v>7</v>
      </c>
      <c r="B1694" s="210"/>
      <c r="C1694" s="162" t="s">
        <v>936</v>
      </c>
      <c r="D1694" s="23" t="n">
        <v>164</v>
      </c>
      <c r="E1694" s="210"/>
    </row>
    <row r="1695" customFormat="false" ht="15" hidden="false" customHeight="false" outlineLevel="0" collapsed="false">
      <c r="A1695" s="178" t="n">
        <v>8</v>
      </c>
      <c r="B1695" s="211"/>
      <c r="C1695" s="212" t="s">
        <v>121</v>
      </c>
      <c r="D1695" s="213" t="n">
        <v>130</v>
      </c>
      <c r="E1695" s="211"/>
    </row>
    <row r="1696" customFormat="false" ht="15" hidden="false" customHeight="false" outlineLevel="0" collapsed="false">
      <c r="A1696" s="20" t="n">
        <v>9</v>
      </c>
      <c r="B1696" s="210"/>
      <c r="C1696" s="162" t="s">
        <v>118</v>
      </c>
      <c r="D1696" s="23" t="n">
        <v>111</v>
      </c>
      <c r="E1696" s="210"/>
    </row>
    <row r="1697" customFormat="false" ht="15" hidden="false" customHeight="false" outlineLevel="0" collapsed="false">
      <c r="A1697" s="178" t="n">
        <v>10</v>
      </c>
      <c r="B1697" s="211"/>
      <c r="C1697" s="212" t="s">
        <v>942</v>
      </c>
      <c r="D1697" s="213" t="n">
        <v>106</v>
      </c>
      <c r="E1697" s="211"/>
    </row>
    <row r="1698" customFormat="false" ht="15" hidden="false" customHeight="false" outlineLevel="0" collapsed="false">
      <c r="A1698" s="20" t="n">
        <v>11</v>
      </c>
      <c r="B1698" s="210"/>
      <c r="C1698" s="162" t="s">
        <v>940</v>
      </c>
      <c r="D1698" s="23" t="n">
        <v>59</v>
      </c>
      <c r="E1698" s="210"/>
    </row>
    <row r="1699" customFormat="false" ht="15" hidden="false" customHeight="false" outlineLevel="0" collapsed="false">
      <c r="A1699" s="178" t="n">
        <v>12</v>
      </c>
      <c r="B1699" s="211"/>
      <c r="C1699" s="212" t="s">
        <v>937</v>
      </c>
      <c r="D1699" s="213" t="n">
        <v>55</v>
      </c>
      <c r="E1699" s="211"/>
    </row>
    <row r="1700" customFormat="false" ht="15" hidden="false" customHeight="false" outlineLevel="0" collapsed="false">
      <c r="A1700" s="20" t="n">
        <v>13</v>
      </c>
      <c r="B1700" s="210"/>
      <c r="C1700" s="162" t="s">
        <v>97</v>
      </c>
      <c r="D1700" s="23" t="n">
        <v>36</v>
      </c>
      <c r="E1700" s="210"/>
    </row>
    <row r="1701" customFormat="false" ht="15" hidden="false" customHeight="false" outlineLevel="0" collapsed="false">
      <c r="A1701" s="178" t="n">
        <v>14</v>
      </c>
      <c r="B1701" s="211"/>
      <c r="C1701" s="212" t="s">
        <v>1096</v>
      </c>
      <c r="D1701" s="213" t="n">
        <v>36</v>
      </c>
      <c r="E1701" s="211"/>
    </row>
    <row r="1702" customFormat="false" ht="15" hidden="false" customHeight="false" outlineLevel="0" collapsed="false">
      <c r="A1702" s="20" t="n">
        <v>15</v>
      </c>
      <c r="B1702" s="210"/>
      <c r="C1702" s="162" t="s">
        <v>957</v>
      </c>
      <c r="D1702" s="23" t="n">
        <v>32</v>
      </c>
      <c r="E1702" s="210"/>
    </row>
    <row r="1703" customFormat="false" ht="15" hidden="false" customHeight="false" outlineLevel="0" collapsed="false">
      <c r="A1703" s="178" t="n">
        <v>16</v>
      </c>
      <c r="B1703" s="211"/>
      <c r="C1703" s="212" t="s">
        <v>953</v>
      </c>
      <c r="D1703" s="213" t="n">
        <v>32</v>
      </c>
      <c r="E1703" s="211"/>
    </row>
    <row r="1704" customFormat="false" ht="15" hidden="false" customHeight="false" outlineLevel="0" collapsed="false">
      <c r="A1704" s="20" t="n">
        <v>17</v>
      </c>
      <c r="B1704" s="210"/>
      <c r="C1704" s="162" t="s">
        <v>939</v>
      </c>
      <c r="D1704" s="23" t="n">
        <v>26</v>
      </c>
      <c r="E1704" s="210"/>
    </row>
    <row r="1705" customFormat="false" ht="15" hidden="false" customHeight="false" outlineLevel="0" collapsed="false">
      <c r="A1705" s="178" t="n">
        <v>18</v>
      </c>
      <c r="B1705" s="211"/>
      <c r="C1705" s="212" t="s">
        <v>938</v>
      </c>
      <c r="D1705" s="213" t="n">
        <v>22</v>
      </c>
      <c r="E1705" s="211"/>
    </row>
    <row r="1706" customFormat="false" ht="15" hidden="false" customHeight="false" outlineLevel="0" collapsed="false">
      <c r="A1706" s="20" t="n">
        <v>19</v>
      </c>
      <c r="B1706" s="210"/>
      <c r="C1706" s="162" t="s">
        <v>965</v>
      </c>
      <c r="D1706" s="23" t="n">
        <v>19</v>
      </c>
      <c r="E1706" s="210"/>
    </row>
    <row r="1707" customFormat="false" ht="15" hidden="false" customHeight="false" outlineLevel="0" collapsed="false">
      <c r="A1707" s="178" t="n">
        <v>20</v>
      </c>
      <c r="B1707" s="211"/>
      <c r="C1707" s="212" t="s">
        <v>1054</v>
      </c>
      <c r="D1707" s="213" t="n">
        <v>16</v>
      </c>
      <c r="E1707" s="211"/>
    </row>
    <row r="1708" customFormat="false" ht="15" hidden="false" customHeight="false" outlineLevel="0" collapsed="false">
      <c r="A1708" s="20" t="n">
        <v>21</v>
      </c>
      <c r="B1708" s="210"/>
      <c r="C1708" s="162" t="s">
        <v>966</v>
      </c>
      <c r="D1708" s="23" t="n">
        <v>13</v>
      </c>
      <c r="E1708" s="210"/>
    </row>
    <row r="1709" customFormat="false" ht="15" hidden="false" customHeight="false" outlineLevel="0" collapsed="false">
      <c r="A1709" s="178" t="n">
        <v>22</v>
      </c>
      <c r="B1709" s="211"/>
      <c r="C1709" s="212" t="s">
        <v>108</v>
      </c>
      <c r="D1709" s="213" t="n">
        <v>11</v>
      </c>
      <c r="E1709" s="211"/>
    </row>
    <row r="1710" customFormat="false" ht="15" hidden="false" customHeight="false" outlineLevel="0" collapsed="false">
      <c r="A1710" s="20" t="n">
        <v>23</v>
      </c>
      <c r="B1710" s="210"/>
      <c r="C1710" s="162" t="s">
        <v>132</v>
      </c>
      <c r="D1710" s="23" t="n">
        <v>11</v>
      </c>
      <c r="E1710" s="210"/>
    </row>
    <row r="1711" customFormat="false" ht="15" hidden="false" customHeight="false" outlineLevel="0" collapsed="false">
      <c r="A1711" s="178" t="n">
        <v>24</v>
      </c>
      <c r="B1711" s="211"/>
      <c r="C1711" s="212" t="s">
        <v>941</v>
      </c>
      <c r="D1711" s="213" t="n">
        <v>8</v>
      </c>
      <c r="E1711" s="211"/>
    </row>
    <row r="1712" customFormat="false" ht="15" hidden="false" customHeight="false" outlineLevel="0" collapsed="false">
      <c r="A1712" s="20" t="n">
        <v>25</v>
      </c>
      <c r="B1712" s="210"/>
      <c r="C1712" s="162" t="s">
        <v>954</v>
      </c>
      <c r="D1712" s="23" t="n">
        <v>8</v>
      </c>
      <c r="E1712" s="210"/>
    </row>
    <row r="1713" customFormat="false" ht="15" hidden="false" customHeight="false" outlineLevel="0" collapsed="false">
      <c r="A1713" s="178" t="n">
        <v>26</v>
      </c>
      <c r="B1713" s="211"/>
      <c r="C1713" s="212" t="s">
        <v>74</v>
      </c>
      <c r="D1713" s="213" t="n">
        <v>8</v>
      </c>
      <c r="E1713" s="211"/>
    </row>
    <row r="1714" customFormat="false" ht="15" hidden="false" customHeight="false" outlineLevel="0" collapsed="false">
      <c r="A1714" s="20" t="n">
        <v>27</v>
      </c>
      <c r="B1714" s="210"/>
      <c r="C1714" s="162" t="s">
        <v>1141</v>
      </c>
      <c r="D1714" s="23" t="n">
        <v>8</v>
      </c>
      <c r="E1714" s="210"/>
    </row>
    <row r="1715" customFormat="false" ht="15" hidden="false" customHeight="false" outlineLevel="0" collapsed="false">
      <c r="A1715" s="178" t="n">
        <v>28</v>
      </c>
      <c r="B1715" s="211"/>
      <c r="C1715" s="212" t="s">
        <v>88</v>
      </c>
      <c r="D1715" s="213" t="n">
        <v>8</v>
      </c>
      <c r="E1715" s="211"/>
    </row>
    <row r="1716" customFormat="false" ht="15" hidden="false" customHeight="false" outlineLevel="0" collapsed="false">
      <c r="A1716" s="20" t="n">
        <v>29</v>
      </c>
      <c r="B1716" s="210"/>
      <c r="C1716" s="162" t="s">
        <v>63</v>
      </c>
      <c r="D1716" s="23" t="n">
        <v>5</v>
      </c>
      <c r="E1716" s="210"/>
    </row>
    <row r="1717" customFormat="false" ht="15" hidden="false" customHeight="false" outlineLevel="0" collapsed="false">
      <c r="A1717" s="178" t="n">
        <v>30</v>
      </c>
      <c r="B1717" s="211"/>
      <c r="C1717" s="212" t="s">
        <v>93</v>
      </c>
      <c r="D1717" s="213" t="n">
        <v>4</v>
      </c>
      <c r="E1717" s="211"/>
    </row>
    <row r="1718" customFormat="false" ht="15" hidden="false" customHeight="false" outlineLevel="0" collapsed="false">
      <c r="A1718" s="20" t="n">
        <v>31</v>
      </c>
      <c r="B1718" s="210"/>
      <c r="C1718" s="162" t="s">
        <v>107</v>
      </c>
      <c r="D1718" s="23" t="n">
        <v>4</v>
      </c>
      <c r="E1718" s="210"/>
    </row>
    <row r="1719" customFormat="false" ht="15" hidden="false" customHeight="false" outlineLevel="0" collapsed="false">
      <c r="A1719" s="178" t="n">
        <v>32</v>
      </c>
      <c r="B1719" s="211"/>
      <c r="C1719" s="212" t="s">
        <v>86</v>
      </c>
      <c r="D1719" s="213" t="n">
        <v>4</v>
      </c>
      <c r="E1719" s="211"/>
    </row>
    <row r="1720" customFormat="false" ht="15" hidden="false" customHeight="false" outlineLevel="0" collapsed="false">
      <c r="A1720" s="20" t="n">
        <v>33</v>
      </c>
      <c r="B1720" s="210"/>
      <c r="C1720" s="162" t="s">
        <v>100</v>
      </c>
      <c r="D1720" s="23" t="n">
        <v>4</v>
      </c>
      <c r="E1720" s="210"/>
    </row>
    <row r="1721" customFormat="false" ht="15" hidden="false" customHeight="false" outlineLevel="0" collapsed="false">
      <c r="A1721" s="178" t="n">
        <v>34</v>
      </c>
      <c r="B1721" s="211"/>
      <c r="C1721" s="212" t="s">
        <v>62</v>
      </c>
      <c r="D1721" s="213" t="n">
        <v>3</v>
      </c>
      <c r="E1721" s="211"/>
    </row>
    <row r="1722" customFormat="false" ht="15" hidden="false" customHeight="false" outlineLevel="0" collapsed="false">
      <c r="A1722" s="20" t="n">
        <v>35</v>
      </c>
      <c r="B1722" s="210"/>
      <c r="C1722" s="162" t="s">
        <v>973</v>
      </c>
      <c r="D1722" s="23" t="n">
        <v>1</v>
      </c>
      <c r="E1722" s="210"/>
    </row>
    <row r="1723" customFormat="false" ht="15" hidden="false" customHeight="false" outlineLevel="0" collapsed="false">
      <c r="A1723" s="178" t="n">
        <v>36</v>
      </c>
      <c r="B1723" s="211"/>
      <c r="C1723" s="212" t="s">
        <v>974</v>
      </c>
      <c r="D1723" s="213" t="n">
        <v>1</v>
      </c>
      <c r="E1723" s="211"/>
    </row>
    <row r="1724" customFormat="false" ht="15" hidden="false" customHeight="false" outlineLevel="0" collapsed="false">
      <c r="A1724" s="20" t="n">
        <v>37</v>
      </c>
      <c r="B1724" s="210"/>
      <c r="C1724" s="162" t="s">
        <v>114</v>
      </c>
      <c r="D1724" s="23" t="n">
        <v>1</v>
      </c>
      <c r="E1724" s="210"/>
    </row>
    <row r="1725" customFormat="false" ht="15" hidden="false" customHeight="false" outlineLevel="0" collapsed="false">
      <c r="A1725" s="218" t="s">
        <v>1178</v>
      </c>
      <c r="B1725" s="218"/>
      <c r="C1725" s="218"/>
      <c r="D1725" s="219" t="n">
        <v>8482</v>
      </c>
      <c r="E1725" s="220"/>
    </row>
    <row r="1727" customFormat="false" ht="37.5" hidden="false" customHeight="true" outlineLevel="0" collapsed="false">
      <c r="A1727" s="206" t="s">
        <v>1179</v>
      </c>
      <c r="B1727" s="206"/>
      <c r="C1727" s="206"/>
      <c r="D1727" s="206"/>
      <c r="E1727" s="206"/>
    </row>
    <row r="1728" customFormat="false" ht="15" hidden="false" customHeight="false" outlineLevel="0" collapsed="false">
      <c r="A1728" s="207" t="s">
        <v>1180</v>
      </c>
      <c r="B1728" s="207"/>
      <c r="C1728" s="207"/>
      <c r="D1728" s="207"/>
      <c r="E1728" s="207"/>
    </row>
    <row r="1729" customFormat="false" ht="14.15" hidden="false" customHeight="false" outlineLevel="0" collapsed="false">
      <c r="A1729" s="208" t="s">
        <v>1181</v>
      </c>
      <c r="B1729" s="208"/>
      <c r="C1729" s="208"/>
      <c r="D1729" s="208"/>
      <c r="E1729" s="208"/>
    </row>
    <row r="1730" customFormat="false" ht="15" hidden="false" customHeight="false" outlineLevel="0" collapsed="false">
      <c r="A1730" s="182" t="s">
        <v>46</v>
      </c>
      <c r="B1730" s="182"/>
      <c r="C1730" s="209" t="s">
        <v>932</v>
      </c>
      <c r="D1730" s="209" t="s">
        <v>933</v>
      </c>
      <c r="E1730" s="182"/>
    </row>
    <row r="1731" customFormat="false" ht="15" hidden="false" customHeight="false" outlineLevel="0" collapsed="false">
      <c r="A1731" s="20" t="n">
        <v>1</v>
      </c>
      <c r="B1731" s="210"/>
      <c r="C1731" s="162" t="s">
        <v>934</v>
      </c>
      <c r="D1731" s="23" t="n">
        <v>625</v>
      </c>
      <c r="E1731" s="210"/>
    </row>
    <row r="1732" customFormat="false" ht="15" hidden="false" customHeight="false" outlineLevel="0" collapsed="false">
      <c r="A1732" s="178" t="n">
        <v>2</v>
      </c>
      <c r="B1732" s="211"/>
      <c r="C1732" s="212" t="s">
        <v>935</v>
      </c>
      <c r="D1732" s="213" t="n">
        <v>408</v>
      </c>
      <c r="E1732" s="211"/>
    </row>
    <row r="1733" customFormat="false" ht="15" hidden="false" customHeight="false" outlineLevel="0" collapsed="false">
      <c r="A1733" s="20" t="n">
        <v>3</v>
      </c>
      <c r="B1733" s="210"/>
      <c r="C1733" s="162" t="s">
        <v>99</v>
      </c>
      <c r="D1733" s="23" t="n">
        <v>144</v>
      </c>
      <c r="E1733" s="210"/>
    </row>
    <row r="1734" customFormat="false" ht="15" hidden="false" customHeight="false" outlineLevel="0" collapsed="false">
      <c r="A1734" s="178" t="n">
        <v>4</v>
      </c>
      <c r="B1734" s="211"/>
      <c r="C1734" s="212" t="s">
        <v>1146</v>
      </c>
      <c r="D1734" s="213" t="n">
        <v>59</v>
      </c>
      <c r="E1734" s="211"/>
    </row>
    <row r="1735" customFormat="false" ht="15" hidden="false" customHeight="false" outlineLevel="0" collapsed="false">
      <c r="A1735" s="20" t="n">
        <v>5</v>
      </c>
      <c r="B1735" s="210"/>
      <c r="C1735" s="162" t="s">
        <v>113</v>
      </c>
      <c r="D1735" s="23" t="n">
        <v>47</v>
      </c>
      <c r="E1735" s="210"/>
    </row>
    <row r="1736" customFormat="false" ht="15" hidden="false" customHeight="false" outlineLevel="0" collapsed="false">
      <c r="A1736" s="178" t="n">
        <v>6</v>
      </c>
      <c r="B1736" s="211"/>
      <c r="C1736" s="212" t="s">
        <v>121</v>
      </c>
      <c r="D1736" s="213" t="n">
        <v>20</v>
      </c>
      <c r="E1736" s="211"/>
    </row>
    <row r="1737" customFormat="false" ht="15" hidden="false" customHeight="false" outlineLevel="0" collapsed="false">
      <c r="A1737" s="20" t="n">
        <v>7</v>
      </c>
      <c r="B1737" s="210"/>
      <c r="C1737" s="162" t="s">
        <v>940</v>
      </c>
      <c r="D1737" s="23" t="n">
        <v>19</v>
      </c>
      <c r="E1737" s="210"/>
    </row>
    <row r="1738" customFormat="false" ht="15" hidden="false" customHeight="false" outlineLevel="0" collapsed="false">
      <c r="A1738" s="178" t="n">
        <v>8</v>
      </c>
      <c r="B1738" s="211"/>
      <c r="C1738" s="212" t="s">
        <v>118</v>
      </c>
      <c r="D1738" s="213" t="n">
        <v>17</v>
      </c>
      <c r="E1738" s="211"/>
    </row>
    <row r="1739" customFormat="false" ht="15" hidden="false" customHeight="false" outlineLevel="0" collapsed="false">
      <c r="A1739" s="20" t="n">
        <v>9</v>
      </c>
      <c r="B1739" s="210"/>
      <c r="C1739" s="162" t="s">
        <v>942</v>
      </c>
      <c r="D1739" s="23" t="n">
        <v>16</v>
      </c>
      <c r="E1739" s="210"/>
    </row>
    <row r="1740" customFormat="false" ht="15" hidden="false" customHeight="false" outlineLevel="0" collapsed="false">
      <c r="A1740" s="178" t="n">
        <v>10</v>
      </c>
      <c r="B1740" s="211"/>
      <c r="C1740" s="212" t="s">
        <v>952</v>
      </c>
      <c r="D1740" s="213" t="n">
        <v>13</v>
      </c>
      <c r="E1740" s="211"/>
    </row>
    <row r="1741" customFormat="false" ht="15" hidden="false" customHeight="false" outlineLevel="0" collapsed="false">
      <c r="A1741" s="20" t="n">
        <v>11</v>
      </c>
      <c r="B1741" s="210"/>
      <c r="C1741" s="162" t="s">
        <v>939</v>
      </c>
      <c r="D1741" s="23" t="n">
        <v>9</v>
      </c>
      <c r="E1741" s="210"/>
    </row>
    <row r="1742" customFormat="false" ht="15" hidden="false" customHeight="false" outlineLevel="0" collapsed="false">
      <c r="A1742" s="178" t="n">
        <v>12</v>
      </c>
      <c r="B1742" s="211"/>
      <c r="C1742" s="212" t="s">
        <v>938</v>
      </c>
      <c r="D1742" s="213" t="n">
        <v>7</v>
      </c>
      <c r="E1742" s="211"/>
    </row>
    <row r="1743" customFormat="false" ht="15" hidden="false" customHeight="false" outlineLevel="0" collapsed="false">
      <c r="A1743" s="20" t="n">
        <v>13</v>
      </c>
      <c r="B1743" s="210"/>
      <c r="C1743" s="162" t="s">
        <v>108</v>
      </c>
      <c r="D1743" s="23" t="n">
        <v>5</v>
      </c>
      <c r="E1743" s="210"/>
    </row>
    <row r="1744" customFormat="false" ht="15" hidden="false" customHeight="false" outlineLevel="0" collapsed="false">
      <c r="A1744" s="178" t="n">
        <v>14</v>
      </c>
      <c r="B1744" s="211"/>
      <c r="C1744" s="212" t="s">
        <v>941</v>
      </c>
      <c r="D1744" s="213" t="n">
        <v>2</v>
      </c>
      <c r="E1744" s="211"/>
    </row>
    <row r="1745" customFormat="false" ht="15" hidden="false" customHeight="false" outlineLevel="0" collapsed="false">
      <c r="A1745" s="214" t="s">
        <v>1182</v>
      </c>
      <c r="B1745" s="214"/>
      <c r="C1745" s="214"/>
      <c r="D1745" s="215" t="n">
        <v>1391</v>
      </c>
      <c r="E1745" s="216"/>
    </row>
    <row r="1746" customFormat="false" ht="14.15" hidden="false" customHeight="false" outlineLevel="0" collapsed="false">
      <c r="A1746" s="208" t="s">
        <v>1183</v>
      </c>
      <c r="B1746" s="208"/>
      <c r="C1746" s="208"/>
      <c r="D1746" s="208"/>
      <c r="E1746" s="208"/>
    </row>
    <row r="1747" customFormat="false" ht="15" hidden="false" customHeight="false" outlineLevel="0" collapsed="false">
      <c r="A1747" s="182" t="s">
        <v>46</v>
      </c>
      <c r="B1747" s="182"/>
      <c r="C1747" s="209" t="s">
        <v>932</v>
      </c>
      <c r="D1747" s="209" t="s">
        <v>933</v>
      </c>
      <c r="E1747" s="182"/>
    </row>
    <row r="1748" customFormat="false" ht="15" hidden="false" customHeight="false" outlineLevel="0" collapsed="false">
      <c r="A1748" s="20" t="n">
        <v>1</v>
      </c>
      <c r="B1748" s="210"/>
      <c r="C1748" s="162" t="s">
        <v>934</v>
      </c>
      <c r="D1748" s="23" t="n">
        <v>613</v>
      </c>
      <c r="E1748" s="210"/>
    </row>
    <row r="1749" customFormat="false" ht="15" hidden="false" customHeight="false" outlineLevel="0" collapsed="false">
      <c r="A1749" s="178" t="n">
        <v>2</v>
      </c>
      <c r="B1749" s="211"/>
      <c r="C1749" s="212" t="s">
        <v>935</v>
      </c>
      <c r="D1749" s="213" t="n">
        <v>322</v>
      </c>
      <c r="E1749" s="211"/>
    </row>
    <row r="1750" customFormat="false" ht="15" hidden="false" customHeight="false" outlineLevel="0" collapsed="false">
      <c r="A1750" s="20" t="n">
        <v>3</v>
      </c>
      <c r="B1750" s="210"/>
      <c r="C1750" s="162" t="s">
        <v>99</v>
      </c>
      <c r="D1750" s="23" t="n">
        <v>160</v>
      </c>
      <c r="E1750" s="210"/>
    </row>
    <row r="1751" customFormat="false" ht="15" hidden="false" customHeight="false" outlineLevel="0" collapsed="false">
      <c r="A1751" s="178" t="n">
        <v>4</v>
      </c>
      <c r="B1751" s="211"/>
      <c r="C1751" s="212" t="s">
        <v>1146</v>
      </c>
      <c r="D1751" s="213" t="n">
        <v>69</v>
      </c>
      <c r="E1751" s="211"/>
    </row>
    <row r="1752" customFormat="false" ht="15" hidden="false" customHeight="false" outlineLevel="0" collapsed="false">
      <c r="A1752" s="20" t="n">
        <v>5</v>
      </c>
      <c r="B1752" s="210"/>
      <c r="C1752" s="162" t="s">
        <v>936</v>
      </c>
      <c r="D1752" s="23" t="n">
        <v>55</v>
      </c>
      <c r="E1752" s="210"/>
    </row>
    <row r="1753" customFormat="false" ht="15" hidden="false" customHeight="false" outlineLevel="0" collapsed="false">
      <c r="A1753" s="178" t="n">
        <v>6</v>
      </c>
      <c r="B1753" s="211"/>
      <c r="C1753" s="212" t="s">
        <v>113</v>
      </c>
      <c r="D1753" s="213" t="n">
        <v>49</v>
      </c>
      <c r="E1753" s="211"/>
    </row>
    <row r="1754" customFormat="false" ht="15" hidden="false" customHeight="false" outlineLevel="0" collapsed="false">
      <c r="A1754" s="20" t="n">
        <v>7</v>
      </c>
      <c r="B1754" s="210"/>
      <c r="C1754" s="162" t="s">
        <v>937</v>
      </c>
      <c r="D1754" s="23" t="n">
        <v>27</v>
      </c>
      <c r="E1754" s="210"/>
    </row>
    <row r="1755" customFormat="false" ht="15" hidden="false" customHeight="false" outlineLevel="0" collapsed="false">
      <c r="A1755" s="178" t="n">
        <v>8</v>
      </c>
      <c r="B1755" s="211"/>
      <c r="C1755" s="212" t="s">
        <v>118</v>
      </c>
      <c r="D1755" s="213" t="n">
        <v>21</v>
      </c>
      <c r="E1755" s="211"/>
    </row>
    <row r="1756" customFormat="false" ht="15" hidden="false" customHeight="false" outlineLevel="0" collapsed="false">
      <c r="A1756" s="20" t="n">
        <v>9</v>
      </c>
      <c r="B1756" s="210"/>
      <c r="C1756" s="162" t="s">
        <v>121</v>
      </c>
      <c r="D1756" s="23" t="n">
        <v>21</v>
      </c>
      <c r="E1756" s="210"/>
    </row>
    <row r="1757" customFormat="false" ht="15" hidden="false" customHeight="false" outlineLevel="0" collapsed="false">
      <c r="A1757" s="178" t="n">
        <v>10</v>
      </c>
      <c r="B1757" s="211"/>
      <c r="C1757" s="212" t="s">
        <v>938</v>
      </c>
      <c r="D1757" s="213" t="n">
        <v>19</v>
      </c>
      <c r="E1757" s="211"/>
    </row>
    <row r="1758" customFormat="false" ht="15" hidden="false" customHeight="false" outlineLevel="0" collapsed="false">
      <c r="A1758" s="20" t="n">
        <v>11</v>
      </c>
      <c r="B1758" s="210"/>
      <c r="C1758" s="162" t="s">
        <v>939</v>
      </c>
      <c r="D1758" s="23" t="n">
        <v>19</v>
      </c>
      <c r="E1758" s="210"/>
    </row>
    <row r="1759" customFormat="false" ht="15" hidden="false" customHeight="false" outlineLevel="0" collapsed="false">
      <c r="A1759" s="178" t="n">
        <v>12</v>
      </c>
      <c r="B1759" s="211"/>
      <c r="C1759" s="212" t="s">
        <v>942</v>
      </c>
      <c r="D1759" s="213" t="n">
        <v>18</v>
      </c>
      <c r="E1759" s="211"/>
    </row>
    <row r="1760" customFormat="false" ht="15" hidden="false" customHeight="false" outlineLevel="0" collapsed="false">
      <c r="A1760" s="20" t="n">
        <v>13</v>
      </c>
      <c r="B1760" s="210"/>
      <c r="C1760" s="162" t="s">
        <v>952</v>
      </c>
      <c r="D1760" s="23" t="n">
        <v>15</v>
      </c>
      <c r="E1760" s="210"/>
    </row>
    <row r="1761" customFormat="false" ht="15" hidden="false" customHeight="false" outlineLevel="0" collapsed="false">
      <c r="A1761" s="178" t="n">
        <v>14</v>
      </c>
      <c r="B1761" s="211"/>
      <c r="C1761" s="212" t="s">
        <v>940</v>
      </c>
      <c r="D1761" s="213" t="n">
        <v>14</v>
      </c>
      <c r="E1761" s="211"/>
    </row>
    <row r="1762" customFormat="false" ht="15" hidden="false" customHeight="false" outlineLevel="0" collapsed="false">
      <c r="A1762" s="20" t="n">
        <v>15</v>
      </c>
      <c r="B1762" s="210"/>
      <c r="C1762" s="162" t="s">
        <v>941</v>
      </c>
      <c r="D1762" s="23" t="n">
        <v>7</v>
      </c>
      <c r="E1762" s="210"/>
    </row>
    <row r="1763" customFormat="false" ht="15" hidden="false" customHeight="false" outlineLevel="0" collapsed="false">
      <c r="A1763" s="214" t="s">
        <v>1184</v>
      </c>
      <c r="B1763" s="214"/>
      <c r="C1763" s="214"/>
      <c r="D1763" s="215" t="n">
        <v>1429</v>
      </c>
      <c r="E1763" s="216"/>
    </row>
    <row r="1764" customFormat="false" ht="14.15" hidden="false" customHeight="false" outlineLevel="0" collapsed="false">
      <c r="A1764" s="208" t="s">
        <v>1185</v>
      </c>
      <c r="B1764" s="208"/>
      <c r="C1764" s="208"/>
      <c r="D1764" s="208"/>
      <c r="E1764" s="208"/>
    </row>
    <row r="1765" customFormat="false" ht="15" hidden="false" customHeight="false" outlineLevel="0" collapsed="false">
      <c r="A1765" s="182" t="s">
        <v>46</v>
      </c>
      <c r="B1765" s="182"/>
      <c r="C1765" s="209" t="s">
        <v>932</v>
      </c>
      <c r="D1765" s="209" t="s">
        <v>933</v>
      </c>
      <c r="E1765" s="182"/>
    </row>
    <row r="1766" customFormat="false" ht="15" hidden="false" customHeight="false" outlineLevel="0" collapsed="false">
      <c r="A1766" s="20" t="n">
        <v>1</v>
      </c>
      <c r="B1766" s="210"/>
      <c r="C1766" s="162" t="s">
        <v>934</v>
      </c>
      <c r="D1766" s="23" t="n">
        <v>506</v>
      </c>
      <c r="E1766" s="210"/>
    </row>
    <row r="1767" customFormat="false" ht="15" hidden="false" customHeight="false" outlineLevel="0" collapsed="false">
      <c r="A1767" s="178" t="n">
        <v>2</v>
      </c>
      <c r="B1767" s="211"/>
      <c r="C1767" s="212" t="s">
        <v>99</v>
      </c>
      <c r="D1767" s="213" t="n">
        <v>212</v>
      </c>
      <c r="E1767" s="211"/>
    </row>
    <row r="1768" customFormat="false" ht="15" hidden="false" customHeight="false" outlineLevel="0" collapsed="false">
      <c r="A1768" s="20" t="n">
        <v>3</v>
      </c>
      <c r="B1768" s="210"/>
      <c r="C1768" s="162" t="s">
        <v>935</v>
      </c>
      <c r="D1768" s="23" t="n">
        <v>198</v>
      </c>
      <c r="E1768" s="210"/>
    </row>
    <row r="1769" customFormat="false" ht="15" hidden="false" customHeight="false" outlineLevel="0" collapsed="false">
      <c r="A1769" s="178" t="n">
        <v>4</v>
      </c>
      <c r="B1769" s="211"/>
      <c r="C1769" s="212" t="s">
        <v>1146</v>
      </c>
      <c r="D1769" s="213" t="n">
        <v>99</v>
      </c>
      <c r="E1769" s="211"/>
    </row>
    <row r="1770" customFormat="false" ht="15" hidden="false" customHeight="false" outlineLevel="0" collapsed="false">
      <c r="A1770" s="20" t="n">
        <v>5</v>
      </c>
      <c r="B1770" s="210"/>
      <c r="C1770" s="162" t="s">
        <v>113</v>
      </c>
      <c r="D1770" s="23" t="n">
        <v>61</v>
      </c>
      <c r="E1770" s="210"/>
    </row>
    <row r="1771" customFormat="false" ht="15" hidden="false" customHeight="false" outlineLevel="0" collapsed="false">
      <c r="A1771" s="178" t="n">
        <v>6</v>
      </c>
      <c r="B1771" s="211"/>
      <c r="C1771" s="212" t="s">
        <v>118</v>
      </c>
      <c r="D1771" s="213" t="n">
        <v>23</v>
      </c>
      <c r="E1771" s="211"/>
    </row>
    <row r="1772" customFormat="false" ht="15" hidden="false" customHeight="false" outlineLevel="0" collapsed="false">
      <c r="A1772" s="20" t="n">
        <v>7</v>
      </c>
      <c r="B1772" s="210"/>
      <c r="C1772" s="162" t="s">
        <v>121</v>
      </c>
      <c r="D1772" s="23" t="n">
        <v>23</v>
      </c>
      <c r="E1772" s="210"/>
    </row>
    <row r="1773" customFormat="false" ht="15" hidden="false" customHeight="false" outlineLevel="0" collapsed="false">
      <c r="A1773" s="178" t="n">
        <v>8</v>
      </c>
      <c r="B1773" s="211"/>
      <c r="C1773" s="212" t="s">
        <v>952</v>
      </c>
      <c r="D1773" s="213" t="n">
        <v>22</v>
      </c>
      <c r="E1773" s="211"/>
    </row>
    <row r="1774" customFormat="false" ht="15" hidden="false" customHeight="false" outlineLevel="0" collapsed="false">
      <c r="A1774" s="20" t="n">
        <v>9</v>
      </c>
      <c r="B1774" s="210"/>
      <c r="C1774" s="162" t="s">
        <v>942</v>
      </c>
      <c r="D1774" s="23" t="n">
        <v>22</v>
      </c>
      <c r="E1774" s="210"/>
    </row>
    <row r="1775" customFormat="false" ht="15" hidden="false" customHeight="false" outlineLevel="0" collapsed="false">
      <c r="A1775" s="178" t="n">
        <v>10</v>
      </c>
      <c r="B1775" s="211"/>
      <c r="C1775" s="212" t="s">
        <v>940</v>
      </c>
      <c r="D1775" s="213" t="n">
        <v>3</v>
      </c>
      <c r="E1775" s="211"/>
    </row>
    <row r="1776" customFormat="false" ht="15" hidden="false" customHeight="false" outlineLevel="0" collapsed="false">
      <c r="A1776" s="214" t="s">
        <v>1186</v>
      </c>
      <c r="B1776" s="214"/>
      <c r="C1776" s="214"/>
      <c r="D1776" s="215" t="n">
        <v>1169</v>
      </c>
      <c r="E1776" s="216"/>
    </row>
    <row r="1778" customFormat="false" ht="15" hidden="false" customHeight="false" outlineLevel="0" collapsed="false">
      <c r="A1778" s="217" t="s">
        <v>944</v>
      </c>
      <c r="B1778" s="217"/>
      <c r="C1778" s="217"/>
      <c r="D1778" s="217"/>
      <c r="E1778" s="217"/>
    </row>
    <row r="1779" customFormat="false" ht="15" hidden="false" customHeight="false" outlineLevel="0" collapsed="false">
      <c r="A1779" s="182" t="s">
        <v>46</v>
      </c>
      <c r="B1779" s="182"/>
      <c r="C1779" s="209" t="s">
        <v>932</v>
      </c>
      <c r="D1779" s="209" t="s">
        <v>945</v>
      </c>
      <c r="E1779" s="182"/>
    </row>
    <row r="1780" customFormat="false" ht="15" hidden="false" customHeight="false" outlineLevel="0" collapsed="false">
      <c r="A1780" s="20" t="n">
        <v>1</v>
      </c>
      <c r="B1780" s="210"/>
      <c r="C1780" s="162" t="s">
        <v>934</v>
      </c>
      <c r="D1780" s="23" t="n">
        <v>1744</v>
      </c>
      <c r="E1780" s="210"/>
    </row>
    <row r="1781" customFormat="false" ht="15" hidden="false" customHeight="false" outlineLevel="0" collapsed="false">
      <c r="A1781" s="178" t="n">
        <v>2</v>
      </c>
      <c r="B1781" s="211"/>
      <c r="C1781" s="212" t="s">
        <v>935</v>
      </c>
      <c r="D1781" s="213" t="n">
        <v>928</v>
      </c>
      <c r="E1781" s="211"/>
    </row>
    <row r="1782" customFormat="false" ht="15" hidden="false" customHeight="false" outlineLevel="0" collapsed="false">
      <c r="A1782" s="20" t="n">
        <v>3</v>
      </c>
      <c r="B1782" s="210"/>
      <c r="C1782" s="162" t="s">
        <v>99</v>
      </c>
      <c r="D1782" s="23" t="n">
        <v>516</v>
      </c>
      <c r="E1782" s="210"/>
    </row>
    <row r="1783" customFormat="false" ht="15" hidden="false" customHeight="false" outlineLevel="0" collapsed="false">
      <c r="A1783" s="178" t="n">
        <v>4</v>
      </c>
      <c r="B1783" s="211"/>
      <c r="C1783" s="212" t="s">
        <v>1146</v>
      </c>
      <c r="D1783" s="213" t="n">
        <v>227</v>
      </c>
      <c r="E1783" s="211"/>
    </row>
    <row r="1784" customFormat="false" ht="15" hidden="false" customHeight="false" outlineLevel="0" collapsed="false">
      <c r="A1784" s="20" t="n">
        <v>5</v>
      </c>
      <c r="B1784" s="210"/>
      <c r="C1784" s="162" t="s">
        <v>113</v>
      </c>
      <c r="D1784" s="23" t="n">
        <v>157</v>
      </c>
      <c r="E1784" s="210"/>
    </row>
    <row r="1785" customFormat="false" ht="15" hidden="false" customHeight="false" outlineLevel="0" collapsed="false">
      <c r="A1785" s="178" t="n">
        <v>6</v>
      </c>
      <c r="B1785" s="211"/>
      <c r="C1785" s="212" t="s">
        <v>121</v>
      </c>
      <c r="D1785" s="213" t="n">
        <v>64</v>
      </c>
      <c r="E1785" s="211"/>
    </row>
    <row r="1786" customFormat="false" ht="15" hidden="false" customHeight="false" outlineLevel="0" collapsed="false">
      <c r="A1786" s="20" t="n">
        <v>7</v>
      </c>
      <c r="B1786" s="210"/>
      <c r="C1786" s="162" t="s">
        <v>118</v>
      </c>
      <c r="D1786" s="23" t="n">
        <v>61</v>
      </c>
      <c r="E1786" s="210"/>
    </row>
    <row r="1787" customFormat="false" ht="15" hidden="false" customHeight="false" outlineLevel="0" collapsed="false">
      <c r="A1787" s="178" t="n">
        <v>8</v>
      </c>
      <c r="B1787" s="211"/>
      <c r="C1787" s="212" t="s">
        <v>942</v>
      </c>
      <c r="D1787" s="213" t="n">
        <v>56</v>
      </c>
      <c r="E1787" s="211"/>
    </row>
    <row r="1788" customFormat="false" ht="15" hidden="false" customHeight="false" outlineLevel="0" collapsed="false">
      <c r="A1788" s="20" t="n">
        <v>9</v>
      </c>
      <c r="B1788" s="210"/>
      <c r="C1788" s="162" t="s">
        <v>936</v>
      </c>
      <c r="D1788" s="23" t="n">
        <v>55</v>
      </c>
      <c r="E1788" s="210"/>
    </row>
    <row r="1789" customFormat="false" ht="15" hidden="false" customHeight="false" outlineLevel="0" collapsed="false">
      <c r="A1789" s="178" t="n">
        <v>10</v>
      </c>
      <c r="B1789" s="211"/>
      <c r="C1789" s="212" t="s">
        <v>952</v>
      </c>
      <c r="D1789" s="213" t="n">
        <v>50</v>
      </c>
      <c r="E1789" s="211"/>
    </row>
    <row r="1790" customFormat="false" ht="15" hidden="false" customHeight="false" outlineLevel="0" collapsed="false">
      <c r="A1790" s="20" t="n">
        <v>11</v>
      </c>
      <c r="B1790" s="210"/>
      <c r="C1790" s="162" t="s">
        <v>940</v>
      </c>
      <c r="D1790" s="23" t="n">
        <v>36</v>
      </c>
      <c r="E1790" s="210"/>
    </row>
    <row r="1791" customFormat="false" ht="15" hidden="false" customHeight="false" outlineLevel="0" collapsed="false">
      <c r="A1791" s="178" t="n">
        <v>12</v>
      </c>
      <c r="B1791" s="211"/>
      <c r="C1791" s="212" t="s">
        <v>939</v>
      </c>
      <c r="D1791" s="213" t="n">
        <v>28</v>
      </c>
      <c r="E1791" s="211"/>
    </row>
    <row r="1792" customFormat="false" ht="15" hidden="false" customHeight="false" outlineLevel="0" collapsed="false">
      <c r="A1792" s="20" t="n">
        <v>13</v>
      </c>
      <c r="B1792" s="210"/>
      <c r="C1792" s="162" t="s">
        <v>937</v>
      </c>
      <c r="D1792" s="23" t="n">
        <v>27</v>
      </c>
      <c r="E1792" s="210"/>
    </row>
    <row r="1793" customFormat="false" ht="15" hidden="false" customHeight="false" outlineLevel="0" collapsed="false">
      <c r="A1793" s="178" t="n">
        <v>14</v>
      </c>
      <c r="B1793" s="211"/>
      <c r="C1793" s="212" t="s">
        <v>938</v>
      </c>
      <c r="D1793" s="213" t="n">
        <v>26</v>
      </c>
      <c r="E1793" s="211"/>
    </row>
    <row r="1794" customFormat="false" ht="15" hidden="false" customHeight="false" outlineLevel="0" collapsed="false">
      <c r="A1794" s="20" t="n">
        <v>15</v>
      </c>
      <c r="B1794" s="210"/>
      <c r="C1794" s="162" t="s">
        <v>941</v>
      </c>
      <c r="D1794" s="23" t="n">
        <v>9</v>
      </c>
      <c r="E1794" s="210"/>
    </row>
    <row r="1795" customFormat="false" ht="15" hidden="false" customHeight="false" outlineLevel="0" collapsed="false">
      <c r="A1795" s="178" t="n">
        <v>16</v>
      </c>
      <c r="B1795" s="211"/>
      <c r="C1795" s="212" t="s">
        <v>108</v>
      </c>
      <c r="D1795" s="213" t="n">
        <v>5</v>
      </c>
      <c r="E1795" s="211"/>
    </row>
    <row r="1796" customFormat="false" ht="15" hidden="false" customHeight="false" outlineLevel="0" collapsed="false">
      <c r="A1796" s="218" t="s">
        <v>1187</v>
      </c>
      <c r="B1796" s="218"/>
      <c r="C1796" s="218"/>
      <c r="D1796" s="219" t="n">
        <v>3989</v>
      </c>
      <c r="E1796" s="220"/>
    </row>
    <row r="1798" customFormat="false" ht="37.5" hidden="false" customHeight="true" outlineLevel="0" collapsed="false">
      <c r="A1798" s="206" t="s">
        <v>1188</v>
      </c>
      <c r="B1798" s="206"/>
      <c r="C1798" s="206"/>
      <c r="D1798" s="206"/>
      <c r="E1798" s="206"/>
    </row>
    <row r="1799" customFormat="false" ht="15" hidden="false" customHeight="false" outlineLevel="0" collapsed="false">
      <c r="A1799" s="207" t="s">
        <v>1189</v>
      </c>
      <c r="B1799" s="207"/>
      <c r="C1799" s="207"/>
      <c r="D1799" s="207"/>
      <c r="E1799" s="207"/>
    </row>
    <row r="1800" customFormat="false" ht="14.15" hidden="false" customHeight="false" outlineLevel="0" collapsed="false">
      <c r="A1800" s="208" t="s">
        <v>1190</v>
      </c>
      <c r="B1800" s="208"/>
      <c r="C1800" s="208"/>
      <c r="D1800" s="208"/>
      <c r="E1800" s="208"/>
    </row>
    <row r="1801" customFormat="false" ht="15" hidden="false" customHeight="false" outlineLevel="0" collapsed="false">
      <c r="A1801" s="182" t="s">
        <v>46</v>
      </c>
      <c r="B1801" s="182"/>
      <c r="C1801" s="209" t="s">
        <v>932</v>
      </c>
      <c r="D1801" s="209" t="s">
        <v>933</v>
      </c>
      <c r="E1801" s="182"/>
    </row>
    <row r="1802" customFormat="false" ht="15" hidden="false" customHeight="false" outlineLevel="0" collapsed="false">
      <c r="A1802" s="20" t="n">
        <v>1</v>
      </c>
      <c r="B1802" s="210"/>
      <c r="C1802" s="162" t="s">
        <v>934</v>
      </c>
      <c r="D1802" s="23" t="n">
        <v>604</v>
      </c>
      <c r="E1802" s="210"/>
    </row>
    <row r="1803" customFormat="false" ht="15" hidden="false" customHeight="false" outlineLevel="0" collapsed="false">
      <c r="A1803" s="178" t="n">
        <v>2</v>
      </c>
      <c r="B1803" s="211"/>
      <c r="C1803" s="212" t="s">
        <v>935</v>
      </c>
      <c r="D1803" s="213" t="n">
        <v>290</v>
      </c>
      <c r="E1803" s="211"/>
    </row>
    <row r="1804" customFormat="false" ht="15" hidden="false" customHeight="false" outlineLevel="0" collapsed="false">
      <c r="A1804" s="20" t="n">
        <v>3</v>
      </c>
      <c r="B1804" s="210"/>
      <c r="C1804" s="162" t="s">
        <v>99</v>
      </c>
      <c r="D1804" s="23" t="n">
        <v>217</v>
      </c>
      <c r="E1804" s="210"/>
    </row>
    <row r="1805" customFormat="false" ht="15" hidden="false" customHeight="false" outlineLevel="0" collapsed="false">
      <c r="A1805" s="178" t="n">
        <v>4</v>
      </c>
      <c r="B1805" s="211"/>
      <c r="C1805" s="212" t="s">
        <v>1146</v>
      </c>
      <c r="D1805" s="213" t="n">
        <v>99</v>
      </c>
      <c r="E1805" s="211"/>
    </row>
    <row r="1806" customFormat="false" ht="15" hidden="false" customHeight="false" outlineLevel="0" collapsed="false">
      <c r="A1806" s="20" t="n">
        <v>5</v>
      </c>
      <c r="B1806" s="210"/>
      <c r="C1806" s="162" t="s">
        <v>113</v>
      </c>
      <c r="D1806" s="23" t="n">
        <v>60</v>
      </c>
      <c r="E1806" s="210"/>
    </row>
    <row r="1807" customFormat="false" ht="15" hidden="false" customHeight="false" outlineLevel="0" collapsed="false">
      <c r="A1807" s="178" t="n">
        <v>6</v>
      </c>
      <c r="B1807" s="211"/>
      <c r="C1807" s="212" t="s">
        <v>118</v>
      </c>
      <c r="D1807" s="213" t="n">
        <v>25</v>
      </c>
      <c r="E1807" s="211"/>
    </row>
    <row r="1808" customFormat="false" ht="15" hidden="false" customHeight="false" outlineLevel="0" collapsed="false">
      <c r="A1808" s="20" t="n">
        <v>7</v>
      </c>
      <c r="B1808" s="210"/>
      <c r="C1808" s="162" t="s">
        <v>121</v>
      </c>
      <c r="D1808" s="23" t="n">
        <v>25</v>
      </c>
      <c r="E1808" s="210"/>
    </row>
    <row r="1809" customFormat="false" ht="15" hidden="false" customHeight="false" outlineLevel="0" collapsed="false">
      <c r="A1809" s="178" t="n">
        <v>8</v>
      </c>
      <c r="B1809" s="211"/>
      <c r="C1809" s="212" t="s">
        <v>942</v>
      </c>
      <c r="D1809" s="213" t="n">
        <v>23</v>
      </c>
      <c r="E1809" s="211"/>
    </row>
    <row r="1810" customFormat="false" ht="15" hidden="false" customHeight="false" outlineLevel="0" collapsed="false">
      <c r="A1810" s="20" t="n">
        <v>9</v>
      </c>
      <c r="B1810" s="210"/>
      <c r="C1810" s="162" t="s">
        <v>952</v>
      </c>
      <c r="D1810" s="23" t="n">
        <v>22</v>
      </c>
      <c r="E1810" s="210"/>
    </row>
    <row r="1811" customFormat="false" ht="15" hidden="false" customHeight="false" outlineLevel="0" collapsed="false">
      <c r="A1811" s="178" t="n">
        <v>10</v>
      </c>
      <c r="B1811" s="211"/>
      <c r="C1811" s="212" t="s">
        <v>939</v>
      </c>
      <c r="D1811" s="213" t="n">
        <v>9</v>
      </c>
      <c r="E1811" s="211"/>
    </row>
    <row r="1812" customFormat="false" ht="15" hidden="false" customHeight="false" outlineLevel="0" collapsed="false">
      <c r="A1812" s="20" t="n">
        <v>11</v>
      </c>
      <c r="B1812" s="210"/>
      <c r="C1812" s="162" t="s">
        <v>940</v>
      </c>
      <c r="D1812" s="23" t="n">
        <v>8</v>
      </c>
      <c r="E1812" s="210"/>
    </row>
    <row r="1813" customFormat="false" ht="15" hidden="false" customHeight="false" outlineLevel="0" collapsed="false">
      <c r="A1813" s="178" t="n">
        <v>12</v>
      </c>
      <c r="B1813" s="211"/>
      <c r="C1813" s="212" t="s">
        <v>938</v>
      </c>
      <c r="D1813" s="213" t="n">
        <v>7</v>
      </c>
      <c r="E1813" s="211"/>
    </row>
    <row r="1814" customFormat="false" ht="15" hidden="false" customHeight="false" outlineLevel="0" collapsed="false">
      <c r="A1814" s="20" t="n">
        <v>13</v>
      </c>
      <c r="B1814" s="210"/>
      <c r="C1814" s="162" t="s">
        <v>941</v>
      </c>
      <c r="D1814" s="23" t="n">
        <v>2</v>
      </c>
      <c r="E1814" s="210"/>
    </row>
    <row r="1815" customFormat="false" ht="15" hidden="false" customHeight="false" outlineLevel="0" collapsed="false">
      <c r="A1815" s="214" t="s">
        <v>1191</v>
      </c>
      <c r="B1815" s="214"/>
      <c r="C1815" s="214"/>
      <c r="D1815" s="215" t="n">
        <v>1391</v>
      </c>
      <c r="E1815" s="216"/>
    </row>
    <row r="1816" customFormat="false" ht="14.15" hidden="false" customHeight="false" outlineLevel="0" collapsed="false">
      <c r="A1816" s="208" t="s">
        <v>1192</v>
      </c>
      <c r="B1816" s="208"/>
      <c r="C1816" s="208"/>
      <c r="D1816" s="208"/>
      <c r="E1816" s="208"/>
    </row>
    <row r="1817" customFormat="false" ht="15" hidden="false" customHeight="false" outlineLevel="0" collapsed="false">
      <c r="A1817" s="182" t="s">
        <v>46</v>
      </c>
      <c r="B1817" s="182"/>
      <c r="C1817" s="209" t="s">
        <v>932</v>
      </c>
      <c r="D1817" s="209" t="s">
        <v>933</v>
      </c>
      <c r="E1817" s="182"/>
    </row>
    <row r="1818" customFormat="false" ht="15" hidden="false" customHeight="false" outlineLevel="0" collapsed="false">
      <c r="A1818" s="20" t="n">
        <v>1</v>
      </c>
      <c r="B1818" s="210"/>
      <c r="C1818" s="162" t="s">
        <v>934</v>
      </c>
      <c r="D1818" s="23" t="n">
        <v>570</v>
      </c>
      <c r="E1818" s="210"/>
    </row>
    <row r="1819" customFormat="false" ht="15" hidden="false" customHeight="false" outlineLevel="0" collapsed="false">
      <c r="A1819" s="178" t="n">
        <v>2</v>
      </c>
      <c r="B1819" s="211"/>
      <c r="C1819" s="212" t="s">
        <v>99</v>
      </c>
      <c r="D1819" s="213" t="n">
        <v>218</v>
      </c>
      <c r="E1819" s="211"/>
    </row>
    <row r="1820" customFormat="false" ht="15" hidden="false" customHeight="false" outlineLevel="0" collapsed="false">
      <c r="A1820" s="20" t="n">
        <v>3</v>
      </c>
      <c r="B1820" s="210"/>
      <c r="C1820" s="162" t="s">
        <v>935</v>
      </c>
      <c r="D1820" s="23" t="n">
        <v>198</v>
      </c>
      <c r="E1820" s="210"/>
    </row>
    <row r="1821" customFormat="false" ht="15" hidden="false" customHeight="false" outlineLevel="0" collapsed="false">
      <c r="A1821" s="178" t="n">
        <v>4</v>
      </c>
      <c r="B1821" s="211"/>
      <c r="C1821" s="212" t="s">
        <v>113</v>
      </c>
      <c r="D1821" s="213" t="n">
        <v>113</v>
      </c>
      <c r="E1821" s="211"/>
    </row>
    <row r="1822" customFormat="false" ht="15" hidden="false" customHeight="false" outlineLevel="0" collapsed="false">
      <c r="A1822" s="20" t="n">
        <v>5</v>
      </c>
      <c r="B1822" s="210"/>
      <c r="C1822" s="162" t="s">
        <v>1146</v>
      </c>
      <c r="D1822" s="23" t="n">
        <v>99</v>
      </c>
      <c r="E1822" s="210"/>
    </row>
    <row r="1823" customFormat="false" ht="15" hidden="false" customHeight="false" outlineLevel="0" collapsed="false">
      <c r="A1823" s="178" t="n">
        <v>6</v>
      </c>
      <c r="B1823" s="211"/>
      <c r="C1823" s="212" t="s">
        <v>118</v>
      </c>
      <c r="D1823" s="213" t="n">
        <v>25</v>
      </c>
      <c r="E1823" s="211"/>
    </row>
    <row r="1824" customFormat="false" ht="15" hidden="false" customHeight="false" outlineLevel="0" collapsed="false">
      <c r="A1824" s="20" t="n">
        <v>7</v>
      </c>
      <c r="B1824" s="210"/>
      <c r="C1824" s="162" t="s">
        <v>121</v>
      </c>
      <c r="D1824" s="23" t="n">
        <v>25</v>
      </c>
      <c r="E1824" s="210"/>
    </row>
    <row r="1825" customFormat="false" ht="15" hidden="false" customHeight="false" outlineLevel="0" collapsed="false">
      <c r="A1825" s="178" t="n">
        <v>8</v>
      </c>
      <c r="B1825" s="211"/>
      <c r="C1825" s="212" t="s">
        <v>952</v>
      </c>
      <c r="D1825" s="213" t="n">
        <v>22</v>
      </c>
      <c r="E1825" s="211"/>
    </row>
    <row r="1826" customFormat="false" ht="15" hidden="false" customHeight="false" outlineLevel="0" collapsed="false">
      <c r="A1826" s="20" t="n">
        <v>9</v>
      </c>
      <c r="B1826" s="210"/>
      <c r="C1826" s="162" t="s">
        <v>942</v>
      </c>
      <c r="D1826" s="23" t="n">
        <v>22</v>
      </c>
      <c r="E1826" s="210"/>
    </row>
    <row r="1827" customFormat="false" ht="15" hidden="false" customHeight="false" outlineLevel="0" collapsed="false">
      <c r="A1827" s="178" t="n">
        <v>10</v>
      </c>
      <c r="B1827" s="211"/>
      <c r="C1827" s="212" t="s">
        <v>940</v>
      </c>
      <c r="D1827" s="213" t="n">
        <v>9</v>
      </c>
      <c r="E1827" s="211"/>
    </row>
    <row r="1828" customFormat="false" ht="15" hidden="false" customHeight="false" outlineLevel="0" collapsed="false">
      <c r="A1828" s="20" t="n">
        <v>11</v>
      </c>
      <c r="B1828" s="210"/>
      <c r="C1828" s="162" t="s">
        <v>938</v>
      </c>
      <c r="D1828" s="23" t="n">
        <v>6</v>
      </c>
      <c r="E1828" s="210"/>
    </row>
    <row r="1829" customFormat="false" ht="15" hidden="false" customHeight="false" outlineLevel="0" collapsed="false">
      <c r="A1829" s="178" t="n">
        <v>12</v>
      </c>
      <c r="B1829" s="211"/>
      <c r="C1829" s="212" t="s">
        <v>939</v>
      </c>
      <c r="D1829" s="213" t="n">
        <v>2</v>
      </c>
      <c r="E1829" s="211"/>
    </row>
    <row r="1830" customFormat="false" ht="15" hidden="false" customHeight="false" outlineLevel="0" collapsed="false">
      <c r="A1830" s="214" t="s">
        <v>1193</v>
      </c>
      <c r="B1830" s="214"/>
      <c r="C1830" s="214"/>
      <c r="D1830" s="215" t="n">
        <v>1309</v>
      </c>
      <c r="E1830" s="216"/>
    </row>
    <row r="1832" customFormat="false" ht="15" hidden="false" customHeight="false" outlineLevel="0" collapsed="false">
      <c r="A1832" s="217" t="s">
        <v>944</v>
      </c>
      <c r="B1832" s="217"/>
      <c r="C1832" s="217"/>
      <c r="D1832" s="217"/>
      <c r="E1832" s="217"/>
    </row>
    <row r="1833" customFormat="false" ht="15" hidden="false" customHeight="false" outlineLevel="0" collapsed="false">
      <c r="A1833" s="182" t="s">
        <v>46</v>
      </c>
      <c r="B1833" s="182"/>
      <c r="C1833" s="209" t="s">
        <v>932</v>
      </c>
      <c r="D1833" s="209" t="s">
        <v>945</v>
      </c>
      <c r="E1833" s="182"/>
    </row>
    <row r="1834" customFormat="false" ht="15" hidden="false" customHeight="false" outlineLevel="0" collapsed="false">
      <c r="A1834" s="20" t="n">
        <v>1</v>
      </c>
      <c r="B1834" s="210"/>
      <c r="C1834" s="162" t="s">
        <v>934</v>
      </c>
      <c r="D1834" s="23" t="n">
        <v>1174</v>
      </c>
      <c r="E1834" s="210"/>
    </row>
    <row r="1835" customFormat="false" ht="15" hidden="false" customHeight="false" outlineLevel="0" collapsed="false">
      <c r="A1835" s="178" t="n">
        <v>2</v>
      </c>
      <c r="B1835" s="211"/>
      <c r="C1835" s="212" t="s">
        <v>935</v>
      </c>
      <c r="D1835" s="213" t="n">
        <v>488</v>
      </c>
      <c r="E1835" s="211"/>
    </row>
    <row r="1836" customFormat="false" ht="15" hidden="false" customHeight="false" outlineLevel="0" collapsed="false">
      <c r="A1836" s="20" t="n">
        <v>3</v>
      </c>
      <c r="B1836" s="210"/>
      <c r="C1836" s="162" t="s">
        <v>99</v>
      </c>
      <c r="D1836" s="23" t="n">
        <v>435</v>
      </c>
      <c r="E1836" s="210"/>
    </row>
    <row r="1837" customFormat="false" ht="15" hidden="false" customHeight="false" outlineLevel="0" collapsed="false">
      <c r="A1837" s="178" t="n">
        <v>4</v>
      </c>
      <c r="B1837" s="211"/>
      <c r="C1837" s="212" t="s">
        <v>1146</v>
      </c>
      <c r="D1837" s="213" t="n">
        <v>198</v>
      </c>
      <c r="E1837" s="211"/>
    </row>
    <row r="1838" customFormat="false" ht="15" hidden="false" customHeight="false" outlineLevel="0" collapsed="false">
      <c r="A1838" s="20" t="n">
        <v>5</v>
      </c>
      <c r="B1838" s="210"/>
      <c r="C1838" s="162" t="s">
        <v>113</v>
      </c>
      <c r="D1838" s="23" t="n">
        <v>173</v>
      </c>
      <c r="E1838" s="210"/>
    </row>
    <row r="1839" customFormat="false" ht="15" hidden="false" customHeight="false" outlineLevel="0" collapsed="false">
      <c r="A1839" s="178" t="n">
        <v>6</v>
      </c>
      <c r="B1839" s="211"/>
      <c r="C1839" s="212" t="s">
        <v>118</v>
      </c>
      <c r="D1839" s="213" t="n">
        <v>50</v>
      </c>
      <c r="E1839" s="211"/>
    </row>
    <row r="1840" customFormat="false" ht="15" hidden="false" customHeight="false" outlineLevel="0" collapsed="false">
      <c r="A1840" s="20" t="n">
        <v>7</v>
      </c>
      <c r="B1840" s="210"/>
      <c r="C1840" s="162" t="s">
        <v>121</v>
      </c>
      <c r="D1840" s="23" t="n">
        <v>50</v>
      </c>
      <c r="E1840" s="210"/>
    </row>
    <row r="1841" customFormat="false" ht="15" hidden="false" customHeight="false" outlineLevel="0" collapsed="false">
      <c r="A1841" s="178" t="n">
        <v>8</v>
      </c>
      <c r="B1841" s="211"/>
      <c r="C1841" s="212" t="s">
        <v>942</v>
      </c>
      <c r="D1841" s="213" t="n">
        <v>45</v>
      </c>
      <c r="E1841" s="211"/>
    </row>
    <row r="1842" customFormat="false" ht="15" hidden="false" customHeight="false" outlineLevel="0" collapsed="false">
      <c r="A1842" s="20" t="n">
        <v>9</v>
      </c>
      <c r="B1842" s="210"/>
      <c r="C1842" s="162" t="s">
        <v>952</v>
      </c>
      <c r="D1842" s="23" t="n">
        <v>44</v>
      </c>
      <c r="E1842" s="210"/>
    </row>
    <row r="1843" customFormat="false" ht="15" hidden="false" customHeight="false" outlineLevel="0" collapsed="false">
      <c r="A1843" s="178" t="n">
        <v>10</v>
      </c>
      <c r="B1843" s="211"/>
      <c r="C1843" s="212" t="s">
        <v>940</v>
      </c>
      <c r="D1843" s="213" t="n">
        <v>17</v>
      </c>
      <c r="E1843" s="211"/>
    </row>
    <row r="1844" customFormat="false" ht="15" hidden="false" customHeight="false" outlineLevel="0" collapsed="false">
      <c r="A1844" s="20" t="n">
        <v>11</v>
      </c>
      <c r="B1844" s="210"/>
      <c r="C1844" s="162" t="s">
        <v>938</v>
      </c>
      <c r="D1844" s="23" t="n">
        <v>13</v>
      </c>
      <c r="E1844" s="210"/>
    </row>
    <row r="1845" customFormat="false" ht="15" hidden="false" customHeight="false" outlineLevel="0" collapsed="false">
      <c r="A1845" s="178" t="n">
        <v>12</v>
      </c>
      <c r="B1845" s="211"/>
      <c r="C1845" s="212" t="s">
        <v>939</v>
      </c>
      <c r="D1845" s="213" t="n">
        <v>11</v>
      </c>
      <c r="E1845" s="211"/>
    </row>
    <row r="1846" customFormat="false" ht="15" hidden="false" customHeight="false" outlineLevel="0" collapsed="false">
      <c r="A1846" s="20" t="n">
        <v>13</v>
      </c>
      <c r="B1846" s="210"/>
      <c r="C1846" s="162" t="s">
        <v>941</v>
      </c>
      <c r="D1846" s="23" t="n">
        <v>2</v>
      </c>
      <c r="E1846" s="210"/>
    </row>
    <row r="1847" customFormat="false" ht="15" hidden="false" customHeight="false" outlineLevel="0" collapsed="false">
      <c r="A1847" s="218" t="s">
        <v>1194</v>
      </c>
      <c r="B1847" s="218"/>
      <c r="C1847" s="218"/>
      <c r="D1847" s="219" t="n">
        <v>2700</v>
      </c>
      <c r="E1847" s="220"/>
    </row>
    <row r="1849" customFormat="false" ht="37.5" hidden="false" customHeight="true" outlineLevel="0" collapsed="false">
      <c r="A1849" s="206" t="s">
        <v>1195</v>
      </c>
      <c r="B1849" s="206"/>
      <c r="C1849" s="206"/>
      <c r="D1849" s="206"/>
      <c r="E1849" s="206"/>
    </row>
    <row r="1850" customFormat="false" ht="15" hidden="false" customHeight="false" outlineLevel="0" collapsed="false">
      <c r="A1850" s="207" t="s">
        <v>1196</v>
      </c>
      <c r="B1850" s="207"/>
      <c r="C1850" s="207"/>
      <c r="D1850" s="207"/>
      <c r="E1850" s="207"/>
    </row>
    <row r="1851" customFormat="false" ht="14.15" hidden="false" customHeight="false" outlineLevel="0" collapsed="false">
      <c r="A1851" s="208" t="s">
        <v>1197</v>
      </c>
      <c r="B1851" s="208"/>
      <c r="C1851" s="208"/>
      <c r="D1851" s="208"/>
      <c r="E1851" s="208"/>
    </row>
    <row r="1852" customFormat="false" ht="15" hidden="false" customHeight="false" outlineLevel="0" collapsed="false">
      <c r="A1852" s="182" t="s">
        <v>46</v>
      </c>
      <c r="B1852" s="182"/>
      <c r="C1852" s="209" t="s">
        <v>932</v>
      </c>
      <c r="D1852" s="209" t="s">
        <v>933</v>
      </c>
      <c r="E1852" s="182"/>
    </row>
    <row r="1853" customFormat="false" ht="15" hidden="false" customHeight="false" outlineLevel="0" collapsed="false">
      <c r="A1853" s="20" t="n">
        <v>1</v>
      </c>
      <c r="B1853" s="210"/>
      <c r="C1853" s="162" t="s">
        <v>934</v>
      </c>
      <c r="D1853" s="23" t="n">
        <v>635</v>
      </c>
      <c r="E1853" s="210"/>
    </row>
    <row r="1854" customFormat="false" ht="15" hidden="false" customHeight="false" outlineLevel="0" collapsed="false">
      <c r="A1854" s="178" t="n">
        <v>2</v>
      </c>
      <c r="B1854" s="211"/>
      <c r="C1854" s="212" t="s">
        <v>935</v>
      </c>
      <c r="D1854" s="213" t="n">
        <v>286</v>
      </c>
      <c r="E1854" s="211"/>
    </row>
    <row r="1855" customFormat="false" ht="15" hidden="false" customHeight="false" outlineLevel="0" collapsed="false">
      <c r="A1855" s="20" t="n">
        <v>3</v>
      </c>
      <c r="B1855" s="210"/>
      <c r="C1855" s="162" t="s">
        <v>99</v>
      </c>
      <c r="D1855" s="23" t="n">
        <v>221</v>
      </c>
      <c r="E1855" s="210"/>
    </row>
    <row r="1856" customFormat="false" ht="15" hidden="false" customHeight="false" outlineLevel="0" collapsed="false">
      <c r="A1856" s="178" t="n">
        <v>4</v>
      </c>
      <c r="B1856" s="211"/>
      <c r="C1856" s="212" t="s">
        <v>1146</v>
      </c>
      <c r="D1856" s="213" t="n">
        <v>99</v>
      </c>
      <c r="E1856" s="211"/>
    </row>
    <row r="1857" customFormat="false" ht="15" hidden="false" customHeight="false" outlineLevel="0" collapsed="false">
      <c r="A1857" s="20" t="n">
        <v>5</v>
      </c>
      <c r="B1857" s="210"/>
      <c r="C1857" s="162" t="s">
        <v>113</v>
      </c>
      <c r="D1857" s="23" t="n">
        <v>86</v>
      </c>
      <c r="E1857" s="210"/>
    </row>
    <row r="1858" customFormat="false" ht="15" hidden="false" customHeight="false" outlineLevel="0" collapsed="false">
      <c r="A1858" s="178" t="n">
        <v>6</v>
      </c>
      <c r="B1858" s="211"/>
      <c r="C1858" s="212" t="s">
        <v>121</v>
      </c>
      <c r="D1858" s="213" t="n">
        <v>25</v>
      </c>
      <c r="E1858" s="211"/>
    </row>
    <row r="1859" customFormat="false" ht="15" hidden="false" customHeight="false" outlineLevel="0" collapsed="false">
      <c r="A1859" s="20" t="n">
        <v>7</v>
      </c>
      <c r="B1859" s="210"/>
      <c r="C1859" s="162" t="s">
        <v>942</v>
      </c>
      <c r="D1859" s="23" t="n">
        <v>24</v>
      </c>
      <c r="E1859" s="210"/>
    </row>
    <row r="1860" customFormat="false" ht="15" hidden="false" customHeight="false" outlineLevel="0" collapsed="false">
      <c r="A1860" s="178" t="n">
        <v>8</v>
      </c>
      <c r="B1860" s="211"/>
      <c r="C1860" s="212" t="s">
        <v>118</v>
      </c>
      <c r="D1860" s="213" t="n">
        <v>23</v>
      </c>
      <c r="E1860" s="211"/>
    </row>
    <row r="1861" customFormat="false" ht="15" hidden="false" customHeight="false" outlineLevel="0" collapsed="false">
      <c r="A1861" s="20" t="n">
        <v>9</v>
      </c>
      <c r="B1861" s="210"/>
      <c r="C1861" s="162" t="s">
        <v>952</v>
      </c>
      <c r="D1861" s="23" t="n">
        <v>22</v>
      </c>
      <c r="E1861" s="210"/>
    </row>
    <row r="1862" customFormat="false" ht="15" hidden="false" customHeight="false" outlineLevel="0" collapsed="false">
      <c r="A1862" s="178" t="n">
        <v>10</v>
      </c>
      <c r="B1862" s="211"/>
      <c r="C1862" s="212" t="s">
        <v>940</v>
      </c>
      <c r="D1862" s="213" t="n">
        <v>12</v>
      </c>
      <c r="E1862" s="211"/>
    </row>
    <row r="1863" customFormat="false" ht="15" hidden="false" customHeight="false" outlineLevel="0" collapsed="false">
      <c r="A1863" s="20" t="n">
        <v>11</v>
      </c>
      <c r="B1863" s="210"/>
      <c r="C1863" s="162" t="s">
        <v>965</v>
      </c>
      <c r="D1863" s="23" t="n">
        <v>9</v>
      </c>
      <c r="E1863" s="210"/>
    </row>
    <row r="1864" customFormat="false" ht="15" hidden="false" customHeight="false" outlineLevel="0" collapsed="false">
      <c r="A1864" s="178" t="n">
        <v>12</v>
      </c>
      <c r="B1864" s="211"/>
      <c r="C1864" s="212" t="s">
        <v>108</v>
      </c>
      <c r="D1864" s="213" t="n">
        <v>7</v>
      </c>
      <c r="E1864" s="211"/>
    </row>
    <row r="1865" customFormat="false" ht="15" hidden="false" customHeight="false" outlineLevel="0" collapsed="false">
      <c r="A1865" s="20" t="n">
        <v>13</v>
      </c>
      <c r="B1865" s="210"/>
      <c r="C1865" s="162" t="s">
        <v>966</v>
      </c>
      <c r="D1865" s="23" t="n">
        <v>7</v>
      </c>
      <c r="E1865" s="210"/>
    </row>
    <row r="1866" customFormat="false" ht="15" hidden="false" customHeight="false" outlineLevel="0" collapsed="false">
      <c r="A1866" s="178" t="n">
        <v>14</v>
      </c>
      <c r="B1866" s="211"/>
      <c r="C1866" s="212" t="s">
        <v>939</v>
      </c>
      <c r="D1866" s="213" t="n">
        <v>4</v>
      </c>
      <c r="E1866" s="211"/>
    </row>
    <row r="1867" customFormat="false" ht="15" hidden="false" customHeight="false" outlineLevel="0" collapsed="false">
      <c r="A1867" s="20" t="n">
        <v>15</v>
      </c>
      <c r="B1867" s="210"/>
      <c r="C1867" s="162" t="s">
        <v>93</v>
      </c>
      <c r="D1867" s="23" t="n">
        <v>2</v>
      </c>
      <c r="E1867" s="210"/>
    </row>
    <row r="1868" customFormat="false" ht="15" hidden="false" customHeight="false" outlineLevel="0" collapsed="false">
      <c r="A1868" s="214" t="s">
        <v>1198</v>
      </c>
      <c r="B1868" s="214"/>
      <c r="C1868" s="214"/>
      <c r="D1868" s="215" t="n">
        <v>1462</v>
      </c>
      <c r="E1868" s="216"/>
    </row>
    <row r="1869" customFormat="false" ht="14.15" hidden="false" customHeight="false" outlineLevel="0" collapsed="false">
      <c r="A1869" s="208" t="s">
        <v>1199</v>
      </c>
      <c r="B1869" s="208"/>
      <c r="C1869" s="208"/>
      <c r="D1869" s="208"/>
      <c r="E1869" s="208"/>
    </row>
    <row r="1870" customFormat="false" ht="15" hidden="false" customHeight="false" outlineLevel="0" collapsed="false">
      <c r="A1870" s="182" t="s">
        <v>46</v>
      </c>
      <c r="B1870" s="182"/>
      <c r="C1870" s="209" t="s">
        <v>932</v>
      </c>
      <c r="D1870" s="209" t="s">
        <v>933</v>
      </c>
      <c r="E1870" s="182"/>
    </row>
    <row r="1871" customFormat="false" ht="15" hidden="false" customHeight="false" outlineLevel="0" collapsed="false">
      <c r="A1871" s="20" t="n">
        <v>1</v>
      </c>
      <c r="B1871" s="210"/>
      <c r="C1871" s="162" t="s">
        <v>934</v>
      </c>
      <c r="D1871" s="23" t="n">
        <v>504</v>
      </c>
      <c r="E1871" s="210"/>
    </row>
    <row r="1872" customFormat="false" ht="15" hidden="false" customHeight="false" outlineLevel="0" collapsed="false">
      <c r="A1872" s="178" t="n">
        <v>2</v>
      </c>
      <c r="B1872" s="211"/>
      <c r="C1872" s="212" t="s">
        <v>99</v>
      </c>
      <c r="D1872" s="213" t="n">
        <v>212</v>
      </c>
      <c r="E1872" s="211"/>
    </row>
    <row r="1873" customFormat="false" ht="15" hidden="false" customHeight="false" outlineLevel="0" collapsed="false">
      <c r="A1873" s="20" t="n">
        <v>3</v>
      </c>
      <c r="B1873" s="210"/>
      <c r="C1873" s="162" t="s">
        <v>935</v>
      </c>
      <c r="D1873" s="23" t="n">
        <v>198</v>
      </c>
      <c r="E1873" s="210"/>
    </row>
    <row r="1874" customFormat="false" ht="15" hidden="false" customHeight="false" outlineLevel="0" collapsed="false">
      <c r="A1874" s="178" t="n">
        <v>4</v>
      </c>
      <c r="B1874" s="211"/>
      <c r="C1874" s="212" t="s">
        <v>1146</v>
      </c>
      <c r="D1874" s="213" t="n">
        <v>99</v>
      </c>
      <c r="E1874" s="211"/>
    </row>
    <row r="1875" customFormat="false" ht="15" hidden="false" customHeight="false" outlineLevel="0" collapsed="false">
      <c r="A1875" s="20" t="n">
        <v>5</v>
      </c>
      <c r="B1875" s="210"/>
      <c r="C1875" s="162" t="s">
        <v>113</v>
      </c>
      <c r="D1875" s="23" t="n">
        <v>46</v>
      </c>
      <c r="E1875" s="210"/>
    </row>
    <row r="1876" customFormat="false" ht="15" hidden="false" customHeight="false" outlineLevel="0" collapsed="false">
      <c r="A1876" s="178" t="n">
        <v>6</v>
      </c>
      <c r="B1876" s="211"/>
      <c r="C1876" s="212" t="s">
        <v>936</v>
      </c>
      <c r="D1876" s="213" t="n">
        <v>34</v>
      </c>
      <c r="E1876" s="211"/>
    </row>
    <row r="1877" customFormat="false" ht="15" hidden="false" customHeight="false" outlineLevel="0" collapsed="false">
      <c r="A1877" s="20" t="n">
        <v>7</v>
      </c>
      <c r="B1877" s="210"/>
      <c r="C1877" s="162" t="s">
        <v>118</v>
      </c>
      <c r="D1877" s="23" t="n">
        <v>23</v>
      </c>
      <c r="E1877" s="210"/>
    </row>
    <row r="1878" customFormat="false" ht="15" hidden="false" customHeight="false" outlineLevel="0" collapsed="false">
      <c r="A1878" s="178" t="n">
        <v>8</v>
      </c>
      <c r="B1878" s="211"/>
      <c r="C1878" s="212" t="s">
        <v>121</v>
      </c>
      <c r="D1878" s="213" t="n">
        <v>23</v>
      </c>
      <c r="E1878" s="211"/>
    </row>
    <row r="1879" customFormat="false" ht="15" hidden="false" customHeight="false" outlineLevel="0" collapsed="false">
      <c r="A1879" s="20" t="n">
        <v>9</v>
      </c>
      <c r="B1879" s="210"/>
      <c r="C1879" s="162" t="s">
        <v>952</v>
      </c>
      <c r="D1879" s="23" t="n">
        <v>22</v>
      </c>
      <c r="E1879" s="210"/>
    </row>
    <row r="1880" customFormat="false" ht="15" hidden="false" customHeight="false" outlineLevel="0" collapsed="false">
      <c r="A1880" s="178" t="n">
        <v>10</v>
      </c>
      <c r="B1880" s="211"/>
      <c r="C1880" s="212" t="s">
        <v>942</v>
      </c>
      <c r="D1880" s="213" t="n">
        <v>22</v>
      </c>
      <c r="E1880" s="211"/>
    </row>
    <row r="1881" customFormat="false" ht="15" hidden="false" customHeight="false" outlineLevel="0" collapsed="false">
      <c r="A1881" s="20" t="n">
        <v>11</v>
      </c>
      <c r="B1881" s="210"/>
      <c r="C1881" s="162" t="s">
        <v>1054</v>
      </c>
      <c r="D1881" s="23" t="n">
        <v>8</v>
      </c>
      <c r="E1881" s="210"/>
    </row>
    <row r="1882" customFormat="false" ht="15" hidden="false" customHeight="false" outlineLevel="0" collapsed="false">
      <c r="A1882" s="178" t="n">
        <v>12</v>
      </c>
      <c r="B1882" s="211"/>
      <c r="C1882" s="212" t="s">
        <v>937</v>
      </c>
      <c r="D1882" s="213" t="n">
        <v>8</v>
      </c>
      <c r="E1882" s="211"/>
    </row>
    <row r="1883" customFormat="false" ht="15" hidden="false" customHeight="false" outlineLevel="0" collapsed="false">
      <c r="A1883" s="20" t="n">
        <v>13</v>
      </c>
      <c r="B1883" s="210"/>
      <c r="C1883" s="162" t="s">
        <v>938</v>
      </c>
      <c r="D1883" s="23" t="n">
        <v>6</v>
      </c>
      <c r="E1883" s="210"/>
    </row>
    <row r="1884" customFormat="false" ht="15" hidden="false" customHeight="false" outlineLevel="0" collapsed="false">
      <c r="A1884" s="178" t="n">
        <v>14</v>
      </c>
      <c r="B1884" s="211"/>
      <c r="C1884" s="212" t="s">
        <v>940</v>
      </c>
      <c r="D1884" s="213" t="n">
        <v>3</v>
      </c>
      <c r="E1884" s="211"/>
    </row>
    <row r="1885" customFormat="false" ht="15" hidden="false" customHeight="false" outlineLevel="0" collapsed="false">
      <c r="A1885" s="20" t="n">
        <v>15</v>
      </c>
      <c r="B1885" s="210"/>
      <c r="C1885" s="162" t="s">
        <v>941</v>
      </c>
      <c r="D1885" s="23" t="n">
        <v>3</v>
      </c>
      <c r="E1885" s="210"/>
    </row>
    <row r="1886" customFormat="false" ht="15" hidden="false" customHeight="false" outlineLevel="0" collapsed="false">
      <c r="A1886" s="214" t="s">
        <v>1200</v>
      </c>
      <c r="B1886" s="214"/>
      <c r="C1886" s="214"/>
      <c r="D1886" s="215" t="n">
        <v>1211</v>
      </c>
      <c r="E1886" s="216"/>
    </row>
    <row r="1887" customFormat="false" ht="14.15" hidden="false" customHeight="false" outlineLevel="0" collapsed="false">
      <c r="A1887" s="208" t="s">
        <v>1201</v>
      </c>
      <c r="B1887" s="208"/>
      <c r="C1887" s="208"/>
      <c r="D1887" s="208"/>
      <c r="E1887" s="208"/>
    </row>
    <row r="1888" customFormat="false" ht="15" hidden="false" customHeight="false" outlineLevel="0" collapsed="false">
      <c r="A1888" s="182" t="s">
        <v>46</v>
      </c>
      <c r="B1888" s="182"/>
      <c r="C1888" s="209" t="s">
        <v>932</v>
      </c>
      <c r="D1888" s="209" t="s">
        <v>933</v>
      </c>
      <c r="E1888" s="182"/>
    </row>
    <row r="1889" customFormat="false" ht="15" hidden="false" customHeight="false" outlineLevel="0" collapsed="false">
      <c r="A1889" s="20" t="n">
        <v>1</v>
      </c>
      <c r="B1889" s="210"/>
      <c r="C1889" s="162" t="s">
        <v>934</v>
      </c>
      <c r="D1889" s="23" t="n">
        <v>582</v>
      </c>
      <c r="E1889" s="210"/>
    </row>
    <row r="1890" customFormat="false" ht="15" hidden="false" customHeight="false" outlineLevel="0" collapsed="false">
      <c r="A1890" s="178" t="n">
        <v>2</v>
      </c>
      <c r="B1890" s="211"/>
      <c r="C1890" s="212" t="s">
        <v>99</v>
      </c>
      <c r="D1890" s="213" t="n">
        <v>213</v>
      </c>
      <c r="E1890" s="211"/>
    </row>
    <row r="1891" customFormat="false" ht="15" hidden="false" customHeight="false" outlineLevel="0" collapsed="false">
      <c r="A1891" s="20" t="n">
        <v>3</v>
      </c>
      <c r="B1891" s="210"/>
      <c r="C1891" s="162" t="s">
        <v>935</v>
      </c>
      <c r="D1891" s="23" t="n">
        <v>198</v>
      </c>
      <c r="E1891" s="210"/>
    </row>
    <row r="1892" customFormat="false" ht="15" hidden="false" customHeight="false" outlineLevel="0" collapsed="false">
      <c r="A1892" s="178" t="n">
        <v>4</v>
      </c>
      <c r="B1892" s="211"/>
      <c r="C1892" s="212" t="s">
        <v>1146</v>
      </c>
      <c r="D1892" s="213" t="n">
        <v>99</v>
      </c>
      <c r="E1892" s="211"/>
    </row>
    <row r="1893" customFormat="false" ht="15" hidden="false" customHeight="false" outlineLevel="0" collapsed="false">
      <c r="A1893" s="20" t="n">
        <v>5</v>
      </c>
      <c r="B1893" s="210"/>
      <c r="C1893" s="162" t="s">
        <v>113</v>
      </c>
      <c r="D1893" s="23" t="n">
        <v>36</v>
      </c>
      <c r="E1893" s="210"/>
    </row>
    <row r="1894" customFormat="false" ht="15" hidden="false" customHeight="false" outlineLevel="0" collapsed="false">
      <c r="A1894" s="178" t="n">
        <v>6</v>
      </c>
      <c r="B1894" s="211"/>
      <c r="C1894" s="212" t="s">
        <v>118</v>
      </c>
      <c r="D1894" s="213" t="n">
        <v>23</v>
      </c>
      <c r="E1894" s="211"/>
    </row>
    <row r="1895" customFormat="false" ht="15" hidden="false" customHeight="false" outlineLevel="0" collapsed="false">
      <c r="A1895" s="20" t="n">
        <v>7</v>
      </c>
      <c r="B1895" s="210"/>
      <c r="C1895" s="162" t="s">
        <v>121</v>
      </c>
      <c r="D1895" s="23" t="n">
        <v>23</v>
      </c>
      <c r="E1895" s="210"/>
    </row>
    <row r="1896" customFormat="false" ht="15" hidden="false" customHeight="false" outlineLevel="0" collapsed="false">
      <c r="A1896" s="178" t="n">
        <v>8</v>
      </c>
      <c r="B1896" s="211"/>
      <c r="C1896" s="212" t="s">
        <v>952</v>
      </c>
      <c r="D1896" s="213" t="n">
        <v>22</v>
      </c>
      <c r="E1896" s="211"/>
    </row>
    <row r="1897" customFormat="false" ht="15" hidden="false" customHeight="false" outlineLevel="0" collapsed="false">
      <c r="A1897" s="20" t="n">
        <v>9</v>
      </c>
      <c r="B1897" s="210"/>
      <c r="C1897" s="162" t="s">
        <v>942</v>
      </c>
      <c r="D1897" s="23" t="n">
        <v>22</v>
      </c>
      <c r="E1897" s="210"/>
    </row>
    <row r="1898" customFormat="false" ht="15" hidden="false" customHeight="false" outlineLevel="0" collapsed="false">
      <c r="A1898" s="178" t="n">
        <v>10</v>
      </c>
      <c r="B1898" s="211"/>
      <c r="C1898" s="212" t="s">
        <v>936</v>
      </c>
      <c r="D1898" s="213" t="n">
        <v>11</v>
      </c>
      <c r="E1898" s="211"/>
    </row>
    <row r="1899" customFormat="false" ht="15" hidden="false" customHeight="false" outlineLevel="0" collapsed="false">
      <c r="A1899" s="20" t="n">
        <v>11</v>
      </c>
      <c r="B1899" s="210"/>
      <c r="C1899" s="162" t="s">
        <v>940</v>
      </c>
      <c r="D1899" s="23" t="n">
        <v>10</v>
      </c>
      <c r="E1899" s="210"/>
    </row>
    <row r="1900" customFormat="false" ht="15" hidden="false" customHeight="false" outlineLevel="0" collapsed="false">
      <c r="A1900" s="178" t="n">
        <v>12</v>
      </c>
      <c r="B1900" s="211"/>
      <c r="C1900" s="212" t="s">
        <v>88</v>
      </c>
      <c r="D1900" s="213" t="n">
        <v>8</v>
      </c>
      <c r="E1900" s="211"/>
    </row>
    <row r="1901" customFormat="false" ht="15" hidden="false" customHeight="false" outlineLevel="0" collapsed="false">
      <c r="A1901" s="20" t="n">
        <v>13</v>
      </c>
      <c r="B1901" s="210"/>
      <c r="C1901" s="162" t="s">
        <v>97</v>
      </c>
      <c r="D1901" s="23" t="n">
        <v>7</v>
      </c>
      <c r="E1901" s="210"/>
    </row>
    <row r="1902" customFormat="false" ht="15" hidden="false" customHeight="false" outlineLevel="0" collapsed="false">
      <c r="A1902" s="178" t="n">
        <v>14</v>
      </c>
      <c r="B1902" s="211"/>
      <c r="C1902" s="212" t="s">
        <v>1096</v>
      </c>
      <c r="D1902" s="213" t="n">
        <v>7</v>
      </c>
      <c r="E1902" s="211"/>
    </row>
    <row r="1903" customFormat="false" ht="15" hidden="false" customHeight="false" outlineLevel="0" collapsed="false">
      <c r="A1903" s="20" t="n">
        <v>15</v>
      </c>
      <c r="B1903" s="210"/>
      <c r="C1903" s="162" t="s">
        <v>939</v>
      </c>
      <c r="D1903" s="23" t="n">
        <v>4</v>
      </c>
      <c r="E1903" s="210"/>
    </row>
    <row r="1904" customFormat="false" ht="15" hidden="false" customHeight="false" outlineLevel="0" collapsed="false">
      <c r="A1904" s="178" t="n">
        <v>16</v>
      </c>
      <c r="B1904" s="211"/>
      <c r="C1904" s="212" t="s">
        <v>1054</v>
      </c>
      <c r="D1904" s="213" t="n">
        <v>3</v>
      </c>
      <c r="E1904" s="211"/>
    </row>
    <row r="1905" customFormat="false" ht="15" hidden="false" customHeight="false" outlineLevel="0" collapsed="false">
      <c r="A1905" s="20" t="n">
        <v>17</v>
      </c>
      <c r="B1905" s="210"/>
      <c r="C1905" s="162" t="s">
        <v>982</v>
      </c>
      <c r="D1905" s="23" t="n">
        <v>3</v>
      </c>
      <c r="E1905" s="210"/>
    </row>
    <row r="1906" customFormat="false" ht="15" hidden="false" customHeight="false" outlineLevel="0" collapsed="false">
      <c r="A1906" s="178" t="n">
        <v>18</v>
      </c>
      <c r="B1906" s="211"/>
      <c r="C1906" s="212" t="s">
        <v>132</v>
      </c>
      <c r="D1906" s="213" t="n">
        <v>2</v>
      </c>
      <c r="E1906" s="211"/>
    </row>
    <row r="1907" customFormat="false" ht="15" hidden="false" customHeight="false" outlineLevel="0" collapsed="false">
      <c r="A1907" s="20" t="n">
        <v>19</v>
      </c>
      <c r="B1907" s="210"/>
      <c r="C1907" s="162" t="s">
        <v>95</v>
      </c>
      <c r="D1907" s="23" t="n">
        <v>2</v>
      </c>
      <c r="E1907" s="210"/>
    </row>
    <row r="1908" customFormat="false" ht="15" hidden="false" customHeight="false" outlineLevel="0" collapsed="false">
      <c r="A1908" s="178" t="n">
        <v>20</v>
      </c>
      <c r="B1908" s="211"/>
      <c r="C1908" s="212" t="s">
        <v>107</v>
      </c>
      <c r="D1908" s="213" t="n">
        <v>1</v>
      </c>
      <c r="E1908" s="211"/>
    </row>
    <row r="1909" customFormat="false" ht="15" hidden="false" customHeight="false" outlineLevel="0" collapsed="false">
      <c r="A1909" s="20" t="n">
        <v>21</v>
      </c>
      <c r="B1909" s="210"/>
      <c r="C1909" s="162" t="s">
        <v>938</v>
      </c>
      <c r="D1909" s="23" t="n">
        <v>1</v>
      </c>
      <c r="E1909" s="210"/>
    </row>
    <row r="1910" customFormat="false" ht="15" hidden="false" customHeight="false" outlineLevel="0" collapsed="false">
      <c r="A1910" s="178" t="n">
        <v>22</v>
      </c>
      <c r="B1910" s="211"/>
      <c r="C1910" s="212" t="s">
        <v>125</v>
      </c>
      <c r="D1910" s="213" t="n">
        <v>1</v>
      </c>
      <c r="E1910" s="211"/>
    </row>
    <row r="1911" customFormat="false" ht="15" hidden="false" customHeight="false" outlineLevel="0" collapsed="false">
      <c r="A1911" s="20" t="n">
        <v>23</v>
      </c>
      <c r="B1911" s="210"/>
      <c r="C1911" s="162" t="s">
        <v>983</v>
      </c>
      <c r="D1911" s="23" t="n">
        <v>1</v>
      </c>
      <c r="E1911" s="210"/>
    </row>
    <row r="1912" customFormat="false" ht="15" hidden="false" customHeight="false" outlineLevel="0" collapsed="false">
      <c r="A1912" s="214" t="s">
        <v>1202</v>
      </c>
      <c r="B1912" s="214"/>
      <c r="C1912" s="214"/>
      <c r="D1912" s="215" t="n">
        <v>1279</v>
      </c>
      <c r="E1912" s="216"/>
    </row>
    <row r="1913" customFormat="false" ht="14.15" hidden="false" customHeight="false" outlineLevel="0" collapsed="false">
      <c r="A1913" s="208" t="s">
        <v>1203</v>
      </c>
      <c r="B1913" s="208"/>
      <c r="C1913" s="208"/>
      <c r="D1913" s="208"/>
      <c r="E1913" s="208"/>
    </row>
    <row r="1914" customFormat="false" ht="15" hidden="false" customHeight="false" outlineLevel="0" collapsed="false">
      <c r="A1914" s="182" t="s">
        <v>46</v>
      </c>
      <c r="B1914" s="182"/>
      <c r="C1914" s="209" t="s">
        <v>932</v>
      </c>
      <c r="D1914" s="209" t="s">
        <v>933</v>
      </c>
      <c r="E1914" s="182"/>
    </row>
    <row r="1915" customFormat="false" ht="15" hidden="false" customHeight="false" outlineLevel="0" collapsed="false">
      <c r="A1915" s="20" t="n">
        <v>1</v>
      </c>
      <c r="B1915" s="210"/>
      <c r="C1915" s="162" t="s">
        <v>934</v>
      </c>
      <c r="D1915" s="23" t="n">
        <v>546</v>
      </c>
      <c r="E1915" s="210"/>
    </row>
    <row r="1916" customFormat="false" ht="15" hidden="false" customHeight="false" outlineLevel="0" collapsed="false">
      <c r="A1916" s="178" t="n">
        <v>2</v>
      </c>
      <c r="B1916" s="211"/>
      <c r="C1916" s="212" t="s">
        <v>99</v>
      </c>
      <c r="D1916" s="213" t="n">
        <v>214</v>
      </c>
      <c r="E1916" s="211"/>
    </row>
    <row r="1917" customFormat="false" ht="15" hidden="false" customHeight="false" outlineLevel="0" collapsed="false">
      <c r="A1917" s="20" t="n">
        <v>3</v>
      </c>
      <c r="B1917" s="210"/>
      <c r="C1917" s="162" t="s">
        <v>935</v>
      </c>
      <c r="D1917" s="23" t="n">
        <v>198</v>
      </c>
      <c r="E1917" s="210"/>
    </row>
    <row r="1918" customFormat="false" ht="15" hidden="false" customHeight="false" outlineLevel="0" collapsed="false">
      <c r="A1918" s="178" t="n">
        <v>4</v>
      </c>
      <c r="B1918" s="211"/>
      <c r="C1918" s="212" t="s">
        <v>1146</v>
      </c>
      <c r="D1918" s="213" t="n">
        <v>99</v>
      </c>
      <c r="E1918" s="211"/>
    </row>
    <row r="1919" customFormat="false" ht="15" hidden="false" customHeight="false" outlineLevel="0" collapsed="false">
      <c r="A1919" s="20" t="n">
        <v>5</v>
      </c>
      <c r="B1919" s="210"/>
      <c r="C1919" s="162" t="s">
        <v>113</v>
      </c>
      <c r="D1919" s="23" t="n">
        <v>40</v>
      </c>
      <c r="E1919" s="210"/>
    </row>
    <row r="1920" customFormat="false" ht="15" hidden="false" customHeight="false" outlineLevel="0" collapsed="false">
      <c r="A1920" s="178" t="n">
        <v>6</v>
      </c>
      <c r="B1920" s="211"/>
      <c r="C1920" s="212" t="s">
        <v>118</v>
      </c>
      <c r="D1920" s="213" t="n">
        <v>23</v>
      </c>
      <c r="E1920" s="211"/>
    </row>
    <row r="1921" customFormat="false" ht="15" hidden="false" customHeight="false" outlineLevel="0" collapsed="false">
      <c r="A1921" s="20" t="n">
        <v>7</v>
      </c>
      <c r="B1921" s="210"/>
      <c r="C1921" s="162" t="s">
        <v>121</v>
      </c>
      <c r="D1921" s="23" t="n">
        <v>23</v>
      </c>
      <c r="E1921" s="210"/>
    </row>
    <row r="1922" customFormat="false" ht="15" hidden="false" customHeight="false" outlineLevel="0" collapsed="false">
      <c r="A1922" s="178" t="n">
        <v>8</v>
      </c>
      <c r="B1922" s="211"/>
      <c r="C1922" s="212" t="s">
        <v>952</v>
      </c>
      <c r="D1922" s="213" t="n">
        <v>22</v>
      </c>
      <c r="E1922" s="211"/>
    </row>
    <row r="1923" customFormat="false" ht="15" hidden="false" customHeight="false" outlineLevel="0" collapsed="false">
      <c r="A1923" s="20" t="n">
        <v>9</v>
      </c>
      <c r="B1923" s="210"/>
      <c r="C1923" s="162" t="s">
        <v>942</v>
      </c>
      <c r="D1923" s="23" t="n">
        <v>22</v>
      </c>
      <c r="E1923" s="210"/>
    </row>
    <row r="1924" customFormat="false" ht="15" hidden="false" customHeight="false" outlineLevel="0" collapsed="false">
      <c r="A1924" s="178" t="n">
        <v>10</v>
      </c>
      <c r="B1924" s="211"/>
      <c r="C1924" s="212" t="s">
        <v>939</v>
      </c>
      <c r="D1924" s="213" t="n">
        <v>4</v>
      </c>
      <c r="E1924" s="211"/>
    </row>
    <row r="1925" customFormat="false" ht="15" hidden="false" customHeight="false" outlineLevel="0" collapsed="false">
      <c r="A1925" s="20" t="n">
        <v>11</v>
      </c>
      <c r="B1925" s="210"/>
      <c r="C1925" s="162" t="s">
        <v>940</v>
      </c>
      <c r="D1925" s="23" t="n">
        <v>4</v>
      </c>
      <c r="E1925" s="210"/>
    </row>
    <row r="1926" customFormat="false" ht="15" hidden="false" customHeight="false" outlineLevel="0" collapsed="false">
      <c r="A1926" s="178" t="n">
        <v>12</v>
      </c>
      <c r="B1926" s="211"/>
      <c r="C1926" s="212" t="s">
        <v>982</v>
      </c>
      <c r="D1926" s="213" t="n">
        <v>3</v>
      </c>
      <c r="E1926" s="211"/>
    </row>
    <row r="1927" customFormat="false" ht="15" hidden="false" customHeight="false" outlineLevel="0" collapsed="false">
      <c r="A1927" s="20" t="n">
        <v>13</v>
      </c>
      <c r="B1927" s="210"/>
      <c r="C1927" s="162" t="s">
        <v>93</v>
      </c>
      <c r="D1927" s="23" t="n">
        <v>2</v>
      </c>
      <c r="E1927" s="210"/>
    </row>
    <row r="1928" customFormat="false" ht="15" hidden="false" customHeight="false" outlineLevel="0" collapsed="false">
      <c r="A1928" s="178" t="n">
        <v>14</v>
      </c>
      <c r="B1928" s="211"/>
      <c r="C1928" s="212" t="s">
        <v>95</v>
      </c>
      <c r="D1928" s="213" t="n">
        <v>2</v>
      </c>
      <c r="E1928" s="211"/>
    </row>
    <row r="1929" customFormat="false" ht="15" hidden="false" customHeight="false" outlineLevel="0" collapsed="false">
      <c r="A1929" s="20" t="n">
        <v>15</v>
      </c>
      <c r="B1929" s="210"/>
      <c r="C1929" s="162" t="s">
        <v>53</v>
      </c>
      <c r="D1929" s="23" t="n">
        <v>1</v>
      </c>
      <c r="E1929" s="210"/>
    </row>
    <row r="1930" customFormat="false" ht="15" hidden="false" customHeight="false" outlineLevel="0" collapsed="false">
      <c r="A1930" s="178" t="n">
        <v>16</v>
      </c>
      <c r="B1930" s="211"/>
      <c r="C1930" s="212" t="s">
        <v>57</v>
      </c>
      <c r="D1930" s="213" t="n">
        <v>1</v>
      </c>
      <c r="E1930" s="211"/>
    </row>
    <row r="1931" customFormat="false" ht="15" hidden="false" customHeight="false" outlineLevel="0" collapsed="false">
      <c r="A1931" s="20" t="n">
        <v>17</v>
      </c>
      <c r="B1931" s="210"/>
      <c r="C1931" s="162" t="s">
        <v>80</v>
      </c>
      <c r="D1931" s="23" t="n">
        <v>1</v>
      </c>
      <c r="E1931" s="210"/>
    </row>
    <row r="1932" customFormat="false" ht="15" hidden="false" customHeight="false" outlineLevel="0" collapsed="false">
      <c r="A1932" s="178" t="n">
        <v>18</v>
      </c>
      <c r="B1932" s="211"/>
      <c r="C1932" s="212" t="s">
        <v>938</v>
      </c>
      <c r="D1932" s="213" t="n">
        <v>1</v>
      </c>
      <c r="E1932" s="211"/>
    </row>
    <row r="1933" customFormat="false" ht="15" hidden="false" customHeight="false" outlineLevel="0" collapsed="false">
      <c r="A1933" s="20" t="n">
        <v>19</v>
      </c>
      <c r="B1933" s="210"/>
      <c r="C1933" s="162" t="s">
        <v>125</v>
      </c>
      <c r="D1933" s="23" t="n">
        <v>1</v>
      </c>
      <c r="E1933" s="210"/>
    </row>
    <row r="1934" customFormat="false" ht="15" hidden="false" customHeight="false" outlineLevel="0" collapsed="false">
      <c r="A1934" s="178" t="n">
        <v>20</v>
      </c>
      <c r="B1934" s="211"/>
      <c r="C1934" s="212" t="s">
        <v>983</v>
      </c>
      <c r="D1934" s="213" t="n">
        <v>1</v>
      </c>
      <c r="E1934" s="211"/>
    </row>
    <row r="1935" customFormat="false" ht="15" hidden="false" customHeight="false" outlineLevel="0" collapsed="false">
      <c r="A1935" s="214" t="s">
        <v>1204</v>
      </c>
      <c r="B1935" s="214"/>
      <c r="C1935" s="214"/>
      <c r="D1935" s="215" t="n">
        <v>1208</v>
      </c>
      <c r="E1935" s="216"/>
    </row>
    <row r="1936" customFormat="false" ht="14.15" hidden="false" customHeight="false" outlineLevel="0" collapsed="false">
      <c r="A1936" s="208" t="s">
        <v>1205</v>
      </c>
      <c r="B1936" s="208"/>
      <c r="C1936" s="208"/>
      <c r="D1936" s="208"/>
      <c r="E1936" s="208"/>
    </row>
    <row r="1937" customFormat="false" ht="15" hidden="false" customHeight="false" outlineLevel="0" collapsed="false">
      <c r="A1937" s="182" t="s">
        <v>46</v>
      </c>
      <c r="B1937" s="182"/>
      <c r="C1937" s="209" t="s">
        <v>932</v>
      </c>
      <c r="D1937" s="209" t="s">
        <v>933</v>
      </c>
      <c r="E1937" s="182"/>
    </row>
    <row r="1938" customFormat="false" ht="15" hidden="false" customHeight="false" outlineLevel="0" collapsed="false">
      <c r="A1938" s="20" t="n">
        <v>1</v>
      </c>
      <c r="B1938" s="210"/>
      <c r="C1938" s="162" t="s">
        <v>934</v>
      </c>
      <c r="D1938" s="23" t="n">
        <v>568</v>
      </c>
      <c r="E1938" s="210"/>
    </row>
    <row r="1939" customFormat="false" ht="15" hidden="false" customHeight="false" outlineLevel="0" collapsed="false">
      <c r="A1939" s="178" t="n">
        <v>2</v>
      </c>
      <c r="B1939" s="211"/>
      <c r="C1939" s="212" t="s">
        <v>99</v>
      </c>
      <c r="D1939" s="213" t="n">
        <v>218</v>
      </c>
      <c r="E1939" s="211"/>
    </row>
    <row r="1940" customFormat="false" ht="15" hidden="false" customHeight="false" outlineLevel="0" collapsed="false">
      <c r="A1940" s="20" t="n">
        <v>3</v>
      </c>
      <c r="B1940" s="210"/>
      <c r="C1940" s="162" t="s">
        <v>935</v>
      </c>
      <c r="D1940" s="23" t="n">
        <v>198</v>
      </c>
      <c r="E1940" s="210"/>
    </row>
    <row r="1941" customFormat="false" ht="15" hidden="false" customHeight="false" outlineLevel="0" collapsed="false">
      <c r="A1941" s="178" t="n">
        <v>4</v>
      </c>
      <c r="B1941" s="211"/>
      <c r="C1941" s="212" t="s">
        <v>113</v>
      </c>
      <c r="D1941" s="213" t="n">
        <v>111</v>
      </c>
      <c r="E1941" s="211"/>
    </row>
    <row r="1942" customFormat="false" ht="15" hidden="false" customHeight="false" outlineLevel="0" collapsed="false">
      <c r="A1942" s="20" t="n">
        <v>5</v>
      </c>
      <c r="B1942" s="210"/>
      <c r="C1942" s="162" t="s">
        <v>1146</v>
      </c>
      <c r="D1942" s="23" t="n">
        <v>99</v>
      </c>
      <c r="E1942" s="210"/>
    </row>
    <row r="1943" customFormat="false" ht="15" hidden="false" customHeight="false" outlineLevel="0" collapsed="false">
      <c r="A1943" s="178" t="n">
        <v>6</v>
      </c>
      <c r="B1943" s="211"/>
      <c r="C1943" s="212" t="s">
        <v>118</v>
      </c>
      <c r="D1943" s="213" t="n">
        <v>24</v>
      </c>
      <c r="E1943" s="211"/>
    </row>
    <row r="1944" customFormat="false" ht="15" hidden="false" customHeight="false" outlineLevel="0" collapsed="false">
      <c r="A1944" s="20" t="n">
        <v>7</v>
      </c>
      <c r="B1944" s="210"/>
      <c r="C1944" s="162" t="s">
        <v>121</v>
      </c>
      <c r="D1944" s="23" t="n">
        <v>24</v>
      </c>
      <c r="E1944" s="210"/>
    </row>
    <row r="1945" customFormat="false" ht="15" hidden="false" customHeight="false" outlineLevel="0" collapsed="false">
      <c r="A1945" s="178" t="n">
        <v>8</v>
      </c>
      <c r="B1945" s="211"/>
      <c r="C1945" s="212" t="s">
        <v>942</v>
      </c>
      <c r="D1945" s="213" t="n">
        <v>23</v>
      </c>
      <c r="E1945" s="211"/>
    </row>
    <row r="1946" customFormat="false" ht="15" hidden="false" customHeight="false" outlineLevel="0" collapsed="false">
      <c r="A1946" s="20" t="n">
        <v>9</v>
      </c>
      <c r="B1946" s="210"/>
      <c r="C1946" s="162" t="s">
        <v>952</v>
      </c>
      <c r="D1946" s="23" t="n">
        <v>22</v>
      </c>
      <c r="E1946" s="210"/>
    </row>
    <row r="1947" customFormat="false" ht="15" hidden="false" customHeight="false" outlineLevel="0" collapsed="false">
      <c r="A1947" s="178" t="n">
        <v>10</v>
      </c>
      <c r="B1947" s="211"/>
      <c r="C1947" s="212" t="s">
        <v>938</v>
      </c>
      <c r="D1947" s="213" t="n">
        <v>12</v>
      </c>
      <c r="E1947" s="211"/>
    </row>
    <row r="1948" customFormat="false" ht="15" hidden="false" customHeight="false" outlineLevel="0" collapsed="false">
      <c r="A1948" s="20" t="n">
        <v>11</v>
      </c>
      <c r="B1948" s="210"/>
      <c r="C1948" s="162" t="s">
        <v>940</v>
      </c>
      <c r="D1948" s="23" t="n">
        <v>9</v>
      </c>
      <c r="E1948" s="210"/>
    </row>
    <row r="1949" customFormat="false" ht="15" hidden="false" customHeight="false" outlineLevel="0" collapsed="false">
      <c r="A1949" s="178" t="n">
        <v>12</v>
      </c>
      <c r="B1949" s="211"/>
      <c r="C1949" s="212" t="s">
        <v>941</v>
      </c>
      <c r="D1949" s="213" t="n">
        <v>1</v>
      </c>
      <c r="E1949" s="211"/>
    </row>
    <row r="1950" customFormat="false" ht="15" hidden="false" customHeight="false" outlineLevel="0" collapsed="false">
      <c r="A1950" s="214" t="s">
        <v>1206</v>
      </c>
      <c r="B1950" s="214"/>
      <c r="C1950" s="214"/>
      <c r="D1950" s="215" t="n">
        <v>1309</v>
      </c>
      <c r="E1950" s="216"/>
    </row>
    <row r="1952" customFormat="false" ht="15" hidden="false" customHeight="false" outlineLevel="0" collapsed="false">
      <c r="A1952" s="217" t="s">
        <v>944</v>
      </c>
      <c r="B1952" s="217"/>
      <c r="C1952" s="217"/>
      <c r="D1952" s="217"/>
      <c r="E1952" s="217"/>
    </row>
    <row r="1953" customFormat="false" ht="15" hidden="false" customHeight="false" outlineLevel="0" collapsed="false">
      <c r="A1953" s="182" t="s">
        <v>46</v>
      </c>
      <c r="B1953" s="182"/>
      <c r="C1953" s="209" t="s">
        <v>932</v>
      </c>
      <c r="D1953" s="209" t="s">
        <v>945</v>
      </c>
      <c r="E1953" s="182"/>
    </row>
    <row r="1954" customFormat="false" ht="15" hidden="false" customHeight="false" outlineLevel="0" collapsed="false">
      <c r="A1954" s="20" t="n">
        <v>1</v>
      </c>
      <c r="B1954" s="210"/>
      <c r="C1954" s="162" t="s">
        <v>934</v>
      </c>
      <c r="D1954" s="23" t="n">
        <v>2835</v>
      </c>
      <c r="E1954" s="210"/>
    </row>
    <row r="1955" customFormat="false" ht="15" hidden="false" customHeight="false" outlineLevel="0" collapsed="false">
      <c r="A1955" s="178" t="n">
        <v>2</v>
      </c>
      <c r="B1955" s="211"/>
      <c r="C1955" s="212" t="s">
        <v>99</v>
      </c>
      <c r="D1955" s="213" t="n">
        <v>1078</v>
      </c>
      <c r="E1955" s="211"/>
    </row>
    <row r="1956" customFormat="false" ht="15" hidden="false" customHeight="false" outlineLevel="0" collapsed="false">
      <c r="A1956" s="20" t="n">
        <v>3</v>
      </c>
      <c r="B1956" s="210"/>
      <c r="C1956" s="162" t="s">
        <v>935</v>
      </c>
      <c r="D1956" s="23" t="n">
        <v>1078</v>
      </c>
      <c r="E1956" s="210"/>
    </row>
    <row r="1957" customFormat="false" ht="15" hidden="false" customHeight="false" outlineLevel="0" collapsed="false">
      <c r="A1957" s="178" t="n">
        <v>4</v>
      </c>
      <c r="B1957" s="211"/>
      <c r="C1957" s="212" t="s">
        <v>1146</v>
      </c>
      <c r="D1957" s="213" t="n">
        <v>495</v>
      </c>
      <c r="E1957" s="211"/>
    </row>
    <row r="1958" customFormat="false" ht="15" hidden="false" customHeight="false" outlineLevel="0" collapsed="false">
      <c r="A1958" s="20" t="n">
        <v>5</v>
      </c>
      <c r="B1958" s="210"/>
      <c r="C1958" s="162" t="s">
        <v>113</v>
      </c>
      <c r="D1958" s="23" t="n">
        <v>319</v>
      </c>
      <c r="E1958" s="210"/>
    </row>
    <row r="1959" customFormat="false" ht="15" hidden="false" customHeight="false" outlineLevel="0" collapsed="false">
      <c r="A1959" s="178" t="n">
        <v>6</v>
      </c>
      <c r="B1959" s="211"/>
      <c r="C1959" s="212" t="s">
        <v>121</v>
      </c>
      <c r="D1959" s="213" t="n">
        <v>118</v>
      </c>
      <c r="E1959" s="211"/>
    </row>
    <row r="1960" customFormat="false" ht="15" hidden="false" customHeight="false" outlineLevel="0" collapsed="false">
      <c r="A1960" s="20" t="n">
        <v>7</v>
      </c>
      <c r="B1960" s="210"/>
      <c r="C1960" s="162" t="s">
        <v>118</v>
      </c>
      <c r="D1960" s="23" t="n">
        <v>116</v>
      </c>
      <c r="E1960" s="210"/>
    </row>
    <row r="1961" customFormat="false" ht="15" hidden="false" customHeight="false" outlineLevel="0" collapsed="false">
      <c r="A1961" s="178" t="n">
        <v>8</v>
      </c>
      <c r="B1961" s="211"/>
      <c r="C1961" s="212" t="s">
        <v>942</v>
      </c>
      <c r="D1961" s="213" t="n">
        <v>113</v>
      </c>
      <c r="E1961" s="211"/>
    </row>
    <row r="1962" customFormat="false" ht="15" hidden="false" customHeight="false" outlineLevel="0" collapsed="false">
      <c r="A1962" s="20" t="n">
        <v>9</v>
      </c>
      <c r="B1962" s="210"/>
      <c r="C1962" s="162" t="s">
        <v>952</v>
      </c>
      <c r="D1962" s="23" t="n">
        <v>110</v>
      </c>
      <c r="E1962" s="210"/>
    </row>
    <row r="1963" customFormat="false" ht="15" hidden="false" customHeight="false" outlineLevel="0" collapsed="false">
      <c r="A1963" s="178" t="n">
        <v>10</v>
      </c>
      <c r="B1963" s="211"/>
      <c r="C1963" s="212" t="s">
        <v>936</v>
      </c>
      <c r="D1963" s="213" t="n">
        <v>45</v>
      </c>
      <c r="E1963" s="211"/>
    </row>
    <row r="1964" customFormat="false" ht="15" hidden="false" customHeight="false" outlineLevel="0" collapsed="false">
      <c r="A1964" s="20" t="n">
        <v>11</v>
      </c>
      <c r="B1964" s="210"/>
      <c r="C1964" s="162" t="s">
        <v>940</v>
      </c>
      <c r="D1964" s="23" t="n">
        <v>38</v>
      </c>
      <c r="E1964" s="210"/>
    </row>
    <row r="1965" customFormat="false" ht="15" hidden="false" customHeight="false" outlineLevel="0" collapsed="false">
      <c r="A1965" s="178" t="n">
        <v>12</v>
      </c>
      <c r="B1965" s="211"/>
      <c r="C1965" s="212" t="s">
        <v>938</v>
      </c>
      <c r="D1965" s="213" t="n">
        <v>20</v>
      </c>
      <c r="E1965" s="211"/>
    </row>
    <row r="1966" customFormat="false" ht="15" hidden="false" customHeight="false" outlineLevel="0" collapsed="false">
      <c r="A1966" s="20" t="n">
        <v>13</v>
      </c>
      <c r="B1966" s="210"/>
      <c r="C1966" s="162" t="s">
        <v>939</v>
      </c>
      <c r="D1966" s="23" t="n">
        <v>12</v>
      </c>
      <c r="E1966" s="210"/>
    </row>
    <row r="1967" customFormat="false" ht="15" hidden="false" customHeight="false" outlineLevel="0" collapsed="false">
      <c r="A1967" s="178" t="n">
        <v>14</v>
      </c>
      <c r="B1967" s="211"/>
      <c r="C1967" s="212" t="s">
        <v>1054</v>
      </c>
      <c r="D1967" s="213" t="n">
        <v>11</v>
      </c>
      <c r="E1967" s="211"/>
    </row>
    <row r="1968" customFormat="false" ht="15" hidden="false" customHeight="false" outlineLevel="0" collapsed="false">
      <c r="A1968" s="20" t="n">
        <v>15</v>
      </c>
      <c r="B1968" s="210"/>
      <c r="C1968" s="162" t="s">
        <v>965</v>
      </c>
      <c r="D1968" s="23" t="n">
        <v>9</v>
      </c>
      <c r="E1968" s="210"/>
    </row>
    <row r="1969" customFormat="false" ht="15" hidden="false" customHeight="false" outlineLevel="0" collapsed="false">
      <c r="A1969" s="178" t="n">
        <v>16</v>
      </c>
      <c r="B1969" s="211"/>
      <c r="C1969" s="212" t="s">
        <v>937</v>
      </c>
      <c r="D1969" s="213" t="n">
        <v>8</v>
      </c>
      <c r="E1969" s="211"/>
    </row>
    <row r="1970" customFormat="false" ht="15" hidden="false" customHeight="false" outlineLevel="0" collapsed="false">
      <c r="A1970" s="20" t="n">
        <v>17</v>
      </c>
      <c r="B1970" s="210"/>
      <c r="C1970" s="162" t="s">
        <v>88</v>
      </c>
      <c r="D1970" s="23" t="n">
        <v>8</v>
      </c>
      <c r="E1970" s="210"/>
    </row>
    <row r="1971" customFormat="false" ht="15" hidden="false" customHeight="false" outlineLevel="0" collapsed="false">
      <c r="A1971" s="178" t="n">
        <v>18</v>
      </c>
      <c r="B1971" s="211"/>
      <c r="C1971" s="212" t="s">
        <v>108</v>
      </c>
      <c r="D1971" s="213" t="n">
        <v>7</v>
      </c>
      <c r="E1971" s="211"/>
    </row>
    <row r="1972" customFormat="false" ht="15" hidden="false" customHeight="false" outlineLevel="0" collapsed="false">
      <c r="A1972" s="20" t="n">
        <v>19</v>
      </c>
      <c r="B1972" s="210"/>
      <c r="C1972" s="162" t="s">
        <v>966</v>
      </c>
      <c r="D1972" s="23" t="n">
        <v>7</v>
      </c>
      <c r="E1972" s="210"/>
    </row>
    <row r="1973" customFormat="false" ht="15" hidden="false" customHeight="false" outlineLevel="0" collapsed="false">
      <c r="A1973" s="178" t="n">
        <v>20</v>
      </c>
      <c r="B1973" s="211"/>
      <c r="C1973" s="212" t="s">
        <v>97</v>
      </c>
      <c r="D1973" s="213" t="n">
        <v>7</v>
      </c>
      <c r="E1973" s="211"/>
    </row>
    <row r="1974" customFormat="false" ht="15" hidden="false" customHeight="false" outlineLevel="0" collapsed="false">
      <c r="A1974" s="20" t="n">
        <v>21</v>
      </c>
      <c r="B1974" s="210"/>
      <c r="C1974" s="162" t="s">
        <v>1096</v>
      </c>
      <c r="D1974" s="23" t="n">
        <v>7</v>
      </c>
      <c r="E1974" s="210"/>
    </row>
    <row r="1975" customFormat="false" ht="15" hidden="false" customHeight="false" outlineLevel="0" collapsed="false">
      <c r="A1975" s="178" t="n">
        <v>22</v>
      </c>
      <c r="B1975" s="211"/>
      <c r="C1975" s="212" t="s">
        <v>982</v>
      </c>
      <c r="D1975" s="213" t="n">
        <v>6</v>
      </c>
      <c r="E1975" s="211"/>
    </row>
    <row r="1976" customFormat="false" ht="15" hidden="false" customHeight="false" outlineLevel="0" collapsed="false">
      <c r="A1976" s="20" t="n">
        <v>23</v>
      </c>
      <c r="B1976" s="210"/>
      <c r="C1976" s="162" t="s">
        <v>93</v>
      </c>
      <c r="D1976" s="23" t="n">
        <v>4</v>
      </c>
      <c r="E1976" s="210"/>
    </row>
    <row r="1977" customFormat="false" ht="15" hidden="false" customHeight="false" outlineLevel="0" collapsed="false">
      <c r="A1977" s="178" t="n">
        <v>24</v>
      </c>
      <c r="B1977" s="211"/>
      <c r="C1977" s="212" t="s">
        <v>941</v>
      </c>
      <c r="D1977" s="213" t="n">
        <v>4</v>
      </c>
      <c r="E1977" s="211"/>
    </row>
    <row r="1978" customFormat="false" ht="15" hidden="false" customHeight="false" outlineLevel="0" collapsed="false">
      <c r="A1978" s="20" t="n">
        <v>25</v>
      </c>
      <c r="B1978" s="210"/>
      <c r="C1978" s="162" t="s">
        <v>95</v>
      </c>
      <c r="D1978" s="23" t="n">
        <v>4</v>
      </c>
      <c r="E1978" s="210"/>
    </row>
    <row r="1979" customFormat="false" ht="15" hidden="false" customHeight="false" outlineLevel="0" collapsed="false">
      <c r="A1979" s="178" t="n">
        <v>26</v>
      </c>
      <c r="B1979" s="211"/>
      <c r="C1979" s="212" t="s">
        <v>132</v>
      </c>
      <c r="D1979" s="213" t="n">
        <v>2</v>
      </c>
      <c r="E1979" s="211"/>
    </row>
    <row r="1980" customFormat="false" ht="15" hidden="false" customHeight="false" outlineLevel="0" collapsed="false">
      <c r="A1980" s="20" t="n">
        <v>27</v>
      </c>
      <c r="B1980" s="210"/>
      <c r="C1980" s="162" t="s">
        <v>125</v>
      </c>
      <c r="D1980" s="23" t="n">
        <v>2</v>
      </c>
      <c r="E1980" s="210"/>
    </row>
    <row r="1981" customFormat="false" ht="15" hidden="false" customHeight="false" outlineLevel="0" collapsed="false">
      <c r="A1981" s="178" t="n">
        <v>28</v>
      </c>
      <c r="B1981" s="211"/>
      <c r="C1981" s="212" t="s">
        <v>983</v>
      </c>
      <c r="D1981" s="213" t="n">
        <v>2</v>
      </c>
      <c r="E1981" s="211"/>
    </row>
    <row r="1982" customFormat="false" ht="15" hidden="false" customHeight="false" outlineLevel="0" collapsed="false">
      <c r="A1982" s="20" t="n">
        <v>29</v>
      </c>
      <c r="B1982" s="210"/>
      <c r="C1982" s="162" t="s">
        <v>107</v>
      </c>
      <c r="D1982" s="23" t="n">
        <v>1</v>
      </c>
      <c r="E1982" s="210"/>
    </row>
    <row r="1983" customFormat="false" ht="15" hidden="false" customHeight="false" outlineLevel="0" collapsed="false">
      <c r="A1983" s="178" t="n">
        <v>30</v>
      </c>
      <c r="B1983" s="211"/>
      <c r="C1983" s="212" t="s">
        <v>53</v>
      </c>
      <c r="D1983" s="213" t="n">
        <v>1</v>
      </c>
      <c r="E1983" s="211"/>
    </row>
    <row r="1984" customFormat="false" ht="15" hidden="false" customHeight="false" outlineLevel="0" collapsed="false">
      <c r="A1984" s="20" t="n">
        <v>31</v>
      </c>
      <c r="B1984" s="210"/>
      <c r="C1984" s="162" t="s">
        <v>57</v>
      </c>
      <c r="D1984" s="23" t="n">
        <v>1</v>
      </c>
      <c r="E1984" s="210"/>
    </row>
    <row r="1985" customFormat="false" ht="15" hidden="false" customHeight="false" outlineLevel="0" collapsed="false">
      <c r="A1985" s="178" t="n">
        <v>32</v>
      </c>
      <c r="B1985" s="211"/>
      <c r="C1985" s="212" t="s">
        <v>80</v>
      </c>
      <c r="D1985" s="213" t="n">
        <v>1</v>
      </c>
      <c r="E1985" s="211"/>
    </row>
    <row r="1986" customFormat="false" ht="15" hidden="false" customHeight="false" outlineLevel="0" collapsed="false">
      <c r="A1986" s="218" t="s">
        <v>1207</v>
      </c>
      <c r="B1986" s="218"/>
      <c r="C1986" s="218"/>
      <c r="D1986" s="219" t="n">
        <v>6469</v>
      </c>
      <c r="E1986" s="220"/>
    </row>
    <row r="1988" customFormat="false" ht="37.5" hidden="false" customHeight="true" outlineLevel="0" collapsed="false">
      <c r="A1988" s="206" t="s">
        <v>1208</v>
      </c>
      <c r="B1988" s="206"/>
      <c r="C1988" s="206"/>
      <c r="D1988" s="206"/>
      <c r="E1988" s="206"/>
    </row>
    <row r="1989" customFormat="false" ht="15" hidden="false" customHeight="false" outlineLevel="0" collapsed="false">
      <c r="A1989" s="207" t="s">
        <v>1209</v>
      </c>
      <c r="B1989" s="207"/>
      <c r="C1989" s="207"/>
      <c r="D1989" s="207"/>
      <c r="E1989" s="207"/>
    </row>
    <row r="1990" customFormat="false" ht="14.15" hidden="false" customHeight="false" outlineLevel="0" collapsed="false">
      <c r="A1990" s="208" t="s">
        <v>1210</v>
      </c>
      <c r="B1990" s="208"/>
      <c r="C1990" s="208"/>
      <c r="D1990" s="208"/>
      <c r="E1990" s="208"/>
    </row>
    <row r="1991" customFormat="false" ht="15" hidden="false" customHeight="false" outlineLevel="0" collapsed="false">
      <c r="A1991" s="182" t="s">
        <v>46</v>
      </c>
      <c r="B1991" s="182"/>
      <c r="C1991" s="209" t="s">
        <v>932</v>
      </c>
      <c r="D1991" s="209" t="s">
        <v>933</v>
      </c>
      <c r="E1991" s="182"/>
    </row>
    <row r="1992" customFormat="false" ht="15" hidden="false" customHeight="false" outlineLevel="0" collapsed="false">
      <c r="A1992" s="20" t="n">
        <v>1</v>
      </c>
      <c r="B1992" s="210"/>
      <c r="C1992" s="162" t="s">
        <v>934</v>
      </c>
      <c r="D1992" s="23" t="n">
        <v>378</v>
      </c>
      <c r="E1992" s="210"/>
    </row>
    <row r="1993" customFormat="false" ht="15" hidden="false" customHeight="false" outlineLevel="0" collapsed="false">
      <c r="A1993" s="178" t="n">
        <v>2</v>
      </c>
      <c r="B1993" s="211"/>
      <c r="C1993" s="212" t="s">
        <v>99</v>
      </c>
      <c r="D1993" s="213" t="n">
        <v>167</v>
      </c>
      <c r="E1993" s="211"/>
    </row>
    <row r="1994" customFormat="false" ht="15" hidden="false" customHeight="false" outlineLevel="0" collapsed="false">
      <c r="A1994" s="20" t="n">
        <v>3</v>
      </c>
      <c r="B1994" s="210"/>
      <c r="C1994" s="162" t="s">
        <v>935</v>
      </c>
      <c r="D1994" s="23" t="n">
        <v>158</v>
      </c>
      <c r="E1994" s="210"/>
    </row>
    <row r="1995" customFormat="false" ht="15" hidden="false" customHeight="false" outlineLevel="0" collapsed="false">
      <c r="A1995" s="178" t="n">
        <v>4</v>
      </c>
      <c r="B1995" s="211"/>
      <c r="C1995" s="212" t="s">
        <v>952</v>
      </c>
      <c r="D1995" s="213" t="n">
        <v>141</v>
      </c>
      <c r="E1995" s="211"/>
    </row>
    <row r="1996" customFormat="false" ht="15" hidden="false" customHeight="false" outlineLevel="0" collapsed="false">
      <c r="A1996" s="20" t="n">
        <v>5</v>
      </c>
      <c r="B1996" s="210"/>
      <c r="C1996" s="162" t="s">
        <v>113</v>
      </c>
      <c r="D1996" s="23" t="n">
        <v>111</v>
      </c>
      <c r="E1996" s="210"/>
    </row>
    <row r="1997" customFormat="false" ht="15" hidden="false" customHeight="false" outlineLevel="0" collapsed="false">
      <c r="A1997" s="178" t="n">
        <v>6</v>
      </c>
      <c r="B1997" s="211"/>
      <c r="C1997" s="212" t="s">
        <v>1146</v>
      </c>
      <c r="D1997" s="213" t="n">
        <v>79</v>
      </c>
      <c r="E1997" s="211"/>
    </row>
    <row r="1998" customFormat="false" ht="15" hidden="false" customHeight="false" outlineLevel="0" collapsed="false">
      <c r="A1998" s="20" t="n">
        <v>7</v>
      </c>
      <c r="B1998" s="210"/>
      <c r="C1998" s="162" t="s">
        <v>938</v>
      </c>
      <c r="D1998" s="23" t="n">
        <v>31</v>
      </c>
      <c r="E1998" s="210"/>
    </row>
    <row r="1999" customFormat="false" ht="15" hidden="false" customHeight="false" outlineLevel="0" collapsed="false">
      <c r="A1999" s="178" t="n">
        <v>8</v>
      </c>
      <c r="B1999" s="211"/>
      <c r="C1999" s="212" t="s">
        <v>121</v>
      </c>
      <c r="D1999" s="213" t="n">
        <v>20</v>
      </c>
      <c r="E1999" s="211"/>
    </row>
    <row r="2000" customFormat="false" ht="15" hidden="false" customHeight="false" outlineLevel="0" collapsed="false">
      <c r="A2000" s="20" t="n">
        <v>9</v>
      </c>
      <c r="B2000" s="210"/>
      <c r="C2000" s="162" t="s">
        <v>118</v>
      </c>
      <c r="D2000" s="23" t="n">
        <v>18</v>
      </c>
      <c r="E2000" s="210"/>
    </row>
    <row r="2001" customFormat="false" ht="15" hidden="false" customHeight="false" outlineLevel="0" collapsed="false">
      <c r="A2001" s="178" t="n">
        <v>10</v>
      </c>
      <c r="B2001" s="211"/>
      <c r="C2001" s="212" t="s">
        <v>942</v>
      </c>
      <c r="D2001" s="213" t="n">
        <v>18</v>
      </c>
      <c r="E2001" s="211"/>
    </row>
    <row r="2002" customFormat="false" ht="15" hidden="false" customHeight="false" outlineLevel="0" collapsed="false">
      <c r="A2002" s="20" t="n">
        <v>11</v>
      </c>
      <c r="B2002" s="210"/>
      <c r="C2002" s="162" t="s">
        <v>940</v>
      </c>
      <c r="D2002" s="23" t="n">
        <v>5</v>
      </c>
      <c r="E2002" s="210"/>
    </row>
    <row r="2003" customFormat="false" ht="15" hidden="false" customHeight="false" outlineLevel="0" collapsed="false">
      <c r="A2003" s="178" t="n">
        <v>12</v>
      </c>
      <c r="B2003" s="211"/>
      <c r="C2003" s="212" t="s">
        <v>978</v>
      </c>
      <c r="D2003" s="213" t="n">
        <v>3</v>
      </c>
      <c r="E2003" s="211"/>
    </row>
    <row r="2004" customFormat="false" ht="15" hidden="false" customHeight="false" outlineLevel="0" collapsed="false">
      <c r="A2004" s="20" t="n">
        <v>13</v>
      </c>
      <c r="B2004" s="210"/>
      <c r="C2004" s="162" t="s">
        <v>979</v>
      </c>
      <c r="D2004" s="23" t="n">
        <v>3</v>
      </c>
      <c r="E2004" s="210"/>
    </row>
    <row r="2005" customFormat="false" ht="15" hidden="false" customHeight="false" outlineLevel="0" collapsed="false">
      <c r="A2005" s="178" t="n">
        <v>14</v>
      </c>
      <c r="B2005" s="211"/>
      <c r="C2005" s="212" t="s">
        <v>941</v>
      </c>
      <c r="D2005" s="213" t="n">
        <v>2</v>
      </c>
      <c r="E2005" s="211"/>
    </row>
    <row r="2006" customFormat="false" ht="15" hidden="false" customHeight="false" outlineLevel="0" collapsed="false">
      <c r="A2006" s="214" t="s">
        <v>1211</v>
      </c>
      <c r="B2006" s="214"/>
      <c r="C2006" s="214"/>
      <c r="D2006" s="215" t="n">
        <v>1134</v>
      </c>
      <c r="E2006" s="216"/>
    </row>
    <row r="2007" customFormat="false" ht="14.15" hidden="false" customHeight="false" outlineLevel="0" collapsed="false">
      <c r="A2007" s="208" t="s">
        <v>1212</v>
      </c>
      <c r="B2007" s="208"/>
      <c r="C2007" s="208"/>
      <c r="D2007" s="208"/>
      <c r="E2007" s="208"/>
    </row>
    <row r="2008" customFormat="false" ht="15" hidden="false" customHeight="false" outlineLevel="0" collapsed="false">
      <c r="A2008" s="182" t="s">
        <v>46</v>
      </c>
      <c r="B2008" s="182"/>
      <c r="C2008" s="209" t="s">
        <v>932</v>
      </c>
      <c r="D2008" s="209" t="s">
        <v>933</v>
      </c>
      <c r="E2008" s="182"/>
    </row>
    <row r="2009" customFormat="false" ht="15" hidden="false" customHeight="false" outlineLevel="0" collapsed="false">
      <c r="A2009" s="20" t="n">
        <v>1</v>
      </c>
      <c r="B2009" s="210"/>
      <c r="C2009" s="162" t="s">
        <v>934</v>
      </c>
      <c r="D2009" s="23" t="n">
        <v>599</v>
      </c>
      <c r="E2009" s="210"/>
    </row>
    <row r="2010" customFormat="false" ht="15" hidden="false" customHeight="false" outlineLevel="0" collapsed="false">
      <c r="A2010" s="178" t="n">
        <v>2</v>
      </c>
      <c r="B2010" s="211"/>
      <c r="C2010" s="212" t="s">
        <v>935</v>
      </c>
      <c r="D2010" s="213" t="n">
        <v>244</v>
      </c>
      <c r="E2010" s="211"/>
    </row>
    <row r="2011" customFormat="false" ht="15" hidden="false" customHeight="false" outlineLevel="0" collapsed="false">
      <c r="A2011" s="20" t="n">
        <v>3</v>
      </c>
      <c r="B2011" s="210"/>
      <c r="C2011" s="162" t="s">
        <v>99</v>
      </c>
      <c r="D2011" s="23" t="n">
        <v>216</v>
      </c>
      <c r="E2011" s="210"/>
    </row>
    <row r="2012" customFormat="false" ht="15" hidden="false" customHeight="false" outlineLevel="0" collapsed="false">
      <c r="A2012" s="178" t="n">
        <v>4</v>
      </c>
      <c r="B2012" s="211"/>
      <c r="C2012" s="212" t="s">
        <v>1146</v>
      </c>
      <c r="D2012" s="213" t="n">
        <v>99</v>
      </c>
      <c r="E2012" s="211"/>
    </row>
    <row r="2013" customFormat="false" ht="15" hidden="false" customHeight="false" outlineLevel="0" collapsed="false">
      <c r="A2013" s="20" t="n">
        <v>5</v>
      </c>
      <c r="B2013" s="210"/>
      <c r="C2013" s="162" t="s">
        <v>113</v>
      </c>
      <c r="D2013" s="23" t="n">
        <v>73</v>
      </c>
      <c r="E2013" s="210"/>
    </row>
    <row r="2014" customFormat="false" ht="15" hidden="false" customHeight="false" outlineLevel="0" collapsed="false">
      <c r="A2014" s="178" t="n">
        <v>6</v>
      </c>
      <c r="B2014" s="211"/>
      <c r="C2014" s="212" t="s">
        <v>936</v>
      </c>
      <c r="D2014" s="213" t="n">
        <v>27</v>
      </c>
      <c r="E2014" s="211"/>
    </row>
    <row r="2015" customFormat="false" ht="15" hidden="false" customHeight="false" outlineLevel="0" collapsed="false">
      <c r="A2015" s="20" t="n">
        <v>7</v>
      </c>
      <c r="B2015" s="210"/>
      <c r="C2015" s="162" t="s">
        <v>118</v>
      </c>
      <c r="D2015" s="23" t="n">
        <v>25</v>
      </c>
      <c r="E2015" s="210"/>
    </row>
    <row r="2016" customFormat="false" ht="15" hidden="false" customHeight="false" outlineLevel="0" collapsed="false">
      <c r="A2016" s="178" t="n">
        <v>8</v>
      </c>
      <c r="B2016" s="211"/>
      <c r="C2016" s="212" t="s">
        <v>121</v>
      </c>
      <c r="D2016" s="213" t="n">
        <v>25</v>
      </c>
      <c r="E2016" s="211"/>
    </row>
    <row r="2017" customFormat="false" ht="15" hidden="false" customHeight="false" outlineLevel="0" collapsed="false">
      <c r="A2017" s="20" t="n">
        <v>9</v>
      </c>
      <c r="B2017" s="210"/>
      <c r="C2017" s="162" t="s">
        <v>952</v>
      </c>
      <c r="D2017" s="23" t="n">
        <v>22</v>
      </c>
      <c r="E2017" s="210"/>
    </row>
    <row r="2018" customFormat="false" ht="15" hidden="false" customHeight="false" outlineLevel="0" collapsed="false">
      <c r="A2018" s="178" t="n">
        <v>10</v>
      </c>
      <c r="B2018" s="211"/>
      <c r="C2018" s="212" t="s">
        <v>942</v>
      </c>
      <c r="D2018" s="213" t="n">
        <v>22</v>
      </c>
      <c r="E2018" s="211"/>
    </row>
    <row r="2019" customFormat="false" ht="15" hidden="false" customHeight="false" outlineLevel="0" collapsed="false">
      <c r="A2019" s="20" t="n">
        <v>11</v>
      </c>
      <c r="B2019" s="210"/>
      <c r="C2019" s="162" t="s">
        <v>937</v>
      </c>
      <c r="D2019" s="23" t="n">
        <v>14</v>
      </c>
      <c r="E2019" s="210"/>
    </row>
    <row r="2020" customFormat="false" ht="15" hidden="false" customHeight="false" outlineLevel="0" collapsed="false">
      <c r="A2020" s="178" t="n">
        <v>12</v>
      </c>
      <c r="B2020" s="211"/>
      <c r="C2020" s="212" t="s">
        <v>939</v>
      </c>
      <c r="D2020" s="213" t="n">
        <v>8</v>
      </c>
      <c r="E2020" s="211"/>
    </row>
    <row r="2021" customFormat="false" ht="15" hidden="false" customHeight="false" outlineLevel="0" collapsed="false">
      <c r="A2021" s="20" t="n">
        <v>13</v>
      </c>
      <c r="B2021" s="210"/>
      <c r="C2021" s="162" t="s">
        <v>940</v>
      </c>
      <c r="D2021" s="23" t="n">
        <v>7</v>
      </c>
      <c r="E2021" s="210"/>
    </row>
    <row r="2022" customFormat="false" ht="15" hidden="false" customHeight="false" outlineLevel="0" collapsed="false">
      <c r="A2022" s="178" t="n">
        <v>14</v>
      </c>
      <c r="B2022" s="211"/>
      <c r="C2022" s="212" t="s">
        <v>938</v>
      </c>
      <c r="D2022" s="213" t="n">
        <v>6</v>
      </c>
      <c r="E2022" s="211"/>
    </row>
    <row r="2023" customFormat="false" ht="15" hidden="false" customHeight="false" outlineLevel="0" collapsed="false">
      <c r="A2023" s="20" t="n">
        <v>15</v>
      </c>
      <c r="B2023" s="210"/>
      <c r="C2023" s="162" t="s">
        <v>941</v>
      </c>
      <c r="D2023" s="23" t="n">
        <v>2</v>
      </c>
      <c r="E2023" s="210"/>
    </row>
    <row r="2024" customFormat="false" ht="15" hidden="false" customHeight="false" outlineLevel="0" collapsed="false">
      <c r="A2024" s="214" t="s">
        <v>1213</v>
      </c>
      <c r="B2024" s="214"/>
      <c r="C2024" s="214"/>
      <c r="D2024" s="215" t="n">
        <v>1389</v>
      </c>
      <c r="E2024" s="216"/>
    </row>
    <row r="2025" customFormat="false" ht="14.15" hidden="false" customHeight="false" outlineLevel="0" collapsed="false">
      <c r="A2025" s="208" t="s">
        <v>1214</v>
      </c>
      <c r="B2025" s="208"/>
      <c r="C2025" s="208"/>
      <c r="D2025" s="208"/>
      <c r="E2025" s="208"/>
    </row>
    <row r="2026" customFormat="false" ht="15" hidden="false" customHeight="false" outlineLevel="0" collapsed="false">
      <c r="A2026" s="182" t="s">
        <v>46</v>
      </c>
      <c r="B2026" s="182"/>
      <c r="C2026" s="209" t="s">
        <v>932</v>
      </c>
      <c r="D2026" s="209" t="s">
        <v>933</v>
      </c>
      <c r="E2026" s="182"/>
    </row>
    <row r="2027" customFormat="false" ht="15" hidden="false" customHeight="false" outlineLevel="0" collapsed="false">
      <c r="A2027" s="20" t="n">
        <v>1</v>
      </c>
      <c r="B2027" s="210"/>
      <c r="C2027" s="162" t="s">
        <v>934</v>
      </c>
      <c r="D2027" s="23" t="n">
        <v>517</v>
      </c>
      <c r="E2027" s="210"/>
    </row>
    <row r="2028" customFormat="false" ht="15" hidden="false" customHeight="false" outlineLevel="0" collapsed="false">
      <c r="A2028" s="178" t="n">
        <v>2</v>
      </c>
      <c r="B2028" s="211"/>
      <c r="C2028" s="212" t="s">
        <v>99</v>
      </c>
      <c r="D2028" s="213" t="n">
        <v>211</v>
      </c>
      <c r="E2028" s="211"/>
    </row>
    <row r="2029" customFormat="false" ht="15" hidden="false" customHeight="false" outlineLevel="0" collapsed="false">
      <c r="A2029" s="20" t="n">
        <v>3</v>
      </c>
      <c r="B2029" s="210"/>
      <c r="C2029" s="162" t="s">
        <v>952</v>
      </c>
      <c r="D2029" s="23" t="n">
        <v>208</v>
      </c>
      <c r="E2029" s="210"/>
    </row>
    <row r="2030" customFormat="false" ht="15" hidden="false" customHeight="false" outlineLevel="0" collapsed="false">
      <c r="A2030" s="178" t="n">
        <v>4</v>
      </c>
      <c r="B2030" s="211"/>
      <c r="C2030" s="212" t="s">
        <v>935</v>
      </c>
      <c r="D2030" s="213" t="n">
        <v>198</v>
      </c>
      <c r="E2030" s="211"/>
    </row>
    <row r="2031" customFormat="false" ht="15" hidden="false" customHeight="false" outlineLevel="0" collapsed="false">
      <c r="A2031" s="20" t="n">
        <v>5</v>
      </c>
      <c r="B2031" s="210"/>
      <c r="C2031" s="162" t="s">
        <v>113</v>
      </c>
      <c r="D2031" s="23" t="n">
        <v>160</v>
      </c>
      <c r="E2031" s="210"/>
    </row>
    <row r="2032" customFormat="false" ht="15" hidden="false" customHeight="false" outlineLevel="0" collapsed="false">
      <c r="A2032" s="178" t="n">
        <v>6</v>
      </c>
      <c r="B2032" s="211"/>
      <c r="C2032" s="212" t="s">
        <v>1146</v>
      </c>
      <c r="D2032" s="213" t="n">
        <v>99</v>
      </c>
      <c r="E2032" s="211"/>
    </row>
    <row r="2033" customFormat="false" ht="15" hidden="false" customHeight="false" outlineLevel="0" collapsed="false">
      <c r="A2033" s="20" t="n">
        <v>7</v>
      </c>
      <c r="B2033" s="210"/>
      <c r="C2033" s="162" t="s">
        <v>936</v>
      </c>
      <c r="D2033" s="23" t="n">
        <v>27</v>
      </c>
      <c r="E2033" s="210"/>
    </row>
    <row r="2034" customFormat="false" ht="15" hidden="false" customHeight="false" outlineLevel="0" collapsed="false">
      <c r="A2034" s="178" t="n">
        <v>8</v>
      </c>
      <c r="B2034" s="211"/>
      <c r="C2034" s="212" t="s">
        <v>121</v>
      </c>
      <c r="D2034" s="213" t="n">
        <v>25</v>
      </c>
      <c r="E2034" s="211"/>
    </row>
    <row r="2035" customFormat="false" ht="15" hidden="false" customHeight="false" outlineLevel="0" collapsed="false">
      <c r="A2035" s="20" t="n">
        <v>9</v>
      </c>
      <c r="B2035" s="210"/>
      <c r="C2035" s="162" t="s">
        <v>938</v>
      </c>
      <c r="D2035" s="23" t="n">
        <v>23</v>
      </c>
      <c r="E2035" s="210"/>
    </row>
    <row r="2036" customFormat="false" ht="15" hidden="false" customHeight="false" outlineLevel="0" collapsed="false">
      <c r="A2036" s="178" t="n">
        <v>10</v>
      </c>
      <c r="B2036" s="211"/>
      <c r="C2036" s="212" t="s">
        <v>118</v>
      </c>
      <c r="D2036" s="213" t="n">
        <v>23</v>
      </c>
      <c r="E2036" s="211"/>
    </row>
    <row r="2037" customFormat="false" ht="15" hidden="false" customHeight="false" outlineLevel="0" collapsed="false">
      <c r="A2037" s="20" t="n">
        <v>11</v>
      </c>
      <c r="B2037" s="210"/>
      <c r="C2037" s="162" t="s">
        <v>942</v>
      </c>
      <c r="D2037" s="23" t="n">
        <v>22</v>
      </c>
      <c r="E2037" s="210"/>
    </row>
    <row r="2038" customFormat="false" ht="15" hidden="false" customHeight="false" outlineLevel="0" collapsed="false">
      <c r="A2038" s="178" t="n">
        <v>12</v>
      </c>
      <c r="B2038" s="211"/>
      <c r="C2038" s="212" t="s">
        <v>977</v>
      </c>
      <c r="D2038" s="213" t="n">
        <v>21</v>
      </c>
      <c r="E2038" s="211"/>
    </row>
    <row r="2039" customFormat="false" ht="15" hidden="false" customHeight="false" outlineLevel="0" collapsed="false">
      <c r="A2039" s="20" t="n">
        <v>13</v>
      </c>
      <c r="B2039" s="210"/>
      <c r="C2039" s="162" t="s">
        <v>937</v>
      </c>
      <c r="D2039" s="23" t="n">
        <v>14</v>
      </c>
      <c r="E2039" s="210"/>
    </row>
    <row r="2040" customFormat="false" ht="15" hidden="false" customHeight="false" outlineLevel="0" collapsed="false">
      <c r="A2040" s="178" t="n">
        <v>14</v>
      </c>
      <c r="B2040" s="211"/>
      <c r="C2040" s="212" t="s">
        <v>940</v>
      </c>
      <c r="D2040" s="213" t="n">
        <v>8</v>
      </c>
      <c r="E2040" s="211"/>
    </row>
    <row r="2041" customFormat="false" ht="15" hidden="false" customHeight="false" outlineLevel="0" collapsed="false">
      <c r="A2041" s="20" t="n">
        <v>15</v>
      </c>
      <c r="B2041" s="210"/>
      <c r="C2041" s="162" t="s">
        <v>941</v>
      </c>
      <c r="D2041" s="23" t="n">
        <v>5</v>
      </c>
      <c r="E2041" s="210"/>
    </row>
    <row r="2042" customFormat="false" ht="15" hidden="false" customHeight="false" outlineLevel="0" collapsed="false">
      <c r="A2042" s="178" t="n">
        <v>16</v>
      </c>
      <c r="B2042" s="211"/>
      <c r="C2042" s="212" t="s">
        <v>978</v>
      </c>
      <c r="D2042" s="213" t="n">
        <v>4</v>
      </c>
      <c r="E2042" s="211"/>
    </row>
    <row r="2043" customFormat="false" ht="15" hidden="false" customHeight="false" outlineLevel="0" collapsed="false">
      <c r="A2043" s="20" t="n">
        <v>17</v>
      </c>
      <c r="B2043" s="210"/>
      <c r="C2043" s="162" t="s">
        <v>979</v>
      </c>
      <c r="D2043" s="23" t="n">
        <v>4</v>
      </c>
      <c r="E2043" s="210"/>
    </row>
    <row r="2044" customFormat="false" ht="15" hidden="false" customHeight="false" outlineLevel="0" collapsed="false">
      <c r="A2044" s="178" t="n">
        <v>18</v>
      </c>
      <c r="B2044" s="211"/>
      <c r="C2044" s="212" t="s">
        <v>939</v>
      </c>
      <c r="D2044" s="213" t="n">
        <v>3</v>
      </c>
      <c r="E2044" s="211"/>
    </row>
    <row r="2045" customFormat="false" ht="15" hidden="false" customHeight="false" outlineLevel="0" collapsed="false">
      <c r="A2045" s="214" t="s">
        <v>1215</v>
      </c>
      <c r="B2045" s="214"/>
      <c r="C2045" s="214"/>
      <c r="D2045" s="215" t="n">
        <v>1572</v>
      </c>
      <c r="E2045" s="216"/>
    </row>
    <row r="2046" customFormat="false" ht="14.15" hidden="false" customHeight="false" outlineLevel="0" collapsed="false">
      <c r="A2046" s="208" t="s">
        <v>1216</v>
      </c>
      <c r="B2046" s="208"/>
      <c r="C2046" s="208"/>
      <c r="D2046" s="208"/>
      <c r="E2046" s="208"/>
    </row>
    <row r="2047" customFormat="false" ht="15" hidden="false" customHeight="false" outlineLevel="0" collapsed="false">
      <c r="A2047" s="182" t="s">
        <v>46</v>
      </c>
      <c r="B2047" s="182"/>
      <c r="C2047" s="209" t="s">
        <v>932</v>
      </c>
      <c r="D2047" s="209" t="s">
        <v>933</v>
      </c>
      <c r="E2047" s="182"/>
    </row>
    <row r="2048" customFormat="false" ht="15" hidden="false" customHeight="false" outlineLevel="0" collapsed="false">
      <c r="A2048" s="20" t="n">
        <v>1</v>
      </c>
      <c r="B2048" s="210"/>
      <c r="C2048" s="162" t="s">
        <v>934</v>
      </c>
      <c r="D2048" s="23" t="n">
        <v>670</v>
      </c>
      <c r="E2048" s="210"/>
    </row>
    <row r="2049" customFormat="false" ht="15" hidden="false" customHeight="false" outlineLevel="0" collapsed="false">
      <c r="A2049" s="178" t="n">
        <v>2</v>
      </c>
      <c r="B2049" s="211"/>
      <c r="C2049" s="212" t="s">
        <v>935</v>
      </c>
      <c r="D2049" s="213" t="n">
        <v>303</v>
      </c>
      <c r="E2049" s="211"/>
    </row>
    <row r="2050" customFormat="false" ht="15" hidden="false" customHeight="false" outlineLevel="0" collapsed="false">
      <c r="A2050" s="20" t="n">
        <v>3</v>
      </c>
      <c r="B2050" s="210"/>
      <c r="C2050" s="162" t="s">
        <v>99</v>
      </c>
      <c r="D2050" s="23" t="n">
        <v>275</v>
      </c>
      <c r="E2050" s="210"/>
    </row>
    <row r="2051" customFormat="false" ht="15" hidden="false" customHeight="false" outlineLevel="0" collapsed="false">
      <c r="A2051" s="178" t="n">
        <v>4</v>
      </c>
      <c r="B2051" s="211"/>
      <c r="C2051" s="212" t="s">
        <v>1146</v>
      </c>
      <c r="D2051" s="213" t="n">
        <v>129</v>
      </c>
      <c r="E2051" s="211"/>
    </row>
    <row r="2052" customFormat="false" ht="15" hidden="false" customHeight="false" outlineLevel="0" collapsed="false">
      <c r="A2052" s="20" t="n">
        <v>5</v>
      </c>
      <c r="B2052" s="210"/>
      <c r="C2052" s="162" t="s">
        <v>113</v>
      </c>
      <c r="D2052" s="23" t="n">
        <v>45</v>
      </c>
      <c r="E2052" s="210"/>
    </row>
    <row r="2053" customFormat="false" ht="15" hidden="false" customHeight="false" outlineLevel="0" collapsed="false">
      <c r="A2053" s="178" t="n">
        <v>6</v>
      </c>
      <c r="B2053" s="211"/>
      <c r="C2053" s="212" t="s">
        <v>118</v>
      </c>
      <c r="D2053" s="213" t="n">
        <v>30</v>
      </c>
      <c r="E2053" s="211"/>
    </row>
    <row r="2054" customFormat="false" ht="15" hidden="false" customHeight="false" outlineLevel="0" collapsed="false">
      <c r="A2054" s="20" t="n">
        <v>7</v>
      </c>
      <c r="B2054" s="210"/>
      <c r="C2054" s="162" t="s">
        <v>121</v>
      </c>
      <c r="D2054" s="23" t="n">
        <v>30</v>
      </c>
      <c r="E2054" s="210"/>
    </row>
    <row r="2055" customFormat="false" ht="15" hidden="false" customHeight="false" outlineLevel="0" collapsed="false">
      <c r="A2055" s="178" t="n">
        <v>8</v>
      </c>
      <c r="B2055" s="211"/>
      <c r="C2055" s="212" t="s">
        <v>952</v>
      </c>
      <c r="D2055" s="213" t="n">
        <v>29</v>
      </c>
      <c r="E2055" s="211"/>
    </row>
    <row r="2056" customFormat="false" ht="15" hidden="false" customHeight="false" outlineLevel="0" collapsed="false">
      <c r="A2056" s="20" t="n">
        <v>9</v>
      </c>
      <c r="B2056" s="210"/>
      <c r="C2056" s="162" t="s">
        <v>942</v>
      </c>
      <c r="D2056" s="23" t="n">
        <v>29</v>
      </c>
      <c r="E2056" s="210"/>
    </row>
    <row r="2057" customFormat="false" ht="15" hidden="false" customHeight="false" outlineLevel="0" collapsed="false">
      <c r="A2057" s="178" t="n">
        <v>10</v>
      </c>
      <c r="B2057" s="211"/>
      <c r="C2057" s="212" t="s">
        <v>938</v>
      </c>
      <c r="D2057" s="213" t="n">
        <v>4</v>
      </c>
      <c r="E2057" s="211"/>
    </row>
    <row r="2058" customFormat="false" ht="15" hidden="false" customHeight="false" outlineLevel="0" collapsed="false">
      <c r="A2058" s="20" t="n">
        <v>11</v>
      </c>
      <c r="B2058" s="210"/>
      <c r="C2058" s="162" t="s">
        <v>939</v>
      </c>
      <c r="D2058" s="23" t="n">
        <v>3</v>
      </c>
      <c r="E2058" s="210"/>
    </row>
    <row r="2059" customFormat="false" ht="15" hidden="false" customHeight="false" outlineLevel="0" collapsed="false">
      <c r="A2059" s="178" t="n">
        <v>12</v>
      </c>
      <c r="B2059" s="211"/>
      <c r="C2059" s="212" t="s">
        <v>940</v>
      </c>
      <c r="D2059" s="213" t="n">
        <v>2</v>
      </c>
      <c r="E2059" s="211"/>
    </row>
    <row r="2060" customFormat="false" ht="15" hidden="false" customHeight="false" outlineLevel="0" collapsed="false">
      <c r="A2060" s="20" t="n">
        <v>13</v>
      </c>
      <c r="B2060" s="210"/>
      <c r="C2060" s="162" t="s">
        <v>960</v>
      </c>
      <c r="D2060" s="23" t="n">
        <v>1</v>
      </c>
      <c r="E2060" s="210"/>
    </row>
    <row r="2061" customFormat="false" ht="15" hidden="false" customHeight="false" outlineLevel="0" collapsed="false">
      <c r="A2061" s="178" t="n">
        <v>14</v>
      </c>
      <c r="B2061" s="211"/>
      <c r="C2061" s="212" t="s">
        <v>967</v>
      </c>
      <c r="D2061" s="213" t="n">
        <v>1</v>
      </c>
      <c r="E2061" s="211"/>
    </row>
    <row r="2062" customFormat="false" ht="15" hidden="false" customHeight="false" outlineLevel="0" collapsed="false">
      <c r="A2062" s="20" t="n">
        <v>15</v>
      </c>
      <c r="B2062" s="210"/>
      <c r="C2062" s="162" t="s">
        <v>60</v>
      </c>
      <c r="D2062" s="23" t="n">
        <v>1</v>
      </c>
      <c r="E2062" s="210"/>
    </row>
    <row r="2063" customFormat="false" ht="15" hidden="false" customHeight="false" outlineLevel="0" collapsed="false">
      <c r="A2063" s="178" t="n">
        <v>16</v>
      </c>
      <c r="B2063" s="211"/>
      <c r="C2063" s="212" t="s">
        <v>941</v>
      </c>
      <c r="D2063" s="213" t="n">
        <v>1</v>
      </c>
      <c r="E2063" s="211"/>
    </row>
    <row r="2064" customFormat="false" ht="15" hidden="false" customHeight="false" outlineLevel="0" collapsed="false">
      <c r="A2064" s="214" t="s">
        <v>1217</v>
      </c>
      <c r="B2064" s="214"/>
      <c r="C2064" s="214"/>
      <c r="D2064" s="215" t="n">
        <v>1553</v>
      </c>
      <c r="E2064" s="216"/>
    </row>
    <row r="2066" customFormat="false" ht="15" hidden="false" customHeight="false" outlineLevel="0" collapsed="false">
      <c r="A2066" s="217" t="s">
        <v>944</v>
      </c>
      <c r="B2066" s="217"/>
      <c r="C2066" s="217"/>
      <c r="D2066" s="217"/>
      <c r="E2066" s="217"/>
    </row>
    <row r="2067" customFormat="false" ht="15" hidden="false" customHeight="false" outlineLevel="0" collapsed="false">
      <c r="A2067" s="182" t="s">
        <v>46</v>
      </c>
      <c r="B2067" s="182"/>
      <c r="C2067" s="209" t="s">
        <v>932</v>
      </c>
      <c r="D2067" s="209" t="s">
        <v>945</v>
      </c>
      <c r="E2067" s="182"/>
    </row>
    <row r="2068" customFormat="false" ht="15" hidden="false" customHeight="false" outlineLevel="0" collapsed="false">
      <c r="A2068" s="20" t="n">
        <v>1</v>
      </c>
      <c r="B2068" s="210"/>
      <c r="C2068" s="162" t="s">
        <v>934</v>
      </c>
      <c r="D2068" s="23" t="n">
        <v>2164</v>
      </c>
      <c r="E2068" s="210"/>
    </row>
    <row r="2069" customFormat="false" ht="15" hidden="false" customHeight="false" outlineLevel="0" collapsed="false">
      <c r="A2069" s="178" t="n">
        <v>2</v>
      </c>
      <c r="B2069" s="211"/>
      <c r="C2069" s="212" t="s">
        <v>935</v>
      </c>
      <c r="D2069" s="213" t="n">
        <v>903</v>
      </c>
      <c r="E2069" s="211"/>
    </row>
    <row r="2070" customFormat="false" ht="15" hidden="false" customHeight="false" outlineLevel="0" collapsed="false">
      <c r="A2070" s="20" t="n">
        <v>3</v>
      </c>
      <c r="B2070" s="210"/>
      <c r="C2070" s="162" t="s">
        <v>99</v>
      </c>
      <c r="D2070" s="23" t="n">
        <v>869</v>
      </c>
      <c r="E2070" s="210"/>
    </row>
    <row r="2071" customFormat="false" ht="15" hidden="false" customHeight="false" outlineLevel="0" collapsed="false">
      <c r="A2071" s="178" t="n">
        <v>4</v>
      </c>
      <c r="B2071" s="211"/>
      <c r="C2071" s="212" t="s">
        <v>1146</v>
      </c>
      <c r="D2071" s="213" t="n">
        <v>406</v>
      </c>
      <c r="E2071" s="211"/>
    </row>
    <row r="2072" customFormat="false" ht="15" hidden="false" customHeight="false" outlineLevel="0" collapsed="false">
      <c r="A2072" s="20" t="n">
        <v>5</v>
      </c>
      <c r="B2072" s="210"/>
      <c r="C2072" s="162" t="s">
        <v>952</v>
      </c>
      <c r="D2072" s="23" t="n">
        <v>400</v>
      </c>
      <c r="E2072" s="210"/>
    </row>
    <row r="2073" customFormat="false" ht="15" hidden="false" customHeight="false" outlineLevel="0" collapsed="false">
      <c r="A2073" s="178" t="n">
        <v>6</v>
      </c>
      <c r="B2073" s="211"/>
      <c r="C2073" s="212" t="s">
        <v>113</v>
      </c>
      <c r="D2073" s="213" t="n">
        <v>389</v>
      </c>
      <c r="E2073" s="211"/>
    </row>
    <row r="2074" customFormat="false" ht="15" hidden="false" customHeight="false" outlineLevel="0" collapsed="false">
      <c r="A2074" s="20" t="n">
        <v>7</v>
      </c>
      <c r="B2074" s="210"/>
      <c r="C2074" s="162" t="s">
        <v>121</v>
      </c>
      <c r="D2074" s="23" t="n">
        <v>100</v>
      </c>
      <c r="E2074" s="210"/>
    </row>
    <row r="2075" customFormat="false" ht="15" hidden="false" customHeight="false" outlineLevel="0" collapsed="false">
      <c r="A2075" s="178" t="n">
        <v>8</v>
      </c>
      <c r="B2075" s="211"/>
      <c r="C2075" s="212" t="s">
        <v>118</v>
      </c>
      <c r="D2075" s="213" t="n">
        <v>96</v>
      </c>
      <c r="E2075" s="211"/>
    </row>
    <row r="2076" customFormat="false" ht="15" hidden="false" customHeight="false" outlineLevel="0" collapsed="false">
      <c r="A2076" s="20" t="n">
        <v>9</v>
      </c>
      <c r="B2076" s="210"/>
      <c r="C2076" s="162" t="s">
        <v>942</v>
      </c>
      <c r="D2076" s="23" t="n">
        <v>91</v>
      </c>
      <c r="E2076" s="210"/>
    </row>
    <row r="2077" customFormat="false" ht="15" hidden="false" customHeight="false" outlineLevel="0" collapsed="false">
      <c r="A2077" s="178" t="n">
        <v>10</v>
      </c>
      <c r="B2077" s="211"/>
      <c r="C2077" s="212" t="s">
        <v>938</v>
      </c>
      <c r="D2077" s="213" t="n">
        <v>64</v>
      </c>
      <c r="E2077" s="211"/>
    </row>
    <row r="2078" customFormat="false" ht="15" hidden="false" customHeight="false" outlineLevel="0" collapsed="false">
      <c r="A2078" s="20" t="n">
        <v>11</v>
      </c>
      <c r="B2078" s="210"/>
      <c r="C2078" s="162" t="s">
        <v>936</v>
      </c>
      <c r="D2078" s="23" t="n">
        <v>54</v>
      </c>
      <c r="E2078" s="210"/>
    </row>
    <row r="2079" customFormat="false" ht="15" hidden="false" customHeight="false" outlineLevel="0" collapsed="false">
      <c r="A2079" s="178" t="n">
        <v>12</v>
      </c>
      <c r="B2079" s="211"/>
      <c r="C2079" s="212" t="s">
        <v>937</v>
      </c>
      <c r="D2079" s="213" t="n">
        <v>28</v>
      </c>
      <c r="E2079" s="211"/>
    </row>
    <row r="2080" customFormat="false" ht="15" hidden="false" customHeight="false" outlineLevel="0" collapsed="false">
      <c r="A2080" s="20" t="n">
        <v>13</v>
      </c>
      <c r="B2080" s="210"/>
      <c r="C2080" s="162" t="s">
        <v>940</v>
      </c>
      <c r="D2080" s="23" t="n">
        <v>22</v>
      </c>
      <c r="E2080" s="210"/>
    </row>
    <row r="2081" customFormat="false" ht="15" hidden="false" customHeight="false" outlineLevel="0" collapsed="false">
      <c r="A2081" s="178" t="n">
        <v>14</v>
      </c>
      <c r="B2081" s="211"/>
      <c r="C2081" s="212" t="s">
        <v>977</v>
      </c>
      <c r="D2081" s="213" t="n">
        <v>21</v>
      </c>
      <c r="E2081" s="211"/>
    </row>
    <row r="2082" customFormat="false" ht="15" hidden="false" customHeight="false" outlineLevel="0" collapsed="false">
      <c r="A2082" s="20" t="n">
        <v>15</v>
      </c>
      <c r="B2082" s="210"/>
      <c r="C2082" s="162" t="s">
        <v>939</v>
      </c>
      <c r="D2082" s="23" t="n">
        <v>14</v>
      </c>
      <c r="E2082" s="210"/>
    </row>
    <row r="2083" customFormat="false" ht="15" hidden="false" customHeight="false" outlineLevel="0" collapsed="false">
      <c r="A2083" s="178" t="n">
        <v>16</v>
      </c>
      <c r="B2083" s="211"/>
      <c r="C2083" s="212" t="s">
        <v>941</v>
      </c>
      <c r="D2083" s="213" t="n">
        <v>10</v>
      </c>
      <c r="E2083" s="211"/>
    </row>
    <row r="2084" customFormat="false" ht="15" hidden="false" customHeight="false" outlineLevel="0" collapsed="false">
      <c r="A2084" s="20" t="n">
        <v>17</v>
      </c>
      <c r="B2084" s="210"/>
      <c r="C2084" s="162" t="s">
        <v>978</v>
      </c>
      <c r="D2084" s="23" t="n">
        <v>7</v>
      </c>
      <c r="E2084" s="210"/>
    </row>
    <row r="2085" customFormat="false" ht="15" hidden="false" customHeight="false" outlineLevel="0" collapsed="false">
      <c r="A2085" s="178" t="n">
        <v>18</v>
      </c>
      <c r="B2085" s="211"/>
      <c r="C2085" s="212" t="s">
        <v>979</v>
      </c>
      <c r="D2085" s="213" t="n">
        <v>7</v>
      </c>
      <c r="E2085" s="211"/>
    </row>
    <row r="2086" customFormat="false" ht="15" hidden="false" customHeight="false" outlineLevel="0" collapsed="false">
      <c r="A2086" s="20" t="n">
        <v>19</v>
      </c>
      <c r="B2086" s="210"/>
      <c r="C2086" s="162" t="s">
        <v>960</v>
      </c>
      <c r="D2086" s="23" t="n">
        <v>1</v>
      </c>
      <c r="E2086" s="210"/>
    </row>
    <row r="2087" customFormat="false" ht="15" hidden="false" customHeight="false" outlineLevel="0" collapsed="false">
      <c r="A2087" s="178" t="n">
        <v>20</v>
      </c>
      <c r="B2087" s="211"/>
      <c r="C2087" s="212" t="s">
        <v>967</v>
      </c>
      <c r="D2087" s="213" t="n">
        <v>1</v>
      </c>
      <c r="E2087" s="211"/>
    </row>
    <row r="2088" customFormat="false" ht="15" hidden="false" customHeight="false" outlineLevel="0" collapsed="false">
      <c r="A2088" s="20" t="n">
        <v>21</v>
      </c>
      <c r="B2088" s="210"/>
      <c r="C2088" s="162" t="s">
        <v>60</v>
      </c>
      <c r="D2088" s="23" t="n">
        <v>1</v>
      </c>
      <c r="E2088" s="210"/>
    </row>
    <row r="2089" customFormat="false" ht="15" hidden="false" customHeight="false" outlineLevel="0" collapsed="false">
      <c r="A2089" s="218" t="s">
        <v>1218</v>
      </c>
      <c r="B2089" s="218"/>
      <c r="C2089" s="218"/>
      <c r="D2089" s="219" t="n">
        <v>5648</v>
      </c>
      <c r="E2089" s="220"/>
    </row>
  </sheetData>
  <mergeCells count="268">
    <mergeCell ref="A1:E1"/>
    <mergeCell ref="A2:E2"/>
    <mergeCell ref="A3:E3"/>
    <mergeCell ref="A18:C18"/>
    <mergeCell ref="A20:E20"/>
    <mergeCell ref="A35:C35"/>
    <mergeCell ref="A37:E37"/>
    <mergeCell ref="A38:E38"/>
    <mergeCell ref="A39:E39"/>
    <mergeCell ref="A54:C54"/>
    <mergeCell ref="A55:E55"/>
    <mergeCell ref="A63:C63"/>
    <mergeCell ref="A64:E64"/>
    <mergeCell ref="A73:C73"/>
    <mergeCell ref="A74:E74"/>
    <mergeCell ref="A91:C91"/>
    <mergeCell ref="A92:E92"/>
    <mergeCell ref="A107:C107"/>
    <mergeCell ref="A109:E109"/>
    <mergeCell ref="A141:C141"/>
    <mergeCell ref="A143:E143"/>
    <mergeCell ref="A144:E144"/>
    <mergeCell ref="A145:E145"/>
    <mergeCell ref="A162:C162"/>
    <mergeCell ref="A163:E163"/>
    <mergeCell ref="A181:C181"/>
    <mergeCell ref="A182:E182"/>
    <mergeCell ref="A209:C209"/>
    <mergeCell ref="A210:E210"/>
    <mergeCell ref="A219:C219"/>
    <mergeCell ref="A221:E221"/>
    <mergeCell ref="A251:C251"/>
    <mergeCell ref="A253:E253"/>
    <mergeCell ref="A254:E254"/>
    <mergeCell ref="A255:E255"/>
    <mergeCell ref="A265:C265"/>
    <mergeCell ref="A266:E266"/>
    <mergeCell ref="A279:C279"/>
    <mergeCell ref="A280:E280"/>
    <mergeCell ref="A301:C301"/>
    <mergeCell ref="A302:E302"/>
    <mergeCell ref="A311:C311"/>
    <mergeCell ref="A312:E312"/>
    <mergeCell ref="A323:C323"/>
    <mergeCell ref="A325:E325"/>
    <mergeCell ref="A348:C348"/>
    <mergeCell ref="A350:E350"/>
    <mergeCell ref="A351:E351"/>
    <mergeCell ref="A352:E352"/>
    <mergeCell ref="A365:C365"/>
    <mergeCell ref="A366:E366"/>
    <mergeCell ref="A385:C385"/>
    <mergeCell ref="A386:E386"/>
    <mergeCell ref="A410:C410"/>
    <mergeCell ref="A411:E411"/>
    <mergeCell ref="A421:C421"/>
    <mergeCell ref="A422:E422"/>
    <mergeCell ref="A433:C433"/>
    <mergeCell ref="A435:E435"/>
    <mergeCell ref="A466:C466"/>
    <mergeCell ref="A468:E468"/>
    <mergeCell ref="A469:E469"/>
    <mergeCell ref="A470:E470"/>
    <mergeCell ref="A488:C488"/>
    <mergeCell ref="A489:E489"/>
    <mergeCell ref="A504:C504"/>
    <mergeCell ref="A505:E505"/>
    <mergeCell ref="A514:C514"/>
    <mergeCell ref="A515:E515"/>
    <mergeCell ref="A528:C528"/>
    <mergeCell ref="A529:E529"/>
    <mergeCell ref="A540:C540"/>
    <mergeCell ref="A542:E542"/>
    <mergeCell ref="A569:C569"/>
    <mergeCell ref="A571:E571"/>
    <mergeCell ref="A572:E572"/>
    <mergeCell ref="A573:E573"/>
    <mergeCell ref="A590:C590"/>
    <mergeCell ref="A591:E591"/>
    <mergeCell ref="A609:C609"/>
    <mergeCell ref="A610:E610"/>
    <mergeCell ref="A621:C621"/>
    <mergeCell ref="A623:E623"/>
    <mergeCell ref="A644:C644"/>
    <mergeCell ref="A646:E646"/>
    <mergeCell ref="A647:E647"/>
    <mergeCell ref="A648:E648"/>
    <mergeCell ref="A656:C656"/>
    <mergeCell ref="A657:E657"/>
    <mergeCell ref="A674:C674"/>
    <mergeCell ref="A675:E675"/>
    <mergeCell ref="A689:C689"/>
    <mergeCell ref="A690:E690"/>
    <mergeCell ref="A699:C699"/>
    <mergeCell ref="A700:E700"/>
    <mergeCell ref="A713:C713"/>
    <mergeCell ref="A715:E715"/>
    <mergeCell ref="A733:C733"/>
    <mergeCell ref="A735:E735"/>
    <mergeCell ref="A736:E736"/>
    <mergeCell ref="A737:E737"/>
    <mergeCell ref="A753:C753"/>
    <mergeCell ref="A754:E754"/>
    <mergeCell ref="A763:C763"/>
    <mergeCell ref="A764:E764"/>
    <mergeCell ref="A780:C780"/>
    <mergeCell ref="A781:E781"/>
    <mergeCell ref="A795:C795"/>
    <mergeCell ref="A796:E796"/>
    <mergeCell ref="A807:C807"/>
    <mergeCell ref="A809:E809"/>
    <mergeCell ref="A830:C830"/>
    <mergeCell ref="A832:E832"/>
    <mergeCell ref="A833:E833"/>
    <mergeCell ref="A834:E834"/>
    <mergeCell ref="A846:C846"/>
    <mergeCell ref="A847:E847"/>
    <mergeCell ref="A862:C862"/>
    <mergeCell ref="A863:E863"/>
    <mergeCell ref="A884:C884"/>
    <mergeCell ref="A886:E886"/>
    <mergeCell ref="A917:C917"/>
    <mergeCell ref="A919:E919"/>
    <mergeCell ref="A920:E920"/>
    <mergeCell ref="A921:E921"/>
    <mergeCell ref="A933:C933"/>
    <mergeCell ref="A934:E934"/>
    <mergeCell ref="A951:C951"/>
    <mergeCell ref="A952:E952"/>
    <mergeCell ref="A968:C968"/>
    <mergeCell ref="A969:E969"/>
    <mergeCell ref="A979:C979"/>
    <mergeCell ref="A980:E980"/>
    <mergeCell ref="A988:C988"/>
    <mergeCell ref="A990:E990"/>
    <mergeCell ref="A1016:C1016"/>
    <mergeCell ref="A1018:E1018"/>
    <mergeCell ref="A1019:E1019"/>
    <mergeCell ref="A1020:E1020"/>
    <mergeCell ref="A1032:C1032"/>
    <mergeCell ref="A1033:E1033"/>
    <mergeCell ref="A1047:C1047"/>
    <mergeCell ref="A1048:E1048"/>
    <mergeCell ref="A1063:C1063"/>
    <mergeCell ref="A1065:E1065"/>
    <mergeCell ref="A1089:C1089"/>
    <mergeCell ref="A1091:E1091"/>
    <mergeCell ref="A1092:E1092"/>
    <mergeCell ref="A1093:E1093"/>
    <mergeCell ref="A1108:C1108"/>
    <mergeCell ref="A1109:E1109"/>
    <mergeCell ref="A1126:C1126"/>
    <mergeCell ref="A1127:E1127"/>
    <mergeCell ref="A1137:C1137"/>
    <mergeCell ref="A1139:E1139"/>
    <mergeCell ref="A1166:C1166"/>
    <mergeCell ref="A1168:E1168"/>
    <mergeCell ref="A1169:E1169"/>
    <mergeCell ref="A1170:E1170"/>
    <mergeCell ref="A1183:C1183"/>
    <mergeCell ref="A1184:E1184"/>
    <mergeCell ref="A1196:C1196"/>
    <mergeCell ref="A1197:E1197"/>
    <mergeCell ref="A1212:C1212"/>
    <mergeCell ref="A1213:E1213"/>
    <mergeCell ref="A1223:C1223"/>
    <mergeCell ref="A1225:E1225"/>
    <mergeCell ref="A1254:C1254"/>
    <mergeCell ref="A1256:E1256"/>
    <mergeCell ref="A1257:E1257"/>
    <mergeCell ref="A1258:E1258"/>
    <mergeCell ref="A1271:C1271"/>
    <mergeCell ref="A1272:E1272"/>
    <mergeCell ref="A1286:C1286"/>
    <mergeCell ref="A1287:E1287"/>
    <mergeCell ref="A1304:C1304"/>
    <mergeCell ref="A1305:E1305"/>
    <mergeCell ref="A1313:C1313"/>
    <mergeCell ref="A1314:E1314"/>
    <mergeCell ref="A1324:C1324"/>
    <mergeCell ref="A1326:E1326"/>
    <mergeCell ref="A1350:C1350"/>
    <mergeCell ref="A1352:E1352"/>
    <mergeCell ref="A1353:E1353"/>
    <mergeCell ref="A1354:E1354"/>
    <mergeCell ref="A1373:C1373"/>
    <mergeCell ref="A1374:E1374"/>
    <mergeCell ref="A1392:C1392"/>
    <mergeCell ref="A1393:E1393"/>
    <mergeCell ref="A1406:C1406"/>
    <mergeCell ref="A1407:E1407"/>
    <mergeCell ref="A1418:C1418"/>
    <mergeCell ref="A1420:E1420"/>
    <mergeCell ref="A1449:C1449"/>
    <mergeCell ref="A1451:E1451"/>
    <mergeCell ref="A1452:E1452"/>
    <mergeCell ref="A1453:E1453"/>
    <mergeCell ref="A1471:C1471"/>
    <mergeCell ref="A1472:E1472"/>
    <mergeCell ref="A1489:C1489"/>
    <mergeCell ref="A1490:E1490"/>
    <mergeCell ref="A1506:C1506"/>
    <mergeCell ref="A1507:E1507"/>
    <mergeCell ref="A1522:C1522"/>
    <mergeCell ref="A1523:E1523"/>
    <mergeCell ref="A1536:C1536"/>
    <mergeCell ref="A1538:E1538"/>
    <mergeCell ref="A1559:C1559"/>
    <mergeCell ref="A1561:E1561"/>
    <mergeCell ref="A1562:E1562"/>
    <mergeCell ref="A1563:E1563"/>
    <mergeCell ref="A1574:C1574"/>
    <mergeCell ref="A1575:E1575"/>
    <mergeCell ref="A1592:C1592"/>
    <mergeCell ref="A1593:E1593"/>
    <mergeCell ref="A1611:C1611"/>
    <mergeCell ref="A1612:E1612"/>
    <mergeCell ref="A1632:C1632"/>
    <mergeCell ref="A1633:E1633"/>
    <mergeCell ref="A1658:C1658"/>
    <mergeCell ref="A1659:E1659"/>
    <mergeCell ref="A1684:C1684"/>
    <mergeCell ref="A1686:E1686"/>
    <mergeCell ref="A1725:C1725"/>
    <mergeCell ref="A1727:E1727"/>
    <mergeCell ref="A1728:E1728"/>
    <mergeCell ref="A1729:E1729"/>
    <mergeCell ref="A1745:C1745"/>
    <mergeCell ref="A1746:E1746"/>
    <mergeCell ref="A1763:C1763"/>
    <mergeCell ref="A1764:E1764"/>
    <mergeCell ref="A1776:C1776"/>
    <mergeCell ref="A1778:E1778"/>
    <mergeCell ref="A1796:C1796"/>
    <mergeCell ref="A1798:E1798"/>
    <mergeCell ref="A1799:E1799"/>
    <mergeCell ref="A1800:E1800"/>
    <mergeCell ref="A1815:C1815"/>
    <mergeCell ref="A1816:E1816"/>
    <mergeCell ref="A1830:C1830"/>
    <mergeCell ref="A1832:E1832"/>
    <mergeCell ref="A1847:C1847"/>
    <mergeCell ref="A1849:E1849"/>
    <mergeCell ref="A1850:E1850"/>
    <mergeCell ref="A1851:E1851"/>
    <mergeCell ref="A1868:C1868"/>
    <mergeCell ref="A1869:E1869"/>
    <mergeCell ref="A1886:C1886"/>
    <mergeCell ref="A1887:E1887"/>
    <mergeCell ref="A1912:C1912"/>
    <mergeCell ref="A1913:E1913"/>
    <mergeCell ref="A1935:C1935"/>
    <mergeCell ref="A1936:E1936"/>
    <mergeCell ref="A1950:C1950"/>
    <mergeCell ref="A1952:E1952"/>
    <mergeCell ref="A1986:C1986"/>
    <mergeCell ref="A1988:E1988"/>
    <mergeCell ref="A1989:E1989"/>
    <mergeCell ref="A1990:E1990"/>
    <mergeCell ref="A2006:C2006"/>
    <mergeCell ref="A2007:E2007"/>
    <mergeCell ref="A2024:C2024"/>
    <mergeCell ref="A2025:E2025"/>
    <mergeCell ref="A2045:C2045"/>
    <mergeCell ref="A2046:E2046"/>
    <mergeCell ref="A2064:C2064"/>
    <mergeCell ref="A2066:E2066"/>
    <mergeCell ref="A2089:C2089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1" manualBreakCount="21">
    <brk id="36" man="true" max="16383" min="0"/>
    <brk id="142" man="true" max="16383" min="0"/>
    <brk id="252" man="true" max="16383" min="0"/>
    <brk id="349" man="true" max="16383" min="0"/>
    <brk id="467" man="true" max="16383" min="0"/>
    <brk id="570" man="true" max="16383" min="0"/>
    <brk id="645" man="true" max="16383" min="0"/>
    <brk id="734" man="true" max="16383" min="0"/>
    <brk id="831" man="true" max="16383" min="0"/>
    <brk id="918" man="true" max="16383" min="0"/>
    <brk id="1017" man="true" max="16383" min="0"/>
    <brk id="1090" man="true" max="16383" min="0"/>
    <brk id="1167" man="true" max="16383" min="0"/>
    <brk id="1255" man="true" max="16383" min="0"/>
    <brk id="1351" man="true" max="16383" min="0"/>
    <brk id="1450" man="true" max="16383" min="0"/>
    <brk id="1560" man="true" max="16383" min="0"/>
    <brk id="1726" man="true" max="16383" min="0"/>
    <brk id="1797" man="true" max="16383" min="0"/>
    <brk id="1848" man="true" max="16383" min="0"/>
    <brk id="198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2026-02-19T00:31:34Z</dcterms:created>
  <dc:creator>openpyxl</dc:creator>
  <dc:description/>
  <dc:language>en-US</dc:language>
  <cp:lastModifiedBy>michael Han</cp:lastModifiedBy>
  <dcterms:modified xsi:type="dcterms:W3CDTF">2026-03-19T21:47:16Z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